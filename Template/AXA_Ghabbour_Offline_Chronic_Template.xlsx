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Line'!$A$1:$AO$201</definedName>
    <definedName name="_xlnm._FilterDatabase" localSheetId="3" hidden="1">'Per Invoice'!$A$1:$AH$61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AXA SERVICES EGYPT - GHABBOUR OFFLINE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A-M, O-V, Z-AA, AC-AJ (same order as the system export).</t>
        </is>
      </c>
    </row>
    <row r="6">
      <c r="A6" s="3" t="inlineStr">
        <is>
          <t>3. Green columns (N, W, X, Y, AB) and the grey helper columns (AK-AO)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Order Co Payment x Subtotal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(14%) if Local is TRUE, otherwise Imported rate (7%). Lines with 'Special Rebates?' = Yes get 5%.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Subtotal / 100. Net = Subtotal - Co val.</t>
        </is>
      </c>
    </row>
    <row r="20">
      <c r="A20" s="3" t="inlineStr">
        <is>
          <t>Capacity: up to 200 lines and 60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AXA SERVICES EGYPT - GHABBOUR OFFLINE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Ghabbour-AXA-Offline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AXA sheets (Rebates = 14 on Local lines).</t>
        </is>
      </c>
    </row>
    <row r="7">
      <c r="B7" t="inlineStr">
        <is>
          <t>Imported (IMP) products rebate %</t>
        </is>
      </c>
      <c r="C7" s="5" t="n">
        <v>0.07000000000000001</v>
      </c>
      <c r="D7" t="inlineStr">
        <is>
          <t>Source: AXA sheets (Rebates = 7 on non-local lines).</t>
        </is>
      </c>
    </row>
    <row r="8">
      <c r="B8" t="inlineStr">
        <is>
          <t>Special rebate % (Special Rebates? = Yes)</t>
        </is>
      </c>
      <c r="C8" s="5" t="n">
        <v>0.05</v>
      </c>
      <c r="D8" t="inlineStr">
        <is>
          <t>Lines flagged Special Rebates? = Yes get this rate (local or imported).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Line'!$D$2:$D$201)</f>
        <v/>
      </c>
    </row>
    <row r="11">
      <c r="B11" t="inlineStr">
        <is>
          <t>Invoices (unique Order #)</t>
        </is>
      </c>
      <c r="C11">
        <f>MAX('Per Line'!$AL$2:$AL$201)</f>
        <v/>
      </c>
    </row>
    <row r="12">
      <c r="B12" t="inlineStr">
        <is>
          <t>Invoices shown in Per Invoice</t>
        </is>
      </c>
      <c r="C12">
        <f>SUMPRODUCT(--('Per Invoice'!$B$2:$B$61&lt;&gt;""))</f>
        <v/>
      </c>
    </row>
    <row r="13">
      <c r="B13" t="inlineStr">
        <is>
          <t>Grand Total - Per Line (Product Total)</t>
        </is>
      </c>
      <c r="C13" s="7">
        <f>SUM('Per Line'!$V$2:$V$201)</f>
        <v/>
      </c>
    </row>
    <row r="14">
      <c r="B14" t="inlineStr">
        <is>
          <t>Grand Total - Per Invoice</t>
        </is>
      </c>
      <c r="C14" s="7">
        <f>SUM('Per Invoice'!$AF$2:$AF$61)</f>
        <v/>
      </c>
    </row>
    <row r="15">
      <c r="B15" t="inlineStr">
        <is>
          <t>Discount - Per Line</t>
        </is>
      </c>
      <c r="C15" s="7">
        <f>SUM('Per Line'!$W$2:$W$201)</f>
        <v/>
      </c>
    </row>
    <row r="16">
      <c r="B16" t="inlineStr">
        <is>
          <t>Discount - Per Invoice</t>
        </is>
      </c>
      <c r="C16" s="7">
        <f>SUM('Per Invoice'!$AD$2:$AD$61)</f>
        <v/>
      </c>
    </row>
    <row r="17">
      <c r="B17" t="inlineStr">
        <is>
          <t>Co val - Per Line</t>
        </is>
      </c>
      <c r="C17" s="7">
        <f>SUM('Per Line'!$N$2:$N$201)</f>
        <v/>
      </c>
    </row>
    <row r="18">
      <c r="B18" t="inlineStr">
        <is>
          <t>Co val - Per Invoice</t>
        </is>
      </c>
      <c r="C18" s="7">
        <f>SUM('Per Invoice'!$N$2:$N$61)</f>
        <v/>
      </c>
    </row>
    <row r="19">
      <c r="B19" t="inlineStr">
        <is>
          <t>Net - Per Line</t>
        </is>
      </c>
      <c r="C19" s="7">
        <f>SUM('Per Line'!$Y$2:$Y$201)</f>
        <v/>
      </c>
    </row>
    <row r="20">
      <c r="B20" t="inlineStr">
        <is>
          <t>Net - Per Invoice</t>
        </is>
      </c>
      <c r="C20" s="7">
        <f>SUM('Per Invoice'!$AG$2:$AG$61)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Line'!$D:$D)-1&gt;200,"TOO MANY LINES - extend template",IF(C11&gt;60,"TOO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2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1" customWidth="1" min="14" max="14"/>
    <col width="12" customWidth="1" min="15" max="15"/>
    <col width="12" customWidth="1" min="16" max="16"/>
    <col width="44" customWidth="1" min="17" max="17"/>
    <col width="12" customWidth="1" min="18" max="18"/>
    <col width="20" customWidth="1" min="19" max="19"/>
    <col width="12" customWidth="1" min="20" max="20"/>
    <col width="12" customWidth="1" min="21" max="21"/>
    <col width="12" customWidth="1" min="22" max="22"/>
    <col width="11" customWidth="1" min="23" max="23"/>
    <col width="11" customWidth="1" min="24" max="24"/>
    <col width="11" customWidth="1" min="25" max="25"/>
    <col width="36" customWidth="1" min="26" max="26"/>
    <col width="12" customWidth="1" min="27" max="27"/>
    <col width="11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7" customWidth="1" min="35" max="35"/>
    <col width="12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32" customHeight="1">
      <c r="A1" s="8" t="inlineStr">
        <is>
          <t>Batch ID</t>
        </is>
      </c>
      <c r="B1" s="8" t="inlineStr">
        <is>
          <t>Ticket #</t>
        </is>
      </c>
      <c r="C1" s="8" t="inlineStr">
        <is>
          <t>Stage</t>
        </is>
      </c>
      <c r="D1" s="8" t="inlineStr">
        <is>
          <t>Order #</t>
        </is>
      </c>
      <c r="E1" s="8" t="inlineStr">
        <is>
          <t>Channel</t>
        </is>
      </c>
      <c r="F1" s="8" t="inlineStr">
        <is>
          <t>Create At</t>
        </is>
      </c>
      <c r="G1" s="8" t="inlineStr">
        <is>
          <t>Insurance Company</t>
        </is>
      </c>
      <c r="H1" s="8" t="inlineStr">
        <is>
          <t>Country Portal ID</t>
        </is>
      </c>
      <c r="I1" s="8" t="inlineStr">
        <is>
          <t>Corporate</t>
        </is>
      </c>
      <c r="J1" s="8" t="inlineStr">
        <is>
          <t>Card</t>
        </is>
      </c>
      <c r="K1" s="8" t="inlineStr">
        <is>
          <t>Name</t>
        </is>
      </c>
      <c r="L1" s="8" t="inlineStr">
        <is>
          <t>Status</t>
        </is>
      </c>
      <c r="M1" s="8" t="inlineStr">
        <is>
          <t>Order Co Payment</t>
        </is>
      </c>
      <c r="N1" s="9" t="inlineStr">
        <is>
          <t>Co val</t>
        </is>
      </c>
      <c r="O1" s="8" t="inlineStr">
        <is>
          <t>By Patient</t>
        </is>
      </c>
      <c r="P1" s="8" t="inlineStr">
        <is>
          <t>heisenberg id</t>
        </is>
      </c>
      <c r="Q1" s="8" t="inlineStr">
        <is>
          <t>Product Name</t>
        </is>
      </c>
      <c r="R1" s="8" t="inlineStr">
        <is>
          <t>Local</t>
        </is>
      </c>
      <c r="S1" s="8" t="inlineStr">
        <is>
          <t>Unit</t>
        </is>
      </c>
      <c r="T1" s="8" t="inlineStr">
        <is>
          <t>Quantity</t>
        </is>
      </c>
      <c r="U1" s="8" t="inlineStr">
        <is>
          <t>Unit Price</t>
        </is>
      </c>
      <c r="V1" s="8" t="inlineStr">
        <is>
          <t>Product Total</t>
        </is>
      </c>
      <c r="W1" s="9" t="inlineStr">
        <is>
          <t>Discount</t>
        </is>
      </c>
      <c r="X1" s="9" t="inlineStr">
        <is>
          <t>Subtotal</t>
        </is>
      </c>
      <c r="Y1" s="9" t="inlineStr">
        <is>
          <t>Net</t>
        </is>
      </c>
      <c r="Z1" s="8" t="inlineStr">
        <is>
          <t>ERX ID</t>
        </is>
      </c>
      <c r="AA1" s="8" t="inlineStr">
        <is>
          <t>Special Rebates?</t>
        </is>
      </c>
      <c r="AB1" s="9" t="inlineStr">
        <is>
          <t>Rebates</t>
        </is>
      </c>
      <c r="AC1" s="8" t="inlineStr">
        <is>
          <t>Approval Type</t>
        </is>
      </c>
      <c r="AD1" s="8" t="inlineStr">
        <is>
          <t>Max Limit</t>
        </is>
      </c>
      <c r="AE1" s="8" t="inlineStr">
        <is>
          <t>Exceeding Limit</t>
        </is>
      </c>
      <c r="AF1" s="8" t="inlineStr">
        <is>
          <t>Amount collected from customer</t>
        </is>
      </c>
      <c r="AG1" s="8" t="inlineStr">
        <is>
          <t>By Patient (Delivered)</t>
        </is>
      </c>
      <c r="AH1" s="8" t="inlineStr">
        <is>
          <t>Dispense Number</t>
        </is>
      </c>
      <c r="AI1" s="8" t="inlineStr">
        <is>
          <t>Dispense Date</t>
        </is>
      </c>
      <c r="AJ1" s="8" t="inlineStr">
        <is>
          <t>Has OTP?</t>
        </is>
      </c>
      <c r="AK1" s="10" t="inlineStr">
        <is>
          <t>Order 1st Row (helper)</t>
        </is>
      </c>
      <c r="AL1" s="10" t="inlineStr">
        <is>
          <t>Invoice # (helper)</t>
        </is>
      </c>
      <c r="AM1" s="10" t="inlineStr">
        <is>
          <t>Is Local (helper)</t>
        </is>
      </c>
      <c r="AN1" s="10" t="inlineStr">
        <is>
          <t>Is Special (helper)</t>
        </is>
      </c>
      <c r="AO1" s="10" t="inlineStr">
        <is>
          <t>Sort Key (helper)</t>
        </is>
      </c>
    </row>
    <row r="2">
      <c r="F2" s="11" t="n"/>
      <c r="N2" s="7">
        <f>IF($D2="","",M2*X2/100)</f>
        <v/>
      </c>
      <c r="O2" s="7" t="n"/>
      <c r="U2" s="7" t="n"/>
      <c r="V2" s="7" t="n"/>
      <c r="W2" s="7">
        <f>IF($D2="","",V2*AB2/100)</f>
        <v/>
      </c>
      <c r="X2" s="7">
        <f>IF($D2="","",V2-W2)</f>
        <v/>
      </c>
      <c r="Y2" s="7">
        <f>IF($D2="","",X2-N2)</f>
        <v/>
      </c>
      <c r="AB2">
        <f>IF($D2="","",IF($AN2=1,Settings!$C$8,IF($AM2=1,Settings!$C$6,Settings!$C$7))*100)</f>
        <v/>
      </c>
      <c r="AF2" s="7" t="n"/>
      <c r="AI2" s="11" t="n"/>
      <c r="AK2">
        <f>IF($D2="","",IF(COUNTIF($D$2:$D2,$D2)=1,1,0))</f>
        <v/>
      </c>
      <c r="AL2">
        <f>IF($AK2=1,SUMPRODUCT(--($AO$2:$AO$201&lt;$AO2))+1,"")</f>
        <v/>
      </c>
      <c r="AM2">
        <f>IF($D2="","",IF(OR($R2=TRUE(),$R2="TRUE"),1,0))</f>
        <v/>
      </c>
      <c r="AN2">
        <f>IF($D2="","",IF($AA2="Yes",1,0))</f>
        <v/>
      </c>
      <c r="AO2">
        <f>IF($AK2=1,IFERROR(IF(VALUE($D2)&lt;100000000,VALUE($D2),1000000000),IFERROR(IF(VALUE(MID($D2,2,20))&lt;100000000,VALUE(MID($D2,2,20)),1000000000),1000000000))+ROW()/100000,"")</f>
        <v/>
      </c>
    </row>
    <row r="3">
      <c r="F3" s="11" t="n"/>
      <c r="N3" s="7">
        <f>IF($D3="","",M3*X3/100)</f>
        <v/>
      </c>
      <c r="O3" s="7" t="n"/>
      <c r="U3" s="7" t="n"/>
      <c r="V3" s="7" t="n"/>
      <c r="W3" s="7">
        <f>IF($D3="","",V3*AB3/100)</f>
        <v/>
      </c>
      <c r="X3" s="7">
        <f>IF($D3="","",V3-W3)</f>
        <v/>
      </c>
      <c r="Y3" s="7">
        <f>IF($D3="","",X3-N3)</f>
        <v/>
      </c>
      <c r="AB3">
        <f>IF($D3="","",IF($AN3=1,Settings!$C$8,IF($AM3=1,Settings!$C$6,Settings!$C$7))*100)</f>
        <v/>
      </c>
      <c r="AF3" s="7" t="n"/>
      <c r="AI3" s="11" t="n"/>
      <c r="AK3">
        <f>IF($D3="","",IF(COUNTIF($D$2:$D3,$D3)=1,1,0))</f>
        <v/>
      </c>
      <c r="AL3">
        <f>IF($AK3=1,SUMPRODUCT(--($AO$2:$AO$201&lt;$AO3))+1,"")</f>
        <v/>
      </c>
      <c r="AM3">
        <f>IF($D3="","",IF(OR($R3=TRUE(),$R3="TRUE"),1,0))</f>
        <v/>
      </c>
      <c r="AN3">
        <f>IF($D3="","",IF($AA3="Yes",1,0))</f>
        <v/>
      </c>
      <c r="AO3">
        <f>IF($AK3=1,IFERROR(IF(VALUE($D3)&lt;100000000,VALUE($D3),1000000000),IFERROR(IF(VALUE(MID($D3,2,20))&lt;100000000,VALUE(MID($D3,2,20)),1000000000),1000000000))+ROW()/100000,"")</f>
        <v/>
      </c>
    </row>
    <row r="4">
      <c r="F4" s="11" t="n"/>
      <c r="N4" s="7">
        <f>IF($D4="","",M4*X4/100)</f>
        <v/>
      </c>
      <c r="O4" s="7" t="n"/>
      <c r="U4" s="7" t="n"/>
      <c r="V4" s="7" t="n"/>
      <c r="W4" s="7">
        <f>IF($D4="","",V4*AB4/100)</f>
        <v/>
      </c>
      <c r="X4" s="7">
        <f>IF($D4="","",V4-W4)</f>
        <v/>
      </c>
      <c r="Y4" s="7">
        <f>IF($D4="","",X4-N4)</f>
        <v/>
      </c>
      <c r="AB4">
        <f>IF($D4="","",IF($AN4=1,Settings!$C$8,IF($AM4=1,Settings!$C$6,Settings!$C$7))*100)</f>
        <v/>
      </c>
      <c r="AF4" s="7" t="n"/>
      <c r="AI4" s="11" t="n"/>
      <c r="AK4">
        <f>IF($D4="","",IF(COUNTIF($D$2:$D4,$D4)=1,1,0))</f>
        <v/>
      </c>
      <c r="AL4">
        <f>IF($AK4=1,SUMPRODUCT(--($AO$2:$AO$201&lt;$AO4))+1,"")</f>
        <v/>
      </c>
      <c r="AM4">
        <f>IF($D4="","",IF(OR($R4=TRUE(),$R4="TRUE"),1,0))</f>
        <v/>
      </c>
      <c r="AN4">
        <f>IF($D4="","",IF($AA4="Yes",1,0))</f>
        <v/>
      </c>
      <c r="AO4">
        <f>IF($AK4=1,IFERROR(IF(VALUE($D4)&lt;100000000,VALUE($D4),1000000000),IFERROR(IF(VALUE(MID($D4,2,20))&lt;100000000,VALUE(MID($D4,2,20)),1000000000),1000000000))+ROW()/100000,"")</f>
        <v/>
      </c>
    </row>
    <row r="5">
      <c r="F5" s="11" t="n"/>
      <c r="N5" s="7">
        <f>IF($D5="","",M5*X5/100)</f>
        <v/>
      </c>
      <c r="O5" s="7" t="n"/>
      <c r="U5" s="7" t="n"/>
      <c r="V5" s="7" t="n"/>
      <c r="W5" s="7">
        <f>IF($D5="","",V5*AB5/100)</f>
        <v/>
      </c>
      <c r="X5" s="7">
        <f>IF($D5="","",V5-W5)</f>
        <v/>
      </c>
      <c r="Y5" s="7">
        <f>IF($D5="","",X5-N5)</f>
        <v/>
      </c>
      <c r="AB5">
        <f>IF($D5="","",IF($AN5=1,Settings!$C$8,IF($AM5=1,Settings!$C$6,Settings!$C$7))*100)</f>
        <v/>
      </c>
      <c r="AF5" s="7" t="n"/>
      <c r="AI5" s="11" t="n"/>
      <c r="AK5">
        <f>IF($D5="","",IF(COUNTIF($D$2:$D5,$D5)=1,1,0))</f>
        <v/>
      </c>
      <c r="AL5">
        <f>IF($AK5=1,SUMPRODUCT(--($AO$2:$AO$201&lt;$AO5))+1,"")</f>
        <v/>
      </c>
      <c r="AM5">
        <f>IF($D5="","",IF(OR($R5=TRUE(),$R5="TRUE"),1,0))</f>
        <v/>
      </c>
      <c r="AN5">
        <f>IF($D5="","",IF($AA5="Yes",1,0))</f>
        <v/>
      </c>
      <c r="AO5">
        <f>IF($AK5=1,IFERROR(IF(VALUE($D5)&lt;100000000,VALUE($D5),1000000000),IFERROR(IF(VALUE(MID($D5,2,20))&lt;100000000,VALUE(MID($D5,2,20)),1000000000),1000000000))+ROW()/100000,"")</f>
        <v/>
      </c>
    </row>
    <row r="6">
      <c r="F6" s="11" t="n"/>
      <c r="N6" s="7">
        <f>IF($D6="","",M6*X6/100)</f>
        <v/>
      </c>
      <c r="O6" s="7" t="n"/>
      <c r="U6" s="7" t="n"/>
      <c r="V6" s="7" t="n"/>
      <c r="W6" s="7">
        <f>IF($D6="","",V6*AB6/100)</f>
        <v/>
      </c>
      <c r="X6" s="7">
        <f>IF($D6="","",V6-W6)</f>
        <v/>
      </c>
      <c r="Y6" s="7">
        <f>IF($D6="","",X6-N6)</f>
        <v/>
      </c>
      <c r="AB6">
        <f>IF($D6="","",IF($AN6=1,Settings!$C$8,IF($AM6=1,Settings!$C$6,Settings!$C$7))*100)</f>
        <v/>
      </c>
      <c r="AF6" s="7" t="n"/>
      <c r="AI6" s="11" t="n"/>
      <c r="AK6">
        <f>IF($D6="","",IF(COUNTIF($D$2:$D6,$D6)=1,1,0))</f>
        <v/>
      </c>
      <c r="AL6">
        <f>IF($AK6=1,SUMPRODUCT(--($AO$2:$AO$201&lt;$AO6))+1,"")</f>
        <v/>
      </c>
      <c r="AM6">
        <f>IF($D6="","",IF(OR($R6=TRUE(),$R6="TRUE"),1,0))</f>
        <v/>
      </c>
      <c r="AN6">
        <f>IF($D6="","",IF($AA6="Yes",1,0))</f>
        <v/>
      </c>
      <c r="AO6">
        <f>IF($AK6=1,IFERROR(IF(VALUE($D6)&lt;100000000,VALUE($D6),1000000000),IFERROR(IF(VALUE(MID($D6,2,20))&lt;100000000,VALUE(MID($D6,2,20)),1000000000),1000000000))+ROW()/100000,"")</f>
        <v/>
      </c>
    </row>
    <row r="7">
      <c r="F7" s="11" t="n"/>
      <c r="N7" s="7">
        <f>IF($D7="","",M7*X7/100)</f>
        <v/>
      </c>
      <c r="O7" s="7" t="n"/>
      <c r="U7" s="7" t="n"/>
      <c r="V7" s="7" t="n"/>
      <c r="W7" s="7">
        <f>IF($D7="","",V7*AB7/100)</f>
        <v/>
      </c>
      <c r="X7" s="7">
        <f>IF($D7="","",V7-W7)</f>
        <v/>
      </c>
      <c r="Y7" s="7">
        <f>IF($D7="","",X7-N7)</f>
        <v/>
      </c>
      <c r="AB7">
        <f>IF($D7="","",IF($AN7=1,Settings!$C$8,IF($AM7=1,Settings!$C$6,Settings!$C$7))*100)</f>
        <v/>
      </c>
      <c r="AF7" s="7" t="n"/>
      <c r="AI7" s="11" t="n"/>
      <c r="AK7">
        <f>IF($D7="","",IF(COUNTIF($D$2:$D7,$D7)=1,1,0))</f>
        <v/>
      </c>
      <c r="AL7">
        <f>IF($AK7=1,SUMPRODUCT(--($AO$2:$AO$201&lt;$AO7))+1,"")</f>
        <v/>
      </c>
      <c r="AM7">
        <f>IF($D7="","",IF(OR($R7=TRUE(),$R7="TRUE"),1,0))</f>
        <v/>
      </c>
      <c r="AN7">
        <f>IF($D7="","",IF($AA7="Yes",1,0))</f>
        <v/>
      </c>
      <c r="AO7">
        <f>IF($AK7=1,IFERROR(IF(VALUE($D7)&lt;100000000,VALUE($D7),1000000000),IFERROR(IF(VALUE(MID($D7,2,20))&lt;100000000,VALUE(MID($D7,2,20)),1000000000),1000000000))+ROW()/100000,"")</f>
        <v/>
      </c>
    </row>
    <row r="8">
      <c r="F8" s="11" t="n"/>
      <c r="N8" s="7">
        <f>IF($D8="","",M8*X8/100)</f>
        <v/>
      </c>
      <c r="O8" s="7" t="n"/>
      <c r="U8" s="7" t="n"/>
      <c r="V8" s="7" t="n"/>
      <c r="W8" s="7">
        <f>IF($D8="","",V8*AB8/100)</f>
        <v/>
      </c>
      <c r="X8" s="7">
        <f>IF($D8="","",V8-W8)</f>
        <v/>
      </c>
      <c r="Y8" s="7">
        <f>IF($D8="","",X8-N8)</f>
        <v/>
      </c>
      <c r="AB8">
        <f>IF($D8="","",IF($AN8=1,Settings!$C$8,IF($AM8=1,Settings!$C$6,Settings!$C$7))*100)</f>
        <v/>
      </c>
      <c r="AF8" s="7" t="n"/>
      <c r="AI8" s="11" t="n"/>
      <c r="AK8">
        <f>IF($D8="","",IF(COUNTIF($D$2:$D8,$D8)=1,1,0))</f>
        <v/>
      </c>
      <c r="AL8">
        <f>IF($AK8=1,SUMPRODUCT(--($AO$2:$AO$201&lt;$AO8))+1,"")</f>
        <v/>
      </c>
      <c r="AM8">
        <f>IF($D8="","",IF(OR($R8=TRUE(),$R8="TRUE"),1,0))</f>
        <v/>
      </c>
      <c r="AN8">
        <f>IF($D8="","",IF($AA8="Yes",1,0))</f>
        <v/>
      </c>
      <c r="AO8">
        <f>IF($AK8=1,IFERROR(IF(VALUE($D8)&lt;100000000,VALUE($D8),1000000000),IFERROR(IF(VALUE(MID($D8,2,20))&lt;100000000,VALUE(MID($D8,2,20)),1000000000),1000000000))+ROW()/100000,"")</f>
        <v/>
      </c>
    </row>
    <row r="9">
      <c r="F9" s="11" t="n"/>
      <c r="N9" s="7">
        <f>IF($D9="","",M9*X9/100)</f>
        <v/>
      </c>
      <c r="O9" s="7" t="n"/>
      <c r="U9" s="7" t="n"/>
      <c r="V9" s="7" t="n"/>
      <c r="W9" s="7">
        <f>IF($D9="","",V9*AB9/100)</f>
        <v/>
      </c>
      <c r="X9" s="7">
        <f>IF($D9="","",V9-W9)</f>
        <v/>
      </c>
      <c r="Y9" s="7">
        <f>IF($D9="","",X9-N9)</f>
        <v/>
      </c>
      <c r="AB9">
        <f>IF($D9="","",IF($AN9=1,Settings!$C$8,IF($AM9=1,Settings!$C$6,Settings!$C$7))*100)</f>
        <v/>
      </c>
      <c r="AF9" s="7" t="n"/>
      <c r="AI9" s="11" t="n"/>
      <c r="AK9">
        <f>IF($D9="","",IF(COUNTIF($D$2:$D9,$D9)=1,1,0))</f>
        <v/>
      </c>
      <c r="AL9">
        <f>IF($AK9=1,SUMPRODUCT(--($AO$2:$AO$201&lt;$AO9))+1,"")</f>
        <v/>
      </c>
      <c r="AM9">
        <f>IF($D9="","",IF(OR($R9=TRUE(),$R9="TRUE"),1,0))</f>
        <v/>
      </c>
      <c r="AN9">
        <f>IF($D9="","",IF($AA9="Yes",1,0))</f>
        <v/>
      </c>
      <c r="AO9">
        <f>IF($AK9=1,IFERROR(IF(VALUE($D9)&lt;100000000,VALUE($D9),1000000000),IFERROR(IF(VALUE(MID($D9,2,20))&lt;100000000,VALUE(MID($D9,2,20)),1000000000),1000000000))+ROW()/100000,"")</f>
        <v/>
      </c>
    </row>
    <row r="10">
      <c r="F10" s="11" t="n"/>
      <c r="N10" s="7">
        <f>IF($D10="","",M10*X10/100)</f>
        <v/>
      </c>
      <c r="O10" s="7" t="n"/>
      <c r="U10" s="7" t="n"/>
      <c r="V10" s="7" t="n"/>
      <c r="W10" s="7">
        <f>IF($D10="","",V10*AB10/100)</f>
        <v/>
      </c>
      <c r="X10" s="7">
        <f>IF($D10="","",V10-W10)</f>
        <v/>
      </c>
      <c r="Y10" s="7">
        <f>IF($D10="","",X10-N10)</f>
        <v/>
      </c>
      <c r="AB10">
        <f>IF($D10="","",IF($AN10=1,Settings!$C$8,IF($AM10=1,Settings!$C$6,Settings!$C$7))*100)</f>
        <v/>
      </c>
      <c r="AF10" s="7" t="n"/>
      <c r="AI10" s="11" t="n"/>
      <c r="AK10">
        <f>IF($D10="","",IF(COUNTIF($D$2:$D10,$D10)=1,1,0))</f>
        <v/>
      </c>
      <c r="AL10">
        <f>IF($AK10=1,SUMPRODUCT(--($AO$2:$AO$201&lt;$AO10))+1,"")</f>
        <v/>
      </c>
      <c r="AM10">
        <f>IF($D10="","",IF(OR($R10=TRUE(),$R10="TRUE"),1,0))</f>
        <v/>
      </c>
      <c r="AN10">
        <f>IF($D10="","",IF($AA10="Yes",1,0))</f>
        <v/>
      </c>
      <c r="AO10">
        <f>IF($AK10=1,IFERROR(IF(VALUE($D10)&lt;100000000,VALUE($D10),1000000000),IFERROR(IF(VALUE(MID($D10,2,20))&lt;100000000,VALUE(MID($D10,2,20)),1000000000),1000000000))+ROW()/100000,"")</f>
        <v/>
      </c>
    </row>
    <row r="11">
      <c r="F11" s="11" t="n"/>
      <c r="N11" s="7">
        <f>IF($D11="","",M11*X11/100)</f>
        <v/>
      </c>
      <c r="O11" s="7" t="n"/>
      <c r="U11" s="7" t="n"/>
      <c r="V11" s="7" t="n"/>
      <c r="W11" s="7">
        <f>IF($D11="","",V11*AB11/100)</f>
        <v/>
      </c>
      <c r="X11" s="7">
        <f>IF($D11="","",V11-W11)</f>
        <v/>
      </c>
      <c r="Y11" s="7">
        <f>IF($D11="","",X11-N11)</f>
        <v/>
      </c>
      <c r="AB11">
        <f>IF($D11="","",IF($AN11=1,Settings!$C$8,IF($AM11=1,Settings!$C$6,Settings!$C$7))*100)</f>
        <v/>
      </c>
      <c r="AF11" s="7" t="n"/>
      <c r="AI11" s="11" t="n"/>
      <c r="AK11">
        <f>IF($D11="","",IF(COUNTIF($D$2:$D11,$D11)=1,1,0))</f>
        <v/>
      </c>
      <c r="AL11">
        <f>IF($AK11=1,SUMPRODUCT(--($AO$2:$AO$201&lt;$AO11))+1,"")</f>
        <v/>
      </c>
      <c r="AM11">
        <f>IF($D11="","",IF(OR($R11=TRUE(),$R11="TRUE"),1,0))</f>
        <v/>
      </c>
      <c r="AN11">
        <f>IF($D11="","",IF($AA11="Yes",1,0))</f>
        <v/>
      </c>
      <c r="AO11">
        <f>IF($AK11=1,IFERROR(IF(VALUE($D11)&lt;100000000,VALUE($D11),1000000000),IFERROR(IF(VALUE(MID($D11,2,20))&lt;100000000,VALUE(MID($D11,2,20)),1000000000),1000000000))+ROW()/100000,"")</f>
        <v/>
      </c>
    </row>
    <row r="12">
      <c r="F12" s="11" t="n"/>
      <c r="N12" s="7">
        <f>IF($D12="","",M12*X12/100)</f>
        <v/>
      </c>
      <c r="O12" s="7" t="n"/>
      <c r="U12" s="7" t="n"/>
      <c r="V12" s="7" t="n"/>
      <c r="W12" s="7">
        <f>IF($D12="","",V12*AB12/100)</f>
        <v/>
      </c>
      <c r="X12" s="7">
        <f>IF($D12="","",V12-W12)</f>
        <v/>
      </c>
      <c r="Y12" s="7">
        <f>IF($D12="","",X12-N12)</f>
        <v/>
      </c>
      <c r="AB12">
        <f>IF($D12="","",IF($AN12=1,Settings!$C$8,IF($AM12=1,Settings!$C$6,Settings!$C$7))*100)</f>
        <v/>
      </c>
      <c r="AF12" s="7" t="n"/>
      <c r="AI12" s="11" t="n"/>
      <c r="AK12">
        <f>IF($D12="","",IF(COUNTIF($D$2:$D12,$D12)=1,1,0))</f>
        <v/>
      </c>
      <c r="AL12">
        <f>IF($AK12=1,SUMPRODUCT(--($AO$2:$AO$201&lt;$AO12))+1,"")</f>
        <v/>
      </c>
      <c r="AM12">
        <f>IF($D12="","",IF(OR($R12=TRUE(),$R12="TRUE"),1,0))</f>
        <v/>
      </c>
      <c r="AN12">
        <f>IF($D12="","",IF($AA12="Yes",1,0))</f>
        <v/>
      </c>
      <c r="AO12">
        <f>IF($AK12=1,IFERROR(IF(VALUE($D12)&lt;100000000,VALUE($D12),1000000000),IFERROR(IF(VALUE(MID($D12,2,20))&lt;100000000,VALUE(MID($D12,2,20)),1000000000),1000000000))+ROW()/100000,"")</f>
        <v/>
      </c>
    </row>
    <row r="13">
      <c r="F13" s="11" t="n"/>
      <c r="N13" s="7">
        <f>IF($D13="","",M13*X13/100)</f>
        <v/>
      </c>
      <c r="O13" s="7" t="n"/>
      <c r="U13" s="7" t="n"/>
      <c r="V13" s="7" t="n"/>
      <c r="W13" s="7">
        <f>IF($D13="","",V13*AB13/100)</f>
        <v/>
      </c>
      <c r="X13" s="7">
        <f>IF($D13="","",V13-W13)</f>
        <v/>
      </c>
      <c r="Y13" s="7">
        <f>IF($D13="","",X13-N13)</f>
        <v/>
      </c>
      <c r="AB13">
        <f>IF($D13="","",IF($AN13=1,Settings!$C$8,IF($AM13=1,Settings!$C$6,Settings!$C$7))*100)</f>
        <v/>
      </c>
      <c r="AF13" s="7" t="n"/>
      <c r="AI13" s="11" t="n"/>
      <c r="AK13">
        <f>IF($D13="","",IF(COUNTIF($D$2:$D13,$D13)=1,1,0))</f>
        <v/>
      </c>
      <c r="AL13">
        <f>IF($AK13=1,SUMPRODUCT(--($AO$2:$AO$201&lt;$AO13))+1,"")</f>
        <v/>
      </c>
      <c r="AM13">
        <f>IF($D13="","",IF(OR($R13=TRUE(),$R13="TRUE"),1,0))</f>
        <v/>
      </c>
      <c r="AN13">
        <f>IF($D13="","",IF($AA13="Yes",1,0))</f>
        <v/>
      </c>
      <c r="AO13">
        <f>IF($AK13=1,IFERROR(IF(VALUE($D13)&lt;100000000,VALUE($D13),1000000000),IFERROR(IF(VALUE(MID($D13,2,20))&lt;100000000,VALUE(MID($D13,2,20)),1000000000),1000000000))+ROW()/100000,"")</f>
        <v/>
      </c>
    </row>
    <row r="14">
      <c r="F14" s="11" t="n"/>
      <c r="N14" s="7">
        <f>IF($D14="","",M14*X14/100)</f>
        <v/>
      </c>
      <c r="O14" s="7" t="n"/>
      <c r="U14" s="7" t="n"/>
      <c r="V14" s="7" t="n"/>
      <c r="W14" s="7">
        <f>IF($D14="","",V14*AB14/100)</f>
        <v/>
      </c>
      <c r="X14" s="7">
        <f>IF($D14="","",V14-W14)</f>
        <v/>
      </c>
      <c r="Y14" s="7">
        <f>IF($D14="","",X14-N14)</f>
        <v/>
      </c>
      <c r="AB14">
        <f>IF($D14="","",IF($AN14=1,Settings!$C$8,IF($AM14=1,Settings!$C$6,Settings!$C$7))*100)</f>
        <v/>
      </c>
      <c r="AF14" s="7" t="n"/>
      <c r="AI14" s="11" t="n"/>
      <c r="AK14">
        <f>IF($D14="","",IF(COUNTIF($D$2:$D14,$D14)=1,1,0))</f>
        <v/>
      </c>
      <c r="AL14">
        <f>IF($AK14=1,SUMPRODUCT(--($AO$2:$AO$201&lt;$AO14))+1,"")</f>
        <v/>
      </c>
      <c r="AM14">
        <f>IF($D14="","",IF(OR($R14=TRUE(),$R14="TRUE"),1,0))</f>
        <v/>
      </c>
      <c r="AN14">
        <f>IF($D14="","",IF($AA14="Yes",1,0))</f>
        <v/>
      </c>
      <c r="AO14">
        <f>IF($AK14=1,IFERROR(IF(VALUE($D14)&lt;100000000,VALUE($D14),1000000000),IFERROR(IF(VALUE(MID($D14,2,20))&lt;100000000,VALUE(MID($D14,2,20)),1000000000),1000000000))+ROW()/100000,"")</f>
        <v/>
      </c>
    </row>
    <row r="15">
      <c r="F15" s="11" t="n"/>
      <c r="N15" s="7">
        <f>IF($D15="","",M15*X15/100)</f>
        <v/>
      </c>
      <c r="O15" s="7" t="n"/>
      <c r="U15" s="7" t="n"/>
      <c r="V15" s="7" t="n"/>
      <c r="W15" s="7">
        <f>IF($D15="","",V15*AB15/100)</f>
        <v/>
      </c>
      <c r="X15" s="7">
        <f>IF($D15="","",V15-W15)</f>
        <v/>
      </c>
      <c r="Y15" s="7">
        <f>IF($D15="","",X15-N15)</f>
        <v/>
      </c>
      <c r="AB15">
        <f>IF($D15="","",IF($AN15=1,Settings!$C$8,IF($AM15=1,Settings!$C$6,Settings!$C$7))*100)</f>
        <v/>
      </c>
      <c r="AF15" s="7" t="n"/>
      <c r="AI15" s="11" t="n"/>
      <c r="AK15">
        <f>IF($D15="","",IF(COUNTIF($D$2:$D15,$D15)=1,1,0))</f>
        <v/>
      </c>
      <c r="AL15">
        <f>IF($AK15=1,SUMPRODUCT(--($AO$2:$AO$201&lt;$AO15))+1,"")</f>
        <v/>
      </c>
      <c r="AM15">
        <f>IF($D15="","",IF(OR($R15=TRUE(),$R15="TRUE"),1,0))</f>
        <v/>
      </c>
      <c r="AN15">
        <f>IF($D15="","",IF($AA15="Yes",1,0))</f>
        <v/>
      </c>
      <c r="AO15">
        <f>IF($AK15=1,IFERROR(IF(VALUE($D15)&lt;100000000,VALUE($D15),1000000000),IFERROR(IF(VALUE(MID($D15,2,20))&lt;100000000,VALUE(MID($D15,2,20)),1000000000),1000000000))+ROW()/100000,"")</f>
        <v/>
      </c>
    </row>
    <row r="16">
      <c r="F16" s="11" t="n"/>
      <c r="N16" s="7">
        <f>IF($D16="","",M16*X16/100)</f>
        <v/>
      </c>
      <c r="O16" s="7" t="n"/>
      <c r="U16" s="7" t="n"/>
      <c r="V16" s="7" t="n"/>
      <c r="W16" s="7">
        <f>IF($D16="","",V16*AB16/100)</f>
        <v/>
      </c>
      <c r="X16" s="7">
        <f>IF($D16="","",V16-W16)</f>
        <v/>
      </c>
      <c r="Y16" s="7">
        <f>IF($D16="","",X16-N16)</f>
        <v/>
      </c>
      <c r="AB16">
        <f>IF($D16="","",IF($AN16=1,Settings!$C$8,IF($AM16=1,Settings!$C$6,Settings!$C$7))*100)</f>
        <v/>
      </c>
      <c r="AF16" s="7" t="n"/>
      <c r="AI16" s="11" t="n"/>
      <c r="AK16">
        <f>IF($D16="","",IF(COUNTIF($D$2:$D16,$D16)=1,1,0))</f>
        <v/>
      </c>
      <c r="AL16">
        <f>IF($AK16=1,SUMPRODUCT(--($AO$2:$AO$201&lt;$AO16))+1,"")</f>
        <v/>
      </c>
      <c r="AM16">
        <f>IF($D16="","",IF(OR($R16=TRUE(),$R16="TRUE"),1,0))</f>
        <v/>
      </c>
      <c r="AN16">
        <f>IF($D16="","",IF($AA16="Yes",1,0))</f>
        <v/>
      </c>
      <c r="AO16">
        <f>IF($AK16=1,IFERROR(IF(VALUE($D16)&lt;100000000,VALUE($D16),1000000000),IFERROR(IF(VALUE(MID($D16,2,20))&lt;100000000,VALUE(MID($D16,2,20)),1000000000),1000000000))+ROW()/100000,"")</f>
        <v/>
      </c>
    </row>
    <row r="17">
      <c r="F17" s="11" t="n"/>
      <c r="N17" s="7">
        <f>IF($D17="","",M17*X17/100)</f>
        <v/>
      </c>
      <c r="O17" s="7" t="n"/>
      <c r="U17" s="7" t="n"/>
      <c r="V17" s="7" t="n"/>
      <c r="W17" s="7">
        <f>IF($D17="","",V17*AB17/100)</f>
        <v/>
      </c>
      <c r="X17" s="7">
        <f>IF($D17="","",V17-W17)</f>
        <v/>
      </c>
      <c r="Y17" s="7">
        <f>IF($D17="","",X17-N17)</f>
        <v/>
      </c>
      <c r="AB17">
        <f>IF($D17="","",IF($AN17=1,Settings!$C$8,IF($AM17=1,Settings!$C$6,Settings!$C$7))*100)</f>
        <v/>
      </c>
      <c r="AF17" s="7" t="n"/>
      <c r="AI17" s="11" t="n"/>
      <c r="AK17">
        <f>IF($D17="","",IF(COUNTIF($D$2:$D17,$D17)=1,1,0))</f>
        <v/>
      </c>
      <c r="AL17">
        <f>IF($AK17=1,SUMPRODUCT(--($AO$2:$AO$201&lt;$AO17))+1,"")</f>
        <v/>
      </c>
      <c r="AM17">
        <f>IF($D17="","",IF(OR($R17=TRUE(),$R17="TRUE"),1,0))</f>
        <v/>
      </c>
      <c r="AN17">
        <f>IF($D17="","",IF($AA17="Yes",1,0))</f>
        <v/>
      </c>
      <c r="AO17">
        <f>IF($AK17=1,IFERROR(IF(VALUE($D17)&lt;100000000,VALUE($D17),1000000000),IFERROR(IF(VALUE(MID($D17,2,20))&lt;100000000,VALUE(MID($D17,2,20)),1000000000),1000000000))+ROW()/100000,"")</f>
        <v/>
      </c>
    </row>
    <row r="18">
      <c r="F18" s="11" t="n"/>
      <c r="N18" s="7">
        <f>IF($D18="","",M18*X18/100)</f>
        <v/>
      </c>
      <c r="O18" s="7" t="n"/>
      <c r="U18" s="7" t="n"/>
      <c r="V18" s="7" t="n"/>
      <c r="W18" s="7">
        <f>IF($D18="","",V18*AB18/100)</f>
        <v/>
      </c>
      <c r="X18" s="7">
        <f>IF($D18="","",V18-W18)</f>
        <v/>
      </c>
      <c r="Y18" s="7">
        <f>IF($D18="","",X18-N18)</f>
        <v/>
      </c>
      <c r="AB18">
        <f>IF($D18="","",IF($AN18=1,Settings!$C$8,IF($AM18=1,Settings!$C$6,Settings!$C$7))*100)</f>
        <v/>
      </c>
      <c r="AF18" s="7" t="n"/>
      <c r="AI18" s="11" t="n"/>
      <c r="AK18">
        <f>IF($D18="","",IF(COUNTIF($D$2:$D18,$D18)=1,1,0))</f>
        <v/>
      </c>
      <c r="AL18">
        <f>IF($AK18=1,SUMPRODUCT(--($AO$2:$AO$201&lt;$AO18))+1,"")</f>
        <v/>
      </c>
      <c r="AM18">
        <f>IF($D18="","",IF(OR($R18=TRUE(),$R18="TRUE"),1,0))</f>
        <v/>
      </c>
      <c r="AN18">
        <f>IF($D18="","",IF($AA18="Yes",1,0))</f>
        <v/>
      </c>
      <c r="AO18">
        <f>IF($AK18=1,IFERROR(IF(VALUE($D18)&lt;100000000,VALUE($D18),1000000000),IFERROR(IF(VALUE(MID($D18,2,20))&lt;100000000,VALUE(MID($D18,2,20)),1000000000),1000000000))+ROW()/100000,"")</f>
        <v/>
      </c>
    </row>
    <row r="19">
      <c r="F19" s="11" t="n"/>
      <c r="N19" s="7">
        <f>IF($D19="","",M19*X19/100)</f>
        <v/>
      </c>
      <c r="O19" s="7" t="n"/>
      <c r="U19" s="7" t="n"/>
      <c r="V19" s="7" t="n"/>
      <c r="W19" s="7">
        <f>IF($D19="","",V19*AB19/100)</f>
        <v/>
      </c>
      <c r="X19" s="7">
        <f>IF($D19="","",V19-W19)</f>
        <v/>
      </c>
      <c r="Y19" s="7">
        <f>IF($D19="","",X19-N19)</f>
        <v/>
      </c>
      <c r="AB19">
        <f>IF($D19="","",IF($AN19=1,Settings!$C$8,IF($AM19=1,Settings!$C$6,Settings!$C$7))*100)</f>
        <v/>
      </c>
      <c r="AF19" s="7" t="n"/>
      <c r="AI19" s="11" t="n"/>
      <c r="AK19">
        <f>IF($D19="","",IF(COUNTIF($D$2:$D19,$D19)=1,1,0))</f>
        <v/>
      </c>
      <c r="AL19">
        <f>IF($AK19=1,SUMPRODUCT(--($AO$2:$AO$201&lt;$AO19))+1,"")</f>
        <v/>
      </c>
      <c r="AM19">
        <f>IF($D19="","",IF(OR($R19=TRUE(),$R19="TRUE"),1,0))</f>
        <v/>
      </c>
      <c r="AN19">
        <f>IF($D19="","",IF($AA19="Yes",1,0))</f>
        <v/>
      </c>
      <c r="AO19">
        <f>IF($AK19=1,IFERROR(IF(VALUE($D19)&lt;100000000,VALUE($D19),1000000000),IFERROR(IF(VALUE(MID($D19,2,20))&lt;100000000,VALUE(MID($D19,2,20)),1000000000),1000000000))+ROW()/100000,"")</f>
        <v/>
      </c>
    </row>
    <row r="20">
      <c r="F20" s="11" t="n"/>
      <c r="N20" s="7">
        <f>IF($D20="","",M20*X20/100)</f>
        <v/>
      </c>
      <c r="O20" s="7" t="n"/>
      <c r="U20" s="7" t="n"/>
      <c r="V20" s="7" t="n"/>
      <c r="W20" s="7">
        <f>IF($D20="","",V20*AB20/100)</f>
        <v/>
      </c>
      <c r="X20" s="7">
        <f>IF($D20="","",V20-W20)</f>
        <v/>
      </c>
      <c r="Y20" s="7">
        <f>IF($D20="","",X20-N20)</f>
        <v/>
      </c>
      <c r="AB20">
        <f>IF($D20="","",IF($AN20=1,Settings!$C$8,IF($AM20=1,Settings!$C$6,Settings!$C$7))*100)</f>
        <v/>
      </c>
      <c r="AF20" s="7" t="n"/>
      <c r="AI20" s="11" t="n"/>
      <c r="AK20">
        <f>IF($D20="","",IF(COUNTIF($D$2:$D20,$D20)=1,1,0))</f>
        <v/>
      </c>
      <c r="AL20">
        <f>IF($AK20=1,SUMPRODUCT(--($AO$2:$AO$201&lt;$AO20))+1,"")</f>
        <v/>
      </c>
      <c r="AM20">
        <f>IF($D20="","",IF(OR($R20=TRUE(),$R20="TRUE"),1,0))</f>
        <v/>
      </c>
      <c r="AN20">
        <f>IF($D20="","",IF($AA20="Yes",1,0))</f>
        <v/>
      </c>
      <c r="AO20">
        <f>IF($AK20=1,IFERROR(IF(VALUE($D20)&lt;100000000,VALUE($D20),1000000000),IFERROR(IF(VALUE(MID($D20,2,20))&lt;100000000,VALUE(MID($D20,2,20)),1000000000),1000000000))+ROW()/100000,"")</f>
        <v/>
      </c>
    </row>
    <row r="21">
      <c r="F21" s="11" t="n"/>
      <c r="N21" s="7">
        <f>IF($D21="","",M21*X21/100)</f>
        <v/>
      </c>
      <c r="O21" s="7" t="n"/>
      <c r="U21" s="7" t="n"/>
      <c r="V21" s="7" t="n"/>
      <c r="W21" s="7">
        <f>IF($D21="","",V21*AB21/100)</f>
        <v/>
      </c>
      <c r="X21" s="7">
        <f>IF($D21="","",V21-W21)</f>
        <v/>
      </c>
      <c r="Y21" s="7">
        <f>IF($D21="","",X21-N21)</f>
        <v/>
      </c>
      <c r="AB21">
        <f>IF($D21="","",IF($AN21=1,Settings!$C$8,IF($AM21=1,Settings!$C$6,Settings!$C$7))*100)</f>
        <v/>
      </c>
      <c r="AF21" s="7" t="n"/>
      <c r="AI21" s="11" t="n"/>
      <c r="AK21">
        <f>IF($D21="","",IF(COUNTIF($D$2:$D21,$D21)=1,1,0))</f>
        <v/>
      </c>
      <c r="AL21">
        <f>IF($AK21=1,SUMPRODUCT(--($AO$2:$AO$201&lt;$AO21))+1,"")</f>
        <v/>
      </c>
      <c r="AM21">
        <f>IF($D21="","",IF(OR($R21=TRUE(),$R21="TRUE"),1,0))</f>
        <v/>
      </c>
      <c r="AN21">
        <f>IF($D21="","",IF($AA21="Yes",1,0))</f>
        <v/>
      </c>
      <c r="AO21">
        <f>IF($AK21=1,IFERROR(IF(VALUE($D21)&lt;100000000,VALUE($D21),1000000000),IFERROR(IF(VALUE(MID($D21,2,20))&lt;100000000,VALUE(MID($D21,2,20)),1000000000),1000000000))+ROW()/100000,"")</f>
        <v/>
      </c>
    </row>
    <row r="22">
      <c r="F22" s="11" t="n"/>
      <c r="N22" s="7">
        <f>IF($D22="","",M22*X22/100)</f>
        <v/>
      </c>
      <c r="O22" s="7" t="n"/>
      <c r="U22" s="7" t="n"/>
      <c r="V22" s="7" t="n"/>
      <c r="W22" s="7">
        <f>IF($D22="","",V22*AB22/100)</f>
        <v/>
      </c>
      <c r="X22" s="7">
        <f>IF($D22="","",V22-W22)</f>
        <v/>
      </c>
      <c r="Y22" s="7">
        <f>IF($D22="","",X22-N22)</f>
        <v/>
      </c>
      <c r="AB22">
        <f>IF($D22="","",IF($AN22=1,Settings!$C$8,IF($AM22=1,Settings!$C$6,Settings!$C$7))*100)</f>
        <v/>
      </c>
      <c r="AF22" s="7" t="n"/>
      <c r="AI22" s="11" t="n"/>
      <c r="AK22">
        <f>IF($D22="","",IF(COUNTIF($D$2:$D22,$D22)=1,1,0))</f>
        <v/>
      </c>
      <c r="AL22">
        <f>IF($AK22=1,SUMPRODUCT(--($AO$2:$AO$201&lt;$AO22))+1,"")</f>
        <v/>
      </c>
      <c r="AM22">
        <f>IF($D22="","",IF(OR($R22=TRUE(),$R22="TRUE"),1,0))</f>
        <v/>
      </c>
      <c r="AN22">
        <f>IF($D22="","",IF($AA22="Yes",1,0))</f>
        <v/>
      </c>
      <c r="AO22">
        <f>IF($AK22=1,IFERROR(IF(VALUE($D22)&lt;100000000,VALUE($D22),1000000000),IFERROR(IF(VALUE(MID($D22,2,20))&lt;100000000,VALUE(MID($D22,2,20)),1000000000),1000000000))+ROW()/100000,"")</f>
        <v/>
      </c>
    </row>
    <row r="23">
      <c r="F23" s="11" t="n"/>
      <c r="N23" s="7">
        <f>IF($D23="","",M23*X23/100)</f>
        <v/>
      </c>
      <c r="O23" s="7" t="n"/>
      <c r="U23" s="7" t="n"/>
      <c r="V23" s="7" t="n"/>
      <c r="W23" s="7">
        <f>IF($D23="","",V23*AB23/100)</f>
        <v/>
      </c>
      <c r="X23" s="7">
        <f>IF($D23="","",V23-W23)</f>
        <v/>
      </c>
      <c r="Y23" s="7">
        <f>IF($D23="","",X23-N23)</f>
        <v/>
      </c>
      <c r="AB23">
        <f>IF($D23="","",IF($AN23=1,Settings!$C$8,IF($AM23=1,Settings!$C$6,Settings!$C$7))*100)</f>
        <v/>
      </c>
      <c r="AF23" s="7" t="n"/>
      <c r="AI23" s="11" t="n"/>
      <c r="AK23">
        <f>IF($D23="","",IF(COUNTIF($D$2:$D23,$D23)=1,1,0))</f>
        <v/>
      </c>
      <c r="AL23">
        <f>IF($AK23=1,SUMPRODUCT(--($AO$2:$AO$201&lt;$AO23))+1,"")</f>
        <v/>
      </c>
      <c r="AM23">
        <f>IF($D23="","",IF(OR($R23=TRUE(),$R23="TRUE"),1,0))</f>
        <v/>
      </c>
      <c r="AN23">
        <f>IF($D23="","",IF($AA23="Yes",1,0))</f>
        <v/>
      </c>
      <c r="AO23">
        <f>IF($AK23=1,IFERROR(IF(VALUE($D23)&lt;100000000,VALUE($D23),1000000000),IFERROR(IF(VALUE(MID($D23,2,20))&lt;100000000,VALUE(MID($D23,2,20)),1000000000),1000000000))+ROW()/100000,"")</f>
        <v/>
      </c>
    </row>
    <row r="24">
      <c r="F24" s="11" t="n"/>
      <c r="N24" s="7">
        <f>IF($D24="","",M24*X24/100)</f>
        <v/>
      </c>
      <c r="O24" s="7" t="n"/>
      <c r="U24" s="7" t="n"/>
      <c r="V24" s="7" t="n"/>
      <c r="W24" s="7">
        <f>IF($D24="","",V24*AB24/100)</f>
        <v/>
      </c>
      <c r="X24" s="7">
        <f>IF($D24="","",V24-W24)</f>
        <v/>
      </c>
      <c r="Y24" s="7">
        <f>IF($D24="","",X24-N24)</f>
        <v/>
      </c>
      <c r="AB24">
        <f>IF($D24="","",IF($AN24=1,Settings!$C$8,IF($AM24=1,Settings!$C$6,Settings!$C$7))*100)</f>
        <v/>
      </c>
      <c r="AF24" s="7" t="n"/>
      <c r="AI24" s="11" t="n"/>
      <c r="AK24">
        <f>IF($D24="","",IF(COUNTIF($D$2:$D24,$D24)=1,1,0))</f>
        <v/>
      </c>
      <c r="AL24">
        <f>IF($AK24=1,SUMPRODUCT(--($AO$2:$AO$201&lt;$AO24))+1,"")</f>
        <v/>
      </c>
      <c r="AM24">
        <f>IF($D24="","",IF(OR($R24=TRUE(),$R24="TRUE"),1,0))</f>
        <v/>
      </c>
      <c r="AN24">
        <f>IF($D24="","",IF($AA24="Yes",1,0))</f>
        <v/>
      </c>
      <c r="AO24">
        <f>IF($AK24=1,IFERROR(IF(VALUE($D24)&lt;100000000,VALUE($D24),1000000000),IFERROR(IF(VALUE(MID($D24,2,20))&lt;100000000,VALUE(MID($D24,2,20)),1000000000),1000000000))+ROW()/100000,"")</f>
        <v/>
      </c>
    </row>
    <row r="25">
      <c r="F25" s="11" t="n"/>
      <c r="N25" s="7">
        <f>IF($D25="","",M25*X25/100)</f>
        <v/>
      </c>
      <c r="O25" s="7" t="n"/>
      <c r="U25" s="7" t="n"/>
      <c r="V25" s="7" t="n"/>
      <c r="W25" s="7">
        <f>IF($D25="","",V25*AB25/100)</f>
        <v/>
      </c>
      <c r="X25" s="7">
        <f>IF($D25="","",V25-W25)</f>
        <v/>
      </c>
      <c r="Y25" s="7">
        <f>IF($D25="","",X25-N25)</f>
        <v/>
      </c>
      <c r="AB25">
        <f>IF($D25="","",IF($AN25=1,Settings!$C$8,IF($AM25=1,Settings!$C$6,Settings!$C$7))*100)</f>
        <v/>
      </c>
      <c r="AF25" s="7" t="n"/>
      <c r="AI25" s="11" t="n"/>
      <c r="AK25">
        <f>IF($D25="","",IF(COUNTIF($D$2:$D25,$D25)=1,1,0))</f>
        <v/>
      </c>
      <c r="AL25">
        <f>IF($AK25=1,SUMPRODUCT(--($AO$2:$AO$201&lt;$AO25))+1,"")</f>
        <v/>
      </c>
      <c r="AM25">
        <f>IF($D25="","",IF(OR($R25=TRUE(),$R25="TRUE"),1,0))</f>
        <v/>
      </c>
      <c r="AN25">
        <f>IF($D25="","",IF($AA25="Yes",1,0))</f>
        <v/>
      </c>
      <c r="AO25">
        <f>IF($AK25=1,IFERROR(IF(VALUE($D25)&lt;100000000,VALUE($D25),1000000000),IFERROR(IF(VALUE(MID($D25,2,20))&lt;100000000,VALUE(MID($D25,2,20)),1000000000),1000000000))+ROW()/100000,"")</f>
        <v/>
      </c>
    </row>
    <row r="26">
      <c r="F26" s="11" t="n"/>
      <c r="N26" s="7">
        <f>IF($D26="","",M26*X26/100)</f>
        <v/>
      </c>
      <c r="O26" s="7" t="n"/>
      <c r="U26" s="7" t="n"/>
      <c r="V26" s="7" t="n"/>
      <c r="W26" s="7">
        <f>IF($D26="","",V26*AB26/100)</f>
        <v/>
      </c>
      <c r="X26" s="7">
        <f>IF($D26="","",V26-W26)</f>
        <v/>
      </c>
      <c r="Y26" s="7">
        <f>IF($D26="","",X26-N26)</f>
        <v/>
      </c>
      <c r="AB26">
        <f>IF($D26="","",IF($AN26=1,Settings!$C$8,IF($AM26=1,Settings!$C$6,Settings!$C$7))*100)</f>
        <v/>
      </c>
      <c r="AF26" s="7" t="n"/>
      <c r="AI26" s="11" t="n"/>
      <c r="AK26">
        <f>IF($D26="","",IF(COUNTIF($D$2:$D26,$D26)=1,1,0))</f>
        <v/>
      </c>
      <c r="AL26">
        <f>IF($AK26=1,SUMPRODUCT(--($AO$2:$AO$201&lt;$AO26))+1,"")</f>
        <v/>
      </c>
      <c r="AM26">
        <f>IF($D26="","",IF(OR($R26=TRUE(),$R26="TRUE"),1,0))</f>
        <v/>
      </c>
      <c r="AN26">
        <f>IF($D26="","",IF($AA26="Yes",1,0))</f>
        <v/>
      </c>
      <c r="AO26">
        <f>IF($AK26=1,IFERROR(IF(VALUE($D26)&lt;100000000,VALUE($D26),1000000000),IFERROR(IF(VALUE(MID($D26,2,20))&lt;100000000,VALUE(MID($D26,2,20)),1000000000),1000000000))+ROW()/100000,"")</f>
        <v/>
      </c>
    </row>
    <row r="27">
      <c r="F27" s="11" t="n"/>
      <c r="N27" s="7">
        <f>IF($D27="","",M27*X27/100)</f>
        <v/>
      </c>
      <c r="O27" s="7" t="n"/>
      <c r="U27" s="7" t="n"/>
      <c r="V27" s="7" t="n"/>
      <c r="W27" s="7">
        <f>IF($D27="","",V27*AB27/100)</f>
        <v/>
      </c>
      <c r="X27" s="7">
        <f>IF($D27="","",V27-W27)</f>
        <v/>
      </c>
      <c r="Y27" s="7">
        <f>IF($D27="","",X27-N27)</f>
        <v/>
      </c>
      <c r="AB27">
        <f>IF($D27="","",IF($AN27=1,Settings!$C$8,IF($AM27=1,Settings!$C$6,Settings!$C$7))*100)</f>
        <v/>
      </c>
      <c r="AF27" s="7" t="n"/>
      <c r="AI27" s="11" t="n"/>
      <c r="AK27">
        <f>IF($D27="","",IF(COUNTIF($D$2:$D27,$D27)=1,1,0))</f>
        <v/>
      </c>
      <c r="AL27">
        <f>IF($AK27=1,SUMPRODUCT(--($AO$2:$AO$201&lt;$AO27))+1,"")</f>
        <v/>
      </c>
      <c r="AM27">
        <f>IF($D27="","",IF(OR($R27=TRUE(),$R27="TRUE"),1,0))</f>
        <v/>
      </c>
      <c r="AN27">
        <f>IF($D27="","",IF($AA27="Yes",1,0))</f>
        <v/>
      </c>
      <c r="AO27">
        <f>IF($AK27=1,IFERROR(IF(VALUE($D27)&lt;100000000,VALUE($D27),1000000000),IFERROR(IF(VALUE(MID($D27,2,20))&lt;100000000,VALUE(MID($D27,2,20)),1000000000),1000000000))+ROW()/100000,"")</f>
        <v/>
      </c>
    </row>
    <row r="28">
      <c r="F28" s="11" t="n"/>
      <c r="N28" s="7">
        <f>IF($D28="","",M28*X28/100)</f>
        <v/>
      </c>
      <c r="O28" s="7" t="n"/>
      <c r="U28" s="7" t="n"/>
      <c r="V28" s="7" t="n"/>
      <c r="W28" s="7">
        <f>IF($D28="","",V28*AB28/100)</f>
        <v/>
      </c>
      <c r="X28" s="7">
        <f>IF($D28="","",V28-W28)</f>
        <v/>
      </c>
      <c r="Y28" s="7">
        <f>IF($D28="","",X28-N28)</f>
        <v/>
      </c>
      <c r="AB28">
        <f>IF($D28="","",IF($AN28=1,Settings!$C$8,IF($AM28=1,Settings!$C$6,Settings!$C$7))*100)</f>
        <v/>
      </c>
      <c r="AF28" s="7" t="n"/>
      <c r="AI28" s="11" t="n"/>
      <c r="AK28">
        <f>IF($D28="","",IF(COUNTIF($D$2:$D28,$D28)=1,1,0))</f>
        <v/>
      </c>
      <c r="AL28">
        <f>IF($AK28=1,SUMPRODUCT(--($AO$2:$AO$201&lt;$AO28))+1,"")</f>
        <v/>
      </c>
      <c r="AM28">
        <f>IF($D28="","",IF(OR($R28=TRUE(),$R28="TRUE"),1,0))</f>
        <v/>
      </c>
      <c r="AN28">
        <f>IF($D28="","",IF($AA28="Yes",1,0))</f>
        <v/>
      </c>
      <c r="AO28">
        <f>IF($AK28=1,IFERROR(IF(VALUE($D28)&lt;100000000,VALUE($D28),1000000000),IFERROR(IF(VALUE(MID($D28,2,20))&lt;100000000,VALUE(MID($D28,2,20)),1000000000),1000000000))+ROW()/100000,"")</f>
        <v/>
      </c>
    </row>
    <row r="29">
      <c r="F29" s="11" t="n"/>
      <c r="N29" s="7">
        <f>IF($D29="","",M29*X29/100)</f>
        <v/>
      </c>
      <c r="O29" s="7" t="n"/>
      <c r="U29" s="7" t="n"/>
      <c r="V29" s="7" t="n"/>
      <c r="W29" s="7">
        <f>IF($D29="","",V29*AB29/100)</f>
        <v/>
      </c>
      <c r="X29" s="7">
        <f>IF($D29="","",V29-W29)</f>
        <v/>
      </c>
      <c r="Y29" s="7">
        <f>IF($D29="","",X29-N29)</f>
        <v/>
      </c>
      <c r="AB29">
        <f>IF($D29="","",IF($AN29=1,Settings!$C$8,IF($AM29=1,Settings!$C$6,Settings!$C$7))*100)</f>
        <v/>
      </c>
      <c r="AF29" s="7" t="n"/>
      <c r="AI29" s="11" t="n"/>
      <c r="AK29">
        <f>IF($D29="","",IF(COUNTIF($D$2:$D29,$D29)=1,1,0))</f>
        <v/>
      </c>
      <c r="AL29">
        <f>IF($AK29=1,SUMPRODUCT(--($AO$2:$AO$201&lt;$AO29))+1,"")</f>
        <v/>
      </c>
      <c r="AM29">
        <f>IF($D29="","",IF(OR($R29=TRUE(),$R29="TRUE"),1,0))</f>
        <v/>
      </c>
      <c r="AN29">
        <f>IF($D29="","",IF($AA29="Yes",1,0))</f>
        <v/>
      </c>
      <c r="AO29">
        <f>IF($AK29=1,IFERROR(IF(VALUE($D29)&lt;100000000,VALUE($D29),1000000000),IFERROR(IF(VALUE(MID($D29,2,20))&lt;100000000,VALUE(MID($D29,2,20)),1000000000),1000000000))+ROW()/100000,"")</f>
        <v/>
      </c>
    </row>
    <row r="30">
      <c r="F30" s="11" t="n"/>
      <c r="N30" s="7">
        <f>IF($D30="","",M30*X30/100)</f>
        <v/>
      </c>
      <c r="O30" s="7" t="n"/>
      <c r="U30" s="7" t="n"/>
      <c r="V30" s="7" t="n"/>
      <c r="W30" s="7">
        <f>IF($D30="","",V30*AB30/100)</f>
        <v/>
      </c>
      <c r="X30" s="7">
        <f>IF($D30="","",V30-W30)</f>
        <v/>
      </c>
      <c r="Y30" s="7">
        <f>IF($D30="","",X30-N30)</f>
        <v/>
      </c>
      <c r="AB30">
        <f>IF($D30="","",IF($AN30=1,Settings!$C$8,IF($AM30=1,Settings!$C$6,Settings!$C$7))*100)</f>
        <v/>
      </c>
      <c r="AF30" s="7" t="n"/>
      <c r="AI30" s="11" t="n"/>
      <c r="AK30">
        <f>IF($D30="","",IF(COUNTIF($D$2:$D30,$D30)=1,1,0))</f>
        <v/>
      </c>
      <c r="AL30">
        <f>IF($AK30=1,SUMPRODUCT(--($AO$2:$AO$201&lt;$AO30))+1,"")</f>
        <v/>
      </c>
      <c r="AM30">
        <f>IF($D30="","",IF(OR($R30=TRUE(),$R30="TRUE"),1,0))</f>
        <v/>
      </c>
      <c r="AN30">
        <f>IF($D30="","",IF($AA30="Yes",1,0))</f>
        <v/>
      </c>
      <c r="AO30">
        <f>IF($AK30=1,IFERROR(IF(VALUE($D30)&lt;100000000,VALUE($D30),1000000000),IFERROR(IF(VALUE(MID($D30,2,20))&lt;100000000,VALUE(MID($D30,2,20)),1000000000),1000000000))+ROW()/100000,"")</f>
        <v/>
      </c>
    </row>
    <row r="31">
      <c r="F31" s="11" t="n"/>
      <c r="N31" s="7">
        <f>IF($D31="","",M31*X31/100)</f>
        <v/>
      </c>
      <c r="O31" s="7" t="n"/>
      <c r="U31" s="7" t="n"/>
      <c r="V31" s="7" t="n"/>
      <c r="W31" s="7">
        <f>IF($D31="","",V31*AB31/100)</f>
        <v/>
      </c>
      <c r="X31" s="7">
        <f>IF($D31="","",V31-W31)</f>
        <v/>
      </c>
      <c r="Y31" s="7">
        <f>IF($D31="","",X31-N31)</f>
        <v/>
      </c>
      <c r="AB31">
        <f>IF($D31="","",IF($AN31=1,Settings!$C$8,IF($AM31=1,Settings!$C$6,Settings!$C$7))*100)</f>
        <v/>
      </c>
      <c r="AF31" s="7" t="n"/>
      <c r="AI31" s="11" t="n"/>
      <c r="AK31">
        <f>IF($D31="","",IF(COUNTIF($D$2:$D31,$D31)=1,1,0))</f>
        <v/>
      </c>
      <c r="AL31">
        <f>IF($AK31=1,SUMPRODUCT(--($AO$2:$AO$201&lt;$AO31))+1,"")</f>
        <v/>
      </c>
      <c r="AM31">
        <f>IF($D31="","",IF(OR($R31=TRUE(),$R31="TRUE"),1,0))</f>
        <v/>
      </c>
      <c r="AN31">
        <f>IF($D31="","",IF($AA31="Yes",1,0))</f>
        <v/>
      </c>
      <c r="AO31">
        <f>IF($AK31=1,IFERROR(IF(VALUE($D31)&lt;100000000,VALUE($D31),1000000000),IFERROR(IF(VALUE(MID($D31,2,20))&lt;100000000,VALUE(MID($D31,2,20)),1000000000),1000000000))+ROW()/100000,"")</f>
        <v/>
      </c>
    </row>
    <row r="32">
      <c r="F32" s="11" t="n"/>
      <c r="N32" s="7">
        <f>IF($D32="","",M32*X32/100)</f>
        <v/>
      </c>
      <c r="O32" s="7" t="n"/>
      <c r="U32" s="7" t="n"/>
      <c r="V32" s="7" t="n"/>
      <c r="W32" s="7">
        <f>IF($D32="","",V32*AB32/100)</f>
        <v/>
      </c>
      <c r="X32" s="7">
        <f>IF($D32="","",V32-W32)</f>
        <v/>
      </c>
      <c r="Y32" s="7">
        <f>IF($D32="","",X32-N32)</f>
        <v/>
      </c>
      <c r="AB32">
        <f>IF($D32="","",IF($AN32=1,Settings!$C$8,IF($AM32=1,Settings!$C$6,Settings!$C$7))*100)</f>
        <v/>
      </c>
      <c r="AF32" s="7" t="n"/>
      <c r="AI32" s="11" t="n"/>
      <c r="AK32">
        <f>IF($D32="","",IF(COUNTIF($D$2:$D32,$D32)=1,1,0))</f>
        <v/>
      </c>
      <c r="AL32">
        <f>IF($AK32=1,SUMPRODUCT(--($AO$2:$AO$201&lt;$AO32))+1,"")</f>
        <v/>
      </c>
      <c r="AM32">
        <f>IF($D32="","",IF(OR($R32=TRUE(),$R32="TRUE"),1,0))</f>
        <v/>
      </c>
      <c r="AN32">
        <f>IF($D32="","",IF($AA32="Yes",1,0))</f>
        <v/>
      </c>
      <c r="AO32">
        <f>IF($AK32=1,IFERROR(IF(VALUE($D32)&lt;100000000,VALUE($D32),1000000000),IFERROR(IF(VALUE(MID($D32,2,20))&lt;100000000,VALUE(MID($D32,2,20)),1000000000),1000000000))+ROW()/100000,"")</f>
        <v/>
      </c>
    </row>
    <row r="33">
      <c r="F33" s="11" t="n"/>
      <c r="N33" s="7">
        <f>IF($D33="","",M33*X33/100)</f>
        <v/>
      </c>
      <c r="O33" s="7" t="n"/>
      <c r="U33" s="7" t="n"/>
      <c r="V33" s="7" t="n"/>
      <c r="W33" s="7">
        <f>IF($D33="","",V33*AB33/100)</f>
        <v/>
      </c>
      <c r="X33" s="7">
        <f>IF($D33="","",V33-W33)</f>
        <v/>
      </c>
      <c r="Y33" s="7">
        <f>IF($D33="","",X33-N33)</f>
        <v/>
      </c>
      <c r="AB33">
        <f>IF($D33="","",IF($AN33=1,Settings!$C$8,IF($AM33=1,Settings!$C$6,Settings!$C$7))*100)</f>
        <v/>
      </c>
      <c r="AF33" s="7" t="n"/>
      <c r="AI33" s="11" t="n"/>
      <c r="AK33">
        <f>IF($D33="","",IF(COUNTIF($D$2:$D33,$D33)=1,1,0))</f>
        <v/>
      </c>
      <c r="AL33">
        <f>IF($AK33=1,SUMPRODUCT(--($AO$2:$AO$201&lt;$AO33))+1,"")</f>
        <v/>
      </c>
      <c r="AM33">
        <f>IF($D33="","",IF(OR($R33=TRUE(),$R33="TRUE"),1,0))</f>
        <v/>
      </c>
      <c r="AN33">
        <f>IF($D33="","",IF($AA33="Yes",1,0))</f>
        <v/>
      </c>
      <c r="AO33">
        <f>IF($AK33=1,IFERROR(IF(VALUE($D33)&lt;100000000,VALUE($D33),1000000000),IFERROR(IF(VALUE(MID($D33,2,20))&lt;100000000,VALUE(MID($D33,2,20)),1000000000),1000000000))+ROW()/100000,"")</f>
        <v/>
      </c>
    </row>
    <row r="34">
      <c r="F34" s="11" t="n"/>
      <c r="N34" s="7">
        <f>IF($D34="","",M34*X34/100)</f>
        <v/>
      </c>
      <c r="O34" s="7" t="n"/>
      <c r="U34" s="7" t="n"/>
      <c r="V34" s="7" t="n"/>
      <c r="W34" s="7">
        <f>IF($D34="","",V34*AB34/100)</f>
        <v/>
      </c>
      <c r="X34" s="7">
        <f>IF($D34="","",V34-W34)</f>
        <v/>
      </c>
      <c r="Y34" s="7">
        <f>IF($D34="","",X34-N34)</f>
        <v/>
      </c>
      <c r="AB34">
        <f>IF($D34="","",IF($AN34=1,Settings!$C$8,IF($AM34=1,Settings!$C$6,Settings!$C$7))*100)</f>
        <v/>
      </c>
      <c r="AF34" s="7" t="n"/>
      <c r="AI34" s="11" t="n"/>
      <c r="AK34">
        <f>IF($D34="","",IF(COUNTIF($D$2:$D34,$D34)=1,1,0))</f>
        <v/>
      </c>
      <c r="AL34">
        <f>IF($AK34=1,SUMPRODUCT(--($AO$2:$AO$201&lt;$AO34))+1,"")</f>
        <v/>
      </c>
      <c r="AM34">
        <f>IF($D34="","",IF(OR($R34=TRUE(),$R34="TRUE"),1,0))</f>
        <v/>
      </c>
      <c r="AN34">
        <f>IF($D34="","",IF($AA34="Yes",1,0))</f>
        <v/>
      </c>
      <c r="AO34">
        <f>IF($AK34=1,IFERROR(IF(VALUE($D34)&lt;100000000,VALUE($D34),1000000000),IFERROR(IF(VALUE(MID($D34,2,20))&lt;100000000,VALUE(MID($D34,2,20)),1000000000),1000000000))+ROW()/100000,"")</f>
        <v/>
      </c>
    </row>
    <row r="35">
      <c r="F35" s="11" t="n"/>
      <c r="N35" s="7">
        <f>IF($D35="","",M35*X35/100)</f>
        <v/>
      </c>
      <c r="O35" s="7" t="n"/>
      <c r="U35" s="7" t="n"/>
      <c r="V35" s="7" t="n"/>
      <c r="W35" s="7">
        <f>IF($D35="","",V35*AB35/100)</f>
        <v/>
      </c>
      <c r="X35" s="7">
        <f>IF($D35="","",V35-W35)</f>
        <v/>
      </c>
      <c r="Y35" s="7">
        <f>IF($D35="","",X35-N35)</f>
        <v/>
      </c>
      <c r="AB35">
        <f>IF($D35="","",IF($AN35=1,Settings!$C$8,IF($AM35=1,Settings!$C$6,Settings!$C$7))*100)</f>
        <v/>
      </c>
      <c r="AF35" s="7" t="n"/>
      <c r="AI35" s="11" t="n"/>
      <c r="AK35">
        <f>IF($D35="","",IF(COUNTIF($D$2:$D35,$D35)=1,1,0))</f>
        <v/>
      </c>
      <c r="AL35">
        <f>IF($AK35=1,SUMPRODUCT(--($AO$2:$AO$201&lt;$AO35))+1,"")</f>
        <v/>
      </c>
      <c r="AM35">
        <f>IF($D35="","",IF(OR($R35=TRUE(),$R35="TRUE"),1,0))</f>
        <v/>
      </c>
      <c r="AN35">
        <f>IF($D35="","",IF($AA35="Yes",1,0))</f>
        <v/>
      </c>
      <c r="AO35">
        <f>IF($AK35=1,IFERROR(IF(VALUE($D35)&lt;100000000,VALUE($D35),1000000000),IFERROR(IF(VALUE(MID($D35,2,20))&lt;100000000,VALUE(MID($D35,2,20)),1000000000),1000000000))+ROW()/100000,"")</f>
        <v/>
      </c>
    </row>
    <row r="36">
      <c r="F36" s="11" t="n"/>
      <c r="N36" s="7">
        <f>IF($D36="","",M36*X36/100)</f>
        <v/>
      </c>
      <c r="O36" s="7" t="n"/>
      <c r="U36" s="7" t="n"/>
      <c r="V36" s="7" t="n"/>
      <c r="W36" s="7">
        <f>IF($D36="","",V36*AB36/100)</f>
        <v/>
      </c>
      <c r="X36" s="7">
        <f>IF($D36="","",V36-W36)</f>
        <v/>
      </c>
      <c r="Y36" s="7">
        <f>IF($D36="","",X36-N36)</f>
        <v/>
      </c>
      <c r="AB36">
        <f>IF($D36="","",IF($AN36=1,Settings!$C$8,IF($AM36=1,Settings!$C$6,Settings!$C$7))*100)</f>
        <v/>
      </c>
      <c r="AF36" s="7" t="n"/>
      <c r="AI36" s="11" t="n"/>
      <c r="AK36">
        <f>IF($D36="","",IF(COUNTIF($D$2:$D36,$D36)=1,1,0))</f>
        <v/>
      </c>
      <c r="AL36">
        <f>IF($AK36=1,SUMPRODUCT(--($AO$2:$AO$201&lt;$AO36))+1,"")</f>
        <v/>
      </c>
      <c r="AM36">
        <f>IF($D36="","",IF(OR($R36=TRUE(),$R36="TRUE"),1,0))</f>
        <v/>
      </c>
      <c r="AN36">
        <f>IF($D36="","",IF($AA36="Yes",1,0))</f>
        <v/>
      </c>
      <c r="AO36">
        <f>IF($AK36=1,IFERROR(IF(VALUE($D36)&lt;100000000,VALUE($D36),1000000000),IFERROR(IF(VALUE(MID($D36,2,20))&lt;100000000,VALUE(MID($D36,2,20)),1000000000),1000000000))+ROW()/100000,"")</f>
        <v/>
      </c>
    </row>
    <row r="37">
      <c r="F37" s="11" t="n"/>
      <c r="N37" s="7">
        <f>IF($D37="","",M37*X37/100)</f>
        <v/>
      </c>
      <c r="O37" s="7" t="n"/>
      <c r="U37" s="7" t="n"/>
      <c r="V37" s="7" t="n"/>
      <c r="W37" s="7">
        <f>IF($D37="","",V37*AB37/100)</f>
        <v/>
      </c>
      <c r="X37" s="7">
        <f>IF($D37="","",V37-W37)</f>
        <v/>
      </c>
      <c r="Y37" s="7">
        <f>IF($D37="","",X37-N37)</f>
        <v/>
      </c>
      <c r="AB37">
        <f>IF($D37="","",IF($AN37=1,Settings!$C$8,IF($AM37=1,Settings!$C$6,Settings!$C$7))*100)</f>
        <v/>
      </c>
      <c r="AF37" s="7" t="n"/>
      <c r="AI37" s="11" t="n"/>
      <c r="AK37">
        <f>IF($D37="","",IF(COUNTIF($D$2:$D37,$D37)=1,1,0))</f>
        <v/>
      </c>
      <c r="AL37">
        <f>IF($AK37=1,SUMPRODUCT(--($AO$2:$AO$201&lt;$AO37))+1,"")</f>
        <v/>
      </c>
      <c r="AM37">
        <f>IF($D37="","",IF(OR($R37=TRUE(),$R37="TRUE"),1,0))</f>
        <v/>
      </c>
      <c r="AN37">
        <f>IF($D37="","",IF($AA37="Yes",1,0))</f>
        <v/>
      </c>
      <c r="AO37">
        <f>IF($AK37=1,IFERROR(IF(VALUE($D37)&lt;100000000,VALUE($D37),1000000000),IFERROR(IF(VALUE(MID($D37,2,20))&lt;100000000,VALUE(MID($D37,2,20)),1000000000),1000000000))+ROW()/100000,"")</f>
        <v/>
      </c>
    </row>
    <row r="38">
      <c r="F38" s="11" t="n"/>
      <c r="N38" s="7">
        <f>IF($D38="","",M38*X38/100)</f>
        <v/>
      </c>
      <c r="O38" s="7" t="n"/>
      <c r="U38" s="7" t="n"/>
      <c r="V38" s="7" t="n"/>
      <c r="W38" s="7">
        <f>IF($D38="","",V38*AB38/100)</f>
        <v/>
      </c>
      <c r="X38" s="7">
        <f>IF($D38="","",V38-W38)</f>
        <v/>
      </c>
      <c r="Y38" s="7">
        <f>IF($D38="","",X38-N38)</f>
        <v/>
      </c>
      <c r="AB38">
        <f>IF($D38="","",IF($AN38=1,Settings!$C$8,IF($AM38=1,Settings!$C$6,Settings!$C$7))*100)</f>
        <v/>
      </c>
      <c r="AF38" s="7" t="n"/>
      <c r="AI38" s="11" t="n"/>
      <c r="AK38">
        <f>IF($D38="","",IF(COUNTIF($D$2:$D38,$D38)=1,1,0))</f>
        <v/>
      </c>
      <c r="AL38">
        <f>IF($AK38=1,SUMPRODUCT(--($AO$2:$AO$201&lt;$AO38))+1,"")</f>
        <v/>
      </c>
      <c r="AM38">
        <f>IF($D38="","",IF(OR($R38=TRUE(),$R38="TRUE"),1,0))</f>
        <v/>
      </c>
      <c r="AN38">
        <f>IF($D38="","",IF($AA38="Yes",1,0))</f>
        <v/>
      </c>
      <c r="AO38">
        <f>IF($AK38=1,IFERROR(IF(VALUE($D38)&lt;100000000,VALUE($D38),1000000000),IFERROR(IF(VALUE(MID($D38,2,20))&lt;100000000,VALUE(MID($D38,2,20)),1000000000),1000000000))+ROW()/100000,"")</f>
        <v/>
      </c>
    </row>
    <row r="39">
      <c r="F39" s="11" t="n"/>
      <c r="N39" s="7">
        <f>IF($D39="","",M39*X39/100)</f>
        <v/>
      </c>
      <c r="O39" s="7" t="n"/>
      <c r="U39" s="7" t="n"/>
      <c r="V39" s="7" t="n"/>
      <c r="W39" s="7">
        <f>IF($D39="","",V39*AB39/100)</f>
        <v/>
      </c>
      <c r="X39" s="7">
        <f>IF($D39="","",V39-W39)</f>
        <v/>
      </c>
      <c r="Y39" s="7">
        <f>IF($D39="","",X39-N39)</f>
        <v/>
      </c>
      <c r="AB39">
        <f>IF($D39="","",IF($AN39=1,Settings!$C$8,IF($AM39=1,Settings!$C$6,Settings!$C$7))*100)</f>
        <v/>
      </c>
      <c r="AF39" s="7" t="n"/>
      <c r="AI39" s="11" t="n"/>
      <c r="AK39">
        <f>IF($D39="","",IF(COUNTIF($D$2:$D39,$D39)=1,1,0))</f>
        <v/>
      </c>
      <c r="AL39">
        <f>IF($AK39=1,SUMPRODUCT(--($AO$2:$AO$201&lt;$AO39))+1,"")</f>
        <v/>
      </c>
      <c r="AM39">
        <f>IF($D39="","",IF(OR($R39=TRUE(),$R39="TRUE"),1,0))</f>
        <v/>
      </c>
      <c r="AN39">
        <f>IF($D39="","",IF($AA39="Yes",1,0))</f>
        <v/>
      </c>
      <c r="AO39">
        <f>IF($AK39=1,IFERROR(IF(VALUE($D39)&lt;100000000,VALUE($D39),1000000000),IFERROR(IF(VALUE(MID($D39,2,20))&lt;100000000,VALUE(MID($D39,2,20)),1000000000),1000000000))+ROW()/100000,"")</f>
        <v/>
      </c>
    </row>
    <row r="40">
      <c r="F40" s="11" t="n"/>
      <c r="N40" s="7">
        <f>IF($D40="","",M40*X40/100)</f>
        <v/>
      </c>
      <c r="O40" s="7" t="n"/>
      <c r="U40" s="7" t="n"/>
      <c r="V40" s="7" t="n"/>
      <c r="W40" s="7">
        <f>IF($D40="","",V40*AB40/100)</f>
        <v/>
      </c>
      <c r="X40" s="7">
        <f>IF($D40="","",V40-W40)</f>
        <v/>
      </c>
      <c r="Y40" s="7">
        <f>IF($D40="","",X40-N40)</f>
        <v/>
      </c>
      <c r="AB40">
        <f>IF($D40="","",IF($AN40=1,Settings!$C$8,IF($AM40=1,Settings!$C$6,Settings!$C$7))*100)</f>
        <v/>
      </c>
      <c r="AF40" s="7" t="n"/>
      <c r="AI40" s="11" t="n"/>
      <c r="AK40">
        <f>IF($D40="","",IF(COUNTIF($D$2:$D40,$D40)=1,1,0))</f>
        <v/>
      </c>
      <c r="AL40">
        <f>IF($AK40=1,SUMPRODUCT(--($AO$2:$AO$201&lt;$AO40))+1,"")</f>
        <v/>
      </c>
      <c r="AM40">
        <f>IF($D40="","",IF(OR($R40=TRUE(),$R40="TRUE"),1,0))</f>
        <v/>
      </c>
      <c r="AN40">
        <f>IF($D40="","",IF($AA40="Yes",1,0))</f>
        <v/>
      </c>
      <c r="AO40">
        <f>IF($AK40=1,IFERROR(IF(VALUE($D40)&lt;100000000,VALUE($D40),1000000000),IFERROR(IF(VALUE(MID($D40,2,20))&lt;100000000,VALUE(MID($D40,2,20)),1000000000),1000000000))+ROW()/100000,"")</f>
        <v/>
      </c>
    </row>
    <row r="41">
      <c r="F41" s="11" t="n"/>
      <c r="N41" s="7">
        <f>IF($D41="","",M41*X41/100)</f>
        <v/>
      </c>
      <c r="O41" s="7" t="n"/>
      <c r="U41" s="7" t="n"/>
      <c r="V41" s="7" t="n"/>
      <c r="W41" s="7">
        <f>IF($D41="","",V41*AB41/100)</f>
        <v/>
      </c>
      <c r="X41" s="7">
        <f>IF($D41="","",V41-W41)</f>
        <v/>
      </c>
      <c r="Y41" s="7">
        <f>IF($D41="","",X41-N41)</f>
        <v/>
      </c>
      <c r="AB41">
        <f>IF($D41="","",IF($AN41=1,Settings!$C$8,IF($AM41=1,Settings!$C$6,Settings!$C$7))*100)</f>
        <v/>
      </c>
      <c r="AF41" s="7" t="n"/>
      <c r="AI41" s="11" t="n"/>
      <c r="AK41">
        <f>IF($D41="","",IF(COUNTIF($D$2:$D41,$D41)=1,1,0))</f>
        <v/>
      </c>
      <c r="AL41">
        <f>IF($AK41=1,SUMPRODUCT(--($AO$2:$AO$201&lt;$AO41))+1,"")</f>
        <v/>
      </c>
      <c r="AM41">
        <f>IF($D41="","",IF(OR($R41=TRUE(),$R41="TRUE"),1,0))</f>
        <v/>
      </c>
      <c r="AN41">
        <f>IF($D41="","",IF($AA41="Yes",1,0))</f>
        <v/>
      </c>
      <c r="AO41">
        <f>IF($AK41=1,IFERROR(IF(VALUE($D41)&lt;100000000,VALUE($D41),1000000000),IFERROR(IF(VALUE(MID($D41,2,20))&lt;100000000,VALUE(MID($D41,2,20)),1000000000),1000000000))+ROW()/100000,"")</f>
        <v/>
      </c>
    </row>
    <row r="42">
      <c r="F42" s="11" t="n"/>
      <c r="N42" s="7">
        <f>IF($D42="","",M42*X42/100)</f>
        <v/>
      </c>
      <c r="O42" s="7" t="n"/>
      <c r="U42" s="7" t="n"/>
      <c r="V42" s="7" t="n"/>
      <c r="W42" s="7">
        <f>IF($D42="","",V42*AB42/100)</f>
        <v/>
      </c>
      <c r="X42" s="7">
        <f>IF($D42="","",V42-W42)</f>
        <v/>
      </c>
      <c r="Y42" s="7">
        <f>IF($D42="","",X42-N42)</f>
        <v/>
      </c>
      <c r="AB42">
        <f>IF($D42="","",IF($AN42=1,Settings!$C$8,IF($AM42=1,Settings!$C$6,Settings!$C$7))*100)</f>
        <v/>
      </c>
      <c r="AF42" s="7" t="n"/>
      <c r="AI42" s="11" t="n"/>
      <c r="AK42">
        <f>IF($D42="","",IF(COUNTIF($D$2:$D42,$D42)=1,1,0))</f>
        <v/>
      </c>
      <c r="AL42">
        <f>IF($AK42=1,SUMPRODUCT(--($AO$2:$AO$201&lt;$AO42))+1,"")</f>
        <v/>
      </c>
      <c r="AM42">
        <f>IF($D42="","",IF(OR($R42=TRUE(),$R42="TRUE"),1,0))</f>
        <v/>
      </c>
      <c r="AN42">
        <f>IF($D42="","",IF($AA42="Yes",1,0))</f>
        <v/>
      </c>
      <c r="AO42">
        <f>IF($AK42=1,IFERROR(IF(VALUE($D42)&lt;100000000,VALUE($D42),1000000000),IFERROR(IF(VALUE(MID($D42,2,20))&lt;100000000,VALUE(MID($D42,2,20)),1000000000),1000000000))+ROW()/100000,"")</f>
        <v/>
      </c>
    </row>
    <row r="43">
      <c r="F43" s="11" t="n"/>
      <c r="N43" s="7">
        <f>IF($D43="","",M43*X43/100)</f>
        <v/>
      </c>
      <c r="O43" s="7" t="n"/>
      <c r="U43" s="7" t="n"/>
      <c r="V43" s="7" t="n"/>
      <c r="W43" s="7">
        <f>IF($D43="","",V43*AB43/100)</f>
        <v/>
      </c>
      <c r="X43" s="7">
        <f>IF($D43="","",V43-W43)</f>
        <v/>
      </c>
      <c r="Y43" s="7">
        <f>IF($D43="","",X43-N43)</f>
        <v/>
      </c>
      <c r="AB43">
        <f>IF($D43="","",IF($AN43=1,Settings!$C$8,IF($AM43=1,Settings!$C$6,Settings!$C$7))*100)</f>
        <v/>
      </c>
      <c r="AF43" s="7" t="n"/>
      <c r="AI43" s="11" t="n"/>
      <c r="AK43">
        <f>IF($D43="","",IF(COUNTIF($D$2:$D43,$D43)=1,1,0))</f>
        <v/>
      </c>
      <c r="AL43">
        <f>IF($AK43=1,SUMPRODUCT(--($AO$2:$AO$201&lt;$AO43))+1,"")</f>
        <v/>
      </c>
      <c r="AM43">
        <f>IF($D43="","",IF(OR($R43=TRUE(),$R43="TRUE"),1,0))</f>
        <v/>
      </c>
      <c r="AN43">
        <f>IF($D43="","",IF($AA43="Yes",1,0))</f>
        <v/>
      </c>
      <c r="AO43">
        <f>IF($AK43=1,IFERROR(IF(VALUE($D43)&lt;100000000,VALUE($D43),1000000000),IFERROR(IF(VALUE(MID($D43,2,20))&lt;100000000,VALUE(MID($D43,2,20)),1000000000),1000000000))+ROW()/100000,"")</f>
        <v/>
      </c>
    </row>
    <row r="44">
      <c r="F44" s="11" t="n"/>
      <c r="N44" s="7">
        <f>IF($D44="","",M44*X44/100)</f>
        <v/>
      </c>
      <c r="O44" s="7" t="n"/>
      <c r="U44" s="7" t="n"/>
      <c r="V44" s="7" t="n"/>
      <c r="W44" s="7">
        <f>IF($D44="","",V44*AB44/100)</f>
        <v/>
      </c>
      <c r="X44" s="7">
        <f>IF($D44="","",V44-W44)</f>
        <v/>
      </c>
      <c r="Y44" s="7">
        <f>IF($D44="","",X44-N44)</f>
        <v/>
      </c>
      <c r="AB44">
        <f>IF($D44="","",IF($AN44=1,Settings!$C$8,IF($AM44=1,Settings!$C$6,Settings!$C$7))*100)</f>
        <v/>
      </c>
      <c r="AF44" s="7" t="n"/>
      <c r="AI44" s="11" t="n"/>
      <c r="AK44">
        <f>IF($D44="","",IF(COUNTIF($D$2:$D44,$D44)=1,1,0))</f>
        <v/>
      </c>
      <c r="AL44">
        <f>IF($AK44=1,SUMPRODUCT(--($AO$2:$AO$201&lt;$AO44))+1,"")</f>
        <v/>
      </c>
      <c r="AM44">
        <f>IF($D44="","",IF(OR($R44=TRUE(),$R44="TRUE"),1,0))</f>
        <v/>
      </c>
      <c r="AN44">
        <f>IF($D44="","",IF($AA44="Yes",1,0))</f>
        <v/>
      </c>
      <c r="AO44">
        <f>IF($AK44=1,IFERROR(IF(VALUE($D44)&lt;100000000,VALUE($D44),1000000000),IFERROR(IF(VALUE(MID($D44,2,20))&lt;100000000,VALUE(MID($D44,2,20)),1000000000),1000000000))+ROW()/100000,"")</f>
        <v/>
      </c>
    </row>
    <row r="45">
      <c r="F45" s="11" t="n"/>
      <c r="N45" s="7">
        <f>IF($D45="","",M45*X45/100)</f>
        <v/>
      </c>
      <c r="O45" s="7" t="n"/>
      <c r="U45" s="7" t="n"/>
      <c r="V45" s="7" t="n"/>
      <c r="W45" s="7">
        <f>IF($D45="","",V45*AB45/100)</f>
        <v/>
      </c>
      <c r="X45" s="7">
        <f>IF($D45="","",V45-W45)</f>
        <v/>
      </c>
      <c r="Y45" s="7">
        <f>IF($D45="","",X45-N45)</f>
        <v/>
      </c>
      <c r="AB45">
        <f>IF($D45="","",IF($AN45=1,Settings!$C$8,IF($AM45=1,Settings!$C$6,Settings!$C$7))*100)</f>
        <v/>
      </c>
      <c r="AF45" s="7" t="n"/>
      <c r="AI45" s="11" t="n"/>
      <c r="AK45">
        <f>IF($D45="","",IF(COUNTIF($D$2:$D45,$D45)=1,1,0))</f>
        <v/>
      </c>
      <c r="AL45">
        <f>IF($AK45=1,SUMPRODUCT(--($AO$2:$AO$201&lt;$AO45))+1,"")</f>
        <v/>
      </c>
      <c r="AM45">
        <f>IF($D45="","",IF(OR($R45=TRUE(),$R45="TRUE"),1,0))</f>
        <v/>
      </c>
      <c r="AN45">
        <f>IF($D45="","",IF($AA45="Yes",1,0))</f>
        <v/>
      </c>
      <c r="AO45">
        <f>IF($AK45=1,IFERROR(IF(VALUE($D45)&lt;100000000,VALUE($D45),1000000000),IFERROR(IF(VALUE(MID($D45,2,20))&lt;100000000,VALUE(MID($D45,2,20)),1000000000),1000000000))+ROW()/100000,"")</f>
        <v/>
      </c>
    </row>
    <row r="46">
      <c r="F46" s="11" t="n"/>
      <c r="N46" s="7">
        <f>IF($D46="","",M46*X46/100)</f>
        <v/>
      </c>
      <c r="O46" s="7" t="n"/>
      <c r="U46" s="7" t="n"/>
      <c r="V46" s="7" t="n"/>
      <c r="W46" s="7">
        <f>IF($D46="","",V46*AB46/100)</f>
        <v/>
      </c>
      <c r="X46" s="7">
        <f>IF($D46="","",V46-W46)</f>
        <v/>
      </c>
      <c r="Y46" s="7">
        <f>IF($D46="","",X46-N46)</f>
        <v/>
      </c>
      <c r="AB46">
        <f>IF($D46="","",IF($AN46=1,Settings!$C$8,IF($AM46=1,Settings!$C$6,Settings!$C$7))*100)</f>
        <v/>
      </c>
      <c r="AF46" s="7" t="n"/>
      <c r="AI46" s="11" t="n"/>
      <c r="AK46">
        <f>IF($D46="","",IF(COUNTIF($D$2:$D46,$D46)=1,1,0))</f>
        <v/>
      </c>
      <c r="AL46">
        <f>IF($AK46=1,SUMPRODUCT(--($AO$2:$AO$201&lt;$AO46))+1,"")</f>
        <v/>
      </c>
      <c r="AM46">
        <f>IF($D46="","",IF(OR($R46=TRUE(),$R46="TRUE"),1,0))</f>
        <v/>
      </c>
      <c r="AN46">
        <f>IF($D46="","",IF($AA46="Yes",1,0))</f>
        <v/>
      </c>
      <c r="AO46">
        <f>IF($AK46=1,IFERROR(IF(VALUE($D46)&lt;100000000,VALUE($D46),1000000000),IFERROR(IF(VALUE(MID($D46,2,20))&lt;100000000,VALUE(MID($D46,2,20)),1000000000),1000000000))+ROW()/100000,"")</f>
        <v/>
      </c>
    </row>
    <row r="47">
      <c r="F47" s="11" t="n"/>
      <c r="N47" s="7">
        <f>IF($D47="","",M47*X47/100)</f>
        <v/>
      </c>
      <c r="O47" s="7" t="n"/>
      <c r="U47" s="7" t="n"/>
      <c r="V47" s="7" t="n"/>
      <c r="W47" s="7">
        <f>IF($D47="","",V47*AB47/100)</f>
        <v/>
      </c>
      <c r="X47" s="7">
        <f>IF($D47="","",V47-W47)</f>
        <v/>
      </c>
      <c r="Y47" s="7">
        <f>IF($D47="","",X47-N47)</f>
        <v/>
      </c>
      <c r="AB47">
        <f>IF($D47="","",IF($AN47=1,Settings!$C$8,IF($AM47=1,Settings!$C$6,Settings!$C$7))*100)</f>
        <v/>
      </c>
      <c r="AF47" s="7" t="n"/>
      <c r="AI47" s="11" t="n"/>
      <c r="AK47">
        <f>IF($D47="","",IF(COUNTIF($D$2:$D47,$D47)=1,1,0))</f>
        <v/>
      </c>
      <c r="AL47">
        <f>IF($AK47=1,SUMPRODUCT(--($AO$2:$AO$201&lt;$AO47))+1,"")</f>
        <v/>
      </c>
      <c r="AM47">
        <f>IF($D47="","",IF(OR($R47=TRUE(),$R47="TRUE"),1,0))</f>
        <v/>
      </c>
      <c r="AN47">
        <f>IF($D47="","",IF($AA47="Yes",1,0))</f>
        <v/>
      </c>
      <c r="AO47">
        <f>IF($AK47=1,IFERROR(IF(VALUE($D47)&lt;100000000,VALUE($D47),1000000000),IFERROR(IF(VALUE(MID($D47,2,20))&lt;100000000,VALUE(MID($D47,2,20)),1000000000),1000000000))+ROW()/100000,"")</f>
        <v/>
      </c>
    </row>
    <row r="48">
      <c r="F48" s="11" t="n"/>
      <c r="N48" s="7">
        <f>IF($D48="","",M48*X48/100)</f>
        <v/>
      </c>
      <c r="O48" s="7" t="n"/>
      <c r="U48" s="7" t="n"/>
      <c r="V48" s="7" t="n"/>
      <c r="W48" s="7">
        <f>IF($D48="","",V48*AB48/100)</f>
        <v/>
      </c>
      <c r="X48" s="7">
        <f>IF($D48="","",V48-W48)</f>
        <v/>
      </c>
      <c r="Y48" s="7">
        <f>IF($D48="","",X48-N48)</f>
        <v/>
      </c>
      <c r="AB48">
        <f>IF($D48="","",IF($AN48=1,Settings!$C$8,IF($AM48=1,Settings!$C$6,Settings!$C$7))*100)</f>
        <v/>
      </c>
      <c r="AF48" s="7" t="n"/>
      <c r="AI48" s="11" t="n"/>
      <c r="AK48">
        <f>IF($D48="","",IF(COUNTIF($D$2:$D48,$D48)=1,1,0))</f>
        <v/>
      </c>
      <c r="AL48">
        <f>IF($AK48=1,SUMPRODUCT(--($AO$2:$AO$201&lt;$AO48))+1,"")</f>
        <v/>
      </c>
      <c r="AM48">
        <f>IF($D48="","",IF(OR($R48=TRUE(),$R48="TRUE"),1,0))</f>
        <v/>
      </c>
      <c r="AN48">
        <f>IF($D48="","",IF($AA48="Yes",1,0))</f>
        <v/>
      </c>
      <c r="AO48">
        <f>IF($AK48=1,IFERROR(IF(VALUE($D48)&lt;100000000,VALUE($D48),1000000000),IFERROR(IF(VALUE(MID($D48,2,20))&lt;100000000,VALUE(MID($D48,2,20)),1000000000),1000000000))+ROW()/100000,"")</f>
        <v/>
      </c>
    </row>
    <row r="49">
      <c r="F49" s="11" t="n"/>
      <c r="N49" s="7">
        <f>IF($D49="","",M49*X49/100)</f>
        <v/>
      </c>
      <c r="O49" s="7" t="n"/>
      <c r="U49" s="7" t="n"/>
      <c r="V49" s="7" t="n"/>
      <c r="W49" s="7">
        <f>IF($D49="","",V49*AB49/100)</f>
        <v/>
      </c>
      <c r="X49" s="7">
        <f>IF($D49="","",V49-W49)</f>
        <v/>
      </c>
      <c r="Y49" s="7">
        <f>IF($D49="","",X49-N49)</f>
        <v/>
      </c>
      <c r="AB49">
        <f>IF($D49="","",IF($AN49=1,Settings!$C$8,IF($AM49=1,Settings!$C$6,Settings!$C$7))*100)</f>
        <v/>
      </c>
      <c r="AF49" s="7" t="n"/>
      <c r="AI49" s="11" t="n"/>
      <c r="AK49">
        <f>IF($D49="","",IF(COUNTIF($D$2:$D49,$D49)=1,1,0))</f>
        <v/>
      </c>
      <c r="AL49">
        <f>IF($AK49=1,SUMPRODUCT(--($AO$2:$AO$201&lt;$AO49))+1,"")</f>
        <v/>
      </c>
      <c r="AM49">
        <f>IF($D49="","",IF(OR($R49=TRUE(),$R49="TRUE"),1,0))</f>
        <v/>
      </c>
      <c r="AN49">
        <f>IF($D49="","",IF($AA49="Yes",1,0))</f>
        <v/>
      </c>
      <c r="AO49">
        <f>IF($AK49=1,IFERROR(IF(VALUE($D49)&lt;100000000,VALUE($D49),1000000000),IFERROR(IF(VALUE(MID($D49,2,20))&lt;100000000,VALUE(MID($D49,2,20)),1000000000),1000000000))+ROW()/100000,"")</f>
        <v/>
      </c>
    </row>
    <row r="50">
      <c r="F50" s="11" t="n"/>
      <c r="N50" s="7">
        <f>IF($D50="","",M50*X50/100)</f>
        <v/>
      </c>
      <c r="O50" s="7" t="n"/>
      <c r="U50" s="7" t="n"/>
      <c r="V50" s="7" t="n"/>
      <c r="W50" s="7">
        <f>IF($D50="","",V50*AB50/100)</f>
        <v/>
      </c>
      <c r="X50" s="7">
        <f>IF($D50="","",V50-W50)</f>
        <v/>
      </c>
      <c r="Y50" s="7">
        <f>IF($D50="","",X50-N50)</f>
        <v/>
      </c>
      <c r="AB50">
        <f>IF($D50="","",IF($AN50=1,Settings!$C$8,IF($AM50=1,Settings!$C$6,Settings!$C$7))*100)</f>
        <v/>
      </c>
      <c r="AF50" s="7" t="n"/>
      <c r="AI50" s="11" t="n"/>
      <c r="AK50">
        <f>IF($D50="","",IF(COUNTIF($D$2:$D50,$D50)=1,1,0))</f>
        <v/>
      </c>
      <c r="AL50">
        <f>IF($AK50=1,SUMPRODUCT(--($AO$2:$AO$201&lt;$AO50))+1,"")</f>
        <v/>
      </c>
      <c r="AM50">
        <f>IF($D50="","",IF(OR($R50=TRUE(),$R50="TRUE"),1,0))</f>
        <v/>
      </c>
      <c r="AN50">
        <f>IF($D50="","",IF($AA50="Yes",1,0))</f>
        <v/>
      </c>
      <c r="AO50">
        <f>IF($AK50=1,IFERROR(IF(VALUE($D50)&lt;100000000,VALUE($D50),1000000000),IFERROR(IF(VALUE(MID($D50,2,20))&lt;100000000,VALUE(MID($D50,2,20)),1000000000),1000000000))+ROW()/100000,"")</f>
        <v/>
      </c>
    </row>
    <row r="51">
      <c r="F51" s="11" t="n"/>
      <c r="N51" s="7">
        <f>IF($D51="","",M51*X51/100)</f>
        <v/>
      </c>
      <c r="O51" s="7" t="n"/>
      <c r="U51" s="7" t="n"/>
      <c r="V51" s="7" t="n"/>
      <c r="W51" s="7">
        <f>IF($D51="","",V51*AB51/100)</f>
        <v/>
      </c>
      <c r="X51" s="7">
        <f>IF($D51="","",V51-W51)</f>
        <v/>
      </c>
      <c r="Y51" s="7">
        <f>IF($D51="","",X51-N51)</f>
        <v/>
      </c>
      <c r="AB51">
        <f>IF($D51="","",IF($AN51=1,Settings!$C$8,IF($AM51=1,Settings!$C$6,Settings!$C$7))*100)</f>
        <v/>
      </c>
      <c r="AF51" s="7" t="n"/>
      <c r="AI51" s="11" t="n"/>
      <c r="AK51">
        <f>IF($D51="","",IF(COUNTIF($D$2:$D51,$D51)=1,1,0))</f>
        <v/>
      </c>
      <c r="AL51">
        <f>IF($AK51=1,SUMPRODUCT(--($AO$2:$AO$201&lt;$AO51))+1,"")</f>
        <v/>
      </c>
      <c r="AM51">
        <f>IF($D51="","",IF(OR($R51=TRUE(),$R51="TRUE"),1,0))</f>
        <v/>
      </c>
      <c r="AN51">
        <f>IF($D51="","",IF($AA51="Yes",1,0))</f>
        <v/>
      </c>
      <c r="AO51">
        <f>IF($AK51=1,IFERROR(IF(VALUE($D51)&lt;100000000,VALUE($D51),1000000000),IFERROR(IF(VALUE(MID($D51,2,20))&lt;100000000,VALUE(MID($D51,2,20)),1000000000),1000000000))+ROW()/100000,"")</f>
        <v/>
      </c>
    </row>
    <row r="52">
      <c r="F52" s="11" t="n"/>
      <c r="N52" s="7">
        <f>IF($D52="","",M52*X52/100)</f>
        <v/>
      </c>
      <c r="O52" s="7" t="n"/>
      <c r="U52" s="7" t="n"/>
      <c r="V52" s="7" t="n"/>
      <c r="W52" s="7">
        <f>IF($D52="","",V52*AB52/100)</f>
        <v/>
      </c>
      <c r="X52" s="7">
        <f>IF($D52="","",V52-W52)</f>
        <v/>
      </c>
      <c r="Y52" s="7">
        <f>IF($D52="","",X52-N52)</f>
        <v/>
      </c>
      <c r="AB52">
        <f>IF($D52="","",IF($AN52=1,Settings!$C$8,IF($AM52=1,Settings!$C$6,Settings!$C$7))*100)</f>
        <v/>
      </c>
      <c r="AF52" s="7" t="n"/>
      <c r="AI52" s="11" t="n"/>
      <c r="AK52">
        <f>IF($D52="","",IF(COUNTIF($D$2:$D52,$D52)=1,1,0))</f>
        <v/>
      </c>
      <c r="AL52">
        <f>IF($AK52=1,SUMPRODUCT(--($AO$2:$AO$201&lt;$AO52))+1,"")</f>
        <v/>
      </c>
      <c r="AM52">
        <f>IF($D52="","",IF(OR($R52=TRUE(),$R52="TRUE"),1,0))</f>
        <v/>
      </c>
      <c r="AN52">
        <f>IF($D52="","",IF($AA52="Yes",1,0))</f>
        <v/>
      </c>
      <c r="AO52">
        <f>IF($AK52=1,IFERROR(IF(VALUE($D52)&lt;100000000,VALUE($D52),1000000000),IFERROR(IF(VALUE(MID($D52,2,20))&lt;100000000,VALUE(MID($D52,2,20)),1000000000),1000000000))+ROW()/100000,"")</f>
        <v/>
      </c>
    </row>
    <row r="53">
      <c r="F53" s="11" t="n"/>
      <c r="N53" s="7">
        <f>IF($D53="","",M53*X53/100)</f>
        <v/>
      </c>
      <c r="O53" s="7" t="n"/>
      <c r="U53" s="7" t="n"/>
      <c r="V53" s="7" t="n"/>
      <c r="W53" s="7">
        <f>IF($D53="","",V53*AB53/100)</f>
        <v/>
      </c>
      <c r="X53" s="7">
        <f>IF($D53="","",V53-W53)</f>
        <v/>
      </c>
      <c r="Y53" s="7">
        <f>IF($D53="","",X53-N53)</f>
        <v/>
      </c>
      <c r="AB53">
        <f>IF($D53="","",IF($AN53=1,Settings!$C$8,IF($AM53=1,Settings!$C$6,Settings!$C$7))*100)</f>
        <v/>
      </c>
      <c r="AF53" s="7" t="n"/>
      <c r="AI53" s="11" t="n"/>
      <c r="AK53">
        <f>IF($D53="","",IF(COUNTIF($D$2:$D53,$D53)=1,1,0))</f>
        <v/>
      </c>
      <c r="AL53">
        <f>IF($AK53=1,SUMPRODUCT(--($AO$2:$AO$201&lt;$AO53))+1,"")</f>
        <v/>
      </c>
      <c r="AM53">
        <f>IF($D53="","",IF(OR($R53=TRUE(),$R53="TRUE"),1,0))</f>
        <v/>
      </c>
      <c r="AN53">
        <f>IF($D53="","",IF($AA53="Yes",1,0))</f>
        <v/>
      </c>
      <c r="AO53">
        <f>IF($AK53=1,IFERROR(IF(VALUE($D53)&lt;100000000,VALUE($D53),1000000000),IFERROR(IF(VALUE(MID($D53,2,20))&lt;100000000,VALUE(MID($D53,2,20)),1000000000),1000000000))+ROW()/100000,"")</f>
        <v/>
      </c>
    </row>
    <row r="54">
      <c r="F54" s="11" t="n"/>
      <c r="N54" s="7">
        <f>IF($D54="","",M54*X54/100)</f>
        <v/>
      </c>
      <c r="O54" s="7" t="n"/>
      <c r="U54" s="7" t="n"/>
      <c r="V54" s="7" t="n"/>
      <c r="W54" s="7">
        <f>IF($D54="","",V54*AB54/100)</f>
        <v/>
      </c>
      <c r="X54" s="7">
        <f>IF($D54="","",V54-W54)</f>
        <v/>
      </c>
      <c r="Y54" s="7">
        <f>IF($D54="","",X54-N54)</f>
        <v/>
      </c>
      <c r="AB54">
        <f>IF($D54="","",IF($AN54=1,Settings!$C$8,IF($AM54=1,Settings!$C$6,Settings!$C$7))*100)</f>
        <v/>
      </c>
      <c r="AF54" s="7" t="n"/>
      <c r="AI54" s="11" t="n"/>
      <c r="AK54">
        <f>IF($D54="","",IF(COUNTIF($D$2:$D54,$D54)=1,1,0))</f>
        <v/>
      </c>
      <c r="AL54">
        <f>IF($AK54=1,SUMPRODUCT(--($AO$2:$AO$201&lt;$AO54))+1,"")</f>
        <v/>
      </c>
      <c r="AM54">
        <f>IF($D54="","",IF(OR($R54=TRUE(),$R54="TRUE"),1,0))</f>
        <v/>
      </c>
      <c r="AN54">
        <f>IF($D54="","",IF($AA54="Yes",1,0))</f>
        <v/>
      </c>
      <c r="AO54">
        <f>IF($AK54=1,IFERROR(IF(VALUE($D54)&lt;100000000,VALUE($D54),1000000000),IFERROR(IF(VALUE(MID($D54,2,20))&lt;100000000,VALUE(MID($D54,2,20)),1000000000),1000000000))+ROW()/100000,"")</f>
        <v/>
      </c>
    </row>
    <row r="55">
      <c r="F55" s="11" t="n"/>
      <c r="N55" s="7">
        <f>IF($D55="","",M55*X55/100)</f>
        <v/>
      </c>
      <c r="O55" s="7" t="n"/>
      <c r="U55" s="7" t="n"/>
      <c r="V55" s="7" t="n"/>
      <c r="W55" s="7">
        <f>IF($D55="","",V55*AB55/100)</f>
        <v/>
      </c>
      <c r="X55" s="7">
        <f>IF($D55="","",V55-W55)</f>
        <v/>
      </c>
      <c r="Y55" s="7">
        <f>IF($D55="","",X55-N55)</f>
        <v/>
      </c>
      <c r="AB55">
        <f>IF($D55="","",IF($AN55=1,Settings!$C$8,IF($AM55=1,Settings!$C$6,Settings!$C$7))*100)</f>
        <v/>
      </c>
      <c r="AF55" s="7" t="n"/>
      <c r="AI55" s="11" t="n"/>
      <c r="AK55">
        <f>IF($D55="","",IF(COUNTIF($D$2:$D55,$D55)=1,1,0))</f>
        <v/>
      </c>
      <c r="AL55">
        <f>IF($AK55=1,SUMPRODUCT(--($AO$2:$AO$201&lt;$AO55))+1,"")</f>
        <v/>
      </c>
      <c r="AM55">
        <f>IF($D55="","",IF(OR($R55=TRUE(),$R55="TRUE"),1,0))</f>
        <v/>
      </c>
      <c r="AN55">
        <f>IF($D55="","",IF($AA55="Yes",1,0))</f>
        <v/>
      </c>
      <c r="AO55">
        <f>IF($AK55=1,IFERROR(IF(VALUE($D55)&lt;100000000,VALUE($D55),1000000000),IFERROR(IF(VALUE(MID($D55,2,20))&lt;100000000,VALUE(MID($D55,2,20)),1000000000),1000000000))+ROW()/100000,"")</f>
        <v/>
      </c>
    </row>
    <row r="56">
      <c r="F56" s="11" t="n"/>
      <c r="N56" s="7">
        <f>IF($D56="","",M56*X56/100)</f>
        <v/>
      </c>
      <c r="O56" s="7" t="n"/>
      <c r="U56" s="7" t="n"/>
      <c r="V56" s="7" t="n"/>
      <c r="W56" s="7">
        <f>IF($D56="","",V56*AB56/100)</f>
        <v/>
      </c>
      <c r="X56" s="7">
        <f>IF($D56="","",V56-W56)</f>
        <v/>
      </c>
      <c r="Y56" s="7">
        <f>IF($D56="","",X56-N56)</f>
        <v/>
      </c>
      <c r="AB56">
        <f>IF($D56="","",IF($AN56=1,Settings!$C$8,IF($AM56=1,Settings!$C$6,Settings!$C$7))*100)</f>
        <v/>
      </c>
      <c r="AF56" s="7" t="n"/>
      <c r="AI56" s="11" t="n"/>
      <c r="AK56">
        <f>IF($D56="","",IF(COUNTIF($D$2:$D56,$D56)=1,1,0))</f>
        <v/>
      </c>
      <c r="AL56">
        <f>IF($AK56=1,SUMPRODUCT(--($AO$2:$AO$201&lt;$AO56))+1,"")</f>
        <v/>
      </c>
      <c r="AM56">
        <f>IF($D56="","",IF(OR($R56=TRUE(),$R56="TRUE"),1,0))</f>
        <v/>
      </c>
      <c r="AN56">
        <f>IF($D56="","",IF($AA56="Yes",1,0))</f>
        <v/>
      </c>
      <c r="AO56">
        <f>IF($AK56=1,IFERROR(IF(VALUE($D56)&lt;100000000,VALUE($D56),1000000000),IFERROR(IF(VALUE(MID($D56,2,20))&lt;100000000,VALUE(MID($D56,2,20)),1000000000),1000000000))+ROW()/100000,"")</f>
        <v/>
      </c>
    </row>
    <row r="57">
      <c r="F57" s="11" t="n"/>
      <c r="N57" s="7">
        <f>IF($D57="","",M57*X57/100)</f>
        <v/>
      </c>
      <c r="O57" s="7" t="n"/>
      <c r="U57" s="7" t="n"/>
      <c r="V57" s="7" t="n"/>
      <c r="W57" s="7">
        <f>IF($D57="","",V57*AB57/100)</f>
        <v/>
      </c>
      <c r="X57" s="7">
        <f>IF($D57="","",V57-W57)</f>
        <v/>
      </c>
      <c r="Y57" s="7">
        <f>IF($D57="","",X57-N57)</f>
        <v/>
      </c>
      <c r="AB57">
        <f>IF($D57="","",IF($AN57=1,Settings!$C$8,IF($AM57=1,Settings!$C$6,Settings!$C$7))*100)</f>
        <v/>
      </c>
      <c r="AF57" s="7" t="n"/>
      <c r="AI57" s="11" t="n"/>
      <c r="AK57">
        <f>IF($D57="","",IF(COUNTIF($D$2:$D57,$D57)=1,1,0))</f>
        <v/>
      </c>
      <c r="AL57">
        <f>IF($AK57=1,SUMPRODUCT(--($AO$2:$AO$201&lt;$AO57))+1,"")</f>
        <v/>
      </c>
      <c r="AM57">
        <f>IF($D57="","",IF(OR($R57=TRUE(),$R57="TRUE"),1,0))</f>
        <v/>
      </c>
      <c r="AN57">
        <f>IF($D57="","",IF($AA57="Yes",1,0))</f>
        <v/>
      </c>
      <c r="AO57">
        <f>IF($AK57=1,IFERROR(IF(VALUE($D57)&lt;100000000,VALUE($D57),1000000000),IFERROR(IF(VALUE(MID($D57,2,20))&lt;100000000,VALUE(MID($D57,2,20)),1000000000),1000000000))+ROW()/100000,"")</f>
        <v/>
      </c>
    </row>
    <row r="58">
      <c r="F58" s="11" t="n"/>
      <c r="N58" s="7">
        <f>IF($D58="","",M58*X58/100)</f>
        <v/>
      </c>
      <c r="O58" s="7" t="n"/>
      <c r="U58" s="7" t="n"/>
      <c r="V58" s="7" t="n"/>
      <c r="W58" s="7">
        <f>IF($D58="","",V58*AB58/100)</f>
        <v/>
      </c>
      <c r="X58" s="7">
        <f>IF($D58="","",V58-W58)</f>
        <v/>
      </c>
      <c r="Y58" s="7">
        <f>IF($D58="","",X58-N58)</f>
        <v/>
      </c>
      <c r="AB58">
        <f>IF($D58="","",IF($AN58=1,Settings!$C$8,IF($AM58=1,Settings!$C$6,Settings!$C$7))*100)</f>
        <v/>
      </c>
      <c r="AF58" s="7" t="n"/>
      <c r="AI58" s="11" t="n"/>
      <c r="AK58">
        <f>IF($D58="","",IF(COUNTIF($D$2:$D58,$D58)=1,1,0))</f>
        <v/>
      </c>
      <c r="AL58">
        <f>IF($AK58=1,SUMPRODUCT(--($AO$2:$AO$201&lt;$AO58))+1,"")</f>
        <v/>
      </c>
      <c r="AM58">
        <f>IF($D58="","",IF(OR($R58=TRUE(),$R58="TRUE"),1,0))</f>
        <v/>
      </c>
      <c r="AN58">
        <f>IF($D58="","",IF($AA58="Yes",1,0))</f>
        <v/>
      </c>
      <c r="AO58">
        <f>IF($AK58=1,IFERROR(IF(VALUE($D58)&lt;100000000,VALUE($D58),1000000000),IFERROR(IF(VALUE(MID($D58,2,20))&lt;100000000,VALUE(MID($D58,2,20)),1000000000),1000000000))+ROW()/100000,"")</f>
        <v/>
      </c>
    </row>
    <row r="59">
      <c r="F59" s="11" t="n"/>
      <c r="N59" s="7">
        <f>IF($D59="","",M59*X59/100)</f>
        <v/>
      </c>
      <c r="O59" s="7" t="n"/>
      <c r="U59" s="7" t="n"/>
      <c r="V59" s="7" t="n"/>
      <c r="W59" s="7">
        <f>IF($D59="","",V59*AB59/100)</f>
        <v/>
      </c>
      <c r="X59" s="7">
        <f>IF($D59="","",V59-W59)</f>
        <v/>
      </c>
      <c r="Y59" s="7">
        <f>IF($D59="","",X59-N59)</f>
        <v/>
      </c>
      <c r="AB59">
        <f>IF($D59="","",IF($AN59=1,Settings!$C$8,IF($AM59=1,Settings!$C$6,Settings!$C$7))*100)</f>
        <v/>
      </c>
      <c r="AF59" s="7" t="n"/>
      <c r="AI59" s="11" t="n"/>
      <c r="AK59">
        <f>IF($D59="","",IF(COUNTIF($D$2:$D59,$D59)=1,1,0))</f>
        <v/>
      </c>
      <c r="AL59">
        <f>IF($AK59=1,SUMPRODUCT(--($AO$2:$AO$201&lt;$AO59))+1,"")</f>
        <v/>
      </c>
      <c r="AM59">
        <f>IF($D59="","",IF(OR($R59=TRUE(),$R59="TRUE"),1,0))</f>
        <v/>
      </c>
      <c r="AN59">
        <f>IF($D59="","",IF($AA59="Yes",1,0))</f>
        <v/>
      </c>
      <c r="AO59">
        <f>IF($AK59=1,IFERROR(IF(VALUE($D59)&lt;100000000,VALUE($D59),1000000000),IFERROR(IF(VALUE(MID($D59,2,20))&lt;100000000,VALUE(MID($D59,2,20)),1000000000),1000000000))+ROW()/100000,"")</f>
        <v/>
      </c>
    </row>
    <row r="60">
      <c r="F60" s="11" t="n"/>
      <c r="N60" s="7">
        <f>IF($D60="","",M60*X60/100)</f>
        <v/>
      </c>
      <c r="O60" s="7" t="n"/>
      <c r="U60" s="7" t="n"/>
      <c r="V60" s="7" t="n"/>
      <c r="W60" s="7">
        <f>IF($D60="","",V60*AB60/100)</f>
        <v/>
      </c>
      <c r="X60" s="7">
        <f>IF($D60="","",V60-W60)</f>
        <v/>
      </c>
      <c r="Y60" s="7">
        <f>IF($D60="","",X60-N60)</f>
        <v/>
      </c>
      <c r="AB60">
        <f>IF($D60="","",IF($AN60=1,Settings!$C$8,IF($AM60=1,Settings!$C$6,Settings!$C$7))*100)</f>
        <v/>
      </c>
      <c r="AF60" s="7" t="n"/>
      <c r="AI60" s="11" t="n"/>
      <c r="AK60">
        <f>IF($D60="","",IF(COUNTIF($D$2:$D60,$D60)=1,1,0))</f>
        <v/>
      </c>
      <c r="AL60">
        <f>IF($AK60=1,SUMPRODUCT(--($AO$2:$AO$201&lt;$AO60))+1,"")</f>
        <v/>
      </c>
      <c r="AM60">
        <f>IF($D60="","",IF(OR($R60=TRUE(),$R60="TRUE"),1,0))</f>
        <v/>
      </c>
      <c r="AN60">
        <f>IF($D60="","",IF($AA60="Yes",1,0))</f>
        <v/>
      </c>
      <c r="AO60">
        <f>IF($AK60=1,IFERROR(IF(VALUE($D60)&lt;100000000,VALUE($D60),1000000000),IFERROR(IF(VALUE(MID($D60,2,20))&lt;100000000,VALUE(MID($D60,2,20)),1000000000),1000000000))+ROW()/100000,"")</f>
        <v/>
      </c>
    </row>
    <row r="61">
      <c r="F61" s="11" t="n"/>
      <c r="N61" s="7">
        <f>IF($D61="","",M61*X61/100)</f>
        <v/>
      </c>
      <c r="O61" s="7" t="n"/>
      <c r="U61" s="7" t="n"/>
      <c r="V61" s="7" t="n"/>
      <c r="W61" s="7">
        <f>IF($D61="","",V61*AB61/100)</f>
        <v/>
      </c>
      <c r="X61" s="7">
        <f>IF($D61="","",V61-W61)</f>
        <v/>
      </c>
      <c r="Y61" s="7">
        <f>IF($D61="","",X61-N61)</f>
        <v/>
      </c>
      <c r="AB61">
        <f>IF($D61="","",IF($AN61=1,Settings!$C$8,IF($AM61=1,Settings!$C$6,Settings!$C$7))*100)</f>
        <v/>
      </c>
      <c r="AF61" s="7" t="n"/>
      <c r="AI61" s="11" t="n"/>
      <c r="AK61">
        <f>IF($D61="","",IF(COUNTIF($D$2:$D61,$D61)=1,1,0))</f>
        <v/>
      </c>
      <c r="AL61">
        <f>IF($AK61=1,SUMPRODUCT(--($AO$2:$AO$201&lt;$AO61))+1,"")</f>
        <v/>
      </c>
      <c r="AM61">
        <f>IF($D61="","",IF(OR($R61=TRUE(),$R61="TRUE"),1,0))</f>
        <v/>
      </c>
      <c r="AN61">
        <f>IF($D61="","",IF($AA61="Yes",1,0))</f>
        <v/>
      </c>
      <c r="AO61">
        <f>IF($AK61=1,IFERROR(IF(VALUE($D61)&lt;100000000,VALUE($D61),1000000000),IFERROR(IF(VALUE(MID($D61,2,20))&lt;100000000,VALUE(MID($D61,2,20)),1000000000),1000000000))+ROW()/100000,"")</f>
        <v/>
      </c>
    </row>
    <row r="62">
      <c r="F62" s="11" t="n"/>
      <c r="N62" s="7">
        <f>IF($D62="","",M62*X62/100)</f>
        <v/>
      </c>
      <c r="O62" s="7" t="n"/>
      <c r="U62" s="7" t="n"/>
      <c r="V62" s="7" t="n"/>
      <c r="W62" s="7">
        <f>IF($D62="","",V62*AB62/100)</f>
        <v/>
      </c>
      <c r="X62" s="7">
        <f>IF($D62="","",V62-W62)</f>
        <v/>
      </c>
      <c r="Y62" s="7">
        <f>IF($D62="","",X62-N62)</f>
        <v/>
      </c>
      <c r="AB62">
        <f>IF($D62="","",IF($AN62=1,Settings!$C$8,IF($AM62=1,Settings!$C$6,Settings!$C$7))*100)</f>
        <v/>
      </c>
      <c r="AF62" s="7" t="n"/>
      <c r="AI62" s="11" t="n"/>
      <c r="AK62">
        <f>IF($D62="","",IF(COUNTIF($D$2:$D62,$D62)=1,1,0))</f>
        <v/>
      </c>
      <c r="AL62">
        <f>IF($AK62=1,SUMPRODUCT(--($AO$2:$AO$201&lt;$AO62))+1,"")</f>
        <v/>
      </c>
      <c r="AM62">
        <f>IF($D62="","",IF(OR($R62=TRUE(),$R62="TRUE"),1,0))</f>
        <v/>
      </c>
      <c r="AN62">
        <f>IF($D62="","",IF($AA62="Yes",1,0))</f>
        <v/>
      </c>
      <c r="AO62">
        <f>IF($AK62=1,IFERROR(IF(VALUE($D62)&lt;100000000,VALUE($D62),1000000000),IFERROR(IF(VALUE(MID($D62,2,20))&lt;100000000,VALUE(MID($D62,2,20)),1000000000),1000000000))+ROW()/100000,"")</f>
        <v/>
      </c>
    </row>
    <row r="63">
      <c r="F63" s="11" t="n"/>
      <c r="N63" s="7">
        <f>IF($D63="","",M63*X63/100)</f>
        <v/>
      </c>
      <c r="O63" s="7" t="n"/>
      <c r="U63" s="7" t="n"/>
      <c r="V63" s="7" t="n"/>
      <c r="W63" s="7">
        <f>IF($D63="","",V63*AB63/100)</f>
        <v/>
      </c>
      <c r="X63" s="7">
        <f>IF($D63="","",V63-W63)</f>
        <v/>
      </c>
      <c r="Y63" s="7">
        <f>IF($D63="","",X63-N63)</f>
        <v/>
      </c>
      <c r="AB63">
        <f>IF($D63="","",IF($AN63=1,Settings!$C$8,IF($AM63=1,Settings!$C$6,Settings!$C$7))*100)</f>
        <v/>
      </c>
      <c r="AF63" s="7" t="n"/>
      <c r="AI63" s="11" t="n"/>
      <c r="AK63">
        <f>IF($D63="","",IF(COUNTIF($D$2:$D63,$D63)=1,1,0))</f>
        <v/>
      </c>
      <c r="AL63">
        <f>IF($AK63=1,SUMPRODUCT(--($AO$2:$AO$201&lt;$AO63))+1,"")</f>
        <v/>
      </c>
      <c r="AM63">
        <f>IF($D63="","",IF(OR($R63=TRUE(),$R63="TRUE"),1,0))</f>
        <v/>
      </c>
      <c r="AN63">
        <f>IF($D63="","",IF($AA63="Yes",1,0))</f>
        <v/>
      </c>
      <c r="AO63">
        <f>IF($AK63=1,IFERROR(IF(VALUE($D63)&lt;100000000,VALUE($D63),1000000000),IFERROR(IF(VALUE(MID($D63,2,20))&lt;100000000,VALUE(MID($D63,2,20)),1000000000),1000000000))+ROW()/100000,"")</f>
        <v/>
      </c>
    </row>
    <row r="64">
      <c r="F64" s="11" t="n"/>
      <c r="N64" s="7">
        <f>IF($D64="","",M64*X64/100)</f>
        <v/>
      </c>
      <c r="O64" s="7" t="n"/>
      <c r="U64" s="7" t="n"/>
      <c r="V64" s="7" t="n"/>
      <c r="W64" s="7">
        <f>IF($D64="","",V64*AB64/100)</f>
        <v/>
      </c>
      <c r="X64" s="7">
        <f>IF($D64="","",V64-W64)</f>
        <v/>
      </c>
      <c r="Y64" s="7">
        <f>IF($D64="","",X64-N64)</f>
        <v/>
      </c>
      <c r="AB64">
        <f>IF($D64="","",IF($AN64=1,Settings!$C$8,IF($AM64=1,Settings!$C$6,Settings!$C$7))*100)</f>
        <v/>
      </c>
      <c r="AF64" s="7" t="n"/>
      <c r="AI64" s="11" t="n"/>
      <c r="AK64">
        <f>IF($D64="","",IF(COUNTIF($D$2:$D64,$D64)=1,1,0))</f>
        <v/>
      </c>
      <c r="AL64">
        <f>IF($AK64=1,SUMPRODUCT(--($AO$2:$AO$201&lt;$AO64))+1,"")</f>
        <v/>
      </c>
      <c r="AM64">
        <f>IF($D64="","",IF(OR($R64=TRUE(),$R64="TRUE"),1,0))</f>
        <v/>
      </c>
      <c r="AN64">
        <f>IF($D64="","",IF($AA64="Yes",1,0))</f>
        <v/>
      </c>
      <c r="AO64">
        <f>IF($AK64=1,IFERROR(IF(VALUE($D64)&lt;100000000,VALUE($D64),1000000000),IFERROR(IF(VALUE(MID($D64,2,20))&lt;100000000,VALUE(MID($D64,2,20)),1000000000),1000000000))+ROW()/100000,"")</f>
        <v/>
      </c>
    </row>
    <row r="65">
      <c r="F65" s="11" t="n"/>
      <c r="N65" s="7">
        <f>IF($D65="","",M65*X65/100)</f>
        <v/>
      </c>
      <c r="O65" s="7" t="n"/>
      <c r="U65" s="7" t="n"/>
      <c r="V65" s="7" t="n"/>
      <c r="W65" s="7">
        <f>IF($D65="","",V65*AB65/100)</f>
        <v/>
      </c>
      <c r="X65" s="7">
        <f>IF($D65="","",V65-W65)</f>
        <v/>
      </c>
      <c r="Y65" s="7">
        <f>IF($D65="","",X65-N65)</f>
        <v/>
      </c>
      <c r="AB65">
        <f>IF($D65="","",IF($AN65=1,Settings!$C$8,IF($AM65=1,Settings!$C$6,Settings!$C$7))*100)</f>
        <v/>
      </c>
      <c r="AF65" s="7" t="n"/>
      <c r="AI65" s="11" t="n"/>
      <c r="AK65">
        <f>IF($D65="","",IF(COUNTIF($D$2:$D65,$D65)=1,1,0))</f>
        <v/>
      </c>
      <c r="AL65">
        <f>IF($AK65=1,SUMPRODUCT(--($AO$2:$AO$201&lt;$AO65))+1,"")</f>
        <v/>
      </c>
      <c r="AM65">
        <f>IF($D65="","",IF(OR($R65=TRUE(),$R65="TRUE"),1,0))</f>
        <v/>
      </c>
      <c r="AN65">
        <f>IF($D65="","",IF($AA65="Yes",1,0))</f>
        <v/>
      </c>
      <c r="AO65">
        <f>IF($AK65=1,IFERROR(IF(VALUE($D65)&lt;100000000,VALUE($D65),1000000000),IFERROR(IF(VALUE(MID($D65,2,20))&lt;100000000,VALUE(MID($D65,2,20)),1000000000),1000000000))+ROW()/100000,"")</f>
        <v/>
      </c>
    </row>
    <row r="66">
      <c r="F66" s="11" t="n"/>
      <c r="N66" s="7">
        <f>IF($D66="","",M66*X66/100)</f>
        <v/>
      </c>
      <c r="O66" s="7" t="n"/>
      <c r="U66" s="7" t="n"/>
      <c r="V66" s="7" t="n"/>
      <c r="W66" s="7">
        <f>IF($D66="","",V66*AB66/100)</f>
        <v/>
      </c>
      <c r="X66" s="7">
        <f>IF($D66="","",V66-W66)</f>
        <v/>
      </c>
      <c r="Y66" s="7">
        <f>IF($D66="","",X66-N66)</f>
        <v/>
      </c>
      <c r="AB66">
        <f>IF($D66="","",IF($AN66=1,Settings!$C$8,IF($AM66=1,Settings!$C$6,Settings!$C$7))*100)</f>
        <v/>
      </c>
      <c r="AF66" s="7" t="n"/>
      <c r="AI66" s="11" t="n"/>
      <c r="AK66">
        <f>IF($D66="","",IF(COUNTIF($D$2:$D66,$D66)=1,1,0))</f>
        <v/>
      </c>
      <c r="AL66">
        <f>IF($AK66=1,SUMPRODUCT(--($AO$2:$AO$201&lt;$AO66))+1,"")</f>
        <v/>
      </c>
      <c r="AM66">
        <f>IF($D66="","",IF(OR($R66=TRUE(),$R66="TRUE"),1,0))</f>
        <v/>
      </c>
      <c r="AN66">
        <f>IF($D66="","",IF($AA66="Yes",1,0))</f>
        <v/>
      </c>
      <c r="AO66">
        <f>IF($AK66=1,IFERROR(IF(VALUE($D66)&lt;100000000,VALUE($D66),1000000000),IFERROR(IF(VALUE(MID($D66,2,20))&lt;100000000,VALUE(MID($D66,2,20)),1000000000),1000000000))+ROW()/100000,"")</f>
        <v/>
      </c>
    </row>
    <row r="67">
      <c r="F67" s="11" t="n"/>
      <c r="N67" s="7">
        <f>IF($D67="","",M67*X67/100)</f>
        <v/>
      </c>
      <c r="O67" s="7" t="n"/>
      <c r="U67" s="7" t="n"/>
      <c r="V67" s="7" t="n"/>
      <c r="W67" s="7">
        <f>IF($D67="","",V67*AB67/100)</f>
        <v/>
      </c>
      <c r="X67" s="7">
        <f>IF($D67="","",V67-W67)</f>
        <v/>
      </c>
      <c r="Y67" s="7">
        <f>IF($D67="","",X67-N67)</f>
        <v/>
      </c>
      <c r="AB67">
        <f>IF($D67="","",IF($AN67=1,Settings!$C$8,IF($AM67=1,Settings!$C$6,Settings!$C$7))*100)</f>
        <v/>
      </c>
      <c r="AF67" s="7" t="n"/>
      <c r="AI67" s="11" t="n"/>
      <c r="AK67">
        <f>IF($D67="","",IF(COUNTIF($D$2:$D67,$D67)=1,1,0))</f>
        <v/>
      </c>
      <c r="AL67">
        <f>IF($AK67=1,SUMPRODUCT(--($AO$2:$AO$201&lt;$AO67))+1,"")</f>
        <v/>
      </c>
      <c r="AM67">
        <f>IF($D67="","",IF(OR($R67=TRUE(),$R67="TRUE"),1,0))</f>
        <v/>
      </c>
      <c r="AN67">
        <f>IF($D67="","",IF($AA67="Yes",1,0))</f>
        <v/>
      </c>
      <c r="AO67">
        <f>IF($AK67=1,IFERROR(IF(VALUE($D67)&lt;100000000,VALUE($D67),1000000000),IFERROR(IF(VALUE(MID($D67,2,20))&lt;100000000,VALUE(MID($D67,2,20)),1000000000),1000000000))+ROW()/100000,"")</f>
        <v/>
      </c>
    </row>
    <row r="68">
      <c r="F68" s="11" t="n"/>
      <c r="N68" s="7">
        <f>IF($D68="","",M68*X68/100)</f>
        <v/>
      </c>
      <c r="O68" s="7" t="n"/>
      <c r="U68" s="7" t="n"/>
      <c r="V68" s="7" t="n"/>
      <c r="W68" s="7">
        <f>IF($D68="","",V68*AB68/100)</f>
        <v/>
      </c>
      <c r="X68" s="7">
        <f>IF($D68="","",V68-W68)</f>
        <v/>
      </c>
      <c r="Y68" s="7">
        <f>IF($D68="","",X68-N68)</f>
        <v/>
      </c>
      <c r="AB68">
        <f>IF($D68="","",IF($AN68=1,Settings!$C$8,IF($AM68=1,Settings!$C$6,Settings!$C$7))*100)</f>
        <v/>
      </c>
      <c r="AF68" s="7" t="n"/>
      <c r="AI68" s="11" t="n"/>
      <c r="AK68">
        <f>IF($D68="","",IF(COUNTIF($D$2:$D68,$D68)=1,1,0))</f>
        <v/>
      </c>
      <c r="AL68">
        <f>IF($AK68=1,SUMPRODUCT(--($AO$2:$AO$201&lt;$AO68))+1,"")</f>
        <v/>
      </c>
      <c r="AM68">
        <f>IF($D68="","",IF(OR($R68=TRUE(),$R68="TRUE"),1,0))</f>
        <v/>
      </c>
      <c r="AN68">
        <f>IF($D68="","",IF($AA68="Yes",1,0))</f>
        <v/>
      </c>
      <c r="AO68">
        <f>IF($AK68=1,IFERROR(IF(VALUE($D68)&lt;100000000,VALUE($D68),1000000000),IFERROR(IF(VALUE(MID($D68,2,20))&lt;100000000,VALUE(MID($D68,2,20)),1000000000),1000000000))+ROW()/100000,"")</f>
        <v/>
      </c>
    </row>
    <row r="69">
      <c r="F69" s="11" t="n"/>
      <c r="N69" s="7">
        <f>IF($D69="","",M69*X69/100)</f>
        <v/>
      </c>
      <c r="O69" s="7" t="n"/>
      <c r="U69" s="7" t="n"/>
      <c r="V69" s="7" t="n"/>
      <c r="W69" s="7">
        <f>IF($D69="","",V69*AB69/100)</f>
        <v/>
      </c>
      <c r="X69" s="7">
        <f>IF($D69="","",V69-W69)</f>
        <v/>
      </c>
      <c r="Y69" s="7">
        <f>IF($D69="","",X69-N69)</f>
        <v/>
      </c>
      <c r="AB69">
        <f>IF($D69="","",IF($AN69=1,Settings!$C$8,IF($AM69=1,Settings!$C$6,Settings!$C$7))*100)</f>
        <v/>
      </c>
      <c r="AF69" s="7" t="n"/>
      <c r="AI69" s="11" t="n"/>
      <c r="AK69">
        <f>IF($D69="","",IF(COUNTIF($D$2:$D69,$D69)=1,1,0))</f>
        <v/>
      </c>
      <c r="AL69">
        <f>IF($AK69=1,SUMPRODUCT(--($AO$2:$AO$201&lt;$AO69))+1,"")</f>
        <v/>
      </c>
      <c r="AM69">
        <f>IF($D69="","",IF(OR($R69=TRUE(),$R69="TRUE"),1,0))</f>
        <v/>
      </c>
      <c r="AN69">
        <f>IF($D69="","",IF($AA69="Yes",1,0))</f>
        <v/>
      </c>
      <c r="AO69">
        <f>IF($AK69=1,IFERROR(IF(VALUE($D69)&lt;100000000,VALUE($D69),1000000000),IFERROR(IF(VALUE(MID($D69,2,20))&lt;100000000,VALUE(MID($D69,2,20)),1000000000),1000000000))+ROW()/100000,"")</f>
        <v/>
      </c>
    </row>
    <row r="70">
      <c r="F70" s="11" t="n"/>
      <c r="N70" s="7">
        <f>IF($D70="","",M70*X70/100)</f>
        <v/>
      </c>
      <c r="O70" s="7" t="n"/>
      <c r="U70" s="7" t="n"/>
      <c r="V70" s="7" t="n"/>
      <c r="W70" s="7">
        <f>IF($D70="","",V70*AB70/100)</f>
        <v/>
      </c>
      <c r="X70" s="7">
        <f>IF($D70="","",V70-W70)</f>
        <v/>
      </c>
      <c r="Y70" s="7">
        <f>IF($D70="","",X70-N70)</f>
        <v/>
      </c>
      <c r="AB70">
        <f>IF($D70="","",IF($AN70=1,Settings!$C$8,IF($AM70=1,Settings!$C$6,Settings!$C$7))*100)</f>
        <v/>
      </c>
      <c r="AF70" s="7" t="n"/>
      <c r="AI70" s="11" t="n"/>
      <c r="AK70">
        <f>IF($D70="","",IF(COUNTIF($D$2:$D70,$D70)=1,1,0))</f>
        <v/>
      </c>
      <c r="AL70">
        <f>IF($AK70=1,SUMPRODUCT(--($AO$2:$AO$201&lt;$AO70))+1,"")</f>
        <v/>
      </c>
      <c r="AM70">
        <f>IF($D70="","",IF(OR($R70=TRUE(),$R70="TRUE"),1,0))</f>
        <v/>
      </c>
      <c r="AN70">
        <f>IF($D70="","",IF($AA70="Yes",1,0))</f>
        <v/>
      </c>
      <c r="AO70">
        <f>IF($AK70=1,IFERROR(IF(VALUE($D70)&lt;100000000,VALUE($D70),1000000000),IFERROR(IF(VALUE(MID($D70,2,20))&lt;100000000,VALUE(MID($D70,2,20)),1000000000),1000000000))+ROW()/100000,"")</f>
        <v/>
      </c>
    </row>
    <row r="71">
      <c r="F71" s="11" t="n"/>
      <c r="N71" s="7">
        <f>IF($D71="","",M71*X71/100)</f>
        <v/>
      </c>
      <c r="O71" s="7" t="n"/>
      <c r="U71" s="7" t="n"/>
      <c r="V71" s="7" t="n"/>
      <c r="W71" s="7">
        <f>IF($D71="","",V71*AB71/100)</f>
        <v/>
      </c>
      <c r="X71" s="7">
        <f>IF($D71="","",V71-W71)</f>
        <v/>
      </c>
      <c r="Y71" s="7">
        <f>IF($D71="","",X71-N71)</f>
        <v/>
      </c>
      <c r="AB71">
        <f>IF($D71="","",IF($AN71=1,Settings!$C$8,IF($AM71=1,Settings!$C$6,Settings!$C$7))*100)</f>
        <v/>
      </c>
      <c r="AF71" s="7" t="n"/>
      <c r="AI71" s="11" t="n"/>
      <c r="AK71">
        <f>IF($D71="","",IF(COUNTIF($D$2:$D71,$D71)=1,1,0))</f>
        <v/>
      </c>
      <c r="AL71">
        <f>IF($AK71=1,SUMPRODUCT(--($AO$2:$AO$201&lt;$AO71))+1,"")</f>
        <v/>
      </c>
      <c r="AM71">
        <f>IF($D71="","",IF(OR($R71=TRUE(),$R71="TRUE"),1,0))</f>
        <v/>
      </c>
      <c r="AN71">
        <f>IF($D71="","",IF($AA71="Yes",1,0))</f>
        <v/>
      </c>
      <c r="AO71">
        <f>IF($AK71=1,IFERROR(IF(VALUE($D71)&lt;100000000,VALUE($D71),1000000000),IFERROR(IF(VALUE(MID($D71,2,20))&lt;100000000,VALUE(MID($D71,2,20)),1000000000),1000000000))+ROW()/100000,"")</f>
        <v/>
      </c>
    </row>
    <row r="72">
      <c r="F72" s="11" t="n"/>
      <c r="N72" s="7">
        <f>IF($D72="","",M72*X72/100)</f>
        <v/>
      </c>
      <c r="O72" s="7" t="n"/>
      <c r="U72" s="7" t="n"/>
      <c r="V72" s="7" t="n"/>
      <c r="W72" s="7">
        <f>IF($D72="","",V72*AB72/100)</f>
        <v/>
      </c>
      <c r="X72" s="7">
        <f>IF($D72="","",V72-W72)</f>
        <v/>
      </c>
      <c r="Y72" s="7">
        <f>IF($D72="","",X72-N72)</f>
        <v/>
      </c>
      <c r="AB72">
        <f>IF($D72="","",IF($AN72=1,Settings!$C$8,IF($AM72=1,Settings!$C$6,Settings!$C$7))*100)</f>
        <v/>
      </c>
      <c r="AF72" s="7" t="n"/>
      <c r="AI72" s="11" t="n"/>
      <c r="AK72">
        <f>IF($D72="","",IF(COUNTIF($D$2:$D72,$D72)=1,1,0))</f>
        <v/>
      </c>
      <c r="AL72">
        <f>IF($AK72=1,SUMPRODUCT(--($AO$2:$AO$201&lt;$AO72))+1,"")</f>
        <v/>
      </c>
      <c r="AM72">
        <f>IF($D72="","",IF(OR($R72=TRUE(),$R72="TRUE"),1,0))</f>
        <v/>
      </c>
      <c r="AN72">
        <f>IF($D72="","",IF($AA72="Yes",1,0))</f>
        <v/>
      </c>
      <c r="AO72">
        <f>IF($AK72=1,IFERROR(IF(VALUE($D72)&lt;100000000,VALUE($D72),1000000000),IFERROR(IF(VALUE(MID($D72,2,20))&lt;100000000,VALUE(MID($D72,2,20)),1000000000),1000000000))+ROW()/100000,"")</f>
        <v/>
      </c>
    </row>
    <row r="73">
      <c r="F73" s="11" t="n"/>
      <c r="N73" s="7">
        <f>IF($D73="","",M73*X73/100)</f>
        <v/>
      </c>
      <c r="O73" s="7" t="n"/>
      <c r="U73" s="7" t="n"/>
      <c r="V73" s="7" t="n"/>
      <c r="W73" s="7">
        <f>IF($D73="","",V73*AB73/100)</f>
        <v/>
      </c>
      <c r="X73" s="7">
        <f>IF($D73="","",V73-W73)</f>
        <v/>
      </c>
      <c r="Y73" s="7">
        <f>IF($D73="","",X73-N73)</f>
        <v/>
      </c>
      <c r="AB73">
        <f>IF($D73="","",IF($AN73=1,Settings!$C$8,IF($AM73=1,Settings!$C$6,Settings!$C$7))*100)</f>
        <v/>
      </c>
      <c r="AF73" s="7" t="n"/>
      <c r="AI73" s="11" t="n"/>
      <c r="AK73">
        <f>IF($D73="","",IF(COUNTIF($D$2:$D73,$D73)=1,1,0))</f>
        <v/>
      </c>
      <c r="AL73">
        <f>IF($AK73=1,SUMPRODUCT(--($AO$2:$AO$201&lt;$AO73))+1,"")</f>
        <v/>
      </c>
      <c r="AM73">
        <f>IF($D73="","",IF(OR($R73=TRUE(),$R73="TRUE"),1,0))</f>
        <v/>
      </c>
      <c r="AN73">
        <f>IF($D73="","",IF($AA73="Yes",1,0))</f>
        <v/>
      </c>
      <c r="AO73">
        <f>IF($AK73=1,IFERROR(IF(VALUE($D73)&lt;100000000,VALUE($D73),1000000000),IFERROR(IF(VALUE(MID($D73,2,20))&lt;100000000,VALUE(MID($D73,2,20)),1000000000),1000000000))+ROW()/100000,"")</f>
        <v/>
      </c>
    </row>
    <row r="74">
      <c r="F74" s="11" t="n"/>
      <c r="N74" s="7">
        <f>IF($D74="","",M74*X74/100)</f>
        <v/>
      </c>
      <c r="O74" s="7" t="n"/>
      <c r="U74" s="7" t="n"/>
      <c r="V74" s="7" t="n"/>
      <c r="W74" s="7">
        <f>IF($D74="","",V74*AB74/100)</f>
        <v/>
      </c>
      <c r="X74" s="7">
        <f>IF($D74="","",V74-W74)</f>
        <v/>
      </c>
      <c r="Y74" s="7">
        <f>IF($D74="","",X74-N74)</f>
        <v/>
      </c>
      <c r="AB74">
        <f>IF($D74="","",IF($AN74=1,Settings!$C$8,IF($AM74=1,Settings!$C$6,Settings!$C$7))*100)</f>
        <v/>
      </c>
      <c r="AF74" s="7" t="n"/>
      <c r="AI74" s="11" t="n"/>
      <c r="AK74">
        <f>IF($D74="","",IF(COUNTIF($D$2:$D74,$D74)=1,1,0))</f>
        <v/>
      </c>
      <c r="AL74">
        <f>IF($AK74=1,SUMPRODUCT(--($AO$2:$AO$201&lt;$AO74))+1,"")</f>
        <v/>
      </c>
      <c r="AM74">
        <f>IF($D74="","",IF(OR($R74=TRUE(),$R74="TRUE"),1,0))</f>
        <v/>
      </c>
      <c r="AN74">
        <f>IF($D74="","",IF($AA74="Yes",1,0))</f>
        <v/>
      </c>
      <c r="AO74">
        <f>IF($AK74=1,IFERROR(IF(VALUE($D74)&lt;100000000,VALUE($D74),1000000000),IFERROR(IF(VALUE(MID($D74,2,20))&lt;100000000,VALUE(MID($D74,2,20)),1000000000),1000000000))+ROW()/100000,"")</f>
        <v/>
      </c>
    </row>
    <row r="75">
      <c r="F75" s="11" t="n"/>
      <c r="N75" s="7">
        <f>IF($D75="","",M75*X75/100)</f>
        <v/>
      </c>
      <c r="O75" s="7" t="n"/>
      <c r="U75" s="7" t="n"/>
      <c r="V75" s="7" t="n"/>
      <c r="W75" s="7">
        <f>IF($D75="","",V75*AB75/100)</f>
        <v/>
      </c>
      <c r="X75" s="7">
        <f>IF($D75="","",V75-W75)</f>
        <v/>
      </c>
      <c r="Y75" s="7">
        <f>IF($D75="","",X75-N75)</f>
        <v/>
      </c>
      <c r="AB75">
        <f>IF($D75="","",IF($AN75=1,Settings!$C$8,IF($AM75=1,Settings!$C$6,Settings!$C$7))*100)</f>
        <v/>
      </c>
      <c r="AF75" s="7" t="n"/>
      <c r="AI75" s="11" t="n"/>
      <c r="AK75">
        <f>IF($D75="","",IF(COUNTIF($D$2:$D75,$D75)=1,1,0))</f>
        <v/>
      </c>
      <c r="AL75">
        <f>IF($AK75=1,SUMPRODUCT(--($AO$2:$AO$201&lt;$AO75))+1,"")</f>
        <v/>
      </c>
      <c r="AM75">
        <f>IF($D75="","",IF(OR($R75=TRUE(),$R75="TRUE"),1,0))</f>
        <v/>
      </c>
      <c r="AN75">
        <f>IF($D75="","",IF($AA75="Yes",1,0))</f>
        <v/>
      </c>
      <c r="AO75">
        <f>IF($AK75=1,IFERROR(IF(VALUE($D75)&lt;100000000,VALUE($D75),1000000000),IFERROR(IF(VALUE(MID($D75,2,20))&lt;100000000,VALUE(MID($D75,2,20)),1000000000),1000000000))+ROW()/100000,"")</f>
        <v/>
      </c>
    </row>
    <row r="76">
      <c r="F76" s="11" t="n"/>
      <c r="N76" s="7">
        <f>IF($D76="","",M76*X76/100)</f>
        <v/>
      </c>
      <c r="O76" s="7" t="n"/>
      <c r="U76" s="7" t="n"/>
      <c r="V76" s="7" t="n"/>
      <c r="W76" s="7">
        <f>IF($D76="","",V76*AB76/100)</f>
        <v/>
      </c>
      <c r="X76" s="7">
        <f>IF($D76="","",V76-W76)</f>
        <v/>
      </c>
      <c r="Y76" s="7">
        <f>IF($D76="","",X76-N76)</f>
        <v/>
      </c>
      <c r="AB76">
        <f>IF($D76="","",IF($AN76=1,Settings!$C$8,IF($AM76=1,Settings!$C$6,Settings!$C$7))*100)</f>
        <v/>
      </c>
      <c r="AF76" s="7" t="n"/>
      <c r="AI76" s="11" t="n"/>
      <c r="AK76">
        <f>IF($D76="","",IF(COUNTIF($D$2:$D76,$D76)=1,1,0))</f>
        <v/>
      </c>
      <c r="AL76">
        <f>IF($AK76=1,SUMPRODUCT(--($AO$2:$AO$201&lt;$AO76))+1,"")</f>
        <v/>
      </c>
      <c r="AM76">
        <f>IF($D76="","",IF(OR($R76=TRUE(),$R76="TRUE"),1,0))</f>
        <v/>
      </c>
      <c r="AN76">
        <f>IF($D76="","",IF($AA76="Yes",1,0))</f>
        <v/>
      </c>
      <c r="AO76">
        <f>IF($AK76=1,IFERROR(IF(VALUE($D76)&lt;100000000,VALUE($D76),1000000000),IFERROR(IF(VALUE(MID($D76,2,20))&lt;100000000,VALUE(MID($D76,2,20)),1000000000),1000000000))+ROW()/100000,"")</f>
        <v/>
      </c>
    </row>
    <row r="77">
      <c r="F77" s="11" t="n"/>
      <c r="N77" s="7">
        <f>IF($D77="","",M77*X77/100)</f>
        <v/>
      </c>
      <c r="O77" s="7" t="n"/>
      <c r="U77" s="7" t="n"/>
      <c r="V77" s="7" t="n"/>
      <c r="W77" s="7">
        <f>IF($D77="","",V77*AB77/100)</f>
        <v/>
      </c>
      <c r="X77" s="7">
        <f>IF($D77="","",V77-W77)</f>
        <v/>
      </c>
      <c r="Y77" s="7">
        <f>IF($D77="","",X77-N77)</f>
        <v/>
      </c>
      <c r="AB77">
        <f>IF($D77="","",IF($AN77=1,Settings!$C$8,IF($AM77=1,Settings!$C$6,Settings!$C$7))*100)</f>
        <v/>
      </c>
      <c r="AF77" s="7" t="n"/>
      <c r="AI77" s="11" t="n"/>
      <c r="AK77">
        <f>IF($D77="","",IF(COUNTIF($D$2:$D77,$D77)=1,1,0))</f>
        <v/>
      </c>
      <c r="AL77">
        <f>IF($AK77=1,SUMPRODUCT(--($AO$2:$AO$201&lt;$AO77))+1,"")</f>
        <v/>
      </c>
      <c r="AM77">
        <f>IF($D77="","",IF(OR($R77=TRUE(),$R77="TRUE"),1,0))</f>
        <v/>
      </c>
      <c r="AN77">
        <f>IF($D77="","",IF($AA77="Yes",1,0))</f>
        <v/>
      </c>
      <c r="AO77">
        <f>IF($AK77=1,IFERROR(IF(VALUE($D77)&lt;100000000,VALUE($D77),1000000000),IFERROR(IF(VALUE(MID($D77,2,20))&lt;100000000,VALUE(MID($D77,2,20)),1000000000),1000000000))+ROW()/100000,"")</f>
        <v/>
      </c>
    </row>
    <row r="78">
      <c r="F78" s="11" t="n"/>
      <c r="N78" s="7">
        <f>IF($D78="","",M78*X78/100)</f>
        <v/>
      </c>
      <c r="O78" s="7" t="n"/>
      <c r="U78" s="7" t="n"/>
      <c r="V78" s="7" t="n"/>
      <c r="W78" s="7">
        <f>IF($D78="","",V78*AB78/100)</f>
        <v/>
      </c>
      <c r="X78" s="7">
        <f>IF($D78="","",V78-W78)</f>
        <v/>
      </c>
      <c r="Y78" s="7">
        <f>IF($D78="","",X78-N78)</f>
        <v/>
      </c>
      <c r="AB78">
        <f>IF($D78="","",IF($AN78=1,Settings!$C$8,IF($AM78=1,Settings!$C$6,Settings!$C$7))*100)</f>
        <v/>
      </c>
      <c r="AF78" s="7" t="n"/>
      <c r="AI78" s="11" t="n"/>
      <c r="AK78">
        <f>IF($D78="","",IF(COUNTIF($D$2:$D78,$D78)=1,1,0))</f>
        <v/>
      </c>
      <c r="AL78">
        <f>IF($AK78=1,SUMPRODUCT(--($AO$2:$AO$201&lt;$AO78))+1,"")</f>
        <v/>
      </c>
      <c r="AM78">
        <f>IF($D78="","",IF(OR($R78=TRUE(),$R78="TRUE"),1,0))</f>
        <v/>
      </c>
      <c r="AN78">
        <f>IF($D78="","",IF($AA78="Yes",1,0))</f>
        <v/>
      </c>
      <c r="AO78">
        <f>IF($AK78=1,IFERROR(IF(VALUE($D78)&lt;100000000,VALUE($D78),1000000000),IFERROR(IF(VALUE(MID($D78,2,20))&lt;100000000,VALUE(MID($D78,2,20)),1000000000),1000000000))+ROW()/100000,"")</f>
        <v/>
      </c>
    </row>
    <row r="79">
      <c r="F79" s="11" t="n"/>
      <c r="N79" s="7">
        <f>IF($D79="","",M79*X79/100)</f>
        <v/>
      </c>
      <c r="O79" s="7" t="n"/>
      <c r="U79" s="7" t="n"/>
      <c r="V79" s="7" t="n"/>
      <c r="W79" s="7">
        <f>IF($D79="","",V79*AB79/100)</f>
        <v/>
      </c>
      <c r="X79" s="7">
        <f>IF($D79="","",V79-W79)</f>
        <v/>
      </c>
      <c r="Y79" s="7">
        <f>IF($D79="","",X79-N79)</f>
        <v/>
      </c>
      <c r="AB79">
        <f>IF($D79="","",IF($AN79=1,Settings!$C$8,IF($AM79=1,Settings!$C$6,Settings!$C$7))*100)</f>
        <v/>
      </c>
      <c r="AF79" s="7" t="n"/>
      <c r="AI79" s="11" t="n"/>
      <c r="AK79">
        <f>IF($D79="","",IF(COUNTIF($D$2:$D79,$D79)=1,1,0))</f>
        <v/>
      </c>
      <c r="AL79">
        <f>IF($AK79=1,SUMPRODUCT(--($AO$2:$AO$201&lt;$AO79))+1,"")</f>
        <v/>
      </c>
      <c r="AM79">
        <f>IF($D79="","",IF(OR($R79=TRUE(),$R79="TRUE"),1,0))</f>
        <v/>
      </c>
      <c r="AN79">
        <f>IF($D79="","",IF($AA79="Yes",1,0))</f>
        <v/>
      </c>
      <c r="AO79">
        <f>IF($AK79=1,IFERROR(IF(VALUE($D79)&lt;100000000,VALUE($D79),1000000000),IFERROR(IF(VALUE(MID($D79,2,20))&lt;100000000,VALUE(MID($D79,2,20)),1000000000),1000000000))+ROW()/100000,"")</f>
        <v/>
      </c>
    </row>
    <row r="80">
      <c r="F80" s="11" t="n"/>
      <c r="N80" s="7">
        <f>IF($D80="","",M80*X80/100)</f>
        <v/>
      </c>
      <c r="O80" s="7" t="n"/>
      <c r="U80" s="7" t="n"/>
      <c r="V80" s="7" t="n"/>
      <c r="W80" s="7">
        <f>IF($D80="","",V80*AB80/100)</f>
        <v/>
      </c>
      <c r="X80" s="7">
        <f>IF($D80="","",V80-W80)</f>
        <v/>
      </c>
      <c r="Y80" s="7">
        <f>IF($D80="","",X80-N80)</f>
        <v/>
      </c>
      <c r="AB80">
        <f>IF($D80="","",IF($AN80=1,Settings!$C$8,IF($AM80=1,Settings!$C$6,Settings!$C$7))*100)</f>
        <v/>
      </c>
      <c r="AF80" s="7" t="n"/>
      <c r="AI80" s="11" t="n"/>
      <c r="AK80">
        <f>IF($D80="","",IF(COUNTIF($D$2:$D80,$D80)=1,1,0))</f>
        <v/>
      </c>
      <c r="AL80">
        <f>IF($AK80=1,SUMPRODUCT(--($AO$2:$AO$201&lt;$AO80))+1,"")</f>
        <v/>
      </c>
      <c r="AM80">
        <f>IF($D80="","",IF(OR($R80=TRUE(),$R80="TRUE"),1,0))</f>
        <v/>
      </c>
      <c r="AN80">
        <f>IF($D80="","",IF($AA80="Yes",1,0))</f>
        <v/>
      </c>
      <c r="AO80">
        <f>IF($AK80=1,IFERROR(IF(VALUE($D80)&lt;100000000,VALUE($D80),1000000000),IFERROR(IF(VALUE(MID($D80,2,20))&lt;100000000,VALUE(MID($D80,2,20)),1000000000),1000000000))+ROW()/100000,"")</f>
        <v/>
      </c>
    </row>
    <row r="81">
      <c r="F81" s="11" t="n"/>
      <c r="N81" s="7">
        <f>IF($D81="","",M81*X81/100)</f>
        <v/>
      </c>
      <c r="O81" s="7" t="n"/>
      <c r="U81" s="7" t="n"/>
      <c r="V81" s="7" t="n"/>
      <c r="W81" s="7">
        <f>IF($D81="","",V81*AB81/100)</f>
        <v/>
      </c>
      <c r="X81" s="7">
        <f>IF($D81="","",V81-W81)</f>
        <v/>
      </c>
      <c r="Y81" s="7">
        <f>IF($D81="","",X81-N81)</f>
        <v/>
      </c>
      <c r="AB81">
        <f>IF($D81="","",IF($AN81=1,Settings!$C$8,IF($AM81=1,Settings!$C$6,Settings!$C$7))*100)</f>
        <v/>
      </c>
      <c r="AF81" s="7" t="n"/>
      <c r="AI81" s="11" t="n"/>
      <c r="AK81">
        <f>IF($D81="","",IF(COUNTIF($D$2:$D81,$D81)=1,1,0))</f>
        <v/>
      </c>
      <c r="AL81">
        <f>IF($AK81=1,SUMPRODUCT(--($AO$2:$AO$201&lt;$AO81))+1,"")</f>
        <v/>
      </c>
      <c r="AM81">
        <f>IF($D81="","",IF(OR($R81=TRUE(),$R81="TRUE"),1,0))</f>
        <v/>
      </c>
      <c r="AN81">
        <f>IF($D81="","",IF($AA81="Yes",1,0))</f>
        <v/>
      </c>
      <c r="AO81">
        <f>IF($AK81=1,IFERROR(IF(VALUE($D81)&lt;100000000,VALUE($D81),1000000000),IFERROR(IF(VALUE(MID($D81,2,20))&lt;100000000,VALUE(MID($D81,2,20)),1000000000),1000000000))+ROW()/100000,"")</f>
        <v/>
      </c>
    </row>
    <row r="82">
      <c r="F82" s="11" t="n"/>
      <c r="N82" s="7">
        <f>IF($D82="","",M82*X82/100)</f>
        <v/>
      </c>
      <c r="O82" s="7" t="n"/>
      <c r="U82" s="7" t="n"/>
      <c r="V82" s="7" t="n"/>
      <c r="W82" s="7">
        <f>IF($D82="","",V82*AB82/100)</f>
        <v/>
      </c>
      <c r="X82" s="7">
        <f>IF($D82="","",V82-W82)</f>
        <v/>
      </c>
      <c r="Y82" s="7">
        <f>IF($D82="","",X82-N82)</f>
        <v/>
      </c>
      <c r="AB82">
        <f>IF($D82="","",IF($AN82=1,Settings!$C$8,IF($AM82=1,Settings!$C$6,Settings!$C$7))*100)</f>
        <v/>
      </c>
      <c r="AF82" s="7" t="n"/>
      <c r="AI82" s="11" t="n"/>
      <c r="AK82">
        <f>IF($D82="","",IF(COUNTIF($D$2:$D82,$D82)=1,1,0))</f>
        <v/>
      </c>
      <c r="AL82">
        <f>IF($AK82=1,SUMPRODUCT(--($AO$2:$AO$201&lt;$AO82))+1,"")</f>
        <v/>
      </c>
      <c r="AM82">
        <f>IF($D82="","",IF(OR($R82=TRUE(),$R82="TRUE"),1,0))</f>
        <v/>
      </c>
      <c r="AN82">
        <f>IF($D82="","",IF($AA82="Yes",1,0))</f>
        <v/>
      </c>
      <c r="AO82">
        <f>IF($AK82=1,IFERROR(IF(VALUE($D82)&lt;100000000,VALUE($D82),1000000000),IFERROR(IF(VALUE(MID($D82,2,20))&lt;100000000,VALUE(MID($D82,2,20)),1000000000),1000000000))+ROW()/100000,"")</f>
        <v/>
      </c>
    </row>
    <row r="83">
      <c r="F83" s="11" t="n"/>
      <c r="N83" s="7">
        <f>IF($D83="","",M83*X83/100)</f>
        <v/>
      </c>
      <c r="O83" s="7" t="n"/>
      <c r="U83" s="7" t="n"/>
      <c r="V83" s="7" t="n"/>
      <c r="W83" s="7">
        <f>IF($D83="","",V83*AB83/100)</f>
        <v/>
      </c>
      <c r="X83" s="7">
        <f>IF($D83="","",V83-W83)</f>
        <v/>
      </c>
      <c r="Y83" s="7">
        <f>IF($D83="","",X83-N83)</f>
        <v/>
      </c>
      <c r="AB83">
        <f>IF($D83="","",IF($AN83=1,Settings!$C$8,IF($AM83=1,Settings!$C$6,Settings!$C$7))*100)</f>
        <v/>
      </c>
      <c r="AF83" s="7" t="n"/>
      <c r="AI83" s="11" t="n"/>
      <c r="AK83">
        <f>IF($D83="","",IF(COUNTIF($D$2:$D83,$D83)=1,1,0))</f>
        <v/>
      </c>
      <c r="AL83">
        <f>IF($AK83=1,SUMPRODUCT(--($AO$2:$AO$201&lt;$AO83))+1,"")</f>
        <v/>
      </c>
      <c r="AM83">
        <f>IF($D83="","",IF(OR($R83=TRUE(),$R83="TRUE"),1,0))</f>
        <v/>
      </c>
      <c r="AN83">
        <f>IF($D83="","",IF($AA83="Yes",1,0))</f>
        <v/>
      </c>
      <c r="AO83">
        <f>IF($AK83=1,IFERROR(IF(VALUE($D83)&lt;100000000,VALUE($D83),1000000000),IFERROR(IF(VALUE(MID($D83,2,20))&lt;100000000,VALUE(MID($D83,2,20)),1000000000),1000000000))+ROW()/100000,"")</f>
        <v/>
      </c>
    </row>
    <row r="84">
      <c r="F84" s="11" t="n"/>
      <c r="N84" s="7">
        <f>IF($D84="","",M84*X84/100)</f>
        <v/>
      </c>
      <c r="O84" s="7" t="n"/>
      <c r="U84" s="7" t="n"/>
      <c r="V84" s="7" t="n"/>
      <c r="W84" s="7">
        <f>IF($D84="","",V84*AB84/100)</f>
        <v/>
      </c>
      <c r="X84" s="7">
        <f>IF($D84="","",V84-W84)</f>
        <v/>
      </c>
      <c r="Y84" s="7">
        <f>IF($D84="","",X84-N84)</f>
        <v/>
      </c>
      <c r="AB84">
        <f>IF($D84="","",IF($AN84=1,Settings!$C$8,IF($AM84=1,Settings!$C$6,Settings!$C$7))*100)</f>
        <v/>
      </c>
      <c r="AF84" s="7" t="n"/>
      <c r="AI84" s="11" t="n"/>
      <c r="AK84">
        <f>IF($D84="","",IF(COUNTIF($D$2:$D84,$D84)=1,1,0))</f>
        <v/>
      </c>
      <c r="AL84">
        <f>IF($AK84=1,SUMPRODUCT(--($AO$2:$AO$201&lt;$AO84))+1,"")</f>
        <v/>
      </c>
      <c r="AM84">
        <f>IF($D84="","",IF(OR($R84=TRUE(),$R84="TRUE"),1,0))</f>
        <v/>
      </c>
      <c r="AN84">
        <f>IF($D84="","",IF($AA84="Yes",1,0))</f>
        <v/>
      </c>
      <c r="AO84">
        <f>IF($AK84=1,IFERROR(IF(VALUE($D84)&lt;100000000,VALUE($D84),1000000000),IFERROR(IF(VALUE(MID($D84,2,20))&lt;100000000,VALUE(MID($D84,2,20)),1000000000),1000000000))+ROW()/100000,"")</f>
        <v/>
      </c>
    </row>
    <row r="85">
      <c r="F85" s="11" t="n"/>
      <c r="N85" s="7">
        <f>IF($D85="","",M85*X85/100)</f>
        <v/>
      </c>
      <c r="O85" s="7" t="n"/>
      <c r="U85" s="7" t="n"/>
      <c r="V85" s="7" t="n"/>
      <c r="W85" s="7">
        <f>IF($D85="","",V85*AB85/100)</f>
        <v/>
      </c>
      <c r="X85" s="7">
        <f>IF($D85="","",V85-W85)</f>
        <v/>
      </c>
      <c r="Y85" s="7">
        <f>IF($D85="","",X85-N85)</f>
        <v/>
      </c>
      <c r="AB85">
        <f>IF($D85="","",IF($AN85=1,Settings!$C$8,IF($AM85=1,Settings!$C$6,Settings!$C$7))*100)</f>
        <v/>
      </c>
      <c r="AF85" s="7" t="n"/>
      <c r="AI85" s="11" t="n"/>
      <c r="AK85">
        <f>IF($D85="","",IF(COUNTIF($D$2:$D85,$D85)=1,1,0))</f>
        <v/>
      </c>
      <c r="AL85">
        <f>IF($AK85=1,SUMPRODUCT(--($AO$2:$AO$201&lt;$AO85))+1,"")</f>
        <v/>
      </c>
      <c r="AM85">
        <f>IF($D85="","",IF(OR($R85=TRUE(),$R85="TRUE"),1,0))</f>
        <v/>
      </c>
      <c r="AN85">
        <f>IF($D85="","",IF($AA85="Yes",1,0))</f>
        <v/>
      </c>
      <c r="AO85">
        <f>IF($AK85=1,IFERROR(IF(VALUE($D85)&lt;100000000,VALUE($D85),1000000000),IFERROR(IF(VALUE(MID($D85,2,20))&lt;100000000,VALUE(MID($D85,2,20)),1000000000),1000000000))+ROW()/100000,"")</f>
        <v/>
      </c>
    </row>
    <row r="86">
      <c r="F86" s="11" t="n"/>
      <c r="N86" s="7">
        <f>IF($D86="","",M86*X86/100)</f>
        <v/>
      </c>
      <c r="O86" s="7" t="n"/>
      <c r="U86" s="7" t="n"/>
      <c r="V86" s="7" t="n"/>
      <c r="W86" s="7">
        <f>IF($D86="","",V86*AB86/100)</f>
        <v/>
      </c>
      <c r="X86" s="7">
        <f>IF($D86="","",V86-W86)</f>
        <v/>
      </c>
      <c r="Y86" s="7">
        <f>IF($D86="","",X86-N86)</f>
        <v/>
      </c>
      <c r="AB86">
        <f>IF($D86="","",IF($AN86=1,Settings!$C$8,IF($AM86=1,Settings!$C$6,Settings!$C$7))*100)</f>
        <v/>
      </c>
      <c r="AF86" s="7" t="n"/>
      <c r="AI86" s="11" t="n"/>
      <c r="AK86">
        <f>IF($D86="","",IF(COUNTIF($D$2:$D86,$D86)=1,1,0))</f>
        <v/>
      </c>
      <c r="AL86">
        <f>IF($AK86=1,SUMPRODUCT(--($AO$2:$AO$201&lt;$AO86))+1,"")</f>
        <v/>
      </c>
      <c r="AM86">
        <f>IF($D86="","",IF(OR($R86=TRUE(),$R86="TRUE"),1,0))</f>
        <v/>
      </c>
      <c r="AN86">
        <f>IF($D86="","",IF($AA86="Yes",1,0))</f>
        <v/>
      </c>
      <c r="AO86">
        <f>IF($AK86=1,IFERROR(IF(VALUE($D86)&lt;100000000,VALUE($D86),1000000000),IFERROR(IF(VALUE(MID($D86,2,20))&lt;100000000,VALUE(MID($D86,2,20)),1000000000),1000000000))+ROW()/100000,"")</f>
        <v/>
      </c>
    </row>
    <row r="87">
      <c r="F87" s="11" t="n"/>
      <c r="N87" s="7">
        <f>IF($D87="","",M87*X87/100)</f>
        <v/>
      </c>
      <c r="O87" s="7" t="n"/>
      <c r="U87" s="7" t="n"/>
      <c r="V87" s="7" t="n"/>
      <c r="W87" s="7">
        <f>IF($D87="","",V87*AB87/100)</f>
        <v/>
      </c>
      <c r="X87" s="7">
        <f>IF($D87="","",V87-W87)</f>
        <v/>
      </c>
      <c r="Y87" s="7">
        <f>IF($D87="","",X87-N87)</f>
        <v/>
      </c>
      <c r="AB87">
        <f>IF($D87="","",IF($AN87=1,Settings!$C$8,IF($AM87=1,Settings!$C$6,Settings!$C$7))*100)</f>
        <v/>
      </c>
      <c r="AF87" s="7" t="n"/>
      <c r="AI87" s="11" t="n"/>
      <c r="AK87">
        <f>IF($D87="","",IF(COUNTIF($D$2:$D87,$D87)=1,1,0))</f>
        <v/>
      </c>
      <c r="AL87">
        <f>IF($AK87=1,SUMPRODUCT(--($AO$2:$AO$201&lt;$AO87))+1,"")</f>
        <v/>
      </c>
      <c r="AM87">
        <f>IF($D87="","",IF(OR($R87=TRUE(),$R87="TRUE"),1,0))</f>
        <v/>
      </c>
      <c r="AN87">
        <f>IF($D87="","",IF($AA87="Yes",1,0))</f>
        <v/>
      </c>
      <c r="AO87">
        <f>IF($AK87=1,IFERROR(IF(VALUE($D87)&lt;100000000,VALUE($D87),1000000000),IFERROR(IF(VALUE(MID($D87,2,20))&lt;100000000,VALUE(MID($D87,2,20)),1000000000),1000000000))+ROW()/100000,"")</f>
        <v/>
      </c>
    </row>
    <row r="88">
      <c r="F88" s="11" t="n"/>
      <c r="N88" s="7">
        <f>IF($D88="","",M88*X88/100)</f>
        <v/>
      </c>
      <c r="O88" s="7" t="n"/>
      <c r="U88" s="7" t="n"/>
      <c r="V88" s="7" t="n"/>
      <c r="W88" s="7">
        <f>IF($D88="","",V88*AB88/100)</f>
        <v/>
      </c>
      <c r="X88" s="7">
        <f>IF($D88="","",V88-W88)</f>
        <v/>
      </c>
      <c r="Y88" s="7">
        <f>IF($D88="","",X88-N88)</f>
        <v/>
      </c>
      <c r="AB88">
        <f>IF($D88="","",IF($AN88=1,Settings!$C$8,IF($AM88=1,Settings!$C$6,Settings!$C$7))*100)</f>
        <v/>
      </c>
      <c r="AF88" s="7" t="n"/>
      <c r="AI88" s="11" t="n"/>
      <c r="AK88">
        <f>IF($D88="","",IF(COUNTIF($D$2:$D88,$D88)=1,1,0))</f>
        <v/>
      </c>
      <c r="AL88">
        <f>IF($AK88=1,SUMPRODUCT(--($AO$2:$AO$201&lt;$AO88))+1,"")</f>
        <v/>
      </c>
      <c r="AM88">
        <f>IF($D88="","",IF(OR($R88=TRUE(),$R88="TRUE"),1,0))</f>
        <v/>
      </c>
      <c r="AN88">
        <f>IF($D88="","",IF($AA88="Yes",1,0))</f>
        <v/>
      </c>
      <c r="AO88">
        <f>IF($AK88=1,IFERROR(IF(VALUE($D88)&lt;100000000,VALUE($D88),1000000000),IFERROR(IF(VALUE(MID($D88,2,20))&lt;100000000,VALUE(MID($D88,2,20)),1000000000),1000000000))+ROW()/100000,"")</f>
        <v/>
      </c>
    </row>
    <row r="89">
      <c r="F89" s="11" t="n"/>
      <c r="N89" s="7">
        <f>IF($D89="","",M89*X89/100)</f>
        <v/>
      </c>
      <c r="O89" s="7" t="n"/>
      <c r="U89" s="7" t="n"/>
      <c r="V89" s="7" t="n"/>
      <c r="W89" s="7">
        <f>IF($D89="","",V89*AB89/100)</f>
        <v/>
      </c>
      <c r="X89" s="7">
        <f>IF($D89="","",V89-W89)</f>
        <v/>
      </c>
      <c r="Y89" s="7">
        <f>IF($D89="","",X89-N89)</f>
        <v/>
      </c>
      <c r="AB89">
        <f>IF($D89="","",IF($AN89=1,Settings!$C$8,IF($AM89=1,Settings!$C$6,Settings!$C$7))*100)</f>
        <v/>
      </c>
      <c r="AF89" s="7" t="n"/>
      <c r="AI89" s="11" t="n"/>
      <c r="AK89">
        <f>IF($D89="","",IF(COUNTIF($D$2:$D89,$D89)=1,1,0))</f>
        <v/>
      </c>
      <c r="AL89">
        <f>IF($AK89=1,SUMPRODUCT(--($AO$2:$AO$201&lt;$AO89))+1,"")</f>
        <v/>
      </c>
      <c r="AM89">
        <f>IF($D89="","",IF(OR($R89=TRUE(),$R89="TRUE"),1,0))</f>
        <v/>
      </c>
      <c r="AN89">
        <f>IF($D89="","",IF($AA89="Yes",1,0))</f>
        <v/>
      </c>
      <c r="AO89">
        <f>IF($AK89=1,IFERROR(IF(VALUE($D89)&lt;100000000,VALUE($D89),1000000000),IFERROR(IF(VALUE(MID($D89,2,20))&lt;100000000,VALUE(MID($D89,2,20)),1000000000),1000000000))+ROW()/100000,"")</f>
        <v/>
      </c>
    </row>
    <row r="90">
      <c r="F90" s="11" t="n"/>
      <c r="N90" s="7">
        <f>IF($D90="","",M90*X90/100)</f>
        <v/>
      </c>
      <c r="O90" s="7" t="n"/>
      <c r="U90" s="7" t="n"/>
      <c r="V90" s="7" t="n"/>
      <c r="W90" s="7">
        <f>IF($D90="","",V90*AB90/100)</f>
        <v/>
      </c>
      <c r="X90" s="7">
        <f>IF($D90="","",V90-W90)</f>
        <v/>
      </c>
      <c r="Y90" s="7">
        <f>IF($D90="","",X90-N90)</f>
        <v/>
      </c>
      <c r="AB90">
        <f>IF($D90="","",IF($AN90=1,Settings!$C$8,IF($AM90=1,Settings!$C$6,Settings!$C$7))*100)</f>
        <v/>
      </c>
      <c r="AF90" s="7" t="n"/>
      <c r="AI90" s="11" t="n"/>
      <c r="AK90">
        <f>IF($D90="","",IF(COUNTIF($D$2:$D90,$D90)=1,1,0))</f>
        <v/>
      </c>
      <c r="AL90">
        <f>IF($AK90=1,SUMPRODUCT(--($AO$2:$AO$201&lt;$AO90))+1,"")</f>
        <v/>
      </c>
      <c r="AM90">
        <f>IF($D90="","",IF(OR($R90=TRUE(),$R90="TRUE"),1,0))</f>
        <v/>
      </c>
      <c r="AN90">
        <f>IF($D90="","",IF($AA90="Yes",1,0))</f>
        <v/>
      </c>
      <c r="AO90">
        <f>IF($AK90=1,IFERROR(IF(VALUE($D90)&lt;100000000,VALUE($D90),1000000000),IFERROR(IF(VALUE(MID($D90,2,20))&lt;100000000,VALUE(MID($D90,2,20)),1000000000),1000000000))+ROW()/100000,"")</f>
        <v/>
      </c>
    </row>
    <row r="91">
      <c r="F91" s="11" t="n"/>
      <c r="N91" s="7">
        <f>IF($D91="","",M91*X91/100)</f>
        <v/>
      </c>
      <c r="O91" s="7" t="n"/>
      <c r="U91" s="7" t="n"/>
      <c r="V91" s="7" t="n"/>
      <c r="W91" s="7">
        <f>IF($D91="","",V91*AB91/100)</f>
        <v/>
      </c>
      <c r="X91" s="7">
        <f>IF($D91="","",V91-W91)</f>
        <v/>
      </c>
      <c r="Y91" s="7">
        <f>IF($D91="","",X91-N91)</f>
        <v/>
      </c>
      <c r="AB91">
        <f>IF($D91="","",IF($AN91=1,Settings!$C$8,IF($AM91=1,Settings!$C$6,Settings!$C$7))*100)</f>
        <v/>
      </c>
      <c r="AF91" s="7" t="n"/>
      <c r="AI91" s="11" t="n"/>
      <c r="AK91">
        <f>IF($D91="","",IF(COUNTIF($D$2:$D91,$D91)=1,1,0))</f>
        <v/>
      </c>
      <c r="AL91">
        <f>IF($AK91=1,SUMPRODUCT(--($AO$2:$AO$201&lt;$AO91))+1,"")</f>
        <v/>
      </c>
      <c r="AM91">
        <f>IF($D91="","",IF(OR($R91=TRUE(),$R91="TRUE"),1,0))</f>
        <v/>
      </c>
      <c r="AN91">
        <f>IF($D91="","",IF($AA91="Yes",1,0))</f>
        <v/>
      </c>
      <c r="AO91">
        <f>IF($AK91=1,IFERROR(IF(VALUE($D91)&lt;100000000,VALUE($D91),1000000000),IFERROR(IF(VALUE(MID($D91,2,20))&lt;100000000,VALUE(MID($D91,2,20)),1000000000),1000000000))+ROW()/100000,"")</f>
        <v/>
      </c>
    </row>
    <row r="92">
      <c r="F92" s="11" t="n"/>
      <c r="N92" s="7">
        <f>IF($D92="","",M92*X92/100)</f>
        <v/>
      </c>
      <c r="O92" s="7" t="n"/>
      <c r="U92" s="7" t="n"/>
      <c r="V92" s="7" t="n"/>
      <c r="W92" s="7">
        <f>IF($D92="","",V92*AB92/100)</f>
        <v/>
      </c>
      <c r="X92" s="7">
        <f>IF($D92="","",V92-W92)</f>
        <v/>
      </c>
      <c r="Y92" s="7">
        <f>IF($D92="","",X92-N92)</f>
        <v/>
      </c>
      <c r="AB92">
        <f>IF($D92="","",IF($AN92=1,Settings!$C$8,IF($AM92=1,Settings!$C$6,Settings!$C$7))*100)</f>
        <v/>
      </c>
      <c r="AF92" s="7" t="n"/>
      <c r="AI92" s="11" t="n"/>
      <c r="AK92">
        <f>IF($D92="","",IF(COUNTIF($D$2:$D92,$D92)=1,1,0))</f>
        <v/>
      </c>
      <c r="AL92">
        <f>IF($AK92=1,SUMPRODUCT(--($AO$2:$AO$201&lt;$AO92))+1,"")</f>
        <v/>
      </c>
      <c r="AM92">
        <f>IF($D92="","",IF(OR($R92=TRUE(),$R92="TRUE"),1,0))</f>
        <v/>
      </c>
      <c r="AN92">
        <f>IF($D92="","",IF($AA92="Yes",1,0))</f>
        <v/>
      </c>
      <c r="AO92">
        <f>IF($AK92=1,IFERROR(IF(VALUE($D92)&lt;100000000,VALUE($D92),1000000000),IFERROR(IF(VALUE(MID($D92,2,20))&lt;100000000,VALUE(MID($D92,2,20)),1000000000),1000000000))+ROW()/100000,"")</f>
        <v/>
      </c>
    </row>
    <row r="93">
      <c r="F93" s="11" t="n"/>
      <c r="N93" s="7">
        <f>IF($D93="","",M93*X93/100)</f>
        <v/>
      </c>
      <c r="O93" s="7" t="n"/>
      <c r="U93" s="7" t="n"/>
      <c r="V93" s="7" t="n"/>
      <c r="W93" s="7">
        <f>IF($D93="","",V93*AB93/100)</f>
        <v/>
      </c>
      <c r="X93" s="7">
        <f>IF($D93="","",V93-W93)</f>
        <v/>
      </c>
      <c r="Y93" s="7">
        <f>IF($D93="","",X93-N93)</f>
        <v/>
      </c>
      <c r="AB93">
        <f>IF($D93="","",IF($AN93=1,Settings!$C$8,IF($AM93=1,Settings!$C$6,Settings!$C$7))*100)</f>
        <v/>
      </c>
      <c r="AF93" s="7" t="n"/>
      <c r="AI93" s="11" t="n"/>
      <c r="AK93">
        <f>IF($D93="","",IF(COUNTIF($D$2:$D93,$D93)=1,1,0))</f>
        <v/>
      </c>
      <c r="AL93">
        <f>IF($AK93=1,SUMPRODUCT(--($AO$2:$AO$201&lt;$AO93))+1,"")</f>
        <v/>
      </c>
      <c r="AM93">
        <f>IF($D93="","",IF(OR($R93=TRUE(),$R93="TRUE"),1,0))</f>
        <v/>
      </c>
      <c r="AN93">
        <f>IF($D93="","",IF($AA93="Yes",1,0))</f>
        <v/>
      </c>
      <c r="AO93">
        <f>IF($AK93=1,IFERROR(IF(VALUE($D93)&lt;100000000,VALUE($D93),1000000000),IFERROR(IF(VALUE(MID($D93,2,20))&lt;100000000,VALUE(MID($D93,2,20)),1000000000),1000000000))+ROW()/100000,"")</f>
        <v/>
      </c>
    </row>
    <row r="94">
      <c r="F94" s="11" t="n"/>
      <c r="N94" s="7">
        <f>IF($D94="","",M94*X94/100)</f>
        <v/>
      </c>
      <c r="O94" s="7" t="n"/>
      <c r="U94" s="7" t="n"/>
      <c r="V94" s="7" t="n"/>
      <c r="W94" s="7">
        <f>IF($D94="","",V94*AB94/100)</f>
        <v/>
      </c>
      <c r="X94" s="7">
        <f>IF($D94="","",V94-W94)</f>
        <v/>
      </c>
      <c r="Y94" s="7">
        <f>IF($D94="","",X94-N94)</f>
        <v/>
      </c>
      <c r="AB94">
        <f>IF($D94="","",IF($AN94=1,Settings!$C$8,IF($AM94=1,Settings!$C$6,Settings!$C$7))*100)</f>
        <v/>
      </c>
      <c r="AF94" s="7" t="n"/>
      <c r="AI94" s="11" t="n"/>
      <c r="AK94">
        <f>IF($D94="","",IF(COUNTIF($D$2:$D94,$D94)=1,1,0))</f>
        <v/>
      </c>
      <c r="AL94">
        <f>IF($AK94=1,SUMPRODUCT(--($AO$2:$AO$201&lt;$AO94))+1,"")</f>
        <v/>
      </c>
      <c r="AM94">
        <f>IF($D94="","",IF(OR($R94=TRUE(),$R94="TRUE"),1,0))</f>
        <v/>
      </c>
      <c r="AN94">
        <f>IF($D94="","",IF($AA94="Yes",1,0))</f>
        <v/>
      </c>
      <c r="AO94">
        <f>IF($AK94=1,IFERROR(IF(VALUE($D94)&lt;100000000,VALUE($D94),1000000000),IFERROR(IF(VALUE(MID($D94,2,20))&lt;100000000,VALUE(MID($D94,2,20)),1000000000),1000000000))+ROW()/100000,"")</f>
        <v/>
      </c>
    </row>
    <row r="95">
      <c r="F95" s="11" t="n"/>
      <c r="N95" s="7">
        <f>IF($D95="","",M95*X95/100)</f>
        <v/>
      </c>
      <c r="O95" s="7" t="n"/>
      <c r="U95" s="7" t="n"/>
      <c r="V95" s="7" t="n"/>
      <c r="W95" s="7">
        <f>IF($D95="","",V95*AB95/100)</f>
        <v/>
      </c>
      <c r="X95" s="7">
        <f>IF($D95="","",V95-W95)</f>
        <v/>
      </c>
      <c r="Y95" s="7">
        <f>IF($D95="","",X95-N95)</f>
        <v/>
      </c>
      <c r="AB95">
        <f>IF($D95="","",IF($AN95=1,Settings!$C$8,IF($AM95=1,Settings!$C$6,Settings!$C$7))*100)</f>
        <v/>
      </c>
      <c r="AF95" s="7" t="n"/>
      <c r="AI95" s="11" t="n"/>
      <c r="AK95">
        <f>IF($D95="","",IF(COUNTIF($D$2:$D95,$D95)=1,1,0))</f>
        <v/>
      </c>
      <c r="AL95">
        <f>IF($AK95=1,SUMPRODUCT(--($AO$2:$AO$201&lt;$AO95))+1,"")</f>
        <v/>
      </c>
      <c r="AM95">
        <f>IF($D95="","",IF(OR($R95=TRUE(),$R95="TRUE"),1,0))</f>
        <v/>
      </c>
      <c r="AN95">
        <f>IF($D95="","",IF($AA95="Yes",1,0))</f>
        <v/>
      </c>
      <c r="AO95">
        <f>IF($AK95=1,IFERROR(IF(VALUE($D95)&lt;100000000,VALUE($D95),1000000000),IFERROR(IF(VALUE(MID($D95,2,20))&lt;100000000,VALUE(MID($D95,2,20)),1000000000),1000000000))+ROW()/100000,"")</f>
        <v/>
      </c>
    </row>
    <row r="96">
      <c r="F96" s="11" t="n"/>
      <c r="N96" s="7">
        <f>IF($D96="","",M96*X96/100)</f>
        <v/>
      </c>
      <c r="O96" s="7" t="n"/>
      <c r="U96" s="7" t="n"/>
      <c r="V96" s="7" t="n"/>
      <c r="W96" s="7">
        <f>IF($D96="","",V96*AB96/100)</f>
        <v/>
      </c>
      <c r="X96" s="7">
        <f>IF($D96="","",V96-W96)</f>
        <v/>
      </c>
      <c r="Y96" s="7">
        <f>IF($D96="","",X96-N96)</f>
        <v/>
      </c>
      <c r="AB96">
        <f>IF($D96="","",IF($AN96=1,Settings!$C$8,IF($AM96=1,Settings!$C$6,Settings!$C$7))*100)</f>
        <v/>
      </c>
      <c r="AF96" s="7" t="n"/>
      <c r="AI96" s="11" t="n"/>
      <c r="AK96">
        <f>IF($D96="","",IF(COUNTIF($D$2:$D96,$D96)=1,1,0))</f>
        <v/>
      </c>
      <c r="AL96">
        <f>IF($AK96=1,SUMPRODUCT(--($AO$2:$AO$201&lt;$AO96))+1,"")</f>
        <v/>
      </c>
      <c r="AM96">
        <f>IF($D96="","",IF(OR($R96=TRUE(),$R96="TRUE"),1,0))</f>
        <v/>
      </c>
      <c r="AN96">
        <f>IF($D96="","",IF($AA96="Yes",1,0))</f>
        <v/>
      </c>
      <c r="AO96">
        <f>IF($AK96=1,IFERROR(IF(VALUE($D96)&lt;100000000,VALUE($D96),1000000000),IFERROR(IF(VALUE(MID($D96,2,20))&lt;100000000,VALUE(MID($D96,2,20)),1000000000),1000000000))+ROW()/100000,"")</f>
        <v/>
      </c>
    </row>
    <row r="97">
      <c r="F97" s="11" t="n"/>
      <c r="N97" s="7">
        <f>IF($D97="","",M97*X97/100)</f>
        <v/>
      </c>
      <c r="O97" s="7" t="n"/>
      <c r="U97" s="7" t="n"/>
      <c r="V97" s="7" t="n"/>
      <c r="W97" s="7">
        <f>IF($D97="","",V97*AB97/100)</f>
        <v/>
      </c>
      <c r="X97" s="7">
        <f>IF($D97="","",V97-W97)</f>
        <v/>
      </c>
      <c r="Y97" s="7">
        <f>IF($D97="","",X97-N97)</f>
        <v/>
      </c>
      <c r="AB97">
        <f>IF($D97="","",IF($AN97=1,Settings!$C$8,IF($AM97=1,Settings!$C$6,Settings!$C$7))*100)</f>
        <v/>
      </c>
      <c r="AF97" s="7" t="n"/>
      <c r="AI97" s="11" t="n"/>
      <c r="AK97">
        <f>IF($D97="","",IF(COUNTIF($D$2:$D97,$D97)=1,1,0))</f>
        <v/>
      </c>
      <c r="AL97">
        <f>IF($AK97=1,SUMPRODUCT(--($AO$2:$AO$201&lt;$AO97))+1,"")</f>
        <v/>
      </c>
      <c r="AM97">
        <f>IF($D97="","",IF(OR($R97=TRUE(),$R97="TRUE"),1,0))</f>
        <v/>
      </c>
      <c r="AN97">
        <f>IF($D97="","",IF($AA97="Yes",1,0))</f>
        <v/>
      </c>
      <c r="AO97">
        <f>IF($AK97=1,IFERROR(IF(VALUE($D97)&lt;100000000,VALUE($D97),1000000000),IFERROR(IF(VALUE(MID($D97,2,20))&lt;100000000,VALUE(MID($D97,2,20)),1000000000),1000000000))+ROW()/100000,"")</f>
        <v/>
      </c>
    </row>
    <row r="98">
      <c r="F98" s="11" t="n"/>
      <c r="N98" s="7">
        <f>IF($D98="","",M98*X98/100)</f>
        <v/>
      </c>
      <c r="O98" s="7" t="n"/>
      <c r="U98" s="7" t="n"/>
      <c r="V98" s="7" t="n"/>
      <c r="W98" s="7">
        <f>IF($D98="","",V98*AB98/100)</f>
        <v/>
      </c>
      <c r="X98" s="7">
        <f>IF($D98="","",V98-W98)</f>
        <v/>
      </c>
      <c r="Y98" s="7">
        <f>IF($D98="","",X98-N98)</f>
        <v/>
      </c>
      <c r="AB98">
        <f>IF($D98="","",IF($AN98=1,Settings!$C$8,IF($AM98=1,Settings!$C$6,Settings!$C$7))*100)</f>
        <v/>
      </c>
      <c r="AF98" s="7" t="n"/>
      <c r="AI98" s="11" t="n"/>
      <c r="AK98">
        <f>IF($D98="","",IF(COUNTIF($D$2:$D98,$D98)=1,1,0))</f>
        <v/>
      </c>
      <c r="AL98">
        <f>IF($AK98=1,SUMPRODUCT(--($AO$2:$AO$201&lt;$AO98))+1,"")</f>
        <v/>
      </c>
      <c r="AM98">
        <f>IF($D98="","",IF(OR($R98=TRUE(),$R98="TRUE"),1,0))</f>
        <v/>
      </c>
      <c r="AN98">
        <f>IF($D98="","",IF($AA98="Yes",1,0))</f>
        <v/>
      </c>
      <c r="AO98">
        <f>IF($AK98=1,IFERROR(IF(VALUE($D98)&lt;100000000,VALUE($D98),1000000000),IFERROR(IF(VALUE(MID($D98,2,20))&lt;100000000,VALUE(MID($D98,2,20)),1000000000),1000000000))+ROW()/100000,"")</f>
        <v/>
      </c>
    </row>
    <row r="99">
      <c r="F99" s="11" t="n"/>
      <c r="N99" s="7">
        <f>IF($D99="","",M99*X99/100)</f>
        <v/>
      </c>
      <c r="O99" s="7" t="n"/>
      <c r="U99" s="7" t="n"/>
      <c r="V99" s="7" t="n"/>
      <c r="W99" s="7">
        <f>IF($D99="","",V99*AB99/100)</f>
        <v/>
      </c>
      <c r="X99" s="7">
        <f>IF($D99="","",V99-W99)</f>
        <v/>
      </c>
      <c r="Y99" s="7">
        <f>IF($D99="","",X99-N99)</f>
        <v/>
      </c>
      <c r="AB99">
        <f>IF($D99="","",IF($AN99=1,Settings!$C$8,IF($AM99=1,Settings!$C$6,Settings!$C$7))*100)</f>
        <v/>
      </c>
      <c r="AF99" s="7" t="n"/>
      <c r="AI99" s="11" t="n"/>
      <c r="AK99">
        <f>IF($D99="","",IF(COUNTIF($D$2:$D99,$D99)=1,1,0))</f>
        <v/>
      </c>
      <c r="AL99">
        <f>IF($AK99=1,SUMPRODUCT(--($AO$2:$AO$201&lt;$AO99))+1,"")</f>
        <v/>
      </c>
      <c r="AM99">
        <f>IF($D99="","",IF(OR($R99=TRUE(),$R99="TRUE"),1,0))</f>
        <v/>
      </c>
      <c r="AN99">
        <f>IF($D99="","",IF($AA99="Yes",1,0))</f>
        <v/>
      </c>
      <c r="AO99">
        <f>IF($AK99=1,IFERROR(IF(VALUE($D99)&lt;100000000,VALUE($D99),1000000000),IFERROR(IF(VALUE(MID($D99,2,20))&lt;100000000,VALUE(MID($D99,2,20)),1000000000),1000000000))+ROW()/100000,"")</f>
        <v/>
      </c>
    </row>
    <row r="100">
      <c r="F100" s="11" t="n"/>
      <c r="N100" s="7">
        <f>IF($D100="","",M100*X100/100)</f>
        <v/>
      </c>
      <c r="O100" s="7" t="n"/>
      <c r="U100" s="7" t="n"/>
      <c r="V100" s="7" t="n"/>
      <c r="W100" s="7">
        <f>IF($D100="","",V100*AB100/100)</f>
        <v/>
      </c>
      <c r="X100" s="7">
        <f>IF($D100="","",V100-W100)</f>
        <v/>
      </c>
      <c r="Y100" s="7">
        <f>IF($D100="","",X100-N100)</f>
        <v/>
      </c>
      <c r="AB100">
        <f>IF($D100="","",IF($AN100=1,Settings!$C$8,IF($AM100=1,Settings!$C$6,Settings!$C$7))*100)</f>
        <v/>
      </c>
      <c r="AF100" s="7" t="n"/>
      <c r="AI100" s="11" t="n"/>
      <c r="AK100">
        <f>IF($D100="","",IF(COUNTIF($D$2:$D100,$D100)=1,1,0))</f>
        <v/>
      </c>
      <c r="AL100">
        <f>IF($AK100=1,SUMPRODUCT(--($AO$2:$AO$201&lt;$AO100))+1,"")</f>
        <v/>
      </c>
      <c r="AM100">
        <f>IF($D100="","",IF(OR($R100=TRUE(),$R100="TRUE"),1,0))</f>
        <v/>
      </c>
      <c r="AN100">
        <f>IF($D100="","",IF($AA100="Yes",1,0))</f>
        <v/>
      </c>
      <c r="AO100">
        <f>IF($AK100=1,IFERROR(IF(VALUE($D100)&lt;100000000,VALUE($D100),1000000000),IFERROR(IF(VALUE(MID($D100,2,20))&lt;100000000,VALUE(MID($D100,2,20)),1000000000),1000000000))+ROW()/100000,"")</f>
        <v/>
      </c>
    </row>
    <row r="101">
      <c r="F101" s="11" t="n"/>
      <c r="N101" s="7">
        <f>IF($D101="","",M101*X101/100)</f>
        <v/>
      </c>
      <c r="O101" s="7" t="n"/>
      <c r="U101" s="7" t="n"/>
      <c r="V101" s="7" t="n"/>
      <c r="W101" s="7">
        <f>IF($D101="","",V101*AB101/100)</f>
        <v/>
      </c>
      <c r="X101" s="7">
        <f>IF($D101="","",V101-W101)</f>
        <v/>
      </c>
      <c r="Y101" s="7">
        <f>IF($D101="","",X101-N101)</f>
        <v/>
      </c>
      <c r="AB101">
        <f>IF($D101="","",IF($AN101=1,Settings!$C$8,IF($AM101=1,Settings!$C$6,Settings!$C$7))*100)</f>
        <v/>
      </c>
      <c r="AF101" s="7" t="n"/>
      <c r="AI101" s="11" t="n"/>
      <c r="AK101">
        <f>IF($D101="","",IF(COUNTIF($D$2:$D101,$D101)=1,1,0))</f>
        <v/>
      </c>
      <c r="AL101">
        <f>IF($AK101=1,SUMPRODUCT(--($AO$2:$AO$201&lt;$AO101))+1,"")</f>
        <v/>
      </c>
      <c r="AM101">
        <f>IF($D101="","",IF(OR($R101=TRUE(),$R101="TRUE"),1,0))</f>
        <v/>
      </c>
      <c r="AN101">
        <f>IF($D101="","",IF($AA101="Yes",1,0))</f>
        <v/>
      </c>
      <c r="AO101">
        <f>IF($AK101=1,IFERROR(IF(VALUE($D101)&lt;100000000,VALUE($D101),1000000000),IFERROR(IF(VALUE(MID($D101,2,20))&lt;100000000,VALUE(MID($D101,2,20)),1000000000),1000000000))+ROW()/100000,"")</f>
        <v/>
      </c>
    </row>
    <row r="102">
      <c r="F102" s="11" t="n"/>
      <c r="N102" s="7">
        <f>IF($D102="","",M102*X102/100)</f>
        <v/>
      </c>
      <c r="O102" s="7" t="n"/>
      <c r="U102" s="7" t="n"/>
      <c r="V102" s="7" t="n"/>
      <c r="W102" s="7">
        <f>IF($D102="","",V102*AB102/100)</f>
        <v/>
      </c>
      <c r="X102" s="7">
        <f>IF($D102="","",V102-W102)</f>
        <v/>
      </c>
      <c r="Y102" s="7">
        <f>IF($D102="","",X102-N102)</f>
        <v/>
      </c>
      <c r="AB102">
        <f>IF($D102="","",IF($AN102=1,Settings!$C$8,IF($AM102=1,Settings!$C$6,Settings!$C$7))*100)</f>
        <v/>
      </c>
      <c r="AF102" s="7" t="n"/>
      <c r="AI102" s="11" t="n"/>
      <c r="AK102">
        <f>IF($D102="","",IF(COUNTIF($D$2:$D102,$D102)=1,1,0))</f>
        <v/>
      </c>
      <c r="AL102">
        <f>IF($AK102=1,SUMPRODUCT(--($AO$2:$AO$201&lt;$AO102))+1,"")</f>
        <v/>
      </c>
      <c r="AM102">
        <f>IF($D102="","",IF(OR($R102=TRUE(),$R102="TRUE"),1,0))</f>
        <v/>
      </c>
      <c r="AN102">
        <f>IF($D102="","",IF($AA102="Yes",1,0))</f>
        <v/>
      </c>
      <c r="AO102">
        <f>IF($AK102=1,IFERROR(IF(VALUE($D102)&lt;100000000,VALUE($D102),1000000000),IFERROR(IF(VALUE(MID($D102,2,20))&lt;100000000,VALUE(MID($D102,2,20)),1000000000),1000000000))+ROW()/100000,"")</f>
        <v/>
      </c>
    </row>
    <row r="103">
      <c r="F103" s="11" t="n"/>
      <c r="N103" s="7">
        <f>IF($D103="","",M103*X103/100)</f>
        <v/>
      </c>
      <c r="O103" s="7" t="n"/>
      <c r="U103" s="7" t="n"/>
      <c r="V103" s="7" t="n"/>
      <c r="W103" s="7">
        <f>IF($D103="","",V103*AB103/100)</f>
        <v/>
      </c>
      <c r="X103" s="7">
        <f>IF($D103="","",V103-W103)</f>
        <v/>
      </c>
      <c r="Y103" s="7">
        <f>IF($D103="","",X103-N103)</f>
        <v/>
      </c>
      <c r="AB103">
        <f>IF($D103="","",IF($AN103=1,Settings!$C$8,IF($AM103=1,Settings!$C$6,Settings!$C$7))*100)</f>
        <v/>
      </c>
      <c r="AF103" s="7" t="n"/>
      <c r="AI103" s="11" t="n"/>
      <c r="AK103">
        <f>IF($D103="","",IF(COUNTIF($D$2:$D103,$D103)=1,1,0))</f>
        <v/>
      </c>
      <c r="AL103">
        <f>IF($AK103=1,SUMPRODUCT(--($AO$2:$AO$201&lt;$AO103))+1,"")</f>
        <v/>
      </c>
      <c r="AM103">
        <f>IF($D103="","",IF(OR($R103=TRUE(),$R103="TRUE"),1,0))</f>
        <v/>
      </c>
      <c r="AN103">
        <f>IF($D103="","",IF($AA103="Yes",1,0))</f>
        <v/>
      </c>
      <c r="AO103">
        <f>IF($AK103=1,IFERROR(IF(VALUE($D103)&lt;100000000,VALUE($D103),1000000000),IFERROR(IF(VALUE(MID($D103,2,20))&lt;100000000,VALUE(MID($D103,2,20)),1000000000),1000000000))+ROW()/100000,"")</f>
        <v/>
      </c>
    </row>
    <row r="104">
      <c r="F104" s="11" t="n"/>
      <c r="N104" s="7">
        <f>IF($D104="","",M104*X104/100)</f>
        <v/>
      </c>
      <c r="O104" s="7" t="n"/>
      <c r="U104" s="7" t="n"/>
      <c r="V104" s="7" t="n"/>
      <c r="W104" s="7">
        <f>IF($D104="","",V104*AB104/100)</f>
        <v/>
      </c>
      <c r="X104" s="7">
        <f>IF($D104="","",V104-W104)</f>
        <v/>
      </c>
      <c r="Y104" s="7">
        <f>IF($D104="","",X104-N104)</f>
        <v/>
      </c>
      <c r="AB104">
        <f>IF($D104="","",IF($AN104=1,Settings!$C$8,IF($AM104=1,Settings!$C$6,Settings!$C$7))*100)</f>
        <v/>
      </c>
      <c r="AF104" s="7" t="n"/>
      <c r="AI104" s="11" t="n"/>
      <c r="AK104">
        <f>IF($D104="","",IF(COUNTIF($D$2:$D104,$D104)=1,1,0))</f>
        <v/>
      </c>
      <c r="AL104">
        <f>IF($AK104=1,SUMPRODUCT(--($AO$2:$AO$201&lt;$AO104))+1,"")</f>
        <v/>
      </c>
      <c r="AM104">
        <f>IF($D104="","",IF(OR($R104=TRUE(),$R104="TRUE"),1,0))</f>
        <v/>
      </c>
      <c r="AN104">
        <f>IF($D104="","",IF($AA104="Yes",1,0))</f>
        <v/>
      </c>
      <c r="AO104">
        <f>IF($AK104=1,IFERROR(IF(VALUE($D104)&lt;100000000,VALUE($D104),1000000000),IFERROR(IF(VALUE(MID($D104,2,20))&lt;100000000,VALUE(MID($D104,2,20)),1000000000),1000000000))+ROW()/100000,"")</f>
        <v/>
      </c>
    </row>
    <row r="105">
      <c r="F105" s="11" t="n"/>
      <c r="N105" s="7">
        <f>IF($D105="","",M105*X105/100)</f>
        <v/>
      </c>
      <c r="O105" s="7" t="n"/>
      <c r="U105" s="7" t="n"/>
      <c r="V105" s="7" t="n"/>
      <c r="W105" s="7">
        <f>IF($D105="","",V105*AB105/100)</f>
        <v/>
      </c>
      <c r="X105" s="7">
        <f>IF($D105="","",V105-W105)</f>
        <v/>
      </c>
      <c r="Y105" s="7">
        <f>IF($D105="","",X105-N105)</f>
        <v/>
      </c>
      <c r="AB105">
        <f>IF($D105="","",IF($AN105=1,Settings!$C$8,IF($AM105=1,Settings!$C$6,Settings!$C$7))*100)</f>
        <v/>
      </c>
      <c r="AF105" s="7" t="n"/>
      <c r="AI105" s="11" t="n"/>
      <c r="AK105">
        <f>IF($D105="","",IF(COUNTIF($D$2:$D105,$D105)=1,1,0))</f>
        <v/>
      </c>
      <c r="AL105">
        <f>IF($AK105=1,SUMPRODUCT(--($AO$2:$AO$201&lt;$AO105))+1,"")</f>
        <v/>
      </c>
      <c r="AM105">
        <f>IF($D105="","",IF(OR($R105=TRUE(),$R105="TRUE"),1,0))</f>
        <v/>
      </c>
      <c r="AN105">
        <f>IF($D105="","",IF($AA105="Yes",1,0))</f>
        <v/>
      </c>
      <c r="AO105">
        <f>IF($AK105=1,IFERROR(IF(VALUE($D105)&lt;100000000,VALUE($D105),1000000000),IFERROR(IF(VALUE(MID($D105,2,20))&lt;100000000,VALUE(MID($D105,2,20)),1000000000),1000000000))+ROW()/100000,"")</f>
        <v/>
      </c>
    </row>
    <row r="106">
      <c r="F106" s="11" t="n"/>
      <c r="N106" s="7">
        <f>IF($D106="","",M106*X106/100)</f>
        <v/>
      </c>
      <c r="O106" s="7" t="n"/>
      <c r="U106" s="7" t="n"/>
      <c r="V106" s="7" t="n"/>
      <c r="W106" s="7">
        <f>IF($D106="","",V106*AB106/100)</f>
        <v/>
      </c>
      <c r="X106" s="7">
        <f>IF($D106="","",V106-W106)</f>
        <v/>
      </c>
      <c r="Y106" s="7">
        <f>IF($D106="","",X106-N106)</f>
        <v/>
      </c>
      <c r="AB106">
        <f>IF($D106="","",IF($AN106=1,Settings!$C$8,IF($AM106=1,Settings!$C$6,Settings!$C$7))*100)</f>
        <v/>
      </c>
      <c r="AF106" s="7" t="n"/>
      <c r="AI106" s="11" t="n"/>
      <c r="AK106">
        <f>IF($D106="","",IF(COUNTIF($D$2:$D106,$D106)=1,1,0))</f>
        <v/>
      </c>
      <c r="AL106">
        <f>IF($AK106=1,SUMPRODUCT(--($AO$2:$AO$201&lt;$AO106))+1,"")</f>
        <v/>
      </c>
      <c r="AM106">
        <f>IF($D106="","",IF(OR($R106=TRUE(),$R106="TRUE"),1,0))</f>
        <v/>
      </c>
      <c r="AN106">
        <f>IF($D106="","",IF($AA106="Yes",1,0))</f>
        <v/>
      </c>
      <c r="AO106">
        <f>IF($AK106=1,IFERROR(IF(VALUE($D106)&lt;100000000,VALUE($D106),1000000000),IFERROR(IF(VALUE(MID($D106,2,20))&lt;100000000,VALUE(MID($D106,2,20)),1000000000),1000000000))+ROW()/100000,"")</f>
        <v/>
      </c>
    </row>
    <row r="107">
      <c r="F107" s="11" t="n"/>
      <c r="N107" s="7">
        <f>IF($D107="","",M107*X107/100)</f>
        <v/>
      </c>
      <c r="O107" s="7" t="n"/>
      <c r="U107" s="7" t="n"/>
      <c r="V107" s="7" t="n"/>
      <c r="W107" s="7">
        <f>IF($D107="","",V107*AB107/100)</f>
        <v/>
      </c>
      <c r="X107" s="7">
        <f>IF($D107="","",V107-W107)</f>
        <v/>
      </c>
      <c r="Y107" s="7">
        <f>IF($D107="","",X107-N107)</f>
        <v/>
      </c>
      <c r="AB107">
        <f>IF($D107="","",IF($AN107=1,Settings!$C$8,IF($AM107=1,Settings!$C$6,Settings!$C$7))*100)</f>
        <v/>
      </c>
      <c r="AF107" s="7" t="n"/>
      <c r="AI107" s="11" t="n"/>
      <c r="AK107">
        <f>IF($D107="","",IF(COUNTIF($D$2:$D107,$D107)=1,1,0))</f>
        <v/>
      </c>
      <c r="AL107">
        <f>IF($AK107=1,SUMPRODUCT(--($AO$2:$AO$201&lt;$AO107))+1,"")</f>
        <v/>
      </c>
      <c r="AM107">
        <f>IF($D107="","",IF(OR($R107=TRUE(),$R107="TRUE"),1,0))</f>
        <v/>
      </c>
      <c r="AN107">
        <f>IF($D107="","",IF($AA107="Yes",1,0))</f>
        <v/>
      </c>
      <c r="AO107">
        <f>IF($AK107=1,IFERROR(IF(VALUE($D107)&lt;100000000,VALUE($D107),1000000000),IFERROR(IF(VALUE(MID($D107,2,20))&lt;100000000,VALUE(MID($D107,2,20)),1000000000),1000000000))+ROW()/100000,"")</f>
        <v/>
      </c>
    </row>
    <row r="108">
      <c r="F108" s="11" t="n"/>
      <c r="N108" s="7">
        <f>IF($D108="","",M108*X108/100)</f>
        <v/>
      </c>
      <c r="O108" s="7" t="n"/>
      <c r="U108" s="7" t="n"/>
      <c r="V108" s="7" t="n"/>
      <c r="W108" s="7">
        <f>IF($D108="","",V108*AB108/100)</f>
        <v/>
      </c>
      <c r="X108" s="7">
        <f>IF($D108="","",V108-W108)</f>
        <v/>
      </c>
      <c r="Y108" s="7">
        <f>IF($D108="","",X108-N108)</f>
        <v/>
      </c>
      <c r="AB108">
        <f>IF($D108="","",IF($AN108=1,Settings!$C$8,IF($AM108=1,Settings!$C$6,Settings!$C$7))*100)</f>
        <v/>
      </c>
      <c r="AF108" s="7" t="n"/>
      <c r="AI108" s="11" t="n"/>
      <c r="AK108">
        <f>IF($D108="","",IF(COUNTIF($D$2:$D108,$D108)=1,1,0))</f>
        <v/>
      </c>
      <c r="AL108">
        <f>IF($AK108=1,SUMPRODUCT(--($AO$2:$AO$201&lt;$AO108))+1,"")</f>
        <v/>
      </c>
      <c r="AM108">
        <f>IF($D108="","",IF(OR($R108=TRUE(),$R108="TRUE"),1,0))</f>
        <v/>
      </c>
      <c r="AN108">
        <f>IF($D108="","",IF($AA108="Yes",1,0))</f>
        <v/>
      </c>
      <c r="AO108">
        <f>IF($AK108=1,IFERROR(IF(VALUE($D108)&lt;100000000,VALUE($D108),1000000000),IFERROR(IF(VALUE(MID($D108,2,20))&lt;100000000,VALUE(MID($D108,2,20)),1000000000),1000000000))+ROW()/100000,"")</f>
        <v/>
      </c>
    </row>
    <row r="109">
      <c r="F109" s="11" t="n"/>
      <c r="N109" s="7">
        <f>IF($D109="","",M109*X109/100)</f>
        <v/>
      </c>
      <c r="O109" s="7" t="n"/>
      <c r="U109" s="7" t="n"/>
      <c r="V109" s="7" t="n"/>
      <c r="W109" s="7">
        <f>IF($D109="","",V109*AB109/100)</f>
        <v/>
      </c>
      <c r="X109" s="7">
        <f>IF($D109="","",V109-W109)</f>
        <v/>
      </c>
      <c r="Y109" s="7">
        <f>IF($D109="","",X109-N109)</f>
        <v/>
      </c>
      <c r="AB109">
        <f>IF($D109="","",IF($AN109=1,Settings!$C$8,IF($AM109=1,Settings!$C$6,Settings!$C$7))*100)</f>
        <v/>
      </c>
      <c r="AF109" s="7" t="n"/>
      <c r="AI109" s="11" t="n"/>
      <c r="AK109">
        <f>IF($D109="","",IF(COUNTIF($D$2:$D109,$D109)=1,1,0))</f>
        <v/>
      </c>
      <c r="AL109">
        <f>IF($AK109=1,SUMPRODUCT(--($AO$2:$AO$201&lt;$AO109))+1,"")</f>
        <v/>
      </c>
      <c r="AM109">
        <f>IF($D109="","",IF(OR($R109=TRUE(),$R109="TRUE"),1,0))</f>
        <v/>
      </c>
      <c r="AN109">
        <f>IF($D109="","",IF($AA109="Yes",1,0))</f>
        <v/>
      </c>
      <c r="AO109">
        <f>IF($AK109=1,IFERROR(IF(VALUE($D109)&lt;100000000,VALUE($D109),1000000000),IFERROR(IF(VALUE(MID($D109,2,20))&lt;100000000,VALUE(MID($D109,2,20)),1000000000),1000000000))+ROW()/100000,"")</f>
        <v/>
      </c>
    </row>
    <row r="110">
      <c r="F110" s="11" t="n"/>
      <c r="N110" s="7">
        <f>IF($D110="","",M110*X110/100)</f>
        <v/>
      </c>
      <c r="O110" s="7" t="n"/>
      <c r="U110" s="7" t="n"/>
      <c r="V110" s="7" t="n"/>
      <c r="W110" s="7">
        <f>IF($D110="","",V110*AB110/100)</f>
        <v/>
      </c>
      <c r="X110" s="7">
        <f>IF($D110="","",V110-W110)</f>
        <v/>
      </c>
      <c r="Y110" s="7">
        <f>IF($D110="","",X110-N110)</f>
        <v/>
      </c>
      <c r="AB110">
        <f>IF($D110="","",IF($AN110=1,Settings!$C$8,IF($AM110=1,Settings!$C$6,Settings!$C$7))*100)</f>
        <v/>
      </c>
      <c r="AF110" s="7" t="n"/>
      <c r="AI110" s="11" t="n"/>
      <c r="AK110">
        <f>IF($D110="","",IF(COUNTIF($D$2:$D110,$D110)=1,1,0))</f>
        <v/>
      </c>
      <c r="AL110">
        <f>IF($AK110=1,SUMPRODUCT(--($AO$2:$AO$201&lt;$AO110))+1,"")</f>
        <v/>
      </c>
      <c r="AM110">
        <f>IF($D110="","",IF(OR($R110=TRUE(),$R110="TRUE"),1,0))</f>
        <v/>
      </c>
      <c r="AN110">
        <f>IF($D110="","",IF($AA110="Yes",1,0))</f>
        <v/>
      </c>
      <c r="AO110">
        <f>IF($AK110=1,IFERROR(IF(VALUE($D110)&lt;100000000,VALUE($D110),1000000000),IFERROR(IF(VALUE(MID($D110,2,20))&lt;100000000,VALUE(MID($D110,2,20)),1000000000),1000000000))+ROW()/100000,"")</f>
        <v/>
      </c>
    </row>
    <row r="111">
      <c r="F111" s="11" t="n"/>
      <c r="N111" s="7">
        <f>IF($D111="","",M111*X111/100)</f>
        <v/>
      </c>
      <c r="O111" s="7" t="n"/>
      <c r="U111" s="7" t="n"/>
      <c r="V111" s="7" t="n"/>
      <c r="W111" s="7">
        <f>IF($D111="","",V111*AB111/100)</f>
        <v/>
      </c>
      <c r="X111" s="7">
        <f>IF($D111="","",V111-W111)</f>
        <v/>
      </c>
      <c r="Y111" s="7">
        <f>IF($D111="","",X111-N111)</f>
        <v/>
      </c>
      <c r="AB111">
        <f>IF($D111="","",IF($AN111=1,Settings!$C$8,IF($AM111=1,Settings!$C$6,Settings!$C$7))*100)</f>
        <v/>
      </c>
      <c r="AF111" s="7" t="n"/>
      <c r="AI111" s="11" t="n"/>
      <c r="AK111">
        <f>IF($D111="","",IF(COUNTIF($D$2:$D111,$D111)=1,1,0))</f>
        <v/>
      </c>
      <c r="AL111">
        <f>IF($AK111=1,SUMPRODUCT(--($AO$2:$AO$201&lt;$AO111))+1,"")</f>
        <v/>
      </c>
      <c r="AM111">
        <f>IF($D111="","",IF(OR($R111=TRUE(),$R111="TRUE"),1,0))</f>
        <v/>
      </c>
      <c r="AN111">
        <f>IF($D111="","",IF($AA111="Yes",1,0))</f>
        <v/>
      </c>
      <c r="AO111">
        <f>IF($AK111=1,IFERROR(IF(VALUE($D111)&lt;100000000,VALUE($D111),1000000000),IFERROR(IF(VALUE(MID($D111,2,20))&lt;100000000,VALUE(MID($D111,2,20)),1000000000),1000000000))+ROW()/100000,"")</f>
        <v/>
      </c>
    </row>
    <row r="112">
      <c r="F112" s="11" t="n"/>
      <c r="N112" s="7">
        <f>IF($D112="","",M112*X112/100)</f>
        <v/>
      </c>
      <c r="O112" s="7" t="n"/>
      <c r="U112" s="7" t="n"/>
      <c r="V112" s="7" t="n"/>
      <c r="W112" s="7">
        <f>IF($D112="","",V112*AB112/100)</f>
        <v/>
      </c>
      <c r="X112" s="7">
        <f>IF($D112="","",V112-W112)</f>
        <v/>
      </c>
      <c r="Y112" s="7">
        <f>IF($D112="","",X112-N112)</f>
        <v/>
      </c>
      <c r="AB112">
        <f>IF($D112="","",IF($AN112=1,Settings!$C$8,IF($AM112=1,Settings!$C$6,Settings!$C$7))*100)</f>
        <v/>
      </c>
      <c r="AF112" s="7" t="n"/>
      <c r="AI112" s="11" t="n"/>
      <c r="AK112">
        <f>IF($D112="","",IF(COUNTIF($D$2:$D112,$D112)=1,1,0))</f>
        <v/>
      </c>
      <c r="AL112">
        <f>IF($AK112=1,SUMPRODUCT(--($AO$2:$AO$201&lt;$AO112))+1,"")</f>
        <v/>
      </c>
      <c r="AM112">
        <f>IF($D112="","",IF(OR($R112=TRUE(),$R112="TRUE"),1,0))</f>
        <v/>
      </c>
      <c r="AN112">
        <f>IF($D112="","",IF($AA112="Yes",1,0))</f>
        <v/>
      </c>
      <c r="AO112">
        <f>IF($AK112=1,IFERROR(IF(VALUE($D112)&lt;100000000,VALUE($D112),1000000000),IFERROR(IF(VALUE(MID($D112,2,20))&lt;100000000,VALUE(MID($D112,2,20)),1000000000),1000000000))+ROW()/100000,"")</f>
        <v/>
      </c>
    </row>
    <row r="113">
      <c r="F113" s="11" t="n"/>
      <c r="N113" s="7">
        <f>IF($D113="","",M113*X113/100)</f>
        <v/>
      </c>
      <c r="O113" s="7" t="n"/>
      <c r="U113" s="7" t="n"/>
      <c r="V113" s="7" t="n"/>
      <c r="W113" s="7">
        <f>IF($D113="","",V113*AB113/100)</f>
        <v/>
      </c>
      <c r="X113" s="7">
        <f>IF($D113="","",V113-W113)</f>
        <v/>
      </c>
      <c r="Y113" s="7">
        <f>IF($D113="","",X113-N113)</f>
        <v/>
      </c>
      <c r="AB113">
        <f>IF($D113="","",IF($AN113=1,Settings!$C$8,IF($AM113=1,Settings!$C$6,Settings!$C$7))*100)</f>
        <v/>
      </c>
      <c r="AF113" s="7" t="n"/>
      <c r="AI113" s="11" t="n"/>
      <c r="AK113">
        <f>IF($D113="","",IF(COUNTIF($D$2:$D113,$D113)=1,1,0))</f>
        <v/>
      </c>
      <c r="AL113">
        <f>IF($AK113=1,SUMPRODUCT(--($AO$2:$AO$201&lt;$AO113))+1,"")</f>
        <v/>
      </c>
      <c r="AM113">
        <f>IF($D113="","",IF(OR($R113=TRUE(),$R113="TRUE"),1,0))</f>
        <v/>
      </c>
      <c r="AN113">
        <f>IF($D113="","",IF($AA113="Yes",1,0))</f>
        <v/>
      </c>
      <c r="AO113">
        <f>IF($AK113=1,IFERROR(IF(VALUE($D113)&lt;100000000,VALUE($D113),1000000000),IFERROR(IF(VALUE(MID($D113,2,20))&lt;100000000,VALUE(MID($D113,2,20)),1000000000),1000000000))+ROW()/100000,"")</f>
        <v/>
      </c>
    </row>
    <row r="114">
      <c r="F114" s="11" t="n"/>
      <c r="N114" s="7">
        <f>IF($D114="","",M114*X114/100)</f>
        <v/>
      </c>
      <c r="O114" s="7" t="n"/>
      <c r="U114" s="7" t="n"/>
      <c r="V114" s="7" t="n"/>
      <c r="W114" s="7">
        <f>IF($D114="","",V114*AB114/100)</f>
        <v/>
      </c>
      <c r="X114" s="7">
        <f>IF($D114="","",V114-W114)</f>
        <v/>
      </c>
      <c r="Y114" s="7">
        <f>IF($D114="","",X114-N114)</f>
        <v/>
      </c>
      <c r="AB114">
        <f>IF($D114="","",IF($AN114=1,Settings!$C$8,IF($AM114=1,Settings!$C$6,Settings!$C$7))*100)</f>
        <v/>
      </c>
      <c r="AF114" s="7" t="n"/>
      <c r="AI114" s="11" t="n"/>
      <c r="AK114">
        <f>IF($D114="","",IF(COUNTIF($D$2:$D114,$D114)=1,1,0))</f>
        <v/>
      </c>
      <c r="AL114">
        <f>IF($AK114=1,SUMPRODUCT(--($AO$2:$AO$201&lt;$AO114))+1,"")</f>
        <v/>
      </c>
      <c r="AM114">
        <f>IF($D114="","",IF(OR($R114=TRUE(),$R114="TRUE"),1,0))</f>
        <v/>
      </c>
      <c r="AN114">
        <f>IF($D114="","",IF($AA114="Yes",1,0))</f>
        <v/>
      </c>
      <c r="AO114">
        <f>IF($AK114=1,IFERROR(IF(VALUE($D114)&lt;100000000,VALUE($D114),1000000000),IFERROR(IF(VALUE(MID($D114,2,20))&lt;100000000,VALUE(MID($D114,2,20)),1000000000),1000000000))+ROW()/100000,"")</f>
        <v/>
      </c>
    </row>
    <row r="115">
      <c r="F115" s="11" t="n"/>
      <c r="N115" s="7">
        <f>IF($D115="","",M115*X115/100)</f>
        <v/>
      </c>
      <c r="O115" s="7" t="n"/>
      <c r="U115" s="7" t="n"/>
      <c r="V115" s="7" t="n"/>
      <c r="W115" s="7">
        <f>IF($D115="","",V115*AB115/100)</f>
        <v/>
      </c>
      <c r="X115" s="7">
        <f>IF($D115="","",V115-W115)</f>
        <v/>
      </c>
      <c r="Y115" s="7">
        <f>IF($D115="","",X115-N115)</f>
        <v/>
      </c>
      <c r="AB115">
        <f>IF($D115="","",IF($AN115=1,Settings!$C$8,IF($AM115=1,Settings!$C$6,Settings!$C$7))*100)</f>
        <v/>
      </c>
      <c r="AF115" s="7" t="n"/>
      <c r="AI115" s="11" t="n"/>
      <c r="AK115">
        <f>IF($D115="","",IF(COUNTIF($D$2:$D115,$D115)=1,1,0))</f>
        <v/>
      </c>
      <c r="AL115">
        <f>IF($AK115=1,SUMPRODUCT(--($AO$2:$AO$201&lt;$AO115))+1,"")</f>
        <v/>
      </c>
      <c r="AM115">
        <f>IF($D115="","",IF(OR($R115=TRUE(),$R115="TRUE"),1,0))</f>
        <v/>
      </c>
      <c r="AN115">
        <f>IF($D115="","",IF($AA115="Yes",1,0))</f>
        <v/>
      </c>
      <c r="AO115">
        <f>IF($AK115=1,IFERROR(IF(VALUE($D115)&lt;100000000,VALUE($D115),1000000000),IFERROR(IF(VALUE(MID($D115,2,20))&lt;100000000,VALUE(MID($D115,2,20)),1000000000),1000000000))+ROW()/100000,"")</f>
        <v/>
      </c>
    </row>
    <row r="116">
      <c r="F116" s="11" t="n"/>
      <c r="N116" s="7">
        <f>IF($D116="","",M116*X116/100)</f>
        <v/>
      </c>
      <c r="O116" s="7" t="n"/>
      <c r="U116" s="7" t="n"/>
      <c r="V116" s="7" t="n"/>
      <c r="W116" s="7">
        <f>IF($D116="","",V116*AB116/100)</f>
        <v/>
      </c>
      <c r="X116" s="7">
        <f>IF($D116="","",V116-W116)</f>
        <v/>
      </c>
      <c r="Y116" s="7">
        <f>IF($D116="","",X116-N116)</f>
        <v/>
      </c>
      <c r="AB116">
        <f>IF($D116="","",IF($AN116=1,Settings!$C$8,IF($AM116=1,Settings!$C$6,Settings!$C$7))*100)</f>
        <v/>
      </c>
      <c r="AF116" s="7" t="n"/>
      <c r="AI116" s="11" t="n"/>
      <c r="AK116">
        <f>IF($D116="","",IF(COUNTIF($D$2:$D116,$D116)=1,1,0))</f>
        <v/>
      </c>
      <c r="AL116">
        <f>IF($AK116=1,SUMPRODUCT(--($AO$2:$AO$201&lt;$AO116))+1,"")</f>
        <v/>
      </c>
      <c r="AM116">
        <f>IF($D116="","",IF(OR($R116=TRUE(),$R116="TRUE"),1,0))</f>
        <v/>
      </c>
      <c r="AN116">
        <f>IF($D116="","",IF($AA116="Yes",1,0))</f>
        <v/>
      </c>
      <c r="AO116">
        <f>IF($AK116=1,IFERROR(IF(VALUE($D116)&lt;100000000,VALUE($D116),1000000000),IFERROR(IF(VALUE(MID($D116,2,20))&lt;100000000,VALUE(MID($D116,2,20)),1000000000),1000000000))+ROW()/100000,"")</f>
        <v/>
      </c>
    </row>
    <row r="117">
      <c r="F117" s="11" t="n"/>
      <c r="N117" s="7">
        <f>IF($D117="","",M117*X117/100)</f>
        <v/>
      </c>
      <c r="O117" s="7" t="n"/>
      <c r="U117" s="7" t="n"/>
      <c r="V117" s="7" t="n"/>
      <c r="W117" s="7">
        <f>IF($D117="","",V117*AB117/100)</f>
        <v/>
      </c>
      <c r="X117" s="7">
        <f>IF($D117="","",V117-W117)</f>
        <v/>
      </c>
      <c r="Y117" s="7">
        <f>IF($D117="","",X117-N117)</f>
        <v/>
      </c>
      <c r="AB117">
        <f>IF($D117="","",IF($AN117=1,Settings!$C$8,IF($AM117=1,Settings!$C$6,Settings!$C$7))*100)</f>
        <v/>
      </c>
      <c r="AF117" s="7" t="n"/>
      <c r="AI117" s="11" t="n"/>
      <c r="AK117">
        <f>IF($D117="","",IF(COUNTIF($D$2:$D117,$D117)=1,1,0))</f>
        <v/>
      </c>
      <c r="AL117">
        <f>IF($AK117=1,SUMPRODUCT(--($AO$2:$AO$201&lt;$AO117))+1,"")</f>
        <v/>
      </c>
      <c r="AM117">
        <f>IF($D117="","",IF(OR($R117=TRUE(),$R117="TRUE"),1,0))</f>
        <v/>
      </c>
      <c r="AN117">
        <f>IF($D117="","",IF($AA117="Yes",1,0))</f>
        <v/>
      </c>
      <c r="AO117">
        <f>IF($AK117=1,IFERROR(IF(VALUE($D117)&lt;100000000,VALUE($D117),1000000000),IFERROR(IF(VALUE(MID($D117,2,20))&lt;100000000,VALUE(MID($D117,2,20)),1000000000),1000000000))+ROW()/100000,"")</f>
        <v/>
      </c>
    </row>
    <row r="118">
      <c r="F118" s="11" t="n"/>
      <c r="N118" s="7">
        <f>IF($D118="","",M118*X118/100)</f>
        <v/>
      </c>
      <c r="O118" s="7" t="n"/>
      <c r="U118" s="7" t="n"/>
      <c r="V118" s="7" t="n"/>
      <c r="W118" s="7">
        <f>IF($D118="","",V118*AB118/100)</f>
        <v/>
      </c>
      <c r="X118" s="7">
        <f>IF($D118="","",V118-W118)</f>
        <v/>
      </c>
      <c r="Y118" s="7">
        <f>IF($D118="","",X118-N118)</f>
        <v/>
      </c>
      <c r="AB118">
        <f>IF($D118="","",IF($AN118=1,Settings!$C$8,IF($AM118=1,Settings!$C$6,Settings!$C$7))*100)</f>
        <v/>
      </c>
      <c r="AF118" s="7" t="n"/>
      <c r="AI118" s="11" t="n"/>
      <c r="AK118">
        <f>IF($D118="","",IF(COUNTIF($D$2:$D118,$D118)=1,1,0))</f>
        <v/>
      </c>
      <c r="AL118">
        <f>IF($AK118=1,SUMPRODUCT(--($AO$2:$AO$201&lt;$AO118))+1,"")</f>
        <v/>
      </c>
      <c r="AM118">
        <f>IF($D118="","",IF(OR($R118=TRUE(),$R118="TRUE"),1,0))</f>
        <v/>
      </c>
      <c r="AN118">
        <f>IF($D118="","",IF($AA118="Yes",1,0))</f>
        <v/>
      </c>
      <c r="AO118">
        <f>IF($AK118=1,IFERROR(IF(VALUE($D118)&lt;100000000,VALUE($D118),1000000000),IFERROR(IF(VALUE(MID($D118,2,20))&lt;100000000,VALUE(MID($D118,2,20)),1000000000),1000000000))+ROW()/100000,"")</f>
        <v/>
      </c>
    </row>
    <row r="119">
      <c r="F119" s="11" t="n"/>
      <c r="N119" s="7">
        <f>IF($D119="","",M119*X119/100)</f>
        <v/>
      </c>
      <c r="O119" s="7" t="n"/>
      <c r="U119" s="7" t="n"/>
      <c r="V119" s="7" t="n"/>
      <c r="W119" s="7">
        <f>IF($D119="","",V119*AB119/100)</f>
        <v/>
      </c>
      <c r="X119" s="7">
        <f>IF($D119="","",V119-W119)</f>
        <v/>
      </c>
      <c r="Y119" s="7">
        <f>IF($D119="","",X119-N119)</f>
        <v/>
      </c>
      <c r="AB119">
        <f>IF($D119="","",IF($AN119=1,Settings!$C$8,IF($AM119=1,Settings!$C$6,Settings!$C$7))*100)</f>
        <v/>
      </c>
      <c r="AF119" s="7" t="n"/>
      <c r="AI119" s="11" t="n"/>
      <c r="AK119">
        <f>IF($D119="","",IF(COUNTIF($D$2:$D119,$D119)=1,1,0))</f>
        <v/>
      </c>
      <c r="AL119">
        <f>IF($AK119=1,SUMPRODUCT(--($AO$2:$AO$201&lt;$AO119))+1,"")</f>
        <v/>
      </c>
      <c r="AM119">
        <f>IF($D119="","",IF(OR($R119=TRUE(),$R119="TRUE"),1,0))</f>
        <v/>
      </c>
      <c r="AN119">
        <f>IF($D119="","",IF($AA119="Yes",1,0))</f>
        <v/>
      </c>
      <c r="AO119">
        <f>IF($AK119=1,IFERROR(IF(VALUE($D119)&lt;100000000,VALUE($D119),1000000000),IFERROR(IF(VALUE(MID($D119,2,20))&lt;100000000,VALUE(MID($D119,2,20)),1000000000),1000000000))+ROW()/100000,"")</f>
        <v/>
      </c>
    </row>
    <row r="120">
      <c r="F120" s="11" t="n"/>
      <c r="N120" s="7">
        <f>IF($D120="","",M120*X120/100)</f>
        <v/>
      </c>
      <c r="O120" s="7" t="n"/>
      <c r="U120" s="7" t="n"/>
      <c r="V120" s="7" t="n"/>
      <c r="W120" s="7">
        <f>IF($D120="","",V120*AB120/100)</f>
        <v/>
      </c>
      <c r="X120" s="7">
        <f>IF($D120="","",V120-W120)</f>
        <v/>
      </c>
      <c r="Y120" s="7">
        <f>IF($D120="","",X120-N120)</f>
        <v/>
      </c>
      <c r="AB120">
        <f>IF($D120="","",IF($AN120=1,Settings!$C$8,IF($AM120=1,Settings!$C$6,Settings!$C$7))*100)</f>
        <v/>
      </c>
      <c r="AF120" s="7" t="n"/>
      <c r="AI120" s="11" t="n"/>
      <c r="AK120">
        <f>IF($D120="","",IF(COUNTIF($D$2:$D120,$D120)=1,1,0))</f>
        <v/>
      </c>
      <c r="AL120">
        <f>IF($AK120=1,SUMPRODUCT(--($AO$2:$AO$201&lt;$AO120))+1,"")</f>
        <v/>
      </c>
      <c r="AM120">
        <f>IF($D120="","",IF(OR($R120=TRUE(),$R120="TRUE"),1,0))</f>
        <v/>
      </c>
      <c r="AN120">
        <f>IF($D120="","",IF($AA120="Yes",1,0))</f>
        <v/>
      </c>
      <c r="AO120">
        <f>IF($AK120=1,IFERROR(IF(VALUE($D120)&lt;100000000,VALUE($D120),1000000000),IFERROR(IF(VALUE(MID($D120,2,20))&lt;100000000,VALUE(MID($D120,2,20)),1000000000),1000000000))+ROW()/100000,"")</f>
        <v/>
      </c>
    </row>
    <row r="121">
      <c r="F121" s="11" t="n"/>
      <c r="N121" s="7">
        <f>IF($D121="","",M121*X121/100)</f>
        <v/>
      </c>
      <c r="O121" s="7" t="n"/>
      <c r="U121" s="7" t="n"/>
      <c r="V121" s="7" t="n"/>
      <c r="W121" s="7">
        <f>IF($D121="","",V121*AB121/100)</f>
        <v/>
      </c>
      <c r="X121" s="7">
        <f>IF($D121="","",V121-W121)</f>
        <v/>
      </c>
      <c r="Y121" s="7">
        <f>IF($D121="","",X121-N121)</f>
        <v/>
      </c>
      <c r="AB121">
        <f>IF($D121="","",IF($AN121=1,Settings!$C$8,IF($AM121=1,Settings!$C$6,Settings!$C$7))*100)</f>
        <v/>
      </c>
      <c r="AF121" s="7" t="n"/>
      <c r="AI121" s="11" t="n"/>
      <c r="AK121">
        <f>IF($D121="","",IF(COUNTIF($D$2:$D121,$D121)=1,1,0))</f>
        <v/>
      </c>
      <c r="AL121">
        <f>IF($AK121=1,SUMPRODUCT(--($AO$2:$AO$201&lt;$AO121))+1,"")</f>
        <v/>
      </c>
      <c r="AM121">
        <f>IF($D121="","",IF(OR($R121=TRUE(),$R121="TRUE"),1,0))</f>
        <v/>
      </c>
      <c r="AN121">
        <f>IF($D121="","",IF($AA121="Yes",1,0))</f>
        <v/>
      </c>
      <c r="AO121">
        <f>IF($AK121=1,IFERROR(IF(VALUE($D121)&lt;100000000,VALUE($D121),1000000000),IFERROR(IF(VALUE(MID($D121,2,20))&lt;100000000,VALUE(MID($D121,2,20)),1000000000),1000000000))+ROW()/100000,"")</f>
        <v/>
      </c>
    </row>
    <row r="122">
      <c r="F122" s="11" t="n"/>
      <c r="N122" s="7">
        <f>IF($D122="","",M122*X122/100)</f>
        <v/>
      </c>
      <c r="O122" s="7" t="n"/>
      <c r="U122" s="7" t="n"/>
      <c r="V122" s="7" t="n"/>
      <c r="W122" s="7">
        <f>IF($D122="","",V122*AB122/100)</f>
        <v/>
      </c>
      <c r="X122" s="7">
        <f>IF($D122="","",V122-W122)</f>
        <v/>
      </c>
      <c r="Y122" s="7">
        <f>IF($D122="","",X122-N122)</f>
        <v/>
      </c>
      <c r="AB122">
        <f>IF($D122="","",IF($AN122=1,Settings!$C$8,IF($AM122=1,Settings!$C$6,Settings!$C$7))*100)</f>
        <v/>
      </c>
      <c r="AF122" s="7" t="n"/>
      <c r="AI122" s="11" t="n"/>
      <c r="AK122">
        <f>IF($D122="","",IF(COUNTIF($D$2:$D122,$D122)=1,1,0))</f>
        <v/>
      </c>
      <c r="AL122">
        <f>IF($AK122=1,SUMPRODUCT(--($AO$2:$AO$201&lt;$AO122))+1,"")</f>
        <v/>
      </c>
      <c r="AM122">
        <f>IF($D122="","",IF(OR($R122=TRUE(),$R122="TRUE"),1,0))</f>
        <v/>
      </c>
      <c r="AN122">
        <f>IF($D122="","",IF($AA122="Yes",1,0))</f>
        <v/>
      </c>
      <c r="AO122">
        <f>IF($AK122=1,IFERROR(IF(VALUE($D122)&lt;100000000,VALUE($D122),1000000000),IFERROR(IF(VALUE(MID($D122,2,20))&lt;100000000,VALUE(MID($D122,2,20)),1000000000),1000000000))+ROW()/100000,"")</f>
        <v/>
      </c>
    </row>
    <row r="123">
      <c r="F123" s="11" t="n"/>
      <c r="N123" s="7">
        <f>IF($D123="","",M123*X123/100)</f>
        <v/>
      </c>
      <c r="O123" s="7" t="n"/>
      <c r="U123" s="7" t="n"/>
      <c r="V123" s="7" t="n"/>
      <c r="W123" s="7">
        <f>IF($D123="","",V123*AB123/100)</f>
        <v/>
      </c>
      <c r="X123" s="7">
        <f>IF($D123="","",V123-W123)</f>
        <v/>
      </c>
      <c r="Y123" s="7">
        <f>IF($D123="","",X123-N123)</f>
        <v/>
      </c>
      <c r="AB123">
        <f>IF($D123="","",IF($AN123=1,Settings!$C$8,IF($AM123=1,Settings!$C$6,Settings!$C$7))*100)</f>
        <v/>
      </c>
      <c r="AF123" s="7" t="n"/>
      <c r="AI123" s="11" t="n"/>
      <c r="AK123">
        <f>IF($D123="","",IF(COUNTIF($D$2:$D123,$D123)=1,1,0))</f>
        <v/>
      </c>
      <c r="AL123">
        <f>IF($AK123=1,SUMPRODUCT(--($AO$2:$AO$201&lt;$AO123))+1,"")</f>
        <v/>
      </c>
      <c r="AM123">
        <f>IF($D123="","",IF(OR($R123=TRUE(),$R123="TRUE"),1,0))</f>
        <v/>
      </c>
      <c r="AN123">
        <f>IF($D123="","",IF($AA123="Yes",1,0))</f>
        <v/>
      </c>
      <c r="AO123">
        <f>IF($AK123=1,IFERROR(IF(VALUE($D123)&lt;100000000,VALUE($D123),1000000000),IFERROR(IF(VALUE(MID($D123,2,20))&lt;100000000,VALUE(MID($D123,2,20)),1000000000),1000000000))+ROW()/100000,"")</f>
        <v/>
      </c>
    </row>
    <row r="124">
      <c r="F124" s="11" t="n"/>
      <c r="N124" s="7">
        <f>IF($D124="","",M124*X124/100)</f>
        <v/>
      </c>
      <c r="O124" s="7" t="n"/>
      <c r="U124" s="7" t="n"/>
      <c r="V124" s="7" t="n"/>
      <c r="W124" s="7">
        <f>IF($D124="","",V124*AB124/100)</f>
        <v/>
      </c>
      <c r="X124" s="7">
        <f>IF($D124="","",V124-W124)</f>
        <v/>
      </c>
      <c r="Y124" s="7">
        <f>IF($D124="","",X124-N124)</f>
        <v/>
      </c>
      <c r="AB124">
        <f>IF($D124="","",IF($AN124=1,Settings!$C$8,IF($AM124=1,Settings!$C$6,Settings!$C$7))*100)</f>
        <v/>
      </c>
      <c r="AF124" s="7" t="n"/>
      <c r="AI124" s="11" t="n"/>
      <c r="AK124">
        <f>IF($D124="","",IF(COUNTIF($D$2:$D124,$D124)=1,1,0))</f>
        <v/>
      </c>
      <c r="AL124">
        <f>IF($AK124=1,SUMPRODUCT(--($AO$2:$AO$201&lt;$AO124))+1,"")</f>
        <v/>
      </c>
      <c r="AM124">
        <f>IF($D124="","",IF(OR($R124=TRUE(),$R124="TRUE"),1,0))</f>
        <v/>
      </c>
      <c r="AN124">
        <f>IF($D124="","",IF($AA124="Yes",1,0))</f>
        <v/>
      </c>
      <c r="AO124">
        <f>IF($AK124=1,IFERROR(IF(VALUE($D124)&lt;100000000,VALUE($D124),1000000000),IFERROR(IF(VALUE(MID($D124,2,20))&lt;100000000,VALUE(MID($D124,2,20)),1000000000),1000000000))+ROW()/100000,"")</f>
        <v/>
      </c>
    </row>
    <row r="125">
      <c r="F125" s="11" t="n"/>
      <c r="N125" s="7">
        <f>IF($D125="","",M125*X125/100)</f>
        <v/>
      </c>
      <c r="O125" s="7" t="n"/>
      <c r="U125" s="7" t="n"/>
      <c r="V125" s="7" t="n"/>
      <c r="W125" s="7">
        <f>IF($D125="","",V125*AB125/100)</f>
        <v/>
      </c>
      <c r="X125" s="7">
        <f>IF($D125="","",V125-W125)</f>
        <v/>
      </c>
      <c r="Y125" s="7">
        <f>IF($D125="","",X125-N125)</f>
        <v/>
      </c>
      <c r="AB125">
        <f>IF($D125="","",IF($AN125=1,Settings!$C$8,IF($AM125=1,Settings!$C$6,Settings!$C$7))*100)</f>
        <v/>
      </c>
      <c r="AF125" s="7" t="n"/>
      <c r="AI125" s="11" t="n"/>
      <c r="AK125">
        <f>IF($D125="","",IF(COUNTIF($D$2:$D125,$D125)=1,1,0))</f>
        <v/>
      </c>
      <c r="AL125">
        <f>IF($AK125=1,SUMPRODUCT(--($AO$2:$AO$201&lt;$AO125))+1,"")</f>
        <v/>
      </c>
      <c r="AM125">
        <f>IF($D125="","",IF(OR($R125=TRUE(),$R125="TRUE"),1,0))</f>
        <v/>
      </c>
      <c r="AN125">
        <f>IF($D125="","",IF($AA125="Yes",1,0))</f>
        <v/>
      </c>
      <c r="AO125">
        <f>IF($AK125=1,IFERROR(IF(VALUE($D125)&lt;100000000,VALUE($D125),1000000000),IFERROR(IF(VALUE(MID($D125,2,20))&lt;100000000,VALUE(MID($D125,2,20)),1000000000),1000000000))+ROW()/100000,"")</f>
        <v/>
      </c>
    </row>
    <row r="126">
      <c r="F126" s="11" t="n"/>
      <c r="N126" s="7">
        <f>IF($D126="","",M126*X126/100)</f>
        <v/>
      </c>
      <c r="O126" s="7" t="n"/>
      <c r="U126" s="7" t="n"/>
      <c r="V126" s="7" t="n"/>
      <c r="W126" s="7">
        <f>IF($D126="","",V126*AB126/100)</f>
        <v/>
      </c>
      <c r="X126" s="7">
        <f>IF($D126="","",V126-W126)</f>
        <v/>
      </c>
      <c r="Y126" s="7">
        <f>IF($D126="","",X126-N126)</f>
        <v/>
      </c>
      <c r="AB126">
        <f>IF($D126="","",IF($AN126=1,Settings!$C$8,IF($AM126=1,Settings!$C$6,Settings!$C$7))*100)</f>
        <v/>
      </c>
      <c r="AF126" s="7" t="n"/>
      <c r="AI126" s="11" t="n"/>
      <c r="AK126">
        <f>IF($D126="","",IF(COUNTIF($D$2:$D126,$D126)=1,1,0))</f>
        <v/>
      </c>
      <c r="AL126">
        <f>IF($AK126=1,SUMPRODUCT(--($AO$2:$AO$201&lt;$AO126))+1,"")</f>
        <v/>
      </c>
      <c r="AM126">
        <f>IF($D126="","",IF(OR($R126=TRUE(),$R126="TRUE"),1,0))</f>
        <v/>
      </c>
      <c r="AN126">
        <f>IF($D126="","",IF($AA126="Yes",1,0))</f>
        <v/>
      </c>
      <c r="AO126">
        <f>IF($AK126=1,IFERROR(IF(VALUE($D126)&lt;100000000,VALUE($D126),1000000000),IFERROR(IF(VALUE(MID($D126,2,20))&lt;100000000,VALUE(MID($D126,2,20)),1000000000),1000000000))+ROW()/100000,"")</f>
        <v/>
      </c>
    </row>
    <row r="127">
      <c r="F127" s="11" t="n"/>
      <c r="N127" s="7">
        <f>IF($D127="","",M127*X127/100)</f>
        <v/>
      </c>
      <c r="O127" s="7" t="n"/>
      <c r="U127" s="7" t="n"/>
      <c r="V127" s="7" t="n"/>
      <c r="W127" s="7">
        <f>IF($D127="","",V127*AB127/100)</f>
        <v/>
      </c>
      <c r="X127" s="7">
        <f>IF($D127="","",V127-W127)</f>
        <v/>
      </c>
      <c r="Y127" s="7">
        <f>IF($D127="","",X127-N127)</f>
        <v/>
      </c>
      <c r="AB127">
        <f>IF($D127="","",IF($AN127=1,Settings!$C$8,IF($AM127=1,Settings!$C$6,Settings!$C$7))*100)</f>
        <v/>
      </c>
      <c r="AF127" s="7" t="n"/>
      <c r="AI127" s="11" t="n"/>
      <c r="AK127">
        <f>IF($D127="","",IF(COUNTIF($D$2:$D127,$D127)=1,1,0))</f>
        <v/>
      </c>
      <c r="AL127">
        <f>IF($AK127=1,SUMPRODUCT(--($AO$2:$AO$201&lt;$AO127))+1,"")</f>
        <v/>
      </c>
      <c r="AM127">
        <f>IF($D127="","",IF(OR($R127=TRUE(),$R127="TRUE"),1,0))</f>
        <v/>
      </c>
      <c r="AN127">
        <f>IF($D127="","",IF($AA127="Yes",1,0))</f>
        <v/>
      </c>
      <c r="AO127">
        <f>IF($AK127=1,IFERROR(IF(VALUE($D127)&lt;100000000,VALUE($D127),1000000000),IFERROR(IF(VALUE(MID($D127,2,20))&lt;100000000,VALUE(MID($D127,2,20)),1000000000),1000000000))+ROW()/100000,"")</f>
        <v/>
      </c>
    </row>
    <row r="128">
      <c r="F128" s="11" t="n"/>
      <c r="N128" s="7">
        <f>IF($D128="","",M128*X128/100)</f>
        <v/>
      </c>
      <c r="O128" s="7" t="n"/>
      <c r="U128" s="7" t="n"/>
      <c r="V128" s="7" t="n"/>
      <c r="W128" s="7">
        <f>IF($D128="","",V128*AB128/100)</f>
        <v/>
      </c>
      <c r="X128" s="7">
        <f>IF($D128="","",V128-W128)</f>
        <v/>
      </c>
      <c r="Y128" s="7">
        <f>IF($D128="","",X128-N128)</f>
        <v/>
      </c>
      <c r="AB128">
        <f>IF($D128="","",IF($AN128=1,Settings!$C$8,IF($AM128=1,Settings!$C$6,Settings!$C$7))*100)</f>
        <v/>
      </c>
      <c r="AF128" s="7" t="n"/>
      <c r="AI128" s="11" t="n"/>
      <c r="AK128">
        <f>IF($D128="","",IF(COUNTIF($D$2:$D128,$D128)=1,1,0))</f>
        <v/>
      </c>
      <c r="AL128">
        <f>IF($AK128=1,SUMPRODUCT(--($AO$2:$AO$201&lt;$AO128))+1,"")</f>
        <v/>
      </c>
      <c r="AM128">
        <f>IF($D128="","",IF(OR($R128=TRUE(),$R128="TRUE"),1,0))</f>
        <v/>
      </c>
      <c r="AN128">
        <f>IF($D128="","",IF($AA128="Yes",1,0))</f>
        <v/>
      </c>
      <c r="AO128">
        <f>IF($AK128=1,IFERROR(IF(VALUE($D128)&lt;100000000,VALUE($D128),1000000000),IFERROR(IF(VALUE(MID($D128,2,20))&lt;100000000,VALUE(MID($D128,2,20)),1000000000),1000000000))+ROW()/100000,"")</f>
        <v/>
      </c>
    </row>
    <row r="129">
      <c r="F129" s="11" t="n"/>
      <c r="N129" s="7">
        <f>IF($D129="","",M129*X129/100)</f>
        <v/>
      </c>
      <c r="O129" s="7" t="n"/>
      <c r="U129" s="7" t="n"/>
      <c r="V129" s="7" t="n"/>
      <c r="W129" s="7">
        <f>IF($D129="","",V129*AB129/100)</f>
        <v/>
      </c>
      <c r="X129" s="7">
        <f>IF($D129="","",V129-W129)</f>
        <v/>
      </c>
      <c r="Y129" s="7">
        <f>IF($D129="","",X129-N129)</f>
        <v/>
      </c>
      <c r="AB129">
        <f>IF($D129="","",IF($AN129=1,Settings!$C$8,IF($AM129=1,Settings!$C$6,Settings!$C$7))*100)</f>
        <v/>
      </c>
      <c r="AF129" s="7" t="n"/>
      <c r="AI129" s="11" t="n"/>
      <c r="AK129">
        <f>IF($D129="","",IF(COUNTIF($D$2:$D129,$D129)=1,1,0))</f>
        <v/>
      </c>
      <c r="AL129">
        <f>IF($AK129=1,SUMPRODUCT(--($AO$2:$AO$201&lt;$AO129))+1,"")</f>
        <v/>
      </c>
      <c r="AM129">
        <f>IF($D129="","",IF(OR($R129=TRUE(),$R129="TRUE"),1,0))</f>
        <v/>
      </c>
      <c r="AN129">
        <f>IF($D129="","",IF($AA129="Yes",1,0))</f>
        <v/>
      </c>
      <c r="AO129">
        <f>IF($AK129=1,IFERROR(IF(VALUE($D129)&lt;100000000,VALUE($D129),1000000000),IFERROR(IF(VALUE(MID($D129,2,20))&lt;100000000,VALUE(MID($D129,2,20)),1000000000),1000000000))+ROW()/100000,"")</f>
        <v/>
      </c>
    </row>
    <row r="130">
      <c r="F130" s="11" t="n"/>
      <c r="N130" s="7">
        <f>IF($D130="","",M130*X130/100)</f>
        <v/>
      </c>
      <c r="O130" s="7" t="n"/>
      <c r="U130" s="7" t="n"/>
      <c r="V130" s="7" t="n"/>
      <c r="W130" s="7">
        <f>IF($D130="","",V130*AB130/100)</f>
        <v/>
      </c>
      <c r="X130" s="7">
        <f>IF($D130="","",V130-W130)</f>
        <v/>
      </c>
      <c r="Y130" s="7">
        <f>IF($D130="","",X130-N130)</f>
        <v/>
      </c>
      <c r="AB130">
        <f>IF($D130="","",IF($AN130=1,Settings!$C$8,IF($AM130=1,Settings!$C$6,Settings!$C$7))*100)</f>
        <v/>
      </c>
      <c r="AF130" s="7" t="n"/>
      <c r="AI130" s="11" t="n"/>
      <c r="AK130">
        <f>IF($D130="","",IF(COUNTIF($D$2:$D130,$D130)=1,1,0))</f>
        <v/>
      </c>
      <c r="AL130">
        <f>IF($AK130=1,SUMPRODUCT(--($AO$2:$AO$201&lt;$AO130))+1,"")</f>
        <v/>
      </c>
      <c r="AM130">
        <f>IF($D130="","",IF(OR($R130=TRUE(),$R130="TRUE"),1,0))</f>
        <v/>
      </c>
      <c r="AN130">
        <f>IF($D130="","",IF($AA130="Yes",1,0))</f>
        <v/>
      </c>
      <c r="AO130">
        <f>IF($AK130=1,IFERROR(IF(VALUE($D130)&lt;100000000,VALUE($D130),1000000000),IFERROR(IF(VALUE(MID($D130,2,20))&lt;100000000,VALUE(MID($D130,2,20)),1000000000),1000000000))+ROW()/100000,"")</f>
        <v/>
      </c>
    </row>
    <row r="131">
      <c r="F131" s="11" t="n"/>
      <c r="N131" s="7">
        <f>IF($D131="","",M131*X131/100)</f>
        <v/>
      </c>
      <c r="O131" s="7" t="n"/>
      <c r="U131" s="7" t="n"/>
      <c r="V131" s="7" t="n"/>
      <c r="W131" s="7">
        <f>IF($D131="","",V131*AB131/100)</f>
        <v/>
      </c>
      <c r="X131" s="7">
        <f>IF($D131="","",V131-W131)</f>
        <v/>
      </c>
      <c r="Y131" s="7">
        <f>IF($D131="","",X131-N131)</f>
        <v/>
      </c>
      <c r="AB131">
        <f>IF($D131="","",IF($AN131=1,Settings!$C$8,IF($AM131=1,Settings!$C$6,Settings!$C$7))*100)</f>
        <v/>
      </c>
      <c r="AF131" s="7" t="n"/>
      <c r="AI131" s="11" t="n"/>
      <c r="AK131">
        <f>IF($D131="","",IF(COUNTIF($D$2:$D131,$D131)=1,1,0))</f>
        <v/>
      </c>
      <c r="AL131">
        <f>IF($AK131=1,SUMPRODUCT(--($AO$2:$AO$201&lt;$AO131))+1,"")</f>
        <v/>
      </c>
      <c r="AM131">
        <f>IF($D131="","",IF(OR($R131=TRUE(),$R131="TRUE"),1,0))</f>
        <v/>
      </c>
      <c r="AN131">
        <f>IF($D131="","",IF($AA131="Yes",1,0))</f>
        <v/>
      </c>
      <c r="AO131">
        <f>IF($AK131=1,IFERROR(IF(VALUE($D131)&lt;100000000,VALUE($D131),1000000000),IFERROR(IF(VALUE(MID($D131,2,20))&lt;100000000,VALUE(MID($D131,2,20)),1000000000),1000000000))+ROW()/100000,"")</f>
        <v/>
      </c>
    </row>
    <row r="132">
      <c r="F132" s="11" t="n"/>
      <c r="N132" s="7">
        <f>IF($D132="","",M132*X132/100)</f>
        <v/>
      </c>
      <c r="O132" s="7" t="n"/>
      <c r="U132" s="7" t="n"/>
      <c r="V132" s="7" t="n"/>
      <c r="W132" s="7">
        <f>IF($D132="","",V132*AB132/100)</f>
        <v/>
      </c>
      <c r="X132" s="7">
        <f>IF($D132="","",V132-W132)</f>
        <v/>
      </c>
      <c r="Y132" s="7">
        <f>IF($D132="","",X132-N132)</f>
        <v/>
      </c>
      <c r="AB132">
        <f>IF($D132="","",IF($AN132=1,Settings!$C$8,IF($AM132=1,Settings!$C$6,Settings!$C$7))*100)</f>
        <v/>
      </c>
      <c r="AF132" s="7" t="n"/>
      <c r="AI132" s="11" t="n"/>
      <c r="AK132">
        <f>IF($D132="","",IF(COUNTIF($D$2:$D132,$D132)=1,1,0))</f>
        <v/>
      </c>
      <c r="AL132">
        <f>IF($AK132=1,SUMPRODUCT(--($AO$2:$AO$201&lt;$AO132))+1,"")</f>
        <v/>
      </c>
      <c r="AM132">
        <f>IF($D132="","",IF(OR($R132=TRUE(),$R132="TRUE"),1,0))</f>
        <v/>
      </c>
      <c r="AN132">
        <f>IF($D132="","",IF($AA132="Yes",1,0))</f>
        <v/>
      </c>
      <c r="AO132">
        <f>IF($AK132=1,IFERROR(IF(VALUE($D132)&lt;100000000,VALUE($D132),1000000000),IFERROR(IF(VALUE(MID($D132,2,20))&lt;100000000,VALUE(MID($D132,2,20)),1000000000),1000000000))+ROW()/100000,"")</f>
        <v/>
      </c>
    </row>
    <row r="133">
      <c r="F133" s="11" t="n"/>
      <c r="N133" s="7">
        <f>IF($D133="","",M133*X133/100)</f>
        <v/>
      </c>
      <c r="O133" s="7" t="n"/>
      <c r="U133" s="7" t="n"/>
      <c r="V133" s="7" t="n"/>
      <c r="W133" s="7">
        <f>IF($D133="","",V133*AB133/100)</f>
        <v/>
      </c>
      <c r="X133" s="7">
        <f>IF($D133="","",V133-W133)</f>
        <v/>
      </c>
      <c r="Y133" s="7">
        <f>IF($D133="","",X133-N133)</f>
        <v/>
      </c>
      <c r="AB133">
        <f>IF($D133="","",IF($AN133=1,Settings!$C$8,IF($AM133=1,Settings!$C$6,Settings!$C$7))*100)</f>
        <v/>
      </c>
      <c r="AF133" s="7" t="n"/>
      <c r="AI133" s="11" t="n"/>
      <c r="AK133">
        <f>IF($D133="","",IF(COUNTIF($D$2:$D133,$D133)=1,1,0))</f>
        <v/>
      </c>
      <c r="AL133">
        <f>IF($AK133=1,SUMPRODUCT(--($AO$2:$AO$201&lt;$AO133))+1,"")</f>
        <v/>
      </c>
      <c r="AM133">
        <f>IF($D133="","",IF(OR($R133=TRUE(),$R133="TRUE"),1,0))</f>
        <v/>
      </c>
      <c r="AN133">
        <f>IF($D133="","",IF($AA133="Yes",1,0))</f>
        <v/>
      </c>
      <c r="AO133">
        <f>IF($AK133=1,IFERROR(IF(VALUE($D133)&lt;100000000,VALUE($D133),1000000000),IFERROR(IF(VALUE(MID($D133,2,20))&lt;100000000,VALUE(MID($D133,2,20)),1000000000),1000000000))+ROW()/100000,"")</f>
        <v/>
      </c>
    </row>
    <row r="134">
      <c r="F134" s="11" t="n"/>
      <c r="N134" s="7">
        <f>IF($D134="","",M134*X134/100)</f>
        <v/>
      </c>
      <c r="O134" s="7" t="n"/>
      <c r="U134" s="7" t="n"/>
      <c r="V134" s="7" t="n"/>
      <c r="W134" s="7">
        <f>IF($D134="","",V134*AB134/100)</f>
        <v/>
      </c>
      <c r="X134" s="7">
        <f>IF($D134="","",V134-W134)</f>
        <v/>
      </c>
      <c r="Y134" s="7">
        <f>IF($D134="","",X134-N134)</f>
        <v/>
      </c>
      <c r="AB134">
        <f>IF($D134="","",IF($AN134=1,Settings!$C$8,IF($AM134=1,Settings!$C$6,Settings!$C$7))*100)</f>
        <v/>
      </c>
      <c r="AF134" s="7" t="n"/>
      <c r="AI134" s="11" t="n"/>
      <c r="AK134">
        <f>IF($D134="","",IF(COUNTIF($D$2:$D134,$D134)=1,1,0))</f>
        <v/>
      </c>
      <c r="AL134">
        <f>IF($AK134=1,SUMPRODUCT(--($AO$2:$AO$201&lt;$AO134))+1,"")</f>
        <v/>
      </c>
      <c r="AM134">
        <f>IF($D134="","",IF(OR($R134=TRUE(),$R134="TRUE"),1,0))</f>
        <v/>
      </c>
      <c r="AN134">
        <f>IF($D134="","",IF($AA134="Yes",1,0))</f>
        <v/>
      </c>
      <c r="AO134">
        <f>IF($AK134=1,IFERROR(IF(VALUE($D134)&lt;100000000,VALUE($D134),1000000000),IFERROR(IF(VALUE(MID($D134,2,20))&lt;100000000,VALUE(MID($D134,2,20)),1000000000),1000000000))+ROW()/100000,"")</f>
        <v/>
      </c>
    </row>
    <row r="135">
      <c r="F135" s="11" t="n"/>
      <c r="N135" s="7">
        <f>IF($D135="","",M135*X135/100)</f>
        <v/>
      </c>
      <c r="O135" s="7" t="n"/>
      <c r="U135" s="7" t="n"/>
      <c r="V135" s="7" t="n"/>
      <c r="W135" s="7">
        <f>IF($D135="","",V135*AB135/100)</f>
        <v/>
      </c>
      <c r="X135" s="7">
        <f>IF($D135="","",V135-W135)</f>
        <v/>
      </c>
      <c r="Y135" s="7">
        <f>IF($D135="","",X135-N135)</f>
        <v/>
      </c>
      <c r="AB135">
        <f>IF($D135="","",IF($AN135=1,Settings!$C$8,IF($AM135=1,Settings!$C$6,Settings!$C$7))*100)</f>
        <v/>
      </c>
      <c r="AF135" s="7" t="n"/>
      <c r="AI135" s="11" t="n"/>
      <c r="AK135">
        <f>IF($D135="","",IF(COUNTIF($D$2:$D135,$D135)=1,1,0))</f>
        <v/>
      </c>
      <c r="AL135">
        <f>IF($AK135=1,SUMPRODUCT(--($AO$2:$AO$201&lt;$AO135))+1,"")</f>
        <v/>
      </c>
      <c r="AM135">
        <f>IF($D135="","",IF(OR($R135=TRUE(),$R135="TRUE"),1,0))</f>
        <v/>
      </c>
      <c r="AN135">
        <f>IF($D135="","",IF($AA135="Yes",1,0))</f>
        <v/>
      </c>
      <c r="AO135">
        <f>IF($AK135=1,IFERROR(IF(VALUE($D135)&lt;100000000,VALUE($D135),1000000000),IFERROR(IF(VALUE(MID($D135,2,20))&lt;100000000,VALUE(MID($D135,2,20)),1000000000),1000000000))+ROW()/100000,"")</f>
        <v/>
      </c>
    </row>
    <row r="136">
      <c r="F136" s="11" t="n"/>
      <c r="N136" s="7">
        <f>IF($D136="","",M136*X136/100)</f>
        <v/>
      </c>
      <c r="O136" s="7" t="n"/>
      <c r="U136" s="7" t="n"/>
      <c r="V136" s="7" t="n"/>
      <c r="W136" s="7">
        <f>IF($D136="","",V136*AB136/100)</f>
        <v/>
      </c>
      <c r="X136" s="7">
        <f>IF($D136="","",V136-W136)</f>
        <v/>
      </c>
      <c r="Y136" s="7">
        <f>IF($D136="","",X136-N136)</f>
        <v/>
      </c>
      <c r="AB136">
        <f>IF($D136="","",IF($AN136=1,Settings!$C$8,IF($AM136=1,Settings!$C$6,Settings!$C$7))*100)</f>
        <v/>
      </c>
      <c r="AF136" s="7" t="n"/>
      <c r="AI136" s="11" t="n"/>
      <c r="AK136">
        <f>IF($D136="","",IF(COUNTIF($D$2:$D136,$D136)=1,1,0))</f>
        <v/>
      </c>
      <c r="AL136">
        <f>IF($AK136=1,SUMPRODUCT(--($AO$2:$AO$201&lt;$AO136))+1,"")</f>
        <v/>
      </c>
      <c r="AM136">
        <f>IF($D136="","",IF(OR($R136=TRUE(),$R136="TRUE"),1,0))</f>
        <v/>
      </c>
      <c r="AN136">
        <f>IF($D136="","",IF($AA136="Yes",1,0))</f>
        <v/>
      </c>
      <c r="AO136">
        <f>IF($AK136=1,IFERROR(IF(VALUE($D136)&lt;100000000,VALUE($D136),1000000000),IFERROR(IF(VALUE(MID($D136,2,20))&lt;100000000,VALUE(MID($D136,2,20)),1000000000),1000000000))+ROW()/100000,"")</f>
        <v/>
      </c>
    </row>
    <row r="137">
      <c r="F137" s="11" t="n"/>
      <c r="N137" s="7">
        <f>IF($D137="","",M137*X137/100)</f>
        <v/>
      </c>
      <c r="O137" s="7" t="n"/>
      <c r="U137" s="7" t="n"/>
      <c r="V137" s="7" t="n"/>
      <c r="W137" s="7">
        <f>IF($D137="","",V137*AB137/100)</f>
        <v/>
      </c>
      <c r="X137" s="7">
        <f>IF($D137="","",V137-W137)</f>
        <v/>
      </c>
      <c r="Y137" s="7">
        <f>IF($D137="","",X137-N137)</f>
        <v/>
      </c>
      <c r="AB137">
        <f>IF($D137="","",IF($AN137=1,Settings!$C$8,IF($AM137=1,Settings!$C$6,Settings!$C$7))*100)</f>
        <v/>
      </c>
      <c r="AF137" s="7" t="n"/>
      <c r="AI137" s="11" t="n"/>
      <c r="AK137">
        <f>IF($D137="","",IF(COUNTIF($D$2:$D137,$D137)=1,1,0))</f>
        <v/>
      </c>
      <c r="AL137">
        <f>IF($AK137=1,SUMPRODUCT(--($AO$2:$AO$201&lt;$AO137))+1,"")</f>
        <v/>
      </c>
      <c r="AM137">
        <f>IF($D137="","",IF(OR($R137=TRUE(),$R137="TRUE"),1,0))</f>
        <v/>
      </c>
      <c r="AN137">
        <f>IF($D137="","",IF($AA137="Yes",1,0))</f>
        <v/>
      </c>
      <c r="AO137">
        <f>IF($AK137=1,IFERROR(IF(VALUE($D137)&lt;100000000,VALUE($D137),1000000000),IFERROR(IF(VALUE(MID($D137,2,20))&lt;100000000,VALUE(MID($D137,2,20)),1000000000),1000000000))+ROW()/100000,"")</f>
        <v/>
      </c>
    </row>
    <row r="138">
      <c r="F138" s="11" t="n"/>
      <c r="N138" s="7">
        <f>IF($D138="","",M138*X138/100)</f>
        <v/>
      </c>
      <c r="O138" s="7" t="n"/>
      <c r="U138" s="7" t="n"/>
      <c r="V138" s="7" t="n"/>
      <c r="W138" s="7">
        <f>IF($D138="","",V138*AB138/100)</f>
        <v/>
      </c>
      <c r="X138" s="7">
        <f>IF($D138="","",V138-W138)</f>
        <v/>
      </c>
      <c r="Y138" s="7">
        <f>IF($D138="","",X138-N138)</f>
        <v/>
      </c>
      <c r="AB138">
        <f>IF($D138="","",IF($AN138=1,Settings!$C$8,IF($AM138=1,Settings!$C$6,Settings!$C$7))*100)</f>
        <v/>
      </c>
      <c r="AF138" s="7" t="n"/>
      <c r="AI138" s="11" t="n"/>
      <c r="AK138">
        <f>IF($D138="","",IF(COUNTIF($D$2:$D138,$D138)=1,1,0))</f>
        <v/>
      </c>
      <c r="AL138">
        <f>IF($AK138=1,SUMPRODUCT(--($AO$2:$AO$201&lt;$AO138))+1,"")</f>
        <v/>
      </c>
      <c r="AM138">
        <f>IF($D138="","",IF(OR($R138=TRUE(),$R138="TRUE"),1,0))</f>
        <v/>
      </c>
      <c r="AN138">
        <f>IF($D138="","",IF($AA138="Yes",1,0))</f>
        <v/>
      </c>
      <c r="AO138">
        <f>IF($AK138=1,IFERROR(IF(VALUE($D138)&lt;100000000,VALUE($D138),1000000000),IFERROR(IF(VALUE(MID($D138,2,20))&lt;100000000,VALUE(MID($D138,2,20)),1000000000),1000000000))+ROW()/100000,"")</f>
        <v/>
      </c>
    </row>
    <row r="139">
      <c r="F139" s="11" t="n"/>
      <c r="N139" s="7">
        <f>IF($D139="","",M139*X139/100)</f>
        <v/>
      </c>
      <c r="O139" s="7" t="n"/>
      <c r="U139" s="7" t="n"/>
      <c r="V139" s="7" t="n"/>
      <c r="W139" s="7">
        <f>IF($D139="","",V139*AB139/100)</f>
        <v/>
      </c>
      <c r="X139" s="7">
        <f>IF($D139="","",V139-W139)</f>
        <v/>
      </c>
      <c r="Y139" s="7">
        <f>IF($D139="","",X139-N139)</f>
        <v/>
      </c>
      <c r="AB139">
        <f>IF($D139="","",IF($AN139=1,Settings!$C$8,IF($AM139=1,Settings!$C$6,Settings!$C$7))*100)</f>
        <v/>
      </c>
      <c r="AF139" s="7" t="n"/>
      <c r="AI139" s="11" t="n"/>
      <c r="AK139">
        <f>IF($D139="","",IF(COUNTIF($D$2:$D139,$D139)=1,1,0))</f>
        <v/>
      </c>
      <c r="AL139">
        <f>IF($AK139=1,SUMPRODUCT(--($AO$2:$AO$201&lt;$AO139))+1,"")</f>
        <v/>
      </c>
      <c r="AM139">
        <f>IF($D139="","",IF(OR($R139=TRUE(),$R139="TRUE"),1,0))</f>
        <v/>
      </c>
      <c r="AN139">
        <f>IF($D139="","",IF($AA139="Yes",1,0))</f>
        <v/>
      </c>
      <c r="AO139">
        <f>IF($AK139=1,IFERROR(IF(VALUE($D139)&lt;100000000,VALUE($D139),1000000000),IFERROR(IF(VALUE(MID($D139,2,20))&lt;100000000,VALUE(MID($D139,2,20)),1000000000),1000000000))+ROW()/100000,"")</f>
        <v/>
      </c>
    </row>
    <row r="140">
      <c r="F140" s="11" t="n"/>
      <c r="N140" s="7">
        <f>IF($D140="","",M140*X140/100)</f>
        <v/>
      </c>
      <c r="O140" s="7" t="n"/>
      <c r="U140" s="7" t="n"/>
      <c r="V140" s="7" t="n"/>
      <c r="W140" s="7">
        <f>IF($D140="","",V140*AB140/100)</f>
        <v/>
      </c>
      <c r="X140" s="7">
        <f>IF($D140="","",V140-W140)</f>
        <v/>
      </c>
      <c r="Y140" s="7">
        <f>IF($D140="","",X140-N140)</f>
        <v/>
      </c>
      <c r="AB140">
        <f>IF($D140="","",IF($AN140=1,Settings!$C$8,IF($AM140=1,Settings!$C$6,Settings!$C$7))*100)</f>
        <v/>
      </c>
      <c r="AF140" s="7" t="n"/>
      <c r="AI140" s="11" t="n"/>
      <c r="AK140">
        <f>IF($D140="","",IF(COUNTIF($D$2:$D140,$D140)=1,1,0))</f>
        <v/>
      </c>
      <c r="AL140">
        <f>IF($AK140=1,SUMPRODUCT(--($AO$2:$AO$201&lt;$AO140))+1,"")</f>
        <v/>
      </c>
      <c r="AM140">
        <f>IF($D140="","",IF(OR($R140=TRUE(),$R140="TRUE"),1,0))</f>
        <v/>
      </c>
      <c r="AN140">
        <f>IF($D140="","",IF($AA140="Yes",1,0))</f>
        <v/>
      </c>
      <c r="AO140">
        <f>IF($AK140=1,IFERROR(IF(VALUE($D140)&lt;100000000,VALUE($D140),1000000000),IFERROR(IF(VALUE(MID($D140,2,20))&lt;100000000,VALUE(MID($D140,2,20)),1000000000),1000000000))+ROW()/100000,"")</f>
        <v/>
      </c>
    </row>
    <row r="141">
      <c r="F141" s="11" t="n"/>
      <c r="N141" s="7">
        <f>IF($D141="","",M141*X141/100)</f>
        <v/>
      </c>
      <c r="O141" s="7" t="n"/>
      <c r="U141" s="7" t="n"/>
      <c r="V141" s="7" t="n"/>
      <c r="W141" s="7">
        <f>IF($D141="","",V141*AB141/100)</f>
        <v/>
      </c>
      <c r="X141" s="7">
        <f>IF($D141="","",V141-W141)</f>
        <v/>
      </c>
      <c r="Y141" s="7">
        <f>IF($D141="","",X141-N141)</f>
        <v/>
      </c>
      <c r="AB141">
        <f>IF($D141="","",IF($AN141=1,Settings!$C$8,IF($AM141=1,Settings!$C$6,Settings!$C$7))*100)</f>
        <v/>
      </c>
      <c r="AF141" s="7" t="n"/>
      <c r="AI141" s="11" t="n"/>
      <c r="AK141">
        <f>IF($D141="","",IF(COUNTIF($D$2:$D141,$D141)=1,1,0))</f>
        <v/>
      </c>
      <c r="AL141">
        <f>IF($AK141=1,SUMPRODUCT(--($AO$2:$AO$201&lt;$AO141))+1,"")</f>
        <v/>
      </c>
      <c r="AM141">
        <f>IF($D141="","",IF(OR($R141=TRUE(),$R141="TRUE"),1,0))</f>
        <v/>
      </c>
      <c r="AN141">
        <f>IF($D141="","",IF($AA141="Yes",1,0))</f>
        <v/>
      </c>
      <c r="AO141">
        <f>IF($AK141=1,IFERROR(IF(VALUE($D141)&lt;100000000,VALUE($D141),1000000000),IFERROR(IF(VALUE(MID($D141,2,20))&lt;100000000,VALUE(MID($D141,2,20)),1000000000),1000000000))+ROW()/100000,"")</f>
        <v/>
      </c>
    </row>
    <row r="142">
      <c r="F142" s="11" t="n"/>
      <c r="N142" s="7">
        <f>IF($D142="","",M142*X142/100)</f>
        <v/>
      </c>
      <c r="O142" s="7" t="n"/>
      <c r="U142" s="7" t="n"/>
      <c r="V142" s="7" t="n"/>
      <c r="W142" s="7">
        <f>IF($D142="","",V142*AB142/100)</f>
        <v/>
      </c>
      <c r="X142" s="7">
        <f>IF($D142="","",V142-W142)</f>
        <v/>
      </c>
      <c r="Y142" s="7">
        <f>IF($D142="","",X142-N142)</f>
        <v/>
      </c>
      <c r="AB142">
        <f>IF($D142="","",IF($AN142=1,Settings!$C$8,IF($AM142=1,Settings!$C$6,Settings!$C$7))*100)</f>
        <v/>
      </c>
      <c r="AF142" s="7" t="n"/>
      <c r="AI142" s="11" t="n"/>
      <c r="AK142">
        <f>IF($D142="","",IF(COUNTIF($D$2:$D142,$D142)=1,1,0))</f>
        <v/>
      </c>
      <c r="AL142">
        <f>IF($AK142=1,SUMPRODUCT(--($AO$2:$AO$201&lt;$AO142))+1,"")</f>
        <v/>
      </c>
      <c r="AM142">
        <f>IF($D142="","",IF(OR($R142=TRUE(),$R142="TRUE"),1,0))</f>
        <v/>
      </c>
      <c r="AN142">
        <f>IF($D142="","",IF($AA142="Yes",1,0))</f>
        <v/>
      </c>
      <c r="AO142">
        <f>IF($AK142=1,IFERROR(IF(VALUE($D142)&lt;100000000,VALUE($D142),1000000000),IFERROR(IF(VALUE(MID($D142,2,20))&lt;100000000,VALUE(MID($D142,2,20)),1000000000),1000000000))+ROW()/100000,"")</f>
        <v/>
      </c>
    </row>
    <row r="143">
      <c r="F143" s="11" t="n"/>
      <c r="N143" s="7">
        <f>IF($D143="","",M143*X143/100)</f>
        <v/>
      </c>
      <c r="O143" s="7" t="n"/>
      <c r="U143" s="7" t="n"/>
      <c r="V143" s="7" t="n"/>
      <c r="W143" s="7">
        <f>IF($D143="","",V143*AB143/100)</f>
        <v/>
      </c>
      <c r="X143" s="7">
        <f>IF($D143="","",V143-W143)</f>
        <v/>
      </c>
      <c r="Y143" s="7">
        <f>IF($D143="","",X143-N143)</f>
        <v/>
      </c>
      <c r="AB143">
        <f>IF($D143="","",IF($AN143=1,Settings!$C$8,IF($AM143=1,Settings!$C$6,Settings!$C$7))*100)</f>
        <v/>
      </c>
      <c r="AF143" s="7" t="n"/>
      <c r="AI143" s="11" t="n"/>
      <c r="AK143">
        <f>IF($D143="","",IF(COUNTIF($D$2:$D143,$D143)=1,1,0))</f>
        <v/>
      </c>
      <c r="AL143">
        <f>IF($AK143=1,SUMPRODUCT(--($AO$2:$AO$201&lt;$AO143))+1,"")</f>
        <v/>
      </c>
      <c r="AM143">
        <f>IF($D143="","",IF(OR($R143=TRUE(),$R143="TRUE"),1,0))</f>
        <v/>
      </c>
      <c r="AN143">
        <f>IF($D143="","",IF($AA143="Yes",1,0))</f>
        <v/>
      </c>
      <c r="AO143">
        <f>IF($AK143=1,IFERROR(IF(VALUE($D143)&lt;100000000,VALUE($D143),1000000000),IFERROR(IF(VALUE(MID($D143,2,20))&lt;100000000,VALUE(MID($D143,2,20)),1000000000),1000000000))+ROW()/100000,"")</f>
        <v/>
      </c>
    </row>
    <row r="144">
      <c r="F144" s="11" t="n"/>
      <c r="N144" s="7">
        <f>IF($D144="","",M144*X144/100)</f>
        <v/>
      </c>
      <c r="O144" s="7" t="n"/>
      <c r="U144" s="7" t="n"/>
      <c r="V144" s="7" t="n"/>
      <c r="W144" s="7">
        <f>IF($D144="","",V144*AB144/100)</f>
        <v/>
      </c>
      <c r="X144" s="7">
        <f>IF($D144="","",V144-W144)</f>
        <v/>
      </c>
      <c r="Y144" s="7">
        <f>IF($D144="","",X144-N144)</f>
        <v/>
      </c>
      <c r="AB144">
        <f>IF($D144="","",IF($AN144=1,Settings!$C$8,IF($AM144=1,Settings!$C$6,Settings!$C$7))*100)</f>
        <v/>
      </c>
      <c r="AF144" s="7" t="n"/>
      <c r="AI144" s="11" t="n"/>
      <c r="AK144">
        <f>IF($D144="","",IF(COUNTIF($D$2:$D144,$D144)=1,1,0))</f>
        <v/>
      </c>
      <c r="AL144">
        <f>IF($AK144=1,SUMPRODUCT(--($AO$2:$AO$201&lt;$AO144))+1,"")</f>
        <v/>
      </c>
      <c r="AM144">
        <f>IF($D144="","",IF(OR($R144=TRUE(),$R144="TRUE"),1,0))</f>
        <v/>
      </c>
      <c r="AN144">
        <f>IF($D144="","",IF($AA144="Yes",1,0))</f>
        <v/>
      </c>
      <c r="AO144">
        <f>IF($AK144=1,IFERROR(IF(VALUE($D144)&lt;100000000,VALUE($D144),1000000000),IFERROR(IF(VALUE(MID($D144,2,20))&lt;100000000,VALUE(MID($D144,2,20)),1000000000),1000000000))+ROW()/100000,"")</f>
        <v/>
      </c>
    </row>
    <row r="145">
      <c r="F145" s="11" t="n"/>
      <c r="N145" s="7">
        <f>IF($D145="","",M145*X145/100)</f>
        <v/>
      </c>
      <c r="O145" s="7" t="n"/>
      <c r="U145" s="7" t="n"/>
      <c r="V145" s="7" t="n"/>
      <c r="W145" s="7">
        <f>IF($D145="","",V145*AB145/100)</f>
        <v/>
      </c>
      <c r="X145" s="7">
        <f>IF($D145="","",V145-W145)</f>
        <v/>
      </c>
      <c r="Y145" s="7">
        <f>IF($D145="","",X145-N145)</f>
        <v/>
      </c>
      <c r="AB145">
        <f>IF($D145="","",IF($AN145=1,Settings!$C$8,IF($AM145=1,Settings!$C$6,Settings!$C$7))*100)</f>
        <v/>
      </c>
      <c r="AF145" s="7" t="n"/>
      <c r="AI145" s="11" t="n"/>
      <c r="AK145">
        <f>IF($D145="","",IF(COUNTIF($D$2:$D145,$D145)=1,1,0))</f>
        <v/>
      </c>
      <c r="AL145">
        <f>IF($AK145=1,SUMPRODUCT(--($AO$2:$AO$201&lt;$AO145))+1,"")</f>
        <v/>
      </c>
      <c r="AM145">
        <f>IF($D145="","",IF(OR($R145=TRUE(),$R145="TRUE"),1,0))</f>
        <v/>
      </c>
      <c r="AN145">
        <f>IF($D145="","",IF($AA145="Yes",1,0))</f>
        <v/>
      </c>
      <c r="AO145">
        <f>IF($AK145=1,IFERROR(IF(VALUE($D145)&lt;100000000,VALUE($D145),1000000000),IFERROR(IF(VALUE(MID($D145,2,20))&lt;100000000,VALUE(MID($D145,2,20)),1000000000),1000000000))+ROW()/100000,"")</f>
        <v/>
      </c>
    </row>
    <row r="146">
      <c r="F146" s="11" t="n"/>
      <c r="N146" s="7">
        <f>IF($D146="","",M146*X146/100)</f>
        <v/>
      </c>
      <c r="O146" s="7" t="n"/>
      <c r="U146" s="7" t="n"/>
      <c r="V146" s="7" t="n"/>
      <c r="W146" s="7">
        <f>IF($D146="","",V146*AB146/100)</f>
        <v/>
      </c>
      <c r="X146" s="7">
        <f>IF($D146="","",V146-W146)</f>
        <v/>
      </c>
      <c r="Y146" s="7">
        <f>IF($D146="","",X146-N146)</f>
        <v/>
      </c>
      <c r="AB146">
        <f>IF($D146="","",IF($AN146=1,Settings!$C$8,IF($AM146=1,Settings!$C$6,Settings!$C$7))*100)</f>
        <v/>
      </c>
      <c r="AF146" s="7" t="n"/>
      <c r="AI146" s="11" t="n"/>
      <c r="AK146">
        <f>IF($D146="","",IF(COUNTIF($D$2:$D146,$D146)=1,1,0))</f>
        <v/>
      </c>
      <c r="AL146">
        <f>IF($AK146=1,SUMPRODUCT(--($AO$2:$AO$201&lt;$AO146))+1,"")</f>
        <v/>
      </c>
      <c r="AM146">
        <f>IF($D146="","",IF(OR($R146=TRUE(),$R146="TRUE"),1,0))</f>
        <v/>
      </c>
      <c r="AN146">
        <f>IF($D146="","",IF($AA146="Yes",1,0))</f>
        <v/>
      </c>
      <c r="AO146">
        <f>IF($AK146=1,IFERROR(IF(VALUE($D146)&lt;100000000,VALUE($D146),1000000000),IFERROR(IF(VALUE(MID($D146,2,20))&lt;100000000,VALUE(MID($D146,2,20)),1000000000),1000000000))+ROW()/100000,"")</f>
        <v/>
      </c>
    </row>
    <row r="147">
      <c r="F147" s="11" t="n"/>
      <c r="N147" s="7">
        <f>IF($D147="","",M147*X147/100)</f>
        <v/>
      </c>
      <c r="O147" s="7" t="n"/>
      <c r="U147" s="7" t="n"/>
      <c r="V147" s="7" t="n"/>
      <c r="W147" s="7">
        <f>IF($D147="","",V147*AB147/100)</f>
        <v/>
      </c>
      <c r="X147" s="7">
        <f>IF($D147="","",V147-W147)</f>
        <v/>
      </c>
      <c r="Y147" s="7">
        <f>IF($D147="","",X147-N147)</f>
        <v/>
      </c>
      <c r="AB147">
        <f>IF($D147="","",IF($AN147=1,Settings!$C$8,IF($AM147=1,Settings!$C$6,Settings!$C$7))*100)</f>
        <v/>
      </c>
      <c r="AF147" s="7" t="n"/>
      <c r="AI147" s="11" t="n"/>
      <c r="AK147">
        <f>IF($D147="","",IF(COUNTIF($D$2:$D147,$D147)=1,1,0))</f>
        <v/>
      </c>
      <c r="AL147">
        <f>IF($AK147=1,SUMPRODUCT(--($AO$2:$AO$201&lt;$AO147))+1,"")</f>
        <v/>
      </c>
      <c r="AM147">
        <f>IF($D147="","",IF(OR($R147=TRUE(),$R147="TRUE"),1,0))</f>
        <v/>
      </c>
      <c r="AN147">
        <f>IF($D147="","",IF($AA147="Yes",1,0))</f>
        <v/>
      </c>
      <c r="AO147">
        <f>IF($AK147=1,IFERROR(IF(VALUE($D147)&lt;100000000,VALUE($D147),1000000000),IFERROR(IF(VALUE(MID($D147,2,20))&lt;100000000,VALUE(MID($D147,2,20)),1000000000),1000000000))+ROW()/100000,"")</f>
        <v/>
      </c>
    </row>
    <row r="148">
      <c r="F148" s="11" t="n"/>
      <c r="N148" s="7">
        <f>IF($D148="","",M148*X148/100)</f>
        <v/>
      </c>
      <c r="O148" s="7" t="n"/>
      <c r="U148" s="7" t="n"/>
      <c r="V148" s="7" t="n"/>
      <c r="W148" s="7">
        <f>IF($D148="","",V148*AB148/100)</f>
        <v/>
      </c>
      <c r="X148" s="7">
        <f>IF($D148="","",V148-W148)</f>
        <v/>
      </c>
      <c r="Y148" s="7">
        <f>IF($D148="","",X148-N148)</f>
        <v/>
      </c>
      <c r="AB148">
        <f>IF($D148="","",IF($AN148=1,Settings!$C$8,IF($AM148=1,Settings!$C$6,Settings!$C$7))*100)</f>
        <v/>
      </c>
      <c r="AF148" s="7" t="n"/>
      <c r="AI148" s="11" t="n"/>
      <c r="AK148">
        <f>IF($D148="","",IF(COUNTIF($D$2:$D148,$D148)=1,1,0))</f>
        <v/>
      </c>
      <c r="AL148">
        <f>IF($AK148=1,SUMPRODUCT(--($AO$2:$AO$201&lt;$AO148))+1,"")</f>
        <v/>
      </c>
      <c r="AM148">
        <f>IF($D148="","",IF(OR($R148=TRUE(),$R148="TRUE"),1,0))</f>
        <v/>
      </c>
      <c r="AN148">
        <f>IF($D148="","",IF($AA148="Yes",1,0))</f>
        <v/>
      </c>
      <c r="AO148">
        <f>IF($AK148=1,IFERROR(IF(VALUE($D148)&lt;100000000,VALUE($D148),1000000000),IFERROR(IF(VALUE(MID($D148,2,20))&lt;100000000,VALUE(MID($D148,2,20)),1000000000),1000000000))+ROW()/100000,"")</f>
        <v/>
      </c>
    </row>
    <row r="149">
      <c r="F149" s="11" t="n"/>
      <c r="N149" s="7">
        <f>IF($D149="","",M149*X149/100)</f>
        <v/>
      </c>
      <c r="O149" s="7" t="n"/>
      <c r="U149" s="7" t="n"/>
      <c r="V149" s="7" t="n"/>
      <c r="W149" s="7">
        <f>IF($D149="","",V149*AB149/100)</f>
        <v/>
      </c>
      <c r="X149" s="7">
        <f>IF($D149="","",V149-W149)</f>
        <v/>
      </c>
      <c r="Y149" s="7">
        <f>IF($D149="","",X149-N149)</f>
        <v/>
      </c>
      <c r="AB149">
        <f>IF($D149="","",IF($AN149=1,Settings!$C$8,IF($AM149=1,Settings!$C$6,Settings!$C$7))*100)</f>
        <v/>
      </c>
      <c r="AF149" s="7" t="n"/>
      <c r="AI149" s="11" t="n"/>
      <c r="AK149">
        <f>IF($D149="","",IF(COUNTIF($D$2:$D149,$D149)=1,1,0))</f>
        <v/>
      </c>
      <c r="AL149">
        <f>IF($AK149=1,SUMPRODUCT(--($AO$2:$AO$201&lt;$AO149))+1,"")</f>
        <v/>
      </c>
      <c r="AM149">
        <f>IF($D149="","",IF(OR($R149=TRUE(),$R149="TRUE"),1,0))</f>
        <v/>
      </c>
      <c r="AN149">
        <f>IF($D149="","",IF($AA149="Yes",1,0))</f>
        <v/>
      </c>
      <c r="AO149">
        <f>IF($AK149=1,IFERROR(IF(VALUE($D149)&lt;100000000,VALUE($D149),1000000000),IFERROR(IF(VALUE(MID($D149,2,20))&lt;100000000,VALUE(MID($D149,2,20)),1000000000),1000000000))+ROW()/100000,"")</f>
        <v/>
      </c>
    </row>
    <row r="150">
      <c r="F150" s="11" t="n"/>
      <c r="N150" s="7">
        <f>IF($D150="","",M150*X150/100)</f>
        <v/>
      </c>
      <c r="O150" s="7" t="n"/>
      <c r="U150" s="7" t="n"/>
      <c r="V150" s="7" t="n"/>
      <c r="W150" s="7">
        <f>IF($D150="","",V150*AB150/100)</f>
        <v/>
      </c>
      <c r="X150" s="7">
        <f>IF($D150="","",V150-W150)</f>
        <v/>
      </c>
      <c r="Y150" s="7">
        <f>IF($D150="","",X150-N150)</f>
        <v/>
      </c>
      <c r="AB150">
        <f>IF($D150="","",IF($AN150=1,Settings!$C$8,IF($AM150=1,Settings!$C$6,Settings!$C$7))*100)</f>
        <v/>
      </c>
      <c r="AF150" s="7" t="n"/>
      <c r="AI150" s="11" t="n"/>
      <c r="AK150">
        <f>IF($D150="","",IF(COUNTIF($D$2:$D150,$D150)=1,1,0))</f>
        <v/>
      </c>
      <c r="AL150">
        <f>IF($AK150=1,SUMPRODUCT(--($AO$2:$AO$201&lt;$AO150))+1,"")</f>
        <v/>
      </c>
      <c r="AM150">
        <f>IF($D150="","",IF(OR($R150=TRUE(),$R150="TRUE"),1,0))</f>
        <v/>
      </c>
      <c r="AN150">
        <f>IF($D150="","",IF($AA150="Yes",1,0))</f>
        <v/>
      </c>
      <c r="AO150">
        <f>IF($AK150=1,IFERROR(IF(VALUE($D150)&lt;100000000,VALUE($D150),1000000000),IFERROR(IF(VALUE(MID($D150,2,20))&lt;100000000,VALUE(MID($D150,2,20)),1000000000),1000000000))+ROW()/100000,"")</f>
        <v/>
      </c>
    </row>
    <row r="151">
      <c r="F151" s="11" t="n"/>
      <c r="N151" s="7">
        <f>IF($D151="","",M151*X151/100)</f>
        <v/>
      </c>
      <c r="O151" s="7" t="n"/>
      <c r="U151" s="7" t="n"/>
      <c r="V151" s="7" t="n"/>
      <c r="W151" s="7">
        <f>IF($D151="","",V151*AB151/100)</f>
        <v/>
      </c>
      <c r="X151" s="7">
        <f>IF($D151="","",V151-W151)</f>
        <v/>
      </c>
      <c r="Y151" s="7">
        <f>IF($D151="","",X151-N151)</f>
        <v/>
      </c>
      <c r="AB151">
        <f>IF($D151="","",IF($AN151=1,Settings!$C$8,IF($AM151=1,Settings!$C$6,Settings!$C$7))*100)</f>
        <v/>
      </c>
      <c r="AF151" s="7" t="n"/>
      <c r="AI151" s="11" t="n"/>
      <c r="AK151">
        <f>IF($D151="","",IF(COUNTIF($D$2:$D151,$D151)=1,1,0))</f>
        <v/>
      </c>
      <c r="AL151">
        <f>IF($AK151=1,SUMPRODUCT(--($AO$2:$AO$201&lt;$AO151))+1,"")</f>
        <v/>
      </c>
      <c r="AM151">
        <f>IF($D151="","",IF(OR($R151=TRUE(),$R151="TRUE"),1,0))</f>
        <v/>
      </c>
      <c r="AN151">
        <f>IF($D151="","",IF($AA151="Yes",1,0))</f>
        <v/>
      </c>
      <c r="AO151">
        <f>IF($AK151=1,IFERROR(IF(VALUE($D151)&lt;100000000,VALUE($D151),1000000000),IFERROR(IF(VALUE(MID($D151,2,20))&lt;100000000,VALUE(MID($D151,2,20)),1000000000),1000000000))+ROW()/100000,"")</f>
        <v/>
      </c>
    </row>
    <row r="152">
      <c r="F152" s="11" t="n"/>
      <c r="N152" s="7">
        <f>IF($D152="","",M152*X152/100)</f>
        <v/>
      </c>
      <c r="O152" s="7" t="n"/>
      <c r="U152" s="7" t="n"/>
      <c r="V152" s="7" t="n"/>
      <c r="W152" s="7">
        <f>IF($D152="","",V152*AB152/100)</f>
        <v/>
      </c>
      <c r="X152" s="7">
        <f>IF($D152="","",V152-W152)</f>
        <v/>
      </c>
      <c r="Y152" s="7">
        <f>IF($D152="","",X152-N152)</f>
        <v/>
      </c>
      <c r="AB152">
        <f>IF($D152="","",IF($AN152=1,Settings!$C$8,IF($AM152=1,Settings!$C$6,Settings!$C$7))*100)</f>
        <v/>
      </c>
      <c r="AF152" s="7" t="n"/>
      <c r="AI152" s="11" t="n"/>
      <c r="AK152">
        <f>IF($D152="","",IF(COUNTIF($D$2:$D152,$D152)=1,1,0))</f>
        <v/>
      </c>
      <c r="AL152">
        <f>IF($AK152=1,SUMPRODUCT(--($AO$2:$AO$201&lt;$AO152))+1,"")</f>
        <v/>
      </c>
      <c r="AM152">
        <f>IF($D152="","",IF(OR($R152=TRUE(),$R152="TRUE"),1,0))</f>
        <v/>
      </c>
      <c r="AN152">
        <f>IF($D152="","",IF($AA152="Yes",1,0))</f>
        <v/>
      </c>
      <c r="AO152">
        <f>IF($AK152=1,IFERROR(IF(VALUE($D152)&lt;100000000,VALUE($D152),1000000000),IFERROR(IF(VALUE(MID($D152,2,20))&lt;100000000,VALUE(MID($D152,2,20)),1000000000),1000000000))+ROW()/100000,"")</f>
        <v/>
      </c>
    </row>
    <row r="153">
      <c r="F153" s="11" t="n"/>
      <c r="N153" s="7">
        <f>IF($D153="","",M153*X153/100)</f>
        <v/>
      </c>
      <c r="O153" s="7" t="n"/>
      <c r="U153" s="7" t="n"/>
      <c r="V153" s="7" t="n"/>
      <c r="W153" s="7">
        <f>IF($D153="","",V153*AB153/100)</f>
        <v/>
      </c>
      <c r="X153" s="7">
        <f>IF($D153="","",V153-W153)</f>
        <v/>
      </c>
      <c r="Y153" s="7">
        <f>IF($D153="","",X153-N153)</f>
        <v/>
      </c>
      <c r="AB153">
        <f>IF($D153="","",IF($AN153=1,Settings!$C$8,IF($AM153=1,Settings!$C$6,Settings!$C$7))*100)</f>
        <v/>
      </c>
      <c r="AF153" s="7" t="n"/>
      <c r="AI153" s="11" t="n"/>
      <c r="AK153">
        <f>IF($D153="","",IF(COUNTIF($D$2:$D153,$D153)=1,1,0))</f>
        <v/>
      </c>
      <c r="AL153">
        <f>IF($AK153=1,SUMPRODUCT(--($AO$2:$AO$201&lt;$AO153))+1,"")</f>
        <v/>
      </c>
      <c r="AM153">
        <f>IF($D153="","",IF(OR($R153=TRUE(),$R153="TRUE"),1,0))</f>
        <v/>
      </c>
      <c r="AN153">
        <f>IF($D153="","",IF($AA153="Yes",1,0))</f>
        <v/>
      </c>
      <c r="AO153">
        <f>IF($AK153=1,IFERROR(IF(VALUE($D153)&lt;100000000,VALUE($D153),1000000000),IFERROR(IF(VALUE(MID($D153,2,20))&lt;100000000,VALUE(MID($D153,2,20)),1000000000),1000000000))+ROW()/100000,"")</f>
        <v/>
      </c>
    </row>
    <row r="154">
      <c r="F154" s="11" t="n"/>
      <c r="N154" s="7">
        <f>IF($D154="","",M154*X154/100)</f>
        <v/>
      </c>
      <c r="O154" s="7" t="n"/>
      <c r="U154" s="7" t="n"/>
      <c r="V154" s="7" t="n"/>
      <c r="W154" s="7">
        <f>IF($D154="","",V154*AB154/100)</f>
        <v/>
      </c>
      <c r="X154" s="7">
        <f>IF($D154="","",V154-W154)</f>
        <v/>
      </c>
      <c r="Y154" s="7">
        <f>IF($D154="","",X154-N154)</f>
        <v/>
      </c>
      <c r="AB154">
        <f>IF($D154="","",IF($AN154=1,Settings!$C$8,IF($AM154=1,Settings!$C$6,Settings!$C$7))*100)</f>
        <v/>
      </c>
      <c r="AF154" s="7" t="n"/>
      <c r="AI154" s="11" t="n"/>
      <c r="AK154">
        <f>IF($D154="","",IF(COUNTIF($D$2:$D154,$D154)=1,1,0))</f>
        <v/>
      </c>
      <c r="AL154">
        <f>IF($AK154=1,SUMPRODUCT(--($AO$2:$AO$201&lt;$AO154))+1,"")</f>
        <v/>
      </c>
      <c r="AM154">
        <f>IF($D154="","",IF(OR($R154=TRUE(),$R154="TRUE"),1,0))</f>
        <v/>
      </c>
      <c r="AN154">
        <f>IF($D154="","",IF($AA154="Yes",1,0))</f>
        <v/>
      </c>
      <c r="AO154">
        <f>IF($AK154=1,IFERROR(IF(VALUE($D154)&lt;100000000,VALUE($D154),1000000000),IFERROR(IF(VALUE(MID($D154,2,20))&lt;100000000,VALUE(MID($D154,2,20)),1000000000),1000000000))+ROW()/100000,"")</f>
        <v/>
      </c>
    </row>
    <row r="155">
      <c r="F155" s="11" t="n"/>
      <c r="N155" s="7">
        <f>IF($D155="","",M155*X155/100)</f>
        <v/>
      </c>
      <c r="O155" s="7" t="n"/>
      <c r="U155" s="7" t="n"/>
      <c r="V155" s="7" t="n"/>
      <c r="W155" s="7">
        <f>IF($D155="","",V155*AB155/100)</f>
        <v/>
      </c>
      <c r="X155" s="7">
        <f>IF($D155="","",V155-W155)</f>
        <v/>
      </c>
      <c r="Y155" s="7">
        <f>IF($D155="","",X155-N155)</f>
        <v/>
      </c>
      <c r="AB155">
        <f>IF($D155="","",IF($AN155=1,Settings!$C$8,IF($AM155=1,Settings!$C$6,Settings!$C$7))*100)</f>
        <v/>
      </c>
      <c r="AF155" s="7" t="n"/>
      <c r="AI155" s="11" t="n"/>
      <c r="AK155">
        <f>IF($D155="","",IF(COUNTIF($D$2:$D155,$D155)=1,1,0))</f>
        <v/>
      </c>
      <c r="AL155">
        <f>IF($AK155=1,SUMPRODUCT(--($AO$2:$AO$201&lt;$AO155))+1,"")</f>
        <v/>
      </c>
      <c r="AM155">
        <f>IF($D155="","",IF(OR($R155=TRUE(),$R155="TRUE"),1,0))</f>
        <v/>
      </c>
      <c r="AN155">
        <f>IF($D155="","",IF($AA155="Yes",1,0))</f>
        <v/>
      </c>
      <c r="AO155">
        <f>IF($AK155=1,IFERROR(IF(VALUE($D155)&lt;100000000,VALUE($D155),1000000000),IFERROR(IF(VALUE(MID($D155,2,20))&lt;100000000,VALUE(MID($D155,2,20)),1000000000),1000000000))+ROW()/100000,"")</f>
        <v/>
      </c>
    </row>
    <row r="156">
      <c r="F156" s="11" t="n"/>
      <c r="N156" s="7">
        <f>IF($D156="","",M156*X156/100)</f>
        <v/>
      </c>
      <c r="O156" s="7" t="n"/>
      <c r="U156" s="7" t="n"/>
      <c r="V156" s="7" t="n"/>
      <c r="W156" s="7">
        <f>IF($D156="","",V156*AB156/100)</f>
        <v/>
      </c>
      <c r="X156" s="7">
        <f>IF($D156="","",V156-W156)</f>
        <v/>
      </c>
      <c r="Y156" s="7">
        <f>IF($D156="","",X156-N156)</f>
        <v/>
      </c>
      <c r="AB156">
        <f>IF($D156="","",IF($AN156=1,Settings!$C$8,IF($AM156=1,Settings!$C$6,Settings!$C$7))*100)</f>
        <v/>
      </c>
      <c r="AF156" s="7" t="n"/>
      <c r="AI156" s="11" t="n"/>
      <c r="AK156">
        <f>IF($D156="","",IF(COUNTIF($D$2:$D156,$D156)=1,1,0))</f>
        <v/>
      </c>
      <c r="AL156">
        <f>IF($AK156=1,SUMPRODUCT(--($AO$2:$AO$201&lt;$AO156))+1,"")</f>
        <v/>
      </c>
      <c r="AM156">
        <f>IF($D156="","",IF(OR($R156=TRUE(),$R156="TRUE"),1,0))</f>
        <v/>
      </c>
      <c r="AN156">
        <f>IF($D156="","",IF($AA156="Yes",1,0))</f>
        <v/>
      </c>
      <c r="AO156">
        <f>IF($AK156=1,IFERROR(IF(VALUE($D156)&lt;100000000,VALUE($D156),1000000000),IFERROR(IF(VALUE(MID($D156,2,20))&lt;100000000,VALUE(MID($D156,2,20)),1000000000),1000000000))+ROW()/100000,"")</f>
        <v/>
      </c>
    </row>
    <row r="157">
      <c r="F157" s="11" t="n"/>
      <c r="N157" s="7">
        <f>IF($D157="","",M157*X157/100)</f>
        <v/>
      </c>
      <c r="O157" s="7" t="n"/>
      <c r="U157" s="7" t="n"/>
      <c r="V157" s="7" t="n"/>
      <c r="W157" s="7">
        <f>IF($D157="","",V157*AB157/100)</f>
        <v/>
      </c>
      <c r="X157" s="7">
        <f>IF($D157="","",V157-W157)</f>
        <v/>
      </c>
      <c r="Y157" s="7">
        <f>IF($D157="","",X157-N157)</f>
        <v/>
      </c>
      <c r="AB157">
        <f>IF($D157="","",IF($AN157=1,Settings!$C$8,IF($AM157=1,Settings!$C$6,Settings!$C$7))*100)</f>
        <v/>
      </c>
      <c r="AF157" s="7" t="n"/>
      <c r="AI157" s="11" t="n"/>
      <c r="AK157">
        <f>IF($D157="","",IF(COUNTIF($D$2:$D157,$D157)=1,1,0))</f>
        <v/>
      </c>
      <c r="AL157">
        <f>IF($AK157=1,SUMPRODUCT(--($AO$2:$AO$201&lt;$AO157))+1,"")</f>
        <v/>
      </c>
      <c r="AM157">
        <f>IF($D157="","",IF(OR($R157=TRUE(),$R157="TRUE"),1,0))</f>
        <v/>
      </c>
      <c r="AN157">
        <f>IF($D157="","",IF($AA157="Yes",1,0))</f>
        <v/>
      </c>
      <c r="AO157">
        <f>IF($AK157=1,IFERROR(IF(VALUE($D157)&lt;100000000,VALUE($D157),1000000000),IFERROR(IF(VALUE(MID($D157,2,20))&lt;100000000,VALUE(MID($D157,2,20)),1000000000),1000000000))+ROW()/100000,"")</f>
        <v/>
      </c>
    </row>
    <row r="158">
      <c r="F158" s="11" t="n"/>
      <c r="N158" s="7">
        <f>IF($D158="","",M158*X158/100)</f>
        <v/>
      </c>
      <c r="O158" s="7" t="n"/>
      <c r="U158" s="7" t="n"/>
      <c r="V158" s="7" t="n"/>
      <c r="W158" s="7">
        <f>IF($D158="","",V158*AB158/100)</f>
        <v/>
      </c>
      <c r="X158" s="7">
        <f>IF($D158="","",V158-W158)</f>
        <v/>
      </c>
      <c r="Y158" s="7">
        <f>IF($D158="","",X158-N158)</f>
        <v/>
      </c>
      <c r="AB158">
        <f>IF($D158="","",IF($AN158=1,Settings!$C$8,IF($AM158=1,Settings!$C$6,Settings!$C$7))*100)</f>
        <v/>
      </c>
      <c r="AF158" s="7" t="n"/>
      <c r="AI158" s="11" t="n"/>
      <c r="AK158">
        <f>IF($D158="","",IF(COUNTIF($D$2:$D158,$D158)=1,1,0))</f>
        <v/>
      </c>
      <c r="AL158">
        <f>IF($AK158=1,SUMPRODUCT(--($AO$2:$AO$201&lt;$AO158))+1,"")</f>
        <v/>
      </c>
      <c r="AM158">
        <f>IF($D158="","",IF(OR($R158=TRUE(),$R158="TRUE"),1,0))</f>
        <v/>
      </c>
      <c r="AN158">
        <f>IF($D158="","",IF($AA158="Yes",1,0))</f>
        <v/>
      </c>
      <c r="AO158">
        <f>IF($AK158=1,IFERROR(IF(VALUE($D158)&lt;100000000,VALUE($D158),1000000000),IFERROR(IF(VALUE(MID($D158,2,20))&lt;100000000,VALUE(MID($D158,2,20)),1000000000),1000000000))+ROW()/100000,"")</f>
        <v/>
      </c>
    </row>
    <row r="159">
      <c r="F159" s="11" t="n"/>
      <c r="N159" s="7">
        <f>IF($D159="","",M159*X159/100)</f>
        <v/>
      </c>
      <c r="O159" s="7" t="n"/>
      <c r="U159" s="7" t="n"/>
      <c r="V159" s="7" t="n"/>
      <c r="W159" s="7">
        <f>IF($D159="","",V159*AB159/100)</f>
        <v/>
      </c>
      <c r="X159" s="7">
        <f>IF($D159="","",V159-W159)</f>
        <v/>
      </c>
      <c r="Y159" s="7">
        <f>IF($D159="","",X159-N159)</f>
        <v/>
      </c>
      <c r="AB159">
        <f>IF($D159="","",IF($AN159=1,Settings!$C$8,IF($AM159=1,Settings!$C$6,Settings!$C$7))*100)</f>
        <v/>
      </c>
      <c r="AF159" s="7" t="n"/>
      <c r="AI159" s="11" t="n"/>
      <c r="AK159">
        <f>IF($D159="","",IF(COUNTIF($D$2:$D159,$D159)=1,1,0))</f>
        <v/>
      </c>
      <c r="AL159">
        <f>IF($AK159=1,SUMPRODUCT(--($AO$2:$AO$201&lt;$AO159))+1,"")</f>
        <v/>
      </c>
      <c r="AM159">
        <f>IF($D159="","",IF(OR($R159=TRUE(),$R159="TRUE"),1,0))</f>
        <v/>
      </c>
      <c r="AN159">
        <f>IF($D159="","",IF($AA159="Yes",1,0))</f>
        <v/>
      </c>
      <c r="AO159">
        <f>IF($AK159=1,IFERROR(IF(VALUE($D159)&lt;100000000,VALUE($D159),1000000000),IFERROR(IF(VALUE(MID($D159,2,20))&lt;100000000,VALUE(MID($D159,2,20)),1000000000),1000000000))+ROW()/100000,"")</f>
        <v/>
      </c>
    </row>
    <row r="160">
      <c r="F160" s="11" t="n"/>
      <c r="N160" s="7">
        <f>IF($D160="","",M160*X160/100)</f>
        <v/>
      </c>
      <c r="O160" s="7" t="n"/>
      <c r="U160" s="7" t="n"/>
      <c r="V160" s="7" t="n"/>
      <c r="W160" s="7">
        <f>IF($D160="","",V160*AB160/100)</f>
        <v/>
      </c>
      <c r="X160" s="7">
        <f>IF($D160="","",V160-W160)</f>
        <v/>
      </c>
      <c r="Y160" s="7">
        <f>IF($D160="","",X160-N160)</f>
        <v/>
      </c>
      <c r="AB160">
        <f>IF($D160="","",IF($AN160=1,Settings!$C$8,IF($AM160=1,Settings!$C$6,Settings!$C$7))*100)</f>
        <v/>
      </c>
      <c r="AF160" s="7" t="n"/>
      <c r="AI160" s="11" t="n"/>
      <c r="AK160">
        <f>IF($D160="","",IF(COUNTIF($D$2:$D160,$D160)=1,1,0))</f>
        <v/>
      </c>
      <c r="AL160">
        <f>IF($AK160=1,SUMPRODUCT(--($AO$2:$AO$201&lt;$AO160))+1,"")</f>
        <v/>
      </c>
      <c r="AM160">
        <f>IF($D160="","",IF(OR($R160=TRUE(),$R160="TRUE"),1,0))</f>
        <v/>
      </c>
      <c r="AN160">
        <f>IF($D160="","",IF($AA160="Yes",1,0))</f>
        <v/>
      </c>
      <c r="AO160">
        <f>IF($AK160=1,IFERROR(IF(VALUE($D160)&lt;100000000,VALUE($D160),1000000000),IFERROR(IF(VALUE(MID($D160,2,20))&lt;100000000,VALUE(MID($D160,2,20)),1000000000),1000000000))+ROW()/100000,"")</f>
        <v/>
      </c>
    </row>
    <row r="161">
      <c r="F161" s="11" t="n"/>
      <c r="N161" s="7">
        <f>IF($D161="","",M161*X161/100)</f>
        <v/>
      </c>
      <c r="O161" s="7" t="n"/>
      <c r="U161" s="7" t="n"/>
      <c r="V161" s="7" t="n"/>
      <c r="W161" s="7">
        <f>IF($D161="","",V161*AB161/100)</f>
        <v/>
      </c>
      <c r="X161" s="7">
        <f>IF($D161="","",V161-W161)</f>
        <v/>
      </c>
      <c r="Y161" s="7">
        <f>IF($D161="","",X161-N161)</f>
        <v/>
      </c>
      <c r="AB161">
        <f>IF($D161="","",IF($AN161=1,Settings!$C$8,IF($AM161=1,Settings!$C$6,Settings!$C$7))*100)</f>
        <v/>
      </c>
      <c r="AF161" s="7" t="n"/>
      <c r="AI161" s="11" t="n"/>
      <c r="AK161">
        <f>IF($D161="","",IF(COUNTIF($D$2:$D161,$D161)=1,1,0))</f>
        <v/>
      </c>
      <c r="AL161">
        <f>IF($AK161=1,SUMPRODUCT(--($AO$2:$AO$201&lt;$AO161))+1,"")</f>
        <v/>
      </c>
      <c r="AM161">
        <f>IF($D161="","",IF(OR($R161=TRUE(),$R161="TRUE"),1,0))</f>
        <v/>
      </c>
      <c r="AN161">
        <f>IF($D161="","",IF($AA161="Yes",1,0))</f>
        <v/>
      </c>
      <c r="AO161">
        <f>IF($AK161=1,IFERROR(IF(VALUE($D161)&lt;100000000,VALUE($D161),1000000000),IFERROR(IF(VALUE(MID($D161,2,20))&lt;100000000,VALUE(MID($D161,2,20)),1000000000),1000000000))+ROW()/100000,"")</f>
        <v/>
      </c>
    </row>
    <row r="162">
      <c r="F162" s="11" t="n"/>
      <c r="N162" s="7">
        <f>IF($D162="","",M162*X162/100)</f>
        <v/>
      </c>
      <c r="O162" s="7" t="n"/>
      <c r="U162" s="7" t="n"/>
      <c r="V162" s="7" t="n"/>
      <c r="W162" s="7">
        <f>IF($D162="","",V162*AB162/100)</f>
        <v/>
      </c>
      <c r="X162" s="7">
        <f>IF($D162="","",V162-W162)</f>
        <v/>
      </c>
      <c r="Y162" s="7">
        <f>IF($D162="","",X162-N162)</f>
        <v/>
      </c>
      <c r="AB162">
        <f>IF($D162="","",IF($AN162=1,Settings!$C$8,IF($AM162=1,Settings!$C$6,Settings!$C$7))*100)</f>
        <v/>
      </c>
      <c r="AF162" s="7" t="n"/>
      <c r="AI162" s="11" t="n"/>
      <c r="AK162">
        <f>IF($D162="","",IF(COUNTIF($D$2:$D162,$D162)=1,1,0))</f>
        <v/>
      </c>
      <c r="AL162">
        <f>IF($AK162=1,SUMPRODUCT(--($AO$2:$AO$201&lt;$AO162))+1,"")</f>
        <v/>
      </c>
      <c r="AM162">
        <f>IF($D162="","",IF(OR($R162=TRUE(),$R162="TRUE"),1,0))</f>
        <v/>
      </c>
      <c r="AN162">
        <f>IF($D162="","",IF($AA162="Yes",1,0))</f>
        <v/>
      </c>
      <c r="AO162">
        <f>IF($AK162=1,IFERROR(IF(VALUE($D162)&lt;100000000,VALUE($D162),1000000000),IFERROR(IF(VALUE(MID($D162,2,20))&lt;100000000,VALUE(MID($D162,2,20)),1000000000),1000000000))+ROW()/100000,"")</f>
        <v/>
      </c>
    </row>
    <row r="163">
      <c r="F163" s="11" t="n"/>
      <c r="N163" s="7">
        <f>IF($D163="","",M163*X163/100)</f>
        <v/>
      </c>
      <c r="O163" s="7" t="n"/>
      <c r="U163" s="7" t="n"/>
      <c r="V163" s="7" t="n"/>
      <c r="W163" s="7">
        <f>IF($D163="","",V163*AB163/100)</f>
        <v/>
      </c>
      <c r="X163" s="7">
        <f>IF($D163="","",V163-W163)</f>
        <v/>
      </c>
      <c r="Y163" s="7">
        <f>IF($D163="","",X163-N163)</f>
        <v/>
      </c>
      <c r="AB163">
        <f>IF($D163="","",IF($AN163=1,Settings!$C$8,IF($AM163=1,Settings!$C$6,Settings!$C$7))*100)</f>
        <v/>
      </c>
      <c r="AF163" s="7" t="n"/>
      <c r="AI163" s="11" t="n"/>
      <c r="AK163">
        <f>IF($D163="","",IF(COUNTIF($D$2:$D163,$D163)=1,1,0))</f>
        <v/>
      </c>
      <c r="AL163">
        <f>IF($AK163=1,SUMPRODUCT(--($AO$2:$AO$201&lt;$AO163))+1,"")</f>
        <v/>
      </c>
      <c r="AM163">
        <f>IF($D163="","",IF(OR($R163=TRUE(),$R163="TRUE"),1,0))</f>
        <v/>
      </c>
      <c r="AN163">
        <f>IF($D163="","",IF($AA163="Yes",1,0))</f>
        <v/>
      </c>
      <c r="AO163">
        <f>IF($AK163=1,IFERROR(IF(VALUE($D163)&lt;100000000,VALUE($D163),1000000000),IFERROR(IF(VALUE(MID($D163,2,20))&lt;100000000,VALUE(MID($D163,2,20)),1000000000),1000000000))+ROW()/100000,"")</f>
        <v/>
      </c>
    </row>
    <row r="164">
      <c r="F164" s="11" t="n"/>
      <c r="N164" s="7">
        <f>IF($D164="","",M164*X164/100)</f>
        <v/>
      </c>
      <c r="O164" s="7" t="n"/>
      <c r="U164" s="7" t="n"/>
      <c r="V164" s="7" t="n"/>
      <c r="W164" s="7">
        <f>IF($D164="","",V164*AB164/100)</f>
        <v/>
      </c>
      <c r="X164" s="7">
        <f>IF($D164="","",V164-W164)</f>
        <v/>
      </c>
      <c r="Y164" s="7">
        <f>IF($D164="","",X164-N164)</f>
        <v/>
      </c>
      <c r="AB164">
        <f>IF($D164="","",IF($AN164=1,Settings!$C$8,IF($AM164=1,Settings!$C$6,Settings!$C$7))*100)</f>
        <v/>
      </c>
      <c r="AF164" s="7" t="n"/>
      <c r="AI164" s="11" t="n"/>
      <c r="AK164">
        <f>IF($D164="","",IF(COUNTIF($D$2:$D164,$D164)=1,1,0))</f>
        <v/>
      </c>
      <c r="AL164">
        <f>IF($AK164=1,SUMPRODUCT(--($AO$2:$AO$201&lt;$AO164))+1,"")</f>
        <v/>
      </c>
      <c r="AM164">
        <f>IF($D164="","",IF(OR($R164=TRUE(),$R164="TRUE"),1,0))</f>
        <v/>
      </c>
      <c r="AN164">
        <f>IF($D164="","",IF($AA164="Yes",1,0))</f>
        <v/>
      </c>
      <c r="AO164">
        <f>IF($AK164=1,IFERROR(IF(VALUE($D164)&lt;100000000,VALUE($D164),1000000000),IFERROR(IF(VALUE(MID($D164,2,20))&lt;100000000,VALUE(MID($D164,2,20)),1000000000),1000000000))+ROW()/100000,"")</f>
        <v/>
      </c>
    </row>
    <row r="165">
      <c r="F165" s="11" t="n"/>
      <c r="N165" s="7">
        <f>IF($D165="","",M165*X165/100)</f>
        <v/>
      </c>
      <c r="O165" s="7" t="n"/>
      <c r="U165" s="7" t="n"/>
      <c r="V165" s="7" t="n"/>
      <c r="W165" s="7">
        <f>IF($D165="","",V165*AB165/100)</f>
        <v/>
      </c>
      <c r="X165" s="7">
        <f>IF($D165="","",V165-W165)</f>
        <v/>
      </c>
      <c r="Y165" s="7">
        <f>IF($D165="","",X165-N165)</f>
        <v/>
      </c>
      <c r="AB165">
        <f>IF($D165="","",IF($AN165=1,Settings!$C$8,IF($AM165=1,Settings!$C$6,Settings!$C$7))*100)</f>
        <v/>
      </c>
      <c r="AF165" s="7" t="n"/>
      <c r="AI165" s="11" t="n"/>
      <c r="AK165">
        <f>IF($D165="","",IF(COUNTIF($D$2:$D165,$D165)=1,1,0))</f>
        <v/>
      </c>
      <c r="AL165">
        <f>IF($AK165=1,SUMPRODUCT(--($AO$2:$AO$201&lt;$AO165))+1,"")</f>
        <v/>
      </c>
      <c r="AM165">
        <f>IF($D165="","",IF(OR($R165=TRUE(),$R165="TRUE"),1,0))</f>
        <v/>
      </c>
      <c r="AN165">
        <f>IF($D165="","",IF($AA165="Yes",1,0))</f>
        <v/>
      </c>
      <c r="AO165">
        <f>IF($AK165=1,IFERROR(IF(VALUE($D165)&lt;100000000,VALUE($D165),1000000000),IFERROR(IF(VALUE(MID($D165,2,20))&lt;100000000,VALUE(MID($D165,2,20)),1000000000),1000000000))+ROW()/100000,"")</f>
        <v/>
      </c>
    </row>
    <row r="166">
      <c r="F166" s="11" t="n"/>
      <c r="N166" s="7">
        <f>IF($D166="","",M166*X166/100)</f>
        <v/>
      </c>
      <c r="O166" s="7" t="n"/>
      <c r="U166" s="7" t="n"/>
      <c r="V166" s="7" t="n"/>
      <c r="W166" s="7">
        <f>IF($D166="","",V166*AB166/100)</f>
        <v/>
      </c>
      <c r="X166" s="7">
        <f>IF($D166="","",V166-W166)</f>
        <v/>
      </c>
      <c r="Y166" s="7">
        <f>IF($D166="","",X166-N166)</f>
        <v/>
      </c>
      <c r="AB166">
        <f>IF($D166="","",IF($AN166=1,Settings!$C$8,IF($AM166=1,Settings!$C$6,Settings!$C$7))*100)</f>
        <v/>
      </c>
      <c r="AF166" s="7" t="n"/>
      <c r="AI166" s="11" t="n"/>
      <c r="AK166">
        <f>IF($D166="","",IF(COUNTIF($D$2:$D166,$D166)=1,1,0))</f>
        <v/>
      </c>
      <c r="AL166">
        <f>IF($AK166=1,SUMPRODUCT(--($AO$2:$AO$201&lt;$AO166))+1,"")</f>
        <v/>
      </c>
      <c r="AM166">
        <f>IF($D166="","",IF(OR($R166=TRUE(),$R166="TRUE"),1,0))</f>
        <v/>
      </c>
      <c r="AN166">
        <f>IF($D166="","",IF($AA166="Yes",1,0))</f>
        <v/>
      </c>
      <c r="AO166">
        <f>IF($AK166=1,IFERROR(IF(VALUE($D166)&lt;100000000,VALUE($D166),1000000000),IFERROR(IF(VALUE(MID($D166,2,20))&lt;100000000,VALUE(MID($D166,2,20)),1000000000),1000000000))+ROW()/100000,"")</f>
        <v/>
      </c>
    </row>
    <row r="167">
      <c r="F167" s="11" t="n"/>
      <c r="N167" s="7">
        <f>IF($D167="","",M167*X167/100)</f>
        <v/>
      </c>
      <c r="O167" s="7" t="n"/>
      <c r="U167" s="7" t="n"/>
      <c r="V167" s="7" t="n"/>
      <c r="W167" s="7">
        <f>IF($D167="","",V167*AB167/100)</f>
        <v/>
      </c>
      <c r="X167" s="7">
        <f>IF($D167="","",V167-W167)</f>
        <v/>
      </c>
      <c r="Y167" s="7">
        <f>IF($D167="","",X167-N167)</f>
        <v/>
      </c>
      <c r="AB167">
        <f>IF($D167="","",IF($AN167=1,Settings!$C$8,IF($AM167=1,Settings!$C$6,Settings!$C$7))*100)</f>
        <v/>
      </c>
      <c r="AF167" s="7" t="n"/>
      <c r="AI167" s="11" t="n"/>
      <c r="AK167">
        <f>IF($D167="","",IF(COUNTIF($D$2:$D167,$D167)=1,1,0))</f>
        <v/>
      </c>
      <c r="AL167">
        <f>IF($AK167=1,SUMPRODUCT(--($AO$2:$AO$201&lt;$AO167))+1,"")</f>
        <v/>
      </c>
      <c r="AM167">
        <f>IF($D167="","",IF(OR($R167=TRUE(),$R167="TRUE"),1,0))</f>
        <v/>
      </c>
      <c r="AN167">
        <f>IF($D167="","",IF($AA167="Yes",1,0))</f>
        <v/>
      </c>
      <c r="AO167">
        <f>IF($AK167=1,IFERROR(IF(VALUE($D167)&lt;100000000,VALUE($D167),1000000000),IFERROR(IF(VALUE(MID($D167,2,20))&lt;100000000,VALUE(MID($D167,2,20)),1000000000),1000000000))+ROW()/100000,"")</f>
        <v/>
      </c>
    </row>
    <row r="168">
      <c r="F168" s="11" t="n"/>
      <c r="N168" s="7">
        <f>IF($D168="","",M168*X168/100)</f>
        <v/>
      </c>
      <c r="O168" s="7" t="n"/>
      <c r="U168" s="7" t="n"/>
      <c r="V168" s="7" t="n"/>
      <c r="W168" s="7">
        <f>IF($D168="","",V168*AB168/100)</f>
        <v/>
      </c>
      <c r="X168" s="7">
        <f>IF($D168="","",V168-W168)</f>
        <v/>
      </c>
      <c r="Y168" s="7">
        <f>IF($D168="","",X168-N168)</f>
        <v/>
      </c>
      <c r="AB168">
        <f>IF($D168="","",IF($AN168=1,Settings!$C$8,IF($AM168=1,Settings!$C$6,Settings!$C$7))*100)</f>
        <v/>
      </c>
      <c r="AF168" s="7" t="n"/>
      <c r="AI168" s="11" t="n"/>
      <c r="AK168">
        <f>IF($D168="","",IF(COUNTIF($D$2:$D168,$D168)=1,1,0))</f>
        <v/>
      </c>
      <c r="AL168">
        <f>IF($AK168=1,SUMPRODUCT(--($AO$2:$AO$201&lt;$AO168))+1,"")</f>
        <v/>
      </c>
      <c r="AM168">
        <f>IF($D168="","",IF(OR($R168=TRUE(),$R168="TRUE"),1,0))</f>
        <v/>
      </c>
      <c r="AN168">
        <f>IF($D168="","",IF($AA168="Yes",1,0))</f>
        <v/>
      </c>
      <c r="AO168">
        <f>IF($AK168=1,IFERROR(IF(VALUE($D168)&lt;100000000,VALUE($D168),1000000000),IFERROR(IF(VALUE(MID($D168,2,20))&lt;100000000,VALUE(MID($D168,2,20)),1000000000),1000000000))+ROW()/100000,"")</f>
        <v/>
      </c>
    </row>
    <row r="169">
      <c r="F169" s="11" t="n"/>
      <c r="N169" s="7">
        <f>IF($D169="","",M169*X169/100)</f>
        <v/>
      </c>
      <c r="O169" s="7" t="n"/>
      <c r="U169" s="7" t="n"/>
      <c r="V169" s="7" t="n"/>
      <c r="W169" s="7">
        <f>IF($D169="","",V169*AB169/100)</f>
        <v/>
      </c>
      <c r="X169" s="7">
        <f>IF($D169="","",V169-W169)</f>
        <v/>
      </c>
      <c r="Y169" s="7">
        <f>IF($D169="","",X169-N169)</f>
        <v/>
      </c>
      <c r="AB169">
        <f>IF($D169="","",IF($AN169=1,Settings!$C$8,IF($AM169=1,Settings!$C$6,Settings!$C$7))*100)</f>
        <v/>
      </c>
      <c r="AF169" s="7" t="n"/>
      <c r="AI169" s="11" t="n"/>
      <c r="AK169">
        <f>IF($D169="","",IF(COUNTIF($D$2:$D169,$D169)=1,1,0))</f>
        <v/>
      </c>
      <c r="AL169">
        <f>IF($AK169=1,SUMPRODUCT(--($AO$2:$AO$201&lt;$AO169))+1,"")</f>
        <v/>
      </c>
      <c r="AM169">
        <f>IF($D169="","",IF(OR($R169=TRUE(),$R169="TRUE"),1,0))</f>
        <v/>
      </c>
      <c r="AN169">
        <f>IF($D169="","",IF($AA169="Yes",1,0))</f>
        <v/>
      </c>
      <c r="AO169">
        <f>IF($AK169=1,IFERROR(IF(VALUE($D169)&lt;100000000,VALUE($D169),1000000000),IFERROR(IF(VALUE(MID($D169,2,20))&lt;100000000,VALUE(MID($D169,2,20)),1000000000),1000000000))+ROW()/100000,"")</f>
        <v/>
      </c>
    </row>
    <row r="170">
      <c r="F170" s="11" t="n"/>
      <c r="N170" s="7">
        <f>IF($D170="","",M170*X170/100)</f>
        <v/>
      </c>
      <c r="O170" s="7" t="n"/>
      <c r="U170" s="7" t="n"/>
      <c r="V170" s="7" t="n"/>
      <c r="W170" s="7">
        <f>IF($D170="","",V170*AB170/100)</f>
        <v/>
      </c>
      <c r="X170" s="7">
        <f>IF($D170="","",V170-W170)</f>
        <v/>
      </c>
      <c r="Y170" s="7">
        <f>IF($D170="","",X170-N170)</f>
        <v/>
      </c>
      <c r="AB170">
        <f>IF($D170="","",IF($AN170=1,Settings!$C$8,IF($AM170=1,Settings!$C$6,Settings!$C$7))*100)</f>
        <v/>
      </c>
      <c r="AF170" s="7" t="n"/>
      <c r="AI170" s="11" t="n"/>
      <c r="AK170">
        <f>IF($D170="","",IF(COUNTIF($D$2:$D170,$D170)=1,1,0))</f>
        <v/>
      </c>
      <c r="AL170">
        <f>IF($AK170=1,SUMPRODUCT(--($AO$2:$AO$201&lt;$AO170))+1,"")</f>
        <v/>
      </c>
      <c r="AM170">
        <f>IF($D170="","",IF(OR($R170=TRUE(),$R170="TRUE"),1,0))</f>
        <v/>
      </c>
      <c r="AN170">
        <f>IF($D170="","",IF($AA170="Yes",1,0))</f>
        <v/>
      </c>
      <c r="AO170">
        <f>IF($AK170=1,IFERROR(IF(VALUE($D170)&lt;100000000,VALUE($D170),1000000000),IFERROR(IF(VALUE(MID($D170,2,20))&lt;100000000,VALUE(MID($D170,2,20)),1000000000),1000000000))+ROW()/100000,"")</f>
        <v/>
      </c>
    </row>
    <row r="171">
      <c r="F171" s="11" t="n"/>
      <c r="N171" s="7">
        <f>IF($D171="","",M171*X171/100)</f>
        <v/>
      </c>
      <c r="O171" s="7" t="n"/>
      <c r="U171" s="7" t="n"/>
      <c r="V171" s="7" t="n"/>
      <c r="W171" s="7">
        <f>IF($D171="","",V171*AB171/100)</f>
        <v/>
      </c>
      <c r="X171" s="7">
        <f>IF($D171="","",V171-W171)</f>
        <v/>
      </c>
      <c r="Y171" s="7">
        <f>IF($D171="","",X171-N171)</f>
        <v/>
      </c>
      <c r="AB171">
        <f>IF($D171="","",IF($AN171=1,Settings!$C$8,IF($AM171=1,Settings!$C$6,Settings!$C$7))*100)</f>
        <v/>
      </c>
      <c r="AF171" s="7" t="n"/>
      <c r="AI171" s="11" t="n"/>
      <c r="AK171">
        <f>IF($D171="","",IF(COUNTIF($D$2:$D171,$D171)=1,1,0))</f>
        <v/>
      </c>
      <c r="AL171">
        <f>IF($AK171=1,SUMPRODUCT(--($AO$2:$AO$201&lt;$AO171))+1,"")</f>
        <v/>
      </c>
      <c r="AM171">
        <f>IF($D171="","",IF(OR($R171=TRUE(),$R171="TRUE"),1,0))</f>
        <v/>
      </c>
      <c r="AN171">
        <f>IF($D171="","",IF($AA171="Yes",1,0))</f>
        <v/>
      </c>
      <c r="AO171">
        <f>IF($AK171=1,IFERROR(IF(VALUE($D171)&lt;100000000,VALUE($D171),1000000000),IFERROR(IF(VALUE(MID($D171,2,20))&lt;100000000,VALUE(MID($D171,2,20)),1000000000),1000000000))+ROW()/100000,"")</f>
        <v/>
      </c>
    </row>
    <row r="172">
      <c r="F172" s="11" t="n"/>
      <c r="N172" s="7">
        <f>IF($D172="","",M172*X172/100)</f>
        <v/>
      </c>
      <c r="O172" s="7" t="n"/>
      <c r="U172" s="7" t="n"/>
      <c r="V172" s="7" t="n"/>
      <c r="W172" s="7">
        <f>IF($D172="","",V172*AB172/100)</f>
        <v/>
      </c>
      <c r="X172" s="7">
        <f>IF($D172="","",V172-W172)</f>
        <v/>
      </c>
      <c r="Y172" s="7">
        <f>IF($D172="","",X172-N172)</f>
        <v/>
      </c>
      <c r="AB172">
        <f>IF($D172="","",IF($AN172=1,Settings!$C$8,IF($AM172=1,Settings!$C$6,Settings!$C$7))*100)</f>
        <v/>
      </c>
      <c r="AF172" s="7" t="n"/>
      <c r="AI172" s="11" t="n"/>
      <c r="AK172">
        <f>IF($D172="","",IF(COUNTIF($D$2:$D172,$D172)=1,1,0))</f>
        <v/>
      </c>
      <c r="AL172">
        <f>IF($AK172=1,SUMPRODUCT(--($AO$2:$AO$201&lt;$AO172))+1,"")</f>
        <v/>
      </c>
      <c r="AM172">
        <f>IF($D172="","",IF(OR($R172=TRUE(),$R172="TRUE"),1,0))</f>
        <v/>
      </c>
      <c r="AN172">
        <f>IF($D172="","",IF($AA172="Yes",1,0))</f>
        <v/>
      </c>
      <c r="AO172">
        <f>IF($AK172=1,IFERROR(IF(VALUE($D172)&lt;100000000,VALUE($D172),1000000000),IFERROR(IF(VALUE(MID($D172,2,20))&lt;100000000,VALUE(MID($D172,2,20)),1000000000),1000000000))+ROW()/100000,"")</f>
        <v/>
      </c>
    </row>
    <row r="173">
      <c r="F173" s="11" t="n"/>
      <c r="N173" s="7">
        <f>IF($D173="","",M173*X173/100)</f>
        <v/>
      </c>
      <c r="O173" s="7" t="n"/>
      <c r="U173" s="7" t="n"/>
      <c r="V173" s="7" t="n"/>
      <c r="W173" s="7">
        <f>IF($D173="","",V173*AB173/100)</f>
        <v/>
      </c>
      <c r="X173" s="7">
        <f>IF($D173="","",V173-W173)</f>
        <v/>
      </c>
      <c r="Y173" s="7">
        <f>IF($D173="","",X173-N173)</f>
        <v/>
      </c>
      <c r="AB173">
        <f>IF($D173="","",IF($AN173=1,Settings!$C$8,IF($AM173=1,Settings!$C$6,Settings!$C$7))*100)</f>
        <v/>
      </c>
      <c r="AF173" s="7" t="n"/>
      <c r="AI173" s="11" t="n"/>
      <c r="AK173">
        <f>IF($D173="","",IF(COUNTIF($D$2:$D173,$D173)=1,1,0))</f>
        <v/>
      </c>
      <c r="AL173">
        <f>IF($AK173=1,SUMPRODUCT(--($AO$2:$AO$201&lt;$AO173))+1,"")</f>
        <v/>
      </c>
      <c r="AM173">
        <f>IF($D173="","",IF(OR($R173=TRUE(),$R173="TRUE"),1,0))</f>
        <v/>
      </c>
      <c r="AN173">
        <f>IF($D173="","",IF($AA173="Yes",1,0))</f>
        <v/>
      </c>
      <c r="AO173">
        <f>IF($AK173=1,IFERROR(IF(VALUE($D173)&lt;100000000,VALUE($D173),1000000000),IFERROR(IF(VALUE(MID($D173,2,20))&lt;100000000,VALUE(MID($D173,2,20)),1000000000),1000000000))+ROW()/100000,"")</f>
        <v/>
      </c>
    </row>
    <row r="174">
      <c r="F174" s="11" t="n"/>
      <c r="N174" s="7">
        <f>IF($D174="","",M174*X174/100)</f>
        <v/>
      </c>
      <c r="O174" s="7" t="n"/>
      <c r="U174" s="7" t="n"/>
      <c r="V174" s="7" t="n"/>
      <c r="W174" s="7">
        <f>IF($D174="","",V174*AB174/100)</f>
        <v/>
      </c>
      <c r="X174" s="7">
        <f>IF($D174="","",V174-W174)</f>
        <v/>
      </c>
      <c r="Y174" s="7">
        <f>IF($D174="","",X174-N174)</f>
        <v/>
      </c>
      <c r="AB174">
        <f>IF($D174="","",IF($AN174=1,Settings!$C$8,IF($AM174=1,Settings!$C$6,Settings!$C$7))*100)</f>
        <v/>
      </c>
      <c r="AF174" s="7" t="n"/>
      <c r="AI174" s="11" t="n"/>
      <c r="AK174">
        <f>IF($D174="","",IF(COUNTIF($D$2:$D174,$D174)=1,1,0))</f>
        <v/>
      </c>
      <c r="AL174">
        <f>IF($AK174=1,SUMPRODUCT(--($AO$2:$AO$201&lt;$AO174))+1,"")</f>
        <v/>
      </c>
      <c r="AM174">
        <f>IF($D174="","",IF(OR($R174=TRUE(),$R174="TRUE"),1,0))</f>
        <v/>
      </c>
      <c r="AN174">
        <f>IF($D174="","",IF($AA174="Yes",1,0))</f>
        <v/>
      </c>
      <c r="AO174">
        <f>IF($AK174=1,IFERROR(IF(VALUE($D174)&lt;100000000,VALUE($D174),1000000000),IFERROR(IF(VALUE(MID($D174,2,20))&lt;100000000,VALUE(MID($D174,2,20)),1000000000),1000000000))+ROW()/100000,"")</f>
        <v/>
      </c>
    </row>
    <row r="175">
      <c r="F175" s="11" t="n"/>
      <c r="N175" s="7">
        <f>IF($D175="","",M175*X175/100)</f>
        <v/>
      </c>
      <c r="O175" s="7" t="n"/>
      <c r="U175" s="7" t="n"/>
      <c r="V175" s="7" t="n"/>
      <c r="W175" s="7">
        <f>IF($D175="","",V175*AB175/100)</f>
        <v/>
      </c>
      <c r="X175" s="7">
        <f>IF($D175="","",V175-W175)</f>
        <v/>
      </c>
      <c r="Y175" s="7">
        <f>IF($D175="","",X175-N175)</f>
        <v/>
      </c>
      <c r="AB175">
        <f>IF($D175="","",IF($AN175=1,Settings!$C$8,IF($AM175=1,Settings!$C$6,Settings!$C$7))*100)</f>
        <v/>
      </c>
      <c r="AF175" s="7" t="n"/>
      <c r="AI175" s="11" t="n"/>
      <c r="AK175">
        <f>IF($D175="","",IF(COUNTIF($D$2:$D175,$D175)=1,1,0))</f>
        <v/>
      </c>
      <c r="AL175">
        <f>IF($AK175=1,SUMPRODUCT(--($AO$2:$AO$201&lt;$AO175))+1,"")</f>
        <v/>
      </c>
      <c r="AM175">
        <f>IF($D175="","",IF(OR($R175=TRUE(),$R175="TRUE"),1,0))</f>
        <v/>
      </c>
      <c r="AN175">
        <f>IF($D175="","",IF($AA175="Yes",1,0))</f>
        <v/>
      </c>
      <c r="AO175">
        <f>IF($AK175=1,IFERROR(IF(VALUE($D175)&lt;100000000,VALUE($D175),1000000000),IFERROR(IF(VALUE(MID($D175,2,20))&lt;100000000,VALUE(MID($D175,2,20)),1000000000),1000000000))+ROW()/100000,"")</f>
        <v/>
      </c>
    </row>
    <row r="176">
      <c r="F176" s="11" t="n"/>
      <c r="N176" s="7">
        <f>IF($D176="","",M176*X176/100)</f>
        <v/>
      </c>
      <c r="O176" s="7" t="n"/>
      <c r="U176" s="7" t="n"/>
      <c r="V176" s="7" t="n"/>
      <c r="W176" s="7">
        <f>IF($D176="","",V176*AB176/100)</f>
        <v/>
      </c>
      <c r="X176" s="7">
        <f>IF($D176="","",V176-W176)</f>
        <v/>
      </c>
      <c r="Y176" s="7">
        <f>IF($D176="","",X176-N176)</f>
        <v/>
      </c>
      <c r="AB176">
        <f>IF($D176="","",IF($AN176=1,Settings!$C$8,IF($AM176=1,Settings!$C$6,Settings!$C$7))*100)</f>
        <v/>
      </c>
      <c r="AF176" s="7" t="n"/>
      <c r="AI176" s="11" t="n"/>
      <c r="AK176">
        <f>IF($D176="","",IF(COUNTIF($D$2:$D176,$D176)=1,1,0))</f>
        <v/>
      </c>
      <c r="AL176">
        <f>IF($AK176=1,SUMPRODUCT(--($AO$2:$AO$201&lt;$AO176))+1,"")</f>
        <v/>
      </c>
      <c r="AM176">
        <f>IF($D176="","",IF(OR($R176=TRUE(),$R176="TRUE"),1,0))</f>
        <v/>
      </c>
      <c r="AN176">
        <f>IF($D176="","",IF($AA176="Yes",1,0))</f>
        <v/>
      </c>
      <c r="AO176">
        <f>IF($AK176=1,IFERROR(IF(VALUE($D176)&lt;100000000,VALUE($D176),1000000000),IFERROR(IF(VALUE(MID($D176,2,20))&lt;100000000,VALUE(MID($D176,2,20)),1000000000),1000000000))+ROW()/100000,"")</f>
        <v/>
      </c>
    </row>
    <row r="177">
      <c r="F177" s="11" t="n"/>
      <c r="N177" s="7">
        <f>IF($D177="","",M177*X177/100)</f>
        <v/>
      </c>
      <c r="O177" s="7" t="n"/>
      <c r="U177" s="7" t="n"/>
      <c r="V177" s="7" t="n"/>
      <c r="W177" s="7">
        <f>IF($D177="","",V177*AB177/100)</f>
        <v/>
      </c>
      <c r="X177" s="7">
        <f>IF($D177="","",V177-W177)</f>
        <v/>
      </c>
      <c r="Y177" s="7">
        <f>IF($D177="","",X177-N177)</f>
        <v/>
      </c>
      <c r="AB177">
        <f>IF($D177="","",IF($AN177=1,Settings!$C$8,IF($AM177=1,Settings!$C$6,Settings!$C$7))*100)</f>
        <v/>
      </c>
      <c r="AF177" s="7" t="n"/>
      <c r="AI177" s="11" t="n"/>
      <c r="AK177">
        <f>IF($D177="","",IF(COUNTIF($D$2:$D177,$D177)=1,1,0))</f>
        <v/>
      </c>
      <c r="AL177">
        <f>IF($AK177=1,SUMPRODUCT(--($AO$2:$AO$201&lt;$AO177))+1,"")</f>
        <v/>
      </c>
      <c r="AM177">
        <f>IF($D177="","",IF(OR($R177=TRUE(),$R177="TRUE"),1,0))</f>
        <v/>
      </c>
      <c r="AN177">
        <f>IF($D177="","",IF($AA177="Yes",1,0))</f>
        <v/>
      </c>
      <c r="AO177">
        <f>IF($AK177=1,IFERROR(IF(VALUE($D177)&lt;100000000,VALUE($D177),1000000000),IFERROR(IF(VALUE(MID($D177,2,20))&lt;100000000,VALUE(MID($D177,2,20)),1000000000),1000000000))+ROW()/100000,"")</f>
        <v/>
      </c>
    </row>
    <row r="178">
      <c r="F178" s="11" t="n"/>
      <c r="N178" s="7">
        <f>IF($D178="","",M178*X178/100)</f>
        <v/>
      </c>
      <c r="O178" s="7" t="n"/>
      <c r="U178" s="7" t="n"/>
      <c r="V178" s="7" t="n"/>
      <c r="W178" s="7">
        <f>IF($D178="","",V178*AB178/100)</f>
        <v/>
      </c>
      <c r="X178" s="7">
        <f>IF($D178="","",V178-W178)</f>
        <v/>
      </c>
      <c r="Y178" s="7">
        <f>IF($D178="","",X178-N178)</f>
        <v/>
      </c>
      <c r="AB178">
        <f>IF($D178="","",IF($AN178=1,Settings!$C$8,IF($AM178=1,Settings!$C$6,Settings!$C$7))*100)</f>
        <v/>
      </c>
      <c r="AF178" s="7" t="n"/>
      <c r="AI178" s="11" t="n"/>
      <c r="AK178">
        <f>IF($D178="","",IF(COUNTIF($D$2:$D178,$D178)=1,1,0))</f>
        <v/>
      </c>
      <c r="AL178">
        <f>IF($AK178=1,SUMPRODUCT(--($AO$2:$AO$201&lt;$AO178))+1,"")</f>
        <v/>
      </c>
      <c r="AM178">
        <f>IF($D178="","",IF(OR($R178=TRUE(),$R178="TRUE"),1,0))</f>
        <v/>
      </c>
      <c r="AN178">
        <f>IF($D178="","",IF($AA178="Yes",1,0))</f>
        <v/>
      </c>
      <c r="AO178">
        <f>IF($AK178=1,IFERROR(IF(VALUE($D178)&lt;100000000,VALUE($D178),1000000000),IFERROR(IF(VALUE(MID($D178,2,20))&lt;100000000,VALUE(MID($D178,2,20)),1000000000),1000000000))+ROW()/100000,"")</f>
        <v/>
      </c>
    </row>
    <row r="179">
      <c r="F179" s="11" t="n"/>
      <c r="N179" s="7">
        <f>IF($D179="","",M179*X179/100)</f>
        <v/>
      </c>
      <c r="O179" s="7" t="n"/>
      <c r="U179" s="7" t="n"/>
      <c r="V179" s="7" t="n"/>
      <c r="W179" s="7">
        <f>IF($D179="","",V179*AB179/100)</f>
        <v/>
      </c>
      <c r="X179" s="7">
        <f>IF($D179="","",V179-W179)</f>
        <v/>
      </c>
      <c r="Y179" s="7">
        <f>IF($D179="","",X179-N179)</f>
        <v/>
      </c>
      <c r="AB179">
        <f>IF($D179="","",IF($AN179=1,Settings!$C$8,IF($AM179=1,Settings!$C$6,Settings!$C$7))*100)</f>
        <v/>
      </c>
      <c r="AF179" s="7" t="n"/>
      <c r="AI179" s="11" t="n"/>
      <c r="AK179">
        <f>IF($D179="","",IF(COUNTIF($D$2:$D179,$D179)=1,1,0))</f>
        <v/>
      </c>
      <c r="AL179">
        <f>IF($AK179=1,SUMPRODUCT(--($AO$2:$AO$201&lt;$AO179))+1,"")</f>
        <v/>
      </c>
      <c r="AM179">
        <f>IF($D179="","",IF(OR($R179=TRUE(),$R179="TRUE"),1,0))</f>
        <v/>
      </c>
      <c r="AN179">
        <f>IF($D179="","",IF($AA179="Yes",1,0))</f>
        <v/>
      </c>
      <c r="AO179">
        <f>IF($AK179=1,IFERROR(IF(VALUE($D179)&lt;100000000,VALUE($D179),1000000000),IFERROR(IF(VALUE(MID($D179,2,20))&lt;100000000,VALUE(MID($D179,2,20)),1000000000),1000000000))+ROW()/100000,"")</f>
        <v/>
      </c>
    </row>
    <row r="180">
      <c r="F180" s="11" t="n"/>
      <c r="N180" s="7">
        <f>IF($D180="","",M180*X180/100)</f>
        <v/>
      </c>
      <c r="O180" s="7" t="n"/>
      <c r="U180" s="7" t="n"/>
      <c r="V180" s="7" t="n"/>
      <c r="W180" s="7">
        <f>IF($D180="","",V180*AB180/100)</f>
        <v/>
      </c>
      <c r="X180" s="7">
        <f>IF($D180="","",V180-W180)</f>
        <v/>
      </c>
      <c r="Y180" s="7">
        <f>IF($D180="","",X180-N180)</f>
        <v/>
      </c>
      <c r="AB180">
        <f>IF($D180="","",IF($AN180=1,Settings!$C$8,IF($AM180=1,Settings!$C$6,Settings!$C$7))*100)</f>
        <v/>
      </c>
      <c r="AF180" s="7" t="n"/>
      <c r="AI180" s="11" t="n"/>
      <c r="AK180">
        <f>IF($D180="","",IF(COUNTIF($D$2:$D180,$D180)=1,1,0))</f>
        <v/>
      </c>
      <c r="AL180">
        <f>IF($AK180=1,SUMPRODUCT(--($AO$2:$AO$201&lt;$AO180))+1,"")</f>
        <v/>
      </c>
      <c r="AM180">
        <f>IF($D180="","",IF(OR($R180=TRUE(),$R180="TRUE"),1,0))</f>
        <v/>
      </c>
      <c r="AN180">
        <f>IF($D180="","",IF($AA180="Yes",1,0))</f>
        <v/>
      </c>
      <c r="AO180">
        <f>IF($AK180=1,IFERROR(IF(VALUE($D180)&lt;100000000,VALUE($D180),1000000000),IFERROR(IF(VALUE(MID($D180,2,20))&lt;100000000,VALUE(MID($D180,2,20)),1000000000),1000000000))+ROW()/100000,"")</f>
        <v/>
      </c>
    </row>
    <row r="181">
      <c r="F181" s="11" t="n"/>
      <c r="N181" s="7">
        <f>IF($D181="","",M181*X181/100)</f>
        <v/>
      </c>
      <c r="O181" s="7" t="n"/>
      <c r="U181" s="7" t="n"/>
      <c r="V181" s="7" t="n"/>
      <c r="W181" s="7">
        <f>IF($D181="","",V181*AB181/100)</f>
        <v/>
      </c>
      <c r="X181" s="7">
        <f>IF($D181="","",V181-W181)</f>
        <v/>
      </c>
      <c r="Y181" s="7">
        <f>IF($D181="","",X181-N181)</f>
        <v/>
      </c>
      <c r="AB181">
        <f>IF($D181="","",IF($AN181=1,Settings!$C$8,IF($AM181=1,Settings!$C$6,Settings!$C$7))*100)</f>
        <v/>
      </c>
      <c r="AF181" s="7" t="n"/>
      <c r="AI181" s="11" t="n"/>
      <c r="AK181">
        <f>IF($D181="","",IF(COUNTIF($D$2:$D181,$D181)=1,1,0))</f>
        <v/>
      </c>
      <c r="AL181">
        <f>IF($AK181=1,SUMPRODUCT(--($AO$2:$AO$201&lt;$AO181))+1,"")</f>
        <v/>
      </c>
      <c r="AM181">
        <f>IF($D181="","",IF(OR($R181=TRUE(),$R181="TRUE"),1,0))</f>
        <v/>
      </c>
      <c r="AN181">
        <f>IF($D181="","",IF($AA181="Yes",1,0))</f>
        <v/>
      </c>
      <c r="AO181">
        <f>IF($AK181=1,IFERROR(IF(VALUE($D181)&lt;100000000,VALUE($D181),1000000000),IFERROR(IF(VALUE(MID($D181,2,20))&lt;100000000,VALUE(MID($D181,2,20)),1000000000),1000000000))+ROW()/100000,"")</f>
        <v/>
      </c>
    </row>
    <row r="182">
      <c r="F182" s="11" t="n"/>
      <c r="N182" s="7">
        <f>IF($D182="","",M182*X182/100)</f>
        <v/>
      </c>
      <c r="O182" s="7" t="n"/>
      <c r="U182" s="7" t="n"/>
      <c r="V182" s="7" t="n"/>
      <c r="W182" s="7">
        <f>IF($D182="","",V182*AB182/100)</f>
        <v/>
      </c>
      <c r="X182" s="7">
        <f>IF($D182="","",V182-W182)</f>
        <v/>
      </c>
      <c r="Y182" s="7">
        <f>IF($D182="","",X182-N182)</f>
        <v/>
      </c>
      <c r="AB182">
        <f>IF($D182="","",IF($AN182=1,Settings!$C$8,IF($AM182=1,Settings!$C$6,Settings!$C$7))*100)</f>
        <v/>
      </c>
      <c r="AF182" s="7" t="n"/>
      <c r="AI182" s="11" t="n"/>
      <c r="AK182">
        <f>IF($D182="","",IF(COUNTIF($D$2:$D182,$D182)=1,1,0))</f>
        <v/>
      </c>
      <c r="AL182">
        <f>IF($AK182=1,SUMPRODUCT(--($AO$2:$AO$201&lt;$AO182))+1,"")</f>
        <v/>
      </c>
      <c r="AM182">
        <f>IF($D182="","",IF(OR($R182=TRUE(),$R182="TRUE"),1,0))</f>
        <v/>
      </c>
      <c r="AN182">
        <f>IF($D182="","",IF($AA182="Yes",1,0))</f>
        <v/>
      </c>
      <c r="AO182">
        <f>IF($AK182=1,IFERROR(IF(VALUE($D182)&lt;100000000,VALUE($D182),1000000000),IFERROR(IF(VALUE(MID($D182,2,20))&lt;100000000,VALUE(MID($D182,2,20)),1000000000),1000000000))+ROW()/100000,"")</f>
        <v/>
      </c>
    </row>
    <row r="183">
      <c r="F183" s="11" t="n"/>
      <c r="N183" s="7">
        <f>IF($D183="","",M183*X183/100)</f>
        <v/>
      </c>
      <c r="O183" s="7" t="n"/>
      <c r="U183" s="7" t="n"/>
      <c r="V183" s="7" t="n"/>
      <c r="W183" s="7">
        <f>IF($D183="","",V183*AB183/100)</f>
        <v/>
      </c>
      <c r="X183" s="7">
        <f>IF($D183="","",V183-W183)</f>
        <v/>
      </c>
      <c r="Y183" s="7">
        <f>IF($D183="","",X183-N183)</f>
        <v/>
      </c>
      <c r="AB183">
        <f>IF($D183="","",IF($AN183=1,Settings!$C$8,IF($AM183=1,Settings!$C$6,Settings!$C$7))*100)</f>
        <v/>
      </c>
      <c r="AF183" s="7" t="n"/>
      <c r="AI183" s="11" t="n"/>
      <c r="AK183">
        <f>IF($D183="","",IF(COUNTIF($D$2:$D183,$D183)=1,1,0))</f>
        <v/>
      </c>
      <c r="AL183">
        <f>IF($AK183=1,SUMPRODUCT(--($AO$2:$AO$201&lt;$AO183))+1,"")</f>
        <v/>
      </c>
      <c r="AM183">
        <f>IF($D183="","",IF(OR($R183=TRUE(),$R183="TRUE"),1,0))</f>
        <v/>
      </c>
      <c r="AN183">
        <f>IF($D183="","",IF($AA183="Yes",1,0))</f>
        <v/>
      </c>
      <c r="AO183">
        <f>IF($AK183=1,IFERROR(IF(VALUE($D183)&lt;100000000,VALUE($D183),1000000000),IFERROR(IF(VALUE(MID($D183,2,20))&lt;100000000,VALUE(MID($D183,2,20)),1000000000),1000000000))+ROW()/100000,"")</f>
        <v/>
      </c>
    </row>
    <row r="184">
      <c r="F184" s="11" t="n"/>
      <c r="N184" s="7">
        <f>IF($D184="","",M184*X184/100)</f>
        <v/>
      </c>
      <c r="O184" s="7" t="n"/>
      <c r="U184" s="7" t="n"/>
      <c r="V184" s="7" t="n"/>
      <c r="W184" s="7">
        <f>IF($D184="","",V184*AB184/100)</f>
        <v/>
      </c>
      <c r="X184" s="7">
        <f>IF($D184="","",V184-W184)</f>
        <v/>
      </c>
      <c r="Y184" s="7">
        <f>IF($D184="","",X184-N184)</f>
        <v/>
      </c>
      <c r="AB184">
        <f>IF($D184="","",IF($AN184=1,Settings!$C$8,IF($AM184=1,Settings!$C$6,Settings!$C$7))*100)</f>
        <v/>
      </c>
      <c r="AF184" s="7" t="n"/>
      <c r="AI184" s="11" t="n"/>
      <c r="AK184">
        <f>IF($D184="","",IF(COUNTIF($D$2:$D184,$D184)=1,1,0))</f>
        <v/>
      </c>
      <c r="AL184">
        <f>IF($AK184=1,SUMPRODUCT(--($AO$2:$AO$201&lt;$AO184))+1,"")</f>
        <v/>
      </c>
      <c r="AM184">
        <f>IF($D184="","",IF(OR($R184=TRUE(),$R184="TRUE"),1,0))</f>
        <v/>
      </c>
      <c r="AN184">
        <f>IF($D184="","",IF($AA184="Yes",1,0))</f>
        <v/>
      </c>
      <c r="AO184">
        <f>IF($AK184=1,IFERROR(IF(VALUE($D184)&lt;100000000,VALUE($D184),1000000000),IFERROR(IF(VALUE(MID($D184,2,20))&lt;100000000,VALUE(MID($D184,2,20)),1000000000),1000000000))+ROW()/100000,"")</f>
        <v/>
      </c>
    </row>
    <row r="185">
      <c r="F185" s="11" t="n"/>
      <c r="N185" s="7">
        <f>IF($D185="","",M185*X185/100)</f>
        <v/>
      </c>
      <c r="O185" s="7" t="n"/>
      <c r="U185" s="7" t="n"/>
      <c r="V185" s="7" t="n"/>
      <c r="W185" s="7">
        <f>IF($D185="","",V185*AB185/100)</f>
        <v/>
      </c>
      <c r="X185" s="7">
        <f>IF($D185="","",V185-W185)</f>
        <v/>
      </c>
      <c r="Y185" s="7">
        <f>IF($D185="","",X185-N185)</f>
        <v/>
      </c>
      <c r="AB185">
        <f>IF($D185="","",IF($AN185=1,Settings!$C$8,IF($AM185=1,Settings!$C$6,Settings!$C$7))*100)</f>
        <v/>
      </c>
      <c r="AF185" s="7" t="n"/>
      <c r="AI185" s="11" t="n"/>
      <c r="AK185">
        <f>IF($D185="","",IF(COUNTIF($D$2:$D185,$D185)=1,1,0))</f>
        <v/>
      </c>
      <c r="AL185">
        <f>IF($AK185=1,SUMPRODUCT(--($AO$2:$AO$201&lt;$AO185))+1,"")</f>
        <v/>
      </c>
      <c r="AM185">
        <f>IF($D185="","",IF(OR($R185=TRUE(),$R185="TRUE"),1,0))</f>
        <v/>
      </c>
      <c r="AN185">
        <f>IF($D185="","",IF($AA185="Yes",1,0))</f>
        <v/>
      </c>
      <c r="AO185">
        <f>IF($AK185=1,IFERROR(IF(VALUE($D185)&lt;100000000,VALUE($D185),1000000000),IFERROR(IF(VALUE(MID($D185,2,20))&lt;100000000,VALUE(MID($D185,2,20)),1000000000),1000000000))+ROW()/100000,"")</f>
        <v/>
      </c>
    </row>
    <row r="186">
      <c r="F186" s="11" t="n"/>
      <c r="N186" s="7">
        <f>IF($D186="","",M186*X186/100)</f>
        <v/>
      </c>
      <c r="O186" s="7" t="n"/>
      <c r="U186" s="7" t="n"/>
      <c r="V186" s="7" t="n"/>
      <c r="W186" s="7">
        <f>IF($D186="","",V186*AB186/100)</f>
        <v/>
      </c>
      <c r="X186" s="7">
        <f>IF($D186="","",V186-W186)</f>
        <v/>
      </c>
      <c r="Y186" s="7">
        <f>IF($D186="","",X186-N186)</f>
        <v/>
      </c>
      <c r="AB186">
        <f>IF($D186="","",IF($AN186=1,Settings!$C$8,IF($AM186=1,Settings!$C$6,Settings!$C$7))*100)</f>
        <v/>
      </c>
      <c r="AF186" s="7" t="n"/>
      <c r="AI186" s="11" t="n"/>
      <c r="AK186">
        <f>IF($D186="","",IF(COUNTIF($D$2:$D186,$D186)=1,1,0))</f>
        <v/>
      </c>
      <c r="AL186">
        <f>IF($AK186=1,SUMPRODUCT(--($AO$2:$AO$201&lt;$AO186))+1,"")</f>
        <v/>
      </c>
      <c r="AM186">
        <f>IF($D186="","",IF(OR($R186=TRUE(),$R186="TRUE"),1,0))</f>
        <v/>
      </c>
      <c r="AN186">
        <f>IF($D186="","",IF($AA186="Yes",1,0))</f>
        <v/>
      </c>
      <c r="AO186">
        <f>IF($AK186=1,IFERROR(IF(VALUE($D186)&lt;100000000,VALUE($D186),1000000000),IFERROR(IF(VALUE(MID($D186,2,20))&lt;100000000,VALUE(MID($D186,2,20)),1000000000),1000000000))+ROW()/100000,"")</f>
        <v/>
      </c>
    </row>
    <row r="187">
      <c r="F187" s="11" t="n"/>
      <c r="N187" s="7">
        <f>IF($D187="","",M187*X187/100)</f>
        <v/>
      </c>
      <c r="O187" s="7" t="n"/>
      <c r="U187" s="7" t="n"/>
      <c r="V187" s="7" t="n"/>
      <c r="W187" s="7">
        <f>IF($D187="","",V187*AB187/100)</f>
        <v/>
      </c>
      <c r="X187" s="7">
        <f>IF($D187="","",V187-W187)</f>
        <v/>
      </c>
      <c r="Y187" s="7">
        <f>IF($D187="","",X187-N187)</f>
        <v/>
      </c>
      <c r="AB187">
        <f>IF($D187="","",IF($AN187=1,Settings!$C$8,IF($AM187=1,Settings!$C$6,Settings!$C$7))*100)</f>
        <v/>
      </c>
      <c r="AF187" s="7" t="n"/>
      <c r="AI187" s="11" t="n"/>
      <c r="AK187">
        <f>IF($D187="","",IF(COUNTIF($D$2:$D187,$D187)=1,1,0))</f>
        <v/>
      </c>
      <c r="AL187">
        <f>IF($AK187=1,SUMPRODUCT(--($AO$2:$AO$201&lt;$AO187))+1,"")</f>
        <v/>
      </c>
      <c r="AM187">
        <f>IF($D187="","",IF(OR($R187=TRUE(),$R187="TRUE"),1,0))</f>
        <v/>
      </c>
      <c r="AN187">
        <f>IF($D187="","",IF($AA187="Yes",1,0))</f>
        <v/>
      </c>
      <c r="AO187">
        <f>IF($AK187=1,IFERROR(IF(VALUE($D187)&lt;100000000,VALUE($D187),1000000000),IFERROR(IF(VALUE(MID($D187,2,20))&lt;100000000,VALUE(MID($D187,2,20)),1000000000),1000000000))+ROW()/100000,"")</f>
        <v/>
      </c>
    </row>
    <row r="188">
      <c r="F188" s="11" t="n"/>
      <c r="N188" s="7">
        <f>IF($D188="","",M188*X188/100)</f>
        <v/>
      </c>
      <c r="O188" s="7" t="n"/>
      <c r="U188" s="7" t="n"/>
      <c r="V188" s="7" t="n"/>
      <c r="W188" s="7">
        <f>IF($D188="","",V188*AB188/100)</f>
        <v/>
      </c>
      <c r="X188" s="7">
        <f>IF($D188="","",V188-W188)</f>
        <v/>
      </c>
      <c r="Y188" s="7">
        <f>IF($D188="","",X188-N188)</f>
        <v/>
      </c>
      <c r="AB188">
        <f>IF($D188="","",IF($AN188=1,Settings!$C$8,IF($AM188=1,Settings!$C$6,Settings!$C$7))*100)</f>
        <v/>
      </c>
      <c r="AF188" s="7" t="n"/>
      <c r="AI188" s="11" t="n"/>
      <c r="AK188">
        <f>IF($D188="","",IF(COUNTIF($D$2:$D188,$D188)=1,1,0))</f>
        <v/>
      </c>
      <c r="AL188">
        <f>IF($AK188=1,SUMPRODUCT(--($AO$2:$AO$201&lt;$AO188))+1,"")</f>
        <v/>
      </c>
      <c r="AM188">
        <f>IF($D188="","",IF(OR($R188=TRUE(),$R188="TRUE"),1,0))</f>
        <v/>
      </c>
      <c r="AN188">
        <f>IF($D188="","",IF($AA188="Yes",1,0))</f>
        <v/>
      </c>
      <c r="AO188">
        <f>IF($AK188=1,IFERROR(IF(VALUE($D188)&lt;100000000,VALUE($D188),1000000000),IFERROR(IF(VALUE(MID($D188,2,20))&lt;100000000,VALUE(MID($D188,2,20)),1000000000),1000000000))+ROW()/100000,"")</f>
        <v/>
      </c>
    </row>
    <row r="189">
      <c r="F189" s="11" t="n"/>
      <c r="N189" s="7">
        <f>IF($D189="","",M189*X189/100)</f>
        <v/>
      </c>
      <c r="O189" s="7" t="n"/>
      <c r="U189" s="7" t="n"/>
      <c r="V189" s="7" t="n"/>
      <c r="W189" s="7">
        <f>IF($D189="","",V189*AB189/100)</f>
        <v/>
      </c>
      <c r="X189" s="7">
        <f>IF($D189="","",V189-W189)</f>
        <v/>
      </c>
      <c r="Y189" s="7">
        <f>IF($D189="","",X189-N189)</f>
        <v/>
      </c>
      <c r="AB189">
        <f>IF($D189="","",IF($AN189=1,Settings!$C$8,IF($AM189=1,Settings!$C$6,Settings!$C$7))*100)</f>
        <v/>
      </c>
      <c r="AF189" s="7" t="n"/>
      <c r="AI189" s="11" t="n"/>
      <c r="AK189">
        <f>IF($D189="","",IF(COUNTIF($D$2:$D189,$D189)=1,1,0))</f>
        <v/>
      </c>
      <c r="AL189">
        <f>IF($AK189=1,SUMPRODUCT(--($AO$2:$AO$201&lt;$AO189))+1,"")</f>
        <v/>
      </c>
      <c r="AM189">
        <f>IF($D189="","",IF(OR($R189=TRUE(),$R189="TRUE"),1,0))</f>
        <v/>
      </c>
      <c r="AN189">
        <f>IF($D189="","",IF($AA189="Yes",1,0))</f>
        <v/>
      </c>
      <c r="AO189">
        <f>IF($AK189=1,IFERROR(IF(VALUE($D189)&lt;100000000,VALUE($D189),1000000000),IFERROR(IF(VALUE(MID($D189,2,20))&lt;100000000,VALUE(MID($D189,2,20)),1000000000),1000000000))+ROW()/100000,"")</f>
        <v/>
      </c>
    </row>
    <row r="190">
      <c r="F190" s="11" t="n"/>
      <c r="N190" s="7">
        <f>IF($D190="","",M190*X190/100)</f>
        <v/>
      </c>
      <c r="O190" s="7" t="n"/>
      <c r="U190" s="7" t="n"/>
      <c r="V190" s="7" t="n"/>
      <c r="W190" s="7">
        <f>IF($D190="","",V190*AB190/100)</f>
        <v/>
      </c>
      <c r="X190" s="7">
        <f>IF($D190="","",V190-W190)</f>
        <v/>
      </c>
      <c r="Y190" s="7">
        <f>IF($D190="","",X190-N190)</f>
        <v/>
      </c>
      <c r="AB190">
        <f>IF($D190="","",IF($AN190=1,Settings!$C$8,IF($AM190=1,Settings!$C$6,Settings!$C$7))*100)</f>
        <v/>
      </c>
      <c r="AF190" s="7" t="n"/>
      <c r="AI190" s="11" t="n"/>
      <c r="AK190">
        <f>IF($D190="","",IF(COUNTIF($D$2:$D190,$D190)=1,1,0))</f>
        <v/>
      </c>
      <c r="AL190">
        <f>IF($AK190=1,SUMPRODUCT(--($AO$2:$AO$201&lt;$AO190))+1,"")</f>
        <v/>
      </c>
      <c r="AM190">
        <f>IF($D190="","",IF(OR($R190=TRUE(),$R190="TRUE"),1,0))</f>
        <v/>
      </c>
      <c r="AN190">
        <f>IF($D190="","",IF($AA190="Yes",1,0))</f>
        <v/>
      </c>
      <c r="AO190">
        <f>IF($AK190=1,IFERROR(IF(VALUE($D190)&lt;100000000,VALUE($D190),1000000000),IFERROR(IF(VALUE(MID($D190,2,20))&lt;100000000,VALUE(MID($D190,2,20)),1000000000),1000000000))+ROW()/100000,"")</f>
        <v/>
      </c>
    </row>
    <row r="191">
      <c r="F191" s="11" t="n"/>
      <c r="N191" s="7">
        <f>IF($D191="","",M191*X191/100)</f>
        <v/>
      </c>
      <c r="O191" s="7" t="n"/>
      <c r="U191" s="7" t="n"/>
      <c r="V191" s="7" t="n"/>
      <c r="W191" s="7">
        <f>IF($D191="","",V191*AB191/100)</f>
        <v/>
      </c>
      <c r="X191" s="7">
        <f>IF($D191="","",V191-W191)</f>
        <v/>
      </c>
      <c r="Y191" s="7">
        <f>IF($D191="","",X191-N191)</f>
        <v/>
      </c>
      <c r="AB191">
        <f>IF($D191="","",IF($AN191=1,Settings!$C$8,IF($AM191=1,Settings!$C$6,Settings!$C$7))*100)</f>
        <v/>
      </c>
      <c r="AF191" s="7" t="n"/>
      <c r="AI191" s="11" t="n"/>
      <c r="AK191">
        <f>IF($D191="","",IF(COUNTIF($D$2:$D191,$D191)=1,1,0))</f>
        <v/>
      </c>
      <c r="AL191">
        <f>IF($AK191=1,SUMPRODUCT(--($AO$2:$AO$201&lt;$AO191))+1,"")</f>
        <v/>
      </c>
      <c r="AM191">
        <f>IF($D191="","",IF(OR($R191=TRUE(),$R191="TRUE"),1,0))</f>
        <v/>
      </c>
      <c r="AN191">
        <f>IF($D191="","",IF($AA191="Yes",1,0))</f>
        <v/>
      </c>
      <c r="AO191">
        <f>IF($AK191=1,IFERROR(IF(VALUE($D191)&lt;100000000,VALUE($D191),1000000000),IFERROR(IF(VALUE(MID($D191,2,20))&lt;100000000,VALUE(MID($D191,2,20)),1000000000),1000000000))+ROW()/100000,"")</f>
        <v/>
      </c>
    </row>
    <row r="192">
      <c r="F192" s="11" t="n"/>
      <c r="N192" s="7">
        <f>IF($D192="","",M192*X192/100)</f>
        <v/>
      </c>
      <c r="O192" s="7" t="n"/>
      <c r="U192" s="7" t="n"/>
      <c r="V192" s="7" t="n"/>
      <c r="W192" s="7">
        <f>IF($D192="","",V192*AB192/100)</f>
        <v/>
      </c>
      <c r="X192" s="7">
        <f>IF($D192="","",V192-W192)</f>
        <v/>
      </c>
      <c r="Y192" s="7">
        <f>IF($D192="","",X192-N192)</f>
        <v/>
      </c>
      <c r="AB192">
        <f>IF($D192="","",IF($AN192=1,Settings!$C$8,IF($AM192=1,Settings!$C$6,Settings!$C$7))*100)</f>
        <v/>
      </c>
      <c r="AF192" s="7" t="n"/>
      <c r="AI192" s="11" t="n"/>
      <c r="AK192">
        <f>IF($D192="","",IF(COUNTIF($D$2:$D192,$D192)=1,1,0))</f>
        <v/>
      </c>
      <c r="AL192">
        <f>IF($AK192=1,SUMPRODUCT(--($AO$2:$AO$201&lt;$AO192))+1,"")</f>
        <v/>
      </c>
      <c r="AM192">
        <f>IF($D192="","",IF(OR($R192=TRUE(),$R192="TRUE"),1,0))</f>
        <v/>
      </c>
      <c r="AN192">
        <f>IF($D192="","",IF($AA192="Yes",1,0))</f>
        <v/>
      </c>
      <c r="AO192">
        <f>IF($AK192=1,IFERROR(IF(VALUE($D192)&lt;100000000,VALUE($D192),1000000000),IFERROR(IF(VALUE(MID($D192,2,20))&lt;100000000,VALUE(MID($D192,2,20)),1000000000),1000000000))+ROW()/100000,"")</f>
        <v/>
      </c>
    </row>
    <row r="193">
      <c r="F193" s="11" t="n"/>
      <c r="N193" s="7">
        <f>IF($D193="","",M193*X193/100)</f>
        <v/>
      </c>
      <c r="O193" s="7" t="n"/>
      <c r="U193" s="7" t="n"/>
      <c r="V193" s="7" t="n"/>
      <c r="W193" s="7">
        <f>IF($D193="","",V193*AB193/100)</f>
        <v/>
      </c>
      <c r="X193" s="7">
        <f>IF($D193="","",V193-W193)</f>
        <v/>
      </c>
      <c r="Y193" s="7">
        <f>IF($D193="","",X193-N193)</f>
        <v/>
      </c>
      <c r="AB193">
        <f>IF($D193="","",IF($AN193=1,Settings!$C$8,IF($AM193=1,Settings!$C$6,Settings!$C$7))*100)</f>
        <v/>
      </c>
      <c r="AF193" s="7" t="n"/>
      <c r="AI193" s="11" t="n"/>
      <c r="AK193">
        <f>IF($D193="","",IF(COUNTIF($D$2:$D193,$D193)=1,1,0))</f>
        <v/>
      </c>
      <c r="AL193">
        <f>IF($AK193=1,SUMPRODUCT(--($AO$2:$AO$201&lt;$AO193))+1,"")</f>
        <v/>
      </c>
      <c r="AM193">
        <f>IF($D193="","",IF(OR($R193=TRUE(),$R193="TRUE"),1,0))</f>
        <v/>
      </c>
      <c r="AN193">
        <f>IF($D193="","",IF($AA193="Yes",1,0))</f>
        <v/>
      </c>
      <c r="AO193">
        <f>IF($AK193=1,IFERROR(IF(VALUE($D193)&lt;100000000,VALUE($D193),1000000000),IFERROR(IF(VALUE(MID($D193,2,20))&lt;100000000,VALUE(MID($D193,2,20)),1000000000),1000000000))+ROW()/100000,"")</f>
        <v/>
      </c>
    </row>
    <row r="194">
      <c r="F194" s="11" t="n"/>
      <c r="N194" s="7">
        <f>IF($D194="","",M194*X194/100)</f>
        <v/>
      </c>
      <c r="O194" s="7" t="n"/>
      <c r="U194" s="7" t="n"/>
      <c r="V194" s="7" t="n"/>
      <c r="W194" s="7">
        <f>IF($D194="","",V194*AB194/100)</f>
        <v/>
      </c>
      <c r="X194" s="7">
        <f>IF($D194="","",V194-W194)</f>
        <v/>
      </c>
      <c r="Y194" s="7">
        <f>IF($D194="","",X194-N194)</f>
        <v/>
      </c>
      <c r="AB194">
        <f>IF($D194="","",IF($AN194=1,Settings!$C$8,IF($AM194=1,Settings!$C$6,Settings!$C$7))*100)</f>
        <v/>
      </c>
      <c r="AF194" s="7" t="n"/>
      <c r="AI194" s="11" t="n"/>
      <c r="AK194">
        <f>IF($D194="","",IF(COUNTIF($D$2:$D194,$D194)=1,1,0))</f>
        <v/>
      </c>
      <c r="AL194">
        <f>IF($AK194=1,SUMPRODUCT(--($AO$2:$AO$201&lt;$AO194))+1,"")</f>
        <v/>
      </c>
      <c r="AM194">
        <f>IF($D194="","",IF(OR($R194=TRUE(),$R194="TRUE"),1,0))</f>
        <v/>
      </c>
      <c r="AN194">
        <f>IF($D194="","",IF($AA194="Yes",1,0))</f>
        <v/>
      </c>
      <c r="AO194">
        <f>IF($AK194=1,IFERROR(IF(VALUE($D194)&lt;100000000,VALUE($D194),1000000000),IFERROR(IF(VALUE(MID($D194,2,20))&lt;100000000,VALUE(MID($D194,2,20)),1000000000),1000000000))+ROW()/100000,"")</f>
        <v/>
      </c>
    </row>
    <row r="195">
      <c r="F195" s="11" t="n"/>
      <c r="N195" s="7">
        <f>IF($D195="","",M195*X195/100)</f>
        <v/>
      </c>
      <c r="O195" s="7" t="n"/>
      <c r="U195" s="7" t="n"/>
      <c r="V195" s="7" t="n"/>
      <c r="W195" s="7">
        <f>IF($D195="","",V195*AB195/100)</f>
        <v/>
      </c>
      <c r="X195" s="7">
        <f>IF($D195="","",V195-W195)</f>
        <v/>
      </c>
      <c r="Y195" s="7">
        <f>IF($D195="","",X195-N195)</f>
        <v/>
      </c>
      <c r="AB195">
        <f>IF($D195="","",IF($AN195=1,Settings!$C$8,IF($AM195=1,Settings!$C$6,Settings!$C$7))*100)</f>
        <v/>
      </c>
      <c r="AF195" s="7" t="n"/>
      <c r="AI195" s="11" t="n"/>
      <c r="AK195">
        <f>IF($D195="","",IF(COUNTIF($D$2:$D195,$D195)=1,1,0))</f>
        <v/>
      </c>
      <c r="AL195">
        <f>IF($AK195=1,SUMPRODUCT(--($AO$2:$AO$201&lt;$AO195))+1,"")</f>
        <v/>
      </c>
      <c r="AM195">
        <f>IF($D195="","",IF(OR($R195=TRUE(),$R195="TRUE"),1,0))</f>
        <v/>
      </c>
      <c r="AN195">
        <f>IF($D195="","",IF($AA195="Yes",1,0))</f>
        <v/>
      </c>
      <c r="AO195">
        <f>IF($AK195=1,IFERROR(IF(VALUE($D195)&lt;100000000,VALUE($D195),1000000000),IFERROR(IF(VALUE(MID($D195,2,20))&lt;100000000,VALUE(MID($D195,2,20)),1000000000),1000000000))+ROW()/100000,"")</f>
        <v/>
      </c>
    </row>
    <row r="196">
      <c r="F196" s="11" t="n"/>
      <c r="N196" s="7">
        <f>IF($D196="","",M196*X196/100)</f>
        <v/>
      </c>
      <c r="O196" s="7" t="n"/>
      <c r="U196" s="7" t="n"/>
      <c r="V196" s="7" t="n"/>
      <c r="W196" s="7">
        <f>IF($D196="","",V196*AB196/100)</f>
        <v/>
      </c>
      <c r="X196" s="7">
        <f>IF($D196="","",V196-W196)</f>
        <v/>
      </c>
      <c r="Y196" s="7">
        <f>IF($D196="","",X196-N196)</f>
        <v/>
      </c>
      <c r="AB196">
        <f>IF($D196="","",IF($AN196=1,Settings!$C$8,IF($AM196=1,Settings!$C$6,Settings!$C$7))*100)</f>
        <v/>
      </c>
      <c r="AF196" s="7" t="n"/>
      <c r="AI196" s="11" t="n"/>
      <c r="AK196">
        <f>IF($D196="","",IF(COUNTIF($D$2:$D196,$D196)=1,1,0))</f>
        <v/>
      </c>
      <c r="AL196">
        <f>IF($AK196=1,SUMPRODUCT(--($AO$2:$AO$201&lt;$AO196))+1,"")</f>
        <v/>
      </c>
      <c r="AM196">
        <f>IF($D196="","",IF(OR($R196=TRUE(),$R196="TRUE"),1,0))</f>
        <v/>
      </c>
      <c r="AN196">
        <f>IF($D196="","",IF($AA196="Yes",1,0))</f>
        <v/>
      </c>
      <c r="AO196">
        <f>IF($AK196=1,IFERROR(IF(VALUE($D196)&lt;100000000,VALUE($D196),1000000000),IFERROR(IF(VALUE(MID($D196,2,20))&lt;100000000,VALUE(MID($D196,2,20)),1000000000),1000000000))+ROW()/100000,"")</f>
        <v/>
      </c>
    </row>
    <row r="197">
      <c r="F197" s="11" t="n"/>
      <c r="N197" s="7">
        <f>IF($D197="","",M197*X197/100)</f>
        <v/>
      </c>
      <c r="O197" s="7" t="n"/>
      <c r="U197" s="7" t="n"/>
      <c r="V197" s="7" t="n"/>
      <c r="W197" s="7">
        <f>IF($D197="","",V197*AB197/100)</f>
        <v/>
      </c>
      <c r="X197" s="7">
        <f>IF($D197="","",V197-W197)</f>
        <v/>
      </c>
      <c r="Y197" s="7">
        <f>IF($D197="","",X197-N197)</f>
        <v/>
      </c>
      <c r="AB197">
        <f>IF($D197="","",IF($AN197=1,Settings!$C$8,IF($AM197=1,Settings!$C$6,Settings!$C$7))*100)</f>
        <v/>
      </c>
      <c r="AF197" s="7" t="n"/>
      <c r="AI197" s="11" t="n"/>
      <c r="AK197">
        <f>IF($D197="","",IF(COUNTIF($D$2:$D197,$D197)=1,1,0))</f>
        <v/>
      </c>
      <c r="AL197">
        <f>IF($AK197=1,SUMPRODUCT(--($AO$2:$AO$201&lt;$AO197))+1,"")</f>
        <v/>
      </c>
      <c r="AM197">
        <f>IF($D197="","",IF(OR($R197=TRUE(),$R197="TRUE"),1,0))</f>
        <v/>
      </c>
      <c r="AN197">
        <f>IF($D197="","",IF($AA197="Yes",1,0))</f>
        <v/>
      </c>
      <c r="AO197">
        <f>IF($AK197=1,IFERROR(IF(VALUE($D197)&lt;100000000,VALUE($D197),1000000000),IFERROR(IF(VALUE(MID($D197,2,20))&lt;100000000,VALUE(MID($D197,2,20)),1000000000),1000000000))+ROW()/100000,"")</f>
        <v/>
      </c>
    </row>
    <row r="198">
      <c r="F198" s="11" t="n"/>
      <c r="N198" s="7">
        <f>IF($D198="","",M198*X198/100)</f>
        <v/>
      </c>
      <c r="O198" s="7" t="n"/>
      <c r="U198" s="7" t="n"/>
      <c r="V198" s="7" t="n"/>
      <c r="W198" s="7">
        <f>IF($D198="","",V198*AB198/100)</f>
        <v/>
      </c>
      <c r="X198" s="7">
        <f>IF($D198="","",V198-W198)</f>
        <v/>
      </c>
      <c r="Y198" s="7">
        <f>IF($D198="","",X198-N198)</f>
        <v/>
      </c>
      <c r="AB198">
        <f>IF($D198="","",IF($AN198=1,Settings!$C$8,IF($AM198=1,Settings!$C$6,Settings!$C$7))*100)</f>
        <v/>
      </c>
      <c r="AF198" s="7" t="n"/>
      <c r="AI198" s="11" t="n"/>
      <c r="AK198">
        <f>IF($D198="","",IF(COUNTIF($D$2:$D198,$D198)=1,1,0))</f>
        <v/>
      </c>
      <c r="AL198">
        <f>IF($AK198=1,SUMPRODUCT(--($AO$2:$AO$201&lt;$AO198))+1,"")</f>
        <v/>
      </c>
      <c r="AM198">
        <f>IF($D198="","",IF(OR($R198=TRUE(),$R198="TRUE"),1,0))</f>
        <v/>
      </c>
      <c r="AN198">
        <f>IF($D198="","",IF($AA198="Yes",1,0))</f>
        <v/>
      </c>
      <c r="AO198">
        <f>IF($AK198=1,IFERROR(IF(VALUE($D198)&lt;100000000,VALUE($D198),1000000000),IFERROR(IF(VALUE(MID($D198,2,20))&lt;100000000,VALUE(MID($D198,2,20)),1000000000),1000000000))+ROW()/100000,"")</f>
        <v/>
      </c>
    </row>
    <row r="199">
      <c r="F199" s="11" t="n"/>
      <c r="N199" s="7">
        <f>IF($D199="","",M199*X199/100)</f>
        <v/>
      </c>
      <c r="O199" s="7" t="n"/>
      <c r="U199" s="7" t="n"/>
      <c r="V199" s="7" t="n"/>
      <c r="W199" s="7">
        <f>IF($D199="","",V199*AB199/100)</f>
        <v/>
      </c>
      <c r="X199" s="7">
        <f>IF($D199="","",V199-W199)</f>
        <v/>
      </c>
      <c r="Y199" s="7">
        <f>IF($D199="","",X199-N199)</f>
        <v/>
      </c>
      <c r="AB199">
        <f>IF($D199="","",IF($AN199=1,Settings!$C$8,IF($AM199=1,Settings!$C$6,Settings!$C$7))*100)</f>
        <v/>
      </c>
      <c r="AF199" s="7" t="n"/>
      <c r="AI199" s="11" t="n"/>
      <c r="AK199">
        <f>IF($D199="","",IF(COUNTIF($D$2:$D199,$D199)=1,1,0))</f>
        <v/>
      </c>
      <c r="AL199">
        <f>IF($AK199=1,SUMPRODUCT(--($AO$2:$AO$201&lt;$AO199))+1,"")</f>
        <v/>
      </c>
      <c r="AM199">
        <f>IF($D199="","",IF(OR($R199=TRUE(),$R199="TRUE"),1,0))</f>
        <v/>
      </c>
      <c r="AN199">
        <f>IF($D199="","",IF($AA199="Yes",1,0))</f>
        <v/>
      </c>
      <c r="AO199">
        <f>IF($AK199=1,IFERROR(IF(VALUE($D199)&lt;100000000,VALUE($D199),1000000000),IFERROR(IF(VALUE(MID($D199,2,20))&lt;100000000,VALUE(MID($D199,2,20)),1000000000),1000000000))+ROW()/100000,"")</f>
        <v/>
      </c>
    </row>
    <row r="200">
      <c r="F200" s="11" t="n"/>
      <c r="N200" s="7">
        <f>IF($D200="","",M200*X200/100)</f>
        <v/>
      </c>
      <c r="O200" s="7" t="n"/>
      <c r="U200" s="7" t="n"/>
      <c r="V200" s="7" t="n"/>
      <c r="W200" s="7">
        <f>IF($D200="","",V200*AB200/100)</f>
        <v/>
      </c>
      <c r="X200" s="7">
        <f>IF($D200="","",V200-W200)</f>
        <v/>
      </c>
      <c r="Y200" s="7">
        <f>IF($D200="","",X200-N200)</f>
        <v/>
      </c>
      <c r="AB200">
        <f>IF($D200="","",IF($AN200=1,Settings!$C$8,IF($AM200=1,Settings!$C$6,Settings!$C$7))*100)</f>
        <v/>
      </c>
      <c r="AF200" s="7" t="n"/>
      <c r="AI200" s="11" t="n"/>
      <c r="AK200">
        <f>IF($D200="","",IF(COUNTIF($D$2:$D200,$D200)=1,1,0))</f>
        <v/>
      </c>
      <c r="AL200">
        <f>IF($AK200=1,SUMPRODUCT(--($AO$2:$AO$201&lt;$AO200))+1,"")</f>
        <v/>
      </c>
      <c r="AM200">
        <f>IF($D200="","",IF(OR($R200=TRUE(),$R200="TRUE"),1,0))</f>
        <v/>
      </c>
      <c r="AN200">
        <f>IF($D200="","",IF($AA200="Yes",1,0))</f>
        <v/>
      </c>
      <c r="AO200">
        <f>IF($AK200=1,IFERROR(IF(VALUE($D200)&lt;100000000,VALUE($D200),1000000000),IFERROR(IF(VALUE(MID($D200,2,20))&lt;100000000,VALUE(MID($D200,2,20)),1000000000),1000000000))+ROW()/100000,"")</f>
        <v/>
      </c>
    </row>
    <row r="201">
      <c r="F201" s="11" t="n"/>
      <c r="N201" s="7">
        <f>IF($D201="","",M201*X201/100)</f>
        <v/>
      </c>
      <c r="O201" s="7" t="n"/>
      <c r="U201" s="7" t="n"/>
      <c r="V201" s="7" t="n"/>
      <c r="W201" s="7">
        <f>IF($D201="","",V201*AB201/100)</f>
        <v/>
      </c>
      <c r="X201" s="7">
        <f>IF($D201="","",V201-W201)</f>
        <v/>
      </c>
      <c r="Y201" s="7">
        <f>IF($D201="","",X201-N201)</f>
        <v/>
      </c>
      <c r="AB201">
        <f>IF($D201="","",IF($AN201=1,Settings!$C$8,IF($AM201=1,Settings!$C$6,Settings!$C$7))*100)</f>
        <v/>
      </c>
      <c r="AF201" s="7" t="n"/>
      <c r="AI201" s="11" t="n"/>
      <c r="AK201">
        <f>IF($D201="","",IF(COUNTIF($D$2:$D201,$D201)=1,1,0))</f>
        <v/>
      </c>
      <c r="AL201">
        <f>IF($AK201=1,SUMPRODUCT(--($AO$2:$AO$201&lt;$AO201))+1,"")</f>
        <v/>
      </c>
      <c r="AM201">
        <f>IF($D201="","",IF(OR($R201=TRUE(),$R201="TRUE"),1,0))</f>
        <v/>
      </c>
      <c r="AN201">
        <f>IF($D201="","",IF($AA201="Yes",1,0))</f>
        <v/>
      </c>
      <c r="AO201">
        <f>IF($AK201=1,IFERROR(IF(VALUE($D201)&lt;100000000,VALUE($D201),1000000000),IFERROR(IF(VALUE(MID($D201,2,20))&lt;100000000,VALUE(MID($D201,2,20)),1000000000),1000000000))+ROW()/100000,"")</f>
        <v/>
      </c>
    </row>
  </sheetData>
  <autoFilter ref="A1:AO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7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3" customWidth="1" min="34" max="34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Batch ID</t>
        </is>
      </c>
      <c r="D1" s="9" t="inlineStr">
        <is>
          <t>Ticket #</t>
        </is>
      </c>
      <c r="E1" s="9" t="inlineStr">
        <is>
          <t>Stage</t>
        </is>
      </c>
      <c r="F1" s="9" t="inlineStr">
        <is>
          <t>Channel</t>
        </is>
      </c>
      <c r="G1" s="9" t="inlineStr">
        <is>
          <t>Create At</t>
        </is>
      </c>
      <c r="H1" s="9" t="inlineStr">
        <is>
          <t>Insurance Company</t>
        </is>
      </c>
      <c r="I1" s="9" t="inlineStr">
        <is>
          <t>Corporate</t>
        </is>
      </c>
      <c r="J1" s="9" t="inlineStr">
        <is>
          <t>Card</t>
        </is>
      </c>
      <c r="K1" s="9" t="inlineStr">
        <is>
          <t>Name</t>
        </is>
      </c>
      <c r="L1" s="9" t="inlineStr">
        <is>
          <t>Status</t>
        </is>
      </c>
      <c r="M1" s="9" t="inlineStr">
        <is>
          <t>Order Co Payment</t>
        </is>
      </c>
      <c r="N1" s="9" t="inlineStr">
        <is>
          <t>Co val</t>
        </is>
      </c>
      <c r="O1" s="9" t="inlineStr">
        <is>
          <t>ERX ID</t>
        </is>
      </c>
      <c r="P1" s="9" t="inlineStr">
        <is>
          <t>Approval Type</t>
        </is>
      </c>
      <c r="Q1" s="9" t="inlineStr">
        <is>
          <t>Max Limit</t>
        </is>
      </c>
      <c r="R1" s="9" t="inlineStr">
        <is>
          <t>Exceeding Limit</t>
        </is>
      </c>
      <c r="S1" s="9" t="inlineStr">
        <is>
          <t>Dispense Number</t>
        </is>
      </c>
      <c r="T1" s="9" t="inlineStr">
        <is>
          <t>Dispense Date</t>
        </is>
      </c>
      <c r="U1" s="9" t="inlineStr">
        <is>
          <t>SP%</t>
        </is>
      </c>
      <c r="V1" s="9" t="inlineStr">
        <is>
          <t>SP</t>
        </is>
      </c>
      <c r="W1" s="9" t="inlineStr">
        <is>
          <t>SP VAL</t>
        </is>
      </c>
      <c r="X1" s="9" t="inlineStr">
        <is>
          <t>IMP%</t>
        </is>
      </c>
      <c r="Y1" s="9" t="inlineStr">
        <is>
          <t>IMP</t>
        </is>
      </c>
      <c r="Z1" s="9" t="inlineStr">
        <is>
          <t>IMP VAL</t>
        </is>
      </c>
      <c r="AA1" s="9" t="inlineStr">
        <is>
          <t>LOCAL%</t>
        </is>
      </c>
      <c r="AB1" s="9" t="inlineStr">
        <is>
          <t>LOCAL</t>
        </is>
      </c>
      <c r="AC1" s="9" t="inlineStr">
        <is>
          <t>LOCAL VAL</t>
        </is>
      </c>
      <c r="AD1" s="9" t="inlineStr">
        <is>
          <t>TOTAL VAL</t>
        </is>
      </c>
      <c r="AE1" s="9" t="inlineStr">
        <is>
          <t>SUBTOTAL</t>
        </is>
      </c>
      <c r="AF1" s="9" t="inlineStr">
        <is>
          <t>Grand Total</t>
        </is>
      </c>
      <c r="AG1" s="9" t="inlineStr">
        <is>
          <t>NET</t>
        </is>
      </c>
      <c r="AH1" s="10" t="inlineStr">
        <is>
          <t>Src Row (helper)</t>
        </is>
      </c>
    </row>
    <row r="2">
      <c r="A2" s="12" t="n"/>
      <c r="B2">
        <f>IF($AH2="","",INDEX('Per Line'!$D$2:$D$201,$AH2)&amp;"")</f>
        <v/>
      </c>
      <c r="C2">
        <f>IF($AH2="","",INDEX('Per Line'!$A$2:$A$201,$AH2)&amp;"")</f>
        <v/>
      </c>
      <c r="D2">
        <f>IF($AH2="","",INDEX('Per Line'!$B$2:$B$201,$AH2))</f>
        <v/>
      </c>
      <c r="E2">
        <f>IF($AH2="","",INDEX('Per Line'!$C$2:$C$201,$AH2)&amp;"")</f>
        <v/>
      </c>
      <c r="F2">
        <f>IF($AH2="","",INDEX('Per Line'!$E$2:$E$201,$AH2)&amp;"")</f>
        <v/>
      </c>
      <c r="G2" s="11">
        <f>IF($AH2="","",INDEX('Per Line'!$F$2:$F$201,$AH2))</f>
        <v/>
      </c>
      <c r="H2">
        <f>IF($AH2="","",INDEX('Per Line'!$G$2:$G$201,$AH2)&amp;"")</f>
        <v/>
      </c>
      <c r="I2">
        <f>IF($AH2="","",INDEX('Per Line'!$I$2:$I$201,$AH2)&amp;"")</f>
        <v/>
      </c>
      <c r="J2">
        <f>IF($AH2="","",INDEX('Per Line'!$J$2:$J$201,$AH2)&amp;"")</f>
        <v/>
      </c>
      <c r="K2">
        <f>IF($AH2="","",INDEX('Per Line'!$K$2:$K$201,$AH2)&amp;"")</f>
        <v/>
      </c>
      <c r="L2">
        <f>IF($AH2="","",INDEX('Per Line'!$L$2:$L$201,$AH2)&amp;"")</f>
        <v/>
      </c>
      <c r="M2">
        <f>IF($AH2="","",INDEX('Per Line'!$M$2:$M$201,$AH2))</f>
        <v/>
      </c>
      <c r="N2" s="7">
        <f>IF($AH2="","",M2*AE2/100)</f>
        <v/>
      </c>
      <c r="O2">
        <f>IF($AH2="","",INDEX('Per Line'!$Z$2:$Z$201,$AH2)&amp;"")</f>
        <v/>
      </c>
      <c r="P2">
        <f>IF($AH2="","",INDEX('Per Line'!$AC$2:$AC$201,$AH2)&amp;"")</f>
        <v/>
      </c>
      <c r="Q2">
        <f>IF($AH2="","",INDEX('Per Line'!$AD$2:$AD$201,$AH2))</f>
        <v/>
      </c>
      <c r="R2">
        <f>IF($AH2="","",IF(AND(ISNUMBER(Q2),Q2&gt;0),AF2&gt;Q2,FALSE))</f>
        <v/>
      </c>
      <c r="S2">
        <f>IF($AH2="","",INDEX('Per Line'!$AH$2:$AH$201,$AH2)&amp;"")</f>
        <v/>
      </c>
      <c r="T2" s="11">
        <f>IF($AH2="","",INDEX('Per Line'!$AI$2:$AI$201,$AH2))</f>
        <v/>
      </c>
      <c r="U2">
        <f>IF($AH2="","",Settings!$C$8)</f>
        <v/>
      </c>
      <c r="V2" s="7">
        <f>IF($AH2="","",SUMIFS('Per Line'!$V$2:$V$201,'Per Line'!$D$2:$D$201,$B2,'Per Line'!$AN$2:$AN$201,1))</f>
        <v/>
      </c>
      <c r="W2" s="7">
        <f>IF($AH2="","",V2*U2)</f>
        <v/>
      </c>
      <c r="X2">
        <f>IF($AH2="","",Settings!$C$7)</f>
        <v/>
      </c>
      <c r="Y2" s="7">
        <f>IF($AH2="","",SUMIFS('Per Line'!$V$2:$V$201,'Per Line'!$D$2:$D$201,$B2,'Per Line'!$AM$2:$AM$201,0,'Per Line'!$AN$2:$AN$201,0))</f>
        <v/>
      </c>
      <c r="Z2" s="7">
        <f>IF($AH2="","",Y2*X2)</f>
        <v/>
      </c>
      <c r="AA2">
        <f>IF($AH2="","",Settings!$C$6)</f>
        <v/>
      </c>
      <c r="AB2" s="7">
        <f>IF($AH2="","",SUMIFS('Per Line'!$V$2:$V$201,'Per Line'!$D$2:$D$201,$B2,'Per Line'!$AM$2:$AM$201,1,'Per Line'!$AN$2:$AN$201,0))</f>
        <v/>
      </c>
      <c r="AC2" s="7">
        <f>IF($AH2="","",AB2*AA2)</f>
        <v/>
      </c>
      <c r="AD2" s="7">
        <f>IF($AH2="","",AC2+Z2+W2)</f>
        <v/>
      </c>
      <c r="AE2" s="7">
        <f>IF($AH2="","",AF2-AD2)</f>
        <v/>
      </c>
      <c r="AF2" s="7">
        <f>IF($AH2="","",Y2+AB2+V2)</f>
        <v/>
      </c>
      <c r="AG2" s="7">
        <f>IF($AH2="","",AF2-AD2-N2)</f>
        <v/>
      </c>
      <c r="AH2" s="13">
        <f>IF(ROWS($AH$2:$AH2)&lt;=MAX('Per Line'!$AL$2:$AL$201),MATCH(ROWS($AH$2:$AH2),'Per Line'!$AL$2:$AL$201,0),"")</f>
        <v/>
      </c>
    </row>
    <row r="3">
      <c r="A3" s="12" t="n"/>
      <c r="B3">
        <f>IF($AH3="","",INDEX('Per Line'!$D$2:$D$201,$AH3)&amp;"")</f>
        <v/>
      </c>
      <c r="C3">
        <f>IF($AH3="","",INDEX('Per Line'!$A$2:$A$201,$AH3)&amp;"")</f>
        <v/>
      </c>
      <c r="D3">
        <f>IF($AH3="","",INDEX('Per Line'!$B$2:$B$201,$AH3))</f>
        <v/>
      </c>
      <c r="E3">
        <f>IF($AH3="","",INDEX('Per Line'!$C$2:$C$201,$AH3)&amp;"")</f>
        <v/>
      </c>
      <c r="F3">
        <f>IF($AH3="","",INDEX('Per Line'!$E$2:$E$201,$AH3)&amp;"")</f>
        <v/>
      </c>
      <c r="G3" s="11">
        <f>IF($AH3="","",INDEX('Per Line'!$F$2:$F$201,$AH3))</f>
        <v/>
      </c>
      <c r="H3">
        <f>IF($AH3="","",INDEX('Per Line'!$G$2:$G$201,$AH3)&amp;"")</f>
        <v/>
      </c>
      <c r="I3">
        <f>IF($AH3="","",INDEX('Per Line'!$I$2:$I$201,$AH3)&amp;"")</f>
        <v/>
      </c>
      <c r="J3">
        <f>IF($AH3="","",INDEX('Per Line'!$J$2:$J$201,$AH3)&amp;"")</f>
        <v/>
      </c>
      <c r="K3">
        <f>IF($AH3="","",INDEX('Per Line'!$K$2:$K$201,$AH3)&amp;"")</f>
        <v/>
      </c>
      <c r="L3">
        <f>IF($AH3="","",INDEX('Per Line'!$L$2:$L$201,$AH3)&amp;"")</f>
        <v/>
      </c>
      <c r="M3">
        <f>IF($AH3="","",INDEX('Per Line'!$M$2:$M$201,$AH3))</f>
        <v/>
      </c>
      <c r="N3" s="7">
        <f>IF($AH3="","",M3*AE3/100)</f>
        <v/>
      </c>
      <c r="O3">
        <f>IF($AH3="","",INDEX('Per Line'!$Z$2:$Z$201,$AH3)&amp;"")</f>
        <v/>
      </c>
      <c r="P3">
        <f>IF($AH3="","",INDEX('Per Line'!$AC$2:$AC$201,$AH3)&amp;"")</f>
        <v/>
      </c>
      <c r="Q3">
        <f>IF($AH3="","",INDEX('Per Line'!$AD$2:$AD$201,$AH3))</f>
        <v/>
      </c>
      <c r="R3">
        <f>IF($AH3="","",IF(AND(ISNUMBER(Q3),Q3&gt;0),AF3&gt;Q3,FALSE))</f>
        <v/>
      </c>
      <c r="S3">
        <f>IF($AH3="","",INDEX('Per Line'!$AH$2:$AH$201,$AH3)&amp;"")</f>
        <v/>
      </c>
      <c r="T3" s="11">
        <f>IF($AH3="","",INDEX('Per Line'!$AI$2:$AI$201,$AH3))</f>
        <v/>
      </c>
      <c r="U3">
        <f>IF($AH3="","",Settings!$C$8)</f>
        <v/>
      </c>
      <c r="V3" s="7">
        <f>IF($AH3="","",SUMIFS('Per Line'!$V$2:$V$201,'Per Line'!$D$2:$D$201,$B3,'Per Line'!$AN$2:$AN$201,1))</f>
        <v/>
      </c>
      <c r="W3" s="7">
        <f>IF($AH3="","",V3*U3)</f>
        <v/>
      </c>
      <c r="X3">
        <f>IF($AH3="","",Settings!$C$7)</f>
        <v/>
      </c>
      <c r="Y3" s="7">
        <f>IF($AH3="","",SUMIFS('Per Line'!$V$2:$V$201,'Per Line'!$D$2:$D$201,$B3,'Per Line'!$AM$2:$AM$201,0,'Per Line'!$AN$2:$AN$201,0))</f>
        <v/>
      </c>
      <c r="Z3" s="7">
        <f>IF($AH3="","",Y3*X3)</f>
        <v/>
      </c>
      <c r="AA3">
        <f>IF($AH3="","",Settings!$C$6)</f>
        <v/>
      </c>
      <c r="AB3" s="7">
        <f>IF($AH3="","",SUMIFS('Per Line'!$V$2:$V$201,'Per Line'!$D$2:$D$201,$B3,'Per Line'!$AM$2:$AM$201,1,'Per Line'!$AN$2:$AN$201,0))</f>
        <v/>
      </c>
      <c r="AC3" s="7">
        <f>IF($AH3="","",AB3*AA3)</f>
        <v/>
      </c>
      <c r="AD3" s="7">
        <f>IF($AH3="","",AC3+Z3+W3)</f>
        <v/>
      </c>
      <c r="AE3" s="7">
        <f>IF($AH3="","",AF3-AD3)</f>
        <v/>
      </c>
      <c r="AF3" s="7">
        <f>IF($AH3="","",Y3+AB3+V3)</f>
        <v/>
      </c>
      <c r="AG3" s="7">
        <f>IF($AH3="","",AF3-AD3-N3)</f>
        <v/>
      </c>
      <c r="AH3" s="13">
        <f>IF(ROWS($AH$2:$AH3)&lt;=MAX('Per Line'!$AL$2:$AL$201),MATCH(ROWS($AH$2:$AH3),'Per Line'!$AL$2:$AL$201,0),"")</f>
        <v/>
      </c>
    </row>
    <row r="4">
      <c r="A4" s="12" t="n"/>
      <c r="B4">
        <f>IF($AH4="","",INDEX('Per Line'!$D$2:$D$201,$AH4)&amp;"")</f>
        <v/>
      </c>
      <c r="C4">
        <f>IF($AH4="","",INDEX('Per Line'!$A$2:$A$201,$AH4)&amp;"")</f>
        <v/>
      </c>
      <c r="D4">
        <f>IF($AH4="","",INDEX('Per Line'!$B$2:$B$201,$AH4))</f>
        <v/>
      </c>
      <c r="E4">
        <f>IF($AH4="","",INDEX('Per Line'!$C$2:$C$201,$AH4)&amp;"")</f>
        <v/>
      </c>
      <c r="F4">
        <f>IF($AH4="","",INDEX('Per Line'!$E$2:$E$201,$AH4)&amp;"")</f>
        <v/>
      </c>
      <c r="G4" s="11">
        <f>IF($AH4="","",INDEX('Per Line'!$F$2:$F$201,$AH4))</f>
        <v/>
      </c>
      <c r="H4">
        <f>IF($AH4="","",INDEX('Per Line'!$G$2:$G$201,$AH4)&amp;"")</f>
        <v/>
      </c>
      <c r="I4">
        <f>IF($AH4="","",INDEX('Per Line'!$I$2:$I$201,$AH4)&amp;"")</f>
        <v/>
      </c>
      <c r="J4">
        <f>IF($AH4="","",INDEX('Per Line'!$J$2:$J$201,$AH4)&amp;"")</f>
        <v/>
      </c>
      <c r="K4">
        <f>IF($AH4="","",INDEX('Per Line'!$K$2:$K$201,$AH4)&amp;"")</f>
        <v/>
      </c>
      <c r="L4">
        <f>IF($AH4="","",INDEX('Per Line'!$L$2:$L$201,$AH4)&amp;"")</f>
        <v/>
      </c>
      <c r="M4">
        <f>IF($AH4="","",INDEX('Per Line'!$M$2:$M$201,$AH4))</f>
        <v/>
      </c>
      <c r="N4" s="7">
        <f>IF($AH4="","",M4*AE4/100)</f>
        <v/>
      </c>
      <c r="O4">
        <f>IF($AH4="","",INDEX('Per Line'!$Z$2:$Z$201,$AH4)&amp;"")</f>
        <v/>
      </c>
      <c r="P4">
        <f>IF($AH4="","",INDEX('Per Line'!$AC$2:$AC$201,$AH4)&amp;"")</f>
        <v/>
      </c>
      <c r="Q4">
        <f>IF($AH4="","",INDEX('Per Line'!$AD$2:$AD$201,$AH4))</f>
        <v/>
      </c>
      <c r="R4">
        <f>IF($AH4="","",IF(AND(ISNUMBER(Q4),Q4&gt;0),AF4&gt;Q4,FALSE))</f>
        <v/>
      </c>
      <c r="S4">
        <f>IF($AH4="","",INDEX('Per Line'!$AH$2:$AH$201,$AH4)&amp;"")</f>
        <v/>
      </c>
      <c r="T4" s="11">
        <f>IF($AH4="","",INDEX('Per Line'!$AI$2:$AI$201,$AH4))</f>
        <v/>
      </c>
      <c r="U4">
        <f>IF($AH4="","",Settings!$C$8)</f>
        <v/>
      </c>
      <c r="V4" s="7">
        <f>IF($AH4="","",SUMIFS('Per Line'!$V$2:$V$201,'Per Line'!$D$2:$D$201,$B4,'Per Line'!$AN$2:$AN$201,1))</f>
        <v/>
      </c>
      <c r="W4" s="7">
        <f>IF($AH4="","",V4*U4)</f>
        <v/>
      </c>
      <c r="X4">
        <f>IF($AH4="","",Settings!$C$7)</f>
        <v/>
      </c>
      <c r="Y4" s="7">
        <f>IF($AH4="","",SUMIFS('Per Line'!$V$2:$V$201,'Per Line'!$D$2:$D$201,$B4,'Per Line'!$AM$2:$AM$201,0,'Per Line'!$AN$2:$AN$201,0))</f>
        <v/>
      </c>
      <c r="Z4" s="7">
        <f>IF($AH4="","",Y4*X4)</f>
        <v/>
      </c>
      <c r="AA4">
        <f>IF($AH4="","",Settings!$C$6)</f>
        <v/>
      </c>
      <c r="AB4" s="7">
        <f>IF($AH4="","",SUMIFS('Per Line'!$V$2:$V$201,'Per Line'!$D$2:$D$201,$B4,'Per Line'!$AM$2:$AM$201,1,'Per Line'!$AN$2:$AN$201,0))</f>
        <v/>
      </c>
      <c r="AC4" s="7">
        <f>IF($AH4="","",AB4*AA4)</f>
        <v/>
      </c>
      <c r="AD4" s="7">
        <f>IF($AH4="","",AC4+Z4+W4)</f>
        <v/>
      </c>
      <c r="AE4" s="7">
        <f>IF($AH4="","",AF4-AD4)</f>
        <v/>
      </c>
      <c r="AF4" s="7">
        <f>IF($AH4="","",Y4+AB4+V4)</f>
        <v/>
      </c>
      <c r="AG4" s="7">
        <f>IF($AH4="","",AF4-AD4-N4)</f>
        <v/>
      </c>
      <c r="AH4" s="13">
        <f>IF(ROWS($AH$2:$AH4)&lt;=MAX('Per Line'!$AL$2:$AL$201),MATCH(ROWS($AH$2:$AH4),'Per Line'!$AL$2:$AL$201,0),"")</f>
        <v/>
      </c>
    </row>
    <row r="5">
      <c r="A5" s="12" t="n"/>
      <c r="B5">
        <f>IF($AH5="","",INDEX('Per Line'!$D$2:$D$201,$AH5)&amp;"")</f>
        <v/>
      </c>
      <c r="C5">
        <f>IF($AH5="","",INDEX('Per Line'!$A$2:$A$201,$AH5)&amp;"")</f>
        <v/>
      </c>
      <c r="D5">
        <f>IF($AH5="","",INDEX('Per Line'!$B$2:$B$201,$AH5))</f>
        <v/>
      </c>
      <c r="E5">
        <f>IF($AH5="","",INDEX('Per Line'!$C$2:$C$201,$AH5)&amp;"")</f>
        <v/>
      </c>
      <c r="F5">
        <f>IF($AH5="","",INDEX('Per Line'!$E$2:$E$201,$AH5)&amp;"")</f>
        <v/>
      </c>
      <c r="G5" s="11">
        <f>IF($AH5="","",INDEX('Per Line'!$F$2:$F$201,$AH5))</f>
        <v/>
      </c>
      <c r="H5">
        <f>IF($AH5="","",INDEX('Per Line'!$G$2:$G$201,$AH5)&amp;"")</f>
        <v/>
      </c>
      <c r="I5">
        <f>IF($AH5="","",INDEX('Per Line'!$I$2:$I$201,$AH5)&amp;"")</f>
        <v/>
      </c>
      <c r="J5">
        <f>IF($AH5="","",INDEX('Per Line'!$J$2:$J$201,$AH5)&amp;"")</f>
        <v/>
      </c>
      <c r="K5">
        <f>IF($AH5="","",INDEX('Per Line'!$K$2:$K$201,$AH5)&amp;"")</f>
        <v/>
      </c>
      <c r="L5">
        <f>IF($AH5="","",INDEX('Per Line'!$L$2:$L$201,$AH5)&amp;"")</f>
        <v/>
      </c>
      <c r="M5">
        <f>IF($AH5="","",INDEX('Per Line'!$M$2:$M$201,$AH5))</f>
        <v/>
      </c>
      <c r="N5" s="7">
        <f>IF($AH5="","",M5*AE5/100)</f>
        <v/>
      </c>
      <c r="O5">
        <f>IF($AH5="","",INDEX('Per Line'!$Z$2:$Z$201,$AH5)&amp;"")</f>
        <v/>
      </c>
      <c r="P5">
        <f>IF($AH5="","",INDEX('Per Line'!$AC$2:$AC$201,$AH5)&amp;"")</f>
        <v/>
      </c>
      <c r="Q5">
        <f>IF($AH5="","",INDEX('Per Line'!$AD$2:$AD$201,$AH5))</f>
        <v/>
      </c>
      <c r="R5">
        <f>IF($AH5="","",IF(AND(ISNUMBER(Q5),Q5&gt;0),AF5&gt;Q5,FALSE))</f>
        <v/>
      </c>
      <c r="S5">
        <f>IF($AH5="","",INDEX('Per Line'!$AH$2:$AH$201,$AH5)&amp;"")</f>
        <v/>
      </c>
      <c r="T5" s="11">
        <f>IF($AH5="","",INDEX('Per Line'!$AI$2:$AI$201,$AH5))</f>
        <v/>
      </c>
      <c r="U5">
        <f>IF($AH5="","",Settings!$C$8)</f>
        <v/>
      </c>
      <c r="V5" s="7">
        <f>IF($AH5="","",SUMIFS('Per Line'!$V$2:$V$201,'Per Line'!$D$2:$D$201,$B5,'Per Line'!$AN$2:$AN$201,1))</f>
        <v/>
      </c>
      <c r="W5" s="7">
        <f>IF($AH5="","",V5*U5)</f>
        <v/>
      </c>
      <c r="X5">
        <f>IF($AH5="","",Settings!$C$7)</f>
        <v/>
      </c>
      <c r="Y5" s="7">
        <f>IF($AH5="","",SUMIFS('Per Line'!$V$2:$V$201,'Per Line'!$D$2:$D$201,$B5,'Per Line'!$AM$2:$AM$201,0,'Per Line'!$AN$2:$AN$201,0))</f>
        <v/>
      </c>
      <c r="Z5" s="7">
        <f>IF($AH5="","",Y5*X5)</f>
        <v/>
      </c>
      <c r="AA5">
        <f>IF($AH5="","",Settings!$C$6)</f>
        <v/>
      </c>
      <c r="AB5" s="7">
        <f>IF($AH5="","",SUMIFS('Per Line'!$V$2:$V$201,'Per Line'!$D$2:$D$201,$B5,'Per Line'!$AM$2:$AM$201,1,'Per Line'!$AN$2:$AN$201,0))</f>
        <v/>
      </c>
      <c r="AC5" s="7">
        <f>IF($AH5="","",AB5*AA5)</f>
        <v/>
      </c>
      <c r="AD5" s="7">
        <f>IF($AH5="","",AC5+Z5+W5)</f>
        <v/>
      </c>
      <c r="AE5" s="7">
        <f>IF($AH5="","",AF5-AD5)</f>
        <v/>
      </c>
      <c r="AF5" s="7">
        <f>IF($AH5="","",Y5+AB5+V5)</f>
        <v/>
      </c>
      <c r="AG5" s="7">
        <f>IF($AH5="","",AF5-AD5-N5)</f>
        <v/>
      </c>
      <c r="AH5" s="13">
        <f>IF(ROWS($AH$2:$AH5)&lt;=MAX('Per Line'!$AL$2:$AL$201),MATCH(ROWS($AH$2:$AH5),'Per Line'!$AL$2:$AL$201,0),"")</f>
        <v/>
      </c>
    </row>
    <row r="6">
      <c r="A6" s="12" t="n"/>
      <c r="B6">
        <f>IF($AH6="","",INDEX('Per Line'!$D$2:$D$201,$AH6)&amp;"")</f>
        <v/>
      </c>
      <c r="C6">
        <f>IF($AH6="","",INDEX('Per Line'!$A$2:$A$201,$AH6)&amp;"")</f>
        <v/>
      </c>
      <c r="D6">
        <f>IF($AH6="","",INDEX('Per Line'!$B$2:$B$201,$AH6))</f>
        <v/>
      </c>
      <c r="E6">
        <f>IF($AH6="","",INDEX('Per Line'!$C$2:$C$201,$AH6)&amp;"")</f>
        <v/>
      </c>
      <c r="F6">
        <f>IF($AH6="","",INDEX('Per Line'!$E$2:$E$201,$AH6)&amp;"")</f>
        <v/>
      </c>
      <c r="G6" s="11">
        <f>IF($AH6="","",INDEX('Per Line'!$F$2:$F$201,$AH6))</f>
        <v/>
      </c>
      <c r="H6">
        <f>IF($AH6="","",INDEX('Per Line'!$G$2:$G$201,$AH6)&amp;"")</f>
        <v/>
      </c>
      <c r="I6">
        <f>IF($AH6="","",INDEX('Per Line'!$I$2:$I$201,$AH6)&amp;"")</f>
        <v/>
      </c>
      <c r="J6">
        <f>IF($AH6="","",INDEX('Per Line'!$J$2:$J$201,$AH6)&amp;"")</f>
        <v/>
      </c>
      <c r="K6">
        <f>IF($AH6="","",INDEX('Per Line'!$K$2:$K$201,$AH6)&amp;"")</f>
        <v/>
      </c>
      <c r="L6">
        <f>IF($AH6="","",INDEX('Per Line'!$L$2:$L$201,$AH6)&amp;"")</f>
        <v/>
      </c>
      <c r="M6">
        <f>IF($AH6="","",INDEX('Per Line'!$M$2:$M$201,$AH6))</f>
        <v/>
      </c>
      <c r="N6" s="7">
        <f>IF($AH6="","",M6*AE6/100)</f>
        <v/>
      </c>
      <c r="O6">
        <f>IF($AH6="","",INDEX('Per Line'!$Z$2:$Z$201,$AH6)&amp;"")</f>
        <v/>
      </c>
      <c r="P6">
        <f>IF($AH6="","",INDEX('Per Line'!$AC$2:$AC$201,$AH6)&amp;"")</f>
        <v/>
      </c>
      <c r="Q6">
        <f>IF($AH6="","",INDEX('Per Line'!$AD$2:$AD$201,$AH6))</f>
        <v/>
      </c>
      <c r="R6">
        <f>IF($AH6="","",IF(AND(ISNUMBER(Q6),Q6&gt;0),AF6&gt;Q6,FALSE))</f>
        <v/>
      </c>
      <c r="S6">
        <f>IF($AH6="","",INDEX('Per Line'!$AH$2:$AH$201,$AH6)&amp;"")</f>
        <v/>
      </c>
      <c r="T6" s="11">
        <f>IF($AH6="","",INDEX('Per Line'!$AI$2:$AI$201,$AH6))</f>
        <v/>
      </c>
      <c r="U6">
        <f>IF($AH6="","",Settings!$C$8)</f>
        <v/>
      </c>
      <c r="V6" s="7">
        <f>IF($AH6="","",SUMIFS('Per Line'!$V$2:$V$201,'Per Line'!$D$2:$D$201,$B6,'Per Line'!$AN$2:$AN$201,1))</f>
        <v/>
      </c>
      <c r="W6" s="7">
        <f>IF($AH6="","",V6*U6)</f>
        <v/>
      </c>
      <c r="X6">
        <f>IF($AH6="","",Settings!$C$7)</f>
        <v/>
      </c>
      <c r="Y6" s="7">
        <f>IF($AH6="","",SUMIFS('Per Line'!$V$2:$V$201,'Per Line'!$D$2:$D$201,$B6,'Per Line'!$AM$2:$AM$201,0,'Per Line'!$AN$2:$AN$201,0))</f>
        <v/>
      </c>
      <c r="Z6" s="7">
        <f>IF($AH6="","",Y6*X6)</f>
        <v/>
      </c>
      <c r="AA6">
        <f>IF($AH6="","",Settings!$C$6)</f>
        <v/>
      </c>
      <c r="AB6" s="7">
        <f>IF($AH6="","",SUMIFS('Per Line'!$V$2:$V$201,'Per Line'!$D$2:$D$201,$B6,'Per Line'!$AM$2:$AM$201,1,'Per Line'!$AN$2:$AN$201,0))</f>
        <v/>
      </c>
      <c r="AC6" s="7">
        <f>IF($AH6="","",AB6*AA6)</f>
        <v/>
      </c>
      <c r="AD6" s="7">
        <f>IF($AH6="","",AC6+Z6+W6)</f>
        <v/>
      </c>
      <c r="AE6" s="7">
        <f>IF($AH6="","",AF6-AD6)</f>
        <v/>
      </c>
      <c r="AF6" s="7">
        <f>IF($AH6="","",Y6+AB6+V6)</f>
        <v/>
      </c>
      <c r="AG6" s="7">
        <f>IF($AH6="","",AF6-AD6-N6)</f>
        <v/>
      </c>
      <c r="AH6" s="13">
        <f>IF(ROWS($AH$2:$AH6)&lt;=MAX('Per Line'!$AL$2:$AL$201),MATCH(ROWS($AH$2:$AH6),'Per Line'!$AL$2:$AL$201,0),"")</f>
        <v/>
      </c>
    </row>
    <row r="7">
      <c r="A7" s="12" t="n"/>
      <c r="B7">
        <f>IF($AH7="","",INDEX('Per Line'!$D$2:$D$201,$AH7)&amp;"")</f>
        <v/>
      </c>
      <c r="C7">
        <f>IF($AH7="","",INDEX('Per Line'!$A$2:$A$201,$AH7)&amp;"")</f>
        <v/>
      </c>
      <c r="D7">
        <f>IF($AH7="","",INDEX('Per Line'!$B$2:$B$201,$AH7))</f>
        <v/>
      </c>
      <c r="E7">
        <f>IF($AH7="","",INDEX('Per Line'!$C$2:$C$201,$AH7)&amp;"")</f>
        <v/>
      </c>
      <c r="F7">
        <f>IF($AH7="","",INDEX('Per Line'!$E$2:$E$201,$AH7)&amp;"")</f>
        <v/>
      </c>
      <c r="G7" s="11">
        <f>IF($AH7="","",INDEX('Per Line'!$F$2:$F$201,$AH7))</f>
        <v/>
      </c>
      <c r="H7">
        <f>IF($AH7="","",INDEX('Per Line'!$G$2:$G$201,$AH7)&amp;"")</f>
        <v/>
      </c>
      <c r="I7">
        <f>IF($AH7="","",INDEX('Per Line'!$I$2:$I$201,$AH7)&amp;"")</f>
        <v/>
      </c>
      <c r="J7">
        <f>IF($AH7="","",INDEX('Per Line'!$J$2:$J$201,$AH7)&amp;"")</f>
        <v/>
      </c>
      <c r="K7">
        <f>IF($AH7="","",INDEX('Per Line'!$K$2:$K$201,$AH7)&amp;"")</f>
        <v/>
      </c>
      <c r="L7">
        <f>IF($AH7="","",INDEX('Per Line'!$L$2:$L$201,$AH7)&amp;"")</f>
        <v/>
      </c>
      <c r="M7">
        <f>IF($AH7="","",INDEX('Per Line'!$M$2:$M$201,$AH7))</f>
        <v/>
      </c>
      <c r="N7" s="7">
        <f>IF($AH7="","",M7*AE7/100)</f>
        <v/>
      </c>
      <c r="O7">
        <f>IF($AH7="","",INDEX('Per Line'!$Z$2:$Z$201,$AH7)&amp;"")</f>
        <v/>
      </c>
      <c r="P7">
        <f>IF($AH7="","",INDEX('Per Line'!$AC$2:$AC$201,$AH7)&amp;"")</f>
        <v/>
      </c>
      <c r="Q7">
        <f>IF($AH7="","",INDEX('Per Line'!$AD$2:$AD$201,$AH7))</f>
        <v/>
      </c>
      <c r="R7">
        <f>IF($AH7="","",IF(AND(ISNUMBER(Q7),Q7&gt;0),AF7&gt;Q7,FALSE))</f>
        <v/>
      </c>
      <c r="S7">
        <f>IF($AH7="","",INDEX('Per Line'!$AH$2:$AH$201,$AH7)&amp;"")</f>
        <v/>
      </c>
      <c r="T7" s="11">
        <f>IF($AH7="","",INDEX('Per Line'!$AI$2:$AI$201,$AH7))</f>
        <v/>
      </c>
      <c r="U7">
        <f>IF($AH7="","",Settings!$C$8)</f>
        <v/>
      </c>
      <c r="V7" s="7">
        <f>IF($AH7="","",SUMIFS('Per Line'!$V$2:$V$201,'Per Line'!$D$2:$D$201,$B7,'Per Line'!$AN$2:$AN$201,1))</f>
        <v/>
      </c>
      <c r="W7" s="7">
        <f>IF($AH7="","",V7*U7)</f>
        <v/>
      </c>
      <c r="X7">
        <f>IF($AH7="","",Settings!$C$7)</f>
        <v/>
      </c>
      <c r="Y7" s="7">
        <f>IF($AH7="","",SUMIFS('Per Line'!$V$2:$V$201,'Per Line'!$D$2:$D$201,$B7,'Per Line'!$AM$2:$AM$201,0,'Per Line'!$AN$2:$AN$201,0))</f>
        <v/>
      </c>
      <c r="Z7" s="7">
        <f>IF($AH7="","",Y7*X7)</f>
        <v/>
      </c>
      <c r="AA7">
        <f>IF($AH7="","",Settings!$C$6)</f>
        <v/>
      </c>
      <c r="AB7" s="7">
        <f>IF($AH7="","",SUMIFS('Per Line'!$V$2:$V$201,'Per Line'!$D$2:$D$201,$B7,'Per Line'!$AM$2:$AM$201,1,'Per Line'!$AN$2:$AN$201,0))</f>
        <v/>
      </c>
      <c r="AC7" s="7">
        <f>IF($AH7="","",AB7*AA7)</f>
        <v/>
      </c>
      <c r="AD7" s="7">
        <f>IF($AH7="","",AC7+Z7+W7)</f>
        <v/>
      </c>
      <c r="AE7" s="7">
        <f>IF($AH7="","",AF7-AD7)</f>
        <v/>
      </c>
      <c r="AF7" s="7">
        <f>IF($AH7="","",Y7+AB7+V7)</f>
        <v/>
      </c>
      <c r="AG7" s="7">
        <f>IF($AH7="","",AF7-AD7-N7)</f>
        <v/>
      </c>
      <c r="AH7" s="13">
        <f>IF(ROWS($AH$2:$AH7)&lt;=MAX('Per Line'!$AL$2:$AL$201),MATCH(ROWS($AH$2:$AH7),'Per Line'!$AL$2:$AL$201,0),"")</f>
        <v/>
      </c>
    </row>
    <row r="8">
      <c r="A8" s="12" t="n"/>
      <c r="B8">
        <f>IF($AH8="","",INDEX('Per Line'!$D$2:$D$201,$AH8)&amp;"")</f>
        <v/>
      </c>
      <c r="C8">
        <f>IF($AH8="","",INDEX('Per Line'!$A$2:$A$201,$AH8)&amp;"")</f>
        <v/>
      </c>
      <c r="D8">
        <f>IF($AH8="","",INDEX('Per Line'!$B$2:$B$201,$AH8))</f>
        <v/>
      </c>
      <c r="E8">
        <f>IF($AH8="","",INDEX('Per Line'!$C$2:$C$201,$AH8)&amp;"")</f>
        <v/>
      </c>
      <c r="F8">
        <f>IF($AH8="","",INDEX('Per Line'!$E$2:$E$201,$AH8)&amp;"")</f>
        <v/>
      </c>
      <c r="G8" s="11">
        <f>IF($AH8="","",INDEX('Per Line'!$F$2:$F$201,$AH8))</f>
        <v/>
      </c>
      <c r="H8">
        <f>IF($AH8="","",INDEX('Per Line'!$G$2:$G$201,$AH8)&amp;"")</f>
        <v/>
      </c>
      <c r="I8">
        <f>IF($AH8="","",INDEX('Per Line'!$I$2:$I$201,$AH8)&amp;"")</f>
        <v/>
      </c>
      <c r="J8">
        <f>IF($AH8="","",INDEX('Per Line'!$J$2:$J$201,$AH8)&amp;"")</f>
        <v/>
      </c>
      <c r="K8">
        <f>IF($AH8="","",INDEX('Per Line'!$K$2:$K$201,$AH8)&amp;"")</f>
        <v/>
      </c>
      <c r="L8">
        <f>IF($AH8="","",INDEX('Per Line'!$L$2:$L$201,$AH8)&amp;"")</f>
        <v/>
      </c>
      <c r="M8">
        <f>IF($AH8="","",INDEX('Per Line'!$M$2:$M$201,$AH8))</f>
        <v/>
      </c>
      <c r="N8" s="7">
        <f>IF($AH8="","",M8*AE8/100)</f>
        <v/>
      </c>
      <c r="O8">
        <f>IF($AH8="","",INDEX('Per Line'!$Z$2:$Z$201,$AH8)&amp;"")</f>
        <v/>
      </c>
      <c r="P8">
        <f>IF($AH8="","",INDEX('Per Line'!$AC$2:$AC$201,$AH8)&amp;"")</f>
        <v/>
      </c>
      <c r="Q8">
        <f>IF($AH8="","",INDEX('Per Line'!$AD$2:$AD$201,$AH8))</f>
        <v/>
      </c>
      <c r="R8">
        <f>IF($AH8="","",IF(AND(ISNUMBER(Q8),Q8&gt;0),AF8&gt;Q8,FALSE))</f>
        <v/>
      </c>
      <c r="S8">
        <f>IF($AH8="","",INDEX('Per Line'!$AH$2:$AH$201,$AH8)&amp;"")</f>
        <v/>
      </c>
      <c r="T8" s="11">
        <f>IF($AH8="","",INDEX('Per Line'!$AI$2:$AI$201,$AH8))</f>
        <v/>
      </c>
      <c r="U8">
        <f>IF($AH8="","",Settings!$C$8)</f>
        <v/>
      </c>
      <c r="V8" s="7">
        <f>IF($AH8="","",SUMIFS('Per Line'!$V$2:$V$201,'Per Line'!$D$2:$D$201,$B8,'Per Line'!$AN$2:$AN$201,1))</f>
        <v/>
      </c>
      <c r="W8" s="7">
        <f>IF($AH8="","",V8*U8)</f>
        <v/>
      </c>
      <c r="X8">
        <f>IF($AH8="","",Settings!$C$7)</f>
        <v/>
      </c>
      <c r="Y8" s="7">
        <f>IF($AH8="","",SUMIFS('Per Line'!$V$2:$V$201,'Per Line'!$D$2:$D$201,$B8,'Per Line'!$AM$2:$AM$201,0,'Per Line'!$AN$2:$AN$201,0))</f>
        <v/>
      </c>
      <c r="Z8" s="7">
        <f>IF($AH8="","",Y8*X8)</f>
        <v/>
      </c>
      <c r="AA8">
        <f>IF($AH8="","",Settings!$C$6)</f>
        <v/>
      </c>
      <c r="AB8" s="7">
        <f>IF($AH8="","",SUMIFS('Per Line'!$V$2:$V$201,'Per Line'!$D$2:$D$201,$B8,'Per Line'!$AM$2:$AM$201,1,'Per Line'!$AN$2:$AN$201,0))</f>
        <v/>
      </c>
      <c r="AC8" s="7">
        <f>IF($AH8="","",AB8*AA8)</f>
        <v/>
      </c>
      <c r="AD8" s="7">
        <f>IF($AH8="","",AC8+Z8+W8)</f>
        <v/>
      </c>
      <c r="AE8" s="7">
        <f>IF($AH8="","",AF8-AD8)</f>
        <v/>
      </c>
      <c r="AF8" s="7">
        <f>IF($AH8="","",Y8+AB8+V8)</f>
        <v/>
      </c>
      <c r="AG8" s="7">
        <f>IF($AH8="","",AF8-AD8-N8)</f>
        <v/>
      </c>
      <c r="AH8" s="13">
        <f>IF(ROWS($AH$2:$AH8)&lt;=MAX('Per Line'!$AL$2:$AL$201),MATCH(ROWS($AH$2:$AH8),'Per Line'!$AL$2:$AL$201,0),"")</f>
        <v/>
      </c>
    </row>
    <row r="9">
      <c r="A9" s="12" t="n"/>
      <c r="B9">
        <f>IF($AH9="","",INDEX('Per Line'!$D$2:$D$201,$AH9)&amp;"")</f>
        <v/>
      </c>
      <c r="C9">
        <f>IF($AH9="","",INDEX('Per Line'!$A$2:$A$201,$AH9)&amp;"")</f>
        <v/>
      </c>
      <c r="D9">
        <f>IF($AH9="","",INDEX('Per Line'!$B$2:$B$201,$AH9))</f>
        <v/>
      </c>
      <c r="E9">
        <f>IF($AH9="","",INDEX('Per Line'!$C$2:$C$201,$AH9)&amp;"")</f>
        <v/>
      </c>
      <c r="F9">
        <f>IF($AH9="","",INDEX('Per Line'!$E$2:$E$201,$AH9)&amp;"")</f>
        <v/>
      </c>
      <c r="G9" s="11">
        <f>IF($AH9="","",INDEX('Per Line'!$F$2:$F$201,$AH9))</f>
        <v/>
      </c>
      <c r="H9">
        <f>IF($AH9="","",INDEX('Per Line'!$G$2:$G$201,$AH9)&amp;"")</f>
        <v/>
      </c>
      <c r="I9">
        <f>IF($AH9="","",INDEX('Per Line'!$I$2:$I$201,$AH9)&amp;"")</f>
        <v/>
      </c>
      <c r="J9">
        <f>IF($AH9="","",INDEX('Per Line'!$J$2:$J$201,$AH9)&amp;"")</f>
        <v/>
      </c>
      <c r="K9">
        <f>IF($AH9="","",INDEX('Per Line'!$K$2:$K$201,$AH9)&amp;"")</f>
        <v/>
      </c>
      <c r="L9">
        <f>IF($AH9="","",INDEX('Per Line'!$L$2:$L$201,$AH9)&amp;"")</f>
        <v/>
      </c>
      <c r="M9">
        <f>IF($AH9="","",INDEX('Per Line'!$M$2:$M$201,$AH9))</f>
        <v/>
      </c>
      <c r="N9" s="7">
        <f>IF($AH9="","",M9*AE9/100)</f>
        <v/>
      </c>
      <c r="O9">
        <f>IF($AH9="","",INDEX('Per Line'!$Z$2:$Z$201,$AH9)&amp;"")</f>
        <v/>
      </c>
      <c r="P9">
        <f>IF($AH9="","",INDEX('Per Line'!$AC$2:$AC$201,$AH9)&amp;"")</f>
        <v/>
      </c>
      <c r="Q9">
        <f>IF($AH9="","",INDEX('Per Line'!$AD$2:$AD$201,$AH9))</f>
        <v/>
      </c>
      <c r="R9">
        <f>IF($AH9="","",IF(AND(ISNUMBER(Q9),Q9&gt;0),AF9&gt;Q9,FALSE))</f>
        <v/>
      </c>
      <c r="S9">
        <f>IF($AH9="","",INDEX('Per Line'!$AH$2:$AH$201,$AH9)&amp;"")</f>
        <v/>
      </c>
      <c r="T9" s="11">
        <f>IF($AH9="","",INDEX('Per Line'!$AI$2:$AI$201,$AH9))</f>
        <v/>
      </c>
      <c r="U9">
        <f>IF($AH9="","",Settings!$C$8)</f>
        <v/>
      </c>
      <c r="V9" s="7">
        <f>IF($AH9="","",SUMIFS('Per Line'!$V$2:$V$201,'Per Line'!$D$2:$D$201,$B9,'Per Line'!$AN$2:$AN$201,1))</f>
        <v/>
      </c>
      <c r="W9" s="7">
        <f>IF($AH9="","",V9*U9)</f>
        <v/>
      </c>
      <c r="X9">
        <f>IF($AH9="","",Settings!$C$7)</f>
        <v/>
      </c>
      <c r="Y9" s="7">
        <f>IF($AH9="","",SUMIFS('Per Line'!$V$2:$V$201,'Per Line'!$D$2:$D$201,$B9,'Per Line'!$AM$2:$AM$201,0,'Per Line'!$AN$2:$AN$201,0))</f>
        <v/>
      </c>
      <c r="Z9" s="7">
        <f>IF($AH9="","",Y9*X9)</f>
        <v/>
      </c>
      <c r="AA9">
        <f>IF($AH9="","",Settings!$C$6)</f>
        <v/>
      </c>
      <c r="AB9" s="7">
        <f>IF($AH9="","",SUMIFS('Per Line'!$V$2:$V$201,'Per Line'!$D$2:$D$201,$B9,'Per Line'!$AM$2:$AM$201,1,'Per Line'!$AN$2:$AN$201,0))</f>
        <v/>
      </c>
      <c r="AC9" s="7">
        <f>IF($AH9="","",AB9*AA9)</f>
        <v/>
      </c>
      <c r="AD9" s="7">
        <f>IF($AH9="","",AC9+Z9+W9)</f>
        <v/>
      </c>
      <c r="AE9" s="7">
        <f>IF($AH9="","",AF9-AD9)</f>
        <v/>
      </c>
      <c r="AF9" s="7">
        <f>IF($AH9="","",Y9+AB9+V9)</f>
        <v/>
      </c>
      <c r="AG9" s="7">
        <f>IF($AH9="","",AF9-AD9-N9)</f>
        <v/>
      </c>
      <c r="AH9" s="13">
        <f>IF(ROWS($AH$2:$AH9)&lt;=MAX('Per Line'!$AL$2:$AL$201),MATCH(ROWS($AH$2:$AH9),'Per Line'!$AL$2:$AL$201,0),"")</f>
        <v/>
      </c>
    </row>
    <row r="10">
      <c r="A10" s="12" t="n"/>
      <c r="B10">
        <f>IF($AH10="","",INDEX('Per Line'!$D$2:$D$201,$AH10)&amp;"")</f>
        <v/>
      </c>
      <c r="C10">
        <f>IF($AH10="","",INDEX('Per Line'!$A$2:$A$201,$AH10)&amp;"")</f>
        <v/>
      </c>
      <c r="D10">
        <f>IF($AH10="","",INDEX('Per Line'!$B$2:$B$201,$AH10))</f>
        <v/>
      </c>
      <c r="E10">
        <f>IF($AH10="","",INDEX('Per Line'!$C$2:$C$201,$AH10)&amp;"")</f>
        <v/>
      </c>
      <c r="F10">
        <f>IF($AH10="","",INDEX('Per Line'!$E$2:$E$201,$AH10)&amp;"")</f>
        <v/>
      </c>
      <c r="G10" s="11">
        <f>IF($AH10="","",INDEX('Per Line'!$F$2:$F$201,$AH10))</f>
        <v/>
      </c>
      <c r="H10">
        <f>IF($AH10="","",INDEX('Per Line'!$G$2:$G$201,$AH10)&amp;"")</f>
        <v/>
      </c>
      <c r="I10">
        <f>IF($AH10="","",INDEX('Per Line'!$I$2:$I$201,$AH10)&amp;"")</f>
        <v/>
      </c>
      <c r="J10">
        <f>IF($AH10="","",INDEX('Per Line'!$J$2:$J$201,$AH10)&amp;"")</f>
        <v/>
      </c>
      <c r="K10">
        <f>IF($AH10="","",INDEX('Per Line'!$K$2:$K$201,$AH10)&amp;"")</f>
        <v/>
      </c>
      <c r="L10">
        <f>IF($AH10="","",INDEX('Per Line'!$L$2:$L$201,$AH10)&amp;"")</f>
        <v/>
      </c>
      <c r="M10">
        <f>IF($AH10="","",INDEX('Per Line'!$M$2:$M$201,$AH10))</f>
        <v/>
      </c>
      <c r="N10" s="7">
        <f>IF($AH10="","",M10*AE10/100)</f>
        <v/>
      </c>
      <c r="O10">
        <f>IF($AH10="","",INDEX('Per Line'!$Z$2:$Z$201,$AH10)&amp;"")</f>
        <v/>
      </c>
      <c r="P10">
        <f>IF($AH10="","",INDEX('Per Line'!$AC$2:$AC$201,$AH10)&amp;"")</f>
        <v/>
      </c>
      <c r="Q10">
        <f>IF($AH10="","",INDEX('Per Line'!$AD$2:$AD$201,$AH10))</f>
        <v/>
      </c>
      <c r="R10">
        <f>IF($AH10="","",IF(AND(ISNUMBER(Q10),Q10&gt;0),AF10&gt;Q10,FALSE))</f>
        <v/>
      </c>
      <c r="S10">
        <f>IF($AH10="","",INDEX('Per Line'!$AH$2:$AH$201,$AH10)&amp;"")</f>
        <v/>
      </c>
      <c r="T10" s="11">
        <f>IF($AH10="","",INDEX('Per Line'!$AI$2:$AI$201,$AH10))</f>
        <v/>
      </c>
      <c r="U10">
        <f>IF($AH10="","",Settings!$C$8)</f>
        <v/>
      </c>
      <c r="V10" s="7">
        <f>IF($AH10="","",SUMIFS('Per Line'!$V$2:$V$201,'Per Line'!$D$2:$D$201,$B10,'Per Line'!$AN$2:$AN$201,1))</f>
        <v/>
      </c>
      <c r="W10" s="7">
        <f>IF($AH10="","",V10*U10)</f>
        <v/>
      </c>
      <c r="X10">
        <f>IF($AH10="","",Settings!$C$7)</f>
        <v/>
      </c>
      <c r="Y10" s="7">
        <f>IF($AH10="","",SUMIFS('Per Line'!$V$2:$V$201,'Per Line'!$D$2:$D$201,$B10,'Per Line'!$AM$2:$AM$201,0,'Per Line'!$AN$2:$AN$201,0))</f>
        <v/>
      </c>
      <c r="Z10" s="7">
        <f>IF($AH10="","",Y10*X10)</f>
        <v/>
      </c>
      <c r="AA10">
        <f>IF($AH10="","",Settings!$C$6)</f>
        <v/>
      </c>
      <c r="AB10" s="7">
        <f>IF($AH10="","",SUMIFS('Per Line'!$V$2:$V$201,'Per Line'!$D$2:$D$201,$B10,'Per Line'!$AM$2:$AM$201,1,'Per Line'!$AN$2:$AN$201,0))</f>
        <v/>
      </c>
      <c r="AC10" s="7">
        <f>IF($AH10="","",AB10*AA10)</f>
        <v/>
      </c>
      <c r="AD10" s="7">
        <f>IF($AH10="","",AC10+Z10+W10)</f>
        <v/>
      </c>
      <c r="AE10" s="7">
        <f>IF($AH10="","",AF10-AD10)</f>
        <v/>
      </c>
      <c r="AF10" s="7">
        <f>IF($AH10="","",Y10+AB10+V10)</f>
        <v/>
      </c>
      <c r="AG10" s="7">
        <f>IF($AH10="","",AF10-AD10-N10)</f>
        <v/>
      </c>
      <c r="AH10" s="13">
        <f>IF(ROWS($AH$2:$AH10)&lt;=MAX('Per Line'!$AL$2:$AL$201),MATCH(ROWS($AH$2:$AH10),'Per Line'!$AL$2:$AL$201,0),"")</f>
        <v/>
      </c>
    </row>
    <row r="11">
      <c r="A11" s="12" t="n"/>
      <c r="B11">
        <f>IF($AH11="","",INDEX('Per Line'!$D$2:$D$201,$AH11)&amp;"")</f>
        <v/>
      </c>
      <c r="C11">
        <f>IF($AH11="","",INDEX('Per Line'!$A$2:$A$201,$AH11)&amp;"")</f>
        <v/>
      </c>
      <c r="D11">
        <f>IF($AH11="","",INDEX('Per Line'!$B$2:$B$201,$AH11))</f>
        <v/>
      </c>
      <c r="E11">
        <f>IF($AH11="","",INDEX('Per Line'!$C$2:$C$201,$AH11)&amp;"")</f>
        <v/>
      </c>
      <c r="F11">
        <f>IF($AH11="","",INDEX('Per Line'!$E$2:$E$201,$AH11)&amp;"")</f>
        <v/>
      </c>
      <c r="G11" s="11">
        <f>IF($AH11="","",INDEX('Per Line'!$F$2:$F$201,$AH11))</f>
        <v/>
      </c>
      <c r="H11">
        <f>IF($AH11="","",INDEX('Per Line'!$G$2:$G$201,$AH11)&amp;"")</f>
        <v/>
      </c>
      <c r="I11">
        <f>IF($AH11="","",INDEX('Per Line'!$I$2:$I$201,$AH11)&amp;"")</f>
        <v/>
      </c>
      <c r="J11">
        <f>IF($AH11="","",INDEX('Per Line'!$J$2:$J$201,$AH11)&amp;"")</f>
        <v/>
      </c>
      <c r="K11">
        <f>IF($AH11="","",INDEX('Per Line'!$K$2:$K$201,$AH11)&amp;"")</f>
        <v/>
      </c>
      <c r="L11">
        <f>IF($AH11="","",INDEX('Per Line'!$L$2:$L$201,$AH11)&amp;"")</f>
        <v/>
      </c>
      <c r="M11">
        <f>IF($AH11="","",INDEX('Per Line'!$M$2:$M$201,$AH11))</f>
        <v/>
      </c>
      <c r="N11" s="7">
        <f>IF($AH11="","",M11*AE11/100)</f>
        <v/>
      </c>
      <c r="O11">
        <f>IF($AH11="","",INDEX('Per Line'!$Z$2:$Z$201,$AH11)&amp;"")</f>
        <v/>
      </c>
      <c r="P11">
        <f>IF($AH11="","",INDEX('Per Line'!$AC$2:$AC$201,$AH11)&amp;"")</f>
        <v/>
      </c>
      <c r="Q11">
        <f>IF($AH11="","",INDEX('Per Line'!$AD$2:$AD$201,$AH11))</f>
        <v/>
      </c>
      <c r="R11">
        <f>IF($AH11="","",IF(AND(ISNUMBER(Q11),Q11&gt;0),AF11&gt;Q11,FALSE))</f>
        <v/>
      </c>
      <c r="S11">
        <f>IF($AH11="","",INDEX('Per Line'!$AH$2:$AH$201,$AH11)&amp;"")</f>
        <v/>
      </c>
      <c r="T11" s="11">
        <f>IF($AH11="","",INDEX('Per Line'!$AI$2:$AI$201,$AH11))</f>
        <v/>
      </c>
      <c r="U11">
        <f>IF($AH11="","",Settings!$C$8)</f>
        <v/>
      </c>
      <c r="V11" s="7">
        <f>IF($AH11="","",SUMIFS('Per Line'!$V$2:$V$201,'Per Line'!$D$2:$D$201,$B11,'Per Line'!$AN$2:$AN$201,1))</f>
        <v/>
      </c>
      <c r="W11" s="7">
        <f>IF($AH11="","",V11*U11)</f>
        <v/>
      </c>
      <c r="X11">
        <f>IF($AH11="","",Settings!$C$7)</f>
        <v/>
      </c>
      <c r="Y11" s="7">
        <f>IF($AH11="","",SUMIFS('Per Line'!$V$2:$V$201,'Per Line'!$D$2:$D$201,$B11,'Per Line'!$AM$2:$AM$201,0,'Per Line'!$AN$2:$AN$201,0))</f>
        <v/>
      </c>
      <c r="Z11" s="7">
        <f>IF($AH11="","",Y11*X11)</f>
        <v/>
      </c>
      <c r="AA11">
        <f>IF($AH11="","",Settings!$C$6)</f>
        <v/>
      </c>
      <c r="AB11" s="7">
        <f>IF($AH11="","",SUMIFS('Per Line'!$V$2:$V$201,'Per Line'!$D$2:$D$201,$B11,'Per Line'!$AM$2:$AM$201,1,'Per Line'!$AN$2:$AN$201,0))</f>
        <v/>
      </c>
      <c r="AC11" s="7">
        <f>IF($AH11="","",AB11*AA11)</f>
        <v/>
      </c>
      <c r="AD11" s="7">
        <f>IF($AH11="","",AC11+Z11+W11)</f>
        <v/>
      </c>
      <c r="AE11" s="7">
        <f>IF($AH11="","",AF11-AD11)</f>
        <v/>
      </c>
      <c r="AF11" s="7">
        <f>IF($AH11="","",Y11+AB11+V11)</f>
        <v/>
      </c>
      <c r="AG11" s="7">
        <f>IF($AH11="","",AF11-AD11-N11)</f>
        <v/>
      </c>
      <c r="AH11" s="13">
        <f>IF(ROWS($AH$2:$AH11)&lt;=MAX('Per Line'!$AL$2:$AL$201),MATCH(ROWS($AH$2:$AH11),'Per Line'!$AL$2:$AL$201,0),"")</f>
        <v/>
      </c>
    </row>
    <row r="12">
      <c r="A12" s="12" t="n"/>
      <c r="B12">
        <f>IF($AH12="","",INDEX('Per Line'!$D$2:$D$201,$AH12)&amp;"")</f>
        <v/>
      </c>
      <c r="C12">
        <f>IF($AH12="","",INDEX('Per Line'!$A$2:$A$201,$AH12)&amp;"")</f>
        <v/>
      </c>
      <c r="D12">
        <f>IF($AH12="","",INDEX('Per Line'!$B$2:$B$201,$AH12))</f>
        <v/>
      </c>
      <c r="E12">
        <f>IF($AH12="","",INDEX('Per Line'!$C$2:$C$201,$AH12)&amp;"")</f>
        <v/>
      </c>
      <c r="F12">
        <f>IF($AH12="","",INDEX('Per Line'!$E$2:$E$201,$AH12)&amp;"")</f>
        <v/>
      </c>
      <c r="G12" s="11">
        <f>IF($AH12="","",INDEX('Per Line'!$F$2:$F$201,$AH12))</f>
        <v/>
      </c>
      <c r="H12">
        <f>IF($AH12="","",INDEX('Per Line'!$G$2:$G$201,$AH12)&amp;"")</f>
        <v/>
      </c>
      <c r="I12">
        <f>IF($AH12="","",INDEX('Per Line'!$I$2:$I$201,$AH12)&amp;"")</f>
        <v/>
      </c>
      <c r="J12">
        <f>IF($AH12="","",INDEX('Per Line'!$J$2:$J$201,$AH12)&amp;"")</f>
        <v/>
      </c>
      <c r="K12">
        <f>IF($AH12="","",INDEX('Per Line'!$K$2:$K$201,$AH12)&amp;"")</f>
        <v/>
      </c>
      <c r="L12">
        <f>IF($AH12="","",INDEX('Per Line'!$L$2:$L$201,$AH12)&amp;"")</f>
        <v/>
      </c>
      <c r="M12">
        <f>IF($AH12="","",INDEX('Per Line'!$M$2:$M$201,$AH12))</f>
        <v/>
      </c>
      <c r="N12" s="7">
        <f>IF($AH12="","",M12*AE12/100)</f>
        <v/>
      </c>
      <c r="O12">
        <f>IF($AH12="","",INDEX('Per Line'!$Z$2:$Z$201,$AH12)&amp;"")</f>
        <v/>
      </c>
      <c r="P12">
        <f>IF($AH12="","",INDEX('Per Line'!$AC$2:$AC$201,$AH12)&amp;"")</f>
        <v/>
      </c>
      <c r="Q12">
        <f>IF($AH12="","",INDEX('Per Line'!$AD$2:$AD$201,$AH12))</f>
        <v/>
      </c>
      <c r="R12">
        <f>IF($AH12="","",IF(AND(ISNUMBER(Q12),Q12&gt;0),AF12&gt;Q12,FALSE))</f>
        <v/>
      </c>
      <c r="S12">
        <f>IF($AH12="","",INDEX('Per Line'!$AH$2:$AH$201,$AH12)&amp;"")</f>
        <v/>
      </c>
      <c r="T12" s="11">
        <f>IF($AH12="","",INDEX('Per Line'!$AI$2:$AI$201,$AH12))</f>
        <v/>
      </c>
      <c r="U12">
        <f>IF($AH12="","",Settings!$C$8)</f>
        <v/>
      </c>
      <c r="V12" s="7">
        <f>IF($AH12="","",SUMIFS('Per Line'!$V$2:$V$201,'Per Line'!$D$2:$D$201,$B12,'Per Line'!$AN$2:$AN$201,1))</f>
        <v/>
      </c>
      <c r="W12" s="7">
        <f>IF($AH12="","",V12*U12)</f>
        <v/>
      </c>
      <c r="X12">
        <f>IF($AH12="","",Settings!$C$7)</f>
        <v/>
      </c>
      <c r="Y12" s="7">
        <f>IF($AH12="","",SUMIFS('Per Line'!$V$2:$V$201,'Per Line'!$D$2:$D$201,$B12,'Per Line'!$AM$2:$AM$201,0,'Per Line'!$AN$2:$AN$201,0))</f>
        <v/>
      </c>
      <c r="Z12" s="7">
        <f>IF($AH12="","",Y12*X12)</f>
        <v/>
      </c>
      <c r="AA12">
        <f>IF($AH12="","",Settings!$C$6)</f>
        <v/>
      </c>
      <c r="AB12" s="7">
        <f>IF($AH12="","",SUMIFS('Per Line'!$V$2:$V$201,'Per Line'!$D$2:$D$201,$B12,'Per Line'!$AM$2:$AM$201,1,'Per Line'!$AN$2:$AN$201,0))</f>
        <v/>
      </c>
      <c r="AC12" s="7">
        <f>IF($AH12="","",AB12*AA12)</f>
        <v/>
      </c>
      <c r="AD12" s="7">
        <f>IF($AH12="","",AC12+Z12+W12)</f>
        <v/>
      </c>
      <c r="AE12" s="7">
        <f>IF($AH12="","",AF12-AD12)</f>
        <v/>
      </c>
      <c r="AF12" s="7">
        <f>IF($AH12="","",Y12+AB12+V12)</f>
        <v/>
      </c>
      <c r="AG12" s="7">
        <f>IF($AH12="","",AF12-AD12-N12)</f>
        <v/>
      </c>
      <c r="AH12" s="13">
        <f>IF(ROWS($AH$2:$AH12)&lt;=MAX('Per Line'!$AL$2:$AL$201),MATCH(ROWS($AH$2:$AH12),'Per Line'!$AL$2:$AL$201,0),"")</f>
        <v/>
      </c>
    </row>
    <row r="13">
      <c r="A13" s="12" t="n"/>
      <c r="B13">
        <f>IF($AH13="","",INDEX('Per Line'!$D$2:$D$201,$AH13)&amp;"")</f>
        <v/>
      </c>
      <c r="C13">
        <f>IF($AH13="","",INDEX('Per Line'!$A$2:$A$201,$AH13)&amp;"")</f>
        <v/>
      </c>
      <c r="D13">
        <f>IF($AH13="","",INDEX('Per Line'!$B$2:$B$201,$AH13))</f>
        <v/>
      </c>
      <c r="E13">
        <f>IF($AH13="","",INDEX('Per Line'!$C$2:$C$201,$AH13)&amp;"")</f>
        <v/>
      </c>
      <c r="F13">
        <f>IF($AH13="","",INDEX('Per Line'!$E$2:$E$201,$AH13)&amp;"")</f>
        <v/>
      </c>
      <c r="G13" s="11">
        <f>IF($AH13="","",INDEX('Per Line'!$F$2:$F$201,$AH13))</f>
        <v/>
      </c>
      <c r="H13">
        <f>IF($AH13="","",INDEX('Per Line'!$G$2:$G$201,$AH13)&amp;"")</f>
        <v/>
      </c>
      <c r="I13">
        <f>IF($AH13="","",INDEX('Per Line'!$I$2:$I$201,$AH13)&amp;"")</f>
        <v/>
      </c>
      <c r="J13">
        <f>IF($AH13="","",INDEX('Per Line'!$J$2:$J$201,$AH13)&amp;"")</f>
        <v/>
      </c>
      <c r="K13">
        <f>IF($AH13="","",INDEX('Per Line'!$K$2:$K$201,$AH13)&amp;"")</f>
        <v/>
      </c>
      <c r="L13">
        <f>IF($AH13="","",INDEX('Per Line'!$L$2:$L$201,$AH13)&amp;"")</f>
        <v/>
      </c>
      <c r="M13">
        <f>IF($AH13="","",INDEX('Per Line'!$M$2:$M$201,$AH13))</f>
        <v/>
      </c>
      <c r="N13" s="7">
        <f>IF($AH13="","",M13*AE13/100)</f>
        <v/>
      </c>
      <c r="O13">
        <f>IF($AH13="","",INDEX('Per Line'!$Z$2:$Z$201,$AH13)&amp;"")</f>
        <v/>
      </c>
      <c r="P13">
        <f>IF($AH13="","",INDEX('Per Line'!$AC$2:$AC$201,$AH13)&amp;"")</f>
        <v/>
      </c>
      <c r="Q13">
        <f>IF($AH13="","",INDEX('Per Line'!$AD$2:$AD$201,$AH13))</f>
        <v/>
      </c>
      <c r="R13">
        <f>IF($AH13="","",IF(AND(ISNUMBER(Q13),Q13&gt;0),AF13&gt;Q13,FALSE))</f>
        <v/>
      </c>
      <c r="S13">
        <f>IF($AH13="","",INDEX('Per Line'!$AH$2:$AH$201,$AH13)&amp;"")</f>
        <v/>
      </c>
      <c r="T13" s="11">
        <f>IF($AH13="","",INDEX('Per Line'!$AI$2:$AI$201,$AH13))</f>
        <v/>
      </c>
      <c r="U13">
        <f>IF($AH13="","",Settings!$C$8)</f>
        <v/>
      </c>
      <c r="V13" s="7">
        <f>IF($AH13="","",SUMIFS('Per Line'!$V$2:$V$201,'Per Line'!$D$2:$D$201,$B13,'Per Line'!$AN$2:$AN$201,1))</f>
        <v/>
      </c>
      <c r="W13" s="7">
        <f>IF($AH13="","",V13*U13)</f>
        <v/>
      </c>
      <c r="X13">
        <f>IF($AH13="","",Settings!$C$7)</f>
        <v/>
      </c>
      <c r="Y13" s="7">
        <f>IF($AH13="","",SUMIFS('Per Line'!$V$2:$V$201,'Per Line'!$D$2:$D$201,$B13,'Per Line'!$AM$2:$AM$201,0,'Per Line'!$AN$2:$AN$201,0))</f>
        <v/>
      </c>
      <c r="Z13" s="7">
        <f>IF($AH13="","",Y13*X13)</f>
        <v/>
      </c>
      <c r="AA13">
        <f>IF($AH13="","",Settings!$C$6)</f>
        <v/>
      </c>
      <c r="AB13" s="7">
        <f>IF($AH13="","",SUMIFS('Per Line'!$V$2:$V$201,'Per Line'!$D$2:$D$201,$B13,'Per Line'!$AM$2:$AM$201,1,'Per Line'!$AN$2:$AN$201,0))</f>
        <v/>
      </c>
      <c r="AC13" s="7">
        <f>IF($AH13="","",AB13*AA13)</f>
        <v/>
      </c>
      <c r="AD13" s="7">
        <f>IF($AH13="","",AC13+Z13+W13)</f>
        <v/>
      </c>
      <c r="AE13" s="7">
        <f>IF($AH13="","",AF13-AD13)</f>
        <v/>
      </c>
      <c r="AF13" s="7">
        <f>IF($AH13="","",Y13+AB13+V13)</f>
        <v/>
      </c>
      <c r="AG13" s="7">
        <f>IF($AH13="","",AF13-AD13-N13)</f>
        <v/>
      </c>
      <c r="AH13" s="13">
        <f>IF(ROWS($AH$2:$AH13)&lt;=MAX('Per Line'!$AL$2:$AL$201),MATCH(ROWS($AH$2:$AH13),'Per Line'!$AL$2:$AL$201,0),"")</f>
        <v/>
      </c>
    </row>
    <row r="14">
      <c r="A14" s="12" t="n"/>
      <c r="B14">
        <f>IF($AH14="","",INDEX('Per Line'!$D$2:$D$201,$AH14)&amp;"")</f>
        <v/>
      </c>
      <c r="C14">
        <f>IF($AH14="","",INDEX('Per Line'!$A$2:$A$201,$AH14)&amp;"")</f>
        <v/>
      </c>
      <c r="D14">
        <f>IF($AH14="","",INDEX('Per Line'!$B$2:$B$201,$AH14))</f>
        <v/>
      </c>
      <c r="E14">
        <f>IF($AH14="","",INDEX('Per Line'!$C$2:$C$201,$AH14)&amp;"")</f>
        <v/>
      </c>
      <c r="F14">
        <f>IF($AH14="","",INDEX('Per Line'!$E$2:$E$201,$AH14)&amp;"")</f>
        <v/>
      </c>
      <c r="G14" s="11">
        <f>IF($AH14="","",INDEX('Per Line'!$F$2:$F$201,$AH14))</f>
        <v/>
      </c>
      <c r="H14">
        <f>IF($AH14="","",INDEX('Per Line'!$G$2:$G$201,$AH14)&amp;"")</f>
        <v/>
      </c>
      <c r="I14">
        <f>IF($AH14="","",INDEX('Per Line'!$I$2:$I$201,$AH14)&amp;"")</f>
        <v/>
      </c>
      <c r="J14">
        <f>IF($AH14="","",INDEX('Per Line'!$J$2:$J$201,$AH14)&amp;"")</f>
        <v/>
      </c>
      <c r="K14">
        <f>IF($AH14="","",INDEX('Per Line'!$K$2:$K$201,$AH14)&amp;"")</f>
        <v/>
      </c>
      <c r="L14">
        <f>IF($AH14="","",INDEX('Per Line'!$L$2:$L$201,$AH14)&amp;"")</f>
        <v/>
      </c>
      <c r="M14">
        <f>IF($AH14="","",INDEX('Per Line'!$M$2:$M$201,$AH14))</f>
        <v/>
      </c>
      <c r="N14" s="7">
        <f>IF($AH14="","",M14*AE14/100)</f>
        <v/>
      </c>
      <c r="O14">
        <f>IF($AH14="","",INDEX('Per Line'!$Z$2:$Z$201,$AH14)&amp;"")</f>
        <v/>
      </c>
      <c r="P14">
        <f>IF($AH14="","",INDEX('Per Line'!$AC$2:$AC$201,$AH14)&amp;"")</f>
        <v/>
      </c>
      <c r="Q14">
        <f>IF($AH14="","",INDEX('Per Line'!$AD$2:$AD$201,$AH14))</f>
        <v/>
      </c>
      <c r="R14">
        <f>IF($AH14="","",IF(AND(ISNUMBER(Q14),Q14&gt;0),AF14&gt;Q14,FALSE))</f>
        <v/>
      </c>
      <c r="S14">
        <f>IF($AH14="","",INDEX('Per Line'!$AH$2:$AH$201,$AH14)&amp;"")</f>
        <v/>
      </c>
      <c r="T14" s="11">
        <f>IF($AH14="","",INDEX('Per Line'!$AI$2:$AI$201,$AH14))</f>
        <v/>
      </c>
      <c r="U14">
        <f>IF($AH14="","",Settings!$C$8)</f>
        <v/>
      </c>
      <c r="V14" s="7">
        <f>IF($AH14="","",SUMIFS('Per Line'!$V$2:$V$201,'Per Line'!$D$2:$D$201,$B14,'Per Line'!$AN$2:$AN$201,1))</f>
        <v/>
      </c>
      <c r="W14" s="7">
        <f>IF($AH14="","",V14*U14)</f>
        <v/>
      </c>
      <c r="X14">
        <f>IF($AH14="","",Settings!$C$7)</f>
        <v/>
      </c>
      <c r="Y14" s="7">
        <f>IF($AH14="","",SUMIFS('Per Line'!$V$2:$V$201,'Per Line'!$D$2:$D$201,$B14,'Per Line'!$AM$2:$AM$201,0,'Per Line'!$AN$2:$AN$201,0))</f>
        <v/>
      </c>
      <c r="Z14" s="7">
        <f>IF($AH14="","",Y14*X14)</f>
        <v/>
      </c>
      <c r="AA14">
        <f>IF($AH14="","",Settings!$C$6)</f>
        <v/>
      </c>
      <c r="AB14" s="7">
        <f>IF($AH14="","",SUMIFS('Per Line'!$V$2:$V$201,'Per Line'!$D$2:$D$201,$B14,'Per Line'!$AM$2:$AM$201,1,'Per Line'!$AN$2:$AN$201,0))</f>
        <v/>
      </c>
      <c r="AC14" s="7">
        <f>IF($AH14="","",AB14*AA14)</f>
        <v/>
      </c>
      <c r="AD14" s="7">
        <f>IF($AH14="","",AC14+Z14+W14)</f>
        <v/>
      </c>
      <c r="AE14" s="7">
        <f>IF($AH14="","",AF14-AD14)</f>
        <v/>
      </c>
      <c r="AF14" s="7">
        <f>IF($AH14="","",Y14+AB14+V14)</f>
        <v/>
      </c>
      <c r="AG14" s="7">
        <f>IF($AH14="","",AF14-AD14-N14)</f>
        <v/>
      </c>
      <c r="AH14" s="13">
        <f>IF(ROWS($AH$2:$AH14)&lt;=MAX('Per Line'!$AL$2:$AL$201),MATCH(ROWS($AH$2:$AH14),'Per Line'!$AL$2:$AL$201,0),"")</f>
        <v/>
      </c>
    </row>
    <row r="15">
      <c r="A15" s="12" t="n"/>
      <c r="B15">
        <f>IF($AH15="","",INDEX('Per Line'!$D$2:$D$201,$AH15)&amp;"")</f>
        <v/>
      </c>
      <c r="C15">
        <f>IF($AH15="","",INDEX('Per Line'!$A$2:$A$201,$AH15)&amp;"")</f>
        <v/>
      </c>
      <c r="D15">
        <f>IF($AH15="","",INDEX('Per Line'!$B$2:$B$201,$AH15))</f>
        <v/>
      </c>
      <c r="E15">
        <f>IF($AH15="","",INDEX('Per Line'!$C$2:$C$201,$AH15)&amp;"")</f>
        <v/>
      </c>
      <c r="F15">
        <f>IF($AH15="","",INDEX('Per Line'!$E$2:$E$201,$AH15)&amp;"")</f>
        <v/>
      </c>
      <c r="G15" s="11">
        <f>IF($AH15="","",INDEX('Per Line'!$F$2:$F$201,$AH15))</f>
        <v/>
      </c>
      <c r="H15">
        <f>IF($AH15="","",INDEX('Per Line'!$G$2:$G$201,$AH15)&amp;"")</f>
        <v/>
      </c>
      <c r="I15">
        <f>IF($AH15="","",INDEX('Per Line'!$I$2:$I$201,$AH15)&amp;"")</f>
        <v/>
      </c>
      <c r="J15">
        <f>IF($AH15="","",INDEX('Per Line'!$J$2:$J$201,$AH15)&amp;"")</f>
        <v/>
      </c>
      <c r="K15">
        <f>IF($AH15="","",INDEX('Per Line'!$K$2:$K$201,$AH15)&amp;"")</f>
        <v/>
      </c>
      <c r="L15">
        <f>IF($AH15="","",INDEX('Per Line'!$L$2:$L$201,$AH15)&amp;"")</f>
        <v/>
      </c>
      <c r="M15">
        <f>IF($AH15="","",INDEX('Per Line'!$M$2:$M$201,$AH15))</f>
        <v/>
      </c>
      <c r="N15" s="7">
        <f>IF($AH15="","",M15*AE15/100)</f>
        <v/>
      </c>
      <c r="O15">
        <f>IF($AH15="","",INDEX('Per Line'!$Z$2:$Z$201,$AH15)&amp;"")</f>
        <v/>
      </c>
      <c r="P15">
        <f>IF($AH15="","",INDEX('Per Line'!$AC$2:$AC$201,$AH15)&amp;"")</f>
        <v/>
      </c>
      <c r="Q15">
        <f>IF($AH15="","",INDEX('Per Line'!$AD$2:$AD$201,$AH15))</f>
        <v/>
      </c>
      <c r="R15">
        <f>IF($AH15="","",IF(AND(ISNUMBER(Q15),Q15&gt;0),AF15&gt;Q15,FALSE))</f>
        <v/>
      </c>
      <c r="S15">
        <f>IF($AH15="","",INDEX('Per Line'!$AH$2:$AH$201,$AH15)&amp;"")</f>
        <v/>
      </c>
      <c r="T15" s="11">
        <f>IF($AH15="","",INDEX('Per Line'!$AI$2:$AI$201,$AH15))</f>
        <v/>
      </c>
      <c r="U15">
        <f>IF($AH15="","",Settings!$C$8)</f>
        <v/>
      </c>
      <c r="V15" s="7">
        <f>IF($AH15="","",SUMIFS('Per Line'!$V$2:$V$201,'Per Line'!$D$2:$D$201,$B15,'Per Line'!$AN$2:$AN$201,1))</f>
        <v/>
      </c>
      <c r="W15" s="7">
        <f>IF($AH15="","",V15*U15)</f>
        <v/>
      </c>
      <c r="X15">
        <f>IF($AH15="","",Settings!$C$7)</f>
        <v/>
      </c>
      <c r="Y15" s="7">
        <f>IF($AH15="","",SUMIFS('Per Line'!$V$2:$V$201,'Per Line'!$D$2:$D$201,$B15,'Per Line'!$AM$2:$AM$201,0,'Per Line'!$AN$2:$AN$201,0))</f>
        <v/>
      </c>
      <c r="Z15" s="7">
        <f>IF($AH15="","",Y15*X15)</f>
        <v/>
      </c>
      <c r="AA15">
        <f>IF($AH15="","",Settings!$C$6)</f>
        <v/>
      </c>
      <c r="AB15" s="7">
        <f>IF($AH15="","",SUMIFS('Per Line'!$V$2:$V$201,'Per Line'!$D$2:$D$201,$B15,'Per Line'!$AM$2:$AM$201,1,'Per Line'!$AN$2:$AN$201,0))</f>
        <v/>
      </c>
      <c r="AC15" s="7">
        <f>IF($AH15="","",AB15*AA15)</f>
        <v/>
      </c>
      <c r="AD15" s="7">
        <f>IF($AH15="","",AC15+Z15+W15)</f>
        <v/>
      </c>
      <c r="AE15" s="7">
        <f>IF($AH15="","",AF15-AD15)</f>
        <v/>
      </c>
      <c r="AF15" s="7">
        <f>IF($AH15="","",Y15+AB15+V15)</f>
        <v/>
      </c>
      <c r="AG15" s="7">
        <f>IF($AH15="","",AF15-AD15-N15)</f>
        <v/>
      </c>
      <c r="AH15" s="13">
        <f>IF(ROWS($AH$2:$AH15)&lt;=MAX('Per Line'!$AL$2:$AL$201),MATCH(ROWS($AH$2:$AH15),'Per Line'!$AL$2:$AL$201,0),"")</f>
        <v/>
      </c>
    </row>
    <row r="16">
      <c r="A16" s="12" t="n"/>
      <c r="B16">
        <f>IF($AH16="","",INDEX('Per Line'!$D$2:$D$201,$AH16)&amp;"")</f>
        <v/>
      </c>
      <c r="C16">
        <f>IF($AH16="","",INDEX('Per Line'!$A$2:$A$201,$AH16)&amp;"")</f>
        <v/>
      </c>
      <c r="D16">
        <f>IF($AH16="","",INDEX('Per Line'!$B$2:$B$201,$AH16))</f>
        <v/>
      </c>
      <c r="E16">
        <f>IF($AH16="","",INDEX('Per Line'!$C$2:$C$201,$AH16)&amp;"")</f>
        <v/>
      </c>
      <c r="F16">
        <f>IF($AH16="","",INDEX('Per Line'!$E$2:$E$201,$AH16)&amp;"")</f>
        <v/>
      </c>
      <c r="G16" s="11">
        <f>IF($AH16="","",INDEX('Per Line'!$F$2:$F$201,$AH16))</f>
        <v/>
      </c>
      <c r="H16">
        <f>IF($AH16="","",INDEX('Per Line'!$G$2:$G$201,$AH16)&amp;"")</f>
        <v/>
      </c>
      <c r="I16">
        <f>IF($AH16="","",INDEX('Per Line'!$I$2:$I$201,$AH16)&amp;"")</f>
        <v/>
      </c>
      <c r="J16">
        <f>IF($AH16="","",INDEX('Per Line'!$J$2:$J$201,$AH16)&amp;"")</f>
        <v/>
      </c>
      <c r="K16">
        <f>IF($AH16="","",INDEX('Per Line'!$K$2:$K$201,$AH16)&amp;"")</f>
        <v/>
      </c>
      <c r="L16">
        <f>IF($AH16="","",INDEX('Per Line'!$L$2:$L$201,$AH16)&amp;"")</f>
        <v/>
      </c>
      <c r="M16">
        <f>IF($AH16="","",INDEX('Per Line'!$M$2:$M$201,$AH16))</f>
        <v/>
      </c>
      <c r="N16" s="7">
        <f>IF($AH16="","",M16*AE16/100)</f>
        <v/>
      </c>
      <c r="O16">
        <f>IF($AH16="","",INDEX('Per Line'!$Z$2:$Z$201,$AH16)&amp;"")</f>
        <v/>
      </c>
      <c r="P16">
        <f>IF($AH16="","",INDEX('Per Line'!$AC$2:$AC$201,$AH16)&amp;"")</f>
        <v/>
      </c>
      <c r="Q16">
        <f>IF($AH16="","",INDEX('Per Line'!$AD$2:$AD$201,$AH16))</f>
        <v/>
      </c>
      <c r="R16">
        <f>IF($AH16="","",IF(AND(ISNUMBER(Q16),Q16&gt;0),AF16&gt;Q16,FALSE))</f>
        <v/>
      </c>
      <c r="S16">
        <f>IF($AH16="","",INDEX('Per Line'!$AH$2:$AH$201,$AH16)&amp;"")</f>
        <v/>
      </c>
      <c r="T16" s="11">
        <f>IF($AH16="","",INDEX('Per Line'!$AI$2:$AI$201,$AH16))</f>
        <v/>
      </c>
      <c r="U16">
        <f>IF($AH16="","",Settings!$C$8)</f>
        <v/>
      </c>
      <c r="V16" s="7">
        <f>IF($AH16="","",SUMIFS('Per Line'!$V$2:$V$201,'Per Line'!$D$2:$D$201,$B16,'Per Line'!$AN$2:$AN$201,1))</f>
        <v/>
      </c>
      <c r="W16" s="7">
        <f>IF($AH16="","",V16*U16)</f>
        <v/>
      </c>
      <c r="X16">
        <f>IF($AH16="","",Settings!$C$7)</f>
        <v/>
      </c>
      <c r="Y16" s="7">
        <f>IF($AH16="","",SUMIFS('Per Line'!$V$2:$V$201,'Per Line'!$D$2:$D$201,$B16,'Per Line'!$AM$2:$AM$201,0,'Per Line'!$AN$2:$AN$201,0))</f>
        <v/>
      </c>
      <c r="Z16" s="7">
        <f>IF($AH16="","",Y16*X16)</f>
        <v/>
      </c>
      <c r="AA16">
        <f>IF($AH16="","",Settings!$C$6)</f>
        <v/>
      </c>
      <c r="AB16" s="7">
        <f>IF($AH16="","",SUMIFS('Per Line'!$V$2:$V$201,'Per Line'!$D$2:$D$201,$B16,'Per Line'!$AM$2:$AM$201,1,'Per Line'!$AN$2:$AN$201,0))</f>
        <v/>
      </c>
      <c r="AC16" s="7">
        <f>IF($AH16="","",AB16*AA16)</f>
        <v/>
      </c>
      <c r="AD16" s="7">
        <f>IF($AH16="","",AC16+Z16+W16)</f>
        <v/>
      </c>
      <c r="AE16" s="7">
        <f>IF($AH16="","",AF16-AD16)</f>
        <v/>
      </c>
      <c r="AF16" s="7">
        <f>IF($AH16="","",Y16+AB16+V16)</f>
        <v/>
      </c>
      <c r="AG16" s="7">
        <f>IF($AH16="","",AF16-AD16-N16)</f>
        <v/>
      </c>
      <c r="AH16" s="13">
        <f>IF(ROWS($AH$2:$AH16)&lt;=MAX('Per Line'!$AL$2:$AL$201),MATCH(ROWS($AH$2:$AH16),'Per Line'!$AL$2:$AL$201,0),"")</f>
        <v/>
      </c>
    </row>
    <row r="17">
      <c r="A17" s="12" t="n"/>
      <c r="B17">
        <f>IF($AH17="","",INDEX('Per Line'!$D$2:$D$201,$AH17)&amp;"")</f>
        <v/>
      </c>
      <c r="C17">
        <f>IF($AH17="","",INDEX('Per Line'!$A$2:$A$201,$AH17)&amp;"")</f>
        <v/>
      </c>
      <c r="D17">
        <f>IF($AH17="","",INDEX('Per Line'!$B$2:$B$201,$AH17))</f>
        <v/>
      </c>
      <c r="E17">
        <f>IF($AH17="","",INDEX('Per Line'!$C$2:$C$201,$AH17)&amp;"")</f>
        <v/>
      </c>
      <c r="F17">
        <f>IF($AH17="","",INDEX('Per Line'!$E$2:$E$201,$AH17)&amp;"")</f>
        <v/>
      </c>
      <c r="G17" s="11">
        <f>IF($AH17="","",INDEX('Per Line'!$F$2:$F$201,$AH17))</f>
        <v/>
      </c>
      <c r="H17">
        <f>IF($AH17="","",INDEX('Per Line'!$G$2:$G$201,$AH17)&amp;"")</f>
        <v/>
      </c>
      <c r="I17">
        <f>IF($AH17="","",INDEX('Per Line'!$I$2:$I$201,$AH17)&amp;"")</f>
        <v/>
      </c>
      <c r="J17">
        <f>IF($AH17="","",INDEX('Per Line'!$J$2:$J$201,$AH17)&amp;"")</f>
        <v/>
      </c>
      <c r="K17">
        <f>IF($AH17="","",INDEX('Per Line'!$K$2:$K$201,$AH17)&amp;"")</f>
        <v/>
      </c>
      <c r="L17">
        <f>IF($AH17="","",INDEX('Per Line'!$L$2:$L$201,$AH17)&amp;"")</f>
        <v/>
      </c>
      <c r="M17">
        <f>IF($AH17="","",INDEX('Per Line'!$M$2:$M$201,$AH17))</f>
        <v/>
      </c>
      <c r="N17" s="7">
        <f>IF($AH17="","",M17*AE17/100)</f>
        <v/>
      </c>
      <c r="O17">
        <f>IF($AH17="","",INDEX('Per Line'!$Z$2:$Z$201,$AH17)&amp;"")</f>
        <v/>
      </c>
      <c r="P17">
        <f>IF($AH17="","",INDEX('Per Line'!$AC$2:$AC$201,$AH17)&amp;"")</f>
        <v/>
      </c>
      <c r="Q17">
        <f>IF($AH17="","",INDEX('Per Line'!$AD$2:$AD$201,$AH17))</f>
        <v/>
      </c>
      <c r="R17">
        <f>IF($AH17="","",IF(AND(ISNUMBER(Q17),Q17&gt;0),AF17&gt;Q17,FALSE))</f>
        <v/>
      </c>
      <c r="S17">
        <f>IF($AH17="","",INDEX('Per Line'!$AH$2:$AH$201,$AH17)&amp;"")</f>
        <v/>
      </c>
      <c r="T17" s="11">
        <f>IF($AH17="","",INDEX('Per Line'!$AI$2:$AI$201,$AH17))</f>
        <v/>
      </c>
      <c r="U17">
        <f>IF($AH17="","",Settings!$C$8)</f>
        <v/>
      </c>
      <c r="V17" s="7">
        <f>IF($AH17="","",SUMIFS('Per Line'!$V$2:$V$201,'Per Line'!$D$2:$D$201,$B17,'Per Line'!$AN$2:$AN$201,1))</f>
        <v/>
      </c>
      <c r="W17" s="7">
        <f>IF($AH17="","",V17*U17)</f>
        <v/>
      </c>
      <c r="X17">
        <f>IF($AH17="","",Settings!$C$7)</f>
        <v/>
      </c>
      <c r="Y17" s="7">
        <f>IF($AH17="","",SUMIFS('Per Line'!$V$2:$V$201,'Per Line'!$D$2:$D$201,$B17,'Per Line'!$AM$2:$AM$201,0,'Per Line'!$AN$2:$AN$201,0))</f>
        <v/>
      </c>
      <c r="Z17" s="7">
        <f>IF($AH17="","",Y17*X17)</f>
        <v/>
      </c>
      <c r="AA17">
        <f>IF($AH17="","",Settings!$C$6)</f>
        <v/>
      </c>
      <c r="AB17" s="7">
        <f>IF($AH17="","",SUMIFS('Per Line'!$V$2:$V$201,'Per Line'!$D$2:$D$201,$B17,'Per Line'!$AM$2:$AM$201,1,'Per Line'!$AN$2:$AN$201,0))</f>
        <v/>
      </c>
      <c r="AC17" s="7">
        <f>IF($AH17="","",AB17*AA17)</f>
        <v/>
      </c>
      <c r="AD17" s="7">
        <f>IF($AH17="","",AC17+Z17+W17)</f>
        <v/>
      </c>
      <c r="AE17" s="7">
        <f>IF($AH17="","",AF17-AD17)</f>
        <v/>
      </c>
      <c r="AF17" s="7">
        <f>IF($AH17="","",Y17+AB17+V17)</f>
        <v/>
      </c>
      <c r="AG17" s="7">
        <f>IF($AH17="","",AF17-AD17-N17)</f>
        <v/>
      </c>
      <c r="AH17" s="13">
        <f>IF(ROWS($AH$2:$AH17)&lt;=MAX('Per Line'!$AL$2:$AL$201),MATCH(ROWS($AH$2:$AH17),'Per Line'!$AL$2:$AL$201,0),"")</f>
        <v/>
      </c>
    </row>
    <row r="18">
      <c r="A18" s="12" t="n"/>
      <c r="B18">
        <f>IF($AH18="","",INDEX('Per Line'!$D$2:$D$201,$AH18)&amp;"")</f>
        <v/>
      </c>
      <c r="C18">
        <f>IF($AH18="","",INDEX('Per Line'!$A$2:$A$201,$AH18)&amp;"")</f>
        <v/>
      </c>
      <c r="D18">
        <f>IF($AH18="","",INDEX('Per Line'!$B$2:$B$201,$AH18))</f>
        <v/>
      </c>
      <c r="E18">
        <f>IF($AH18="","",INDEX('Per Line'!$C$2:$C$201,$AH18)&amp;"")</f>
        <v/>
      </c>
      <c r="F18">
        <f>IF($AH18="","",INDEX('Per Line'!$E$2:$E$201,$AH18)&amp;"")</f>
        <v/>
      </c>
      <c r="G18" s="11">
        <f>IF($AH18="","",INDEX('Per Line'!$F$2:$F$201,$AH18))</f>
        <v/>
      </c>
      <c r="H18">
        <f>IF($AH18="","",INDEX('Per Line'!$G$2:$G$201,$AH18)&amp;"")</f>
        <v/>
      </c>
      <c r="I18">
        <f>IF($AH18="","",INDEX('Per Line'!$I$2:$I$201,$AH18)&amp;"")</f>
        <v/>
      </c>
      <c r="J18">
        <f>IF($AH18="","",INDEX('Per Line'!$J$2:$J$201,$AH18)&amp;"")</f>
        <v/>
      </c>
      <c r="K18">
        <f>IF($AH18="","",INDEX('Per Line'!$K$2:$K$201,$AH18)&amp;"")</f>
        <v/>
      </c>
      <c r="L18">
        <f>IF($AH18="","",INDEX('Per Line'!$L$2:$L$201,$AH18)&amp;"")</f>
        <v/>
      </c>
      <c r="M18">
        <f>IF($AH18="","",INDEX('Per Line'!$M$2:$M$201,$AH18))</f>
        <v/>
      </c>
      <c r="N18" s="7">
        <f>IF($AH18="","",M18*AE18/100)</f>
        <v/>
      </c>
      <c r="O18">
        <f>IF($AH18="","",INDEX('Per Line'!$Z$2:$Z$201,$AH18)&amp;"")</f>
        <v/>
      </c>
      <c r="P18">
        <f>IF($AH18="","",INDEX('Per Line'!$AC$2:$AC$201,$AH18)&amp;"")</f>
        <v/>
      </c>
      <c r="Q18">
        <f>IF($AH18="","",INDEX('Per Line'!$AD$2:$AD$201,$AH18))</f>
        <v/>
      </c>
      <c r="R18">
        <f>IF($AH18="","",IF(AND(ISNUMBER(Q18),Q18&gt;0),AF18&gt;Q18,FALSE))</f>
        <v/>
      </c>
      <c r="S18">
        <f>IF($AH18="","",INDEX('Per Line'!$AH$2:$AH$201,$AH18)&amp;"")</f>
        <v/>
      </c>
      <c r="T18" s="11">
        <f>IF($AH18="","",INDEX('Per Line'!$AI$2:$AI$201,$AH18))</f>
        <v/>
      </c>
      <c r="U18">
        <f>IF($AH18="","",Settings!$C$8)</f>
        <v/>
      </c>
      <c r="V18" s="7">
        <f>IF($AH18="","",SUMIFS('Per Line'!$V$2:$V$201,'Per Line'!$D$2:$D$201,$B18,'Per Line'!$AN$2:$AN$201,1))</f>
        <v/>
      </c>
      <c r="W18" s="7">
        <f>IF($AH18="","",V18*U18)</f>
        <v/>
      </c>
      <c r="X18">
        <f>IF($AH18="","",Settings!$C$7)</f>
        <v/>
      </c>
      <c r="Y18" s="7">
        <f>IF($AH18="","",SUMIFS('Per Line'!$V$2:$V$201,'Per Line'!$D$2:$D$201,$B18,'Per Line'!$AM$2:$AM$201,0,'Per Line'!$AN$2:$AN$201,0))</f>
        <v/>
      </c>
      <c r="Z18" s="7">
        <f>IF($AH18="","",Y18*X18)</f>
        <v/>
      </c>
      <c r="AA18">
        <f>IF($AH18="","",Settings!$C$6)</f>
        <v/>
      </c>
      <c r="AB18" s="7">
        <f>IF($AH18="","",SUMIFS('Per Line'!$V$2:$V$201,'Per Line'!$D$2:$D$201,$B18,'Per Line'!$AM$2:$AM$201,1,'Per Line'!$AN$2:$AN$201,0))</f>
        <v/>
      </c>
      <c r="AC18" s="7">
        <f>IF($AH18="","",AB18*AA18)</f>
        <v/>
      </c>
      <c r="AD18" s="7">
        <f>IF($AH18="","",AC18+Z18+W18)</f>
        <v/>
      </c>
      <c r="AE18" s="7">
        <f>IF($AH18="","",AF18-AD18)</f>
        <v/>
      </c>
      <c r="AF18" s="7">
        <f>IF($AH18="","",Y18+AB18+V18)</f>
        <v/>
      </c>
      <c r="AG18" s="7">
        <f>IF($AH18="","",AF18-AD18-N18)</f>
        <v/>
      </c>
      <c r="AH18" s="13">
        <f>IF(ROWS($AH$2:$AH18)&lt;=MAX('Per Line'!$AL$2:$AL$201),MATCH(ROWS($AH$2:$AH18),'Per Line'!$AL$2:$AL$201,0),"")</f>
        <v/>
      </c>
    </row>
    <row r="19">
      <c r="A19" s="12" t="n"/>
      <c r="B19">
        <f>IF($AH19="","",INDEX('Per Line'!$D$2:$D$201,$AH19)&amp;"")</f>
        <v/>
      </c>
      <c r="C19">
        <f>IF($AH19="","",INDEX('Per Line'!$A$2:$A$201,$AH19)&amp;"")</f>
        <v/>
      </c>
      <c r="D19">
        <f>IF($AH19="","",INDEX('Per Line'!$B$2:$B$201,$AH19))</f>
        <v/>
      </c>
      <c r="E19">
        <f>IF($AH19="","",INDEX('Per Line'!$C$2:$C$201,$AH19)&amp;"")</f>
        <v/>
      </c>
      <c r="F19">
        <f>IF($AH19="","",INDEX('Per Line'!$E$2:$E$201,$AH19)&amp;"")</f>
        <v/>
      </c>
      <c r="G19" s="11">
        <f>IF($AH19="","",INDEX('Per Line'!$F$2:$F$201,$AH19))</f>
        <v/>
      </c>
      <c r="H19">
        <f>IF($AH19="","",INDEX('Per Line'!$G$2:$G$201,$AH19)&amp;"")</f>
        <v/>
      </c>
      <c r="I19">
        <f>IF($AH19="","",INDEX('Per Line'!$I$2:$I$201,$AH19)&amp;"")</f>
        <v/>
      </c>
      <c r="J19">
        <f>IF($AH19="","",INDEX('Per Line'!$J$2:$J$201,$AH19)&amp;"")</f>
        <v/>
      </c>
      <c r="K19">
        <f>IF($AH19="","",INDEX('Per Line'!$K$2:$K$201,$AH19)&amp;"")</f>
        <v/>
      </c>
      <c r="L19">
        <f>IF($AH19="","",INDEX('Per Line'!$L$2:$L$201,$AH19)&amp;"")</f>
        <v/>
      </c>
      <c r="M19">
        <f>IF($AH19="","",INDEX('Per Line'!$M$2:$M$201,$AH19))</f>
        <v/>
      </c>
      <c r="N19" s="7">
        <f>IF($AH19="","",M19*AE19/100)</f>
        <v/>
      </c>
      <c r="O19">
        <f>IF($AH19="","",INDEX('Per Line'!$Z$2:$Z$201,$AH19)&amp;"")</f>
        <v/>
      </c>
      <c r="P19">
        <f>IF($AH19="","",INDEX('Per Line'!$AC$2:$AC$201,$AH19)&amp;"")</f>
        <v/>
      </c>
      <c r="Q19">
        <f>IF($AH19="","",INDEX('Per Line'!$AD$2:$AD$201,$AH19))</f>
        <v/>
      </c>
      <c r="R19">
        <f>IF($AH19="","",IF(AND(ISNUMBER(Q19),Q19&gt;0),AF19&gt;Q19,FALSE))</f>
        <v/>
      </c>
      <c r="S19">
        <f>IF($AH19="","",INDEX('Per Line'!$AH$2:$AH$201,$AH19)&amp;"")</f>
        <v/>
      </c>
      <c r="T19" s="11">
        <f>IF($AH19="","",INDEX('Per Line'!$AI$2:$AI$201,$AH19))</f>
        <v/>
      </c>
      <c r="U19">
        <f>IF($AH19="","",Settings!$C$8)</f>
        <v/>
      </c>
      <c r="V19" s="7">
        <f>IF($AH19="","",SUMIFS('Per Line'!$V$2:$V$201,'Per Line'!$D$2:$D$201,$B19,'Per Line'!$AN$2:$AN$201,1))</f>
        <v/>
      </c>
      <c r="W19" s="7">
        <f>IF($AH19="","",V19*U19)</f>
        <v/>
      </c>
      <c r="X19">
        <f>IF($AH19="","",Settings!$C$7)</f>
        <v/>
      </c>
      <c r="Y19" s="7">
        <f>IF($AH19="","",SUMIFS('Per Line'!$V$2:$V$201,'Per Line'!$D$2:$D$201,$B19,'Per Line'!$AM$2:$AM$201,0,'Per Line'!$AN$2:$AN$201,0))</f>
        <v/>
      </c>
      <c r="Z19" s="7">
        <f>IF($AH19="","",Y19*X19)</f>
        <v/>
      </c>
      <c r="AA19">
        <f>IF($AH19="","",Settings!$C$6)</f>
        <v/>
      </c>
      <c r="AB19" s="7">
        <f>IF($AH19="","",SUMIFS('Per Line'!$V$2:$V$201,'Per Line'!$D$2:$D$201,$B19,'Per Line'!$AM$2:$AM$201,1,'Per Line'!$AN$2:$AN$201,0))</f>
        <v/>
      </c>
      <c r="AC19" s="7">
        <f>IF($AH19="","",AB19*AA19)</f>
        <v/>
      </c>
      <c r="AD19" s="7">
        <f>IF($AH19="","",AC19+Z19+W19)</f>
        <v/>
      </c>
      <c r="AE19" s="7">
        <f>IF($AH19="","",AF19-AD19)</f>
        <v/>
      </c>
      <c r="AF19" s="7">
        <f>IF($AH19="","",Y19+AB19+V19)</f>
        <v/>
      </c>
      <c r="AG19" s="7">
        <f>IF($AH19="","",AF19-AD19-N19)</f>
        <v/>
      </c>
      <c r="AH19" s="13">
        <f>IF(ROWS($AH$2:$AH19)&lt;=MAX('Per Line'!$AL$2:$AL$201),MATCH(ROWS($AH$2:$AH19),'Per Line'!$AL$2:$AL$201,0),"")</f>
        <v/>
      </c>
    </row>
    <row r="20">
      <c r="A20" s="12" t="n"/>
      <c r="B20">
        <f>IF($AH20="","",INDEX('Per Line'!$D$2:$D$201,$AH20)&amp;"")</f>
        <v/>
      </c>
      <c r="C20">
        <f>IF($AH20="","",INDEX('Per Line'!$A$2:$A$201,$AH20)&amp;"")</f>
        <v/>
      </c>
      <c r="D20">
        <f>IF($AH20="","",INDEX('Per Line'!$B$2:$B$201,$AH20))</f>
        <v/>
      </c>
      <c r="E20">
        <f>IF($AH20="","",INDEX('Per Line'!$C$2:$C$201,$AH20)&amp;"")</f>
        <v/>
      </c>
      <c r="F20">
        <f>IF($AH20="","",INDEX('Per Line'!$E$2:$E$201,$AH20)&amp;"")</f>
        <v/>
      </c>
      <c r="G20" s="11">
        <f>IF($AH20="","",INDEX('Per Line'!$F$2:$F$201,$AH20))</f>
        <v/>
      </c>
      <c r="H20">
        <f>IF($AH20="","",INDEX('Per Line'!$G$2:$G$201,$AH20)&amp;"")</f>
        <v/>
      </c>
      <c r="I20">
        <f>IF($AH20="","",INDEX('Per Line'!$I$2:$I$201,$AH20)&amp;"")</f>
        <v/>
      </c>
      <c r="J20">
        <f>IF($AH20="","",INDEX('Per Line'!$J$2:$J$201,$AH20)&amp;"")</f>
        <v/>
      </c>
      <c r="K20">
        <f>IF($AH20="","",INDEX('Per Line'!$K$2:$K$201,$AH20)&amp;"")</f>
        <v/>
      </c>
      <c r="L20">
        <f>IF($AH20="","",INDEX('Per Line'!$L$2:$L$201,$AH20)&amp;"")</f>
        <v/>
      </c>
      <c r="M20">
        <f>IF($AH20="","",INDEX('Per Line'!$M$2:$M$201,$AH20))</f>
        <v/>
      </c>
      <c r="N20" s="7">
        <f>IF($AH20="","",M20*AE20/100)</f>
        <v/>
      </c>
      <c r="O20">
        <f>IF($AH20="","",INDEX('Per Line'!$Z$2:$Z$201,$AH20)&amp;"")</f>
        <v/>
      </c>
      <c r="P20">
        <f>IF($AH20="","",INDEX('Per Line'!$AC$2:$AC$201,$AH20)&amp;"")</f>
        <v/>
      </c>
      <c r="Q20">
        <f>IF($AH20="","",INDEX('Per Line'!$AD$2:$AD$201,$AH20))</f>
        <v/>
      </c>
      <c r="R20">
        <f>IF($AH20="","",IF(AND(ISNUMBER(Q20),Q20&gt;0),AF20&gt;Q20,FALSE))</f>
        <v/>
      </c>
      <c r="S20">
        <f>IF($AH20="","",INDEX('Per Line'!$AH$2:$AH$201,$AH20)&amp;"")</f>
        <v/>
      </c>
      <c r="T20" s="11">
        <f>IF($AH20="","",INDEX('Per Line'!$AI$2:$AI$201,$AH20))</f>
        <v/>
      </c>
      <c r="U20">
        <f>IF($AH20="","",Settings!$C$8)</f>
        <v/>
      </c>
      <c r="V20" s="7">
        <f>IF($AH20="","",SUMIFS('Per Line'!$V$2:$V$201,'Per Line'!$D$2:$D$201,$B20,'Per Line'!$AN$2:$AN$201,1))</f>
        <v/>
      </c>
      <c r="W20" s="7">
        <f>IF($AH20="","",V20*U20)</f>
        <v/>
      </c>
      <c r="X20">
        <f>IF($AH20="","",Settings!$C$7)</f>
        <v/>
      </c>
      <c r="Y20" s="7">
        <f>IF($AH20="","",SUMIFS('Per Line'!$V$2:$V$201,'Per Line'!$D$2:$D$201,$B20,'Per Line'!$AM$2:$AM$201,0,'Per Line'!$AN$2:$AN$201,0))</f>
        <v/>
      </c>
      <c r="Z20" s="7">
        <f>IF($AH20="","",Y20*X20)</f>
        <v/>
      </c>
      <c r="AA20">
        <f>IF($AH20="","",Settings!$C$6)</f>
        <v/>
      </c>
      <c r="AB20" s="7">
        <f>IF($AH20="","",SUMIFS('Per Line'!$V$2:$V$201,'Per Line'!$D$2:$D$201,$B20,'Per Line'!$AM$2:$AM$201,1,'Per Line'!$AN$2:$AN$201,0))</f>
        <v/>
      </c>
      <c r="AC20" s="7">
        <f>IF($AH20="","",AB20*AA20)</f>
        <v/>
      </c>
      <c r="AD20" s="7">
        <f>IF($AH20="","",AC20+Z20+W20)</f>
        <v/>
      </c>
      <c r="AE20" s="7">
        <f>IF($AH20="","",AF20-AD20)</f>
        <v/>
      </c>
      <c r="AF20" s="7">
        <f>IF($AH20="","",Y20+AB20+V20)</f>
        <v/>
      </c>
      <c r="AG20" s="7">
        <f>IF($AH20="","",AF20-AD20-N20)</f>
        <v/>
      </c>
      <c r="AH20" s="13">
        <f>IF(ROWS($AH$2:$AH20)&lt;=MAX('Per Line'!$AL$2:$AL$201),MATCH(ROWS($AH$2:$AH20),'Per Line'!$AL$2:$AL$201,0),"")</f>
        <v/>
      </c>
    </row>
    <row r="21">
      <c r="A21" s="12" t="n"/>
      <c r="B21">
        <f>IF($AH21="","",INDEX('Per Line'!$D$2:$D$201,$AH21)&amp;"")</f>
        <v/>
      </c>
      <c r="C21">
        <f>IF($AH21="","",INDEX('Per Line'!$A$2:$A$201,$AH21)&amp;"")</f>
        <v/>
      </c>
      <c r="D21">
        <f>IF($AH21="","",INDEX('Per Line'!$B$2:$B$201,$AH21))</f>
        <v/>
      </c>
      <c r="E21">
        <f>IF($AH21="","",INDEX('Per Line'!$C$2:$C$201,$AH21)&amp;"")</f>
        <v/>
      </c>
      <c r="F21">
        <f>IF($AH21="","",INDEX('Per Line'!$E$2:$E$201,$AH21)&amp;"")</f>
        <v/>
      </c>
      <c r="G21" s="11">
        <f>IF($AH21="","",INDEX('Per Line'!$F$2:$F$201,$AH21))</f>
        <v/>
      </c>
      <c r="H21">
        <f>IF($AH21="","",INDEX('Per Line'!$G$2:$G$201,$AH21)&amp;"")</f>
        <v/>
      </c>
      <c r="I21">
        <f>IF($AH21="","",INDEX('Per Line'!$I$2:$I$201,$AH21)&amp;"")</f>
        <v/>
      </c>
      <c r="J21">
        <f>IF($AH21="","",INDEX('Per Line'!$J$2:$J$201,$AH21)&amp;"")</f>
        <v/>
      </c>
      <c r="K21">
        <f>IF($AH21="","",INDEX('Per Line'!$K$2:$K$201,$AH21)&amp;"")</f>
        <v/>
      </c>
      <c r="L21">
        <f>IF($AH21="","",INDEX('Per Line'!$L$2:$L$201,$AH21)&amp;"")</f>
        <v/>
      </c>
      <c r="M21">
        <f>IF($AH21="","",INDEX('Per Line'!$M$2:$M$201,$AH21))</f>
        <v/>
      </c>
      <c r="N21" s="7">
        <f>IF($AH21="","",M21*AE21/100)</f>
        <v/>
      </c>
      <c r="O21">
        <f>IF($AH21="","",INDEX('Per Line'!$Z$2:$Z$201,$AH21)&amp;"")</f>
        <v/>
      </c>
      <c r="P21">
        <f>IF($AH21="","",INDEX('Per Line'!$AC$2:$AC$201,$AH21)&amp;"")</f>
        <v/>
      </c>
      <c r="Q21">
        <f>IF($AH21="","",INDEX('Per Line'!$AD$2:$AD$201,$AH21))</f>
        <v/>
      </c>
      <c r="R21">
        <f>IF($AH21="","",IF(AND(ISNUMBER(Q21),Q21&gt;0),AF21&gt;Q21,FALSE))</f>
        <v/>
      </c>
      <c r="S21">
        <f>IF($AH21="","",INDEX('Per Line'!$AH$2:$AH$201,$AH21)&amp;"")</f>
        <v/>
      </c>
      <c r="T21" s="11">
        <f>IF($AH21="","",INDEX('Per Line'!$AI$2:$AI$201,$AH21))</f>
        <v/>
      </c>
      <c r="U21">
        <f>IF($AH21="","",Settings!$C$8)</f>
        <v/>
      </c>
      <c r="V21" s="7">
        <f>IF($AH21="","",SUMIFS('Per Line'!$V$2:$V$201,'Per Line'!$D$2:$D$201,$B21,'Per Line'!$AN$2:$AN$201,1))</f>
        <v/>
      </c>
      <c r="W21" s="7">
        <f>IF($AH21="","",V21*U21)</f>
        <v/>
      </c>
      <c r="X21">
        <f>IF($AH21="","",Settings!$C$7)</f>
        <v/>
      </c>
      <c r="Y21" s="7">
        <f>IF($AH21="","",SUMIFS('Per Line'!$V$2:$V$201,'Per Line'!$D$2:$D$201,$B21,'Per Line'!$AM$2:$AM$201,0,'Per Line'!$AN$2:$AN$201,0))</f>
        <v/>
      </c>
      <c r="Z21" s="7">
        <f>IF($AH21="","",Y21*X21)</f>
        <v/>
      </c>
      <c r="AA21">
        <f>IF($AH21="","",Settings!$C$6)</f>
        <v/>
      </c>
      <c r="AB21" s="7">
        <f>IF($AH21="","",SUMIFS('Per Line'!$V$2:$V$201,'Per Line'!$D$2:$D$201,$B21,'Per Line'!$AM$2:$AM$201,1,'Per Line'!$AN$2:$AN$201,0))</f>
        <v/>
      </c>
      <c r="AC21" s="7">
        <f>IF($AH21="","",AB21*AA21)</f>
        <v/>
      </c>
      <c r="AD21" s="7">
        <f>IF($AH21="","",AC21+Z21+W21)</f>
        <v/>
      </c>
      <c r="AE21" s="7">
        <f>IF($AH21="","",AF21-AD21)</f>
        <v/>
      </c>
      <c r="AF21" s="7">
        <f>IF($AH21="","",Y21+AB21+V21)</f>
        <v/>
      </c>
      <c r="AG21" s="7">
        <f>IF($AH21="","",AF21-AD21-N21)</f>
        <v/>
      </c>
      <c r="AH21" s="13">
        <f>IF(ROWS($AH$2:$AH21)&lt;=MAX('Per Line'!$AL$2:$AL$201),MATCH(ROWS($AH$2:$AH21),'Per Line'!$AL$2:$AL$201,0),"")</f>
        <v/>
      </c>
    </row>
    <row r="22">
      <c r="A22" s="12" t="n"/>
      <c r="B22">
        <f>IF($AH22="","",INDEX('Per Line'!$D$2:$D$201,$AH22)&amp;"")</f>
        <v/>
      </c>
      <c r="C22">
        <f>IF($AH22="","",INDEX('Per Line'!$A$2:$A$201,$AH22)&amp;"")</f>
        <v/>
      </c>
      <c r="D22">
        <f>IF($AH22="","",INDEX('Per Line'!$B$2:$B$201,$AH22))</f>
        <v/>
      </c>
      <c r="E22">
        <f>IF($AH22="","",INDEX('Per Line'!$C$2:$C$201,$AH22)&amp;"")</f>
        <v/>
      </c>
      <c r="F22">
        <f>IF($AH22="","",INDEX('Per Line'!$E$2:$E$201,$AH22)&amp;"")</f>
        <v/>
      </c>
      <c r="G22" s="11">
        <f>IF($AH22="","",INDEX('Per Line'!$F$2:$F$201,$AH22))</f>
        <v/>
      </c>
      <c r="H22">
        <f>IF($AH22="","",INDEX('Per Line'!$G$2:$G$201,$AH22)&amp;"")</f>
        <v/>
      </c>
      <c r="I22">
        <f>IF($AH22="","",INDEX('Per Line'!$I$2:$I$201,$AH22)&amp;"")</f>
        <v/>
      </c>
      <c r="J22">
        <f>IF($AH22="","",INDEX('Per Line'!$J$2:$J$201,$AH22)&amp;"")</f>
        <v/>
      </c>
      <c r="K22">
        <f>IF($AH22="","",INDEX('Per Line'!$K$2:$K$201,$AH22)&amp;"")</f>
        <v/>
      </c>
      <c r="L22">
        <f>IF($AH22="","",INDEX('Per Line'!$L$2:$L$201,$AH22)&amp;"")</f>
        <v/>
      </c>
      <c r="M22">
        <f>IF($AH22="","",INDEX('Per Line'!$M$2:$M$201,$AH22))</f>
        <v/>
      </c>
      <c r="N22" s="7">
        <f>IF($AH22="","",M22*AE22/100)</f>
        <v/>
      </c>
      <c r="O22">
        <f>IF($AH22="","",INDEX('Per Line'!$Z$2:$Z$201,$AH22)&amp;"")</f>
        <v/>
      </c>
      <c r="P22">
        <f>IF($AH22="","",INDEX('Per Line'!$AC$2:$AC$201,$AH22)&amp;"")</f>
        <v/>
      </c>
      <c r="Q22">
        <f>IF($AH22="","",INDEX('Per Line'!$AD$2:$AD$201,$AH22))</f>
        <v/>
      </c>
      <c r="R22">
        <f>IF($AH22="","",IF(AND(ISNUMBER(Q22),Q22&gt;0),AF22&gt;Q22,FALSE))</f>
        <v/>
      </c>
      <c r="S22">
        <f>IF($AH22="","",INDEX('Per Line'!$AH$2:$AH$201,$AH22)&amp;"")</f>
        <v/>
      </c>
      <c r="T22" s="11">
        <f>IF($AH22="","",INDEX('Per Line'!$AI$2:$AI$201,$AH22))</f>
        <v/>
      </c>
      <c r="U22">
        <f>IF($AH22="","",Settings!$C$8)</f>
        <v/>
      </c>
      <c r="V22" s="7">
        <f>IF($AH22="","",SUMIFS('Per Line'!$V$2:$V$201,'Per Line'!$D$2:$D$201,$B22,'Per Line'!$AN$2:$AN$201,1))</f>
        <v/>
      </c>
      <c r="W22" s="7">
        <f>IF($AH22="","",V22*U22)</f>
        <v/>
      </c>
      <c r="X22">
        <f>IF($AH22="","",Settings!$C$7)</f>
        <v/>
      </c>
      <c r="Y22" s="7">
        <f>IF($AH22="","",SUMIFS('Per Line'!$V$2:$V$201,'Per Line'!$D$2:$D$201,$B22,'Per Line'!$AM$2:$AM$201,0,'Per Line'!$AN$2:$AN$201,0))</f>
        <v/>
      </c>
      <c r="Z22" s="7">
        <f>IF($AH22="","",Y22*X22)</f>
        <v/>
      </c>
      <c r="AA22">
        <f>IF($AH22="","",Settings!$C$6)</f>
        <v/>
      </c>
      <c r="AB22" s="7">
        <f>IF($AH22="","",SUMIFS('Per Line'!$V$2:$V$201,'Per Line'!$D$2:$D$201,$B22,'Per Line'!$AM$2:$AM$201,1,'Per Line'!$AN$2:$AN$201,0))</f>
        <v/>
      </c>
      <c r="AC22" s="7">
        <f>IF($AH22="","",AB22*AA22)</f>
        <v/>
      </c>
      <c r="AD22" s="7">
        <f>IF($AH22="","",AC22+Z22+W22)</f>
        <v/>
      </c>
      <c r="AE22" s="7">
        <f>IF($AH22="","",AF22-AD22)</f>
        <v/>
      </c>
      <c r="AF22" s="7">
        <f>IF($AH22="","",Y22+AB22+V22)</f>
        <v/>
      </c>
      <c r="AG22" s="7">
        <f>IF($AH22="","",AF22-AD22-N22)</f>
        <v/>
      </c>
      <c r="AH22" s="13">
        <f>IF(ROWS($AH$2:$AH22)&lt;=MAX('Per Line'!$AL$2:$AL$201),MATCH(ROWS($AH$2:$AH22),'Per Line'!$AL$2:$AL$201,0),"")</f>
        <v/>
      </c>
    </row>
    <row r="23">
      <c r="A23" s="12" t="n"/>
      <c r="B23">
        <f>IF($AH23="","",INDEX('Per Line'!$D$2:$D$201,$AH23)&amp;"")</f>
        <v/>
      </c>
      <c r="C23">
        <f>IF($AH23="","",INDEX('Per Line'!$A$2:$A$201,$AH23)&amp;"")</f>
        <v/>
      </c>
      <c r="D23">
        <f>IF($AH23="","",INDEX('Per Line'!$B$2:$B$201,$AH23))</f>
        <v/>
      </c>
      <c r="E23">
        <f>IF($AH23="","",INDEX('Per Line'!$C$2:$C$201,$AH23)&amp;"")</f>
        <v/>
      </c>
      <c r="F23">
        <f>IF($AH23="","",INDEX('Per Line'!$E$2:$E$201,$AH23)&amp;"")</f>
        <v/>
      </c>
      <c r="G23" s="11">
        <f>IF($AH23="","",INDEX('Per Line'!$F$2:$F$201,$AH23))</f>
        <v/>
      </c>
      <c r="H23">
        <f>IF($AH23="","",INDEX('Per Line'!$G$2:$G$201,$AH23)&amp;"")</f>
        <v/>
      </c>
      <c r="I23">
        <f>IF($AH23="","",INDEX('Per Line'!$I$2:$I$201,$AH23)&amp;"")</f>
        <v/>
      </c>
      <c r="J23">
        <f>IF($AH23="","",INDEX('Per Line'!$J$2:$J$201,$AH23)&amp;"")</f>
        <v/>
      </c>
      <c r="K23">
        <f>IF($AH23="","",INDEX('Per Line'!$K$2:$K$201,$AH23)&amp;"")</f>
        <v/>
      </c>
      <c r="L23">
        <f>IF($AH23="","",INDEX('Per Line'!$L$2:$L$201,$AH23)&amp;"")</f>
        <v/>
      </c>
      <c r="M23">
        <f>IF($AH23="","",INDEX('Per Line'!$M$2:$M$201,$AH23))</f>
        <v/>
      </c>
      <c r="N23" s="7">
        <f>IF($AH23="","",M23*AE23/100)</f>
        <v/>
      </c>
      <c r="O23">
        <f>IF($AH23="","",INDEX('Per Line'!$Z$2:$Z$201,$AH23)&amp;"")</f>
        <v/>
      </c>
      <c r="P23">
        <f>IF($AH23="","",INDEX('Per Line'!$AC$2:$AC$201,$AH23)&amp;"")</f>
        <v/>
      </c>
      <c r="Q23">
        <f>IF($AH23="","",INDEX('Per Line'!$AD$2:$AD$201,$AH23))</f>
        <v/>
      </c>
      <c r="R23">
        <f>IF($AH23="","",IF(AND(ISNUMBER(Q23),Q23&gt;0),AF23&gt;Q23,FALSE))</f>
        <v/>
      </c>
      <c r="S23">
        <f>IF($AH23="","",INDEX('Per Line'!$AH$2:$AH$201,$AH23)&amp;"")</f>
        <v/>
      </c>
      <c r="T23" s="11">
        <f>IF($AH23="","",INDEX('Per Line'!$AI$2:$AI$201,$AH23))</f>
        <v/>
      </c>
      <c r="U23">
        <f>IF($AH23="","",Settings!$C$8)</f>
        <v/>
      </c>
      <c r="V23" s="7">
        <f>IF($AH23="","",SUMIFS('Per Line'!$V$2:$V$201,'Per Line'!$D$2:$D$201,$B23,'Per Line'!$AN$2:$AN$201,1))</f>
        <v/>
      </c>
      <c r="W23" s="7">
        <f>IF($AH23="","",V23*U23)</f>
        <v/>
      </c>
      <c r="X23">
        <f>IF($AH23="","",Settings!$C$7)</f>
        <v/>
      </c>
      <c r="Y23" s="7">
        <f>IF($AH23="","",SUMIFS('Per Line'!$V$2:$V$201,'Per Line'!$D$2:$D$201,$B23,'Per Line'!$AM$2:$AM$201,0,'Per Line'!$AN$2:$AN$201,0))</f>
        <v/>
      </c>
      <c r="Z23" s="7">
        <f>IF($AH23="","",Y23*X23)</f>
        <v/>
      </c>
      <c r="AA23">
        <f>IF($AH23="","",Settings!$C$6)</f>
        <v/>
      </c>
      <c r="AB23" s="7">
        <f>IF($AH23="","",SUMIFS('Per Line'!$V$2:$V$201,'Per Line'!$D$2:$D$201,$B23,'Per Line'!$AM$2:$AM$201,1,'Per Line'!$AN$2:$AN$201,0))</f>
        <v/>
      </c>
      <c r="AC23" s="7">
        <f>IF($AH23="","",AB23*AA23)</f>
        <v/>
      </c>
      <c r="AD23" s="7">
        <f>IF($AH23="","",AC23+Z23+W23)</f>
        <v/>
      </c>
      <c r="AE23" s="7">
        <f>IF($AH23="","",AF23-AD23)</f>
        <v/>
      </c>
      <c r="AF23" s="7">
        <f>IF($AH23="","",Y23+AB23+V23)</f>
        <v/>
      </c>
      <c r="AG23" s="7">
        <f>IF($AH23="","",AF23-AD23-N23)</f>
        <v/>
      </c>
      <c r="AH23" s="13">
        <f>IF(ROWS($AH$2:$AH23)&lt;=MAX('Per Line'!$AL$2:$AL$201),MATCH(ROWS($AH$2:$AH23),'Per Line'!$AL$2:$AL$201,0),"")</f>
        <v/>
      </c>
    </row>
    <row r="24">
      <c r="A24" s="12" t="n"/>
      <c r="B24">
        <f>IF($AH24="","",INDEX('Per Line'!$D$2:$D$201,$AH24)&amp;"")</f>
        <v/>
      </c>
      <c r="C24">
        <f>IF($AH24="","",INDEX('Per Line'!$A$2:$A$201,$AH24)&amp;"")</f>
        <v/>
      </c>
      <c r="D24">
        <f>IF($AH24="","",INDEX('Per Line'!$B$2:$B$201,$AH24))</f>
        <v/>
      </c>
      <c r="E24">
        <f>IF($AH24="","",INDEX('Per Line'!$C$2:$C$201,$AH24)&amp;"")</f>
        <v/>
      </c>
      <c r="F24">
        <f>IF($AH24="","",INDEX('Per Line'!$E$2:$E$201,$AH24)&amp;"")</f>
        <v/>
      </c>
      <c r="G24" s="11">
        <f>IF($AH24="","",INDEX('Per Line'!$F$2:$F$201,$AH24))</f>
        <v/>
      </c>
      <c r="H24">
        <f>IF($AH24="","",INDEX('Per Line'!$G$2:$G$201,$AH24)&amp;"")</f>
        <v/>
      </c>
      <c r="I24">
        <f>IF($AH24="","",INDEX('Per Line'!$I$2:$I$201,$AH24)&amp;"")</f>
        <v/>
      </c>
      <c r="J24">
        <f>IF($AH24="","",INDEX('Per Line'!$J$2:$J$201,$AH24)&amp;"")</f>
        <v/>
      </c>
      <c r="K24">
        <f>IF($AH24="","",INDEX('Per Line'!$K$2:$K$201,$AH24)&amp;"")</f>
        <v/>
      </c>
      <c r="L24">
        <f>IF($AH24="","",INDEX('Per Line'!$L$2:$L$201,$AH24)&amp;"")</f>
        <v/>
      </c>
      <c r="M24">
        <f>IF($AH24="","",INDEX('Per Line'!$M$2:$M$201,$AH24))</f>
        <v/>
      </c>
      <c r="N24" s="7">
        <f>IF($AH24="","",M24*AE24/100)</f>
        <v/>
      </c>
      <c r="O24">
        <f>IF($AH24="","",INDEX('Per Line'!$Z$2:$Z$201,$AH24)&amp;"")</f>
        <v/>
      </c>
      <c r="P24">
        <f>IF($AH24="","",INDEX('Per Line'!$AC$2:$AC$201,$AH24)&amp;"")</f>
        <v/>
      </c>
      <c r="Q24">
        <f>IF($AH24="","",INDEX('Per Line'!$AD$2:$AD$201,$AH24))</f>
        <v/>
      </c>
      <c r="R24">
        <f>IF($AH24="","",IF(AND(ISNUMBER(Q24),Q24&gt;0),AF24&gt;Q24,FALSE))</f>
        <v/>
      </c>
      <c r="S24">
        <f>IF($AH24="","",INDEX('Per Line'!$AH$2:$AH$201,$AH24)&amp;"")</f>
        <v/>
      </c>
      <c r="T24" s="11">
        <f>IF($AH24="","",INDEX('Per Line'!$AI$2:$AI$201,$AH24))</f>
        <v/>
      </c>
      <c r="U24">
        <f>IF($AH24="","",Settings!$C$8)</f>
        <v/>
      </c>
      <c r="V24" s="7">
        <f>IF($AH24="","",SUMIFS('Per Line'!$V$2:$V$201,'Per Line'!$D$2:$D$201,$B24,'Per Line'!$AN$2:$AN$201,1))</f>
        <v/>
      </c>
      <c r="W24" s="7">
        <f>IF($AH24="","",V24*U24)</f>
        <v/>
      </c>
      <c r="X24">
        <f>IF($AH24="","",Settings!$C$7)</f>
        <v/>
      </c>
      <c r="Y24" s="7">
        <f>IF($AH24="","",SUMIFS('Per Line'!$V$2:$V$201,'Per Line'!$D$2:$D$201,$B24,'Per Line'!$AM$2:$AM$201,0,'Per Line'!$AN$2:$AN$201,0))</f>
        <v/>
      </c>
      <c r="Z24" s="7">
        <f>IF($AH24="","",Y24*X24)</f>
        <v/>
      </c>
      <c r="AA24">
        <f>IF($AH24="","",Settings!$C$6)</f>
        <v/>
      </c>
      <c r="AB24" s="7">
        <f>IF($AH24="","",SUMIFS('Per Line'!$V$2:$V$201,'Per Line'!$D$2:$D$201,$B24,'Per Line'!$AM$2:$AM$201,1,'Per Line'!$AN$2:$AN$201,0))</f>
        <v/>
      </c>
      <c r="AC24" s="7">
        <f>IF($AH24="","",AB24*AA24)</f>
        <v/>
      </c>
      <c r="AD24" s="7">
        <f>IF($AH24="","",AC24+Z24+W24)</f>
        <v/>
      </c>
      <c r="AE24" s="7">
        <f>IF($AH24="","",AF24-AD24)</f>
        <v/>
      </c>
      <c r="AF24" s="7">
        <f>IF($AH24="","",Y24+AB24+V24)</f>
        <v/>
      </c>
      <c r="AG24" s="7">
        <f>IF($AH24="","",AF24-AD24-N24)</f>
        <v/>
      </c>
      <c r="AH24" s="13">
        <f>IF(ROWS($AH$2:$AH24)&lt;=MAX('Per Line'!$AL$2:$AL$201),MATCH(ROWS($AH$2:$AH24),'Per Line'!$AL$2:$AL$201,0),"")</f>
        <v/>
      </c>
    </row>
    <row r="25">
      <c r="A25" s="12" t="n"/>
      <c r="B25">
        <f>IF($AH25="","",INDEX('Per Line'!$D$2:$D$201,$AH25)&amp;"")</f>
        <v/>
      </c>
      <c r="C25">
        <f>IF($AH25="","",INDEX('Per Line'!$A$2:$A$201,$AH25)&amp;"")</f>
        <v/>
      </c>
      <c r="D25">
        <f>IF($AH25="","",INDEX('Per Line'!$B$2:$B$201,$AH25))</f>
        <v/>
      </c>
      <c r="E25">
        <f>IF($AH25="","",INDEX('Per Line'!$C$2:$C$201,$AH25)&amp;"")</f>
        <v/>
      </c>
      <c r="F25">
        <f>IF($AH25="","",INDEX('Per Line'!$E$2:$E$201,$AH25)&amp;"")</f>
        <v/>
      </c>
      <c r="G25" s="11">
        <f>IF($AH25="","",INDEX('Per Line'!$F$2:$F$201,$AH25))</f>
        <v/>
      </c>
      <c r="H25">
        <f>IF($AH25="","",INDEX('Per Line'!$G$2:$G$201,$AH25)&amp;"")</f>
        <v/>
      </c>
      <c r="I25">
        <f>IF($AH25="","",INDEX('Per Line'!$I$2:$I$201,$AH25)&amp;"")</f>
        <v/>
      </c>
      <c r="J25">
        <f>IF($AH25="","",INDEX('Per Line'!$J$2:$J$201,$AH25)&amp;"")</f>
        <v/>
      </c>
      <c r="K25">
        <f>IF($AH25="","",INDEX('Per Line'!$K$2:$K$201,$AH25)&amp;"")</f>
        <v/>
      </c>
      <c r="L25">
        <f>IF($AH25="","",INDEX('Per Line'!$L$2:$L$201,$AH25)&amp;"")</f>
        <v/>
      </c>
      <c r="M25">
        <f>IF($AH25="","",INDEX('Per Line'!$M$2:$M$201,$AH25))</f>
        <v/>
      </c>
      <c r="N25" s="7">
        <f>IF($AH25="","",M25*AE25/100)</f>
        <v/>
      </c>
      <c r="O25">
        <f>IF($AH25="","",INDEX('Per Line'!$Z$2:$Z$201,$AH25)&amp;"")</f>
        <v/>
      </c>
      <c r="P25">
        <f>IF($AH25="","",INDEX('Per Line'!$AC$2:$AC$201,$AH25)&amp;"")</f>
        <v/>
      </c>
      <c r="Q25">
        <f>IF($AH25="","",INDEX('Per Line'!$AD$2:$AD$201,$AH25))</f>
        <v/>
      </c>
      <c r="R25">
        <f>IF($AH25="","",IF(AND(ISNUMBER(Q25),Q25&gt;0),AF25&gt;Q25,FALSE))</f>
        <v/>
      </c>
      <c r="S25">
        <f>IF($AH25="","",INDEX('Per Line'!$AH$2:$AH$201,$AH25)&amp;"")</f>
        <v/>
      </c>
      <c r="T25" s="11">
        <f>IF($AH25="","",INDEX('Per Line'!$AI$2:$AI$201,$AH25))</f>
        <v/>
      </c>
      <c r="U25">
        <f>IF($AH25="","",Settings!$C$8)</f>
        <v/>
      </c>
      <c r="V25" s="7">
        <f>IF($AH25="","",SUMIFS('Per Line'!$V$2:$V$201,'Per Line'!$D$2:$D$201,$B25,'Per Line'!$AN$2:$AN$201,1))</f>
        <v/>
      </c>
      <c r="W25" s="7">
        <f>IF($AH25="","",V25*U25)</f>
        <v/>
      </c>
      <c r="X25">
        <f>IF($AH25="","",Settings!$C$7)</f>
        <v/>
      </c>
      <c r="Y25" s="7">
        <f>IF($AH25="","",SUMIFS('Per Line'!$V$2:$V$201,'Per Line'!$D$2:$D$201,$B25,'Per Line'!$AM$2:$AM$201,0,'Per Line'!$AN$2:$AN$201,0))</f>
        <v/>
      </c>
      <c r="Z25" s="7">
        <f>IF($AH25="","",Y25*X25)</f>
        <v/>
      </c>
      <c r="AA25">
        <f>IF($AH25="","",Settings!$C$6)</f>
        <v/>
      </c>
      <c r="AB25" s="7">
        <f>IF($AH25="","",SUMIFS('Per Line'!$V$2:$V$201,'Per Line'!$D$2:$D$201,$B25,'Per Line'!$AM$2:$AM$201,1,'Per Line'!$AN$2:$AN$201,0))</f>
        <v/>
      </c>
      <c r="AC25" s="7">
        <f>IF($AH25="","",AB25*AA25)</f>
        <v/>
      </c>
      <c r="AD25" s="7">
        <f>IF($AH25="","",AC25+Z25+W25)</f>
        <v/>
      </c>
      <c r="AE25" s="7">
        <f>IF($AH25="","",AF25-AD25)</f>
        <v/>
      </c>
      <c r="AF25" s="7">
        <f>IF($AH25="","",Y25+AB25+V25)</f>
        <v/>
      </c>
      <c r="AG25" s="7">
        <f>IF($AH25="","",AF25-AD25-N25)</f>
        <v/>
      </c>
      <c r="AH25" s="13">
        <f>IF(ROWS($AH$2:$AH25)&lt;=MAX('Per Line'!$AL$2:$AL$201),MATCH(ROWS($AH$2:$AH25),'Per Line'!$AL$2:$AL$201,0),"")</f>
        <v/>
      </c>
    </row>
    <row r="26">
      <c r="A26" s="12" t="n"/>
      <c r="B26">
        <f>IF($AH26="","",INDEX('Per Line'!$D$2:$D$201,$AH26)&amp;"")</f>
        <v/>
      </c>
      <c r="C26">
        <f>IF($AH26="","",INDEX('Per Line'!$A$2:$A$201,$AH26)&amp;"")</f>
        <v/>
      </c>
      <c r="D26">
        <f>IF($AH26="","",INDEX('Per Line'!$B$2:$B$201,$AH26))</f>
        <v/>
      </c>
      <c r="E26">
        <f>IF($AH26="","",INDEX('Per Line'!$C$2:$C$201,$AH26)&amp;"")</f>
        <v/>
      </c>
      <c r="F26">
        <f>IF($AH26="","",INDEX('Per Line'!$E$2:$E$201,$AH26)&amp;"")</f>
        <v/>
      </c>
      <c r="G26" s="11">
        <f>IF($AH26="","",INDEX('Per Line'!$F$2:$F$201,$AH26))</f>
        <v/>
      </c>
      <c r="H26">
        <f>IF($AH26="","",INDEX('Per Line'!$G$2:$G$201,$AH26)&amp;"")</f>
        <v/>
      </c>
      <c r="I26">
        <f>IF($AH26="","",INDEX('Per Line'!$I$2:$I$201,$AH26)&amp;"")</f>
        <v/>
      </c>
      <c r="J26">
        <f>IF($AH26="","",INDEX('Per Line'!$J$2:$J$201,$AH26)&amp;"")</f>
        <v/>
      </c>
      <c r="K26">
        <f>IF($AH26="","",INDEX('Per Line'!$K$2:$K$201,$AH26)&amp;"")</f>
        <v/>
      </c>
      <c r="L26">
        <f>IF($AH26="","",INDEX('Per Line'!$L$2:$L$201,$AH26)&amp;"")</f>
        <v/>
      </c>
      <c r="M26">
        <f>IF($AH26="","",INDEX('Per Line'!$M$2:$M$201,$AH26))</f>
        <v/>
      </c>
      <c r="N26" s="7">
        <f>IF($AH26="","",M26*AE26/100)</f>
        <v/>
      </c>
      <c r="O26">
        <f>IF($AH26="","",INDEX('Per Line'!$Z$2:$Z$201,$AH26)&amp;"")</f>
        <v/>
      </c>
      <c r="P26">
        <f>IF($AH26="","",INDEX('Per Line'!$AC$2:$AC$201,$AH26)&amp;"")</f>
        <v/>
      </c>
      <c r="Q26">
        <f>IF($AH26="","",INDEX('Per Line'!$AD$2:$AD$201,$AH26))</f>
        <v/>
      </c>
      <c r="R26">
        <f>IF($AH26="","",IF(AND(ISNUMBER(Q26),Q26&gt;0),AF26&gt;Q26,FALSE))</f>
        <v/>
      </c>
      <c r="S26">
        <f>IF($AH26="","",INDEX('Per Line'!$AH$2:$AH$201,$AH26)&amp;"")</f>
        <v/>
      </c>
      <c r="T26" s="11">
        <f>IF($AH26="","",INDEX('Per Line'!$AI$2:$AI$201,$AH26))</f>
        <v/>
      </c>
      <c r="U26">
        <f>IF($AH26="","",Settings!$C$8)</f>
        <v/>
      </c>
      <c r="V26" s="7">
        <f>IF($AH26="","",SUMIFS('Per Line'!$V$2:$V$201,'Per Line'!$D$2:$D$201,$B26,'Per Line'!$AN$2:$AN$201,1))</f>
        <v/>
      </c>
      <c r="W26" s="7">
        <f>IF($AH26="","",V26*U26)</f>
        <v/>
      </c>
      <c r="X26">
        <f>IF($AH26="","",Settings!$C$7)</f>
        <v/>
      </c>
      <c r="Y26" s="7">
        <f>IF($AH26="","",SUMIFS('Per Line'!$V$2:$V$201,'Per Line'!$D$2:$D$201,$B26,'Per Line'!$AM$2:$AM$201,0,'Per Line'!$AN$2:$AN$201,0))</f>
        <v/>
      </c>
      <c r="Z26" s="7">
        <f>IF($AH26="","",Y26*X26)</f>
        <v/>
      </c>
      <c r="AA26">
        <f>IF($AH26="","",Settings!$C$6)</f>
        <v/>
      </c>
      <c r="AB26" s="7">
        <f>IF($AH26="","",SUMIFS('Per Line'!$V$2:$V$201,'Per Line'!$D$2:$D$201,$B26,'Per Line'!$AM$2:$AM$201,1,'Per Line'!$AN$2:$AN$201,0))</f>
        <v/>
      </c>
      <c r="AC26" s="7">
        <f>IF($AH26="","",AB26*AA26)</f>
        <v/>
      </c>
      <c r="AD26" s="7">
        <f>IF($AH26="","",AC26+Z26+W26)</f>
        <v/>
      </c>
      <c r="AE26" s="7">
        <f>IF($AH26="","",AF26-AD26)</f>
        <v/>
      </c>
      <c r="AF26" s="7">
        <f>IF($AH26="","",Y26+AB26+V26)</f>
        <v/>
      </c>
      <c r="AG26" s="7">
        <f>IF($AH26="","",AF26-AD26-N26)</f>
        <v/>
      </c>
      <c r="AH26" s="13">
        <f>IF(ROWS($AH$2:$AH26)&lt;=MAX('Per Line'!$AL$2:$AL$201),MATCH(ROWS($AH$2:$AH26),'Per Line'!$AL$2:$AL$201,0),"")</f>
        <v/>
      </c>
    </row>
    <row r="27">
      <c r="A27" s="12" t="n"/>
      <c r="B27">
        <f>IF($AH27="","",INDEX('Per Line'!$D$2:$D$201,$AH27)&amp;"")</f>
        <v/>
      </c>
      <c r="C27">
        <f>IF($AH27="","",INDEX('Per Line'!$A$2:$A$201,$AH27)&amp;"")</f>
        <v/>
      </c>
      <c r="D27">
        <f>IF($AH27="","",INDEX('Per Line'!$B$2:$B$201,$AH27))</f>
        <v/>
      </c>
      <c r="E27">
        <f>IF($AH27="","",INDEX('Per Line'!$C$2:$C$201,$AH27)&amp;"")</f>
        <v/>
      </c>
      <c r="F27">
        <f>IF($AH27="","",INDEX('Per Line'!$E$2:$E$201,$AH27)&amp;"")</f>
        <v/>
      </c>
      <c r="G27" s="11">
        <f>IF($AH27="","",INDEX('Per Line'!$F$2:$F$201,$AH27))</f>
        <v/>
      </c>
      <c r="H27">
        <f>IF($AH27="","",INDEX('Per Line'!$G$2:$G$201,$AH27)&amp;"")</f>
        <v/>
      </c>
      <c r="I27">
        <f>IF($AH27="","",INDEX('Per Line'!$I$2:$I$201,$AH27)&amp;"")</f>
        <v/>
      </c>
      <c r="J27">
        <f>IF($AH27="","",INDEX('Per Line'!$J$2:$J$201,$AH27)&amp;"")</f>
        <v/>
      </c>
      <c r="K27">
        <f>IF($AH27="","",INDEX('Per Line'!$K$2:$K$201,$AH27)&amp;"")</f>
        <v/>
      </c>
      <c r="L27">
        <f>IF($AH27="","",INDEX('Per Line'!$L$2:$L$201,$AH27)&amp;"")</f>
        <v/>
      </c>
      <c r="M27">
        <f>IF($AH27="","",INDEX('Per Line'!$M$2:$M$201,$AH27))</f>
        <v/>
      </c>
      <c r="N27" s="7">
        <f>IF($AH27="","",M27*AE27/100)</f>
        <v/>
      </c>
      <c r="O27">
        <f>IF($AH27="","",INDEX('Per Line'!$Z$2:$Z$201,$AH27)&amp;"")</f>
        <v/>
      </c>
      <c r="P27">
        <f>IF($AH27="","",INDEX('Per Line'!$AC$2:$AC$201,$AH27)&amp;"")</f>
        <v/>
      </c>
      <c r="Q27">
        <f>IF($AH27="","",INDEX('Per Line'!$AD$2:$AD$201,$AH27))</f>
        <v/>
      </c>
      <c r="R27">
        <f>IF($AH27="","",IF(AND(ISNUMBER(Q27),Q27&gt;0),AF27&gt;Q27,FALSE))</f>
        <v/>
      </c>
      <c r="S27">
        <f>IF($AH27="","",INDEX('Per Line'!$AH$2:$AH$201,$AH27)&amp;"")</f>
        <v/>
      </c>
      <c r="T27" s="11">
        <f>IF($AH27="","",INDEX('Per Line'!$AI$2:$AI$201,$AH27))</f>
        <v/>
      </c>
      <c r="U27">
        <f>IF($AH27="","",Settings!$C$8)</f>
        <v/>
      </c>
      <c r="V27" s="7">
        <f>IF($AH27="","",SUMIFS('Per Line'!$V$2:$V$201,'Per Line'!$D$2:$D$201,$B27,'Per Line'!$AN$2:$AN$201,1))</f>
        <v/>
      </c>
      <c r="W27" s="7">
        <f>IF($AH27="","",V27*U27)</f>
        <v/>
      </c>
      <c r="X27">
        <f>IF($AH27="","",Settings!$C$7)</f>
        <v/>
      </c>
      <c r="Y27" s="7">
        <f>IF($AH27="","",SUMIFS('Per Line'!$V$2:$V$201,'Per Line'!$D$2:$D$201,$B27,'Per Line'!$AM$2:$AM$201,0,'Per Line'!$AN$2:$AN$201,0))</f>
        <v/>
      </c>
      <c r="Z27" s="7">
        <f>IF($AH27="","",Y27*X27)</f>
        <v/>
      </c>
      <c r="AA27">
        <f>IF($AH27="","",Settings!$C$6)</f>
        <v/>
      </c>
      <c r="AB27" s="7">
        <f>IF($AH27="","",SUMIFS('Per Line'!$V$2:$V$201,'Per Line'!$D$2:$D$201,$B27,'Per Line'!$AM$2:$AM$201,1,'Per Line'!$AN$2:$AN$201,0))</f>
        <v/>
      </c>
      <c r="AC27" s="7">
        <f>IF($AH27="","",AB27*AA27)</f>
        <v/>
      </c>
      <c r="AD27" s="7">
        <f>IF($AH27="","",AC27+Z27+W27)</f>
        <v/>
      </c>
      <c r="AE27" s="7">
        <f>IF($AH27="","",AF27-AD27)</f>
        <v/>
      </c>
      <c r="AF27" s="7">
        <f>IF($AH27="","",Y27+AB27+V27)</f>
        <v/>
      </c>
      <c r="AG27" s="7">
        <f>IF($AH27="","",AF27-AD27-N27)</f>
        <v/>
      </c>
      <c r="AH27" s="13">
        <f>IF(ROWS($AH$2:$AH27)&lt;=MAX('Per Line'!$AL$2:$AL$201),MATCH(ROWS($AH$2:$AH27),'Per Line'!$AL$2:$AL$201,0),"")</f>
        <v/>
      </c>
    </row>
    <row r="28">
      <c r="A28" s="12" t="n"/>
      <c r="B28">
        <f>IF($AH28="","",INDEX('Per Line'!$D$2:$D$201,$AH28)&amp;"")</f>
        <v/>
      </c>
      <c r="C28">
        <f>IF($AH28="","",INDEX('Per Line'!$A$2:$A$201,$AH28)&amp;"")</f>
        <v/>
      </c>
      <c r="D28">
        <f>IF($AH28="","",INDEX('Per Line'!$B$2:$B$201,$AH28))</f>
        <v/>
      </c>
      <c r="E28">
        <f>IF($AH28="","",INDEX('Per Line'!$C$2:$C$201,$AH28)&amp;"")</f>
        <v/>
      </c>
      <c r="F28">
        <f>IF($AH28="","",INDEX('Per Line'!$E$2:$E$201,$AH28)&amp;"")</f>
        <v/>
      </c>
      <c r="G28" s="11">
        <f>IF($AH28="","",INDEX('Per Line'!$F$2:$F$201,$AH28))</f>
        <v/>
      </c>
      <c r="H28">
        <f>IF($AH28="","",INDEX('Per Line'!$G$2:$G$201,$AH28)&amp;"")</f>
        <v/>
      </c>
      <c r="I28">
        <f>IF($AH28="","",INDEX('Per Line'!$I$2:$I$201,$AH28)&amp;"")</f>
        <v/>
      </c>
      <c r="J28">
        <f>IF($AH28="","",INDEX('Per Line'!$J$2:$J$201,$AH28)&amp;"")</f>
        <v/>
      </c>
      <c r="K28">
        <f>IF($AH28="","",INDEX('Per Line'!$K$2:$K$201,$AH28)&amp;"")</f>
        <v/>
      </c>
      <c r="L28">
        <f>IF($AH28="","",INDEX('Per Line'!$L$2:$L$201,$AH28)&amp;"")</f>
        <v/>
      </c>
      <c r="M28">
        <f>IF($AH28="","",INDEX('Per Line'!$M$2:$M$201,$AH28))</f>
        <v/>
      </c>
      <c r="N28" s="7">
        <f>IF($AH28="","",M28*AE28/100)</f>
        <v/>
      </c>
      <c r="O28">
        <f>IF($AH28="","",INDEX('Per Line'!$Z$2:$Z$201,$AH28)&amp;"")</f>
        <v/>
      </c>
      <c r="P28">
        <f>IF($AH28="","",INDEX('Per Line'!$AC$2:$AC$201,$AH28)&amp;"")</f>
        <v/>
      </c>
      <c r="Q28">
        <f>IF($AH28="","",INDEX('Per Line'!$AD$2:$AD$201,$AH28))</f>
        <v/>
      </c>
      <c r="R28">
        <f>IF($AH28="","",IF(AND(ISNUMBER(Q28),Q28&gt;0),AF28&gt;Q28,FALSE))</f>
        <v/>
      </c>
      <c r="S28">
        <f>IF($AH28="","",INDEX('Per Line'!$AH$2:$AH$201,$AH28)&amp;"")</f>
        <v/>
      </c>
      <c r="T28" s="11">
        <f>IF($AH28="","",INDEX('Per Line'!$AI$2:$AI$201,$AH28))</f>
        <v/>
      </c>
      <c r="U28">
        <f>IF($AH28="","",Settings!$C$8)</f>
        <v/>
      </c>
      <c r="V28" s="7">
        <f>IF($AH28="","",SUMIFS('Per Line'!$V$2:$V$201,'Per Line'!$D$2:$D$201,$B28,'Per Line'!$AN$2:$AN$201,1))</f>
        <v/>
      </c>
      <c r="W28" s="7">
        <f>IF($AH28="","",V28*U28)</f>
        <v/>
      </c>
      <c r="X28">
        <f>IF($AH28="","",Settings!$C$7)</f>
        <v/>
      </c>
      <c r="Y28" s="7">
        <f>IF($AH28="","",SUMIFS('Per Line'!$V$2:$V$201,'Per Line'!$D$2:$D$201,$B28,'Per Line'!$AM$2:$AM$201,0,'Per Line'!$AN$2:$AN$201,0))</f>
        <v/>
      </c>
      <c r="Z28" s="7">
        <f>IF($AH28="","",Y28*X28)</f>
        <v/>
      </c>
      <c r="AA28">
        <f>IF($AH28="","",Settings!$C$6)</f>
        <v/>
      </c>
      <c r="AB28" s="7">
        <f>IF($AH28="","",SUMIFS('Per Line'!$V$2:$V$201,'Per Line'!$D$2:$D$201,$B28,'Per Line'!$AM$2:$AM$201,1,'Per Line'!$AN$2:$AN$201,0))</f>
        <v/>
      </c>
      <c r="AC28" s="7">
        <f>IF($AH28="","",AB28*AA28)</f>
        <v/>
      </c>
      <c r="AD28" s="7">
        <f>IF($AH28="","",AC28+Z28+W28)</f>
        <v/>
      </c>
      <c r="AE28" s="7">
        <f>IF($AH28="","",AF28-AD28)</f>
        <v/>
      </c>
      <c r="AF28" s="7">
        <f>IF($AH28="","",Y28+AB28+V28)</f>
        <v/>
      </c>
      <c r="AG28" s="7">
        <f>IF($AH28="","",AF28-AD28-N28)</f>
        <v/>
      </c>
      <c r="AH28" s="13">
        <f>IF(ROWS($AH$2:$AH28)&lt;=MAX('Per Line'!$AL$2:$AL$201),MATCH(ROWS($AH$2:$AH28),'Per Line'!$AL$2:$AL$201,0),"")</f>
        <v/>
      </c>
    </row>
    <row r="29">
      <c r="A29" s="12" t="n"/>
      <c r="B29">
        <f>IF($AH29="","",INDEX('Per Line'!$D$2:$D$201,$AH29)&amp;"")</f>
        <v/>
      </c>
      <c r="C29">
        <f>IF($AH29="","",INDEX('Per Line'!$A$2:$A$201,$AH29)&amp;"")</f>
        <v/>
      </c>
      <c r="D29">
        <f>IF($AH29="","",INDEX('Per Line'!$B$2:$B$201,$AH29))</f>
        <v/>
      </c>
      <c r="E29">
        <f>IF($AH29="","",INDEX('Per Line'!$C$2:$C$201,$AH29)&amp;"")</f>
        <v/>
      </c>
      <c r="F29">
        <f>IF($AH29="","",INDEX('Per Line'!$E$2:$E$201,$AH29)&amp;"")</f>
        <v/>
      </c>
      <c r="G29" s="11">
        <f>IF($AH29="","",INDEX('Per Line'!$F$2:$F$201,$AH29))</f>
        <v/>
      </c>
      <c r="H29">
        <f>IF($AH29="","",INDEX('Per Line'!$G$2:$G$201,$AH29)&amp;"")</f>
        <v/>
      </c>
      <c r="I29">
        <f>IF($AH29="","",INDEX('Per Line'!$I$2:$I$201,$AH29)&amp;"")</f>
        <v/>
      </c>
      <c r="J29">
        <f>IF($AH29="","",INDEX('Per Line'!$J$2:$J$201,$AH29)&amp;"")</f>
        <v/>
      </c>
      <c r="K29">
        <f>IF($AH29="","",INDEX('Per Line'!$K$2:$K$201,$AH29)&amp;"")</f>
        <v/>
      </c>
      <c r="L29">
        <f>IF($AH29="","",INDEX('Per Line'!$L$2:$L$201,$AH29)&amp;"")</f>
        <v/>
      </c>
      <c r="M29">
        <f>IF($AH29="","",INDEX('Per Line'!$M$2:$M$201,$AH29))</f>
        <v/>
      </c>
      <c r="N29" s="7">
        <f>IF($AH29="","",M29*AE29/100)</f>
        <v/>
      </c>
      <c r="O29">
        <f>IF($AH29="","",INDEX('Per Line'!$Z$2:$Z$201,$AH29)&amp;"")</f>
        <v/>
      </c>
      <c r="P29">
        <f>IF($AH29="","",INDEX('Per Line'!$AC$2:$AC$201,$AH29)&amp;"")</f>
        <v/>
      </c>
      <c r="Q29">
        <f>IF($AH29="","",INDEX('Per Line'!$AD$2:$AD$201,$AH29))</f>
        <v/>
      </c>
      <c r="R29">
        <f>IF($AH29="","",IF(AND(ISNUMBER(Q29),Q29&gt;0),AF29&gt;Q29,FALSE))</f>
        <v/>
      </c>
      <c r="S29">
        <f>IF($AH29="","",INDEX('Per Line'!$AH$2:$AH$201,$AH29)&amp;"")</f>
        <v/>
      </c>
      <c r="T29" s="11">
        <f>IF($AH29="","",INDEX('Per Line'!$AI$2:$AI$201,$AH29))</f>
        <v/>
      </c>
      <c r="U29">
        <f>IF($AH29="","",Settings!$C$8)</f>
        <v/>
      </c>
      <c r="V29" s="7">
        <f>IF($AH29="","",SUMIFS('Per Line'!$V$2:$V$201,'Per Line'!$D$2:$D$201,$B29,'Per Line'!$AN$2:$AN$201,1))</f>
        <v/>
      </c>
      <c r="W29" s="7">
        <f>IF($AH29="","",V29*U29)</f>
        <v/>
      </c>
      <c r="X29">
        <f>IF($AH29="","",Settings!$C$7)</f>
        <v/>
      </c>
      <c r="Y29" s="7">
        <f>IF($AH29="","",SUMIFS('Per Line'!$V$2:$V$201,'Per Line'!$D$2:$D$201,$B29,'Per Line'!$AM$2:$AM$201,0,'Per Line'!$AN$2:$AN$201,0))</f>
        <v/>
      </c>
      <c r="Z29" s="7">
        <f>IF($AH29="","",Y29*X29)</f>
        <v/>
      </c>
      <c r="AA29">
        <f>IF($AH29="","",Settings!$C$6)</f>
        <v/>
      </c>
      <c r="AB29" s="7">
        <f>IF($AH29="","",SUMIFS('Per Line'!$V$2:$V$201,'Per Line'!$D$2:$D$201,$B29,'Per Line'!$AM$2:$AM$201,1,'Per Line'!$AN$2:$AN$201,0))</f>
        <v/>
      </c>
      <c r="AC29" s="7">
        <f>IF($AH29="","",AB29*AA29)</f>
        <v/>
      </c>
      <c r="AD29" s="7">
        <f>IF($AH29="","",AC29+Z29+W29)</f>
        <v/>
      </c>
      <c r="AE29" s="7">
        <f>IF($AH29="","",AF29-AD29)</f>
        <v/>
      </c>
      <c r="AF29" s="7">
        <f>IF($AH29="","",Y29+AB29+V29)</f>
        <v/>
      </c>
      <c r="AG29" s="7">
        <f>IF($AH29="","",AF29-AD29-N29)</f>
        <v/>
      </c>
      <c r="AH29" s="13">
        <f>IF(ROWS($AH$2:$AH29)&lt;=MAX('Per Line'!$AL$2:$AL$201),MATCH(ROWS($AH$2:$AH29),'Per Line'!$AL$2:$AL$201,0),"")</f>
        <v/>
      </c>
    </row>
    <row r="30">
      <c r="A30" s="12" t="n"/>
      <c r="B30">
        <f>IF($AH30="","",INDEX('Per Line'!$D$2:$D$201,$AH30)&amp;"")</f>
        <v/>
      </c>
      <c r="C30">
        <f>IF($AH30="","",INDEX('Per Line'!$A$2:$A$201,$AH30)&amp;"")</f>
        <v/>
      </c>
      <c r="D30">
        <f>IF($AH30="","",INDEX('Per Line'!$B$2:$B$201,$AH30))</f>
        <v/>
      </c>
      <c r="E30">
        <f>IF($AH30="","",INDEX('Per Line'!$C$2:$C$201,$AH30)&amp;"")</f>
        <v/>
      </c>
      <c r="F30">
        <f>IF($AH30="","",INDEX('Per Line'!$E$2:$E$201,$AH30)&amp;"")</f>
        <v/>
      </c>
      <c r="G30" s="11">
        <f>IF($AH30="","",INDEX('Per Line'!$F$2:$F$201,$AH30))</f>
        <v/>
      </c>
      <c r="H30">
        <f>IF($AH30="","",INDEX('Per Line'!$G$2:$G$201,$AH30)&amp;"")</f>
        <v/>
      </c>
      <c r="I30">
        <f>IF($AH30="","",INDEX('Per Line'!$I$2:$I$201,$AH30)&amp;"")</f>
        <v/>
      </c>
      <c r="J30">
        <f>IF($AH30="","",INDEX('Per Line'!$J$2:$J$201,$AH30)&amp;"")</f>
        <v/>
      </c>
      <c r="K30">
        <f>IF($AH30="","",INDEX('Per Line'!$K$2:$K$201,$AH30)&amp;"")</f>
        <v/>
      </c>
      <c r="L30">
        <f>IF($AH30="","",INDEX('Per Line'!$L$2:$L$201,$AH30)&amp;"")</f>
        <v/>
      </c>
      <c r="M30">
        <f>IF($AH30="","",INDEX('Per Line'!$M$2:$M$201,$AH30))</f>
        <v/>
      </c>
      <c r="N30" s="7">
        <f>IF($AH30="","",M30*AE30/100)</f>
        <v/>
      </c>
      <c r="O30">
        <f>IF($AH30="","",INDEX('Per Line'!$Z$2:$Z$201,$AH30)&amp;"")</f>
        <v/>
      </c>
      <c r="P30">
        <f>IF($AH30="","",INDEX('Per Line'!$AC$2:$AC$201,$AH30)&amp;"")</f>
        <v/>
      </c>
      <c r="Q30">
        <f>IF($AH30="","",INDEX('Per Line'!$AD$2:$AD$201,$AH30))</f>
        <v/>
      </c>
      <c r="R30">
        <f>IF($AH30="","",IF(AND(ISNUMBER(Q30),Q30&gt;0),AF30&gt;Q30,FALSE))</f>
        <v/>
      </c>
      <c r="S30">
        <f>IF($AH30="","",INDEX('Per Line'!$AH$2:$AH$201,$AH30)&amp;"")</f>
        <v/>
      </c>
      <c r="T30" s="11">
        <f>IF($AH30="","",INDEX('Per Line'!$AI$2:$AI$201,$AH30))</f>
        <v/>
      </c>
      <c r="U30">
        <f>IF($AH30="","",Settings!$C$8)</f>
        <v/>
      </c>
      <c r="V30" s="7">
        <f>IF($AH30="","",SUMIFS('Per Line'!$V$2:$V$201,'Per Line'!$D$2:$D$201,$B30,'Per Line'!$AN$2:$AN$201,1))</f>
        <v/>
      </c>
      <c r="W30" s="7">
        <f>IF($AH30="","",V30*U30)</f>
        <v/>
      </c>
      <c r="X30">
        <f>IF($AH30="","",Settings!$C$7)</f>
        <v/>
      </c>
      <c r="Y30" s="7">
        <f>IF($AH30="","",SUMIFS('Per Line'!$V$2:$V$201,'Per Line'!$D$2:$D$201,$B30,'Per Line'!$AM$2:$AM$201,0,'Per Line'!$AN$2:$AN$201,0))</f>
        <v/>
      </c>
      <c r="Z30" s="7">
        <f>IF($AH30="","",Y30*X30)</f>
        <v/>
      </c>
      <c r="AA30">
        <f>IF($AH30="","",Settings!$C$6)</f>
        <v/>
      </c>
      <c r="AB30" s="7">
        <f>IF($AH30="","",SUMIFS('Per Line'!$V$2:$V$201,'Per Line'!$D$2:$D$201,$B30,'Per Line'!$AM$2:$AM$201,1,'Per Line'!$AN$2:$AN$201,0))</f>
        <v/>
      </c>
      <c r="AC30" s="7">
        <f>IF($AH30="","",AB30*AA30)</f>
        <v/>
      </c>
      <c r="AD30" s="7">
        <f>IF($AH30="","",AC30+Z30+W30)</f>
        <v/>
      </c>
      <c r="AE30" s="7">
        <f>IF($AH30="","",AF30-AD30)</f>
        <v/>
      </c>
      <c r="AF30" s="7">
        <f>IF($AH30="","",Y30+AB30+V30)</f>
        <v/>
      </c>
      <c r="AG30" s="7">
        <f>IF($AH30="","",AF30-AD30-N30)</f>
        <v/>
      </c>
      <c r="AH30" s="13">
        <f>IF(ROWS($AH$2:$AH30)&lt;=MAX('Per Line'!$AL$2:$AL$201),MATCH(ROWS($AH$2:$AH30),'Per Line'!$AL$2:$AL$201,0),"")</f>
        <v/>
      </c>
    </row>
    <row r="31">
      <c r="A31" s="12" t="n"/>
      <c r="B31">
        <f>IF($AH31="","",INDEX('Per Line'!$D$2:$D$201,$AH31)&amp;"")</f>
        <v/>
      </c>
      <c r="C31">
        <f>IF($AH31="","",INDEX('Per Line'!$A$2:$A$201,$AH31)&amp;"")</f>
        <v/>
      </c>
      <c r="D31">
        <f>IF($AH31="","",INDEX('Per Line'!$B$2:$B$201,$AH31))</f>
        <v/>
      </c>
      <c r="E31">
        <f>IF($AH31="","",INDEX('Per Line'!$C$2:$C$201,$AH31)&amp;"")</f>
        <v/>
      </c>
      <c r="F31">
        <f>IF($AH31="","",INDEX('Per Line'!$E$2:$E$201,$AH31)&amp;"")</f>
        <v/>
      </c>
      <c r="G31" s="11">
        <f>IF($AH31="","",INDEX('Per Line'!$F$2:$F$201,$AH31))</f>
        <v/>
      </c>
      <c r="H31">
        <f>IF($AH31="","",INDEX('Per Line'!$G$2:$G$201,$AH31)&amp;"")</f>
        <v/>
      </c>
      <c r="I31">
        <f>IF($AH31="","",INDEX('Per Line'!$I$2:$I$201,$AH31)&amp;"")</f>
        <v/>
      </c>
      <c r="J31">
        <f>IF($AH31="","",INDEX('Per Line'!$J$2:$J$201,$AH31)&amp;"")</f>
        <v/>
      </c>
      <c r="K31">
        <f>IF($AH31="","",INDEX('Per Line'!$K$2:$K$201,$AH31)&amp;"")</f>
        <v/>
      </c>
      <c r="L31">
        <f>IF($AH31="","",INDEX('Per Line'!$L$2:$L$201,$AH31)&amp;"")</f>
        <v/>
      </c>
      <c r="M31">
        <f>IF($AH31="","",INDEX('Per Line'!$M$2:$M$201,$AH31))</f>
        <v/>
      </c>
      <c r="N31" s="7">
        <f>IF($AH31="","",M31*AE31/100)</f>
        <v/>
      </c>
      <c r="O31">
        <f>IF($AH31="","",INDEX('Per Line'!$Z$2:$Z$201,$AH31)&amp;"")</f>
        <v/>
      </c>
      <c r="P31">
        <f>IF($AH31="","",INDEX('Per Line'!$AC$2:$AC$201,$AH31)&amp;"")</f>
        <v/>
      </c>
      <c r="Q31">
        <f>IF($AH31="","",INDEX('Per Line'!$AD$2:$AD$201,$AH31))</f>
        <v/>
      </c>
      <c r="R31">
        <f>IF($AH31="","",IF(AND(ISNUMBER(Q31),Q31&gt;0),AF31&gt;Q31,FALSE))</f>
        <v/>
      </c>
      <c r="S31">
        <f>IF($AH31="","",INDEX('Per Line'!$AH$2:$AH$201,$AH31)&amp;"")</f>
        <v/>
      </c>
      <c r="T31" s="11">
        <f>IF($AH31="","",INDEX('Per Line'!$AI$2:$AI$201,$AH31))</f>
        <v/>
      </c>
      <c r="U31">
        <f>IF($AH31="","",Settings!$C$8)</f>
        <v/>
      </c>
      <c r="V31" s="7">
        <f>IF($AH31="","",SUMIFS('Per Line'!$V$2:$V$201,'Per Line'!$D$2:$D$201,$B31,'Per Line'!$AN$2:$AN$201,1))</f>
        <v/>
      </c>
      <c r="W31" s="7">
        <f>IF($AH31="","",V31*U31)</f>
        <v/>
      </c>
      <c r="X31">
        <f>IF($AH31="","",Settings!$C$7)</f>
        <v/>
      </c>
      <c r="Y31" s="7">
        <f>IF($AH31="","",SUMIFS('Per Line'!$V$2:$V$201,'Per Line'!$D$2:$D$201,$B31,'Per Line'!$AM$2:$AM$201,0,'Per Line'!$AN$2:$AN$201,0))</f>
        <v/>
      </c>
      <c r="Z31" s="7">
        <f>IF($AH31="","",Y31*X31)</f>
        <v/>
      </c>
      <c r="AA31">
        <f>IF($AH31="","",Settings!$C$6)</f>
        <v/>
      </c>
      <c r="AB31" s="7">
        <f>IF($AH31="","",SUMIFS('Per Line'!$V$2:$V$201,'Per Line'!$D$2:$D$201,$B31,'Per Line'!$AM$2:$AM$201,1,'Per Line'!$AN$2:$AN$201,0))</f>
        <v/>
      </c>
      <c r="AC31" s="7">
        <f>IF($AH31="","",AB31*AA31)</f>
        <v/>
      </c>
      <c r="AD31" s="7">
        <f>IF($AH31="","",AC31+Z31+W31)</f>
        <v/>
      </c>
      <c r="AE31" s="7">
        <f>IF($AH31="","",AF31-AD31)</f>
        <v/>
      </c>
      <c r="AF31" s="7">
        <f>IF($AH31="","",Y31+AB31+V31)</f>
        <v/>
      </c>
      <c r="AG31" s="7">
        <f>IF($AH31="","",AF31-AD31-N31)</f>
        <v/>
      </c>
      <c r="AH31" s="13">
        <f>IF(ROWS($AH$2:$AH31)&lt;=MAX('Per Line'!$AL$2:$AL$201),MATCH(ROWS($AH$2:$AH31),'Per Line'!$AL$2:$AL$201,0),"")</f>
        <v/>
      </c>
    </row>
    <row r="32">
      <c r="A32" s="12" t="n"/>
      <c r="B32">
        <f>IF($AH32="","",INDEX('Per Line'!$D$2:$D$201,$AH32)&amp;"")</f>
        <v/>
      </c>
      <c r="C32">
        <f>IF($AH32="","",INDEX('Per Line'!$A$2:$A$201,$AH32)&amp;"")</f>
        <v/>
      </c>
      <c r="D32">
        <f>IF($AH32="","",INDEX('Per Line'!$B$2:$B$201,$AH32))</f>
        <v/>
      </c>
      <c r="E32">
        <f>IF($AH32="","",INDEX('Per Line'!$C$2:$C$201,$AH32)&amp;"")</f>
        <v/>
      </c>
      <c r="F32">
        <f>IF($AH32="","",INDEX('Per Line'!$E$2:$E$201,$AH32)&amp;"")</f>
        <v/>
      </c>
      <c r="G32" s="11">
        <f>IF($AH32="","",INDEX('Per Line'!$F$2:$F$201,$AH32))</f>
        <v/>
      </c>
      <c r="H32">
        <f>IF($AH32="","",INDEX('Per Line'!$G$2:$G$201,$AH32)&amp;"")</f>
        <v/>
      </c>
      <c r="I32">
        <f>IF($AH32="","",INDEX('Per Line'!$I$2:$I$201,$AH32)&amp;"")</f>
        <v/>
      </c>
      <c r="J32">
        <f>IF($AH32="","",INDEX('Per Line'!$J$2:$J$201,$AH32)&amp;"")</f>
        <v/>
      </c>
      <c r="K32">
        <f>IF($AH32="","",INDEX('Per Line'!$K$2:$K$201,$AH32)&amp;"")</f>
        <v/>
      </c>
      <c r="L32">
        <f>IF($AH32="","",INDEX('Per Line'!$L$2:$L$201,$AH32)&amp;"")</f>
        <v/>
      </c>
      <c r="M32">
        <f>IF($AH32="","",INDEX('Per Line'!$M$2:$M$201,$AH32))</f>
        <v/>
      </c>
      <c r="N32" s="7">
        <f>IF($AH32="","",M32*AE32/100)</f>
        <v/>
      </c>
      <c r="O32">
        <f>IF($AH32="","",INDEX('Per Line'!$Z$2:$Z$201,$AH32)&amp;"")</f>
        <v/>
      </c>
      <c r="P32">
        <f>IF($AH32="","",INDEX('Per Line'!$AC$2:$AC$201,$AH32)&amp;"")</f>
        <v/>
      </c>
      <c r="Q32">
        <f>IF($AH32="","",INDEX('Per Line'!$AD$2:$AD$201,$AH32))</f>
        <v/>
      </c>
      <c r="R32">
        <f>IF($AH32="","",IF(AND(ISNUMBER(Q32),Q32&gt;0),AF32&gt;Q32,FALSE))</f>
        <v/>
      </c>
      <c r="S32">
        <f>IF($AH32="","",INDEX('Per Line'!$AH$2:$AH$201,$AH32)&amp;"")</f>
        <v/>
      </c>
      <c r="T32" s="11">
        <f>IF($AH32="","",INDEX('Per Line'!$AI$2:$AI$201,$AH32))</f>
        <v/>
      </c>
      <c r="U32">
        <f>IF($AH32="","",Settings!$C$8)</f>
        <v/>
      </c>
      <c r="V32" s="7">
        <f>IF($AH32="","",SUMIFS('Per Line'!$V$2:$V$201,'Per Line'!$D$2:$D$201,$B32,'Per Line'!$AN$2:$AN$201,1))</f>
        <v/>
      </c>
      <c r="W32" s="7">
        <f>IF($AH32="","",V32*U32)</f>
        <v/>
      </c>
      <c r="X32">
        <f>IF($AH32="","",Settings!$C$7)</f>
        <v/>
      </c>
      <c r="Y32" s="7">
        <f>IF($AH32="","",SUMIFS('Per Line'!$V$2:$V$201,'Per Line'!$D$2:$D$201,$B32,'Per Line'!$AM$2:$AM$201,0,'Per Line'!$AN$2:$AN$201,0))</f>
        <v/>
      </c>
      <c r="Z32" s="7">
        <f>IF($AH32="","",Y32*X32)</f>
        <v/>
      </c>
      <c r="AA32">
        <f>IF($AH32="","",Settings!$C$6)</f>
        <v/>
      </c>
      <c r="AB32" s="7">
        <f>IF($AH32="","",SUMIFS('Per Line'!$V$2:$V$201,'Per Line'!$D$2:$D$201,$B32,'Per Line'!$AM$2:$AM$201,1,'Per Line'!$AN$2:$AN$201,0))</f>
        <v/>
      </c>
      <c r="AC32" s="7">
        <f>IF($AH32="","",AB32*AA32)</f>
        <v/>
      </c>
      <c r="AD32" s="7">
        <f>IF($AH32="","",AC32+Z32+W32)</f>
        <v/>
      </c>
      <c r="AE32" s="7">
        <f>IF($AH32="","",AF32-AD32)</f>
        <v/>
      </c>
      <c r="AF32" s="7">
        <f>IF($AH32="","",Y32+AB32+V32)</f>
        <v/>
      </c>
      <c r="AG32" s="7">
        <f>IF($AH32="","",AF32-AD32-N32)</f>
        <v/>
      </c>
      <c r="AH32" s="13">
        <f>IF(ROWS($AH$2:$AH32)&lt;=MAX('Per Line'!$AL$2:$AL$201),MATCH(ROWS($AH$2:$AH32),'Per Line'!$AL$2:$AL$201,0),"")</f>
        <v/>
      </c>
    </row>
    <row r="33">
      <c r="A33" s="12" t="n"/>
      <c r="B33">
        <f>IF($AH33="","",INDEX('Per Line'!$D$2:$D$201,$AH33)&amp;"")</f>
        <v/>
      </c>
      <c r="C33">
        <f>IF($AH33="","",INDEX('Per Line'!$A$2:$A$201,$AH33)&amp;"")</f>
        <v/>
      </c>
      <c r="D33">
        <f>IF($AH33="","",INDEX('Per Line'!$B$2:$B$201,$AH33))</f>
        <v/>
      </c>
      <c r="E33">
        <f>IF($AH33="","",INDEX('Per Line'!$C$2:$C$201,$AH33)&amp;"")</f>
        <v/>
      </c>
      <c r="F33">
        <f>IF($AH33="","",INDEX('Per Line'!$E$2:$E$201,$AH33)&amp;"")</f>
        <v/>
      </c>
      <c r="G33" s="11">
        <f>IF($AH33="","",INDEX('Per Line'!$F$2:$F$201,$AH33))</f>
        <v/>
      </c>
      <c r="H33">
        <f>IF($AH33="","",INDEX('Per Line'!$G$2:$G$201,$AH33)&amp;"")</f>
        <v/>
      </c>
      <c r="I33">
        <f>IF($AH33="","",INDEX('Per Line'!$I$2:$I$201,$AH33)&amp;"")</f>
        <v/>
      </c>
      <c r="J33">
        <f>IF($AH33="","",INDEX('Per Line'!$J$2:$J$201,$AH33)&amp;"")</f>
        <v/>
      </c>
      <c r="K33">
        <f>IF($AH33="","",INDEX('Per Line'!$K$2:$K$201,$AH33)&amp;"")</f>
        <v/>
      </c>
      <c r="L33">
        <f>IF($AH33="","",INDEX('Per Line'!$L$2:$L$201,$AH33)&amp;"")</f>
        <v/>
      </c>
      <c r="M33">
        <f>IF($AH33="","",INDEX('Per Line'!$M$2:$M$201,$AH33))</f>
        <v/>
      </c>
      <c r="N33" s="7">
        <f>IF($AH33="","",M33*AE33/100)</f>
        <v/>
      </c>
      <c r="O33">
        <f>IF($AH33="","",INDEX('Per Line'!$Z$2:$Z$201,$AH33)&amp;"")</f>
        <v/>
      </c>
      <c r="P33">
        <f>IF($AH33="","",INDEX('Per Line'!$AC$2:$AC$201,$AH33)&amp;"")</f>
        <v/>
      </c>
      <c r="Q33">
        <f>IF($AH33="","",INDEX('Per Line'!$AD$2:$AD$201,$AH33))</f>
        <v/>
      </c>
      <c r="R33">
        <f>IF($AH33="","",IF(AND(ISNUMBER(Q33),Q33&gt;0),AF33&gt;Q33,FALSE))</f>
        <v/>
      </c>
      <c r="S33">
        <f>IF($AH33="","",INDEX('Per Line'!$AH$2:$AH$201,$AH33)&amp;"")</f>
        <v/>
      </c>
      <c r="T33" s="11">
        <f>IF($AH33="","",INDEX('Per Line'!$AI$2:$AI$201,$AH33))</f>
        <v/>
      </c>
      <c r="U33">
        <f>IF($AH33="","",Settings!$C$8)</f>
        <v/>
      </c>
      <c r="V33" s="7">
        <f>IF($AH33="","",SUMIFS('Per Line'!$V$2:$V$201,'Per Line'!$D$2:$D$201,$B33,'Per Line'!$AN$2:$AN$201,1))</f>
        <v/>
      </c>
      <c r="W33" s="7">
        <f>IF($AH33="","",V33*U33)</f>
        <v/>
      </c>
      <c r="X33">
        <f>IF($AH33="","",Settings!$C$7)</f>
        <v/>
      </c>
      <c r="Y33" s="7">
        <f>IF($AH33="","",SUMIFS('Per Line'!$V$2:$V$201,'Per Line'!$D$2:$D$201,$B33,'Per Line'!$AM$2:$AM$201,0,'Per Line'!$AN$2:$AN$201,0))</f>
        <v/>
      </c>
      <c r="Z33" s="7">
        <f>IF($AH33="","",Y33*X33)</f>
        <v/>
      </c>
      <c r="AA33">
        <f>IF($AH33="","",Settings!$C$6)</f>
        <v/>
      </c>
      <c r="AB33" s="7">
        <f>IF($AH33="","",SUMIFS('Per Line'!$V$2:$V$201,'Per Line'!$D$2:$D$201,$B33,'Per Line'!$AM$2:$AM$201,1,'Per Line'!$AN$2:$AN$201,0))</f>
        <v/>
      </c>
      <c r="AC33" s="7">
        <f>IF($AH33="","",AB33*AA33)</f>
        <v/>
      </c>
      <c r="AD33" s="7">
        <f>IF($AH33="","",AC33+Z33+W33)</f>
        <v/>
      </c>
      <c r="AE33" s="7">
        <f>IF($AH33="","",AF33-AD33)</f>
        <v/>
      </c>
      <c r="AF33" s="7">
        <f>IF($AH33="","",Y33+AB33+V33)</f>
        <v/>
      </c>
      <c r="AG33" s="7">
        <f>IF($AH33="","",AF33-AD33-N33)</f>
        <v/>
      </c>
      <c r="AH33" s="13">
        <f>IF(ROWS($AH$2:$AH33)&lt;=MAX('Per Line'!$AL$2:$AL$201),MATCH(ROWS($AH$2:$AH33),'Per Line'!$AL$2:$AL$201,0),"")</f>
        <v/>
      </c>
    </row>
    <row r="34">
      <c r="A34" s="12" t="n"/>
      <c r="B34">
        <f>IF($AH34="","",INDEX('Per Line'!$D$2:$D$201,$AH34)&amp;"")</f>
        <v/>
      </c>
      <c r="C34">
        <f>IF($AH34="","",INDEX('Per Line'!$A$2:$A$201,$AH34)&amp;"")</f>
        <v/>
      </c>
      <c r="D34">
        <f>IF($AH34="","",INDEX('Per Line'!$B$2:$B$201,$AH34))</f>
        <v/>
      </c>
      <c r="E34">
        <f>IF($AH34="","",INDEX('Per Line'!$C$2:$C$201,$AH34)&amp;"")</f>
        <v/>
      </c>
      <c r="F34">
        <f>IF($AH34="","",INDEX('Per Line'!$E$2:$E$201,$AH34)&amp;"")</f>
        <v/>
      </c>
      <c r="G34" s="11">
        <f>IF($AH34="","",INDEX('Per Line'!$F$2:$F$201,$AH34))</f>
        <v/>
      </c>
      <c r="H34">
        <f>IF($AH34="","",INDEX('Per Line'!$G$2:$G$201,$AH34)&amp;"")</f>
        <v/>
      </c>
      <c r="I34">
        <f>IF($AH34="","",INDEX('Per Line'!$I$2:$I$201,$AH34)&amp;"")</f>
        <v/>
      </c>
      <c r="J34">
        <f>IF($AH34="","",INDEX('Per Line'!$J$2:$J$201,$AH34)&amp;"")</f>
        <v/>
      </c>
      <c r="K34">
        <f>IF($AH34="","",INDEX('Per Line'!$K$2:$K$201,$AH34)&amp;"")</f>
        <v/>
      </c>
      <c r="L34">
        <f>IF($AH34="","",INDEX('Per Line'!$L$2:$L$201,$AH34)&amp;"")</f>
        <v/>
      </c>
      <c r="M34">
        <f>IF($AH34="","",INDEX('Per Line'!$M$2:$M$201,$AH34))</f>
        <v/>
      </c>
      <c r="N34" s="7">
        <f>IF($AH34="","",M34*AE34/100)</f>
        <v/>
      </c>
      <c r="O34">
        <f>IF($AH34="","",INDEX('Per Line'!$Z$2:$Z$201,$AH34)&amp;"")</f>
        <v/>
      </c>
      <c r="P34">
        <f>IF($AH34="","",INDEX('Per Line'!$AC$2:$AC$201,$AH34)&amp;"")</f>
        <v/>
      </c>
      <c r="Q34">
        <f>IF($AH34="","",INDEX('Per Line'!$AD$2:$AD$201,$AH34))</f>
        <v/>
      </c>
      <c r="R34">
        <f>IF($AH34="","",IF(AND(ISNUMBER(Q34),Q34&gt;0),AF34&gt;Q34,FALSE))</f>
        <v/>
      </c>
      <c r="S34">
        <f>IF($AH34="","",INDEX('Per Line'!$AH$2:$AH$201,$AH34)&amp;"")</f>
        <v/>
      </c>
      <c r="T34" s="11">
        <f>IF($AH34="","",INDEX('Per Line'!$AI$2:$AI$201,$AH34))</f>
        <v/>
      </c>
      <c r="U34">
        <f>IF($AH34="","",Settings!$C$8)</f>
        <v/>
      </c>
      <c r="V34" s="7">
        <f>IF($AH34="","",SUMIFS('Per Line'!$V$2:$V$201,'Per Line'!$D$2:$D$201,$B34,'Per Line'!$AN$2:$AN$201,1))</f>
        <v/>
      </c>
      <c r="W34" s="7">
        <f>IF($AH34="","",V34*U34)</f>
        <v/>
      </c>
      <c r="X34">
        <f>IF($AH34="","",Settings!$C$7)</f>
        <v/>
      </c>
      <c r="Y34" s="7">
        <f>IF($AH34="","",SUMIFS('Per Line'!$V$2:$V$201,'Per Line'!$D$2:$D$201,$B34,'Per Line'!$AM$2:$AM$201,0,'Per Line'!$AN$2:$AN$201,0))</f>
        <v/>
      </c>
      <c r="Z34" s="7">
        <f>IF($AH34="","",Y34*X34)</f>
        <v/>
      </c>
      <c r="AA34">
        <f>IF($AH34="","",Settings!$C$6)</f>
        <v/>
      </c>
      <c r="AB34" s="7">
        <f>IF($AH34="","",SUMIFS('Per Line'!$V$2:$V$201,'Per Line'!$D$2:$D$201,$B34,'Per Line'!$AM$2:$AM$201,1,'Per Line'!$AN$2:$AN$201,0))</f>
        <v/>
      </c>
      <c r="AC34" s="7">
        <f>IF($AH34="","",AB34*AA34)</f>
        <v/>
      </c>
      <c r="AD34" s="7">
        <f>IF($AH34="","",AC34+Z34+W34)</f>
        <v/>
      </c>
      <c r="AE34" s="7">
        <f>IF($AH34="","",AF34-AD34)</f>
        <v/>
      </c>
      <c r="AF34" s="7">
        <f>IF($AH34="","",Y34+AB34+V34)</f>
        <v/>
      </c>
      <c r="AG34" s="7">
        <f>IF($AH34="","",AF34-AD34-N34)</f>
        <v/>
      </c>
      <c r="AH34" s="13">
        <f>IF(ROWS($AH$2:$AH34)&lt;=MAX('Per Line'!$AL$2:$AL$201),MATCH(ROWS($AH$2:$AH34),'Per Line'!$AL$2:$AL$201,0),"")</f>
        <v/>
      </c>
    </row>
    <row r="35">
      <c r="A35" s="12" t="n"/>
      <c r="B35">
        <f>IF($AH35="","",INDEX('Per Line'!$D$2:$D$201,$AH35)&amp;"")</f>
        <v/>
      </c>
      <c r="C35">
        <f>IF($AH35="","",INDEX('Per Line'!$A$2:$A$201,$AH35)&amp;"")</f>
        <v/>
      </c>
      <c r="D35">
        <f>IF($AH35="","",INDEX('Per Line'!$B$2:$B$201,$AH35))</f>
        <v/>
      </c>
      <c r="E35">
        <f>IF($AH35="","",INDEX('Per Line'!$C$2:$C$201,$AH35)&amp;"")</f>
        <v/>
      </c>
      <c r="F35">
        <f>IF($AH35="","",INDEX('Per Line'!$E$2:$E$201,$AH35)&amp;"")</f>
        <v/>
      </c>
      <c r="G35" s="11">
        <f>IF($AH35="","",INDEX('Per Line'!$F$2:$F$201,$AH35))</f>
        <v/>
      </c>
      <c r="H35">
        <f>IF($AH35="","",INDEX('Per Line'!$G$2:$G$201,$AH35)&amp;"")</f>
        <v/>
      </c>
      <c r="I35">
        <f>IF($AH35="","",INDEX('Per Line'!$I$2:$I$201,$AH35)&amp;"")</f>
        <v/>
      </c>
      <c r="J35">
        <f>IF($AH35="","",INDEX('Per Line'!$J$2:$J$201,$AH35)&amp;"")</f>
        <v/>
      </c>
      <c r="K35">
        <f>IF($AH35="","",INDEX('Per Line'!$K$2:$K$201,$AH35)&amp;"")</f>
        <v/>
      </c>
      <c r="L35">
        <f>IF($AH35="","",INDEX('Per Line'!$L$2:$L$201,$AH35)&amp;"")</f>
        <v/>
      </c>
      <c r="M35">
        <f>IF($AH35="","",INDEX('Per Line'!$M$2:$M$201,$AH35))</f>
        <v/>
      </c>
      <c r="N35" s="7">
        <f>IF($AH35="","",M35*AE35/100)</f>
        <v/>
      </c>
      <c r="O35">
        <f>IF($AH35="","",INDEX('Per Line'!$Z$2:$Z$201,$AH35)&amp;"")</f>
        <v/>
      </c>
      <c r="P35">
        <f>IF($AH35="","",INDEX('Per Line'!$AC$2:$AC$201,$AH35)&amp;"")</f>
        <v/>
      </c>
      <c r="Q35">
        <f>IF($AH35="","",INDEX('Per Line'!$AD$2:$AD$201,$AH35))</f>
        <v/>
      </c>
      <c r="R35">
        <f>IF($AH35="","",IF(AND(ISNUMBER(Q35),Q35&gt;0),AF35&gt;Q35,FALSE))</f>
        <v/>
      </c>
      <c r="S35">
        <f>IF($AH35="","",INDEX('Per Line'!$AH$2:$AH$201,$AH35)&amp;"")</f>
        <v/>
      </c>
      <c r="T35" s="11">
        <f>IF($AH35="","",INDEX('Per Line'!$AI$2:$AI$201,$AH35))</f>
        <v/>
      </c>
      <c r="U35">
        <f>IF($AH35="","",Settings!$C$8)</f>
        <v/>
      </c>
      <c r="V35" s="7">
        <f>IF($AH35="","",SUMIFS('Per Line'!$V$2:$V$201,'Per Line'!$D$2:$D$201,$B35,'Per Line'!$AN$2:$AN$201,1))</f>
        <v/>
      </c>
      <c r="W35" s="7">
        <f>IF($AH35="","",V35*U35)</f>
        <v/>
      </c>
      <c r="X35">
        <f>IF($AH35="","",Settings!$C$7)</f>
        <v/>
      </c>
      <c r="Y35" s="7">
        <f>IF($AH35="","",SUMIFS('Per Line'!$V$2:$V$201,'Per Line'!$D$2:$D$201,$B35,'Per Line'!$AM$2:$AM$201,0,'Per Line'!$AN$2:$AN$201,0))</f>
        <v/>
      </c>
      <c r="Z35" s="7">
        <f>IF($AH35="","",Y35*X35)</f>
        <v/>
      </c>
      <c r="AA35">
        <f>IF($AH35="","",Settings!$C$6)</f>
        <v/>
      </c>
      <c r="AB35" s="7">
        <f>IF($AH35="","",SUMIFS('Per Line'!$V$2:$V$201,'Per Line'!$D$2:$D$201,$B35,'Per Line'!$AM$2:$AM$201,1,'Per Line'!$AN$2:$AN$201,0))</f>
        <v/>
      </c>
      <c r="AC35" s="7">
        <f>IF($AH35="","",AB35*AA35)</f>
        <v/>
      </c>
      <c r="AD35" s="7">
        <f>IF($AH35="","",AC35+Z35+W35)</f>
        <v/>
      </c>
      <c r="AE35" s="7">
        <f>IF($AH35="","",AF35-AD35)</f>
        <v/>
      </c>
      <c r="AF35" s="7">
        <f>IF($AH35="","",Y35+AB35+V35)</f>
        <v/>
      </c>
      <c r="AG35" s="7">
        <f>IF($AH35="","",AF35-AD35-N35)</f>
        <v/>
      </c>
      <c r="AH35" s="13">
        <f>IF(ROWS($AH$2:$AH35)&lt;=MAX('Per Line'!$AL$2:$AL$201),MATCH(ROWS($AH$2:$AH35),'Per Line'!$AL$2:$AL$201,0),"")</f>
        <v/>
      </c>
    </row>
    <row r="36">
      <c r="A36" s="12" t="n"/>
      <c r="B36">
        <f>IF($AH36="","",INDEX('Per Line'!$D$2:$D$201,$AH36)&amp;"")</f>
        <v/>
      </c>
      <c r="C36">
        <f>IF($AH36="","",INDEX('Per Line'!$A$2:$A$201,$AH36)&amp;"")</f>
        <v/>
      </c>
      <c r="D36">
        <f>IF($AH36="","",INDEX('Per Line'!$B$2:$B$201,$AH36))</f>
        <v/>
      </c>
      <c r="E36">
        <f>IF($AH36="","",INDEX('Per Line'!$C$2:$C$201,$AH36)&amp;"")</f>
        <v/>
      </c>
      <c r="F36">
        <f>IF($AH36="","",INDEX('Per Line'!$E$2:$E$201,$AH36)&amp;"")</f>
        <v/>
      </c>
      <c r="G36" s="11">
        <f>IF($AH36="","",INDEX('Per Line'!$F$2:$F$201,$AH36))</f>
        <v/>
      </c>
      <c r="H36">
        <f>IF($AH36="","",INDEX('Per Line'!$G$2:$G$201,$AH36)&amp;"")</f>
        <v/>
      </c>
      <c r="I36">
        <f>IF($AH36="","",INDEX('Per Line'!$I$2:$I$201,$AH36)&amp;"")</f>
        <v/>
      </c>
      <c r="J36">
        <f>IF($AH36="","",INDEX('Per Line'!$J$2:$J$201,$AH36)&amp;"")</f>
        <v/>
      </c>
      <c r="K36">
        <f>IF($AH36="","",INDEX('Per Line'!$K$2:$K$201,$AH36)&amp;"")</f>
        <v/>
      </c>
      <c r="L36">
        <f>IF($AH36="","",INDEX('Per Line'!$L$2:$L$201,$AH36)&amp;"")</f>
        <v/>
      </c>
      <c r="M36">
        <f>IF($AH36="","",INDEX('Per Line'!$M$2:$M$201,$AH36))</f>
        <v/>
      </c>
      <c r="N36" s="7">
        <f>IF($AH36="","",M36*AE36/100)</f>
        <v/>
      </c>
      <c r="O36">
        <f>IF($AH36="","",INDEX('Per Line'!$Z$2:$Z$201,$AH36)&amp;"")</f>
        <v/>
      </c>
      <c r="P36">
        <f>IF($AH36="","",INDEX('Per Line'!$AC$2:$AC$201,$AH36)&amp;"")</f>
        <v/>
      </c>
      <c r="Q36">
        <f>IF($AH36="","",INDEX('Per Line'!$AD$2:$AD$201,$AH36))</f>
        <v/>
      </c>
      <c r="R36">
        <f>IF($AH36="","",IF(AND(ISNUMBER(Q36),Q36&gt;0),AF36&gt;Q36,FALSE))</f>
        <v/>
      </c>
      <c r="S36">
        <f>IF($AH36="","",INDEX('Per Line'!$AH$2:$AH$201,$AH36)&amp;"")</f>
        <v/>
      </c>
      <c r="T36" s="11">
        <f>IF($AH36="","",INDEX('Per Line'!$AI$2:$AI$201,$AH36))</f>
        <v/>
      </c>
      <c r="U36">
        <f>IF($AH36="","",Settings!$C$8)</f>
        <v/>
      </c>
      <c r="V36" s="7">
        <f>IF($AH36="","",SUMIFS('Per Line'!$V$2:$V$201,'Per Line'!$D$2:$D$201,$B36,'Per Line'!$AN$2:$AN$201,1))</f>
        <v/>
      </c>
      <c r="W36" s="7">
        <f>IF($AH36="","",V36*U36)</f>
        <v/>
      </c>
      <c r="X36">
        <f>IF($AH36="","",Settings!$C$7)</f>
        <v/>
      </c>
      <c r="Y36" s="7">
        <f>IF($AH36="","",SUMIFS('Per Line'!$V$2:$V$201,'Per Line'!$D$2:$D$201,$B36,'Per Line'!$AM$2:$AM$201,0,'Per Line'!$AN$2:$AN$201,0))</f>
        <v/>
      </c>
      <c r="Z36" s="7">
        <f>IF($AH36="","",Y36*X36)</f>
        <v/>
      </c>
      <c r="AA36">
        <f>IF($AH36="","",Settings!$C$6)</f>
        <v/>
      </c>
      <c r="AB36" s="7">
        <f>IF($AH36="","",SUMIFS('Per Line'!$V$2:$V$201,'Per Line'!$D$2:$D$201,$B36,'Per Line'!$AM$2:$AM$201,1,'Per Line'!$AN$2:$AN$201,0))</f>
        <v/>
      </c>
      <c r="AC36" s="7">
        <f>IF($AH36="","",AB36*AA36)</f>
        <v/>
      </c>
      <c r="AD36" s="7">
        <f>IF($AH36="","",AC36+Z36+W36)</f>
        <v/>
      </c>
      <c r="AE36" s="7">
        <f>IF($AH36="","",AF36-AD36)</f>
        <v/>
      </c>
      <c r="AF36" s="7">
        <f>IF($AH36="","",Y36+AB36+V36)</f>
        <v/>
      </c>
      <c r="AG36" s="7">
        <f>IF($AH36="","",AF36-AD36-N36)</f>
        <v/>
      </c>
      <c r="AH36" s="13">
        <f>IF(ROWS($AH$2:$AH36)&lt;=MAX('Per Line'!$AL$2:$AL$201),MATCH(ROWS($AH$2:$AH36),'Per Line'!$AL$2:$AL$201,0),"")</f>
        <v/>
      </c>
    </row>
    <row r="37">
      <c r="A37" s="12" t="n"/>
      <c r="B37">
        <f>IF($AH37="","",INDEX('Per Line'!$D$2:$D$201,$AH37)&amp;"")</f>
        <v/>
      </c>
      <c r="C37">
        <f>IF($AH37="","",INDEX('Per Line'!$A$2:$A$201,$AH37)&amp;"")</f>
        <v/>
      </c>
      <c r="D37">
        <f>IF($AH37="","",INDEX('Per Line'!$B$2:$B$201,$AH37))</f>
        <v/>
      </c>
      <c r="E37">
        <f>IF($AH37="","",INDEX('Per Line'!$C$2:$C$201,$AH37)&amp;"")</f>
        <v/>
      </c>
      <c r="F37">
        <f>IF($AH37="","",INDEX('Per Line'!$E$2:$E$201,$AH37)&amp;"")</f>
        <v/>
      </c>
      <c r="G37" s="11">
        <f>IF($AH37="","",INDEX('Per Line'!$F$2:$F$201,$AH37))</f>
        <v/>
      </c>
      <c r="H37">
        <f>IF($AH37="","",INDEX('Per Line'!$G$2:$G$201,$AH37)&amp;"")</f>
        <v/>
      </c>
      <c r="I37">
        <f>IF($AH37="","",INDEX('Per Line'!$I$2:$I$201,$AH37)&amp;"")</f>
        <v/>
      </c>
      <c r="J37">
        <f>IF($AH37="","",INDEX('Per Line'!$J$2:$J$201,$AH37)&amp;"")</f>
        <v/>
      </c>
      <c r="K37">
        <f>IF($AH37="","",INDEX('Per Line'!$K$2:$K$201,$AH37)&amp;"")</f>
        <v/>
      </c>
      <c r="L37">
        <f>IF($AH37="","",INDEX('Per Line'!$L$2:$L$201,$AH37)&amp;"")</f>
        <v/>
      </c>
      <c r="M37">
        <f>IF($AH37="","",INDEX('Per Line'!$M$2:$M$201,$AH37))</f>
        <v/>
      </c>
      <c r="N37" s="7">
        <f>IF($AH37="","",M37*AE37/100)</f>
        <v/>
      </c>
      <c r="O37">
        <f>IF($AH37="","",INDEX('Per Line'!$Z$2:$Z$201,$AH37)&amp;"")</f>
        <v/>
      </c>
      <c r="P37">
        <f>IF($AH37="","",INDEX('Per Line'!$AC$2:$AC$201,$AH37)&amp;"")</f>
        <v/>
      </c>
      <c r="Q37">
        <f>IF($AH37="","",INDEX('Per Line'!$AD$2:$AD$201,$AH37))</f>
        <v/>
      </c>
      <c r="R37">
        <f>IF($AH37="","",IF(AND(ISNUMBER(Q37),Q37&gt;0),AF37&gt;Q37,FALSE))</f>
        <v/>
      </c>
      <c r="S37">
        <f>IF($AH37="","",INDEX('Per Line'!$AH$2:$AH$201,$AH37)&amp;"")</f>
        <v/>
      </c>
      <c r="T37" s="11">
        <f>IF($AH37="","",INDEX('Per Line'!$AI$2:$AI$201,$AH37))</f>
        <v/>
      </c>
      <c r="U37">
        <f>IF($AH37="","",Settings!$C$8)</f>
        <v/>
      </c>
      <c r="V37" s="7">
        <f>IF($AH37="","",SUMIFS('Per Line'!$V$2:$V$201,'Per Line'!$D$2:$D$201,$B37,'Per Line'!$AN$2:$AN$201,1))</f>
        <v/>
      </c>
      <c r="W37" s="7">
        <f>IF($AH37="","",V37*U37)</f>
        <v/>
      </c>
      <c r="X37">
        <f>IF($AH37="","",Settings!$C$7)</f>
        <v/>
      </c>
      <c r="Y37" s="7">
        <f>IF($AH37="","",SUMIFS('Per Line'!$V$2:$V$201,'Per Line'!$D$2:$D$201,$B37,'Per Line'!$AM$2:$AM$201,0,'Per Line'!$AN$2:$AN$201,0))</f>
        <v/>
      </c>
      <c r="Z37" s="7">
        <f>IF($AH37="","",Y37*X37)</f>
        <v/>
      </c>
      <c r="AA37">
        <f>IF($AH37="","",Settings!$C$6)</f>
        <v/>
      </c>
      <c r="AB37" s="7">
        <f>IF($AH37="","",SUMIFS('Per Line'!$V$2:$V$201,'Per Line'!$D$2:$D$201,$B37,'Per Line'!$AM$2:$AM$201,1,'Per Line'!$AN$2:$AN$201,0))</f>
        <v/>
      </c>
      <c r="AC37" s="7">
        <f>IF($AH37="","",AB37*AA37)</f>
        <v/>
      </c>
      <c r="AD37" s="7">
        <f>IF($AH37="","",AC37+Z37+W37)</f>
        <v/>
      </c>
      <c r="AE37" s="7">
        <f>IF($AH37="","",AF37-AD37)</f>
        <v/>
      </c>
      <c r="AF37" s="7">
        <f>IF($AH37="","",Y37+AB37+V37)</f>
        <v/>
      </c>
      <c r="AG37" s="7">
        <f>IF($AH37="","",AF37-AD37-N37)</f>
        <v/>
      </c>
      <c r="AH37" s="13">
        <f>IF(ROWS($AH$2:$AH37)&lt;=MAX('Per Line'!$AL$2:$AL$201),MATCH(ROWS($AH$2:$AH37),'Per Line'!$AL$2:$AL$201,0),"")</f>
        <v/>
      </c>
    </row>
    <row r="38">
      <c r="A38" s="12" t="n"/>
      <c r="B38">
        <f>IF($AH38="","",INDEX('Per Line'!$D$2:$D$201,$AH38)&amp;"")</f>
        <v/>
      </c>
      <c r="C38">
        <f>IF($AH38="","",INDEX('Per Line'!$A$2:$A$201,$AH38)&amp;"")</f>
        <v/>
      </c>
      <c r="D38">
        <f>IF($AH38="","",INDEX('Per Line'!$B$2:$B$201,$AH38))</f>
        <v/>
      </c>
      <c r="E38">
        <f>IF($AH38="","",INDEX('Per Line'!$C$2:$C$201,$AH38)&amp;"")</f>
        <v/>
      </c>
      <c r="F38">
        <f>IF($AH38="","",INDEX('Per Line'!$E$2:$E$201,$AH38)&amp;"")</f>
        <v/>
      </c>
      <c r="G38" s="11">
        <f>IF($AH38="","",INDEX('Per Line'!$F$2:$F$201,$AH38))</f>
        <v/>
      </c>
      <c r="H38">
        <f>IF($AH38="","",INDEX('Per Line'!$G$2:$G$201,$AH38)&amp;"")</f>
        <v/>
      </c>
      <c r="I38">
        <f>IF($AH38="","",INDEX('Per Line'!$I$2:$I$201,$AH38)&amp;"")</f>
        <v/>
      </c>
      <c r="J38">
        <f>IF($AH38="","",INDEX('Per Line'!$J$2:$J$201,$AH38)&amp;"")</f>
        <v/>
      </c>
      <c r="K38">
        <f>IF($AH38="","",INDEX('Per Line'!$K$2:$K$201,$AH38)&amp;"")</f>
        <v/>
      </c>
      <c r="L38">
        <f>IF($AH38="","",INDEX('Per Line'!$L$2:$L$201,$AH38)&amp;"")</f>
        <v/>
      </c>
      <c r="M38">
        <f>IF($AH38="","",INDEX('Per Line'!$M$2:$M$201,$AH38))</f>
        <v/>
      </c>
      <c r="N38" s="7">
        <f>IF($AH38="","",M38*AE38/100)</f>
        <v/>
      </c>
      <c r="O38">
        <f>IF($AH38="","",INDEX('Per Line'!$Z$2:$Z$201,$AH38)&amp;"")</f>
        <v/>
      </c>
      <c r="P38">
        <f>IF($AH38="","",INDEX('Per Line'!$AC$2:$AC$201,$AH38)&amp;"")</f>
        <v/>
      </c>
      <c r="Q38">
        <f>IF($AH38="","",INDEX('Per Line'!$AD$2:$AD$201,$AH38))</f>
        <v/>
      </c>
      <c r="R38">
        <f>IF($AH38="","",IF(AND(ISNUMBER(Q38),Q38&gt;0),AF38&gt;Q38,FALSE))</f>
        <v/>
      </c>
      <c r="S38">
        <f>IF($AH38="","",INDEX('Per Line'!$AH$2:$AH$201,$AH38)&amp;"")</f>
        <v/>
      </c>
      <c r="T38" s="11">
        <f>IF($AH38="","",INDEX('Per Line'!$AI$2:$AI$201,$AH38))</f>
        <v/>
      </c>
      <c r="U38">
        <f>IF($AH38="","",Settings!$C$8)</f>
        <v/>
      </c>
      <c r="V38" s="7">
        <f>IF($AH38="","",SUMIFS('Per Line'!$V$2:$V$201,'Per Line'!$D$2:$D$201,$B38,'Per Line'!$AN$2:$AN$201,1))</f>
        <v/>
      </c>
      <c r="W38" s="7">
        <f>IF($AH38="","",V38*U38)</f>
        <v/>
      </c>
      <c r="X38">
        <f>IF($AH38="","",Settings!$C$7)</f>
        <v/>
      </c>
      <c r="Y38" s="7">
        <f>IF($AH38="","",SUMIFS('Per Line'!$V$2:$V$201,'Per Line'!$D$2:$D$201,$B38,'Per Line'!$AM$2:$AM$201,0,'Per Line'!$AN$2:$AN$201,0))</f>
        <v/>
      </c>
      <c r="Z38" s="7">
        <f>IF($AH38="","",Y38*X38)</f>
        <v/>
      </c>
      <c r="AA38">
        <f>IF($AH38="","",Settings!$C$6)</f>
        <v/>
      </c>
      <c r="AB38" s="7">
        <f>IF($AH38="","",SUMIFS('Per Line'!$V$2:$V$201,'Per Line'!$D$2:$D$201,$B38,'Per Line'!$AM$2:$AM$201,1,'Per Line'!$AN$2:$AN$201,0))</f>
        <v/>
      </c>
      <c r="AC38" s="7">
        <f>IF($AH38="","",AB38*AA38)</f>
        <v/>
      </c>
      <c r="AD38" s="7">
        <f>IF($AH38="","",AC38+Z38+W38)</f>
        <v/>
      </c>
      <c r="AE38" s="7">
        <f>IF($AH38="","",AF38-AD38)</f>
        <v/>
      </c>
      <c r="AF38" s="7">
        <f>IF($AH38="","",Y38+AB38+V38)</f>
        <v/>
      </c>
      <c r="AG38" s="7">
        <f>IF($AH38="","",AF38-AD38-N38)</f>
        <v/>
      </c>
      <c r="AH38" s="13">
        <f>IF(ROWS($AH$2:$AH38)&lt;=MAX('Per Line'!$AL$2:$AL$201),MATCH(ROWS($AH$2:$AH38),'Per Line'!$AL$2:$AL$201,0),"")</f>
        <v/>
      </c>
    </row>
    <row r="39">
      <c r="A39" s="12" t="n"/>
      <c r="B39">
        <f>IF($AH39="","",INDEX('Per Line'!$D$2:$D$201,$AH39)&amp;"")</f>
        <v/>
      </c>
      <c r="C39">
        <f>IF($AH39="","",INDEX('Per Line'!$A$2:$A$201,$AH39)&amp;"")</f>
        <v/>
      </c>
      <c r="D39">
        <f>IF($AH39="","",INDEX('Per Line'!$B$2:$B$201,$AH39))</f>
        <v/>
      </c>
      <c r="E39">
        <f>IF($AH39="","",INDEX('Per Line'!$C$2:$C$201,$AH39)&amp;"")</f>
        <v/>
      </c>
      <c r="F39">
        <f>IF($AH39="","",INDEX('Per Line'!$E$2:$E$201,$AH39)&amp;"")</f>
        <v/>
      </c>
      <c r="G39" s="11">
        <f>IF($AH39="","",INDEX('Per Line'!$F$2:$F$201,$AH39))</f>
        <v/>
      </c>
      <c r="H39">
        <f>IF($AH39="","",INDEX('Per Line'!$G$2:$G$201,$AH39)&amp;"")</f>
        <v/>
      </c>
      <c r="I39">
        <f>IF($AH39="","",INDEX('Per Line'!$I$2:$I$201,$AH39)&amp;"")</f>
        <v/>
      </c>
      <c r="J39">
        <f>IF($AH39="","",INDEX('Per Line'!$J$2:$J$201,$AH39)&amp;"")</f>
        <v/>
      </c>
      <c r="K39">
        <f>IF($AH39="","",INDEX('Per Line'!$K$2:$K$201,$AH39)&amp;"")</f>
        <v/>
      </c>
      <c r="L39">
        <f>IF($AH39="","",INDEX('Per Line'!$L$2:$L$201,$AH39)&amp;"")</f>
        <v/>
      </c>
      <c r="M39">
        <f>IF($AH39="","",INDEX('Per Line'!$M$2:$M$201,$AH39))</f>
        <v/>
      </c>
      <c r="N39" s="7">
        <f>IF($AH39="","",M39*AE39/100)</f>
        <v/>
      </c>
      <c r="O39">
        <f>IF($AH39="","",INDEX('Per Line'!$Z$2:$Z$201,$AH39)&amp;"")</f>
        <v/>
      </c>
      <c r="P39">
        <f>IF($AH39="","",INDEX('Per Line'!$AC$2:$AC$201,$AH39)&amp;"")</f>
        <v/>
      </c>
      <c r="Q39">
        <f>IF($AH39="","",INDEX('Per Line'!$AD$2:$AD$201,$AH39))</f>
        <v/>
      </c>
      <c r="R39">
        <f>IF($AH39="","",IF(AND(ISNUMBER(Q39),Q39&gt;0),AF39&gt;Q39,FALSE))</f>
        <v/>
      </c>
      <c r="S39">
        <f>IF($AH39="","",INDEX('Per Line'!$AH$2:$AH$201,$AH39)&amp;"")</f>
        <v/>
      </c>
      <c r="T39" s="11">
        <f>IF($AH39="","",INDEX('Per Line'!$AI$2:$AI$201,$AH39))</f>
        <v/>
      </c>
      <c r="U39">
        <f>IF($AH39="","",Settings!$C$8)</f>
        <v/>
      </c>
      <c r="V39" s="7">
        <f>IF($AH39="","",SUMIFS('Per Line'!$V$2:$V$201,'Per Line'!$D$2:$D$201,$B39,'Per Line'!$AN$2:$AN$201,1))</f>
        <v/>
      </c>
      <c r="W39" s="7">
        <f>IF($AH39="","",V39*U39)</f>
        <v/>
      </c>
      <c r="X39">
        <f>IF($AH39="","",Settings!$C$7)</f>
        <v/>
      </c>
      <c r="Y39" s="7">
        <f>IF($AH39="","",SUMIFS('Per Line'!$V$2:$V$201,'Per Line'!$D$2:$D$201,$B39,'Per Line'!$AM$2:$AM$201,0,'Per Line'!$AN$2:$AN$201,0))</f>
        <v/>
      </c>
      <c r="Z39" s="7">
        <f>IF($AH39="","",Y39*X39)</f>
        <v/>
      </c>
      <c r="AA39">
        <f>IF($AH39="","",Settings!$C$6)</f>
        <v/>
      </c>
      <c r="AB39" s="7">
        <f>IF($AH39="","",SUMIFS('Per Line'!$V$2:$V$201,'Per Line'!$D$2:$D$201,$B39,'Per Line'!$AM$2:$AM$201,1,'Per Line'!$AN$2:$AN$201,0))</f>
        <v/>
      </c>
      <c r="AC39" s="7">
        <f>IF($AH39="","",AB39*AA39)</f>
        <v/>
      </c>
      <c r="AD39" s="7">
        <f>IF($AH39="","",AC39+Z39+W39)</f>
        <v/>
      </c>
      <c r="AE39" s="7">
        <f>IF($AH39="","",AF39-AD39)</f>
        <v/>
      </c>
      <c r="AF39" s="7">
        <f>IF($AH39="","",Y39+AB39+V39)</f>
        <v/>
      </c>
      <c r="AG39" s="7">
        <f>IF($AH39="","",AF39-AD39-N39)</f>
        <v/>
      </c>
      <c r="AH39" s="13">
        <f>IF(ROWS($AH$2:$AH39)&lt;=MAX('Per Line'!$AL$2:$AL$201),MATCH(ROWS($AH$2:$AH39),'Per Line'!$AL$2:$AL$201,0),"")</f>
        <v/>
      </c>
    </row>
    <row r="40">
      <c r="A40" s="12" t="n"/>
      <c r="B40">
        <f>IF($AH40="","",INDEX('Per Line'!$D$2:$D$201,$AH40)&amp;"")</f>
        <v/>
      </c>
      <c r="C40">
        <f>IF($AH40="","",INDEX('Per Line'!$A$2:$A$201,$AH40)&amp;"")</f>
        <v/>
      </c>
      <c r="D40">
        <f>IF($AH40="","",INDEX('Per Line'!$B$2:$B$201,$AH40))</f>
        <v/>
      </c>
      <c r="E40">
        <f>IF($AH40="","",INDEX('Per Line'!$C$2:$C$201,$AH40)&amp;"")</f>
        <v/>
      </c>
      <c r="F40">
        <f>IF($AH40="","",INDEX('Per Line'!$E$2:$E$201,$AH40)&amp;"")</f>
        <v/>
      </c>
      <c r="G40" s="11">
        <f>IF($AH40="","",INDEX('Per Line'!$F$2:$F$201,$AH40))</f>
        <v/>
      </c>
      <c r="H40">
        <f>IF($AH40="","",INDEX('Per Line'!$G$2:$G$201,$AH40)&amp;"")</f>
        <v/>
      </c>
      <c r="I40">
        <f>IF($AH40="","",INDEX('Per Line'!$I$2:$I$201,$AH40)&amp;"")</f>
        <v/>
      </c>
      <c r="J40">
        <f>IF($AH40="","",INDEX('Per Line'!$J$2:$J$201,$AH40)&amp;"")</f>
        <v/>
      </c>
      <c r="K40">
        <f>IF($AH40="","",INDEX('Per Line'!$K$2:$K$201,$AH40)&amp;"")</f>
        <v/>
      </c>
      <c r="L40">
        <f>IF($AH40="","",INDEX('Per Line'!$L$2:$L$201,$AH40)&amp;"")</f>
        <v/>
      </c>
      <c r="M40">
        <f>IF($AH40="","",INDEX('Per Line'!$M$2:$M$201,$AH40))</f>
        <v/>
      </c>
      <c r="N40" s="7">
        <f>IF($AH40="","",M40*AE40/100)</f>
        <v/>
      </c>
      <c r="O40">
        <f>IF($AH40="","",INDEX('Per Line'!$Z$2:$Z$201,$AH40)&amp;"")</f>
        <v/>
      </c>
      <c r="P40">
        <f>IF($AH40="","",INDEX('Per Line'!$AC$2:$AC$201,$AH40)&amp;"")</f>
        <v/>
      </c>
      <c r="Q40">
        <f>IF($AH40="","",INDEX('Per Line'!$AD$2:$AD$201,$AH40))</f>
        <v/>
      </c>
      <c r="R40">
        <f>IF($AH40="","",IF(AND(ISNUMBER(Q40),Q40&gt;0),AF40&gt;Q40,FALSE))</f>
        <v/>
      </c>
      <c r="S40">
        <f>IF($AH40="","",INDEX('Per Line'!$AH$2:$AH$201,$AH40)&amp;"")</f>
        <v/>
      </c>
      <c r="T40" s="11">
        <f>IF($AH40="","",INDEX('Per Line'!$AI$2:$AI$201,$AH40))</f>
        <v/>
      </c>
      <c r="U40">
        <f>IF($AH40="","",Settings!$C$8)</f>
        <v/>
      </c>
      <c r="V40" s="7">
        <f>IF($AH40="","",SUMIFS('Per Line'!$V$2:$V$201,'Per Line'!$D$2:$D$201,$B40,'Per Line'!$AN$2:$AN$201,1))</f>
        <v/>
      </c>
      <c r="W40" s="7">
        <f>IF($AH40="","",V40*U40)</f>
        <v/>
      </c>
      <c r="X40">
        <f>IF($AH40="","",Settings!$C$7)</f>
        <v/>
      </c>
      <c r="Y40" s="7">
        <f>IF($AH40="","",SUMIFS('Per Line'!$V$2:$V$201,'Per Line'!$D$2:$D$201,$B40,'Per Line'!$AM$2:$AM$201,0,'Per Line'!$AN$2:$AN$201,0))</f>
        <v/>
      </c>
      <c r="Z40" s="7">
        <f>IF($AH40="","",Y40*X40)</f>
        <v/>
      </c>
      <c r="AA40">
        <f>IF($AH40="","",Settings!$C$6)</f>
        <v/>
      </c>
      <c r="AB40" s="7">
        <f>IF($AH40="","",SUMIFS('Per Line'!$V$2:$V$201,'Per Line'!$D$2:$D$201,$B40,'Per Line'!$AM$2:$AM$201,1,'Per Line'!$AN$2:$AN$201,0))</f>
        <v/>
      </c>
      <c r="AC40" s="7">
        <f>IF($AH40="","",AB40*AA40)</f>
        <v/>
      </c>
      <c r="AD40" s="7">
        <f>IF($AH40="","",AC40+Z40+W40)</f>
        <v/>
      </c>
      <c r="AE40" s="7">
        <f>IF($AH40="","",AF40-AD40)</f>
        <v/>
      </c>
      <c r="AF40" s="7">
        <f>IF($AH40="","",Y40+AB40+V40)</f>
        <v/>
      </c>
      <c r="AG40" s="7">
        <f>IF($AH40="","",AF40-AD40-N40)</f>
        <v/>
      </c>
      <c r="AH40" s="13">
        <f>IF(ROWS($AH$2:$AH40)&lt;=MAX('Per Line'!$AL$2:$AL$201),MATCH(ROWS($AH$2:$AH40),'Per Line'!$AL$2:$AL$201,0),"")</f>
        <v/>
      </c>
    </row>
    <row r="41">
      <c r="A41" s="12" t="n"/>
      <c r="B41">
        <f>IF($AH41="","",INDEX('Per Line'!$D$2:$D$201,$AH41)&amp;"")</f>
        <v/>
      </c>
      <c r="C41">
        <f>IF($AH41="","",INDEX('Per Line'!$A$2:$A$201,$AH41)&amp;"")</f>
        <v/>
      </c>
      <c r="D41">
        <f>IF($AH41="","",INDEX('Per Line'!$B$2:$B$201,$AH41))</f>
        <v/>
      </c>
      <c r="E41">
        <f>IF($AH41="","",INDEX('Per Line'!$C$2:$C$201,$AH41)&amp;"")</f>
        <v/>
      </c>
      <c r="F41">
        <f>IF($AH41="","",INDEX('Per Line'!$E$2:$E$201,$AH41)&amp;"")</f>
        <v/>
      </c>
      <c r="G41" s="11">
        <f>IF($AH41="","",INDEX('Per Line'!$F$2:$F$201,$AH41))</f>
        <v/>
      </c>
      <c r="H41">
        <f>IF($AH41="","",INDEX('Per Line'!$G$2:$G$201,$AH41)&amp;"")</f>
        <v/>
      </c>
      <c r="I41">
        <f>IF($AH41="","",INDEX('Per Line'!$I$2:$I$201,$AH41)&amp;"")</f>
        <v/>
      </c>
      <c r="J41">
        <f>IF($AH41="","",INDEX('Per Line'!$J$2:$J$201,$AH41)&amp;"")</f>
        <v/>
      </c>
      <c r="K41">
        <f>IF($AH41="","",INDEX('Per Line'!$K$2:$K$201,$AH41)&amp;"")</f>
        <v/>
      </c>
      <c r="L41">
        <f>IF($AH41="","",INDEX('Per Line'!$L$2:$L$201,$AH41)&amp;"")</f>
        <v/>
      </c>
      <c r="M41">
        <f>IF($AH41="","",INDEX('Per Line'!$M$2:$M$201,$AH41))</f>
        <v/>
      </c>
      <c r="N41" s="7">
        <f>IF($AH41="","",M41*AE41/100)</f>
        <v/>
      </c>
      <c r="O41">
        <f>IF($AH41="","",INDEX('Per Line'!$Z$2:$Z$201,$AH41)&amp;"")</f>
        <v/>
      </c>
      <c r="P41">
        <f>IF($AH41="","",INDEX('Per Line'!$AC$2:$AC$201,$AH41)&amp;"")</f>
        <v/>
      </c>
      <c r="Q41">
        <f>IF($AH41="","",INDEX('Per Line'!$AD$2:$AD$201,$AH41))</f>
        <v/>
      </c>
      <c r="R41">
        <f>IF($AH41="","",IF(AND(ISNUMBER(Q41),Q41&gt;0),AF41&gt;Q41,FALSE))</f>
        <v/>
      </c>
      <c r="S41">
        <f>IF($AH41="","",INDEX('Per Line'!$AH$2:$AH$201,$AH41)&amp;"")</f>
        <v/>
      </c>
      <c r="T41" s="11">
        <f>IF($AH41="","",INDEX('Per Line'!$AI$2:$AI$201,$AH41))</f>
        <v/>
      </c>
      <c r="U41">
        <f>IF($AH41="","",Settings!$C$8)</f>
        <v/>
      </c>
      <c r="V41" s="7">
        <f>IF($AH41="","",SUMIFS('Per Line'!$V$2:$V$201,'Per Line'!$D$2:$D$201,$B41,'Per Line'!$AN$2:$AN$201,1))</f>
        <v/>
      </c>
      <c r="W41" s="7">
        <f>IF($AH41="","",V41*U41)</f>
        <v/>
      </c>
      <c r="X41">
        <f>IF($AH41="","",Settings!$C$7)</f>
        <v/>
      </c>
      <c r="Y41" s="7">
        <f>IF($AH41="","",SUMIFS('Per Line'!$V$2:$V$201,'Per Line'!$D$2:$D$201,$B41,'Per Line'!$AM$2:$AM$201,0,'Per Line'!$AN$2:$AN$201,0))</f>
        <v/>
      </c>
      <c r="Z41" s="7">
        <f>IF($AH41="","",Y41*X41)</f>
        <v/>
      </c>
      <c r="AA41">
        <f>IF($AH41="","",Settings!$C$6)</f>
        <v/>
      </c>
      <c r="AB41" s="7">
        <f>IF($AH41="","",SUMIFS('Per Line'!$V$2:$V$201,'Per Line'!$D$2:$D$201,$B41,'Per Line'!$AM$2:$AM$201,1,'Per Line'!$AN$2:$AN$201,0))</f>
        <v/>
      </c>
      <c r="AC41" s="7">
        <f>IF($AH41="","",AB41*AA41)</f>
        <v/>
      </c>
      <c r="AD41" s="7">
        <f>IF($AH41="","",AC41+Z41+W41)</f>
        <v/>
      </c>
      <c r="AE41" s="7">
        <f>IF($AH41="","",AF41-AD41)</f>
        <v/>
      </c>
      <c r="AF41" s="7">
        <f>IF($AH41="","",Y41+AB41+V41)</f>
        <v/>
      </c>
      <c r="AG41" s="7">
        <f>IF($AH41="","",AF41-AD41-N41)</f>
        <v/>
      </c>
      <c r="AH41" s="13">
        <f>IF(ROWS($AH$2:$AH41)&lt;=MAX('Per Line'!$AL$2:$AL$201),MATCH(ROWS($AH$2:$AH41),'Per Line'!$AL$2:$AL$201,0),"")</f>
        <v/>
      </c>
    </row>
    <row r="42">
      <c r="A42" s="12" t="n"/>
      <c r="B42">
        <f>IF($AH42="","",INDEX('Per Line'!$D$2:$D$201,$AH42)&amp;"")</f>
        <v/>
      </c>
      <c r="C42">
        <f>IF($AH42="","",INDEX('Per Line'!$A$2:$A$201,$AH42)&amp;"")</f>
        <v/>
      </c>
      <c r="D42">
        <f>IF($AH42="","",INDEX('Per Line'!$B$2:$B$201,$AH42))</f>
        <v/>
      </c>
      <c r="E42">
        <f>IF($AH42="","",INDEX('Per Line'!$C$2:$C$201,$AH42)&amp;"")</f>
        <v/>
      </c>
      <c r="F42">
        <f>IF($AH42="","",INDEX('Per Line'!$E$2:$E$201,$AH42)&amp;"")</f>
        <v/>
      </c>
      <c r="G42" s="11">
        <f>IF($AH42="","",INDEX('Per Line'!$F$2:$F$201,$AH42))</f>
        <v/>
      </c>
      <c r="H42">
        <f>IF($AH42="","",INDEX('Per Line'!$G$2:$G$201,$AH42)&amp;"")</f>
        <v/>
      </c>
      <c r="I42">
        <f>IF($AH42="","",INDEX('Per Line'!$I$2:$I$201,$AH42)&amp;"")</f>
        <v/>
      </c>
      <c r="J42">
        <f>IF($AH42="","",INDEX('Per Line'!$J$2:$J$201,$AH42)&amp;"")</f>
        <v/>
      </c>
      <c r="K42">
        <f>IF($AH42="","",INDEX('Per Line'!$K$2:$K$201,$AH42)&amp;"")</f>
        <v/>
      </c>
      <c r="L42">
        <f>IF($AH42="","",INDEX('Per Line'!$L$2:$L$201,$AH42)&amp;"")</f>
        <v/>
      </c>
      <c r="M42">
        <f>IF($AH42="","",INDEX('Per Line'!$M$2:$M$201,$AH42))</f>
        <v/>
      </c>
      <c r="N42" s="7">
        <f>IF($AH42="","",M42*AE42/100)</f>
        <v/>
      </c>
      <c r="O42">
        <f>IF($AH42="","",INDEX('Per Line'!$Z$2:$Z$201,$AH42)&amp;"")</f>
        <v/>
      </c>
      <c r="P42">
        <f>IF($AH42="","",INDEX('Per Line'!$AC$2:$AC$201,$AH42)&amp;"")</f>
        <v/>
      </c>
      <c r="Q42">
        <f>IF($AH42="","",INDEX('Per Line'!$AD$2:$AD$201,$AH42))</f>
        <v/>
      </c>
      <c r="R42">
        <f>IF($AH42="","",IF(AND(ISNUMBER(Q42),Q42&gt;0),AF42&gt;Q42,FALSE))</f>
        <v/>
      </c>
      <c r="S42">
        <f>IF($AH42="","",INDEX('Per Line'!$AH$2:$AH$201,$AH42)&amp;"")</f>
        <v/>
      </c>
      <c r="T42" s="11">
        <f>IF($AH42="","",INDEX('Per Line'!$AI$2:$AI$201,$AH42))</f>
        <v/>
      </c>
      <c r="U42">
        <f>IF($AH42="","",Settings!$C$8)</f>
        <v/>
      </c>
      <c r="V42" s="7">
        <f>IF($AH42="","",SUMIFS('Per Line'!$V$2:$V$201,'Per Line'!$D$2:$D$201,$B42,'Per Line'!$AN$2:$AN$201,1))</f>
        <v/>
      </c>
      <c r="W42" s="7">
        <f>IF($AH42="","",V42*U42)</f>
        <v/>
      </c>
      <c r="X42">
        <f>IF($AH42="","",Settings!$C$7)</f>
        <v/>
      </c>
      <c r="Y42" s="7">
        <f>IF($AH42="","",SUMIFS('Per Line'!$V$2:$V$201,'Per Line'!$D$2:$D$201,$B42,'Per Line'!$AM$2:$AM$201,0,'Per Line'!$AN$2:$AN$201,0))</f>
        <v/>
      </c>
      <c r="Z42" s="7">
        <f>IF($AH42="","",Y42*X42)</f>
        <v/>
      </c>
      <c r="AA42">
        <f>IF($AH42="","",Settings!$C$6)</f>
        <v/>
      </c>
      <c r="AB42" s="7">
        <f>IF($AH42="","",SUMIFS('Per Line'!$V$2:$V$201,'Per Line'!$D$2:$D$201,$B42,'Per Line'!$AM$2:$AM$201,1,'Per Line'!$AN$2:$AN$201,0))</f>
        <v/>
      </c>
      <c r="AC42" s="7">
        <f>IF($AH42="","",AB42*AA42)</f>
        <v/>
      </c>
      <c r="AD42" s="7">
        <f>IF($AH42="","",AC42+Z42+W42)</f>
        <v/>
      </c>
      <c r="AE42" s="7">
        <f>IF($AH42="","",AF42-AD42)</f>
        <v/>
      </c>
      <c r="AF42" s="7">
        <f>IF($AH42="","",Y42+AB42+V42)</f>
        <v/>
      </c>
      <c r="AG42" s="7">
        <f>IF($AH42="","",AF42-AD42-N42)</f>
        <v/>
      </c>
      <c r="AH42" s="13">
        <f>IF(ROWS($AH$2:$AH42)&lt;=MAX('Per Line'!$AL$2:$AL$201),MATCH(ROWS($AH$2:$AH42),'Per Line'!$AL$2:$AL$201,0),"")</f>
        <v/>
      </c>
    </row>
    <row r="43">
      <c r="A43" s="12" t="n"/>
      <c r="B43">
        <f>IF($AH43="","",INDEX('Per Line'!$D$2:$D$201,$AH43)&amp;"")</f>
        <v/>
      </c>
      <c r="C43">
        <f>IF($AH43="","",INDEX('Per Line'!$A$2:$A$201,$AH43)&amp;"")</f>
        <v/>
      </c>
      <c r="D43">
        <f>IF($AH43="","",INDEX('Per Line'!$B$2:$B$201,$AH43))</f>
        <v/>
      </c>
      <c r="E43">
        <f>IF($AH43="","",INDEX('Per Line'!$C$2:$C$201,$AH43)&amp;"")</f>
        <v/>
      </c>
      <c r="F43">
        <f>IF($AH43="","",INDEX('Per Line'!$E$2:$E$201,$AH43)&amp;"")</f>
        <v/>
      </c>
      <c r="G43" s="11">
        <f>IF($AH43="","",INDEX('Per Line'!$F$2:$F$201,$AH43))</f>
        <v/>
      </c>
      <c r="H43">
        <f>IF($AH43="","",INDEX('Per Line'!$G$2:$G$201,$AH43)&amp;"")</f>
        <v/>
      </c>
      <c r="I43">
        <f>IF($AH43="","",INDEX('Per Line'!$I$2:$I$201,$AH43)&amp;"")</f>
        <v/>
      </c>
      <c r="J43">
        <f>IF($AH43="","",INDEX('Per Line'!$J$2:$J$201,$AH43)&amp;"")</f>
        <v/>
      </c>
      <c r="K43">
        <f>IF($AH43="","",INDEX('Per Line'!$K$2:$K$201,$AH43)&amp;"")</f>
        <v/>
      </c>
      <c r="L43">
        <f>IF($AH43="","",INDEX('Per Line'!$L$2:$L$201,$AH43)&amp;"")</f>
        <v/>
      </c>
      <c r="M43">
        <f>IF($AH43="","",INDEX('Per Line'!$M$2:$M$201,$AH43))</f>
        <v/>
      </c>
      <c r="N43" s="7">
        <f>IF($AH43="","",M43*AE43/100)</f>
        <v/>
      </c>
      <c r="O43">
        <f>IF($AH43="","",INDEX('Per Line'!$Z$2:$Z$201,$AH43)&amp;"")</f>
        <v/>
      </c>
      <c r="P43">
        <f>IF($AH43="","",INDEX('Per Line'!$AC$2:$AC$201,$AH43)&amp;"")</f>
        <v/>
      </c>
      <c r="Q43">
        <f>IF($AH43="","",INDEX('Per Line'!$AD$2:$AD$201,$AH43))</f>
        <v/>
      </c>
      <c r="R43">
        <f>IF($AH43="","",IF(AND(ISNUMBER(Q43),Q43&gt;0),AF43&gt;Q43,FALSE))</f>
        <v/>
      </c>
      <c r="S43">
        <f>IF($AH43="","",INDEX('Per Line'!$AH$2:$AH$201,$AH43)&amp;"")</f>
        <v/>
      </c>
      <c r="T43" s="11">
        <f>IF($AH43="","",INDEX('Per Line'!$AI$2:$AI$201,$AH43))</f>
        <v/>
      </c>
      <c r="U43">
        <f>IF($AH43="","",Settings!$C$8)</f>
        <v/>
      </c>
      <c r="V43" s="7">
        <f>IF($AH43="","",SUMIFS('Per Line'!$V$2:$V$201,'Per Line'!$D$2:$D$201,$B43,'Per Line'!$AN$2:$AN$201,1))</f>
        <v/>
      </c>
      <c r="W43" s="7">
        <f>IF($AH43="","",V43*U43)</f>
        <v/>
      </c>
      <c r="X43">
        <f>IF($AH43="","",Settings!$C$7)</f>
        <v/>
      </c>
      <c r="Y43" s="7">
        <f>IF($AH43="","",SUMIFS('Per Line'!$V$2:$V$201,'Per Line'!$D$2:$D$201,$B43,'Per Line'!$AM$2:$AM$201,0,'Per Line'!$AN$2:$AN$201,0))</f>
        <v/>
      </c>
      <c r="Z43" s="7">
        <f>IF($AH43="","",Y43*X43)</f>
        <v/>
      </c>
      <c r="AA43">
        <f>IF($AH43="","",Settings!$C$6)</f>
        <v/>
      </c>
      <c r="AB43" s="7">
        <f>IF($AH43="","",SUMIFS('Per Line'!$V$2:$V$201,'Per Line'!$D$2:$D$201,$B43,'Per Line'!$AM$2:$AM$201,1,'Per Line'!$AN$2:$AN$201,0))</f>
        <v/>
      </c>
      <c r="AC43" s="7">
        <f>IF($AH43="","",AB43*AA43)</f>
        <v/>
      </c>
      <c r="AD43" s="7">
        <f>IF($AH43="","",AC43+Z43+W43)</f>
        <v/>
      </c>
      <c r="AE43" s="7">
        <f>IF($AH43="","",AF43-AD43)</f>
        <v/>
      </c>
      <c r="AF43" s="7">
        <f>IF($AH43="","",Y43+AB43+V43)</f>
        <v/>
      </c>
      <c r="AG43" s="7">
        <f>IF($AH43="","",AF43-AD43-N43)</f>
        <v/>
      </c>
      <c r="AH43" s="13">
        <f>IF(ROWS($AH$2:$AH43)&lt;=MAX('Per Line'!$AL$2:$AL$201),MATCH(ROWS($AH$2:$AH43),'Per Line'!$AL$2:$AL$201,0),"")</f>
        <v/>
      </c>
    </row>
    <row r="44">
      <c r="A44" s="12" t="n"/>
      <c r="B44">
        <f>IF($AH44="","",INDEX('Per Line'!$D$2:$D$201,$AH44)&amp;"")</f>
        <v/>
      </c>
      <c r="C44">
        <f>IF($AH44="","",INDEX('Per Line'!$A$2:$A$201,$AH44)&amp;"")</f>
        <v/>
      </c>
      <c r="D44">
        <f>IF($AH44="","",INDEX('Per Line'!$B$2:$B$201,$AH44))</f>
        <v/>
      </c>
      <c r="E44">
        <f>IF($AH44="","",INDEX('Per Line'!$C$2:$C$201,$AH44)&amp;"")</f>
        <v/>
      </c>
      <c r="F44">
        <f>IF($AH44="","",INDEX('Per Line'!$E$2:$E$201,$AH44)&amp;"")</f>
        <v/>
      </c>
      <c r="G44" s="11">
        <f>IF($AH44="","",INDEX('Per Line'!$F$2:$F$201,$AH44))</f>
        <v/>
      </c>
      <c r="H44">
        <f>IF($AH44="","",INDEX('Per Line'!$G$2:$G$201,$AH44)&amp;"")</f>
        <v/>
      </c>
      <c r="I44">
        <f>IF($AH44="","",INDEX('Per Line'!$I$2:$I$201,$AH44)&amp;"")</f>
        <v/>
      </c>
      <c r="J44">
        <f>IF($AH44="","",INDEX('Per Line'!$J$2:$J$201,$AH44)&amp;"")</f>
        <v/>
      </c>
      <c r="K44">
        <f>IF($AH44="","",INDEX('Per Line'!$K$2:$K$201,$AH44)&amp;"")</f>
        <v/>
      </c>
      <c r="L44">
        <f>IF($AH44="","",INDEX('Per Line'!$L$2:$L$201,$AH44)&amp;"")</f>
        <v/>
      </c>
      <c r="M44">
        <f>IF($AH44="","",INDEX('Per Line'!$M$2:$M$201,$AH44))</f>
        <v/>
      </c>
      <c r="N44" s="7">
        <f>IF($AH44="","",M44*AE44/100)</f>
        <v/>
      </c>
      <c r="O44">
        <f>IF($AH44="","",INDEX('Per Line'!$Z$2:$Z$201,$AH44)&amp;"")</f>
        <v/>
      </c>
      <c r="P44">
        <f>IF($AH44="","",INDEX('Per Line'!$AC$2:$AC$201,$AH44)&amp;"")</f>
        <v/>
      </c>
      <c r="Q44">
        <f>IF($AH44="","",INDEX('Per Line'!$AD$2:$AD$201,$AH44))</f>
        <v/>
      </c>
      <c r="R44">
        <f>IF($AH44="","",IF(AND(ISNUMBER(Q44),Q44&gt;0),AF44&gt;Q44,FALSE))</f>
        <v/>
      </c>
      <c r="S44">
        <f>IF($AH44="","",INDEX('Per Line'!$AH$2:$AH$201,$AH44)&amp;"")</f>
        <v/>
      </c>
      <c r="T44" s="11">
        <f>IF($AH44="","",INDEX('Per Line'!$AI$2:$AI$201,$AH44))</f>
        <v/>
      </c>
      <c r="U44">
        <f>IF($AH44="","",Settings!$C$8)</f>
        <v/>
      </c>
      <c r="V44" s="7">
        <f>IF($AH44="","",SUMIFS('Per Line'!$V$2:$V$201,'Per Line'!$D$2:$D$201,$B44,'Per Line'!$AN$2:$AN$201,1))</f>
        <v/>
      </c>
      <c r="W44" s="7">
        <f>IF($AH44="","",V44*U44)</f>
        <v/>
      </c>
      <c r="X44">
        <f>IF($AH44="","",Settings!$C$7)</f>
        <v/>
      </c>
      <c r="Y44" s="7">
        <f>IF($AH44="","",SUMIFS('Per Line'!$V$2:$V$201,'Per Line'!$D$2:$D$201,$B44,'Per Line'!$AM$2:$AM$201,0,'Per Line'!$AN$2:$AN$201,0))</f>
        <v/>
      </c>
      <c r="Z44" s="7">
        <f>IF($AH44="","",Y44*X44)</f>
        <v/>
      </c>
      <c r="AA44">
        <f>IF($AH44="","",Settings!$C$6)</f>
        <v/>
      </c>
      <c r="AB44" s="7">
        <f>IF($AH44="","",SUMIFS('Per Line'!$V$2:$V$201,'Per Line'!$D$2:$D$201,$B44,'Per Line'!$AM$2:$AM$201,1,'Per Line'!$AN$2:$AN$201,0))</f>
        <v/>
      </c>
      <c r="AC44" s="7">
        <f>IF($AH44="","",AB44*AA44)</f>
        <v/>
      </c>
      <c r="AD44" s="7">
        <f>IF($AH44="","",AC44+Z44+W44)</f>
        <v/>
      </c>
      <c r="AE44" s="7">
        <f>IF($AH44="","",AF44-AD44)</f>
        <v/>
      </c>
      <c r="AF44" s="7">
        <f>IF($AH44="","",Y44+AB44+V44)</f>
        <v/>
      </c>
      <c r="AG44" s="7">
        <f>IF($AH44="","",AF44-AD44-N44)</f>
        <v/>
      </c>
      <c r="AH44" s="13">
        <f>IF(ROWS($AH$2:$AH44)&lt;=MAX('Per Line'!$AL$2:$AL$201),MATCH(ROWS($AH$2:$AH44),'Per Line'!$AL$2:$AL$201,0),"")</f>
        <v/>
      </c>
    </row>
    <row r="45">
      <c r="A45" s="12" t="n"/>
      <c r="B45">
        <f>IF($AH45="","",INDEX('Per Line'!$D$2:$D$201,$AH45)&amp;"")</f>
        <v/>
      </c>
      <c r="C45">
        <f>IF($AH45="","",INDEX('Per Line'!$A$2:$A$201,$AH45)&amp;"")</f>
        <v/>
      </c>
      <c r="D45">
        <f>IF($AH45="","",INDEX('Per Line'!$B$2:$B$201,$AH45))</f>
        <v/>
      </c>
      <c r="E45">
        <f>IF($AH45="","",INDEX('Per Line'!$C$2:$C$201,$AH45)&amp;"")</f>
        <v/>
      </c>
      <c r="F45">
        <f>IF($AH45="","",INDEX('Per Line'!$E$2:$E$201,$AH45)&amp;"")</f>
        <v/>
      </c>
      <c r="G45" s="11">
        <f>IF($AH45="","",INDEX('Per Line'!$F$2:$F$201,$AH45))</f>
        <v/>
      </c>
      <c r="H45">
        <f>IF($AH45="","",INDEX('Per Line'!$G$2:$G$201,$AH45)&amp;"")</f>
        <v/>
      </c>
      <c r="I45">
        <f>IF($AH45="","",INDEX('Per Line'!$I$2:$I$201,$AH45)&amp;"")</f>
        <v/>
      </c>
      <c r="J45">
        <f>IF($AH45="","",INDEX('Per Line'!$J$2:$J$201,$AH45)&amp;"")</f>
        <v/>
      </c>
      <c r="K45">
        <f>IF($AH45="","",INDEX('Per Line'!$K$2:$K$201,$AH45)&amp;"")</f>
        <v/>
      </c>
      <c r="L45">
        <f>IF($AH45="","",INDEX('Per Line'!$L$2:$L$201,$AH45)&amp;"")</f>
        <v/>
      </c>
      <c r="M45">
        <f>IF($AH45="","",INDEX('Per Line'!$M$2:$M$201,$AH45))</f>
        <v/>
      </c>
      <c r="N45" s="7">
        <f>IF($AH45="","",M45*AE45/100)</f>
        <v/>
      </c>
      <c r="O45">
        <f>IF($AH45="","",INDEX('Per Line'!$Z$2:$Z$201,$AH45)&amp;"")</f>
        <v/>
      </c>
      <c r="P45">
        <f>IF($AH45="","",INDEX('Per Line'!$AC$2:$AC$201,$AH45)&amp;"")</f>
        <v/>
      </c>
      <c r="Q45">
        <f>IF($AH45="","",INDEX('Per Line'!$AD$2:$AD$201,$AH45))</f>
        <v/>
      </c>
      <c r="R45">
        <f>IF($AH45="","",IF(AND(ISNUMBER(Q45),Q45&gt;0),AF45&gt;Q45,FALSE))</f>
        <v/>
      </c>
      <c r="S45">
        <f>IF($AH45="","",INDEX('Per Line'!$AH$2:$AH$201,$AH45)&amp;"")</f>
        <v/>
      </c>
      <c r="T45" s="11">
        <f>IF($AH45="","",INDEX('Per Line'!$AI$2:$AI$201,$AH45))</f>
        <v/>
      </c>
      <c r="U45">
        <f>IF($AH45="","",Settings!$C$8)</f>
        <v/>
      </c>
      <c r="V45" s="7">
        <f>IF($AH45="","",SUMIFS('Per Line'!$V$2:$V$201,'Per Line'!$D$2:$D$201,$B45,'Per Line'!$AN$2:$AN$201,1))</f>
        <v/>
      </c>
      <c r="W45" s="7">
        <f>IF($AH45="","",V45*U45)</f>
        <v/>
      </c>
      <c r="X45">
        <f>IF($AH45="","",Settings!$C$7)</f>
        <v/>
      </c>
      <c r="Y45" s="7">
        <f>IF($AH45="","",SUMIFS('Per Line'!$V$2:$V$201,'Per Line'!$D$2:$D$201,$B45,'Per Line'!$AM$2:$AM$201,0,'Per Line'!$AN$2:$AN$201,0))</f>
        <v/>
      </c>
      <c r="Z45" s="7">
        <f>IF($AH45="","",Y45*X45)</f>
        <v/>
      </c>
      <c r="AA45">
        <f>IF($AH45="","",Settings!$C$6)</f>
        <v/>
      </c>
      <c r="AB45" s="7">
        <f>IF($AH45="","",SUMIFS('Per Line'!$V$2:$V$201,'Per Line'!$D$2:$D$201,$B45,'Per Line'!$AM$2:$AM$201,1,'Per Line'!$AN$2:$AN$201,0))</f>
        <v/>
      </c>
      <c r="AC45" s="7">
        <f>IF($AH45="","",AB45*AA45)</f>
        <v/>
      </c>
      <c r="AD45" s="7">
        <f>IF($AH45="","",AC45+Z45+W45)</f>
        <v/>
      </c>
      <c r="AE45" s="7">
        <f>IF($AH45="","",AF45-AD45)</f>
        <v/>
      </c>
      <c r="AF45" s="7">
        <f>IF($AH45="","",Y45+AB45+V45)</f>
        <v/>
      </c>
      <c r="AG45" s="7">
        <f>IF($AH45="","",AF45-AD45-N45)</f>
        <v/>
      </c>
      <c r="AH45" s="13">
        <f>IF(ROWS($AH$2:$AH45)&lt;=MAX('Per Line'!$AL$2:$AL$201),MATCH(ROWS($AH$2:$AH45),'Per Line'!$AL$2:$AL$201,0),"")</f>
        <v/>
      </c>
    </row>
    <row r="46">
      <c r="A46" s="12" t="n"/>
      <c r="B46">
        <f>IF($AH46="","",INDEX('Per Line'!$D$2:$D$201,$AH46)&amp;"")</f>
        <v/>
      </c>
      <c r="C46">
        <f>IF($AH46="","",INDEX('Per Line'!$A$2:$A$201,$AH46)&amp;"")</f>
        <v/>
      </c>
      <c r="D46">
        <f>IF($AH46="","",INDEX('Per Line'!$B$2:$B$201,$AH46))</f>
        <v/>
      </c>
      <c r="E46">
        <f>IF($AH46="","",INDEX('Per Line'!$C$2:$C$201,$AH46)&amp;"")</f>
        <v/>
      </c>
      <c r="F46">
        <f>IF($AH46="","",INDEX('Per Line'!$E$2:$E$201,$AH46)&amp;"")</f>
        <v/>
      </c>
      <c r="G46" s="11">
        <f>IF($AH46="","",INDEX('Per Line'!$F$2:$F$201,$AH46))</f>
        <v/>
      </c>
      <c r="H46">
        <f>IF($AH46="","",INDEX('Per Line'!$G$2:$G$201,$AH46)&amp;"")</f>
        <v/>
      </c>
      <c r="I46">
        <f>IF($AH46="","",INDEX('Per Line'!$I$2:$I$201,$AH46)&amp;"")</f>
        <v/>
      </c>
      <c r="J46">
        <f>IF($AH46="","",INDEX('Per Line'!$J$2:$J$201,$AH46)&amp;"")</f>
        <v/>
      </c>
      <c r="K46">
        <f>IF($AH46="","",INDEX('Per Line'!$K$2:$K$201,$AH46)&amp;"")</f>
        <v/>
      </c>
      <c r="L46">
        <f>IF($AH46="","",INDEX('Per Line'!$L$2:$L$201,$AH46)&amp;"")</f>
        <v/>
      </c>
      <c r="M46">
        <f>IF($AH46="","",INDEX('Per Line'!$M$2:$M$201,$AH46))</f>
        <v/>
      </c>
      <c r="N46" s="7">
        <f>IF($AH46="","",M46*AE46/100)</f>
        <v/>
      </c>
      <c r="O46">
        <f>IF($AH46="","",INDEX('Per Line'!$Z$2:$Z$201,$AH46)&amp;"")</f>
        <v/>
      </c>
      <c r="P46">
        <f>IF($AH46="","",INDEX('Per Line'!$AC$2:$AC$201,$AH46)&amp;"")</f>
        <v/>
      </c>
      <c r="Q46">
        <f>IF($AH46="","",INDEX('Per Line'!$AD$2:$AD$201,$AH46))</f>
        <v/>
      </c>
      <c r="R46">
        <f>IF($AH46="","",IF(AND(ISNUMBER(Q46),Q46&gt;0),AF46&gt;Q46,FALSE))</f>
        <v/>
      </c>
      <c r="S46">
        <f>IF($AH46="","",INDEX('Per Line'!$AH$2:$AH$201,$AH46)&amp;"")</f>
        <v/>
      </c>
      <c r="T46" s="11">
        <f>IF($AH46="","",INDEX('Per Line'!$AI$2:$AI$201,$AH46))</f>
        <v/>
      </c>
      <c r="U46">
        <f>IF($AH46="","",Settings!$C$8)</f>
        <v/>
      </c>
      <c r="V46" s="7">
        <f>IF($AH46="","",SUMIFS('Per Line'!$V$2:$V$201,'Per Line'!$D$2:$D$201,$B46,'Per Line'!$AN$2:$AN$201,1))</f>
        <v/>
      </c>
      <c r="W46" s="7">
        <f>IF($AH46="","",V46*U46)</f>
        <v/>
      </c>
      <c r="X46">
        <f>IF($AH46="","",Settings!$C$7)</f>
        <v/>
      </c>
      <c r="Y46" s="7">
        <f>IF($AH46="","",SUMIFS('Per Line'!$V$2:$V$201,'Per Line'!$D$2:$D$201,$B46,'Per Line'!$AM$2:$AM$201,0,'Per Line'!$AN$2:$AN$201,0))</f>
        <v/>
      </c>
      <c r="Z46" s="7">
        <f>IF($AH46="","",Y46*X46)</f>
        <v/>
      </c>
      <c r="AA46">
        <f>IF($AH46="","",Settings!$C$6)</f>
        <v/>
      </c>
      <c r="AB46" s="7">
        <f>IF($AH46="","",SUMIFS('Per Line'!$V$2:$V$201,'Per Line'!$D$2:$D$201,$B46,'Per Line'!$AM$2:$AM$201,1,'Per Line'!$AN$2:$AN$201,0))</f>
        <v/>
      </c>
      <c r="AC46" s="7">
        <f>IF($AH46="","",AB46*AA46)</f>
        <v/>
      </c>
      <c r="AD46" s="7">
        <f>IF($AH46="","",AC46+Z46+W46)</f>
        <v/>
      </c>
      <c r="AE46" s="7">
        <f>IF($AH46="","",AF46-AD46)</f>
        <v/>
      </c>
      <c r="AF46" s="7">
        <f>IF($AH46="","",Y46+AB46+V46)</f>
        <v/>
      </c>
      <c r="AG46" s="7">
        <f>IF($AH46="","",AF46-AD46-N46)</f>
        <v/>
      </c>
      <c r="AH46" s="13">
        <f>IF(ROWS($AH$2:$AH46)&lt;=MAX('Per Line'!$AL$2:$AL$201),MATCH(ROWS($AH$2:$AH46),'Per Line'!$AL$2:$AL$201,0),"")</f>
        <v/>
      </c>
    </row>
    <row r="47">
      <c r="A47" s="12" t="n"/>
      <c r="B47">
        <f>IF($AH47="","",INDEX('Per Line'!$D$2:$D$201,$AH47)&amp;"")</f>
        <v/>
      </c>
      <c r="C47">
        <f>IF($AH47="","",INDEX('Per Line'!$A$2:$A$201,$AH47)&amp;"")</f>
        <v/>
      </c>
      <c r="D47">
        <f>IF($AH47="","",INDEX('Per Line'!$B$2:$B$201,$AH47))</f>
        <v/>
      </c>
      <c r="E47">
        <f>IF($AH47="","",INDEX('Per Line'!$C$2:$C$201,$AH47)&amp;"")</f>
        <v/>
      </c>
      <c r="F47">
        <f>IF($AH47="","",INDEX('Per Line'!$E$2:$E$201,$AH47)&amp;"")</f>
        <v/>
      </c>
      <c r="G47" s="11">
        <f>IF($AH47="","",INDEX('Per Line'!$F$2:$F$201,$AH47))</f>
        <v/>
      </c>
      <c r="H47">
        <f>IF($AH47="","",INDEX('Per Line'!$G$2:$G$201,$AH47)&amp;"")</f>
        <v/>
      </c>
      <c r="I47">
        <f>IF($AH47="","",INDEX('Per Line'!$I$2:$I$201,$AH47)&amp;"")</f>
        <v/>
      </c>
      <c r="J47">
        <f>IF($AH47="","",INDEX('Per Line'!$J$2:$J$201,$AH47)&amp;"")</f>
        <v/>
      </c>
      <c r="K47">
        <f>IF($AH47="","",INDEX('Per Line'!$K$2:$K$201,$AH47)&amp;"")</f>
        <v/>
      </c>
      <c r="L47">
        <f>IF($AH47="","",INDEX('Per Line'!$L$2:$L$201,$AH47)&amp;"")</f>
        <v/>
      </c>
      <c r="M47">
        <f>IF($AH47="","",INDEX('Per Line'!$M$2:$M$201,$AH47))</f>
        <v/>
      </c>
      <c r="N47" s="7">
        <f>IF($AH47="","",M47*AE47/100)</f>
        <v/>
      </c>
      <c r="O47">
        <f>IF($AH47="","",INDEX('Per Line'!$Z$2:$Z$201,$AH47)&amp;"")</f>
        <v/>
      </c>
      <c r="P47">
        <f>IF($AH47="","",INDEX('Per Line'!$AC$2:$AC$201,$AH47)&amp;"")</f>
        <v/>
      </c>
      <c r="Q47">
        <f>IF($AH47="","",INDEX('Per Line'!$AD$2:$AD$201,$AH47))</f>
        <v/>
      </c>
      <c r="R47">
        <f>IF($AH47="","",IF(AND(ISNUMBER(Q47),Q47&gt;0),AF47&gt;Q47,FALSE))</f>
        <v/>
      </c>
      <c r="S47">
        <f>IF($AH47="","",INDEX('Per Line'!$AH$2:$AH$201,$AH47)&amp;"")</f>
        <v/>
      </c>
      <c r="T47" s="11">
        <f>IF($AH47="","",INDEX('Per Line'!$AI$2:$AI$201,$AH47))</f>
        <v/>
      </c>
      <c r="U47">
        <f>IF($AH47="","",Settings!$C$8)</f>
        <v/>
      </c>
      <c r="V47" s="7">
        <f>IF($AH47="","",SUMIFS('Per Line'!$V$2:$V$201,'Per Line'!$D$2:$D$201,$B47,'Per Line'!$AN$2:$AN$201,1))</f>
        <v/>
      </c>
      <c r="W47" s="7">
        <f>IF($AH47="","",V47*U47)</f>
        <v/>
      </c>
      <c r="X47">
        <f>IF($AH47="","",Settings!$C$7)</f>
        <v/>
      </c>
      <c r="Y47" s="7">
        <f>IF($AH47="","",SUMIFS('Per Line'!$V$2:$V$201,'Per Line'!$D$2:$D$201,$B47,'Per Line'!$AM$2:$AM$201,0,'Per Line'!$AN$2:$AN$201,0))</f>
        <v/>
      </c>
      <c r="Z47" s="7">
        <f>IF($AH47="","",Y47*X47)</f>
        <v/>
      </c>
      <c r="AA47">
        <f>IF($AH47="","",Settings!$C$6)</f>
        <v/>
      </c>
      <c r="AB47" s="7">
        <f>IF($AH47="","",SUMIFS('Per Line'!$V$2:$V$201,'Per Line'!$D$2:$D$201,$B47,'Per Line'!$AM$2:$AM$201,1,'Per Line'!$AN$2:$AN$201,0))</f>
        <v/>
      </c>
      <c r="AC47" s="7">
        <f>IF($AH47="","",AB47*AA47)</f>
        <v/>
      </c>
      <c r="AD47" s="7">
        <f>IF($AH47="","",AC47+Z47+W47)</f>
        <v/>
      </c>
      <c r="AE47" s="7">
        <f>IF($AH47="","",AF47-AD47)</f>
        <v/>
      </c>
      <c r="AF47" s="7">
        <f>IF($AH47="","",Y47+AB47+V47)</f>
        <v/>
      </c>
      <c r="AG47" s="7">
        <f>IF($AH47="","",AF47-AD47-N47)</f>
        <v/>
      </c>
      <c r="AH47" s="13">
        <f>IF(ROWS($AH$2:$AH47)&lt;=MAX('Per Line'!$AL$2:$AL$201),MATCH(ROWS($AH$2:$AH47),'Per Line'!$AL$2:$AL$201,0),"")</f>
        <v/>
      </c>
    </row>
    <row r="48">
      <c r="A48" s="12" t="n"/>
      <c r="B48">
        <f>IF($AH48="","",INDEX('Per Line'!$D$2:$D$201,$AH48)&amp;"")</f>
        <v/>
      </c>
      <c r="C48">
        <f>IF($AH48="","",INDEX('Per Line'!$A$2:$A$201,$AH48)&amp;"")</f>
        <v/>
      </c>
      <c r="D48">
        <f>IF($AH48="","",INDEX('Per Line'!$B$2:$B$201,$AH48))</f>
        <v/>
      </c>
      <c r="E48">
        <f>IF($AH48="","",INDEX('Per Line'!$C$2:$C$201,$AH48)&amp;"")</f>
        <v/>
      </c>
      <c r="F48">
        <f>IF($AH48="","",INDEX('Per Line'!$E$2:$E$201,$AH48)&amp;"")</f>
        <v/>
      </c>
      <c r="G48" s="11">
        <f>IF($AH48="","",INDEX('Per Line'!$F$2:$F$201,$AH48))</f>
        <v/>
      </c>
      <c r="H48">
        <f>IF($AH48="","",INDEX('Per Line'!$G$2:$G$201,$AH48)&amp;"")</f>
        <v/>
      </c>
      <c r="I48">
        <f>IF($AH48="","",INDEX('Per Line'!$I$2:$I$201,$AH48)&amp;"")</f>
        <v/>
      </c>
      <c r="J48">
        <f>IF($AH48="","",INDEX('Per Line'!$J$2:$J$201,$AH48)&amp;"")</f>
        <v/>
      </c>
      <c r="K48">
        <f>IF($AH48="","",INDEX('Per Line'!$K$2:$K$201,$AH48)&amp;"")</f>
        <v/>
      </c>
      <c r="L48">
        <f>IF($AH48="","",INDEX('Per Line'!$L$2:$L$201,$AH48)&amp;"")</f>
        <v/>
      </c>
      <c r="M48">
        <f>IF($AH48="","",INDEX('Per Line'!$M$2:$M$201,$AH48))</f>
        <v/>
      </c>
      <c r="N48" s="7">
        <f>IF($AH48="","",M48*AE48/100)</f>
        <v/>
      </c>
      <c r="O48">
        <f>IF($AH48="","",INDEX('Per Line'!$Z$2:$Z$201,$AH48)&amp;"")</f>
        <v/>
      </c>
      <c r="P48">
        <f>IF($AH48="","",INDEX('Per Line'!$AC$2:$AC$201,$AH48)&amp;"")</f>
        <v/>
      </c>
      <c r="Q48">
        <f>IF($AH48="","",INDEX('Per Line'!$AD$2:$AD$201,$AH48))</f>
        <v/>
      </c>
      <c r="R48">
        <f>IF($AH48="","",IF(AND(ISNUMBER(Q48),Q48&gt;0),AF48&gt;Q48,FALSE))</f>
        <v/>
      </c>
      <c r="S48">
        <f>IF($AH48="","",INDEX('Per Line'!$AH$2:$AH$201,$AH48)&amp;"")</f>
        <v/>
      </c>
      <c r="T48" s="11">
        <f>IF($AH48="","",INDEX('Per Line'!$AI$2:$AI$201,$AH48))</f>
        <v/>
      </c>
      <c r="U48">
        <f>IF($AH48="","",Settings!$C$8)</f>
        <v/>
      </c>
      <c r="V48" s="7">
        <f>IF($AH48="","",SUMIFS('Per Line'!$V$2:$V$201,'Per Line'!$D$2:$D$201,$B48,'Per Line'!$AN$2:$AN$201,1))</f>
        <v/>
      </c>
      <c r="W48" s="7">
        <f>IF($AH48="","",V48*U48)</f>
        <v/>
      </c>
      <c r="X48">
        <f>IF($AH48="","",Settings!$C$7)</f>
        <v/>
      </c>
      <c r="Y48" s="7">
        <f>IF($AH48="","",SUMIFS('Per Line'!$V$2:$V$201,'Per Line'!$D$2:$D$201,$B48,'Per Line'!$AM$2:$AM$201,0,'Per Line'!$AN$2:$AN$201,0))</f>
        <v/>
      </c>
      <c r="Z48" s="7">
        <f>IF($AH48="","",Y48*X48)</f>
        <v/>
      </c>
      <c r="AA48">
        <f>IF($AH48="","",Settings!$C$6)</f>
        <v/>
      </c>
      <c r="AB48" s="7">
        <f>IF($AH48="","",SUMIFS('Per Line'!$V$2:$V$201,'Per Line'!$D$2:$D$201,$B48,'Per Line'!$AM$2:$AM$201,1,'Per Line'!$AN$2:$AN$201,0))</f>
        <v/>
      </c>
      <c r="AC48" s="7">
        <f>IF($AH48="","",AB48*AA48)</f>
        <v/>
      </c>
      <c r="AD48" s="7">
        <f>IF($AH48="","",AC48+Z48+W48)</f>
        <v/>
      </c>
      <c r="AE48" s="7">
        <f>IF($AH48="","",AF48-AD48)</f>
        <v/>
      </c>
      <c r="AF48" s="7">
        <f>IF($AH48="","",Y48+AB48+V48)</f>
        <v/>
      </c>
      <c r="AG48" s="7">
        <f>IF($AH48="","",AF48-AD48-N48)</f>
        <v/>
      </c>
      <c r="AH48" s="13">
        <f>IF(ROWS($AH$2:$AH48)&lt;=MAX('Per Line'!$AL$2:$AL$201),MATCH(ROWS($AH$2:$AH48),'Per Line'!$AL$2:$AL$201,0),"")</f>
        <v/>
      </c>
    </row>
    <row r="49">
      <c r="A49" s="12" t="n"/>
      <c r="B49">
        <f>IF($AH49="","",INDEX('Per Line'!$D$2:$D$201,$AH49)&amp;"")</f>
        <v/>
      </c>
      <c r="C49">
        <f>IF($AH49="","",INDEX('Per Line'!$A$2:$A$201,$AH49)&amp;"")</f>
        <v/>
      </c>
      <c r="D49">
        <f>IF($AH49="","",INDEX('Per Line'!$B$2:$B$201,$AH49))</f>
        <v/>
      </c>
      <c r="E49">
        <f>IF($AH49="","",INDEX('Per Line'!$C$2:$C$201,$AH49)&amp;"")</f>
        <v/>
      </c>
      <c r="F49">
        <f>IF($AH49="","",INDEX('Per Line'!$E$2:$E$201,$AH49)&amp;"")</f>
        <v/>
      </c>
      <c r="G49" s="11">
        <f>IF($AH49="","",INDEX('Per Line'!$F$2:$F$201,$AH49))</f>
        <v/>
      </c>
      <c r="H49">
        <f>IF($AH49="","",INDEX('Per Line'!$G$2:$G$201,$AH49)&amp;"")</f>
        <v/>
      </c>
      <c r="I49">
        <f>IF($AH49="","",INDEX('Per Line'!$I$2:$I$201,$AH49)&amp;"")</f>
        <v/>
      </c>
      <c r="J49">
        <f>IF($AH49="","",INDEX('Per Line'!$J$2:$J$201,$AH49)&amp;"")</f>
        <v/>
      </c>
      <c r="K49">
        <f>IF($AH49="","",INDEX('Per Line'!$K$2:$K$201,$AH49)&amp;"")</f>
        <v/>
      </c>
      <c r="L49">
        <f>IF($AH49="","",INDEX('Per Line'!$L$2:$L$201,$AH49)&amp;"")</f>
        <v/>
      </c>
      <c r="M49">
        <f>IF($AH49="","",INDEX('Per Line'!$M$2:$M$201,$AH49))</f>
        <v/>
      </c>
      <c r="N49" s="7">
        <f>IF($AH49="","",M49*AE49/100)</f>
        <v/>
      </c>
      <c r="O49">
        <f>IF($AH49="","",INDEX('Per Line'!$Z$2:$Z$201,$AH49)&amp;"")</f>
        <v/>
      </c>
      <c r="P49">
        <f>IF($AH49="","",INDEX('Per Line'!$AC$2:$AC$201,$AH49)&amp;"")</f>
        <v/>
      </c>
      <c r="Q49">
        <f>IF($AH49="","",INDEX('Per Line'!$AD$2:$AD$201,$AH49))</f>
        <v/>
      </c>
      <c r="R49">
        <f>IF($AH49="","",IF(AND(ISNUMBER(Q49),Q49&gt;0),AF49&gt;Q49,FALSE))</f>
        <v/>
      </c>
      <c r="S49">
        <f>IF($AH49="","",INDEX('Per Line'!$AH$2:$AH$201,$AH49)&amp;"")</f>
        <v/>
      </c>
      <c r="T49" s="11">
        <f>IF($AH49="","",INDEX('Per Line'!$AI$2:$AI$201,$AH49))</f>
        <v/>
      </c>
      <c r="U49">
        <f>IF($AH49="","",Settings!$C$8)</f>
        <v/>
      </c>
      <c r="V49" s="7">
        <f>IF($AH49="","",SUMIFS('Per Line'!$V$2:$V$201,'Per Line'!$D$2:$D$201,$B49,'Per Line'!$AN$2:$AN$201,1))</f>
        <v/>
      </c>
      <c r="W49" s="7">
        <f>IF($AH49="","",V49*U49)</f>
        <v/>
      </c>
      <c r="X49">
        <f>IF($AH49="","",Settings!$C$7)</f>
        <v/>
      </c>
      <c r="Y49" s="7">
        <f>IF($AH49="","",SUMIFS('Per Line'!$V$2:$V$201,'Per Line'!$D$2:$D$201,$B49,'Per Line'!$AM$2:$AM$201,0,'Per Line'!$AN$2:$AN$201,0))</f>
        <v/>
      </c>
      <c r="Z49" s="7">
        <f>IF($AH49="","",Y49*X49)</f>
        <v/>
      </c>
      <c r="AA49">
        <f>IF($AH49="","",Settings!$C$6)</f>
        <v/>
      </c>
      <c r="AB49" s="7">
        <f>IF($AH49="","",SUMIFS('Per Line'!$V$2:$V$201,'Per Line'!$D$2:$D$201,$B49,'Per Line'!$AM$2:$AM$201,1,'Per Line'!$AN$2:$AN$201,0))</f>
        <v/>
      </c>
      <c r="AC49" s="7">
        <f>IF($AH49="","",AB49*AA49)</f>
        <v/>
      </c>
      <c r="AD49" s="7">
        <f>IF($AH49="","",AC49+Z49+W49)</f>
        <v/>
      </c>
      <c r="AE49" s="7">
        <f>IF($AH49="","",AF49-AD49)</f>
        <v/>
      </c>
      <c r="AF49" s="7">
        <f>IF($AH49="","",Y49+AB49+V49)</f>
        <v/>
      </c>
      <c r="AG49" s="7">
        <f>IF($AH49="","",AF49-AD49-N49)</f>
        <v/>
      </c>
      <c r="AH49" s="13">
        <f>IF(ROWS($AH$2:$AH49)&lt;=MAX('Per Line'!$AL$2:$AL$201),MATCH(ROWS($AH$2:$AH49),'Per Line'!$AL$2:$AL$201,0),"")</f>
        <v/>
      </c>
    </row>
    <row r="50">
      <c r="A50" s="12" t="n"/>
      <c r="B50">
        <f>IF($AH50="","",INDEX('Per Line'!$D$2:$D$201,$AH50)&amp;"")</f>
        <v/>
      </c>
      <c r="C50">
        <f>IF($AH50="","",INDEX('Per Line'!$A$2:$A$201,$AH50)&amp;"")</f>
        <v/>
      </c>
      <c r="D50">
        <f>IF($AH50="","",INDEX('Per Line'!$B$2:$B$201,$AH50))</f>
        <v/>
      </c>
      <c r="E50">
        <f>IF($AH50="","",INDEX('Per Line'!$C$2:$C$201,$AH50)&amp;"")</f>
        <v/>
      </c>
      <c r="F50">
        <f>IF($AH50="","",INDEX('Per Line'!$E$2:$E$201,$AH50)&amp;"")</f>
        <v/>
      </c>
      <c r="G50" s="11">
        <f>IF($AH50="","",INDEX('Per Line'!$F$2:$F$201,$AH50))</f>
        <v/>
      </c>
      <c r="H50">
        <f>IF($AH50="","",INDEX('Per Line'!$G$2:$G$201,$AH50)&amp;"")</f>
        <v/>
      </c>
      <c r="I50">
        <f>IF($AH50="","",INDEX('Per Line'!$I$2:$I$201,$AH50)&amp;"")</f>
        <v/>
      </c>
      <c r="J50">
        <f>IF($AH50="","",INDEX('Per Line'!$J$2:$J$201,$AH50)&amp;"")</f>
        <v/>
      </c>
      <c r="K50">
        <f>IF($AH50="","",INDEX('Per Line'!$K$2:$K$201,$AH50)&amp;"")</f>
        <v/>
      </c>
      <c r="L50">
        <f>IF($AH50="","",INDEX('Per Line'!$L$2:$L$201,$AH50)&amp;"")</f>
        <v/>
      </c>
      <c r="M50">
        <f>IF($AH50="","",INDEX('Per Line'!$M$2:$M$201,$AH50))</f>
        <v/>
      </c>
      <c r="N50" s="7">
        <f>IF($AH50="","",M50*AE50/100)</f>
        <v/>
      </c>
      <c r="O50">
        <f>IF($AH50="","",INDEX('Per Line'!$Z$2:$Z$201,$AH50)&amp;"")</f>
        <v/>
      </c>
      <c r="P50">
        <f>IF($AH50="","",INDEX('Per Line'!$AC$2:$AC$201,$AH50)&amp;"")</f>
        <v/>
      </c>
      <c r="Q50">
        <f>IF($AH50="","",INDEX('Per Line'!$AD$2:$AD$201,$AH50))</f>
        <v/>
      </c>
      <c r="R50">
        <f>IF($AH50="","",IF(AND(ISNUMBER(Q50),Q50&gt;0),AF50&gt;Q50,FALSE))</f>
        <v/>
      </c>
      <c r="S50">
        <f>IF($AH50="","",INDEX('Per Line'!$AH$2:$AH$201,$AH50)&amp;"")</f>
        <v/>
      </c>
      <c r="T50" s="11">
        <f>IF($AH50="","",INDEX('Per Line'!$AI$2:$AI$201,$AH50))</f>
        <v/>
      </c>
      <c r="U50">
        <f>IF($AH50="","",Settings!$C$8)</f>
        <v/>
      </c>
      <c r="V50" s="7">
        <f>IF($AH50="","",SUMIFS('Per Line'!$V$2:$V$201,'Per Line'!$D$2:$D$201,$B50,'Per Line'!$AN$2:$AN$201,1))</f>
        <v/>
      </c>
      <c r="W50" s="7">
        <f>IF($AH50="","",V50*U50)</f>
        <v/>
      </c>
      <c r="X50">
        <f>IF($AH50="","",Settings!$C$7)</f>
        <v/>
      </c>
      <c r="Y50" s="7">
        <f>IF($AH50="","",SUMIFS('Per Line'!$V$2:$V$201,'Per Line'!$D$2:$D$201,$B50,'Per Line'!$AM$2:$AM$201,0,'Per Line'!$AN$2:$AN$201,0))</f>
        <v/>
      </c>
      <c r="Z50" s="7">
        <f>IF($AH50="","",Y50*X50)</f>
        <v/>
      </c>
      <c r="AA50">
        <f>IF($AH50="","",Settings!$C$6)</f>
        <v/>
      </c>
      <c r="AB50" s="7">
        <f>IF($AH50="","",SUMIFS('Per Line'!$V$2:$V$201,'Per Line'!$D$2:$D$201,$B50,'Per Line'!$AM$2:$AM$201,1,'Per Line'!$AN$2:$AN$201,0))</f>
        <v/>
      </c>
      <c r="AC50" s="7">
        <f>IF($AH50="","",AB50*AA50)</f>
        <v/>
      </c>
      <c r="AD50" s="7">
        <f>IF($AH50="","",AC50+Z50+W50)</f>
        <v/>
      </c>
      <c r="AE50" s="7">
        <f>IF($AH50="","",AF50-AD50)</f>
        <v/>
      </c>
      <c r="AF50" s="7">
        <f>IF($AH50="","",Y50+AB50+V50)</f>
        <v/>
      </c>
      <c r="AG50" s="7">
        <f>IF($AH50="","",AF50-AD50-N50)</f>
        <v/>
      </c>
      <c r="AH50" s="13">
        <f>IF(ROWS($AH$2:$AH50)&lt;=MAX('Per Line'!$AL$2:$AL$201),MATCH(ROWS($AH$2:$AH50),'Per Line'!$AL$2:$AL$201,0),"")</f>
        <v/>
      </c>
    </row>
    <row r="51">
      <c r="A51" s="12" t="n"/>
      <c r="B51">
        <f>IF($AH51="","",INDEX('Per Line'!$D$2:$D$201,$AH51)&amp;"")</f>
        <v/>
      </c>
      <c r="C51">
        <f>IF($AH51="","",INDEX('Per Line'!$A$2:$A$201,$AH51)&amp;"")</f>
        <v/>
      </c>
      <c r="D51">
        <f>IF($AH51="","",INDEX('Per Line'!$B$2:$B$201,$AH51))</f>
        <v/>
      </c>
      <c r="E51">
        <f>IF($AH51="","",INDEX('Per Line'!$C$2:$C$201,$AH51)&amp;"")</f>
        <v/>
      </c>
      <c r="F51">
        <f>IF($AH51="","",INDEX('Per Line'!$E$2:$E$201,$AH51)&amp;"")</f>
        <v/>
      </c>
      <c r="G51" s="11">
        <f>IF($AH51="","",INDEX('Per Line'!$F$2:$F$201,$AH51))</f>
        <v/>
      </c>
      <c r="H51">
        <f>IF($AH51="","",INDEX('Per Line'!$G$2:$G$201,$AH51)&amp;"")</f>
        <v/>
      </c>
      <c r="I51">
        <f>IF($AH51="","",INDEX('Per Line'!$I$2:$I$201,$AH51)&amp;"")</f>
        <v/>
      </c>
      <c r="J51">
        <f>IF($AH51="","",INDEX('Per Line'!$J$2:$J$201,$AH51)&amp;"")</f>
        <v/>
      </c>
      <c r="K51">
        <f>IF($AH51="","",INDEX('Per Line'!$K$2:$K$201,$AH51)&amp;"")</f>
        <v/>
      </c>
      <c r="L51">
        <f>IF($AH51="","",INDEX('Per Line'!$L$2:$L$201,$AH51)&amp;"")</f>
        <v/>
      </c>
      <c r="M51">
        <f>IF($AH51="","",INDEX('Per Line'!$M$2:$M$201,$AH51))</f>
        <v/>
      </c>
      <c r="N51" s="7">
        <f>IF($AH51="","",M51*AE51/100)</f>
        <v/>
      </c>
      <c r="O51">
        <f>IF($AH51="","",INDEX('Per Line'!$Z$2:$Z$201,$AH51)&amp;"")</f>
        <v/>
      </c>
      <c r="P51">
        <f>IF($AH51="","",INDEX('Per Line'!$AC$2:$AC$201,$AH51)&amp;"")</f>
        <v/>
      </c>
      <c r="Q51">
        <f>IF($AH51="","",INDEX('Per Line'!$AD$2:$AD$201,$AH51))</f>
        <v/>
      </c>
      <c r="R51">
        <f>IF($AH51="","",IF(AND(ISNUMBER(Q51),Q51&gt;0),AF51&gt;Q51,FALSE))</f>
        <v/>
      </c>
      <c r="S51">
        <f>IF($AH51="","",INDEX('Per Line'!$AH$2:$AH$201,$AH51)&amp;"")</f>
        <v/>
      </c>
      <c r="T51" s="11">
        <f>IF($AH51="","",INDEX('Per Line'!$AI$2:$AI$201,$AH51))</f>
        <v/>
      </c>
      <c r="U51">
        <f>IF($AH51="","",Settings!$C$8)</f>
        <v/>
      </c>
      <c r="V51" s="7">
        <f>IF($AH51="","",SUMIFS('Per Line'!$V$2:$V$201,'Per Line'!$D$2:$D$201,$B51,'Per Line'!$AN$2:$AN$201,1))</f>
        <v/>
      </c>
      <c r="W51" s="7">
        <f>IF($AH51="","",V51*U51)</f>
        <v/>
      </c>
      <c r="X51">
        <f>IF($AH51="","",Settings!$C$7)</f>
        <v/>
      </c>
      <c r="Y51" s="7">
        <f>IF($AH51="","",SUMIFS('Per Line'!$V$2:$V$201,'Per Line'!$D$2:$D$201,$B51,'Per Line'!$AM$2:$AM$201,0,'Per Line'!$AN$2:$AN$201,0))</f>
        <v/>
      </c>
      <c r="Z51" s="7">
        <f>IF($AH51="","",Y51*X51)</f>
        <v/>
      </c>
      <c r="AA51">
        <f>IF($AH51="","",Settings!$C$6)</f>
        <v/>
      </c>
      <c r="AB51" s="7">
        <f>IF($AH51="","",SUMIFS('Per Line'!$V$2:$V$201,'Per Line'!$D$2:$D$201,$B51,'Per Line'!$AM$2:$AM$201,1,'Per Line'!$AN$2:$AN$201,0))</f>
        <v/>
      </c>
      <c r="AC51" s="7">
        <f>IF($AH51="","",AB51*AA51)</f>
        <v/>
      </c>
      <c r="AD51" s="7">
        <f>IF($AH51="","",AC51+Z51+W51)</f>
        <v/>
      </c>
      <c r="AE51" s="7">
        <f>IF($AH51="","",AF51-AD51)</f>
        <v/>
      </c>
      <c r="AF51" s="7">
        <f>IF($AH51="","",Y51+AB51+V51)</f>
        <v/>
      </c>
      <c r="AG51" s="7">
        <f>IF($AH51="","",AF51-AD51-N51)</f>
        <v/>
      </c>
      <c r="AH51" s="13">
        <f>IF(ROWS($AH$2:$AH51)&lt;=MAX('Per Line'!$AL$2:$AL$201),MATCH(ROWS($AH$2:$AH51),'Per Line'!$AL$2:$AL$201,0),"")</f>
        <v/>
      </c>
    </row>
    <row r="52">
      <c r="A52" s="12" t="n"/>
      <c r="B52">
        <f>IF($AH52="","",INDEX('Per Line'!$D$2:$D$201,$AH52)&amp;"")</f>
        <v/>
      </c>
      <c r="C52">
        <f>IF($AH52="","",INDEX('Per Line'!$A$2:$A$201,$AH52)&amp;"")</f>
        <v/>
      </c>
      <c r="D52">
        <f>IF($AH52="","",INDEX('Per Line'!$B$2:$B$201,$AH52))</f>
        <v/>
      </c>
      <c r="E52">
        <f>IF($AH52="","",INDEX('Per Line'!$C$2:$C$201,$AH52)&amp;"")</f>
        <v/>
      </c>
      <c r="F52">
        <f>IF($AH52="","",INDEX('Per Line'!$E$2:$E$201,$AH52)&amp;"")</f>
        <v/>
      </c>
      <c r="G52" s="11">
        <f>IF($AH52="","",INDEX('Per Line'!$F$2:$F$201,$AH52))</f>
        <v/>
      </c>
      <c r="H52">
        <f>IF($AH52="","",INDEX('Per Line'!$G$2:$G$201,$AH52)&amp;"")</f>
        <v/>
      </c>
      <c r="I52">
        <f>IF($AH52="","",INDEX('Per Line'!$I$2:$I$201,$AH52)&amp;"")</f>
        <v/>
      </c>
      <c r="J52">
        <f>IF($AH52="","",INDEX('Per Line'!$J$2:$J$201,$AH52)&amp;"")</f>
        <v/>
      </c>
      <c r="K52">
        <f>IF($AH52="","",INDEX('Per Line'!$K$2:$K$201,$AH52)&amp;"")</f>
        <v/>
      </c>
      <c r="L52">
        <f>IF($AH52="","",INDEX('Per Line'!$L$2:$L$201,$AH52)&amp;"")</f>
        <v/>
      </c>
      <c r="M52">
        <f>IF($AH52="","",INDEX('Per Line'!$M$2:$M$201,$AH52))</f>
        <v/>
      </c>
      <c r="N52" s="7">
        <f>IF($AH52="","",M52*AE52/100)</f>
        <v/>
      </c>
      <c r="O52">
        <f>IF($AH52="","",INDEX('Per Line'!$Z$2:$Z$201,$AH52)&amp;"")</f>
        <v/>
      </c>
      <c r="P52">
        <f>IF($AH52="","",INDEX('Per Line'!$AC$2:$AC$201,$AH52)&amp;"")</f>
        <v/>
      </c>
      <c r="Q52">
        <f>IF($AH52="","",INDEX('Per Line'!$AD$2:$AD$201,$AH52))</f>
        <v/>
      </c>
      <c r="R52">
        <f>IF($AH52="","",IF(AND(ISNUMBER(Q52),Q52&gt;0),AF52&gt;Q52,FALSE))</f>
        <v/>
      </c>
      <c r="S52">
        <f>IF($AH52="","",INDEX('Per Line'!$AH$2:$AH$201,$AH52)&amp;"")</f>
        <v/>
      </c>
      <c r="T52" s="11">
        <f>IF($AH52="","",INDEX('Per Line'!$AI$2:$AI$201,$AH52))</f>
        <v/>
      </c>
      <c r="U52">
        <f>IF($AH52="","",Settings!$C$8)</f>
        <v/>
      </c>
      <c r="V52" s="7">
        <f>IF($AH52="","",SUMIFS('Per Line'!$V$2:$V$201,'Per Line'!$D$2:$D$201,$B52,'Per Line'!$AN$2:$AN$201,1))</f>
        <v/>
      </c>
      <c r="W52" s="7">
        <f>IF($AH52="","",V52*U52)</f>
        <v/>
      </c>
      <c r="X52">
        <f>IF($AH52="","",Settings!$C$7)</f>
        <v/>
      </c>
      <c r="Y52" s="7">
        <f>IF($AH52="","",SUMIFS('Per Line'!$V$2:$V$201,'Per Line'!$D$2:$D$201,$B52,'Per Line'!$AM$2:$AM$201,0,'Per Line'!$AN$2:$AN$201,0))</f>
        <v/>
      </c>
      <c r="Z52" s="7">
        <f>IF($AH52="","",Y52*X52)</f>
        <v/>
      </c>
      <c r="AA52">
        <f>IF($AH52="","",Settings!$C$6)</f>
        <v/>
      </c>
      <c r="AB52" s="7">
        <f>IF($AH52="","",SUMIFS('Per Line'!$V$2:$V$201,'Per Line'!$D$2:$D$201,$B52,'Per Line'!$AM$2:$AM$201,1,'Per Line'!$AN$2:$AN$201,0))</f>
        <v/>
      </c>
      <c r="AC52" s="7">
        <f>IF($AH52="","",AB52*AA52)</f>
        <v/>
      </c>
      <c r="AD52" s="7">
        <f>IF($AH52="","",AC52+Z52+W52)</f>
        <v/>
      </c>
      <c r="AE52" s="7">
        <f>IF($AH52="","",AF52-AD52)</f>
        <v/>
      </c>
      <c r="AF52" s="7">
        <f>IF($AH52="","",Y52+AB52+V52)</f>
        <v/>
      </c>
      <c r="AG52" s="7">
        <f>IF($AH52="","",AF52-AD52-N52)</f>
        <v/>
      </c>
      <c r="AH52" s="13">
        <f>IF(ROWS($AH$2:$AH52)&lt;=MAX('Per Line'!$AL$2:$AL$201),MATCH(ROWS($AH$2:$AH52),'Per Line'!$AL$2:$AL$201,0),"")</f>
        <v/>
      </c>
    </row>
    <row r="53">
      <c r="A53" s="12" t="n"/>
      <c r="B53">
        <f>IF($AH53="","",INDEX('Per Line'!$D$2:$D$201,$AH53)&amp;"")</f>
        <v/>
      </c>
      <c r="C53">
        <f>IF($AH53="","",INDEX('Per Line'!$A$2:$A$201,$AH53)&amp;"")</f>
        <v/>
      </c>
      <c r="D53">
        <f>IF($AH53="","",INDEX('Per Line'!$B$2:$B$201,$AH53))</f>
        <v/>
      </c>
      <c r="E53">
        <f>IF($AH53="","",INDEX('Per Line'!$C$2:$C$201,$AH53)&amp;"")</f>
        <v/>
      </c>
      <c r="F53">
        <f>IF($AH53="","",INDEX('Per Line'!$E$2:$E$201,$AH53)&amp;"")</f>
        <v/>
      </c>
      <c r="G53" s="11">
        <f>IF($AH53="","",INDEX('Per Line'!$F$2:$F$201,$AH53))</f>
        <v/>
      </c>
      <c r="H53">
        <f>IF($AH53="","",INDEX('Per Line'!$G$2:$G$201,$AH53)&amp;"")</f>
        <v/>
      </c>
      <c r="I53">
        <f>IF($AH53="","",INDEX('Per Line'!$I$2:$I$201,$AH53)&amp;"")</f>
        <v/>
      </c>
      <c r="J53">
        <f>IF($AH53="","",INDEX('Per Line'!$J$2:$J$201,$AH53)&amp;"")</f>
        <v/>
      </c>
      <c r="K53">
        <f>IF($AH53="","",INDEX('Per Line'!$K$2:$K$201,$AH53)&amp;"")</f>
        <v/>
      </c>
      <c r="L53">
        <f>IF($AH53="","",INDEX('Per Line'!$L$2:$L$201,$AH53)&amp;"")</f>
        <v/>
      </c>
      <c r="M53">
        <f>IF($AH53="","",INDEX('Per Line'!$M$2:$M$201,$AH53))</f>
        <v/>
      </c>
      <c r="N53" s="7">
        <f>IF($AH53="","",M53*AE53/100)</f>
        <v/>
      </c>
      <c r="O53">
        <f>IF($AH53="","",INDEX('Per Line'!$Z$2:$Z$201,$AH53)&amp;"")</f>
        <v/>
      </c>
      <c r="P53">
        <f>IF($AH53="","",INDEX('Per Line'!$AC$2:$AC$201,$AH53)&amp;"")</f>
        <v/>
      </c>
      <c r="Q53">
        <f>IF($AH53="","",INDEX('Per Line'!$AD$2:$AD$201,$AH53))</f>
        <v/>
      </c>
      <c r="R53">
        <f>IF($AH53="","",IF(AND(ISNUMBER(Q53),Q53&gt;0),AF53&gt;Q53,FALSE))</f>
        <v/>
      </c>
      <c r="S53">
        <f>IF($AH53="","",INDEX('Per Line'!$AH$2:$AH$201,$AH53)&amp;"")</f>
        <v/>
      </c>
      <c r="T53" s="11">
        <f>IF($AH53="","",INDEX('Per Line'!$AI$2:$AI$201,$AH53))</f>
        <v/>
      </c>
      <c r="U53">
        <f>IF($AH53="","",Settings!$C$8)</f>
        <v/>
      </c>
      <c r="V53" s="7">
        <f>IF($AH53="","",SUMIFS('Per Line'!$V$2:$V$201,'Per Line'!$D$2:$D$201,$B53,'Per Line'!$AN$2:$AN$201,1))</f>
        <v/>
      </c>
      <c r="W53" s="7">
        <f>IF($AH53="","",V53*U53)</f>
        <v/>
      </c>
      <c r="X53">
        <f>IF($AH53="","",Settings!$C$7)</f>
        <v/>
      </c>
      <c r="Y53" s="7">
        <f>IF($AH53="","",SUMIFS('Per Line'!$V$2:$V$201,'Per Line'!$D$2:$D$201,$B53,'Per Line'!$AM$2:$AM$201,0,'Per Line'!$AN$2:$AN$201,0))</f>
        <v/>
      </c>
      <c r="Z53" s="7">
        <f>IF($AH53="","",Y53*X53)</f>
        <v/>
      </c>
      <c r="AA53">
        <f>IF($AH53="","",Settings!$C$6)</f>
        <v/>
      </c>
      <c r="AB53" s="7">
        <f>IF($AH53="","",SUMIFS('Per Line'!$V$2:$V$201,'Per Line'!$D$2:$D$201,$B53,'Per Line'!$AM$2:$AM$201,1,'Per Line'!$AN$2:$AN$201,0))</f>
        <v/>
      </c>
      <c r="AC53" s="7">
        <f>IF($AH53="","",AB53*AA53)</f>
        <v/>
      </c>
      <c r="AD53" s="7">
        <f>IF($AH53="","",AC53+Z53+W53)</f>
        <v/>
      </c>
      <c r="AE53" s="7">
        <f>IF($AH53="","",AF53-AD53)</f>
        <v/>
      </c>
      <c r="AF53" s="7">
        <f>IF($AH53="","",Y53+AB53+V53)</f>
        <v/>
      </c>
      <c r="AG53" s="7">
        <f>IF($AH53="","",AF53-AD53-N53)</f>
        <v/>
      </c>
      <c r="AH53" s="13">
        <f>IF(ROWS($AH$2:$AH53)&lt;=MAX('Per Line'!$AL$2:$AL$201),MATCH(ROWS($AH$2:$AH53),'Per Line'!$AL$2:$AL$201,0),"")</f>
        <v/>
      </c>
    </row>
    <row r="54">
      <c r="A54" s="12" t="n"/>
      <c r="B54">
        <f>IF($AH54="","",INDEX('Per Line'!$D$2:$D$201,$AH54)&amp;"")</f>
        <v/>
      </c>
      <c r="C54">
        <f>IF($AH54="","",INDEX('Per Line'!$A$2:$A$201,$AH54)&amp;"")</f>
        <v/>
      </c>
      <c r="D54">
        <f>IF($AH54="","",INDEX('Per Line'!$B$2:$B$201,$AH54))</f>
        <v/>
      </c>
      <c r="E54">
        <f>IF($AH54="","",INDEX('Per Line'!$C$2:$C$201,$AH54)&amp;"")</f>
        <v/>
      </c>
      <c r="F54">
        <f>IF($AH54="","",INDEX('Per Line'!$E$2:$E$201,$AH54)&amp;"")</f>
        <v/>
      </c>
      <c r="G54" s="11">
        <f>IF($AH54="","",INDEX('Per Line'!$F$2:$F$201,$AH54))</f>
        <v/>
      </c>
      <c r="H54">
        <f>IF($AH54="","",INDEX('Per Line'!$G$2:$G$201,$AH54)&amp;"")</f>
        <v/>
      </c>
      <c r="I54">
        <f>IF($AH54="","",INDEX('Per Line'!$I$2:$I$201,$AH54)&amp;"")</f>
        <v/>
      </c>
      <c r="J54">
        <f>IF($AH54="","",INDEX('Per Line'!$J$2:$J$201,$AH54)&amp;"")</f>
        <v/>
      </c>
      <c r="K54">
        <f>IF($AH54="","",INDEX('Per Line'!$K$2:$K$201,$AH54)&amp;"")</f>
        <v/>
      </c>
      <c r="L54">
        <f>IF($AH54="","",INDEX('Per Line'!$L$2:$L$201,$AH54)&amp;"")</f>
        <v/>
      </c>
      <c r="M54">
        <f>IF($AH54="","",INDEX('Per Line'!$M$2:$M$201,$AH54))</f>
        <v/>
      </c>
      <c r="N54" s="7">
        <f>IF($AH54="","",M54*AE54/100)</f>
        <v/>
      </c>
      <c r="O54">
        <f>IF($AH54="","",INDEX('Per Line'!$Z$2:$Z$201,$AH54)&amp;"")</f>
        <v/>
      </c>
      <c r="P54">
        <f>IF($AH54="","",INDEX('Per Line'!$AC$2:$AC$201,$AH54)&amp;"")</f>
        <v/>
      </c>
      <c r="Q54">
        <f>IF($AH54="","",INDEX('Per Line'!$AD$2:$AD$201,$AH54))</f>
        <v/>
      </c>
      <c r="R54">
        <f>IF($AH54="","",IF(AND(ISNUMBER(Q54),Q54&gt;0),AF54&gt;Q54,FALSE))</f>
        <v/>
      </c>
      <c r="S54">
        <f>IF($AH54="","",INDEX('Per Line'!$AH$2:$AH$201,$AH54)&amp;"")</f>
        <v/>
      </c>
      <c r="T54" s="11">
        <f>IF($AH54="","",INDEX('Per Line'!$AI$2:$AI$201,$AH54))</f>
        <v/>
      </c>
      <c r="U54">
        <f>IF($AH54="","",Settings!$C$8)</f>
        <v/>
      </c>
      <c r="V54" s="7">
        <f>IF($AH54="","",SUMIFS('Per Line'!$V$2:$V$201,'Per Line'!$D$2:$D$201,$B54,'Per Line'!$AN$2:$AN$201,1))</f>
        <v/>
      </c>
      <c r="W54" s="7">
        <f>IF($AH54="","",V54*U54)</f>
        <v/>
      </c>
      <c r="X54">
        <f>IF($AH54="","",Settings!$C$7)</f>
        <v/>
      </c>
      <c r="Y54" s="7">
        <f>IF($AH54="","",SUMIFS('Per Line'!$V$2:$V$201,'Per Line'!$D$2:$D$201,$B54,'Per Line'!$AM$2:$AM$201,0,'Per Line'!$AN$2:$AN$201,0))</f>
        <v/>
      </c>
      <c r="Z54" s="7">
        <f>IF($AH54="","",Y54*X54)</f>
        <v/>
      </c>
      <c r="AA54">
        <f>IF($AH54="","",Settings!$C$6)</f>
        <v/>
      </c>
      <c r="AB54" s="7">
        <f>IF($AH54="","",SUMIFS('Per Line'!$V$2:$V$201,'Per Line'!$D$2:$D$201,$B54,'Per Line'!$AM$2:$AM$201,1,'Per Line'!$AN$2:$AN$201,0))</f>
        <v/>
      </c>
      <c r="AC54" s="7">
        <f>IF($AH54="","",AB54*AA54)</f>
        <v/>
      </c>
      <c r="AD54" s="7">
        <f>IF($AH54="","",AC54+Z54+W54)</f>
        <v/>
      </c>
      <c r="AE54" s="7">
        <f>IF($AH54="","",AF54-AD54)</f>
        <v/>
      </c>
      <c r="AF54" s="7">
        <f>IF($AH54="","",Y54+AB54+V54)</f>
        <v/>
      </c>
      <c r="AG54" s="7">
        <f>IF($AH54="","",AF54-AD54-N54)</f>
        <v/>
      </c>
      <c r="AH54" s="13">
        <f>IF(ROWS($AH$2:$AH54)&lt;=MAX('Per Line'!$AL$2:$AL$201),MATCH(ROWS($AH$2:$AH54),'Per Line'!$AL$2:$AL$201,0),"")</f>
        <v/>
      </c>
    </row>
    <row r="55">
      <c r="A55" s="12" t="n"/>
      <c r="B55">
        <f>IF($AH55="","",INDEX('Per Line'!$D$2:$D$201,$AH55)&amp;"")</f>
        <v/>
      </c>
      <c r="C55">
        <f>IF($AH55="","",INDEX('Per Line'!$A$2:$A$201,$AH55)&amp;"")</f>
        <v/>
      </c>
      <c r="D55">
        <f>IF($AH55="","",INDEX('Per Line'!$B$2:$B$201,$AH55))</f>
        <v/>
      </c>
      <c r="E55">
        <f>IF($AH55="","",INDEX('Per Line'!$C$2:$C$201,$AH55)&amp;"")</f>
        <v/>
      </c>
      <c r="F55">
        <f>IF($AH55="","",INDEX('Per Line'!$E$2:$E$201,$AH55)&amp;"")</f>
        <v/>
      </c>
      <c r="G55" s="11">
        <f>IF($AH55="","",INDEX('Per Line'!$F$2:$F$201,$AH55))</f>
        <v/>
      </c>
      <c r="H55">
        <f>IF($AH55="","",INDEX('Per Line'!$G$2:$G$201,$AH55)&amp;"")</f>
        <v/>
      </c>
      <c r="I55">
        <f>IF($AH55="","",INDEX('Per Line'!$I$2:$I$201,$AH55)&amp;"")</f>
        <v/>
      </c>
      <c r="J55">
        <f>IF($AH55="","",INDEX('Per Line'!$J$2:$J$201,$AH55)&amp;"")</f>
        <v/>
      </c>
      <c r="K55">
        <f>IF($AH55="","",INDEX('Per Line'!$K$2:$K$201,$AH55)&amp;"")</f>
        <v/>
      </c>
      <c r="L55">
        <f>IF($AH55="","",INDEX('Per Line'!$L$2:$L$201,$AH55)&amp;"")</f>
        <v/>
      </c>
      <c r="M55">
        <f>IF($AH55="","",INDEX('Per Line'!$M$2:$M$201,$AH55))</f>
        <v/>
      </c>
      <c r="N55" s="7">
        <f>IF($AH55="","",M55*AE55/100)</f>
        <v/>
      </c>
      <c r="O55">
        <f>IF($AH55="","",INDEX('Per Line'!$Z$2:$Z$201,$AH55)&amp;"")</f>
        <v/>
      </c>
      <c r="P55">
        <f>IF($AH55="","",INDEX('Per Line'!$AC$2:$AC$201,$AH55)&amp;"")</f>
        <v/>
      </c>
      <c r="Q55">
        <f>IF($AH55="","",INDEX('Per Line'!$AD$2:$AD$201,$AH55))</f>
        <v/>
      </c>
      <c r="R55">
        <f>IF($AH55="","",IF(AND(ISNUMBER(Q55),Q55&gt;0),AF55&gt;Q55,FALSE))</f>
        <v/>
      </c>
      <c r="S55">
        <f>IF($AH55="","",INDEX('Per Line'!$AH$2:$AH$201,$AH55)&amp;"")</f>
        <v/>
      </c>
      <c r="T55" s="11">
        <f>IF($AH55="","",INDEX('Per Line'!$AI$2:$AI$201,$AH55))</f>
        <v/>
      </c>
      <c r="U55">
        <f>IF($AH55="","",Settings!$C$8)</f>
        <v/>
      </c>
      <c r="V55" s="7">
        <f>IF($AH55="","",SUMIFS('Per Line'!$V$2:$V$201,'Per Line'!$D$2:$D$201,$B55,'Per Line'!$AN$2:$AN$201,1))</f>
        <v/>
      </c>
      <c r="W55" s="7">
        <f>IF($AH55="","",V55*U55)</f>
        <v/>
      </c>
      <c r="X55">
        <f>IF($AH55="","",Settings!$C$7)</f>
        <v/>
      </c>
      <c r="Y55" s="7">
        <f>IF($AH55="","",SUMIFS('Per Line'!$V$2:$V$201,'Per Line'!$D$2:$D$201,$B55,'Per Line'!$AM$2:$AM$201,0,'Per Line'!$AN$2:$AN$201,0))</f>
        <v/>
      </c>
      <c r="Z55" s="7">
        <f>IF($AH55="","",Y55*X55)</f>
        <v/>
      </c>
      <c r="AA55">
        <f>IF($AH55="","",Settings!$C$6)</f>
        <v/>
      </c>
      <c r="AB55" s="7">
        <f>IF($AH55="","",SUMIFS('Per Line'!$V$2:$V$201,'Per Line'!$D$2:$D$201,$B55,'Per Line'!$AM$2:$AM$201,1,'Per Line'!$AN$2:$AN$201,0))</f>
        <v/>
      </c>
      <c r="AC55" s="7">
        <f>IF($AH55="","",AB55*AA55)</f>
        <v/>
      </c>
      <c r="AD55" s="7">
        <f>IF($AH55="","",AC55+Z55+W55)</f>
        <v/>
      </c>
      <c r="AE55" s="7">
        <f>IF($AH55="","",AF55-AD55)</f>
        <v/>
      </c>
      <c r="AF55" s="7">
        <f>IF($AH55="","",Y55+AB55+V55)</f>
        <v/>
      </c>
      <c r="AG55" s="7">
        <f>IF($AH55="","",AF55-AD55-N55)</f>
        <v/>
      </c>
      <c r="AH55" s="13">
        <f>IF(ROWS($AH$2:$AH55)&lt;=MAX('Per Line'!$AL$2:$AL$201),MATCH(ROWS($AH$2:$AH55),'Per Line'!$AL$2:$AL$201,0),"")</f>
        <v/>
      </c>
    </row>
    <row r="56">
      <c r="A56" s="12" t="n"/>
      <c r="B56">
        <f>IF($AH56="","",INDEX('Per Line'!$D$2:$D$201,$AH56)&amp;"")</f>
        <v/>
      </c>
      <c r="C56">
        <f>IF($AH56="","",INDEX('Per Line'!$A$2:$A$201,$AH56)&amp;"")</f>
        <v/>
      </c>
      <c r="D56">
        <f>IF($AH56="","",INDEX('Per Line'!$B$2:$B$201,$AH56))</f>
        <v/>
      </c>
      <c r="E56">
        <f>IF($AH56="","",INDEX('Per Line'!$C$2:$C$201,$AH56)&amp;"")</f>
        <v/>
      </c>
      <c r="F56">
        <f>IF($AH56="","",INDEX('Per Line'!$E$2:$E$201,$AH56)&amp;"")</f>
        <v/>
      </c>
      <c r="G56" s="11">
        <f>IF($AH56="","",INDEX('Per Line'!$F$2:$F$201,$AH56))</f>
        <v/>
      </c>
      <c r="H56">
        <f>IF($AH56="","",INDEX('Per Line'!$G$2:$G$201,$AH56)&amp;"")</f>
        <v/>
      </c>
      <c r="I56">
        <f>IF($AH56="","",INDEX('Per Line'!$I$2:$I$201,$AH56)&amp;"")</f>
        <v/>
      </c>
      <c r="J56">
        <f>IF($AH56="","",INDEX('Per Line'!$J$2:$J$201,$AH56)&amp;"")</f>
        <v/>
      </c>
      <c r="K56">
        <f>IF($AH56="","",INDEX('Per Line'!$K$2:$K$201,$AH56)&amp;"")</f>
        <v/>
      </c>
      <c r="L56">
        <f>IF($AH56="","",INDEX('Per Line'!$L$2:$L$201,$AH56)&amp;"")</f>
        <v/>
      </c>
      <c r="M56">
        <f>IF($AH56="","",INDEX('Per Line'!$M$2:$M$201,$AH56))</f>
        <v/>
      </c>
      <c r="N56" s="7">
        <f>IF($AH56="","",M56*AE56/100)</f>
        <v/>
      </c>
      <c r="O56">
        <f>IF($AH56="","",INDEX('Per Line'!$Z$2:$Z$201,$AH56)&amp;"")</f>
        <v/>
      </c>
      <c r="P56">
        <f>IF($AH56="","",INDEX('Per Line'!$AC$2:$AC$201,$AH56)&amp;"")</f>
        <v/>
      </c>
      <c r="Q56">
        <f>IF($AH56="","",INDEX('Per Line'!$AD$2:$AD$201,$AH56))</f>
        <v/>
      </c>
      <c r="R56">
        <f>IF($AH56="","",IF(AND(ISNUMBER(Q56),Q56&gt;0),AF56&gt;Q56,FALSE))</f>
        <v/>
      </c>
      <c r="S56">
        <f>IF($AH56="","",INDEX('Per Line'!$AH$2:$AH$201,$AH56)&amp;"")</f>
        <v/>
      </c>
      <c r="T56" s="11">
        <f>IF($AH56="","",INDEX('Per Line'!$AI$2:$AI$201,$AH56))</f>
        <v/>
      </c>
      <c r="U56">
        <f>IF($AH56="","",Settings!$C$8)</f>
        <v/>
      </c>
      <c r="V56" s="7">
        <f>IF($AH56="","",SUMIFS('Per Line'!$V$2:$V$201,'Per Line'!$D$2:$D$201,$B56,'Per Line'!$AN$2:$AN$201,1))</f>
        <v/>
      </c>
      <c r="W56" s="7">
        <f>IF($AH56="","",V56*U56)</f>
        <v/>
      </c>
      <c r="X56">
        <f>IF($AH56="","",Settings!$C$7)</f>
        <v/>
      </c>
      <c r="Y56" s="7">
        <f>IF($AH56="","",SUMIFS('Per Line'!$V$2:$V$201,'Per Line'!$D$2:$D$201,$B56,'Per Line'!$AM$2:$AM$201,0,'Per Line'!$AN$2:$AN$201,0))</f>
        <v/>
      </c>
      <c r="Z56" s="7">
        <f>IF($AH56="","",Y56*X56)</f>
        <v/>
      </c>
      <c r="AA56">
        <f>IF($AH56="","",Settings!$C$6)</f>
        <v/>
      </c>
      <c r="AB56" s="7">
        <f>IF($AH56="","",SUMIFS('Per Line'!$V$2:$V$201,'Per Line'!$D$2:$D$201,$B56,'Per Line'!$AM$2:$AM$201,1,'Per Line'!$AN$2:$AN$201,0))</f>
        <v/>
      </c>
      <c r="AC56" s="7">
        <f>IF($AH56="","",AB56*AA56)</f>
        <v/>
      </c>
      <c r="AD56" s="7">
        <f>IF($AH56="","",AC56+Z56+W56)</f>
        <v/>
      </c>
      <c r="AE56" s="7">
        <f>IF($AH56="","",AF56-AD56)</f>
        <v/>
      </c>
      <c r="AF56" s="7">
        <f>IF($AH56="","",Y56+AB56+V56)</f>
        <v/>
      </c>
      <c r="AG56" s="7">
        <f>IF($AH56="","",AF56-AD56-N56)</f>
        <v/>
      </c>
      <c r="AH56" s="13">
        <f>IF(ROWS($AH$2:$AH56)&lt;=MAX('Per Line'!$AL$2:$AL$201),MATCH(ROWS($AH$2:$AH56),'Per Line'!$AL$2:$AL$201,0),"")</f>
        <v/>
      </c>
    </row>
    <row r="57">
      <c r="A57" s="12" t="n"/>
      <c r="B57">
        <f>IF($AH57="","",INDEX('Per Line'!$D$2:$D$201,$AH57)&amp;"")</f>
        <v/>
      </c>
      <c r="C57">
        <f>IF($AH57="","",INDEX('Per Line'!$A$2:$A$201,$AH57)&amp;"")</f>
        <v/>
      </c>
      <c r="D57">
        <f>IF($AH57="","",INDEX('Per Line'!$B$2:$B$201,$AH57))</f>
        <v/>
      </c>
      <c r="E57">
        <f>IF($AH57="","",INDEX('Per Line'!$C$2:$C$201,$AH57)&amp;"")</f>
        <v/>
      </c>
      <c r="F57">
        <f>IF($AH57="","",INDEX('Per Line'!$E$2:$E$201,$AH57)&amp;"")</f>
        <v/>
      </c>
      <c r="G57" s="11">
        <f>IF($AH57="","",INDEX('Per Line'!$F$2:$F$201,$AH57))</f>
        <v/>
      </c>
      <c r="H57">
        <f>IF($AH57="","",INDEX('Per Line'!$G$2:$G$201,$AH57)&amp;"")</f>
        <v/>
      </c>
      <c r="I57">
        <f>IF($AH57="","",INDEX('Per Line'!$I$2:$I$201,$AH57)&amp;"")</f>
        <v/>
      </c>
      <c r="J57">
        <f>IF($AH57="","",INDEX('Per Line'!$J$2:$J$201,$AH57)&amp;"")</f>
        <v/>
      </c>
      <c r="K57">
        <f>IF($AH57="","",INDEX('Per Line'!$K$2:$K$201,$AH57)&amp;"")</f>
        <v/>
      </c>
      <c r="L57">
        <f>IF($AH57="","",INDEX('Per Line'!$L$2:$L$201,$AH57)&amp;"")</f>
        <v/>
      </c>
      <c r="M57">
        <f>IF($AH57="","",INDEX('Per Line'!$M$2:$M$201,$AH57))</f>
        <v/>
      </c>
      <c r="N57" s="7">
        <f>IF($AH57="","",M57*AE57/100)</f>
        <v/>
      </c>
      <c r="O57">
        <f>IF($AH57="","",INDEX('Per Line'!$Z$2:$Z$201,$AH57)&amp;"")</f>
        <v/>
      </c>
      <c r="P57">
        <f>IF($AH57="","",INDEX('Per Line'!$AC$2:$AC$201,$AH57)&amp;"")</f>
        <v/>
      </c>
      <c r="Q57">
        <f>IF($AH57="","",INDEX('Per Line'!$AD$2:$AD$201,$AH57))</f>
        <v/>
      </c>
      <c r="R57">
        <f>IF($AH57="","",IF(AND(ISNUMBER(Q57),Q57&gt;0),AF57&gt;Q57,FALSE))</f>
        <v/>
      </c>
      <c r="S57">
        <f>IF($AH57="","",INDEX('Per Line'!$AH$2:$AH$201,$AH57)&amp;"")</f>
        <v/>
      </c>
      <c r="T57" s="11">
        <f>IF($AH57="","",INDEX('Per Line'!$AI$2:$AI$201,$AH57))</f>
        <v/>
      </c>
      <c r="U57">
        <f>IF($AH57="","",Settings!$C$8)</f>
        <v/>
      </c>
      <c r="V57" s="7">
        <f>IF($AH57="","",SUMIFS('Per Line'!$V$2:$V$201,'Per Line'!$D$2:$D$201,$B57,'Per Line'!$AN$2:$AN$201,1))</f>
        <v/>
      </c>
      <c r="W57" s="7">
        <f>IF($AH57="","",V57*U57)</f>
        <v/>
      </c>
      <c r="X57">
        <f>IF($AH57="","",Settings!$C$7)</f>
        <v/>
      </c>
      <c r="Y57" s="7">
        <f>IF($AH57="","",SUMIFS('Per Line'!$V$2:$V$201,'Per Line'!$D$2:$D$201,$B57,'Per Line'!$AM$2:$AM$201,0,'Per Line'!$AN$2:$AN$201,0))</f>
        <v/>
      </c>
      <c r="Z57" s="7">
        <f>IF($AH57="","",Y57*X57)</f>
        <v/>
      </c>
      <c r="AA57">
        <f>IF($AH57="","",Settings!$C$6)</f>
        <v/>
      </c>
      <c r="AB57" s="7">
        <f>IF($AH57="","",SUMIFS('Per Line'!$V$2:$V$201,'Per Line'!$D$2:$D$201,$B57,'Per Line'!$AM$2:$AM$201,1,'Per Line'!$AN$2:$AN$201,0))</f>
        <v/>
      </c>
      <c r="AC57" s="7">
        <f>IF($AH57="","",AB57*AA57)</f>
        <v/>
      </c>
      <c r="AD57" s="7">
        <f>IF($AH57="","",AC57+Z57+W57)</f>
        <v/>
      </c>
      <c r="AE57" s="7">
        <f>IF($AH57="","",AF57-AD57)</f>
        <v/>
      </c>
      <c r="AF57" s="7">
        <f>IF($AH57="","",Y57+AB57+V57)</f>
        <v/>
      </c>
      <c r="AG57" s="7">
        <f>IF($AH57="","",AF57-AD57-N57)</f>
        <v/>
      </c>
      <c r="AH57" s="13">
        <f>IF(ROWS($AH$2:$AH57)&lt;=MAX('Per Line'!$AL$2:$AL$201),MATCH(ROWS($AH$2:$AH57),'Per Line'!$AL$2:$AL$201,0),"")</f>
        <v/>
      </c>
    </row>
    <row r="58">
      <c r="A58" s="12" t="n"/>
      <c r="B58">
        <f>IF($AH58="","",INDEX('Per Line'!$D$2:$D$201,$AH58)&amp;"")</f>
        <v/>
      </c>
      <c r="C58">
        <f>IF($AH58="","",INDEX('Per Line'!$A$2:$A$201,$AH58)&amp;"")</f>
        <v/>
      </c>
      <c r="D58">
        <f>IF($AH58="","",INDEX('Per Line'!$B$2:$B$201,$AH58))</f>
        <v/>
      </c>
      <c r="E58">
        <f>IF($AH58="","",INDEX('Per Line'!$C$2:$C$201,$AH58)&amp;"")</f>
        <v/>
      </c>
      <c r="F58">
        <f>IF($AH58="","",INDEX('Per Line'!$E$2:$E$201,$AH58)&amp;"")</f>
        <v/>
      </c>
      <c r="G58" s="11">
        <f>IF($AH58="","",INDEX('Per Line'!$F$2:$F$201,$AH58))</f>
        <v/>
      </c>
      <c r="H58">
        <f>IF($AH58="","",INDEX('Per Line'!$G$2:$G$201,$AH58)&amp;"")</f>
        <v/>
      </c>
      <c r="I58">
        <f>IF($AH58="","",INDEX('Per Line'!$I$2:$I$201,$AH58)&amp;"")</f>
        <v/>
      </c>
      <c r="J58">
        <f>IF($AH58="","",INDEX('Per Line'!$J$2:$J$201,$AH58)&amp;"")</f>
        <v/>
      </c>
      <c r="K58">
        <f>IF($AH58="","",INDEX('Per Line'!$K$2:$K$201,$AH58)&amp;"")</f>
        <v/>
      </c>
      <c r="L58">
        <f>IF($AH58="","",INDEX('Per Line'!$L$2:$L$201,$AH58)&amp;"")</f>
        <v/>
      </c>
      <c r="M58">
        <f>IF($AH58="","",INDEX('Per Line'!$M$2:$M$201,$AH58))</f>
        <v/>
      </c>
      <c r="N58" s="7">
        <f>IF($AH58="","",M58*AE58/100)</f>
        <v/>
      </c>
      <c r="O58">
        <f>IF($AH58="","",INDEX('Per Line'!$Z$2:$Z$201,$AH58)&amp;"")</f>
        <v/>
      </c>
      <c r="P58">
        <f>IF($AH58="","",INDEX('Per Line'!$AC$2:$AC$201,$AH58)&amp;"")</f>
        <v/>
      </c>
      <c r="Q58">
        <f>IF($AH58="","",INDEX('Per Line'!$AD$2:$AD$201,$AH58))</f>
        <v/>
      </c>
      <c r="R58">
        <f>IF($AH58="","",IF(AND(ISNUMBER(Q58),Q58&gt;0),AF58&gt;Q58,FALSE))</f>
        <v/>
      </c>
      <c r="S58">
        <f>IF($AH58="","",INDEX('Per Line'!$AH$2:$AH$201,$AH58)&amp;"")</f>
        <v/>
      </c>
      <c r="T58" s="11">
        <f>IF($AH58="","",INDEX('Per Line'!$AI$2:$AI$201,$AH58))</f>
        <v/>
      </c>
      <c r="U58">
        <f>IF($AH58="","",Settings!$C$8)</f>
        <v/>
      </c>
      <c r="V58" s="7">
        <f>IF($AH58="","",SUMIFS('Per Line'!$V$2:$V$201,'Per Line'!$D$2:$D$201,$B58,'Per Line'!$AN$2:$AN$201,1))</f>
        <v/>
      </c>
      <c r="W58" s="7">
        <f>IF($AH58="","",V58*U58)</f>
        <v/>
      </c>
      <c r="X58">
        <f>IF($AH58="","",Settings!$C$7)</f>
        <v/>
      </c>
      <c r="Y58" s="7">
        <f>IF($AH58="","",SUMIFS('Per Line'!$V$2:$V$201,'Per Line'!$D$2:$D$201,$B58,'Per Line'!$AM$2:$AM$201,0,'Per Line'!$AN$2:$AN$201,0))</f>
        <v/>
      </c>
      <c r="Z58" s="7">
        <f>IF($AH58="","",Y58*X58)</f>
        <v/>
      </c>
      <c r="AA58">
        <f>IF($AH58="","",Settings!$C$6)</f>
        <v/>
      </c>
      <c r="AB58" s="7">
        <f>IF($AH58="","",SUMIFS('Per Line'!$V$2:$V$201,'Per Line'!$D$2:$D$201,$B58,'Per Line'!$AM$2:$AM$201,1,'Per Line'!$AN$2:$AN$201,0))</f>
        <v/>
      </c>
      <c r="AC58" s="7">
        <f>IF($AH58="","",AB58*AA58)</f>
        <v/>
      </c>
      <c r="AD58" s="7">
        <f>IF($AH58="","",AC58+Z58+W58)</f>
        <v/>
      </c>
      <c r="AE58" s="7">
        <f>IF($AH58="","",AF58-AD58)</f>
        <v/>
      </c>
      <c r="AF58" s="7">
        <f>IF($AH58="","",Y58+AB58+V58)</f>
        <v/>
      </c>
      <c r="AG58" s="7">
        <f>IF($AH58="","",AF58-AD58-N58)</f>
        <v/>
      </c>
      <c r="AH58" s="13">
        <f>IF(ROWS($AH$2:$AH58)&lt;=MAX('Per Line'!$AL$2:$AL$201),MATCH(ROWS($AH$2:$AH58),'Per Line'!$AL$2:$AL$201,0),"")</f>
        <v/>
      </c>
    </row>
    <row r="59">
      <c r="A59" s="12" t="n"/>
      <c r="B59">
        <f>IF($AH59="","",INDEX('Per Line'!$D$2:$D$201,$AH59)&amp;"")</f>
        <v/>
      </c>
      <c r="C59">
        <f>IF($AH59="","",INDEX('Per Line'!$A$2:$A$201,$AH59)&amp;"")</f>
        <v/>
      </c>
      <c r="D59">
        <f>IF($AH59="","",INDEX('Per Line'!$B$2:$B$201,$AH59))</f>
        <v/>
      </c>
      <c r="E59">
        <f>IF($AH59="","",INDEX('Per Line'!$C$2:$C$201,$AH59)&amp;"")</f>
        <v/>
      </c>
      <c r="F59">
        <f>IF($AH59="","",INDEX('Per Line'!$E$2:$E$201,$AH59)&amp;"")</f>
        <v/>
      </c>
      <c r="G59" s="11">
        <f>IF($AH59="","",INDEX('Per Line'!$F$2:$F$201,$AH59))</f>
        <v/>
      </c>
      <c r="H59">
        <f>IF($AH59="","",INDEX('Per Line'!$G$2:$G$201,$AH59)&amp;"")</f>
        <v/>
      </c>
      <c r="I59">
        <f>IF($AH59="","",INDEX('Per Line'!$I$2:$I$201,$AH59)&amp;"")</f>
        <v/>
      </c>
      <c r="J59">
        <f>IF($AH59="","",INDEX('Per Line'!$J$2:$J$201,$AH59)&amp;"")</f>
        <v/>
      </c>
      <c r="K59">
        <f>IF($AH59="","",INDEX('Per Line'!$K$2:$K$201,$AH59)&amp;"")</f>
        <v/>
      </c>
      <c r="L59">
        <f>IF($AH59="","",INDEX('Per Line'!$L$2:$L$201,$AH59)&amp;"")</f>
        <v/>
      </c>
      <c r="M59">
        <f>IF($AH59="","",INDEX('Per Line'!$M$2:$M$201,$AH59))</f>
        <v/>
      </c>
      <c r="N59" s="7">
        <f>IF($AH59="","",M59*AE59/100)</f>
        <v/>
      </c>
      <c r="O59">
        <f>IF($AH59="","",INDEX('Per Line'!$Z$2:$Z$201,$AH59)&amp;"")</f>
        <v/>
      </c>
      <c r="P59">
        <f>IF($AH59="","",INDEX('Per Line'!$AC$2:$AC$201,$AH59)&amp;"")</f>
        <v/>
      </c>
      <c r="Q59">
        <f>IF($AH59="","",INDEX('Per Line'!$AD$2:$AD$201,$AH59))</f>
        <v/>
      </c>
      <c r="R59">
        <f>IF($AH59="","",IF(AND(ISNUMBER(Q59),Q59&gt;0),AF59&gt;Q59,FALSE))</f>
        <v/>
      </c>
      <c r="S59">
        <f>IF($AH59="","",INDEX('Per Line'!$AH$2:$AH$201,$AH59)&amp;"")</f>
        <v/>
      </c>
      <c r="T59" s="11">
        <f>IF($AH59="","",INDEX('Per Line'!$AI$2:$AI$201,$AH59))</f>
        <v/>
      </c>
      <c r="U59">
        <f>IF($AH59="","",Settings!$C$8)</f>
        <v/>
      </c>
      <c r="V59" s="7">
        <f>IF($AH59="","",SUMIFS('Per Line'!$V$2:$V$201,'Per Line'!$D$2:$D$201,$B59,'Per Line'!$AN$2:$AN$201,1))</f>
        <v/>
      </c>
      <c r="W59" s="7">
        <f>IF($AH59="","",V59*U59)</f>
        <v/>
      </c>
      <c r="X59">
        <f>IF($AH59="","",Settings!$C$7)</f>
        <v/>
      </c>
      <c r="Y59" s="7">
        <f>IF($AH59="","",SUMIFS('Per Line'!$V$2:$V$201,'Per Line'!$D$2:$D$201,$B59,'Per Line'!$AM$2:$AM$201,0,'Per Line'!$AN$2:$AN$201,0))</f>
        <v/>
      </c>
      <c r="Z59" s="7">
        <f>IF($AH59="","",Y59*X59)</f>
        <v/>
      </c>
      <c r="AA59">
        <f>IF($AH59="","",Settings!$C$6)</f>
        <v/>
      </c>
      <c r="AB59" s="7">
        <f>IF($AH59="","",SUMIFS('Per Line'!$V$2:$V$201,'Per Line'!$D$2:$D$201,$B59,'Per Line'!$AM$2:$AM$201,1,'Per Line'!$AN$2:$AN$201,0))</f>
        <v/>
      </c>
      <c r="AC59" s="7">
        <f>IF($AH59="","",AB59*AA59)</f>
        <v/>
      </c>
      <c r="AD59" s="7">
        <f>IF($AH59="","",AC59+Z59+W59)</f>
        <v/>
      </c>
      <c r="AE59" s="7">
        <f>IF($AH59="","",AF59-AD59)</f>
        <v/>
      </c>
      <c r="AF59" s="7">
        <f>IF($AH59="","",Y59+AB59+V59)</f>
        <v/>
      </c>
      <c r="AG59" s="7">
        <f>IF($AH59="","",AF59-AD59-N59)</f>
        <v/>
      </c>
      <c r="AH59" s="13">
        <f>IF(ROWS($AH$2:$AH59)&lt;=MAX('Per Line'!$AL$2:$AL$201),MATCH(ROWS($AH$2:$AH59),'Per Line'!$AL$2:$AL$201,0),"")</f>
        <v/>
      </c>
    </row>
    <row r="60">
      <c r="A60" s="12" t="n"/>
      <c r="B60">
        <f>IF($AH60="","",INDEX('Per Line'!$D$2:$D$201,$AH60)&amp;"")</f>
        <v/>
      </c>
      <c r="C60">
        <f>IF($AH60="","",INDEX('Per Line'!$A$2:$A$201,$AH60)&amp;"")</f>
        <v/>
      </c>
      <c r="D60">
        <f>IF($AH60="","",INDEX('Per Line'!$B$2:$B$201,$AH60))</f>
        <v/>
      </c>
      <c r="E60">
        <f>IF($AH60="","",INDEX('Per Line'!$C$2:$C$201,$AH60)&amp;"")</f>
        <v/>
      </c>
      <c r="F60">
        <f>IF($AH60="","",INDEX('Per Line'!$E$2:$E$201,$AH60)&amp;"")</f>
        <v/>
      </c>
      <c r="G60" s="11">
        <f>IF($AH60="","",INDEX('Per Line'!$F$2:$F$201,$AH60))</f>
        <v/>
      </c>
      <c r="H60">
        <f>IF($AH60="","",INDEX('Per Line'!$G$2:$G$201,$AH60)&amp;"")</f>
        <v/>
      </c>
      <c r="I60">
        <f>IF($AH60="","",INDEX('Per Line'!$I$2:$I$201,$AH60)&amp;"")</f>
        <v/>
      </c>
      <c r="J60">
        <f>IF($AH60="","",INDEX('Per Line'!$J$2:$J$201,$AH60)&amp;"")</f>
        <v/>
      </c>
      <c r="K60">
        <f>IF($AH60="","",INDEX('Per Line'!$K$2:$K$201,$AH60)&amp;"")</f>
        <v/>
      </c>
      <c r="L60">
        <f>IF($AH60="","",INDEX('Per Line'!$L$2:$L$201,$AH60)&amp;"")</f>
        <v/>
      </c>
      <c r="M60">
        <f>IF($AH60="","",INDEX('Per Line'!$M$2:$M$201,$AH60))</f>
        <v/>
      </c>
      <c r="N60" s="7">
        <f>IF($AH60="","",M60*AE60/100)</f>
        <v/>
      </c>
      <c r="O60">
        <f>IF($AH60="","",INDEX('Per Line'!$Z$2:$Z$201,$AH60)&amp;"")</f>
        <v/>
      </c>
      <c r="P60">
        <f>IF($AH60="","",INDEX('Per Line'!$AC$2:$AC$201,$AH60)&amp;"")</f>
        <v/>
      </c>
      <c r="Q60">
        <f>IF($AH60="","",INDEX('Per Line'!$AD$2:$AD$201,$AH60))</f>
        <v/>
      </c>
      <c r="R60">
        <f>IF($AH60="","",IF(AND(ISNUMBER(Q60),Q60&gt;0),AF60&gt;Q60,FALSE))</f>
        <v/>
      </c>
      <c r="S60">
        <f>IF($AH60="","",INDEX('Per Line'!$AH$2:$AH$201,$AH60)&amp;"")</f>
        <v/>
      </c>
      <c r="T60" s="11">
        <f>IF($AH60="","",INDEX('Per Line'!$AI$2:$AI$201,$AH60))</f>
        <v/>
      </c>
      <c r="U60">
        <f>IF($AH60="","",Settings!$C$8)</f>
        <v/>
      </c>
      <c r="V60" s="7">
        <f>IF($AH60="","",SUMIFS('Per Line'!$V$2:$V$201,'Per Line'!$D$2:$D$201,$B60,'Per Line'!$AN$2:$AN$201,1))</f>
        <v/>
      </c>
      <c r="W60" s="7">
        <f>IF($AH60="","",V60*U60)</f>
        <v/>
      </c>
      <c r="X60">
        <f>IF($AH60="","",Settings!$C$7)</f>
        <v/>
      </c>
      <c r="Y60" s="7">
        <f>IF($AH60="","",SUMIFS('Per Line'!$V$2:$V$201,'Per Line'!$D$2:$D$201,$B60,'Per Line'!$AM$2:$AM$201,0,'Per Line'!$AN$2:$AN$201,0))</f>
        <v/>
      </c>
      <c r="Z60" s="7">
        <f>IF($AH60="","",Y60*X60)</f>
        <v/>
      </c>
      <c r="AA60">
        <f>IF($AH60="","",Settings!$C$6)</f>
        <v/>
      </c>
      <c r="AB60" s="7">
        <f>IF($AH60="","",SUMIFS('Per Line'!$V$2:$V$201,'Per Line'!$D$2:$D$201,$B60,'Per Line'!$AM$2:$AM$201,1,'Per Line'!$AN$2:$AN$201,0))</f>
        <v/>
      </c>
      <c r="AC60" s="7">
        <f>IF($AH60="","",AB60*AA60)</f>
        <v/>
      </c>
      <c r="AD60" s="7">
        <f>IF($AH60="","",AC60+Z60+W60)</f>
        <v/>
      </c>
      <c r="AE60" s="7">
        <f>IF($AH60="","",AF60-AD60)</f>
        <v/>
      </c>
      <c r="AF60" s="7">
        <f>IF($AH60="","",Y60+AB60+V60)</f>
        <v/>
      </c>
      <c r="AG60" s="7">
        <f>IF($AH60="","",AF60-AD60-N60)</f>
        <v/>
      </c>
      <c r="AH60" s="13">
        <f>IF(ROWS($AH$2:$AH60)&lt;=MAX('Per Line'!$AL$2:$AL$201),MATCH(ROWS($AH$2:$AH60),'Per Line'!$AL$2:$AL$201,0),"")</f>
        <v/>
      </c>
    </row>
    <row r="61">
      <c r="A61" s="12" t="n"/>
      <c r="B61">
        <f>IF($AH61="","",INDEX('Per Line'!$D$2:$D$201,$AH61)&amp;"")</f>
        <v/>
      </c>
      <c r="C61">
        <f>IF($AH61="","",INDEX('Per Line'!$A$2:$A$201,$AH61)&amp;"")</f>
        <v/>
      </c>
      <c r="D61">
        <f>IF($AH61="","",INDEX('Per Line'!$B$2:$B$201,$AH61))</f>
        <v/>
      </c>
      <c r="E61">
        <f>IF($AH61="","",INDEX('Per Line'!$C$2:$C$201,$AH61)&amp;"")</f>
        <v/>
      </c>
      <c r="F61">
        <f>IF($AH61="","",INDEX('Per Line'!$E$2:$E$201,$AH61)&amp;"")</f>
        <v/>
      </c>
      <c r="G61" s="11">
        <f>IF($AH61="","",INDEX('Per Line'!$F$2:$F$201,$AH61))</f>
        <v/>
      </c>
      <c r="H61">
        <f>IF($AH61="","",INDEX('Per Line'!$G$2:$G$201,$AH61)&amp;"")</f>
        <v/>
      </c>
      <c r="I61">
        <f>IF($AH61="","",INDEX('Per Line'!$I$2:$I$201,$AH61)&amp;"")</f>
        <v/>
      </c>
      <c r="J61">
        <f>IF($AH61="","",INDEX('Per Line'!$J$2:$J$201,$AH61)&amp;"")</f>
        <v/>
      </c>
      <c r="K61">
        <f>IF($AH61="","",INDEX('Per Line'!$K$2:$K$201,$AH61)&amp;"")</f>
        <v/>
      </c>
      <c r="L61">
        <f>IF($AH61="","",INDEX('Per Line'!$L$2:$L$201,$AH61)&amp;"")</f>
        <v/>
      </c>
      <c r="M61">
        <f>IF($AH61="","",INDEX('Per Line'!$M$2:$M$201,$AH61))</f>
        <v/>
      </c>
      <c r="N61" s="7">
        <f>IF($AH61="","",M61*AE61/100)</f>
        <v/>
      </c>
      <c r="O61">
        <f>IF($AH61="","",INDEX('Per Line'!$Z$2:$Z$201,$AH61)&amp;"")</f>
        <v/>
      </c>
      <c r="P61">
        <f>IF($AH61="","",INDEX('Per Line'!$AC$2:$AC$201,$AH61)&amp;"")</f>
        <v/>
      </c>
      <c r="Q61">
        <f>IF($AH61="","",INDEX('Per Line'!$AD$2:$AD$201,$AH61))</f>
        <v/>
      </c>
      <c r="R61">
        <f>IF($AH61="","",IF(AND(ISNUMBER(Q61),Q61&gt;0),AF61&gt;Q61,FALSE))</f>
        <v/>
      </c>
      <c r="S61">
        <f>IF($AH61="","",INDEX('Per Line'!$AH$2:$AH$201,$AH61)&amp;"")</f>
        <v/>
      </c>
      <c r="T61" s="11">
        <f>IF($AH61="","",INDEX('Per Line'!$AI$2:$AI$201,$AH61))</f>
        <v/>
      </c>
      <c r="U61">
        <f>IF($AH61="","",Settings!$C$8)</f>
        <v/>
      </c>
      <c r="V61" s="7">
        <f>IF($AH61="","",SUMIFS('Per Line'!$V$2:$V$201,'Per Line'!$D$2:$D$201,$B61,'Per Line'!$AN$2:$AN$201,1))</f>
        <v/>
      </c>
      <c r="W61" s="7">
        <f>IF($AH61="","",V61*U61)</f>
        <v/>
      </c>
      <c r="X61">
        <f>IF($AH61="","",Settings!$C$7)</f>
        <v/>
      </c>
      <c r="Y61" s="7">
        <f>IF($AH61="","",SUMIFS('Per Line'!$V$2:$V$201,'Per Line'!$D$2:$D$201,$B61,'Per Line'!$AM$2:$AM$201,0,'Per Line'!$AN$2:$AN$201,0))</f>
        <v/>
      </c>
      <c r="Z61" s="7">
        <f>IF($AH61="","",Y61*X61)</f>
        <v/>
      </c>
      <c r="AA61">
        <f>IF($AH61="","",Settings!$C$6)</f>
        <v/>
      </c>
      <c r="AB61" s="7">
        <f>IF($AH61="","",SUMIFS('Per Line'!$V$2:$V$201,'Per Line'!$D$2:$D$201,$B61,'Per Line'!$AM$2:$AM$201,1,'Per Line'!$AN$2:$AN$201,0))</f>
        <v/>
      </c>
      <c r="AC61" s="7">
        <f>IF($AH61="","",AB61*AA61)</f>
        <v/>
      </c>
      <c r="AD61" s="7">
        <f>IF($AH61="","",AC61+Z61+W61)</f>
        <v/>
      </c>
      <c r="AE61" s="7">
        <f>IF($AH61="","",AF61-AD61)</f>
        <v/>
      </c>
      <c r="AF61" s="7">
        <f>IF($AH61="","",Y61+AB61+V61)</f>
        <v/>
      </c>
      <c r="AG61" s="7">
        <f>IF($AH61="","",AF61-AD61-N61)</f>
        <v/>
      </c>
      <c r="AH61" s="13">
        <f>IF(ROWS($AH$2:$AH61)&lt;=MAX('Per Line'!$AL$2:$AL$201),MATCH(ROWS($AH$2:$AH61),'Per Line'!$AL$2:$AL$201,0),"")</f>
        <v/>
      </c>
    </row>
  </sheetData>
  <autoFilter ref="A1:AH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2026-10-12T12:57:31Z</dcterms:created>
  <dcterms:modified xmlns:dcterms="http://purl.org/dc/terms/" xmlns:xsi="http://www.w3.org/2001/XMLSchema-instance" xsi:type="dcterms:W3CDTF">2026-10-12T12:57:31Z</dcterms:modified>
</cp:coreProperties>
</file>