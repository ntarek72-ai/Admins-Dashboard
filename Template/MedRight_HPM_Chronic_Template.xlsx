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FULL MATCH" sheetId="6" state="visible" r:id="rId6"/>
    <sheet xmlns:r="http://schemas.openxmlformats.org/officeDocument/2006/relationships" name="NOT MATCH" sheetId="7" state="visible" r:id="rId7"/>
  </sheets>
  <definedNames>
    <definedName name="_xlnm._FilterDatabase" localSheetId="3" hidden="1">'Per Line'!$A$1:$AU$1501</definedName>
    <definedName name="_xlnm._FilterDatabase" localSheetId="4" hidden="1">'Per Invoice'!$A$1:$AI$401</definedName>
    <definedName name="_xlnm._FilterDatabase" localSheetId="5" hidden="1">'FULL MATCH'!$A$1:$AH$401</definedName>
    <definedName name="_xlnm._FilterDatabase" localSheetId="6" hidden="1">'NOT MATCH'!$A$1:$AH$401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center" vertical="center" wrapText="1"/>
    </xf>
    <xf numFmtId="165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MEDRIGHT HPM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A-P, R-AC, AH-AP (same order as the system export).</t>
        </is>
      </c>
    </row>
    <row r="6">
      <c r="A6" s="3" t="inlineStr">
        <is>
          <t>3. Green columns (Q, AD, AE, AF, AG) and the grey helper columns (AQ-AU)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columns you type yourself in 'Per Invoice' (blue headers): A 'Invoice', AF 'N MR'. Everything else is formula. Type them AFTER pasting the month data (they follow the row, not the order).</t>
        </is>
      </c>
    </row>
    <row r="9">
      <c r="A9" s="3" t="inlineStr">
        <is>
          <t>6. The tabs, the Arabic 'Template ...' sheets and 'Summary' fill themselves from 'Per Invoice'. Column 'Site Tab (##)' decides which tab each invoice goes to (rule and limit are in Settings).</t>
        </is>
      </c>
    </row>
    <row r="10">
      <c r="A10" s="3" t="inlineStr">
        <is>
          <t>7. Open 'Settings' and check STATUS says OK (Per Line = Per Invoice, and every invoice has a payer that is listed in Settings).</t>
        </is>
      </c>
    </row>
    <row r="12">
      <c r="A12" s="2" t="inlineStr">
        <is>
          <t>Colour legend</t>
        </is>
      </c>
    </row>
    <row r="13">
      <c r="A13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5">
      <c r="A15" s="2" t="inlineStr">
        <is>
          <t>Calculation rules (taken from the October 2026 sheet)</t>
        </is>
      </c>
    </row>
    <row r="16">
      <c r="A16" s="3" t="inlineStr">
        <is>
          <t>Co val = Order Co Payment x Total / 100.   Discount = Total x Rebates / 100.   Subtotal = Total - Discount.   Net = Subtotal - Co val.   (Total = 'Product Total')</t>
        </is>
      </c>
    </row>
    <row r="17">
      <c r="A17" s="3" t="inlineStr">
        <is>
          <t>Rebates per line = Local rate (13%) if Local is TRUE, otherwise Imported rate (5%). Lines with 'Special Rebates?' = Yes get 3%. Rates are set in 'Settings'.</t>
        </is>
      </c>
    </row>
    <row r="19">
      <c r="A19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1">
      <c r="A21" s="3" t="inlineStr">
        <is>
          <t>Capacity: up to 1,500 lines and 400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MEDRIGHT HPM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MedRight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0.13</v>
      </c>
      <c r="D6" t="inlineStr">
        <is>
          <t>Source: Oct sheet (Rebates = 13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Oct sheet (Rebates = 5 on non-local lines).</t>
        </is>
      </c>
    </row>
    <row r="8">
      <c r="B8" t="inlineStr">
        <is>
          <t>Special rebate % (Special Rebates? = Yes)</t>
        </is>
      </c>
      <c r="C8" s="5" t="n">
        <v>0.03</v>
      </c>
      <c r="D8" t="inlineStr">
        <is>
          <t>Lines flagged Special Rebates? = Yes get this rate (local or imported).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Line'!$E$2:$E$1501)</f>
        <v/>
      </c>
    </row>
    <row r="11">
      <c r="B11" t="inlineStr">
        <is>
          <t>Invoices (unique Order #)</t>
        </is>
      </c>
      <c r="C11">
        <f>MAX('Per Line'!$AR$2:$AR$1501)</f>
        <v/>
      </c>
    </row>
    <row r="12">
      <c r="B12" t="inlineStr">
        <is>
          <t>Invoices shown in Per Invoice</t>
        </is>
      </c>
      <c r="C12">
        <f>SUMPRODUCT(--('Per Invoice'!$B$2:$B$401&lt;&gt;""))</f>
        <v/>
      </c>
    </row>
    <row r="13">
      <c r="B13" t="inlineStr">
        <is>
          <t>Grand Total - Per Line (Product Total)</t>
        </is>
      </c>
      <c r="C13" s="7">
        <f>SUM('Per Line'!$Z$2:$Z$1501)</f>
        <v/>
      </c>
    </row>
    <row r="14">
      <c r="B14" t="inlineStr">
        <is>
          <t>Grand Total - Per Invoice</t>
        </is>
      </c>
      <c r="C14" s="7">
        <f>SUM('Per Invoice'!$AD$2:$AD$401)</f>
        <v/>
      </c>
    </row>
    <row r="15">
      <c r="B15" t="inlineStr">
        <is>
          <t>Discount - Per Line</t>
        </is>
      </c>
      <c r="C15" s="7">
        <f>SUM('Per Line'!$AE$2:$AE$1501)</f>
        <v/>
      </c>
    </row>
    <row r="16">
      <c r="B16" t="inlineStr">
        <is>
          <t>Discount - Per Invoice</t>
        </is>
      </c>
      <c r="C16" s="7">
        <f>SUM('Per Invoice'!$AB$2:$AB$401)</f>
        <v/>
      </c>
    </row>
    <row r="17">
      <c r="B17" t="inlineStr">
        <is>
          <t>Co val - Per Line</t>
        </is>
      </c>
      <c r="C17" s="7">
        <f>SUM('Per Line'!$Q$2:$Q$1501)</f>
        <v/>
      </c>
    </row>
    <row r="18">
      <c r="B18" t="inlineStr">
        <is>
          <t>Co val - Per Invoice</t>
        </is>
      </c>
      <c r="C18" s="7">
        <f>SUM('Per Invoice'!$P$2:$P$401)</f>
        <v/>
      </c>
    </row>
    <row r="19">
      <c r="B19" t="inlineStr">
        <is>
          <t>Net - Per Line</t>
        </is>
      </c>
      <c r="C19" s="7">
        <f>SUM('Per Line'!$AG$2:$AG$1501)</f>
        <v/>
      </c>
    </row>
    <row r="20">
      <c r="B20" t="inlineStr">
        <is>
          <t>Net - Per Invoice</t>
        </is>
      </c>
      <c r="C20" s="7">
        <f>SUM('Per Invoice'!$AE$2:$AE$401)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Line'!$E:$E)-1&gt;1500,"TOO MANY LINES - extend template",IF(C11&gt;400,"TOO MANY INVOICES - extend template",IF(AND(ROUND(C13-C14,2)=0,ROUND(C15-C16,2)=0,ROUND(C17+C21-C18,2)=0,ROUND(C19-C21-C20,2)=0,C11=C12,C29=0,MAX(D26:D27)&lt;=400),"OK","CHECK - Per Line and Per Invoice do not match"))))</f>
        <v/>
      </c>
      <c r="D23" t="inlineStr">
        <is>
          <t>Must say OK after you paste the month data.</t>
        </is>
      </c>
    </row>
    <row r="25">
      <c r="B25" s="6" t="inlineStr">
        <is>
          <t>Site tabs</t>
        </is>
      </c>
      <c r="C25" s="6" t="inlineStr">
        <is>
          <t>Site name exactly as in the Site Tab (##) column</t>
        </is>
      </c>
      <c r="D25" s="6" t="inlineStr">
        <is>
          <t>Invoices (formula)</t>
        </is>
      </c>
    </row>
    <row r="26">
      <c r="B26" t="inlineStr">
        <is>
          <t>FULL MATCH</t>
        </is>
      </c>
      <c r="C26" s="8" t="inlineStr">
        <is>
          <t>FULL MATCH</t>
        </is>
      </c>
      <c r="D26" s="9">
        <f>IF(C26="",0,COUNTIF('Per Invoice'!$C$2:$C$401,C26))</f>
        <v/>
      </c>
    </row>
    <row r="27">
      <c r="B27" t="inlineStr">
        <is>
          <t>NOT MATCH</t>
        </is>
      </c>
      <c r="C27" s="8" t="inlineStr">
        <is>
          <t>NOT MATCH</t>
        </is>
      </c>
      <c r="D27" s="9">
        <f>IF(C27="",0,COUNTIF('Per Invoice'!$C$2:$C$401,C27))</f>
        <v/>
      </c>
    </row>
    <row r="29">
      <c r="B29" t="inlineStr">
        <is>
          <t>Invoices not in any site tab (must be 0)</t>
        </is>
      </c>
      <c r="C29">
        <f>C11-SUM(D26:D27)</f>
        <v/>
      </c>
      <c r="D29" t="inlineStr">
        <is>
          <t>If not 0: a new site appeared. Type its exact name in one of the empty yellow cells above (Extra 1 ... Extra n); the tab Extra n then shows it. Each tab holds up to 400 invoices.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0" t="inlineStr">
        <is>
          <t>Match</t>
        </is>
      </c>
      <c r="B1" s="10" t="inlineStr">
        <is>
          <t>Count of Order #</t>
        </is>
      </c>
      <c r="C1" s="10" t="inlineStr">
        <is>
          <t>Sum of CO VAL</t>
        </is>
      </c>
      <c r="D1" s="10" t="inlineStr">
        <is>
          <t>Sum of SUBTOTAL</t>
        </is>
      </c>
      <c r="E1" s="10" t="inlineStr">
        <is>
          <t>Sum of NET</t>
        </is>
      </c>
    </row>
    <row r="2">
      <c r="A2">
        <f>IF(Settings!$C$26="","",Settings!$C$26)</f>
        <v/>
      </c>
      <c r="B2">
        <f>IF($A2="","",COUNTIF('Per Invoice'!$C$2:$C$401,$A2))</f>
        <v/>
      </c>
      <c r="C2" s="7">
        <f>IF($A2="","",SUMIFS('Per Invoice'!$P$2:$P$401,'Per Invoice'!$C$2:$C$401,$A2))</f>
        <v/>
      </c>
      <c r="D2" s="7">
        <f>IF($A2="","",SUMIFS('Per Invoice'!$AC$2:$AC$401,'Per Invoice'!$C$2:$C$401,$A2))</f>
        <v/>
      </c>
      <c r="E2" s="7">
        <f>IF($A2="","",SUMIFS('Per Invoice'!$AE$2:$AE$401,'Per Invoice'!$C$2:$C$401,$A2))</f>
        <v/>
      </c>
    </row>
    <row r="3">
      <c r="A3">
        <f>IF(Settings!$C$27="","",Settings!$C$27)</f>
        <v/>
      </c>
      <c r="B3">
        <f>IF($A3="","",COUNTIF('Per Invoice'!$C$2:$C$401,$A3))</f>
        <v/>
      </c>
      <c r="C3" s="7">
        <f>IF($A3="","",SUMIFS('Per Invoice'!$P$2:$P$401,'Per Invoice'!$C$2:$C$401,$A3))</f>
        <v/>
      </c>
      <c r="D3" s="7">
        <f>IF($A3="","",SUMIFS('Per Invoice'!$AC$2:$AC$401,'Per Invoice'!$C$2:$C$401,$A3))</f>
        <v/>
      </c>
      <c r="E3" s="7">
        <f>IF($A3="","",SUMIFS('Per Invoice'!$AE$2:$AE$401,'Per Invoice'!$C$2:$C$401,$A3))</f>
        <v/>
      </c>
    </row>
    <row r="4">
      <c r="A4" s="6" t="inlineStr">
        <is>
          <t>Grand Total</t>
        </is>
      </c>
      <c r="B4" s="6">
        <f>SUM(B2:B3)</f>
        <v/>
      </c>
      <c r="C4" s="11">
        <f>SUM(C2:C3)</f>
        <v/>
      </c>
      <c r="D4" s="11">
        <f>SUM(D2:D3)</f>
        <v/>
      </c>
      <c r="E4" s="11">
        <f>SUM(E2:E3)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4" customWidth="1" min="6" max="6"/>
    <col width="17" customWidth="1" min="7" max="7"/>
    <col width="18" customWidth="1" min="8" max="8"/>
    <col width="12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44" customWidth="1" min="20" max="20"/>
    <col width="12" customWidth="1" min="21" max="21"/>
    <col width="2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36" customWidth="1" min="28" max="28"/>
    <col width="12" customWidth="1" min="29" max="29"/>
    <col width="11" customWidth="1" min="30" max="30"/>
    <col width="11" customWidth="1" min="31" max="31"/>
    <col width="11" customWidth="1" min="32" max="32"/>
    <col width="11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7" customWidth="1" min="40" max="40"/>
    <col width="12" customWidth="1" min="41" max="41"/>
    <col width="12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</cols>
  <sheetData>
    <row r="1" ht="32" customHeight="1">
      <c r="A1" s="12" t="inlineStr">
        <is>
          <t>Cycle</t>
        </is>
      </c>
      <c r="B1" s="12" t="inlineStr">
        <is>
          <t>Ticket #</t>
        </is>
      </c>
      <c r="C1" s="12" t="inlineStr">
        <is>
          <t>Stage</t>
        </is>
      </c>
      <c r="D1" s="12" t="inlineStr">
        <is>
          <t>Approval Ref</t>
        </is>
      </c>
      <c r="E1" s="12" t="inlineStr">
        <is>
          <t>Order #</t>
        </is>
      </c>
      <c r="F1" s="12" t="inlineStr">
        <is>
          <t>Channel</t>
        </is>
      </c>
      <c r="G1" s="12" t="inlineStr">
        <is>
          <t>Create At</t>
        </is>
      </c>
      <c r="H1" s="12" t="inlineStr">
        <is>
          <t>Insurance Company</t>
        </is>
      </c>
      <c r="I1" s="12" t="inlineStr">
        <is>
          <t>Country Portal ID</t>
        </is>
      </c>
      <c r="J1" s="12" t="inlineStr">
        <is>
          <t>Corporate</t>
        </is>
      </c>
      <c r="K1" s="12" t="inlineStr">
        <is>
          <t>Card</t>
        </is>
      </c>
      <c r="L1" s="12" t="inlineStr">
        <is>
          <t>Name</t>
        </is>
      </c>
      <c r="M1" s="12" t="inlineStr">
        <is>
          <t>Status</t>
        </is>
      </c>
      <c r="N1" s="12" t="inlineStr">
        <is>
          <t>Local Rebates</t>
        </is>
      </c>
      <c r="O1" s="12" t="inlineStr">
        <is>
          <t>Imported Rebates</t>
        </is>
      </c>
      <c r="P1" s="12" t="inlineStr">
        <is>
          <t>Order Co Payment</t>
        </is>
      </c>
      <c r="Q1" s="10" t="inlineStr">
        <is>
          <t>Co val</t>
        </is>
      </c>
      <c r="R1" s="12" t="inlineStr">
        <is>
          <t>By Patient</t>
        </is>
      </c>
      <c r="S1" s="12" t="inlineStr">
        <is>
          <t>heisenberg id</t>
        </is>
      </c>
      <c r="T1" s="12" t="inlineStr">
        <is>
          <t>Product Name</t>
        </is>
      </c>
      <c r="U1" s="12" t="inlineStr">
        <is>
          <t>Local</t>
        </is>
      </c>
      <c r="V1" s="12" t="inlineStr">
        <is>
          <t>Unit</t>
        </is>
      </c>
      <c r="W1" s="12" t="inlineStr">
        <is>
          <t>Quantity</t>
        </is>
      </c>
      <c r="X1" s="12" t="inlineStr">
        <is>
          <t>Delivered Quantity</t>
        </is>
      </c>
      <c r="Y1" s="12" t="inlineStr">
        <is>
          <t>Unit Price</t>
        </is>
      </c>
      <c r="Z1" s="12" t="inlineStr">
        <is>
          <t>Product Total</t>
        </is>
      </c>
      <c r="AA1" s="12" t="inlineStr">
        <is>
          <t>Product Delivered Total</t>
        </is>
      </c>
      <c r="AB1" s="12" t="inlineStr">
        <is>
          <t>ERX ID</t>
        </is>
      </c>
      <c r="AC1" s="12" t="inlineStr">
        <is>
          <t>Special Rebates?</t>
        </is>
      </c>
      <c r="AD1" s="10" t="inlineStr">
        <is>
          <t>Rebates</t>
        </is>
      </c>
      <c r="AE1" s="10" t="inlineStr">
        <is>
          <t>Discount</t>
        </is>
      </c>
      <c r="AF1" s="10" t="inlineStr">
        <is>
          <t>Subtotal</t>
        </is>
      </c>
      <c r="AG1" s="10" t="inlineStr">
        <is>
          <t>Net</t>
        </is>
      </c>
      <c r="AH1" s="12" t="inlineStr">
        <is>
          <t>Approval Type</t>
        </is>
      </c>
      <c r="AI1" s="12" t="inlineStr">
        <is>
          <t>Max Limit</t>
        </is>
      </c>
      <c r="AJ1" s="12" t="inlineStr">
        <is>
          <t>Exceeding Limit</t>
        </is>
      </c>
      <c r="AK1" s="12" t="inlineStr">
        <is>
          <t>Amount collected from customer</t>
        </is>
      </c>
      <c r="AL1" s="12" t="inlineStr">
        <is>
          <t>By Patient (Delivered)</t>
        </is>
      </c>
      <c r="AM1" s="12" t="inlineStr">
        <is>
          <t>Dispense Number</t>
        </is>
      </c>
      <c r="AN1" s="12" t="inlineStr">
        <is>
          <t>Dispense Date</t>
        </is>
      </c>
      <c r="AO1" s="12" t="inlineStr">
        <is>
          <t>Has OTP?</t>
        </is>
      </c>
      <c r="AP1" s="12" t="inlineStr">
        <is>
          <t>Match</t>
        </is>
      </c>
      <c r="AQ1" s="13" t="inlineStr">
        <is>
          <t>Order 1st Row (helper)</t>
        </is>
      </c>
      <c r="AR1" s="13" t="inlineStr">
        <is>
          <t>Invoice # (helper)</t>
        </is>
      </c>
      <c r="AS1" s="13" t="inlineStr">
        <is>
          <t>Is Local (helper)</t>
        </is>
      </c>
      <c r="AT1" s="13" t="inlineStr">
        <is>
          <t>Is Special (helper)</t>
        </is>
      </c>
      <c r="AU1" s="13" t="inlineStr">
        <is>
          <t>Sort Key (helper)</t>
        </is>
      </c>
    </row>
    <row r="2">
      <c r="G2" s="14" t="n"/>
      <c r="Q2" s="7">
        <f>IF($E2="","",P2*Z2/100)</f>
        <v/>
      </c>
      <c r="R2" s="7" t="n"/>
      <c r="Y2" s="7" t="n"/>
      <c r="Z2" s="7" t="n"/>
      <c r="AA2" s="7" t="n"/>
      <c r="AD2">
        <f>IF($E2="","",IF($AT2=1,Settings!$C$8,IF($AS2=1,Settings!$C$6,Settings!$C$7))*100)</f>
        <v/>
      </c>
      <c r="AE2" s="7">
        <f>IF($E2="","",Z2*AD2/100)</f>
        <v/>
      </c>
      <c r="AF2" s="7">
        <f>IF($E2="","",Z2-AE2)</f>
        <v/>
      </c>
      <c r="AG2" s="7">
        <f>IF($E2="","",AF2-Q2)</f>
        <v/>
      </c>
      <c r="AK2" s="7" t="n"/>
      <c r="AN2" s="14" t="n"/>
      <c r="AQ2">
        <f>IF($E2="","",IF(COUNTIF($E$2:$E2,$E2)=1,1,0))</f>
        <v/>
      </c>
      <c r="AR2">
        <f>IF($AQ2=1,SUMPRODUCT(--($AU$2:$AU$1501&lt;$AU2))+1,"")</f>
        <v/>
      </c>
      <c r="AS2">
        <f>IF($E2="","",IF(OR($U2=TRUE(),$U2="TRUE"),1,0))</f>
        <v/>
      </c>
      <c r="AT2">
        <f>IF($E2="","",IF($AC2="Yes",1,0))</f>
        <v/>
      </c>
      <c r="AU2">
        <f>IF($AQ2=1,IFERROR(IF(VALUE($E2)&lt;100000000,VALUE($E2),1000000000),IFERROR(IF(VALUE(MID($E2,2,20))&lt;100000000,VALUE(MID($E2,2,20)),1000000000),1000000000))+ROW()/100000,"")</f>
        <v/>
      </c>
    </row>
    <row r="3">
      <c r="G3" s="14" t="n"/>
      <c r="Q3" s="7">
        <f>IF($E3="","",P3*Z3/100)</f>
        <v/>
      </c>
      <c r="R3" s="7" t="n"/>
      <c r="Y3" s="7" t="n"/>
      <c r="Z3" s="7" t="n"/>
      <c r="AA3" s="7" t="n"/>
      <c r="AD3">
        <f>IF($E3="","",IF($AT3=1,Settings!$C$8,IF($AS3=1,Settings!$C$6,Settings!$C$7))*100)</f>
        <v/>
      </c>
      <c r="AE3" s="7">
        <f>IF($E3="","",Z3*AD3/100)</f>
        <v/>
      </c>
      <c r="AF3" s="7">
        <f>IF($E3="","",Z3-AE3)</f>
        <v/>
      </c>
      <c r="AG3" s="7">
        <f>IF($E3="","",AF3-Q3)</f>
        <v/>
      </c>
      <c r="AK3" s="7" t="n"/>
      <c r="AN3" s="14" t="n"/>
      <c r="AQ3">
        <f>IF($E3="","",IF(COUNTIF($E$2:$E3,$E3)=1,1,0))</f>
        <v/>
      </c>
      <c r="AR3">
        <f>IF($AQ3=1,SUMPRODUCT(--($AU$2:$AU$1501&lt;$AU3))+1,"")</f>
        <v/>
      </c>
      <c r="AS3">
        <f>IF($E3="","",IF(OR($U3=TRUE(),$U3="TRUE"),1,0))</f>
        <v/>
      </c>
      <c r="AT3">
        <f>IF($E3="","",IF($AC3="Yes",1,0))</f>
        <v/>
      </c>
      <c r="AU3">
        <f>IF($AQ3=1,IFERROR(IF(VALUE($E3)&lt;100000000,VALUE($E3),1000000000),IFERROR(IF(VALUE(MID($E3,2,20))&lt;100000000,VALUE(MID($E3,2,20)),1000000000),1000000000))+ROW()/100000,"")</f>
        <v/>
      </c>
    </row>
    <row r="4">
      <c r="G4" s="14" t="n"/>
      <c r="Q4" s="7">
        <f>IF($E4="","",P4*Z4/100)</f>
        <v/>
      </c>
      <c r="R4" s="7" t="n"/>
      <c r="Y4" s="7" t="n"/>
      <c r="Z4" s="7" t="n"/>
      <c r="AA4" s="7" t="n"/>
      <c r="AD4">
        <f>IF($E4="","",IF($AT4=1,Settings!$C$8,IF($AS4=1,Settings!$C$6,Settings!$C$7))*100)</f>
        <v/>
      </c>
      <c r="AE4" s="7">
        <f>IF($E4="","",Z4*AD4/100)</f>
        <v/>
      </c>
      <c r="AF4" s="7">
        <f>IF($E4="","",Z4-AE4)</f>
        <v/>
      </c>
      <c r="AG4" s="7">
        <f>IF($E4="","",AF4-Q4)</f>
        <v/>
      </c>
      <c r="AK4" s="7" t="n"/>
      <c r="AN4" s="14" t="n"/>
      <c r="AQ4">
        <f>IF($E4="","",IF(COUNTIF($E$2:$E4,$E4)=1,1,0))</f>
        <v/>
      </c>
      <c r="AR4">
        <f>IF($AQ4=1,SUMPRODUCT(--($AU$2:$AU$1501&lt;$AU4))+1,"")</f>
        <v/>
      </c>
      <c r="AS4">
        <f>IF($E4="","",IF(OR($U4=TRUE(),$U4="TRUE"),1,0))</f>
        <v/>
      </c>
      <c r="AT4">
        <f>IF($E4="","",IF($AC4="Yes",1,0))</f>
        <v/>
      </c>
      <c r="AU4">
        <f>IF($AQ4=1,IFERROR(IF(VALUE($E4)&lt;100000000,VALUE($E4),1000000000),IFERROR(IF(VALUE(MID($E4,2,20))&lt;100000000,VALUE(MID($E4,2,20)),1000000000),1000000000))+ROW()/100000,"")</f>
        <v/>
      </c>
    </row>
    <row r="5">
      <c r="G5" s="14" t="n"/>
      <c r="Q5" s="7">
        <f>IF($E5="","",P5*Z5/100)</f>
        <v/>
      </c>
      <c r="R5" s="7" t="n"/>
      <c r="Y5" s="7" t="n"/>
      <c r="Z5" s="7" t="n"/>
      <c r="AA5" s="7" t="n"/>
      <c r="AD5">
        <f>IF($E5="","",IF($AT5=1,Settings!$C$8,IF($AS5=1,Settings!$C$6,Settings!$C$7))*100)</f>
        <v/>
      </c>
      <c r="AE5" s="7">
        <f>IF($E5="","",Z5*AD5/100)</f>
        <v/>
      </c>
      <c r="AF5" s="7">
        <f>IF($E5="","",Z5-AE5)</f>
        <v/>
      </c>
      <c r="AG5" s="7">
        <f>IF($E5="","",AF5-Q5)</f>
        <v/>
      </c>
      <c r="AK5" s="7" t="n"/>
      <c r="AN5" s="14" t="n"/>
      <c r="AQ5">
        <f>IF($E5="","",IF(COUNTIF($E$2:$E5,$E5)=1,1,0))</f>
        <v/>
      </c>
      <c r="AR5">
        <f>IF($AQ5=1,SUMPRODUCT(--($AU$2:$AU$1501&lt;$AU5))+1,"")</f>
        <v/>
      </c>
      <c r="AS5">
        <f>IF($E5="","",IF(OR($U5=TRUE(),$U5="TRUE"),1,0))</f>
        <v/>
      </c>
      <c r="AT5">
        <f>IF($E5="","",IF($AC5="Yes",1,0))</f>
        <v/>
      </c>
      <c r="AU5">
        <f>IF($AQ5=1,IFERROR(IF(VALUE($E5)&lt;100000000,VALUE($E5),1000000000),IFERROR(IF(VALUE(MID($E5,2,20))&lt;100000000,VALUE(MID($E5,2,20)),1000000000),1000000000))+ROW()/100000,"")</f>
        <v/>
      </c>
    </row>
    <row r="6">
      <c r="G6" s="14" t="n"/>
      <c r="Q6" s="7">
        <f>IF($E6="","",P6*Z6/100)</f>
        <v/>
      </c>
      <c r="R6" s="7" t="n"/>
      <c r="Y6" s="7" t="n"/>
      <c r="Z6" s="7" t="n"/>
      <c r="AA6" s="7" t="n"/>
      <c r="AD6">
        <f>IF($E6="","",IF($AT6=1,Settings!$C$8,IF($AS6=1,Settings!$C$6,Settings!$C$7))*100)</f>
        <v/>
      </c>
      <c r="AE6" s="7">
        <f>IF($E6="","",Z6*AD6/100)</f>
        <v/>
      </c>
      <c r="AF6" s="7">
        <f>IF($E6="","",Z6-AE6)</f>
        <v/>
      </c>
      <c r="AG6" s="7">
        <f>IF($E6="","",AF6-Q6)</f>
        <v/>
      </c>
      <c r="AK6" s="7" t="n"/>
      <c r="AN6" s="14" t="n"/>
      <c r="AQ6">
        <f>IF($E6="","",IF(COUNTIF($E$2:$E6,$E6)=1,1,0))</f>
        <v/>
      </c>
      <c r="AR6">
        <f>IF($AQ6=1,SUMPRODUCT(--($AU$2:$AU$1501&lt;$AU6))+1,"")</f>
        <v/>
      </c>
      <c r="AS6">
        <f>IF($E6="","",IF(OR($U6=TRUE(),$U6="TRUE"),1,0))</f>
        <v/>
      </c>
      <c r="AT6">
        <f>IF($E6="","",IF($AC6="Yes",1,0))</f>
        <v/>
      </c>
      <c r="AU6">
        <f>IF($AQ6=1,IFERROR(IF(VALUE($E6)&lt;100000000,VALUE($E6),1000000000),IFERROR(IF(VALUE(MID($E6,2,20))&lt;100000000,VALUE(MID($E6,2,20)),1000000000),1000000000))+ROW()/100000,"")</f>
        <v/>
      </c>
    </row>
    <row r="7">
      <c r="G7" s="14" t="n"/>
      <c r="Q7" s="7">
        <f>IF($E7="","",P7*Z7/100)</f>
        <v/>
      </c>
      <c r="R7" s="7" t="n"/>
      <c r="Y7" s="7" t="n"/>
      <c r="Z7" s="7" t="n"/>
      <c r="AA7" s="7" t="n"/>
      <c r="AD7">
        <f>IF($E7="","",IF($AT7=1,Settings!$C$8,IF($AS7=1,Settings!$C$6,Settings!$C$7))*100)</f>
        <v/>
      </c>
      <c r="AE7" s="7">
        <f>IF($E7="","",Z7*AD7/100)</f>
        <v/>
      </c>
      <c r="AF7" s="7">
        <f>IF($E7="","",Z7-AE7)</f>
        <v/>
      </c>
      <c r="AG7" s="7">
        <f>IF($E7="","",AF7-Q7)</f>
        <v/>
      </c>
      <c r="AK7" s="7" t="n"/>
      <c r="AN7" s="14" t="n"/>
      <c r="AQ7">
        <f>IF($E7="","",IF(COUNTIF($E$2:$E7,$E7)=1,1,0))</f>
        <v/>
      </c>
      <c r="AR7">
        <f>IF($AQ7=1,SUMPRODUCT(--($AU$2:$AU$1501&lt;$AU7))+1,"")</f>
        <v/>
      </c>
      <c r="AS7">
        <f>IF($E7="","",IF(OR($U7=TRUE(),$U7="TRUE"),1,0))</f>
        <v/>
      </c>
      <c r="AT7">
        <f>IF($E7="","",IF($AC7="Yes",1,0))</f>
        <v/>
      </c>
      <c r="AU7">
        <f>IF($AQ7=1,IFERROR(IF(VALUE($E7)&lt;100000000,VALUE($E7),1000000000),IFERROR(IF(VALUE(MID($E7,2,20))&lt;100000000,VALUE(MID($E7,2,20)),1000000000),1000000000))+ROW()/100000,"")</f>
        <v/>
      </c>
    </row>
    <row r="8">
      <c r="G8" s="14" t="n"/>
      <c r="Q8" s="7">
        <f>IF($E8="","",P8*Z8/100)</f>
        <v/>
      </c>
      <c r="R8" s="7" t="n"/>
      <c r="Y8" s="7" t="n"/>
      <c r="Z8" s="7" t="n"/>
      <c r="AA8" s="7" t="n"/>
      <c r="AD8">
        <f>IF($E8="","",IF($AT8=1,Settings!$C$8,IF($AS8=1,Settings!$C$6,Settings!$C$7))*100)</f>
        <v/>
      </c>
      <c r="AE8" s="7">
        <f>IF($E8="","",Z8*AD8/100)</f>
        <v/>
      </c>
      <c r="AF8" s="7">
        <f>IF($E8="","",Z8-AE8)</f>
        <v/>
      </c>
      <c r="AG8" s="7">
        <f>IF($E8="","",AF8-Q8)</f>
        <v/>
      </c>
      <c r="AK8" s="7" t="n"/>
      <c r="AN8" s="14" t="n"/>
      <c r="AQ8">
        <f>IF($E8="","",IF(COUNTIF($E$2:$E8,$E8)=1,1,0))</f>
        <v/>
      </c>
      <c r="AR8">
        <f>IF($AQ8=1,SUMPRODUCT(--($AU$2:$AU$1501&lt;$AU8))+1,"")</f>
        <v/>
      </c>
      <c r="AS8">
        <f>IF($E8="","",IF(OR($U8=TRUE(),$U8="TRUE"),1,0))</f>
        <v/>
      </c>
      <c r="AT8">
        <f>IF($E8="","",IF($AC8="Yes",1,0))</f>
        <v/>
      </c>
      <c r="AU8">
        <f>IF($AQ8=1,IFERROR(IF(VALUE($E8)&lt;100000000,VALUE($E8),1000000000),IFERROR(IF(VALUE(MID($E8,2,20))&lt;100000000,VALUE(MID($E8,2,20)),1000000000),1000000000))+ROW()/100000,"")</f>
        <v/>
      </c>
    </row>
    <row r="9">
      <c r="G9" s="14" t="n"/>
      <c r="Q9" s="7">
        <f>IF($E9="","",P9*Z9/100)</f>
        <v/>
      </c>
      <c r="R9" s="7" t="n"/>
      <c r="Y9" s="7" t="n"/>
      <c r="Z9" s="7" t="n"/>
      <c r="AA9" s="7" t="n"/>
      <c r="AD9">
        <f>IF($E9="","",IF($AT9=1,Settings!$C$8,IF($AS9=1,Settings!$C$6,Settings!$C$7))*100)</f>
        <v/>
      </c>
      <c r="AE9" s="7">
        <f>IF($E9="","",Z9*AD9/100)</f>
        <v/>
      </c>
      <c r="AF9" s="7">
        <f>IF($E9="","",Z9-AE9)</f>
        <v/>
      </c>
      <c r="AG9" s="7">
        <f>IF($E9="","",AF9-Q9)</f>
        <v/>
      </c>
      <c r="AK9" s="7" t="n"/>
      <c r="AN9" s="14" t="n"/>
      <c r="AQ9">
        <f>IF($E9="","",IF(COUNTIF($E$2:$E9,$E9)=1,1,0))</f>
        <v/>
      </c>
      <c r="AR9">
        <f>IF($AQ9=1,SUMPRODUCT(--($AU$2:$AU$1501&lt;$AU9))+1,"")</f>
        <v/>
      </c>
      <c r="AS9">
        <f>IF($E9="","",IF(OR($U9=TRUE(),$U9="TRUE"),1,0))</f>
        <v/>
      </c>
      <c r="AT9">
        <f>IF($E9="","",IF($AC9="Yes",1,0))</f>
        <v/>
      </c>
      <c r="AU9">
        <f>IF($AQ9=1,IFERROR(IF(VALUE($E9)&lt;100000000,VALUE($E9),1000000000),IFERROR(IF(VALUE(MID($E9,2,20))&lt;100000000,VALUE(MID($E9,2,20)),1000000000),1000000000))+ROW()/100000,"")</f>
        <v/>
      </c>
    </row>
    <row r="10">
      <c r="G10" s="14" t="n"/>
      <c r="Q10" s="7">
        <f>IF($E10="","",P10*Z10/100)</f>
        <v/>
      </c>
      <c r="R10" s="7" t="n"/>
      <c r="Y10" s="7" t="n"/>
      <c r="Z10" s="7" t="n"/>
      <c r="AA10" s="7" t="n"/>
      <c r="AD10">
        <f>IF($E10="","",IF($AT10=1,Settings!$C$8,IF($AS10=1,Settings!$C$6,Settings!$C$7))*100)</f>
        <v/>
      </c>
      <c r="AE10" s="7">
        <f>IF($E10="","",Z10*AD10/100)</f>
        <v/>
      </c>
      <c r="AF10" s="7">
        <f>IF($E10="","",Z10-AE10)</f>
        <v/>
      </c>
      <c r="AG10" s="7">
        <f>IF($E10="","",AF10-Q10)</f>
        <v/>
      </c>
      <c r="AK10" s="7" t="n"/>
      <c r="AN10" s="14" t="n"/>
      <c r="AQ10">
        <f>IF($E10="","",IF(COUNTIF($E$2:$E10,$E10)=1,1,0))</f>
        <v/>
      </c>
      <c r="AR10">
        <f>IF($AQ10=1,SUMPRODUCT(--($AU$2:$AU$1501&lt;$AU10))+1,"")</f>
        <v/>
      </c>
      <c r="AS10">
        <f>IF($E10="","",IF(OR($U10=TRUE(),$U10="TRUE"),1,0))</f>
        <v/>
      </c>
      <c r="AT10">
        <f>IF($E10="","",IF($AC10="Yes",1,0))</f>
        <v/>
      </c>
      <c r="AU10">
        <f>IF($AQ10=1,IFERROR(IF(VALUE($E10)&lt;100000000,VALUE($E10),1000000000),IFERROR(IF(VALUE(MID($E10,2,20))&lt;100000000,VALUE(MID($E10,2,20)),1000000000),1000000000))+ROW()/100000,"")</f>
        <v/>
      </c>
    </row>
    <row r="11">
      <c r="G11" s="14" t="n"/>
      <c r="Q11" s="7">
        <f>IF($E11="","",P11*Z11/100)</f>
        <v/>
      </c>
      <c r="R11" s="7" t="n"/>
      <c r="Y11" s="7" t="n"/>
      <c r="Z11" s="7" t="n"/>
      <c r="AA11" s="7" t="n"/>
      <c r="AD11">
        <f>IF($E11="","",IF($AT11=1,Settings!$C$8,IF($AS11=1,Settings!$C$6,Settings!$C$7))*100)</f>
        <v/>
      </c>
      <c r="AE11" s="7">
        <f>IF($E11="","",Z11*AD11/100)</f>
        <v/>
      </c>
      <c r="AF11" s="7">
        <f>IF($E11="","",Z11-AE11)</f>
        <v/>
      </c>
      <c r="AG11" s="7">
        <f>IF($E11="","",AF11-Q11)</f>
        <v/>
      </c>
      <c r="AK11" s="7" t="n"/>
      <c r="AN11" s="14" t="n"/>
      <c r="AQ11">
        <f>IF($E11="","",IF(COUNTIF($E$2:$E11,$E11)=1,1,0))</f>
        <v/>
      </c>
      <c r="AR11">
        <f>IF($AQ11=1,SUMPRODUCT(--($AU$2:$AU$1501&lt;$AU11))+1,"")</f>
        <v/>
      </c>
      <c r="AS11">
        <f>IF($E11="","",IF(OR($U11=TRUE(),$U11="TRUE"),1,0))</f>
        <v/>
      </c>
      <c r="AT11">
        <f>IF($E11="","",IF($AC11="Yes",1,0))</f>
        <v/>
      </c>
      <c r="AU11">
        <f>IF($AQ11=1,IFERROR(IF(VALUE($E11)&lt;100000000,VALUE($E11),1000000000),IFERROR(IF(VALUE(MID($E11,2,20))&lt;100000000,VALUE(MID($E11,2,20)),1000000000),1000000000))+ROW()/100000,"")</f>
        <v/>
      </c>
    </row>
    <row r="12">
      <c r="G12" s="14" t="n"/>
      <c r="Q12" s="7">
        <f>IF($E12="","",P12*Z12/100)</f>
        <v/>
      </c>
      <c r="R12" s="7" t="n"/>
      <c r="Y12" s="7" t="n"/>
      <c r="Z12" s="7" t="n"/>
      <c r="AA12" s="7" t="n"/>
      <c r="AD12">
        <f>IF($E12="","",IF($AT12=1,Settings!$C$8,IF($AS12=1,Settings!$C$6,Settings!$C$7))*100)</f>
        <v/>
      </c>
      <c r="AE12" s="7">
        <f>IF($E12="","",Z12*AD12/100)</f>
        <v/>
      </c>
      <c r="AF12" s="7">
        <f>IF($E12="","",Z12-AE12)</f>
        <v/>
      </c>
      <c r="AG12" s="7">
        <f>IF($E12="","",AF12-Q12)</f>
        <v/>
      </c>
      <c r="AK12" s="7" t="n"/>
      <c r="AN12" s="14" t="n"/>
      <c r="AQ12">
        <f>IF($E12="","",IF(COUNTIF($E$2:$E12,$E12)=1,1,0))</f>
        <v/>
      </c>
      <c r="AR12">
        <f>IF($AQ12=1,SUMPRODUCT(--($AU$2:$AU$1501&lt;$AU12))+1,"")</f>
        <v/>
      </c>
      <c r="AS12">
        <f>IF($E12="","",IF(OR($U12=TRUE(),$U12="TRUE"),1,0))</f>
        <v/>
      </c>
      <c r="AT12">
        <f>IF($E12="","",IF($AC12="Yes",1,0))</f>
        <v/>
      </c>
      <c r="AU12">
        <f>IF($AQ12=1,IFERROR(IF(VALUE($E12)&lt;100000000,VALUE($E12),1000000000),IFERROR(IF(VALUE(MID($E12,2,20))&lt;100000000,VALUE(MID($E12,2,20)),1000000000),1000000000))+ROW()/100000,"")</f>
        <v/>
      </c>
    </row>
    <row r="13">
      <c r="G13" s="14" t="n"/>
      <c r="Q13" s="7">
        <f>IF($E13="","",P13*Z13/100)</f>
        <v/>
      </c>
      <c r="R13" s="7" t="n"/>
      <c r="Y13" s="7" t="n"/>
      <c r="Z13" s="7" t="n"/>
      <c r="AA13" s="7" t="n"/>
      <c r="AD13">
        <f>IF($E13="","",IF($AT13=1,Settings!$C$8,IF($AS13=1,Settings!$C$6,Settings!$C$7))*100)</f>
        <v/>
      </c>
      <c r="AE13" s="7">
        <f>IF($E13="","",Z13*AD13/100)</f>
        <v/>
      </c>
      <c r="AF13" s="7">
        <f>IF($E13="","",Z13-AE13)</f>
        <v/>
      </c>
      <c r="AG13" s="7">
        <f>IF($E13="","",AF13-Q13)</f>
        <v/>
      </c>
      <c r="AK13" s="7" t="n"/>
      <c r="AN13" s="14" t="n"/>
      <c r="AQ13">
        <f>IF($E13="","",IF(COUNTIF($E$2:$E13,$E13)=1,1,0))</f>
        <v/>
      </c>
      <c r="AR13">
        <f>IF($AQ13=1,SUMPRODUCT(--($AU$2:$AU$1501&lt;$AU13))+1,"")</f>
        <v/>
      </c>
      <c r="AS13">
        <f>IF($E13="","",IF(OR($U13=TRUE(),$U13="TRUE"),1,0))</f>
        <v/>
      </c>
      <c r="AT13">
        <f>IF($E13="","",IF($AC13="Yes",1,0))</f>
        <v/>
      </c>
      <c r="AU13">
        <f>IF($AQ13=1,IFERROR(IF(VALUE($E13)&lt;100000000,VALUE($E13),1000000000),IFERROR(IF(VALUE(MID($E13,2,20))&lt;100000000,VALUE(MID($E13,2,20)),1000000000),1000000000))+ROW()/100000,"")</f>
        <v/>
      </c>
    </row>
    <row r="14">
      <c r="G14" s="14" t="n"/>
      <c r="Q14" s="7">
        <f>IF($E14="","",P14*Z14/100)</f>
        <v/>
      </c>
      <c r="R14" s="7" t="n"/>
      <c r="Y14" s="7" t="n"/>
      <c r="Z14" s="7" t="n"/>
      <c r="AA14" s="7" t="n"/>
      <c r="AD14">
        <f>IF($E14="","",IF($AT14=1,Settings!$C$8,IF($AS14=1,Settings!$C$6,Settings!$C$7))*100)</f>
        <v/>
      </c>
      <c r="AE14" s="7">
        <f>IF($E14="","",Z14*AD14/100)</f>
        <v/>
      </c>
      <c r="AF14" s="7">
        <f>IF($E14="","",Z14-AE14)</f>
        <v/>
      </c>
      <c r="AG14" s="7">
        <f>IF($E14="","",AF14-Q14)</f>
        <v/>
      </c>
      <c r="AK14" s="7" t="n"/>
      <c r="AN14" s="14" t="n"/>
      <c r="AQ14">
        <f>IF($E14="","",IF(COUNTIF($E$2:$E14,$E14)=1,1,0))</f>
        <v/>
      </c>
      <c r="AR14">
        <f>IF($AQ14=1,SUMPRODUCT(--($AU$2:$AU$1501&lt;$AU14))+1,"")</f>
        <v/>
      </c>
      <c r="AS14">
        <f>IF($E14="","",IF(OR($U14=TRUE(),$U14="TRUE"),1,0))</f>
        <v/>
      </c>
      <c r="AT14">
        <f>IF($E14="","",IF($AC14="Yes",1,0))</f>
        <v/>
      </c>
      <c r="AU14">
        <f>IF($AQ14=1,IFERROR(IF(VALUE($E14)&lt;100000000,VALUE($E14),1000000000),IFERROR(IF(VALUE(MID($E14,2,20))&lt;100000000,VALUE(MID($E14,2,20)),1000000000),1000000000))+ROW()/100000,"")</f>
        <v/>
      </c>
    </row>
    <row r="15">
      <c r="G15" s="14" t="n"/>
      <c r="Q15" s="7">
        <f>IF($E15="","",P15*Z15/100)</f>
        <v/>
      </c>
      <c r="R15" s="7" t="n"/>
      <c r="Y15" s="7" t="n"/>
      <c r="Z15" s="7" t="n"/>
      <c r="AA15" s="7" t="n"/>
      <c r="AD15">
        <f>IF($E15="","",IF($AT15=1,Settings!$C$8,IF($AS15=1,Settings!$C$6,Settings!$C$7))*100)</f>
        <v/>
      </c>
      <c r="AE15" s="7">
        <f>IF($E15="","",Z15*AD15/100)</f>
        <v/>
      </c>
      <c r="AF15" s="7">
        <f>IF($E15="","",Z15-AE15)</f>
        <v/>
      </c>
      <c r="AG15" s="7">
        <f>IF($E15="","",AF15-Q15)</f>
        <v/>
      </c>
      <c r="AK15" s="7" t="n"/>
      <c r="AN15" s="14" t="n"/>
      <c r="AQ15">
        <f>IF($E15="","",IF(COUNTIF($E$2:$E15,$E15)=1,1,0))</f>
        <v/>
      </c>
      <c r="AR15">
        <f>IF($AQ15=1,SUMPRODUCT(--($AU$2:$AU$1501&lt;$AU15))+1,"")</f>
        <v/>
      </c>
      <c r="AS15">
        <f>IF($E15="","",IF(OR($U15=TRUE(),$U15="TRUE"),1,0))</f>
        <v/>
      </c>
      <c r="AT15">
        <f>IF($E15="","",IF($AC15="Yes",1,0))</f>
        <v/>
      </c>
      <c r="AU15">
        <f>IF($AQ15=1,IFERROR(IF(VALUE($E15)&lt;100000000,VALUE($E15),1000000000),IFERROR(IF(VALUE(MID($E15,2,20))&lt;100000000,VALUE(MID($E15,2,20)),1000000000),1000000000))+ROW()/100000,"")</f>
        <v/>
      </c>
    </row>
    <row r="16">
      <c r="G16" s="14" t="n"/>
      <c r="Q16" s="7">
        <f>IF($E16="","",P16*Z16/100)</f>
        <v/>
      </c>
      <c r="R16" s="7" t="n"/>
      <c r="Y16" s="7" t="n"/>
      <c r="Z16" s="7" t="n"/>
      <c r="AA16" s="7" t="n"/>
      <c r="AD16">
        <f>IF($E16="","",IF($AT16=1,Settings!$C$8,IF($AS16=1,Settings!$C$6,Settings!$C$7))*100)</f>
        <v/>
      </c>
      <c r="AE16" s="7">
        <f>IF($E16="","",Z16*AD16/100)</f>
        <v/>
      </c>
      <c r="AF16" s="7">
        <f>IF($E16="","",Z16-AE16)</f>
        <v/>
      </c>
      <c r="AG16" s="7">
        <f>IF($E16="","",AF16-Q16)</f>
        <v/>
      </c>
      <c r="AK16" s="7" t="n"/>
      <c r="AN16" s="14" t="n"/>
      <c r="AQ16">
        <f>IF($E16="","",IF(COUNTIF($E$2:$E16,$E16)=1,1,0))</f>
        <v/>
      </c>
      <c r="AR16">
        <f>IF($AQ16=1,SUMPRODUCT(--($AU$2:$AU$1501&lt;$AU16))+1,"")</f>
        <v/>
      </c>
      <c r="AS16">
        <f>IF($E16="","",IF(OR($U16=TRUE(),$U16="TRUE"),1,0))</f>
        <v/>
      </c>
      <c r="AT16">
        <f>IF($E16="","",IF($AC16="Yes",1,0))</f>
        <v/>
      </c>
      <c r="AU16">
        <f>IF($AQ16=1,IFERROR(IF(VALUE($E16)&lt;100000000,VALUE($E16),1000000000),IFERROR(IF(VALUE(MID($E16,2,20))&lt;100000000,VALUE(MID($E16,2,20)),1000000000),1000000000))+ROW()/100000,"")</f>
        <v/>
      </c>
    </row>
    <row r="17">
      <c r="G17" s="14" t="n"/>
      <c r="Q17" s="7">
        <f>IF($E17="","",P17*Z17/100)</f>
        <v/>
      </c>
      <c r="R17" s="7" t="n"/>
      <c r="Y17" s="7" t="n"/>
      <c r="Z17" s="7" t="n"/>
      <c r="AA17" s="7" t="n"/>
      <c r="AD17">
        <f>IF($E17="","",IF($AT17=1,Settings!$C$8,IF($AS17=1,Settings!$C$6,Settings!$C$7))*100)</f>
        <v/>
      </c>
      <c r="AE17" s="7">
        <f>IF($E17="","",Z17*AD17/100)</f>
        <v/>
      </c>
      <c r="AF17" s="7">
        <f>IF($E17="","",Z17-AE17)</f>
        <v/>
      </c>
      <c r="AG17" s="7">
        <f>IF($E17="","",AF17-Q17)</f>
        <v/>
      </c>
      <c r="AK17" s="7" t="n"/>
      <c r="AN17" s="14" t="n"/>
      <c r="AQ17">
        <f>IF($E17="","",IF(COUNTIF($E$2:$E17,$E17)=1,1,0))</f>
        <v/>
      </c>
      <c r="AR17">
        <f>IF($AQ17=1,SUMPRODUCT(--($AU$2:$AU$1501&lt;$AU17))+1,"")</f>
        <v/>
      </c>
      <c r="AS17">
        <f>IF($E17="","",IF(OR($U17=TRUE(),$U17="TRUE"),1,0))</f>
        <v/>
      </c>
      <c r="AT17">
        <f>IF($E17="","",IF($AC17="Yes",1,0))</f>
        <v/>
      </c>
      <c r="AU17">
        <f>IF($AQ17=1,IFERROR(IF(VALUE($E17)&lt;100000000,VALUE($E17),1000000000),IFERROR(IF(VALUE(MID($E17,2,20))&lt;100000000,VALUE(MID($E17,2,20)),1000000000),1000000000))+ROW()/100000,"")</f>
        <v/>
      </c>
    </row>
    <row r="18">
      <c r="G18" s="14" t="n"/>
      <c r="Q18" s="7">
        <f>IF($E18="","",P18*Z18/100)</f>
        <v/>
      </c>
      <c r="R18" s="7" t="n"/>
      <c r="Y18" s="7" t="n"/>
      <c r="Z18" s="7" t="n"/>
      <c r="AA18" s="7" t="n"/>
      <c r="AD18">
        <f>IF($E18="","",IF($AT18=1,Settings!$C$8,IF($AS18=1,Settings!$C$6,Settings!$C$7))*100)</f>
        <v/>
      </c>
      <c r="AE18" s="7">
        <f>IF($E18="","",Z18*AD18/100)</f>
        <v/>
      </c>
      <c r="AF18" s="7">
        <f>IF($E18="","",Z18-AE18)</f>
        <v/>
      </c>
      <c r="AG18" s="7">
        <f>IF($E18="","",AF18-Q18)</f>
        <v/>
      </c>
      <c r="AK18" s="7" t="n"/>
      <c r="AN18" s="14" t="n"/>
      <c r="AQ18">
        <f>IF($E18="","",IF(COUNTIF($E$2:$E18,$E18)=1,1,0))</f>
        <v/>
      </c>
      <c r="AR18">
        <f>IF($AQ18=1,SUMPRODUCT(--($AU$2:$AU$1501&lt;$AU18))+1,"")</f>
        <v/>
      </c>
      <c r="AS18">
        <f>IF($E18="","",IF(OR($U18=TRUE(),$U18="TRUE"),1,0))</f>
        <v/>
      </c>
      <c r="AT18">
        <f>IF($E18="","",IF($AC18="Yes",1,0))</f>
        <v/>
      </c>
      <c r="AU18">
        <f>IF($AQ18=1,IFERROR(IF(VALUE($E18)&lt;100000000,VALUE($E18),1000000000),IFERROR(IF(VALUE(MID($E18,2,20))&lt;100000000,VALUE(MID($E18,2,20)),1000000000),1000000000))+ROW()/100000,"")</f>
        <v/>
      </c>
    </row>
    <row r="19">
      <c r="G19" s="14" t="n"/>
      <c r="Q19" s="7">
        <f>IF($E19="","",P19*Z19/100)</f>
        <v/>
      </c>
      <c r="R19" s="7" t="n"/>
      <c r="Y19" s="7" t="n"/>
      <c r="Z19" s="7" t="n"/>
      <c r="AA19" s="7" t="n"/>
      <c r="AD19">
        <f>IF($E19="","",IF($AT19=1,Settings!$C$8,IF($AS19=1,Settings!$C$6,Settings!$C$7))*100)</f>
        <v/>
      </c>
      <c r="AE19" s="7">
        <f>IF($E19="","",Z19*AD19/100)</f>
        <v/>
      </c>
      <c r="AF19" s="7">
        <f>IF($E19="","",Z19-AE19)</f>
        <v/>
      </c>
      <c r="AG19" s="7">
        <f>IF($E19="","",AF19-Q19)</f>
        <v/>
      </c>
      <c r="AK19" s="7" t="n"/>
      <c r="AN19" s="14" t="n"/>
      <c r="AQ19">
        <f>IF($E19="","",IF(COUNTIF($E$2:$E19,$E19)=1,1,0))</f>
        <v/>
      </c>
      <c r="AR19">
        <f>IF($AQ19=1,SUMPRODUCT(--($AU$2:$AU$1501&lt;$AU19))+1,"")</f>
        <v/>
      </c>
      <c r="AS19">
        <f>IF($E19="","",IF(OR($U19=TRUE(),$U19="TRUE"),1,0))</f>
        <v/>
      </c>
      <c r="AT19">
        <f>IF($E19="","",IF($AC19="Yes",1,0))</f>
        <v/>
      </c>
      <c r="AU19">
        <f>IF($AQ19=1,IFERROR(IF(VALUE($E19)&lt;100000000,VALUE($E19),1000000000),IFERROR(IF(VALUE(MID($E19,2,20))&lt;100000000,VALUE(MID($E19,2,20)),1000000000),1000000000))+ROW()/100000,"")</f>
        <v/>
      </c>
    </row>
    <row r="20">
      <c r="G20" s="14" t="n"/>
      <c r="Q20" s="7">
        <f>IF($E20="","",P20*Z20/100)</f>
        <v/>
      </c>
      <c r="R20" s="7" t="n"/>
      <c r="Y20" s="7" t="n"/>
      <c r="Z20" s="7" t="n"/>
      <c r="AA20" s="7" t="n"/>
      <c r="AD20">
        <f>IF($E20="","",IF($AT20=1,Settings!$C$8,IF($AS20=1,Settings!$C$6,Settings!$C$7))*100)</f>
        <v/>
      </c>
      <c r="AE20" s="7">
        <f>IF($E20="","",Z20*AD20/100)</f>
        <v/>
      </c>
      <c r="AF20" s="7">
        <f>IF($E20="","",Z20-AE20)</f>
        <v/>
      </c>
      <c r="AG20" s="7">
        <f>IF($E20="","",AF20-Q20)</f>
        <v/>
      </c>
      <c r="AK20" s="7" t="n"/>
      <c r="AN20" s="14" t="n"/>
      <c r="AQ20">
        <f>IF($E20="","",IF(COUNTIF($E$2:$E20,$E20)=1,1,0))</f>
        <v/>
      </c>
      <c r="AR20">
        <f>IF($AQ20=1,SUMPRODUCT(--($AU$2:$AU$1501&lt;$AU20))+1,"")</f>
        <v/>
      </c>
      <c r="AS20">
        <f>IF($E20="","",IF(OR($U20=TRUE(),$U20="TRUE"),1,0))</f>
        <v/>
      </c>
      <c r="AT20">
        <f>IF($E20="","",IF($AC20="Yes",1,0))</f>
        <v/>
      </c>
      <c r="AU20">
        <f>IF($AQ20=1,IFERROR(IF(VALUE($E20)&lt;100000000,VALUE($E20),1000000000),IFERROR(IF(VALUE(MID($E20,2,20))&lt;100000000,VALUE(MID($E20,2,20)),1000000000),1000000000))+ROW()/100000,"")</f>
        <v/>
      </c>
    </row>
    <row r="21">
      <c r="G21" s="14" t="n"/>
      <c r="Q21" s="7">
        <f>IF($E21="","",P21*Z21/100)</f>
        <v/>
      </c>
      <c r="R21" s="7" t="n"/>
      <c r="Y21" s="7" t="n"/>
      <c r="Z21" s="7" t="n"/>
      <c r="AA21" s="7" t="n"/>
      <c r="AD21">
        <f>IF($E21="","",IF($AT21=1,Settings!$C$8,IF($AS21=1,Settings!$C$6,Settings!$C$7))*100)</f>
        <v/>
      </c>
      <c r="AE21" s="7">
        <f>IF($E21="","",Z21*AD21/100)</f>
        <v/>
      </c>
      <c r="AF21" s="7">
        <f>IF($E21="","",Z21-AE21)</f>
        <v/>
      </c>
      <c r="AG21" s="7">
        <f>IF($E21="","",AF21-Q21)</f>
        <v/>
      </c>
      <c r="AK21" s="7" t="n"/>
      <c r="AN21" s="14" t="n"/>
      <c r="AQ21">
        <f>IF($E21="","",IF(COUNTIF($E$2:$E21,$E21)=1,1,0))</f>
        <v/>
      </c>
      <c r="AR21">
        <f>IF($AQ21=1,SUMPRODUCT(--($AU$2:$AU$1501&lt;$AU21))+1,"")</f>
        <v/>
      </c>
      <c r="AS21">
        <f>IF($E21="","",IF(OR($U21=TRUE(),$U21="TRUE"),1,0))</f>
        <v/>
      </c>
      <c r="AT21">
        <f>IF($E21="","",IF($AC21="Yes",1,0))</f>
        <v/>
      </c>
      <c r="AU21">
        <f>IF($AQ21=1,IFERROR(IF(VALUE($E21)&lt;100000000,VALUE($E21),1000000000),IFERROR(IF(VALUE(MID($E21,2,20))&lt;100000000,VALUE(MID($E21,2,20)),1000000000),1000000000))+ROW()/100000,"")</f>
        <v/>
      </c>
    </row>
    <row r="22">
      <c r="G22" s="14" t="n"/>
      <c r="Q22" s="7">
        <f>IF($E22="","",P22*Z22/100)</f>
        <v/>
      </c>
      <c r="R22" s="7" t="n"/>
      <c r="Y22" s="7" t="n"/>
      <c r="Z22" s="7" t="n"/>
      <c r="AA22" s="7" t="n"/>
      <c r="AD22">
        <f>IF($E22="","",IF($AT22=1,Settings!$C$8,IF($AS22=1,Settings!$C$6,Settings!$C$7))*100)</f>
        <v/>
      </c>
      <c r="AE22" s="7">
        <f>IF($E22="","",Z22*AD22/100)</f>
        <v/>
      </c>
      <c r="AF22" s="7">
        <f>IF($E22="","",Z22-AE22)</f>
        <v/>
      </c>
      <c r="AG22" s="7">
        <f>IF($E22="","",AF22-Q22)</f>
        <v/>
      </c>
      <c r="AK22" s="7" t="n"/>
      <c r="AN22" s="14" t="n"/>
      <c r="AQ22">
        <f>IF($E22="","",IF(COUNTIF($E$2:$E22,$E22)=1,1,0))</f>
        <v/>
      </c>
      <c r="AR22">
        <f>IF($AQ22=1,SUMPRODUCT(--($AU$2:$AU$1501&lt;$AU22))+1,"")</f>
        <v/>
      </c>
      <c r="AS22">
        <f>IF($E22="","",IF(OR($U22=TRUE(),$U22="TRUE"),1,0))</f>
        <v/>
      </c>
      <c r="AT22">
        <f>IF($E22="","",IF($AC22="Yes",1,0))</f>
        <v/>
      </c>
      <c r="AU22">
        <f>IF($AQ22=1,IFERROR(IF(VALUE($E22)&lt;100000000,VALUE($E22),1000000000),IFERROR(IF(VALUE(MID($E22,2,20))&lt;100000000,VALUE(MID($E22,2,20)),1000000000),1000000000))+ROW()/100000,"")</f>
        <v/>
      </c>
    </row>
    <row r="23">
      <c r="G23" s="14" t="n"/>
      <c r="Q23" s="7">
        <f>IF($E23="","",P23*Z23/100)</f>
        <v/>
      </c>
      <c r="R23" s="7" t="n"/>
      <c r="Y23" s="7" t="n"/>
      <c r="Z23" s="7" t="n"/>
      <c r="AA23" s="7" t="n"/>
      <c r="AD23">
        <f>IF($E23="","",IF($AT23=1,Settings!$C$8,IF($AS23=1,Settings!$C$6,Settings!$C$7))*100)</f>
        <v/>
      </c>
      <c r="AE23" s="7">
        <f>IF($E23="","",Z23*AD23/100)</f>
        <v/>
      </c>
      <c r="AF23" s="7">
        <f>IF($E23="","",Z23-AE23)</f>
        <v/>
      </c>
      <c r="AG23" s="7">
        <f>IF($E23="","",AF23-Q23)</f>
        <v/>
      </c>
      <c r="AK23" s="7" t="n"/>
      <c r="AN23" s="14" t="n"/>
      <c r="AQ23">
        <f>IF($E23="","",IF(COUNTIF($E$2:$E23,$E23)=1,1,0))</f>
        <v/>
      </c>
      <c r="AR23">
        <f>IF($AQ23=1,SUMPRODUCT(--($AU$2:$AU$1501&lt;$AU23))+1,"")</f>
        <v/>
      </c>
      <c r="AS23">
        <f>IF($E23="","",IF(OR($U23=TRUE(),$U23="TRUE"),1,0))</f>
        <v/>
      </c>
      <c r="AT23">
        <f>IF($E23="","",IF($AC23="Yes",1,0))</f>
        <v/>
      </c>
      <c r="AU23">
        <f>IF($AQ23=1,IFERROR(IF(VALUE($E23)&lt;100000000,VALUE($E23),1000000000),IFERROR(IF(VALUE(MID($E23,2,20))&lt;100000000,VALUE(MID($E23,2,20)),1000000000),1000000000))+ROW()/100000,"")</f>
        <v/>
      </c>
    </row>
    <row r="24">
      <c r="G24" s="14" t="n"/>
      <c r="Q24" s="7">
        <f>IF($E24="","",P24*Z24/100)</f>
        <v/>
      </c>
      <c r="R24" s="7" t="n"/>
      <c r="Y24" s="7" t="n"/>
      <c r="Z24" s="7" t="n"/>
      <c r="AA24" s="7" t="n"/>
      <c r="AD24">
        <f>IF($E24="","",IF($AT24=1,Settings!$C$8,IF($AS24=1,Settings!$C$6,Settings!$C$7))*100)</f>
        <v/>
      </c>
      <c r="AE24" s="7">
        <f>IF($E24="","",Z24*AD24/100)</f>
        <v/>
      </c>
      <c r="AF24" s="7">
        <f>IF($E24="","",Z24-AE24)</f>
        <v/>
      </c>
      <c r="AG24" s="7">
        <f>IF($E24="","",AF24-Q24)</f>
        <v/>
      </c>
      <c r="AK24" s="7" t="n"/>
      <c r="AN24" s="14" t="n"/>
      <c r="AQ24">
        <f>IF($E24="","",IF(COUNTIF($E$2:$E24,$E24)=1,1,0))</f>
        <v/>
      </c>
      <c r="AR24">
        <f>IF($AQ24=1,SUMPRODUCT(--($AU$2:$AU$1501&lt;$AU24))+1,"")</f>
        <v/>
      </c>
      <c r="AS24">
        <f>IF($E24="","",IF(OR($U24=TRUE(),$U24="TRUE"),1,0))</f>
        <v/>
      </c>
      <c r="AT24">
        <f>IF($E24="","",IF($AC24="Yes",1,0))</f>
        <v/>
      </c>
      <c r="AU24">
        <f>IF($AQ24=1,IFERROR(IF(VALUE($E24)&lt;100000000,VALUE($E24),1000000000),IFERROR(IF(VALUE(MID($E24,2,20))&lt;100000000,VALUE(MID($E24,2,20)),1000000000),1000000000))+ROW()/100000,"")</f>
        <v/>
      </c>
    </row>
    <row r="25">
      <c r="G25" s="14" t="n"/>
      <c r="Q25" s="7">
        <f>IF($E25="","",P25*Z25/100)</f>
        <v/>
      </c>
      <c r="R25" s="7" t="n"/>
      <c r="Y25" s="7" t="n"/>
      <c r="Z25" s="7" t="n"/>
      <c r="AA25" s="7" t="n"/>
      <c r="AD25">
        <f>IF($E25="","",IF($AT25=1,Settings!$C$8,IF($AS25=1,Settings!$C$6,Settings!$C$7))*100)</f>
        <v/>
      </c>
      <c r="AE25" s="7">
        <f>IF($E25="","",Z25*AD25/100)</f>
        <v/>
      </c>
      <c r="AF25" s="7">
        <f>IF($E25="","",Z25-AE25)</f>
        <v/>
      </c>
      <c r="AG25" s="7">
        <f>IF($E25="","",AF25-Q25)</f>
        <v/>
      </c>
      <c r="AK25" s="7" t="n"/>
      <c r="AN25" s="14" t="n"/>
      <c r="AQ25">
        <f>IF($E25="","",IF(COUNTIF($E$2:$E25,$E25)=1,1,0))</f>
        <v/>
      </c>
      <c r="AR25">
        <f>IF($AQ25=1,SUMPRODUCT(--($AU$2:$AU$1501&lt;$AU25))+1,"")</f>
        <v/>
      </c>
      <c r="AS25">
        <f>IF($E25="","",IF(OR($U25=TRUE(),$U25="TRUE"),1,0))</f>
        <v/>
      </c>
      <c r="AT25">
        <f>IF($E25="","",IF($AC25="Yes",1,0))</f>
        <v/>
      </c>
      <c r="AU25">
        <f>IF($AQ25=1,IFERROR(IF(VALUE($E25)&lt;100000000,VALUE($E25),1000000000),IFERROR(IF(VALUE(MID($E25,2,20))&lt;100000000,VALUE(MID($E25,2,20)),1000000000),1000000000))+ROW()/100000,"")</f>
        <v/>
      </c>
    </row>
    <row r="26">
      <c r="G26" s="14" t="n"/>
      <c r="Q26" s="7">
        <f>IF($E26="","",P26*Z26/100)</f>
        <v/>
      </c>
      <c r="R26" s="7" t="n"/>
      <c r="Y26" s="7" t="n"/>
      <c r="Z26" s="7" t="n"/>
      <c r="AA26" s="7" t="n"/>
      <c r="AD26">
        <f>IF($E26="","",IF($AT26=1,Settings!$C$8,IF($AS26=1,Settings!$C$6,Settings!$C$7))*100)</f>
        <v/>
      </c>
      <c r="AE26" s="7">
        <f>IF($E26="","",Z26*AD26/100)</f>
        <v/>
      </c>
      <c r="AF26" s="7">
        <f>IF($E26="","",Z26-AE26)</f>
        <v/>
      </c>
      <c r="AG26" s="7">
        <f>IF($E26="","",AF26-Q26)</f>
        <v/>
      </c>
      <c r="AK26" s="7" t="n"/>
      <c r="AN26" s="14" t="n"/>
      <c r="AQ26">
        <f>IF($E26="","",IF(COUNTIF($E$2:$E26,$E26)=1,1,0))</f>
        <v/>
      </c>
      <c r="AR26">
        <f>IF($AQ26=1,SUMPRODUCT(--($AU$2:$AU$1501&lt;$AU26))+1,"")</f>
        <v/>
      </c>
      <c r="AS26">
        <f>IF($E26="","",IF(OR($U26=TRUE(),$U26="TRUE"),1,0))</f>
        <v/>
      </c>
      <c r="AT26">
        <f>IF($E26="","",IF($AC26="Yes",1,0))</f>
        <v/>
      </c>
      <c r="AU26">
        <f>IF($AQ26=1,IFERROR(IF(VALUE($E26)&lt;100000000,VALUE($E26),1000000000),IFERROR(IF(VALUE(MID($E26,2,20))&lt;100000000,VALUE(MID($E26,2,20)),1000000000),1000000000))+ROW()/100000,"")</f>
        <v/>
      </c>
    </row>
    <row r="27">
      <c r="G27" s="14" t="n"/>
      <c r="Q27" s="7">
        <f>IF($E27="","",P27*Z27/100)</f>
        <v/>
      </c>
      <c r="R27" s="7" t="n"/>
      <c r="Y27" s="7" t="n"/>
      <c r="Z27" s="7" t="n"/>
      <c r="AA27" s="7" t="n"/>
      <c r="AD27">
        <f>IF($E27="","",IF($AT27=1,Settings!$C$8,IF($AS27=1,Settings!$C$6,Settings!$C$7))*100)</f>
        <v/>
      </c>
      <c r="AE27" s="7">
        <f>IF($E27="","",Z27*AD27/100)</f>
        <v/>
      </c>
      <c r="AF27" s="7">
        <f>IF($E27="","",Z27-AE27)</f>
        <v/>
      </c>
      <c r="AG27" s="7">
        <f>IF($E27="","",AF27-Q27)</f>
        <v/>
      </c>
      <c r="AK27" s="7" t="n"/>
      <c r="AN27" s="14" t="n"/>
      <c r="AQ27">
        <f>IF($E27="","",IF(COUNTIF($E$2:$E27,$E27)=1,1,0))</f>
        <v/>
      </c>
      <c r="AR27">
        <f>IF($AQ27=1,SUMPRODUCT(--($AU$2:$AU$1501&lt;$AU27))+1,"")</f>
        <v/>
      </c>
      <c r="AS27">
        <f>IF($E27="","",IF(OR($U27=TRUE(),$U27="TRUE"),1,0))</f>
        <v/>
      </c>
      <c r="AT27">
        <f>IF($E27="","",IF($AC27="Yes",1,0))</f>
        <v/>
      </c>
      <c r="AU27">
        <f>IF($AQ27=1,IFERROR(IF(VALUE($E27)&lt;100000000,VALUE($E27),1000000000),IFERROR(IF(VALUE(MID($E27,2,20))&lt;100000000,VALUE(MID($E27,2,20)),1000000000),1000000000))+ROW()/100000,"")</f>
        <v/>
      </c>
    </row>
    <row r="28">
      <c r="G28" s="14" t="n"/>
      <c r="Q28" s="7">
        <f>IF($E28="","",P28*Z28/100)</f>
        <v/>
      </c>
      <c r="R28" s="7" t="n"/>
      <c r="Y28" s="7" t="n"/>
      <c r="Z28" s="7" t="n"/>
      <c r="AA28" s="7" t="n"/>
      <c r="AD28">
        <f>IF($E28="","",IF($AT28=1,Settings!$C$8,IF($AS28=1,Settings!$C$6,Settings!$C$7))*100)</f>
        <v/>
      </c>
      <c r="AE28" s="7">
        <f>IF($E28="","",Z28*AD28/100)</f>
        <v/>
      </c>
      <c r="AF28" s="7">
        <f>IF($E28="","",Z28-AE28)</f>
        <v/>
      </c>
      <c r="AG28" s="7">
        <f>IF($E28="","",AF28-Q28)</f>
        <v/>
      </c>
      <c r="AK28" s="7" t="n"/>
      <c r="AN28" s="14" t="n"/>
      <c r="AQ28">
        <f>IF($E28="","",IF(COUNTIF($E$2:$E28,$E28)=1,1,0))</f>
        <v/>
      </c>
      <c r="AR28">
        <f>IF($AQ28=1,SUMPRODUCT(--($AU$2:$AU$1501&lt;$AU28))+1,"")</f>
        <v/>
      </c>
      <c r="AS28">
        <f>IF($E28="","",IF(OR($U28=TRUE(),$U28="TRUE"),1,0))</f>
        <v/>
      </c>
      <c r="AT28">
        <f>IF($E28="","",IF($AC28="Yes",1,0))</f>
        <v/>
      </c>
      <c r="AU28">
        <f>IF($AQ28=1,IFERROR(IF(VALUE($E28)&lt;100000000,VALUE($E28),1000000000),IFERROR(IF(VALUE(MID($E28,2,20))&lt;100000000,VALUE(MID($E28,2,20)),1000000000),1000000000))+ROW()/100000,"")</f>
        <v/>
      </c>
    </row>
    <row r="29">
      <c r="G29" s="14" t="n"/>
      <c r="Q29" s="7">
        <f>IF($E29="","",P29*Z29/100)</f>
        <v/>
      </c>
      <c r="R29" s="7" t="n"/>
      <c r="Y29" s="7" t="n"/>
      <c r="Z29" s="7" t="n"/>
      <c r="AA29" s="7" t="n"/>
      <c r="AD29">
        <f>IF($E29="","",IF($AT29=1,Settings!$C$8,IF($AS29=1,Settings!$C$6,Settings!$C$7))*100)</f>
        <v/>
      </c>
      <c r="AE29" s="7">
        <f>IF($E29="","",Z29*AD29/100)</f>
        <v/>
      </c>
      <c r="AF29" s="7">
        <f>IF($E29="","",Z29-AE29)</f>
        <v/>
      </c>
      <c r="AG29" s="7">
        <f>IF($E29="","",AF29-Q29)</f>
        <v/>
      </c>
      <c r="AK29" s="7" t="n"/>
      <c r="AN29" s="14" t="n"/>
      <c r="AQ29">
        <f>IF($E29="","",IF(COUNTIF($E$2:$E29,$E29)=1,1,0))</f>
        <v/>
      </c>
      <c r="AR29">
        <f>IF($AQ29=1,SUMPRODUCT(--($AU$2:$AU$1501&lt;$AU29))+1,"")</f>
        <v/>
      </c>
      <c r="AS29">
        <f>IF($E29="","",IF(OR($U29=TRUE(),$U29="TRUE"),1,0))</f>
        <v/>
      </c>
      <c r="AT29">
        <f>IF($E29="","",IF($AC29="Yes",1,0))</f>
        <v/>
      </c>
      <c r="AU29">
        <f>IF($AQ29=1,IFERROR(IF(VALUE($E29)&lt;100000000,VALUE($E29),1000000000),IFERROR(IF(VALUE(MID($E29,2,20))&lt;100000000,VALUE(MID($E29,2,20)),1000000000),1000000000))+ROW()/100000,"")</f>
        <v/>
      </c>
    </row>
    <row r="30">
      <c r="G30" s="14" t="n"/>
      <c r="Q30" s="7">
        <f>IF($E30="","",P30*Z30/100)</f>
        <v/>
      </c>
      <c r="R30" s="7" t="n"/>
      <c r="Y30" s="7" t="n"/>
      <c r="Z30" s="7" t="n"/>
      <c r="AA30" s="7" t="n"/>
      <c r="AD30">
        <f>IF($E30="","",IF($AT30=1,Settings!$C$8,IF($AS30=1,Settings!$C$6,Settings!$C$7))*100)</f>
        <v/>
      </c>
      <c r="AE30" s="7">
        <f>IF($E30="","",Z30*AD30/100)</f>
        <v/>
      </c>
      <c r="AF30" s="7">
        <f>IF($E30="","",Z30-AE30)</f>
        <v/>
      </c>
      <c r="AG30" s="7">
        <f>IF($E30="","",AF30-Q30)</f>
        <v/>
      </c>
      <c r="AK30" s="7" t="n"/>
      <c r="AN30" s="14" t="n"/>
      <c r="AQ30">
        <f>IF($E30="","",IF(COUNTIF($E$2:$E30,$E30)=1,1,0))</f>
        <v/>
      </c>
      <c r="AR30">
        <f>IF($AQ30=1,SUMPRODUCT(--($AU$2:$AU$1501&lt;$AU30))+1,"")</f>
        <v/>
      </c>
      <c r="AS30">
        <f>IF($E30="","",IF(OR($U30=TRUE(),$U30="TRUE"),1,0))</f>
        <v/>
      </c>
      <c r="AT30">
        <f>IF($E30="","",IF($AC30="Yes",1,0))</f>
        <v/>
      </c>
      <c r="AU30">
        <f>IF($AQ30=1,IFERROR(IF(VALUE($E30)&lt;100000000,VALUE($E30),1000000000),IFERROR(IF(VALUE(MID($E30,2,20))&lt;100000000,VALUE(MID($E30,2,20)),1000000000),1000000000))+ROW()/100000,"")</f>
        <v/>
      </c>
    </row>
    <row r="31">
      <c r="G31" s="14" t="n"/>
      <c r="Q31" s="7">
        <f>IF($E31="","",P31*Z31/100)</f>
        <v/>
      </c>
      <c r="R31" s="7" t="n"/>
      <c r="Y31" s="7" t="n"/>
      <c r="Z31" s="7" t="n"/>
      <c r="AA31" s="7" t="n"/>
      <c r="AD31">
        <f>IF($E31="","",IF($AT31=1,Settings!$C$8,IF($AS31=1,Settings!$C$6,Settings!$C$7))*100)</f>
        <v/>
      </c>
      <c r="AE31" s="7">
        <f>IF($E31="","",Z31*AD31/100)</f>
        <v/>
      </c>
      <c r="AF31" s="7">
        <f>IF($E31="","",Z31-AE31)</f>
        <v/>
      </c>
      <c r="AG31" s="7">
        <f>IF($E31="","",AF31-Q31)</f>
        <v/>
      </c>
      <c r="AK31" s="7" t="n"/>
      <c r="AN31" s="14" t="n"/>
      <c r="AQ31">
        <f>IF($E31="","",IF(COUNTIF($E$2:$E31,$E31)=1,1,0))</f>
        <v/>
      </c>
      <c r="AR31">
        <f>IF($AQ31=1,SUMPRODUCT(--($AU$2:$AU$1501&lt;$AU31))+1,"")</f>
        <v/>
      </c>
      <c r="AS31">
        <f>IF($E31="","",IF(OR($U31=TRUE(),$U31="TRUE"),1,0))</f>
        <v/>
      </c>
      <c r="AT31">
        <f>IF($E31="","",IF($AC31="Yes",1,0))</f>
        <v/>
      </c>
      <c r="AU31">
        <f>IF($AQ31=1,IFERROR(IF(VALUE($E31)&lt;100000000,VALUE($E31),1000000000),IFERROR(IF(VALUE(MID($E31,2,20))&lt;100000000,VALUE(MID($E31,2,20)),1000000000),1000000000))+ROW()/100000,"")</f>
        <v/>
      </c>
    </row>
    <row r="32">
      <c r="G32" s="14" t="n"/>
      <c r="Q32" s="7">
        <f>IF($E32="","",P32*Z32/100)</f>
        <v/>
      </c>
      <c r="R32" s="7" t="n"/>
      <c r="Y32" s="7" t="n"/>
      <c r="Z32" s="7" t="n"/>
      <c r="AA32" s="7" t="n"/>
      <c r="AD32">
        <f>IF($E32="","",IF($AT32=1,Settings!$C$8,IF($AS32=1,Settings!$C$6,Settings!$C$7))*100)</f>
        <v/>
      </c>
      <c r="AE32" s="7">
        <f>IF($E32="","",Z32*AD32/100)</f>
        <v/>
      </c>
      <c r="AF32" s="7">
        <f>IF($E32="","",Z32-AE32)</f>
        <v/>
      </c>
      <c r="AG32" s="7">
        <f>IF($E32="","",AF32-Q32)</f>
        <v/>
      </c>
      <c r="AK32" s="7" t="n"/>
      <c r="AN32" s="14" t="n"/>
      <c r="AQ32">
        <f>IF($E32="","",IF(COUNTIF($E$2:$E32,$E32)=1,1,0))</f>
        <v/>
      </c>
      <c r="AR32">
        <f>IF($AQ32=1,SUMPRODUCT(--($AU$2:$AU$1501&lt;$AU32))+1,"")</f>
        <v/>
      </c>
      <c r="AS32">
        <f>IF($E32="","",IF(OR($U32=TRUE(),$U32="TRUE"),1,0))</f>
        <v/>
      </c>
      <c r="AT32">
        <f>IF($E32="","",IF($AC32="Yes",1,0))</f>
        <v/>
      </c>
      <c r="AU32">
        <f>IF($AQ32=1,IFERROR(IF(VALUE($E32)&lt;100000000,VALUE($E32),1000000000),IFERROR(IF(VALUE(MID($E32,2,20))&lt;100000000,VALUE(MID($E32,2,20)),1000000000),1000000000))+ROW()/100000,"")</f>
        <v/>
      </c>
    </row>
    <row r="33">
      <c r="G33" s="14" t="n"/>
      <c r="Q33" s="7">
        <f>IF($E33="","",P33*Z33/100)</f>
        <v/>
      </c>
      <c r="R33" s="7" t="n"/>
      <c r="Y33" s="7" t="n"/>
      <c r="Z33" s="7" t="n"/>
      <c r="AA33" s="7" t="n"/>
      <c r="AD33">
        <f>IF($E33="","",IF($AT33=1,Settings!$C$8,IF($AS33=1,Settings!$C$6,Settings!$C$7))*100)</f>
        <v/>
      </c>
      <c r="AE33" s="7">
        <f>IF($E33="","",Z33*AD33/100)</f>
        <v/>
      </c>
      <c r="AF33" s="7">
        <f>IF($E33="","",Z33-AE33)</f>
        <v/>
      </c>
      <c r="AG33" s="7">
        <f>IF($E33="","",AF33-Q33)</f>
        <v/>
      </c>
      <c r="AK33" s="7" t="n"/>
      <c r="AN33" s="14" t="n"/>
      <c r="AQ33">
        <f>IF($E33="","",IF(COUNTIF($E$2:$E33,$E33)=1,1,0))</f>
        <v/>
      </c>
      <c r="AR33">
        <f>IF($AQ33=1,SUMPRODUCT(--($AU$2:$AU$1501&lt;$AU33))+1,"")</f>
        <v/>
      </c>
      <c r="AS33">
        <f>IF($E33="","",IF(OR($U33=TRUE(),$U33="TRUE"),1,0))</f>
        <v/>
      </c>
      <c r="AT33">
        <f>IF($E33="","",IF($AC33="Yes",1,0))</f>
        <v/>
      </c>
      <c r="AU33">
        <f>IF($AQ33=1,IFERROR(IF(VALUE($E33)&lt;100000000,VALUE($E33),1000000000),IFERROR(IF(VALUE(MID($E33,2,20))&lt;100000000,VALUE(MID($E33,2,20)),1000000000),1000000000))+ROW()/100000,"")</f>
        <v/>
      </c>
    </row>
    <row r="34">
      <c r="G34" s="14" t="n"/>
      <c r="Q34" s="7">
        <f>IF($E34="","",P34*Z34/100)</f>
        <v/>
      </c>
      <c r="R34" s="7" t="n"/>
      <c r="Y34" s="7" t="n"/>
      <c r="Z34" s="7" t="n"/>
      <c r="AA34" s="7" t="n"/>
      <c r="AD34">
        <f>IF($E34="","",IF($AT34=1,Settings!$C$8,IF($AS34=1,Settings!$C$6,Settings!$C$7))*100)</f>
        <v/>
      </c>
      <c r="AE34" s="7">
        <f>IF($E34="","",Z34*AD34/100)</f>
        <v/>
      </c>
      <c r="AF34" s="7">
        <f>IF($E34="","",Z34-AE34)</f>
        <v/>
      </c>
      <c r="AG34" s="7">
        <f>IF($E34="","",AF34-Q34)</f>
        <v/>
      </c>
      <c r="AK34" s="7" t="n"/>
      <c r="AN34" s="14" t="n"/>
      <c r="AQ34">
        <f>IF($E34="","",IF(COUNTIF($E$2:$E34,$E34)=1,1,0))</f>
        <v/>
      </c>
      <c r="AR34">
        <f>IF($AQ34=1,SUMPRODUCT(--($AU$2:$AU$1501&lt;$AU34))+1,"")</f>
        <v/>
      </c>
      <c r="AS34">
        <f>IF($E34="","",IF(OR($U34=TRUE(),$U34="TRUE"),1,0))</f>
        <v/>
      </c>
      <c r="AT34">
        <f>IF($E34="","",IF($AC34="Yes",1,0))</f>
        <v/>
      </c>
      <c r="AU34">
        <f>IF($AQ34=1,IFERROR(IF(VALUE($E34)&lt;100000000,VALUE($E34),1000000000),IFERROR(IF(VALUE(MID($E34,2,20))&lt;100000000,VALUE(MID($E34,2,20)),1000000000),1000000000))+ROW()/100000,"")</f>
        <v/>
      </c>
    </row>
    <row r="35">
      <c r="G35" s="14" t="n"/>
      <c r="Q35" s="7">
        <f>IF($E35="","",P35*Z35/100)</f>
        <v/>
      </c>
      <c r="R35" s="7" t="n"/>
      <c r="Y35" s="7" t="n"/>
      <c r="Z35" s="7" t="n"/>
      <c r="AA35" s="7" t="n"/>
      <c r="AD35">
        <f>IF($E35="","",IF($AT35=1,Settings!$C$8,IF($AS35=1,Settings!$C$6,Settings!$C$7))*100)</f>
        <v/>
      </c>
      <c r="AE35" s="7">
        <f>IF($E35="","",Z35*AD35/100)</f>
        <v/>
      </c>
      <c r="AF35" s="7">
        <f>IF($E35="","",Z35-AE35)</f>
        <v/>
      </c>
      <c r="AG35" s="7">
        <f>IF($E35="","",AF35-Q35)</f>
        <v/>
      </c>
      <c r="AK35" s="7" t="n"/>
      <c r="AN35" s="14" t="n"/>
      <c r="AQ35">
        <f>IF($E35="","",IF(COUNTIF($E$2:$E35,$E35)=1,1,0))</f>
        <v/>
      </c>
      <c r="AR35">
        <f>IF($AQ35=1,SUMPRODUCT(--($AU$2:$AU$1501&lt;$AU35))+1,"")</f>
        <v/>
      </c>
      <c r="AS35">
        <f>IF($E35="","",IF(OR($U35=TRUE(),$U35="TRUE"),1,0))</f>
        <v/>
      </c>
      <c r="AT35">
        <f>IF($E35="","",IF($AC35="Yes",1,0))</f>
        <v/>
      </c>
      <c r="AU35">
        <f>IF($AQ35=1,IFERROR(IF(VALUE($E35)&lt;100000000,VALUE($E35),1000000000),IFERROR(IF(VALUE(MID($E35,2,20))&lt;100000000,VALUE(MID($E35,2,20)),1000000000),1000000000))+ROW()/100000,"")</f>
        <v/>
      </c>
    </row>
    <row r="36">
      <c r="G36" s="14" t="n"/>
      <c r="Q36" s="7">
        <f>IF($E36="","",P36*Z36/100)</f>
        <v/>
      </c>
      <c r="R36" s="7" t="n"/>
      <c r="Y36" s="7" t="n"/>
      <c r="Z36" s="7" t="n"/>
      <c r="AA36" s="7" t="n"/>
      <c r="AD36">
        <f>IF($E36="","",IF($AT36=1,Settings!$C$8,IF($AS36=1,Settings!$C$6,Settings!$C$7))*100)</f>
        <v/>
      </c>
      <c r="AE36" s="7">
        <f>IF($E36="","",Z36*AD36/100)</f>
        <v/>
      </c>
      <c r="AF36" s="7">
        <f>IF($E36="","",Z36-AE36)</f>
        <v/>
      </c>
      <c r="AG36" s="7">
        <f>IF($E36="","",AF36-Q36)</f>
        <v/>
      </c>
      <c r="AK36" s="7" t="n"/>
      <c r="AN36" s="14" t="n"/>
      <c r="AQ36">
        <f>IF($E36="","",IF(COUNTIF($E$2:$E36,$E36)=1,1,0))</f>
        <v/>
      </c>
      <c r="AR36">
        <f>IF($AQ36=1,SUMPRODUCT(--($AU$2:$AU$1501&lt;$AU36))+1,"")</f>
        <v/>
      </c>
      <c r="AS36">
        <f>IF($E36="","",IF(OR($U36=TRUE(),$U36="TRUE"),1,0))</f>
        <v/>
      </c>
      <c r="AT36">
        <f>IF($E36="","",IF($AC36="Yes",1,0))</f>
        <v/>
      </c>
      <c r="AU36">
        <f>IF($AQ36=1,IFERROR(IF(VALUE($E36)&lt;100000000,VALUE($E36),1000000000),IFERROR(IF(VALUE(MID($E36,2,20))&lt;100000000,VALUE(MID($E36,2,20)),1000000000),1000000000))+ROW()/100000,"")</f>
        <v/>
      </c>
    </row>
    <row r="37">
      <c r="G37" s="14" t="n"/>
      <c r="Q37" s="7">
        <f>IF($E37="","",P37*Z37/100)</f>
        <v/>
      </c>
      <c r="R37" s="7" t="n"/>
      <c r="Y37" s="7" t="n"/>
      <c r="Z37" s="7" t="n"/>
      <c r="AA37" s="7" t="n"/>
      <c r="AD37">
        <f>IF($E37="","",IF($AT37=1,Settings!$C$8,IF($AS37=1,Settings!$C$6,Settings!$C$7))*100)</f>
        <v/>
      </c>
      <c r="AE37" s="7">
        <f>IF($E37="","",Z37*AD37/100)</f>
        <v/>
      </c>
      <c r="AF37" s="7">
        <f>IF($E37="","",Z37-AE37)</f>
        <v/>
      </c>
      <c r="AG37" s="7">
        <f>IF($E37="","",AF37-Q37)</f>
        <v/>
      </c>
      <c r="AK37" s="7" t="n"/>
      <c r="AN37" s="14" t="n"/>
      <c r="AQ37">
        <f>IF($E37="","",IF(COUNTIF($E$2:$E37,$E37)=1,1,0))</f>
        <v/>
      </c>
      <c r="AR37">
        <f>IF($AQ37=1,SUMPRODUCT(--($AU$2:$AU$1501&lt;$AU37))+1,"")</f>
        <v/>
      </c>
      <c r="AS37">
        <f>IF($E37="","",IF(OR($U37=TRUE(),$U37="TRUE"),1,0))</f>
        <v/>
      </c>
      <c r="AT37">
        <f>IF($E37="","",IF($AC37="Yes",1,0))</f>
        <v/>
      </c>
      <c r="AU37">
        <f>IF($AQ37=1,IFERROR(IF(VALUE($E37)&lt;100000000,VALUE($E37),1000000000),IFERROR(IF(VALUE(MID($E37,2,20))&lt;100000000,VALUE(MID($E37,2,20)),1000000000),1000000000))+ROW()/100000,"")</f>
        <v/>
      </c>
    </row>
    <row r="38">
      <c r="G38" s="14" t="n"/>
      <c r="Q38" s="7">
        <f>IF($E38="","",P38*Z38/100)</f>
        <v/>
      </c>
      <c r="R38" s="7" t="n"/>
      <c r="Y38" s="7" t="n"/>
      <c r="Z38" s="7" t="n"/>
      <c r="AA38" s="7" t="n"/>
      <c r="AD38">
        <f>IF($E38="","",IF($AT38=1,Settings!$C$8,IF($AS38=1,Settings!$C$6,Settings!$C$7))*100)</f>
        <v/>
      </c>
      <c r="AE38" s="7">
        <f>IF($E38="","",Z38*AD38/100)</f>
        <v/>
      </c>
      <c r="AF38" s="7">
        <f>IF($E38="","",Z38-AE38)</f>
        <v/>
      </c>
      <c r="AG38" s="7">
        <f>IF($E38="","",AF38-Q38)</f>
        <v/>
      </c>
      <c r="AK38" s="7" t="n"/>
      <c r="AN38" s="14" t="n"/>
      <c r="AQ38">
        <f>IF($E38="","",IF(COUNTIF($E$2:$E38,$E38)=1,1,0))</f>
        <v/>
      </c>
      <c r="AR38">
        <f>IF($AQ38=1,SUMPRODUCT(--($AU$2:$AU$1501&lt;$AU38))+1,"")</f>
        <v/>
      </c>
      <c r="AS38">
        <f>IF($E38="","",IF(OR($U38=TRUE(),$U38="TRUE"),1,0))</f>
        <v/>
      </c>
      <c r="AT38">
        <f>IF($E38="","",IF($AC38="Yes",1,0))</f>
        <v/>
      </c>
      <c r="AU38">
        <f>IF($AQ38=1,IFERROR(IF(VALUE($E38)&lt;100000000,VALUE($E38),1000000000),IFERROR(IF(VALUE(MID($E38,2,20))&lt;100000000,VALUE(MID($E38,2,20)),1000000000),1000000000))+ROW()/100000,"")</f>
        <v/>
      </c>
    </row>
    <row r="39">
      <c r="G39" s="14" t="n"/>
      <c r="Q39" s="7">
        <f>IF($E39="","",P39*Z39/100)</f>
        <v/>
      </c>
      <c r="R39" s="7" t="n"/>
      <c r="Y39" s="7" t="n"/>
      <c r="Z39" s="7" t="n"/>
      <c r="AA39" s="7" t="n"/>
      <c r="AD39">
        <f>IF($E39="","",IF($AT39=1,Settings!$C$8,IF($AS39=1,Settings!$C$6,Settings!$C$7))*100)</f>
        <v/>
      </c>
      <c r="AE39" s="7">
        <f>IF($E39="","",Z39*AD39/100)</f>
        <v/>
      </c>
      <c r="AF39" s="7">
        <f>IF($E39="","",Z39-AE39)</f>
        <v/>
      </c>
      <c r="AG39" s="7">
        <f>IF($E39="","",AF39-Q39)</f>
        <v/>
      </c>
      <c r="AK39" s="7" t="n"/>
      <c r="AN39" s="14" t="n"/>
      <c r="AQ39">
        <f>IF($E39="","",IF(COUNTIF($E$2:$E39,$E39)=1,1,0))</f>
        <v/>
      </c>
      <c r="AR39">
        <f>IF($AQ39=1,SUMPRODUCT(--($AU$2:$AU$1501&lt;$AU39))+1,"")</f>
        <v/>
      </c>
      <c r="AS39">
        <f>IF($E39="","",IF(OR($U39=TRUE(),$U39="TRUE"),1,0))</f>
        <v/>
      </c>
      <c r="AT39">
        <f>IF($E39="","",IF($AC39="Yes",1,0))</f>
        <v/>
      </c>
      <c r="AU39">
        <f>IF($AQ39=1,IFERROR(IF(VALUE($E39)&lt;100000000,VALUE($E39),1000000000),IFERROR(IF(VALUE(MID($E39,2,20))&lt;100000000,VALUE(MID($E39,2,20)),1000000000),1000000000))+ROW()/100000,"")</f>
        <v/>
      </c>
    </row>
    <row r="40">
      <c r="G40" s="14" t="n"/>
      <c r="Q40" s="7">
        <f>IF($E40="","",P40*Z40/100)</f>
        <v/>
      </c>
      <c r="R40" s="7" t="n"/>
      <c r="Y40" s="7" t="n"/>
      <c r="Z40" s="7" t="n"/>
      <c r="AA40" s="7" t="n"/>
      <c r="AD40">
        <f>IF($E40="","",IF($AT40=1,Settings!$C$8,IF($AS40=1,Settings!$C$6,Settings!$C$7))*100)</f>
        <v/>
      </c>
      <c r="AE40" s="7">
        <f>IF($E40="","",Z40*AD40/100)</f>
        <v/>
      </c>
      <c r="AF40" s="7">
        <f>IF($E40="","",Z40-AE40)</f>
        <v/>
      </c>
      <c r="AG40" s="7">
        <f>IF($E40="","",AF40-Q40)</f>
        <v/>
      </c>
      <c r="AK40" s="7" t="n"/>
      <c r="AN40" s="14" t="n"/>
      <c r="AQ40">
        <f>IF($E40="","",IF(COUNTIF($E$2:$E40,$E40)=1,1,0))</f>
        <v/>
      </c>
      <c r="AR40">
        <f>IF($AQ40=1,SUMPRODUCT(--($AU$2:$AU$1501&lt;$AU40))+1,"")</f>
        <v/>
      </c>
      <c r="AS40">
        <f>IF($E40="","",IF(OR($U40=TRUE(),$U40="TRUE"),1,0))</f>
        <v/>
      </c>
      <c r="AT40">
        <f>IF($E40="","",IF($AC40="Yes",1,0))</f>
        <v/>
      </c>
      <c r="AU40">
        <f>IF($AQ40=1,IFERROR(IF(VALUE($E40)&lt;100000000,VALUE($E40),1000000000),IFERROR(IF(VALUE(MID($E40,2,20))&lt;100000000,VALUE(MID($E40,2,20)),1000000000),1000000000))+ROW()/100000,"")</f>
        <v/>
      </c>
    </row>
    <row r="41">
      <c r="G41" s="14" t="n"/>
      <c r="Q41" s="7">
        <f>IF($E41="","",P41*Z41/100)</f>
        <v/>
      </c>
      <c r="R41" s="7" t="n"/>
      <c r="Y41" s="7" t="n"/>
      <c r="Z41" s="7" t="n"/>
      <c r="AA41" s="7" t="n"/>
      <c r="AD41">
        <f>IF($E41="","",IF($AT41=1,Settings!$C$8,IF($AS41=1,Settings!$C$6,Settings!$C$7))*100)</f>
        <v/>
      </c>
      <c r="AE41" s="7">
        <f>IF($E41="","",Z41*AD41/100)</f>
        <v/>
      </c>
      <c r="AF41" s="7">
        <f>IF($E41="","",Z41-AE41)</f>
        <v/>
      </c>
      <c r="AG41" s="7">
        <f>IF($E41="","",AF41-Q41)</f>
        <v/>
      </c>
      <c r="AK41" s="7" t="n"/>
      <c r="AN41" s="14" t="n"/>
      <c r="AQ41">
        <f>IF($E41="","",IF(COUNTIF($E$2:$E41,$E41)=1,1,0))</f>
        <v/>
      </c>
      <c r="AR41">
        <f>IF($AQ41=1,SUMPRODUCT(--($AU$2:$AU$1501&lt;$AU41))+1,"")</f>
        <v/>
      </c>
      <c r="AS41">
        <f>IF($E41="","",IF(OR($U41=TRUE(),$U41="TRUE"),1,0))</f>
        <v/>
      </c>
      <c r="AT41">
        <f>IF($E41="","",IF($AC41="Yes",1,0))</f>
        <v/>
      </c>
      <c r="AU41">
        <f>IF($AQ41=1,IFERROR(IF(VALUE($E41)&lt;100000000,VALUE($E41),1000000000),IFERROR(IF(VALUE(MID($E41,2,20))&lt;100000000,VALUE(MID($E41,2,20)),1000000000),1000000000))+ROW()/100000,"")</f>
        <v/>
      </c>
    </row>
    <row r="42">
      <c r="G42" s="14" t="n"/>
      <c r="Q42" s="7">
        <f>IF($E42="","",P42*Z42/100)</f>
        <v/>
      </c>
      <c r="R42" s="7" t="n"/>
      <c r="Y42" s="7" t="n"/>
      <c r="Z42" s="7" t="n"/>
      <c r="AA42" s="7" t="n"/>
      <c r="AD42">
        <f>IF($E42="","",IF($AT42=1,Settings!$C$8,IF($AS42=1,Settings!$C$6,Settings!$C$7))*100)</f>
        <v/>
      </c>
      <c r="AE42" s="7">
        <f>IF($E42="","",Z42*AD42/100)</f>
        <v/>
      </c>
      <c r="AF42" s="7">
        <f>IF($E42="","",Z42-AE42)</f>
        <v/>
      </c>
      <c r="AG42" s="7">
        <f>IF($E42="","",AF42-Q42)</f>
        <v/>
      </c>
      <c r="AK42" s="7" t="n"/>
      <c r="AN42" s="14" t="n"/>
      <c r="AQ42">
        <f>IF($E42="","",IF(COUNTIF($E$2:$E42,$E42)=1,1,0))</f>
        <v/>
      </c>
      <c r="AR42">
        <f>IF($AQ42=1,SUMPRODUCT(--($AU$2:$AU$1501&lt;$AU42))+1,"")</f>
        <v/>
      </c>
      <c r="AS42">
        <f>IF($E42="","",IF(OR($U42=TRUE(),$U42="TRUE"),1,0))</f>
        <v/>
      </c>
      <c r="AT42">
        <f>IF($E42="","",IF($AC42="Yes",1,0))</f>
        <v/>
      </c>
      <c r="AU42">
        <f>IF($AQ42=1,IFERROR(IF(VALUE($E42)&lt;100000000,VALUE($E42),1000000000),IFERROR(IF(VALUE(MID($E42,2,20))&lt;100000000,VALUE(MID($E42,2,20)),1000000000),1000000000))+ROW()/100000,"")</f>
        <v/>
      </c>
    </row>
    <row r="43">
      <c r="G43" s="14" t="n"/>
      <c r="Q43" s="7">
        <f>IF($E43="","",P43*Z43/100)</f>
        <v/>
      </c>
      <c r="R43" s="7" t="n"/>
      <c r="Y43" s="7" t="n"/>
      <c r="Z43" s="7" t="n"/>
      <c r="AA43" s="7" t="n"/>
      <c r="AD43">
        <f>IF($E43="","",IF($AT43=1,Settings!$C$8,IF($AS43=1,Settings!$C$6,Settings!$C$7))*100)</f>
        <v/>
      </c>
      <c r="AE43" s="7">
        <f>IF($E43="","",Z43*AD43/100)</f>
        <v/>
      </c>
      <c r="AF43" s="7">
        <f>IF($E43="","",Z43-AE43)</f>
        <v/>
      </c>
      <c r="AG43" s="7">
        <f>IF($E43="","",AF43-Q43)</f>
        <v/>
      </c>
      <c r="AK43" s="7" t="n"/>
      <c r="AN43" s="14" t="n"/>
      <c r="AQ43">
        <f>IF($E43="","",IF(COUNTIF($E$2:$E43,$E43)=1,1,0))</f>
        <v/>
      </c>
      <c r="AR43">
        <f>IF($AQ43=1,SUMPRODUCT(--($AU$2:$AU$1501&lt;$AU43))+1,"")</f>
        <v/>
      </c>
      <c r="AS43">
        <f>IF($E43="","",IF(OR($U43=TRUE(),$U43="TRUE"),1,0))</f>
        <v/>
      </c>
      <c r="AT43">
        <f>IF($E43="","",IF($AC43="Yes",1,0))</f>
        <v/>
      </c>
      <c r="AU43">
        <f>IF($AQ43=1,IFERROR(IF(VALUE($E43)&lt;100000000,VALUE($E43),1000000000),IFERROR(IF(VALUE(MID($E43,2,20))&lt;100000000,VALUE(MID($E43,2,20)),1000000000),1000000000))+ROW()/100000,"")</f>
        <v/>
      </c>
    </row>
    <row r="44">
      <c r="G44" s="14" t="n"/>
      <c r="Q44" s="7">
        <f>IF($E44="","",P44*Z44/100)</f>
        <v/>
      </c>
      <c r="R44" s="7" t="n"/>
      <c r="Y44" s="7" t="n"/>
      <c r="Z44" s="7" t="n"/>
      <c r="AA44" s="7" t="n"/>
      <c r="AD44">
        <f>IF($E44="","",IF($AT44=1,Settings!$C$8,IF($AS44=1,Settings!$C$6,Settings!$C$7))*100)</f>
        <v/>
      </c>
      <c r="AE44" s="7">
        <f>IF($E44="","",Z44*AD44/100)</f>
        <v/>
      </c>
      <c r="AF44" s="7">
        <f>IF($E44="","",Z44-AE44)</f>
        <v/>
      </c>
      <c r="AG44" s="7">
        <f>IF($E44="","",AF44-Q44)</f>
        <v/>
      </c>
      <c r="AK44" s="7" t="n"/>
      <c r="AN44" s="14" t="n"/>
      <c r="AQ44">
        <f>IF($E44="","",IF(COUNTIF($E$2:$E44,$E44)=1,1,0))</f>
        <v/>
      </c>
      <c r="AR44">
        <f>IF($AQ44=1,SUMPRODUCT(--($AU$2:$AU$1501&lt;$AU44))+1,"")</f>
        <v/>
      </c>
      <c r="AS44">
        <f>IF($E44="","",IF(OR($U44=TRUE(),$U44="TRUE"),1,0))</f>
        <v/>
      </c>
      <c r="AT44">
        <f>IF($E44="","",IF($AC44="Yes",1,0))</f>
        <v/>
      </c>
      <c r="AU44">
        <f>IF($AQ44=1,IFERROR(IF(VALUE($E44)&lt;100000000,VALUE($E44),1000000000),IFERROR(IF(VALUE(MID($E44,2,20))&lt;100000000,VALUE(MID($E44,2,20)),1000000000),1000000000))+ROW()/100000,"")</f>
        <v/>
      </c>
    </row>
    <row r="45">
      <c r="G45" s="14" t="n"/>
      <c r="Q45" s="7">
        <f>IF($E45="","",P45*Z45/100)</f>
        <v/>
      </c>
      <c r="R45" s="7" t="n"/>
      <c r="Y45" s="7" t="n"/>
      <c r="Z45" s="7" t="n"/>
      <c r="AA45" s="7" t="n"/>
      <c r="AD45">
        <f>IF($E45="","",IF($AT45=1,Settings!$C$8,IF($AS45=1,Settings!$C$6,Settings!$C$7))*100)</f>
        <v/>
      </c>
      <c r="AE45" s="7">
        <f>IF($E45="","",Z45*AD45/100)</f>
        <v/>
      </c>
      <c r="AF45" s="7">
        <f>IF($E45="","",Z45-AE45)</f>
        <v/>
      </c>
      <c r="AG45" s="7">
        <f>IF($E45="","",AF45-Q45)</f>
        <v/>
      </c>
      <c r="AK45" s="7" t="n"/>
      <c r="AN45" s="14" t="n"/>
      <c r="AQ45">
        <f>IF($E45="","",IF(COUNTIF($E$2:$E45,$E45)=1,1,0))</f>
        <v/>
      </c>
      <c r="AR45">
        <f>IF($AQ45=1,SUMPRODUCT(--($AU$2:$AU$1501&lt;$AU45))+1,"")</f>
        <v/>
      </c>
      <c r="AS45">
        <f>IF($E45="","",IF(OR($U45=TRUE(),$U45="TRUE"),1,0))</f>
        <v/>
      </c>
      <c r="AT45">
        <f>IF($E45="","",IF($AC45="Yes",1,0))</f>
        <v/>
      </c>
      <c r="AU45">
        <f>IF($AQ45=1,IFERROR(IF(VALUE($E45)&lt;100000000,VALUE($E45),1000000000),IFERROR(IF(VALUE(MID($E45,2,20))&lt;100000000,VALUE(MID($E45,2,20)),1000000000),1000000000))+ROW()/100000,"")</f>
        <v/>
      </c>
    </row>
    <row r="46">
      <c r="G46" s="14" t="n"/>
      <c r="Q46" s="7">
        <f>IF($E46="","",P46*Z46/100)</f>
        <v/>
      </c>
      <c r="R46" s="7" t="n"/>
      <c r="Y46" s="7" t="n"/>
      <c r="Z46" s="7" t="n"/>
      <c r="AA46" s="7" t="n"/>
      <c r="AD46">
        <f>IF($E46="","",IF($AT46=1,Settings!$C$8,IF($AS46=1,Settings!$C$6,Settings!$C$7))*100)</f>
        <v/>
      </c>
      <c r="AE46" s="7">
        <f>IF($E46="","",Z46*AD46/100)</f>
        <v/>
      </c>
      <c r="AF46" s="7">
        <f>IF($E46="","",Z46-AE46)</f>
        <v/>
      </c>
      <c r="AG46" s="7">
        <f>IF($E46="","",AF46-Q46)</f>
        <v/>
      </c>
      <c r="AK46" s="7" t="n"/>
      <c r="AN46" s="14" t="n"/>
      <c r="AQ46">
        <f>IF($E46="","",IF(COUNTIF($E$2:$E46,$E46)=1,1,0))</f>
        <v/>
      </c>
      <c r="AR46">
        <f>IF($AQ46=1,SUMPRODUCT(--($AU$2:$AU$1501&lt;$AU46))+1,"")</f>
        <v/>
      </c>
      <c r="AS46">
        <f>IF($E46="","",IF(OR($U46=TRUE(),$U46="TRUE"),1,0))</f>
        <v/>
      </c>
      <c r="AT46">
        <f>IF($E46="","",IF($AC46="Yes",1,0))</f>
        <v/>
      </c>
      <c r="AU46">
        <f>IF($AQ46=1,IFERROR(IF(VALUE($E46)&lt;100000000,VALUE($E46),1000000000),IFERROR(IF(VALUE(MID($E46,2,20))&lt;100000000,VALUE(MID($E46,2,20)),1000000000),1000000000))+ROW()/100000,"")</f>
        <v/>
      </c>
    </row>
    <row r="47">
      <c r="G47" s="14" t="n"/>
      <c r="Q47" s="7">
        <f>IF($E47="","",P47*Z47/100)</f>
        <v/>
      </c>
      <c r="R47" s="7" t="n"/>
      <c r="Y47" s="7" t="n"/>
      <c r="Z47" s="7" t="n"/>
      <c r="AA47" s="7" t="n"/>
      <c r="AD47">
        <f>IF($E47="","",IF($AT47=1,Settings!$C$8,IF($AS47=1,Settings!$C$6,Settings!$C$7))*100)</f>
        <v/>
      </c>
      <c r="AE47" s="7">
        <f>IF($E47="","",Z47*AD47/100)</f>
        <v/>
      </c>
      <c r="AF47" s="7">
        <f>IF($E47="","",Z47-AE47)</f>
        <v/>
      </c>
      <c r="AG47" s="7">
        <f>IF($E47="","",AF47-Q47)</f>
        <v/>
      </c>
      <c r="AK47" s="7" t="n"/>
      <c r="AN47" s="14" t="n"/>
      <c r="AQ47">
        <f>IF($E47="","",IF(COUNTIF($E$2:$E47,$E47)=1,1,0))</f>
        <v/>
      </c>
      <c r="AR47">
        <f>IF($AQ47=1,SUMPRODUCT(--($AU$2:$AU$1501&lt;$AU47))+1,"")</f>
        <v/>
      </c>
      <c r="AS47">
        <f>IF($E47="","",IF(OR($U47=TRUE(),$U47="TRUE"),1,0))</f>
        <v/>
      </c>
      <c r="AT47">
        <f>IF($E47="","",IF($AC47="Yes",1,0))</f>
        <v/>
      </c>
      <c r="AU47">
        <f>IF($AQ47=1,IFERROR(IF(VALUE($E47)&lt;100000000,VALUE($E47),1000000000),IFERROR(IF(VALUE(MID($E47,2,20))&lt;100000000,VALUE(MID($E47,2,20)),1000000000),1000000000))+ROW()/100000,"")</f>
        <v/>
      </c>
    </row>
    <row r="48">
      <c r="G48" s="14" t="n"/>
      <c r="Q48" s="7">
        <f>IF($E48="","",P48*Z48/100)</f>
        <v/>
      </c>
      <c r="R48" s="7" t="n"/>
      <c r="Y48" s="7" t="n"/>
      <c r="Z48" s="7" t="n"/>
      <c r="AA48" s="7" t="n"/>
      <c r="AD48">
        <f>IF($E48="","",IF($AT48=1,Settings!$C$8,IF($AS48=1,Settings!$C$6,Settings!$C$7))*100)</f>
        <v/>
      </c>
      <c r="AE48" s="7">
        <f>IF($E48="","",Z48*AD48/100)</f>
        <v/>
      </c>
      <c r="AF48" s="7">
        <f>IF($E48="","",Z48-AE48)</f>
        <v/>
      </c>
      <c r="AG48" s="7">
        <f>IF($E48="","",AF48-Q48)</f>
        <v/>
      </c>
      <c r="AK48" s="7" t="n"/>
      <c r="AN48" s="14" t="n"/>
      <c r="AQ48">
        <f>IF($E48="","",IF(COUNTIF($E$2:$E48,$E48)=1,1,0))</f>
        <v/>
      </c>
      <c r="AR48">
        <f>IF($AQ48=1,SUMPRODUCT(--($AU$2:$AU$1501&lt;$AU48))+1,"")</f>
        <v/>
      </c>
      <c r="AS48">
        <f>IF($E48="","",IF(OR($U48=TRUE(),$U48="TRUE"),1,0))</f>
        <v/>
      </c>
      <c r="AT48">
        <f>IF($E48="","",IF($AC48="Yes",1,0))</f>
        <v/>
      </c>
      <c r="AU48">
        <f>IF($AQ48=1,IFERROR(IF(VALUE($E48)&lt;100000000,VALUE($E48),1000000000),IFERROR(IF(VALUE(MID($E48,2,20))&lt;100000000,VALUE(MID($E48,2,20)),1000000000),1000000000))+ROW()/100000,"")</f>
        <v/>
      </c>
    </row>
    <row r="49">
      <c r="G49" s="14" t="n"/>
      <c r="Q49" s="7">
        <f>IF($E49="","",P49*Z49/100)</f>
        <v/>
      </c>
      <c r="R49" s="7" t="n"/>
      <c r="Y49" s="7" t="n"/>
      <c r="Z49" s="7" t="n"/>
      <c r="AA49" s="7" t="n"/>
      <c r="AD49">
        <f>IF($E49="","",IF($AT49=1,Settings!$C$8,IF($AS49=1,Settings!$C$6,Settings!$C$7))*100)</f>
        <v/>
      </c>
      <c r="AE49" s="7">
        <f>IF($E49="","",Z49*AD49/100)</f>
        <v/>
      </c>
      <c r="AF49" s="7">
        <f>IF($E49="","",Z49-AE49)</f>
        <v/>
      </c>
      <c r="AG49" s="7">
        <f>IF($E49="","",AF49-Q49)</f>
        <v/>
      </c>
      <c r="AK49" s="7" t="n"/>
      <c r="AN49" s="14" t="n"/>
      <c r="AQ49">
        <f>IF($E49="","",IF(COUNTIF($E$2:$E49,$E49)=1,1,0))</f>
        <v/>
      </c>
      <c r="AR49">
        <f>IF($AQ49=1,SUMPRODUCT(--($AU$2:$AU$1501&lt;$AU49))+1,"")</f>
        <v/>
      </c>
      <c r="AS49">
        <f>IF($E49="","",IF(OR($U49=TRUE(),$U49="TRUE"),1,0))</f>
        <v/>
      </c>
      <c r="AT49">
        <f>IF($E49="","",IF($AC49="Yes",1,0))</f>
        <v/>
      </c>
      <c r="AU49">
        <f>IF($AQ49=1,IFERROR(IF(VALUE($E49)&lt;100000000,VALUE($E49),1000000000),IFERROR(IF(VALUE(MID($E49,2,20))&lt;100000000,VALUE(MID($E49,2,20)),1000000000),1000000000))+ROW()/100000,"")</f>
        <v/>
      </c>
    </row>
    <row r="50">
      <c r="G50" s="14" t="n"/>
      <c r="Q50" s="7">
        <f>IF($E50="","",P50*Z50/100)</f>
        <v/>
      </c>
      <c r="R50" s="7" t="n"/>
      <c r="Y50" s="7" t="n"/>
      <c r="Z50" s="7" t="n"/>
      <c r="AA50" s="7" t="n"/>
      <c r="AD50">
        <f>IF($E50="","",IF($AT50=1,Settings!$C$8,IF($AS50=1,Settings!$C$6,Settings!$C$7))*100)</f>
        <v/>
      </c>
      <c r="AE50" s="7">
        <f>IF($E50="","",Z50*AD50/100)</f>
        <v/>
      </c>
      <c r="AF50" s="7">
        <f>IF($E50="","",Z50-AE50)</f>
        <v/>
      </c>
      <c r="AG50" s="7">
        <f>IF($E50="","",AF50-Q50)</f>
        <v/>
      </c>
      <c r="AK50" s="7" t="n"/>
      <c r="AN50" s="14" t="n"/>
      <c r="AQ50">
        <f>IF($E50="","",IF(COUNTIF($E$2:$E50,$E50)=1,1,0))</f>
        <v/>
      </c>
      <c r="AR50">
        <f>IF($AQ50=1,SUMPRODUCT(--($AU$2:$AU$1501&lt;$AU50))+1,"")</f>
        <v/>
      </c>
      <c r="AS50">
        <f>IF($E50="","",IF(OR($U50=TRUE(),$U50="TRUE"),1,0))</f>
        <v/>
      </c>
      <c r="AT50">
        <f>IF($E50="","",IF($AC50="Yes",1,0))</f>
        <v/>
      </c>
      <c r="AU50">
        <f>IF($AQ50=1,IFERROR(IF(VALUE($E50)&lt;100000000,VALUE($E50),1000000000),IFERROR(IF(VALUE(MID($E50,2,20))&lt;100000000,VALUE(MID($E50,2,20)),1000000000),1000000000))+ROW()/100000,"")</f>
        <v/>
      </c>
    </row>
    <row r="51">
      <c r="G51" s="14" t="n"/>
      <c r="Q51" s="7">
        <f>IF($E51="","",P51*Z51/100)</f>
        <v/>
      </c>
      <c r="R51" s="7" t="n"/>
      <c r="Y51" s="7" t="n"/>
      <c r="Z51" s="7" t="n"/>
      <c r="AA51" s="7" t="n"/>
      <c r="AD51">
        <f>IF($E51="","",IF($AT51=1,Settings!$C$8,IF($AS51=1,Settings!$C$6,Settings!$C$7))*100)</f>
        <v/>
      </c>
      <c r="AE51" s="7">
        <f>IF($E51="","",Z51*AD51/100)</f>
        <v/>
      </c>
      <c r="AF51" s="7">
        <f>IF($E51="","",Z51-AE51)</f>
        <v/>
      </c>
      <c r="AG51" s="7">
        <f>IF($E51="","",AF51-Q51)</f>
        <v/>
      </c>
      <c r="AK51" s="7" t="n"/>
      <c r="AN51" s="14" t="n"/>
      <c r="AQ51">
        <f>IF($E51="","",IF(COUNTIF($E$2:$E51,$E51)=1,1,0))</f>
        <v/>
      </c>
      <c r="AR51">
        <f>IF($AQ51=1,SUMPRODUCT(--($AU$2:$AU$1501&lt;$AU51))+1,"")</f>
        <v/>
      </c>
      <c r="AS51">
        <f>IF($E51="","",IF(OR($U51=TRUE(),$U51="TRUE"),1,0))</f>
        <v/>
      </c>
      <c r="AT51">
        <f>IF($E51="","",IF($AC51="Yes",1,0))</f>
        <v/>
      </c>
      <c r="AU51">
        <f>IF($AQ51=1,IFERROR(IF(VALUE($E51)&lt;100000000,VALUE($E51),1000000000),IFERROR(IF(VALUE(MID($E51,2,20))&lt;100000000,VALUE(MID($E51,2,20)),1000000000),1000000000))+ROW()/100000,"")</f>
        <v/>
      </c>
    </row>
    <row r="52">
      <c r="G52" s="14" t="n"/>
      <c r="Q52" s="7">
        <f>IF($E52="","",P52*Z52/100)</f>
        <v/>
      </c>
      <c r="R52" s="7" t="n"/>
      <c r="Y52" s="7" t="n"/>
      <c r="Z52" s="7" t="n"/>
      <c r="AA52" s="7" t="n"/>
      <c r="AD52">
        <f>IF($E52="","",IF($AT52=1,Settings!$C$8,IF($AS52=1,Settings!$C$6,Settings!$C$7))*100)</f>
        <v/>
      </c>
      <c r="AE52" s="7">
        <f>IF($E52="","",Z52*AD52/100)</f>
        <v/>
      </c>
      <c r="AF52" s="7">
        <f>IF($E52="","",Z52-AE52)</f>
        <v/>
      </c>
      <c r="AG52" s="7">
        <f>IF($E52="","",AF52-Q52)</f>
        <v/>
      </c>
      <c r="AK52" s="7" t="n"/>
      <c r="AN52" s="14" t="n"/>
      <c r="AQ52">
        <f>IF($E52="","",IF(COUNTIF($E$2:$E52,$E52)=1,1,0))</f>
        <v/>
      </c>
      <c r="AR52">
        <f>IF($AQ52=1,SUMPRODUCT(--($AU$2:$AU$1501&lt;$AU52))+1,"")</f>
        <v/>
      </c>
      <c r="AS52">
        <f>IF($E52="","",IF(OR($U52=TRUE(),$U52="TRUE"),1,0))</f>
        <v/>
      </c>
      <c r="AT52">
        <f>IF($E52="","",IF($AC52="Yes",1,0))</f>
        <v/>
      </c>
      <c r="AU52">
        <f>IF($AQ52=1,IFERROR(IF(VALUE($E52)&lt;100000000,VALUE($E52),1000000000),IFERROR(IF(VALUE(MID($E52,2,20))&lt;100000000,VALUE(MID($E52,2,20)),1000000000),1000000000))+ROW()/100000,"")</f>
        <v/>
      </c>
    </row>
    <row r="53">
      <c r="G53" s="14" t="n"/>
      <c r="Q53" s="7">
        <f>IF($E53="","",P53*Z53/100)</f>
        <v/>
      </c>
      <c r="R53" s="7" t="n"/>
      <c r="Y53" s="7" t="n"/>
      <c r="Z53" s="7" t="n"/>
      <c r="AA53" s="7" t="n"/>
      <c r="AD53">
        <f>IF($E53="","",IF($AT53=1,Settings!$C$8,IF($AS53=1,Settings!$C$6,Settings!$C$7))*100)</f>
        <v/>
      </c>
      <c r="AE53" s="7">
        <f>IF($E53="","",Z53*AD53/100)</f>
        <v/>
      </c>
      <c r="AF53" s="7">
        <f>IF($E53="","",Z53-AE53)</f>
        <v/>
      </c>
      <c r="AG53" s="7">
        <f>IF($E53="","",AF53-Q53)</f>
        <v/>
      </c>
      <c r="AK53" s="7" t="n"/>
      <c r="AN53" s="14" t="n"/>
      <c r="AQ53">
        <f>IF($E53="","",IF(COUNTIF($E$2:$E53,$E53)=1,1,0))</f>
        <v/>
      </c>
      <c r="AR53">
        <f>IF($AQ53=1,SUMPRODUCT(--($AU$2:$AU$1501&lt;$AU53))+1,"")</f>
        <v/>
      </c>
      <c r="AS53">
        <f>IF($E53="","",IF(OR($U53=TRUE(),$U53="TRUE"),1,0))</f>
        <v/>
      </c>
      <c r="AT53">
        <f>IF($E53="","",IF($AC53="Yes",1,0))</f>
        <v/>
      </c>
      <c r="AU53">
        <f>IF($AQ53=1,IFERROR(IF(VALUE($E53)&lt;100000000,VALUE($E53),1000000000),IFERROR(IF(VALUE(MID($E53,2,20))&lt;100000000,VALUE(MID($E53,2,20)),1000000000),1000000000))+ROW()/100000,"")</f>
        <v/>
      </c>
    </row>
    <row r="54">
      <c r="G54" s="14" t="n"/>
      <c r="Q54" s="7">
        <f>IF($E54="","",P54*Z54/100)</f>
        <v/>
      </c>
      <c r="R54" s="7" t="n"/>
      <c r="Y54" s="7" t="n"/>
      <c r="Z54" s="7" t="n"/>
      <c r="AA54" s="7" t="n"/>
      <c r="AD54">
        <f>IF($E54="","",IF($AT54=1,Settings!$C$8,IF($AS54=1,Settings!$C$6,Settings!$C$7))*100)</f>
        <v/>
      </c>
      <c r="AE54" s="7">
        <f>IF($E54="","",Z54*AD54/100)</f>
        <v/>
      </c>
      <c r="AF54" s="7">
        <f>IF($E54="","",Z54-AE54)</f>
        <v/>
      </c>
      <c r="AG54" s="7">
        <f>IF($E54="","",AF54-Q54)</f>
        <v/>
      </c>
      <c r="AK54" s="7" t="n"/>
      <c r="AN54" s="14" t="n"/>
      <c r="AQ54">
        <f>IF($E54="","",IF(COUNTIF($E$2:$E54,$E54)=1,1,0))</f>
        <v/>
      </c>
      <c r="AR54">
        <f>IF($AQ54=1,SUMPRODUCT(--($AU$2:$AU$1501&lt;$AU54))+1,"")</f>
        <v/>
      </c>
      <c r="AS54">
        <f>IF($E54="","",IF(OR($U54=TRUE(),$U54="TRUE"),1,0))</f>
        <v/>
      </c>
      <c r="AT54">
        <f>IF($E54="","",IF($AC54="Yes",1,0))</f>
        <v/>
      </c>
      <c r="AU54">
        <f>IF($AQ54=1,IFERROR(IF(VALUE($E54)&lt;100000000,VALUE($E54),1000000000),IFERROR(IF(VALUE(MID($E54,2,20))&lt;100000000,VALUE(MID($E54,2,20)),1000000000),1000000000))+ROW()/100000,"")</f>
        <v/>
      </c>
    </row>
    <row r="55">
      <c r="G55" s="14" t="n"/>
      <c r="Q55" s="7">
        <f>IF($E55="","",P55*Z55/100)</f>
        <v/>
      </c>
      <c r="R55" s="7" t="n"/>
      <c r="Y55" s="7" t="n"/>
      <c r="Z55" s="7" t="n"/>
      <c r="AA55" s="7" t="n"/>
      <c r="AD55">
        <f>IF($E55="","",IF($AT55=1,Settings!$C$8,IF($AS55=1,Settings!$C$6,Settings!$C$7))*100)</f>
        <v/>
      </c>
      <c r="AE55" s="7">
        <f>IF($E55="","",Z55*AD55/100)</f>
        <v/>
      </c>
      <c r="AF55" s="7">
        <f>IF($E55="","",Z55-AE55)</f>
        <v/>
      </c>
      <c r="AG55" s="7">
        <f>IF($E55="","",AF55-Q55)</f>
        <v/>
      </c>
      <c r="AK55" s="7" t="n"/>
      <c r="AN55" s="14" t="n"/>
      <c r="AQ55">
        <f>IF($E55="","",IF(COUNTIF($E$2:$E55,$E55)=1,1,0))</f>
        <v/>
      </c>
      <c r="AR55">
        <f>IF($AQ55=1,SUMPRODUCT(--($AU$2:$AU$1501&lt;$AU55))+1,"")</f>
        <v/>
      </c>
      <c r="AS55">
        <f>IF($E55="","",IF(OR($U55=TRUE(),$U55="TRUE"),1,0))</f>
        <v/>
      </c>
      <c r="AT55">
        <f>IF($E55="","",IF($AC55="Yes",1,0))</f>
        <v/>
      </c>
      <c r="AU55">
        <f>IF($AQ55=1,IFERROR(IF(VALUE($E55)&lt;100000000,VALUE($E55),1000000000),IFERROR(IF(VALUE(MID($E55,2,20))&lt;100000000,VALUE(MID($E55,2,20)),1000000000),1000000000))+ROW()/100000,"")</f>
        <v/>
      </c>
    </row>
    <row r="56">
      <c r="G56" s="14" t="n"/>
      <c r="Q56" s="7">
        <f>IF($E56="","",P56*Z56/100)</f>
        <v/>
      </c>
      <c r="R56" s="7" t="n"/>
      <c r="Y56" s="7" t="n"/>
      <c r="Z56" s="7" t="n"/>
      <c r="AA56" s="7" t="n"/>
      <c r="AD56">
        <f>IF($E56="","",IF($AT56=1,Settings!$C$8,IF($AS56=1,Settings!$C$6,Settings!$C$7))*100)</f>
        <v/>
      </c>
      <c r="AE56" s="7">
        <f>IF($E56="","",Z56*AD56/100)</f>
        <v/>
      </c>
      <c r="AF56" s="7">
        <f>IF($E56="","",Z56-AE56)</f>
        <v/>
      </c>
      <c r="AG56" s="7">
        <f>IF($E56="","",AF56-Q56)</f>
        <v/>
      </c>
      <c r="AK56" s="7" t="n"/>
      <c r="AN56" s="14" t="n"/>
      <c r="AQ56">
        <f>IF($E56="","",IF(COUNTIF($E$2:$E56,$E56)=1,1,0))</f>
        <v/>
      </c>
      <c r="AR56">
        <f>IF($AQ56=1,SUMPRODUCT(--($AU$2:$AU$1501&lt;$AU56))+1,"")</f>
        <v/>
      </c>
      <c r="AS56">
        <f>IF($E56="","",IF(OR($U56=TRUE(),$U56="TRUE"),1,0))</f>
        <v/>
      </c>
      <c r="AT56">
        <f>IF($E56="","",IF($AC56="Yes",1,0))</f>
        <v/>
      </c>
      <c r="AU56">
        <f>IF($AQ56=1,IFERROR(IF(VALUE($E56)&lt;100000000,VALUE($E56),1000000000),IFERROR(IF(VALUE(MID($E56,2,20))&lt;100000000,VALUE(MID($E56,2,20)),1000000000),1000000000))+ROW()/100000,"")</f>
        <v/>
      </c>
    </row>
    <row r="57">
      <c r="G57" s="14" t="n"/>
      <c r="Q57" s="7">
        <f>IF($E57="","",P57*Z57/100)</f>
        <v/>
      </c>
      <c r="R57" s="7" t="n"/>
      <c r="Y57" s="7" t="n"/>
      <c r="Z57" s="7" t="n"/>
      <c r="AA57" s="7" t="n"/>
      <c r="AD57">
        <f>IF($E57="","",IF($AT57=1,Settings!$C$8,IF($AS57=1,Settings!$C$6,Settings!$C$7))*100)</f>
        <v/>
      </c>
      <c r="AE57" s="7">
        <f>IF($E57="","",Z57*AD57/100)</f>
        <v/>
      </c>
      <c r="AF57" s="7">
        <f>IF($E57="","",Z57-AE57)</f>
        <v/>
      </c>
      <c r="AG57" s="7">
        <f>IF($E57="","",AF57-Q57)</f>
        <v/>
      </c>
      <c r="AK57" s="7" t="n"/>
      <c r="AN57" s="14" t="n"/>
      <c r="AQ57">
        <f>IF($E57="","",IF(COUNTIF($E$2:$E57,$E57)=1,1,0))</f>
        <v/>
      </c>
      <c r="AR57">
        <f>IF($AQ57=1,SUMPRODUCT(--($AU$2:$AU$1501&lt;$AU57))+1,"")</f>
        <v/>
      </c>
      <c r="AS57">
        <f>IF($E57="","",IF(OR($U57=TRUE(),$U57="TRUE"),1,0))</f>
        <v/>
      </c>
      <c r="AT57">
        <f>IF($E57="","",IF($AC57="Yes",1,0))</f>
        <v/>
      </c>
      <c r="AU57">
        <f>IF($AQ57=1,IFERROR(IF(VALUE($E57)&lt;100000000,VALUE($E57),1000000000),IFERROR(IF(VALUE(MID($E57,2,20))&lt;100000000,VALUE(MID($E57,2,20)),1000000000),1000000000))+ROW()/100000,"")</f>
        <v/>
      </c>
    </row>
    <row r="58">
      <c r="G58" s="14" t="n"/>
      <c r="Q58" s="7">
        <f>IF($E58="","",P58*Z58/100)</f>
        <v/>
      </c>
      <c r="R58" s="7" t="n"/>
      <c r="Y58" s="7" t="n"/>
      <c r="Z58" s="7" t="n"/>
      <c r="AA58" s="7" t="n"/>
      <c r="AD58">
        <f>IF($E58="","",IF($AT58=1,Settings!$C$8,IF($AS58=1,Settings!$C$6,Settings!$C$7))*100)</f>
        <v/>
      </c>
      <c r="AE58" s="7">
        <f>IF($E58="","",Z58*AD58/100)</f>
        <v/>
      </c>
      <c r="AF58" s="7">
        <f>IF($E58="","",Z58-AE58)</f>
        <v/>
      </c>
      <c r="AG58" s="7">
        <f>IF($E58="","",AF58-Q58)</f>
        <v/>
      </c>
      <c r="AK58" s="7" t="n"/>
      <c r="AN58" s="14" t="n"/>
      <c r="AQ58">
        <f>IF($E58="","",IF(COUNTIF($E$2:$E58,$E58)=1,1,0))</f>
        <v/>
      </c>
      <c r="AR58">
        <f>IF($AQ58=1,SUMPRODUCT(--($AU$2:$AU$1501&lt;$AU58))+1,"")</f>
        <v/>
      </c>
      <c r="AS58">
        <f>IF($E58="","",IF(OR($U58=TRUE(),$U58="TRUE"),1,0))</f>
        <v/>
      </c>
      <c r="AT58">
        <f>IF($E58="","",IF($AC58="Yes",1,0))</f>
        <v/>
      </c>
      <c r="AU58">
        <f>IF($AQ58=1,IFERROR(IF(VALUE($E58)&lt;100000000,VALUE($E58),1000000000),IFERROR(IF(VALUE(MID($E58,2,20))&lt;100000000,VALUE(MID($E58,2,20)),1000000000),1000000000))+ROW()/100000,"")</f>
        <v/>
      </c>
    </row>
    <row r="59">
      <c r="G59" s="14" t="n"/>
      <c r="Q59" s="7">
        <f>IF($E59="","",P59*Z59/100)</f>
        <v/>
      </c>
      <c r="R59" s="7" t="n"/>
      <c r="Y59" s="7" t="n"/>
      <c r="Z59" s="7" t="n"/>
      <c r="AA59" s="7" t="n"/>
      <c r="AD59">
        <f>IF($E59="","",IF($AT59=1,Settings!$C$8,IF($AS59=1,Settings!$C$6,Settings!$C$7))*100)</f>
        <v/>
      </c>
      <c r="AE59" s="7">
        <f>IF($E59="","",Z59*AD59/100)</f>
        <v/>
      </c>
      <c r="AF59" s="7">
        <f>IF($E59="","",Z59-AE59)</f>
        <v/>
      </c>
      <c r="AG59" s="7">
        <f>IF($E59="","",AF59-Q59)</f>
        <v/>
      </c>
      <c r="AK59" s="7" t="n"/>
      <c r="AN59" s="14" t="n"/>
      <c r="AQ59">
        <f>IF($E59="","",IF(COUNTIF($E$2:$E59,$E59)=1,1,0))</f>
        <v/>
      </c>
      <c r="AR59">
        <f>IF($AQ59=1,SUMPRODUCT(--($AU$2:$AU$1501&lt;$AU59))+1,"")</f>
        <v/>
      </c>
      <c r="AS59">
        <f>IF($E59="","",IF(OR($U59=TRUE(),$U59="TRUE"),1,0))</f>
        <v/>
      </c>
      <c r="AT59">
        <f>IF($E59="","",IF($AC59="Yes",1,0))</f>
        <v/>
      </c>
      <c r="AU59">
        <f>IF($AQ59=1,IFERROR(IF(VALUE($E59)&lt;100000000,VALUE($E59),1000000000),IFERROR(IF(VALUE(MID($E59,2,20))&lt;100000000,VALUE(MID($E59,2,20)),1000000000),1000000000))+ROW()/100000,"")</f>
        <v/>
      </c>
    </row>
    <row r="60">
      <c r="G60" s="14" t="n"/>
      <c r="Q60" s="7">
        <f>IF($E60="","",P60*Z60/100)</f>
        <v/>
      </c>
      <c r="R60" s="7" t="n"/>
      <c r="Y60" s="7" t="n"/>
      <c r="Z60" s="7" t="n"/>
      <c r="AA60" s="7" t="n"/>
      <c r="AD60">
        <f>IF($E60="","",IF($AT60=1,Settings!$C$8,IF($AS60=1,Settings!$C$6,Settings!$C$7))*100)</f>
        <v/>
      </c>
      <c r="AE60" s="7">
        <f>IF($E60="","",Z60*AD60/100)</f>
        <v/>
      </c>
      <c r="AF60" s="7">
        <f>IF($E60="","",Z60-AE60)</f>
        <v/>
      </c>
      <c r="AG60" s="7">
        <f>IF($E60="","",AF60-Q60)</f>
        <v/>
      </c>
      <c r="AK60" s="7" t="n"/>
      <c r="AN60" s="14" t="n"/>
      <c r="AQ60">
        <f>IF($E60="","",IF(COUNTIF($E$2:$E60,$E60)=1,1,0))</f>
        <v/>
      </c>
      <c r="AR60">
        <f>IF($AQ60=1,SUMPRODUCT(--($AU$2:$AU$1501&lt;$AU60))+1,"")</f>
        <v/>
      </c>
      <c r="AS60">
        <f>IF($E60="","",IF(OR($U60=TRUE(),$U60="TRUE"),1,0))</f>
        <v/>
      </c>
      <c r="AT60">
        <f>IF($E60="","",IF($AC60="Yes",1,0))</f>
        <v/>
      </c>
      <c r="AU60">
        <f>IF($AQ60=1,IFERROR(IF(VALUE($E60)&lt;100000000,VALUE($E60),1000000000),IFERROR(IF(VALUE(MID($E60,2,20))&lt;100000000,VALUE(MID($E60,2,20)),1000000000),1000000000))+ROW()/100000,"")</f>
        <v/>
      </c>
    </row>
    <row r="61">
      <c r="G61" s="14" t="n"/>
      <c r="Q61" s="7">
        <f>IF($E61="","",P61*Z61/100)</f>
        <v/>
      </c>
      <c r="R61" s="7" t="n"/>
      <c r="Y61" s="7" t="n"/>
      <c r="Z61" s="7" t="n"/>
      <c r="AA61" s="7" t="n"/>
      <c r="AD61">
        <f>IF($E61="","",IF($AT61=1,Settings!$C$8,IF($AS61=1,Settings!$C$6,Settings!$C$7))*100)</f>
        <v/>
      </c>
      <c r="AE61" s="7">
        <f>IF($E61="","",Z61*AD61/100)</f>
        <v/>
      </c>
      <c r="AF61" s="7">
        <f>IF($E61="","",Z61-AE61)</f>
        <v/>
      </c>
      <c r="AG61" s="7">
        <f>IF($E61="","",AF61-Q61)</f>
        <v/>
      </c>
      <c r="AK61" s="7" t="n"/>
      <c r="AN61" s="14" t="n"/>
      <c r="AQ61">
        <f>IF($E61="","",IF(COUNTIF($E$2:$E61,$E61)=1,1,0))</f>
        <v/>
      </c>
      <c r="AR61">
        <f>IF($AQ61=1,SUMPRODUCT(--($AU$2:$AU$1501&lt;$AU61))+1,"")</f>
        <v/>
      </c>
      <c r="AS61">
        <f>IF($E61="","",IF(OR($U61=TRUE(),$U61="TRUE"),1,0))</f>
        <v/>
      </c>
      <c r="AT61">
        <f>IF($E61="","",IF($AC61="Yes",1,0))</f>
        <v/>
      </c>
      <c r="AU61">
        <f>IF($AQ61=1,IFERROR(IF(VALUE($E61)&lt;100000000,VALUE($E61),1000000000),IFERROR(IF(VALUE(MID($E61,2,20))&lt;100000000,VALUE(MID($E61,2,20)),1000000000),1000000000))+ROW()/100000,"")</f>
        <v/>
      </c>
    </row>
    <row r="62">
      <c r="G62" s="14" t="n"/>
      <c r="Q62" s="7">
        <f>IF($E62="","",P62*Z62/100)</f>
        <v/>
      </c>
      <c r="R62" s="7" t="n"/>
      <c r="Y62" s="7" t="n"/>
      <c r="Z62" s="7" t="n"/>
      <c r="AA62" s="7" t="n"/>
      <c r="AD62">
        <f>IF($E62="","",IF($AT62=1,Settings!$C$8,IF($AS62=1,Settings!$C$6,Settings!$C$7))*100)</f>
        <v/>
      </c>
      <c r="AE62" s="7">
        <f>IF($E62="","",Z62*AD62/100)</f>
        <v/>
      </c>
      <c r="AF62" s="7">
        <f>IF($E62="","",Z62-AE62)</f>
        <v/>
      </c>
      <c r="AG62" s="7">
        <f>IF($E62="","",AF62-Q62)</f>
        <v/>
      </c>
      <c r="AK62" s="7" t="n"/>
      <c r="AN62" s="14" t="n"/>
      <c r="AQ62">
        <f>IF($E62="","",IF(COUNTIF($E$2:$E62,$E62)=1,1,0))</f>
        <v/>
      </c>
      <c r="AR62">
        <f>IF($AQ62=1,SUMPRODUCT(--($AU$2:$AU$1501&lt;$AU62))+1,"")</f>
        <v/>
      </c>
      <c r="AS62">
        <f>IF($E62="","",IF(OR($U62=TRUE(),$U62="TRUE"),1,0))</f>
        <v/>
      </c>
      <c r="AT62">
        <f>IF($E62="","",IF($AC62="Yes",1,0))</f>
        <v/>
      </c>
      <c r="AU62">
        <f>IF($AQ62=1,IFERROR(IF(VALUE($E62)&lt;100000000,VALUE($E62),1000000000),IFERROR(IF(VALUE(MID($E62,2,20))&lt;100000000,VALUE(MID($E62,2,20)),1000000000),1000000000))+ROW()/100000,"")</f>
        <v/>
      </c>
    </row>
    <row r="63">
      <c r="G63" s="14" t="n"/>
      <c r="Q63" s="7">
        <f>IF($E63="","",P63*Z63/100)</f>
        <v/>
      </c>
      <c r="R63" s="7" t="n"/>
      <c r="Y63" s="7" t="n"/>
      <c r="Z63" s="7" t="n"/>
      <c r="AA63" s="7" t="n"/>
      <c r="AD63">
        <f>IF($E63="","",IF($AT63=1,Settings!$C$8,IF($AS63=1,Settings!$C$6,Settings!$C$7))*100)</f>
        <v/>
      </c>
      <c r="AE63" s="7">
        <f>IF($E63="","",Z63*AD63/100)</f>
        <v/>
      </c>
      <c r="AF63" s="7">
        <f>IF($E63="","",Z63-AE63)</f>
        <v/>
      </c>
      <c r="AG63" s="7">
        <f>IF($E63="","",AF63-Q63)</f>
        <v/>
      </c>
      <c r="AK63" s="7" t="n"/>
      <c r="AN63" s="14" t="n"/>
      <c r="AQ63">
        <f>IF($E63="","",IF(COUNTIF($E$2:$E63,$E63)=1,1,0))</f>
        <v/>
      </c>
      <c r="AR63">
        <f>IF($AQ63=1,SUMPRODUCT(--($AU$2:$AU$1501&lt;$AU63))+1,"")</f>
        <v/>
      </c>
      <c r="AS63">
        <f>IF($E63="","",IF(OR($U63=TRUE(),$U63="TRUE"),1,0))</f>
        <v/>
      </c>
      <c r="AT63">
        <f>IF($E63="","",IF($AC63="Yes",1,0))</f>
        <v/>
      </c>
      <c r="AU63">
        <f>IF($AQ63=1,IFERROR(IF(VALUE($E63)&lt;100000000,VALUE($E63),1000000000),IFERROR(IF(VALUE(MID($E63,2,20))&lt;100000000,VALUE(MID($E63,2,20)),1000000000),1000000000))+ROW()/100000,"")</f>
        <v/>
      </c>
    </row>
    <row r="64">
      <c r="G64" s="14" t="n"/>
      <c r="Q64" s="7">
        <f>IF($E64="","",P64*Z64/100)</f>
        <v/>
      </c>
      <c r="R64" s="7" t="n"/>
      <c r="Y64" s="7" t="n"/>
      <c r="Z64" s="7" t="n"/>
      <c r="AA64" s="7" t="n"/>
      <c r="AD64">
        <f>IF($E64="","",IF($AT64=1,Settings!$C$8,IF($AS64=1,Settings!$C$6,Settings!$C$7))*100)</f>
        <v/>
      </c>
      <c r="AE64" s="7">
        <f>IF($E64="","",Z64*AD64/100)</f>
        <v/>
      </c>
      <c r="AF64" s="7">
        <f>IF($E64="","",Z64-AE64)</f>
        <v/>
      </c>
      <c r="AG64" s="7">
        <f>IF($E64="","",AF64-Q64)</f>
        <v/>
      </c>
      <c r="AK64" s="7" t="n"/>
      <c r="AN64" s="14" t="n"/>
      <c r="AQ64">
        <f>IF($E64="","",IF(COUNTIF($E$2:$E64,$E64)=1,1,0))</f>
        <v/>
      </c>
      <c r="AR64">
        <f>IF($AQ64=1,SUMPRODUCT(--($AU$2:$AU$1501&lt;$AU64))+1,"")</f>
        <v/>
      </c>
      <c r="AS64">
        <f>IF($E64="","",IF(OR($U64=TRUE(),$U64="TRUE"),1,0))</f>
        <v/>
      </c>
      <c r="AT64">
        <f>IF($E64="","",IF($AC64="Yes",1,0))</f>
        <v/>
      </c>
      <c r="AU64">
        <f>IF($AQ64=1,IFERROR(IF(VALUE($E64)&lt;100000000,VALUE($E64),1000000000),IFERROR(IF(VALUE(MID($E64,2,20))&lt;100000000,VALUE(MID($E64,2,20)),1000000000),1000000000))+ROW()/100000,"")</f>
        <v/>
      </c>
    </row>
    <row r="65">
      <c r="G65" s="14" t="n"/>
      <c r="Q65" s="7">
        <f>IF($E65="","",P65*Z65/100)</f>
        <v/>
      </c>
      <c r="R65" s="7" t="n"/>
      <c r="Y65" s="7" t="n"/>
      <c r="Z65" s="7" t="n"/>
      <c r="AA65" s="7" t="n"/>
      <c r="AD65">
        <f>IF($E65="","",IF($AT65=1,Settings!$C$8,IF($AS65=1,Settings!$C$6,Settings!$C$7))*100)</f>
        <v/>
      </c>
      <c r="AE65" s="7">
        <f>IF($E65="","",Z65*AD65/100)</f>
        <v/>
      </c>
      <c r="AF65" s="7">
        <f>IF($E65="","",Z65-AE65)</f>
        <v/>
      </c>
      <c r="AG65" s="7">
        <f>IF($E65="","",AF65-Q65)</f>
        <v/>
      </c>
      <c r="AK65" s="7" t="n"/>
      <c r="AN65" s="14" t="n"/>
      <c r="AQ65">
        <f>IF($E65="","",IF(COUNTIF($E$2:$E65,$E65)=1,1,0))</f>
        <v/>
      </c>
      <c r="AR65">
        <f>IF($AQ65=1,SUMPRODUCT(--($AU$2:$AU$1501&lt;$AU65))+1,"")</f>
        <v/>
      </c>
      <c r="AS65">
        <f>IF($E65="","",IF(OR($U65=TRUE(),$U65="TRUE"),1,0))</f>
        <v/>
      </c>
      <c r="AT65">
        <f>IF($E65="","",IF($AC65="Yes",1,0))</f>
        <v/>
      </c>
      <c r="AU65">
        <f>IF($AQ65=1,IFERROR(IF(VALUE($E65)&lt;100000000,VALUE($E65),1000000000),IFERROR(IF(VALUE(MID($E65,2,20))&lt;100000000,VALUE(MID($E65,2,20)),1000000000),1000000000))+ROW()/100000,"")</f>
        <v/>
      </c>
    </row>
    <row r="66">
      <c r="G66" s="14" t="n"/>
      <c r="Q66" s="7">
        <f>IF($E66="","",P66*Z66/100)</f>
        <v/>
      </c>
      <c r="R66" s="7" t="n"/>
      <c r="Y66" s="7" t="n"/>
      <c r="Z66" s="7" t="n"/>
      <c r="AA66" s="7" t="n"/>
      <c r="AD66">
        <f>IF($E66="","",IF($AT66=1,Settings!$C$8,IF($AS66=1,Settings!$C$6,Settings!$C$7))*100)</f>
        <v/>
      </c>
      <c r="AE66" s="7">
        <f>IF($E66="","",Z66*AD66/100)</f>
        <v/>
      </c>
      <c r="AF66" s="7">
        <f>IF($E66="","",Z66-AE66)</f>
        <v/>
      </c>
      <c r="AG66" s="7">
        <f>IF($E66="","",AF66-Q66)</f>
        <v/>
      </c>
      <c r="AK66" s="7" t="n"/>
      <c r="AN66" s="14" t="n"/>
      <c r="AQ66">
        <f>IF($E66="","",IF(COUNTIF($E$2:$E66,$E66)=1,1,0))</f>
        <v/>
      </c>
      <c r="AR66">
        <f>IF($AQ66=1,SUMPRODUCT(--($AU$2:$AU$1501&lt;$AU66))+1,"")</f>
        <v/>
      </c>
      <c r="AS66">
        <f>IF($E66="","",IF(OR($U66=TRUE(),$U66="TRUE"),1,0))</f>
        <v/>
      </c>
      <c r="AT66">
        <f>IF($E66="","",IF($AC66="Yes",1,0))</f>
        <v/>
      </c>
      <c r="AU66">
        <f>IF($AQ66=1,IFERROR(IF(VALUE($E66)&lt;100000000,VALUE($E66),1000000000),IFERROR(IF(VALUE(MID($E66,2,20))&lt;100000000,VALUE(MID($E66,2,20)),1000000000),1000000000))+ROW()/100000,"")</f>
        <v/>
      </c>
    </row>
    <row r="67">
      <c r="G67" s="14" t="n"/>
      <c r="Q67" s="7">
        <f>IF($E67="","",P67*Z67/100)</f>
        <v/>
      </c>
      <c r="R67" s="7" t="n"/>
      <c r="Y67" s="7" t="n"/>
      <c r="Z67" s="7" t="n"/>
      <c r="AA67" s="7" t="n"/>
      <c r="AD67">
        <f>IF($E67="","",IF($AT67=1,Settings!$C$8,IF($AS67=1,Settings!$C$6,Settings!$C$7))*100)</f>
        <v/>
      </c>
      <c r="AE67" s="7">
        <f>IF($E67="","",Z67*AD67/100)</f>
        <v/>
      </c>
      <c r="AF67" s="7">
        <f>IF($E67="","",Z67-AE67)</f>
        <v/>
      </c>
      <c r="AG67" s="7">
        <f>IF($E67="","",AF67-Q67)</f>
        <v/>
      </c>
      <c r="AK67" s="7" t="n"/>
      <c r="AN67" s="14" t="n"/>
      <c r="AQ67">
        <f>IF($E67="","",IF(COUNTIF($E$2:$E67,$E67)=1,1,0))</f>
        <v/>
      </c>
      <c r="AR67">
        <f>IF($AQ67=1,SUMPRODUCT(--($AU$2:$AU$1501&lt;$AU67))+1,"")</f>
        <v/>
      </c>
      <c r="AS67">
        <f>IF($E67="","",IF(OR($U67=TRUE(),$U67="TRUE"),1,0))</f>
        <v/>
      </c>
      <c r="AT67">
        <f>IF($E67="","",IF($AC67="Yes",1,0))</f>
        <v/>
      </c>
      <c r="AU67">
        <f>IF($AQ67=1,IFERROR(IF(VALUE($E67)&lt;100000000,VALUE($E67),1000000000),IFERROR(IF(VALUE(MID($E67,2,20))&lt;100000000,VALUE(MID($E67,2,20)),1000000000),1000000000))+ROW()/100000,"")</f>
        <v/>
      </c>
    </row>
    <row r="68">
      <c r="G68" s="14" t="n"/>
      <c r="Q68" s="7">
        <f>IF($E68="","",P68*Z68/100)</f>
        <v/>
      </c>
      <c r="R68" s="7" t="n"/>
      <c r="Y68" s="7" t="n"/>
      <c r="Z68" s="7" t="n"/>
      <c r="AA68" s="7" t="n"/>
      <c r="AD68">
        <f>IF($E68="","",IF($AT68=1,Settings!$C$8,IF($AS68=1,Settings!$C$6,Settings!$C$7))*100)</f>
        <v/>
      </c>
      <c r="AE68" s="7">
        <f>IF($E68="","",Z68*AD68/100)</f>
        <v/>
      </c>
      <c r="AF68" s="7">
        <f>IF($E68="","",Z68-AE68)</f>
        <v/>
      </c>
      <c r="AG68" s="7">
        <f>IF($E68="","",AF68-Q68)</f>
        <v/>
      </c>
      <c r="AK68" s="7" t="n"/>
      <c r="AN68" s="14" t="n"/>
      <c r="AQ68">
        <f>IF($E68="","",IF(COUNTIF($E$2:$E68,$E68)=1,1,0))</f>
        <v/>
      </c>
      <c r="AR68">
        <f>IF($AQ68=1,SUMPRODUCT(--($AU$2:$AU$1501&lt;$AU68))+1,"")</f>
        <v/>
      </c>
      <c r="AS68">
        <f>IF($E68="","",IF(OR($U68=TRUE(),$U68="TRUE"),1,0))</f>
        <v/>
      </c>
      <c r="AT68">
        <f>IF($E68="","",IF($AC68="Yes",1,0))</f>
        <v/>
      </c>
      <c r="AU68">
        <f>IF($AQ68=1,IFERROR(IF(VALUE($E68)&lt;100000000,VALUE($E68),1000000000),IFERROR(IF(VALUE(MID($E68,2,20))&lt;100000000,VALUE(MID($E68,2,20)),1000000000),1000000000))+ROW()/100000,"")</f>
        <v/>
      </c>
    </row>
    <row r="69">
      <c r="G69" s="14" t="n"/>
      <c r="Q69" s="7">
        <f>IF($E69="","",P69*Z69/100)</f>
        <v/>
      </c>
      <c r="R69" s="7" t="n"/>
      <c r="Y69" s="7" t="n"/>
      <c r="Z69" s="7" t="n"/>
      <c r="AA69" s="7" t="n"/>
      <c r="AD69">
        <f>IF($E69="","",IF($AT69=1,Settings!$C$8,IF($AS69=1,Settings!$C$6,Settings!$C$7))*100)</f>
        <v/>
      </c>
      <c r="AE69" s="7">
        <f>IF($E69="","",Z69*AD69/100)</f>
        <v/>
      </c>
      <c r="AF69" s="7">
        <f>IF($E69="","",Z69-AE69)</f>
        <v/>
      </c>
      <c r="AG69" s="7">
        <f>IF($E69="","",AF69-Q69)</f>
        <v/>
      </c>
      <c r="AK69" s="7" t="n"/>
      <c r="AN69" s="14" t="n"/>
      <c r="AQ69">
        <f>IF($E69="","",IF(COUNTIF($E$2:$E69,$E69)=1,1,0))</f>
        <v/>
      </c>
      <c r="AR69">
        <f>IF($AQ69=1,SUMPRODUCT(--($AU$2:$AU$1501&lt;$AU69))+1,"")</f>
        <v/>
      </c>
      <c r="AS69">
        <f>IF($E69="","",IF(OR($U69=TRUE(),$U69="TRUE"),1,0))</f>
        <v/>
      </c>
      <c r="AT69">
        <f>IF($E69="","",IF($AC69="Yes",1,0))</f>
        <v/>
      </c>
      <c r="AU69">
        <f>IF($AQ69=1,IFERROR(IF(VALUE($E69)&lt;100000000,VALUE($E69),1000000000),IFERROR(IF(VALUE(MID($E69,2,20))&lt;100000000,VALUE(MID($E69,2,20)),1000000000),1000000000))+ROW()/100000,"")</f>
        <v/>
      </c>
    </row>
    <row r="70">
      <c r="G70" s="14" t="n"/>
      <c r="Q70" s="7">
        <f>IF($E70="","",P70*Z70/100)</f>
        <v/>
      </c>
      <c r="R70" s="7" t="n"/>
      <c r="Y70" s="7" t="n"/>
      <c r="Z70" s="7" t="n"/>
      <c r="AA70" s="7" t="n"/>
      <c r="AD70">
        <f>IF($E70="","",IF($AT70=1,Settings!$C$8,IF($AS70=1,Settings!$C$6,Settings!$C$7))*100)</f>
        <v/>
      </c>
      <c r="AE70" s="7">
        <f>IF($E70="","",Z70*AD70/100)</f>
        <v/>
      </c>
      <c r="AF70" s="7">
        <f>IF($E70="","",Z70-AE70)</f>
        <v/>
      </c>
      <c r="AG70" s="7">
        <f>IF($E70="","",AF70-Q70)</f>
        <v/>
      </c>
      <c r="AK70" s="7" t="n"/>
      <c r="AN70" s="14" t="n"/>
      <c r="AQ70">
        <f>IF($E70="","",IF(COUNTIF($E$2:$E70,$E70)=1,1,0))</f>
        <v/>
      </c>
      <c r="AR70">
        <f>IF($AQ70=1,SUMPRODUCT(--($AU$2:$AU$1501&lt;$AU70))+1,"")</f>
        <v/>
      </c>
      <c r="AS70">
        <f>IF($E70="","",IF(OR($U70=TRUE(),$U70="TRUE"),1,0))</f>
        <v/>
      </c>
      <c r="AT70">
        <f>IF($E70="","",IF($AC70="Yes",1,0))</f>
        <v/>
      </c>
      <c r="AU70">
        <f>IF($AQ70=1,IFERROR(IF(VALUE($E70)&lt;100000000,VALUE($E70),1000000000),IFERROR(IF(VALUE(MID($E70,2,20))&lt;100000000,VALUE(MID($E70,2,20)),1000000000),1000000000))+ROW()/100000,"")</f>
        <v/>
      </c>
    </row>
    <row r="71">
      <c r="G71" s="14" t="n"/>
      <c r="Q71" s="7">
        <f>IF($E71="","",P71*Z71/100)</f>
        <v/>
      </c>
      <c r="R71" s="7" t="n"/>
      <c r="Y71" s="7" t="n"/>
      <c r="Z71" s="7" t="n"/>
      <c r="AA71" s="7" t="n"/>
      <c r="AD71">
        <f>IF($E71="","",IF($AT71=1,Settings!$C$8,IF($AS71=1,Settings!$C$6,Settings!$C$7))*100)</f>
        <v/>
      </c>
      <c r="AE71" s="7">
        <f>IF($E71="","",Z71*AD71/100)</f>
        <v/>
      </c>
      <c r="AF71" s="7">
        <f>IF($E71="","",Z71-AE71)</f>
        <v/>
      </c>
      <c r="AG71" s="7">
        <f>IF($E71="","",AF71-Q71)</f>
        <v/>
      </c>
      <c r="AK71" s="7" t="n"/>
      <c r="AN71" s="14" t="n"/>
      <c r="AQ71">
        <f>IF($E71="","",IF(COUNTIF($E$2:$E71,$E71)=1,1,0))</f>
        <v/>
      </c>
      <c r="AR71">
        <f>IF($AQ71=1,SUMPRODUCT(--($AU$2:$AU$1501&lt;$AU71))+1,"")</f>
        <v/>
      </c>
      <c r="AS71">
        <f>IF($E71="","",IF(OR($U71=TRUE(),$U71="TRUE"),1,0))</f>
        <v/>
      </c>
      <c r="AT71">
        <f>IF($E71="","",IF($AC71="Yes",1,0))</f>
        <v/>
      </c>
      <c r="AU71">
        <f>IF($AQ71=1,IFERROR(IF(VALUE($E71)&lt;100000000,VALUE($E71),1000000000),IFERROR(IF(VALUE(MID($E71,2,20))&lt;100000000,VALUE(MID($E71,2,20)),1000000000),1000000000))+ROW()/100000,"")</f>
        <v/>
      </c>
    </row>
    <row r="72">
      <c r="G72" s="14" t="n"/>
      <c r="Q72" s="7">
        <f>IF($E72="","",P72*Z72/100)</f>
        <v/>
      </c>
      <c r="R72" s="7" t="n"/>
      <c r="Y72" s="7" t="n"/>
      <c r="Z72" s="7" t="n"/>
      <c r="AA72" s="7" t="n"/>
      <c r="AD72">
        <f>IF($E72="","",IF($AT72=1,Settings!$C$8,IF($AS72=1,Settings!$C$6,Settings!$C$7))*100)</f>
        <v/>
      </c>
      <c r="AE72" s="7">
        <f>IF($E72="","",Z72*AD72/100)</f>
        <v/>
      </c>
      <c r="AF72" s="7">
        <f>IF($E72="","",Z72-AE72)</f>
        <v/>
      </c>
      <c r="AG72" s="7">
        <f>IF($E72="","",AF72-Q72)</f>
        <v/>
      </c>
      <c r="AK72" s="7" t="n"/>
      <c r="AN72" s="14" t="n"/>
      <c r="AQ72">
        <f>IF($E72="","",IF(COUNTIF($E$2:$E72,$E72)=1,1,0))</f>
        <v/>
      </c>
      <c r="AR72">
        <f>IF($AQ72=1,SUMPRODUCT(--($AU$2:$AU$1501&lt;$AU72))+1,"")</f>
        <v/>
      </c>
      <c r="AS72">
        <f>IF($E72="","",IF(OR($U72=TRUE(),$U72="TRUE"),1,0))</f>
        <v/>
      </c>
      <c r="AT72">
        <f>IF($E72="","",IF($AC72="Yes",1,0))</f>
        <v/>
      </c>
      <c r="AU72">
        <f>IF($AQ72=1,IFERROR(IF(VALUE($E72)&lt;100000000,VALUE($E72),1000000000),IFERROR(IF(VALUE(MID($E72,2,20))&lt;100000000,VALUE(MID($E72,2,20)),1000000000),1000000000))+ROW()/100000,"")</f>
        <v/>
      </c>
    </row>
    <row r="73">
      <c r="G73" s="14" t="n"/>
      <c r="Q73" s="7">
        <f>IF($E73="","",P73*Z73/100)</f>
        <v/>
      </c>
      <c r="R73" s="7" t="n"/>
      <c r="Y73" s="7" t="n"/>
      <c r="Z73" s="7" t="n"/>
      <c r="AA73" s="7" t="n"/>
      <c r="AD73">
        <f>IF($E73="","",IF($AT73=1,Settings!$C$8,IF($AS73=1,Settings!$C$6,Settings!$C$7))*100)</f>
        <v/>
      </c>
      <c r="AE73" s="7">
        <f>IF($E73="","",Z73*AD73/100)</f>
        <v/>
      </c>
      <c r="AF73" s="7">
        <f>IF($E73="","",Z73-AE73)</f>
        <v/>
      </c>
      <c r="AG73" s="7">
        <f>IF($E73="","",AF73-Q73)</f>
        <v/>
      </c>
      <c r="AK73" s="7" t="n"/>
      <c r="AN73" s="14" t="n"/>
      <c r="AQ73">
        <f>IF($E73="","",IF(COUNTIF($E$2:$E73,$E73)=1,1,0))</f>
        <v/>
      </c>
      <c r="AR73">
        <f>IF($AQ73=1,SUMPRODUCT(--($AU$2:$AU$1501&lt;$AU73))+1,"")</f>
        <v/>
      </c>
      <c r="AS73">
        <f>IF($E73="","",IF(OR($U73=TRUE(),$U73="TRUE"),1,0))</f>
        <v/>
      </c>
      <c r="AT73">
        <f>IF($E73="","",IF($AC73="Yes",1,0))</f>
        <v/>
      </c>
      <c r="AU73">
        <f>IF($AQ73=1,IFERROR(IF(VALUE($E73)&lt;100000000,VALUE($E73),1000000000),IFERROR(IF(VALUE(MID($E73,2,20))&lt;100000000,VALUE(MID($E73,2,20)),1000000000),1000000000))+ROW()/100000,"")</f>
        <v/>
      </c>
    </row>
    <row r="74">
      <c r="G74" s="14" t="n"/>
      <c r="Q74" s="7">
        <f>IF($E74="","",P74*Z74/100)</f>
        <v/>
      </c>
      <c r="R74" s="7" t="n"/>
      <c r="Y74" s="7" t="n"/>
      <c r="Z74" s="7" t="n"/>
      <c r="AA74" s="7" t="n"/>
      <c r="AD74">
        <f>IF($E74="","",IF($AT74=1,Settings!$C$8,IF($AS74=1,Settings!$C$6,Settings!$C$7))*100)</f>
        <v/>
      </c>
      <c r="AE74" s="7">
        <f>IF($E74="","",Z74*AD74/100)</f>
        <v/>
      </c>
      <c r="AF74" s="7">
        <f>IF($E74="","",Z74-AE74)</f>
        <v/>
      </c>
      <c r="AG74" s="7">
        <f>IF($E74="","",AF74-Q74)</f>
        <v/>
      </c>
      <c r="AK74" s="7" t="n"/>
      <c r="AN74" s="14" t="n"/>
      <c r="AQ74">
        <f>IF($E74="","",IF(COUNTIF($E$2:$E74,$E74)=1,1,0))</f>
        <v/>
      </c>
      <c r="AR74">
        <f>IF($AQ74=1,SUMPRODUCT(--($AU$2:$AU$1501&lt;$AU74))+1,"")</f>
        <v/>
      </c>
      <c r="AS74">
        <f>IF($E74="","",IF(OR($U74=TRUE(),$U74="TRUE"),1,0))</f>
        <v/>
      </c>
      <c r="AT74">
        <f>IF($E74="","",IF($AC74="Yes",1,0))</f>
        <v/>
      </c>
      <c r="AU74">
        <f>IF($AQ74=1,IFERROR(IF(VALUE($E74)&lt;100000000,VALUE($E74),1000000000),IFERROR(IF(VALUE(MID($E74,2,20))&lt;100000000,VALUE(MID($E74,2,20)),1000000000),1000000000))+ROW()/100000,"")</f>
        <v/>
      </c>
    </row>
    <row r="75">
      <c r="G75" s="14" t="n"/>
      <c r="Q75" s="7">
        <f>IF($E75="","",P75*Z75/100)</f>
        <v/>
      </c>
      <c r="R75" s="7" t="n"/>
      <c r="Y75" s="7" t="n"/>
      <c r="Z75" s="7" t="n"/>
      <c r="AA75" s="7" t="n"/>
      <c r="AD75">
        <f>IF($E75="","",IF($AT75=1,Settings!$C$8,IF($AS75=1,Settings!$C$6,Settings!$C$7))*100)</f>
        <v/>
      </c>
      <c r="AE75" s="7">
        <f>IF($E75="","",Z75*AD75/100)</f>
        <v/>
      </c>
      <c r="AF75" s="7">
        <f>IF($E75="","",Z75-AE75)</f>
        <v/>
      </c>
      <c r="AG75" s="7">
        <f>IF($E75="","",AF75-Q75)</f>
        <v/>
      </c>
      <c r="AK75" s="7" t="n"/>
      <c r="AN75" s="14" t="n"/>
      <c r="AQ75">
        <f>IF($E75="","",IF(COUNTIF($E$2:$E75,$E75)=1,1,0))</f>
        <v/>
      </c>
      <c r="AR75">
        <f>IF($AQ75=1,SUMPRODUCT(--($AU$2:$AU$1501&lt;$AU75))+1,"")</f>
        <v/>
      </c>
      <c r="AS75">
        <f>IF($E75="","",IF(OR($U75=TRUE(),$U75="TRUE"),1,0))</f>
        <v/>
      </c>
      <c r="AT75">
        <f>IF($E75="","",IF($AC75="Yes",1,0))</f>
        <v/>
      </c>
      <c r="AU75">
        <f>IF($AQ75=1,IFERROR(IF(VALUE($E75)&lt;100000000,VALUE($E75),1000000000),IFERROR(IF(VALUE(MID($E75,2,20))&lt;100000000,VALUE(MID($E75,2,20)),1000000000),1000000000))+ROW()/100000,"")</f>
        <v/>
      </c>
    </row>
    <row r="76">
      <c r="G76" s="14" t="n"/>
      <c r="Q76" s="7">
        <f>IF($E76="","",P76*Z76/100)</f>
        <v/>
      </c>
      <c r="R76" s="7" t="n"/>
      <c r="Y76" s="7" t="n"/>
      <c r="Z76" s="7" t="n"/>
      <c r="AA76" s="7" t="n"/>
      <c r="AD76">
        <f>IF($E76="","",IF($AT76=1,Settings!$C$8,IF($AS76=1,Settings!$C$6,Settings!$C$7))*100)</f>
        <v/>
      </c>
      <c r="AE76" s="7">
        <f>IF($E76="","",Z76*AD76/100)</f>
        <v/>
      </c>
      <c r="AF76" s="7">
        <f>IF($E76="","",Z76-AE76)</f>
        <v/>
      </c>
      <c r="AG76" s="7">
        <f>IF($E76="","",AF76-Q76)</f>
        <v/>
      </c>
      <c r="AK76" s="7" t="n"/>
      <c r="AN76" s="14" t="n"/>
      <c r="AQ76">
        <f>IF($E76="","",IF(COUNTIF($E$2:$E76,$E76)=1,1,0))</f>
        <v/>
      </c>
      <c r="AR76">
        <f>IF($AQ76=1,SUMPRODUCT(--($AU$2:$AU$1501&lt;$AU76))+1,"")</f>
        <v/>
      </c>
      <c r="AS76">
        <f>IF($E76="","",IF(OR($U76=TRUE(),$U76="TRUE"),1,0))</f>
        <v/>
      </c>
      <c r="AT76">
        <f>IF($E76="","",IF($AC76="Yes",1,0))</f>
        <v/>
      </c>
      <c r="AU76">
        <f>IF($AQ76=1,IFERROR(IF(VALUE($E76)&lt;100000000,VALUE($E76),1000000000),IFERROR(IF(VALUE(MID($E76,2,20))&lt;100000000,VALUE(MID($E76,2,20)),1000000000),1000000000))+ROW()/100000,"")</f>
        <v/>
      </c>
    </row>
    <row r="77">
      <c r="G77" s="14" t="n"/>
      <c r="Q77" s="7">
        <f>IF($E77="","",P77*Z77/100)</f>
        <v/>
      </c>
      <c r="R77" s="7" t="n"/>
      <c r="Y77" s="7" t="n"/>
      <c r="Z77" s="7" t="n"/>
      <c r="AA77" s="7" t="n"/>
      <c r="AD77">
        <f>IF($E77="","",IF($AT77=1,Settings!$C$8,IF($AS77=1,Settings!$C$6,Settings!$C$7))*100)</f>
        <v/>
      </c>
      <c r="AE77" s="7">
        <f>IF($E77="","",Z77*AD77/100)</f>
        <v/>
      </c>
      <c r="AF77" s="7">
        <f>IF($E77="","",Z77-AE77)</f>
        <v/>
      </c>
      <c r="AG77" s="7">
        <f>IF($E77="","",AF77-Q77)</f>
        <v/>
      </c>
      <c r="AK77" s="7" t="n"/>
      <c r="AN77" s="14" t="n"/>
      <c r="AQ77">
        <f>IF($E77="","",IF(COUNTIF($E$2:$E77,$E77)=1,1,0))</f>
        <v/>
      </c>
      <c r="AR77">
        <f>IF($AQ77=1,SUMPRODUCT(--($AU$2:$AU$1501&lt;$AU77))+1,"")</f>
        <v/>
      </c>
      <c r="AS77">
        <f>IF($E77="","",IF(OR($U77=TRUE(),$U77="TRUE"),1,0))</f>
        <v/>
      </c>
      <c r="AT77">
        <f>IF($E77="","",IF($AC77="Yes",1,0))</f>
        <v/>
      </c>
      <c r="AU77">
        <f>IF($AQ77=1,IFERROR(IF(VALUE($E77)&lt;100000000,VALUE($E77),1000000000),IFERROR(IF(VALUE(MID($E77,2,20))&lt;100000000,VALUE(MID($E77,2,20)),1000000000),1000000000))+ROW()/100000,"")</f>
        <v/>
      </c>
    </row>
    <row r="78">
      <c r="G78" s="14" t="n"/>
      <c r="Q78" s="7">
        <f>IF($E78="","",P78*Z78/100)</f>
        <v/>
      </c>
      <c r="R78" s="7" t="n"/>
      <c r="Y78" s="7" t="n"/>
      <c r="Z78" s="7" t="n"/>
      <c r="AA78" s="7" t="n"/>
      <c r="AD78">
        <f>IF($E78="","",IF($AT78=1,Settings!$C$8,IF($AS78=1,Settings!$C$6,Settings!$C$7))*100)</f>
        <v/>
      </c>
      <c r="AE78" s="7">
        <f>IF($E78="","",Z78*AD78/100)</f>
        <v/>
      </c>
      <c r="AF78" s="7">
        <f>IF($E78="","",Z78-AE78)</f>
        <v/>
      </c>
      <c r="AG78" s="7">
        <f>IF($E78="","",AF78-Q78)</f>
        <v/>
      </c>
      <c r="AK78" s="7" t="n"/>
      <c r="AN78" s="14" t="n"/>
      <c r="AQ78">
        <f>IF($E78="","",IF(COUNTIF($E$2:$E78,$E78)=1,1,0))</f>
        <v/>
      </c>
      <c r="AR78">
        <f>IF($AQ78=1,SUMPRODUCT(--($AU$2:$AU$1501&lt;$AU78))+1,"")</f>
        <v/>
      </c>
      <c r="AS78">
        <f>IF($E78="","",IF(OR($U78=TRUE(),$U78="TRUE"),1,0))</f>
        <v/>
      </c>
      <c r="AT78">
        <f>IF($E78="","",IF($AC78="Yes",1,0))</f>
        <v/>
      </c>
      <c r="AU78">
        <f>IF($AQ78=1,IFERROR(IF(VALUE($E78)&lt;100000000,VALUE($E78),1000000000),IFERROR(IF(VALUE(MID($E78,2,20))&lt;100000000,VALUE(MID($E78,2,20)),1000000000),1000000000))+ROW()/100000,"")</f>
        <v/>
      </c>
    </row>
    <row r="79">
      <c r="G79" s="14" t="n"/>
      <c r="Q79" s="7">
        <f>IF($E79="","",P79*Z79/100)</f>
        <v/>
      </c>
      <c r="R79" s="7" t="n"/>
      <c r="Y79" s="7" t="n"/>
      <c r="Z79" s="7" t="n"/>
      <c r="AA79" s="7" t="n"/>
      <c r="AD79">
        <f>IF($E79="","",IF($AT79=1,Settings!$C$8,IF($AS79=1,Settings!$C$6,Settings!$C$7))*100)</f>
        <v/>
      </c>
      <c r="AE79" s="7">
        <f>IF($E79="","",Z79*AD79/100)</f>
        <v/>
      </c>
      <c r="AF79" s="7">
        <f>IF($E79="","",Z79-AE79)</f>
        <v/>
      </c>
      <c r="AG79" s="7">
        <f>IF($E79="","",AF79-Q79)</f>
        <v/>
      </c>
      <c r="AK79" s="7" t="n"/>
      <c r="AN79" s="14" t="n"/>
      <c r="AQ79">
        <f>IF($E79="","",IF(COUNTIF($E$2:$E79,$E79)=1,1,0))</f>
        <v/>
      </c>
      <c r="AR79">
        <f>IF($AQ79=1,SUMPRODUCT(--($AU$2:$AU$1501&lt;$AU79))+1,"")</f>
        <v/>
      </c>
      <c r="AS79">
        <f>IF($E79="","",IF(OR($U79=TRUE(),$U79="TRUE"),1,0))</f>
        <v/>
      </c>
      <c r="AT79">
        <f>IF($E79="","",IF($AC79="Yes",1,0))</f>
        <v/>
      </c>
      <c r="AU79">
        <f>IF($AQ79=1,IFERROR(IF(VALUE($E79)&lt;100000000,VALUE($E79),1000000000),IFERROR(IF(VALUE(MID($E79,2,20))&lt;100000000,VALUE(MID($E79,2,20)),1000000000),1000000000))+ROW()/100000,"")</f>
        <v/>
      </c>
    </row>
    <row r="80">
      <c r="G80" s="14" t="n"/>
      <c r="Q80" s="7">
        <f>IF($E80="","",P80*Z80/100)</f>
        <v/>
      </c>
      <c r="R80" s="7" t="n"/>
      <c r="Y80" s="7" t="n"/>
      <c r="Z80" s="7" t="n"/>
      <c r="AA80" s="7" t="n"/>
      <c r="AD80">
        <f>IF($E80="","",IF($AT80=1,Settings!$C$8,IF($AS80=1,Settings!$C$6,Settings!$C$7))*100)</f>
        <v/>
      </c>
      <c r="AE80" s="7">
        <f>IF($E80="","",Z80*AD80/100)</f>
        <v/>
      </c>
      <c r="AF80" s="7">
        <f>IF($E80="","",Z80-AE80)</f>
        <v/>
      </c>
      <c r="AG80" s="7">
        <f>IF($E80="","",AF80-Q80)</f>
        <v/>
      </c>
      <c r="AK80" s="7" t="n"/>
      <c r="AN80" s="14" t="n"/>
      <c r="AQ80">
        <f>IF($E80="","",IF(COUNTIF($E$2:$E80,$E80)=1,1,0))</f>
        <v/>
      </c>
      <c r="AR80">
        <f>IF($AQ80=1,SUMPRODUCT(--($AU$2:$AU$1501&lt;$AU80))+1,"")</f>
        <v/>
      </c>
      <c r="AS80">
        <f>IF($E80="","",IF(OR($U80=TRUE(),$U80="TRUE"),1,0))</f>
        <v/>
      </c>
      <c r="AT80">
        <f>IF($E80="","",IF($AC80="Yes",1,0))</f>
        <v/>
      </c>
      <c r="AU80">
        <f>IF($AQ80=1,IFERROR(IF(VALUE($E80)&lt;100000000,VALUE($E80),1000000000),IFERROR(IF(VALUE(MID($E80,2,20))&lt;100000000,VALUE(MID($E80,2,20)),1000000000),1000000000))+ROW()/100000,"")</f>
        <v/>
      </c>
    </row>
    <row r="81">
      <c r="G81" s="14" t="n"/>
      <c r="Q81" s="7">
        <f>IF($E81="","",P81*Z81/100)</f>
        <v/>
      </c>
      <c r="R81" s="7" t="n"/>
      <c r="Y81" s="7" t="n"/>
      <c r="Z81" s="7" t="n"/>
      <c r="AA81" s="7" t="n"/>
      <c r="AD81">
        <f>IF($E81="","",IF($AT81=1,Settings!$C$8,IF($AS81=1,Settings!$C$6,Settings!$C$7))*100)</f>
        <v/>
      </c>
      <c r="AE81" s="7">
        <f>IF($E81="","",Z81*AD81/100)</f>
        <v/>
      </c>
      <c r="AF81" s="7">
        <f>IF($E81="","",Z81-AE81)</f>
        <v/>
      </c>
      <c r="AG81" s="7">
        <f>IF($E81="","",AF81-Q81)</f>
        <v/>
      </c>
      <c r="AK81" s="7" t="n"/>
      <c r="AN81" s="14" t="n"/>
      <c r="AQ81">
        <f>IF($E81="","",IF(COUNTIF($E$2:$E81,$E81)=1,1,0))</f>
        <v/>
      </c>
      <c r="AR81">
        <f>IF($AQ81=1,SUMPRODUCT(--($AU$2:$AU$1501&lt;$AU81))+1,"")</f>
        <v/>
      </c>
      <c r="AS81">
        <f>IF($E81="","",IF(OR($U81=TRUE(),$U81="TRUE"),1,0))</f>
        <v/>
      </c>
      <c r="AT81">
        <f>IF($E81="","",IF($AC81="Yes",1,0))</f>
        <v/>
      </c>
      <c r="AU81">
        <f>IF($AQ81=1,IFERROR(IF(VALUE($E81)&lt;100000000,VALUE($E81),1000000000),IFERROR(IF(VALUE(MID($E81,2,20))&lt;100000000,VALUE(MID($E81,2,20)),1000000000),1000000000))+ROW()/100000,"")</f>
        <v/>
      </c>
    </row>
    <row r="82">
      <c r="G82" s="14" t="n"/>
      <c r="Q82" s="7">
        <f>IF($E82="","",P82*Z82/100)</f>
        <v/>
      </c>
      <c r="R82" s="7" t="n"/>
      <c r="Y82" s="7" t="n"/>
      <c r="Z82" s="7" t="n"/>
      <c r="AA82" s="7" t="n"/>
      <c r="AD82">
        <f>IF($E82="","",IF($AT82=1,Settings!$C$8,IF($AS82=1,Settings!$C$6,Settings!$C$7))*100)</f>
        <v/>
      </c>
      <c r="AE82" s="7">
        <f>IF($E82="","",Z82*AD82/100)</f>
        <v/>
      </c>
      <c r="AF82" s="7">
        <f>IF($E82="","",Z82-AE82)</f>
        <v/>
      </c>
      <c r="AG82" s="7">
        <f>IF($E82="","",AF82-Q82)</f>
        <v/>
      </c>
      <c r="AK82" s="7" t="n"/>
      <c r="AN82" s="14" t="n"/>
      <c r="AQ82">
        <f>IF($E82="","",IF(COUNTIF($E$2:$E82,$E82)=1,1,0))</f>
        <v/>
      </c>
      <c r="AR82">
        <f>IF($AQ82=1,SUMPRODUCT(--($AU$2:$AU$1501&lt;$AU82))+1,"")</f>
        <v/>
      </c>
      <c r="AS82">
        <f>IF($E82="","",IF(OR($U82=TRUE(),$U82="TRUE"),1,0))</f>
        <v/>
      </c>
      <c r="AT82">
        <f>IF($E82="","",IF($AC82="Yes",1,0))</f>
        <v/>
      </c>
      <c r="AU82">
        <f>IF($AQ82=1,IFERROR(IF(VALUE($E82)&lt;100000000,VALUE($E82),1000000000),IFERROR(IF(VALUE(MID($E82,2,20))&lt;100000000,VALUE(MID($E82,2,20)),1000000000),1000000000))+ROW()/100000,"")</f>
        <v/>
      </c>
    </row>
    <row r="83">
      <c r="G83" s="14" t="n"/>
      <c r="Q83" s="7">
        <f>IF($E83="","",P83*Z83/100)</f>
        <v/>
      </c>
      <c r="R83" s="7" t="n"/>
      <c r="Y83" s="7" t="n"/>
      <c r="Z83" s="7" t="n"/>
      <c r="AA83" s="7" t="n"/>
      <c r="AD83">
        <f>IF($E83="","",IF($AT83=1,Settings!$C$8,IF($AS83=1,Settings!$C$6,Settings!$C$7))*100)</f>
        <v/>
      </c>
      <c r="AE83" s="7">
        <f>IF($E83="","",Z83*AD83/100)</f>
        <v/>
      </c>
      <c r="AF83" s="7">
        <f>IF($E83="","",Z83-AE83)</f>
        <v/>
      </c>
      <c r="AG83" s="7">
        <f>IF($E83="","",AF83-Q83)</f>
        <v/>
      </c>
      <c r="AK83" s="7" t="n"/>
      <c r="AN83" s="14" t="n"/>
      <c r="AQ83">
        <f>IF($E83="","",IF(COUNTIF($E$2:$E83,$E83)=1,1,0))</f>
        <v/>
      </c>
      <c r="AR83">
        <f>IF($AQ83=1,SUMPRODUCT(--($AU$2:$AU$1501&lt;$AU83))+1,"")</f>
        <v/>
      </c>
      <c r="AS83">
        <f>IF($E83="","",IF(OR($U83=TRUE(),$U83="TRUE"),1,0))</f>
        <v/>
      </c>
      <c r="AT83">
        <f>IF($E83="","",IF($AC83="Yes",1,0))</f>
        <v/>
      </c>
      <c r="AU83">
        <f>IF($AQ83=1,IFERROR(IF(VALUE($E83)&lt;100000000,VALUE($E83),1000000000),IFERROR(IF(VALUE(MID($E83,2,20))&lt;100000000,VALUE(MID($E83,2,20)),1000000000),1000000000))+ROW()/100000,"")</f>
        <v/>
      </c>
    </row>
    <row r="84">
      <c r="G84" s="14" t="n"/>
      <c r="Q84" s="7">
        <f>IF($E84="","",P84*Z84/100)</f>
        <v/>
      </c>
      <c r="R84" s="7" t="n"/>
      <c r="Y84" s="7" t="n"/>
      <c r="Z84" s="7" t="n"/>
      <c r="AA84" s="7" t="n"/>
      <c r="AD84">
        <f>IF($E84="","",IF($AT84=1,Settings!$C$8,IF($AS84=1,Settings!$C$6,Settings!$C$7))*100)</f>
        <v/>
      </c>
      <c r="AE84" s="7">
        <f>IF($E84="","",Z84*AD84/100)</f>
        <v/>
      </c>
      <c r="AF84" s="7">
        <f>IF($E84="","",Z84-AE84)</f>
        <v/>
      </c>
      <c r="AG84" s="7">
        <f>IF($E84="","",AF84-Q84)</f>
        <v/>
      </c>
      <c r="AK84" s="7" t="n"/>
      <c r="AN84" s="14" t="n"/>
      <c r="AQ84">
        <f>IF($E84="","",IF(COUNTIF($E$2:$E84,$E84)=1,1,0))</f>
        <v/>
      </c>
      <c r="AR84">
        <f>IF($AQ84=1,SUMPRODUCT(--($AU$2:$AU$1501&lt;$AU84))+1,"")</f>
        <v/>
      </c>
      <c r="AS84">
        <f>IF($E84="","",IF(OR($U84=TRUE(),$U84="TRUE"),1,0))</f>
        <v/>
      </c>
      <c r="AT84">
        <f>IF($E84="","",IF($AC84="Yes",1,0))</f>
        <v/>
      </c>
      <c r="AU84">
        <f>IF($AQ84=1,IFERROR(IF(VALUE($E84)&lt;100000000,VALUE($E84),1000000000),IFERROR(IF(VALUE(MID($E84,2,20))&lt;100000000,VALUE(MID($E84,2,20)),1000000000),1000000000))+ROW()/100000,"")</f>
        <v/>
      </c>
    </row>
    <row r="85">
      <c r="G85" s="14" t="n"/>
      <c r="Q85" s="7">
        <f>IF($E85="","",P85*Z85/100)</f>
        <v/>
      </c>
      <c r="R85" s="7" t="n"/>
      <c r="Y85" s="7" t="n"/>
      <c r="Z85" s="7" t="n"/>
      <c r="AA85" s="7" t="n"/>
      <c r="AD85">
        <f>IF($E85="","",IF($AT85=1,Settings!$C$8,IF($AS85=1,Settings!$C$6,Settings!$C$7))*100)</f>
        <v/>
      </c>
      <c r="AE85" s="7">
        <f>IF($E85="","",Z85*AD85/100)</f>
        <v/>
      </c>
      <c r="AF85" s="7">
        <f>IF($E85="","",Z85-AE85)</f>
        <v/>
      </c>
      <c r="AG85" s="7">
        <f>IF($E85="","",AF85-Q85)</f>
        <v/>
      </c>
      <c r="AK85" s="7" t="n"/>
      <c r="AN85" s="14" t="n"/>
      <c r="AQ85">
        <f>IF($E85="","",IF(COUNTIF($E$2:$E85,$E85)=1,1,0))</f>
        <v/>
      </c>
      <c r="AR85">
        <f>IF($AQ85=1,SUMPRODUCT(--($AU$2:$AU$1501&lt;$AU85))+1,"")</f>
        <v/>
      </c>
      <c r="AS85">
        <f>IF($E85="","",IF(OR($U85=TRUE(),$U85="TRUE"),1,0))</f>
        <v/>
      </c>
      <c r="AT85">
        <f>IF($E85="","",IF($AC85="Yes",1,0))</f>
        <v/>
      </c>
      <c r="AU85">
        <f>IF($AQ85=1,IFERROR(IF(VALUE($E85)&lt;100000000,VALUE($E85),1000000000),IFERROR(IF(VALUE(MID($E85,2,20))&lt;100000000,VALUE(MID($E85,2,20)),1000000000),1000000000))+ROW()/100000,"")</f>
        <v/>
      </c>
    </row>
    <row r="86">
      <c r="G86" s="14" t="n"/>
      <c r="Q86" s="7">
        <f>IF($E86="","",P86*Z86/100)</f>
        <v/>
      </c>
      <c r="R86" s="7" t="n"/>
      <c r="Y86" s="7" t="n"/>
      <c r="Z86" s="7" t="n"/>
      <c r="AA86" s="7" t="n"/>
      <c r="AD86">
        <f>IF($E86="","",IF($AT86=1,Settings!$C$8,IF($AS86=1,Settings!$C$6,Settings!$C$7))*100)</f>
        <v/>
      </c>
      <c r="AE86" s="7">
        <f>IF($E86="","",Z86*AD86/100)</f>
        <v/>
      </c>
      <c r="AF86" s="7">
        <f>IF($E86="","",Z86-AE86)</f>
        <v/>
      </c>
      <c r="AG86" s="7">
        <f>IF($E86="","",AF86-Q86)</f>
        <v/>
      </c>
      <c r="AK86" s="7" t="n"/>
      <c r="AN86" s="14" t="n"/>
      <c r="AQ86">
        <f>IF($E86="","",IF(COUNTIF($E$2:$E86,$E86)=1,1,0))</f>
        <v/>
      </c>
      <c r="AR86">
        <f>IF($AQ86=1,SUMPRODUCT(--($AU$2:$AU$1501&lt;$AU86))+1,"")</f>
        <v/>
      </c>
      <c r="AS86">
        <f>IF($E86="","",IF(OR($U86=TRUE(),$U86="TRUE"),1,0))</f>
        <v/>
      </c>
      <c r="AT86">
        <f>IF($E86="","",IF($AC86="Yes",1,0))</f>
        <v/>
      </c>
      <c r="AU86">
        <f>IF($AQ86=1,IFERROR(IF(VALUE($E86)&lt;100000000,VALUE($E86),1000000000),IFERROR(IF(VALUE(MID($E86,2,20))&lt;100000000,VALUE(MID($E86,2,20)),1000000000),1000000000))+ROW()/100000,"")</f>
        <v/>
      </c>
    </row>
    <row r="87">
      <c r="G87" s="14" t="n"/>
      <c r="Q87" s="7">
        <f>IF($E87="","",P87*Z87/100)</f>
        <v/>
      </c>
      <c r="R87" s="7" t="n"/>
      <c r="Y87" s="7" t="n"/>
      <c r="Z87" s="7" t="n"/>
      <c r="AA87" s="7" t="n"/>
      <c r="AD87">
        <f>IF($E87="","",IF($AT87=1,Settings!$C$8,IF($AS87=1,Settings!$C$6,Settings!$C$7))*100)</f>
        <v/>
      </c>
      <c r="AE87" s="7">
        <f>IF($E87="","",Z87*AD87/100)</f>
        <v/>
      </c>
      <c r="AF87" s="7">
        <f>IF($E87="","",Z87-AE87)</f>
        <v/>
      </c>
      <c r="AG87" s="7">
        <f>IF($E87="","",AF87-Q87)</f>
        <v/>
      </c>
      <c r="AK87" s="7" t="n"/>
      <c r="AN87" s="14" t="n"/>
      <c r="AQ87">
        <f>IF($E87="","",IF(COUNTIF($E$2:$E87,$E87)=1,1,0))</f>
        <v/>
      </c>
      <c r="AR87">
        <f>IF($AQ87=1,SUMPRODUCT(--($AU$2:$AU$1501&lt;$AU87))+1,"")</f>
        <v/>
      </c>
      <c r="AS87">
        <f>IF($E87="","",IF(OR($U87=TRUE(),$U87="TRUE"),1,0))</f>
        <v/>
      </c>
      <c r="AT87">
        <f>IF($E87="","",IF($AC87="Yes",1,0))</f>
        <v/>
      </c>
      <c r="AU87">
        <f>IF($AQ87=1,IFERROR(IF(VALUE($E87)&lt;100000000,VALUE($E87),1000000000),IFERROR(IF(VALUE(MID($E87,2,20))&lt;100000000,VALUE(MID($E87,2,20)),1000000000),1000000000))+ROW()/100000,"")</f>
        <v/>
      </c>
    </row>
    <row r="88">
      <c r="G88" s="14" t="n"/>
      <c r="Q88" s="7">
        <f>IF($E88="","",P88*Z88/100)</f>
        <v/>
      </c>
      <c r="R88" s="7" t="n"/>
      <c r="Y88" s="7" t="n"/>
      <c r="Z88" s="7" t="n"/>
      <c r="AA88" s="7" t="n"/>
      <c r="AD88">
        <f>IF($E88="","",IF($AT88=1,Settings!$C$8,IF($AS88=1,Settings!$C$6,Settings!$C$7))*100)</f>
        <v/>
      </c>
      <c r="AE88" s="7">
        <f>IF($E88="","",Z88*AD88/100)</f>
        <v/>
      </c>
      <c r="AF88" s="7">
        <f>IF($E88="","",Z88-AE88)</f>
        <v/>
      </c>
      <c r="AG88" s="7">
        <f>IF($E88="","",AF88-Q88)</f>
        <v/>
      </c>
      <c r="AK88" s="7" t="n"/>
      <c r="AN88" s="14" t="n"/>
      <c r="AQ88">
        <f>IF($E88="","",IF(COUNTIF($E$2:$E88,$E88)=1,1,0))</f>
        <v/>
      </c>
      <c r="AR88">
        <f>IF($AQ88=1,SUMPRODUCT(--($AU$2:$AU$1501&lt;$AU88))+1,"")</f>
        <v/>
      </c>
      <c r="AS88">
        <f>IF($E88="","",IF(OR($U88=TRUE(),$U88="TRUE"),1,0))</f>
        <v/>
      </c>
      <c r="AT88">
        <f>IF($E88="","",IF($AC88="Yes",1,0))</f>
        <v/>
      </c>
      <c r="AU88">
        <f>IF($AQ88=1,IFERROR(IF(VALUE($E88)&lt;100000000,VALUE($E88),1000000000),IFERROR(IF(VALUE(MID($E88,2,20))&lt;100000000,VALUE(MID($E88,2,20)),1000000000),1000000000))+ROW()/100000,"")</f>
        <v/>
      </c>
    </row>
    <row r="89">
      <c r="G89" s="14" t="n"/>
      <c r="Q89" s="7">
        <f>IF($E89="","",P89*Z89/100)</f>
        <v/>
      </c>
      <c r="R89" s="7" t="n"/>
      <c r="Y89" s="7" t="n"/>
      <c r="Z89" s="7" t="n"/>
      <c r="AA89" s="7" t="n"/>
      <c r="AD89">
        <f>IF($E89="","",IF($AT89=1,Settings!$C$8,IF($AS89=1,Settings!$C$6,Settings!$C$7))*100)</f>
        <v/>
      </c>
      <c r="AE89" s="7">
        <f>IF($E89="","",Z89*AD89/100)</f>
        <v/>
      </c>
      <c r="AF89" s="7">
        <f>IF($E89="","",Z89-AE89)</f>
        <v/>
      </c>
      <c r="AG89" s="7">
        <f>IF($E89="","",AF89-Q89)</f>
        <v/>
      </c>
      <c r="AK89" s="7" t="n"/>
      <c r="AN89" s="14" t="n"/>
      <c r="AQ89">
        <f>IF($E89="","",IF(COUNTIF($E$2:$E89,$E89)=1,1,0))</f>
        <v/>
      </c>
      <c r="AR89">
        <f>IF($AQ89=1,SUMPRODUCT(--($AU$2:$AU$1501&lt;$AU89))+1,"")</f>
        <v/>
      </c>
      <c r="AS89">
        <f>IF($E89="","",IF(OR($U89=TRUE(),$U89="TRUE"),1,0))</f>
        <v/>
      </c>
      <c r="AT89">
        <f>IF($E89="","",IF($AC89="Yes",1,0))</f>
        <v/>
      </c>
      <c r="AU89">
        <f>IF($AQ89=1,IFERROR(IF(VALUE($E89)&lt;100000000,VALUE($E89),1000000000),IFERROR(IF(VALUE(MID($E89,2,20))&lt;100000000,VALUE(MID($E89,2,20)),1000000000),1000000000))+ROW()/100000,"")</f>
        <v/>
      </c>
    </row>
    <row r="90">
      <c r="G90" s="14" t="n"/>
      <c r="Q90" s="7">
        <f>IF($E90="","",P90*Z90/100)</f>
        <v/>
      </c>
      <c r="R90" s="7" t="n"/>
      <c r="Y90" s="7" t="n"/>
      <c r="Z90" s="7" t="n"/>
      <c r="AA90" s="7" t="n"/>
      <c r="AD90">
        <f>IF($E90="","",IF($AT90=1,Settings!$C$8,IF($AS90=1,Settings!$C$6,Settings!$C$7))*100)</f>
        <v/>
      </c>
      <c r="AE90" s="7">
        <f>IF($E90="","",Z90*AD90/100)</f>
        <v/>
      </c>
      <c r="AF90" s="7">
        <f>IF($E90="","",Z90-AE90)</f>
        <v/>
      </c>
      <c r="AG90" s="7">
        <f>IF($E90="","",AF90-Q90)</f>
        <v/>
      </c>
      <c r="AK90" s="7" t="n"/>
      <c r="AN90" s="14" t="n"/>
      <c r="AQ90">
        <f>IF($E90="","",IF(COUNTIF($E$2:$E90,$E90)=1,1,0))</f>
        <v/>
      </c>
      <c r="AR90">
        <f>IF($AQ90=1,SUMPRODUCT(--($AU$2:$AU$1501&lt;$AU90))+1,"")</f>
        <v/>
      </c>
      <c r="AS90">
        <f>IF($E90="","",IF(OR($U90=TRUE(),$U90="TRUE"),1,0))</f>
        <v/>
      </c>
      <c r="AT90">
        <f>IF($E90="","",IF($AC90="Yes",1,0))</f>
        <v/>
      </c>
      <c r="AU90">
        <f>IF($AQ90=1,IFERROR(IF(VALUE($E90)&lt;100000000,VALUE($E90),1000000000),IFERROR(IF(VALUE(MID($E90,2,20))&lt;100000000,VALUE(MID($E90,2,20)),1000000000),1000000000))+ROW()/100000,"")</f>
        <v/>
      </c>
    </row>
    <row r="91">
      <c r="G91" s="14" t="n"/>
      <c r="Q91" s="7">
        <f>IF($E91="","",P91*Z91/100)</f>
        <v/>
      </c>
      <c r="R91" s="7" t="n"/>
      <c r="Y91" s="7" t="n"/>
      <c r="Z91" s="7" t="n"/>
      <c r="AA91" s="7" t="n"/>
      <c r="AD91">
        <f>IF($E91="","",IF($AT91=1,Settings!$C$8,IF($AS91=1,Settings!$C$6,Settings!$C$7))*100)</f>
        <v/>
      </c>
      <c r="AE91" s="7">
        <f>IF($E91="","",Z91*AD91/100)</f>
        <v/>
      </c>
      <c r="AF91" s="7">
        <f>IF($E91="","",Z91-AE91)</f>
        <v/>
      </c>
      <c r="AG91" s="7">
        <f>IF($E91="","",AF91-Q91)</f>
        <v/>
      </c>
      <c r="AK91" s="7" t="n"/>
      <c r="AN91" s="14" t="n"/>
      <c r="AQ91">
        <f>IF($E91="","",IF(COUNTIF($E$2:$E91,$E91)=1,1,0))</f>
        <v/>
      </c>
      <c r="AR91">
        <f>IF($AQ91=1,SUMPRODUCT(--($AU$2:$AU$1501&lt;$AU91))+1,"")</f>
        <v/>
      </c>
      <c r="AS91">
        <f>IF($E91="","",IF(OR($U91=TRUE(),$U91="TRUE"),1,0))</f>
        <v/>
      </c>
      <c r="AT91">
        <f>IF($E91="","",IF($AC91="Yes",1,0))</f>
        <v/>
      </c>
      <c r="AU91">
        <f>IF($AQ91=1,IFERROR(IF(VALUE($E91)&lt;100000000,VALUE($E91),1000000000),IFERROR(IF(VALUE(MID($E91,2,20))&lt;100000000,VALUE(MID($E91,2,20)),1000000000),1000000000))+ROW()/100000,"")</f>
        <v/>
      </c>
    </row>
    <row r="92">
      <c r="G92" s="14" t="n"/>
      <c r="Q92" s="7">
        <f>IF($E92="","",P92*Z92/100)</f>
        <v/>
      </c>
      <c r="R92" s="7" t="n"/>
      <c r="Y92" s="7" t="n"/>
      <c r="Z92" s="7" t="n"/>
      <c r="AA92" s="7" t="n"/>
      <c r="AD92">
        <f>IF($E92="","",IF($AT92=1,Settings!$C$8,IF($AS92=1,Settings!$C$6,Settings!$C$7))*100)</f>
        <v/>
      </c>
      <c r="AE92" s="7">
        <f>IF($E92="","",Z92*AD92/100)</f>
        <v/>
      </c>
      <c r="AF92" s="7">
        <f>IF($E92="","",Z92-AE92)</f>
        <v/>
      </c>
      <c r="AG92" s="7">
        <f>IF($E92="","",AF92-Q92)</f>
        <v/>
      </c>
      <c r="AK92" s="7" t="n"/>
      <c r="AN92" s="14" t="n"/>
      <c r="AQ92">
        <f>IF($E92="","",IF(COUNTIF($E$2:$E92,$E92)=1,1,0))</f>
        <v/>
      </c>
      <c r="AR92">
        <f>IF($AQ92=1,SUMPRODUCT(--($AU$2:$AU$1501&lt;$AU92))+1,"")</f>
        <v/>
      </c>
      <c r="AS92">
        <f>IF($E92="","",IF(OR($U92=TRUE(),$U92="TRUE"),1,0))</f>
        <v/>
      </c>
      <c r="AT92">
        <f>IF($E92="","",IF($AC92="Yes",1,0))</f>
        <v/>
      </c>
      <c r="AU92">
        <f>IF($AQ92=1,IFERROR(IF(VALUE($E92)&lt;100000000,VALUE($E92),1000000000),IFERROR(IF(VALUE(MID($E92,2,20))&lt;100000000,VALUE(MID($E92,2,20)),1000000000),1000000000))+ROW()/100000,"")</f>
        <v/>
      </c>
    </row>
    <row r="93">
      <c r="G93" s="14" t="n"/>
      <c r="Q93" s="7">
        <f>IF($E93="","",P93*Z93/100)</f>
        <v/>
      </c>
      <c r="R93" s="7" t="n"/>
      <c r="Y93" s="7" t="n"/>
      <c r="Z93" s="7" t="n"/>
      <c r="AA93" s="7" t="n"/>
      <c r="AD93">
        <f>IF($E93="","",IF($AT93=1,Settings!$C$8,IF($AS93=1,Settings!$C$6,Settings!$C$7))*100)</f>
        <v/>
      </c>
      <c r="AE93" s="7">
        <f>IF($E93="","",Z93*AD93/100)</f>
        <v/>
      </c>
      <c r="AF93" s="7">
        <f>IF($E93="","",Z93-AE93)</f>
        <v/>
      </c>
      <c r="AG93" s="7">
        <f>IF($E93="","",AF93-Q93)</f>
        <v/>
      </c>
      <c r="AK93" s="7" t="n"/>
      <c r="AN93" s="14" t="n"/>
      <c r="AQ93">
        <f>IF($E93="","",IF(COUNTIF($E$2:$E93,$E93)=1,1,0))</f>
        <v/>
      </c>
      <c r="AR93">
        <f>IF($AQ93=1,SUMPRODUCT(--($AU$2:$AU$1501&lt;$AU93))+1,"")</f>
        <v/>
      </c>
      <c r="AS93">
        <f>IF($E93="","",IF(OR($U93=TRUE(),$U93="TRUE"),1,0))</f>
        <v/>
      </c>
      <c r="AT93">
        <f>IF($E93="","",IF($AC93="Yes",1,0))</f>
        <v/>
      </c>
      <c r="AU93">
        <f>IF($AQ93=1,IFERROR(IF(VALUE($E93)&lt;100000000,VALUE($E93),1000000000),IFERROR(IF(VALUE(MID($E93,2,20))&lt;100000000,VALUE(MID($E93,2,20)),1000000000),1000000000))+ROW()/100000,"")</f>
        <v/>
      </c>
    </row>
    <row r="94">
      <c r="G94" s="14" t="n"/>
      <c r="Q94" s="7">
        <f>IF($E94="","",P94*Z94/100)</f>
        <v/>
      </c>
      <c r="R94" s="7" t="n"/>
      <c r="Y94" s="7" t="n"/>
      <c r="Z94" s="7" t="n"/>
      <c r="AA94" s="7" t="n"/>
      <c r="AD94">
        <f>IF($E94="","",IF($AT94=1,Settings!$C$8,IF($AS94=1,Settings!$C$6,Settings!$C$7))*100)</f>
        <v/>
      </c>
      <c r="AE94" s="7">
        <f>IF($E94="","",Z94*AD94/100)</f>
        <v/>
      </c>
      <c r="AF94" s="7">
        <f>IF($E94="","",Z94-AE94)</f>
        <v/>
      </c>
      <c r="AG94" s="7">
        <f>IF($E94="","",AF94-Q94)</f>
        <v/>
      </c>
      <c r="AK94" s="7" t="n"/>
      <c r="AN94" s="14" t="n"/>
      <c r="AQ94">
        <f>IF($E94="","",IF(COUNTIF($E$2:$E94,$E94)=1,1,0))</f>
        <v/>
      </c>
      <c r="AR94">
        <f>IF($AQ94=1,SUMPRODUCT(--($AU$2:$AU$1501&lt;$AU94))+1,"")</f>
        <v/>
      </c>
      <c r="AS94">
        <f>IF($E94="","",IF(OR($U94=TRUE(),$U94="TRUE"),1,0))</f>
        <v/>
      </c>
      <c r="AT94">
        <f>IF($E94="","",IF($AC94="Yes",1,0))</f>
        <v/>
      </c>
      <c r="AU94">
        <f>IF($AQ94=1,IFERROR(IF(VALUE($E94)&lt;100000000,VALUE($E94),1000000000),IFERROR(IF(VALUE(MID($E94,2,20))&lt;100000000,VALUE(MID($E94,2,20)),1000000000),1000000000))+ROW()/100000,"")</f>
        <v/>
      </c>
    </row>
    <row r="95">
      <c r="G95" s="14" t="n"/>
      <c r="Q95" s="7">
        <f>IF($E95="","",P95*Z95/100)</f>
        <v/>
      </c>
      <c r="R95" s="7" t="n"/>
      <c r="Y95" s="7" t="n"/>
      <c r="Z95" s="7" t="n"/>
      <c r="AA95" s="7" t="n"/>
      <c r="AD95">
        <f>IF($E95="","",IF($AT95=1,Settings!$C$8,IF($AS95=1,Settings!$C$6,Settings!$C$7))*100)</f>
        <v/>
      </c>
      <c r="AE95" s="7">
        <f>IF($E95="","",Z95*AD95/100)</f>
        <v/>
      </c>
      <c r="AF95" s="7">
        <f>IF($E95="","",Z95-AE95)</f>
        <v/>
      </c>
      <c r="AG95" s="7">
        <f>IF($E95="","",AF95-Q95)</f>
        <v/>
      </c>
      <c r="AK95" s="7" t="n"/>
      <c r="AN95" s="14" t="n"/>
      <c r="AQ95">
        <f>IF($E95="","",IF(COUNTIF($E$2:$E95,$E95)=1,1,0))</f>
        <v/>
      </c>
      <c r="AR95">
        <f>IF($AQ95=1,SUMPRODUCT(--($AU$2:$AU$1501&lt;$AU95))+1,"")</f>
        <v/>
      </c>
      <c r="AS95">
        <f>IF($E95="","",IF(OR($U95=TRUE(),$U95="TRUE"),1,0))</f>
        <v/>
      </c>
      <c r="AT95">
        <f>IF($E95="","",IF($AC95="Yes",1,0))</f>
        <v/>
      </c>
      <c r="AU95">
        <f>IF($AQ95=1,IFERROR(IF(VALUE($E95)&lt;100000000,VALUE($E95),1000000000),IFERROR(IF(VALUE(MID($E95,2,20))&lt;100000000,VALUE(MID($E95,2,20)),1000000000),1000000000))+ROW()/100000,"")</f>
        <v/>
      </c>
    </row>
    <row r="96">
      <c r="G96" s="14" t="n"/>
      <c r="Q96" s="7">
        <f>IF($E96="","",P96*Z96/100)</f>
        <v/>
      </c>
      <c r="R96" s="7" t="n"/>
      <c r="Y96" s="7" t="n"/>
      <c r="Z96" s="7" t="n"/>
      <c r="AA96" s="7" t="n"/>
      <c r="AD96">
        <f>IF($E96="","",IF($AT96=1,Settings!$C$8,IF($AS96=1,Settings!$C$6,Settings!$C$7))*100)</f>
        <v/>
      </c>
      <c r="AE96" s="7">
        <f>IF($E96="","",Z96*AD96/100)</f>
        <v/>
      </c>
      <c r="AF96" s="7">
        <f>IF($E96="","",Z96-AE96)</f>
        <v/>
      </c>
      <c r="AG96" s="7">
        <f>IF($E96="","",AF96-Q96)</f>
        <v/>
      </c>
      <c r="AK96" s="7" t="n"/>
      <c r="AN96" s="14" t="n"/>
      <c r="AQ96">
        <f>IF($E96="","",IF(COUNTIF($E$2:$E96,$E96)=1,1,0))</f>
        <v/>
      </c>
      <c r="AR96">
        <f>IF($AQ96=1,SUMPRODUCT(--($AU$2:$AU$1501&lt;$AU96))+1,"")</f>
        <v/>
      </c>
      <c r="AS96">
        <f>IF($E96="","",IF(OR($U96=TRUE(),$U96="TRUE"),1,0))</f>
        <v/>
      </c>
      <c r="AT96">
        <f>IF($E96="","",IF($AC96="Yes",1,0))</f>
        <v/>
      </c>
      <c r="AU96">
        <f>IF($AQ96=1,IFERROR(IF(VALUE($E96)&lt;100000000,VALUE($E96),1000000000),IFERROR(IF(VALUE(MID($E96,2,20))&lt;100000000,VALUE(MID($E96,2,20)),1000000000),1000000000))+ROW()/100000,"")</f>
        <v/>
      </c>
    </row>
    <row r="97">
      <c r="G97" s="14" t="n"/>
      <c r="Q97" s="7">
        <f>IF($E97="","",P97*Z97/100)</f>
        <v/>
      </c>
      <c r="R97" s="7" t="n"/>
      <c r="Y97" s="7" t="n"/>
      <c r="Z97" s="7" t="n"/>
      <c r="AA97" s="7" t="n"/>
      <c r="AD97">
        <f>IF($E97="","",IF($AT97=1,Settings!$C$8,IF($AS97=1,Settings!$C$6,Settings!$C$7))*100)</f>
        <v/>
      </c>
      <c r="AE97" s="7">
        <f>IF($E97="","",Z97*AD97/100)</f>
        <v/>
      </c>
      <c r="AF97" s="7">
        <f>IF($E97="","",Z97-AE97)</f>
        <v/>
      </c>
      <c r="AG97" s="7">
        <f>IF($E97="","",AF97-Q97)</f>
        <v/>
      </c>
      <c r="AK97" s="7" t="n"/>
      <c r="AN97" s="14" t="n"/>
      <c r="AQ97">
        <f>IF($E97="","",IF(COUNTIF($E$2:$E97,$E97)=1,1,0))</f>
        <v/>
      </c>
      <c r="AR97">
        <f>IF($AQ97=1,SUMPRODUCT(--($AU$2:$AU$1501&lt;$AU97))+1,"")</f>
        <v/>
      </c>
      <c r="AS97">
        <f>IF($E97="","",IF(OR($U97=TRUE(),$U97="TRUE"),1,0))</f>
        <v/>
      </c>
      <c r="AT97">
        <f>IF($E97="","",IF($AC97="Yes",1,0))</f>
        <v/>
      </c>
      <c r="AU97">
        <f>IF($AQ97=1,IFERROR(IF(VALUE($E97)&lt;100000000,VALUE($E97),1000000000),IFERROR(IF(VALUE(MID($E97,2,20))&lt;100000000,VALUE(MID($E97,2,20)),1000000000),1000000000))+ROW()/100000,"")</f>
        <v/>
      </c>
    </row>
    <row r="98">
      <c r="G98" s="14" t="n"/>
      <c r="Q98" s="7">
        <f>IF($E98="","",P98*Z98/100)</f>
        <v/>
      </c>
      <c r="R98" s="7" t="n"/>
      <c r="Y98" s="7" t="n"/>
      <c r="Z98" s="7" t="n"/>
      <c r="AA98" s="7" t="n"/>
      <c r="AD98">
        <f>IF($E98="","",IF($AT98=1,Settings!$C$8,IF($AS98=1,Settings!$C$6,Settings!$C$7))*100)</f>
        <v/>
      </c>
      <c r="AE98" s="7">
        <f>IF($E98="","",Z98*AD98/100)</f>
        <v/>
      </c>
      <c r="AF98" s="7">
        <f>IF($E98="","",Z98-AE98)</f>
        <v/>
      </c>
      <c r="AG98" s="7">
        <f>IF($E98="","",AF98-Q98)</f>
        <v/>
      </c>
      <c r="AK98" s="7" t="n"/>
      <c r="AN98" s="14" t="n"/>
      <c r="AQ98">
        <f>IF($E98="","",IF(COUNTIF($E$2:$E98,$E98)=1,1,0))</f>
        <v/>
      </c>
      <c r="AR98">
        <f>IF($AQ98=1,SUMPRODUCT(--($AU$2:$AU$1501&lt;$AU98))+1,"")</f>
        <v/>
      </c>
      <c r="AS98">
        <f>IF($E98="","",IF(OR($U98=TRUE(),$U98="TRUE"),1,0))</f>
        <v/>
      </c>
      <c r="AT98">
        <f>IF($E98="","",IF($AC98="Yes",1,0))</f>
        <v/>
      </c>
      <c r="AU98">
        <f>IF($AQ98=1,IFERROR(IF(VALUE($E98)&lt;100000000,VALUE($E98),1000000000),IFERROR(IF(VALUE(MID($E98,2,20))&lt;100000000,VALUE(MID($E98,2,20)),1000000000),1000000000))+ROW()/100000,"")</f>
        <v/>
      </c>
    </row>
    <row r="99">
      <c r="G99" s="14" t="n"/>
      <c r="Q99" s="7">
        <f>IF($E99="","",P99*Z99/100)</f>
        <v/>
      </c>
      <c r="R99" s="7" t="n"/>
      <c r="Y99" s="7" t="n"/>
      <c r="Z99" s="7" t="n"/>
      <c r="AA99" s="7" t="n"/>
      <c r="AD99">
        <f>IF($E99="","",IF($AT99=1,Settings!$C$8,IF($AS99=1,Settings!$C$6,Settings!$C$7))*100)</f>
        <v/>
      </c>
      <c r="AE99" s="7">
        <f>IF($E99="","",Z99*AD99/100)</f>
        <v/>
      </c>
      <c r="AF99" s="7">
        <f>IF($E99="","",Z99-AE99)</f>
        <v/>
      </c>
      <c r="AG99" s="7">
        <f>IF($E99="","",AF99-Q99)</f>
        <v/>
      </c>
      <c r="AK99" s="7" t="n"/>
      <c r="AN99" s="14" t="n"/>
      <c r="AQ99">
        <f>IF($E99="","",IF(COUNTIF($E$2:$E99,$E99)=1,1,0))</f>
        <v/>
      </c>
      <c r="AR99">
        <f>IF($AQ99=1,SUMPRODUCT(--($AU$2:$AU$1501&lt;$AU99))+1,"")</f>
        <v/>
      </c>
      <c r="AS99">
        <f>IF($E99="","",IF(OR($U99=TRUE(),$U99="TRUE"),1,0))</f>
        <v/>
      </c>
      <c r="AT99">
        <f>IF($E99="","",IF($AC99="Yes",1,0))</f>
        <v/>
      </c>
      <c r="AU99">
        <f>IF($AQ99=1,IFERROR(IF(VALUE($E99)&lt;100000000,VALUE($E99),1000000000),IFERROR(IF(VALUE(MID($E99,2,20))&lt;100000000,VALUE(MID($E99,2,20)),1000000000),1000000000))+ROW()/100000,"")</f>
        <v/>
      </c>
    </row>
    <row r="100">
      <c r="G100" s="14" t="n"/>
      <c r="Q100" s="7">
        <f>IF($E100="","",P100*Z100/100)</f>
        <v/>
      </c>
      <c r="R100" s="7" t="n"/>
      <c r="Y100" s="7" t="n"/>
      <c r="Z100" s="7" t="n"/>
      <c r="AA100" s="7" t="n"/>
      <c r="AD100">
        <f>IF($E100="","",IF($AT100=1,Settings!$C$8,IF($AS100=1,Settings!$C$6,Settings!$C$7))*100)</f>
        <v/>
      </c>
      <c r="AE100" s="7">
        <f>IF($E100="","",Z100*AD100/100)</f>
        <v/>
      </c>
      <c r="AF100" s="7">
        <f>IF($E100="","",Z100-AE100)</f>
        <v/>
      </c>
      <c r="AG100" s="7">
        <f>IF($E100="","",AF100-Q100)</f>
        <v/>
      </c>
      <c r="AK100" s="7" t="n"/>
      <c r="AN100" s="14" t="n"/>
      <c r="AQ100">
        <f>IF($E100="","",IF(COUNTIF($E$2:$E100,$E100)=1,1,0))</f>
        <v/>
      </c>
      <c r="AR100">
        <f>IF($AQ100=1,SUMPRODUCT(--($AU$2:$AU$1501&lt;$AU100))+1,"")</f>
        <v/>
      </c>
      <c r="AS100">
        <f>IF($E100="","",IF(OR($U100=TRUE(),$U100="TRUE"),1,0))</f>
        <v/>
      </c>
      <c r="AT100">
        <f>IF($E100="","",IF($AC100="Yes",1,0))</f>
        <v/>
      </c>
      <c r="AU100">
        <f>IF($AQ100=1,IFERROR(IF(VALUE($E100)&lt;100000000,VALUE($E100),1000000000),IFERROR(IF(VALUE(MID($E100,2,20))&lt;100000000,VALUE(MID($E100,2,20)),1000000000),1000000000))+ROW()/100000,"")</f>
        <v/>
      </c>
    </row>
    <row r="101">
      <c r="G101" s="14" t="n"/>
      <c r="Q101" s="7">
        <f>IF($E101="","",P101*Z101/100)</f>
        <v/>
      </c>
      <c r="R101" s="7" t="n"/>
      <c r="Y101" s="7" t="n"/>
      <c r="Z101" s="7" t="n"/>
      <c r="AA101" s="7" t="n"/>
      <c r="AD101">
        <f>IF($E101="","",IF($AT101=1,Settings!$C$8,IF($AS101=1,Settings!$C$6,Settings!$C$7))*100)</f>
        <v/>
      </c>
      <c r="AE101" s="7">
        <f>IF($E101="","",Z101*AD101/100)</f>
        <v/>
      </c>
      <c r="AF101" s="7">
        <f>IF($E101="","",Z101-AE101)</f>
        <v/>
      </c>
      <c r="AG101" s="7">
        <f>IF($E101="","",AF101-Q101)</f>
        <v/>
      </c>
      <c r="AK101" s="7" t="n"/>
      <c r="AN101" s="14" t="n"/>
      <c r="AQ101">
        <f>IF($E101="","",IF(COUNTIF($E$2:$E101,$E101)=1,1,0))</f>
        <v/>
      </c>
      <c r="AR101">
        <f>IF($AQ101=1,SUMPRODUCT(--($AU$2:$AU$1501&lt;$AU101))+1,"")</f>
        <v/>
      </c>
      <c r="AS101">
        <f>IF($E101="","",IF(OR($U101=TRUE(),$U101="TRUE"),1,0))</f>
        <v/>
      </c>
      <c r="AT101">
        <f>IF($E101="","",IF($AC101="Yes",1,0))</f>
        <v/>
      </c>
      <c r="AU101">
        <f>IF($AQ101=1,IFERROR(IF(VALUE($E101)&lt;100000000,VALUE($E101),1000000000),IFERROR(IF(VALUE(MID($E101,2,20))&lt;100000000,VALUE(MID($E101,2,20)),1000000000),1000000000))+ROW()/100000,"")</f>
        <v/>
      </c>
    </row>
    <row r="102">
      <c r="G102" s="14" t="n"/>
      <c r="Q102" s="7">
        <f>IF($E102="","",P102*Z102/100)</f>
        <v/>
      </c>
      <c r="R102" s="7" t="n"/>
      <c r="Y102" s="7" t="n"/>
      <c r="Z102" s="7" t="n"/>
      <c r="AA102" s="7" t="n"/>
      <c r="AD102">
        <f>IF($E102="","",IF($AT102=1,Settings!$C$8,IF($AS102=1,Settings!$C$6,Settings!$C$7))*100)</f>
        <v/>
      </c>
      <c r="AE102" s="7">
        <f>IF($E102="","",Z102*AD102/100)</f>
        <v/>
      </c>
      <c r="AF102" s="7">
        <f>IF($E102="","",Z102-AE102)</f>
        <v/>
      </c>
      <c r="AG102" s="7">
        <f>IF($E102="","",AF102-Q102)</f>
        <v/>
      </c>
      <c r="AK102" s="7" t="n"/>
      <c r="AN102" s="14" t="n"/>
      <c r="AQ102">
        <f>IF($E102="","",IF(COUNTIF($E$2:$E102,$E102)=1,1,0))</f>
        <v/>
      </c>
      <c r="AR102">
        <f>IF($AQ102=1,SUMPRODUCT(--($AU$2:$AU$1501&lt;$AU102))+1,"")</f>
        <v/>
      </c>
      <c r="AS102">
        <f>IF($E102="","",IF(OR($U102=TRUE(),$U102="TRUE"),1,0))</f>
        <v/>
      </c>
      <c r="AT102">
        <f>IF($E102="","",IF($AC102="Yes",1,0))</f>
        <v/>
      </c>
      <c r="AU102">
        <f>IF($AQ102=1,IFERROR(IF(VALUE($E102)&lt;100000000,VALUE($E102),1000000000),IFERROR(IF(VALUE(MID($E102,2,20))&lt;100000000,VALUE(MID($E102,2,20)),1000000000),1000000000))+ROW()/100000,"")</f>
        <v/>
      </c>
    </row>
    <row r="103">
      <c r="G103" s="14" t="n"/>
      <c r="Q103" s="7">
        <f>IF($E103="","",P103*Z103/100)</f>
        <v/>
      </c>
      <c r="R103" s="7" t="n"/>
      <c r="Y103" s="7" t="n"/>
      <c r="Z103" s="7" t="n"/>
      <c r="AA103" s="7" t="n"/>
      <c r="AD103">
        <f>IF($E103="","",IF($AT103=1,Settings!$C$8,IF($AS103=1,Settings!$C$6,Settings!$C$7))*100)</f>
        <v/>
      </c>
      <c r="AE103" s="7">
        <f>IF($E103="","",Z103*AD103/100)</f>
        <v/>
      </c>
      <c r="AF103" s="7">
        <f>IF($E103="","",Z103-AE103)</f>
        <v/>
      </c>
      <c r="AG103" s="7">
        <f>IF($E103="","",AF103-Q103)</f>
        <v/>
      </c>
      <c r="AK103" s="7" t="n"/>
      <c r="AN103" s="14" t="n"/>
      <c r="AQ103">
        <f>IF($E103="","",IF(COUNTIF($E$2:$E103,$E103)=1,1,0))</f>
        <v/>
      </c>
      <c r="AR103">
        <f>IF($AQ103=1,SUMPRODUCT(--($AU$2:$AU$1501&lt;$AU103))+1,"")</f>
        <v/>
      </c>
      <c r="AS103">
        <f>IF($E103="","",IF(OR($U103=TRUE(),$U103="TRUE"),1,0))</f>
        <v/>
      </c>
      <c r="AT103">
        <f>IF($E103="","",IF($AC103="Yes",1,0))</f>
        <v/>
      </c>
      <c r="AU103">
        <f>IF($AQ103=1,IFERROR(IF(VALUE($E103)&lt;100000000,VALUE($E103),1000000000),IFERROR(IF(VALUE(MID($E103,2,20))&lt;100000000,VALUE(MID($E103,2,20)),1000000000),1000000000))+ROW()/100000,"")</f>
        <v/>
      </c>
    </row>
    <row r="104">
      <c r="G104" s="14" t="n"/>
      <c r="Q104" s="7">
        <f>IF($E104="","",P104*Z104/100)</f>
        <v/>
      </c>
      <c r="R104" s="7" t="n"/>
      <c r="Y104" s="7" t="n"/>
      <c r="Z104" s="7" t="n"/>
      <c r="AA104" s="7" t="n"/>
      <c r="AD104">
        <f>IF($E104="","",IF($AT104=1,Settings!$C$8,IF($AS104=1,Settings!$C$6,Settings!$C$7))*100)</f>
        <v/>
      </c>
      <c r="AE104" s="7">
        <f>IF($E104="","",Z104*AD104/100)</f>
        <v/>
      </c>
      <c r="AF104" s="7">
        <f>IF($E104="","",Z104-AE104)</f>
        <v/>
      </c>
      <c r="AG104" s="7">
        <f>IF($E104="","",AF104-Q104)</f>
        <v/>
      </c>
      <c r="AK104" s="7" t="n"/>
      <c r="AN104" s="14" t="n"/>
      <c r="AQ104">
        <f>IF($E104="","",IF(COUNTIF($E$2:$E104,$E104)=1,1,0))</f>
        <v/>
      </c>
      <c r="AR104">
        <f>IF($AQ104=1,SUMPRODUCT(--($AU$2:$AU$1501&lt;$AU104))+1,"")</f>
        <v/>
      </c>
      <c r="AS104">
        <f>IF($E104="","",IF(OR($U104=TRUE(),$U104="TRUE"),1,0))</f>
        <v/>
      </c>
      <c r="AT104">
        <f>IF($E104="","",IF($AC104="Yes",1,0))</f>
        <v/>
      </c>
      <c r="AU104">
        <f>IF($AQ104=1,IFERROR(IF(VALUE($E104)&lt;100000000,VALUE($E104),1000000000),IFERROR(IF(VALUE(MID($E104,2,20))&lt;100000000,VALUE(MID($E104,2,20)),1000000000),1000000000))+ROW()/100000,"")</f>
        <v/>
      </c>
    </row>
    <row r="105">
      <c r="G105" s="14" t="n"/>
      <c r="Q105" s="7">
        <f>IF($E105="","",P105*Z105/100)</f>
        <v/>
      </c>
      <c r="R105" s="7" t="n"/>
      <c r="Y105" s="7" t="n"/>
      <c r="Z105" s="7" t="n"/>
      <c r="AA105" s="7" t="n"/>
      <c r="AD105">
        <f>IF($E105="","",IF($AT105=1,Settings!$C$8,IF($AS105=1,Settings!$C$6,Settings!$C$7))*100)</f>
        <v/>
      </c>
      <c r="AE105" s="7">
        <f>IF($E105="","",Z105*AD105/100)</f>
        <v/>
      </c>
      <c r="AF105" s="7">
        <f>IF($E105="","",Z105-AE105)</f>
        <v/>
      </c>
      <c r="AG105" s="7">
        <f>IF($E105="","",AF105-Q105)</f>
        <v/>
      </c>
      <c r="AK105" s="7" t="n"/>
      <c r="AN105" s="14" t="n"/>
      <c r="AQ105">
        <f>IF($E105="","",IF(COUNTIF($E$2:$E105,$E105)=1,1,0))</f>
        <v/>
      </c>
      <c r="AR105">
        <f>IF($AQ105=1,SUMPRODUCT(--($AU$2:$AU$1501&lt;$AU105))+1,"")</f>
        <v/>
      </c>
      <c r="AS105">
        <f>IF($E105="","",IF(OR($U105=TRUE(),$U105="TRUE"),1,0))</f>
        <v/>
      </c>
      <c r="AT105">
        <f>IF($E105="","",IF($AC105="Yes",1,0))</f>
        <v/>
      </c>
      <c r="AU105">
        <f>IF($AQ105=1,IFERROR(IF(VALUE($E105)&lt;100000000,VALUE($E105),1000000000),IFERROR(IF(VALUE(MID($E105,2,20))&lt;100000000,VALUE(MID($E105,2,20)),1000000000),1000000000))+ROW()/100000,"")</f>
        <v/>
      </c>
    </row>
    <row r="106">
      <c r="G106" s="14" t="n"/>
      <c r="Q106" s="7">
        <f>IF($E106="","",P106*Z106/100)</f>
        <v/>
      </c>
      <c r="R106" s="7" t="n"/>
      <c r="Y106" s="7" t="n"/>
      <c r="Z106" s="7" t="n"/>
      <c r="AA106" s="7" t="n"/>
      <c r="AD106">
        <f>IF($E106="","",IF($AT106=1,Settings!$C$8,IF($AS106=1,Settings!$C$6,Settings!$C$7))*100)</f>
        <v/>
      </c>
      <c r="AE106" s="7">
        <f>IF($E106="","",Z106*AD106/100)</f>
        <v/>
      </c>
      <c r="AF106" s="7">
        <f>IF($E106="","",Z106-AE106)</f>
        <v/>
      </c>
      <c r="AG106" s="7">
        <f>IF($E106="","",AF106-Q106)</f>
        <v/>
      </c>
      <c r="AK106" s="7" t="n"/>
      <c r="AN106" s="14" t="n"/>
      <c r="AQ106">
        <f>IF($E106="","",IF(COUNTIF($E$2:$E106,$E106)=1,1,0))</f>
        <v/>
      </c>
      <c r="AR106">
        <f>IF($AQ106=1,SUMPRODUCT(--($AU$2:$AU$1501&lt;$AU106))+1,"")</f>
        <v/>
      </c>
      <c r="AS106">
        <f>IF($E106="","",IF(OR($U106=TRUE(),$U106="TRUE"),1,0))</f>
        <v/>
      </c>
      <c r="AT106">
        <f>IF($E106="","",IF($AC106="Yes",1,0))</f>
        <v/>
      </c>
      <c r="AU106">
        <f>IF($AQ106=1,IFERROR(IF(VALUE($E106)&lt;100000000,VALUE($E106),1000000000),IFERROR(IF(VALUE(MID($E106,2,20))&lt;100000000,VALUE(MID($E106,2,20)),1000000000),1000000000))+ROW()/100000,"")</f>
        <v/>
      </c>
    </row>
    <row r="107">
      <c r="G107" s="14" t="n"/>
      <c r="Q107" s="7">
        <f>IF($E107="","",P107*Z107/100)</f>
        <v/>
      </c>
      <c r="R107" s="7" t="n"/>
      <c r="Y107" s="7" t="n"/>
      <c r="Z107" s="7" t="n"/>
      <c r="AA107" s="7" t="n"/>
      <c r="AD107">
        <f>IF($E107="","",IF($AT107=1,Settings!$C$8,IF($AS107=1,Settings!$C$6,Settings!$C$7))*100)</f>
        <v/>
      </c>
      <c r="AE107" s="7">
        <f>IF($E107="","",Z107*AD107/100)</f>
        <v/>
      </c>
      <c r="AF107" s="7">
        <f>IF($E107="","",Z107-AE107)</f>
        <v/>
      </c>
      <c r="AG107" s="7">
        <f>IF($E107="","",AF107-Q107)</f>
        <v/>
      </c>
      <c r="AK107" s="7" t="n"/>
      <c r="AN107" s="14" t="n"/>
      <c r="AQ107">
        <f>IF($E107="","",IF(COUNTIF($E$2:$E107,$E107)=1,1,0))</f>
        <v/>
      </c>
      <c r="AR107">
        <f>IF($AQ107=1,SUMPRODUCT(--($AU$2:$AU$1501&lt;$AU107))+1,"")</f>
        <v/>
      </c>
      <c r="AS107">
        <f>IF($E107="","",IF(OR($U107=TRUE(),$U107="TRUE"),1,0))</f>
        <v/>
      </c>
      <c r="AT107">
        <f>IF($E107="","",IF($AC107="Yes",1,0))</f>
        <v/>
      </c>
      <c r="AU107">
        <f>IF($AQ107=1,IFERROR(IF(VALUE($E107)&lt;100000000,VALUE($E107),1000000000),IFERROR(IF(VALUE(MID($E107,2,20))&lt;100000000,VALUE(MID($E107,2,20)),1000000000),1000000000))+ROW()/100000,"")</f>
        <v/>
      </c>
    </row>
    <row r="108">
      <c r="G108" s="14" t="n"/>
      <c r="Q108" s="7">
        <f>IF($E108="","",P108*Z108/100)</f>
        <v/>
      </c>
      <c r="R108" s="7" t="n"/>
      <c r="Y108" s="7" t="n"/>
      <c r="Z108" s="7" t="n"/>
      <c r="AA108" s="7" t="n"/>
      <c r="AD108">
        <f>IF($E108="","",IF($AT108=1,Settings!$C$8,IF($AS108=1,Settings!$C$6,Settings!$C$7))*100)</f>
        <v/>
      </c>
      <c r="AE108" s="7">
        <f>IF($E108="","",Z108*AD108/100)</f>
        <v/>
      </c>
      <c r="AF108" s="7">
        <f>IF($E108="","",Z108-AE108)</f>
        <v/>
      </c>
      <c r="AG108" s="7">
        <f>IF($E108="","",AF108-Q108)</f>
        <v/>
      </c>
      <c r="AK108" s="7" t="n"/>
      <c r="AN108" s="14" t="n"/>
      <c r="AQ108">
        <f>IF($E108="","",IF(COUNTIF($E$2:$E108,$E108)=1,1,0))</f>
        <v/>
      </c>
      <c r="AR108">
        <f>IF($AQ108=1,SUMPRODUCT(--($AU$2:$AU$1501&lt;$AU108))+1,"")</f>
        <v/>
      </c>
      <c r="AS108">
        <f>IF($E108="","",IF(OR($U108=TRUE(),$U108="TRUE"),1,0))</f>
        <v/>
      </c>
      <c r="AT108">
        <f>IF($E108="","",IF($AC108="Yes",1,0))</f>
        <v/>
      </c>
      <c r="AU108">
        <f>IF($AQ108=1,IFERROR(IF(VALUE($E108)&lt;100000000,VALUE($E108),1000000000),IFERROR(IF(VALUE(MID($E108,2,20))&lt;100000000,VALUE(MID($E108,2,20)),1000000000),1000000000))+ROW()/100000,"")</f>
        <v/>
      </c>
    </row>
    <row r="109">
      <c r="G109" s="14" t="n"/>
      <c r="Q109" s="7">
        <f>IF($E109="","",P109*Z109/100)</f>
        <v/>
      </c>
      <c r="R109" s="7" t="n"/>
      <c r="Y109" s="7" t="n"/>
      <c r="Z109" s="7" t="n"/>
      <c r="AA109" s="7" t="n"/>
      <c r="AD109">
        <f>IF($E109="","",IF($AT109=1,Settings!$C$8,IF($AS109=1,Settings!$C$6,Settings!$C$7))*100)</f>
        <v/>
      </c>
      <c r="AE109" s="7">
        <f>IF($E109="","",Z109*AD109/100)</f>
        <v/>
      </c>
      <c r="AF109" s="7">
        <f>IF($E109="","",Z109-AE109)</f>
        <v/>
      </c>
      <c r="AG109" s="7">
        <f>IF($E109="","",AF109-Q109)</f>
        <v/>
      </c>
      <c r="AK109" s="7" t="n"/>
      <c r="AN109" s="14" t="n"/>
      <c r="AQ109">
        <f>IF($E109="","",IF(COUNTIF($E$2:$E109,$E109)=1,1,0))</f>
        <v/>
      </c>
      <c r="AR109">
        <f>IF($AQ109=1,SUMPRODUCT(--($AU$2:$AU$1501&lt;$AU109))+1,"")</f>
        <v/>
      </c>
      <c r="AS109">
        <f>IF($E109="","",IF(OR($U109=TRUE(),$U109="TRUE"),1,0))</f>
        <v/>
      </c>
      <c r="AT109">
        <f>IF($E109="","",IF($AC109="Yes",1,0))</f>
        <v/>
      </c>
      <c r="AU109">
        <f>IF($AQ109=1,IFERROR(IF(VALUE($E109)&lt;100000000,VALUE($E109),1000000000),IFERROR(IF(VALUE(MID($E109,2,20))&lt;100000000,VALUE(MID($E109,2,20)),1000000000),1000000000))+ROW()/100000,"")</f>
        <v/>
      </c>
    </row>
    <row r="110">
      <c r="G110" s="14" t="n"/>
      <c r="Q110" s="7">
        <f>IF($E110="","",P110*Z110/100)</f>
        <v/>
      </c>
      <c r="R110" s="7" t="n"/>
      <c r="Y110" s="7" t="n"/>
      <c r="Z110" s="7" t="n"/>
      <c r="AA110" s="7" t="n"/>
      <c r="AD110">
        <f>IF($E110="","",IF($AT110=1,Settings!$C$8,IF($AS110=1,Settings!$C$6,Settings!$C$7))*100)</f>
        <v/>
      </c>
      <c r="AE110" s="7">
        <f>IF($E110="","",Z110*AD110/100)</f>
        <v/>
      </c>
      <c r="AF110" s="7">
        <f>IF($E110="","",Z110-AE110)</f>
        <v/>
      </c>
      <c r="AG110" s="7">
        <f>IF($E110="","",AF110-Q110)</f>
        <v/>
      </c>
      <c r="AK110" s="7" t="n"/>
      <c r="AN110" s="14" t="n"/>
      <c r="AQ110">
        <f>IF($E110="","",IF(COUNTIF($E$2:$E110,$E110)=1,1,0))</f>
        <v/>
      </c>
      <c r="AR110">
        <f>IF($AQ110=1,SUMPRODUCT(--($AU$2:$AU$1501&lt;$AU110))+1,"")</f>
        <v/>
      </c>
      <c r="AS110">
        <f>IF($E110="","",IF(OR($U110=TRUE(),$U110="TRUE"),1,0))</f>
        <v/>
      </c>
      <c r="AT110">
        <f>IF($E110="","",IF($AC110="Yes",1,0))</f>
        <v/>
      </c>
      <c r="AU110">
        <f>IF($AQ110=1,IFERROR(IF(VALUE($E110)&lt;100000000,VALUE($E110),1000000000),IFERROR(IF(VALUE(MID($E110,2,20))&lt;100000000,VALUE(MID($E110,2,20)),1000000000),1000000000))+ROW()/100000,"")</f>
        <v/>
      </c>
    </row>
    <row r="111">
      <c r="G111" s="14" t="n"/>
      <c r="Q111" s="7">
        <f>IF($E111="","",P111*Z111/100)</f>
        <v/>
      </c>
      <c r="R111" s="7" t="n"/>
      <c r="Y111" s="7" t="n"/>
      <c r="Z111" s="7" t="n"/>
      <c r="AA111" s="7" t="n"/>
      <c r="AD111">
        <f>IF($E111="","",IF($AT111=1,Settings!$C$8,IF($AS111=1,Settings!$C$6,Settings!$C$7))*100)</f>
        <v/>
      </c>
      <c r="AE111" s="7">
        <f>IF($E111="","",Z111*AD111/100)</f>
        <v/>
      </c>
      <c r="AF111" s="7">
        <f>IF($E111="","",Z111-AE111)</f>
        <v/>
      </c>
      <c r="AG111" s="7">
        <f>IF($E111="","",AF111-Q111)</f>
        <v/>
      </c>
      <c r="AK111" s="7" t="n"/>
      <c r="AN111" s="14" t="n"/>
      <c r="AQ111">
        <f>IF($E111="","",IF(COUNTIF($E$2:$E111,$E111)=1,1,0))</f>
        <v/>
      </c>
      <c r="AR111">
        <f>IF($AQ111=1,SUMPRODUCT(--($AU$2:$AU$1501&lt;$AU111))+1,"")</f>
        <v/>
      </c>
      <c r="AS111">
        <f>IF($E111="","",IF(OR($U111=TRUE(),$U111="TRUE"),1,0))</f>
        <v/>
      </c>
      <c r="AT111">
        <f>IF($E111="","",IF($AC111="Yes",1,0))</f>
        <v/>
      </c>
      <c r="AU111">
        <f>IF($AQ111=1,IFERROR(IF(VALUE($E111)&lt;100000000,VALUE($E111),1000000000),IFERROR(IF(VALUE(MID($E111,2,20))&lt;100000000,VALUE(MID($E111,2,20)),1000000000),1000000000))+ROW()/100000,"")</f>
        <v/>
      </c>
    </row>
    <row r="112">
      <c r="G112" s="14" t="n"/>
      <c r="Q112" s="7">
        <f>IF($E112="","",P112*Z112/100)</f>
        <v/>
      </c>
      <c r="R112" s="7" t="n"/>
      <c r="Y112" s="7" t="n"/>
      <c r="Z112" s="7" t="n"/>
      <c r="AA112" s="7" t="n"/>
      <c r="AD112">
        <f>IF($E112="","",IF($AT112=1,Settings!$C$8,IF($AS112=1,Settings!$C$6,Settings!$C$7))*100)</f>
        <v/>
      </c>
      <c r="AE112" s="7">
        <f>IF($E112="","",Z112*AD112/100)</f>
        <v/>
      </c>
      <c r="AF112" s="7">
        <f>IF($E112="","",Z112-AE112)</f>
        <v/>
      </c>
      <c r="AG112" s="7">
        <f>IF($E112="","",AF112-Q112)</f>
        <v/>
      </c>
      <c r="AK112" s="7" t="n"/>
      <c r="AN112" s="14" t="n"/>
      <c r="AQ112">
        <f>IF($E112="","",IF(COUNTIF($E$2:$E112,$E112)=1,1,0))</f>
        <v/>
      </c>
      <c r="AR112">
        <f>IF($AQ112=1,SUMPRODUCT(--($AU$2:$AU$1501&lt;$AU112))+1,"")</f>
        <v/>
      </c>
      <c r="AS112">
        <f>IF($E112="","",IF(OR($U112=TRUE(),$U112="TRUE"),1,0))</f>
        <v/>
      </c>
      <c r="AT112">
        <f>IF($E112="","",IF($AC112="Yes",1,0))</f>
        <v/>
      </c>
      <c r="AU112">
        <f>IF($AQ112=1,IFERROR(IF(VALUE($E112)&lt;100000000,VALUE($E112),1000000000),IFERROR(IF(VALUE(MID($E112,2,20))&lt;100000000,VALUE(MID($E112,2,20)),1000000000),1000000000))+ROW()/100000,"")</f>
        <v/>
      </c>
    </row>
    <row r="113">
      <c r="G113" s="14" t="n"/>
      <c r="Q113" s="7">
        <f>IF($E113="","",P113*Z113/100)</f>
        <v/>
      </c>
      <c r="R113" s="7" t="n"/>
      <c r="Y113" s="7" t="n"/>
      <c r="Z113" s="7" t="n"/>
      <c r="AA113" s="7" t="n"/>
      <c r="AD113">
        <f>IF($E113="","",IF($AT113=1,Settings!$C$8,IF($AS113=1,Settings!$C$6,Settings!$C$7))*100)</f>
        <v/>
      </c>
      <c r="AE113" s="7">
        <f>IF($E113="","",Z113*AD113/100)</f>
        <v/>
      </c>
      <c r="AF113" s="7">
        <f>IF($E113="","",Z113-AE113)</f>
        <v/>
      </c>
      <c r="AG113" s="7">
        <f>IF($E113="","",AF113-Q113)</f>
        <v/>
      </c>
      <c r="AK113" s="7" t="n"/>
      <c r="AN113" s="14" t="n"/>
      <c r="AQ113">
        <f>IF($E113="","",IF(COUNTIF($E$2:$E113,$E113)=1,1,0))</f>
        <v/>
      </c>
      <c r="AR113">
        <f>IF($AQ113=1,SUMPRODUCT(--($AU$2:$AU$1501&lt;$AU113))+1,"")</f>
        <v/>
      </c>
      <c r="AS113">
        <f>IF($E113="","",IF(OR($U113=TRUE(),$U113="TRUE"),1,0))</f>
        <v/>
      </c>
      <c r="AT113">
        <f>IF($E113="","",IF($AC113="Yes",1,0))</f>
        <v/>
      </c>
      <c r="AU113">
        <f>IF($AQ113=1,IFERROR(IF(VALUE($E113)&lt;100000000,VALUE($E113),1000000000),IFERROR(IF(VALUE(MID($E113,2,20))&lt;100000000,VALUE(MID($E113,2,20)),1000000000),1000000000))+ROW()/100000,"")</f>
        <v/>
      </c>
    </row>
    <row r="114">
      <c r="G114" s="14" t="n"/>
      <c r="Q114" s="7">
        <f>IF($E114="","",P114*Z114/100)</f>
        <v/>
      </c>
      <c r="R114" s="7" t="n"/>
      <c r="Y114" s="7" t="n"/>
      <c r="Z114" s="7" t="n"/>
      <c r="AA114" s="7" t="n"/>
      <c r="AD114">
        <f>IF($E114="","",IF($AT114=1,Settings!$C$8,IF($AS114=1,Settings!$C$6,Settings!$C$7))*100)</f>
        <v/>
      </c>
      <c r="AE114" s="7">
        <f>IF($E114="","",Z114*AD114/100)</f>
        <v/>
      </c>
      <c r="AF114" s="7">
        <f>IF($E114="","",Z114-AE114)</f>
        <v/>
      </c>
      <c r="AG114" s="7">
        <f>IF($E114="","",AF114-Q114)</f>
        <v/>
      </c>
      <c r="AK114" s="7" t="n"/>
      <c r="AN114" s="14" t="n"/>
      <c r="AQ114">
        <f>IF($E114="","",IF(COUNTIF($E$2:$E114,$E114)=1,1,0))</f>
        <v/>
      </c>
      <c r="AR114">
        <f>IF($AQ114=1,SUMPRODUCT(--($AU$2:$AU$1501&lt;$AU114))+1,"")</f>
        <v/>
      </c>
      <c r="AS114">
        <f>IF($E114="","",IF(OR($U114=TRUE(),$U114="TRUE"),1,0))</f>
        <v/>
      </c>
      <c r="AT114">
        <f>IF($E114="","",IF($AC114="Yes",1,0))</f>
        <v/>
      </c>
      <c r="AU114">
        <f>IF($AQ114=1,IFERROR(IF(VALUE($E114)&lt;100000000,VALUE($E114),1000000000),IFERROR(IF(VALUE(MID($E114,2,20))&lt;100000000,VALUE(MID($E114,2,20)),1000000000),1000000000))+ROW()/100000,"")</f>
        <v/>
      </c>
    </row>
    <row r="115">
      <c r="G115" s="14" t="n"/>
      <c r="Q115" s="7">
        <f>IF($E115="","",P115*Z115/100)</f>
        <v/>
      </c>
      <c r="R115" s="7" t="n"/>
      <c r="Y115" s="7" t="n"/>
      <c r="Z115" s="7" t="n"/>
      <c r="AA115" s="7" t="n"/>
      <c r="AD115">
        <f>IF($E115="","",IF($AT115=1,Settings!$C$8,IF($AS115=1,Settings!$C$6,Settings!$C$7))*100)</f>
        <v/>
      </c>
      <c r="AE115" s="7">
        <f>IF($E115="","",Z115*AD115/100)</f>
        <v/>
      </c>
      <c r="AF115" s="7">
        <f>IF($E115="","",Z115-AE115)</f>
        <v/>
      </c>
      <c r="AG115" s="7">
        <f>IF($E115="","",AF115-Q115)</f>
        <v/>
      </c>
      <c r="AK115" s="7" t="n"/>
      <c r="AN115" s="14" t="n"/>
      <c r="AQ115">
        <f>IF($E115="","",IF(COUNTIF($E$2:$E115,$E115)=1,1,0))</f>
        <v/>
      </c>
      <c r="AR115">
        <f>IF($AQ115=1,SUMPRODUCT(--($AU$2:$AU$1501&lt;$AU115))+1,"")</f>
        <v/>
      </c>
      <c r="AS115">
        <f>IF($E115="","",IF(OR($U115=TRUE(),$U115="TRUE"),1,0))</f>
        <v/>
      </c>
      <c r="AT115">
        <f>IF($E115="","",IF($AC115="Yes",1,0))</f>
        <v/>
      </c>
      <c r="AU115">
        <f>IF($AQ115=1,IFERROR(IF(VALUE($E115)&lt;100000000,VALUE($E115),1000000000),IFERROR(IF(VALUE(MID($E115,2,20))&lt;100000000,VALUE(MID($E115,2,20)),1000000000),1000000000))+ROW()/100000,"")</f>
        <v/>
      </c>
    </row>
    <row r="116">
      <c r="G116" s="14" t="n"/>
      <c r="Q116" s="7">
        <f>IF($E116="","",P116*Z116/100)</f>
        <v/>
      </c>
      <c r="R116" s="7" t="n"/>
      <c r="Y116" s="7" t="n"/>
      <c r="Z116" s="7" t="n"/>
      <c r="AA116" s="7" t="n"/>
      <c r="AD116">
        <f>IF($E116="","",IF($AT116=1,Settings!$C$8,IF($AS116=1,Settings!$C$6,Settings!$C$7))*100)</f>
        <v/>
      </c>
      <c r="AE116" s="7">
        <f>IF($E116="","",Z116*AD116/100)</f>
        <v/>
      </c>
      <c r="AF116" s="7">
        <f>IF($E116="","",Z116-AE116)</f>
        <v/>
      </c>
      <c r="AG116" s="7">
        <f>IF($E116="","",AF116-Q116)</f>
        <v/>
      </c>
      <c r="AK116" s="7" t="n"/>
      <c r="AN116" s="14" t="n"/>
      <c r="AQ116">
        <f>IF($E116="","",IF(COUNTIF($E$2:$E116,$E116)=1,1,0))</f>
        <v/>
      </c>
      <c r="AR116">
        <f>IF($AQ116=1,SUMPRODUCT(--($AU$2:$AU$1501&lt;$AU116))+1,"")</f>
        <v/>
      </c>
      <c r="AS116">
        <f>IF($E116="","",IF(OR($U116=TRUE(),$U116="TRUE"),1,0))</f>
        <v/>
      </c>
      <c r="AT116">
        <f>IF($E116="","",IF($AC116="Yes",1,0))</f>
        <v/>
      </c>
      <c r="AU116">
        <f>IF($AQ116=1,IFERROR(IF(VALUE($E116)&lt;100000000,VALUE($E116),1000000000),IFERROR(IF(VALUE(MID($E116,2,20))&lt;100000000,VALUE(MID($E116,2,20)),1000000000),1000000000))+ROW()/100000,"")</f>
        <v/>
      </c>
    </row>
    <row r="117">
      <c r="G117" s="14" t="n"/>
      <c r="Q117" s="7">
        <f>IF($E117="","",P117*Z117/100)</f>
        <v/>
      </c>
      <c r="R117" s="7" t="n"/>
      <c r="Y117" s="7" t="n"/>
      <c r="Z117" s="7" t="n"/>
      <c r="AA117" s="7" t="n"/>
      <c r="AD117">
        <f>IF($E117="","",IF($AT117=1,Settings!$C$8,IF($AS117=1,Settings!$C$6,Settings!$C$7))*100)</f>
        <v/>
      </c>
      <c r="AE117" s="7">
        <f>IF($E117="","",Z117*AD117/100)</f>
        <v/>
      </c>
      <c r="AF117" s="7">
        <f>IF($E117="","",Z117-AE117)</f>
        <v/>
      </c>
      <c r="AG117" s="7">
        <f>IF($E117="","",AF117-Q117)</f>
        <v/>
      </c>
      <c r="AK117" s="7" t="n"/>
      <c r="AN117" s="14" t="n"/>
      <c r="AQ117">
        <f>IF($E117="","",IF(COUNTIF($E$2:$E117,$E117)=1,1,0))</f>
        <v/>
      </c>
      <c r="AR117">
        <f>IF($AQ117=1,SUMPRODUCT(--($AU$2:$AU$1501&lt;$AU117))+1,"")</f>
        <v/>
      </c>
      <c r="AS117">
        <f>IF($E117="","",IF(OR($U117=TRUE(),$U117="TRUE"),1,0))</f>
        <v/>
      </c>
      <c r="AT117">
        <f>IF($E117="","",IF($AC117="Yes",1,0))</f>
        <v/>
      </c>
      <c r="AU117">
        <f>IF($AQ117=1,IFERROR(IF(VALUE($E117)&lt;100000000,VALUE($E117),1000000000),IFERROR(IF(VALUE(MID($E117,2,20))&lt;100000000,VALUE(MID($E117,2,20)),1000000000),1000000000))+ROW()/100000,"")</f>
        <v/>
      </c>
    </row>
    <row r="118">
      <c r="G118" s="14" t="n"/>
      <c r="Q118" s="7">
        <f>IF($E118="","",P118*Z118/100)</f>
        <v/>
      </c>
      <c r="R118" s="7" t="n"/>
      <c r="Y118" s="7" t="n"/>
      <c r="Z118" s="7" t="n"/>
      <c r="AA118" s="7" t="n"/>
      <c r="AD118">
        <f>IF($E118="","",IF($AT118=1,Settings!$C$8,IF($AS118=1,Settings!$C$6,Settings!$C$7))*100)</f>
        <v/>
      </c>
      <c r="AE118" s="7">
        <f>IF($E118="","",Z118*AD118/100)</f>
        <v/>
      </c>
      <c r="AF118" s="7">
        <f>IF($E118="","",Z118-AE118)</f>
        <v/>
      </c>
      <c r="AG118" s="7">
        <f>IF($E118="","",AF118-Q118)</f>
        <v/>
      </c>
      <c r="AK118" s="7" t="n"/>
      <c r="AN118" s="14" t="n"/>
      <c r="AQ118">
        <f>IF($E118="","",IF(COUNTIF($E$2:$E118,$E118)=1,1,0))</f>
        <v/>
      </c>
      <c r="AR118">
        <f>IF($AQ118=1,SUMPRODUCT(--($AU$2:$AU$1501&lt;$AU118))+1,"")</f>
        <v/>
      </c>
      <c r="AS118">
        <f>IF($E118="","",IF(OR($U118=TRUE(),$U118="TRUE"),1,0))</f>
        <v/>
      </c>
      <c r="AT118">
        <f>IF($E118="","",IF($AC118="Yes",1,0))</f>
        <v/>
      </c>
      <c r="AU118">
        <f>IF($AQ118=1,IFERROR(IF(VALUE($E118)&lt;100000000,VALUE($E118),1000000000),IFERROR(IF(VALUE(MID($E118,2,20))&lt;100000000,VALUE(MID($E118,2,20)),1000000000),1000000000))+ROW()/100000,"")</f>
        <v/>
      </c>
    </row>
    <row r="119">
      <c r="G119" s="14" t="n"/>
      <c r="Q119" s="7">
        <f>IF($E119="","",P119*Z119/100)</f>
        <v/>
      </c>
      <c r="R119" s="7" t="n"/>
      <c r="Y119" s="7" t="n"/>
      <c r="Z119" s="7" t="n"/>
      <c r="AA119" s="7" t="n"/>
      <c r="AD119">
        <f>IF($E119="","",IF($AT119=1,Settings!$C$8,IF($AS119=1,Settings!$C$6,Settings!$C$7))*100)</f>
        <v/>
      </c>
      <c r="AE119" s="7">
        <f>IF($E119="","",Z119*AD119/100)</f>
        <v/>
      </c>
      <c r="AF119" s="7">
        <f>IF($E119="","",Z119-AE119)</f>
        <v/>
      </c>
      <c r="AG119" s="7">
        <f>IF($E119="","",AF119-Q119)</f>
        <v/>
      </c>
      <c r="AK119" s="7" t="n"/>
      <c r="AN119" s="14" t="n"/>
      <c r="AQ119">
        <f>IF($E119="","",IF(COUNTIF($E$2:$E119,$E119)=1,1,0))</f>
        <v/>
      </c>
      <c r="AR119">
        <f>IF($AQ119=1,SUMPRODUCT(--($AU$2:$AU$1501&lt;$AU119))+1,"")</f>
        <v/>
      </c>
      <c r="AS119">
        <f>IF($E119="","",IF(OR($U119=TRUE(),$U119="TRUE"),1,0))</f>
        <v/>
      </c>
      <c r="AT119">
        <f>IF($E119="","",IF($AC119="Yes",1,0))</f>
        <v/>
      </c>
      <c r="AU119">
        <f>IF($AQ119=1,IFERROR(IF(VALUE($E119)&lt;100000000,VALUE($E119),1000000000),IFERROR(IF(VALUE(MID($E119,2,20))&lt;100000000,VALUE(MID($E119,2,20)),1000000000),1000000000))+ROW()/100000,"")</f>
        <v/>
      </c>
    </row>
    <row r="120">
      <c r="G120" s="14" t="n"/>
      <c r="Q120" s="7">
        <f>IF($E120="","",P120*Z120/100)</f>
        <v/>
      </c>
      <c r="R120" s="7" t="n"/>
      <c r="Y120" s="7" t="n"/>
      <c r="Z120" s="7" t="n"/>
      <c r="AA120" s="7" t="n"/>
      <c r="AD120">
        <f>IF($E120="","",IF($AT120=1,Settings!$C$8,IF($AS120=1,Settings!$C$6,Settings!$C$7))*100)</f>
        <v/>
      </c>
      <c r="AE120" s="7">
        <f>IF($E120="","",Z120*AD120/100)</f>
        <v/>
      </c>
      <c r="AF120" s="7">
        <f>IF($E120="","",Z120-AE120)</f>
        <v/>
      </c>
      <c r="AG120" s="7">
        <f>IF($E120="","",AF120-Q120)</f>
        <v/>
      </c>
      <c r="AK120" s="7" t="n"/>
      <c r="AN120" s="14" t="n"/>
      <c r="AQ120">
        <f>IF($E120="","",IF(COUNTIF($E$2:$E120,$E120)=1,1,0))</f>
        <v/>
      </c>
      <c r="AR120">
        <f>IF($AQ120=1,SUMPRODUCT(--($AU$2:$AU$1501&lt;$AU120))+1,"")</f>
        <v/>
      </c>
      <c r="AS120">
        <f>IF($E120="","",IF(OR($U120=TRUE(),$U120="TRUE"),1,0))</f>
        <v/>
      </c>
      <c r="AT120">
        <f>IF($E120="","",IF($AC120="Yes",1,0))</f>
        <v/>
      </c>
      <c r="AU120">
        <f>IF($AQ120=1,IFERROR(IF(VALUE($E120)&lt;100000000,VALUE($E120),1000000000),IFERROR(IF(VALUE(MID($E120,2,20))&lt;100000000,VALUE(MID($E120,2,20)),1000000000),1000000000))+ROW()/100000,"")</f>
        <v/>
      </c>
    </row>
    <row r="121">
      <c r="G121" s="14" t="n"/>
      <c r="Q121" s="7">
        <f>IF($E121="","",P121*Z121/100)</f>
        <v/>
      </c>
      <c r="R121" s="7" t="n"/>
      <c r="Y121" s="7" t="n"/>
      <c r="Z121" s="7" t="n"/>
      <c r="AA121" s="7" t="n"/>
      <c r="AD121">
        <f>IF($E121="","",IF($AT121=1,Settings!$C$8,IF($AS121=1,Settings!$C$6,Settings!$C$7))*100)</f>
        <v/>
      </c>
      <c r="AE121" s="7">
        <f>IF($E121="","",Z121*AD121/100)</f>
        <v/>
      </c>
      <c r="AF121" s="7">
        <f>IF($E121="","",Z121-AE121)</f>
        <v/>
      </c>
      <c r="AG121" s="7">
        <f>IF($E121="","",AF121-Q121)</f>
        <v/>
      </c>
      <c r="AK121" s="7" t="n"/>
      <c r="AN121" s="14" t="n"/>
      <c r="AQ121">
        <f>IF($E121="","",IF(COUNTIF($E$2:$E121,$E121)=1,1,0))</f>
        <v/>
      </c>
      <c r="AR121">
        <f>IF($AQ121=1,SUMPRODUCT(--($AU$2:$AU$1501&lt;$AU121))+1,"")</f>
        <v/>
      </c>
      <c r="AS121">
        <f>IF($E121="","",IF(OR($U121=TRUE(),$U121="TRUE"),1,0))</f>
        <v/>
      </c>
      <c r="AT121">
        <f>IF($E121="","",IF($AC121="Yes",1,0))</f>
        <v/>
      </c>
      <c r="AU121">
        <f>IF($AQ121=1,IFERROR(IF(VALUE($E121)&lt;100000000,VALUE($E121),1000000000),IFERROR(IF(VALUE(MID($E121,2,20))&lt;100000000,VALUE(MID($E121,2,20)),1000000000),1000000000))+ROW()/100000,"")</f>
        <v/>
      </c>
    </row>
    <row r="122">
      <c r="G122" s="14" t="n"/>
      <c r="Q122" s="7">
        <f>IF($E122="","",P122*Z122/100)</f>
        <v/>
      </c>
      <c r="R122" s="7" t="n"/>
      <c r="Y122" s="7" t="n"/>
      <c r="Z122" s="7" t="n"/>
      <c r="AA122" s="7" t="n"/>
      <c r="AD122">
        <f>IF($E122="","",IF($AT122=1,Settings!$C$8,IF($AS122=1,Settings!$C$6,Settings!$C$7))*100)</f>
        <v/>
      </c>
      <c r="AE122" s="7">
        <f>IF($E122="","",Z122*AD122/100)</f>
        <v/>
      </c>
      <c r="AF122" s="7">
        <f>IF($E122="","",Z122-AE122)</f>
        <v/>
      </c>
      <c r="AG122" s="7">
        <f>IF($E122="","",AF122-Q122)</f>
        <v/>
      </c>
      <c r="AK122" s="7" t="n"/>
      <c r="AN122" s="14" t="n"/>
      <c r="AQ122">
        <f>IF($E122="","",IF(COUNTIF($E$2:$E122,$E122)=1,1,0))</f>
        <v/>
      </c>
      <c r="AR122">
        <f>IF($AQ122=1,SUMPRODUCT(--($AU$2:$AU$1501&lt;$AU122))+1,"")</f>
        <v/>
      </c>
      <c r="AS122">
        <f>IF($E122="","",IF(OR($U122=TRUE(),$U122="TRUE"),1,0))</f>
        <v/>
      </c>
      <c r="AT122">
        <f>IF($E122="","",IF($AC122="Yes",1,0))</f>
        <v/>
      </c>
      <c r="AU122">
        <f>IF($AQ122=1,IFERROR(IF(VALUE($E122)&lt;100000000,VALUE($E122),1000000000),IFERROR(IF(VALUE(MID($E122,2,20))&lt;100000000,VALUE(MID($E122,2,20)),1000000000),1000000000))+ROW()/100000,"")</f>
        <v/>
      </c>
    </row>
    <row r="123">
      <c r="G123" s="14" t="n"/>
      <c r="Q123" s="7">
        <f>IF($E123="","",P123*Z123/100)</f>
        <v/>
      </c>
      <c r="R123" s="7" t="n"/>
      <c r="Y123" s="7" t="n"/>
      <c r="Z123" s="7" t="n"/>
      <c r="AA123" s="7" t="n"/>
      <c r="AD123">
        <f>IF($E123="","",IF($AT123=1,Settings!$C$8,IF($AS123=1,Settings!$C$6,Settings!$C$7))*100)</f>
        <v/>
      </c>
      <c r="AE123" s="7">
        <f>IF($E123="","",Z123*AD123/100)</f>
        <v/>
      </c>
      <c r="AF123" s="7">
        <f>IF($E123="","",Z123-AE123)</f>
        <v/>
      </c>
      <c r="AG123" s="7">
        <f>IF($E123="","",AF123-Q123)</f>
        <v/>
      </c>
      <c r="AK123" s="7" t="n"/>
      <c r="AN123" s="14" t="n"/>
      <c r="AQ123">
        <f>IF($E123="","",IF(COUNTIF($E$2:$E123,$E123)=1,1,0))</f>
        <v/>
      </c>
      <c r="AR123">
        <f>IF($AQ123=1,SUMPRODUCT(--($AU$2:$AU$1501&lt;$AU123))+1,"")</f>
        <v/>
      </c>
      <c r="AS123">
        <f>IF($E123="","",IF(OR($U123=TRUE(),$U123="TRUE"),1,0))</f>
        <v/>
      </c>
      <c r="AT123">
        <f>IF($E123="","",IF($AC123="Yes",1,0))</f>
        <v/>
      </c>
      <c r="AU123">
        <f>IF($AQ123=1,IFERROR(IF(VALUE($E123)&lt;100000000,VALUE($E123),1000000000),IFERROR(IF(VALUE(MID($E123,2,20))&lt;100000000,VALUE(MID($E123,2,20)),1000000000),1000000000))+ROW()/100000,"")</f>
        <v/>
      </c>
    </row>
    <row r="124">
      <c r="G124" s="14" t="n"/>
      <c r="Q124" s="7">
        <f>IF($E124="","",P124*Z124/100)</f>
        <v/>
      </c>
      <c r="R124" s="7" t="n"/>
      <c r="Y124" s="7" t="n"/>
      <c r="Z124" s="7" t="n"/>
      <c r="AA124" s="7" t="n"/>
      <c r="AD124">
        <f>IF($E124="","",IF($AT124=1,Settings!$C$8,IF($AS124=1,Settings!$C$6,Settings!$C$7))*100)</f>
        <v/>
      </c>
      <c r="AE124" s="7">
        <f>IF($E124="","",Z124*AD124/100)</f>
        <v/>
      </c>
      <c r="AF124" s="7">
        <f>IF($E124="","",Z124-AE124)</f>
        <v/>
      </c>
      <c r="AG124" s="7">
        <f>IF($E124="","",AF124-Q124)</f>
        <v/>
      </c>
      <c r="AK124" s="7" t="n"/>
      <c r="AN124" s="14" t="n"/>
      <c r="AQ124">
        <f>IF($E124="","",IF(COUNTIF($E$2:$E124,$E124)=1,1,0))</f>
        <v/>
      </c>
      <c r="AR124">
        <f>IF($AQ124=1,SUMPRODUCT(--($AU$2:$AU$1501&lt;$AU124))+1,"")</f>
        <v/>
      </c>
      <c r="AS124">
        <f>IF($E124="","",IF(OR($U124=TRUE(),$U124="TRUE"),1,0))</f>
        <v/>
      </c>
      <c r="AT124">
        <f>IF($E124="","",IF($AC124="Yes",1,0))</f>
        <v/>
      </c>
      <c r="AU124">
        <f>IF($AQ124=1,IFERROR(IF(VALUE($E124)&lt;100000000,VALUE($E124),1000000000),IFERROR(IF(VALUE(MID($E124,2,20))&lt;100000000,VALUE(MID($E124,2,20)),1000000000),1000000000))+ROW()/100000,"")</f>
        <v/>
      </c>
    </row>
    <row r="125">
      <c r="G125" s="14" t="n"/>
      <c r="Q125" s="7">
        <f>IF($E125="","",P125*Z125/100)</f>
        <v/>
      </c>
      <c r="R125" s="7" t="n"/>
      <c r="Y125" s="7" t="n"/>
      <c r="Z125" s="7" t="n"/>
      <c r="AA125" s="7" t="n"/>
      <c r="AD125">
        <f>IF($E125="","",IF($AT125=1,Settings!$C$8,IF($AS125=1,Settings!$C$6,Settings!$C$7))*100)</f>
        <v/>
      </c>
      <c r="AE125" s="7">
        <f>IF($E125="","",Z125*AD125/100)</f>
        <v/>
      </c>
      <c r="AF125" s="7">
        <f>IF($E125="","",Z125-AE125)</f>
        <v/>
      </c>
      <c r="AG125" s="7">
        <f>IF($E125="","",AF125-Q125)</f>
        <v/>
      </c>
      <c r="AK125" s="7" t="n"/>
      <c r="AN125" s="14" t="n"/>
      <c r="AQ125">
        <f>IF($E125="","",IF(COUNTIF($E$2:$E125,$E125)=1,1,0))</f>
        <v/>
      </c>
      <c r="AR125">
        <f>IF($AQ125=1,SUMPRODUCT(--($AU$2:$AU$1501&lt;$AU125))+1,"")</f>
        <v/>
      </c>
      <c r="AS125">
        <f>IF($E125="","",IF(OR($U125=TRUE(),$U125="TRUE"),1,0))</f>
        <v/>
      </c>
      <c r="AT125">
        <f>IF($E125="","",IF($AC125="Yes",1,0))</f>
        <v/>
      </c>
      <c r="AU125">
        <f>IF($AQ125=1,IFERROR(IF(VALUE($E125)&lt;100000000,VALUE($E125),1000000000),IFERROR(IF(VALUE(MID($E125,2,20))&lt;100000000,VALUE(MID($E125,2,20)),1000000000),1000000000))+ROW()/100000,"")</f>
        <v/>
      </c>
    </row>
    <row r="126">
      <c r="G126" s="14" t="n"/>
      <c r="Q126" s="7">
        <f>IF($E126="","",P126*Z126/100)</f>
        <v/>
      </c>
      <c r="R126" s="7" t="n"/>
      <c r="Y126" s="7" t="n"/>
      <c r="Z126" s="7" t="n"/>
      <c r="AA126" s="7" t="n"/>
      <c r="AD126">
        <f>IF($E126="","",IF($AT126=1,Settings!$C$8,IF($AS126=1,Settings!$C$6,Settings!$C$7))*100)</f>
        <v/>
      </c>
      <c r="AE126" s="7">
        <f>IF($E126="","",Z126*AD126/100)</f>
        <v/>
      </c>
      <c r="AF126" s="7">
        <f>IF($E126="","",Z126-AE126)</f>
        <v/>
      </c>
      <c r="AG126" s="7">
        <f>IF($E126="","",AF126-Q126)</f>
        <v/>
      </c>
      <c r="AK126" s="7" t="n"/>
      <c r="AN126" s="14" t="n"/>
      <c r="AQ126">
        <f>IF($E126="","",IF(COUNTIF($E$2:$E126,$E126)=1,1,0))</f>
        <v/>
      </c>
      <c r="AR126">
        <f>IF($AQ126=1,SUMPRODUCT(--($AU$2:$AU$1501&lt;$AU126))+1,"")</f>
        <v/>
      </c>
      <c r="AS126">
        <f>IF($E126="","",IF(OR($U126=TRUE(),$U126="TRUE"),1,0))</f>
        <v/>
      </c>
      <c r="AT126">
        <f>IF($E126="","",IF($AC126="Yes",1,0))</f>
        <v/>
      </c>
      <c r="AU126">
        <f>IF($AQ126=1,IFERROR(IF(VALUE($E126)&lt;100000000,VALUE($E126),1000000000),IFERROR(IF(VALUE(MID($E126,2,20))&lt;100000000,VALUE(MID($E126,2,20)),1000000000),1000000000))+ROW()/100000,"")</f>
        <v/>
      </c>
    </row>
    <row r="127">
      <c r="G127" s="14" t="n"/>
      <c r="Q127" s="7">
        <f>IF($E127="","",P127*Z127/100)</f>
        <v/>
      </c>
      <c r="R127" s="7" t="n"/>
      <c r="Y127" s="7" t="n"/>
      <c r="Z127" s="7" t="n"/>
      <c r="AA127" s="7" t="n"/>
      <c r="AD127">
        <f>IF($E127="","",IF($AT127=1,Settings!$C$8,IF($AS127=1,Settings!$C$6,Settings!$C$7))*100)</f>
        <v/>
      </c>
      <c r="AE127" s="7">
        <f>IF($E127="","",Z127*AD127/100)</f>
        <v/>
      </c>
      <c r="AF127" s="7">
        <f>IF($E127="","",Z127-AE127)</f>
        <v/>
      </c>
      <c r="AG127" s="7">
        <f>IF($E127="","",AF127-Q127)</f>
        <v/>
      </c>
      <c r="AK127" s="7" t="n"/>
      <c r="AN127" s="14" t="n"/>
      <c r="AQ127">
        <f>IF($E127="","",IF(COUNTIF($E$2:$E127,$E127)=1,1,0))</f>
        <v/>
      </c>
      <c r="AR127">
        <f>IF($AQ127=1,SUMPRODUCT(--($AU$2:$AU$1501&lt;$AU127))+1,"")</f>
        <v/>
      </c>
      <c r="AS127">
        <f>IF($E127="","",IF(OR($U127=TRUE(),$U127="TRUE"),1,0))</f>
        <v/>
      </c>
      <c r="AT127">
        <f>IF($E127="","",IF($AC127="Yes",1,0))</f>
        <v/>
      </c>
      <c r="AU127">
        <f>IF($AQ127=1,IFERROR(IF(VALUE($E127)&lt;100000000,VALUE($E127),1000000000),IFERROR(IF(VALUE(MID($E127,2,20))&lt;100000000,VALUE(MID($E127,2,20)),1000000000),1000000000))+ROW()/100000,"")</f>
        <v/>
      </c>
    </row>
    <row r="128">
      <c r="G128" s="14" t="n"/>
      <c r="Q128" s="7">
        <f>IF($E128="","",P128*Z128/100)</f>
        <v/>
      </c>
      <c r="R128" s="7" t="n"/>
      <c r="Y128" s="7" t="n"/>
      <c r="Z128" s="7" t="n"/>
      <c r="AA128" s="7" t="n"/>
      <c r="AD128">
        <f>IF($E128="","",IF($AT128=1,Settings!$C$8,IF($AS128=1,Settings!$C$6,Settings!$C$7))*100)</f>
        <v/>
      </c>
      <c r="AE128" s="7">
        <f>IF($E128="","",Z128*AD128/100)</f>
        <v/>
      </c>
      <c r="AF128" s="7">
        <f>IF($E128="","",Z128-AE128)</f>
        <v/>
      </c>
      <c r="AG128" s="7">
        <f>IF($E128="","",AF128-Q128)</f>
        <v/>
      </c>
      <c r="AK128" s="7" t="n"/>
      <c r="AN128" s="14" t="n"/>
      <c r="AQ128">
        <f>IF($E128="","",IF(COUNTIF($E$2:$E128,$E128)=1,1,0))</f>
        <v/>
      </c>
      <c r="AR128">
        <f>IF($AQ128=1,SUMPRODUCT(--($AU$2:$AU$1501&lt;$AU128))+1,"")</f>
        <v/>
      </c>
      <c r="AS128">
        <f>IF($E128="","",IF(OR($U128=TRUE(),$U128="TRUE"),1,0))</f>
        <v/>
      </c>
      <c r="AT128">
        <f>IF($E128="","",IF($AC128="Yes",1,0))</f>
        <v/>
      </c>
      <c r="AU128">
        <f>IF($AQ128=1,IFERROR(IF(VALUE($E128)&lt;100000000,VALUE($E128),1000000000),IFERROR(IF(VALUE(MID($E128,2,20))&lt;100000000,VALUE(MID($E128,2,20)),1000000000),1000000000))+ROW()/100000,"")</f>
        <v/>
      </c>
    </row>
    <row r="129">
      <c r="G129" s="14" t="n"/>
      <c r="Q129" s="7">
        <f>IF($E129="","",P129*Z129/100)</f>
        <v/>
      </c>
      <c r="R129" s="7" t="n"/>
      <c r="Y129" s="7" t="n"/>
      <c r="Z129" s="7" t="n"/>
      <c r="AA129" s="7" t="n"/>
      <c r="AD129">
        <f>IF($E129="","",IF($AT129=1,Settings!$C$8,IF($AS129=1,Settings!$C$6,Settings!$C$7))*100)</f>
        <v/>
      </c>
      <c r="AE129" s="7">
        <f>IF($E129="","",Z129*AD129/100)</f>
        <v/>
      </c>
      <c r="AF129" s="7">
        <f>IF($E129="","",Z129-AE129)</f>
        <v/>
      </c>
      <c r="AG129" s="7">
        <f>IF($E129="","",AF129-Q129)</f>
        <v/>
      </c>
      <c r="AK129" s="7" t="n"/>
      <c r="AN129" s="14" t="n"/>
      <c r="AQ129">
        <f>IF($E129="","",IF(COUNTIF($E$2:$E129,$E129)=1,1,0))</f>
        <v/>
      </c>
      <c r="AR129">
        <f>IF($AQ129=1,SUMPRODUCT(--($AU$2:$AU$1501&lt;$AU129))+1,"")</f>
        <v/>
      </c>
      <c r="AS129">
        <f>IF($E129="","",IF(OR($U129=TRUE(),$U129="TRUE"),1,0))</f>
        <v/>
      </c>
      <c r="AT129">
        <f>IF($E129="","",IF($AC129="Yes",1,0))</f>
        <v/>
      </c>
      <c r="AU129">
        <f>IF($AQ129=1,IFERROR(IF(VALUE($E129)&lt;100000000,VALUE($E129),1000000000),IFERROR(IF(VALUE(MID($E129,2,20))&lt;100000000,VALUE(MID($E129,2,20)),1000000000),1000000000))+ROW()/100000,"")</f>
        <v/>
      </c>
    </row>
    <row r="130">
      <c r="G130" s="14" t="n"/>
      <c r="Q130" s="7">
        <f>IF($E130="","",P130*Z130/100)</f>
        <v/>
      </c>
      <c r="R130" s="7" t="n"/>
      <c r="Y130" s="7" t="n"/>
      <c r="Z130" s="7" t="n"/>
      <c r="AA130" s="7" t="n"/>
      <c r="AD130">
        <f>IF($E130="","",IF($AT130=1,Settings!$C$8,IF($AS130=1,Settings!$C$6,Settings!$C$7))*100)</f>
        <v/>
      </c>
      <c r="AE130" s="7">
        <f>IF($E130="","",Z130*AD130/100)</f>
        <v/>
      </c>
      <c r="AF130" s="7">
        <f>IF($E130="","",Z130-AE130)</f>
        <v/>
      </c>
      <c r="AG130" s="7">
        <f>IF($E130="","",AF130-Q130)</f>
        <v/>
      </c>
      <c r="AK130" s="7" t="n"/>
      <c r="AN130" s="14" t="n"/>
      <c r="AQ130">
        <f>IF($E130="","",IF(COUNTIF($E$2:$E130,$E130)=1,1,0))</f>
        <v/>
      </c>
      <c r="AR130">
        <f>IF($AQ130=1,SUMPRODUCT(--($AU$2:$AU$1501&lt;$AU130))+1,"")</f>
        <v/>
      </c>
      <c r="AS130">
        <f>IF($E130="","",IF(OR($U130=TRUE(),$U130="TRUE"),1,0))</f>
        <v/>
      </c>
      <c r="AT130">
        <f>IF($E130="","",IF($AC130="Yes",1,0))</f>
        <v/>
      </c>
      <c r="AU130">
        <f>IF($AQ130=1,IFERROR(IF(VALUE($E130)&lt;100000000,VALUE($E130),1000000000),IFERROR(IF(VALUE(MID($E130,2,20))&lt;100000000,VALUE(MID($E130,2,20)),1000000000),1000000000))+ROW()/100000,"")</f>
        <v/>
      </c>
    </row>
    <row r="131">
      <c r="G131" s="14" t="n"/>
      <c r="Q131" s="7">
        <f>IF($E131="","",P131*Z131/100)</f>
        <v/>
      </c>
      <c r="R131" s="7" t="n"/>
      <c r="Y131" s="7" t="n"/>
      <c r="Z131" s="7" t="n"/>
      <c r="AA131" s="7" t="n"/>
      <c r="AD131">
        <f>IF($E131="","",IF($AT131=1,Settings!$C$8,IF($AS131=1,Settings!$C$6,Settings!$C$7))*100)</f>
        <v/>
      </c>
      <c r="AE131" s="7">
        <f>IF($E131="","",Z131*AD131/100)</f>
        <v/>
      </c>
      <c r="AF131" s="7">
        <f>IF($E131="","",Z131-AE131)</f>
        <v/>
      </c>
      <c r="AG131" s="7">
        <f>IF($E131="","",AF131-Q131)</f>
        <v/>
      </c>
      <c r="AK131" s="7" t="n"/>
      <c r="AN131" s="14" t="n"/>
      <c r="AQ131">
        <f>IF($E131="","",IF(COUNTIF($E$2:$E131,$E131)=1,1,0))</f>
        <v/>
      </c>
      <c r="AR131">
        <f>IF($AQ131=1,SUMPRODUCT(--($AU$2:$AU$1501&lt;$AU131))+1,"")</f>
        <v/>
      </c>
      <c r="AS131">
        <f>IF($E131="","",IF(OR($U131=TRUE(),$U131="TRUE"),1,0))</f>
        <v/>
      </c>
      <c r="AT131">
        <f>IF($E131="","",IF($AC131="Yes",1,0))</f>
        <v/>
      </c>
      <c r="AU131">
        <f>IF($AQ131=1,IFERROR(IF(VALUE($E131)&lt;100000000,VALUE($E131),1000000000),IFERROR(IF(VALUE(MID($E131,2,20))&lt;100000000,VALUE(MID($E131,2,20)),1000000000),1000000000))+ROW()/100000,"")</f>
        <v/>
      </c>
    </row>
    <row r="132">
      <c r="G132" s="14" t="n"/>
      <c r="Q132" s="7">
        <f>IF($E132="","",P132*Z132/100)</f>
        <v/>
      </c>
      <c r="R132" s="7" t="n"/>
      <c r="Y132" s="7" t="n"/>
      <c r="Z132" s="7" t="n"/>
      <c r="AA132" s="7" t="n"/>
      <c r="AD132">
        <f>IF($E132="","",IF($AT132=1,Settings!$C$8,IF($AS132=1,Settings!$C$6,Settings!$C$7))*100)</f>
        <v/>
      </c>
      <c r="AE132" s="7">
        <f>IF($E132="","",Z132*AD132/100)</f>
        <v/>
      </c>
      <c r="AF132" s="7">
        <f>IF($E132="","",Z132-AE132)</f>
        <v/>
      </c>
      <c r="AG132" s="7">
        <f>IF($E132="","",AF132-Q132)</f>
        <v/>
      </c>
      <c r="AK132" s="7" t="n"/>
      <c r="AN132" s="14" t="n"/>
      <c r="AQ132">
        <f>IF($E132="","",IF(COUNTIF($E$2:$E132,$E132)=1,1,0))</f>
        <v/>
      </c>
      <c r="AR132">
        <f>IF($AQ132=1,SUMPRODUCT(--($AU$2:$AU$1501&lt;$AU132))+1,"")</f>
        <v/>
      </c>
      <c r="AS132">
        <f>IF($E132="","",IF(OR($U132=TRUE(),$U132="TRUE"),1,0))</f>
        <v/>
      </c>
      <c r="AT132">
        <f>IF($E132="","",IF($AC132="Yes",1,0))</f>
        <v/>
      </c>
      <c r="AU132">
        <f>IF($AQ132=1,IFERROR(IF(VALUE($E132)&lt;100000000,VALUE($E132),1000000000),IFERROR(IF(VALUE(MID($E132,2,20))&lt;100000000,VALUE(MID($E132,2,20)),1000000000),1000000000))+ROW()/100000,"")</f>
        <v/>
      </c>
    </row>
    <row r="133">
      <c r="G133" s="14" t="n"/>
      <c r="Q133" s="7">
        <f>IF($E133="","",P133*Z133/100)</f>
        <v/>
      </c>
      <c r="R133" s="7" t="n"/>
      <c r="Y133" s="7" t="n"/>
      <c r="Z133" s="7" t="n"/>
      <c r="AA133" s="7" t="n"/>
      <c r="AD133">
        <f>IF($E133="","",IF($AT133=1,Settings!$C$8,IF($AS133=1,Settings!$C$6,Settings!$C$7))*100)</f>
        <v/>
      </c>
      <c r="AE133" s="7">
        <f>IF($E133="","",Z133*AD133/100)</f>
        <v/>
      </c>
      <c r="AF133" s="7">
        <f>IF($E133="","",Z133-AE133)</f>
        <v/>
      </c>
      <c r="AG133" s="7">
        <f>IF($E133="","",AF133-Q133)</f>
        <v/>
      </c>
      <c r="AK133" s="7" t="n"/>
      <c r="AN133" s="14" t="n"/>
      <c r="AQ133">
        <f>IF($E133="","",IF(COUNTIF($E$2:$E133,$E133)=1,1,0))</f>
        <v/>
      </c>
      <c r="AR133">
        <f>IF($AQ133=1,SUMPRODUCT(--($AU$2:$AU$1501&lt;$AU133))+1,"")</f>
        <v/>
      </c>
      <c r="AS133">
        <f>IF($E133="","",IF(OR($U133=TRUE(),$U133="TRUE"),1,0))</f>
        <v/>
      </c>
      <c r="AT133">
        <f>IF($E133="","",IF($AC133="Yes",1,0))</f>
        <v/>
      </c>
      <c r="AU133">
        <f>IF($AQ133=1,IFERROR(IF(VALUE($E133)&lt;100000000,VALUE($E133),1000000000),IFERROR(IF(VALUE(MID($E133,2,20))&lt;100000000,VALUE(MID($E133,2,20)),1000000000),1000000000))+ROW()/100000,"")</f>
        <v/>
      </c>
    </row>
    <row r="134">
      <c r="G134" s="14" t="n"/>
      <c r="Q134" s="7">
        <f>IF($E134="","",P134*Z134/100)</f>
        <v/>
      </c>
      <c r="R134" s="7" t="n"/>
      <c r="Y134" s="7" t="n"/>
      <c r="Z134" s="7" t="n"/>
      <c r="AA134" s="7" t="n"/>
      <c r="AD134">
        <f>IF($E134="","",IF($AT134=1,Settings!$C$8,IF($AS134=1,Settings!$C$6,Settings!$C$7))*100)</f>
        <v/>
      </c>
      <c r="AE134" s="7">
        <f>IF($E134="","",Z134*AD134/100)</f>
        <v/>
      </c>
      <c r="AF134" s="7">
        <f>IF($E134="","",Z134-AE134)</f>
        <v/>
      </c>
      <c r="AG134" s="7">
        <f>IF($E134="","",AF134-Q134)</f>
        <v/>
      </c>
      <c r="AK134" s="7" t="n"/>
      <c r="AN134" s="14" t="n"/>
      <c r="AQ134">
        <f>IF($E134="","",IF(COUNTIF($E$2:$E134,$E134)=1,1,0))</f>
        <v/>
      </c>
      <c r="AR134">
        <f>IF($AQ134=1,SUMPRODUCT(--($AU$2:$AU$1501&lt;$AU134))+1,"")</f>
        <v/>
      </c>
      <c r="AS134">
        <f>IF($E134="","",IF(OR($U134=TRUE(),$U134="TRUE"),1,0))</f>
        <v/>
      </c>
      <c r="AT134">
        <f>IF($E134="","",IF($AC134="Yes",1,0))</f>
        <v/>
      </c>
      <c r="AU134">
        <f>IF($AQ134=1,IFERROR(IF(VALUE($E134)&lt;100000000,VALUE($E134),1000000000),IFERROR(IF(VALUE(MID($E134,2,20))&lt;100000000,VALUE(MID($E134,2,20)),1000000000),1000000000))+ROW()/100000,"")</f>
        <v/>
      </c>
    </row>
    <row r="135">
      <c r="G135" s="14" t="n"/>
      <c r="Q135" s="7">
        <f>IF($E135="","",P135*Z135/100)</f>
        <v/>
      </c>
      <c r="R135" s="7" t="n"/>
      <c r="Y135" s="7" t="n"/>
      <c r="Z135" s="7" t="n"/>
      <c r="AA135" s="7" t="n"/>
      <c r="AD135">
        <f>IF($E135="","",IF($AT135=1,Settings!$C$8,IF($AS135=1,Settings!$C$6,Settings!$C$7))*100)</f>
        <v/>
      </c>
      <c r="AE135" s="7">
        <f>IF($E135="","",Z135*AD135/100)</f>
        <v/>
      </c>
      <c r="AF135" s="7">
        <f>IF($E135="","",Z135-AE135)</f>
        <v/>
      </c>
      <c r="AG135" s="7">
        <f>IF($E135="","",AF135-Q135)</f>
        <v/>
      </c>
      <c r="AK135" s="7" t="n"/>
      <c r="AN135" s="14" t="n"/>
      <c r="AQ135">
        <f>IF($E135="","",IF(COUNTIF($E$2:$E135,$E135)=1,1,0))</f>
        <v/>
      </c>
      <c r="AR135">
        <f>IF($AQ135=1,SUMPRODUCT(--($AU$2:$AU$1501&lt;$AU135))+1,"")</f>
        <v/>
      </c>
      <c r="AS135">
        <f>IF($E135="","",IF(OR($U135=TRUE(),$U135="TRUE"),1,0))</f>
        <v/>
      </c>
      <c r="AT135">
        <f>IF($E135="","",IF($AC135="Yes",1,0))</f>
        <v/>
      </c>
      <c r="AU135">
        <f>IF($AQ135=1,IFERROR(IF(VALUE($E135)&lt;100000000,VALUE($E135),1000000000),IFERROR(IF(VALUE(MID($E135,2,20))&lt;100000000,VALUE(MID($E135,2,20)),1000000000),1000000000))+ROW()/100000,"")</f>
        <v/>
      </c>
    </row>
    <row r="136">
      <c r="G136" s="14" t="n"/>
      <c r="Q136" s="7">
        <f>IF($E136="","",P136*Z136/100)</f>
        <v/>
      </c>
      <c r="R136" s="7" t="n"/>
      <c r="Y136" s="7" t="n"/>
      <c r="Z136" s="7" t="n"/>
      <c r="AA136" s="7" t="n"/>
      <c r="AD136">
        <f>IF($E136="","",IF($AT136=1,Settings!$C$8,IF($AS136=1,Settings!$C$6,Settings!$C$7))*100)</f>
        <v/>
      </c>
      <c r="AE136" s="7">
        <f>IF($E136="","",Z136*AD136/100)</f>
        <v/>
      </c>
      <c r="AF136" s="7">
        <f>IF($E136="","",Z136-AE136)</f>
        <v/>
      </c>
      <c r="AG136" s="7">
        <f>IF($E136="","",AF136-Q136)</f>
        <v/>
      </c>
      <c r="AK136" s="7" t="n"/>
      <c r="AN136" s="14" t="n"/>
      <c r="AQ136">
        <f>IF($E136="","",IF(COUNTIF($E$2:$E136,$E136)=1,1,0))</f>
        <v/>
      </c>
      <c r="AR136">
        <f>IF($AQ136=1,SUMPRODUCT(--($AU$2:$AU$1501&lt;$AU136))+1,"")</f>
        <v/>
      </c>
      <c r="AS136">
        <f>IF($E136="","",IF(OR($U136=TRUE(),$U136="TRUE"),1,0))</f>
        <v/>
      </c>
      <c r="AT136">
        <f>IF($E136="","",IF($AC136="Yes",1,0))</f>
        <v/>
      </c>
      <c r="AU136">
        <f>IF($AQ136=1,IFERROR(IF(VALUE($E136)&lt;100000000,VALUE($E136),1000000000),IFERROR(IF(VALUE(MID($E136,2,20))&lt;100000000,VALUE(MID($E136,2,20)),1000000000),1000000000))+ROW()/100000,"")</f>
        <v/>
      </c>
    </row>
    <row r="137">
      <c r="G137" s="14" t="n"/>
      <c r="Q137" s="7">
        <f>IF($E137="","",P137*Z137/100)</f>
        <v/>
      </c>
      <c r="R137" s="7" t="n"/>
      <c r="Y137" s="7" t="n"/>
      <c r="Z137" s="7" t="n"/>
      <c r="AA137" s="7" t="n"/>
      <c r="AD137">
        <f>IF($E137="","",IF($AT137=1,Settings!$C$8,IF($AS137=1,Settings!$C$6,Settings!$C$7))*100)</f>
        <v/>
      </c>
      <c r="AE137" s="7">
        <f>IF($E137="","",Z137*AD137/100)</f>
        <v/>
      </c>
      <c r="AF137" s="7">
        <f>IF($E137="","",Z137-AE137)</f>
        <v/>
      </c>
      <c r="AG137" s="7">
        <f>IF($E137="","",AF137-Q137)</f>
        <v/>
      </c>
      <c r="AK137" s="7" t="n"/>
      <c r="AN137" s="14" t="n"/>
      <c r="AQ137">
        <f>IF($E137="","",IF(COUNTIF($E$2:$E137,$E137)=1,1,0))</f>
        <v/>
      </c>
      <c r="AR137">
        <f>IF($AQ137=1,SUMPRODUCT(--($AU$2:$AU$1501&lt;$AU137))+1,"")</f>
        <v/>
      </c>
      <c r="AS137">
        <f>IF($E137="","",IF(OR($U137=TRUE(),$U137="TRUE"),1,0))</f>
        <v/>
      </c>
      <c r="AT137">
        <f>IF($E137="","",IF($AC137="Yes",1,0))</f>
        <v/>
      </c>
      <c r="AU137">
        <f>IF($AQ137=1,IFERROR(IF(VALUE($E137)&lt;100000000,VALUE($E137),1000000000),IFERROR(IF(VALUE(MID($E137,2,20))&lt;100000000,VALUE(MID($E137,2,20)),1000000000),1000000000))+ROW()/100000,"")</f>
        <v/>
      </c>
    </row>
    <row r="138">
      <c r="G138" s="14" t="n"/>
      <c r="Q138" s="7">
        <f>IF($E138="","",P138*Z138/100)</f>
        <v/>
      </c>
      <c r="R138" s="7" t="n"/>
      <c r="Y138" s="7" t="n"/>
      <c r="Z138" s="7" t="n"/>
      <c r="AA138" s="7" t="n"/>
      <c r="AD138">
        <f>IF($E138="","",IF($AT138=1,Settings!$C$8,IF($AS138=1,Settings!$C$6,Settings!$C$7))*100)</f>
        <v/>
      </c>
      <c r="AE138" s="7">
        <f>IF($E138="","",Z138*AD138/100)</f>
        <v/>
      </c>
      <c r="AF138" s="7">
        <f>IF($E138="","",Z138-AE138)</f>
        <v/>
      </c>
      <c r="AG138" s="7">
        <f>IF($E138="","",AF138-Q138)</f>
        <v/>
      </c>
      <c r="AK138" s="7" t="n"/>
      <c r="AN138" s="14" t="n"/>
      <c r="AQ138">
        <f>IF($E138="","",IF(COUNTIF($E$2:$E138,$E138)=1,1,0))</f>
        <v/>
      </c>
      <c r="AR138">
        <f>IF($AQ138=1,SUMPRODUCT(--($AU$2:$AU$1501&lt;$AU138))+1,"")</f>
        <v/>
      </c>
      <c r="AS138">
        <f>IF($E138="","",IF(OR($U138=TRUE(),$U138="TRUE"),1,0))</f>
        <v/>
      </c>
      <c r="AT138">
        <f>IF($E138="","",IF($AC138="Yes",1,0))</f>
        <v/>
      </c>
      <c r="AU138">
        <f>IF($AQ138=1,IFERROR(IF(VALUE($E138)&lt;100000000,VALUE($E138),1000000000),IFERROR(IF(VALUE(MID($E138,2,20))&lt;100000000,VALUE(MID($E138,2,20)),1000000000),1000000000))+ROW()/100000,"")</f>
        <v/>
      </c>
    </row>
    <row r="139">
      <c r="G139" s="14" t="n"/>
      <c r="Q139" s="7">
        <f>IF($E139="","",P139*Z139/100)</f>
        <v/>
      </c>
      <c r="R139" s="7" t="n"/>
      <c r="Y139" s="7" t="n"/>
      <c r="Z139" s="7" t="n"/>
      <c r="AA139" s="7" t="n"/>
      <c r="AD139">
        <f>IF($E139="","",IF($AT139=1,Settings!$C$8,IF($AS139=1,Settings!$C$6,Settings!$C$7))*100)</f>
        <v/>
      </c>
      <c r="AE139" s="7">
        <f>IF($E139="","",Z139*AD139/100)</f>
        <v/>
      </c>
      <c r="AF139" s="7">
        <f>IF($E139="","",Z139-AE139)</f>
        <v/>
      </c>
      <c r="AG139" s="7">
        <f>IF($E139="","",AF139-Q139)</f>
        <v/>
      </c>
      <c r="AK139" s="7" t="n"/>
      <c r="AN139" s="14" t="n"/>
      <c r="AQ139">
        <f>IF($E139="","",IF(COUNTIF($E$2:$E139,$E139)=1,1,0))</f>
        <v/>
      </c>
      <c r="AR139">
        <f>IF($AQ139=1,SUMPRODUCT(--($AU$2:$AU$1501&lt;$AU139))+1,"")</f>
        <v/>
      </c>
      <c r="AS139">
        <f>IF($E139="","",IF(OR($U139=TRUE(),$U139="TRUE"),1,0))</f>
        <v/>
      </c>
      <c r="AT139">
        <f>IF($E139="","",IF($AC139="Yes",1,0))</f>
        <v/>
      </c>
      <c r="AU139">
        <f>IF($AQ139=1,IFERROR(IF(VALUE($E139)&lt;100000000,VALUE($E139),1000000000),IFERROR(IF(VALUE(MID($E139,2,20))&lt;100000000,VALUE(MID($E139,2,20)),1000000000),1000000000))+ROW()/100000,"")</f>
        <v/>
      </c>
    </row>
    <row r="140">
      <c r="G140" s="14" t="n"/>
      <c r="Q140" s="7">
        <f>IF($E140="","",P140*Z140/100)</f>
        <v/>
      </c>
      <c r="R140" s="7" t="n"/>
      <c r="Y140" s="7" t="n"/>
      <c r="Z140" s="7" t="n"/>
      <c r="AA140" s="7" t="n"/>
      <c r="AD140">
        <f>IF($E140="","",IF($AT140=1,Settings!$C$8,IF($AS140=1,Settings!$C$6,Settings!$C$7))*100)</f>
        <v/>
      </c>
      <c r="AE140" s="7">
        <f>IF($E140="","",Z140*AD140/100)</f>
        <v/>
      </c>
      <c r="AF140" s="7">
        <f>IF($E140="","",Z140-AE140)</f>
        <v/>
      </c>
      <c r="AG140" s="7">
        <f>IF($E140="","",AF140-Q140)</f>
        <v/>
      </c>
      <c r="AK140" s="7" t="n"/>
      <c r="AN140" s="14" t="n"/>
      <c r="AQ140">
        <f>IF($E140="","",IF(COUNTIF($E$2:$E140,$E140)=1,1,0))</f>
        <v/>
      </c>
      <c r="AR140">
        <f>IF($AQ140=1,SUMPRODUCT(--($AU$2:$AU$1501&lt;$AU140))+1,"")</f>
        <v/>
      </c>
      <c r="AS140">
        <f>IF($E140="","",IF(OR($U140=TRUE(),$U140="TRUE"),1,0))</f>
        <v/>
      </c>
      <c r="AT140">
        <f>IF($E140="","",IF($AC140="Yes",1,0))</f>
        <v/>
      </c>
      <c r="AU140">
        <f>IF($AQ140=1,IFERROR(IF(VALUE($E140)&lt;100000000,VALUE($E140),1000000000),IFERROR(IF(VALUE(MID($E140,2,20))&lt;100000000,VALUE(MID($E140,2,20)),1000000000),1000000000))+ROW()/100000,"")</f>
        <v/>
      </c>
    </row>
    <row r="141">
      <c r="G141" s="14" t="n"/>
      <c r="Q141" s="7">
        <f>IF($E141="","",P141*Z141/100)</f>
        <v/>
      </c>
      <c r="R141" s="7" t="n"/>
      <c r="Y141" s="7" t="n"/>
      <c r="Z141" s="7" t="n"/>
      <c r="AA141" s="7" t="n"/>
      <c r="AD141">
        <f>IF($E141="","",IF($AT141=1,Settings!$C$8,IF($AS141=1,Settings!$C$6,Settings!$C$7))*100)</f>
        <v/>
      </c>
      <c r="AE141" s="7">
        <f>IF($E141="","",Z141*AD141/100)</f>
        <v/>
      </c>
      <c r="AF141" s="7">
        <f>IF($E141="","",Z141-AE141)</f>
        <v/>
      </c>
      <c r="AG141" s="7">
        <f>IF($E141="","",AF141-Q141)</f>
        <v/>
      </c>
      <c r="AK141" s="7" t="n"/>
      <c r="AN141" s="14" t="n"/>
      <c r="AQ141">
        <f>IF($E141="","",IF(COUNTIF($E$2:$E141,$E141)=1,1,0))</f>
        <v/>
      </c>
      <c r="AR141">
        <f>IF($AQ141=1,SUMPRODUCT(--($AU$2:$AU$1501&lt;$AU141))+1,"")</f>
        <v/>
      </c>
      <c r="AS141">
        <f>IF($E141="","",IF(OR($U141=TRUE(),$U141="TRUE"),1,0))</f>
        <v/>
      </c>
      <c r="AT141">
        <f>IF($E141="","",IF($AC141="Yes",1,0))</f>
        <v/>
      </c>
      <c r="AU141">
        <f>IF($AQ141=1,IFERROR(IF(VALUE($E141)&lt;100000000,VALUE($E141),1000000000),IFERROR(IF(VALUE(MID($E141,2,20))&lt;100000000,VALUE(MID($E141,2,20)),1000000000),1000000000))+ROW()/100000,"")</f>
        <v/>
      </c>
    </row>
    <row r="142">
      <c r="G142" s="14" t="n"/>
      <c r="Q142" s="7">
        <f>IF($E142="","",P142*Z142/100)</f>
        <v/>
      </c>
      <c r="R142" s="7" t="n"/>
      <c r="Y142" s="7" t="n"/>
      <c r="Z142" s="7" t="n"/>
      <c r="AA142" s="7" t="n"/>
      <c r="AD142">
        <f>IF($E142="","",IF($AT142=1,Settings!$C$8,IF($AS142=1,Settings!$C$6,Settings!$C$7))*100)</f>
        <v/>
      </c>
      <c r="AE142" s="7">
        <f>IF($E142="","",Z142*AD142/100)</f>
        <v/>
      </c>
      <c r="AF142" s="7">
        <f>IF($E142="","",Z142-AE142)</f>
        <v/>
      </c>
      <c r="AG142" s="7">
        <f>IF($E142="","",AF142-Q142)</f>
        <v/>
      </c>
      <c r="AK142" s="7" t="n"/>
      <c r="AN142" s="14" t="n"/>
      <c r="AQ142">
        <f>IF($E142="","",IF(COUNTIF($E$2:$E142,$E142)=1,1,0))</f>
        <v/>
      </c>
      <c r="AR142">
        <f>IF($AQ142=1,SUMPRODUCT(--($AU$2:$AU$1501&lt;$AU142))+1,"")</f>
        <v/>
      </c>
      <c r="AS142">
        <f>IF($E142="","",IF(OR($U142=TRUE(),$U142="TRUE"),1,0))</f>
        <v/>
      </c>
      <c r="AT142">
        <f>IF($E142="","",IF($AC142="Yes",1,0))</f>
        <v/>
      </c>
      <c r="AU142">
        <f>IF($AQ142=1,IFERROR(IF(VALUE($E142)&lt;100000000,VALUE($E142),1000000000),IFERROR(IF(VALUE(MID($E142,2,20))&lt;100000000,VALUE(MID($E142,2,20)),1000000000),1000000000))+ROW()/100000,"")</f>
        <v/>
      </c>
    </row>
    <row r="143">
      <c r="G143" s="14" t="n"/>
      <c r="Q143" s="7">
        <f>IF($E143="","",P143*Z143/100)</f>
        <v/>
      </c>
      <c r="R143" s="7" t="n"/>
      <c r="Y143" s="7" t="n"/>
      <c r="Z143" s="7" t="n"/>
      <c r="AA143" s="7" t="n"/>
      <c r="AD143">
        <f>IF($E143="","",IF($AT143=1,Settings!$C$8,IF($AS143=1,Settings!$C$6,Settings!$C$7))*100)</f>
        <v/>
      </c>
      <c r="AE143" s="7">
        <f>IF($E143="","",Z143*AD143/100)</f>
        <v/>
      </c>
      <c r="AF143" s="7">
        <f>IF($E143="","",Z143-AE143)</f>
        <v/>
      </c>
      <c r="AG143" s="7">
        <f>IF($E143="","",AF143-Q143)</f>
        <v/>
      </c>
      <c r="AK143" s="7" t="n"/>
      <c r="AN143" s="14" t="n"/>
      <c r="AQ143">
        <f>IF($E143="","",IF(COUNTIF($E$2:$E143,$E143)=1,1,0))</f>
        <v/>
      </c>
      <c r="AR143">
        <f>IF($AQ143=1,SUMPRODUCT(--($AU$2:$AU$1501&lt;$AU143))+1,"")</f>
        <v/>
      </c>
      <c r="AS143">
        <f>IF($E143="","",IF(OR($U143=TRUE(),$U143="TRUE"),1,0))</f>
        <v/>
      </c>
      <c r="AT143">
        <f>IF($E143="","",IF($AC143="Yes",1,0))</f>
        <v/>
      </c>
      <c r="AU143">
        <f>IF($AQ143=1,IFERROR(IF(VALUE($E143)&lt;100000000,VALUE($E143),1000000000),IFERROR(IF(VALUE(MID($E143,2,20))&lt;100000000,VALUE(MID($E143,2,20)),1000000000),1000000000))+ROW()/100000,"")</f>
        <v/>
      </c>
    </row>
    <row r="144">
      <c r="G144" s="14" t="n"/>
      <c r="Q144" s="7">
        <f>IF($E144="","",P144*Z144/100)</f>
        <v/>
      </c>
      <c r="R144" s="7" t="n"/>
      <c r="Y144" s="7" t="n"/>
      <c r="Z144" s="7" t="n"/>
      <c r="AA144" s="7" t="n"/>
      <c r="AD144">
        <f>IF($E144="","",IF($AT144=1,Settings!$C$8,IF($AS144=1,Settings!$C$6,Settings!$C$7))*100)</f>
        <v/>
      </c>
      <c r="AE144" s="7">
        <f>IF($E144="","",Z144*AD144/100)</f>
        <v/>
      </c>
      <c r="AF144" s="7">
        <f>IF($E144="","",Z144-AE144)</f>
        <v/>
      </c>
      <c r="AG144" s="7">
        <f>IF($E144="","",AF144-Q144)</f>
        <v/>
      </c>
      <c r="AK144" s="7" t="n"/>
      <c r="AN144" s="14" t="n"/>
      <c r="AQ144">
        <f>IF($E144="","",IF(COUNTIF($E$2:$E144,$E144)=1,1,0))</f>
        <v/>
      </c>
      <c r="AR144">
        <f>IF($AQ144=1,SUMPRODUCT(--($AU$2:$AU$1501&lt;$AU144))+1,"")</f>
        <v/>
      </c>
      <c r="AS144">
        <f>IF($E144="","",IF(OR($U144=TRUE(),$U144="TRUE"),1,0))</f>
        <v/>
      </c>
      <c r="AT144">
        <f>IF($E144="","",IF($AC144="Yes",1,0))</f>
        <v/>
      </c>
      <c r="AU144">
        <f>IF($AQ144=1,IFERROR(IF(VALUE($E144)&lt;100000000,VALUE($E144),1000000000),IFERROR(IF(VALUE(MID($E144,2,20))&lt;100000000,VALUE(MID($E144,2,20)),1000000000),1000000000))+ROW()/100000,"")</f>
        <v/>
      </c>
    </row>
    <row r="145">
      <c r="G145" s="14" t="n"/>
      <c r="Q145" s="7">
        <f>IF($E145="","",P145*Z145/100)</f>
        <v/>
      </c>
      <c r="R145" s="7" t="n"/>
      <c r="Y145" s="7" t="n"/>
      <c r="Z145" s="7" t="n"/>
      <c r="AA145" s="7" t="n"/>
      <c r="AD145">
        <f>IF($E145="","",IF($AT145=1,Settings!$C$8,IF($AS145=1,Settings!$C$6,Settings!$C$7))*100)</f>
        <v/>
      </c>
      <c r="AE145" s="7">
        <f>IF($E145="","",Z145*AD145/100)</f>
        <v/>
      </c>
      <c r="AF145" s="7">
        <f>IF($E145="","",Z145-AE145)</f>
        <v/>
      </c>
      <c r="AG145" s="7">
        <f>IF($E145="","",AF145-Q145)</f>
        <v/>
      </c>
      <c r="AK145" s="7" t="n"/>
      <c r="AN145" s="14" t="n"/>
      <c r="AQ145">
        <f>IF($E145="","",IF(COUNTIF($E$2:$E145,$E145)=1,1,0))</f>
        <v/>
      </c>
      <c r="AR145">
        <f>IF($AQ145=1,SUMPRODUCT(--($AU$2:$AU$1501&lt;$AU145))+1,"")</f>
        <v/>
      </c>
      <c r="AS145">
        <f>IF($E145="","",IF(OR($U145=TRUE(),$U145="TRUE"),1,0))</f>
        <v/>
      </c>
      <c r="AT145">
        <f>IF($E145="","",IF($AC145="Yes",1,0))</f>
        <v/>
      </c>
      <c r="AU145">
        <f>IF($AQ145=1,IFERROR(IF(VALUE($E145)&lt;100000000,VALUE($E145),1000000000),IFERROR(IF(VALUE(MID($E145,2,20))&lt;100000000,VALUE(MID($E145,2,20)),1000000000),1000000000))+ROW()/100000,"")</f>
        <v/>
      </c>
    </row>
    <row r="146">
      <c r="G146" s="14" t="n"/>
      <c r="Q146" s="7">
        <f>IF($E146="","",P146*Z146/100)</f>
        <v/>
      </c>
      <c r="R146" s="7" t="n"/>
      <c r="Y146" s="7" t="n"/>
      <c r="Z146" s="7" t="n"/>
      <c r="AA146" s="7" t="n"/>
      <c r="AD146">
        <f>IF($E146="","",IF($AT146=1,Settings!$C$8,IF($AS146=1,Settings!$C$6,Settings!$C$7))*100)</f>
        <v/>
      </c>
      <c r="AE146" s="7">
        <f>IF($E146="","",Z146*AD146/100)</f>
        <v/>
      </c>
      <c r="AF146" s="7">
        <f>IF($E146="","",Z146-AE146)</f>
        <v/>
      </c>
      <c r="AG146" s="7">
        <f>IF($E146="","",AF146-Q146)</f>
        <v/>
      </c>
      <c r="AK146" s="7" t="n"/>
      <c r="AN146" s="14" t="n"/>
      <c r="AQ146">
        <f>IF($E146="","",IF(COUNTIF($E$2:$E146,$E146)=1,1,0))</f>
        <v/>
      </c>
      <c r="AR146">
        <f>IF($AQ146=1,SUMPRODUCT(--($AU$2:$AU$1501&lt;$AU146))+1,"")</f>
        <v/>
      </c>
      <c r="AS146">
        <f>IF($E146="","",IF(OR($U146=TRUE(),$U146="TRUE"),1,0))</f>
        <v/>
      </c>
      <c r="AT146">
        <f>IF($E146="","",IF($AC146="Yes",1,0))</f>
        <v/>
      </c>
      <c r="AU146">
        <f>IF($AQ146=1,IFERROR(IF(VALUE($E146)&lt;100000000,VALUE($E146),1000000000),IFERROR(IF(VALUE(MID($E146,2,20))&lt;100000000,VALUE(MID($E146,2,20)),1000000000),1000000000))+ROW()/100000,"")</f>
        <v/>
      </c>
    </row>
    <row r="147">
      <c r="G147" s="14" t="n"/>
      <c r="Q147" s="7">
        <f>IF($E147="","",P147*Z147/100)</f>
        <v/>
      </c>
      <c r="R147" s="7" t="n"/>
      <c r="Y147" s="7" t="n"/>
      <c r="Z147" s="7" t="n"/>
      <c r="AA147" s="7" t="n"/>
      <c r="AD147">
        <f>IF($E147="","",IF($AT147=1,Settings!$C$8,IF($AS147=1,Settings!$C$6,Settings!$C$7))*100)</f>
        <v/>
      </c>
      <c r="AE147" s="7">
        <f>IF($E147="","",Z147*AD147/100)</f>
        <v/>
      </c>
      <c r="AF147" s="7">
        <f>IF($E147="","",Z147-AE147)</f>
        <v/>
      </c>
      <c r="AG147" s="7">
        <f>IF($E147="","",AF147-Q147)</f>
        <v/>
      </c>
      <c r="AK147" s="7" t="n"/>
      <c r="AN147" s="14" t="n"/>
      <c r="AQ147">
        <f>IF($E147="","",IF(COUNTIF($E$2:$E147,$E147)=1,1,0))</f>
        <v/>
      </c>
      <c r="AR147">
        <f>IF($AQ147=1,SUMPRODUCT(--($AU$2:$AU$1501&lt;$AU147))+1,"")</f>
        <v/>
      </c>
      <c r="AS147">
        <f>IF($E147="","",IF(OR($U147=TRUE(),$U147="TRUE"),1,0))</f>
        <v/>
      </c>
      <c r="AT147">
        <f>IF($E147="","",IF($AC147="Yes",1,0))</f>
        <v/>
      </c>
      <c r="AU147">
        <f>IF($AQ147=1,IFERROR(IF(VALUE($E147)&lt;100000000,VALUE($E147),1000000000),IFERROR(IF(VALUE(MID($E147,2,20))&lt;100000000,VALUE(MID($E147,2,20)),1000000000),1000000000))+ROW()/100000,"")</f>
        <v/>
      </c>
    </row>
    <row r="148">
      <c r="G148" s="14" t="n"/>
      <c r="Q148" s="7">
        <f>IF($E148="","",P148*Z148/100)</f>
        <v/>
      </c>
      <c r="R148" s="7" t="n"/>
      <c r="Y148" s="7" t="n"/>
      <c r="Z148" s="7" t="n"/>
      <c r="AA148" s="7" t="n"/>
      <c r="AD148">
        <f>IF($E148="","",IF($AT148=1,Settings!$C$8,IF($AS148=1,Settings!$C$6,Settings!$C$7))*100)</f>
        <v/>
      </c>
      <c r="AE148" s="7">
        <f>IF($E148="","",Z148*AD148/100)</f>
        <v/>
      </c>
      <c r="AF148" s="7">
        <f>IF($E148="","",Z148-AE148)</f>
        <v/>
      </c>
      <c r="AG148" s="7">
        <f>IF($E148="","",AF148-Q148)</f>
        <v/>
      </c>
      <c r="AK148" s="7" t="n"/>
      <c r="AN148" s="14" t="n"/>
      <c r="AQ148">
        <f>IF($E148="","",IF(COUNTIF($E$2:$E148,$E148)=1,1,0))</f>
        <v/>
      </c>
      <c r="AR148">
        <f>IF($AQ148=1,SUMPRODUCT(--($AU$2:$AU$1501&lt;$AU148))+1,"")</f>
        <v/>
      </c>
      <c r="AS148">
        <f>IF($E148="","",IF(OR($U148=TRUE(),$U148="TRUE"),1,0))</f>
        <v/>
      </c>
      <c r="AT148">
        <f>IF($E148="","",IF($AC148="Yes",1,0))</f>
        <v/>
      </c>
      <c r="AU148">
        <f>IF($AQ148=1,IFERROR(IF(VALUE($E148)&lt;100000000,VALUE($E148),1000000000),IFERROR(IF(VALUE(MID($E148,2,20))&lt;100000000,VALUE(MID($E148,2,20)),1000000000),1000000000))+ROW()/100000,"")</f>
        <v/>
      </c>
    </row>
    <row r="149">
      <c r="G149" s="14" t="n"/>
      <c r="Q149" s="7">
        <f>IF($E149="","",P149*Z149/100)</f>
        <v/>
      </c>
      <c r="R149" s="7" t="n"/>
      <c r="Y149" s="7" t="n"/>
      <c r="Z149" s="7" t="n"/>
      <c r="AA149" s="7" t="n"/>
      <c r="AD149">
        <f>IF($E149="","",IF($AT149=1,Settings!$C$8,IF($AS149=1,Settings!$C$6,Settings!$C$7))*100)</f>
        <v/>
      </c>
      <c r="AE149" s="7">
        <f>IF($E149="","",Z149*AD149/100)</f>
        <v/>
      </c>
      <c r="AF149" s="7">
        <f>IF($E149="","",Z149-AE149)</f>
        <v/>
      </c>
      <c r="AG149" s="7">
        <f>IF($E149="","",AF149-Q149)</f>
        <v/>
      </c>
      <c r="AK149" s="7" t="n"/>
      <c r="AN149" s="14" t="n"/>
      <c r="AQ149">
        <f>IF($E149="","",IF(COUNTIF($E$2:$E149,$E149)=1,1,0))</f>
        <v/>
      </c>
      <c r="AR149">
        <f>IF($AQ149=1,SUMPRODUCT(--($AU$2:$AU$1501&lt;$AU149))+1,"")</f>
        <v/>
      </c>
      <c r="AS149">
        <f>IF($E149="","",IF(OR($U149=TRUE(),$U149="TRUE"),1,0))</f>
        <v/>
      </c>
      <c r="AT149">
        <f>IF($E149="","",IF($AC149="Yes",1,0))</f>
        <v/>
      </c>
      <c r="AU149">
        <f>IF($AQ149=1,IFERROR(IF(VALUE($E149)&lt;100000000,VALUE($E149),1000000000),IFERROR(IF(VALUE(MID($E149,2,20))&lt;100000000,VALUE(MID($E149,2,20)),1000000000),1000000000))+ROW()/100000,"")</f>
        <v/>
      </c>
    </row>
    <row r="150">
      <c r="G150" s="14" t="n"/>
      <c r="Q150" s="7">
        <f>IF($E150="","",P150*Z150/100)</f>
        <v/>
      </c>
      <c r="R150" s="7" t="n"/>
      <c r="Y150" s="7" t="n"/>
      <c r="Z150" s="7" t="n"/>
      <c r="AA150" s="7" t="n"/>
      <c r="AD150">
        <f>IF($E150="","",IF($AT150=1,Settings!$C$8,IF($AS150=1,Settings!$C$6,Settings!$C$7))*100)</f>
        <v/>
      </c>
      <c r="AE150" s="7">
        <f>IF($E150="","",Z150*AD150/100)</f>
        <v/>
      </c>
      <c r="AF150" s="7">
        <f>IF($E150="","",Z150-AE150)</f>
        <v/>
      </c>
      <c r="AG150" s="7">
        <f>IF($E150="","",AF150-Q150)</f>
        <v/>
      </c>
      <c r="AK150" s="7" t="n"/>
      <c r="AN150" s="14" t="n"/>
      <c r="AQ150">
        <f>IF($E150="","",IF(COUNTIF($E$2:$E150,$E150)=1,1,0))</f>
        <v/>
      </c>
      <c r="AR150">
        <f>IF($AQ150=1,SUMPRODUCT(--($AU$2:$AU$1501&lt;$AU150))+1,"")</f>
        <v/>
      </c>
      <c r="AS150">
        <f>IF($E150="","",IF(OR($U150=TRUE(),$U150="TRUE"),1,0))</f>
        <v/>
      </c>
      <c r="AT150">
        <f>IF($E150="","",IF($AC150="Yes",1,0))</f>
        <v/>
      </c>
      <c r="AU150">
        <f>IF($AQ150=1,IFERROR(IF(VALUE($E150)&lt;100000000,VALUE($E150),1000000000),IFERROR(IF(VALUE(MID($E150,2,20))&lt;100000000,VALUE(MID($E150,2,20)),1000000000),1000000000))+ROW()/100000,"")</f>
        <v/>
      </c>
    </row>
    <row r="151">
      <c r="G151" s="14" t="n"/>
      <c r="Q151" s="7">
        <f>IF($E151="","",P151*Z151/100)</f>
        <v/>
      </c>
      <c r="R151" s="7" t="n"/>
      <c r="Y151" s="7" t="n"/>
      <c r="Z151" s="7" t="n"/>
      <c r="AA151" s="7" t="n"/>
      <c r="AD151">
        <f>IF($E151="","",IF($AT151=1,Settings!$C$8,IF($AS151=1,Settings!$C$6,Settings!$C$7))*100)</f>
        <v/>
      </c>
      <c r="AE151" s="7">
        <f>IF($E151="","",Z151*AD151/100)</f>
        <v/>
      </c>
      <c r="AF151" s="7">
        <f>IF($E151="","",Z151-AE151)</f>
        <v/>
      </c>
      <c r="AG151" s="7">
        <f>IF($E151="","",AF151-Q151)</f>
        <v/>
      </c>
      <c r="AK151" s="7" t="n"/>
      <c r="AN151" s="14" t="n"/>
      <c r="AQ151">
        <f>IF($E151="","",IF(COUNTIF($E$2:$E151,$E151)=1,1,0))</f>
        <v/>
      </c>
      <c r="AR151">
        <f>IF($AQ151=1,SUMPRODUCT(--($AU$2:$AU$1501&lt;$AU151))+1,"")</f>
        <v/>
      </c>
      <c r="AS151">
        <f>IF($E151="","",IF(OR($U151=TRUE(),$U151="TRUE"),1,0))</f>
        <v/>
      </c>
      <c r="AT151">
        <f>IF($E151="","",IF($AC151="Yes",1,0))</f>
        <v/>
      </c>
      <c r="AU151">
        <f>IF($AQ151=1,IFERROR(IF(VALUE($E151)&lt;100000000,VALUE($E151),1000000000),IFERROR(IF(VALUE(MID($E151,2,20))&lt;100000000,VALUE(MID($E151,2,20)),1000000000),1000000000))+ROW()/100000,"")</f>
        <v/>
      </c>
    </row>
    <row r="152">
      <c r="G152" s="14" t="n"/>
      <c r="Q152" s="7">
        <f>IF($E152="","",P152*Z152/100)</f>
        <v/>
      </c>
      <c r="R152" s="7" t="n"/>
      <c r="Y152" s="7" t="n"/>
      <c r="Z152" s="7" t="n"/>
      <c r="AA152" s="7" t="n"/>
      <c r="AD152">
        <f>IF($E152="","",IF($AT152=1,Settings!$C$8,IF($AS152=1,Settings!$C$6,Settings!$C$7))*100)</f>
        <v/>
      </c>
      <c r="AE152" s="7">
        <f>IF($E152="","",Z152*AD152/100)</f>
        <v/>
      </c>
      <c r="AF152" s="7">
        <f>IF($E152="","",Z152-AE152)</f>
        <v/>
      </c>
      <c r="AG152" s="7">
        <f>IF($E152="","",AF152-Q152)</f>
        <v/>
      </c>
      <c r="AK152" s="7" t="n"/>
      <c r="AN152" s="14" t="n"/>
      <c r="AQ152">
        <f>IF($E152="","",IF(COUNTIF($E$2:$E152,$E152)=1,1,0))</f>
        <v/>
      </c>
      <c r="AR152">
        <f>IF($AQ152=1,SUMPRODUCT(--($AU$2:$AU$1501&lt;$AU152))+1,"")</f>
        <v/>
      </c>
      <c r="AS152">
        <f>IF($E152="","",IF(OR($U152=TRUE(),$U152="TRUE"),1,0))</f>
        <v/>
      </c>
      <c r="AT152">
        <f>IF($E152="","",IF($AC152="Yes",1,0))</f>
        <v/>
      </c>
      <c r="AU152">
        <f>IF($AQ152=1,IFERROR(IF(VALUE($E152)&lt;100000000,VALUE($E152),1000000000),IFERROR(IF(VALUE(MID($E152,2,20))&lt;100000000,VALUE(MID($E152,2,20)),1000000000),1000000000))+ROW()/100000,"")</f>
        <v/>
      </c>
    </row>
    <row r="153">
      <c r="G153" s="14" t="n"/>
      <c r="Q153" s="7">
        <f>IF($E153="","",P153*Z153/100)</f>
        <v/>
      </c>
      <c r="R153" s="7" t="n"/>
      <c r="Y153" s="7" t="n"/>
      <c r="Z153" s="7" t="n"/>
      <c r="AA153" s="7" t="n"/>
      <c r="AD153">
        <f>IF($E153="","",IF($AT153=1,Settings!$C$8,IF($AS153=1,Settings!$C$6,Settings!$C$7))*100)</f>
        <v/>
      </c>
      <c r="AE153" s="7">
        <f>IF($E153="","",Z153*AD153/100)</f>
        <v/>
      </c>
      <c r="AF153" s="7">
        <f>IF($E153="","",Z153-AE153)</f>
        <v/>
      </c>
      <c r="AG153" s="7">
        <f>IF($E153="","",AF153-Q153)</f>
        <v/>
      </c>
      <c r="AK153" s="7" t="n"/>
      <c r="AN153" s="14" t="n"/>
      <c r="AQ153">
        <f>IF($E153="","",IF(COUNTIF($E$2:$E153,$E153)=1,1,0))</f>
        <v/>
      </c>
      <c r="AR153">
        <f>IF($AQ153=1,SUMPRODUCT(--($AU$2:$AU$1501&lt;$AU153))+1,"")</f>
        <v/>
      </c>
      <c r="AS153">
        <f>IF($E153="","",IF(OR($U153=TRUE(),$U153="TRUE"),1,0))</f>
        <v/>
      </c>
      <c r="AT153">
        <f>IF($E153="","",IF($AC153="Yes",1,0))</f>
        <v/>
      </c>
      <c r="AU153">
        <f>IF($AQ153=1,IFERROR(IF(VALUE($E153)&lt;100000000,VALUE($E153),1000000000),IFERROR(IF(VALUE(MID($E153,2,20))&lt;100000000,VALUE(MID($E153,2,20)),1000000000),1000000000))+ROW()/100000,"")</f>
        <v/>
      </c>
    </row>
    <row r="154">
      <c r="G154" s="14" t="n"/>
      <c r="Q154" s="7">
        <f>IF($E154="","",P154*Z154/100)</f>
        <v/>
      </c>
      <c r="R154" s="7" t="n"/>
      <c r="Y154" s="7" t="n"/>
      <c r="Z154" s="7" t="n"/>
      <c r="AA154" s="7" t="n"/>
      <c r="AD154">
        <f>IF($E154="","",IF($AT154=1,Settings!$C$8,IF($AS154=1,Settings!$C$6,Settings!$C$7))*100)</f>
        <v/>
      </c>
      <c r="AE154" s="7">
        <f>IF($E154="","",Z154*AD154/100)</f>
        <v/>
      </c>
      <c r="AF154" s="7">
        <f>IF($E154="","",Z154-AE154)</f>
        <v/>
      </c>
      <c r="AG154" s="7">
        <f>IF($E154="","",AF154-Q154)</f>
        <v/>
      </c>
      <c r="AK154" s="7" t="n"/>
      <c r="AN154" s="14" t="n"/>
      <c r="AQ154">
        <f>IF($E154="","",IF(COUNTIF($E$2:$E154,$E154)=1,1,0))</f>
        <v/>
      </c>
      <c r="AR154">
        <f>IF($AQ154=1,SUMPRODUCT(--($AU$2:$AU$1501&lt;$AU154))+1,"")</f>
        <v/>
      </c>
      <c r="AS154">
        <f>IF($E154="","",IF(OR($U154=TRUE(),$U154="TRUE"),1,0))</f>
        <v/>
      </c>
      <c r="AT154">
        <f>IF($E154="","",IF($AC154="Yes",1,0))</f>
        <v/>
      </c>
      <c r="AU154">
        <f>IF($AQ154=1,IFERROR(IF(VALUE($E154)&lt;100000000,VALUE($E154),1000000000),IFERROR(IF(VALUE(MID($E154,2,20))&lt;100000000,VALUE(MID($E154,2,20)),1000000000),1000000000))+ROW()/100000,"")</f>
        <v/>
      </c>
    </row>
    <row r="155">
      <c r="G155" s="14" t="n"/>
      <c r="Q155" s="7">
        <f>IF($E155="","",P155*Z155/100)</f>
        <v/>
      </c>
      <c r="R155" s="7" t="n"/>
      <c r="Y155" s="7" t="n"/>
      <c r="Z155" s="7" t="n"/>
      <c r="AA155" s="7" t="n"/>
      <c r="AD155">
        <f>IF($E155="","",IF($AT155=1,Settings!$C$8,IF($AS155=1,Settings!$C$6,Settings!$C$7))*100)</f>
        <v/>
      </c>
      <c r="AE155" s="7">
        <f>IF($E155="","",Z155*AD155/100)</f>
        <v/>
      </c>
      <c r="AF155" s="7">
        <f>IF($E155="","",Z155-AE155)</f>
        <v/>
      </c>
      <c r="AG155" s="7">
        <f>IF($E155="","",AF155-Q155)</f>
        <v/>
      </c>
      <c r="AK155" s="7" t="n"/>
      <c r="AN155" s="14" t="n"/>
      <c r="AQ155">
        <f>IF($E155="","",IF(COUNTIF($E$2:$E155,$E155)=1,1,0))</f>
        <v/>
      </c>
      <c r="AR155">
        <f>IF($AQ155=1,SUMPRODUCT(--($AU$2:$AU$1501&lt;$AU155))+1,"")</f>
        <v/>
      </c>
      <c r="AS155">
        <f>IF($E155="","",IF(OR($U155=TRUE(),$U155="TRUE"),1,0))</f>
        <v/>
      </c>
      <c r="AT155">
        <f>IF($E155="","",IF($AC155="Yes",1,0))</f>
        <v/>
      </c>
      <c r="AU155">
        <f>IF($AQ155=1,IFERROR(IF(VALUE($E155)&lt;100000000,VALUE($E155),1000000000),IFERROR(IF(VALUE(MID($E155,2,20))&lt;100000000,VALUE(MID($E155,2,20)),1000000000),1000000000))+ROW()/100000,"")</f>
        <v/>
      </c>
    </row>
    <row r="156">
      <c r="G156" s="14" t="n"/>
      <c r="Q156" s="7">
        <f>IF($E156="","",P156*Z156/100)</f>
        <v/>
      </c>
      <c r="R156" s="7" t="n"/>
      <c r="Y156" s="7" t="n"/>
      <c r="Z156" s="7" t="n"/>
      <c r="AA156" s="7" t="n"/>
      <c r="AD156">
        <f>IF($E156="","",IF($AT156=1,Settings!$C$8,IF($AS156=1,Settings!$C$6,Settings!$C$7))*100)</f>
        <v/>
      </c>
      <c r="AE156" s="7">
        <f>IF($E156="","",Z156*AD156/100)</f>
        <v/>
      </c>
      <c r="AF156" s="7">
        <f>IF($E156="","",Z156-AE156)</f>
        <v/>
      </c>
      <c r="AG156" s="7">
        <f>IF($E156="","",AF156-Q156)</f>
        <v/>
      </c>
      <c r="AK156" s="7" t="n"/>
      <c r="AN156" s="14" t="n"/>
      <c r="AQ156">
        <f>IF($E156="","",IF(COUNTIF($E$2:$E156,$E156)=1,1,0))</f>
        <v/>
      </c>
      <c r="AR156">
        <f>IF($AQ156=1,SUMPRODUCT(--($AU$2:$AU$1501&lt;$AU156))+1,"")</f>
        <v/>
      </c>
      <c r="AS156">
        <f>IF($E156="","",IF(OR($U156=TRUE(),$U156="TRUE"),1,0))</f>
        <v/>
      </c>
      <c r="AT156">
        <f>IF($E156="","",IF($AC156="Yes",1,0))</f>
        <v/>
      </c>
      <c r="AU156">
        <f>IF($AQ156=1,IFERROR(IF(VALUE($E156)&lt;100000000,VALUE($E156),1000000000),IFERROR(IF(VALUE(MID($E156,2,20))&lt;100000000,VALUE(MID($E156,2,20)),1000000000),1000000000))+ROW()/100000,"")</f>
        <v/>
      </c>
    </row>
    <row r="157">
      <c r="G157" s="14" t="n"/>
      <c r="Q157" s="7">
        <f>IF($E157="","",P157*Z157/100)</f>
        <v/>
      </c>
      <c r="R157" s="7" t="n"/>
      <c r="Y157" s="7" t="n"/>
      <c r="Z157" s="7" t="n"/>
      <c r="AA157" s="7" t="n"/>
      <c r="AD157">
        <f>IF($E157="","",IF($AT157=1,Settings!$C$8,IF($AS157=1,Settings!$C$6,Settings!$C$7))*100)</f>
        <v/>
      </c>
      <c r="AE157" s="7">
        <f>IF($E157="","",Z157*AD157/100)</f>
        <v/>
      </c>
      <c r="AF157" s="7">
        <f>IF($E157="","",Z157-AE157)</f>
        <v/>
      </c>
      <c r="AG157" s="7">
        <f>IF($E157="","",AF157-Q157)</f>
        <v/>
      </c>
      <c r="AK157" s="7" t="n"/>
      <c r="AN157" s="14" t="n"/>
      <c r="AQ157">
        <f>IF($E157="","",IF(COUNTIF($E$2:$E157,$E157)=1,1,0))</f>
        <v/>
      </c>
      <c r="AR157">
        <f>IF($AQ157=1,SUMPRODUCT(--($AU$2:$AU$1501&lt;$AU157))+1,"")</f>
        <v/>
      </c>
      <c r="AS157">
        <f>IF($E157="","",IF(OR($U157=TRUE(),$U157="TRUE"),1,0))</f>
        <v/>
      </c>
      <c r="AT157">
        <f>IF($E157="","",IF($AC157="Yes",1,0))</f>
        <v/>
      </c>
      <c r="AU157">
        <f>IF($AQ157=1,IFERROR(IF(VALUE($E157)&lt;100000000,VALUE($E157),1000000000),IFERROR(IF(VALUE(MID($E157,2,20))&lt;100000000,VALUE(MID($E157,2,20)),1000000000),1000000000))+ROW()/100000,"")</f>
        <v/>
      </c>
    </row>
    <row r="158">
      <c r="G158" s="14" t="n"/>
      <c r="Q158" s="7">
        <f>IF($E158="","",P158*Z158/100)</f>
        <v/>
      </c>
      <c r="R158" s="7" t="n"/>
      <c r="Y158" s="7" t="n"/>
      <c r="Z158" s="7" t="n"/>
      <c r="AA158" s="7" t="n"/>
      <c r="AD158">
        <f>IF($E158="","",IF($AT158=1,Settings!$C$8,IF($AS158=1,Settings!$C$6,Settings!$C$7))*100)</f>
        <v/>
      </c>
      <c r="AE158" s="7">
        <f>IF($E158="","",Z158*AD158/100)</f>
        <v/>
      </c>
      <c r="AF158" s="7">
        <f>IF($E158="","",Z158-AE158)</f>
        <v/>
      </c>
      <c r="AG158" s="7">
        <f>IF($E158="","",AF158-Q158)</f>
        <v/>
      </c>
      <c r="AK158" s="7" t="n"/>
      <c r="AN158" s="14" t="n"/>
      <c r="AQ158">
        <f>IF($E158="","",IF(COUNTIF($E$2:$E158,$E158)=1,1,0))</f>
        <v/>
      </c>
      <c r="AR158">
        <f>IF($AQ158=1,SUMPRODUCT(--($AU$2:$AU$1501&lt;$AU158))+1,"")</f>
        <v/>
      </c>
      <c r="AS158">
        <f>IF($E158="","",IF(OR($U158=TRUE(),$U158="TRUE"),1,0))</f>
        <v/>
      </c>
      <c r="AT158">
        <f>IF($E158="","",IF($AC158="Yes",1,0))</f>
        <v/>
      </c>
      <c r="AU158">
        <f>IF($AQ158=1,IFERROR(IF(VALUE($E158)&lt;100000000,VALUE($E158),1000000000),IFERROR(IF(VALUE(MID($E158,2,20))&lt;100000000,VALUE(MID($E158,2,20)),1000000000),1000000000))+ROW()/100000,"")</f>
        <v/>
      </c>
    </row>
    <row r="159">
      <c r="G159" s="14" t="n"/>
      <c r="Q159" s="7">
        <f>IF($E159="","",P159*Z159/100)</f>
        <v/>
      </c>
      <c r="R159" s="7" t="n"/>
      <c r="Y159" s="7" t="n"/>
      <c r="Z159" s="7" t="n"/>
      <c r="AA159" s="7" t="n"/>
      <c r="AD159">
        <f>IF($E159="","",IF($AT159=1,Settings!$C$8,IF($AS159=1,Settings!$C$6,Settings!$C$7))*100)</f>
        <v/>
      </c>
      <c r="AE159" s="7">
        <f>IF($E159="","",Z159*AD159/100)</f>
        <v/>
      </c>
      <c r="AF159" s="7">
        <f>IF($E159="","",Z159-AE159)</f>
        <v/>
      </c>
      <c r="AG159" s="7">
        <f>IF($E159="","",AF159-Q159)</f>
        <v/>
      </c>
      <c r="AK159" s="7" t="n"/>
      <c r="AN159" s="14" t="n"/>
      <c r="AQ159">
        <f>IF($E159="","",IF(COUNTIF($E$2:$E159,$E159)=1,1,0))</f>
        <v/>
      </c>
      <c r="AR159">
        <f>IF($AQ159=1,SUMPRODUCT(--($AU$2:$AU$1501&lt;$AU159))+1,"")</f>
        <v/>
      </c>
      <c r="AS159">
        <f>IF($E159="","",IF(OR($U159=TRUE(),$U159="TRUE"),1,0))</f>
        <v/>
      </c>
      <c r="AT159">
        <f>IF($E159="","",IF($AC159="Yes",1,0))</f>
        <v/>
      </c>
      <c r="AU159">
        <f>IF($AQ159=1,IFERROR(IF(VALUE($E159)&lt;100000000,VALUE($E159),1000000000),IFERROR(IF(VALUE(MID($E159,2,20))&lt;100000000,VALUE(MID($E159,2,20)),1000000000),1000000000))+ROW()/100000,"")</f>
        <v/>
      </c>
    </row>
    <row r="160">
      <c r="G160" s="14" t="n"/>
      <c r="Q160" s="7">
        <f>IF($E160="","",P160*Z160/100)</f>
        <v/>
      </c>
      <c r="R160" s="7" t="n"/>
      <c r="Y160" s="7" t="n"/>
      <c r="Z160" s="7" t="n"/>
      <c r="AA160" s="7" t="n"/>
      <c r="AD160">
        <f>IF($E160="","",IF($AT160=1,Settings!$C$8,IF($AS160=1,Settings!$C$6,Settings!$C$7))*100)</f>
        <v/>
      </c>
      <c r="AE160" s="7">
        <f>IF($E160="","",Z160*AD160/100)</f>
        <v/>
      </c>
      <c r="AF160" s="7">
        <f>IF($E160="","",Z160-AE160)</f>
        <v/>
      </c>
      <c r="AG160" s="7">
        <f>IF($E160="","",AF160-Q160)</f>
        <v/>
      </c>
      <c r="AK160" s="7" t="n"/>
      <c r="AN160" s="14" t="n"/>
      <c r="AQ160">
        <f>IF($E160="","",IF(COUNTIF($E$2:$E160,$E160)=1,1,0))</f>
        <v/>
      </c>
      <c r="AR160">
        <f>IF($AQ160=1,SUMPRODUCT(--($AU$2:$AU$1501&lt;$AU160))+1,"")</f>
        <v/>
      </c>
      <c r="AS160">
        <f>IF($E160="","",IF(OR($U160=TRUE(),$U160="TRUE"),1,0))</f>
        <v/>
      </c>
      <c r="AT160">
        <f>IF($E160="","",IF($AC160="Yes",1,0))</f>
        <v/>
      </c>
      <c r="AU160">
        <f>IF($AQ160=1,IFERROR(IF(VALUE($E160)&lt;100000000,VALUE($E160),1000000000),IFERROR(IF(VALUE(MID($E160,2,20))&lt;100000000,VALUE(MID($E160,2,20)),1000000000),1000000000))+ROW()/100000,"")</f>
        <v/>
      </c>
    </row>
    <row r="161">
      <c r="G161" s="14" t="n"/>
      <c r="Q161" s="7">
        <f>IF($E161="","",P161*Z161/100)</f>
        <v/>
      </c>
      <c r="R161" s="7" t="n"/>
      <c r="Y161" s="7" t="n"/>
      <c r="Z161" s="7" t="n"/>
      <c r="AA161" s="7" t="n"/>
      <c r="AD161">
        <f>IF($E161="","",IF($AT161=1,Settings!$C$8,IF($AS161=1,Settings!$C$6,Settings!$C$7))*100)</f>
        <v/>
      </c>
      <c r="AE161" s="7">
        <f>IF($E161="","",Z161*AD161/100)</f>
        <v/>
      </c>
      <c r="AF161" s="7">
        <f>IF($E161="","",Z161-AE161)</f>
        <v/>
      </c>
      <c r="AG161" s="7">
        <f>IF($E161="","",AF161-Q161)</f>
        <v/>
      </c>
      <c r="AK161" s="7" t="n"/>
      <c r="AN161" s="14" t="n"/>
      <c r="AQ161">
        <f>IF($E161="","",IF(COUNTIF($E$2:$E161,$E161)=1,1,0))</f>
        <v/>
      </c>
      <c r="AR161">
        <f>IF($AQ161=1,SUMPRODUCT(--($AU$2:$AU$1501&lt;$AU161))+1,"")</f>
        <v/>
      </c>
      <c r="AS161">
        <f>IF($E161="","",IF(OR($U161=TRUE(),$U161="TRUE"),1,0))</f>
        <v/>
      </c>
      <c r="AT161">
        <f>IF($E161="","",IF($AC161="Yes",1,0))</f>
        <v/>
      </c>
      <c r="AU161">
        <f>IF($AQ161=1,IFERROR(IF(VALUE($E161)&lt;100000000,VALUE($E161),1000000000),IFERROR(IF(VALUE(MID($E161,2,20))&lt;100000000,VALUE(MID($E161,2,20)),1000000000),1000000000))+ROW()/100000,"")</f>
        <v/>
      </c>
    </row>
    <row r="162">
      <c r="G162" s="14" t="n"/>
      <c r="Q162" s="7">
        <f>IF($E162="","",P162*Z162/100)</f>
        <v/>
      </c>
      <c r="R162" s="7" t="n"/>
      <c r="Y162" s="7" t="n"/>
      <c r="Z162" s="7" t="n"/>
      <c r="AA162" s="7" t="n"/>
      <c r="AD162">
        <f>IF($E162="","",IF($AT162=1,Settings!$C$8,IF($AS162=1,Settings!$C$6,Settings!$C$7))*100)</f>
        <v/>
      </c>
      <c r="AE162" s="7">
        <f>IF($E162="","",Z162*AD162/100)</f>
        <v/>
      </c>
      <c r="AF162" s="7">
        <f>IF($E162="","",Z162-AE162)</f>
        <v/>
      </c>
      <c r="AG162" s="7">
        <f>IF($E162="","",AF162-Q162)</f>
        <v/>
      </c>
      <c r="AK162" s="7" t="n"/>
      <c r="AN162" s="14" t="n"/>
      <c r="AQ162">
        <f>IF($E162="","",IF(COUNTIF($E$2:$E162,$E162)=1,1,0))</f>
        <v/>
      </c>
      <c r="AR162">
        <f>IF($AQ162=1,SUMPRODUCT(--($AU$2:$AU$1501&lt;$AU162))+1,"")</f>
        <v/>
      </c>
      <c r="AS162">
        <f>IF($E162="","",IF(OR($U162=TRUE(),$U162="TRUE"),1,0))</f>
        <v/>
      </c>
      <c r="AT162">
        <f>IF($E162="","",IF($AC162="Yes",1,0))</f>
        <v/>
      </c>
      <c r="AU162">
        <f>IF($AQ162=1,IFERROR(IF(VALUE($E162)&lt;100000000,VALUE($E162),1000000000),IFERROR(IF(VALUE(MID($E162,2,20))&lt;100000000,VALUE(MID($E162,2,20)),1000000000),1000000000))+ROW()/100000,"")</f>
        <v/>
      </c>
    </row>
    <row r="163">
      <c r="G163" s="14" t="n"/>
      <c r="Q163" s="7">
        <f>IF($E163="","",P163*Z163/100)</f>
        <v/>
      </c>
      <c r="R163" s="7" t="n"/>
      <c r="Y163" s="7" t="n"/>
      <c r="Z163" s="7" t="n"/>
      <c r="AA163" s="7" t="n"/>
      <c r="AD163">
        <f>IF($E163="","",IF($AT163=1,Settings!$C$8,IF($AS163=1,Settings!$C$6,Settings!$C$7))*100)</f>
        <v/>
      </c>
      <c r="AE163" s="7">
        <f>IF($E163="","",Z163*AD163/100)</f>
        <v/>
      </c>
      <c r="AF163" s="7">
        <f>IF($E163="","",Z163-AE163)</f>
        <v/>
      </c>
      <c r="AG163" s="7">
        <f>IF($E163="","",AF163-Q163)</f>
        <v/>
      </c>
      <c r="AK163" s="7" t="n"/>
      <c r="AN163" s="14" t="n"/>
      <c r="AQ163">
        <f>IF($E163="","",IF(COUNTIF($E$2:$E163,$E163)=1,1,0))</f>
        <v/>
      </c>
      <c r="AR163">
        <f>IF($AQ163=1,SUMPRODUCT(--($AU$2:$AU$1501&lt;$AU163))+1,"")</f>
        <v/>
      </c>
      <c r="AS163">
        <f>IF($E163="","",IF(OR($U163=TRUE(),$U163="TRUE"),1,0))</f>
        <v/>
      </c>
      <c r="AT163">
        <f>IF($E163="","",IF($AC163="Yes",1,0))</f>
        <v/>
      </c>
      <c r="AU163">
        <f>IF($AQ163=1,IFERROR(IF(VALUE($E163)&lt;100000000,VALUE($E163),1000000000),IFERROR(IF(VALUE(MID($E163,2,20))&lt;100000000,VALUE(MID($E163,2,20)),1000000000),1000000000))+ROW()/100000,"")</f>
        <v/>
      </c>
    </row>
    <row r="164">
      <c r="G164" s="14" t="n"/>
      <c r="Q164" s="7">
        <f>IF($E164="","",P164*Z164/100)</f>
        <v/>
      </c>
      <c r="R164" s="7" t="n"/>
      <c r="Y164" s="7" t="n"/>
      <c r="Z164" s="7" t="n"/>
      <c r="AA164" s="7" t="n"/>
      <c r="AD164">
        <f>IF($E164="","",IF($AT164=1,Settings!$C$8,IF($AS164=1,Settings!$C$6,Settings!$C$7))*100)</f>
        <v/>
      </c>
      <c r="AE164" s="7">
        <f>IF($E164="","",Z164*AD164/100)</f>
        <v/>
      </c>
      <c r="AF164" s="7">
        <f>IF($E164="","",Z164-AE164)</f>
        <v/>
      </c>
      <c r="AG164" s="7">
        <f>IF($E164="","",AF164-Q164)</f>
        <v/>
      </c>
      <c r="AK164" s="7" t="n"/>
      <c r="AN164" s="14" t="n"/>
      <c r="AQ164">
        <f>IF($E164="","",IF(COUNTIF($E$2:$E164,$E164)=1,1,0))</f>
        <v/>
      </c>
      <c r="AR164">
        <f>IF($AQ164=1,SUMPRODUCT(--($AU$2:$AU$1501&lt;$AU164))+1,"")</f>
        <v/>
      </c>
      <c r="AS164">
        <f>IF($E164="","",IF(OR($U164=TRUE(),$U164="TRUE"),1,0))</f>
        <v/>
      </c>
      <c r="AT164">
        <f>IF($E164="","",IF($AC164="Yes",1,0))</f>
        <v/>
      </c>
      <c r="AU164">
        <f>IF($AQ164=1,IFERROR(IF(VALUE($E164)&lt;100000000,VALUE($E164),1000000000),IFERROR(IF(VALUE(MID($E164,2,20))&lt;100000000,VALUE(MID($E164,2,20)),1000000000),1000000000))+ROW()/100000,"")</f>
        <v/>
      </c>
    </row>
    <row r="165">
      <c r="G165" s="14" t="n"/>
      <c r="Q165" s="7">
        <f>IF($E165="","",P165*Z165/100)</f>
        <v/>
      </c>
      <c r="R165" s="7" t="n"/>
      <c r="Y165" s="7" t="n"/>
      <c r="Z165" s="7" t="n"/>
      <c r="AA165" s="7" t="n"/>
      <c r="AD165">
        <f>IF($E165="","",IF($AT165=1,Settings!$C$8,IF($AS165=1,Settings!$C$6,Settings!$C$7))*100)</f>
        <v/>
      </c>
      <c r="AE165" s="7">
        <f>IF($E165="","",Z165*AD165/100)</f>
        <v/>
      </c>
      <c r="AF165" s="7">
        <f>IF($E165="","",Z165-AE165)</f>
        <v/>
      </c>
      <c r="AG165" s="7">
        <f>IF($E165="","",AF165-Q165)</f>
        <v/>
      </c>
      <c r="AK165" s="7" t="n"/>
      <c r="AN165" s="14" t="n"/>
      <c r="AQ165">
        <f>IF($E165="","",IF(COUNTIF($E$2:$E165,$E165)=1,1,0))</f>
        <v/>
      </c>
      <c r="AR165">
        <f>IF($AQ165=1,SUMPRODUCT(--($AU$2:$AU$1501&lt;$AU165))+1,"")</f>
        <v/>
      </c>
      <c r="AS165">
        <f>IF($E165="","",IF(OR($U165=TRUE(),$U165="TRUE"),1,0))</f>
        <v/>
      </c>
      <c r="AT165">
        <f>IF($E165="","",IF($AC165="Yes",1,0))</f>
        <v/>
      </c>
      <c r="AU165">
        <f>IF($AQ165=1,IFERROR(IF(VALUE($E165)&lt;100000000,VALUE($E165),1000000000),IFERROR(IF(VALUE(MID($E165,2,20))&lt;100000000,VALUE(MID($E165,2,20)),1000000000),1000000000))+ROW()/100000,"")</f>
        <v/>
      </c>
    </row>
    <row r="166">
      <c r="G166" s="14" t="n"/>
      <c r="Q166" s="7">
        <f>IF($E166="","",P166*Z166/100)</f>
        <v/>
      </c>
      <c r="R166" s="7" t="n"/>
      <c r="Y166" s="7" t="n"/>
      <c r="Z166" s="7" t="n"/>
      <c r="AA166" s="7" t="n"/>
      <c r="AD166">
        <f>IF($E166="","",IF($AT166=1,Settings!$C$8,IF($AS166=1,Settings!$C$6,Settings!$C$7))*100)</f>
        <v/>
      </c>
      <c r="AE166" s="7">
        <f>IF($E166="","",Z166*AD166/100)</f>
        <v/>
      </c>
      <c r="AF166" s="7">
        <f>IF($E166="","",Z166-AE166)</f>
        <v/>
      </c>
      <c r="AG166" s="7">
        <f>IF($E166="","",AF166-Q166)</f>
        <v/>
      </c>
      <c r="AK166" s="7" t="n"/>
      <c r="AN166" s="14" t="n"/>
      <c r="AQ166">
        <f>IF($E166="","",IF(COUNTIF($E$2:$E166,$E166)=1,1,0))</f>
        <v/>
      </c>
      <c r="AR166">
        <f>IF($AQ166=1,SUMPRODUCT(--($AU$2:$AU$1501&lt;$AU166))+1,"")</f>
        <v/>
      </c>
      <c r="AS166">
        <f>IF($E166="","",IF(OR($U166=TRUE(),$U166="TRUE"),1,0))</f>
        <v/>
      </c>
      <c r="AT166">
        <f>IF($E166="","",IF($AC166="Yes",1,0))</f>
        <v/>
      </c>
      <c r="AU166">
        <f>IF($AQ166=1,IFERROR(IF(VALUE($E166)&lt;100000000,VALUE($E166),1000000000),IFERROR(IF(VALUE(MID($E166,2,20))&lt;100000000,VALUE(MID($E166,2,20)),1000000000),1000000000))+ROW()/100000,"")</f>
        <v/>
      </c>
    </row>
    <row r="167">
      <c r="G167" s="14" t="n"/>
      <c r="Q167" s="7">
        <f>IF($E167="","",P167*Z167/100)</f>
        <v/>
      </c>
      <c r="R167" s="7" t="n"/>
      <c r="Y167" s="7" t="n"/>
      <c r="Z167" s="7" t="n"/>
      <c r="AA167" s="7" t="n"/>
      <c r="AD167">
        <f>IF($E167="","",IF($AT167=1,Settings!$C$8,IF($AS167=1,Settings!$C$6,Settings!$C$7))*100)</f>
        <v/>
      </c>
      <c r="AE167" s="7">
        <f>IF($E167="","",Z167*AD167/100)</f>
        <v/>
      </c>
      <c r="AF167" s="7">
        <f>IF($E167="","",Z167-AE167)</f>
        <v/>
      </c>
      <c r="AG167" s="7">
        <f>IF($E167="","",AF167-Q167)</f>
        <v/>
      </c>
      <c r="AK167" s="7" t="n"/>
      <c r="AN167" s="14" t="n"/>
      <c r="AQ167">
        <f>IF($E167="","",IF(COUNTIF($E$2:$E167,$E167)=1,1,0))</f>
        <v/>
      </c>
      <c r="AR167">
        <f>IF($AQ167=1,SUMPRODUCT(--($AU$2:$AU$1501&lt;$AU167))+1,"")</f>
        <v/>
      </c>
      <c r="AS167">
        <f>IF($E167="","",IF(OR($U167=TRUE(),$U167="TRUE"),1,0))</f>
        <v/>
      </c>
      <c r="AT167">
        <f>IF($E167="","",IF($AC167="Yes",1,0))</f>
        <v/>
      </c>
      <c r="AU167">
        <f>IF($AQ167=1,IFERROR(IF(VALUE($E167)&lt;100000000,VALUE($E167),1000000000),IFERROR(IF(VALUE(MID($E167,2,20))&lt;100000000,VALUE(MID($E167,2,20)),1000000000),1000000000))+ROW()/100000,"")</f>
        <v/>
      </c>
    </row>
    <row r="168">
      <c r="G168" s="14" t="n"/>
      <c r="Q168" s="7">
        <f>IF($E168="","",P168*Z168/100)</f>
        <v/>
      </c>
      <c r="R168" s="7" t="n"/>
      <c r="Y168" s="7" t="n"/>
      <c r="Z168" s="7" t="n"/>
      <c r="AA168" s="7" t="n"/>
      <c r="AD168">
        <f>IF($E168="","",IF($AT168=1,Settings!$C$8,IF($AS168=1,Settings!$C$6,Settings!$C$7))*100)</f>
        <v/>
      </c>
      <c r="AE168" s="7">
        <f>IF($E168="","",Z168*AD168/100)</f>
        <v/>
      </c>
      <c r="AF168" s="7">
        <f>IF($E168="","",Z168-AE168)</f>
        <v/>
      </c>
      <c r="AG168" s="7">
        <f>IF($E168="","",AF168-Q168)</f>
        <v/>
      </c>
      <c r="AK168" s="7" t="n"/>
      <c r="AN168" s="14" t="n"/>
      <c r="AQ168">
        <f>IF($E168="","",IF(COUNTIF($E$2:$E168,$E168)=1,1,0))</f>
        <v/>
      </c>
      <c r="AR168">
        <f>IF($AQ168=1,SUMPRODUCT(--($AU$2:$AU$1501&lt;$AU168))+1,"")</f>
        <v/>
      </c>
      <c r="AS168">
        <f>IF($E168="","",IF(OR($U168=TRUE(),$U168="TRUE"),1,0))</f>
        <v/>
      </c>
      <c r="AT168">
        <f>IF($E168="","",IF($AC168="Yes",1,0))</f>
        <v/>
      </c>
      <c r="AU168">
        <f>IF($AQ168=1,IFERROR(IF(VALUE($E168)&lt;100000000,VALUE($E168),1000000000),IFERROR(IF(VALUE(MID($E168,2,20))&lt;100000000,VALUE(MID($E168,2,20)),1000000000),1000000000))+ROW()/100000,"")</f>
        <v/>
      </c>
    </row>
    <row r="169">
      <c r="G169" s="14" t="n"/>
      <c r="Q169" s="7">
        <f>IF($E169="","",P169*Z169/100)</f>
        <v/>
      </c>
      <c r="R169" s="7" t="n"/>
      <c r="Y169" s="7" t="n"/>
      <c r="Z169" s="7" t="n"/>
      <c r="AA169" s="7" t="n"/>
      <c r="AD169">
        <f>IF($E169="","",IF($AT169=1,Settings!$C$8,IF($AS169=1,Settings!$C$6,Settings!$C$7))*100)</f>
        <v/>
      </c>
      <c r="AE169" s="7">
        <f>IF($E169="","",Z169*AD169/100)</f>
        <v/>
      </c>
      <c r="AF169" s="7">
        <f>IF($E169="","",Z169-AE169)</f>
        <v/>
      </c>
      <c r="AG169" s="7">
        <f>IF($E169="","",AF169-Q169)</f>
        <v/>
      </c>
      <c r="AK169" s="7" t="n"/>
      <c r="AN169" s="14" t="n"/>
      <c r="AQ169">
        <f>IF($E169="","",IF(COUNTIF($E$2:$E169,$E169)=1,1,0))</f>
        <v/>
      </c>
      <c r="AR169">
        <f>IF($AQ169=1,SUMPRODUCT(--($AU$2:$AU$1501&lt;$AU169))+1,"")</f>
        <v/>
      </c>
      <c r="AS169">
        <f>IF($E169="","",IF(OR($U169=TRUE(),$U169="TRUE"),1,0))</f>
        <v/>
      </c>
      <c r="AT169">
        <f>IF($E169="","",IF($AC169="Yes",1,0))</f>
        <v/>
      </c>
      <c r="AU169">
        <f>IF($AQ169=1,IFERROR(IF(VALUE($E169)&lt;100000000,VALUE($E169),1000000000),IFERROR(IF(VALUE(MID($E169,2,20))&lt;100000000,VALUE(MID($E169,2,20)),1000000000),1000000000))+ROW()/100000,"")</f>
        <v/>
      </c>
    </row>
    <row r="170">
      <c r="G170" s="14" t="n"/>
      <c r="Q170" s="7">
        <f>IF($E170="","",P170*Z170/100)</f>
        <v/>
      </c>
      <c r="R170" s="7" t="n"/>
      <c r="Y170" s="7" t="n"/>
      <c r="Z170" s="7" t="n"/>
      <c r="AA170" s="7" t="n"/>
      <c r="AD170">
        <f>IF($E170="","",IF($AT170=1,Settings!$C$8,IF($AS170=1,Settings!$C$6,Settings!$C$7))*100)</f>
        <v/>
      </c>
      <c r="AE170" s="7">
        <f>IF($E170="","",Z170*AD170/100)</f>
        <v/>
      </c>
      <c r="AF170" s="7">
        <f>IF($E170="","",Z170-AE170)</f>
        <v/>
      </c>
      <c r="AG170" s="7">
        <f>IF($E170="","",AF170-Q170)</f>
        <v/>
      </c>
      <c r="AK170" s="7" t="n"/>
      <c r="AN170" s="14" t="n"/>
      <c r="AQ170">
        <f>IF($E170="","",IF(COUNTIF($E$2:$E170,$E170)=1,1,0))</f>
        <v/>
      </c>
      <c r="AR170">
        <f>IF($AQ170=1,SUMPRODUCT(--($AU$2:$AU$1501&lt;$AU170))+1,"")</f>
        <v/>
      </c>
      <c r="AS170">
        <f>IF($E170="","",IF(OR($U170=TRUE(),$U170="TRUE"),1,0))</f>
        <v/>
      </c>
      <c r="AT170">
        <f>IF($E170="","",IF($AC170="Yes",1,0))</f>
        <v/>
      </c>
      <c r="AU170">
        <f>IF($AQ170=1,IFERROR(IF(VALUE($E170)&lt;100000000,VALUE($E170),1000000000),IFERROR(IF(VALUE(MID($E170,2,20))&lt;100000000,VALUE(MID($E170,2,20)),1000000000),1000000000))+ROW()/100000,"")</f>
        <v/>
      </c>
    </row>
    <row r="171">
      <c r="G171" s="14" t="n"/>
      <c r="Q171" s="7">
        <f>IF($E171="","",P171*Z171/100)</f>
        <v/>
      </c>
      <c r="R171" s="7" t="n"/>
      <c r="Y171" s="7" t="n"/>
      <c r="Z171" s="7" t="n"/>
      <c r="AA171" s="7" t="n"/>
      <c r="AD171">
        <f>IF($E171="","",IF($AT171=1,Settings!$C$8,IF($AS171=1,Settings!$C$6,Settings!$C$7))*100)</f>
        <v/>
      </c>
      <c r="AE171" s="7">
        <f>IF($E171="","",Z171*AD171/100)</f>
        <v/>
      </c>
      <c r="AF171" s="7">
        <f>IF($E171="","",Z171-AE171)</f>
        <v/>
      </c>
      <c r="AG171" s="7">
        <f>IF($E171="","",AF171-Q171)</f>
        <v/>
      </c>
      <c r="AK171" s="7" t="n"/>
      <c r="AN171" s="14" t="n"/>
      <c r="AQ171">
        <f>IF($E171="","",IF(COUNTIF($E$2:$E171,$E171)=1,1,0))</f>
        <v/>
      </c>
      <c r="AR171">
        <f>IF($AQ171=1,SUMPRODUCT(--($AU$2:$AU$1501&lt;$AU171))+1,"")</f>
        <v/>
      </c>
      <c r="AS171">
        <f>IF($E171="","",IF(OR($U171=TRUE(),$U171="TRUE"),1,0))</f>
        <v/>
      </c>
      <c r="AT171">
        <f>IF($E171="","",IF($AC171="Yes",1,0))</f>
        <v/>
      </c>
      <c r="AU171">
        <f>IF($AQ171=1,IFERROR(IF(VALUE($E171)&lt;100000000,VALUE($E171),1000000000),IFERROR(IF(VALUE(MID($E171,2,20))&lt;100000000,VALUE(MID($E171,2,20)),1000000000),1000000000))+ROW()/100000,"")</f>
        <v/>
      </c>
    </row>
    <row r="172">
      <c r="G172" s="14" t="n"/>
      <c r="Q172" s="7">
        <f>IF($E172="","",P172*Z172/100)</f>
        <v/>
      </c>
      <c r="R172" s="7" t="n"/>
      <c r="Y172" s="7" t="n"/>
      <c r="Z172" s="7" t="n"/>
      <c r="AA172" s="7" t="n"/>
      <c r="AD172">
        <f>IF($E172="","",IF($AT172=1,Settings!$C$8,IF($AS172=1,Settings!$C$6,Settings!$C$7))*100)</f>
        <v/>
      </c>
      <c r="AE172" s="7">
        <f>IF($E172="","",Z172*AD172/100)</f>
        <v/>
      </c>
      <c r="AF172" s="7">
        <f>IF($E172="","",Z172-AE172)</f>
        <v/>
      </c>
      <c r="AG172" s="7">
        <f>IF($E172="","",AF172-Q172)</f>
        <v/>
      </c>
      <c r="AK172" s="7" t="n"/>
      <c r="AN172" s="14" t="n"/>
      <c r="AQ172">
        <f>IF($E172="","",IF(COUNTIF($E$2:$E172,$E172)=1,1,0))</f>
        <v/>
      </c>
      <c r="AR172">
        <f>IF($AQ172=1,SUMPRODUCT(--($AU$2:$AU$1501&lt;$AU172))+1,"")</f>
        <v/>
      </c>
      <c r="AS172">
        <f>IF($E172="","",IF(OR($U172=TRUE(),$U172="TRUE"),1,0))</f>
        <v/>
      </c>
      <c r="AT172">
        <f>IF($E172="","",IF($AC172="Yes",1,0))</f>
        <v/>
      </c>
      <c r="AU172">
        <f>IF($AQ172=1,IFERROR(IF(VALUE($E172)&lt;100000000,VALUE($E172),1000000000),IFERROR(IF(VALUE(MID($E172,2,20))&lt;100000000,VALUE(MID($E172,2,20)),1000000000),1000000000))+ROW()/100000,"")</f>
        <v/>
      </c>
    </row>
    <row r="173">
      <c r="G173" s="14" t="n"/>
      <c r="Q173" s="7">
        <f>IF($E173="","",P173*Z173/100)</f>
        <v/>
      </c>
      <c r="R173" s="7" t="n"/>
      <c r="Y173" s="7" t="n"/>
      <c r="Z173" s="7" t="n"/>
      <c r="AA173" s="7" t="n"/>
      <c r="AD173">
        <f>IF($E173="","",IF($AT173=1,Settings!$C$8,IF($AS173=1,Settings!$C$6,Settings!$C$7))*100)</f>
        <v/>
      </c>
      <c r="AE173" s="7">
        <f>IF($E173="","",Z173*AD173/100)</f>
        <v/>
      </c>
      <c r="AF173" s="7">
        <f>IF($E173="","",Z173-AE173)</f>
        <v/>
      </c>
      <c r="AG173" s="7">
        <f>IF($E173="","",AF173-Q173)</f>
        <v/>
      </c>
      <c r="AK173" s="7" t="n"/>
      <c r="AN173" s="14" t="n"/>
      <c r="AQ173">
        <f>IF($E173="","",IF(COUNTIF($E$2:$E173,$E173)=1,1,0))</f>
        <v/>
      </c>
      <c r="AR173">
        <f>IF($AQ173=1,SUMPRODUCT(--($AU$2:$AU$1501&lt;$AU173))+1,"")</f>
        <v/>
      </c>
      <c r="AS173">
        <f>IF($E173="","",IF(OR($U173=TRUE(),$U173="TRUE"),1,0))</f>
        <v/>
      </c>
      <c r="AT173">
        <f>IF($E173="","",IF($AC173="Yes",1,0))</f>
        <v/>
      </c>
      <c r="AU173">
        <f>IF($AQ173=1,IFERROR(IF(VALUE($E173)&lt;100000000,VALUE($E173),1000000000),IFERROR(IF(VALUE(MID($E173,2,20))&lt;100000000,VALUE(MID($E173,2,20)),1000000000),1000000000))+ROW()/100000,"")</f>
        <v/>
      </c>
    </row>
    <row r="174">
      <c r="G174" s="14" t="n"/>
      <c r="Q174" s="7">
        <f>IF($E174="","",P174*Z174/100)</f>
        <v/>
      </c>
      <c r="R174" s="7" t="n"/>
      <c r="Y174" s="7" t="n"/>
      <c r="Z174" s="7" t="n"/>
      <c r="AA174" s="7" t="n"/>
      <c r="AD174">
        <f>IF($E174="","",IF($AT174=1,Settings!$C$8,IF($AS174=1,Settings!$C$6,Settings!$C$7))*100)</f>
        <v/>
      </c>
      <c r="AE174" s="7">
        <f>IF($E174="","",Z174*AD174/100)</f>
        <v/>
      </c>
      <c r="AF174" s="7">
        <f>IF($E174="","",Z174-AE174)</f>
        <v/>
      </c>
      <c r="AG174" s="7">
        <f>IF($E174="","",AF174-Q174)</f>
        <v/>
      </c>
      <c r="AK174" s="7" t="n"/>
      <c r="AN174" s="14" t="n"/>
      <c r="AQ174">
        <f>IF($E174="","",IF(COUNTIF($E$2:$E174,$E174)=1,1,0))</f>
        <v/>
      </c>
      <c r="AR174">
        <f>IF($AQ174=1,SUMPRODUCT(--($AU$2:$AU$1501&lt;$AU174))+1,"")</f>
        <v/>
      </c>
      <c r="AS174">
        <f>IF($E174="","",IF(OR($U174=TRUE(),$U174="TRUE"),1,0))</f>
        <v/>
      </c>
      <c r="AT174">
        <f>IF($E174="","",IF($AC174="Yes",1,0))</f>
        <v/>
      </c>
      <c r="AU174">
        <f>IF($AQ174=1,IFERROR(IF(VALUE($E174)&lt;100000000,VALUE($E174),1000000000),IFERROR(IF(VALUE(MID($E174,2,20))&lt;100000000,VALUE(MID($E174,2,20)),1000000000),1000000000))+ROW()/100000,"")</f>
        <v/>
      </c>
    </row>
    <row r="175">
      <c r="G175" s="14" t="n"/>
      <c r="Q175" s="7">
        <f>IF($E175="","",P175*Z175/100)</f>
        <v/>
      </c>
      <c r="R175" s="7" t="n"/>
      <c r="Y175" s="7" t="n"/>
      <c r="Z175" s="7" t="n"/>
      <c r="AA175" s="7" t="n"/>
      <c r="AD175">
        <f>IF($E175="","",IF($AT175=1,Settings!$C$8,IF($AS175=1,Settings!$C$6,Settings!$C$7))*100)</f>
        <v/>
      </c>
      <c r="AE175" s="7">
        <f>IF($E175="","",Z175*AD175/100)</f>
        <v/>
      </c>
      <c r="AF175" s="7">
        <f>IF($E175="","",Z175-AE175)</f>
        <v/>
      </c>
      <c r="AG175" s="7">
        <f>IF($E175="","",AF175-Q175)</f>
        <v/>
      </c>
      <c r="AK175" s="7" t="n"/>
      <c r="AN175" s="14" t="n"/>
      <c r="AQ175">
        <f>IF($E175="","",IF(COUNTIF($E$2:$E175,$E175)=1,1,0))</f>
        <v/>
      </c>
      <c r="AR175">
        <f>IF($AQ175=1,SUMPRODUCT(--($AU$2:$AU$1501&lt;$AU175))+1,"")</f>
        <v/>
      </c>
      <c r="AS175">
        <f>IF($E175="","",IF(OR($U175=TRUE(),$U175="TRUE"),1,0))</f>
        <v/>
      </c>
      <c r="AT175">
        <f>IF($E175="","",IF($AC175="Yes",1,0))</f>
        <v/>
      </c>
      <c r="AU175">
        <f>IF($AQ175=1,IFERROR(IF(VALUE($E175)&lt;100000000,VALUE($E175),1000000000),IFERROR(IF(VALUE(MID($E175,2,20))&lt;100000000,VALUE(MID($E175,2,20)),1000000000),1000000000))+ROW()/100000,"")</f>
        <v/>
      </c>
    </row>
    <row r="176">
      <c r="G176" s="14" t="n"/>
      <c r="Q176" s="7">
        <f>IF($E176="","",P176*Z176/100)</f>
        <v/>
      </c>
      <c r="R176" s="7" t="n"/>
      <c r="Y176" s="7" t="n"/>
      <c r="Z176" s="7" t="n"/>
      <c r="AA176" s="7" t="n"/>
      <c r="AD176">
        <f>IF($E176="","",IF($AT176=1,Settings!$C$8,IF($AS176=1,Settings!$C$6,Settings!$C$7))*100)</f>
        <v/>
      </c>
      <c r="AE176" s="7">
        <f>IF($E176="","",Z176*AD176/100)</f>
        <v/>
      </c>
      <c r="AF176" s="7">
        <f>IF($E176="","",Z176-AE176)</f>
        <v/>
      </c>
      <c r="AG176" s="7">
        <f>IF($E176="","",AF176-Q176)</f>
        <v/>
      </c>
      <c r="AK176" s="7" t="n"/>
      <c r="AN176" s="14" t="n"/>
      <c r="AQ176">
        <f>IF($E176="","",IF(COUNTIF($E$2:$E176,$E176)=1,1,0))</f>
        <v/>
      </c>
      <c r="AR176">
        <f>IF($AQ176=1,SUMPRODUCT(--($AU$2:$AU$1501&lt;$AU176))+1,"")</f>
        <v/>
      </c>
      <c r="AS176">
        <f>IF($E176="","",IF(OR($U176=TRUE(),$U176="TRUE"),1,0))</f>
        <v/>
      </c>
      <c r="AT176">
        <f>IF($E176="","",IF($AC176="Yes",1,0))</f>
        <v/>
      </c>
      <c r="AU176">
        <f>IF($AQ176=1,IFERROR(IF(VALUE($E176)&lt;100000000,VALUE($E176),1000000000),IFERROR(IF(VALUE(MID($E176,2,20))&lt;100000000,VALUE(MID($E176,2,20)),1000000000),1000000000))+ROW()/100000,"")</f>
        <v/>
      </c>
    </row>
    <row r="177">
      <c r="G177" s="14" t="n"/>
      <c r="Q177" s="7">
        <f>IF($E177="","",P177*Z177/100)</f>
        <v/>
      </c>
      <c r="R177" s="7" t="n"/>
      <c r="Y177" s="7" t="n"/>
      <c r="Z177" s="7" t="n"/>
      <c r="AA177" s="7" t="n"/>
      <c r="AD177">
        <f>IF($E177="","",IF($AT177=1,Settings!$C$8,IF($AS177=1,Settings!$C$6,Settings!$C$7))*100)</f>
        <v/>
      </c>
      <c r="AE177" s="7">
        <f>IF($E177="","",Z177*AD177/100)</f>
        <v/>
      </c>
      <c r="AF177" s="7">
        <f>IF($E177="","",Z177-AE177)</f>
        <v/>
      </c>
      <c r="AG177" s="7">
        <f>IF($E177="","",AF177-Q177)</f>
        <v/>
      </c>
      <c r="AK177" s="7" t="n"/>
      <c r="AN177" s="14" t="n"/>
      <c r="AQ177">
        <f>IF($E177="","",IF(COUNTIF($E$2:$E177,$E177)=1,1,0))</f>
        <v/>
      </c>
      <c r="AR177">
        <f>IF($AQ177=1,SUMPRODUCT(--($AU$2:$AU$1501&lt;$AU177))+1,"")</f>
        <v/>
      </c>
      <c r="AS177">
        <f>IF($E177="","",IF(OR($U177=TRUE(),$U177="TRUE"),1,0))</f>
        <v/>
      </c>
      <c r="AT177">
        <f>IF($E177="","",IF($AC177="Yes",1,0))</f>
        <v/>
      </c>
      <c r="AU177">
        <f>IF($AQ177=1,IFERROR(IF(VALUE($E177)&lt;100000000,VALUE($E177),1000000000),IFERROR(IF(VALUE(MID($E177,2,20))&lt;100000000,VALUE(MID($E177,2,20)),1000000000),1000000000))+ROW()/100000,"")</f>
        <v/>
      </c>
    </row>
    <row r="178">
      <c r="G178" s="14" t="n"/>
      <c r="Q178" s="7">
        <f>IF($E178="","",P178*Z178/100)</f>
        <v/>
      </c>
      <c r="R178" s="7" t="n"/>
      <c r="Y178" s="7" t="n"/>
      <c r="Z178" s="7" t="n"/>
      <c r="AA178" s="7" t="n"/>
      <c r="AD178">
        <f>IF($E178="","",IF($AT178=1,Settings!$C$8,IF($AS178=1,Settings!$C$6,Settings!$C$7))*100)</f>
        <v/>
      </c>
      <c r="AE178" s="7">
        <f>IF($E178="","",Z178*AD178/100)</f>
        <v/>
      </c>
      <c r="AF178" s="7">
        <f>IF($E178="","",Z178-AE178)</f>
        <v/>
      </c>
      <c r="AG178" s="7">
        <f>IF($E178="","",AF178-Q178)</f>
        <v/>
      </c>
      <c r="AK178" s="7" t="n"/>
      <c r="AN178" s="14" t="n"/>
      <c r="AQ178">
        <f>IF($E178="","",IF(COUNTIF($E$2:$E178,$E178)=1,1,0))</f>
        <v/>
      </c>
      <c r="AR178">
        <f>IF($AQ178=1,SUMPRODUCT(--($AU$2:$AU$1501&lt;$AU178))+1,"")</f>
        <v/>
      </c>
      <c r="AS178">
        <f>IF($E178="","",IF(OR($U178=TRUE(),$U178="TRUE"),1,0))</f>
        <v/>
      </c>
      <c r="AT178">
        <f>IF($E178="","",IF($AC178="Yes",1,0))</f>
        <v/>
      </c>
      <c r="AU178">
        <f>IF($AQ178=1,IFERROR(IF(VALUE($E178)&lt;100000000,VALUE($E178),1000000000),IFERROR(IF(VALUE(MID($E178,2,20))&lt;100000000,VALUE(MID($E178,2,20)),1000000000),1000000000))+ROW()/100000,"")</f>
        <v/>
      </c>
    </row>
    <row r="179">
      <c r="G179" s="14" t="n"/>
      <c r="Q179" s="7">
        <f>IF($E179="","",P179*Z179/100)</f>
        <v/>
      </c>
      <c r="R179" s="7" t="n"/>
      <c r="Y179" s="7" t="n"/>
      <c r="Z179" s="7" t="n"/>
      <c r="AA179" s="7" t="n"/>
      <c r="AD179">
        <f>IF($E179="","",IF($AT179=1,Settings!$C$8,IF($AS179=1,Settings!$C$6,Settings!$C$7))*100)</f>
        <v/>
      </c>
      <c r="AE179" s="7">
        <f>IF($E179="","",Z179*AD179/100)</f>
        <v/>
      </c>
      <c r="AF179" s="7">
        <f>IF($E179="","",Z179-AE179)</f>
        <v/>
      </c>
      <c r="AG179" s="7">
        <f>IF($E179="","",AF179-Q179)</f>
        <v/>
      </c>
      <c r="AK179" s="7" t="n"/>
      <c r="AN179" s="14" t="n"/>
      <c r="AQ179">
        <f>IF($E179="","",IF(COUNTIF($E$2:$E179,$E179)=1,1,0))</f>
        <v/>
      </c>
      <c r="AR179">
        <f>IF($AQ179=1,SUMPRODUCT(--($AU$2:$AU$1501&lt;$AU179))+1,"")</f>
        <v/>
      </c>
      <c r="AS179">
        <f>IF($E179="","",IF(OR($U179=TRUE(),$U179="TRUE"),1,0))</f>
        <v/>
      </c>
      <c r="AT179">
        <f>IF($E179="","",IF($AC179="Yes",1,0))</f>
        <v/>
      </c>
      <c r="AU179">
        <f>IF($AQ179=1,IFERROR(IF(VALUE($E179)&lt;100000000,VALUE($E179),1000000000),IFERROR(IF(VALUE(MID($E179,2,20))&lt;100000000,VALUE(MID($E179,2,20)),1000000000),1000000000))+ROW()/100000,"")</f>
        <v/>
      </c>
    </row>
    <row r="180">
      <c r="G180" s="14" t="n"/>
      <c r="Q180" s="7">
        <f>IF($E180="","",P180*Z180/100)</f>
        <v/>
      </c>
      <c r="R180" s="7" t="n"/>
      <c r="Y180" s="7" t="n"/>
      <c r="Z180" s="7" t="n"/>
      <c r="AA180" s="7" t="n"/>
      <c r="AD180">
        <f>IF($E180="","",IF($AT180=1,Settings!$C$8,IF($AS180=1,Settings!$C$6,Settings!$C$7))*100)</f>
        <v/>
      </c>
      <c r="AE180" s="7">
        <f>IF($E180="","",Z180*AD180/100)</f>
        <v/>
      </c>
      <c r="AF180" s="7">
        <f>IF($E180="","",Z180-AE180)</f>
        <v/>
      </c>
      <c r="AG180" s="7">
        <f>IF($E180="","",AF180-Q180)</f>
        <v/>
      </c>
      <c r="AK180" s="7" t="n"/>
      <c r="AN180" s="14" t="n"/>
      <c r="AQ180">
        <f>IF($E180="","",IF(COUNTIF($E$2:$E180,$E180)=1,1,0))</f>
        <v/>
      </c>
      <c r="AR180">
        <f>IF($AQ180=1,SUMPRODUCT(--($AU$2:$AU$1501&lt;$AU180))+1,"")</f>
        <v/>
      </c>
      <c r="AS180">
        <f>IF($E180="","",IF(OR($U180=TRUE(),$U180="TRUE"),1,0))</f>
        <v/>
      </c>
      <c r="AT180">
        <f>IF($E180="","",IF($AC180="Yes",1,0))</f>
        <v/>
      </c>
      <c r="AU180">
        <f>IF($AQ180=1,IFERROR(IF(VALUE($E180)&lt;100000000,VALUE($E180),1000000000),IFERROR(IF(VALUE(MID($E180,2,20))&lt;100000000,VALUE(MID($E180,2,20)),1000000000),1000000000))+ROW()/100000,"")</f>
        <v/>
      </c>
    </row>
    <row r="181">
      <c r="G181" s="14" t="n"/>
      <c r="Q181" s="7">
        <f>IF($E181="","",P181*Z181/100)</f>
        <v/>
      </c>
      <c r="R181" s="7" t="n"/>
      <c r="Y181" s="7" t="n"/>
      <c r="Z181" s="7" t="n"/>
      <c r="AA181" s="7" t="n"/>
      <c r="AD181">
        <f>IF($E181="","",IF($AT181=1,Settings!$C$8,IF($AS181=1,Settings!$C$6,Settings!$C$7))*100)</f>
        <v/>
      </c>
      <c r="AE181" s="7">
        <f>IF($E181="","",Z181*AD181/100)</f>
        <v/>
      </c>
      <c r="AF181" s="7">
        <f>IF($E181="","",Z181-AE181)</f>
        <v/>
      </c>
      <c r="AG181" s="7">
        <f>IF($E181="","",AF181-Q181)</f>
        <v/>
      </c>
      <c r="AK181" s="7" t="n"/>
      <c r="AN181" s="14" t="n"/>
      <c r="AQ181">
        <f>IF($E181="","",IF(COUNTIF($E$2:$E181,$E181)=1,1,0))</f>
        <v/>
      </c>
      <c r="AR181">
        <f>IF($AQ181=1,SUMPRODUCT(--($AU$2:$AU$1501&lt;$AU181))+1,"")</f>
        <v/>
      </c>
      <c r="AS181">
        <f>IF($E181="","",IF(OR($U181=TRUE(),$U181="TRUE"),1,0))</f>
        <v/>
      </c>
      <c r="AT181">
        <f>IF($E181="","",IF($AC181="Yes",1,0))</f>
        <v/>
      </c>
      <c r="AU181">
        <f>IF($AQ181=1,IFERROR(IF(VALUE($E181)&lt;100000000,VALUE($E181),1000000000),IFERROR(IF(VALUE(MID($E181,2,20))&lt;100000000,VALUE(MID($E181,2,20)),1000000000),1000000000))+ROW()/100000,"")</f>
        <v/>
      </c>
    </row>
    <row r="182">
      <c r="G182" s="14" t="n"/>
      <c r="Q182" s="7">
        <f>IF($E182="","",P182*Z182/100)</f>
        <v/>
      </c>
      <c r="R182" s="7" t="n"/>
      <c r="Y182" s="7" t="n"/>
      <c r="Z182" s="7" t="n"/>
      <c r="AA182" s="7" t="n"/>
      <c r="AD182">
        <f>IF($E182="","",IF($AT182=1,Settings!$C$8,IF($AS182=1,Settings!$C$6,Settings!$C$7))*100)</f>
        <v/>
      </c>
      <c r="AE182" s="7">
        <f>IF($E182="","",Z182*AD182/100)</f>
        <v/>
      </c>
      <c r="AF182" s="7">
        <f>IF($E182="","",Z182-AE182)</f>
        <v/>
      </c>
      <c r="AG182" s="7">
        <f>IF($E182="","",AF182-Q182)</f>
        <v/>
      </c>
      <c r="AK182" s="7" t="n"/>
      <c r="AN182" s="14" t="n"/>
      <c r="AQ182">
        <f>IF($E182="","",IF(COUNTIF($E$2:$E182,$E182)=1,1,0))</f>
        <v/>
      </c>
      <c r="AR182">
        <f>IF($AQ182=1,SUMPRODUCT(--($AU$2:$AU$1501&lt;$AU182))+1,"")</f>
        <v/>
      </c>
      <c r="AS182">
        <f>IF($E182="","",IF(OR($U182=TRUE(),$U182="TRUE"),1,0))</f>
        <v/>
      </c>
      <c r="AT182">
        <f>IF($E182="","",IF($AC182="Yes",1,0))</f>
        <v/>
      </c>
      <c r="AU182">
        <f>IF($AQ182=1,IFERROR(IF(VALUE($E182)&lt;100000000,VALUE($E182),1000000000),IFERROR(IF(VALUE(MID($E182,2,20))&lt;100000000,VALUE(MID($E182,2,20)),1000000000),1000000000))+ROW()/100000,"")</f>
        <v/>
      </c>
    </row>
    <row r="183">
      <c r="G183" s="14" t="n"/>
      <c r="Q183" s="7">
        <f>IF($E183="","",P183*Z183/100)</f>
        <v/>
      </c>
      <c r="R183" s="7" t="n"/>
      <c r="Y183" s="7" t="n"/>
      <c r="Z183" s="7" t="n"/>
      <c r="AA183" s="7" t="n"/>
      <c r="AD183">
        <f>IF($E183="","",IF($AT183=1,Settings!$C$8,IF($AS183=1,Settings!$C$6,Settings!$C$7))*100)</f>
        <v/>
      </c>
      <c r="AE183" s="7">
        <f>IF($E183="","",Z183*AD183/100)</f>
        <v/>
      </c>
      <c r="AF183" s="7">
        <f>IF($E183="","",Z183-AE183)</f>
        <v/>
      </c>
      <c r="AG183" s="7">
        <f>IF($E183="","",AF183-Q183)</f>
        <v/>
      </c>
      <c r="AK183" s="7" t="n"/>
      <c r="AN183" s="14" t="n"/>
      <c r="AQ183">
        <f>IF($E183="","",IF(COUNTIF($E$2:$E183,$E183)=1,1,0))</f>
        <v/>
      </c>
      <c r="AR183">
        <f>IF($AQ183=1,SUMPRODUCT(--($AU$2:$AU$1501&lt;$AU183))+1,"")</f>
        <v/>
      </c>
      <c r="AS183">
        <f>IF($E183="","",IF(OR($U183=TRUE(),$U183="TRUE"),1,0))</f>
        <v/>
      </c>
      <c r="AT183">
        <f>IF($E183="","",IF($AC183="Yes",1,0))</f>
        <v/>
      </c>
      <c r="AU183">
        <f>IF($AQ183=1,IFERROR(IF(VALUE($E183)&lt;100000000,VALUE($E183),1000000000),IFERROR(IF(VALUE(MID($E183,2,20))&lt;100000000,VALUE(MID($E183,2,20)),1000000000),1000000000))+ROW()/100000,"")</f>
        <v/>
      </c>
    </row>
    <row r="184">
      <c r="G184" s="14" t="n"/>
      <c r="Q184" s="7">
        <f>IF($E184="","",P184*Z184/100)</f>
        <v/>
      </c>
      <c r="R184" s="7" t="n"/>
      <c r="Y184" s="7" t="n"/>
      <c r="Z184" s="7" t="n"/>
      <c r="AA184" s="7" t="n"/>
      <c r="AD184">
        <f>IF($E184="","",IF($AT184=1,Settings!$C$8,IF($AS184=1,Settings!$C$6,Settings!$C$7))*100)</f>
        <v/>
      </c>
      <c r="AE184" s="7">
        <f>IF($E184="","",Z184*AD184/100)</f>
        <v/>
      </c>
      <c r="AF184" s="7">
        <f>IF($E184="","",Z184-AE184)</f>
        <v/>
      </c>
      <c r="AG184" s="7">
        <f>IF($E184="","",AF184-Q184)</f>
        <v/>
      </c>
      <c r="AK184" s="7" t="n"/>
      <c r="AN184" s="14" t="n"/>
      <c r="AQ184">
        <f>IF($E184="","",IF(COUNTIF($E$2:$E184,$E184)=1,1,0))</f>
        <v/>
      </c>
      <c r="AR184">
        <f>IF($AQ184=1,SUMPRODUCT(--($AU$2:$AU$1501&lt;$AU184))+1,"")</f>
        <v/>
      </c>
      <c r="AS184">
        <f>IF($E184="","",IF(OR($U184=TRUE(),$U184="TRUE"),1,0))</f>
        <v/>
      </c>
      <c r="AT184">
        <f>IF($E184="","",IF($AC184="Yes",1,0))</f>
        <v/>
      </c>
      <c r="AU184">
        <f>IF($AQ184=1,IFERROR(IF(VALUE($E184)&lt;100000000,VALUE($E184),1000000000),IFERROR(IF(VALUE(MID($E184,2,20))&lt;100000000,VALUE(MID($E184,2,20)),1000000000),1000000000))+ROW()/100000,"")</f>
        <v/>
      </c>
    </row>
    <row r="185">
      <c r="G185" s="14" t="n"/>
      <c r="Q185" s="7">
        <f>IF($E185="","",P185*Z185/100)</f>
        <v/>
      </c>
      <c r="R185" s="7" t="n"/>
      <c r="Y185" s="7" t="n"/>
      <c r="Z185" s="7" t="n"/>
      <c r="AA185" s="7" t="n"/>
      <c r="AD185">
        <f>IF($E185="","",IF($AT185=1,Settings!$C$8,IF($AS185=1,Settings!$C$6,Settings!$C$7))*100)</f>
        <v/>
      </c>
      <c r="AE185" s="7">
        <f>IF($E185="","",Z185*AD185/100)</f>
        <v/>
      </c>
      <c r="AF185" s="7">
        <f>IF($E185="","",Z185-AE185)</f>
        <v/>
      </c>
      <c r="AG185" s="7">
        <f>IF($E185="","",AF185-Q185)</f>
        <v/>
      </c>
      <c r="AK185" s="7" t="n"/>
      <c r="AN185" s="14" t="n"/>
      <c r="AQ185">
        <f>IF($E185="","",IF(COUNTIF($E$2:$E185,$E185)=1,1,0))</f>
        <v/>
      </c>
      <c r="AR185">
        <f>IF($AQ185=1,SUMPRODUCT(--($AU$2:$AU$1501&lt;$AU185))+1,"")</f>
        <v/>
      </c>
      <c r="AS185">
        <f>IF($E185="","",IF(OR($U185=TRUE(),$U185="TRUE"),1,0))</f>
        <v/>
      </c>
      <c r="AT185">
        <f>IF($E185="","",IF($AC185="Yes",1,0))</f>
        <v/>
      </c>
      <c r="AU185">
        <f>IF($AQ185=1,IFERROR(IF(VALUE($E185)&lt;100000000,VALUE($E185),1000000000),IFERROR(IF(VALUE(MID($E185,2,20))&lt;100000000,VALUE(MID($E185,2,20)),1000000000),1000000000))+ROW()/100000,"")</f>
        <v/>
      </c>
    </row>
    <row r="186">
      <c r="G186" s="14" t="n"/>
      <c r="Q186" s="7">
        <f>IF($E186="","",P186*Z186/100)</f>
        <v/>
      </c>
      <c r="R186" s="7" t="n"/>
      <c r="Y186" s="7" t="n"/>
      <c r="Z186" s="7" t="n"/>
      <c r="AA186" s="7" t="n"/>
      <c r="AD186">
        <f>IF($E186="","",IF($AT186=1,Settings!$C$8,IF($AS186=1,Settings!$C$6,Settings!$C$7))*100)</f>
        <v/>
      </c>
      <c r="AE186" s="7">
        <f>IF($E186="","",Z186*AD186/100)</f>
        <v/>
      </c>
      <c r="AF186" s="7">
        <f>IF($E186="","",Z186-AE186)</f>
        <v/>
      </c>
      <c r="AG186" s="7">
        <f>IF($E186="","",AF186-Q186)</f>
        <v/>
      </c>
      <c r="AK186" s="7" t="n"/>
      <c r="AN186" s="14" t="n"/>
      <c r="AQ186">
        <f>IF($E186="","",IF(COUNTIF($E$2:$E186,$E186)=1,1,0))</f>
        <v/>
      </c>
      <c r="AR186">
        <f>IF($AQ186=1,SUMPRODUCT(--($AU$2:$AU$1501&lt;$AU186))+1,"")</f>
        <v/>
      </c>
      <c r="AS186">
        <f>IF($E186="","",IF(OR($U186=TRUE(),$U186="TRUE"),1,0))</f>
        <v/>
      </c>
      <c r="AT186">
        <f>IF($E186="","",IF($AC186="Yes",1,0))</f>
        <v/>
      </c>
      <c r="AU186">
        <f>IF($AQ186=1,IFERROR(IF(VALUE($E186)&lt;100000000,VALUE($E186),1000000000),IFERROR(IF(VALUE(MID($E186,2,20))&lt;100000000,VALUE(MID($E186,2,20)),1000000000),1000000000))+ROW()/100000,"")</f>
        <v/>
      </c>
    </row>
    <row r="187">
      <c r="G187" s="14" t="n"/>
      <c r="Q187" s="7">
        <f>IF($E187="","",P187*Z187/100)</f>
        <v/>
      </c>
      <c r="R187" s="7" t="n"/>
      <c r="Y187" s="7" t="n"/>
      <c r="Z187" s="7" t="n"/>
      <c r="AA187" s="7" t="n"/>
      <c r="AD187">
        <f>IF($E187="","",IF($AT187=1,Settings!$C$8,IF($AS187=1,Settings!$C$6,Settings!$C$7))*100)</f>
        <v/>
      </c>
      <c r="AE187" s="7">
        <f>IF($E187="","",Z187*AD187/100)</f>
        <v/>
      </c>
      <c r="AF187" s="7">
        <f>IF($E187="","",Z187-AE187)</f>
        <v/>
      </c>
      <c r="AG187" s="7">
        <f>IF($E187="","",AF187-Q187)</f>
        <v/>
      </c>
      <c r="AK187" s="7" t="n"/>
      <c r="AN187" s="14" t="n"/>
      <c r="AQ187">
        <f>IF($E187="","",IF(COUNTIF($E$2:$E187,$E187)=1,1,0))</f>
        <v/>
      </c>
      <c r="AR187">
        <f>IF($AQ187=1,SUMPRODUCT(--($AU$2:$AU$1501&lt;$AU187))+1,"")</f>
        <v/>
      </c>
      <c r="AS187">
        <f>IF($E187="","",IF(OR($U187=TRUE(),$U187="TRUE"),1,0))</f>
        <v/>
      </c>
      <c r="AT187">
        <f>IF($E187="","",IF($AC187="Yes",1,0))</f>
        <v/>
      </c>
      <c r="AU187">
        <f>IF($AQ187=1,IFERROR(IF(VALUE($E187)&lt;100000000,VALUE($E187),1000000000),IFERROR(IF(VALUE(MID($E187,2,20))&lt;100000000,VALUE(MID($E187,2,20)),1000000000),1000000000))+ROW()/100000,"")</f>
        <v/>
      </c>
    </row>
    <row r="188">
      <c r="G188" s="14" t="n"/>
      <c r="Q188" s="7">
        <f>IF($E188="","",P188*Z188/100)</f>
        <v/>
      </c>
      <c r="R188" s="7" t="n"/>
      <c r="Y188" s="7" t="n"/>
      <c r="Z188" s="7" t="n"/>
      <c r="AA188" s="7" t="n"/>
      <c r="AD188">
        <f>IF($E188="","",IF($AT188=1,Settings!$C$8,IF($AS188=1,Settings!$C$6,Settings!$C$7))*100)</f>
        <v/>
      </c>
      <c r="AE188" s="7">
        <f>IF($E188="","",Z188*AD188/100)</f>
        <v/>
      </c>
      <c r="AF188" s="7">
        <f>IF($E188="","",Z188-AE188)</f>
        <v/>
      </c>
      <c r="AG188" s="7">
        <f>IF($E188="","",AF188-Q188)</f>
        <v/>
      </c>
      <c r="AK188" s="7" t="n"/>
      <c r="AN188" s="14" t="n"/>
      <c r="AQ188">
        <f>IF($E188="","",IF(COUNTIF($E$2:$E188,$E188)=1,1,0))</f>
        <v/>
      </c>
      <c r="AR188">
        <f>IF($AQ188=1,SUMPRODUCT(--($AU$2:$AU$1501&lt;$AU188))+1,"")</f>
        <v/>
      </c>
      <c r="AS188">
        <f>IF($E188="","",IF(OR($U188=TRUE(),$U188="TRUE"),1,0))</f>
        <v/>
      </c>
      <c r="AT188">
        <f>IF($E188="","",IF($AC188="Yes",1,0))</f>
        <v/>
      </c>
      <c r="AU188">
        <f>IF($AQ188=1,IFERROR(IF(VALUE($E188)&lt;100000000,VALUE($E188),1000000000),IFERROR(IF(VALUE(MID($E188,2,20))&lt;100000000,VALUE(MID($E188,2,20)),1000000000),1000000000))+ROW()/100000,"")</f>
        <v/>
      </c>
    </row>
    <row r="189">
      <c r="G189" s="14" t="n"/>
      <c r="Q189" s="7">
        <f>IF($E189="","",P189*Z189/100)</f>
        <v/>
      </c>
      <c r="R189" s="7" t="n"/>
      <c r="Y189" s="7" t="n"/>
      <c r="Z189" s="7" t="n"/>
      <c r="AA189" s="7" t="n"/>
      <c r="AD189">
        <f>IF($E189="","",IF($AT189=1,Settings!$C$8,IF($AS189=1,Settings!$C$6,Settings!$C$7))*100)</f>
        <v/>
      </c>
      <c r="AE189" s="7">
        <f>IF($E189="","",Z189*AD189/100)</f>
        <v/>
      </c>
      <c r="AF189" s="7">
        <f>IF($E189="","",Z189-AE189)</f>
        <v/>
      </c>
      <c r="AG189" s="7">
        <f>IF($E189="","",AF189-Q189)</f>
        <v/>
      </c>
      <c r="AK189" s="7" t="n"/>
      <c r="AN189" s="14" t="n"/>
      <c r="AQ189">
        <f>IF($E189="","",IF(COUNTIF($E$2:$E189,$E189)=1,1,0))</f>
        <v/>
      </c>
      <c r="AR189">
        <f>IF($AQ189=1,SUMPRODUCT(--($AU$2:$AU$1501&lt;$AU189))+1,"")</f>
        <v/>
      </c>
      <c r="AS189">
        <f>IF($E189="","",IF(OR($U189=TRUE(),$U189="TRUE"),1,0))</f>
        <v/>
      </c>
      <c r="AT189">
        <f>IF($E189="","",IF($AC189="Yes",1,0))</f>
        <v/>
      </c>
      <c r="AU189">
        <f>IF($AQ189=1,IFERROR(IF(VALUE($E189)&lt;100000000,VALUE($E189),1000000000),IFERROR(IF(VALUE(MID($E189,2,20))&lt;100000000,VALUE(MID($E189,2,20)),1000000000),1000000000))+ROW()/100000,"")</f>
        <v/>
      </c>
    </row>
    <row r="190">
      <c r="G190" s="14" t="n"/>
      <c r="Q190" s="7">
        <f>IF($E190="","",P190*Z190/100)</f>
        <v/>
      </c>
      <c r="R190" s="7" t="n"/>
      <c r="Y190" s="7" t="n"/>
      <c r="Z190" s="7" t="n"/>
      <c r="AA190" s="7" t="n"/>
      <c r="AD190">
        <f>IF($E190="","",IF($AT190=1,Settings!$C$8,IF($AS190=1,Settings!$C$6,Settings!$C$7))*100)</f>
        <v/>
      </c>
      <c r="AE190" s="7">
        <f>IF($E190="","",Z190*AD190/100)</f>
        <v/>
      </c>
      <c r="AF190" s="7">
        <f>IF($E190="","",Z190-AE190)</f>
        <v/>
      </c>
      <c r="AG190" s="7">
        <f>IF($E190="","",AF190-Q190)</f>
        <v/>
      </c>
      <c r="AK190" s="7" t="n"/>
      <c r="AN190" s="14" t="n"/>
      <c r="AQ190">
        <f>IF($E190="","",IF(COUNTIF($E$2:$E190,$E190)=1,1,0))</f>
        <v/>
      </c>
      <c r="AR190">
        <f>IF($AQ190=1,SUMPRODUCT(--($AU$2:$AU$1501&lt;$AU190))+1,"")</f>
        <v/>
      </c>
      <c r="AS190">
        <f>IF($E190="","",IF(OR($U190=TRUE(),$U190="TRUE"),1,0))</f>
        <v/>
      </c>
      <c r="AT190">
        <f>IF($E190="","",IF($AC190="Yes",1,0))</f>
        <v/>
      </c>
      <c r="AU190">
        <f>IF($AQ190=1,IFERROR(IF(VALUE($E190)&lt;100000000,VALUE($E190),1000000000),IFERROR(IF(VALUE(MID($E190,2,20))&lt;100000000,VALUE(MID($E190,2,20)),1000000000),1000000000))+ROW()/100000,"")</f>
        <v/>
      </c>
    </row>
    <row r="191">
      <c r="G191" s="14" t="n"/>
      <c r="Q191" s="7">
        <f>IF($E191="","",P191*Z191/100)</f>
        <v/>
      </c>
      <c r="R191" s="7" t="n"/>
      <c r="Y191" s="7" t="n"/>
      <c r="Z191" s="7" t="n"/>
      <c r="AA191" s="7" t="n"/>
      <c r="AD191">
        <f>IF($E191="","",IF($AT191=1,Settings!$C$8,IF($AS191=1,Settings!$C$6,Settings!$C$7))*100)</f>
        <v/>
      </c>
      <c r="AE191" s="7">
        <f>IF($E191="","",Z191*AD191/100)</f>
        <v/>
      </c>
      <c r="AF191" s="7">
        <f>IF($E191="","",Z191-AE191)</f>
        <v/>
      </c>
      <c r="AG191" s="7">
        <f>IF($E191="","",AF191-Q191)</f>
        <v/>
      </c>
      <c r="AK191" s="7" t="n"/>
      <c r="AN191" s="14" t="n"/>
      <c r="AQ191">
        <f>IF($E191="","",IF(COUNTIF($E$2:$E191,$E191)=1,1,0))</f>
        <v/>
      </c>
      <c r="AR191">
        <f>IF($AQ191=1,SUMPRODUCT(--($AU$2:$AU$1501&lt;$AU191))+1,"")</f>
        <v/>
      </c>
      <c r="AS191">
        <f>IF($E191="","",IF(OR($U191=TRUE(),$U191="TRUE"),1,0))</f>
        <v/>
      </c>
      <c r="AT191">
        <f>IF($E191="","",IF($AC191="Yes",1,0))</f>
        <v/>
      </c>
      <c r="AU191">
        <f>IF($AQ191=1,IFERROR(IF(VALUE($E191)&lt;100000000,VALUE($E191),1000000000),IFERROR(IF(VALUE(MID($E191,2,20))&lt;100000000,VALUE(MID($E191,2,20)),1000000000),1000000000))+ROW()/100000,"")</f>
        <v/>
      </c>
    </row>
    <row r="192">
      <c r="G192" s="14" t="n"/>
      <c r="Q192" s="7">
        <f>IF($E192="","",P192*Z192/100)</f>
        <v/>
      </c>
      <c r="R192" s="7" t="n"/>
      <c r="Y192" s="7" t="n"/>
      <c r="Z192" s="7" t="n"/>
      <c r="AA192" s="7" t="n"/>
      <c r="AD192">
        <f>IF($E192="","",IF($AT192=1,Settings!$C$8,IF($AS192=1,Settings!$C$6,Settings!$C$7))*100)</f>
        <v/>
      </c>
      <c r="AE192" s="7">
        <f>IF($E192="","",Z192*AD192/100)</f>
        <v/>
      </c>
      <c r="AF192" s="7">
        <f>IF($E192="","",Z192-AE192)</f>
        <v/>
      </c>
      <c r="AG192" s="7">
        <f>IF($E192="","",AF192-Q192)</f>
        <v/>
      </c>
      <c r="AK192" s="7" t="n"/>
      <c r="AN192" s="14" t="n"/>
      <c r="AQ192">
        <f>IF($E192="","",IF(COUNTIF($E$2:$E192,$E192)=1,1,0))</f>
        <v/>
      </c>
      <c r="AR192">
        <f>IF($AQ192=1,SUMPRODUCT(--($AU$2:$AU$1501&lt;$AU192))+1,"")</f>
        <v/>
      </c>
      <c r="AS192">
        <f>IF($E192="","",IF(OR($U192=TRUE(),$U192="TRUE"),1,0))</f>
        <v/>
      </c>
      <c r="AT192">
        <f>IF($E192="","",IF($AC192="Yes",1,0))</f>
        <v/>
      </c>
      <c r="AU192">
        <f>IF($AQ192=1,IFERROR(IF(VALUE($E192)&lt;100000000,VALUE($E192),1000000000),IFERROR(IF(VALUE(MID($E192,2,20))&lt;100000000,VALUE(MID($E192,2,20)),1000000000),1000000000))+ROW()/100000,"")</f>
        <v/>
      </c>
    </row>
    <row r="193">
      <c r="G193" s="14" t="n"/>
      <c r="Q193" s="7">
        <f>IF($E193="","",P193*Z193/100)</f>
        <v/>
      </c>
      <c r="R193" s="7" t="n"/>
      <c r="Y193" s="7" t="n"/>
      <c r="Z193" s="7" t="n"/>
      <c r="AA193" s="7" t="n"/>
      <c r="AD193">
        <f>IF($E193="","",IF($AT193=1,Settings!$C$8,IF($AS193=1,Settings!$C$6,Settings!$C$7))*100)</f>
        <v/>
      </c>
      <c r="AE193" s="7">
        <f>IF($E193="","",Z193*AD193/100)</f>
        <v/>
      </c>
      <c r="AF193" s="7">
        <f>IF($E193="","",Z193-AE193)</f>
        <v/>
      </c>
      <c r="AG193" s="7">
        <f>IF($E193="","",AF193-Q193)</f>
        <v/>
      </c>
      <c r="AK193" s="7" t="n"/>
      <c r="AN193" s="14" t="n"/>
      <c r="AQ193">
        <f>IF($E193="","",IF(COUNTIF($E$2:$E193,$E193)=1,1,0))</f>
        <v/>
      </c>
      <c r="AR193">
        <f>IF($AQ193=1,SUMPRODUCT(--($AU$2:$AU$1501&lt;$AU193))+1,"")</f>
        <v/>
      </c>
      <c r="AS193">
        <f>IF($E193="","",IF(OR($U193=TRUE(),$U193="TRUE"),1,0))</f>
        <v/>
      </c>
      <c r="AT193">
        <f>IF($E193="","",IF($AC193="Yes",1,0))</f>
        <v/>
      </c>
      <c r="AU193">
        <f>IF($AQ193=1,IFERROR(IF(VALUE($E193)&lt;100000000,VALUE($E193),1000000000),IFERROR(IF(VALUE(MID($E193,2,20))&lt;100000000,VALUE(MID($E193,2,20)),1000000000),1000000000))+ROW()/100000,"")</f>
        <v/>
      </c>
    </row>
    <row r="194">
      <c r="G194" s="14" t="n"/>
      <c r="Q194" s="7">
        <f>IF($E194="","",P194*Z194/100)</f>
        <v/>
      </c>
      <c r="R194" s="7" t="n"/>
      <c r="Y194" s="7" t="n"/>
      <c r="Z194" s="7" t="n"/>
      <c r="AA194" s="7" t="n"/>
      <c r="AD194">
        <f>IF($E194="","",IF($AT194=1,Settings!$C$8,IF($AS194=1,Settings!$C$6,Settings!$C$7))*100)</f>
        <v/>
      </c>
      <c r="AE194" s="7">
        <f>IF($E194="","",Z194*AD194/100)</f>
        <v/>
      </c>
      <c r="AF194" s="7">
        <f>IF($E194="","",Z194-AE194)</f>
        <v/>
      </c>
      <c r="AG194" s="7">
        <f>IF($E194="","",AF194-Q194)</f>
        <v/>
      </c>
      <c r="AK194" s="7" t="n"/>
      <c r="AN194" s="14" t="n"/>
      <c r="AQ194">
        <f>IF($E194="","",IF(COUNTIF($E$2:$E194,$E194)=1,1,0))</f>
        <v/>
      </c>
      <c r="AR194">
        <f>IF($AQ194=1,SUMPRODUCT(--($AU$2:$AU$1501&lt;$AU194))+1,"")</f>
        <v/>
      </c>
      <c r="AS194">
        <f>IF($E194="","",IF(OR($U194=TRUE(),$U194="TRUE"),1,0))</f>
        <v/>
      </c>
      <c r="AT194">
        <f>IF($E194="","",IF($AC194="Yes",1,0))</f>
        <v/>
      </c>
      <c r="AU194">
        <f>IF($AQ194=1,IFERROR(IF(VALUE($E194)&lt;100000000,VALUE($E194),1000000000),IFERROR(IF(VALUE(MID($E194,2,20))&lt;100000000,VALUE(MID($E194,2,20)),1000000000),1000000000))+ROW()/100000,"")</f>
        <v/>
      </c>
    </row>
    <row r="195">
      <c r="G195" s="14" t="n"/>
      <c r="Q195" s="7">
        <f>IF($E195="","",P195*Z195/100)</f>
        <v/>
      </c>
      <c r="R195" s="7" t="n"/>
      <c r="Y195" s="7" t="n"/>
      <c r="Z195" s="7" t="n"/>
      <c r="AA195" s="7" t="n"/>
      <c r="AD195">
        <f>IF($E195="","",IF($AT195=1,Settings!$C$8,IF($AS195=1,Settings!$C$6,Settings!$C$7))*100)</f>
        <v/>
      </c>
      <c r="AE195" s="7">
        <f>IF($E195="","",Z195*AD195/100)</f>
        <v/>
      </c>
      <c r="AF195" s="7">
        <f>IF($E195="","",Z195-AE195)</f>
        <v/>
      </c>
      <c r="AG195" s="7">
        <f>IF($E195="","",AF195-Q195)</f>
        <v/>
      </c>
      <c r="AK195" s="7" t="n"/>
      <c r="AN195" s="14" t="n"/>
      <c r="AQ195">
        <f>IF($E195="","",IF(COUNTIF($E$2:$E195,$E195)=1,1,0))</f>
        <v/>
      </c>
      <c r="AR195">
        <f>IF($AQ195=1,SUMPRODUCT(--($AU$2:$AU$1501&lt;$AU195))+1,"")</f>
        <v/>
      </c>
      <c r="AS195">
        <f>IF($E195="","",IF(OR($U195=TRUE(),$U195="TRUE"),1,0))</f>
        <v/>
      </c>
      <c r="AT195">
        <f>IF($E195="","",IF($AC195="Yes",1,0))</f>
        <v/>
      </c>
      <c r="AU195">
        <f>IF($AQ195=1,IFERROR(IF(VALUE($E195)&lt;100000000,VALUE($E195),1000000000),IFERROR(IF(VALUE(MID($E195,2,20))&lt;100000000,VALUE(MID($E195,2,20)),1000000000),1000000000))+ROW()/100000,"")</f>
        <v/>
      </c>
    </row>
    <row r="196">
      <c r="G196" s="14" t="n"/>
      <c r="Q196" s="7">
        <f>IF($E196="","",P196*Z196/100)</f>
        <v/>
      </c>
      <c r="R196" s="7" t="n"/>
      <c r="Y196" s="7" t="n"/>
      <c r="Z196" s="7" t="n"/>
      <c r="AA196" s="7" t="n"/>
      <c r="AD196">
        <f>IF($E196="","",IF($AT196=1,Settings!$C$8,IF($AS196=1,Settings!$C$6,Settings!$C$7))*100)</f>
        <v/>
      </c>
      <c r="AE196" s="7">
        <f>IF($E196="","",Z196*AD196/100)</f>
        <v/>
      </c>
      <c r="AF196" s="7">
        <f>IF($E196="","",Z196-AE196)</f>
        <v/>
      </c>
      <c r="AG196" s="7">
        <f>IF($E196="","",AF196-Q196)</f>
        <v/>
      </c>
      <c r="AK196" s="7" t="n"/>
      <c r="AN196" s="14" t="n"/>
      <c r="AQ196">
        <f>IF($E196="","",IF(COUNTIF($E$2:$E196,$E196)=1,1,0))</f>
        <v/>
      </c>
      <c r="AR196">
        <f>IF($AQ196=1,SUMPRODUCT(--($AU$2:$AU$1501&lt;$AU196))+1,"")</f>
        <v/>
      </c>
      <c r="AS196">
        <f>IF($E196="","",IF(OR($U196=TRUE(),$U196="TRUE"),1,0))</f>
        <v/>
      </c>
      <c r="AT196">
        <f>IF($E196="","",IF($AC196="Yes",1,0))</f>
        <v/>
      </c>
      <c r="AU196">
        <f>IF($AQ196=1,IFERROR(IF(VALUE($E196)&lt;100000000,VALUE($E196),1000000000),IFERROR(IF(VALUE(MID($E196,2,20))&lt;100000000,VALUE(MID($E196,2,20)),1000000000),1000000000))+ROW()/100000,"")</f>
        <v/>
      </c>
    </row>
    <row r="197">
      <c r="G197" s="14" t="n"/>
      <c r="Q197" s="7">
        <f>IF($E197="","",P197*Z197/100)</f>
        <v/>
      </c>
      <c r="R197" s="7" t="n"/>
      <c r="Y197" s="7" t="n"/>
      <c r="Z197" s="7" t="n"/>
      <c r="AA197" s="7" t="n"/>
      <c r="AD197">
        <f>IF($E197="","",IF($AT197=1,Settings!$C$8,IF($AS197=1,Settings!$C$6,Settings!$C$7))*100)</f>
        <v/>
      </c>
      <c r="AE197" s="7">
        <f>IF($E197="","",Z197*AD197/100)</f>
        <v/>
      </c>
      <c r="AF197" s="7">
        <f>IF($E197="","",Z197-AE197)</f>
        <v/>
      </c>
      <c r="AG197" s="7">
        <f>IF($E197="","",AF197-Q197)</f>
        <v/>
      </c>
      <c r="AK197" s="7" t="n"/>
      <c r="AN197" s="14" t="n"/>
      <c r="AQ197">
        <f>IF($E197="","",IF(COUNTIF($E$2:$E197,$E197)=1,1,0))</f>
        <v/>
      </c>
      <c r="AR197">
        <f>IF($AQ197=1,SUMPRODUCT(--($AU$2:$AU$1501&lt;$AU197))+1,"")</f>
        <v/>
      </c>
      <c r="AS197">
        <f>IF($E197="","",IF(OR($U197=TRUE(),$U197="TRUE"),1,0))</f>
        <v/>
      </c>
      <c r="AT197">
        <f>IF($E197="","",IF($AC197="Yes",1,0))</f>
        <v/>
      </c>
      <c r="AU197">
        <f>IF($AQ197=1,IFERROR(IF(VALUE($E197)&lt;100000000,VALUE($E197),1000000000),IFERROR(IF(VALUE(MID($E197,2,20))&lt;100000000,VALUE(MID($E197,2,20)),1000000000),1000000000))+ROW()/100000,"")</f>
        <v/>
      </c>
    </row>
    <row r="198">
      <c r="G198" s="14" t="n"/>
      <c r="Q198" s="7">
        <f>IF($E198="","",P198*Z198/100)</f>
        <v/>
      </c>
      <c r="R198" s="7" t="n"/>
      <c r="Y198" s="7" t="n"/>
      <c r="Z198" s="7" t="n"/>
      <c r="AA198" s="7" t="n"/>
      <c r="AD198">
        <f>IF($E198="","",IF($AT198=1,Settings!$C$8,IF($AS198=1,Settings!$C$6,Settings!$C$7))*100)</f>
        <v/>
      </c>
      <c r="AE198" s="7">
        <f>IF($E198="","",Z198*AD198/100)</f>
        <v/>
      </c>
      <c r="AF198" s="7">
        <f>IF($E198="","",Z198-AE198)</f>
        <v/>
      </c>
      <c r="AG198" s="7">
        <f>IF($E198="","",AF198-Q198)</f>
        <v/>
      </c>
      <c r="AK198" s="7" t="n"/>
      <c r="AN198" s="14" t="n"/>
      <c r="AQ198">
        <f>IF($E198="","",IF(COUNTIF($E$2:$E198,$E198)=1,1,0))</f>
        <v/>
      </c>
      <c r="AR198">
        <f>IF($AQ198=1,SUMPRODUCT(--($AU$2:$AU$1501&lt;$AU198))+1,"")</f>
        <v/>
      </c>
      <c r="AS198">
        <f>IF($E198="","",IF(OR($U198=TRUE(),$U198="TRUE"),1,0))</f>
        <v/>
      </c>
      <c r="AT198">
        <f>IF($E198="","",IF($AC198="Yes",1,0))</f>
        <v/>
      </c>
      <c r="AU198">
        <f>IF($AQ198=1,IFERROR(IF(VALUE($E198)&lt;100000000,VALUE($E198),1000000000),IFERROR(IF(VALUE(MID($E198,2,20))&lt;100000000,VALUE(MID($E198,2,20)),1000000000),1000000000))+ROW()/100000,"")</f>
        <v/>
      </c>
    </row>
    <row r="199">
      <c r="G199" s="14" t="n"/>
      <c r="Q199" s="7">
        <f>IF($E199="","",P199*Z199/100)</f>
        <v/>
      </c>
      <c r="R199" s="7" t="n"/>
      <c r="Y199" s="7" t="n"/>
      <c r="Z199" s="7" t="n"/>
      <c r="AA199" s="7" t="n"/>
      <c r="AD199">
        <f>IF($E199="","",IF($AT199=1,Settings!$C$8,IF($AS199=1,Settings!$C$6,Settings!$C$7))*100)</f>
        <v/>
      </c>
      <c r="AE199" s="7">
        <f>IF($E199="","",Z199*AD199/100)</f>
        <v/>
      </c>
      <c r="AF199" s="7">
        <f>IF($E199="","",Z199-AE199)</f>
        <v/>
      </c>
      <c r="AG199" s="7">
        <f>IF($E199="","",AF199-Q199)</f>
        <v/>
      </c>
      <c r="AK199" s="7" t="n"/>
      <c r="AN199" s="14" t="n"/>
      <c r="AQ199">
        <f>IF($E199="","",IF(COUNTIF($E$2:$E199,$E199)=1,1,0))</f>
        <v/>
      </c>
      <c r="AR199">
        <f>IF($AQ199=1,SUMPRODUCT(--($AU$2:$AU$1501&lt;$AU199))+1,"")</f>
        <v/>
      </c>
      <c r="AS199">
        <f>IF($E199="","",IF(OR($U199=TRUE(),$U199="TRUE"),1,0))</f>
        <v/>
      </c>
      <c r="AT199">
        <f>IF($E199="","",IF($AC199="Yes",1,0))</f>
        <v/>
      </c>
      <c r="AU199">
        <f>IF($AQ199=1,IFERROR(IF(VALUE($E199)&lt;100000000,VALUE($E199),1000000000),IFERROR(IF(VALUE(MID($E199,2,20))&lt;100000000,VALUE(MID($E199,2,20)),1000000000),1000000000))+ROW()/100000,"")</f>
        <v/>
      </c>
    </row>
    <row r="200">
      <c r="G200" s="14" t="n"/>
      <c r="Q200" s="7">
        <f>IF($E200="","",P200*Z200/100)</f>
        <v/>
      </c>
      <c r="R200" s="7" t="n"/>
      <c r="Y200" s="7" t="n"/>
      <c r="Z200" s="7" t="n"/>
      <c r="AA200" s="7" t="n"/>
      <c r="AD200">
        <f>IF($E200="","",IF($AT200=1,Settings!$C$8,IF($AS200=1,Settings!$C$6,Settings!$C$7))*100)</f>
        <v/>
      </c>
      <c r="AE200" s="7">
        <f>IF($E200="","",Z200*AD200/100)</f>
        <v/>
      </c>
      <c r="AF200" s="7">
        <f>IF($E200="","",Z200-AE200)</f>
        <v/>
      </c>
      <c r="AG200" s="7">
        <f>IF($E200="","",AF200-Q200)</f>
        <v/>
      </c>
      <c r="AK200" s="7" t="n"/>
      <c r="AN200" s="14" t="n"/>
      <c r="AQ200">
        <f>IF($E200="","",IF(COUNTIF($E$2:$E200,$E200)=1,1,0))</f>
        <v/>
      </c>
      <c r="AR200">
        <f>IF($AQ200=1,SUMPRODUCT(--($AU$2:$AU$1501&lt;$AU200))+1,"")</f>
        <v/>
      </c>
      <c r="AS200">
        <f>IF($E200="","",IF(OR($U200=TRUE(),$U200="TRUE"),1,0))</f>
        <v/>
      </c>
      <c r="AT200">
        <f>IF($E200="","",IF($AC200="Yes",1,0))</f>
        <v/>
      </c>
      <c r="AU200">
        <f>IF($AQ200=1,IFERROR(IF(VALUE($E200)&lt;100000000,VALUE($E200),1000000000),IFERROR(IF(VALUE(MID($E200,2,20))&lt;100000000,VALUE(MID($E200,2,20)),1000000000),1000000000))+ROW()/100000,"")</f>
        <v/>
      </c>
    </row>
    <row r="201">
      <c r="G201" s="14" t="n"/>
      <c r="Q201" s="7">
        <f>IF($E201="","",P201*Z201/100)</f>
        <v/>
      </c>
      <c r="R201" s="7" t="n"/>
      <c r="Y201" s="7" t="n"/>
      <c r="Z201" s="7" t="n"/>
      <c r="AA201" s="7" t="n"/>
      <c r="AD201">
        <f>IF($E201="","",IF($AT201=1,Settings!$C$8,IF($AS201=1,Settings!$C$6,Settings!$C$7))*100)</f>
        <v/>
      </c>
      <c r="AE201" s="7">
        <f>IF($E201="","",Z201*AD201/100)</f>
        <v/>
      </c>
      <c r="AF201" s="7">
        <f>IF($E201="","",Z201-AE201)</f>
        <v/>
      </c>
      <c r="AG201" s="7">
        <f>IF($E201="","",AF201-Q201)</f>
        <v/>
      </c>
      <c r="AK201" s="7" t="n"/>
      <c r="AN201" s="14" t="n"/>
      <c r="AQ201">
        <f>IF($E201="","",IF(COUNTIF($E$2:$E201,$E201)=1,1,0))</f>
        <v/>
      </c>
      <c r="AR201">
        <f>IF($AQ201=1,SUMPRODUCT(--($AU$2:$AU$1501&lt;$AU201))+1,"")</f>
        <v/>
      </c>
      <c r="AS201">
        <f>IF($E201="","",IF(OR($U201=TRUE(),$U201="TRUE"),1,0))</f>
        <v/>
      </c>
      <c r="AT201">
        <f>IF($E201="","",IF($AC201="Yes",1,0))</f>
        <v/>
      </c>
      <c r="AU201">
        <f>IF($AQ201=1,IFERROR(IF(VALUE($E201)&lt;100000000,VALUE($E201),1000000000),IFERROR(IF(VALUE(MID($E201,2,20))&lt;100000000,VALUE(MID($E201,2,20)),1000000000),1000000000))+ROW()/100000,"")</f>
        <v/>
      </c>
    </row>
    <row r="202">
      <c r="G202" s="14" t="n"/>
      <c r="Q202" s="7">
        <f>IF($E202="","",P202*Z202/100)</f>
        <v/>
      </c>
      <c r="R202" s="7" t="n"/>
      <c r="Y202" s="7" t="n"/>
      <c r="Z202" s="7" t="n"/>
      <c r="AA202" s="7" t="n"/>
      <c r="AD202">
        <f>IF($E202="","",IF($AT202=1,Settings!$C$8,IF($AS202=1,Settings!$C$6,Settings!$C$7))*100)</f>
        <v/>
      </c>
      <c r="AE202" s="7">
        <f>IF($E202="","",Z202*AD202/100)</f>
        <v/>
      </c>
      <c r="AF202" s="7">
        <f>IF($E202="","",Z202-AE202)</f>
        <v/>
      </c>
      <c r="AG202" s="7">
        <f>IF($E202="","",AF202-Q202)</f>
        <v/>
      </c>
      <c r="AK202" s="7" t="n"/>
      <c r="AN202" s="14" t="n"/>
      <c r="AQ202">
        <f>IF($E202="","",IF(COUNTIF($E$2:$E202,$E202)=1,1,0))</f>
        <v/>
      </c>
      <c r="AR202">
        <f>IF($AQ202=1,SUMPRODUCT(--($AU$2:$AU$1501&lt;$AU202))+1,"")</f>
        <v/>
      </c>
      <c r="AS202">
        <f>IF($E202="","",IF(OR($U202=TRUE(),$U202="TRUE"),1,0))</f>
        <v/>
      </c>
      <c r="AT202">
        <f>IF($E202="","",IF($AC202="Yes",1,0))</f>
        <v/>
      </c>
      <c r="AU202">
        <f>IF($AQ202=1,IFERROR(IF(VALUE($E202)&lt;100000000,VALUE($E202),1000000000),IFERROR(IF(VALUE(MID($E202,2,20))&lt;100000000,VALUE(MID($E202,2,20)),1000000000),1000000000))+ROW()/100000,"")</f>
        <v/>
      </c>
    </row>
    <row r="203">
      <c r="G203" s="14" t="n"/>
      <c r="Q203" s="7">
        <f>IF($E203="","",P203*Z203/100)</f>
        <v/>
      </c>
      <c r="R203" s="7" t="n"/>
      <c r="Y203" s="7" t="n"/>
      <c r="Z203" s="7" t="n"/>
      <c r="AA203" s="7" t="n"/>
      <c r="AD203">
        <f>IF($E203="","",IF($AT203=1,Settings!$C$8,IF($AS203=1,Settings!$C$6,Settings!$C$7))*100)</f>
        <v/>
      </c>
      <c r="AE203" s="7">
        <f>IF($E203="","",Z203*AD203/100)</f>
        <v/>
      </c>
      <c r="AF203" s="7">
        <f>IF($E203="","",Z203-AE203)</f>
        <v/>
      </c>
      <c r="AG203" s="7">
        <f>IF($E203="","",AF203-Q203)</f>
        <v/>
      </c>
      <c r="AK203" s="7" t="n"/>
      <c r="AN203" s="14" t="n"/>
      <c r="AQ203">
        <f>IF($E203="","",IF(COUNTIF($E$2:$E203,$E203)=1,1,0))</f>
        <v/>
      </c>
      <c r="AR203">
        <f>IF($AQ203=1,SUMPRODUCT(--($AU$2:$AU$1501&lt;$AU203))+1,"")</f>
        <v/>
      </c>
      <c r="AS203">
        <f>IF($E203="","",IF(OR($U203=TRUE(),$U203="TRUE"),1,0))</f>
        <v/>
      </c>
      <c r="AT203">
        <f>IF($E203="","",IF($AC203="Yes",1,0))</f>
        <v/>
      </c>
      <c r="AU203">
        <f>IF($AQ203=1,IFERROR(IF(VALUE($E203)&lt;100000000,VALUE($E203),1000000000),IFERROR(IF(VALUE(MID($E203,2,20))&lt;100000000,VALUE(MID($E203,2,20)),1000000000),1000000000))+ROW()/100000,"")</f>
        <v/>
      </c>
    </row>
    <row r="204">
      <c r="G204" s="14" t="n"/>
      <c r="Q204" s="7">
        <f>IF($E204="","",P204*Z204/100)</f>
        <v/>
      </c>
      <c r="R204" s="7" t="n"/>
      <c r="Y204" s="7" t="n"/>
      <c r="Z204" s="7" t="n"/>
      <c r="AA204" s="7" t="n"/>
      <c r="AD204">
        <f>IF($E204="","",IF($AT204=1,Settings!$C$8,IF($AS204=1,Settings!$C$6,Settings!$C$7))*100)</f>
        <v/>
      </c>
      <c r="AE204" s="7">
        <f>IF($E204="","",Z204*AD204/100)</f>
        <v/>
      </c>
      <c r="AF204" s="7">
        <f>IF($E204="","",Z204-AE204)</f>
        <v/>
      </c>
      <c r="AG204" s="7">
        <f>IF($E204="","",AF204-Q204)</f>
        <v/>
      </c>
      <c r="AK204" s="7" t="n"/>
      <c r="AN204" s="14" t="n"/>
      <c r="AQ204">
        <f>IF($E204="","",IF(COUNTIF($E$2:$E204,$E204)=1,1,0))</f>
        <v/>
      </c>
      <c r="AR204">
        <f>IF($AQ204=1,SUMPRODUCT(--($AU$2:$AU$1501&lt;$AU204))+1,"")</f>
        <v/>
      </c>
      <c r="AS204">
        <f>IF($E204="","",IF(OR($U204=TRUE(),$U204="TRUE"),1,0))</f>
        <v/>
      </c>
      <c r="AT204">
        <f>IF($E204="","",IF($AC204="Yes",1,0))</f>
        <v/>
      </c>
      <c r="AU204">
        <f>IF($AQ204=1,IFERROR(IF(VALUE($E204)&lt;100000000,VALUE($E204),1000000000),IFERROR(IF(VALUE(MID($E204,2,20))&lt;100000000,VALUE(MID($E204,2,20)),1000000000),1000000000))+ROW()/100000,"")</f>
        <v/>
      </c>
    </row>
    <row r="205">
      <c r="G205" s="14" t="n"/>
      <c r="Q205" s="7">
        <f>IF($E205="","",P205*Z205/100)</f>
        <v/>
      </c>
      <c r="R205" s="7" t="n"/>
      <c r="Y205" s="7" t="n"/>
      <c r="Z205" s="7" t="n"/>
      <c r="AA205" s="7" t="n"/>
      <c r="AD205">
        <f>IF($E205="","",IF($AT205=1,Settings!$C$8,IF($AS205=1,Settings!$C$6,Settings!$C$7))*100)</f>
        <v/>
      </c>
      <c r="AE205" s="7">
        <f>IF($E205="","",Z205*AD205/100)</f>
        <v/>
      </c>
      <c r="AF205" s="7">
        <f>IF($E205="","",Z205-AE205)</f>
        <v/>
      </c>
      <c r="AG205" s="7">
        <f>IF($E205="","",AF205-Q205)</f>
        <v/>
      </c>
      <c r="AK205" s="7" t="n"/>
      <c r="AN205" s="14" t="n"/>
      <c r="AQ205">
        <f>IF($E205="","",IF(COUNTIF($E$2:$E205,$E205)=1,1,0))</f>
        <v/>
      </c>
      <c r="AR205">
        <f>IF($AQ205=1,SUMPRODUCT(--($AU$2:$AU$1501&lt;$AU205))+1,"")</f>
        <v/>
      </c>
      <c r="AS205">
        <f>IF($E205="","",IF(OR($U205=TRUE(),$U205="TRUE"),1,0))</f>
        <v/>
      </c>
      <c r="AT205">
        <f>IF($E205="","",IF($AC205="Yes",1,0))</f>
        <v/>
      </c>
      <c r="AU205">
        <f>IF($AQ205=1,IFERROR(IF(VALUE($E205)&lt;100000000,VALUE($E205),1000000000),IFERROR(IF(VALUE(MID($E205,2,20))&lt;100000000,VALUE(MID($E205,2,20)),1000000000),1000000000))+ROW()/100000,"")</f>
        <v/>
      </c>
    </row>
    <row r="206">
      <c r="G206" s="14" t="n"/>
      <c r="Q206" s="7">
        <f>IF($E206="","",P206*Z206/100)</f>
        <v/>
      </c>
      <c r="R206" s="7" t="n"/>
      <c r="Y206" s="7" t="n"/>
      <c r="Z206" s="7" t="n"/>
      <c r="AA206" s="7" t="n"/>
      <c r="AD206">
        <f>IF($E206="","",IF($AT206=1,Settings!$C$8,IF($AS206=1,Settings!$C$6,Settings!$C$7))*100)</f>
        <v/>
      </c>
      <c r="AE206" s="7">
        <f>IF($E206="","",Z206*AD206/100)</f>
        <v/>
      </c>
      <c r="AF206" s="7">
        <f>IF($E206="","",Z206-AE206)</f>
        <v/>
      </c>
      <c r="AG206" s="7">
        <f>IF($E206="","",AF206-Q206)</f>
        <v/>
      </c>
      <c r="AK206" s="7" t="n"/>
      <c r="AN206" s="14" t="n"/>
      <c r="AQ206">
        <f>IF($E206="","",IF(COUNTIF($E$2:$E206,$E206)=1,1,0))</f>
        <v/>
      </c>
      <c r="AR206">
        <f>IF($AQ206=1,SUMPRODUCT(--($AU$2:$AU$1501&lt;$AU206))+1,"")</f>
        <v/>
      </c>
      <c r="AS206">
        <f>IF($E206="","",IF(OR($U206=TRUE(),$U206="TRUE"),1,0))</f>
        <v/>
      </c>
      <c r="AT206">
        <f>IF($E206="","",IF($AC206="Yes",1,0))</f>
        <v/>
      </c>
      <c r="AU206">
        <f>IF($AQ206=1,IFERROR(IF(VALUE($E206)&lt;100000000,VALUE($E206),1000000000),IFERROR(IF(VALUE(MID($E206,2,20))&lt;100000000,VALUE(MID($E206,2,20)),1000000000),1000000000))+ROW()/100000,"")</f>
        <v/>
      </c>
    </row>
    <row r="207">
      <c r="G207" s="14" t="n"/>
      <c r="Q207" s="7">
        <f>IF($E207="","",P207*Z207/100)</f>
        <v/>
      </c>
      <c r="R207" s="7" t="n"/>
      <c r="Y207" s="7" t="n"/>
      <c r="Z207" s="7" t="n"/>
      <c r="AA207" s="7" t="n"/>
      <c r="AD207">
        <f>IF($E207="","",IF($AT207=1,Settings!$C$8,IF($AS207=1,Settings!$C$6,Settings!$C$7))*100)</f>
        <v/>
      </c>
      <c r="AE207" s="7">
        <f>IF($E207="","",Z207*AD207/100)</f>
        <v/>
      </c>
      <c r="AF207" s="7">
        <f>IF($E207="","",Z207-AE207)</f>
        <v/>
      </c>
      <c r="AG207" s="7">
        <f>IF($E207="","",AF207-Q207)</f>
        <v/>
      </c>
      <c r="AK207" s="7" t="n"/>
      <c r="AN207" s="14" t="n"/>
      <c r="AQ207">
        <f>IF($E207="","",IF(COUNTIF($E$2:$E207,$E207)=1,1,0))</f>
        <v/>
      </c>
      <c r="AR207">
        <f>IF($AQ207=1,SUMPRODUCT(--($AU$2:$AU$1501&lt;$AU207))+1,"")</f>
        <v/>
      </c>
      <c r="AS207">
        <f>IF($E207="","",IF(OR($U207=TRUE(),$U207="TRUE"),1,0))</f>
        <v/>
      </c>
      <c r="AT207">
        <f>IF($E207="","",IF($AC207="Yes",1,0))</f>
        <v/>
      </c>
      <c r="AU207">
        <f>IF($AQ207=1,IFERROR(IF(VALUE($E207)&lt;100000000,VALUE($E207),1000000000),IFERROR(IF(VALUE(MID($E207,2,20))&lt;100000000,VALUE(MID($E207,2,20)),1000000000),1000000000))+ROW()/100000,"")</f>
        <v/>
      </c>
    </row>
    <row r="208">
      <c r="G208" s="14" t="n"/>
      <c r="Q208" s="7">
        <f>IF($E208="","",P208*Z208/100)</f>
        <v/>
      </c>
      <c r="R208" s="7" t="n"/>
      <c r="Y208" s="7" t="n"/>
      <c r="Z208" s="7" t="n"/>
      <c r="AA208" s="7" t="n"/>
      <c r="AD208">
        <f>IF($E208="","",IF($AT208=1,Settings!$C$8,IF($AS208=1,Settings!$C$6,Settings!$C$7))*100)</f>
        <v/>
      </c>
      <c r="AE208" s="7">
        <f>IF($E208="","",Z208*AD208/100)</f>
        <v/>
      </c>
      <c r="AF208" s="7">
        <f>IF($E208="","",Z208-AE208)</f>
        <v/>
      </c>
      <c r="AG208" s="7">
        <f>IF($E208="","",AF208-Q208)</f>
        <v/>
      </c>
      <c r="AK208" s="7" t="n"/>
      <c r="AN208" s="14" t="n"/>
      <c r="AQ208">
        <f>IF($E208="","",IF(COUNTIF($E$2:$E208,$E208)=1,1,0))</f>
        <v/>
      </c>
      <c r="AR208">
        <f>IF($AQ208=1,SUMPRODUCT(--($AU$2:$AU$1501&lt;$AU208))+1,"")</f>
        <v/>
      </c>
      <c r="AS208">
        <f>IF($E208="","",IF(OR($U208=TRUE(),$U208="TRUE"),1,0))</f>
        <v/>
      </c>
      <c r="AT208">
        <f>IF($E208="","",IF($AC208="Yes",1,0))</f>
        <v/>
      </c>
      <c r="AU208">
        <f>IF($AQ208=1,IFERROR(IF(VALUE($E208)&lt;100000000,VALUE($E208),1000000000),IFERROR(IF(VALUE(MID($E208,2,20))&lt;100000000,VALUE(MID($E208,2,20)),1000000000),1000000000))+ROW()/100000,"")</f>
        <v/>
      </c>
    </row>
    <row r="209">
      <c r="G209" s="14" t="n"/>
      <c r="Q209" s="7">
        <f>IF($E209="","",P209*Z209/100)</f>
        <v/>
      </c>
      <c r="R209" s="7" t="n"/>
      <c r="Y209" s="7" t="n"/>
      <c r="Z209" s="7" t="n"/>
      <c r="AA209" s="7" t="n"/>
      <c r="AD209">
        <f>IF($E209="","",IF($AT209=1,Settings!$C$8,IF($AS209=1,Settings!$C$6,Settings!$C$7))*100)</f>
        <v/>
      </c>
      <c r="AE209" s="7">
        <f>IF($E209="","",Z209*AD209/100)</f>
        <v/>
      </c>
      <c r="AF209" s="7">
        <f>IF($E209="","",Z209-AE209)</f>
        <v/>
      </c>
      <c r="AG209" s="7">
        <f>IF($E209="","",AF209-Q209)</f>
        <v/>
      </c>
      <c r="AK209" s="7" t="n"/>
      <c r="AN209" s="14" t="n"/>
      <c r="AQ209">
        <f>IF($E209="","",IF(COUNTIF($E$2:$E209,$E209)=1,1,0))</f>
        <v/>
      </c>
      <c r="AR209">
        <f>IF($AQ209=1,SUMPRODUCT(--($AU$2:$AU$1501&lt;$AU209))+1,"")</f>
        <v/>
      </c>
      <c r="AS209">
        <f>IF($E209="","",IF(OR($U209=TRUE(),$U209="TRUE"),1,0))</f>
        <v/>
      </c>
      <c r="AT209">
        <f>IF($E209="","",IF($AC209="Yes",1,0))</f>
        <v/>
      </c>
      <c r="AU209">
        <f>IF($AQ209=1,IFERROR(IF(VALUE($E209)&lt;100000000,VALUE($E209),1000000000),IFERROR(IF(VALUE(MID($E209,2,20))&lt;100000000,VALUE(MID($E209,2,20)),1000000000),1000000000))+ROW()/100000,"")</f>
        <v/>
      </c>
    </row>
    <row r="210">
      <c r="G210" s="14" t="n"/>
      <c r="Q210" s="7">
        <f>IF($E210="","",P210*Z210/100)</f>
        <v/>
      </c>
      <c r="R210" s="7" t="n"/>
      <c r="Y210" s="7" t="n"/>
      <c r="Z210" s="7" t="n"/>
      <c r="AA210" s="7" t="n"/>
      <c r="AD210">
        <f>IF($E210="","",IF($AT210=1,Settings!$C$8,IF($AS210=1,Settings!$C$6,Settings!$C$7))*100)</f>
        <v/>
      </c>
      <c r="AE210" s="7">
        <f>IF($E210="","",Z210*AD210/100)</f>
        <v/>
      </c>
      <c r="AF210" s="7">
        <f>IF($E210="","",Z210-AE210)</f>
        <v/>
      </c>
      <c r="AG210" s="7">
        <f>IF($E210="","",AF210-Q210)</f>
        <v/>
      </c>
      <c r="AK210" s="7" t="n"/>
      <c r="AN210" s="14" t="n"/>
      <c r="AQ210">
        <f>IF($E210="","",IF(COUNTIF($E$2:$E210,$E210)=1,1,0))</f>
        <v/>
      </c>
      <c r="AR210">
        <f>IF($AQ210=1,SUMPRODUCT(--($AU$2:$AU$1501&lt;$AU210))+1,"")</f>
        <v/>
      </c>
      <c r="AS210">
        <f>IF($E210="","",IF(OR($U210=TRUE(),$U210="TRUE"),1,0))</f>
        <v/>
      </c>
      <c r="AT210">
        <f>IF($E210="","",IF($AC210="Yes",1,0))</f>
        <v/>
      </c>
      <c r="AU210">
        <f>IF($AQ210=1,IFERROR(IF(VALUE($E210)&lt;100000000,VALUE($E210),1000000000),IFERROR(IF(VALUE(MID($E210,2,20))&lt;100000000,VALUE(MID($E210,2,20)),1000000000),1000000000))+ROW()/100000,"")</f>
        <v/>
      </c>
    </row>
    <row r="211">
      <c r="G211" s="14" t="n"/>
      <c r="Q211" s="7">
        <f>IF($E211="","",P211*Z211/100)</f>
        <v/>
      </c>
      <c r="R211" s="7" t="n"/>
      <c r="Y211" s="7" t="n"/>
      <c r="Z211" s="7" t="n"/>
      <c r="AA211" s="7" t="n"/>
      <c r="AD211">
        <f>IF($E211="","",IF($AT211=1,Settings!$C$8,IF($AS211=1,Settings!$C$6,Settings!$C$7))*100)</f>
        <v/>
      </c>
      <c r="AE211" s="7">
        <f>IF($E211="","",Z211*AD211/100)</f>
        <v/>
      </c>
      <c r="AF211" s="7">
        <f>IF($E211="","",Z211-AE211)</f>
        <v/>
      </c>
      <c r="AG211" s="7">
        <f>IF($E211="","",AF211-Q211)</f>
        <v/>
      </c>
      <c r="AK211" s="7" t="n"/>
      <c r="AN211" s="14" t="n"/>
      <c r="AQ211">
        <f>IF($E211="","",IF(COUNTIF($E$2:$E211,$E211)=1,1,0))</f>
        <v/>
      </c>
      <c r="AR211">
        <f>IF($AQ211=1,SUMPRODUCT(--($AU$2:$AU$1501&lt;$AU211))+1,"")</f>
        <v/>
      </c>
      <c r="AS211">
        <f>IF($E211="","",IF(OR($U211=TRUE(),$U211="TRUE"),1,0))</f>
        <v/>
      </c>
      <c r="AT211">
        <f>IF($E211="","",IF($AC211="Yes",1,0))</f>
        <v/>
      </c>
      <c r="AU211">
        <f>IF($AQ211=1,IFERROR(IF(VALUE($E211)&lt;100000000,VALUE($E211),1000000000),IFERROR(IF(VALUE(MID($E211,2,20))&lt;100000000,VALUE(MID($E211,2,20)),1000000000),1000000000))+ROW()/100000,"")</f>
        <v/>
      </c>
    </row>
    <row r="212">
      <c r="G212" s="14" t="n"/>
      <c r="Q212" s="7">
        <f>IF($E212="","",P212*Z212/100)</f>
        <v/>
      </c>
      <c r="R212" s="7" t="n"/>
      <c r="Y212" s="7" t="n"/>
      <c r="Z212" s="7" t="n"/>
      <c r="AA212" s="7" t="n"/>
      <c r="AD212">
        <f>IF($E212="","",IF($AT212=1,Settings!$C$8,IF($AS212=1,Settings!$C$6,Settings!$C$7))*100)</f>
        <v/>
      </c>
      <c r="AE212" s="7">
        <f>IF($E212="","",Z212*AD212/100)</f>
        <v/>
      </c>
      <c r="AF212" s="7">
        <f>IF($E212="","",Z212-AE212)</f>
        <v/>
      </c>
      <c r="AG212" s="7">
        <f>IF($E212="","",AF212-Q212)</f>
        <v/>
      </c>
      <c r="AK212" s="7" t="n"/>
      <c r="AN212" s="14" t="n"/>
      <c r="AQ212">
        <f>IF($E212="","",IF(COUNTIF($E$2:$E212,$E212)=1,1,0))</f>
        <v/>
      </c>
      <c r="AR212">
        <f>IF($AQ212=1,SUMPRODUCT(--($AU$2:$AU$1501&lt;$AU212))+1,"")</f>
        <v/>
      </c>
      <c r="AS212">
        <f>IF($E212="","",IF(OR($U212=TRUE(),$U212="TRUE"),1,0))</f>
        <v/>
      </c>
      <c r="AT212">
        <f>IF($E212="","",IF($AC212="Yes",1,0))</f>
        <v/>
      </c>
      <c r="AU212">
        <f>IF($AQ212=1,IFERROR(IF(VALUE($E212)&lt;100000000,VALUE($E212),1000000000),IFERROR(IF(VALUE(MID($E212,2,20))&lt;100000000,VALUE(MID($E212,2,20)),1000000000),1000000000))+ROW()/100000,"")</f>
        <v/>
      </c>
    </row>
    <row r="213">
      <c r="G213" s="14" t="n"/>
      <c r="Q213" s="7">
        <f>IF($E213="","",P213*Z213/100)</f>
        <v/>
      </c>
      <c r="R213" s="7" t="n"/>
      <c r="Y213" s="7" t="n"/>
      <c r="Z213" s="7" t="n"/>
      <c r="AA213" s="7" t="n"/>
      <c r="AD213">
        <f>IF($E213="","",IF($AT213=1,Settings!$C$8,IF($AS213=1,Settings!$C$6,Settings!$C$7))*100)</f>
        <v/>
      </c>
      <c r="AE213" s="7">
        <f>IF($E213="","",Z213*AD213/100)</f>
        <v/>
      </c>
      <c r="AF213" s="7">
        <f>IF($E213="","",Z213-AE213)</f>
        <v/>
      </c>
      <c r="AG213" s="7">
        <f>IF($E213="","",AF213-Q213)</f>
        <v/>
      </c>
      <c r="AK213" s="7" t="n"/>
      <c r="AN213" s="14" t="n"/>
      <c r="AQ213">
        <f>IF($E213="","",IF(COUNTIF($E$2:$E213,$E213)=1,1,0))</f>
        <v/>
      </c>
      <c r="AR213">
        <f>IF($AQ213=1,SUMPRODUCT(--($AU$2:$AU$1501&lt;$AU213))+1,"")</f>
        <v/>
      </c>
      <c r="AS213">
        <f>IF($E213="","",IF(OR($U213=TRUE(),$U213="TRUE"),1,0))</f>
        <v/>
      </c>
      <c r="AT213">
        <f>IF($E213="","",IF($AC213="Yes",1,0))</f>
        <v/>
      </c>
      <c r="AU213">
        <f>IF($AQ213=1,IFERROR(IF(VALUE($E213)&lt;100000000,VALUE($E213),1000000000),IFERROR(IF(VALUE(MID($E213,2,20))&lt;100000000,VALUE(MID($E213,2,20)),1000000000),1000000000))+ROW()/100000,"")</f>
        <v/>
      </c>
    </row>
    <row r="214">
      <c r="G214" s="14" t="n"/>
      <c r="Q214" s="7">
        <f>IF($E214="","",P214*Z214/100)</f>
        <v/>
      </c>
      <c r="R214" s="7" t="n"/>
      <c r="Y214" s="7" t="n"/>
      <c r="Z214" s="7" t="n"/>
      <c r="AA214" s="7" t="n"/>
      <c r="AD214">
        <f>IF($E214="","",IF($AT214=1,Settings!$C$8,IF($AS214=1,Settings!$C$6,Settings!$C$7))*100)</f>
        <v/>
      </c>
      <c r="AE214" s="7">
        <f>IF($E214="","",Z214*AD214/100)</f>
        <v/>
      </c>
      <c r="AF214" s="7">
        <f>IF($E214="","",Z214-AE214)</f>
        <v/>
      </c>
      <c r="AG214" s="7">
        <f>IF($E214="","",AF214-Q214)</f>
        <v/>
      </c>
      <c r="AK214" s="7" t="n"/>
      <c r="AN214" s="14" t="n"/>
      <c r="AQ214">
        <f>IF($E214="","",IF(COUNTIF($E$2:$E214,$E214)=1,1,0))</f>
        <v/>
      </c>
      <c r="AR214">
        <f>IF($AQ214=1,SUMPRODUCT(--($AU$2:$AU$1501&lt;$AU214))+1,"")</f>
        <v/>
      </c>
      <c r="AS214">
        <f>IF($E214="","",IF(OR($U214=TRUE(),$U214="TRUE"),1,0))</f>
        <v/>
      </c>
      <c r="AT214">
        <f>IF($E214="","",IF($AC214="Yes",1,0))</f>
        <v/>
      </c>
      <c r="AU214">
        <f>IF($AQ214=1,IFERROR(IF(VALUE($E214)&lt;100000000,VALUE($E214),1000000000),IFERROR(IF(VALUE(MID($E214,2,20))&lt;100000000,VALUE(MID($E214,2,20)),1000000000),1000000000))+ROW()/100000,"")</f>
        <v/>
      </c>
    </row>
    <row r="215">
      <c r="G215" s="14" t="n"/>
      <c r="Q215" s="7">
        <f>IF($E215="","",P215*Z215/100)</f>
        <v/>
      </c>
      <c r="R215" s="7" t="n"/>
      <c r="Y215" s="7" t="n"/>
      <c r="Z215" s="7" t="n"/>
      <c r="AA215" s="7" t="n"/>
      <c r="AD215">
        <f>IF($E215="","",IF($AT215=1,Settings!$C$8,IF($AS215=1,Settings!$C$6,Settings!$C$7))*100)</f>
        <v/>
      </c>
      <c r="AE215" s="7">
        <f>IF($E215="","",Z215*AD215/100)</f>
        <v/>
      </c>
      <c r="AF215" s="7">
        <f>IF($E215="","",Z215-AE215)</f>
        <v/>
      </c>
      <c r="AG215" s="7">
        <f>IF($E215="","",AF215-Q215)</f>
        <v/>
      </c>
      <c r="AK215" s="7" t="n"/>
      <c r="AN215" s="14" t="n"/>
      <c r="AQ215">
        <f>IF($E215="","",IF(COUNTIF($E$2:$E215,$E215)=1,1,0))</f>
        <v/>
      </c>
      <c r="AR215">
        <f>IF($AQ215=1,SUMPRODUCT(--($AU$2:$AU$1501&lt;$AU215))+1,"")</f>
        <v/>
      </c>
      <c r="AS215">
        <f>IF($E215="","",IF(OR($U215=TRUE(),$U215="TRUE"),1,0))</f>
        <v/>
      </c>
      <c r="AT215">
        <f>IF($E215="","",IF($AC215="Yes",1,0))</f>
        <v/>
      </c>
      <c r="AU215">
        <f>IF($AQ215=1,IFERROR(IF(VALUE($E215)&lt;100000000,VALUE($E215),1000000000),IFERROR(IF(VALUE(MID($E215,2,20))&lt;100000000,VALUE(MID($E215,2,20)),1000000000),1000000000))+ROW()/100000,"")</f>
        <v/>
      </c>
    </row>
    <row r="216">
      <c r="G216" s="14" t="n"/>
      <c r="Q216" s="7">
        <f>IF($E216="","",P216*Z216/100)</f>
        <v/>
      </c>
      <c r="R216" s="7" t="n"/>
      <c r="Y216" s="7" t="n"/>
      <c r="Z216" s="7" t="n"/>
      <c r="AA216" s="7" t="n"/>
      <c r="AD216">
        <f>IF($E216="","",IF($AT216=1,Settings!$C$8,IF($AS216=1,Settings!$C$6,Settings!$C$7))*100)</f>
        <v/>
      </c>
      <c r="AE216" s="7">
        <f>IF($E216="","",Z216*AD216/100)</f>
        <v/>
      </c>
      <c r="AF216" s="7">
        <f>IF($E216="","",Z216-AE216)</f>
        <v/>
      </c>
      <c r="AG216" s="7">
        <f>IF($E216="","",AF216-Q216)</f>
        <v/>
      </c>
      <c r="AK216" s="7" t="n"/>
      <c r="AN216" s="14" t="n"/>
      <c r="AQ216">
        <f>IF($E216="","",IF(COUNTIF($E$2:$E216,$E216)=1,1,0))</f>
        <v/>
      </c>
      <c r="AR216">
        <f>IF($AQ216=1,SUMPRODUCT(--($AU$2:$AU$1501&lt;$AU216))+1,"")</f>
        <v/>
      </c>
      <c r="AS216">
        <f>IF($E216="","",IF(OR($U216=TRUE(),$U216="TRUE"),1,0))</f>
        <v/>
      </c>
      <c r="AT216">
        <f>IF($E216="","",IF($AC216="Yes",1,0))</f>
        <v/>
      </c>
      <c r="AU216">
        <f>IF($AQ216=1,IFERROR(IF(VALUE($E216)&lt;100000000,VALUE($E216),1000000000),IFERROR(IF(VALUE(MID($E216,2,20))&lt;100000000,VALUE(MID($E216,2,20)),1000000000),1000000000))+ROW()/100000,"")</f>
        <v/>
      </c>
    </row>
    <row r="217">
      <c r="G217" s="14" t="n"/>
      <c r="Q217" s="7">
        <f>IF($E217="","",P217*Z217/100)</f>
        <v/>
      </c>
      <c r="R217" s="7" t="n"/>
      <c r="Y217" s="7" t="n"/>
      <c r="Z217" s="7" t="n"/>
      <c r="AA217" s="7" t="n"/>
      <c r="AD217">
        <f>IF($E217="","",IF($AT217=1,Settings!$C$8,IF($AS217=1,Settings!$C$6,Settings!$C$7))*100)</f>
        <v/>
      </c>
      <c r="AE217" s="7">
        <f>IF($E217="","",Z217*AD217/100)</f>
        <v/>
      </c>
      <c r="AF217" s="7">
        <f>IF($E217="","",Z217-AE217)</f>
        <v/>
      </c>
      <c r="AG217" s="7">
        <f>IF($E217="","",AF217-Q217)</f>
        <v/>
      </c>
      <c r="AK217" s="7" t="n"/>
      <c r="AN217" s="14" t="n"/>
      <c r="AQ217">
        <f>IF($E217="","",IF(COUNTIF($E$2:$E217,$E217)=1,1,0))</f>
        <v/>
      </c>
      <c r="AR217">
        <f>IF($AQ217=1,SUMPRODUCT(--($AU$2:$AU$1501&lt;$AU217))+1,"")</f>
        <v/>
      </c>
      <c r="AS217">
        <f>IF($E217="","",IF(OR($U217=TRUE(),$U217="TRUE"),1,0))</f>
        <v/>
      </c>
      <c r="AT217">
        <f>IF($E217="","",IF($AC217="Yes",1,0))</f>
        <v/>
      </c>
      <c r="AU217">
        <f>IF($AQ217=1,IFERROR(IF(VALUE($E217)&lt;100000000,VALUE($E217),1000000000),IFERROR(IF(VALUE(MID($E217,2,20))&lt;100000000,VALUE(MID($E217,2,20)),1000000000),1000000000))+ROW()/100000,"")</f>
        <v/>
      </c>
    </row>
    <row r="218">
      <c r="G218" s="14" t="n"/>
      <c r="Q218" s="7">
        <f>IF($E218="","",P218*Z218/100)</f>
        <v/>
      </c>
      <c r="R218" s="7" t="n"/>
      <c r="Y218" s="7" t="n"/>
      <c r="Z218" s="7" t="n"/>
      <c r="AA218" s="7" t="n"/>
      <c r="AD218">
        <f>IF($E218="","",IF($AT218=1,Settings!$C$8,IF($AS218=1,Settings!$C$6,Settings!$C$7))*100)</f>
        <v/>
      </c>
      <c r="AE218" s="7">
        <f>IF($E218="","",Z218*AD218/100)</f>
        <v/>
      </c>
      <c r="AF218" s="7">
        <f>IF($E218="","",Z218-AE218)</f>
        <v/>
      </c>
      <c r="AG218" s="7">
        <f>IF($E218="","",AF218-Q218)</f>
        <v/>
      </c>
      <c r="AK218" s="7" t="n"/>
      <c r="AN218" s="14" t="n"/>
      <c r="AQ218">
        <f>IF($E218="","",IF(COUNTIF($E$2:$E218,$E218)=1,1,0))</f>
        <v/>
      </c>
      <c r="AR218">
        <f>IF($AQ218=1,SUMPRODUCT(--($AU$2:$AU$1501&lt;$AU218))+1,"")</f>
        <v/>
      </c>
      <c r="AS218">
        <f>IF($E218="","",IF(OR($U218=TRUE(),$U218="TRUE"),1,0))</f>
        <v/>
      </c>
      <c r="AT218">
        <f>IF($E218="","",IF($AC218="Yes",1,0))</f>
        <v/>
      </c>
      <c r="AU218">
        <f>IF($AQ218=1,IFERROR(IF(VALUE($E218)&lt;100000000,VALUE($E218),1000000000),IFERROR(IF(VALUE(MID($E218,2,20))&lt;100000000,VALUE(MID($E218,2,20)),1000000000),1000000000))+ROW()/100000,"")</f>
        <v/>
      </c>
    </row>
    <row r="219">
      <c r="G219" s="14" t="n"/>
      <c r="Q219" s="7">
        <f>IF($E219="","",P219*Z219/100)</f>
        <v/>
      </c>
      <c r="R219" s="7" t="n"/>
      <c r="Y219" s="7" t="n"/>
      <c r="Z219" s="7" t="n"/>
      <c r="AA219" s="7" t="n"/>
      <c r="AD219">
        <f>IF($E219="","",IF($AT219=1,Settings!$C$8,IF($AS219=1,Settings!$C$6,Settings!$C$7))*100)</f>
        <v/>
      </c>
      <c r="AE219" s="7">
        <f>IF($E219="","",Z219*AD219/100)</f>
        <v/>
      </c>
      <c r="AF219" s="7">
        <f>IF($E219="","",Z219-AE219)</f>
        <v/>
      </c>
      <c r="AG219" s="7">
        <f>IF($E219="","",AF219-Q219)</f>
        <v/>
      </c>
      <c r="AK219" s="7" t="n"/>
      <c r="AN219" s="14" t="n"/>
      <c r="AQ219">
        <f>IF($E219="","",IF(COUNTIF($E$2:$E219,$E219)=1,1,0))</f>
        <v/>
      </c>
      <c r="AR219">
        <f>IF($AQ219=1,SUMPRODUCT(--($AU$2:$AU$1501&lt;$AU219))+1,"")</f>
        <v/>
      </c>
      <c r="AS219">
        <f>IF($E219="","",IF(OR($U219=TRUE(),$U219="TRUE"),1,0))</f>
        <v/>
      </c>
      <c r="AT219">
        <f>IF($E219="","",IF($AC219="Yes",1,0))</f>
        <v/>
      </c>
      <c r="AU219">
        <f>IF($AQ219=1,IFERROR(IF(VALUE($E219)&lt;100000000,VALUE($E219),1000000000),IFERROR(IF(VALUE(MID($E219,2,20))&lt;100000000,VALUE(MID($E219,2,20)),1000000000),1000000000))+ROW()/100000,"")</f>
        <v/>
      </c>
    </row>
    <row r="220">
      <c r="G220" s="14" t="n"/>
      <c r="Q220" s="7">
        <f>IF($E220="","",P220*Z220/100)</f>
        <v/>
      </c>
      <c r="R220" s="7" t="n"/>
      <c r="Y220" s="7" t="n"/>
      <c r="Z220" s="7" t="n"/>
      <c r="AA220" s="7" t="n"/>
      <c r="AD220">
        <f>IF($E220="","",IF($AT220=1,Settings!$C$8,IF($AS220=1,Settings!$C$6,Settings!$C$7))*100)</f>
        <v/>
      </c>
      <c r="AE220" s="7">
        <f>IF($E220="","",Z220*AD220/100)</f>
        <v/>
      </c>
      <c r="AF220" s="7">
        <f>IF($E220="","",Z220-AE220)</f>
        <v/>
      </c>
      <c r="AG220" s="7">
        <f>IF($E220="","",AF220-Q220)</f>
        <v/>
      </c>
      <c r="AK220" s="7" t="n"/>
      <c r="AN220" s="14" t="n"/>
      <c r="AQ220">
        <f>IF($E220="","",IF(COUNTIF($E$2:$E220,$E220)=1,1,0))</f>
        <v/>
      </c>
      <c r="AR220">
        <f>IF($AQ220=1,SUMPRODUCT(--($AU$2:$AU$1501&lt;$AU220))+1,"")</f>
        <v/>
      </c>
      <c r="AS220">
        <f>IF($E220="","",IF(OR($U220=TRUE(),$U220="TRUE"),1,0))</f>
        <v/>
      </c>
      <c r="AT220">
        <f>IF($E220="","",IF($AC220="Yes",1,0))</f>
        <v/>
      </c>
      <c r="AU220">
        <f>IF($AQ220=1,IFERROR(IF(VALUE($E220)&lt;100000000,VALUE($E220),1000000000),IFERROR(IF(VALUE(MID($E220,2,20))&lt;100000000,VALUE(MID($E220,2,20)),1000000000),1000000000))+ROW()/100000,"")</f>
        <v/>
      </c>
    </row>
    <row r="221">
      <c r="G221" s="14" t="n"/>
      <c r="Q221" s="7">
        <f>IF($E221="","",P221*Z221/100)</f>
        <v/>
      </c>
      <c r="R221" s="7" t="n"/>
      <c r="Y221" s="7" t="n"/>
      <c r="Z221" s="7" t="n"/>
      <c r="AA221" s="7" t="n"/>
      <c r="AD221">
        <f>IF($E221="","",IF($AT221=1,Settings!$C$8,IF($AS221=1,Settings!$C$6,Settings!$C$7))*100)</f>
        <v/>
      </c>
      <c r="AE221" s="7">
        <f>IF($E221="","",Z221*AD221/100)</f>
        <v/>
      </c>
      <c r="AF221" s="7">
        <f>IF($E221="","",Z221-AE221)</f>
        <v/>
      </c>
      <c r="AG221" s="7">
        <f>IF($E221="","",AF221-Q221)</f>
        <v/>
      </c>
      <c r="AK221" s="7" t="n"/>
      <c r="AN221" s="14" t="n"/>
      <c r="AQ221">
        <f>IF($E221="","",IF(COUNTIF($E$2:$E221,$E221)=1,1,0))</f>
        <v/>
      </c>
      <c r="AR221">
        <f>IF($AQ221=1,SUMPRODUCT(--($AU$2:$AU$1501&lt;$AU221))+1,"")</f>
        <v/>
      </c>
      <c r="AS221">
        <f>IF($E221="","",IF(OR($U221=TRUE(),$U221="TRUE"),1,0))</f>
        <v/>
      </c>
      <c r="AT221">
        <f>IF($E221="","",IF($AC221="Yes",1,0))</f>
        <v/>
      </c>
      <c r="AU221">
        <f>IF($AQ221=1,IFERROR(IF(VALUE($E221)&lt;100000000,VALUE($E221),1000000000),IFERROR(IF(VALUE(MID($E221,2,20))&lt;100000000,VALUE(MID($E221,2,20)),1000000000),1000000000))+ROW()/100000,"")</f>
        <v/>
      </c>
    </row>
    <row r="222">
      <c r="G222" s="14" t="n"/>
      <c r="Q222" s="7">
        <f>IF($E222="","",P222*Z222/100)</f>
        <v/>
      </c>
      <c r="R222" s="7" t="n"/>
      <c r="Y222" s="7" t="n"/>
      <c r="Z222" s="7" t="n"/>
      <c r="AA222" s="7" t="n"/>
      <c r="AD222">
        <f>IF($E222="","",IF($AT222=1,Settings!$C$8,IF($AS222=1,Settings!$C$6,Settings!$C$7))*100)</f>
        <v/>
      </c>
      <c r="AE222" s="7">
        <f>IF($E222="","",Z222*AD222/100)</f>
        <v/>
      </c>
      <c r="AF222" s="7">
        <f>IF($E222="","",Z222-AE222)</f>
        <v/>
      </c>
      <c r="AG222" s="7">
        <f>IF($E222="","",AF222-Q222)</f>
        <v/>
      </c>
      <c r="AK222" s="7" t="n"/>
      <c r="AN222" s="14" t="n"/>
      <c r="AQ222">
        <f>IF($E222="","",IF(COUNTIF($E$2:$E222,$E222)=1,1,0))</f>
        <v/>
      </c>
      <c r="AR222">
        <f>IF($AQ222=1,SUMPRODUCT(--($AU$2:$AU$1501&lt;$AU222))+1,"")</f>
        <v/>
      </c>
      <c r="AS222">
        <f>IF($E222="","",IF(OR($U222=TRUE(),$U222="TRUE"),1,0))</f>
        <v/>
      </c>
      <c r="AT222">
        <f>IF($E222="","",IF($AC222="Yes",1,0))</f>
        <v/>
      </c>
      <c r="AU222">
        <f>IF($AQ222=1,IFERROR(IF(VALUE($E222)&lt;100000000,VALUE($E222),1000000000),IFERROR(IF(VALUE(MID($E222,2,20))&lt;100000000,VALUE(MID($E222,2,20)),1000000000),1000000000))+ROW()/100000,"")</f>
        <v/>
      </c>
    </row>
    <row r="223">
      <c r="G223" s="14" t="n"/>
      <c r="Q223" s="7">
        <f>IF($E223="","",P223*Z223/100)</f>
        <v/>
      </c>
      <c r="R223" s="7" t="n"/>
      <c r="Y223" s="7" t="n"/>
      <c r="Z223" s="7" t="n"/>
      <c r="AA223" s="7" t="n"/>
      <c r="AD223">
        <f>IF($E223="","",IF($AT223=1,Settings!$C$8,IF($AS223=1,Settings!$C$6,Settings!$C$7))*100)</f>
        <v/>
      </c>
      <c r="AE223" s="7">
        <f>IF($E223="","",Z223*AD223/100)</f>
        <v/>
      </c>
      <c r="AF223" s="7">
        <f>IF($E223="","",Z223-AE223)</f>
        <v/>
      </c>
      <c r="AG223" s="7">
        <f>IF($E223="","",AF223-Q223)</f>
        <v/>
      </c>
      <c r="AK223" s="7" t="n"/>
      <c r="AN223" s="14" t="n"/>
      <c r="AQ223">
        <f>IF($E223="","",IF(COUNTIF($E$2:$E223,$E223)=1,1,0))</f>
        <v/>
      </c>
      <c r="AR223">
        <f>IF($AQ223=1,SUMPRODUCT(--($AU$2:$AU$1501&lt;$AU223))+1,"")</f>
        <v/>
      </c>
      <c r="AS223">
        <f>IF($E223="","",IF(OR($U223=TRUE(),$U223="TRUE"),1,0))</f>
        <v/>
      </c>
      <c r="AT223">
        <f>IF($E223="","",IF($AC223="Yes",1,0))</f>
        <v/>
      </c>
      <c r="AU223">
        <f>IF($AQ223=1,IFERROR(IF(VALUE($E223)&lt;100000000,VALUE($E223),1000000000),IFERROR(IF(VALUE(MID($E223,2,20))&lt;100000000,VALUE(MID($E223,2,20)),1000000000),1000000000))+ROW()/100000,"")</f>
        <v/>
      </c>
    </row>
    <row r="224">
      <c r="G224" s="14" t="n"/>
      <c r="Q224" s="7">
        <f>IF($E224="","",P224*Z224/100)</f>
        <v/>
      </c>
      <c r="R224" s="7" t="n"/>
      <c r="Y224" s="7" t="n"/>
      <c r="Z224" s="7" t="n"/>
      <c r="AA224" s="7" t="n"/>
      <c r="AD224">
        <f>IF($E224="","",IF($AT224=1,Settings!$C$8,IF($AS224=1,Settings!$C$6,Settings!$C$7))*100)</f>
        <v/>
      </c>
      <c r="AE224" s="7">
        <f>IF($E224="","",Z224*AD224/100)</f>
        <v/>
      </c>
      <c r="AF224" s="7">
        <f>IF($E224="","",Z224-AE224)</f>
        <v/>
      </c>
      <c r="AG224" s="7">
        <f>IF($E224="","",AF224-Q224)</f>
        <v/>
      </c>
      <c r="AK224" s="7" t="n"/>
      <c r="AN224" s="14" t="n"/>
      <c r="AQ224">
        <f>IF($E224="","",IF(COUNTIF($E$2:$E224,$E224)=1,1,0))</f>
        <v/>
      </c>
      <c r="AR224">
        <f>IF($AQ224=1,SUMPRODUCT(--($AU$2:$AU$1501&lt;$AU224))+1,"")</f>
        <v/>
      </c>
      <c r="AS224">
        <f>IF($E224="","",IF(OR($U224=TRUE(),$U224="TRUE"),1,0))</f>
        <v/>
      </c>
      <c r="AT224">
        <f>IF($E224="","",IF($AC224="Yes",1,0))</f>
        <v/>
      </c>
      <c r="AU224">
        <f>IF($AQ224=1,IFERROR(IF(VALUE($E224)&lt;100000000,VALUE($E224),1000000000),IFERROR(IF(VALUE(MID($E224,2,20))&lt;100000000,VALUE(MID($E224,2,20)),1000000000),1000000000))+ROW()/100000,"")</f>
        <v/>
      </c>
    </row>
    <row r="225">
      <c r="G225" s="14" t="n"/>
      <c r="Q225" s="7">
        <f>IF($E225="","",P225*Z225/100)</f>
        <v/>
      </c>
      <c r="R225" s="7" t="n"/>
      <c r="Y225" s="7" t="n"/>
      <c r="Z225" s="7" t="n"/>
      <c r="AA225" s="7" t="n"/>
      <c r="AD225">
        <f>IF($E225="","",IF($AT225=1,Settings!$C$8,IF($AS225=1,Settings!$C$6,Settings!$C$7))*100)</f>
        <v/>
      </c>
      <c r="AE225" s="7">
        <f>IF($E225="","",Z225*AD225/100)</f>
        <v/>
      </c>
      <c r="AF225" s="7">
        <f>IF($E225="","",Z225-AE225)</f>
        <v/>
      </c>
      <c r="AG225" s="7">
        <f>IF($E225="","",AF225-Q225)</f>
        <v/>
      </c>
      <c r="AK225" s="7" t="n"/>
      <c r="AN225" s="14" t="n"/>
      <c r="AQ225">
        <f>IF($E225="","",IF(COUNTIF($E$2:$E225,$E225)=1,1,0))</f>
        <v/>
      </c>
      <c r="AR225">
        <f>IF($AQ225=1,SUMPRODUCT(--($AU$2:$AU$1501&lt;$AU225))+1,"")</f>
        <v/>
      </c>
      <c r="AS225">
        <f>IF($E225="","",IF(OR($U225=TRUE(),$U225="TRUE"),1,0))</f>
        <v/>
      </c>
      <c r="AT225">
        <f>IF($E225="","",IF($AC225="Yes",1,0))</f>
        <v/>
      </c>
      <c r="AU225">
        <f>IF($AQ225=1,IFERROR(IF(VALUE($E225)&lt;100000000,VALUE($E225),1000000000),IFERROR(IF(VALUE(MID($E225,2,20))&lt;100000000,VALUE(MID($E225,2,20)),1000000000),1000000000))+ROW()/100000,"")</f>
        <v/>
      </c>
    </row>
    <row r="226">
      <c r="G226" s="14" t="n"/>
      <c r="Q226" s="7">
        <f>IF($E226="","",P226*Z226/100)</f>
        <v/>
      </c>
      <c r="R226" s="7" t="n"/>
      <c r="Y226" s="7" t="n"/>
      <c r="Z226" s="7" t="n"/>
      <c r="AA226" s="7" t="n"/>
      <c r="AD226">
        <f>IF($E226="","",IF($AT226=1,Settings!$C$8,IF($AS226=1,Settings!$C$6,Settings!$C$7))*100)</f>
        <v/>
      </c>
      <c r="AE226" s="7">
        <f>IF($E226="","",Z226*AD226/100)</f>
        <v/>
      </c>
      <c r="AF226" s="7">
        <f>IF($E226="","",Z226-AE226)</f>
        <v/>
      </c>
      <c r="AG226" s="7">
        <f>IF($E226="","",AF226-Q226)</f>
        <v/>
      </c>
      <c r="AK226" s="7" t="n"/>
      <c r="AN226" s="14" t="n"/>
      <c r="AQ226">
        <f>IF($E226="","",IF(COUNTIF($E$2:$E226,$E226)=1,1,0))</f>
        <v/>
      </c>
      <c r="AR226">
        <f>IF($AQ226=1,SUMPRODUCT(--($AU$2:$AU$1501&lt;$AU226))+1,"")</f>
        <v/>
      </c>
      <c r="AS226">
        <f>IF($E226="","",IF(OR($U226=TRUE(),$U226="TRUE"),1,0))</f>
        <v/>
      </c>
      <c r="AT226">
        <f>IF($E226="","",IF($AC226="Yes",1,0))</f>
        <v/>
      </c>
      <c r="AU226">
        <f>IF($AQ226=1,IFERROR(IF(VALUE($E226)&lt;100000000,VALUE($E226),1000000000),IFERROR(IF(VALUE(MID($E226,2,20))&lt;100000000,VALUE(MID($E226,2,20)),1000000000),1000000000))+ROW()/100000,"")</f>
        <v/>
      </c>
    </row>
    <row r="227">
      <c r="G227" s="14" t="n"/>
      <c r="Q227" s="7">
        <f>IF($E227="","",P227*Z227/100)</f>
        <v/>
      </c>
      <c r="R227" s="7" t="n"/>
      <c r="Y227" s="7" t="n"/>
      <c r="Z227" s="7" t="n"/>
      <c r="AA227" s="7" t="n"/>
      <c r="AD227">
        <f>IF($E227="","",IF($AT227=1,Settings!$C$8,IF($AS227=1,Settings!$C$6,Settings!$C$7))*100)</f>
        <v/>
      </c>
      <c r="AE227" s="7">
        <f>IF($E227="","",Z227*AD227/100)</f>
        <v/>
      </c>
      <c r="AF227" s="7">
        <f>IF($E227="","",Z227-AE227)</f>
        <v/>
      </c>
      <c r="AG227" s="7">
        <f>IF($E227="","",AF227-Q227)</f>
        <v/>
      </c>
      <c r="AK227" s="7" t="n"/>
      <c r="AN227" s="14" t="n"/>
      <c r="AQ227">
        <f>IF($E227="","",IF(COUNTIF($E$2:$E227,$E227)=1,1,0))</f>
        <v/>
      </c>
      <c r="AR227">
        <f>IF($AQ227=1,SUMPRODUCT(--($AU$2:$AU$1501&lt;$AU227))+1,"")</f>
        <v/>
      </c>
      <c r="AS227">
        <f>IF($E227="","",IF(OR($U227=TRUE(),$U227="TRUE"),1,0))</f>
        <v/>
      </c>
      <c r="AT227">
        <f>IF($E227="","",IF($AC227="Yes",1,0))</f>
        <v/>
      </c>
      <c r="AU227">
        <f>IF($AQ227=1,IFERROR(IF(VALUE($E227)&lt;100000000,VALUE($E227),1000000000),IFERROR(IF(VALUE(MID($E227,2,20))&lt;100000000,VALUE(MID($E227,2,20)),1000000000),1000000000))+ROW()/100000,"")</f>
        <v/>
      </c>
    </row>
    <row r="228">
      <c r="G228" s="14" t="n"/>
      <c r="Q228" s="7">
        <f>IF($E228="","",P228*Z228/100)</f>
        <v/>
      </c>
      <c r="R228" s="7" t="n"/>
      <c r="Y228" s="7" t="n"/>
      <c r="Z228" s="7" t="n"/>
      <c r="AA228" s="7" t="n"/>
      <c r="AD228">
        <f>IF($E228="","",IF($AT228=1,Settings!$C$8,IF($AS228=1,Settings!$C$6,Settings!$C$7))*100)</f>
        <v/>
      </c>
      <c r="AE228" s="7">
        <f>IF($E228="","",Z228*AD228/100)</f>
        <v/>
      </c>
      <c r="AF228" s="7">
        <f>IF($E228="","",Z228-AE228)</f>
        <v/>
      </c>
      <c r="AG228" s="7">
        <f>IF($E228="","",AF228-Q228)</f>
        <v/>
      </c>
      <c r="AK228" s="7" t="n"/>
      <c r="AN228" s="14" t="n"/>
      <c r="AQ228">
        <f>IF($E228="","",IF(COUNTIF($E$2:$E228,$E228)=1,1,0))</f>
        <v/>
      </c>
      <c r="AR228">
        <f>IF($AQ228=1,SUMPRODUCT(--($AU$2:$AU$1501&lt;$AU228))+1,"")</f>
        <v/>
      </c>
      <c r="AS228">
        <f>IF($E228="","",IF(OR($U228=TRUE(),$U228="TRUE"),1,0))</f>
        <v/>
      </c>
      <c r="AT228">
        <f>IF($E228="","",IF($AC228="Yes",1,0))</f>
        <v/>
      </c>
      <c r="AU228">
        <f>IF($AQ228=1,IFERROR(IF(VALUE($E228)&lt;100000000,VALUE($E228),1000000000),IFERROR(IF(VALUE(MID($E228,2,20))&lt;100000000,VALUE(MID($E228,2,20)),1000000000),1000000000))+ROW()/100000,"")</f>
        <v/>
      </c>
    </row>
    <row r="229">
      <c r="G229" s="14" t="n"/>
      <c r="Q229" s="7">
        <f>IF($E229="","",P229*Z229/100)</f>
        <v/>
      </c>
      <c r="R229" s="7" t="n"/>
      <c r="Y229" s="7" t="n"/>
      <c r="Z229" s="7" t="n"/>
      <c r="AA229" s="7" t="n"/>
      <c r="AD229">
        <f>IF($E229="","",IF($AT229=1,Settings!$C$8,IF($AS229=1,Settings!$C$6,Settings!$C$7))*100)</f>
        <v/>
      </c>
      <c r="AE229" s="7">
        <f>IF($E229="","",Z229*AD229/100)</f>
        <v/>
      </c>
      <c r="AF229" s="7">
        <f>IF($E229="","",Z229-AE229)</f>
        <v/>
      </c>
      <c r="AG229" s="7">
        <f>IF($E229="","",AF229-Q229)</f>
        <v/>
      </c>
      <c r="AK229" s="7" t="n"/>
      <c r="AN229" s="14" t="n"/>
      <c r="AQ229">
        <f>IF($E229="","",IF(COUNTIF($E$2:$E229,$E229)=1,1,0))</f>
        <v/>
      </c>
      <c r="AR229">
        <f>IF($AQ229=1,SUMPRODUCT(--($AU$2:$AU$1501&lt;$AU229))+1,"")</f>
        <v/>
      </c>
      <c r="AS229">
        <f>IF($E229="","",IF(OR($U229=TRUE(),$U229="TRUE"),1,0))</f>
        <v/>
      </c>
      <c r="AT229">
        <f>IF($E229="","",IF($AC229="Yes",1,0))</f>
        <v/>
      </c>
      <c r="AU229">
        <f>IF($AQ229=1,IFERROR(IF(VALUE($E229)&lt;100000000,VALUE($E229),1000000000),IFERROR(IF(VALUE(MID($E229,2,20))&lt;100000000,VALUE(MID($E229,2,20)),1000000000),1000000000))+ROW()/100000,"")</f>
        <v/>
      </c>
    </row>
    <row r="230">
      <c r="G230" s="14" t="n"/>
      <c r="Q230" s="7">
        <f>IF($E230="","",P230*Z230/100)</f>
        <v/>
      </c>
      <c r="R230" s="7" t="n"/>
      <c r="Y230" s="7" t="n"/>
      <c r="Z230" s="7" t="n"/>
      <c r="AA230" s="7" t="n"/>
      <c r="AD230">
        <f>IF($E230="","",IF($AT230=1,Settings!$C$8,IF($AS230=1,Settings!$C$6,Settings!$C$7))*100)</f>
        <v/>
      </c>
      <c r="AE230" s="7">
        <f>IF($E230="","",Z230*AD230/100)</f>
        <v/>
      </c>
      <c r="AF230" s="7">
        <f>IF($E230="","",Z230-AE230)</f>
        <v/>
      </c>
      <c r="AG230" s="7">
        <f>IF($E230="","",AF230-Q230)</f>
        <v/>
      </c>
      <c r="AK230" s="7" t="n"/>
      <c r="AN230" s="14" t="n"/>
      <c r="AQ230">
        <f>IF($E230="","",IF(COUNTIF($E$2:$E230,$E230)=1,1,0))</f>
        <v/>
      </c>
      <c r="AR230">
        <f>IF($AQ230=1,SUMPRODUCT(--($AU$2:$AU$1501&lt;$AU230))+1,"")</f>
        <v/>
      </c>
      <c r="AS230">
        <f>IF($E230="","",IF(OR($U230=TRUE(),$U230="TRUE"),1,0))</f>
        <v/>
      </c>
      <c r="AT230">
        <f>IF($E230="","",IF($AC230="Yes",1,0))</f>
        <v/>
      </c>
      <c r="AU230">
        <f>IF($AQ230=1,IFERROR(IF(VALUE($E230)&lt;100000000,VALUE($E230),1000000000),IFERROR(IF(VALUE(MID($E230,2,20))&lt;100000000,VALUE(MID($E230,2,20)),1000000000),1000000000))+ROW()/100000,"")</f>
        <v/>
      </c>
    </row>
    <row r="231">
      <c r="G231" s="14" t="n"/>
      <c r="Q231" s="7">
        <f>IF($E231="","",P231*Z231/100)</f>
        <v/>
      </c>
      <c r="R231" s="7" t="n"/>
      <c r="Y231" s="7" t="n"/>
      <c r="Z231" s="7" t="n"/>
      <c r="AA231" s="7" t="n"/>
      <c r="AD231">
        <f>IF($E231="","",IF($AT231=1,Settings!$C$8,IF($AS231=1,Settings!$C$6,Settings!$C$7))*100)</f>
        <v/>
      </c>
      <c r="AE231" s="7">
        <f>IF($E231="","",Z231*AD231/100)</f>
        <v/>
      </c>
      <c r="AF231" s="7">
        <f>IF($E231="","",Z231-AE231)</f>
        <v/>
      </c>
      <c r="AG231" s="7">
        <f>IF($E231="","",AF231-Q231)</f>
        <v/>
      </c>
      <c r="AK231" s="7" t="n"/>
      <c r="AN231" s="14" t="n"/>
      <c r="AQ231">
        <f>IF($E231="","",IF(COUNTIF($E$2:$E231,$E231)=1,1,0))</f>
        <v/>
      </c>
      <c r="AR231">
        <f>IF($AQ231=1,SUMPRODUCT(--($AU$2:$AU$1501&lt;$AU231))+1,"")</f>
        <v/>
      </c>
      <c r="AS231">
        <f>IF($E231="","",IF(OR($U231=TRUE(),$U231="TRUE"),1,0))</f>
        <v/>
      </c>
      <c r="AT231">
        <f>IF($E231="","",IF($AC231="Yes",1,0))</f>
        <v/>
      </c>
      <c r="AU231">
        <f>IF($AQ231=1,IFERROR(IF(VALUE($E231)&lt;100000000,VALUE($E231),1000000000),IFERROR(IF(VALUE(MID($E231,2,20))&lt;100000000,VALUE(MID($E231,2,20)),1000000000),1000000000))+ROW()/100000,"")</f>
        <v/>
      </c>
    </row>
    <row r="232">
      <c r="G232" s="14" t="n"/>
      <c r="Q232" s="7">
        <f>IF($E232="","",P232*Z232/100)</f>
        <v/>
      </c>
      <c r="R232" s="7" t="n"/>
      <c r="Y232" s="7" t="n"/>
      <c r="Z232" s="7" t="n"/>
      <c r="AA232" s="7" t="n"/>
      <c r="AD232">
        <f>IF($E232="","",IF($AT232=1,Settings!$C$8,IF($AS232=1,Settings!$C$6,Settings!$C$7))*100)</f>
        <v/>
      </c>
      <c r="AE232" s="7">
        <f>IF($E232="","",Z232*AD232/100)</f>
        <v/>
      </c>
      <c r="AF232" s="7">
        <f>IF($E232="","",Z232-AE232)</f>
        <v/>
      </c>
      <c r="AG232" s="7">
        <f>IF($E232="","",AF232-Q232)</f>
        <v/>
      </c>
      <c r="AK232" s="7" t="n"/>
      <c r="AN232" s="14" t="n"/>
      <c r="AQ232">
        <f>IF($E232="","",IF(COUNTIF($E$2:$E232,$E232)=1,1,0))</f>
        <v/>
      </c>
      <c r="AR232">
        <f>IF($AQ232=1,SUMPRODUCT(--($AU$2:$AU$1501&lt;$AU232))+1,"")</f>
        <v/>
      </c>
      <c r="AS232">
        <f>IF($E232="","",IF(OR($U232=TRUE(),$U232="TRUE"),1,0))</f>
        <v/>
      </c>
      <c r="AT232">
        <f>IF($E232="","",IF($AC232="Yes",1,0))</f>
        <v/>
      </c>
      <c r="AU232">
        <f>IF($AQ232=1,IFERROR(IF(VALUE($E232)&lt;100000000,VALUE($E232),1000000000),IFERROR(IF(VALUE(MID($E232,2,20))&lt;100000000,VALUE(MID($E232,2,20)),1000000000),1000000000))+ROW()/100000,"")</f>
        <v/>
      </c>
    </row>
    <row r="233">
      <c r="G233" s="14" t="n"/>
      <c r="Q233" s="7">
        <f>IF($E233="","",P233*Z233/100)</f>
        <v/>
      </c>
      <c r="R233" s="7" t="n"/>
      <c r="Y233" s="7" t="n"/>
      <c r="Z233" s="7" t="n"/>
      <c r="AA233" s="7" t="n"/>
      <c r="AD233">
        <f>IF($E233="","",IF($AT233=1,Settings!$C$8,IF($AS233=1,Settings!$C$6,Settings!$C$7))*100)</f>
        <v/>
      </c>
      <c r="AE233" s="7">
        <f>IF($E233="","",Z233*AD233/100)</f>
        <v/>
      </c>
      <c r="AF233" s="7">
        <f>IF($E233="","",Z233-AE233)</f>
        <v/>
      </c>
      <c r="AG233" s="7">
        <f>IF($E233="","",AF233-Q233)</f>
        <v/>
      </c>
      <c r="AK233" s="7" t="n"/>
      <c r="AN233" s="14" t="n"/>
      <c r="AQ233">
        <f>IF($E233="","",IF(COUNTIF($E$2:$E233,$E233)=1,1,0))</f>
        <v/>
      </c>
      <c r="AR233">
        <f>IF($AQ233=1,SUMPRODUCT(--($AU$2:$AU$1501&lt;$AU233))+1,"")</f>
        <v/>
      </c>
      <c r="AS233">
        <f>IF($E233="","",IF(OR($U233=TRUE(),$U233="TRUE"),1,0))</f>
        <v/>
      </c>
      <c r="AT233">
        <f>IF($E233="","",IF($AC233="Yes",1,0))</f>
        <v/>
      </c>
      <c r="AU233">
        <f>IF($AQ233=1,IFERROR(IF(VALUE($E233)&lt;100000000,VALUE($E233),1000000000),IFERROR(IF(VALUE(MID($E233,2,20))&lt;100000000,VALUE(MID($E233,2,20)),1000000000),1000000000))+ROW()/100000,"")</f>
        <v/>
      </c>
    </row>
    <row r="234">
      <c r="G234" s="14" t="n"/>
      <c r="Q234" s="7">
        <f>IF($E234="","",P234*Z234/100)</f>
        <v/>
      </c>
      <c r="R234" s="7" t="n"/>
      <c r="Y234" s="7" t="n"/>
      <c r="Z234" s="7" t="n"/>
      <c r="AA234" s="7" t="n"/>
      <c r="AD234">
        <f>IF($E234="","",IF($AT234=1,Settings!$C$8,IF($AS234=1,Settings!$C$6,Settings!$C$7))*100)</f>
        <v/>
      </c>
      <c r="AE234" s="7">
        <f>IF($E234="","",Z234*AD234/100)</f>
        <v/>
      </c>
      <c r="AF234" s="7">
        <f>IF($E234="","",Z234-AE234)</f>
        <v/>
      </c>
      <c r="AG234" s="7">
        <f>IF($E234="","",AF234-Q234)</f>
        <v/>
      </c>
      <c r="AK234" s="7" t="n"/>
      <c r="AN234" s="14" t="n"/>
      <c r="AQ234">
        <f>IF($E234="","",IF(COUNTIF($E$2:$E234,$E234)=1,1,0))</f>
        <v/>
      </c>
      <c r="AR234">
        <f>IF($AQ234=1,SUMPRODUCT(--($AU$2:$AU$1501&lt;$AU234))+1,"")</f>
        <v/>
      </c>
      <c r="AS234">
        <f>IF($E234="","",IF(OR($U234=TRUE(),$U234="TRUE"),1,0))</f>
        <v/>
      </c>
      <c r="AT234">
        <f>IF($E234="","",IF($AC234="Yes",1,0))</f>
        <v/>
      </c>
      <c r="AU234">
        <f>IF($AQ234=1,IFERROR(IF(VALUE($E234)&lt;100000000,VALUE($E234),1000000000),IFERROR(IF(VALUE(MID($E234,2,20))&lt;100000000,VALUE(MID($E234,2,20)),1000000000),1000000000))+ROW()/100000,"")</f>
        <v/>
      </c>
    </row>
    <row r="235">
      <c r="G235" s="14" t="n"/>
      <c r="Q235" s="7">
        <f>IF($E235="","",P235*Z235/100)</f>
        <v/>
      </c>
      <c r="R235" s="7" t="n"/>
      <c r="Y235" s="7" t="n"/>
      <c r="Z235" s="7" t="n"/>
      <c r="AA235" s="7" t="n"/>
      <c r="AD235">
        <f>IF($E235="","",IF($AT235=1,Settings!$C$8,IF($AS235=1,Settings!$C$6,Settings!$C$7))*100)</f>
        <v/>
      </c>
      <c r="AE235" s="7">
        <f>IF($E235="","",Z235*AD235/100)</f>
        <v/>
      </c>
      <c r="AF235" s="7">
        <f>IF($E235="","",Z235-AE235)</f>
        <v/>
      </c>
      <c r="AG235" s="7">
        <f>IF($E235="","",AF235-Q235)</f>
        <v/>
      </c>
      <c r="AK235" s="7" t="n"/>
      <c r="AN235" s="14" t="n"/>
      <c r="AQ235">
        <f>IF($E235="","",IF(COUNTIF($E$2:$E235,$E235)=1,1,0))</f>
        <v/>
      </c>
      <c r="AR235">
        <f>IF($AQ235=1,SUMPRODUCT(--($AU$2:$AU$1501&lt;$AU235))+1,"")</f>
        <v/>
      </c>
      <c r="AS235">
        <f>IF($E235="","",IF(OR($U235=TRUE(),$U235="TRUE"),1,0))</f>
        <v/>
      </c>
      <c r="AT235">
        <f>IF($E235="","",IF($AC235="Yes",1,0))</f>
        <v/>
      </c>
      <c r="AU235">
        <f>IF($AQ235=1,IFERROR(IF(VALUE($E235)&lt;100000000,VALUE($E235),1000000000),IFERROR(IF(VALUE(MID($E235,2,20))&lt;100000000,VALUE(MID($E235,2,20)),1000000000),1000000000))+ROW()/100000,"")</f>
        <v/>
      </c>
    </row>
    <row r="236">
      <c r="G236" s="14" t="n"/>
      <c r="Q236" s="7">
        <f>IF($E236="","",P236*Z236/100)</f>
        <v/>
      </c>
      <c r="R236" s="7" t="n"/>
      <c r="Y236" s="7" t="n"/>
      <c r="Z236" s="7" t="n"/>
      <c r="AA236" s="7" t="n"/>
      <c r="AD236">
        <f>IF($E236="","",IF($AT236=1,Settings!$C$8,IF($AS236=1,Settings!$C$6,Settings!$C$7))*100)</f>
        <v/>
      </c>
      <c r="AE236" s="7">
        <f>IF($E236="","",Z236*AD236/100)</f>
        <v/>
      </c>
      <c r="AF236" s="7">
        <f>IF($E236="","",Z236-AE236)</f>
        <v/>
      </c>
      <c r="AG236" s="7">
        <f>IF($E236="","",AF236-Q236)</f>
        <v/>
      </c>
      <c r="AK236" s="7" t="n"/>
      <c r="AN236" s="14" t="n"/>
      <c r="AQ236">
        <f>IF($E236="","",IF(COUNTIF($E$2:$E236,$E236)=1,1,0))</f>
        <v/>
      </c>
      <c r="AR236">
        <f>IF($AQ236=1,SUMPRODUCT(--($AU$2:$AU$1501&lt;$AU236))+1,"")</f>
        <v/>
      </c>
      <c r="AS236">
        <f>IF($E236="","",IF(OR($U236=TRUE(),$U236="TRUE"),1,0))</f>
        <v/>
      </c>
      <c r="AT236">
        <f>IF($E236="","",IF($AC236="Yes",1,0))</f>
        <v/>
      </c>
      <c r="AU236">
        <f>IF($AQ236=1,IFERROR(IF(VALUE($E236)&lt;100000000,VALUE($E236),1000000000),IFERROR(IF(VALUE(MID($E236,2,20))&lt;100000000,VALUE(MID($E236,2,20)),1000000000),1000000000))+ROW()/100000,"")</f>
        <v/>
      </c>
    </row>
    <row r="237">
      <c r="G237" s="14" t="n"/>
      <c r="Q237" s="7">
        <f>IF($E237="","",P237*Z237/100)</f>
        <v/>
      </c>
      <c r="R237" s="7" t="n"/>
      <c r="Y237" s="7" t="n"/>
      <c r="Z237" s="7" t="n"/>
      <c r="AA237" s="7" t="n"/>
      <c r="AD237">
        <f>IF($E237="","",IF($AT237=1,Settings!$C$8,IF($AS237=1,Settings!$C$6,Settings!$C$7))*100)</f>
        <v/>
      </c>
      <c r="AE237" s="7">
        <f>IF($E237="","",Z237*AD237/100)</f>
        <v/>
      </c>
      <c r="AF237" s="7">
        <f>IF($E237="","",Z237-AE237)</f>
        <v/>
      </c>
      <c r="AG237" s="7">
        <f>IF($E237="","",AF237-Q237)</f>
        <v/>
      </c>
      <c r="AK237" s="7" t="n"/>
      <c r="AN237" s="14" t="n"/>
      <c r="AQ237">
        <f>IF($E237="","",IF(COUNTIF($E$2:$E237,$E237)=1,1,0))</f>
        <v/>
      </c>
      <c r="AR237">
        <f>IF($AQ237=1,SUMPRODUCT(--($AU$2:$AU$1501&lt;$AU237))+1,"")</f>
        <v/>
      </c>
      <c r="AS237">
        <f>IF($E237="","",IF(OR($U237=TRUE(),$U237="TRUE"),1,0))</f>
        <v/>
      </c>
      <c r="AT237">
        <f>IF($E237="","",IF($AC237="Yes",1,0))</f>
        <v/>
      </c>
      <c r="AU237">
        <f>IF($AQ237=1,IFERROR(IF(VALUE($E237)&lt;100000000,VALUE($E237),1000000000),IFERROR(IF(VALUE(MID($E237,2,20))&lt;100000000,VALUE(MID($E237,2,20)),1000000000),1000000000))+ROW()/100000,"")</f>
        <v/>
      </c>
    </row>
    <row r="238">
      <c r="G238" s="14" t="n"/>
      <c r="Q238" s="7">
        <f>IF($E238="","",P238*Z238/100)</f>
        <v/>
      </c>
      <c r="R238" s="7" t="n"/>
      <c r="Y238" s="7" t="n"/>
      <c r="Z238" s="7" t="n"/>
      <c r="AA238" s="7" t="n"/>
      <c r="AD238">
        <f>IF($E238="","",IF($AT238=1,Settings!$C$8,IF($AS238=1,Settings!$C$6,Settings!$C$7))*100)</f>
        <v/>
      </c>
      <c r="AE238" s="7">
        <f>IF($E238="","",Z238*AD238/100)</f>
        <v/>
      </c>
      <c r="AF238" s="7">
        <f>IF($E238="","",Z238-AE238)</f>
        <v/>
      </c>
      <c r="AG238" s="7">
        <f>IF($E238="","",AF238-Q238)</f>
        <v/>
      </c>
      <c r="AK238" s="7" t="n"/>
      <c r="AN238" s="14" t="n"/>
      <c r="AQ238">
        <f>IF($E238="","",IF(COUNTIF($E$2:$E238,$E238)=1,1,0))</f>
        <v/>
      </c>
      <c r="AR238">
        <f>IF($AQ238=1,SUMPRODUCT(--($AU$2:$AU$1501&lt;$AU238))+1,"")</f>
        <v/>
      </c>
      <c r="AS238">
        <f>IF($E238="","",IF(OR($U238=TRUE(),$U238="TRUE"),1,0))</f>
        <v/>
      </c>
      <c r="AT238">
        <f>IF($E238="","",IF($AC238="Yes",1,0))</f>
        <v/>
      </c>
      <c r="AU238">
        <f>IF($AQ238=1,IFERROR(IF(VALUE($E238)&lt;100000000,VALUE($E238),1000000000),IFERROR(IF(VALUE(MID($E238,2,20))&lt;100000000,VALUE(MID($E238,2,20)),1000000000),1000000000))+ROW()/100000,"")</f>
        <v/>
      </c>
    </row>
    <row r="239">
      <c r="G239" s="14" t="n"/>
      <c r="Q239" s="7">
        <f>IF($E239="","",P239*Z239/100)</f>
        <v/>
      </c>
      <c r="R239" s="7" t="n"/>
      <c r="Y239" s="7" t="n"/>
      <c r="Z239" s="7" t="n"/>
      <c r="AA239" s="7" t="n"/>
      <c r="AD239">
        <f>IF($E239="","",IF($AT239=1,Settings!$C$8,IF($AS239=1,Settings!$C$6,Settings!$C$7))*100)</f>
        <v/>
      </c>
      <c r="AE239" s="7">
        <f>IF($E239="","",Z239*AD239/100)</f>
        <v/>
      </c>
      <c r="AF239" s="7">
        <f>IF($E239="","",Z239-AE239)</f>
        <v/>
      </c>
      <c r="AG239" s="7">
        <f>IF($E239="","",AF239-Q239)</f>
        <v/>
      </c>
      <c r="AK239" s="7" t="n"/>
      <c r="AN239" s="14" t="n"/>
      <c r="AQ239">
        <f>IF($E239="","",IF(COUNTIF($E$2:$E239,$E239)=1,1,0))</f>
        <v/>
      </c>
      <c r="AR239">
        <f>IF($AQ239=1,SUMPRODUCT(--($AU$2:$AU$1501&lt;$AU239))+1,"")</f>
        <v/>
      </c>
      <c r="AS239">
        <f>IF($E239="","",IF(OR($U239=TRUE(),$U239="TRUE"),1,0))</f>
        <v/>
      </c>
      <c r="AT239">
        <f>IF($E239="","",IF($AC239="Yes",1,0))</f>
        <v/>
      </c>
      <c r="AU239">
        <f>IF($AQ239=1,IFERROR(IF(VALUE($E239)&lt;100000000,VALUE($E239),1000000000),IFERROR(IF(VALUE(MID($E239,2,20))&lt;100000000,VALUE(MID($E239,2,20)),1000000000),1000000000))+ROW()/100000,"")</f>
        <v/>
      </c>
    </row>
    <row r="240">
      <c r="G240" s="14" t="n"/>
      <c r="Q240" s="7">
        <f>IF($E240="","",P240*Z240/100)</f>
        <v/>
      </c>
      <c r="R240" s="7" t="n"/>
      <c r="Y240" s="7" t="n"/>
      <c r="Z240" s="7" t="n"/>
      <c r="AA240" s="7" t="n"/>
      <c r="AD240">
        <f>IF($E240="","",IF($AT240=1,Settings!$C$8,IF($AS240=1,Settings!$C$6,Settings!$C$7))*100)</f>
        <v/>
      </c>
      <c r="AE240" s="7">
        <f>IF($E240="","",Z240*AD240/100)</f>
        <v/>
      </c>
      <c r="AF240" s="7">
        <f>IF($E240="","",Z240-AE240)</f>
        <v/>
      </c>
      <c r="AG240" s="7">
        <f>IF($E240="","",AF240-Q240)</f>
        <v/>
      </c>
      <c r="AK240" s="7" t="n"/>
      <c r="AN240" s="14" t="n"/>
      <c r="AQ240">
        <f>IF($E240="","",IF(COUNTIF($E$2:$E240,$E240)=1,1,0))</f>
        <v/>
      </c>
      <c r="AR240">
        <f>IF($AQ240=1,SUMPRODUCT(--($AU$2:$AU$1501&lt;$AU240))+1,"")</f>
        <v/>
      </c>
      <c r="AS240">
        <f>IF($E240="","",IF(OR($U240=TRUE(),$U240="TRUE"),1,0))</f>
        <v/>
      </c>
      <c r="AT240">
        <f>IF($E240="","",IF($AC240="Yes",1,0))</f>
        <v/>
      </c>
      <c r="AU240">
        <f>IF($AQ240=1,IFERROR(IF(VALUE($E240)&lt;100000000,VALUE($E240),1000000000),IFERROR(IF(VALUE(MID($E240,2,20))&lt;100000000,VALUE(MID($E240,2,20)),1000000000),1000000000))+ROW()/100000,"")</f>
        <v/>
      </c>
    </row>
    <row r="241">
      <c r="G241" s="14" t="n"/>
      <c r="Q241" s="7">
        <f>IF($E241="","",P241*Z241/100)</f>
        <v/>
      </c>
      <c r="R241" s="7" t="n"/>
      <c r="Y241" s="7" t="n"/>
      <c r="Z241" s="7" t="n"/>
      <c r="AA241" s="7" t="n"/>
      <c r="AD241">
        <f>IF($E241="","",IF($AT241=1,Settings!$C$8,IF($AS241=1,Settings!$C$6,Settings!$C$7))*100)</f>
        <v/>
      </c>
      <c r="AE241" s="7">
        <f>IF($E241="","",Z241*AD241/100)</f>
        <v/>
      </c>
      <c r="AF241" s="7">
        <f>IF($E241="","",Z241-AE241)</f>
        <v/>
      </c>
      <c r="AG241" s="7">
        <f>IF($E241="","",AF241-Q241)</f>
        <v/>
      </c>
      <c r="AK241" s="7" t="n"/>
      <c r="AN241" s="14" t="n"/>
      <c r="AQ241">
        <f>IF($E241="","",IF(COUNTIF($E$2:$E241,$E241)=1,1,0))</f>
        <v/>
      </c>
      <c r="AR241">
        <f>IF($AQ241=1,SUMPRODUCT(--($AU$2:$AU$1501&lt;$AU241))+1,"")</f>
        <v/>
      </c>
      <c r="AS241">
        <f>IF($E241="","",IF(OR($U241=TRUE(),$U241="TRUE"),1,0))</f>
        <v/>
      </c>
      <c r="AT241">
        <f>IF($E241="","",IF($AC241="Yes",1,0))</f>
        <v/>
      </c>
      <c r="AU241">
        <f>IF($AQ241=1,IFERROR(IF(VALUE($E241)&lt;100000000,VALUE($E241),1000000000),IFERROR(IF(VALUE(MID($E241,2,20))&lt;100000000,VALUE(MID($E241,2,20)),1000000000),1000000000))+ROW()/100000,"")</f>
        <v/>
      </c>
    </row>
    <row r="242">
      <c r="G242" s="14" t="n"/>
      <c r="Q242" s="7">
        <f>IF($E242="","",P242*Z242/100)</f>
        <v/>
      </c>
      <c r="R242" s="7" t="n"/>
      <c r="Y242" s="7" t="n"/>
      <c r="Z242" s="7" t="n"/>
      <c r="AA242" s="7" t="n"/>
      <c r="AD242">
        <f>IF($E242="","",IF($AT242=1,Settings!$C$8,IF($AS242=1,Settings!$C$6,Settings!$C$7))*100)</f>
        <v/>
      </c>
      <c r="AE242" s="7">
        <f>IF($E242="","",Z242*AD242/100)</f>
        <v/>
      </c>
      <c r="AF242" s="7">
        <f>IF($E242="","",Z242-AE242)</f>
        <v/>
      </c>
      <c r="AG242" s="7">
        <f>IF($E242="","",AF242-Q242)</f>
        <v/>
      </c>
      <c r="AK242" s="7" t="n"/>
      <c r="AN242" s="14" t="n"/>
      <c r="AQ242">
        <f>IF($E242="","",IF(COUNTIF($E$2:$E242,$E242)=1,1,0))</f>
        <v/>
      </c>
      <c r="AR242">
        <f>IF($AQ242=1,SUMPRODUCT(--($AU$2:$AU$1501&lt;$AU242))+1,"")</f>
        <v/>
      </c>
      <c r="AS242">
        <f>IF($E242="","",IF(OR($U242=TRUE(),$U242="TRUE"),1,0))</f>
        <v/>
      </c>
      <c r="AT242">
        <f>IF($E242="","",IF($AC242="Yes",1,0))</f>
        <v/>
      </c>
      <c r="AU242">
        <f>IF($AQ242=1,IFERROR(IF(VALUE($E242)&lt;100000000,VALUE($E242),1000000000),IFERROR(IF(VALUE(MID($E242,2,20))&lt;100000000,VALUE(MID($E242,2,20)),1000000000),1000000000))+ROW()/100000,"")</f>
        <v/>
      </c>
    </row>
    <row r="243">
      <c r="G243" s="14" t="n"/>
      <c r="Q243" s="7">
        <f>IF($E243="","",P243*Z243/100)</f>
        <v/>
      </c>
      <c r="R243" s="7" t="n"/>
      <c r="Y243" s="7" t="n"/>
      <c r="Z243" s="7" t="n"/>
      <c r="AA243" s="7" t="n"/>
      <c r="AD243">
        <f>IF($E243="","",IF($AT243=1,Settings!$C$8,IF($AS243=1,Settings!$C$6,Settings!$C$7))*100)</f>
        <v/>
      </c>
      <c r="AE243" s="7">
        <f>IF($E243="","",Z243*AD243/100)</f>
        <v/>
      </c>
      <c r="AF243" s="7">
        <f>IF($E243="","",Z243-AE243)</f>
        <v/>
      </c>
      <c r="AG243" s="7">
        <f>IF($E243="","",AF243-Q243)</f>
        <v/>
      </c>
      <c r="AK243" s="7" t="n"/>
      <c r="AN243" s="14" t="n"/>
      <c r="AQ243">
        <f>IF($E243="","",IF(COUNTIF($E$2:$E243,$E243)=1,1,0))</f>
        <v/>
      </c>
      <c r="AR243">
        <f>IF($AQ243=1,SUMPRODUCT(--($AU$2:$AU$1501&lt;$AU243))+1,"")</f>
        <v/>
      </c>
      <c r="AS243">
        <f>IF($E243="","",IF(OR($U243=TRUE(),$U243="TRUE"),1,0))</f>
        <v/>
      </c>
      <c r="AT243">
        <f>IF($E243="","",IF($AC243="Yes",1,0))</f>
        <v/>
      </c>
      <c r="AU243">
        <f>IF($AQ243=1,IFERROR(IF(VALUE($E243)&lt;100000000,VALUE($E243),1000000000),IFERROR(IF(VALUE(MID($E243,2,20))&lt;100000000,VALUE(MID($E243,2,20)),1000000000),1000000000))+ROW()/100000,"")</f>
        <v/>
      </c>
    </row>
    <row r="244">
      <c r="G244" s="14" t="n"/>
      <c r="Q244" s="7">
        <f>IF($E244="","",P244*Z244/100)</f>
        <v/>
      </c>
      <c r="R244" s="7" t="n"/>
      <c r="Y244" s="7" t="n"/>
      <c r="Z244" s="7" t="n"/>
      <c r="AA244" s="7" t="n"/>
      <c r="AD244">
        <f>IF($E244="","",IF($AT244=1,Settings!$C$8,IF($AS244=1,Settings!$C$6,Settings!$C$7))*100)</f>
        <v/>
      </c>
      <c r="AE244" s="7">
        <f>IF($E244="","",Z244*AD244/100)</f>
        <v/>
      </c>
      <c r="AF244" s="7">
        <f>IF($E244="","",Z244-AE244)</f>
        <v/>
      </c>
      <c r="AG244" s="7">
        <f>IF($E244="","",AF244-Q244)</f>
        <v/>
      </c>
      <c r="AK244" s="7" t="n"/>
      <c r="AN244" s="14" t="n"/>
      <c r="AQ244">
        <f>IF($E244="","",IF(COUNTIF($E$2:$E244,$E244)=1,1,0))</f>
        <v/>
      </c>
      <c r="AR244">
        <f>IF($AQ244=1,SUMPRODUCT(--($AU$2:$AU$1501&lt;$AU244))+1,"")</f>
        <v/>
      </c>
      <c r="AS244">
        <f>IF($E244="","",IF(OR($U244=TRUE(),$U244="TRUE"),1,0))</f>
        <v/>
      </c>
      <c r="AT244">
        <f>IF($E244="","",IF($AC244="Yes",1,0))</f>
        <v/>
      </c>
      <c r="AU244">
        <f>IF($AQ244=1,IFERROR(IF(VALUE($E244)&lt;100000000,VALUE($E244),1000000000),IFERROR(IF(VALUE(MID($E244,2,20))&lt;100000000,VALUE(MID($E244,2,20)),1000000000),1000000000))+ROW()/100000,"")</f>
        <v/>
      </c>
    </row>
    <row r="245">
      <c r="G245" s="14" t="n"/>
      <c r="Q245" s="7">
        <f>IF($E245="","",P245*Z245/100)</f>
        <v/>
      </c>
      <c r="R245" s="7" t="n"/>
      <c r="Y245" s="7" t="n"/>
      <c r="Z245" s="7" t="n"/>
      <c r="AA245" s="7" t="n"/>
      <c r="AD245">
        <f>IF($E245="","",IF($AT245=1,Settings!$C$8,IF($AS245=1,Settings!$C$6,Settings!$C$7))*100)</f>
        <v/>
      </c>
      <c r="AE245" s="7">
        <f>IF($E245="","",Z245*AD245/100)</f>
        <v/>
      </c>
      <c r="AF245" s="7">
        <f>IF($E245="","",Z245-AE245)</f>
        <v/>
      </c>
      <c r="AG245" s="7">
        <f>IF($E245="","",AF245-Q245)</f>
        <v/>
      </c>
      <c r="AK245" s="7" t="n"/>
      <c r="AN245" s="14" t="n"/>
      <c r="AQ245">
        <f>IF($E245="","",IF(COUNTIF($E$2:$E245,$E245)=1,1,0))</f>
        <v/>
      </c>
      <c r="AR245">
        <f>IF($AQ245=1,SUMPRODUCT(--($AU$2:$AU$1501&lt;$AU245))+1,"")</f>
        <v/>
      </c>
      <c r="AS245">
        <f>IF($E245="","",IF(OR($U245=TRUE(),$U245="TRUE"),1,0))</f>
        <v/>
      </c>
      <c r="AT245">
        <f>IF($E245="","",IF($AC245="Yes",1,0))</f>
        <v/>
      </c>
      <c r="AU245">
        <f>IF($AQ245=1,IFERROR(IF(VALUE($E245)&lt;100000000,VALUE($E245),1000000000),IFERROR(IF(VALUE(MID($E245,2,20))&lt;100000000,VALUE(MID($E245,2,20)),1000000000),1000000000))+ROW()/100000,"")</f>
        <v/>
      </c>
    </row>
    <row r="246">
      <c r="G246" s="14" t="n"/>
      <c r="Q246" s="7">
        <f>IF($E246="","",P246*Z246/100)</f>
        <v/>
      </c>
      <c r="R246" s="7" t="n"/>
      <c r="Y246" s="7" t="n"/>
      <c r="Z246" s="7" t="n"/>
      <c r="AA246" s="7" t="n"/>
      <c r="AD246">
        <f>IF($E246="","",IF($AT246=1,Settings!$C$8,IF($AS246=1,Settings!$C$6,Settings!$C$7))*100)</f>
        <v/>
      </c>
      <c r="AE246" s="7">
        <f>IF($E246="","",Z246*AD246/100)</f>
        <v/>
      </c>
      <c r="AF246" s="7">
        <f>IF($E246="","",Z246-AE246)</f>
        <v/>
      </c>
      <c r="AG246" s="7">
        <f>IF($E246="","",AF246-Q246)</f>
        <v/>
      </c>
      <c r="AK246" s="7" t="n"/>
      <c r="AN246" s="14" t="n"/>
      <c r="AQ246">
        <f>IF($E246="","",IF(COUNTIF($E$2:$E246,$E246)=1,1,0))</f>
        <v/>
      </c>
      <c r="AR246">
        <f>IF($AQ246=1,SUMPRODUCT(--($AU$2:$AU$1501&lt;$AU246))+1,"")</f>
        <v/>
      </c>
      <c r="AS246">
        <f>IF($E246="","",IF(OR($U246=TRUE(),$U246="TRUE"),1,0))</f>
        <v/>
      </c>
      <c r="AT246">
        <f>IF($E246="","",IF($AC246="Yes",1,0))</f>
        <v/>
      </c>
      <c r="AU246">
        <f>IF($AQ246=1,IFERROR(IF(VALUE($E246)&lt;100000000,VALUE($E246),1000000000),IFERROR(IF(VALUE(MID($E246,2,20))&lt;100000000,VALUE(MID($E246,2,20)),1000000000),1000000000))+ROW()/100000,"")</f>
        <v/>
      </c>
    </row>
    <row r="247">
      <c r="G247" s="14" t="n"/>
      <c r="Q247" s="7">
        <f>IF($E247="","",P247*Z247/100)</f>
        <v/>
      </c>
      <c r="R247" s="7" t="n"/>
      <c r="Y247" s="7" t="n"/>
      <c r="Z247" s="7" t="n"/>
      <c r="AA247" s="7" t="n"/>
      <c r="AD247">
        <f>IF($E247="","",IF($AT247=1,Settings!$C$8,IF($AS247=1,Settings!$C$6,Settings!$C$7))*100)</f>
        <v/>
      </c>
      <c r="AE247" s="7">
        <f>IF($E247="","",Z247*AD247/100)</f>
        <v/>
      </c>
      <c r="AF247" s="7">
        <f>IF($E247="","",Z247-AE247)</f>
        <v/>
      </c>
      <c r="AG247" s="7">
        <f>IF($E247="","",AF247-Q247)</f>
        <v/>
      </c>
      <c r="AK247" s="7" t="n"/>
      <c r="AN247" s="14" t="n"/>
      <c r="AQ247">
        <f>IF($E247="","",IF(COUNTIF($E$2:$E247,$E247)=1,1,0))</f>
        <v/>
      </c>
      <c r="AR247">
        <f>IF($AQ247=1,SUMPRODUCT(--($AU$2:$AU$1501&lt;$AU247))+1,"")</f>
        <v/>
      </c>
      <c r="AS247">
        <f>IF($E247="","",IF(OR($U247=TRUE(),$U247="TRUE"),1,0))</f>
        <v/>
      </c>
      <c r="AT247">
        <f>IF($E247="","",IF($AC247="Yes",1,0))</f>
        <v/>
      </c>
      <c r="AU247">
        <f>IF($AQ247=1,IFERROR(IF(VALUE($E247)&lt;100000000,VALUE($E247),1000000000),IFERROR(IF(VALUE(MID($E247,2,20))&lt;100000000,VALUE(MID($E247,2,20)),1000000000),1000000000))+ROW()/100000,"")</f>
        <v/>
      </c>
    </row>
    <row r="248">
      <c r="G248" s="14" t="n"/>
      <c r="Q248" s="7">
        <f>IF($E248="","",P248*Z248/100)</f>
        <v/>
      </c>
      <c r="R248" s="7" t="n"/>
      <c r="Y248" s="7" t="n"/>
      <c r="Z248" s="7" t="n"/>
      <c r="AA248" s="7" t="n"/>
      <c r="AD248">
        <f>IF($E248="","",IF($AT248=1,Settings!$C$8,IF($AS248=1,Settings!$C$6,Settings!$C$7))*100)</f>
        <v/>
      </c>
      <c r="AE248" s="7">
        <f>IF($E248="","",Z248*AD248/100)</f>
        <v/>
      </c>
      <c r="AF248" s="7">
        <f>IF($E248="","",Z248-AE248)</f>
        <v/>
      </c>
      <c r="AG248" s="7">
        <f>IF($E248="","",AF248-Q248)</f>
        <v/>
      </c>
      <c r="AK248" s="7" t="n"/>
      <c r="AN248" s="14" t="n"/>
      <c r="AQ248">
        <f>IF($E248="","",IF(COUNTIF($E$2:$E248,$E248)=1,1,0))</f>
        <v/>
      </c>
      <c r="AR248">
        <f>IF($AQ248=1,SUMPRODUCT(--($AU$2:$AU$1501&lt;$AU248))+1,"")</f>
        <v/>
      </c>
      <c r="AS248">
        <f>IF($E248="","",IF(OR($U248=TRUE(),$U248="TRUE"),1,0))</f>
        <v/>
      </c>
      <c r="AT248">
        <f>IF($E248="","",IF($AC248="Yes",1,0))</f>
        <v/>
      </c>
      <c r="AU248">
        <f>IF($AQ248=1,IFERROR(IF(VALUE($E248)&lt;100000000,VALUE($E248),1000000000),IFERROR(IF(VALUE(MID($E248,2,20))&lt;100000000,VALUE(MID($E248,2,20)),1000000000),1000000000))+ROW()/100000,"")</f>
        <v/>
      </c>
    </row>
    <row r="249">
      <c r="G249" s="14" t="n"/>
      <c r="Q249" s="7">
        <f>IF($E249="","",P249*Z249/100)</f>
        <v/>
      </c>
      <c r="R249" s="7" t="n"/>
      <c r="Y249" s="7" t="n"/>
      <c r="Z249" s="7" t="n"/>
      <c r="AA249" s="7" t="n"/>
      <c r="AD249">
        <f>IF($E249="","",IF($AT249=1,Settings!$C$8,IF($AS249=1,Settings!$C$6,Settings!$C$7))*100)</f>
        <v/>
      </c>
      <c r="AE249" s="7">
        <f>IF($E249="","",Z249*AD249/100)</f>
        <v/>
      </c>
      <c r="AF249" s="7">
        <f>IF($E249="","",Z249-AE249)</f>
        <v/>
      </c>
      <c r="AG249" s="7">
        <f>IF($E249="","",AF249-Q249)</f>
        <v/>
      </c>
      <c r="AK249" s="7" t="n"/>
      <c r="AN249" s="14" t="n"/>
      <c r="AQ249">
        <f>IF($E249="","",IF(COUNTIF($E$2:$E249,$E249)=1,1,0))</f>
        <v/>
      </c>
      <c r="AR249">
        <f>IF($AQ249=1,SUMPRODUCT(--($AU$2:$AU$1501&lt;$AU249))+1,"")</f>
        <v/>
      </c>
      <c r="AS249">
        <f>IF($E249="","",IF(OR($U249=TRUE(),$U249="TRUE"),1,0))</f>
        <v/>
      </c>
      <c r="AT249">
        <f>IF($E249="","",IF($AC249="Yes",1,0))</f>
        <v/>
      </c>
      <c r="AU249">
        <f>IF($AQ249=1,IFERROR(IF(VALUE($E249)&lt;100000000,VALUE($E249),1000000000),IFERROR(IF(VALUE(MID($E249,2,20))&lt;100000000,VALUE(MID($E249,2,20)),1000000000),1000000000))+ROW()/100000,"")</f>
        <v/>
      </c>
    </row>
    <row r="250">
      <c r="G250" s="14" t="n"/>
      <c r="Q250" s="7">
        <f>IF($E250="","",P250*Z250/100)</f>
        <v/>
      </c>
      <c r="R250" s="7" t="n"/>
      <c r="Y250" s="7" t="n"/>
      <c r="Z250" s="7" t="n"/>
      <c r="AA250" s="7" t="n"/>
      <c r="AD250">
        <f>IF($E250="","",IF($AT250=1,Settings!$C$8,IF($AS250=1,Settings!$C$6,Settings!$C$7))*100)</f>
        <v/>
      </c>
      <c r="AE250" s="7">
        <f>IF($E250="","",Z250*AD250/100)</f>
        <v/>
      </c>
      <c r="AF250" s="7">
        <f>IF($E250="","",Z250-AE250)</f>
        <v/>
      </c>
      <c r="AG250" s="7">
        <f>IF($E250="","",AF250-Q250)</f>
        <v/>
      </c>
      <c r="AK250" s="7" t="n"/>
      <c r="AN250" s="14" t="n"/>
      <c r="AQ250">
        <f>IF($E250="","",IF(COUNTIF($E$2:$E250,$E250)=1,1,0))</f>
        <v/>
      </c>
      <c r="AR250">
        <f>IF($AQ250=1,SUMPRODUCT(--($AU$2:$AU$1501&lt;$AU250))+1,"")</f>
        <v/>
      </c>
      <c r="AS250">
        <f>IF($E250="","",IF(OR($U250=TRUE(),$U250="TRUE"),1,0))</f>
        <v/>
      </c>
      <c r="AT250">
        <f>IF($E250="","",IF($AC250="Yes",1,0))</f>
        <v/>
      </c>
      <c r="AU250">
        <f>IF($AQ250=1,IFERROR(IF(VALUE($E250)&lt;100000000,VALUE($E250),1000000000),IFERROR(IF(VALUE(MID($E250,2,20))&lt;100000000,VALUE(MID($E250,2,20)),1000000000),1000000000))+ROW()/100000,"")</f>
        <v/>
      </c>
    </row>
    <row r="251">
      <c r="G251" s="14" t="n"/>
      <c r="Q251" s="7">
        <f>IF($E251="","",P251*Z251/100)</f>
        <v/>
      </c>
      <c r="R251" s="7" t="n"/>
      <c r="Y251" s="7" t="n"/>
      <c r="Z251" s="7" t="n"/>
      <c r="AA251" s="7" t="n"/>
      <c r="AD251">
        <f>IF($E251="","",IF($AT251=1,Settings!$C$8,IF($AS251=1,Settings!$C$6,Settings!$C$7))*100)</f>
        <v/>
      </c>
      <c r="AE251" s="7">
        <f>IF($E251="","",Z251*AD251/100)</f>
        <v/>
      </c>
      <c r="AF251" s="7">
        <f>IF($E251="","",Z251-AE251)</f>
        <v/>
      </c>
      <c r="AG251" s="7">
        <f>IF($E251="","",AF251-Q251)</f>
        <v/>
      </c>
      <c r="AK251" s="7" t="n"/>
      <c r="AN251" s="14" t="n"/>
      <c r="AQ251">
        <f>IF($E251="","",IF(COUNTIF($E$2:$E251,$E251)=1,1,0))</f>
        <v/>
      </c>
      <c r="AR251">
        <f>IF($AQ251=1,SUMPRODUCT(--($AU$2:$AU$1501&lt;$AU251))+1,"")</f>
        <v/>
      </c>
      <c r="AS251">
        <f>IF($E251="","",IF(OR($U251=TRUE(),$U251="TRUE"),1,0))</f>
        <v/>
      </c>
      <c r="AT251">
        <f>IF($E251="","",IF($AC251="Yes",1,0))</f>
        <v/>
      </c>
      <c r="AU251">
        <f>IF($AQ251=1,IFERROR(IF(VALUE($E251)&lt;100000000,VALUE($E251),1000000000),IFERROR(IF(VALUE(MID($E251,2,20))&lt;100000000,VALUE(MID($E251,2,20)),1000000000),1000000000))+ROW()/100000,"")</f>
        <v/>
      </c>
    </row>
    <row r="252">
      <c r="G252" s="14" t="n"/>
      <c r="Q252" s="7">
        <f>IF($E252="","",P252*Z252/100)</f>
        <v/>
      </c>
      <c r="R252" s="7" t="n"/>
      <c r="Y252" s="7" t="n"/>
      <c r="Z252" s="7" t="n"/>
      <c r="AA252" s="7" t="n"/>
      <c r="AD252">
        <f>IF($E252="","",IF($AT252=1,Settings!$C$8,IF($AS252=1,Settings!$C$6,Settings!$C$7))*100)</f>
        <v/>
      </c>
      <c r="AE252" s="7">
        <f>IF($E252="","",Z252*AD252/100)</f>
        <v/>
      </c>
      <c r="AF252" s="7">
        <f>IF($E252="","",Z252-AE252)</f>
        <v/>
      </c>
      <c r="AG252" s="7">
        <f>IF($E252="","",AF252-Q252)</f>
        <v/>
      </c>
      <c r="AK252" s="7" t="n"/>
      <c r="AN252" s="14" t="n"/>
      <c r="AQ252">
        <f>IF($E252="","",IF(COUNTIF($E$2:$E252,$E252)=1,1,0))</f>
        <v/>
      </c>
      <c r="AR252">
        <f>IF($AQ252=1,SUMPRODUCT(--($AU$2:$AU$1501&lt;$AU252))+1,"")</f>
        <v/>
      </c>
      <c r="AS252">
        <f>IF($E252="","",IF(OR($U252=TRUE(),$U252="TRUE"),1,0))</f>
        <v/>
      </c>
      <c r="AT252">
        <f>IF($E252="","",IF($AC252="Yes",1,0))</f>
        <v/>
      </c>
      <c r="AU252">
        <f>IF($AQ252=1,IFERROR(IF(VALUE($E252)&lt;100000000,VALUE($E252),1000000000),IFERROR(IF(VALUE(MID($E252,2,20))&lt;100000000,VALUE(MID($E252,2,20)),1000000000),1000000000))+ROW()/100000,"")</f>
        <v/>
      </c>
    </row>
    <row r="253">
      <c r="G253" s="14" t="n"/>
      <c r="Q253" s="7">
        <f>IF($E253="","",P253*Z253/100)</f>
        <v/>
      </c>
      <c r="R253" s="7" t="n"/>
      <c r="Y253" s="7" t="n"/>
      <c r="Z253" s="7" t="n"/>
      <c r="AA253" s="7" t="n"/>
      <c r="AD253">
        <f>IF($E253="","",IF($AT253=1,Settings!$C$8,IF($AS253=1,Settings!$C$6,Settings!$C$7))*100)</f>
        <v/>
      </c>
      <c r="AE253" s="7">
        <f>IF($E253="","",Z253*AD253/100)</f>
        <v/>
      </c>
      <c r="AF253" s="7">
        <f>IF($E253="","",Z253-AE253)</f>
        <v/>
      </c>
      <c r="AG253" s="7">
        <f>IF($E253="","",AF253-Q253)</f>
        <v/>
      </c>
      <c r="AK253" s="7" t="n"/>
      <c r="AN253" s="14" t="n"/>
      <c r="AQ253">
        <f>IF($E253="","",IF(COUNTIF($E$2:$E253,$E253)=1,1,0))</f>
        <v/>
      </c>
      <c r="AR253">
        <f>IF($AQ253=1,SUMPRODUCT(--($AU$2:$AU$1501&lt;$AU253))+1,"")</f>
        <v/>
      </c>
      <c r="AS253">
        <f>IF($E253="","",IF(OR($U253=TRUE(),$U253="TRUE"),1,0))</f>
        <v/>
      </c>
      <c r="AT253">
        <f>IF($E253="","",IF($AC253="Yes",1,0))</f>
        <v/>
      </c>
      <c r="AU253">
        <f>IF($AQ253=1,IFERROR(IF(VALUE($E253)&lt;100000000,VALUE($E253),1000000000),IFERROR(IF(VALUE(MID($E253,2,20))&lt;100000000,VALUE(MID($E253,2,20)),1000000000),1000000000))+ROW()/100000,"")</f>
        <v/>
      </c>
    </row>
    <row r="254">
      <c r="G254" s="14" t="n"/>
      <c r="Q254" s="7">
        <f>IF($E254="","",P254*Z254/100)</f>
        <v/>
      </c>
      <c r="R254" s="7" t="n"/>
      <c r="Y254" s="7" t="n"/>
      <c r="Z254" s="7" t="n"/>
      <c r="AA254" s="7" t="n"/>
      <c r="AD254">
        <f>IF($E254="","",IF($AT254=1,Settings!$C$8,IF($AS254=1,Settings!$C$6,Settings!$C$7))*100)</f>
        <v/>
      </c>
      <c r="AE254" s="7">
        <f>IF($E254="","",Z254*AD254/100)</f>
        <v/>
      </c>
      <c r="AF254" s="7">
        <f>IF($E254="","",Z254-AE254)</f>
        <v/>
      </c>
      <c r="AG254" s="7">
        <f>IF($E254="","",AF254-Q254)</f>
        <v/>
      </c>
      <c r="AK254" s="7" t="n"/>
      <c r="AN254" s="14" t="n"/>
      <c r="AQ254">
        <f>IF($E254="","",IF(COUNTIF($E$2:$E254,$E254)=1,1,0))</f>
        <v/>
      </c>
      <c r="AR254">
        <f>IF($AQ254=1,SUMPRODUCT(--($AU$2:$AU$1501&lt;$AU254))+1,"")</f>
        <v/>
      </c>
      <c r="AS254">
        <f>IF($E254="","",IF(OR($U254=TRUE(),$U254="TRUE"),1,0))</f>
        <v/>
      </c>
      <c r="AT254">
        <f>IF($E254="","",IF($AC254="Yes",1,0))</f>
        <v/>
      </c>
      <c r="AU254">
        <f>IF($AQ254=1,IFERROR(IF(VALUE($E254)&lt;100000000,VALUE($E254),1000000000),IFERROR(IF(VALUE(MID($E254,2,20))&lt;100000000,VALUE(MID($E254,2,20)),1000000000),1000000000))+ROW()/100000,"")</f>
        <v/>
      </c>
    </row>
    <row r="255">
      <c r="G255" s="14" t="n"/>
      <c r="Q255" s="7">
        <f>IF($E255="","",P255*Z255/100)</f>
        <v/>
      </c>
      <c r="R255" s="7" t="n"/>
      <c r="Y255" s="7" t="n"/>
      <c r="Z255" s="7" t="n"/>
      <c r="AA255" s="7" t="n"/>
      <c r="AD255">
        <f>IF($E255="","",IF($AT255=1,Settings!$C$8,IF($AS255=1,Settings!$C$6,Settings!$C$7))*100)</f>
        <v/>
      </c>
      <c r="AE255" s="7">
        <f>IF($E255="","",Z255*AD255/100)</f>
        <v/>
      </c>
      <c r="AF255" s="7">
        <f>IF($E255="","",Z255-AE255)</f>
        <v/>
      </c>
      <c r="AG255" s="7">
        <f>IF($E255="","",AF255-Q255)</f>
        <v/>
      </c>
      <c r="AK255" s="7" t="n"/>
      <c r="AN255" s="14" t="n"/>
      <c r="AQ255">
        <f>IF($E255="","",IF(COUNTIF($E$2:$E255,$E255)=1,1,0))</f>
        <v/>
      </c>
      <c r="AR255">
        <f>IF($AQ255=1,SUMPRODUCT(--($AU$2:$AU$1501&lt;$AU255))+1,"")</f>
        <v/>
      </c>
      <c r="AS255">
        <f>IF($E255="","",IF(OR($U255=TRUE(),$U255="TRUE"),1,0))</f>
        <v/>
      </c>
      <c r="AT255">
        <f>IF($E255="","",IF($AC255="Yes",1,0))</f>
        <v/>
      </c>
      <c r="AU255">
        <f>IF($AQ255=1,IFERROR(IF(VALUE($E255)&lt;100000000,VALUE($E255),1000000000),IFERROR(IF(VALUE(MID($E255,2,20))&lt;100000000,VALUE(MID($E255,2,20)),1000000000),1000000000))+ROW()/100000,"")</f>
        <v/>
      </c>
    </row>
    <row r="256">
      <c r="G256" s="14" t="n"/>
      <c r="Q256" s="7">
        <f>IF($E256="","",P256*Z256/100)</f>
        <v/>
      </c>
      <c r="R256" s="7" t="n"/>
      <c r="Y256" s="7" t="n"/>
      <c r="Z256" s="7" t="n"/>
      <c r="AA256" s="7" t="n"/>
      <c r="AD256">
        <f>IF($E256="","",IF($AT256=1,Settings!$C$8,IF($AS256=1,Settings!$C$6,Settings!$C$7))*100)</f>
        <v/>
      </c>
      <c r="AE256" s="7">
        <f>IF($E256="","",Z256*AD256/100)</f>
        <v/>
      </c>
      <c r="AF256" s="7">
        <f>IF($E256="","",Z256-AE256)</f>
        <v/>
      </c>
      <c r="AG256" s="7">
        <f>IF($E256="","",AF256-Q256)</f>
        <v/>
      </c>
      <c r="AK256" s="7" t="n"/>
      <c r="AN256" s="14" t="n"/>
      <c r="AQ256">
        <f>IF($E256="","",IF(COUNTIF($E$2:$E256,$E256)=1,1,0))</f>
        <v/>
      </c>
      <c r="AR256">
        <f>IF($AQ256=1,SUMPRODUCT(--($AU$2:$AU$1501&lt;$AU256))+1,"")</f>
        <v/>
      </c>
      <c r="AS256">
        <f>IF($E256="","",IF(OR($U256=TRUE(),$U256="TRUE"),1,0))</f>
        <v/>
      </c>
      <c r="AT256">
        <f>IF($E256="","",IF($AC256="Yes",1,0))</f>
        <v/>
      </c>
      <c r="AU256">
        <f>IF($AQ256=1,IFERROR(IF(VALUE($E256)&lt;100000000,VALUE($E256),1000000000),IFERROR(IF(VALUE(MID($E256,2,20))&lt;100000000,VALUE(MID($E256,2,20)),1000000000),1000000000))+ROW()/100000,"")</f>
        <v/>
      </c>
    </row>
    <row r="257">
      <c r="G257" s="14" t="n"/>
      <c r="Q257" s="7">
        <f>IF($E257="","",P257*Z257/100)</f>
        <v/>
      </c>
      <c r="R257" s="7" t="n"/>
      <c r="Y257" s="7" t="n"/>
      <c r="Z257" s="7" t="n"/>
      <c r="AA257" s="7" t="n"/>
      <c r="AD257">
        <f>IF($E257="","",IF($AT257=1,Settings!$C$8,IF($AS257=1,Settings!$C$6,Settings!$C$7))*100)</f>
        <v/>
      </c>
      <c r="AE257" s="7">
        <f>IF($E257="","",Z257*AD257/100)</f>
        <v/>
      </c>
      <c r="AF257" s="7">
        <f>IF($E257="","",Z257-AE257)</f>
        <v/>
      </c>
      <c r="AG257" s="7">
        <f>IF($E257="","",AF257-Q257)</f>
        <v/>
      </c>
      <c r="AK257" s="7" t="n"/>
      <c r="AN257" s="14" t="n"/>
      <c r="AQ257">
        <f>IF($E257="","",IF(COUNTIF($E$2:$E257,$E257)=1,1,0))</f>
        <v/>
      </c>
      <c r="AR257">
        <f>IF($AQ257=1,SUMPRODUCT(--($AU$2:$AU$1501&lt;$AU257))+1,"")</f>
        <v/>
      </c>
      <c r="AS257">
        <f>IF($E257="","",IF(OR($U257=TRUE(),$U257="TRUE"),1,0))</f>
        <v/>
      </c>
      <c r="AT257">
        <f>IF($E257="","",IF($AC257="Yes",1,0))</f>
        <v/>
      </c>
      <c r="AU257">
        <f>IF($AQ257=1,IFERROR(IF(VALUE($E257)&lt;100000000,VALUE($E257),1000000000),IFERROR(IF(VALUE(MID($E257,2,20))&lt;100000000,VALUE(MID($E257,2,20)),1000000000),1000000000))+ROW()/100000,"")</f>
        <v/>
      </c>
    </row>
    <row r="258">
      <c r="G258" s="14" t="n"/>
      <c r="Q258" s="7">
        <f>IF($E258="","",P258*Z258/100)</f>
        <v/>
      </c>
      <c r="R258" s="7" t="n"/>
      <c r="Y258" s="7" t="n"/>
      <c r="Z258" s="7" t="n"/>
      <c r="AA258" s="7" t="n"/>
      <c r="AD258">
        <f>IF($E258="","",IF($AT258=1,Settings!$C$8,IF($AS258=1,Settings!$C$6,Settings!$C$7))*100)</f>
        <v/>
      </c>
      <c r="AE258" s="7">
        <f>IF($E258="","",Z258*AD258/100)</f>
        <v/>
      </c>
      <c r="AF258" s="7">
        <f>IF($E258="","",Z258-AE258)</f>
        <v/>
      </c>
      <c r="AG258" s="7">
        <f>IF($E258="","",AF258-Q258)</f>
        <v/>
      </c>
      <c r="AK258" s="7" t="n"/>
      <c r="AN258" s="14" t="n"/>
      <c r="AQ258">
        <f>IF($E258="","",IF(COUNTIF($E$2:$E258,$E258)=1,1,0))</f>
        <v/>
      </c>
      <c r="AR258">
        <f>IF($AQ258=1,SUMPRODUCT(--($AU$2:$AU$1501&lt;$AU258))+1,"")</f>
        <v/>
      </c>
      <c r="AS258">
        <f>IF($E258="","",IF(OR($U258=TRUE(),$U258="TRUE"),1,0))</f>
        <v/>
      </c>
      <c r="AT258">
        <f>IF($E258="","",IF($AC258="Yes",1,0))</f>
        <v/>
      </c>
      <c r="AU258">
        <f>IF($AQ258=1,IFERROR(IF(VALUE($E258)&lt;100000000,VALUE($E258),1000000000),IFERROR(IF(VALUE(MID($E258,2,20))&lt;100000000,VALUE(MID($E258,2,20)),1000000000),1000000000))+ROW()/100000,"")</f>
        <v/>
      </c>
    </row>
    <row r="259">
      <c r="G259" s="14" t="n"/>
      <c r="Q259" s="7">
        <f>IF($E259="","",P259*Z259/100)</f>
        <v/>
      </c>
      <c r="R259" s="7" t="n"/>
      <c r="Y259" s="7" t="n"/>
      <c r="Z259" s="7" t="n"/>
      <c r="AA259" s="7" t="n"/>
      <c r="AD259">
        <f>IF($E259="","",IF($AT259=1,Settings!$C$8,IF($AS259=1,Settings!$C$6,Settings!$C$7))*100)</f>
        <v/>
      </c>
      <c r="AE259" s="7">
        <f>IF($E259="","",Z259*AD259/100)</f>
        <v/>
      </c>
      <c r="AF259" s="7">
        <f>IF($E259="","",Z259-AE259)</f>
        <v/>
      </c>
      <c r="AG259" s="7">
        <f>IF($E259="","",AF259-Q259)</f>
        <v/>
      </c>
      <c r="AK259" s="7" t="n"/>
      <c r="AN259" s="14" t="n"/>
      <c r="AQ259">
        <f>IF($E259="","",IF(COUNTIF($E$2:$E259,$E259)=1,1,0))</f>
        <v/>
      </c>
      <c r="AR259">
        <f>IF($AQ259=1,SUMPRODUCT(--($AU$2:$AU$1501&lt;$AU259))+1,"")</f>
        <v/>
      </c>
      <c r="AS259">
        <f>IF($E259="","",IF(OR($U259=TRUE(),$U259="TRUE"),1,0))</f>
        <v/>
      </c>
      <c r="AT259">
        <f>IF($E259="","",IF($AC259="Yes",1,0))</f>
        <v/>
      </c>
      <c r="AU259">
        <f>IF($AQ259=1,IFERROR(IF(VALUE($E259)&lt;100000000,VALUE($E259),1000000000),IFERROR(IF(VALUE(MID($E259,2,20))&lt;100000000,VALUE(MID($E259,2,20)),1000000000),1000000000))+ROW()/100000,"")</f>
        <v/>
      </c>
    </row>
    <row r="260">
      <c r="G260" s="14" t="n"/>
      <c r="Q260" s="7">
        <f>IF($E260="","",P260*Z260/100)</f>
        <v/>
      </c>
      <c r="R260" s="7" t="n"/>
      <c r="Y260" s="7" t="n"/>
      <c r="Z260" s="7" t="n"/>
      <c r="AA260" s="7" t="n"/>
      <c r="AD260">
        <f>IF($E260="","",IF($AT260=1,Settings!$C$8,IF($AS260=1,Settings!$C$6,Settings!$C$7))*100)</f>
        <v/>
      </c>
      <c r="AE260" s="7">
        <f>IF($E260="","",Z260*AD260/100)</f>
        <v/>
      </c>
      <c r="AF260" s="7">
        <f>IF($E260="","",Z260-AE260)</f>
        <v/>
      </c>
      <c r="AG260" s="7">
        <f>IF($E260="","",AF260-Q260)</f>
        <v/>
      </c>
      <c r="AK260" s="7" t="n"/>
      <c r="AN260" s="14" t="n"/>
      <c r="AQ260">
        <f>IF($E260="","",IF(COUNTIF($E$2:$E260,$E260)=1,1,0))</f>
        <v/>
      </c>
      <c r="AR260">
        <f>IF($AQ260=1,SUMPRODUCT(--($AU$2:$AU$1501&lt;$AU260))+1,"")</f>
        <v/>
      </c>
      <c r="AS260">
        <f>IF($E260="","",IF(OR($U260=TRUE(),$U260="TRUE"),1,0))</f>
        <v/>
      </c>
      <c r="AT260">
        <f>IF($E260="","",IF($AC260="Yes",1,0))</f>
        <v/>
      </c>
      <c r="AU260">
        <f>IF($AQ260=1,IFERROR(IF(VALUE($E260)&lt;100000000,VALUE($E260),1000000000),IFERROR(IF(VALUE(MID($E260,2,20))&lt;100000000,VALUE(MID($E260,2,20)),1000000000),1000000000))+ROW()/100000,"")</f>
        <v/>
      </c>
    </row>
    <row r="261">
      <c r="G261" s="14" t="n"/>
      <c r="Q261" s="7">
        <f>IF($E261="","",P261*Z261/100)</f>
        <v/>
      </c>
      <c r="R261" s="7" t="n"/>
      <c r="Y261" s="7" t="n"/>
      <c r="Z261" s="7" t="n"/>
      <c r="AA261" s="7" t="n"/>
      <c r="AD261">
        <f>IF($E261="","",IF($AT261=1,Settings!$C$8,IF($AS261=1,Settings!$C$6,Settings!$C$7))*100)</f>
        <v/>
      </c>
      <c r="AE261" s="7">
        <f>IF($E261="","",Z261*AD261/100)</f>
        <v/>
      </c>
      <c r="AF261" s="7">
        <f>IF($E261="","",Z261-AE261)</f>
        <v/>
      </c>
      <c r="AG261" s="7">
        <f>IF($E261="","",AF261-Q261)</f>
        <v/>
      </c>
      <c r="AK261" s="7" t="n"/>
      <c r="AN261" s="14" t="n"/>
      <c r="AQ261">
        <f>IF($E261="","",IF(COUNTIF($E$2:$E261,$E261)=1,1,0))</f>
        <v/>
      </c>
      <c r="AR261">
        <f>IF($AQ261=1,SUMPRODUCT(--($AU$2:$AU$1501&lt;$AU261))+1,"")</f>
        <v/>
      </c>
      <c r="AS261">
        <f>IF($E261="","",IF(OR($U261=TRUE(),$U261="TRUE"),1,0))</f>
        <v/>
      </c>
      <c r="AT261">
        <f>IF($E261="","",IF($AC261="Yes",1,0))</f>
        <v/>
      </c>
      <c r="AU261">
        <f>IF($AQ261=1,IFERROR(IF(VALUE($E261)&lt;100000000,VALUE($E261),1000000000),IFERROR(IF(VALUE(MID($E261,2,20))&lt;100000000,VALUE(MID($E261,2,20)),1000000000),1000000000))+ROW()/100000,"")</f>
        <v/>
      </c>
    </row>
    <row r="262">
      <c r="G262" s="14" t="n"/>
      <c r="Q262" s="7">
        <f>IF($E262="","",P262*Z262/100)</f>
        <v/>
      </c>
      <c r="R262" s="7" t="n"/>
      <c r="Y262" s="7" t="n"/>
      <c r="Z262" s="7" t="n"/>
      <c r="AA262" s="7" t="n"/>
      <c r="AD262">
        <f>IF($E262="","",IF($AT262=1,Settings!$C$8,IF($AS262=1,Settings!$C$6,Settings!$C$7))*100)</f>
        <v/>
      </c>
      <c r="AE262" s="7">
        <f>IF($E262="","",Z262*AD262/100)</f>
        <v/>
      </c>
      <c r="AF262" s="7">
        <f>IF($E262="","",Z262-AE262)</f>
        <v/>
      </c>
      <c r="AG262" s="7">
        <f>IF($E262="","",AF262-Q262)</f>
        <v/>
      </c>
      <c r="AK262" s="7" t="n"/>
      <c r="AN262" s="14" t="n"/>
      <c r="AQ262">
        <f>IF($E262="","",IF(COUNTIF($E$2:$E262,$E262)=1,1,0))</f>
        <v/>
      </c>
      <c r="AR262">
        <f>IF($AQ262=1,SUMPRODUCT(--($AU$2:$AU$1501&lt;$AU262))+1,"")</f>
        <v/>
      </c>
      <c r="AS262">
        <f>IF($E262="","",IF(OR($U262=TRUE(),$U262="TRUE"),1,0))</f>
        <v/>
      </c>
      <c r="AT262">
        <f>IF($E262="","",IF($AC262="Yes",1,0))</f>
        <v/>
      </c>
      <c r="AU262">
        <f>IF($AQ262=1,IFERROR(IF(VALUE($E262)&lt;100000000,VALUE($E262),1000000000),IFERROR(IF(VALUE(MID($E262,2,20))&lt;100000000,VALUE(MID($E262,2,20)),1000000000),1000000000))+ROW()/100000,"")</f>
        <v/>
      </c>
    </row>
    <row r="263">
      <c r="G263" s="14" t="n"/>
      <c r="Q263" s="7">
        <f>IF($E263="","",P263*Z263/100)</f>
        <v/>
      </c>
      <c r="R263" s="7" t="n"/>
      <c r="Y263" s="7" t="n"/>
      <c r="Z263" s="7" t="n"/>
      <c r="AA263" s="7" t="n"/>
      <c r="AD263">
        <f>IF($E263="","",IF($AT263=1,Settings!$C$8,IF($AS263=1,Settings!$C$6,Settings!$C$7))*100)</f>
        <v/>
      </c>
      <c r="AE263" s="7">
        <f>IF($E263="","",Z263*AD263/100)</f>
        <v/>
      </c>
      <c r="AF263" s="7">
        <f>IF($E263="","",Z263-AE263)</f>
        <v/>
      </c>
      <c r="AG263" s="7">
        <f>IF($E263="","",AF263-Q263)</f>
        <v/>
      </c>
      <c r="AK263" s="7" t="n"/>
      <c r="AN263" s="14" t="n"/>
      <c r="AQ263">
        <f>IF($E263="","",IF(COUNTIF($E$2:$E263,$E263)=1,1,0))</f>
        <v/>
      </c>
      <c r="AR263">
        <f>IF($AQ263=1,SUMPRODUCT(--($AU$2:$AU$1501&lt;$AU263))+1,"")</f>
        <v/>
      </c>
      <c r="AS263">
        <f>IF($E263="","",IF(OR($U263=TRUE(),$U263="TRUE"),1,0))</f>
        <v/>
      </c>
      <c r="AT263">
        <f>IF($E263="","",IF($AC263="Yes",1,0))</f>
        <v/>
      </c>
      <c r="AU263">
        <f>IF($AQ263=1,IFERROR(IF(VALUE($E263)&lt;100000000,VALUE($E263),1000000000),IFERROR(IF(VALUE(MID($E263,2,20))&lt;100000000,VALUE(MID($E263,2,20)),1000000000),1000000000))+ROW()/100000,"")</f>
        <v/>
      </c>
    </row>
    <row r="264">
      <c r="G264" s="14" t="n"/>
      <c r="Q264" s="7">
        <f>IF($E264="","",P264*Z264/100)</f>
        <v/>
      </c>
      <c r="R264" s="7" t="n"/>
      <c r="Y264" s="7" t="n"/>
      <c r="Z264" s="7" t="n"/>
      <c r="AA264" s="7" t="n"/>
      <c r="AD264">
        <f>IF($E264="","",IF($AT264=1,Settings!$C$8,IF($AS264=1,Settings!$C$6,Settings!$C$7))*100)</f>
        <v/>
      </c>
      <c r="AE264" s="7">
        <f>IF($E264="","",Z264*AD264/100)</f>
        <v/>
      </c>
      <c r="AF264" s="7">
        <f>IF($E264="","",Z264-AE264)</f>
        <v/>
      </c>
      <c r="AG264" s="7">
        <f>IF($E264="","",AF264-Q264)</f>
        <v/>
      </c>
      <c r="AK264" s="7" t="n"/>
      <c r="AN264" s="14" t="n"/>
      <c r="AQ264">
        <f>IF($E264="","",IF(COUNTIF($E$2:$E264,$E264)=1,1,0))</f>
        <v/>
      </c>
      <c r="AR264">
        <f>IF($AQ264=1,SUMPRODUCT(--($AU$2:$AU$1501&lt;$AU264))+1,"")</f>
        <v/>
      </c>
      <c r="AS264">
        <f>IF($E264="","",IF(OR($U264=TRUE(),$U264="TRUE"),1,0))</f>
        <v/>
      </c>
      <c r="AT264">
        <f>IF($E264="","",IF($AC264="Yes",1,0))</f>
        <v/>
      </c>
      <c r="AU264">
        <f>IF($AQ264=1,IFERROR(IF(VALUE($E264)&lt;100000000,VALUE($E264),1000000000),IFERROR(IF(VALUE(MID($E264,2,20))&lt;100000000,VALUE(MID($E264,2,20)),1000000000),1000000000))+ROW()/100000,"")</f>
        <v/>
      </c>
    </row>
    <row r="265">
      <c r="G265" s="14" t="n"/>
      <c r="Q265" s="7">
        <f>IF($E265="","",P265*Z265/100)</f>
        <v/>
      </c>
      <c r="R265" s="7" t="n"/>
      <c r="Y265" s="7" t="n"/>
      <c r="Z265" s="7" t="n"/>
      <c r="AA265" s="7" t="n"/>
      <c r="AD265">
        <f>IF($E265="","",IF($AT265=1,Settings!$C$8,IF($AS265=1,Settings!$C$6,Settings!$C$7))*100)</f>
        <v/>
      </c>
      <c r="AE265" s="7">
        <f>IF($E265="","",Z265*AD265/100)</f>
        <v/>
      </c>
      <c r="AF265" s="7">
        <f>IF($E265="","",Z265-AE265)</f>
        <v/>
      </c>
      <c r="AG265" s="7">
        <f>IF($E265="","",AF265-Q265)</f>
        <v/>
      </c>
      <c r="AK265" s="7" t="n"/>
      <c r="AN265" s="14" t="n"/>
      <c r="AQ265">
        <f>IF($E265="","",IF(COUNTIF($E$2:$E265,$E265)=1,1,0))</f>
        <v/>
      </c>
      <c r="AR265">
        <f>IF($AQ265=1,SUMPRODUCT(--($AU$2:$AU$1501&lt;$AU265))+1,"")</f>
        <v/>
      </c>
      <c r="AS265">
        <f>IF($E265="","",IF(OR($U265=TRUE(),$U265="TRUE"),1,0))</f>
        <v/>
      </c>
      <c r="AT265">
        <f>IF($E265="","",IF($AC265="Yes",1,0))</f>
        <v/>
      </c>
      <c r="AU265">
        <f>IF($AQ265=1,IFERROR(IF(VALUE($E265)&lt;100000000,VALUE($E265),1000000000),IFERROR(IF(VALUE(MID($E265,2,20))&lt;100000000,VALUE(MID($E265,2,20)),1000000000),1000000000))+ROW()/100000,"")</f>
        <v/>
      </c>
    </row>
    <row r="266">
      <c r="G266" s="14" t="n"/>
      <c r="Q266" s="7">
        <f>IF($E266="","",P266*Z266/100)</f>
        <v/>
      </c>
      <c r="R266" s="7" t="n"/>
      <c r="Y266" s="7" t="n"/>
      <c r="Z266" s="7" t="n"/>
      <c r="AA266" s="7" t="n"/>
      <c r="AD266">
        <f>IF($E266="","",IF($AT266=1,Settings!$C$8,IF($AS266=1,Settings!$C$6,Settings!$C$7))*100)</f>
        <v/>
      </c>
      <c r="AE266" s="7">
        <f>IF($E266="","",Z266*AD266/100)</f>
        <v/>
      </c>
      <c r="AF266" s="7">
        <f>IF($E266="","",Z266-AE266)</f>
        <v/>
      </c>
      <c r="AG266" s="7">
        <f>IF($E266="","",AF266-Q266)</f>
        <v/>
      </c>
      <c r="AK266" s="7" t="n"/>
      <c r="AN266" s="14" t="n"/>
      <c r="AQ266">
        <f>IF($E266="","",IF(COUNTIF($E$2:$E266,$E266)=1,1,0))</f>
        <v/>
      </c>
      <c r="AR266">
        <f>IF($AQ266=1,SUMPRODUCT(--($AU$2:$AU$1501&lt;$AU266))+1,"")</f>
        <v/>
      </c>
      <c r="AS266">
        <f>IF($E266="","",IF(OR($U266=TRUE(),$U266="TRUE"),1,0))</f>
        <v/>
      </c>
      <c r="AT266">
        <f>IF($E266="","",IF($AC266="Yes",1,0))</f>
        <v/>
      </c>
      <c r="AU266">
        <f>IF($AQ266=1,IFERROR(IF(VALUE($E266)&lt;100000000,VALUE($E266),1000000000),IFERROR(IF(VALUE(MID($E266,2,20))&lt;100000000,VALUE(MID($E266,2,20)),1000000000),1000000000))+ROW()/100000,"")</f>
        <v/>
      </c>
    </row>
    <row r="267">
      <c r="G267" s="14" t="n"/>
      <c r="Q267" s="7">
        <f>IF($E267="","",P267*Z267/100)</f>
        <v/>
      </c>
      <c r="R267" s="7" t="n"/>
      <c r="Y267" s="7" t="n"/>
      <c r="Z267" s="7" t="n"/>
      <c r="AA267" s="7" t="n"/>
      <c r="AD267">
        <f>IF($E267="","",IF($AT267=1,Settings!$C$8,IF($AS267=1,Settings!$C$6,Settings!$C$7))*100)</f>
        <v/>
      </c>
      <c r="AE267" s="7">
        <f>IF($E267="","",Z267*AD267/100)</f>
        <v/>
      </c>
      <c r="AF267" s="7">
        <f>IF($E267="","",Z267-AE267)</f>
        <v/>
      </c>
      <c r="AG267" s="7">
        <f>IF($E267="","",AF267-Q267)</f>
        <v/>
      </c>
      <c r="AK267" s="7" t="n"/>
      <c r="AN267" s="14" t="n"/>
      <c r="AQ267">
        <f>IF($E267="","",IF(COUNTIF($E$2:$E267,$E267)=1,1,0))</f>
        <v/>
      </c>
      <c r="AR267">
        <f>IF($AQ267=1,SUMPRODUCT(--($AU$2:$AU$1501&lt;$AU267))+1,"")</f>
        <v/>
      </c>
      <c r="AS267">
        <f>IF($E267="","",IF(OR($U267=TRUE(),$U267="TRUE"),1,0))</f>
        <v/>
      </c>
      <c r="AT267">
        <f>IF($E267="","",IF($AC267="Yes",1,0))</f>
        <v/>
      </c>
      <c r="AU267">
        <f>IF($AQ267=1,IFERROR(IF(VALUE($E267)&lt;100000000,VALUE($E267),1000000000),IFERROR(IF(VALUE(MID($E267,2,20))&lt;100000000,VALUE(MID($E267,2,20)),1000000000),1000000000))+ROW()/100000,"")</f>
        <v/>
      </c>
    </row>
    <row r="268">
      <c r="G268" s="14" t="n"/>
      <c r="Q268" s="7">
        <f>IF($E268="","",P268*Z268/100)</f>
        <v/>
      </c>
      <c r="R268" s="7" t="n"/>
      <c r="Y268" s="7" t="n"/>
      <c r="Z268" s="7" t="n"/>
      <c r="AA268" s="7" t="n"/>
      <c r="AD268">
        <f>IF($E268="","",IF($AT268=1,Settings!$C$8,IF($AS268=1,Settings!$C$6,Settings!$C$7))*100)</f>
        <v/>
      </c>
      <c r="AE268" s="7">
        <f>IF($E268="","",Z268*AD268/100)</f>
        <v/>
      </c>
      <c r="AF268" s="7">
        <f>IF($E268="","",Z268-AE268)</f>
        <v/>
      </c>
      <c r="AG268" s="7">
        <f>IF($E268="","",AF268-Q268)</f>
        <v/>
      </c>
      <c r="AK268" s="7" t="n"/>
      <c r="AN268" s="14" t="n"/>
      <c r="AQ268">
        <f>IF($E268="","",IF(COUNTIF($E$2:$E268,$E268)=1,1,0))</f>
        <v/>
      </c>
      <c r="AR268">
        <f>IF($AQ268=1,SUMPRODUCT(--($AU$2:$AU$1501&lt;$AU268))+1,"")</f>
        <v/>
      </c>
      <c r="AS268">
        <f>IF($E268="","",IF(OR($U268=TRUE(),$U268="TRUE"),1,0))</f>
        <v/>
      </c>
      <c r="AT268">
        <f>IF($E268="","",IF($AC268="Yes",1,0))</f>
        <v/>
      </c>
      <c r="AU268">
        <f>IF($AQ268=1,IFERROR(IF(VALUE($E268)&lt;100000000,VALUE($E268),1000000000),IFERROR(IF(VALUE(MID($E268,2,20))&lt;100000000,VALUE(MID($E268,2,20)),1000000000),1000000000))+ROW()/100000,"")</f>
        <v/>
      </c>
    </row>
    <row r="269">
      <c r="G269" s="14" t="n"/>
      <c r="Q269" s="7">
        <f>IF($E269="","",P269*Z269/100)</f>
        <v/>
      </c>
      <c r="R269" s="7" t="n"/>
      <c r="Y269" s="7" t="n"/>
      <c r="Z269" s="7" t="n"/>
      <c r="AA269" s="7" t="n"/>
      <c r="AD269">
        <f>IF($E269="","",IF($AT269=1,Settings!$C$8,IF($AS269=1,Settings!$C$6,Settings!$C$7))*100)</f>
        <v/>
      </c>
      <c r="AE269" s="7">
        <f>IF($E269="","",Z269*AD269/100)</f>
        <v/>
      </c>
      <c r="AF269" s="7">
        <f>IF($E269="","",Z269-AE269)</f>
        <v/>
      </c>
      <c r="AG269" s="7">
        <f>IF($E269="","",AF269-Q269)</f>
        <v/>
      </c>
      <c r="AK269" s="7" t="n"/>
      <c r="AN269" s="14" t="n"/>
      <c r="AQ269">
        <f>IF($E269="","",IF(COUNTIF($E$2:$E269,$E269)=1,1,0))</f>
        <v/>
      </c>
      <c r="AR269">
        <f>IF($AQ269=1,SUMPRODUCT(--($AU$2:$AU$1501&lt;$AU269))+1,"")</f>
        <v/>
      </c>
      <c r="AS269">
        <f>IF($E269="","",IF(OR($U269=TRUE(),$U269="TRUE"),1,0))</f>
        <v/>
      </c>
      <c r="AT269">
        <f>IF($E269="","",IF($AC269="Yes",1,0))</f>
        <v/>
      </c>
      <c r="AU269">
        <f>IF($AQ269=1,IFERROR(IF(VALUE($E269)&lt;100000000,VALUE($E269),1000000000),IFERROR(IF(VALUE(MID($E269,2,20))&lt;100000000,VALUE(MID($E269,2,20)),1000000000),1000000000))+ROW()/100000,"")</f>
        <v/>
      </c>
    </row>
    <row r="270">
      <c r="G270" s="14" t="n"/>
      <c r="Q270" s="7">
        <f>IF($E270="","",P270*Z270/100)</f>
        <v/>
      </c>
      <c r="R270" s="7" t="n"/>
      <c r="Y270" s="7" t="n"/>
      <c r="Z270" s="7" t="n"/>
      <c r="AA270" s="7" t="n"/>
      <c r="AD270">
        <f>IF($E270="","",IF($AT270=1,Settings!$C$8,IF($AS270=1,Settings!$C$6,Settings!$C$7))*100)</f>
        <v/>
      </c>
      <c r="AE270" s="7">
        <f>IF($E270="","",Z270*AD270/100)</f>
        <v/>
      </c>
      <c r="AF270" s="7">
        <f>IF($E270="","",Z270-AE270)</f>
        <v/>
      </c>
      <c r="AG270" s="7">
        <f>IF($E270="","",AF270-Q270)</f>
        <v/>
      </c>
      <c r="AK270" s="7" t="n"/>
      <c r="AN270" s="14" t="n"/>
      <c r="AQ270">
        <f>IF($E270="","",IF(COUNTIF($E$2:$E270,$E270)=1,1,0))</f>
        <v/>
      </c>
      <c r="AR270">
        <f>IF($AQ270=1,SUMPRODUCT(--($AU$2:$AU$1501&lt;$AU270))+1,"")</f>
        <v/>
      </c>
      <c r="AS270">
        <f>IF($E270="","",IF(OR($U270=TRUE(),$U270="TRUE"),1,0))</f>
        <v/>
      </c>
      <c r="AT270">
        <f>IF($E270="","",IF($AC270="Yes",1,0))</f>
        <v/>
      </c>
      <c r="AU270">
        <f>IF($AQ270=1,IFERROR(IF(VALUE($E270)&lt;100000000,VALUE($E270),1000000000),IFERROR(IF(VALUE(MID($E270,2,20))&lt;100000000,VALUE(MID($E270,2,20)),1000000000),1000000000))+ROW()/100000,"")</f>
        <v/>
      </c>
    </row>
    <row r="271">
      <c r="G271" s="14" t="n"/>
      <c r="Q271" s="7">
        <f>IF($E271="","",P271*Z271/100)</f>
        <v/>
      </c>
      <c r="R271" s="7" t="n"/>
      <c r="Y271" s="7" t="n"/>
      <c r="Z271" s="7" t="n"/>
      <c r="AA271" s="7" t="n"/>
      <c r="AD271">
        <f>IF($E271="","",IF($AT271=1,Settings!$C$8,IF($AS271=1,Settings!$C$6,Settings!$C$7))*100)</f>
        <v/>
      </c>
      <c r="AE271" s="7">
        <f>IF($E271="","",Z271*AD271/100)</f>
        <v/>
      </c>
      <c r="AF271" s="7">
        <f>IF($E271="","",Z271-AE271)</f>
        <v/>
      </c>
      <c r="AG271" s="7">
        <f>IF($E271="","",AF271-Q271)</f>
        <v/>
      </c>
      <c r="AK271" s="7" t="n"/>
      <c r="AN271" s="14" t="n"/>
      <c r="AQ271">
        <f>IF($E271="","",IF(COUNTIF($E$2:$E271,$E271)=1,1,0))</f>
        <v/>
      </c>
      <c r="AR271">
        <f>IF($AQ271=1,SUMPRODUCT(--($AU$2:$AU$1501&lt;$AU271))+1,"")</f>
        <v/>
      </c>
      <c r="AS271">
        <f>IF($E271="","",IF(OR($U271=TRUE(),$U271="TRUE"),1,0))</f>
        <v/>
      </c>
      <c r="AT271">
        <f>IF($E271="","",IF($AC271="Yes",1,0))</f>
        <v/>
      </c>
      <c r="AU271">
        <f>IF($AQ271=1,IFERROR(IF(VALUE($E271)&lt;100000000,VALUE($E271),1000000000),IFERROR(IF(VALUE(MID($E271,2,20))&lt;100000000,VALUE(MID($E271,2,20)),1000000000),1000000000))+ROW()/100000,"")</f>
        <v/>
      </c>
    </row>
    <row r="272">
      <c r="G272" s="14" t="n"/>
      <c r="Q272" s="7">
        <f>IF($E272="","",P272*Z272/100)</f>
        <v/>
      </c>
      <c r="R272" s="7" t="n"/>
      <c r="Y272" s="7" t="n"/>
      <c r="Z272" s="7" t="n"/>
      <c r="AA272" s="7" t="n"/>
      <c r="AD272">
        <f>IF($E272="","",IF($AT272=1,Settings!$C$8,IF($AS272=1,Settings!$C$6,Settings!$C$7))*100)</f>
        <v/>
      </c>
      <c r="AE272" s="7">
        <f>IF($E272="","",Z272*AD272/100)</f>
        <v/>
      </c>
      <c r="AF272" s="7">
        <f>IF($E272="","",Z272-AE272)</f>
        <v/>
      </c>
      <c r="AG272" s="7">
        <f>IF($E272="","",AF272-Q272)</f>
        <v/>
      </c>
      <c r="AK272" s="7" t="n"/>
      <c r="AN272" s="14" t="n"/>
      <c r="AQ272">
        <f>IF($E272="","",IF(COUNTIF($E$2:$E272,$E272)=1,1,0))</f>
        <v/>
      </c>
      <c r="AR272">
        <f>IF($AQ272=1,SUMPRODUCT(--($AU$2:$AU$1501&lt;$AU272))+1,"")</f>
        <v/>
      </c>
      <c r="AS272">
        <f>IF($E272="","",IF(OR($U272=TRUE(),$U272="TRUE"),1,0))</f>
        <v/>
      </c>
      <c r="AT272">
        <f>IF($E272="","",IF($AC272="Yes",1,0))</f>
        <v/>
      </c>
      <c r="AU272">
        <f>IF($AQ272=1,IFERROR(IF(VALUE($E272)&lt;100000000,VALUE($E272),1000000000),IFERROR(IF(VALUE(MID($E272,2,20))&lt;100000000,VALUE(MID($E272,2,20)),1000000000),1000000000))+ROW()/100000,"")</f>
        <v/>
      </c>
    </row>
    <row r="273">
      <c r="G273" s="14" t="n"/>
      <c r="Q273" s="7">
        <f>IF($E273="","",P273*Z273/100)</f>
        <v/>
      </c>
      <c r="R273" s="7" t="n"/>
      <c r="Y273" s="7" t="n"/>
      <c r="Z273" s="7" t="n"/>
      <c r="AA273" s="7" t="n"/>
      <c r="AD273">
        <f>IF($E273="","",IF($AT273=1,Settings!$C$8,IF($AS273=1,Settings!$C$6,Settings!$C$7))*100)</f>
        <v/>
      </c>
      <c r="AE273" s="7">
        <f>IF($E273="","",Z273*AD273/100)</f>
        <v/>
      </c>
      <c r="AF273" s="7">
        <f>IF($E273="","",Z273-AE273)</f>
        <v/>
      </c>
      <c r="AG273" s="7">
        <f>IF($E273="","",AF273-Q273)</f>
        <v/>
      </c>
      <c r="AK273" s="7" t="n"/>
      <c r="AN273" s="14" t="n"/>
      <c r="AQ273">
        <f>IF($E273="","",IF(COUNTIF($E$2:$E273,$E273)=1,1,0))</f>
        <v/>
      </c>
      <c r="AR273">
        <f>IF($AQ273=1,SUMPRODUCT(--($AU$2:$AU$1501&lt;$AU273))+1,"")</f>
        <v/>
      </c>
      <c r="AS273">
        <f>IF($E273="","",IF(OR($U273=TRUE(),$U273="TRUE"),1,0))</f>
        <v/>
      </c>
      <c r="AT273">
        <f>IF($E273="","",IF($AC273="Yes",1,0))</f>
        <v/>
      </c>
      <c r="AU273">
        <f>IF($AQ273=1,IFERROR(IF(VALUE($E273)&lt;100000000,VALUE($E273),1000000000),IFERROR(IF(VALUE(MID($E273,2,20))&lt;100000000,VALUE(MID($E273,2,20)),1000000000),1000000000))+ROW()/100000,"")</f>
        <v/>
      </c>
    </row>
    <row r="274">
      <c r="G274" s="14" t="n"/>
      <c r="Q274" s="7">
        <f>IF($E274="","",P274*Z274/100)</f>
        <v/>
      </c>
      <c r="R274" s="7" t="n"/>
      <c r="Y274" s="7" t="n"/>
      <c r="Z274" s="7" t="n"/>
      <c r="AA274" s="7" t="n"/>
      <c r="AD274">
        <f>IF($E274="","",IF($AT274=1,Settings!$C$8,IF($AS274=1,Settings!$C$6,Settings!$C$7))*100)</f>
        <v/>
      </c>
      <c r="AE274" s="7">
        <f>IF($E274="","",Z274*AD274/100)</f>
        <v/>
      </c>
      <c r="AF274" s="7">
        <f>IF($E274="","",Z274-AE274)</f>
        <v/>
      </c>
      <c r="AG274" s="7">
        <f>IF($E274="","",AF274-Q274)</f>
        <v/>
      </c>
      <c r="AK274" s="7" t="n"/>
      <c r="AN274" s="14" t="n"/>
      <c r="AQ274">
        <f>IF($E274="","",IF(COUNTIF($E$2:$E274,$E274)=1,1,0))</f>
        <v/>
      </c>
      <c r="AR274">
        <f>IF($AQ274=1,SUMPRODUCT(--($AU$2:$AU$1501&lt;$AU274))+1,"")</f>
        <v/>
      </c>
      <c r="AS274">
        <f>IF($E274="","",IF(OR($U274=TRUE(),$U274="TRUE"),1,0))</f>
        <v/>
      </c>
      <c r="AT274">
        <f>IF($E274="","",IF($AC274="Yes",1,0))</f>
        <v/>
      </c>
      <c r="AU274">
        <f>IF($AQ274=1,IFERROR(IF(VALUE($E274)&lt;100000000,VALUE($E274),1000000000),IFERROR(IF(VALUE(MID($E274,2,20))&lt;100000000,VALUE(MID($E274,2,20)),1000000000),1000000000))+ROW()/100000,"")</f>
        <v/>
      </c>
    </row>
    <row r="275">
      <c r="G275" s="14" t="n"/>
      <c r="Q275" s="7">
        <f>IF($E275="","",P275*Z275/100)</f>
        <v/>
      </c>
      <c r="R275" s="7" t="n"/>
      <c r="Y275" s="7" t="n"/>
      <c r="Z275" s="7" t="n"/>
      <c r="AA275" s="7" t="n"/>
      <c r="AD275">
        <f>IF($E275="","",IF($AT275=1,Settings!$C$8,IF($AS275=1,Settings!$C$6,Settings!$C$7))*100)</f>
        <v/>
      </c>
      <c r="AE275" s="7">
        <f>IF($E275="","",Z275*AD275/100)</f>
        <v/>
      </c>
      <c r="AF275" s="7">
        <f>IF($E275="","",Z275-AE275)</f>
        <v/>
      </c>
      <c r="AG275" s="7">
        <f>IF($E275="","",AF275-Q275)</f>
        <v/>
      </c>
      <c r="AK275" s="7" t="n"/>
      <c r="AN275" s="14" t="n"/>
      <c r="AQ275">
        <f>IF($E275="","",IF(COUNTIF($E$2:$E275,$E275)=1,1,0))</f>
        <v/>
      </c>
      <c r="AR275">
        <f>IF($AQ275=1,SUMPRODUCT(--($AU$2:$AU$1501&lt;$AU275))+1,"")</f>
        <v/>
      </c>
      <c r="AS275">
        <f>IF($E275="","",IF(OR($U275=TRUE(),$U275="TRUE"),1,0))</f>
        <v/>
      </c>
      <c r="AT275">
        <f>IF($E275="","",IF($AC275="Yes",1,0))</f>
        <v/>
      </c>
      <c r="AU275">
        <f>IF($AQ275=1,IFERROR(IF(VALUE($E275)&lt;100000000,VALUE($E275),1000000000),IFERROR(IF(VALUE(MID($E275,2,20))&lt;100000000,VALUE(MID($E275,2,20)),1000000000),1000000000))+ROW()/100000,"")</f>
        <v/>
      </c>
    </row>
    <row r="276">
      <c r="G276" s="14" t="n"/>
      <c r="Q276" s="7">
        <f>IF($E276="","",P276*Z276/100)</f>
        <v/>
      </c>
      <c r="R276" s="7" t="n"/>
      <c r="Y276" s="7" t="n"/>
      <c r="Z276" s="7" t="n"/>
      <c r="AA276" s="7" t="n"/>
      <c r="AD276">
        <f>IF($E276="","",IF($AT276=1,Settings!$C$8,IF($AS276=1,Settings!$C$6,Settings!$C$7))*100)</f>
        <v/>
      </c>
      <c r="AE276" s="7">
        <f>IF($E276="","",Z276*AD276/100)</f>
        <v/>
      </c>
      <c r="AF276" s="7">
        <f>IF($E276="","",Z276-AE276)</f>
        <v/>
      </c>
      <c r="AG276" s="7">
        <f>IF($E276="","",AF276-Q276)</f>
        <v/>
      </c>
      <c r="AK276" s="7" t="n"/>
      <c r="AN276" s="14" t="n"/>
      <c r="AQ276">
        <f>IF($E276="","",IF(COUNTIF($E$2:$E276,$E276)=1,1,0))</f>
        <v/>
      </c>
      <c r="AR276">
        <f>IF($AQ276=1,SUMPRODUCT(--($AU$2:$AU$1501&lt;$AU276))+1,"")</f>
        <v/>
      </c>
      <c r="AS276">
        <f>IF($E276="","",IF(OR($U276=TRUE(),$U276="TRUE"),1,0))</f>
        <v/>
      </c>
      <c r="AT276">
        <f>IF($E276="","",IF($AC276="Yes",1,0))</f>
        <v/>
      </c>
      <c r="AU276">
        <f>IF($AQ276=1,IFERROR(IF(VALUE($E276)&lt;100000000,VALUE($E276),1000000000),IFERROR(IF(VALUE(MID($E276,2,20))&lt;100000000,VALUE(MID($E276,2,20)),1000000000),1000000000))+ROW()/100000,"")</f>
        <v/>
      </c>
    </row>
    <row r="277">
      <c r="G277" s="14" t="n"/>
      <c r="Q277" s="7">
        <f>IF($E277="","",P277*Z277/100)</f>
        <v/>
      </c>
      <c r="R277" s="7" t="n"/>
      <c r="Y277" s="7" t="n"/>
      <c r="Z277" s="7" t="n"/>
      <c r="AA277" s="7" t="n"/>
      <c r="AD277">
        <f>IF($E277="","",IF($AT277=1,Settings!$C$8,IF($AS277=1,Settings!$C$6,Settings!$C$7))*100)</f>
        <v/>
      </c>
      <c r="AE277" s="7">
        <f>IF($E277="","",Z277*AD277/100)</f>
        <v/>
      </c>
      <c r="AF277" s="7">
        <f>IF($E277="","",Z277-AE277)</f>
        <v/>
      </c>
      <c r="AG277" s="7">
        <f>IF($E277="","",AF277-Q277)</f>
        <v/>
      </c>
      <c r="AK277" s="7" t="n"/>
      <c r="AN277" s="14" t="n"/>
      <c r="AQ277">
        <f>IF($E277="","",IF(COUNTIF($E$2:$E277,$E277)=1,1,0))</f>
        <v/>
      </c>
      <c r="AR277">
        <f>IF($AQ277=1,SUMPRODUCT(--($AU$2:$AU$1501&lt;$AU277))+1,"")</f>
        <v/>
      </c>
      <c r="AS277">
        <f>IF($E277="","",IF(OR($U277=TRUE(),$U277="TRUE"),1,0))</f>
        <v/>
      </c>
      <c r="AT277">
        <f>IF($E277="","",IF($AC277="Yes",1,0))</f>
        <v/>
      </c>
      <c r="AU277">
        <f>IF($AQ277=1,IFERROR(IF(VALUE($E277)&lt;100000000,VALUE($E277),1000000000),IFERROR(IF(VALUE(MID($E277,2,20))&lt;100000000,VALUE(MID($E277,2,20)),1000000000),1000000000))+ROW()/100000,"")</f>
        <v/>
      </c>
    </row>
    <row r="278">
      <c r="G278" s="14" t="n"/>
      <c r="Q278" s="7">
        <f>IF($E278="","",P278*Z278/100)</f>
        <v/>
      </c>
      <c r="R278" s="7" t="n"/>
      <c r="Y278" s="7" t="n"/>
      <c r="Z278" s="7" t="n"/>
      <c r="AA278" s="7" t="n"/>
      <c r="AD278">
        <f>IF($E278="","",IF($AT278=1,Settings!$C$8,IF($AS278=1,Settings!$C$6,Settings!$C$7))*100)</f>
        <v/>
      </c>
      <c r="AE278" s="7">
        <f>IF($E278="","",Z278*AD278/100)</f>
        <v/>
      </c>
      <c r="AF278" s="7">
        <f>IF($E278="","",Z278-AE278)</f>
        <v/>
      </c>
      <c r="AG278" s="7">
        <f>IF($E278="","",AF278-Q278)</f>
        <v/>
      </c>
      <c r="AK278" s="7" t="n"/>
      <c r="AN278" s="14" t="n"/>
      <c r="AQ278">
        <f>IF($E278="","",IF(COUNTIF($E$2:$E278,$E278)=1,1,0))</f>
        <v/>
      </c>
      <c r="AR278">
        <f>IF($AQ278=1,SUMPRODUCT(--($AU$2:$AU$1501&lt;$AU278))+1,"")</f>
        <v/>
      </c>
      <c r="AS278">
        <f>IF($E278="","",IF(OR($U278=TRUE(),$U278="TRUE"),1,0))</f>
        <v/>
      </c>
      <c r="AT278">
        <f>IF($E278="","",IF($AC278="Yes",1,0))</f>
        <v/>
      </c>
      <c r="AU278">
        <f>IF($AQ278=1,IFERROR(IF(VALUE($E278)&lt;100000000,VALUE($E278),1000000000),IFERROR(IF(VALUE(MID($E278,2,20))&lt;100000000,VALUE(MID($E278,2,20)),1000000000),1000000000))+ROW()/100000,"")</f>
        <v/>
      </c>
    </row>
    <row r="279">
      <c r="G279" s="14" t="n"/>
      <c r="Q279" s="7">
        <f>IF($E279="","",P279*Z279/100)</f>
        <v/>
      </c>
      <c r="R279" s="7" t="n"/>
      <c r="Y279" s="7" t="n"/>
      <c r="Z279" s="7" t="n"/>
      <c r="AA279" s="7" t="n"/>
      <c r="AD279">
        <f>IF($E279="","",IF($AT279=1,Settings!$C$8,IF($AS279=1,Settings!$C$6,Settings!$C$7))*100)</f>
        <v/>
      </c>
      <c r="AE279" s="7">
        <f>IF($E279="","",Z279*AD279/100)</f>
        <v/>
      </c>
      <c r="AF279" s="7">
        <f>IF($E279="","",Z279-AE279)</f>
        <v/>
      </c>
      <c r="AG279" s="7">
        <f>IF($E279="","",AF279-Q279)</f>
        <v/>
      </c>
      <c r="AK279" s="7" t="n"/>
      <c r="AN279" s="14" t="n"/>
      <c r="AQ279">
        <f>IF($E279="","",IF(COUNTIF($E$2:$E279,$E279)=1,1,0))</f>
        <v/>
      </c>
      <c r="AR279">
        <f>IF($AQ279=1,SUMPRODUCT(--($AU$2:$AU$1501&lt;$AU279))+1,"")</f>
        <v/>
      </c>
      <c r="AS279">
        <f>IF($E279="","",IF(OR($U279=TRUE(),$U279="TRUE"),1,0))</f>
        <v/>
      </c>
      <c r="AT279">
        <f>IF($E279="","",IF($AC279="Yes",1,0))</f>
        <v/>
      </c>
      <c r="AU279">
        <f>IF($AQ279=1,IFERROR(IF(VALUE($E279)&lt;100000000,VALUE($E279),1000000000),IFERROR(IF(VALUE(MID($E279,2,20))&lt;100000000,VALUE(MID($E279,2,20)),1000000000),1000000000))+ROW()/100000,"")</f>
        <v/>
      </c>
    </row>
    <row r="280">
      <c r="G280" s="14" t="n"/>
      <c r="Q280" s="7">
        <f>IF($E280="","",P280*Z280/100)</f>
        <v/>
      </c>
      <c r="R280" s="7" t="n"/>
      <c r="Y280" s="7" t="n"/>
      <c r="Z280" s="7" t="n"/>
      <c r="AA280" s="7" t="n"/>
      <c r="AD280">
        <f>IF($E280="","",IF($AT280=1,Settings!$C$8,IF($AS280=1,Settings!$C$6,Settings!$C$7))*100)</f>
        <v/>
      </c>
      <c r="AE280" s="7">
        <f>IF($E280="","",Z280*AD280/100)</f>
        <v/>
      </c>
      <c r="AF280" s="7">
        <f>IF($E280="","",Z280-AE280)</f>
        <v/>
      </c>
      <c r="AG280" s="7">
        <f>IF($E280="","",AF280-Q280)</f>
        <v/>
      </c>
      <c r="AK280" s="7" t="n"/>
      <c r="AN280" s="14" t="n"/>
      <c r="AQ280">
        <f>IF($E280="","",IF(COUNTIF($E$2:$E280,$E280)=1,1,0))</f>
        <v/>
      </c>
      <c r="AR280">
        <f>IF($AQ280=1,SUMPRODUCT(--($AU$2:$AU$1501&lt;$AU280))+1,"")</f>
        <v/>
      </c>
      <c r="AS280">
        <f>IF($E280="","",IF(OR($U280=TRUE(),$U280="TRUE"),1,0))</f>
        <v/>
      </c>
      <c r="AT280">
        <f>IF($E280="","",IF($AC280="Yes",1,0))</f>
        <v/>
      </c>
      <c r="AU280">
        <f>IF($AQ280=1,IFERROR(IF(VALUE($E280)&lt;100000000,VALUE($E280),1000000000),IFERROR(IF(VALUE(MID($E280,2,20))&lt;100000000,VALUE(MID($E280,2,20)),1000000000),1000000000))+ROW()/100000,"")</f>
        <v/>
      </c>
    </row>
    <row r="281">
      <c r="G281" s="14" t="n"/>
      <c r="Q281" s="7">
        <f>IF($E281="","",P281*Z281/100)</f>
        <v/>
      </c>
      <c r="R281" s="7" t="n"/>
      <c r="Y281" s="7" t="n"/>
      <c r="Z281" s="7" t="n"/>
      <c r="AA281" s="7" t="n"/>
      <c r="AD281">
        <f>IF($E281="","",IF($AT281=1,Settings!$C$8,IF($AS281=1,Settings!$C$6,Settings!$C$7))*100)</f>
        <v/>
      </c>
      <c r="AE281" s="7">
        <f>IF($E281="","",Z281*AD281/100)</f>
        <v/>
      </c>
      <c r="AF281" s="7">
        <f>IF($E281="","",Z281-AE281)</f>
        <v/>
      </c>
      <c r="AG281" s="7">
        <f>IF($E281="","",AF281-Q281)</f>
        <v/>
      </c>
      <c r="AK281" s="7" t="n"/>
      <c r="AN281" s="14" t="n"/>
      <c r="AQ281">
        <f>IF($E281="","",IF(COUNTIF($E$2:$E281,$E281)=1,1,0))</f>
        <v/>
      </c>
      <c r="AR281">
        <f>IF($AQ281=1,SUMPRODUCT(--($AU$2:$AU$1501&lt;$AU281))+1,"")</f>
        <v/>
      </c>
      <c r="AS281">
        <f>IF($E281="","",IF(OR($U281=TRUE(),$U281="TRUE"),1,0))</f>
        <v/>
      </c>
      <c r="AT281">
        <f>IF($E281="","",IF($AC281="Yes",1,0))</f>
        <v/>
      </c>
      <c r="AU281">
        <f>IF($AQ281=1,IFERROR(IF(VALUE($E281)&lt;100000000,VALUE($E281),1000000000),IFERROR(IF(VALUE(MID($E281,2,20))&lt;100000000,VALUE(MID($E281,2,20)),1000000000),1000000000))+ROW()/100000,"")</f>
        <v/>
      </c>
    </row>
    <row r="282">
      <c r="G282" s="14" t="n"/>
      <c r="Q282" s="7">
        <f>IF($E282="","",P282*Z282/100)</f>
        <v/>
      </c>
      <c r="R282" s="7" t="n"/>
      <c r="Y282" s="7" t="n"/>
      <c r="Z282" s="7" t="n"/>
      <c r="AA282" s="7" t="n"/>
      <c r="AD282">
        <f>IF($E282="","",IF($AT282=1,Settings!$C$8,IF($AS282=1,Settings!$C$6,Settings!$C$7))*100)</f>
        <v/>
      </c>
      <c r="AE282" s="7">
        <f>IF($E282="","",Z282*AD282/100)</f>
        <v/>
      </c>
      <c r="AF282" s="7">
        <f>IF($E282="","",Z282-AE282)</f>
        <v/>
      </c>
      <c r="AG282" s="7">
        <f>IF($E282="","",AF282-Q282)</f>
        <v/>
      </c>
      <c r="AK282" s="7" t="n"/>
      <c r="AN282" s="14" t="n"/>
      <c r="AQ282">
        <f>IF($E282="","",IF(COUNTIF($E$2:$E282,$E282)=1,1,0))</f>
        <v/>
      </c>
      <c r="AR282">
        <f>IF($AQ282=1,SUMPRODUCT(--($AU$2:$AU$1501&lt;$AU282))+1,"")</f>
        <v/>
      </c>
      <c r="AS282">
        <f>IF($E282="","",IF(OR($U282=TRUE(),$U282="TRUE"),1,0))</f>
        <v/>
      </c>
      <c r="AT282">
        <f>IF($E282="","",IF($AC282="Yes",1,0))</f>
        <v/>
      </c>
      <c r="AU282">
        <f>IF($AQ282=1,IFERROR(IF(VALUE($E282)&lt;100000000,VALUE($E282),1000000000),IFERROR(IF(VALUE(MID($E282,2,20))&lt;100000000,VALUE(MID($E282,2,20)),1000000000),1000000000))+ROW()/100000,"")</f>
        <v/>
      </c>
    </row>
    <row r="283">
      <c r="G283" s="14" t="n"/>
      <c r="Q283" s="7">
        <f>IF($E283="","",P283*Z283/100)</f>
        <v/>
      </c>
      <c r="R283" s="7" t="n"/>
      <c r="Y283" s="7" t="n"/>
      <c r="Z283" s="7" t="n"/>
      <c r="AA283" s="7" t="n"/>
      <c r="AD283">
        <f>IF($E283="","",IF($AT283=1,Settings!$C$8,IF($AS283=1,Settings!$C$6,Settings!$C$7))*100)</f>
        <v/>
      </c>
      <c r="AE283" s="7">
        <f>IF($E283="","",Z283*AD283/100)</f>
        <v/>
      </c>
      <c r="AF283" s="7">
        <f>IF($E283="","",Z283-AE283)</f>
        <v/>
      </c>
      <c r="AG283" s="7">
        <f>IF($E283="","",AF283-Q283)</f>
        <v/>
      </c>
      <c r="AK283" s="7" t="n"/>
      <c r="AN283" s="14" t="n"/>
      <c r="AQ283">
        <f>IF($E283="","",IF(COUNTIF($E$2:$E283,$E283)=1,1,0))</f>
        <v/>
      </c>
      <c r="AR283">
        <f>IF($AQ283=1,SUMPRODUCT(--($AU$2:$AU$1501&lt;$AU283))+1,"")</f>
        <v/>
      </c>
      <c r="AS283">
        <f>IF($E283="","",IF(OR($U283=TRUE(),$U283="TRUE"),1,0))</f>
        <v/>
      </c>
      <c r="AT283">
        <f>IF($E283="","",IF($AC283="Yes",1,0))</f>
        <v/>
      </c>
      <c r="AU283">
        <f>IF($AQ283=1,IFERROR(IF(VALUE($E283)&lt;100000000,VALUE($E283),1000000000),IFERROR(IF(VALUE(MID($E283,2,20))&lt;100000000,VALUE(MID($E283,2,20)),1000000000),1000000000))+ROW()/100000,"")</f>
        <v/>
      </c>
    </row>
    <row r="284">
      <c r="G284" s="14" t="n"/>
      <c r="Q284" s="7">
        <f>IF($E284="","",P284*Z284/100)</f>
        <v/>
      </c>
      <c r="R284" s="7" t="n"/>
      <c r="Y284" s="7" t="n"/>
      <c r="Z284" s="7" t="n"/>
      <c r="AA284" s="7" t="n"/>
      <c r="AD284">
        <f>IF($E284="","",IF($AT284=1,Settings!$C$8,IF($AS284=1,Settings!$C$6,Settings!$C$7))*100)</f>
        <v/>
      </c>
      <c r="AE284" s="7">
        <f>IF($E284="","",Z284*AD284/100)</f>
        <v/>
      </c>
      <c r="AF284" s="7">
        <f>IF($E284="","",Z284-AE284)</f>
        <v/>
      </c>
      <c r="AG284" s="7">
        <f>IF($E284="","",AF284-Q284)</f>
        <v/>
      </c>
      <c r="AK284" s="7" t="n"/>
      <c r="AN284" s="14" t="n"/>
      <c r="AQ284">
        <f>IF($E284="","",IF(COUNTIF($E$2:$E284,$E284)=1,1,0))</f>
        <v/>
      </c>
      <c r="AR284">
        <f>IF($AQ284=1,SUMPRODUCT(--($AU$2:$AU$1501&lt;$AU284))+1,"")</f>
        <v/>
      </c>
      <c r="AS284">
        <f>IF($E284="","",IF(OR($U284=TRUE(),$U284="TRUE"),1,0))</f>
        <v/>
      </c>
      <c r="AT284">
        <f>IF($E284="","",IF($AC284="Yes",1,0))</f>
        <v/>
      </c>
      <c r="AU284">
        <f>IF($AQ284=1,IFERROR(IF(VALUE($E284)&lt;100000000,VALUE($E284),1000000000),IFERROR(IF(VALUE(MID($E284,2,20))&lt;100000000,VALUE(MID($E284,2,20)),1000000000),1000000000))+ROW()/100000,"")</f>
        <v/>
      </c>
    </row>
    <row r="285">
      <c r="G285" s="14" t="n"/>
      <c r="Q285" s="7">
        <f>IF($E285="","",P285*Z285/100)</f>
        <v/>
      </c>
      <c r="R285" s="7" t="n"/>
      <c r="Y285" s="7" t="n"/>
      <c r="Z285" s="7" t="n"/>
      <c r="AA285" s="7" t="n"/>
      <c r="AD285">
        <f>IF($E285="","",IF($AT285=1,Settings!$C$8,IF($AS285=1,Settings!$C$6,Settings!$C$7))*100)</f>
        <v/>
      </c>
      <c r="AE285" s="7">
        <f>IF($E285="","",Z285*AD285/100)</f>
        <v/>
      </c>
      <c r="AF285" s="7">
        <f>IF($E285="","",Z285-AE285)</f>
        <v/>
      </c>
      <c r="AG285" s="7">
        <f>IF($E285="","",AF285-Q285)</f>
        <v/>
      </c>
      <c r="AK285" s="7" t="n"/>
      <c r="AN285" s="14" t="n"/>
      <c r="AQ285">
        <f>IF($E285="","",IF(COUNTIF($E$2:$E285,$E285)=1,1,0))</f>
        <v/>
      </c>
      <c r="AR285">
        <f>IF($AQ285=1,SUMPRODUCT(--($AU$2:$AU$1501&lt;$AU285))+1,"")</f>
        <v/>
      </c>
      <c r="AS285">
        <f>IF($E285="","",IF(OR($U285=TRUE(),$U285="TRUE"),1,0))</f>
        <v/>
      </c>
      <c r="AT285">
        <f>IF($E285="","",IF($AC285="Yes",1,0))</f>
        <v/>
      </c>
      <c r="AU285">
        <f>IF($AQ285=1,IFERROR(IF(VALUE($E285)&lt;100000000,VALUE($E285),1000000000),IFERROR(IF(VALUE(MID($E285,2,20))&lt;100000000,VALUE(MID($E285,2,20)),1000000000),1000000000))+ROW()/100000,"")</f>
        <v/>
      </c>
    </row>
    <row r="286">
      <c r="G286" s="14" t="n"/>
      <c r="Q286" s="7">
        <f>IF($E286="","",P286*Z286/100)</f>
        <v/>
      </c>
      <c r="R286" s="7" t="n"/>
      <c r="Y286" s="7" t="n"/>
      <c r="Z286" s="7" t="n"/>
      <c r="AA286" s="7" t="n"/>
      <c r="AD286">
        <f>IF($E286="","",IF($AT286=1,Settings!$C$8,IF($AS286=1,Settings!$C$6,Settings!$C$7))*100)</f>
        <v/>
      </c>
      <c r="AE286" s="7">
        <f>IF($E286="","",Z286*AD286/100)</f>
        <v/>
      </c>
      <c r="AF286" s="7">
        <f>IF($E286="","",Z286-AE286)</f>
        <v/>
      </c>
      <c r="AG286" s="7">
        <f>IF($E286="","",AF286-Q286)</f>
        <v/>
      </c>
      <c r="AK286" s="7" t="n"/>
      <c r="AN286" s="14" t="n"/>
      <c r="AQ286">
        <f>IF($E286="","",IF(COUNTIF($E$2:$E286,$E286)=1,1,0))</f>
        <v/>
      </c>
      <c r="AR286">
        <f>IF($AQ286=1,SUMPRODUCT(--($AU$2:$AU$1501&lt;$AU286))+1,"")</f>
        <v/>
      </c>
      <c r="AS286">
        <f>IF($E286="","",IF(OR($U286=TRUE(),$U286="TRUE"),1,0))</f>
        <v/>
      </c>
      <c r="AT286">
        <f>IF($E286="","",IF($AC286="Yes",1,0))</f>
        <v/>
      </c>
      <c r="AU286">
        <f>IF($AQ286=1,IFERROR(IF(VALUE($E286)&lt;100000000,VALUE($E286),1000000000),IFERROR(IF(VALUE(MID($E286,2,20))&lt;100000000,VALUE(MID($E286,2,20)),1000000000),1000000000))+ROW()/100000,"")</f>
        <v/>
      </c>
    </row>
    <row r="287">
      <c r="G287" s="14" t="n"/>
      <c r="Q287" s="7">
        <f>IF($E287="","",P287*Z287/100)</f>
        <v/>
      </c>
      <c r="R287" s="7" t="n"/>
      <c r="Y287" s="7" t="n"/>
      <c r="Z287" s="7" t="n"/>
      <c r="AA287" s="7" t="n"/>
      <c r="AD287">
        <f>IF($E287="","",IF($AT287=1,Settings!$C$8,IF($AS287=1,Settings!$C$6,Settings!$C$7))*100)</f>
        <v/>
      </c>
      <c r="AE287" s="7">
        <f>IF($E287="","",Z287*AD287/100)</f>
        <v/>
      </c>
      <c r="AF287" s="7">
        <f>IF($E287="","",Z287-AE287)</f>
        <v/>
      </c>
      <c r="AG287" s="7">
        <f>IF($E287="","",AF287-Q287)</f>
        <v/>
      </c>
      <c r="AK287" s="7" t="n"/>
      <c r="AN287" s="14" t="n"/>
      <c r="AQ287">
        <f>IF($E287="","",IF(COUNTIF($E$2:$E287,$E287)=1,1,0))</f>
        <v/>
      </c>
      <c r="AR287">
        <f>IF($AQ287=1,SUMPRODUCT(--($AU$2:$AU$1501&lt;$AU287))+1,"")</f>
        <v/>
      </c>
      <c r="AS287">
        <f>IF($E287="","",IF(OR($U287=TRUE(),$U287="TRUE"),1,0))</f>
        <v/>
      </c>
      <c r="AT287">
        <f>IF($E287="","",IF($AC287="Yes",1,0))</f>
        <v/>
      </c>
      <c r="AU287">
        <f>IF($AQ287=1,IFERROR(IF(VALUE($E287)&lt;100000000,VALUE($E287),1000000000),IFERROR(IF(VALUE(MID($E287,2,20))&lt;100000000,VALUE(MID($E287,2,20)),1000000000),1000000000))+ROW()/100000,"")</f>
        <v/>
      </c>
    </row>
    <row r="288">
      <c r="G288" s="14" t="n"/>
      <c r="Q288" s="7">
        <f>IF($E288="","",P288*Z288/100)</f>
        <v/>
      </c>
      <c r="R288" s="7" t="n"/>
      <c r="Y288" s="7" t="n"/>
      <c r="Z288" s="7" t="n"/>
      <c r="AA288" s="7" t="n"/>
      <c r="AD288">
        <f>IF($E288="","",IF($AT288=1,Settings!$C$8,IF($AS288=1,Settings!$C$6,Settings!$C$7))*100)</f>
        <v/>
      </c>
      <c r="AE288" s="7">
        <f>IF($E288="","",Z288*AD288/100)</f>
        <v/>
      </c>
      <c r="AF288" s="7">
        <f>IF($E288="","",Z288-AE288)</f>
        <v/>
      </c>
      <c r="AG288" s="7">
        <f>IF($E288="","",AF288-Q288)</f>
        <v/>
      </c>
      <c r="AK288" s="7" t="n"/>
      <c r="AN288" s="14" t="n"/>
      <c r="AQ288">
        <f>IF($E288="","",IF(COUNTIF($E$2:$E288,$E288)=1,1,0))</f>
        <v/>
      </c>
      <c r="AR288">
        <f>IF($AQ288=1,SUMPRODUCT(--($AU$2:$AU$1501&lt;$AU288))+1,"")</f>
        <v/>
      </c>
      <c r="AS288">
        <f>IF($E288="","",IF(OR($U288=TRUE(),$U288="TRUE"),1,0))</f>
        <v/>
      </c>
      <c r="AT288">
        <f>IF($E288="","",IF($AC288="Yes",1,0))</f>
        <v/>
      </c>
      <c r="AU288">
        <f>IF($AQ288=1,IFERROR(IF(VALUE($E288)&lt;100000000,VALUE($E288),1000000000),IFERROR(IF(VALUE(MID($E288,2,20))&lt;100000000,VALUE(MID($E288,2,20)),1000000000),1000000000))+ROW()/100000,"")</f>
        <v/>
      </c>
    </row>
    <row r="289">
      <c r="G289" s="14" t="n"/>
      <c r="Q289" s="7">
        <f>IF($E289="","",P289*Z289/100)</f>
        <v/>
      </c>
      <c r="R289" s="7" t="n"/>
      <c r="Y289" s="7" t="n"/>
      <c r="Z289" s="7" t="n"/>
      <c r="AA289" s="7" t="n"/>
      <c r="AD289">
        <f>IF($E289="","",IF($AT289=1,Settings!$C$8,IF($AS289=1,Settings!$C$6,Settings!$C$7))*100)</f>
        <v/>
      </c>
      <c r="AE289" s="7">
        <f>IF($E289="","",Z289*AD289/100)</f>
        <v/>
      </c>
      <c r="AF289" s="7">
        <f>IF($E289="","",Z289-AE289)</f>
        <v/>
      </c>
      <c r="AG289" s="7">
        <f>IF($E289="","",AF289-Q289)</f>
        <v/>
      </c>
      <c r="AK289" s="7" t="n"/>
      <c r="AN289" s="14" t="n"/>
      <c r="AQ289">
        <f>IF($E289="","",IF(COUNTIF($E$2:$E289,$E289)=1,1,0))</f>
        <v/>
      </c>
      <c r="AR289">
        <f>IF($AQ289=1,SUMPRODUCT(--($AU$2:$AU$1501&lt;$AU289))+1,"")</f>
        <v/>
      </c>
      <c r="AS289">
        <f>IF($E289="","",IF(OR($U289=TRUE(),$U289="TRUE"),1,0))</f>
        <v/>
      </c>
      <c r="AT289">
        <f>IF($E289="","",IF($AC289="Yes",1,0))</f>
        <v/>
      </c>
      <c r="AU289">
        <f>IF($AQ289=1,IFERROR(IF(VALUE($E289)&lt;100000000,VALUE($E289),1000000000),IFERROR(IF(VALUE(MID($E289,2,20))&lt;100000000,VALUE(MID($E289,2,20)),1000000000),1000000000))+ROW()/100000,"")</f>
        <v/>
      </c>
    </row>
    <row r="290">
      <c r="G290" s="14" t="n"/>
      <c r="Q290" s="7">
        <f>IF($E290="","",P290*Z290/100)</f>
        <v/>
      </c>
      <c r="R290" s="7" t="n"/>
      <c r="Y290" s="7" t="n"/>
      <c r="Z290" s="7" t="n"/>
      <c r="AA290" s="7" t="n"/>
      <c r="AD290">
        <f>IF($E290="","",IF($AT290=1,Settings!$C$8,IF($AS290=1,Settings!$C$6,Settings!$C$7))*100)</f>
        <v/>
      </c>
      <c r="AE290" s="7">
        <f>IF($E290="","",Z290*AD290/100)</f>
        <v/>
      </c>
      <c r="AF290" s="7">
        <f>IF($E290="","",Z290-AE290)</f>
        <v/>
      </c>
      <c r="AG290" s="7">
        <f>IF($E290="","",AF290-Q290)</f>
        <v/>
      </c>
      <c r="AK290" s="7" t="n"/>
      <c r="AN290" s="14" t="n"/>
      <c r="AQ290">
        <f>IF($E290="","",IF(COUNTIF($E$2:$E290,$E290)=1,1,0))</f>
        <v/>
      </c>
      <c r="AR290">
        <f>IF($AQ290=1,SUMPRODUCT(--($AU$2:$AU$1501&lt;$AU290))+1,"")</f>
        <v/>
      </c>
      <c r="AS290">
        <f>IF($E290="","",IF(OR($U290=TRUE(),$U290="TRUE"),1,0))</f>
        <v/>
      </c>
      <c r="AT290">
        <f>IF($E290="","",IF($AC290="Yes",1,0))</f>
        <v/>
      </c>
      <c r="AU290">
        <f>IF($AQ290=1,IFERROR(IF(VALUE($E290)&lt;100000000,VALUE($E290),1000000000),IFERROR(IF(VALUE(MID($E290,2,20))&lt;100000000,VALUE(MID($E290,2,20)),1000000000),1000000000))+ROW()/100000,"")</f>
        <v/>
      </c>
    </row>
    <row r="291">
      <c r="G291" s="14" t="n"/>
      <c r="Q291" s="7">
        <f>IF($E291="","",P291*Z291/100)</f>
        <v/>
      </c>
      <c r="R291" s="7" t="n"/>
      <c r="Y291" s="7" t="n"/>
      <c r="Z291" s="7" t="n"/>
      <c r="AA291" s="7" t="n"/>
      <c r="AD291">
        <f>IF($E291="","",IF($AT291=1,Settings!$C$8,IF($AS291=1,Settings!$C$6,Settings!$C$7))*100)</f>
        <v/>
      </c>
      <c r="AE291" s="7">
        <f>IF($E291="","",Z291*AD291/100)</f>
        <v/>
      </c>
      <c r="AF291" s="7">
        <f>IF($E291="","",Z291-AE291)</f>
        <v/>
      </c>
      <c r="AG291" s="7">
        <f>IF($E291="","",AF291-Q291)</f>
        <v/>
      </c>
      <c r="AK291" s="7" t="n"/>
      <c r="AN291" s="14" t="n"/>
      <c r="AQ291">
        <f>IF($E291="","",IF(COUNTIF($E$2:$E291,$E291)=1,1,0))</f>
        <v/>
      </c>
      <c r="AR291">
        <f>IF($AQ291=1,SUMPRODUCT(--($AU$2:$AU$1501&lt;$AU291))+1,"")</f>
        <v/>
      </c>
      <c r="AS291">
        <f>IF($E291="","",IF(OR($U291=TRUE(),$U291="TRUE"),1,0))</f>
        <v/>
      </c>
      <c r="AT291">
        <f>IF($E291="","",IF($AC291="Yes",1,0))</f>
        <v/>
      </c>
      <c r="AU291">
        <f>IF($AQ291=1,IFERROR(IF(VALUE($E291)&lt;100000000,VALUE($E291),1000000000),IFERROR(IF(VALUE(MID($E291,2,20))&lt;100000000,VALUE(MID($E291,2,20)),1000000000),1000000000))+ROW()/100000,"")</f>
        <v/>
      </c>
    </row>
    <row r="292">
      <c r="G292" s="14" t="n"/>
      <c r="Q292" s="7">
        <f>IF($E292="","",P292*Z292/100)</f>
        <v/>
      </c>
      <c r="R292" s="7" t="n"/>
      <c r="Y292" s="7" t="n"/>
      <c r="Z292" s="7" t="n"/>
      <c r="AA292" s="7" t="n"/>
      <c r="AD292">
        <f>IF($E292="","",IF($AT292=1,Settings!$C$8,IF($AS292=1,Settings!$C$6,Settings!$C$7))*100)</f>
        <v/>
      </c>
      <c r="AE292" s="7">
        <f>IF($E292="","",Z292*AD292/100)</f>
        <v/>
      </c>
      <c r="AF292" s="7">
        <f>IF($E292="","",Z292-AE292)</f>
        <v/>
      </c>
      <c r="AG292" s="7">
        <f>IF($E292="","",AF292-Q292)</f>
        <v/>
      </c>
      <c r="AK292" s="7" t="n"/>
      <c r="AN292" s="14" t="n"/>
      <c r="AQ292">
        <f>IF($E292="","",IF(COUNTIF($E$2:$E292,$E292)=1,1,0))</f>
        <v/>
      </c>
      <c r="AR292">
        <f>IF($AQ292=1,SUMPRODUCT(--($AU$2:$AU$1501&lt;$AU292))+1,"")</f>
        <v/>
      </c>
      <c r="AS292">
        <f>IF($E292="","",IF(OR($U292=TRUE(),$U292="TRUE"),1,0))</f>
        <v/>
      </c>
      <c r="AT292">
        <f>IF($E292="","",IF($AC292="Yes",1,0))</f>
        <v/>
      </c>
      <c r="AU292">
        <f>IF($AQ292=1,IFERROR(IF(VALUE($E292)&lt;100000000,VALUE($E292),1000000000),IFERROR(IF(VALUE(MID($E292,2,20))&lt;100000000,VALUE(MID($E292,2,20)),1000000000),1000000000))+ROW()/100000,"")</f>
        <v/>
      </c>
    </row>
    <row r="293">
      <c r="G293" s="14" t="n"/>
      <c r="Q293" s="7">
        <f>IF($E293="","",P293*Z293/100)</f>
        <v/>
      </c>
      <c r="R293" s="7" t="n"/>
      <c r="Y293" s="7" t="n"/>
      <c r="Z293" s="7" t="n"/>
      <c r="AA293" s="7" t="n"/>
      <c r="AD293">
        <f>IF($E293="","",IF($AT293=1,Settings!$C$8,IF($AS293=1,Settings!$C$6,Settings!$C$7))*100)</f>
        <v/>
      </c>
      <c r="AE293" s="7">
        <f>IF($E293="","",Z293*AD293/100)</f>
        <v/>
      </c>
      <c r="AF293" s="7">
        <f>IF($E293="","",Z293-AE293)</f>
        <v/>
      </c>
      <c r="AG293" s="7">
        <f>IF($E293="","",AF293-Q293)</f>
        <v/>
      </c>
      <c r="AK293" s="7" t="n"/>
      <c r="AN293" s="14" t="n"/>
      <c r="AQ293">
        <f>IF($E293="","",IF(COUNTIF($E$2:$E293,$E293)=1,1,0))</f>
        <v/>
      </c>
      <c r="AR293">
        <f>IF($AQ293=1,SUMPRODUCT(--($AU$2:$AU$1501&lt;$AU293))+1,"")</f>
        <v/>
      </c>
      <c r="AS293">
        <f>IF($E293="","",IF(OR($U293=TRUE(),$U293="TRUE"),1,0))</f>
        <v/>
      </c>
      <c r="AT293">
        <f>IF($E293="","",IF($AC293="Yes",1,0))</f>
        <v/>
      </c>
      <c r="AU293">
        <f>IF($AQ293=1,IFERROR(IF(VALUE($E293)&lt;100000000,VALUE($E293),1000000000),IFERROR(IF(VALUE(MID($E293,2,20))&lt;100000000,VALUE(MID($E293,2,20)),1000000000),1000000000))+ROW()/100000,"")</f>
        <v/>
      </c>
    </row>
    <row r="294">
      <c r="G294" s="14" t="n"/>
      <c r="Q294" s="7">
        <f>IF($E294="","",P294*Z294/100)</f>
        <v/>
      </c>
      <c r="R294" s="7" t="n"/>
      <c r="Y294" s="7" t="n"/>
      <c r="Z294" s="7" t="n"/>
      <c r="AA294" s="7" t="n"/>
      <c r="AD294">
        <f>IF($E294="","",IF($AT294=1,Settings!$C$8,IF($AS294=1,Settings!$C$6,Settings!$C$7))*100)</f>
        <v/>
      </c>
      <c r="AE294" s="7">
        <f>IF($E294="","",Z294*AD294/100)</f>
        <v/>
      </c>
      <c r="AF294" s="7">
        <f>IF($E294="","",Z294-AE294)</f>
        <v/>
      </c>
      <c r="AG294" s="7">
        <f>IF($E294="","",AF294-Q294)</f>
        <v/>
      </c>
      <c r="AK294" s="7" t="n"/>
      <c r="AN294" s="14" t="n"/>
      <c r="AQ294">
        <f>IF($E294="","",IF(COUNTIF($E$2:$E294,$E294)=1,1,0))</f>
        <v/>
      </c>
      <c r="AR294">
        <f>IF($AQ294=1,SUMPRODUCT(--($AU$2:$AU$1501&lt;$AU294))+1,"")</f>
        <v/>
      </c>
      <c r="AS294">
        <f>IF($E294="","",IF(OR($U294=TRUE(),$U294="TRUE"),1,0))</f>
        <v/>
      </c>
      <c r="AT294">
        <f>IF($E294="","",IF($AC294="Yes",1,0))</f>
        <v/>
      </c>
      <c r="AU294">
        <f>IF($AQ294=1,IFERROR(IF(VALUE($E294)&lt;100000000,VALUE($E294),1000000000),IFERROR(IF(VALUE(MID($E294,2,20))&lt;100000000,VALUE(MID($E294,2,20)),1000000000),1000000000))+ROW()/100000,"")</f>
        <v/>
      </c>
    </row>
    <row r="295">
      <c r="G295" s="14" t="n"/>
      <c r="Q295" s="7">
        <f>IF($E295="","",P295*Z295/100)</f>
        <v/>
      </c>
      <c r="R295" s="7" t="n"/>
      <c r="Y295" s="7" t="n"/>
      <c r="Z295" s="7" t="n"/>
      <c r="AA295" s="7" t="n"/>
      <c r="AD295">
        <f>IF($E295="","",IF($AT295=1,Settings!$C$8,IF($AS295=1,Settings!$C$6,Settings!$C$7))*100)</f>
        <v/>
      </c>
      <c r="AE295" s="7">
        <f>IF($E295="","",Z295*AD295/100)</f>
        <v/>
      </c>
      <c r="AF295" s="7">
        <f>IF($E295="","",Z295-AE295)</f>
        <v/>
      </c>
      <c r="AG295" s="7">
        <f>IF($E295="","",AF295-Q295)</f>
        <v/>
      </c>
      <c r="AK295" s="7" t="n"/>
      <c r="AN295" s="14" t="n"/>
      <c r="AQ295">
        <f>IF($E295="","",IF(COUNTIF($E$2:$E295,$E295)=1,1,0))</f>
        <v/>
      </c>
      <c r="AR295">
        <f>IF($AQ295=1,SUMPRODUCT(--($AU$2:$AU$1501&lt;$AU295))+1,"")</f>
        <v/>
      </c>
      <c r="AS295">
        <f>IF($E295="","",IF(OR($U295=TRUE(),$U295="TRUE"),1,0))</f>
        <v/>
      </c>
      <c r="AT295">
        <f>IF($E295="","",IF($AC295="Yes",1,0))</f>
        <v/>
      </c>
      <c r="AU295">
        <f>IF($AQ295=1,IFERROR(IF(VALUE($E295)&lt;100000000,VALUE($E295),1000000000),IFERROR(IF(VALUE(MID($E295,2,20))&lt;100000000,VALUE(MID($E295,2,20)),1000000000),1000000000))+ROW()/100000,"")</f>
        <v/>
      </c>
    </row>
    <row r="296">
      <c r="G296" s="14" t="n"/>
      <c r="Q296" s="7">
        <f>IF($E296="","",P296*Z296/100)</f>
        <v/>
      </c>
      <c r="R296" s="7" t="n"/>
      <c r="Y296" s="7" t="n"/>
      <c r="Z296" s="7" t="n"/>
      <c r="AA296" s="7" t="n"/>
      <c r="AD296">
        <f>IF($E296="","",IF($AT296=1,Settings!$C$8,IF($AS296=1,Settings!$C$6,Settings!$C$7))*100)</f>
        <v/>
      </c>
      <c r="AE296" s="7">
        <f>IF($E296="","",Z296*AD296/100)</f>
        <v/>
      </c>
      <c r="AF296" s="7">
        <f>IF($E296="","",Z296-AE296)</f>
        <v/>
      </c>
      <c r="AG296" s="7">
        <f>IF($E296="","",AF296-Q296)</f>
        <v/>
      </c>
      <c r="AK296" s="7" t="n"/>
      <c r="AN296" s="14" t="n"/>
      <c r="AQ296">
        <f>IF($E296="","",IF(COUNTIF($E$2:$E296,$E296)=1,1,0))</f>
        <v/>
      </c>
      <c r="AR296">
        <f>IF($AQ296=1,SUMPRODUCT(--($AU$2:$AU$1501&lt;$AU296))+1,"")</f>
        <v/>
      </c>
      <c r="AS296">
        <f>IF($E296="","",IF(OR($U296=TRUE(),$U296="TRUE"),1,0))</f>
        <v/>
      </c>
      <c r="AT296">
        <f>IF($E296="","",IF($AC296="Yes",1,0))</f>
        <v/>
      </c>
      <c r="AU296">
        <f>IF($AQ296=1,IFERROR(IF(VALUE($E296)&lt;100000000,VALUE($E296),1000000000),IFERROR(IF(VALUE(MID($E296,2,20))&lt;100000000,VALUE(MID($E296,2,20)),1000000000),1000000000))+ROW()/100000,"")</f>
        <v/>
      </c>
    </row>
    <row r="297">
      <c r="G297" s="14" t="n"/>
      <c r="Q297" s="7">
        <f>IF($E297="","",P297*Z297/100)</f>
        <v/>
      </c>
      <c r="R297" s="7" t="n"/>
      <c r="Y297" s="7" t="n"/>
      <c r="Z297" s="7" t="n"/>
      <c r="AA297" s="7" t="n"/>
      <c r="AD297">
        <f>IF($E297="","",IF($AT297=1,Settings!$C$8,IF($AS297=1,Settings!$C$6,Settings!$C$7))*100)</f>
        <v/>
      </c>
      <c r="AE297" s="7">
        <f>IF($E297="","",Z297*AD297/100)</f>
        <v/>
      </c>
      <c r="AF297" s="7">
        <f>IF($E297="","",Z297-AE297)</f>
        <v/>
      </c>
      <c r="AG297" s="7">
        <f>IF($E297="","",AF297-Q297)</f>
        <v/>
      </c>
      <c r="AK297" s="7" t="n"/>
      <c r="AN297" s="14" t="n"/>
      <c r="AQ297">
        <f>IF($E297="","",IF(COUNTIF($E$2:$E297,$E297)=1,1,0))</f>
        <v/>
      </c>
      <c r="AR297">
        <f>IF($AQ297=1,SUMPRODUCT(--($AU$2:$AU$1501&lt;$AU297))+1,"")</f>
        <v/>
      </c>
      <c r="AS297">
        <f>IF($E297="","",IF(OR($U297=TRUE(),$U297="TRUE"),1,0))</f>
        <v/>
      </c>
      <c r="AT297">
        <f>IF($E297="","",IF($AC297="Yes",1,0))</f>
        <v/>
      </c>
      <c r="AU297">
        <f>IF($AQ297=1,IFERROR(IF(VALUE($E297)&lt;100000000,VALUE($E297),1000000000),IFERROR(IF(VALUE(MID($E297,2,20))&lt;100000000,VALUE(MID($E297,2,20)),1000000000),1000000000))+ROW()/100000,"")</f>
        <v/>
      </c>
    </row>
    <row r="298">
      <c r="G298" s="14" t="n"/>
      <c r="Q298" s="7">
        <f>IF($E298="","",P298*Z298/100)</f>
        <v/>
      </c>
      <c r="R298" s="7" t="n"/>
      <c r="Y298" s="7" t="n"/>
      <c r="Z298" s="7" t="n"/>
      <c r="AA298" s="7" t="n"/>
      <c r="AD298">
        <f>IF($E298="","",IF($AT298=1,Settings!$C$8,IF($AS298=1,Settings!$C$6,Settings!$C$7))*100)</f>
        <v/>
      </c>
      <c r="AE298" s="7">
        <f>IF($E298="","",Z298*AD298/100)</f>
        <v/>
      </c>
      <c r="AF298" s="7">
        <f>IF($E298="","",Z298-AE298)</f>
        <v/>
      </c>
      <c r="AG298" s="7">
        <f>IF($E298="","",AF298-Q298)</f>
        <v/>
      </c>
      <c r="AK298" s="7" t="n"/>
      <c r="AN298" s="14" t="n"/>
      <c r="AQ298">
        <f>IF($E298="","",IF(COUNTIF($E$2:$E298,$E298)=1,1,0))</f>
        <v/>
      </c>
      <c r="AR298">
        <f>IF($AQ298=1,SUMPRODUCT(--($AU$2:$AU$1501&lt;$AU298))+1,"")</f>
        <v/>
      </c>
      <c r="AS298">
        <f>IF($E298="","",IF(OR($U298=TRUE(),$U298="TRUE"),1,0))</f>
        <v/>
      </c>
      <c r="AT298">
        <f>IF($E298="","",IF($AC298="Yes",1,0))</f>
        <v/>
      </c>
      <c r="AU298">
        <f>IF($AQ298=1,IFERROR(IF(VALUE($E298)&lt;100000000,VALUE($E298),1000000000),IFERROR(IF(VALUE(MID($E298,2,20))&lt;100000000,VALUE(MID($E298,2,20)),1000000000),1000000000))+ROW()/100000,"")</f>
        <v/>
      </c>
    </row>
    <row r="299">
      <c r="G299" s="14" t="n"/>
      <c r="Q299" s="7">
        <f>IF($E299="","",P299*Z299/100)</f>
        <v/>
      </c>
      <c r="R299" s="7" t="n"/>
      <c r="Y299" s="7" t="n"/>
      <c r="Z299" s="7" t="n"/>
      <c r="AA299" s="7" t="n"/>
      <c r="AD299">
        <f>IF($E299="","",IF($AT299=1,Settings!$C$8,IF($AS299=1,Settings!$C$6,Settings!$C$7))*100)</f>
        <v/>
      </c>
      <c r="AE299" s="7">
        <f>IF($E299="","",Z299*AD299/100)</f>
        <v/>
      </c>
      <c r="AF299" s="7">
        <f>IF($E299="","",Z299-AE299)</f>
        <v/>
      </c>
      <c r="AG299" s="7">
        <f>IF($E299="","",AF299-Q299)</f>
        <v/>
      </c>
      <c r="AK299" s="7" t="n"/>
      <c r="AN299" s="14" t="n"/>
      <c r="AQ299">
        <f>IF($E299="","",IF(COUNTIF($E$2:$E299,$E299)=1,1,0))</f>
        <v/>
      </c>
      <c r="AR299">
        <f>IF($AQ299=1,SUMPRODUCT(--($AU$2:$AU$1501&lt;$AU299))+1,"")</f>
        <v/>
      </c>
      <c r="AS299">
        <f>IF($E299="","",IF(OR($U299=TRUE(),$U299="TRUE"),1,0))</f>
        <v/>
      </c>
      <c r="AT299">
        <f>IF($E299="","",IF($AC299="Yes",1,0))</f>
        <v/>
      </c>
      <c r="AU299">
        <f>IF($AQ299=1,IFERROR(IF(VALUE($E299)&lt;100000000,VALUE($E299),1000000000),IFERROR(IF(VALUE(MID($E299,2,20))&lt;100000000,VALUE(MID($E299,2,20)),1000000000),1000000000))+ROW()/100000,"")</f>
        <v/>
      </c>
    </row>
    <row r="300">
      <c r="G300" s="14" t="n"/>
      <c r="Q300" s="7">
        <f>IF($E300="","",P300*Z300/100)</f>
        <v/>
      </c>
      <c r="R300" s="7" t="n"/>
      <c r="Y300" s="7" t="n"/>
      <c r="Z300" s="7" t="n"/>
      <c r="AA300" s="7" t="n"/>
      <c r="AD300">
        <f>IF($E300="","",IF($AT300=1,Settings!$C$8,IF($AS300=1,Settings!$C$6,Settings!$C$7))*100)</f>
        <v/>
      </c>
      <c r="AE300" s="7">
        <f>IF($E300="","",Z300*AD300/100)</f>
        <v/>
      </c>
      <c r="AF300" s="7">
        <f>IF($E300="","",Z300-AE300)</f>
        <v/>
      </c>
      <c r="AG300" s="7">
        <f>IF($E300="","",AF300-Q300)</f>
        <v/>
      </c>
      <c r="AK300" s="7" t="n"/>
      <c r="AN300" s="14" t="n"/>
      <c r="AQ300">
        <f>IF($E300="","",IF(COUNTIF($E$2:$E300,$E300)=1,1,0))</f>
        <v/>
      </c>
      <c r="AR300">
        <f>IF($AQ300=1,SUMPRODUCT(--($AU$2:$AU$1501&lt;$AU300))+1,"")</f>
        <v/>
      </c>
      <c r="AS300">
        <f>IF($E300="","",IF(OR($U300=TRUE(),$U300="TRUE"),1,0))</f>
        <v/>
      </c>
      <c r="AT300">
        <f>IF($E300="","",IF($AC300="Yes",1,0))</f>
        <v/>
      </c>
      <c r="AU300">
        <f>IF($AQ300=1,IFERROR(IF(VALUE($E300)&lt;100000000,VALUE($E300),1000000000),IFERROR(IF(VALUE(MID($E300,2,20))&lt;100000000,VALUE(MID($E300,2,20)),1000000000),1000000000))+ROW()/100000,"")</f>
        <v/>
      </c>
    </row>
    <row r="301">
      <c r="G301" s="14" t="n"/>
      <c r="Q301" s="7">
        <f>IF($E301="","",P301*Z301/100)</f>
        <v/>
      </c>
      <c r="R301" s="7" t="n"/>
      <c r="Y301" s="7" t="n"/>
      <c r="Z301" s="7" t="n"/>
      <c r="AA301" s="7" t="n"/>
      <c r="AD301">
        <f>IF($E301="","",IF($AT301=1,Settings!$C$8,IF($AS301=1,Settings!$C$6,Settings!$C$7))*100)</f>
        <v/>
      </c>
      <c r="AE301" s="7">
        <f>IF($E301="","",Z301*AD301/100)</f>
        <v/>
      </c>
      <c r="AF301" s="7">
        <f>IF($E301="","",Z301-AE301)</f>
        <v/>
      </c>
      <c r="AG301" s="7">
        <f>IF($E301="","",AF301-Q301)</f>
        <v/>
      </c>
      <c r="AK301" s="7" t="n"/>
      <c r="AN301" s="14" t="n"/>
      <c r="AQ301">
        <f>IF($E301="","",IF(COUNTIF($E$2:$E301,$E301)=1,1,0))</f>
        <v/>
      </c>
      <c r="AR301">
        <f>IF($AQ301=1,SUMPRODUCT(--($AU$2:$AU$1501&lt;$AU301))+1,"")</f>
        <v/>
      </c>
      <c r="AS301">
        <f>IF($E301="","",IF(OR($U301=TRUE(),$U301="TRUE"),1,0))</f>
        <v/>
      </c>
      <c r="AT301">
        <f>IF($E301="","",IF($AC301="Yes",1,0))</f>
        <v/>
      </c>
      <c r="AU301">
        <f>IF($AQ301=1,IFERROR(IF(VALUE($E301)&lt;100000000,VALUE($E301),1000000000),IFERROR(IF(VALUE(MID($E301,2,20))&lt;100000000,VALUE(MID($E301,2,20)),1000000000),1000000000))+ROW()/100000,"")</f>
        <v/>
      </c>
    </row>
    <row r="302">
      <c r="G302" s="14" t="n"/>
      <c r="Q302" s="7">
        <f>IF($E302="","",P302*Z302/100)</f>
        <v/>
      </c>
      <c r="R302" s="7" t="n"/>
      <c r="Y302" s="7" t="n"/>
      <c r="Z302" s="7" t="n"/>
      <c r="AA302" s="7" t="n"/>
      <c r="AD302">
        <f>IF($E302="","",IF($AT302=1,Settings!$C$8,IF($AS302=1,Settings!$C$6,Settings!$C$7))*100)</f>
        <v/>
      </c>
      <c r="AE302" s="7">
        <f>IF($E302="","",Z302*AD302/100)</f>
        <v/>
      </c>
      <c r="AF302" s="7">
        <f>IF($E302="","",Z302-AE302)</f>
        <v/>
      </c>
      <c r="AG302" s="7">
        <f>IF($E302="","",AF302-Q302)</f>
        <v/>
      </c>
      <c r="AK302" s="7" t="n"/>
      <c r="AN302" s="14" t="n"/>
      <c r="AQ302">
        <f>IF($E302="","",IF(COUNTIF($E$2:$E302,$E302)=1,1,0))</f>
        <v/>
      </c>
      <c r="AR302">
        <f>IF($AQ302=1,SUMPRODUCT(--($AU$2:$AU$1501&lt;$AU302))+1,"")</f>
        <v/>
      </c>
      <c r="AS302">
        <f>IF($E302="","",IF(OR($U302=TRUE(),$U302="TRUE"),1,0))</f>
        <v/>
      </c>
      <c r="AT302">
        <f>IF($E302="","",IF($AC302="Yes",1,0))</f>
        <v/>
      </c>
      <c r="AU302">
        <f>IF($AQ302=1,IFERROR(IF(VALUE($E302)&lt;100000000,VALUE($E302),1000000000),IFERROR(IF(VALUE(MID($E302,2,20))&lt;100000000,VALUE(MID($E302,2,20)),1000000000),1000000000))+ROW()/100000,"")</f>
        <v/>
      </c>
    </row>
    <row r="303">
      <c r="G303" s="14" t="n"/>
      <c r="Q303" s="7">
        <f>IF($E303="","",P303*Z303/100)</f>
        <v/>
      </c>
      <c r="R303" s="7" t="n"/>
      <c r="Y303" s="7" t="n"/>
      <c r="Z303" s="7" t="n"/>
      <c r="AA303" s="7" t="n"/>
      <c r="AD303">
        <f>IF($E303="","",IF($AT303=1,Settings!$C$8,IF($AS303=1,Settings!$C$6,Settings!$C$7))*100)</f>
        <v/>
      </c>
      <c r="AE303" s="7">
        <f>IF($E303="","",Z303*AD303/100)</f>
        <v/>
      </c>
      <c r="AF303" s="7">
        <f>IF($E303="","",Z303-AE303)</f>
        <v/>
      </c>
      <c r="AG303" s="7">
        <f>IF($E303="","",AF303-Q303)</f>
        <v/>
      </c>
      <c r="AK303" s="7" t="n"/>
      <c r="AN303" s="14" t="n"/>
      <c r="AQ303">
        <f>IF($E303="","",IF(COUNTIF($E$2:$E303,$E303)=1,1,0))</f>
        <v/>
      </c>
      <c r="AR303">
        <f>IF($AQ303=1,SUMPRODUCT(--($AU$2:$AU$1501&lt;$AU303))+1,"")</f>
        <v/>
      </c>
      <c r="AS303">
        <f>IF($E303="","",IF(OR($U303=TRUE(),$U303="TRUE"),1,0))</f>
        <v/>
      </c>
      <c r="AT303">
        <f>IF($E303="","",IF($AC303="Yes",1,0))</f>
        <v/>
      </c>
      <c r="AU303">
        <f>IF($AQ303=1,IFERROR(IF(VALUE($E303)&lt;100000000,VALUE($E303),1000000000),IFERROR(IF(VALUE(MID($E303,2,20))&lt;100000000,VALUE(MID($E303,2,20)),1000000000),1000000000))+ROW()/100000,"")</f>
        <v/>
      </c>
    </row>
    <row r="304">
      <c r="G304" s="14" t="n"/>
      <c r="Q304" s="7">
        <f>IF($E304="","",P304*Z304/100)</f>
        <v/>
      </c>
      <c r="R304" s="7" t="n"/>
      <c r="Y304" s="7" t="n"/>
      <c r="Z304" s="7" t="n"/>
      <c r="AA304" s="7" t="n"/>
      <c r="AD304">
        <f>IF($E304="","",IF($AT304=1,Settings!$C$8,IF($AS304=1,Settings!$C$6,Settings!$C$7))*100)</f>
        <v/>
      </c>
      <c r="AE304" s="7">
        <f>IF($E304="","",Z304*AD304/100)</f>
        <v/>
      </c>
      <c r="AF304" s="7">
        <f>IF($E304="","",Z304-AE304)</f>
        <v/>
      </c>
      <c r="AG304" s="7">
        <f>IF($E304="","",AF304-Q304)</f>
        <v/>
      </c>
      <c r="AK304" s="7" t="n"/>
      <c r="AN304" s="14" t="n"/>
      <c r="AQ304">
        <f>IF($E304="","",IF(COUNTIF($E$2:$E304,$E304)=1,1,0))</f>
        <v/>
      </c>
      <c r="AR304">
        <f>IF($AQ304=1,SUMPRODUCT(--($AU$2:$AU$1501&lt;$AU304))+1,"")</f>
        <v/>
      </c>
      <c r="AS304">
        <f>IF($E304="","",IF(OR($U304=TRUE(),$U304="TRUE"),1,0))</f>
        <v/>
      </c>
      <c r="AT304">
        <f>IF($E304="","",IF($AC304="Yes",1,0))</f>
        <v/>
      </c>
      <c r="AU304">
        <f>IF($AQ304=1,IFERROR(IF(VALUE($E304)&lt;100000000,VALUE($E304),1000000000),IFERROR(IF(VALUE(MID($E304,2,20))&lt;100000000,VALUE(MID($E304,2,20)),1000000000),1000000000))+ROW()/100000,"")</f>
        <v/>
      </c>
    </row>
    <row r="305">
      <c r="G305" s="14" t="n"/>
      <c r="Q305" s="7">
        <f>IF($E305="","",P305*Z305/100)</f>
        <v/>
      </c>
      <c r="R305" s="7" t="n"/>
      <c r="Y305" s="7" t="n"/>
      <c r="Z305" s="7" t="n"/>
      <c r="AA305" s="7" t="n"/>
      <c r="AD305">
        <f>IF($E305="","",IF($AT305=1,Settings!$C$8,IF($AS305=1,Settings!$C$6,Settings!$C$7))*100)</f>
        <v/>
      </c>
      <c r="AE305" s="7">
        <f>IF($E305="","",Z305*AD305/100)</f>
        <v/>
      </c>
      <c r="AF305" s="7">
        <f>IF($E305="","",Z305-AE305)</f>
        <v/>
      </c>
      <c r="AG305" s="7">
        <f>IF($E305="","",AF305-Q305)</f>
        <v/>
      </c>
      <c r="AK305" s="7" t="n"/>
      <c r="AN305" s="14" t="n"/>
      <c r="AQ305">
        <f>IF($E305="","",IF(COUNTIF($E$2:$E305,$E305)=1,1,0))</f>
        <v/>
      </c>
      <c r="AR305">
        <f>IF($AQ305=1,SUMPRODUCT(--($AU$2:$AU$1501&lt;$AU305))+1,"")</f>
        <v/>
      </c>
      <c r="AS305">
        <f>IF($E305="","",IF(OR($U305=TRUE(),$U305="TRUE"),1,0))</f>
        <v/>
      </c>
      <c r="AT305">
        <f>IF($E305="","",IF($AC305="Yes",1,0))</f>
        <v/>
      </c>
      <c r="AU305">
        <f>IF($AQ305=1,IFERROR(IF(VALUE($E305)&lt;100000000,VALUE($E305),1000000000),IFERROR(IF(VALUE(MID($E305,2,20))&lt;100000000,VALUE(MID($E305,2,20)),1000000000),1000000000))+ROW()/100000,"")</f>
        <v/>
      </c>
    </row>
    <row r="306">
      <c r="G306" s="14" t="n"/>
      <c r="Q306" s="7">
        <f>IF($E306="","",P306*Z306/100)</f>
        <v/>
      </c>
      <c r="R306" s="7" t="n"/>
      <c r="Y306" s="7" t="n"/>
      <c r="Z306" s="7" t="n"/>
      <c r="AA306" s="7" t="n"/>
      <c r="AD306">
        <f>IF($E306="","",IF($AT306=1,Settings!$C$8,IF($AS306=1,Settings!$C$6,Settings!$C$7))*100)</f>
        <v/>
      </c>
      <c r="AE306" s="7">
        <f>IF($E306="","",Z306*AD306/100)</f>
        <v/>
      </c>
      <c r="AF306" s="7">
        <f>IF($E306="","",Z306-AE306)</f>
        <v/>
      </c>
      <c r="AG306" s="7">
        <f>IF($E306="","",AF306-Q306)</f>
        <v/>
      </c>
      <c r="AK306" s="7" t="n"/>
      <c r="AN306" s="14" t="n"/>
      <c r="AQ306">
        <f>IF($E306="","",IF(COUNTIF($E$2:$E306,$E306)=1,1,0))</f>
        <v/>
      </c>
      <c r="AR306">
        <f>IF($AQ306=1,SUMPRODUCT(--($AU$2:$AU$1501&lt;$AU306))+1,"")</f>
        <v/>
      </c>
      <c r="AS306">
        <f>IF($E306="","",IF(OR($U306=TRUE(),$U306="TRUE"),1,0))</f>
        <v/>
      </c>
      <c r="AT306">
        <f>IF($E306="","",IF($AC306="Yes",1,0))</f>
        <v/>
      </c>
      <c r="AU306">
        <f>IF($AQ306=1,IFERROR(IF(VALUE($E306)&lt;100000000,VALUE($E306),1000000000),IFERROR(IF(VALUE(MID($E306,2,20))&lt;100000000,VALUE(MID($E306,2,20)),1000000000),1000000000))+ROW()/100000,"")</f>
        <v/>
      </c>
    </row>
    <row r="307">
      <c r="G307" s="14" t="n"/>
      <c r="Q307" s="7">
        <f>IF($E307="","",P307*Z307/100)</f>
        <v/>
      </c>
      <c r="R307" s="7" t="n"/>
      <c r="Y307" s="7" t="n"/>
      <c r="Z307" s="7" t="n"/>
      <c r="AA307" s="7" t="n"/>
      <c r="AD307">
        <f>IF($E307="","",IF($AT307=1,Settings!$C$8,IF($AS307=1,Settings!$C$6,Settings!$C$7))*100)</f>
        <v/>
      </c>
      <c r="AE307" s="7">
        <f>IF($E307="","",Z307*AD307/100)</f>
        <v/>
      </c>
      <c r="AF307" s="7">
        <f>IF($E307="","",Z307-AE307)</f>
        <v/>
      </c>
      <c r="AG307" s="7">
        <f>IF($E307="","",AF307-Q307)</f>
        <v/>
      </c>
      <c r="AK307" s="7" t="n"/>
      <c r="AN307" s="14" t="n"/>
      <c r="AQ307">
        <f>IF($E307="","",IF(COUNTIF($E$2:$E307,$E307)=1,1,0))</f>
        <v/>
      </c>
      <c r="AR307">
        <f>IF($AQ307=1,SUMPRODUCT(--($AU$2:$AU$1501&lt;$AU307))+1,"")</f>
        <v/>
      </c>
      <c r="AS307">
        <f>IF($E307="","",IF(OR($U307=TRUE(),$U307="TRUE"),1,0))</f>
        <v/>
      </c>
      <c r="AT307">
        <f>IF($E307="","",IF($AC307="Yes",1,0))</f>
        <v/>
      </c>
      <c r="AU307">
        <f>IF($AQ307=1,IFERROR(IF(VALUE($E307)&lt;100000000,VALUE($E307),1000000000),IFERROR(IF(VALUE(MID($E307,2,20))&lt;100000000,VALUE(MID($E307,2,20)),1000000000),1000000000))+ROW()/100000,"")</f>
        <v/>
      </c>
    </row>
    <row r="308">
      <c r="G308" s="14" t="n"/>
      <c r="Q308" s="7">
        <f>IF($E308="","",P308*Z308/100)</f>
        <v/>
      </c>
      <c r="R308" s="7" t="n"/>
      <c r="Y308" s="7" t="n"/>
      <c r="Z308" s="7" t="n"/>
      <c r="AA308" s="7" t="n"/>
      <c r="AD308">
        <f>IF($E308="","",IF($AT308=1,Settings!$C$8,IF($AS308=1,Settings!$C$6,Settings!$C$7))*100)</f>
        <v/>
      </c>
      <c r="AE308" s="7">
        <f>IF($E308="","",Z308*AD308/100)</f>
        <v/>
      </c>
      <c r="AF308" s="7">
        <f>IF($E308="","",Z308-AE308)</f>
        <v/>
      </c>
      <c r="AG308" s="7">
        <f>IF($E308="","",AF308-Q308)</f>
        <v/>
      </c>
      <c r="AK308" s="7" t="n"/>
      <c r="AN308" s="14" t="n"/>
      <c r="AQ308">
        <f>IF($E308="","",IF(COUNTIF($E$2:$E308,$E308)=1,1,0))</f>
        <v/>
      </c>
      <c r="AR308">
        <f>IF($AQ308=1,SUMPRODUCT(--($AU$2:$AU$1501&lt;$AU308))+1,"")</f>
        <v/>
      </c>
      <c r="AS308">
        <f>IF($E308="","",IF(OR($U308=TRUE(),$U308="TRUE"),1,0))</f>
        <v/>
      </c>
      <c r="AT308">
        <f>IF($E308="","",IF($AC308="Yes",1,0))</f>
        <v/>
      </c>
      <c r="AU308">
        <f>IF($AQ308=1,IFERROR(IF(VALUE($E308)&lt;100000000,VALUE($E308),1000000000),IFERROR(IF(VALUE(MID($E308,2,20))&lt;100000000,VALUE(MID($E308,2,20)),1000000000),1000000000))+ROW()/100000,"")</f>
        <v/>
      </c>
    </row>
    <row r="309">
      <c r="G309" s="14" t="n"/>
      <c r="Q309" s="7">
        <f>IF($E309="","",P309*Z309/100)</f>
        <v/>
      </c>
      <c r="R309" s="7" t="n"/>
      <c r="Y309" s="7" t="n"/>
      <c r="Z309" s="7" t="n"/>
      <c r="AA309" s="7" t="n"/>
      <c r="AD309">
        <f>IF($E309="","",IF($AT309=1,Settings!$C$8,IF($AS309=1,Settings!$C$6,Settings!$C$7))*100)</f>
        <v/>
      </c>
      <c r="AE309" s="7">
        <f>IF($E309="","",Z309*AD309/100)</f>
        <v/>
      </c>
      <c r="AF309" s="7">
        <f>IF($E309="","",Z309-AE309)</f>
        <v/>
      </c>
      <c r="AG309" s="7">
        <f>IF($E309="","",AF309-Q309)</f>
        <v/>
      </c>
      <c r="AK309" s="7" t="n"/>
      <c r="AN309" s="14" t="n"/>
      <c r="AQ309">
        <f>IF($E309="","",IF(COUNTIF($E$2:$E309,$E309)=1,1,0))</f>
        <v/>
      </c>
      <c r="AR309">
        <f>IF($AQ309=1,SUMPRODUCT(--($AU$2:$AU$1501&lt;$AU309))+1,"")</f>
        <v/>
      </c>
      <c r="AS309">
        <f>IF($E309="","",IF(OR($U309=TRUE(),$U309="TRUE"),1,0))</f>
        <v/>
      </c>
      <c r="AT309">
        <f>IF($E309="","",IF($AC309="Yes",1,0))</f>
        <v/>
      </c>
      <c r="AU309">
        <f>IF($AQ309=1,IFERROR(IF(VALUE($E309)&lt;100000000,VALUE($E309),1000000000),IFERROR(IF(VALUE(MID($E309,2,20))&lt;100000000,VALUE(MID($E309,2,20)),1000000000),1000000000))+ROW()/100000,"")</f>
        <v/>
      </c>
    </row>
    <row r="310">
      <c r="G310" s="14" t="n"/>
      <c r="Q310" s="7">
        <f>IF($E310="","",P310*Z310/100)</f>
        <v/>
      </c>
      <c r="R310" s="7" t="n"/>
      <c r="Y310" s="7" t="n"/>
      <c r="Z310" s="7" t="n"/>
      <c r="AA310" s="7" t="n"/>
      <c r="AD310">
        <f>IF($E310="","",IF($AT310=1,Settings!$C$8,IF($AS310=1,Settings!$C$6,Settings!$C$7))*100)</f>
        <v/>
      </c>
      <c r="AE310" s="7">
        <f>IF($E310="","",Z310*AD310/100)</f>
        <v/>
      </c>
      <c r="AF310" s="7">
        <f>IF($E310="","",Z310-AE310)</f>
        <v/>
      </c>
      <c r="AG310" s="7">
        <f>IF($E310="","",AF310-Q310)</f>
        <v/>
      </c>
      <c r="AK310" s="7" t="n"/>
      <c r="AN310" s="14" t="n"/>
      <c r="AQ310">
        <f>IF($E310="","",IF(COUNTIF($E$2:$E310,$E310)=1,1,0))</f>
        <v/>
      </c>
      <c r="AR310">
        <f>IF($AQ310=1,SUMPRODUCT(--($AU$2:$AU$1501&lt;$AU310))+1,"")</f>
        <v/>
      </c>
      <c r="AS310">
        <f>IF($E310="","",IF(OR($U310=TRUE(),$U310="TRUE"),1,0))</f>
        <v/>
      </c>
      <c r="AT310">
        <f>IF($E310="","",IF($AC310="Yes",1,0))</f>
        <v/>
      </c>
      <c r="AU310">
        <f>IF($AQ310=1,IFERROR(IF(VALUE($E310)&lt;100000000,VALUE($E310),1000000000),IFERROR(IF(VALUE(MID($E310,2,20))&lt;100000000,VALUE(MID($E310,2,20)),1000000000),1000000000))+ROW()/100000,"")</f>
        <v/>
      </c>
    </row>
    <row r="311">
      <c r="G311" s="14" t="n"/>
      <c r="Q311" s="7">
        <f>IF($E311="","",P311*Z311/100)</f>
        <v/>
      </c>
      <c r="R311" s="7" t="n"/>
      <c r="Y311" s="7" t="n"/>
      <c r="Z311" s="7" t="n"/>
      <c r="AA311" s="7" t="n"/>
      <c r="AD311">
        <f>IF($E311="","",IF($AT311=1,Settings!$C$8,IF($AS311=1,Settings!$C$6,Settings!$C$7))*100)</f>
        <v/>
      </c>
      <c r="AE311" s="7">
        <f>IF($E311="","",Z311*AD311/100)</f>
        <v/>
      </c>
      <c r="AF311" s="7">
        <f>IF($E311="","",Z311-AE311)</f>
        <v/>
      </c>
      <c r="AG311" s="7">
        <f>IF($E311="","",AF311-Q311)</f>
        <v/>
      </c>
      <c r="AK311" s="7" t="n"/>
      <c r="AN311" s="14" t="n"/>
      <c r="AQ311">
        <f>IF($E311="","",IF(COUNTIF($E$2:$E311,$E311)=1,1,0))</f>
        <v/>
      </c>
      <c r="AR311">
        <f>IF($AQ311=1,SUMPRODUCT(--($AU$2:$AU$1501&lt;$AU311))+1,"")</f>
        <v/>
      </c>
      <c r="AS311">
        <f>IF($E311="","",IF(OR($U311=TRUE(),$U311="TRUE"),1,0))</f>
        <v/>
      </c>
      <c r="AT311">
        <f>IF($E311="","",IF($AC311="Yes",1,0))</f>
        <v/>
      </c>
      <c r="AU311">
        <f>IF($AQ311=1,IFERROR(IF(VALUE($E311)&lt;100000000,VALUE($E311),1000000000),IFERROR(IF(VALUE(MID($E311,2,20))&lt;100000000,VALUE(MID($E311,2,20)),1000000000),1000000000))+ROW()/100000,"")</f>
        <v/>
      </c>
    </row>
    <row r="312">
      <c r="G312" s="14" t="n"/>
      <c r="Q312" s="7">
        <f>IF($E312="","",P312*Z312/100)</f>
        <v/>
      </c>
      <c r="R312" s="7" t="n"/>
      <c r="Y312" s="7" t="n"/>
      <c r="Z312" s="7" t="n"/>
      <c r="AA312" s="7" t="n"/>
      <c r="AD312">
        <f>IF($E312="","",IF($AT312=1,Settings!$C$8,IF($AS312=1,Settings!$C$6,Settings!$C$7))*100)</f>
        <v/>
      </c>
      <c r="AE312" s="7">
        <f>IF($E312="","",Z312*AD312/100)</f>
        <v/>
      </c>
      <c r="AF312" s="7">
        <f>IF($E312="","",Z312-AE312)</f>
        <v/>
      </c>
      <c r="AG312" s="7">
        <f>IF($E312="","",AF312-Q312)</f>
        <v/>
      </c>
      <c r="AK312" s="7" t="n"/>
      <c r="AN312" s="14" t="n"/>
      <c r="AQ312">
        <f>IF($E312="","",IF(COUNTIF($E$2:$E312,$E312)=1,1,0))</f>
        <v/>
      </c>
      <c r="AR312">
        <f>IF($AQ312=1,SUMPRODUCT(--($AU$2:$AU$1501&lt;$AU312))+1,"")</f>
        <v/>
      </c>
      <c r="AS312">
        <f>IF($E312="","",IF(OR($U312=TRUE(),$U312="TRUE"),1,0))</f>
        <v/>
      </c>
      <c r="AT312">
        <f>IF($E312="","",IF($AC312="Yes",1,0))</f>
        <v/>
      </c>
      <c r="AU312">
        <f>IF($AQ312=1,IFERROR(IF(VALUE($E312)&lt;100000000,VALUE($E312),1000000000),IFERROR(IF(VALUE(MID($E312,2,20))&lt;100000000,VALUE(MID($E312,2,20)),1000000000),1000000000))+ROW()/100000,"")</f>
        <v/>
      </c>
    </row>
    <row r="313">
      <c r="G313" s="14" t="n"/>
      <c r="Q313" s="7">
        <f>IF($E313="","",P313*Z313/100)</f>
        <v/>
      </c>
      <c r="R313" s="7" t="n"/>
      <c r="Y313" s="7" t="n"/>
      <c r="Z313" s="7" t="n"/>
      <c r="AA313" s="7" t="n"/>
      <c r="AD313">
        <f>IF($E313="","",IF($AT313=1,Settings!$C$8,IF($AS313=1,Settings!$C$6,Settings!$C$7))*100)</f>
        <v/>
      </c>
      <c r="AE313" s="7">
        <f>IF($E313="","",Z313*AD313/100)</f>
        <v/>
      </c>
      <c r="AF313" s="7">
        <f>IF($E313="","",Z313-AE313)</f>
        <v/>
      </c>
      <c r="AG313" s="7">
        <f>IF($E313="","",AF313-Q313)</f>
        <v/>
      </c>
      <c r="AK313" s="7" t="n"/>
      <c r="AN313" s="14" t="n"/>
      <c r="AQ313">
        <f>IF($E313="","",IF(COUNTIF($E$2:$E313,$E313)=1,1,0))</f>
        <v/>
      </c>
      <c r="AR313">
        <f>IF($AQ313=1,SUMPRODUCT(--($AU$2:$AU$1501&lt;$AU313))+1,"")</f>
        <v/>
      </c>
      <c r="AS313">
        <f>IF($E313="","",IF(OR($U313=TRUE(),$U313="TRUE"),1,0))</f>
        <v/>
      </c>
      <c r="AT313">
        <f>IF($E313="","",IF($AC313="Yes",1,0))</f>
        <v/>
      </c>
      <c r="AU313">
        <f>IF($AQ313=1,IFERROR(IF(VALUE($E313)&lt;100000000,VALUE($E313),1000000000),IFERROR(IF(VALUE(MID($E313,2,20))&lt;100000000,VALUE(MID($E313,2,20)),1000000000),1000000000))+ROW()/100000,"")</f>
        <v/>
      </c>
    </row>
    <row r="314">
      <c r="G314" s="14" t="n"/>
      <c r="Q314" s="7">
        <f>IF($E314="","",P314*Z314/100)</f>
        <v/>
      </c>
      <c r="R314" s="7" t="n"/>
      <c r="Y314" s="7" t="n"/>
      <c r="Z314" s="7" t="n"/>
      <c r="AA314" s="7" t="n"/>
      <c r="AD314">
        <f>IF($E314="","",IF($AT314=1,Settings!$C$8,IF($AS314=1,Settings!$C$6,Settings!$C$7))*100)</f>
        <v/>
      </c>
      <c r="AE314" s="7">
        <f>IF($E314="","",Z314*AD314/100)</f>
        <v/>
      </c>
      <c r="AF314" s="7">
        <f>IF($E314="","",Z314-AE314)</f>
        <v/>
      </c>
      <c r="AG314" s="7">
        <f>IF($E314="","",AF314-Q314)</f>
        <v/>
      </c>
      <c r="AK314" s="7" t="n"/>
      <c r="AN314" s="14" t="n"/>
      <c r="AQ314">
        <f>IF($E314="","",IF(COUNTIF($E$2:$E314,$E314)=1,1,0))</f>
        <v/>
      </c>
      <c r="AR314">
        <f>IF($AQ314=1,SUMPRODUCT(--($AU$2:$AU$1501&lt;$AU314))+1,"")</f>
        <v/>
      </c>
      <c r="AS314">
        <f>IF($E314="","",IF(OR($U314=TRUE(),$U314="TRUE"),1,0))</f>
        <v/>
      </c>
      <c r="AT314">
        <f>IF($E314="","",IF($AC314="Yes",1,0))</f>
        <v/>
      </c>
      <c r="AU314">
        <f>IF($AQ314=1,IFERROR(IF(VALUE($E314)&lt;100000000,VALUE($E314),1000000000),IFERROR(IF(VALUE(MID($E314,2,20))&lt;100000000,VALUE(MID($E314,2,20)),1000000000),1000000000))+ROW()/100000,"")</f>
        <v/>
      </c>
    </row>
    <row r="315">
      <c r="G315" s="14" t="n"/>
      <c r="Q315" s="7">
        <f>IF($E315="","",P315*Z315/100)</f>
        <v/>
      </c>
      <c r="R315" s="7" t="n"/>
      <c r="Y315" s="7" t="n"/>
      <c r="Z315" s="7" t="n"/>
      <c r="AA315" s="7" t="n"/>
      <c r="AD315">
        <f>IF($E315="","",IF($AT315=1,Settings!$C$8,IF($AS315=1,Settings!$C$6,Settings!$C$7))*100)</f>
        <v/>
      </c>
      <c r="AE315" s="7">
        <f>IF($E315="","",Z315*AD315/100)</f>
        <v/>
      </c>
      <c r="AF315" s="7">
        <f>IF($E315="","",Z315-AE315)</f>
        <v/>
      </c>
      <c r="AG315" s="7">
        <f>IF($E315="","",AF315-Q315)</f>
        <v/>
      </c>
      <c r="AK315" s="7" t="n"/>
      <c r="AN315" s="14" t="n"/>
      <c r="AQ315">
        <f>IF($E315="","",IF(COUNTIF($E$2:$E315,$E315)=1,1,0))</f>
        <v/>
      </c>
      <c r="AR315">
        <f>IF($AQ315=1,SUMPRODUCT(--($AU$2:$AU$1501&lt;$AU315))+1,"")</f>
        <v/>
      </c>
      <c r="AS315">
        <f>IF($E315="","",IF(OR($U315=TRUE(),$U315="TRUE"),1,0))</f>
        <v/>
      </c>
      <c r="AT315">
        <f>IF($E315="","",IF($AC315="Yes",1,0))</f>
        <v/>
      </c>
      <c r="AU315">
        <f>IF($AQ315=1,IFERROR(IF(VALUE($E315)&lt;100000000,VALUE($E315),1000000000),IFERROR(IF(VALUE(MID($E315,2,20))&lt;100000000,VALUE(MID($E315,2,20)),1000000000),1000000000))+ROW()/100000,"")</f>
        <v/>
      </c>
    </row>
    <row r="316">
      <c r="G316" s="14" t="n"/>
      <c r="Q316" s="7">
        <f>IF($E316="","",P316*Z316/100)</f>
        <v/>
      </c>
      <c r="R316" s="7" t="n"/>
      <c r="Y316" s="7" t="n"/>
      <c r="Z316" s="7" t="n"/>
      <c r="AA316" s="7" t="n"/>
      <c r="AD316">
        <f>IF($E316="","",IF($AT316=1,Settings!$C$8,IF($AS316=1,Settings!$C$6,Settings!$C$7))*100)</f>
        <v/>
      </c>
      <c r="AE316" s="7">
        <f>IF($E316="","",Z316*AD316/100)</f>
        <v/>
      </c>
      <c r="AF316" s="7">
        <f>IF($E316="","",Z316-AE316)</f>
        <v/>
      </c>
      <c r="AG316" s="7">
        <f>IF($E316="","",AF316-Q316)</f>
        <v/>
      </c>
      <c r="AK316" s="7" t="n"/>
      <c r="AN316" s="14" t="n"/>
      <c r="AQ316">
        <f>IF($E316="","",IF(COUNTIF($E$2:$E316,$E316)=1,1,0))</f>
        <v/>
      </c>
      <c r="AR316">
        <f>IF($AQ316=1,SUMPRODUCT(--($AU$2:$AU$1501&lt;$AU316))+1,"")</f>
        <v/>
      </c>
      <c r="AS316">
        <f>IF($E316="","",IF(OR($U316=TRUE(),$U316="TRUE"),1,0))</f>
        <v/>
      </c>
      <c r="AT316">
        <f>IF($E316="","",IF($AC316="Yes",1,0))</f>
        <v/>
      </c>
      <c r="AU316">
        <f>IF($AQ316=1,IFERROR(IF(VALUE($E316)&lt;100000000,VALUE($E316),1000000000),IFERROR(IF(VALUE(MID($E316,2,20))&lt;100000000,VALUE(MID($E316,2,20)),1000000000),1000000000))+ROW()/100000,"")</f>
        <v/>
      </c>
    </row>
    <row r="317">
      <c r="G317" s="14" t="n"/>
      <c r="Q317" s="7">
        <f>IF($E317="","",P317*Z317/100)</f>
        <v/>
      </c>
      <c r="R317" s="7" t="n"/>
      <c r="Y317" s="7" t="n"/>
      <c r="Z317" s="7" t="n"/>
      <c r="AA317" s="7" t="n"/>
      <c r="AD317">
        <f>IF($E317="","",IF($AT317=1,Settings!$C$8,IF($AS317=1,Settings!$C$6,Settings!$C$7))*100)</f>
        <v/>
      </c>
      <c r="AE317" s="7">
        <f>IF($E317="","",Z317*AD317/100)</f>
        <v/>
      </c>
      <c r="AF317" s="7">
        <f>IF($E317="","",Z317-AE317)</f>
        <v/>
      </c>
      <c r="AG317" s="7">
        <f>IF($E317="","",AF317-Q317)</f>
        <v/>
      </c>
      <c r="AK317" s="7" t="n"/>
      <c r="AN317" s="14" t="n"/>
      <c r="AQ317">
        <f>IF($E317="","",IF(COUNTIF($E$2:$E317,$E317)=1,1,0))</f>
        <v/>
      </c>
      <c r="AR317">
        <f>IF($AQ317=1,SUMPRODUCT(--($AU$2:$AU$1501&lt;$AU317))+1,"")</f>
        <v/>
      </c>
      <c r="AS317">
        <f>IF($E317="","",IF(OR($U317=TRUE(),$U317="TRUE"),1,0))</f>
        <v/>
      </c>
      <c r="AT317">
        <f>IF($E317="","",IF($AC317="Yes",1,0))</f>
        <v/>
      </c>
      <c r="AU317">
        <f>IF($AQ317=1,IFERROR(IF(VALUE($E317)&lt;100000000,VALUE($E317),1000000000),IFERROR(IF(VALUE(MID($E317,2,20))&lt;100000000,VALUE(MID($E317,2,20)),1000000000),1000000000))+ROW()/100000,"")</f>
        <v/>
      </c>
    </row>
    <row r="318">
      <c r="G318" s="14" t="n"/>
      <c r="Q318" s="7">
        <f>IF($E318="","",P318*Z318/100)</f>
        <v/>
      </c>
      <c r="R318" s="7" t="n"/>
      <c r="Y318" s="7" t="n"/>
      <c r="Z318" s="7" t="n"/>
      <c r="AA318" s="7" t="n"/>
      <c r="AD318">
        <f>IF($E318="","",IF($AT318=1,Settings!$C$8,IF($AS318=1,Settings!$C$6,Settings!$C$7))*100)</f>
        <v/>
      </c>
      <c r="AE318" s="7">
        <f>IF($E318="","",Z318*AD318/100)</f>
        <v/>
      </c>
      <c r="AF318" s="7">
        <f>IF($E318="","",Z318-AE318)</f>
        <v/>
      </c>
      <c r="AG318" s="7">
        <f>IF($E318="","",AF318-Q318)</f>
        <v/>
      </c>
      <c r="AK318" s="7" t="n"/>
      <c r="AN318" s="14" t="n"/>
      <c r="AQ318">
        <f>IF($E318="","",IF(COUNTIF($E$2:$E318,$E318)=1,1,0))</f>
        <v/>
      </c>
      <c r="AR318">
        <f>IF($AQ318=1,SUMPRODUCT(--($AU$2:$AU$1501&lt;$AU318))+1,"")</f>
        <v/>
      </c>
      <c r="AS318">
        <f>IF($E318="","",IF(OR($U318=TRUE(),$U318="TRUE"),1,0))</f>
        <v/>
      </c>
      <c r="AT318">
        <f>IF($E318="","",IF($AC318="Yes",1,0))</f>
        <v/>
      </c>
      <c r="AU318">
        <f>IF($AQ318=1,IFERROR(IF(VALUE($E318)&lt;100000000,VALUE($E318),1000000000),IFERROR(IF(VALUE(MID($E318,2,20))&lt;100000000,VALUE(MID($E318,2,20)),1000000000),1000000000))+ROW()/100000,"")</f>
        <v/>
      </c>
    </row>
    <row r="319">
      <c r="G319" s="14" t="n"/>
      <c r="Q319" s="7">
        <f>IF($E319="","",P319*Z319/100)</f>
        <v/>
      </c>
      <c r="R319" s="7" t="n"/>
      <c r="Y319" s="7" t="n"/>
      <c r="Z319" s="7" t="n"/>
      <c r="AA319" s="7" t="n"/>
      <c r="AD319">
        <f>IF($E319="","",IF($AT319=1,Settings!$C$8,IF($AS319=1,Settings!$C$6,Settings!$C$7))*100)</f>
        <v/>
      </c>
      <c r="AE319" s="7">
        <f>IF($E319="","",Z319*AD319/100)</f>
        <v/>
      </c>
      <c r="AF319" s="7">
        <f>IF($E319="","",Z319-AE319)</f>
        <v/>
      </c>
      <c r="AG319" s="7">
        <f>IF($E319="","",AF319-Q319)</f>
        <v/>
      </c>
      <c r="AK319" s="7" t="n"/>
      <c r="AN319" s="14" t="n"/>
      <c r="AQ319">
        <f>IF($E319="","",IF(COUNTIF($E$2:$E319,$E319)=1,1,0))</f>
        <v/>
      </c>
      <c r="AR319">
        <f>IF($AQ319=1,SUMPRODUCT(--($AU$2:$AU$1501&lt;$AU319))+1,"")</f>
        <v/>
      </c>
      <c r="AS319">
        <f>IF($E319="","",IF(OR($U319=TRUE(),$U319="TRUE"),1,0))</f>
        <v/>
      </c>
      <c r="AT319">
        <f>IF($E319="","",IF($AC319="Yes",1,0))</f>
        <v/>
      </c>
      <c r="AU319">
        <f>IF($AQ319=1,IFERROR(IF(VALUE($E319)&lt;100000000,VALUE($E319),1000000000),IFERROR(IF(VALUE(MID($E319,2,20))&lt;100000000,VALUE(MID($E319,2,20)),1000000000),1000000000))+ROW()/100000,"")</f>
        <v/>
      </c>
    </row>
    <row r="320">
      <c r="G320" s="14" t="n"/>
      <c r="Q320" s="7">
        <f>IF($E320="","",P320*Z320/100)</f>
        <v/>
      </c>
      <c r="R320" s="7" t="n"/>
      <c r="Y320" s="7" t="n"/>
      <c r="Z320" s="7" t="n"/>
      <c r="AA320" s="7" t="n"/>
      <c r="AD320">
        <f>IF($E320="","",IF($AT320=1,Settings!$C$8,IF($AS320=1,Settings!$C$6,Settings!$C$7))*100)</f>
        <v/>
      </c>
      <c r="AE320" s="7">
        <f>IF($E320="","",Z320*AD320/100)</f>
        <v/>
      </c>
      <c r="AF320" s="7">
        <f>IF($E320="","",Z320-AE320)</f>
        <v/>
      </c>
      <c r="AG320" s="7">
        <f>IF($E320="","",AF320-Q320)</f>
        <v/>
      </c>
      <c r="AK320" s="7" t="n"/>
      <c r="AN320" s="14" t="n"/>
      <c r="AQ320">
        <f>IF($E320="","",IF(COUNTIF($E$2:$E320,$E320)=1,1,0))</f>
        <v/>
      </c>
      <c r="AR320">
        <f>IF($AQ320=1,SUMPRODUCT(--($AU$2:$AU$1501&lt;$AU320))+1,"")</f>
        <v/>
      </c>
      <c r="AS320">
        <f>IF($E320="","",IF(OR($U320=TRUE(),$U320="TRUE"),1,0))</f>
        <v/>
      </c>
      <c r="AT320">
        <f>IF($E320="","",IF($AC320="Yes",1,0))</f>
        <v/>
      </c>
      <c r="AU320">
        <f>IF($AQ320=1,IFERROR(IF(VALUE($E320)&lt;100000000,VALUE($E320),1000000000),IFERROR(IF(VALUE(MID($E320,2,20))&lt;100000000,VALUE(MID($E320,2,20)),1000000000),1000000000))+ROW()/100000,"")</f>
        <v/>
      </c>
    </row>
    <row r="321">
      <c r="G321" s="14" t="n"/>
      <c r="Q321" s="7">
        <f>IF($E321="","",P321*Z321/100)</f>
        <v/>
      </c>
      <c r="R321" s="7" t="n"/>
      <c r="Y321" s="7" t="n"/>
      <c r="Z321" s="7" t="n"/>
      <c r="AA321" s="7" t="n"/>
      <c r="AD321">
        <f>IF($E321="","",IF($AT321=1,Settings!$C$8,IF($AS321=1,Settings!$C$6,Settings!$C$7))*100)</f>
        <v/>
      </c>
      <c r="AE321" s="7">
        <f>IF($E321="","",Z321*AD321/100)</f>
        <v/>
      </c>
      <c r="AF321" s="7">
        <f>IF($E321="","",Z321-AE321)</f>
        <v/>
      </c>
      <c r="AG321" s="7">
        <f>IF($E321="","",AF321-Q321)</f>
        <v/>
      </c>
      <c r="AK321" s="7" t="n"/>
      <c r="AN321" s="14" t="n"/>
      <c r="AQ321">
        <f>IF($E321="","",IF(COUNTIF($E$2:$E321,$E321)=1,1,0))</f>
        <v/>
      </c>
      <c r="AR321">
        <f>IF($AQ321=1,SUMPRODUCT(--($AU$2:$AU$1501&lt;$AU321))+1,"")</f>
        <v/>
      </c>
      <c r="AS321">
        <f>IF($E321="","",IF(OR($U321=TRUE(),$U321="TRUE"),1,0))</f>
        <v/>
      </c>
      <c r="AT321">
        <f>IF($E321="","",IF($AC321="Yes",1,0))</f>
        <v/>
      </c>
      <c r="AU321">
        <f>IF($AQ321=1,IFERROR(IF(VALUE($E321)&lt;100000000,VALUE($E321),1000000000),IFERROR(IF(VALUE(MID($E321,2,20))&lt;100000000,VALUE(MID($E321,2,20)),1000000000),1000000000))+ROW()/100000,"")</f>
        <v/>
      </c>
    </row>
    <row r="322">
      <c r="G322" s="14" t="n"/>
      <c r="Q322" s="7">
        <f>IF($E322="","",P322*Z322/100)</f>
        <v/>
      </c>
      <c r="R322" s="7" t="n"/>
      <c r="Y322" s="7" t="n"/>
      <c r="Z322" s="7" t="n"/>
      <c r="AA322" s="7" t="n"/>
      <c r="AD322">
        <f>IF($E322="","",IF($AT322=1,Settings!$C$8,IF($AS322=1,Settings!$C$6,Settings!$C$7))*100)</f>
        <v/>
      </c>
      <c r="AE322" s="7">
        <f>IF($E322="","",Z322*AD322/100)</f>
        <v/>
      </c>
      <c r="AF322" s="7">
        <f>IF($E322="","",Z322-AE322)</f>
        <v/>
      </c>
      <c r="AG322" s="7">
        <f>IF($E322="","",AF322-Q322)</f>
        <v/>
      </c>
      <c r="AK322" s="7" t="n"/>
      <c r="AN322" s="14" t="n"/>
      <c r="AQ322">
        <f>IF($E322="","",IF(COUNTIF($E$2:$E322,$E322)=1,1,0))</f>
        <v/>
      </c>
      <c r="AR322">
        <f>IF($AQ322=1,SUMPRODUCT(--($AU$2:$AU$1501&lt;$AU322))+1,"")</f>
        <v/>
      </c>
      <c r="AS322">
        <f>IF($E322="","",IF(OR($U322=TRUE(),$U322="TRUE"),1,0))</f>
        <v/>
      </c>
      <c r="AT322">
        <f>IF($E322="","",IF($AC322="Yes",1,0))</f>
        <v/>
      </c>
      <c r="AU322">
        <f>IF($AQ322=1,IFERROR(IF(VALUE($E322)&lt;100000000,VALUE($E322),1000000000),IFERROR(IF(VALUE(MID($E322,2,20))&lt;100000000,VALUE(MID($E322,2,20)),1000000000),1000000000))+ROW()/100000,"")</f>
        <v/>
      </c>
    </row>
    <row r="323">
      <c r="G323" s="14" t="n"/>
      <c r="Q323" s="7">
        <f>IF($E323="","",P323*Z323/100)</f>
        <v/>
      </c>
      <c r="R323" s="7" t="n"/>
      <c r="Y323" s="7" t="n"/>
      <c r="Z323" s="7" t="n"/>
      <c r="AA323" s="7" t="n"/>
      <c r="AD323">
        <f>IF($E323="","",IF($AT323=1,Settings!$C$8,IF($AS323=1,Settings!$C$6,Settings!$C$7))*100)</f>
        <v/>
      </c>
      <c r="AE323" s="7">
        <f>IF($E323="","",Z323*AD323/100)</f>
        <v/>
      </c>
      <c r="AF323" s="7">
        <f>IF($E323="","",Z323-AE323)</f>
        <v/>
      </c>
      <c r="AG323" s="7">
        <f>IF($E323="","",AF323-Q323)</f>
        <v/>
      </c>
      <c r="AK323" s="7" t="n"/>
      <c r="AN323" s="14" t="n"/>
      <c r="AQ323">
        <f>IF($E323="","",IF(COUNTIF($E$2:$E323,$E323)=1,1,0))</f>
        <v/>
      </c>
      <c r="AR323">
        <f>IF($AQ323=1,SUMPRODUCT(--($AU$2:$AU$1501&lt;$AU323))+1,"")</f>
        <v/>
      </c>
      <c r="AS323">
        <f>IF($E323="","",IF(OR($U323=TRUE(),$U323="TRUE"),1,0))</f>
        <v/>
      </c>
      <c r="AT323">
        <f>IF($E323="","",IF($AC323="Yes",1,0))</f>
        <v/>
      </c>
      <c r="AU323">
        <f>IF($AQ323=1,IFERROR(IF(VALUE($E323)&lt;100000000,VALUE($E323),1000000000),IFERROR(IF(VALUE(MID($E323,2,20))&lt;100000000,VALUE(MID($E323,2,20)),1000000000),1000000000))+ROW()/100000,"")</f>
        <v/>
      </c>
    </row>
    <row r="324">
      <c r="G324" s="14" t="n"/>
      <c r="Q324" s="7">
        <f>IF($E324="","",P324*Z324/100)</f>
        <v/>
      </c>
      <c r="R324" s="7" t="n"/>
      <c r="Y324" s="7" t="n"/>
      <c r="Z324" s="7" t="n"/>
      <c r="AA324" s="7" t="n"/>
      <c r="AD324">
        <f>IF($E324="","",IF($AT324=1,Settings!$C$8,IF($AS324=1,Settings!$C$6,Settings!$C$7))*100)</f>
        <v/>
      </c>
      <c r="AE324" s="7">
        <f>IF($E324="","",Z324*AD324/100)</f>
        <v/>
      </c>
      <c r="AF324" s="7">
        <f>IF($E324="","",Z324-AE324)</f>
        <v/>
      </c>
      <c r="AG324" s="7">
        <f>IF($E324="","",AF324-Q324)</f>
        <v/>
      </c>
      <c r="AK324" s="7" t="n"/>
      <c r="AN324" s="14" t="n"/>
      <c r="AQ324">
        <f>IF($E324="","",IF(COUNTIF($E$2:$E324,$E324)=1,1,0))</f>
        <v/>
      </c>
      <c r="AR324">
        <f>IF($AQ324=1,SUMPRODUCT(--($AU$2:$AU$1501&lt;$AU324))+1,"")</f>
        <v/>
      </c>
      <c r="AS324">
        <f>IF($E324="","",IF(OR($U324=TRUE(),$U324="TRUE"),1,0))</f>
        <v/>
      </c>
      <c r="AT324">
        <f>IF($E324="","",IF($AC324="Yes",1,0))</f>
        <v/>
      </c>
      <c r="AU324">
        <f>IF($AQ324=1,IFERROR(IF(VALUE($E324)&lt;100000000,VALUE($E324),1000000000),IFERROR(IF(VALUE(MID($E324,2,20))&lt;100000000,VALUE(MID($E324,2,20)),1000000000),1000000000))+ROW()/100000,"")</f>
        <v/>
      </c>
    </row>
    <row r="325">
      <c r="G325" s="14" t="n"/>
      <c r="Q325" s="7">
        <f>IF($E325="","",P325*Z325/100)</f>
        <v/>
      </c>
      <c r="R325" s="7" t="n"/>
      <c r="Y325" s="7" t="n"/>
      <c r="Z325" s="7" t="n"/>
      <c r="AA325" s="7" t="n"/>
      <c r="AD325">
        <f>IF($E325="","",IF($AT325=1,Settings!$C$8,IF($AS325=1,Settings!$C$6,Settings!$C$7))*100)</f>
        <v/>
      </c>
      <c r="AE325" s="7">
        <f>IF($E325="","",Z325*AD325/100)</f>
        <v/>
      </c>
      <c r="AF325" s="7">
        <f>IF($E325="","",Z325-AE325)</f>
        <v/>
      </c>
      <c r="AG325" s="7">
        <f>IF($E325="","",AF325-Q325)</f>
        <v/>
      </c>
      <c r="AK325" s="7" t="n"/>
      <c r="AN325" s="14" t="n"/>
      <c r="AQ325">
        <f>IF($E325="","",IF(COUNTIF($E$2:$E325,$E325)=1,1,0))</f>
        <v/>
      </c>
      <c r="AR325">
        <f>IF($AQ325=1,SUMPRODUCT(--($AU$2:$AU$1501&lt;$AU325))+1,"")</f>
        <v/>
      </c>
      <c r="AS325">
        <f>IF($E325="","",IF(OR($U325=TRUE(),$U325="TRUE"),1,0))</f>
        <v/>
      </c>
      <c r="AT325">
        <f>IF($E325="","",IF($AC325="Yes",1,0))</f>
        <v/>
      </c>
      <c r="AU325">
        <f>IF($AQ325=1,IFERROR(IF(VALUE($E325)&lt;100000000,VALUE($E325),1000000000),IFERROR(IF(VALUE(MID($E325,2,20))&lt;100000000,VALUE(MID($E325,2,20)),1000000000),1000000000))+ROW()/100000,"")</f>
        <v/>
      </c>
    </row>
    <row r="326">
      <c r="G326" s="14" t="n"/>
      <c r="Q326" s="7">
        <f>IF($E326="","",P326*Z326/100)</f>
        <v/>
      </c>
      <c r="R326" s="7" t="n"/>
      <c r="Y326" s="7" t="n"/>
      <c r="Z326" s="7" t="n"/>
      <c r="AA326" s="7" t="n"/>
      <c r="AD326">
        <f>IF($E326="","",IF($AT326=1,Settings!$C$8,IF($AS326=1,Settings!$C$6,Settings!$C$7))*100)</f>
        <v/>
      </c>
      <c r="AE326" s="7">
        <f>IF($E326="","",Z326*AD326/100)</f>
        <v/>
      </c>
      <c r="AF326" s="7">
        <f>IF($E326="","",Z326-AE326)</f>
        <v/>
      </c>
      <c r="AG326" s="7">
        <f>IF($E326="","",AF326-Q326)</f>
        <v/>
      </c>
      <c r="AK326" s="7" t="n"/>
      <c r="AN326" s="14" t="n"/>
      <c r="AQ326">
        <f>IF($E326="","",IF(COUNTIF($E$2:$E326,$E326)=1,1,0))</f>
        <v/>
      </c>
      <c r="AR326">
        <f>IF($AQ326=1,SUMPRODUCT(--($AU$2:$AU$1501&lt;$AU326))+1,"")</f>
        <v/>
      </c>
      <c r="AS326">
        <f>IF($E326="","",IF(OR($U326=TRUE(),$U326="TRUE"),1,0))</f>
        <v/>
      </c>
      <c r="AT326">
        <f>IF($E326="","",IF($AC326="Yes",1,0))</f>
        <v/>
      </c>
      <c r="AU326">
        <f>IF($AQ326=1,IFERROR(IF(VALUE($E326)&lt;100000000,VALUE($E326),1000000000),IFERROR(IF(VALUE(MID($E326,2,20))&lt;100000000,VALUE(MID($E326,2,20)),1000000000),1000000000))+ROW()/100000,"")</f>
        <v/>
      </c>
    </row>
    <row r="327">
      <c r="G327" s="14" t="n"/>
      <c r="Q327" s="7">
        <f>IF($E327="","",P327*Z327/100)</f>
        <v/>
      </c>
      <c r="R327" s="7" t="n"/>
      <c r="Y327" s="7" t="n"/>
      <c r="Z327" s="7" t="n"/>
      <c r="AA327" s="7" t="n"/>
      <c r="AD327">
        <f>IF($E327="","",IF($AT327=1,Settings!$C$8,IF($AS327=1,Settings!$C$6,Settings!$C$7))*100)</f>
        <v/>
      </c>
      <c r="AE327" s="7">
        <f>IF($E327="","",Z327*AD327/100)</f>
        <v/>
      </c>
      <c r="AF327" s="7">
        <f>IF($E327="","",Z327-AE327)</f>
        <v/>
      </c>
      <c r="AG327" s="7">
        <f>IF($E327="","",AF327-Q327)</f>
        <v/>
      </c>
      <c r="AK327" s="7" t="n"/>
      <c r="AN327" s="14" t="n"/>
      <c r="AQ327">
        <f>IF($E327="","",IF(COUNTIF($E$2:$E327,$E327)=1,1,0))</f>
        <v/>
      </c>
      <c r="AR327">
        <f>IF($AQ327=1,SUMPRODUCT(--($AU$2:$AU$1501&lt;$AU327))+1,"")</f>
        <v/>
      </c>
      <c r="AS327">
        <f>IF($E327="","",IF(OR($U327=TRUE(),$U327="TRUE"),1,0))</f>
        <v/>
      </c>
      <c r="AT327">
        <f>IF($E327="","",IF($AC327="Yes",1,0))</f>
        <v/>
      </c>
      <c r="AU327">
        <f>IF($AQ327=1,IFERROR(IF(VALUE($E327)&lt;100000000,VALUE($E327),1000000000),IFERROR(IF(VALUE(MID($E327,2,20))&lt;100000000,VALUE(MID($E327,2,20)),1000000000),1000000000))+ROW()/100000,"")</f>
        <v/>
      </c>
    </row>
    <row r="328">
      <c r="G328" s="14" t="n"/>
      <c r="Q328" s="7">
        <f>IF($E328="","",P328*Z328/100)</f>
        <v/>
      </c>
      <c r="R328" s="7" t="n"/>
      <c r="Y328" s="7" t="n"/>
      <c r="Z328" s="7" t="n"/>
      <c r="AA328" s="7" t="n"/>
      <c r="AD328">
        <f>IF($E328="","",IF($AT328=1,Settings!$C$8,IF($AS328=1,Settings!$C$6,Settings!$C$7))*100)</f>
        <v/>
      </c>
      <c r="AE328" s="7">
        <f>IF($E328="","",Z328*AD328/100)</f>
        <v/>
      </c>
      <c r="AF328" s="7">
        <f>IF($E328="","",Z328-AE328)</f>
        <v/>
      </c>
      <c r="AG328" s="7">
        <f>IF($E328="","",AF328-Q328)</f>
        <v/>
      </c>
      <c r="AK328" s="7" t="n"/>
      <c r="AN328" s="14" t="n"/>
      <c r="AQ328">
        <f>IF($E328="","",IF(COUNTIF($E$2:$E328,$E328)=1,1,0))</f>
        <v/>
      </c>
      <c r="AR328">
        <f>IF($AQ328=1,SUMPRODUCT(--($AU$2:$AU$1501&lt;$AU328))+1,"")</f>
        <v/>
      </c>
      <c r="AS328">
        <f>IF($E328="","",IF(OR($U328=TRUE(),$U328="TRUE"),1,0))</f>
        <v/>
      </c>
      <c r="AT328">
        <f>IF($E328="","",IF($AC328="Yes",1,0))</f>
        <v/>
      </c>
      <c r="AU328">
        <f>IF($AQ328=1,IFERROR(IF(VALUE($E328)&lt;100000000,VALUE($E328),1000000000),IFERROR(IF(VALUE(MID($E328,2,20))&lt;100000000,VALUE(MID($E328,2,20)),1000000000),1000000000))+ROW()/100000,"")</f>
        <v/>
      </c>
    </row>
    <row r="329">
      <c r="G329" s="14" t="n"/>
      <c r="Q329" s="7">
        <f>IF($E329="","",P329*Z329/100)</f>
        <v/>
      </c>
      <c r="R329" s="7" t="n"/>
      <c r="Y329" s="7" t="n"/>
      <c r="Z329" s="7" t="n"/>
      <c r="AA329" s="7" t="n"/>
      <c r="AD329">
        <f>IF($E329="","",IF($AT329=1,Settings!$C$8,IF($AS329=1,Settings!$C$6,Settings!$C$7))*100)</f>
        <v/>
      </c>
      <c r="AE329" s="7">
        <f>IF($E329="","",Z329*AD329/100)</f>
        <v/>
      </c>
      <c r="AF329" s="7">
        <f>IF($E329="","",Z329-AE329)</f>
        <v/>
      </c>
      <c r="AG329" s="7">
        <f>IF($E329="","",AF329-Q329)</f>
        <v/>
      </c>
      <c r="AK329" s="7" t="n"/>
      <c r="AN329" s="14" t="n"/>
      <c r="AQ329">
        <f>IF($E329="","",IF(COUNTIF($E$2:$E329,$E329)=1,1,0))</f>
        <v/>
      </c>
      <c r="AR329">
        <f>IF($AQ329=1,SUMPRODUCT(--($AU$2:$AU$1501&lt;$AU329))+1,"")</f>
        <v/>
      </c>
      <c r="AS329">
        <f>IF($E329="","",IF(OR($U329=TRUE(),$U329="TRUE"),1,0))</f>
        <v/>
      </c>
      <c r="AT329">
        <f>IF($E329="","",IF($AC329="Yes",1,0))</f>
        <v/>
      </c>
      <c r="AU329">
        <f>IF($AQ329=1,IFERROR(IF(VALUE($E329)&lt;100000000,VALUE($E329),1000000000),IFERROR(IF(VALUE(MID($E329,2,20))&lt;100000000,VALUE(MID($E329,2,20)),1000000000),1000000000))+ROW()/100000,"")</f>
        <v/>
      </c>
    </row>
    <row r="330">
      <c r="G330" s="14" t="n"/>
      <c r="Q330" s="7">
        <f>IF($E330="","",P330*Z330/100)</f>
        <v/>
      </c>
      <c r="R330" s="7" t="n"/>
      <c r="Y330" s="7" t="n"/>
      <c r="Z330" s="7" t="n"/>
      <c r="AA330" s="7" t="n"/>
      <c r="AD330">
        <f>IF($E330="","",IF($AT330=1,Settings!$C$8,IF($AS330=1,Settings!$C$6,Settings!$C$7))*100)</f>
        <v/>
      </c>
      <c r="AE330" s="7">
        <f>IF($E330="","",Z330*AD330/100)</f>
        <v/>
      </c>
      <c r="AF330" s="7">
        <f>IF($E330="","",Z330-AE330)</f>
        <v/>
      </c>
      <c r="AG330" s="7">
        <f>IF($E330="","",AF330-Q330)</f>
        <v/>
      </c>
      <c r="AK330" s="7" t="n"/>
      <c r="AN330" s="14" t="n"/>
      <c r="AQ330">
        <f>IF($E330="","",IF(COUNTIF($E$2:$E330,$E330)=1,1,0))</f>
        <v/>
      </c>
      <c r="AR330">
        <f>IF($AQ330=1,SUMPRODUCT(--($AU$2:$AU$1501&lt;$AU330))+1,"")</f>
        <v/>
      </c>
      <c r="AS330">
        <f>IF($E330="","",IF(OR($U330=TRUE(),$U330="TRUE"),1,0))</f>
        <v/>
      </c>
      <c r="AT330">
        <f>IF($E330="","",IF($AC330="Yes",1,0))</f>
        <v/>
      </c>
      <c r="AU330">
        <f>IF($AQ330=1,IFERROR(IF(VALUE($E330)&lt;100000000,VALUE($E330),1000000000),IFERROR(IF(VALUE(MID($E330,2,20))&lt;100000000,VALUE(MID($E330,2,20)),1000000000),1000000000))+ROW()/100000,"")</f>
        <v/>
      </c>
    </row>
    <row r="331">
      <c r="G331" s="14" t="n"/>
      <c r="Q331" s="7">
        <f>IF($E331="","",P331*Z331/100)</f>
        <v/>
      </c>
      <c r="R331" s="7" t="n"/>
      <c r="Y331" s="7" t="n"/>
      <c r="Z331" s="7" t="n"/>
      <c r="AA331" s="7" t="n"/>
      <c r="AD331">
        <f>IF($E331="","",IF($AT331=1,Settings!$C$8,IF($AS331=1,Settings!$C$6,Settings!$C$7))*100)</f>
        <v/>
      </c>
      <c r="AE331" s="7">
        <f>IF($E331="","",Z331*AD331/100)</f>
        <v/>
      </c>
      <c r="AF331" s="7">
        <f>IF($E331="","",Z331-AE331)</f>
        <v/>
      </c>
      <c r="AG331" s="7">
        <f>IF($E331="","",AF331-Q331)</f>
        <v/>
      </c>
      <c r="AK331" s="7" t="n"/>
      <c r="AN331" s="14" t="n"/>
      <c r="AQ331">
        <f>IF($E331="","",IF(COUNTIF($E$2:$E331,$E331)=1,1,0))</f>
        <v/>
      </c>
      <c r="AR331">
        <f>IF($AQ331=1,SUMPRODUCT(--($AU$2:$AU$1501&lt;$AU331))+1,"")</f>
        <v/>
      </c>
      <c r="AS331">
        <f>IF($E331="","",IF(OR($U331=TRUE(),$U331="TRUE"),1,0))</f>
        <v/>
      </c>
      <c r="AT331">
        <f>IF($E331="","",IF($AC331="Yes",1,0))</f>
        <v/>
      </c>
      <c r="AU331">
        <f>IF($AQ331=1,IFERROR(IF(VALUE($E331)&lt;100000000,VALUE($E331),1000000000),IFERROR(IF(VALUE(MID($E331,2,20))&lt;100000000,VALUE(MID($E331,2,20)),1000000000),1000000000))+ROW()/100000,"")</f>
        <v/>
      </c>
    </row>
    <row r="332">
      <c r="G332" s="14" t="n"/>
      <c r="Q332" s="7">
        <f>IF($E332="","",P332*Z332/100)</f>
        <v/>
      </c>
      <c r="R332" s="7" t="n"/>
      <c r="Y332" s="7" t="n"/>
      <c r="Z332" s="7" t="n"/>
      <c r="AA332" s="7" t="n"/>
      <c r="AD332">
        <f>IF($E332="","",IF($AT332=1,Settings!$C$8,IF($AS332=1,Settings!$C$6,Settings!$C$7))*100)</f>
        <v/>
      </c>
      <c r="AE332" s="7">
        <f>IF($E332="","",Z332*AD332/100)</f>
        <v/>
      </c>
      <c r="AF332" s="7">
        <f>IF($E332="","",Z332-AE332)</f>
        <v/>
      </c>
      <c r="AG332" s="7">
        <f>IF($E332="","",AF332-Q332)</f>
        <v/>
      </c>
      <c r="AK332" s="7" t="n"/>
      <c r="AN332" s="14" t="n"/>
      <c r="AQ332">
        <f>IF($E332="","",IF(COUNTIF($E$2:$E332,$E332)=1,1,0))</f>
        <v/>
      </c>
      <c r="AR332">
        <f>IF($AQ332=1,SUMPRODUCT(--($AU$2:$AU$1501&lt;$AU332))+1,"")</f>
        <v/>
      </c>
      <c r="AS332">
        <f>IF($E332="","",IF(OR($U332=TRUE(),$U332="TRUE"),1,0))</f>
        <v/>
      </c>
      <c r="AT332">
        <f>IF($E332="","",IF($AC332="Yes",1,0))</f>
        <v/>
      </c>
      <c r="AU332">
        <f>IF($AQ332=1,IFERROR(IF(VALUE($E332)&lt;100000000,VALUE($E332),1000000000),IFERROR(IF(VALUE(MID($E332,2,20))&lt;100000000,VALUE(MID($E332,2,20)),1000000000),1000000000))+ROW()/100000,"")</f>
        <v/>
      </c>
    </row>
    <row r="333">
      <c r="G333" s="14" t="n"/>
      <c r="Q333" s="7">
        <f>IF($E333="","",P333*Z333/100)</f>
        <v/>
      </c>
      <c r="R333" s="7" t="n"/>
      <c r="Y333" s="7" t="n"/>
      <c r="Z333" s="7" t="n"/>
      <c r="AA333" s="7" t="n"/>
      <c r="AD333">
        <f>IF($E333="","",IF($AT333=1,Settings!$C$8,IF($AS333=1,Settings!$C$6,Settings!$C$7))*100)</f>
        <v/>
      </c>
      <c r="AE333" s="7">
        <f>IF($E333="","",Z333*AD333/100)</f>
        <v/>
      </c>
      <c r="AF333" s="7">
        <f>IF($E333="","",Z333-AE333)</f>
        <v/>
      </c>
      <c r="AG333" s="7">
        <f>IF($E333="","",AF333-Q333)</f>
        <v/>
      </c>
      <c r="AK333" s="7" t="n"/>
      <c r="AN333" s="14" t="n"/>
      <c r="AQ333">
        <f>IF($E333="","",IF(COUNTIF($E$2:$E333,$E333)=1,1,0))</f>
        <v/>
      </c>
      <c r="AR333">
        <f>IF($AQ333=1,SUMPRODUCT(--($AU$2:$AU$1501&lt;$AU333))+1,"")</f>
        <v/>
      </c>
      <c r="AS333">
        <f>IF($E333="","",IF(OR($U333=TRUE(),$U333="TRUE"),1,0))</f>
        <v/>
      </c>
      <c r="AT333">
        <f>IF($E333="","",IF($AC333="Yes",1,0))</f>
        <v/>
      </c>
      <c r="AU333">
        <f>IF($AQ333=1,IFERROR(IF(VALUE($E333)&lt;100000000,VALUE($E333),1000000000),IFERROR(IF(VALUE(MID($E333,2,20))&lt;100000000,VALUE(MID($E333,2,20)),1000000000),1000000000))+ROW()/100000,"")</f>
        <v/>
      </c>
    </row>
    <row r="334">
      <c r="G334" s="14" t="n"/>
      <c r="Q334" s="7">
        <f>IF($E334="","",P334*Z334/100)</f>
        <v/>
      </c>
      <c r="R334" s="7" t="n"/>
      <c r="Y334" s="7" t="n"/>
      <c r="Z334" s="7" t="n"/>
      <c r="AA334" s="7" t="n"/>
      <c r="AD334">
        <f>IF($E334="","",IF($AT334=1,Settings!$C$8,IF($AS334=1,Settings!$C$6,Settings!$C$7))*100)</f>
        <v/>
      </c>
      <c r="AE334" s="7">
        <f>IF($E334="","",Z334*AD334/100)</f>
        <v/>
      </c>
      <c r="AF334" s="7">
        <f>IF($E334="","",Z334-AE334)</f>
        <v/>
      </c>
      <c r="AG334" s="7">
        <f>IF($E334="","",AF334-Q334)</f>
        <v/>
      </c>
      <c r="AK334" s="7" t="n"/>
      <c r="AN334" s="14" t="n"/>
      <c r="AQ334">
        <f>IF($E334="","",IF(COUNTIF($E$2:$E334,$E334)=1,1,0))</f>
        <v/>
      </c>
      <c r="AR334">
        <f>IF($AQ334=1,SUMPRODUCT(--($AU$2:$AU$1501&lt;$AU334))+1,"")</f>
        <v/>
      </c>
      <c r="AS334">
        <f>IF($E334="","",IF(OR($U334=TRUE(),$U334="TRUE"),1,0))</f>
        <v/>
      </c>
      <c r="AT334">
        <f>IF($E334="","",IF($AC334="Yes",1,0))</f>
        <v/>
      </c>
      <c r="AU334">
        <f>IF($AQ334=1,IFERROR(IF(VALUE($E334)&lt;100000000,VALUE($E334),1000000000),IFERROR(IF(VALUE(MID($E334,2,20))&lt;100000000,VALUE(MID($E334,2,20)),1000000000),1000000000))+ROW()/100000,"")</f>
        <v/>
      </c>
    </row>
    <row r="335">
      <c r="G335" s="14" t="n"/>
      <c r="Q335" s="7">
        <f>IF($E335="","",P335*Z335/100)</f>
        <v/>
      </c>
      <c r="R335" s="7" t="n"/>
      <c r="Y335" s="7" t="n"/>
      <c r="Z335" s="7" t="n"/>
      <c r="AA335" s="7" t="n"/>
      <c r="AD335">
        <f>IF($E335="","",IF($AT335=1,Settings!$C$8,IF($AS335=1,Settings!$C$6,Settings!$C$7))*100)</f>
        <v/>
      </c>
      <c r="AE335" s="7">
        <f>IF($E335="","",Z335*AD335/100)</f>
        <v/>
      </c>
      <c r="AF335" s="7">
        <f>IF($E335="","",Z335-AE335)</f>
        <v/>
      </c>
      <c r="AG335" s="7">
        <f>IF($E335="","",AF335-Q335)</f>
        <v/>
      </c>
      <c r="AK335" s="7" t="n"/>
      <c r="AN335" s="14" t="n"/>
      <c r="AQ335">
        <f>IF($E335="","",IF(COUNTIF($E$2:$E335,$E335)=1,1,0))</f>
        <v/>
      </c>
      <c r="AR335">
        <f>IF($AQ335=1,SUMPRODUCT(--($AU$2:$AU$1501&lt;$AU335))+1,"")</f>
        <v/>
      </c>
      <c r="AS335">
        <f>IF($E335="","",IF(OR($U335=TRUE(),$U335="TRUE"),1,0))</f>
        <v/>
      </c>
      <c r="AT335">
        <f>IF($E335="","",IF($AC335="Yes",1,0))</f>
        <v/>
      </c>
      <c r="AU335">
        <f>IF($AQ335=1,IFERROR(IF(VALUE($E335)&lt;100000000,VALUE($E335),1000000000),IFERROR(IF(VALUE(MID($E335,2,20))&lt;100000000,VALUE(MID($E335,2,20)),1000000000),1000000000))+ROW()/100000,"")</f>
        <v/>
      </c>
    </row>
    <row r="336">
      <c r="G336" s="14" t="n"/>
      <c r="Q336" s="7">
        <f>IF($E336="","",P336*Z336/100)</f>
        <v/>
      </c>
      <c r="R336" s="7" t="n"/>
      <c r="Y336" s="7" t="n"/>
      <c r="Z336" s="7" t="n"/>
      <c r="AA336" s="7" t="n"/>
      <c r="AD336">
        <f>IF($E336="","",IF($AT336=1,Settings!$C$8,IF($AS336=1,Settings!$C$6,Settings!$C$7))*100)</f>
        <v/>
      </c>
      <c r="AE336" s="7">
        <f>IF($E336="","",Z336*AD336/100)</f>
        <v/>
      </c>
      <c r="AF336" s="7">
        <f>IF($E336="","",Z336-AE336)</f>
        <v/>
      </c>
      <c r="AG336" s="7">
        <f>IF($E336="","",AF336-Q336)</f>
        <v/>
      </c>
      <c r="AK336" s="7" t="n"/>
      <c r="AN336" s="14" t="n"/>
      <c r="AQ336">
        <f>IF($E336="","",IF(COUNTIF($E$2:$E336,$E336)=1,1,0))</f>
        <v/>
      </c>
      <c r="AR336">
        <f>IF($AQ336=1,SUMPRODUCT(--($AU$2:$AU$1501&lt;$AU336))+1,"")</f>
        <v/>
      </c>
      <c r="AS336">
        <f>IF($E336="","",IF(OR($U336=TRUE(),$U336="TRUE"),1,0))</f>
        <v/>
      </c>
      <c r="AT336">
        <f>IF($E336="","",IF($AC336="Yes",1,0))</f>
        <v/>
      </c>
      <c r="AU336">
        <f>IF($AQ336=1,IFERROR(IF(VALUE($E336)&lt;100000000,VALUE($E336),1000000000),IFERROR(IF(VALUE(MID($E336,2,20))&lt;100000000,VALUE(MID($E336,2,20)),1000000000),1000000000))+ROW()/100000,"")</f>
        <v/>
      </c>
    </row>
    <row r="337">
      <c r="G337" s="14" t="n"/>
      <c r="Q337" s="7">
        <f>IF($E337="","",P337*Z337/100)</f>
        <v/>
      </c>
      <c r="R337" s="7" t="n"/>
      <c r="Y337" s="7" t="n"/>
      <c r="Z337" s="7" t="n"/>
      <c r="AA337" s="7" t="n"/>
      <c r="AD337">
        <f>IF($E337="","",IF($AT337=1,Settings!$C$8,IF($AS337=1,Settings!$C$6,Settings!$C$7))*100)</f>
        <v/>
      </c>
      <c r="AE337" s="7">
        <f>IF($E337="","",Z337*AD337/100)</f>
        <v/>
      </c>
      <c r="AF337" s="7">
        <f>IF($E337="","",Z337-AE337)</f>
        <v/>
      </c>
      <c r="AG337" s="7">
        <f>IF($E337="","",AF337-Q337)</f>
        <v/>
      </c>
      <c r="AK337" s="7" t="n"/>
      <c r="AN337" s="14" t="n"/>
      <c r="AQ337">
        <f>IF($E337="","",IF(COUNTIF($E$2:$E337,$E337)=1,1,0))</f>
        <v/>
      </c>
      <c r="AR337">
        <f>IF($AQ337=1,SUMPRODUCT(--($AU$2:$AU$1501&lt;$AU337))+1,"")</f>
        <v/>
      </c>
      <c r="AS337">
        <f>IF($E337="","",IF(OR($U337=TRUE(),$U337="TRUE"),1,0))</f>
        <v/>
      </c>
      <c r="AT337">
        <f>IF($E337="","",IF($AC337="Yes",1,0))</f>
        <v/>
      </c>
      <c r="AU337">
        <f>IF($AQ337=1,IFERROR(IF(VALUE($E337)&lt;100000000,VALUE($E337),1000000000),IFERROR(IF(VALUE(MID($E337,2,20))&lt;100000000,VALUE(MID($E337,2,20)),1000000000),1000000000))+ROW()/100000,"")</f>
        <v/>
      </c>
    </row>
    <row r="338">
      <c r="G338" s="14" t="n"/>
      <c r="Q338" s="7">
        <f>IF($E338="","",P338*Z338/100)</f>
        <v/>
      </c>
      <c r="R338" s="7" t="n"/>
      <c r="Y338" s="7" t="n"/>
      <c r="Z338" s="7" t="n"/>
      <c r="AA338" s="7" t="n"/>
      <c r="AD338">
        <f>IF($E338="","",IF($AT338=1,Settings!$C$8,IF($AS338=1,Settings!$C$6,Settings!$C$7))*100)</f>
        <v/>
      </c>
      <c r="AE338" s="7">
        <f>IF($E338="","",Z338*AD338/100)</f>
        <v/>
      </c>
      <c r="AF338" s="7">
        <f>IF($E338="","",Z338-AE338)</f>
        <v/>
      </c>
      <c r="AG338" s="7">
        <f>IF($E338="","",AF338-Q338)</f>
        <v/>
      </c>
      <c r="AK338" s="7" t="n"/>
      <c r="AN338" s="14" t="n"/>
      <c r="AQ338">
        <f>IF($E338="","",IF(COUNTIF($E$2:$E338,$E338)=1,1,0))</f>
        <v/>
      </c>
      <c r="AR338">
        <f>IF($AQ338=1,SUMPRODUCT(--($AU$2:$AU$1501&lt;$AU338))+1,"")</f>
        <v/>
      </c>
      <c r="AS338">
        <f>IF($E338="","",IF(OR($U338=TRUE(),$U338="TRUE"),1,0))</f>
        <v/>
      </c>
      <c r="AT338">
        <f>IF($E338="","",IF($AC338="Yes",1,0))</f>
        <v/>
      </c>
      <c r="AU338">
        <f>IF($AQ338=1,IFERROR(IF(VALUE($E338)&lt;100000000,VALUE($E338),1000000000),IFERROR(IF(VALUE(MID($E338,2,20))&lt;100000000,VALUE(MID($E338,2,20)),1000000000),1000000000))+ROW()/100000,"")</f>
        <v/>
      </c>
    </row>
    <row r="339">
      <c r="G339" s="14" t="n"/>
      <c r="Q339" s="7">
        <f>IF($E339="","",P339*Z339/100)</f>
        <v/>
      </c>
      <c r="R339" s="7" t="n"/>
      <c r="Y339" s="7" t="n"/>
      <c r="Z339" s="7" t="n"/>
      <c r="AA339" s="7" t="n"/>
      <c r="AD339">
        <f>IF($E339="","",IF($AT339=1,Settings!$C$8,IF($AS339=1,Settings!$C$6,Settings!$C$7))*100)</f>
        <v/>
      </c>
      <c r="AE339" s="7">
        <f>IF($E339="","",Z339*AD339/100)</f>
        <v/>
      </c>
      <c r="AF339" s="7">
        <f>IF($E339="","",Z339-AE339)</f>
        <v/>
      </c>
      <c r="AG339" s="7">
        <f>IF($E339="","",AF339-Q339)</f>
        <v/>
      </c>
      <c r="AK339" s="7" t="n"/>
      <c r="AN339" s="14" t="n"/>
      <c r="AQ339">
        <f>IF($E339="","",IF(COUNTIF($E$2:$E339,$E339)=1,1,0))</f>
        <v/>
      </c>
      <c r="AR339">
        <f>IF($AQ339=1,SUMPRODUCT(--($AU$2:$AU$1501&lt;$AU339))+1,"")</f>
        <v/>
      </c>
      <c r="AS339">
        <f>IF($E339="","",IF(OR($U339=TRUE(),$U339="TRUE"),1,0))</f>
        <v/>
      </c>
      <c r="AT339">
        <f>IF($E339="","",IF($AC339="Yes",1,0))</f>
        <v/>
      </c>
      <c r="AU339">
        <f>IF($AQ339=1,IFERROR(IF(VALUE($E339)&lt;100000000,VALUE($E339),1000000000),IFERROR(IF(VALUE(MID($E339,2,20))&lt;100000000,VALUE(MID($E339,2,20)),1000000000),1000000000))+ROW()/100000,"")</f>
        <v/>
      </c>
    </row>
    <row r="340">
      <c r="G340" s="14" t="n"/>
      <c r="Q340" s="7">
        <f>IF($E340="","",P340*Z340/100)</f>
        <v/>
      </c>
      <c r="R340" s="7" t="n"/>
      <c r="Y340" s="7" t="n"/>
      <c r="Z340" s="7" t="n"/>
      <c r="AA340" s="7" t="n"/>
      <c r="AD340">
        <f>IF($E340="","",IF($AT340=1,Settings!$C$8,IF($AS340=1,Settings!$C$6,Settings!$C$7))*100)</f>
        <v/>
      </c>
      <c r="AE340" s="7">
        <f>IF($E340="","",Z340*AD340/100)</f>
        <v/>
      </c>
      <c r="AF340" s="7">
        <f>IF($E340="","",Z340-AE340)</f>
        <v/>
      </c>
      <c r="AG340" s="7">
        <f>IF($E340="","",AF340-Q340)</f>
        <v/>
      </c>
      <c r="AK340" s="7" t="n"/>
      <c r="AN340" s="14" t="n"/>
      <c r="AQ340">
        <f>IF($E340="","",IF(COUNTIF($E$2:$E340,$E340)=1,1,0))</f>
        <v/>
      </c>
      <c r="AR340">
        <f>IF($AQ340=1,SUMPRODUCT(--($AU$2:$AU$1501&lt;$AU340))+1,"")</f>
        <v/>
      </c>
      <c r="AS340">
        <f>IF($E340="","",IF(OR($U340=TRUE(),$U340="TRUE"),1,0))</f>
        <v/>
      </c>
      <c r="AT340">
        <f>IF($E340="","",IF($AC340="Yes",1,0))</f>
        <v/>
      </c>
      <c r="AU340">
        <f>IF($AQ340=1,IFERROR(IF(VALUE($E340)&lt;100000000,VALUE($E340),1000000000),IFERROR(IF(VALUE(MID($E340,2,20))&lt;100000000,VALUE(MID($E340,2,20)),1000000000),1000000000))+ROW()/100000,"")</f>
        <v/>
      </c>
    </row>
    <row r="341">
      <c r="G341" s="14" t="n"/>
      <c r="Q341" s="7">
        <f>IF($E341="","",P341*Z341/100)</f>
        <v/>
      </c>
      <c r="R341" s="7" t="n"/>
      <c r="Y341" s="7" t="n"/>
      <c r="Z341" s="7" t="n"/>
      <c r="AA341" s="7" t="n"/>
      <c r="AD341">
        <f>IF($E341="","",IF($AT341=1,Settings!$C$8,IF($AS341=1,Settings!$C$6,Settings!$C$7))*100)</f>
        <v/>
      </c>
      <c r="AE341" s="7">
        <f>IF($E341="","",Z341*AD341/100)</f>
        <v/>
      </c>
      <c r="AF341" s="7">
        <f>IF($E341="","",Z341-AE341)</f>
        <v/>
      </c>
      <c r="AG341" s="7">
        <f>IF($E341="","",AF341-Q341)</f>
        <v/>
      </c>
      <c r="AK341" s="7" t="n"/>
      <c r="AN341" s="14" t="n"/>
      <c r="AQ341">
        <f>IF($E341="","",IF(COUNTIF($E$2:$E341,$E341)=1,1,0))</f>
        <v/>
      </c>
      <c r="AR341">
        <f>IF($AQ341=1,SUMPRODUCT(--($AU$2:$AU$1501&lt;$AU341))+1,"")</f>
        <v/>
      </c>
      <c r="AS341">
        <f>IF($E341="","",IF(OR($U341=TRUE(),$U341="TRUE"),1,0))</f>
        <v/>
      </c>
      <c r="AT341">
        <f>IF($E341="","",IF($AC341="Yes",1,0))</f>
        <v/>
      </c>
      <c r="AU341">
        <f>IF($AQ341=1,IFERROR(IF(VALUE($E341)&lt;100000000,VALUE($E341),1000000000),IFERROR(IF(VALUE(MID($E341,2,20))&lt;100000000,VALUE(MID($E341,2,20)),1000000000),1000000000))+ROW()/100000,"")</f>
        <v/>
      </c>
    </row>
    <row r="342">
      <c r="G342" s="14" t="n"/>
      <c r="Q342" s="7">
        <f>IF($E342="","",P342*Z342/100)</f>
        <v/>
      </c>
      <c r="R342" s="7" t="n"/>
      <c r="Y342" s="7" t="n"/>
      <c r="Z342" s="7" t="n"/>
      <c r="AA342" s="7" t="n"/>
      <c r="AD342">
        <f>IF($E342="","",IF($AT342=1,Settings!$C$8,IF($AS342=1,Settings!$C$6,Settings!$C$7))*100)</f>
        <v/>
      </c>
      <c r="AE342" s="7">
        <f>IF($E342="","",Z342*AD342/100)</f>
        <v/>
      </c>
      <c r="AF342" s="7">
        <f>IF($E342="","",Z342-AE342)</f>
        <v/>
      </c>
      <c r="AG342" s="7">
        <f>IF($E342="","",AF342-Q342)</f>
        <v/>
      </c>
      <c r="AK342" s="7" t="n"/>
      <c r="AN342" s="14" t="n"/>
      <c r="AQ342">
        <f>IF($E342="","",IF(COUNTIF($E$2:$E342,$E342)=1,1,0))</f>
        <v/>
      </c>
      <c r="AR342">
        <f>IF($AQ342=1,SUMPRODUCT(--($AU$2:$AU$1501&lt;$AU342))+1,"")</f>
        <v/>
      </c>
      <c r="AS342">
        <f>IF($E342="","",IF(OR($U342=TRUE(),$U342="TRUE"),1,0))</f>
        <v/>
      </c>
      <c r="AT342">
        <f>IF($E342="","",IF($AC342="Yes",1,0))</f>
        <v/>
      </c>
      <c r="AU342">
        <f>IF($AQ342=1,IFERROR(IF(VALUE($E342)&lt;100000000,VALUE($E342),1000000000),IFERROR(IF(VALUE(MID($E342,2,20))&lt;100000000,VALUE(MID($E342,2,20)),1000000000),1000000000))+ROW()/100000,"")</f>
        <v/>
      </c>
    </row>
    <row r="343">
      <c r="G343" s="14" t="n"/>
      <c r="Q343" s="7">
        <f>IF($E343="","",P343*Z343/100)</f>
        <v/>
      </c>
      <c r="R343" s="7" t="n"/>
      <c r="Y343" s="7" t="n"/>
      <c r="Z343" s="7" t="n"/>
      <c r="AA343" s="7" t="n"/>
      <c r="AD343">
        <f>IF($E343="","",IF($AT343=1,Settings!$C$8,IF($AS343=1,Settings!$C$6,Settings!$C$7))*100)</f>
        <v/>
      </c>
      <c r="AE343" s="7">
        <f>IF($E343="","",Z343*AD343/100)</f>
        <v/>
      </c>
      <c r="AF343" s="7">
        <f>IF($E343="","",Z343-AE343)</f>
        <v/>
      </c>
      <c r="AG343" s="7">
        <f>IF($E343="","",AF343-Q343)</f>
        <v/>
      </c>
      <c r="AK343" s="7" t="n"/>
      <c r="AN343" s="14" t="n"/>
      <c r="AQ343">
        <f>IF($E343="","",IF(COUNTIF($E$2:$E343,$E343)=1,1,0))</f>
        <v/>
      </c>
      <c r="AR343">
        <f>IF($AQ343=1,SUMPRODUCT(--($AU$2:$AU$1501&lt;$AU343))+1,"")</f>
        <v/>
      </c>
      <c r="AS343">
        <f>IF($E343="","",IF(OR($U343=TRUE(),$U343="TRUE"),1,0))</f>
        <v/>
      </c>
      <c r="AT343">
        <f>IF($E343="","",IF($AC343="Yes",1,0))</f>
        <v/>
      </c>
      <c r="AU343">
        <f>IF($AQ343=1,IFERROR(IF(VALUE($E343)&lt;100000000,VALUE($E343),1000000000),IFERROR(IF(VALUE(MID($E343,2,20))&lt;100000000,VALUE(MID($E343,2,20)),1000000000),1000000000))+ROW()/100000,"")</f>
        <v/>
      </c>
    </row>
    <row r="344">
      <c r="G344" s="14" t="n"/>
      <c r="Q344" s="7">
        <f>IF($E344="","",P344*Z344/100)</f>
        <v/>
      </c>
      <c r="R344" s="7" t="n"/>
      <c r="Y344" s="7" t="n"/>
      <c r="Z344" s="7" t="n"/>
      <c r="AA344" s="7" t="n"/>
      <c r="AD344">
        <f>IF($E344="","",IF($AT344=1,Settings!$C$8,IF($AS344=1,Settings!$C$6,Settings!$C$7))*100)</f>
        <v/>
      </c>
      <c r="AE344" s="7">
        <f>IF($E344="","",Z344*AD344/100)</f>
        <v/>
      </c>
      <c r="AF344" s="7">
        <f>IF($E344="","",Z344-AE344)</f>
        <v/>
      </c>
      <c r="AG344" s="7">
        <f>IF($E344="","",AF344-Q344)</f>
        <v/>
      </c>
      <c r="AK344" s="7" t="n"/>
      <c r="AN344" s="14" t="n"/>
      <c r="AQ344">
        <f>IF($E344="","",IF(COUNTIF($E$2:$E344,$E344)=1,1,0))</f>
        <v/>
      </c>
      <c r="AR344">
        <f>IF($AQ344=1,SUMPRODUCT(--($AU$2:$AU$1501&lt;$AU344))+1,"")</f>
        <v/>
      </c>
      <c r="AS344">
        <f>IF($E344="","",IF(OR($U344=TRUE(),$U344="TRUE"),1,0))</f>
        <v/>
      </c>
      <c r="AT344">
        <f>IF($E344="","",IF($AC344="Yes",1,0))</f>
        <v/>
      </c>
      <c r="AU344">
        <f>IF($AQ344=1,IFERROR(IF(VALUE($E344)&lt;100000000,VALUE($E344),1000000000),IFERROR(IF(VALUE(MID($E344,2,20))&lt;100000000,VALUE(MID($E344,2,20)),1000000000),1000000000))+ROW()/100000,"")</f>
        <v/>
      </c>
    </row>
    <row r="345">
      <c r="G345" s="14" t="n"/>
      <c r="Q345" s="7">
        <f>IF($E345="","",P345*Z345/100)</f>
        <v/>
      </c>
      <c r="R345" s="7" t="n"/>
      <c r="Y345" s="7" t="n"/>
      <c r="Z345" s="7" t="n"/>
      <c r="AA345" s="7" t="n"/>
      <c r="AD345">
        <f>IF($E345="","",IF($AT345=1,Settings!$C$8,IF($AS345=1,Settings!$C$6,Settings!$C$7))*100)</f>
        <v/>
      </c>
      <c r="AE345" s="7">
        <f>IF($E345="","",Z345*AD345/100)</f>
        <v/>
      </c>
      <c r="AF345" s="7">
        <f>IF($E345="","",Z345-AE345)</f>
        <v/>
      </c>
      <c r="AG345" s="7">
        <f>IF($E345="","",AF345-Q345)</f>
        <v/>
      </c>
      <c r="AK345" s="7" t="n"/>
      <c r="AN345" s="14" t="n"/>
      <c r="AQ345">
        <f>IF($E345="","",IF(COUNTIF($E$2:$E345,$E345)=1,1,0))</f>
        <v/>
      </c>
      <c r="AR345">
        <f>IF($AQ345=1,SUMPRODUCT(--($AU$2:$AU$1501&lt;$AU345))+1,"")</f>
        <v/>
      </c>
      <c r="AS345">
        <f>IF($E345="","",IF(OR($U345=TRUE(),$U345="TRUE"),1,0))</f>
        <v/>
      </c>
      <c r="AT345">
        <f>IF($E345="","",IF($AC345="Yes",1,0))</f>
        <v/>
      </c>
      <c r="AU345">
        <f>IF($AQ345=1,IFERROR(IF(VALUE($E345)&lt;100000000,VALUE($E345),1000000000),IFERROR(IF(VALUE(MID($E345,2,20))&lt;100000000,VALUE(MID($E345,2,20)),1000000000),1000000000))+ROW()/100000,"")</f>
        <v/>
      </c>
    </row>
    <row r="346">
      <c r="G346" s="14" t="n"/>
      <c r="Q346" s="7">
        <f>IF($E346="","",P346*Z346/100)</f>
        <v/>
      </c>
      <c r="R346" s="7" t="n"/>
      <c r="Y346" s="7" t="n"/>
      <c r="Z346" s="7" t="n"/>
      <c r="AA346" s="7" t="n"/>
      <c r="AD346">
        <f>IF($E346="","",IF($AT346=1,Settings!$C$8,IF($AS346=1,Settings!$C$6,Settings!$C$7))*100)</f>
        <v/>
      </c>
      <c r="AE346" s="7">
        <f>IF($E346="","",Z346*AD346/100)</f>
        <v/>
      </c>
      <c r="AF346" s="7">
        <f>IF($E346="","",Z346-AE346)</f>
        <v/>
      </c>
      <c r="AG346" s="7">
        <f>IF($E346="","",AF346-Q346)</f>
        <v/>
      </c>
      <c r="AK346" s="7" t="n"/>
      <c r="AN346" s="14" t="n"/>
      <c r="AQ346">
        <f>IF($E346="","",IF(COUNTIF($E$2:$E346,$E346)=1,1,0))</f>
        <v/>
      </c>
      <c r="AR346">
        <f>IF($AQ346=1,SUMPRODUCT(--($AU$2:$AU$1501&lt;$AU346))+1,"")</f>
        <v/>
      </c>
      <c r="AS346">
        <f>IF($E346="","",IF(OR($U346=TRUE(),$U346="TRUE"),1,0))</f>
        <v/>
      </c>
      <c r="AT346">
        <f>IF($E346="","",IF($AC346="Yes",1,0))</f>
        <v/>
      </c>
      <c r="AU346">
        <f>IF($AQ346=1,IFERROR(IF(VALUE($E346)&lt;100000000,VALUE($E346),1000000000),IFERROR(IF(VALUE(MID($E346,2,20))&lt;100000000,VALUE(MID($E346,2,20)),1000000000),1000000000))+ROW()/100000,"")</f>
        <v/>
      </c>
    </row>
    <row r="347">
      <c r="G347" s="14" t="n"/>
      <c r="Q347" s="7">
        <f>IF($E347="","",P347*Z347/100)</f>
        <v/>
      </c>
      <c r="R347" s="7" t="n"/>
      <c r="Y347" s="7" t="n"/>
      <c r="Z347" s="7" t="n"/>
      <c r="AA347" s="7" t="n"/>
      <c r="AD347">
        <f>IF($E347="","",IF($AT347=1,Settings!$C$8,IF($AS347=1,Settings!$C$6,Settings!$C$7))*100)</f>
        <v/>
      </c>
      <c r="AE347" s="7">
        <f>IF($E347="","",Z347*AD347/100)</f>
        <v/>
      </c>
      <c r="AF347" s="7">
        <f>IF($E347="","",Z347-AE347)</f>
        <v/>
      </c>
      <c r="AG347" s="7">
        <f>IF($E347="","",AF347-Q347)</f>
        <v/>
      </c>
      <c r="AK347" s="7" t="n"/>
      <c r="AN347" s="14" t="n"/>
      <c r="AQ347">
        <f>IF($E347="","",IF(COUNTIF($E$2:$E347,$E347)=1,1,0))</f>
        <v/>
      </c>
      <c r="AR347">
        <f>IF($AQ347=1,SUMPRODUCT(--($AU$2:$AU$1501&lt;$AU347))+1,"")</f>
        <v/>
      </c>
      <c r="AS347">
        <f>IF($E347="","",IF(OR($U347=TRUE(),$U347="TRUE"),1,0))</f>
        <v/>
      </c>
      <c r="AT347">
        <f>IF($E347="","",IF($AC347="Yes",1,0))</f>
        <v/>
      </c>
      <c r="AU347">
        <f>IF($AQ347=1,IFERROR(IF(VALUE($E347)&lt;100000000,VALUE($E347),1000000000),IFERROR(IF(VALUE(MID($E347,2,20))&lt;100000000,VALUE(MID($E347,2,20)),1000000000),1000000000))+ROW()/100000,"")</f>
        <v/>
      </c>
    </row>
    <row r="348">
      <c r="G348" s="14" t="n"/>
      <c r="Q348" s="7">
        <f>IF($E348="","",P348*Z348/100)</f>
        <v/>
      </c>
      <c r="R348" s="7" t="n"/>
      <c r="Y348" s="7" t="n"/>
      <c r="Z348" s="7" t="n"/>
      <c r="AA348" s="7" t="n"/>
      <c r="AD348">
        <f>IF($E348="","",IF($AT348=1,Settings!$C$8,IF($AS348=1,Settings!$C$6,Settings!$C$7))*100)</f>
        <v/>
      </c>
      <c r="AE348" s="7">
        <f>IF($E348="","",Z348*AD348/100)</f>
        <v/>
      </c>
      <c r="AF348" s="7">
        <f>IF($E348="","",Z348-AE348)</f>
        <v/>
      </c>
      <c r="AG348" s="7">
        <f>IF($E348="","",AF348-Q348)</f>
        <v/>
      </c>
      <c r="AK348" s="7" t="n"/>
      <c r="AN348" s="14" t="n"/>
      <c r="AQ348">
        <f>IF($E348="","",IF(COUNTIF($E$2:$E348,$E348)=1,1,0))</f>
        <v/>
      </c>
      <c r="AR348">
        <f>IF($AQ348=1,SUMPRODUCT(--($AU$2:$AU$1501&lt;$AU348))+1,"")</f>
        <v/>
      </c>
      <c r="AS348">
        <f>IF($E348="","",IF(OR($U348=TRUE(),$U348="TRUE"),1,0))</f>
        <v/>
      </c>
      <c r="AT348">
        <f>IF($E348="","",IF($AC348="Yes",1,0))</f>
        <v/>
      </c>
      <c r="AU348">
        <f>IF($AQ348=1,IFERROR(IF(VALUE($E348)&lt;100000000,VALUE($E348),1000000000),IFERROR(IF(VALUE(MID($E348,2,20))&lt;100000000,VALUE(MID($E348,2,20)),1000000000),1000000000))+ROW()/100000,"")</f>
        <v/>
      </c>
    </row>
    <row r="349">
      <c r="G349" s="14" t="n"/>
      <c r="Q349" s="7">
        <f>IF($E349="","",P349*Z349/100)</f>
        <v/>
      </c>
      <c r="R349" s="7" t="n"/>
      <c r="Y349" s="7" t="n"/>
      <c r="Z349" s="7" t="n"/>
      <c r="AA349" s="7" t="n"/>
      <c r="AD349">
        <f>IF($E349="","",IF($AT349=1,Settings!$C$8,IF($AS349=1,Settings!$C$6,Settings!$C$7))*100)</f>
        <v/>
      </c>
      <c r="AE349" s="7">
        <f>IF($E349="","",Z349*AD349/100)</f>
        <v/>
      </c>
      <c r="AF349" s="7">
        <f>IF($E349="","",Z349-AE349)</f>
        <v/>
      </c>
      <c r="AG349" s="7">
        <f>IF($E349="","",AF349-Q349)</f>
        <v/>
      </c>
      <c r="AK349" s="7" t="n"/>
      <c r="AN349" s="14" t="n"/>
      <c r="AQ349">
        <f>IF($E349="","",IF(COUNTIF($E$2:$E349,$E349)=1,1,0))</f>
        <v/>
      </c>
      <c r="AR349">
        <f>IF($AQ349=1,SUMPRODUCT(--($AU$2:$AU$1501&lt;$AU349))+1,"")</f>
        <v/>
      </c>
      <c r="AS349">
        <f>IF($E349="","",IF(OR($U349=TRUE(),$U349="TRUE"),1,0))</f>
        <v/>
      </c>
      <c r="AT349">
        <f>IF($E349="","",IF($AC349="Yes",1,0))</f>
        <v/>
      </c>
      <c r="AU349">
        <f>IF($AQ349=1,IFERROR(IF(VALUE($E349)&lt;100000000,VALUE($E349),1000000000),IFERROR(IF(VALUE(MID($E349,2,20))&lt;100000000,VALUE(MID($E349,2,20)),1000000000),1000000000))+ROW()/100000,"")</f>
        <v/>
      </c>
    </row>
    <row r="350">
      <c r="G350" s="14" t="n"/>
      <c r="Q350" s="7">
        <f>IF($E350="","",P350*Z350/100)</f>
        <v/>
      </c>
      <c r="R350" s="7" t="n"/>
      <c r="Y350" s="7" t="n"/>
      <c r="Z350" s="7" t="n"/>
      <c r="AA350" s="7" t="n"/>
      <c r="AD350">
        <f>IF($E350="","",IF($AT350=1,Settings!$C$8,IF($AS350=1,Settings!$C$6,Settings!$C$7))*100)</f>
        <v/>
      </c>
      <c r="AE350" s="7">
        <f>IF($E350="","",Z350*AD350/100)</f>
        <v/>
      </c>
      <c r="AF350" s="7">
        <f>IF($E350="","",Z350-AE350)</f>
        <v/>
      </c>
      <c r="AG350" s="7">
        <f>IF($E350="","",AF350-Q350)</f>
        <v/>
      </c>
      <c r="AK350" s="7" t="n"/>
      <c r="AN350" s="14" t="n"/>
      <c r="AQ350">
        <f>IF($E350="","",IF(COUNTIF($E$2:$E350,$E350)=1,1,0))</f>
        <v/>
      </c>
      <c r="AR350">
        <f>IF($AQ350=1,SUMPRODUCT(--($AU$2:$AU$1501&lt;$AU350))+1,"")</f>
        <v/>
      </c>
      <c r="AS350">
        <f>IF($E350="","",IF(OR($U350=TRUE(),$U350="TRUE"),1,0))</f>
        <v/>
      </c>
      <c r="AT350">
        <f>IF($E350="","",IF($AC350="Yes",1,0))</f>
        <v/>
      </c>
      <c r="AU350">
        <f>IF($AQ350=1,IFERROR(IF(VALUE($E350)&lt;100000000,VALUE($E350),1000000000),IFERROR(IF(VALUE(MID($E350,2,20))&lt;100000000,VALUE(MID($E350,2,20)),1000000000),1000000000))+ROW()/100000,"")</f>
        <v/>
      </c>
    </row>
    <row r="351">
      <c r="G351" s="14" t="n"/>
      <c r="Q351" s="7">
        <f>IF($E351="","",P351*Z351/100)</f>
        <v/>
      </c>
      <c r="R351" s="7" t="n"/>
      <c r="Y351" s="7" t="n"/>
      <c r="Z351" s="7" t="n"/>
      <c r="AA351" s="7" t="n"/>
      <c r="AD351">
        <f>IF($E351="","",IF($AT351=1,Settings!$C$8,IF($AS351=1,Settings!$C$6,Settings!$C$7))*100)</f>
        <v/>
      </c>
      <c r="AE351" s="7">
        <f>IF($E351="","",Z351*AD351/100)</f>
        <v/>
      </c>
      <c r="AF351" s="7">
        <f>IF($E351="","",Z351-AE351)</f>
        <v/>
      </c>
      <c r="AG351" s="7">
        <f>IF($E351="","",AF351-Q351)</f>
        <v/>
      </c>
      <c r="AK351" s="7" t="n"/>
      <c r="AN351" s="14" t="n"/>
      <c r="AQ351">
        <f>IF($E351="","",IF(COUNTIF($E$2:$E351,$E351)=1,1,0))</f>
        <v/>
      </c>
      <c r="AR351">
        <f>IF($AQ351=1,SUMPRODUCT(--($AU$2:$AU$1501&lt;$AU351))+1,"")</f>
        <v/>
      </c>
      <c r="AS351">
        <f>IF($E351="","",IF(OR($U351=TRUE(),$U351="TRUE"),1,0))</f>
        <v/>
      </c>
      <c r="AT351">
        <f>IF($E351="","",IF($AC351="Yes",1,0))</f>
        <v/>
      </c>
      <c r="AU351">
        <f>IF($AQ351=1,IFERROR(IF(VALUE($E351)&lt;100000000,VALUE($E351),1000000000),IFERROR(IF(VALUE(MID($E351,2,20))&lt;100000000,VALUE(MID($E351,2,20)),1000000000),1000000000))+ROW()/100000,"")</f>
        <v/>
      </c>
    </row>
    <row r="352">
      <c r="G352" s="14" t="n"/>
      <c r="Q352" s="7">
        <f>IF($E352="","",P352*Z352/100)</f>
        <v/>
      </c>
      <c r="R352" s="7" t="n"/>
      <c r="Y352" s="7" t="n"/>
      <c r="Z352" s="7" t="n"/>
      <c r="AA352" s="7" t="n"/>
      <c r="AD352">
        <f>IF($E352="","",IF($AT352=1,Settings!$C$8,IF($AS352=1,Settings!$C$6,Settings!$C$7))*100)</f>
        <v/>
      </c>
      <c r="AE352" s="7">
        <f>IF($E352="","",Z352*AD352/100)</f>
        <v/>
      </c>
      <c r="AF352" s="7">
        <f>IF($E352="","",Z352-AE352)</f>
        <v/>
      </c>
      <c r="AG352" s="7">
        <f>IF($E352="","",AF352-Q352)</f>
        <v/>
      </c>
      <c r="AK352" s="7" t="n"/>
      <c r="AN352" s="14" t="n"/>
      <c r="AQ352">
        <f>IF($E352="","",IF(COUNTIF($E$2:$E352,$E352)=1,1,0))</f>
        <v/>
      </c>
      <c r="AR352">
        <f>IF($AQ352=1,SUMPRODUCT(--($AU$2:$AU$1501&lt;$AU352))+1,"")</f>
        <v/>
      </c>
      <c r="AS352">
        <f>IF($E352="","",IF(OR($U352=TRUE(),$U352="TRUE"),1,0))</f>
        <v/>
      </c>
      <c r="AT352">
        <f>IF($E352="","",IF($AC352="Yes",1,0))</f>
        <v/>
      </c>
      <c r="AU352">
        <f>IF($AQ352=1,IFERROR(IF(VALUE($E352)&lt;100000000,VALUE($E352),1000000000),IFERROR(IF(VALUE(MID($E352,2,20))&lt;100000000,VALUE(MID($E352,2,20)),1000000000),1000000000))+ROW()/100000,"")</f>
        <v/>
      </c>
    </row>
    <row r="353">
      <c r="G353" s="14" t="n"/>
      <c r="Q353" s="7">
        <f>IF($E353="","",P353*Z353/100)</f>
        <v/>
      </c>
      <c r="R353" s="7" t="n"/>
      <c r="Y353" s="7" t="n"/>
      <c r="Z353" s="7" t="n"/>
      <c r="AA353" s="7" t="n"/>
      <c r="AD353">
        <f>IF($E353="","",IF($AT353=1,Settings!$C$8,IF($AS353=1,Settings!$C$6,Settings!$C$7))*100)</f>
        <v/>
      </c>
      <c r="AE353" s="7">
        <f>IF($E353="","",Z353*AD353/100)</f>
        <v/>
      </c>
      <c r="AF353" s="7">
        <f>IF($E353="","",Z353-AE353)</f>
        <v/>
      </c>
      <c r="AG353" s="7">
        <f>IF($E353="","",AF353-Q353)</f>
        <v/>
      </c>
      <c r="AK353" s="7" t="n"/>
      <c r="AN353" s="14" t="n"/>
      <c r="AQ353">
        <f>IF($E353="","",IF(COUNTIF($E$2:$E353,$E353)=1,1,0))</f>
        <v/>
      </c>
      <c r="AR353">
        <f>IF($AQ353=1,SUMPRODUCT(--($AU$2:$AU$1501&lt;$AU353))+1,"")</f>
        <v/>
      </c>
      <c r="AS353">
        <f>IF($E353="","",IF(OR($U353=TRUE(),$U353="TRUE"),1,0))</f>
        <v/>
      </c>
      <c r="AT353">
        <f>IF($E353="","",IF($AC353="Yes",1,0))</f>
        <v/>
      </c>
      <c r="AU353">
        <f>IF($AQ353=1,IFERROR(IF(VALUE($E353)&lt;100000000,VALUE($E353),1000000000),IFERROR(IF(VALUE(MID($E353,2,20))&lt;100000000,VALUE(MID($E353,2,20)),1000000000),1000000000))+ROW()/100000,"")</f>
        <v/>
      </c>
    </row>
    <row r="354">
      <c r="G354" s="14" t="n"/>
      <c r="Q354" s="7">
        <f>IF($E354="","",P354*Z354/100)</f>
        <v/>
      </c>
      <c r="R354" s="7" t="n"/>
      <c r="Y354" s="7" t="n"/>
      <c r="Z354" s="7" t="n"/>
      <c r="AA354" s="7" t="n"/>
      <c r="AD354">
        <f>IF($E354="","",IF($AT354=1,Settings!$C$8,IF($AS354=1,Settings!$C$6,Settings!$C$7))*100)</f>
        <v/>
      </c>
      <c r="AE354" s="7">
        <f>IF($E354="","",Z354*AD354/100)</f>
        <v/>
      </c>
      <c r="AF354" s="7">
        <f>IF($E354="","",Z354-AE354)</f>
        <v/>
      </c>
      <c r="AG354" s="7">
        <f>IF($E354="","",AF354-Q354)</f>
        <v/>
      </c>
      <c r="AK354" s="7" t="n"/>
      <c r="AN354" s="14" t="n"/>
      <c r="AQ354">
        <f>IF($E354="","",IF(COUNTIF($E$2:$E354,$E354)=1,1,0))</f>
        <v/>
      </c>
      <c r="AR354">
        <f>IF($AQ354=1,SUMPRODUCT(--($AU$2:$AU$1501&lt;$AU354))+1,"")</f>
        <v/>
      </c>
      <c r="AS354">
        <f>IF($E354="","",IF(OR($U354=TRUE(),$U354="TRUE"),1,0))</f>
        <v/>
      </c>
      <c r="AT354">
        <f>IF($E354="","",IF($AC354="Yes",1,0))</f>
        <v/>
      </c>
      <c r="AU354">
        <f>IF($AQ354=1,IFERROR(IF(VALUE($E354)&lt;100000000,VALUE($E354),1000000000),IFERROR(IF(VALUE(MID($E354,2,20))&lt;100000000,VALUE(MID($E354,2,20)),1000000000),1000000000))+ROW()/100000,"")</f>
        <v/>
      </c>
    </row>
    <row r="355">
      <c r="G355" s="14" t="n"/>
      <c r="Q355" s="7">
        <f>IF($E355="","",P355*Z355/100)</f>
        <v/>
      </c>
      <c r="R355" s="7" t="n"/>
      <c r="Y355" s="7" t="n"/>
      <c r="Z355" s="7" t="n"/>
      <c r="AA355" s="7" t="n"/>
      <c r="AD355">
        <f>IF($E355="","",IF($AT355=1,Settings!$C$8,IF($AS355=1,Settings!$C$6,Settings!$C$7))*100)</f>
        <v/>
      </c>
      <c r="AE355" s="7">
        <f>IF($E355="","",Z355*AD355/100)</f>
        <v/>
      </c>
      <c r="AF355" s="7">
        <f>IF($E355="","",Z355-AE355)</f>
        <v/>
      </c>
      <c r="AG355" s="7">
        <f>IF($E355="","",AF355-Q355)</f>
        <v/>
      </c>
      <c r="AK355" s="7" t="n"/>
      <c r="AN355" s="14" t="n"/>
      <c r="AQ355">
        <f>IF($E355="","",IF(COUNTIF($E$2:$E355,$E355)=1,1,0))</f>
        <v/>
      </c>
      <c r="AR355">
        <f>IF($AQ355=1,SUMPRODUCT(--($AU$2:$AU$1501&lt;$AU355))+1,"")</f>
        <v/>
      </c>
      <c r="AS355">
        <f>IF($E355="","",IF(OR($U355=TRUE(),$U355="TRUE"),1,0))</f>
        <v/>
      </c>
      <c r="AT355">
        <f>IF($E355="","",IF($AC355="Yes",1,0))</f>
        <v/>
      </c>
      <c r="AU355">
        <f>IF($AQ355=1,IFERROR(IF(VALUE($E355)&lt;100000000,VALUE($E355),1000000000),IFERROR(IF(VALUE(MID($E355,2,20))&lt;100000000,VALUE(MID($E355,2,20)),1000000000),1000000000))+ROW()/100000,"")</f>
        <v/>
      </c>
    </row>
    <row r="356">
      <c r="G356" s="14" t="n"/>
      <c r="Q356" s="7">
        <f>IF($E356="","",P356*Z356/100)</f>
        <v/>
      </c>
      <c r="R356" s="7" t="n"/>
      <c r="Y356" s="7" t="n"/>
      <c r="Z356" s="7" t="n"/>
      <c r="AA356" s="7" t="n"/>
      <c r="AD356">
        <f>IF($E356="","",IF($AT356=1,Settings!$C$8,IF($AS356=1,Settings!$C$6,Settings!$C$7))*100)</f>
        <v/>
      </c>
      <c r="AE356" s="7">
        <f>IF($E356="","",Z356*AD356/100)</f>
        <v/>
      </c>
      <c r="AF356" s="7">
        <f>IF($E356="","",Z356-AE356)</f>
        <v/>
      </c>
      <c r="AG356" s="7">
        <f>IF($E356="","",AF356-Q356)</f>
        <v/>
      </c>
      <c r="AK356" s="7" t="n"/>
      <c r="AN356" s="14" t="n"/>
      <c r="AQ356">
        <f>IF($E356="","",IF(COUNTIF($E$2:$E356,$E356)=1,1,0))</f>
        <v/>
      </c>
      <c r="AR356">
        <f>IF($AQ356=1,SUMPRODUCT(--($AU$2:$AU$1501&lt;$AU356))+1,"")</f>
        <v/>
      </c>
      <c r="AS356">
        <f>IF($E356="","",IF(OR($U356=TRUE(),$U356="TRUE"),1,0))</f>
        <v/>
      </c>
      <c r="AT356">
        <f>IF($E356="","",IF($AC356="Yes",1,0))</f>
        <v/>
      </c>
      <c r="AU356">
        <f>IF($AQ356=1,IFERROR(IF(VALUE($E356)&lt;100000000,VALUE($E356),1000000000),IFERROR(IF(VALUE(MID($E356,2,20))&lt;100000000,VALUE(MID($E356,2,20)),1000000000),1000000000))+ROW()/100000,"")</f>
        <v/>
      </c>
    </row>
    <row r="357">
      <c r="G357" s="14" t="n"/>
      <c r="Q357" s="7">
        <f>IF($E357="","",P357*Z357/100)</f>
        <v/>
      </c>
      <c r="R357" s="7" t="n"/>
      <c r="Y357" s="7" t="n"/>
      <c r="Z357" s="7" t="n"/>
      <c r="AA357" s="7" t="n"/>
      <c r="AD357">
        <f>IF($E357="","",IF($AT357=1,Settings!$C$8,IF($AS357=1,Settings!$C$6,Settings!$C$7))*100)</f>
        <v/>
      </c>
      <c r="AE357" s="7">
        <f>IF($E357="","",Z357*AD357/100)</f>
        <v/>
      </c>
      <c r="AF357" s="7">
        <f>IF($E357="","",Z357-AE357)</f>
        <v/>
      </c>
      <c r="AG357" s="7">
        <f>IF($E357="","",AF357-Q357)</f>
        <v/>
      </c>
      <c r="AK357" s="7" t="n"/>
      <c r="AN357" s="14" t="n"/>
      <c r="AQ357">
        <f>IF($E357="","",IF(COUNTIF($E$2:$E357,$E357)=1,1,0))</f>
        <v/>
      </c>
      <c r="AR357">
        <f>IF($AQ357=1,SUMPRODUCT(--($AU$2:$AU$1501&lt;$AU357))+1,"")</f>
        <v/>
      </c>
      <c r="AS357">
        <f>IF($E357="","",IF(OR($U357=TRUE(),$U357="TRUE"),1,0))</f>
        <v/>
      </c>
      <c r="AT357">
        <f>IF($E357="","",IF($AC357="Yes",1,0))</f>
        <v/>
      </c>
      <c r="AU357">
        <f>IF($AQ357=1,IFERROR(IF(VALUE($E357)&lt;100000000,VALUE($E357),1000000000),IFERROR(IF(VALUE(MID($E357,2,20))&lt;100000000,VALUE(MID($E357,2,20)),1000000000),1000000000))+ROW()/100000,"")</f>
        <v/>
      </c>
    </row>
    <row r="358">
      <c r="G358" s="14" t="n"/>
      <c r="Q358" s="7">
        <f>IF($E358="","",P358*Z358/100)</f>
        <v/>
      </c>
      <c r="R358" s="7" t="n"/>
      <c r="Y358" s="7" t="n"/>
      <c r="Z358" s="7" t="n"/>
      <c r="AA358" s="7" t="n"/>
      <c r="AD358">
        <f>IF($E358="","",IF($AT358=1,Settings!$C$8,IF($AS358=1,Settings!$C$6,Settings!$C$7))*100)</f>
        <v/>
      </c>
      <c r="AE358" s="7">
        <f>IF($E358="","",Z358*AD358/100)</f>
        <v/>
      </c>
      <c r="AF358" s="7">
        <f>IF($E358="","",Z358-AE358)</f>
        <v/>
      </c>
      <c r="AG358" s="7">
        <f>IF($E358="","",AF358-Q358)</f>
        <v/>
      </c>
      <c r="AK358" s="7" t="n"/>
      <c r="AN358" s="14" t="n"/>
      <c r="AQ358">
        <f>IF($E358="","",IF(COUNTIF($E$2:$E358,$E358)=1,1,0))</f>
        <v/>
      </c>
      <c r="AR358">
        <f>IF($AQ358=1,SUMPRODUCT(--($AU$2:$AU$1501&lt;$AU358))+1,"")</f>
        <v/>
      </c>
      <c r="AS358">
        <f>IF($E358="","",IF(OR($U358=TRUE(),$U358="TRUE"),1,0))</f>
        <v/>
      </c>
      <c r="AT358">
        <f>IF($E358="","",IF($AC358="Yes",1,0))</f>
        <v/>
      </c>
      <c r="AU358">
        <f>IF($AQ358=1,IFERROR(IF(VALUE($E358)&lt;100000000,VALUE($E358),1000000000),IFERROR(IF(VALUE(MID($E358,2,20))&lt;100000000,VALUE(MID($E358,2,20)),1000000000),1000000000))+ROW()/100000,"")</f>
        <v/>
      </c>
    </row>
    <row r="359">
      <c r="G359" s="14" t="n"/>
      <c r="Q359" s="7">
        <f>IF($E359="","",P359*Z359/100)</f>
        <v/>
      </c>
      <c r="R359" s="7" t="n"/>
      <c r="Y359" s="7" t="n"/>
      <c r="Z359" s="7" t="n"/>
      <c r="AA359" s="7" t="n"/>
      <c r="AD359">
        <f>IF($E359="","",IF($AT359=1,Settings!$C$8,IF($AS359=1,Settings!$C$6,Settings!$C$7))*100)</f>
        <v/>
      </c>
      <c r="AE359" s="7">
        <f>IF($E359="","",Z359*AD359/100)</f>
        <v/>
      </c>
      <c r="AF359" s="7">
        <f>IF($E359="","",Z359-AE359)</f>
        <v/>
      </c>
      <c r="AG359" s="7">
        <f>IF($E359="","",AF359-Q359)</f>
        <v/>
      </c>
      <c r="AK359" s="7" t="n"/>
      <c r="AN359" s="14" t="n"/>
      <c r="AQ359">
        <f>IF($E359="","",IF(COUNTIF($E$2:$E359,$E359)=1,1,0))</f>
        <v/>
      </c>
      <c r="AR359">
        <f>IF($AQ359=1,SUMPRODUCT(--($AU$2:$AU$1501&lt;$AU359))+1,"")</f>
        <v/>
      </c>
      <c r="AS359">
        <f>IF($E359="","",IF(OR($U359=TRUE(),$U359="TRUE"),1,0))</f>
        <v/>
      </c>
      <c r="AT359">
        <f>IF($E359="","",IF($AC359="Yes",1,0))</f>
        <v/>
      </c>
      <c r="AU359">
        <f>IF($AQ359=1,IFERROR(IF(VALUE($E359)&lt;100000000,VALUE($E359),1000000000),IFERROR(IF(VALUE(MID($E359,2,20))&lt;100000000,VALUE(MID($E359,2,20)),1000000000),1000000000))+ROW()/100000,"")</f>
        <v/>
      </c>
    </row>
    <row r="360">
      <c r="G360" s="14" t="n"/>
      <c r="Q360" s="7">
        <f>IF($E360="","",P360*Z360/100)</f>
        <v/>
      </c>
      <c r="R360" s="7" t="n"/>
      <c r="Y360" s="7" t="n"/>
      <c r="Z360" s="7" t="n"/>
      <c r="AA360" s="7" t="n"/>
      <c r="AD360">
        <f>IF($E360="","",IF($AT360=1,Settings!$C$8,IF($AS360=1,Settings!$C$6,Settings!$C$7))*100)</f>
        <v/>
      </c>
      <c r="AE360" s="7">
        <f>IF($E360="","",Z360*AD360/100)</f>
        <v/>
      </c>
      <c r="AF360" s="7">
        <f>IF($E360="","",Z360-AE360)</f>
        <v/>
      </c>
      <c r="AG360" s="7">
        <f>IF($E360="","",AF360-Q360)</f>
        <v/>
      </c>
      <c r="AK360" s="7" t="n"/>
      <c r="AN360" s="14" t="n"/>
      <c r="AQ360">
        <f>IF($E360="","",IF(COUNTIF($E$2:$E360,$E360)=1,1,0))</f>
        <v/>
      </c>
      <c r="AR360">
        <f>IF($AQ360=1,SUMPRODUCT(--($AU$2:$AU$1501&lt;$AU360))+1,"")</f>
        <v/>
      </c>
      <c r="AS360">
        <f>IF($E360="","",IF(OR($U360=TRUE(),$U360="TRUE"),1,0))</f>
        <v/>
      </c>
      <c r="AT360">
        <f>IF($E360="","",IF($AC360="Yes",1,0))</f>
        <v/>
      </c>
      <c r="AU360">
        <f>IF($AQ360=1,IFERROR(IF(VALUE($E360)&lt;100000000,VALUE($E360),1000000000),IFERROR(IF(VALUE(MID($E360,2,20))&lt;100000000,VALUE(MID($E360,2,20)),1000000000),1000000000))+ROW()/100000,"")</f>
        <v/>
      </c>
    </row>
    <row r="361">
      <c r="G361" s="14" t="n"/>
      <c r="Q361" s="7">
        <f>IF($E361="","",P361*Z361/100)</f>
        <v/>
      </c>
      <c r="R361" s="7" t="n"/>
      <c r="Y361" s="7" t="n"/>
      <c r="Z361" s="7" t="n"/>
      <c r="AA361" s="7" t="n"/>
      <c r="AD361">
        <f>IF($E361="","",IF($AT361=1,Settings!$C$8,IF($AS361=1,Settings!$C$6,Settings!$C$7))*100)</f>
        <v/>
      </c>
      <c r="AE361" s="7">
        <f>IF($E361="","",Z361*AD361/100)</f>
        <v/>
      </c>
      <c r="AF361" s="7">
        <f>IF($E361="","",Z361-AE361)</f>
        <v/>
      </c>
      <c r="AG361" s="7">
        <f>IF($E361="","",AF361-Q361)</f>
        <v/>
      </c>
      <c r="AK361" s="7" t="n"/>
      <c r="AN361" s="14" t="n"/>
      <c r="AQ361">
        <f>IF($E361="","",IF(COUNTIF($E$2:$E361,$E361)=1,1,0))</f>
        <v/>
      </c>
      <c r="AR361">
        <f>IF($AQ361=1,SUMPRODUCT(--($AU$2:$AU$1501&lt;$AU361))+1,"")</f>
        <v/>
      </c>
      <c r="AS361">
        <f>IF($E361="","",IF(OR($U361=TRUE(),$U361="TRUE"),1,0))</f>
        <v/>
      </c>
      <c r="AT361">
        <f>IF($E361="","",IF($AC361="Yes",1,0))</f>
        <v/>
      </c>
      <c r="AU361">
        <f>IF($AQ361=1,IFERROR(IF(VALUE($E361)&lt;100000000,VALUE($E361),1000000000),IFERROR(IF(VALUE(MID($E361,2,20))&lt;100000000,VALUE(MID($E361,2,20)),1000000000),1000000000))+ROW()/100000,"")</f>
        <v/>
      </c>
    </row>
    <row r="362">
      <c r="G362" s="14" t="n"/>
      <c r="Q362" s="7">
        <f>IF($E362="","",P362*Z362/100)</f>
        <v/>
      </c>
      <c r="R362" s="7" t="n"/>
      <c r="Y362" s="7" t="n"/>
      <c r="Z362" s="7" t="n"/>
      <c r="AA362" s="7" t="n"/>
      <c r="AD362">
        <f>IF($E362="","",IF($AT362=1,Settings!$C$8,IF($AS362=1,Settings!$C$6,Settings!$C$7))*100)</f>
        <v/>
      </c>
      <c r="AE362" s="7">
        <f>IF($E362="","",Z362*AD362/100)</f>
        <v/>
      </c>
      <c r="AF362" s="7">
        <f>IF($E362="","",Z362-AE362)</f>
        <v/>
      </c>
      <c r="AG362" s="7">
        <f>IF($E362="","",AF362-Q362)</f>
        <v/>
      </c>
      <c r="AK362" s="7" t="n"/>
      <c r="AN362" s="14" t="n"/>
      <c r="AQ362">
        <f>IF($E362="","",IF(COUNTIF($E$2:$E362,$E362)=1,1,0))</f>
        <v/>
      </c>
      <c r="AR362">
        <f>IF($AQ362=1,SUMPRODUCT(--($AU$2:$AU$1501&lt;$AU362))+1,"")</f>
        <v/>
      </c>
      <c r="AS362">
        <f>IF($E362="","",IF(OR($U362=TRUE(),$U362="TRUE"),1,0))</f>
        <v/>
      </c>
      <c r="AT362">
        <f>IF($E362="","",IF($AC362="Yes",1,0))</f>
        <v/>
      </c>
      <c r="AU362">
        <f>IF($AQ362=1,IFERROR(IF(VALUE($E362)&lt;100000000,VALUE($E362),1000000000),IFERROR(IF(VALUE(MID($E362,2,20))&lt;100000000,VALUE(MID($E362,2,20)),1000000000),1000000000))+ROW()/100000,"")</f>
        <v/>
      </c>
    </row>
    <row r="363">
      <c r="G363" s="14" t="n"/>
      <c r="Q363" s="7">
        <f>IF($E363="","",P363*Z363/100)</f>
        <v/>
      </c>
      <c r="R363" s="7" t="n"/>
      <c r="Y363" s="7" t="n"/>
      <c r="Z363" s="7" t="n"/>
      <c r="AA363" s="7" t="n"/>
      <c r="AD363">
        <f>IF($E363="","",IF($AT363=1,Settings!$C$8,IF($AS363=1,Settings!$C$6,Settings!$C$7))*100)</f>
        <v/>
      </c>
      <c r="AE363" s="7">
        <f>IF($E363="","",Z363*AD363/100)</f>
        <v/>
      </c>
      <c r="AF363" s="7">
        <f>IF($E363="","",Z363-AE363)</f>
        <v/>
      </c>
      <c r="AG363" s="7">
        <f>IF($E363="","",AF363-Q363)</f>
        <v/>
      </c>
      <c r="AK363" s="7" t="n"/>
      <c r="AN363" s="14" t="n"/>
      <c r="AQ363">
        <f>IF($E363="","",IF(COUNTIF($E$2:$E363,$E363)=1,1,0))</f>
        <v/>
      </c>
      <c r="AR363">
        <f>IF($AQ363=1,SUMPRODUCT(--($AU$2:$AU$1501&lt;$AU363))+1,"")</f>
        <v/>
      </c>
      <c r="AS363">
        <f>IF($E363="","",IF(OR($U363=TRUE(),$U363="TRUE"),1,0))</f>
        <v/>
      </c>
      <c r="AT363">
        <f>IF($E363="","",IF($AC363="Yes",1,0))</f>
        <v/>
      </c>
      <c r="AU363">
        <f>IF($AQ363=1,IFERROR(IF(VALUE($E363)&lt;100000000,VALUE($E363),1000000000),IFERROR(IF(VALUE(MID($E363,2,20))&lt;100000000,VALUE(MID($E363,2,20)),1000000000),1000000000))+ROW()/100000,"")</f>
        <v/>
      </c>
    </row>
    <row r="364">
      <c r="G364" s="14" t="n"/>
      <c r="Q364" s="7">
        <f>IF($E364="","",P364*Z364/100)</f>
        <v/>
      </c>
      <c r="R364" s="7" t="n"/>
      <c r="Y364" s="7" t="n"/>
      <c r="Z364" s="7" t="n"/>
      <c r="AA364" s="7" t="n"/>
      <c r="AD364">
        <f>IF($E364="","",IF($AT364=1,Settings!$C$8,IF($AS364=1,Settings!$C$6,Settings!$C$7))*100)</f>
        <v/>
      </c>
      <c r="AE364" s="7">
        <f>IF($E364="","",Z364*AD364/100)</f>
        <v/>
      </c>
      <c r="AF364" s="7">
        <f>IF($E364="","",Z364-AE364)</f>
        <v/>
      </c>
      <c r="AG364" s="7">
        <f>IF($E364="","",AF364-Q364)</f>
        <v/>
      </c>
      <c r="AK364" s="7" t="n"/>
      <c r="AN364" s="14" t="n"/>
      <c r="AQ364">
        <f>IF($E364="","",IF(COUNTIF($E$2:$E364,$E364)=1,1,0))</f>
        <v/>
      </c>
      <c r="AR364">
        <f>IF($AQ364=1,SUMPRODUCT(--($AU$2:$AU$1501&lt;$AU364))+1,"")</f>
        <v/>
      </c>
      <c r="AS364">
        <f>IF($E364="","",IF(OR($U364=TRUE(),$U364="TRUE"),1,0))</f>
        <v/>
      </c>
      <c r="AT364">
        <f>IF($E364="","",IF($AC364="Yes",1,0))</f>
        <v/>
      </c>
      <c r="AU364">
        <f>IF($AQ364=1,IFERROR(IF(VALUE($E364)&lt;100000000,VALUE($E364),1000000000),IFERROR(IF(VALUE(MID($E364,2,20))&lt;100000000,VALUE(MID($E364,2,20)),1000000000),1000000000))+ROW()/100000,"")</f>
        <v/>
      </c>
    </row>
    <row r="365">
      <c r="G365" s="14" t="n"/>
      <c r="Q365" s="7">
        <f>IF($E365="","",P365*Z365/100)</f>
        <v/>
      </c>
      <c r="R365" s="7" t="n"/>
      <c r="Y365" s="7" t="n"/>
      <c r="Z365" s="7" t="n"/>
      <c r="AA365" s="7" t="n"/>
      <c r="AD365">
        <f>IF($E365="","",IF($AT365=1,Settings!$C$8,IF($AS365=1,Settings!$C$6,Settings!$C$7))*100)</f>
        <v/>
      </c>
      <c r="AE365" s="7">
        <f>IF($E365="","",Z365*AD365/100)</f>
        <v/>
      </c>
      <c r="AF365" s="7">
        <f>IF($E365="","",Z365-AE365)</f>
        <v/>
      </c>
      <c r="AG365" s="7">
        <f>IF($E365="","",AF365-Q365)</f>
        <v/>
      </c>
      <c r="AK365" s="7" t="n"/>
      <c r="AN365" s="14" t="n"/>
      <c r="AQ365">
        <f>IF($E365="","",IF(COUNTIF($E$2:$E365,$E365)=1,1,0))</f>
        <v/>
      </c>
      <c r="AR365">
        <f>IF($AQ365=1,SUMPRODUCT(--($AU$2:$AU$1501&lt;$AU365))+1,"")</f>
        <v/>
      </c>
      <c r="AS365">
        <f>IF($E365="","",IF(OR($U365=TRUE(),$U365="TRUE"),1,0))</f>
        <v/>
      </c>
      <c r="AT365">
        <f>IF($E365="","",IF($AC365="Yes",1,0))</f>
        <v/>
      </c>
      <c r="AU365">
        <f>IF($AQ365=1,IFERROR(IF(VALUE($E365)&lt;100000000,VALUE($E365),1000000000),IFERROR(IF(VALUE(MID($E365,2,20))&lt;100000000,VALUE(MID($E365,2,20)),1000000000),1000000000))+ROW()/100000,"")</f>
        <v/>
      </c>
    </row>
    <row r="366">
      <c r="G366" s="14" t="n"/>
      <c r="Q366" s="7">
        <f>IF($E366="","",P366*Z366/100)</f>
        <v/>
      </c>
      <c r="R366" s="7" t="n"/>
      <c r="Y366" s="7" t="n"/>
      <c r="Z366" s="7" t="n"/>
      <c r="AA366" s="7" t="n"/>
      <c r="AD366">
        <f>IF($E366="","",IF($AT366=1,Settings!$C$8,IF($AS366=1,Settings!$C$6,Settings!$C$7))*100)</f>
        <v/>
      </c>
      <c r="AE366" s="7">
        <f>IF($E366="","",Z366*AD366/100)</f>
        <v/>
      </c>
      <c r="AF366" s="7">
        <f>IF($E366="","",Z366-AE366)</f>
        <v/>
      </c>
      <c r="AG366" s="7">
        <f>IF($E366="","",AF366-Q366)</f>
        <v/>
      </c>
      <c r="AK366" s="7" t="n"/>
      <c r="AN366" s="14" t="n"/>
      <c r="AQ366">
        <f>IF($E366="","",IF(COUNTIF($E$2:$E366,$E366)=1,1,0))</f>
        <v/>
      </c>
      <c r="AR366">
        <f>IF($AQ366=1,SUMPRODUCT(--($AU$2:$AU$1501&lt;$AU366))+1,"")</f>
        <v/>
      </c>
      <c r="AS366">
        <f>IF($E366="","",IF(OR($U366=TRUE(),$U366="TRUE"),1,0))</f>
        <v/>
      </c>
      <c r="AT366">
        <f>IF($E366="","",IF($AC366="Yes",1,0))</f>
        <v/>
      </c>
      <c r="AU366">
        <f>IF($AQ366=1,IFERROR(IF(VALUE($E366)&lt;100000000,VALUE($E366),1000000000),IFERROR(IF(VALUE(MID($E366,2,20))&lt;100000000,VALUE(MID($E366,2,20)),1000000000),1000000000))+ROW()/100000,"")</f>
        <v/>
      </c>
    </row>
    <row r="367">
      <c r="G367" s="14" t="n"/>
      <c r="Q367" s="7">
        <f>IF($E367="","",P367*Z367/100)</f>
        <v/>
      </c>
      <c r="R367" s="7" t="n"/>
      <c r="Y367" s="7" t="n"/>
      <c r="Z367" s="7" t="n"/>
      <c r="AA367" s="7" t="n"/>
      <c r="AD367">
        <f>IF($E367="","",IF($AT367=1,Settings!$C$8,IF($AS367=1,Settings!$C$6,Settings!$C$7))*100)</f>
        <v/>
      </c>
      <c r="AE367" s="7">
        <f>IF($E367="","",Z367*AD367/100)</f>
        <v/>
      </c>
      <c r="AF367" s="7">
        <f>IF($E367="","",Z367-AE367)</f>
        <v/>
      </c>
      <c r="AG367" s="7">
        <f>IF($E367="","",AF367-Q367)</f>
        <v/>
      </c>
      <c r="AK367" s="7" t="n"/>
      <c r="AN367" s="14" t="n"/>
      <c r="AQ367">
        <f>IF($E367="","",IF(COUNTIF($E$2:$E367,$E367)=1,1,0))</f>
        <v/>
      </c>
      <c r="AR367">
        <f>IF($AQ367=1,SUMPRODUCT(--($AU$2:$AU$1501&lt;$AU367))+1,"")</f>
        <v/>
      </c>
      <c r="AS367">
        <f>IF($E367="","",IF(OR($U367=TRUE(),$U367="TRUE"),1,0))</f>
        <v/>
      </c>
      <c r="AT367">
        <f>IF($E367="","",IF($AC367="Yes",1,0))</f>
        <v/>
      </c>
      <c r="AU367">
        <f>IF($AQ367=1,IFERROR(IF(VALUE($E367)&lt;100000000,VALUE($E367),1000000000),IFERROR(IF(VALUE(MID($E367,2,20))&lt;100000000,VALUE(MID($E367,2,20)),1000000000),1000000000))+ROW()/100000,"")</f>
        <v/>
      </c>
    </row>
    <row r="368">
      <c r="G368" s="14" t="n"/>
      <c r="Q368" s="7">
        <f>IF($E368="","",P368*Z368/100)</f>
        <v/>
      </c>
      <c r="R368" s="7" t="n"/>
      <c r="Y368" s="7" t="n"/>
      <c r="Z368" s="7" t="n"/>
      <c r="AA368" s="7" t="n"/>
      <c r="AD368">
        <f>IF($E368="","",IF($AT368=1,Settings!$C$8,IF($AS368=1,Settings!$C$6,Settings!$C$7))*100)</f>
        <v/>
      </c>
      <c r="AE368" s="7">
        <f>IF($E368="","",Z368*AD368/100)</f>
        <v/>
      </c>
      <c r="AF368" s="7">
        <f>IF($E368="","",Z368-AE368)</f>
        <v/>
      </c>
      <c r="AG368" s="7">
        <f>IF($E368="","",AF368-Q368)</f>
        <v/>
      </c>
      <c r="AK368" s="7" t="n"/>
      <c r="AN368" s="14" t="n"/>
      <c r="AQ368">
        <f>IF($E368="","",IF(COUNTIF($E$2:$E368,$E368)=1,1,0))</f>
        <v/>
      </c>
      <c r="AR368">
        <f>IF($AQ368=1,SUMPRODUCT(--($AU$2:$AU$1501&lt;$AU368))+1,"")</f>
        <v/>
      </c>
      <c r="AS368">
        <f>IF($E368="","",IF(OR($U368=TRUE(),$U368="TRUE"),1,0))</f>
        <v/>
      </c>
      <c r="AT368">
        <f>IF($E368="","",IF($AC368="Yes",1,0))</f>
        <v/>
      </c>
      <c r="AU368">
        <f>IF($AQ368=1,IFERROR(IF(VALUE($E368)&lt;100000000,VALUE($E368),1000000000),IFERROR(IF(VALUE(MID($E368,2,20))&lt;100000000,VALUE(MID($E368,2,20)),1000000000),1000000000))+ROW()/100000,"")</f>
        <v/>
      </c>
    </row>
    <row r="369">
      <c r="G369" s="14" t="n"/>
      <c r="Q369" s="7">
        <f>IF($E369="","",P369*Z369/100)</f>
        <v/>
      </c>
      <c r="R369" s="7" t="n"/>
      <c r="Y369" s="7" t="n"/>
      <c r="Z369" s="7" t="n"/>
      <c r="AA369" s="7" t="n"/>
      <c r="AD369">
        <f>IF($E369="","",IF($AT369=1,Settings!$C$8,IF($AS369=1,Settings!$C$6,Settings!$C$7))*100)</f>
        <v/>
      </c>
      <c r="AE369" s="7">
        <f>IF($E369="","",Z369*AD369/100)</f>
        <v/>
      </c>
      <c r="AF369" s="7">
        <f>IF($E369="","",Z369-AE369)</f>
        <v/>
      </c>
      <c r="AG369" s="7">
        <f>IF($E369="","",AF369-Q369)</f>
        <v/>
      </c>
      <c r="AK369" s="7" t="n"/>
      <c r="AN369" s="14" t="n"/>
      <c r="AQ369">
        <f>IF($E369="","",IF(COUNTIF($E$2:$E369,$E369)=1,1,0))</f>
        <v/>
      </c>
      <c r="AR369">
        <f>IF($AQ369=1,SUMPRODUCT(--($AU$2:$AU$1501&lt;$AU369))+1,"")</f>
        <v/>
      </c>
      <c r="AS369">
        <f>IF($E369="","",IF(OR($U369=TRUE(),$U369="TRUE"),1,0))</f>
        <v/>
      </c>
      <c r="AT369">
        <f>IF($E369="","",IF($AC369="Yes",1,0))</f>
        <v/>
      </c>
      <c r="AU369">
        <f>IF($AQ369=1,IFERROR(IF(VALUE($E369)&lt;100000000,VALUE($E369),1000000000),IFERROR(IF(VALUE(MID($E369,2,20))&lt;100000000,VALUE(MID($E369,2,20)),1000000000),1000000000))+ROW()/100000,"")</f>
        <v/>
      </c>
    </row>
    <row r="370">
      <c r="G370" s="14" t="n"/>
      <c r="Q370" s="7">
        <f>IF($E370="","",P370*Z370/100)</f>
        <v/>
      </c>
      <c r="R370" s="7" t="n"/>
      <c r="Y370" s="7" t="n"/>
      <c r="Z370" s="7" t="n"/>
      <c r="AA370" s="7" t="n"/>
      <c r="AD370">
        <f>IF($E370="","",IF($AT370=1,Settings!$C$8,IF($AS370=1,Settings!$C$6,Settings!$C$7))*100)</f>
        <v/>
      </c>
      <c r="AE370" s="7">
        <f>IF($E370="","",Z370*AD370/100)</f>
        <v/>
      </c>
      <c r="AF370" s="7">
        <f>IF($E370="","",Z370-AE370)</f>
        <v/>
      </c>
      <c r="AG370" s="7">
        <f>IF($E370="","",AF370-Q370)</f>
        <v/>
      </c>
      <c r="AK370" s="7" t="n"/>
      <c r="AN370" s="14" t="n"/>
      <c r="AQ370">
        <f>IF($E370="","",IF(COUNTIF($E$2:$E370,$E370)=1,1,0))</f>
        <v/>
      </c>
      <c r="AR370">
        <f>IF($AQ370=1,SUMPRODUCT(--($AU$2:$AU$1501&lt;$AU370))+1,"")</f>
        <v/>
      </c>
      <c r="AS370">
        <f>IF($E370="","",IF(OR($U370=TRUE(),$U370="TRUE"),1,0))</f>
        <v/>
      </c>
      <c r="AT370">
        <f>IF($E370="","",IF($AC370="Yes",1,0))</f>
        <v/>
      </c>
      <c r="AU370">
        <f>IF($AQ370=1,IFERROR(IF(VALUE($E370)&lt;100000000,VALUE($E370),1000000000),IFERROR(IF(VALUE(MID($E370,2,20))&lt;100000000,VALUE(MID($E370,2,20)),1000000000),1000000000))+ROW()/100000,"")</f>
        <v/>
      </c>
    </row>
    <row r="371">
      <c r="G371" s="14" t="n"/>
      <c r="Q371" s="7">
        <f>IF($E371="","",P371*Z371/100)</f>
        <v/>
      </c>
      <c r="R371" s="7" t="n"/>
      <c r="Y371" s="7" t="n"/>
      <c r="Z371" s="7" t="n"/>
      <c r="AA371" s="7" t="n"/>
      <c r="AD371">
        <f>IF($E371="","",IF($AT371=1,Settings!$C$8,IF($AS371=1,Settings!$C$6,Settings!$C$7))*100)</f>
        <v/>
      </c>
      <c r="AE371" s="7">
        <f>IF($E371="","",Z371*AD371/100)</f>
        <v/>
      </c>
      <c r="AF371" s="7">
        <f>IF($E371="","",Z371-AE371)</f>
        <v/>
      </c>
      <c r="AG371" s="7">
        <f>IF($E371="","",AF371-Q371)</f>
        <v/>
      </c>
      <c r="AK371" s="7" t="n"/>
      <c r="AN371" s="14" t="n"/>
      <c r="AQ371">
        <f>IF($E371="","",IF(COUNTIF($E$2:$E371,$E371)=1,1,0))</f>
        <v/>
      </c>
      <c r="AR371">
        <f>IF($AQ371=1,SUMPRODUCT(--($AU$2:$AU$1501&lt;$AU371))+1,"")</f>
        <v/>
      </c>
      <c r="AS371">
        <f>IF($E371="","",IF(OR($U371=TRUE(),$U371="TRUE"),1,0))</f>
        <v/>
      </c>
      <c r="AT371">
        <f>IF($E371="","",IF($AC371="Yes",1,0))</f>
        <v/>
      </c>
      <c r="AU371">
        <f>IF($AQ371=1,IFERROR(IF(VALUE($E371)&lt;100000000,VALUE($E371),1000000000),IFERROR(IF(VALUE(MID($E371,2,20))&lt;100000000,VALUE(MID($E371,2,20)),1000000000),1000000000))+ROW()/100000,"")</f>
        <v/>
      </c>
    </row>
    <row r="372">
      <c r="G372" s="14" t="n"/>
      <c r="Q372" s="7">
        <f>IF($E372="","",P372*Z372/100)</f>
        <v/>
      </c>
      <c r="R372" s="7" t="n"/>
      <c r="Y372" s="7" t="n"/>
      <c r="Z372" s="7" t="n"/>
      <c r="AA372" s="7" t="n"/>
      <c r="AD372">
        <f>IF($E372="","",IF($AT372=1,Settings!$C$8,IF($AS372=1,Settings!$C$6,Settings!$C$7))*100)</f>
        <v/>
      </c>
      <c r="AE372" s="7">
        <f>IF($E372="","",Z372*AD372/100)</f>
        <v/>
      </c>
      <c r="AF372" s="7">
        <f>IF($E372="","",Z372-AE372)</f>
        <v/>
      </c>
      <c r="AG372" s="7">
        <f>IF($E372="","",AF372-Q372)</f>
        <v/>
      </c>
      <c r="AK372" s="7" t="n"/>
      <c r="AN372" s="14" t="n"/>
      <c r="AQ372">
        <f>IF($E372="","",IF(COUNTIF($E$2:$E372,$E372)=1,1,0))</f>
        <v/>
      </c>
      <c r="AR372">
        <f>IF($AQ372=1,SUMPRODUCT(--($AU$2:$AU$1501&lt;$AU372))+1,"")</f>
        <v/>
      </c>
      <c r="AS372">
        <f>IF($E372="","",IF(OR($U372=TRUE(),$U372="TRUE"),1,0))</f>
        <v/>
      </c>
      <c r="AT372">
        <f>IF($E372="","",IF($AC372="Yes",1,0))</f>
        <v/>
      </c>
      <c r="AU372">
        <f>IF($AQ372=1,IFERROR(IF(VALUE($E372)&lt;100000000,VALUE($E372),1000000000),IFERROR(IF(VALUE(MID($E372,2,20))&lt;100000000,VALUE(MID($E372,2,20)),1000000000),1000000000))+ROW()/100000,"")</f>
        <v/>
      </c>
    </row>
    <row r="373">
      <c r="G373" s="14" t="n"/>
      <c r="Q373" s="7">
        <f>IF($E373="","",P373*Z373/100)</f>
        <v/>
      </c>
      <c r="R373" s="7" t="n"/>
      <c r="Y373" s="7" t="n"/>
      <c r="Z373" s="7" t="n"/>
      <c r="AA373" s="7" t="n"/>
      <c r="AD373">
        <f>IF($E373="","",IF($AT373=1,Settings!$C$8,IF($AS373=1,Settings!$C$6,Settings!$C$7))*100)</f>
        <v/>
      </c>
      <c r="AE373" s="7">
        <f>IF($E373="","",Z373*AD373/100)</f>
        <v/>
      </c>
      <c r="AF373" s="7">
        <f>IF($E373="","",Z373-AE373)</f>
        <v/>
      </c>
      <c r="AG373" s="7">
        <f>IF($E373="","",AF373-Q373)</f>
        <v/>
      </c>
      <c r="AK373" s="7" t="n"/>
      <c r="AN373" s="14" t="n"/>
      <c r="AQ373">
        <f>IF($E373="","",IF(COUNTIF($E$2:$E373,$E373)=1,1,0))</f>
        <v/>
      </c>
      <c r="AR373">
        <f>IF($AQ373=1,SUMPRODUCT(--($AU$2:$AU$1501&lt;$AU373))+1,"")</f>
        <v/>
      </c>
      <c r="AS373">
        <f>IF($E373="","",IF(OR($U373=TRUE(),$U373="TRUE"),1,0))</f>
        <v/>
      </c>
      <c r="AT373">
        <f>IF($E373="","",IF($AC373="Yes",1,0))</f>
        <v/>
      </c>
      <c r="AU373">
        <f>IF($AQ373=1,IFERROR(IF(VALUE($E373)&lt;100000000,VALUE($E373),1000000000),IFERROR(IF(VALUE(MID($E373,2,20))&lt;100000000,VALUE(MID($E373,2,20)),1000000000),1000000000))+ROW()/100000,"")</f>
        <v/>
      </c>
    </row>
    <row r="374">
      <c r="G374" s="14" t="n"/>
      <c r="Q374" s="7">
        <f>IF($E374="","",P374*Z374/100)</f>
        <v/>
      </c>
      <c r="R374" s="7" t="n"/>
      <c r="Y374" s="7" t="n"/>
      <c r="Z374" s="7" t="n"/>
      <c r="AA374" s="7" t="n"/>
      <c r="AD374">
        <f>IF($E374="","",IF($AT374=1,Settings!$C$8,IF($AS374=1,Settings!$C$6,Settings!$C$7))*100)</f>
        <v/>
      </c>
      <c r="AE374" s="7">
        <f>IF($E374="","",Z374*AD374/100)</f>
        <v/>
      </c>
      <c r="AF374" s="7">
        <f>IF($E374="","",Z374-AE374)</f>
        <v/>
      </c>
      <c r="AG374" s="7">
        <f>IF($E374="","",AF374-Q374)</f>
        <v/>
      </c>
      <c r="AK374" s="7" t="n"/>
      <c r="AN374" s="14" t="n"/>
      <c r="AQ374">
        <f>IF($E374="","",IF(COUNTIF($E$2:$E374,$E374)=1,1,0))</f>
        <v/>
      </c>
      <c r="AR374">
        <f>IF($AQ374=1,SUMPRODUCT(--($AU$2:$AU$1501&lt;$AU374))+1,"")</f>
        <v/>
      </c>
      <c r="AS374">
        <f>IF($E374="","",IF(OR($U374=TRUE(),$U374="TRUE"),1,0))</f>
        <v/>
      </c>
      <c r="AT374">
        <f>IF($E374="","",IF($AC374="Yes",1,0))</f>
        <v/>
      </c>
      <c r="AU374">
        <f>IF($AQ374=1,IFERROR(IF(VALUE($E374)&lt;100000000,VALUE($E374),1000000000),IFERROR(IF(VALUE(MID($E374,2,20))&lt;100000000,VALUE(MID($E374,2,20)),1000000000),1000000000))+ROW()/100000,"")</f>
        <v/>
      </c>
    </row>
    <row r="375">
      <c r="G375" s="14" t="n"/>
      <c r="Q375" s="7">
        <f>IF($E375="","",P375*Z375/100)</f>
        <v/>
      </c>
      <c r="R375" s="7" t="n"/>
      <c r="Y375" s="7" t="n"/>
      <c r="Z375" s="7" t="n"/>
      <c r="AA375" s="7" t="n"/>
      <c r="AD375">
        <f>IF($E375="","",IF($AT375=1,Settings!$C$8,IF($AS375=1,Settings!$C$6,Settings!$C$7))*100)</f>
        <v/>
      </c>
      <c r="AE375" s="7">
        <f>IF($E375="","",Z375*AD375/100)</f>
        <v/>
      </c>
      <c r="AF375" s="7">
        <f>IF($E375="","",Z375-AE375)</f>
        <v/>
      </c>
      <c r="AG375" s="7">
        <f>IF($E375="","",AF375-Q375)</f>
        <v/>
      </c>
      <c r="AK375" s="7" t="n"/>
      <c r="AN375" s="14" t="n"/>
      <c r="AQ375">
        <f>IF($E375="","",IF(COUNTIF($E$2:$E375,$E375)=1,1,0))</f>
        <v/>
      </c>
      <c r="AR375">
        <f>IF($AQ375=1,SUMPRODUCT(--($AU$2:$AU$1501&lt;$AU375))+1,"")</f>
        <v/>
      </c>
      <c r="AS375">
        <f>IF($E375="","",IF(OR($U375=TRUE(),$U375="TRUE"),1,0))</f>
        <v/>
      </c>
      <c r="AT375">
        <f>IF($E375="","",IF($AC375="Yes",1,0))</f>
        <v/>
      </c>
      <c r="AU375">
        <f>IF($AQ375=1,IFERROR(IF(VALUE($E375)&lt;100000000,VALUE($E375),1000000000),IFERROR(IF(VALUE(MID($E375,2,20))&lt;100000000,VALUE(MID($E375,2,20)),1000000000),1000000000))+ROW()/100000,"")</f>
        <v/>
      </c>
    </row>
    <row r="376">
      <c r="G376" s="14" t="n"/>
      <c r="Q376" s="7">
        <f>IF($E376="","",P376*Z376/100)</f>
        <v/>
      </c>
      <c r="R376" s="7" t="n"/>
      <c r="Y376" s="7" t="n"/>
      <c r="Z376" s="7" t="n"/>
      <c r="AA376" s="7" t="n"/>
      <c r="AD376">
        <f>IF($E376="","",IF($AT376=1,Settings!$C$8,IF($AS376=1,Settings!$C$6,Settings!$C$7))*100)</f>
        <v/>
      </c>
      <c r="AE376" s="7">
        <f>IF($E376="","",Z376*AD376/100)</f>
        <v/>
      </c>
      <c r="AF376" s="7">
        <f>IF($E376="","",Z376-AE376)</f>
        <v/>
      </c>
      <c r="AG376" s="7">
        <f>IF($E376="","",AF376-Q376)</f>
        <v/>
      </c>
      <c r="AK376" s="7" t="n"/>
      <c r="AN376" s="14" t="n"/>
      <c r="AQ376">
        <f>IF($E376="","",IF(COUNTIF($E$2:$E376,$E376)=1,1,0))</f>
        <v/>
      </c>
      <c r="AR376">
        <f>IF($AQ376=1,SUMPRODUCT(--($AU$2:$AU$1501&lt;$AU376))+1,"")</f>
        <v/>
      </c>
      <c r="AS376">
        <f>IF($E376="","",IF(OR($U376=TRUE(),$U376="TRUE"),1,0))</f>
        <v/>
      </c>
      <c r="AT376">
        <f>IF($E376="","",IF($AC376="Yes",1,0))</f>
        <v/>
      </c>
      <c r="AU376">
        <f>IF($AQ376=1,IFERROR(IF(VALUE($E376)&lt;100000000,VALUE($E376),1000000000),IFERROR(IF(VALUE(MID($E376,2,20))&lt;100000000,VALUE(MID($E376,2,20)),1000000000),1000000000))+ROW()/100000,"")</f>
        <v/>
      </c>
    </row>
    <row r="377">
      <c r="G377" s="14" t="n"/>
      <c r="Q377" s="7">
        <f>IF($E377="","",P377*Z377/100)</f>
        <v/>
      </c>
      <c r="R377" s="7" t="n"/>
      <c r="Y377" s="7" t="n"/>
      <c r="Z377" s="7" t="n"/>
      <c r="AA377" s="7" t="n"/>
      <c r="AD377">
        <f>IF($E377="","",IF($AT377=1,Settings!$C$8,IF($AS377=1,Settings!$C$6,Settings!$C$7))*100)</f>
        <v/>
      </c>
      <c r="AE377" s="7">
        <f>IF($E377="","",Z377*AD377/100)</f>
        <v/>
      </c>
      <c r="AF377" s="7">
        <f>IF($E377="","",Z377-AE377)</f>
        <v/>
      </c>
      <c r="AG377" s="7">
        <f>IF($E377="","",AF377-Q377)</f>
        <v/>
      </c>
      <c r="AK377" s="7" t="n"/>
      <c r="AN377" s="14" t="n"/>
      <c r="AQ377">
        <f>IF($E377="","",IF(COUNTIF($E$2:$E377,$E377)=1,1,0))</f>
        <v/>
      </c>
      <c r="AR377">
        <f>IF($AQ377=1,SUMPRODUCT(--($AU$2:$AU$1501&lt;$AU377))+1,"")</f>
        <v/>
      </c>
      <c r="AS377">
        <f>IF($E377="","",IF(OR($U377=TRUE(),$U377="TRUE"),1,0))</f>
        <v/>
      </c>
      <c r="AT377">
        <f>IF($E377="","",IF($AC377="Yes",1,0))</f>
        <v/>
      </c>
      <c r="AU377">
        <f>IF($AQ377=1,IFERROR(IF(VALUE($E377)&lt;100000000,VALUE($E377),1000000000),IFERROR(IF(VALUE(MID($E377,2,20))&lt;100000000,VALUE(MID($E377,2,20)),1000000000),1000000000))+ROW()/100000,"")</f>
        <v/>
      </c>
    </row>
    <row r="378">
      <c r="G378" s="14" t="n"/>
      <c r="Q378" s="7">
        <f>IF($E378="","",P378*Z378/100)</f>
        <v/>
      </c>
      <c r="R378" s="7" t="n"/>
      <c r="Y378" s="7" t="n"/>
      <c r="Z378" s="7" t="n"/>
      <c r="AA378" s="7" t="n"/>
      <c r="AD378">
        <f>IF($E378="","",IF($AT378=1,Settings!$C$8,IF($AS378=1,Settings!$C$6,Settings!$C$7))*100)</f>
        <v/>
      </c>
      <c r="AE378" s="7">
        <f>IF($E378="","",Z378*AD378/100)</f>
        <v/>
      </c>
      <c r="AF378" s="7">
        <f>IF($E378="","",Z378-AE378)</f>
        <v/>
      </c>
      <c r="AG378" s="7">
        <f>IF($E378="","",AF378-Q378)</f>
        <v/>
      </c>
      <c r="AK378" s="7" t="n"/>
      <c r="AN378" s="14" t="n"/>
      <c r="AQ378">
        <f>IF($E378="","",IF(COUNTIF($E$2:$E378,$E378)=1,1,0))</f>
        <v/>
      </c>
      <c r="AR378">
        <f>IF($AQ378=1,SUMPRODUCT(--($AU$2:$AU$1501&lt;$AU378))+1,"")</f>
        <v/>
      </c>
      <c r="AS378">
        <f>IF($E378="","",IF(OR($U378=TRUE(),$U378="TRUE"),1,0))</f>
        <v/>
      </c>
      <c r="AT378">
        <f>IF($E378="","",IF($AC378="Yes",1,0))</f>
        <v/>
      </c>
      <c r="AU378">
        <f>IF($AQ378=1,IFERROR(IF(VALUE($E378)&lt;100000000,VALUE($E378),1000000000),IFERROR(IF(VALUE(MID($E378,2,20))&lt;100000000,VALUE(MID($E378,2,20)),1000000000),1000000000))+ROW()/100000,"")</f>
        <v/>
      </c>
    </row>
    <row r="379">
      <c r="G379" s="14" t="n"/>
      <c r="Q379" s="7">
        <f>IF($E379="","",P379*Z379/100)</f>
        <v/>
      </c>
      <c r="R379" s="7" t="n"/>
      <c r="Y379" s="7" t="n"/>
      <c r="Z379" s="7" t="n"/>
      <c r="AA379" s="7" t="n"/>
      <c r="AD379">
        <f>IF($E379="","",IF($AT379=1,Settings!$C$8,IF($AS379=1,Settings!$C$6,Settings!$C$7))*100)</f>
        <v/>
      </c>
      <c r="AE379" s="7">
        <f>IF($E379="","",Z379*AD379/100)</f>
        <v/>
      </c>
      <c r="AF379" s="7">
        <f>IF($E379="","",Z379-AE379)</f>
        <v/>
      </c>
      <c r="AG379" s="7">
        <f>IF($E379="","",AF379-Q379)</f>
        <v/>
      </c>
      <c r="AK379" s="7" t="n"/>
      <c r="AN379" s="14" t="n"/>
      <c r="AQ379">
        <f>IF($E379="","",IF(COUNTIF($E$2:$E379,$E379)=1,1,0))</f>
        <v/>
      </c>
      <c r="AR379">
        <f>IF($AQ379=1,SUMPRODUCT(--($AU$2:$AU$1501&lt;$AU379))+1,"")</f>
        <v/>
      </c>
      <c r="AS379">
        <f>IF($E379="","",IF(OR($U379=TRUE(),$U379="TRUE"),1,0))</f>
        <v/>
      </c>
      <c r="AT379">
        <f>IF($E379="","",IF($AC379="Yes",1,0))</f>
        <v/>
      </c>
      <c r="AU379">
        <f>IF($AQ379=1,IFERROR(IF(VALUE($E379)&lt;100000000,VALUE($E379),1000000000),IFERROR(IF(VALUE(MID($E379,2,20))&lt;100000000,VALUE(MID($E379,2,20)),1000000000),1000000000))+ROW()/100000,"")</f>
        <v/>
      </c>
    </row>
    <row r="380">
      <c r="G380" s="14" t="n"/>
      <c r="Q380" s="7">
        <f>IF($E380="","",P380*Z380/100)</f>
        <v/>
      </c>
      <c r="R380" s="7" t="n"/>
      <c r="Y380" s="7" t="n"/>
      <c r="Z380" s="7" t="n"/>
      <c r="AA380" s="7" t="n"/>
      <c r="AD380">
        <f>IF($E380="","",IF($AT380=1,Settings!$C$8,IF($AS380=1,Settings!$C$6,Settings!$C$7))*100)</f>
        <v/>
      </c>
      <c r="AE380" s="7">
        <f>IF($E380="","",Z380*AD380/100)</f>
        <v/>
      </c>
      <c r="AF380" s="7">
        <f>IF($E380="","",Z380-AE380)</f>
        <v/>
      </c>
      <c r="AG380" s="7">
        <f>IF($E380="","",AF380-Q380)</f>
        <v/>
      </c>
      <c r="AK380" s="7" t="n"/>
      <c r="AN380" s="14" t="n"/>
      <c r="AQ380">
        <f>IF($E380="","",IF(COUNTIF($E$2:$E380,$E380)=1,1,0))</f>
        <v/>
      </c>
      <c r="AR380">
        <f>IF($AQ380=1,SUMPRODUCT(--($AU$2:$AU$1501&lt;$AU380))+1,"")</f>
        <v/>
      </c>
      <c r="AS380">
        <f>IF($E380="","",IF(OR($U380=TRUE(),$U380="TRUE"),1,0))</f>
        <v/>
      </c>
      <c r="AT380">
        <f>IF($E380="","",IF($AC380="Yes",1,0))</f>
        <v/>
      </c>
      <c r="AU380">
        <f>IF($AQ380=1,IFERROR(IF(VALUE($E380)&lt;100000000,VALUE($E380),1000000000),IFERROR(IF(VALUE(MID($E380,2,20))&lt;100000000,VALUE(MID($E380,2,20)),1000000000),1000000000))+ROW()/100000,"")</f>
        <v/>
      </c>
    </row>
    <row r="381">
      <c r="G381" s="14" t="n"/>
      <c r="Q381" s="7">
        <f>IF($E381="","",P381*Z381/100)</f>
        <v/>
      </c>
      <c r="R381" s="7" t="n"/>
      <c r="Y381" s="7" t="n"/>
      <c r="Z381" s="7" t="n"/>
      <c r="AA381" s="7" t="n"/>
      <c r="AD381">
        <f>IF($E381="","",IF($AT381=1,Settings!$C$8,IF($AS381=1,Settings!$C$6,Settings!$C$7))*100)</f>
        <v/>
      </c>
      <c r="AE381" s="7">
        <f>IF($E381="","",Z381*AD381/100)</f>
        <v/>
      </c>
      <c r="AF381" s="7">
        <f>IF($E381="","",Z381-AE381)</f>
        <v/>
      </c>
      <c r="AG381" s="7">
        <f>IF($E381="","",AF381-Q381)</f>
        <v/>
      </c>
      <c r="AK381" s="7" t="n"/>
      <c r="AN381" s="14" t="n"/>
      <c r="AQ381">
        <f>IF($E381="","",IF(COUNTIF($E$2:$E381,$E381)=1,1,0))</f>
        <v/>
      </c>
      <c r="AR381">
        <f>IF($AQ381=1,SUMPRODUCT(--($AU$2:$AU$1501&lt;$AU381))+1,"")</f>
        <v/>
      </c>
      <c r="AS381">
        <f>IF($E381="","",IF(OR($U381=TRUE(),$U381="TRUE"),1,0))</f>
        <v/>
      </c>
      <c r="AT381">
        <f>IF($E381="","",IF($AC381="Yes",1,0))</f>
        <v/>
      </c>
      <c r="AU381">
        <f>IF($AQ381=1,IFERROR(IF(VALUE($E381)&lt;100000000,VALUE($E381),1000000000),IFERROR(IF(VALUE(MID($E381,2,20))&lt;100000000,VALUE(MID($E381,2,20)),1000000000),1000000000))+ROW()/100000,"")</f>
        <v/>
      </c>
    </row>
    <row r="382">
      <c r="G382" s="14" t="n"/>
      <c r="Q382" s="7">
        <f>IF($E382="","",P382*Z382/100)</f>
        <v/>
      </c>
      <c r="R382" s="7" t="n"/>
      <c r="Y382" s="7" t="n"/>
      <c r="Z382" s="7" t="n"/>
      <c r="AA382" s="7" t="n"/>
      <c r="AD382">
        <f>IF($E382="","",IF($AT382=1,Settings!$C$8,IF($AS382=1,Settings!$C$6,Settings!$C$7))*100)</f>
        <v/>
      </c>
      <c r="AE382" s="7">
        <f>IF($E382="","",Z382*AD382/100)</f>
        <v/>
      </c>
      <c r="AF382" s="7">
        <f>IF($E382="","",Z382-AE382)</f>
        <v/>
      </c>
      <c r="AG382" s="7">
        <f>IF($E382="","",AF382-Q382)</f>
        <v/>
      </c>
      <c r="AK382" s="7" t="n"/>
      <c r="AN382" s="14" t="n"/>
      <c r="AQ382">
        <f>IF($E382="","",IF(COUNTIF($E$2:$E382,$E382)=1,1,0))</f>
        <v/>
      </c>
      <c r="AR382">
        <f>IF($AQ382=1,SUMPRODUCT(--($AU$2:$AU$1501&lt;$AU382))+1,"")</f>
        <v/>
      </c>
      <c r="AS382">
        <f>IF($E382="","",IF(OR($U382=TRUE(),$U382="TRUE"),1,0))</f>
        <v/>
      </c>
      <c r="AT382">
        <f>IF($E382="","",IF($AC382="Yes",1,0))</f>
        <v/>
      </c>
      <c r="AU382">
        <f>IF($AQ382=1,IFERROR(IF(VALUE($E382)&lt;100000000,VALUE($E382),1000000000),IFERROR(IF(VALUE(MID($E382,2,20))&lt;100000000,VALUE(MID($E382,2,20)),1000000000),1000000000))+ROW()/100000,"")</f>
        <v/>
      </c>
    </row>
    <row r="383">
      <c r="G383" s="14" t="n"/>
      <c r="Q383" s="7">
        <f>IF($E383="","",P383*Z383/100)</f>
        <v/>
      </c>
      <c r="R383" s="7" t="n"/>
      <c r="Y383" s="7" t="n"/>
      <c r="Z383" s="7" t="n"/>
      <c r="AA383" s="7" t="n"/>
      <c r="AD383">
        <f>IF($E383="","",IF($AT383=1,Settings!$C$8,IF($AS383=1,Settings!$C$6,Settings!$C$7))*100)</f>
        <v/>
      </c>
      <c r="AE383" s="7">
        <f>IF($E383="","",Z383*AD383/100)</f>
        <v/>
      </c>
      <c r="AF383" s="7">
        <f>IF($E383="","",Z383-AE383)</f>
        <v/>
      </c>
      <c r="AG383" s="7">
        <f>IF($E383="","",AF383-Q383)</f>
        <v/>
      </c>
      <c r="AK383" s="7" t="n"/>
      <c r="AN383" s="14" t="n"/>
      <c r="AQ383">
        <f>IF($E383="","",IF(COUNTIF($E$2:$E383,$E383)=1,1,0))</f>
        <v/>
      </c>
      <c r="AR383">
        <f>IF($AQ383=1,SUMPRODUCT(--($AU$2:$AU$1501&lt;$AU383))+1,"")</f>
        <v/>
      </c>
      <c r="AS383">
        <f>IF($E383="","",IF(OR($U383=TRUE(),$U383="TRUE"),1,0))</f>
        <v/>
      </c>
      <c r="AT383">
        <f>IF($E383="","",IF($AC383="Yes",1,0))</f>
        <v/>
      </c>
      <c r="AU383">
        <f>IF($AQ383=1,IFERROR(IF(VALUE($E383)&lt;100000000,VALUE($E383),1000000000),IFERROR(IF(VALUE(MID($E383,2,20))&lt;100000000,VALUE(MID($E383,2,20)),1000000000),1000000000))+ROW()/100000,"")</f>
        <v/>
      </c>
    </row>
    <row r="384">
      <c r="G384" s="14" t="n"/>
      <c r="Q384" s="7">
        <f>IF($E384="","",P384*Z384/100)</f>
        <v/>
      </c>
      <c r="R384" s="7" t="n"/>
      <c r="Y384" s="7" t="n"/>
      <c r="Z384" s="7" t="n"/>
      <c r="AA384" s="7" t="n"/>
      <c r="AD384">
        <f>IF($E384="","",IF($AT384=1,Settings!$C$8,IF($AS384=1,Settings!$C$6,Settings!$C$7))*100)</f>
        <v/>
      </c>
      <c r="AE384" s="7">
        <f>IF($E384="","",Z384*AD384/100)</f>
        <v/>
      </c>
      <c r="AF384" s="7">
        <f>IF($E384="","",Z384-AE384)</f>
        <v/>
      </c>
      <c r="AG384" s="7">
        <f>IF($E384="","",AF384-Q384)</f>
        <v/>
      </c>
      <c r="AK384" s="7" t="n"/>
      <c r="AN384" s="14" t="n"/>
      <c r="AQ384">
        <f>IF($E384="","",IF(COUNTIF($E$2:$E384,$E384)=1,1,0))</f>
        <v/>
      </c>
      <c r="AR384">
        <f>IF($AQ384=1,SUMPRODUCT(--($AU$2:$AU$1501&lt;$AU384))+1,"")</f>
        <v/>
      </c>
      <c r="AS384">
        <f>IF($E384="","",IF(OR($U384=TRUE(),$U384="TRUE"),1,0))</f>
        <v/>
      </c>
      <c r="AT384">
        <f>IF($E384="","",IF($AC384="Yes",1,0))</f>
        <v/>
      </c>
      <c r="AU384">
        <f>IF($AQ384=1,IFERROR(IF(VALUE($E384)&lt;100000000,VALUE($E384),1000000000),IFERROR(IF(VALUE(MID($E384,2,20))&lt;100000000,VALUE(MID($E384,2,20)),1000000000),1000000000))+ROW()/100000,"")</f>
        <v/>
      </c>
    </row>
    <row r="385">
      <c r="G385" s="14" t="n"/>
      <c r="Q385" s="7">
        <f>IF($E385="","",P385*Z385/100)</f>
        <v/>
      </c>
      <c r="R385" s="7" t="n"/>
      <c r="Y385" s="7" t="n"/>
      <c r="Z385" s="7" t="n"/>
      <c r="AA385" s="7" t="n"/>
      <c r="AD385">
        <f>IF($E385="","",IF($AT385=1,Settings!$C$8,IF($AS385=1,Settings!$C$6,Settings!$C$7))*100)</f>
        <v/>
      </c>
      <c r="AE385" s="7">
        <f>IF($E385="","",Z385*AD385/100)</f>
        <v/>
      </c>
      <c r="AF385" s="7">
        <f>IF($E385="","",Z385-AE385)</f>
        <v/>
      </c>
      <c r="AG385" s="7">
        <f>IF($E385="","",AF385-Q385)</f>
        <v/>
      </c>
      <c r="AK385" s="7" t="n"/>
      <c r="AN385" s="14" t="n"/>
      <c r="AQ385">
        <f>IF($E385="","",IF(COUNTIF($E$2:$E385,$E385)=1,1,0))</f>
        <v/>
      </c>
      <c r="AR385">
        <f>IF($AQ385=1,SUMPRODUCT(--($AU$2:$AU$1501&lt;$AU385))+1,"")</f>
        <v/>
      </c>
      <c r="AS385">
        <f>IF($E385="","",IF(OR($U385=TRUE(),$U385="TRUE"),1,0))</f>
        <v/>
      </c>
      <c r="AT385">
        <f>IF($E385="","",IF($AC385="Yes",1,0))</f>
        <v/>
      </c>
      <c r="AU385">
        <f>IF($AQ385=1,IFERROR(IF(VALUE($E385)&lt;100000000,VALUE($E385),1000000000),IFERROR(IF(VALUE(MID($E385,2,20))&lt;100000000,VALUE(MID($E385,2,20)),1000000000),1000000000))+ROW()/100000,"")</f>
        <v/>
      </c>
    </row>
    <row r="386">
      <c r="G386" s="14" t="n"/>
      <c r="Q386" s="7">
        <f>IF($E386="","",P386*Z386/100)</f>
        <v/>
      </c>
      <c r="R386" s="7" t="n"/>
      <c r="Y386" s="7" t="n"/>
      <c r="Z386" s="7" t="n"/>
      <c r="AA386" s="7" t="n"/>
      <c r="AD386">
        <f>IF($E386="","",IF($AT386=1,Settings!$C$8,IF($AS386=1,Settings!$C$6,Settings!$C$7))*100)</f>
        <v/>
      </c>
      <c r="AE386" s="7">
        <f>IF($E386="","",Z386*AD386/100)</f>
        <v/>
      </c>
      <c r="AF386" s="7">
        <f>IF($E386="","",Z386-AE386)</f>
        <v/>
      </c>
      <c r="AG386" s="7">
        <f>IF($E386="","",AF386-Q386)</f>
        <v/>
      </c>
      <c r="AK386" s="7" t="n"/>
      <c r="AN386" s="14" t="n"/>
      <c r="AQ386">
        <f>IF($E386="","",IF(COUNTIF($E$2:$E386,$E386)=1,1,0))</f>
        <v/>
      </c>
      <c r="AR386">
        <f>IF($AQ386=1,SUMPRODUCT(--($AU$2:$AU$1501&lt;$AU386))+1,"")</f>
        <v/>
      </c>
      <c r="AS386">
        <f>IF($E386="","",IF(OR($U386=TRUE(),$U386="TRUE"),1,0))</f>
        <v/>
      </c>
      <c r="AT386">
        <f>IF($E386="","",IF($AC386="Yes",1,0))</f>
        <v/>
      </c>
      <c r="AU386">
        <f>IF($AQ386=1,IFERROR(IF(VALUE($E386)&lt;100000000,VALUE($E386),1000000000),IFERROR(IF(VALUE(MID($E386,2,20))&lt;100000000,VALUE(MID($E386,2,20)),1000000000),1000000000))+ROW()/100000,"")</f>
        <v/>
      </c>
    </row>
    <row r="387">
      <c r="G387" s="14" t="n"/>
      <c r="Q387" s="7">
        <f>IF($E387="","",P387*Z387/100)</f>
        <v/>
      </c>
      <c r="R387" s="7" t="n"/>
      <c r="Y387" s="7" t="n"/>
      <c r="Z387" s="7" t="n"/>
      <c r="AA387" s="7" t="n"/>
      <c r="AD387">
        <f>IF($E387="","",IF($AT387=1,Settings!$C$8,IF($AS387=1,Settings!$C$6,Settings!$C$7))*100)</f>
        <v/>
      </c>
      <c r="AE387" s="7">
        <f>IF($E387="","",Z387*AD387/100)</f>
        <v/>
      </c>
      <c r="AF387" s="7">
        <f>IF($E387="","",Z387-AE387)</f>
        <v/>
      </c>
      <c r="AG387" s="7">
        <f>IF($E387="","",AF387-Q387)</f>
        <v/>
      </c>
      <c r="AK387" s="7" t="n"/>
      <c r="AN387" s="14" t="n"/>
      <c r="AQ387">
        <f>IF($E387="","",IF(COUNTIF($E$2:$E387,$E387)=1,1,0))</f>
        <v/>
      </c>
      <c r="AR387">
        <f>IF($AQ387=1,SUMPRODUCT(--($AU$2:$AU$1501&lt;$AU387))+1,"")</f>
        <v/>
      </c>
      <c r="AS387">
        <f>IF($E387="","",IF(OR($U387=TRUE(),$U387="TRUE"),1,0))</f>
        <v/>
      </c>
      <c r="AT387">
        <f>IF($E387="","",IF($AC387="Yes",1,0))</f>
        <v/>
      </c>
      <c r="AU387">
        <f>IF($AQ387=1,IFERROR(IF(VALUE($E387)&lt;100000000,VALUE($E387),1000000000),IFERROR(IF(VALUE(MID($E387,2,20))&lt;100000000,VALUE(MID($E387,2,20)),1000000000),1000000000))+ROW()/100000,"")</f>
        <v/>
      </c>
    </row>
    <row r="388">
      <c r="G388" s="14" t="n"/>
      <c r="Q388" s="7">
        <f>IF($E388="","",P388*Z388/100)</f>
        <v/>
      </c>
      <c r="R388" s="7" t="n"/>
      <c r="Y388" s="7" t="n"/>
      <c r="Z388" s="7" t="n"/>
      <c r="AA388" s="7" t="n"/>
      <c r="AD388">
        <f>IF($E388="","",IF($AT388=1,Settings!$C$8,IF($AS388=1,Settings!$C$6,Settings!$C$7))*100)</f>
        <v/>
      </c>
      <c r="AE388" s="7">
        <f>IF($E388="","",Z388*AD388/100)</f>
        <v/>
      </c>
      <c r="AF388" s="7">
        <f>IF($E388="","",Z388-AE388)</f>
        <v/>
      </c>
      <c r="AG388" s="7">
        <f>IF($E388="","",AF388-Q388)</f>
        <v/>
      </c>
      <c r="AK388" s="7" t="n"/>
      <c r="AN388" s="14" t="n"/>
      <c r="AQ388">
        <f>IF($E388="","",IF(COUNTIF($E$2:$E388,$E388)=1,1,0))</f>
        <v/>
      </c>
      <c r="AR388">
        <f>IF($AQ388=1,SUMPRODUCT(--($AU$2:$AU$1501&lt;$AU388))+1,"")</f>
        <v/>
      </c>
      <c r="AS388">
        <f>IF($E388="","",IF(OR($U388=TRUE(),$U388="TRUE"),1,0))</f>
        <v/>
      </c>
      <c r="AT388">
        <f>IF($E388="","",IF($AC388="Yes",1,0))</f>
        <v/>
      </c>
      <c r="AU388">
        <f>IF($AQ388=1,IFERROR(IF(VALUE($E388)&lt;100000000,VALUE($E388),1000000000),IFERROR(IF(VALUE(MID($E388,2,20))&lt;100000000,VALUE(MID($E388,2,20)),1000000000),1000000000))+ROW()/100000,"")</f>
        <v/>
      </c>
    </row>
    <row r="389">
      <c r="G389" s="14" t="n"/>
      <c r="Q389" s="7">
        <f>IF($E389="","",P389*Z389/100)</f>
        <v/>
      </c>
      <c r="R389" s="7" t="n"/>
      <c r="Y389" s="7" t="n"/>
      <c r="Z389" s="7" t="n"/>
      <c r="AA389" s="7" t="n"/>
      <c r="AD389">
        <f>IF($E389="","",IF($AT389=1,Settings!$C$8,IF($AS389=1,Settings!$C$6,Settings!$C$7))*100)</f>
        <v/>
      </c>
      <c r="AE389" s="7">
        <f>IF($E389="","",Z389*AD389/100)</f>
        <v/>
      </c>
      <c r="AF389" s="7">
        <f>IF($E389="","",Z389-AE389)</f>
        <v/>
      </c>
      <c r="AG389" s="7">
        <f>IF($E389="","",AF389-Q389)</f>
        <v/>
      </c>
      <c r="AK389" s="7" t="n"/>
      <c r="AN389" s="14" t="n"/>
      <c r="AQ389">
        <f>IF($E389="","",IF(COUNTIF($E$2:$E389,$E389)=1,1,0))</f>
        <v/>
      </c>
      <c r="AR389">
        <f>IF($AQ389=1,SUMPRODUCT(--($AU$2:$AU$1501&lt;$AU389))+1,"")</f>
        <v/>
      </c>
      <c r="AS389">
        <f>IF($E389="","",IF(OR($U389=TRUE(),$U389="TRUE"),1,0))</f>
        <v/>
      </c>
      <c r="AT389">
        <f>IF($E389="","",IF($AC389="Yes",1,0))</f>
        <v/>
      </c>
      <c r="AU389">
        <f>IF($AQ389=1,IFERROR(IF(VALUE($E389)&lt;100000000,VALUE($E389),1000000000),IFERROR(IF(VALUE(MID($E389,2,20))&lt;100000000,VALUE(MID($E389,2,20)),1000000000),1000000000))+ROW()/100000,"")</f>
        <v/>
      </c>
    </row>
    <row r="390">
      <c r="G390" s="14" t="n"/>
      <c r="Q390" s="7">
        <f>IF($E390="","",P390*Z390/100)</f>
        <v/>
      </c>
      <c r="R390" s="7" t="n"/>
      <c r="Y390" s="7" t="n"/>
      <c r="Z390" s="7" t="n"/>
      <c r="AA390" s="7" t="n"/>
      <c r="AD390">
        <f>IF($E390="","",IF($AT390=1,Settings!$C$8,IF($AS390=1,Settings!$C$6,Settings!$C$7))*100)</f>
        <v/>
      </c>
      <c r="AE390" s="7">
        <f>IF($E390="","",Z390*AD390/100)</f>
        <v/>
      </c>
      <c r="AF390" s="7">
        <f>IF($E390="","",Z390-AE390)</f>
        <v/>
      </c>
      <c r="AG390" s="7">
        <f>IF($E390="","",AF390-Q390)</f>
        <v/>
      </c>
      <c r="AK390" s="7" t="n"/>
      <c r="AN390" s="14" t="n"/>
      <c r="AQ390">
        <f>IF($E390="","",IF(COUNTIF($E$2:$E390,$E390)=1,1,0))</f>
        <v/>
      </c>
      <c r="AR390">
        <f>IF($AQ390=1,SUMPRODUCT(--($AU$2:$AU$1501&lt;$AU390))+1,"")</f>
        <v/>
      </c>
      <c r="AS390">
        <f>IF($E390="","",IF(OR($U390=TRUE(),$U390="TRUE"),1,0))</f>
        <v/>
      </c>
      <c r="AT390">
        <f>IF($E390="","",IF($AC390="Yes",1,0))</f>
        <v/>
      </c>
      <c r="AU390">
        <f>IF($AQ390=1,IFERROR(IF(VALUE($E390)&lt;100000000,VALUE($E390),1000000000),IFERROR(IF(VALUE(MID($E390,2,20))&lt;100000000,VALUE(MID($E390,2,20)),1000000000),1000000000))+ROW()/100000,"")</f>
        <v/>
      </c>
    </row>
    <row r="391">
      <c r="G391" s="14" t="n"/>
      <c r="Q391" s="7">
        <f>IF($E391="","",P391*Z391/100)</f>
        <v/>
      </c>
      <c r="R391" s="7" t="n"/>
      <c r="Y391" s="7" t="n"/>
      <c r="Z391" s="7" t="n"/>
      <c r="AA391" s="7" t="n"/>
      <c r="AD391">
        <f>IF($E391="","",IF($AT391=1,Settings!$C$8,IF($AS391=1,Settings!$C$6,Settings!$C$7))*100)</f>
        <v/>
      </c>
      <c r="AE391" s="7">
        <f>IF($E391="","",Z391*AD391/100)</f>
        <v/>
      </c>
      <c r="AF391" s="7">
        <f>IF($E391="","",Z391-AE391)</f>
        <v/>
      </c>
      <c r="AG391" s="7">
        <f>IF($E391="","",AF391-Q391)</f>
        <v/>
      </c>
      <c r="AK391" s="7" t="n"/>
      <c r="AN391" s="14" t="n"/>
      <c r="AQ391">
        <f>IF($E391="","",IF(COUNTIF($E$2:$E391,$E391)=1,1,0))</f>
        <v/>
      </c>
      <c r="AR391">
        <f>IF($AQ391=1,SUMPRODUCT(--($AU$2:$AU$1501&lt;$AU391))+1,"")</f>
        <v/>
      </c>
      <c r="AS391">
        <f>IF($E391="","",IF(OR($U391=TRUE(),$U391="TRUE"),1,0))</f>
        <v/>
      </c>
      <c r="AT391">
        <f>IF($E391="","",IF($AC391="Yes",1,0))</f>
        <v/>
      </c>
      <c r="AU391">
        <f>IF($AQ391=1,IFERROR(IF(VALUE($E391)&lt;100000000,VALUE($E391),1000000000),IFERROR(IF(VALUE(MID($E391,2,20))&lt;100000000,VALUE(MID($E391,2,20)),1000000000),1000000000))+ROW()/100000,"")</f>
        <v/>
      </c>
    </row>
    <row r="392">
      <c r="G392" s="14" t="n"/>
      <c r="Q392" s="7">
        <f>IF($E392="","",P392*Z392/100)</f>
        <v/>
      </c>
      <c r="R392" s="7" t="n"/>
      <c r="Y392" s="7" t="n"/>
      <c r="Z392" s="7" t="n"/>
      <c r="AA392" s="7" t="n"/>
      <c r="AD392">
        <f>IF($E392="","",IF($AT392=1,Settings!$C$8,IF($AS392=1,Settings!$C$6,Settings!$C$7))*100)</f>
        <v/>
      </c>
      <c r="AE392" s="7">
        <f>IF($E392="","",Z392*AD392/100)</f>
        <v/>
      </c>
      <c r="AF392" s="7">
        <f>IF($E392="","",Z392-AE392)</f>
        <v/>
      </c>
      <c r="AG392" s="7">
        <f>IF($E392="","",AF392-Q392)</f>
        <v/>
      </c>
      <c r="AK392" s="7" t="n"/>
      <c r="AN392" s="14" t="n"/>
      <c r="AQ392">
        <f>IF($E392="","",IF(COUNTIF($E$2:$E392,$E392)=1,1,0))</f>
        <v/>
      </c>
      <c r="AR392">
        <f>IF($AQ392=1,SUMPRODUCT(--($AU$2:$AU$1501&lt;$AU392))+1,"")</f>
        <v/>
      </c>
      <c r="AS392">
        <f>IF($E392="","",IF(OR($U392=TRUE(),$U392="TRUE"),1,0))</f>
        <v/>
      </c>
      <c r="AT392">
        <f>IF($E392="","",IF($AC392="Yes",1,0))</f>
        <v/>
      </c>
      <c r="AU392">
        <f>IF($AQ392=1,IFERROR(IF(VALUE($E392)&lt;100000000,VALUE($E392),1000000000),IFERROR(IF(VALUE(MID($E392,2,20))&lt;100000000,VALUE(MID($E392,2,20)),1000000000),1000000000))+ROW()/100000,"")</f>
        <v/>
      </c>
    </row>
    <row r="393">
      <c r="G393" s="14" t="n"/>
      <c r="Q393" s="7">
        <f>IF($E393="","",P393*Z393/100)</f>
        <v/>
      </c>
      <c r="R393" s="7" t="n"/>
      <c r="Y393" s="7" t="n"/>
      <c r="Z393" s="7" t="n"/>
      <c r="AA393" s="7" t="n"/>
      <c r="AD393">
        <f>IF($E393="","",IF($AT393=1,Settings!$C$8,IF($AS393=1,Settings!$C$6,Settings!$C$7))*100)</f>
        <v/>
      </c>
      <c r="AE393" s="7">
        <f>IF($E393="","",Z393*AD393/100)</f>
        <v/>
      </c>
      <c r="AF393" s="7">
        <f>IF($E393="","",Z393-AE393)</f>
        <v/>
      </c>
      <c r="AG393" s="7">
        <f>IF($E393="","",AF393-Q393)</f>
        <v/>
      </c>
      <c r="AK393" s="7" t="n"/>
      <c r="AN393" s="14" t="n"/>
      <c r="AQ393">
        <f>IF($E393="","",IF(COUNTIF($E$2:$E393,$E393)=1,1,0))</f>
        <v/>
      </c>
      <c r="AR393">
        <f>IF($AQ393=1,SUMPRODUCT(--($AU$2:$AU$1501&lt;$AU393))+1,"")</f>
        <v/>
      </c>
      <c r="AS393">
        <f>IF($E393="","",IF(OR($U393=TRUE(),$U393="TRUE"),1,0))</f>
        <v/>
      </c>
      <c r="AT393">
        <f>IF($E393="","",IF($AC393="Yes",1,0))</f>
        <v/>
      </c>
      <c r="AU393">
        <f>IF($AQ393=1,IFERROR(IF(VALUE($E393)&lt;100000000,VALUE($E393),1000000000),IFERROR(IF(VALUE(MID($E393,2,20))&lt;100000000,VALUE(MID($E393,2,20)),1000000000),1000000000))+ROW()/100000,"")</f>
        <v/>
      </c>
    </row>
    <row r="394">
      <c r="G394" s="14" t="n"/>
      <c r="Q394" s="7">
        <f>IF($E394="","",P394*Z394/100)</f>
        <v/>
      </c>
      <c r="R394" s="7" t="n"/>
      <c r="Y394" s="7" t="n"/>
      <c r="Z394" s="7" t="n"/>
      <c r="AA394" s="7" t="n"/>
      <c r="AD394">
        <f>IF($E394="","",IF($AT394=1,Settings!$C$8,IF($AS394=1,Settings!$C$6,Settings!$C$7))*100)</f>
        <v/>
      </c>
      <c r="AE394" s="7">
        <f>IF($E394="","",Z394*AD394/100)</f>
        <v/>
      </c>
      <c r="AF394" s="7">
        <f>IF($E394="","",Z394-AE394)</f>
        <v/>
      </c>
      <c r="AG394" s="7">
        <f>IF($E394="","",AF394-Q394)</f>
        <v/>
      </c>
      <c r="AK394" s="7" t="n"/>
      <c r="AN394" s="14" t="n"/>
      <c r="AQ394">
        <f>IF($E394="","",IF(COUNTIF($E$2:$E394,$E394)=1,1,0))</f>
        <v/>
      </c>
      <c r="AR394">
        <f>IF($AQ394=1,SUMPRODUCT(--($AU$2:$AU$1501&lt;$AU394))+1,"")</f>
        <v/>
      </c>
      <c r="AS394">
        <f>IF($E394="","",IF(OR($U394=TRUE(),$U394="TRUE"),1,0))</f>
        <v/>
      </c>
      <c r="AT394">
        <f>IF($E394="","",IF($AC394="Yes",1,0))</f>
        <v/>
      </c>
      <c r="AU394">
        <f>IF($AQ394=1,IFERROR(IF(VALUE($E394)&lt;100000000,VALUE($E394),1000000000),IFERROR(IF(VALUE(MID($E394,2,20))&lt;100000000,VALUE(MID($E394,2,20)),1000000000),1000000000))+ROW()/100000,"")</f>
        <v/>
      </c>
    </row>
    <row r="395">
      <c r="G395" s="14" t="n"/>
      <c r="Q395" s="7">
        <f>IF($E395="","",P395*Z395/100)</f>
        <v/>
      </c>
      <c r="R395" s="7" t="n"/>
      <c r="Y395" s="7" t="n"/>
      <c r="Z395" s="7" t="n"/>
      <c r="AA395" s="7" t="n"/>
      <c r="AD395">
        <f>IF($E395="","",IF($AT395=1,Settings!$C$8,IF($AS395=1,Settings!$C$6,Settings!$C$7))*100)</f>
        <v/>
      </c>
      <c r="AE395" s="7">
        <f>IF($E395="","",Z395*AD395/100)</f>
        <v/>
      </c>
      <c r="AF395" s="7">
        <f>IF($E395="","",Z395-AE395)</f>
        <v/>
      </c>
      <c r="AG395" s="7">
        <f>IF($E395="","",AF395-Q395)</f>
        <v/>
      </c>
      <c r="AK395" s="7" t="n"/>
      <c r="AN395" s="14" t="n"/>
      <c r="AQ395">
        <f>IF($E395="","",IF(COUNTIF($E$2:$E395,$E395)=1,1,0))</f>
        <v/>
      </c>
      <c r="AR395">
        <f>IF($AQ395=1,SUMPRODUCT(--($AU$2:$AU$1501&lt;$AU395))+1,"")</f>
        <v/>
      </c>
      <c r="AS395">
        <f>IF($E395="","",IF(OR($U395=TRUE(),$U395="TRUE"),1,0))</f>
        <v/>
      </c>
      <c r="AT395">
        <f>IF($E395="","",IF($AC395="Yes",1,0))</f>
        <v/>
      </c>
      <c r="AU395">
        <f>IF($AQ395=1,IFERROR(IF(VALUE($E395)&lt;100000000,VALUE($E395),1000000000),IFERROR(IF(VALUE(MID($E395,2,20))&lt;100000000,VALUE(MID($E395,2,20)),1000000000),1000000000))+ROW()/100000,"")</f>
        <v/>
      </c>
    </row>
    <row r="396">
      <c r="G396" s="14" t="n"/>
      <c r="Q396" s="7">
        <f>IF($E396="","",P396*Z396/100)</f>
        <v/>
      </c>
      <c r="R396" s="7" t="n"/>
      <c r="Y396" s="7" t="n"/>
      <c r="Z396" s="7" t="n"/>
      <c r="AA396" s="7" t="n"/>
      <c r="AD396">
        <f>IF($E396="","",IF($AT396=1,Settings!$C$8,IF($AS396=1,Settings!$C$6,Settings!$C$7))*100)</f>
        <v/>
      </c>
      <c r="AE396" s="7">
        <f>IF($E396="","",Z396*AD396/100)</f>
        <v/>
      </c>
      <c r="AF396" s="7">
        <f>IF($E396="","",Z396-AE396)</f>
        <v/>
      </c>
      <c r="AG396" s="7">
        <f>IF($E396="","",AF396-Q396)</f>
        <v/>
      </c>
      <c r="AK396" s="7" t="n"/>
      <c r="AN396" s="14" t="n"/>
      <c r="AQ396">
        <f>IF($E396="","",IF(COUNTIF($E$2:$E396,$E396)=1,1,0))</f>
        <v/>
      </c>
      <c r="AR396">
        <f>IF($AQ396=1,SUMPRODUCT(--($AU$2:$AU$1501&lt;$AU396))+1,"")</f>
        <v/>
      </c>
      <c r="AS396">
        <f>IF($E396="","",IF(OR($U396=TRUE(),$U396="TRUE"),1,0))</f>
        <v/>
      </c>
      <c r="AT396">
        <f>IF($E396="","",IF($AC396="Yes",1,0))</f>
        <v/>
      </c>
      <c r="AU396">
        <f>IF($AQ396=1,IFERROR(IF(VALUE($E396)&lt;100000000,VALUE($E396),1000000000),IFERROR(IF(VALUE(MID($E396,2,20))&lt;100000000,VALUE(MID($E396,2,20)),1000000000),1000000000))+ROW()/100000,"")</f>
        <v/>
      </c>
    </row>
    <row r="397">
      <c r="G397" s="14" t="n"/>
      <c r="Q397" s="7">
        <f>IF($E397="","",P397*Z397/100)</f>
        <v/>
      </c>
      <c r="R397" s="7" t="n"/>
      <c r="Y397" s="7" t="n"/>
      <c r="Z397" s="7" t="n"/>
      <c r="AA397" s="7" t="n"/>
      <c r="AD397">
        <f>IF($E397="","",IF($AT397=1,Settings!$C$8,IF($AS397=1,Settings!$C$6,Settings!$C$7))*100)</f>
        <v/>
      </c>
      <c r="AE397" s="7">
        <f>IF($E397="","",Z397*AD397/100)</f>
        <v/>
      </c>
      <c r="AF397" s="7">
        <f>IF($E397="","",Z397-AE397)</f>
        <v/>
      </c>
      <c r="AG397" s="7">
        <f>IF($E397="","",AF397-Q397)</f>
        <v/>
      </c>
      <c r="AK397" s="7" t="n"/>
      <c r="AN397" s="14" t="n"/>
      <c r="AQ397">
        <f>IF($E397="","",IF(COUNTIF($E$2:$E397,$E397)=1,1,0))</f>
        <v/>
      </c>
      <c r="AR397">
        <f>IF($AQ397=1,SUMPRODUCT(--($AU$2:$AU$1501&lt;$AU397))+1,"")</f>
        <v/>
      </c>
      <c r="AS397">
        <f>IF($E397="","",IF(OR($U397=TRUE(),$U397="TRUE"),1,0))</f>
        <v/>
      </c>
      <c r="AT397">
        <f>IF($E397="","",IF($AC397="Yes",1,0))</f>
        <v/>
      </c>
      <c r="AU397">
        <f>IF($AQ397=1,IFERROR(IF(VALUE($E397)&lt;100000000,VALUE($E397),1000000000),IFERROR(IF(VALUE(MID($E397,2,20))&lt;100000000,VALUE(MID($E397,2,20)),1000000000),1000000000))+ROW()/100000,"")</f>
        <v/>
      </c>
    </row>
    <row r="398">
      <c r="G398" s="14" t="n"/>
      <c r="Q398" s="7">
        <f>IF($E398="","",P398*Z398/100)</f>
        <v/>
      </c>
      <c r="R398" s="7" t="n"/>
      <c r="Y398" s="7" t="n"/>
      <c r="Z398" s="7" t="n"/>
      <c r="AA398" s="7" t="n"/>
      <c r="AD398">
        <f>IF($E398="","",IF($AT398=1,Settings!$C$8,IF($AS398=1,Settings!$C$6,Settings!$C$7))*100)</f>
        <v/>
      </c>
      <c r="AE398" s="7">
        <f>IF($E398="","",Z398*AD398/100)</f>
        <v/>
      </c>
      <c r="AF398" s="7">
        <f>IF($E398="","",Z398-AE398)</f>
        <v/>
      </c>
      <c r="AG398" s="7">
        <f>IF($E398="","",AF398-Q398)</f>
        <v/>
      </c>
      <c r="AK398" s="7" t="n"/>
      <c r="AN398" s="14" t="n"/>
      <c r="AQ398">
        <f>IF($E398="","",IF(COUNTIF($E$2:$E398,$E398)=1,1,0))</f>
        <v/>
      </c>
      <c r="AR398">
        <f>IF($AQ398=1,SUMPRODUCT(--($AU$2:$AU$1501&lt;$AU398))+1,"")</f>
        <v/>
      </c>
      <c r="AS398">
        <f>IF($E398="","",IF(OR($U398=TRUE(),$U398="TRUE"),1,0))</f>
        <v/>
      </c>
      <c r="AT398">
        <f>IF($E398="","",IF($AC398="Yes",1,0))</f>
        <v/>
      </c>
      <c r="AU398">
        <f>IF($AQ398=1,IFERROR(IF(VALUE($E398)&lt;100000000,VALUE($E398),1000000000),IFERROR(IF(VALUE(MID($E398,2,20))&lt;100000000,VALUE(MID($E398,2,20)),1000000000),1000000000))+ROW()/100000,"")</f>
        <v/>
      </c>
    </row>
    <row r="399">
      <c r="G399" s="14" t="n"/>
      <c r="Q399" s="7">
        <f>IF($E399="","",P399*Z399/100)</f>
        <v/>
      </c>
      <c r="R399" s="7" t="n"/>
      <c r="Y399" s="7" t="n"/>
      <c r="Z399" s="7" t="n"/>
      <c r="AA399" s="7" t="n"/>
      <c r="AD399">
        <f>IF($E399="","",IF($AT399=1,Settings!$C$8,IF($AS399=1,Settings!$C$6,Settings!$C$7))*100)</f>
        <v/>
      </c>
      <c r="AE399" s="7">
        <f>IF($E399="","",Z399*AD399/100)</f>
        <v/>
      </c>
      <c r="AF399" s="7">
        <f>IF($E399="","",Z399-AE399)</f>
        <v/>
      </c>
      <c r="AG399" s="7">
        <f>IF($E399="","",AF399-Q399)</f>
        <v/>
      </c>
      <c r="AK399" s="7" t="n"/>
      <c r="AN399" s="14" t="n"/>
      <c r="AQ399">
        <f>IF($E399="","",IF(COUNTIF($E$2:$E399,$E399)=1,1,0))</f>
        <v/>
      </c>
      <c r="AR399">
        <f>IF($AQ399=1,SUMPRODUCT(--($AU$2:$AU$1501&lt;$AU399))+1,"")</f>
        <v/>
      </c>
      <c r="AS399">
        <f>IF($E399="","",IF(OR($U399=TRUE(),$U399="TRUE"),1,0))</f>
        <v/>
      </c>
      <c r="AT399">
        <f>IF($E399="","",IF($AC399="Yes",1,0))</f>
        <v/>
      </c>
      <c r="AU399">
        <f>IF($AQ399=1,IFERROR(IF(VALUE($E399)&lt;100000000,VALUE($E399),1000000000),IFERROR(IF(VALUE(MID($E399,2,20))&lt;100000000,VALUE(MID($E399,2,20)),1000000000),1000000000))+ROW()/100000,"")</f>
        <v/>
      </c>
    </row>
    <row r="400">
      <c r="G400" s="14" t="n"/>
      <c r="Q400" s="7">
        <f>IF($E400="","",P400*Z400/100)</f>
        <v/>
      </c>
      <c r="R400" s="7" t="n"/>
      <c r="Y400" s="7" t="n"/>
      <c r="Z400" s="7" t="n"/>
      <c r="AA400" s="7" t="n"/>
      <c r="AD400">
        <f>IF($E400="","",IF($AT400=1,Settings!$C$8,IF($AS400=1,Settings!$C$6,Settings!$C$7))*100)</f>
        <v/>
      </c>
      <c r="AE400" s="7">
        <f>IF($E400="","",Z400*AD400/100)</f>
        <v/>
      </c>
      <c r="AF400" s="7">
        <f>IF($E400="","",Z400-AE400)</f>
        <v/>
      </c>
      <c r="AG400" s="7">
        <f>IF($E400="","",AF400-Q400)</f>
        <v/>
      </c>
      <c r="AK400" s="7" t="n"/>
      <c r="AN400" s="14" t="n"/>
      <c r="AQ400">
        <f>IF($E400="","",IF(COUNTIF($E$2:$E400,$E400)=1,1,0))</f>
        <v/>
      </c>
      <c r="AR400">
        <f>IF($AQ400=1,SUMPRODUCT(--($AU$2:$AU$1501&lt;$AU400))+1,"")</f>
        <v/>
      </c>
      <c r="AS400">
        <f>IF($E400="","",IF(OR($U400=TRUE(),$U400="TRUE"),1,0))</f>
        <v/>
      </c>
      <c r="AT400">
        <f>IF($E400="","",IF($AC400="Yes",1,0))</f>
        <v/>
      </c>
      <c r="AU400">
        <f>IF($AQ400=1,IFERROR(IF(VALUE($E400)&lt;100000000,VALUE($E400),1000000000),IFERROR(IF(VALUE(MID($E400,2,20))&lt;100000000,VALUE(MID($E400,2,20)),1000000000),1000000000))+ROW()/100000,"")</f>
        <v/>
      </c>
    </row>
    <row r="401">
      <c r="G401" s="14" t="n"/>
      <c r="Q401" s="7">
        <f>IF($E401="","",P401*Z401/100)</f>
        <v/>
      </c>
      <c r="R401" s="7" t="n"/>
      <c r="Y401" s="7" t="n"/>
      <c r="Z401" s="7" t="n"/>
      <c r="AA401" s="7" t="n"/>
      <c r="AD401">
        <f>IF($E401="","",IF($AT401=1,Settings!$C$8,IF($AS401=1,Settings!$C$6,Settings!$C$7))*100)</f>
        <v/>
      </c>
      <c r="AE401" s="7">
        <f>IF($E401="","",Z401*AD401/100)</f>
        <v/>
      </c>
      <c r="AF401" s="7">
        <f>IF($E401="","",Z401-AE401)</f>
        <v/>
      </c>
      <c r="AG401" s="7">
        <f>IF($E401="","",AF401-Q401)</f>
        <v/>
      </c>
      <c r="AK401" s="7" t="n"/>
      <c r="AN401" s="14" t="n"/>
      <c r="AQ401">
        <f>IF($E401="","",IF(COUNTIF($E$2:$E401,$E401)=1,1,0))</f>
        <v/>
      </c>
      <c r="AR401">
        <f>IF($AQ401=1,SUMPRODUCT(--($AU$2:$AU$1501&lt;$AU401))+1,"")</f>
        <v/>
      </c>
      <c r="AS401">
        <f>IF($E401="","",IF(OR($U401=TRUE(),$U401="TRUE"),1,0))</f>
        <v/>
      </c>
      <c r="AT401">
        <f>IF($E401="","",IF($AC401="Yes",1,0))</f>
        <v/>
      </c>
      <c r="AU401">
        <f>IF($AQ401=1,IFERROR(IF(VALUE($E401)&lt;100000000,VALUE($E401),1000000000),IFERROR(IF(VALUE(MID($E401,2,20))&lt;100000000,VALUE(MID($E401,2,20)),1000000000),1000000000))+ROW()/100000,"")</f>
        <v/>
      </c>
    </row>
    <row r="402">
      <c r="G402" s="14" t="n"/>
      <c r="Q402" s="7">
        <f>IF($E402="","",P402*Z402/100)</f>
        <v/>
      </c>
      <c r="R402" s="7" t="n"/>
      <c r="Y402" s="7" t="n"/>
      <c r="Z402" s="7" t="n"/>
      <c r="AA402" s="7" t="n"/>
      <c r="AD402">
        <f>IF($E402="","",IF($AT402=1,Settings!$C$8,IF($AS402=1,Settings!$C$6,Settings!$C$7))*100)</f>
        <v/>
      </c>
      <c r="AE402" s="7">
        <f>IF($E402="","",Z402*AD402/100)</f>
        <v/>
      </c>
      <c r="AF402" s="7">
        <f>IF($E402="","",Z402-AE402)</f>
        <v/>
      </c>
      <c r="AG402" s="7">
        <f>IF($E402="","",AF402-Q402)</f>
        <v/>
      </c>
      <c r="AK402" s="7" t="n"/>
      <c r="AN402" s="14" t="n"/>
      <c r="AQ402">
        <f>IF($E402="","",IF(COUNTIF($E$2:$E402,$E402)=1,1,0))</f>
        <v/>
      </c>
      <c r="AR402">
        <f>IF($AQ402=1,SUMPRODUCT(--($AU$2:$AU$1501&lt;$AU402))+1,"")</f>
        <v/>
      </c>
      <c r="AS402">
        <f>IF($E402="","",IF(OR($U402=TRUE(),$U402="TRUE"),1,0))</f>
        <v/>
      </c>
      <c r="AT402">
        <f>IF($E402="","",IF($AC402="Yes",1,0))</f>
        <v/>
      </c>
      <c r="AU402">
        <f>IF($AQ402=1,IFERROR(IF(VALUE($E402)&lt;100000000,VALUE($E402),1000000000),IFERROR(IF(VALUE(MID($E402,2,20))&lt;100000000,VALUE(MID($E402,2,20)),1000000000),1000000000))+ROW()/100000,"")</f>
        <v/>
      </c>
    </row>
    <row r="403">
      <c r="G403" s="14" t="n"/>
      <c r="Q403" s="7">
        <f>IF($E403="","",P403*Z403/100)</f>
        <v/>
      </c>
      <c r="R403" s="7" t="n"/>
      <c r="Y403" s="7" t="n"/>
      <c r="Z403" s="7" t="n"/>
      <c r="AA403" s="7" t="n"/>
      <c r="AD403">
        <f>IF($E403="","",IF($AT403=1,Settings!$C$8,IF($AS403=1,Settings!$C$6,Settings!$C$7))*100)</f>
        <v/>
      </c>
      <c r="AE403" s="7">
        <f>IF($E403="","",Z403*AD403/100)</f>
        <v/>
      </c>
      <c r="AF403" s="7">
        <f>IF($E403="","",Z403-AE403)</f>
        <v/>
      </c>
      <c r="AG403" s="7">
        <f>IF($E403="","",AF403-Q403)</f>
        <v/>
      </c>
      <c r="AK403" s="7" t="n"/>
      <c r="AN403" s="14" t="n"/>
      <c r="AQ403">
        <f>IF($E403="","",IF(COUNTIF($E$2:$E403,$E403)=1,1,0))</f>
        <v/>
      </c>
      <c r="AR403">
        <f>IF($AQ403=1,SUMPRODUCT(--($AU$2:$AU$1501&lt;$AU403))+1,"")</f>
        <v/>
      </c>
      <c r="AS403">
        <f>IF($E403="","",IF(OR($U403=TRUE(),$U403="TRUE"),1,0))</f>
        <v/>
      </c>
      <c r="AT403">
        <f>IF($E403="","",IF($AC403="Yes",1,0))</f>
        <v/>
      </c>
      <c r="AU403">
        <f>IF($AQ403=1,IFERROR(IF(VALUE($E403)&lt;100000000,VALUE($E403),1000000000),IFERROR(IF(VALUE(MID($E403,2,20))&lt;100000000,VALUE(MID($E403,2,20)),1000000000),1000000000))+ROW()/100000,"")</f>
        <v/>
      </c>
    </row>
    <row r="404">
      <c r="G404" s="14" t="n"/>
      <c r="Q404" s="7">
        <f>IF($E404="","",P404*Z404/100)</f>
        <v/>
      </c>
      <c r="R404" s="7" t="n"/>
      <c r="Y404" s="7" t="n"/>
      <c r="Z404" s="7" t="n"/>
      <c r="AA404" s="7" t="n"/>
      <c r="AD404">
        <f>IF($E404="","",IF($AT404=1,Settings!$C$8,IF($AS404=1,Settings!$C$6,Settings!$C$7))*100)</f>
        <v/>
      </c>
      <c r="AE404" s="7">
        <f>IF($E404="","",Z404*AD404/100)</f>
        <v/>
      </c>
      <c r="AF404" s="7">
        <f>IF($E404="","",Z404-AE404)</f>
        <v/>
      </c>
      <c r="AG404" s="7">
        <f>IF($E404="","",AF404-Q404)</f>
        <v/>
      </c>
      <c r="AK404" s="7" t="n"/>
      <c r="AN404" s="14" t="n"/>
      <c r="AQ404">
        <f>IF($E404="","",IF(COUNTIF($E$2:$E404,$E404)=1,1,0))</f>
        <v/>
      </c>
      <c r="AR404">
        <f>IF($AQ404=1,SUMPRODUCT(--($AU$2:$AU$1501&lt;$AU404))+1,"")</f>
        <v/>
      </c>
      <c r="AS404">
        <f>IF($E404="","",IF(OR($U404=TRUE(),$U404="TRUE"),1,0))</f>
        <v/>
      </c>
      <c r="AT404">
        <f>IF($E404="","",IF($AC404="Yes",1,0))</f>
        <v/>
      </c>
      <c r="AU404">
        <f>IF($AQ404=1,IFERROR(IF(VALUE($E404)&lt;100000000,VALUE($E404),1000000000),IFERROR(IF(VALUE(MID($E404,2,20))&lt;100000000,VALUE(MID($E404,2,20)),1000000000),1000000000))+ROW()/100000,"")</f>
        <v/>
      </c>
    </row>
    <row r="405">
      <c r="G405" s="14" t="n"/>
      <c r="Q405" s="7">
        <f>IF($E405="","",P405*Z405/100)</f>
        <v/>
      </c>
      <c r="R405" s="7" t="n"/>
      <c r="Y405" s="7" t="n"/>
      <c r="Z405" s="7" t="n"/>
      <c r="AA405" s="7" t="n"/>
      <c r="AD405">
        <f>IF($E405="","",IF($AT405=1,Settings!$C$8,IF($AS405=1,Settings!$C$6,Settings!$C$7))*100)</f>
        <v/>
      </c>
      <c r="AE405" s="7">
        <f>IF($E405="","",Z405*AD405/100)</f>
        <v/>
      </c>
      <c r="AF405" s="7">
        <f>IF($E405="","",Z405-AE405)</f>
        <v/>
      </c>
      <c r="AG405" s="7">
        <f>IF($E405="","",AF405-Q405)</f>
        <v/>
      </c>
      <c r="AK405" s="7" t="n"/>
      <c r="AN405" s="14" t="n"/>
      <c r="AQ405">
        <f>IF($E405="","",IF(COUNTIF($E$2:$E405,$E405)=1,1,0))</f>
        <v/>
      </c>
      <c r="AR405">
        <f>IF($AQ405=1,SUMPRODUCT(--($AU$2:$AU$1501&lt;$AU405))+1,"")</f>
        <v/>
      </c>
      <c r="AS405">
        <f>IF($E405="","",IF(OR($U405=TRUE(),$U405="TRUE"),1,0))</f>
        <v/>
      </c>
      <c r="AT405">
        <f>IF($E405="","",IF($AC405="Yes",1,0))</f>
        <v/>
      </c>
      <c r="AU405">
        <f>IF($AQ405=1,IFERROR(IF(VALUE($E405)&lt;100000000,VALUE($E405),1000000000),IFERROR(IF(VALUE(MID($E405,2,20))&lt;100000000,VALUE(MID($E405,2,20)),1000000000),1000000000))+ROW()/100000,"")</f>
        <v/>
      </c>
    </row>
    <row r="406">
      <c r="G406" s="14" t="n"/>
      <c r="Q406" s="7">
        <f>IF($E406="","",P406*Z406/100)</f>
        <v/>
      </c>
      <c r="R406" s="7" t="n"/>
      <c r="Y406" s="7" t="n"/>
      <c r="Z406" s="7" t="n"/>
      <c r="AA406" s="7" t="n"/>
      <c r="AD406">
        <f>IF($E406="","",IF($AT406=1,Settings!$C$8,IF($AS406=1,Settings!$C$6,Settings!$C$7))*100)</f>
        <v/>
      </c>
      <c r="AE406" s="7">
        <f>IF($E406="","",Z406*AD406/100)</f>
        <v/>
      </c>
      <c r="AF406" s="7">
        <f>IF($E406="","",Z406-AE406)</f>
        <v/>
      </c>
      <c r="AG406" s="7">
        <f>IF($E406="","",AF406-Q406)</f>
        <v/>
      </c>
      <c r="AK406" s="7" t="n"/>
      <c r="AN406" s="14" t="n"/>
      <c r="AQ406">
        <f>IF($E406="","",IF(COUNTIF($E$2:$E406,$E406)=1,1,0))</f>
        <v/>
      </c>
      <c r="AR406">
        <f>IF($AQ406=1,SUMPRODUCT(--($AU$2:$AU$1501&lt;$AU406))+1,"")</f>
        <v/>
      </c>
      <c r="AS406">
        <f>IF($E406="","",IF(OR($U406=TRUE(),$U406="TRUE"),1,0))</f>
        <v/>
      </c>
      <c r="AT406">
        <f>IF($E406="","",IF($AC406="Yes",1,0))</f>
        <v/>
      </c>
      <c r="AU406">
        <f>IF($AQ406=1,IFERROR(IF(VALUE($E406)&lt;100000000,VALUE($E406),1000000000),IFERROR(IF(VALUE(MID($E406,2,20))&lt;100000000,VALUE(MID($E406,2,20)),1000000000),1000000000))+ROW()/100000,"")</f>
        <v/>
      </c>
    </row>
    <row r="407">
      <c r="G407" s="14" t="n"/>
      <c r="Q407" s="7">
        <f>IF($E407="","",P407*Z407/100)</f>
        <v/>
      </c>
      <c r="R407" s="7" t="n"/>
      <c r="Y407" s="7" t="n"/>
      <c r="Z407" s="7" t="n"/>
      <c r="AA407" s="7" t="n"/>
      <c r="AD407">
        <f>IF($E407="","",IF($AT407=1,Settings!$C$8,IF($AS407=1,Settings!$C$6,Settings!$C$7))*100)</f>
        <v/>
      </c>
      <c r="AE407" s="7">
        <f>IF($E407="","",Z407*AD407/100)</f>
        <v/>
      </c>
      <c r="AF407" s="7">
        <f>IF($E407="","",Z407-AE407)</f>
        <v/>
      </c>
      <c r="AG407" s="7">
        <f>IF($E407="","",AF407-Q407)</f>
        <v/>
      </c>
      <c r="AK407" s="7" t="n"/>
      <c r="AN407" s="14" t="n"/>
      <c r="AQ407">
        <f>IF($E407="","",IF(COUNTIF($E$2:$E407,$E407)=1,1,0))</f>
        <v/>
      </c>
      <c r="AR407">
        <f>IF($AQ407=1,SUMPRODUCT(--($AU$2:$AU$1501&lt;$AU407))+1,"")</f>
        <v/>
      </c>
      <c r="AS407">
        <f>IF($E407="","",IF(OR($U407=TRUE(),$U407="TRUE"),1,0))</f>
        <v/>
      </c>
      <c r="AT407">
        <f>IF($E407="","",IF($AC407="Yes",1,0))</f>
        <v/>
      </c>
      <c r="AU407">
        <f>IF($AQ407=1,IFERROR(IF(VALUE($E407)&lt;100000000,VALUE($E407),1000000000),IFERROR(IF(VALUE(MID($E407,2,20))&lt;100000000,VALUE(MID($E407,2,20)),1000000000),1000000000))+ROW()/100000,"")</f>
        <v/>
      </c>
    </row>
    <row r="408">
      <c r="G408" s="14" t="n"/>
      <c r="Q408" s="7">
        <f>IF($E408="","",P408*Z408/100)</f>
        <v/>
      </c>
      <c r="R408" s="7" t="n"/>
      <c r="Y408" s="7" t="n"/>
      <c r="Z408" s="7" t="n"/>
      <c r="AA408" s="7" t="n"/>
      <c r="AD408">
        <f>IF($E408="","",IF($AT408=1,Settings!$C$8,IF($AS408=1,Settings!$C$6,Settings!$C$7))*100)</f>
        <v/>
      </c>
      <c r="AE408" s="7">
        <f>IF($E408="","",Z408*AD408/100)</f>
        <v/>
      </c>
      <c r="AF408" s="7">
        <f>IF($E408="","",Z408-AE408)</f>
        <v/>
      </c>
      <c r="AG408" s="7">
        <f>IF($E408="","",AF408-Q408)</f>
        <v/>
      </c>
      <c r="AK408" s="7" t="n"/>
      <c r="AN408" s="14" t="n"/>
      <c r="AQ408">
        <f>IF($E408="","",IF(COUNTIF($E$2:$E408,$E408)=1,1,0))</f>
        <v/>
      </c>
      <c r="AR408">
        <f>IF($AQ408=1,SUMPRODUCT(--($AU$2:$AU$1501&lt;$AU408))+1,"")</f>
        <v/>
      </c>
      <c r="AS408">
        <f>IF($E408="","",IF(OR($U408=TRUE(),$U408="TRUE"),1,0))</f>
        <v/>
      </c>
      <c r="AT408">
        <f>IF($E408="","",IF($AC408="Yes",1,0))</f>
        <v/>
      </c>
      <c r="AU408">
        <f>IF($AQ408=1,IFERROR(IF(VALUE($E408)&lt;100000000,VALUE($E408),1000000000),IFERROR(IF(VALUE(MID($E408,2,20))&lt;100000000,VALUE(MID($E408,2,20)),1000000000),1000000000))+ROW()/100000,"")</f>
        <v/>
      </c>
    </row>
    <row r="409">
      <c r="G409" s="14" t="n"/>
      <c r="Q409" s="7">
        <f>IF($E409="","",P409*Z409/100)</f>
        <v/>
      </c>
      <c r="R409" s="7" t="n"/>
      <c r="Y409" s="7" t="n"/>
      <c r="Z409" s="7" t="n"/>
      <c r="AA409" s="7" t="n"/>
      <c r="AD409">
        <f>IF($E409="","",IF($AT409=1,Settings!$C$8,IF($AS409=1,Settings!$C$6,Settings!$C$7))*100)</f>
        <v/>
      </c>
      <c r="AE409" s="7">
        <f>IF($E409="","",Z409*AD409/100)</f>
        <v/>
      </c>
      <c r="AF409" s="7">
        <f>IF($E409="","",Z409-AE409)</f>
        <v/>
      </c>
      <c r="AG409" s="7">
        <f>IF($E409="","",AF409-Q409)</f>
        <v/>
      </c>
      <c r="AK409" s="7" t="n"/>
      <c r="AN409" s="14" t="n"/>
      <c r="AQ409">
        <f>IF($E409="","",IF(COUNTIF($E$2:$E409,$E409)=1,1,0))</f>
        <v/>
      </c>
      <c r="AR409">
        <f>IF($AQ409=1,SUMPRODUCT(--($AU$2:$AU$1501&lt;$AU409))+1,"")</f>
        <v/>
      </c>
      <c r="AS409">
        <f>IF($E409="","",IF(OR($U409=TRUE(),$U409="TRUE"),1,0))</f>
        <v/>
      </c>
      <c r="AT409">
        <f>IF($E409="","",IF($AC409="Yes",1,0))</f>
        <v/>
      </c>
      <c r="AU409">
        <f>IF($AQ409=1,IFERROR(IF(VALUE($E409)&lt;100000000,VALUE($E409),1000000000),IFERROR(IF(VALUE(MID($E409,2,20))&lt;100000000,VALUE(MID($E409,2,20)),1000000000),1000000000))+ROW()/100000,"")</f>
        <v/>
      </c>
    </row>
    <row r="410">
      <c r="G410" s="14" t="n"/>
      <c r="Q410" s="7">
        <f>IF($E410="","",P410*Z410/100)</f>
        <v/>
      </c>
      <c r="R410" s="7" t="n"/>
      <c r="Y410" s="7" t="n"/>
      <c r="Z410" s="7" t="n"/>
      <c r="AA410" s="7" t="n"/>
      <c r="AD410">
        <f>IF($E410="","",IF($AT410=1,Settings!$C$8,IF($AS410=1,Settings!$C$6,Settings!$C$7))*100)</f>
        <v/>
      </c>
      <c r="AE410" s="7">
        <f>IF($E410="","",Z410*AD410/100)</f>
        <v/>
      </c>
      <c r="AF410" s="7">
        <f>IF($E410="","",Z410-AE410)</f>
        <v/>
      </c>
      <c r="AG410" s="7">
        <f>IF($E410="","",AF410-Q410)</f>
        <v/>
      </c>
      <c r="AK410" s="7" t="n"/>
      <c r="AN410" s="14" t="n"/>
      <c r="AQ410">
        <f>IF($E410="","",IF(COUNTIF($E$2:$E410,$E410)=1,1,0))</f>
        <v/>
      </c>
      <c r="AR410">
        <f>IF($AQ410=1,SUMPRODUCT(--($AU$2:$AU$1501&lt;$AU410))+1,"")</f>
        <v/>
      </c>
      <c r="AS410">
        <f>IF($E410="","",IF(OR($U410=TRUE(),$U410="TRUE"),1,0))</f>
        <v/>
      </c>
      <c r="AT410">
        <f>IF($E410="","",IF($AC410="Yes",1,0))</f>
        <v/>
      </c>
      <c r="AU410">
        <f>IF($AQ410=1,IFERROR(IF(VALUE($E410)&lt;100000000,VALUE($E410),1000000000),IFERROR(IF(VALUE(MID($E410,2,20))&lt;100000000,VALUE(MID($E410,2,20)),1000000000),1000000000))+ROW()/100000,"")</f>
        <v/>
      </c>
    </row>
    <row r="411">
      <c r="G411" s="14" t="n"/>
      <c r="Q411" s="7">
        <f>IF($E411="","",P411*Z411/100)</f>
        <v/>
      </c>
      <c r="R411" s="7" t="n"/>
      <c r="Y411" s="7" t="n"/>
      <c r="Z411" s="7" t="n"/>
      <c r="AA411" s="7" t="n"/>
      <c r="AD411">
        <f>IF($E411="","",IF($AT411=1,Settings!$C$8,IF($AS411=1,Settings!$C$6,Settings!$C$7))*100)</f>
        <v/>
      </c>
      <c r="AE411" s="7">
        <f>IF($E411="","",Z411*AD411/100)</f>
        <v/>
      </c>
      <c r="AF411" s="7">
        <f>IF($E411="","",Z411-AE411)</f>
        <v/>
      </c>
      <c r="AG411" s="7">
        <f>IF($E411="","",AF411-Q411)</f>
        <v/>
      </c>
      <c r="AK411" s="7" t="n"/>
      <c r="AN411" s="14" t="n"/>
      <c r="AQ411">
        <f>IF($E411="","",IF(COUNTIF($E$2:$E411,$E411)=1,1,0))</f>
        <v/>
      </c>
      <c r="AR411">
        <f>IF($AQ411=1,SUMPRODUCT(--($AU$2:$AU$1501&lt;$AU411))+1,"")</f>
        <v/>
      </c>
      <c r="AS411">
        <f>IF($E411="","",IF(OR($U411=TRUE(),$U411="TRUE"),1,0))</f>
        <v/>
      </c>
      <c r="AT411">
        <f>IF($E411="","",IF($AC411="Yes",1,0))</f>
        <v/>
      </c>
      <c r="AU411">
        <f>IF($AQ411=1,IFERROR(IF(VALUE($E411)&lt;100000000,VALUE($E411),1000000000),IFERROR(IF(VALUE(MID($E411,2,20))&lt;100000000,VALUE(MID($E411,2,20)),1000000000),1000000000))+ROW()/100000,"")</f>
        <v/>
      </c>
    </row>
    <row r="412">
      <c r="G412" s="14" t="n"/>
      <c r="Q412" s="7">
        <f>IF($E412="","",P412*Z412/100)</f>
        <v/>
      </c>
      <c r="R412" s="7" t="n"/>
      <c r="Y412" s="7" t="n"/>
      <c r="Z412" s="7" t="n"/>
      <c r="AA412" s="7" t="n"/>
      <c r="AD412">
        <f>IF($E412="","",IF($AT412=1,Settings!$C$8,IF($AS412=1,Settings!$C$6,Settings!$C$7))*100)</f>
        <v/>
      </c>
      <c r="AE412" s="7">
        <f>IF($E412="","",Z412*AD412/100)</f>
        <v/>
      </c>
      <c r="AF412" s="7">
        <f>IF($E412="","",Z412-AE412)</f>
        <v/>
      </c>
      <c r="AG412" s="7">
        <f>IF($E412="","",AF412-Q412)</f>
        <v/>
      </c>
      <c r="AK412" s="7" t="n"/>
      <c r="AN412" s="14" t="n"/>
      <c r="AQ412">
        <f>IF($E412="","",IF(COUNTIF($E$2:$E412,$E412)=1,1,0))</f>
        <v/>
      </c>
      <c r="AR412">
        <f>IF($AQ412=1,SUMPRODUCT(--($AU$2:$AU$1501&lt;$AU412))+1,"")</f>
        <v/>
      </c>
      <c r="AS412">
        <f>IF($E412="","",IF(OR($U412=TRUE(),$U412="TRUE"),1,0))</f>
        <v/>
      </c>
      <c r="AT412">
        <f>IF($E412="","",IF($AC412="Yes",1,0))</f>
        <v/>
      </c>
      <c r="AU412">
        <f>IF($AQ412=1,IFERROR(IF(VALUE($E412)&lt;100000000,VALUE($E412),1000000000),IFERROR(IF(VALUE(MID($E412,2,20))&lt;100000000,VALUE(MID($E412,2,20)),1000000000),1000000000))+ROW()/100000,"")</f>
        <v/>
      </c>
    </row>
    <row r="413">
      <c r="G413" s="14" t="n"/>
      <c r="Q413" s="7">
        <f>IF($E413="","",P413*Z413/100)</f>
        <v/>
      </c>
      <c r="R413" s="7" t="n"/>
      <c r="Y413" s="7" t="n"/>
      <c r="Z413" s="7" t="n"/>
      <c r="AA413" s="7" t="n"/>
      <c r="AD413">
        <f>IF($E413="","",IF($AT413=1,Settings!$C$8,IF($AS413=1,Settings!$C$6,Settings!$C$7))*100)</f>
        <v/>
      </c>
      <c r="AE413" s="7">
        <f>IF($E413="","",Z413*AD413/100)</f>
        <v/>
      </c>
      <c r="AF413" s="7">
        <f>IF($E413="","",Z413-AE413)</f>
        <v/>
      </c>
      <c r="AG413" s="7">
        <f>IF($E413="","",AF413-Q413)</f>
        <v/>
      </c>
      <c r="AK413" s="7" t="n"/>
      <c r="AN413" s="14" t="n"/>
      <c r="AQ413">
        <f>IF($E413="","",IF(COUNTIF($E$2:$E413,$E413)=1,1,0))</f>
        <v/>
      </c>
      <c r="AR413">
        <f>IF($AQ413=1,SUMPRODUCT(--($AU$2:$AU$1501&lt;$AU413))+1,"")</f>
        <v/>
      </c>
      <c r="AS413">
        <f>IF($E413="","",IF(OR($U413=TRUE(),$U413="TRUE"),1,0))</f>
        <v/>
      </c>
      <c r="AT413">
        <f>IF($E413="","",IF($AC413="Yes",1,0))</f>
        <v/>
      </c>
      <c r="AU413">
        <f>IF($AQ413=1,IFERROR(IF(VALUE($E413)&lt;100000000,VALUE($E413),1000000000),IFERROR(IF(VALUE(MID($E413,2,20))&lt;100000000,VALUE(MID($E413,2,20)),1000000000),1000000000))+ROW()/100000,"")</f>
        <v/>
      </c>
    </row>
    <row r="414">
      <c r="G414" s="14" t="n"/>
      <c r="Q414" s="7">
        <f>IF($E414="","",P414*Z414/100)</f>
        <v/>
      </c>
      <c r="R414" s="7" t="n"/>
      <c r="Y414" s="7" t="n"/>
      <c r="Z414" s="7" t="n"/>
      <c r="AA414" s="7" t="n"/>
      <c r="AD414">
        <f>IF($E414="","",IF($AT414=1,Settings!$C$8,IF($AS414=1,Settings!$C$6,Settings!$C$7))*100)</f>
        <v/>
      </c>
      <c r="AE414" s="7">
        <f>IF($E414="","",Z414*AD414/100)</f>
        <v/>
      </c>
      <c r="AF414" s="7">
        <f>IF($E414="","",Z414-AE414)</f>
        <v/>
      </c>
      <c r="AG414" s="7">
        <f>IF($E414="","",AF414-Q414)</f>
        <v/>
      </c>
      <c r="AK414" s="7" t="n"/>
      <c r="AN414" s="14" t="n"/>
      <c r="AQ414">
        <f>IF($E414="","",IF(COUNTIF($E$2:$E414,$E414)=1,1,0))</f>
        <v/>
      </c>
      <c r="AR414">
        <f>IF($AQ414=1,SUMPRODUCT(--($AU$2:$AU$1501&lt;$AU414))+1,"")</f>
        <v/>
      </c>
      <c r="AS414">
        <f>IF($E414="","",IF(OR($U414=TRUE(),$U414="TRUE"),1,0))</f>
        <v/>
      </c>
      <c r="AT414">
        <f>IF($E414="","",IF($AC414="Yes",1,0))</f>
        <v/>
      </c>
      <c r="AU414">
        <f>IF($AQ414=1,IFERROR(IF(VALUE($E414)&lt;100000000,VALUE($E414),1000000000),IFERROR(IF(VALUE(MID($E414,2,20))&lt;100000000,VALUE(MID($E414,2,20)),1000000000),1000000000))+ROW()/100000,"")</f>
        <v/>
      </c>
    </row>
    <row r="415">
      <c r="G415" s="14" t="n"/>
      <c r="Q415" s="7">
        <f>IF($E415="","",P415*Z415/100)</f>
        <v/>
      </c>
      <c r="R415" s="7" t="n"/>
      <c r="Y415" s="7" t="n"/>
      <c r="Z415" s="7" t="n"/>
      <c r="AA415" s="7" t="n"/>
      <c r="AD415">
        <f>IF($E415="","",IF($AT415=1,Settings!$C$8,IF($AS415=1,Settings!$C$6,Settings!$C$7))*100)</f>
        <v/>
      </c>
      <c r="AE415" s="7">
        <f>IF($E415="","",Z415*AD415/100)</f>
        <v/>
      </c>
      <c r="AF415" s="7">
        <f>IF($E415="","",Z415-AE415)</f>
        <v/>
      </c>
      <c r="AG415" s="7">
        <f>IF($E415="","",AF415-Q415)</f>
        <v/>
      </c>
      <c r="AK415" s="7" t="n"/>
      <c r="AN415" s="14" t="n"/>
      <c r="AQ415">
        <f>IF($E415="","",IF(COUNTIF($E$2:$E415,$E415)=1,1,0))</f>
        <v/>
      </c>
      <c r="AR415">
        <f>IF($AQ415=1,SUMPRODUCT(--($AU$2:$AU$1501&lt;$AU415))+1,"")</f>
        <v/>
      </c>
      <c r="AS415">
        <f>IF($E415="","",IF(OR($U415=TRUE(),$U415="TRUE"),1,0))</f>
        <v/>
      </c>
      <c r="AT415">
        <f>IF($E415="","",IF($AC415="Yes",1,0))</f>
        <v/>
      </c>
      <c r="AU415">
        <f>IF($AQ415=1,IFERROR(IF(VALUE($E415)&lt;100000000,VALUE($E415),1000000000),IFERROR(IF(VALUE(MID($E415,2,20))&lt;100000000,VALUE(MID($E415,2,20)),1000000000),1000000000))+ROW()/100000,"")</f>
        <v/>
      </c>
    </row>
    <row r="416">
      <c r="G416" s="14" t="n"/>
      <c r="Q416" s="7">
        <f>IF($E416="","",P416*Z416/100)</f>
        <v/>
      </c>
      <c r="R416" s="7" t="n"/>
      <c r="Y416" s="7" t="n"/>
      <c r="Z416" s="7" t="n"/>
      <c r="AA416" s="7" t="n"/>
      <c r="AD416">
        <f>IF($E416="","",IF($AT416=1,Settings!$C$8,IF($AS416=1,Settings!$C$6,Settings!$C$7))*100)</f>
        <v/>
      </c>
      <c r="AE416" s="7">
        <f>IF($E416="","",Z416*AD416/100)</f>
        <v/>
      </c>
      <c r="AF416" s="7">
        <f>IF($E416="","",Z416-AE416)</f>
        <v/>
      </c>
      <c r="AG416" s="7">
        <f>IF($E416="","",AF416-Q416)</f>
        <v/>
      </c>
      <c r="AK416" s="7" t="n"/>
      <c r="AN416" s="14" t="n"/>
      <c r="AQ416">
        <f>IF($E416="","",IF(COUNTIF($E$2:$E416,$E416)=1,1,0))</f>
        <v/>
      </c>
      <c r="AR416">
        <f>IF($AQ416=1,SUMPRODUCT(--($AU$2:$AU$1501&lt;$AU416))+1,"")</f>
        <v/>
      </c>
      <c r="AS416">
        <f>IF($E416="","",IF(OR($U416=TRUE(),$U416="TRUE"),1,0))</f>
        <v/>
      </c>
      <c r="AT416">
        <f>IF($E416="","",IF($AC416="Yes",1,0))</f>
        <v/>
      </c>
      <c r="AU416">
        <f>IF($AQ416=1,IFERROR(IF(VALUE($E416)&lt;100000000,VALUE($E416),1000000000),IFERROR(IF(VALUE(MID($E416,2,20))&lt;100000000,VALUE(MID($E416,2,20)),1000000000),1000000000))+ROW()/100000,"")</f>
        <v/>
      </c>
    </row>
    <row r="417">
      <c r="G417" s="14" t="n"/>
      <c r="Q417" s="7">
        <f>IF($E417="","",P417*Z417/100)</f>
        <v/>
      </c>
      <c r="R417" s="7" t="n"/>
      <c r="Y417" s="7" t="n"/>
      <c r="Z417" s="7" t="n"/>
      <c r="AA417" s="7" t="n"/>
      <c r="AD417">
        <f>IF($E417="","",IF($AT417=1,Settings!$C$8,IF($AS417=1,Settings!$C$6,Settings!$C$7))*100)</f>
        <v/>
      </c>
      <c r="AE417" s="7">
        <f>IF($E417="","",Z417*AD417/100)</f>
        <v/>
      </c>
      <c r="AF417" s="7">
        <f>IF($E417="","",Z417-AE417)</f>
        <v/>
      </c>
      <c r="AG417" s="7">
        <f>IF($E417="","",AF417-Q417)</f>
        <v/>
      </c>
      <c r="AK417" s="7" t="n"/>
      <c r="AN417" s="14" t="n"/>
      <c r="AQ417">
        <f>IF($E417="","",IF(COUNTIF($E$2:$E417,$E417)=1,1,0))</f>
        <v/>
      </c>
      <c r="AR417">
        <f>IF($AQ417=1,SUMPRODUCT(--($AU$2:$AU$1501&lt;$AU417))+1,"")</f>
        <v/>
      </c>
      <c r="AS417">
        <f>IF($E417="","",IF(OR($U417=TRUE(),$U417="TRUE"),1,0))</f>
        <v/>
      </c>
      <c r="AT417">
        <f>IF($E417="","",IF($AC417="Yes",1,0))</f>
        <v/>
      </c>
      <c r="AU417">
        <f>IF($AQ417=1,IFERROR(IF(VALUE($E417)&lt;100000000,VALUE($E417),1000000000),IFERROR(IF(VALUE(MID($E417,2,20))&lt;100000000,VALUE(MID($E417,2,20)),1000000000),1000000000))+ROW()/100000,"")</f>
        <v/>
      </c>
    </row>
    <row r="418">
      <c r="G418" s="14" t="n"/>
      <c r="Q418" s="7">
        <f>IF($E418="","",P418*Z418/100)</f>
        <v/>
      </c>
      <c r="R418" s="7" t="n"/>
      <c r="Y418" s="7" t="n"/>
      <c r="Z418" s="7" t="n"/>
      <c r="AA418" s="7" t="n"/>
      <c r="AD418">
        <f>IF($E418="","",IF($AT418=1,Settings!$C$8,IF($AS418=1,Settings!$C$6,Settings!$C$7))*100)</f>
        <v/>
      </c>
      <c r="AE418" s="7">
        <f>IF($E418="","",Z418*AD418/100)</f>
        <v/>
      </c>
      <c r="AF418" s="7">
        <f>IF($E418="","",Z418-AE418)</f>
        <v/>
      </c>
      <c r="AG418" s="7">
        <f>IF($E418="","",AF418-Q418)</f>
        <v/>
      </c>
      <c r="AK418" s="7" t="n"/>
      <c r="AN418" s="14" t="n"/>
      <c r="AQ418">
        <f>IF($E418="","",IF(COUNTIF($E$2:$E418,$E418)=1,1,0))</f>
        <v/>
      </c>
      <c r="AR418">
        <f>IF($AQ418=1,SUMPRODUCT(--($AU$2:$AU$1501&lt;$AU418))+1,"")</f>
        <v/>
      </c>
      <c r="AS418">
        <f>IF($E418="","",IF(OR($U418=TRUE(),$U418="TRUE"),1,0))</f>
        <v/>
      </c>
      <c r="AT418">
        <f>IF($E418="","",IF($AC418="Yes",1,0))</f>
        <v/>
      </c>
      <c r="AU418">
        <f>IF($AQ418=1,IFERROR(IF(VALUE($E418)&lt;100000000,VALUE($E418),1000000000),IFERROR(IF(VALUE(MID($E418,2,20))&lt;100000000,VALUE(MID($E418,2,20)),1000000000),1000000000))+ROW()/100000,"")</f>
        <v/>
      </c>
    </row>
    <row r="419">
      <c r="G419" s="14" t="n"/>
      <c r="Q419" s="7">
        <f>IF($E419="","",P419*Z419/100)</f>
        <v/>
      </c>
      <c r="R419" s="7" t="n"/>
      <c r="Y419" s="7" t="n"/>
      <c r="Z419" s="7" t="n"/>
      <c r="AA419" s="7" t="n"/>
      <c r="AD419">
        <f>IF($E419="","",IF($AT419=1,Settings!$C$8,IF($AS419=1,Settings!$C$6,Settings!$C$7))*100)</f>
        <v/>
      </c>
      <c r="AE419" s="7">
        <f>IF($E419="","",Z419*AD419/100)</f>
        <v/>
      </c>
      <c r="AF419" s="7">
        <f>IF($E419="","",Z419-AE419)</f>
        <v/>
      </c>
      <c r="AG419" s="7">
        <f>IF($E419="","",AF419-Q419)</f>
        <v/>
      </c>
      <c r="AK419" s="7" t="n"/>
      <c r="AN419" s="14" t="n"/>
      <c r="AQ419">
        <f>IF($E419="","",IF(COUNTIF($E$2:$E419,$E419)=1,1,0))</f>
        <v/>
      </c>
      <c r="AR419">
        <f>IF($AQ419=1,SUMPRODUCT(--($AU$2:$AU$1501&lt;$AU419))+1,"")</f>
        <v/>
      </c>
      <c r="AS419">
        <f>IF($E419="","",IF(OR($U419=TRUE(),$U419="TRUE"),1,0))</f>
        <v/>
      </c>
      <c r="AT419">
        <f>IF($E419="","",IF($AC419="Yes",1,0))</f>
        <v/>
      </c>
      <c r="AU419">
        <f>IF($AQ419=1,IFERROR(IF(VALUE($E419)&lt;100000000,VALUE($E419),1000000000),IFERROR(IF(VALUE(MID($E419,2,20))&lt;100000000,VALUE(MID($E419,2,20)),1000000000),1000000000))+ROW()/100000,"")</f>
        <v/>
      </c>
    </row>
    <row r="420">
      <c r="G420" s="14" t="n"/>
      <c r="Q420" s="7">
        <f>IF($E420="","",P420*Z420/100)</f>
        <v/>
      </c>
      <c r="R420" s="7" t="n"/>
      <c r="Y420" s="7" t="n"/>
      <c r="Z420" s="7" t="n"/>
      <c r="AA420" s="7" t="n"/>
      <c r="AD420">
        <f>IF($E420="","",IF($AT420=1,Settings!$C$8,IF($AS420=1,Settings!$C$6,Settings!$C$7))*100)</f>
        <v/>
      </c>
      <c r="AE420" s="7">
        <f>IF($E420="","",Z420*AD420/100)</f>
        <v/>
      </c>
      <c r="AF420" s="7">
        <f>IF($E420="","",Z420-AE420)</f>
        <v/>
      </c>
      <c r="AG420" s="7">
        <f>IF($E420="","",AF420-Q420)</f>
        <v/>
      </c>
      <c r="AK420" s="7" t="n"/>
      <c r="AN420" s="14" t="n"/>
      <c r="AQ420">
        <f>IF($E420="","",IF(COUNTIF($E$2:$E420,$E420)=1,1,0))</f>
        <v/>
      </c>
      <c r="AR420">
        <f>IF($AQ420=1,SUMPRODUCT(--($AU$2:$AU$1501&lt;$AU420))+1,"")</f>
        <v/>
      </c>
      <c r="AS420">
        <f>IF($E420="","",IF(OR($U420=TRUE(),$U420="TRUE"),1,0))</f>
        <v/>
      </c>
      <c r="AT420">
        <f>IF($E420="","",IF($AC420="Yes",1,0))</f>
        <v/>
      </c>
      <c r="AU420">
        <f>IF($AQ420=1,IFERROR(IF(VALUE($E420)&lt;100000000,VALUE($E420),1000000000),IFERROR(IF(VALUE(MID($E420,2,20))&lt;100000000,VALUE(MID($E420,2,20)),1000000000),1000000000))+ROW()/100000,"")</f>
        <v/>
      </c>
    </row>
    <row r="421">
      <c r="G421" s="14" t="n"/>
      <c r="Q421" s="7">
        <f>IF($E421="","",P421*Z421/100)</f>
        <v/>
      </c>
      <c r="R421" s="7" t="n"/>
      <c r="Y421" s="7" t="n"/>
      <c r="Z421" s="7" t="n"/>
      <c r="AA421" s="7" t="n"/>
      <c r="AD421">
        <f>IF($E421="","",IF($AT421=1,Settings!$C$8,IF($AS421=1,Settings!$C$6,Settings!$C$7))*100)</f>
        <v/>
      </c>
      <c r="AE421" s="7">
        <f>IF($E421="","",Z421*AD421/100)</f>
        <v/>
      </c>
      <c r="AF421" s="7">
        <f>IF($E421="","",Z421-AE421)</f>
        <v/>
      </c>
      <c r="AG421" s="7">
        <f>IF($E421="","",AF421-Q421)</f>
        <v/>
      </c>
      <c r="AK421" s="7" t="n"/>
      <c r="AN421" s="14" t="n"/>
      <c r="AQ421">
        <f>IF($E421="","",IF(COUNTIF($E$2:$E421,$E421)=1,1,0))</f>
        <v/>
      </c>
      <c r="AR421">
        <f>IF($AQ421=1,SUMPRODUCT(--($AU$2:$AU$1501&lt;$AU421))+1,"")</f>
        <v/>
      </c>
      <c r="AS421">
        <f>IF($E421="","",IF(OR($U421=TRUE(),$U421="TRUE"),1,0))</f>
        <v/>
      </c>
      <c r="AT421">
        <f>IF($E421="","",IF($AC421="Yes",1,0))</f>
        <v/>
      </c>
      <c r="AU421">
        <f>IF($AQ421=1,IFERROR(IF(VALUE($E421)&lt;100000000,VALUE($E421),1000000000),IFERROR(IF(VALUE(MID($E421,2,20))&lt;100000000,VALUE(MID($E421,2,20)),1000000000),1000000000))+ROW()/100000,"")</f>
        <v/>
      </c>
    </row>
    <row r="422">
      <c r="G422" s="14" t="n"/>
      <c r="Q422" s="7">
        <f>IF($E422="","",P422*Z422/100)</f>
        <v/>
      </c>
      <c r="R422" s="7" t="n"/>
      <c r="Y422" s="7" t="n"/>
      <c r="Z422" s="7" t="n"/>
      <c r="AA422" s="7" t="n"/>
      <c r="AD422">
        <f>IF($E422="","",IF($AT422=1,Settings!$C$8,IF($AS422=1,Settings!$C$6,Settings!$C$7))*100)</f>
        <v/>
      </c>
      <c r="AE422" s="7">
        <f>IF($E422="","",Z422*AD422/100)</f>
        <v/>
      </c>
      <c r="AF422" s="7">
        <f>IF($E422="","",Z422-AE422)</f>
        <v/>
      </c>
      <c r="AG422" s="7">
        <f>IF($E422="","",AF422-Q422)</f>
        <v/>
      </c>
      <c r="AK422" s="7" t="n"/>
      <c r="AN422" s="14" t="n"/>
      <c r="AQ422">
        <f>IF($E422="","",IF(COUNTIF($E$2:$E422,$E422)=1,1,0))</f>
        <v/>
      </c>
      <c r="AR422">
        <f>IF($AQ422=1,SUMPRODUCT(--($AU$2:$AU$1501&lt;$AU422))+1,"")</f>
        <v/>
      </c>
      <c r="AS422">
        <f>IF($E422="","",IF(OR($U422=TRUE(),$U422="TRUE"),1,0))</f>
        <v/>
      </c>
      <c r="AT422">
        <f>IF($E422="","",IF($AC422="Yes",1,0))</f>
        <v/>
      </c>
      <c r="AU422">
        <f>IF($AQ422=1,IFERROR(IF(VALUE($E422)&lt;100000000,VALUE($E422),1000000000),IFERROR(IF(VALUE(MID($E422,2,20))&lt;100000000,VALUE(MID($E422,2,20)),1000000000),1000000000))+ROW()/100000,"")</f>
        <v/>
      </c>
    </row>
    <row r="423">
      <c r="G423" s="14" t="n"/>
      <c r="Q423" s="7">
        <f>IF($E423="","",P423*Z423/100)</f>
        <v/>
      </c>
      <c r="R423" s="7" t="n"/>
      <c r="Y423" s="7" t="n"/>
      <c r="Z423" s="7" t="n"/>
      <c r="AA423" s="7" t="n"/>
      <c r="AD423">
        <f>IF($E423="","",IF($AT423=1,Settings!$C$8,IF($AS423=1,Settings!$C$6,Settings!$C$7))*100)</f>
        <v/>
      </c>
      <c r="AE423" s="7">
        <f>IF($E423="","",Z423*AD423/100)</f>
        <v/>
      </c>
      <c r="AF423" s="7">
        <f>IF($E423="","",Z423-AE423)</f>
        <v/>
      </c>
      <c r="AG423" s="7">
        <f>IF($E423="","",AF423-Q423)</f>
        <v/>
      </c>
      <c r="AK423" s="7" t="n"/>
      <c r="AN423" s="14" t="n"/>
      <c r="AQ423">
        <f>IF($E423="","",IF(COUNTIF($E$2:$E423,$E423)=1,1,0))</f>
        <v/>
      </c>
      <c r="AR423">
        <f>IF($AQ423=1,SUMPRODUCT(--($AU$2:$AU$1501&lt;$AU423))+1,"")</f>
        <v/>
      </c>
      <c r="AS423">
        <f>IF($E423="","",IF(OR($U423=TRUE(),$U423="TRUE"),1,0))</f>
        <v/>
      </c>
      <c r="AT423">
        <f>IF($E423="","",IF($AC423="Yes",1,0))</f>
        <v/>
      </c>
      <c r="AU423">
        <f>IF($AQ423=1,IFERROR(IF(VALUE($E423)&lt;100000000,VALUE($E423),1000000000),IFERROR(IF(VALUE(MID($E423,2,20))&lt;100000000,VALUE(MID($E423,2,20)),1000000000),1000000000))+ROW()/100000,"")</f>
        <v/>
      </c>
    </row>
    <row r="424">
      <c r="G424" s="14" t="n"/>
      <c r="Q424" s="7">
        <f>IF($E424="","",P424*Z424/100)</f>
        <v/>
      </c>
      <c r="R424" s="7" t="n"/>
      <c r="Y424" s="7" t="n"/>
      <c r="Z424" s="7" t="n"/>
      <c r="AA424" s="7" t="n"/>
      <c r="AD424">
        <f>IF($E424="","",IF($AT424=1,Settings!$C$8,IF($AS424=1,Settings!$C$6,Settings!$C$7))*100)</f>
        <v/>
      </c>
      <c r="AE424" s="7">
        <f>IF($E424="","",Z424*AD424/100)</f>
        <v/>
      </c>
      <c r="AF424" s="7">
        <f>IF($E424="","",Z424-AE424)</f>
        <v/>
      </c>
      <c r="AG424" s="7">
        <f>IF($E424="","",AF424-Q424)</f>
        <v/>
      </c>
      <c r="AK424" s="7" t="n"/>
      <c r="AN424" s="14" t="n"/>
      <c r="AQ424">
        <f>IF($E424="","",IF(COUNTIF($E$2:$E424,$E424)=1,1,0))</f>
        <v/>
      </c>
      <c r="AR424">
        <f>IF($AQ424=1,SUMPRODUCT(--($AU$2:$AU$1501&lt;$AU424))+1,"")</f>
        <v/>
      </c>
      <c r="AS424">
        <f>IF($E424="","",IF(OR($U424=TRUE(),$U424="TRUE"),1,0))</f>
        <v/>
      </c>
      <c r="AT424">
        <f>IF($E424="","",IF($AC424="Yes",1,0))</f>
        <v/>
      </c>
      <c r="AU424">
        <f>IF($AQ424=1,IFERROR(IF(VALUE($E424)&lt;100000000,VALUE($E424),1000000000),IFERROR(IF(VALUE(MID($E424,2,20))&lt;100000000,VALUE(MID($E424,2,20)),1000000000),1000000000))+ROW()/100000,"")</f>
        <v/>
      </c>
    </row>
    <row r="425">
      <c r="G425" s="14" t="n"/>
      <c r="Q425" s="7">
        <f>IF($E425="","",P425*Z425/100)</f>
        <v/>
      </c>
      <c r="R425" s="7" t="n"/>
      <c r="Y425" s="7" t="n"/>
      <c r="Z425" s="7" t="n"/>
      <c r="AA425" s="7" t="n"/>
      <c r="AD425">
        <f>IF($E425="","",IF($AT425=1,Settings!$C$8,IF($AS425=1,Settings!$C$6,Settings!$C$7))*100)</f>
        <v/>
      </c>
      <c r="AE425" s="7">
        <f>IF($E425="","",Z425*AD425/100)</f>
        <v/>
      </c>
      <c r="AF425" s="7">
        <f>IF($E425="","",Z425-AE425)</f>
        <v/>
      </c>
      <c r="AG425" s="7">
        <f>IF($E425="","",AF425-Q425)</f>
        <v/>
      </c>
      <c r="AK425" s="7" t="n"/>
      <c r="AN425" s="14" t="n"/>
      <c r="AQ425">
        <f>IF($E425="","",IF(COUNTIF($E$2:$E425,$E425)=1,1,0))</f>
        <v/>
      </c>
      <c r="AR425">
        <f>IF($AQ425=1,SUMPRODUCT(--($AU$2:$AU$1501&lt;$AU425))+1,"")</f>
        <v/>
      </c>
      <c r="AS425">
        <f>IF($E425="","",IF(OR($U425=TRUE(),$U425="TRUE"),1,0))</f>
        <v/>
      </c>
      <c r="AT425">
        <f>IF($E425="","",IF($AC425="Yes",1,0))</f>
        <v/>
      </c>
      <c r="AU425">
        <f>IF($AQ425=1,IFERROR(IF(VALUE($E425)&lt;100000000,VALUE($E425),1000000000),IFERROR(IF(VALUE(MID($E425,2,20))&lt;100000000,VALUE(MID($E425,2,20)),1000000000),1000000000))+ROW()/100000,"")</f>
        <v/>
      </c>
    </row>
    <row r="426">
      <c r="G426" s="14" t="n"/>
      <c r="Q426" s="7">
        <f>IF($E426="","",P426*Z426/100)</f>
        <v/>
      </c>
      <c r="R426" s="7" t="n"/>
      <c r="Y426" s="7" t="n"/>
      <c r="Z426" s="7" t="n"/>
      <c r="AA426" s="7" t="n"/>
      <c r="AD426">
        <f>IF($E426="","",IF($AT426=1,Settings!$C$8,IF($AS426=1,Settings!$C$6,Settings!$C$7))*100)</f>
        <v/>
      </c>
      <c r="AE426" s="7">
        <f>IF($E426="","",Z426*AD426/100)</f>
        <v/>
      </c>
      <c r="AF426" s="7">
        <f>IF($E426="","",Z426-AE426)</f>
        <v/>
      </c>
      <c r="AG426" s="7">
        <f>IF($E426="","",AF426-Q426)</f>
        <v/>
      </c>
      <c r="AK426" s="7" t="n"/>
      <c r="AN426" s="14" t="n"/>
      <c r="AQ426">
        <f>IF($E426="","",IF(COUNTIF($E$2:$E426,$E426)=1,1,0))</f>
        <v/>
      </c>
      <c r="AR426">
        <f>IF($AQ426=1,SUMPRODUCT(--($AU$2:$AU$1501&lt;$AU426))+1,"")</f>
        <v/>
      </c>
      <c r="AS426">
        <f>IF($E426="","",IF(OR($U426=TRUE(),$U426="TRUE"),1,0))</f>
        <v/>
      </c>
      <c r="AT426">
        <f>IF($E426="","",IF($AC426="Yes",1,0))</f>
        <v/>
      </c>
      <c r="AU426">
        <f>IF($AQ426=1,IFERROR(IF(VALUE($E426)&lt;100000000,VALUE($E426),1000000000),IFERROR(IF(VALUE(MID($E426,2,20))&lt;100000000,VALUE(MID($E426,2,20)),1000000000),1000000000))+ROW()/100000,"")</f>
        <v/>
      </c>
    </row>
    <row r="427">
      <c r="G427" s="14" t="n"/>
      <c r="Q427" s="7">
        <f>IF($E427="","",P427*Z427/100)</f>
        <v/>
      </c>
      <c r="R427" s="7" t="n"/>
      <c r="Y427" s="7" t="n"/>
      <c r="Z427" s="7" t="n"/>
      <c r="AA427" s="7" t="n"/>
      <c r="AD427">
        <f>IF($E427="","",IF($AT427=1,Settings!$C$8,IF($AS427=1,Settings!$C$6,Settings!$C$7))*100)</f>
        <v/>
      </c>
      <c r="AE427" s="7">
        <f>IF($E427="","",Z427*AD427/100)</f>
        <v/>
      </c>
      <c r="AF427" s="7">
        <f>IF($E427="","",Z427-AE427)</f>
        <v/>
      </c>
      <c r="AG427" s="7">
        <f>IF($E427="","",AF427-Q427)</f>
        <v/>
      </c>
      <c r="AK427" s="7" t="n"/>
      <c r="AN427" s="14" t="n"/>
      <c r="AQ427">
        <f>IF($E427="","",IF(COUNTIF($E$2:$E427,$E427)=1,1,0))</f>
        <v/>
      </c>
      <c r="AR427">
        <f>IF($AQ427=1,SUMPRODUCT(--($AU$2:$AU$1501&lt;$AU427))+1,"")</f>
        <v/>
      </c>
      <c r="AS427">
        <f>IF($E427="","",IF(OR($U427=TRUE(),$U427="TRUE"),1,0))</f>
        <v/>
      </c>
      <c r="AT427">
        <f>IF($E427="","",IF($AC427="Yes",1,0))</f>
        <v/>
      </c>
      <c r="AU427">
        <f>IF($AQ427=1,IFERROR(IF(VALUE($E427)&lt;100000000,VALUE($E427),1000000000),IFERROR(IF(VALUE(MID($E427,2,20))&lt;100000000,VALUE(MID($E427,2,20)),1000000000),1000000000))+ROW()/100000,"")</f>
        <v/>
      </c>
    </row>
    <row r="428">
      <c r="G428" s="14" t="n"/>
      <c r="Q428" s="7">
        <f>IF($E428="","",P428*Z428/100)</f>
        <v/>
      </c>
      <c r="R428" s="7" t="n"/>
      <c r="Y428" s="7" t="n"/>
      <c r="Z428" s="7" t="n"/>
      <c r="AA428" s="7" t="n"/>
      <c r="AD428">
        <f>IF($E428="","",IF($AT428=1,Settings!$C$8,IF($AS428=1,Settings!$C$6,Settings!$C$7))*100)</f>
        <v/>
      </c>
      <c r="AE428" s="7">
        <f>IF($E428="","",Z428*AD428/100)</f>
        <v/>
      </c>
      <c r="AF428" s="7">
        <f>IF($E428="","",Z428-AE428)</f>
        <v/>
      </c>
      <c r="AG428" s="7">
        <f>IF($E428="","",AF428-Q428)</f>
        <v/>
      </c>
      <c r="AK428" s="7" t="n"/>
      <c r="AN428" s="14" t="n"/>
      <c r="AQ428">
        <f>IF($E428="","",IF(COUNTIF($E$2:$E428,$E428)=1,1,0))</f>
        <v/>
      </c>
      <c r="AR428">
        <f>IF($AQ428=1,SUMPRODUCT(--($AU$2:$AU$1501&lt;$AU428))+1,"")</f>
        <v/>
      </c>
      <c r="AS428">
        <f>IF($E428="","",IF(OR($U428=TRUE(),$U428="TRUE"),1,0))</f>
        <v/>
      </c>
      <c r="AT428">
        <f>IF($E428="","",IF($AC428="Yes",1,0))</f>
        <v/>
      </c>
      <c r="AU428">
        <f>IF($AQ428=1,IFERROR(IF(VALUE($E428)&lt;100000000,VALUE($E428),1000000000),IFERROR(IF(VALUE(MID($E428,2,20))&lt;100000000,VALUE(MID($E428,2,20)),1000000000),1000000000))+ROW()/100000,"")</f>
        <v/>
      </c>
    </row>
    <row r="429">
      <c r="G429" s="14" t="n"/>
      <c r="Q429" s="7">
        <f>IF($E429="","",P429*Z429/100)</f>
        <v/>
      </c>
      <c r="R429" s="7" t="n"/>
      <c r="Y429" s="7" t="n"/>
      <c r="Z429" s="7" t="n"/>
      <c r="AA429" s="7" t="n"/>
      <c r="AD429">
        <f>IF($E429="","",IF($AT429=1,Settings!$C$8,IF($AS429=1,Settings!$C$6,Settings!$C$7))*100)</f>
        <v/>
      </c>
      <c r="AE429" s="7">
        <f>IF($E429="","",Z429*AD429/100)</f>
        <v/>
      </c>
      <c r="AF429" s="7">
        <f>IF($E429="","",Z429-AE429)</f>
        <v/>
      </c>
      <c r="AG429" s="7">
        <f>IF($E429="","",AF429-Q429)</f>
        <v/>
      </c>
      <c r="AK429" s="7" t="n"/>
      <c r="AN429" s="14" t="n"/>
      <c r="AQ429">
        <f>IF($E429="","",IF(COUNTIF($E$2:$E429,$E429)=1,1,0))</f>
        <v/>
      </c>
      <c r="AR429">
        <f>IF($AQ429=1,SUMPRODUCT(--($AU$2:$AU$1501&lt;$AU429))+1,"")</f>
        <v/>
      </c>
      <c r="AS429">
        <f>IF($E429="","",IF(OR($U429=TRUE(),$U429="TRUE"),1,0))</f>
        <v/>
      </c>
      <c r="AT429">
        <f>IF($E429="","",IF($AC429="Yes",1,0))</f>
        <v/>
      </c>
      <c r="AU429">
        <f>IF($AQ429=1,IFERROR(IF(VALUE($E429)&lt;100000000,VALUE($E429),1000000000),IFERROR(IF(VALUE(MID($E429,2,20))&lt;100000000,VALUE(MID($E429,2,20)),1000000000),1000000000))+ROW()/100000,"")</f>
        <v/>
      </c>
    </row>
    <row r="430">
      <c r="G430" s="14" t="n"/>
      <c r="Q430" s="7">
        <f>IF($E430="","",P430*Z430/100)</f>
        <v/>
      </c>
      <c r="R430" s="7" t="n"/>
      <c r="Y430" s="7" t="n"/>
      <c r="Z430" s="7" t="n"/>
      <c r="AA430" s="7" t="n"/>
      <c r="AD430">
        <f>IF($E430="","",IF($AT430=1,Settings!$C$8,IF($AS430=1,Settings!$C$6,Settings!$C$7))*100)</f>
        <v/>
      </c>
      <c r="AE430" s="7">
        <f>IF($E430="","",Z430*AD430/100)</f>
        <v/>
      </c>
      <c r="AF430" s="7">
        <f>IF($E430="","",Z430-AE430)</f>
        <v/>
      </c>
      <c r="AG430" s="7">
        <f>IF($E430="","",AF430-Q430)</f>
        <v/>
      </c>
      <c r="AK430" s="7" t="n"/>
      <c r="AN430" s="14" t="n"/>
      <c r="AQ430">
        <f>IF($E430="","",IF(COUNTIF($E$2:$E430,$E430)=1,1,0))</f>
        <v/>
      </c>
      <c r="AR430">
        <f>IF($AQ430=1,SUMPRODUCT(--($AU$2:$AU$1501&lt;$AU430))+1,"")</f>
        <v/>
      </c>
      <c r="AS430">
        <f>IF($E430="","",IF(OR($U430=TRUE(),$U430="TRUE"),1,0))</f>
        <v/>
      </c>
      <c r="AT430">
        <f>IF($E430="","",IF($AC430="Yes",1,0))</f>
        <v/>
      </c>
      <c r="AU430">
        <f>IF($AQ430=1,IFERROR(IF(VALUE($E430)&lt;100000000,VALUE($E430),1000000000),IFERROR(IF(VALUE(MID($E430,2,20))&lt;100000000,VALUE(MID($E430,2,20)),1000000000),1000000000))+ROW()/100000,"")</f>
        <v/>
      </c>
    </row>
    <row r="431">
      <c r="G431" s="14" t="n"/>
      <c r="Q431" s="7">
        <f>IF($E431="","",P431*Z431/100)</f>
        <v/>
      </c>
      <c r="R431" s="7" t="n"/>
      <c r="Y431" s="7" t="n"/>
      <c r="Z431" s="7" t="n"/>
      <c r="AA431" s="7" t="n"/>
      <c r="AD431">
        <f>IF($E431="","",IF($AT431=1,Settings!$C$8,IF($AS431=1,Settings!$C$6,Settings!$C$7))*100)</f>
        <v/>
      </c>
      <c r="AE431" s="7">
        <f>IF($E431="","",Z431*AD431/100)</f>
        <v/>
      </c>
      <c r="AF431" s="7">
        <f>IF($E431="","",Z431-AE431)</f>
        <v/>
      </c>
      <c r="AG431" s="7">
        <f>IF($E431="","",AF431-Q431)</f>
        <v/>
      </c>
      <c r="AK431" s="7" t="n"/>
      <c r="AN431" s="14" t="n"/>
      <c r="AQ431">
        <f>IF($E431="","",IF(COUNTIF($E$2:$E431,$E431)=1,1,0))</f>
        <v/>
      </c>
      <c r="AR431">
        <f>IF($AQ431=1,SUMPRODUCT(--($AU$2:$AU$1501&lt;$AU431))+1,"")</f>
        <v/>
      </c>
      <c r="AS431">
        <f>IF($E431="","",IF(OR($U431=TRUE(),$U431="TRUE"),1,0))</f>
        <v/>
      </c>
      <c r="AT431">
        <f>IF($E431="","",IF($AC431="Yes",1,0))</f>
        <v/>
      </c>
      <c r="AU431">
        <f>IF($AQ431=1,IFERROR(IF(VALUE($E431)&lt;100000000,VALUE($E431),1000000000),IFERROR(IF(VALUE(MID($E431,2,20))&lt;100000000,VALUE(MID($E431,2,20)),1000000000),1000000000))+ROW()/100000,"")</f>
        <v/>
      </c>
    </row>
    <row r="432">
      <c r="G432" s="14" t="n"/>
      <c r="Q432" s="7">
        <f>IF($E432="","",P432*Z432/100)</f>
        <v/>
      </c>
      <c r="R432" s="7" t="n"/>
      <c r="Y432" s="7" t="n"/>
      <c r="Z432" s="7" t="n"/>
      <c r="AA432" s="7" t="n"/>
      <c r="AD432">
        <f>IF($E432="","",IF($AT432=1,Settings!$C$8,IF($AS432=1,Settings!$C$6,Settings!$C$7))*100)</f>
        <v/>
      </c>
      <c r="AE432" s="7">
        <f>IF($E432="","",Z432*AD432/100)</f>
        <v/>
      </c>
      <c r="AF432" s="7">
        <f>IF($E432="","",Z432-AE432)</f>
        <v/>
      </c>
      <c r="AG432" s="7">
        <f>IF($E432="","",AF432-Q432)</f>
        <v/>
      </c>
      <c r="AK432" s="7" t="n"/>
      <c r="AN432" s="14" t="n"/>
      <c r="AQ432">
        <f>IF($E432="","",IF(COUNTIF($E$2:$E432,$E432)=1,1,0))</f>
        <v/>
      </c>
      <c r="AR432">
        <f>IF($AQ432=1,SUMPRODUCT(--($AU$2:$AU$1501&lt;$AU432))+1,"")</f>
        <v/>
      </c>
      <c r="AS432">
        <f>IF($E432="","",IF(OR($U432=TRUE(),$U432="TRUE"),1,0))</f>
        <v/>
      </c>
      <c r="AT432">
        <f>IF($E432="","",IF($AC432="Yes",1,0))</f>
        <v/>
      </c>
      <c r="AU432">
        <f>IF($AQ432=1,IFERROR(IF(VALUE($E432)&lt;100000000,VALUE($E432),1000000000),IFERROR(IF(VALUE(MID($E432,2,20))&lt;100000000,VALUE(MID($E432,2,20)),1000000000),1000000000))+ROW()/100000,"")</f>
        <v/>
      </c>
    </row>
    <row r="433">
      <c r="G433" s="14" t="n"/>
      <c r="Q433" s="7">
        <f>IF($E433="","",P433*Z433/100)</f>
        <v/>
      </c>
      <c r="R433" s="7" t="n"/>
      <c r="Y433" s="7" t="n"/>
      <c r="Z433" s="7" t="n"/>
      <c r="AA433" s="7" t="n"/>
      <c r="AD433">
        <f>IF($E433="","",IF($AT433=1,Settings!$C$8,IF($AS433=1,Settings!$C$6,Settings!$C$7))*100)</f>
        <v/>
      </c>
      <c r="AE433" s="7">
        <f>IF($E433="","",Z433*AD433/100)</f>
        <v/>
      </c>
      <c r="AF433" s="7">
        <f>IF($E433="","",Z433-AE433)</f>
        <v/>
      </c>
      <c r="AG433" s="7">
        <f>IF($E433="","",AF433-Q433)</f>
        <v/>
      </c>
      <c r="AK433" s="7" t="n"/>
      <c r="AN433" s="14" t="n"/>
      <c r="AQ433">
        <f>IF($E433="","",IF(COUNTIF($E$2:$E433,$E433)=1,1,0))</f>
        <v/>
      </c>
      <c r="AR433">
        <f>IF($AQ433=1,SUMPRODUCT(--($AU$2:$AU$1501&lt;$AU433))+1,"")</f>
        <v/>
      </c>
      <c r="AS433">
        <f>IF($E433="","",IF(OR($U433=TRUE(),$U433="TRUE"),1,0))</f>
        <v/>
      </c>
      <c r="AT433">
        <f>IF($E433="","",IF($AC433="Yes",1,0))</f>
        <v/>
      </c>
      <c r="AU433">
        <f>IF($AQ433=1,IFERROR(IF(VALUE($E433)&lt;100000000,VALUE($E433),1000000000),IFERROR(IF(VALUE(MID($E433,2,20))&lt;100000000,VALUE(MID($E433,2,20)),1000000000),1000000000))+ROW()/100000,"")</f>
        <v/>
      </c>
    </row>
    <row r="434">
      <c r="G434" s="14" t="n"/>
      <c r="Q434" s="7">
        <f>IF($E434="","",P434*Z434/100)</f>
        <v/>
      </c>
      <c r="R434" s="7" t="n"/>
      <c r="Y434" s="7" t="n"/>
      <c r="Z434" s="7" t="n"/>
      <c r="AA434" s="7" t="n"/>
      <c r="AD434">
        <f>IF($E434="","",IF($AT434=1,Settings!$C$8,IF($AS434=1,Settings!$C$6,Settings!$C$7))*100)</f>
        <v/>
      </c>
      <c r="AE434" s="7">
        <f>IF($E434="","",Z434*AD434/100)</f>
        <v/>
      </c>
      <c r="AF434" s="7">
        <f>IF($E434="","",Z434-AE434)</f>
        <v/>
      </c>
      <c r="AG434" s="7">
        <f>IF($E434="","",AF434-Q434)</f>
        <v/>
      </c>
      <c r="AK434" s="7" t="n"/>
      <c r="AN434" s="14" t="n"/>
      <c r="AQ434">
        <f>IF($E434="","",IF(COUNTIF($E$2:$E434,$E434)=1,1,0))</f>
        <v/>
      </c>
      <c r="AR434">
        <f>IF($AQ434=1,SUMPRODUCT(--($AU$2:$AU$1501&lt;$AU434))+1,"")</f>
        <v/>
      </c>
      <c r="AS434">
        <f>IF($E434="","",IF(OR($U434=TRUE(),$U434="TRUE"),1,0))</f>
        <v/>
      </c>
      <c r="AT434">
        <f>IF($E434="","",IF($AC434="Yes",1,0))</f>
        <v/>
      </c>
      <c r="AU434">
        <f>IF($AQ434=1,IFERROR(IF(VALUE($E434)&lt;100000000,VALUE($E434),1000000000),IFERROR(IF(VALUE(MID($E434,2,20))&lt;100000000,VALUE(MID($E434,2,20)),1000000000),1000000000))+ROW()/100000,"")</f>
        <v/>
      </c>
    </row>
    <row r="435">
      <c r="G435" s="14" t="n"/>
      <c r="Q435" s="7">
        <f>IF($E435="","",P435*Z435/100)</f>
        <v/>
      </c>
      <c r="R435" s="7" t="n"/>
      <c r="Y435" s="7" t="n"/>
      <c r="Z435" s="7" t="n"/>
      <c r="AA435" s="7" t="n"/>
      <c r="AD435">
        <f>IF($E435="","",IF($AT435=1,Settings!$C$8,IF($AS435=1,Settings!$C$6,Settings!$C$7))*100)</f>
        <v/>
      </c>
      <c r="AE435" s="7">
        <f>IF($E435="","",Z435*AD435/100)</f>
        <v/>
      </c>
      <c r="AF435" s="7">
        <f>IF($E435="","",Z435-AE435)</f>
        <v/>
      </c>
      <c r="AG435" s="7">
        <f>IF($E435="","",AF435-Q435)</f>
        <v/>
      </c>
      <c r="AK435" s="7" t="n"/>
      <c r="AN435" s="14" t="n"/>
      <c r="AQ435">
        <f>IF($E435="","",IF(COUNTIF($E$2:$E435,$E435)=1,1,0))</f>
        <v/>
      </c>
      <c r="AR435">
        <f>IF($AQ435=1,SUMPRODUCT(--($AU$2:$AU$1501&lt;$AU435))+1,"")</f>
        <v/>
      </c>
      <c r="AS435">
        <f>IF($E435="","",IF(OR($U435=TRUE(),$U435="TRUE"),1,0))</f>
        <v/>
      </c>
      <c r="AT435">
        <f>IF($E435="","",IF($AC435="Yes",1,0))</f>
        <v/>
      </c>
      <c r="AU435">
        <f>IF($AQ435=1,IFERROR(IF(VALUE($E435)&lt;100000000,VALUE($E435),1000000000),IFERROR(IF(VALUE(MID($E435,2,20))&lt;100000000,VALUE(MID($E435,2,20)),1000000000),1000000000))+ROW()/100000,"")</f>
        <v/>
      </c>
    </row>
    <row r="436">
      <c r="G436" s="14" t="n"/>
      <c r="Q436" s="7">
        <f>IF($E436="","",P436*Z436/100)</f>
        <v/>
      </c>
      <c r="R436" s="7" t="n"/>
      <c r="Y436" s="7" t="n"/>
      <c r="Z436" s="7" t="n"/>
      <c r="AA436" s="7" t="n"/>
      <c r="AD436">
        <f>IF($E436="","",IF($AT436=1,Settings!$C$8,IF($AS436=1,Settings!$C$6,Settings!$C$7))*100)</f>
        <v/>
      </c>
      <c r="AE436" s="7">
        <f>IF($E436="","",Z436*AD436/100)</f>
        <v/>
      </c>
      <c r="AF436" s="7">
        <f>IF($E436="","",Z436-AE436)</f>
        <v/>
      </c>
      <c r="AG436" s="7">
        <f>IF($E436="","",AF436-Q436)</f>
        <v/>
      </c>
      <c r="AK436" s="7" t="n"/>
      <c r="AN436" s="14" t="n"/>
      <c r="AQ436">
        <f>IF($E436="","",IF(COUNTIF($E$2:$E436,$E436)=1,1,0))</f>
        <v/>
      </c>
      <c r="AR436">
        <f>IF($AQ436=1,SUMPRODUCT(--($AU$2:$AU$1501&lt;$AU436))+1,"")</f>
        <v/>
      </c>
      <c r="AS436">
        <f>IF($E436="","",IF(OR($U436=TRUE(),$U436="TRUE"),1,0))</f>
        <v/>
      </c>
      <c r="AT436">
        <f>IF($E436="","",IF($AC436="Yes",1,0))</f>
        <v/>
      </c>
      <c r="AU436">
        <f>IF($AQ436=1,IFERROR(IF(VALUE($E436)&lt;100000000,VALUE($E436),1000000000),IFERROR(IF(VALUE(MID($E436,2,20))&lt;100000000,VALUE(MID($E436,2,20)),1000000000),1000000000))+ROW()/100000,"")</f>
        <v/>
      </c>
    </row>
    <row r="437">
      <c r="G437" s="14" t="n"/>
      <c r="Q437" s="7">
        <f>IF($E437="","",P437*Z437/100)</f>
        <v/>
      </c>
      <c r="R437" s="7" t="n"/>
      <c r="Y437" s="7" t="n"/>
      <c r="Z437" s="7" t="n"/>
      <c r="AA437" s="7" t="n"/>
      <c r="AD437">
        <f>IF($E437="","",IF($AT437=1,Settings!$C$8,IF($AS437=1,Settings!$C$6,Settings!$C$7))*100)</f>
        <v/>
      </c>
      <c r="AE437" s="7">
        <f>IF($E437="","",Z437*AD437/100)</f>
        <v/>
      </c>
      <c r="AF437" s="7">
        <f>IF($E437="","",Z437-AE437)</f>
        <v/>
      </c>
      <c r="AG437" s="7">
        <f>IF($E437="","",AF437-Q437)</f>
        <v/>
      </c>
      <c r="AK437" s="7" t="n"/>
      <c r="AN437" s="14" t="n"/>
      <c r="AQ437">
        <f>IF($E437="","",IF(COUNTIF($E$2:$E437,$E437)=1,1,0))</f>
        <v/>
      </c>
      <c r="AR437">
        <f>IF($AQ437=1,SUMPRODUCT(--($AU$2:$AU$1501&lt;$AU437))+1,"")</f>
        <v/>
      </c>
      <c r="AS437">
        <f>IF($E437="","",IF(OR($U437=TRUE(),$U437="TRUE"),1,0))</f>
        <v/>
      </c>
      <c r="AT437">
        <f>IF($E437="","",IF($AC437="Yes",1,0))</f>
        <v/>
      </c>
      <c r="AU437">
        <f>IF($AQ437=1,IFERROR(IF(VALUE($E437)&lt;100000000,VALUE($E437),1000000000),IFERROR(IF(VALUE(MID($E437,2,20))&lt;100000000,VALUE(MID($E437,2,20)),1000000000),1000000000))+ROW()/100000,"")</f>
        <v/>
      </c>
    </row>
    <row r="438">
      <c r="G438" s="14" t="n"/>
      <c r="Q438" s="7">
        <f>IF($E438="","",P438*Z438/100)</f>
        <v/>
      </c>
      <c r="R438" s="7" t="n"/>
      <c r="Y438" s="7" t="n"/>
      <c r="Z438" s="7" t="n"/>
      <c r="AA438" s="7" t="n"/>
      <c r="AD438">
        <f>IF($E438="","",IF($AT438=1,Settings!$C$8,IF($AS438=1,Settings!$C$6,Settings!$C$7))*100)</f>
        <v/>
      </c>
      <c r="AE438" s="7">
        <f>IF($E438="","",Z438*AD438/100)</f>
        <v/>
      </c>
      <c r="AF438" s="7">
        <f>IF($E438="","",Z438-AE438)</f>
        <v/>
      </c>
      <c r="AG438" s="7">
        <f>IF($E438="","",AF438-Q438)</f>
        <v/>
      </c>
      <c r="AK438" s="7" t="n"/>
      <c r="AN438" s="14" t="n"/>
      <c r="AQ438">
        <f>IF($E438="","",IF(COUNTIF($E$2:$E438,$E438)=1,1,0))</f>
        <v/>
      </c>
      <c r="AR438">
        <f>IF($AQ438=1,SUMPRODUCT(--($AU$2:$AU$1501&lt;$AU438))+1,"")</f>
        <v/>
      </c>
      <c r="AS438">
        <f>IF($E438="","",IF(OR($U438=TRUE(),$U438="TRUE"),1,0))</f>
        <v/>
      </c>
      <c r="AT438">
        <f>IF($E438="","",IF($AC438="Yes",1,0))</f>
        <v/>
      </c>
      <c r="AU438">
        <f>IF($AQ438=1,IFERROR(IF(VALUE($E438)&lt;100000000,VALUE($E438),1000000000),IFERROR(IF(VALUE(MID($E438,2,20))&lt;100000000,VALUE(MID($E438,2,20)),1000000000),1000000000))+ROW()/100000,"")</f>
        <v/>
      </c>
    </row>
    <row r="439">
      <c r="G439" s="14" t="n"/>
      <c r="Q439" s="7">
        <f>IF($E439="","",P439*Z439/100)</f>
        <v/>
      </c>
      <c r="R439" s="7" t="n"/>
      <c r="Y439" s="7" t="n"/>
      <c r="Z439" s="7" t="n"/>
      <c r="AA439" s="7" t="n"/>
      <c r="AD439">
        <f>IF($E439="","",IF($AT439=1,Settings!$C$8,IF($AS439=1,Settings!$C$6,Settings!$C$7))*100)</f>
        <v/>
      </c>
      <c r="AE439" s="7">
        <f>IF($E439="","",Z439*AD439/100)</f>
        <v/>
      </c>
      <c r="AF439" s="7">
        <f>IF($E439="","",Z439-AE439)</f>
        <v/>
      </c>
      <c r="AG439" s="7">
        <f>IF($E439="","",AF439-Q439)</f>
        <v/>
      </c>
      <c r="AK439" s="7" t="n"/>
      <c r="AN439" s="14" t="n"/>
      <c r="AQ439">
        <f>IF($E439="","",IF(COUNTIF($E$2:$E439,$E439)=1,1,0))</f>
        <v/>
      </c>
      <c r="AR439">
        <f>IF($AQ439=1,SUMPRODUCT(--($AU$2:$AU$1501&lt;$AU439))+1,"")</f>
        <v/>
      </c>
      <c r="AS439">
        <f>IF($E439="","",IF(OR($U439=TRUE(),$U439="TRUE"),1,0))</f>
        <v/>
      </c>
      <c r="AT439">
        <f>IF($E439="","",IF($AC439="Yes",1,0))</f>
        <v/>
      </c>
      <c r="AU439">
        <f>IF($AQ439=1,IFERROR(IF(VALUE($E439)&lt;100000000,VALUE($E439),1000000000),IFERROR(IF(VALUE(MID($E439,2,20))&lt;100000000,VALUE(MID($E439,2,20)),1000000000),1000000000))+ROW()/100000,"")</f>
        <v/>
      </c>
    </row>
    <row r="440">
      <c r="G440" s="14" t="n"/>
      <c r="Q440" s="7">
        <f>IF($E440="","",P440*Z440/100)</f>
        <v/>
      </c>
      <c r="R440" s="7" t="n"/>
      <c r="Y440" s="7" t="n"/>
      <c r="Z440" s="7" t="n"/>
      <c r="AA440" s="7" t="n"/>
      <c r="AD440">
        <f>IF($E440="","",IF($AT440=1,Settings!$C$8,IF($AS440=1,Settings!$C$6,Settings!$C$7))*100)</f>
        <v/>
      </c>
      <c r="AE440" s="7">
        <f>IF($E440="","",Z440*AD440/100)</f>
        <v/>
      </c>
      <c r="AF440" s="7">
        <f>IF($E440="","",Z440-AE440)</f>
        <v/>
      </c>
      <c r="AG440" s="7">
        <f>IF($E440="","",AF440-Q440)</f>
        <v/>
      </c>
      <c r="AK440" s="7" t="n"/>
      <c r="AN440" s="14" t="n"/>
      <c r="AQ440">
        <f>IF($E440="","",IF(COUNTIF($E$2:$E440,$E440)=1,1,0))</f>
        <v/>
      </c>
      <c r="AR440">
        <f>IF($AQ440=1,SUMPRODUCT(--($AU$2:$AU$1501&lt;$AU440))+1,"")</f>
        <v/>
      </c>
      <c r="AS440">
        <f>IF($E440="","",IF(OR($U440=TRUE(),$U440="TRUE"),1,0))</f>
        <v/>
      </c>
      <c r="AT440">
        <f>IF($E440="","",IF($AC440="Yes",1,0))</f>
        <v/>
      </c>
      <c r="AU440">
        <f>IF($AQ440=1,IFERROR(IF(VALUE($E440)&lt;100000000,VALUE($E440),1000000000),IFERROR(IF(VALUE(MID($E440,2,20))&lt;100000000,VALUE(MID($E440,2,20)),1000000000),1000000000))+ROW()/100000,"")</f>
        <v/>
      </c>
    </row>
    <row r="441">
      <c r="G441" s="14" t="n"/>
      <c r="Q441" s="7">
        <f>IF($E441="","",P441*Z441/100)</f>
        <v/>
      </c>
      <c r="R441" s="7" t="n"/>
      <c r="Y441" s="7" t="n"/>
      <c r="Z441" s="7" t="n"/>
      <c r="AA441" s="7" t="n"/>
      <c r="AD441">
        <f>IF($E441="","",IF($AT441=1,Settings!$C$8,IF($AS441=1,Settings!$C$6,Settings!$C$7))*100)</f>
        <v/>
      </c>
      <c r="AE441" s="7">
        <f>IF($E441="","",Z441*AD441/100)</f>
        <v/>
      </c>
      <c r="AF441" s="7">
        <f>IF($E441="","",Z441-AE441)</f>
        <v/>
      </c>
      <c r="AG441" s="7">
        <f>IF($E441="","",AF441-Q441)</f>
        <v/>
      </c>
      <c r="AK441" s="7" t="n"/>
      <c r="AN441" s="14" t="n"/>
      <c r="AQ441">
        <f>IF($E441="","",IF(COUNTIF($E$2:$E441,$E441)=1,1,0))</f>
        <v/>
      </c>
      <c r="AR441">
        <f>IF($AQ441=1,SUMPRODUCT(--($AU$2:$AU$1501&lt;$AU441))+1,"")</f>
        <v/>
      </c>
      <c r="AS441">
        <f>IF($E441="","",IF(OR($U441=TRUE(),$U441="TRUE"),1,0))</f>
        <v/>
      </c>
      <c r="AT441">
        <f>IF($E441="","",IF($AC441="Yes",1,0))</f>
        <v/>
      </c>
      <c r="AU441">
        <f>IF($AQ441=1,IFERROR(IF(VALUE($E441)&lt;100000000,VALUE($E441),1000000000),IFERROR(IF(VALUE(MID($E441,2,20))&lt;100000000,VALUE(MID($E441,2,20)),1000000000),1000000000))+ROW()/100000,"")</f>
        <v/>
      </c>
    </row>
    <row r="442">
      <c r="G442" s="14" t="n"/>
      <c r="Q442" s="7">
        <f>IF($E442="","",P442*Z442/100)</f>
        <v/>
      </c>
      <c r="R442" s="7" t="n"/>
      <c r="Y442" s="7" t="n"/>
      <c r="Z442" s="7" t="n"/>
      <c r="AA442" s="7" t="n"/>
      <c r="AD442">
        <f>IF($E442="","",IF($AT442=1,Settings!$C$8,IF($AS442=1,Settings!$C$6,Settings!$C$7))*100)</f>
        <v/>
      </c>
      <c r="AE442" s="7">
        <f>IF($E442="","",Z442*AD442/100)</f>
        <v/>
      </c>
      <c r="AF442" s="7">
        <f>IF($E442="","",Z442-AE442)</f>
        <v/>
      </c>
      <c r="AG442" s="7">
        <f>IF($E442="","",AF442-Q442)</f>
        <v/>
      </c>
      <c r="AK442" s="7" t="n"/>
      <c r="AN442" s="14" t="n"/>
      <c r="AQ442">
        <f>IF($E442="","",IF(COUNTIF($E$2:$E442,$E442)=1,1,0))</f>
        <v/>
      </c>
      <c r="AR442">
        <f>IF($AQ442=1,SUMPRODUCT(--($AU$2:$AU$1501&lt;$AU442))+1,"")</f>
        <v/>
      </c>
      <c r="AS442">
        <f>IF($E442="","",IF(OR($U442=TRUE(),$U442="TRUE"),1,0))</f>
        <v/>
      </c>
      <c r="AT442">
        <f>IF($E442="","",IF($AC442="Yes",1,0))</f>
        <v/>
      </c>
      <c r="AU442">
        <f>IF($AQ442=1,IFERROR(IF(VALUE($E442)&lt;100000000,VALUE($E442),1000000000),IFERROR(IF(VALUE(MID($E442,2,20))&lt;100000000,VALUE(MID($E442,2,20)),1000000000),1000000000))+ROW()/100000,"")</f>
        <v/>
      </c>
    </row>
    <row r="443">
      <c r="G443" s="14" t="n"/>
      <c r="Q443" s="7">
        <f>IF($E443="","",P443*Z443/100)</f>
        <v/>
      </c>
      <c r="R443" s="7" t="n"/>
      <c r="Y443" s="7" t="n"/>
      <c r="Z443" s="7" t="n"/>
      <c r="AA443" s="7" t="n"/>
      <c r="AD443">
        <f>IF($E443="","",IF($AT443=1,Settings!$C$8,IF($AS443=1,Settings!$C$6,Settings!$C$7))*100)</f>
        <v/>
      </c>
      <c r="AE443" s="7">
        <f>IF($E443="","",Z443*AD443/100)</f>
        <v/>
      </c>
      <c r="AF443" s="7">
        <f>IF($E443="","",Z443-AE443)</f>
        <v/>
      </c>
      <c r="AG443" s="7">
        <f>IF($E443="","",AF443-Q443)</f>
        <v/>
      </c>
      <c r="AK443" s="7" t="n"/>
      <c r="AN443" s="14" t="n"/>
      <c r="AQ443">
        <f>IF($E443="","",IF(COUNTIF($E$2:$E443,$E443)=1,1,0))</f>
        <v/>
      </c>
      <c r="AR443">
        <f>IF($AQ443=1,SUMPRODUCT(--($AU$2:$AU$1501&lt;$AU443))+1,"")</f>
        <v/>
      </c>
      <c r="AS443">
        <f>IF($E443="","",IF(OR($U443=TRUE(),$U443="TRUE"),1,0))</f>
        <v/>
      </c>
      <c r="AT443">
        <f>IF($E443="","",IF($AC443="Yes",1,0))</f>
        <v/>
      </c>
      <c r="AU443">
        <f>IF($AQ443=1,IFERROR(IF(VALUE($E443)&lt;100000000,VALUE($E443),1000000000),IFERROR(IF(VALUE(MID($E443,2,20))&lt;100000000,VALUE(MID($E443,2,20)),1000000000),1000000000))+ROW()/100000,"")</f>
        <v/>
      </c>
    </row>
    <row r="444">
      <c r="G444" s="14" t="n"/>
      <c r="Q444" s="7">
        <f>IF($E444="","",P444*Z444/100)</f>
        <v/>
      </c>
      <c r="R444" s="7" t="n"/>
      <c r="Y444" s="7" t="n"/>
      <c r="Z444" s="7" t="n"/>
      <c r="AA444" s="7" t="n"/>
      <c r="AD444">
        <f>IF($E444="","",IF($AT444=1,Settings!$C$8,IF($AS444=1,Settings!$C$6,Settings!$C$7))*100)</f>
        <v/>
      </c>
      <c r="AE444" s="7">
        <f>IF($E444="","",Z444*AD444/100)</f>
        <v/>
      </c>
      <c r="AF444" s="7">
        <f>IF($E444="","",Z444-AE444)</f>
        <v/>
      </c>
      <c r="AG444" s="7">
        <f>IF($E444="","",AF444-Q444)</f>
        <v/>
      </c>
      <c r="AK444" s="7" t="n"/>
      <c r="AN444" s="14" t="n"/>
      <c r="AQ444">
        <f>IF($E444="","",IF(COUNTIF($E$2:$E444,$E444)=1,1,0))</f>
        <v/>
      </c>
      <c r="AR444">
        <f>IF($AQ444=1,SUMPRODUCT(--($AU$2:$AU$1501&lt;$AU444))+1,"")</f>
        <v/>
      </c>
      <c r="AS444">
        <f>IF($E444="","",IF(OR($U444=TRUE(),$U444="TRUE"),1,0))</f>
        <v/>
      </c>
      <c r="AT444">
        <f>IF($E444="","",IF($AC444="Yes",1,0))</f>
        <v/>
      </c>
      <c r="AU444">
        <f>IF($AQ444=1,IFERROR(IF(VALUE($E444)&lt;100000000,VALUE($E444),1000000000),IFERROR(IF(VALUE(MID($E444,2,20))&lt;100000000,VALUE(MID($E444,2,20)),1000000000),1000000000))+ROW()/100000,"")</f>
        <v/>
      </c>
    </row>
    <row r="445">
      <c r="G445" s="14" t="n"/>
      <c r="Q445" s="7">
        <f>IF($E445="","",P445*Z445/100)</f>
        <v/>
      </c>
      <c r="R445" s="7" t="n"/>
      <c r="Y445" s="7" t="n"/>
      <c r="Z445" s="7" t="n"/>
      <c r="AA445" s="7" t="n"/>
      <c r="AD445">
        <f>IF($E445="","",IF($AT445=1,Settings!$C$8,IF($AS445=1,Settings!$C$6,Settings!$C$7))*100)</f>
        <v/>
      </c>
      <c r="AE445" s="7">
        <f>IF($E445="","",Z445*AD445/100)</f>
        <v/>
      </c>
      <c r="AF445" s="7">
        <f>IF($E445="","",Z445-AE445)</f>
        <v/>
      </c>
      <c r="AG445" s="7">
        <f>IF($E445="","",AF445-Q445)</f>
        <v/>
      </c>
      <c r="AK445" s="7" t="n"/>
      <c r="AN445" s="14" t="n"/>
      <c r="AQ445">
        <f>IF($E445="","",IF(COUNTIF($E$2:$E445,$E445)=1,1,0))</f>
        <v/>
      </c>
      <c r="AR445">
        <f>IF($AQ445=1,SUMPRODUCT(--($AU$2:$AU$1501&lt;$AU445))+1,"")</f>
        <v/>
      </c>
      <c r="AS445">
        <f>IF($E445="","",IF(OR($U445=TRUE(),$U445="TRUE"),1,0))</f>
        <v/>
      </c>
      <c r="AT445">
        <f>IF($E445="","",IF($AC445="Yes",1,0))</f>
        <v/>
      </c>
      <c r="AU445">
        <f>IF($AQ445=1,IFERROR(IF(VALUE($E445)&lt;100000000,VALUE($E445),1000000000),IFERROR(IF(VALUE(MID($E445,2,20))&lt;100000000,VALUE(MID($E445,2,20)),1000000000),1000000000))+ROW()/100000,"")</f>
        <v/>
      </c>
    </row>
    <row r="446">
      <c r="G446" s="14" t="n"/>
      <c r="Q446" s="7">
        <f>IF($E446="","",P446*Z446/100)</f>
        <v/>
      </c>
      <c r="R446" s="7" t="n"/>
      <c r="Y446" s="7" t="n"/>
      <c r="Z446" s="7" t="n"/>
      <c r="AA446" s="7" t="n"/>
      <c r="AD446">
        <f>IF($E446="","",IF($AT446=1,Settings!$C$8,IF($AS446=1,Settings!$C$6,Settings!$C$7))*100)</f>
        <v/>
      </c>
      <c r="AE446" s="7">
        <f>IF($E446="","",Z446*AD446/100)</f>
        <v/>
      </c>
      <c r="AF446" s="7">
        <f>IF($E446="","",Z446-AE446)</f>
        <v/>
      </c>
      <c r="AG446" s="7">
        <f>IF($E446="","",AF446-Q446)</f>
        <v/>
      </c>
      <c r="AK446" s="7" t="n"/>
      <c r="AN446" s="14" t="n"/>
      <c r="AQ446">
        <f>IF($E446="","",IF(COUNTIF($E$2:$E446,$E446)=1,1,0))</f>
        <v/>
      </c>
      <c r="AR446">
        <f>IF($AQ446=1,SUMPRODUCT(--($AU$2:$AU$1501&lt;$AU446))+1,"")</f>
        <v/>
      </c>
      <c r="AS446">
        <f>IF($E446="","",IF(OR($U446=TRUE(),$U446="TRUE"),1,0))</f>
        <v/>
      </c>
      <c r="AT446">
        <f>IF($E446="","",IF($AC446="Yes",1,0))</f>
        <v/>
      </c>
      <c r="AU446">
        <f>IF($AQ446=1,IFERROR(IF(VALUE($E446)&lt;100000000,VALUE($E446),1000000000),IFERROR(IF(VALUE(MID($E446,2,20))&lt;100000000,VALUE(MID($E446,2,20)),1000000000),1000000000))+ROW()/100000,"")</f>
        <v/>
      </c>
    </row>
    <row r="447">
      <c r="G447" s="14" t="n"/>
      <c r="Q447" s="7">
        <f>IF($E447="","",P447*Z447/100)</f>
        <v/>
      </c>
      <c r="R447" s="7" t="n"/>
      <c r="Y447" s="7" t="n"/>
      <c r="Z447" s="7" t="n"/>
      <c r="AA447" s="7" t="n"/>
      <c r="AD447">
        <f>IF($E447="","",IF($AT447=1,Settings!$C$8,IF($AS447=1,Settings!$C$6,Settings!$C$7))*100)</f>
        <v/>
      </c>
      <c r="AE447" s="7">
        <f>IF($E447="","",Z447*AD447/100)</f>
        <v/>
      </c>
      <c r="AF447" s="7">
        <f>IF($E447="","",Z447-AE447)</f>
        <v/>
      </c>
      <c r="AG447" s="7">
        <f>IF($E447="","",AF447-Q447)</f>
        <v/>
      </c>
      <c r="AK447" s="7" t="n"/>
      <c r="AN447" s="14" t="n"/>
      <c r="AQ447">
        <f>IF($E447="","",IF(COUNTIF($E$2:$E447,$E447)=1,1,0))</f>
        <v/>
      </c>
      <c r="AR447">
        <f>IF($AQ447=1,SUMPRODUCT(--($AU$2:$AU$1501&lt;$AU447))+1,"")</f>
        <v/>
      </c>
      <c r="AS447">
        <f>IF($E447="","",IF(OR($U447=TRUE(),$U447="TRUE"),1,0))</f>
        <v/>
      </c>
      <c r="AT447">
        <f>IF($E447="","",IF($AC447="Yes",1,0))</f>
        <v/>
      </c>
      <c r="AU447">
        <f>IF($AQ447=1,IFERROR(IF(VALUE($E447)&lt;100000000,VALUE($E447),1000000000),IFERROR(IF(VALUE(MID($E447,2,20))&lt;100000000,VALUE(MID($E447,2,20)),1000000000),1000000000))+ROW()/100000,"")</f>
        <v/>
      </c>
    </row>
    <row r="448">
      <c r="G448" s="14" t="n"/>
      <c r="Q448" s="7">
        <f>IF($E448="","",P448*Z448/100)</f>
        <v/>
      </c>
      <c r="R448" s="7" t="n"/>
      <c r="Y448" s="7" t="n"/>
      <c r="Z448" s="7" t="n"/>
      <c r="AA448" s="7" t="n"/>
      <c r="AD448">
        <f>IF($E448="","",IF($AT448=1,Settings!$C$8,IF($AS448=1,Settings!$C$6,Settings!$C$7))*100)</f>
        <v/>
      </c>
      <c r="AE448" s="7">
        <f>IF($E448="","",Z448*AD448/100)</f>
        <v/>
      </c>
      <c r="AF448" s="7">
        <f>IF($E448="","",Z448-AE448)</f>
        <v/>
      </c>
      <c r="AG448" s="7">
        <f>IF($E448="","",AF448-Q448)</f>
        <v/>
      </c>
      <c r="AK448" s="7" t="n"/>
      <c r="AN448" s="14" t="n"/>
      <c r="AQ448">
        <f>IF($E448="","",IF(COUNTIF($E$2:$E448,$E448)=1,1,0))</f>
        <v/>
      </c>
      <c r="AR448">
        <f>IF($AQ448=1,SUMPRODUCT(--($AU$2:$AU$1501&lt;$AU448))+1,"")</f>
        <v/>
      </c>
      <c r="AS448">
        <f>IF($E448="","",IF(OR($U448=TRUE(),$U448="TRUE"),1,0))</f>
        <v/>
      </c>
      <c r="AT448">
        <f>IF($E448="","",IF($AC448="Yes",1,0))</f>
        <v/>
      </c>
      <c r="AU448">
        <f>IF($AQ448=1,IFERROR(IF(VALUE($E448)&lt;100000000,VALUE($E448),1000000000),IFERROR(IF(VALUE(MID($E448,2,20))&lt;100000000,VALUE(MID($E448,2,20)),1000000000),1000000000))+ROW()/100000,"")</f>
        <v/>
      </c>
    </row>
    <row r="449">
      <c r="G449" s="14" t="n"/>
      <c r="Q449" s="7">
        <f>IF($E449="","",P449*Z449/100)</f>
        <v/>
      </c>
      <c r="R449" s="7" t="n"/>
      <c r="Y449" s="7" t="n"/>
      <c r="Z449" s="7" t="n"/>
      <c r="AA449" s="7" t="n"/>
      <c r="AD449">
        <f>IF($E449="","",IF($AT449=1,Settings!$C$8,IF($AS449=1,Settings!$C$6,Settings!$C$7))*100)</f>
        <v/>
      </c>
      <c r="AE449" s="7">
        <f>IF($E449="","",Z449*AD449/100)</f>
        <v/>
      </c>
      <c r="AF449" s="7">
        <f>IF($E449="","",Z449-AE449)</f>
        <v/>
      </c>
      <c r="AG449" s="7">
        <f>IF($E449="","",AF449-Q449)</f>
        <v/>
      </c>
      <c r="AK449" s="7" t="n"/>
      <c r="AN449" s="14" t="n"/>
      <c r="AQ449">
        <f>IF($E449="","",IF(COUNTIF($E$2:$E449,$E449)=1,1,0))</f>
        <v/>
      </c>
      <c r="AR449">
        <f>IF($AQ449=1,SUMPRODUCT(--($AU$2:$AU$1501&lt;$AU449))+1,"")</f>
        <v/>
      </c>
      <c r="AS449">
        <f>IF($E449="","",IF(OR($U449=TRUE(),$U449="TRUE"),1,0))</f>
        <v/>
      </c>
      <c r="AT449">
        <f>IF($E449="","",IF($AC449="Yes",1,0))</f>
        <v/>
      </c>
      <c r="AU449">
        <f>IF($AQ449=1,IFERROR(IF(VALUE($E449)&lt;100000000,VALUE($E449),1000000000),IFERROR(IF(VALUE(MID($E449,2,20))&lt;100000000,VALUE(MID($E449,2,20)),1000000000),1000000000))+ROW()/100000,"")</f>
        <v/>
      </c>
    </row>
    <row r="450">
      <c r="G450" s="14" t="n"/>
      <c r="Q450" s="7">
        <f>IF($E450="","",P450*Z450/100)</f>
        <v/>
      </c>
      <c r="R450" s="7" t="n"/>
      <c r="Y450" s="7" t="n"/>
      <c r="Z450" s="7" t="n"/>
      <c r="AA450" s="7" t="n"/>
      <c r="AD450">
        <f>IF($E450="","",IF($AT450=1,Settings!$C$8,IF($AS450=1,Settings!$C$6,Settings!$C$7))*100)</f>
        <v/>
      </c>
      <c r="AE450" s="7">
        <f>IF($E450="","",Z450*AD450/100)</f>
        <v/>
      </c>
      <c r="AF450" s="7">
        <f>IF($E450="","",Z450-AE450)</f>
        <v/>
      </c>
      <c r="AG450" s="7">
        <f>IF($E450="","",AF450-Q450)</f>
        <v/>
      </c>
      <c r="AK450" s="7" t="n"/>
      <c r="AN450" s="14" t="n"/>
      <c r="AQ450">
        <f>IF($E450="","",IF(COUNTIF($E$2:$E450,$E450)=1,1,0))</f>
        <v/>
      </c>
      <c r="AR450">
        <f>IF($AQ450=1,SUMPRODUCT(--($AU$2:$AU$1501&lt;$AU450))+1,"")</f>
        <v/>
      </c>
      <c r="AS450">
        <f>IF($E450="","",IF(OR($U450=TRUE(),$U450="TRUE"),1,0))</f>
        <v/>
      </c>
      <c r="AT450">
        <f>IF($E450="","",IF($AC450="Yes",1,0))</f>
        <v/>
      </c>
      <c r="AU450">
        <f>IF($AQ450=1,IFERROR(IF(VALUE($E450)&lt;100000000,VALUE($E450),1000000000),IFERROR(IF(VALUE(MID($E450,2,20))&lt;100000000,VALUE(MID($E450,2,20)),1000000000),1000000000))+ROW()/100000,"")</f>
        <v/>
      </c>
    </row>
    <row r="451">
      <c r="G451" s="14" t="n"/>
      <c r="Q451" s="7">
        <f>IF($E451="","",P451*Z451/100)</f>
        <v/>
      </c>
      <c r="R451" s="7" t="n"/>
      <c r="Y451" s="7" t="n"/>
      <c r="Z451" s="7" t="n"/>
      <c r="AA451" s="7" t="n"/>
      <c r="AD451">
        <f>IF($E451="","",IF($AT451=1,Settings!$C$8,IF($AS451=1,Settings!$C$6,Settings!$C$7))*100)</f>
        <v/>
      </c>
      <c r="AE451" s="7">
        <f>IF($E451="","",Z451*AD451/100)</f>
        <v/>
      </c>
      <c r="AF451" s="7">
        <f>IF($E451="","",Z451-AE451)</f>
        <v/>
      </c>
      <c r="AG451" s="7">
        <f>IF($E451="","",AF451-Q451)</f>
        <v/>
      </c>
      <c r="AK451" s="7" t="n"/>
      <c r="AN451" s="14" t="n"/>
      <c r="AQ451">
        <f>IF($E451="","",IF(COUNTIF($E$2:$E451,$E451)=1,1,0))</f>
        <v/>
      </c>
      <c r="AR451">
        <f>IF($AQ451=1,SUMPRODUCT(--($AU$2:$AU$1501&lt;$AU451))+1,"")</f>
        <v/>
      </c>
      <c r="AS451">
        <f>IF($E451="","",IF(OR($U451=TRUE(),$U451="TRUE"),1,0))</f>
        <v/>
      </c>
      <c r="AT451">
        <f>IF($E451="","",IF($AC451="Yes",1,0))</f>
        <v/>
      </c>
      <c r="AU451">
        <f>IF($AQ451=1,IFERROR(IF(VALUE($E451)&lt;100000000,VALUE($E451),1000000000),IFERROR(IF(VALUE(MID($E451,2,20))&lt;100000000,VALUE(MID($E451,2,20)),1000000000),1000000000))+ROW()/100000,"")</f>
        <v/>
      </c>
    </row>
    <row r="452">
      <c r="G452" s="14" t="n"/>
      <c r="Q452" s="7">
        <f>IF($E452="","",P452*Z452/100)</f>
        <v/>
      </c>
      <c r="R452" s="7" t="n"/>
      <c r="Y452" s="7" t="n"/>
      <c r="Z452" s="7" t="n"/>
      <c r="AA452" s="7" t="n"/>
      <c r="AD452">
        <f>IF($E452="","",IF($AT452=1,Settings!$C$8,IF($AS452=1,Settings!$C$6,Settings!$C$7))*100)</f>
        <v/>
      </c>
      <c r="AE452" s="7">
        <f>IF($E452="","",Z452*AD452/100)</f>
        <v/>
      </c>
      <c r="AF452" s="7">
        <f>IF($E452="","",Z452-AE452)</f>
        <v/>
      </c>
      <c r="AG452" s="7">
        <f>IF($E452="","",AF452-Q452)</f>
        <v/>
      </c>
      <c r="AK452" s="7" t="n"/>
      <c r="AN452" s="14" t="n"/>
      <c r="AQ452">
        <f>IF($E452="","",IF(COUNTIF($E$2:$E452,$E452)=1,1,0))</f>
        <v/>
      </c>
      <c r="AR452">
        <f>IF($AQ452=1,SUMPRODUCT(--($AU$2:$AU$1501&lt;$AU452))+1,"")</f>
        <v/>
      </c>
      <c r="AS452">
        <f>IF($E452="","",IF(OR($U452=TRUE(),$U452="TRUE"),1,0))</f>
        <v/>
      </c>
      <c r="AT452">
        <f>IF($E452="","",IF($AC452="Yes",1,0))</f>
        <v/>
      </c>
      <c r="AU452">
        <f>IF($AQ452=1,IFERROR(IF(VALUE($E452)&lt;100000000,VALUE($E452),1000000000),IFERROR(IF(VALUE(MID($E452,2,20))&lt;100000000,VALUE(MID($E452,2,20)),1000000000),1000000000))+ROW()/100000,"")</f>
        <v/>
      </c>
    </row>
    <row r="453">
      <c r="G453" s="14" t="n"/>
      <c r="Q453" s="7">
        <f>IF($E453="","",P453*Z453/100)</f>
        <v/>
      </c>
      <c r="R453" s="7" t="n"/>
      <c r="Y453" s="7" t="n"/>
      <c r="Z453" s="7" t="n"/>
      <c r="AA453" s="7" t="n"/>
      <c r="AD453">
        <f>IF($E453="","",IF($AT453=1,Settings!$C$8,IF($AS453=1,Settings!$C$6,Settings!$C$7))*100)</f>
        <v/>
      </c>
      <c r="AE453" s="7">
        <f>IF($E453="","",Z453*AD453/100)</f>
        <v/>
      </c>
      <c r="AF453" s="7">
        <f>IF($E453="","",Z453-AE453)</f>
        <v/>
      </c>
      <c r="AG453" s="7">
        <f>IF($E453="","",AF453-Q453)</f>
        <v/>
      </c>
      <c r="AK453" s="7" t="n"/>
      <c r="AN453" s="14" t="n"/>
      <c r="AQ453">
        <f>IF($E453="","",IF(COUNTIF($E$2:$E453,$E453)=1,1,0))</f>
        <v/>
      </c>
      <c r="AR453">
        <f>IF($AQ453=1,SUMPRODUCT(--($AU$2:$AU$1501&lt;$AU453))+1,"")</f>
        <v/>
      </c>
      <c r="AS453">
        <f>IF($E453="","",IF(OR($U453=TRUE(),$U453="TRUE"),1,0))</f>
        <v/>
      </c>
      <c r="AT453">
        <f>IF($E453="","",IF($AC453="Yes",1,0))</f>
        <v/>
      </c>
      <c r="AU453">
        <f>IF($AQ453=1,IFERROR(IF(VALUE($E453)&lt;100000000,VALUE($E453),1000000000),IFERROR(IF(VALUE(MID($E453,2,20))&lt;100000000,VALUE(MID($E453,2,20)),1000000000),1000000000))+ROW()/100000,"")</f>
        <v/>
      </c>
    </row>
    <row r="454">
      <c r="G454" s="14" t="n"/>
      <c r="Q454" s="7">
        <f>IF($E454="","",P454*Z454/100)</f>
        <v/>
      </c>
      <c r="R454" s="7" t="n"/>
      <c r="Y454" s="7" t="n"/>
      <c r="Z454" s="7" t="n"/>
      <c r="AA454" s="7" t="n"/>
      <c r="AD454">
        <f>IF($E454="","",IF($AT454=1,Settings!$C$8,IF($AS454=1,Settings!$C$6,Settings!$C$7))*100)</f>
        <v/>
      </c>
      <c r="AE454" s="7">
        <f>IF($E454="","",Z454*AD454/100)</f>
        <v/>
      </c>
      <c r="AF454" s="7">
        <f>IF($E454="","",Z454-AE454)</f>
        <v/>
      </c>
      <c r="AG454" s="7">
        <f>IF($E454="","",AF454-Q454)</f>
        <v/>
      </c>
      <c r="AK454" s="7" t="n"/>
      <c r="AN454" s="14" t="n"/>
      <c r="AQ454">
        <f>IF($E454="","",IF(COUNTIF($E$2:$E454,$E454)=1,1,0))</f>
        <v/>
      </c>
      <c r="AR454">
        <f>IF($AQ454=1,SUMPRODUCT(--($AU$2:$AU$1501&lt;$AU454))+1,"")</f>
        <v/>
      </c>
      <c r="AS454">
        <f>IF($E454="","",IF(OR($U454=TRUE(),$U454="TRUE"),1,0))</f>
        <v/>
      </c>
      <c r="AT454">
        <f>IF($E454="","",IF($AC454="Yes",1,0))</f>
        <v/>
      </c>
      <c r="AU454">
        <f>IF($AQ454=1,IFERROR(IF(VALUE($E454)&lt;100000000,VALUE($E454),1000000000),IFERROR(IF(VALUE(MID($E454,2,20))&lt;100000000,VALUE(MID($E454,2,20)),1000000000),1000000000))+ROW()/100000,"")</f>
        <v/>
      </c>
    </row>
    <row r="455">
      <c r="G455" s="14" t="n"/>
      <c r="Q455" s="7">
        <f>IF($E455="","",P455*Z455/100)</f>
        <v/>
      </c>
      <c r="R455" s="7" t="n"/>
      <c r="Y455" s="7" t="n"/>
      <c r="Z455" s="7" t="n"/>
      <c r="AA455" s="7" t="n"/>
      <c r="AD455">
        <f>IF($E455="","",IF($AT455=1,Settings!$C$8,IF($AS455=1,Settings!$C$6,Settings!$C$7))*100)</f>
        <v/>
      </c>
      <c r="AE455" s="7">
        <f>IF($E455="","",Z455*AD455/100)</f>
        <v/>
      </c>
      <c r="AF455" s="7">
        <f>IF($E455="","",Z455-AE455)</f>
        <v/>
      </c>
      <c r="AG455" s="7">
        <f>IF($E455="","",AF455-Q455)</f>
        <v/>
      </c>
      <c r="AK455" s="7" t="n"/>
      <c r="AN455" s="14" t="n"/>
      <c r="AQ455">
        <f>IF($E455="","",IF(COUNTIF($E$2:$E455,$E455)=1,1,0))</f>
        <v/>
      </c>
      <c r="AR455">
        <f>IF($AQ455=1,SUMPRODUCT(--($AU$2:$AU$1501&lt;$AU455))+1,"")</f>
        <v/>
      </c>
      <c r="AS455">
        <f>IF($E455="","",IF(OR($U455=TRUE(),$U455="TRUE"),1,0))</f>
        <v/>
      </c>
      <c r="AT455">
        <f>IF($E455="","",IF($AC455="Yes",1,0))</f>
        <v/>
      </c>
      <c r="AU455">
        <f>IF($AQ455=1,IFERROR(IF(VALUE($E455)&lt;100000000,VALUE($E455),1000000000),IFERROR(IF(VALUE(MID($E455,2,20))&lt;100000000,VALUE(MID($E455,2,20)),1000000000),1000000000))+ROW()/100000,"")</f>
        <v/>
      </c>
    </row>
    <row r="456">
      <c r="G456" s="14" t="n"/>
      <c r="Q456" s="7">
        <f>IF($E456="","",P456*Z456/100)</f>
        <v/>
      </c>
      <c r="R456" s="7" t="n"/>
      <c r="Y456" s="7" t="n"/>
      <c r="Z456" s="7" t="n"/>
      <c r="AA456" s="7" t="n"/>
      <c r="AD456">
        <f>IF($E456="","",IF($AT456=1,Settings!$C$8,IF($AS456=1,Settings!$C$6,Settings!$C$7))*100)</f>
        <v/>
      </c>
      <c r="AE456" s="7">
        <f>IF($E456="","",Z456*AD456/100)</f>
        <v/>
      </c>
      <c r="AF456" s="7">
        <f>IF($E456="","",Z456-AE456)</f>
        <v/>
      </c>
      <c r="AG456" s="7">
        <f>IF($E456="","",AF456-Q456)</f>
        <v/>
      </c>
      <c r="AK456" s="7" t="n"/>
      <c r="AN456" s="14" t="n"/>
      <c r="AQ456">
        <f>IF($E456="","",IF(COUNTIF($E$2:$E456,$E456)=1,1,0))</f>
        <v/>
      </c>
      <c r="AR456">
        <f>IF($AQ456=1,SUMPRODUCT(--($AU$2:$AU$1501&lt;$AU456))+1,"")</f>
        <v/>
      </c>
      <c r="AS456">
        <f>IF($E456="","",IF(OR($U456=TRUE(),$U456="TRUE"),1,0))</f>
        <v/>
      </c>
      <c r="AT456">
        <f>IF($E456="","",IF($AC456="Yes",1,0))</f>
        <v/>
      </c>
      <c r="AU456">
        <f>IF($AQ456=1,IFERROR(IF(VALUE($E456)&lt;100000000,VALUE($E456),1000000000),IFERROR(IF(VALUE(MID($E456,2,20))&lt;100000000,VALUE(MID($E456,2,20)),1000000000),1000000000))+ROW()/100000,"")</f>
        <v/>
      </c>
    </row>
    <row r="457">
      <c r="G457" s="14" t="n"/>
      <c r="Q457" s="7">
        <f>IF($E457="","",P457*Z457/100)</f>
        <v/>
      </c>
      <c r="R457" s="7" t="n"/>
      <c r="Y457" s="7" t="n"/>
      <c r="Z457" s="7" t="n"/>
      <c r="AA457" s="7" t="n"/>
      <c r="AD457">
        <f>IF($E457="","",IF($AT457=1,Settings!$C$8,IF($AS457=1,Settings!$C$6,Settings!$C$7))*100)</f>
        <v/>
      </c>
      <c r="AE457" s="7">
        <f>IF($E457="","",Z457*AD457/100)</f>
        <v/>
      </c>
      <c r="AF457" s="7">
        <f>IF($E457="","",Z457-AE457)</f>
        <v/>
      </c>
      <c r="AG457" s="7">
        <f>IF($E457="","",AF457-Q457)</f>
        <v/>
      </c>
      <c r="AK457" s="7" t="n"/>
      <c r="AN457" s="14" t="n"/>
      <c r="AQ457">
        <f>IF($E457="","",IF(COUNTIF($E$2:$E457,$E457)=1,1,0))</f>
        <v/>
      </c>
      <c r="AR457">
        <f>IF($AQ457=1,SUMPRODUCT(--($AU$2:$AU$1501&lt;$AU457))+1,"")</f>
        <v/>
      </c>
      <c r="AS457">
        <f>IF($E457="","",IF(OR($U457=TRUE(),$U457="TRUE"),1,0))</f>
        <v/>
      </c>
      <c r="AT457">
        <f>IF($E457="","",IF($AC457="Yes",1,0))</f>
        <v/>
      </c>
      <c r="AU457">
        <f>IF($AQ457=1,IFERROR(IF(VALUE($E457)&lt;100000000,VALUE($E457),1000000000),IFERROR(IF(VALUE(MID($E457,2,20))&lt;100000000,VALUE(MID($E457,2,20)),1000000000),1000000000))+ROW()/100000,"")</f>
        <v/>
      </c>
    </row>
    <row r="458">
      <c r="G458" s="14" t="n"/>
      <c r="Q458" s="7">
        <f>IF($E458="","",P458*Z458/100)</f>
        <v/>
      </c>
      <c r="R458" s="7" t="n"/>
      <c r="Y458" s="7" t="n"/>
      <c r="Z458" s="7" t="n"/>
      <c r="AA458" s="7" t="n"/>
      <c r="AD458">
        <f>IF($E458="","",IF($AT458=1,Settings!$C$8,IF($AS458=1,Settings!$C$6,Settings!$C$7))*100)</f>
        <v/>
      </c>
      <c r="AE458" s="7">
        <f>IF($E458="","",Z458*AD458/100)</f>
        <v/>
      </c>
      <c r="AF458" s="7">
        <f>IF($E458="","",Z458-AE458)</f>
        <v/>
      </c>
      <c r="AG458" s="7">
        <f>IF($E458="","",AF458-Q458)</f>
        <v/>
      </c>
      <c r="AK458" s="7" t="n"/>
      <c r="AN458" s="14" t="n"/>
      <c r="AQ458">
        <f>IF($E458="","",IF(COUNTIF($E$2:$E458,$E458)=1,1,0))</f>
        <v/>
      </c>
      <c r="AR458">
        <f>IF($AQ458=1,SUMPRODUCT(--($AU$2:$AU$1501&lt;$AU458))+1,"")</f>
        <v/>
      </c>
      <c r="AS458">
        <f>IF($E458="","",IF(OR($U458=TRUE(),$U458="TRUE"),1,0))</f>
        <v/>
      </c>
      <c r="AT458">
        <f>IF($E458="","",IF($AC458="Yes",1,0))</f>
        <v/>
      </c>
      <c r="AU458">
        <f>IF($AQ458=1,IFERROR(IF(VALUE($E458)&lt;100000000,VALUE($E458),1000000000),IFERROR(IF(VALUE(MID($E458,2,20))&lt;100000000,VALUE(MID($E458,2,20)),1000000000),1000000000))+ROW()/100000,"")</f>
        <v/>
      </c>
    </row>
    <row r="459">
      <c r="G459" s="14" t="n"/>
      <c r="Q459" s="7">
        <f>IF($E459="","",P459*Z459/100)</f>
        <v/>
      </c>
      <c r="R459" s="7" t="n"/>
      <c r="Y459" s="7" t="n"/>
      <c r="Z459" s="7" t="n"/>
      <c r="AA459" s="7" t="n"/>
      <c r="AD459">
        <f>IF($E459="","",IF($AT459=1,Settings!$C$8,IF($AS459=1,Settings!$C$6,Settings!$C$7))*100)</f>
        <v/>
      </c>
      <c r="AE459" s="7">
        <f>IF($E459="","",Z459*AD459/100)</f>
        <v/>
      </c>
      <c r="AF459" s="7">
        <f>IF($E459="","",Z459-AE459)</f>
        <v/>
      </c>
      <c r="AG459" s="7">
        <f>IF($E459="","",AF459-Q459)</f>
        <v/>
      </c>
      <c r="AK459" s="7" t="n"/>
      <c r="AN459" s="14" t="n"/>
      <c r="AQ459">
        <f>IF($E459="","",IF(COUNTIF($E$2:$E459,$E459)=1,1,0))</f>
        <v/>
      </c>
      <c r="AR459">
        <f>IF($AQ459=1,SUMPRODUCT(--($AU$2:$AU$1501&lt;$AU459))+1,"")</f>
        <v/>
      </c>
      <c r="AS459">
        <f>IF($E459="","",IF(OR($U459=TRUE(),$U459="TRUE"),1,0))</f>
        <v/>
      </c>
      <c r="AT459">
        <f>IF($E459="","",IF($AC459="Yes",1,0))</f>
        <v/>
      </c>
      <c r="AU459">
        <f>IF($AQ459=1,IFERROR(IF(VALUE($E459)&lt;100000000,VALUE($E459),1000000000),IFERROR(IF(VALUE(MID($E459,2,20))&lt;100000000,VALUE(MID($E459,2,20)),1000000000),1000000000))+ROW()/100000,"")</f>
        <v/>
      </c>
    </row>
    <row r="460">
      <c r="G460" s="14" t="n"/>
      <c r="Q460" s="7">
        <f>IF($E460="","",P460*Z460/100)</f>
        <v/>
      </c>
      <c r="R460" s="7" t="n"/>
      <c r="Y460" s="7" t="n"/>
      <c r="Z460" s="7" t="n"/>
      <c r="AA460" s="7" t="n"/>
      <c r="AD460">
        <f>IF($E460="","",IF($AT460=1,Settings!$C$8,IF($AS460=1,Settings!$C$6,Settings!$C$7))*100)</f>
        <v/>
      </c>
      <c r="AE460" s="7">
        <f>IF($E460="","",Z460*AD460/100)</f>
        <v/>
      </c>
      <c r="AF460" s="7">
        <f>IF($E460="","",Z460-AE460)</f>
        <v/>
      </c>
      <c r="AG460" s="7">
        <f>IF($E460="","",AF460-Q460)</f>
        <v/>
      </c>
      <c r="AK460" s="7" t="n"/>
      <c r="AN460" s="14" t="n"/>
      <c r="AQ460">
        <f>IF($E460="","",IF(COUNTIF($E$2:$E460,$E460)=1,1,0))</f>
        <v/>
      </c>
      <c r="AR460">
        <f>IF($AQ460=1,SUMPRODUCT(--($AU$2:$AU$1501&lt;$AU460))+1,"")</f>
        <v/>
      </c>
      <c r="AS460">
        <f>IF($E460="","",IF(OR($U460=TRUE(),$U460="TRUE"),1,0))</f>
        <v/>
      </c>
      <c r="AT460">
        <f>IF($E460="","",IF($AC460="Yes",1,0))</f>
        <v/>
      </c>
      <c r="AU460">
        <f>IF($AQ460=1,IFERROR(IF(VALUE($E460)&lt;100000000,VALUE($E460),1000000000),IFERROR(IF(VALUE(MID($E460,2,20))&lt;100000000,VALUE(MID($E460,2,20)),1000000000),1000000000))+ROW()/100000,"")</f>
        <v/>
      </c>
    </row>
    <row r="461">
      <c r="G461" s="14" t="n"/>
      <c r="Q461" s="7">
        <f>IF($E461="","",P461*Z461/100)</f>
        <v/>
      </c>
      <c r="R461" s="7" t="n"/>
      <c r="Y461" s="7" t="n"/>
      <c r="Z461" s="7" t="n"/>
      <c r="AA461" s="7" t="n"/>
      <c r="AD461">
        <f>IF($E461="","",IF($AT461=1,Settings!$C$8,IF($AS461=1,Settings!$C$6,Settings!$C$7))*100)</f>
        <v/>
      </c>
      <c r="AE461" s="7">
        <f>IF($E461="","",Z461*AD461/100)</f>
        <v/>
      </c>
      <c r="AF461" s="7">
        <f>IF($E461="","",Z461-AE461)</f>
        <v/>
      </c>
      <c r="AG461" s="7">
        <f>IF($E461="","",AF461-Q461)</f>
        <v/>
      </c>
      <c r="AK461" s="7" t="n"/>
      <c r="AN461" s="14" t="n"/>
      <c r="AQ461">
        <f>IF($E461="","",IF(COUNTIF($E$2:$E461,$E461)=1,1,0))</f>
        <v/>
      </c>
      <c r="AR461">
        <f>IF($AQ461=1,SUMPRODUCT(--($AU$2:$AU$1501&lt;$AU461))+1,"")</f>
        <v/>
      </c>
      <c r="AS461">
        <f>IF($E461="","",IF(OR($U461=TRUE(),$U461="TRUE"),1,0))</f>
        <v/>
      </c>
      <c r="AT461">
        <f>IF($E461="","",IF($AC461="Yes",1,0))</f>
        <v/>
      </c>
      <c r="AU461">
        <f>IF($AQ461=1,IFERROR(IF(VALUE($E461)&lt;100000000,VALUE($E461),1000000000),IFERROR(IF(VALUE(MID($E461,2,20))&lt;100000000,VALUE(MID($E461,2,20)),1000000000),1000000000))+ROW()/100000,"")</f>
        <v/>
      </c>
    </row>
    <row r="462">
      <c r="G462" s="14" t="n"/>
      <c r="Q462" s="7">
        <f>IF($E462="","",P462*Z462/100)</f>
        <v/>
      </c>
      <c r="R462" s="7" t="n"/>
      <c r="Y462" s="7" t="n"/>
      <c r="Z462" s="7" t="n"/>
      <c r="AA462" s="7" t="n"/>
      <c r="AD462">
        <f>IF($E462="","",IF($AT462=1,Settings!$C$8,IF($AS462=1,Settings!$C$6,Settings!$C$7))*100)</f>
        <v/>
      </c>
      <c r="AE462" s="7">
        <f>IF($E462="","",Z462*AD462/100)</f>
        <v/>
      </c>
      <c r="AF462" s="7">
        <f>IF($E462="","",Z462-AE462)</f>
        <v/>
      </c>
      <c r="AG462" s="7">
        <f>IF($E462="","",AF462-Q462)</f>
        <v/>
      </c>
      <c r="AK462" s="7" t="n"/>
      <c r="AN462" s="14" t="n"/>
      <c r="AQ462">
        <f>IF($E462="","",IF(COUNTIF($E$2:$E462,$E462)=1,1,0))</f>
        <v/>
      </c>
      <c r="AR462">
        <f>IF($AQ462=1,SUMPRODUCT(--($AU$2:$AU$1501&lt;$AU462))+1,"")</f>
        <v/>
      </c>
      <c r="AS462">
        <f>IF($E462="","",IF(OR($U462=TRUE(),$U462="TRUE"),1,0))</f>
        <v/>
      </c>
      <c r="AT462">
        <f>IF($E462="","",IF($AC462="Yes",1,0))</f>
        <v/>
      </c>
      <c r="AU462">
        <f>IF($AQ462=1,IFERROR(IF(VALUE($E462)&lt;100000000,VALUE($E462),1000000000),IFERROR(IF(VALUE(MID($E462,2,20))&lt;100000000,VALUE(MID($E462,2,20)),1000000000),1000000000))+ROW()/100000,"")</f>
        <v/>
      </c>
    </row>
    <row r="463">
      <c r="G463" s="14" t="n"/>
      <c r="Q463" s="7">
        <f>IF($E463="","",P463*Z463/100)</f>
        <v/>
      </c>
      <c r="R463" s="7" t="n"/>
      <c r="Y463" s="7" t="n"/>
      <c r="Z463" s="7" t="n"/>
      <c r="AA463" s="7" t="n"/>
      <c r="AD463">
        <f>IF($E463="","",IF($AT463=1,Settings!$C$8,IF($AS463=1,Settings!$C$6,Settings!$C$7))*100)</f>
        <v/>
      </c>
      <c r="AE463" s="7">
        <f>IF($E463="","",Z463*AD463/100)</f>
        <v/>
      </c>
      <c r="AF463" s="7">
        <f>IF($E463="","",Z463-AE463)</f>
        <v/>
      </c>
      <c r="AG463" s="7">
        <f>IF($E463="","",AF463-Q463)</f>
        <v/>
      </c>
      <c r="AK463" s="7" t="n"/>
      <c r="AN463" s="14" t="n"/>
      <c r="AQ463">
        <f>IF($E463="","",IF(COUNTIF($E$2:$E463,$E463)=1,1,0))</f>
        <v/>
      </c>
      <c r="AR463">
        <f>IF($AQ463=1,SUMPRODUCT(--($AU$2:$AU$1501&lt;$AU463))+1,"")</f>
        <v/>
      </c>
      <c r="AS463">
        <f>IF($E463="","",IF(OR($U463=TRUE(),$U463="TRUE"),1,0))</f>
        <v/>
      </c>
      <c r="AT463">
        <f>IF($E463="","",IF($AC463="Yes",1,0))</f>
        <v/>
      </c>
      <c r="AU463">
        <f>IF($AQ463=1,IFERROR(IF(VALUE($E463)&lt;100000000,VALUE($E463),1000000000),IFERROR(IF(VALUE(MID($E463,2,20))&lt;100000000,VALUE(MID($E463,2,20)),1000000000),1000000000))+ROW()/100000,"")</f>
        <v/>
      </c>
    </row>
    <row r="464">
      <c r="G464" s="14" t="n"/>
      <c r="Q464" s="7">
        <f>IF($E464="","",P464*Z464/100)</f>
        <v/>
      </c>
      <c r="R464" s="7" t="n"/>
      <c r="Y464" s="7" t="n"/>
      <c r="Z464" s="7" t="n"/>
      <c r="AA464" s="7" t="n"/>
      <c r="AD464">
        <f>IF($E464="","",IF($AT464=1,Settings!$C$8,IF($AS464=1,Settings!$C$6,Settings!$C$7))*100)</f>
        <v/>
      </c>
      <c r="AE464" s="7">
        <f>IF($E464="","",Z464*AD464/100)</f>
        <v/>
      </c>
      <c r="AF464" s="7">
        <f>IF($E464="","",Z464-AE464)</f>
        <v/>
      </c>
      <c r="AG464" s="7">
        <f>IF($E464="","",AF464-Q464)</f>
        <v/>
      </c>
      <c r="AK464" s="7" t="n"/>
      <c r="AN464" s="14" t="n"/>
      <c r="AQ464">
        <f>IF($E464="","",IF(COUNTIF($E$2:$E464,$E464)=1,1,0))</f>
        <v/>
      </c>
      <c r="AR464">
        <f>IF($AQ464=1,SUMPRODUCT(--($AU$2:$AU$1501&lt;$AU464))+1,"")</f>
        <v/>
      </c>
      <c r="AS464">
        <f>IF($E464="","",IF(OR($U464=TRUE(),$U464="TRUE"),1,0))</f>
        <v/>
      </c>
      <c r="AT464">
        <f>IF($E464="","",IF($AC464="Yes",1,0))</f>
        <v/>
      </c>
      <c r="AU464">
        <f>IF($AQ464=1,IFERROR(IF(VALUE($E464)&lt;100000000,VALUE($E464),1000000000),IFERROR(IF(VALUE(MID($E464,2,20))&lt;100000000,VALUE(MID($E464,2,20)),1000000000),1000000000))+ROW()/100000,"")</f>
        <v/>
      </c>
    </row>
    <row r="465">
      <c r="G465" s="14" t="n"/>
      <c r="Q465" s="7">
        <f>IF($E465="","",P465*Z465/100)</f>
        <v/>
      </c>
      <c r="R465" s="7" t="n"/>
      <c r="Y465" s="7" t="n"/>
      <c r="Z465" s="7" t="n"/>
      <c r="AA465" s="7" t="n"/>
      <c r="AD465">
        <f>IF($E465="","",IF($AT465=1,Settings!$C$8,IF($AS465=1,Settings!$C$6,Settings!$C$7))*100)</f>
        <v/>
      </c>
      <c r="AE465" s="7">
        <f>IF($E465="","",Z465*AD465/100)</f>
        <v/>
      </c>
      <c r="AF465" s="7">
        <f>IF($E465="","",Z465-AE465)</f>
        <v/>
      </c>
      <c r="AG465" s="7">
        <f>IF($E465="","",AF465-Q465)</f>
        <v/>
      </c>
      <c r="AK465" s="7" t="n"/>
      <c r="AN465" s="14" t="n"/>
      <c r="AQ465">
        <f>IF($E465="","",IF(COUNTIF($E$2:$E465,$E465)=1,1,0))</f>
        <v/>
      </c>
      <c r="AR465">
        <f>IF($AQ465=1,SUMPRODUCT(--($AU$2:$AU$1501&lt;$AU465))+1,"")</f>
        <v/>
      </c>
      <c r="AS465">
        <f>IF($E465="","",IF(OR($U465=TRUE(),$U465="TRUE"),1,0))</f>
        <v/>
      </c>
      <c r="AT465">
        <f>IF($E465="","",IF($AC465="Yes",1,0))</f>
        <v/>
      </c>
      <c r="AU465">
        <f>IF($AQ465=1,IFERROR(IF(VALUE($E465)&lt;100000000,VALUE($E465),1000000000),IFERROR(IF(VALUE(MID($E465,2,20))&lt;100000000,VALUE(MID($E465,2,20)),1000000000),1000000000))+ROW()/100000,"")</f>
        <v/>
      </c>
    </row>
    <row r="466">
      <c r="G466" s="14" t="n"/>
      <c r="Q466" s="7">
        <f>IF($E466="","",P466*Z466/100)</f>
        <v/>
      </c>
      <c r="R466" s="7" t="n"/>
      <c r="Y466" s="7" t="n"/>
      <c r="Z466" s="7" t="n"/>
      <c r="AA466" s="7" t="n"/>
      <c r="AD466">
        <f>IF($E466="","",IF($AT466=1,Settings!$C$8,IF($AS466=1,Settings!$C$6,Settings!$C$7))*100)</f>
        <v/>
      </c>
      <c r="AE466" s="7">
        <f>IF($E466="","",Z466*AD466/100)</f>
        <v/>
      </c>
      <c r="AF466" s="7">
        <f>IF($E466="","",Z466-AE466)</f>
        <v/>
      </c>
      <c r="AG466" s="7">
        <f>IF($E466="","",AF466-Q466)</f>
        <v/>
      </c>
      <c r="AK466" s="7" t="n"/>
      <c r="AN466" s="14" t="n"/>
      <c r="AQ466">
        <f>IF($E466="","",IF(COUNTIF($E$2:$E466,$E466)=1,1,0))</f>
        <v/>
      </c>
      <c r="AR466">
        <f>IF($AQ466=1,SUMPRODUCT(--($AU$2:$AU$1501&lt;$AU466))+1,"")</f>
        <v/>
      </c>
      <c r="AS466">
        <f>IF($E466="","",IF(OR($U466=TRUE(),$U466="TRUE"),1,0))</f>
        <v/>
      </c>
      <c r="AT466">
        <f>IF($E466="","",IF($AC466="Yes",1,0))</f>
        <v/>
      </c>
      <c r="AU466">
        <f>IF($AQ466=1,IFERROR(IF(VALUE($E466)&lt;100000000,VALUE($E466),1000000000),IFERROR(IF(VALUE(MID($E466,2,20))&lt;100000000,VALUE(MID($E466,2,20)),1000000000),1000000000))+ROW()/100000,"")</f>
        <v/>
      </c>
    </row>
    <row r="467">
      <c r="G467" s="14" t="n"/>
      <c r="Q467" s="7">
        <f>IF($E467="","",P467*Z467/100)</f>
        <v/>
      </c>
      <c r="R467" s="7" t="n"/>
      <c r="Y467" s="7" t="n"/>
      <c r="Z467" s="7" t="n"/>
      <c r="AA467" s="7" t="n"/>
      <c r="AD467">
        <f>IF($E467="","",IF($AT467=1,Settings!$C$8,IF($AS467=1,Settings!$C$6,Settings!$C$7))*100)</f>
        <v/>
      </c>
      <c r="AE467" s="7">
        <f>IF($E467="","",Z467*AD467/100)</f>
        <v/>
      </c>
      <c r="AF467" s="7">
        <f>IF($E467="","",Z467-AE467)</f>
        <v/>
      </c>
      <c r="AG467" s="7">
        <f>IF($E467="","",AF467-Q467)</f>
        <v/>
      </c>
      <c r="AK467" s="7" t="n"/>
      <c r="AN467" s="14" t="n"/>
      <c r="AQ467">
        <f>IF($E467="","",IF(COUNTIF($E$2:$E467,$E467)=1,1,0))</f>
        <v/>
      </c>
      <c r="AR467">
        <f>IF($AQ467=1,SUMPRODUCT(--($AU$2:$AU$1501&lt;$AU467))+1,"")</f>
        <v/>
      </c>
      <c r="AS467">
        <f>IF($E467="","",IF(OR($U467=TRUE(),$U467="TRUE"),1,0))</f>
        <v/>
      </c>
      <c r="AT467">
        <f>IF($E467="","",IF($AC467="Yes",1,0))</f>
        <v/>
      </c>
      <c r="AU467">
        <f>IF($AQ467=1,IFERROR(IF(VALUE($E467)&lt;100000000,VALUE($E467),1000000000),IFERROR(IF(VALUE(MID($E467,2,20))&lt;100000000,VALUE(MID($E467,2,20)),1000000000),1000000000))+ROW()/100000,"")</f>
        <v/>
      </c>
    </row>
    <row r="468">
      <c r="G468" s="14" t="n"/>
      <c r="Q468" s="7">
        <f>IF($E468="","",P468*Z468/100)</f>
        <v/>
      </c>
      <c r="R468" s="7" t="n"/>
      <c r="Y468" s="7" t="n"/>
      <c r="Z468" s="7" t="n"/>
      <c r="AA468" s="7" t="n"/>
      <c r="AD468">
        <f>IF($E468="","",IF($AT468=1,Settings!$C$8,IF($AS468=1,Settings!$C$6,Settings!$C$7))*100)</f>
        <v/>
      </c>
      <c r="AE468" s="7">
        <f>IF($E468="","",Z468*AD468/100)</f>
        <v/>
      </c>
      <c r="AF468" s="7">
        <f>IF($E468="","",Z468-AE468)</f>
        <v/>
      </c>
      <c r="AG468" s="7">
        <f>IF($E468="","",AF468-Q468)</f>
        <v/>
      </c>
      <c r="AK468" s="7" t="n"/>
      <c r="AN468" s="14" t="n"/>
      <c r="AQ468">
        <f>IF($E468="","",IF(COUNTIF($E$2:$E468,$E468)=1,1,0))</f>
        <v/>
      </c>
      <c r="AR468">
        <f>IF($AQ468=1,SUMPRODUCT(--($AU$2:$AU$1501&lt;$AU468))+1,"")</f>
        <v/>
      </c>
      <c r="AS468">
        <f>IF($E468="","",IF(OR($U468=TRUE(),$U468="TRUE"),1,0))</f>
        <v/>
      </c>
      <c r="AT468">
        <f>IF($E468="","",IF($AC468="Yes",1,0))</f>
        <v/>
      </c>
      <c r="AU468">
        <f>IF($AQ468=1,IFERROR(IF(VALUE($E468)&lt;100000000,VALUE($E468),1000000000),IFERROR(IF(VALUE(MID($E468,2,20))&lt;100000000,VALUE(MID($E468,2,20)),1000000000),1000000000))+ROW()/100000,"")</f>
        <v/>
      </c>
    </row>
    <row r="469">
      <c r="G469" s="14" t="n"/>
      <c r="Q469" s="7">
        <f>IF($E469="","",P469*Z469/100)</f>
        <v/>
      </c>
      <c r="R469" s="7" t="n"/>
      <c r="Y469" s="7" t="n"/>
      <c r="Z469" s="7" t="n"/>
      <c r="AA469" s="7" t="n"/>
      <c r="AD469">
        <f>IF($E469="","",IF($AT469=1,Settings!$C$8,IF($AS469=1,Settings!$C$6,Settings!$C$7))*100)</f>
        <v/>
      </c>
      <c r="AE469" s="7">
        <f>IF($E469="","",Z469*AD469/100)</f>
        <v/>
      </c>
      <c r="AF469" s="7">
        <f>IF($E469="","",Z469-AE469)</f>
        <v/>
      </c>
      <c r="AG469" s="7">
        <f>IF($E469="","",AF469-Q469)</f>
        <v/>
      </c>
      <c r="AK469" s="7" t="n"/>
      <c r="AN469" s="14" t="n"/>
      <c r="AQ469">
        <f>IF($E469="","",IF(COUNTIF($E$2:$E469,$E469)=1,1,0))</f>
        <v/>
      </c>
      <c r="AR469">
        <f>IF($AQ469=1,SUMPRODUCT(--($AU$2:$AU$1501&lt;$AU469))+1,"")</f>
        <v/>
      </c>
      <c r="AS469">
        <f>IF($E469="","",IF(OR($U469=TRUE(),$U469="TRUE"),1,0))</f>
        <v/>
      </c>
      <c r="AT469">
        <f>IF($E469="","",IF($AC469="Yes",1,0))</f>
        <v/>
      </c>
      <c r="AU469">
        <f>IF($AQ469=1,IFERROR(IF(VALUE($E469)&lt;100000000,VALUE($E469),1000000000),IFERROR(IF(VALUE(MID($E469,2,20))&lt;100000000,VALUE(MID($E469,2,20)),1000000000),1000000000))+ROW()/100000,"")</f>
        <v/>
      </c>
    </row>
    <row r="470">
      <c r="G470" s="14" t="n"/>
      <c r="Q470" s="7">
        <f>IF($E470="","",P470*Z470/100)</f>
        <v/>
      </c>
      <c r="R470" s="7" t="n"/>
      <c r="Y470" s="7" t="n"/>
      <c r="Z470" s="7" t="n"/>
      <c r="AA470" s="7" t="n"/>
      <c r="AD470">
        <f>IF($E470="","",IF($AT470=1,Settings!$C$8,IF($AS470=1,Settings!$C$6,Settings!$C$7))*100)</f>
        <v/>
      </c>
      <c r="AE470" s="7">
        <f>IF($E470="","",Z470*AD470/100)</f>
        <v/>
      </c>
      <c r="AF470" s="7">
        <f>IF($E470="","",Z470-AE470)</f>
        <v/>
      </c>
      <c r="AG470" s="7">
        <f>IF($E470="","",AF470-Q470)</f>
        <v/>
      </c>
      <c r="AK470" s="7" t="n"/>
      <c r="AN470" s="14" t="n"/>
      <c r="AQ470">
        <f>IF($E470="","",IF(COUNTIF($E$2:$E470,$E470)=1,1,0))</f>
        <v/>
      </c>
      <c r="AR470">
        <f>IF($AQ470=1,SUMPRODUCT(--($AU$2:$AU$1501&lt;$AU470))+1,"")</f>
        <v/>
      </c>
      <c r="AS470">
        <f>IF($E470="","",IF(OR($U470=TRUE(),$U470="TRUE"),1,0))</f>
        <v/>
      </c>
      <c r="AT470">
        <f>IF($E470="","",IF($AC470="Yes",1,0))</f>
        <v/>
      </c>
      <c r="AU470">
        <f>IF($AQ470=1,IFERROR(IF(VALUE($E470)&lt;100000000,VALUE($E470),1000000000),IFERROR(IF(VALUE(MID($E470,2,20))&lt;100000000,VALUE(MID($E470,2,20)),1000000000),1000000000))+ROW()/100000,"")</f>
        <v/>
      </c>
    </row>
    <row r="471">
      <c r="G471" s="14" t="n"/>
      <c r="Q471" s="7">
        <f>IF($E471="","",P471*Z471/100)</f>
        <v/>
      </c>
      <c r="R471" s="7" t="n"/>
      <c r="Y471" s="7" t="n"/>
      <c r="Z471" s="7" t="n"/>
      <c r="AA471" s="7" t="n"/>
      <c r="AD471">
        <f>IF($E471="","",IF($AT471=1,Settings!$C$8,IF($AS471=1,Settings!$C$6,Settings!$C$7))*100)</f>
        <v/>
      </c>
      <c r="AE471" s="7">
        <f>IF($E471="","",Z471*AD471/100)</f>
        <v/>
      </c>
      <c r="AF471" s="7">
        <f>IF($E471="","",Z471-AE471)</f>
        <v/>
      </c>
      <c r="AG471" s="7">
        <f>IF($E471="","",AF471-Q471)</f>
        <v/>
      </c>
      <c r="AK471" s="7" t="n"/>
      <c r="AN471" s="14" t="n"/>
      <c r="AQ471">
        <f>IF($E471="","",IF(COUNTIF($E$2:$E471,$E471)=1,1,0))</f>
        <v/>
      </c>
      <c r="AR471">
        <f>IF($AQ471=1,SUMPRODUCT(--($AU$2:$AU$1501&lt;$AU471))+1,"")</f>
        <v/>
      </c>
      <c r="AS471">
        <f>IF($E471="","",IF(OR($U471=TRUE(),$U471="TRUE"),1,0))</f>
        <v/>
      </c>
      <c r="AT471">
        <f>IF($E471="","",IF($AC471="Yes",1,0))</f>
        <v/>
      </c>
      <c r="AU471">
        <f>IF($AQ471=1,IFERROR(IF(VALUE($E471)&lt;100000000,VALUE($E471),1000000000),IFERROR(IF(VALUE(MID($E471,2,20))&lt;100000000,VALUE(MID($E471,2,20)),1000000000),1000000000))+ROW()/100000,"")</f>
        <v/>
      </c>
    </row>
    <row r="472">
      <c r="G472" s="14" t="n"/>
      <c r="Q472" s="7">
        <f>IF($E472="","",P472*Z472/100)</f>
        <v/>
      </c>
      <c r="R472" s="7" t="n"/>
      <c r="Y472" s="7" t="n"/>
      <c r="Z472" s="7" t="n"/>
      <c r="AA472" s="7" t="n"/>
      <c r="AD472">
        <f>IF($E472="","",IF($AT472=1,Settings!$C$8,IF($AS472=1,Settings!$C$6,Settings!$C$7))*100)</f>
        <v/>
      </c>
      <c r="AE472" s="7">
        <f>IF($E472="","",Z472*AD472/100)</f>
        <v/>
      </c>
      <c r="AF472" s="7">
        <f>IF($E472="","",Z472-AE472)</f>
        <v/>
      </c>
      <c r="AG472" s="7">
        <f>IF($E472="","",AF472-Q472)</f>
        <v/>
      </c>
      <c r="AK472" s="7" t="n"/>
      <c r="AN472" s="14" t="n"/>
      <c r="AQ472">
        <f>IF($E472="","",IF(COUNTIF($E$2:$E472,$E472)=1,1,0))</f>
        <v/>
      </c>
      <c r="AR472">
        <f>IF($AQ472=1,SUMPRODUCT(--($AU$2:$AU$1501&lt;$AU472))+1,"")</f>
        <v/>
      </c>
      <c r="AS472">
        <f>IF($E472="","",IF(OR($U472=TRUE(),$U472="TRUE"),1,0))</f>
        <v/>
      </c>
      <c r="AT472">
        <f>IF($E472="","",IF($AC472="Yes",1,0))</f>
        <v/>
      </c>
      <c r="AU472">
        <f>IF($AQ472=1,IFERROR(IF(VALUE($E472)&lt;100000000,VALUE($E472),1000000000),IFERROR(IF(VALUE(MID($E472,2,20))&lt;100000000,VALUE(MID($E472,2,20)),1000000000),1000000000))+ROW()/100000,"")</f>
        <v/>
      </c>
    </row>
    <row r="473">
      <c r="G473" s="14" t="n"/>
      <c r="Q473" s="7">
        <f>IF($E473="","",P473*Z473/100)</f>
        <v/>
      </c>
      <c r="R473" s="7" t="n"/>
      <c r="Y473" s="7" t="n"/>
      <c r="Z473" s="7" t="n"/>
      <c r="AA473" s="7" t="n"/>
      <c r="AD473">
        <f>IF($E473="","",IF($AT473=1,Settings!$C$8,IF($AS473=1,Settings!$C$6,Settings!$C$7))*100)</f>
        <v/>
      </c>
      <c r="AE473" s="7">
        <f>IF($E473="","",Z473*AD473/100)</f>
        <v/>
      </c>
      <c r="AF473" s="7">
        <f>IF($E473="","",Z473-AE473)</f>
        <v/>
      </c>
      <c r="AG473" s="7">
        <f>IF($E473="","",AF473-Q473)</f>
        <v/>
      </c>
      <c r="AK473" s="7" t="n"/>
      <c r="AN473" s="14" t="n"/>
      <c r="AQ473">
        <f>IF($E473="","",IF(COUNTIF($E$2:$E473,$E473)=1,1,0))</f>
        <v/>
      </c>
      <c r="AR473">
        <f>IF($AQ473=1,SUMPRODUCT(--($AU$2:$AU$1501&lt;$AU473))+1,"")</f>
        <v/>
      </c>
      <c r="AS473">
        <f>IF($E473="","",IF(OR($U473=TRUE(),$U473="TRUE"),1,0))</f>
        <v/>
      </c>
      <c r="AT473">
        <f>IF($E473="","",IF($AC473="Yes",1,0))</f>
        <v/>
      </c>
      <c r="AU473">
        <f>IF($AQ473=1,IFERROR(IF(VALUE($E473)&lt;100000000,VALUE($E473),1000000000),IFERROR(IF(VALUE(MID($E473,2,20))&lt;100000000,VALUE(MID($E473,2,20)),1000000000),1000000000))+ROW()/100000,"")</f>
        <v/>
      </c>
    </row>
    <row r="474">
      <c r="G474" s="14" t="n"/>
      <c r="Q474" s="7">
        <f>IF($E474="","",P474*Z474/100)</f>
        <v/>
      </c>
      <c r="R474" s="7" t="n"/>
      <c r="Y474" s="7" t="n"/>
      <c r="Z474" s="7" t="n"/>
      <c r="AA474" s="7" t="n"/>
      <c r="AD474">
        <f>IF($E474="","",IF($AT474=1,Settings!$C$8,IF($AS474=1,Settings!$C$6,Settings!$C$7))*100)</f>
        <v/>
      </c>
      <c r="AE474" s="7">
        <f>IF($E474="","",Z474*AD474/100)</f>
        <v/>
      </c>
      <c r="AF474" s="7">
        <f>IF($E474="","",Z474-AE474)</f>
        <v/>
      </c>
      <c r="AG474" s="7">
        <f>IF($E474="","",AF474-Q474)</f>
        <v/>
      </c>
      <c r="AK474" s="7" t="n"/>
      <c r="AN474" s="14" t="n"/>
      <c r="AQ474">
        <f>IF($E474="","",IF(COUNTIF($E$2:$E474,$E474)=1,1,0))</f>
        <v/>
      </c>
      <c r="AR474">
        <f>IF($AQ474=1,SUMPRODUCT(--($AU$2:$AU$1501&lt;$AU474))+1,"")</f>
        <v/>
      </c>
      <c r="AS474">
        <f>IF($E474="","",IF(OR($U474=TRUE(),$U474="TRUE"),1,0))</f>
        <v/>
      </c>
      <c r="AT474">
        <f>IF($E474="","",IF($AC474="Yes",1,0))</f>
        <v/>
      </c>
      <c r="AU474">
        <f>IF($AQ474=1,IFERROR(IF(VALUE($E474)&lt;100000000,VALUE($E474),1000000000),IFERROR(IF(VALUE(MID($E474,2,20))&lt;100000000,VALUE(MID($E474,2,20)),1000000000),1000000000))+ROW()/100000,"")</f>
        <v/>
      </c>
    </row>
    <row r="475">
      <c r="G475" s="14" t="n"/>
      <c r="Q475" s="7">
        <f>IF($E475="","",P475*Z475/100)</f>
        <v/>
      </c>
      <c r="R475" s="7" t="n"/>
      <c r="Y475" s="7" t="n"/>
      <c r="Z475" s="7" t="n"/>
      <c r="AA475" s="7" t="n"/>
      <c r="AD475">
        <f>IF($E475="","",IF($AT475=1,Settings!$C$8,IF($AS475=1,Settings!$C$6,Settings!$C$7))*100)</f>
        <v/>
      </c>
      <c r="AE475" s="7">
        <f>IF($E475="","",Z475*AD475/100)</f>
        <v/>
      </c>
      <c r="AF475" s="7">
        <f>IF($E475="","",Z475-AE475)</f>
        <v/>
      </c>
      <c r="AG475" s="7">
        <f>IF($E475="","",AF475-Q475)</f>
        <v/>
      </c>
      <c r="AK475" s="7" t="n"/>
      <c r="AN475" s="14" t="n"/>
      <c r="AQ475">
        <f>IF($E475="","",IF(COUNTIF($E$2:$E475,$E475)=1,1,0))</f>
        <v/>
      </c>
      <c r="AR475">
        <f>IF($AQ475=1,SUMPRODUCT(--($AU$2:$AU$1501&lt;$AU475))+1,"")</f>
        <v/>
      </c>
      <c r="AS475">
        <f>IF($E475="","",IF(OR($U475=TRUE(),$U475="TRUE"),1,0))</f>
        <v/>
      </c>
      <c r="AT475">
        <f>IF($E475="","",IF($AC475="Yes",1,0))</f>
        <v/>
      </c>
      <c r="AU475">
        <f>IF($AQ475=1,IFERROR(IF(VALUE($E475)&lt;100000000,VALUE($E475),1000000000),IFERROR(IF(VALUE(MID($E475,2,20))&lt;100000000,VALUE(MID($E475,2,20)),1000000000),1000000000))+ROW()/100000,"")</f>
        <v/>
      </c>
    </row>
    <row r="476">
      <c r="G476" s="14" t="n"/>
      <c r="Q476" s="7">
        <f>IF($E476="","",P476*Z476/100)</f>
        <v/>
      </c>
      <c r="R476" s="7" t="n"/>
      <c r="Y476" s="7" t="n"/>
      <c r="Z476" s="7" t="n"/>
      <c r="AA476" s="7" t="n"/>
      <c r="AD476">
        <f>IF($E476="","",IF($AT476=1,Settings!$C$8,IF($AS476=1,Settings!$C$6,Settings!$C$7))*100)</f>
        <v/>
      </c>
      <c r="AE476" s="7">
        <f>IF($E476="","",Z476*AD476/100)</f>
        <v/>
      </c>
      <c r="AF476" s="7">
        <f>IF($E476="","",Z476-AE476)</f>
        <v/>
      </c>
      <c r="AG476" s="7">
        <f>IF($E476="","",AF476-Q476)</f>
        <v/>
      </c>
      <c r="AK476" s="7" t="n"/>
      <c r="AN476" s="14" t="n"/>
      <c r="AQ476">
        <f>IF($E476="","",IF(COUNTIF($E$2:$E476,$E476)=1,1,0))</f>
        <v/>
      </c>
      <c r="AR476">
        <f>IF($AQ476=1,SUMPRODUCT(--($AU$2:$AU$1501&lt;$AU476))+1,"")</f>
        <v/>
      </c>
      <c r="AS476">
        <f>IF($E476="","",IF(OR($U476=TRUE(),$U476="TRUE"),1,0))</f>
        <v/>
      </c>
      <c r="AT476">
        <f>IF($E476="","",IF($AC476="Yes",1,0))</f>
        <v/>
      </c>
      <c r="AU476">
        <f>IF($AQ476=1,IFERROR(IF(VALUE($E476)&lt;100000000,VALUE($E476),1000000000),IFERROR(IF(VALUE(MID($E476,2,20))&lt;100000000,VALUE(MID($E476,2,20)),1000000000),1000000000))+ROW()/100000,"")</f>
        <v/>
      </c>
    </row>
    <row r="477">
      <c r="G477" s="14" t="n"/>
      <c r="Q477" s="7">
        <f>IF($E477="","",P477*Z477/100)</f>
        <v/>
      </c>
      <c r="R477" s="7" t="n"/>
      <c r="Y477" s="7" t="n"/>
      <c r="Z477" s="7" t="n"/>
      <c r="AA477" s="7" t="n"/>
      <c r="AD477">
        <f>IF($E477="","",IF($AT477=1,Settings!$C$8,IF($AS477=1,Settings!$C$6,Settings!$C$7))*100)</f>
        <v/>
      </c>
      <c r="AE477" s="7">
        <f>IF($E477="","",Z477*AD477/100)</f>
        <v/>
      </c>
      <c r="AF477" s="7">
        <f>IF($E477="","",Z477-AE477)</f>
        <v/>
      </c>
      <c r="AG477" s="7">
        <f>IF($E477="","",AF477-Q477)</f>
        <v/>
      </c>
      <c r="AK477" s="7" t="n"/>
      <c r="AN477" s="14" t="n"/>
      <c r="AQ477">
        <f>IF($E477="","",IF(COUNTIF($E$2:$E477,$E477)=1,1,0))</f>
        <v/>
      </c>
      <c r="AR477">
        <f>IF($AQ477=1,SUMPRODUCT(--($AU$2:$AU$1501&lt;$AU477))+1,"")</f>
        <v/>
      </c>
      <c r="AS477">
        <f>IF($E477="","",IF(OR($U477=TRUE(),$U477="TRUE"),1,0))</f>
        <v/>
      </c>
      <c r="AT477">
        <f>IF($E477="","",IF($AC477="Yes",1,0))</f>
        <v/>
      </c>
      <c r="AU477">
        <f>IF($AQ477=1,IFERROR(IF(VALUE($E477)&lt;100000000,VALUE($E477),1000000000),IFERROR(IF(VALUE(MID($E477,2,20))&lt;100000000,VALUE(MID($E477,2,20)),1000000000),1000000000))+ROW()/100000,"")</f>
        <v/>
      </c>
    </row>
    <row r="478">
      <c r="G478" s="14" t="n"/>
      <c r="Q478" s="7">
        <f>IF($E478="","",P478*Z478/100)</f>
        <v/>
      </c>
      <c r="R478" s="7" t="n"/>
      <c r="Y478" s="7" t="n"/>
      <c r="Z478" s="7" t="n"/>
      <c r="AA478" s="7" t="n"/>
      <c r="AD478">
        <f>IF($E478="","",IF($AT478=1,Settings!$C$8,IF($AS478=1,Settings!$C$6,Settings!$C$7))*100)</f>
        <v/>
      </c>
      <c r="AE478" s="7">
        <f>IF($E478="","",Z478*AD478/100)</f>
        <v/>
      </c>
      <c r="AF478" s="7">
        <f>IF($E478="","",Z478-AE478)</f>
        <v/>
      </c>
      <c r="AG478" s="7">
        <f>IF($E478="","",AF478-Q478)</f>
        <v/>
      </c>
      <c r="AK478" s="7" t="n"/>
      <c r="AN478" s="14" t="n"/>
      <c r="AQ478">
        <f>IF($E478="","",IF(COUNTIF($E$2:$E478,$E478)=1,1,0))</f>
        <v/>
      </c>
      <c r="AR478">
        <f>IF($AQ478=1,SUMPRODUCT(--($AU$2:$AU$1501&lt;$AU478))+1,"")</f>
        <v/>
      </c>
      <c r="AS478">
        <f>IF($E478="","",IF(OR($U478=TRUE(),$U478="TRUE"),1,0))</f>
        <v/>
      </c>
      <c r="AT478">
        <f>IF($E478="","",IF($AC478="Yes",1,0))</f>
        <v/>
      </c>
      <c r="AU478">
        <f>IF($AQ478=1,IFERROR(IF(VALUE($E478)&lt;100000000,VALUE($E478),1000000000),IFERROR(IF(VALUE(MID($E478,2,20))&lt;100000000,VALUE(MID($E478,2,20)),1000000000),1000000000))+ROW()/100000,"")</f>
        <v/>
      </c>
    </row>
    <row r="479">
      <c r="G479" s="14" t="n"/>
      <c r="Q479" s="7">
        <f>IF($E479="","",P479*Z479/100)</f>
        <v/>
      </c>
      <c r="R479" s="7" t="n"/>
      <c r="Y479" s="7" t="n"/>
      <c r="Z479" s="7" t="n"/>
      <c r="AA479" s="7" t="n"/>
      <c r="AD479">
        <f>IF($E479="","",IF($AT479=1,Settings!$C$8,IF($AS479=1,Settings!$C$6,Settings!$C$7))*100)</f>
        <v/>
      </c>
      <c r="AE479" s="7">
        <f>IF($E479="","",Z479*AD479/100)</f>
        <v/>
      </c>
      <c r="AF479" s="7">
        <f>IF($E479="","",Z479-AE479)</f>
        <v/>
      </c>
      <c r="AG479" s="7">
        <f>IF($E479="","",AF479-Q479)</f>
        <v/>
      </c>
      <c r="AK479" s="7" t="n"/>
      <c r="AN479" s="14" t="n"/>
      <c r="AQ479">
        <f>IF($E479="","",IF(COUNTIF($E$2:$E479,$E479)=1,1,0))</f>
        <v/>
      </c>
      <c r="AR479">
        <f>IF($AQ479=1,SUMPRODUCT(--($AU$2:$AU$1501&lt;$AU479))+1,"")</f>
        <v/>
      </c>
      <c r="AS479">
        <f>IF($E479="","",IF(OR($U479=TRUE(),$U479="TRUE"),1,0))</f>
        <v/>
      </c>
      <c r="AT479">
        <f>IF($E479="","",IF($AC479="Yes",1,0))</f>
        <v/>
      </c>
      <c r="AU479">
        <f>IF($AQ479=1,IFERROR(IF(VALUE($E479)&lt;100000000,VALUE($E479),1000000000),IFERROR(IF(VALUE(MID($E479,2,20))&lt;100000000,VALUE(MID($E479,2,20)),1000000000),1000000000))+ROW()/100000,"")</f>
        <v/>
      </c>
    </row>
    <row r="480">
      <c r="G480" s="14" t="n"/>
      <c r="Q480" s="7">
        <f>IF($E480="","",P480*Z480/100)</f>
        <v/>
      </c>
      <c r="R480" s="7" t="n"/>
      <c r="Y480" s="7" t="n"/>
      <c r="Z480" s="7" t="n"/>
      <c r="AA480" s="7" t="n"/>
      <c r="AD480">
        <f>IF($E480="","",IF($AT480=1,Settings!$C$8,IF($AS480=1,Settings!$C$6,Settings!$C$7))*100)</f>
        <v/>
      </c>
      <c r="AE480" s="7">
        <f>IF($E480="","",Z480*AD480/100)</f>
        <v/>
      </c>
      <c r="AF480" s="7">
        <f>IF($E480="","",Z480-AE480)</f>
        <v/>
      </c>
      <c r="AG480" s="7">
        <f>IF($E480="","",AF480-Q480)</f>
        <v/>
      </c>
      <c r="AK480" s="7" t="n"/>
      <c r="AN480" s="14" t="n"/>
      <c r="AQ480">
        <f>IF($E480="","",IF(COUNTIF($E$2:$E480,$E480)=1,1,0))</f>
        <v/>
      </c>
      <c r="AR480">
        <f>IF($AQ480=1,SUMPRODUCT(--($AU$2:$AU$1501&lt;$AU480))+1,"")</f>
        <v/>
      </c>
      <c r="AS480">
        <f>IF($E480="","",IF(OR($U480=TRUE(),$U480="TRUE"),1,0))</f>
        <v/>
      </c>
      <c r="AT480">
        <f>IF($E480="","",IF($AC480="Yes",1,0))</f>
        <v/>
      </c>
      <c r="AU480">
        <f>IF($AQ480=1,IFERROR(IF(VALUE($E480)&lt;100000000,VALUE($E480),1000000000),IFERROR(IF(VALUE(MID($E480,2,20))&lt;100000000,VALUE(MID($E480,2,20)),1000000000),1000000000))+ROW()/100000,"")</f>
        <v/>
      </c>
    </row>
    <row r="481">
      <c r="G481" s="14" t="n"/>
      <c r="Q481" s="7">
        <f>IF($E481="","",P481*Z481/100)</f>
        <v/>
      </c>
      <c r="R481" s="7" t="n"/>
      <c r="Y481" s="7" t="n"/>
      <c r="Z481" s="7" t="n"/>
      <c r="AA481" s="7" t="n"/>
      <c r="AD481">
        <f>IF($E481="","",IF($AT481=1,Settings!$C$8,IF($AS481=1,Settings!$C$6,Settings!$C$7))*100)</f>
        <v/>
      </c>
      <c r="AE481" s="7">
        <f>IF($E481="","",Z481*AD481/100)</f>
        <v/>
      </c>
      <c r="AF481" s="7">
        <f>IF($E481="","",Z481-AE481)</f>
        <v/>
      </c>
      <c r="AG481" s="7">
        <f>IF($E481="","",AF481-Q481)</f>
        <v/>
      </c>
      <c r="AK481" s="7" t="n"/>
      <c r="AN481" s="14" t="n"/>
      <c r="AQ481">
        <f>IF($E481="","",IF(COUNTIF($E$2:$E481,$E481)=1,1,0))</f>
        <v/>
      </c>
      <c r="AR481">
        <f>IF($AQ481=1,SUMPRODUCT(--($AU$2:$AU$1501&lt;$AU481))+1,"")</f>
        <v/>
      </c>
      <c r="AS481">
        <f>IF($E481="","",IF(OR($U481=TRUE(),$U481="TRUE"),1,0))</f>
        <v/>
      </c>
      <c r="AT481">
        <f>IF($E481="","",IF($AC481="Yes",1,0))</f>
        <v/>
      </c>
      <c r="AU481">
        <f>IF($AQ481=1,IFERROR(IF(VALUE($E481)&lt;100000000,VALUE($E481),1000000000),IFERROR(IF(VALUE(MID($E481,2,20))&lt;100000000,VALUE(MID($E481,2,20)),1000000000),1000000000))+ROW()/100000,"")</f>
        <v/>
      </c>
    </row>
    <row r="482">
      <c r="G482" s="14" t="n"/>
      <c r="Q482" s="7">
        <f>IF($E482="","",P482*Z482/100)</f>
        <v/>
      </c>
      <c r="R482" s="7" t="n"/>
      <c r="Y482" s="7" t="n"/>
      <c r="Z482" s="7" t="n"/>
      <c r="AA482" s="7" t="n"/>
      <c r="AD482">
        <f>IF($E482="","",IF($AT482=1,Settings!$C$8,IF($AS482=1,Settings!$C$6,Settings!$C$7))*100)</f>
        <v/>
      </c>
      <c r="AE482" s="7">
        <f>IF($E482="","",Z482*AD482/100)</f>
        <v/>
      </c>
      <c r="AF482" s="7">
        <f>IF($E482="","",Z482-AE482)</f>
        <v/>
      </c>
      <c r="AG482" s="7">
        <f>IF($E482="","",AF482-Q482)</f>
        <v/>
      </c>
      <c r="AK482" s="7" t="n"/>
      <c r="AN482" s="14" t="n"/>
      <c r="AQ482">
        <f>IF($E482="","",IF(COUNTIF($E$2:$E482,$E482)=1,1,0))</f>
        <v/>
      </c>
      <c r="AR482">
        <f>IF($AQ482=1,SUMPRODUCT(--($AU$2:$AU$1501&lt;$AU482))+1,"")</f>
        <v/>
      </c>
      <c r="AS482">
        <f>IF($E482="","",IF(OR($U482=TRUE(),$U482="TRUE"),1,0))</f>
        <v/>
      </c>
      <c r="AT482">
        <f>IF($E482="","",IF($AC482="Yes",1,0))</f>
        <v/>
      </c>
      <c r="AU482">
        <f>IF($AQ482=1,IFERROR(IF(VALUE($E482)&lt;100000000,VALUE($E482),1000000000),IFERROR(IF(VALUE(MID($E482,2,20))&lt;100000000,VALUE(MID($E482,2,20)),1000000000),1000000000))+ROW()/100000,"")</f>
        <v/>
      </c>
    </row>
    <row r="483">
      <c r="G483" s="14" t="n"/>
      <c r="Q483" s="7">
        <f>IF($E483="","",P483*Z483/100)</f>
        <v/>
      </c>
      <c r="R483" s="7" t="n"/>
      <c r="Y483" s="7" t="n"/>
      <c r="Z483" s="7" t="n"/>
      <c r="AA483" s="7" t="n"/>
      <c r="AD483">
        <f>IF($E483="","",IF($AT483=1,Settings!$C$8,IF($AS483=1,Settings!$C$6,Settings!$C$7))*100)</f>
        <v/>
      </c>
      <c r="AE483" s="7">
        <f>IF($E483="","",Z483*AD483/100)</f>
        <v/>
      </c>
      <c r="AF483" s="7">
        <f>IF($E483="","",Z483-AE483)</f>
        <v/>
      </c>
      <c r="AG483" s="7">
        <f>IF($E483="","",AF483-Q483)</f>
        <v/>
      </c>
      <c r="AK483" s="7" t="n"/>
      <c r="AN483" s="14" t="n"/>
      <c r="AQ483">
        <f>IF($E483="","",IF(COUNTIF($E$2:$E483,$E483)=1,1,0))</f>
        <v/>
      </c>
      <c r="AR483">
        <f>IF($AQ483=1,SUMPRODUCT(--($AU$2:$AU$1501&lt;$AU483))+1,"")</f>
        <v/>
      </c>
      <c r="AS483">
        <f>IF($E483="","",IF(OR($U483=TRUE(),$U483="TRUE"),1,0))</f>
        <v/>
      </c>
      <c r="AT483">
        <f>IF($E483="","",IF($AC483="Yes",1,0))</f>
        <v/>
      </c>
      <c r="AU483">
        <f>IF($AQ483=1,IFERROR(IF(VALUE($E483)&lt;100000000,VALUE($E483),1000000000),IFERROR(IF(VALUE(MID($E483,2,20))&lt;100000000,VALUE(MID($E483,2,20)),1000000000),1000000000))+ROW()/100000,"")</f>
        <v/>
      </c>
    </row>
    <row r="484">
      <c r="G484" s="14" t="n"/>
      <c r="Q484" s="7">
        <f>IF($E484="","",P484*Z484/100)</f>
        <v/>
      </c>
      <c r="R484" s="7" t="n"/>
      <c r="Y484" s="7" t="n"/>
      <c r="Z484" s="7" t="n"/>
      <c r="AA484" s="7" t="n"/>
      <c r="AD484">
        <f>IF($E484="","",IF($AT484=1,Settings!$C$8,IF($AS484=1,Settings!$C$6,Settings!$C$7))*100)</f>
        <v/>
      </c>
      <c r="AE484" s="7">
        <f>IF($E484="","",Z484*AD484/100)</f>
        <v/>
      </c>
      <c r="AF484" s="7">
        <f>IF($E484="","",Z484-AE484)</f>
        <v/>
      </c>
      <c r="AG484" s="7">
        <f>IF($E484="","",AF484-Q484)</f>
        <v/>
      </c>
      <c r="AK484" s="7" t="n"/>
      <c r="AN484" s="14" t="n"/>
      <c r="AQ484">
        <f>IF($E484="","",IF(COUNTIF($E$2:$E484,$E484)=1,1,0))</f>
        <v/>
      </c>
      <c r="AR484">
        <f>IF($AQ484=1,SUMPRODUCT(--($AU$2:$AU$1501&lt;$AU484))+1,"")</f>
        <v/>
      </c>
      <c r="AS484">
        <f>IF($E484="","",IF(OR($U484=TRUE(),$U484="TRUE"),1,0))</f>
        <v/>
      </c>
      <c r="AT484">
        <f>IF($E484="","",IF($AC484="Yes",1,0))</f>
        <v/>
      </c>
      <c r="AU484">
        <f>IF($AQ484=1,IFERROR(IF(VALUE($E484)&lt;100000000,VALUE($E484),1000000000),IFERROR(IF(VALUE(MID($E484,2,20))&lt;100000000,VALUE(MID($E484,2,20)),1000000000),1000000000))+ROW()/100000,"")</f>
        <v/>
      </c>
    </row>
    <row r="485">
      <c r="G485" s="14" t="n"/>
      <c r="Q485" s="7">
        <f>IF($E485="","",P485*Z485/100)</f>
        <v/>
      </c>
      <c r="R485" s="7" t="n"/>
      <c r="Y485" s="7" t="n"/>
      <c r="Z485" s="7" t="n"/>
      <c r="AA485" s="7" t="n"/>
      <c r="AD485">
        <f>IF($E485="","",IF($AT485=1,Settings!$C$8,IF($AS485=1,Settings!$C$6,Settings!$C$7))*100)</f>
        <v/>
      </c>
      <c r="AE485" s="7">
        <f>IF($E485="","",Z485*AD485/100)</f>
        <v/>
      </c>
      <c r="AF485" s="7">
        <f>IF($E485="","",Z485-AE485)</f>
        <v/>
      </c>
      <c r="AG485" s="7">
        <f>IF($E485="","",AF485-Q485)</f>
        <v/>
      </c>
      <c r="AK485" s="7" t="n"/>
      <c r="AN485" s="14" t="n"/>
      <c r="AQ485">
        <f>IF($E485="","",IF(COUNTIF($E$2:$E485,$E485)=1,1,0))</f>
        <v/>
      </c>
      <c r="AR485">
        <f>IF($AQ485=1,SUMPRODUCT(--($AU$2:$AU$1501&lt;$AU485))+1,"")</f>
        <v/>
      </c>
      <c r="AS485">
        <f>IF($E485="","",IF(OR($U485=TRUE(),$U485="TRUE"),1,0))</f>
        <v/>
      </c>
      <c r="AT485">
        <f>IF($E485="","",IF($AC485="Yes",1,0))</f>
        <v/>
      </c>
      <c r="AU485">
        <f>IF($AQ485=1,IFERROR(IF(VALUE($E485)&lt;100000000,VALUE($E485),1000000000),IFERROR(IF(VALUE(MID($E485,2,20))&lt;100000000,VALUE(MID($E485,2,20)),1000000000),1000000000))+ROW()/100000,"")</f>
        <v/>
      </c>
    </row>
    <row r="486">
      <c r="G486" s="14" t="n"/>
      <c r="Q486" s="7">
        <f>IF($E486="","",P486*Z486/100)</f>
        <v/>
      </c>
      <c r="R486" s="7" t="n"/>
      <c r="Y486" s="7" t="n"/>
      <c r="Z486" s="7" t="n"/>
      <c r="AA486" s="7" t="n"/>
      <c r="AD486">
        <f>IF($E486="","",IF($AT486=1,Settings!$C$8,IF($AS486=1,Settings!$C$6,Settings!$C$7))*100)</f>
        <v/>
      </c>
      <c r="AE486" s="7">
        <f>IF($E486="","",Z486*AD486/100)</f>
        <v/>
      </c>
      <c r="AF486" s="7">
        <f>IF($E486="","",Z486-AE486)</f>
        <v/>
      </c>
      <c r="AG486" s="7">
        <f>IF($E486="","",AF486-Q486)</f>
        <v/>
      </c>
      <c r="AK486" s="7" t="n"/>
      <c r="AN486" s="14" t="n"/>
      <c r="AQ486">
        <f>IF($E486="","",IF(COUNTIF($E$2:$E486,$E486)=1,1,0))</f>
        <v/>
      </c>
      <c r="AR486">
        <f>IF($AQ486=1,SUMPRODUCT(--($AU$2:$AU$1501&lt;$AU486))+1,"")</f>
        <v/>
      </c>
      <c r="AS486">
        <f>IF($E486="","",IF(OR($U486=TRUE(),$U486="TRUE"),1,0))</f>
        <v/>
      </c>
      <c r="AT486">
        <f>IF($E486="","",IF($AC486="Yes",1,0))</f>
        <v/>
      </c>
      <c r="AU486">
        <f>IF($AQ486=1,IFERROR(IF(VALUE($E486)&lt;100000000,VALUE($E486),1000000000),IFERROR(IF(VALUE(MID($E486,2,20))&lt;100000000,VALUE(MID($E486,2,20)),1000000000),1000000000))+ROW()/100000,"")</f>
        <v/>
      </c>
    </row>
    <row r="487">
      <c r="G487" s="14" t="n"/>
      <c r="Q487" s="7">
        <f>IF($E487="","",P487*Z487/100)</f>
        <v/>
      </c>
      <c r="R487" s="7" t="n"/>
      <c r="Y487" s="7" t="n"/>
      <c r="Z487" s="7" t="n"/>
      <c r="AA487" s="7" t="n"/>
      <c r="AD487">
        <f>IF($E487="","",IF($AT487=1,Settings!$C$8,IF($AS487=1,Settings!$C$6,Settings!$C$7))*100)</f>
        <v/>
      </c>
      <c r="AE487" s="7">
        <f>IF($E487="","",Z487*AD487/100)</f>
        <v/>
      </c>
      <c r="AF487" s="7">
        <f>IF($E487="","",Z487-AE487)</f>
        <v/>
      </c>
      <c r="AG487" s="7">
        <f>IF($E487="","",AF487-Q487)</f>
        <v/>
      </c>
      <c r="AK487" s="7" t="n"/>
      <c r="AN487" s="14" t="n"/>
      <c r="AQ487">
        <f>IF($E487="","",IF(COUNTIF($E$2:$E487,$E487)=1,1,0))</f>
        <v/>
      </c>
      <c r="AR487">
        <f>IF($AQ487=1,SUMPRODUCT(--($AU$2:$AU$1501&lt;$AU487))+1,"")</f>
        <v/>
      </c>
      <c r="AS487">
        <f>IF($E487="","",IF(OR($U487=TRUE(),$U487="TRUE"),1,0))</f>
        <v/>
      </c>
      <c r="AT487">
        <f>IF($E487="","",IF($AC487="Yes",1,0))</f>
        <v/>
      </c>
      <c r="AU487">
        <f>IF($AQ487=1,IFERROR(IF(VALUE($E487)&lt;100000000,VALUE($E487),1000000000),IFERROR(IF(VALUE(MID($E487,2,20))&lt;100000000,VALUE(MID($E487,2,20)),1000000000),1000000000))+ROW()/100000,"")</f>
        <v/>
      </c>
    </row>
    <row r="488">
      <c r="G488" s="14" t="n"/>
      <c r="Q488" s="7">
        <f>IF($E488="","",P488*Z488/100)</f>
        <v/>
      </c>
      <c r="R488" s="7" t="n"/>
      <c r="Y488" s="7" t="n"/>
      <c r="Z488" s="7" t="n"/>
      <c r="AA488" s="7" t="n"/>
      <c r="AD488">
        <f>IF($E488="","",IF($AT488=1,Settings!$C$8,IF($AS488=1,Settings!$C$6,Settings!$C$7))*100)</f>
        <v/>
      </c>
      <c r="AE488" s="7">
        <f>IF($E488="","",Z488*AD488/100)</f>
        <v/>
      </c>
      <c r="AF488" s="7">
        <f>IF($E488="","",Z488-AE488)</f>
        <v/>
      </c>
      <c r="AG488" s="7">
        <f>IF($E488="","",AF488-Q488)</f>
        <v/>
      </c>
      <c r="AK488" s="7" t="n"/>
      <c r="AN488" s="14" t="n"/>
      <c r="AQ488">
        <f>IF($E488="","",IF(COUNTIF($E$2:$E488,$E488)=1,1,0))</f>
        <v/>
      </c>
      <c r="AR488">
        <f>IF($AQ488=1,SUMPRODUCT(--($AU$2:$AU$1501&lt;$AU488))+1,"")</f>
        <v/>
      </c>
      <c r="AS488">
        <f>IF($E488="","",IF(OR($U488=TRUE(),$U488="TRUE"),1,0))</f>
        <v/>
      </c>
      <c r="AT488">
        <f>IF($E488="","",IF($AC488="Yes",1,0))</f>
        <v/>
      </c>
      <c r="AU488">
        <f>IF($AQ488=1,IFERROR(IF(VALUE($E488)&lt;100000000,VALUE($E488),1000000000),IFERROR(IF(VALUE(MID($E488,2,20))&lt;100000000,VALUE(MID($E488,2,20)),1000000000),1000000000))+ROW()/100000,"")</f>
        <v/>
      </c>
    </row>
    <row r="489">
      <c r="G489" s="14" t="n"/>
      <c r="Q489" s="7">
        <f>IF($E489="","",P489*Z489/100)</f>
        <v/>
      </c>
      <c r="R489" s="7" t="n"/>
      <c r="Y489" s="7" t="n"/>
      <c r="Z489" s="7" t="n"/>
      <c r="AA489" s="7" t="n"/>
      <c r="AD489">
        <f>IF($E489="","",IF($AT489=1,Settings!$C$8,IF($AS489=1,Settings!$C$6,Settings!$C$7))*100)</f>
        <v/>
      </c>
      <c r="AE489" s="7">
        <f>IF($E489="","",Z489*AD489/100)</f>
        <v/>
      </c>
      <c r="AF489" s="7">
        <f>IF($E489="","",Z489-AE489)</f>
        <v/>
      </c>
      <c r="AG489" s="7">
        <f>IF($E489="","",AF489-Q489)</f>
        <v/>
      </c>
      <c r="AK489" s="7" t="n"/>
      <c r="AN489" s="14" t="n"/>
      <c r="AQ489">
        <f>IF($E489="","",IF(COUNTIF($E$2:$E489,$E489)=1,1,0))</f>
        <v/>
      </c>
      <c r="AR489">
        <f>IF($AQ489=1,SUMPRODUCT(--($AU$2:$AU$1501&lt;$AU489))+1,"")</f>
        <v/>
      </c>
      <c r="AS489">
        <f>IF($E489="","",IF(OR($U489=TRUE(),$U489="TRUE"),1,0))</f>
        <v/>
      </c>
      <c r="AT489">
        <f>IF($E489="","",IF($AC489="Yes",1,0))</f>
        <v/>
      </c>
      <c r="AU489">
        <f>IF($AQ489=1,IFERROR(IF(VALUE($E489)&lt;100000000,VALUE($E489),1000000000),IFERROR(IF(VALUE(MID($E489,2,20))&lt;100000000,VALUE(MID($E489,2,20)),1000000000),1000000000))+ROW()/100000,"")</f>
        <v/>
      </c>
    </row>
    <row r="490">
      <c r="G490" s="14" t="n"/>
      <c r="Q490" s="7">
        <f>IF($E490="","",P490*Z490/100)</f>
        <v/>
      </c>
      <c r="R490" s="7" t="n"/>
      <c r="Y490" s="7" t="n"/>
      <c r="Z490" s="7" t="n"/>
      <c r="AA490" s="7" t="n"/>
      <c r="AD490">
        <f>IF($E490="","",IF($AT490=1,Settings!$C$8,IF($AS490=1,Settings!$C$6,Settings!$C$7))*100)</f>
        <v/>
      </c>
      <c r="AE490" s="7">
        <f>IF($E490="","",Z490*AD490/100)</f>
        <v/>
      </c>
      <c r="AF490" s="7">
        <f>IF($E490="","",Z490-AE490)</f>
        <v/>
      </c>
      <c r="AG490" s="7">
        <f>IF($E490="","",AF490-Q490)</f>
        <v/>
      </c>
      <c r="AK490" s="7" t="n"/>
      <c r="AN490" s="14" t="n"/>
      <c r="AQ490">
        <f>IF($E490="","",IF(COUNTIF($E$2:$E490,$E490)=1,1,0))</f>
        <v/>
      </c>
      <c r="AR490">
        <f>IF($AQ490=1,SUMPRODUCT(--($AU$2:$AU$1501&lt;$AU490))+1,"")</f>
        <v/>
      </c>
      <c r="AS490">
        <f>IF($E490="","",IF(OR($U490=TRUE(),$U490="TRUE"),1,0))</f>
        <v/>
      </c>
      <c r="AT490">
        <f>IF($E490="","",IF($AC490="Yes",1,0))</f>
        <v/>
      </c>
      <c r="AU490">
        <f>IF($AQ490=1,IFERROR(IF(VALUE($E490)&lt;100000000,VALUE($E490),1000000000),IFERROR(IF(VALUE(MID($E490,2,20))&lt;100000000,VALUE(MID($E490,2,20)),1000000000),1000000000))+ROW()/100000,"")</f>
        <v/>
      </c>
    </row>
    <row r="491">
      <c r="G491" s="14" t="n"/>
      <c r="Q491" s="7">
        <f>IF($E491="","",P491*Z491/100)</f>
        <v/>
      </c>
      <c r="R491" s="7" t="n"/>
      <c r="Y491" s="7" t="n"/>
      <c r="Z491" s="7" t="n"/>
      <c r="AA491" s="7" t="n"/>
      <c r="AD491">
        <f>IF($E491="","",IF($AT491=1,Settings!$C$8,IF($AS491=1,Settings!$C$6,Settings!$C$7))*100)</f>
        <v/>
      </c>
      <c r="AE491" s="7">
        <f>IF($E491="","",Z491*AD491/100)</f>
        <v/>
      </c>
      <c r="AF491" s="7">
        <f>IF($E491="","",Z491-AE491)</f>
        <v/>
      </c>
      <c r="AG491" s="7">
        <f>IF($E491="","",AF491-Q491)</f>
        <v/>
      </c>
      <c r="AK491" s="7" t="n"/>
      <c r="AN491" s="14" t="n"/>
      <c r="AQ491">
        <f>IF($E491="","",IF(COUNTIF($E$2:$E491,$E491)=1,1,0))</f>
        <v/>
      </c>
      <c r="AR491">
        <f>IF($AQ491=1,SUMPRODUCT(--($AU$2:$AU$1501&lt;$AU491))+1,"")</f>
        <v/>
      </c>
      <c r="AS491">
        <f>IF($E491="","",IF(OR($U491=TRUE(),$U491="TRUE"),1,0))</f>
        <v/>
      </c>
      <c r="AT491">
        <f>IF($E491="","",IF($AC491="Yes",1,0))</f>
        <v/>
      </c>
      <c r="AU491">
        <f>IF($AQ491=1,IFERROR(IF(VALUE($E491)&lt;100000000,VALUE($E491),1000000000),IFERROR(IF(VALUE(MID($E491,2,20))&lt;100000000,VALUE(MID($E491,2,20)),1000000000),1000000000))+ROW()/100000,"")</f>
        <v/>
      </c>
    </row>
    <row r="492">
      <c r="G492" s="14" t="n"/>
      <c r="Q492" s="7">
        <f>IF($E492="","",P492*Z492/100)</f>
        <v/>
      </c>
      <c r="R492" s="7" t="n"/>
      <c r="Y492" s="7" t="n"/>
      <c r="Z492" s="7" t="n"/>
      <c r="AA492" s="7" t="n"/>
      <c r="AD492">
        <f>IF($E492="","",IF($AT492=1,Settings!$C$8,IF($AS492=1,Settings!$C$6,Settings!$C$7))*100)</f>
        <v/>
      </c>
      <c r="AE492" s="7">
        <f>IF($E492="","",Z492*AD492/100)</f>
        <v/>
      </c>
      <c r="AF492" s="7">
        <f>IF($E492="","",Z492-AE492)</f>
        <v/>
      </c>
      <c r="AG492" s="7">
        <f>IF($E492="","",AF492-Q492)</f>
        <v/>
      </c>
      <c r="AK492" s="7" t="n"/>
      <c r="AN492" s="14" t="n"/>
      <c r="AQ492">
        <f>IF($E492="","",IF(COUNTIF($E$2:$E492,$E492)=1,1,0))</f>
        <v/>
      </c>
      <c r="AR492">
        <f>IF($AQ492=1,SUMPRODUCT(--($AU$2:$AU$1501&lt;$AU492))+1,"")</f>
        <v/>
      </c>
      <c r="AS492">
        <f>IF($E492="","",IF(OR($U492=TRUE(),$U492="TRUE"),1,0))</f>
        <v/>
      </c>
      <c r="AT492">
        <f>IF($E492="","",IF($AC492="Yes",1,0))</f>
        <v/>
      </c>
      <c r="AU492">
        <f>IF($AQ492=1,IFERROR(IF(VALUE($E492)&lt;100000000,VALUE($E492),1000000000),IFERROR(IF(VALUE(MID($E492,2,20))&lt;100000000,VALUE(MID($E492,2,20)),1000000000),1000000000))+ROW()/100000,"")</f>
        <v/>
      </c>
    </row>
    <row r="493">
      <c r="G493" s="14" t="n"/>
      <c r="Q493" s="7">
        <f>IF($E493="","",P493*Z493/100)</f>
        <v/>
      </c>
      <c r="R493" s="7" t="n"/>
      <c r="Y493" s="7" t="n"/>
      <c r="Z493" s="7" t="n"/>
      <c r="AA493" s="7" t="n"/>
      <c r="AD493">
        <f>IF($E493="","",IF($AT493=1,Settings!$C$8,IF($AS493=1,Settings!$C$6,Settings!$C$7))*100)</f>
        <v/>
      </c>
      <c r="AE493" s="7">
        <f>IF($E493="","",Z493*AD493/100)</f>
        <v/>
      </c>
      <c r="AF493" s="7">
        <f>IF($E493="","",Z493-AE493)</f>
        <v/>
      </c>
      <c r="AG493" s="7">
        <f>IF($E493="","",AF493-Q493)</f>
        <v/>
      </c>
      <c r="AK493" s="7" t="n"/>
      <c r="AN493" s="14" t="n"/>
      <c r="AQ493">
        <f>IF($E493="","",IF(COUNTIF($E$2:$E493,$E493)=1,1,0))</f>
        <v/>
      </c>
      <c r="AR493">
        <f>IF($AQ493=1,SUMPRODUCT(--($AU$2:$AU$1501&lt;$AU493))+1,"")</f>
        <v/>
      </c>
      <c r="AS493">
        <f>IF($E493="","",IF(OR($U493=TRUE(),$U493="TRUE"),1,0))</f>
        <v/>
      </c>
      <c r="AT493">
        <f>IF($E493="","",IF($AC493="Yes",1,0))</f>
        <v/>
      </c>
      <c r="AU493">
        <f>IF($AQ493=1,IFERROR(IF(VALUE($E493)&lt;100000000,VALUE($E493),1000000000),IFERROR(IF(VALUE(MID($E493,2,20))&lt;100000000,VALUE(MID($E493,2,20)),1000000000),1000000000))+ROW()/100000,"")</f>
        <v/>
      </c>
    </row>
    <row r="494">
      <c r="G494" s="14" t="n"/>
      <c r="Q494" s="7">
        <f>IF($E494="","",P494*Z494/100)</f>
        <v/>
      </c>
      <c r="R494" s="7" t="n"/>
      <c r="Y494" s="7" t="n"/>
      <c r="Z494" s="7" t="n"/>
      <c r="AA494" s="7" t="n"/>
      <c r="AD494">
        <f>IF($E494="","",IF($AT494=1,Settings!$C$8,IF($AS494=1,Settings!$C$6,Settings!$C$7))*100)</f>
        <v/>
      </c>
      <c r="AE494" s="7">
        <f>IF($E494="","",Z494*AD494/100)</f>
        <v/>
      </c>
      <c r="AF494" s="7">
        <f>IF($E494="","",Z494-AE494)</f>
        <v/>
      </c>
      <c r="AG494" s="7">
        <f>IF($E494="","",AF494-Q494)</f>
        <v/>
      </c>
      <c r="AK494" s="7" t="n"/>
      <c r="AN494" s="14" t="n"/>
      <c r="AQ494">
        <f>IF($E494="","",IF(COUNTIF($E$2:$E494,$E494)=1,1,0))</f>
        <v/>
      </c>
      <c r="AR494">
        <f>IF($AQ494=1,SUMPRODUCT(--($AU$2:$AU$1501&lt;$AU494))+1,"")</f>
        <v/>
      </c>
      <c r="AS494">
        <f>IF($E494="","",IF(OR($U494=TRUE(),$U494="TRUE"),1,0))</f>
        <v/>
      </c>
      <c r="AT494">
        <f>IF($E494="","",IF($AC494="Yes",1,0))</f>
        <v/>
      </c>
      <c r="AU494">
        <f>IF($AQ494=1,IFERROR(IF(VALUE($E494)&lt;100000000,VALUE($E494),1000000000),IFERROR(IF(VALUE(MID($E494,2,20))&lt;100000000,VALUE(MID($E494,2,20)),1000000000),1000000000))+ROW()/100000,"")</f>
        <v/>
      </c>
    </row>
    <row r="495">
      <c r="G495" s="14" t="n"/>
      <c r="Q495" s="7">
        <f>IF($E495="","",P495*Z495/100)</f>
        <v/>
      </c>
      <c r="R495" s="7" t="n"/>
      <c r="Y495" s="7" t="n"/>
      <c r="Z495" s="7" t="n"/>
      <c r="AA495" s="7" t="n"/>
      <c r="AD495">
        <f>IF($E495="","",IF($AT495=1,Settings!$C$8,IF($AS495=1,Settings!$C$6,Settings!$C$7))*100)</f>
        <v/>
      </c>
      <c r="AE495" s="7">
        <f>IF($E495="","",Z495*AD495/100)</f>
        <v/>
      </c>
      <c r="AF495" s="7">
        <f>IF($E495="","",Z495-AE495)</f>
        <v/>
      </c>
      <c r="AG495" s="7">
        <f>IF($E495="","",AF495-Q495)</f>
        <v/>
      </c>
      <c r="AK495" s="7" t="n"/>
      <c r="AN495" s="14" t="n"/>
      <c r="AQ495">
        <f>IF($E495="","",IF(COUNTIF($E$2:$E495,$E495)=1,1,0))</f>
        <v/>
      </c>
      <c r="AR495">
        <f>IF($AQ495=1,SUMPRODUCT(--($AU$2:$AU$1501&lt;$AU495))+1,"")</f>
        <v/>
      </c>
      <c r="AS495">
        <f>IF($E495="","",IF(OR($U495=TRUE(),$U495="TRUE"),1,0))</f>
        <v/>
      </c>
      <c r="AT495">
        <f>IF($E495="","",IF($AC495="Yes",1,0))</f>
        <v/>
      </c>
      <c r="AU495">
        <f>IF($AQ495=1,IFERROR(IF(VALUE($E495)&lt;100000000,VALUE($E495),1000000000),IFERROR(IF(VALUE(MID($E495,2,20))&lt;100000000,VALUE(MID($E495,2,20)),1000000000),1000000000))+ROW()/100000,"")</f>
        <v/>
      </c>
    </row>
    <row r="496">
      <c r="G496" s="14" t="n"/>
      <c r="Q496" s="7">
        <f>IF($E496="","",P496*Z496/100)</f>
        <v/>
      </c>
      <c r="R496" s="7" t="n"/>
      <c r="Y496" s="7" t="n"/>
      <c r="Z496" s="7" t="n"/>
      <c r="AA496" s="7" t="n"/>
      <c r="AD496">
        <f>IF($E496="","",IF($AT496=1,Settings!$C$8,IF($AS496=1,Settings!$C$6,Settings!$C$7))*100)</f>
        <v/>
      </c>
      <c r="AE496" s="7">
        <f>IF($E496="","",Z496*AD496/100)</f>
        <v/>
      </c>
      <c r="AF496" s="7">
        <f>IF($E496="","",Z496-AE496)</f>
        <v/>
      </c>
      <c r="AG496" s="7">
        <f>IF($E496="","",AF496-Q496)</f>
        <v/>
      </c>
      <c r="AK496" s="7" t="n"/>
      <c r="AN496" s="14" t="n"/>
      <c r="AQ496">
        <f>IF($E496="","",IF(COUNTIF($E$2:$E496,$E496)=1,1,0))</f>
        <v/>
      </c>
      <c r="AR496">
        <f>IF($AQ496=1,SUMPRODUCT(--($AU$2:$AU$1501&lt;$AU496))+1,"")</f>
        <v/>
      </c>
      <c r="AS496">
        <f>IF($E496="","",IF(OR($U496=TRUE(),$U496="TRUE"),1,0))</f>
        <v/>
      </c>
      <c r="AT496">
        <f>IF($E496="","",IF($AC496="Yes",1,0))</f>
        <v/>
      </c>
      <c r="AU496">
        <f>IF($AQ496=1,IFERROR(IF(VALUE($E496)&lt;100000000,VALUE($E496),1000000000),IFERROR(IF(VALUE(MID($E496,2,20))&lt;100000000,VALUE(MID($E496,2,20)),1000000000),1000000000))+ROW()/100000,"")</f>
        <v/>
      </c>
    </row>
    <row r="497">
      <c r="G497" s="14" t="n"/>
      <c r="Q497" s="7">
        <f>IF($E497="","",P497*Z497/100)</f>
        <v/>
      </c>
      <c r="R497" s="7" t="n"/>
      <c r="Y497" s="7" t="n"/>
      <c r="Z497" s="7" t="n"/>
      <c r="AA497" s="7" t="n"/>
      <c r="AD497">
        <f>IF($E497="","",IF($AT497=1,Settings!$C$8,IF($AS497=1,Settings!$C$6,Settings!$C$7))*100)</f>
        <v/>
      </c>
      <c r="AE497" s="7">
        <f>IF($E497="","",Z497*AD497/100)</f>
        <v/>
      </c>
      <c r="AF497" s="7">
        <f>IF($E497="","",Z497-AE497)</f>
        <v/>
      </c>
      <c r="AG497" s="7">
        <f>IF($E497="","",AF497-Q497)</f>
        <v/>
      </c>
      <c r="AK497" s="7" t="n"/>
      <c r="AN497" s="14" t="n"/>
      <c r="AQ497">
        <f>IF($E497="","",IF(COUNTIF($E$2:$E497,$E497)=1,1,0))</f>
        <v/>
      </c>
      <c r="AR497">
        <f>IF($AQ497=1,SUMPRODUCT(--($AU$2:$AU$1501&lt;$AU497))+1,"")</f>
        <v/>
      </c>
      <c r="AS497">
        <f>IF($E497="","",IF(OR($U497=TRUE(),$U497="TRUE"),1,0))</f>
        <v/>
      </c>
      <c r="AT497">
        <f>IF($E497="","",IF($AC497="Yes",1,0))</f>
        <v/>
      </c>
      <c r="AU497">
        <f>IF($AQ497=1,IFERROR(IF(VALUE($E497)&lt;100000000,VALUE($E497),1000000000),IFERROR(IF(VALUE(MID($E497,2,20))&lt;100000000,VALUE(MID($E497,2,20)),1000000000),1000000000))+ROW()/100000,"")</f>
        <v/>
      </c>
    </row>
    <row r="498">
      <c r="G498" s="14" t="n"/>
      <c r="Q498" s="7">
        <f>IF($E498="","",P498*Z498/100)</f>
        <v/>
      </c>
      <c r="R498" s="7" t="n"/>
      <c r="Y498" s="7" t="n"/>
      <c r="Z498" s="7" t="n"/>
      <c r="AA498" s="7" t="n"/>
      <c r="AD498">
        <f>IF($E498="","",IF($AT498=1,Settings!$C$8,IF($AS498=1,Settings!$C$6,Settings!$C$7))*100)</f>
        <v/>
      </c>
      <c r="AE498" s="7">
        <f>IF($E498="","",Z498*AD498/100)</f>
        <v/>
      </c>
      <c r="AF498" s="7">
        <f>IF($E498="","",Z498-AE498)</f>
        <v/>
      </c>
      <c r="AG498" s="7">
        <f>IF($E498="","",AF498-Q498)</f>
        <v/>
      </c>
      <c r="AK498" s="7" t="n"/>
      <c r="AN498" s="14" t="n"/>
      <c r="AQ498">
        <f>IF($E498="","",IF(COUNTIF($E$2:$E498,$E498)=1,1,0))</f>
        <v/>
      </c>
      <c r="AR498">
        <f>IF($AQ498=1,SUMPRODUCT(--($AU$2:$AU$1501&lt;$AU498))+1,"")</f>
        <v/>
      </c>
      <c r="AS498">
        <f>IF($E498="","",IF(OR($U498=TRUE(),$U498="TRUE"),1,0))</f>
        <v/>
      </c>
      <c r="AT498">
        <f>IF($E498="","",IF($AC498="Yes",1,0))</f>
        <v/>
      </c>
      <c r="AU498">
        <f>IF($AQ498=1,IFERROR(IF(VALUE($E498)&lt;100000000,VALUE($E498),1000000000),IFERROR(IF(VALUE(MID($E498,2,20))&lt;100000000,VALUE(MID($E498,2,20)),1000000000),1000000000))+ROW()/100000,"")</f>
        <v/>
      </c>
    </row>
    <row r="499">
      <c r="G499" s="14" t="n"/>
      <c r="Q499" s="7">
        <f>IF($E499="","",P499*Z499/100)</f>
        <v/>
      </c>
      <c r="R499" s="7" t="n"/>
      <c r="Y499" s="7" t="n"/>
      <c r="Z499" s="7" t="n"/>
      <c r="AA499" s="7" t="n"/>
      <c r="AD499">
        <f>IF($E499="","",IF($AT499=1,Settings!$C$8,IF($AS499=1,Settings!$C$6,Settings!$C$7))*100)</f>
        <v/>
      </c>
      <c r="AE499" s="7">
        <f>IF($E499="","",Z499*AD499/100)</f>
        <v/>
      </c>
      <c r="AF499" s="7">
        <f>IF($E499="","",Z499-AE499)</f>
        <v/>
      </c>
      <c r="AG499" s="7">
        <f>IF($E499="","",AF499-Q499)</f>
        <v/>
      </c>
      <c r="AK499" s="7" t="n"/>
      <c r="AN499" s="14" t="n"/>
      <c r="AQ499">
        <f>IF($E499="","",IF(COUNTIF($E$2:$E499,$E499)=1,1,0))</f>
        <v/>
      </c>
      <c r="AR499">
        <f>IF($AQ499=1,SUMPRODUCT(--($AU$2:$AU$1501&lt;$AU499))+1,"")</f>
        <v/>
      </c>
      <c r="AS499">
        <f>IF($E499="","",IF(OR($U499=TRUE(),$U499="TRUE"),1,0))</f>
        <v/>
      </c>
      <c r="AT499">
        <f>IF($E499="","",IF($AC499="Yes",1,0))</f>
        <v/>
      </c>
      <c r="AU499">
        <f>IF($AQ499=1,IFERROR(IF(VALUE($E499)&lt;100000000,VALUE($E499),1000000000),IFERROR(IF(VALUE(MID($E499,2,20))&lt;100000000,VALUE(MID($E499,2,20)),1000000000),1000000000))+ROW()/100000,"")</f>
        <v/>
      </c>
    </row>
    <row r="500">
      <c r="G500" s="14" t="n"/>
      <c r="Q500" s="7">
        <f>IF($E500="","",P500*Z500/100)</f>
        <v/>
      </c>
      <c r="R500" s="7" t="n"/>
      <c r="Y500" s="7" t="n"/>
      <c r="Z500" s="7" t="n"/>
      <c r="AA500" s="7" t="n"/>
      <c r="AD500">
        <f>IF($E500="","",IF($AT500=1,Settings!$C$8,IF($AS500=1,Settings!$C$6,Settings!$C$7))*100)</f>
        <v/>
      </c>
      <c r="AE500" s="7">
        <f>IF($E500="","",Z500*AD500/100)</f>
        <v/>
      </c>
      <c r="AF500" s="7">
        <f>IF($E500="","",Z500-AE500)</f>
        <v/>
      </c>
      <c r="AG500" s="7">
        <f>IF($E500="","",AF500-Q500)</f>
        <v/>
      </c>
      <c r="AK500" s="7" t="n"/>
      <c r="AN500" s="14" t="n"/>
      <c r="AQ500">
        <f>IF($E500="","",IF(COUNTIF($E$2:$E500,$E500)=1,1,0))</f>
        <v/>
      </c>
      <c r="AR500">
        <f>IF($AQ500=1,SUMPRODUCT(--($AU$2:$AU$1501&lt;$AU500))+1,"")</f>
        <v/>
      </c>
      <c r="AS500">
        <f>IF($E500="","",IF(OR($U500=TRUE(),$U500="TRUE"),1,0))</f>
        <v/>
      </c>
      <c r="AT500">
        <f>IF($E500="","",IF($AC500="Yes",1,0))</f>
        <v/>
      </c>
      <c r="AU500">
        <f>IF($AQ500=1,IFERROR(IF(VALUE($E500)&lt;100000000,VALUE($E500),1000000000),IFERROR(IF(VALUE(MID($E500,2,20))&lt;100000000,VALUE(MID($E500,2,20)),1000000000),1000000000))+ROW()/100000,"")</f>
        <v/>
      </c>
    </row>
    <row r="501">
      <c r="G501" s="14" t="n"/>
      <c r="Q501" s="7">
        <f>IF($E501="","",P501*Z501/100)</f>
        <v/>
      </c>
      <c r="R501" s="7" t="n"/>
      <c r="Y501" s="7" t="n"/>
      <c r="Z501" s="7" t="n"/>
      <c r="AA501" s="7" t="n"/>
      <c r="AD501">
        <f>IF($E501="","",IF($AT501=1,Settings!$C$8,IF($AS501=1,Settings!$C$6,Settings!$C$7))*100)</f>
        <v/>
      </c>
      <c r="AE501" s="7">
        <f>IF($E501="","",Z501*AD501/100)</f>
        <v/>
      </c>
      <c r="AF501" s="7">
        <f>IF($E501="","",Z501-AE501)</f>
        <v/>
      </c>
      <c r="AG501" s="7">
        <f>IF($E501="","",AF501-Q501)</f>
        <v/>
      </c>
      <c r="AK501" s="7" t="n"/>
      <c r="AN501" s="14" t="n"/>
      <c r="AQ501">
        <f>IF($E501="","",IF(COUNTIF($E$2:$E501,$E501)=1,1,0))</f>
        <v/>
      </c>
      <c r="AR501">
        <f>IF($AQ501=1,SUMPRODUCT(--($AU$2:$AU$1501&lt;$AU501))+1,"")</f>
        <v/>
      </c>
      <c r="AS501">
        <f>IF($E501="","",IF(OR($U501=TRUE(),$U501="TRUE"),1,0))</f>
        <v/>
      </c>
      <c r="AT501">
        <f>IF($E501="","",IF($AC501="Yes",1,0))</f>
        <v/>
      </c>
      <c r="AU501">
        <f>IF($AQ501=1,IFERROR(IF(VALUE($E501)&lt;100000000,VALUE($E501),1000000000),IFERROR(IF(VALUE(MID($E501,2,20))&lt;100000000,VALUE(MID($E501,2,20)),1000000000),1000000000))+ROW()/100000,"")</f>
        <v/>
      </c>
    </row>
    <row r="502">
      <c r="G502" s="14" t="n"/>
      <c r="Q502" s="7">
        <f>IF($E502="","",P502*Z502/100)</f>
        <v/>
      </c>
      <c r="R502" s="7" t="n"/>
      <c r="Y502" s="7" t="n"/>
      <c r="Z502" s="7" t="n"/>
      <c r="AA502" s="7" t="n"/>
      <c r="AD502">
        <f>IF($E502="","",IF($AT502=1,Settings!$C$8,IF($AS502=1,Settings!$C$6,Settings!$C$7))*100)</f>
        <v/>
      </c>
      <c r="AE502" s="7">
        <f>IF($E502="","",Z502*AD502/100)</f>
        <v/>
      </c>
      <c r="AF502" s="7">
        <f>IF($E502="","",Z502-AE502)</f>
        <v/>
      </c>
      <c r="AG502" s="7">
        <f>IF($E502="","",AF502-Q502)</f>
        <v/>
      </c>
      <c r="AK502" s="7" t="n"/>
      <c r="AN502" s="14" t="n"/>
      <c r="AQ502">
        <f>IF($E502="","",IF(COUNTIF($E$2:$E502,$E502)=1,1,0))</f>
        <v/>
      </c>
      <c r="AR502">
        <f>IF($AQ502=1,SUMPRODUCT(--($AU$2:$AU$1501&lt;$AU502))+1,"")</f>
        <v/>
      </c>
      <c r="AS502">
        <f>IF($E502="","",IF(OR($U502=TRUE(),$U502="TRUE"),1,0))</f>
        <v/>
      </c>
      <c r="AT502">
        <f>IF($E502="","",IF($AC502="Yes",1,0))</f>
        <v/>
      </c>
      <c r="AU502">
        <f>IF($AQ502=1,IFERROR(IF(VALUE($E502)&lt;100000000,VALUE($E502),1000000000),IFERROR(IF(VALUE(MID($E502,2,20))&lt;100000000,VALUE(MID($E502,2,20)),1000000000),1000000000))+ROW()/100000,"")</f>
        <v/>
      </c>
    </row>
    <row r="503">
      <c r="G503" s="14" t="n"/>
      <c r="Q503" s="7">
        <f>IF($E503="","",P503*Z503/100)</f>
        <v/>
      </c>
      <c r="R503" s="7" t="n"/>
      <c r="Y503" s="7" t="n"/>
      <c r="Z503" s="7" t="n"/>
      <c r="AA503" s="7" t="n"/>
      <c r="AD503">
        <f>IF($E503="","",IF($AT503=1,Settings!$C$8,IF($AS503=1,Settings!$C$6,Settings!$C$7))*100)</f>
        <v/>
      </c>
      <c r="AE503" s="7">
        <f>IF($E503="","",Z503*AD503/100)</f>
        <v/>
      </c>
      <c r="AF503" s="7">
        <f>IF($E503="","",Z503-AE503)</f>
        <v/>
      </c>
      <c r="AG503" s="7">
        <f>IF($E503="","",AF503-Q503)</f>
        <v/>
      </c>
      <c r="AK503" s="7" t="n"/>
      <c r="AN503" s="14" t="n"/>
      <c r="AQ503">
        <f>IF($E503="","",IF(COUNTIF($E$2:$E503,$E503)=1,1,0))</f>
        <v/>
      </c>
      <c r="AR503">
        <f>IF($AQ503=1,SUMPRODUCT(--($AU$2:$AU$1501&lt;$AU503))+1,"")</f>
        <v/>
      </c>
      <c r="AS503">
        <f>IF($E503="","",IF(OR($U503=TRUE(),$U503="TRUE"),1,0))</f>
        <v/>
      </c>
      <c r="AT503">
        <f>IF($E503="","",IF($AC503="Yes",1,0))</f>
        <v/>
      </c>
      <c r="AU503">
        <f>IF($AQ503=1,IFERROR(IF(VALUE($E503)&lt;100000000,VALUE($E503),1000000000),IFERROR(IF(VALUE(MID($E503,2,20))&lt;100000000,VALUE(MID($E503,2,20)),1000000000),1000000000))+ROW()/100000,"")</f>
        <v/>
      </c>
    </row>
    <row r="504">
      <c r="G504" s="14" t="n"/>
      <c r="Q504" s="7">
        <f>IF($E504="","",P504*Z504/100)</f>
        <v/>
      </c>
      <c r="R504" s="7" t="n"/>
      <c r="Y504" s="7" t="n"/>
      <c r="Z504" s="7" t="n"/>
      <c r="AA504" s="7" t="n"/>
      <c r="AD504">
        <f>IF($E504="","",IF($AT504=1,Settings!$C$8,IF($AS504=1,Settings!$C$6,Settings!$C$7))*100)</f>
        <v/>
      </c>
      <c r="AE504" s="7">
        <f>IF($E504="","",Z504*AD504/100)</f>
        <v/>
      </c>
      <c r="AF504" s="7">
        <f>IF($E504="","",Z504-AE504)</f>
        <v/>
      </c>
      <c r="AG504" s="7">
        <f>IF($E504="","",AF504-Q504)</f>
        <v/>
      </c>
      <c r="AK504" s="7" t="n"/>
      <c r="AN504" s="14" t="n"/>
      <c r="AQ504">
        <f>IF($E504="","",IF(COUNTIF($E$2:$E504,$E504)=1,1,0))</f>
        <v/>
      </c>
      <c r="AR504">
        <f>IF($AQ504=1,SUMPRODUCT(--($AU$2:$AU$1501&lt;$AU504))+1,"")</f>
        <v/>
      </c>
      <c r="AS504">
        <f>IF($E504="","",IF(OR($U504=TRUE(),$U504="TRUE"),1,0))</f>
        <v/>
      </c>
      <c r="AT504">
        <f>IF($E504="","",IF($AC504="Yes",1,0))</f>
        <v/>
      </c>
      <c r="AU504">
        <f>IF($AQ504=1,IFERROR(IF(VALUE($E504)&lt;100000000,VALUE($E504),1000000000),IFERROR(IF(VALUE(MID($E504,2,20))&lt;100000000,VALUE(MID($E504,2,20)),1000000000),1000000000))+ROW()/100000,"")</f>
        <v/>
      </c>
    </row>
    <row r="505">
      <c r="G505" s="14" t="n"/>
      <c r="Q505" s="7">
        <f>IF($E505="","",P505*Z505/100)</f>
        <v/>
      </c>
      <c r="R505" s="7" t="n"/>
      <c r="Y505" s="7" t="n"/>
      <c r="Z505" s="7" t="n"/>
      <c r="AA505" s="7" t="n"/>
      <c r="AD505">
        <f>IF($E505="","",IF($AT505=1,Settings!$C$8,IF($AS505=1,Settings!$C$6,Settings!$C$7))*100)</f>
        <v/>
      </c>
      <c r="AE505" s="7">
        <f>IF($E505="","",Z505*AD505/100)</f>
        <v/>
      </c>
      <c r="AF505" s="7">
        <f>IF($E505="","",Z505-AE505)</f>
        <v/>
      </c>
      <c r="AG505" s="7">
        <f>IF($E505="","",AF505-Q505)</f>
        <v/>
      </c>
      <c r="AK505" s="7" t="n"/>
      <c r="AN505" s="14" t="n"/>
      <c r="AQ505">
        <f>IF($E505="","",IF(COUNTIF($E$2:$E505,$E505)=1,1,0))</f>
        <v/>
      </c>
      <c r="AR505">
        <f>IF($AQ505=1,SUMPRODUCT(--($AU$2:$AU$1501&lt;$AU505))+1,"")</f>
        <v/>
      </c>
      <c r="AS505">
        <f>IF($E505="","",IF(OR($U505=TRUE(),$U505="TRUE"),1,0))</f>
        <v/>
      </c>
      <c r="AT505">
        <f>IF($E505="","",IF($AC505="Yes",1,0))</f>
        <v/>
      </c>
      <c r="AU505">
        <f>IF($AQ505=1,IFERROR(IF(VALUE($E505)&lt;100000000,VALUE($E505),1000000000),IFERROR(IF(VALUE(MID($E505,2,20))&lt;100000000,VALUE(MID($E505,2,20)),1000000000),1000000000))+ROW()/100000,"")</f>
        <v/>
      </c>
    </row>
    <row r="506">
      <c r="G506" s="14" t="n"/>
      <c r="Q506" s="7">
        <f>IF($E506="","",P506*Z506/100)</f>
        <v/>
      </c>
      <c r="R506" s="7" t="n"/>
      <c r="Y506" s="7" t="n"/>
      <c r="Z506" s="7" t="n"/>
      <c r="AA506" s="7" t="n"/>
      <c r="AD506">
        <f>IF($E506="","",IF($AT506=1,Settings!$C$8,IF($AS506=1,Settings!$C$6,Settings!$C$7))*100)</f>
        <v/>
      </c>
      <c r="AE506" s="7">
        <f>IF($E506="","",Z506*AD506/100)</f>
        <v/>
      </c>
      <c r="AF506" s="7">
        <f>IF($E506="","",Z506-AE506)</f>
        <v/>
      </c>
      <c r="AG506" s="7">
        <f>IF($E506="","",AF506-Q506)</f>
        <v/>
      </c>
      <c r="AK506" s="7" t="n"/>
      <c r="AN506" s="14" t="n"/>
      <c r="AQ506">
        <f>IF($E506="","",IF(COUNTIF($E$2:$E506,$E506)=1,1,0))</f>
        <v/>
      </c>
      <c r="AR506">
        <f>IF($AQ506=1,SUMPRODUCT(--($AU$2:$AU$1501&lt;$AU506))+1,"")</f>
        <v/>
      </c>
      <c r="AS506">
        <f>IF($E506="","",IF(OR($U506=TRUE(),$U506="TRUE"),1,0))</f>
        <v/>
      </c>
      <c r="AT506">
        <f>IF($E506="","",IF($AC506="Yes",1,0))</f>
        <v/>
      </c>
      <c r="AU506">
        <f>IF($AQ506=1,IFERROR(IF(VALUE($E506)&lt;100000000,VALUE($E506),1000000000),IFERROR(IF(VALUE(MID($E506,2,20))&lt;100000000,VALUE(MID($E506,2,20)),1000000000),1000000000))+ROW()/100000,"")</f>
        <v/>
      </c>
    </row>
    <row r="507">
      <c r="G507" s="14" t="n"/>
      <c r="Q507" s="7">
        <f>IF($E507="","",P507*Z507/100)</f>
        <v/>
      </c>
      <c r="R507" s="7" t="n"/>
      <c r="Y507" s="7" t="n"/>
      <c r="Z507" s="7" t="n"/>
      <c r="AA507" s="7" t="n"/>
      <c r="AD507">
        <f>IF($E507="","",IF($AT507=1,Settings!$C$8,IF($AS507=1,Settings!$C$6,Settings!$C$7))*100)</f>
        <v/>
      </c>
      <c r="AE507" s="7">
        <f>IF($E507="","",Z507*AD507/100)</f>
        <v/>
      </c>
      <c r="AF507" s="7">
        <f>IF($E507="","",Z507-AE507)</f>
        <v/>
      </c>
      <c r="AG507" s="7">
        <f>IF($E507="","",AF507-Q507)</f>
        <v/>
      </c>
      <c r="AK507" s="7" t="n"/>
      <c r="AN507" s="14" t="n"/>
      <c r="AQ507">
        <f>IF($E507="","",IF(COUNTIF($E$2:$E507,$E507)=1,1,0))</f>
        <v/>
      </c>
      <c r="AR507">
        <f>IF($AQ507=1,SUMPRODUCT(--($AU$2:$AU$1501&lt;$AU507))+1,"")</f>
        <v/>
      </c>
      <c r="AS507">
        <f>IF($E507="","",IF(OR($U507=TRUE(),$U507="TRUE"),1,0))</f>
        <v/>
      </c>
      <c r="AT507">
        <f>IF($E507="","",IF($AC507="Yes",1,0))</f>
        <v/>
      </c>
      <c r="AU507">
        <f>IF($AQ507=1,IFERROR(IF(VALUE($E507)&lt;100000000,VALUE($E507),1000000000),IFERROR(IF(VALUE(MID($E507,2,20))&lt;100000000,VALUE(MID($E507,2,20)),1000000000),1000000000))+ROW()/100000,"")</f>
        <v/>
      </c>
    </row>
    <row r="508">
      <c r="G508" s="14" t="n"/>
      <c r="Q508" s="7">
        <f>IF($E508="","",P508*Z508/100)</f>
        <v/>
      </c>
      <c r="R508" s="7" t="n"/>
      <c r="Y508" s="7" t="n"/>
      <c r="Z508" s="7" t="n"/>
      <c r="AA508" s="7" t="n"/>
      <c r="AD508">
        <f>IF($E508="","",IF($AT508=1,Settings!$C$8,IF($AS508=1,Settings!$C$6,Settings!$C$7))*100)</f>
        <v/>
      </c>
      <c r="AE508" s="7">
        <f>IF($E508="","",Z508*AD508/100)</f>
        <v/>
      </c>
      <c r="AF508" s="7">
        <f>IF($E508="","",Z508-AE508)</f>
        <v/>
      </c>
      <c r="AG508" s="7">
        <f>IF($E508="","",AF508-Q508)</f>
        <v/>
      </c>
      <c r="AK508" s="7" t="n"/>
      <c r="AN508" s="14" t="n"/>
      <c r="AQ508">
        <f>IF($E508="","",IF(COUNTIF($E$2:$E508,$E508)=1,1,0))</f>
        <v/>
      </c>
      <c r="AR508">
        <f>IF($AQ508=1,SUMPRODUCT(--($AU$2:$AU$1501&lt;$AU508))+1,"")</f>
        <v/>
      </c>
      <c r="AS508">
        <f>IF($E508="","",IF(OR($U508=TRUE(),$U508="TRUE"),1,0))</f>
        <v/>
      </c>
      <c r="AT508">
        <f>IF($E508="","",IF($AC508="Yes",1,0))</f>
        <v/>
      </c>
      <c r="AU508">
        <f>IF($AQ508=1,IFERROR(IF(VALUE($E508)&lt;100000000,VALUE($E508),1000000000),IFERROR(IF(VALUE(MID($E508,2,20))&lt;100000000,VALUE(MID($E508,2,20)),1000000000),1000000000))+ROW()/100000,"")</f>
        <v/>
      </c>
    </row>
    <row r="509">
      <c r="G509" s="14" t="n"/>
      <c r="Q509" s="7">
        <f>IF($E509="","",P509*Z509/100)</f>
        <v/>
      </c>
      <c r="R509" s="7" t="n"/>
      <c r="Y509" s="7" t="n"/>
      <c r="Z509" s="7" t="n"/>
      <c r="AA509" s="7" t="n"/>
      <c r="AD509">
        <f>IF($E509="","",IF($AT509=1,Settings!$C$8,IF($AS509=1,Settings!$C$6,Settings!$C$7))*100)</f>
        <v/>
      </c>
      <c r="AE509" s="7">
        <f>IF($E509="","",Z509*AD509/100)</f>
        <v/>
      </c>
      <c r="AF509" s="7">
        <f>IF($E509="","",Z509-AE509)</f>
        <v/>
      </c>
      <c r="AG509" s="7">
        <f>IF($E509="","",AF509-Q509)</f>
        <v/>
      </c>
      <c r="AK509" s="7" t="n"/>
      <c r="AN509" s="14" t="n"/>
      <c r="AQ509">
        <f>IF($E509="","",IF(COUNTIF($E$2:$E509,$E509)=1,1,0))</f>
        <v/>
      </c>
      <c r="AR509">
        <f>IF($AQ509=1,SUMPRODUCT(--($AU$2:$AU$1501&lt;$AU509))+1,"")</f>
        <v/>
      </c>
      <c r="AS509">
        <f>IF($E509="","",IF(OR($U509=TRUE(),$U509="TRUE"),1,0))</f>
        <v/>
      </c>
      <c r="AT509">
        <f>IF($E509="","",IF($AC509="Yes",1,0))</f>
        <v/>
      </c>
      <c r="AU509">
        <f>IF($AQ509=1,IFERROR(IF(VALUE($E509)&lt;100000000,VALUE($E509),1000000000),IFERROR(IF(VALUE(MID($E509,2,20))&lt;100000000,VALUE(MID($E509,2,20)),1000000000),1000000000))+ROW()/100000,"")</f>
        <v/>
      </c>
    </row>
    <row r="510">
      <c r="G510" s="14" t="n"/>
      <c r="Q510" s="7">
        <f>IF($E510="","",P510*Z510/100)</f>
        <v/>
      </c>
      <c r="R510" s="7" t="n"/>
      <c r="Y510" s="7" t="n"/>
      <c r="Z510" s="7" t="n"/>
      <c r="AA510" s="7" t="n"/>
      <c r="AD510">
        <f>IF($E510="","",IF($AT510=1,Settings!$C$8,IF($AS510=1,Settings!$C$6,Settings!$C$7))*100)</f>
        <v/>
      </c>
      <c r="AE510" s="7">
        <f>IF($E510="","",Z510*AD510/100)</f>
        <v/>
      </c>
      <c r="AF510" s="7">
        <f>IF($E510="","",Z510-AE510)</f>
        <v/>
      </c>
      <c r="AG510" s="7">
        <f>IF($E510="","",AF510-Q510)</f>
        <v/>
      </c>
      <c r="AK510" s="7" t="n"/>
      <c r="AN510" s="14" t="n"/>
      <c r="AQ510">
        <f>IF($E510="","",IF(COUNTIF($E$2:$E510,$E510)=1,1,0))</f>
        <v/>
      </c>
      <c r="AR510">
        <f>IF($AQ510=1,SUMPRODUCT(--($AU$2:$AU$1501&lt;$AU510))+1,"")</f>
        <v/>
      </c>
      <c r="AS510">
        <f>IF($E510="","",IF(OR($U510=TRUE(),$U510="TRUE"),1,0))</f>
        <v/>
      </c>
      <c r="AT510">
        <f>IF($E510="","",IF($AC510="Yes",1,0))</f>
        <v/>
      </c>
      <c r="AU510">
        <f>IF($AQ510=1,IFERROR(IF(VALUE($E510)&lt;100000000,VALUE($E510),1000000000),IFERROR(IF(VALUE(MID($E510,2,20))&lt;100000000,VALUE(MID($E510,2,20)),1000000000),1000000000))+ROW()/100000,"")</f>
        <v/>
      </c>
    </row>
    <row r="511">
      <c r="G511" s="14" t="n"/>
      <c r="Q511" s="7">
        <f>IF($E511="","",P511*Z511/100)</f>
        <v/>
      </c>
      <c r="R511" s="7" t="n"/>
      <c r="Y511" s="7" t="n"/>
      <c r="Z511" s="7" t="n"/>
      <c r="AA511" s="7" t="n"/>
      <c r="AD511">
        <f>IF($E511="","",IF($AT511=1,Settings!$C$8,IF($AS511=1,Settings!$C$6,Settings!$C$7))*100)</f>
        <v/>
      </c>
      <c r="AE511" s="7">
        <f>IF($E511="","",Z511*AD511/100)</f>
        <v/>
      </c>
      <c r="AF511" s="7">
        <f>IF($E511="","",Z511-AE511)</f>
        <v/>
      </c>
      <c r="AG511" s="7">
        <f>IF($E511="","",AF511-Q511)</f>
        <v/>
      </c>
      <c r="AK511" s="7" t="n"/>
      <c r="AN511" s="14" t="n"/>
      <c r="AQ511">
        <f>IF($E511="","",IF(COUNTIF($E$2:$E511,$E511)=1,1,0))</f>
        <v/>
      </c>
      <c r="AR511">
        <f>IF($AQ511=1,SUMPRODUCT(--($AU$2:$AU$1501&lt;$AU511))+1,"")</f>
        <v/>
      </c>
      <c r="AS511">
        <f>IF($E511="","",IF(OR($U511=TRUE(),$U511="TRUE"),1,0))</f>
        <v/>
      </c>
      <c r="AT511">
        <f>IF($E511="","",IF($AC511="Yes",1,0))</f>
        <v/>
      </c>
      <c r="AU511">
        <f>IF($AQ511=1,IFERROR(IF(VALUE($E511)&lt;100000000,VALUE($E511),1000000000),IFERROR(IF(VALUE(MID($E511,2,20))&lt;100000000,VALUE(MID($E511,2,20)),1000000000),1000000000))+ROW()/100000,"")</f>
        <v/>
      </c>
    </row>
    <row r="512">
      <c r="G512" s="14" t="n"/>
      <c r="Q512" s="7">
        <f>IF($E512="","",P512*Z512/100)</f>
        <v/>
      </c>
      <c r="R512" s="7" t="n"/>
      <c r="Y512" s="7" t="n"/>
      <c r="Z512" s="7" t="n"/>
      <c r="AA512" s="7" t="n"/>
      <c r="AD512">
        <f>IF($E512="","",IF($AT512=1,Settings!$C$8,IF($AS512=1,Settings!$C$6,Settings!$C$7))*100)</f>
        <v/>
      </c>
      <c r="AE512" s="7">
        <f>IF($E512="","",Z512*AD512/100)</f>
        <v/>
      </c>
      <c r="AF512" s="7">
        <f>IF($E512="","",Z512-AE512)</f>
        <v/>
      </c>
      <c r="AG512" s="7">
        <f>IF($E512="","",AF512-Q512)</f>
        <v/>
      </c>
      <c r="AK512" s="7" t="n"/>
      <c r="AN512" s="14" t="n"/>
      <c r="AQ512">
        <f>IF($E512="","",IF(COUNTIF($E$2:$E512,$E512)=1,1,0))</f>
        <v/>
      </c>
      <c r="AR512">
        <f>IF($AQ512=1,SUMPRODUCT(--($AU$2:$AU$1501&lt;$AU512))+1,"")</f>
        <v/>
      </c>
      <c r="AS512">
        <f>IF($E512="","",IF(OR($U512=TRUE(),$U512="TRUE"),1,0))</f>
        <v/>
      </c>
      <c r="AT512">
        <f>IF($E512="","",IF($AC512="Yes",1,0))</f>
        <v/>
      </c>
      <c r="AU512">
        <f>IF($AQ512=1,IFERROR(IF(VALUE($E512)&lt;100000000,VALUE($E512),1000000000),IFERROR(IF(VALUE(MID($E512,2,20))&lt;100000000,VALUE(MID($E512,2,20)),1000000000),1000000000))+ROW()/100000,"")</f>
        <v/>
      </c>
    </row>
    <row r="513">
      <c r="G513" s="14" t="n"/>
      <c r="Q513" s="7">
        <f>IF($E513="","",P513*Z513/100)</f>
        <v/>
      </c>
      <c r="R513" s="7" t="n"/>
      <c r="Y513" s="7" t="n"/>
      <c r="Z513" s="7" t="n"/>
      <c r="AA513" s="7" t="n"/>
      <c r="AD513">
        <f>IF($E513="","",IF($AT513=1,Settings!$C$8,IF($AS513=1,Settings!$C$6,Settings!$C$7))*100)</f>
        <v/>
      </c>
      <c r="AE513" s="7">
        <f>IF($E513="","",Z513*AD513/100)</f>
        <v/>
      </c>
      <c r="AF513" s="7">
        <f>IF($E513="","",Z513-AE513)</f>
        <v/>
      </c>
      <c r="AG513" s="7">
        <f>IF($E513="","",AF513-Q513)</f>
        <v/>
      </c>
      <c r="AK513" s="7" t="n"/>
      <c r="AN513" s="14" t="n"/>
      <c r="AQ513">
        <f>IF($E513="","",IF(COUNTIF($E$2:$E513,$E513)=1,1,0))</f>
        <v/>
      </c>
      <c r="AR513">
        <f>IF($AQ513=1,SUMPRODUCT(--($AU$2:$AU$1501&lt;$AU513))+1,"")</f>
        <v/>
      </c>
      <c r="AS513">
        <f>IF($E513="","",IF(OR($U513=TRUE(),$U513="TRUE"),1,0))</f>
        <v/>
      </c>
      <c r="AT513">
        <f>IF($E513="","",IF($AC513="Yes",1,0))</f>
        <v/>
      </c>
      <c r="AU513">
        <f>IF($AQ513=1,IFERROR(IF(VALUE($E513)&lt;100000000,VALUE($E513),1000000000),IFERROR(IF(VALUE(MID($E513,2,20))&lt;100000000,VALUE(MID($E513,2,20)),1000000000),1000000000))+ROW()/100000,"")</f>
        <v/>
      </c>
    </row>
    <row r="514">
      <c r="G514" s="14" t="n"/>
      <c r="Q514" s="7">
        <f>IF($E514="","",P514*Z514/100)</f>
        <v/>
      </c>
      <c r="R514" s="7" t="n"/>
      <c r="Y514" s="7" t="n"/>
      <c r="Z514" s="7" t="n"/>
      <c r="AA514" s="7" t="n"/>
      <c r="AD514">
        <f>IF($E514="","",IF($AT514=1,Settings!$C$8,IF($AS514=1,Settings!$C$6,Settings!$C$7))*100)</f>
        <v/>
      </c>
      <c r="AE514" s="7">
        <f>IF($E514="","",Z514*AD514/100)</f>
        <v/>
      </c>
      <c r="AF514" s="7">
        <f>IF($E514="","",Z514-AE514)</f>
        <v/>
      </c>
      <c r="AG514" s="7">
        <f>IF($E514="","",AF514-Q514)</f>
        <v/>
      </c>
      <c r="AK514" s="7" t="n"/>
      <c r="AN514" s="14" t="n"/>
      <c r="AQ514">
        <f>IF($E514="","",IF(COUNTIF($E$2:$E514,$E514)=1,1,0))</f>
        <v/>
      </c>
      <c r="AR514">
        <f>IF($AQ514=1,SUMPRODUCT(--($AU$2:$AU$1501&lt;$AU514))+1,"")</f>
        <v/>
      </c>
      <c r="AS514">
        <f>IF($E514="","",IF(OR($U514=TRUE(),$U514="TRUE"),1,0))</f>
        <v/>
      </c>
      <c r="AT514">
        <f>IF($E514="","",IF($AC514="Yes",1,0))</f>
        <v/>
      </c>
      <c r="AU514">
        <f>IF($AQ514=1,IFERROR(IF(VALUE($E514)&lt;100000000,VALUE($E514),1000000000),IFERROR(IF(VALUE(MID($E514,2,20))&lt;100000000,VALUE(MID($E514,2,20)),1000000000),1000000000))+ROW()/100000,"")</f>
        <v/>
      </c>
    </row>
    <row r="515">
      <c r="G515" s="14" t="n"/>
      <c r="Q515" s="7">
        <f>IF($E515="","",P515*Z515/100)</f>
        <v/>
      </c>
      <c r="R515" s="7" t="n"/>
      <c r="Y515" s="7" t="n"/>
      <c r="Z515" s="7" t="n"/>
      <c r="AA515" s="7" t="n"/>
      <c r="AD515">
        <f>IF($E515="","",IF($AT515=1,Settings!$C$8,IF($AS515=1,Settings!$C$6,Settings!$C$7))*100)</f>
        <v/>
      </c>
      <c r="AE515" s="7">
        <f>IF($E515="","",Z515*AD515/100)</f>
        <v/>
      </c>
      <c r="AF515" s="7">
        <f>IF($E515="","",Z515-AE515)</f>
        <v/>
      </c>
      <c r="AG515" s="7">
        <f>IF($E515="","",AF515-Q515)</f>
        <v/>
      </c>
      <c r="AK515" s="7" t="n"/>
      <c r="AN515" s="14" t="n"/>
      <c r="AQ515">
        <f>IF($E515="","",IF(COUNTIF($E$2:$E515,$E515)=1,1,0))</f>
        <v/>
      </c>
      <c r="AR515">
        <f>IF($AQ515=1,SUMPRODUCT(--($AU$2:$AU$1501&lt;$AU515))+1,"")</f>
        <v/>
      </c>
      <c r="AS515">
        <f>IF($E515="","",IF(OR($U515=TRUE(),$U515="TRUE"),1,0))</f>
        <v/>
      </c>
      <c r="AT515">
        <f>IF($E515="","",IF($AC515="Yes",1,0))</f>
        <v/>
      </c>
      <c r="AU515">
        <f>IF($AQ515=1,IFERROR(IF(VALUE($E515)&lt;100000000,VALUE($E515),1000000000),IFERROR(IF(VALUE(MID($E515,2,20))&lt;100000000,VALUE(MID($E515,2,20)),1000000000),1000000000))+ROW()/100000,"")</f>
        <v/>
      </c>
    </row>
    <row r="516">
      <c r="G516" s="14" t="n"/>
      <c r="Q516" s="7">
        <f>IF($E516="","",P516*Z516/100)</f>
        <v/>
      </c>
      <c r="R516" s="7" t="n"/>
      <c r="Y516" s="7" t="n"/>
      <c r="Z516" s="7" t="n"/>
      <c r="AA516" s="7" t="n"/>
      <c r="AD516">
        <f>IF($E516="","",IF($AT516=1,Settings!$C$8,IF($AS516=1,Settings!$C$6,Settings!$C$7))*100)</f>
        <v/>
      </c>
      <c r="AE516" s="7">
        <f>IF($E516="","",Z516*AD516/100)</f>
        <v/>
      </c>
      <c r="AF516" s="7">
        <f>IF($E516="","",Z516-AE516)</f>
        <v/>
      </c>
      <c r="AG516" s="7">
        <f>IF($E516="","",AF516-Q516)</f>
        <v/>
      </c>
      <c r="AK516" s="7" t="n"/>
      <c r="AN516" s="14" t="n"/>
      <c r="AQ516">
        <f>IF($E516="","",IF(COUNTIF($E$2:$E516,$E516)=1,1,0))</f>
        <v/>
      </c>
      <c r="AR516">
        <f>IF($AQ516=1,SUMPRODUCT(--($AU$2:$AU$1501&lt;$AU516))+1,"")</f>
        <v/>
      </c>
      <c r="AS516">
        <f>IF($E516="","",IF(OR($U516=TRUE(),$U516="TRUE"),1,0))</f>
        <v/>
      </c>
      <c r="AT516">
        <f>IF($E516="","",IF($AC516="Yes",1,0))</f>
        <v/>
      </c>
      <c r="AU516">
        <f>IF($AQ516=1,IFERROR(IF(VALUE($E516)&lt;100000000,VALUE($E516),1000000000),IFERROR(IF(VALUE(MID($E516,2,20))&lt;100000000,VALUE(MID($E516,2,20)),1000000000),1000000000))+ROW()/100000,"")</f>
        <v/>
      </c>
    </row>
    <row r="517">
      <c r="G517" s="14" t="n"/>
      <c r="Q517" s="7">
        <f>IF($E517="","",P517*Z517/100)</f>
        <v/>
      </c>
      <c r="R517" s="7" t="n"/>
      <c r="Y517" s="7" t="n"/>
      <c r="Z517" s="7" t="n"/>
      <c r="AA517" s="7" t="n"/>
      <c r="AD517">
        <f>IF($E517="","",IF($AT517=1,Settings!$C$8,IF($AS517=1,Settings!$C$6,Settings!$C$7))*100)</f>
        <v/>
      </c>
      <c r="AE517" s="7">
        <f>IF($E517="","",Z517*AD517/100)</f>
        <v/>
      </c>
      <c r="AF517" s="7">
        <f>IF($E517="","",Z517-AE517)</f>
        <v/>
      </c>
      <c r="AG517" s="7">
        <f>IF($E517="","",AF517-Q517)</f>
        <v/>
      </c>
      <c r="AK517" s="7" t="n"/>
      <c r="AN517" s="14" t="n"/>
      <c r="AQ517">
        <f>IF($E517="","",IF(COUNTIF($E$2:$E517,$E517)=1,1,0))</f>
        <v/>
      </c>
      <c r="AR517">
        <f>IF($AQ517=1,SUMPRODUCT(--($AU$2:$AU$1501&lt;$AU517))+1,"")</f>
        <v/>
      </c>
      <c r="AS517">
        <f>IF($E517="","",IF(OR($U517=TRUE(),$U517="TRUE"),1,0))</f>
        <v/>
      </c>
      <c r="AT517">
        <f>IF($E517="","",IF($AC517="Yes",1,0))</f>
        <v/>
      </c>
      <c r="AU517">
        <f>IF($AQ517=1,IFERROR(IF(VALUE($E517)&lt;100000000,VALUE($E517),1000000000),IFERROR(IF(VALUE(MID($E517,2,20))&lt;100000000,VALUE(MID($E517,2,20)),1000000000),1000000000))+ROW()/100000,"")</f>
        <v/>
      </c>
    </row>
    <row r="518">
      <c r="G518" s="14" t="n"/>
      <c r="Q518" s="7">
        <f>IF($E518="","",P518*Z518/100)</f>
        <v/>
      </c>
      <c r="R518" s="7" t="n"/>
      <c r="Y518" s="7" t="n"/>
      <c r="Z518" s="7" t="n"/>
      <c r="AA518" s="7" t="n"/>
      <c r="AD518">
        <f>IF($E518="","",IF($AT518=1,Settings!$C$8,IF($AS518=1,Settings!$C$6,Settings!$C$7))*100)</f>
        <v/>
      </c>
      <c r="AE518" s="7">
        <f>IF($E518="","",Z518*AD518/100)</f>
        <v/>
      </c>
      <c r="AF518" s="7">
        <f>IF($E518="","",Z518-AE518)</f>
        <v/>
      </c>
      <c r="AG518" s="7">
        <f>IF($E518="","",AF518-Q518)</f>
        <v/>
      </c>
      <c r="AK518" s="7" t="n"/>
      <c r="AN518" s="14" t="n"/>
      <c r="AQ518">
        <f>IF($E518="","",IF(COUNTIF($E$2:$E518,$E518)=1,1,0))</f>
        <v/>
      </c>
      <c r="AR518">
        <f>IF($AQ518=1,SUMPRODUCT(--($AU$2:$AU$1501&lt;$AU518))+1,"")</f>
        <v/>
      </c>
      <c r="AS518">
        <f>IF($E518="","",IF(OR($U518=TRUE(),$U518="TRUE"),1,0))</f>
        <v/>
      </c>
      <c r="AT518">
        <f>IF($E518="","",IF($AC518="Yes",1,0))</f>
        <v/>
      </c>
      <c r="AU518">
        <f>IF($AQ518=1,IFERROR(IF(VALUE($E518)&lt;100000000,VALUE($E518),1000000000),IFERROR(IF(VALUE(MID($E518,2,20))&lt;100000000,VALUE(MID($E518,2,20)),1000000000),1000000000))+ROW()/100000,"")</f>
        <v/>
      </c>
    </row>
    <row r="519">
      <c r="G519" s="14" t="n"/>
      <c r="Q519" s="7">
        <f>IF($E519="","",P519*Z519/100)</f>
        <v/>
      </c>
      <c r="R519" s="7" t="n"/>
      <c r="Y519" s="7" t="n"/>
      <c r="Z519" s="7" t="n"/>
      <c r="AA519" s="7" t="n"/>
      <c r="AD519">
        <f>IF($E519="","",IF($AT519=1,Settings!$C$8,IF($AS519=1,Settings!$C$6,Settings!$C$7))*100)</f>
        <v/>
      </c>
      <c r="AE519" s="7">
        <f>IF($E519="","",Z519*AD519/100)</f>
        <v/>
      </c>
      <c r="AF519" s="7">
        <f>IF($E519="","",Z519-AE519)</f>
        <v/>
      </c>
      <c r="AG519" s="7">
        <f>IF($E519="","",AF519-Q519)</f>
        <v/>
      </c>
      <c r="AK519" s="7" t="n"/>
      <c r="AN519" s="14" t="n"/>
      <c r="AQ519">
        <f>IF($E519="","",IF(COUNTIF($E$2:$E519,$E519)=1,1,0))</f>
        <v/>
      </c>
      <c r="AR519">
        <f>IF($AQ519=1,SUMPRODUCT(--($AU$2:$AU$1501&lt;$AU519))+1,"")</f>
        <v/>
      </c>
      <c r="AS519">
        <f>IF($E519="","",IF(OR($U519=TRUE(),$U519="TRUE"),1,0))</f>
        <v/>
      </c>
      <c r="AT519">
        <f>IF($E519="","",IF($AC519="Yes",1,0))</f>
        <v/>
      </c>
      <c r="AU519">
        <f>IF($AQ519=1,IFERROR(IF(VALUE($E519)&lt;100000000,VALUE($E519),1000000000),IFERROR(IF(VALUE(MID($E519,2,20))&lt;100000000,VALUE(MID($E519,2,20)),1000000000),1000000000))+ROW()/100000,"")</f>
        <v/>
      </c>
    </row>
    <row r="520">
      <c r="G520" s="14" t="n"/>
      <c r="Q520" s="7">
        <f>IF($E520="","",P520*Z520/100)</f>
        <v/>
      </c>
      <c r="R520" s="7" t="n"/>
      <c r="Y520" s="7" t="n"/>
      <c r="Z520" s="7" t="n"/>
      <c r="AA520" s="7" t="n"/>
      <c r="AD520">
        <f>IF($E520="","",IF($AT520=1,Settings!$C$8,IF($AS520=1,Settings!$C$6,Settings!$C$7))*100)</f>
        <v/>
      </c>
      <c r="AE520" s="7">
        <f>IF($E520="","",Z520*AD520/100)</f>
        <v/>
      </c>
      <c r="AF520" s="7">
        <f>IF($E520="","",Z520-AE520)</f>
        <v/>
      </c>
      <c r="AG520" s="7">
        <f>IF($E520="","",AF520-Q520)</f>
        <v/>
      </c>
      <c r="AK520" s="7" t="n"/>
      <c r="AN520" s="14" t="n"/>
      <c r="AQ520">
        <f>IF($E520="","",IF(COUNTIF($E$2:$E520,$E520)=1,1,0))</f>
        <v/>
      </c>
      <c r="AR520">
        <f>IF($AQ520=1,SUMPRODUCT(--($AU$2:$AU$1501&lt;$AU520))+1,"")</f>
        <v/>
      </c>
      <c r="AS520">
        <f>IF($E520="","",IF(OR($U520=TRUE(),$U520="TRUE"),1,0))</f>
        <v/>
      </c>
      <c r="AT520">
        <f>IF($E520="","",IF($AC520="Yes",1,0))</f>
        <v/>
      </c>
      <c r="AU520">
        <f>IF($AQ520=1,IFERROR(IF(VALUE($E520)&lt;100000000,VALUE($E520),1000000000),IFERROR(IF(VALUE(MID($E520,2,20))&lt;100000000,VALUE(MID($E520,2,20)),1000000000),1000000000))+ROW()/100000,"")</f>
        <v/>
      </c>
    </row>
    <row r="521">
      <c r="G521" s="14" t="n"/>
      <c r="Q521" s="7">
        <f>IF($E521="","",P521*Z521/100)</f>
        <v/>
      </c>
      <c r="R521" s="7" t="n"/>
      <c r="Y521" s="7" t="n"/>
      <c r="Z521" s="7" t="n"/>
      <c r="AA521" s="7" t="n"/>
      <c r="AD521">
        <f>IF($E521="","",IF($AT521=1,Settings!$C$8,IF($AS521=1,Settings!$C$6,Settings!$C$7))*100)</f>
        <v/>
      </c>
      <c r="AE521" s="7">
        <f>IF($E521="","",Z521*AD521/100)</f>
        <v/>
      </c>
      <c r="AF521" s="7">
        <f>IF($E521="","",Z521-AE521)</f>
        <v/>
      </c>
      <c r="AG521" s="7">
        <f>IF($E521="","",AF521-Q521)</f>
        <v/>
      </c>
      <c r="AK521" s="7" t="n"/>
      <c r="AN521" s="14" t="n"/>
      <c r="AQ521">
        <f>IF($E521="","",IF(COUNTIF($E$2:$E521,$E521)=1,1,0))</f>
        <v/>
      </c>
      <c r="AR521">
        <f>IF($AQ521=1,SUMPRODUCT(--($AU$2:$AU$1501&lt;$AU521))+1,"")</f>
        <v/>
      </c>
      <c r="AS521">
        <f>IF($E521="","",IF(OR($U521=TRUE(),$U521="TRUE"),1,0))</f>
        <v/>
      </c>
      <c r="AT521">
        <f>IF($E521="","",IF($AC521="Yes",1,0))</f>
        <v/>
      </c>
      <c r="AU521">
        <f>IF($AQ521=1,IFERROR(IF(VALUE($E521)&lt;100000000,VALUE($E521),1000000000),IFERROR(IF(VALUE(MID($E521,2,20))&lt;100000000,VALUE(MID($E521,2,20)),1000000000),1000000000))+ROW()/100000,"")</f>
        <v/>
      </c>
    </row>
    <row r="522">
      <c r="G522" s="14" t="n"/>
      <c r="Q522" s="7">
        <f>IF($E522="","",P522*Z522/100)</f>
        <v/>
      </c>
      <c r="R522" s="7" t="n"/>
      <c r="Y522" s="7" t="n"/>
      <c r="Z522" s="7" t="n"/>
      <c r="AA522" s="7" t="n"/>
      <c r="AD522">
        <f>IF($E522="","",IF($AT522=1,Settings!$C$8,IF($AS522=1,Settings!$C$6,Settings!$C$7))*100)</f>
        <v/>
      </c>
      <c r="AE522" s="7">
        <f>IF($E522="","",Z522*AD522/100)</f>
        <v/>
      </c>
      <c r="AF522" s="7">
        <f>IF($E522="","",Z522-AE522)</f>
        <v/>
      </c>
      <c r="AG522" s="7">
        <f>IF($E522="","",AF522-Q522)</f>
        <v/>
      </c>
      <c r="AK522" s="7" t="n"/>
      <c r="AN522" s="14" t="n"/>
      <c r="AQ522">
        <f>IF($E522="","",IF(COUNTIF($E$2:$E522,$E522)=1,1,0))</f>
        <v/>
      </c>
      <c r="AR522">
        <f>IF($AQ522=1,SUMPRODUCT(--($AU$2:$AU$1501&lt;$AU522))+1,"")</f>
        <v/>
      </c>
      <c r="AS522">
        <f>IF($E522="","",IF(OR($U522=TRUE(),$U522="TRUE"),1,0))</f>
        <v/>
      </c>
      <c r="AT522">
        <f>IF($E522="","",IF($AC522="Yes",1,0))</f>
        <v/>
      </c>
      <c r="AU522">
        <f>IF($AQ522=1,IFERROR(IF(VALUE($E522)&lt;100000000,VALUE($E522),1000000000),IFERROR(IF(VALUE(MID($E522,2,20))&lt;100000000,VALUE(MID($E522,2,20)),1000000000),1000000000))+ROW()/100000,"")</f>
        <v/>
      </c>
    </row>
    <row r="523">
      <c r="G523" s="14" t="n"/>
      <c r="Q523" s="7">
        <f>IF($E523="","",P523*Z523/100)</f>
        <v/>
      </c>
      <c r="R523" s="7" t="n"/>
      <c r="Y523" s="7" t="n"/>
      <c r="Z523" s="7" t="n"/>
      <c r="AA523" s="7" t="n"/>
      <c r="AD523">
        <f>IF($E523="","",IF($AT523=1,Settings!$C$8,IF($AS523=1,Settings!$C$6,Settings!$C$7))*100)</f>
        <v/>
      </c>
      <c r="AE523" s="7">
        <f>IF($E523="","",Z523*AD523/100)</f>
        <v/>
      </c>
      <c r="AF523" s="7">
        <f>IF($E523="","",Z523-AE523)</f>
        <v/>
      </c>
      <c r="AG523" s="7">
        <f>IF($E523="","",AF523-Q523)</f>
        <v/>
      </c>
      <c r="AK523" s="7" t="n"/>
      <c r="AN523" s="14" t="n"/>
      <c r="AQ523">
        <f>IF($E523="","",IF(COUNTIF($E$2:$E523,$E523)=1,1,0))</f>
        <v/>
      </c>
      <c r="AR523">
        <f>IF($AQ523=1,SUMPRODUCT(--($AU$2:$AU$1501&lt;$AU523))+1,"")</f>
        <v/>
      </c>
      <c r="AS523">
        <f>IF($E523="","",IF(OR($U523=TRUE(),$U523="TRUE"),1,0))</f>
        <v/>
      </c>
      <c r="AT523">
        <f>IF($E523="","",IF($AC523="Yes",1,0))</f>
        <v/>
      </c>
      <c r="AU523">
        <f>IF($AQ523=1,IFERROR(IF(VALUE($E523)&lt;100000000,VALUE($E523),1000000000),IFERROR(IF(VALUE(MID($E523,2,20))&lt;100000000,VALUE(MID($E523,2,20)),1000000000),1000000000))+ROW()/100000,"")</f>
        <v/>
      </c>
    </row>
    <row r="524">
      <c r="G524" s="14" t="n"/>
      <c r="Q524" s="7">
        <f>IF($E524="","",P524*Z524/100)</f>
        <v/>
      </c>
      <c r="R524" s="7" t="n"/>
      <c r="Y524" s="7" t="n"/>
      <c r="Z524" s="7" t="n"/>
      <c r="AA524" s="7" t="n"/>
      <c r="AD524">
        <f>IF($E524="","",IF($AT524=1,Settings!$C$8,IF($AS524=1,Settings!$C$6,Settings!$C$7))*100)</f>
        <v/>
      </c>
      <c r="AE524" s="7">
        <f>IF($E524="","",Z524*AD524/100)</f>
        <v/>
      </c>
      <c r="AF524" s="7">
        <f>IF($E524="","",Z524-AE524)</f>
        <v/>
      </c>
      <c r="AG524" s="7">
        <f>IF($E524="","",AF524-Q524)</f>
        <v/>
      </c>
      <c r="AK524" s="7" t="n"/>
      <c r="AN524" s="14" t="n"/>
      <c r="AQ524">
        <f>IF($E524="","",IF(COUNTIF($E$2:$E524,$E524)=1,1,0))</f>
        <v/>
      </c>
      <c r="AR524">
        <f>IF($AQ524=1,SUMPRODUCT(--($AU$2:$AU$1501&lt;$AU524))+1,"")</f>
        <v/>
      </c>
      <c r="AS524">
        <f>IF($E524="","",IF(OR($U524=TRUE(),$U524="TRUE"),1,0))</f>
        <v/>
      </c>
      <c r="AT524">
        <f>IF($E524="","",IF($AC524="Yes",1,0))</f>
        <v/>
      </c>
      <c r="AU524">
        <f>IF($AQ524=1,IFERROR(IF(VALUE($E524)&lt;100000000,VALUE($E524),1000000000),IFERROR(IF(VALUE(MID($E524,2,20))&lt;100000000,VALUE(MID($E524,2,20)),1000000000),1000000000))+ROW()/100000,"")</f>
        <v/>
      </c>
    </row>
    <row r="525">
      <c r="G525" s="14" t="n"/>
      <c r="Q525" s="7">
        <f>IF($E525="","",P525*Z525/100)</f>
        <v/>
      </c>
      <c r="R525" s="7" t="n"/>
      <c r="Y525" s="7" t="n"/>
      <c r="Z525" s="7" t="n"/>
      <c r="AA525" s="7" t="n"/>
      <c r="AD525">
        <f>IF($E525="","",IF($AT525=1,Settings!$C$8,IF($AS525=1,Settings!$C$6,Settings!$C$7))*100)</f>
        <v/>
      </c>
      <c r="AE525" s="7">
        <f>IF($E525="","",Z525*AD525/100)</f>
        <v/>
      </c>
      <c r="AF525" s="7">
        <f>IF($E525="","",Z525-AE525)</f>
        <v/>
      </c>
      <c r="AG525" s="7">
        <f>IF($E525="","",AF525-Q525)</f>
        <v/>
      </c>
      <c r="AK525" s="7" t="n"/>
      <c r="AN525" s="14" t="n"/>
      <c r="AQ525">
        <f>IF($E525="","",IF(COUNTIF($E$2:$E525,$E525)=1,1,0))</f>
        <v/>
      </c>
      <c r="AR525">
        <f>IF($AQ525=1,SUMPRODUCT(--($AU$2:$AU$1501&lt;$AU525))+1,"")</f>
        <v/>
      </c>
      <c r="AS525">
        <f>IF($E525="","",IF(OR($U525=TRUE(),$U525="TRUE"),1,0))</f>
        <v/>
      </c>
      <c r="AT525">
        <f>IF($E525="","",IF($AC525="Yes",1,0))</f>
        <v/>
      </c>
      <c r="AU525">
        <f>IF($AQ525=1,IFERROR(IF(VALUE($E525)&lt;100000000,VALUE($E525),1000000000),IFERROR(IF(VALUE(MID($E525,2,20))&lt;100000000,VALUE(MID($E525,2,20)),1000000000),1000000000))+ROW()/100000,"")</f>
        <v/>
      </c>
    </row>
    <row r="526">
      <c r="G526" s="14" t="n"/>
      <c r="Q526" s="7">
        <f>IF($E526="","",P526*Z526/100)</f>
        <v/>
      </c>
      <c r="R526" s="7" t="n"/>
      <c r="Y526" s="7" t="n"/>
      <c r="Z526" s="7" t="n"/>
      <c r="AA526" s="7" t="n"/>
      <c r="AD526">
        <f>IF($E526="","",IF($AT526=1,Settings!$C$8,IF($AS526=1,Settings!$C$6,Settings!$C$7))*100)</f>
        <v/>
      </c>
      <c r="AE526" s="7">
        <f>IF($E526="","",Z526*AD526/100)</f>
        <v/>
      </c>
      <c r="AF526" s="7">
        <f>IF($E526="","",Z526-AE526)</f>
        <v/>
      </c>
      <c r="AG526" s="7">
        <f>IF($E526="","",AF526-Q526)</f>
        <v/>
      </c>
      <c r="AK526" s="7" t="n"/>
      <c r="AN526" s="14" t="n"/>
      <c r="AQ526">
        <f>IF($E526="","",IF(COUNTIF($E$2:$E526,$E526)=1,1,0))</f>
        <v/>
      </c>
      <c r="AR526">
        <f>IF($AQ526=1,SUMPRODUCT(--($AU$2:$AU$1501&lt;$AU526))+1,"")</f>
        <v/>
      </c>
      <c r="AS526">
        <f>IF($E526="","",IF(OR($U526=TRUE(),$U526="TRUE"),1,0))</f>
        <v/>
      </c>
      <c r="AT526">
        <f>IF($E526="","",IF($AC526="Yes",1,0))</f>
        <v/>
      </c>
      <c r="AU526">
        <f>IF($AQ526=1,IFERROR(IF(VALUE($E526)&lt;100000000,VALUE($E526),1000000000),IFERROR(IF(VALUE(MID($E526,2,20))&lt;100000000,VALUE(MID($E526,2,20)),1000000000),1000000000))+ROW()/100000,"")</f>
        <v/>
      </c>
    </row>
    <row r="527">
      <c r="G527" s="14" t="n"/>
      <c r="Q527" s="7">
        <f>IF($E527="","",P527*Z527/100)</f>
        <v/>
      </c>
      <c r="R527" s="7" t="n"/>
      <c r="Y527" s="7" t="n"/>
      <c r="Z527" s="7" t="n"/>
      <c r="AA527" s="7" t="n"/>
      <c r="AD527">
        <f>IF($E527="","",IF($AT527=1,Settings!$C$8,IF($AS527=1,Settings!$C$6,Settings!$C$7))*100)</f>
        <v/>
      </c>
      <c r="AE527" s="7">
        <f>IF($E527="","",Z527*AD527/100)</f>
        <v/>
      </c>
      <c r="AF527" s="7">
        <f>IF($E527="","",Z527-AE527)</f>
        <v/>
      </c>
      <c r="AG527" s="7">
        <f>IF($E527="","",AF527-Q527)</f>
        <v/>
      </c>
      <c r="AK527" s="7" t="n"/>
      <c r="AN527" s="14" t="n"/>
      <c r="AQ527">
        <f>IF($E527="","",IF(COUNTIF($E$2:$E527,$E527)=1,1,0))</f>
        <v/>
      </c>
      <c r="AR527">
        <f>IF($AQ527=1,SUMPRODUCT(--($AU$2:$AU$1501&lt;$AU527))+1,"")</f>
        <v/>
      </c>
      <c r="AS527">
        <f>IF($E527="","",IF(OR($U527=TRUE(),$U527="TRUE"),1,0))</f>
        <v/>
      </c>
      <c r="AT527">
        <f>IF($E527="","",IF($AC527="Yes",1,0))</f>
        <v/>
      </c>
      <c r="AU527">
        <f>IF($AQ527=1,IFERROR(IF(VALUE($E527)&lt;100000000,VALUE($E527),1000000000),IFERROR(IF(VALUE(MID($E527,2,20))&lt;100000000,VALUE(MID($E527,2,20)),1000000000),1000000000))+ROW()/100000,"")</f>
        <v/>
      </c>
    </row>
    <row r="528">
      <c r="G528" s="14" t="n"/>
      <c r="Q528" s="7">
        <f>IF($E528="","",P528*Z528/100)</f>
        <v/>
      </c>
      <c r="R528" s="7" t="n"/>
      <c r="Y528" s="7" t="n"/>
      <c r="Z528" s="7" t="n"/>
      <c r="AA528" s="7" t="n"/>
      <c r="AD528">
        <f>IF($E528="","",IF($AT528=1,Settings!$C$8,IF($AS528=1,Settings!$C$6,Settings!$C$7))*100)</f>
        <v/>
      </c>
      <c r="AE528" s="7">
        <f>IF($E528="","",Z528*AD528/100)</f>
        <v/>
      </c>
      <c r="AF528" s="7">
        <f>IF($E528="","",Z528-AE528)</f>
        <v/>
      </c>
      <c r="AG528" s="7">
        <f>IF($E528="","",AF528-Q528)</f>
        <v/>
      </c>
      <c r="AK528" s="7" t="n"/>
      <c r="AN528" s="14" t="n"/>
      <c r="AQ528">
        <f>IF($E528="","",IF(COUNTIF($E$2:$E528,$E528)=1,1,0))</f>
        <v/>
      </c>
      <c r="AR528">
        <f>IF($AQ528=1,SUMPRODUCT(--($AU$2:$AU$1501&lt;$AU528))+1,"")</f>
        <v/>
      </c>
      <c r="AS528">
        <f>IF($E528="","",IF(OR($U528=TRUE(),$U528="TRUE"),1,0))</f>
        <v/>
      </c>
      <c r="AT528">
        <f>IF($E528="","",IF($AC528="Yes",1,0))</f>
        <v/>
      </c>
      <c r="AU528">
        <f>IF($AQ528=1,IFERROR(IF(VALUE($E528)&lt;100000000,VALUE($E528),1000000000),IFERROR(IF(VALUE(MID($E528,2,20))&lt;100000000,VALUE(MID($E528,2,20)),1000000000),1000000000))+ROW()/100000,"")</f>
        <v/>
      </c>
    </row>
    <row r="529">
      <c r="G529" s="14" t="n"/>
      <c r="Q529" s="7">
        <f>IF($E529="","",P529*Z529/100)</f>
        <v/>
      </c>
      <c r="R529" s="7" t="n"/>
      <c r="Y529" s="7" t="n"/>
      <c r="Z529" s="7" t="n"/>
      <c r="AA529" s="7" t="n"/>
      <c r="AD529">
        <f>IF($E529="","",IF($AT529=1,Settings!$C$8,IF($AS529=1,Settings!$C$6,Settings!$C$7))*100)</f>
        <v/>
      </c>
      <c r="AE529" s="7">
        <f>IF($E529="","",Z529*AD529/100)</f>
        <v/>
      </c>
      <c r="AF529" s="7">
        <f>IF($E529="","",Z529-AE529)</f>
        <v/>
      </c>
      <c r="AG529" s="7">
        <f>IF($E529="","",AF529-Q529)</f>
        <v/>
      </c>
      <c r="AK529" s="7" t="n"/>
      <c r="AN529" s="14" t="n"/>
      <c r="AQ529">
        <f>IF($E529="","",IF(COUNTIF($E$2:$E529,$E529)=1,1,0))</f>
        <v/>
      </c>
      <c r="AR529">
        <f>IF($AQ529=1,SUMPRODUCT(--($AU$2:$AU$1501&lt;$AU529))+1,"")</f>
        <v/>
      </c>
      <c r="AS529">
        <f>IF($E529="","",IF(OR($U529=TRUE(),$U529="TRUE"),1,0))</f>
        <v/>
      </c>
      <c r="AT529">
        <f>IF($E529="","",IF($AC529="Yes",1,0))</f>
        <v/>
      </c>
      <c r="AU529">
        <f>IF($AQ529=1,IFERROR(IF(VALUE($E529)&lt;100000000,VALUE($E529),1000000000),IFERROR(IF(VALUE(MID($E529,2,20))&lt;100000000,VALUE(MID($E529,2,20)),1000000000),1000000000))+ROW()/100000,"")</f>
        <v/>
      </c>
    </row>
    <row r="530">
      <c r="G530" s="14" t="n"/>
      <c r="Q530" s="7">
        <f>IF($E530="","",P530*Z530/100)</f>
        <v/>
      </c>
      <c r="R530" s="7" t="n"/>
      <c r="Y530" s="7" t="n"/>
      <c r="Z530" s="7" t="n"/>
      <c r="AA530" s="7" t="n"/>
      <c r="AD530">
        <f>IF($E530="","",IF($AT530=1,Settings!$C$8,IF($AS530=1,Settings!$C$6,Settings!$C$7))*100)</f>
        <v/>
      </c>
      <c r="AE530" s="7">
        <f>IF($E530="","",Z530*AD530/100)</f>
        <v/>
      </c>
      <c r="AF530" s="7">
        <f>IF($E530="","",Z530-AE530)</f>
        <v/>
      </c>
      <c r="AG530" s="7">
        <f>IF($E530="","",AF530-Q530)</f>
        <v/>
      </c>
      <c r="AK530" s="7" t="n"/>
      <c r="AN530" s="14" t="n"/>
      <c r="AQ530">
        <f>IF($E530="","",IF(COUNTIF($E$2:$E530,$E530)=1,1,0))</f>
        <v/>
      </c>
      <c r="AR530">
        <f>IF($AQ530=1,SUMPRODUCT(--($AU$2:$AU$1501&lt;$AU530))+1,"")</f>
        <v/>
      </c>
      <c r="AS530">
        <f>IF($E530="","",IF(OR($U530=TRUE(),$U530="TRUE"),1,0))</f>
        <v/>
      </c>
      <c r="AT530">
        <f>IF($E530="","",IF($AC530="Yes",1,0))</f>
        <v/>
      </c>
      <c r="AU530">
        <f>IF($AQ530=1,IFERROR(IF(VALUE($E530)&lt;100000000,VALUE($E530),1000000000),IFERROR(IF(VALUE(MID($E530,2,20))&lt;100000000,VALUE(MID($E530,2,20)),1000000000),1000000000))+ROW()/100000,"")</f>
        <v/>
      </c>
    </row>
    <row r="531">
      <c r="G531" s="14" t="n"/>
      <c r="Q531" s="7">
        <f>IF($E531="","",P531*Z531/100)</f>
        <v/>
      </c>
      <c r="R531" s="7" t="n"/>
      <c r="Y531" s="7" t="n"/>
      <c r="Z531" s="7" t="n"/>
      <c r="AA531" s="7" t="n"/>
      <c r="AD531">
        <f>IF($E531="","",IF($AT531=1,Settings!$C$8,IF($AS531=1,Settings!$C$6,Settings!$C$7))*100)</f>
        <v/>
      </c>
      <c r="AE531" s="7">
        <f>IF($E531="","",Z531*AD531/100)</f>
        <v/>
      </c>
      <c r="AF531" s="7">
        <f>IF($E531="","",Z531-AE531)</f>
        <v/>
      </c>
      <c r="AG531" s="7">
        <f>IF($E531="","",AF531-Q531)</f>
        <v/>
      </c>
      <c r="AK531" s="7" t="n"/>
      <c r="AN531" s="14" t="n"/>
      <c r="AQ531">
        <f>IF($E531="","",IF(COUNTIF($E$2:$E531,$E531)=1,1,0))</f>
        <v/>
      </c>
      <c r="AR531">
        <f>IF($AQ531=1,SUMPRODUCT(--($AU$2:$AU$1501&lt;$AU531))+1,"")</f>
        <v/>
      </c>
      <c r="AS531">
        <f>IF($E531="","",IF(OR($U531=TRUE(),$U531="TRUE"),1,0))</f>
        <v/>
      </c>
      <c r="AT531">
        <f>IF($E531="","",IF($AC531="Yes",1,0))</f>
        <v/>
      </c>
      <c r="AU531">
        <f>IF($AQ531=1,IFERROR(IF(VALUE($E531)&lt;100000000,VALUE($E531),1000000000),IFERROR(IF(VALUE(MID($E531,2,20))&lt;100000000,VALUE(MID($E531,2,20)),1000000000),1000000000))+ROW()/100000,"")</f>
        <v/>
      </c>
    </row>
    <row r="532">
      <c r="G532" s="14" t="n"/>
      <c r="Q532" s="7">
        <f>IF($E532="","",P532*Z532/100)</f>
        <v/>
      </c>
      <c r="R532" s="7" t="n"/>
      <c r="Y532" s="7" t="n"/>
      <c r="Z532" s="7" t="n"/>
      <c r="AA532" s="7" t="n"/>
      <c r="AD532">
        <f>IF($E532="","",IF($AT532=1,Settings!$C$8,IF($AS532=1,Settings!$C$6,Settings!$C$7))*100)</f>
        <v/>
      </c>
      <c r="AE532" s="7">
        <f>IF($E532="","",Z532*AD532/100)</f>
        <v/>
      </c>
      <c r="AF532" s="7">
        <f>IF($E532="","",Z532-AE532)</f>
        <v/>
      </c>
      <c r="AG532" s="7">
        <f>IF($E532="","",AF532-Q532)</f>
        <v/>
      </c>
      <c r="AK532" s="7" t="n"/>
      <c r="AN532" s="14" t="n"/>
      <c r="AQ532">
        <f>IF($E532="","",IF(COUNTIF($E$2:$E532,$E532)=1,1,0))</f>
        <v/>
      </c>
      <c r="AR532">
        <f>IF($AQ532=1,SUMPRODUCT(--($AU$2:$AU$1501&lt;$AU532))+1,"")</f>
        <v/>
      </c>
      <c r="AS532">
        <f>IF($E532="","",IF(OR($U532=TRUE(),$U532="TRUE"),1,0))</f>
        <v/>
      </c>
      <c r="AT532">
        <f>IF($E532="","",IF($AC532="Yes",1,0))</f>
        <v/>
      </c>
      <c r="AU532">
        <f>IF($AQ532=1,IFERROR(IF(VALUE($E532)&lt;100000000,VALUE($E532),1000000000),IFERROR(IF(VALUE(MID($E532,2,20))&lt;100000000,VALUE(MID($E532,2,20)),1000000000),1000000000))+ROW()/100000,"")</f>
        <v/>
      </c>
    </row>
    <row r="533">
      <c r="G533" s="14" t="n"/>
      <c r="Q533" s="7">
        <f>IF($E533="","",P533*Z533/100)</f>
        <v/>
      </c>
      <c r="R533" s="7" t="n"/>
      <c r="Y533" s="7" t="n"/>
      <c r="Z533" s="7" t="n"/>
      <c r="AA533" s="7" t="n"/>
      <c r="AD533">
        <f>IF($E533="","",IF($AT533=1,Settings!$C$8,IF($AS533=1,Settings!$C$6,Settings!$C$7))*100)</f>
        <v/>
      </c>
      <c r="AE533" s="7">
        <f>IF($E533="","",Z533*AD533/100)</f>
        <v/>
      </c>
      <c r="AF533" s="7">
        <f>IF($E533="","",Z533-AE533)</f>
        <v/>
      </c>
      <c r="AG533" s="7">
        <f>IF($E533="","",AF533-Q533)</f>
        <v/>
      </c>
      <c r="AK533" s="7" t="n"/>
      <c r="AN533" s="14" t="n"/>
      <c r="AQ533">
        <f>IF($E533="","",IF(COUNTIF($E$2:$E533,$E533)=1,1,0))</f>
        <v/>
      </c>
      <c r="AR533">
        <f>IF($AQ533=1,SUMPRODUCT(--($AU$2:$AU$1501&lt;$AU533))+1,"")</f>
        <v/>
      </c>
      <c r="AS533">
        <f>IF($E533="","",IF(OR($U533=TRUE(),$U533="TRUE"),1,0))</f>
        <v/>
      </c>
      <c r="AT533">
        <f>IF($E533="","",IF($AC533="Yes",1,0))</f>
        <v/>
      </c>
      <c r="AU533">
        <f>IF($AQ533=1,IFERROR(IF(VALUE($E533)&lt;100000000,VALUE($E533),1000000000),IFERROR(IF(VALUE(MID($E533,2,20))&lt;100000000,VALUE(MID($E533,2,20)),1000000000),1000000000))+ROW()/100000,"")</f>
        <v/>
      </c>
    </row>
    <row r="534">
      <c r="G534" s="14" t="n"/>
      <c r="Q534" s="7">
        <f>IF($E534="","",P534*Z534/100)</f>
        <v/>
      </c>
      <c r="R534" s="7" t="n"/>
      <c r="Y534" s="7" t="n"/>
      <c r="Z534" s="7" t="n"/>
      <c r="AA534" s="7" t="n"/>
      <c r="AD534">
        <f>IF($E534="","",IF($AT534=1,Settings!$C$8,IF($AS534=1,Settings!$C$6,Settings!$C$7))*100)</f>
        <v/>
      </c>
      <c r="AE534" s="7">
        <f>IF($E534="","",Z534*AD534/100)</f>
        <v/>
      </c>
      <c r="AF534" s="7">
        <f>IF($E534="","",Z534-AE534)</f>
        <v/>
      </c>
      <c r="AG534" s="7">
        <f>IF($E534="","",AF534-Q534)</f>
        <v/>
      </c>
      <c r="AK534" s="7" t="n"/>
      <c r="AN534" s="14" t="n"/>
      <c r="AQ534">
        <f>IF($E534="","",IF(COUNTIF($E$2:$E534,$E534)=1,1,0))</f>
        <v/>
      </c>
      <c r="AR534">
        <f>IF($AQ534=1,SUMPRODUCT(--($AU$2:$AU$1501&lt;$AU534))+1,"")</f>
        <v/>
      </c>
      <c r="AS534">
        <f>IF($E534="","",IF(OR($U534=TRUE(),$U534="TRUE"),1,0))</f>
        <v/>
      </c>
      <c r="AT534">
        <f>IF($E534="","",IF($AC534="Yes",1,0))</f>
        <v/>
      </c>
      <c r="AU534">
        <f>IF($AQ534=1,IFERROR(IF(VALUE($E534)&lt;100000000,VALUE($E534),1000000000),IFERROR(IF(VALUE(MID($E534,2,20))&lt;100000000,VALUE(MID($E534,2,20)),1000000000),1000000000))+ROW()/100000,"")</f>
        <v/>
      </c>
    </row>
    <row r="535">
      <c r="G535" s="14" t="n"/>
      <c r="Q535" s="7">
        <f>IF($E535="","",P535*Z535/100)</f>
        <v/>
      </c>
      <c r="R535" s="7" t="n"/>
      <c r="Y535" s="7" t="n"/>
      <c r="Z535" s="7" t="n"/>
      <c r="AA535" s="7" t="n"/>
      <c r="AD535">
        <f>IF($E535="","",IF($AT535=1,Settings!$C$8,IF($AS535=1,Settings!$C$6,Settings!$C$7))*100)</f>
        <v/>
      </c>
      <c r="AE535" s="7">
        <f>IF($E535="","",Z535*AD535/100)</f>
        <v/>
      </c>
      <c r="AF535" s="7">
        <f>IF($E535="","",Z535-AE535)</f>
        <v/>
      </c>
      <c r="AG535" s="7">
        <f>IF($E535="","",AF535-Q535)</f>
        <v/>
      </c>
      <c r="AK535" s="7" t="n"/>
      <c r="AN535" s="14" t="n"/>
      <c r="AQ535">
        <f>IF($E535="","",IF(COUNTIF($E$2:$E535,$E535)=1,1,0))</f>
        <v/>
      </c>
      <c r="AR535">
        <f>IF($AQ535=1,SUMPRODUCT(--($AU$2:$AU$1501&lt;$AU535))+1,"")</f>
        <v/>
      </c>
      <c r="AS535">
        <f>IF($E535="","",IF(OR($U535=TRUE(),$U535="TRUE"),1,0))</f>
        <v/>
      </c>
      <c r="AT535">
        <f>IF($E535="","",IF($AC535="Yes",1,0))</f>
        <v/>
      </c>
      <c r="AU535">
        <f>IF($AQ535=1,IFERROR(IF(VALUE($E535)&lt;100000000,VALUE($E535),1000000000),IFERROR(IF(VALUE(MID($E535,2,20))&lt;100000000,VALUE(MID($E535,2,20)),1000000000),1000000000))+ROW()/100000,"")</f>
        <v/>
      </c>
    </row>
    <row r="536">
      <c r="G536" s="14" t="n"/>
      <c r="Q536" s="7">
        <f>IF($E536="","",P536*Z536/100)</f>
        <v/>
      </c>
      <c r="R536" s="7" t="n"/>
      <c r="Y536" s="7" t="n"/>
      <c r="Z536" s="7" t="n"/>
      <c r="AA536" s="7" t="n"/>
      <c r="AD536">
        <f>IF($E536="","",IF($AT536=1,Settings!$C$8,IF($AS536=1,Settings!$C$6,Settings!$C$7))*100)</f>
        <v/>
      </c>
      <c r="AE536" s="7">
        <f>IF($E536="","",Z536*AD536/100)</f>
        <v/>
      </c>
      <c r="AF536" s="7">
        <f>IF($E536="","",Z536-AE536)</f>
        <v/>
      </c>
      <c r="AG536" s="7">
        <f>IF($E536="","",AF536-Q536)</f>
        <v/>
      </c>
      <c r="AK536" s="7" t="n"/>
      <c r="AN536" s="14" t="n"/>
      <c r="AQ536">
        <f>IF($E536="","",IF(COUNTIF($E$2:$E536,$E536)=1,1,0))</f>
        <v/>
      </c>
      <c r="AR536">
        <f>IF($AQ536=1,SUMPRODUCT(--($AU$2:$AU$1501&lt;$AU536))+1,"")</f>
        <v/>
      </c>
      <c r="AS536">
        <f>IF($E536="","",IF(OR($U536=TRUE(),$U536="TRUE"),1,0))</f>
        <v/>
      </c>
      <c r="AT536">
        <f>IF($E536="","",IF($AC536="Yes",1,0))</f>
        <v/>
      </c>
      <c r="AU536">
        <f>IF($AQ536=1,IFERROR(IF(VALUE($E536)&lt;100000000,VALUE($E536),1000000000),IFERROR(IF(VALUE(MID($E536,2,20))&lt;100000000,VALUE(MID($E536,2,20)),1000000000),1000000000))+ROW()/100000,"")</f>
        <v/>
      </c>
    </row>
    <row r="537">
      <c r="G537" s="14" t="n"/>
      <c r="Q537" s="7">
        <f>IF($E537="","",P537*Z537/100)</f>
        <v/>
      </c>
      <c r="R537" s="7" t="n"/>
      <c r="Y537" s="7" t="n"/>
      <c r="Z537" s="7" t="n"/>
      <c r="AA537" s="7" t="n"/>
      <c r="AD537">
        <f>IF($E537="","",IF($AT537=1,Settings!$C$8,IF($AS537=1,Settings!$C$6,Settings!$C$7))*100)</f>
        <v/>
      </c>
      <c r="AE537" s="7">
        <f>IF($E537="","",Z537*AD537/100)</f>
        <v/>
      </c>
      <c r="AF537" s="7">
        <f>IF($E537="","",Z537-AE537)</f>
        <v/>
      </c>
      <c r="AG537" s="7">
        <f>IF($E537="","",AF537-Q537)</f>
        <v/>
      </c>
      <c r="AK537" s="7" t="n"/>
      <c r="AN537" s="14" t="n"/>
      <c r="AQ537">
        <f>IF($E537="","",IF(COUNTIF($E$2:$E537,$E537)=1,1,0))</f>
        <v/>
      </c>
      <c r="AR537">
        <f>IF($AQ537=1,SUMPRODUCT(--($AU$2:$AU$1501&lt;$AU537))+1,"")</f>
        <v/>
      </c>
      <c r="AS537">
        <f>IF($E537="","",IF(OR($U537=TRUE(),$U537="TRUE"),1,0))</f>
        <v/>
      </c>
      <c r="AT537">
        <f>IF($E537="","",IF($AC537="Yes",1,0))</f>
        <v/>
      </c>
      <c r="AU537">
        <f>IF($AQ537=1,IFERROR(IF(VALUE($E537)&lt;100000000,VALUE($E537),1000000000),IFERROR(IF(VALUE(MID($E537,2,20))&lt;100000000,VALUE(MID($E537,2,20)),1000000000),1000000000))+ROW()/100000,"")</f>
        <v/>
      </c>
    </row>
    <row r="538">
      <c r="G538" s="14" t="n"/>
      <c r="Q538" s="7">
        <f>IF($E538="","",P538*Z538/100)</f>
        <v/>
      </c>
      <c r="R538" s="7" t="n"/>
      <c r="Y538" s="7" t="n"/>
      <c r="Z538" s="7" t="n"/>
      <c r="AA538" s="7" t="n"/>
      <c r="AD538">
        <f>IF($E538="","",IF($AT538=1,Settings!$C$8,IF($AS538=1,Settings!$C$6,Settings!$C$7))*100)</f>
        <v/>
      </c>
      <c r="AE538" s="7">
        <f>IF($E538="","",Z538*AD538/100)</f>
        <v/>
      </c>
      <c r="AF538" s="7">
        <f>IF($E538="","",Z538-AE538)</f>
        <v/>
      </c>
      <c r="AG538" s="7">
        <f>IF($E538="","",AF538-Q538)</f>
        <v/>
      </c>
      <c r="AK538" s="7" t="n"/>
      <c r="AN538" s="14" t="n"/>
      <c r="AQ538">
        <f>IF($E538="","",IF(COUNTIF($E$2:$E538,$E538)=1,1,0))</f>
        <v/>
      </c>
      <c r="AR538">
        <f>IF($AQ538=1,SUMPRODUCT(--($AU$2:$AU$1501&lt;$AU538))+1,"")</f>
        <v/>
      </c>
      <c r="AS538">
        <f>IF($E538="","",IF(OR($U538=TRUE(),$U538="TRUE"),1,0))</f>
        <v/>
      </c>
      <c r="AT538">
        <f>IF($E538="","",IF($AC538="Yes",1,0))</f>
        <v/>
      </c>
      <c r="AU538">
        <f>IF($AQ538=1,IFERROR(IF(VALUE($E538)&lt;100000000,VALUE($E538),1000000000),IFERROR(IF(VALUE(MID($E538,2,20))&lt;100000000,VALUE(MID($E538,2,20)),1000000000),1000000000))+ROW()/100000,"")</f>
        <v/>
      </c>
    </row>
    <row r="539">
      <c r="G539" s="14" t="n"/>
      <c r="Q539" s="7">
        <f>IF($E539="","",P539*Z539/100)</f>
        <v/>
      </c>
      <c r="R539" s="7" t="n"/>
      <c r="Y539" s="7" t="n"/>
      <c r="Z539" s="7" t="n"/>
      <c r="AA539" s="7" t="n"/>
      <c r="AD539">
        <f>IF($E539="","",IF($AT539=1,Settings!$C$8,IF($AS539=1,Settings!$C$6,Settings!$C$7))*100)</f>
        <v/>
      </c>
      <c r="AE539" s="7">
        <f>IF($E539="","",Z539*AD539/100)</f>
        <v/>
      </c>
      <c r="AF539" s="7">
        <f>IF($E539="","",Z539-AE539)</f>
        <v/>
      </c>
      <c r="AG539" s="7">
        <f>IF($E539="","",AF539-Q539)</f>
        <v/>
      </c>
      <c r="AK539" s="7" t="n"/>
      <c r="AN539" s="14" t="n"/>
      <c r="AQ539">
        <f>IF($E539="","",IF(COUNTIF($E$2:$E539,$E539)=1,1,0))</f>
        <v/>
      </c>
      <c r="AR539">
        <f>IF($AQ539=1,SUMPRODUCT(--($AU$2:$AU$1501&lt;$AU539))+1,"")</f>
        <v/>
      </c>
      <c r="AS539">
        <f>IF($E539="","",IF(OR($U539=TRUE(),$U539="TRUE"),1,0))</f>
        <v/>
      </c>
      <c r="AT539">
        <f>IF($E539="","",IF($AC539="Yes",1,0))</f>
        <v/>
      </c>
      <c r="AU539">
        <f>IF($AQ539=1,IFERROR(IF(VALUE($E539)&lt;100000000,VALUE($E539),1000000000),IFERROR(IF(VALUE(MID($E539,2,20))&lt;100000000,VALUE(MID($E539,2,20)),1000000000),1000000000))+ROW()/100000,"")</f>
        <v/>
      </c>
    </row>
    <row r="540">
      <c r="G540" s="14" t="n"/>
      <c r="Q540" s="7">
        <f>IF($E540="","",P540*Z540/100)</f>
        <v/>
      </c>
      <c r="R540" s="7" t="n"/>
      <c r="Y540" s="7" t="n"/>
      <c r="Z540" s="7" t="n"/>
      <c r="AA540" s="7" t="n"/>
      <c r="AD540">
        <f>IF($E540="","",IF($AT540=1,Settings!$C$8,IF($AS540=1,Settings!$C$6,Settings!$C$7))*100)</f>
        <v/>
      </c>
      <c r="AE540" s="7">
        <f>IF($E540="","",Z540*AD540/100)</f>
        <v/>
      </c>
      <c r="AF540" s="7">
        <f>IF($E540="","",Z540-AE540)</f>
        <v/>
      </c>
      <c r="AG540" s="7">
        <f>IF($E540="","",AF540-Q540)</f>
        <v/>
      </c>
      <c r="AK540" s="7" t="n"/>
      <c r="AN540" s="14" t="n"/>
      <c r="AQ540">
        <f>IF($E540="","",IF(COUNTIF($E$2:$E540,$E540)=1,1,0))</f>
        <v/>
      </c>
      <c r="AR540">
        <f>IF($AQ540=1,SUMPRODUCT(--($AU$2:$AU$1501&lt;$AU540))+1,"")</f>
        <v/>
      </c>
      <c r="AS540">
        <f>IF($E540="","",IF(OR($U540=TRUE(),$U540="TRUE"),1,0))</f>
        <v/>
      </c>
      <c r="AT540">
        <f>IF($E540="","",IF($AC540="Yes",1,0))</f>
        <v/>
      </c>
      <c r="AU540">
        <f>IF($AQ540=1,IFERROR(IF(VALUE($E540)&lt;100000000,VALUE($E540),1000000000),IFERROR(IF(VALUE(MID($E540,2,20))&lt;100000000,VALUE(MID($E540,2,20)),1000000000),1000000000))+ROW()/100000,"")</f>
        <v/>
      </c>
    </row>
    <row r="541">
      <c r="G541" s="14" t="n"/>
      <c r="Q541" s="7">
        <f>IF($E541="","",P541*Z541/100)</f>
        <v/>
      </c>
      <c r="R541" s="7" t="n"/>
      <c r="Y541" s="7" t="n"/>
      <c r="Z541" s="7" t="n"/>
      <c r="AA541" s="7" t="n"/>
      <c r="AD541">
        <f>IF($E541="","",IF($AT541=1,Settings!$C$8,IF($AS541=1,Settings!$C$6,Settings!$C$7))*100)</f>
        <v/>
      </c>
      <c r="AE541" s="7">
        <f>IF($E541="","",Z541*AD541/100)</f>
        <v/>
      </c>
      <c r="AF541" s="7">
        <f>IF($E541="","",Z541-AE541)</f>
        <v/>
      </c>
      <c r="AG541" s="7">
        <f>IF($E541="","",AF541-Q541)</f>
        <v/>
      </c>
      <c r="AK541" s="7" t="n"/>
      <c r="AN541" s="14" t="n"/>
      <c r="AQ541">
        <f>IF($E541="","",IF(COUNTIF($E$2:$E541,$E541)=1,1,0))</f>
        <v/>
      </c>
      <c r="AR541">
        <f>IF($AQ541=1,SUMPRODUCT(--($AU$2:$AU$1501&lt;$AU541))+1,"")</f>
        <v/>
      </c>
      <c r="AS541">
        <f>IF($E541="","",IF(OR($U541=TRUE(),$U541="TRUE"),1,0))</f>
        <v/>
      </c>
      <c r="AT541">
        <f>IF($E541="","",IF($AC541="Yes",1,0))</f>
        <v/>
      </c>
      <c r="AU541">
        <f>IF($AQ541=1,IFERROR(IF(VALUE($E541)&lt;100000000,VALUE($E541),1000000000),IFERROR(IF(VALUE(MID($E541,2,20))&lt;100000000,VALUE(MID($E541,2,20)),1000000000),1000000000))+ROW()/100000,"")</f>
        <v/>
      </c>
    </row>
    <row r="542">
      <c r="G542" s="14" t="n"/>
      <c r="Q542" s="7">
        <f>IF($E542="","",P542*Z542/100)</f>
        <v/>
      </c>
      <c r="R542" s="7" t="n"/>
      <c r="Y542" s="7" t="n"/>
      <c r="Z542" s="7" t="n"/>
      <c r="AA542" s="7" t="n"/>
      <c r="AD542">
        <f>IF($E542="","",IF($AT542=1,Settings!$C$8,IF($AS542=1,Settings!$C$6,Settings!$C$7))*100)</f>
        <v/>
      </c>
      <c r="AE542" s="7">
        <f>IF($E542="","",Z542*AD542/100)</f>
        <v/>
      </c>
      <c r="AF542" s="7">
        <f>IF($E542="","",Z542-AE542)</f>
        <v/>
      </c>
      <c r="AG542" s="7">
        <f>IF($E542="","",AF542-Q542)</f>
        <v/>
      </c>
      <c r="AK542" s="7" t="n"/>
      <c r="AN542" s="14" t="n"/>
      <c r="AQ542">
        <f>IF($E542="","",IF(COUNTIF($E$2:$E542,$E542)=1,1,0))</f>
        <v/>
      </c>
      <c r="AR542">
        <f>IF($AQ542=1,SUMPRODUCT(--($AU$2:$AU$1501&lt;$AU542))+1,"")</f>
        <v/>
      </c>
      <c r="AS542">
        <f>IF($E542="","",IF(OR($U542=TRUE(),$U542="TRUE"),1,0))</f>
        <v/>
      </c>
      <c r="AT542">
        <f>IF($E542="","",IF($AC542="Yes",1,0))</f>
        <v/>
      </c>
      <c r="AU542">
        <f>IF($AQ542=1,IFERROR(IF(VALUE($E542)&lt;100000000,VALUE($E542),1000000000),IFERROR(IF(VALUE(MID($E542,2,20))&lt;100000000,VALUE(MID($E542,2,20)),1000000000),1000000000))+ROW()/100000,"")</f>
        <v/>
      </c>
    </row>
    <row r="543">
      <c r="G543" s="14" t="n"/>
      <c r="Q543" s="7">
        <f>IF($E543="","",P543*Z543/100)</f>
        <v/>
      </c>
      <c r="R543" s="7" t="n"/>
      <c r="Y543" s="7" t="n"/>
      <c r="Z543" s="7" t="n"/>
      <c r="AA543" s="7" t="n"/>
      <c r="AD543">
        <f>IF($E543="","",IF($AT543=1,Settings!$C$8,IF($AS543=1,Settings!$C$6,Settings!$C$7))*100)</f>
        <v/>
      </c>
      <c r="AE543" s="7">
        <f>IF($E543="","",Z543*AD543/100)</f>
        <v/>
      </c>
      <c r="AF543" s="7">
        <f>IF($E543="","",Z543-AE543)</f>
        <v/>
      </c>
      <c r="AG543" s="7">
        <f>IF($E543="","",AF543-Q543)</f>
        <v/>
      </c>
      <c r="AK543" s="7" t="n"/>
      <c r="AN543" s="14" t="n"/>
      <c r="AQ543">
        <f>IF($E543="","",IF(COUNTIF($E$2:$E543,$E543)=1,1,0))</f>
        <v/>
      </c>
      <c r="AR543">
        <f>IF($AQ543=1,SUMPRODUCT(--($AU$2:$AU$1501&lt;$AU543))+1,"")</f>
        <v/>
      </c>
      <c r="AS543">
        <f>IF($E543="","",IF(OR($U543=TRUE(),$U543="TRUE"),1,0))</f>
        <v/>
      </c>
      <c r="AT543">
        <f>IF($E543="","",IF($AC543="Yes",1,0))</f>
        <v/>
      </c>
      <c r="AU543">
        <f>IF($AQ543=1,IFERROR(IF(VALUE($E543)&lt;100000000,VALUE($E543),1000000000),IFERROR(IF(VALUE(MID($E543,2,20))&lt;100000000,VALUE(MID($E543,2,20)),1000000000),1000000000))+ROW()/100000,"")</f>
        <v/>
      </c>
    </row>
    <row r="544">
      <c r="G544" s="14" t="n"/>
      <c r="Q544" s="7">
        <f>IF($E544="","",P544*Z544/100)</f>
        <v/>
      </c>
      <c r="R544" s="7" t="n"/>
      <c r="Y544" s="7" t="n"/>
      <c r="Z544" s="7" t="n"/>
      <c r="AA544" s="7" t="n"/>
      <c r="AD544">
        <f>IF($E544="","",IF($AT544=1,Settings!$C$8,IF($AS544=1,Settings!$C$6,Settings!$C$7))*100)</f>
        <v/>
      </c>
      <c r="AE544" s="7">
        <f>IF($E544="","",Z544*AD544/100)</f>
        <v/>
      </c>
      <c r="AF544" s="7">
        <f>IF($E544="","",Z544-AE544)</f>
        <v/>
      </c>
      <c r="AG544" s="7">
        <f>IF($E544="","",AF544-Q544)</f>
        <v/>
      </c>
      <c r="AK544" s="7" t="n"/>
      <c r="AN544" s="14" t="n"/>
      <c r="AQ544">
        <f>IF($E544="","",IF(COUNTIF($E$2:$E544,$E544)=1,1,0))</f>
        <v/>
      </c>
      <c r="AR544">
        <f>IF($AQ544=1,SUMPRODUCT(--($AU$2:$AU$1501&lt;$AU544))+1,"")</f>
        <v/>
      </c>
      <c r="AS544">
        <f>IF($E544="","",IF(OR($U544=TRUE(),$U544="TRUE"),1,0))</f>
        <v/>
      </c>
      <c r="AT544">
        <f>IF($E544="","",IF($AC544="Yes",1,0))</f>
        <v/>
      </c>
      <c r="AU544">
        <f>IF($AQ544=1,IFERROR(IF(VALUE($E544)&lt;100000000,VALUE($E544),1000000000),IFERROR(IF(VALUE(MID($E544,2,20))&lt;100000000,VALUE(MID($E544,2,20)),1000000000),1000000000))+ROW()/100000,"")</f>
        <v/>
      </c>
    </row>
    <row r="545">
      <c r="G545" s="14" t="n"/>
      <c r="Q545" s="7">
        <f>IF($E545="","",P545*Z545/100)</f>
        <v/>
      </c>
      <c r="R545" s="7" t="n"/>
      <c r="Y545" s="7" t="n"/>
      <c r="Z545" s="7" t="n"/>
      <c r="AA545" s="7" t="n"/>
      <c r="AD545">
        <f>IF($E545="","",IF($AT545=1,Settings!$C$8,IF($AS545=1,Settings!$C$6,Settings!$C$7))*100)</f>
        <v/>
      </c>
      <c r="AE545" s="7">
        <f>IF($E545="","",Z545*AD545/100)</f>
        <v/>
      </c>
      <c r="AF545" s="7">
        <f>IF($E545="","",Z545-AE545)</f>
        <v/>
      </c>
      <c r="AG545" s="7">
        <f>IF($E545="","",AF545-Q545)</f>
        <v/>
      </c>
      <c r="AK545" s="7" t="n"/>
      <c r="AN545" s="14" t="n"/>
      <c r="AQ545">
        <f>IF($E545="","",IF(COUNTIF($E$2:$E545,$E545)=1,1,0))</f>
        <v/>
      </c>
      <c r="AR545">
        <f>IF($AQ545=1,SUMPRODUCT(--($AU$2:$AU$1501&lt;$AU545))+1,"")</f>
        <v/>
      </c>
      <c r="AS545">
        <f>IF($E545="","",IF(OR($U545=TRUE(),$U545="TRUE"),1,0))</f>
        <v/>
      </c>
      <c r="AT545">
        <f>IF($E545="","",IF($AC545="Yes",1,0))</f>
        <v/>
      </c>
      <c r="AU545">
        <f>IF($AQ545=1,IFERROR(IF(VALUE($E545)&lt;100000000,VALUE($E545),1000000000),IFERROR(IF(VALUE(MID($E545,2,20))&lt;100000000,VALUE(MID($E545,2,20)),1000000000),1000000000))+ROW()/100000,"")</f>
        <v/>
      </c>
    </row>
    <row r="546">
      <c r="G546" s="14" t="n"/>
      <c r="Q546" s="7">
        <f>IF($E546="","",P546*Z546/100)</f>
        <v/>
      </c>
      <c r="R546" s="7" t="n"/>
      <c r="Y546" s="7" t="n"/>
      <c r="Z546" s="7" t="n"/>
      <c r="AA546" s="7" t="n"/>
      <c r="AD546">
        <f>IF($E546="","",IF($AT546=1,Settings!$C$8,IF($AS546=1,Settings!$C$6,Settings!$C$7))*100)</f>
        <v/>
      </c>
      <c r="AE546" s="7">
        <f>IF($E546="","",Z546*AD546/100)</f>
        <v/>
      </c>
      <c r="AF546" s="7">
        <f>IF($E546="","",Z546-AE546)</f>
        <v/>
      </c>
      <c r="AG546" s="7">
        <f>IF($E546="","",AF546-Q546)</f>
        <v/>
      </c>
      <c r="AK546" s="7" t="n"/>
      <c r="AN546" s="14" t="n"/>
      <c r="AQ546">
        <f>IF($E546="","",IF(COUNTIF($E$2:$E546,$E546)=1,1,0))</f>
        <v/>
      </c>
      <c r="AR546">
        <f>IF($AQ546=1,SUMPRODUCT(--($AU$2:$AU$1501&lt;$AU546))+1,"")</f>
        <v/>
      </c>
      <c r="AS546">
        <f>IF($E546="","",IF(OR($U546=TRUE(),$U546="TRUE"),1,0))</f>
        <v/>
      </c>
      <c r="AT546">
        <f>IF($E546="","",IF($AC546="Yes",1,0))</f>
        <v/>
      </c>
      <c r="AU546">
        <f>IF($AQ546=1,IFERROR(IF(VALUE($E546)&lt;100000000,VALUE($E546),1000000000),IFERROR(IF(VALUE(MID($E546,2,20))&lt;100000000,VALUE(MID($E546,2,20)),1000000000),1000000000))+ROW()/100000,"")</f>
        <v/>
      </c>
    </row>
    <row r="547">
      <c r="G547" s="14" t="n"/>
      <c r="Q547" s="7">
        <f>IF($E547="","",P547*Z547/100)</f>
        <v/>
      </c>
      <c r="R547" s="7" t="n"/>
      <c r="Y547" s="7" t="n"/>
      <c r="Z547" s="7" t="n"/>
      <c r="AA547" s="7" t="n"/>
      <c r="AD547">
        <f>IF($E547="","",IF($AT547=1,Settings!$C$8,IF($AS547=1,Settings!$C$6,Settings!$C$7))*100)</f>
        <v/>
      </c>
      <c r="AE547" s="7">
        <f>IF($E547="","",Z547*AD547/100)</f>
        <v/>
      </c>
      <c r="AF547" s="7">
        <f>IF($E547="","",Z547-AE547)</f>
        <v/>
      </c>
      <c r="AG547" s="7">
        <f>IF($E547="","",AF547-Q547)</f>
        <v/>
      </c>
      <c r="AK547" s="7" t="n"/>
      <c r="AN547" s="14" t="n"/>
      <c r="AQ547">
        <f>IF($E547="","",IF(COUNTIF($E$2:$E547,$E547)=1,1,0))</f>
        <v/>
      </c>
      <c r="AR547">
        <f>IF($AQ547=1,SUMPRODUCT(--($AU$2:$AU$1501&lt;$AU547))+1,"")</f>
        <v/>
      </c>
      <c r="AS547">
        <f>IF($E547="","",IF(OR($U547=TRUE(),$U547="TRUE"),1,0))</f>
        <v/>
      </c>
      <c r="AT547">
        <f>IF($E547="","",IF($AC547="Yes",1,0))</f>
        <v/>
      </c>
      <c r="AU547">
        <f>IF($AQ547=1,IFERROR(IF(VALUE($E547)&lt;100000000,VALUE($E547),1000000000),IFERROR(IF(VALUE(MID($E547,2,20))&lt;100000000,VALUE(MID($E547,2,20)),1000000000),1000000000))+ROW()/100000,"")</f>
        <v/>
      </c>
    </row>
    <row r="548">
      <c r="G548" s="14" t="n"/>
      <c r="Q548" s="7">
        <f>IF($E548="","",P548*Z548/100)</f>
        <v/>
      </c>
      <c r="R548" s="7" t="n"/>
      <c r="Y548" s="7" t="n"/>
      <c r="Z548" s="7" t="n"/>
      <c r="AA548" s="7" t="n"/>
      <c r="AD548">
        <f>IF($E548="","",IF($AT548=1,Settings!$C$8,IF($AS548=1,Settings!$C$6,Settings!$C$7))*100)</f>
        <v/>
      </c>
      <c r="AE548" s="7">
        <f>IF($E548="","",Z548*AD548/100)</f>
        <v/>
      </c>
      <c r="AF548" s="7">
        <f>IF($E548="","",Z548-AE548)</f>
        <v/>
      </c>
      <c r="AG548" s="7">
        <f>IF($E548="","",AF548-Q548)</f>
        <v/>
      </c>
      <c r="AK548" s="7" t="n"/>
      <c r="AN548" s="14" t="n"/>
      <c r="AQ548">
        <f>IF($E548="","",IF(COUNTIF($E$2:$E548,$E548)=1,1,0))</f>
        <v/>
      </c>
      <c r="AR548">
        <f>IF($AQ548=1,SUMPRODUCT(--($AU$2:$AU$1501&lt;$AU548))+1,"")</f>
        <v/>
      </c>
      <c r="AS548">
        <f>IF($E548="","",IF(OR($U548=TRUE(),$U548="TRUE"),1,0))</f>
        <v/>
      </c>
      <c r="AT548">
        <f>IF($E548="","",IF($AC548="Yes",1,0))</f>
        <v/>
      </c>
      <c r="AU548">
        <f>IF($AQ548=1,IFERROR(IF(VALUE($E548)&lt;100000000,VALUE($E548),1000000000),IFERROR(IF(VALUE(MID($E548,2,20))&lt;100000000,VALUE(MID($E548,2,20)),1000000000),1000000000))+ROW()/100000,"")</f>
        <v/>
      </c>
    </row>
    <row r="549">
      <c r="G549" s="14" t="n"/>
      <c r="Q549" s="7">
        <f>IF($E549="","",P549*Z549/100)</f>
        <v/>
      </c>
      <c r="R549" s="7" t="n"/>
      <c r="Y549" s="7" t="n"/>
      <c r="Z549" s="7" t="n"/>
      <c r="AA549" s="7" t="n"/>
      <c r="AD549">
        <f>IF($E549="","",IF($AT549=1,Settings!$C$8,IF($AS549=1,Settings!$C$6,Settings!$C$7))*100)</f>
        <v/>
      </c>
      <c r="AE549" s="7">
        <f>IF($E549="","",Z549*AD549/100)</f>
        <v/>
      </c>
      <c r="AF549" s="7">
        <f>IF($E549="","",Z549-AE549)</f>
        <v/>
      </c>
      <c r="AG549" s="7">
        <f>IF($E549="","",AF549-Q549)</f>
        <v/>
      </c>
      <c r="AK549" s="7" t="n"/>
      <c r="AN549" s="14" t="n"/>
      <c r="AQ549">
        <f>IF($E549="","",IF(COUNTIF($E$2:$E549,$E549)=1,1,0))</f>
        <v/>
      </c>
      <c r="AR549">
        <f>IF($AQ549=1,SUMPRODUCT(--($AU$2:$AU$1501&lt;$AU549))+1,"")</f>
        <v/>
      </c>
      <c r="AS549">
        <f>IF($E549="","",IF(OR($U549=TRUE(),$U549="TRUE"),1,0))</f>
        <v/>
      </c>
      <c r="AT549">
        <f>IF($E549="","",IF($AC549="Yes",1,0))</f>
        <v/>
      </c>
      <c r="AU549">
        <f>IF($AQ549=1,IFERROR(IF(VALUE($E549)&lt;100000000,VALUE($E549),1000000000),IFERROR(IF(VALUE(MID($E549,2,20))&lt;100000000,VALUE(MID($E549,2,20)),1000000000),1000000000))+ROW()/100000,"")</f>
        <v/>
      </c>
    </row>
    <row r="550">
      <c r="G550" s="14" t="n"/>
      <c r="Q550" s="7">
        <f>IF($E550="","",P550*Z550/100)</f>
        <v/>
      </c>
      <c r="R550" s="7" t="n"/>
      <c r="Y550" s="7" t="n"/>
      <c r="Z550" s="7" t="n"/>
      <c r="AA550" s="7" t="n"/>
      <c r="AD550">
        <f>IF($E550="","",IF($AT550=1,Settings!$C$8,IF($AS550=1,Settings!$C$6,Settings!$C$7))*100)</f>
        <v/>
      </c>
      <c r="AE550" s="7">
        <f>IF($E550="","",Z550*AD550/100)</f>
        <v/>
      </c>
      <c r="AF550" s="7">
        <f>IF($E550="","",Z550-AE550)</f>
        <v/>
      </c>
      <c r="AG550" s="7">
        <f>IF($E550="","",AF550-Q550)</f>
        <v/>
      </c>
      <c r="AK550" s="7" t="n"/>
      <c r="AN550" s="14" t="n"/>
      <c r="AQ550">
        <f>IF($E550="","",IF(COUNTIF($E$2:$E550,$E550)=1,1,0))</f>
        <v/>
      </c>
      <c r="AR550">
        <f>IF($AQ550=1,SUMPRODUCT(--($AU$2:$AU$1501&lt;$AU550))+1,"")</f>
        <v/>
      </c>
      <c r="AS550">
        <f>IF($E550="","",IF(OR($U550=TRUE(),$U550="TRUE"),1,0))</f>
        <v/>
      </c>
      <c r="AT550">
        <f>IF($E550="","",IF($AC550="Yes",1,0))</f>
        <v/>
      </c>
      <c r="AU550">
        <f>IF($AQ550=1,IFERROR(IF(VALUE($E550)&lt;100000000,VALUE($E550),1000000000),IFERROR(IF(VALUE(MID($E550,2,20))&lt;100000000,VALUE(MID($E550,2,20)),1000000000),1000000000))+ROW()/100000,"")</f>
        <v/>
      </c>
    </row>
    <row r="551">
      <c r="G551" s="14" t="n"/>
      <c r="Q551" s="7">
        <f>IF($E551="","",P551*Z551/100)</f>
        <v/>
      </c>
      <c r="R551" s="7" t="n"/>
      <c r="Y551" s="7" t="n"/>
      <c r="Z551" s="7" t="n"/>
      <c r="AA551" s="7" t="n"/>
      <c r="AD551">
        <f>IF($E551="","",IF($AT551=1,Settings!$C$8,IF($AS551=1,Settings!$C$6,Settings!$C$7))*100)</f>
        <v/>
      </c>
      <c r="AE551" s="7">
        <f>IF($E551="","",Z551*AD551/100)</f>
        <v/>
      </c>
      <c r="AF551" s="7">
        <f>IF($E551="","",Z551-AE551)</f>
        <v/>
      </c>
      <c r="AG551" s="7">
        <f>IF($E551="","",AF551-Q551)</f>
        <v/>
      </c>
      <c r="AK551" s="7" t="n"/>
      <c r="AN551" s="14" t="n"/>
      <c r="AQ551">
        <f>IF($E551="","",IF(COUNTIF($E$2:$E551,$E551)=1,1,0))</f>
        <v/>
      </c>
      <c r="AR551">
        <f>IF($AQ551=1,SUMPRODUCT(--($AU$2:$AU$1501&lt;$AU551))+1,"")</f>
        <v/>
      </c>
      <c r="AS551">
        <f>IF($E551="","",IF(OR($U551=TRUE(),$U551="TRUE"),1,0))</f>
        <v/>
      </c>
      <c r="AT551">
        <f>IF($E551="","",IF($AC551="Yes",1,0))</f>
        <v/>
      </c>
      <c r="AU551">
        <f>IF($AQ551=1,IFERROR(IF(VALUE($E551)&lt;100000000,VALUE($E551),1000000000),IFERROR(IF(VALUE(MID($E551,2,20))&lt;100000000,VALUE(MID($E551,2,20)),1000000000),1000000000))+ROW()/100000,"")</f>
        <v/>
      </c>
    </row>
    <row r="552">
      <c r="G552" s="14" t="n"/>
      <c r="Q552" s="7">
        <f>IF($E552="","",P552*Z552/100)</f>
        <v/>
      </c>
      <c r="R552" s="7" t="n"/>
      <c r="Y552" s="7" t="n"/>
      <c r="Z552" s="7" t="n"/>
      <c r="AA552" s="7" t="n"/>
      <c r="AD552">
        <f>IF($E552="","",IF($AT552=1,Settings!$C$8,IF($AS552=1,Settings!$C$6,Settings!$C$7))*100)</f>
        <v/>
      </c>
      <c r="AE552" s="7">
        <f>IF($E552="","",Z552*AD552/100)</f>
        <v/>
      </c>
      <c r="AF552" s="7">
        <f>IF($E552="","",Z552-AE552)</f>
        <v/>
      </c>
      <c r="AG552" s="7">
        <f>IF($E552="","",AF552-Q552)</f>
        <v/>
      </c>
      <c r="AK552" s="7" t="n"/>
      <c r="AN552" s="14" t="n"/>
      <c r="AQ552">
        <f>IF($E552="","",IF(COUNTIF($E$2:$E552,$E552)=1,1,0))</f>
        <v/>
      </c>
      <c r="AR552">
        <f>IF($AQ552=1,SUMPRODUCT(--($AU$2:$AU$1501&lt;$AU552))+1,"")</f>
        <v/>
      </c>
      <c r="AS552">
        <f>IF($E552="","",IF(OR($U552=TRUE(),$U552="TRUE"),1,0))</f>
        <v/>
      </c>
      <c r="AT552">
        <f>IF($E552="","",IF($AC552="Yes",1,0))</f>
        <v/>
      </c>
      <c r="AU552">
        <f>IF($AQ552=1,IFERROR(IF(VALUE($E552)&lt;100000000,VALUE($E552),1000000000),IFERROR(IF(VALUE(MID($E552,2,20))&lt;100000000,VALUE(MID($E552,2,20)),1000000000),1000000000))+ROW()/100000,"")</f>
        <v/>
      </c>
    </row>
    <row r="553">
      <c r="G553" s="14" t="n"/>
      <c r="Q553" s="7">
        <f>IF($E553="","",P553*Z553/100)</f>
        <v/>
      </c>
      <c r="R553" s="7" t="n"/>
      <c r="Y553" s="7" t="n"/>
      <c r="Z553" s="7" t="n"/>
      <c r="AA553" s="7" t="n"/>
      <c r="AD553">
        <f>IF($E553="","",IF($AT553=1,Settings!$C$8,IF($AS553=1,Settings!$C$6,Settings!$C$7))*100)</f>
        <v/>
      </c>
      <c r="AE553" s="7">
        <f>IF($E553="","",Z553*AD553/100)</f>
        <v/>
      </c>
      <c r="AF553" s="7">
        <f>IF($E553="","",Z553-AE553)</f>
        <v/>
      </c>
      <c r="AG553" s="7">
        <f>IF($E553="","",AF553-Q553)</f>
        <v/>
      </c>
      <c r="AK553" s="7" t="n"/>
      <c r="AN553" s="14" t="n"/>
      <c r="AQ553">
        <f>IF($E553="","",IF(COUNTIF($E$2:$E553,$E553)=1,1,0))</f>
        <v/>
      </c>
      <c r="AR553">
        <f>IF($AQ553=1,SUMPRODUCT(--($AU$2:$AU$1501&lt;$AU553))+1,"")</f>
        <v/>
      </c>
      <c r="AS553">
        <f>IF($E553="","",IF(OR($U553=TRUE(),$U553="TRUE"),1,0))</f>
        <v/>
      </c>
      <c r="AT553">
        <f>IF($E553="","",IF($AC553="Yes",1,0))</f>
        <v/>
      </c>
      <c r="AU553">
        <f>IF($AQ553=1,IFERROR(IF(VALUE($E553)&lt;100000000,VALUE($E553),1000000000),IFERROR(IF(VALUE(MID($E553,2,20))&lt;100000000,VALUE(MID($E553,2,20)),1000000000),1000000000))+ROW()/100000,"")</f>
        <v/>
      </c>
    </row>
    <row r="554">
      <c r="G554" s="14" t="n"/>
      <c r="Q554" s="7">
        <f>IF($E554="","",P554*Z554/100)</f>
        <v/>
      </c>
      <c r="R554" s="7" t="n"/>
      <c r="Y554" s="7" t="n"/>
      <c r="Z554" s="7" t="n"/>
      <c r="AA554" s="7" t="n"/>
      <c r="AD554">
        <f>IF($E554="","",IF($AT554=1,Settings!$C$8,IF($AS554=1,Settings!$C$6,Settings!$C$7))*100)</f>
        <v/>
      </c>
      <c r="AE554" s="7">
        <f>IF($E554="","",Z554*AD554/100)</f>
        <v/>
      </c>
      <c r="AF554" s="7">
        <f>IF($E554="","",Z554-AE554)</f>
        <v/>
      </c>
      <c r="AG554" s="7">
        <f>IF($E554="","",AF554-Q554)</f>
        <v/>
      </c>
      <c r="AK554" s="7" t="n"/>
      <c r="AN554" s="14" t="n"/>
      <c r="AQ554">
        <f>IF($E554="","",IF(COUNTIF($E$2:$E554,$E554)=1,1,0))</f>
        <v/>
      </c>
      <c r="AR554">
        <f>IF($AQ554=1,SUMPRODUCT(--($AU$2:$AU$1501&lt;$AU554))+1,"")</f>
        <v/>
      </c>
      <c r="AS554">
        <f>IF($E554="","",IF(OR($U554=TRUE(),$U554="TRUE"),1,0))</f>
        <v/>
      </c>
      <c r="AT554">
        <f>IF($E554="","",IF($AC554="Yes",1,0))</f>
        <v/>
      </c>
      <c r="AU554">
        <f>IF($AQ554=1,IFERROR(IF(VALUE($E554)&lt;100000000,VALUE($E554),1000000000),IFERROR(IF(VALUE(MID($E554,2,20))&lt;100000000,VALUE(MID($E554,2,20)),1000000000),1000000000))+ROW()/100000,"")</f>
        <v/>
      </c>
    </row>
    <row r="555">
      <c r="G555" s="14" t="n"/>
      <c r="Q555" s="7">
        <f>IF($E555="","",P555*Z555/100)</f>
        <v/>
      </c>
      <c r="R555" s="7" t="n"/>
      <c r="Y555" s="7" t="n"/>
      <c r="Z555" s="7" t="n"/>
      <c r="AA555" s="7" t="n"/>
      <c r="AD555">
        <f>IF($E555="","",IF($AT555=1,Settings!$C$8,IF($AS555=1,Settings!$C$6,Settings!$C$7))*100)</f>
        <v/>
      </c>
      <c r="AE555" s="7">
        <f>IF($E555="","",Z555*AD555/100)</f>
        <v/>
      </c>
      <c r="AF555" s="7">
        <f>IF($E555="","",Z555-AE555)</f>
        <v/>
      </c>
      <c r="AG555" s="7">
        <f>IF($E555="","",AF555-Q555)</f>
        <v/>
      </c>
      <c r="AK555" s="7" t="n"/>
      <c r="AN555" s="14" t="n"/>
      <c r="AQ555">
        <f>IF($E555="","",IF(COUNTIF($E$2:$E555,$E555)=1,1,0))</f>
        <v/>
      </c>
      <c r="AR555">
        <f>IF($AQ555=1,SUMPRODUCT(--($AU$2:$AU$1501&lt;$AU555))+1,"")</f>
        <v/>
      </c>
      <c r="AS555">
        <f>IF($E555="","",IF(OR($U555=TRUE(),$U555="TRUE"),1,0))</f>
        <v/>
      </c>
      <c r="AT555">
        <f>IF($E555="","",IF($AC555="Yes",1,0))</f>
        <v/>
      </c>
      <c r="AU555">
        <f>IF($AQ555=1,IFERROR(IF(VALUE($E555)&lt;100000000,VALUE($E555),1000000000),IFERROR(IF(VALUE(MID($E555,2,20))&lt;100000000,VALUE(MID($E555,2,20)),1000000000),1000000000))+ROW()/100000,"")</f>
        <v/>
      </c>
    </row>
    <row r="556">
      <c r="G556" s="14" t="n"/>
      <c r="Q556" s="7">
        <f>IF($E556="","",P556*Z556/100)</f>
        <v/>
      </c>
      <c r="R556" s="7" t="n"/>
      <c r="Y556" s="7" t="n"/>
      <c r="Z556" s="7" t="n"/>
      <c r="AA556" s="7" t="n"/>
      <c r="AD556">
        <f>IF($E556="","",IF($AT556=1,Settings!$C$8,IF($AS556=1,Settings!$C$6,Settings!$C$7))*100)</f>
        <v/>
      </c>
      <c r="AE556" s="7">
        <f>IF($E556="","",Z556*AD556/100)</f>
        <v/>
      </c>
      <c r="AF556" s="7">
        <f>IF($E556="","",Z556-AE556)</f>
        <v/>
      </c>
      <c r="AG556" s="7">
        <f>IF($E556="","",AF556-Q556)</f>
        <v/>
      </c>
      <c r="AK556" s="7" t="n"/>
      <c r="AN556" s="14" t="n"/>
      <c r="AQ556">
        <f>IF($E556="","",IF(COUNTIF($E$2:$E556,$E556)=1,1,0))</f>
        <v/>
      </c>
      <c r="AR556">
        <f>IF($AQ556=1,SUMPRODUCT(--($AU$2:$AU$1501&lt;$AU556))+1,"")</f>
        <v/>
      </c>
      <c r="AS556">
        <f>IF($E556="","",IF(OR($U556=TRUE(),$U556="TRUE"),1,0))</f>
        <v/>
      </c>
      <c r="AT556">
        <f>IF($E556="","",IF($AC556="Yes",1,0))</f>
        <v/>
      </c>
      <c r="AU556">
        <f>IF($AQ556=1,IFERROR(IF(VALUE($E556)&lt;100000000,VALUE($E556),1000000000),IFERROR(IF(VALUE(MID($E556,2,20))&lt;100000000,VALUE(MID($E556,2,20)),1000000000),1000000000))+ROW()/100000,"")</f>
        <v/>
      </c>
    </row>
    <row r="557">
      <c r="G557" s="14" t="n"/>
      <c r="Q557" s="7">
        <f>IF($E557="","",P557*Z557/100)</f>
        <v/>
      </c>
      <c r="R557" s="7" t="n"/>
      <c r="Y557" s="7" t="n"/>
      <c r="Z557" s="7" t="n"/>
      <c r="AA557" s="7" t="n"/>
      <c r="AD557">
        <f>IF($E557="","",IF($AT557=1,Settings!$C$8,IF($AS557=1,Settings!$C$6,Settings!$C$7))*100)</f>
        <v/>
      </c>
      <c r="AE557" s="7">
        <f>IF($E557="","",Z557*AD557/100)</f>
        <v/>
      </c>
      <c r="AF557" s="7">
        <f>IF($E557="","",Z557-AE557)</f>
        <v/>
      </c>
      <c r="AG557" s="7">
        <f>IF($E557="","",AF557-Q557)</f>
        <v/>
      </c>
      <c r="AK557" s="7" t="n"/>
      <c r="AN557" s="14" t="n"/>
      <c r="AQ557">
        <f>IF($E557="","",IF(COUNTIF($E$2:$E557,$E557)=1,1,0))</f>
        <v/>
      </c>
      <c r="AR557">
        <f>IF($AQ557=1,SUMPRODUCT(--($AU$2:$AU$1501&lt;$AU557))+1,"")</f>
        <v/>
      </c>
      <c r="AS557">
        <f>IF($E557="","",IF(OR($U557=TRUE(),$U557="TRUE"),1,0))</f>
        <v/>
      </c>
      <c r="AT557">
        <f>IF($E557="","",IF($AC557="Yes",1,0))</f>
        <v/>
      </c>
      <c r="AU557">
        <f>IF($AQ557=1,IFERROR(IF(VALUE($E557)&lt;100000000,VALUE($E557),1000000000),IFERROR(IF(VALUE(MID($E557,2,20))&lt;100000000,VALUE(MID($E557,2,20)),1000000000),1000000000))+ROW()/100000,"")</f>
        <v/>
      </c>
    </row>
    <row r="558">
      <c r="G558" s="14" t="n"/>
      <c r="Q558" s="7">
        <f>IF($E558="","",P558*Z558/100)</f>
        <v/>
      </c>
      <c r="R558" s="7" t="n"/>
      <c r="Y558" s="7" t="n"/>
      <c r="Z558" s="7" t="n"/>
      <c r="AA558" s="7" t="n"/>
      <c r="AD558">
        <f>IF($E558="","",IF($AT558=1,Settings!$C$8,IF($AS558=1,Settings!$C$6,Settings!$C$7))*100)</f>
        <v/>
      </c>
      <c r="AE558" s="7">
        <f>IF($E558="","",Z558*AD558/100)</f>
        <v/>
      </c>
      <c r="AF558" s="7">
        <f>IF($E558="","",Z558-AE558)</f>
        <v/>
      </c>
      <c r="AG558" s="7">
        <f>IF($E558="","",AF558-Q558)</f>
        <v/>
      </c>
      <c r="AK558" s="7" t="n"/>
      <c r="AN558" s="14" t="n"/>
      <c r="AQ558">
        <f>IF($E558="","",IF(COUNTIF($E$2:$E558,$E558)=1,1,0))</f>
        <v/>
      </c>
      <c r="AR558">
        <f>IF($AQ558=1,SUMPRODUCT(--($AU$2:$AU$1501&lt;$AU558))+1,"")</f>
        <v/>
      </c>
      <c r="AS558">
        <f>IF($E558="","",IF(OR($U558=TRUE(),$U558="TRUE"),1,0))</f>
        <v/>
      </c>
      <c r="AT558">
        <f>IF($E558="","",IF($AC558="Yes",1,0))</f>
        <v/>
      </c>
      <c r="AU558">
        <f>IF($AQ558=1,IFERROR(IF(VALUE($E558)&lt;100000000,VALUE($E558),1000000000),IFERROR(IF(VALUE(MID($E558,2,20))&lt;100000000,VALUE(MID($E558,2,20)),1000000000),1000000000))+ROW()/100000,"")</f>
        <v/>
      </c>
    </row>
    <row r="559">
      <c r="G559" s="14" t="n"/>
      <c r="Q559" s="7">
        <f>IF($E559="","",P559*Z559/100)</f>
        <v/>
      </c>
      <c r="R559" s="7" t="n"/>
      <c r="Y559" s="7" t="n"/>
      <c r="Z559" s="7" t="n"/>
      <c r="AA559" s="7" t="n"/>
      <c r="AD559">
        <f>IF($E559="","",IF($AT559=1,Settings!$C$8,IF($AS559=1,Settings!$C$6,Settings!$C$7))*100)</f>
        <v/>
      </c>
      <c r="AE559" s="7">
        <f>IF($E559="","",Z559*AD559/100)</f>
        <v/>
      </c>
      <c r="AF559" s="7">
        <f>IF($E559="","",Z559-AE559)</f>
        <v/>
      </c>
      <c r="AG559" s="7">
        <f>IF($E559="","",AF559-Q559)</f>
        <v/>
      </c>
      <c r="AK559" s="7" t="n"/>
      <c r="AN559" s="14" t="n"/>
      <c r="AQ559">
        <f>IF($E559="","",IF(COUNTIF($E$2:$E559,$E559)=1,1,0))</f>
        <v/>
      </c>
      <c r="AR559">
        <f>IF($AQ559=1,SUMPRODUCT(--($AU$2:$AU$1501&lt;$AU559))+1,"")</f>
        <v/>
      </c>
      <c r="AS559">
        <f>IF($E559="","",IF(OR($U559=TRUE(),$U559="TRUE"),1,0))</f>
        <v/>
      </c>
      <c r="AT559">
        <f>IF($E559="","",IF($AC559="Yes",1,0))</f>
        <v/>
      </c>
      <c r="AU559">
        <f>IF($AQ559=1,IFERROR(IF(VALUE($E559)&lt;100000000,VALUE($E559),1000000000),IFERROR(IF(VALUE(MID($E559,2,20))&lt;100000000,VALUE(MID($E559,2,20)),1000000000),1000000000))+ROW()/100000,"")</f>
        <v/>
      </c>
    </row>
    <row r="560">
      <c r="G560" s="14" t="n"/>
      <c r="Q560" s="7">
        <f>IF($E560="","",P560*Z560/100)</f>
        <v/>
      </c>
      <c r="R560" s="7" t="n"/>
      <c r="Y560" s="7" t="n"/>
      <c r="Z560" s="7" t="n"/>
      <c r="AA560" s="7" t="n"/>
      <c r="AD560">
        <f>IF($E560="","",IF($AT560=1,Settings!$C$8,IF($AS560=1,Settings!$C$6,Settings!$C$7))*100)</f>
        <v/>
      </c>
      <c r="AE560" s="7">
        <f>IF($E560="","",Z560*AD560/100)</f>
        <v/>
      </c>
      <c r="AF560" s="7">
        <f>IF($E560="","",Z560-AE560)</f>
        <v/>
      </c>
      <c r="AG560" s="7">
        <f>IF($E560="","",AF560-Q560)</f>
        <v/>
      </c>
      <c r="AK560" s="7" t="n"/>
      <c r="AN560" s="14" t="n"/>
      <c r="AQ560">
        <f>IF($E560="","",IF(COUNTIF($E$2:$E560,$E560)=1,1,0))</f>
        <v/>
      </c>
      <c r="AR560">
        <f>IF($AQ560=1,SUMPRODUCT(--($AU$2:$AU$1501&lt;$AU560))+1,"")</f>
        <v/>
      </c>
      <c r="AS560">
        <f>IF($E560="","",IF(OR($U560=TRUE(),$U560="TRUE"),1,0))</f>
        <v/>
      </c>
      <c r="AT560">
        <f>IF($E560="","",IF($AC560="Yes",1,0))</f>
        <v/>
      </c>
      <c r="AU560">
        <f>IF($AQ560=1,IFERROR(IF(VALUE($E560)&lt;100000000,VALUE($E560),1000000000),IFERROR(IF(VALUE(MID($E560,2,20))&lt;100000000,VALUE(MID($E560,2,20)),1000000000),1000000000))+ROW()/100000,"")</f>
        <v/>
      </c>
    </row>
    <row r="561">
      <c r="G561" s="14" t="n"/>
      <c r="Q561" s="7">
        <f>IF($E561="","",P561*Z561/100)</f>
        <v/>
      </c>
      <c r="R561" s="7" t="n"/>
      <c r="Y561" s="7" t="n"/>
      <c r="Z561" s="7" t="n"/>
      <c r="AA561" s="7" t="n"/>
      <c r="AD561">
        <f>IF($E561="","",IF($AT561=1,Settings!$C$8,IF($AS561=1,Settings!$C$6,Settings!$C$7))*100)</f>
        <v/>
      </c>
      <c r="AE561" s="7">
        <f>IF($E561="","",Z561*AD561/100)</f>
        <v/>
      </c>
      <c r="AF561" s="7">
        <f>IF($E561="","",Z561-AE561)</f>
        <v/>
      </c>
      <c r="AG561" s="7">
        <f>IF($E561="","",AF561-Q561)</f>
        <v/>
      </c>
      <c r="AK561" s="7" t="n"/>
      <c r="AN561" s="14" t="n"/>
      <c r="AQ561">
        <f>IF($E561="","",IF(COUNTIF($E$2:$E561,$E561)=1,1,0))</f>
        <v/>
      </c>
      <c r="AR561">
        <f>IF($AQ561=1,SUMPRODUCT(--($AU$2:$AU$1501&lt;$AU561))+1,"")</f>
        <v/>
      </c>
      <c r="AS561">
        <f>IF($E561="","",IF(OR($U561=TRUE(),$U561="TRUE"),1,0))</f>
        <v/>
      </c>
      <c r="AT561">
        <f>IF($E561="","",IF($AC561="Yes",1,0))</f>
        <v/>
      </c>
      <c r="AU561">
        <f>IF($AQ561=1,IFERROR(IF(VALUE($E561)&lt;100000000,VALUE($E561),1000000000),IFERROR(IF(VALUE(MID($E561,2,20))&lt;100000000,VALUE(MID($E561,2,20)),1000000000),1000000000))+ROW()/100000,"")</f>
        <v/>
      </c>
    </row>
    <row r="562">
      <c r="G562" s="14" t="n"/>
      <c r="Q562" s="7">
        <f>IF($E562="","",P562*Z562/100)</f>
        <v/>
      </c>
      <c r="R562" s="7" t="n"/>
      <c r="Y562" s="7" t="n"/>
      <c r="Z562" s="7" t="n"/>
      <c r="AA562" s="7" t="n"/>
      <c r="AD562">
        <f>IF($E562="","",IF($AT562=1,Settings!$C$8,IF($AS562=1,Settings!$C$6,Settings!$C$7))*100)</f>
        <v/>
      </c>
      <c r="AE562" s="7">
        <f>IF($E562="","",Z562*AD562/100)</f>
        <v/>
      </c>
      <c r="AF562" s="7">
        <f>IF($E562="","",Z562-AE562)</f>
        <v/>
      </c>
      <c r="AG562" s="7">
        <f>IF($E562="","",AF562-Q562)</f>
        <v/>
      </c>
      <c r="AK562" s="7" t="n"/>
      <c r="AN562" s="14" t="n"/>
      <c r="AQ562">
        <f>IF($E562="","",IF(COUNTIF($E$2:$E562,$E562)=1,1,0))</f>
        <v/>
      </c>
      <c r="AR562">
        <f>IF($AQ562=1,SUMPRODUCT(--($AU$2:$AU$1501&lt;$AU562))+1,"")</f>
        <v/>
      </c>
      <c r="AS562">
        <f>IF($E562="","",IF(OR($U562=TRUE(),$U562="TRUE"),1,0))</f>
        <v/>
      </c>
      <c r="AT562">
        <f>IF($E562="","",IF($AC562="Yes",1,0))</f>
        <v/>
      </c>
      <c r="AU562">
        <f>IF($AQ562=1,IFERROR(IF(VALUE($E562)&lt;100000000,VALUE($E562),1000000000),IFERROR(IF(VALUE(MID($E562,2,20))&lt;100000000,VALUE(MID($E562,2,20)),1000000000),1000000000))+ROW()/100000,"")</f>
        <v/>
      </c>
    </row>
    <row r="563">
      <c r="G563" s="14" t="n"/>
      <c r="Q563" s="7">
        <f>IF($E563="","",P563*Z563/100)</f>
        <v/>
      </c>
      <c r="R563" s="7" t="n"/>
      <c r="Y563" s="7" t="n"/>
      <c r="Z563" s="7" t="n"/>
      <c r="AA563" s="7" t="n"/>
      <c r="AD563">
        <f>IF($E563="","",IF($AT563=1,Settings!$C$8,IF($AS563=1,Settings!$C$6,Settings!$C$7))*100)</f>
        <v/>
      </c>
      <c r="AE563" s="7">
        <f>IF($E563="","",Z563*AD563/100)</f>
        <v/>
      </c>
      <c r="AF563" s="7">
        <f>IF($E563="","",Z563-AE563)</f>
        <v/>
      </c>
      <c r="AG563" s="7">
        <f>IF($E563="","",AF563-Q563)</f>
        <v/>
      </c>
      <c r="AK563" s="7" t="n"/>
      <c r="AN563" s="14" t="n"/>
      <c r="AQ563">
        <f>IF($E563="","",IF(COUNTIF($E$2:$E563,$E563)=1,1,0))</f>
        <v/>
      </c>
      <c r="AR563">
        <f>IF($AQ563=1,SUMPRODUCT(--($AU$2:$AU$1501&lt;$AU563))+1,"")</f>
        <v/>
      </c>
      <c r="AS563">
        <f>IF($E563="","",IF(OR($U563=TRUE(),$U563="TRUE"),1,0))</f>
        <v/>
      </c>
      <c r="AT563">
        <f>IF($E563="","",IF($AC563="Yes",1,0))</f>
        <v/>
      </c>
      <c r="AU563">
        <f>IF($AQ563=1,IFERROR(IF(VALUE($E563)&lt;100000000,VALUE($E563),1000000000),IFERROR(IF(VALUE(MID($E563,2,20))&lt;100000000,VALUE(MID($E563,2,20)),1000000000),1000000000))+ROW()/100000,"")</f>
        <v/>
      </c>
    </row>
    <row r="564">
      <c r="G564" s="14" t="n"/>
      <c r="Q564" s="7">
        <f>IF($E564="","",P564*Z564/100)</f>
        <v/>
      </c>
      <c r="R564" s="7" t="n"/>
      <c r="Y564" s="7" t="n"/>
      <c r="Z564" s="7" t="n"/>
      <c r="AA564" s="7" t="n"/>
      <c r="AD564">
        <f>IF($E564="","",IF($AT564=1,Settings!$C$8,IF($AS564=1,Settings!$C$6,Settings!$C$7))*100)</f>
        <v/>
      </c>
      <c r="AE564" s="7">
        <f>IF($E564="","",Z564*AD564/100)</f>
        <v/>
      </c>
      <c r="AF564" s="7">
        <f>IF($E564="","",Z564-AE564)</f>
        <v/>
      </c>
      <c r="AG564" s="7">
        <f>IF($E564="","",AF564-Q564)</f>
        <v/>
      </c>
      <c r="AK564" s="7" t="n"/>
      <c r="AN564" s="14" t="n"/>
      <c r="AQ564">
        <f>IF($E564="","",IF(COUNTIF($E$2:$E564,$E564)=1,1,0))</f>
        <v/>
      </c>
      <c r="AR564">
        <f>IF($AQ564=1,SUMPRODUCT(--($AU$2:$AU$1501&lt;$AU564))+1,"")</f>
        <v/>
      </c>
      <c r="AS564">
        <f>IF($E564="","",IF(OR($U564=TRUE(),$U564="TRUE"),1,0))</f>
        <v/>
      </c>
      <c r="AT564">
        <f>IF($E564="","",IF($AC564="Yes",1,0))</f>
        <v/>
      </c>
      <c r="AU564">
        <f>IF($AQ564=1,IFERROR(IF(VALUE($E564)&lt;100000000,VALUE($E564),1000000000),IFERROR(IF(VALUE(MID($E564,2,20))&lt;100000000,VALUE(MID($E564,2,20)),1000000000),1000000000))+ROW()/100000,"")</f>
        <v/>
      </c>
    </row>
    <row r="565">
      <c r="G565" s="14" t="n"/>
      <c r="Q565" s="7">
        <f>IF($E565="","",P565*Z565/100)</f>
        <v/>
      </c>
      <c r="R565" s="7" t="n"/>
      <c r="Y565" s="7" t="n"/>
      <c r="Z565" s="7" t="n"/>
      <c r="AA565" s="7" t="n"/>
      <c r="AD565">
        <f>IF($E565="","",IF($AT565=1,Settings!$C$8,IF($AS565=1,Settings!$C$6,Settings!$C$7))*100)</f>
        <v/>
      </c>
      <c r="AE565" s="7">
        <f>IF($E565="","",Z565*AD565/100)</f>
        <v/>
      </c>
      <c r="AF565" s="7">
        <f>IF($E565="","",Z565-AE565)</f>
        <v/>
      </c>
      <c r="AG565" s="7">
        <f>IF($E565="","",AF565-Q565)</f>
        <v/>
      </c>
      <c r="AK565" s="7" t="n"/>
      <c r="AN565" s="14" t="n"/>
      <c r="AQ565">
        <f>IF($E565="","",IF(COUNTIF($E$2:$E565,$E565)=1,1,0))</f>
        <v/>
      </c>
      <c r="AR565">
        <f>IF($AQ565=1,SUMPRODUCT(--($AU$2:$AU$1501&lt;$AU565))+1,"")</f>
        <v/>
      </c>
      <c r="AS565">
        <f>IF($E565="","",IF(OR($U565=TRUE(),$U565="TRUE"),1,0))</f>
        <v/>
      </c>
      <c r="AT565">
        <f>IF($E565="","",IF($AC565="Yes",1,0))</f>
        <v/>
      </c>
      <c r="AU565">
        <f>IF($AQ565=1,IFERROR(IF(VALUE($E565)&lt;100000000,VALUE($E565),1000000000),IFERROR(IF(VALUE(MID($E565,2,20))&lt;100000000,VALUE(MID($E565,2,20)),1000000000),1000000000))+ROW()/100000,"")</f>
        <v/>
      </c>
    </row>
    <row r="566">
      <c r="G566" s="14" t="n"/>
      <c r="Q566" s="7">
        <f>IF($E566="","",P566*Z566/100)</f>
        <v/>
      </c>
      <c r="R566" s="7" t="n"/>
      <c r="Y566" s="7" t="n"/>
      <c r="Z566" s="7" t="n"/>
      <c r="AA566" s="7" t="n"/>
      <c r="AD566">
        <f>IF($E566="","",IF($AT566=1,Settings!$C$8,IF($AS566=1,Settings!$C$6,Settings!$C$7))*100)</f>
        <v/>
      </c>
      <c r="AE566" s="7">
        <f>IF($E566="","",Z566*AD566/100)</f>
        <v/>
      </c>
      <c r="AF566" s="7">
        <f>IF($E566="","",Z566-AE566)</f>
        <v/>
      </c>
      <c r="AG566" s="7">
        <f>IF($E566="","",AF566-Q566)</f>
        <v/>
      </c>
      <c r="AK566" s="7" t="n"/>
      <c r="AN566" s="14" t="n"/>
      <c r="AQ566">
        <f>IF($E566="","",IF(COUNTIF($E$2:$E566,$E566)=1,1,0))</f>
        <v/>
      </c>
      <c r="AR566">
        <f>IF($AQ566=1,SUMPRODUCT(--($AU$2:$AU$1501&lt;$AU566))+1,"")</f>
        <v/>
      </c>
      <c r="AS566">
        <f>IF($E566="","",IF(OR($U566=TRUE(),$U566="TRUE"),1,0))</f>
        <v/>
      </c>
      <c r="AT566">
        <f>IF($E566="","",IF($AC566="Yes",1,0))</f>
        <v/>
      </c>
      <c r="AU566">
        <f>IF($AQ566=1,IFERROR(IF(VALUE($E566)&lt;100000000,VALUE($E566),1000000000),IFERROR(IF(VALUE(MID($E566,2,20))&lt;100000000,VALUE(MID($E566,2,20)),1000000000),1000000000))+ROW()/100000,"")</f>
        <v/>
      </c>
    </row>
    <row r="567">
      <c r="G567" s="14" t="n"/>
      <c r="Q567" s="7">
        <f>IF($E567="","",P567*Z567/100)</f>
        <v/>
      </c>
      <c r="R567" s="7" t="n"/>
      <c r="Y567" s="7" t="n"/>
      <c r="Z567" s="7" t="n"/>
      <c r="AA567" s="7" t="n"/>
      <c r="AD567">
        <f>IF($E567="","",IF($AT567=1,Settings!$C$8,IF($AS567=1,Settings!$C$6,Settings!$C$7))*100)</f>
        <v/>
      </c>
      <c r="AE567" s="7">
        <f>IF($E567="","",Z567*AD567/100)</f>
        <v/>
      </c>
      <c r="AF567" s="7">
        <f>IF($E567="","",Z567-AE567)</f>
        <v/>
      </c>
      <c r="AG567" s="7">
        <f>IF($E567="","",AF567-Q567)</f>
        <v/>
      </c>
      <c r="AK567" s="7" t="n"/>
      <c r="AN567" s="14" t="n"/>
      <c r="AQ567">
        <f>IF($E567="","",IF(COUNTIF($E$2:$E567,$E567)=1,1,0))</f>
        <v/>
      </c>
      <c r="AR567">
        <f>IF($AQ567=1,SUMPRODUCT(--($AU$2:$AU$1501&lt;$AU567))+1,"")</f>
        <v/>
      </c>
      <c r="AS567">
        <f>IF($E567="","",IF(OR($U567=TRUE(),$U567="TRUE"),1,0))</f>
        <v/>
      </c>
      <c r="AT567">
        <f>IF($E567="","",IF($AC567="Yes",1,0))</f>
        <v/>
      </c>
      <c r="AU567">
        <f>IF($AQ567=1,IFERROR(IF(VALUE($E567)&lt;100000000,VALUE($E567),1000000000),IFERROR(IF(VALUE(MID($E567,2,20))&lt;100000000,VALUE(MID($E567,2,20)),1000000000),1000000000))+ROW()/100000,"")</f>
        <v/>
      </c>
    </row>
    <row r="568">
      <c r="G568" s="14" t="n"/>
      <c r="Q568" s="7">
        <f>IF($E568="","",P568*Z568/100)</f>
        <v/>
      </c>
      <c r="R568" s="7" t="n"/>
      <c r="Y568" s="7" t="n"/>
      <c r="Z568" s="7" t="n"/>
      <c r="AA568" s="7" t="n"/>
      <c r="AD568">
        <f>IF($E568="","",IF($AT568=1,Settings!$C$8,IF($AS568=1,Settings!$C$6,Settings!$C$7))*100)</f>
        <v/>
      </c>
      <c r="AE568" s="7">
        <f>IF($E568="","",Z568*AD568/100)</f>
        <v/>
      </c>
      <c r="AF568" s="7">
        <f>IF($E568="","",Z568-AE568)</f>
        <v/>
      </c>
      <c r="AG568" s="7">
        <f>IF($E568="","",AF568-Q568)</f>
        <v/>
      </c>
      <c r="AK568" s="7" t="n"/>
      <c r="AN568" s="14" t="n"/>
      <c r="AQ568">
        <f>IF($E568="","",IF(COUNTIF($E$2:$E568,$E568)=1,1,0))</f>
        <v/>
      </c>
      <c r="AR568">
        <f>IF($AQ568=1,SUMPRODUCT(--($AU$2:$AU$1501&lt;$AU568))+1,"")</f>
        <v/>
      </c>
      <c r="AS568">
        <f>IF($E568="","",IF(OR($U568=TRUE(),$U568="TRUE"),1,0))</f>
        <v/>
      </c>
      <c r="AT568">
        <f>IF($E568="","",IF($AC568="Yes",1,0))</f>
        <v/>
      </c>
      <c r="AU568">
        <f>IF($AQ568=1,IFERROR(IF(VALUE($E568)&lt;100000000,VALUE($E568),1000000000),IFERROR(IF(VALUE(MID($E568,2,20))&lt;100000000,VALUE(MID($E568,2,20)),1000000000),1000000000))+ROW()/100000,"")</f>
        <v/>
      </c>
    </row>
    <row r="569">
      <c r="G569" s="14" t="n"/>
      <c r="Q569" s="7">
        <f>IF($E569="","",P569*Z569/100)</f>
        <v/>
      </c>
      <c r="R569" s="7" t="n"/>
      <c r="Y569" s="7" t="n"/>
      <c r="Z569" s="7" t="n"/>
      <c r="AA569" s="7" t="n"/>
      <c r="AD569">
        <f>IF($E569="","",IF($AT569=1,Settings!$C$8,IF($AS569=1,Settings!$C$6,Settings!$C$7))*100)</f>
        <v/>
      </c>
      <c r="AE569" s="7">
        <f>IF($E569="","",Z569*AD569/100)</f>
        <v/>
      </c>
      <c r="AF569" s="7">
        <f>IF($E569="","",Z569-AE569)</f>
        <v/>
      </c>
      <c r="AG569" s="7">
        <f>IF($E569="","",AF569-Q569)</f>
        <v/>
      </c>
      <c r="AK569" s="7" t="n"/>
      <c r="AN569" s="14" t="n"/>
      <c r="AQ569">
        <f>IF($E569="","",IF(COUNTIF($E$2:$E569,$E569)=1,1,0))</f>
        <v/>
      </c>
      <c r="AR569">
        <f>IF($AQ569=1,SUMPRODUCT(--($AU$2:$AU$1501&lt;$AU569))+1,"")</f>
        <v/>
      </c>
      <c r="AS569">
        <f>IF($E569="","",IF(OR($U569=TRUE(),$U569="TRUE"),1,0))</f>
        <v/>
      </c>
      <c r="AT569">
        <f>IF($E569="","",IF($AC569="Yes",1,0))</f>
        <v/>
      </c>
      <c r="AU569">
        <f>IF($AQ569=1,IFERROR(IF(VALUE($E569)&lt;100000000,VALUE($E569),1000000000),IFERROR(IF(VALUE(MID($E569,2,20))&lt;100000000,VALUE(MID($E569,2,20)),1000000000),1000000000))+ROW()/100000,"")</f>
        <v/>
      </c>
    </row>
    <row r="570">
      <c r="G570" s="14" t="n"/>
      <c r="Q570" s="7">
        <f>IF($E570="","",P570*Z570/100)</f>
        <v/>
      </c>
      <c r="R570" s="7" t="n"/>
      <c r="Y570" s="7" t="n"/>
      <c r="Z570" s="7" t="n"/>
      <c r="AA570" s="7" t="n"/>
      <c r="AD570">
        <f>IF($E570="","",IF($AT570=1,Settings!$C$8,IF($AS570=1,Settings!$C$6,Settings!$C$7))*100)</f>
        <v/>
      </c>
      <c r="AE570" s="7">
        <f>IF($E570="","",Z570*AD570/100)</f>
        <v/>
      </c>
      <c r="AF570" s="7">
        <f>IF($E570="","",Z570-AE570)</f>
        <v/>
      </c>
      <c r="AG570" s="7">
        <f>IF($E570="","",AF570-Q570)</f>
        <v/>
      </c>
      <c r="AK570" s="7" t="n"/>
      <c r="AN570" s="14" t="n"/>
      <c r="AQ570">
        <f>IF($E570="","",IF(COUNTIF($E$2:$E570,$E570)=1,1,0))</f>
        <v/>
      </c>
      <c r="AR570">
        <f>IF($AQ570=1,SUMPRODUCT(--($AU$2:$AU$1501&lt;$AU570))+1,"")</f>
        <v/>
      </c>
      <c r="AS570">
        <f>IF($E570="","",IF(OR($U570=TRUE(),$U570="TRUE"),1,0))</f>
        <v/>
      </c>
      <c r="AT570">
        <f>IF($E570="","",IF($AC570="Yes",1,0))</f>
        <v/>
      </c>
      <c r="AU570">
        <f>IF($AQ570=1,IFERROR(IF(VALUE($E570)&lt;100000000,VALUE($E570),1000000000),IFERROR(IF(VALUE(MID($E570,2,20))&lt;100000000,VALUE(MID($E570,2,20)),1000000000),1000000000))+ROW()/100000,"")</f>
        <v/>
      </c>
    </row>
    <row r="571">
      <c r="G571" s="14" t="n"/>
      <c r="Q571" s="7">
        <f>IF($E571="","",P571*Z571/100)</f>
        <v/>
      </c>
      <c r="R571" s="7" t="n"/>
      <c r="Y571" s="7" t="n"/>
      <c r="Z571" s="7" t="n"/>
      <c r="AA571" s="7" t="n"/>
      <c r="AD571">
        <f>IF($E571="","",IF($AT571=1,Settings!$C$8,IF($AS571=1,Settings!$C$6,Settings!$C$7))*100)</f>
        <v/>
      </c>
      <c r="AE571" s="7">
        <f>IF($E571="","",Z571*AD571/100)</f>
        <v/>
      </c>
      <c r="AF571" s="7">
        <f>IF($E571="","",Z571-AE571)</f>
        <v/>
      </c>
      <c r="AG571" s="7">
        <f>IF($E571="","",AF571-Q571)</f>
        <v/>
      </c>
      <c r="AK571" s="7" t="n"/>
      <c r="AN571" s="14" t="n"/>
      <c r="AQ571">
        <f>IF($E571="","",IF(COUNTIF($E$2:$E571,$E571)=1,1,0))</f>
        <v/>
      </c>
      <c r="AR571">
        <f>IF($AQ571=1,SUMPRODUCT(--($AU$2:$AU$1501&lt;$AU571))+1,"")</f>
        <v/>
      </c>
      <c r="AS571">
        <f>IF($E571="","",IF(OR($U571=TRUE(),$U571="TRUE"),1,0))</f>
        <v/>
      </c>
      <c r="AT571">
        <f>IF($E571="","",IF($AC571="Yes",1,0))</f>
        <v/>
      </c>
      <c r="AU571">
        <f>IF($AQ571=1,IFERROR(IF(VALUE($E571)&lt;100000000,VALUE($E571),1000000000),IFERROR(IF(VALUE(MID($E571,2,20))&lt;100000000,VALUE(MID($E571,2,20)),1000000000),1000000000))+ROW()/100000,"")</f>
        <v/>
      </c>
    </row>
    <row r="572">
      <c r="G572" s="14" t="n"/>
      <c r="Q572" s="7">
        <f>IF($E572="","",P572*Z572/100)</f>
        <v/>
      </c>
      <c r="R572" s="7" t="n"/>
      <c r="Y572" s="7" t="n"/>
      <c r="Z572" s="7" t="n"/>
      <c r="AA572" s="7" t="n"/>
      <c r="AD572">
        <f>IF($E572="","",IF($AT572=1,Settings!$C$8,IF($AS572=1,Settings!$C$6,Settings!$C$7))*100)</f>
        <v/>
      </c>
      <c r="AE572" s="7">
        <f>IF($E572="","",Z572*AD572/100)</f>
        <v/>
      </c>
      <c r="AF572" s="7">
        <f>IF($E572="","",Z572-AE572)</f>
        <v/>
      </c>
      <c r="AG572" s="7">
        <f>IF($E572="","",AF572-Q572)</f>
        <v/>
      </c>
      <c r="AK572" s="7" t="n"/>
      <c r="AN572" s="14" t="n"/>
      <c r="AQ572">
        <f>IF($E572="","",IF(COUNTIF($E$2:$E572,$E572)=1,1,0))</f>
        <v/>
      </c>
      <c r="AR572">
        <f>IF($AQ572=1,SUMPRODUCT(--($AU$2:$AU$1501&lt;$AU572))+1,"")</f>
        <v/>
      </c>
      <c r="AS572">
        <f>IF($E572="","",IF(OR($U572=TRUE(),$U572="TRUE"),1,0))</f>
        <v/>
      </c>
      <c r="AT572">
        <f>IF($E572="","",IF($AC572="Yes",1,0))</f>
        <v/>
      </c>
      <c r="AU572">
        <f>IF($AQ572=1,IFERROR(IF(VALUE($E572)&lt;100000000,VALUE($E572),1000000000),IFERROR(IF(VALUE(MID($E572,2,20))&lt;100000000,VALUE(MID($E572,2,20)),1000000000),1000000000))+ROW()/100000,"")</f>
        <v/>
      </c>
    </row>
    <row r="573">
      <c r="G573" s="14" t="n"/>
      <c r="Q573" s="7">
        <f>IF($E573="","",P573*Z573/100)</f>
        <v/>
      </c>
      <c r="R573" s="7" t="n"/>
      <c r="Y573" s="7" t="n"/>
      <c r="Z573" s="7" t="n"/>
      <c r="AA573" s="7" t="n"/>
      <c r="AD573">
        <f>IF($E573="","",IF($AT573=1,Settings!$C$8,IF($AS573=1,Settings!$C$6,Settings!$C$7))*100)</f>
        <v/>
      </c>
      <c r="AE573" s="7">
        <f>IF($E573="","",Z573*AD573/100)</f>
        <v/>
      </c>
      <c r="AF573" s="7">
        <f>IF($E573="","",Z573-AE573)</f>
        <v/>
      </c>
      <c r="AG573" s="7">
        <f>IF($E573="","",AF573-Q573)</f>
        <v/>
      </c>
      <c r="AK573" s="7" t="n"/>
      <c r="AN573" s="14" t="n"/>
      <c r="AQ573">
        <f>IF($E573="","",IF(COUNTIF($E$2:$E573,$E573)=1,1,0))</f>
        <v/>
      </c>
      <c r="AR573">
        <f>IF($AQ573=1,SUMPRODUCT(--($AU$2:$AU$1501&lt;$AU573))+1,"")</f>
        <v/>
      </c>
      <c r="AS573">
        <f>IF($E573="","",IF(OR($U573=TRUE(),$U573="TRUE"),1,0))</f>
        <v/>
      </c>
      <c r="AT573">
        <f>IF($E573="","",IF($AC573="Yes",1,0))</f>
        <v/>
      </c>
      <c r="AU573">
        <f>IF($AQ573=1,IFERROR(IF(VALUE($E573)&lt;100000000,VALUE($E573),1000000000),IFERROR(IF(VALUE(MID($E573,2,20))&lt;100000000,VALUE(MID($E573,2,20)),1000000000),1000000000))+ROW()/100000,"")</f>
        <v/>
      </c>
    </row>
    <row r="574">
      <c r="G574" s="14" t="n"/>
      <c r="Q574" s="7">
        <f>IF($E574="","",P574*Z574/100)</f>
        <v/>
      </c>
      <c r="R574" s="7" t="n"/>
      <c r="Y574" s="7" t="n"/>
      <c r="Z574" s="7" t="n"/>
      <c r="AA574" s="7" t="n"/>
      <c r="AD574">
        <f>IF($E574="","",IF($AT574=1,Settings!$C$8,IF($AS574=1,Settings!$C$6,Settings!$C$7))*100)</f>
        <v/>
      </c>
      <c r="AE574" s="7">
        <f>IF($E574="","",Z574*AD574/100)</f>
        <v/>
      </c>
      <c r="AF574" s="7">
        <f>IF($E574="","",Z574-AE574)</f>
        <v/>
      </c>
      <c r="AG574" s="7">
        <f>IF($E574="","",AF574-Q574)</f>
        <v/>
      </c>
      <c r="AK574" s="7" t="n"/>
      <c r="AN574" s="14" t="n"/>
      <c r="AQ574">
        <f>IF($E574="","",IF(COUNTIF($E$2:$E574,$E574)=1,1,0))</f>
        <v/>
      </c>
      <c r="AR574">
        <f>IF($AQ574=1,SUMPRODUCT(--($AU$2:$AU$1501&lt;$AU574))+1,"")</f>
        <v/>
      </c>
      <c r="AS574">
        <f>IF($E574="","",IF(OR($U574=TRUE(),$U574="TRUE"),1,0))</f>
        <v/>
      </c>
      <c r="AT574">
        <f>IF($E574="","",IF($AC574="Yes",1,0))</f>
        <v/>
      </c>
      <c r="AU574">
        <f>IF($AQ574=1,IFERROR(IF(VALUE($E574)&lt;100000000,VALUE($E574),1000000000),IFERROR(IF(VALUE(MID($E574,2,20))&lt;100000000,VALUE(MID($E574,2,20)),1000000000),1000000000))+ROW()/100000,"")</f>
        <v/>
      </c>
    </row>
    <row r="575">
      <c r="G575" s="14" t="n"/>
      <c r="Q575" s="7">
        <f>IF($E575="","",P575*Z575/100)</f>
        <v/>
      </c>
      <c r="R575" s="7" t="n"/>
      <c r="Y575" s="7" t="n"/>
      <c r="Z575" s="7" t="n"/>
      <c r="AA575" s="7" t="n"/>
      <c r="AD575">
        <f>IF($E575="","",IF($AT575=1,Settings!$C$8,IF($AS575=1,Settings!$C$6,Settings!$C$7))*100)</f>
        <v/>
      </c>
      <c r="AE575" s="7">
        <f>IF($E575="","",Z575*AD575/100)</f>
        <v/>
      </c>
      <c r="AF575" s="7">
        <f>IF($E575="","",Z575-AE575)</f>
        <v/>
      </c>
      <c r="AG575" s="7">
        <f>IF($E575="","",AF575-Q575)</f>
        <v/>
      </c>
      <c r="AK575" s="7" t="n"/>
      <c r="AN575" s="14" t="n"/>
      <c r="AQ575">
        <f>IF($E575="","",IF(COUNTIF($E$2:$E575,$E575)=1,1,0))</f>
        <v/>
      </c>
      <c r="AR575">
        <f>IF($AQ575=1,SUMPRODUCT(--($AU$2:$AU$1501&lt;$AU575))+1,"")</f>
        <v/>
      </c>
      <c r="AS575">
        <f>IF($E575="","",IF(OR($U575=TRUE(),$U575="TRUE"),1,0))</f>
        <v/>
      </c>
      <c r="AT575">
        <f>IF($E575="","",IF($AC575="Yes",1,0))</f>
        <v/>
      </c>
      <c r="AU575">
        <f>IF($AQ575=1,IFERROR(IF(VALUE($E575)&lt;100000000,VALUE($E575),1000000000),IFERROR(IF(VALUE(MID($E575,2,20))&lt;100000000,VALUE(MID($E575,2,20)),1000000000),1000000000))+ROW()/100000,"")</f>
        <v/>
      </c>
    </row>
    <row r="576">
      <c r="G576" s="14" t="n"/>
      <c r="Q576" s="7">
        <f>IF($E576="","",P576*Z576/100)</f>
        <v/>
      </c>
      <c r="R576" s="7" t="n"/>
      <c r="Y576" s="7" t="n"/>
      <c r="Z576" s="7" t="n"/>
      <c r="AA576" s="7" t="n"/>
      <c r="AD576">
        <f>IF($E576="","",IF($AT576=1,Settings!$C$8,IF($AS576=1,Settings!$C$6,Settings!$C$7))*100)</f>
        <v/>
      </c>
      <c r="AE576" s="7">
        <f>IF($E576="","",Z576*AD576/100)</f>
        <v/>
      </c>
      <c r="AF576" s="7">
        <f>IF($E576="","",Z576-AE576)</f>
        <v/>
      </c>
      <c r="AG576" s="7">
        <f>IF($E576="","",AF576-Q576)</f>
        <v/>
      </c>
      <c r="AK576" s="7" t="n"/>
      <c r="AN576" s="14" t="n"/>
      <c r="AQ576">
        <f>IF($E576="","",IF(COUNTIF($E$2:$E576,$E576)=1,1,0))</f>
        <v/>
      </c>
      <c r="AR576">
        <f>IF($AQ576=1,SUMPRODUCT(--($AU$2:$AU$1501&lt;$AU576))+1,"")</f>
        <v/>
      </c>
      <c r="AS576">
        <f>IF($E576="","",IF(OR($U576=TRUE(),$U576="TRUE"),1,0))</f>
        <v/>
      </c>
      <c r="AT576">
        <f>IF($E576="","",IF($AC576="Yes",1,0))</f>
        <v/>
      </c>
      <c r="AU576">
        <f>IF($AQ576=1,IFERROR(IF(VALUE($E576)&lt;100000000,VALUE($E576),1000000000),IFERROR(IF(VALUE(MID($E576,2,20))&lt;100000000,VALUE(MID($E576,2,20)),1000000000),1000000000))+ROW()/100000,"")</f>
        <v/>
      </c>
    </row>
    <row r="577">
      <c r="G577" s="14" t="n"/>
      <c r="Q577" s="7">
        <f>IF($E577="","",P577*Z577/100)</f>
        <v/>
      </c>
      <c r="R577" s="7" t="n"/>
      <c r="Y577" s="7" t="n"/>
      <c r="Z577" s="7" t="n"/>
      <c r="AA577" s="7" t="n"/>
      <c r="AD577">
        <f>IF($E577="","",IF($AT577=1,Settings!$C$8,IF($AS577=1,Settings!$C$6,Settings!$C$7))*100)</f>
        <v/>
      </c>
      <c r="AE577" s="7">
        <f>IF($E577="","",Z577*AD577/100)</f>
        <v/>
      </c>
      <c r="AF577" s="7">
        <f>IF($E577="","",Z577-AE577)</f>
        <v/>
      </c>
      <c r="AG577" s="7">
        <f>IF($E577="","",AF577-Q577)</f>
        <v/>
      </c>
      <c r="AK577" s="7" t="n"/>
      <c r="AN577" s="14" t="n"/>
      <c r="AQ577">
        <f>IF($E577="","",IF(COUNTIF($E$2:$E577,$E577)=1,1,0))</f>
        <v/>
      </c>
      <c r="AR577">
        <f>IF($AQ577=1,SUMPRODUCT(--($AU$2:$AU$1501&lt;$AU577))+1,"")</f>
        <v/>
      </c>
      <c r="AS577">
        <f>IF($E577="","",IF(OR($U577=TRUE(),$U577="TRUE"),1,0))</f>
        <v/>
      </c>
      <c r="AT577">
        <f>IF($E577="","",IF($AC577="Yes",1,0))</f>
        <v/>
      </c>
      <c r="AU577">
        <f>IF($AQ577=1,IFERROR(IF(VALUE($E577)&lt;100000000,VALUE($E577),1000000000),IFERROR(IF(VALUE(MID($E577,2,20))&lt;100000000,VALUE(MID($E577,2,20)),1000000000),1000000000))+ROW()/100000,"")</f>
        <v/>
      </c>
    </row>
    <row r="578">
      <c r="G578" s="14" t="n"/>
      <c r="Q578" s="7">
        <f>IF($E578="","",P578*Z578/100)</f>
        <v/>
      </c>
      <c r="R578" s="7" t="n"/>
      <c r="Y578" s="7" t="n"/>
      <c r="Z578" s="7" t="n"/>
      <c r="AA578" s="7" t="n"/>
      <c r="AD578">
        <f>IF($E578="","",IF($AT578=1,Settings!$C$8,IF($AS578=1,Settings!$C$6,Settings!$C$7))*100)</f>
        <v/>
      </c>
      <c r="AE578" s="7">
        <f>IF($E578="","",Z578*AD578/100)</f>
        <v/>
      </c>
      <c r="AF578" s="7">
        <f>IF($E578="","",Z578-AE578)</f>
        <v/>
      </c>
      <c r="AG578" s="7">
        <f>IF($E578="","",AF578-Q578)</f>
        <v/>
      </c>
      <c r="AK578" s="7" t="n"/>
      <c r="AN578" s="14" t="n"/>
      <c r="AQ578">
        <f>IF($E578="","",IF(COUNTIF($E$2:$E578,$E578)=1,1,0))</f>
        <v/>
      </c>
      <c r="AR578">
        <f>IF($AQ578=1,SUMPRODUCT(--($AU$2:$AU$1501&lt;$AU578))+1,"")</f>
        <v/>
      </c>
      <c r="AS578">
        <f>IF($E578="","",IF(OR($U578=TRUE(),$U578="TRUE"),1,0))</f>
        <v/>
      </c>
      <c r="AT578">
        <f>IF($E578="","",IF($AC578="Yes",1,0))</f>
        <v/>
      </c>
      <c r="AU578">
        <f>IF($AQ578=1,IFERROR(IF(VALUE($E578)&lt;100000000,VALUE($E578),1000000000),IFERROR(IF(VALUE(MID($E578,2,20))&lt;100000000,VALUE(MID($E578,2,20)),1000000000),1000000000))+ROW()/100000,"")</f>
        <v/>
      </c>
    </row>
    <row r="579">
      <c r="G579" s="14" t="n"/>
      <c r="Q579" s="7">
        <f>IF($E579="","",P579*Z579/100)</f>
        <v/>
      </c>
      <c r="R579" s="7" t="n"/>
      <c r="Y579" s="7" t="n"/>
      <c r="Z579" s="7" t="n"/>
      <c r="AA579" s="7" t="n"/>
      <c r="AD579">
        <f>IF($E579="","",IF($AT579=1,Settings!$C$8,IF($AS579=1,Settings!$C$6,Settings!$C$7))*100)</f>
        <v/>
      </c>
      <c r="AE579" s="7">
        <f>IF($E579="","",Z579*AD579/100)</f>
        <v/>
      </c>
      <c r="AF579" s="7">
        <f>IF($E579="","",Z579-AE579)</f>
        <v/>
      </c>
      <c r="AG579" s="7">
        <f>IF($E579="","",AF579-Q579)</f>
        <v/>
      </c>
      <c r="AK579" s="7" t="n"/>
      <c r="AN579" s="14" t="n"/>
      <c r="AQ579">
        <f>IF($E579="","",IF(COUNTIF($E$2:$E579,$E579)=1,1,0))</f>
        <v/>
      </c>
      <c r="AR579">
        <f>IF($AQ579=1,SUMPRODUCT(--($AU$2:$AU$1501&lt;$AU579))+1,"")</f>
        <v/>
      </c>
      <c r="AS579">
        <f>IF($E579="","",IF(OR($U579=TRUE(),$U579="TRUE"),1,0))</f>
        <v/>
      </c>
      <c r="AT579">
        <f>IF($E579="","",IF($AC579="Yes",1,0))</f>
        <v/>
      </c>
      <c r="AU579">
        <f>IF($AQ579=1,IFERROR(IF(VALUE($E579)&lt;100000000,VALUE($E579),1000000000),IFERROR(IF(VALUE(MID($E579,2,20))&lt;100000000,VALUE(MID($E579,2,20)),1000000000),1000000000))+ROW()/100000,"")</f>
        <v/>
      </c>
    </row>
    <row r="580">
      <c r="G580" s="14" t="n"/>
      <c r="Q580" s="7">
        <f>IF($E580="","",P580*Z580/100)</f>
        <v/>
      </c>
      <c r="R580" s="7" t="n"/>
      <c r="Y580" s="7" t="n"/>
      <c r="Z580" s="7" t="n"/>
      <c r="AA580" s="7" t="n"/>
      <c r="AD580">
        <f>IF($E580="","",IF($AT580=1,Settings!$C$8,IF($AS580=1,Settings!$C$6,Settings!$C$7))*100)</f>
        <v/>
      </c>
      <c r="AE580" s="7">
        <f>IF($E580="","",Z580*AD580/100)</f>
        <v/>
      </c>
      <c r="AF580" s="7">
        <f>IF($E580="","",Z580-AE580)</f>
        <v/>
      </c>
      <c r="AG580" s="7">
        <f>IF($E580="","",AF580-Q580)</f>
        <v/>
      </c>
      <c r="AK580" s="7" t="n"/>
      <c r="AN580" s="14" t="n"/>
      <c r="AQ580">
        <f>IF($E580="","",IF(COUNTIF($E$2:$E580,$E580)=1,1,0))</f>
        <v/>
      </c>
      <c r="AR580">
        <f>IF($AQ580=1,SUMPRODUCT(--($AU$2:$AU$1501&lt;$AU580))+1,"")</f>
        <v/>
      </c>
      <c r="AS580">
        <f>IF($E580="","",IF(OR($U580=TRUE(),$U580="TRUE"),1,0))</f>
        <v/>
      </c>
      <c r="AT580">
        <f>IF($E580="","",IF($AC580="Yes",1,0))</f>
        <v/>
      </c>
      <c r="AU580">
        <f>IF($AQ580=1,IFERROR(IF(VALUE($E580)&lt;100000000,VALUE($E580),1000000000),IFERROR(IF(VALUE(MID($E580,2,20))&lt;100000000,VALUE(MID($E580,2,20)),1000000000),1000000000))+ROW()/100000,"")</f>
        <v/>
      </c>
    </row>
    <row r="581">
      <c r="G581" s="14" t="n"/>
      <c r="Q581" s="7">
        <f>IF($E581="","",P581*Z581/100)</f>
        <v/>
      </c>
      <c r="R581" s="7" t="n"/>
      <c r="Y581" s="7" t="n"/>
      <c r="Z581" s="7" t="n"/>
      <c r="AA581" s="7" t="n"/>
      <c r="AD581">
        <f>IF($E581="","",IF($AT581=1,Settings!$C$8,IF($AS581=1,Settings!$C$6,Settings!$C$7))*100)</f>
        <v/>
      </c>
      <c r="AE581" s="7">
        <f>IF($E581="","",Z581*AD581/100)</f>
        <v/>
      </c>
      <c r="AF581" s="7">
        <f>IF($E581="","",Z581-AE581)</f>
        <v/>
      </c>
      <c r="AG581" s="7">
        <f>IF($E581="","",AF581-Q581)</f>
        <v/>
      </c>
      <c r="AK581" s="7" t="n"/>
      <c r="AN581" s="14" t="n"/>
      <c r="AQ581">
        <f>IF($E581="","",IF(COUNTIF($E$2:$E581,$E581)=1,1,0))</f>
        <v/>
      </c>
      <c r="AR581">
        <f>IF($AQ581=1,SUMPRODUCT(--($AU$2:$AU$1501&lt;$AU581))+1,"")</f>
        <v/>
      </c>
      <c r="AS581">
        <f>IF($E581="","",IF(OR($U581=TRUE(),$U581="TRUE"),1,0))</f>
        <v/>
      </c>
      <c r="AT581">
        <f>IF($E581="","",IF($AC581="Yes",1,0))</f>
        <v/>
      </c>
      <c r="AU581">
        <f>IF($AQ581=1,IFERROR(IF(VALUE($E581)&lt;100000000,VALUE($E581),1000000000),IFERROR(IF(VALUE(MID($E581,2,20))&lt;100000000,VALUE(MID($E581,2,20)),1000000000),1000000000))+ROW()/100000,"")</f>
        <v/>
      </c>
    </row>
    <row r="582">
      <c r="G582" s="14" t="n"/>
      <c r="Q582" s="7">
        <f>IF($E582="","",P582*Z582/100)</f>
        <v/>
      </c>
      <c r="R582" s="7" t="n"/>
      <c r="Y582" s="7" t="n"/>
      <c r="Z582" s="7" t="n"/>
      <c r="AA582" s="7" t="n"/>
      <c r="AD582">
        <f>IF($E582="","",IF($AT582=1,Settings!$C$8,IF($AS582=1,Settings!$C$6,Settings!$C$7))*100)</f>
        <v/>
      </c>
      <c r="AE582" s="7">
        <f>IF($E582="","",Z582*AD582/100)</f>
        <v/>
      </c>
      <c r="AF582" s="7">
        <f>IF($E582="","",Z582-AE582)</f>
        <v/>
      </c>
      <c r="AG582" s="7">
        <f>IF($E582="","",AF582-Q582)</f>
        <v/>
      </c>
      <c r="AK582" s="7" t="n"/>
      <c r="AN582" s="14" t="n"/>
      <c r="AQ582">
        <f>IF($E582="","",IF(COUNTIF($E$2:$E582,$E582)=1,1,0))</f>
        <v/>
      </c>
      <c r="AR582">
        <f>IF($AQ582=1,SUMPRODUCT(--($AU$2:$AU$1501&lt;$AU582))+1,"")</f>
        <v/>
      </c>
      <c r="AS582">
        <f>IF($E582="","",IF(OR($U582=TRUE(),$U582="TRUE"),1,0))</f>
        <v/>
      </c>
      <c r="AT582">
        <f>IF($E582="","",IF($AC582="Yes",1,0))</f>
        <v/>
      </c>
      <c r="AU582">
        <f>IF($AQ582=1,IFERROR(IF(VALUE($E582)&lt;100000000,VALUE($E582),1000000000),IFERROR(IF(VALUE(MID($E582,2,20))&lt;100000000,VALUE(MID($E582,2,20)),1000000000),1000000000))+ROW()/100000,"")</f>
        <v/>
      </c>
    </row>
    <row r="583">
      <c r="G583" s="14" t="n"/>
      <c r="Q583" s="7">
        <f>IF($E583="","",P583*Z583/100)</f>
        <v/>
      </c>
      <c r="R583" s="7" t="n"/>
      <c r="Y583" s="7" t="n"/>
      <c r="Z583" s="7" t="n"/>
      <c r="AA583" s="7" t="n"/>
      <c r="AD583">
        <f>IF($E583="","",IF($AT583=1,Settings!$C$8,IF($AS583=1,Settings!$C$6,Settings!$C$7))*100)</f>
        <v/>
      </c>
      <c r="AE583" s="7">
        <f>IF($E583="","",Z583*AD583/100)</f>
        <v/>
      </c>
      <c r="AF583" s="7">
        <f>IF($E583="","",Z583-AE583)</f>
        <v/>
      </c>
      <c r="AG583" s="7">
        <f>IF($E583="","",AF583-Q583)</f>
        <v/>
      </c>
      <c r="AK583" s="7" t="n"/>
      <c r="AN583" s="14" t="n"/>
      <c r="AQ583">
        <f>IF($E583="","",IF(COUNTIF($E$2:$E583,$E583)=1,1,0))</f>
        <v/>
      </c>
      <c r="AR583">
        <f>IF($AQ583=1,SUMPRODUCT(--($AU$2:$AU$1501&lt;$AU583))+1,"")</f>
        <v/>
      </c>
      <c r="AS583">
        <f>IF($E583="","",IF(OR($U583=TRUE(),$U583="TRUE"),1,0))</f>
        <v/>
      </c>
      <c r="AT583">
        <f>IF($E583="","",IF($AC583="Yes",1,0))</f>
        <v/>
      </c>
      <c r="AU583">
        <f>IF($AQ583=1,IFERROR(IF(VALUE($E583)&lt;100000000,VALUE($E583),1000000000),IFERROR(IF(VALUE(MID($E583,2,20))&lt;100000000,VALUE(MID($E583,2,20)),1000000000),1000000000))+ROW()/100000,"")</f>
        <v/>
      </c>
    </row>
    <row r="584">
      <c r="G584" s="14" t="n"/>
      <c r="Q584" s="7">
        <f>IF($E584="","",P584*Z584/100)</f>
        <v/>
      </c>
      <c r="R584" s="7" t="n"/>
      <c r="Y584" s="7" t="n"/>
      <c r="Z584" s="7" t="n"/>
      <c r="AA584" s="7" t="n"/>
      <c r="AD584">
        <f>IF($E584="","",IF($AT584=1,Settings!$C$8,IF($AS584=1,Settings!$C$6,Settings!$C$7))*100)</f>
        <v/>
      </c>
      <c r="AE584" s="7">
        <f>IF($E584="","",Z584*AD584/100)</f>
        <v/>
      </c>
      <c r="AF584" s="7">
        <f>IF($E584="","",Z584-AE584)</f>
        <v/>
      </c>
      <c r="AG584" s="7">
        <f>IF($E584="","",AF584-Q584)</f>
        <v/>
      </c>
      <c r="AK584" s="7" t="n"/>
      <c r="AN584" s="14" t="n"/>
      <c r="AQ584">
        <f>IF($E584="","",IF(COUNTIF($E$2:$E584,$E584)=1,1,0))</f>
        <v/>
      </c>
      <c r="AR584">
        <f>IF($AQ584=1,SUMPRODUCT(--($AU$2:$AU$1501&lt;$AU584))+1,"")</f>
        <v/>
      </c>
      <c r="AS584">
        <f>IF($E584="","",IF(OR($U584=TRUE(),$U584="TRUE"),1,0))</f>
        <v/>
      </c>
      <c r="AT584">
        <f>IF($E584="","",IF($AC584="Yes",1,0))</f>
        <v/>
      </c>
      <c r="AU584">
        <f>IF($AQ584=1,IFERROR(IF(VALUE($E584)&lt;100000000,VALUE($E584),1000000000),IFERROR(IF(VALUE(MID($E584,2,20))&lt;100000000,VALUE(MID($E584,2,20)),1000000000),1000000000))+ROW()/100000,"")</f>
        <v/>
      </c>
    </row>
    <row r="585">
      <c r="G585" s="14" t="n"/>
      <c r="Q585" s="7">
        <f>IF($E585="","",P585*Z585/100)</f>
        <v/>
      </c>
      <c r="R585" s="7" t="n"/>
      <c r="Y585" s="7" t="n"/>
      <c r="Z585" s="7" t="n"/>
      <c r="AA585" s="7" t="n"/>
      <c r="AD585">
        <f>IF($E585="","",IF($AT585=1,Settings!$C$8,IF($AS585=1,Settings!$C$6,Settings!$C$7))*100)</f>
        <v/>
      </c>
      <c r="AE585" s="7">
        <f>IF($E585="","",Z585*AD585/100)</f>
        <v/>
      </c>
      <c r="AF585" s="7">
        <f>IF($E585="","",Z585-AE585)</f>
        <v/>
      </c>
      <c r="AG585" s="7">
        <f>IF($E585="","",AF585-Q585)</f>
        <v/>
      </c>
      <c r="AK585" s="7" t="n"/>
      <c r="AN585" s="14" t="n"/>
      <c r="AQ585">
        <f>IF($E585="","",IF(COUNTIF($E$2:$E585,$E585)=1,1,0))</f>
        <v/>
      </c>
      <c r="AR585">
        <f>IF($AQ585=1,SUMPRODUCT(--($AU$2:$AU$1501&lt;$AU585))+1,"")</f>
        <v/>
      </c>
      <c r="AS585">
        <f>IF($E585="","",IF(OR($U585=TRUE(),$U585="TRUE"),1,0))</f>
        <v/>
      </c>
      <c r="AT585">
        <f>IF($E585="","",IF($AC585="Yes",1,0))</f>
        <v/>
      </c>
      <c r="AU585">
        <f>IF($AQ585=1,IFERROR(IF(VALUE($E585)&lt;100000000,VALUE($E585),1000000000),IFERROR(IF(VALUE(MID($E585,2,20))&lt;100000000,VALUE(MID($E585,2,20)),1000000000),1000000000))+ROW()/100000,"")</f>
        <v/>
      </c>
    </row>
    <row r="586">
      <c r="G586" s="14" t="n"/>
      <c r="Q586" s="7">
        <f>IF($E586="","",P586*Z586/100)</f>
        <v/>
      </c>
      <c r="R586" s="7" t="n"/>
      <c r="Y586" s="7" t="n"/>
      <c r="Z586" s="7" t="n"/>
      <c r="AA586" s="7" t="n"/>
      <c r="AD586">
        <f>IF($E586="","",IF($AT586=1,Settings!$C$8,IF($AS586=1,Settings!$C$6,Settings!$C$7))*100)</f>
        <v/>
      </c>
      <c r="AE586" s="7">
        <f>IF($E586="","",Z586*AD586/100)</f>
        <v/>
      </c>
      <c r="AF586" s="7">
        <f>IF($E586="","",Z586-AE586)</f>
        <v/>
      </c>
      <c r="AG586" s="7">
        <f>IF($E586="","",AF586-Q586)</f>
        <v/>
      </c>
      <c r="AK586" s="7" t="n"/>
      <c r="AN586" s="14" t="n"/>
      <c r="AQ586">
        <f>IF($E586="","",IF(COUNTIF($E$2:$E586,$E586)=1,1,0))</f>
        <v/>
      </c>
      <c r="AR586">
        <f>IF($AQ586=1,SUMPRODUCT(--($AU$2:$AU$1501&lt;$AU586))+1,"")</f>
        <v/>
      </c>
      <c r="AS586">
        <f>IF($E586="","",IF(OR($U586=TRUE(),$U586="TRUE"),1,0))</f>
        <v/>
      </c>
      <c r="AT586">
        <f>IF($E586="","",IF($AC586="Yes",1,0))</f>
        <v/>
      </c>
      <c r="AU586">
        <f>IF($AQ586=1,IFERROR(IF(VALUE($E586)&lt;100000000,VALUE($E586),1000000000),IFERROR(IF(VALUE(MID($E586,2,20))&lt;100000000,VALUE(MID($E586,2,20)),1000000000),1000000000))+ROW()/100000,"")</f>
        <v/>
      </c>
    </row>
    <row r="587">
      <c r="G587" s="14" t="n"/>
      <c r="Q587" s="7">
        <f>IF($E587="","",P587*Z587/100)</f>
        <v/>
      </c>
      <c r="R587" s="7" t="n"/>
      <c r="Y587" s="7" t="n"/>
      <c r="Z587" s="7" t="n"/>
      <c r="AA587" s="7" t="n"/>
      <c r="AD587">
        <f>IF($E587="","",IF($AT587=1,Settings!$C$8,IF($AS587=1,Settings!$C$6,Settings!$C$7))*100)</f>
        <v/>
      </c>
      <c r="AE587" s="7">
        <f>IF($E587="","",Z587*AD587/100)</f>
        <v/>
      </c>
      <c r="AF587" s="7">
        <f>IF($E587="","",Z587-AE587)</f>
        <v/>
      </c>
      <c r="AG587" s="7">
        <f>IF($E587="","",AF587-Q587)</f>
        <v/>
      </c>
      <c r="AK587" s="7" t="n"/>
      <c r="AN587" s="14" t="n"/>
      <c r="AQ587">
        <f>IF($E587="","",IF(COUNTIF($E$2:$E587,$E587)=1,1,0))</f>
        <v/>
      </c>
      <c r="AR587">
        <f>IF($AQ587=1,SUMPRODUCT(--($AU$2:$AU$1501&lt;$AU587))+1,"")</f>
        <v/>
      </c>
      <c r="AS587">
        <f>IF($E587="","",IF(OR($U587=TRUE(),$U587="TRUE"),1,0))</f>
        <v/>
      </c>
      <c r="AT587">
        <f>IF($E587="","",IF($AC587="Yes",1,0))</f>
        <v/>
      </c>
      <c r="AU587">
        <f>IF($AQ587=1,IFERROR(IF(VALUE($E587)&lt;100000000,VALUE($E587),1000000000),IFERROR(IF(VALUE(MID($E587,2,20))&lt;100000000,VALUE(MID($E587,2,20)),1000000000),1000000000))+ROW()/100000,"")</f>
        <v/>
      </c>
    </row>
    <row r="588">
      <c r="G588" s="14" t="n"/>
      <c r="Q588" s="7">
        <f>IF($E588="","",P588*Z588/100)</f>
        <v/>
      </c>
      <c r="R588" s="7" t="n"/>
      <c r="Y588" s="7" t="n"/>
      <c r="Z588" s="7" t="n"/>
      <c r="AA588" s="7" t="n"/>
      <c r="AD588">
        <f>IF($E588="","",IF($AT588=1,Settings!$C$8,IF($AS588=1,Settings!$C$6,Settings!$C$7))*100)</f>
        <v/>
      </c>
      <c r="AE588" s="7">
        <f>IF($E588="","",Z588*AD588/100)</f>
        <v/>
      </c>
      <c r="AF588" s="7">
        <f>IF($E588="","",Z588-AE588)</f>
        <v/>
      </c>
      <c r="AG588" s="7">
        <f>IF($E588="","",AF588-Q588)</f>
        <v/>
      </c>
      <c r="AK588" s="7" t="n"/>
      <c r="AN588" s="14" t="n"/>
      <c r="AQ588">
        <f>IF($E588="","",IF(COUNTIF($E$2:$E588,$E588)=1,1,0))</f>
        <v/>
      </c>
      <c r="AR588">
        <f>IF($AQ588=1,SUMPRODUCT(--($AU$2:$AU$1501&lt;$AU588))+1,"")</f>
        <v/>
      </c>
      <c r="AS588">
        <f>IF($E588="","",IF(OR($U588=TRUE(),$U588="TRUE"),1,0))</f>
        <v/>
      </c>
      <c r="AT588">
        <f>IF($E588="","",IF($AC588="Yes",1,0))</f>
        <v/>
      </c>
      <c r="AU588">
        <f>IF($AQ588=1,IFERROR(IF(VALUE($E588)&lt;100000000,VALUE($E588),1000000000),IFERROR(IF(VALUE(MID($E588,2,20))&lt;100000000,VALUE(MID($E588,2,20)),1000000000),1000000000))+ROW()/100000,"")</f>
        <v/>
      </c>
    </row>
    <row r="589">
      <c r="G589" s="14" t="n"/>
      <c r="Q589" s="7">
        <f>IF($E589="","",P589*Z589/100)</f>
        <v/>
      </c>
      <c r="R589" s="7" t="n"/>
      <c r="Y589" s="7" t="n"/>
      <c r="Z589" s="7" t="n"/>
      <c r="AA589" s="7" t="n"/>
      <c r="AD589">
        <f>IF($E589="","",IF($AT589=1,Settings!$C$8,IF($AS589=1,Settings!$C$6,Settings!$C$7))*100)</f>
        <v/>
      </c>
      <c r="AE589" s="7">
        <f>IF($E589="","",Z589*AD589/100)</f>
        <v/>
      </c>
      <c r="AF589" s="7">
        <f>IF($E589="","",Z589-AE589)</f>
        <v/>
      </c>
      <c r="AG589" s="7">
        <f>IF($E589="","",AF589-Q589)</f>
        <v/>
      </c>
      <c r="AK589" s="7" t="n"/>
      <c r="AN589" s="14" t="n"/>
      <c r="AQ589">
        <f>IF($E589="","",IF(COUNTIF($E$2:$E589,$E589)=1,1,0))</f>
        <v/>
      </c>
      <c r="AR589">
        <f>IF($AQ589=1,SUMPRODUCT(--($AU$2:$AU$1501&lt;$AU589))+1,"")</f>
        <v/>
      </c>
      <c r="AS589">
        <f>IF($E589="","",IF(OR($U589=TRUE(),$U589="TRUE"),1,0))</f>
        <v/>
      </c>
      <c r="AT589">
        <f>IF($E589="","",IF($AC589="Yes",1,0))</f>
        <v/>
      </c>
      <c r="AU589">
        <f>IF($AQ589=1,IFERROR(IF(VALUE($E589)&lt;100000000,VALUE($E589),1000000000),IFERROR(IF(VALUE(MID($E589,2,20))&lt;100000000,VALUE(MID($E589,2,20)),1000000000),1000000000))+ROW()/100000,"")</f>
        <v/>
      </c>
    </row>
    <row r="590">
      <c r="G590" s="14" t="n"/>
      <c r="Q590" s="7">
        <f>IF($E590="","",P590*Z590/100)</f>
        <v/>
      </c>
      <c r="R590" s="7" t="n"/>
      <c r="Y590" s="7" t="n"/>
      <c r="Z590" s="7" t="n"/>
      <c r="AA590" s="7" t="n"/>
      <c r="AD590">
        <f>IF($E590="","",IF($AT590=1,Settings!$C$8,IF($AS590=1,Settings!$C$6,Settings!$C$7))*100)</f>
        <v/>
      </c>
      <c r="AE590" s="7">
        <f>IF($E590="","",Z590*AD590/100)</f>
        <v/>
      </c>
      <c r="AF590" s="7">
        <f>IF($E590="","",Z590-AE590)</f>
        <v/>
      </c>
      <c r="AG590" s="7">
        <f>IF($E590="","",AF590-Q590)</f>
        <v/>
      </c>
      <c r="AK590" s="7" t="n"/>
      <c r="AN590" s="14" t="n"/>
      <c r="AQ590">
        <f>IF($E590="","",IF(COUNTIF($E$2:$E590,$E590)=1,1,0))</f>
        <v/>
      </c>
      <c r="AR590">
        <f>IF($AQ590=1,SUMPRODUCT(--($AU$2:$AU$1501&lt;$AU590))+1,"")</f>
        <v/>
      </c>
      <c r="AS590">
        <f>IF($E590="","",IF(OR($U590=TRUE(),$U590="TRUE"),1,0))</f>
        <v/>
      </c>
      <c r="AT590">
        <f>IF($E590="","",IF($AC590="Yes",1,0))</f>
        <v/>
      </c>
      <c r="AU590">
        <f>IF($AQ590=1,IFERROR(IF(VALUE($E590)&lt;100000000,VALUE($E590),1000000000),IFERROR(IF(VALUE(MID($E590,2,20))&lt;100000000,VALUE(MID($E590,2,20)),1000000000),1000000000))+ROW()/100000,"")</f>
        <v/>
      </c>
    </row>
    <row r="591">
      <c r="G591" s="14" t="n"/>
      <c r="Q591" s="7">
        <f>IF($E591="","",P591*Z591/100)</f>
        <v/>
      </c>
      <c r="R591" s="7" t="n"/>
      <c r="Y591" s="7" t="n"/>
      <c r="Z591" s="7" t="n"/>
      <c r="AA591" s="7" t="n"/>
      <c r="AD591">
        <f>IF($E591="","",IF($AT591=1,Settings!$C$8,IF($AS591=1,Settings!$C$6,Settings!$C$7))*100)</f>
        <v/>
      </c>
      <c r="AE591" s="7">
        <f>IF($E591="","",Z591*AD591/100)</f>
        <v/>
      </c>
      <c r="AF591" s="7">
        <f>IF($E591="","",Z591-AE591)</f>
        <v/>
      </c>
      <c r="AG591" s="7">
        <f>IF($E591="","",AF591-Q591)</f>
        <v/>
      </c>
      <c r="AK591" s="7" t="n"/>
      <c r="AN591" s="14" t="n"/>
      <c r="AQ591">
        <f>IF($E591="","",IF(COUNTIF($E$2:$E591,$E591)=1,1,0))</f>
        <v/>
      </c>
      <c r="AR591">
        <f>IF($AQ591=1,SUMPRODUCT(--($AU$2:$AU$1501&lt;$AU591))+1,"")</f>
        <v/>
      </c>
      <c r="AS591">
        <f>IF($E591="","",IF(OR($U591=TRUE(),$U591="TRUE"),1,0))</f>
        <v/>
      </c>
      <c r="AT591">
        <f>IF($E591="","",IF($AC591="Yes",1,0))</f>
        <v/>
      </c>
      <c r="AU591">
        <f>IF($AQ591=1,IFERROR(IF(VALUE($E591)&lt;100000000,VALUE($E591),1000000000),IFERROR(IF(VALUE(MID($E591,2,20))&lt;100000000,VALUE(MID($E591,2,20)),1000000000),1000000000))+ROW()/100000,"")</f>
        <v/>
      </c>
    </row>
    <row r="592">
      <c r="G592" s="14" t="n"/>
      <c r="Q592" s="7">
        <f>IF($E592="","",P592*Z592/100)</f>
        <v/>
      </c>
      <c r="R592" s="7" t="n"/>
      <c r="Y592" s="7" t="n"/>
      <c r="Z592" s="7" t="n"/>
      <c r="AA592" s="7" t="n"/>
      <c r="AD592">
        <f>IF($E592="","",IF($AT592=1,Settings!$C$8,IF($AS592=1,Settings!$C$6,Settings!$C$7))*100)</f>
        <v/>
      </c>
      <c r="AE592" s="7">
        <f>IF($E592="","",Z592*AD592/100)</f>
        <v/>
      </c>
      <c r="AF592" s="7">
        <f>IF($E592="","",Z592-AE592)</f>
        <v/>
      </c>
      <c r="AG592" s="7">
        <f>IF($E592="","",AF592-Q592)</f>
        <v/>
      </c>
      <c r="AK592" s="7" t="n"/>
      <c r="AN592" s="14" t="n"/>
      <c r="AQ592">
        <f>IF($E592="","",IF(COUNTIF($E$2:$E592,$E592)=1,1,0))</f>
        <v/>
      </c>
      <c r="AR592">
        <f>IF($AQ592=1,SUMPRODUCT(--($AU$2:$AU$1501&lt;$AU592))+1,"")</f>
        <v/>
      </c>
      <c r="AS592">
        <f>IF($E592="","",IF(OR($U592=TRUE(),$U592="TRUE"),1,0))</f>
        <v/>
      </c>
      <c r="AT592">
        <f>IF($E592="","",IF($AC592="Yes",1,0))</f>
        <v/>
      </c>
      <c r="AU592">
        <f>IF($AQ592=1,IFERROR(IF(VALUE($E592)&lt;100000000,VALUE($E592),1000000000),IFERROR(IF(VALUE(MID($E592,2,20))&lt;100000000,VALUE(MID($E592,2,20)),1000000000),1000000000))+ROW()/100000,"")</f>
        <v/>
      </c>
    </row>
    <row r="593">
      <c r="G593" s="14" t="n"/>
      <c r="Q593" s="7">
        <f>IF($E593="","",P593*Z593/100)</f>
        <v/>
      </c>
      <c r="R593" s="7" t="n"/>
      <c r="Y593" s="7" t="n"/>
      <c r="Z593" s="7" t="n"/>
      <c r="AA593" s="7" t="n"/>
      <c r="AD593">
        <f>IF($E593="","",IF($AT593=1,Settings!$C$8,IF($AS593=1,Settings!$C$6,Settings!$C$7))*100)</f>
        <v/>
      </c>
      <c r="AE593" s="7">
        <f>IF($E593="","",Z593*AD593/100)</f>
        <v/>
      </c>
      <c r="AF593" s="7">
        <f>IF($E593="","",Z593-AE593)</f>
        <v/>
      </c>
      <c r="AG593" s="7">
        <f>IF($E593="","",AF593-Q593)</f>
        <v/>
      </c>
      <c r="AK593" s="7" t="n"/>
      <c r="AN593" s="14" t="n"/>
      <c r="AQ593">
        <f>IF($E593="","",IF(COUNTIF($E$2:$E593,$E593)=1,1,0))</f>
        <v/>
      </c>
      <c r="AR593">
        <f>IF($AQ593=1,SUMPRODUCT(--($AU$2:$AU$1501&lt;$AU593))+1,"")</f>
        <v/>
      </c>
      <c r="AS593">
        <f>IF($E593="","",IF(OR($U593=TRUE(),$U593="TRUE"),1,0))</f>
        <v/>
      </c>
      <c r="AT593">
        <f>IF($E593="","",IF($AC593="Yes",1,0))</f>
        <v/>
      </c>
      <c r="AU593">
        <f>IF($AQ593=1,IFERROR(IF(VALUE($E593)&lt;100000000,VALUE($E593),1000000000),IFERROR(IF(VALUE(MID($E593,2,20))&lt;100000000,VALUE(MID($E593,2,20)),1000000000),1000000000))+ROW()/100000,"")</f>
        <v/>
      </c>
    </row>
    <row r="594">
      <c r="G594" s="14" t="n"/>
      <c r="Q594" s="7">
        <f>IF($E594="","",P594*Z594/100)</f>
        <v/>
      </c>
      <c r="R594" s="7" t="n"/>
      <c r="Y594" s="7" t="n"/>
      <c r="Z594" s="7" t="n"/>
      <c r="AA594" s="7" t="n"/>
      <c r="AD594">
        <f>IF($E594="","",IF($AT594=1,Settings!$C$8,IF($AS594=1,Settings!$C$6,Settings!$C$7))*100)</f>
        <v/>
      </c>
      <c r="AE594" s="7">
        <f>IF($E594="","",Z594*AD594/100)</f>
        <v/>
      </c>
      <c r="AF594" s="7">
        <f>IF($E594="","",Z594-AE594)</f>
        <v/>
      </c>
      <c r="AG594" s="7">
        <f>IF($E594="","",AF594-Q594)</f>
        <v/>
      </c>
      <c r="AK594" s="7" t="n"/>
      <c r="AN594" s="14" t="n"/>
      <c r="AQ594">
        <f>IF($E594="","",IF(COUNTIF($E$2:$E594,$E594)=1,1,0))</f>
        <v/>
      </c>
      <c r="AR594">
        <f>IF($AQ594=1,SUMPRODUCT(--($AU$2:$AU$1501&lt;$AU594))+1,"")</f>
        <v/>
      </c>
      <c r="AS594">
        <f>IF($E594="","",IF(OR($U594=TRUE(),$U594="TRUE"),1,0))</f>
        <v/>
      </c>
      <c r="AT594">
        <f>IF($E594="","",IF($AC594="Yes",1,0))</f>
        <v/>
      </c>
      <c r="AU594">
        <f>IF($AQ594=1,IFERROR(IF(VALUE($E594)&lt;100000000,VALUE($E594),1000000000),IFERROR(IF(VALUE(MID($E594,2,20))&lt;100000000,VALUE(MID($E594,2,20)),1000000000),1000000000))+ROW()/100000,"")</f>
        <v/>
      </c>
    </row>
    <row r="595">
      <c r="G595" s="14" t="n"/>
      <c r="Q595" s="7">
        <f>IF($E595="","",P595*Z595/100)</f>
        <v/>
      </c>
      <c r="R595" s="7" t="n"/>
      <c r="Y595" s="7" t="n"/>
      <c r="Z595" s="7" t="n"/>
      <c r="AA595" s="7" t="n"/>
      <c r="AD595">
        <f>IF($E595="","",IF($AT595=1,Settings!$C$8,IF($AS595=1,Settings!$C$6,Settings!$C$7))*100)</f>
        <v/>
      </c>
      <c r="AE595" s="7">
        <f>IF($E595="","",Z595*AD595/100)</f>
        <v/>
      </c>
      <c r="AF595" s="7">
        <f>IF($E595="","",Z595-AE595)</f>
        <v/>
      </c>
      <c r="AG595" s="7">
        <f>IF($E595="","",AF595-Q595)</f>
        <v/>
      </c>
      <c r="AK595" s="7" t="n"/>
      <c r="AN595" s="14" t="n"/>
      <c r="AQ595">
        <f>IF($E595="","",IF(COUNTIF($E$2:$E595,$E595)=1,1,0))</f>
        <v/>
      </c>
      <c r="AR595">
        <f>IF($AQ595=1,SUMPRODUCT(--($AU$2:$AU$1501&lt;$AU595))+1,"")</f>
        <v/>
      </c>
      <c r="AS595">
        <f>IF($E595="","",IF(OR($U595=TRUE(),$U595="TRUE"),1,0))</f>
        <v/>
      </c>
      <c r="AT595">
        <f>IF($E595="","",IF($AC595="Yes",1,0))</f>
        <v/>
      </c>
      <c r="AU595">
        <f>IF($AQ595=1,IFERROR(IF(VALUE($E595)&lt;100000000,VALUE($E595),1000000000),IFERROR(IF(VALUE(MID($E595,2,20))&lt;100000000,VALUE(MID($E595,2,20)),1000000000),1000000000))+ROW()/100000,"")</f>
        <v/>
      </c>
    </row>
    <row r="596">
      <c r="G596" s="14" t="n"/>
      <c r="Q596" s="7">
        <f>IF($E596="","",P596*Z596/100)</f>
        <v/>
      </c>
      <c r="R596" s="7" t="n"/>
      <c r="Y596" s="7" t="n"/>
      <c r="Z596" s="7" t="n"/>
      <c r="AA596" s="7" t="n"/>
      <c r="AD596">
        <f>IF($E596="","",IF($AT596=1,Settings!$C$8,IF($AS596=1,Settings!$C$6,Settings!$C$7))*100)</f>
        <v/>
      </c>
      <c r="AE596" s="7">
        <f>IF($E596="","",Z596*AD596/100)</f>
        <v/>
      </c>
      <c r="AF596" s="7">
        <f>IF($E596="","",Z596-AE596)</f>
        <v/>
      </c>
      <c r="AG596" s="7">
        <f>IF($E596="","",AF596-Q596)</f>
        <v/>
      </c>
      <c r="AK596" s="7" t="n"/>
      <c r="AN596" s="14" t="n"/>
      <c r="AQ596">
        <f>IF($E596="","",IF(COUNTIF($E$2:$E596,$E596)=1,1,0))</f>
        <v/>
      </c>
      <c r="AR596">
        <f>IF($AQ596=1,SUMPRODUCT(--($AU$2:$AU$1501&lt;$AU596))+1,"")</f>
        <v/>
      </c>
      <c r="AS596">
        <f>IF($E596="","",IF(OR($U596=TRUE(),$U596="TRUE"),1,0))</f>
        <v/>
      </c>
      <c r="AT596">
        <f>IF($E596="","",IF($AC596="Yes",1,0))</f>
        <v/>
      </c>
      <c r="AU596">
        <f>IF($AQ596=1,IFERROR(IF(VALUE($E596)&lt;100000000,VALUE($E596),1000000000),IFERROR(IF(VALUE(MID($E596,2,20))&lt;100000000,VALUE(MID($E596,2,20)),1000000000),1000000000))+ROW()/100000,"")</f>
        <v/>
      </c>
    </row>
    <row r="597">
      <c r="G597" s="14" t="n"/>
      <c r="Q597" s="7">
        <f>IF($E597="","",P597*Z597/100)</f>
        <v/>
      </c>
      <c r="R597" s="7" t="n"/>
      <c r="Y597" s="7" t="n"/>
      <c r="Z597" s="7" t="n"/>
      <c r="AA597" s="7" t="n"/>
      <c r="AD597">
        <f>IF($E597="","",IF($AT597=1,Settings!$C$8,IF($AS597=1,Settings!$C$6,Settings!$C$7))*100)</f>
        <v/>
      </c>
      <c r="AE597" s="7">
        <f>IF($E597="","",Z597*AD597/100)</f>
        <v/>
      </c>
      <c r="AF597" s="7">
        <f>IF($E597="","",Z597-AE597)</f>
        <v/>
      </c>
      <c r="AG597" s="7">
        <f>IF($E597="","",AF597-Q597)</f>
        <v/>
      </c>
      <c r="AK597" s="7" t="n"/>
      <c r="AN597" s="14" t="n"/>
      <c r="AQ597">
        <f>IF($E597="","",IF(COUNTIF($E$2:$E597,$E597)=1,1,0))</f>
        <v/>
      </c>
      <c r="AR597">
        <f>IF($AQ597=1,SUMPRODUCT(--($AU$2:$AU$1501&lt;$AU597))+1,"")</f>
        <v/>
      </c>
      <c r="AS597">
        <f>IF($E597="","",IF(OR($U597=TRUE(),$U597="TRUE"),1,0))</f>
        <v/>
      </c>
      <c r="AT597">
        <f>IF($E597="","",IF($AC597="Yes",1,0))</f>
        <v/>
      </c>
      <c r="AU597">
        <f>IF($AQ597=1,IFERROR(IF(VALUE($E597)&lt;100000000,VALUE($E597),1000000000),IFERROR(IF(VALUE(MID($E597,2,20))&lt;100000000,VALUE(MID($E597,2,20)),1000000000),1000000000))+ROW()/100000,"")</f>
        <v/>
      </c>
    </row>
    <row r="598">
      <c r="G598" s="14" t="n"/>
      <c r="Q598" s="7">
        <f>IF($E598="","",P598*Z598/100)</f>
        <v/>
      </c>
      <c r="R598" s="7" t="n"/>
      <c r="Y598" s="7" t="n"/>
      <c r="Z598" s="7" t="n"/>
      <c r="AA598" s="7" t="n"/>
      <c r="AD598">
        <f>IF($E598="","",IF($AT598=1,Settings!$C$8,IF($AS598=1,Settings!$C$6,Settings!$C$7))*100)</f>
        <v/>
      </c>
      <c r="AE598" s="7">
        <f>IF($E598="","",Z598*AD598/100)</f>
        <v/>
      </c>
      <c r="AF598" s="7">
        <f>IF($E598="","",Z598-AE598)</f>
        <v/>
      </c>
      <c r="AG598" s="7">
        <f>IF($E598="","",AF598-Q598)</f>
        <v/>
      </c>
      <c r="AK598" s="7" t="n"/>
      <c r="AN598" s="14" t="n"/>
      <c r="AQ598">
        <f>IF($E598="","",IF(COUNTIF($E$2:$E598,$E598)=1,1,0))</f>
        <v/>
      </c>
      <c r="AR598">
        <f>IF($AQ598=1,SUMPRODUCT(--($AU$2:$AU$1501&lt;$AU598))+1,"")</f>
        <v/>
      </c>
      <c r="AS598">
        <f>IF($E598="","",IF(OR($U598=TRUE(),$U598="TRUE"),1,0))</f>
        <v/>
      </c>
      <c r="AT598">
        <f>IF($E598="","",IF($AC598="Yes",1,0))</f>
        <v/>
      </c>
      <c r="AU598">
        <f>IF($AQ598=1,IFERROR(IF(VALUE($E598)&lt;100000000,VALUE($E598),1000000000),IFERROR(IF(VALUE(MID($E598,2,20))&lt;100000000,VALUE(MID($E598,2,20)),1000000000),1000000000))+ROW()/100000,"")</f>
        <v/>
      </c>
    </row>
    <row r="599">
      <c r="G599" s="14" t="n"/>
      <c r="Q599" s="7">
        <f>IF($E599="","",P599*Z599/100)</f>
        <v/>
      </c>
      <c r="R599" s="7" t="n"/>
      <c r="Y599" s="7" t="n"/>
      <c r="Z599" s="7" t="n"/>
      <c r="AA599" s="7" t="n"/>
      <c r="AD599">
        <f>IF($E599="","",IF($AT599=1,Settings!$C$8,IF($AS599=1,Settings!$C$6,Settings!$C$7))*100)</f>
        <v/>
      </c>
      <c r="AE599" s="7">
        <f>IF($E599="","",Z599*AD599/100)</f>
        <v/>
      </c>
      <c r="AF599" s="7">
        <f>IF($E599="","",Z599-AE599)</f>
        <v/>
      </c>
      <c r="AG599" s="7">
        <f>IF($E599="","",AF599-Q599)</f>
        <v/>
      </c>
      <c r="AK599" s="7" t="n"/>
      <c r="AN599" s="14" t="n"/>
      <c r="AQ599">
        <f>IF($E599="","",IF(COUNTIF($E$2:$E599,$E599)=1,1,0))</f>
        <v/>
      </c>
      <c r="AR599">
        <f>IF($AQ599=1,SUMPRODUCT(--($AU$2:$AU$1501&lt;$AU599))+1,"")</f>
        <v/>
      </c>
      <c r="AS599">
        <f>IF($E599="","",IF(OR($U599=TRUE(),$U599="TRUE"),1,0))</f>
        <v/>
      </c>
      <c r="AT599">
        <f>IF($E599="","",IF($AC599="Yes",1,0))</f>
        <v/>
      </c>
      <c r="AU599">
        <f>IF($AQ599=1,IFERROR(IF(VALUE($E599)&lt;100000000,VALUE($E599),1000000000),IFERROR(IF(VALUE(MID($E599,2,20))&lt;100000000,VALUE(MID($E599,2,20)),1000000000),1000000000))+ROW()/100000,"")</f>
        <v/>
      </c>
    </row>
    <row r="600">
      <c r="G600" s="14" t="n"/>
      <c r="Q600" s="7">
        <f>IF($E600="","",P600*Z600/100)</f>
        <v/>
      </c>
      <c r="R600" s="7" t="n"/>
      <c r="Y600" s="7" t="n"/>
      <c r="Z600" s="7" t="n"/>
      <c r="AA600" s="7" t="n"/>
      <c r="AD600">
        <f>IF($E600="","",IF($AT600=1,Settings!$C$8,IF($AS600=1,Settings!$C$6,Settings!$C$7))*100)</f>
        <v/>
      </c>
      <c r="AE600" s="7">
        <f>IF($E600="","",Z600*AD600/100)</f>
        <v/>
      </c>
      <c r="AF600" s="7">
        <f>IF($E600="","",Z600-AE600)</f>
        <v/>
      </c>
      <c r="AG600" s="7">
        <f>IF($E600="","",AF600-Q600)</f>
        <v/>
      </c>
      <c r="AK600" s="7" t="n"/>
      <c r="AN600" s="14" t="n"/>
      <c r="AQ600">
        <f>IF($E600="","",IF(COUNTIF($E$2:$E600,$E600)=1,1,0))</f>
        <v/>
      </c>
      <c r="AR600">
        <f>IF($AQ600=1,SUMPRODUCT(--($AU$2:$AU$1501&lt;$AU600))+1,"")</f>
        <v/>
      </c>
      <c r="AS600">
        <f>IF($E600="","",IF(OR($U600=TRUE(),$U600="TRUE"),1,0))</f>
        <v/>
      </c>
      <c r="AT600">
        <f>IF($E600="","",IF($AC600="Yes",1,0))</f>
        <v/>
      </c>
      <c r="AU600">
        <f>IF($AQ600=1,IFERROR(IF(VALUE($E600)&lt;100000000,VALUE($E600),1000000000),IFERROR(IF(VALUE(MID($E600,2,20))&lt;100000000,VALUE(MID($E600,2,20)),1000000000),1000000000))+ROW()/100000,"")</f>
        <v/>
      </c>
    </row>
    <row r="601">
      <c r="G601" s="14" t="n"/>
      <c r="Q601" s="7">
        <f>IF($E601="","",P601*Z601/100)</f>
        <v/>
      </c>
      <c r="R601" s="7" t="n"/>
      <c r="Y601" s="7" t="n"/>
      <c r="Z601" s="7" t="n"/>
      <c r="AA601" s="7" t="n"/>
      <c r="AD601">
        <f>IF($E601="","",IF($AT601=1,Settings!$C$8,IF($AS601=1,Settings!$C$6,Settings!$C$7))*100)</f>
        <v/>
      </c>
      <c r="AE601" s="7">
        <f>IF($E601="","",Z601*AD601/100)</f>
        <v/>
      </c>
      <c r="AF601" s="7">
        <f>IF($E601="","",Z601-AE601)</f>
        <v/>
      </c>
      <c r="AG601" s="7">
        <f>IF($E601="","",AF601-Q601)</f>
        <v/>
      </c>
      <c r="AK601" s="7" t="n"/>
      <c r="AN601" s="14" t="n"/>
      <c r="AQ601">
        <f>IF($E601="","",IF(COUNTIF($E$2:$E601,$E601)=1,1,0))</f>
        <v/>
      </c>
      <c r="AR601">
        <f>IF($AQ601=1,SUMPRODUCT(--($AU$2:$AU$1501&lt;$AU601))+1,"")</f>
        <v/>
      </c>
      <c r="AS601">
        <f>IF($E601="","",IF(OR($U601=TRUE(),$U601="TRUE"),1,0))</f>
        <v/>
      </c>
      <c r="AT601">
        <f>IF($E601="","",IF($AC601="Yes",1,0))</f>
        <v/>
      </c>
      <c r="AU601">
        <f>IF($AQ601=1,IFERROR(IF(VALUE($E601)&lt;100000000,VALUE($E601),1000000000),IFERROR(IF(VALUE(MID($E601,2,20))&lt;100000000,VALUE(MID($E601,2,20)),1000000000),1000000000))+ROW()/100000,"")</f>
        <v/>
      </c>
    </row>
    <row r="602">
      <c r="G602" s="14" t="n"/>
      <c r="Q602" s="7">
        <f>IF($E602="","",P602*Z602/100)</f>
        <v/>
      </c>
      <c r="R602" s="7" t="n"/>
      <c r="Y602" s="7" t="n"/>
      <c r="Z602" s="7" t="n"/>
      <c r="AA602" s="7" t="n"/>
      <c r="AD602">
        <f>IF($E602="","",IF($AT602=1,Settings!$C$8,IF($AS602=1,Settings!$C$6,Settings!$C$7))*100)</f>
        <v/>
      </c>
      <c r="AE602" s="7">
        <f>IF($E602="","",Z602*AD602/100)</f>
        <v/>
      </c>
      <c r="AF602" s="7">
        <f>IF($E602="","",Z602-AE602)</f>
        <v/>
      </c>
      <c r="AG602" s="7">
        <f>IF($E602="","",AF602-Q602)</f>
        <v/>
      </c>
      <c r="AK602" s="7" t="n"/>
      <c r="AN602" s="14" t="n"/>
      <c r="AQ602">
        <f>IF($E602="","",IF(COUNTIF($E$2:$E602,$E602)=1,1,0))</f>
        <v/>
      </c>
      <c r="AR602">
        <f>IF($AQ602=1,SUMPRODUCT(--($AU$2:$AU$1501&lt;$AU602))+1,"")</f>
        <v/>
      </c>
      <c r="AS602">
        <f>IF($E602="","",IF(OR($U602=TRUE(),$U602="TRUE"),1,0))</f>
        <v/>
      </c>
      <c r="AT602">
        <f>IF($E602="","",IF($AC602="Yes",1,0))</f>
        <v/>
      </c>
      <c r="AU602">
        <f>IF($AQ602=1,IFERROR(IF(VALUE($E602)&lt;100000000,VALUE($E602),1000000000),IFERROR(IF(VALUE(MID($E602,2,20))&lt;100000000,VALUE(MID($E602,2,20)),1000000000),1000000000))+ROW()/100000,"")</f>
        <v/>
      </c>
    </row>
    <row r="603">
      <c r="G603" s="14" t="n"/>
      <c r="Q603" s="7">
        <f>IF($E603="","",P603*Z603/100)</f>
        <v/>
      </c>
      <c r="R603" s="7" t="n"/>
      <c r="Y603" s="7" t="n"/>
      <c r="Z603" s="7" t="n"/>
      <c r="AA603" s="7" t="n"/>
      <c r="AD603">
        <f>IF($E603="","",IF($AT603=1,Settings!$C$8,IF($AS603=1,Settings!$C$6,Settings!$C$7))*100)</f>
        <v/>
      </c>
      <c r="AE603" s="7">
        <f>IF($E603="","",Z603*AD603/100)</f>
        <v/>
      </c>
      <c r="AF603" s="7">
        <f>IF($E603="","",Z603-AE603)</f>
        <v/>
      </c>
      <c r="AG603" s="7">
        <f>IF($E603="","",AF603-Q603)</f>
        <v/>
      </c>
      <c r="AK603" s="7" t="n"/>
      <c r="AN603" s="14" t="n"/>
      <c r="AQ603">
        <f>IF($E603="","",IF(COUNTIF($E$2:$E603,$E603)=1,1,0))</f>
        <v/>
      </c>
      <c r="AR603">
        <f>IF($AQ603=1,SUMPRODUCT(--($AU$2:$AU$1501&lt;$AU603))+1,"")</f>
        <v/>
      </c>
      <c r="AS603">
        <f>IF($E603="","",IF(OR($U603=TRUE(),$U603="TRUE"),1,0))</f>
        <v/>
      </c>
      <c r="AT603">
        <f>IF($E603="","",IF($AC603="Yes",1,0))</f>
        <v/>
      </c>
      <c r="AU603">
        <f>IF($AQ603=1,IFERROR(IF(VALUE($E603)&lt;100000000,VALUE($E603),1000000000),IFERROR(IF(VALUE(MID($E603,2,20))&lt;100000000,VALUE(MID($E603,2,20)),1000000000),1000000000))+ROW()/100000,"")</f>
        <v/>
      </c>
    </row>
    <row r="604">
      <c r="G604" s="14" t="n"/>
      <c r="Q604" s="7">
        <f>IF($E604="","",P604*Z604/100)</f>
        <v/>
      </c>
      <c r="R604" s="7" t="n"/>
      <c r="Y604" s="7" t="n"/>
      <c r="Z604" s="7" t="n"/>
      <c r="AA604" s="7" t="n"/>
      <c r="AD604">
        <f>IF($E604="","",IF($AT604=1,Settings!$C$8,IF($AS604=1,Settings!$C$6,Settings!$C$7))*100)</f>
        <v/>
      </c>
      <c r="AE604" s="7">
        <f>IF($E604="","",Z604*AD604/100)</f>
        <v/>
      </c>
      <c r="AF604" s="7">
        <f>IF($E604="","",Z604-AE604)</f>
        <v/>
      </c>
      <c r="AG604" s="7">
        <f>IF($E604="","",AF604-Q604)</f>
        <v/>
      </c>
      <c r="AK604" s="7" t="n"/>
      <c r="AN604" s="14" t="n"/>
      <c r="AQ604">
        <f>IF($E604="","",IF(COUNTIF($E$2:$E604,$E604)=1,1,0))</f>
        <v/>
      </c>
      <c r="AR604">
        <f>IF($AQ604=1,SUMPRODUCT(--($AU$2:$AU$1501&lt;$AU604))+1,"")</f>
        <v/>
      </c>
      <c r="AS604">
        <f>IF($E604="","",IF(OR($U604=TRUE(),$U604="TRUE"),1,0))</f>
        <v/>
      </c>
      <c r="AT604">
        <f>IF($E604="","",IF($AC604="Yes",1,0))</f>
        <v/>
      </c>
      <c r="AU604">
        <f>IF($AQ604=1,IFERROR(IF(VALUE($E604)&lt;100000000,VALUE($E604),1000000000),IFERROR(IF(VALUE(MID($E604,2,20))&lt;100000000,VALUE(MID($E604,2,20)),1000000000),1000000000))+ROW()/100000,"")</f>
        <v/>
      </c>
    </row>
    <row r="605">
      <c r="G605" s="14" t="n"/>
      <c r="Q605" s="7">
        <f>IF($E605="","",P605*Z605/100)</f>
        <v/>
      </c>
      <c r="R605" s="7" t="n"/>
      <c r="Y605" s="7" t="n"/>
      <c r="Z605" s="7" t="n"/>
      <c r="AA605" s="7" t="n"/>
      <c r="AD605">
        <f>IF($E605="","",IF($AT605=1,Settings!$C$8,IF($AS605=1,Settings!$C$6,Settings!$C$7))*100)</f>
        <v/>
      </c>
      <c r="AE605" s="7">
        <f>IF($E605="","",Z605*AD605/100)</f>
        <v/>
      </c>
      <c r="AF605" s="7">
        <f>IF($E605="","",Z605-AE605)</f>
        <v/>
      </c>
      <c r="AG605" s="7">
        <f>IF($E605="","",AF605-Q605)</f>
        <v/>
      </c>
      <c r="AK605" s="7" t="n"/>
      <c r="AN605" s="14" t="n"/>
      <c r="AQ605">
        <f>IF($E605="","",IF(COUNTIF($E$2:$E605,$E605)=1,1,0))</f>
        <v/>
      </c>
      <c r="AR605">
        <f>IF($AQ605=1,SUMPRODUCT(--($AU$2:$AU$1501&lt;$AU605))+1,"")</f>
        <v/>
      </c>
      <c r="AS605">
        <f>IF($E605="","",IF(OR($U605=TRUE(),$U605="TRUE"),1,0))</f>
        <v/>
      </c>
      <c r="AT605">
        <f>IF($E605="","",IF($AC605="Yes",1,0))</f>
        <v/>
      </c>
      <c r="AU605">
        <f>IF($AQ605=1,IFERROR(IF(VALUE($E605)&lt;100000000,VALUE($E605),1000000000),IFERROR(IF(VALUE(MID($E605,2,20))&lt;100000000,VALUE(MID($E605,2,20)),1000000000),1000000000))+ROW()/100000,"")</f>
        <v/>
      </c>
    </row>
    <row r="606">
      <c r="G606" s="14" t="n"/>
      <c r="Q606" s="7">
        <f>IF($E606="","",P606*Z606/100)</f>
        <v/>
      </c>
      <c r="R606" s="7" t="n"/>
      <c r="Y606" s="7" t="n"/>
      <c r="Z606" s="7" t="n"/>
      <c r="AA606" s="7" t="n"/>
      <c r="AD606">
        <f>IF($E606="","",IF($AT606=1,Settings!$C$8,IF($AS606=1,Settings!$C$6,Settings!$C$7))*100)</f>
        <v/>
      </c>
      <c r="AE606" s="7">
        <f>IF($E606="","",Z606*AD606/100)</f>
        <v/>
      </c>
      <c r="AF606" s="7">
        <f>IF($E606="","",Z606-AE606)</f>
        <v/>
      </c>
      <c r="AG606" s="7">
        <f>IF($E606="","",AF606-Q606)</f>
        <v/>
      </c>
      <c r="AK606" s="7" t="n"/>
      <c r="AN606" s="14" t="n"/>
      <c r="AQ606">
        <f>IF($E606="","",IF(COUNTIF($E$2:$E606,$E606)=1,1,0))</f>
        <v/>
      </c>
      <c r="AR606">
        <f>IF($AQ606=1,SUMPRODUCT(--($AU$2:$AU$1501&lt;$AU606))+1,"")</f>
        <v/>
      </c>
      <c r="AS606">
        <f>IF($E606="","",IF(OR($U606=TRUE(),$U606="TRUE"),1,0))</f>
        <v/>
      </c>
      <c r="AT606">
        <f>IF($E606="","",IF($AC606="Yes",1,0))</f>
        <v/>
      </c>
      <c r="AU606">
        <f>IF($AQ606=1,IFERROR(IF(VALUE($E606)&lt;100000000,VALUE($E606),1000000000),IFERROR(IF(VALUE(MID($E606,2,20))&lt;100000000,VALUE(MID($E606,2,20)),1000000000),1000000000))+ROW()/100000,"")</f>
        <v/>
      </c>
    </row>
    <row r="607">
      <c r="G607" s="14" t="n"/>
      <c r="Q607" s="7">
        <f>IF($E607="","",P607*Z607/100)</f>
        <v/>
      </c>
      <c r="R607" s="7" t="n"/>
      <c r="Y607" s="7" t="n"/>
      <c r="Z607" s="7" t="n"/>
      <c r="AA607" s="7" t="n"/>
      <c r="AD607">
        <f>IF($E607="","",IF($AT607=1,Settings!$C$8,IF($AS607=1,Settings!$C$6,Settings!$C$7))*100)</f>
        <v/>
      </c>
      <c r="AE607" s="7">
        <f>IF($E607="","",Z607*AD607/100)</f>
        <v/>
      </c>
      <c r="AF607" s="7">
        <f>IF($E607="","",Z607-AE607)</f>
        <v/>
      </c>
      <c r="AG607" s="7">
        <f>IF($E607="","",AF607-Q607)</f>
        <v/>
      </c>
      <c r="AK607" s="7" t="n"/>
      <c r="AN607" s="14" t="n"/>
      <c r="AQ607">
        <f>IF($E607="","",IF(COUNTIF($E$2:$E607,$E607)=1,1,0))</f>
        <v/>
      </c>
      <c r="AR607">
        <f>IF($AQ607=1,SUMPRODUCT(--($AU$2:$AU$1501&lt;$AU607))+1,"")</f>
        <v/>
      </c>
      <c r="AS607">
        <f>IF($E607="","",IF(OR($U607=TRUE(),$U607="TRUE"),1,0))</f>
        <v/>
      </c>
      <c r="AT607">
        <f>IF($E607="","",IF($AC607="Yes",1,0))</f>
        <v/>
      </c>
      <c r="AU607">
        <f>IF($AQ607=1,IFERROR(IF(VALUE($E607)&lt;100000000,VALUE($E607),1000000000),IFERROR(IF(VALUE(MID($E607,2,20))&lt;100000000,VALUE(MID($E607,2,20)),1000000000),1000000000))+ROW()/100000,"")</f>
        <v/>
      </c>
    </row>
    <row r="608">
      <c r="G608" s="14" t="n"/>
      <c r="Q608" s="7">
        <f>IF($E608="","",P608*Z608/100)</f>
        <v/>
      </c>
      <c r="R608" s="7" t="n"/>
      <c r="Y608" s="7" t="n"/>
      <c r="Z608" s="7" t="n"/>
      <c r="AA608" s="7" t="n"/>
      <c r="AD608">
        <f>IF($E608="","",IF($AT608=1,Settings!$C$8,IF($AS608=1,Settings!$C$6,Settings!$C$7))*100)</f>
        <v/>
      </c>
      <c r="AE608" s="7">
        <f>IF($E608="","",Z608*AD608/100)</f>
        <v/>
      </c>
      <c r="AF608" s="7">
        <f>IF($E608="","",Z608-AE608)</f>
        <v/>
      </c>
      <c r="AG608" s="7">
        <f>IF($E608="","",AF608-Q608)</f>
        <v/>
      </c>
      <c r="AK608" s="7" t="n"/>
      <c r="AN608" s="14" t="n"/>
      <c r="AQ608">
        <f>IF($E608="","",IF(COUNTIF($E$2:$E608,$E608)=1,1,0))</f>
        <v/>
      </c>
      <c r="AR608">
        <f>IF($AQ608=1,SUMPRODUCT(--($AU$2:$AU$1501&lt;$AU608))+1,"")</f>
        <v/>
      </c>
      <c r="AS608">
        <f>IF($E608="","",IF(OR($U608=TRUE(),$U608="TRUE"),1,0))</f>
        <v/>
      </c>
      <c r="AT608">
        <f>IF($E608="","",IF($AC608="Yes",1,0))</f>
        <v/>
      </c>
      <c r="AU608">
        <f>IF($AQ608=1,IFERROR(IF(VALUE($E608)&lt;100000000,VALUE($E608),1000000000),IFERROR(IF(VALUE(MID($E608,2,20))&lt;100000000,VALUE(MID($E608,2,20)),1000000000),1000000000))+ROW()/100000,"")</f>
        <v/>
      </c>
    </row>
    <row r="609">
      <c r="G609" s="14" t="n"/>
      <c r="Q609" s="7">
        <f>IF($E609="","",P609*Z609/100)</f>
        <v/>
      </c>
      <c r="R609" s="7" t="n"/>
      <c r="Y609" s="7" t="n"/>
      <c r="Z609" s="7" t="n"/>
      <c r="AA609" s="7" t="n"/>
      <c r="AD609">
        <f>IF($E609="","",IF($AT609=1,Settings!$C$8,IF($AS609=1,Settings!$C$6,Settings!$C$7))*100)</f>
        <v/>
      </c>
      <c r="AE609" s="7">
        <f>IF($E609="","",Z609*AD609/100)</f>
        <v/>
      </c>
      <c r="AF609" s="7">
        <f>IF($E609="","",Z609-AE609)</f>
        <v/>
      </c>
      <c r="AG609" s="7">
        <f>IF($E609="","",AF609-Q609)</f>
        <v/>
      </c>
      <c r="AK609" s="7" t="n"/>
      <c r="AN609" s="14" t="n"/>
      <c r="AQ609">
        <f>IF($E609="","",IF(COUNTIF($E$2:$E609,$E609)=1,1,0))</f>
        <v/>
      </c>
      <c r="AR609">
        <f>IF($AQ609=1,SUMPRODUCT(--($AU$2:$AU$1501&lt;$AU609))+1,"")</f>
        <v/>
      </c>
      <c r="AS609">
        <f>IF($E609="","",IF(OR($U609=TRUE(),$U609="TRUE"),1,0))</f>
        <v/>
      </c>
      <c r="AT609">
        <f>IF($E609="","",IF($AC609="Yes",1,0))</f>
        <v/>
      </c>
      <c r="AU609">
        <f>IF($AQ609=1,IFERROR(IF(VALUE($E609)&lt;100000000,VALUE($E609),1000000000),IFERROR(IF(VALUE(MID($E609,2,20))&lt;100000000,VALUE(MID($E609,2,20)),1000000000),1000000000))+ROW()/100000,"")</f>
        <v/>
      </c>
    </row>
    <row r="610">
      <c r="G610" s="14" t="n"/>
      <c r="Q610" s="7">
        <f>IF($E610="","",P610*Z610/100)</f>
        <v/>
      </c>
      <c r="R610" s="7" t="n"/>
      <c r="Y610" s="7" t="n"/>
      <c r="Z610" s="7" t="n"/>
      <c r="AA610" s="7" t="n"/>
      <c r="AD610">
        <f>IF($E610="","",IF($AT610=1,Settings!$C$8,IF($AS610=1,Settings!$C$6,Settings!$C$7))*100)</f>
        <v/>
      </c>
      <c r="AE610" s="7">
        <f>IF($E610="","",Z610*AD610/100)</f>
        <v/>
      </c>
      <c r="AF610" s="7">
        <f>IF($E610="","",Z610-AE610)</f>
        <v/>
      </c>
      <c r="AG610" s="7">
        <f>IF($E610="","",AF610-Q610)</f>
        <v/>
      </c>
      <c r="AK610" s="7" t="n"/>
      <c r="AN610" s="14" t="n"/>
      <c r="AQ610">
        <f>IF($E610="","",IF(COUNTIF($E$2:$E610,$E610)=1,1,0))</f>
        <v/>
      </c>
      <c r="AR610">
        <f>IF($AQ610=1,SUMPRODUCT(--($AU$2:$AU$1501&lt;$AU610))+1,"")</f>
        <v/>
      </c>
      <c r="AS610">
        <f>IF($E610="","",IF(OR($U610=TRUE(),$U610="TRUE"),1,0))</f>
        <v/>
      </c>
      <c r="AT610">
        <f>IF($E610="","",IF($AC610="Yes",1,0))</f>
        <v/>
      </c>
      <c r="AU610">
        <f>IF($AQ610=1,IFERROR(IF(VALUE($E610)&lt;100000000,VALUE($E610),1000000000),IFERROR(IF(VALUE(MID($E610,2,20))&lt;100000000,VALUE(MID($E610,2,20)),1000000000),1000000000))+ROW()/100000,"")</f>
        <v/>
      </c>
    </row>
    <row r="611">
      <c r="G611" s="14" t="n"/>
      <c r="Q611" s="7">
        <f>IF($E611="","",P611*Z611/100)</f>
        <v/>
      </c>
      <c r="R611" s="7" t="n"/>
      <c r="Y611" s="7" t="n"/>
      <c r="Z611" s="7" t="n"/>
      <c r="AA611" s="7" t="n"/>
      <c r="AD611">
        <f>IF($E611="","",IF($AT611=1,Settings!$C$8,IF($AS611=1,Settings!$C$6,Settings!$C$7))*100)</f>
        <v/>
      </c>
      <c r="AE611" s="7">
        <f>IF($E611="","",Z611*AD611/100)</f>
        <v/>
      </c>
      <c r="AF611" s="7">
        <f>IF($E611="","",Z611-AE611)</f>
        <v/>
      </c>
      <c r="AG611" s="7">
        <f>IF($E611="","",AF611-Q611)</f>
        <v/>
      </c>
      <c r="AK611" s="7" t="n"/>
      <c r="AN611" s="14" t="n"/>
      <c r="AQ611">
        <f>IF($E611="","",IF(COUNTIF($E$2:$E611,$E611)=1,1,0))</f>
        <v/>
      </c>
      <c r="AR611">
        <f>IF($AQ611=1,SUMPRODUCT(--($AU$2:$AU$1501&lt;$AU611))+1,"")</f>
        <v/>
      </c>
      <c r="AS611">
        <f>IF($E611="","",IF(OR($U611=TRUE(),$U611="TRUE"),1,0))</f>
        <v/>
      </c>
      <c r="AT611">
        <f>IF($E611="","",IF($AC611="Yes",1,0))</f>
        <v/>
      </c>
      <c r="AU611">
        <f>IF($AQ611=1,IFERROR(IF(VALUE($E611)&lt;100000000,VALUE($E611),1000000000),IFERROR(IF(VALUE(MID($E611,2,20))&lt;100000000,VALUE(MID($E611,2,20)),1000000000),1000000000))+ROW()/100000,"")</f>
        <v/>
      </c>
    </row>
    <row r="612">
      <c r="G612" s="14" t="n"/>
      <c r="Q612" s="7">
        <f>IF($E612="","",P612*Z612/100)</f>
        <v/>
      </c>
      <c r="R612" s="7" t="n"/>
      <c r="Y612" s="7" t="n"/>
      <c r="Z612" s="7" t="n"/>
      <c r="AA612" s="7" t="n"/>
      <c r="AD612">
        <f>IF($E612="","",IF($AT612=1,Settings!$C$8,IF($AS612=1,Settings!$C$6,Settings!$C$7))*100)</f>
        <v/>
      </c>
      <c r="AE612" s="7">
        <f>IF($E612="","",Z612*AD612/100)</f>
        <v/>
      </c>
      <c r="AF612" s="7">
        <f>IF($E612="","",Z612-AE612)</f>
        <v/>
      </c>
      <c r="AG612" s="7">
        <f>IF($E612="","",AF612-Q612)</f>
        <v/>
      </c>
      <c r="AK612" s="7" t="n"/>
      <c r="AN612" s="14" t="n"/>
      <c r="AQ612">
        <f>IF($E612="","",IF(COUNTIF($E$2:$E612,$E612)=1,1,0))</f>
        <v/>
      </c>
      <c r="AR612">
        <f>IF($AQ612=1,SUMPRODUCT(--($AU$2:$AU$1501&lt;$AU612))+1,"")</f>
        <v/>
      </c>
      <c r="AS612">
        <f>IF($E612="","",IF(OR($U612=TRUE(),$U612="TRUE"),1,0))</f>
        <v/>
      </c>
      <c r="AT612">
        <f>IF($E612="","",IF($AC612="Yes",1,0))</f>
        <v/>
      </c>
      <c r="AU612">
        <f>IF($AQ612=1,IFERROR(IF(VALUE($E612)&lt;100000000,VALUE($E612),1000000000),IFERROR(IF(VALUE(MID($E612,2,20))&lt;100000000,VALUE(MID($E612,2,20)),1000000000),1000000000))+ROW()/100000,"")</f>
        <v/>
      </c>
    </row>
    <row r="613">
      <c r="G613" s="14" t="n"/>
      <c r="Q613" s="7">
        <f>IF($E613="","",P613*Z613/100)</f>
        <v/>
      </c>
      <c r="R613" s="7" t="n"/>
      <c r="Y613" s="7" t="n"/>
      <c r="Z613" s="7" t="n"/>
      <c r="AA613" s="7" t="n"/>
      <c r="AD613">
        <f>IF($E613="","",IF($AT613=1,Settings!$C$8,IF($AS613=1,Settings!$C$6,Settings!$C$7))*100)</f>
        <v/>
      </c>
      <c r="AE613" s="7">
        <f>IF($E613="","",Z613*AD613/100)</f>
        <v/>
      </c>
      <c r="AF613" s="7">
        <f>IF($E613="","",Z613-AE613)</f>
        <v/>
      </c>
      <c r="AG613" s="7">
        <f>IF($E613="","",AF613-Q613)</f>
        <v/>
      </c>
      <c r="AK613" s="7" t="n"/>
      <c r="AN613" s="14" t="n"/>
      <c r="AQ613">
        <f>IF($E613="","",IF(COUNTIF($E$2:$E613,$E613)=1,1,0))</f>
        <v/>
      </c>
      <c r="AR613">
        <f>IF($AQ613=1,SUMPRODUCT(--($AU$2:$AU$1501&lt;$AU613))+1,"")</f>
        <v/>
      </c>
      <c r="AS613">
        <f>IF($E613="","",IF(OR($U613=TRUE(),$U613="TRUE"),1,0))</f>
        <v/>
      </c>
      <c r="AT613">
        <f>IF($E613="","",IF($AC613="Yes",1,0))</f>
        <v/>
      </c>
      <c r="AU613">
        <f>IF($AQ613=1,IFERROR(IF(VALUE($E613)&lt;100000000,VALUE($E613),1000000000),IFERROR(IF(VALUE(MID($E613,2,20))&lt;100000000,VALUE(MID($E613,2,20)),1000000000),1000000000))+ROW()/100000,"")</f>
        <v/>
      </c>
    </row>
    <row r="614">
      <c r="G614" s="14" t="n"/>
      <c r="Q614" s="7">
        <f>IF($E614="","",P614*Z614/100)</f>
        <v/>
      </c>
      <c r="R614" s="7" t="n"/>
      <c r="Y614" s="7" t="n"/>
      <c r="Z614" s="7" t="n"/>
      <c r="AA614" s="7" t="n"/>
      <c r="AD614">
        <f>IF($E614="","",IF($AT614=1,Settings!$C$8,IF($AS614=1,Settings!$C$6,Settings!$C$7))*100)</f>
        <v/>
      </c>
      <c r="AE614" s="7">
        <f>IF($E614="","",Z614*AD614/100)</f>
        <v/>
      </c>
      <c r="AF614" s="7">
        <f>IF($E614="","",Z614-AE614)</f>
        <v/>
      </c>
      <c r="AG614" s="7">
        <f>IF($E614="","",AF614-Q614)</f>
        <v/>
      </c>
      <c r="AK614" s="7" t="n"/>
      <c r="AN614" s="14" t="n"/>
      <c r="AQ614">
        <f>IF($E614="","",IF(COUNTIF($E$2:$E614,$E614)=1,1,0))</f>
        <v/>
      </c>
      <c r="AR614">
        <f>IF($AQ614=1,SUMPRODUCT(--($AU$2:$AU$1501&lt;$AU614))+1,"")</f>
        <v/>
      </c>
      <c r="AS614">
        <f>IF($E614="","",IF(OR($U614=TRUE(),$U614="TRUE"),1,0))</f>
        <v/>
      </c>
      <c r="AT614">
        <f>IF($E614="","",IF($AC614="Yes",1,0))</f>
        <v/>
      </c>
      <c r="AU614">
        <f>IF($AQ614=1,IFERROR(IF(VALUE($E614)&lt;100000000,VALUE($E614),1000000000),IFERROR(IF(VALUE(MID($E614,2,20))&lt;100000000,VALUE(MID($E614,2,20)),1000000000),1000000000))+ROW()/100000,"")</f>
        <v/>
      </c>
    </row>
    <row r="615">
      <c r="G615" s="14" t="n"/>
      <c r="Q615" s="7">
        <f>IF($E615="","",P615*Z615/100)</f>
        <v/>
      </c>
      <c r="R615" s="7" t="n"/>
      <c r="Y615" s="7" t="n"/>
      <c r="Z615" s="7" t="n"/>
      <c r="AA615" s="7" t="n"/>
      <c r="AD615">
        <f>IF($E615="","",IF($AT615=1,Settings!$C$8,IF($AS615=1,Settings!$C$6,Settings!$C$7))*100)</f>
        <v/>
      </c>
      <c r="AE615" s="7">
        <f>IF($E615="","",Z615*AD615/100)</f>
        <v/>
      </c>
      <c r="AF615" s="7">
        <f>IF($E615="","",Z615-AE615)</f>
        <v/>
      </c>
      <c r="AG615" s="7">
        <f>IF($E615="","",AF615-Q615)</f>
        <v/>
      </c>
      <c r="AK615" s="7" t="n"/>
      <c r="AN615" s="14" t="n"/>
      <c r="AQ615">
        <f>IF($E615="","",IF(COUNTIF($E$2:$E615,$E615)=1,1,0))</f>
        <v/>
      </c>
      <c r="AR615">
        <f>IF($AQ615=1,SUMPRODUCT(--($AU$2:$AU$1501&lt;$AU615))+1,"")</f>
        <v/>
      </c>
      <c r="AS615">
        <f>IF($E615="","",IF(OR($U615=TRUE(),$U615="TRUE"),1,0))</f>
        <v/>
      </c>
      <c r="AT615">
        <f>IF($E615="","",IF($AC615="Yes",1,0))</f>
        <v/>
      </c>
      <c r="AU615">
        <f>IF($AQ615=1,IFERROR(IF(VALUE($E615)&lt;100000000,VALUE($E615),1000000000),IFERROR(IF(VALUE(MID($E615,2,20))&lt;100000000,VALUE(MID($E615,2,20)),1000000000),1000000000))+ROW()/100000,"")</f>
        <v/>
      </c>
    </row>
    <row r="616">
      <c r="G616" s="14" t="n"/>
      <c r="Q616" s="7">
        <f>IF($E616="","",P616*Z616/100)</f>
        <v/>
      </c>
      <c r="R616" s="7" t="n"/>
      <c r="Y616" s="7" t="n"/>
      <c r="Z616" s="7" t="n"/>
      <c r="AA616" s="7" t="n"/>
      <c r="AD616">
        <f>IF($E616="","",IF($AT616=1,Settings!$C$8,IF($AS616=1,Settings!$C$6,Settings!$C$7))*100)</f>
        <v/>
      </c>
      <c r="AE616" s="7">
        <f>IF($E616="","",Z616*AD616/100)</f>
        <v/>
      </c>
      <c r="AF616" s="7">
        <f>IF($E616="","",Z616-AE616)</f>
        <v/>
      </c>
      <c r="AG616" s="7">
        <f>IF($E616="","",AF616-Q616)</f>
        <v/>
      </c>
      <c r="AK616" s="7" t="n"/>
      <c r="AN616" s="14" t="n"/>
      <c r="AQ616">
        <f>IF($E616="","",IF(COUNTIF($E$2:$E616,$E616)=1,1,0))</f>
        <v/>
      </c>
      <c r="AR616">
        <f>IF($AQ616=1,SUMPRODUCT(--($AU$2:$AU$1501&lt;$AU616))+1,"")</f>
        <v/>
      </c>
      <c r="AS616">
        <f>IF($E616="","",IF(OR($U616=TRUE(),$U616="TRUE"),1,0))</f>
        <v/>
      </c>
      <c r="AT616">
        <f>IF($E616="","",IF($AC616="Yes",1,0))</f>
        <v/>
      </c>
      <c r="AU616">
        <f>IF($AQ616=1,IFERROR(IF(VALUE($E616)&lt;100000000,VALUE($E616),1000000000),IFERROR(IF(VALUE(MID($E616,2,20))&lt;100000000,VALUE(MID($E616,2,20)),1000000000),1000000000))+ROW()/100000,"")</f>
        <v/>
      </c>
    </row>
    <row r="617">
      <c r="G617" s="14" t="n"/>
      <c r="Q617" s="7">
        <f>IF($E617="","",P617*Z617/100)</f>
        <v/>
      </c>
      <c r="R617" s="7" t="n"/>
      <c r="Y617" s="7" t="n"/>
      <c r="Z617" s="7" t="n"/>
      <c r="AA617" s="7" t="n"/>
      <c r="AD617">
        <f>IF($E617="","",IF($AT617=1,Settings!$C$8,IF($AS617=1,Settings!$C$6,Settings!$C$7))*100)</f>
        <v/>
      </c>
      <c r="AE617" s="7">
        <f>IF($E617="","",Z617*AD617/100)</f>
        <v/>
      </c>
      <c r="AF617" s="7">
        <f>IF($E617="","",Z617-AE617)</f>
        <v/>
      </c>
      <c r="AG617" s="7">
        <f>IF($E617="","",AF617-Q617)</f>
        <v/>
      </c>
      <c r="AK617" s="7" t="n"/>
      <c r="AN617" s="14" t="n"/>
      <c r="AQ617">
        <f>IF($E617="","",IF(COUNTIF($E$2:$E617,$E617)=1,1,0))</f>
        <v/>
      </c>
      <c r="AR617">
        <f>IF($AQ617=1,SUMPRODUCT(--($AU$2:$AU$1501&lt;$AU617))+1,"")</f>
        <v/>
      </c>
      <c r="AS617">
        <f>IF($E617="","",IF(OR($U617=TRUE(),$U617="TRUE"),1,0))</f>
        <v/>
      </c>
      <c r="AT617">
        <f>IF($E617="","",IF($AC617="Yes",1,0))</f>
        <v/>
      </c>
      <c r="AU617">
        <f>IF($AQ617=1,IFERROR(IF(VALUE($E617)&lt;100000000,VALUE($E617),1000000000),IFERROR(IF(VALUE(MID($E617,2,20))&lt;100000000,VALUE(MID($E617,2,20)),1000000000),1000000000))+ROW()/100000,"")</f>
        <v/>
      </c>
    </row>
    <row r="618">
      <c r="G618" s="14" t="n"/>
      <c r="Q618" s="7">
        <f>IF($E618="","",P618*Z618/100)</f>
        <v/>
      </c>
      <c r="R618" s="7" t="n"/>
      <c r="Y618" s="7" t="n"/>
      <c r="Z618" s="7" t="n"/>
      <c r="AA618" s="7" t="n"/>
      <c r="AD618">
        <f>IF($E618="","",IF($AT618=1,Settings!$C$8,IF($AS618=1,Settings!$C$6,Settings!$C$7))*100)</f>
        <v/>
      </c>
      <c r="AE618" s="7">
        <f>IF($E618="","",Z618*AD618/100)</f>
        <v/>
      </c>
      <c r="AF618" s="7">
        <f>IF($E618="","",Z618-AE618)</f>
        <v/>
      </c>
      <c r="AG618" s="7">
        <f>IF($E618="","",AF618-Q618)</f>
        <v/>
      </c>
      <c r="AK618" s="7" t="n"/>
      <c r="AN618" s="14" t="n"/>
      <c r="AQ618">
        <f>IF($E618="","",IF(COUNTIF($E$2:$E618,$E618)=1,1,0))</f>
        <v/>
      </c>
      <c r="AR618">
        <f>IF($AQ618=1,SUMPRODUCT(--($AU$2:$AU$1501&lt;$AU618))+1,"")</f>
        <v/>
      </c>
      <c r="AS618">
        <f>IF($E618="","",IF(OR($U618=TRUE(),$U618="TRUE"),1,0))</f>
        <v/>
      </c>
      <c r="AT618">
        <f>IF($E618="","",IF($AC618="Yes",1,0))</f>
        <v/>
      </c>
      <c r="AU618">
        <f>IF($AQ618=1,IFERROR(IF(VALUE($E618)&lt;100000000,VALUE($E618),1000000000),IFERROR(IF(VALUE(MID($E618,2,20))&lt;100000000,VALUE(MID($E618,2,20)),1000000000),1000000000))+ROW()/100000,"")</f>
        <v/>
      </c>
    </row>
    <row r="619">
      <c r="G619" s="14" t="n"/>
      <c r="Q619" s="7">
        <f>IF($E619="","",P619*Z619/100)</f>
        <v/>
      </c>
      <c r="R619" s="7" t="n"/>
      <c r="Y619" s="7" t="n"/>
      <c r="Z619" s="7" t="n"/>
      <c r="AA619" s="7" t="n"/>
      <c r="AD619">
        <f>IF($E619="","",IF($AT619=1,Settings!$C$8,IF($AS619=1,Settings!$C$6,Settings!$C$7))*100)</f>
        <v/>
      </c>
      <c r="AE619" s="7">
        <f>IF($E619="","",Z619*AD619/100)</f>
        <v/>
      </c>
      <c r="AF619" s="7">
        <f>IF($E619="","",Z619-AE619)</f>
        <v/>
      </c>
      <c r="AG619" s="7">
        <f>IF($E619="","",AF619-Q619)</f>
        <v/>
      </c>
      <c r="AK619" s="7" t="n"/>
      <c r="AN619" s="14" t="n"/>
      <c r="AQ619">
        <f>IF($E619="","",IF(COUNTIF($E$2:$E619,$E619)=1,1,0))</f>
        <v/>
      </c>
      <c r="AR619">
        <f>IF($AQ619=1,SUMPRODUCT(--($AU$2:$AU$1501&lt;$AU619))+1,"")</f>
        <v/>
      </c>
      <c r="AS619">
        <f>IF($E619="","",IF(OR($U619=TRUE(),$U619="TRUE"),1,0))</f>
        <v/>
      </c>
      <c r="AT619">
        <f>IF($E619="","",IF($AC619="Yes",1,0))</f>
        <v/>
      </c>
      <c r="AU619">
        <f>IF($AQ619=1,IFERROR(IF(VALUE($E619)&lt;100000000,VALUE($E619),1000000000),IFERROR(IF(VALUE(MID($E619,2,20))&lt;100000000,VALUE(MID($E619,2,20)),1000000000),1000000000))+ROW()/100000,"")</f>
        <v/>
      </c>
    </row>
    <row r="620">
      <c r="G620" s="14" t="n"/>
      <c r="Q620" s="7">
        <f>IF($E620="","",P620*Z620/100)</f>
        <v/>
      </c>
      <c r="R620" s="7" t="n"/>
      <c r="Y620" s="7" t="n"/>
      <c r="Z620" s="7" t="n"/>
      <c r="AA620" s="7" t="n"/>
      <c r="AD620">
        <f>IF($E620="","",IF($AT620=1,Settings!$C$8,IF($AS620=1,Settings!$C$6,Settings!$C$7))*100)</f>
        <v/>
      </c>
      <c r="AE620" s="7">
        <f>IF($E620="","",Z620*AD620/100)</f>
        <v/>
      </c>
      <c r="AF620" s="7">
        <f>IF($E620="","",Z620-AE620)</f>
        <v/>
      </c>
      <c r="AG620" s="7">
        <f>IF($E620="","",AF620-Q620)</f>
        <v/>
      </c>
      <c r="AK620" s="7" t="n"/>
      <c r="AN620" s="14" t="n"/>
      <c r="AQ620">
        <f>IF($E620="","",IF(COUNTIF($E$2:$E620,$E620)=1,1,0))</f>
        <v/>
      </c>
      <c r="AR620">
        <f>IF($AQ620=1,SUMPRODUCT(--($AU$2:$AU$1501&lt;$AU620))+1,"")</f>
        <v/>
      </c>
      <c r="AS620">
        <f>IF($E620="","",IF(OR($U620=TRUE(),$U620="TRUE"),1,0))</f>
        <v/>
      </c>
      <c r="AT620">
        <f>IF($E620="","",IF($AC620="Yes",1,0))</f>
        <v/>
      </c>
      <c r="AU620">
        <f>IF($AQ620=1,IFERROR(IF(VALUE($E620)&lt;100000000,VALUE($E620),1000000000),IFERROR(IF(VALUE(MID($E620,2,20))&lt;100000000,VALUE(MID($E620,2,20)),1000000000),1000000000))+ROW()/100000,"")</f>
        <v/>
      </c>
    </row>
    <row r="621">
      <c r="G621" s="14" t="n"/>
      <c r="Q621" s="7">
        <f>IF($E621="","",P621*Z621/100)</f>
        <v/>
      </c>
      <c r="R621" s="7" t="n"/>
      <c r="Y621" s="7" t="n"/>
      <c r="Z621" s="7" t="n"/>
      <c r="AA621" s="7" t="n"/>
      <c r="AD621">
        <f>IF($E621="","",IF($AT621=1,Settings!$C$8,IF($AS621=1,Settings!$C$6,Settings!$C$7))*100)</f>
        <v/>
      </c>
      <c r="AE621" s="7">
        <f>IF($E621="","",Z621*AD621/100)</f>
        <v/>
      </c>
      <c r="AF621" s="7">
        <f>IF($E621="","",Z621-AE621)</f>
        <v/>
      </c>
      <c r="AG621" s="7">
        <f>IF($E621="","",AF621-Q621)</f>
        <v/>
      </c>
      <c r="AK621" s="7" t="n"/>
      <c r="AN621" s="14" t="n"/>
      <c r="AQ621">
        <f>IF($E621="","",IF(COUNTIF($E$2:$E621,$E621)=1,1,0))</f>
        <v/>
      </c>
      <c r="AR621">
        <f>IF($AQ621=1,SUMPRODUCT(--($AU$2:$AU$1501&lt;$AU621))+1,"")</f>
        <v/>
      </c>
      <c r="AS621">
        <f>IF($E621="","",IF(OR($U621=TRUE(),$U621="TRUE"),1,0))</f>
        <v/>
      </c>
      <c r="AT621">
        <f>IF($E621="","",IF($AC621="Yes",1,0))</f>
        <v/>
      </c>
      <c r="AU621">
        <f>IF($AQ621=1,IFERROR(IF(VALUE($E621)&lt;100000000,VALUE($E621),1000000000),IFERROR(IF(VALUE(MID($E621,2,20))&lt;100000000,VALUE(MID($E621,2,20)),1000000000),1000000000))+ROW()/100000,"")</f>
        <v/>
      </c>
    </row>
    <row r="622">
      <c r="G622" s="14" t="n"/>
      <c r="Q622" s="7">
        <f>IF($E622="","",P622*Z622/100)</f>
        <v/>
      </c>
      <c r="R622" s="7" t="n"/>
      <c r="Y622" s="7" t="n"/>
      <c r="Z622" s="7" t="n"/>
      <c r="AA622" s="7" t="n"/>
      <c r="AD622">
        <f>IF($E622="","",IF($AT622=1,Settings!$C$8,IF($AS622=1,Settings!$C$6,Settings!$C$7))*100)</f>
        <v/>
      </c>
      <c r="AE622" s="7">
        <f>IF($E622="","",Z622*AD622/100)</f>
        <v/>
      </c>
      <c r="AF622" s="7">
        <f>IF($E622="","",Z622-AE622)</f>
        <v/>
      </c>
      <c r="AG622" s="7">
        <f>IF($E622="","",AF622-Q622)</f>
        <v/>
      </c>
      <c r="AK622" s="7" t="n"/>
      <c r="AN622" s="14" t="n"/>
      <c r="AQ622">
        <f>IF($E622="","",IF(COUNTIF($E$2:$E622,$E622)=1,1,0))</f>
        <v/>
      </c>
      <c r="AR622">
        <f>IF($AQ622=1,SUMPRODUCT(--($AU$2:$AU$1501&lt;$AU622))+1,"")</f>
        <v/>
      </c>
      <c r="AS622">
        <f>IF($E622="","",IF(OR($U622=TRUE(),$U622="TRUE"),1,0))</f>
        <v/>
      </c>
      <c r="AT622">
        <f>IF($E622="","",IF($AC622="Yes",1,0))</f>
        <v/>
      </c>
      <c r="AU622">
        <f>IF($AQ622=1,IFERROR(IF(VALUE($E622)&lt;100000000,VALUE($E622),1000000000),IFERROR(IF(VALUE(MID($E622,2,20))&lt;100000000,VALUE(MID($E622,2,20)),1000000000),1000000000))+ROW()/100000,"")</f>
        <v/>
      </c>
    </row>
    <row r="623">
      <c r="G623" s="14" t="n"/>
      <c r="Q623" s="7">
        <f>IF($E623="","",P623*Z623/100)</f>
        <v/>
      </c>
      <c r="R623" s="7" t="n"/>
      <c r="Y623" s="7" t="n"/>
      <c r="Z623" s="7" t="n"/>
      <c r="AA623" s="7" t="n"/>
      <c r="AD623">
        <f>IF($E623="","",IF($AT623=1,Settings!$C$8,IF($AS623=1,Settings!$C$6,Settings!$C$7))*100)</f>
        <v/>
      </c>
      <c r="AE623" s="7">
        <f>IF($E623="","",Z623*AD623/100)</f>
        <v/>
      </c>
      <c r="AF623" s="7">
        <f>IF($E623="","",Z623-AE623)</f>
        <v/>
      </c>
      <c r="AG623" s="7">
        <f>IF($E623="","",AF623-Q623)</f>
        <v/>
      </c>
      <c r="AK623" s="7" t="n"/>
      <c r="AN623" s="14" t="n"/>
      <c r="AQ623">
        <f>IF($E623="","",IF(COUNTIF($E$2:$E623,$E623)=1,1,0))</f>
        <v/>
      </c>
      <c r="AR623">
        <f>IF($AQ623=1,SUMPRODUCT(--($AU$2:$AU$1501&lt;$AU623))+1,"")</f>
        <v/>
      </c>
      <c r="AS623">
        <f>IF($E623="","",IF(OR($U623=TRUE(),$U623="TRUE"),1,0))</f>
        <v/>
      </c>
      <c r="AT623">
        <f>IF($E623="","",IF($AC623="Yes",1,0))</f>
        <v/>
      </c>
      <c r="AU623">
        <f>IF($AQ623=1,IFERROR(IF(VALUE($E623)&lt;100000000,VALUE($E623),1000000000),IFERROR(IF(VALUE(MID($E623,2,20))&lt;100000000,VALUE(MID($E623,2,20)),1000000000),1000000000))+ROW()/100000,"")</f>
        <v/>
      </c>
    </row>
    <row r="624">
      <c r="G624" s="14" t="n"/>
      <c r="Q624" s="7">
        <f>IF($E624="","",P624*Z624/100)</f>
        <v/>
      </c>
      <c r="R624" s="7" t="n"/>
      <c r="Y624" s="7" t="n"/>
      <c r="Z624" s="7" t="n"/>
      <c r="AA624" s="7" t="n"/>
      <c r="AD624">
        <f>IF($E624="","",IF($AT624=1,Settings!$C$8,IF($AS624=1,Settings!$C$6,Settings!$C$7))*100)</f>
        <v/>
      </c>
      <c r="AE624" s="7">
        <f>IF($E624="","",Z624*AD624/100)</f>
        <v/>
      </c>
      <c r="AF624" s="7">
        <f>IF($E624="","",Z624-AE624)</f>
        <v/>
      </c>
      <c r="AG624" s="7">
        <f>IF($E624="","",AF624-Q624)</f>
        <v/>
      </c>
      <c r="AK624" s="7" t="n"/>
      <c r="AN624" s="14" t="n"/>
      <c r="AQ624">
        <f>IF($E624="","",IF(COUNTIF($E$2:$E624,$E624)=1,1,0))</f>
        <v/>
      </c>
      <c r="AR624">
        <f>IF($AQ624=1,SUMPRODUCT(--($AU$2:$AU$1501&lt;$AU624))+1,"")</f>
        <v/>
      </c>
      <c r="AS624">
        <f>IF($E624="","",IF(OR($U624=TRUE(),$U624="TRUE"),1,0))</f>
        <v/>
      </c>
      <c r="AT624">
        <f>IF($E624="","",IF($AC624="Yes",1,0))</f>
        <v/>
      </c>
      <c r="AU624">
        <f>IF($AQ624=1,IFERROR(IF(VALUE($E624)&lt;100000000,VALUE($E624),1000000000),IFERROR(IF(VALUE(MID($E624,2,20))&lt;100000000,VALUE(MID($E624,2,20)),1000000000),1000000000))+ROW()/100000,"")</f>
        <v/>
      </c>
    </row>
    <row r="625">
      <c r="G625" s="14" t="n"/>
      <c r="Q625" s="7">
        <f>IF($E625="","",P625*Z625/100)</f>
        <v/>
      </c>
      <c r="R625" s="7" t="n"/>
      <c r="Y625" s="7" t="n"/>
      <c r="Z625" s="7" t="n"/>
      <c r="AA625" s="7" t="n"/>
      <c r="AD625">
        <f>IF($E625="","",IF($AT625=1,Settings!$C$8,IF($AS625=1,Settings!$C$6,Settings!$C$7))*100)</f>
        <v/>
      </c>
      <c r="AE625" s="7">
        <f>IF($E625="","",Z625*AD625/100)</f>
        <v/>
      </c>
      <c r="AF625" s="7">
        <f>IF($E625="","",Z625-AE625)</f>
        <v/>
      </c>
      <c r="AG625" s="7">
        <f>IF($E625="","",AF625-Q625)</f>
        <v/>
      </c>
      <c r="AK625" s="7" t="n"/>
      <c r="AN625" s="14" t="n"/>
      <c r="AQ625">
        <f>IF($E625="","",IF(COUNTIF($E$2:$E625,$E625)=1,1,0))</f>
        <v/>
      </c>
      <c r="AR625">
        <f>IF($AQ625=1,SUMPRODUCT(--($AU$2:$AU$1501&lt;$AU625))+1,"")</f>
        <v/>
      </c>
      <c r="AS625">
        <f>IF($E625="","",IF(OR($U625=TRUE(),$U625="TRUE"),1,0))</f>
        <v/>
      </c>
      <c r="AT625">
        <f>IF($E625="","",IF($AC625="Yes",1,0))</f>
        <v/>
      </c>
      <c r="AU625">
        <f>IF($AQ625=1,IFERROR(IF(VALUE($E625)&lt;100000000,VALUE($E625),1000000000),IFERROR(IF(VALUE(MID($E625,2,20))&lt;100000000,VALUE(MID($E625,2,20)),1000000000),1000000000))+ROW()/100000,"")</f>
        <v/>
      </c>
    </row>
    <row r="626">
      <c r="G626" s="14" t="n"/>
      <c r="Q626" s="7">
        <f>IF($E626="","",P626*Z626/100)</f>
        <v/>
      </c>
      <c r="R626" s="7" t="n"/>
      <c r="Y626" s="7" t="n"/>
      <c r="Z626" s="7" t="n"/>
      <c r="AA626" s="7" t="n"/>
      <c r="AD626">
        <f>IF($E626="","",IF($AT626=1,Settings!$C$8,IF($AS626=1,Settings!$C$6,Settings!$C$7))*100)</f>
        <v/>
      </c>
      <c r="AE626" s="7">
        <f>IF($E626="","",Z626*AD626/100)</f>
        <v/>
      </c>
      <c r="AF626" s="7">
        <f>IF($E626="","",Z626-AE626)</f>
        <v/>
      </c>
      <c r="AG626" s="7">
        <f>IF($E626="","",AF626-Q626)</f>
        <v/>
      </c>
      <c r="AK626" s="7" t="n"/>
      <c r="AN626" s="14" t="n"/>
      <c r="AQ626">
        <f>IF($E626="","",IF(COUNTIF($E$2:$E626,$E626)=1,1,0))</f>
        <v/>
      </c>
      <c r="AR626">
        <f>IF($AQ626=1,SUMPRODUCT(--($AU$2:$AU$1501&lt;$AU626))+1,"")</f>
        <v/>
      </c>
      <c r="AS626">
        <f>IF($E626="","",IF(OR($U626=TRUE(),$U626="TRUE"),1,0))</f>
        <v/>
      </c>
      <c r="AT626">
        <f>IF($E626="","",IF($AC626="Yes",1,0))</f>
        <v/>
      </c>
      <c r="AU626">
        <f>IF($AQ626=1,IFERROR(IF(VALUE($E626)&lt;100000000,VALUE($E626),1000000000),IFERROR(IF(VALUE(MID($E626,2,20))&lt;100000000,VALUE(MID($E626,2,20)),1000000000),1000000000))+ROW()/100000,"")</f>
        <v/>
      </c>
    </row>
    <row r="627">
      <c r="G627" s="14" t="n"/>
      <c r="Q627" s="7">
        <f>IF($E627="","",P627*Z627/100)</f>
        <v/>
      </c>
      <c r="R627" s="7" t="n"/>
      <c r="Y627" s="7" t="n"/>
      <c r="Z627" s="7" t="n"/>
      <c r="AA627" s="7" t="n"/>
      <c r="AD627">
        <f>IF($E627="","",IF($AT627=1,Settings!$C$8,IF($AS627=1,Settings!$C$6,Settings!$C$7))*100)</f>
        <v/>
      </c>
      <c r="AE627" s="7">
        <f>IF($E627="","",Z627*AD627/100)</f>
        <v/>
      </c>
      <c r="AF627" s="7">
        <f>IF($E627="","",Z627-AE627)</f>
        <v/>
      </c>
      <c r="AG627" s="7">
        <f>IF($E627="","",AF627-Q627)</f>
        <v/>
      </c>
      <c r="AK627" s="7" t="n"/>
      <c r="AN627" s="14" t="n"/>
      <c r="AQ627">
        <f>IF($E627="","",IF(COUNTIF($E$2:$E627,$E627)=1,1,0))</f>
        <v/>
      </c>
      <c r="AR627">
        <f>IF($AQ627=1,SUMPRODUCT(--($AU$2:$AU$1501&lt;$AU627))+1,"")</f>
        <v/>
      </c>
      <c r="AS627">
        <f>IF($E627="","",IF(OR($U627=TRUE(),$U627="TRUE"),1,0))</f>
        <v/>
      </c>
      <c r="AT627">
        <f>IF($E627="","",IF($AC627="Yes",1,0))</f>
        <v/>
      </c>
      <c r="AU627">
        <f>IF($AQ627=1,IFERROR(IF(VALUE($E627)&lt;100000000,VALUE($E627),1000000000),IFERROR(IF(VALUE(MID($E627,2,20))&lt;100000000,VALUE(MID($E627,2,20)),1000000000),1000000000))+ROW()/100000,"")</f>
        <v/>
      </c>
    </row>
    <row r="628">
      <c r="G628" s="14" t="n"/>
      <c r="Q628" s="7">
        <f>IF($E628="","",P628*Z628/100)</f>
        <v/>
      </c>
      <c r="R628" s="7" t="n"/>
      <c r="Y628" s="7" t="n"/>
      <c r="Z628" s="7" t="n"/>
      <c r="AA628" s="7" t="n"/>
      <c r="AD628">
        <f>IF($E628="","",IF($AT628=1,Settings!$C$8,IF($AS628=1,Settings!$C$6,Settings!$C$7))*100)</f>
        <v/>
      </c>
      <c r="AE628" s="7">
        <f>IF($E628="","",Z628*AD628/100)</f>
        <v/>
      </c>
      <c r="AF628" s="7">
        <f>IF($E628="","",Z628-AE628)</f>
        <v/>
      </c>
      <c r="AG628" s="7">
        <f>IF($E628="","",AF628-Q628)</f>
        <v/>
      </c>
      <c r="AK628" s="7" t="n"/>
      <c r="AN628" s="14" t="n"/>
      <c r="AQ628">
        <f>IF($E628="","",IF(COUNTIF($E$2:$E628,$E628)=1,1,0))</f>
        <v/>
      </c>
      <c r="AR628">
        <f>IF($AQ628=1,SUMPRODUCT(--($AU$2:$AU$1501&lt;$AU628))+1,"")</f>
        <v/>
      </c>
      <c r="AS628">
        <f>IF($E628="","",IF(OR($U628=TRUE(),$U628="TRUE"),1,0))</f>
        <v/>
      </c>
      <c r="AT628">
        <f>IF($E628="","",IF($AC628="Yes",1,0))</f>
        <v/>
      </c>
      <c r="AU628">
        <f>IF($AQ628=1,IFERROR(IF(VALUE($E628)&lt;100000000,VALUE($E628),1000000000),IFERROR(IF(VALUE(MID($E628,2,20))&lt;100000000,VALUE(MID($E628,2,20)),1000000000),1000000000))+ROW()/100000,"")</f>
        <v/>
      </c>
    </row>
    <row r="629">
      <c r="G629" s="14" t="n"/>
      <c r="Q629" s="7">
        <f>IF($E629="","",P629*Z629/100)</f>
        <v/>
      </c>
      <c r="R629" s="7" t="n"/>
      <c r="Y629" s="7" t="n"/>
      <c r="Z629" s="7" t="n"/>
      <c r="AA629" s="7" t="n"/>
      <c r="AD629">
        <f>IF($E629="","",IF($AT629=1,Settings!$C$8,IF($AS629=1,Settings!$C$6,Settings!$C$7))*100)</f>
        <v/>
      </c>
      <c r="AE629" s="7">
        <f>IF($E629="","",Z629*AD629/100)</f>
        <v/>
      </c>
      <c r="AF629" s="7">
        <f>IF($E629="","",Z629-AE629)</f>
        <v/>
      </c>
      <c r="AG629" s="7">
        <f>IF($E629="","",AF629-Q629)</f>
        <v/>
      </c>
      <c r="AK629" s="7" t="n"/>
      <c r="AN629" s="14" t="n"/>
      <c r="AQ629">
        <f>IF($E629="","",IF(COUNTIF($E$2:$E629,$E629)=1,1,0))</f>
        <v/>
      </c>
      <c r="AR629">
        <f>IF($AQ629=1,SUMPRODUCT(--($AU$2:$AU$1501&lt;$AU629))+1,"")</f>
        <v/>
      </c>
      <c r="AS629">
        <f>IF($E629="","",IF(OR($U629=TRUE(),$U629="TRUE"),1,0))</f>
        <v/>
      </c>
      <c r="AT629">
        <f>IF($E629="","",IF($AC629="Yes",1,0))</f>
        <v/>
      </c>
      <c r="AU629">
        <f>IF($AQ629=1,IFERROR(IF(VALUE($E629)&lt;100000000,VALUE($E629),1000000000),IFERROR(IF(VALUE(MID($E629,2,20))&lt;100000000,VALUE(MID($E629,2,20)),1000000000),1000000000))+ROW()/100000,"")</f>
        <v/>
      </c>
    </row>
    <row r="630">
      <c r="G630" s="14" t="n"/>
      <c r="Q630" s="7">
        <f>IF($E630="","",P630*Z630/100)</f>
        <v/>
      </c>
      <c r="R630" s="7" t="n"/>
      <c r="Y630" s="7" t="n"/>
      <c r="Z630" s="7" t="n"/>
      <c r="AA630" s="7" t="n"/>
      <c r="AD630">
        <f>IF($E630="","",IF($AT630=1,Settings!$C$8,IF($AS630=1,Settings!$C$6,Settings!$C$7))*100)</f>
        <v/>
      </c>
      <c r="AE630" s="7">
        <f>IF($E630="","",Z630*AD630/100)</f>
        <v/>
      </c>
      <c r="AF630" s="7">
        <f>IF($E630="","",Z630-AE630)</f>
        <v/>
      </c>
      <c r="AG630" s="7">
        <f>IF($E630="","",AF630-Q630)</f>
        <v/>
      </c>
      <c r="AK630" s="7" t="n"/>
      <c r="AN630" s="14" t="n"/>
      <c r="AQ630">
        <f>IF($E630="","",IF(COUNTIF($E$2:$E630,$E630)=1,1,0))</f>
        <v/>
      </c>
      <c r="AR630">
        <f>IF($AQ630=1,SUMPRODUCT(--($AU$2:$AU$1501&lt;$AU630))+1,"")</f>
        <v/>
      </c>
      <c r="AS630">
        <f>IF($E630="","",IF(OR($U630=TRUE(),$U630="TRUE"),1,0))</f>
        <v/>
      </c>
      <c r="AT630">
        <f>IF($E630="","",IF($AC630="Yes",1,0))</f>
        <v/>
      </c>
      <c r="AU630">
        <f>IF($AQ630=1,IFERROR(IF(VALUE($E630)&lt;100000000,VALUE($E630),1000000000),IFERROR(IF(VALUE(MID($E630,2,20))&lt;100000000,VALUE(MID($E630,2,20)),1000000000),1000000000))+ROW()/100000,"")</f>
        <v/>
      </c>
    </row>
    <row r="631">
      <c r="G631" s="14" t="n"/>
      <c r="Q631" s="7">
        <f>IF($E631="","",P631*Z631/100)</f>
        <v/>
      </c>
      <c r="R631" s="7" t="n"/>
      <c r="Y631" s="7" t="n"/>
      <c r="Z631" s="7" t="n"/>
      <c r="AA631" s="7" t="n"/>
      <c r="AD631">
        <f>IF($E631="","",IF($AT631=1,Settings!$C$8,IF($AS631=1,Settings!$C$6,Settings!$C$7))*100)</f>
        <v/>
      </c>
      <c r="AE631" s="7">
        <f>IF($E631="","",Z631*AD631/100)</f>
        <v/>
      </c>
      <c r="AF631" s="7">
        <f>IF($E631="","",Z631-AE631)</f>
        <v/>
      </c>
      <c r="AG631" s="7">
        <f>IF($E631="","",AF631-Q631)</f>
        <v/>
      </c>
      <c r="AK631" s="7" t="n"/>
      <c r="AN631" s="14" t="n"/>
      <c r="AQ631">
        <f>IF($E631="","",IF(COUNTIF($E$2:$E631,$E631)=1,1,0))</f>
        <v/>
      </c>
      <c r="AR631">
        <f>IF($AQ631=1,SUMPRODUCT(--($AU$2:$AU$1501&lt;$AU631))+1,"")</f>
        <v/>
      </c>
      <c r="AS631">
        <f>IF($E631="","",IF(OR($U631=TRUE(),$U631="TRUE"),1,0))</f>
        <v/>
      </c>
      <c r="AT631">
        <f>IF($E631="","",IF($AC631="Yes",1,0))</f>
        <v/>
      </c>
      <c r="AU631">
        <f>IF($AQ631=1,IFERROR(IF(VALUE($E631)&lt;100000000,VALUE($E631),1000000000),IFERROR(IF(VALUE(MID($E631,2,20))&lt;100000000,VALUE(MID($E631,2,20)),1000000000),1000000000))+ROW()/100000,"")</f>
        <v/>
      </c>
    </row>
    <row r="632">
      <c r="G632" s="14" t="n"/>
      <c r="Q632" s="7">
        <f>IF($E632="","",P632*Z632/100)</f>
        <v/>
      </c>
      <c r="R632" s="7" t="n"/>
      <c r="Y632" s="7" t="n"/>
      <c r="Z632" s="7" t="n"/>
      <c r="AA632" s="7" t="n"/>
      <c r="AD632">
        <f>IF($E632="","",IF($AT632=1,Settings!$C$8,IF($AS632=1,Settings!$C$6,Settings!$C$7))*100)</f>
        <v/>
      </c>
      <c r="AE632" s="7">
        <f>IF($E632="","",Z632*AD632/100)</f>
        <v/>
      </c>
      <c r="AF632" s="7">
        <f>IF($E632="","",Z632-AE632)</f>
        <v/>
      </c>
      <c r="AG632" s="7">
        <f>IF($E632="","",AF632-Q632)</f>
        <v/>
      </c>
      <c r="AK632" s="7" t="n"/>
      <c r="AN632" s="14" t="n"/>
      <c r="AQ632">
        <f>IF($E632="","",IF(COUNTIF($E$2:$E632,$E632)=1,1,0))</f>
        <v/>
      </c>
      <c r="AR632">
        <f>IF($AQ632=1,SUMPRODUCT(--($AU$2:$AU$1501&lt;$AU632))+1,"")</f>
        <v/>
      </c>
      <c r="AS632">
        <f>IF($E632="","",IF(OR($U632=TRUE(),$U632="TRUE"),1,0))</f>
        <v/>
      </c>
      <c r="AT632">
        <f>IF($E632="","",IF($AC632="Yes",1,0))</f>
        <v/>
      </c>
      <c r="AU632">
        <f>IF($AQ632=1,IFERROR(IF(VALUE($E632)&lt;100000000,VALUE($E632),1000000000),IFERROR(IF(VALUE(MID($E632,2,20))&lt;100000000,VALUE(MID($E632,2,20)),1000000000),1000000000))+ROW()/100000,"")</f>
        <v/>
      </c>
    </row>
    <row r="633">
      <c r="G633" s="14" t="n"/>
      <c r="Q633" s="7">
        <f>IF($E633="","",P633*Z633/100)</f>
        <v/>
      </c>
      <c r="R633" s="7" t="n"/>
      <c r="Y633" s="7" t="n"/>
      <c r="Z633" s="7" t="n"/>
      <c r="AA633" s="7" t="n"/>
      <c r="AD633">
        <f>IF($E633="","",IF($AT633=1,Settings!$C$8,IF($AS633=1,Settings!$C$6,Settings!$C$7))*100)</f>
        <v/>
      </c>
      <c r="AE633" s="7">
        <f>IF($E633="","",Z633*AD633/100)</f>
        <v/>
      </c>
      <c r="AF633" s="7">
        <f>IF($E633="","",Z633-AE633)</f>
        <v/>
      </c>
      <c r="AG633" s="7">
        <f>IF($E633="","",AF633-Q633)</f>
        <v/>
      </c>
      <c r="AK633" s="7" t="n"/>
      <c r="AN633" s="14" t="n"/>
      <c r="AQ633">
        <f>IF($E633="","",IF(COUNTIF($E$2:$E633,$E633)=1,1,0))</f>
        <v/>
      </c>
      <c r="AR633">
        <f>IF($AQ633=1,SUMPRODUCT(--($AU$2:$AU$1501&lt;$AU633))+1,"")</f>
        <v/>
      </c>
      <c r="AS633">
        <f>IF($E633="","",IF(OR($U633=TRUE(),$U633="TRUE"),1,0))</f>
        <v/>
      </c>
      <c r="AT633">
        <f>IF($E633="","",IF($AC633="Yes",1,0))</f>
        <v/>
      </c>
      <c r="AU633">
        <f>IF($AQ633=1,IFERROR(IF(VALUE($E633)&lt;100000000,VALUE($E633),1000000000),IFERROR(IF(VALUE(MID($E633,2,20))&lt;100000000,VALUE(MID($E633,2,20)),1000000000),1000000000))+ROW()/100000,"")</f>
        <v/>
      </c>
    </row>
    <row r="634">
      <c r="G634" s="14" t="n"/>
      <c r="Q634" s="7">
        <f>IF($E634="","",P634*Z634/100)</f>
        <v/>
      </c>
      <c r="R634" s="7" t="n"/>
      <c r="Y634" s="7" t="n"/>
      <c r="Z634" s="7" t="n"/>
      <c r="AA634" s="7" t="n"/>
      <c r="AD634">
        <f>IF($E634="","",IF($AT634=1,Settings!$C$8,IF($AS634=1,Settings!$C$6,Settings!$C$7))*100)</f>
        <v/>
      </c>
      <c r="AE634" s="7">
        <f>IF($E634="","",Z634*AD634/100)</f>
        <v/>
      </c>
      <c r="AF634" s="7">
        <f>IF($E634="","",Z634-AE634)</f>
        <v/>
      </c>
      <c r="AG634" s="7">
        <f>IF($E634="","",AF634-Q634)</f>
        <v/>
      </c>
      <c r="AK634" s="7" t="n"/>
      <c r="AN634" s="14" t="n"/>
      <c r="AQ634">
        <f>IF($E634="","",IF(COUNTIF($E$2:$E634,$E634)=1,1,0))</f>
        <v/>
      </c>
      <c r="AR634">
        <f>IF($AQ634=1,SUMPRODUCT(--($AU$2:$AU$1501&lt;$AU634))+1,"")</f>
        <v/>
      </c>
      <c r="AS634">
        <f>IF($E634="","",IF(OR($U634=TRUE(),$U634="TRUE"),1,0))</f>
        <v/>
      </c>
      <c r="AT634">
        <f>IF($E634="","",IF($AC634="Yes",1,0))</f>
        <v/>
      </c>
      <c r="AU634">
        <f>IF($AQ634=1,IFERROR(IF(VALUE($E634)&lt;100000000,VALUE($E634),1000000000),IFERROR(IF(VALUE(MID($E634,2,20))&lt;100000000,VALUE(MID($E634,2,20)),1000000000),1000000000))+ROW()/100000,"")</f>
        <v/>
      </c>
    </row>
    <row r="635">
      <c r="G635" s="14" t="n"/>
      <c r="Q635" s="7">
        <f>IF($E635="","",P635*Z635/100)</f>
        <v/>
      </c>
      <c r="R635" s="7" t="n"/>
      <c r="Y635" s="7" t="n"/>
      <c r="Z635" s="7" t="n"/>
      <c r="AA635" s="7" t="n"/>
      <c r="AD635">
        <f>IF($E635="","",IF($AT635=1,Settings!$C$8,IF($AS635=1,Settings!$C$6,Settings!$C$7))*100)</f>
        <v/>
      </c>
      <c r="AE635" s="7">
        <f>IF($E635="","",Z635*AD635/100)</f>
        <v/>
      </c>
      <c r="AF635" s="7">
        <f>IF($E635="","",Z635-AE635)</f>
        <v/>
      </c>
      <c r="AG635" s="7">
        <f>IF($E635="","",AF635-Q635)</f>
        <v/>
      </c>
      <c r="AK635" s="7" t="n"/>
      <c r="AN635" s="14" t="n"/>
      <c r="AQ635">
        <f>IF($E635="","",IF(COUNTIF($E$2:$E635,$E635)=1,1,0))</f>
        <v/>
      </c>
      <c r="AR635">
        <f>IF($AQ635=1,SUMPRODUCT(--($AU$2:$AU$1501&lt;$AU635))+1,"")</f>
        <v/>
      </c>
      <c r="AS635">
        <f>IF($E635="","",IF(OR($U635=TRUE(),$U635="TRUE"),1,0))</f>
        <v/>
      </c>
      <c r="AT635">
        <f>IF($E635="","",IF($AC635="Yes",1,0))</f>
        <v/>
      </c>
      <c r="AU635">
        <f>IF($AQ635=1,IFERROR(IF(VALUE($E635)&lt;100000000,VALUE($E635),1000000000),IFERROR(IF(VALUE(MID($E635,2,20))&lt;100000000,VALUE(MID($E635,2,20)),1000000000),1000000000))+ROW()/100000,"")</f>
        <v/>
      </c>
    </row>
    <row r="636">
      <c r="G636" s="14" t="n"/>
      <c r="Q636" s="7">
        <f>IF($E636="","",P636*Z636/100)</f>
        <v/>
      </c>
      <c r="R636" s="7" t="n"/>
      <c r="Y636" s="7" t="n"/>
      <c r="Z636" s="7" t="n"/>
      <c r="AA636" s="7" t="n"/>
      <c r="AD636">
        <f>IF($E636="","",IF($AT636=1,Settings!$C$8,IF($AS636=1,Settings!$C$6,Settings!$C$7))*100)</f>
        <v/>
      </c>
      <c r="AE636" s="7">
        <f>IF($E636="","",Z636*AD636/100)</f>
        <v/>
      </c>
      <c r="AF636" s="7">
        <f>IF($E636="","",Z636-AE636)</f>
        <v/>
      </c>
      <c r="AG636" s="7">
        <f>IF($E636="","",AF636-Q636)</f>
        <v/>
      </c>
      <c r="AK636" s="7" t="n"/>
      <c r="AN636" s="14" t="n"/>
      <c r="AQ636">
        <f>IF($E636="","",IF(COUNTIF($E$2:$E636,$E636)=1,1,0))</f>
        <v/>
      </c>
      <c r="AR636">
        <f>IF($AQ636=1,SUMPRODUCT(--($AU$2:$AU$1501&lt;$AU636))+1,"")</f>
        <v/>
      </c>
      <c r="AS636">
        <f>IF($E636="","",IF(OR($U636=TRUE(),$U636="TRUE"),1,0))</f>
        <v/>
      </c>
      <c r="AT636">
        <f>IF($E636="","",IF($AC636="Yes",1,0))</f>
        <v/>
      </c>
      <c r="AU636">
        <f>IF($AQ636=1,IFERROR(IF(VALUE($E636)&lt;100000000,VALUE($E636),1000000000),IFERROR(IF(VALUE(MID($E636,2,20))&lt;100000000,VALUE(MID($E636,2,20)),1000000000),1000000000))+ROW()/100000,"")</f>
        <v/>
      </c>
    </row>
    <row r="637">
      <c r="G637" s="14" t="n"/>
      <c r="Q637" s="7">
        <f>IF($E637="","",P637*Z637/100)</f>
        <v/>
      </c>
      <c r="R637" s="7" t="n"/>
      <c r="Y637" s="7" t="n"/>
      <c r="Z637" s="7" t="n"/>
      <c r="AA637" s="7" t="n"/>
      <c r="AD637">
        <f>IF($E637="","",IF($AT637=1,Settings!$C$8,IF($AS637=1,Settings!$C$6,Settings!$C$7))*100)</f>
        <v/>
      </c>
      <c r="AE637" s="7">
        <f>IF($E637="","",Z637*AD637/100)</f>
        <v/>
      </c>
      <c r="AF637" s="7">
        <f>IF($E637="","",Z637-AE637)</f>
        <v/>
      </c>
      <c r="AG637" s="7">
        <f>IF($E637="","",AF637-Q637)</f>
        <v/>
      </c>
      <c r="AK637" s="7" t="n"/>
      <c r="AN637" s="14" t="n"/>
      <c r="AQ637">
        <f>IF($E637="","",IF(COUNTIF($E$2:$E637,$E637)=1,1,0))</f>
        <v/>
      </c>
      <c r="AR637">
        <f>IF($AQ637=1,SUMPRODUCT(--($AU$2:$AU$1501&lt;$AU637))+1,"")</f>
        <v/>
      </c>
      <c r="AS637">
        <f>IF($E637="","",IF(OR($U637=TRUE(),$U637="TRUE"),1,0))</f>
        <v/>
      </c>
      <c r="AT637">
        <f>IF($E637="","",IF($AC637="Yes",1,0))</f>
        <v/>
      </c>
      <c r="AU637">
        <f>IF($AQ637=1,IFERROR(IF(VALUE($E637)&lt;100000000,VALUE($E637),1000000000),IFERROR(IF(VALUE(MID($E637,2,20))&lt;100000000,VALUE(MID($E637,2,20)),1000000000),1000000000))+ROW()/100000,"")</f>
        <v/>
      </c>
    </row>
    <row r="638">
      <c r="G638" s="14" t="n"/>
      <c r="Q638" s="7">
        <f>IF($E638="","",P638*Z638/100)</f>
        <v/>
      </c>
      <c r="R638" s="7" t="n"/>
      <c r="Y638" s="7" t="n"/>
      <c r="Z638" s="7" t="n"/>
      <c r="AA638" s="7" t="n"/>
      <c r="AD638">
        <f>IF($E638="","",IF($AT638=1,Settings!$C$8,IF($AS638=1,Settings!$C$6,Settings!$C$7))*100)</f>
        <v/>
      </c>
      <c r="AE638" s="7">
        <f>IF($E638="","",Z638*AD638/100)</f>
        <v/>
      </c>
      <c r="AF638" s="7">
        <f>IF($E638="","",Z638-AE638)</f>
        <v/>
      </c>
      <c r="AG638" s="7">
        <f>IF($E638="","",AF638-Q638)</f>
        <v/>
      </c>
      <c r="AK638" s="7" t="n"/>
      <c r="AN638" s="14" t="n"/>
      <c r="AQ638">
        <f>IF($E638="","",IF(COUNTIF($E$2:$E638,$E638)=1,1,0))</f>
        <v/>
      </c>
      <c r="AR638">
        <f>IF($AQ638=1,SUMPRODUCT(--($AU$2:$AU$1501&lt;$AU638))+1,"")</f>
        <v/>
      </c>
      <c r="AS638">
        <f>IF($E638="","",IF(OR($U638=TRUE(),$U638="TRUE"),1,0))</f>
        <v/>
      </c>
      <c r="AT638">
        <f>IF($E638="","",IF($AC638="Yes",1,0))</f>
        <v/>
      </c>
      <c r="AU638">
        <f>IF($AQ638=1,IFERROR(IF(VALUE($E638)&lt;100000000,VALUE($E638),1000000000),IFERROR(IF(VALUE(MID($E638,2,20))&lt;100000000,VALUE(MID($E638,2,20)),1000000000),1000000000))+ROW()/100000,"")</f>
        <v/>
      </c>
    </row>
    <row r="639">
      <c r="G639" s="14" t="n"/>
      <c r="Q639" s="7">
        <f>IF($E639="","",P639*Z639/100)</f>
        <v/>
      </c>
      <c r="R639" s="7" t="n"/>
      <c r="Y639" s="7" t="n"/>
      <c r="Z639" s="7" t="n"/>
      <c r="AA639" s="7" t="n"/>
      <c r="AD639">
        <f>IF($E639="","",IF($AT639=1,Settings!$C$8,IF($AS639=1,Settings!$C$6,Settings!$C$7))*100)</f>
        <v/>
      </c>
      <c r="AE639" s="7">
        <f>IF($E639="","",Z639*AD639/100)</f>
        <v/>
      </c>
      <c r="AF639" s="7">
        <f>IF($E639="","",Z639-AE639)</f>
        <v/>
      </c>
      <c r="AG639" s="7">
        <f>IF($E639="","",AF639-Q639)</f>
        <v/>
      </c>
      <c r="AK639" s="7" t="n"/>
      <c r="AN639" s="14" t="n"/>
      <c r="AQ639">
        <f>IF($E639="","",IF(COUNTIF($E$2:$E639,$E639)=1,1,0))</f>
        <v/>
      </c>
      <c r="AR639">
        <f>IF($AQ639=1,SUMPRODUCT(--($AU$2:$AU$1501&lt;$AU639))+1,"")</f>
        <v/>
      </c>
      <c r="AS639">
        <f>IF($E639="","",IF(OR($U639=TRUE(),$U639="TRUE"),1,0))</f>
        <v/>
      </c>
      <c r="AT639">
        <f>IF($E639="","",IF($AC639="Yes",1,0))</f>
        <v/>
      </c>
      <c r="AU639">
        <f>IF($AQ639=1,IFERROR(IF(VALUE($E639)&lt;100000000,VALUE($E639),1000000000),IFERROR(IF(VALUE(MID($E639,2,20))&lt;100000000,VALUE(MID($E639,2,20)),1000000000),1000000000))+ROW()/100000,"")</f>
        <v/>
      </c>
    </row>
    <row r="640">
      <c r="G640" s="14" t="n"/>
      <c r="Q640" s="7">
        <f>IF($E640="","",P640*Z640/100)</f>
        <v/>
      </c>
      <c r="R640" s="7" t="n"/>
      <c r="Y640" s="7" t="n"/>
      <c r="Z640" s="7" t="n"/>
      <c r="AA640" s="7" t="n"/>
      <c r="AD640">
        <f>IF($E640="","",IF($AT640=1,Settings!$C$8,IF($AS640=1,Settings!$C$6,Settings!$C$7))*100)</f>
        <v/>
      </c>
      <c r="AE640" s="7">
        <f>IF($E640="","",Z640*AD640/100)</f>
        <v/>
      </c>
      <c r="AF640" s="7">
        <f>IF($E640="","",Z640-AE640)</f>
        <v/>
      </c>
      <c r="AG640" s="7">
        <f>IF($E640="","",AF640-Q640)</f>
        <v/>
      </c>
      <c r="AK640" s="7" t="n"/>
      <c r="AN640" s="14" t="n"/>
      <c r="AQ640">
        <f>IF($E640="","",IF(COUNTIF($E$2:$E640,$E640)=1,1,0))</f>
        <v/>
      </c>
      <c r="AR640">
        <f>IF($AQ640=1,SUMPRODUCT(--($AU$2:$AU$1501&lt;$AU640))+1,"")</f>
        <v/>
      </c>
      <c r="AS640">
        <f>IF($E640="","",IF(OR($U640=TRUE(),$U640="TRUE"),1,0))</f>
        <v/>
      </c>
      <c r="AT640">
        <f>IF($E640="","",IF($AC640="Yes",1,0))</f>
        <v/>
      </c>
      <c r="AU640">
        <f>IF($AQ640=1,IFERROR(IF(VALUE($E640)&lt;100000000,VALUE($E640),1000000000),IFERROR(IF(VALUE(MID($E640,2,20))&lt;100000000,VALUE(MID($E640,2,20)),1000000000),1000000000))+ROW()/100000,"")</f>
        <v/>
      </c>
    </row>
    <row r="641">
      <c r="G641" s="14" t="n"/>
      <c r="Q641" s="7">
        <f>IF($E641="","",P641*Z641/100)</f>
        <v/>
      </c>
      <c r="R641" s="7" t="n"/>
      <c r="Y641" s="7" t="n"/>
      <c r="Z641" s="7" t="n"/>
      <c r="AA641" s="7" t="n"/>
      <c r="AD641">
        <f>IF($E641="","",IF($AT641=1,Settings!$C$8,IF($AS641=1,Settings!$C$6,Settings!$C$7))*100)</f>
        <v/>
      </c>
      <c r="AE641" s="7">
        <f>IF($E641="","",Z641*AD641/100)</f>
        <v/>
      </c>
      <c r="AF641" s="7">
        <f>IF($E641="","",Z641-AE641)</f>
        <v/>
      </c>
      <c r="AG641" s="7">
        <f>IF($E641="","",AF641-Q641)</f>
        <v/>
      </c>
      <c r="AK641" s="7" t="n"/>
      <c r="AN641" s="14" t="n"/>
      <c r="AQ641">
        <f>IF($E641="","",IF(COUNTIF($E$2:$E641,$E641)=1,1,0))</f>
        <v/>
      </c>
      <c r="AR641">
        <f>IF($AQ641=1,SUMPRODUCT(--($AU$2:$AU$1501&lt;$AU641))+1,"")</f>
        <v/>
      </c>
      <c r="AS641">
        <f>IF($E641="","",IF(OR($U641=TRUE(),$U641="TRUE"),1,0))</f>
        <v/>
      </c>
      <c r="AT641">
        <f>IF($E641="","",IF($AC641="Yes",1,0))</f>
        <v/>
      </c>
      <c r="AU641">
        <f>IF($AQ641=1,IFERROR(IF(VALUE($E641)&lt;100000000,VALUE($E641),1000000000),IFERROR(IF(VALUE(MID($E641,2,20))&lt;100000000,VALUE(MID($E641,2,20)),1000000000),1000000000))+ROW()/100000,"")</f>
        <v/>
      </c>
    </row>
    <row r="642">
      <c r="G642" s="14" t="n"/>
      <c r="Q642" s="7">
        <f>IF($E642="","",P642*Z642/100)</f>
        <v/>
      </c>
      <c r="R642" s="7" t="n"/>
      <c r="Y642" s="7" t="n"/>
      <c r="Z642" s="7" t="n"/>
      <c r="AA642" s="7" t="n"/>
      <c r="AD642">
        <f>IF($E642="","",IF($AT642=1,Settings!$C$8,IF($AS642=1,Settings!$C$6,Settings!$C$7))*100)</f>
        <v/>
      </c>
      <c r="AE642" s="7">
        <f>IF($E642="","",Z642*AD642/100)</f>
        <v/>
      </c>
      <c r="AF642" s="7">
        <f>IF($E642="","",Z642-AE642)</f>
        <v/>
      </c>
      <c r="AG642" s="7">
        <f>IF($E642="","",AF642-Q642)</f>
        <v/>
      </c>
      <c r="AK642" s="7" t="n"/>
      <c r="AN642" s="14" t="n"/>
      <c r="AQ642">
        <f>IF($E642="","",IF(COUNTIF($E$2:$E642,$E642)=1,1,0))</f>
        <v/>
      </c>
      <c r="AR642">
        <f>IF($AQ642=1,SUMPRODUCT(--($AU$2:$AU$1501&lt;$AU642))+1,"")</f>
        <v/>
      </c>
      <c r="AS642">
        <f>IF($E642="","",IF(OR($U642=TRUE(),$U642="TRUE"),1,0))</f>
        <v/>
      </c>
      <c r="AT642">
        <f>IF($E642="","",IF($AC642="Yes",1,0))</f>
        <v/>
      </c>
      <c r="AU642">
        <f>IF($AQ642=1,IFERROR(IF(VALUE($E642)&lt;100000000,VALUE($E642),1000000000),IFERROR(IF(VALUE(MID($E642,2,20))&lt;100000000,VALUE(MID($E642,2,20)),1000000000),1000000000))+ROW()/100000,"")</f>
        <v/>
      </c>
    </row>
    <row r="643">
      <c r="G643" s="14" t="n"/>
      <c r="Q643" s="7">
        <f>IF($E643="","",P643*Z643/100)</f>
        <v/>
      </c>
      <c r="R643" s="7" t="n"/>
      <c r="Y643" s="7" t="n"/>
      <c r="Z643" s="7" t="n"/>
      <c r="AA643" s="7" t="n"/>
      <c r="AD643">
        <f>IF($E643="","",IF($AT643=1,Settings!$C$8,IF($AS643=1,Settings!$C$6,Settings!$C$7))*100)</f>
        <v/>
      </c>
      <c r="AE643" s="7">
        <f>IF($E643="","",Z643*AD643/100)</f>
        <v/>
      </c>
      <c r="AF643" s="7">
        <f>IF($E643="","",Z643-AE643)</f>
        <v/>
      </c>
      <c r="AG643" s="7">
        <f>IF($E643="","",AF643-Q643)</f>
        <v/>
      </c>
      <c r="AK643" s="7" t="n"/>
      <c r="AN643" s="14" t="n"/>
      <c r="AQ643">
        <f>IF($E643="","",IF(COUNTIF($E$2:$E643,$E643)=1,1,0))</f>
        <v/>
      </c>
      <c r="AR643">
        <f>IF($AQ643=1,SUMPRODUCT(--($AU$2:$AU$1501&lt;$AU643))+1,"")</f>
        <v/>
      </c>
      <c r="AS643">
        <f>IF($E643="","",IF(OR($U643=TRUE(),$U643="TRUE"),1,0))</f>
        <v/>
      </c>
      <c r="AT643">
        <f>IF($E643="","",IF($AC643="Yes",1,0))</f>
        <v/>
      </c>
      <c r="AU643">
        <f>IF($AQ643=1,IFERROR(IF(VALUE($E643)&lt;100000000,VALUE($E643),1000000000),IFERROR(IF(VALUE(MID($E643,2,20))&lt;100000000,VALUE(MID($E643,2,20)),1000000000),1000000000))+ROW()/100000,"")</f>
        <v/>
      </c>
    </row>
    <row r="644">
      <c r="G644" s="14" t="n"/>
      <c r="Q644" s="7">
        <f>IF($E644="","",P644*Z644/100)</f>
        <v/>
      </c>
      <c r="R644" s="7" t="n"/>
      <c r="Y644" s="7" t="n"/>
      <c r="Z644" s="7" t="n"/>
      <c r="AA644" s="7" t="n"/>
      <c r="AD644">
        <f>IF($E644="","",IF($AT644=1,Settings!$C$8,IF($AS644=1,Settings!$C$6,Settings!$C$7))*100)</f>
        <v/>
      </c>
      <c r="AE644" s="7">
        <f>IF($E644="","",Z644*AD644/100)</f>
        <v/>
      </c>
      <c r="AF644" s="7">
        <f>IF($E644="","",Z644-AE644)</f>
        <v/>
      </c>
      <c r="AG644" s="7">
        <f>IF($E644="","",AF644-Q644)</f>
        <v/>
      </c>
      <c r="AK644" s="7" t="n"/>
      <c r="AN644" s="14" t="n"/>
      <c r="AQ644">
        <f>IF($E644="","",IF(COUNTIF($E$2:$E644,$E644)=1,1,0))</f>
        <v/>
      </c>
      <c r="AR644">
        <f>IF($AQ644=1,SUMPRODUCT(--($AU$2:$AU$1501&lt;$AU644))+1,"")</f>
        <v/>
      </c>
      <c r="AS644">
        <f>IF($E644="","",IF(OR($U644=TRUE(),$U644="TRUE"),1,0))</f>
        <v/>
      </c>
      <c r="AT644">
        <f>IF($E644="","",IF($AC644="Yes",1,0))</f>
        <v/>
      </c>
      <c r="AU644">
        <f>IF($AQ644=1,IFERROR(IF(VALUE($E644)&lt;100000000,VALUE($E644),1000000000),IFERROR(IF(VALUE(MID($E644,2,20))&lt;100000000,VALUE(MID($E644,2,20)),1000000000),1000000000))+ROW()/100000,"")</f>
        <v/>
      </c>
    </row>
    <row r="645">
      <c r="G645" s="14" t="n"/>
      <c r="Q645" s="7">
        <f>IF($E645="","",P645*Z645/100)</f>
        <v/>
      </c>
      <c r="R645" s="7" t="n"/>
      <c r="Y645" s="7" t="n"/>
      <c r="Z645" s="7" t="n"/>
      <c r="AA645" s="7" t="n"/>
      <c r="AD645">
        <f>IF($E645="","",IF($AT645=1,Settings!$C$8,IF($AS645=1,Settings!$C$6,Settings!$C$7))*100)</f>
        <v/>
      </c>
      <c r="AE645" s="7">
        <f>IF($E645="","",Z645*AD645/100)</f>
        <v/>
      </c>
      <c r="AF645" s="7">
        <f>IF($E645="","",Z645-AE645)</f>
        <v/>
      </c>
      <c r="AG645" s="7">
        <f>IF($E645="","",AF645-Q645)</f>
        <v/>
      </c>
      <c r="AK645" s="7" t="n"/>
      <c r="AN645" s="14" t="n"/>
      <c r="AQ645">
        <f>IF($E645="","",IF(COUNTIF($E$2:$E645,$E645)=1,1,0))</f>
        <v/>
      </c>
      <c r="AR645">
        <f>IF($AQ645=1,SUMPRODUCT(--($AU$2:$AU$1501&lt;$AU645))+1,"")</f>
        <v/>
      </c>
      <c r="AS645">
        <f>IF($E645="","",IF(OR($U645=TRUE(),$U645="TRUE"),1,0))</f>
        <v/>
      </c>
      <c r="AT645">
        <f>IF($E645="","",IF($AC645="Yes",1,0))</f>
        <v/>
      </c>
      <c r="AU645">
        <f>IF($AQ645=1,IFERROR(IF(VALUE($E645)&lt;100000000,VALUE($E645),1000000000),IFERROR(IF(VALUE(MID($E645,2,20))&lt;100000000,VALUE(MID($E645,2,20)),1000000000),1000000000))+ROW()/100000,"")</f>
        <v/>
      </c>
    </row>
    <row r="646">
      <c r="G646" s="14" t="n"/>
      <c r="Q646" s="7">
        <f>IF($E646="","",P646*Z646/100)</f>
        <v/>
      </c>
      <c r="R646" s="7" t="n"/>
      <c r="Y646" s="7" t="n"/>
      <c r="Z646" s="7" t="n"/>
      <c r="AA646" s="7" t="n"/>
      <c r="AD646">
        <f>IF($E646="","",IF($AT646=1,Settings!$C$8,IF($AS646=1,Settings!$C$6,Settings!$C$7))*100)</f>
        <v/>
      </c>
      <c r="AE646" s="7">
        <f>IF($E646="","",Z646*AD646/100)</f>
        <v/>
      </c>
      <c r="AF646" s="7">
        <f>IF($E646="","",Z646-AE646)</f>
        <v/>
      </c>
      <c r="AG646" s="7">
        <f>IF($E646="","",AF646-Q646)</f>
        <v/>
      </c>
      <c r="AK646" s="7" t="n"/>
      <c r="AN646" s="14" t="n"/>
      <c r="AQ646">
        <f>IF($E646="","",IF(COUNTIF($E$2:$E646,$E646)=1,1,0))</f>
        <v/>
      </c>
      <c r="AR646">
        <f>IF($AQ646=1,SUMPRODUCT(--($AU$2:$AU$1501&lt;$AU646))+1,"")</f>
        <v/>
      </c>
      <c r="AS646">
        <f>IF($E646="","",IF(OR($U646=TRUE(),$U646="TRUE"),1,0))</f>
        <v/>
      </c>
      <c r="AT646">
        <f>IF($E646="","",IF($AC646="Yes",1,0))</f>
        <v/>
      </c>
      <c r="AU646">
        <f>IF($AQ646=1,IFERROR(IF(VALUE($E646)&lt;100000000,VALUE($E646),1000000000),IFERROR(IF(VALUE(MID($E646,2,20))&lt;100000000,VALUE(MID($E646,2,20)),1000000000),1000000000))+ROW()/100000,"")</f>
        <v/>
      </c>
    </row>
    <row r="647">
      <c r="G647" s="14" t="n"/>
      <c r="Q647" s="7">
        <f>IF($E647="","",P647*Z647/100)</f>
        <v/>
      </c>
      <c r="R647" s="7" t="n"/>
      <c r="Y647" s="7" t="n"/>
      <c r="Z647" s="7" t="n"/>
      <c r="AA647" s="7" t="n"/>
      <c r="AD647">
        <f>IF($E647="","",IF($AT647=1,Settings!$C$8,IF($AS647=1,Settings!$C$6,Settings!$C$7))*100)</f>
        <v/>
      </c>
      <c r="AE647" s="7">
        <f>IF($E647="","",Z647*AD647/100)</f>
        <v/>
      </c>
      <c r="AF647" s="7">
        <f>IF($E647="","",Z647-AE647)</f>
        <v/>
      </c>
      <c r="AG647" s="7">
        <f>IF($E647="","",AF647-Q647)</f>
        <v/>
      </c>
      <c r="AK647" s="7" t="n"/>
      <c r="AN647" s="14" t="n"/>
      <c r="AQ647">
        <f>IF($E647="","",IF(COUNTIF($E$2:$E647,$E647)=1,1,0))</f>
        <v/>
      </c>
      <c r="AR647">
        <f>IF($AQ647=1,SUMPRODUCT(--($AU$2:$AU$1501&lt;$AU647))+1,"")</f>
        <v/>
      </c>
      <c r="AS647">
        <f>IF($E647="","",IF(OR($U647=TRUE(),$U647="TRUE"),1,0))</f>
        <v/>
      </c>
      <c r="AT647">
        <f>IF($E647="","",IF($AC647="Yes",1,0))</f>
        <v/>
      </c>
      <c r="AU647">
        <f>IF($AQ647=1,IFERROR(IF(VALUE($E647)&lt;100000000,VALUE($E647),1000000000),IFERROR(IF(VALUE(MID($E647,2,20))&lt;100000000,VALUE(MID($E647,2,20)),1000000000),1000000000))+ROW()/100000,"")</f>
        <v/>
      </c>
    </row>
    <row r="648">
      <c r="G648" s="14" t="n"/>
      <c r="Q648" s="7">
        <f>IF($E648="","",P648*Z648/100)</f>
        <v/>
      </c>
      <c r="R648" s="7" t="n"/>
      <c r="Y648" s="7" t="n"/>
      <c r="Z648" s="7" t="n"/>
      <c r="AA648" s="7" t="n"/>
      <c r="AD648">
        <f>IF($E648="","",IF($AT648=1,Settings!$C$8,IF($AS648=1,Settings!$C$6,Settings!$C$7))*100)</f>
        <v/>
      </c>
      <c r="AE648" s="7">
        <f>IF($E648="","",Z648*AD648/100)</f>
        <v/>
      </c>
      <c r="AF648" s="7">
        <f>IF($E648="","",Z648-AE648)</f>
        <v/>
      </c>
      <c r="AG648" s="7">
        <f>IF($E648="","",AF648-Q648)</f>
        <v/>
      </c>
      <c r="AK648" s="7" t="n"/>
      <c r="AN648" s="14" t="n"/>
      <c r="AQ648">
        <f>IF($E648="","",IF(COUNTIF($E$2:$E648,$E648)=1,1,0))</f>
        <v/>
      </c>
      <c r="AR648">
        <f>IF($AQ648=1,SUMPRODUCT(--($AU$2:$AU$1501&lt;$AU648))+1,"")</f>
        <v/>
      </c>
      <c r="AS648">
        <f>IF($E648="","",IF(OR($U648=TRUE(),$U648="TRUE"),1,0))</f>
        <v/>
      </c>
      <c r="AT648">
        <f>IF($E648="","",IF($AC648="Yes",1,0))</f>
        <v/>
      </c>
      <c r="AU648">
        <f>IF($AQ648=1,IFERROR(IF(VALUE($E648)&lt;100000000,VALUE($E648),1000000000),IFERROR(IF(VALUE(MID($E648,2,20))&lt;100000000,VALUE(MID($E648,2,20)),1000000000),1000000000))+ROW()/100000,"")</f>
        <v/>
      </c>
    </row>
    <row r="649">
      <c r="G649" s="14" t="n"/>
      <c r="Q649" s="7">
        <f>IF($E649="","",P649*Z649/100)</f>
        <v/>
      </c>
      <c r="R649" s="7" t="n"/>
      <c r="Y649" s="7" t="n"/>
      <c r="Z649" s="7" t="n"/>
      <c r="AA649" s="7" t="n"/>
      <c r="AD649">
        <f>IF($E649="","",IF($AT649=1,Settings!$C$8,IF($AS649=1,Settings!$C$6,Settings!$C$7))*100)</f>
        <v/>
      </c>
      <c r="AE649" s="7">
        <f>IF($E649="","",Z649*AD649/100)</f>
        <v/>
      </c>
      <c r="AF649" s="7">
        <f>IF($E649="","",Z649-AE649)</f>
        <v/>
      </c>
      <c r="AG649" s="7">
        <f>IF($E649="","",AF649-Q649)</f>
        <v/>
      </c>
      <c r="AK649" s="7" t="n"/>
      <c r="AN649" s="14" t="n"/>
      <c r="AQ649">
        <f>IF($E649="","",IF(COUNTIF($E$2:$E649,$E649)=1,1,0))</f>
        <v/>
      </c>
      <c r="AR649">
        <f>IF($AQ649=1,SUMPRODUCT(--($AU$2:$AU$1501&lt;$AU649))+1,"")</f>
        <v/>
      </c>
      <c r="AS649">
        <f>IF($E649="","",IF(OR($U649=TRUE(),$U649="TRUE"),1,0))</f>
        <v/>
      </c>
      <c r="AT649">
        <f>IF($E649="","",IF($AC649="Yes",1,0))</f>
        <v/>
      </c>
      <c r="AU649">
        <f>IF($AQ649=1,IFERROR(IF(VALUE($E649)&lt;100000000,VALUE($E649),1000000000),IFERROR(IF(VALUE(MID($E649,2,20))&lt;100000000,VALUE(MID($E649,2,20)),1000000000),1000000000))+ROW()/100000,"")</f>
        <v/>
      </c>
    </row>
    <row r="650">
      <c r="G650" s="14" t="n"/>
      <c r="Q650" s="7">
        <f>IF($E650="","",P650*Z650/100)</f>
        <v/>
      </c>
      <c r="R650" s="7" t="n"/>
      <c r="Y650" s="7" t="n"/>
      <c r="Z650" s="7" t="n"/>
      <c r="AA650" s="7" t="n"/>
      <c r="AD650">
        <f>IF($E650="","",IF($AT650=1,Settings!$C$8,IF($AS650=1,Settings!$C$6,Settings!$C$7))*100)</f>
        <v/>
      </c>
      <c r="AE650" s="7">
        <f>IF($E650="","",Z650*AD650/100)</f>
        <v/>
      </c>
      <c r="AF650" s="7">
        <f>IF($E650="","",Z650-AE650)</f>
        <v/>
      </c>
      <c r="AG650" s="7">
        <f>IF($E650="","",AF650-Q650)</f>
        <v/>
      </c>
      <c r="AK650" s="7" t="n"/>
      <c r="AN650" s="14" t="n"/>
      <c r="AQ650">
        <f>IF($E650="","",IF(COUNTIF($E$2:$E650,$E650)=1,1,0))</f>
        <v/>
      </c>
      <c r="AR650">
        <f>IF($AQ650=1,SUMPRODUCT(--($AU$2:$AU$1501&lt;$AU650))+1,"")</f>
        <v/>
      </c>
      <c r="AS650">
        <f>IF($E650="","",IF(OR($U650=TRUE(),$U650="TRUE"),1,0))</f>
        <v/>
      </c>
      <c r="AT650">
        <f>IF($E650="","",IF($AC650="Yes",1,0))</f>
        <v/>
      </c>
      <c r="AU650">
        <f>IF($AQ650=1,IFERROR(IF(VALUE($E650)&lt;100000000,VALUE($E650),1000000000),IFERROR(IF(VALUE(MID($E650,2,20))&lt;100000000,VALUE(MID($E650,2,20)),1000000000),1000000000))+ROW()/100000,"")</f>
        <v/>
      </c>
    </row>
    <row r="651">
      <c r="G651" s="14" t="n"/>
      <c r="Q651" s="7">
        <f>IF($E651="","",P651*Z651/100)</f>
        <v/>
      </c>
      <c r="R651" s="7" t="n"/>
      <c r="Y651" s="7" t="n"/>
      <c r="Z651" s="7" t="n"/>
      <c r="AA651" s="7" t="n"/>
      <c r="AD651">
        <f>IF($E651="","",IF($AT651=1,Settings!$C$8,IF($AS651=1,Settings!$C$6,Settings!$C$7))*100)</f>
        <v/>
      </c>
      <c r="AE651" s="7">
        <f>IF($E651="","",Z651*AD651/100)</f>
        <v/>
      </c>
      <c r="AF651" s="7">
        <f>IF($E651="","",Z651-AE651)</f>
        <v/>
      </c>
      <c r="AG651" s="7">
        <f>IF($E651="","",AF651-Q651)</f>
        <v/>
      </c>
      <c r="AK651" s="7" t="n"/>
      <c r="AN651" s="14" t="n"/>
      <c r="AQ651">
        <f>IF($E651="","",IF(COUNTIF($E$2:$E651,$E651)=1,1,0))</f>
        <v/>
      </c>
      <c r="AR651">
        <f>IF($AQ651=1,SUMPRODUCT(--($AU$2:$AU$1501&lt;$AU651))+1,"")</f>
        <v/>
      </c>
      <c r="AS651">
        <f>IF($E651="","",IF(OR($U651=TRUE(),$U651="TRUE"),1,0))</f>
        <v/>
      </c>
      <c r="AT651">
        <f>IF($E651="","",IF($AC651="Yes",1,0))</f>
        <v/>
      </c>
      <c r="AU651">
        <f>IF($AQ651=1,IFERROR(IF(VALUE($E651)&lt;100000000,VALUE($E651),1000000000),IFERROR(IF(VALUE(MID($E651,2,20))&lt;100000000,VALUE(MID($E651,2,20)),1000000000),1000000000))+ROW()/100000,"")</f>
        <v/>
      </c>
    </row>
    <row r="652">
      <c r="G652" s="14" t="n"/>
      <c r="Q652" s="7">
        <f>IF($E652="","",P652*Z652/100)</f>
        <v/>
      </c>
      <c r="R652" s="7" t="n"/>
      <c r="Y652" s="7" t="n"/>
      <c r="Z652" s="7" t="n"/>
      <c r="AA652" s="7" t="n"/>
      <c r="AD652">
        <f>IF($E652="","",IF($AT652=1,Settings!$C$8,IF($AS652=1,Settings!$C$6,Settings!$C$7))*100)</f>
        <v/>
      </c>
      <c r="AE652" s="7">
        <f>IF($E652="","",Z652*AD652/100)</f>
        <v/>
      </c>
      <c r="AF652" s="7">
        <f>IF($E652="","",Z652-AE652)</f>
        <v/>
      </c>
      <c r="AG652" s="7">
        <f>IF($E652="","",AF652-Q652)</f>
        <v/>
      </c>
      <c r="AK652" s="7" t="n"/>
      <c r="AN652" s="14" t="n"/>
      <c r="AQ652">
        <f>IF($E652="","",IF(COUNTIF($E$2:$E652,$E652)=1,1,0))</f>
        <v/>
      </c>
      <c r="AR652">
        <f>IF($AQ652=1,SUMPRODUCT(--($AU$2:$AU$1501&lt;$AU652))+1,"")</f>
        <v/>
      </c>
      <c r="AS652">
        <f>IF($E652="","",IF(OR($U652=TRUE(),$U652="TRUE"),1,0))</f>
        <v/>
      </c>
      <c r="AT652">
        <f>IF($E652="","",IF($AC652="Yes",1,0))</f>
        <v/>
      </c>
      <c r="AU652">
        <f>IF($AQ652=1,IFERROR(IF(VALUE($E652)&lt;100000000,VALUE($E652),1000000000),IFERROR(IF(VALUE(MID($E652,2,20))&lt;100000000,VALUE(MID($E652,2,20)),1000000000),1000000000))+ROW()/100000,"")</f>
        <v/>
      </c>
    </row>
    <row r="653">
      <c r="G653" s="14" t="n"/>
      <c r="Q653" s="7">
        <f>IF($E653="","",P653*Z653/100)</f>
        <v/>
      </c>
      <c r="R653" s="7" t="n"/>
      <c r="Y653" s="7" t="n"/>
      <c r="Z653" s="7" t="n"/>
      <c r="AA653" s="7" t="n"/>
      <c r="AD653">
        <f>IF($E653="","",IF($AT653=1,Settings!$C$8,IF($AS653=1,Settings!$C$6,Settings!$C$7))*100)</f>
        <v/>
      </c>
      <c r="AE653" s="7">
        <f>IF($E653="","",Z653*AD653/100)</f>
        <v/>
      </c>
      <c r="AF653" s="7">
        <f>IF($E653="","",Z653-AE653)</f>
        <v/>
      </c>
      <c r="AG653" s="7">
        <f>IF($E653="","",AF653-Q653)</f>
        <v/>
      </c>
      <c r="AK653" s="7" t="n"/>
      <c r="AN653" s="14" t="n"/>
      <c r="AQ653">
        <f>IF($E653="","",IF(COUNTIF($E$2:$E653,$E653)=1,1,0))</f>
        <v/>
      </c>
      <c r="AR653">
        <f>IF($AQ653=1,SUMPRODUCT(--($AU$2:$AU$1501&lt;$AU653))+1,"")</f>
        <v/>
      </c>
      <c r="AS653">
        <f>IF($E653="","",IF(OR($U653=TRUE(),$U653="TRUE"),1,0))</f>
        <v/>
      </c>
      <c r="AT653">
        <f>IF($E653="","",IF($AC653="Yes",1,0))</f>
        <v/>
      </c>
      <c r="AU653">
        <f>IF($AQ653=1,IFERROR(IF(VALUE($E653)&lt;100000000,VALUE($E653),1000000000),IFERROR(IF(VALUE(MID($E653,2,20))&lt;100000000,VALUE(MID($E653,2,20)),1000000000),1000000000))+ROW()/100000,"")</f>
        <v/>
      </c>
    </row>
    <row r="654">
      <c r="G654" s="14" t="n"/>
      <c r="Q654" s="7">
        <f>IF($E654="","",P654*Z654/100)</f>
        <v/>
      </c>
      <c r="R654" s="7" t="n"/>
      <c r="Y654" s="7" t="n"/>
      <c r="Z654" s="7" t="n"/>
      <c r="AA654" s="7" t="n"/>
      <c r="AD654">
        <f>IF($E654="","",IF($AT654=1,Settings!$C$8,IF($AS654=1,Settings!$C$6,Settings!$C$7))*100)</f>
        <v/>
      </c>
      <c r="AE654" s="7">
        <f>IF($E654="","",Z654*AD654/100)</f>
        <v/>
      </c>
      <c r="AF654" s="7">
        <f>IF($E654="","",Z654-AE654)</f>
        <v/>
      </c>
      <c r="AG654" s="7">
        <f>IF($E654="","",AF654-Q654)</f>
        <v/>
      </c>
      <c r="AK654" s="7" t="n"/>
      <c r="AN654" s="14" t="n"/>
      <c r="AQ654">
        <f>IF($E654="","",IF(COUNTIF($E$2:$E654,$E654)=1,1,0))</f>
        <v/>
      </c>
      <c r="AR654">
        <f>IF($AQ654=1,SUMPRODUCT(--($AU$2:$AU$1501&lt;$AU654))+1,"")</f>
        <v/>
      </c>
      <c r="AS654">
        <f>IF($E654="","",IF(OR($U654=TRUE(),$U654="TRUE"),1,0))</f>
        <v/>
      </c>
      <c r="AT654">
        <f>IF($E654="","",IF($AC654="Yes",1,0))</f>
        <v/>
      </c>
      <c r="AU654">
        <f>IF($AQ654=1,IFERROR(IF(VALUE($E654)&lt;100000000,VALUE($E654),1000000000),IFERROR(IF(VALUE(MID($E654,2,20))&lt;100000000,VALUE(MID($E654,2,20)),1000000000),1000000000))+ROW()/100000,"")</f>
        <v/>
      </c>
    </row>
    <row r="655">
      <c r="G655" s="14" t="n"/>
      <c r="Q655" s="7">
        <f>IF($E655="","",P655*Z655/100)</f>
        <v/>
      </c>
      <c r="R655" s="7" t="n"/>
      <c r="Y655" s="7" t="n"/>
      <c r="Z655" s="7" t="n"/>
      <c r="AA655" s="7" t="n"/>
      <c r="AD655">
        <f>IF($E655="","",IF($AT655=1,Settings!$C$8,IF($AS655=1,Settings!$C$6,Settings!$C$7))*100)</f>
        <v/>
      </c>
      <c r="AE655" s="7">
        <f>IF($E655="","",Z655*AD655/100)</f>
        <v/>
      </c>
      <c r="AF655" s="7">
        <f>IF($E655="","",Z655-AE655)</f>
        <v/>
      </c>
      <c r="AG655" s="7">
        <f>IF($E655="","",AF655-Q655)</f>
        <v/>
      </c>
      <c r="AK655" s="7" t="n"/>
      <c r="AN655" s="14" t="n"/>
      <c r="AQ655">
        <f>IF($E655="","",IF(COUNTIF($E$2:$E655,$E655)=1,1,0))</f>
        <v/>
      </c>
      <c r="AR655">
        <f>IF($AQ655=1,SUMPRODUCT(--($AU$2:$AU$1501&lt;$AU655))+1,"")</f>
        <v/>
      </c>
      <c r="AS655">
        <f>IF($E655="","",IF(OR($U655=TRUE(),$U655="TRUE"),1,0))</f>
        <v/>
      </c>
      <c r="AT655">
        <f>IF($E655="","",IF($AC655="Yes",1,0))</f>
        <v/>
      </c>
      <c r="AU655">
        <f>IF($AQ655=1,IFERROR(IF(VALUE($E655)&lt;100000000,VALUE($E655),1000000000),IFERROR(IF(VALUE(MID($E655,2,20))&lt;100000000,VALUE(MID($E655,2,20)),1000000000),1000000000))+ROW()/100000,"")</f>
        <v/>
      </c>
    </row>
    <row r="656">
      <c r="G656" s="14" t="n"/>
      <c r="Q656" s="7">
        <f>IF($E656="","",P656*Z656/100)</f>
        <v/>
      </c>
      <c r="R656" s="7" t="n"/>
      <c r="Y656" s="7" t="n"/>
      <c r="Z656" s="7" t="n"/>
      <c r="AA656" s="7" t="n"/>
      <c r="AD656">
        <f>IF($E656="","",IF($AT656=1,Settings!$C$8,IF($AS656=1,Settings!$C$6,Settings!$C$7))*100)</f>
        <v/>
      </c>
      <c r="AE656" s="7">
        <f>IF($E656="","",Z656*AD656/100)</f>
        <v/>
      </c>
      <c r="AF656" s="7">
        <f>IF($E656="","",Z656-AE656)</f>
        <v/>
      </c>
      <c r="AG656" s="7">
        <f>IF($E656="","",AF656-Q656)</f>
        <v/>
      </c>
      <c r="AK656" s="7" t="n"/>
      <c r="AN656" s="14" t="n"/>
      <c r="AQ656">
        <f>IF($E656="","",IF(COUNTIF($E$2:$E656,$E656)=1,1,0))</f>
        <v/>
      </c>
      <c r="AR656">
        <f>IF($AQ656=1,SUMPRODUCT(--($AU$2:$AU$1501&lt;$AU656))+1,"")</f>
        <v/>
      </c>
      <c r="AS656">
        <f>IF($E656="","",IF(OR($U656=TRUE(),$U656="TRUE"),1,0))</f>
        <v/>
      </c>
      <c r="AT656">
        <f>IF($E656="","",IF($AC656="Yes",1,0))</f>
        <v/>
      </c>
      <c r="AU656">
        <f>IF($AQ656=1,IFERROR(IF(VALUE($E656)&lt;100000000,VALUE($E656),1000000000),IFERROR(IF(VALUE(MID($E656,2,20))&lt;100000000,VALUE(MID($E656,2,20)),1000000000),1000000000))+ROW()/100000,"")</f>
        <v/>
      </c>
    </row>
    <row r="657">
      <c r="G657" s="14" t="n"/>
      <c r="Q657" s="7">
        <f>IF($E657="","",P657*Z657/100)</f>
        <v/>
      </c>
      <c r="R657" s="7" t="n"/>
      <c r="Y657" s="7" t="n"/>
      <c r="Z657" s="7" t="n"/>
      <c r="AA657" s="7" t="n"/>
      <c r="AD657">
        <f>IF($E657="","",IF($AT657=1,Settings!$C$8,IF($AS657=1,Settings!$C$6,Settings!$C$7))*100)</f>
        <v/>
      </c>
      <c r="AE657" s="7">
        <f>IF($E657="","",Z657*AD657/100)</f>
        <v/>
      </c>
      <c r="AF657" s="7">
        <f>IF($E657="","",Z657-AE657)</f>
        <v/>
      </c>
      <c r="AG657" s="7">
        <f>IF($E657="","",AF657-Q657)</f>
        <v/>
      </c>
      <c r="AK657" s="7" t="n"/>
      <c r="AN657" s="14" t="n"/>
      <c r="AQ657">
        <f>IF($E657="","",IF(COUNTIF($E$2:$E657,$E657)=1,1,0))</f>
        <v/>
      </c>
      <c r="AR657">
        <f>IF($AQ657=1,SUMPRODUCT(--($AU$2:$AU$1501&lt;$AU657))+1,"")</f>
        <v/>
      </c>
      <c r="AS657">
        <f>IF($E657="","",IF(OR($U657=TRUE(),$U657="TRUE"),1,0))</f>
        <v/>
      </c>
      <c r="AT657">
        <f>IF($E657="","",IF($AC657="Yes",1,0))</f>
        <v/>
      </c>
      <c r="AU657">
        <f>IF($AQ657=1,IFERROR(IF(VALUE($E657)&lt;100000000,VALUE($E657),1000000000),IFERROR(IF(VALUE(MID($E657,2,20))&lt;100000000,VALUE(MID($E657,2,20)),1000000000),1000000000))+ROW()/100000,"")</f>
        <v/>
      </c>
    </row>
    <row r="658">
      <c r="G658" s="14" t="n"/>
      <c r="Q658" s="7">
        <f>IF($E658="","",P658*Z658/100)</f>
        <v/>
      </c>
      <c r="R658" s="7" t="n"/>
      <c r="Y658" s="7" t="n"/>
      <c r="Z658" s="7" t="n"/>
      <c r="AA658" s="7" t="n"/>
      <c r="AD658">
        <f>IF($E658="","",IF($AT658=1,Settings!$C$8,IF($AS658=1,Settings!$C$6,Settings!$C$7))*100)</f>
        <v/>
      </c>
      <c r="AE658" s="7">
        <f>IF($E658="","",Z658*AD658/100)</f>
        <v/>
      </c>
      <c r="AF658" s="7">
        <f>IF($E658="","",Z658-AE658)</f>
        <v/>
      </c>
      <c r="AG658" s="7">
        <f>IF($E658="","",AF658-Q658)</f>
        <v/>
      </c>
      <c r="AK658" s="7" t="n"/>
      <c r="AN658" s="14" t="n"/>
      <c r="AQ658">
        <f>IF($E658="","",IF(COUNTIF($E$2:$E658,$E658)=1,1,0))</f>
        <v/>
      </c>
      <c r="AR658">
        <f>IF($AQ658=1,SUMPRODUCT(--($AU$2:$AU$1501&lt;$AU658))+1,"")</f>
        <v/>
      </c>
      <c r="AS658">
        <f>IF($E658="","",IF(OR($U658=TRUE(),$U658="TRUE"),1,0))</f>
        <v/>
      </c>
      <c r="AT658">
        <f>IF($E658="","",IF($AC658="Yes",1,0))</f>
        <v/>
      </c>
      <c r="AU658">
        <f>IF($AQ658=1,IFERROR(IF(VALUE($E658)&lt;100000000,VALUE($E658),1000000000),IFERROR(IF(VALUE(MID($E658,2,20))&lt;100000000,VALUE(MID($E658,2,20)),1000000000),1000000000))+ROW()/100000,"")</f>
        <v/>
      </c>
    </row>
    <row r="659">
      <c r="G659" s="14" t="n"/>
      <c r="Q659" s="7">
        <f>IF($E659="","",P659*Z659/100)</f>
        <v/>
      </c>
      <c r="R659" s="7" t="n"/>
      <c r="Y659" s="7" t="n"/>
      <c r="Z659" s="7" t="n"/>
      <c r="AA659" s="7" t="n"/>
      <c r="AD659">
        <f>IF($E659="","",IF($AT659=1,Settings!$C$8,IF($AS659=1,Settings!$C$6,Settings!$C$7))*100)</f>
        <v/>
      </c>
      <c r="AE659" s="7">
        <f>IF($E659="","",Z659*AD659/100)</f>
        <v/>
      </c>
      <c r="AF659" s="7">
        <f>IF($E659="","",Z659-AE659)</f>
        <v/>
      </c>
      <c r="AG659" s="7">
        <f>IF($E659="","",AF659-Q659)</f>
        <v/>
      </c>
      <c r="AK659" s="7" t="n"/>
      <c r="AN659" s="14" t="n"/>
      <c r="AQ659">
        <f>IF($E659="","",IF(COUNTIF($E$2:$E659,$E659)=1,1,0))</f>
        <v/>
      </c>
      <c r="AR659">
        <f>IF($AQ659=1,SUMPRODUCT(--($AU$2:$AU$1501&lt;$AU659))+1,"")</f>
        <v/>
      </c>
      <c r="AS659">
        <f>IF($E659="","",IF(OR($U659=TRUE(),$U659="TRUE"),1,0))</f>
        <v/>
      </c>
      <c r="AT659">
        <f>IF($E659="","",IF($AC659="Yes",1,0))</f>
        <v/>
      </c>
      <c r="AU659">
        <f>IF($AQ659=1,IFERROR(IF(VALUE($E659)&lt;100000000,VALUE($E659),1000000000),IFERROR(IF(VALUE(MID($E659,2,20))&lt;100000000,VALUE(MID($E659,2,20)),1000000000),1000000000))+ROW()/100000,"")</f>
        <v/>
      </c>
    </row>
    <row r="660">
      <c r="G660" s="14" t="n"/>
      <c r="Q660" s="7">
        <f>IF($E660="","",P660*Z660/100)</f>
        <v/>
      </c>
      <c r="R660" s="7" t="n"/>
      <c r="Y660" s="7" t="n"/>
      <c r="Z660" s="7" t="n"/>
      <c r="AA660" s="7" t="n"/>
      <c r="AD660">
        <f>IF($E660="","",IF($AT660=1,Settings!$C$8,IF($AS660=1,Settings!$C$6,Settings!$C$7))*100)</f>
        <v/>
      </c>
      <c r="AE660" s="7">
        <f>IF($E660="","",Z660*AD660/100)</f>
        <v/>
      </c>
      <c r="AF660" s="7">
        <f>IF($E660="","",Z660-AE660)</f>
        <v/>
      </c>
      <c r="AG660" s="7">
        <f>IF($E660="","",AF660-Q660)</f>
        <v/>
      </c>
      <c r="AK660" s="7" t="n"/>
      <c r="AN660" s="14" t="n"/>
      <c r="AQ660">
        <f>IF($E660="","",IF(COUNTIF($E$2:$E660,$E660)=1,1,0))</f>
        <v/>
      </c>
      <c r="AR660">
        <f>IF($AQ660=1,SUMPRODUCT(--($AU$2:$AU$1501&lt;$AU660))+1,"")</f>
        <v/>
      </c>
      <c r="AS660">
        <f>IF($E660="","",IF(OR($U660=TRUE(),$U660="TRUE"),1,0))</f>
        <v/>
      </c>
      <c r="AT660">
        <f>IF($E660="","",IF($AC660="Yes",1,0))</f>
        <v/>
      </c>
      <c r="AU660">
        <f>IF($AQ660=1,IFERROR(IF(VALUE($E660)&lt;100000000,VALUE($E660),1000000000),IFERROR(IF(VALUE(MID($E660,2,20))&lt;100000000,VALUE(MID($E660,2,20)),1000000000),1000000000))+ROW()/100000,"")</f>
        <v/>
      </c>
    </row>
    <row r="661">
      <c r="G661" s="14" t="n"/>
      <c r="Q661" s="7">
        <f>IF($E661="","",P661*Z661/100)</f>
        <v/>
      </c>
      <c r="R661" s="7" t="n"/>
      <c r="Y661" s="7" t="n"/>
      <c r="Z661" s="7" t="n"/>
      <c r="AA661" s="7" t="n"/>
      <c r="AD661">
        <f>IF($E661="","",IF($AT661=1,Settings!$C$8,IF($AS661=1,Settings!$C$6,Settings!$C$7))*100)</f>
        <v/>
      </c>
      <c r="AE661" s="7">
        <f>IF($E661="","",Z661*AD661/100)</f>
        <v/>
      </c>
      <c r="AF661" s="7">
        <f>IF($E661="","",Z661-AE661)</f>
        <v/>
      </c>
      <c r="AG661" s="7">
        <f>IF($E661="","",AF661-Q661)</f>
        <v/>
      </c>
      <c r="AK661" s="7" t="n"/>
      <c r="AN661" s="14" t="n"/>
      <c r="AQ661">
        <f>IF($E661="","",IF(COUNTIF($E$2:$E661,$E661)=1,1,0))</f>
        <v/>
      </c>
      <c r="AR661">
        <f>IF($AQ661=1,SUMPRODUCT(--($AU$2:$AU$1501&lt;$AU661))+1,"")</f>
        <v/>
      </c>
      <c r="AS661">
        <f>IF($E661="","",IF(OR($U661=TRUE(),$U661="TRUE"),1,0))</f>
        <v/>
      </c>
      <c r="AT661">
        <f>IF($E661="","",IF($AC661="Yes",1,0))</f>
        <v/>
      </c>
      <c r="AU661">
        <f>IF($AQ661=1,IFERROR(IF(VALUE($E661)&lt;100000000,VALUE($E661),1000000000),IFERROR(IF(VALUE(MID($E661,2,20))&lt;100000000,VALUE(MID($E661,2,20)),1000000000),1000000000))+ROW()/100000,"")</f>
        <v/>
      </c>
    </row>
    <row r="662">
      <c r="G662" s="14" t="n"/>
      <c r="Q662" s="7">
        <f>IF($E662="","",P662*Z662/100)</f>
        <v/>
      </c>
      <c r="R662" s="7" t="n"/>
      <c r="Y662" s="7" t="n"/>
      <c r="Z662" s="7" t="n"/>
      <c r="AA662" s="7" t="n"/>
      <c r="AD662">
        <f>IF($E662="","",IF($AT662=1,Settings!$C$8,IF($AS662=1,Settings!$C$6,Settings!$C$7))*100)</f>
        <v/>
      </c>
      <c r="AE662" s="7">
        <f>IF($E662="","",Z662*AD662/100)</f>
        <v/>
      </c>
      <c r="AF662" s="7">
        <f>IF($E662="","",Z662-AE662)</f>
        <v/>
      </c>
      <c r="AG662" s="7">
        <f>IF($E662="","",AF662-Q662)</f>
        <v/>
      </c>
      <c r="AK662" s="7" t="n"/>
      <c r="AN662" s="14" t="n"/>
      <c r="AQ662">
        <f>IF($E662="","",IF(COUNTIF($E$2:$E662,$E662)=1,1,0))</f>
        <v/>
      </c>
      <c r="AR662">
        <f>IF($AQ662=1,SUMPRODUCT(--($AU$2:$AU$1501&lt;$AU662))+1,"")</f>
        <v/>
      </c>
      <c r="AS662">
        <f>IF($E662="","",IF(OR($U662=TRUE(),$U662="TRUE"),1,0))</f>
        <v/>
      </c>
      <c r="AT662">
        <f>IF($E662="","",IF($AC662="Yes",1,0))</f>
        <v/>
      </c>
      <c r="AU662">
        <f>IF($AQ662=1,IFERROR(IF(VALUE($E662)&lt;100000000,VALUE($E662),1000000000),IFERROR(IF(VALUE(MID($E662,2,20))&lt;100000000,VALUE(MID($E662,2,20)),1000000000),1000000000))+ROW()/100000,"")</f>
        <v/>
      </c>
    </row>
    <row r="663">
      <c r="G663" s="14" t="n"/>
      <c r="Q663" s="7">
        <f>IF($E663="","",P663*Z663/100)</f>
        <v/>
      </c>
      <c r="R663" s="7" t="n"/>
      <c r="Y663" s="7" t="n"/>
      <c r="Z663" s="7" t="n"/>
      <c r="AA663" s="7" t="n"/>
      <c r="AD663">
        <f>IF($E663="","",IF($AT663=1,Settings!$C$8,IF($AS663=1,Settings!$C$6,Settings!$C$7))*100)</f>
        <v/>
      </c>
      <c r="AE663" s="7">
        <f>IF($E663="","",Z663*AD663/100)</f>
        <v/>
      </c>
      <c r="AF663" s="7">
        <f>IF($E663="","",Z663-AE663)</f>
        <v/>
      </c>
      <c r="AG663" s="7">
        <f>IF($E663="","",AF663-Q663)</f>
        <v/>
      </c>
      <c r="AK663" s="7" t="n"/>
      <c r="AN663" s="14" t="n"/>
      <c r="AQ663">
        <f>IF($E663="","",IF(COUNTIF($E$2:$E663,$E663)=1,1,0))</f>
        <v/>
      </c>
      <c r="AR663">
        <f>IF($AQ663=1,SUMPRODUCT(--($AU$2:$AU$1501&lt;$AU663))+1,"")</f>
        <v/>
      </c>
      <c r="AS663">
        <f>IF($E663="","",IF(OR($U663=TRUE(),$U663="TRUE"),1,0))</f>
        <v/>
      </c>
      <c r="AT663">
        <f>IF($E663="","",IF($AC663="Yes",1,0))</f>
        <v/>
      </c>
      <c r="AU663">
        <f>IF($AQ663=1,IFERROR(IF(VALUE($E663)&lt;100000000,VALUE($E663),1000000000),IFERROR(IF(VALUE(MID($E663,2,20))&lt;100000000,VALUE(MID($E663,2,20)),1000000000),1000000000))+ROW()/100000,"")</f>
        <v/>
      </c>
    </row>
    <row r="664">
      <c r="G664" s="14" t="n"/>
      <c r="Q664" s="7">
        <f>IF($E664="","",P664*Z664/100)</f>
        <v/>
      </c>
      <c r="R664" s="7" t="n"/>
      <c r="Y664" s="7" t="n"/>
      <c r="Z664" s="7" t="n"/>
      <c r="AA664" s="7" t="n"/>
      <c r="AD664">
        <f>IF($E664="","",IF($AT664=1,Settings!$C$8,IF($AS664=1,Settings!$C$6,Settings!$C$7))*100)</f>
        <v/>
      </c>
      <c r="AE664" s="7">
        <f>IF($E664="","",Z664*AD664/100)</f>
        <v/>
      </c>
      <c r="AF664" s="7">
        <f>IF($E664="","",Z664-AE664)</f>
        <v/>
      </c>
      <c r="AG664" s="7">
        <f>IF($E664="","",AF664-Q664)</f>
        <v/>
      </c>
      <c r="AK664" s="7" t="n"/>
      <c r="AN664" s="14" t="n"/>
      <c r="AQ664">
        <f>IF($E664="","",IF(COUNTIF($E$2:$E664,$E664)=1,1,0))</f>
        <v/>
      </c>
      <c r="AR664">
        <f>IF($AQ664=1,SUMPRODUCT(--($AU$2:$AU$1501&lt;$AU664))+1,"")</f>
        <v/>
      </c>
      <c r="AS664">
        <f>IF($E664="","",IF(OR($U664=TRUE(),$U664="TRUE"),1,0))</f>
        <v/>
      </c>
      <c r="AT664">
        <f>IF($E664="","",IF($AC664="Yes",1,0))</f>
        <v/>
      </c>
      <c r="AU664">
        <f>IF($AQ664=1,IFERROR(IF(VALUE($E664)&lt;100000000,VALUE($E664),1000000000),IFERROR(IF(VALUE(MID($E664,2,20))&lt;100000000,VALUE(MID($E664,2,20)),1000000000),1000000000))+ROW()/100000,"")</f>
        <v/>
      </c>
    </row>
    <row r="665">
      <c r="G665" s="14" t="n"/>
      <c r="Q665" s="7">
        <f>IF($E665="","",P665*Z665/100)</f>
        <v/>
      </c>
      <c r="R665" s="7" t="n"/>
      <c r="Y665" s="7" t="n"/>
      <c r="Z665" s="7" t="n"/>
      <c r="AA665" s="7" t="n"/>
      <c r="AD665">
        <f>IF($E665="","",IF($AT665=1,Settings!$C$8,IF($AS665=1,Settings!$C$6,Settings!$C$7))*100)</f>
        <v/>
      </c>
      <c r="AE665" s="7">
        <f>IF($E665="","",Z665*AD665/100)</f>
        <v/>
      </c>
      <c r="AF665" s="7">
        <f>IF($E665="","",Z665-AE665)</f>
        <v/>
      </c>
      <c r="AG665" s="7">
        <f>IF($E665="","",AF665-Q665)</f>
        <v/>
      </c>
      <c r="AK665" s="7" t="n"/>
      <c r="AN665" s="14" t="n"/>
      <c r="AQ665">
        <f>IF($E665="","",IF(COUNTIF($E$2:$E665,$E665)=1,1,0))</f>
        <v/>
      </c>
      <c r="AR665">
        <f>IF($AQ665=1,SUMPRODUCT(--($AU$2:$AU$1501&lt;$AU665))+1,"")</f>
        <v/>
      </c>
      <c r="AS665">
        <f>IF($E665="","",IF(OR($U665=TRUE(),$U665="TRUE"),1,0))</f>
        <v/>
      </c>
      <c r="AT665">
        <f>IF($E665="","",IF($AC665="Yes",1,0))</f>
        <v/>
      </c>
      <c r="AU665">
        <f>IF($AQ665=1,IFERROR(IF(VALUE($E665)&lt;100000000,VALUE($E665),1000000000),IFERROR(IF(VALUE(MID($E665,2,20))&lt;100000000,VALUE(MID($E665,2,20)),1000000000),1000000000))+ROW()/100000,"")</f>
        <v/>
      </c>
    </row>
    <row r="666">
      <c r="G666" s="14" t="n"/>
      <c r="Q666" s="7">
        <f>IF($E666="","",P666*Z666/100)</f>
        <v/>
      </c>
      <c r="R666" s="7" t="n"/>
      <c r="Y666" s="7" t="n"/>
      <c r="Z666" s="7" t="n"/>
      <c r="AA666" s="7" t="n"/>
      <c r="AD666">
        <f>IF($E666="","",IF($AT666=1,Settings!$C$8,IF($AS666=1,Settings!$C$6,Settings!$C$7))*100)</f>
        <v/>
      </c>
      <c r="AE666" s="7">
        <f>IF($E666="","",Z666*AD666/100)</f>
        <v/>
      </c>
      <c r="AF666" s="7">
        <f>IF($E666="","",Z666-AE666)</f>
        <v/>
      </c>
      <c r="AG666" s="7">
        <f>IF($E666="","",AF666-Q666)</f>
        <v/>
      </c>
      <c r="AK666" s="7" t="n"/>
      <c r="AN666" s="14" t="n"/>
      <c r="AQ666">
        <f>IF($E666="","",IF(COUNTIF($E$2:$E666,$E666)=1,1,0))</f>
        <v/>
      </c>
      <c r="AR666">
        <f>IF($AQ666=1,SUMPRODUCT(--($AU$2:$AU$1501&lt;$AU666))+1,"")</f>
        <v/>
      </c>
      <c r="AS666">
        <f>IF($E666="","",IF(OR($U666=TRUE(),$U666="TRUE"),1,0))</f>
        <v/>
      </c>
      <c r="AT666">
        <f>IF($E666="","",IF($AC666="Yes",1,0))</f>
        <v/>
      </c>
      <c r="AU666">
        <f>IF($AQ666=1,IFERROR(IF(VALUE($E666)&lt;100000000,VALUE($E666),1000000000),IFERROR(IF(VALUE(MID($E666,2,20))&lt;100000000,VALUE(MID($E666,2,20)),1000000000),1000000000))+ROW()/100000,"")</f>
        <v/>
      </c>
    </row>
    <row r="667">
      <c r="G667" s="14" t="n"/>
      <c r="Q667" s="7">
        <f>IF($E667="","",P667*Z667/100)</f>
        <v/>
      </c>
      <c r="R667" s="7" t="n"/>
      <c r="Y667" s="7" t="n"/>
      <c r="Z667" s="7" t="n"/>
      <c r="AA667" s="7" t="n"/>
      <c r="AD667">
        <f>IF($E667="","",IF($AT667=1,Settings!$C$8,IF($AS667=1,Settings!$C$6,Settings!$C$7))*100)</f>
        <v/>
      </c>
      <c r="AE667" s="7">
        <f>IF($E667="","",Z667*AD667/100)</f>
        <v/>
      </c>
      <c r="AF667" s="7">
        <f>IF($E667="","",Z667-AE667)</f>
        <v/>
      </c>
      <c r="AG667" s="7">
        <f>IF($E667="","",AF667-Q667)</f>
        <v/>
      </c>
      <c r="AK667" s="7" t="n"/>
      <c r="AN667" s="14" t="n"/>
      <c r="AQ667">
        <f>IF($E667="","",IF(COUNTIF($E$2:$E667,$E667)=1,1,0))</f>
        <v/>
      </c>
      <c r="AR667">
        <f>IF($AQ667=1,SUMPRODUCT(--($AU$2:$AU$1501&lt;$AU667))+1,"")</f>
        <v/>
      </c>
      <c r="AS667">
        <f>IF($E667="","",IF(OR($U667=TRUE(),$U667="TRUE"),1,0))</f>
        <v/>
      </c>
      <c r="AT667">
        <f>IF($E667="","",IF($AC667="Yes",1,0))</f>
        <v/>
      </c>
      <c r="AU667">
        <f>IF($AQ667=1,IFERROR(IF(VALUE($E667)&lt;100000000,VALUE($E667),1000000000),IFERROR(IF(VALUE(MID($E667,2,20))&lt;100000000,VALUE(MID($E667,2,20)),1000000000),1000000000))+ROW()/100000,"")</f>
        <v/>
      </c>
    </row>
    <row r="668">
      <c r="G668" s="14" t="n"/>
      <c r="Q668" s="7">
        <f>IF($E668="","",P668*Z668/100)</f>
        <v/>
      </c>
      <c r="R668" s="7" t="n"/>
      <c r="Y668" s="7" t="n"/>
      <c r="Z668" s="7" t="n"/>
      <c r="AA668" s="7" t="n"/>
      <c r="AD668">
        <f>IF($E668="","",IF($AT668=1,Settings!$C$8,IF($AS668=1,Settings!$C$6,Settings!$C$7))*100)</f>
        <v/>
      </c>
      <c r="AE668" s="7">
        <f>IF($E668="","",Z668*AD668/100)</f>
        <v/>
      </c>
      <c r="AF668" s="7">
        <f>IF($E668="","",Z668-AE668)</f>
        <v/>
      </c>
      <c r="AG668" s="7">
        <f>IF($E668="","",AF668-Q668)</f>
        <v/>
      </c>
      <c r="AK668" s="7" t="n"/>
      <c r="AN668" s="14" t="n"/>
      <c r="AQ668">
        <f>IF($E668="","",IF(COUNTIF($E$2:$E668,$E668)=1,1,0))</f>
        <v/>
      </c>
      <c r="AR668">
        <f>IF($AQ668=1,SUMPRODUCT(--($AU$2:$AU$1501&lt;$AU668))+1,"")</f>
        <v/>
      </c>
      <c r="AS668">
        <f>IF($E668="","",IF(OR($U668=TRUE(),$U668="TRUE"),1,0))</f>
        <v/>
      </c>
      <c r="AT668">
        <f>IF($E668="","",IF($AC668="Yes",1,0))</f>
        <v/>
      </c>
      <c r="AU668">
        <f>IF($AQ668=1,IFERROR(IF(VALUE($E668)&lt;100000000,VALUE($E668),1000000000),IFERROR(IF(VALUE(MID($E668,2,20))&lt;100000000,VALUE(MID($E668,2,20)),1000000000),1000000000))+ROW()/100000,"")</f>
        <v/>
      </c>
    </row>
    <row r="669">
      <c r="G669" s="14" t="n"/>
      <c r="Q669" s="7">
        <f>IF($E669="","",P669*Z669/100)</f>
        <v/>
      </c>
      <c r="R669" s="7" t="n"/>
      <c r="Y669" s="7" t="n"/>
      <c r="Z669" s="7" t="n"/>
      <c r="AA669" s="7" t="n"/>
      <c r="AD669">
        <f>IF($E669="","",IF($AT669=1,Settings!$C$8,IF($AS669=1,Settings!$C$6,Settings!$C$7))*100)</f>
        <v/>
      </c>
      <c r="AE669" s="7">
        <f>IF($E669="","",Z669*AD669/100)</f>
        <v/>
      </c>
      <c r="AF669" s="7">
        <f>IF($E669="","",Z669-AE669)</f>
        <v/>
      </c>
      <c r="AG669" s="7">
        <f>IF($E669="","",AF669-Q669)</f>
        <v/>
      </c>
      <c r="AK669" s="7" t="n"/>
      <c r="AN669" s="14" t="n"/>
      <c r="AQ669">
        <f>IF($E669="","",IF(COUNTIF($E$2:$E669,$E669)=1,1,0))</f>
        <v/>
      </c>
      <c r="AR669">
        <f>IF($AQ669=1,SUMPRODUCT(--($AU$2:$AU$1501&lt;$AU669))+1,"")</f>
        <v/>
      </c>
      <c r="AS669">
        <f>IF($E669="","",IF(OR($U669=TRUE(),$U669="TRUE"),1,0))</f>
        <v/>
      </c>
      <c r="AT669">
        <f>IF($E669="","",IF($AC669="Yes",1,0))</f>
        <v/>
      </c>
      <c r="AU669">
        <f>IF($AQ669=1,IFERROR(IF(VALUE($E669)&lt;100000000,VALUE($E669),1000000000),IFERROR(IF(VALUE(MID($E669,2,20))&lt;100000000,VALUE(MID($E669,2,20)),1000000000),1000000000))+ROW()/100000,"")</f>
        <v/>
      </c>
    </row>
    <row r="670">
      <c r="G670" s="14" t="n"/>
      <c r="Q670" s="7">
        <f>IF($E670="","",P670*Z670/100)</f>
        <v/>
      </c>
      <c r="R670" s="7" t="n"/>
      <c r="Y670" s="7" t="n"/>
      <c r="Z670" s="7" t="n"/>
      <c r="AA670" s="7" t="n"/>
      <c r="AD670">
        <f>IF($E670="","",IF($AT670=1,Settings!$C$8,IF($AS670=1,Settings!$C$6,Settings!$C$7))*100)</f>
        <v/>
      </c>
      <c r="AE670" s="7">
        <f>IF($E670="","",Z670*AD670/100)</f>
        <v/>
      </c>
      <c r="AF670" s="7">
        <f>IF($E670="","",Z670-AE670)</f>
        <v/>
      </c>
      <c r="AG670" s="7">
        <f>IF($E670="","",AF670-Q670)</f>
        <v/>
      </c>
      <c r="AK670" s="7" t="n"/>
      <c r="AN670" s="14" t="n"/>
      <c r="AQ670">
        <f>IF($E670="","",IF(COUNTIF($E$2:$E670,$E670)=1,1,0))</f>
        <v/>
      </c>
      <c r="AR670">
        <f>IF($AQ670=1,SUMPRODUCT(--($AU$2:$AU$1501&lt;$AU670))+1,"")</f>
        <v/>
      </c>
      <c r="AS670">
        <f>IF($E670="","",IF(OR($U670=TRUE(),$U670="TRUE"),1,0))</f>
        <v/>
      </c>
      <c r="AT670">
        <f>IF($E670="","",IF($AC670="Yes",1,0))</f>
        <v/>
      </c>
      <c r="AU670">
        <f>IF($AQ670=1,IFERROR(IF(VALUE($E670)&lt;100000000,VALUE($E670),1000000000),IFERROR(IF(VALUE(MID($E670,2,20))&lt;100000000,VALUE(MID($E670,2,20)),1000000000),1000000000))+ROW()/100000,"")</f>
        <v/>
      </c>
    </row>
    <row r="671">
      <c r="G671" s="14" t="n"/>
      <c r="Q671" s="7">
        <f>IF($E671="","",P671*Z671/100)</f>
        <v/>
      </c>
      <c r="R671" s="7" t="n"/>
      <c r="Y671" s="7" t="n"/>
      <c r="Z671" s="7" t="n"/>
      <c r="AA671" s="7" t="n"/>
      <c r="AD671">
        <f>IF($E671="","",IF($AT671=1,Settings!$C$8,IF($AS671=1,Settings!$C$6,Settings!$C$7))*100)</f>
        <v/>
      </c>
      <c r="AE671" s="7">
        <f>IF($E671="","",Z671*AD671/100)</f>
        <v/>
      </c>
      <c r="AF671" s="7">
        <f>IF($E671="","",Z671-AE671)</f>
        <v/>
      </c>
      <c r="AG671" s="7">
        <f>IF($E671="","",AF671-Q671)</f>
        <v/>
      </c>
      <c r="AK671" s="7" t="n"/>
      <c r="AN671" s="14" t="n"/>
      <c r="AQ671">
        <f>IF($E671="","",IF(COUNTIF($E$2:$E671,$E671)=1,1,0))</f>
        <v/>
      </c>
      <c r="AR671">
        <f>IF($AQ671=1,SUMPRODUCT(--($AU$2:$AU$1501&lt;$AU671))+1,"")</f>
        <v/>
      </c>
      <c r="AS671">
        <f>IF($E671="","",IF(OR($U671=TRUE(),$U671="TRUE"),1,0))</f>
        <v/>
      </c>
      <c r="AT671">
        <f>IF($E671="","",IF($AC671="Yes",1,0))</f>
        <v/>
      </c>
      <c r="AU671">
        <f>IF($AQ671=1,IFERROR(IF(VALUE($E671)&lt;100000000,VALUE($E671),1000000000),IFERROR(IF(VALUE(MID($E671,2,20))&lt;100000000,VALUE(MID($E671,2,20)),1000000000),1000000000))+ROW()/100000,"")</f>
        <v/>
      </c>
    </row>
    <row r="672">
      <c r="G672" s="14" t="n"/>
      <c r="Q672" s="7">
        <f>IF($E672="","",P672*Z672/100)</f>
        <v/>
      </c>
      <c r="R672" s="7" t="n"/>
      <c r="Y672" s="7" t="n"/>
      <c r="Z672" s="7" t="n"/>
      <c r="AA672" s="7" t="n"/>
      <c r="AD672">
        <f>IF($E672="","",IF($AT672=1,Settings!$C$8,IF($AS672=1,Settings!$C$6,Settings!$C$7))*100)</f>
        <v/>
      </c>
      <c r="AE672" s="7">
        <f>IF($E672="","",Z672*AD672/100)</f>
        <v/>
      </c>
      <c r="AF672" s="7">
        <f>IF($E672="","",Z672-AE672)</f>
        <v/>
      </c>
      <c r="AG672" s="7">
        <f>IF($E672="","",AF672-Q672)</f>
        <v/>
      </c>
      <c r="AK672" s="7" t="n"/>
      <c r="AN672" s="14" t="n"/>
      <c r="AQ672">
        <f>IF($E672="","",IF(COUNTIF($E$2:$E672,$E672)=1,1,0))</f>
        <v/>
      </c>
      <c r="AR672">
        <f>IF($AQ672=1,SUMPRODUCT(--($AU$2:$AU$1501&lt;$AU672))+1,"")</f>
        <v/>
      </c>
      <c r="AS672">
        <f>IF($E672="","",IF(OR($U672=TRUE(),$U672="TRUE"),1,0))</f>
        <v/>
      </c>
      <c r="AT672">
        <f>IF($E672="","",IF($AC672="Yes",1,0))</f>
        <v/>
      </c>
      <c r="AU672">
        <f>IF($AQ672=1,IFERROR(IF(VALUE($E672)&lt;100000000,VALUE($E672),1000000000),IFERROR(IF(VALUE(MID($E672,2,20))&lt;100000000,VALUE(MID($E672,2,20)),1000000000),1000000000))+ROW()/100000,"")</f>
        <v/>
      </c>
    </row>
    <row r="673">
      <c r="G673" s="14" t="n"/>
      <c r="Q673" s="7">
        <f>IF($E673="","",P673*Z673/100)</f>
        <v/>
      </c>
      <c r="R673" s="7" t="n"/>
      <c r="Y673" s="7" t="n"/>
      <c r="Z673" s="7" t="n"/>
      <c r="AA673" s="7" t="n"/>
      <c r="AD673">
        <f>IF($E673="","",IF($AT673=1,Settings!$C$8,IF($AS673=1,Settings!$C$6,Settings!$C$7))*100)</f>
        <v/>
      </c>
      <c r="AE673" s="7">
        <f>IF($E673="","",Z673*AD673/100)</f>
        <v/>
      </c>
      <c r="AF673" s="7">
        <f>IF($E673="","",Z673-AE673)</f>
        <v/>
      </c>
      <c r="AG673" s="7">
        <f>IF($E673="","",AF673-Q673)</f>
        <v/>
      </c>
      <c r="AK673" s="7" t="n"/>
      <c r="AN673" s="14" t="n"/>
      <c r="AQ673">
        <f>IF($E673="","",IF(COUNTIF($E$2:$E673,$E673)=1,1,0))</f>
        <v/>
      </c>
      <c r="AR673">
        <f>IF($AQ673=1,SUMPRODUCT(--($AU$2:$AU$1501&lt;$AU673))+1,"")</f>
        <v/>
      </c>
      <c r="AS673">
        <f>IF($E673="","",IF(OR($U673=TRUE(),$U673="TRUE"),1,0))</f>
        <v/>
      </c>
      <c r="AT673">
        <f>IF($E673="","",IF($AC673="Yes",1,0))</f>
        <v/>
      </c>
      <c r="AU673">
        <f>IF($AQ673=1,IFERROR(IF(VALUE($E673)&lt;100000000,VALUE($E673),1000000000),IFERROR(IF(VALUE(MID($E673,2,20))&lt;100000000,VALUE(MID($E673,2,20)),1000000000),1000000000))+ROW()/100000,"")</f>
        <v/>
      </c>
    </row>
    <row r="674">
      <c r="G674" s="14" t="n"/>
      <c r="Q674" s="7">
        <f>IF($E674="","",P674*Z674/100)</f>
        <v/>
      </c>
      <c r="R674" s="7" t="n"/>
      <c r="Y674" s="7" t="n"/>
      <c r="Z674" s="7" t="n"/>
      <c r="AA674" s="7" t="n"/>
      <c r="AD674">
        <f>IF($E674="","",IF($AT674=1,Settings!$C$8,IF($AS674=1,Settings!$C$6,Settings!$C$7))*100)</f>
        <v/>
      </c>
      <c r="AE674" s="7">
        <f>IF($E674="","",Z674*AD674/100)</f>
        <v/>
      </c>
      <c r="AF674" s="7">
        <f>IF($E674="","",Z674-AE674)</f>
        <v/>
      </c>
      <c r="AG674" s="7">
        <f>IF($E674="","",AF674-Q674)</f>
        <v/>
      </c>
      <c r="AK674" s="7" t="n"/>
      <c r="AN674" s="14" t="n"/>
      <c r="AQ674">
        <f>IF($E674="","",IF(COUNTIF($E$2:$E674,$E674)=1,1,0))</f>
        <v/>
      </c>
      <c r="AR674">
        <f>IF($AQ674=1,SUMPRODUCT(--($AU$2:$AU$1501&lt;$AU674))+1,"")</f>
        <v/>
      </c>
      <c r="AS674">
        <f>IF($E674="","",IF(OR($U674=TRUE(),$U674="TRUE"),1,0))</f>
        <v/>
      </c>
      <c r="AT674">
        <f>IF($E674="","",IF($AC674="Yes",1,0))</f>
        <v/>
      </c>
      <c r="AU674">
        <f>IF($AQ674=1,IFERROR(IF(VALUE($E674)&lt;100000000,VALUE($E674),1000000000),IFERROR(IF(VALUE(MID($E674,2,20))&lt;100000000,VALUE(MID($E674,2,20)),1000000000),1000000000))+ROW()/100000,"")</f>
        <v/>
      </c>
    </row>
    <row r="675">
      <c r="G675" s="14" t="n"/>
      <c r="Q675" s="7">
        <f>IF($E675="","",P675*Z675/100)</f>
        <v/>
      </c>
      <c r="R675" s="7" t="n"/>
      <c r="Y675" s="7" t="n"/>
      <c r="Z675" s="7" t="n"/>
      <c r="AA675" s="7" t="n"/>
      <c r="AD675">
        <f>IF($E675="","",IF($AT675=1,Settings!$C$8,IF($AS675=1,Settings!$C$6,Settings!$C$7))*100)</f>
        <v/>
      </c>
      <c r="AE675" s="7">
        <f>IF($E675="","",Z675*AD675/100)</f>
        <v/>
      </c>
      <c r="AF675" s="7">
        <f>IF($E675="","",Z675-AE675)</f>
        <v/>
      </c>
      <c r="AG675" s="7">
        <f>IF($E675="","",AF675-Q675)</f>
        <v/>
      </c>
      <c r="AK675" s="7" t="n"/>
      <c r="AN675" s="14" t="n"/>
      <c r="AQ675">
        <f>IF($E675="","",IF(COUNTIF($E$2:$E675,$E675)=1,1,0))</f>
        <v/>
      </c>
      <c r="AR675">
        <f>IF($AQ675=1,SUMPRODUCT(--($AU$2:$AU$1501&lt;$AU675))+1,"")</f>
        <v/>
      </c>
      <c r="AS675">
        <f>IF($E675="","",IF(OR($U675=TRUE(),$U675="TRUE"),1,0))</f>
        <v/>
      </c>
      <c r="AT675">
        <f>IF($E675="","",IF($AC675="Yes",1,0))</f>
        <v/>
      </c>
      <c r="AU675">
        <f>IF($AQ675=1,IFERROR(IF(VALUE($E675)&lt;100000000,VALUE($E675),1000000000),IFERROR(IF(VALUE(MID($E675,2,20))&lt;100000000,VALUE(MID($E675,2,20)),1000000000),1000000000))+ROW()/100000,"")</f>
        <v/>
      </c>
    </row>
    <row r="676">
      <c r="G676" s="14" t="n"/>
      <c r="Q676" s="7">
        <f>IF($E676="","",P676*Z676/100)</f>
        <v/>
      </c>
      <c r="R676" s="7" t="n"/>
      <c r="Y676" s="7" t="n"/>
      <c r="Z676" s="7" t="n"/>
      <c r="AA676" s="7" t="n"/>
      <c r="AD676">
        <f>IF($E676="","",IF($AT676=1,Settings!$C$8,IF($AS676=1,Settings!$C$6,Settings!$C$7))*100)</f>
        <v/>
      </c>
      <c r="AE676" s="7">
        <f>IF($E676="","",Z676*AD676/100)</f>
        <v/>
      </c>
      <c r="AF676" s="7">
        <f>IF($E676="","",Z676-AE676)</f>
        <v/>
      </c>
      <c r="AG676" s="7">
        <f>IF($E676="","",AF676-Q676)</f>
        <v/>
      </c>
      <c r="AK676" s="7" t="n"/>
      <c r="AN676" s="14" t="n"/>
      <c r="AQ676">
        <f>IF($E676="","",IF(COUNTIF($E$2:$E676,$E676)=1,1,0))</f>
        <v/>
      </c>
      <c r="AR676">
        <f>IF($AQ676=1,SUMPRODUCT(--($AU$2:$AU$1501&lt;$AU676))+1,"")</f>
        <v/>
      </c>
      <c r="AS676">
        <f>IF($E676="","",IF(OR($U676=TRUE(),$U676="TRUE"),1,0))</f>
        <v/>
      </c>
      <c r="AT676">
        <f>IF($E676="","",IF($AC676="Yes",1,0))</f>
        <v/>
      </c>
      <c r="AU676">
        <f>IF($AQ676=1,IFERROR(IF(VALUE($E676)&lt;100000000,VALUE($E676),1000000000),IFERROR(IF(VALUE(MID($E676,2,20))&lt;100000000,VALUE(MID($E676,2,20)),1000000000),1000000000))+ROW()/100000,"")</f>
        <v/>
      </c>
    </row>
    <row r="677">
      <c r="G677" s="14" t="n"/>
      <c r="Q677" s="7">
        <f>IF($E677="","",P677*Z677/100)</f>
        <v/>
      </c>
      <c r="R677" s="7" t="n"/>
      <c r="Y677" s="7" t="n"/>
      <c r="Z677" s="7" t="n"/>
      <c r="AA677" s="7" t="n"/>
      <c r="AD677">
        <f>IF($E677="","",IF($AT677=1,Settings!$C$8,IF($AS677=1,Settings!$C$6,Settings!$C$7))*100)</f>
        <v/>
      </c>
      <c r="AE677" s="7">
        <f>IF($E677="","",Z677*AD677/100)</f>
        <v/>
      </c>
      <c r="AF677" s="7">
        <f>IF($E677="","",Z677-AE677)</f>
        <v/>
      </c>
      <c r="AG677" s="7">
        <f>IF($E677="","",AF677-Q677)</f>
        <v/>
      </c>
      <c r="AK677" s="7" t="n"/>
      <c r="AN677" s="14" t="n"/>
      <c r="AQ677">
        <f>IF($E677="","",IF(COUNTIF($E$2:$E677,$E677)=1,1,0))</f>
        <v/>
      </c>
      <c r="AR677">
        <f>IF($AQ677=1,SUMPRODUCT(--($AU$2:$AU$1501&lt;$AU677))+1,"")</f>
        <v/>
      </c>
      <c r="AS677">
        <f>IF($E677="","",IF(OR($U677=TRUE(),$U677="TRUE"),1,0))</f>
        <v/>
      </c>
      <c r="AT677">
        <f>IF($E677="","",IF($AC677="Yes",1,0))</f>
        <v/>
      </c>
      <c r="AU677">
        <f>IF($AQ677=1,IFERROR(IF(VALUE($E677)&lt;100000000,VALUE($E677),1000000000),IFERROR(IF(VALUE(MID($E677,2,20))&lt;100000000,VALUE(MID($E677,2,20)),1000000000),1000000000))+ROW()/100000,"")</f>
        <v/>
      </c>
    </row>
    <row r="678">
      <c r="G678" s="14" t="n"/>
      <c r="Q678" s="7">
        <f>IF($E678="","",P678*Z678/100)</f>
        <v/>
      </c>
      <c r="R678" s="7" t="n"/>
      <c r="Y678" s="7" t="n"/>
      <c r="Z678" s="7" t="n"/>
      <c r="AA678" s="7" t="n"/>
      <c r="AD678">
        <f>IF($E678="","",IF($AT678=1,Settings!$C$8,IF($AS678=1,Settings!$C$6,Settings!$C$7))*100)</f>
        <v/>
      </c>
      <c r="AE678" s="7">
        <f>IF($E678="","",Z678*AD678/100)</f>
        <v/>
      </c>
      <c r="AF678" s="7">
        <f>IF($E678="","",Z678-AE678)</f>
        <v/>
      </c>
      <c r="AG678" s="7">
        <f>IF($E678="","",AF678-Q678)</f>
        <v/>
      </c>
      <c r="AK678" s="7" t="n"/>
      <c r="AN678" s="14" t="n"/>
      <c r="AQ678">
        <f>IF($E678="","",IF(COUNTIF($E$2:$E678,$E678)=1,1,0))</f>
        <v/>
      </c>
      <c r="AR678">
        <f>IF($AQ678=1,SUMPRODUCT(--($AU$2:$AU$1501&lt;$AU678))+1,"")</f>
        <v/>
      </c>
      <c r="AS678">
        <f>IF($E678="","",IF(OR($U678=TRUE(),$U678="TRUE"),1,0))</f>
        <v/>
      </c>
      <c r="AT678">
        <f>IF($E678="","",IF($AC678="Yes",1,0))</f>
        <v/>
      </c>
      <c r="AU678">
        <f>IF($AQ678=1,IFERROR(IF(VALUE($E678)&lt;100000000,VALUE($E678),1000000000),IFERROR(IF(VALUE(MID($E678,2,20))&lt;100000000,VALUE(MID($E678,2,20)),1000000000),1000000000))+ROW()/100000,"")</f>
        <v/>
      </c>
    </row>
    <row r="679">
      <c r="G679" s="14" t="n"/>
      <c r="Q679" s="7">
        <f>IF($E679="","",P679*Z679/100)</f>
        <v/>
      </c>
      <c r="R679" s="7" t="n"/>
      <c r="Y679" s="7" t="n"/>
      <c r="Z679" s="7" t="n"/>
      <c r="AA679" s="7" t="n"/>
      <c r="AD679">
        <f>IF($E679="","",IF($AT679=1,Settings!$C$8,IF($AS679=1,Settings!$C$6,Settings!$C$7))*100)</f>
        <v/>
      </c>
      <c r="AE679" s="7">
        <f>IF($E679="","",Z679*AD679/100)</f>
        <v/>
      </c>
      <c r="AF679" s="7">
        <f>IF($E679="","",Z679-AE679)</f>
        <v/>
      </c>
      <c r="AG679" s="7">
        <f>IF($E679="","",AF679-Q679)</f>
        <v/>
      </c>
      <c r="AK679" s="7" t="n"/>
      <c r="AN679" s="14" t="n"/>
      <c r="AQ679">
        <f>IF($E679="","",IF(COUNTIF($E$2:$E679,$E679)=1,1,0))</f>
        <v/>
      </c>
      <c r="AR679">
        <f>IF($AQ679=1,SUMPRODUCT(--($AU$2:$AU$1501&lt;$AU679))+1,"")</f>
        <v/>
      </c>
      <c r="AS679">
        <f>IF($E679="","",IF(OR($U679=TRUE(),$U679="TRUE"),1,0))</f>
        <v/>
      </c>
      <c r="AT679">
        <f>IF($E679="","",IF($AC679="Yes",1,0))</f>
        <v/>
      </c>
      <c r="AU679">
        <f>IF($AQ679=1,IFERROR(IF(VALUE($E679)&lt;100000000,VALUE($E679),1000000000),IFERROR(IF(VALUE(MID($E679,2,20))&lt;100000000,VALUE(MID($E679,2,20)),1000000000),1000000000))+ROW()/100000,"")</f>
        <v/>
      </c>
    </row>
    <row r="680">
      <c r="G680" s="14" t="n"/>
      <c r="Q680" s="7">
        <f>IF($E680="","",P680*Z680/100)</f>
        <v/>
      </c>
      <c r="R680" s="7" t="n"/>
      <c r="Y680" s="7" t="n"/>
      <c r="Z680" s="7" t="n"/>
      <c r="AA680" s="7" t="n"/>
      <c r="AD680">
        <f>IF($E680="","",IF($AT680=1,Settings!$C$8,IF($AS680=1,Settings!$C$6,Settings!$C$7))*100)</f>
        <v/>
      </c>
      <c r="AE680" s="7">
        <f>IF($E680="","",Z680*AD680/100)</f>
        <v/>
      </c>
      <c r="AF680" s="7">
        <f>IF($E680="","",Z680-AE680)</f>
        <v/>
      </c>
      <c r="AG680" s="7">
        <f>IF($E680="","",AF680-Q680)</f>
        <v/>
      </c>
      <c r="AK680" s="7" t="n"/>
      <c r="AN680" s="14" t="n"/>
      <c r="AQ680">
        <f>IF($E680="","",IF(COUNTIF($E$2:$E680,$E680)=1,1,0))</f>
        <v/>
      </c>
      <c r="AR680">
        <f>IF($AQ680=1,SUMPRODUCT(--($AU$2:$AU$1501&lt;$AU680))+1,"")</f>
        <v/>
      </c>
      <c r="AS680">
        <f>IF($E680="","",IF(OR($U680=TRUE(),$U680="TRUE"),1,0))</f>
        <v/>
      </c>
      <c r="AT680">
        <f>IF($E680="","",IF($AC680="Yes",1,0))</f>
        <v/>
      </c>
      <c r="AU680">
        <f>IF($AQ680=1,IFERROR(IF(VALUE($E680)&lt;100000000,VALUE($E680),1000000000),IFERROR(IF(VALUE(MID($E680,2,20))&lt;100000000,VALUE(MID($E680,2,20)),1000000000),1000000000))+ROW()/100000,"")</f>
        <v/>
      </c>
    </row>
    <row r="681">
      <c r="G681" s="14" t="n"/>
      <c r="Q681" s="7">
        <f>IF($E681="","",P681*Z681/100)</f>
        <v/>
      </c>
      <c r="R681" s="7" t="n"/>
      <c r="Y681" s="7" t="n"/>
      <c r="Z681" s="7" t="n"/>
      <c r="AA681" s="7" t="n"/>
      <c r="AD681">
        <f>IF($E681="","",IF($AT681=1,Settings!$C$8,IF($AS681=1,Settings!$C$6,Settings!$C$7))*100)</f>
        <v/>
      </c>
      <c r="AE681" s="7">
        <f>IF($E681="","",Z681*AD681/100)</f>
        <v/>
      </c>
      <c r="AF681" s="7">
        <f>IF($E681="","",Z681-AE681)</f>
        <v/>
      </c>
      <c r="AG681" s="7">
        <f>IF($E681="","",AF681-Q681)</f>
        <v/>
      </c>
      <c r="AK681" s="7" t="n"/>
      <c r="AN681" s="14" t="n"/>
      <c r="AQ681">
        <f>IF($E681="","",IF(COUNTIF($E$2:$E681,$E681)=1,1,0))</f>
        <v/>
      </c>
      <c r="AR681">
        <f>IF($AQ681=1,SUMPRODUCT(--($AU$2:$AU$1501&lt;$AU681))+1,"")</f>
        <v/>
      </c>
      <c r="AS681">
        <f>IF($E681="","",IF(OR($U681=TRUE(),$U681="TRUE"),1,0))</f>
        <v/>
      </c>
      <c r="AT681">
        <f>IF($E681="","",IF($AC681="Yes",1,0))</f>
        <v/>
      </c>
      <c r="AU681">
        <f>IF($AQ681=1,IFERROR(IF(VALUE($E681)&lt;100000000,VALUE($E681),1000000000),IFERROR(IF(VALUE(MID($E681,2,20))&lt;100000000,VALUE(MID($E681,2,20)),1000000000),1000000000))+ROW()/100000,"")</f>
        <v/>
      </c>
    </row>
    <row r="682">
      <c r="G682" s="14" t="n"/>
      <c r="Q682" s="7">
        <f>IF($E682="","",P682*Z682/100)</f>
        <v/>
      </c>
      <c r="R682" s="7" t="n"/>
      <c r="Y682" s="7" t="n"/>
      <c r="Z682" s="7" t="n"/>
      <c r="AA682" s="7" t="n"/>
      <c r="AD682">
        <f>IF($E682="","",IF($AT682=1,Settings!$C$8,IF($AS682=1,Settings!$C$6,Settings!$C$7))*100)</f>
        <v/>
      </c>
      <c r="AE682" s="7">
        <f>IF($E682="","",Z682*AD682/100)</f>
        <v/>
      </c>
      <c r="AF682" s="7">
        <f>IF($E682="","",Z682-AE682)</f>
        <v/>
      </c>
      <c r="AG682" s="7">
        <f>IF($E682="","",AF682-Q682)</f>
        <v/>
      </c>
      <c r="AK682" s="7" t="n"/>
      <c r="AN682" s="14" t="n"/>
      <c r="AQ682">
        <f>IF($E682="","",IF(COUNTIF($E$2:$E682,$E682)=1,1,0))</f>
        <v/>
      </c>
      <c r="AR682">
        <f>IF($AQ682=1,SUMPRODUCT(--($AU$2:$AU$1501&lt;$AU682))+1,"")</f>
        <v/>
      </c>
      <c r="AS682">
        <f>IF($E682="","",IF(OR($U682=TRUE(),$U682="TRUE"),1,0))</f>
        <v/>
      </c>
      <c r="AT682">
        <f>IF($E682="","",IF($AC682="Yes",1,0))</f>
        <v/>
      </c>
      <c r="AU682">
        <f>IF($AQ682=1,IFERROR(IF(VALUE($E682)&lt;100000000,VALUE($E682),1000000000),IFERROR(IF(VALUE(MID($E682,2,20))&lt;100000000,VALUE(MID($E682,2,20)),1000000000),1000000000))+ROW()/100000,"")</f>
        <v/>
      </c>
    </row>
    <row r="683">
      <c r="G683" s="14" t="n"/>
      <c r="Q683" s="7">
        <f>IF($E683="","",P683*Z683/100)</f>
        <v/>
      </c>
      <c r="R683" s="7" t="n"/>
      <c r="Y683" s="7" t="n"/>
      <c r="Z683" s="7" t="n"/>
      <c r="AA683" s="7" t="n"/>
      <c r="AD683">
        <f>IF($E683="","",IF($AT683=1,Settings!$C$8,IF($AS683=1,Settings!$C$6,Settings!$C$7))*100)</f>
        <v/>
      </c>
      <c r="AE683" s="7">
        <f>IF($E683="","",Z683*AD683/100)</f>
        <v/>
      </c>
      <c r="AF683" s="7">
        <f>IF($E683="","",Z683-AE683)</f>
        <v/>
      </c>
      <c r="AG683" s="7">
        <f>IF($E683="","",AF683-Q683)</f>
        <v/>
      </c>
      <c r="AK683" s="7" t="n"/>
      <c r="AN683" s="14" t="n"/>
      <c r="AQ683">
        <f>IF($E683="","",IF(COUNTIF($E$2:$E683,$E683)=1,1,0))</f>
        <v/>
      </c>
      <c r="AR683">
        <f>IF($AQ683=1,SUMPRODUCT(--($AU$2:$AU$1501&lt;$AU683))+1,"")</f>
        <v/>
      </c>
      <c r="AS683">
        <f>IF($E683="","",IF(OR($U683=TRUE(),$U683="TRUE"),1,0))</f>
        <v/>
      </c>
      <c r="AT683">
        <f>IF($E683="","",IF($AC683="Yes",1,0))</f>
        <v/>
      </c>
      <c r="AU683">
        <f>IF($AQ683=1,IFERROR(IF(VALUE($E683)&lt;100000000,VALUE($E683),1000000000),IFERROR(IF(VALUE(MID($E683,2,20))&lt;100000000,VALUE(MID($E683,2,20)),1000000000),1000000000))+ROW()/100000,"")</f>
        <v/>
      </c>
    </row>
    <row r="684">
      <c r="G684" s="14" t="n"/>
      <c r="Q684" s="7">
        <f>IF($E684="","",P684*Z684/100)</f>
        <v/>
      </c>
      <c r="R684" s="7" t="n"/>
      <c r="Y684" s="7" t="n"/>
      <c r="Z684" s="7" t="n"/>
      <c r="AA684" s="7" t="n"/>
      <c r="AD684">
        <f>IF($E684="","",IF($AT684=1,Settings!$C$8,IF($AS684=1,Settings!$C$6,Settings!$C$7))*100)</f>
        <v/>
      </c>
      <c r="AE684" s="7">
        <f>IF($E684="","",Z684*AD684/100)</f>
        <v/>
      </c>
      <c r="AF684" s="7">
        <f>IF($E684="","",Z684-AE684)</f>
        <v/>
      </c>
      <c r="AG684" s="7">
        <f>IF($E684="","",AF684-Q684)</f>
        <v/>
      </c>
      <c r="AK684" s="7" t="n"/>
      <c r="AN684" s="14" t="n"/>
      <c r="AQ684">
        <f>IF($E684="","",IF(COUNTIF($E$2:$E684,$E684)=1,1,0))</f>
        <v/>
      </c>
      <c r="AR684">
        <f>IF($AQ684=1,SUMPRODUCT(--($AU$2:$AU$1501&lt;$AU684))+1,"")</f>
        <v/>
      </c>
      <c r="AS684">
        <f>IF($E684="","",IF(OR($U684=TRUE(),$U684="TRUE"),1,0))</f>
        <v/>
      </c>
      <c r="AT684">
        <f>IF($E684="","",IF($AC684="Yes",1,0))</f>
        <v/>
      </c>
      <c r="AU684">
        <f>IF($AQ684=1,IFERROR(IF(VALUE($E684)&lt;100000000,VALUE($E684),1000000000),IFERROR(IF(VALUE(MID($E684,2,20))&lt;100000000,VALUE(MID($E684,2,20)),1000000000),1000000000))+ROW()/100000,"")</f>
        <v/>
      </c>
    </row>
    <row r="685">
      <c r="G685" s="14" t="n"/>
      <c r="Q685" s="7">
        <f>IF($E685="","",P685*Z685/100)</f>
        <v/>
      </c>
      <c r="R685" s="7" t="n"/>
      <c r="Y685" s="7" t="n"/>
      <c r="Z685" s="7" t="n"/>
      <c r="AA685" s="7" t="n"/>
      <c r="AD685">
        <f>IF($E685="","",IF($AT685=1,Settings!$C$8,IF($AS685=1,Settings!$C$6,Settings!$C$7))*100)</f>
        <v/>
      </c>
      <c r="AE685" s="7">
        <f>IF($E685="","",Z685*AD685/100)</f>
        <v/>
      </c>
      <c r="AF685" s="7">
        <f>IF($E685="","",Z685-AE685)</f>
        <v/>
      </c>
      <c r="AG685" s="7">
        <f>IF($E685="","",AF685-Q685)</f>
        <v/>
      </c>
      <c r="AK685" s="7" t="n"/>
      <c r="AN685" s="14" t="n"/>
      <c r="AQ685">
        <f>IF($E685="","",IF(COUNTIF($E$2:$E685,$E685)=1,1,0))</f>
        <v/>
      </c>
      <c r="AR685">
        <f>IF($AQ685=1,SUMPRODUCT(--($AU$2:$AU$1501&lt;$AU685))+1,"")</f>
        <v/>
      </c>
      <c r="AS685">
        <f>IF($E685="","",IF(OR($U685=TRUE(),$U685="TRUE"),1,0))</f>
        <v/>
      </c>
      <c r="AT685">
        <f>IF($E685="","",IF($AC685="Yes",1,0))</f>
        <v/>
      </c>
      <c r="AU685">
        <f>IF($AQ685=1,IFERROR(IF(VALUE($E685)&lt;100000000,VALUE($E685),1000000000),IFERROR(IF(VALUE(MID($E685,2,20))&lt;100000000,VALUE(MID($E685,2,20)),1000000000),1000000000))+ROW()/100000,"")</f>
        <v/>
      </c>
    </row>
    <row r="686">
      <c r="G686" s="14" t="n"/>
      <c r="Q686" s="7">
        <f>IF($E686="","",P686*Z686/100)</f>
        <v/>
      </c>
      <c r="R686" s="7" t="n"/>
      <c r="Y686" s="7" t="n"/>
      <c r="Z686" s="7" t="n"/>
      <c r="AA686" s="7" t="n"/>
      <c r="AD686">
        <f>IF($E686="","",IF($AT686=1,Settings!$C$8,IF($AS686=1,Settings!$C$6,Settings!$C$7))*100)</f>
        <v/>
      </c>
      <c r="AE686" s="7">
        <f>IF($E686="","",Z686*AD686/100)</f>
        <v/>
      </c>
      <c r="AF686" s="7">
        <f>IF($E686="","",Z686-AE686)</f>
        <v/>
      </c>
      <c r="AG686" s="7">
        <f>IF($E686="","",AF686-Q686)</f>
        <v/>
      </c>
      <c r="AK686" s="7" t="n"/>
      <c r="AN686" s="14" t="n"/>
      <c r="AQ686">
        <f>IF($E686="","",IF(COUNTIF($E$2:$E686,$E686)=1,1,0))</f>
        <v/>
      </c>
      <c r="AR686">
        <f>IF($AQ686=1,SUMPRODUCT(--($AU$2:$AU$1501&lt;$AU686))+1,"")</f>
        <v/>
      </c>
      <c r="AS686">
        <f>IF($E686="","",IF(OR($U686=TRUE(),$U686="TRUE"),1,0))</f>
        <v/>
      </c>
      <c r="AT686">
        <f>IF($E686="","",IF($AC686="Yes",1,0))</f>
        <v/>
      </c>
      <c r="AU686">
        <f>IF($AQ686=1,IFERROR(IF(VALUE($E686)&lt;100000000,VALUE($E686),1000000000),IFERROR(IF(VALUE(MID($E686,2,20))&lt;100000000,VALUE(MID($E686,2,20)),1000000000),1000000000))+ROW()/100000,"")</f>
        <v/>
      </c>
    </row>
    <row r="687">
      <c r="G687" s="14" t="n"/>
      <c r="Q687" s="7">
        <f>IF($E687="","",P687*Z687/100)</f>
        <v/>
      </c>
      <c r="R687" s="7" t="n"/>
      <c r="Y687" s="7" t="n"/>
      <c r="Z687" s="7" t="n"/>
      <c r="AA687" s="7" t="n"/>
      <c r="AD687">
        <f>IF($E687="","",IF($AT687=1,Settings!$C$8,IF($AS687=1,Settings!$C$6,Settings!$C$7))*100)</f>
        <v/>
      </c>
      <c r="AE687" s="7">
        <f>IF($E687="","",Z687*AD687/100)</f>
        <v/>
      </c>
      <c r="AF687" s="7">
        <f>IF($E687="","",Z687-AE687)</f>
        <v/>
      </c>
      <c r="AG687" s="7">
        <f>IF($E687="","",AF687-Q687)</f>
        <v/>
      </c>
      <c r="AK687" s="7" t="n"/>
      <c r="AN687" s="14" t="n"/>
      <c r="AQ687">
        <f>IF($E687="","",IF(COUNTIF($E$2:$E687,$E687)=1,1,0))</f>
        <v/>
      </c>
      <c r="AR687">
        <f>IF($AQ687=1,SUMPRODUCT(--($AU$2:$AU$1501&lt;$AU687))+1,"")</f>
        <v/>
      </c>
      <c r="AS687">
        <f>IF($E687="","",IF(OR($U687=TRUE(),$U687="TRUE"),1,0))</f>
        <v/>
      </c>
      <c r="AT687">
        <f>IF($E687="","",IF($AC687="Yes",1,0))</f>
        <v/>
      </c>
      <c r="AU687">
        <f>IF($AQ687=1,IFERROR(IF(VALUE($E687)&lt;100000000,VALUE($E687),1000000000),IFERROR(IF(VALUE(MID($E687,2,20))&lt;100000000,VALUE(MID($E687,2,20)),1000000000),1000000000))+ROW()/100000,"")</f>
        <v/>
      </c>
    </row>
    <row r="688">
      <c r="G688" s="14" t="n"/>
      <c r="Q688" s="7">
        <f>IF($E688="","",P688*Z688/100)</f>
        <v/>
      </c>
      <c r="R688" s="7" t="n"/>
      <c r="Y688" s="7" t="n"/>
      <c r="Z688" s="7" t="n"/>
      <c r="AA688" s="7" t="n"/>
      <c r="AD688">
        <f>IF($E688="","",IF($AT688=1,Settings!$C$8,IF($AS688=1,Settings!$C$6,Settings!$C$7))*100)</f>
        <v/>
      </c>
      <c r="AE688" s="7">
        <f>IF($E688="","",Z688*AD688/100)</f>
        <v/>
      </c>
      <c r="AF688" s="7">
        <f>IF($E688="","",Z688-AE688)</f>
        <v/>
      </c>
      <c r="AG688" s="7">
        <f>IF($E688="","",AF688-Q688)</f>
        <v/>
      </c>
      <c r="AK688" s="7" t="n"/>
      <c r="AN688" s="14" t="n"/>
      <c r="AQ688">
        <f>IF($E688="","",IF(COUNTIF($E$2:$E688,$E688)=1,1,0))</f>
        <v/>
      </c>
      <c r="AR688">
        <f>IF($AQ688=1,SUMPRODUCT(--($AU$2:$AU$1501&lt;$AU688))+1,"")</f>
        <v/>
      </c>
      <c r="AS688">
        <f>IF($E688="","",IF(OR($U688=TRUE(),$U688="TRUE"),1,0))</f>
        <v/>
      </c>
      <c r="AT688">
        <f>IF($E688="","",IF($AC688="Yes",1,0))</f>
        <v/>
      </c>
      <c r="AU688">
        <f>IF($AQ688=1,IFERROR(IF(VALUE($E688)&lt;100000000,VALUE($E688),1000000000),IFERROR(IF(VALUE(MID($E688,2,20))&lt;100000000,VALUE(MID($E688,2,20)),1000000000),1000000000))+ROW()/100000,"")</f>
        <v/>
      </c>
    </row>
    <row r="689">
      <c r="G689" s="14" t="n"/>
      <c r="Q689" s="7">
        <f>IF($E689="","",P689*Z689/100)</f>
        <v/>
      </c>
      <c r="R689" s="7" t="n"/>
      <c r="Y689" s="7" t="n"/>
      <c r="Z689" s="7" t="n"/>
      <c r="AA689" s="7" t="n"/>
      <c r="AD689">
        <f>IF($E689="","",IF($AT689=1,Settings!$C$8,IF($AS689=1,Settings!$C$6,Settings!$C$7))*100)</f>
        <v/>
      </c>
      <c r="AE689" s="7">
        <f>IF($E689="","",Z689*AD689/100)</f>
        <v/>
      </c>
      <c r="AF689" s="7">
        <f>IF($E689="","",Z689-AE689)</f>
        <v/>
      </c>
      <c r="AG689" s="7">
        <f>IF($E689="","",AF689-Q689)</f>
        <v/>
      </c>
      <c r="AK689" s="7" t="n"/>
      <c r="AN689" s="14" t="n"/>
      <c r="AQ689">
        <f>IF($E689="","",IF(COUNTIF($E$2:$E689,$E689)=1,1,0))</f>
        <v/>
      </c>
      <c r="AR689">
        <f>IF($AQ689=1,SUMPRODUCT(--($AU$2:$AU$1501&lt;$AU689))+1,"")</f>
        <v/>
      </c>
      <c r="AS689">
        <f>IF($E689="","",IF(OR($U689=TRUE(),$U689="TRUE"),1,0))</f>
        <v/>
      </c>
      <c r="AT689">
        <f>IF($E689="","",IF($AC689="Yes",1,0))</f>
        <v/>
      </c>
      <c r="AU689">
        <f>IF($AQ689=1,IFERROR(IF(VALUE($E689)&lt;100000000,VALUE($E689),1000000000),IFERROR(IF(VALUE(MID($E689,2,20))&lt;100000000,VALUE(MID($E689,2,20)),1000000000),1000000000))+ROW()/100000,"")</f>
        <v/>
      </c>
    </row>
    <row r="690">
      <c r="G690" s="14" t="n"/>
      <c r="Q690" s="7">
        <f>IF($E690="","",P690*Z690/100)</f>
        <v/>
      </c>
      <c r="R690" s="7" t="n"/>
      <c r="Y690" s="7" t="n"/>
      <c r="Z690" s="7" t="n"/>
      <c r="AA690" s="7" t="n"/>
      <c r="AD690">
        <f>IF($E690="","",IF($AT690=1,Settings!$C$8,IF($AS690=1,Settings!$C$6,Settings!$C$7))*100)</f>
        <v/>
      </c>
      <c r="AE690" s="7">
        <f>IF($E690="","",Z690*AD690/100)</f>
        <v/>
      </c>
      <c r="AF690" s="7">
        <f>IF($E690="","",Z690-AE690)</f>
        <v/>
      </c>
      <c r="AG690" s="7">
        <f>IF($E690="","",AF690-Q690)</f>
        <v/>
      </c>
      <c r="AK690" s="7" t="n"/>
      <c r="AN690" s="14" t="n"/>
      <c r="AQ690">
        <f>IF($E690="","",IF(COUNTIF($E$2:$E690,$E690)=1,1,0))</f>
        <v/>
      </c>
      <c r="AR690">
        <f>IF($AQ690=1,SUMPRODUCT(--($AU$2:$AU$1501&lt;$AU690))+1,"")</f>
        <v/>
      </c>
      <c r="AS690">
        <f>IF($E690="","",IF(OR($U690=TRUE(),$U690="TRUE"),1,0))</f>
        <v/>
      </c>
      <c r="AT690">
        <f>IF($E690="","",IF($AC690="Yes",1,0))</f>
        <v/>
      </c>
      <c r="AU690">
        <f>IF($AQ690=1,IFERROR(IF(VALUE($E690)&lt;100000000,VALUE($E690),1000000000),IFERROR(IF(VALUE(MID($E690,2,20))&lt;100000000,VALUE(MID($E690,2,20)),1000000000),1000000000))+ROW()/100000,"")</f>
        <v/>
      </c>
    </row>
    <row r="691">
      <c r="G691" s="14" t="n"/>
      <c r="Q691" s="7">
        <f>IF($E691="","",P691*Z691/100)</f>
        <v/>
      </c>
      <c r="R691" s="7" t="n"/>
      <c r="Y691" s="7" t="n"/>
      <c r="Z691" s="7" t="n"/>
      <c r="AA691" s="7" t="n"/>
      <c r="AD691">
        <f>IF($E691="","",IF($AT691=1,Settings!$C$8,IF($AS691=1,Settings!$C$6,Settings!$C$7))*100)</f>
        <v/>
      </c>
      <c r="AE691" s="7">
        <f>IF($E691="","",Z691*AD691/100)</f>
        <v/>
      </c>
      <c r="AF691" s="7">
        <f>IF($E691="","",Z691-AE691)</f>
        <v/>
      </c>
      <c r="AG691" s="7">
        <f>IF($E691="","",AF691-Q691)</f>
        <v/>
      </c>
      <c r="AK691" s="7" t="n"/>
      <c r="AN691" s="14" t="n"/>
      <c r="AQ691">
        <f>IF($E691="","",IF(COUNTIF($E$2:$E691,$E691)=1,1,0))</f>
        <v/>
      </c>
      <c r="AR691">
        <f>IF($AQ691=1,SUMPRODUCT(--($AU$2:$AU$1501&lt;$AU691))+1,"")</f>
        <v/>
      </c>
      <c r="AS691">
        <f>IF($E691="","",IF(OR($U691=TRUE(),$U691="TRUE"),1,0))</f>
        <v/>
      </c>
      <c r="AT691">
        <f>IF($E691="","",IF($AC691="Yes",1,0))</f>
        <v/>
      </c>
      <c r="AU691">
        <f>IF($AQ691=1,IFERROR(IF(VALUE($E691)&lt;100000000,VALUE($E691),1000000000),IFERROR(IF(VALUE(MID($E691,2,20))&lt;100000000,VALUE(MID($E691,2,20)),1000000000),1000000000))+ROW()/100000,"")</f>
        <v/>
      </c>
    </row>
    <row r="692">
      <c r="G692" s="14" t="n"/>
      <c r="Q692" s="7">
        <f>IF($E692="","",P692*Z692/100)</f>
        <v/>
      </c>
      <c r="R692" s="7" t="n"/>
      <c r="Y692" s="7" t="n"/>
      <c r="Z692" s="7" t="n"/>
      <c r="AA692" s="7" t="n"/>
      <c r="AD692">
        <f>IF($E692="","",IF($AT692=1,Settings!$C$8,IF($AS692=1,Settings!$C$6,Settings!$C$7))*100)</f>
        <v/>
      </c>
      <c r="AE692" s="7">
        <f>IF($E692="","",Z692*AD692/100)</f>
        <v/>
      </c>
      <c r="AF692" s="7">
        <f>IF($E692="","",Z692-AE692)</f>
        <v/>
      </c>
      <c r="AG692" s="7">
        <f>IF($E692="","",AF692-Q692)</f>
        <v/>
      </c>
      <c r="AK692" s="7" t="n"/>
      <c r="AN692" s="14" t="n"/>
      <c r="AQ692">
        <f>IF($E692="","",IF(COUNTIF($E$2:$E692,$E692)=1,1,0))</f>
        <v/>
      </c>
      <c r="AR692">
        <f>IF($AQ692=1,SUMPRODUCT(--($AU$2:$AU$1501&lt;$AU692))+1,"")</f>
        <v/>
      </c>
      <c r="AS692">
        <f>IF($E692="","",IF(OR($U692=TRUE(),$U692="TRUE"),1,0))</f>
        <v/>
      </c>
      <c r="AT692">
        <f>IF($E692="","",IF($AC692="Yes",1,0))</f>
        <v/>
      </c>
      <c r="AU692">
        <f>IF($AQ692=1,IFERROR(IF(VALUE($E692)&lt;100000000,VALUE($E692),1000000000),IFERROR(IF(VALUE(MID($E692,2,20))&lt;100000000,VALUE(MID($E692,2,20)),1000000000),1000000000))+ROW()/100000,"")</f>
        <v/>
      </c>
    </row>
    <row r="693">
      <c r="G693" s="14" t="n"/>
      <c r="Q693" s="7">
        <f>IF($E693="","",P693*Z693/100)</f>
        <v/>
      </c>
      <c r="R693" s="7" t="n"/>
      <c r="Y693" s="7" t="n"/>
      <c r="Z693" s="7" t="n"/>
      <c r="AA693" s="7" t="n"/>
      <c r="AD693">
        <f>IF($E693="","",IF($AT693=1,Settings!$C$8,IF($AS693=1,Settings!$C$6,Settings!$C$7))*100)</f>
        <v/>
      </c>
      <c r="AE693" s="7">
        <f>IF($E693="","",Z693*AD693/100)</f>
        <v/>
      </c>
      <c r="AF693" s="7">
        <f>IF($E693="","",Z693-AE693)</f>
        <v/>
      </c>
      <c r="AG693" s="7">
        <f>IF($E693="","",AF693-Q693)</f>
        <v/>
      </c>
      <c r="AK693" s="7" t="n"/>
      <c r="AN693" s="14" t="n"/>
      <c r="AQ693">
        <f>IF($E693="","",IF(COUNTIF($E$2:$E693,$E693)=1,1,0))</f>
        <v/>
      </c>
      <c r="AR693">
        <f>IF($AQ693=1,SUMPRODUCT(--($AU$2:$AU$1501&lt;$AU693))+1,"")</f>
        <v/>
      </c>
      <c r="AS693">
        <f>IF($E693="","",IF(OR($U693=TRUE(),$U693="TRUE"),1,0))</f>
        <v/>
      </c>
      <c r="AT693">
        <f>IF($E693="","",IF($AC693="Yes",1,0))</f>
        <v/>
      </c>
      <c r="AU693">
        <f>IF($AQ693=1,IFERROR(IF(VALUE($E693)&lt;100000000,VALUE($E693),1000000000),IFERROR(IF(VALUE(MID($E693,2,20))&lt;100000000,VALUE(MID($E693,2,20)),1000000000),1000000000))+ROW()/100000,"")</f>
        <v/>
      </c>
    </row>
    <row r="694">
      <c r="G694" s="14" t="n"/>
      <c r="Q694" s="7">
        <f>IF($E694="","",P694*Z694/100)</f>
        <v/>
      </c>
      <c r="R694" s="7" t="n"/>
      <c r="Y694" s="7" t="n"/>
      <c r="Z694" s="7" t="n"/>
      <c r="AA694" s="7" t="n"/>
      <c r="AD694">
        <f>IF($E694="","",IF($AT694=1,Settings!$C$8,IF($AS694=1,Settings!$C$6,Settings!$C$7))*100)</f>
        <v/>
      </c>
      <c r="AE694" s="7">
        <f>IF($E694="","",Z694*AD694/100)</f>
        <v/>
      </c>
      <c r="AF694" s="7">
        <f>IF($E694="","",Z694-AE694)</f>
        <v/>
      </c>
      <c r="AG694" s="7">
        <f>IF($E694="","",AF694-Q694)</f>
        <v/>
      </c>
      <c r="AK694" s="7" t="n"/>
      <c r="AN694" s="14" t="n"/>
      <c r="AQ694">
        <f>IF($E694="","",IF(COUNTIF($E$2:$E694,$E694)=1,1,0))</f>
        <v/>
      </c>
      <c r="AR694">
        <f>IF($AQ694=1,SUMPRODUCT(--($AU$2:$AU$1501&lt;$AU694))+1,"")</f>
        <v/>
      </c>
      <c r="AS694">
        <f>IF($E694="","",IF(OR($U694=TRUE(),$U694="TRUE"),1,0))</f>
        <v/>
      </c>
      <c r="AT694">
        <f>IF($E694="","",IF($AC694="Yes",1,0))</f>
        <v/>
      </c>
      <c r="AU694">
        <f>IF($AQ694=1,IFERROR(IF(VALUE($E694)&lt;100000000,VALUE($E694),1000000000),IFERROR(IF(VALUE(MID($E694,2,20))&lt;100000000,VALUE(MID($E694,2,20)),1000000000),1000000000))+ROW()/100000,"")</f>
        <v/>
      </c>
    </row>
    <row r="695">
      <c r="G695" s="14" t="n"/>
      <c r="Q695" s="7">
        <f>IF($E695="","",P695*Z695/100)</f>
        <v/>
      </c>
      <c r="R695" s="7" t="n"/>
      <c r="Y695" s="7" t="n"/>
      <c r="Z695" s="7" t="n"/>
      <c r="AA695" s="7" t="n"/>
      <c r="AD695">
        <f>IF($E695="","",IF($AT695=1,Settings!$C$8,IF($AS695=1,Settings!$C$6,Settings!$C$7))*100)</f>
        <v/>
      </c>
      <c r="AE695" s="7">
        <f>IF($E695="","",Z695*AD695/100)</f>
        <v/>
      </c>
      <c r="AF695" s="7">
        <f>IF($E695="","",Z695-AE695)</f>
        <v/>
      </c>
      <c r="AG695" s="7">
        <f>IF($E695="","",AF695-Q695)</f>
        <v/>
      </c>
      <c r="AK695" s="7" t="n"/>
      <c r="AN695" s="14" t="n"/>
      <c r="AQ695">
        <f>IF($E695="","",IF(COUNTIF($E$2:$E695,$E695)=1,1,0))</f>
        <v/>
      </c>
      <c r="AR695">
        <f>IF($AQ695=1,SUMPRODUCT(--($AU$2:$AU$1501&lt;$AU695))+1,"")</f>
        <v/>
      </c>
      <c r="AS695">
        <f>IF($E695="","",IF(OR($U695=TRUE(),$U695="TRUE"),1,0))</f>
        <v/>
      </c>
      <c r="AT695">
        <f>IF($E695="","",IF($AC695="Yes",1,0))</f>
        <v/>
      </c>
      <c r="AU695">
        <f>IF($AQ695=1,IFERROR(IF(VALUE($E695)&lt;100000000,VALUE($E695),1000000000),IFERROR(IF(VALUE(MID($E695,2,20))&lt;100000000,VALUE(MID($E695,2,20)),1000000000),1000000000))+ROW()/100000,"")</f>
        <v/>
      </c>
    </row>
    <row r="696">
      <c r="G696" s="14" t="n"/>
      <c r="Q696" s="7">
        <f>IF($E696="","",P696*Z696/100)</f>
        <v/>
      </c>
      <c r="R696" s="7" t="n"/>
      <c r="Y696" s="7" t="n"/>
      <c r="Z696" s="7" t="n"/>
      <c r="AA696" s="7" t="n"/>
      <c r="AD696">
        <f>IF($E696="","",IF($AT696=1,Settings!$C$8,IF($AS696=1,Settings!$C$6,Settings!$C$7))*100)</f>
        <v/>
      </c>
      <c r="AE696" s="7">
        <f>IF($E696="","",Z696*AD696/100)</f>
        <v/>
      </c>
      <c r="AF696" s="7">
        <f>IF($E696="","",Z696-AE696)</f>
        <v/>
      </c>
      <c r="AG696" s="7">
        <f>IF($E696="","",AF696-Q696)</f>
        <v/>
      </c>
      <c r="AK696" s="7" t="n"/>
      <c r="AN696" s="14" t="n"/>
      <c r="AQ696">
        <f>IF($E696="","",IF(COUNTIF($E$2:$E696,$E696)=1,1,0))</f>
        <v/>
      </c>
      <c r="AR696">
        <f>IF($AQ696=1,SUMPRODUCT(--($AU$2:$AU$1501&lt;$AU696))+1,"")</f>
        <v/>
      </c>
      <c r="AS696">
        <f>IF($E696="","",IF(OR($U696=TRUE(),$U696="TRUE"),1,0))</f>
        <v/>
      </c>
      <c r="AT696">
        <f>IF($E696="","",IF($AC696="Yes",1,0))</f>
        <v/>
      </c>
      <c r="AU696">
        <f>IF($AQ696=1,IFERROR(IF(VALUE($E696)&lt;100000000,VALUE($E696),1000000000),IFERROR(IF(VALUE(MID($E696,2,20))&lt;100000000,VALUE(MID($E696,2,20)),1000000000),1000000000))+ROW()/100000,"")</f>
        <v/>
      </c>
    </row>
    <row r="697">
      <c r="G697" s="14" t="n"/>
      <c r="Q697" s="7">
        <f>IF($E697="","",P697*Z697/100)</f>
        <v/>
      </c>
      <c r="R697" s="7" t="n"/>
      <c r="Y697" s="7" t="n"/>
      <c r="Z697" s="7" t="n"/>
      <c r="AA697" s="7" t="n"/>
      <c r="AD697">
        <f>IF($E697="","",IF($AT697=1,Settings!$C$8,IF($AS697=1,Settings!$C$6,Settings!$C$7))*100)</f>
        <v/>
      </c>
      <c r="AE697" s="7">
        <f>IF($E697="","",Z697*AD697/100)</f>
        <v/>
      </c>
      <c r="AF697" s="7">
        <f>IF($E697="","",Z697-AE697)</f>
        <v/>
      </c>
      <c r="AG697" s="7">
        <f>IF($E697="","",AF697-Q697)</f>
        <v/>
      </c>
      <c r="AK697" s="7" t="n"/>
      <c r="AN697" s="14" t="n"/>
      <c r="AQ697">
        <f>IF($E697="","",IF(COUNTIF($E$2:$E697,$E697)=1,1,0))</f>
        <v/>
      </c>
      <c r="AR697">
        <f>IF($AQ697=1,SUMPRODUCT(--($AU$2:$AU$1501&lt;$AU697))+1,"")</f>
        <v/>
      </c>
      <c r="AS697">
        <f>IF($E697="","",IF(OR($U697=TRUE(),$U697="TRUE"),1,0))</f>
        <v/>
      </c>
      <c r="AT697">
        <f>IF($E697="","",IF($AC697="Yes",1,0))</f>
        <v/>
      </c>
      <c r="AU697">
        <f>IF($AQ697=1,IFERROR(IF(VALUE($E697)&lt;100000000,VALUE($E697),1000000000),IFERROR(IF(VALUE(MID($E697,2,20))&lt;100000000,VALUE(MID($E697,2,20)),1000000000),1000000000))+ROW()/100000,"")</f>
        <v/>
      </c>
    </row>
    <row r="698">
      <c r="G698" s="14" t="n"/>
      <c r="Q698" s="7">
        <f>IF($E698="","",P698*Z698/100)</f>
        <v/>
      </c>
      <c r="R698" s="7" t="n"/>
      <c r="Y698" s="7" t="n"/>
      <c r="Z698" s="7" t="n"/>
      <c r="AA698" s="7" t="n"/>
      <c r="AD698">
        <f>IF($E698="","",IF($AT698=1,Settings!$C$8,IF($AS698=1,Settings!$C$6,Settings!$C$7))*100)</f>
        <v/>
      </c>
      <c r="AE698" s="7">
        <f>IF($E698="","",Z698*AD698/100)</f>
        <v/>
      </c>
      <c r="AF698" s="7">
        <f>IF($E698="","",Z698-AE698)</f>
        <v/>
      </c>
      <c r="AG698" s="7">
        <f>IF($E698="","",AF698-Q698)</f>
        <v/>
      </c>
      <c r="AK698" s="7" t="n"/>
      <c r="AN698" s="14" t="n"/>
      <c r="AQ698">
        <f>IF($E698="","",IF(COUNTIF($E$2:$E698,$E698)=1,1,0))</f>
        <v/>
      </c>
      <c r="AR698">
        <f>IF($AQ698=1,SUMPRODUCT(--($AU$2:$AU$1501&lt;$AU698))+1,"")</f>
        <v/>
      </c>
      <c r="AS698">
        <f>IF($E698="","",IF(OR($U698=TRUE(),$U698="TRUE"),1,0))</f>
        <v/>
      </c>
      <c r="AT698">
        <f>IF($E698="","",IF($AC698="Yes",1,0))</f>
        <v/>
      </c>
      <c r="AU698">
        <f>IF($AQ698=1,IFERROR(IF(VALUE($E698)&lt;100000000,VALUE($E698),1000000000),IFERROR(IF(VALUE(MID($E698,2,20))&lt;100000000,VALUE(MID($E698,2,20)),1000000000),1000000000))+ROW()/100000,"")</f>
        <v/>
      </c>
    </row>
    <row r="699">
      <c r="G699" s="14" t="n"/>
      <c r="Q699" s="7">
        <f>IF($E699="","",P699*Z699/100)</f>
        <v/>
      </c>
      <c r="R699" s="7" t="n"/>
      <c r="Y699" s="7" t="n"/>
      <c r="Z699" s="7" t="n"/>
      <c r="AA699" s="7" t="n"/>
      <c r="AD699">
        <f>IF($E699="","",IF($AT699=1,Settings!$C$8,IF($AS699=1,Settings!$C$6,Settings!$C$7))*100)</f>
        <v/>
      </c>
      <c r="AE699" s="7">
        <f>IF($E699="","",Z699*AD699/100)</f>
        <v/>
      </c>
      <c r="AF699" s="7">
        <f>IF($E699="","",Z699-AE699)</f>
        <v/>
      </c>
      <c r="AG699" s="7">
        <f>IF($E699="","",AF699-Q699)</f>
        <v/>
      </c>
      <c r="AK699" s="7" t="n"/>
      <c r="AN699" s="14" t="n"/>
      <c r="AQ699">
        <f>IF($E699="","",IF(COUNTIF($E$2:$E699,$E699)=1,1,0))</f>
        <v/>
      </c>
      <c r="AR699">
        <f>IF($AQ699=1,SUMPRODUCT(--($AU$2:$AU$1501&lt;$AU699))+1,"")</f>
        <v/>
      </c>
      <c r="AS699">
        <f>IF($E699="","",IF(OR($U699=TRUE(),$U699="TRUE"),1,0))</f>
        <v/>
      </c>
      <c r="AT699">
        <f>IF($E699="","",IF($AC699="Yes",1,0))</f>
        <v/>
      </c>
      <c r="AU699">
        <f>IF($AQ699=1,IFERROR(IF(VALUE($E699)&lt;100000000,VALUE($E699),1000000000),IFERROR(IF(VALUE(MID($E699,2,20))&lt;100000000,VALUE(MID($E699,2,20)),1000000000),1000000000))+ROW()/100000,"")</f>
        <v/>
      </c>
    </row>
    <row r="700">
      <c r="G700" s="14" t="n"/>
      <c r="Q700" s="7">
        <f>IF($E700="","",P700*Z700/100)</f>
        <v/>
      </c>
      <c r="R700" s="7" t="n"/>
      <c r="Y700" s="7" t="n"/>
      <c r="Z700" s="7" t="n"/>
      <c r="AA700" s="7" t="n"/>
      <c r="AD700">
        <f>IF($E700="","",IF($AT700=1,Settings!$C$8,IF($AS700=1,Settings!$C$6,Settings!$C$7))*100)</f>
        <v/>
      </c>
      <c r="AE700" s="7">
        <f>IF($E700="","",Z700*AD700/100)</f>
        <v/>
      </c>
      <c r="AF700" s="7">
        <f>IF($E700="","",Z700-AE700)</f>
        <v/>
      </c>
      <c r="AG700" s="7">
        <f>IF($E700="","",AF700-Q700)</f>
        <v/>
      </c>
      <c r="AK700" s="7" t="n"/>
      <c r="AN700" s="14" t="n"/>
      <c r="AQ700">
        <f>IF($E700="","",IF(COUNTIF($E$2:$E700,$E700)=1,1,0))</f>
        <v/>
      </c>
      <c r="AR700">
        <f>IF($AQ700=1,SUMPRODUCT(--($AU$2:$AU$1501&lt;$AU700))+1,"")</f>
        <v/>
      </c>
      <c r="AS700">
        <f>IF($E700="","",IF(OR($U700=TRUE(),$U700="TRUE"),1,0))</f>
        <v/>
      </c>
      <c r="AT700">
        <f>IF($E700="","",IF($AC700="Yes",1,0))</f>
        <v/>
      </c>
      <c r="AU700">
        <f>IF($AQ700=1,IFERROR(IF(VALUE($E700)&lt;100000000,VALUE($E700),1000000000),IFERROR(IF(VALUE(MID($E700,2,20))&lt;100000000,VALUE(MID($E700,2,20)),1000000000),1000000000))+ROW()/100000,"")</f>
        <v/>
      </c>
    </row>
    <row r="701">
      <c r="G701" s="14" t="n"/>
      <c r="Q701" s="7">
        <f>IF($E701="","",P701*Z701/100)</f>
        <v/>
      </c>
      <c r="R701" s="7" t="n"/>
      <c r="Y701" s="7" t="n"/>
      <c r="Z701" s="7" t="n"/>
      <c r="AA701" s="7" t="n"/>
      <c r="AD701">
        <f>IF($E701="","",IF($AT701=1,Settings!$C$8,IF($AS701=1,Settings!$C$6,Settings!$C$7))*100)</f>
        <v/>
      </c>
      <c r="AE701" s="7">
        <f>IF($E701="","",Z701*AD701/100)</f>
        <v/>
      </c>
      <c r="AF701" s="7">
        <f>IF($E701="","",Z701-AE701)</f>
        <v/>
      </c>
      <c r="AG701" s="7">
        <f>IF($E701="","",AF701-Q701)</f>
        <v/>
      </c>
      <c r="AK701" s="7" t="n"/>
      <c r="AN701" s="14" t="n"/>
      <c r="AQ701">
        <f>IF($E701="","",IF(COUNTIF($E$2:$E701,$E701)=1,1,0))</f>
        <v/>
      </c>
      <c r="AR701">
        <f>IF($AQ701=1,SUMPRODUCT(--($AU$2:$AU$1501&lt;$AU701))+1,"")</f>
        <v/>
      </c>
      <c r="AS701">
        <f>IF($E701="","",IF(OR($U701=TRUE(),$U701="TRUE"),1,0))</f>
        <v/>
      </c>
      <c r="AT701">
        <f>IF($E701="","",IF($AC701="Yes",1,0))</f>
        <v/>
      </c>
      <c r="AU701">
        <f>IF($AQ701=1,IFERROR(IF(VALUE($E701)&lt;100000000,VALUE($E701),1000000000),IFERROR(IF(VALUE(MID($E701,2,20))&lt;100000000,VALUE(MID($E701,2,20)),1000000000),1000000000))+ROW()/100000,"")</f>
        <v/>
      </c>
    </row>
    <row r="702">
      <c r="G702" s="14" t="n"/>
      <c r="Q702" s="7">
        <f>IF($E702="","",P702*Z702/100)</f>
        <v/>
      </c>
      <c r="R702" s="7" t="n"/>
      <c r="Y702" s="7" t="n"/>
      <c r="Z702" s="7" t="n"/>
      <c r="AA702" s="7" t="n"/>
      <c r="AD702">
        <f>IF($E702="","",IF($AT702=1,Settings!$C$8,IF($AS702=1,Settings!$C$6,Settings!$C$7))*100)</f>
        <v/>
      </c>
      <c r="AE702" s="7">
        <f>IF($E702="","",Z702*AD702/100)</f>
        <v/>
      </c>
      <c r="AF702" s="7">
        <f>IF($E702="","",Z702-AE702)</f>
        <v/>
      </c>
      <c r="AG702" s="7">
        <f>IF($E702="","",AF702-Q702)</f>
        <v/>
      </c>
      <c r="AK702" s="7" t="n"/>
      <c r="AN702" s="14" t="n"/>
      <c r="AQ702">
        <f>IF($E702="","",IF(COUNTIF($E$2:$E702,$E702)=1,1,0))</f>
        <v/>
      </c>
      <c r="AR702">
        <f>IF($AQ702=1,SUMPRODUCT(--($AU$2:$AU$1501&lt;$AU702))+1,"")</f>
        <v/>
      </c>
      <c r="AS702">
        <f>IF($E702="","",IF(OR($U702=TRUE(),$U702="TRUE"),1,0))</f>
        <v/>
      </c>
      <c r="AT702">
        <f>IF($E702="","",IF($AC702="Yes",1,0))</f>
        <v/>
      </c>
      <c r="AU702">
        <f>IF($AQ702=1,IFERROR(IF(VALUE($E702)&lt;100000000,VALUE($E702),1000000000),IFERROR(IF(VALUE(MID($E702,2,20))&lt;100000000,VALUE(MID($E702,2,20)),1000000000),1000000000))+ROW()/100000,"")</f>
        <v/>
      </c>
    </row>
    <row r="703">
      <c r="G703" s="14" t="n"/>
      <c r="Q703" s="7">
        <f>IF($E703="","",P703*Z703/100)</f>
        <v/>
      </c>
      <c r="R703" s="7" t="n"/>
      <c r="Y703" s="7" t="n"/>
      <c r="Z703" s="7" t="n"/>
      <c r="AA703" s="7" t="n"/>
      <c r="AD703">
        <f>IF($E703="","",IF($AT703=1,Settings!$C$8,IF($AS703=1,Settings!$C$6,Settings!$C$7))*100)</f>
        <v/>
      </c>
      <c r="AE703" s="7">
        <f>IF($E703="","",Z703*AD703/100)</f>
        <v/>
      </c>
      <c r="AF703" s="7">
        <f>IF($E703="","",Z703-AE703)</f>
        <v/>
      </c>
      <c r="AG703" s="7">
        <f>IF($E703="","",AF703-Q703)</f>
        <v/>
      </c>
      <c r="AK703" s="7" t="n"/>
      <c r="AN703" s="14" t="n"/>
      <c r="AQ703">
        <f>IF($E703="","",IF(COUNTIF($E$2:$E703,$E703)=1,1,0))</f>
        <v/>
      </c>
      <c r="AR703">
        <f>IF($AQ703=1,SUMPRODUCT(--($AU$2:$AU$1501&lt;$AU703))+1,"")</f>
        <v/>
      </c>
      <c r="AS703">
        <f>IF($E703="","",IF(OR($U703=TRUE(),$U703="TRUE"),1,0))</f>
        <v/>
      </c>
      <c r="AT703">
        <f>IF($E703="","",IF($AC703="Yes",1,0))</f>
        <v/>
      </c>
      <c r="AU703">
        <f>IF($AQ703=1,IFERROR(IF(VALUE($E703)&lt;100000000,VALUE($E703),1000000000),IFERROR(IF(VALUE(MID($E703,2,20))&lt;100000000,VALUE(MID($E703,2,20)),1000000000),1000000000))+ROW()/100000,"")</f>
        <v/>
      </c>
    </row>
    <row r="704">
      <c r="G704" s="14" t="n"/>
      <c r="Q704" s="7">
        <f>IF($E704="","",P704*Z704/100)</f>
        <v/>
      </c>
      <c r="R704" s="7" t="n"/>
      <c r="Y704" s="7" t="n"/>
      <c r="Z704" s="7" t="n"/>
      <c r="AA704" s="7" t="n"/>
      <c r="AD704">
        <f>IF($E704="","",IF($AT704=1,Settings!$C$8,IF($AS704=1,Settings!$C$6,Settings!$C$7))*100)</f>
        <v/>
      </c>
      <c r="AE704" s="7">
        <f>IF($E704="","",Z704*AD704/100)</f>
        <v/>
      </c>
      <c r="AF704" s="7">
        <f>IF($E704="","",Z704-AE704)</f>
        <v/>
      </c>
      <c r="AG704" s="7">
        <f>IF($E704="","",AF704-Q704)</f>
        <v/>
      </c>
      <c r="AK704" s="7" t="n"/>
      <c r="AN704" s="14" t="n"/>
      <c r="AQ704">
        <f>IF($E704="","",IF(COUNTIF($E$2:$E704,$E704)=1,1,0))</f>
        <v/>
      </c>
      <c r="AR704">
        <f>IF($AQ704=1,SUMPRODUCT(--($AU$2:$AU$1501&lt;$AU704))+1,"")</f>
        <v/>
      </c>
      <c r="AS704">
        <f>IF($E704="","",IF(OR($U704=TRUE(),$U704="TRUE"),1,0))</f>
        <v/>
      </c>
      <c r="AT704">
        <f>IF($E704="","",IF($AC704="Yes",1,0))</f>
        <v/>
      </c>
      <c r="AU704">
        <f>IF($AQ704=1,IFERROR(IF(VALUE($E704)&lt;100000000,VALUE($E704),1000000000),IFERROR(IF(VALUE(MID($E704,2,20))&lt;100000000,VALUE(MID($E704,2,20)),1000000000),1000000000))+ROW()/100000,"")</f>
        <v/>
      </c>
    </row>
    <row r="705">
      <c r="G705" s="14" t="n"/>
      <c r="Q705" s="7">
        <f>IF($E705="","",P705*Z705/100)</f>
        <v/>
      </c>
      <c r="R705" s="7" t="n"/>
      <c r="Y705" s="7" t="n"/>
      <c r="Z705" s="7" t="n"/>
      <c r="AA705" s="7" t="n"/>
      <c r="AD705">
        <f>IF($E705="","",IF($AT705=1,Settings!$C$8,IF($AS705=1,Settings!$C$6,Settings!$C$7))*100)</f>
        <v/>
      </c>
      <c r="AE705" s="7">
        <f>IF($E705="","",Z705*AD705/100)</f>
        <v/>
      </c>
      <c r="AF705" s="7">
        <f>IF($E705="","",Z705-AE705)</f>
        <v/>
      </c>
      <c r="AG705" s="7">
        <f>IF($E705="","",AF705-Q705)</f>
        <v/>
      </c>
      <c r="AK705" s="7" t="n"/>
      <c r="AN705" s="14" t="n"/>
      <c r="AQ705">
        <f>IF($E705="","",IF(COUNTIF($E$2:$E705,$E705)=1,1,0))</f>
        <v/>
      </c>
      <c r="AR705">
        <f>IF($AQ705=1,SUMPRODUCT(--($AU$2:$AU$1501&lt;$AU705))+1,"")</f>
        <v/>
      </c>
      <c r="AS705">
        <f>IF($E705="","",IF(OR($U705=TRUE(),$U705="TRUE"),1,0))</f>
        <v/>
      </c>
      <c r="AT705">
        <f>IF($E705="","",IF($AC705="Yes",1,0))</f>
        <v/>
      </c>
      <c r="AU705">
        <f>IF($AQ705=1,IFERROR(IF(VALUE($E705)&lt;100000000,VALUE($E705),1000000000),IFERROR(IF(VALUE(MID($E705,2,20))&lt;100000000,VALUE(MID($E705,2,20)),1000000000),1000000000))+ROW()/100000,"")</f>
        <v/>
      </c>
    </row>
    <row r="706">
      <c r="G706" s="14" t="n"/>
      <c r="Q706" s="7">
        <f>IF($E706="","",P706*Z706/100)</f>
        <v/>
      </c>
      <c r="R706" s="7" t="n"/>
      <c r="Y706" s="7" t="n"/>
      <c r="Z706" s="7" t="n"/>
      <c r="AA706" s="7" t="n"/>
      <c r="AD706">
        <f>IF($E706="","",IF($AT706=1,Settings!$C$8,IF($AS706=1,Settings!$C$6,Settings!$C$7))*100)</f>
        <v/>
      </c>
      <c r="AE706" s="7">
        <f>IF($E706="","",Z706*AD706/100)</f>
        <v/>
      </c>
      <c r="AF706" s="7">
        <f>IF($E706="","",Z706-AE706)</f>
        <v/>
      </c>
      <c r="AG706" s="7">
        <f>IF($E706="","",AF706-Q706)</f>
        <v/>
      </c>
      <c r="AK706" s="7" t="n"/>
      <c r="AN706" s="14" t="n"/>
      <c r="AQ706">
        <f>IF($E706="","",IF(COUNTIF($E$2:$E706,$E706)=1,1,0))</f>
        <v/>
      </c>
      <c r="AR706">
        <f>IF($AQ706=1,SUMPRODUCT(--($AU$2:$AU$1501&lt;$AU706))+1,"")</f>
        <v/>
      </c>
      <c r="AS706">
        <f>IF($E706="","",IF(OR($U706=TRUE(),$U706="TRUE"),1,0))</f>
        <v/>
      </c>
      <c r="AT706">
        <f>IF($E706="","",IF($AC706="Yes",1,0))</f>
        <v/>
      </c>
      <c r="AU706">
        <f>IF($AQ706=1,IFERROR(IF(VALUE($E706)&lt;100000000,VALUE($E706),1000000000),IFERROR(IF(VALUE(MID($E706,2,20))&lt;100000000,VALUE(MID($E706,2,20)),1000000000),1000000000))+ROW()/100000,"")</f>
        <v/>
      </c>
    </row>
    <row r="707">
      <c r="G707" s="14" t="n"/>
      <c r="Q707" s="7">
        <f>IF($E707="","",P707*Z707/100)</f>
        <v/>
      </c>
      <c r="R707" s="7" t="n"/>
      <c r="Y707" s="7" t="n"/>
      <c r="Z707" s="7" t="n"/>
      <c r="AA707" s="7" t="n"/>
      <c r="AD707">
        <f>IF($E707="","",IF($AT707=1,Settings!$C$8,IF($AS707=1,Settings!$C$6,Settings!$C$7))*100)</f>
        <v/>
      </c>
      <c r="AE707" s="7">
        <f>IF($E707="","",Z707*AD707/100)</f>
        <v/>
      </c>
      <c r="AF707" s="7">
        <f>IF($E707="","",Z707-AE707)</f>
        <v/>
      </c>
      <c r="AG707" s="7">
        <f>IF($E707="","",AF707-Q707)</f>
        <v/>
      </c>
      <c r="AK707" s="7" t="n"/>
      <c r="AN707" s="14" t="n"/>
      <c r="AQ707">
        <f>IF($E707="","",IF(COUNTIF($E$2:$E707,$E707)=1,1,0))</f>
        <v/>
      </c>
      <c r="AR707">
        <f>IF($AQ707=1,SUMPRODUCT(--($AU$2:$AU$1501&lt;$AU707))+1,"")</f>
        <v/>
      </c>
      <c r="AS707">
        <f>IF($E707="","",IF(OR($U707=TRUE(),$U707="TRUE"),1,0))</f>
        <v/>
      </c>
      <c r="AT707">
        <f>IF($E707="","",IF($AC707="Yes",1,0))</f>
        <v/>
      </c>
      <c r="AU707">
        <f>IF($AQ707=1,IFERROR(IF(VALUE($E707)&lt;100000000,VALUE($E707),1000000000),IFERROR(IF(VALUE(MID($E707,2,20))&lt;100000000,VALUE(MID($E707,2,20)),1000000000),1000000000))+ROW()/100000,"")</f>
        <v/>
      </c>
    </row>
    <row r="708">
      <c r="G708" s="14" t="n"/>
      <c r="Q708" s="7">
        <f>IF($E708="","",P708*Z708/100)</f>
        <v/>
      </c>
      <c r="R708" s="7" t="n"/>
      <c r="Y708" s="7" t="n"/>
      <c r="Z708" s="7" t="n"/>
      <c r="AA708" s="7" t="n"/>
      <c r="AD708">
        <f>IF($E708="","",IF($AT708=1,Settings!$C$8,IF($AS708=1,Settings!$C$6,Settings!$C$7))*100)</f>
        <v/>
      </c>
      <c r="AE708" s="7">
        <f>IF($E708="","",Z708*AD708/100)</f>
        <v/>
      </c>
      <c r="AF708" s="7">
        <f>IF($E708="","",Z708-AE708)</f>
        <v/>
      </c>
      <c r="AG708" s="7">
        <f>IF($E708="","",AF708-Q708)</f>
        <v/>
      </c>
      <c r="AK708" s="7" t="n"/>
      <c r="AN708" s="14" t="n"/>
      <c r="AQ708">
        <f>IF($E708="","",IF(COUNTIF($E$2:$E708,$E708)=1,1,0))</f>
        <v/>
      </c>
      <c r="AR708">
        <f>IF($AQ708=1,SUMPRODUCT(--($AU$2:$AU$1501&lt;$AU708))+1,"")</f>
        <v/>
      </c>
      <c r="AS708">
        <f>IF($E708="","",IF(OR($U708=TRUE(),$U708="TRUE"),1,0))</f>
        <v/>
      </c>
      <c r="AT708">
        <f>IF($E708="","",IF($AC708="Yes",1,0))</f>
        <v/>
      </c>
      <c r="AU708">
        <f>IF($AQ708=1,IFERROR(IF(VALUE($E708)&lt;100000000,VALUE($E708),1000000000),IFERROR(IF(VALUE(MID($E708,2,20))&lt;100000000,VALUE(MID($E708,2,20)),1000000000),1000000000))+ROW()/100000,"")</f>
        <v/>
      </c>
    </row>
    <row r="709">
      <c r="G709" s="14" t="n"/>
      <c r="Q709" s="7">
        <f>IF($E709="","",P709*Z709/100)</f>
        <v/>
      </c>
      <c r="R709" s="7" t="n"/>
      <c r="Y709" s="7" t="n"/>
      <c r="Z709" s="7" t="n"/>
      <c r="AA709" s="7" t="n"/>
      <c r="AD709">
        <f>IF($E709="","",IF($AT709=1,Settings!$C$8,IF($AS709=1,Settings!$C$6,Settings!$C$7))*100)</f>
        <v/>
      </c>
      <c r="AE709" s="7">
        <f>IF($E709="","",Z709*AD709/100)</f>
        <v/>
      </c>
      <c r="AF709" s="7">
        <f>IF($E709="","",Z709-AE709)</f>
        <v/>
      </c>
      <c r="AG709" s="7">
        <f>IF($E709="","",AF709-Q709)</f>
        <v/>
      </c>
      <c r="AK709" s="7" t="n"/>
      <c r="AN709" s="14" t="n"/>
      <c r="AQ709">
        <f>IF($E709="","",IF(COUNTIF($E$2:$E709,$E709)=1,1,0))</f>
        <v/>
      </c>
      <c r="AR709">
        <f>IF($AQ709=1,SUMPRODUCT(--($AU$2:$AU$1501&lt;$AU709))+1,"")</f>
        <v/>
      </c>
      <c r="AS709">
        <f>IF($E709="","",IF(OR($U709=TRUE(),$U709="TRUE"),1,0))</f>
        <v/>
      </c>
      <c r="AT709">
        <f>IF($E709="","",IF($AC709="Yes",1,0))</f>
        <v/>
      </c>
      <c r="AU709">
        <f>IF($AQ709=1,IFERROR(IF(VALUE($E709)&lt;100000000,VALUE($E709),1000000000),IFERROR(IF(VALUE(MID($E709,2,20))&lt;100000000,VALUE(MID($E709,2,20)),1000000000),1000000000))+ROW()/100000,"")</f>
        <v/>
      </c>
    </row>
    <row r="710">
      <c r="G710" s="14" t="n"/>
      <c r="Q710" s="7">
        <f>IF($E710="","",P710*Z710/100)</f>
        <v/>
      </c>
      <c r="R710" s="7" t="n"/>
      <c r="Y710" s="7" t="n"/>
      <c r="Z710" s="7" t="n"/>
      <c r="AA710" s="7" t="n"/>
      <c r="AD710">
        <f>IF($E710="","",IF($AT710=1,Settings!$C$8,IF($AS710=1,Settings!$C$6,Settings!$C$7))*100)</f>
        <v/>
      </c>
      <c r="AE710" s="7">
        <f>IF($E710="","",Z710*AD710/100)</f>
        <v/>
      </c>
      <c r="AF710" s="7">
        <f>IF($E710="","",Z710-AE710)</f>
        <v/>
      </c>
      <c r="AG710" s="7">
        <f>IF($E710="","",AF710-Q710)</f>
        <v/>
      </c>
      <c r="AK710" s="7" t="n"/>
      <c r="AN710" s="14" t="n"/>
      <c r="AQ710">
        <f>IF($E710="","",IF(COUNTIF($E$2:$E710,$E710)=1,1,0))</f>
        <v/>
      </c>
      <c r="AR710">
        <f>IF($AQ710=1,SUMPRODUCT(--($AU$2:$AU$1501&lt;$AU710))+1,"")</f>
        <v/>
      </c>
      <c r="AS710">
        <f>IF($E710="","",IF(OR($U710=TRUE(),$U710="TRUE"),1,0))</f>
        <v/>
      </c>
      <c r="AT710">
        <f>IF($E710="","",IF($AC710="Yes",1,0))</f>
        <v/>
      </c>
      <c r="AU710">
        <f>IF($AQ710=1,IFERROR(IF(VALUE($E710)&lt;100000000,VALUE($E710),1000000000),IFERROR(IF(VALUE(MID($E710,2,20))&lt;100000000,VALUE(MID($E710,2,20)),1000000000),1000000000))+ROW()/100000,"")</f>
        <v/>
      </c>
    </row>
    <row r="711">
      <c r="G711" s="14" t="n"/>
      <c r="Q711" s="7">
        <f>IF($E711="","",P711*Z711/100)</f>
        <v/>
      </c>
      <c r="R711" s="7" t="n"/>
      <c r="Y711" s="7" t="n"/>
      <c r="Z711" s="7" t="n"/>
      <c r="AA711" s="7" t="n"/>
      <c r="AD711">
        <f>IF($E711="","",IF($AT711=1,Settings!$C$8,IF($AS711=1,Settings!$C$6,Settings!$C$7))*100)</f>
        <v/>
      </c>
      <c r="AE711" s="7">
        <f>IF($E711="","",Z711*AD711/100)</f>
        <v/>
      </c>
      <c r="AF711" s="7">
        <f>IF($E711="","",Z711-AE711)</f>
        <v/>
      </c>
      <c r="AG711" s="7">
        <f>IF($E711="","",AF711-Q711)</f>
        <v/>
      </c>
      <c r="AK711" s="7" t="n"/>
      <c r="AN711" s="14" t="n"/>
      <c r="AQ711">
        <f>IF($E711="","",IF(COUNTIF($E$2:$E711,$E711)=1,1,0))</f>
        <v/>
      </c>
      <c r="AR711">
        <f>IF($AQ711=1,SUMPRODUCT(--($AU$2:$AU$1501&lt;$AU711))+1,"")</f>
        <v/>
      </c>
      <c r="AS711">
        <f>IF($E711="","",IF(OR($U711=TRUE(),$U711="TRUE"),1,0))</f>
        <v/>
      </c>
      <c r="AT711">
        <f>IF($E711="","",IF($AC711="Yes",1,0))</f>
        <v/>
      </c>
      <c r="AU711">
        <f>IF($AQ711=1,IFERROR(IF(VALUE($E711)&lt;100000000,VALUE($E711),1000000000),IFERROR(IF(VALUE(MID($E711,2,20))&lt;100000000,VALUE(MID($E711,2,20)),1000000000),1000000000))+ROW()/100000,"")</f>
        <v/>
      </c>
    </row>
    <row r="712">
      <c r="G712" s="14" t="n"/>
      <c r="Q712" s="7">
        <f>IF($E712="","",P712*Z712/100)</f>
        <v/>
      </c>
      <c r="R712" s="7" t="n"/>
      <c r="Y712" s="7" t="n"/>
      <c r="Z712" s="7" t="n"/>
      <c r="AA712" s="7" t="n"/>
      <c r="AD712">
        <f>IF($E712="","",IF($AT712=1,Settings!$C$8,IF($AS712=1,Settings!$C$6,Settings!$C$7))*100)</f>
        <v/>
      </c>
      <c r="AE712" s="7">
        <f>IF($E712="","",Z712*AD712/100)</f>
        <v/>
      </c>
      <c r="AF712" s="7">
        <f>IF($E712="","",Z712-AE712)</f>
        <v/>
      </c>
      <c r="AG712" s="7">
        <f>IF($E712="","",AF712-Q712)</f>
        <v/>
      </c>
      <c r="AK712" s="7" t="n"/>
      <c r="AN712" s="14" t="n"/>
      <c r="AQ712">
        <f>IF($E712="","",IF(COUNTIF($E$2:$E712,$E712)=1,1,0))</f>
        <v/>
      </c>
      <c r="AR712">
        <f>IF($AQ712=1,SUMPRODUCT(--($AU$2:$AU$1501&lt;$AU712))+1,"")</f>
        <v/>
      </c>
      <c r="AS712">
        <f>IF($E712="","",IF(OR($U712=TRUE(),$U712="TRUE"),1,0))</f>
        <v/>
      </c>
      <c r="AT712">
        <f>IF($E712="","",IF($AC712="Yes",1,0))</f>
        <v/>
      </c>
      <c r="AU712">
        <f>IF($AQ712=1,IFERROR(IF(VALUE($E712)&lt;100000000,VALUE($E712),1000000000),IFERROR(IF(VALUE(MID($E712,2,20))&lt;100000000,VALUE(MID($E712,2,20)),1000000000),1000000000))+ROW()/100000,"")</f>
        <v/>
      </c>
    </row>
    <row r="713">
      <c r="G713" s="14" t="n"/>
      <c r="Q713" s="7">
        <f>IF($E713="","",P713*Z713/100)</f>
        <v/>
      </c>
      <c r="R713" s="7" t="n"/>
      <c r="Y713" s="7" t="n"/>
      <c r="Z713" s="7" t="n"/>
      <c r="AA713" s="7" t="n"/>
      <c r="AD713">
        <f>IF($E713="","",IF($AT713=1,Settings!$C$8,IF($AS713=1,Settings!$C$6,Settings!$C$7))*100)</f>
        <v/>
      </c>
      <c r="AE713" s="7">
        <f>IF($E713="","",Z713*AD713/100)</f>
        <v/>
      </c>
      <c r="AF713" s="7">
        <f>IF($E713="","",Z713-AE713)</f>
        <v/>
      </c>
      <c r="AG713" s="7">
        <f>IF($E713="","",AF713-Q713)</f>
        <v/>
      </c>
      <c r="AK713" s="7" t="n"/>
      <c r="AN713" s="14" t="n"/>
      <c r="AQ713">
        <f>IF($E713="","",IF(COUNTIF($E$2:$E713,$E713)=1,1,0))</f>
        <v/>
      </c>
      <c r="AR713">
        <f>IF($AQ713=1,SUMPRODUCT(--($AU$2:$AU$1501&lt;$AU713))+1,"")</f>
        <v/>
      </c>
      <c r="AS713">
        <f>IF($E713="","",IF(OR($U713=TRUE(),$U713="TRUE"),1,0))</f>
        <v/>
      </c>
      <c r="AT713">
        <f>IF($E713="","",IF($AC713="Yes",1,0))</f>
        <v/>
      </c>
      <c r="AU713">
        <f>IF($AQ713=1,IFERROR(IF(VALUE($E713)&lt;100000000,VALUE($E713),1000000000),IFERROR(IF(VALUE(MID($E713,2,20))&lt;100000000,VALUE(MID($E713,2,20)),1000000000),1000000000))+ROW()/100000,"")</f>
        <v/>
      </c>
    </row>
    <row r="714">
      <c r="G714" s="14" t="n"/>
      <c r="Q714" s="7">
        <f>IF($E714="","",P714*Z714/100)</f>
        <v/>
      </c>
      <c r="R714" s="7" t="n"/>
      <c r="Y714" s="7" t="n"/>
      <c r="Z714" s="7" t="n"/>
      <c r="AA714" s="7" t="n"/>
      <c r="AD714">
        <f>IF($E714="","",IF($AT714=1,Settings!$C$8,IF($AS714=1,Settings!$C$6,Settings!$C$7))*100)</f>
        <v/>
      </c>
      <c r="AE714" s="7">
        <f>IF($E714="","",Z714*AD714/100)</f>
        <v/>
      </c>
      <c r="AF714" s="7">
        <f>IF($E714="","",Z714-AE714)</f>
        <v/>
      </c>
      <c r="AG714" s="7">
        <f>IF($E714="","",AF714-Q714)</f>
        <v/>
      </c>
      <c r="AK714" s="7" t="n"/>
      <c r="AN714" s="14" t="n"/>
      <c r="AQ714">
        <f>IF($E714="","",IF(COUNTIF($E$2:$E714,$E714)=1,1,0))</f>
        <v/>
      </c>
      <c r="AR714">
        <f>IF($AQ714=1,SUMPRODUCT(--($AU$2:$AU$1501&lt;$AU714))+1,"")</f>
        <v/>
      </c>
      <c r="AS714">
        <f>IF($E714="","",IF(OR($U714=TRUE(),$U714="TRUE"),1,0))</f>
        <v/>
      </c>
      <c r="AT714">
        <f>IF($E714="","",IF($AC714="Yes",1,0))</f>
        <v/>
      </c>
      <c r="AU714">
        <f>IF($AQ714=1,IFERROR(IF(VALUE($E714)&lt;100000000,VALUE($E714),1000000000),IFERROR(IF(VALUE(MID($E714,2,20))&lt;100000000,VALUE(MID($E714,2,20)),1000000000),1000000000))+ROW()/100000,"")</f>
        <v/>
      </c>
    </row>
    <row r="715">
      <c r="G715" s="14" t="n"/>
      <c r="Q715" s="7">
        <f>IF($E715="","",P715*Z715/100)</f>
        <v/>
      </c>
      <c r="R715" s="7" t="n"/>
      <c r="Y715" s="7" t="n"/>
      <c r="Z715" s="7" t="n"/>
      <c r="AA715" s="7" t="n"/>
      <c r="AD715">
        <f>IF($E715="","",IF($AT715=1,Settings!$C$8,IF($AS715=1,Settings!$C$6,Settings!$C$7))*100)</f>
        <v/>
      </c>
      <c r="AE715" s="7">
        <f>IF($E715="","",Z715*AD715/100)</f>
        <v/>
      </c>
      <c r="AF715" s="7">
        <f>IF($E715="","",Z715-AE715)</f>
        <v/>
      </c>
      <c r="AG715" s="7">
        <f>IF($E715="","",AF715-Q715)</f>
        <v/>
      </c>
      <c r="AK715" s="7" t="n"/>
      <c r="AN715" s="14" t="n"/>
      <c r="AQ715">
        <f>IF($E715="","",IF(COUNTIF($E$2:$E715,$E715)=1,1,0))</f>
        <v/>
      </c>
      <c r="AR715">
        <f>IF($AQ715=1,SUMPRODUCT(--($AU$2:$AU$1501&lt;$AU715))+1,"")</f>
        <v/>
      </c>
      <c r="AS715">
        <f>IF($E715="","",IF(OR($U715=TRUE(),$U715="TRUE"),1,0))</f>
        <v/>
      </c>
      <c r="AT715">
        <f>IF($E715="","",IF($AC715="Yes",1,0))</f>
        <v/>
      </c>
      <c r="AU715">
        <f>IF($AQ715=1,IFERROR(IF(VALUE($E715)&lt;100000000,VALUE($E715),1000000000),IFERROR(IF(VALUE(MID($E715,2,20))&lt;100000000,VALUE(MID($E715,2,20)),1000000000),1000000000))+ROW()/100000,"")</f>
        <v/>
      </c>
    </row>
    <row r="716">
      <c r="G716" s="14" t="n"/>
      <c r="Q716" s="7">
        <f>IF($E716="","",P716*Z716/100)</f>
        <v/>
      </c>
      <c r="R716" s="7" t="n"/>
      <c r="Y716" s="7" t="n"/>
      <c r="Z716" s="7" t="n"/>
      <c r="AA716" s="7" t="n"/>
      <c r="AD716">
        <f>IF($E716="","",IF($AT716=1,Settings!$C$8,IF($AS716=1,Settings!$C$6,Settings!$C$7))*100)</f>
        <v/>
      </c>
      <c r="AE716" s="7">
        <f>IF($E716="","",Z716*AD716/100)</f>
        <v/>
      </c>
      <c r="AF716" s="7">
        <f>IF($E716="","",Z716-AE716)</f>
        <v/>
      </c>
      <c r="AG716" s="7">
        <f>IF($E716="","",AF716-Q716)</f>
        <v/>
      </c>
      <c r="AK716" s="7" t="n"/>
      <c r="AN716" s="14" t="n"/>
      <c r="AQ716">
        <f>IF($E716="","",IF(COUNTIF($E$2:$E716,$E716)=1,1,0))</f>
        <v/>
      </c>
      <c r="AR716">
        <f>IF($AQ716=1,SUMPRODUCT(--($AU$2:$AU$1501&lt;$AU716))+1,"")</f>
        <v/>
      </c>
      <c r="AS716">
        <f>IF($E716="","",IF(OR($U716=TRUE(),$U716="TRUE"),1,0))</f>
        <v/>
      </c>
      <c r="AT716">
        <f>IF($E716="","",IF($AC716="Yes",1,0))</f>
        <v/>
      </c>
      <c r="AU716">
        <f>IF($AQ716=1,IFERROR(IF(VALUE($E716)&lt;100000000,VALUE($E716),1000000000),IFERROR(IF(VALUE(MID($E716,2,20))&lt;100000000,VALUE(MID($E716,2,20)),1000000000),1000000000))+ROW()/100000,"")</f>
        <v/>
      </c>
    </row>
    <row r="717">
      <c r="G717" s="14" t="n"/>
      <c r="Q717" s="7">
        <f>IF($E717="","",P717*Z717/100)</f>
        <v/>
      </c>
      <c r="R717" s="7" t="n"/>
      <c r="Y717" s="7" t="n"/>
      <c r="Z717" s="7" t="n"/>
      <c r="AA717" s="7" t="n"/>
      <c r="AD717">
        <f>IF($E717="","",IF($AT717=1,Settings!$C$8,IF($AS717=1,Settings!$C$6,Settings!$C$7))*100)</f>
        <v/>
      </c>
      <c r="AE717" s="7">
        <f>IF($E717="","",Z717*AD717/100)</f>
        <v/>
      </c>
      <c r="AF717" s="7">
        <f>IF($E717="","",Z717-AE717)</f>
        <v/>
      </c>
      <c r="AG717" s="7">
        <f>IF($E717="","",AF717-Q717)</f>
        <v/>
      </c>
      <c r="AK717" s="7" t="n"/>
      <c r="AN717" s="14" t="n"/>
      <c r="AQ717">
        <f>IF($E717="","",IF(COUNTIF($E$2:$E717,$E717)=1,1,0))</f>
        <v/>
      </c>
      <c r="AR717">
        <f>IF($AQ717=1,SUMPRODUCT(--($AU$2:$AU$1501&lt;$AU717))+1,"")</f>
        <v/>
      </c>
      <c r="AS717">
        <f>IF($E717="","",IF(OR($U717=TRUE(),$U717="TRUE"),1,0))</f>
        <v/>
      </c>
      <c r="AT717">
        <f>IF($E717="","",IF($AC717="Yes",1,0))</f>
        <v/>
      </c>
      <c r="AU717">
        <f>IF($AQ717=1,IFERROR(IF(VALUE($E717)&lt;100000000,VALUE($E717),1000000000),IFERROR(IF(VALUE(MID($E717,2,20))&lt;100000000,VALUE(MID($E717,2,20)),1000000000),1000000000))+ROW()/100000,"")</f>
        <v/>
      </c>
    </row>
    <row r="718">
      <c r="G718" s="14" t="n"/>
      <c r="Q718" s="7">
        <f>IF($E718="","",P718*Z718/100)</f>
        <v/>
      </c>
      <c r="R718" s="7" t="n"/>
      <c r="Y718" s="7" t="n"/>
      <c r="Z718" s="7" t="n"/>
      <c r="AA718" s="7" t="n"/>
      <c r="AD718">
        <f>IF($E718="","",IF($AT718=1,Settings!$C$8,IF($AS718=1,Settings!$C$6,Settings!$C$7))*100)</f>
        <v/>
      </c>
      <c r="AE718" s="7">
        <f>IF($E718="","",Z718*AD718/100)</f>
        <v/>
      </c>
      <c r="AF718" s="7">
        <f>IF($E718="","",Z718-AE718)</f>
        <v/>
      </c>
      <c r="AG718" s="7">
        <f>IF($E718="","",AF718-Q718)</f>
        <v/>
      </c>
      <c r="AK718" s="7" t="n"/>
      <c r="AN718" s="14" t="n"/>
      <c r="AQ718">
        <f>IF($E718="","",IF(COUNTIF($E$2:$E718,$E718)=1,1,0))</f>
        <v/>
      </c>
      <c r="AR718">
        <f>IF($AQ718=1,SUMPRODUCT(--($AU$2:$AU$1501&lt;$AU718))+1,"")</f>
        <v/>
      </c>
      <c r="AS718">
        <f>IF($E718="","",IF(OR($U718=TRUE(),$U718="TRUE"),1,0))</f>
        <v/>
      </c>
      <c r="AT718">
        <f>IF($E718="","",IF($AC718="Yes",1,0))</f>
        <v/>
      </c>
      <c r="AU718">
        <f>IF($AQ718=1,IFERROR(IF(VALUE($E718)&lt;100000000,VALUE($E718),1000000000),IFERROR(IF(VALUE(MID($E718,2,20))&lt;100000000,VALUE(MID($E718,2,20)),1000000000),1000000000))+ROW()/100000,"")</f>
        <v/>
      </c>
    </row>
    <row r="719">
      <c r="G719" s="14" t="n"/>
      <c r="Q719" s="7">
        <f>IF($E719="","",P719*Z719/100)</f>
        <v/>
      </c>
      <c r="R719" s="7" t="n"/>
      <c r="Y719" s="7" t="n"/>
      <c r="Z719" s="7" t="n"/>
      <c r="AA719" s="7" t="n"/>
      <c r="AD719">
        <f>IF($E719="","",IF($AT719=1,Settings!$C$8,IF($AS719=1,Settings!$C$6,Settings!$C$7))*100)</f>
        <v/>
      </c>
      <c r="AE719" s="7">
        <f>IF($E719="","",Z719*AD719/100)</f>
        <v/>
      </c>
      <c r="AF719" s="7">
        <f>IF($E719="","",Z719-AE719)</f>
        <v/>
      </c>
      <c r="AG719" s="7">
        <f>IF($E719="","",AF719-Q719)</f>
        <v/>
      </c>
      <c r="AK719" s="7" t="n"/>
      <c r="AN719" s="14" t="n"/>
      <c r="AQ719">
        <f>IF($E719="","",IF(COUNTIF($E$2:$E719,$E719)=1,1,0))</f>
        <v/>
      </c>
      <c r="AR719">
        <f>IF($AQ719=1,SUMPRODUCT(--($AU$2:$AU$1501&lt;$AU719))+1,"")</f>
        <v/>
      </c>
      <c r="AS719">
        <f>IF($E719="","",IF(OR($U719=TRUE(),$U719="TRUE"),1,0))</f>
        <v/>
      </c>
      <c r="AT719">
        <f>IF($E719="","",IF($AC719="Yes",1,0))</f>
        <v/>
      </c>
      <c r="AU719">
        <f>IF($AQ719=1,IFERROR(IF(VALUE($E719)&lt;100000000,VALUE($E719),1000000000),IFERROR(IF(VALUE(MID($E719,2,20))&lt;100000000,VALUE(MID($E719,2,20)),1000000000),1000000000))+ROW()/100000,"")</f>
        <v/>
      </c>
    </row>
    <row r="720">
      <c r="G720" s="14" t="n"/>
      <c r="Q720" s="7">
        <f>IF($E720="","",P720*Z720/100)</f>
        <v/>
      </c>
      <c r="R720" s="7" t="n"/>
      <c r="Y720" s="7" t="n"/>
      <c r="Z720" s="7" t="n"/>
      <c r="AA720" s="7" t="n"/>
      <c r="AD720">
        <f>IF($E720="","",IF($AT720=1,Settings!$C$8,IF($AS720=1,Settings!$C$6,Settings!$C$7))*100)</f>
        <v/>
      </c>
      <c r="AE720" s="7">
        <f>IF($E720="","",Z720*AD720/100)</f>
        <v/>
      </c>
      <c r="AF720" s="7">
        <f>IF($E720="","",Z720-AE720)</f>
        <v/>
      </c>
      <c r="AG720" s="7">
        <f>IF($E720="","",AF720-Q720)</f>
        <v/>
      </c>
      <c r="AK720" s="7" t="n"/>
      <c r="AN720" s="14" t="n"/>
      <c r="AQ720">
        <f>IF($E720="","",IF(COUNTIF($E$2:$E720,$E720)=1,1,0))</f>
        <v/>
      </c>
      <c r="AR720">
        <f>IF($AQ720=1,SUMPRODUCT(--($AU$2:$AU$1501&lt;$AU720))+1,"")</f>
        <v/>
      </c>
      <c r="AS720">
        <f>IF($E720="","",IF(OR($U720=TRUE(),$U720="TRUE"),1,0))</f>
        <v/>
      </c>
      <c r="AT720">
        <f>IF($E720="","",IF($AC720="Yes",1,0))</f>
        <v/>
      </c>
      <c r="AU720">
        <f>IF($AQ720=1,IFERROR(IF(VALUE($E720)&lt;100000000,VALUE($E720),1000000000),IFERROR(IF(VALUE(MID($E720,2,20))&lt;100000000,VALUE(MID($E720,2,20)),1000000000),1000000000))+ROW()/100000,"")</f>
        <v/>
      </c>
    </row>
    <row r="721">
      <c r="G721" s="14" t="n"/>
      <c r="Q721" s="7">
        <f>IF($E721="","",P721*Z721/100)</f>
        <v/>
      </c>
      <c r="R721" s="7" t="n"/>
      <c r="Y721" s="7" t="n"/>
      <c r="Z721" s="7" t="n"/>
      <c r="AA721" s="7" t="n"/>
      <c r="AD721">
        <f>IF($E721="","",IF($AT721=1,Settings!$C$8,IF($AS721=1,Settings!$C$6,Settings!$C$7))*100)</f>
        <v/>
      </c>
      <c r="AE721" s="7">
        <f>IF($E721="","",Z721*AD721/100)</f>
        <v/>
      </c>
      <c r="AF721" s="7">
        <f>IF($E721="","",Z721-AE721)</f>
        <v/>
      </c>
      <c r="AG721" s="7">
        <f>IF($E721="","",AF721-Q721)</f>
        <v/>
      </c>
      <c r="AK721" s="7" t="n"/>
      <c r="AN721" s="14" t="n"/>
      <c r="AQ721">
        <f>IF($E721="","",IF(COUNTIF($E$2:$E721,$E721)=1,1,0))</f>
        <v/>
      </c>
      <c r="AR721">
        <f>IF($AQ721=1,SUMPRODUCT(--($AU$2:$AU$1501&lt;$AU721))+1,"")</f>
        <v/>
      </c>
      <c r="AS721">
        <f>IF($E721="","",IF(OR($U721=TRUE(),$U721="TRUE"),1,0))</f>
        <v/>
      </c>
      <c r="AT721">
        <f>IF($E721="","",IF($AC721="Yes",1,0))</f>
        <v/>
      </c>
      <c r="AU721">
        <f>IF($AQ721=1,IFERROR(IF(VALUE($E721)&lt;100000000,VALUE($E721),1000000000),IFERROR(IF(VALUE(MID($E721,2,20))&lt;100000000,VALUE(MID($E721,2,20)),1000000000),1000000000))+ROW()/100000,"")</f>
        <v/>
      </c>
    </row>
    <row r="722">
      <c r="G722" s="14" t="n"/>
      <c r="Q722" s="7">
        <f>IF($E722="","",P722*Z722/100)</f>
        <v/>
      </c>
      <c r="R722" s="7" t="n"/>
      <c r="Y722" s="7" t="n"/>
      <c r="Z722" s="7" t="n"/>
      <c r="AA722" s="7" t="n"/>
      <c r="AD722">
        <f>IF($E722="","",IF($AT722=1,Settings!$C$8,IF($AS722=1,Settings!$C$6,Settings!$C$7))*100)</f>
        <v/>
      </c>
      <c r="AE722" s="7">
        <f>IF($E722="","",Z722*AD722/100)</f>
        <v/>
      </c>
      <c r="AF722" s="7">
        <f>IF($E722="","",Z722-AE722)</f>
        <v/>
      </c>
      <c r="AG722" s="7">
        <f>IF($E722="","",AF722-Q722)</f>
        <v/>
      </c>
      <c r="AK722" s="7" t="n"/>
      <c r="AN722" s="14" t="n"/>
      <c r="AQ722">
        <f>IF($E722="","",IF(COUNTIF($E$2:$E722,$E722)=1,1,0))</f>
        <v/>
      </c>
      <c r="AR722">
        <f>IF($AQ722=1,SUMPRODUCT(--($AU$2:$AU$1501&lt;$AU722))+1,"")</f>
        <v/>
      </c>
      <c r="AS722">
        <f>IF($E722="","",IF(OR($U722=TRUE(),$U722="TRUE"),1,0))</f>
        <v/>
      </c>
      <c r="AT722">
        <f>IF($E722="","",IF($AC722="Yes",1,0))</f>
        <v/>
      </c>
      <c r="AU722">
        <f>IF($AQ722=1,IFERROR(IF(VALUE($E722)&lt;100000000,VALUE($E722),1000000000),IFERROR(IF(VALUE(MID($E722,2,20))&lt;100000000,VALUE(MID($E722,2,20)),1000000000),1000000000))+ROW()/100000,"")</f>
        <v/>
      </c>
    </row>
    <row r="723">
      <c r="G723" s="14" t="n"/>
      <c r="Q723" s="7">
        <f>IF($E723="","",P723*Z723/100)</f>
        <v/>
      </c>
      <c r="R723" s="7" t="n"/>
      <c r="Y723" s="7" t="n"/>
      <c r="Z723" s="7" t="n"/>
      <c r="AA723" s="7" t="n"/>
      <c r="AD723">
        <f>IF($E723="","",IF($AT723=1,Settings!$C$8,IF($AS723=1,Settings!$C$6,Settings!$C$7))*100)</f>
        <v/>
      </c>
      <c r="AE723" s="7">
        <f>IF($E723="","",Z723*AD723/100)</f>
        <v/>
      </c>
      <c r="AF723" s="7">
        <f>IF($E723="","",Z723-AE723)</f>
        <v/>
      </c>
      <c r="AG723" s="7">
        <f>IF($E723="","",AF723-Q723)</f>
        <v/>
      </c>
      <c r="AK723" s="7" t="n"/>
      <c r="AN723" s="14" t="n"/>
      <c r="AQ723">
        <f>IF($E723="","",IF(COUNTIF($E$2:$E723,$E723)=1,1,0))</f>
        <v/>
      </c>
      <c r="AR723">
        <f>IF($AQ723=1,SUMPRODUCT(--($AU$2:$AU$1501&lt;$AU723))+1,"")</f>
        <v/>
      </c>
      <c r="AS723">
        <f>IF($E723="","",IF(OR($U723=TRUE(),$U723="TRUE"),1,0))</f>
        <v/>
      </c>
      <c r="AT723">
        <f>IF($E723="","",IF($AC723="Yes",1,0))</f>
        <v/>
      </c>
      <c r="AU723">
        <f>IF($AQ723=1,IFERROR(IF(VALUE($E723)&lt;100000000,VALUE($E723),1000000000),IFERROR(IF(VALUE(MID($E723,2,20))&lt;100000000,VALUE(MID($E723,2,20)),1000000000),1000000000))+ROW()/100000,"")</f>
        <v/>
      </c>
    </row>
    <row r="724">
      <c r="G724" s="14" t="n"/>
      <c r="Q724" s="7">
        <f>IF($E724="","",P724*Z724/100)</f>
        <v/>
      </c>
      <c r="R724" s="7" t="n"/>
      <c r="Y724" s="7" t="n"/>
      <c r="Z724" s="7" t="n"/>
      <c r="AA724" s="7" t="n"/>
      <c r="AD724">
        <f>IF($E724="","",IF($AT724=1,Settings!$C$8,IF($AS724=1,Settings!$C$6,Settings!$C$7))*100)</f>
        <v/>
      </c>
      <c r="AE724" s="7">
        <f>IF($E724="","",Z724*AD724/100)</f>
        <v/>
      </c>
      <c r="AF724" s="7">
        <f>IF($E724="","",Z724-AE724)</f>
        <v/>
      </c>
      <c r="AG724" s="7">
        <f>IF($E724="","",AF724-Q724)</f>
        <v/>
      </c>
      <c r="AK724" s="7" t="n"/>
      <c r="AN724" s="14" t="n"/>
      <c r="AQ724">
        <f>IF($E724="","",IF(COUNTIF($E$2:$E724,$E724)=1,1,0))</f>
        <v/>
      </c>
      <c r="AR724">
        <f>IF($AQ724=1,SUMPRODUCT(--($AU$2:$AU$1501&lt;$AU724))+1,"")</f>
        <v/>
      </c>
      <c r="AS724">
        <f>IF($E724="","",IF(OR($U724=TRUE(),$U724="TRUE"),1,0))</f>
        <v/>
      </c>
      <c r="AT724">
        <f>IF($E724="","",IF($AC724="Yes",1,0))</f>
        <v/>
      </c>
      <c r="AU724">
        <f>IF($AQ724=1,IFERROR(IF(VALUE($E724)&lt;100000000,VALUE($E724),1000000000),IFERROR(IF(VALUE(MID($E724,2,20))&lt;100000000,VALUE(MID($E724,2,20)),1000000000),1000000000))+ROW()/100000,"")</f>
        <v/>
      </c>
    </row>
    <row r="725">
      <c r="G725" s="14" t="n"/>
      <c r="Q725" s="7">
        <f>IF($E725="","",P725*Z725/100)</f>
        <v/>
      </c>
      <c r="R725" s="7" t="n"/>
      <c r="Y725" s="7" t="n"/>
      <c r="Z725" s="7" t="n"/>
      <c r="AA725" s="7" t="n"/>
      <c r="AD725">
        <f>IF($E725="","",IF($AT725=1,Settings!$C$8,IF($AS725=1,Settings!$C$6,Settings!$C$7))*100)</f>
        <v/>
      </c>
      <c r="AE725" s="7">
        <f>IF($E725="","",Z725*AD725/100)</f>
        <v/>
      </c>
      <c r="AF725" s="7">
        <f>IF($E725="","",Z725-AE725)</f>
        <v/>
      </c>
      <c r="AG725" s="7">
        <f>IF($E725="","",AF725-Q725)</f>
        <v/>
      </c>
      <c r="AK725" s="7" t="n"/>
      <c r="AN725" s="14" t="n"/>
      <c r="AQ725">
        <f>IF($E725="","",IF(COUNTIF($E$2:$E725,$E725)=1,1,0))</f>
        <v/>
      </c>
      <c r="AR725">
        <f>IF($AQ725=1,SUMPRODUCT(--($AU$2:$AU$1501&lt;$AU725))+1,"")</f>
        <v/>
      </c>
      <c r="AS725">
        <f>IF($E725="","",IF(OR($U725=TRUE(),$U725="TRUE"),1,0))</f>
        <v/>
      </c>
      <c r="AT725">
        <f>IF($E725="","",IF($AC725="Yes",1,0))</f>
        <v/>
      </c>
      <c r="AU725">
        <f>IF($AQ725=1,IFERROR(IF(VALUE($E725)&lt;100000000,VALUE($E725),1000000000),IFERROR(IF(VALUE(MID($E725,2,20))&lt;100000000,VALUE(MID($E725,2,20)),1000000000),1000000000))+ROW()/100000,"")</f>
        <v/>
      </c>
    </row>
    <row r="726">
      <c r="G726" s="14" t="n"/>
      <c r="Q726" s="7">
        <f>IF($E726="","",P726*Z726/100)</f>
        <v/>
      </c>
      <c r="R726" s="7" t="n"/>
      <c r="Y726" s="7" t="n"/>
      <c r="Z726" s="7" t="n"/>
      <c r="AA726" s="7" t="n"/>
      <c r="AD726">
        <f>IF($E726="","",IF($AT726=1,Settings!$C$8,IF($AS726=1,Settings!$C$6,Settings!$C$7))*100)</f>
        <v/>
      </c>
      <c r="AE726" s="7">
        <f>IF($E726="","",Z726*AD726/100)</f>
        <v/>
      </c>
      <c r="AF726" s="7">
        <f>IF($E726="","",Z726-AE726)</f>
        <v/>
      </c>
      <c r="AG726" s="7">
        <f>IF($E726="","",AF726-Q726)</f>
        <v/>
      </c>
      <c r="AK726" s="7" t="n"/>
      <c r="AN726" s="14" t="n"/>
      <c r="AQ726">
        <f>IF($E726="","",IF(COUNTIF($E$2:$E726,$E726)=1,1,0))</f>
        <v/>
      </c>
      <c r="AR726">
        <f>IF($AQ726=1,SUMPRODUCT(--($AU$2:$AU$1501&lt;$AU726))+1,"")</f>
        <v/>
      </c>
      <c r="AS726">
        <f>IF($E726="","",IF(OR($U726=TRUE(),$U726="TRUE"),1,0))</f>
        <v/>
      </c>
      <c r="AT726">
        <f>IF($E726="","",IF($AC726="Yes",1,0))</f>
        <v/>
      </c>
      <c r="AU726">
        <f>IF($AQ726=1,IFERROR(IF(VALUE($E726)&lt;100000000,VALUE($E726),1000000000),IFERROR(IF(VALUE(MID($E726,2,20))&lt;100000000,VALUE(MID($E726,2,20)),1000000000),1000000000))+ROW()/100000,"")</f>
        <v/>
      </c>
    </row>
    <row r="727">
      <c r="G727" s="14" t="n"/>
      <c r="Q727" s="7">
        <f>IF($E727="","",P727*Z727/100)</f>
        <v/>
      </c>
      <c r="R727" s="7" t="n"/>
      <c r="Y727" s="7" t="n"/>
      <c r="Z727" s="7" t="n"/>
      <c r="AA727" s="7" t="n"/>
      <c r="AD727">
        <f>IF($E727="","",IF($AT727=1,Settings!$C$8,IF($AS727=1,Settings!$C$6,Settings!$C$7))*100)</f>
        <v/>
      </c>
      <c r="AE727" s="7">
        <f>IF($E727="","",Z727*AD727/100)</f>
        <v/>
      </c>
      <c r="AF727" s="7">
        <f>IF($E727="","",Z727-AE727)</f>
        <v/>
      </c>
      <c r="AG727" s="7">
        <f>IF($E727="","",AF727-Q727)</f>
        <v/>
      </c>
      <c r="AK727" s="7" t="n"/>
      <c r="AN727" s="14" t="n"/>
      <c r="AQ727">
        <f>IF($E727="","",IF(COUNTIF($E$2:$E727,$E727)=1,1,0))</f>
        <v/>
      </c>
      <c r="AR727">
        <f>IF($AQ727=1,SUMPRODUCT(--($AU$2:$AU$1501&lt;$AU727))+1,"")</f>
        <v/>
      </c>
      <c r="AS727">
        <f>IF($E727="","",IF(OR($U727=TRUE(),$U727="TRUE"),1,0))</f>
        <v/>
      </c>
      <c r="AT727">
        <f>IF($E727="","",IF($AC727="Yes",1,0))</f>
        <v/>
      </c>
      <c r="AU727">
        <f>IF($AQ727=1,IFERROR(IF(VALUE($E727)&lt;100000000,VALUE($E727),1000000000),IFERROR(IF(VALUE(MID($E727,2,20))&lt;100000000,VALUE(MID($E727,2,20)),1000000000),1000000000))+ROW()/100000,"")</f>
        <v/>
      </c>
    </row>
    <row r="728">
      <c r="G728" s="14" t="n"/>
      <c r="Q728" s="7">
        <f>IF($E728="","",P728*Z728/100)</f>
        <v/>
      </c>
      <c r="R728" s="7" t="n"/>
      <c r="Y728" s="7" t="n"/>
      <c r="Z728" s="7" t="n"/>
      <c r="AA728" s="7" t="n"/>
      <c r="AD728">
        <f>IF($E728="","",IF($AT728=1,Settings!$C$8,IF($AS728=1,Settings!$C$6,Settings!$C$7))*100)</f>
        <v/>
      </c>
      <c r="AE728" s="7">
        <f>IF($E728="","",Z728*AD728/100)</f>
        <v/>
      </c>
      <c r="AF728" s="7">
        <f>IF($E728="","",Z728-AE728)</f>
        <v/>
      </c>
      <c r="AG728" s="7">
        <f>IF($E728="","",AF728-Q728)</f>
        <v/>
      </c>
      <c r="AK728" s="7" t="n"/>
      <c r="AN728" s="14" t="n"/>
      <c r="AQ728">
        <f>IF($E728="","",IF(COUNTIF($E$2:$E728,$E728)=1,1,0))</f>
        <v/>
      </c>
      <c r="AR728">
        <f>IF($AQ728=1,SUMPRODUCT(--($AU$2:$AU$1501&lt;$AU728))+1,"")</f>
        <v/>
      </c>
      <c r="AS728">
        <f>IF($E728="","",IF(OR($U728=TRUE(),$U728="TRUE"),1,0))</f>
        <v/>
      </c>
      <c r="AT728">
        <f>IF($E728="","",IF($AC728="Yes",1,0))</f>
        <v/>
      </c>
      <c r="AU728">
        <f>IF($AQ728=1,IFERROR(IF(VALUE($E728)&lt;100000000,VALUE($E728),1000000000),IFERROR(IF(VALUE(MID($E728,2,20))&lt;100000000,VALUE(MID($E728,2,20)),1000000000),1000000000))+ROW()/100000,"")</f>
        <v/>
      </c>
    </row>
    <row r="729">
      <c r="G729" s="14" t="n"/>
      <c r="Q729" s="7">
        <f>IF($E729="","",P729*Z729/100)</f>
        <v/>
      </c>
      <c r="R729" s="7" t="n"/>
      <c r="Y729" s="7" t="n"/>
      <c r="Z729" s="7" t="n"/>
      <c r="AA729" s="7" t="n"/>
      <c r="AD729">
        <f>IF($E729="","",IF($AT729=1,Settings!$C$8,IF($AS729=1,Settings!$C$6,Settings!$C$7))*100)</f>
        <v/>
      </c>
      <c r="AE729" s="7">
        <f>IF($E729="","",Z729*AD729/100)</f>
        <v/>
      </c>
      <c r="AF729" s="7">
        <f>IF($E729="","",Z729-AE729)</f>
        <v/>
      </c>
      <c r="AG729" s="7">
        <f>IF($E729="","",AF729-Q729)</f>
        <v/>
      </c>
      <c r="AK729" s="7" t="n"/>
      <c r="AN729" s="14" t="n"/>
      <c r="AQ729">
        <f>IF($E729="","",IF(COUNTIF($E$2:$E729,$E729)=1,1,0))</f>
        <v/>
      </c>
      <c r="AR729">
        <f>IF($AQ729=1,SUMPRODUCT(--($AU$2:$AU$1501&lt;$AU729))+1,"")</f>
        <v/>
      </c>
      <c r="AS729">
        <f>IF($E729="","",IF(OR($U729=TRUE(),$U729="TRUE"),1,0))</f>
        <v/>
      </c>
      <c r="AT729">
        <f>IF($E729="","",IF($AC729="Yes",1,0))</f>
        <v/>
      </c>
      <c r="AU729">
        <f>IF($AQ729=1,IFERROR(IF(VALUE($E729)&lt;100000000,VALUE($E729),1000000000),IFERROR(IF(VALUE(MID($E729,2,20))&lt;100000000,VALUE(MID($E729,2,20)),1000000000),1000000000))+ROW()/100000,"")</f>
        <v/>
      </c>
    </row>
    <row r="730">
      <c r="G730" s="14" t="n"/>
      <c r="Q730" s="7">
        <f>IF($E730="","",P730*Z730/100)</f>
        <v/>
      </c>
      <c r="R730" s="7" t="n"/>
      <c r="Y730" s="7" t="n"/>
      <c r="Z730" s="7" t="n"/>
      <c r="AA730" s="7" t="n"/>
      <c r="AD730">
        <f>IF($E730="","",IF($AT730=1,Settings!$C$8,IF($AS730=1,Settings!$C$6,Settings!$C$7))*100)</f>
        <v/>
      </c>
      <c r="AE730" s="7">
        <f>IF($E730="","",Z730*AD730/100)</f>
        <v/>
      </c>
      <c r="AF730" s="7">
        <f>IF($E730="","",Z730-AE730)</f>
        <v/>
      </c>
      <c r="AG730" s="7">
        <f>IF($E730="","",AF730-Q730)</f>
        <v/>
      </c>
      <c r="AK730" s="7" t="n"/>
      <c r="AN730" s="14" t="n"/>
      <c r="AQ730">
        <f>IF($E730="","",IF(COUNTIF($E$2:$E730,$E730)=1,1,0))</f>
        <v/>
      </c>
      <c r="AR730">
        <f>IF($AQ730=1,SUMPRODUCT(--($AU$2:$AU$1501&lt;$AU730))+1,"")</f>
        <v/>
      </c>
      <c r="AS730">
        <f>IF($E730="","",IF(OR($U730=TRUE(),$U730="TRUE"),1,0))</f>
        <v/>
      </c>
      <c r="AT730">
        <f>IF($E730="","",IF($AC730="Yes",1,0))</f>
        <v/>
      </c>
      <c r="AU730">
        <f>IF($AQ730=1,IFERROR(IF(VALUE($E730)&lt;100000000,VALUE($E730),1000000000),IFERROR(IF(VALUE(MID($E730,2,20))&lt;100000000,VALUE(MID($E730,2,20)),1000000000),1000000000))+ROW()/100000,"")</f>
        <v/>
      </c>
    </row>
    <row r="731">
      <c r="G731" s="14" t="n"/>
      <c r="Q731" s="7">
        <f>IF($E731="","",P731*Z731/100)</f>
        <v/>
      </c>
      <c r="R731" s="7" t="n"/>
      <c r="Y731" s="7" t="n"/>
      <c r="Z731" s="7" t="n"/>
      <c r="AA731" s="7" t="n"/>
      <c r="AD731">
        <f>IF($E731="","",IF($AT731=1,Settings!$C$8,IF($AS731=1,Settings!$C$6,Settings!$C$7))*100)</f>
        <v/>
      </c>
      <c r="AE731" s="7">
        <f>IF($E731="","",Z731*AD731/100)</f>
        <v/>
      </c>
      <c r="AF731" s="7">
        <f>IF($E731="","",Z731-AE731)</f>
        <v/>
      </c>
      <c r="AG731" s="7">
        <f>IF($E731="","",AF731-Q731)</f>
        <v/>
      </c>
      <c r="AK731" s="7" t="n"/>
      <c r="AN731" s="14" t="n"/>
      <c r="AQ731">
        <f>IF($E731="","",IF(COUNTIF($E$2:$E731,$E731)=1,1,0))</f>
        <v/>
      </c>
      <c r="AR731">
        <f>IF($AQ731=1,SUMPRODUCT(--($AU$2:$AU$1501&lt;$AU731))+1,"")</f>
        <v/>
      </c>
      <c r="AS731">
        <f>IF($E731="","",IF(OR($U731=TRUE(),$U731="TRUE"),1,0))</f>
        <v/>
      </c>
      <c r="AT731">
        <f>IF($E731="","",IF($AC731="Yes",1,0))</f>
        <v/>
      </c>
      <c r="AU731">
        <f>IF($AQ731=1,IFERROR(IF(VALUE($E731)&lt;100000000,VALUE($E731),1000000000),IFERROR(IF(VALUE(MID($E731,2,20))&lt;100000000,VALUE(MID($E731,2,20)),1000000000),1000000000))+ROW()/100000,"")</f>
        <v/>
      </c>
    </row>
    <row r="732">
      <c r="G732" s="14" t="n"/>
      <c r="Q732" s="7">
        <f>IF($E732="","",P732*Z732/100)</f>
        <v/>
      </c>
      <c r="R732" s="7" t="n"/>
      <c r="Y732" s="7" t="n"/>
      <c r="Z732" s="7" t="n"/>
      <c r="AA732" s="7" t="n"/>
      <c r="AD732">
        <f>IF($E732="","",IF($AT732=1,Settings!$C$8,IF($AS732=1,Settings!$C$6,Settings!$C$7))*100)</f>
        <v/>
      </c>
      <c r="AE732" s="7">
        <f>IF($E732="","",Z732*AD732/100)</f>
        <v/>
      </c>
      <c r="AF732" s="7">
        <f>IF($E732="","",Z732-AE732)</f>
        <v/>
      </c>
      <c r="AG732" s="7">
        <f>IF($E732="","",AF732-Q732)</f>
        <v/>
      </c>
      <c r="AK732" s="7" t="n"/>
      <c r="AN732" s="14" t="n"/>
      <c r="AQ732">
        <f>IF($E732="","",IF(COUNTIF($E$2:$E732,$E732)=1,1,0))</f>
        <v/>
      </c>
      <c r="AR732">
        <f>IF($AQ732=1,SUMPRODUCT(--($AU$2:$AU$1501&lt;$AU732))+1,"")</f>
        <v/>
      </c>
      <c r="AS732">
        <f>IF($E732="","",IF(OR($U732=TRUE(),$U732="TRUE"),1,0))</f>
        <v/>
      </c>
      <c r="AT732">
        <f>IF($E732="","",IF($AC732="Yes",1,0))</f>
        <v/>
      </c>
      <c r="AU732">
        <f>IF($AQ732=1,IFERROR(IF(VALUE($E732)&lt;100000000,VALUE($E732),1000000000),IFERROR(IF(VALUE(MID($E732,2,20))&lt;100000000,VALUE(MID($E732,2,20)),1000000000),1000000000))+ROW()/100000,"")</f>
        <v/>
      </c>
    </row>
    <row r="733">
      <c r="G733" s="14" t="n"/>
      <c r="Q733" s="7">
        <f>IF($E733="","",P733*Z733/100)</f>
        <v/>
      </c>
      <c r="R733" s="7" t="n"/>
      <c r="Y733" s="7" t="n"/>
      <c r="Z733" s="7" t="n"/>
      <c r="AA733" s="7" t="n"/>
      <c r="AD733">
        <f>IF($E733="","",IF($AT733=1,Settings!$C$8,IF($AS733=1,Settings!$C$6,Settings!$C$7))*100)</f>
        <v/>
      </c>
      <c r="AE733" s="7">
        <f>IF($E733="","",Z733*AD733/100)</f>
        <v/>
      </c>
      <c r="AF733" s="7">
        <f>IF($E733="","",Z733-AE733)</f>
        <v/>
      </c>
      <c r="AG733" s="7">
        <f>IF($E733="","",AF733-Q733)</f>
        <v/>
      </c>
      <c r="AK733" s="7" t="n"/>
      <c r="AN733" s="14" t="n"/>
      <c r="AQ733">
        <f>IF($E733="","",IF(COUNTIF($E$2:$E733,$E733)=1,1,0))</f>
        <v/>
      </c>
      <c r="AR733">
        <f>IF($AQ733=1,SUMPRODUCT(--($AU$2:$AU$1501&lt;$AU733))+1,"")</f>
        <v/>
      </c>
      <c r="AS733">
        <f>IF($E733="","",IF(OR($U733=TRUE(),$U733="TRUE"),1,0))</f>
        <v/>
      </c>
      <c r="AT733">
        <f>IF($E733="","",IF($AC733="Yes",1,0))</f>
        <v/>
      </c>
      <c r="AU733">
        <f>IF($AQ733=1,IFERROR(IF(VALUE($E733)&lt;100000000,VALUE($E733),1000000000),IFERROR(IF(VALUE(MID($E733,2,20))&lt;100000000,VALUE(MID($E733,2,20)),1000000000),1000000000))+ROW()/100000,"")</f>
        <v/>
      </c>
    </row>
    <row r="734">
      <c r="G734" s="14" t="n"/>
      <c r="Q734" s="7">
        <f>IF($E734="","",P734*Z734/100)</f>
        <v/>
      </c>
      <c r="R734" s="7" t="n"/>
      <c r="Y734" s="7" t="n"/>
      <c r="Z734" s="7" t="n"/>
      <c r="AA734" s="7" t="n"/>
      <c r="AD734">
        <f>IF($E734="","",IF($AT734=1,Settings!$C$8,IF($AS734=1,Settings!$C$6,Settings!$C$7))*100)</f>
        <v/>
      </c>
      <c r="AE734" s="7">
        <f>IF($E734="","",Z734*AD734/100)</f>
        <v/>
      </c>
      <c r="AF734" s="7">
        <f>IF($E734="","",Z734-AE734)</f>
        <v/>
      </c>
      <c r="AG734" s="7">
        <f>IF($E734="","",AF734-Q734)</f>
        <v/>
      </c>
      <c r="AK734" s="7" t="n"/>
      <c r="AN734" s="14" t="n"/>
      <c r="AQ734">
        <f>IF($E734="","",IF(COUNTIF($E$2:$E734,$E734)=1,1,0))</f>
        <v/>
      </c>
      <c r="AR734">
        <f>IF($AQ734=1,SUMPRODUCT(--($AU$2:$AU$1501&lt;$AU734))+1,"")</f>
        <v/>
      </c>
      <c r="AS734">
        <f>IF($E734="","",IF(OR($U734=TRUE(),$U734="TRUE"),1,0))</f>
        <v/>
      </c>
      <c r="AT734">
        <f>IF($E734="","",IF($AC734="Yes",1,0))</f>
        <v/>
      </c>
      <c r="AU734">
        <f>IF($AQ734=1,IFERROR(IF(VALUE($E734)&lt;100000000,VALUE($E734),1000000000),IFERROR(IF(VALUE(MID($E734,2,20))&lt;100000000,VALUE(MID($E734,2,20)),1000000000),1000000000))+ROW()/100000,"")</f>
        <v/>
      </c>
    </row>
    <row r="735">
      <c r="G735" s="14" t="n"/>
      <c r="Q735" s="7">
        <f>IF($E735="","",P735*Z735/100)</f>
        <v/>
      </c>
      <c r="R735" s="7" t="n"/>
      <c r="Y735" s="7" t="n"/>
      <c r="Z735" s="7" t="n"/>
      <c r="AA735" s="7" t="n"/>
      <c r="AD735">
        <f>IF($E735="","",IF($AT735=1,Settings!$C$8,IF($AS735=1,Settings!$C$6,Settings!$C$7))*100)</f>
        <v/>
      </c>
      <c r="AE735" s="7">
        <f>IF($E735="","",Z735*AD735/100)</f>
        <v/>
      </c>
      <c r="AF735" s="7">
        <f>IF($E735="","",Z735-AE735)</f>
        <v/>
      </c>
      <c r="AG735" s="7">
        <f>IF($E735="","",AF735-Q735)</f>
        <v/>
      </c>
      <c r="AK735" s="7" t="n"/>
      <c r="AN735" s="14" t="n"/>
      <c r="AQ735">
        <f>IF($E735="","",IF(COUNTIF($E$2:$E735,$E735)=1,1,0))</f>
        <v/>
      </c>
      <c r="AR735">
        <f>IF($AQ735=1,SUMPRODUCT(--($AU$2:$AU$1501&lt;$AU735))+1,"")</f>
        <v/>
      </c>
      <c r="AS735">
        <f>IF($E735="","",IF(OR($U735=TRUE(),$U735="TRUE"),1,0))</f>
        <v/>
      </c>
      <c r="AT735">
        <f>IF($E735="","",IF($AC735="Yes",1,0))</f>
        <v/>
      </c>
      <c r="AU735">
        <f>IF($AQ735=1,IFERROR(IF(VALUE($E735)&lt;100000000,VALUE($E735),1000000000),IFERROR(IF(VALUE(MID($E735,2,20))&lt;100000000,VALUE(MID($E735,2,20)),1000000000),1000000000))+ROW()/100000,"")</f>
        <v/>
      </c>
    </row>
    <row r="736">
      <c r="G736" s="14" t="n"/>
      <c r="Q736" s="7">
        <f>IF($E736="","",P736*Z736/100)</f>
        <v/>
      </c>
      <c r="R736" s="7" t="n"/>
      <c r="Y736" s="7" t="n"/>
      <c r="Z736" s="7" t="n"/>
      <c r="AA736" s="7" t="n"/>
      <c r="AD736">
        <f>IF($E736="","",IF($AT736=1,Settings!$C$8,IF($AS736=1,Settings!$C$6,Settings!$C$7))*100)</f>
        <v/>
      </c>
      <c r="AE736" s="7">
        <f>IF($E736="","",Z736*AD736/100)</f>
        <v/>
      </c>
      <c r="AF736" s="7">
        <f>IF($E736="","",Z736-AE736)</f>
        <v/>
      </c>
      <c r="AG736" s="7">
        <f>IF($E736="","",AF736-Q736)</f>
        <v/>
      </c>
      <c r="AK736" s="7" t="n"/>
      <c r="AN736" s="14" t="n"/>
      <c r="AQ736">
        <f>IF($E736="","",IF(COUNTIF($E$2:$E736,$E736)=1,1,0))</f>
        <v/>
      </c>
      <c r="AR736">
        <f>IF($AQ736=1,SUMPRODUCT(--($AU$2:$AU$1501&lt;$AU736))+1,"")</f>
        <v/>
      </c>
      <c r="AS736">
        <f>IF($E736="","",IF(OR($U736=TRUE(),$U736="TRUE"),1,0))</f>
        <v/>
      </c>
      <c r="AT736">
        <f>IF($E736="","",IF($AC736="Yes",1,0))</f>
        <v/>
      </c>
      <c r="AU736">
        <f>IF($AQ736=1,IFERROR(IF(VALUE($E736)&lt;100000000,VALUE($E736),1000000000),IFERROR(IF(VALUE(MID($E736,2,20))&lt;100000000,VALUE(MID($E736,2,20)),1000000000),1000000000))+ROW()/100000,"")</f>
        <v/>
      </c>
    </row>
    <row r="737">
      <c r="G737" s="14" t="n"/>
      <c r="Q737" s="7">
        <f>IF($E737="","",P737*Z737/100)</f>
        <v/>
      </c>
      <c r="R737" s="7" t="n"/>
      <c r="Y737" s="7" t="n"/>
      <c r="Z737" s="7" t="n"/>
      <c r="AA737" s="7" t="n"/>
      <c r="AD737">
        <f>IF($E737="","",IF($AT737=1,Settings!$C$8,IF($AS737=1,Settings!$C$6,Settings!$C$7))*100)</f>
        <v/>
      </c>
      <c r="AE737" s="7">
        <f>IF($E737="","",Z737*AD737/100)</f>
        <v/>
      </c>
      <c r="AF737" s="7">
        <f>IF($E737="","",Z737-AE737)</f>
        <v/>
      </c>
      <c r="AG737" s="7">
        <f>IF($E737="","",AF737-Q737)</f>
        <v/>
      </c>
      <c r="AK737" s="7" t="n"/>
      <c r="AN737" s="14" t="n"/>
      <c r="AQ737">
        <f>IF($E737="","",IF(COUNTIF($E$2:$E737,$E737)=1,1,0))</f>
        <v/>
      </c>
      <c r="AR737">
        <f>IF($AQ737=1,SUMPRODUCT(--($AU$2:$AU$1501&lt;$AU737))+1,"")</f>
        <v/>
      </c>
      <c r="AS737">
        <f>IF($E737="","",IF(OR($U737=TRUE(),$U737="TRUE"),1,0))</f>
        <v/>
      </c>
      <c r="AT737">
        <f>IF($E737="","",IF($AC737="Yes",1,0))</f>
        <v/>
      </c>
      <c r="AU737">
        <f>IF($AQ737=1,IFERROR(IF(VALUE($E737)&lt;100000000,VALUE($E737),1000000000),IFERROR(IF(VALUE(MID($E737,2,20))&lt;100000000,VALUE(MID($E737,2,20)),1000000000),1000000000))+ROW()/100000,"")</f>
        <v/>
      </c>
    </row>
    <row r="738">
      <c r="G738" s="14" t="n"/>
      <c r="Q738" s="7">
        <f>IF($E738="","",P738*Z738/100)</f>
        <v/>
      </c>
      <c r="R738" s="7" t="n"/>
      <c r="Y738" s="7" t="n"/>
      <c r="Z738" s="7" t="n"/>
      <c r="AA738" s="7" t="n"/>
      <c r="AD738">
        <f>IF($E738="","",IF($AT738=1,Settings!$C$8,IF($AS738=1,Settings!$C$6,Settings!$C$7))*100)</f>
        <v/>
      </c>
      <c r="AE738" s="7">
        <f>IF($E738="","",Z738*AD738/100)</f>
        <v/>
      </c>
      <c r="AF738" s="7">
        <f>IF($E738="","",Z738-AE738)</f>
        <v/>
      </c>
      <c r="AG738" s="7">
        <f>IF($E738="","",AF738-Q738)</f>
        <v/>
      </c>
      <c r="AK738" s="7" t="n"/>
      <c r="AN738" s="14" t="n"/>
      <c r="AQ738">
        <f>IF($E738="","",IF(COUNTIF($E$2:$E738,$E738)=1,1,0))</f>
        <v/>
      </c>
      <c r="AR738">
        <f>IF($AQ738=1,SUMPRODUCT(--($AU$2:$AU$1501&lt;$AU738))+1,"")</f>
        <v/>
      </c>
      <c r="AS738">
        <f>IF($E738="","",IF(OR($U738=TRUE(),$U738="TRUE"),1,0))</f>
        <v/>
      </c>
      <c r="AT738">
        <f>IF($E738="","",IF($AC738="Yes",1,0))</f>
        <v/>
      </c>
      <c r="AU738">
        <f>IF($AQ738=1,IFERROR(IF(VALUE($E738)&lt;100000000,VALUE($E738),1000000000),IFERROR(IF(VALUE(MID($E738,2,20))&lt;100000000,VALUE(MID($E738,2,20)),1000000000),1000000000))+ROW()/100000,"")</f>
        <v/>
      </c>
    </row>
    <row r="739">
      <c r="G739" s="14" t="n"/>
      <c r="Q739" s="7">
        <f>IF($E739="","",P739*Z739/100)</f>
        <v/>
      </c>
      <c r="R739" s="7" t="n"/>
      <c r="Y739" s="7" t="n"/>
      <c r="Z739" s="7" t="n"/>
      <c r="AA739" s="7" t="n"/>
      <c r="AD739">
        <f>IF($E739="","",IF($AT739=1,Settings!$C$8,IF($AS739=1,Settings!$C$6,Settings!$C$7))*100)</f>
        <v/>
      </c>
      <c r="AE739" s="7">
        <f>IF($E739="","",Z739*AD739/100)</f>
        <v/>
      </c>
      <c r="AF739" s="7">
        <f>IF($E739="","",Z739-AE739)</f>
        <v/>
      </c>
      <c r="AG739" s="7">
        <f>IF($E739="","",AF739-Q739)</f>
        <v/>
      </c>
      <c r="AK739" s="7" t="n"/>
      <c r="AN739" s="14" t="n"/>
      <c r="AQ739">
        <f>IF($E739="","",IF(COUNTIF($E$2:$E739,$E739)=1,1,0))</f>
        <v/>
      </c>
      <c r="AR739">
        <f>IF($AQ739=1,SUMPRODUCT(--($AU$2:$AU$1501&lt;$AU739))+1,"")</f>
        <v/>
      </c>
      <c r="AS739">
        <f>IF($E739="","",IF(OR($U739=TRUE(),$U739="TRUE"),1,0))</f>
        <v/>
      </c>
      <c r="AT739">
        <f>IF($E739="","",IF($AC739="Yes",1,0))</f>
        <v/>
      </c>
      <c r="AU739">
        <f>IF($AQ739=1,IFERROR(IF(VALUE($E739)&lt;100000000,VALUE($E739),1000000000),IFERROR(IF(VALUE(MID($E739,2,20))&lt;100000000,VALUE(MID($E739,2,20)),1000000000),1000000000))+ROW()/100000,"")</f>
        <v/>
      </c>
    </row>
    <row r="740">
      <c r="G740" s="14" t="n"/>
      <c r="Q740" s="7">
        <f>IF($E740="","",P740*Z740/100)</f>
        <v/>
      </c>
      <c r="R740" s="7" t="n"/>
      <c r="Y740" s="7" t="n"/>
      <c r="Z740" s="7" t="n"/>
      <c r="AA740" s="7" t="n"/>
      <c r="AD740">
        <f>IF($E740="","",IF($AT740=1,Settings!$C$8,IF($AS740=1,Settings!$C$6,Settings!$C$7))*100)</f>
        <v/>
      </c>
      <c r="AE740" s="7">
        <f>IF($E740="","",Z740*AD740/100)</f>
        <v/>
      </c>
      <c r="AF740" s="7">
        <f>IF($E740="","",Z740-AE740)</f>
        <v/>
      </c>
      <c r="AG740" s="7">
        <f>IF($E740="","",AF740-Q740)</f>
        <v/>
      </c>
      <c r="AK740" s="7" t="n"/>
      <c r="AN740" s="14" t="n"/>
      <c r="AQ740">
        <f>IF($E740="","",IF(COUNTIF($E$2:$E740,$E740)=1,1,0))</f>
        <v/>
      </c>
      <c r="AR740">
        <f>IF($AQ740=1,SUMPRODUCT(--($AU$2:$AU$1501&lt;$AU740))+1,"")</f>
        <v/>
      </c>
      <c r="AS740">
        <f>IF($E740="","",IF(OR($U740=TRUE(),$U740="TRUE"),1,0))</f>
        <v/>
      </c>
      <c r="AT740">
        <f>IF($E740="","",IF($AC740="Yes",1,0))</f>
        <v/>
      </c>
      <c r="AU740">
        <f>IF($AQ740=1,IFERROR(IF(VALUE($E740)&lt;100000000,VALUE($E740),1000000000),IFERROR(IF(VALUE(MID($E740,2,20))&lt;100000000,VALUE(MID($E740,2,20)),1000000000),1000000000))+ROW()/100000,"")</f>
        <v/>
      </c>
    </row>
    <row r="741">
      <c r="G741" s="14" t="n"/>
      <c r="Q741" s="7">
        <f>IF($E741="","",P741*Z741/100)</f>
        <v/>
      </c>
      <c r="R741" s="7" t="n"/>
      <c r="Y741" s="7" t="n"/>
      <c r="Z741" s="7" t="n"/>
      <c r="AA741" s="7" t="n"/>
      <c r="AD741">
        <f>IF($E741="","",IF($AT741=1,Settings!$C$8,IF($AS741=1,Settings!$C$6,Settings!$C$7))*100)</f>
        <v/>
      </c>
      <c r="AE741" s="7">
        <f>IF($E741="","",Z741*AD741/100)</f>
        <v/>
      </c>
      <c r="AF741" s="7">
        <f>IF($E741="","",Z741-AE741)</f>
        <v/>
      </c>
      <c r="AG741" s="7">
        <f>IF($E741="","",AF741-Q741)</f>
        <v/>
      </c>
      <c r="AK741" s="7" t="n"/>
      <c r="AN741" s="14" t="n"/>
      <c r="AQ741">
        <f>IF($E741="","",IF(COUNTIF($E$2:$E741,$E741)=1,1,0))</f>
        <v/>
      </c>
      <c r="AR741">
        <f>IF($AQ741=1,SUMPRODUCT(--($AU$2:$AU$1501&lt;$AU741))+1,"")</f>
        <v/>
      </c>
      <c r="AS741">
        <f>IF($E741="","",IF(OR($U741=TRUE(),$U741="TRUE"),1,0))</f>
        <v/>
      </c>
      <c r="AT741">
        <f>IF($E741="","",IF($AC741="Yes",1,0))</f>
        <v/>
      </c>
      <c r="AU741">
        <f>IF($AQ741=1,IFERROR(IF(VALUE($E741)&lt;100000000,VALUE($E741),1000000000),IFERROR(IF(VALUE(MID($E741,2,20))&lt;100000000,VALUE(MID($E741,2,20)),1000000000),1000000000))+ROW()/100000,"")</f>
        <v/>
      </c>
    </row>
    <row r="742">
      <c r="G742" s="14" t="n"/>
      <c r="Q742" s="7">
        <f>IF($E742="","",P742*Z742/100)</f>
        <v/>
      </c>
      <c r="R742" s="7" t="n"/>
      <c r="Y742" s="7" t="n"/>
      <c r="Z742" s="7" t="n"/>
      <c r="AA742" s="7" t="n"/>
      <c r="AD742">
        <f>IF($E742="","",IF($AT742=1,Settings!$C$8,IF($AS742=1,Settings!$C$6,Settings!$C$7))*100)</f>
        <v/>
      </c>
      <c r="AE742" s="7">
        <f>IF($E742="","",Z742*AD742/100)</f>
        <v/>
      </c>
      <c r="AF742" s="7">
        <f>IF($E742="","",Z742-AE742)</f>
        <v/>
      </c>
      <c r="AG742" s="7">
        <f>IF($E742="","",AF742-Q742)</f>
        <v/>
      </c>
      <c r="AK742" s="7" t="n"/>
      <c r="AN742" s="14" t="n"/>
      <c r="AQ742">
        <f>IF($E742="","",IF(COUNTIF($E$2:$E742,$E742)=1,1,0))</f>
        <v/>
      </c>
      <c r="AR742">
        <f>IF($AQ742=1,SUMPRODUCT(--($AU$2:$AU$1501&lt;$AU742))+1,"")</f>
        <v/>
      </c>
      <c r="AS742">
        <f>IF($E742="","",IF(OR($U742=TRUE(),$U742="TRUE"),1,0))</f>
        <v/>
      </c>
      <c r="AT742">
        <f>IF($E742="","",IF($AC742="Yes",1,0))</f>
        <v/>
      </c>
      <c r="AU742">
        <f>IF($AQ742=1,IFERROR(IF(VALUE($E742)&lt;100000000,VALUE($E742),1000000000),IFERROR(IF(VALUE(MID($E742,2,20))&lt;100000000,VALUE(MID($E742,2,20)),1000000000),1000000000))+ROW()/100000,"")</f>
        <v/>
      </c>
    </row>
    <row r="743">
      <c r="G743" s="14" t="n"/>
      <c r="Q743" s="7">
        <f>IF($E743="","",P743*Z743/100)</f>
        <v/>
      </c>
      <c r="R743" s="7" t="n"/>
      <c r="Y743" s="7" t="n"/>
      <c r="Z743" s="7" t="n"/>
      <c r="AA743" s="7" t="n"/>
      <c r="AD743">
        <f>IF($E743="","",IF($AT743=1,Settings!$C$8,IF($AS743=1,Settings!$C$6,Settings!$C$7))*100)</f>
        <v/>
      </c>
      <c r="AE743" s="7">
        <f>IF($E743="","",Z743*AD743/100)</f>
        <v/>
      </c>
      <c r="AF743" s="7">
        <f>IF($E743="","",Z743-AE743)</f>
        <v/>
      </c>
      <c r="AG743" s="7">
        <f>IF($E743="","",AF743-Q743)</f>
        <v/>
      </c>
      <c r="AK743" s="7" t="n"/>
      <c r="AN743" s="14" t="n"/>
      <c r="AQ743">
        <f>IF($E743="","",IF(COUNTIF($E$2:$E743,$E743)=1,1,0))</f>
        <v/>
      </c>
      <c r="AR743">
        <f>IF($AQ743=1,SUMPRODUCT(--($AU$2:$AU$1501&lt;$AU743))+1,"")</f>
        <v/>
      </c>
      <c r="AS743">
        <f>IF($E743="","",IF(OR($U743=TRUE(),$U743="TRUE"),1,0))</f>
        <v/>
      </c>
      <c r="AT743">
        <f>IF($E743="","",IF($AC743="Yes",1,0))</f>
        <v/>
      </c>
      <c r="AU743">
        <f>IF($AQ743=1,IFERROR(IF(VALUE($E743)&lt;100000000,VALUE($E743),1000000000),IFERROR(IF(VALUE(MID($E743,2,20))&lt;100000000,VALUE(MID($E743,2,20)),1000000000),1000000000))+ROW()/100000,"")</f>
        <v/>
      </c>
    </row>
    <row r="744">
      <c r="G744" s="14" t="n"/>
      <c r="Q744" s="7">
        <f>IF($E744="","",P744*Z744/100)</f>
        <v/>
      </c>
      <c r="R744" s="7" t="n"/>
      <c r="Y744" s="7" t="n"/>
      <c r="Z744" s="7" t="n"/>
      <c r="AA744" s="7" t="n"/>
      <c r="AD744">
        <f>IF($E744="","",IF($AT744=1,Settings!$C$8,IF($AS744=1,Settings!$C$6,Settings!$C$7))*100)</f>
        <v/>
      </c>
      <c r="AE744" s="7">
        <f>IF($E744="","",Z744*AD744/100)</f>
        <v/>
      </c>
      <c r="AF744" s="7">
        <f>IF($E744="","",Z744-AE744)</f>
        <v/>
      </c>
      <c r="AG744" s="7">
        <f>IF($E744="","",AF744-Q744)</f>
        <v/>
      </c>
      <c r="AK744" s="7" t="n"/>
      <c r="AN744" s="14" t="n"/>
      <c r="AQ744">
        <f>IF($E744="","",IF(COUNTIF($E$2:$E744,$E744)=1,1,0))</f>
        <v/>
      </c>
      <c r="AR744">
        <f>IF($AQ744=1,SUMPRODUCT(--($AU$2:$AU$1501&lt;$AU744))+1,"")</f>
        <v/>
      </c>
      <c r="AS744">
        <f>IF($E744="","",IF(OR($U744=TRUE(),$U744="TRUE"),1,0))</f>
        <v/>
      </c>
      <c r="AT744">
        <f>IF($E744="","",IF($AC744="Yes",1,0))</f>
        <v/>
      </c>
      <c r="AU744">
        <f>IF($AQ744=1,IFERROR(IF(VALUE($E744)&lt;100000000,VALUE($E744),1000000000),IFERROR(IF(VALUE(MID($E744,2,20))&lt;100000000,VALUE(MID($E744,2,20)),1000000000),1000000000))+ROW()/100000,"")</f>
        <v/>
      </c>
    </row>
    <row r="745">
      <c r="G745" s="14" t="n"/>
      <c r="Q745" s="7">
        <f>IF($E745="","",P745*Z745/100)</f>
        <v/>
      </c>
      <c r="R745" s="7" t="n"/>
      <c r="Y745" s="7" t="n"/>
      <c r="Z745" s="7" t="n"/>
      <c r="AA745" s="7" t="n"/>
      <c r="AD745">
        <f>IF($E745="","",IF($AT745=1,Settings!$C$8,IF($AS745=1,Settings!$C$6,Settings!$C$7))*100)</f>
        <v/>
      </c>
      <c r="AE745" s="7">
        <f>IF($E745="","",Z745*AD745/100)</f>
        <v/>
      </c>
      <c r="AF745" s="7">
        <f>IF($E745="","",Z745-AE745)</f>
        <v/>
      </c>
      <c r="AG745" s="7">
        <f>IF($E745="","",AF745-Q745)</f>
        <v/>
      </c>
      <c r="AK745" s="7" t="n"/>
      <c r="AN745" s="14" t="n"/>
      <c r="AQ745">
        <f>IF($E745="","",IF(COUNTIF($E$2:$E745,$E745)=1,1,0))</f>
        <v/>
      </c>
      <c r="AR745">
        <f>IF($AQ745=1,SUMPRODUCT(--($AU$2:$AU$1501&lt;$AU745))+1,"")</f>
        <v/>
      </c>
      <c r="AS745">
        <f>IF($E745="","",IF(OR($U745=TRUE(),$U745="TRUE"),1,0))</f>
        <v/>
      </c>
      <c r="AT745">
        <f>IF($E745="","",IF($AC745="Yes",1,0))</f>
        <v/>
      </c>
      <c r="AU745">
        <f>IF($AQ745=1,IFERROR(IF(VALUE($E745)&lt;100000000,VALUE($E745),1000000000),IFERROR(IF(VALUE(MID($E745,2,20))&lt;100000000,VALUE(MID($E745,2,20)),1000000000),1000000000))+ROW()/100000,"")</f>
        <v/>
      </c>
    </row>
    <row r="746">
      <c r="G746" s="14" t="n"/>
      <c r="Q746" s="7">
        <f>IF($E746="","",P746*Z746/100)</f>
        <v/>
      </c>
      <c r="R746" s="7" t="n"/>
      <c r="Y746" s="7" t="n"/>
      <c r="Z746" s="7" t="n"/>
      <c r="AA746" s="7" t="n"/>
      <c r="AD746">
        <f>IF($E746="","",IF($AT746=1,Settings!$C$8,IF($AS746=1,Settings!$C$6,Settings!$C$7))*100)</f>
        <v/>
      </c>
      <c r="AE746" s="7">
        <f>IF($E746="","",Z746*AD746/100)</f>
        <v/>
      </c>
      <c r="AF746" s="7">
        <f>IF($E746="","",Z746-AE746)</f>
        <v/>
      </c>
      <c r="AG746" s="7">
        <f>IF($E746="","",AF746-Q746)</f>
        <v/>
      </c>
      <c r="AK746" s="7" t="n"/>
      <c r="AN746" s="14" t="n"/>
      <c r="AQ746">
        <f>IF($E746="","",IF(COUNTIF($E$2:$E746,$E746)=1,1,0))</f>
        <v/>
      </c>
      <c r="AR746">
        <f>IF($AQ746=1,SUMPRODUCT(--($AU$2:$AU$1501&lt;$AU746))+1,"")</f>
        <v/>
      </c>
      <c r="AS746">
        <f>IF($E746="","",IF(OR($U746=TRUE(),$U746="TRUE"),1,0))</f>
        <v/>
      </c>
      <c r="AT746">
        <f>IF($E746="","",IF($AC746="Yes",1,0))</f>
        <v/>
      </c>
      <c r="AU746">
        <f>IF($AQ746=1,IFERROR(IF(VALUE($E746)&lt;100000000,VALUE($E746),1000000000),IFERROR(IF(VALUE(MID($E746,2,20))&lt;100000000,VALUE(MID($E746,2,20)),1000000000),1000000000))+ROW()/100000,"")</f>
        <v/>
      </c>
    </row>
    <row r="747">
      <c r="G747" s="14" t="n"/>
      <c r="Q747" s="7">
        <f>IF($E747="","",P747*Z747/100)</f>
        <v/>
      </c>
      <c r="R747" s="7" t="n"/>
      <c r="Y747" s="7" t="n"/>
      <c r="Z747" s="7" t="n"/>
      <c r="AA747" s="7" t="n"/>
      <c r="AD747">
        <f>IF($E747="","",IF($AT747=1,Settings!$C$8,IF($AS747=1,Settings!$C$6,Settings!$C$7))*100)</f>
        <v/>
      </c>
      <c r="AE747" s="7">
        <f>IF($E747="","",Z747*AD747/100)</f>
        <v/>
      </c>
      <c r="AF747" s="7">
        <f>IF($E747="","",Z747-AE747)</f>
        <v/>
      </c>
      <c r="AG747" s="7">
        <f>IF($E747="","",AF747-Q747)</f>
        <v/>
      </c>
      <c r="AK747" s="7" t="n"/>
      <c r="AN747" s="14" t="n"/>
      <c r="AQ747">
        <f>IF($E747="","",IF(COUNTIF($E$2:$E747,$E747)=1,1,0))</f>
        <v/>
      </c>
      <c r="AR747">
        <f>IF($AQ747=1,SUMPRODUCT(--($AU$2:$AU$1501&lt;$AU747))+1,"")</f>
        <v/>
      </c>
      <c r="AS747">
        <f>IF($E747="","",IF(OR($U747=TRUE(),$U747="TRUE"),1,0))</f>
        <v/>
      </c>
      <c r="AT747">
        <f>IF($E747="","",IF($AC747="Yes",1,0))</f>
        <v/>
      </c>
      <c r="AU747">
        <f>IF($AQ747=1,IFERROR(IF(VALUE($E747)&lt;100000000,VALUE($E747),1000000000),IFERROR(IF(VALUE(MID($E747,2,20))&lt;100000000,VALUE(MID($E747,2,20)),1000000000),1000000000))+ROW()/100000,"")</f>
        <v/>
      </c>
    </row>
    <row r="748">
      <c r="G748" s="14" t="n"/>
      <c r="Q748" s="7">
        <f>IF($E748="","",P748*Z748/100)</f>
        <v/>
      </c>
      <c r="R748" s="7" t="n"/>
      <c r="Y748" s="7" t="n"/>
      <c r="Z748" s="7" t="n"/>
      <c r="AA748" s="7" t="n"/>
      <c r="AD748">
        <f>IF($E748="","",IF($AT748=1,Settings!$C$8,IF($AS748=1,Settings!$C$6,Settings!$C$7))*100)</f>
        <v/>
      </c>
      <c r="AE748" s="7">
        <f>IF($E748="","",Z748*AD748/100)</f>
        <v/>
      </c>
      <c r="AF748" s="7">
        <f>IF($E748="","",Z748-AE748)</f>
        <v/>
      </c>
      <c r="AG748" s="7">
        <f>IF($E748="","",AF748-Q748)</f>
        <v/>
      </c>
      <c r="AK748" s="7" t="n"/>
      <c r="AN748" s="14" t="n"/>
      <c r="AQ748">
        <f>IF($E748="","",IF(COUNTIF($E$2:$E748,$E748)=1,1,0))</f>
        <v/>
      </c>
      <c r="AR748">
        <f>IF($AQ748=1,SUMPRODUCT(--($AU$2:$AU$1501&lt;$AU748))+1,"")</f>
        <v/>
      </c>
      <c r="AS748">
        <f>IF($E748="","",IF(OR($U748=TRUE(),$U748="TRUE"),1,0))</f>
        <v/>
      </c>
      <c r="AT748">
        <f>IF($E748="","",IF($AC748="Yes",1,0))</f>
        <v/>
      </c>
      <c r="AU748">
        <f>IF($AQ748=1,IFERROR(IF(VALUE($E748)&lt;100000000,VALUE($E748),1000000000),IFERROR(IF(VALUE(MID($E748,2,20))&lt;100000000,VALUE(MID($E748,2,20)),1000000000),1000000000))+ROW()/100000,"")</f>
        <v/>
      </c>
    </row>
    <row r="749">
      <c r="G749" s="14" t="n"/>
      <c r="Q749" s="7">
        <f>IF($E749="","",P749*Z749/100)</f>
        <v/>
      </c>
      <c r="R749" s="7" t="n"/>
      <c r="Y749" s="7" t="n"/>
      <c r="Z749" s="7" t="n"/>
      <c r="AA749" s="7" t="n"/>
      <c r="AD749">
        <f>IF($E749="","",IF($AT749=1,Settings!$C$8,IF($AS749=1,Settings!$C$6,Settings!$C$7))*100)</f>
        <v/>
      </c>
      <c r="AE749" s="7">
        <f>IF($E749="","",Z749*AD749/100)</f>
        <v/>
      </c>
      <c r="AF749" s="7">
        <f>IF($E749="","",Z749-AE749)</f>
        <v/>
      </c>
      <c r="AG749" s="7">
        <f>IF($E749="","",AF749-Q749)</f>
        <v/>
      </c>
      <c r="AK749" s="7" t="n"/>
      <c r="AN749" s="14" t="n"/>
      <c r="AQ749">
        <f>IF($E749="","",IF(COUNTIF($E$2:$E749,$E749)=1,1,0))</f>
        <v/>
      </c>
      <c r="AR749">
        <f>IF($AQ749=1,SUMPRODUCT(--($AU$2:$AU$1501&lt;$AU749))+1,"")</f>
        <v/>
      </c>
      <c r="AS749">
        <f>IF($E749="","",IF(OR($U749=TRUE(),$U749="TRUE"),1,0))</f>
        <v/>
      </c>
      <c r="AT749">
        <f>IF($E749="","",IF($AC749="Yes",1,0))</f>
        <v/>
      </c>
      <c r="AU749">
        <f>IF($AQ749=1,IFERROR(IF(VALUE($E749)&lt;100000000,VALUE($E749),1000000000),IFERROR(IF(VALUE(MID($E749,2,20))&lt;100000000,VALUE(MID($E749,2,20)),1000000000),1000000000))+ROW()/100000,"")</f>
        <v/>
      </c>
    </row>
    <row r="750">
      <c r="G750" s="14" t="n"/>
      <c r="Q750" s="7">
        <f>IF($E750="","",P750*Z750/100)</f>
        <v/>
      </c>
      <c r="R750" s="7" t="n"/>
      <c r="Y750" s="7" t="n"/>
      <c r="Z750" s="7" t="n"/>
      <c r="AA750" s="7" t="n"/>
      <c r="AD750">
        <f>IF($E750="","",IF($AT750=1,Settings!$C$8,IF($AS750=1,Settings!$C$6,Settings!$C$7))*100)</f>
        <v/>
      </c>
      <c r="AE750" s="7">
        <f>IF($E750="","",Z750*AD750/100)</f>
        <v/>
      </c>
      <c r="AF750" s="7">
        <f>IF($E750="","",Z750-AE750)</f>
        <v/>
      </c>
      <c r="AG750" s="7">
        <f>IF($E750="","",AF750-Q750)</f>
        <v/>
      </c>
      <c r="AK750" s="7" t="n"/>
      <c r="AN750" s="14" t="n"/>
      <c r="AQ750">
        <f>IF($E750="","",IF(COUNTIF($E$2:$E750,$E750)=1,1,0))</f>
        <v/>
      </c>
      <c r="AR750">
        <f>IF($AQ750=1,SUMPRODUCT(--($AU$2:$AU$1501&lt;$AU750))+1,"")</f>
        <v/>
      </c>
      <c r="AS750">
        <f>IF($E750="","",IF(OR($U750=TRUE(),$U750="TRUE"),1,0))</f>
        <v/>
      </c>
      <c r="AT750">
        <f>IF($E750="","",IF($AC750="Yes",1,0))</f>
        <v/>
      </c>
      <c r="AU750">
        <f>IF($AQ750=1,IFERROR(IF(VALUE($E750)&lt;100000000,VALUE($E750),1000000000),IFERROR(IF(VALUE(MID($E750,2,20))&lt;100000000,VALUE(MID($E750,2,20)),1000000000),1000000000))+ROW()/100000,"")</f>
        <v/>
      </c>
    </row>
    <row r="751">
      <c r="G751" s="14" t="n"/>
      <c r="Q751" s="7">
        <f>IF($E751="","",P751*Z751/100)</f>
        <v/>
      </c>
      <c r="R751" s="7" t="n"/>
      <c r="Y751" s="7" t="n"/>
      <c r="Z751" s="7" t="n"/>
      <c r="AA751" s="7" t="n"/>
      <c r="AD751">
        <f>IF($E751="","",IF($AT751=1,Settings!$C$8,IF($AS751=1,Settings!$C$6,Settings!$C$7))*100)</f>
        <v/>
      </c>
      <c r="AE751" s="7">
        <f>IF($E751="","",Z751*AD751/100)</f>
        <v/>
      </c>
      <c r="AF751" s="7">
        <f>IF($E751="","",Z751-AE751)</f>
        <v/>
      </c>
      <c r="AG751" s="7">
        <f>IF($E751="","",AF751-Q751)</f>
        <v/>
      </c>
      <c r="AK751" s="7" t="n"/>
      <c r="AN751" s="14" t="n"/>
      <c r="AQ751">
        <f>IF($E751="","",IF(COUNTIF($E$2:$E751,$E751)=1,1,0))</f>
        <v/>
      </c>
      <c r="AR751">
        <f>IF($AQ751=1,SUMPRODUCT(--($AU$2:$AU$1501&lt;$AU751))+1,"")</f>
        <v/>
      </c>
      <c r="AS751">
        <f>IF($E751="","",IF(OR($U751=TRUE(),$U751="TRUE"),1,0))</f>
        <v/>
      </c>
      <c r="AT751">
        <f>IF($E751="","",IF($AC751="Yes",1,0))</f>
        <v/>
      </c>
      <c r="AU751">
        <f>IF($AQ751=1,IFERROR(IF(VALUE($E751)&lt;100000000,VALUE($E751),1000000000),IFERROR(IF(VALUE(MID($E751,2,20))&lt;100000000,VALUE(MID($E751,2,20)),1000000000),1000000000))+ROW()/100000,"")</f>
        <v/>
      </c>
    </row>
    <row r="752">
      <c r="G752" s="14" t="n"/>
      <c r="Q752" s="7">
        <f>IF($E752="","",P752*Z752/100)</f>
        <v/>
      </c>
      <c r="R752" s="7" t="n"/>
      <c r="Y752" s="7" t="n"/>
      <c r="Z752" s="7" t="n"/>
      <c r="AA752" s="7" t="n"/>
      <c r="AD752">
        <f>IF($E752="","",IF($AT752=1,Settings!$C$8,IF($AS752=1,Settings!$C$6,Settings!$C$7))*100)</f>
        <v/>
      </c>
      <c r="AE752" s="7">
        <f>IF($E752="","",Z752*AD752/100)</f>
        <v/>
      </c>
      <c r="AF752" s="7">
        <f>IF($E752="","",Z752-AE752)</f>
        <v/>
      </c>
      <c r="AG752" s="7">
        <f>IF($E752="","",AF752-Q752)</f>
        <v/>
      </c>
      <c r="AK752" s="7" t="n"/>
      <c r="AN752" s="14" t="n"/>
      <c r="AQ752">
        <f>IF($E752="","",IF(COUNTIF($E$2:$E752,$E752)=1,1,0))</f>
        <v/>
      </c>
      <c r="AR752">
        <f>IF($AQ752=1,SUMPRODUCT(--($AU$2:$AU$1501&lt;$AU752))+1,"")</f>
        <v/>
      </c>
      <c r="AS752">
        <f>IF($E752="","",IF(OR($U752=TRUE(),$U752="TRUE"),1,0))</f>
        <v/>
      </c>
      <c r="AT752">
        <f>IF($E752="","",IF($AC752="Yes",1,0))</f>
        <v/>
      </c>
      <c r="AU752">
        <f>IF($AQ752=1,IFERROR(IF(VALUE($E752)&lt;100000000,VALUE($E752),1000000000),IFERROR(IF(VALUE(MID($E752,2,20))&lt;100000000,VALUE(MID($E752,2,20)),1000000000),1000000000))+ROW()/100000,"")</f>
        <v/>
      </c>
    </row>
    <row r="753">
      <c r="G753" s="14" t="n"/>
      <c r="Q753" s="7">
        <f>IF($E753="","",P753*Z753/100)</f>
        <v/>
      </c>
      <c r="R753" s="7" t="n"/>
      <c r="Y753" s="7" t="n"/>
      <c r="Z753" s="7" t="n"/>
      <c r="AA753" s="7" t="n"/>
      <c r="AD753">
        <f>IF($E753="","",IF($AT753=1,Settings!$C$8,IF($AS753=1,Settings!$C$6,Settings!$C$7))*100)</f>
        <v/>
      </c>
      <c r="AE753" s="7">
        <f>IF($E753="","",Z753*AD753/100)</f>
        <v/>
      </c>
      <c r="AF753" s="7">
        <f>IF($E753="","",Z753-AE753)</f>
        <v/>
      </c>
      <c r="AG753" s="7">
        <f>IF($E753="","",AF753-Q753)</f>
        <v/>
      </c>
      <c r="AK753" s="7" t="n"/>
      <c r="AN753" s="14" t="n"/>
      <c r="AQ753">
        <f>IF($E753="","",IF(COUNTIF($E$2:$E753,$E753)=1,1,0))</f>
        <v/>
      </c>
      <c r="AR753">
        <f>IF($AQ753=1,SUMPRODUCT(--($AU$2:$AU$1501&lt;$AU753))+1,"")</f>
        <v/>
      </c>
      <c r="AS753">
        <f>IF($E753="","",IF(OR($U753=TRUE(),$U753="TRUE"),1,0))</f>
        <v/>
      </c>
      <c r="AT753">
        <f>IF($E753="","",IF($AC753="Yes",1,0))</f>
        <v/>
      </c>
      <c r="AU753">
        <f>IF($AQ753=1,IFERROR(IF(VALUE($E753)&lt;100000000,VALUE($E753),1000000000),IFERROR(IF(VALUE(MID($E753,2,20))&lt;100000000,VALUE(MID($E753,2,20)),1000000000),1000000000))+ROW()/100000,"")</f>
        <v/>
      </c>
    </row>
    <row r="754">
      <c r="G754" s="14" t="n"/>
      <c r="Q754" s="7">
        <f>IF($E754="","",P754*Z754/100)</f>
        <v/>
      </c>
      <c r="R754" s="7" t="n"/>
      <c r="Y754" s="7" t="n"/>
      <c r="Z754" s="7" t="n"/>
      <c r="AA754" s="7" t="n"/>
      <c r="AD754">
        <f>IF($E754="","",IF($AT754=1,Settings!$C$8,IF($AS754=1,Settings!$C$6,Settings!$C$7))*100)</f>
        <v/>
      </c>
      <c r="AE754" s="7">
        <f>IF($E754="","",Z754*AD754/100)</f>
        <v/>
      </c>
      <c r="AF754" s="7">
        <f>IF($E754="","",Z754-AE754)</f>
        <v/>
      </c>
      <c r="AG754" s="7">
        <f>IF($E754="","",AF754-Q754)</f>
        <v/>
      </c>
      <c r="AK754" s="7" t="n"/>
      <c r="AN754" s="14" t="n"/>
      <c r="AQ754">
        <f>IF($E754="","",IF(COUNTIF($E$2:$E754,$E754)=1,1,0))</f>
        <v/>
      </c>
      <c r="AR754">
        <f>IF($AQ754=1,SUMPRODUCT(--($AU$2:$AU$1501&lt;$AU754))+1,"")</f>
        <v/>
      </c>
      <c r="AS754">
        <f>IF($E754="","",IF(OR($U754=TRUE(),$U754="TRUE"),1,0))</f>
        <v/>
      </c>
      <c r="AT754">
        <f>IF($E754="","",IF($AC754="Yes",1,0))</f>
        <v/>
      </c>
      <c r="AU754">
        <f>IF($AQ754=1,IFERROR(IF(VALUE($E754)&lt;100000000,VALUE($E754),1000000000),IFERROR(IF(VALUE(MID($E754,2,20))&lt;100000000,VALUE(MID($E754,2,20)),1000000000),1000000000))+ROW()/100000,"")</f>
        <v/>
      </c>
    </row>
    <row r="755">
      <c r="G755" s="14" t="n"/>
      <c r="Q755" s="7">
        <f>IF($E755="","",P755*Z755/100)</f>
        <v/>
      </c>
      <c r="R755" s="7" t="n"/>
      <c r="Y755" s="7" t="n"/>
      <c r="Z755" s="7" t="n"/>
      <c r="AA755" s="7" t="n"/>
      <c r="AD755">
        <f>IF($E755="","",IF($AT755=1,Settings!$C$8,IF($AS755=1,Settings!$C$6,Settings!$C$7))*100)</f>
        <v/>
      </c>
      <c r="AE755" s="7">
        <f>IF($E755="","",Z755*AD755/100)</f>
        <v/>
      </c>
      <c r="AF755" s="7">
        <f>IF($E755="","",Z755-AE755)</f>
        <v/>
      </c>
      <c r="AG755" s="7">
        <f>IF($E755="","",AF755-Q755)</f>
        <v/>
      </c>
      <c r="AK755" s="7" t="n"/>
      <c r="AN755" s="14" t="n"/>
      <c r="AQ755">
        <f>IF($E755="","",IF(COUNTIF($E$2:$E755,$E755)=1,1,0))</f>
        <v/>
      </c>
      <c r="AR755">
        <f>IF($AQ755=1,SUMPRODUCT(--($AU$2:$AU$1501&lt;$AU755))+1,"")</f>
        <v/>
      </c>
      <c r="AS755">
        <f>IF($E755="","",IF(OR($U755=TRUE(),$U755="TRUE"),1,0))</f>
        <v/>
      </c>
      <c r="AT755">
        <f>IF($E755="","",IF($AC755="Yes",1,0))</f>
        <v/>
      </c>
      <c r="AU755">
        <f>IF($AQ755=1,IFERROR(IF(VALUE($E755)&lt;100000000,VALUE($E755),1000000000),IFERROR(IF(VALUE(MID($E755,2,20))&lt;100000000,VALUE(MID($E755,2,20)),1000000000),1000000000))+ROW()/100000,"")</f>
        <v/>
      </c>
    </row>
    <row r="756">
      <c r="G756" s="14" t="n"/>
      <c r="Q756" s="7">
        <f>IF($E756="","",P756*Z756/100)</f>
        <v/>
      </c>
      <c r="R756" s="7" t="n"/>
      <c r="Y756" s="7" t="n"/>
      <c r="Z756" s="7" t="n"/>
      <c r="AA756" s="7" t="n"/>
      <c r="AD756">
        <f>IF($E756="","",IF($AT756=1,Settings!$C$8,IF($AS756=1,Settings!$C$6,Settings!$C$7))*100)</f>
        <v/>
      </c>
      <c r="AE756" s="7">
        <f>IF($E756="","",Z756*AD756/100)</f>
        <v/>
      </c>
      <c r="AF756" s="7">
        <f>IF($E756="","",Z756-AE756)</f>
        <v/>
      </c>
      <c r="AG756" s="7">
        <f>IF($E756="","",AF756-Q756)</f>
        <v/>
      </c>
      <c r="AK756" s="7" t="n"/>
      <c r="AN756" s="14" t="n"/>
      <c r="AQ756">
        <f>IF($E756="","",IF(COUNTIF($E$2:$E756,$E756)=1,1,0))</f>
        <v/>
      </c>
      <c r="AR756">
        <f>IF($AQ756=1,SUMPRODUCT(--($AU$2:$AU$1501&lt;$AU756))+1,"")</f>
        <v/>
      </c>
      <c r="AS756">
        <f>IF($E756="","",IF(OR($U756=TRUE(),$U756="TRUE"),1,0))</f>
        <v/>
      </c>
      <c r="AT756">
        <f>IF($E756="","",IF($AC756="Yes",1,0))</f>
        <v/>
      </c>
      <c r="AU756">
        <f>IF($AQ756=1,IFERROR(IF(VALUE($E756)&lt;100000000,VALUE($E756),1000000000),IFERROR(IF(VALUE(MID($E756,2,20))&lt;100000000,VALUE(MID($E756,2,20)),1000000000),1000000000))+ROW()/100000,"")</f>
        <v/>
      </c>
    </row>
    <row r="757">
      <c r="G757" s="14" t="n"/>
      <c r="Q757" s="7">
        <f>IF($E757="","",P757*Z757/100)</f>
        <v/>
      </c>
      <c r="R757" s="7" t="n"/>
      <c r="Y757" s="7" t="n"/>
      <c r="Z757" s="7" t="n"/>
      <c r="AA757" s="7" t="n"/>
      <c r="AD757">
        <f>IF($E757="","",IF($AT757=1,Settings!$C$8,IF($AS757=1,Settings!$C$6,Settings!$C$7))*100)</f>
        <v/>
      </c>
      <c r="AE757" s="7">
        <f>IF($E757="","",Z757*AD757/100)</f>
        <v/>
      </c>
      <c r="AF757" s="7">
        <f>IF($E757="","",Z757-AE757)</f>
        <v/>
      </c>
      <c r="AG757" s="7">
        <f>IF($E757="","",AF757-Q757)</f>
        <v/>
      </c>
      <c r="AK757" s="7" t="n"/>
      <c r="AN757" s="14" t="n"/>
      <c r="AQ757">
        <f>IF($E757="","",IF(COUNTIF($E$2:$E757,$E757)=1,1,0))</f>
        <v/>
      </c>
      <c r="AR757">
        <f>IF($AQ757=1,SUMPRODUCT(--($AU$2:$AU$1501&lt;$AU757))+1,"")</f>
        <v/>
      </c>
      <c r="AS757">
        <f>IF($E757="","",IF(OR($U757=TRUE(),$U757="TRUE"),1,0))</f>
        <v/>
      </c>
      <c r="AT757">
        <f>IF($E757="","",IF($AC757="Yes",1,0))</f>
        <v/>
      </c>
      <c r="AU757">
        <f>IF($AQ757=1,IFERROR(IF(VALUE($E757)&lt;100000000,VALUE($E757),1000000000),IFERROR(IF(VALUE(MID($E757,2,20))&lt;100000000,VALUE(MID($E757,2,20)),1000000000),1000000000))+ROW()/100000,"")</f>
        <v/>
      </c>
    </row>
    <row r="758">
      <c r="G758" s="14" t="n"/>
      <c r="Q758" s="7">
        <f>IF($E758="","",P758*Z758/100)</f>
        <v/>
      </c>
      <c r="R758" s="7" t="n"/>
      <c r="Y758" s="7" t="n"/>
      <c r="Z758" s="7" t="n"/>
      <c r="AA758" s="7" t="n"/>
      <c r="AD758">
        <f>IF($E758="","",IF($AT758=1,Settings!$C$8,IF($AS758=1,Settings!$C$6,Settings!$C$7))*100)</f>
        <v/>
      </c>
      <c r="AE758" s="7">
        <f>IF($E758="","",Z758*AD758/100)</f>
        <v/>
      </c>
      <c r="AF758" s="7">
        <f>IF($E758="","",Z758-AE758)</f>
        <v/>
      </c>
      <c r="AG758" s="7">
        <f>IF($E758="","",AF758-Q758)</f>
        <v/>
      </c>
      <c r="AK758" s="7" t="n"/>
      <c r="AN758" s="14" t="n"/>
      <c r="AQ758">
        <f>IF($E758="","",IF(COUNTIF($E$2:$E758,$E758)=1,1,0))</f>
        <v/>
      </c>
      <c r="AR758">
        <f>IF($AQ758=1,SUMPRODUCT(--($AU$2:$AU$1501&lt;$AU758))+1,"")</f>
        <v/>
      </c>
      <c r="AS758">
        <f>IF($E758="","",IF(OR($U758=TRUE(),$U758="TRUE"),1,0))</f>
        <v/>
      </c>
      <c r="AT758">
        <f>IF($E758="","",IF($AC758="Yes",1,0))</f>
        <v/>
      </c>
      <c r="AU758">
        <f>IF($AQ758=1,IFERROR(IF(VALUE($E758)&lt;100000000,VALUE($E758),1000000000),IFERROR(IF(VALUE(MID($E758,2,20))&lt;100000000,VALUE(MID($E758,2,20)),1000000000),1000000000))+ROW()/100000,"")</f>
        <v/>
      </c>
    </row>
    <row r="759">
      <c r="G759" s="14" t="n"/>
      <c r="Q759" s="7">
        <f>IF($E759="","",P759*Z759/100)</f>
        <v/>
      </c>
      <c r="R759" s="7" t="n"/>
      <c r="Y759" s="7" t="n"/>
      <c r="Z759" s="7" t="n"/>
      <c r="AA759" s="7" t="n"/>
      <c r="AD759">
        <f>IF($E759="","",IF($AT759=1,Settings!$C$8,IF($AS759=1,Settings!$C$6,Settings!$C$7))*100)</f>
        <v/>
      </c>
      <c r="AE759" s="7">
        <f>IF($E759="","",Z759*AD759/100)</f>
        <v/>
      </c>
      <c r="AF759" s="7">
        <f>IF($E759="","",Z759-AE759)</f>
        <v/>
      </c>
      <c r="AG759" s="7">
        <f>IF($E759="","",AF759-Q759)</f>
        <v/>
      </c>
      <c r="AK759" s="7" t="n"/>
      <c r="AN759" s="14" t="n"/>
      <c r="AQ759">
        <f>IF($E759="","",IF(COUNTIF($E$2:$E759,$E759)=1,1,0))</f>
        <v/>
      </c>
      <c r="AR759">
        <f>IF($AQ759=1,SUMPRODUCT(--($AU$2:$AU$1501&lt;$AU759))+1,"")</f>
        <v/>
      </c>
      <c r="AS759">
        <f>IF($E759="","",IF(OR($U759=TRUE(),$U759="TRUE"),1,0))</f>
        <v/>
      </c>
      <c r="AT759">
        <f>IF($E759="","",IF($AC759="Yes",1,0))</f>
        <v/>
      </c>
      <c r="AU759">
        <f>IF($AQ759=1,IFERROR(IF(VALUE($E759)&lt;100000000,VALUE($E759),1000000000),IFERROR(IF(VALUE(MID($E759,2,20))&lt;100000000,VALUE(MID($E759,2,20)),1000000000),1000000000))+ROW()/100000,"")</f>
        <v/>
      </c>
    </row>
    <row r="760">
      <c r="G760" s="14" t="n"/>
      <c r="Q760" s="7">
        <f>IF($E760="","",P760*Z760/100)</f>
        <v/>
      </c>
      <c r="R760" s="7" t="n"/>
      <c r="Y760" s="7" t="n"/>
      <c r="Z760" s="7" t="n"/>
      <c r="AA760" s="7" t="n"/>
      <c r="AD760">
        <f>IF($E760="","",IF($AT760=1,Settings!$C$8,IF($AS760=1,Settings!$C$6,Settings!$C$7))*100)</f>
        <v/>
      </c>
      <c r="AE760" s="7">
        <f>IF($E760="","",Z760*AD760/100)</f>
        <v/>
      </c>
      <c r="AF760" s="7">
        <f>IF($E760="","",Z760-AE760)</f>
        <v/>
      </c>
      <c r="AG760" s="7">
        <f>IF($E760="","",AF760-Q760)</f>
        <v/>
      </c>
      <c r="AK760" s="7" t="n"/>
      <c r="AN760" s="14" t="n"/>
      <c r="AQ760">
        <f>IF($E760="","",IF(COUNTIF($E$2:$E760,$E760)=1,1,0))</f>
        <v/>
      </c>
      <c r="AR760">
        <f>IF($AQ760=1,SUMPRODUCT(--($AU$2:$AU$1501&lt;$AU760))+1,"")</f>
        <v/>
      </c>
      <c r="AS760">
        <f>IF($E760="","",IF(OR($U760=TRUE(),$U760="TRUE"),1,0))</f>
        <v/>
      </c>
      <c r="AT760">
        <f>IF($E760="","",IF($AC760="Yes",1,0))</f>
        <v/>
      </c>
      <c r="AU760">
        <f>IF($AQ760=1,IFERROR(IF(VALUE($E760)&lt;100000000,VALUE($E760),1000000000),IFERROR(IF(VALUE(MID($E760,2,20))&lt;100000000,VALUE(MID($E760,2,20)),1000000000),1000000000))+ROW()/100000,"")</f>
        <v/>
      </c>
    </row>
    <row r="761">
      <c r="G761" s="14" t="n"/>
      <c r="Q761" s="7">
        <f>IF($E761="","",P761*Z761/100)</f>
        <v/>
      </c>
      <c r="R761" s="7" t="n"/>
      <c r="Y761" s="7" t="n"/>
      <c r="Z761" s="7" t="n"/>
      <c r="AA761" s="7" t="n"/>
      <c r="AD761">
        <f>IF($E761="","",IF($AT761=1,Settings!$C$8,IF($AS761=1,Settings!$C$6,Settings!$C$7))*100)</f>
        <v/>
      </c>
      <c r="AE761" s="7">
        <f>IF($E761="","",Z761*AD761/100)</f>
        <v/>
      </c>
      <c r="AF761" s="7">
        <f>IF($E761="","",Z761-AE761)</f>
        <v/>
      </c>
      <c r="AG761" s="7">
        <f>IF($E761="","",AF761-Q761)</f>
        <v/>
      </c>
      <c r="AK761" s="7" t="n"/>
      <c r="AN761" s="14" t="n"/>
      <c r="AQ761">
        <f>IF($E761="","",IF(COUNTIF($E$2:$E761,$E761)=1,1,0))</f>
        <v/>
      </c>
      <c r="AR761">
        <f>IF($AQ761=1,SUMPRODUCT(--($AU$2:$AU$1501&lt;$AU761))+1,"")</f>
        <v/>
      </c>
      <c r="AS761">
        <f>IF($E761="","",IF(OR($U761=TRUE(),$U761="TRUE"),1,0))</f>
        <v/>
      </c>
      <c r="AT761">
        <f>IF($E761="","",IF($AC761="Yes",1,0))</f>
        <v/>
      </c>
      <c r="AU761">
        <f>IF($AQ761=1,IFERROR(IF(VALUE($E761)&lt;100000000,VALUE($E761),1000000000),IFERROR(IF(VALUE(MID($E761,2,20))&lt;100000000,VALUE(MID($E761,2,20)),1000000000),1000000000))+ROW()/100000,"")</f>
        <v/>
      </c>
    </row>
    <row r="762">
      <c r="G762" s="14" t="n"/>
      <c r="Q762" s="7">
        <f>IF($E762="","",P762*Z762/100)</f>
        <v/>
      </c>
      <c r="R762" s="7" t="n"/>
      <c r="Y762" s="7" t="n"/>
      <c r="Z762" s="7" t="n"/>
      <c r="AA762" s="7" t="n"/>
      <c r="AD762">
        <f>IF($E762="","",IF($AT762=1,Settings!$C$8,IF($AS762=1,Settings!$C$6,Settings!$C$7))*100)</f>
        <v/>
      </c>
      <c r="AE762" s="7">
        <f>IF($E762="","",Z762*AD762/100)</f>
        <v/>
      </c>
      <c r="AF762" s="7">
        <f>IF($E762="","",Z762-AE762)</f>
        <v/>
      </c>
      <c r="AG762" s="7">
        <f>IF($E762="","",AF762-Q762)</f>
        <v/>
      </c>
      <c r="AK762" s="7" t="n"/>
      <c r="AN762" s="14" t="n"/>
      <c r="AQ762">
        <f>IF($E762="","",IF(COUNTIF($E$2:$E762,$E762)=1,1,0))</f>
        <v/>
      </c>
      <c r="AR762">
        <f>IF($AQ762=1,SUMPRODUCT(--($AU$2:$AU$1501&lt;$AU762))+1,"")</f>
        <v/>
      </c>
      <c r="AS762">
        <f>IF($E762="","",IF(OR($U762=TRUE(),$U762="TRUE"),1,0))</f>
        <v/>
      </c>
      <c r="AT762">
        <f>IF($E762="","",IF($AC762="Yes",1,0))</f>
        <v/>
      </c>
      <c r="AU762">
        <f>IF($AQ762=1,IFERROR(IF(VALUE($E762)&lt;100000000,VALUE($E762),1000000000),IFERROR(IF(VALUE(MID($E762,2,20))&lt;100000000,VALUE(MID($E762,2,20)),1000000000),1000000000))+ROW()/100000,"")</f>
        <v/>
      </c>
    </row>
    <row r="763">
      <c r="G763" s="14" t="n"/>
      <c r="Q763" s="7">
        <f>IF($E763="","",P763*Z763/100)</f>
        <v/>
      </c>
      <c r="R763" s="7" t="n"/>
      <c r="Y763" s="7" t="n"/>
      <c r="Z763" s="7" t="n"/>
      <c r="AA763" s="7" t="n"/>
      <c r="AD763">
        <f>IF($E763="","",IF($AT763=1,Settings!$C$8,IF($AS763=1,Settings!$C$6,Settings!$C$7))*100)</f>
        <v/>
      </c>
      <c r="AE763" s="7">
        <f>IF($E763="","",Z763*AD763/100)</f>
        <v/>
      </c>
      <c r="AF763" s="7">
        <f>IF($E763="","",Z763-AE763)</f>
        <v/>
      </c>
      <c r="AG763" s="7">
        <f>IF($E763="","",AF763-Q763)</f>
        <v/>
      </c>
      <c r="AK763" s="7" t="n"/>
      <c r="AN763" s="14" t="n"/>
      <c r="AQ763">
        <f>IF($E763="","",IF(COUNTIF($E$2:$E763,$E763)=1,1,0))</f>
        <v/>
      </c>
      <c r="AR763">
        <f>IF($AQ763=1,SUMPRODUCT(--($AU$2:$AU$1501&lt;$AU763))+1,"")</f>
        <v/>
      </c>
      <c r="AS763">
        <f>IF($E763="","",IF(OR($U763=TRUE(),$U763="TRUE"),1,0))</f>
        <v/>
      </c>
      <c r="AT763">
        <f>IF($E763="","",IF($AC763="Yes",1,0))</f>
        <v/>
      </c>
      <c r="AU763">
        <f>IF($AQ763=1,IFERROR(IF(VALUE($E763)&lt;100000000,VALUE($E763),1000000000),IFERROR(IF(VALUE(MID($E763,2,20))&lt;100000000,VALUE(MID($E763,2,20)),1000000000),1000000000))+ROW()/100000,"")</f>
        <v/>
      </c>
    </row>
    <row r="764">
      <c r="G764" s="14" t="n"/>
      <c r="Q764" s="7">
        <f>IF($E764="","",P764*Z764/100)</f>
        <v/>
      </c>
      <c r="R764" s="7" t="n"/>
      <c r="Y764" s="7" t="n"/>
      <c r="Z764" s="7" t="n"/>
      <c r="AA764" s="7" t="n"/>
      <c r="AD764">
        <f>IF($E764="","",IF($AT764=1,Settings!$C$8,IF($AS764=1,Settings!$C$6,Settings!$C$7))*100)</f>
        <v/>
      </c>
      <c r="AE764" s="7">
        <f>IF($E764="","",Z764*AD764/100)</f>
        <v/>
      </c>
      <c r="AF764" s="7">
        <f>IF($E764="","",Z764-AE764)</f>
        <v/>
      </c>
      <c r="AG764" s="7">
        <f>IF($E764="","",AF764-Q764)</f>
        <v/>
      </c>
      <c r="AK764" s="7" t="n"/>
      <c r="AN764" s="14" t="n"/>
      <c r="AQ764">
        <f>IF($E764="","",IF(COUNTIF($E$2:$E764,$E764)=1,1,0))</f>
        <v/>
      </c>
      <c r="AR764">
        <f>IF($AQ764=1,SUMPRODUCT(--($AU$2:$AU$1501&lt;$AU764))+1,"")</f>
        <v/>
      </c>
      <c r="AS764">
        <f>IF($E764="","",IF(OR($U764=TRUE(),$U764="TRUE"),1,0))</f>
        <v/>
      </c>
      <c r="AT764">
        <f>IF($E764="","",IF($AC764="Yes",1,0))</f>
        <v/>
      </c>
      <c r="AU764">
        <f>IF($AQ764=1,IFERROR(IF(VALUE($E764)&lt;100000000,VALUE($E764),1000000000),IFERROR(IF(VALUE(MID($E764,2,20))&lt;100000000,VALUE(MID($E764,2,20)),1000000000),1000000000))+ROW()/100000,"")</f>
        <v/>
      </c>
    </row>
    <row r="765">
      <c r="G765" s="14" t="n"/>
      <c r="Q765" s="7">
        <f>IF($E765="","",P765*Z765/100)</f>
        <v/>
      </c>
      <c r="R765" s="7" t="n"/>
      <c r="Y765" s="7" t="n"/>
      <c r="Z765" s="7" t="n"/>
      <c r="AA765" s="7" t="n"/>
      <c r="AD765">
        <f>IF($E765="","",IF($AT765=1,Settings!$C$8,IF($AS765=1,Settings!$C$6,Settings!$C$7))*100)</f>
        <v/>
      </c>
      <c r="AE765" s="7">
        <f>IF($E765="","",Z765*AD765/100)</f>
        <v/>
      </c>
      <c r="AF765" s="7">
        <f>IF($E765="","",Z765-AE765)</f>
        <v/>
      </c>
      <c r="AG765" s="7">
        <f>IF($E765="","",AF765-Q765)</f>
        <v/>
      </c>
      <c r="AK765" s="7" t="n"/>
      <c r="AN765" s="14" t="n"/>
      <c r="AQ765">
        <f>IF($E765="","",IF(COUNTIF($E$2:$E765,$E765)=1,1,0))</f>
        <v/>
      </c>
      <c r="AR765">
        <f>IF($AQ765=1,SUMPRODUCT(--($AU$2:$AU$1501&lt;$AU765))+1,"")</f>
        <v/>
      </c>
      <c r="AS765">
        <f>IF($E765="","",IF(OR($U765=TRUE(),$U765="TRUE"),1,0))</f>
        <v/>
      </c>
      <c r="AT765">
        <f>IF($E765="","",IF($AC765="Yes",1,0))</f>
        <v/>
      </c>
      <c r="AU765">
        <f>IF($AQ765=1,IFERROR(IF(VALUE($E765)&lt;100000000,VALUE($E765),1000000000),IFERROR(IF(VALUE(MID($E765,2,20))&lt;100000000,VALUE(MID($E765,2,20)),1000000000),1000000000))+ROW()/100000,"")</f>
        <v/>
      </c>
    </row>
    <row r="766">
      <c r="G766" s="14" t="n"/>
      <c r="Q766" s="7">
        <f>IF($E766="","",P766*Z766/100)</f>
        <v/>
      </c>
      <c r="R766" s="7" t="n"/>
      <c r="Y766" s="7" t="n"/>
      <c r="Z766" s="7" t="n"/>
      <c r="AA766" s="7" t="n"/>
      <c r="AD766">
        <f>IF($E766="","",IF($AT766=1,Settings!$C$8,IF($AS766=1,Settings!$C$6,Settings!$C$7))*100)</f>
        <v/>
      </c>
      <c r="AE766" s="7">
        <f>IF($E766="","",Z766*AD766/100)</f>
        <v/>
      </c>
      <c r="AF766" s="7">
        <f>IF($E766="","",Z766-AE766)</f>
        <v/>
      </c>
      <c r="AG766" s="7">
        <f>IF($E766="","",AF766-Q766)</f>
        <v/>
      </c>
      <c r="AK766" s="7" t="n"/>
      <c r="AN766" s="14" t="n"/>
      <c r="AQ766">
        <f>IF($E766="","",IF(COUNTIF($E$2:$E766,$E766)=1,1,0))</f>
        <v/>
      </c>
      <c r="AR766">
        <f>IF($AQ766=1,SUMPRODUCT(--($AU$2:$AU$1501&lt;$AU766))+1,"")</f>
        <v/>
      </c>
      <c r="AS766">
        <f>IF($E766="","",IF(OR($U766=TRUE(),$U766="TRUE"),1,0))</f>
        <v/>
      </c>
      <c r="AT766">
        <f>IF($E766="","",IF($AC766="Yes",1,0))</f>
        <v/>
      </c>
      <c r="AU766">
        <f>IF($AQ766=1,IFERROR(IF(VALUE($E766)&lt;100000000,VALUE($E766),1000000000),IFERROR(IF(VALUE(MID($E766,2,20))&lt;100000000,VALUE(MID($E766,2,20)),1000000000),1000000000))+ROW()/100000,"")</f>
        <v/>
      </c>
    </row>
    <row r="767">
      <c r="G767" s="14" t="n"/>
      <c r="Q767" s="7">
        <f>IF($E767="","",P767*Z767/100)</f>
        <v/>
      </c>
      <c r="R767" s="7" t="n"/>
      <c r="Y767" s="7" t="n"/>
      <c r="Z767" s="7" t="n"/>
      <c r="AA767" s="7" t="n"/>
      <c r="AD767">
        <f>IF($E767="","",IF($AT767=1,Settings!$C$8,IF($AS767=1,Settings!$C$6,Settings!$C$7))*100)</f>
        <v/>
      </c>
      <c r="AE767" s="7">
        <f>IF($E767="","",Z767*AD767/100)</f>
        <v/>
      </c>
      <c r="AF767" s="7">
        <f>IF($E767="","",Z767-AE767)</f>
        <v/>
      </c>
      <c r="AG767" s="7">
        <f>IF($E767="","",AF767-Q767)</f>
        <v/>
      </c>
      <c r="AK767" s="7" t="n"/>
      <c r="AN767" s="14" t="n"/>
      <c r="AQ767">
        <f>IF($E767="","",IF(COUNTIF($E$2:$E767,$E767)=1,1,0))</f>
        <v/>
      </c>
      <c r="AR767">
        <f>IF($AQ767=1,SUMPRODUCT(--($AU$2:$AU$1501&lt;$AU767))+1,"")</f>
        <v/>
      </c>
      <c r="AS767">
        <f>IF($E767="","",IF(OR($U767=TRUE(),$U767="TRUE"),1,0))</f>
        <v/>
      </c>
      <c r="AT767">
        <f>IF($E767="","",IF($AC767="Yes",1,0))</f>
        <v/>
      </c>
      <c r="AU767">
        <f>IF($AQ767=1,IFERROR(IF(VALUE($E767)&lt;100000000,VALUE($E767),1000000000),IFERROR(IF(VALUE(MID($E767,2,20))&lt;100000000,VALUE(MID($E767,2,20)),1000000000),1000000000))+ROW()/100000,"")</f>
        <v/>
      </c>
    </row>
    <row r="768">
      <c r="G768" s="14" t="n"/>
      <c r="Q768" s="7">
        <f>IF($E768="","",P768*Z768/100)</f>
        <v/>
      </c>
      <c r="R768" s="7" t="n"/>
      <c r="Y768" s="7" t="n"/>
      <c r="Z768" s="7" t="n"/>
      <c r="AA768" s="7" t="n"/>
      <c r="AD768">
        <f>IF($E768="","",IF($AT768=1,Settings!$C$8,IF($AS768=1,Settings!$C$6,Settings!$C$7))*100)</f>
        <v/>
      </c>
      <c r="AE768" s="7">
        <f>IF($E768="","",Z768*AD768/100)</f>
        <v/>
      </c>
      <c r="AF768" s="7">
        <f>IF($E768="","",Z768-AE768)</f>
        <v/>
      </c>
      <c r="AG768" s="7">
        <f>IF($E768="","",AF768-Q768)</f>
        <v/>
      </c>
      <c r="AK768" s="7" t="n"/>
      <c r="AN768" s="14" t="n"/>
      <c r="AQ768">
        <f>IF($E768="","",IF(COUNTIF($E$2:$E768,$E768)=1,1,0))</f>
        <v/>
      </c>
      <c r="AR768">
        <f>IF($AQ768=1,SUMPRODUCT(--($AU$2:$AU$1501&lt;$AU768))+1,"")</f>
        <v/>
      </c>
      <c r="AS768">
        <f>IF($E768="","",IF(OR($U768=TRUE(),$U768="TRUE"),1,0))</f>
        <v/>
      </c>
      <c r="AT768">
        <f>IF($E768="","",IF($AC768="Yes",1,0))</f>
        <v/>
      </c>
      <c r="AU768">
        <f>IF($AQ768=1,IFERROR(IF(VALUE($E768)&lt;100000000,VALUE($E768),1000000000),IFERROR(IF(VALUE(MID($E768,2,20))&lt;100000000,VALUE(MID($E768,2,20)),1000000000),1000000000))+ROW()/100000,"")</f>
        <v/>
      </c>
    </row>
    <row r="769">
      <c r="G769" s="14" t="n"/>
      <c r="Q769" s="7">
        <f>IF($E769="","",P769*Z769/100)</f>
        <v/>
      </c>
      <c r="R769" s="7" t="n"/>
      <c r="Y769" s="7" t="n"/>
      <c r="Z769" s="7" t="n"/>
      <c r="AA769" s="7" t="n"/>
      <c r="AD769">
        <f>IF($E769="","",IF($AT769=1,Settings!$C$8,IF($AS769=1,Settings!$C$6,Settings!$C$7))*100)</f>
        <v/>
      </c>
      <c r="AE769" s="7">
        <f>IF($E769="","",Z769*AD769/100)</f>
        <v/>
      </c>
      <c r="AF769" s="7">
        <f>IF($E769="","",Z769-AE769)</f>
        <v/>
      </c>
      <c r="AG769" s="7">
        <f>IF($E769="","",AF769-Q769)</f>
        <v/>
      </c>
      <c r="AK769" s="7" t="n"/>
      <c r="AN769" s="14" t="n"/>
      <c r="AQ769">
        <f>IF($E769="","",IF(COUNTIF($E$2:$E769,$E769)=1,1,0))</f>
        <v/>
      </c>
      <c r="AR769">
        <f>IF($AQ769=1,SUMPRODUCT(--($AU$2:$AU$1501&lt;$AU769))+1,"")</f>
        <v/>
      </c>
      <c r="AS769">
        <f>IF($E769="","",IF(OR($U769=TRUE(),$U769="TRUE"),1,0))</f>
        <v/>
      </c>
      <c r="AT769">
        <f>IF($E769="","",IF($AC769="Yes",1,0))</f>
        <v/>
      </c>
      <c r="AU769">
        <f>IF($AQ769=1,IFERROR(IF(VALUE($E769)&lt;100000000,VALUE($E769),1000000000),IFERROR(IF(VALUE(MID($E769,2,20))&lt;100000000,VALUE(MID($E769,2,20)),1000000000),1000000000))+ROW()/100000,"")</f>
        <v/>
      </c>
    </row>
    <row r="770">
      <c r="G770" s="14" t="n"/>
      <c r="Q770" s="7">
        <f>IF($E770="","",P770*Z770/100)</f>
        <v/>
      </c>
      <c r="R770" s="7" t="n"/>
      <c r="Y770" s="7" t="n"/>
      <c r="Z770" s="7" t="n"/>
      <c r="AA770" s="7" t="n"/>
      <c r="AD770">
        <f>IF($E770="","",IF($AT770=1,Settings!$C$8,IF($AS770=1,Settings!$C$6,Settings!$C$7))*100)</f>
        <v/>
      </c>
      <c r="AE770" s="7">
        <f>IF($E770="","",Z770*AD770/100)</f>
        <v/>
      </c>
      <c r="AF770" s="7">
        <f>IF($E770="","",Z770-AE770)</f>
        <v/>
      </c>
      <c r="AG770" s="7">
        <f>IF($E770="","",AF770-Q770)</f>
        <v/>
      </c>
      <c r="AK770" s="7" t="n"/>
      <c r="AN770" s="14" t="n"/>
      <c r="AQ770">
        <f>IF($E770="","",IF(COUNTIF($E$2:$E770,$E770)=1,1,0))</f>
        <v/>
      </c>
      <c r="AR770">
        <f>IF($AQ770=1,SUMPRODUCT(--($AU$2:$AU$1501&lt;$AU770))+1,"")</f>
        <v/>
      </c>
      <c r="AS770">
        <f>IF($E770="","",IF(OR($U770=TRUE(),$U770="TRUE"),1,0))</f>
        <v/>
      </c>
      <c r="AT770">
        <f>IF($E770="","",IF($AC770="Yes",1,0))</f>
        <v/>
      </c>
      <c r="AU770">
        <f>IF($AQ770=1,IFERROR(IF(VALUE($E770)&lt;100000000,VALUE($E770),1000000000),IFERROR(IF(VALUE(MID($E770,2,20))&lt;100000000,VALUE(MID($E770,2,20)),1000000000),1000000000))+ROW()/100000,"")</f>
        <v/>
      </c>
    </row>
    <row r="771">
      <c r="G771" s="14" t="n"/>
      <c r="Q771" s="7">
        <f>IF($E771="","",P771*Z771/100)</f>
        <v/>
      </c>
      <c r="R771" s="7" t="n"/>
      <c r="Y771" s="7" t="n"/>
      <c r="Z771" s="7" t="n"/>
      <c r="AA771" s="7" t="n"/>
      <c r="AD771">
        <f>IF($E771="","",IF($AT771=1,Settings!$C$8,IF($AS771=1,Settings!$C$6,Settings!$C$7))*100)</f>
        <v/>
      </c>
      <c r="AE771" s="7">
        <f>IF($E771="","",Z771*AD771/100)</f>
        <v/>
      </c>
      <c r="AF771" s="7">
        <f>IF($E771="","",Z771-AE771)</f>
        <v/>
      </c>
      <c r="AG771" s="7">
        <f>IF($E771="","",AF771-Q771)</f>
        <v/>
      </c>
      <c r="AK771" s="7" t="n"/>
      <c r="AN771" s="14" t="n"/>
      <c r="AQ771">
        <f>IF($E771="","",IF(COUNTIF($E$2:$E771,$E771)=1,1,0))</f>
        <v/>
      </c>
      <c r="AR771">
        <f>IF($AQ771=1,SUMPRODUCT(--($AU$2:$AU$1501&lt;$AU771))+1,"")</f>
        <v/>
      </c>
      <c r="AS771">
        <f>IF($E771="","",IF(OR($U771=TRUE(),$U771="TRUE"),1,0))</f>
        <v/>
      </c>
      <c r="AT771">
        <f>IF($E771="","",IF($AC771="Yes",1,0))</f>
        <v/>
      </c>
      <c r="AU771">
        <f>IF($AQ771=1,IFERROR(IF(VALUE($E771)&lt;100000000,VALUE($E771),1000000000),IFERROR(IF(VALUE(MID($E771,2,20))&lt;100000000,VALUE(MID($E771,2,20)),1000000000),1000000000))+ROW()/100000,"")</f>
        <v/>
      </c>
    </row>
    <row r="772">
      <c r="G772" s="14" t="n"/>
      <c r="Q772" s="7">
        <f>IF($E772="","",P772*Z772/100)</f>
        <v/>
      </c>
      <c r="R772" s="7" t="n"/>
      <c r="Y772" s="7" t="n"/>
      <c r="Z772" s="7" t="n"/>
      <c r="AA772" s="7" t="n"/>
      <c r="AD772">
        <f>IF($E772="","",IF($AT772=1,Settings!$C$8,IF($AS772=1,Settings!$C$6,Settings!$C$7))*100)</f>
        <v/>
      </c>
      <c r="AE772" s="7">
        <f>IF($E772="","",Z772*AD772/100)</f>
        <v/>
      </c>
      <c r="AF772" s="7">
        <f>IF($E772="","",Z772-AE772)</f>
        <v/>
      </c>
      <c r="AG772" s="7">
        <f>IF($E772="","",AF772-Q772)</f>
        <v/>
      </c>
      <c r="AK772" s="7" t="n"/>
      <c r="AN772" s="14" t="n"/>
      <c r="AQ772">
        <f>IF($E772="","",IF(COUNTIF($E$2:$E772,$E772)=1,1,0))</f>
        <v/>
      </c>
      <c r="AR772">
        <f>IF($AQ772=1,SUMPRODUCT(--($AU$2:$AU$1501&lt;$AU772))+1,"")</f>
        <v/>
      </c>
      <c r="AS772">
        <f>IF($E772="","",IF(OR($U772=TRUE(),$U772="TRUE"),1,0))</f>
        <v/>
      </c>
      <c r="AT772">
        <f>IF($E772="","",IF($AC772="Yes",1,0))</f>
        <v/>
      </c>
      <c r="AU772">
        <f>IF($AQ772=1,IFERROR(IF(VALUE($E772)&lt;100000000,VALUE($E772),1000000000),IFERROR(IF(VALUE(MID($E772,2,20))&lt;100000000,VALUE(MID($E772,2,20)),1000000000),1000000000))+ROW()/100000,"")</f>
        <v/>
      </c>
    </row>
    <row r="773">
      <c r="G773" s="14" t="n"/>
      <c r="Q773" s="7">
        <f>IF($E773="","",P773*Z773/100)</f>
        <v/>
      </c>
      <c r="R773" s="7" t="n"/>
      <c r="Y773" s="7" t="n"/>
      <c r="Z773" s="7" t="n"/>
      <c r="AA773" s="7" t="n"/>
      <c r="AD773">
        <f>IF($E773="","",IF($AT773=1,Settings!$C$8,IF($AS773=1,Settings!$C$6,Settings!$C$7))*100)</f>
        <v/>
      </c>
      <c r="AE773" s="7">
        <f>IF($E773="","",Z773*AD773/100)</f>
        <v/>
      </c>
      <c r="AF773" s="7">
        <f>IF($E773="","",Z773-AE773)</f>
        <v/>
      </c>
      <c r="AG773" s="7">
        <f>IF($E773="","",AF773-Q773)</f>
        <v/>
      </c>
      <c r="AK773" s="7" t="n"/>
      <c r="AN773" s="14" t="n"/>
      <c r="AQ773">
        <f>IF($E773="","",IF(COUNTIF($E$2:$E773,$E773)=1,1,0))</f>
        <v/>
      </c>
      <c r="AR773">
        <f>IF($AQ773=1,SUMPRODUCT(--($AU$2:$AU$1501&lt;$AU773))+1,"")</f>
        <v/>
      </c>
      <c r="AS773">
        <f>IF($E773="","",IF(OR($U773=TRUE(),$U773="TRUE"),1,0))</f>
        <v/>
      </c>
      <c r="AT773">
        <f>IF($E773="","",IF($AC773="Yes",1,0))</f>
        <v/>
      </c>
      <c r="AU773">
        <f>IF($AQ773=1,IFERROR(IF(VALUE($E773)&lt;100000000,VALUE($E773),1000000000),IFERROR(IF(VALUE(MID($E773,2,20))&lt;100000000,VALUE(MID($E773,2,20)),1000000000),1000000000))+ROW()/100000,"")</f>
        <v/>
      </c>
    </row>
    <row r="774">
      <c r="G774" s="14" t="n"/>
      <c r="Q774" s="7">
        <f>IF($E774="","",P774*Z774/100)</f>
        <v/>
      </c>
      <c r="R774" s="7" t="n"/>
      <c r="Y774" s="7" t="n"/>
      <c r="Z774" s="7" t="n"/>
      <c r="AA774" s="7" t="n"/>
      <c r="AD774">
        <f>IF($E774="","",IF($AT774=1,Settings!$C$8,IF($AS774=1,Settings!$C$6,Settings!$C$7))*100)</f>
        <v/>
      </c>
      <c r="AE774" s="7">
        <f>IF($E774="","",Z774*AD774/100)</f>
        <v/>
      </c>
      <c r="AF774" s="7">
        <f>IF($E774="","",Z774-AE774)</f>
        <v/>
      </c>
      <c r="AG774" s="7">
        <f>IF($E774="","",AF774-Q774)</f>
        <v/>
      </c>
      <c r="AK774" s="7" t="n"/>
      <c r="AN774" s="14" t="n"/>
      <c r="AQ774">
        <f>IF($E774="","",IF(COUNTIF($E$2:$E774,$E774)=1,1,0))</f>
        <v/>
      </c>
      <c r="AR774">
        <f>IF($AQ774=1,SUMPRODUCT(--($AU$2:$AU$1501&lt;$AU774))+1,"")</f>
        <v/>
      </c>
      <c r="AS774">
        <f>IF($E774="","",IF(OR($U774=TRUE(),$U774="TRUE"),1,0))</f>
        <v/>
      </c>
      <c r="AT774">
        <f>IF($E774="","",IF($AC774="Yes",1,0))</f>
        <v/>
      </c>
      <c r="AU774">
        <f>IF($AQ774=1,IFERROR(IF(VALUE($E774)&lt;100000000,VALUE($E774),1000000000),IFERROR(IF(VALUE(MID($E774,2,20))&lt;100000000,VALUE(MID($E774,2,20)),1000000000),1000000000))+ROW()/100000,"")</f>
        <v/>
      </c>
    </row>
    <row r="775">
      <c r="G775" s="14" t="n"/>
      <c r="Q775" s="7">
        <f>IF($E775="","",P775*Z775/100)</f>
        <v/>
      </c>
      <c r="R775" s="7" t="n"/>
      <c r="Y775" s="7" t="n"/>
      <c r="Z775" s="7" t="n"/>
      <c r="AA775" s="7" t="n"/>
      <c r="AD775">
        <f>IF($E775="","",IF($AT775=1,Settings!$C$8,IF($AS775=1,Settings!$C$6,Settings!$C$7))*100)</f>
        <v/>
      </c>
      <c r="AE775" s="7">
        <f>IF($E775="","",Z775*AD775/100)</f>
        <v/>
      </c>
      <c r="AF775" s="7">
        <f>IF($E775="","",Z775-AE775)</f>
        <v/>
      </c>
      <c r="AG775" s="7">
        <f>IF($E775="","",AF775-Q775)</f>
        <v/>
      </c>
      <c r="AK775" s="7" t="n"/>
      <c r="AN775" s="14" t="n"/>
      <c r="AQ775">
        <f>IF($E775="","",IF(COUNTIF($E$2:$E775,$E775)=1,1,0))</f>
        <v/>
      </c>
      <c r="AR775">
        <f>IF($AQ775=1,SUMPRODUCT(--($AU$2:$AU$1501&lt;$AU775))+1,"")</f>
        <v/>
      </c>
      <c r="AS775">
        <f>IF($E775="","",IF(OR($U775=TRUE(),$U775="TRUE"),1,0))</f>
        <v/>
      </c>
      <c r="AT775">
        <f>IF($E775="","",IF($AC775="Yes",1,0))</f>
        <v/>
      </c>
      <c r="AU775">
        <f>IF($AQ775=1,IFERROR(IF(VALUE($E775)&lt;100000000,VALUE($E775),1000000000),IFERROR(IF(VALUE(MID($E775,2,20))&lt;100000000,VALUE(MID($E775,2,20)),1000000000),1000000000))+ROW()/100000,"")</f>
        <v/>
      </c>
    </row>
    <row r="776">
      <c r="G776" s="14" t="n"/>
      <c r="Q776" s="7">
        <f>IF($E776="","",P776*Z776/100)</f>
        <v/>
      </c>
      <c r="R776" s="7" t="n"/>
      <c r="Y776" s="7" t="n"/>
      <c r="Z776" s="7" t="n"/>
      <c r="AA776" s="7" t="n"/>
      <c r="AD776">
        <f>IF($E776="","",IF($AT776=1,Settings!$C$8,IF($AS776=1,Settings!$C$6,Settings!$C$7))*100)</f>
        <v/>
      </c>
      <c r="AE776" s="7">
        <f>IF($E776="","",Z776*AD776/100)</f>
        <v/>
      </c>
      <c r="AF776" s="7">
        <f>IF($E776="","",Z776-AE776)</f>
        <v/>
      </c>
      <c r="AG776" s="7">
        <f>IF($E776="","",AF776-Q776)</f>
        <v/>
      </c>
      <c r="AK776" s="7" t="n"/>
      <c r="AN776" s="14" t="n"/>
      <c r="AQ776">
        <f>IF($E776="","",IF(COUNTIF($E$2:$E776,$E776)=1,1,0))</f>
        <v/>
      </c>
      <c r="AR776">
        <f>IF($AQ776=1,SUMPRODUCT(--($AU$2:$AU$1501&lt;$AU776))+1,"")</f>
        <v/>
      </c>
      <c r="AS776">
        <f>IF($E776="","",IF(OR($U776=TRUE(),$U776="TRUE"),1,0))</f>
        <v/>
      </c>
      <c r="AT776">
        <f>IF($E776="","",IF($AC776="Yes",1,0))</f>
        <v/>
      </c>
      <c r="AU776">
        <f>IF($AQ776=1,IFERROR(IF(VALUE($E776)&lt;100000000,VALUE($E776),1000000000),IFERROR(IF(VALUE(MID($E776,2,20))&lt;100000000,VALUE(MID($E776,2,20)),1000000000),1000000000))+ROW()/100000,"")</f>
        <v/>
      </c>
    </row>
    <row r="777">
      <c r="G777" s="14" t="n"/>
      <c r="Q777" s="7">
        <f>IF($E777="","",P777*Z777/100)</f>
        <v/>
      </c>
      <c r="R777" s="7" t="n"/>
      <c r="Y777" s="7" t="n"/>
      <c r="Z777" s="7" t="n"/>
      <c r="AA777" s="7" t="n"/>
      <c r="AD777">
        <f>IF($E777="","",IF($AT777=1,Settings!$C$8,IF($AS777=1,Settings!$C$6,Settings!$C$7))*100)</f>
        <v/>
      </c>
      <c r="AE777" s="7">
        <f>IF($E777="","",Z777*AD777/100)</f>
        <v/>
      </c>
      <c r="AF777" s="7">
        <f>IF($E777="","",Z777-AE777)</f>
        <v/>
      </c>
      <c r="AG777" s="7">
        <f>IF($E777="","",AF777-Q777)</f>
        <v/>
      </c>
      <c r="AK777" s="7" t="n"/>
      <c r="AN777" s="14" t="n"/>
      <c r="AQ777">
        <f>IF($E777="","",IF(COUNTIF($E$2:$E777,$E777)=1,1,0))</f>
        <v/>
      </c>
      <c r="AR777">
        <f>IF($AQ777=1,SUMPRODUCT(--($AU$2:$AU$1501&lt;$AU777))+1,"")</f>
        <v/>
      </c>
      <c r="AS777">
        <f>IF($E777="","",IF(OR($U777=TRUE(),$U777="TRUE"),1,0))</f>
        <v/>
      </c>
      <c r="AT777">
        <f>IF($E777="","",IF($AC777="Yes",1,0))</f>
        <v/>
      </c>
      <c r="AU777">
        <f>IF($AQ777=1,IFERROR(IF(VALUE($E777)&lt;100000000,VALUE($E777),1000000000),IFERROR(IF(VALUE(MID($E777,2,20))&lt;100000000,VALUE(MID($E777,2,20)),1000000000),1000000000))+ROW()/100000,"")</f>
        <v/>
      </c>
    </row>
    <row r="778">
      <c r="G778" s="14" t="n"/>
      <c r="Q778" s="7">
        <f>IF($E778="","",P778*Z778/100)</f>
        <v/>
      </c>
      <c r="R778" s="7" t="n"/>
      <c r="Y778" s="7" t="n"/>
      <c r="Z778" s="7" t="n"/>
      <c r="AA778" s="7" t="n"/>
      <c r="AD778">
        <f>IF($E778="","",IF($AT778=1,Settings!$C$8,IF($AS778=1,Settings!$C$6,Settings!$C$7))*100)</f>
        <v/>
      </c>
      <c r="AE778" s="7">
        <f>IF($E778="","",Z778*AD778/100)</f>
        <v/>
      </c>
      <c r="AF778" s="7">
        <f>IF($E778="","",Z778-AE778)</f>
        <v/>
      </c>
      <c r="AG778" s="7">
        <f>IF($E778="","",AF778-Q778)</f>
        <v/>
      </c>
      <c r="AK778" s="7" t="n"/>
      <c r="AN778" s="14" t="n"/>
      <c r="AQ778">
        <f>IF($E778="","",IF(COUNTIF($E$2:$E778,$E778)=1,1,0))</f>
        <v/>
      </c>
      <c r="AR778">
        <f>IF($AQ778=1,SUMPRODUCT(--($AU$2:$AU$1501&lt;$AU778))+1,"")</f>
        <v/>
      </c>
      <c r="AS778">
        <f>IF($E778="","",IF(OR($U778=TRUE(),$U778="TRUE"),1,0))</f>
        <v/>
      </c>
      <c r="AT778">
        <f>IF($E778="","",IF($AC778="Yes",1,0))</f>
        <v/>
      </c>
      <c r="AU778">
        <f>IF($AQ778=1,IFERROR(IF(VALUE($E778)&lt;100000000,VALUE($E778),1000000000),IFERROR(IF(VALUE(MID($E778,2,20))&lt;100000000,VALUE(MID($E778,2,20)),1000000000),1000000000))+ROW()/100000,"")</f>
        <v/>
      </c>
    </row>
    <row r="779">
      <c r="G779" s="14" t="n"/>
      <c r="Q779" s="7">
        <f>IF($E779="","",P779*Z779/100)</f>
        <v/>
      </c>
      <c r="R779" s="7" t="n"/>
      <c r="Y779" s="7" t="n"/>
      <c r="Z779" s="7" t="n"/>
      <c r="AA779" s="7" t="n"/>
      <c r="AD779">
        <f>IF($E779="","",IF($AT779=1,Settings!$C$8,IF($AS779=1,Settings!$C$6,Settings!$C$7))*100)</f>
        <v/>
      </c>
      <c r="AE779" s="7">
        <f>IF($E779="","",Z779*AD779/100)</f>
        <v/>
      </c>
      <c r="AF779" s="7">
        <f>IF($E779="","",Z779-AE779)</f>
        <v/>
      </c>
      <c r="AG779" s="7">
        <f>IF($E779="","",AF779-Q779)</f>
        <v/>
      </c>
      <c r="AK779" s="7" t="n"/>
      <c r="AN779" s="14" t="n"/>
      <c r="AQ779">
        <f>IF($E779="","",IF(COUNTIF($E$2:$E779,$E779)=1,1,0))</f>
        <v/>
      </c>
      <c r="AR779">
        <f>IF($AQ779=1,SUMPRODUCT(--($AU$2:$AU$1501&lt;$AU779))+1,"")</f>
        <v/>
      </c>
      <c r="AS779">
        <f>IF($E779="","",IF(OR($U779=TRUE(),$U779="TRUE"),1,0))</f>
        <v/>
      </c>
      <c r="AT779">
        <f>IF($E779="","",IF($AC779="Yes",1,0))</f>
        <v/>
      </c>
      <c r="AU779">
        <f>IF($AQ779=1,IFERROR(IF(VALUE($E779)&lt;100000000,VALUE($E779),1000000000),IFERROR(IF(VALUE(MID($E779,2,20))&lt;100000000,VALUE(MID($E779,2,20)),1000000000),1000000000))+ROW()/100000,"")</f>
        <v/>
      </c>
    </row>
    <row r="780">
      <c r="G780" s="14" t="n"/>
      <c r="Q780" s="7">
        <f>IF($E780="","",P780*Z780/100)</f>
        <v/>
      </c>
      <c r="R780" s="7" t="n"/>
      <c r="Y780" s="7" t="n"/>
      <c r="Z780" s="7" t="n"/>
      <c r="AA780" s="7" t="n"/>
      <c r="AD780">
        <f>IF($E780="","",IF($AT780=1,Settings!$C$8,IF($AS780=1,Settings!$C$6,Settings!$C$7))*100)</f>
        <v/>
      </c>
      <c r="AE780" s="7">
        <f>IF($E780="","",Z780*AD780/100)</f>
        <v/>
      </c>
      <c r="AF780" s="7">
        <f>IF($E780="","",Z780-AE780)</f>
        <v/>
      </c>
      <c r="AG780" s="7">
        <f>IF($E780="","",AF780-Q780)</f>
        <v/>
      </c>
      <c r="AK780" s="7" t="n"/>
      <c r="AN780" s="14" t="n"/>
      <c r="AQ780">
        <f>IF($E780="","",IF(COUNTIF($E$2:$E780,$E780)=1,1,0))</f>
        <v/>
      </c>
      <c r="AR780">
        <f>IF($AQ780=1,SUMPRODUCT(--($AU$2:$AU$1501&lt;$AU780))+1,"")</f>
        <v/>
      </c>
      <c r="AS780">
        <f>IF($E780="","",IF(OR($U780=TRUE(),$U780="TRUE"),1,0))</f>
        <v/>
      </c>
      <c r="AT780">
        <f>IF($E780="","",IF($AC780="Yes",1,0))</f>
        <v/>
      </c>
      <c r="AU780">
        <f>IF($AQ780=1,IFERROR(IF(VALUE($E780)&lt;100000000,VALUE($E780),1000000000),IFERROR(IF(VALUE(MID($E780,2,20))&lt;100000000,VALUE(MID($E780,2,20)),1000000000),1000000000))+ROW()/100000,"")</f>
        <v/>
      </c>
    </row>
    <row r="781">
      <c r="G781" s="14" t="n"/>
      <c r="Q781" s="7">
        <f>IF($E781="","",P781*Z781/100)</f>
        <v/>
      </c>
      <c r="R781" s="7" t="n"/>
      <c r="Y781" s="7" t="n"/>
      <c r="Z781" s="7" t="n"/>
      <c r="AA781" s="7" t="n"/>
      <c r="AD781">
        <f>IF($E781="","",IF($AT781=1,Settings!$C$8,IF($AS781=1,Settings!$C$6,Settings!$C$7))*100)</f>
        <v/>
      </c>
      <c r="AE781" s="7">
        <f>IF($E781="","",Z781*AD781/100)</f>
        <v/>
      </c>
      <c r="AF781" s="7">
        <f>IF($E781="","",Z781-AE781)</f>
        <v/>
      </c>
      <c r="AG781" s="7">
        <f>IF($E781="","",AF781-Q781)</f>
        <v/>
      </c>
      <c r="AK781" s="7" t="n"/>
      <c r="AN781" s="14" t="n"/>
      <c r="AQ781">
        <f>IF($E781="","",IF(COUNTIF($E$2:$E781,$E781)=1,1,0))</f>
        <v/>
      </c>
      <c r="AR781">
        <f>IF($AQ781=1,SUMPRODUCT(--($AU$2:$AU$1501&lt;$AU781))+1,"")</f>
        <v/>
      </c>
      <c r="AS781">
        <f>IF($E781="","",IF(OR($U781=TRUE(),$U781="TRUE"),1,0))</f>
        <v/>
      </c>
      <c r="AT781">
        <f>IF($E781="","",IF($AC781="Yes",1,0))</f>
        <v/>
      </c>
      <c r="AU781">
        <f>IF($AQ781=1,IFERROR(IF(VALUE($E781)&lt;100000000,VALUE($E781),1000000000),IFERROR(IF(VALUE(MID($E781,2,20))&lt;100000000,VALUE(MID($E781,2,20)),1000000000),1000000000))+ROW()/100000,"")</f>
        <v/>
      </c>
    </row>
    <row r="782">
      <c r="G782" s="14" t="n"/>
      <c r="Q782" s="7">
        <f>IF($E782="","",P782*Z782/100)</f>
        <v/>
      </c>
      <c r="R782" s="7" t="n"/>
      <c r="Y782" s="7" t="n"/>
      <c r="Z782" s="7" t="n"/>
      <c r="AA782" s="7" t="n"/>
      <c r="AD782">
        <f>IF($E782="","",IF($AT782=1,Settings!$C$8,IF($AS782=1,Settings!$C$6,Settings!$C$7))*100)</f>
        <v/>
      </c>
      <c r="AE782" s="7">
        <f>IF($E782="","",Z782*AD782/100)</f>
        <v/>
      </c>
      <c r="AF782" s="7">
        <f>IF($E782="","",Z782-AE782)</f>
        <v/>
      </c>
      <c r="AG782" s="7">
        <f>IF($E782="","",AF782-Q782)</f>
        <v/>
      </c>
      <c r="AK782" s="7" t="n"/>
      <c r="AN782" s="14" t="n"/>
      <c r="AQ782">
        <f>IF($E782="","",IF(COUNTIF($E$2:$E782,$E782)=1,1,0))</f>
        <v/>
      </c>
      <c r="AR782">
        <f>IF($AQ782=1,SUMPRODUCT(--($AU$2:$AU$1501&lt;$AU782))+1,"")</f>
        <v/>
      </c>
      <c r="AS782">
        <f>IF($E782="","",IF(OR($U782=TRUE(),$U782="TRUE"),1,0))</f>
        <v/>
      </c>
      <c r="AT782">
        <f>IF($E782="","",IF($AC782="Yes",1,0))</f>
        <v/>
      </c>
      <c r="AU782">
        <f>IF($AQ782=1,IFERROR(IF(VALUE($E782)&lt;100000000,VALUE($E782),1000000000),IFERROR(IF(VALUE(MID($E782,2,20))&lt;100000000,VALUE(MID($E782,2,20)),1000000000),1000000000))+ROW()/100000,"")</f>
        <v/>
      </c>
    </row>
    <row r="783">
      <c r="G783" s="14" t="n"/>
      <c r="Q783" s="7">
        <f>IF($E783="","",P783*Z783/100)</f>
        <v/>
      </c>
      <c r="R783" s="7" t="n"/>
      <c r="Y783" s="7" t="n"/>
      <c r="Z783" s="7" t="n"/>
      <c r="AA783" s="7" t="n"/>
      <c r="AD783">
        <f>IF($E783="","",IF($AT783=1,Settings!$C$8,IF($AS783=1,Settings!$C$6,Settings!$C$7))*100)</f>
        <v/>
      </c>
      <c r="AE783" s="7">
        <f>IF($E783="","",Z783*AD783/100)</f>
        <v/>
      </c>
      <c r="AF783" s="7">
        <f>IF($E783="","",Z783-AE783)</f>
        <v/>
      </c>
      <c r="AG783" s="7">
        <f>IF($E783="","",AF783-Q783)</f>
        <v/>
      </c>
      <c r="AK783" s="7" t="n"/>
      <c r="AN783" s="14" t="n"/>
      <c r="AQ783">
        <f>IF($E783="","",IF(COUNTIF($E$2:$E783,$E783)=1,1,0))</f>
        <v/>
      </c>
      <c r="AR783">
        <f>IF($AQ783=1,SUMPRODUCT(--($AU$2:$AU$1501&lt;$AU783))+1,"")</f>
        <v/>
      </c>
      <c r="AS783">
        <f>IF($E783="","",IF(OR($U783=TRUE(),$U783="TRUE"),1,0))</f>
        <v/>
      </c>
      <c r="AT783">
        <f>IF($E783="","",IF($AC783="Yes",1,0))</f>
        <v/>
      </c>
      <c r="AU783">
        <f>IF($AQ783=1,IFERROR(IF(VALUE($E783)&lt;100000000,VALUE($E783),1000000000),IFERROR(IF(VALUE(MID($E783,2,20))&lt;100000000,VALUE(MID($E783,2,20)),1000000000),1000000000))+ROW()/100000,"")</f>
        <v/>
      </c>
    </row>
    <row r="784">
      <c r="G784" s="14" t="n"/>
      <c r="Q784" s="7">
        <f>IF($E784="","",P784*Z784/100)</f>
        <v/>
      </c>
      <c r="R784" s="7" t="n"/>
      <c r="Y784" s="7" t="n"/>
      <c r="Z784" s="7" t="n"/>
      <c r="AA784" s="7" t="n"/>
      <c r="AD784">
        <f>IF($E784="","",IF($AT784=1,Settings!$C$8,IF($AS784=1,Settings!$C$6,Settings!$C$7))*100)</f>
        <v/>
      </c>
      <c r="AE784" s="7">
        <f>IF($E784="","",Z784*AD784/100)</f>
        <v/>
      </c>
      <c r="AF784" s="7">
        <f>IF($E784="","",Z784-AE784)</f>
        <v/>
      </c>
      <c r="AG784" s="7">
        <f>IF($E784="","",AF784-Q784)</f>
        <v/>
      </c>
      <c r="AK784" s="7" t="n"/>
      <c r="AN784" s="14" t="n"/>
      <c r="AQ784">
        <f>IF($E784="","",IF(COUNTIF($E$2:$E784,$E784)=1,1,0))</f>
        <v/>
      </c>
      <c r="AR784">
        <f>IF($AQ784=1,SUMPRODUCT(--($AU$2:$AU$1501&lt;$AU784))+1,"")</f>
        <v/>
      </c>
      <c r="AS784">
        <f>IF($E784="","",IF(OR($U784=TRUE(),$U784="TRUE"),1,0))</f>
        <v/>
      </c>
      <c r="AT784">
        <f>IF($E784="","",IF($AC784="Yes",1,0))</f>
        <v/>
      </c>
      <c r="AU784">
        <f>IF($AQ784=1,IFERROR(IF(VALUE($E784)&lt;100000000,VALUE($E784),1000000000),IFERROR(IF(VALUE(MID($E784,2,20))&lt;100000000,VALUE(MID($E784,2,20)),1000000000),1000000000))+ROW()/100000,"")</f>
        <v/>
      </c>
    </row>
    <row r="785">
      <c r="G785" s="14" t="n"/>
      <c r="Q785" s="7">
        <f>IF($E785="","",P785*Z785/100)</f>
        <v/>
      </c>
      <c r="R785" s="7" t="n"/>
      <c r="Y785" s="7" t="n"/>
      <c r="Z785" s="7" t="n"/>
      <c r="AA785" s="7" t="n"/>
      <c r="AD785">
        <f>IF($E785="","",IF($AT785=1,Settings!$C$8,IF($AS785=1,Settings!$C$6,Settings!$C$7))*100)</f>
        <v/>
      </c>
      <c r="AE785" s="7">
        <f>IF($E785="","",Z785*AD785/100)</f>
        <v/>
      </c>
      <c r="AF785" s="7">
        <f>IF($E785="","",Z785-AE785)</f>
        <v/>
      </c>
      <c r="AG785" s="7">
        <f>IF($E785="","",AF785-Q785)</f>
        <v/>
      </c>
      <c r="AK785" s="7" t="n"/>
      <c r="AN785" s="14" t="n"/>
      <c r="AQ785">
        <f>IF($E785="","",IF(COUNTIF($E$2:$E785,$E785)=1,1,0))</f>
        <v/>
      </c>
      <c r="AR785">
        <f>IF($AQ785=1,SUMPRODUCT(--($AU$2:$AU$1501&lt;$AU785))+1,"")</f>
        <v/>
      </c>
      <c r="AS785">
        <f>IF($E785="","",IF(OR($U785=TRUE(),$U785="TRUE"),1,0))</f>
        <v/>
      </c>
      <c r="AT785">
        <f>IF($E785="","",IF($AC785="Yes",1,0))</f>
        <v/>
      </c>
      <c r="AU785">
        <f>IF($AQ785=1,IFERROR(IF(VALUE($E785)&lt;100000000,VALUE($E785),1000000000),IFERROR(IF(VALUE(MID($E785,2,20))&lt;100000000,VALUE(MID($E785,2,20)),1000000000),1000000000))+ROW()/100000,"")</f>
        <v/>
      </c>
    </row>
    <row r="786">
      <c r="G786" s="14" t="n"/>
      <c r="Q786" s="7">
        <f>IF($E786="","",P786*Z786/100)</f>
        <v/>
      </c>
      <c r="R786" s="7" t="n"/>
      <c r="Y786" s="7" t="n"/>
      <c r="Z786" s="7" t="n"/>
      <c r="AA786" s="7" t="n"/>
      <c r="AD786">
        <f>IF($E786="","",IF($AT786=1,Settings!$C$8,IF($AS786=1,Settings!$C$6,Settings!$C$7))*100)</f>
        <v/>
      </c>
      <c r="AE786" s="7">
        <f>IF($E786="","",Z786*AD786/100)</f>
        <v/>
      </c>
      <c r="AF786" s="7">
        <f>IF($E786="","",Z786-AE786)</f>
        <v/>
      </c>
      <c r="AG786" s="7">
        <f>IF($E786="","",AF786-Q786)</f>
        <v/>
      </c>
      <c r="AK786" s="7" t="n"/>
      <c r="AN786" s="14" t="n"/>
      <c r="AQ786">
        <f>IF($E786="","",IF(COUNTIF($E$2:$E786,$E786)=1,1,0))</f>
        <v/>
      </c>
      <c r="AR786">
        <f>IF($AQ786=1,SUMPRODUCT(--($AU$2:$AU$1501&lt;$AU786))+1,"")</f>
        <v/>
      </c>
      <c r="AS786">
        <f>IF($E786="","",IF(OR($U786=TRUE(),$U786="TRUE"),1,0))</f>
        <v/>
      </c>
      <c r="AT786">
        <f>IF($E786="","",IF($AC786="Yes",1,0))</f>
        <v/>
      </c>
      <c r="AU786">
        <f>IF($AQ786=1,IFERROR(IF(VALUE($E786)&lt;100000000,VALUE($E786),1000000000),IFERROR(IF(VALUE(MID($E786,2,20))&lt;100000000,VALUE(MID($E786,2,20)),1000000000),1000000000))+ROW()/100000,"")</f>
        <v/>
      </c>
    </row>
    <row r="787">
      <c r="G787" s="14" t="n"/>
      <c r="Q787" s="7">
        <f>IF($E787="","",P787*Z787/100)</f>
        <v/>
      </c>
      <c r="R787" s="7" t="n"/>
      <c r="Y787" s="7" t="n"/>
      <c r="Z787" s="7" t="n"/>
      <c r="AA787" s="7" t="n"/>
      <c r="AD787">
        <f>IF($E787="","",IF($AT787=1,Settings!$C$8,IF($AS787=1,Settings!$C$6,Settings!$C$7))*100)</f>
        <v/>
      </c>
      <c r="AE787" s="7">
        <f>IF($E787="","",Z787*AD787/100)</f>
        <v/>
      </c>
      <c r="AF787" s="7">
        <f>IF($E787="","",Z787-AE787)</f>
        <v/>
      </c>
      <c r="AG787" s="7">
        <f>IF($E787="","",AF787-Q787)</f>
        <v/>
      </c>
      <c r="AK787" s="7" t="n"/>
      <c r="AN787" s="14" t="n"/>
      <c r="AQ787">
        <f>IF($E787="","",IF(COUNTIF($E$2:$E787,$E787)=1,1,0))</f>
        <v/>
      </c>
      <c r="AR787">
        <f>IF($AQ787=1,SUMPRODUCT(--($AU$2:$AU$1501&lt;$AU787))+1,"")</f>
        <v/>
      </c>
      <c r="AS787">
        <f>IF($E787="","",IF(OR($U787=TRUE(),$U787="TRUE"),1,0))</f>
        <v/>
      </c>
      <c r="AT787">
        <f>IF($E787="","",IF($AC787="Yes",1,0))</f>
        <v/>
      </c>
      <c r="AU787">
        <f>IF($AQ787=1,IFERROR(IF(VALUE($E787)&lt;100000000,VALUE($E787),1000000000),IFERROR(IF(VALUE(MID($E787,2,20))&lt;100000000,VALUE(MID($E787,2,20)),1000000000),1000000000))+ROW()/100000,"")</f>
        <v/>
      </c>
    </row>
    <row r="788">
      <c r="G788" s="14" t="n"/>
      <c r="Q788" s="7">
        <f>IF($E788="","",P788*Z788/100)</f>
        <v/>
      </c>
      <c r="R788" s="7" t="n"/>
      <c r="Y788" s="7" t="n"/>
      <c r="Z788" s="7" t="n"/>
      <c r="AA788" s="7" t="n"/>
      <c r="AD788">
        <f>IF($E788="","",IF($AT788=1,Settings!$C$8,IF($AS788=1,Settings!$C$6,Settings!$C$7))*100)</f>
        <v/>
      </c>
      <c r="AE788" s="7">
        <f>IF($E788="","",Z788*AD788/100)</f>
        <v/>
      </c>
      <c r="AF788" s="7">
        <f>IF($E788="","",Z788-AE788)</f>
        <v/>
      </c>
      <c r="AG788" s="7">
        <f>IF($E788="","",AF788-Q788)</f>
        <v/>
      </c>
      <c r="AK788" s="7" t="n"/>
      <c r="AN788" s="14" t="n"/>
      <c r="AQ788">
        <f>IF($E788="","",IF(COUNTIF($E$2:$E788,$E788)=1,1,0))</f>
        <v/>
      </c>
      <c r="AR788">
        <f>IF($AQ788=1,SUMPRODUCT(--($AU$2:$AU$1501&lt;$AU788))+1,"")</f>
        <v/>
      </c>
      <c r="AS788">
        <f>IF($E788="","",IF(OR($U788=TRUE(),$U788="TRUE"),1,0))</f>
        <v/>
      </c>
      <c r="AT788">
        <f>IF($E788="","",IF($AC788="Yes",1,0))</f>
        <v/>
      </c>
      <c r="AU788">
        <f>IF($AQ788=1,IFERROR(IF(VALUE($E788)&lt;100000000,VALUE($E788),1000000000),IFERROR(IF(VALUE(MID($E788,2,20))&lt;100000000,VALUE(MID($E788,2,20)),1000000000),1000000000))+ROW()/100000,"")</f>
        <v/>
      </c>
    </row>
    <row r="789">
      <c r="G789" s="14" t="n"/>
      <c r="Q789" s="7">
        <f>IF($E789="","",P789*Z789/100)</f>
        <v/>
      </c>
      <c r="R789" s="7" t="n"/>
      <c r="Y789" s="7" t="n"/>
      <c r="Z789" s="7" t="n"/>
      <c r="AA789" s="7" t="n"/>
      <c r="AD789">
        <f>IF($E789="","",IF($AT789=1,Settings!$C$8,IF($AS789=1,Settings!$C$6,Settings!$C$7))*100)</f>
        <v/>
      </c>
      <c r="AE789" s="7">
        <f>IF($E789="","",Z789*AD789/100)</f>
        <v/>
      </c>
      <c r="AF789" s="7">
        <f>IF($E789="","",Z789-AE789)</f>
        <v/>
      </c>
      <c r="AG789" s="7">
        <f>IF($E789="","",AF789-Q789)</f>
        <v/>
      </c>
      <c r="AK789" s="7" t="n"/>
      <c r="AN789" s="14" t="n"/>
      <c r="AQ789">
        <f>IF($E789="","",IF(COUNTIF($E$2:$E789,$E789)=1,1,0))</f>
        <v/>
      </c>
      <c r="AR789">
        <f>IF($AQ789=1,SUMPRODUCT(--($AU$2:$AU$1501&lt;$AU789))+1,"")</f>
        <v/>
      </c>
      <c r="AS789">
        <f>IF($E789="","",IF(OR($U789=TRUE(),$U789="TRUE"),1,0))</f>
        <v/>
      </c>
      <c r="AT789">
        <f>IF($E789="","",IF($AC789="Yes",1,0))</f>
        <v/>
      </c>
      <c r="AU789">
        <f>IF($AQ789=1,IFERROR(IF(VALUE($E789)&lt;100000000,VALUE($E789),1000000000),IFERROR(IF(VALUE(MID($E789,2,20))&lt;100000000,VALUE(MID($E789,2,20)),1000000000),1000000000))+ROW()/100000,"")</f>
        <v/>
      </c>
    </row>
    <row r="790">
      <c r="G790" s="14" t="n"/>
      <c r="Q790" s="7">
        <f>IF($E790="","",P790*Z790/100)</f>
        <v/>
      </c>
      <c r="R790" s="7" t="n"/>
      <c r="Y790" s="7" t="n"/>
      <c r="Z790" s="7" t="n"/>
      <c r="AA790" s="7" t="n"/>
      <c r="AD790">
        <f>IF($E790="","",IF($AT790=1,Settings!$C$8,IF($AS790=1,Settings!$C$6,Settings!$C$7))*100)</f>
        <v/>
      </c>
      <c r="AE790" s="7">
        <f>IF($E790="","",Z790*AD790/100)</f>
        <v/>
      </c>
      <c r="AF790" s="7">
        <f>IF($E790="","",Z790-AE790)</f>
        <v/>
      </c>
      <c r="AG790" s="7">
        <f>IF($E790="","",AF790-Q790)</f>
        <v/>
      </c>
      <c r="AK790" s="7" t="n"/>
      <c r="AN790" s="14" t="n"/>
      <c r="AQ790">
        <f>IF($E790="","",IF(COUNTIF($E$2:$E790,$E790)=1,1,0))</f>
        <v/>
      </c>
      <c r="AR790">
        <f>IF($AQ790=1,SUMPRODUCT(--($AU$2:$AU$1501&lt;$AU790))+1,"")</f>
        <v/>
      </c>
      <c r="AS790">
        <f>IF($E790="","",IF(OR($U790=TRUE(),$U790="TRUE"),1,0))</f>
        <v/>
      </c>
      <c r="AT790">
        <f>IF($E790="","",IF($AC790="Yes",1,0))</f>
        <v/>
      </c>
      <c r="AU790">
        <f>IF($AQ790=1,IFERROR(IF(VALUE($E790)&lt;100000000,VALUE($E790),1000000000),IFERROR(IF(VALUE(MID($E790,2,20))&lt;100000000,VALUE(MID($E790,2,20)),1000000000),1000000000))+ROW()/100000,"")</f>
        <v/>
      </c>
    </row>
    <row r="791">
      <c r="G791" s="14" t="n"/>
      <c r="Q791" s="7">
        <f>IF($E791="","",P791*Z791/100)</f>
        <v/>
      </c>
      <c r="R791" s="7" t="n"/>
      <c r="Y791" s="7" t="n"/>
      <c r="Z791" s="7" t="n"/>
      <c r="AA791" s="7" t="n"/>
      <c r="AD791">
        <f>IF($E791="","",IF($AT791=1,Settings!$C$8,IF($AS791=1,Settings!$C$6,Settings!$C$7))*100)</f>
        <v/>
      </c>
      <c r="AE791" s="7">
        <f>IF($E791="","",Z791*AD791/100)</f>
        <v/>
      </c>
      <c r="AF791" s="7">
        <f>IF($E791="","",Z791-AE791)</f>
        <v/>
      </c>
      <c r="AG791" s="7">
        <f>IF($E791="","",AF791-Q791)</f>
        <v/>
      </c>
      <c r="AK791" s="7" t="n"/>
      <c r="AN791" s="14" t="n"/>
      <c r="AQ791">
        <f>IF($E791="","",IF(COUNTIF($E$2:$E791,$E791)=1,1,0))</f>
        <v/>
      </c>
      <c r="AR791">
        <f>IF($AQ791=1,SUMPRODUCT(--($AU$2:$AU$1501&lt;$AU791))+1,"")</f>
        <v/>
      </c>
      <c r="AS791">
        <f>IF($E791="","",IF(OR($U791=TRUE(),$U791="TRUE"),1,0))</f>
        <v/>
      </c>
      <c r="AT791">
        <f>IF($E791="","",IF($AC791="Yes",1,0))</f>
        <v/>
      </c>
      <c r="AU791">
        <f>IF($AQ791=1,IFERROR(IF(VALUE($E791)&lt;100000000,VALUE($E791),1000000000),IFERROR(IF(VALUE(MID($E791,2,20))&lt;100000000,VALUE(MID($E791,2,20)),1000000000),1000000000))+ROW()/100000,"")</f>
        <v/>
      </c>
    </row>
    <row r="792">
      <c r="G792" s="14" t="n"/>
      <c r="Q792" s="7">
        <f>IF($E792="","",P792*Z792/100)</f>
        <v/>
      </c>
      <c r="R792" s="7" t="n"/>
      <c r="Y792" s="7" t="n"/>
      <c r="Z792" s="7" t="n"/>
      <c r="AA792" s="7" t="n"/>
      <c r="AD792">
        <f>IF($E792="","",IF($AT792=1,Settings!$C$8,IF($AS792=1,Settings!$C$6,Settings!$C$7))*100)</f>
        <v/>
      </c>
      <c r="AE792" s="7">
        <f>IF($E792="","",Z792*AD792/100)</f>
        <v/>
      </c>
      <c r="AF792" s="7">
        <f>IF($E792="","",Z792-AE792)</f>
        <v/>
      </c>
      <c r="AG792" s="7">
        <f>IF($E792="","",AF792-Q792)</f>
        <v/>
      </c>
      <c r="AK792" s="7" t="n"/>
      <c r="AN792" s="14" t="n"/>
      <c r="AQ792">
        <f>IF($E792="","",IF(COUNTIF($E$2:$E792,$E792)=1,1,0))</f>
        <v/>
      </c>
      <c r="AR792">
        <f>IF($AQ792=1,SUMPRODUCT(--($AU$2:$AU$1501&lt;$AU792))+1,"")</f>
        <v/>
      </c>
      <c r="AS792">
        <f>IF($E792="","",IF(OR($U792=TRUE(),$U792="TRUE"),1,0))</f>
        <v/>
      </c>
      <c r="AT792">
        <f>IF($E792="","",IF($AC792="Yes",1,0))</f>
        <v/>
      </c>
      <c r="AU792">
        <f>IF($AQ792=1,IFERROR(IF(VALUE($E792)&lt;100000000,VALUE($E792),1000000000),IFERROR(IF(VALUE(MID($E792,2,20))&lt;100000000,VALUE(MID($E792,2,20)),1000000000),1000000000))+ROW()/100000,"")</f>
        <v/>
      </c>
    </row>
    <row r="793">
      <c r="G793" s="14" t="n"/>
      <c r="Q793" s="7">
        <f>IF($E793="","",P793*Z793/100)</f>
        <v/>
      </c>
      <c r="R793" s="7" t="n"/>
      <c r="Y793" s="7" t="n"/>
      <c r="Z793" s="7" t="n"/>
      <c r="AA793" s="7" t="n"/>
      <c r="AD793">
        <f>IF($E793="","",IF($AT793=1,Settings!$C$8,IF($AS793=1,Settings!$C$6,Settings!$C$7))*100)</f>
        <v/>
      </c>
      <c r="AE793" s="7">
        <f>IF($E793="","",Z793*AD793/100)</f>
        <v/>
      </c>
      <c r="AF793" s="7">
        <f>IF($E793="","",Z793-AE793)</f>
        <v/>
      </c>
      <c r="AG793" s="7">
        <f>IF($E793="","",AF793-Q793)</f>
        <v/>
      </c>
      <c r="AK793" s="7" t="n"/>
      <c r="AN793" s="14" t="n"/>
      <c r="AQ793">
        <f>IF($E793="","",IF(COUNTIF($E$2:$E793,$E793)=1,1,0))</f>
        <v/>
      </c>
      <c r="AR793">
        <f>IF($AQ793=1,SUMPRODUCT(--($AU$2:$AU$1501&lt;$AU793))+1,"")</f>
        <v/>
      </c>
      <c r="AS793">
        <f>IF($E793="","",IF(OR($U793=TRUE(),$U793="TRUE"),1,0))</f>
        <v/>
      </c>
      <c r="AT793">
        <f>IF($E793="","",IF($AC793="Yes",1,0))</f>
        <v/>
      </c>
      <c r="AU793">
        <f>IF($AQ793=1,IFERROR(IF(VALUE($E793)&lt;100000000,VALUE($E793),1000000000),IFERROR(IF(VALUE(MID($E793,2,20))&lt;100000000,VALUE(MID($E793,2,20)),1000000000),1000000000))+ROW()/100000,"")</f>
        <v/>
      </c>
    </row>
    <row r="794">
      <c r="G794" s="14" t="n"/>
      <c r="Q794" s="7">
        <f>IF($E794="","",P794*Z794/100)</f>
        <v/>
      </c>
      <c r="R794" s="7" t="n"/>
      <c r="Y794" s="7" t="n"/>
      <c r="Z794" s="7" t="n"/>
      <c r="AA794" s="7" t="n"/>
      <c r="AD794">
        <f>IF($E794="","",IF($AT794=1,Settings!$C$8,IF($AS794=1,Settings!$C$6,Settings!$C$7))*100)</f>
        <v/>
      </c>
      <c r="AE794" s="7">
        <f>IF($E794="","",Z794*AD794/100)</f>
        <v/>
      </c>
      <c r="AF794" s="7">
        <f>IF($E794="","",Z794-AE794)</f>
        <v/>
      </c>
      <c r="AG794" s="7">
        <f>IF($E794="","",AF794-Q794)</f>
        <v/>
      </c>
      <c r="AK794" s="7" t="n"/>
      <c r="AN794" s="14" t="n"/>
      <c r="AQ794">
        <f>IF($E794="","",IF(COUNTIF($E$2:$E794,$E794)=1,1,0))</f>
        <v/>
      </c>
      <c r="AR794">
        <f>IF($AQ794=1,SUMPRODUCT(--($AU$2:$AU$1501&lt;$AU794))+1,"")</f>
        <v/>
      </c>
      <c r="AS794">
        <f>IF($E794="","",IF(OR($U794=TRUE(),$U794="TRUE"),1,0))</f>
        <v/>
      </c>
      <c r="AT794">
        <f>IF($E794="","",IF($AC794="Yes",1,0))</f>
        <v/>
      </c>
      <c r="AU794">
        <f>IF($AQ794=1,IFERROR(IF(VALUE($E794)&lt;100000000,VALUE($E794),1000000000),IFERROR(IF(VALUE(MID($E794,2,20))&lt;100000000,VALUE(MID($E794,2,20)),1000000000),1000000000))+ROW()/100000,"")</f>
        <v/>
      </c>
    </row>
    <row r="795">
      <c r="G795" s="14" t="n"/>
      <c r="Q795" s="7">
        <f>IF($E795="","",P795*Z795/100)</f>
        <v/>
      </c>
      <c r="R795" s="7" t="n"/>
      <c r="Y795" s="7" t="n"/>
      <c r="Z795" s="7" t="n"/>
      <c r="AA795" s="7" t="n"/>
      <c r="AD795">
        <f>IF($E795="","",IF($AT795=1,Settings!$C$8,IF($AS795=1,Settings!$C$6,Settings!$C$7))*100)</f>
        <v/>
      </c>
      <c r="AE795" s="7">
        <f>IF($E795="","",Z795*AD795/100)</f>
        <v/>
      </c>
      <c r="AF795" s="7">
        <f>IF($E795="","",Z795-AE795)</f>
        <v/>
      </c>
      <c r="AG795" s="7">
        <f>IF($E795="","",AF795-Q795)</f>
        <v/>
      </c>
      <c r="AK795" s="7" t="n"/>
      <c r="AN795" s="14" t="n"/>
      <c r="AQ795">
        <f>IF($E795="","",IF(COUNTIF($E$2:$E795,$E795)=1,1,0))</f>
        <v/>
      </c>
      <c r="AR795">
        <f>IF($AQ795=1,SUMPRODUCT(--($AU$2:$AU$1501&lt;$AU795))+1,"")</f>
        <v/>
      </c>
      <c r="AS795">
        <f>IF($E795="","",IF(OR($U795=TRUE(),$U795="TRUE"),1,0))</f>
        <v/>
      </c>
      <c r="AT795">
        <f>IF($E795="","",IF($AC795="Yes",1,0))</f>
        <v/>
      </c>
      <c r="AU795">
        <f>IF($AQ795=1,IFERROR(IF(VALUE($E795)&lt;100000000,VALUE($E795),1000000000),IFERROR(IF(VALUE(MID($E795,2,20))&lt;100000000,VALUE(MID($E795,2,20)),1000000000),1000000000))+ROW()/100000,"")</f>
        <v/>
      </c>
    </row>
    <row r="796">
      <c r="G796" s="14" t="n"/>
      <c r="Q796" s="7">
        <f>IF($E796="","",P796*Z796/100)</f>
        <v/>
      </c>
      <c r="R796" s="7" t="n"/>
      <c r="Y796" s="7" t="n"/>
      <c r="Z796" s="7" t="n"/>
      <c r="AA796" s="7" t="n"/>
      <c r="AD796">
        <f>IF($E796="","",IF($AT796=1,Settings!$C$8,IF($AS796=1,Settings!$C$6,Settings!$C$7))*100)</f>
        <v/>
      </c>
      <c r="AE796" s="7">
        <f>IF($E796="","",Z796*AD796/100)</f>
        <v/>
      </c>
      <c r="AF796" s="7">
        <f>IF($E796="","",Z796-AE796)</f>
        <v/>
      </c>
      <c r="AG796" s="7">
        <f>IF($E796="","",AF796-Q796)</f>
        <v/>
      </c>
      <c r="AK796" s="7" t="n"/>
      <c r="AN796" s="14" t="n"/>
      <c r="AQ796">
        <f>IF($E796="","",IF(COUNTIF($E$2:$E796,$E796)=1,1,0))</f>
        <v/>
      </c>
      <c r="AR796">
        <f>IF($AQ796=1,SUMPRODUCT(--($AU$2:$AU$1501&lt;$AU796))+1,"")</f>
        <v/>
      </c>
      <c r="AS796">
        <f>IF($E796="","",IF(OR($U796=TRUE(),$U796="TRUE"),1,0))</f>
        <v/>
      </c>
      <c r="AT796">
        <f>IF($E796="","",IF($AC796="Yes",1,0))</f>
        <v/>
      </c>
      <c r="AU796">
        <f>IF($AQ796=1,IFERROR(IF(VALUE($E796)&lt;100000000,VALUE($E796),1000000000),IFERROR(IF(VALUE(MID($E796,2,20))&lt;100000000,VALUE(MID($E796,2,20)),1000000000),1000000000))+ROW()/100000,"")</f>
        <v/>
      </c>
    </row>
    <row r="797">
      <c r="G797" s="14" t="n"/>
      <c r="Q797" s="7">
        <f>IF($E797="","",P797*Z797/100)</f>
        <v/>
      </c>
      <c r="R797" s="7" t="n"/>
      <c r="Y797" s="7" t="n"/>
      <c r="Z797" s="7" t="n"/>
      <c r="AA797" s="7" t="n"/>
      <c r="AD797">
        <f>IF($E797="","",IF($AT797=1,Settings!$C$8,IF($AS797=1,Settings!$C$6,Settings!$C$7))*100)</f>
        <v/>
      </c>
      <c r="AE797" s="7">
        <f>IF($E797="","",Z797*AD797/100)</f>
        <v/>
      </c>
      <c r="AF797" s="7">
        <f>IF($E797="","",Z797-AE797)</f>
        <v/>
      </c>
      <c r="AG797" s="7">
        <f>IF($E797="","",AF797-Q797)</f>
        <v/>
      </c>
      <c r="AK797" s="7" t="n"/>
      <c r="AN797" s="14" t="n"/>
      <c r="AQ797">
        <f>IF($E797="","",IF(COUNTIF($E$2:$E797,$E797)=1,1,0))</f>
        <v/>
      </c>
      <c r="AR797">
        <f>IF($AQ797=1,SUMPRODUCT(--($AU$2:$AU$1501&lt;$AU797))+1,"")</f>
        <v/>
      </c>
      <c r="AS797">
        <f>IF($E797="","",IF(OR($U797=TRUE(),$U797="TRUE"),1,0))</f>
        <v/>
      </c>
      <c r="AT797">
        <f>IF($E797="","",IF($AC797="Yes",1,0))</f>
        <v/>
      </c>
      <c r="AU797">
        <f>IF($AQ797=1,IFERROR(IF(VALUE($E797)&lt;100000000,VALUE($E797),1000000000),IFERROR(IF(VALUE(MID($E797,2,20))&lt;100000000,VALUE(MID($E797,2,20)),1000000000),1000000000))+ROW()/100000,"")</f>
        <v/>
      </c>
    </row>
    <row r="798">
      <c r="G798" s="14" t="n"/>
      <c r="Q798" s="7">
        <f>IF($E798="","",P798*Z798/100)</f>
        <v/>
      </c>
      <c r="R798" s="7" t="n"/>
      <c r="Y798" s="7" t="n"/>
      <c r="Z798" s="7" t="n"/>
      <c r="AA798" s="7" t="n"/>
      <c r="AD798">
        <f>IF($E798="","",IF($AT798=1,Settings!$C$8,IF($AS798=1,Settings!$C$6,Settings!$C$7))*100)</f>
        <v/>
      </c>
      <c r="AE798" s="7">
        <f>IF($E798="","",Z798*AD798/100)</f>
        <v/>
      </c>
      <c r="AF798" s="7">
        <f>IF($E798="","",Z798-AE798)</f>
        <v/>
      </c>
      <c r="AG798" s="7">
        <f>IF($E798="","",AF798-Q798)</f>
        <v/>
      </c>
      <c r="AK798" s="7" t="n"/>
      <c r="AN798" s="14" t="n"/>
      <c r="AQ798">
        <f>IF($E798="","",IF(COUNTIF($E$2:$E798,$E798)=1,1,0))</f>
        <v/>
      </c>
      <c r="AR798">
        <f>IF($AQ798=1,SUMPRODUCT(--($AU$2:$AU$1501&lt;$AU798))+1,"")</f>
        <v/>
      </c>
      <c r="AS798">
        <f>IF($E798="","",IF(OR($U798=TRUE(),$U798="TRUE"),1,0))</f>
        <v/>
      </c>
      <c r="AT798">
        <f>IF($E798="","",IF($AC798="Yes",1,0))</f>
        <v/>
      </c>
      <c r="AU798">
        <f>IF($AQ798=1,IFERROR(IF(VALUE($E798)&lt;100000000,VALUE($E798),1000000000),IFERROR(IF(VALUE(MID($E798,2,20))&lt;100000000,VALUE(MID($E798,2,20)),1000000000),1000000000))+ROW()/100000,"")</f>
        <v/>
      </c>
    </row>
    <row r="799">
      <c r="G799" s="14" t="n"/>
      <c r="Q799" s="7">
        <f>IF($E799="","",P799*Z799/100)</f>
        <v/>
      </c>
      <c r="R799" s="7" t="n"/>
      <c r="Y799" s="7" t="n"/>
      <c r="Z799" s="7" t="n"/>
      <c r="AA799" s="7" t="n"/>
      <c r="AD799">
        <f>IF($E799="","",IF($AT799=1,Settings!$C$8,IF($AS799=1,Settings!$C$6,Settings!$C$7))*100)</f>
        <v/>
      </c>
      <c r="AE799" s="7">
        <f>IF($E799="","",Z799*AD799/100)</f>
        <v/>
      </c>
      <c r="AF799" s="7">
        <f>IF($E799="","",Z799-AE799)</f>
        <v/>
      </c>
      <c r="AG799" s="7">
        <f>IF($E799="","",AF799-Q799)</f>
        <v/>
      </c>
      <c r="AK799" s="7" t="n"/>
      <c r="AN799" s="14" t="n"/>
      <c r="AQ799">
        <f>IF($E799="","",IF(COUNTIF($E$2:$E799,$E799)=1,1,0))</f>
        <v/>
      </c>
      <c r="AR799">
        <f>IF($AQ799=1,SUMPRODUCT(--($AU$2:$AU$1501&lt;$AU799))+1,"")</f>
        <v/>
      </c>
      <c r="AS799">
        <f>IF($E799="","",IF(OR($U799=TRUE(),$U799="TRUE"),1,0))</f>
        <v/>
      </c>
      <c r="AT799">
        <f>IF($E799="","",IF($AC799="Yes",1,0))</f>
        <v/>
      </c>
      <c r="AU799">
        <f>IF($AQ799=1,IFERROR(IF(VALUE($E799)&lt;100000000,VALUE($E799),1000000000),IFERROR(IF(VALUE(MID($E799,2,20))&lt;100000000,VALUE(MID($E799,2,20)),1000000000),1000000000))+ROW()/100000,"")</f>
        <v/>
      </c>
    </row>
    <row r="800">
      <c r="G800" s="14" t="n"/>
      <c r="Q800" s="7">
        <f>IF($E800="","",P800*Z800/100)</f>
        <v/>
      </c>
      <c r="R800" s="7" t="n"/>
      <c r="Y800" s="7" t="n"/>
      <c r="Z800" s="7" t="n"/>
      <c r="AA800" s="7" t="n"/>
      <c r="AD800">
        <f>IF($E800="","",IF($AT800=1,Settings!$C$8,IF($AS800=1,Settings!$C$6,Settings!$C$7))*100)</f>
        <v/>
      </c>
      <c r="AE800" s="7">
        <f>IF($E800="","",Z800*AD800/100)</f>
        <v/>
      </c>
      <c r="AF800" s="7">
        <f>IF($E800="","",Z800-AE800)</f>
        <v/>
      </c>
      <c r="AG800" s="7">
        <f>IF($E800="","",AF800-Q800)</f>
        <v/>
      </c>
      <c r="AK800" s="7" t="n"/>
      <c r="AN800" s="14" t="n"/>
      <c r="AQ800">
        <f>IF($E800="","",IF(COUNTIF($E$2:$E800,$E800)=1,1,0))</f>
        <v/>
      </c>
      <c r="AR800">
        <f>IF($AQ800=1,SUMPRODUCT(--($AU$2:$AU$1501&lt;$AU800))+1,"")</f>
        <v/>
      </c>
      <c r="AS800">
        <f>IF($E800="","",IF(OR($U800=TRUE(),$U800="TRUE"),1,0))</f>
        <v/>
      </c>
      <c r="AT800">
        <f>IF($E800="","",IF($AC800="Yes",1,0))</f>
        <v/>
      </c>
      <c r="AU800">
        <f>IF($AQ800=1,IFERROR(IF(VALUE($E800)&lt;100000000,VALUE($E800),1000000000),IFERROR(IF(VALUE(MID($E800,2,20))&lt;100000000,VALUE(MID($E800,2,20)),1000000000),1000000000))+ROW()/100000,"")</f>
        <v/>
      </c>
    </row>
    <row r="801">
      <c r="G801" s="14" t="n"/>
      <c r="Q801" s="7">
        <f>IF($E801="","",P801*Z801/100)</f>
        <v/>
      </c>
      <c r="R801" s="7" t="n"/>
      <c r="Y801" s="7" t="n"/>
      <c r="Z801" s="7" t="n"/>
      <c r="AA801" s="7" t="n"/>
      <c r="AD801">
        <f>IF($E801="","",IF($AT801=1,Settings!$C$8,IF($AS801=1,Settings!$C$6,Settings!$C$7))*100)</f>
        <v/>
      </c>
      <c r="AE801" s="7">
        <f>IF($E801="","",Z801*AD801/100)</f>
        <v/>
      </c>
      <c r="AF801" s="7">
        <f>IF($E801="","",Z801-AE801)</f>
        <v/>
      </c>
      <c r="AG801" s="7">
        <f>IF($E801="","",AF801-Q801)</f>
        <v/>
      </c>
      <c r="AK801" s="7" t="n"/>
      <c r="AN801" s="14" t="n"/>
      <c r="AQ801">
        <f>IF($E801="","",IF(COUNTIF($E$2:$E801,$E801)=1,1,0))</f>
        <v/>
      </c>
      <c r="AR801">
        <f>IF($AQ801=1,SUMPRODUCT(--($AU$2:$AU$1501&lt;$AU801))+1,"")</f>
        <v/>
      </c>
      <c r="AS801">
        <f>IF($E801="","",IF(OR($U801=TRUE(),$U801="TRUE"),1,0))</f>
        <v/>
      </c>
      <c r="AT801">
        <f>IF($E801="","",IF($AC801="Yes",1,0))</f>
        <v/>
      </c>
      <c r="AU801">
        <f>IF($AQ801=1,IFERROR(IF(VALUE($E801)&lt;100000000,VALUE($E801),1000000000),IFERROR(IF(VALUE(MID($E801,2,20))&lt;100000000,VALUE(MID($E801,2,20)),1000000000),1000000000))+ROW()/100000,"")</f>
        <v/>
      </c>
    </row>
    <row r="802">
      <c r="G802" s="14" t="n"/>
      <c r="Q802" s="7">
        <f>IF($E802="","",P802*Z802/100)</f>
        <v/>
      </c>
      <c r="R802" s="7" t="n"/>
      <c r="Y802" s="7" t="n"/>
      <c r="Z802" s="7" t="n"/>
      <c r="AA802" s="7" t="n"/>
      <c r="AD802">
        <f>IF($E802="","",IF($AT802=1,Settings!$C$8,IF($AS802=1,Settings!$C$6,Settings!$C$7))*100)</f>
        <v/>
      </c>
      <c r="AE802" s="7">
        <f>IF($E802="","",Z802*AD802/100)</f>
        <v/>
      </c>
      <c r="AF802" s="7">
        <f>IF($E802="","",Z802-AE802)</f>
        <v/>
      </c>
      <c r="AG802" s="7">
        <f>IF($E802="","",AF802-Q802)</f>
        <v/>
      </c>
      <c r="AK802" s="7" t="n"/>
      <c r="AN802" s="14" t="n"/>
      <c r="AQ802">
        <f>IF($E802="","",IF(COUNTIF($E$2:$E802,$E802)=1,1,0))</f>
        <v/>
      </c>
      <c r="AR802">
        <f>IF($AQ802=1,SUMPRODUCT(--($AU$2:$AU$1501&lt;$AU802))+1,"")</f>
        <v/>
      </c>
      <c r="AS802">
        <f>IF($E802="","",IF(OR($U802=TRUE(),$U802="TRUE"),1,0))</f>
        <v/>
      </c>
      <c r="AT802">
        <f>IF($E802="","",IF($AC802="Yes",1,0))</f>
        <v/>
      </c>
      <c r="AU802">
        <f>IF($AQ802=1,IFERROR(IF(VALUE($E802)&lt;100000000,VALUE($E802),1000000000),IFERROR(IF(VALUE(MID($E802,2,20))&lt;100000000,VALUE(MID($E802,2,20)),1000000000),1000000000))+ROW()/100000,"")</f>
        <v/>
      </c>
    </row>
    <row r="803">
      <c r="G803" s="14" t="n"/>
      <c r="Q803" s="7">
        <f>IF($E803="","",P803*Z803/100)</f>
        <v/>
      </c>
      <c r="R803" s="7" t="n"/>
      <c r="Y803" s="7" t="n"/>
      <c r="Z803" s="7" t="n"/>
      <c r="AA803" s="7" t="n"/>
      <c r="AD803">
        <f>IF($E803="","",IF($AT803=1,Settings!$C$8,IF($AS803=1,Settings!$C$6,Settings!$C$7))*100)</f>
        <v/>
      </c>
      <c r="AE803" s="7">
        <f>IF($E803="","",Z803*AD803/100)</f>
        <v/>
      </c>
      <c r="AF803" s="7">
        <f>IF($E803="","",Z803-AE803)</f>
        <v/>
      </c>
      <c r="AG803" s="7">
        <f>IF($E803="","",AF803-Q803)</f>
        <v/>
      </c>
      <c r="AK803" s="7" t="n"/>
      <c r="AN803" s="14" t="n"/>
      <c r="AQ803">
        <f>IF($E803="","",IF(COUNTIF($E$2:$E803,$E803)=1,1,0))</f>
        <v/>
      </c>
      <c r="AR803">
        <f>IF($AQ803=1,SUMPRODUCT(--($AU$2:$AU$1501&lt;$AU803))+1,"")</f>
        <v/>
      </c>
      <c r="AS803">
        <f>IF($E803="","",IF(OR($U803=TRUE(),$U803="TRUE"),1,0))</f>
        <v/>
      </c>
      <c r="AT803">
        <f>IF($E803="","",IF($AC803="Yes",1,0))</f>
        <v/>
      </c>
      <c r="AU803">
        <f>IF($AQ803=1,IFERROR(IF(VALUE($E803)&lt;100000000,VALUE($E803),1000000000),IFERROR(IF(VALUE(MID($E803,2,20))&lt;100000000,VALUE(MID($E803,2,20)),1000000000),1000000000))+ROW()/100000,"")</f>
        <v/>
      </c>
    </row>
    <row r="804">
      <c r="G804" s="14" t="n"/>
      <c r="Q804" s="7">
        <f>IF($E804="","",P804*Z804/100)</f>
        <v/>
      </c>
      <c r="R804" s="7" t="n"/>
      <c r="Y804" s="7" t="n"/>
      <c r="Z804" s="7" t="n"/>
      <c r="AA804" s="7" t="n"/>
      <c r="AD804">
        <f>IF($E804="","",IF($AT804=1,Settings!$C$8,IF($AS804=1,Settings!$C$6,Settings!$C$7))*100)</f>
        <v/>
      </c>
      <c r="AE804" s="7">
        <f>IF($E804="","",Z804*AD804/100)</f>
        <v/>
      </c>
      <c r="AF804" s="7">
        <f>IF($E804="","",Z804-AE804)</f>
        <v/>
      </c>
      <c r="AG804" s="7">
        <f>IF($E804="","",AF804-Q804)</f>
        <v/>
      </c>
      <c r="AK804" s="7" t="n"/>
      <c r="AN804" s="14" t="n"/>
      <c r="AQ804">
        <f>IF($E804="","",IF(COUNTIF($E$2:$E804,$E804)=1,1,0))</f>
        <v/>
      </c>
      <c r="AR804">
        <f>IF($AQ804=1,SUMPRODUCT(--($AU$2:$AU$1501&lt;$AU804))+1,"")</f>
        <v/>
      </c>
      <c r="AS804">
        <f>IF($E804="","",IF(OR($U804=TRUE(),$U804="TRUE"),1,0))</f>
        <v/>
      </c>
      <c r="AT804">
        <f>IF($E804="","",IF($AC804="Yes",1,0))</f>
        <v/>
      </c>
      <c r="AU804">
        <f>IF($AQ804=1,IFERROR(IF(VALUE($E804)&lt;100000000,VALUE($E804),1000000000),IFERROR(IF(VALUE(MID($E804,2,20))&lt;100000000,VALUE(MID($E804,2,20)),1000000000),1000000000))+ROW()/100000,"")</f>
        <v/>
      </c>
    </row>
    <row r="805">
      <c r="G805" s="14" t="n"/>
      <c r="Q805" s="7">
        <f>IF($E805="","",P805*Z805/100)</f>
        <v/>
      </c>
      <c r="R805" s="7" t="n"/>
      <c r="Y805" s="7" t="n"/>
      <c r="Z805" s="7" t="n"/>
      <c r="AA805" s="7" t="n"/>
      <c r="AD805">
        <f>IF($E805="","",IF($AT805=1,Settings!$C$8,IF($AS805=1,Settings!$C$6,Settings!$C$7))*100)</f>
        <v/>
      </c>
      <c r="AE805" s="7">
        <f>IF($E805="","",Z805*AD805/100)</f>
        <v/>
      </c>
      <c r="AF805" s="7">
        <f>IF($E805="","",Z805-AE805)</f>
        <v/>
      </c>
      <c r="AG805" s="7">
        <f>IF($E805="","",AF805-Q805)</f>
        <v/>
      </c>
      <c r="AK805" s="7" t="n"/>
      <c r="AN805" s="14" t="n"/>
      <c r="AQ805">
        <f>IF($E805="","",IF(COUNTIF($E$2:$E805,$E805)=1,1,0))</f>
        <v/>
      </c>
      <c r="AR805">
        <f>IF($AQ805=1,SUMPRODUCT(--($AU$2:$AU$1501&lt;$AU805))+1,"")</f>
        <v/>
      </c>
      <c r="AS805">
        <f>IF($E805="","",IF(OR($U805=TRUE(),$U805="TRUE"),1,0))</f>
        <v/>
      </c>
      <c r="AT805">
        <f>IF($E805="","",IF($AC805="Yes",1,0))</f>
        <v/>
      </c>
      <c r="AU805">
        <f>IF($AQ805=1,IFERROR(IF(VALUE($E805)&lt;100000000,VALUE($E805),1000000000),IFERROR(IF(VALUE(MID($E805,2,20))&lt;100000000,VALUE(MID($E805,2,20)),1000000000),1000000000))+ROW()/100000,"")</f>
        <v/>
      </c>
    </row>
    <row r="806">
      <c r="G806" s="14" t="n"/>
      <c r="Q806" s="7">
        <f>IF($E806="","",P806*Z806/100)</f>
        <v/>
      </c>
      <c r="R806" s="7" t="n"/>
      <c r="Y806" s="7" t="n"/>
      <c r="Z806" s="7" t="n"/>
      <c r="AA806" s="7" t="n"/>
      <c r="AD806">
        <f>IF($E806="","",IF($AT806=1,Settings!$C$8,IF($AS806=1,Settings!$C$6,Settings!$C$7))*100)</f>
        <v/>
      </c>
      <c r="AE806" s="7">
        <f>IF($E806="","",Z806*AD806/100)</f>
        <v/>
      </c>
      <c r="AF806" s="7">
        <f>IF($E806="","",Z806-AE806)</f>
        <v/>
      </c>
      <c r="AG806" s="7">
        <f>IF($E806="","",AF806-Q806)</f>
        <v/>
      </c>
      <c r="AK806" s="7" t="n"/>
      <c r="AN806" s="14" t="n"/>
      <c r="AQ806">
        <f>IF($E806="","",IF(COUNTIF($E$2:$E806,$E806)=1,1,0))</f>
        <v/>
      </c>
      <c r="AR806">
        <f>IF($AQ806=1,SUMPRODUCT(--($AU$2:$AU$1501&lt;$AU806))+1,"")</f>
        <v/>
      </c>
      <c r="AS806">
        <f>IF($E806="","",IF(OR($U806=TRUE(),$U806="TRUE"),1,0))</f>
        <v/>
      </c>
      <c r="AT806">
        <f>IF($E806="","",IF($AC806="Yes",1,0))</f>
        <v/>
      </c>
      <c r="AU806">
        <f>IF($AQ806=1,IFERROR(IF(VALUE($E806)&lt;100000000,VALUE($E806),1000000000),IFERROR(IF(VALUE(MID($E806,2,20))&lt;100000000,VALUE(MID($E806,2,20)),1000000000),1000000000))+ROW()/100000,"")</f>
        <v/>
      </c>
    </row>
    <row r="807">
      <c r="G807" s="14" t="n"/>
      <c r="Q807" s="7">
        <f>IF($E807="","",P807*Z807/100)</f>
        <v/>
      </c>
      <c r="R807" s="7" t="n"/>
      <c r="Y807" s="7" t="n"/>
      <c r="Z807" s="7" t="n"/>
      <c r="AA807" s="7" t="n"/>
      <c r="AD807">
        <f>IF($E807="","",IF($AT807=1,Settings!$C$8,IF($AS807=1,Settings!$C$6,Settings!$C$7))*100)</f>
        <v/>
      </c>
      <c r="AE807" s="7">
        <f>IF($E807="","",Z807*AD807/100)</f>
        <v/>
      </c>
      <c r="AF807" s="7">
        <f>IF($E807="","",Z807-AE807)</f>
        <v/>
      </c>
      <c r="AG807" s="7">
        <f>IF($E807="","",AF807-Q807)</f>
        <v/>
      </c>
      <c r="AK807" s="7" t="n"/>
      <c r="AN807" s="14" t="n"/>
      <c r="AQ807">
        <f>IF($E807="","",IF(COUNTIF($E$2:$E807,$E807)=1,1,0))</f>
        <v/>
      </c>
      <c r="AR807">
        <f>IF($AQ807=1,SUMPRODUCT(--($AU$2:$AU$1501&lt;$AU807))+1,"")</f>
        <v/>
      </c>
      <c r="AS807">
        <f>IF($E807="","",IF(OR($U807=TRUE(),$U807="TRUE"),1,0))</f>
        <v/>
      </c>
      <c r="AT807">
        <f>IF($E807="","",IF($AC807="Yes",1,0))</f>
        <v/>
      </c>
      <c r="AU807">
        <f>IF($AQ807=1,IFERROR(IF(VALUE($E807)&lt;100000000,VALUE($E807),1000000000),IFERROR(IF(VALUE(MID($E807,2,20))&lt;100000000,VALUE(MID($E807,2,20)),1000000000),1000000000))+ROW()/100000,"")</f>
        <v/>
      </c>
    </row>
    <row r="808">
      <c r="G808" s="14" t="n"/>
      <c r="Q808" s="7">
        <f>IF($E808="","",P808*Z808/100)</f>
        <v/>
      </c>
      <c r="R808" s="7" t="n"/>
      <c r="Y808" s="7" t="n"/>
      <c r="Z808" s="7" t="n"/>
      <c r="AA808" s="7" t="n"/>
      <c r="AD808">
        <f>IF($E808="","",IF($AT808=1,Settings!$C$8,IF($AS808=1,Settings!$C$6,Settings!$C$7))*100)</f>
        <v/>
      </c>
      <c r="AE808" s="7">
        <f>IF($E808="","",Z808*AD808/100)</f>
        <v/>
      </c>
      <c r="AF808" s="7">
        <f>IF($E808="","",Z808-AE808)</f>
        <v/>
      </c>
      <c r="AG808" s="7">
        <f>IF($E808="","",AF808-Q808)</f>
        <v/>
      </c>
      <c r="AK808" s="7" t="n"/>
      <c r="AN808" s="14" t="n"/>
      <c r="AQ808">
        <f>IF($E808="","",IF(COUNTIF($E$2:$E808,$E808)=1,1,0))</f>
        <v/>
      </c>
      <c r="AR808">
        <f>IF($AQ808=1,SUMPRODUCT(--($AU$2:$AU$1501&lt;$AU808))+1,"")</f>
        <v/>
      </c>
      <c r="AS808">
        <f>IF($E808="","",IF(OR($U808=TRUE(),$U808="TRUE"),1,0))</f>
        <v/>
      </c>
      <c r="AT808">
        <f>IF($E808="","",IF($AC808="Yes",1,0))</f>
        <v/>
      </c>
      <c r="AU808">
        <f>IF($AQ808=1,IFERROR(IF(VALUE($E808)&lt;100000000,VALUE($E808),1000000000),IFERROR(IF(VALUE(MID($E808,2,20))&lt;100000000,VALUE(MID($E808,2,20)),1000000000),1000000000))+ROW()/100000,"")</f>
        <v/>
      </c>
    </row>
    <row r="809">
      <c r="G809" s="14" t="n"/>
      <c r="Q809" s="7">
        <f>IF($E809="","",P809*Z809/100)</f>
        <v/>
      </c>
      <c r="R809" s="7" t="n"/>
      <c r="Y809" s="7" t="n"/>
      <c r="Z809" s="7" t="n"/>
      <c r="AA809" s="7" t="n"/>
      <c r="AD809">
        <f>IF($E809="","",IF($AT809=1,Settings!$C$8,IF($AS809=1,Settings!$C$6,Settings!$C$7))*100)</f>
        <v/>
      </c>
      <c r="AE809" s="7">
        <f>IF($E809="","",Z809*AD809/100)</f>
        <v/>
      </c>
      <c r="AF809" s="7">
        <f>IF($E809="","",Z809-AE809)</f>
        <v/>
      </c>
      <c r="AG809" s="7">
        <f>IF($E809="","",AF809-Q809)</f>
        <v/>
      </c>
      <c r="AK809" s="7" t="n"/>
      <c r="AN809" s="14" t="n"/>
      <c r="AQ809">
        <f>IF($E809="","",IF(COUNTIF($E$2:$E809,$E809)=1,1,0))</f>
        <v/>
      </c>
      <c r="AR809">
        <f>IF($AQ809=1,SUMPRODUCT(--($AU$2:$AU$1501&lt;$AU809))+1,"")</f>
        <v/>
      </c>
      <c r="AS809">
        <f>IF($E809="","",IF(OR($U809=TRUE(),$U809="TRUE"),1,0))</f>
        <v/>
      </c>
      <c r="AT809">
        <f>IF($E809="","",IF($AC809="Yes",1,0))</f>
        <v/>
      </c>
      <c r="AU809">
        <f>IF($AQ809=1,IFERROR(IF(VALUE($E809)&lt;100000000,VALUE($E809),1000000000),IFERROR(IF(VALUE(MID($E809,2,20))&lt;100000000,VALUE(MID($E809,2,20)),1000000000),1000000000))+ROW()/100000,"")</f>
        <v/>
      </c>
    </row>
    <row r="810">
      <c r="G810" s="14" t="n"/>
      <c r="Q810" s="7">
        <f>IF($E810="","",P810*Z810/100)</f>
        <v/>
      </c>
      <c r="R810" s="7" t="n"/>
      <c r="Y810" s="7" t="n"/>
      <c r="Z810" s="7" t="n"/>
      <c r="AA810" s="7" t="n"/>
      <c r="AD810">
        <f>IF($E810="","",IF($AT810=1,Settings!$C$8,IF($AS810=1,Settings!$C$6,Settings!$C$7))*100)</f>
        <v/>
      </c>
      <c r="AE810" s="7">
        <f>IF($E810="","",Z810*AD810/100)</f>
        <v/>
      </c>
      <c r="AF810" s="7">
        <f>IF($E810="","",Z810-AE810)</f>
        <v/>
      </c>
      <c r="AG810" s="7">
        <f>IF($E810="","",AF810-Q810)</f>
        <v/>
      </c>
      <c r="AK810" s="7" t="n"/>
      <c r="AN810" s="14" t="n"/>
      <c r="AQ810">
        <f>IF($E810="","",IF(COUNTIF($E$2:$E810,$E810)=1,1,0))</f>
        <v/>
      </c>
      <c r="AR810">
        <f>IF($AQ810=1,SUMPRODUCT(--($AU$2:$AU$1501&lt;$AU810))+1,"")</f>
        <v/>
      </c>
      <c r="AS810">
        <f>IF($E810="","",IF(OR($U810=TRUE(),$U810="TRUE"),1,0))</f>
        <v/>
      </c>
      <c r="AT810">
        <f>IF($E810="","",IF($AC810="Yes",1,0))</f>
        <v/>
      </c>
      <c r="AU810">
        <f>IF($AQ810=1,IFERROR(IF(VALUE($E810)&lt;100000000,VALUE($E810),1000000000),IFERROR(IF(VALUE(MID($E810,2,20))&lt;100000000,VALUE(MID($E810,2,20)),1000000000),1000000000))+ROW()/100000,"")</f>
        <v/>
      </c>
    </row>
    <row r="811">
      <c r="G811" s="14" t="n"/>
      <c r="Q811" s="7">
        <f>IF($E811="","",P811*Z811/100)</f>
        <v/>
      </c>
      <c r="R811" s="7" t="n"/>
      <c r="Y811" s="7" t="n"/>
      <c r="Z811" s="7" t="n"/>
      <c r="AA811" s="7" t="n"/>
      <c r="AD811">
        <f>IF($E811="","",IF($AT811=1,Settings!$C$8,IF($AS811=1,Settings!$C$6,Settings!$C$7))*100)</f>
        <v/>
      </c>
      <c r="AE811" s="7">
        <f>IF($E811="","",Z811*AD811/100)</f>
        <v/>
      </c>
      <c r="AF811" s="7">
        <f>IF($E811="","",Z811-AE811)</f>
        <v/>
      </c>
      <c r="AG811" s="7">
        <f>IF($E811="","",AF811-Q811)</f>
        <v/>
      </c>
      <c r="AK811" s="7" t="n"/>
      <c r="AN811" s="14" t="n"/>
      <c r="AQ811">
        <f>IF($E811="","",IF(COUNTIF($E$2:$E811,$E811)=1,1,0))</f>
        <v/>
      </c>
      <c r="AR811">
        <f>IF($AQ811=1,SUMPRODUCT(--($AU$2:$AU$1501&lt;$AU811))+1,"")</f>
        <v/>
      </c>
      <c r="AS811">
        <f>IF($E811="","",IF(OR($U811=TRUE(),$U811="TRUE"),1,0))</f>
        <v/>
      </c>
      <c r="AT811">
        <f>IF($E811="","",IF($AC811="Yes",1,0))</f>
        <v/>
      </c>
      <c r="AU811">
        <f>IF($AQ811=1,IFERROR(IF(VALUE($E811)&lt;100000000,VALUE($E811),1000000000),IFERROR(IF(VALUE(MID($E811,2,20))&lt;100000000,VALUE(MID($E811,2,20)),1000000000),1000000000))+ROW()/100000,"")</f>
        <v/>
      </c>
    </row>
    <row r="812">
      <c r="G812" s="14" t="n"/>
      <c r="Q812" s="7">
        <f>IF($E812="","",P812*Z812/100)</f>
        <v/>
      </c>
      <c r="R812" s="7" t="n"/>
      <c r="Y812" s="7" t="n"/>
      <c r="Z812" s="7" t="n"/>
      <c r="AA812" s="7" t="n"/>
      <c r="AD812">
        <f>IF($E812="","",IF($AT812=1,Settings!$C$8,IF($AS812=1,Settings!$C$6,Settings!$C$7))*100)</f>
        <v/>
      </c>
      <c r="AE812" s="7">
        <f>IF($E812="","",Z812*AD812/100)</f>
        <v/>
      </c>
      <c r="AF812" s="7">
        <f>IF($E812="","",Z812-AE812)</f>
        <v/>
      </c>
      <c r="AG812" s="7">
        <f>IF($E812="","",AF812-Q812)</f>
        <v/>
      </c>
      <c r="AK812" s="7" t="n"/>
      <c r="AN812" s="14" t="n"/>
      <c r="AQ812">
        <f>IF($E812="","",IF(COUNTIF($E$2:$E812,$E812)=1,1,0))</f>
        <v/>
      </c>
      <c r="AR812">
        <f>IF($AQ812=1,SUMPRODUCT(--($AU$2:$AU$1501&lt;$AU812))+1,"")</f>
        <v/>
      </c>
      <c r="AS812">
        <f>IF($E812="","",IF(OR($U812=TRUE(),$U812="TRUE"),1,0))</f>
        <v/>
      </c>
      <c r="AT812">
        <f>IF($E812="","",IF($AC812="Yes",1,0))</f>
        <v/>
      </c>
      <c r="AU812">
        <f>IF($AQ812=1,IFERROR(IF(VALUE($E812)&lt;100000000,VALUE($E812),1000000000),IFERROR(IF(VALUE(MID($E812,2,20))&lt;100000000,VALUE(MID($E812,2,20)),1000000000),1000000000))+ROW()/100000,"")</f>
        <v/>
      </c>
    </row>
    <row r="813">
      <c r="G813" s="14" t="n"/>
      <c r="Q813" s="7">
        <f>IF($E813="","",P813*Z813/100)</f>
        <v/>
      </c>
      <c r="R813" s="7" t="n"/>
      <c r="Y813" s="7" t="n"/>
      <c r="Z813" s="7" t="n"/>
      <c r="AA813" s="7" t="n"/>
      <c r="AD813">
        <f>IF($E813="","",IF($AT813=1,Settings!$C$8,IF($AS813=1,Settings!$C$6,Settings!$C$7))*100)</f>
        <v/>
      </c>
      <c r="AE813" s="7">
        <f>IF($E813="","",Z813*AD813/100)</f>
        <v/>
      </c>
      <c r="AF813" s="7">
        <f>IF($E813="","",Z813-AE813)</f>
        <v/>
      </c>
      <c r="AG813" s="7">
        <f>IF($E813="","",AF813-Q813)</f>
        <v/>
      </c>
      <c r="AK813" s="7" t="n"/>
      <c r="AN813" s="14" t="n"/>
      <c r="AQ813">
        <f>IF($E813="","",IF(COUNTIF($E$2:$E813,$E813)=1,1,0))</f>
        <v/>
      </c>
      <c r="AR813">
        <f>IF($AQ813=1,SUMPRODUCT(--($AU$2:$AU$1501&lt;$AU813))+1,"")</f>
        <v/>
      </c>
      <c r="AS813">
        <f>IF($E813="","",IF(OR($U813=TRUE(),$U813="TRUE"),1,0))</f>
        <v/>
      </c>
      <c r="AT813">
        <f>IF($E813="","",IF($AC813="Yes",1,0))</f>
        <v/>
      </c>
      <c r="AU813">
        <f>IF($AQ813=1,IFERROR(IF(VALUE($E813)&lt;100000000,VALUE($E813),1000000000),IFERROR(IF(VALUE(MID($E813,2,20))&lt;100000000,VALUE(MID($E813,2,20)),1000000000),1000000000))+ROW()/100000,"")</f>
        <v/>
      </c>
    </row>
    <row r="814">
      <c r="G814" s="14" t="n"/>
      <c r="Q814" s="7">
        <f>IF($E814="","",P814*Z814/100)</f>
        <v/>
      </c>
      <c r="R814" s="7" t="n"/>
      <c r="Y814" s="7" t="n"/>
      <c r="Z814" s="7" t="n"/>
      <c r="AA814" s="7" t="n"/>
      <c r="AD814">
        <f>IF($E814="","",IF($AT814=1,Settings!$C$8,IF($AS814=1,Settings!$C$6,Settings!$C$7))*100)</f>
        <v/>
      </c>
      <c r="AE814" s="7">
        <f>IF($E814="","",Z814*AD814/100)</f>
        <v/>
      </c>
      <c r="AF814" s="7">
        <f>IF($E814="","",Z814-AE814)</f>
        <v/>
      </c>
      <c r="AG814" s="7">
        <f>IF($E814="","",AF814-Q814)</f>
        <v/>
      </c>
      <c r="AK814" s="7" t="n"/>
      <c r="AN814" s="14" t="n"/>
      <c r="AQ814">
        <f>IF($E814="","",IF(COUNTIF($E$2:$E814,$E814)=1,1,0))</f>
        <v/>
      </c>
      <c r="AR814">
        <f>IF($AQ814=1,SUMPRODUCT(--($AU$2:$AU$1501&lt;$AU814))+1,"")</f>
        <v/>
      </c>
      <c r="AS814">
        <f>IF($E814="","",IF(OR($U814=TRUE(),$U814="TRUE"),1,0))</f>
        <v/>
      </c>
      <c r="AT814">
        <f>IF($E814="","",IF($AC814="Yes",1,0))</f>
        <v/>
      </c>
      <c r="AU814">
        <f>IF($AQ814=1,IFERROR(IF(VALUE($E814)&lt;100000000,VALUE($E814),1000000000),IFERROR(IF(VALUE(MID($E814,2,20))&lt;100000000,VALUE(MID($E814,2,20)),1000000000),1000000000))+ROW()/100000,"")</f>
        <v/>
      </c>
    </row>
    <row r="815">
      <c r="G815" s="14" t="n"/>
      <c r="Q815" s="7">
        <f>IF($E815="","",P815*Z815/100)</f>
        <v/>
      </c>
      <c r="R815" s="7" t="n"/>
      <c r="Y815" s="7" t="n"/>
      <c r="Z815" s="7" t="n"/>
      <c r="AA815" s="7" t="n"/>
      <c r="AD815">
        <f>IF($E815="","",IF($AT815=1,Settings!$C$8,IF($AS815=1,Settings!$C$6,Settings!$C$7))*100)</f>
        <v/>
      </c>
      <c r="AE815" s="7">
        <f>IF($E815="","",Z815*AD815/100)</f>
        <v/>
      </c>
      <c r="AF815" s="7">
        <f>IF($E815="","",Z815-AE815)</f>
        <v/>
      </c>
      <c r="AG815" s="7">
        <f>IF($E815="","",AF815-Q815)</f>
        <v/>
      </c>
      <c r="AK815" s="7" t="n"/>
      <c r="AN815" s="14" t="n"/>
      <c r="AQ815">
        <f>IF($E815="","",IF(COUNTIF($E$2:$E815,$E815)=1,1,0))</f>
        <v/>
      </c>
      <c r="AR815">
        <f>IF($AQ815=1,SUMPRODUCT(--($AU$2:$AU$1501&lt;$AU815))+1,"")</f>
        <v/>
      </c>
      <c r="AS815">
        <f>IF($E815="","",IF(OR($U815=TRUE(),$U815="TRUE"),1,0))</f>
        <v/>
      </c>
      <c r="AT815">
        <f>IF($E815="","",IF($AC815="Yes",1,0))</f>
        <v/>
      </c>
      <c r="AU815">
        <f>IF($AQ815=1,IFERROR(IF(VALUE($E815)&lt;100000000,VALUE($E815),1000000000),IFERROR(IF(VALUE(MID($E815,2,20))&lt;100000000,VALUE(MID($E815,2,20)),1000000000),1000000000))+ROW()/100000,"")</f>
        <v/>
      </c>
    </row>
    <row r="816">
      <c r="G816" s="14" t="n"/>
      <c r="Q816" s="7">
        <f>IF($E816="","",P816*Z816/100)</f>
        <v/>
      </c>
      <c r="R816" s="7" t="n"/>
      <c r="Y816" s="7" t="n"/>
      <c r="Z816" s="7" t="n"/>
      <c r="AA816" s="7" t="n"/>
      <c r="AD816">
        <f>IF($E816="","",IF($AT816=1,Settings!$C$8,IF($AS816=1,Settings!$C$6,Settings!$C$7))*100)</f>
        <v/>
      </c>
      <c r="AE816" s="7">
        <f>IF($E816="","",Z816*AD816/100)</f>
        <v/>
      </c>
      <c r="AF816" s="7">
        <f>IF($E816="","",Z816-AE816)</f>
        <v/>
      </c>
      <c r="AG816" s="7">
        <f>IF($E816="","",AF816-Q816)</f>
        <v/>
      </c>
      <c r="AK816" s="7" t="n"/>
      <c r="AN816" s="14" t="n"/>
      <c r="AQ816">
        <f>IF($E816="","",IF(COUNTIF($E$2:$E816,$E816)=1,1,0))</f>
        <v/>
      </c>
      <c r="AR816">
        <f>IF($AQ816=1,SUMPRODUCT(--($AU$2:$AU$1501&lt;$AU816))+1,"")</f>
        <v/>
      </c>
      <c r="AS816">
        <f>IF($E816="","",IF(OR($U816=TRUE(),$U816="TRUE"),1,0))</f>
        <v/>
      </c>
      <c r="AT816">
        <f>IF($E816="","",IF($AC816="Yes",1,0))</f>
        <v/>
      </c>
      <c r="AU816">
        <f>IF($AQ816=1,IFERROR(IF(VALUE($E816)&lt;100000000,VALUE($E816),1000000000),IFERROR(IF(VALUE(MID($E816,2,20))&lt;100000000,VALUE(MID($E816,2,20)),1000000000),1000000000))+ROW()/100000,"")</f>
        <v/>
      </c>
    </row>
    <row r="817">
      <c r="G817" s="14" t="n"/>
      <c r="Q817" s="7">
        <f>IF($E817="","",P817*Z817/100)</f>
        <v/>
      </c>
      <c r="R817" s="7" t="n"/>
      <c r="Y817" s="7" t="n"/>
      <c r="Z817" s="7" t="n"/>
      <c r="AA817" s="7" t="n"/>
      <c r="AD817">
        <f>IF($E817="","",IF($AT817=1,Settings!$C$8,IF($AS817=1,Settings!$C$6,Settings!$C$7))*100)</f>
        <v/>
      </c>
      <c r="AE817" s="7">
        <f>IF($E817="","",Z817*AD817/100)</f>
        <v/>
      </c>
      <c r="AF817" s="7">
        <f>IF($E817="","",Z817-AE817)</f>
        <v/>
      </c>
      <c r="AG817" s="7">
        <f>IF($E817="","",AF817-Q817)</f>
        <v/>
      </c>
      <c r="AK817" s="7" t="n"/>
      <c r="AN817" s="14" t="n"/>
      <c r="AQ817">
        <f>IF($E817="","",IF(COUNTIF($E$2:$E817,$E817)=1,1,0))</f>
        <v/>
      </c>
      <c r="AR817">
        <f>IF($AQ817=1,SUMPRODUCT(--($AU$2:$AU$1501&lt;$AU817))+1,"")</f>
        <v/>
      </c>
      <c r="AS817">
        <f>IF($E817="","",IF(OR($U817=TRUE(),$U817="TRUE"),1,0))</f>
        <v/>
      </c>
      <c r="AT817">
        <f>IF($E817="","",IF($AC817="Yes",1,0))</f>
        <v/>
      </c>
      <c r="AU817">
        <f>IF($AQ817=1,IFERROR(IF(VALUE($E817)&lt;100000000,VALUE($E817),1000000000),IFERROR(IF(VALUE(MID($E817,2,20))&lt;100000000,VALUE(MID($E817,2,20)),1000000000),1000000000))+ROW()/100000,"")</f>
        <v/>
      </c>
    </row>
    <row r="818">
      <c r="G818" s="14" t="n"/>
      <c r="Q818" s="7">
        <f>IF($E818="","",P818*Z818/100)</f>
        <v/>
      </c>
      <c r="R818" s="7" t="n"/>
      <c r="Y818" s="7" t="n"/>
      <c r="Z818" s="7" t="n"/>
      <c r="AA818" s="7" t="n"/>
      <c r="AD818">
        <f>IF($E818="","",IF($AT818=1,Settings!$C$8,IF($AS818=1,Settings!$C$6,Settings!$C$7))*100)</f>
        <v/>
      </c>
      <c r="AE818" s="7">
        <f>IF($E818="","",Z818*AD818/100)</f>
        <v/>
      </c>
      <c r="AF818" s="7">
        <f>IF($E818="","",Z818-AE818)</f>
        <v/>
      </c>
      <c r="AG818" s="7">
        <f>IF($E818="","",AF818-Q818)</f>
        <v/>
      </c>
      <c r="AK818" s="7" t="n"/>
      <c r="AN818" s="14" t="n"/>
      <c r="AQ818">
        <f>IF($E818="","",IF(COUNTIF($E$2:$E818,$E818)=1,1,0))</f>
        <v/>
      </c>
      <c r="AR818">
        <f>IF($AQ818=1,SUMPRODUCT(--($AU$2:$AU$1501&lt;$AU818))+1,"")</f>
        <v/>
      </c>
      <c r="AS818">
        <f>IF($E818="","",IF(OR($U818=TRUE(),$U818="TRUE"),1,0))</f>
        <v/>
      </c>
      <c r="AT818">
        <f>IF($E818="","",IF($AC818="Yes",1,0))</f>
        <v/>
      </c>
      <c r="AU818">
        <f>IF($AQ818=1,IFERROR(IF(VALUE($E818)&lt;100000000,VALUE($E818),1000000000),IFERROR(IF(VALUE(MID($E818,2,20))&lt;100000000,VALUE(MID($E818,2,20)),1000000000),1000000000))+ROW()/100000,"")</f>
        <v/>
      </c>
    </row>
    <row r="819">
      <c r="G819" s="14" t="n"/>
      <c r="Q819" s="7">
        <f>IF($E819="","",P819*Z819/100)</f>
        <v/>
      </c>
      <c r="R819" s="7" t="n"/>
      <c r="Y819" s="7" t="n"/>
      <c r="Z819" s="7" t="n"/>
      <c r="AA819" s="7" t="n"/>
      <c r="AD819">
        <f>IF($E819="","",IF($AT819=1,Settings!$C$8,IF($AS819=1,Settings!$C$6,Settings!$C$7))*100)</f>
        <v/>
      </c>
      <c r="AE819" s="7">
        <f>IF($E819="","",Z819*AD819/100)</f>
        <v/>
      </c>
      <c r="AF819" s="7">
        <f>IF($E819="","",Z819-AE819)</f>
        <v/>
      </c>
      <c r="AG819" s="7">
        <f>IF($E819="","",AF819-Q819)</f>
        <v/>
      </c>
      <c r="AK819" s="7" t="n"/>
      <c r="AN819" s="14" t="n"/>
      <c r="AQ819">
        <f>IF($E819="","",IF(COUNTIF($E$2:$E819,$E819)=1,1,0))</f>
        <v/>
      </c>
      <c r="AR819">
        <f>IF($AQ819=1,SUMPRODUCT(--($AU$2:$AU$1501&lt;$AU819))+1,"")</f>
        <v/>
      </c>
      <c r="AS819">
        <f>IF($E819="","",IF(OR($U819=TRUE(),$U819="TRUE"),1,0))</f>
        <v/>
      </c>
      <c r="AT819">
        <f>IF($E819="","",IF($AC819="Yes",1,0))</f>
        <v/>
      </c>
      <c r="AU819">
        <f>IF($AQ819=1,IFERROR(IF(VALUE($E819)&lt;100000000,VALUE($E819),1000000000),IFERROR(IF(VALUE(MID($E819,2,20))&lt;100000000,VALUE(MID($E819,2,20)),1000000000),1000000000))+ROW()/100000,"")</f>
        <v/>
      </c>
    </row>
    <row r="820">
      <c r="G820" s="14" t="n"/>
      <c r="Q820" s="7">
        <f>IF($E820="","",P820*Z820/100)</f>
        <v/>
      </c>
      <c r="R820" s="7" t="n"/>
      <c r="Y820" s="7" t="n"/>
      <c r="Z820" s="7" t="n"/>
      <c r="AA820" s="7" t="n"/>
      <c r="AD820">
        <f>IF($E820="","",IF($AT820=1,Settings!$C$8,IF($AS820=1,Settings!$C$6,Settings!$C$7))*100)</f>
        <v/>
      </c>
      <c r="AE820" s="7">
        <f>IF($E820="","",Z820*AD820/100)</f>
        <v/>
      </c>
      <c r="AF820" s="7">
        <f>IF($E820="","",Z820-AE820)</f>
        <v/>
      </c>
      <c r="AG820" s="7">
        <f>IF($E820="","",AF820-Q820)</f>
        <v/>
      </c>
      <c r="AK820" s="7" t="n"/>
      <c r="AN820" s="14" t="n"/>
      <c r="AQ820">
        <f>IF($E820="","",IF(COUNTIF($E$2:$E820,$E820)=1,1,0))</f>
        <v/>
      </c>
      <c r="AR820">
        <f>IF($AQ820=1,SUMPRODUCT(--($AU$2:$AU$1501&lt;$AU820))+1,"")</f>
        <v/>
      </c>
      <c r="AS820">
        <f>IF($E820="","",IF(OR($U820=TRUE(),$U820="TRUE"),1,0))</f>
        <v/>
      </c>
      <c r="AT820">
        <f>IF($E820="","",IF($AC820="Yes",1,0))</f>
        <v/>
      </c>
      <c r="AU820">
        <f>IF($AQ820=1,IFERROR(IF(VALUE($E820)&lt;100000000,VALUE($E820),1000000000),IFERROR(IF(VALUE(MID($E820,2,20))&lt;100000000,VALUE(MID($E820,2,20)),1000000000),1000000000))+ROW()/100000,"")</f>
        <v/>
      </c>
    </row>
    <row r="821">
      <c r="G821" s="14" t="n"/>
      <c r="Q821" s="7">
        <f>IF($E821="","",P821*Z821/100)</f>
        <v/>
      </c>
      <c r="R821" s="7" t="n"/>
      <c r="Y821" s="7" t="n"/>
      <c r="Z821" s="7" t="n"/>
      <c r="AA821" s="7" t="n"/>
      <c r="AD821">
        <f>IF($E821="","",IF($AT821=1,Settings!$C$8,IF($AS821=1,Settings!$C$6,Settings!$C$7))*100)</f>
        <v/>
      </c>
      <c r="AE821" s="7">
        <f>IF($E821="","",Z821*AD821/100)</f>
        <v/>
      </c>
      <c r="AF821" s="7">
        <f>IF($E821="","",Z821-AE821)</f>
        <v/>
      </c>
      <c r="AG821" s="7">
        <f>IF($E821="","",AF821-Q821)</f>
        <v/>
      </c>
      <c r="AK821" s="7" t="n"/>
      <c r="AN821" s="14" t="n"/>
      <c r="AQ821">
        <f>IF($E821="","",IF(COUNTIF($E$2:$E821,$E821)=1,1,0))</f>
        <v/>
      </c>
      <c r="AR821">
        <f>IF($AQ821=1,SUMPRODUCT(--($AU$2:$AU$1501&lt;$AU821))+1,"")</f>
        <v/>
      </c>
      <c r="AS821">
        <f>IF($E821="","",IF(OR($U821=TRUE(),$U821="TRUE"),1,0))</f>
        <v/>
      </c>
      <c r="AT821">
        <f>IF($E821="","",IF($AC821="Yes",1,0))</f>
        <v/>
      </c>
      <c r="AU821">
        <f>IF($AQ821=1,IFERROR(IF(VALUE($E821)&lt;100000000,VALUE($E821),1000000000),IFERROR(IF(VALUE(MID($E821,2,20))&lt;100000000,VALUE(MID($E821,2,20)),1000000000),1000000000))+ROW()/100000,"")</f>
        <v/>
      </c>
    </row>
    <row r="822">
      <c r="G822" s="14" t="n"/>
      <c r="Q822" s="7">
        <f>IF($E822="","",P822*Z822/100)</f>
        <v/>
      </c>
      <c r="R822" s="7" t="n"/>
      <c r="Y822" s="7" t="n"/>
      <c r="Z822" s="7" t="n"/>
      <c r="AA822" s="7" t="n"/>
      <c r="AD822">
        <f>IF($E822="","",IF($AT822=1,Settings!$C$8,IF($AS822=1,Settings!$C$6,Settings!$C$7))*100)</f>
        <v/>
      </c>
      <c r="AE822" s="7">
        <f>IF($E822="","",Z822*AD822/100)</f>
        <v/>
      </c>
      <c r="AF822" s="7">
        <f>IF($E822="","",Z822-AE822)</f>
        <v/>
      </c>
      <c r="AG822" s="7">
        <f>IF($E822="","",AF822-Q822)</f>
        <v/>
      </c>
      <c r="AK822" s="7" t="n"/>
      <c r="AN822" s="14" t="n"/>
      <c r="AQ822">
        <f>IF($E822="","",IF(COUNTIF($E$2:$E822,$E822)=1,1,0))</f>
        <v/>
      </c>
      <c r="AR822">
        <f>IF($AQ822=1,SUMPRODUCT(--($AU$2:$AU$1501&lt;$AU822))+1,"")</f>
        <v/>
      </c>
      <c r="AS822">
        <f>IF($E822="","",IF(OR($U822=TRUE(),$U822="TRUE"),1,0))</f>
        <v/>
      </c>
      <c r="AT822">
        <f>IF($E822="","",IF($AC822="Yes",1,0))</f>
        <v/>
      </c>
      <c r="AU822">
        <f>IF($AQ822=1,IFERROR(IF(VALUE($E822)&lt;100000000,VALUE($E822),1000000000),IFERROR(IF(VALUE(MID($E822,2,20))&lt;100000000,VALUE(MID($E822,2,20)),1000000000),1000000000))+ROW()/100000,"")</f>
        <v/>
      </c>
    </row>
    <row r="823">
      <c r="G823" s="14" t="n"/>
      <c r="Q823" s="7">
        <f>IF($E823="","",P823*Z823/100)</f>
        <v/>
      </c>
      <c r="R823" s="7" t="n"/>
      <c r="Y823" s="7" t="n"/>
      <c r="Z823" s="7" t="n"/>
      <c r="AA823" s="7" t="n"/>
      <c r="AD823">
        <f>IF($E823="","",IF($AT823=1,Settings!$C$8,IF($AS823=1,Settings!$C$6,Settings!$C$7))*100)</f>
        <v/>
      </c>
      <c r="AE823" s="7">
        <f>IF($E823="","",Z823*AD823/100)</f>
        <v/>
      </c>
      <c r="AF823" s="7">
        <f>IF($E823="","",Z823-AE823)</f>
        <v/>
      </c>
      <c r="AG823" s="7">
        <f>IF($E823="","",AF823-Q823)</f>
        <v/>
      </c>
      <c r="AK823" s="7" t="n"/>
      <c r="AN823" s="14" t="n"/>
      <c r="AQ823">
        <f>IF($E823="","",IF(COUNTIF($E$2:$E823,$E823)=1,1,0))</f>
        <v/>
      </c>
      <c r="AR823">
        <f>IF($AQ823=1,SUMPRODUCT(--($AU$2:$AU$1501&lt;$AU823))+1,"")</f>
        <v/>
      </c>
      <c r="AS823">
        <f>IF($E823="","",IF(OR($U823=TRUE(),$U823="TRUE"),1,0))</f>
        <v/>
      </c>
      <c r="AT823">
        <f>IF($E823="","",IF($AC823="Yes",1,0))</f>
        <v/>
      </c>
      <c r="AU823">
        <f>IF($AQ823=1,IFERROR(IF(VALUE($E823)&lt;100000000,VALUE($E823),1000000000),IFERROR(IF(VALUE(MID($E823,2,20))&lt;100000000,VALUE(MID($E823,2,20)),1000000000),1000000000))+ROW()/100000,"")</f>
        <v/>
      </c>
    </row>
    <row r="824">
      <c r="G824" s="14" t="n"/>
      <c r="Q824" s="7">
        <f>IF($E824="","",P824*Z824/100)</f>
        <v/>
      </c>
      <c r="R824" s="7" t="n"/>
      <c r="Y824" s="7" t="n"/>
      <c r="Z824" s="7" t="n"/>
      <c r="AA824" s="7" t="n"/>
      <c r="AD824">
        <f>IF($E824="","",IF($AT824=1,Settings!$C$8,IF($AS824=1,Settings!$C$6,Settings!$C$7))*100)</f>
        <v/>
      </c>
      <c r="AE824" s="7">
        <f>IF($E824="","",Z824*AD824/100)</f>
        <v/>
      </c>
      <c r="AF824" s="7">
        <f>IF($E824="","",Z824-AE824)</f>
        <v/>
      </c>
      <c r="AG824" s="7">
        <f>IF($E824="","",AF824-Q824)</f>
        <v/>
      </c>
      <c r="AK824" s="7" t="n"/>
      <c r="AN824" s="14" t="n"/>
      <c r="AQ824">
        <f>IF($E824="","",IF(COUNTIF($E$2:$E824,$E824)=1,1,0))</f>
        <v/>
      </c>
      <c r="AR824">
        <f>IF($AQ824=1,SUMPRODUCT(--($AU$2:$AU$1501&lt;$AU824))+1,"")</f>
        <v/>
      </c>
      <c r="AS824">
        <f>IF($E824="","",IF(OR($U824=TRUE(),$U824="TRUE"),1,0))</f>
        <v/>
      </c>
      <c r="AT824">
        <f>IF($E824="","",IF($AC824="Yes",1,0))</f>
        <v/>
      </c>
      <c r="AU824">
        <f>IF($AQ824=1,IFERROR(IF(VALUE($E824)&lt;100000000,VALUE($E824),1000000000),IFERROR(IF(VALUE(MID($E824,2,20))&lt;100000000,VALUE(MID($E824,2,20)),1000000000),1000000000))+ROW()/100000,"")</f>
        <v/>
      </c>
    </row>
    <row r="825">
      <c r="G825" s="14" t="n"/>
      <c r="Q825" s="7">
        <f>IF($E825="","",P825*Z825/100)</f>
        <v/>
      </c>
      <c r="R825" s="7" t="n"/>
      <c r="Y825" s="7" t="n"/>
      <c r="Z825" s="7" t="n"/>
      <c r="AA825" s="7" t="n"/>
      <c r="AD825">
        <f>IF($E825="","",IF($AT825=1,Settings!$C$8,IF($AS825=1,Settings!$C$6,Settings!$C$7))*100)</f>
        <v/>
      </c>
      <c r="AE825" s="7">
        <f>IF($E825="","",Z825*AD825/100)</f>
        <v/>
      </c>
      <c r="AF825" s="7">
        <f>IF($E825="","",Z825-AE825)</f>
        <v/>
      </c>
      <c r="AG825" s="7">
        <f>IF($E825="","",AF825-Q825)</f>
        <v/>
      </c>
      <c r="AK825" s="7" t="n"/>
      <c r="AN825" s="14" t="n"/>
      <c r="AQ825">
        <f>IF($E825="","",IF(COUNTIF($E$2:$E825,$E825)=1,1,0))</f>
        <v/>
      </c>
      <c r="AR825">
        <f>IF($AQ825=1,SUMPRODUCT(--($AU$2:$AU$1501&lt;$AU825))+1,"")</f>
        <v/>
      </c>
      <c r="AS825">
        <f>IF($E825="","",IF(OR($U825=TRUE(),$U825="TRUE"),1,0))</f>
        <v/>
      </c>
      <c r="AT825">
        <f>IF($E825="","",IF($AC825="Yes",1,0))</f>
        <v/>
      </c>
      <c r="AU825">
        <f>IF($AQ825=1,IFERROR(IF(VALUE($E825)&lt;100000000,VALUE($E825),1000000000),IFERROR(IF(VALUE(MID($E825,2,20))&lt;100000000,VALUE(MID($E825,2,20)),1000000000),1000000000))+ROW()/100000,"")</f>
        <v/>
      </c>
    </row>
    <row r="826">
      <c r="G826" s="14" t="n"/>
      <c r="Q826" s="7">
        <f>IF($E826="","",P826*Z826/100)</f>
        <v/>
      </c>
      <c r="R826" s="7" t="n"/>
      <c r="Y826" s="7" t="n"/>
      <c r="Z826" s="7" t="n"/>
      <c r="AA826" s="7" t="n"/>
      <c r="AD826">
        <f>IF($E826="","",IF($AT826=1,Settings!$C$8,IF($AS826=1,Settings!$C$6,Settings!$C$7))*100)</f>
        <v/>
      </c>
      <c r="AE826" s="7">
        <f>IF($E826="","",Z826*AD826/100)</f>
        <v/>
      </c>
      <c r="AF826" s="7">
        <f>IF($E826="","",Z826-AE826)</f>
        <v/>
      </c>
      <c r="AG826" s="7">
        <f>IF($E826="","",AF826-Q826)</f>
        <v/>
      </c>
      <c r="AK826" s="7" t="n"/>
      <c r="AN826" s="14" t="n"/>
      <c r="AQ826">
        <f>IF($E826="","",IF(COUNTIF($E$2:$E826,$E826)=1,1,0))</f>
        <v/>
      </c>
      <c r="AR826">
        <f>IF($AQ826=1,SUMPRODUCT(--($AU$2:$AU$1501&lt;$AU826))+1,"")</f>
        <v/>
      </c>
      <c r="AS826">
        <f>IF($E826="","",IF(OR($U826=TRUE(),$U826="TRUE"),1,0))</f>
        <v/>
      </c>
      <c r="AT826">
        <f>IF($E826="","",IF($AC826="Yes",1,0))</f>
        <v/>
      </c>
      <c r="AU826">
        <f>IF($AQ826=1,IFERROR(IF(VALUE($E826)&lt;100000000,VALUE($E826),1000000000),IFERROR(IF(VALUE(MID($E826,2,20))&lt;100000000,VALUE(MID($E826,2,20)),1000000000),1000000000))+ROW()/100000,"")</f>
        <v/>
      </c>
    </row>
    <row r="827">
      <c r="G827" s="14" t="n"/>
      <c r="Q827" s="7">
        <f>IF($E827="","",P827*Z827/100)</f>
        <v/>
      </c>
      <c r="R827" s="7" t="n"/>
      <c r="Y827" s="7" t="n"/>
      <c r="Z827" s="7" t="n"/>
      <c r="AA827" s="7" t="n"/>
      <c r="AD827">
        <f>IF($E827="","",IF($AT827=1,Settings!$C$8,IF($AS827=1,Settings!$C$6,Settings!$C$7))*100)</f>
        <v/>
      </c>
      <c r="AE827" s="7">
        <f>IF($E827="","",Z827*AD827/100)</f>
        <v/>
      </c>
      <c r="AF827" s="7">
        <f>IF($E827="","",Z827-AE827)</f>
        <v/>
      </c>
      <c r="AG827" s="7">
        <f>IF($E827="","",AF827-Q827)</f>
        <v/>
      </c>
      <c r="AK827" s="7" t="n"/>
      <c r="AN827" s="14" t="n"/>
      <c r="AQ827">
        <f>IF($E827="","",IF(COUNTIF($E$2:$E827,$E827)=1,1,0))</f>
        <v/>
      </c>
      <c r="AR827">
        <f>IF($AQ827=1,SUMPRODUCT(--($AU$2:$AU$1501&lt;$AU827))+1,"")</f>
        <v/>
      </c>
      <c r="AS827">
        <f>IF($E827="","",IF(OR($U827=TRUE(),$U827="TRUE"),1,0))</f>
        <v/>
      </c>
      <c r="AT827">
        <f>IF($E827="","",IF($AC827="Yes",1,0))</f>
        <v/>
      </c>
      <c r="AU827">
        <f>IF($AQ827=1,IFERROR(IF(VALUE($E827)&lt;100000000,VALUE($E827),1000000000),IFERROR(IF(VALUE(MID($E827,2,20))&lt;100000000,VALUE(MID($E827,2,20)),1000000000),1000000000))+ROW()/100000,"")</f>
        <v/>
      </c>
    </row>
    <row r="828">
      <c r="G828" s="14" t="n"/>
      <c r="Q828" s="7">
        <f>IF($E828="","",P828*Z828/100)</f>
        <v/>
      </c>
      <c r="R828" s="7" t="n"/>
      <c r="Y828" s="7" t="n"/>
      <c r="Z828" s="7" t="n"/>
      <c r="AA828" s="7" t="n"/>
      <c r="AD828">
        <f>IF($E828="","",IF($AT828=1,Settings!$C$8,IF($AS828=1,Settings!$C$6,Settings!$C$7))*100)</f>
        <v/>
      </c>
      <c r="AE828" s="7">
        <f>IF($E828="","",Z828*AD828/100)</f>
        <v/>
      </c>
      <c r="AF828" s="7">
        <f>IF($E828="","",Z828-AE828)</f>
        <v/>
      </c>
      <c r="AG828" s="7">
        <f>IF($E828="","",AF828-Q828)</f>
        <v/>
      </c>
      <c r="AK828" s="7" t="n"/>
      <c r="AN828" s="14" t="n"/>
      <c r="AQ828">
        <f>IF($E828="","",IF(COUNTIF($E$2:$E828,$E828)=1,1,0))</f>
        <v/>
      </c>
      <c r="AR828">
        <f>IF($AQ828=1,SUMPRODUCT(--($AU$2:$AU$1501&lt;$AU828))+1,"")</f>
        <v/>
      </c>
      <c r="AS828">
        <f>IF($E828="","",IF(OR($U828=TRUE(),$U828="TRUE"),1,0))</f>
        <v/>
      </c>
      <c r="AT828">
        <f>IF($E828="","",IF($AC828="Yes",1,0))</f>
        <v/>
      </c>
      <c r="AU828">
        <f>IF($AQ828=1,IFERROR(IF(VALUE($E828)&lt;100000000,VALUE($E828),1000000000),IFERROR(IF(VALUE(MID($E828,2,20))&lt;100000000,VALUE(MID($E828,2,20)),1000000000),1000000000))+ROW()/100000,"")</f>
        <v/>
      </c>
    </row>
    <row r="829">
      <c r="G829" s="14" t="n"/>
      <c r="Q829" s="7">
        <f>IF($E829="","",P829*Z829/100)</f>
        <v/>
      </c>
      <c r="R829" s="7" t="n"/>
      <c r="Y829" s="7" t="n"/>
      <c r="Z829" s="7" t="n"/>
      <c r="AA829" s="7" t="n"/>
      <c r="AD829">
        <f>IF($E829="","",IF($AT829=1,Settings!$C$8,IF($AS829=1,Settings!$C$6,Settings!$C$7))*100)</f>
        <v/>
      </c>
      <c r="AE829" s="7">
        <f>IF($E829="","",Z829*AD829/100)</f>
        <v/>
      </c>
      <c r="AF829" s="7">
        <f>IF($E829="","",Z829-AE829)</f>
        <v/>
      </c>
      <c r="AG829" s="7">
        <f>IF($E829="","",AF829-Q829)</f>
        <v/>
      </c>
      <c r="AK829" s="7" t="n"/>
      <c r="AN829" s="14" t="n"/>
      <c r="AQ829">
        <f>IF($E829="","",IF(COUNTIF($E$2:$E829,$E829)=1,1,0))</f>
        <v/>
      </c>
      <c r="AR829">
        <f>IF($AQ829=1,SUMPRODUCT(--($AU$2:$AU$1501&lt;$AU829))+1,"")</f>
        <v/>
      </c>
      <c r="AS829">
        <f>IF($E829="","",IF(OR($U829=TRUE(),$U829="TRUE"),1,0))</f>
        <v/>
      </c>
      <c r="AT829">
        <f>IF($E829="","",IF($AC829="Yes",1,0))</f>
        <v/>
      </c>
      <c r="AU829">
        <f>IF($AQ829=1,IFERROR(IF(VALUE($E829)&lt;100000000,VALUE($E829),1000000000),IFERROR(IF(VALUE(MID($E829,2,20))&lt;100000000,VALUE(MID($E829,2,20)),1000000000),1000000000))+ROW()/100000,"")</f>
        <v/>
      </c>
    </row>
    <row r="830">
      <c r="G830" s="14" t="n"/>
      <c r="Q830" s="7">
        <f>IF($E830="","",P830*Z830/100)</f>
        <v/>
      </c>
      <c r="R830" s="7" t="n"/>
      <c r="Y830" s="7" t="n"/>
      <c r="Z830" s="7" t="n"/>
      <c r="AA830" s="7" t="n"/>
      <c r="AD830">
        <f>IF($E830="","",IF($AT830=1,Settings!$C$8,IF($AS830=1,Settings!$C$6,Settings!$C$7))*100)</f>
        <v/>
      </c>
      <c r="AE830" s="7">
        <f>IF($E830="","",Z830*AD830/100)</f>
        <v/>
      </c>
      <c r="AF830" s="7">
        <f>IF($E830="","",Z830-AE830)</f>
        <v/>
      </c>
      <c r="AG830" s="7">
        <f>IF($E830="","",AF830-Q830)</f>
        <v/>
      </c>
      <c r="AK830" s="7" t="n"/>
      <c r="AN830" s="14" t="n"/>
      <c r="AQ830">
        <f>IF($E830="","",IF(COUNTIF($E$2:$E830,$E830)=1,1,0))</f>
        <v/>
      </c>
      <c r="AR830">
        <f>IF($AQ830=1,SUMPRODUCT(--($AU$2:$AU$1501&lt;$AU830))+1,"")</f>
        <v/>
      </c>
      <c r="AS830">
        <f>IF($E830="","",IF(OR($U830=TRUE(),$U830="TRUE"),1,0))</f>
        <v/>
      </c>
      <c r="AT830">
        <f>IF($E830="","",IF($AC830="Yes",1,0))</f>
        <v/>
      </c>
      <c r="AU830">
        <f>IF($AQ830=1,IFERROR(IF(VALUE($E830)&lt;100000000,VALUE($E830),1000000000),IFERROR(IF(VALUE(MID($E830,2,20))&lt;100000000,VALUE(MID($E830,2,20)),1000000000),1000000000))+ROW()/100000,"")</f>
        <v/>
      </c>
    </row>
    <row r="831">
      <c r="G831" s="14" t="n"/>
      <c r="Q831" s="7">
        <f>IF($E831="","",P831*Z831/100)</f>
        <v/>
      </c>
      <c r="R831" s="7" t="n"/>
      <c r="Y831" s="7" t="n"/>
      <c r="Z831" s="7" t="n"/>
      <c r="AA831" s="7" t="n"/>
      <c r="AD831">
        <f>IF($E831="","",IF($AT831=1,Settings!$C$8,IF($AS831=1,Settings!$C$6,Settings!$C$7))*100)</f>
        <v/>
      </c>
      <c r="AE831" s="7">
        <f>IF($E831="","",Z831*AD831/100)</f>
        <v/>
      </c>
      <c r="AF831" s="7">
        <f>IF($E831="","",Z831-AE831)</f>
        <v/>
      </c>
      <c r="AG831" s="7">
        <f>IF($E831="","",AF831-Q831)</f>
        <v/>
      </c>
      <c r="AK831" s="7" t="n"/>
      <c r="AN831" s="14" t="n"/>
      <c r="AQ831">
        <f>IF($E831="","",IF(COUNTIF($E$2:$E831,$E831)=1,1,0))</f>
        <v/>
      </c>
      <c r="AR831">
        <f>IF($AQ831=1,SUMPRODUCT(--($AU$2:$AU$1501&lt;$AU831))+1,"")</f>
        <v/>
      </c>
      <c r="AS831">
        <f>IF($E831="","",IF(OR($U831=TRUE(),$U831="TRUE"),1,0))</f>
        <v/>
      </c>
      <c r="AT831">
        <f>IF($E831="","",IF($AC831="Yes",1,0))</f>
        <v/>
      </c>
      <c r="AU831">
        <f>IF($AQ831=1,IFERROR(IF(VALUE($E831)&lt;100000000,VALUE($E831),1000000000),IFERROR(IF(VALUE(MID($E831,2,20))&lt;100000000,VALUE(MID($E831,2,20)),1000000000),1000000000))+ROW()/100000,"")</f>
        <v/>
      </c>
    </row>
    <row r="832">
      <c r="G832" s="14" t="n"/>
      <c r="Q832" s="7">
        <f>IF($E832="","",P832*Z832/100)</f>
        <v/>
      </c>
      <c r="R832" s="7" t="n"/>
      <c r="Y832" s="7" t="n"/>
      <c r="Z832" s="7" t="n"/>
      <c r="AA832" s="7" t="n"/>
      <c r="AD832">
        <f>IF($E832="","",IF($AT832=1,Settings!$C$8,IF($AS832=1,Settings!$C$6,Settings!$C$7))*100)</f>
        <v/>
      </c>
      <c r="AE832" s="7">
        <f>IF($E832="","",Z832*AD832/100)</f>
        <v/>
      </c>
      <c r="AF832" s="7">
        <f>IF($E832="","",Z832-AE832)</f>
        <v/>
      </c>
      <c r="AG832" s="7">
        <f>IF($E832="","",AF832-Q832)</f>
        <v/>
      </c>
      <c r="AK832" s="7" t="n"/>
      <c r="AN832" s="14" t="n"/>
      <c r="AQ832">
        <f>IF($E832="","",IF(COUNTIF($E$2:$E832,$E832)=1,1,0))</f>
        <v/>
      </c>
      <c r="AR832">
        <f>IF($AQ832=1,SUMPRODUCT(--($AU$2:$AU$1501&lt;$AU832))+1,"")</f>
        <v/>
      </c>
      <c r="AS832">
        <f>IF($E832="","",IF(OR($U832=TRUE(),$U832="TRUE"),1,0))</f>
        <v/>
      </c>
      <c r="AT832">
        <f>IF($E832="","",IF($AC832="Yes",1,0))</f>
        <v/>
      </c>
      <c r="AU832">
        <f>IF($AQ832=1,IFERROR(IF(VALUE($E832)&lt;100000000,VALUE($E832),1000000000),IFERROR(IF(VALUE(MID($E832,2,20))&lt;100000000,VALUE(MID($E832,2,20)),1000000000),1000000000))+ROW()/100000,"")</f>
        <v/>
      </c>
    </row>
    <row r="833">
      <c r="G833" s="14" t="n"/>
      <c r="Q833" s="7">
        <f>IF($E833="","",P833*Z833/100)</f>
        <v/>
      </c>
      <c r="R833" s="7" t="n"/>
      <c r="Y833" s="7" t="n"/>
      <c r="Z833" s="7" t="n"/>
      <c r="AA833" s="7" t="n"/>
      <c r="AD833">
        <f>IF($E833="","",IF($AT833=1,Settings!$C$8,IF($AS833=1,Settings!$C$6,Settings!$C$7))*100)</f>
        <v/>
      </c>
      <c r="AE833" s="7">
        <f>IF($E833="","",Z833*AD833/100)</f>
        <v/>
      </c>
      <c r="AF833" s="7">
        <f>IF($E833="","",Z833-AE833)</f>
        <v/>
      </c>
      <c r="AG833" s="7">
        <f>IF($E833="","",AF833-Q833)</f>
        <v/>
      </c>
      <c r="AK833" s="7" t="n"/>
      <c r="AN833" s="14" t="n"/>
      <c r="AQ833">
        <f>IF($E833="","",IF(COUNTIF($E$2:$E833,$E833)=1,1,0))</f>
        <v/>
      </c>
      <c r="AR833">
        <f>IF($AQ833=1,SUMPRODUCT(--($AU$2:$AU$1501&lt;$AU833))+1,"")</f>
        <v/>
      </c>
      <c r="AS833">
        <f>IF($E833="","",IF(OR($U833=TRUE(),$U833="TRUE"),1,0))</f>
        <v/>
      </c>
      <c r="AT833">
        <f>IF($E833="","",IF($AC833="Yes",1,0))</f>
        <v/>
      </c>
      <c r="AU833">
        <f>IF($AQ833=1,IFERROR(IF(VALUE($E833)&lt;100000000,VALUE($E833),1000000000),IFERROR(IF(VALUE(MID($E833,2,20))&lt;100000000,VALUE(MID($E833,2,20)),1000000000),1000000000))+ROW()/100000,"")</f>
        <v/>
      </c>
    </row>
    <row r="834">
      <c r="G834" s="14" t="n"/>
      <c r="Q834" s="7">
        <f>IF($E834="","",P834*Z834/100)</f>
        <v/>
      </c>
      <c r="R834" s="7" t="n"/>
      <c r="Y834" s="7" t="n"/>
      <c r="Z834" s="7" t="n"/>
      <c r="AA834" s="7" t="n"/>
      <c r="AD834">
        <f>IF($E834="","",IF($AT834=1,Settings!$C$8,IF($AS834=1,Settings!$C$6,Settings!$C$7))*100)</f>
        <v/>
      </c>
      <c r="AE834" s="7">
        <f>IF($E834="","",Z834*AD834/100)</f>
        <v/>
      </c>
      <c r="AF834" s="7">
        <f>IF($E834="","",Z834-AE834)</f>
        <v/>
      </c>
      <c r="AG834" s="7">
        <f>IF($E834="","",AF834-Q834)</f>
        <v/>
      </c>
      <c r="AK834" s="7" t="n"/>
      <c r="AN834" s="14" t="n"/>
      <c r="AQ834">
        <f>IF($E834="","",IF(COUNTIF($E$2:$E834,$E834)=1,1,0))</f>
        <v/>
      </c>
      <c r="AR834">
        <f>IF($AQ834=1,SUMPRODUCT(--($AU$2:$AU$1501&lt;$AU834))+1,"")</f>
        <v/>
      </c>
      <c r="AS834">
        <f>IF($E834="","",IF(OR($U834=TRUE(),$U834="TRUE"),1,0))</f>
        <v/>
      </c>
      <c r="AT834">
        <f>IF($E834="","",IF($AC834="Yes",1,0))</f>
        <v/>
      </c>
      <c r="AU834">
        <f>IF($AQ834=1,IFERROR(IF(VALUE($E834)&lt;100000000,VALUE($E834),1000000000),IFERROR(IF(VALUE(MID($E834,2,20))&lt;100000000,VALUE(MID($E834,2,20)),1000000000),1000000000))+ROW()/100000,"")</f>
        <v/>
      </c>
    </row>
    <row r="835">
      <c r="G835" s="14" t="n"/>
      <c r="Q835" s="7">
        <f>IF($E835="","",P835*Z835/100)</f>
        <v/>
      </c>
      <c r="R835" s="7" t="n"/>
      <c r="Y835" s="7" t="n"/>
      <c r="Z835" s="7" t="n"/>
      <c r="AA835" s="7" t="n"/>
      <c r="AD835">
        <f>IF($E835="","",IF($AT835=1,Settings!$C$8,IF($AS835=1,Settings!$C$6,Settings!$C$7))*100)</f>
        <v/>
      </c>
      <c r="AE835" s="7">
        <f>IF($E835="","",Z835*AD835/100)</f>
        <v/>
      </c>
      <c r="AF835" s="7">
        <f>IF($E835="","",Z835-AE835)</f>
        <v/>
      </c>
      <c r="AG835" s="7">
        <f>IF($E835="","",AF835-Q835)</f>
        <v/>
      </c>
      <c r="AK835" s="7" t="n"/>
      <c r="AN835" s="14" t="n"/>
      <c r="AQ835">
        <f>IF($E835="","",IF(COUNTIF($E$2:$E835,$E835)=1,1,0))</f>
        <v/>
      </c>
      <c r="AR835">
        <f>IF($AQ835=1,SUMPRODUCT(--($AU$2:$AU$1501&lt;$AU835))+1,"")</f>
        <v/>
      </c>
      <c r="AS835">
        <f>IF($E835="","",IF(OR($U835=TRUE(),$U835="TRUE"),1,0))</f>
        <v/>
      </c>
      <c r="AT835">
        <f>IF($E835="","",IF($AC835="Yes",1,0))</f>
        <v/>
      </c>
      <c r="AU835">
        <f>IF($AQ835=1,IFERROR(IF(VALUE($E835)&lt;100000000,VALUE($E835),1000000000),IFERROR(IF(VALUE(MID($E835,2,20))&lt;100000000,VALUE(MID($E835,2,20)),1000000000),1000000000))+ROW()/100000,"")</f>
        <v/>
      </c>
    </row>
    <row r="836">
      <c r="G836" s="14" t="n"/>
      <c r="Q836" s="7">
        <f>IF($E836="","",P836*Z836/100)</f>
        <v/>
      </c>
      <c r="R836" s="7" t="n"/>
      <c r="Y836" s="7" t="n"/>
      <c r="Z836" s="7" t="n"/>
      <c r="AA836" s="7" t="n"/>
      <c r="AD836">
        <f>IF($E836="","",IF($AT836=1,Settings!$C$8,IF($AS836=1,Settings!$C$6,Settings!$C$7))*100)</f>
        <v/>
      </c>
      <c r="AE836" s="7">
        <f>IF($E836="","",Z836*AD836/100)</f>
        <v/>
      </c>
      <c r="AF836" s="7">
        <f>IF($E836="","",Z836-AE836)</f>
        <v/>
      </c>
      <c r="AG836" s="7">
        <f>IF($E836="","",AF836-Q836)</f>
        <v/>
      </c>
      <c r="AK836" s="7" t="n"/>
      <c r="AN836" s="14" t="n"/>
      <c r="AQ836">
        <f>IF($E836="","",IF(COUNTIF($E$2:$E836,$E836)=1,1,0))</f>
        <v/>
      </c>
      <c r="AR836">
        <f>IF($AQ836=1,SUMPRODUCT(--($AU$2:$AU$1501&lt;$AU836))+1,"")</f>
        <v/>
      </c>
      <c r="AS836">
        <f>IF($E836="","",IF(OR($U836=TRUE(),$U836="TRUE"),1,0))</f>
        <v/>
      </c>
      <c r="AT836">
        <f>IF($E836="","",IF($AC836="Yes",1,0))</f>
        <v/>
      </c>
      <c r="AU836">
        <f>IF($AQ836=1,IFERROR(IF(VALUE($E836)&lt;100000000,VALUE($E836),1000000000),IFERROR(IF(VALUE(MID($E836,2,20))&lt;100000000,VALUE(MID($E836,2,20)),1000000000),1000000000))+ROW()/100000,"")</f>
        <v/>
      </c>
    </row>
    <row r="837">
      <c r="G837" s="14" t="n"/>
      <c r="Q837" s="7">
        <f>IF($E837="","",P837*Z837/100)</f>
        <v/>
      </c>
      <c r="R837" s="7" t="n"/>
      <c r="Y837" s="7" t="n"/>
      <c r="Z837" s="7" t="n"/>
      <c r="AA837" s="7" t="n"/>
      <c r="AD837">
        <f>IF($E837="","",IF($AT837=1,Settings!$C$8,IF($AS837=1,Settings!$C$6,Settings!$C$7))*100)</f>
        <v/>
      </c>
      <c r="AE837" s="7">
        <f>IF($E837="","",Z837*AD837/100)</f>
        <v/>
      </c>
      <c r="AF837" s="7">
        <f>IF($E837="","",Z837-AE837)</f>
        <v/>
      </c>
      <c r="AG837" s="7">
        <f>IF($E837="","",AF837-Q837)</f>
        <v/>
      </c>
      <c r="AK837" s="7" t="n"/>
      <c r="AN837" s="14" t="n"/>
      <c r="AQ837">
        <f>IF($E837="","",IF(COUNTIF($E$2:$E837,$E837)=1,1,0))</f>
        <v/>
      </c>
      <c r="AR837">
        <f>IF($AQ837=1,SUMPRODUCT(--($AU$2:$AU$1501&lt;$AU837))+1,"")</f>
        <v/>
      </c>
      <c r="AS837">
        <f>IF($E837="","",IF(OR($U837=TRUE(),$U837="TRUE"),1,0))</f>
        <v/>
      </c>
      <c r="AT837">
        <f>IF($E837="","",IF($AC837="Yes",1,0))</f>
        <v/>
      </c>
      <c r="AU837">
        <f>IF($AQ837=1,IFERROR(IF(VALUE($E837)&lt;100000000,VALUE($E837),1000000000),IFERROR(IF(VALUE(MID($E837,2,20))&lt;100000000,VALUE(MID($E837,2,20)),1000000000),1000000000))+ROW()/100000,"")</f>
        <v/>
      </c>
    </row>
    <row r="838">
      <c r="G838" s="14" t="n"/>
      <c r="Q838" s="7">
        <f>IF($E838="","",P838*Z838/100)</f>
        <v/>
      </c>
      <c r="R838" s="7" t="n"/>
      <c r="Y838" s="7" t="n"/>
      <c r="Z838" s="7" t="n"/>
      <c r="AA838" s="7" t="n"/>
      <c r="AD838">
        <f>IF($E838="","",IF($AT838=1,Settings!$C$8,IF($AS838=1,Settings!$C$6,Settings!$C$7))*100)</f>
        <v/>
      </c>
      <c r="AE838" s="7">
        <f>IF($E838="","",Z838*AD838/100)</f>
        <v/>
      </c>
      <c r="AF838" s="7">
        <f>IF($E838="","",Z838-AE838)</f>
        <v/>
      </c>
      <c r="AG838" s="7">
        <f>IF($E838="","",AF838-Q838)</f>
        <v/>
      </c>
      <c r="AK838" s="7" t="n"/>
      <c r="AN838" s="14" t="n"/>
      <c r="AQ838">
        <f>IF($E838="","",IF(COUNTIF($E$2:$E838,$E838)=1,1,0))</f>
        <v/>
      </c>
      <c r="AR838">
        <f>IF($AQ838=1,SUMPRODUCT(--($AU$2:$AU$1501&lt;$AU838))+1,"")</f>
        <v/>
      </c>
      <c r="AS838">
        <f>IF($E838="","",IF(OR($U838=TRUE(),$U838="TRUE"),1,0))</f>
        <v/>
      </c>
      <c r="AT838">
        <f>IF($E838="","",IF($AC838="Yes",1,0))</f>
        <v/>
      </c>
      <c r="AU838">
        <f>IF($AQ838=1,IFERROR(IF(VALUE($E838)&lt;100000000,VALUE($E838),1000000000),IFERROR(IF(VALUE(MID($E838,2,20))&lt;100000000,VALUE(MID($E838,2,20)),1000000000),1000000000))+ROW()/100000,"")</f>
        <v/>
      </c>
    </row>
    <row r="839">
      <c r="G839" s="14" t="n"/>
      <c r="Q839" s="7">
        <f>IF($E839="","",P839*Z839/100)</f>
        <v/>
      </c>
      <c r="R839" s="7" t="n"/>
      <c r="Y839" s="7" t="n"/>
      <c r="Z839" s="7" t="n"/>
      <c r="AA839" s="7" t="n"/>
      <c r="AD839">
        <f>IF($E839="","",IF($AT839=1,Settings!$C$8,IF($AS839=1,Settings!$C$6,Settings!$C$7))*100)</f>
        <v/>
      </c>
      <c r="AE839" s="7">
        <f>IF($E839="","",Z839*AD839/100)</f>
        <v/>
      </c>
      <c r="AF839" s="7">
        <f>IF($E839="","",Z839-AE839)</f>
        <v/>
      </c>
      <c r="AG839" s="7">
        <f>IF($E839="","",AF839-Q839)</f>
        <v/>
      </c>
      <c r="AK839" s="7" t="n"/>
      <c r="AN839" s="14" t="n"/>
      <c r="AQ839">
        <f>IF($E839="","",IF(COUNTIF($E$2:$E839,$E839)=1,1,0))</f>
        <v/>
      </c>
      <c r="AR839">
        <f>IF($AQ839=1,SUMPRODUCT(--($AU$2:$AU$1501&lt;$AU839))+1,"")</f>
        <v/>
      </c>
      <c r="AS839">
        <f>IF($E839="","",IF(OR($U839=TRUE(),$U839="TRUE"),1,0))</f>
        <v/>
      </c>
      <c r="AT839">
        <f>IF($E839="","",IF($AC839="Yes",1,0))</f>
        <v/>
      </c>
      <c r="AU839">
        <f>IF($AQ839=1,IFERROR(IF(VALUE($E839)&lt;100000000,VALUE($E839),1000000000),IFERROR(IF(VALUE(MID($E839,2,20))&lt;100000000,VALUE(MID($E839,2,20)),1000000000),1000000000))+ROW()/100000,"")</f>
        <v/>
      </c>
    </row>
    <row r="840">
      <c r="G840" s="14" t="n"/>
      <c r="Q840" s="7">
        <f>IF($E840="","",P840*Z840/100)</f>
        <v/>
      </c>
      <c r="R840" s="7" t="n"/>
      <c r="Y840" s="7" t="n"/>
      <c r="Z840" s="7" t="n"/>
      <c r="AA840" s="7" t="n"/>
      <c r="AD840">
        <f>IF($E840="","",IF($AT840=1,Settings!$C$8,IF($AS840=1,Settings!$C$6,Settings!$C$7))*100)</f>
        <v/>
      </c>
      <c r="AE840" s="7">
        <f>IF($E840="","",Z840*AD840/100)</f>
        <v/>
      </c>
      <c r="AF840" s="7">
        <f>IF($E840="","",Z840-AE840)</f>
        <v/>
      </c>
      <c r="AG840" s="7">
        <f>IF($E840="","",AF840-Q840)</f>
        <v/>
      </c>
      <c r="AK840" s="7" t="n"/>
      <c r="AN840" s="14" t="n"/>
      <c r="AQ840">
        <f>IF($E840="","",IF(COUNTIF($E$2:$E840,$E840)=1,1,0))</f>
        <v/>
      </c>
      <c r="AR840">
        <f>IF($AQ840=1,SUMPRODUCT(--($AU$2:$AU$1501&lt;$AU840))+1,"")</f>
        <v/>
      </c>
      <c r="AS840">
        <f>IF($E840="","",IF(OR($U840=TRUE(),$U840="TRUE"),1,0))</f>
        <v/>
      </c>
      <c r="AT840">
        <f>IF($E840="","",IF($AC840="Yes",1,0))</f>
        <v/>
      </c>
      <c r="AU840">
        <f>IF($AQ840=1,IFERROR(IF(VALUE($E840)&lt;100000000,VALUE($E840),1000000000),IFERROR(IF(VALUE(MID($E840,2,20))&lt;100000000,VALUE(MID($E840,2,20)),1000000000),1000000000))+ROW()/100000,"")</f>
        <v/>
      </c>
    </row>
    <row r="841">
      <c r="G841" s="14" t="n"/>
      <c r="Q841" s="7">
        <f>IF($E841="","",P841*Z841/100)</f>
        <v/>
      </c>
      <c r="R841" s="7" t="n"/>
      <c r="Y841" s="7" t="n"/>
      <c r="Z841" s="7" t="n"/>
      <c r="AA841" s="7" t="n"/>
      <c r="AD841">
        <f>IF($E841="","",IF($AT841=1,Settings!$C$8,IF($AS841=1,Settings!$C$6,Settings!$C$7))*100)</f>
        <v/>
      </c>
      <c r="AE841" s="7">
        <f>IF($E841="","",Z841*AD841/100)</f>
        <v/>
      </c>
      <c r="AF841" s="7">
        <f>IF($E841="","",Z841-AE841)</f>
        <v/>
      </c>
      <c r="AG841" s="7">
        <f>IF($E841="","",AF841-Q841)</f>
        <v/>
      </c>
      <c r="AK841" s="7" t="n"/>
      <c r="AN841" s="14" t="n"/>
      <c r="AQ841">
        <f>IF($E841="","",IF(COUNTIF($E$2:$E841,$E841)=1,1,0))</f>
        <v/>
      </c>
      <c r="AR841">
        <f>IF($AQ841=1,SUMPRODUCT(--($AU$2:$AU$1501&lt;$AU841))+1,"")</f>
        <v/>
      </c>
      <c r="AS841">
        <f>IF($E841="","",IF(OR($U841=TRUE(),$U841="TRUE"),1,0))</f>
        <v/>
      </c>
      <c r="AT841">
        <f>IF($E841="","",IF($AC841="Yes",1,0))</f>
        <v/>
      </c>
      <c r="AU841">
        <f>IF($AQ841=1,IFERROR(IF(VALUE($E841)&lt;100000000,VALUE($E841),1000000000),IFERROR(IF(VALUE(MID($E841,2,20))&lt;100000000,VALUE(MID($E841,2,20)),1000000000),1000000000))+ROW()/100000,"")</f>
        <v/>
      </c>
    </row>
    <row r="842">
      <c r="G842" s="14" t="n"/>
      <c r="Q842" s="7">
        <f>IF($E842="","",P842*Z842/100)</f>
        <v/>
      </c>
      <c r="R842" s="7" t="n"/>
      <c r="Y842" s="7" t="n"/>
      <c r="Z842" s="7" t="n"/>
      <c r="AA842" s="7" t="n"/>
      <c r="AD842">
        <f>IF($E842="","",IF($AT842=1,Settings!$C$8,IF($AS842=1,Settings!$C$6,Settings!$C$7))*100)</f>
        <v/>
      </c>
      <c r="AE842" s="7">
        <f>IF($E842="","",Z842*AD842/100)</f>
        <v/>
      </c>
      <c r="AF842" s="7">
        <f>IF($E842="","",Z842-AE842)</f>
        <v/>
      </c>
      <c r="AG842" s="7">
        <f>IF($E842="","",AF842-Q842)</f>
        <v/>
      </c>
      <c r="AK842" s="7" t="n"/>
      <c r="AN842" s="14" t="n"/>
      <c r="AQ842">
        <f>IF($E842="","",IF(COUNTIF($E$2:$E842,$E842)=1,1,0))</f>
        <v/>
      </c>
      <c r="AR842">
        <f>IF($AQ842=1,SUMPRODUCT(--($AU$2:$AU$1501&lt;$AU842))+1,"")</f>
        <v/>
      </c>
      <c r="AS842">
        <f>IF($E842="","",IF(OR($U842=TRUE(),$U842="TRUE"),1,0))</f>
        <v/>
      </c>
      <c r="AT842">
        <f>IF($E842="","",IF($AC842="Yes",1,0))</f>
        <v/>
      </c>
      <c r="AU842">
        <f>IF($AQ842=1,IFERROR(IF(VALUE($E842)&lt;100000000,VALUE($E842),1000000000),IFERROR(IF(VALUE(MID($E842,2,20))&lt;100000000,VALUE(MID($E842,2,20)),1000000000),1000000000))+ROW()/100000,"")</f>
        <v/>
      </c>
    </row>
    <row r="843">
      <c r="G843" s="14" t="n"/>
      <c r="Q843" s="7">
        <f>IF($E843="","",P843*Z843/100)</f>
        <v/>
      </c>
      <c r="R843" s="7" t="n"/>
      <c r="Y843" s="7" t="n"/>
      <c r="Z843" s="7" t="n"/>
      <c r="AA843" s="7" t="n"/>
      <c r="AD843">
        <f>IF($E843="","",IF($AT843=1,Settings!$C$8,IF($AS843=1,Settings!$C$6,Settings!$C$7))*100)</f>
        <v/>
      </c>
      <c r="AE843" s="7">
        <f>IF($E843="","",Z843*AD843/100)</f>
        <v/>
      </c>
      <c r="AF843" s="7">
        <f>IF($E843="","",Z843-AE843)</f>
        <v/>
      </c>
      <c r="AG843" s="7">
        <f>IF($E843="","",AF843-Q843)</f>
        <v/>
      </c>
      <c r="AK843" s="7" t="n"/>
      <c r="AN843" s="14" t="n"/>
      <c r="AQ843">
        <f>IF($E843="","",IF(COUNTIF($E$2:$E843,$E843)=1,1,0))</f>
        <v/>
      </c>
      <c r="AR843">
        <f>IF($AQ843=1,SUMPRODUCT(--($AU$2:$AU$1501&lt;$AU843))+1,"")</f>
        <v/>
      </c>
      <c r="AS843">
        <f>IF($E843="","",IF(OR($U843=TRUE(),$U843="TRUE"),1,0))</f>
        <v/>
      </c>
      <c r="AT843">
        <f>IF($E843="","",IF($AC843="Yes",1,0))</f>
        <v/>
      </c>
      <c r="AU843">
        <f>IF($AQ843=1,IFERROR(IF(VALUE($E843)&lt;100000000,VALUE($E843),1000000000),IFERROR(IF(VALUE(MID($E843,2,20))&lt;100000000,VALUE(MID($E843,2,20)),1000000000),1000000000))+ROW()/100000,"")</f>
        <v/>
      </c>
    </row>
    <row r="844">
      <c r="G844" s="14" t="n"/>
      <c r="Q844" s="7">
        <f>IF($E844="","",P844*Z844/100)</f>
        <v/>
      </c>
      <c r="R844" s="7" t="n"/>
      <c r="Y844" s="7" t="n"/>
      <c r="Z844" s="7" t="n"/>
      <c r="AA844" s="7" t="n"/>
      <c r="AD844">
        <f>IF($E844="","",IF($AT844=1,Settings!$C$8,IF($AS844=1,Settings!$C$6,Settings!$C$7))*100)</f>
        <v/>
      </c>
      <c r="AE844" s="7">
        <f>IF($E844="","",Z844*AD844/100)</f>
        <v/>
      </c>
      <c r="AF844" s="7">
        <f>IF($E844="","",Z844-AE844)</f>
        <v/>
      </c>
      <c r="AG844" s="7">
        <f>IF($E844="","",AF844-Q844)</f>
        <v/>
      </c>
      <c r="AK844" s="7" t="n"/>
      <c r="AN844" s="14" t="n"/>
      <c r="AQ844">
        <f>IF($E844="","",IF(COUNTIF($E$2:$E844,$E844)=1,1,0))</f>
        <v/>
      </c>
      <c r="AR844">
        <f>IF($AQ844=1,SUMPRODUCT(--($AU$2:$AU$1501&lt;$AU844))+1,"")</f>
        <v/>
      </c>
      <c r="AS844">
        <f>IF($E844="","",IF(OR($U844=TRUE(),$U844="TRUE"),1,0))</f>
        <v/>
      </c>
      <c r="AT844">
        <f>IF($E844="","",IF($AC844="Yes",1,0))</f>
        <v/>
      </c>
      <c r="AU844">
        <f>IF($AQ844=1,IFERROR(IF(VALUE($E844)&lt;100000000,VALUE($E844),1000000000),IFERROR(IF(VALUE(MID($E844,2,20))&lt;100000000,VALUE(MID($E844,2,20)),1000000000),1000000000))+ROW()/100000,"")</f>
        <v/>
      </c>
    </row>
    <row r="845">
      <c r="G845" s="14" t="n"/>
      <c r="Q845" s="7">
        <f>IF($E845="","",P845*Z845/100)</f>
        <v/>
      </c>
      <c r="R845" s="7" t="n"/>
      <c r="Y845" s="7" t="n"/>
      <c r="Z845" s="7" t="n"/>
      <c r="AA845" s="7" t="n"/>
      <c r="AD845">
        <f>IF($E845="","",IF($AT845=1,Settings!$C$8,IF($AS845=1,Settings!$C$6,Settings!$C$7))*100)</f>
        <v/>
      </c>
      <c r="AE845" s="7">
        <f>IF($E845="","",Z845*AD845/100)</f>
        <v/>
      </c>
      <c r="AF845" s="7">
        <f>IF($E845="","",Z845-AE845)</f>
        <v/>
      </c>
      <c r="AG845" s="7">
        <f>IF($E845="","",AF845-Q845)</f>
        <v/>
      </c>
      <c r="AK845" s="7" t="n"/>
      <c r="AN845" s="14" t="n"/>
      <c r="AQ845">
        <f>IF($E845="","",IF(COUNTIF($E$2:$E845,$E845)=1,1,0))</f>
        <v/>
      </c>
      <c r="AR845">
        <f>IF($AQ845=1,SUMPRODUCT(--($AU$2:$AU$1501&lt;$AU845))+1,"")</f>
        <v/>
      </c>
      <c r="AS845">
        <f>IF($E845="","",IF(OR($U845=TRUE(),$U845="TRUE"),1,0))</f>
        <v/>
      </c>
      <c r="AT845">
        <f>IF($E845="","",IF($AC845="Yes",1,0))</f>
        <v/>
      </c>
      <c r="AU845">
        <f>IF($AQ845=1,IFERROR(IF(VALUE($E845)&lt;100000000,VALUE($E845),1000000000),IFERROR(IF(VALUE(MID($E845,2,20))&lt;100000000,VALUE(MID($E845,2,20)),1000000000),1000000000))+ROW()/100000,"")</f>
        <v/>
      </c>
    </row>
    <row r="846">
      <c r="G846" s="14" t="n"/>
      <c r="Q846" s="7">
        <f>IF($E846="","",P846*Z846/100)</f>
        <v/>
      </c>
      <c r="R846" s="7" t="n"/>
      <c r="Y846" s="7" t="n"/>
      <c r="Z846" s="7" t="n"/>
      <c r="AA846" s="7" t="n"/>
      <c r="AD846">
        <f>IF($E846="","",IF($AT846=1,Settings!$C$8,IF($AS846=1,Settings!$C$6,Settings!$C$7))*100)</f>
        <v/>
      </c>
      <c r="AE846" s="7">
        <f>IF($E846="","",Z846*AD846/100)</f>
        <v/>
      </c>
      <c r="AF846" s="7">
        <f>IF($E846="","",Z846-AE846)</f>
        <v/>
      </c>
      <c r="AG846" s="7">
        <f>IF($E846="","",AF846-Q846)</f>
        <v/>
      </c>
      <c r="AK846" s="7" t="n"/>
      <c r="AN846" s="14" t="n"/>
      <c r="AQ846">
        <f>IF($E846="","",IF(COUNTIF($E$2:$E846,$E846)=1,1,0))</f>
        <v/>
      </c>
      <c r="AR846">
        <f>IF($AQ846=1,SUMPRODUCT(--($AU$2:$AU$1501&lt;$AU846))+1,"")</f>
        <v/>
      </c>
      <c r="AS846">
        <f>IF($E846="","",IF(OR($U846=TRUE(),$U846="TRUE"),1,0))</f>
        <v/>
      </c>
      <c r="AT846">
        <f>IF($E846="","",IF($AC846="Yes",1,0))</f>
        <v/>
      </c>
      <c r="AU846">
        <f>IF($AQ846=1,IFERROR(IF(VALUE($E846)&lt;100000000,VALUE($E846),1000000000),IFERROR(IF(VALUE(MID($E846,2,20))&lt;100000000,VALUE(MID($E846,2,20)),1000000000),1000000000))+ROW()/100000,"")</f>
        <v/>
      </c>
    </row>
    <row r="847">
      <c r="G847" s="14" t="n"/>
      <c r="Q847" s="7">
        <f>IF($E847="","",P847*Z847/100)</f>
        <v/>
      </c>
      <c r="R847" s="7" t="n"/>
      <c r="Y847" s="7" t="n"/>
      <c r="Z847" s="7" t="n"/>
      <c r="AA847" s="7" t="n"/>
      <c r="AD847">
        <f>IF($E847="","",IF($AT847=1,Settings!$C$8,IF($AS847=1,Settings!$C$6,Settings!$C$7))*100)</f>
        <v/>
      </c>
      <c r="AE847" s="7">
        <f>IF($E847="","",Z847*AD847/100)</f>
        <v/>
      </c>
      <c r="AF847" s="7">
        <f>IF($E847="","",Z847-AE847)</f>
        <v/>
      </c>
      <c r="AG847" s="7">
        <f>IF($E847="","",AF847-Q847)</f>
        <v/>
      </c>
      <c r="AK847" s="7" t="n"/>
      <c r="AN847" s="14" t="n"/>
      <c r="AQ847">
        <f>IF($E847="","",IF(COUNTIF($E$2:$E847,$E847)=1,1,0))</f>
        <v/>
      </c>
      <c r="AR847">
        <f>IF($AQ847=1,SUMPRODUCT(--($AU$2:$AU$1501&lt;$AU847))+1,"")</f>
        <v/>
      </c>
      <c r="AS847">
        <f>IF($E847="","",IF(OR($U847=TRUE(),$U847="TRUE"),1,0))</f>
        <v/>
      </c>
      <c r="AT847">
        <f>IF($E847="","",IF($AC847="Yes",1,0))</f>
        <v/>
      </c>
      <c r="AU847">
        <f>IF($AQ847=1,IFERROR(IF(VALUE($E847)&lt;100000000,VALUE($E847),1000000000),IFERROR(IF(VALUE(MID($E847,2,20))&lt;100000000,VALUE(MID($E847,2,20)),1000000000),1000000000))+ROW()/100000,"")</f>
        <v/>
      </c>
    </row>
    <row r="848">
      <c r="G848" s="14" t="n"/>
      <c r="Q848" s="7">
        <f>IF($E848="","",P848*Z848/100)</f>
        <v/>
      </c>
      <c r="R848" s="7" t="n"/>
      <c r="Y848" s="7" t="n"/>
      <c r="Z848" s="7" t="n"/>
      <c r="AA848" s="7" t="n"/>
      <c r="AD848">
        <f>IF($E848="","",IF($AT848=1,Settings!$C$8,IF($AS848=1,Settings!$C$6,Settings!$C$7))*100)</f>
        <v/>
      </c>
      <c r="AE848" s="7">
        <f>IF($E848="","",Z848*AD848/100)</f>
        <v/>
      </c>
      <c r="AF848" s="7">
        <f>IF($E848="","",Z848-AE848)</f>
        <v/>
      </c>
      <c r="AG848" s="7">
        <f>IF($E848="","",AF848-Q848)</f>
        <v/>
      </c>
      <c r="AK848" s="7" t="n"/>
      <c r="AN848" s="14" t="n"/>
      <c r="AQ848">
        <f>IF($E848="","",IF(COUNTIF($E$2:$E848,$E848)=1,1,0))</f>
        <v/>
      </c>
      <c r="AR848">
        <f>IF($AQ848=1,SUMPRODUCT(--($AU$2:$AU$1501&lt;$AU848))+1,"")</f>
        <v/>
      </c>
      <c r="AS848">
        <f>IF($E848="","",IF(OR($U848=TRUE(),$U848="TRUE"),1,0))</f>
        <v/>
      </c>
      <c r="AT848">
        <f>IF($E848="","",IF($AC848="Yes",1,0))</f>
        <v/>
      </c>
      <c r="AU848">
        <f>IF($AQ848=1,IFERROR(IF(VALUE($E848)&lt;100000000,VALUE($E848),1000000000),IFERROR(IF(VALUE(MID($E848,2,20))&lt;100000000,VALUE(MID($E848,2,20)),1000000000),1000000000))+ROW()/100000,"")</f>
        <v/>
      </c>
    </row>
    <row r="849">
      <c r="G849" s="14" t="n"/>
      <c r="Q849" s="7">
        <f>IF($E849="","",P849*Z849/100)</f>
        <v/>
      </c>
      <c r="R849" s="7" t="n"/>
      <c r="Y849" s="7" t="n"/>
      <c r="Z849" s="7" t="n"/>
      <c r="AA849" s="7" t="n"/>
      <c r="AD849">
        <f>IF($E849="","",IF($AT849=1,Settings!$C$8,IF($AS849=1,Settings!$C$6,Settings!$C$7))*100)</f>
        <v/>
      </c>
      <c r="AE849" s="7">
        <f>IF($E849="","",Z849*AD849/100)</f>
        <v/>
      </c>
      <c r="AF849" s="7">
        <f>IF($E849="","",Z849-AE849)</f>
        <v/>
      </c>
      <c r="AG849" s="7">
        <f>IF($E849="","",AF849-Q849)</f>
        <v/>
      </c>
      <c r="AK849" s="7" t="n"/>
      <c r="AN849" s="14" t="n"/>
      <c r="AQ849">
        <f>IF($E849="","",IF(COUNTIF($E$2:$E849,$E849)=1,1,0))</f>
        <v/>
      </c>
      <c r="AR849">
        <f>IF($AQ849=1,SUMPRODUCT(--($AU$2:$AU$1501&lt;$AU849))+1,"")</f>
        <v/>
      </c>
      <c r="AS849">
        <f>IF($E849="","",IF(OR($U849=TRUE(),$U849="TRUE"),1,0))</f>
        <v/>
      </c>
      <c r="AT849">
        <f>IF($E849="","",IF($AC849="Yes",1,0))</f>
        <v/>
      </c>
      <c r="AU849">
        <f>IF($AQ849=1,IFERROR(IF(VALUE($E849)&lt;100000000,VALUE($E849),1000000000),IFERROR(IF(VALUE(MID($E849,2,20))&lt;100000000,VALUE(MID($E849,2,20)),1000000000),1000000000))+ROW()/100000,"")</f>
        <v/>
      </c>
    </row>
    <row r="850">
      <c r="G850" s="14" t="n"/>
      <c r="Q850" s="7">
        <f>IF($E850="","",P850*Z850/100)</f>
        <v/>
      </c>
      <c r="R850" s="7" t="n"/>
      <c r="Y850" s="7" t="n"/>
      <c r="Z850" s="7" t="n"/>
      <c r="AA850" s="7" t="n"/>
      <c r="AD850">
        <f>IF($E850="","",IF($AT850=1,Settings!$C$8,IF($AS850=1,Settings!$C$6,Settings!$C$7))*100)</f>
        <v/>
      </c>
      <c r="AE850" s="7">
        <f>IF($E850="","",Z850*AD850/100)</f>
        <v/>
      </c>
      <c r="AF850" s="7">
        <f>IF($E850="","",Z850-AE850)</f>
        <v/>
      </c>
      <c r="AG850" s="7">
        <f>IF($E850="","",AF850-Q850)</f>
        <v/>
      </c>
      <c r="AK850" s="7" t="n"/>
      <c r="AN850" s="14" t="n"/>
      <c r="AQ850">
        <f>IF($E850="","",IF(COUNTIF($E$2:$E850,$E850)=1,1,0))</f>
        <v/>
      </c>
      <c r="AR850">
        <f>IF($AQ850=1,SUMPRODUCT(--($AU$2:$AU$1501&lt;$AU850))+1,"")</f>
        <v/>
      </c>
      <c r="AS850">
        <f>IF($E850="","",IF(OR($U850=TRUE(),$U850="TRUE"),1,0))</f>
        <v/>
      </c>
      <c r="AT850">
        <f>IF($E850="","",IF($AC850="Yes",1,0))</f>
        <v/>
      </c>
      <c r="AU850">
        <f>IF($AQ850=1,IFERROR(IF(VALUE($E850)&lt;100000000,VALUE($E850),1000000000),IFERROR(IF(VALUE(MID($E850,2,20))&lt;100000000,VALUE(MID($E850,2,20)),1000000000),1000000000))+ROW()/100000,"")</f>
        <v/>
      </c>
    </row>
    <row r="851">
      <c r="G851" s="14" t="n"/>
      <c r="Q851" s="7">
        <f>IF($E851="","",P851*Z851/100)</f>
        <v/>
      </c>
      <c r="R851" s="7" t="n"/>
      <c r="Y851" s="7" t="n"/>
      <c r="Z851" s="7" t="n"/>
      <c r="AA851" s="7" t="n"/>
      <c r="AD851">
        <f>IF($E851="","",IF($AT851=1,Settings!$C$8,IF($AS851=1,Settings!$C$6,Settings!$C$7))*100)</f>
        <v/>
      </c>
      <c r="AE851" s="7">
        <f>IF($E851="","",Z851*AD851/100)</f>
        <v/>
      </c>
      <c r="AF851" s="7">
        <f>IF($E851="","",Z851-AE851)</f>
        <v/>
      </c>
      <c r="AG851" s="7">
        <f>IF($E851="","",AF851-Q851)</f>
        <v/>
      </c>
      <c r="AK851" s="7" t="n"/>
      <c r="AN851" s="14" t="n"/>
      <c r="AQ851">
        <f>IF($E851="","",IF(COUNTIF($E$2:$E851,$E851)=1,1,0))</f>
        <v/>
      </c>
      <c r="AR851">
        <f>IF($AQ851=1,SUMPRODUCT(--($AU$2:$AU$1501&lt;$AU851))+1,"")</f>
        <v/>
      </c>
      <c r="AS851">
        <f>IF($E851="","",IF(OR($U851=TRUE(),$U851="TRUE"),1,0))</f>
        <v/>
      </c>
      <c r="AT851">
        <f>IF($E851="","",IF($AC851="Yes",1,0))</f>
        <v/>
      </c>
      <c r="AU851">
        <f>IF($AQ851=1,IFERROR(IF(VALUE($E851)&lt;100000000,VALUE($E851),1000000000),IFERROR(IF(VALUE(MID($E851,2,20))&lt;100000000,VALUE(MID($E851,2,20)),1000000000),1000000000))+ROW()/100000,"")</f>
        <v/>
      </c>
    </row>
    <row r="852">
      <c r="G852" s="14" t="n"/>
      <c r="Q852" s="7">
        <f>IF($E852="","",P852*Z852/100)</f>
        <v/>
      </c>
      <c r="R852" s="7" t="n"/>
      <c r="Y852" s="7" t="n"/>
      <c r="Z852" s="7" t="n"/>
      <c r="AA852" s="7" t="n"/>
      <c r="AD852">
        <f>IF($E852="","",IF($AT852=1,Settings!$C$8,IF($AS852=1,Settings!$C$6,Settings!$C$7))*100)</f>
        <v/>
      </c>
      <c r="AE852" s="7">
        <f>IF($E852="","",Z852*AD852/100)</f>
        <v/>
      </c>
      <c r="AF852" s="7">
        <f>IF($E852="","",Z852-AE852)</f>
        <v/>
      </c>
      <c r="AG852" s="7">
        <f>IF($E852="","",AF852-Q852)</f>
        <v/>
      </c>
      <c r="AK852" s="7" t="n"/>
      <c r="AN852" s="14" t="n"/>
      <c r="AQ852">
        <f>IF($E852="","",IF(COUNTIF($E$2:$E852,$E852)=1,1,0))</f>
        <v/>
      </c>
      <c r="AR852">
        <f>IF($AQ852=1,SUMPRODUCT(--($AU$2:$AU$1501&lt;$AU852))+1,"")</f>
        <v/>
      </c>
      <c r="AS852">
        <f>IF($E852="","",IF(OR($U852=TRUE(),$U852="TRUE"),1,0))</f>
        <v/>
      </c>
      <c r="AT852">
        <f>IF($E852="","",IF($AC852="Yes",1,0))</f>
        <v/>
      </c>
      <c r="AU852">
        <f>IF($AQ852=1,IFERROR(IF(VALUE($E852)&lt;100000000,VALUE($E852),1000000000),IFERROR(IF(VALUE(MID($E852,2,20))&lt;100000000,VALUE(MID($E852,2,20)),1000000000),1000000000))+ROW()/100000,"")</f>
        <v/>
      </c>
    </row>
    <row r="853">
      <c r="G853" s="14" t="n"/>
      <c r="Q853" s="7">
        <f>IF($E853="","",P853*Z853/100)</f>
        <v/>
      </c>
      <c r="R853" s="7" t="n"/>
      <c r="Y853" s="7" t="n"/>
      <c r="Z853" s="7" t="n"/>
      <c r="AA853" s="7" t="n"/>
      <c r="AD853">
        <f>IF($E853="","",IF($AT853=1,Settings!$C$8,IF($AS853=1,Settings!$C$6,Settings!$C$7))*100)</f>
        <v/>
      </c>
      <c r="AE853" s="7">
        <f>IF($E853="","",Z853*AD853/100)</f>
        <v/>
      </c>
      <c r="AF853" s="7">
        <f>IF($E853="","",Z853-AE853)</f>
        <v/>
      </c>
      <c r="AG853" s="7">
        <f>IF($E853="","",AF853-Q853)</f>
        <v/>
      </c>
      <c r="AK853" s="7" t="n"/>
      <c r="AN853" s="14" t="n"/>
      <c r="AQ853">
        <f>IF($E853="","",IF(COUNTIF($E$2:$E853,$E853)=1,1,0))</f>
        <v/>
      </c>
      <c r="AR853">
        <f>IF($AQ853=1,SUMPRODUCT(--($AU$2:$AU$1501&lt;$AU853))+1,"")</f>
        <v/>
      </c>
      <c r="AS853">
        <f>IF($E853="","",IF(OR($U853=TRUE(),$U853="TRUE"),1,0))</f>
        <v/>
      </c>
      <c r="AT853">
        <f>IF($E853="","",IF($AC853="Yes",1,0))</f>
        <v/>
      </c>
      <c r="AU853">
        <f>IF($AQ853=1,IFERROR(IF(VALUE($E853)&lt;100000000,VALUE($E853),1000000000),IFERROR(IF(VALUE(MID($E853,2,20))&lt;100000000,VALUE(MID($E853,2,20)),1000000000),1000000000))+ROW()/100000,"")</f>
        <v/>
      </c>
    </row>
    <row r="854">
      <c r="G854" s="14" t="n"/>
      <c r="Q854" s="7">
        <f>IF($E854="","",P854*Z854/100)</f>
        <v/>
      </c>
      <c r="R854" s="7" t="n"/>
      <c r="Y854" s="7" t="n"/>
      <c r="Z854" s="7" t="n"/>
      <c r="AA854" s="7" t="n"/>
      <c r="AD854">
        <f>IF($E854="","",IF($AT854=1,Settings!$C$8,IF($AS854=1,Settings!$C$6,Settings!$C$7))*100)</f>
        <v/>
      </c>
      <c r="AE854" s="7">
        <f>IF($E854="","",Z854*AD854/100)</f>
        <v/>
      </c>
      <c r="AF854" s="7">
        <f>IF($E854="","",Z854-AE854)</f>
        <v/>
      </c>
      <c r="AG854" s="7">
        <f>IF($E854="","",AF854-Q854)</f>
        <v/>
      </c>
      <c r="AK854" s="7" t="n"/>
      <c r="AN854" s="14" t="n"/>
      <c r="AQ854">
        <f>IF($E854="","",IF(COUNTIF($E$2:$E854,$E854)=1,1,0))</f>
        <v/>
      </c>
      <c r="AR854">
        <f>IF($AQ854=1,SUMPRODUCT(--($AU$2:$AU$1501&lt;$AU854))+1,"")</f>
        <v/>
      </c>
      <c r="AS854">
        <f>IF($E854="","",IF(OR($U854=TRUE(),$U854="TRUE"),1,0))</f>
        <v/>
      </c>
      <c r="AT854">
        <f>IF($E854="","",IF($AC854="Yes",1,0))</f>
        <v/>
      </c>
      <c r="AU854">
        <f>IF($AQ854=1,IFERROR(IF(VALUE($E854)&lt;100000000,VALUE($E854),1000000000),IFERROR(IF(VALUE(MID($E854,2,20))&lt;100000000,VALUE(MID($E854,2,20)),1000000000),1000000000))+ROW()/100000,"")</f>
        <v/>
      </c>
    </row>
    <row r="855">
      <c r="G855" s="14" t="n"/>
      <c r="Q855" s="7">
        <f>IF($E855="","",P855*Z855/100)</f>
        <v/>
      </c>
      <c r="R855" s="7" t="n"/>
      <c r="Y855" s="7" t="n"/>
      <c r="Z855" s="7" t="n"/>
      <c r="AA855" s="7" t="n"/>
      <c r="AD855">
        <f>IF($E855="","",IF($AT855=1,Settings!$C$8,IF($AS855=1,Settings!$C$6,Settings!$C$7))*100)</f>
        <v/>
      </c>
      <c r="AE855" s="7">
        <f>IF($E855="","",Z855*AD855/100)</f>
        <v/>
      </c>
      <c r="AF855" s="7">
        <f>IF($E855="","",Z855-AE855)</f>
        <v/>
      </c>
      <c r="AG855" s="7">
        <f>IF($E855="","",AF855-Q855)</f>
        <v/>
      </c>
      <c r="AK855" s="7" t="n"/>
      <c r="AN855" s="14" t="n"/>
      <c r="AQ855">
        <f>IF($E855="","",IF(COUNTIF($E$2:$E855,$E855)=1,1,0))</f>
        <v/>
      </c>
      <c r="AR855">
        <f>IF($AQ855=1,SUMPRODUCT(--($AU$2:$AU$1501&lt;$AU855))+1,"")</f>
        <v/>
      </c>
      <c r="AS855">
        <f>IF($E855="","",IF(OR($U855=TRUE(),$U855="TRUE"),1,0))</f>
        <v/>
      </c>
      <c r="AT855">
        <f>IF($E855="","",IF($AC855="Yes",1,0))</f>
        <v/>
      </c>
      <c r="AU855">
        <f>IF($AQ855=1,IFERROR(IF(VALUE($E855)&lt;100000000,VALUE($E855),1000000000),IFERROR(IF(VALUE(MID($E855,2,20))&lt;100000000,VALUE(MID($E855,2,20)),1000000000),1000000000))+ROW()/100000,"")</f>
        <v/>
      </c>
    </row>
    <row r="856">
      <c r="G856" s="14" t="n"/>
      <c r="Q856" s="7">
        <f>IF($E856="","",P856*Z856/100)</f>
        <v/>
      </c>
      <c r="R856" s="7" t="n"/>
      <c r="Y856" s="7" t="n"/>
      <c r="Z856" s="7" t="n"/>
      <c r="AA856" s="7" t="n"/>
      <c r="AD856">
        <f>IF($E856="","",IF($AT856=1,Settings!$C$8,IF($AS856=1,Settings!$C$6,Settings!$C$7))*100)</f>
        <v/>
      </c>
      <c r="AE856" s="7">
        <f>IF($E856="","",Z856*AD856/100)</f>
        <v/>
      </c>
      <c r="AF856" s="7">
        <f>IF($E856="","",Z856-AE856)</f>
        <v/>
      </c>
      <c r="AG856" s="7">
        <f>IF($E856="","",AF856-Q856)</f>
        <v/>
      </c>
      <c r="AK856" s="7" t="n"/>
      <c r="AN856" s="14" t="n"/>
      <c r="AQ856">
        <f>IF($E856="","",IF(COUNTIF($E$2:$E856,$E856)=1,1,0))</f>
        <v/>
      </c>
      <c r="AR856">
        <f>IF($AQ856=1,SUMPRODUCT(--($AU$2:$AU$1501&lt;$AU856))+1,"")</f>
        <v/>
      </c>
      <c r="AS856">
        <f>IF($E856="","",IF(OR($U856=TRUE(),$U856="TRUE"),1,0))</f>
        <v/>
      </c>
      <c r="AT856">
        <f>IF($E856="","",IF($AC856="Yes",1,0))</f>
        <v/>
      </c>
      <c r="AU856">
        <f>IF($AQ856=1,IFERROR(IF(VALUE($E856)&lt;100000000,VALUE($E856),1000000000),IFERROR(IF(VALUE(MID($E856,2,20))&lt;100000000,VALUE(MID($E856,2,20)),1000000000),1000000000))+ROW()/100000,"")</f>
        <v/>
      </c>
    </row>
    <row r="857">
      <c r="G857" s="14" t="n"/>
      <c r="Q857" s="7">
        <f>IF($E857="","",P857*Z857/100)</f>
        <v/>
      </c>
      <c r="R857" s="7" t="n"/>
      <c r="Y857" s="7" t="n"/>
      <c r="Z857" s="7" t="n"/>
      <c r="AA857" s="7" t="n"/>
      <c r="AD857">
        <f>IF($E857="","",IF($AT857=1,Settings!$C$8,IF($AS857=1,Settings!$C$6,Settings!$C$7))*100)</f>
        <v/>
      </c>
      <c r="AE857" s="7">
        <f>IF($E857="","",Z857*AD857/100)</f>
        <v/>
      </c>
      <c r="AF857" s="7">
        <f>IF($E857="","",Z857-AE857)</f>
        <v/>
      </c>
      <c r="AG857" s="7">
        <f>IF($E857="","",AF857-Q857)</f>
        <v/>
      </c>
      <c r="AK857" s="7" t="n"/>
      <c r="AN857" s="14" t="n"/>
      <c r="AQ857">
        <f>IF($E857="","",IF(COUNTIF($E$2:$E857,$E857)=1,1,0))</f>
        <v/>
      </c>
      <c r="AR857">
        <f>IF($AQ857=1,SUMPRODUCT(--($AU$2:$AU$1501&lt;$AU857))+1,"")</f>
        <v/>
      </c>
      <c r="AS857">
        <f>IF($E857="","",IF(OR($U857=TRUE(),$U857="TRUE"),1,0))</f>
        <v/>
      </c>
      <c r="AT857">
        <f>IF($E857="","",IF($AC857="Yes",1,0))</f>
        <v/>
      </c>
      <c r="AU857">
        <f>IF($AQ857=1,IFERROR(IF(VALUE($E857)&lt;100000000,VALUE($E857),1000000000),IFERROR(IF(VALUE(MID($E857,2,20))&lt;100000000,VALUE(MID($E857,2,20)),1000000000),1000000000))+ROW()/100000,"")</f>
        <v/>
      </c>
    </row>
    <row r="858">
      <c r="G858" s="14" t="n"/>
      <c r="Q858" s="7">
        <f>IF($E858="","",P858*Z858/100)</f>
        <v/>
      </c>
      <c r="R858" s="7" t="n"/>
      <c r="Y858" s="7" t="n"/>
      <c r="Z858" s="7" t="n"/>
      <c r="AA858" s="7" t="n"/>
      <c r="AD858">
        <f>IF($E858="","",IF($AT858=1,Settings!$C$8,IF($AS858=1,Settings!$C$6,Settings!$C$7))*100)</f>
        <v/>
      </c>
      <c r="AE858" s="7">
        <f>IF($E858="","",Z858*AD858/100)</f>
        <v/>
      </c>
      <c r="AF858" s="7">
        <f>IF($E858="","",Z858-AE858)</f>
        <v/>
      </c>
      <c r="AG858" s="7">
        <f>IF($E858="","",AF858-Q858)</f>
        <v/>
      </c>
      <c r="AK858" s="7" t="n"/>
      <c r="AN858" s="14" t="n"/>
      <c r="AQ858">
        <f>IF($E858="","",IF(COUNTIF($E$2:$E858,$E858)=1,1,0))</f>
        <v/>
      </c>
      <c r="AR858">
        <f>IF($AQ858=1,SUMPRODUCT(--($AU$2:$AU$1501&lt;$AU858))+1,"")</f>
        <v/>
      </c>
      <c r="AS858">
        <f>IF($E858="","",IF(OR($U858=TRUE(),$U858="TRUE"),1,0))</f>
        <v/>
      </c>
      <c r="AT858">
        <f>IF($E858="","",IF($AC858="Yes",1,0))</f>
        <v/>
      </c>
      <c r="AU858">
        <f>IF($AQ858=1,IFERROR(IF(VALUE($E858)&lt;100000000,VALUE($E858),1000000000),IFERROR(IF(VALUE(MID($E858,2,20))&lt;100000000,VALUE(MID($E858,2,20)),1000000000),1000000000))+ROW()/100000,"")</f>
        <v/>
      </c>
    </row>
    <row r="859">
      <c r="G859" s="14" t="n"/>
      <c r="Q859" s="7">
        <f>IF($E859="","",P859*Z859/100)</f>
        <v/>
      </c>
      <c r="R859" s="7" t="n"/>
      <c r="Y859" s="7" t="n"/>
      <c r="Z859" s="7" t="n"/>
      <c r="AA859" s="7" t="n"/>
      <c r="AD859">
        <f>IF($E859="","",IF($AT859=1,Settings!$C$8,IF($AS859=1,Settings!$C$6,Settings!$C$7))*100)</f>
        <v/>
      </c>
      <c r="AE859" s="7">
        <f>IF($E859="","",Z859*AD859/100)</f>
        <v/>
      </c>
      <c r="AF859" s="7">
        <f>IF($E859="","",Z859-AE859)</f>
        <v/>
      </c>
      <c r="AG859" s="7">
        <f>IF($E859="","",AF859-Q859)</f>
        <v/>
      </c>
      <c r="AK859" s="7" t="n"/>
      <c r="AN859" s="14" t="n"/>
      <c r="AQ859">
        <f>IF($E859="","",IF(COUNTIF($E$2:$E859,$E859)=1,1,0))</f>
        <v/>
      </c>
      <c r="AR859">
        <f>IF($AQ859=1,SUMPRODUCT(--($AU$2:$AU$1501&lt;$AU859))+1,"")</f>
        <v/>
      </c>
      <c r="AS859">
        <f>IF($E859="","",IF(OR($U859=TRUE(),$U859="TRUE"),1,0))</f>
        <v/>
      </c>
      <c r="AT859">
        <f>IF($E859="","",IF($AC859="Yes",1,0))</f>
        <v/>
      </c>
      <c r="AU859">
        <f>IF($AQ859=1,IFERROR(IF(VALUE($E859)&lt;100000000,VALUE($E859),1000000000),IFERROR(IF(VALUE(MID($E859,2,20))&lt;100000000,VALUE(MID($E859,2,20)),1000000000),1000000000))+ROW()/100000,"")</f>
        <v/>
      </c>
    </row>
    <row r="860">
      <c r="G860" s="14" t="n"/>
      <c r="Q860" s="7">
        <f>IF($E860="","",P860*Z860/100)</f>
        <v/>
      </c>
      <c r="R860" s="7" t="n"/>
      <c r="Y860" s="7" t="n"/>
      <c r="Z860" s="7" t="n"/>
      <c r="AA860" s="7" t="n"/>
      <c r="AD860">
        <f>IF($E860="","",IF($AT860=1,Settings!$C$8,IF($AS860=1,Settings!$C$6,Settings!$C$7))*100)</f>
        <v/>
      </c>
      <c r="AE860" s="7">
        <f>IF($E860="","",Z860*AD860/100)</f>
        <v/>
      </c>
      <c r="AF860" s="7">
        <f>IF($E860="","",Z860-AE860)</f>
        <v/>
      </c>
      <c r="AG860" s="7">
        <f>IF($E860="","",AF860-Q860)</f>
        <v/>
      </c>
      <c r="AK860" s="7" t="n"/>
      <c r="AN860" s="14" t="n"/>
      <c r="AQ860">
        <f>IF($E860="","",IF(COUNTIF($E$2:$E860,$E860)=1,1,0))</f>
        <v/>
      </c>
      <c r="AR860">
        <f>IF($AQ860=1,SUMPRODUCT(--($AU$2:$AU$1501&lt;$AU860))+1,"")</f>
        <v/>
      </c>
      <c r="AS860">
        <f>IF($E860="","",IF(OR($U860=TRUE(),$U860="TRUE"),1,0))</f>
        <v/>
      </c>
      <c r="AT860">
        <f>IF($E860="","",IF($AC860="Yes",1,0))</f>
        <v/>
      </c>
      <c r="AU860">
        <f>IF($AQ860=1,IFERROR(IF(VALUE($E860)&lt;100000000,VALUE($E860),1000000000),IFERROR(IF(VALUE(MID($E860,2,20))&lt;100000000,VALUE(MID($E860,2,20)),1000000000),1000000000))+ROW()/100000,"")</f>
        <v/>
      </c>
    </row>
    <row r="861">
      <c r="G861" s="14" t="n"/>
      <c r="Q861" s="7">
        <f>IF($E861="","",P861*Z861/100)</f>
        <v/>
      </c>
      <c r="R861" s="7" t="n"/>
      <c r="Y861" s="7" t="n"/>
      <c r="Z861" s="7" t="n"/>
      <c r="AA861" s="7" t="n"/>
      <c r="AD861">
        <f>IF($E861="","",IF($AT861=1,Settings!$C$8,IF($AS861=1,Settings!$C$6,Settings!$C$7))*100)</f>
        <v/>
      </c>
      <c r="AE861" s="7">
        <f>IF($E861="","",Z861*AD861/100)</f>
        <v/>
      </c>
      <c r="AF861" s="7">
        <f>IF($E861="","",Z861-AE861)</f>
        <v/>
      </c>
      <c r="AG861" s="7">
        <f>IF($E861="","",AF861-Q861)</f>
        <v/>
      </c>
      <c r="AK861" s="7" t="n"/>
      <c r="AN861" s="14" t="n"/>
      <c r="AQ861">
        <f>IF($E861="","",IF(COUNTIF($E$2:$E861,$E861)=1,1,0))</f>
        <v/>
      </c>
      <c r="AR861">
        <f>IF($AQ861=1,SUMPRODUCT(--($AU$2:$AU$1501&lt;$AU861))+1,"")</f>
        <v/>
      </c>
      <c r="AS861">
        <f>IF($E861="","",IF(OR($U861=TRUE(),$U861="TRUE"),1,0))</f>
        <v/>
      </c>
      <c r="AT861">
        <f>IF($E861="","",IF($AC861="Yes",1,0))</f>
        <v/>
      </c>
      <c r="AU861">
        <f>IF($AQ861=1,IFERROR(IF(VALUE($E861)&lt;100000000,VALUE($E861),1000000000),IFERROR(IF(VALUE(MID($E861,2,20))&lt;100000000,VALUE(MID($E861,2,20)),1000000000),1000000000))+ROW()/100000,"")</f>
        <v/>
      </c>
    </row>
    <row r="862">
      <c r="G862" s="14" t="n"/>
      <c r="Q862" s="7">
        <f>IF($E862="","",P862*Z862/100)</f>
        <v/>
      </c>
      <c r="R862" s="7" t="n"/>
      <c r="Y862" s="7" t="n"/>
      <c r="Z862" s="7" t="n"/>
      <c r="AA862" s="7" t="n"/>
      <c r="AD862">
        <f>IF($E862="","",IF($AT862=1,Settings!$C$8,IF($AS862=1,Settings!$C$6,Settings!$C$7))*100)</f>
        <v/>
      </c>
      <c r="AE862" s="7">
        <f>IF($E862="","",Z862*AD862/100)</f>
        <v/>
      </c>
      <c r="AF862" s="7">
        <f>IF($E862="","",Z862-AE862)</f>
        <v/>
      </c>
      <c r="AG862" s="7">
        <f>IF($E862="","",AF862-Q862)</f>
        <v/>
      </c>
      <c r="AK862" s="7" t="n"/>
      <c r="AN862" s="14" t="n"/>
      <c r="AQ862">
        <f>IF($E862="","",IF(COUNTIF($E$2:$E862,$E862)=1,1,0))</f>
        <v/>
      </c>
      <c r="AR862">
        <f>IF($AQ862=1,SUMPRODUCT(--($AU$2:$AU$1501&lt;$AU862))+1,"")</f>
        <v/>
      </c>
      <c r="AS862">
        <f>IF($E862="","",IF(OR($U862=TRUE(),$U862="TRUE"),1,0))</f>
        <v/>
      </c>
      <c r="AT862">
        <f>IF($E862="","",IF($AC862="Yes",1,0))</f>
        <v/>
      </c>
      <c r="AU862">
        <f>IF($AQ862=1,IFERROR(IF(VALUE($E862)&lt;100000000,VALUE($E862),1000000000),IFERROR(IF(VALUE(MID($E862,2,20))&lt;100000000,VALUE(MID($E862,2,20)),1000000000),1000000000))+ROW()/100000,"")</f>
        <v/>
      </c>
    </row>
    <row r="863">
      <c r="G863" s="14" t="n"/>
      <c r="Q863" s="7">
        <f>IF($E863="","",P863*Z863/100)</f>
        <v/>
      </c>
      <c r="R863" s="7" t="n"/>
      <c r="Y863" s="7" t="n"/>
      <c r="Z863" s="7" t="n"/>
      <c r="AA863" s="7" t="n"/>
      <c r="AD863">
        <f>IF($E863="","",IF($AT863=1,Settings!$C$8,IF($AS863=1,Settings!$C$6,Settings!$C$7))*100)</f>
        <v/>
      </c>
      <c r="AE863" s="7">
        <f>IF($E863="","",Z863*AD863/100)</f>
        <v/>
      </c>
      <c r="AF863" s="7">
        <f>IF($E863="","",Z863-AE863)</f>
        <v/>
      </c>
      <c r="AG863" s="7">
        <f>IF($E863="","",AF863-Q863)</f>
        <v/>
      </c>
      <c r="AK863" s="7" t="n"/>
      <c r="AN863" s="14" t="n"/>
      <c r="AQ863">
        <f>IF($E863="","",IF(COUNTIF($E$2:$E863,$E863)=1,1,0))</f>
        <v/>
      </c>
      <c r="AR863">
        <f>IF($AQ863=1,SUMPRODUCT(--($AU$2:$AU$1501&lt;$AU863))+1,"")</f>
        <v/>
      </c>
      <c r="AS863">
        <f>IF($E863="","",IF(OR($U863=TRUE(),$U863="TRUE"),1,0))</f>
        <v/>
      </c>
      <c r="AT863">
        <f>IF($E863="","",IF($AC863="Yes",1,0))</f>
        <v/>
      </c>
      <c r="AU863">
        <f>IF($AQ863=1,IFERROR(IF(VALUE($E863)&lt;100000000,VALUE($E863),1000000000),IFERROR(IF(VALUE(MID($E863,2,20))&lt;100000000,VALUE(MID($E863,2,20)),1000000000),1000000000))+ROW()/100000,"")</f>
        <v/>
      </c>
    </row>
    <row r="864">
      <c r="G864" s="14" t="n"/>
      <c r="Q864" s="7">
        <f>IF($E864="","",P864*Z864/100)</f>
        <v/>
      </c>
      <c r="R864" s="7" t="n"/>
      <c r="Y864" s="7" t="n"/>
      <c r="Z864" s="7" t="n"/>
      <c r="AA864" s="7" t="n"/>
      <c r="AD864">
        <f>IF($E864="","",IF($AT864=1,Settings!$C$8,IF($AS864=1,Settings!$C$6,Settings!$C$7))*100)</f>
        <v/>
      </c>
      <c r="AE864" s="7">
        <f>IF($E864="","",Z864*AD864/100)</f>
        <v/>
      </c>
      <c r="AF864" s="7">
        <f>IF($E864="","",Z864-AE864)</f>
        <v/>
      </c>
      <c r="AG864" s="7">
        <f>IF($E864="","",AF864-Q864)</f>
        <v/>
      </c>
      <c r="AK864" s="7" t="n"/>
      <c r="AN864" s="14" t="n"/>
      <c r="AQ864">
        <f>IF($E864="","",IF(COUNTIF($E$2:$E864,$E864)=1,1,0))</f>
        <v/>
      </c>
      <c r="AR864">
        <f>IF($AQ864=1,SUMPRODUCT(--($AU$2:$AU$1501&lt;$AU864))+1,"")</f>
        <v/>
      </c>
      <c r="AS864">
        <f>IF($E864="","",IF(OR($U864=TRUE(),$U864="TRUE"),1,0))</f>
        <v/>
      </c>
      <c r="AT864">
        <f>IF($E864="","",IF($AC864="Yes",1,0))</f>
        <v/>
      </c>
      <c r="AU864">
        <f>IF($AQ864=1,IFERROR(IF(VALUE($E864)&lt;100000000,VALUE($E864),1000000000),IFERROR(IF(VALUE(MID($E864,2,20))&lt;100000000,VALUE(MID($E864,2,20)),1000000000),1000000000))+ROW()/100000,"")</f>
        <v/>
      </c>
    </row>
    <row r="865">
      <c r="G865" s="14" t="n"/>
      <c r="Q865" s="7">
        <f>IF($E865="","",P865*Z865/100)</f>
        <v/>
      </c>
      <c r="R865" s="7" t="n"/>
      <c r="Y865" s="7" t="n"/>
      <c r="Z865" s="7" t="n"/>
      <c r="AA865" s="7" t="n"/>
      <c r="AD865">
        <f>IF($E865="","",IF($AT865=1,Settings!$C$8,IF($AS865=1,Settings!$C$6,Settings!$C$7))*100)</f>
        <v/>
      </c>
      <c r="AE865" s="7">
        <f>IF($E865="","",Z865*AD865/100)</f>
        <v/>
      </c>
      <c r="AF865" s="7">
        <f>IF($E865="","",Z865-AE865)</f>
        <v/>
      </c>
      <c r="AG865" s="7">
        <f>IF($E865="","",AF865-Q865)</f>
        <v/>
      </c>
      <c r="AK865" s="7" t="n"/>
      <c r="AN865" s="14" t="n"/>
      <c r="AQ865">
        <f>IF($E865="","",IF(COUNTIF($E$2:$E865,$E865)=1,1,0))</f>
        <v/>
      </c>
      <c r="AR865">
        <f>IF($AQ865=1,SUMPRODUCT(--($AU$2:$AU$1501&lt;$AU865))+1,"")</f>
        <v/>
      </c>
      <c r="AS865">
        <f>IF($E865="","",IF(OR($U865=TRUE(),$U865="TRUE"),1,0))</f>
        <v/>
      </c>
      <c r="AT865">
        <f>IF($E865="","",IF($AC865="Yes",1,0))</f>
        <v/>
      </c>
      <c r="AU865">
        <f>IF($AQ865=1,IFERROR(IF(VALUE($E865)&lt;100000000,VALUE($E865),1000000000),IFERROR(IF(VALUE(MID($E865,2,20))&lt;100000000,VALUE(MID($E865,2,20)),1000000000),1000000000))+ROW()/100000,"")</f>
        <v/>
      </c>
    </row>
    <row r="866">
      <c r="G866" s="14" t="n"/>
      <c r="Q866" s="7">
        <f>IF($E866="","",P866*Z866/100)</f>
        <v/>
      </c>
      <c r="R866" s="7" t="n"/>
      <c r="Y866" s="7" t="n"/>
      <c r="Z866" s="7" t="n"/>
      <c r="AA866" s="7" t="n"/>
      <c r="AD866">
        <f>IF($E866="","",IF($AT866=1,Settings!$C$8,IF($AS866=1,Settings!$C$6,Settings!$C$7))*100)</f>
        <v/>
      </c>
      <c r="AE866" s="7">
        <f>IF($E866="","",Z866*AD866/100)</f>
        <v/>
      </c>
      <c r="AF866" s="7">
        <f>IF($E866="","",Z866-AE866)</f>
        <v/>
      </c>
      <c r="AG866" s="7">
        <f>IF($E866="","",AF866-Q866)</f>
        <v/>
      </c>
      <c r="AK866" s="7" t="n"/>
      <c r="AN866" s="14" t="n"/>
      <c r="AQ866">
        <f>IF($E866="","",IF(COUNTIF($E$2:$E866,$E866)=1,1,0))</f>
        <v/>
      </c>
      <c r="AR866">
        <f>IF($AQ866=1,SUMPRODUCT(--($AU$2:$AU$1501&lt;$AU866))+1,"")</f>
        <v/>
      </c>
      <c r="AS866">
        <f>IF($E866="","",IF(OR($U866=TRUE(),$U866="TRUE"),1,0))</f>
        <v/>
      </c>
      <c r="AT866">
        <f>IF($E866="","",IF($AC866="Yes",1,0))</f>
        <v/>
      </c>
      <c r="AU866">
        <f>IF($AQ866=1,IFERROR(IF(VALUE($E866)&lt;100000000,VALUE($E866),1000000000),IFERROR(IF(VALUE(MID($E866,2,20))&lt;100000000,VALUE(MID($E866,2,20)),1000000000),1000000000))+ROW()/100000,"")</f>
        <v/>
      </c>
    </row>
    <row r="867">
      <c r="G867" s="14" t="n"/>
      <c r="Q867" s="7">
        <f>IF($E867="","",P867*Z867/100)</f>
        <v/>
      </c>
      <c r="R867" s="7" t="n"/>
      <c r="Y867" s="7" t="n"/>
      <c r="Z867" s="7" t="n"/>
      <c r="AA867" s="7" t="n"/>
      <c r="AD867">
        <f>IF($E867="","",IF($AT867=1,Settings!$C$8,IF($AS867=1,Settings!$C$6,Settings!$C$7))*100)</f>
        <v/>
      </c>
      <c r="AE867" s="7">
        <f>IF($E867="","",Z867*AD867/100)</f>
        <v/>
      </c>
      <c r="AF867" s="7">
        <f>IF($E867="","",Z867-AE867)</f>
        <v/>
      </c>
      <c r="AG867" s="7">
        <f>IF($E867="","",AF867-Q867)</f>
        <v/>
      </c>
      <c r="AK867" s="7" t="n"/>
      <c r="AN867" s="14" t="n"/>
      <c r="AQ867">
        <f>IF($E867="","",IF(COUNTIF($E$2:$E867,$E867)=1,1,0))</f>
        <v/>
      </c>
      <c r="AR867">
        <f>IF($AQ867=1,SUMPRODUCT(--($AU$2:$AU$1501&lt;$AU867))+1,"")</f>
        <v/>
      </c>
      <c r="AS867">
        <f>IF($E867="","",IF(OR($U867=TRUE(),$U867="TRUE"),1,0))</f>
        <v/>
      </c>
      <c r="AT867">
        <f>IF($E867="","",IF($AC867="Yes",1,0))</f>
        <v/>
      </c>
      <c r="AU867">
        <f>IF($AQ867=1,IFERROR(IF(VALUE($E867)&lt;100000000,VALUE($E867),1000000000),IFERROR(IF(VALUE(MID($E867,2,20))&lt;100000000,VALUE(MID($E867,2,20)),1000000000),1000000000))+ROW()/100000,"")</f>
        <v/>
      </c>
    </row>
    <row r="868">
      <c r="G868" s="14" t="n"/>
      <c r="Q868" s="7">
        <f>IF($E868="","",P868*Z868/100)</f>
        <v/>
      </c>
      <c r="R868" s="7" t="n"/>
      <c r="Y868" s="7" t="n"/>
      <c r="Z868" s="7" t="n"/>
      <c r="AA868" s="7" t="n"/>
      <c r="AD868">
        <f>IF($E868="","",IF($AT868=1,Settings!$C$8,IF($AS868=1,Settings!$C$6,Settings!$C$7))*100)</f>
        <v/>
      </c>
      <c r="AE868" s="7">
        <f>IF($E868="","",Z868*AD868/100)</f>
        <v/>
      </c>
      <c r="AF868" s="7">
        <f>IF($E868="","",Z868-AE868)</f>
        <v/>
      </c>
      <c r="AG868" s="7">
        <f>IF($E868="","",AF868-Q868)</f>
        <v/>
      </c>
      <c r="AK868" s="7" t="n"/>
      <c r="AN868" s="14" t="n"/>
      <c r="AQ868">
        <f>IF($E868="","",IF(COUNTIF($E$2:$E868,$E868)=1,1,0))</f>
        <v/>
      </c>
      <c r="AR868">
        <f>IF($AQ868=1,SUMPRODUCT(--($AU$2:$AU$1501&lt;$AU868))+1,"")</f>
        <v/>
      </c>
      <c r="AS868">
        <f>IF($E868="","",IF(OR($U868=TRUE(),$U868="TRUE"),1,0))</f>
        <v/>
      </c>
      <c r="AT868">
        <f>IF($E868="","",IF($AC868="Yes",1,0))</f>
        <v/>
      </c>
      <c r="AU868">
        <f>IF($AQ868=1,IFERROR(IF(VALUE($E868)&lt;100000000,VALUE($E868),1000000000),IFERROR(IF(VALUE(MID($E868,2,20))&lt;100000000,VALUE(MID($E868,2,20)),1000000000),1000000000))+ROW()/100000,"")</f>
        <v/>
      </c>
    </row>
    <row r="869">
      <c r="G869" s="14" t="n"/>
      <c r="Q869" s="7">
        <f>IF($E869="","",P869*Z869/100)</f>
        <v/>
      </c>
      <c r="R869" s="7" t="n"/>
      <c r="Y869" s="7" t="n"/>
      <c r="Z869" s="7" t="n"/>
      <c r="AA869" s="7" t="n"/>
      <c r="AD869">
        <f>IF($E869="","",IF($AT869=1,Settings!$C$8,IF($AS869=1,Settings!$C$6,Settings!$C$7))*100)</f>
        <v/>
      </c>
      <c r="AE869" s="7">
        <f>IF($E869="","",Z869*AD869/100)</f>
        <v/>
      </c>
      <c r="AF869" s="7">
        <f>IF($E869="","",Z869-AE869)</f>
        <v/>
      </c>
      <c r="AG869" s="7">
        <f>IF($E869="","",AF869-Q869)</f>
        <v/>
      </c>
      <c r="AK869" s="7" t="n"/>
      <c r="AN869" s="14" t="n"/>
      <c r="AQ869">
        <f>IF($E869="","",IF(COUNTIF($E$2:$E869,$E869)=1,1,0))</f>
        <v/>
      </c>
      <c r="AR869">
        <f>IF($AQ869=1,SUMPRODUCT(--($AU$2:$AU$1501&lt;$AU869))+1,"")</f>
        <v/>
      </c>
      <c r="AS869">
        <f>IF($E869="","",IF(OR($U869=TRUE(),$U869="TRUE"),1,0))</f>
        <v/>
      </c>
      <c r="AT869">
        <f>IF($E869="","",IF($AC869="Yes",1,0))</f>
        <v/>
      </c>
      <c r="AU869">
        <f>IF($AQ869=1,IFERROR(IF(VALUE($E869)&lt;100000000,VALUE($E869),1000000000),IFERROR(IF(VALUE(MID($E869,2,20))&lt;100000000,VALUE(MID($E869,2,20)),1000000000),1000000000))+ROW()/100000,"")</f>
        <v/>
      </c>
    </row>
    <row r="870">
      <c r="G870" s="14" t="n"/>
      <c r="Q870" s="7">
        <f>IF($E870="","",P870*Z870/100)</f>
        <v/>
      </c>
      <c r="R870" s="7" t="n"/>
      <c r="Y870" s="7" t="n"/>
      <c r="Z870" s="7" t="n"/>
      <c r="AA870" s="7" t="n"/>
      <c r="AD870">
        <f>IF($E870="","",IF($AT870=1,Settings!$C$8,IF($AS870=1,Settings!$C$6,Settings!$C$7))*100)</f>
        <v/>
      </c>
      <c r="AE870" s="7">
        <f>IF($E870="","",Z870*AD870/100)</f>
        <v/>
      </c>
      <c r="AF870" s="7">
        <f>IF($E870="","",Z870-AE870)</f>
        <v/>
      </c>
      <c r="AG870" s="7">
        <f>IF($E870="","",AF870-Q870)</f>
        <v/>
      </c>
      <c r="AK870" s="7" t="n"/>
      <c r="AN870" s="14" t="n"/>
      <c r="AQ870">
        <f>IF($E870="","",IF(COUNTIF($E$2:$E870,$E870)=1,1,0))</f>
        <v/>
      </c>
      <c r="AR870">
        <f>IF($AQ870=1,SUMPRODUCT(--($AU$2:$AU$1501&lt;$AU870))+1,"")</f>
        <v/>
      </c>
      <c r="AS870">
        <f>IF($E870="","",IF(OR($U870=TRUE(),$U870="TRUE"),1,0))</f>
        <v/>
      </c>
      <c r="AT870">
        <f>IF($E870="","",IF($AC870="Yes",1,0))</f>
        <v/>
      </c>
      <c r="AU870">
        <f>IF($AQ870=1,IFERROR(IF(VALUE($E870)&lt;100000000,VALUE($E870),1000000000),IFERROR(IF(VALUE(MID($E870,2,20))&lt;100000000,VALUE(MID($E870,2,20)),1000000000),1000000000))+ROW()/100000,"")</f>
        <v/>
      </c>
    </row>
    <row r="871">
      <c r="G871" s="14" t="n"/>
      <c r="Q871" s="7">
        <f>IF($E871="","",P871*Z871/100)</f>
        <v/>
      </c>
      <c r="R871" s="7" t="n"/>
      <c r="Y871" s="7" t="n"/>
      <c r="Z871" s="7" t="n"/>
      <c r="AA871" s="7" t="n"/>
      <c r="AD871">
        <f>IF($E871="","",IF($AT871=1,Settings!$C$8,IF($AS871=1,Settings!$C$6,Settings!$C$7))*100)</f>
        <v/>
      </c>
      <c r="AE871" s="7">
        <f>IF($E871="","",Z871*AD871/100)</f>
        <v/>
      </c>
      <c r="AF871" s="7">
        <f>IF($E871="","",Z871-AE871)</f>
        <v/>
      </c>
      <c r="AG871" s="7">
        <f>IF($E871="","",AF871-Q871)</f>
        <v/>
      </c>
      <c r="AK871" s="7" t="n"/>
      <c r="AN871" s="14" t="n"/>
      <c r="AQ871">
        <f>IF($E871="","",IF(COUNTIF($E$2:$E871,$E871)=1,1,0))</f>
        <v/>
      </c>
      <c r="AR871">
        <f>IF($AQ871=1,SUMPRODUCT(--($AU$2:$AU$1501&lt;$AU871))+1,"")</f>
        <v/>
      </c>
      <c r="AS871">
        <f>IF($E871="","",IF(OR($U871=TRUE(),$U871="TRUE"),1,0))</f>
        <v/>
      </c>
      <c r="AT871">
        <f>IF($E871="","",IF($AC871="Yes",1,0))</f>
        <v/>
      </c>
      <c r="AU871">
        <f>IF($AQ871=1,IFERROR(IF(VALUE($E871)&lt;100000000,VALUE($E871),1000000000),IFERROR(IF(VALUE(MID($E871,2,20))&lt;100000000,VALUE(MID($E871,2,20)),1000000000),1000000000))+ROW()/100000,"")</f>
        <v/>
      </c>
    </row>
    <row r="872">
      <c r="G872" s="14" t="n"/>
      <c r="Q872" s="7">
        <f>IF($E872="","",P872*Z872/100)</f>
        <v/>
      </c>
      <c r="R872" s="7" t="n"/>
      <c r="Y872" s="7" t="n"/>
      <c r="Z872" s="7" t="n"/>
      <c r="AA872" s="7" t="n"/>
      <c r="AD872">
        <f>IF($E872="","",IF($AT872=1,Settings!$C$8,IF($AS872=1,Settings!$C$6,Settings!$C$7))*100)</f>
        <v/>
      </c>
      <c r="AE872" s="7">
        <f>IF($E872="","",Z872*AD872/100)</f>
        <v/>
      </c>
      <c r="AF872" s="7">
        <f>IF($E872="","",Z872-AE872)</f>
        <v/>
      </c>
      <c r="AG872" s="7">
        <f>IF($E872="","",AF872-Q872)</f>
        <v/>
      </c>
      <c r="AK872" s="7" t="n"/>
      <c r="AN872" s="14" t="n"/>
      <c r="AQ872">
        <f>IF($E872="","",IF(COUNTIF($E$2:$E872,$E872)=1,1,0))</f>
        <v/>
      </c>
      <c r="AR872">
        <f>IF($AQ872=1,SUMPRODUCT(--($AU$2:$AU$1501&lt;$AU872))+1,"")</f>
        <v/>
      </c>
      <c r="AS872">
        <f>IF($E872="","",IF(OR($U872=TRUE(),$U872="TRUE"),1,0))</f>
        <v/>
      </c>
      <c r="AT872">
        <f>IF($E872="","",IF($AC872="Yes",1,0))</f>
        <v/>
      </c>
      <c r="AU872">
        <f>IF($AQ872=1,IFERROR(IF(VALUE($E872)&lt;100000000,VALUE($E872),1000000000),IFERROR(IF(VALUE(MID($E872,2,20))&lt;100000000,VALUE(MID($E872,2,20)),1000000000),1000000000))+ROW()/100000,"")</f>
        <v/>
      </c>
    </row>
    <row r="873">
      <c r="G873" s="14" t="n"/>
      <c r="Q873" s="7">
        <f>IF($E873="","",P873*Z873/100)</f>
        <v/>
      </c>
      <c r="R873" s="7" t="n"/>
      <c r="Y873" s="7" t="n"/>
      <c r="Z873" s="7" t="n"/>
      <c r="AA873" s="7" t="n"/>
      <c r="AD873">
        <f>IF($E873="","",IF($AT873=1,Settings!$C$8,IF($AS873=1,Settings!$C$6,Settings!$C$7))*100)</f>
        <v/>
      </c>
      <c r="AE873" s="7">
        <f>IF($E873="","",Z873*AD873/100)</f>
        <v/>
      </c>
      <c r="AF873" s="7">
        <f>IF($E873="","",Z873-AE873)</f>
        <v/>
      </c>
      <c r="AG873" s="7">
        <f>IF($E873="","",AF873-Q873)</f>
        <v/>
      </c>
      <c r="AK873" s="7" t="n"/>
      <c r="AN873" s="14" t="n"/>
      <c r="AQ873">
        <f>IF($E873="","",IF(COUNTIF($E$2:$E873,$E873)=1,1,0))</f>
        <v/>
      </c>
      <c r="AR873">
        <f>IF($AQ873=1,SUMPRODUCT(--($AU$2:$AU$1501&lt;$AU873))+1,"")</f>
        <v/>
      </c>
      <c r="AS873">
        <f>IF($E873="","",IF(OR($U873=TRUE(),$U873="TRUE"),1,0))</f>
        <v/>
      </c>
      <c r="AT873">
        <f>IF($E873="","",IF($AC873="Yes",1,0))</f>
        <v/>
      </c>
      <c r="AU873">
        <f>IF($AQ873=1,IFERROR(IF(VALUE($E873)&lt;100000000,VALUE($E873),1000000000),IFERROR(IF(VALUE(MID($E873,2,20))&lt;100000000,VALUE(MID($E873,2,20)),1000000000),1000000000))+ROW()/100000,"")</f>
        <v/>
      </c>
    </row>
    <row r="874">
      <c r="G874" s="14" t="n"/>
      <c r="Q874" s="7">
        <f>IF($E874="","",P874*Z874/100)</f>
        <v/>
      </c>
      <c r="R874" s="7" t="n"/>
      <c r="Y874" s="7" t="n"/>
      <c r="Z874" s="7" t="n"/>
      <c r="AA874" s="7" t="n"/>
      <c r="AD874">
        <f>IF($E874="","",IF($AT874=1,Settings!$C$8,IF($AS874=1,Settings!$C$6,Settings!$C$7))*100)</f>
        <v/>
      </c>
      <c r="AE874" s="7">
        <f>IF($E874="","",Z874*AD874/100)</f>
        <v/>
      </c>
      <c r="AF874" s="7">
        <f>IF($E874="","",Z874-AE874)</f>
        <v/>
      </c>
      <c r="AG874" s="7">
        <f>IF($E874="","",AF874-Q874)</f>
        <v/>
      </c>
      <c r="AK874" s="7" t="n"/>
      <c r="AN874" s="14" t="n"/>
      <c r="AQ874">
        <f>IF($E874="","",IF(COUNTIF($E$2:$E874,$E874)=1,1,0))</f>
        <v/>
      </c>
      <c r="AR874">
        <f>IF($AQ874=1,SUMPRODUCT(--($AU$2:$AU$1501&lt;$AU874))+1,"")</f>
        <v/>
      </c>
      <c r="AS874">
        <f>IF($E874="","",IF(OR($U874=TRUE(),$U874="TRUE"),1,0))</f>
        <v/>
      </c>
      <c r="AT874">
        <f>IF($E874="","",IF($AC874="Yes",1,0))</f>
        <v/>
      </c>
      <c r="AU874">
        <f>IF($AQ874=1,IFERROR(IF(VALUE($E874)&lt;100000000,VALUE($E874),1000000000),IFERROR(IF(VALUE(MID($E874,2,20))&lt;100000000,VALUE(MID($E874,2,20)),1000000000),1000000000))+ROW()/100000,"")</f>
        <v/>
      </c>
    </row>
    <row r="875">
      <c r="G875" s="14" t="n"/>
      <c r="Q875" s="7">
        <f>IF($E875="","",P875*Z875/100)</f>
        <v/>
      </c>
      <c r="R875" s="7" t="n"/>
      <c r="Y875" s="7" t="n"/>
      <c r="Z875" s="7" t="n"/>
      <c r="AA875" s="7" t="n"/>
      <c r="AD875">
        <f>IF($E875="","",IF($AT875=1,Settings!$C$8,IF($AS875=1,Settings!$C$6,Settings!$C$7))*100)</f>
        <v/>
      </c>
      <c r="AE875" s="7">
        <f>IF($E875="","",Z875*AD875/100)</f>
        <v/>
      </c>
      <c r="AF875" s="7">
        <f>IF($E875="","",Z875-AE875)</f>
        <v/>
      </c>
      <c r="AG875" s="7">
        <f>IF($E875="","",AF875-Q875)</f>
        <v/>
      </c>
      <c r="AK875" s="7" t="n"/>
      <c r="AN875" s="14" t="n"/>
      <c r="AQ875">
        <f>IF($E875="","",IF(COUNTIF($E$2:$E875,$E875)=1,1,0))</f>
        <v/>
      </c>
      <c r="AR875">
        <f>IF($AQ875=1,SUMPRODUCT(--($AU$2:$AU$1501&lt;$AU875))+1,"")</f>
        <v/>
      </c>
      <c r="AS875">
        <f>IF($E875="","",IF(OR($U875=TRUE(),$U875="TRUE"),1,0))</f>
        <v/>
      </c>
      <c r="AT875">
        <f>IF($E875="","",IF($AC875="Yes",1,0))</f>
        <v/>
      </c>
      <c r="AU875">
        <f>IF($AQ875=1,IFERROR(IF(VALUE($E875)&lt;100000000,VALUE($E875),1000000000),IFERROR(IF(VALUE(MID($E875,2,20))&lt;100000000,VALUE(MID($E875,2,20)),1000000000),1000000000))+ROW()/100000,"")</f>
        <v/>
      </c>
    </row>
    <row r="876">
      <c r="G876" s="14" t="n"/>
      <c r="Q876" s="7">
        <f>IF($E876="","",P876*Z876/100)</f>
        <v/>
      </c>
      <c r="R876" s="7" t="n"/>
      <c r="Y876" s="7" t="n"/>
      <c r="Z876" s="7" t="n"/>
      <c r="AA876" s="7" t="n"/>
      <c r="AD876">
        <f>IF($E876="","",IF($AT876=1,Settings!$C$8,IF($AS876=1,Settings!$C$6,Settings!$C$7))*100)</f>
        <v/>
      </c>
      <c r="AE876" s="7">
        <f>IF($E876="","",Z876*AD876/100)</f>
        <v/>
      </c>
      <c r="AF876" s="7">
        <f>IF($E876="","",Z876-AE876)</f>
        <v/>
      </c>
      <c r="AG876" s="7">
        <f>IF($E876="","",AF876-Q876)</f>
        <v/>
      </c>
      <c r="AK876" s="7" t="n"/>
      <c r="AN876" s="14" t="n"/>
      <c r="AQ876">
        <f>IF($E876="","",IF(COUNTIF($E$2:$E876,$E876)=1,1,0))</f>
        <v/>
      </c>
      <c r="AR876">
        <f>IF($AQ876=1,SUMPRODUCT(--($AU$2:$AU$1501&lt;$AU876))+1,"")</f>
        <v/>
      </c>
      <c r="AS876">
        <f>IF($E876="","",IF(OR($U876=TRUE(),$U876="TRUE"),1,0))</f>
        <v/>
      </c>
      <c r="AT876">
        <f>IF($E876="","",IF($AC876="Yes",1,0))</f>
        <v/>
      </c>
      <c r="AU876">
        <f>IF($AQ876=1,IFERROR(IF(VALUE($E876)&lt;100000000,VALUE($E876),1000000000),IFERROR(IF(VALUE(MID($E876,2,20))&lt;100000000,VALUE(MID($E876,2,20)),1000000000),1000000000))+ROW()/100000,"")</f>
        <v/>
      </c>
    </row>
    <row r="877">
      <c r="G877" s="14" t="n"/>
      <c r="Q877" s="7">
        <f>IF($E877="","",P877*Z877/100)</f>
        <v/>
      </c>
      <c r="R877" s="7" t="n"/>
      <c r="Y877" s="7" t="n"/>
      <c r="Z877" s="7" t="n"/>
      <c r="AA877" s="7" t="n"/>
      <c r="AD877">
        <f>IF($E877="","",IF($AT877=1,Settings!$C$8,IF($AS877=1,Settings!$C$6,Settings!$C$7))*100)</f>
        <v/>
      </c>
      <c r="AE877" s="7">
        <f>IF($E877="","",Z877*AD877/100)</f>
        <v/>
      </c>
      <c r="AF877" s="7">
        <f>IF($E877="","",Z877-AE877)</f>
        <v/>
      </c>
      <c r="AG877" s="7">
        <f>IF($E877="","",AF877-Q877)</f>
        <v/>
      </c>
      <c r="AK877" s="7" t="n"/>
      <c r="AN877" s="14" t="n"/>
      <c r="AQ877">
        <f>IF($E877="","",IF(COUNTIF($E$2:$E877,$E877)=1,1,0))</f>
        <v/>
      </c>
      <c r="AR877">
        <f>IF($AQ877=1,SUMPRODUCT(--($AU$2:$AU$1501&lt;$AU877))+1,"")</f>
        <v/>
      </c>
      <c r="AS877">
        <f>IF($E877="","",IF(OR($U877=TRUE(),$U877="TRUE"),1,0))</f>
        <v/>
      </c>
      <c r="AT877">
        <f>IF($E877="","",IF($AC877="Yes",1,0))</f>
        <v/>
      </c>
      <c r="AU877">
        <f>IF($AQ877=1,IFERROR(IF(VALUE($E877)&lt;100000000,VALUE($E877),1000000000),IFERROR(IF(VALUE(MID($E877,2,20))&lt;100000000,VALUE(MID($E877,2,20)),1000000000),1000000000))+ROW()/100000,"")</f>
        <v/>
      </c>
    </row>
    <row r="878">
      <c r="G878" s="14" t="n"/>
      <c r="Q878" s="7">
        <f>IF($E878="","",P878*Z878/100)</f>
        <v/>
      </c>
      <c r="R878" s="7" t="n"/>
      <c r="Y878" s="7" t="n"/>
      <c r="Z878" s="7" t="n"/>
      <c r="AA878" s="7" t="n"/>
      <c r="AD878">
        <f>IF($E878="","",IF($AT878=1,Settings!$C$8,IF($AS878=1,Settings!$C$6,Settings!$C$7))*100)</f>
        <v/>
      </c>
      <c r="AE878" s="7">
        <f>IF($E878="","",Z878*AD878/100)</f>
        <v/>
      </c>
      <c r="AF878" s="7">
        <f>IF($E878="","",Z878-AE878)</f>
        <v/>
      </c>
      <c r="AG878" s="7">
        <f>IF($E878="","",AF878-Q878)</f>
        <v/>
      </c>
      <c r="AK878" s="7" t="n"/>
      <c r="AN878" s="14" t="n"/>
      <c r="AQ878">
        <f>IF($E878="","",IF(COUNTIF($E$2:$E878,$E878)=1,1,0))</f>
        <v/>
      </c>
      <c r="AR878">
        <f>IF($AQ878=1,SUMPRODUCT(--($AU$2:$AU$1501&lt;$AU878))+1,"")</f>
        <v/>
      </c>
      <c r="AS878">
        <f>IF($E878="","",IF(OR($U878=TRUE(),$U878="TRUE"),1,0))</f>
        <v/>
      </c>
      <c r="AT878">
        <f>IF($E878="","",IF($AC878="Yes",1,0))</f>
        <v/>
      </c>
      <c r="AU878">
        <f>IF($AQ878=1,IFERROR(IF(VALUE($E878)&lt;100000000,VALUE($E878),1000000000),IFERROR(IF(VALUE(MID($E878,2,20))&lt;100000000,VALUE(MID($E878,2,20)),1000000000),1000000000))+ROW()/100000,"")</f>
        <v/>
      </c>
    </row>
    <row r="879">
      <c r="G879" s="14" t="n"/>
      <c r="Q879" s="7">
        <f>IF($E879="","",P879*Z879/100)</f>
        <v/>
      </c>
      <c r="R879" s="7" t="n"/>
      <c r="Y879" s="7" t="n"/>
      <c r="Z879" s="7" t="n"/>
      <c r="AA879" s="7" t="n"/>
      <c r="AD879">
        <f>IF($E879="","",IF($AT879=1,Settings!$C$8,IF($AS879=1,Settings!$C$6,Settings!$C$7))*100)</f>
        <v/>
      </c>
      <c r="AE879" s="7">
        <f>IF($E879="","",Z879*AD879/100)</f>
        <v/>
      </c>
      <c r="AF879" s="7">
        <f>IF($E879="","",Z879-AE879)</f>
        <v/>
      </c>
      <c r="AG879" s="7">
        <f>IF($E879="","",AF879-Q879)</f>
        <v/>
      </c>
      <c r="AK879" s="7" t="n"/>
      <c r="AN879" s="14" t="n"/>
      <c r="AQ879">
        <f>IF($E879="","",IF(COUNTIF($E$2:$E879,$E879)=1,1,0))</f>
        <v/>
      </c>
      <c r="AR879">
        <f>IF($AQ879=1,SUMPRODUCT(--($AU$2:$AU$1501&lt;$AU879))+1,"")</f>
        <v/>
      </c>
      <c r="AS879">
        <f>IF($E879="","",IF(OR($U879=TRUE(),$U879="TRUE"),1,0))</f>
        <v/>
      </c>
      <c r="AT879">
        <f>IF($E879="","",IF($AC879="Yes",1,0))</f>
        <v/>
      </c>
      <c r="AU879">
        <f>IF($AQ879=1,IFERROR(IF(VALUE($E879)&lt;100000000,VALUE($E879),1000000000),IFERROR(IF(VALUE(MID($E879,2,20))&lt;100000000,VALUE(MID($E879,2,20)),1000000000),1000000000))+ROW()/100000,"")</f>
        <v/>
      </c>
    </row>
    <row r="880">
      <c r="G880" s="14" t="n"/>
      <c r="Q880" s="7">
        <f>IF($E880="","",P880*Z880/100)</f>
        <v/>
      </c>
      <c r="R880" s="7" t="n"/>
      <c r="Y880" s="7" t="n"/>
      <c r="Z880" s="7" t="n"/>
      <c r="AA880" s="7" t="n"/>
      <c r="AD880">
        <f>IF($E880="","",IF($AT880=1,Settings!$C$8,IF($AS880=1,Settings!$C$6,Settings!$C$7))*100)</f>
        <v/>
      </c>
      <c r="AE880" s="7">
        <f>IF($E880="","",Z880*AD880/100)</f>
        <v/>
      </c>
      <c r="AF880" s="7">
        <f>IF($E880="","",Z880-AE880)</f>
        <v/>
      </c>
      <c r="AG880" s="7">
        <f>IF($E880="","",AF880-Q880)</f>
        <v/>
      </c>
      <c r="AK880" s="7" t="n"/>
      <c r="AN880" s="14" t="n"/>
      <c r="AQ880">
        <f>IF($E880="","",IF(COUNTIF($E$2:$E880,$E880)=1,1,0))</f>
        <v/>
      </c>
      <c r="AR880">
        <f>IF($AQ880=1,SUMPRODUCT(--($AU$2:$AU$1501&lt;$AU880))+1,"")</f>
        <v/>
      </c>
      <c r="AS880">
        <f>IF($E880="","",IF(OR($U880=TRUE(),$U880="TRUE"),1,0))</f>
        <v/>
      </c>
      <c r="AT880">
        <f>IF($E880="","",IF($AC880="Yes",1,0))</f>
        <v/>
      </c>
      <c r="AU880">
        <f>IF($AQ880=1,IFERROR(IF(VALUE($E880)&lt;100000000,VALUE($E880),1000000000),IFERROR(IF(VALUE(MID($E880,2,20))&lt;100000000,VALUE(MID($E880,2,20)),1000000000),1000000000))+ROW()/100000,"")</f>
        <v/>
      </c>
    </row>
    <row r="881">
      <c r="G881" s="14" t="n"/>
      <c r="Q881" s="7">
        <f>IF($E881="","",P881*Z881/100)</f>
        <v/>
      </c>
      <c r="R881" s="7" t="n"/>
      <c r="Y881" s="7" t="n"/>
      <c r="Z881" s="7" t="n"/>
      <c r="AA881" s="7" t="n"/>
      <c r="AD881">
        <f>IF($E881="","",IF($AT881=1,Settings!$C$8,IF($AS881=1,Settings!$C$6,Settings!$C$7))*100)</f>
        <v/>
      </c>
      <c r="AE881" s="7">
        <f>IF($E881="","",Z881*AD881/100)</f>
        <v/>
      </c>
      <c r="AF881" s="7">
        <f>IF($E881="","",Z881-AE881)</f>
        <v/>
      </c>
      <c r="AG881" s="7">
        <f>IF($E881="","",AF881-Q881)</f>
        <v/>
      </c>
      <c r="AK881" s="7" t="n"/>
      <c r="AN881" s="14" t="n"/>
      <c r="AQ881">
        <f>IF($E881="","",IF(COUNTIF($E$2:$E881,$E881)=1,1,0))</f>
        <v/>
      </c>
      <c r="AR881">
        <f>IF($AQ881=1,SUMPRODUCT(--($AU$2:$AU$1501&lt;$AU881))+1,"")</f>
        <v/>
      </c>
      <c r="AS881">
        <f>IF($E881="","",IF(OR($U881=TRUE(),$U881="TRUE"),1,0))</f>
        <v/>
      </c>
      <c r="AT881">
        <f>IF($E881="","",IF($AC881="Yes",1,0))</f>
        <v/>
      </c>
      <c r="AU881">
        <f>IF($AQ881=1,IFERROR(IF(VALUE($E881)&lt;100000000,VALUE($E881),1000000000),IFERROR(IF(VALUE(MID($E881,2,20))&lt;100000000,VALUE(MID($E881,2,20)),1000000000),1000000000))+ROW()/100000,"")</f>
        <v/>
      </c>
    </row>
    <row r="882">
      <c r="G882" s="14" t="n"/>
      <c r="Q882" s="7">
        <f>IF($E882="","",P882*Z882/100)</f>
        <v/>
      </c>
      <c r="R882" s="7" t="n"/>
      <c r="Y882" s="7" t="n"/>
      <c r="Z882" s="7" t="n"/>
      <c r="AA882" s="7" t="n"/>
      <c r="AD882">
        <f>IF($E882="","",IF($AT882=1,Settings!$C$8,IF($AS882=1,Settings!$C$6,Settings!$C$7))*100)</f>
        <v/>
      </c>
      <c r="AE882" s="7">
        <f>IF($E882="","",Z882*AD882/100)</f>
        <v/>
      </c>
      <c r="AF882" s="7">
        <f>IF($E882="","",Z882-AE882)</f>
        <v/>
      </c>
      <c r="AG882" s="7">
        <f>IF($E882="","",AF882-Q882)</f>
        <v/>
      </c>
      <c r="AK882" s="7" t="n"/>
      <c r="AN882" s="14" t="n"/>
      <c r="AQ882">
        <f>IF($E882="","",IF(COUNTIF($E$2:$E882,$E882)=1,1,0))</f>
        <v/>
      </c>
      <c r="AR882">
        <f>IF($AQ882=1,SUMPRODUCT(--($AU$2:$AU$1501&lt;$AU882))+1,"")</f>
        <v/>
      </c>
      <c r="AS882">
        <f>IF($E882="","",IF(OR($U882=TRUE(),$U882="TRUE"),1,0))</f>
        <v/>
      </c>
      <c r="AT882">
        <f>IF($E882="","",IF($AC882="Yes",1,0))</f>
        <v/>
      </c>
      <c r="AU882">
        <f>IF($AQ882=1,IFERROR(IF(VALUE($E882)&lt;100000000,VALUE($E882),1000000000),IFERROR(IF(VALUE(MID($E882,2,20))&lt;100000000,VALUE(MID($E882,2,20)),1000000000),1000000000))+ROW()/100000,"")</f>
        <v/>
      </c>
    </row>
    <row r="883">
      <c r="G883" s="14" t="n"/>
      <c r="Q883" s="7">
        <f>IF($E883="","",P883*Z883/100)</f>
        <v/>
      </c>
      <c r="R883" s="7" t="n"/>
      <c r="Y883" s="7" t="n"/>
      <c r="Z883" s="7" t="n"/>
      <c r="AA883" s="7" t="n"/>
      <c r="AD883">
        <f>IF($E883="","",IF($AT883=1,Settings!$C$8,IF($AS883=1,Settings!$C$6,Settings!$C$7))*100)</f>
        <v/>
      </c>
      <c r="AE883" s="7">
        <f>IF($E883="","",Z883*AD883/100)</f>
        <v/>
      </c>
      <c r="AF883" s="7">
        <f>IF($E883="","",Z883-AE883)</f>
        <v/>
      </c>
      <c r="AG883" s="7">
        <f>IF($E883="","",AF883-Q883)</f>
        <v/>
      </c>
      <c r="AK883" s="7" t="n"/>
      <c r="AN883" s="14" t="n"/>
      <c r="AQ883">
        <f>IF($E883="","",IF(COUNTIF($E$2:$E883,$E883)=1,1,0))</f>
        <v/>
      </c>
      <c r="AR883">
        <f>IF($AQ883=1,SUMPRODUCT(--($AU$2:$AU$1501&lt;$AU883))+1,"")</f>
        <v/>
      </c>
      <c r="AS883">
        <f>IF($E883="","",IF(OR($U883=TRUE(),$U883="TRUE"),1,0))</f>
        <v/>
      </c>
      <c r="AT883">
        <f>IF($E883="","",IF($AC883="Yes",1,0))</f>
        <v/>
      </c>
      <c r="AU883">
        <f>IF($AQ883=1,IFERROR(IF(VALUE($E883)&lt;100000000,VALUE($E883),1000000000),IFERROR(IF(VALUE(MID($E883,2,20))&lt;100000000,VALUE(MID($E883,2,20)),1000000000),1000000000))+ROW()/100000,"")</f>
        <v/>
      </c>
    </row>
    <row r="884">
      <c r="G884" s="14" t="n"/>
      <c r="Q884" s="7">
        <f>IF($E884="","",P884*Z884/100)</f>
        <v/>
      </c>
      <c r="R884" s="7" t="n"/>
      <c r="Y884" s="7" t="n"/>
      <c r="Z884" s="7" t="n"/>
      <c r="AA884" s="7" t="n"/>
      <c r="AD884">
        <f>IF($E884="","",IF($AT884=1,Settings!$C$8,IF($AS884=1,Settings!$C$6,Settings!$C$7))*100)</f>
        <v/>
      </c>
      <c r="AE884" s="7">
        <f>IF($E884="","",Z884*AD884/100)</f>
        <v/>
      </c>
      <c r="AF884" s="7">
        <f>IF($E884="","",Z884-AE884)</f>
        <v/>
      </c>
      <c r="AG884" s="7">
        <f>IF($E884="","",AF884-Q884)</f>
        <v/>
      </c>
      <c r="AK884" s="7" t="n"/>
      <c r="AN884" s="14" t="n"/>
      <c r="AQ884">
        <f>IF($E884="","",IF(COUNTIF($E$2:$E884,$E884)=1,1,0))</f>
        <v/>
      </c>
      <c r="AR884">
        <f>IF($AQ884=1,SUMPRODUCT(--($AU$2:$AU$1501&lt;$AU884))+1,"")</f>
        <v/>
      </c>
      <c r="AS884">
        <f>IF($E884="","",IF(OR($U884=TRUE(),$U884="TRUE"),1,0))</f>
        <v/>
      </c>
      <c r="AT884">
        <f>IF($E884="","",IF($AC884="Yes",1,0))</f>
        <v/>
      </c>
      <c r="AU884">
        <f>IF($AQ884=1,IFERROR(IF(VALUE($E884)&lt;100000000,VALUE($E884),1000000000),IFERROR(IF(VALUE(MID($E884,2,20))&lt;100000000,VALUE(MID($E884,2,20)),1000000000),1000000000))+ROW()/100000,"")</f>
        <v/>
      </c>
    </row>
    <row r="885">
      <c r="G885" s="14" t="n"/>
      <c r="Q885" s="7">
        <f>IF($E885="","",P885*Z885/100)</f>
        <v/>
      </c>
      <c r="R885" s="7" t="n"/>
      <c r="Y885" s="7" t="n"/>
      <c r="Z885" s="7" t="n"/>
      <c r="AA885" s="7" t="n"/>
      <c r="AD885">
        <f>IF($E885="","",IF($AT885=1,Settings!$C$8,IF($AS885=1,Settings!$C$6,Settings!$C$7))*100)</f>
        <v/>
      </c>
      <c r="AE885" s="7">
        <f>IF($E885="","",Z885*AD885/100)</f>
        <v/>
      </c>
      <c r="AF885" s="7">
        <f>IF($E885="","",Z885-AE885)</f>
        <v/>
      </c>
      <c r="AG885" s="7">
        <f>IF($E885="","",AF885-Q885)</f>
        <v/>
      </c>
      <c r="AK885" s="7" t="n"/>
      <c r="AN885" s="14" t="n"/>
      <c r="AQ885">
        <f>IF($E885="","",IF(COUNTIF($E$2:$E885,$E885)=1,1,0))</f>
        <v/>
      </c>
      <c r="AR885">
        <f>IF($AQ885=1,SUMPRODUCT(--($AU$2:$AU$1501&lt;$AU885))+1,"")</f>
        <v/>
      </c>
      <c r="AS885">
        <f>IF($E885="","",IF(OR($U885=TRUE(),$U885="TRUE"),1,0))</f>
        <v/>
      </c>
      <c r="AT885">
        <f>IF($E885="","",IF($AC885="Yes",1,0))</f>
        <v/>
      </c>
      <c r="AU885">
        <f>IF($AQ885=1,IFERROR(IF(VALUE($E885)&lt;100000000,VALUE($E885),1000000000),IFERROR(IF(VALUE(MID($E885,2,20))&lt;100000000,VALUE(MID($E885,2,20)),1000000000),1000000000))+ROW()/100000,"")</f>
        <v/>
      </c>
    </row>
    <row r="886">
      <c r="G886" s="14" t="n"/>
      <c r="Q886" s="7">
        <f>IF($E886="","",P886*Z886/100)</f>
        <v/>
      </c>
      <c r="R886" s="7" t="n"/>
      <c r="Y886" s="7" t="n"/>
      <c r="Z886" s="7" t="n"/>
      <c r="AA886" s="7" t="n"/>
      <c r="AD886">
        <f>IF($E886="","",IF($AT886=1,Settings!$C$8,IF($AS886=1,Settings!$C$6,Settings!$C$7))*100)</f>
        <v/>
      </c>
      <c r="AE886" s="7">
        <f>IF($E886="","",Z886*AD886/100)</f>
        <v/>
      </c>
      <c r="AF886" s="7">
        <f>IF($E886="","",Z886-AE886)</f>
        <v/>
      </c>
      <c r="AG886" s="7">
        <f>IF($E886="","",AF886-Q886)</f>
        <v/>
      </c>
      <c r="AK886" s="7" t="n"/>
      <c r="AN886" s="14" t="n"/>
      <c r="AQ886">
        <f>IF($E886="","",IF(COUNTIF($E$2:$E886,$E886)=1,1,0))</f>
        <v/>
      </c>
      <c r="AR886">
        <f>IF($AQ886=1,SUMPRODUCT(--($AU$2:$AU$1501&lt;$AU886))+1,"")</f>
        <v/>
      </c>
      <c r="AS886">
        <f>IF($E886="","",IF(OR($U886=TRUE(),$U886="TRUE"),1,0))</f>
        <v/>
      </c>
      <c r="AT886">
        <f>IF($E886="","",IF($AC886="Yes",1,0))</f>
        <v/>
      </c>
      <c r="AU886">
        <f>IF($AQ886=1,IFERROR(IF(VALUE($E886)&lt;100000000,VALUE($E886),1000000000),IFERROR(IF(VALUE(MID($E886,2,20))&lt;100000000,VALUE(MID($E886,2,20)),1000000000),1000000000))+ROW()/100000,"")</f>
        <v/>
      </c>
    </row>
    <row r="887">
      <c r="G887" s="14" t="n"/>
      <c r="Q887" s="7">
        <f>IF($E887="","",P887*Z887/100)</f>
        <v/>
      </c>
      <c r="R887" s="7" t="n"/>
      <c r="Y887" s="7" t="n"/>
      <c r="Z887" s="7" t="n"/>
      <c r="AA887" s="7" t="n"/>
      <c r="AD887">
        <f>IF($E887="","",IF($AT887=1,Settings!$C$8,IF($AS887=1,Settings!$C$6,Settings!$C$7))*100)</f>
        <v/>
      </c>
      <c r="AE887" s="7">
        <f>IF($E887="","",Z887*AD887/100)</f>
        <v/>
      </c>
      <c r="AF887" s="7">
        <f>IF($E887="","",Z887-AE887)</f>
        <v/>
      </c>
      <c r="AG887" s="7">
        <f>IF($E887="","",AF887-Q887)</f>
        <v/>
      </c>
      <c r="AK887" s="7" t="n"/>
      <c r="AN887" s="14" t="n"/>
      <c r="AQ887">
        <f>IF($E887="","",IF(COUNTIF($E$2:$E887,$E887)=1,1,0))</f>
        <v/>
      </c>
      <c r="AR887">
        <f>IF($AQ887=1,SUMPRODUCT(--($AU$2:$AU$1501&lt;$AU887))+1,"")</f>
        <v/>
      </c>
      <c r="AS887">
        <f>IF($E887="","",IF(OR($U887=TRUE(),$U887="TRUE"),1,0))</f>
        <v/>
      </c>
      <c r="AT887">
        <f>IF($E887="","",IF($AC887="Yes",1,0))</f>
        <v/>
      </c>
      <c r="AU887">
        <f>IF($AQ887=1,IFERROR(IF(VALUE($E887)&lt;100000000,VALUE($E887),1000000000),IFERROR(IF(VALUE(MID($E887,2,20))&lt;100000000,VALUE(MID($E887,2,20)),1000000000),1000000000))+ROW()/100000,"")</f>
        <v/>
      </c>
    </row>
    <row r="888">
      <c r="G888" s="14" t="n"/>
      <c r="Q888" s="7">
        <f>IF($E888="","",P888*Z888/100)</f>
        <v/>
      </c>
      <c r="R888" s="7" t="n"/>
      <c r="Y888" s="7" t="n"/>
      <c r="Z888" s="7" t="n"/>
      <c r="AA888" s="7" t="n"/>
      <c r="AD888">
        <f>IF($E888="","",IF($AT888=1,Settings!$C$8,IF($AS888=1,Settings!$C$6,Settings!$C$7))*100)</f>
        <v/>
      </c>
      <c r="AE888" s="7">
        <f>IF($E888="","",Z888*AD888/100)</f>
        <v/>
      </c>
      <c r="AF888" s="7">
        <f>IF($E888="","",Z888-AE888)</f>
        <v/>
      </c>
      <c r="AG888" s="7">
        <f>IF($E888="","",AF888-Q888)</f>
        <v/>
      </c>
      <c r="AK888" s="7" t="n"/>
      <c r="AN888" s="14" t="n"/>
      <c r="AQ888">
        <f>IF($E888="","",IF(COUNTIF($E$2:$E888,$E888)=1,1,0))</f>
        <v/>
      </c>
      <c r="AR888">
        <f>IF($AQ888=1,SUMPRODUCT(--($AU$2:$AU$1501&lt;$AU888))+1,"")</f>
        <v/>
      </c>
      <c r="AS888">
        <f>IF($E888="","",IF(OR($U888=TRUE(),$U888="TRUE"),1,0))</f>
        <v/>
      </c>
      <c r="AT888">
        <f>IF($E888="","",IF($AC888="Yes",1,0))</f>
        <v/>
      </c>
      <c r="AU888">
        <f>IF($AQ888=1,IFERROR(IF(VALUE($E888)&lt;100000000,VALUE($E888),1000000000),IFERROR(IF(VALUE(MID($E888,2,20))&lt;100000000,VALUE(MID($E888,2,20)),1000000000),1000000000))+ROW()/100000,"")</f>
        <v/>
      </c>
    </row>
    <row r="889">
      <c r="G889" s="14" t="n"/>
      <c r="Q889" s="7">
        <f>IF($E889="","",P889*Z889/100)</f>
        <v/>
      </c>
      <c r="R889" s="7" t="n"/>
      <c r="Y889" s="7" t="n"/>
      <c r="Z889" s="7" t="n"/>
      <c r="AA889" s="7" t="n"/>
      <c r="AD889">
        <f>IF($E889="","",IF($AT889=1,Settings!$C$8,IF($AS889=1,Settings!$C$6,Settings!$C$7))*100)</f>
        <v/>
      </c>
      <c r="AE889" s="7">
        <f>IF($E889="","",Z889*AD889/100)</f>
        <v/>
      </c>
      <c r="AF889" s="7">
        <f>IF($E889="","",Z889-AE889)</f>
        <v/>
      </c>
      <c r="AG889" s="7">
        <f>IF($E889="","",AF889-Q889)</f>
        <v/>
      </c>
      <c r="AK889" s="7" t="n"/>
      <c r="AN889" s="14" t="n"/>
      <c r="AQ889">
        <f>IF($E889="","",IF(COUNTIF($E$2:$E889,$E889)=1,1,0))</f>
        <v/>
      </c>
      <c r="AR889">
        <f>IF($AQ889=1,SUMPRODUCT(--($AU$2:$AU$1501&lt;$AU889))+1,"")</f>
        <v/>
      </c>
      <c r="AS889">
        <f>IF($E889="","",IF(OR($U889=TRUE(),$U889="TRUE"),1,0))</f>
        <v/>
      </c>
      <c r="AT889">
        <f>IF($E889="","",IF($AC889="Yes",1,0))</f>
        <v/>
      </c>
      <c r="AU889">
        <f>IF($AQ889=1,IFERROR(IF(VALUE($E889)&lt;100000000,VALUE($E889),1000000000),IFERROR(IF(VALUE(MID($E889,2,20))&lt;100000000,VALUE(MID($E889,2,20)),1000000000),1000000000))+ROW()/100000,"")</f>
        <v/>
      </c>
    </row>
    <row r="890">
      <c r="G890" s="14" t="n"/>
      <c r="Q890" s="7">
        <f>IF($E890="","",P890*Z890/100)</f>
        <v/>
      </c>
      <c r="R890" s="7" t="n"/>
      <c r="Y890" s="7" t="n"/>
      <c r="Z890" s="7" t="n"/>
      <c r="AA890" s="7" t="n"/>
      <c r="AD890">
        <f>IF($E890="","",IF($AT890=1,Settings!$C$8,IF($AS890=1,Settings!$C$6,Settings!$C$7))*100)</f>
        <v/>
      </c>
      <c r="AE890" s="7">
        <f>IF($E890="","",Z890*AD890/100)</f>
        <v/>
      </c>
      <c r="AF890" s="7">
        <f>IF($E890="","",Z890-AE890)</f>
        <v/>
      </c>
      <c r="AG890" s="7">
        <f>IF($E890="","",AF890-Q890)</f>
        <v/>
      </c>
      <c r="AK890" s="7" t="n"/>
      <c r="AN890" s="14" t="n"/>
      <c r="AQ890">
        <f>IF($E890="","",IF(COUNTIF($E$2:$E890,$E890)=1,1,0))</f>
        <v/>
      </c>
      <c r="AR890">
        <f>IF($AQ890=1,SUMPRODUCT(--($AU$2:$AU$1501&lt;$AU890))+1,"")</f>
        <v/>
      </c>
      <c r="AS890">
        <f>IF($E890="","",IF(OR($U890=TRUE(),$U890="TRUE"),1,0))</f>
        <v/>
      </c>
      <c r="AT890">
        <f>IF($E890="","",IF($AC890="Yes",1,0))</f>
        <v/>
      </c>
      <c r="AU890">
        <f>IF($AQ890=1,IFERROR(IF(VALUE($E890)&lt;100000000,VALUE($E890),1000000000),IFERROR(IF(VALUE(MID($E890,2,20))&lt;100000000,VALUE(MID($E890,2,20)),1000000000),1000000000))+ROW()/100000,"")</f>
        <v/>
      </c>
    </row>
    <row r="891">
      <c r="G891" s="14" t="n"/>
      <c r="Q891" s="7">
        <f>IF($E891="","",P891*Z891/100)</f>
        <v/>
      </c>
      <c r="R891" s="7" t="n"/>
      <c r="Y891" s="7" t="n"/>
      <c r="Z891" s="7" t="n"/>
      <c r="AA891" s="7" t="n"/>
      <c r="AD891">
        <f>IF($E891="","",IF($AT891=1,Settings!$C$8,IF($AS891=1,Settings!$C$6,Settings!$C$7))*100)</f>
        <v/>
      </c>
      <c r="AE891" s="7">
        <f>IF($E891="","",Z891*AD891/100)</f>
        <v/>
      </c>
      <c r="AF891" s="7">
        <f>IF($E891="","",Z891-AE891)</f>
        <v/>
      </c>
      <c r="AG891" s="7">
        <f>IF($E891="","",AF891-Q891)</f>
        <v/>
      </c>
      <c r="AK891" s="7" t="n"/>
      <c r="AN891" s="14" t="n"/>
      <c r="AQ891">
        <f>IF($E891="","",IF(COUNTIF($E$2:$E891,$E891)=1,1,0))</f>
        <v/>
      </c>
      <c r="AR891">
        <f>IF($AQ891=1,SUMPRODUCT(--($AU$2:$AU$1501&lt;$AU891))+1,"")</f>
        <v/>
      </c>
      <c r="AS891">
        <f>IF($E891="","",IF(OR($U891=TRUE(),$U891="TRUE"),1,0))</f>
        <v/>
      </c>
      <c r="AT891">
        <f>IF($E891="","",IF($AC891="Yes",1,0))</f>
        <v/>
      </c>
      <c r="AU891">
        <f>IF($AQ891=1,IFERROR(IF(VALUE($E891)&lt;100000000,VALUE($E891),1000000000),IFERROR(IF(VALUE(MID($E891,2,20))&lt;100000000,VALUE(MID($E891,2,20)),1000000000),1000000000))+ROW()/100000,"")</f>
        <v/>
      </c>
    </row>
    <row r="892">
      <c r="G892" s="14" t="n"/>
      <c r="Q892" s="7">
        <f>IF($E892="","",P892*Z892/100)</f>
        <v/>
      </c>
      <c r="R892" s="7" t="n"/>
      <c r="Y892" s="7" t="n"/>
      <c r="Z892" s="7" t="n"/>
      <c r="AA892" s="7" t="n"/>
      <c r="AD892">
        <f>IF($E892="","",IF($AT892=1,Settings!$C$8,IF($AS892=1,Settings!$C$6,Settings!$C$7))*100)</f>
        <v/>
      </c>
      <c r="AE892" s="7">
        <f>IF($E892="","",Z892*AD892/100)</f>
        <v/>
      </c>
      <c r="AF892" s="7">
        <f>IF($E892="","",Z892-AE892)</f>
        <v/>
      </c>
      <c r="AG892" s="7">
        <f>IF($E892="","",AF892-Q892)</f>
        <v/>
      </c>
      <c r="AK892" s="7" t="n"/>
      <c r="AN892" s="14" t="n"/>
      <c r="AQ892">
        <f>IF($E892="","",IF(COUNTIF($E$2:$E892,$E892)=1,1,0))</f>
        <v/>
      </c>
      <c r="AR892">
        <f>IF($AQ892=1,SUMPRODUCT(--($AU$2:$AU$1501&lt;$AU892))+1,"")</f>
        <v/>
      </c>
      <c r="AS892">
        <f>IF($E892="","",IF(OR($U892=TRUE(),$U892="TRUE"),1,0))</f>
        <v/>
      </c>
      <c r="AT892">
        <f>IF($E892="","",IF($AC892="Yes",1,0))</f>
        <v/>
      </c>
      <c r="AU892">
        <f>IF($AQ892=1,IFERROR(IF(VALUE($E892)&lt;100000000,VALUE($E892),1000000000),IFERROR(IF(VALUE(MID($E892,2,20))&lt;100000000,VALUE(MID($E892,2,20)),1000000000),1000000000))+ROW()/100000,"")</f>
        <v/>
      </c>
    </row>
    <row r="893">
      <c r="G893" s="14" t="n"/>
      <c r="Q893" s="7">
        <f>IF($E893="","",P893*Z893/100)</f>
        <v/>
      </c>
      <c r="R893" s="7" t="n"/>
      <c r="Y893" s="7" t="n"/>
      <c r="Z893" s="7" t="n"/>
      <c r="AA893" s="7" t="n"/>
      <c r="AD893">
        <f>IF($E893="","",IF($AT893=1,Settings!$C$8,IF($AS893=1,Settings!$C$6,Settings!$C$7))*100)</f>
        <v/>
      </c>
      <c r="AE893" s="7">
        <f>IF($E893="","",Z893*AD893/100)</f>
        <v/>
      </c>
      <c r="AF893" s="7">
        <f>IF($E893="","",Z893-AE893)</f>
        <v/>
      </c>
      <c r="AG893" s="7">
        <f>IF($E893="","",AF893-Q893)</f>
        <v/>
      </c>
      <c r="AK893" s="7" t="n"/>
      <c r="AN893" s="14" t="n"/>
      <c r="AQ893">
        <f>IF($E893="","",IF(COUNTIF($E$2:$E893,$E893)=1,1,0))</f>
        <v/>
      </c>
      <c r="AR893">
        <f>IF($AQ893=1,SUMPRODUCT(--($AU$2:$AU$1501&lt;$AU893))+1,"")</f>
        <v/>
      </c>
      <c r="AS893">
        <f>IF($E893="","",IF(OR($U893=TRUE(),$U893="TRUE"),1,0))</f>
        <v/>
      </c>
      <c r="AT893">
        <f>IF($E893="","",IF($AC893="Yes",1,0))</f>
        <v/>
      </c>
      <c r="AU893">
        <f>IF($AQ893=1,IFERROR(IF(VALUE($E893)&lt;100000000,VALUE($E893),1000000000),IFERROR(IF(VALUE(MID($E893,2,20))&lt;100000000,VALUE(MID($E893,2,20)),1000000000),1000000000))+ROW()/100000,"")</f>
        <v/>
      </c>
    </row>
    <row r="894">
      <c r="G894" s="14" t="n"/>
      <c r="Q894" s="7">
        <f>IF($E894="","",P894*Z894/100)</f>
        <v/>
      </c>
      <c r="R894" s="7" t="n"/>
      <c r="Y894" s="7" t="n"/>
      <c r="Z894" s="7" t="n"/>
      <c r="AA894" s="7" t="n"/>
      <c r="AD894">
        <f>IF($E894="","",IF($AT894=1,Settings!$C$8,IF($AS894=1,Settings!$C$6,Settings!$C$7))*100)</f>
        <v/>
      </c>
      <c r="AE894" s="7">
        <f>IF($E894="","",Z894*AD894/100)</f>
        <v/>
      </c>
      <c r="AF894" s="7">
        <f>IF($E894="","",Z894-AE894)</f>
        <v/>
      </c>
      <c r="AG894" s="7">
        <f>IF($E894="","",AF894-Q894)</f>
        <v/>
      </c>
      <c r="AK894" s="7" t="n"/>
      <c r="AN894" s="14" t="n"/>
      <c r="AQ894">
        <f>IF($E894="","",IF(COUNTIF($E$2:$E894,$E894)=1,1,0))</f>
        <v/>
      </c>
      <c r="AR894">
        <f>IF($AQ894=1,SUMPRODUCT(--($AU$2:$AU$1501&lt;$AU894))+1,"")</f>
        <v/>
      </c>
      <c r="AS894">
        <f>IF($E894="","",IF(OR($U894=TRUE(),$U894="TRUE"),1,0))</f>
        <v/>
      </c>
      <c r="AT894">
        <f>IF($E894="","",IF($AC894="Yes",1,0))</f>
        <v/>
      </c>
      <c r="AU894">
        <f>IF($AQ894=1,IFERROR(IF(VALUE($E894)&lt;100000000,VALUE($E894),1000000000),IFERROR(IF(VALUE(MID($E894,2,20))&lt;100000000,VALUE(MID($E894,2,20)),1000000000),1000000000))+ROW()/100000,"")</f>
        <v/>
      </c>
    </row>
    <row r="895">
      <c r="G895" s="14" t="n"/>
      <c r="Q895" s="7">
        <f>IF($E895="","",P895*Z895/100)</f>
        <v/>
      </c>
      <c r="R895" s="7" t="n"/>
      <c r="Y895" s="7" t="n"/>
      <c r="Z895" s="7" t="n"/>
      <c r="AA895" s="7" t="n"/>
      <c r="AD895">
        <f>IF($E895="","",IF($AT895=1,Settings!$C$8,IF($AS895=1,Settings!$C$6,Settings!$C$7))*100)</f>
        <v/>
      </c>
      <c r="AE895" s="7">
        <f>IF($E895="","",Z895*AD895/100)</f>
        <v/>
      </c>
      <c r="AF895" s="7">
        <f>IF($E895="","",Z895-AE895)</f>
        <v/>
      </c>
      <c r="AG895" s="7">
        <f>IF($E895="","",AF895-Q895)</f>
        <v/>
      </c>
      <c r="AK895" s="7" t="n"/>
      <c r="AN895" s="14" t="n"/>
      <c r="AQ895">
        <f>IF($E895="","",IF(COUNTIF($E$2:$E895,$E895)=1,1,0))</f>
        <v/>
      </c>
      <c r="AR895">
        <f>IF($AQ895=1,SUMPRODUCT(--($AU$2:$AU$1501&lt;$AU895))+1,"")</f>
        <v/>
      </c>
      <c r="AS895">
        <f>IF($E895="","",IF(OR($U895=TRUE(),$U895="TRUE"),1,0))</f>
        <v/>
      </c>
      <c r="AT895">
        <f>IF($E895="","",IF($AC895="Yes",1,0))</f>
        <v/>
      </c>
      <c r="AU895">
        <f>IF($AQ895=1,IFERROR(IF(VALUE($E895)&lt;100000000,VALUE($E895),1000000000),IFERROR(IF(VALUE(MID($E895,2,20))&lt;100000000,VALUE(MID($E895,2,20)),1000000000),1000000000))+ROW()/100000,"")</f>
        <v/>
      </c>
    </row>
    <row r="896">
      <c r="G896" s="14" t="n"/>
      <c r="Q896" s="7">
        <f>IF($E896="","",P896*Z896/100)</f>
        <v/>
      </c>
      <c r="R896" s="7" t="n"/>
      <c r="Y896" s="7" t="n"/>
      <c r="Z896" s="7" t="n"/>
      <c r="AA896" s="7" t="n"/>
      <c r="AD896">
        <f>IF($E896="","",IF($AT896=1,Settings!$C$8,IF($AS896=1,Settings!$C$6,Settings!$C$7))*100)</f>
        <v/>
      </c>
      <c r="AE896" s="7">
        <f>IF($E896="","",Z896*AD896/100)</f>
        <v/>
      </c>
      <c r="AF896" s="7">
        <f>IF($E896="","",Z896-AE896)</f>
        <v/>
      </c>
      <c r="AG896" s="7">
        <f>IF($E896="","",AF896-Q896)</f>
        <v/>
      </c>
      <c r="AK896" s="7" t="n"/>
      <c r="AN896" s="14" t="n"/>
      <c r="AQ896">
        <f>IF($E896="","",IF(COUNTIF($E$2:$E896,$E896)=1,1,0))</f>
        <v/>
      </c>
      <c r="AR896">
        <f>IF($AQ896=1,SUMPRODUCT(--($AU$2:$AU$1501&lt;$AU896))+1,"")</f>
        <v/>
      </c>
      <c r="AS896">
        <f>IF($E896="","",IF(OR($U896=TRUE(),$U896="TRUE"),1,0))</f>
        <v/>
      </c>
      <c r="AT896">
        <f>IF($E896="","",IF($AC896="Yes",1,0))</f>
        <v/>
      </c>
      <c r="AU896">
        <f>IF($AQ896=1,IFERROR(IF(VALUE($E896)&lt;100000000,VALUE($E896),1000000000),IFERROR(IF(VALUE(MID($E896,2,20))&lt;100000000,VALUE(MID($E896,2,20)),1000000000),1000000000))+ROW()/100000,"")</f>
        <v/>
      </c>
    </row>
    <row r="897">
      <c r="G897" s="14" t="n"/>
      <c r="Q897" s="7">
        <f>IF($E897="","",P897*Z897/100)</f>
        <v/>
      </c>
      <c r="R897" s="7" t="n"/>
      <c r="Y897" s="7" t="n"/>
      <c r="Z897" s="7" t="n"/>
      <c r="AA897" s="7" t="n"/>
      <c r="AD897">
        <f>IF($E897="","",IF($AT897=1,Settings!$C$8,IF($AS897=1,Settings!$C$6,Settings!$C$7))*100)</f>
        <v/>
      </c>
      <c r="AE897" s="7">
        <f>IF($E897="","",Z897*AD897/100)</f>
        <v/>
      </c>
      <c r="AF897" s="7">
        <f>IF($E897="","",Z897-AE897)</f>
        <v/>
      </c>
      <c r="AG897" s="7">
        <f>IF($E897="","",AF897-Q897)</f>
        <v/>
      </c>
      <c r="AK897" s="7" t="n"/>
      <c r="AN897" s="14" t="n"/>
      <c r="AQ897">
        <f>IF($E897="","",IF(COUNTIF($E$2:$E897,$E897)=1,1,0))</f>
        <v/>
      </c>
      <c r="AR897">
        <f>IF($AQ897=1,SUMPRODUCT(--($AU$2:$AU$1501&lt;$AU897))+1,"")</f>
        <v/>
      </c>
      <c r="AS897">
        <f>IF($E897="","",IF(OR($U897=TRUE(),$U897="TRUE"),1,0))</f>
        <v/>
      </c>
      <c r="AT897">
        <f>IF($E897="","",IF($AC897="Yes",1,0))</f>
        <v/>
      </c>
      <c r="AU897">
        <f>IF($AQ897=1,IFERROR(IF(VALUE($E897)&lt;100000000,VALUE($E897),1000000000),IFERROR(IF(VALUE(MID($E897,2,20))&lt;100000000,VALUE(MID($E897,2,20)),1000000000),1000000000))+ROW()/100000,"")</f>
        <v/>
      </c>
    </row>
    <row r="898">
      <c r="G898" s="14" t="n"/>
      <c r="Q898" s="7">
        <f>IF($E898="","",P898*Z898/100)</f>
        <v/>
      </c>
      <c r="R898" s="7" t="n"/>
      <c r="Y898" s="7" t="n"/>
      <c r="Z898" s="7" t="n"/>
      <c r="AA898" s="7" t="n"/>
      <c r="AD898">
        <f>IF($E898="","",IF($AT898=1,Settings!$C$8,IF($AS898=1,Settings!$C$6,Settings!$C$7))*100)</f>
        <v/>
      </c>
      <c r="AE898" s="7">
        <f>IF($E898="","",Z898*AD898/100)</f>
        <v/>
      </c>
      <c r="AF898" s="7">
        <f>IF($E898="","",Z898-AE898)</f>
        <v/>
      </c>
      <c r="AG898" s="7">
        <f>IF($E898="","",AF898-Q898)</f>
        <v/>
      </c>
      <c r="AK898" s="7" t="n"/>
      <c r="AN898" s="14" t="n"/>
      <c r="AQ898">
        <f>IF($E898="","",IF(COUNTIF($E$2:$E898,$E898)=1,1,0))</f>
        <v/>
      </c>
      <c r="AR898">
        <f>IF($AQ898=1,SUMPRODUCT(--($AU$2:$AU$1501&lt;$AU898))+1,"")</f>
        <v/>
      </c>
      <c r="AS898">
        <f>IF($E898="","",IF(OR($U898=TRUE(),$U898="TRUE"),1,0))</f>
        <v/>
      </c>
      <c r="AT898">
        <f>IF($E898="","",IF($AC898="Yes",1,0))</f>
        <v/>
      </c>
      <c r="AU898">
        <f>IF($AQ898=1,IFERROR(IF(VALUE($E898)&lt;100000000,VALUE($E898),1000000000),IFERROR(IF(VALUE(MID($E898,2,20))&lt;100000000,VALUE(MID($E898,2,20)),1000000000),1000000000))+ROW()/100000,"")</f>
        <v/>
      </c>
    </row>
    <row r="899">
      <c r="G899" s="14" t="n"/>
      <c r="Q899" s="7">
        <f>IF($E899="","",P899*Z899/100)</f>
        <v/>
      </c>
      <c r="R899" s="7" t="n"/>
      <c r="Y899" s="7" t="n"/>
      <c r="Z899" s="7" t="n"/>
      <c r="AA899" s="7" t="n"/>
      <c r="AD899">
        <f>IF($E899="","",IF($AT899=1,Settings!$C$8,IF($AS899=1,Settings!$C$6,Settings!$C$7))*100)</f>
        <v/>
      </c>
      <c r="AE899" s="7">
        <f>IF($E899="","",Z899*AD899/100)</f>
        <v/>
      </c>
      <c r="AF899" s="7">
        <f>IF($E899="","",Z899-AE899)</f>
        <v/>
      </c>
      <c r="AG899" s="7">
        <f>IF($E899="","",AF899-Q899)</f>
        <v/>
      </c>
      <c r="AK899" s="7" t="n"/>
      <c r="AN899" s="14" t="n"/>
      <c r="AQ899">
        <f>IF($E899="","",IF(COUNTIF($E$2:$E899,$E899)=1,1,0))</f>
        <v/>
      </c>
      <c r="AR899">
        <f>IF($AQ899=1,SUMPRODUCT(--($AU$2:$AU$1501&lt;$AU899))+1,"")</f>
        <v/>
      </c>
      <c r="AS899">
        <f>IF($E899="","",IF(OR($U899=TRUE(),$U899="TRUE"),1,0))</f>
        <v/>
      </c>
      <c r="AT899">
        <f>IF($E899="","",IF($AC899="Yes",1,0))</f>
        <v/>
      </c>
      <c r="AU899">
        <f>IF($AQ899=1,IFERROR(IF(VALUE($E899)&lt;100000000,VALUE($E899),1000000000),IFERROR(IF(VALUE(MID($E899,2,20))&lt;100000000,VALUE(MID($E899,2,20)),1000000000),1000000000))+ROW()/100000,"")</f>
        <v/>
      </c>
    </row>
    <row r="900">
      <c r="G900" s="14" t="n"/>
      <c r="Q900" s="7">
        <f>IF($E900="","",P900*Z900/100)</f>
        <v/>
      </c>
      <c r="R900" s="7" t="n"/>
      <c r="Y900" s="7" t="n"/>
      <c r="Z900" s="7" t="n"/>
      <c r="AA900" s="7" t="n"/>
      <c r="AD900">
        <f>IF($E900="","",IF($AT900=1,Settings!$C$8,IF($AS900=1,Settings!$C$6,Settings!$C$7))*100)</f>
        <v/>
      </c>
      <c r="AE900" s="7">
        <f>IF($E900="","",Z900*AD900/100)</f>
        <v/>
      </c>
      <c r="AF900" s="7">
        <f>IF($E900="","",Z900-AE900)</f>
        <v/>
      </c>
      <c r="AG900" s="7">
        <f>IF($E900="","",AF900-Q900)</f>
        <v/>
      </c>
      <c r="AK900" s="7" t="n"/>
      <c r="AN900" s="14" t="n"/>
      <c r="AQ900">
        <f>IF($E900="","",IF(COUNTIF($E$2:$E900,$E900)=1,1,0))</f>
        <v/>
      </c>
      <c r="AR900">
        <f>IF($AQ900=1,SUMPRODUCT(--($AU$2:$AU$1501&lt;$AU900))+1,"")</f>
        <v/>
      </c>
      <c r="AS900">
        <f>IF($E900="","",IF(OR($U900=TRUE(),$U900="TRUE"),1,0))</f>
        <v/>
      </c>
      <c r="AT900">
        <f>IF($E900="","",IF($AC900="Yes",1,0))</f>
        <v/>
      </c>
      <c r="AU900">
        <f>IF($AQ900=1,IFERROR(IF(VALUE($E900)&lt;100000000,VALUE($E900),1000000000),IFERROR(IF(VALUE(MID($E900,2,20))&lt;100000000,VALUE(MID($E900,2,20)),1000000000),1000000000))+ROW()/100000,"")</f>
        <v/>
      </c>
    </row>
    <row r="901">
      <c r="G901" s="14" t="n"/>
      <c r="Q901" s="7">
        <f>IF($E901="","",P901*Z901/100)</f>
        <v/>
      </c>
      <c r="R901" s="7" t="n"/>
      <c r="Y901" s="7" t="n"/>
      <c r="Z901" s="7" t="n"/>
      <c r="AA901" s="7" t="n"/>
      <c r="AD901">
        <f>IF($E901="","",IF($AT901=1,Settings!$C$8,IF($AS901=1,Settings!$C$6,Settings!$C$7))*100)</f>
        <v/>
      </c>
      <c r="AE901" s="7">
        <f>IF($E901="","",Z901*AD901/100)</f>
        <v/>
      </c>
      <c r="AF901" s="7">
        <f>IF($E901="","",Z901-AE901)</f>
        <v/>
      </c>
      <c r="AG901" s="7">
        <f>IF($E901="","",AF901-Q901)</f>
        <v/>
      </c>
      <c r="AK901" s="7" t="n"/>
      <c r="AN901" s="14" t="n"/>
      <c r="AQ901">
        <f>IF($E901="","",IF(COUNTIF($E$2:$E901,$E901)=1,1,0))</f>
        <v/>
      </c>
      <c r="AR901">
        <f>IF($AQ901=1,SUMPRODUCT(--($AU$2:$AU$1501&lt;$AU901))+1,"")</f>
        <v/>
      </c>
      <c r="AS901">
        <f>IF($E901="","",IF(OR($U901=TRUE(),$U901="TRUE"),1,0))</f>
        <v/>
      </c>
      <c r="AT901">
        <f>IF($E901="","",IF($AC901="Yes",1,0))</f>
        <v/>
      </c>
      <c r="AU901">
        <f>IF($AQ901=1,IFERROR(IF(VALUE($E901)&lt;100000000,VALUE($E901),1000000000),IFERROR(IF(VALUE(MID($E901,2,20))&lt;100000000,VALUE(MID($E901,2,20)),1000000000),1000000000))+ROW()/100000,"")</f>
        <v/>
      </c>
    </row>
    <row r="902">
      <c r="G902" s="14" t="n"/>
      <c r="Q902" s="7">
        <f>IF($E902="","",P902*Z902/100)</f>
        <v/>
      </c>
      <c r="R902" s="7" t="n"/>
      <c r="Y902" s="7" t="n"/>
      <c r="Z902" s="7" t="n"/>
      <c r="AA902" s="7" t="n"/>
      <c r="AD902">
        <f>IF($E902="","",IF($AT902=1,Settings!$C$8,IF($AS902=1,Settings!$C$6,Settings!$C$7))*100)</f>
        <v/>
      </c>
      <c r="AE902" s="7">
        <f>IF($E902="","",Z902*AD902/100)</f>
        <v/>
      </c>
      <c r="AF902" s="7">
        <f>IF($E902="","",Z902-AE902)</f>
        <v/>
      </c>
      <c r="AG902" s="7">
        <f>IF($E902="","",AF902-Q902)</f>
        <v/>
      </c>
      <c r="AK902" s="7" t="n"/>
      <c r="AN902" s="14" t="n"/>
      <c r="AQ902">
        <f>IF($E902="","",IF(COUNTIF($E$2:$E902,$E902)=1,1,0))</f>
        <v/>
      </c>
      <c r="AR902">
        <f>IF($AQ902=1,SUMPRODUCT(--($AU$2:$AU$1501&lt;$AU902))+1,"")</f>
        <v/>
      </c>
      <c r="AS902">
        <f>IF($E902="","",IF(OR($U902=TRUE(),$U902="TRUE"),1,0))</f>
        <v/>
      </c>
      <c r="AT902">
        <f>IF($E902="","",IF($AC902="Yes",1,0))</f>
        <v/>
      </c>
      <c r="AU902">
        <f>IF($AQ902=1,IFERROR(IF(VALUE($E902)&lt;100000000,VALUE($E902),1000000000),IFERROR(IF(VALUE(MID($E902,2,20))&lt;100000000,VALUE(MID($E902,2,20)),1000000000),1000000000))+ROW()/100000,"")</f>
        <v/>
      </c>
    </row>
    <row r="903">
      <c r="G903" s="14" t="n"/>
      <c r="Q903" s="7">
        <f>IF($E903="","",P903*Z903/100)</f>
        <v/>
      </c>
      <c r="R903" s="7" t="n"/>
      <c r="Y903" s="7" t="n"/>
      <c r="Z903" s="7" t="n"/>
      <c r="AA903" s="7" t="n"/>
      <c r="AD903">
        <f>IF($E903="","",IF($AT903=1,Settings!$C$8,IF($AS903=1,Settings!$C$6,Settings!$C$7))*100)</f>
        <v/>
      </c>
      <c r="AE903" s="7">
        <f>IF($E903="","",Z903*AD903/100)</f>
        <v/>
      </c>
      <c r="AF903" s="7">
        <f>IF($E903="","",Z903-AE903)</f>
        <v/>
      </c>
      <c r="AG903" s="7">
        <f>IF($E903="","",AF903-Q903)</f>
        <v/>
      </c>
      <c r="AK903" s="7" t="n"/>
      <c r="AN903" s="14" t="n"/>
      <c r="AQ903">
        <f>IF($E903="","",IF(COUNTIF($E$2:$E903,$E903)=1,1,0))</f>
        <v/>
      </c>
      <c r="AR903">
        <f>IF($AQ903=1,SUMPRODUCT(--($AU$2:$AU$1501&lt;$AU903))+1,"")</f>
        <v/>
      </c>
      <c r="AS903">
        <f>IF($E903="","",IF(OR($U903=TRUE(),$U903="TRUE"),1,0))</f>
        <v/>
      </c>
      <c r="AT903">
        <f>IF($E903="","",IF($AC903="Yes",1,0))</f>
        <v/>
      </c>
      <c r="AU903">
        <f>IF($AQ903=1,IFERROR(IF(VALUE($E903)&lt;100000000,VALUE($E903),1000000000),IFERROR(IF(VALUE(MID($E903,2,20))&lt;100000000,VALUE(MID($E903,2,20)),1000000000),1000000000))+ROW()/100000,"")</f>
        <v/>
      </c>
    </row>
    <row r="904">
      <c r="G904" s="14" t="n"/>
      <c r="Q904" s="7">
        <f>IF($E904="","",P904*Z904/100)</f>
        <v/>
      </c>
      <c r="R904" s="7" t="n"/>
      <c r="Y904" s="7" t="n"/>
      <c r="Z904" s="7" t="n"/>
      <c r="AA904" s="7" t="n"/>
      <c r="AD904">
        <f>IF($E904="","",IF($AT904=1,Settings!$C$8,IF($AS904=1,Settings!$C$6,Settings!$C$7))*100)</f>
        <v/>
      </c>
      <c r="AE904" s="7">
        <f>IF($E904="","",Z904*AD904/100)</f>
        <v/>
      </c>
      <c r="AF904" s="7">
        <f>IF($E904="","",Z904-AE904)</f>
        <v/>
      </c>
      <c r="AG904" s="7">
        <f>IF($E904="","",AF904-Q904)</f>
        <v/>
      </c>
      <c r="AK904" s="7" t="n"/>
      <c r="AN904" s="14" t="n"/>
      <c r="AQ904">
        <f>IF($E904="","",IF(COUNTIF($E$2:$E904,$E904)=1,1,0))</f>
        <v/>
      </c>
      <c r="AR904">
        <f>IF($AQ904=1,SUMPRODUCT(--($AU$2:$AU$1501&lt;$AU904))+1,"")</f>
        <v/>
      </c>
      <c r="AS904">
        <f>IF($E904="","",IF(OR($U904=TRUE(),$U904="TRUE"),1,0))</f>
        <v/>
      </c>
      <c r="AT904">
        <f>IF($E904="","",IF($AC904="Yes",1,0))</f>
        <v/>
      </c>
      <c r="AU904">
        <f>IF($AQ904=1,IFERROR(IF(VALUE($E904)&lt;100000000,VALUE($E904),1000000000),IFERROR(IF(VALUE(MID($E904,2,20))&lt;100000000,VALUE(MID($E904,2,20)),1000000000),1000000000))+ROW()/100000,"")</f>
        <v/>
      </c>
    </row>
    <row r="905">
      <c r="G905" s="14" t="n"/>
      <c r="Q905" s="7">
        <f>IF($E905="","",P905*Z905/100)</f>
        <v/>
      </c>
      <c r="R905" s="7" t="n"/>
      <c r="Y905" s="7" t="n"/>
      <c r="Z905" s="7" t="n"/>
      <c r="AA905" s="7" t="n"/>
      <c r="AD905">
        <f>IF($E905="","",IF($AT905=1,Settings!$C$8,IF($AS905=1,Settings!$C$6,Settings!$C$7))*100)</f>
        <v/>
      </c>
      <c r="AE905" s="7">
        <f>IF($E905="","",Z905*AD905/100)</f>
        <v/>
      </c>
      <c r="AF905" s="7">
        <f>IF($E905="","",Z905-AE905)</f>
        <v/>
      </c>
      <c r="AG905" s="7">
        <f>IF($E905="","",AF905-Q905)</f>
        <v/>
      </c>
      <c r="AK905" s="7" t="n"/>
      <c r="AN905" s="14" t="n"/>
      <c r="AQ905">
        <f>IF($E905="","",IF(COUNTIF($E$2:$E905,$E905)=1,1,0))</f>
        <v/>
      </c>
      <c r="AR905">
        <f>IF($AQ905=1,SUMPRODUCT(--($AU$2:$AU$1501&lt;$AU905))+1,"")</f>
        <v/>
      </c>
      <c r="AS905">
        <f>IF($E905="","",IF(OR($U905=TRUE(),$U905="TRUE"),1,0))</f>
        <v/>
      </c>
      <c r="AT905">
        <f>IF($E905="","",IF($AC905="Yes",1,0))</f>
        <v/>
      </c>
      <c r="AU905">
        <f>IF($AQ905=1,IFERROR(IF(VALUE($E905)&lt;100000000,VALUE($E905),1000000000),IFERROR(IF(VALUE(MID($E905,2,20))&lt;100000000,VALUE(MID($E905,2,20)),1000000000),1000000000))+ROW()/100000,"")</f>
        <v/>
      </c>
    </row>
    <row r="906">
      <c r="G906" s="14" t="n"/>
      <c r="Q906" s="7">
        <f>IF($E906="","",P906*Z906/100)</f>
        <v/>
      </c>
      <c r="R906" s="7" t="n"/>
      <c r="Y906" s="7" t="n"/>
      <c r="Z906" s="7" t="n"/>
      <c r="AA906" s="7" t="n"/>
      <c r="AD906">
        <f>IF($E906="","",IF($AT906=1,Settings!$C$8,IF($AS906=1,Settings!$C$6,Settings!$C$7))*100)</f>
        <v/>
      </c>
      <c r="AE906" s="7">
        <f>IF($E906="","",Z906*AD906/100)</f>
        <v/>
      </c>
      <c r="AF906" s="7">
        <f>IF($E906="","",Z906-AE906)</f>
        <v/>
      </c>
      <c r="AG906" s="7">
        <f>IF($E906="","",AF906-Q906)</f>
        <v/>
      </c>
      <c r="AK906" s="7" t="n"/>
      <c r="AN906" s="14" t="n"/>
      <c r="AQ906">
        <f>IF($E906="","",IF(COUNTIF($E$2:$E906,$E906)=1,1,0))</f>
        <v/>
      </c>
      <c r="AR906">
        <f>IF($AQ906=1,SUMPRODUCT(--($AU$2:$AU$1501&lt;$AU906))+1,"")</f>
        <v/>
      </c>
      <c r="AS906">
        <f>IF($E906="","",IF(OR($U906=TRUE(),$U906="TRUE"),1,0))</f>
        <v/>
      </c>
      <c r="AT906">
        <f>IF($E906="","",IF($AC906="Yes",1,0))</f>
        <v/>
      </c>
      <c r="AU906">
        <f>IF($AQ906=1,IFERROR(IF(VALUE($E906)&lt;100000000,VALUE($E906),1000000000),IFERROR(IF(VALUE(MID($E906,2,20))&lt;100000000,VALUE(MID($E906,2,20)),1000000000),1000000000))+ROW()/100000,"")</f>
        <v/>
      </c>
    </row>
    <row r="907">
      <c r="G907" s="14" t="n"/>
      <c r="Q907" s="7">
        <f>IF($E907="","",P907*Z907/100)</f>
        <v/>
      </c>
      <c r="R907" s="7" t="n"/>
      <c r="Y907" s="7" t="n"/>
      <c r="Z907" s="7" t="n"/>
      <c r="AA907" s="7" t="n"/>
      <c r="AD907">
        <f>IF($E907="","",IF($AT907=1,Settings!$C$8,IF($AS907=1,Settings!$C$6,Settings!$C$7))*100)</f>
        <v/>
      </c>
      <c r="AE907" s="7">
        <f>IF($E907="","",Z907*AD907/100)</f>
        <v/>
      </c>
      <c r="AF907" s="7">
        <f>IF($E907="","",Z907-AE907)</f>
        <v/>
      </c>
      <c r="AG907" s="7">
        <f>IF($E907="","",AF907-Q907)</f>
        <v/>
      </c>
      <c r="AK907" s="7" t="n"/>
      <c r="AN907" s="14" t="n"/>
      <c r="AQ907">
        <f>IF($E907="","",IF(COUNTIF($E$2:$E907,$E907)=1,1,0))</f>
        <v/>
      </c>
      <c r="AR907">
        <f>IF($AQ907=1,SUMPRODUCT(--($AU$2:$AU$1501&lt;$AU907))+1,"")</f>
        <v/>
      </c>
      <c r="AS907">
        <f>IF($E907="","",IF(OR($U907=TRUE(),$U907="TRUE"),1,0))</f>
        <v/>
      </c>
      <c r="AT907">
        <f>IF($E907="","",IF($AC907="Yes",1,0))</f>
        <v/>
      </c>
      <c r="AU907">
        <f>IF($AQ907=1,IFERROR(IF(VALUE($E907)&lt;100000000,VALUE($E907),1000000000),IFERROR(IF(VALUE(MID($E907,2,20))&lt;100000000,VALUE(MID($E907,2,20)),1000000000),1000000000))+ROW()/100000,"")</f>
        <v/>
      </c>
    </row>
    <row r="908">
      <c r="G908" s="14" t="n"/>
      <c r="Q908" s="7">
        <f>IF($E908="","",P908*Z908/100)</f>
        <v/>
      </c>
      <c r="R908" s="7" t="n"/>
      <c r="Y908" s="7" t="n"/>
      <c r="Z908" s="7" t="n"/>
      <c r="AA908" s="7" t="n"/>
      <c r="AD908">
        <f>IF($E908="","",IF($AT908=1,Settings!$C$8,IF($AS908=1,Settings!$C$6,Settings!$C$7))*100)</f>
        <v/>
      </c>
      <c r="AE908" s="7">
        <f>IF($E908="","",Z908*AD908/100)</f>
        <v/>
      </c>
      <c r="AF908" s="7">
        <f>IF($E908="","",Z908-AE908)</f>
        <v/>
      </c>
      <c r="AG908" s="7">
        <f>IF($E908="","",AF908-Q908)</f>
        <v/>
      </c>
      <c r="AK908" s="7" t="n"/>
      <c r="AN908" s="14" t="n"/>
      <c r="AQ908">
        <f>IF($E908="","",IF(COUNTIF($E$2:$E908,$E908)=1,1,0))</f>
        <v/>
      </c>
      <c r="AR908">
        <f>IF($AQ908=1,SUMPRODUCT(--($AU$2:$AU$1501&lt;$AU908))+1,"")</f>
        <v/>
      </c>
      <c r="AS908">
        <f>IF($E908="","",IF(OR($U908=TRUE(),$U908="TRUE"),1,0))</f>
        <v/>
      </c>
      <c r="AT908">
        <f>IF($E908="","",IF($AC908="Yes",1,0))</f>
        <v/>
      </c>
      <c r="AU908">
        <f>IF($AQ908=1,IFERROR(IF(VALUE($E908)&lt;100000000,VALUE($E908),1000000000),IFERROR(IF(VALUE(MID($E908,2,20))&lt;100000000,VALUE(MID($E908,2,20)),1000000000),1000000000))+ROW()/100000,"")</f>
        <v/>
      </c>
    </row>
    <row r="909">
      <c r="G909" s="14" t="n"/>
      <c r="Q909" s="7">
        <f>IF($E909="","",P909*Z909/100)</f>
        <v/>
      </c>
      <c r="R909" s="7" t="n"/>
      <c r="Y909" s="7" t="n"/>
      <c r="Z909" s="7" t="n"/>
      <c r="AA909" s="7" t="n"/>
      <c r="AD909">
        <f>IF($E909="","",IF($AT909=1,Settings!$C$8,IF($AS909=1,Settings!$C$6,Settings!$C$7))*100)</f>
        <v/>
      </c>
      <c r="AE909" s="7">
        <f>IF($E909="","",Z909*AD909/100)</f>
        <v/>
      </c>
      <c r="AF909" s="7">
        <f>IF($E909="","",Z909-AE909)</f>
        <v/>
      </c>
      <c r="AG909" s="7">
        <f>IF($E909="","",AF909-Q909)</f>
        <v/>
      </c>
      <c r="AK909" s="7" t="n"/>
      <c r="AN909" s="14" t="n"/>
      <c r="AQ909">
        <f>IF($E909="","",IF(COUNTIF($E$2:$E909,$E909)=1,1,0))</f>
        <v/>
      </c>
      <c r="AR909">
        <f>IF($AQ909=1,SUMPRODUCT(--($AU$2:$AU$1501&lt;$AU909))+1,"")</f>
        <v/>
      </c>
      <c r="AS909">
        <f>IF($E909="","",IF(OR($U909=TRUE(),$U909="TRUE"),1,0))</f>
        <v/>
      </c>
      <c r="AT909">
        <f>IF($E909="","",IF($AC909="Yes",1,0))</f>
        <v/>
      </c>
      <c r="AU909">
        <f>IF($AQ909=1,IFERROR(IF(VALUE($E909)&lt;100000000,VALUE($E909),1000000000),IFERROR(IF(VALUE(MID($E909,2,20))&lt;100000000,VALUE(MID($E909,2,20)),1000000000),1000000000))+ROW()/100000,"")</f>
        <v/>
      </c>
    </row>
    <row r="910">
      <c r="G910" s="14" t="n"/>
      <c r="Q910" s="7">
        <f>IF($E910="","",P910*Z910/100)</f>
        <v/>
      </c>
      <c r="R910" s="7" t="n"/>
      <c r="Y910" s="7" t="n"/>
      <c r="Z910" s="7" t="n"/>
      <c r="AA910" s="7" t="n"/>
      <c r="AD910">
        <f>IF($E910="","",IF($AT910=1,Settings!$C$8,IF($AS910=1,Settings!$C$6,Settings!$C$7))*100)</f>
        <v/>
      </c>
      <c r="AE910" s="7">
        <f>IF($E910="","",Z910*AD910/100)</f>
        <v/>
      </c>
      <c r="AF910" s="7">
        <f>IF($E910="","",Z910-AE910)</f>
        <v/>
      </c>
      <c r="AG910" s="7">
        <f>IF($E910="","",AF910-Q910)</f>
        <v/>
      </c>
      <c r="AK910" s="7" t="n"/>
      <c r="AN910" s="14" t="n"/>
      <c r="AQ910">
        <f>IF($E910="","",IF(COUNTIF($E$2:$E910,$E910)=1,1,0))</f>
        <v/>
      </c>
      <c r="AR910">
        <f>IF($AQ910=1,SUMPRODUCT(--($AU$2:$AU$1501&lt;$AU910))+1,"")</f>
        <v/>
      </c>
      <c r="AS910">
        <f>IF($E910="","",IF(OR($U910=TRUE(),$U910="TRUE"),1,0))</f>
        <v/>
      </c>
      <c r="AT910">
        <f>IF($E910="","",IF($AC910="Yes",1,0))</f>
        <v/>
      </c>
      <c r="AU910">
        <f>IF($AQ910=1,IFERROR(IF(VALUE($E910)&lt;100000000,VALUE($E910),1000000000),IFERROR(IF(VALUE(MID($E910,2,20))&lt;100000000,VALUE(MID($E910,2,20)),1000000000),1000000000))+ROW()/100000,"")</f>
        <v/>
      </c>
    </row>
    <row r="911">
      <c r="G911" s="14" t="n"/>
      <c r="Q911" s="7">
        <f>IF($E911="","",P911*Z911/100)</f>
        <v/>
      </c>
      <c r="R911" s="7" t="n"/>
      <c r="Y911" s="7" t="n"/>
      <c r="Z911" s="7" t="n"/>
      <c r="AA911" s="7" t="n"/>
      <c r="AD911">
        <f>IF($E911="","",IF($AT911=1,Settings!$C$8,IF($AS911=1,Settings!$C$6,Settings!$C$7))*100)</f>
        <v/>
      </c>
      <c r="AE911" s="7">
        <f>IF($E911="","",Z911*AD911/100)</f>
        <v/>
      </c>
      <c r="AF911" s="7">
        <f>IF($E911="","",Z911-AE911)</f>
        <v/>
      </c>
      <c r="AG911" s="7">
        <f>IF($E911="","",AF911-Q911)</f>
        <v/>
      </c>
      <c r="AK911" s="7" t="n"/>
      <c r="AN911" s="14" t="n"/>
      <c r="AQ911">
        <f>IF($E911="","",IF(COUNTIF($E$2:$E911,$E911)=1,1,0))</f>
        <v/>
      </c>
      <c r="AR911">
        <f>IF($AQ911=1,SUMPRODUCT(--($AU$2:$AU$1501&lt;$AU911))+1,"")</f>
        <v/>
      </c>
      <c r="AS911">
        <f>IF($E911="","",IF(OR($U911=TRUE(),$U911="TRUE"),1,0))</f>
        <v/>
      </c>
      <c r="AT911">
        <f>IF($E911="","",IF($AC911="Yes",1,0))</f>
        <v/>
      </c>
      <c r="AU911">
        <f>IF($AQ911=1,IFERROR(IF(VALUE($E911)&lt;100000000,VALUE($E911),1000000000),IFERROR(IF(VALUE(MID($E911,2,20))&lt;100000000,VALUE(MID($E911,2,20)),1000000000),1000000000))+ROW()/100000,"")</f>
        <v/>
      </c>
    </row>
    <row r="912">
      <c r="G912" s="14" t="n"/>
      <c r="Q912" s="7">
        <f>IF($E912="","",P912*Z912/100)</f>
        <v/>
      </c>
      <c r="R912" s="7" t="n"/>
      <c r="Y912" s="7" t="n"/>
      <c r="Z912" s="7" t="n"/>
      <c r="AA912" s="7" t="n"/>
      <c r="AD912">
        <f>IF($E912="","",IF($AT912=1,Settings!$C$8,IF($AS912=1,Settings!$C$6,Settings!$C$7))*100)</f>
        <v/>
      </c>
      <c r="AE912" s="7">
        <f>IF($E912="","",Z912*AD912/100)</f>
        <v/>
      </c>
      <c r="AF912" s="7">
        <f>IF($E912="","",Z912-AE912)</f>
        <v/>
      </c>
      <c r="AG912" s="7">
        <f>IF($E912="","",AF912-Q912)</f>
        <v/>
      </c>
      <c r="AK912" s="7" t="n"/>
      <c r="AN912" s="14" t="n"/>
      <c r="AQ912">
        <f>IF($E912="","",IF(COUNTIF($E$2:$E912,$E912)=1,1,0))</f>
        <v/>
      </c>
      <c r="AR912">
        <f>IF($AQ912=1,SUMPRODUCT(--($AU$2:$AU$1501&lt;$AU912))+1,"")</f>
        <v/>
      </c>
      <c r="AS912">
        <f>IF($E912="","",IF(OR($U912=TRUE(),$U912="TRUE"),1,0))</f>
        <v/>
      </c>
      <c r="AT912">
        <f>IF($E912="","",IF($AC912="Yes",1,0))</f>
        <v/>
      </c>
      <c r="AU912">
        <f>IF($AQ912=1,IFERROR(IF(VALUE($E912)&lt;100000000,VALUE($E912),1000000000),IFERROR(IF(VALUE(MID($E912,2,20))&lt;100000000,VALUE(MID($E912,2,20)),1000000000),1000000000))+ROW()/100000,"")</f>
        <v/>
      </c>
    </row>
    <row r="913">
      <c r="G913" s="14" t="n"/>
      <c r="Q913" s="7">
        <f>IF($E913="","",P913*Z913/100)</f>
        <v/>
      </c>
      <c r="R913" s="7" t="n"/>
      <c r="Y913" s="7" t="n"/>
      <c r="Z913" s="7" t="n"/>
      <c r="AA913" s="7" t="n"/>
      <c r="AD913">
        <f>IF($E913="","",IF($AT913=1,Settings!$C$8,IF($AS913=1,Settings!$C$6,Settings!$C$7))*100)</f>
        <v/>
      </c>
      <c r="AE913" s="7">
        <f>IF($E913="","",Z913*AD913/100)</f>
        <v/>
      </c>
      <c r="AF913" s="7">
        <f>IF($E913="","",Z913-AE913)</f>
        <v/>
      </c>
      <c r="AG913" s="7">
        <f>IF($E913="","",AF913-Q913)</f>
        <v/>
      </c>
      <c r="AK913" s="7" t="n"/>
      <c r="AN913" s="14" t="n"/>
      <c r="AQ913">
        <f>IF($E913="","",IF(COUNTIF($E$2:$E913,$E913)=1,1,0))</f>
        <v/>
      </c>
      <c r="AR913">
        <f>IF($AQ913=1,SUMPRODUCT(--($AU$2:$AU$1501&lt;$AU913))+1,"")</f>
        <v/>
      </c>
      <c r="AS913">
        <f>IF($E913="","",IF(OR($U913=TRUE(),$U913="TRUE"),1,0))</f>
        <v/>
      </c>
      <c r="AT913">
        <f>IF($E913="","",IF($AC913="Yes",1,0))</f>
        <v/>
      </c>
      <c r="AU913">
        <f>IF($AQ913=1,IFERROR(IF(VALUE($E913)&lt;100000000,VALUE($E913),1000000000),IFERROR(IF(VALUE(MID($E913,2,20))&lt;100000000,VALUE(MID($E913,2,20)),1000000000),1000000000))+ROW()/100000,"")</f>
        <v/>
      </c>
    </row>
    <row r="914">
      <c r="G914" s="14" t="n"/>
      <c r="Q914" s="7">
        <f>IF($E914="","",P914*Z914/100)</f>
        <v/>
      </c>
      <c r="R914" s="7" t="n"/>
      <c r="Y914" s="7" t="n"/>
      <c r="Z914" s="7" t="n"/>
      <c r="AA914" s="7" t="n"/>
      <c r="AD914">
        <f>IF($E914="","",IF($AT914=1,Settings!$C$8,IF($AS914=1,Settings!$C$6,Settings!$C$7))*100)</f>
        <v/>
      </c>
      <c r="AE914" s="7">
        <f>IF($E914="","",Z914*AD914/100)</f>
        <v/>
      </c>
      <c r="AF914" s="7">
        <f>IF($E914="","",Z914-AE914)</f>
        <v/>
      </c>
      <c r="AG914" s="7">
        <f>IF($E914="","",AF914-Q914)</f>
        <v/>
      </c>
      <c r="AK914" s="7" t="n"/>
      <c r="AN914" s="14" t="n"/>
      <c r="AQ914">
        <f>IF($E914="","",IF(COUNTIF($E$2:$E914,$E914)=1,1,0))</f>
        <v/>
      </c>
      <c r="AR914">
        <f>IF($AQ914=1,SUMPRODUCT(--($AU$2:$AU$1501&lt;$AU914))+1,"")</f>
        <v/>
      </c>
      <c r="AS914">
        <f>IF($E914="","",IF(OR($U914=TRUE(),$U914="TRUE"),1,0))</f>
        <v/>
      </c>
      <c r="AT914">
        <f>IF($E914="","",IF($AC914="Yes",1,0))</f>
        <v/>
      </c>
      <c r="AU914">
        <f>IF($AQ914=1,IFERROR(IF(VALUE($E914)&lt;100000000,VALUE($E914),1000000000),IFERROR(IF(VALUE(MID($E914,2,20))&lt;100000000,VALUE(MID($E914,2,20)),1000000000),1000000000))+ROW()/100000,"")</f>
        <v/>
      </c>
    </row>
    <row r="915">
      <c r="G915" s="14" t="n"/>
      <c r="Q915" s="7">
        <f>IF($E915="","",P915*Z915/100)</f>
        <v/>
      </c>
      <c r="R915" s="7" t="n"/>
      <c r="Y915" s="7" t="n"/>
      <c r="Z915" s="7" t="n"/>
      <c r="AA915" s="7" t="n"/>
      <c r="AD915">
        <f>IF($E915="","",IF($AT915=1,Settings!$C$8,IF($AS915=1,Settings!$C$6,Settings!$C$7))*100)</f>
        <v/>
      </c>
      <c r="AE915" s="7">
        <f>IF($E915="","",Z915*AD915/100)</f>
        <v/>
      </c>
      <c r="AF915" s="7">
        <f>IF($E915="","",Z915-AE915)</f>
        <v/>
      </c>
      <c r="AG915" s="7">
        <f>IF($E915="","",AF915-Q915)</f>
        <v/>
      </c>
      <c r="AK915" s="7" t="n"/>
      <c r="AN915" s="14" t="n"/>
      <c r="AQ915">
        <f>IF($E915="","",IF(COUNTIF($E$2:$E915,$E915)=1,1,0))</f>
        <v/>
      </c>
      <c r="AR915">
        <f>IF($AQ915=1,SUMPRODUCT(--($AU$2:$AU$1501&lt;$AU915))+1,"")</f>
        <v/>
      </c>
      <c r="AS915">
        <f>IF($E915="","",IF(OR($U915=TRUE(),$U915="TRUE"),1,0))</f>
        <v/>
      </c>
      <c r="AT915">
        <f>IF($E915="","",IF($AC915="Yes",1,0))</f>
        <v/>
      </c>
      <c r="AU915">
        <f>IF($AQ915=1,IFERROR(IF(VALUE($E915)&lt;100000000,VALUE($E915),1000000000),IFERROR(IF(VALUE(MID($E915,2,20))&lt;100000000,VALUE(MID($E915,2,20)),1000000000),1000000000))+ROW()/100000,"")</f>
        <v/>
      </c>
    </row>
    <row r="916">
      <c r="G916" s="14" t="n"/>
      <c r="Q916" s="7">
        <f>IF($E916="","",P916*Z916/100)</f>
        <v/>
      </c>
      <c r="R916" s="7" t="n"/>
      <c r="Y916" s="7" t="n"/>
      <c r="Z916" s="7" t="n"/>
      <c r="AA916" s="7" t="n"/>
      <c r="AD916">
        <f>IF($E916="","",IF($AT916=1,Settings!$C$8,IF($AS916=1,Settings!$C$6,Settings!$C$7))*100)</f>
        <v/>
      </c>
      <c r="AE916" s="7">
        <f>IF($E916="","",Z916*AD916/100)</f>
        <v/>
      </c>
      <c r="AF916" s="7">
        <f>IF($E916="","",Z916-AE916)</f>
        <v/>
      </c>
      <c r="AG916" s="7">
        <f>IF($E916="","",AF916-Q916)</f>
        <v/>
      </c>
      <c r="AK916" s="7" t="n"/>
      <c r="AN916" s="14" t="n"/>
      <c r="AQ916">
        <f>IF($E916="","",IF(COUNTIF($E$2:$E916,$E916)=1,1,0))</f>
        <v/>
      </c>
      <c r="AR916">
        <f>IF($AQ916=1,SUMPRODUCT(--($AU$2:$AU$1501&lt;$AU916))+1,"")</f>
        <v/>
      </c>
      <c r="AS916">
        <f>IF($E916="","",IF(OR($U916=TRUE(),$U916="TRUE"),1,0))</f>
        <v/>
      </c>
      <c r="AT916">
        <f>IF($E916="","",IF($AC916="Yes",1,0))</f>
        <v/>
      </c>
      <c r="AU916">
        <f>IF($AQ916=1,IFERROR(IF(VALUE($E916)&lt;100000000,VALUE($E916),1000000000),IFERROR(IF(VALUE(MID($E916,2,20))&lt;100000000,VALUE(MID($E916,2,20)),1000000000),1000000000))+ROW()/100000,"")</f>
        <v/>
      </c>
    </row>
    <row r="917">
      <c r="G917" s="14" t="n"/>
      <c r="Q917" s="7">
        <f>IF($E917="","",P917*Z917/100)</f>
        <v/>
      </c>
      <c r="R917" s="7" t="n"/>
      <c r="Y917" s="7" t="n"/>
      <c r="Z917" s="7" t="n"/>
      <c r="AA917" s="7" t="n"/>
      <c r="AD917">
        <f>IF($E917="","",IF($AT917=1,Settings!$C$8,IF($AS917=1,Settings!$C$6,Settings!$C$7))*100)</f>
        <v/>
      </c>
      <c r="AE917" s="7">
        <f>IF($E917="","",Z917*AD917/100)</f>
        <v/>
      </c>
      <c r="AF917" s="7">
        <f>IF($E917="","",Z917-AE917)</f>
        <v/>
      </c>
      <c r="AG917" s="7">
        <f>IF($E917="","",AF917-Q917)</f>
        <v/>
      </c>
      <c r="AK917" s="7" t="n"/>
      <c r="AN917" s="14" t="n"/>
      <c r="AQ917">
        <f>IF($E917="","",IF(COUNTIF($E$2:$E917,$E917)=1,1,0))</f>
        <v/>
      </c>
      <c r="AR917">
        <f>IF($AQ917=1,SUMPRODUCT(--($AU$2:$AU$1501&lt;$AU917))+1,"")</f>
        <v/>
      </c>
      <c r="AS917">
        <f>IF($E917="","",IF(OR($U917=TRUE(),$U917="TRUE"),1,0))</f>
        <v/>
      </c>
      <c r="AT917">
        <f>IF($E917="","",IF($AC917="Yes",1,0))</f>
        <v/>
      </c>
      <c r="AU917">
        <f>IF($AQ917=1,IFERROR(IF(VALUE($E917)&lt;100000000,VALUE($E917),1000000000),IFERROR(IF(VALUE(MID($E917,2,20))&lt;100000000,VALUE(MID($E917,2,20)),1000000000),1000000000))+ROW()/100000,"")</f>
        <v/>
      </c>
    </row>
    <row r="918">
      <c r="G918" s="14" t="n"/>
      <c r="Q918" s="7">
        <f>IF($E918="","",P918*Z918/100)</f>
        <v/>
      </c>
      <c r="R918" s="7" t="n"/>
      <c r="Y918" s="7" t="n"/>
      <c r="Z918" s="7" t="n"/>
      <c r="AA918" s="7" t="n"/>
      <c r="AD918">
        <f>IF($E918="","",IF($AT918=1,Settings!$C$8,IF($AS918=1,Settings!$C$6,Settings!$C$7))*100)</f>
        <v/>
      </c>
      <c r="AE918" s="7">
        <f>IF($E918="","",Z918*AD918/100)</f>
        <v/>
      </c>
      <c r="AF918" s="7">
        <f>IF($E918="","",Z918-AE918)</f>
        <v/>
      </c>
      <c r="AG918" s="7">
        <f>IF($E918="","",AF918-Q918)</f>
        <v/>
      </c>
      <c r="AK918" s="7" t="n"/>
      <c r="AN918" s="14" t="n"/>
      <c r="AQ918">
        <f>IF($E918="","",IF(COUNTIF($E$2:$E918,$E918)=1,1,0))</f>
        <v/>
      </c>
      <c r="AR918">
        <f>IF($AQ918=1,SUMPRODUCT(--($AU$2:$AU$1501&lt;$AU918))+1,"")</f>
        <v/>
      </c>
      <c r="AS918">
        <f>IF($E918="","",IF(OR($U918=TRUE(),$U918="TRUE"),1,0))</f>
        <v/>
      </c>
      <c r="AT918">
        <f>IF($E918="","",IF($AC918="Yes",1,0))</f>
        <v/>
      </c>
      <c r="AU918">
        <f>IF($AQ918=1,IFERROR(IF(VALUE($E918)&lt;100000000,VALUE($E918),1000000000),IFERROR(IF(VALUE(MID($E918,2,20))&lt;100000000,VALUE(MID($E918,2,20)),1000000000),1000000000))+ROW()/100000,"")</f>
        <v/>
      </c>
    </row>
    <row r="919">
      <c r="G919" s="14" t="n"/>
      <c r="Q919" s="7">
        <f>IF($E919="","",P919*Z919/100)</f>
        <v/>
      </c>
      <c r="R919" s="7" t="n"/>
      <c r="Y919" s="7" t="n"/>
      <c r="Z919" s="7" t="n"/>
      <c r="AA919" s="7" t="n"/>
      <c r="AD919">
        <f>IF($E919="","",IF($AT919=1,Settings!$C$8,IF($AS919=1,Settings!$C$6,Settings!$C$7))*100)</f>
        <v/>
      </c>
      <c r="AE919" s="7">
        <f>IF($E919="","",Z919*AD919/100)</f>
        <v/>
      </c>
      <c r="AF919" s="7">
        <f>IF($E919="","",Z919-AE919)</f>
        <v/>
      </c>
      <c r="AG919" s="7">
        <f>IF($E919="","",AF919-Q919)</f>
        <v/>
      </c>
      <c r="AK919" s="7" t="n"/>
      <c r="AN919" s="14" t="n"/>
      <c r="AQ919">
        <f>IF($E919="","",IF(COUNTIF($E$2:$E919,$E919)=1,1,0))</f>
        <v/>
      </c>
      <c r="AR919">
        <f>IF($AQ919=1,SUMPRODUCT(--($AU$2:$AU$1501&lt;$AU919))+1,"")</f>
        <v/>
      </c>
      <c r="AS919">
        <f>IF($E919="","",IF(OR($U919=TRUE(),$U919="TRUE"),1,0))</f>
        <v/>
      </c>
      <c r="AT919">
        <f>IF($E919="","",IF($AC919="Yes",1,0))</f>
        <v/>
      </c>
      <c r="AU919">
        <f>IF($AQ919=1,IFERROR(IF(VALUE($E919)&lt;100000000,VALUE($E919),1000000000),IFERROR(IF(VALUE(MID($E919,2,20))&lt;100000000,VALUE(MID($E919,2,20)),1000000000),1000000000))+ROW()/100000,"")</f>
        <v/>
      </c>
    </row>
    <row r="920">
      <c r="G920" s="14" t="n"/>
      <c r="Q920" s="7">
        <f>IF($E920="","",P920*Z920/100)</f>
        <v/>
      </c>
      <c r="R920" s="7" t="n"/>
      <c r="Y920" s="7" t="n"/>
      <c r="Z920" s="7" t="n"/>
      <c r="AA920" s="7" t="n"/>
      <c r="AD920">
        <f>IF($E920="","",IF($AT920=1,Settings!$C$8,IF($AS920=1,Settings!$C$6,Settings!$C$7))*100)</f>
        <v/>
      </c>
      <c r="AE920" s="7">
        <f>IF($E920="","",Z920*AD920/100)</f>
        <v/>
      </c>
      <c r="AF920" s="7">
        <f>IF($E920="","",Z920-AE920)</f>
        <v/>
      </c>
      <c r="AG920" s="7">
        <f>IF($E920="","",AF920-Q920)</f>
        <v/>
      </c>
      <c r="AK920" s="7" t="n"/>
      <c r="AN920" s="14" t="n"/>
      <c r="AQ920">
        <f>IF($E920="","",IF(COUNTIF($E$2:$E920,$E920)=1,1,0))</f>
        <v/>
      </c>
      <c r="AR920">
        <f>IF($AQ920=1,SUMPRODUCT(--($AU$2:$AU$1501&lt;$AU920))+1,"")</f>
        <v/>
      </c>
      <c r="AS920">
        <f>IF($E920="","",IF(OR($U920=TRUE(),$U920="TRUE"),1,0))</f>
        <v/>
      </c>
      <c r="AT920">
        <f>IF($E920="","",IF($AC920="Yes",1,0))</f>
        <v/>
      </c>
      <c r="AU920">
        <f>IF($AQ920=1,IFERROR(IF(VALUE($E920)&lt;100000000,VALUE($E920),1000000000),IFERROR(IF(VALUE(MID($E920,2,20))&lt;100000000,VALUE(MID($E920,2,20)),1000000000),1000000000))+ROW()/100000,"")</f>
        <v/>
      </c>
    </row>
    <row r="921">
      <c r="G921" s="14" t="n"/>
      <c r="Q921" s="7">
        <f>IF($E921="","",P921*Z921/100)</f>
        <v/>
      </c>
      <c r="R921" s="7" t="n"/>
      <c r="Y921" s="7" t="n"/>
      <c r="Z921" s="7" t="n"/>
      <c r="AA921" s="7" t="n"/>
      <c r="AD921">
        <f>IF($E921="","",IF($AT921=1,Settings!$C$8,IF($AS921=1,Settings!$C$6,Settings!$C$7))*100)</f>
        <v/>
      </c>
      <c r="AE921" s="7">
        <f>IF($E921="","",Z921*AD921/100)</f>
        <v/>
      </c>
      <c r="AF921" s="7">
        <f>IF($E921="","",Z921-AE921)</f>
        <v/>
      </c>
      <c r="AG921" s="7">
        <f>IF($E921="","",AF921-Q921)</f>
        <v/>
      </c>
      <c r="AK921" s="7" t="n"/>
      <c r="AN921" s="14" t="n"/>
      <c r="AQ921">
        <f>IF($E921="","",IF(COUNTIF($E$2:$E921,$E921)=1,1,0))</f>
        <v/>
      </c>
      <c r="AR921">
        <f>IF($AQ921=1,SUMPRODUCT(--($AU$2:$AU$1501&lt;$AU921))+1,"")</f>
        <v/>
      </c>
      <c r="AS921">
        <f>IF($E921="","",IF(OR($U921=TRUE(),$U921="TRUE"),1,0))</f>
        <v/>
      </c>
      <c r="AT921">
        <f>IF($E921="","",IF($AC921="Yes",1,0))</f>
        <v/>
      </c>
      <c r="AU921">
        <f>IF($AQ921=1,IFERROR(IF(VALUE($E921)&lt;100000000,VALUE($E921),1000000000),IFERROR(IF(VALUE(MID($E921,2,20))&lt;100000000,VALUE(MID($E921,2,20)),1000000000),1000000000))+ROW()/100000,"")</f>
        <v/>
      </c>
    </row>
    <row r="922">
      <c r="G922" s="14" t="n"/>
      <c r="Q922" s="7">
        <f>IF($E922="","",P922*Z922/100)</f>
        <v/>
      </c>
      <c r="R922" s="7" t="n"/>
      <c r="Y922" s="7" t="n"/>
      <c r="Z922" s="7" t="n"/>
      <c r="AA922" s="7" t="n"/>
      <c r="AD922">
        <f>IF($E922="","",IF($AT922=1,Settings!$C$8,IF($AS922=1,Settings!$C$6,Settings!$C$7))*100)</f>
        <v/>
      </c>
      <c r="AE922" s="7">
        <f>IF($E922="","",Z922*AD922/100)</f>
        <v/>
      </c>
      <c r="AF922" s="7">
        <f>IF($E922="","",Z922-AE922)</f>
        <v/>
      </c>
      <c r="AG922" s="7">
        <f>IF($E922="","",AF922-Q922)</f>
        <v/>
      </c>
      <c r="AK922" s="7" t="n"/>
      <c r="AN922" s="14" t="n"/>
      <c r="AQ922">
        <f>IF($E922="","",IF(COUNTIF($E$2:$E922,$E922)=1,1,0))</f>
        <v/>
      </c>
      <c r="AR922">
        <f>IF($AQ922=1,SUMPRODUCT(--($AU$2:$AU$1501&lt;$AU922))+1,"")</f>
        <v/>
      </c>
      <c r="AS922">
        <f>IF($E922="","",IF(OR($U922=TRUE(),$U922="TRUE"),1,0))</f>
        <v/>
      </c>
      <c r="AT922">
        <f>IF($E922="","",IF($AC922="Yes",1,0))</f>
        <v/>
      </c>
      <c r="AU922">
        <f>IF($AQ922=1,IFERROR(IF(VALUE($E922)&lt;100000000,VALUE($E922),1000000000),IFERROR(IF(VALUE(MID($E922,2,20))&lt;100000000,VALUE(MID($E922,2,20)),1000000000),1000000000))+ROW()/100000,"")</f>
        <v/>
      </c>
    </row>
    <row r="923">
      <c r="G923" s="14" t="n"/>
      <c r="Q923" s="7">
        <f>IF($E923="","",P923*Z923/100)</f>
        <v/>
      </c>
      <c r="R923" s="7" t="n"/>
      <c r="Y923" s="7" t="n"/>
      <c r="Z923" s="7" t="n"/>
      <c r="AA923" s="7" t="n"/>
      <c r="AD923">
        <f>IF($E923="","",IF($AT923=1,Settings!$C$8,IF($AS923=1,Settings!$C$6,Settings!$C$7))*100)</f>
        <v/>
      </c>
      <c r="AE923" s="7">
        <f>IF($E923="","",Z923*AD923/100)</f>
        <v/>
      </c>
      <c r="AF923" s="7">
        <f>IF($E923="","",Z923-AE923)</f>
        <v/>
      </c>
      <c r="AG923" s="7">
        <f>IF($E923="","",AF923-Q923)</f>
        <v/>
      </c>
      <c r="AK923" s="7" t="n"/>
      <c r="AN923" s="14" t="n"/>
      <c r="AQ923">
        <f>IF($E923="","",IF(COUNTIF($E$2:$E923,$E923)=1,1,0))</f>
        <v/>
      </c>
      <c r="AR923">
        <f>IF($AQ923=1,SUMPRODUCT(--($AU$2:$AU$1501&lt;$AU923))+1,"")</f>
        <v/>
      </c>
      <c r="AS923">
        <f>IF($E923="","",IF(OR($U923=TRUE(),$U923="TRUE"),1,0))</f>
        <v/>
      </c>
      <c r="AT923">
        <f>IF($E923="","",IF($AC923="Yes",1,0))</f>
        <v/>
      </c>
      <c r="AU923">
        <f>IF($AQ923=1,IFERROR(IF(VALUE($E923)&lt;100000000,VALUE($E923),1000000000),IFERROR(IF(VALUE(MID($E923,2,20))&lt;100000000,VALUE(MID($E923,2,20)),1000000000),1000000000))+ROW()/100000,"")</f>
        <v/>
      </c>
    </row>
    <row r="924">
      <c r="G924" s="14" t="n"/>
      <c r="Q924" s="7">
        <f>IF($E924="","",P924*Z924/100)</f>
        <v/>
      </c>
      <c r="R924" s="7" t="n"/>
      <c r="Y924" s="7" t="n"/>
      <c r="Z924" s="7" t="n"/>
      <c r="AA924" s="7" t="n"/>
      <c r="AD924">
        <f>IF($E924="","",IF($AT924=1,Settings!$C$8,IF($AS924=1,Settings!$C$6,Settings!$C$7))*100)</f>
        <v/>
      </c>
      <c r="AE924" s="7">
        <f>IF($E924="","",Z924*AD924/100)</f>
        <v/>
      </c>
      <c r="AF924" s="7">
        <f>IF($E924="","",Z924-AE924)</f>
        <v/>
      </c>
      <c r="AG924" s="7">
        <f>IF($E924="","",AF924-Q924)</f>
        <v/>
      </c>
      <c r="AK924" s="7" t="n"/>
      <c r="AN924" s="14" t="n"/>
      <c r="AQ924">
        <f>IF($E924="","",IF(COUNTIF($E$2:$E924,$E924)=1,1,0))</f>
        <v/>
      </c>
      <c r="AR924">
        <f>IF($AQ924=1,SUMPRODUCT(--($AU$2:$AU$1501&lt;$AU924))+1,"")</f>
        <v/>
      </c>
      <c r="AS924">
        <f>IF($E924="","",IF(OR($U924=TRUE(),$U924="TRUE"),1,0))</f>
        <v/>
      </c>
      <c r="AT924">
        <f>IF($E924="","",IF($AC924="Yes",1,0))</f>
        <v/>
      </c>
      <c r="AU924">
        <f>IF($AQ924=1,IFERROR(IF(VALUE($E924)&lt;100000000,VALUE($E924),1000000000),IFERROR(IF(VALUE(MID($E924,2,20))&lt;100000000,VALUE(MID($E924,2,20)),1000000000),1000000000))+ROW()/100000,"")</f>
        <v/>
      </c>
    </row>
    <row r="925">
      <c r="G925" s="14" t="n"/>
      <c r="Q925" s="7">
        <f>IF($E925="","",P925*Z925/100)</f>
        <v/>
      </c>
      <c r="R925" s="7" t="n"/>
      <c r="Y925" s="7" t="n"/>
      <c r="Z925" s="7" t="n"/>
      <c r="AA925" s="7" t="n"/>
      <c r="AD925">
        <f>IF($E925="","",IF($AT925=1,Settings!$C$8,IF($AS925=1,Settings!$C$6,Settings!$C$7))*100)</f>
        <v/>
      </c>
      <c r="AE925" s="7">
        <f>IF($E925="","",Z925*AD925/100)</f>
        <v/>
      </c>
      <c r="AF925" s="7">
        <f>IF($E925="","",Z925-AE925)</f>
        <v/>
      </c>
      <c r="AG925" s="7">
        <f>IF($E925="","",AF925-Q925)</f>
        <v/>
      </c>
      <c r="AK925" s="7" t="n"/>
      <c r="AN925" s="14" t="n"/>
      <c r="AQ925">
        <f>IF($E925="","",IF(COUNTIF($E$2:$E925,$E925)=1,1,0))</f>
        <v/>
      </c>
      <c r="AR925">
        <f>IF($AQ925=1,SUMPRODUCT(--($AU$2:$AU$1501&lt;$AU925))+1,"")</f>
        <v/>
      </c>
      <c r="AS925">
        <f>IF($E925="","",IF(OR($U925=TRUE(),$U925="TRUE"),1,0))</f>
        <v/>
      </c>
      <c r="AT925">
        <f>IF($E925="","",IF($AC925="Yes",1,0))</f>
        <v/>
      </c>
      <c r="AU925">
        <f>IF($AQ925=1,IFERROR(IF(VALUE($E925)&lt;100000000,VALUE($E925),1000000000),IFERROR(IF(VALUE(MID($E925,2,20))&lt;100000000,VALUE(MID($E925,2,20)),1000000000),1000000000))+ROW()/100000,"")</f>
        <v/>
      </c>
    </row>
    <row r="926">
      <c r="G926" s="14" t="n"/>
      <c r="Q926" s="7">
        <f>IF($E926="","",P926*Z926/100)</f>
        <v/>
      </c>
      <c r="R926" s="7" t="n"/>
      <c r="Y926" s="7" t="n"/>
      <c r="Z926" s="7" t="n"/>
      <c r="AA926" s="7" t="n"/>
      <c r="AD926">
        <f>IF($E926="","",IF($AT926=1,Settings!$C$8,IF($AS926=1,Settings!$C$6,Settings!$C$7))*100)</f>
        <v/>
      </c>
      <c r="AE926" s="7">
        <f>IF($E926="","",Z926*AD926/100)</f>
        <v/>
      </c>
      <c r="AF926" s="7">
        <f>IF($E926="","",Z926-AE926)</f>
        <v/>
      </c>
      <c r="AG926" s="7">
        <f>IF($E926="","",AF926-Q926)</f>
        <v/>
      </c>
      <c r="AK926" s="7" t="n"/>
      <c r="AN926" s="14" t="n"/>
      <c r="AQ926">
        <f>IF($E926="","",IF(COUNTIF($E$2:$E926,$E926)=1,1,0))</f>
        <v/>
      </c>
      <c r="AR926">
        <f>IF($AQ926=1,SUMPRODUCT(--($AU$2:$AU$1501&lt;$AU926))+1,"")</f>
        <v/>
      </c>
      <c r="AS926">
        <f>IF($E926="","",IF(OR($U926=TRUE(),$U926="TRUE"),1,0))</f>
        <v/>
      </c>
      <c r="AT926">
        <f>IF($E926="","",IF($AC926="Yes",1,0))</f>
        <v/>
      </c>
      <c r="AU926">
        <f>IF($AQ926=1,IFERROR(IF(VALUE($E926)&lt;100000000,VALUE($E926),1000000000),IFERROR(IF(VALUE(MID($E926,2,20))&lt;100000000,VALUE(MID($E926,2,20)),1000000000),1000000000))+ROW()/100000,"")</f>
        <v/>
      </c>
    </row>
    <row r="927">
      <c r="G927" s="14" t="n"/>
      <c r="Q927" s="7">
        <f>IF($E927="","",P927*Z927/100)</f>
        <v/>
      </c>
      <c r="R927" s="7" t="n"/>
      <c r="Y927" s="7" t="n"/>
      <c r="Z927" s="7" t="n"/>
      <c r="AA927" s="7" t="n"/>
      <c r="AD927">
        <f>IF($E927="","",IF($AT927=1,Settings!$C$8,IF($AS927=1,Settings!$C$6,Settings!$C$7))*100)</f>
        <v/>
      </c>
      <c r="AE927" s="7">
        <f>IF($E927="","",Z927*AD927/100)</f>
        <v/>
      </c>
      <c r="AF927" s="7">
        <f>IF($E927="","",Z927-AE927)</f>
        <v/>
      </c>
      <c r="AG927" s="7">
        <f>IF($E927="","",AF927-Q927)</f>
        <v/>
      </c>
      <c r="AK927" s="7" t="n"/>
      <c r="AN927" s="14" t="n"/>
      <c r="AQ927">
        <f>IF($E927="","",IF(COUNTIF($E$2:$E927,$E927)=1,1,0))</f>
        <v/>
      </c>
      <c r="AR927">
        <f>IF($AQ927=1,SUMPRODUCT(--($AU$2:$AU$1501&lt;$AU927))+1,"")</f>
        <v/>
      </c>
      <c r="AS927">
        <f>IF($E927="","",IF(OR($U927=TRUE(),$U927="TRUE"),1,0))</f>
        <v/>
      </c>
      <c r="AT927">
        <f>IF($E927="","",IF($AC927="Yes",1,0))</f>
        <v/>
      </c>
      <c r="AU927">
        <f>IF($AQ927=1,IFERROR(IF(VALUE($E927)&lt;100000000,VALUE($E927),1000000000),IFERROR(IF(VALUE(MID($E927,2,20))&lt;100000000,VALUE(MID($E927,2,20)),1000000000),1000000000))+ROW()/100000,"")</f>
        <v/>
      </c>
    </row>
    <row r="928">
      <c r="G928" s="14" t="n"/>
      <c r="Q928" s="7">
        <f>IF($E928="","",P928*Z928/100)</f>
        <v/>
      </c>
      <c r="R928" s="7" t="n"/>
      <c r="Y928" s="7" t="n"/>
      <c r="Z928" s="7" t="n"/>
      <c r="AA928" s="7" t="n"/>
      <c r="AD928">
        <f>IF($E928="","",IF($AT928=1,Settings!$C$8,IF($AS928=1,Settings!$C$6,Settings!$C$7))*100)</f>
        <v/>
      </c>
      <c r="AE928" s="7">
        <f>IF($E928="","",Z928*AD928/100)</f>
        <v/>
      </c>
      <c r="AF928" s="7">
        <f>IF($E928="","",Z928-AE928)</f>
        <v/>
      </c>
      <c r="AG928" s="7">
        <f>IF($E928="","",AF928-Q928)</f>
        <v/>
      </c>
      <c r="AK928" s="7" t="n"/>
      <c r="AN928" s="14" t="n"/>
      <c r="AQ928">
        <f>IF($E928="","",IF(COUNTIF($E$2:$E928,$E928)=1,1,0))</f>
        <v/>
      </c>
      <c r="AR928">
        <f>IF($AQ928=1,SUMPRODUCT(--($AU$2:$AU$1501&lt;$AU928))+1,"")</f>
        <v/>
      </c>
      <c r="AS928">
        <f>IF($E928="","",IF(OR($U928=TRUE(),$U928="TRUE"),1,0))</f>
        <v/>
      </c>
      <c r="AT928">
        <f>IF($E928="","",IF($AC928="Yes",1,0))</f>
        <v/>
      </c>
      <c r="AU928">
        <f>IF($AQ928=1,IFERROR(IF(VALUE($E928)&lt;100000000,VALUE($E928),1000000000),IFERROR(IF(VALUE(MID($E928,2,20))&lt;100000000,VALUE(MID($E928,2,20)),1000000000),1000000000))+ROW()/100000,"")</f>
        <v/>
      </c>
    </row>
    <row r="929">
      <c r="G929" s="14" t="n"/>
      <c r="Q929" s="7">
        <f>IF($E929="","",P929*Z929/100)</f>
        <v/>
      </c>
      <c r="R929" s="7" t="n"/>
      <c r="Y929" s="7" t="n"/>
      <c r="Z929" s="7" t="n"/>
      <c r="AA929" s="7" t="n"/>
      <c r="AD929">
        <f>IF($E929="","",IF($AT929=1,Settings!$C$8,IF($AS929=1,Settings!$C$6,Settings!$C$7))*100)</f>
        <v/>
      </c>
      <c r="AE929" s="7">
        <f>IF($E929="","",Z929*AD929/100)</f>
        <v/>
      </c>
      <c r="AF929" s="7">
        <f>IF($E929="","",Z929-AE929)</f>
        <v/>
      </c>
      <c r="AG929" s="7">
        <f>IF($E929="","",AF929-Q929)</f>
        <v/>
      </c>
      <c r="AK929" s="7" t="n"/>
      <c r="AN929" s="14" t="n"/>
      <c r="AQ929">
        <f>IF($E929="","",IF(COUNTIF($E$2:$E929,$E929)=1,1,0))</f>
        <v/>
      </c>
      <c r="AR929">
        <f>IF($AQ929=1,SUMPRODUCT(--($AU$2:$AU$1501&lt;$AU929))+1,"")</f>
        <v/>
      </c>
      <c r="AS929">
        <f>IF($E929="","",IF(OR($U929=TRUE(),$U929="TRUE"),1,0))</f>
        <v/>
      </c>
      <c r="AT929">
        <f>IF($E929="","",IF($AC929="Yes",1,0))</f>
        <v/>
      </c>
      <c r="AU929">
        <f>IF($AQ929=1,IFERROR(IF(VALUE($E929)&lt;100000000,VALUE($E929),1000000000),IFERROR(IF(VALUE(MID($E929,2,20))&lt;100000000,VALUE(MID($E929,2,20)),1000000000),1000000000))+ROW()/100000,"")</f>
        <v/>
      </c>
    </row>
    <row r="930">
      <c r="G930" s="14" t="n"/>
      <c r="Q930" s="7">
        <f>IF($E930="","",P930*Z930/100)</f>
        <v/>
      </c>
      <c r="R930" s="7" t="n"/>
      <c r="Y930" s="7" t="n"/>
      <c r="Z930" s="7" t="n"/>
      <c r="AA930" s="7" t="n"/>
      <c r="AD930">
        <f>IF($E930="","",IF($AT930=1,Settings!$C$8,IF($AS930=1,Settings!$C$6,Settings!$C$7))*100)</f>
        <v/>
      </c>
      <c r="AE930" s="7">
        <f>IF($E930="","",Z930*AD930/100)</f>
        <v/>
      </c>
      <c r="AF930" s="7">
        <f>IF($E930="","",Z930-AE930)</f>
        <v/>
      </c>
      <c r="AG930" s="7">
        <f>IF($E930="","",AF930-Q930)</f>
        <v/>
      </c>
      <c r="AK930" s="7" t="n"/>
      <c r="AN930" s="14" t="n"/>
      <c r="AQ930">
        <f>IF($E930="","",IF(COUNTIF($E$2:$E930,$E930)=1,1,0))</f>
        <v/>
      </c>
      <c r="AR930">
        <f>IF($AQ930=1,SUMPRODUCT(--($AU$2:$AU$1501&lt;$AU930))+1,"")</f>
        <v/>
      </c>
      <c r="AS930">
        <f>IF($E930="","",IF(OR($U930=TRUE(),$U930="TRUE"),1,0))</f>
        <v/>
      </c>
      <c r="AT930">
        <f>IF($E930="","",IF($AC930="Yes",1,0))</f>
        <v/>
      </c>
      <c r="AU930">
        <f>IF($AQ930=1,IFERROR(IF(VALUE($E930)&lt;100000000,VALUE($E930),1000000000),IFERROR(IF(VALUE(MID($E930,2,20))&lt;100000000,VALUE(MID($E930,2,20)),1000000000),1000000000))+ROW()/100000,"")</f>
        <v/>
      </c>
    </row>
    <row r="931">
      <c r="G931" s="14" t="n"/>
      <c r="Q931" s="7">
        <f>IF($E931="","",P931*Z931/100)</f>
        <v/>
      </c>
      <c r="R931" s="7" t="n"/>
      <c r="Y931" s="7" t="n"/>
      <c r="Z931" s="7" t="n"/>
      <c r="AA931" s="7" t="n"/>
      <c r="AD931">
        <f>IF($E931="","",IF($AT931=1,Settings!$C$8,IF($AS931=1,Settings!$C$6,Settings!$C$7))*100)</f>
        <v/>
      </c>
      <c r="AE931" s="7">
        <f>IF($E931="","",Z931*AD931/100)</f>
        <v/>
      </c>
      <c r="AF931" s="7">
        <f>IF($E931="","",Z931-AE931)</f>
        <v/>
      </c>
      <c r="AG931" s="7">
        <f>IF($E931="","",AF931-Q931)</f>
        <v/>
      </c>
      <c r="AK931" s="7" t="n"/>
      <c r="AN931" s="14" t="n"/>
      <c r="AQ931">
        <f>IF($E931="","",IF(COUNTIF($E$2:$E931,$E931)=1,1,0))</f>
        <v/>
      </c>
      <c r="AR931">
        <f>IF($AQ931=1,SUMPRODUCT(--($AU$2:$AU$1501&lt;$AU931))+1,"")</f>
        <v/>
      </c>
      <c r="AS931">
        <f>IF($E931="","",IF(OR($U931=TRUE(),$U931="TRUE"),1,0))</f>
        <v/>
      </c>
      <c r="AT931">
        <f>IF($E931="","",IF($AC931="Yes",1,0))</f>
        <v/>
      </c>
      <c r="AU931">
        <f>IF($AQ931=1,IFERROR(IF(VALUE($E931)&lt;100000000,VALUE($E931),1000000000),IFERROR(IF(VALUE(MID($E931,2,20))&lt;100000000,VALUE(MID($E931,2,20)),1000000000),1000000000))+ROW()/100000,"")</f>
        <v/>
      </c>
    </row>
    <row r="932">
      <c r="G932" s="14" t="n"/>
      <c r="Q932" s="7">
        <f>IF($E932="","",P932*Z932/100)</f>
        <v/>
      </c>
      <c r="R932" s="7" t="n"/>
      <c r="Y932" s="7" t="n"/>
      <c r="Z932" s="7" t="n"/>
      <c r="AA932" s="7" t="n"/>
      <c r="AD932">
        <f>IF($E932="","",IF($AT932=1,Settings!$C$8,IF($AS932=1,Settings!$C$6,Settings!$C$7))*100)</f>
        <v/>
      </c>
      <c r="AE932" s="7">
        <f>IF($E932="","",Z932*AD932/100)</f>
        <v/>
      </c>
      <c r="AF932" s="7">
        <f>IF($E932="","",Z932-AE932)</f>
        <v/>
      </c>
      <c r="AG932" s="7">
        <f>IF($E932="","",AF932-Q932)</f>
        <v/>
      </c>
      <c r="AK932" s="7" t="n"/>
      <c r="AN932" s="14" t="n"/>
      <c r="AQ932">
        <f>IF($E932="","",IF(COUNTIF($E$2:$E932,$E932)=1,1,0))</f>
        <v/>
      </c>
      <c r="AR932">
        <f>IF($AQ932=1,SUMPRODUCT(--($AU$2:$AU$1501&lt;$AU932))+1,"")</f>
        <v/>
      </c>
      <c r="AS932">
        <f>IF($E932="","",IF(OR($U932=TRUE(),$U932="TRUE"),1,0))</f>
        <v/>
      </c>
      <c r="AT932">
        <f>IF($E932="","",IF($AC932="Yes",1,0))</f>
        <v/>
      </c>
      <c r="AU932">
        <f>IF($AQ932=1,IFERROR(IF(VALUE($E932)&lt;100000000,VALUE($E932),1000000000),IFERROR(IF(VALUE(MID($E932,2,20))&lt;100000000,VALUE(MID($E932,2,20)),1000000000),1000000000))+ROW()/100000,"")</f>
        <v/>
      </c>
    </row>
    <row r="933">
      <c r="G933" s="14" t="n"/>
      <c r="Q933" s="7">
        <f>IF($E933="","",P933*Z933/100)</f>
        <v/>
      </c>
      <c r="R933" s="7" t="n"/>
      <c r="Y933" s="7" t="n"/>
      <c r="Z933" s="7" t="n"/>
      <c r="AA933" s="7" t="n"/>
      <c r="AD933">
        <f>IF($E933="","",IF($AT933=1,Settings!$C$8,IF($AS933=1,Settings!$C$6,Settings!$C$7))*100)</f>
        <v/>
      </c>
      <c r="AE933" s="7">
        <f>IF($E933="","",Z933*AD933/100)</f>
        <v/>
      </c>
      <c r="AF933" s="7">
        <f>IF($E933="","",Z933-AE933)</f>
        <v/>
      </c>
      <c r="AG933" s="7">
        <f>IF($E933="","",AF933-Q933)</f>
        <v/>
      </c>
      <c r="AK933" s="7" t="n"/>
      <c r="AN933" s="14" t="n"/>
      <c r="AQ933">
        <f>IF($E933="","",IF(COUNTIF($E$2:$E933,$E933)=1,1,0))</f>
        <v/>
      </c>
      <c r="AR933">
        <f>IF($AQ933=1,SUMPRODUCT(--($AU$2:$AU$1501&lt;$AU933))+1,"")</f>
        <v/>
      </c>
      <c r="AS933">
        <f>IF($E933="","",IF(OR($U933=TRUE(),$U933="TRUE"),1,0))</f>
        <v/>
      </c>
      <c r="AT933">
        <f>IF($E933="","",IF($AC933="Yes",1,0))</f>
        <v/>
      </c>
      <c r="AU933">
        <f>IF($AQ933=1,IFERROR(IF(VALUE($E933)&lt;100000000,VALUE($E933),1000000000),IFERROR(IF(VALUE(MID($E933,2,20))&lt;100000000,VALUE(MID($E933,2,20)),1000000000),1000000000))+ROW()/100000,"")</f>
        <v/>
      </c>
    </row>
    <row r="934">
      <c r="G934" s="14" t="n"/>
      <c r="Q934" s="7">
        <f>IF($E934="","",P934*Z934/100)</f>
        <v/>
      </c>
      <c r="R934" s="7" t="n"/>
      <c r="Y934" s="7" t="n"/>
      <c r="Z934" s="7" t="n"/>
      <c r="AA934" s="7" t="n"/>
      <c r="AD934">
        <f>IF($E934="","",IF($AT934=1,Settings!$C$8,IF($AS934=1,Settings!$C$6,Settings!$C$7))*100)</f>
        <v/>
      </c>
      <c r="AE934" s="7">
        <f>IF($E934="","",Z934*AD934/100)</f>
        <v/>
      </c>
      <c r="AF934" s="7">
        <f>IF($E934="","",Z934-AE934)</f>
        <v/>
      </c>
      <c r="AG934" s="7">
        <f>IF($E934="","",AF934-Q934)</f>
        <v/>
      </c>
      <c r="AK934" s="7" t="n"/>
      <c r="AN934" s="14" t="n"/>
      <c r="AQ934">
        <f>IF($E934="","",IF(COUNTIF($E$2:$E934,$E934)=1,1,0))</f>
        <v/>
      </c>
      <c r="AR934">
        <f>IF($AQ934=1,SUMPRODUCT(--($AU$2:$AU$1501&lt;$AU934))+1,"")</f>
        <v/>
      </c>
      <c r="AS934">
        <f>IF($E934="","",IF(OR($U934=TRUE(),$U934="TRUE"),1,0))</f>
        <v/>
      </c>
      <c r="AT934">
        <f>IF($E934="","",IF($AC934="Yes",1,0))</f>
        <v/>
      </c>
      <c r="AU934">
        <f>IF($AQ934=1,IFERROR(IF(VALUE($E934)&lt;100000000,VALUE($E934),1000000000),IFERROR(IF(VALUE(MID($E934,2,20))&lt;100000000,VALUE(MID($E934,2,20)),1000000000),1000000000))+ROW()/100000,"")</f>
        <v/>
      </c>
    </row>
    <row r="935">
      <c r="G935" s="14" t="n"/>
      <c r="Q935" s="7">
        <f>IF($E935="","",P935*Z935/100)</f>
        <v/>
      </c>
      <c r="R935" s="7" t="n"/>
      <c r="Y935" s="7" t="n"/>
      <c r="Z935" s="7" t="n"/>
      <c r="AA935" s="7" t="n"/>
      <c r="AD935">
        <f>IF($E935="","",IF($AT935=1,Settings!$C$8,IF($AS935=1,Settings!$C$6,Settings!$C$7))*100)</f>
        <v/>
      </c>
      <c r="AE935" s="7">
        <f>IF($E935="","",Z935*AD935/100)</f>
        <v/>
      </c>
      <c r="AF935" s="7">
        <f>IF($E935="","",Z935-AE935)</f>
        <v/>
      </c>
      <c r="AG935" s="7">
        <f>IF($E935="","",AF935-Q935)</f>
        <v/>
      </c>
      <c r="AK935" s="7" t="n"/>
      <c r="AN935" s="14" t="n"/>
      <c r="AQ935">
        <f>IF($E935="","",IF(COUNTIF($E$2:$E935,$E935)=1,1,0))</f>
        <v/>
      </c>
      <c r="AR935">
        <f>IF($AQ935=1,SUMPRODUCT(--($AU$2:$AU$1501&lt;$AU935))+1,"")</f>
        <v/>
      </c>
      <c r="AS935">
        <f>IF($E935="","",IF(OR($U935=TRUE(),$U935="TRUE"),1,0))</f>
        <v/>
      </c>
      <c r="AT935">
        <f>IF($E935="","",IF($AC935="Yes",1,0))</f>
        <v/>
      </c>
      <c r="AU935">
        <f>IF($AQ935=1,IFERROR(IF(VALUE($E935)&lt;100000000,VALUE($E935),1000000000),IFERROR(IF(VALUE(MID($E935,2,20))&lt;100000000,VALUE(MID($E935,2,20)),1000000000),1000000000))+ROW()/100000,"")</f>
        <v/>
      </c>
    </row>
    <row r="936">
      <c r="G936" s="14" t="n"/>
      <c r="Q936" s="7">
        <f>IF($E936="","",P936*Z936/100)</f>
        <v/>
      </c>
      <c r="R936" s="7" t="n"/>
      <c r="Y936" s="7" t="n"/>
      <c r="Z936" s="7" t="n"/>
      <c r="AA936" s="7" t="n"/>
      <c r="AD936">
        <f>IF($E936="","",IF($AT936=1,Settings!$C$8,IF($AS936=1,Settings!$C$6,Settings!$C$7))*100)</f>
        <v/>
      </c>
      <c r="AE936" s="7">
        <f>IF($E936="","",Z936*AD936/100)</f>
        <v/>
      </c>
      <c r="AF936" s="7">
        <f>IF($E936="","",Z936-AE936)</f>
        <v/>
      </c>
      <c r="AG936" s="7">
        <f>IF($E936="","",AF936-Q936)</f>
        <v/>
      </c>
      <c r="AK936" s="7" t="n"/>
      <c r="AN936" s="14" t="n"/>
      <c r="AQ936">
        <f>IF($E936="","",IF(COUNTIF($E$2:$E936,$E936)=1,1,0))</f>
        <v/>
      </c>
      <c r="AR936">
        <f>IF($AQ936=1,SUMPRODUCT(--($AU$2:$AU$1501&lt;$AU936))+1,"")</f>
        <v/>
      </c>
      <c r="AS936">
        <f>IF($E936="","",IF(OR($U936=TRUE(),$U936="TRUE"),1,0))</f>
        <v/>
      </c>
      <c r="AT936">
        <f>IF($E936="","",IF($AC936="Yes",1,0))</f>
        <v/>
      </c>
      <c r="AU936">
        <f>IF($AQ936=1,IFERROR(IF(VALUE($E936)&lt;100000000,VALUE($E936),1000000000),IFERROR(IF(VALUE(MID($E936,2,20))&lt;100000000,VALUE(MID($E936,2,20)),1000000000),1000000000))+ROW()/100000,"")</f>
        <v/>
      </c>
    </row>
    <row r="937">
      <c r="G937" s="14" t="n"/>
      <c r="Q937" s="7">
        <f>IF($E937="","",P937*Z937/100)</f>
        <v/>
      </c>
      <c r="R937" s="7" t="n"/>
      <c r="Y937" s="7" t="n"/>
      <c r="Z937" s="7" t="n"/>
      <c r="AA937" s="7" t="n"/>
      <c r="AD937">
        <f>IF($E937="","",IF($AT937=1,Settings!$C$8,IF($AS937=1,Settings!$C$6,Settings!$C$7))*100)</f>
        <v/>
      </c>
      <c r="AE937" s="7">
        <f>IF($E937="","",Z937*AD937/100)</f>
        <v/>
      </c>
      <c r="AF937" s="7">
        <f>IF($E937="","",Z937-AE937)</f>
        <v/>
      </c>
      <c r="AG937" s="7">
        <f>IF($E937="","",AF937-Q937)</f>
        <v/>
      </c>
      <c r="AK937" s="7" t="n"/>
      <c r="AN937" s="14" t="n"/>
      <c r="AQ937">
        <f>IF($E937="","",IF(COUNTIF($E$2:$E937,$E937)=1,1,0))</f>
        <v/>
      </c>
      <c r="AR937">
        <f>IF($AQ937=1,SUMPRODUCT(--($AU$2:$AU$1501&lt;$AU937))+1,"")</f>
        <v/>
      </c>
      <c r="AS937">
        <f>IF($E937="","",IF(OR($U937=TRUE(),$U937="TRUE"),1,0))</f>
        <v/>
      </c>
      <c r="AT937">
        <f>IF($E937="","",IF($AC937="Yes",1,0))</f>
        <v/>
      </c>
      <c r="AU937">
        <f>IF($AQ937=1,IFERROR(IF(VALUE($E937)&lt;100000000,VALUE($E937),1000000000),IFERROR(IF(VALUE(MID($E937,2,20))&lt;100000000,VALUE(MID($E937,2,20)),1000000000),1000000000))+ROW()/100000,"")</f>
        <v/>
      </c>
    </row>
    <row r="938">
      <c r="G938" s="14" t="n"/>
      <c r="Q938" s="7">
        <f>IF($E938="","",P938*Z938/100)</f>
        <v/>
      </c>
      <c r="R938" s="7" t="n"/>
      <c r="Y938" s="7" t="n"/>
      <c r="Z938" s="7" t="n"/>
      <c r="AA938" s="7" t="n"/>
      <c r="AD938">
        <f>IF($E938="","",IF($AT938=1,Settings!$C$8,IF($AS938=1,Settings!$C$6,Settings!$C$7))*100)</f>
        <v/>
      </c>
      <c r="AE938" s="7">
        <f>IF($E938="","",Z938*AD938/100)</f>
        <v/>
      </c>
      <c r="AF938" s="7">
        <f>IF($E938="","",Z938-AE938)</f>
        <v/>
      </c>
      <c r="AG938" s="7">
        <f>IF($E938="","",AF938-Q938)</f>
        <v/>
      </c>
      <c r="AK938" s="7" t="n"/>
      <c r="AN938" s="14" t="n"/>
      <c r="AQ938">
        <f>IF($E938="","",IF(COUNTIF($E$2:$E938,$E938)=1,1,0))</f>
        <v/>
      </c>
      <c r="AR938">
        <f>IF($AQ938=1,SUMPRODUCT(--($AU$2:$AU$1501&lt;$AU938))+1,"")</f>
        <v/>
      </c>
      <c r="AS938">
        <f>IF($E938="","",IF(OR($U938=TRUE(),$U938="TRUE"),1,0))</f>
        <v/>
      </c>
      <c r="AT938">
        <f>IF($E938="","",IF($AC938="Yes",1,0))</f>
        <v/>
      </c>
      <c r="AU938">
        <f>IF($AQ938=1,IFERROR(IF(VALUE($E938)&lt;100000000,VALUE($E938),1000000000),IFERROR(IF(VALUE(MID($E938,2,20))&lt;100000000,VALUE(MID($E938,2,20)),1000000000),1000000000))+ROW()/100000,"")</f>
        <v/>
      </c>
    </row>
    <row r="939">
      <c r="G939" s="14" t="n"/>
      <c r="Q939" s="7">
        <f>IF($E939="","",P939*Z939/100)</f>
        <v/>
      </c>
      <c r="R939" s="7" t="n"/>
      <c r="Y939" s="7" t="n"/>
      <c r="Z939" s="7" t="n"/>
      <c r="AA939" s="7" t="n"/>
      <c r="AD939">
        <f>IF($E939="","",IF($AT939=1,Settings!$C$8,IF($AS939=1,Settings!$C$6,Settings!$C$7))*100)</f>
        <v/>
      </c>
      <c r="AE939" s="7">
        <f>IF($E939="","",Z939*AD939/100)</f>
        <v/>
      </c>
      <c r="AF939" s="7">
        <f>IF($E939="","",Z939-AE939)</f>
        <v/>
      </c>
      <c r="AG939" s="7">
        <f>IF($E939="","",AF939-Q939)</f>
        <v/>
      </c>
      <c r="AK939" s="7" t="n"/>
      <c r="AN939" s="14" t="n"/>
      <c r="AQ939">
        <f>IF($E939="","",IF(COUNTIF($E$2:$E939,$E939)=1,1,0))</f>
        <v/>
      </c>
      <c r="AR939">
        <f>IF($AQ939=1,SUMPRODUCT(--($AU$2:$AU$1501&lt;$AU939))+1,"")</f>
        <v/>
      </c>
      <c r="AS939">
        <f>IF($E939="","",IF(OR($U939=TRUE(),$U939="TRUE"),1,0))</f>
        <v/>
      </c>
      <c r="AT939">
        <f>IF($E939="","",IF($AC939="Yes",1,0))</f>
        <v/>
      </c>
      <c r="AU939">
        <f>IF($AQ939=1,IFERROR(IF(VALUE($E939)&lt;100000000,VALUE($E939),1000000000),IFERROR(IF(VALUE(MID($E939,2,20))&lt;100000000,VALUE(MID($E939,2,20)),1000000000),1000000000))+ROW()/100000,"")</f>
        <v/>
      </c>
    </row>
    <row r="940">
      <c r="G940" s="14" t="n"/>
      <c r="Q940" s="7">
        <f>IF($E940="","",P940*Z940/100)</f>
        <v/>
      </c>
      <c r="R940" s="7" t="n"/>
      <c r="Y940" s="7" t="n"/>
      <c r="Z940" s="7" t="n"/>
      <c r="AA940" s="7" t="n"/>
      <c r="AD940">
        <f>IF($E940="","",IF($AT940=1,Settings!$C$8,IF($AS940=1,Settings!$C$6,Settings!$C$7))*100)</f>
        <v/>
      </c>
      <c r="AE940" s="7">
        <f>IF($E940="","",Z940*AD940/100)</f>
        <v/>
      </c>
      <c r="AF940" s="7">
        <f>IF($E940="","",Z940-AE940)</f>
        <v/>
      </c>
      <c r="AG940" s="7">
        <f>IF($E940="","",AF940-Q940)</f>
        <v/>
      </c>
      <c r="AK940" s="7" t="n"/>
      <c r="AN940" s="14" t="n"/>
      <c r="AQ940">
        <f>IF($E940="","",IF(COUNTIF($E$2:$E940,$E940)=1,1,0))</f>
        <v/>
      </c>
      <c r="AR940">
        <f>IF($AQ940=1,SUMPRODUCT(--($AU$2:$AU$1501&lt;$AU940))+1,"")</f>
        <v/>
      </c>
      <c r="AS940">
        <f>IF($E940="","",IF(OR($U940=TRUE(),$U940="TRUE"),1,0))</f>
        <v/>
      </c>
      <c r="AT940">
        <f>IF($E940="","",IF($AC940="Yes",1,0))</f>
        <v/>
      </c>
      <c r="AU940">
        <f>IF($AQ940=1,IFERROR(IF(VALUE($E940)&lt;100000000,VALUE($E940),1000000000),IFERROR(IF(VALUE(MID($E940,2,20))&lt;100000000,VALUE(MID($E940,2,20)),1000000000),1000000000))+ROW()/100000,"")</f>
        <v/>
      </c>
    </row>
    <row r="941">
      <c r="G941" s="14" t="n"/>
      <c r="Q941" s="7">
        <f>IF($E941="","",P941*Z941/100)</f>
        <v/>
      </c>
      <c r="R941" s="7" t="n"/>
      <c r="Y941" s="7" t="n"/>
      <c r="Z941" s="7" t="n"/>
      <c r="AA941" s="7" t="n"/>
      <c r="AD941">
        <f>IF($E941="","",IF($AT941=1,Settings!$C$8,IF($AS941=1,Settings!$C$6,Settings!$C$7))*100)</f>
        <v/>
      </c>
      <c r="AE941" s="7">
        <f>IF($E941="","",Z941*AD941/100)</f>
        <v/>
      </c>
      <c r="AF941" s="7">
        <f>IF($E941="","",Z941-AE941)</f>
        <v/>
      </c>
      <c r="AG941" s="7">
        <f>IF($E941="","",AF941-Q941)</f>
        <v/>
      </c>
      <c r="AK941" s="7" t="n"/>
      <c r="AN941" s="14" t="n"/>
      <c r="AQ941">
        <f>IF($E941="","",IF(COUNTIF($E$2:$E941,$E941)=1,1,0))</f>
        <v/>
      </c>
      <c r="AR941">
        <f>IF($AQ941=1,SUMPRODUCT(--($AU$2:$AU$1501&lt;$AU941))+1,"")</f>
        <v/>
      </c>
      <c r="AS941">
        <f>IF($E941="","",IF(OR($U941=TRUE(),$U941="TRUE"),1,0))</f>
        <v/>
      </c>
      <c r="AT941">
        <f>IF($E941="","",IF($AC941="Yes",1,0))</f>
        <v/>
      </c>
      <c r="AU941">
        <f>IF($AQ941=1,IFERROR(IF(VALUE($E941)&lt;100000000,VALUE($E941),1000000000),IFERROR(IF(VALUE(MID($E941,2,20))&lt;100000000,VALUE(MID($E941,2,20)),1000000000),1000000000))+ROW()/100000,"")</f>
        <v/>
      </c>
    </row>
    <row r="942">
      <c r="G942" s="14" t="n"/>
      <c r="Q942" s="7">
        <f>IF($E942="","",P942*Z942/100)</f>
        <v/>
      </c>
      <c r="R942" s="7" t="n"/>
      <c r="Y942" s="7" t="n"/>
      <c r="Z942" s="7" t="n"/>
      <c r="AA942" s="7" t="n"/>
      <c r="AD942">
        <f>IF($E942="","",IF($AT942=1,Settings!$C$8,IF($AS942=1,Settings!$C$6,Settings!$C$7))*100)</f>
        <v/>
      </c>
      <c r="AE942" s="7">
        <f>IF($E942="","",Z942*AD942/100)</f>
        <v/>
      </c>
      <c r="AF942" s="7">
        <f>IF($E942="","",Z942-AE942)</f>
        <v/>
      </c>
      <c r="AG942" s="7">
        <f>IF($E942="","",AF942-Q942)</f>
        <v/>
      </c>
      <c r="AK942" s="7" t="n"/>
      <c r="AN942" s="14" t="n"/>
      <c r="AQ942">
        <f>IF($E942="","",IF(COUNTIF($E$2:$E942,$E942)=1,1,0))</f>
        <v/>
      </c>
      <c r="AR942">
        <f>IF($AQ942=1,SUMPRODUCT(--($AU$2:$AU$1501&lt;$AU942))+1,"")</f>
        <v/>
      </c>
      <c r="AS942">
        <f>IF($E942="","",IF(OR($U942=TRUE(),$U942="TRUE"),1,0))</f>
        <v/>
      </c>
      <c r="AT942">
        <f>IF($E942="","",IF($AC942="Yes",1,0))</f>
        <v/>
      </c>
      <c r="AU942">
        <f>IF($AQ942=1,IFERROR(IF(VALUE($E942)&lt;100000000,VALUE($E942),1000000000),IFERROR(IF(VALUE(MID($E942,2,20))&lt;100000000,VALUE(MID($E942,2,20)),1000000000),1000000000))+ROW()/100000,"")</f>
        <v/>
      </c>
    </row>
    <row r="943">
      <c r="G943" s="14" t="n"/>
      <c r="Q943" s="7">
        <f>IF($E943="","",P943*Z943/100)</f>
        <v/>
      </c>
      <c r="R943" s="7" t="n"/>
      <c r="Y943" s="7" t="n"/>
      <c r="Z943" s="7" t="n"/>
      <c r="AA943" s="7" t="n"/>
      <c r="AD943">
        <f>IF($E943="","",IF($AT943=1,Settings!$C$8,IF($AS943=1,Settings!$C$6,Settings!$C$7))*100)</f>
        <v/>
      </c>
      <c r="AE943" s="7">
        <f>IF($E943="","",Z943*AD943/100)</f>
        <v/>
      </c>
      <c r="AF943" s="7">
        <f>IF($E943="","",Z943-AE943)</f>
        <v/>
      </c>
      <c r="AG943" s="7">
        <f>IF($E943="","",AF943-Q943)</f>
        <v/>
      </c>
      <c r="AK943" s="7" t="n"/>
      <c r="AN943" s="14" t="n"/>
      <c r="AQ943">
        <f>IF($E943="","",IF(COUNTIF($E$2:$E943,$E943)=1,1,0))</f>
        <v/>
      </c>
      <c r="AR943">
        <f>IF($AQ943=1,SUMPRODUCT(--($AU$2:$AU$1501&lt;$AU943))+1,"")</f>
        <v/>
      </c>
      <c r="AS943">
        <f>IF($E943="","",IF(OR($U943=TRUE(),$U943="TRUE"),1,0))</f>
        <v/>
      </c>
      <c r="AT943">
        <f>IF($E943="","",IF($AC943="Yes",1,0))</f>
        <v/>
      </c>
      <c r="AU943">
        <f>IF($AQ943=1,IFERROR(IF(VALUE($E943)&lt;100000000,VALUE($E943),1000000000),IFERROR(IF(VALUE(MID($E943,2,20))&lt;100000000,VALUE(MID($E943,2,20)),1000000000),1000000000))+ROW()/100000,"")</f>
        <v/>
      </c>
    </row>
    <row r="944">
      <c r="G944" s="14" t="n"/>
      <c r="Q944" s="7">
        <f>IF($E944="","",P944*Z944/100)</f>
        <v/>
      </c>
      <c r="R944" s="7" t="n"/>
      <c r="Y944" s="7" t="n"/>
      <c r="Z944" s="7" t="n"/>
      <c r="AA944" s="7" t="n"/>
      <c r="AD944">
        <f>IF($E944="","",IF($AT944=1,Settings!$C$8,IF($AS944=1,Settings!$C$6,Settings!$C$7))*100)</f>
        <v/>
      </c>
      <c r="AE944" s="7">
        <f>IF($E944="","",Z944*AD944/100)</f>
        <v/>
      </c>
      <c r="AF944" s="7">
        <f>IF($E944="","",Z944-AE944)</f>
        <v/>
      </c>
      <c r="AG944" s="7">
        <f>IF($E944="","",AF944-Q944)</f>
        <v/>
      </c>
      <c r="AK944" s="7" t="n"/>
      <c r="AN944" s="14" t="n"/>
      <c r="AQ944">
        <f>IF($E944="","",IF(COUNTIF($E$2:$E944,$E944)=1,1,0))</f>
        <v/>
      </c>
      <c r="AR944">
        <f>IF($AQ944=1,SUMPRODUCT(--($AU$2:$AU$1501&lt;$AU944))+1,"")</f>
        <v/>
      </c>
      <c r="AS944">
        <f>IF($E944="","",IF(OR($U944=TRUE(),$U944="TRUE"),1,0))</f>
        <v/>
      </c>
      <c r="AT944">
        <f>IF($E944="","",IF($AC944="Yes",1,0))</f>
        <v/>
      </c>
      <c r="AU944">
        <f>IF($AQ944=1,IFERROR(IF(VALUE($E944)&lt;100000000,VALUE($E944),1000000000),IFERROR(IF(VALUE(MID($E944,2,20))&lt;100000000,VALUE(MID($E944,2,20)),1000000000),1000000000))+ROW()/100000,"")</f>
        <v/>
      </c>
    </row>
    <row r="945">
      <c r="G945" s="14" t="n"/>
      <c r="Q945" s="7">
        <f>IF($E945="","",P945*Z945/100)</f>
        <v/>
      </c>
      <c r="R945" s="7" t="n"/>
      <c r="Y945" s="7" t="n"/>
      <c r="Z945" s="7" t="n"/>
      <c r="AA945" s="7" t="n"/>
      <c r="AD945">
        <f>IF($E945="","",IF($AT945=1,Settings!$C$8,IF($AS945=1,Settings!$C$6,Settings!$C$7))*100)</f>
        <v/>
      </c>
      <c r="AE945" s="7">
        <f>IF($E945="","",Z945*AD945/100)</f>
        <v/>
      </c>
      <c r="AF945" s="7">
        <f>IF($E945="","",Z945-AE945)</f>
        <v/>
      </c>
      <c r="AG945" s="7">
        <f>IF($E945="","",AF945-Q945)</f>
        <v/>
      </c>
      <c r="AK945" s="7" t="n"/>
      <c r="AN945" s="14" t="n"/>
      <c r="AQ945">
        <f>IF($E945="","",IF(COUNTIF($E$2:$E945,$E945)=1,1,0))</f>
        <v/>
      </c>
      <c r="AR945">
        <f>IF($AQ945=1,SUMPRODUCT(--($AU$2:$AU$1501&lt;$AU945))+1,"")</f>
        <v/>
      </c>
      <c r="AS945">
        <f>IF($E945="","",IF(OR($U945=TRUE(),$U945="TRUE"),1,0))</f>
        <v/>
      </c>
      <c r="AT945">
        <f>IF($E945="","",IF($AC945="Yes",1,0))</f>
        <v/>
      </c>
      <c r="AU945">
        <f>IF($AQ945=1,IFERROR(IF(VALUE($E945)&lt;100000000,VALUE($E945),1000000000),IFERROR(IF(VALUE(MID($E945,2,20))&lt;100000000,VALUE(MID($E945,2,20)),1000000000),1000000000))+ROW()/100000,"")</f>
        <v/>
      </c>
    </row>
    <row r="946">
      <c r="G946" s="14" t="n"/>
      <c r="Q946" s="7">
        <f>IF($E946="","",P946*Z946/100)</f>
        <v/>
      </c>
      <c r="R946" s="7" t="n"/>
      <c r="Y946" s="7" t="n"/>
      <c r="Z946" s="7" t="n"/>
      <c r="AA946" s="7" t="n"/>
      <c r="AD946">
        <f>IF($E946="","",IF($AT946=1,Settings!$C$8,IF($AS946=1,Settings!$C$6,Settings!$C$7))*100)</f>
        <v/>
      </c>
      <c r="AE946" s="7">
        <f>IF($E946="","",Z946*AD946/100)</f>
        <v/>
      </c>
      <c r="AF946" s="7">
        <f>IF($E946="","",Z946-AE946)</f>
        <v/>
      </c>
      <c r="AG946" s="7">
        <f>IF($E946="","",AF946-Q946)</f>
        <v/>
      </c>
      <c r="AK946" s="7" t="n"/>
      <c r="AN946" s="14" t="n"/>
      <c r="AQ946">
        <f>IF($E946="","",IF(COUNTIF($E$2:$E946,$E946)=1,1,0))</f>
        <v/>
      </c>
      <c r="AR946">
        <f>IF($AQ946=1,SUMPRODUCT(--($AU$2:$AU$1501&lt;$AU946))+1,"")</f>
        <v/>
      </c>
      <c r="AS946">
        <f>IF($E946="","",IF(OR($U946=TRUE(),$U946="TRUE"),1,0))</f>
        <v/>
      </c>
      <c r="AT946">
        <f>IF($E946="","",IF($AC946="Yes",1,0))</f>
        <v/>
      </c>
      <c r="AU946">
        <f>IF($AQ946=1,IFERROR(IF(VALUE($E946)&lt;100000000,VALUE($E946),1000000000),IFERROR(IF(VALUE(MID($E946,2,20))&lt;100000000,VALUE(MID($E946,2,20)),1000000000),1000000000))+ROW()/100000,"")</f>
        <v/>
      </c>
    </row>
    <row r="947">
      <c r="G947" s="14" t="n"/>
      <c r="Q947" s="7">
        <f>IF($E947="","",P947*Z947/100)</f>
        <v/>
      </c>
      <c r="R947" s="7" t="n"/>
      <c r="Y947" s="7" t="n"/>
      <c r="Z947" s="7" t="n"/>
      <c r="AA947" s="7" t="n"/>
      <c r="AD947">
        <f>IF($E947="","",IF($AT947=1,Settings!$C$8,IF($AS947=1,Settings!$C$6,Settings!$C$7))*100)</f>
        <v/>
      </c>
      <c r="AE947" s="7">
        <f>IF($E947="","",Z947*AD947/100)</f>
        <v/>
      </c>
      <c r="AF947" s="7">
        <f>IF($E947="","",Z947-AE947)</f>
        <v/>
      </c>
      <c r="AG947" s="7">
        <f>IF($E947="","",AF947-Q947)</f>
        <v/>
      </c>
      <c r="AK947" s="7" t="n"/>
      <c r="AN947" s="14" t="n"/>
      <c r="AQ947">
        <f>IF($E947="","",IF(COUNTIF($E$2:$E947,$E947)=1,1,0))</f>
        <v/>
      </c>
      <c r="AR947">
        <f>IF($AQ947=1,SUMPRODUCT(--($AU$2:$AU$1501&lt;$AU947))+1,"")</f>
        <v/>
      </c>
      <c r="AS947">
        <f>IF($E947="","",IF(OR($U947=TRUE(),$U947="TRUE"),1,0))</f>
        <v/>
      </c>
      <c r="AT947">
        <f>IF($E947="","",IF($AC947="Yes",1,0))</f>
        <v/>
      </c>
      <c r="AU947">
        <f>IF($AQ947=1,IFERROR(IF(VALUE($E947)&lt;100000000,VALUE($E947),1000000000),IFERROR(IF(VALUE(MID($E947,2,20))&lt;100000000,VALUE(MID($E947,2,20)),1000000000),1000000000))+ROW()/100000,"")</f>
        <v/>
      </c>
    </row>
    <row r="948">
      <c r="G948" s="14" t="n"/>
      <c r="Q948" s="7">
        <f>IF($E948="","",P948*Z948/100)</f>
        <v/>
      </c>
      <c r="R948" s="7" t="n"/>
      <c r="Y948" s="7" t="n"/>
      <c r="Z948" s="7" t="n"/>
      <c r="AA948" s="7" t="n"/>
      <c r="AD948">
        <f>IF($E948="","",IF($AT948=1,Settings!$C$8,IF($AS948=1,Settings!$C$6,Settings!$C$7))*100)</f>
        <v/>
      </c>
      <c r="AE948" s="7">
        <f>IF($E948="","",Z948*AD948/100)</f>
        <v/>
      </c>
      <c r="AF948" s="7">
        <f>IF($E948="","",Z948-AE948)</f>
        <v/>
      </c>
      <c r="AG948" s="7">
        <f>IF($E948="","",AF948-Q948)</f>
        <v/>
      </c>
      <c r="AK948" s="7" t="n"/>
      <c r="AN948" s="14" t="n"/>
      <c r="AQ948">
        <f>IF($E948="","",IF(COUNTIF($E$2:$E948,$E948)=1,1,0))</f>
        <v/>
      </c>
      <c r="AR948">
        <f>IF($AQ948=1,SUMPRODUCT(--($AU$2:$AU$1501&lt;$AU948))+1,"")</f>
        <v/>
      </c>
      <c r="AS948">
        <f>IF($E948="","",IF(OR($U948=TRUE(),$U948="TRUE"),1,0))</f>
        <v/>
      </c>
      <c r="AT948">
        <f>IF($E948="","",IF($AC948="Yes",1,0))</f>
        <v/>
      </c>
      <c r="AU948">
        <f>IF($AQ948=1,IFERROR(IF(VALUE($E948)&lt;100000000,VALUE($E948),1000000000),IFERROR(IF(VALUE(MID($E948,2,20))&lt;100000000,VALUE(MID($E948,2,20)),1000000000),1000000000))+ROW()/100000,"")</f>
        <v/>
      </c>
    </row>
    <row r="949">
      <c r="G949" s="14" t="n"/>
      <c r="Q949" s="7">
        <f>IF($E949="","",P949*Z949/100)</f>
        <v/>
      </c>
      <c r="R949" s="7" t="n"/>
      <c r="Y949" s="7" t="n"/>
      <c r="Z949" s="7" t="n"/>
      <c r="AA949" s="7" t="n"/>
      <c r="AD949">
        <f>IF($E949="","",IF($AT949=1,Settings!$C$8,IF($AS949=1,Settings!$C$6,Settings!$C$7))*100)</f>
        <v/>
      </c>
      <c r="AE949" s="7">
        <f>IF($E949="","",Z949*AD949/100)</f>
        <v/>
      </c>
      <c r="AF949" s="7">
        <f>IF($E949="","",Z949-AE949)</f>
        <v/>
      </c>
      <c r="AG949" s="7">
        <f>IF($E949="","",AF949-Q949)</f>
        <v/>
      </c>
      <c r="AK949" s="7" t="n"/>
      <c r="AN949" s="14" t="n"/>
      <c r="AQ949">
        <f>IF($E949="","",IF(COUNTIF($E$2:$E949,$E949)=1,1,0))</f>
        <v/>
      </c>
      <c r="AR949">
        <f>IF($AQ949=1,SUMPRODUCT(--($AU$2:$AU$1501&lt;$AU949))+1,"")</f>
        <v/>
      </c>
      <c r="AS949">
        <f>IF($E949="","",IF(OR($U949=TRUE(),$U949="TRUE"),1,0))</f>
        <v/>
      </c>
      <c r="AT949">
        <f>IF($E949="","",IF($AC949="Yes",1,0))</f>
        <v/>
      </c>
      <c r="AU949">
        <f>IF($AQ949=1,IFERROR(IF(VALUE($E949)&lt;100000000,VALUE($E949),1000000000),IFERROR(IF(VALUE(MID($E949,2,20))&lt;100000000,VALUE(MID($E949,2,20)),1000000000),1000000000))+ROW()/100000,"")</f>
        <v/>
      </c>
    </row>
    <row r="950">
      <c r="G950" s="14" t="n"/>
      <c r="Q950" s="7">
        <f>IF($E950="","",P950*Z950/100)</f>
        <v/>
      </c>
      <c r="R950" s="7" t="n"/>
      <c r="Y950" s="7" t="n"/>
      <c r="Z950" s="7" t="n"/>
      <c r="AA950" s="7" t="n"/>
      <c r="AD950">
        <f>IF($E950="","",IF($AT950=1,Settings!$C$8,IF($AS950=1,Settings!$C$6,Settings!$C$7))*100)</f>
        <v/>
      </c>
      <c r="AE950" s="7">
        <f>IF($E950="","",Z950*AD950/100)</f>
        <v/>
      </c>
      <c r="AF950" s="7">
        <f>IF($E950="","",Z950-AE950)</f>
        <v/>
      </c>
      <c r="AG950" s="7">
        <f>IF($E950="","",AF950-Q950)</f>
        <v/>
      </c>
      <c r="AK950" s="7" t="n"/>
      <c r="AN950" s="14" t="n"/>
      <c r="AQ950">
        <f>IF($E950="","",IF(COUNTIF($E$2:$E950,$E950)=1,1,0))</f>
        <v/>
      </c>
      <c r="AR950">
        <f>IF($AQ950=1,SUMPRODUCT(--($AU$2:$AU$1501&lt;$AU950))+1,"")</f>
        <v/>
      </c>
      <c r="AS950">
        <f>IF($E950="","",IF(OR($U950=TRUE(),$U950="TRUE"),1,0))</f>
        <v/>
      </c>
      <c r="AT950">
        <f>IF($E950="","",IF($AC950="Yes",1,0))</f>
        <v/>
      </c>
      <c r="AU950">
        <f>IF($AQ950=1,IFERROR(IF(VALUE($E950)&lt;100000000,VALUE($E950),1000000000),IFERROR(IF(VALUE(MID($E950,2,20))&lt;100000000,VALUE(MID($E950,2,20)),1000000000),1000000000))+ROW()/100000,"")</f>
        <v/>
      </c>
    </row>
    <row r="951">
      <c r="G951" s="14" t="n"/>
      <c r="Q951" s="7">
        <f>IF($E951="","",P951*Z951/100)</f>
        <v/>
      </c>
      <c r="R951" s="7" t="n"/>
      <c r="Y951" s="7" t="n"/>
      <c r="Z951" s="7" t="n"/>
      <c r="AA951" s="7" t="n"/>
      <c r="AD951">
        <f>IF($E951="","",IF($AT951=1,Settings!$C$8,IF($AS951=1,Settings!$C$6,Settings!$C$7))*100)</f>
        <v/>
      </c>
      <c r="AE951" s="7">
        <f>IF($E951="","",Z951*AD951/100)</f>
        <v/>
      </c>
      <c r="AF951" s="7">
        <f>IF($E951="","",Z951-AE951)</f>
        <v/>
      </c>
      <c r="AG951" s="7">
        <f>IF($E951="","",AF951-Q951)</f>
        <v/>
      </c>
      <c r="AK951" s="7" t="n"/>
      <c r="AN951" s="14" t="n"/>
      <c r="AQ951">
        <f>IF($E951="","",IF(COUNTIF($E$2:$E951,$E951)=1,1,0))</f>
        <v/>
      </c>
      <c r="AR951">
        <f>IF($AQ951=1,SUMPRODUCT(--($AU$2:$AU$1501&lt;$AU951))+1,"")</f>
        <v/>
      </c>
      <c r="AS951">
        <f>IF($E951="","",IF(OR($U951=TRUE(),$U951="TRUE"),1,0))</f>
        <v/>
      </c>
      <c r="AT951">
        <f>IF($E951="","",IF($AC951="Yes",1,0))</f>
        <v/>
      </c>
      <c r="AU951">
        <f>IF($AQ951=1,IFERROR(IF(VALUE($E951)&lt;100000000,VALUE($E951),1000000000),IFERROR(IF(VALUE(MID($E951,2,20))&lt;100000000,VALUE(MID($E951,2,20)),1000000000),1000000000))+ROW()/100000,"")</f>
        <v/>
      </c>
    </row>
    <row r="952">
      <c r="G952" s="14" t="n"/>
      <c r="Q952" s="7">
        <f>IF($E952="","",P952*Z952/100)</f>
        <v/>
      </c>
      <c r="R952" s="7" t="n"/>
      <c r="Y952" s="7" t="n"/>
      <c r="Z952" s="7" t="n"/>
      <c r="AA952" s="7" t="n"/>
      <c r="AD952">
        <f>IF($E952="","",IF($AT952=1,Settings!$C$8,IF($AS952=1,Settings!$C$6,Settings!$C$7))*100)</f>
        <v/>
      </c>
      <c r="AE952" s="7">
        <f>IF($E952="","",Z952*AD952/100)</f>
        <v/>
      </c>
      <c r="AF952" s="7">
        <f>IF($E952="","",Z952-AE952)</f>
        <v/>
      </c>
      <c r="AG952" s="7">
        <f>IF($E952="","",AF952-Q952)</f>
        <v/>
      </c>
      <c r="AK952" s="7" t="n"/>
      <c r="AN952" s="14" t="n"/>
      <c r="AQ952">
        <f>IF($E952="","",IF(COUNTIF($E$2:$E952,$E952)=1,1,0))</f>
        <v/>
      </c>
      <c r="AR952">
        <f>IF($AQ952=1,SUMPRODUCT(--($AU$2:$AU$1501&lt;$AU952))+1,"")</f>
        <v/>
      </c>
      <c r="AS952">
        <f>IF($E952="","",IF(OR($U952=TRUE(),$U952="TRUE"),1,0))</f>
        <v/>
      </c>
      <c r="AT952">
        <f>IF($E952="","",IF($AC952="Yes",1,0))</f>
        <v/>
      </c>
      <c r="AU952">
        <f>IF($AQ952=1,IFERROR(IF(VALUE($E952)&lt;100000000,VALUE($E952),1000000000),IFERROR(IF(VALUE(MID($E952,2,20))&lt;100000000,VALUE(MID($E952,2,20)),1000000000),1000000000))+ROW()/100000,"")</f>
        <v/>
      </c>
    </row>
    <row r="953">
      <c r="G953" s="14" t="n"/>
      <c r="Q953" s="7">
        <f>IF($E953="","",P953*Z953/100)</f>
        <v/>
      </c>
      <c r="R953" s="7" t="n"/>
      <c r="Y953" s="7" t="n"/>
      <c r="Z953" s="7" t="n"/>
      <c r="AA953" s="7" t="n"/>
      <c r="AD953">
        <f>IF($E953="","",IF($AT953=1,Settings!$C$8,IF($AS953=1,Settings!$C$6,Settings!$C$7))*100)</f>
        <v/>
      </c>
      <c r="AE953" s="7">
        <f>IF($E953="","",Z953*AD953/100)</f>
        <v/>
      </c>
      <c r="AF953" s="7">
        <f>IF($E953="","",Z953-AE953)</f>
        <v/>
      </c>
      <c r="AG953" s="7">
        <f>IF($E953="","",AF953-Q953)</f>
        <v/>
      </c>
      <c r="AK953" s="7" t="n"/>
      <c r="AN953" s="14" t="n"/>
      <c r="AQ953">
        <f>IF($E953="","",IF(COUNTIF($E$2:$E953,$E953)=1,1,0))</f>
        <v/>
      </c>
      <c r="AR953">
        <f>IF($AQ953=1,SUMPRODUCT(--($AU$2:$AU$1501&lt;$AU953))+1,"")</f>
        <v/>
      </c>
      <c r="AS953">
        <f>IF($E953="","",IF(OR($U953=TRUE(),$U953="TRUE"),1,0))</f>
        <v/>
      </c>
      <c r="AT953">
        <f>IF($E953="","",IF($AC953="Yes",1,0))</f>
        <v/>
      </c>
      <c r="AU953">
        <f>IF($AQ953=1,IFERROR(IF(VALUE($E953)&lt;100000000,VALUE($E953),1000000000),IFERROR(IF(VALUE(MID($E953,2,20))&lt;100000000,VALUE(MID($E953,2,20)),1000000000),1000000000))+ROW()/100000,"")</f>
        <v/>
      </c>
    </row>
    <row r="954">
      <c r="G954" s="14" t="n"/>
      <c r="Q954" s="7">
        <f>IF($E954="","",P954*Z954/100)</f>
        <v/>
      </c>
      <c r="R954" s="7" t="n"/>
      <c r="Y954" s="7" t="n"/>
      <c r="Z954" s="7" t="n"/>
      <c r="AA954" s="7" t="n"/>
      <c r="AD954">
        <f>IF($E954="","",IF($AT954=1,Settings!$C$8,IF($AS954=1,Settings!$C$6,Settings!$C$7))*100)</f>
        <v/>
      </c>
      <c r="AE954" s="7">
        <f>IF($E954="","",Z954*AD954/100)</f>
        <v/>
      </c>
      <c r="AF954" s="7">
        <f>IF($E954="","",Z954-AE954)</f>
        <v/>
      </c>
      <c r="AG954" s="7">
        <f>IF($E954="","",AF954-Q954)</f>
        <v/>
      </c>
      <c r="AK954" s="7" t="n"/>
      <c r="AN954" s="14" t="n"/>
      <c r="AQ954">
        <f>IF($E954="","",IF(COUNTIF($E$2:$E954,$E954)=1,1,0))</f>
        <v/>
      </c>
      <c r="AR954">
        <f>IF($AQ954=1,SUMPRODUCT(--($AU$2:$AU$1501&lt;$AU954))+1,"")</f>
        <v/>
      </c>
      <c r="AS954">
        <f>IF($E954="","",IF(OR($U954=TRUE(),$U954="TRUE"),1,0))</f>
        <v/>
      </c>
      <c r="AT954">
        <f>IF($E954="","",IF($AC954="Yes",1,0))</f>
        <v/>
      </c>
      <c r="AU954">
        <f>IF($AQ954=1,IFERROR(IF(VALUE($E954)&lt;100000000,VALUE($E954),1000000000),IFERROR(IF(VALUE(MID($E954,2,20))&lt;100000000,VALUE(MID($E954,2,20)),1000000000),1000000000))+ROW()/100000,"")</f>
        <v/>
      </c>
    </row>
    <row r="955">
      <c r="G955" s="14" t="n"/>
      <c r="Q955" s="7">
        <f>IF($E955="","",P955*Z955/100)</f>
        <v/>
      </c>
      <c r="R955" s="7" t="n"/>
      <c r="Y955" s="7" t="n"/>
      <c r="Z955" s="7" t="n"/>
      <c r="AA955" s="7" t="n"/>
      <c r="AD955">
        <f>IF($E955="","",IF($AT955=1,Settings!$C$8,IF($AS955=1,Settings!$C$6,Settings!$C$7))*100)</f>
        <v/>
      </c>
      <c r="AE955" s="7">
        <f>IF($E955="","",Z955*AD955/100)</f>
        <v/>
      </c>
      <c r="AF955" s="7">
        <f>IF($E955="","",Z955-AE955)</f>
        <v/>
      </c>
      <c r="AG955" s="7">
        <f>IF($E955="","",AF955-Q955)</f>
        <v/>
      </c>
      <c r="AK955" s="7" t="n"/>
      <c r="AN955" s="14" t="n"/>
      <c r="AQ955">
        <f>IF($E955="","",IF(COUNTIF($E$2:$E955,$E955)=1,1,0))</f>
        <v/>
      </c>
      <c r="AR955">
        <f>IF($AQ955=1,SUMPRODUCT(--($AU$2:$AU$1501&lt;$AU955))+1,"")</f>
        <v/>
      </c>
      <c r="AS955">
        <f>IF($E955="","",IF(OR($U955=TRUE(),$U955="TRUE"),1,0))</f>
        <v/>
      </c>
      <c r="AT955">
        <f>IF($E955="","",IF($AC955="Yes",1,0))</f>
        <v/>
      </c>
      <c r="AU955">
        <f>IF($AQ955=1,IFERROR(IF(VALUE($E955)&lt;100000000,VALUE($E955),1000000000),IFERROR(IF(VALUE(MID($E955,2,20))&lt;100000000,VALUE(MID($E955,2,20)),1000000000),1000000000))+ROW()/100000,"")</f>
        <v/>
      </c>
    </row>
    <row r="956">
      <c r="G956" s="14" t="n"/>
      <c r="Q956" s="7">
        <f>IF($E956="","",P956*Z956/100)</f>
        <v/>
      </c>
      <c r="R956" s="7" t="n"/>
      <c r="Y956" s="7" t="n"/>
      <c r="Z956" s="7" t="n"/>
      <c r="AA956" s="7" t="n"/>
      <c r="AD956">
        <f>IF($E956="","",IF($AT956=1,Settings!$C$8,IF($AS956=1,Settings!$C$6,Settings!$C$7))*100)</f>
        <v/>
      </c>
      <c r="AE956" s="7">
        <f>IF($E956="","",Z956*AD956/100)</f>
        <v/>
      </c>
      <c r="AF956" s="7">
        <f>IF($E956="","",Z956-AE956)</f>
        <v/>
      </c>
      <c r="AG956" s="7">
        <f>IF($E956="","",AF956-Q956)</f>
        <v/>
      </c>
      <c r="AK956" s="7" t="n"/>
      <c r="AN956" s="14" t="n"/>
      <c r="AQ956">
        <f>IF($E956="","",IF(COUNTIF($E$2:$E956,$E956)=1,1,0))</f>
        <v/>
      </c>
      <c r="AR956">
        <f>IF($AQ956=1,SUMPRODUCT(--($AU$2:$AU$1501&lt;$AU956))+1,"")</f>
        <v/>
      </c>
      <c r="AS956">
        <f>IF($E956="","",IF(OR($U956=TRUE(),$U956="TRUE"),1,0))</f>
        <v/>
      </c>
      <c r="AT956">
        <f>IF($E956="","",IF($AC956="Yes",1,0))</f>
        <v/>
      </c>
      <c r="AU956">
        <f>IF($AQ956=1,IFERROR(IF(VALUE($E956)&lt;100000000,VALUE($E956),1000000000),IFERROR(IF(VALUE(MID($E956,2,20))&lt;100000000,VALUE(MID($E956,2,20)),1000000000),1000000000))+ROW()/100000,"")</f>
        <v/>
      </c>
    </row>
    <row r="957">
      <c r="G957" s="14" t="n"/>
      <c r="Q957" s="7">
        <f>IF($E957="","",P957*Z957/100)</f>
        <v/>
      </c>
      <c r="R957" s="7" t="n"/>
      <c r="Y957" s="7" t="n"/>
      <c r="Z957" s="7" t="n"/>
      <c r="AA957" s="7" t="n"/>
      <c r="AD957">
        <f>IF($E957="","",IF($AT957=1,Settings!$C$8,IF($AS957=1,Settings!$C$6,Settings!$C$7))*100)</f>
        <v/>
      </c>
      <c r="AE957" s="7">
        <f>IF($E957="","",Z957*AD957/100)</f>
        <v/>
      </c>
      <c r="AF957" s="7">
        <f>IF($E957="","",Z957-AE957)</f>
        <v/>
      </c>
      <c r="AG957" s="7">
        <f>IF($E957="","",AF957-Q957)</f>
        <v/>
      </c>
      <c r="AK957" s="7" t="n"/>
      <c r="AN957" s="14" t="n"/>
      <c r="AQ957">
        <f>IF($E957="","",IF(COUNTIF($E$2:$E957,$E957)=1,1,0))</f>
        <v/>
      </c>
      <c r="AR957">
        <f>IF($AQ957=1,SUMPRODUCT(--($AU$2:$AU$1501&lt;$AU957))+1,"")</f>
        <v/>
      </c>
      <c r="AS957">
        <f>IF($E957="","",IF(OR($U957=TRUE(),$U957="TRUE"),1,0))</f>
        <v/>
      </c>
      <c r="AT957">
        <f>IF($E957="","",IF($AC957="Yes",1,0))</f>
        <v/>
      </c>
      <c r="AU957">
        <f>IF($AQ957=1,IFERROR(IF(VALUE($E957)&lt;100000000,VALUE($E957),1000000000),IFERROR(IF(VALUE(MID($E957,2,20))&lt;100000000,VALUE(MID($E957,2,20)),1000000000),1000000000))+ROW()/100000,"")</f>
        <v/>
      </c>
    </row>
    <row r="958">
      <c r="G958" s="14" t="n"/>
      <c r="Q958" s="7">
        <f>IF($E958="","",P958*Z958/100)</f>
        <v/>
      </c>
      <c r="R958" s="7" t="n"/>
      <c r="Y958" s="7" t="n"/>
      <c r="Z958" s="7" t="n"/>
      <c r="AA958" s="7" t="n"/>
      <c r="AD958">
        <f>IF($E958="","",IF($AT958=1,Settings!$C$8,IF($AS958=1,Settings!$C$6,Settings!$C$7))*100)</f>
        <v/>
      </c>
      <c r="AE958" s="7">
        <f>IF($E958="","",Z958*AD958/100)</f>
        <v/>
      </c>
      <c r="AF958" s="7">
        <f>IF($E958="","",Z958-AE958)</f>
        <v/>
      </c>
      <c r="AG958" s="7">
        <f>IF($E958="","",AF958-Q958)</f>
        <v/>
      </c>
      <c r="AK958" s="7" t="n"/>
      <c r="AN958" s="14" t="n"/>
      <c r="AQ958">
        <f>IF($E958="","",IF(COUNTIF($E$2:$E958,$E958)=1,1,0))</f>
        <v/>
      </c>
      <c r="AR958">
        <f>IF($AQ958=1,SUMPRODUCT(--($AU$2:$AU$1501&lt;$AU958))+1,"")</f>
        <v/>
      </c>
      <c r="AS958">
        <f>IF($E958="","",IF(OR($U958=TRUE(),$U958="TRUE"),1,0))</f>
        <v/>
      </c>
      <c r="AT958">
        <f>IF($E958="","",IF($AC958="Yes",1,0))</f>
        <v/>
      </c>
      <c r="AU958">
        <f>IF($AQ958=1,IFERROR(IF(VALUE($E958)&lt;100000000,VALUE($E958),1000000000),IFERROR(IF(VALUE(MID($E958,2,20))&lt;100000000,VALUE(MID($E958,2,20)),1000000000),1000000000))+ROW()/100000,"")</f>
        <v/>
      </c>
    </row>
    <row r="959">
      <c r="G959" s="14" t="n"/>
      <c r="Q959" s="7">
        <f>IF($E959="","",P959*Z959/100)</f>
        <v/>
      </c>
      <c r="R959" s="7" t="n"/>
      <c r="Y959" s="7" t="n"/>
      <c r="Z959" s="7" t="n"/>
      <c r="AA959" s="7" t="n"/>
      <c r="AD959">
        <f>IF($E959="","",IF($AT959=1,Settings!$C$8,IF($AS959=1,Settings!$C$6,Settings!$C$7))*100)</f>
        <v/>
      </c>
      <c r="AE959" s="7">
        <f>IF($E959="","",Z959*AD959/100)</f>
        <v/>
      </c>
      <c r="AF959" s="7">
        <f>IF($E959="","",Z959-AE959)</f>
        <v/>
      </c>
      <c r="AG959" s="7">
        <f>IF($E959="","",AF959-Q959)</f>
        <v/>
      </c>
      <c r="AK959" s="7" t="n"/>
      <c r="AN959" s="14" t="n"/>
      <c r="AQ959">
        <f>IF($E959="","",IF(COUNTIF($E$2:$E959,$E959)=1,1,0))</f>
        <v/>
      </c>
      <c r="AR959">
        <f>IF($AQ959=1,SUMPRODUCT(--($AU$2:$AU$1501&lt;$AU959))+1,"")</f>
        <v/>
      </c>
      <c r="AS959">
        <f>IF($E959="","",IF(OR($U959=TRUE(),$U959="TRUE"),1,0))</f>
        <v/>
      </c>
      <c r="AT959">
        <f>IF($E959="","",IF($AC959="Yes",1,0))</f>
        <v/>
      </c>
      <c r="AU959">
        <f>IF($AQ959=1,IFERROR(IF(VALUE($E959)&lt;100000000,VALUE($E959),1000000000),IFERROR(IF(VALUE(MID($E959,2,20))&lt;100000000,VALUE(MID($E959,2,20)),1000000000),1000000000))+ROW()/100000,"")</f>
        <v/>
      </c>
    </row>
    <row r="960">
      <c r="G960" s="14" t="n"/>
      <c r="Q960" s="7">
        <f>IF($E960="","",P960*Z960/100)</f>
        <v/>
      </c>
      <c r="R960" s="7" t="n"/>
      <c r="Y960" s="7" t="n"/>
      <c r="Z960" s="7" t="n"/>
      <c r="AA960" s="7" t="n"/>
      <c r="AD960">
        <f>IF($E960="","",IF($AT960=1,Settings!$C$8,IF($AS960=1,Settings!$C$6,Settings!$C$7))*100)</f>
        <v/>
      </c>
      <c r="AE960" s="7">
        <f>IF($E960="","",Z960*AD960/100)</f>
        <v/>
      </c>
      <c r="AF960" s="7">
        <f>IF($E960="","",Z960-AE960)</f>
        <v/>
      </c>
      <c r="AG960" s="7">
        <f>IF($E960="","",AF960-Q960)</f>
        <v/>
      </c>
      <c r="AK960" s="7" t="n"/>
      <c r="AN960" s="14" t="n"/>
      <c r="AQ960">
        <f>IF($E960="","",IF(COUNTIF($E$2:$E960,$E960)=1,1,0))</f>
        <v/>
      </c>
      <c r="AR960">
        <f>IF($AQ960=1,SUMPRODUCT(--($AU$2:$AU$1501&lt;$AU960))+1,"")</f>
        <v/>
      </c>
      <c r="AS960">
        <f>IF($E960="","",IF(OR($U960=TRUE(),$U960="TRUE"),1,0))</f>
        <v/>
      </c>
      <c r="AT960">
        <f>IF($E960="","",IF($AC960="Yes",1,0))</f>
        <v/>
      </c>
      <c r="AU960">
        <f>IF($AQ960=1,IFERROR(IF(VALUE($E960)&lt;100000000,VALUE($E960),1000000000),IFERROR(IF(VALUE(MID($E960,2,20))&lt;100000000,VALUE(MID($E960,2,20)),1000000000),1000000000))+ROW()/100000,"")</f>
        <v/>
      </c>
    </row>
    <row r="961">
      <c r="G961" s="14" t="n"/>
      <c r="Q961" s="7">
        <f>IF($E961="","",P961*Z961/100)</f>
        <v/>
      </c>
      <c r="R961" s="7" t="n"/>
      <c r="Y961" s="7" t="n"/>
      <c r="Z961" s="7" t="n"/>
      <c r="AA961" s="7" t="n"/>
      <c r="AD961">
        <f>IF($E961="","",IF($AT961=1,Settings!$C$8,IF($AS961=1,Settings!$C$6,Settings!$C$7))*100)</f>
        <v/>
      </c>
      <c r="AE961" s="7">
        <f>IF($E961="","",Z961*AD961/100)</f>
        <v/>
      </c>
      <c r="AF961" s="7">
        <f>IF($E961="","",Z961-AE961)</f>
        <v/>
      </c>
      <c r="AG961" s="7">
        <f>IF($E961="","",AF961-Q961)</f>
        <v/>
      </c>
      <c r="AK961" s="7" t="n"/>
      <c r="AN961" s="14" t="n"/>
      <c r="AQ961">
        <f>IF($E961="","",IF(COUNTIF($E$2:$E961,$E961)=1,1,0))</f>
        <v/>
      </c>
      <c r="AR961">
        <f>IF($AQ961=1,SUMPRODUCT(--($AU$2:$AU$1501&lt;$AU961))+1,"")</f>
        <v/>
      </c>
      <c r="AS961">
        <f>IF($E961="","",IF(OR($U961=TRUE(),$U961="TRUE"),1,0))</f>
        <v/>
      </c>
      <c r="AT961">
        <f>IF($E961="","",IF($AC961="Yes",1,0))</f>
        <v/>
      </c>
      <c r="AU961">
        <f>IF($AQ961=1,IFERROR(IF(VALUE($E961)&lt;100000000,VALUE($E961),1000000000),IFERROR(IF(VALUE(MID($E961,2,20))&lt;100000000,VALUE(MID($E961,2,20)),1000000000),1000000000))+ROW()/100000,"")</f>
        <v/>
      </c>
    </row>
    <row r="962">
      <c r="G962" s="14" t="n"/>
      <c r="Q962" s="7">
        <f>IF($E962="","",P962*Z962/100)</f>
        <v/>
      </c>
      <c r="R962" s="7" t="n"/>
      <c r="Y962" s="7" t="n"/>
      <c r="Z962" s="7" t="n"/>
      <c r="AA962" s="7" t="n"/>
      <c r="AD962">
        <f>IF($E962="","",IF($AT962=1,Settings!$C$8,IF($AS962=1,Settings!$C$6,Settings!$C$7))*100)</f>
        <v/>
      </c>
      <c r="AE962" s="7">
        <f>IF($E962="","",Z962*AD962/100)</f>
        <v/>
      </c>
      <c r="AF962" s="7">
        <f>IF($E962="","",Z962-AE962)</f>
        <v/>
      </c>
      <c r="AG962" s="7">
        <f>IF($E962="","",AF962-Q962)</f>
        <v/>
      </c>
      <c r="AK962" s="7" t="n"/>
      <c r="AN962" s="14" t="n"/>
      <c r="AQ962">
        <f>IF($E962="","",IF(COUNTIF($E$2:$E962,$E962)=1,1,0))</f>
        <v/>
      </c>
      <c r="AR962">
        <f>IF($AQ962=1,SUMPRODUCT(--($AU$2:$AU$1501&lt;$AU962))+1,"")</f>
        <v/>
      </c>
      <c r="AS962">
        <f>IF($E962="","",IF(OR($U962=TRUE(),$U962="TRUE"),1,0))</f>
        <v/>
      </c>
      <c r="AT962">
        <f>IF($E962="","",IF($AC962="Yes",1,0))</f>
        <v/>
      </c>
      <c r="AU962">
        <f>IF($AQ962=1,IFERROR(IF(VALUE($E962)&lt;100000000,VALUE($E962),1000000000),IFERROR(IF(VALUE(MID($E962,2,20))&lt;100000000,VALUE(MID($E962,2,20)),1000000000),1000000000))+ROW()/100000,"")</f>
        <v/>
      </c>
    </row>
    <row r="963">
      <c r="G963" s="14" t="n"/>
      <c r="Q963" s="7">
        <f>IF($E963="","",P963*Z963/100)</f>
        <v/>
      </c>
      <c r="R963" s="7" t="n"/>
      <c r="Y963" s="7" t="n"/>
      <c r="Z963" s="7" t="n"/>
      <c r="AA963" s="7" t="n"/>
      <c r="AD963">
        <f>IF($E963="","",IF($AT963=1,Settings!$C$8,IF($AS963=1,Settings!$C$6,Settings!$C$7))*100)</f>
        <v/>
      </c>
      <c r="AE963" s="7">
        <f>IF($E963="","",Z963*AD963/100)</f>
        <v/>
      </c>
      <c r="AF963" s="7">
        <f>IF($E963="","",Z963-AE963)</f>
        <v/>
      </c>
      <c r="AG963" s="7">
        <f>IF($E963="","",AF963-Q963)</f>
        <v/>
      </c>
      <c r="AK963" s="7" t="n"/>
      <c r="AN963" s="14" t="n"/>
      <c r="AQ963">
        <f>IF($E963="","",IF(COUNTIF($E$2:$E963,$E963)=1,1,0))</f>
        <v/>
      </c>
      <c r="AR963">
        <f>IF($AQ963=1,SUMPRODUCT(--($AU$2:$AU$1501&lt;$AU963))+1,"")</f>
        <v/>
      </c>
      <c r="AS963">
        <f>IF($E963="","",IF(OR($U963=TRUE(),$U963="TRUE"),1,0))</f>
        <v/>
      </c>
      <c r="AT963">
        <f>IF($E963="","",IF($AC963="Yes",1,0))</f>
        <v/>
      </c>
      <c r="AU963">
        <f>IF($AQ963=1,IFERROR(IF(VALUE($E963)&lt;100000000,VALUE($E963),1000000000),IFERROR(IF(VALUE(MID($E963,2,20))&lt;100000000,VALUE(MID($E963,2,20)),1000000000),1000000000))+ROW()/100000,"")</f>
        <v/>
      </c>
    </row>
    <row r="964">
      <c r="G964" s="14" t="n"/>
      <c r="Q964" s="7">
        <f>IF($E964="","",P964*Z964/100)</f>
        <v/>
      </c>
      <c r="R964" s="7" t="n"/>
      <c r="Y964" s="7" t="n"/>
      <c r="Z964" s="7" t="n"/>
      <c r="AA964" s="7" t="n"/>
      <c r="AD964">
        <f>IF($E964="","",IF($AT964=1,Settings!$C$8,IF($AS964=1,Settings!$C$6,Settings!$C$7))*100)</f>
        <v/>
      </c>
      <c r="AE964" s="7">
        <f>IF($E964="","",Z964*AD964/100)</f>
        <v/>
      </c>
      <c r="AF964" s="7">
        <f>IF($E964="","",Z964-AE964)</f>
        <v/>
      </c>
      <c r="AG964" s="7">
        <f>IF($E964="","",AF964-Q964)</f>
        <v/>
      </c>
      <c r="AK964" s="7" t="n"/>
      <c r="AN964" s="14" t="n"/>
      <c r="AQ964">
        <f>IF($E964="","",IF(COUNTIF($E$2:$E964,$E964)=1,1,0))</f>
        <v/>
      </c>
      <c r="AR964">
        <f>IF($AQ964=1,SUMPRODUCT(--($AU$2:$AU$1501&lt;$AU964))+1,"")</f>
        <v/>
      </c>
      <c r="AS964">
        <f>IF($E964="","",IF(OR($U964=TRUE(),$U964="TRUE"),1,0))</f>
        <v/>
      </c>
      <c r="AT964">
        <f>IF($E964="","",IF($AC964="Yes",1,0))</f>
        <v/>
      </c>
      <c r="AU964">
        <f>IF($AQ964=1,IFERROR(IF(VALUE($E964)&lt;100000000,VALUE($E964),1000000000),IFERROR(IF(VALUE(MID($E964,2,20))&lt;100000000,VALUE(MID($E964,2,20)),1000000000),1000000000))+ROW()/100000,"")</f>
        <v/>
      </c>
    </row>
    <row r="965">
      <c r="G965" s="14" t="n"/>
      <c r="Q965" s="7">
        <f>IF($E965="","",P965*Z965/100)</f>
        <v/>
      </c>
      <c r="R965" s="7" t="n"/>
      <c r="Y965" s="7" t="n"/>
      <c r="Z965" s="7" t="n"/>
      <c r="AA965" s="7" t="n"/>
      <c r="AD965">
        <f>IF($E965="","",IF($AT965=1,Settings!$C$8,IF($AS965=1,Settings!$C$6,Settings!$C$7))*100)</f>
        <v/>
      </c>
      <c r="AE965" s="7">
        <f>IF($E965="","",Z965*AD965/100)</f>
        <v/>
      </c>
      <c r="AF965" s="7">
        <f>IF($E965="","",Z965-AE965)</f>
        <v/>
      </c>
      <c r="AG965" s="7">
        <f>IF($E965="","",AF965-Q965)</f>
        <v/>
      </c>
      <c r="AK965" s="7" t="n"/>
      <c r="AN965" s="14" t="n"/>
      <c r="AQ965">
        <f>IF($E965="","",IF(COUNTIF($E$2:$E965,$E965)=1,1,0))</f>
        <v/>
      </c>
      <c r="AR965">
        <f>IF($AQ965=1,SUMPRODUCT(--($AU$2:$AU$1501&lt;$AU965))+1,"")</f>
        <v/>
      </c>
      <c r="AS965">
        <f>IF($E965="","",IF(OR($U965=TRUE(),$U965="TRUE"),1,0))</f>
        <v/>
      </c>
      <c r="AT965">
        <f>IF($E965="","",IF($AC965="Yes",1,0))</f>
        <v/>
      </c>
      <c r="AU965">
        <f>IF($AQ965=1,IFERROR(IF(VALUE($E965)&lt;100000000,VALUE($E965),1000000000),IFERROR(IF(VALUE(MID($E965,2,20))&lt;100000000,VALUE(MID($E965,2,20)),1000000000),1000000000))+ROW()/100000,"")</f>
        <v/>
      </c>
    </row>
    <row r="966">
      <c r="G966" s="14" t="n"/>
      <c r="Q966" s="7">
        <f>IF($E966="","",P966*Z966/100)</f>
        <v/>
      </c>
      <c r="R966" s="7" t="n"/>
      <c r="Y966" s="7" t="n"/>
      <c r="Z966" s="7" t="n"/>
      <c r="AA966" s="7" t="n"/>
      <c r="AD966">
        <f>IF($E966="","",IF($AT966=1,Settings!$C$8,IF($AS966=1,Settings!$C$6,Settings!$C$7))*100)</f>
        <v/>
      </c>
      <c r="AE966" s="7">
        <f>IF($E966="","",Z966*AD966/100)</f>
        <v/>
      </c>
      <c r="AF966" s="7">
        <f>IF($E966="","",Z966-AE966)</f>
        <v/>
      </c>
      <c r="AG966" s="7">
        <f>IF($E966="","",AF966-Q966)</f>
        <v/>
      </c>
      <c r="AK966" s="7" t="n"/>
      <c r="AN966" s="14" t="n"/>
      <c r="AQ966">
        <f>IF($E966="","",IF(COUNTIF($E$2:$E966,$E966)=1,1,0))</f>
        <v/>
      </c>
      <c r="AR966">
        <f>IF($AQ966=1,SUMPRODUCT(--($AU$2:$AU$1501&lt;$AU966))+1,"")</f>
        <v/>
      </c>
      <c r="AS966">
        <f>IF($E966="","",IF(OR($U966=TRUE(),$U966="TRUE"),1,0))</f>
        <v/>
      </c>
      <c r="AT966">
        <f>IF($E966="","",IF($AC966="Yes",1,0))</f>
        <v/>
      </c>
      <c r="AU966">
        <f>IF($AQ966=1,IFERROR(IF(VALUE($E966)&lt;100000000,VALUE($E966),1000000000),IFERROR(IF(VALUE(MID($E966,2,20))&lt;100000000,VALUE(MID($E966,2,20)),1000000000),1000000000))+ROW()/100000,"")</f>
        <v/>
      </c>
    </row>
    <row r="967">
      <c r="G967" s="14" t="n"/>
      <c r="Q967" s="7">
        <f>IF($E967="","",P967*Z967/100)</f>
        <v/>
      </c>
      <c r="R967" s="7" t="n"/>
      <c r="Y967" s="7" t="n"/>
      <c r="Z967" s="7" t="n"/>
      <c r="AA967" s="7" t="n"/>
      <c r="AD967">
        <f>IF($E967="","",IF($AT967=1,Settings!$C$8,IF($AS967=1,Settings!$C$6,Settings!$C$7))*100)</f>
        <v/>
      </c>
      <c r="AE967" s="7">
        <f>IF($E967="","",Z967*AD967/100)</f>
        <v/>
      </c>
      <c r="AF967" s="7">
        <f>IF($E967="","",Z967-AE967)</f>
        <v/>
      </c>
      <c r="AG967" s="7">
        <f>IF($E967="","",AF967-Q967)</f>
        <v/>
      </c>
      <c r="AK967" s="7" t="n"/>
      <c r="AN967" s="14" t="n"/>
      <c r="AQ967">
        <f>IF($E967="","",IF(COUNTIF($E$2:$E967,$E967)=1,1,0))</f>
        <v/>
      </c>
      <c r="AR967">
        <f>IF($AQ967=1,SUMPRODUCT(--($AU$2:$AU$1501&lt;$AU967))+1,"")</f>
        <v/>
      </c>
      <c r="AS967">
        <f>IF($E967="","",IF(OR($U967=TRUE(),$U967="TRUE"),1,0))</f>
        <v/>
      </c>
      <c r="AT967">
        <f>IF($E967="","",IF($AC967="Yes",1,0))</f>
        <v/>
      </c>
      <c r="AU967">
        <f>IF($AQ967=1,IFERROR(IF(VALUE($E967)&lt;100000000,VALUE($E967),1000000000),IFERROR(IF(VALUE(MID($E967,2,20))&lt;100000000,VALUE(MID($E967,2,20)),1000000000),1000000000))+ROW()/100000,"")</f>
        <v/>
      </c>
    </row>
    <row r="968">
      <c r="G968" s="14" t="n"/>
      <c r="Q968" s="7">
        <f>IF($E968="","",P968*Z968/100)</f>
        <v/>
      </c>
      <c r="R968" s="7" t="n"/>
      <c r="Y968" s="7" t="n"/>
      <c r="Z968" s="7" t="n"/>
      <c r="AA968" s="7" t="n"/>
      <c r="AD968">
        <f>IF($E968="","",IF($AT968=1,Settings!$C$8,IF($AS968=1,Settings!$C$6,Settings!$C$7))*100)</f>
        <v/>
      </c>
      <c r="AE968" s="7">
        <f>IF($E968="","",Z968*AD968/100)</f>
        <v/>
      </c>
      <c r="AF968" s="7">
        <f>IF($E968="","",Z968-AE968)</f>
        <v/>
      </c>
      <c r="AG968" s="7">
        <f>IF($E968="","",AF968-Q968)</f>
        <v/>
      </c>
      <c r="AK968" s="7" t="n"/>
      <c r="AN968" s="14" t="n"/>
      <c r="AQ968">
        <f>IF($E968="","",IF(COUNTIF($E$2:$E968,$E968)=1,1,0))</f>
        <v/>
      </c>
      <c r="AR968">
        <f>IF($AQ968=1,SUMPRODUCT(--($AU$2:$AU$1501&lt;$AU968))+1,"")</f>
        <v/>
      </c>
      <c r="AS968">
        <f>IF($E968="","",IF(OR($U968=TRUE(),$U968="TRUE"),1,0))</f>
        <v/>
      </c>
      <c r="AT968">
        <f>IF($E968="","",IF($AC968="Yes",1,0))</f>
        <v/>
      </c>
      <c r="AU968">
        <f>IF($AQ968=1,IFERROR(IF(VALUE($E968)&lt;100000000,VALUE($E968),1000000000),IFERROR(IF(VALUE(MID($E968,2,20))&lt;100000000,VALUE(MID($E968,2,20)),1000000000),1000000000))+ROW()/100000,"")</f>
        <v/>
      </c>
    </row>
    <row r="969">
      <c r="G969" s="14" t="n"/>
      <c r="Q969" s="7">
        <f>IF($E969="","",P969*Z969/100)</f>
        <v/>
      </c>
      <c r="R969" s="7" t="n"/>
      <c r="Y969" s="7" t="n"/>
      <c r="Z969" s="7" t="n"/>
      <c r="AA969" s="7" t="n"/>
      <c r="AD969">
        <f>IF($E969="","",IF($AT969=1,Settings!$C$8,IF($AS969=1,Settings!$C$6,Settings!$C$7))*100)</f>
        <v/>
      </c>
      <c r="AE969" s="7">
        <f>IF($E969="","",Z969*AD969/100)</f>
        <v/>
      </c>
      <c r="AF969" s="7">
        <f>IF($E969="","",Z969-AE969)</f>
        <v/>
      </c>
      <c r="AG969" s="7">
        <f>IF($E969="","",AF969-Q969)</f>
        <v/>
      </c>
      <c r="AK969" s="7" t="n"/>
      <c r="AN969" s="14" t="n"/>
      <c r="AQ969">
        <f>IF($E969="","",IF(COUNTIF($E$2:$E969,$E969)=1,1,0))</f>
        <v/>
      </c>
      <c r="AR969">
        <f>IF($AQ969=1,SUMPRODUCT(--($AU$2:$AU$1501&lt;$AU969))+1,"")</f>
        <v/>
      </c>
      <c r="AS969">
        <f>IF($E969="","",IF(OR($U969=TRUE(),$U969="TRUE"),1,0))</f>
        <v/>
      </c>
      <c r="AT969">
        <f>IF($E969="","",IF($AC969="Yes",1,0))</f>
        <v/>
      </c>
      <c r="AU969">
        <f>IF($AQ969=1,IFERROR(IF(VALUE($E969)&lt;100000000,VALUE($E969),1000000000),IFERROR(IF(VALUE(MID($E969,2,20))&lt;100000000,VALUE(MID($E969,2,20)),1000000000),1000000000))+ROW()/100000,"")</f>
        <v/>
      </c>
    </row>
    <row r="970">
      <c r="G970" s="14" t="n"/>
      <c r="Q970" s="7">
        <f>IF($E970="","",P970*Z970/100)</f>
        <v/>
      </c>
      <c r="R970" s="7" t="n"/>
      <c r="Y970" s="7" t="n"/>
      <c r="Z970" s="7" t="n"/>
      <c r="AA970" s="7" t="n"/>
      <c r="AD970">
        <f>IF($E970="","",IF($AT970=1,Settings!$C$8,IF($AS970=1,Settings!$C$6,Settings!$C$7))*100)</f>
        <v/>
      </c>
      <c r="AE970" s="7">
        <f>IF($E970="","",Z970*AD970/100)</f>
        <v/>
      </c>
      <c r="AF970" s="7">
        <f>IF($E970="","",Z970-AE970)</f>
        <v/>
      </c>
      <c r="AG970" s="7">
        <f>IF($E970="","",AF970-Q970)</f>
        <v/>
      </c>
      <c r="AK970" s="7" t="n"/>
      <c r="AN970" s="14" t="n"/>
      <c r="AQ970">
        <f>IF($E970="","",IF(COUNTIF($E$2:$E970,$E970)=1,1,0))</f>
        <v/>
      </c>
      <c r="AR970">
        <f>IF($AQ970=1,SUMPRODUCT(--($AU$2:$AU$1501&lt;$AU970))+1,"")</f>
        <v/>
      </c>
      <c r="AS970">
        <f>IF($E970="","",IF(OR($U970=TRUE(),$U970="TRUE"),1,0))</f>
        <v/>
      </c>
      <c r="AT970">
        <f>IF($E970="","",IF($AC970="Yes",1,0))</f>
        <v/>
      </c>
      <c r="AU970">
        <f>IF($AQ970=1,IFERROR(IF(VALUE($E970)&lt;100000000,VALUE($E970),1000000000),IFERROR(IF(VALUE(MID($E970,2,20))&lt;100000000,VALUE(MID($E970,2,20)),1000000000),1000000000))+ROW()/100000,"")</f>
        <v/>
      </c>
    </row>
    <row r="971">
      <c r="G971" s="14" t="n"/>
      <c r="Q971" s="7">
        <f>IF($E971="","",P971*Z971/100)</f>
        <v/>
      </c>
      <c r="R971" s="7" t="n"/>
      <c r="Y971" s="7" t="n"/>
      <c r="Z971" s="7" t="n"/>
      <c r="AA971" s="7" t="n"/>
      <c r="AD971">
        <f>IF($E971="","",IF($AT971=1,Settings!$C$8,IF($AS971=1,Settings!$C$6,Settings!$C$7))*100)</f>
        <v/>
      </c>
      <c r="AE971" s="7">
        <f>IF($E971="","",Z971*AD971/100)</f>
        <v/>
      </c>
      <c r="AF971" s="7">
        <f>IF($E971="","",Z971-AE971)</f>
        <v/>
      </c>
      <c r="AG971" s="7">
        <f>IF($E971="","",AF971-Q971)</f>
        <v/>
      </c>
      <c r="AK971" s="7" t="n"/>
      <c r="AN971" s="14" t="n"/>
      <c r="AQ971">
        <f>IF($E971="","",IF(COUNTIF($E$2:$E971,$E971)=1,1,0))</f>
        <v/>
      </c>
      <c r="AR971">
        <f>IF($AQ971=1,SUMPRODUCT(--($AU$2:$AU$1501&lt;$AU971))+1,"")</f>
        <v/>
      </c>
      <c r="AS971">
        <f>IF($E971="","",IF(OR($U971=TRUE(),$U971="TRUE"),1,0))</f>
        <v/>
      </c>
      <c r="AT971">
        <f>IF($E971="","",IF($AC971="Yes",1,0))</f>
        <v/>
      </c>
      <c r="AU971">
        <f>IF($AQ971=1,IFERROR(IF(VALUE($E971)&lt;100000000,VALUE($E971),1000000000),IFERROR(IF(VALUE(MID($E971,2,20))&lt;100000000,VALUE(MID($E971,2,20)),1000000000),1000000000))+ROW()/100000,"")</f>
        <v/>
      </c>
    </row>
    <row r="972">
      <c r="G972" s="14" t="n"/>
      <c r="Q972" s="7">
        <f>IF($E972="","",P972*Z972/100)</f>
        <v/>
      </c>
      <c r="R972" s="7" t="n"/>
      <c r="Y972" s="7" t="n"/>
      <c r="Z972" s="7" t="n"/>
      <c r="AA972" s="7" t="n"/>
      <c r="AD972">
        <f>IF($E972="","",IF($AT972=1,Settings!$C$8,IF($AS972=1,Settings!$C$6,Settings!$C$7))*100)</f>
        <v/>
      </c>
      <c r="AE972" s="7">
        <f>IF($E972="","",Z972*AD972/100)</f>
        <v/>
      </c>
      <c r="AF972" s="7">
        <f>IF($E972="","",Z972-AE972)</f>
        <v/>
      </c>
      <c r="AG972" s="7">
        <f>IF($E972="","",AF972-Q972)</f>
        <v/>
      </c>
      <c r="AK972" s="7" t="n"/>
      <c r="AN972" s="14" t="n"/>
      <c r="AQ972">
        <f>IF($E972="","",IF(COUNTIF($E$2:$E972,$E972)=1,1,0))</f>
        <v/>
      </c>
      <c r="AR972">
        <f>IF($AQ972=1,SUMPRODUCT(--($AU$2:$AU$1501&lt;$AU972))+1,"")</f>
        <v/>
      </c>
      <c r="AS972">
        <f>IF($E972="","",IF(OR($U972=TRUE(),$U972="TRUE"),1,0))</f>
        <v/>
      </c>
      <c r="AT972">
        <f>IF($E972="","",IF($AC972="Yes",1,0))</f>
        <v/>
      </c>
      <c r="AU972">
        <f>IF($AQ972=1,IFERROR(IF(VALUE($E972)&lt;100000000,VALUE($E972),1000000000),IFERROR(IF(VALUE(MID($E972,2,20))&lt;100000000,VALUE(MID($E972,2,20)),1000000000),1000000000))+ROW()/100000,"")</f>
        <v/>
      </c>
    </row>
    <row r="973">
      <c r="G973" s="14" t="n"/>
      <c r="Q973" s="7">
        <f>IF($E973="","",P973*Z973/100)</f>
        <v/>
      </c>
      <c r="R973" s="7" t="n"/>
      <c r="Y973" s="7" t="n"/>
      <c r="Z973" s="7" t="n"/>
      <c r="AA973" s="7" t="n"/>
      <c r="AD973">
        <f>IF($E973="","",IF($AT973=1,Settings!$C$8,IF($AS973=1,Settings!$C$6,Settings!$C$7))*100)</f>
        <v/>
      </c>
      <c r="AE973" s="7">
        <f>IF($E973="","",Z973*AD973/100)</f>
        <v/>
      </c>
      <c r="AF973" s="7">
        <f>IF($E973="","",Z973-AE973)</f>
        <v/>
      </c>
      <c r="AG973" s="7">
        <f>IF($E973="","",AF973-Q973)</f>
        <v/>
      </c>
      <c r="AK973" s="7" t="n"/>
      <c r="AN973" s="14" t="n"/>
      <c r="AQ973">
        <f>IF($E973="","",IF(COUNTIF($E$2:$E973,$E973)=1,1,0))</f>
        <v/>
      </c>
      <c r="AR973">
        <f>IF($AQ973=1,SUMPRODUCT(--($AU$2:$AU$1501&lt;$AU973))+1,"")</f>
        <v/>
      </c>
      <c r="AS973">
        <f>IF($E973="","",IF(OR($U973=TRUE(),$U973="TRUE"),1,0))</f>
        <v/>
      </c>
      <c r="AT973">
        <f>IF($E973="","",IF($AC973="Yes",1,0))</f>
        <v/>
      </c>
      <c r="AU973">
        <f>IF($AQ973=1,IFERROR(IF(VALUE($E973)&lt;100000000,VALUE($E973),1000000000),IFERROR(IF(VALUE(MID($E973,2,20))&lt;100000000,VALUE(MID($E973,2,20)),1000000000),1000000000))+ROW()/100000,"")</f>
        <v/>
      </c>
    </row>
    <row r="974">
      <c r="G974" s="14" t="n"/>
      <c r="Q974" s="7">
        <f>IF($E974="","",P974*Z974/100)</f>
        <v/>
      </c>
      <c r="R974" s="7" t="n"/>
      <c r="Y974" s="7" t="n"/>
      <c r="Z974" s="7" t="n"/>
      <c r="AA974" s="7" t="n"/>
      <c r="AD974">
        <f>IF($E974="","",IF($AT974=1,Settings!$C$8,IF($AS974=1,Settings!$C$6,Settings!$C$7))*100)</f>
        <v/>
      </c>
      <c r="AE974" s="7">
        <f>IF($E974="","",Z974*AD974/100)</f>
        <v/>
      </c>
      <c r="AF974" s="7">
        <f>IF($E974="","",Z974-AE974)</f>
        <v/>
      </c>
      <c r="AG974" s="7">
        <f>IF($E974="","",AF974-Q974)</f>
        <v/>
      </c>
      <c r="AK974" s="7" t="n"/>
      <c r="AN974" s="14" t="n"/>
      <c r="AQ974">
        <f>IF($E974="","",IF(COUNTIF($E$2:$E974,$E974)=1,1,0))</f>
        <v/>
      </c>
      <c r="AR974">
        <f>IF($AQ974=1,SUMPRODUCT(--($AU$2:$AU$1501&lt;$AU974))+1,"")</f>
        <v/>
      </c>
      <c r="AS974">
        <f>IF($E974="","",IF(OR($U974=TRUE(),$U974="TRUE"),1,0))</f>
        <v/>
      </c>
      <c r="AT974">
        <f>IF($E974="","",IF($AC974="Yes",1,0))</f>
        <v/>
      </c>
      <c r="AU974">
        <f>IF($AQ974=1,IFERROR(IF(VALUE($E974)&lt;100000000,VALUE($E974),1000000000),IFERROR(IF(VALUE(MID($E974,2,20))&lt;100000000,VALUE(MID($E974,2,20)),1000000000),1000000000))+ROW()/100000,"")</f>
        <v/>
      </c>
    </row>
    <row r="975">
      <c r="G975" s="14" t="n"/>
      <c r="Q975" s="7">
        <f>IF($E975="","",P975*Z975/100)</f>
        <v/>
      </c>
      <c r="R975" s="7" t="n"/>
      <c r="Y975" s="7" t="n"/>
      <c r="Z975" s="7" t="n"/>
      <c r="AA975" s="7" t="n"/>
      <c r="AD975">
        <f>IF($E975="","",IF($AT975=1,Settings!$C$8,IF($AS975=1,Settings!$C$6,Settings!$C$7))*100)</f>
        <v/>
      </c>
      <c r="AE975" s="7">
        <f>IF($E975="","",Z975*AD975/100)</f>
        <v/>
      </c>
      <c r="AF975" s="7">
        <f>IF($E975="","",Z975-AE975)</f>
        <v/>
      </c>
      <c r="AG975" s="7">
        <f>IF($E975="","",AF975-Q975)</f>
        <v/>
      </c>
      <c r="AK975" s="7" t="n"/>
      <c r="AN975" s="14" t="n"/>
      <c r="AQ975">
        <f>IF($E975="","",IF(COUNTIF($E$2:$E975,$E975)=1,1,0))</f>
        <v/>
      </c>
      <c r="AR975">
        <f>IF($AQ975=1,SUMPRODUCT(--($AU$2:$AU$1501&lt;$AU975))+1,"")</f>
        <v/>
      </c>
      <c r="AS975">
        <f>IF($E975="","",IF(OR($U975=TRUE(),$U975="TRUE"),1,0))</f>
        <v/>
      </c>
      <c r="AT975">
        <f>IF($E975="","",IF($AC975="Yes",1,0))</f>
        <v/>
      </c>
      <c r="AU975">
        <f>IF($AQ975=1,IFERROR(IF(VALUE($E975)&lt;100000000,VALUE($E975),1000000000),IFERROR(IF(VALUE(MID($E975,2,20))&lt;100000000,VALUE(MID($E975,2,20)),1000000000),1000000000))+ROW()/100000,"")</f>
        <v/>
      </c>
    </row>
    <row r="976">
      <c r="G976" s="14" t="n"/>
      <c r="Q976" s="7">
        <f>IF($E976="","",P976*Z976/100)</f>
        <v/>
      </c>
      <c r="R976" s="7" t="n"/>
      <c r="Y976" s="7" t="n"/>
      <c r="Z976" s="7" t="n"/>
      <c r="AA976" s="7" t="n"/>
      <c r="AD976">
        <f>IF($E976="","",IF($AT976=1,Settings!$C$8,IF($AS976=1,Settings!$C$6,Settings!$C$7))*100)</f>
        <v/>
      </c>
      <c r="AE976" s="7">
        <f>IF($E976="","",Z976*AD976/100)</f>
        <v/>
      </c>
      <c r="AF976" s="7">
        <f>IF($E976="","",Z976-AE976)</f>
        <v/>
      </c>
      <c r="AG976" s="7">
        <f>IF($E976="","",AF976-Q976)</f>
        <v/>
      </c>
      <c r="AK976" s="7" t="n"/>
      <c r="AN976" s="14" t="n"/>
      <c r="AQ976">
        <f>IF($E976="","",IF(COUNTIF($E$2:$E976,$E976)=1,1,0))</f>
        <v/>
      </c>
      <c r="AR976">
        <f>IF($AQ976=1,SUMPRODUCT(--($AU$2:$AU$1501&lt;$AU976))+1,"")</f>
        <v/>
      </c>
      <c r="AS976">
        <f>IF($E976="","",IF(OR($U976=TRUE(),$U976="TRUE"),1,0))</f>
        <v/>
      </c>
      <c r="AT976">
        <f>IF($E976="","",IF($AC976="Yes",1,0))</f>
        <v/>
      </c>
      <c r="AU976">
        <f>IF($AQ976=1,IFERROR(IF(VALUE($E976)&lt;100000000,VALUE($E976),1000000000),IFERROR(IF(VALUE(MID($E976,2,20))&lt;100000000,VALUE(MID($E976,2,20)),1000000000),1000000000))+ROW()/100000,"")</f>
        <v/>
      </c>
    </row>
    <row r="977">
      <c r="G977" s="14" t="n"/>
      <c r="Q977" s="7">
        <f>IF($E977="","",P977*Z977/100)</f>
        <v/>
      </c>
      <c r="R977" s="7" t="n"/>
      <c r="Y977" s="7" t="n"/>
      <c r="Z977" s="7" t="n"/>
      <c r="AA977" s="7" t="n"/>
      <c r="AD977">
        <f>IF($E977="","",IF($AT977=1,Settings!$C$8,IF($AS977=1,Settings!$C$6,Settings!$C$7))*100)</f>
        <v/>
      </c>
      <c r="AE977" s="7">
        <f>IF($E977="","",Z977*AD977/100)</f>
        <v/>
      </c>
      <c r="AF977" s="7">
        <f>IF($E977="","",Z977-AE977)</f>
        <v/>
      </c>
      <c r="AG977" s="7">
        <f>IF($E977="","",AF977-Q977)</f>
        <v/>
      </c>
      <c r="AK977" s="7" t="n"/>
      <c r="AN977" s="14" t="n"/>
      <c r="AQ977">
        <f>IF($E977="","",IF(COUNTIF($E$2:$E977,$E977)=1,1,0))</f>
        <v/>
      </c>
      <c r="AR977">
        <f>IF($AQ977=1,SUMPRODUCT(--($AU$2:$AU$1501&lt;$AU977))+1,"")</f>
        <v/>
      </c>
      <c r="AS977">
        <f>IF($E977="","",IF(OR($U977=TRUE(),$U977="TRUE"),1,0))</f>
        <v/>
      </c>
      <c r="AT977">
        <f>IF($E977="","",IF($AC977="Yes",1,0))</f>
        <v/>
      </c>
      <c r="AU977">
        <f>IF($AQ977=1,IFERROR(IF(VALUE($E977)&lt;100000000,VALUE($E977),1000000000),IFERROR(IF(VALUE(MID($E977,2,20))&lt;100000000,VALUE(MID($E977,2,20)),1000000000),1000000000))+ROW()/100000,"")</f>
        <v/>
      </c>
    </row>
    <row r="978">
      <c r="G978" s="14" t="n"/>
      <c r="Q978" s="7">
        <f>IF($E978="","",P978*Z978/100)</f>
        <v/>
      </c>
      <c r="R978" s="7" t="n"/>
      <c r="Y978" s="7" t="n"/>
      <c r="Z978" s="7" t="n"/>
      <c r="AA978" s="7" t="n"/>
      <c r="AD978">
        <f>IF($E978="","",IF($AT978=1,Settings!$C$8,IF($AS978=1,Settings!$C$6,Settings!$C$7))*100)</f>
        <v/>
      </c>
      <c r="AE978" s="7">
        <f>IF($E978="","",Z978*AD978/100)</f>
        <v/>
      </c>
      <c r="AF978" s="7">
        <f>IF($E978="","",Z978-AE978)</f>
        <v/>
      </c>
      <c r="AG978" s="7">
        <f>IF($E978="","",AF978-Q978)</f>
        <v/>
      </c>
      <c r="AK978" s="7" t="n"/>
      <c r="AN978" s="14" t="n"/>
      <c r="AQ978">
        <f>IF($E978="","",IF(COUNTIF($E$2:$E978,$E978)=1,1,0))</f>
        <v/>
      </c>
      <c r="AR978">
        <f>IF($AQ978=1,SUMPRODUCT(--($AU$2:$AU$1501&lt;$AU978))+1,"")</f>
        <v/>
      </c>
      <c r="AS978">
        <f>IF($E978="","",IF(OR($U978=TRUE(),$U978="TRUE"),1,0))</f>
        <v/>
      </c>
      <c r="AT978">
        <f>IF($E978="","",IF($AC978="Yes",1,0))</f>
        <v/>
      </c>
      <c r="AU978">
        <f>IF($AQ978=1,IFERROR(IF(VALUE($E978)&lt;100000000,VALUE($E978),1000000000),IFERROR(IF(VALUE(MID($E978,2,20))&lt;100000000,VALUE(MID($E978,2,20)),1000000000),1000000000))+ROW()/100000,"")</f>
        <v/>
      </c>
    </row>
    <row r="979">
      <c r="G979" s="14" t="n"/>
      <c r="Q979" s="7">
        <f>IF($E979="","",P979*Z979/100)</f>
        <v/>
      </c>
      <c r="R979" s="7" t="n"/>
      <c r="Y979" s="7" t="n"/>
      <c r="Z979" s="7" t="n"/>
      <c r="AA979" s="7" t="n"/>
      <c r="AD979">
        <f>IF($E979="","",IF($AT979=1,Settings!$C$8,IF($AS979=1,Settings!$C$6,Settings!$C$7))*100)</f>
        <v/>
      </c>
      <c r="AE979" s="7">
        <f>IF($E979="","",Z979*AD979/100)</f>
        <v/>
      </c>
      <c r="AF979" s="7">
        <f>IF($E979="","",Z979-AE979)</f>
        <v/>
      </c>
      <c r="AG979" s="7">
        <f>IF($E979="","",AF979-Q979)</f>
        <v/>
      </c>
      <c r="AK979" s="7" t="n"/>
      <c r="AN979" s="14" t="n"/>
      <c r="AQ979">
        <f>IF($E979="","",IF(COUNTIF($E$2:$E979,$E979)=1,1,0))</f>
        <v/>
      </c>
      <c r="AR979">
        <f>IF($AQ979=1,SUMPRODUCT(--($AU$2:$AU$1501&lt;$AU979))+1,"")</f>
        <v/>
      </c>
      <c r="AS979">
        <f>IF($E979="","",IF(OR($U979=TRUE(),$U979="TRUE"),1,0))</f>
        <v/>
      </c>
      <c r="AT979">
        <f>IF($E979="","",IF($AC979="Yes",1,0))</f>
        <v/>
      </c>
      <c r="AU979">
        <f>IF($AQ979=1,IFERROR(IF(VALUE($E979)&lt;100000000,VALUE($E979),1000000000),IFERROR(IF(VALUE(MID($E979,2,20))&lt;100000000,VALUE(MID($E979,2,20)),1000000000),1000000000))+ROW()/100000,"")</f>
        <v/>
      </c>
    </row>
    <row r="980">
      <c r="G980" s="14" t="n"/>
      <c r="Q980" s="7">
        <f>IF($E980="","",P980*Z980/100)</f>
        <v/>
      </c>
      <c r="R980" s="7" t="n"/>
      <c r="Y980" s="7" t="n"/>
      <c r="Z980" s="7" t="n"/>
      <c r="AA980" s="7" t="n"/>
      <c r="AD980">
        <f>IF($E980="","",IF($AT980=1,Settings!$C$8,IF($AS980=1,Settings!$C$6,Settings!$C$7))*100)</f>
        <v/>
      </c>
      <c r="AE980" s="7">
        <f>IF($E980="","",Z980*AD980/100)</f>
        <v/>
      </c>
      <c r="AF980" s="7">
        <f>IF($E980="","",Z980-AE980)</f>
        <v/>
      </c>
      <c r="AG980" s="7">
        <f>IF($E980="","",AF980-Q980)</f>
        <v/>
      </c>
      <c r="AK980" s="7" t="n"/>
      <c r="AN980" s="14" t="n"/>
      <c r="AQ980">
        <f>IF($E980="","",IF(COUNTIF($E$2:$E980,$E980)=1,1,0))</f>
        <v/>
      </c>
      <c r="AR980">
        <f>IF($AQ980=1,SUMPRODUCT(--($AU$2:$AU$1501&lt;$AU980))+1,"")</f>
        <v/>
      </c>
      <c r="AS980">
        <f>IF($E980="","",IF(OR($U980=TRUE(),$U980="TRUE"),1,0))</f>
        <v/>
      </c>
      <c r="AT980">
        <f>IF($E980="","",IF($AC980="Yes",1,0))</f>
        <v/>
      </c>
      <c r="AU980">
        <f>IF($AQ980=1,IFERROR(IF(VALUE($E980)&lt;100000000,VALUE($E980),1000000000),IFERROR(IF(VALUE(MID($E980,2,20))&lt;100000000,VALUE(MID($E980,2,20)),1000000000),1000000000))+ROW()/100000,"")</f>
        <v/>
      </c>
    </row>
    <row r="981">
      <c r="G981" s="14" t="n"/>
      <c r="Q981" s="7">
        <f>IF($E981="","",P981*Z981/100)</f>
        <v/>
      </c>
      <c r="R981" s="7" t="n"/>
      <c r="Y981" s="7" t="n"/>
      <c r="Z981" s="7" t="n"/>
      <c r="AA981" s="7" t="n"/>
      <c r="AD981">
        <f>IF($E981="","",IF($AT981=1,Settings!$C$8,IF($AS981=1,Settings!$C$6,Settings!$C$7))*100)</f>
        <v/>
      </c>
      <c r="AE981" s="7">
        <f>IF($E981="","",Z981*AD981/100)</f>
        <v/>
      </c>
      <c r="AF981" s="7">
        <f>IF($E981="","",Z981-AE981)</f>
        <v/>
      </c>
      <c r="AG981" s="7">
        <f>IF($E981="","",AF981-Q981)</f>
        <v/>
      </c>
      <c r="AK981" s="7" t="n"/>
      <c r="AN981" s="14" t="n"/>
      <c r="AQ981">
        <f>IF($E981="","",IF(COUNTIF($E$2:$E981,$E981)=1,1,0))</f>
        <v/>
      </c>
      <c r="AR981">
        <f>IF($AQ981=1,SUMPRODUCT(--($AU$2:$AU$1501&lt;$AU981))+1,"")</f>
        <v/>
      </c>
      <c r="AS981">
        <f>IF($E981="","",IF(OR($U981=TRUE(),$U981="TRUE"),1,0))</f>
        <v/>
      </c>
      <c r="AT981">
        <f>IF($E981="","",IF($AC981="Yes",1,0))</f>
        <v/>
      </c>
      <c r="AU981">
        <f>IF($AQ981=1,IFERROR(IF(VALUE($E981)&lt;100000000,VALUE($E981),1000000000),IFERROR(IF(VALUE(MID($E981,2,20))&lt;100000000,VALUE(MID($E981,2,20)),1000000000),1000000000))+ROW()/100000,"")</f>
        <v/>
      </c>
    </row>
    <row r="982">
      <c r="G982" s="14" t="n"/>
      <c r="Q982" s="7">
        <f>IF($E982="","",P982*Z982/100)</f>
        <v/>
      </c>
      <c r="R982" s="7" t="n"/>
      <c r="Y982" s="7" t="n"/>
      <c r="Z982" s="7" t="n"/>
      <c r="AA982" s="7" t="n"/>
      <c r="AD982">
        <f>IF($E982="","",IF($AT982=1,Settings!$C$8,IF($AS982=1,Settings!$C$6,Settings!$C$7))*100)</f>
        <v/>
      </c>
      <c r="AE982" s="7">
        <f>IF($E982="","",Z982*AD982/100)</f>
        <v/>
      </c>
      <c r="AF982" s="7">
        <f>IF($E982="","",Z982-AE982)</f>
        <v/>
      </c>
      <c r="AG982" s="7">
        <f>IF($E982="","",AF982-Q982)</f>
        <v/>
      </c>
      <c r="AK982" s="7" t="n"/>
      <c r="AN982" s="14" t="n"/>
      <c r="AQ982">
        <f>IF($E982="","",IF(COUNTIF($E$2:$E982,$E982)=1,1,0))</f>
        <v/>
      </c>
      <c r="AR982">
        <f>IF($AQ982=1,SUMPRODUCT(--($AU$2:$AU$1501&lt;$AU982))+1,"")</f>
        <v/>
      </c>
      <c r="AS982">
        <f>IF($E982="","",IF(OR($U982=TRUE(),$U982="TRUE"),1,0))</f>
        <v/>
      </c>
      <c r="AT982">
        <f>IF($E982="","",IF($AC982="Yes",1,0))</f>
        <v/>
      </c>
      <c r="AU982">
        <f>IF($AQ982=1,IFERROR(IF(VALUE($E982)&lt;100000000,VALUE($E982),1000000000),IFERROR(IF(VALUE(MID($E982,2,20))&lt;100000000,VALUE(MID($E982,2,20)),1000000000),1000000000))+ROW()/100000,"")</f>
        <v/>
      </c>
    </row>
    <row r="983">
      <c r="G983" s="14" t="n"/>
      <c r="Q983" s="7">
        <f>IF($E983="","",P983*Z983/100)</f>
        <v/>
      </c>
      <c r="R983" s="7" t="n"/>
      <c r="Y983" s="7" t="n"/>
      <c r="Z983" s="7" t="n"/>
      <c r="AA983" s="7" t="n"/>
      <c r="AD983">
        <f>IF($E983="","",IF($AT983=1,Settings!$C$8,IF($AS983=1,Settings!$C$6,Settings!$C$7))*100)</f>
        <v/>
      </c>
      <c r="AE983" s="7">
        <f>IF($E983="","",Z983*AD983/100)</f>
        <v/>
      </c>
      <c r="AF983" s="7">
        <f>IF($E983="","",Z983-AE983)</f>
        <v/>
      </c>
      <c r="AG983" s="7">
        <f>IF($E983="","",AF983-Q983)</f>
        <v/>
      </c>
      <c r="AK983" s="7" t="n"/>
      <c r="AN983" s="14" t="n"/>
      <c r="AQ983">
        <f>IF($E983="","",IF(COUNTIF($E$2:$E983,$E983)=1,1,0))</f>
        <v/>
      </c>
      <c r="AR983">
        <f>IF($AQ983=1,SUMPRODUCT(--($AU$2:$AU$1501&lt;$AU983))+1,"")</f>
        <v/>
      </c>
      <c r="AS983">
        <f>IF($E983="","",IF(OR($U983=TRUE(),$U983="TRUE"),1,0))</f>
        <v/>
      </c>
      <c r="AT983">
        <f>IF($E983="","",IF($AC983="Yes",1,0))</f>
        <v/>
      </c>
      <c r="AU983">
        <f>IF($AQ983=1,IFERROR(IF(VALUE($E983)&lt;100000000,VALUE($E983),1000000000),IFERROR(IF(VALUE(MID($E983,2,20))&lt;100000000,VALUE(MID($E983,2,20)),1000000000),1000000000))+ROW()/100000,"")</f>
        <v/>
      </c>
    </row>
    <row r="984">
      <c r="G984" s="14" t="n"/>
      <c r="Q984" s="7">
        <f>IF($E984="","",P984*Z984/100)</f>
        <v/>
      </c>
      <c r="R984" s="7" t="n"/>
      <c r="Y984" s="7" t="n"/>
      <c r="Z984" s="7" t="n"/>
      <c r="AA984" s="7" t="n"/>
      <c r="AD984">
        <f>IF($E984="","",IF($AT984=1,Settings!$C$8,IF($AS984=1,Settings!$C$6,Settings!$C$7))*100)</f>
        <v/>
      </c>
      <c r="AE984" s="7">
        <f>IF($E984="","",Z984*AD984/100)</f>
        <v/>
      </c>
      <c r="AF984" s="7">
        <f>IF($E984="","",Z984-AE984)</f>
        <v/>
      </c>
      <c r="AG984" s="7">
        <f>IF($E984="","",AF984-Q984)</f>
        <v/>
      </c>
      <c r="AK984" s="7" t="n"/>
      <c r="AN984" s="14" t="n"/>
      <c r="AQ984">
        <f>IF($E984="","",IF(COUNTIF($E$2:$E984,$E984)=1,1,0))</f>
        <v/>
      </c>
      <c r="AR984">
        <f>IF($AQ984=1,SUMPRODUCT(--($AU$2:$AU$1501&lt;$AU984))+1,"")</f>
        <v/>
      </c>
      <c r="AS984">
        <f>IF($E984="","",IF(OR($U984=TRUE(),$U984="TRUE"),1,0))</f>
        <v/>
      </c>
      <c r="AT984">
        <f>IF($E984="","",IF($AC984="Yes",1,0))</f>
        <v/>
      </c>
      <c r="AU984">
        <f>IF($AQ984=1,IFERROR(IF(VALUE($E984)&lt;100000000,VALUE($E984),1000000000),IFERROR(IF(VALUE(MID($E984,2,20))&lt;100000000,VALUE(MID($E984,2,20)),1000000000),1000000000))+ROW()/100000,"")</f>
        <v/>
      </c>
    </row>
    <row r="985">
      <c r="G985" s="14" t="n"/>
      <c r="Q985" s="7">
        <f>IF($E985="","",P985*Z985/100)</f>
        <v/>
      </c>
      <c r="R985" s="7" t="n"/>
      <c r="Y985" s="7" t="n"/>
      <c r="Z985" s="7" t="n"/>
      <c r="AA985" s="7" t="n"/>
      <c r="AD985">
        <f>IF($E985="","",IF($AT985=1,Settings!$C$8,IF($AS985=1,Settings!$C$6,Settings!$C$7))*100)</f>
        <v/>
      </c>
      <c r="AE985" s="7">
        <f>IF($E985="","",Z985*AD985/100)</f>
        <v/>
      </c>
      <c r="AF985" s="7">
        <f>IF($E985="","",Z985-AE985)</f>
        <v/>
      </c>
      <c r="AG985" s="7">
        <f>IF($E985="","",AF985-Q985)</f>
        <v/>
      </c>
      <c r="AK985" s="7" t="n"/>
      <c r="AN985" s="14" t="n"/>
      <c r="AQ985">
        <f>IF($E985="","",IF(COUNTIF($E$2:$E985,$E985)=1,1,0))</f>
        <v/>
      </c>
      <c r="AR985">
        <f>IF($AQ985=1,SUMPRODUCT(--($AU$2:$AU$1501&lt;$AU985))+1,"")</f>
        <v/>
      </c>
      <c r="AS985">
        <f>IF($E985="","",IF(OR($U985=TRUE(),$U985="TRUE"),1,0))</f>
        <v/>
      </c>
      <c r="AT985">
        <f>IF($E985="","",IF($AC985="Yes",1,0))</f>
        <v/>
      </c>
      <c r="AU985">
        <f>IF($AQ985=1,IFERROR(IF(VALUE($E985)&lt;100000000,VALUE($E985),1000000000),IFERROR(IF(VALUE(MID($E985,2,20))&lt;100000000,VALUE(MID($E985,2,20)),1000000000),1000000000))+ROW()/100000,"")</f>
        <v/>
      </c>
    </row>
    <row r="986">
      <c r="G986" s="14" t="n"/>
      <c r="Q986" s="7">
        <f>IF($E986="","",P986*Z986/100)</f>
        <v/>
      </c>
      <c r="R986" s="7" t="n"/>
      <c r="Y986" s="7" t="n"/>
      <c r="Z986" s="7" t="n"/>
      <c r="AA986" s="7" t="n"/>
      <c r="AD986">
        <f>IF($E986="","",IF($AT986=1,Settings!$C$8,IF($AS986=1,Settings!$C$6,Settings!$C$7))*100)</f>
        <v/>
      </c>
      <c r="AE986" s="7">
        <f>IF($E986="","",Z986*AD986/100)</f>
        <v/>
      </c>
      <c r="AF986" s="7">
        <f>IF($E986="","",Z986-AE986)</f>
        <v/>
      </c>
      <c r="AG986" s="7">
        <f>IF($E986="","",AF986-Q986)</f>
        <v/>
      </c>
      <c r="AK986" s="7" t="n"/>
      <c r="AN986" s="14" t="n"/>
      <c r="AQ986">
        <f>IF($E986="","",IF(COUNTIF($E$2:$E986,$E986)=1,1,0))</f>
        <v/>
      </c>
      <c r="AR986">
        <f>IF($AQ986=1,SUMPRODUCT(--($AU$2:$AU$1501&lt;$AU986))+1,"")</f>
        <v/>
      </c>
      <c r="AS986">
        <f>IF($E986="","",IF(OR($U986=TRUE(),$U986="TRUE"),1,0))</f>
        <v/>
      </c>
      <c r="AT986">
        <f>IF($E986="","",IF($AC986="Yes",1,0))</f>
        <v/>
      </c>
      <c r="AU986">
        <f>IF($AQ986=1,IFERROR(IF(VALUE($E986)&lt;100000000,VALUE($E986),1000000000),IFERROR(IF(VALUE(MID($E986,2,20))&lt;100000000,VALUE(MID($E986,2,20)),1000000000),1000000000))+ROW()/100000,"")</f>
        <v/>
      </c>
    </row>
    <row r="987">
      <c r="G987" s="14" t="n"/>
      <c r="Q987" s="7">
        <f>IF($E987="","",P987*Z987/100)</f>
        <v/>
      </c>
      <c r="R987" s="7" t="n"/>
      <c r="Y987" s="7" t="n"/>
      <c r="Z987" s="7" t="n"/>
      <c r="AA987" s="7" t="n"/>
      <c r="AD987">
        <f>IF($E987="","",IF($AT987=1,Settings!$C$8,IF($AS987=1,Settings!$C$6,Settings!$C$7))*100)</f>
        <v/>
      </c>
      <c r="AE987" s="7">
        <f>IF($E987="","",Z987*AD987/100)</f>
        <v/>
      </c>
      <c r="AF987" s="7">
        <f>IF($E987="","",Z987-AE987)</f>
        <v/>
      </c>
      <c r="AG987" s="7">
        <f>IF($E987="","",AF987-Q987)</f>
        <v/>
      </c>
      <c r="AK987" s="7" t="n"/>
      <c r="AN987" s="14" t="n"/>
      <c r="AQ987">
        <f>IF($E987="","",IF(COUNTIF($E$2:$E987,$E987)=1,1,0))</f>
        <v/>
      </c>
      <c r="AR987">
        <f>IF($AQ987=1,SUMPRODUCT(--($AU$2:$AU$1501&lt;$AU987))+1,"")</f>
        <v/>
      </c>
      <c r="AS987">
        <f>IF($E987="","",IF(OR($U987=TRUE(),$U987="TRUE"),1,0))</f>
        <v/>
      </c>
      <c r="AT987">
        <f>IF($E987="","",IF($AC987="Yes",1,0))</f>
        <v/>
      </c>
      <c r="AU987">
        <f>IF($AQ987=1,IFERROR(IF(VALUE($E987)&lt;100000000,VALUE($E987),1000000000),IFERROR(IF(VALUE(MID($E987,2,20))&lt;100000000,VALUE(MID($E987,2,20)),1000000000),1000000000))+ROW()/100000,"")</f>
        <v/>
      </c>
    </row>
    <row r="988">
      <c r="G988" s="14" t="n"/>
      <c r="Q988" s="7">
        <f>IF($E988="","",P988*Z988/100)</f>
        <v/>
      </c>
      <c r="R988" s="7" t="n"/>
      <c r="Y988" s="7" t="n"/>
      <c r="Z988" s="7" t="n"/>
      <c r="AA988" s="7" t="n"/>
      <c r="AD988">
        <f>IF($E988="","",IF($AT988=1,Settings!$C$8,IF($AS988=1,Settings!$C$6,Settings!$C$7))*100)</f>
        <v/>
      </c>
      <c r="AE988" s="7">
        <f>IF($E988="","",Z988*AD988/100)</f>
        <v/>
      </c>
      <c r="AF988" s="7">
        <f>IF($E988="","",Z988-AE988)</f>
        <v/>
      </c>
      <c r="AG988" s="7">
        <f>IF($E988="","",AF988-Q988)</f>
        <v/>
      </c>
      <c r="AK988" s="7" t="n"/>
      <c r="AN988" s="14" t="n"/>
      <c r="AQ988">
        <f>IF($E988="","",IF(COUNTIF($E$2:$E988,$E988)=1,1,0))</f>
        <v/>
      </c>
      <c r="AR988">
        <f>IF($AQ988=1,SUMPRODUCT(--($AU$2:$AU$1501&lt;$AU988))+1,"")</f>
        <v/>
      </c>
      <c r="AS988">
        <f>IF($E988="","",IF(OR($U988=TRUE(),$U988="TRUE"),1,0))</f>
        <v/>
      </c>
      <c r="AT988">
        <f>IF($E988="","",IF($AC988="Yes",1,0))</f>
        <v/>
      </c>
      <c r="AU988">
        <f>IF($AQ988=1,IFERROR(IF(VALUE($E988)&lt;100000000,VALUE($E988),1000000000),IFERROR(IF(VALUE(MID($E988,2,20))&lt;100000000,VALUE(MID($E988,2,20)),1000000000),1000000000))+ROW()/100000,"")</f>
        <v/>
      </c>
    </row>
    <row r="989">
      <c r="G989" s="14" t="n"/>
      <c r="Q989" s="7">
        <f>IF($E989="","",P989*Z989/100)</f>
        <v/>
      </c>
      <c r="R989" s="7" t="n"/>
      <c r="Y989" s="7" t="n"/>
      <c r="Z989" s="7" t="n"/>
      <c r="AA989" s="7" t="n"/>
      <c r="AD989">
        <f>IF($E989="","",IF($AT989=1,Settings!$C$8,IF($AS989=1,Settings!$C$6,Settings!$C$7))*100)</f>
        <v/>
      </c>
      <c r="AE989" s="7">
        <f>IF($E989="","",Z989*AD989/100)</f>
        <v/>
      </c>
      <c r="AF989" s="7">
        <f>IF($E989="","",Z989-AE989)</f>
        <v/>
      </c>
      <c r="AG989" s="7">
        <f>IF($E989="","",AF989-Q989)</f>
        <v/>
      </c>
      <c r="AK989" s="7" t="n"/>
      <c r="AN989" s="14" t="n"/>
      <c r="AQ989">
        <f>IF($E989="","",IF(COUNTIF($E$2:$E989,$E989)=1,1,0))</f>
        <v/>
      </c>
      <c r="AR989">
        <f>IF($AQ989=1,SUMPRODUCT(--($AU$2:$AU$1501&lt;$AU989))+1,"")</f>
        <v/>
      </c>
      <c r="AS989">
        <f>IF($E989="","",IF(OR($U989=TRUE(),$U989="TRUE"),1,0))</f>
        <v/>
      </c>
      <c r="AT989">
        <f>IF($E989="","",IF($AC989="Yes",1,0))</f>
        <v/>
      </c>
      <c r="AU989">
        <f>IF($AQ989=1,IFERROR(IF(VALUE($E989)&lt;100000000,VALUE($E989),1000000000),IFERROR(IF(VALUE(MID($E989,2,20))&lt;100000000,VALUE(MID($E989,2,20)),1000000000),1000000000))+ROW()/100000,"")</f>
        <v/>
      </c>
    </row>
    <row r="990">
      <c r="G990" s="14" t="n"/>
      <c r="Q990" s="7">
        <f>IF($E990="","",P990*Z990/100)</f>
        <v/>
      </c>
      <c r="R990" s="7" t="n"/>
      <c r="Y990" s="7" t="n"/>
      <c r="Z990" s="7" t="n"/>
      <c r="AA990" s="7" t="n"/>
      <c r="AD990">
        <f>IF($E990="","",IF($AT990=1,Settings!$C$8,IF($AS990=1,Settings!$C$6,Settings!$C$7))*100)</f>
        <v/>
      </c>
      <c r="AE990" s="7">
        <f>IF($E990="","",Z990*AD990/100)</f>
        <v/>
      </c>
      <c r="AF990" s="7">
        <f>IF($E990="","",Z990-AE990)</f>
        <v/>
      </c>
      <c r="AG990" s="7">
        <f>IF($E990="","",AF990-Q990)</f>
        <v/>
      </c>
      <c r="AK990" s="7" t="n"/>
      <c r="AN990" s="14" t="n"/>
      <c r="AQ990">
        <f>IF($E990="","",IF(COUNTIF($E$2:$E990,$E990)=1,1,0))</f>
        <v/>
      </c>
      <c r="AR990">
        <f>IF($AQ990=1,SUMPRODUCT(--($AU$2:$AU$1501&lt;$AU990))+1,"")</f>
        <v/>
      </c>
      <c r="AS990">
        <f>IF($E990="","",IF(OR($U990=TRUE(),$U990="TRUE"),1,0))</f>
        <v/>
      </c>
      <c r="AT990">
        <f>IF($E990="","",IF($AC990="Yes",1,0))</f>
        <v/>
      </c>
      <c r="AU990">
        <f>IF($AQ990=1,IFERROR(IF(VALUE($E990)&lt;100000000,VALUE($E990),1000000000),IFERROR(IF(VALUE(MID($E990,2,20))&lt;100000000,VALUE(MID($E990,2,20)),1000000000),1000000000))+ROW()/100000,"")</f>
        <v/>
      </c>
    </row>
    <row r="991">
      <c r="G991" s="14" t="n"/>
      <c r="Q991" s="7">
        <f>IF($E991="","",P991*Z991/100)</f>
        <v/>
      </c>
      <c r="R991" s="7" t="n"/>
      <c r="Y991" s="7" t="n"/>
      <c r="Z991" s="7" t="n"/>
      <c r="AA991" s="7" t="n"/>
      <c r="AD991">
        <f>IF($E991="","",IF($AT991=1,Settings!$C$8,IF($AS991=1,Settings!$C$6,Settings!$C$7))*100)</f>
        <v/>
      </c>
      <c r="AE991" s="7">
        <f>IF($E991="","",Z991*AD991/100)</f>
        <v/>
      </c>
      <c r="AF991" s="7">
        <f>IF($E991="","",Z991-AE991)</f>
        <v/>
      </c>
      <c r="AG991" s="7">
        <f>IF($E991="","",AF991-Q991)</f>
        <v/>
      </c>
      <c r="AK991" s="7" t="n"/>
      <c r="AN991" s="14" t="n"/>
      <c r="AQ991">
        <f>IF($E991="","",IF(COUNTIF($E$2:$E991,$E991)=1,1,0))</f>
        <v/>
      </c>
      <c r="AR991">
        <f>IF($AQ991=1,SUMPRODUCT(--($AU$2:$AU$1501&lt;$AU991))+1,"")</f>
        <v/>
      </c>
      <c r="AS991">
        <f>IF($E991="","",IF(OR($U991=TRUE(),$U991="TRUE"),1,0))</f>
        <v/>
      </c>
      <c r="AT991">
        <f>IF($E991="","",IF($AC991="Yes",1,0))</f>
        <v/>
      </c>
      <c r="AU991">
        <f>IF($AQ991=1,IFERROR(IF(VALUE($E991)&lt;100000000,VALUE($E991),1000000000),IFERROR(IF(VALUE(MID($E991,2,20))&lt;100000000,VALUE(MID($E991,2,20)),1000000000),1000000000))+ROW()/100000,"")</f>
        <v/>
      </c>
    </row>
    <row r="992">
      <c r="G992" s="14" t="n"/>
      <c r="Q992" s="7">
        <f>IF($E992="","",P992*Z992/100)</f>
        <v/>
      </c>
      <c r="R992" s="7" t="n"/>
      <c r="Y992" s="7" t="n"/>
      <c r="Z992" s="7" t="n"/>
      <c r="AA992" s="7" t="n"/>
      <c r="AD992">
        <f>IF($E992="","",IF($AT992=1,Settings!$C$8,IF($AS992=1,Settings!$C$6,Settings!$C$7))*100)</f>
        <v/>
      </c>
      <c r="AE992" s="7">
        <f>IF($E992="","",Z992*AD992/100)</f>
        <v/>
      </c>
      <c r="AF992" s="7">
        <f>IF($E992="","",Z992-AE992)</f>
        <v/>
      </c>
      <c r="AG992" s="7">
        <f>IF($E992="","",AF992-Q992)</f>
        <v/>
      </c>
      <c r="AK992" s="7" t="n"/>
      <c r="AN992" s="14" t="n"/>
      <c r="AQ992">
        <f>IF($E992="","",IF(COUNTIF($E$2:$E992,$E992)=1,1,0))</f>
        <v/>
      </c>
      <c r="AR992">
        <f>IF($AQ992=1,SUMPRODUCT(--($AU$2:$AU$1501&lt;$AU992))+1,"")</f>
        <v/>
      </c>
      <c r="AS992">
        <f>IF($E992="","",IF(OR($U992=TRUE(),$U992="TRUE"),1,0))</f>
        <v/>
      </c>
      <c r="AT992">
        <f>IF($E992="","",IF($AC992="Yes",1,0))</f>
        <v/>
      </c>
      <c r="AU992">
        <f>IF($AQ992=1,IFERROR(IF(VALUE($E992)&lt;100000000,VALUE($E992),1000000000),IFERROR(IF(VALUE(MID($E992,2,20))&lt;100000000,VALUE(MID($E992,2,20)),1000000000),1000000000))+ROW()/100000,"")</f>
        <v/>
      </c>
    </row>
    <row r="993">
      <c r="G993" s="14" t="n"/>
      <c r="Q993" s="7">
        <f>IF($E993="","",P993*Z993/100)</f>
        <v/>
      </c>
      <c r="R993" s="7" t="n"/>
      <c r="Y993" s="7" t="n"/>
      <c r="Z993" s="7" t="n"/>
      <c r="AA993" s="7" t="n"/>
      <c r="AD993">
        <f>IF($E993="","",IF($AT993=1,Settings!$C$8,IF($AS993=1,Settings!$C$6,Settings!$C$7))*100)</f>
        <v/>
      </c>
      <c r="AE993" s="7">
        <f>IF($E993="","",Z993*AD993/100)</f>
        <v/>
      </c>
      <c r="AF993" s="7">
        <f>IF($E993="","",Z993-AE993)</f>
        <v/>
      </c>
      <c r="AG993" s="7">
        <f>IF($E993="","",AF993-Q993)</f>
        <v/>
      </c>
      <c r="AK993" s="7" t="n"/>
      <c r="AN993" s="14" t="n"/>
      <c r="AQ993">
        <f>IF($E993="","",IF(COUNTIF($E$2:$E993,$E993)=1,1,0))</f>
        <v/>
      </c>
      <c r="AR993">
        <f>IF($AQ993=1,SUMPRODUCT(--($AU$2:$AU$1501&lt;$AU993))+1,"")</f>
        <v/>
      </c>
      <c r="AS993">
        <f>IF($E993="","",IF(OR($U993=TRUE(),$U993="TRUE"),1,0))</f>
        <v/>
      </c>
      <c r="AT993">
        <f>IF($E993="","",IF($AC993="Yes",1,0))</f>
        <v/>
      </c>
      <c r="AU993">
        <f>IF($AQ993=1,IFERROR(IF(VALUE($E993)&lt;100000000,VALUE($E993),1000000000),IFERROR(IF(VALUE(MID($E993,2,20))&lt;100000000,VALUE(MID($E993,2,20)),1000000000),1000000000))+ROW()/100000,"")</f>
        <v/>
      </c>
    </row>
    <row r="994">
      <c r="G994" s="14" t="n"/>
      <c r="Q994" s="7">
        <f>IF($E994="","",P994*Z994/100)</f>
        <v/>
      </c>
      <c r="R994" s="7" t="n"/>
      <c r="Y994" s="7" t="n"/>
      <c r="Z994" s="7" t="n"/>
      <c r="AA994" s="7" t="n"/>
      <c r="AD994">
        <f>IF($E994="","",IF($AT994=1,Settings!$C$8,IF($AS994=1,Settings!$C$6,Settings!$C$7))*100)</f>
        <v/>
      </c>
      <c r="AE994" s="7">
        <f>IF($E994="","",Z994*AD994/100)</f>
        <v/>
      </c>
      <c r="AF994" s="7">
        <f>IF($E994="","",Z994-AE994)</f>
        <v/>
      </c>
      <c r="AG994" s="7">
        <f>IF($E994="","",AF994-Q994)</f>
        <v/>
      </c>
      <c r="AK994" s="7" t="n"/>
      <c r="AN994" s="14" t="n"/>
      <c r="AQ994">
        <f>IF($E994="","",IF(COUNTIF($E$2:$E994,$E994)=1,1,0))</f>
        <v/>
      </c>
      <c r="AR994">
        <f>IF($AQ994=1,SUMPRODUCT(--($AU$2:$AU$1501&lt;$AU994))+1,"")</f>
        <v/>
      </c>
      <c r="AS994">
        <f>IF($E994="","",IF(OR($U994=TRUE(),$U994="TRUE"),1,0))</f>
        <v/>
      </c>
      <c r="AT994">
        <f>IF($E994="","",IF($AC994="Yes",1,0))</f>
        <v/>
      </c>
      <c r="AU994">
        <f>IF($AQ994=1,IFERROR(IF(VALUE($E994)&lt;100000000,VALUE($E994),1000000000),IFERROR(IF(VALUE(MID($E994,2,20))&lt;100000000,VALUE(MID($E994,2,20)),1000000000),1000000000))+ROW()/100000,"")</f>
        <v/>
      </c>
    </row>
    <row r="995">
      <c r="G995" s="14" t="n"/>
      <c r="Q995" s="7">
        <f>IF($E995="","",P995*Z995/100)</f>
        <v/>
      </c>
      <c r="R995" s="7" t="n"/>
      <c r="Y995" s="7" t="n"/>
      <c r="Z995" s="7" t="n"/>
      <c r="AA995" s="7" t="n"/>
      <c r="AD995">
        <f>IF($E995="","",IF($AT995=1,Settings!$C$8,IF($AS995=1,Settings!$C$6,Settings!$C$7))*100)</f>
        <v/>
      </c>
      <c r="AE995" s="7">
        <f>IF($E995="","",Z995*AD995/100)</f>
        <v/>
      </c>
      <c r="AF995" s="7">
        <f>IF($E995="","",Z995-AE995)</f>
        <v/>
      </c>
      <c r="AG995" s="7">
        <f>IF($E995="","",AF995-Q995)</f>
        <v/>
      </c>
      <c r="AK995" s="7" t="n"/>
      <c r="AN995" s="14" t="n"/>
      <c r="AQ995">
        <f>IF($E995="","",IF(COUNTIF($E$2:$E995,$E995)=1,1,0))</f>
        <v/>
      </c>
      <c r="AR995">
        <f>IF($AQ995=1,SUMPRODUCT(--($AU$2:$AU$1501&lt;$AU995))+1,"")</f>
        <v/>
      </c>
      <c r="AS995">
        <f>IF($E995="","",IF(OR($U995=TRUE(),$U995="TRUE"),1,0))</f>
        <v/>
      </c>
      <c r="AT995">
        <f>IF($E995="","",IF($AC995="Yes",1,0))</f>
        <v/>
      </c>
      <c r="AU995">
        <f>IF($AQ995=1,IFERROR(IF(VALUE($E995)&lt;100000000,VALUE($E995),1000000000),IFERROR(IF(VALUE(MID($E995,2,20))&lt;100000000,VALUE(MID($E995,2,20)),1000000000),1000000000))+ROW()/100000,"")</f>
        <v/>
      </c>
    </row>
    <row r="996">
      <c r="G996" s="14" t="n"/>
      <c r="Q996" s="7">
        <f>IF($E996="","",P996*Z996/100)</f>
        <v/>
      </c>
      <c r="R996" s="7" t="n"/>
      <c r="Y996" s="7" t="n"/>
      <c r="Z996" s="7" t="n"/>
      <c r="AA996" s="7" t="n"/>
      <c r="AD996">
        <f>IF($E996="","",IF($AT996=1,Settings!$C$8,IF($AS996=1,Settings!$C$6,Settings!$C$7))*100)</f>
        <v/>
      </c>
      <c r="AE996" s="7">
        <f>IF($E996="","",Z996*AD996/100)</f>
        <v/>
      </c>
      <c r="AF996" s="7">
        <f>IF($E996="","",Z996-AE996)</f>
        <v/>
      </c>
      <c r="AG996" s="7">
        <f>IF($E996="","",AF996-Q996)</f>
        <v/>
      </c>
      <c r="AK996" s="7" t="n"/>
      <c r="AN996" s="14" t="n"/>
      <c r="AQ996">
        <f>IF($E996="","",IF(COUNTIF($E$2:$E996,$E996)=1,1,0))</f>
        <v/>
      </c>
      <c r="AR996">
        <f>IF($AQ996=1,SUMPRODUCT(--($AU$2:$AU$1501&lt;$AU996))+1,"")</f>
        <v/>
      </c>
      <c r="AS996">
        <f>IF($E996="","",IF(OR($U996=TRUE(),$U996="TRUE"),1,0))</f>
        <v/>
      </c>
      <c r="AT996">
        <f>IF($E996="","",IF($AC996="Yes",1,0))</f>
        <v/>
      </c>
      <c r="AU996">
        <f>IF($AQ996=1,IFERROR(IF(VALUE($E996)&lt;100000000,VALUE($E996),1000000000),IFERROR(IF(VALUE(MID($E996,2,20))&lt;100000000,VALUE(MID($E996,2,20)),1000000000),1000000000))+ROW()/100000,"")</f>
        <v/>
      </c>
    </row>
    <row r="997">
      <c r="G997" s="14" t="n"/>
      <c r="Q997" s="7">
        <f>IF($E997="","",P997*Z997/100)</f>
        <v/>
      </c>
      <c r="R997" s="7" t="n"/>
      <c r="Y997" s="7" t="n"/>
      <c r="Z997" s="7" t="n"/>
      <c r="AA997" s="7" t="n"/>
      <c r="AD997">
        <f>IF($E997="","",IF($AT997=1,Settings!$C$8,IF($AS997=1,Settings!$C$6,Settings!$C$7))*100)</f>
        <v/>
      </c>
      <c r="AE997" s="7">
        <f>IF($E997="","",Z997*AD997/100)</f>
        <v/>
      </c>
      <c r="AF997" s="7">
        <f>IF($E997="","",Z997-AE997)</f>
        <v/>
      </c>
      <c r="AG997" s="7">
        <f>IF($E997="","",AF997-Q997)</f>
        <v/>
      </c>
      <c r="AK997" s="7" t="n"/>
      <c r="AN997" s="14" t="n"/>
      <c r="AQ997">
        <f>IF($E997="","",IF(COUNTIF($E$2:$E997,$E997)=1,1,0))</f>
        <v/>
      </c>
      <c r="AR997">
        <f>IF($AQ997=1,SUMPRODUCT(--($AU$2:$AU$1501&lt;$AU997))+1,"")</f>
        <v/>
      </c>
      <c r="AS997">
        <f>IF($E997="","",IF(OR($U997=TRUE(),$U997="TRUE"),1,0))</f>
        <v/>
      </c>
      <c r="AT997">
        <f>IF($E997="","",IF($AC997="Yes",1,0))</f>
        <v/>
      </c>
      <c r="AU997">
        <f>IF($AQ997=1,IFERROR(IF(VALUE($E997)&lt;100000000,VALUE($E997),1000000000),IFERROR(IF(VALUE(MID($E997,2,20))&lt;100000000,VALUE(MID($E997,2,20)),1000000000),1000000000))+ROW()/100000,"")</f>
        <v/>
      </c>
    </row>
    <row r="998">
      <c r="G998" s="14" t="n"/>
      <c r="Q998" s="7">
        <f>IF($E998="","",P998*Z998/100)</f>
        <v/>
      </c>
      <c r="R998" s="7" t="n"/>
      <c r="Y998" s="7" t="n"/>
      <c r="Z998" s="7" t="n"/>
      <c r="AA998" s="7" t="n"/>
      <c r="AD998">
        <f>IF($E998="","",IF($AT998=1,Settings!$C$8,IF($AS998=1,Settings!$C$6,Settings!$C$7))*100)</f>
        <v/>
      </c>
      <c r="AE998" s="7">
        <f>IF($E998="","",Z998*AD998/100)</f>
        <v/>
      </c>
      <c r="AF998" s="7">
        <f>IF($E998="","",Z998-AE998)</f>
        <v/>
      </c>
      <c r="AG998" s="7">
        <f>IF($E998="","",AF998-Q998)</f>
        <v/>
      </c>
      <c r="AK998" s="7" t="n"/>
      <c r="AN998" s="14" t="n"/>
      <c r="AQ998">
        <f>IF($E998="","",IF(COUNTIF($E$2:$E998,$E998)=1,1,0))</f>
        <v/>
      </c>
      <c r="AR998">
        <f>IF($AQ998=1,SUMPRODUCT(--($AU$2:$AU$1501&lt;$AU998))+1,"")</f>
        <v/>
      </c>
      <c r="AS998">
        <f>IF($E998="","",IF(OR($U998=TRUE(),$U998="TRUE"),1,0))</f>
        <v/>
      </c>
      <c r="AT998">
        <f>IF($E998="","",IF($AC998="Yes",1,0))</f>
        <v/>
      </c>
      <c r="AU998">
        <f>IF($AQ998=1,IFERROR(IF(VALUE($E998)&lt;100000000,VALUE($E998),1000000000),IFERROR(IF(VALUE(MID($E998,2,20))&lt;100000000,VALUE(MID($E998,2,20)),1000000000),1000000000))+ROW()/100000,"")</f>
        <v/>
      </c>
    </row>
    <row r="999">
      <c r="G999" s="14" t="n"/>
      <c r="Q999" s="7">
        <f>IF($E999="","",P999*Z999/100)</f>
        <v/>
      </c>
      <c r="R999" s="7" t="n"/>
      <c r="Y999" s="7" t="n"/>
      <c r="Z999" s="7" t="n"/>
      <c r="AA999" s="7" t="n"/>
      <c r="AD999">
        <f>IF($E999="","",IF($AT999=1,Settings!$C$8,IF($AS999=1,Settings!$C$6,Settings!$C$7))*100)</f>
        <v/>
      </c>
      <c r="AE999" s="7">
        <f>IF($E999="","",Z999*AD999/100)</f>
        <v/>
      </c>
      <c r="AF999" s="7">
        <f>IF($E999="","",Z999-AE999)</f>
        <v/>
      </c>
      <c r="AG999" s="7">
        <f>IF($E999="","",AF999-Q999)</f>
        <v/>
      </c>
      <c r="AK999" s="7" t="n"/>
      <c r="AN999" s="14" t="n"/>
      <c r="AQ999">
        <f>IF($E999="","",IF(COUNTIF($E$2:$E999,$E999)=1,1,0))</f>
        <v/>
      </c>
      <c r="AR999">
        <f>IF($AQ999=1,SUMPRODUCT(--($AU$2:$AU$1501&lt;$AU999))+1,"")</f>
        <v/>
      </c>
      <c r="AS999">
        <f>IF($E999="","",IF(OR($U999=TRUE(),$U999="TRUE"),1,0))</f>
        <v/>
      </c>
      <c r="AT999">
        <f>IF($E999="","",IF($AC999="Yes",1,0))</f>
        <v/>
      </c>
      <c r="AU999">
        <f>IF($AQ999=1,IFERROR(IF(VALUE($E999)&lt;100000000,VALUE($E999),1000000000),IFERROR(IF(VALUE(MID($E999,2,20))&lt;100000000,VALUE(MID($E999,2,20)),1000000000),1000000000))+ROW()/100000,"")</f>
        <v/>
      </c>
    </row>
    <row r="1000">
      <c r="G1000" s="14" t="n"/>
      <c r="Q1000" s="7">
        <f>IF($E1000="","",P1000*Z1000/100)</f>
        <v/>
      </c>
      <c r="R1000" s="7" t="n"/>
      <c r="Y1000" s="7" t="n"/>
      <c r="Z1000" s="7" t="n"/>
      <c r="AA1000" s="7" t="n"/>
      <c r="AD1000">
        <f>IF($E1000="","",IF($AT1000=1,Settings!$C$8,IF($AS1000=1,Settings!$C$6,Settings!$C$7))*100)</f>
        <v/>
      </c>
      <c r="AE1000" s="7">
        <f>IF($E1000="","",Z1000*AD1000/100)</f>
        <v/>
      </c>
      <c r="AF1000" s="7">
        <f>IF($E1000="","",Z1000-AE1000)</f>
        <v/>
      </c>
      <c r="AG1000" s="7">
        <f>IF($E1000="","",AF1000-Q1000)</f>
        <v/>
      </c>
      <c r="AK1000" s="7" t="n"/>
      <c r="AN1000" s="14" t="n"/>
      <c r="AQ1000">
        <f>IF($E1000="","",IF(COUNTIF($E$2:$E1000,$E1000)=1,1,0))</f>
        <v/>
      </c>
      <c r="AR1000">
        <f>IF($AQ1000=1,SUMPRODUCT(--($AU$2:$AU$1501&lt;$AU1000))+1,"")</f>
        <v/>
      </c>
      <c r="AS1000">
        <f>IF($E1000="","",IF(OR($U1000=TRUE(),$U1000="TRUE"),1,0))</f>
        <v/>
      </c>
      <c r="AT1000">
        <f>IF($E1000="","",IF($AC1000="Yes",1,0))</f>
        <v/>
      </c>
      <c r="AU1000">
        <f>IF($AQ1000=1,IFERROR(IF(VALUE($E1000)&lt;100000000,VALUE($E1000),1000000000),IFERROR(IF(VALUE(MID($E1000,2,20))&lt;100000000,VALUE(MID($E1000,2,20)),1000000000),1000000000))+ROW()/100000,"")</f>
        <v/>
      </c>
    </row>
    <row r="1001">
      <c r="G1001" s="14" t="n"/>
      <c r="Q1001" s="7">
        <f>IF($E1001="","",P1001*Z1001/100)</f>
        <v/>
      </c>
      <c r="R1001" s="7" t="n"/>
      <c r="Y1001" s="7" t="n"/>
      <c r="Z1001" s="7" t="n"/>
      <c r="AA1001" s="7" t="n"/>
      <c r="AD1001">
        <f>IF($E1001="","",IF($AT1001=1,Settings!$C$8,IF($AS1001=1,Settings!$C$6,Settings!$C$7))*100)</f>
        <v/>
      </c>
      <c r="AE1001" s="7">
        <f>IF($E1001="","",Z1001*AD1001/100)</f>
        <v/>
      </c>
      <c r="AF1001" s="7">
        <f>IF($E1001="","",Z1001-AE1001)</f>
        <v/>
      </c>
      <c r="AG1001" s="7">
        <f>IF($E1001="","",AF1001-Q1001)</f>
        <v/>
      </c>
      <c r="AK1001" s="7" t="n"/>
      <c r="AN1001" s="14" t="n"/>
      <c r="AQ1001">
        <f>IF($E1001="","",IF(COUNTIF($E$2:$E1001,$E1001)=1,1,0))</f>
        <v/>
      </c>
      <c r="AR1001">
        <f>IF($AQ1001=1,SUMPRODUCT(--($AU$2:$AU$1501&lt;$AU1001))+1,"")</f>
        <v/>
      </c>
      <c r="AS1001">
        <f>IF($E1001="","",IF(OR($U1001=TRUE(),$U1001="TRUE"),1,0))</f>
        <v/>
      </c>
      <c r="AT1001">
        <f>IF($E1001="","",IF($AC1001="Yes",1,0))</f>
        <v/>
      </c>
      <c r="AU1001">
        <f>IF($AQ1001=1,IFERROR(IF(VALUE($E1001)&lt;100000000,VALUE($E1001),1000000000),IFERROR(IF(VALUE(MID($E1001,2,20))&lt;100000000,VALUE(MID($E1001,2,20)),1000000000),1000000000))+ROW()/100000,"")</f>
        <v/>
      </c>
    </row>
    <row r="1002">
      <c r="G1002" s="14" t="n"/>
      <c r="Q1002" s="7">
        <f>IF($E1002="","",P1002*Z1002/100)</f>
        <v/>
      </c>
      <c r="R1002" s="7" t="n"/>
      <c r="Y1002" s="7" t="n"/>
      <c r="Z1002" s="7" t="n"/>
      <c r="AA1002" s="7" t="n"/>
      <c r="AD1002">
        <f>IF($E1002="","",IF($AT1002=1,Settings!$C$8,IF($AS1002=1,Settings!$C$6,Settings!$C$7))*100)</f>
        <v/>
      </c>
      <c r="AE1002" s="7">
        <f>IF($E1002="","",Z1002*AD1002/100)</f>
        <v/>
      </c>
      <c r="AF1002" s="7">
        <f>IF($E1002="","",Z1002-AE1002)</f>
        <v/>
      </c>
      <c r="AG1002" s="7">
        <f>IF($E1002="","",AF1002-Q1002)</f>
        <v/>
      </c>
      <c r="AK1002" s="7" t="n"/>
      <c r="AN1002" s="14" t="n"/>
      <c r="AQ1002">
        <f>IF($E1002="","",IF(COUNTIF($E$2:$E1002,$E1002)=1,1,0))</f>
        <v/>
      </c>
      <c r="AR1002">
        <f>IF($AQ1002=1,SUMPRODUCT(--($AU$2:$AU$1501&lt;$AU1002))+1,"")</f>
        <v/>
      </c>
      <c r="AS1002">
        <f>IF($E1002="","",IF(OR($U1002=TRUE(),$U1002="TRUE"),1,0))</f>
        <v/>
      </c>
      <c r="AT1002">
        <f>IF($E1002="","",IF($AC1002="Yes",1,0))</f>
        <v/>
      </c>
      <c r="AU1002">
        <f>IF($AQ1002=1,IFERROR(IF(VALUE($E1002)&lt;100000000,VALUE($E1002),1000000000),IFERROR(IF(VALUE(MID($E1002,2,20))&lt;100000000,VALUE(MID($E1002,2,20)),1000000000),1000000000))+ROW()/100000,"")</f>
        <v/>
      </c>
    </row>
    <row r="1003">
      <c r="G1003" s="14" t="n"/>
      <c r="Q1003" s="7">
        <f>IF($E1003="","",P1003*Z1003/100)</f>
        <v/>
      </c>
      <c r="R1003" s="7" t="n"/>
      <c r="Y1003" s="7" t="n"/>
      <c r="Z1003" s="7" t="n"/>
      <c r="AA1003" s="7" t="n"/>
      <c r="AD1003">
        <f>IF($E1003="","",IF($AT1003=1,Settings!$C$8,IF($AS1003=1,Settings!$C$6,Settings!$C$7))*100)</f>
        <v/>
      </c>
      <c r="AE1003" s="7">
        <f>IF($E1003="","",Z1003*AD1003/100)</f>
        <v/>
      </c>
      <c r="AF1003" s="7">
        <f>IF($E1003="","",Z1003-AE1003)</f>
        <v/>
      </c>
      <c r="AG1003" s="7">
        <f>IF($E1003="","",AF1003-Q1003)</f>
        <v/>
      </c>
      <c r="AK1003" s="7" t="n"/>
      <c r="AN1003" s="14" t="n"/>
      <c r="AQ1003">
        <f>IF($E1003="","",IF(COUNTIF($E$2:$E1003,$E1003)=1,1,0))</f>
        <v/>
      </c>
      <c r="AR1003">
        <f>IF($AQ1003=1,SUMPRODUCT(--($AU$2:$AU$1501&lt;$AU1003))+1,"")</f>
        <v/>
      </c>
      <c r="AS1003">
        <f>IF($E1003="","",IF(OR($U1003=TRUE(),$U1003="TRUE"),1,0))</f>
        <v/>
      </c>
      <c r="AT1003">
        <f>IF($E1003="","",IF($AC1003="Yes",1,0))</f>
        <v/>
      </c>
      <c r="AU1003">
        <f>IF($AQ1003=1,IFERROR(IF(VALUE($E1003)&lt;100000000,VALUE($E1003),1000000000),IFERROR(IF(VALUE(MID($E1003,2,20))&lt;100000000,VALUE(MID($E1003,2,20)),1000000000),1000000000))+ROW()/100000,"")</f>
        <v/>
      </c>
    </row>
    <row r="1004">
      <c r="G1004" s="14" t="n"/>
      <c r="Q1004" s="7">
        <f>IF($E1004="","",P1004*Z1004/100)</f>
        <v/>
      </c>
      <c r="R1004" s="7" t="n"/>
      <c r="Y1004" s="7" t="n"/>
      <c r="Z1004" s="7" t="n"/>
      <c r="AA1004" s="7" t="n"/>
      <c r="AD1004">
        <f>IF($E1004="","",IF($AT1004=1,Settings!$C$8,IF($AS1004=1,Settings!$C$6,Settings!$C$7))*100)</f>
        <v/>
      </c>
      <c r="AE1004" s="7">
        <f>IF($E1004="","",Z1004*AD1004/100)</f>
        <v/>
      </c>
      <c r="AF1004" s="7">
        <f>IF($E1004="","",Z1004-AE1004)</f>
        <v/>
      </c>
      <c r="AG1004" s="7">
        <f>IF($E1004="","",AF1004-Q1004)</f>
        <v/>
      </c>
      <c r="AK1004" s="7" t="n"/>
      <c r="AN1004" s="14" t="n"/>
      <c r="AQ1004">
        <f>IF($E1004="","",IF(COUNTIF($E$2:$E1004,$E1004)=1,1,0))</f>
        <v/>
      </c>
      <c r="AR1004">
        <f>IF($AQ1004=1,SUMPRODUCT(--($AU$2:$AU$1501&lt;$AU1004))+1,"")</f>
        <v/>
      </c>
      <c r="AS1004">
        <f>IF($E1004="","",IF(OR($U1004=TRUE(),$U1004="TRUE"),1,0))</f>
        <v/>
      </c>
      <c r="AT1004">
        <f>IF($E1004="","",IF($AC1004="Yes",1,0))</f>
        <v/>
      </c>
      <c r="AU1004">
        <f>IF($AQ1004=1,IFERROR(IF(VALUE($E1004)&lt;100000000,VALUE($E1004),1000000000),IFERROR(IF(VALUE(MID($E1004,2,20))&lt;100000000,VALUE(MID($E1004,2,20)),1000000000),1000000000))+ROW()/100000,"")</f>
        <v/>
      </c>
    </row>
    <row r="1005">
      <c r="G1005" s="14" t="n"/>
      <c r="Q1005" s="7">
        <f>IF($E1005="","",P1005*Z1005/100)</f>
        <v/>
      </c>
      <c r="R1005" s="7" t="n"/>
      <c r="Y1005" s="7" t="n"/>
      <c r="Z1005" s="7" t="n"/>
      <c r="AA1005" s="7" t="n"/>
      <c r="AD1005">
        <f>IF($E1005="","",IF($AT1005=1,Settings!$C$8,IF($AS1005=1,Settings!$C$6,Settings!$C$7))*100)</f>
        <v/>
      </c>
      <c r="AE1005" s="7">
        <f>IF($E1005="","",Z1005*AD1005/100)</f>
        <v/>
      </c>
      <c r="AF1005" s="7">
        <f>IF($E1005="","",Z1005-AE1005)</f>
        <v/>
      </c>
      <c r="AG1005" s="7">
        <f>IF($E1005="","",AF1005-Q1005)</f>
        <v/>
      </c>
      <c r="AK1005" s="7" t="n"/>
      <c r="AN1005" s="14" t="n"/>
      <c r="AQ1005">
        <f>IF($E1005="","",IF(COUNTIF($E$2:$E1005,$E1005)=1,1,0))</f>
        <v/>
      </c>
      <c r="AR1005">
        <f>IF($AQ1005=1,SUMPRODUCT(--($AU$2:$AU$1501&lt;$AU1005))+1,"")</f>
        <v/>
      </c>
      <c r="AS1005">
        <f>IF($E1005="","",IF(OR($U1005=TRUE(),$U1005="TRUE"),1,0))</f>
        <v/>
      </c>
      <c r="AT1005">
        <f>IF($E1005="","",IF($AC1005="Yes",1,0))</f>
        <v/>
      </c>
      <c r="AU1005">
        <f>IF($AQ1005=1,IFERROR(IF(VALUE($E1005)&lt;100000000,VALUE($E1005),1000000000),IFERROR(IF(VALUE(MID($E1005,2,20))&lt;100000000,VALUE(MID($E1005,2,20)),1000000000),1000000000))+ROW()/100000,"")</f>
        <v/>
      </c>
    </row>
    <row r="1006">
      <c r="G1006" s="14" t="n"/>
      <c r="Q1006" s="7">
        <f>IF($E1006="","",P1006*Z1006/100)</f>
        <v/>
      </c>
      <c r="R1006" s="7" t="n"/>
      <c r="Y1006" s="7" t="n"/>
      <c r="Z1006" s="7" t="n"/>
      <c r="AA1006" s="7" t="n"/>
      <c r="AD1006">
        <f>IF($E1006="","",IF($AT1006=1,Settings!$C$8,IF($AS1006=1,Settings!$C$6,Settings!$C$7))*100)</f>
        <v/>
      </c>
      <c r="AE1006" s="7">
        <f>IF($E1006="","",Z1006*AD1006/100)</f>
        <v/>
      </c>
      <c r="AF1006" s="7">
        <f>IF($E1006="","",Z1006-AE1006)</f>
        <v/>
      </c>
      <c r="AG1006" s="7">
        <f>IF($E1006="","",AF1006-Q1006)</f>
        <v/>
      </c>
      <c r="AK1006" s="7" t="n"/>
      <c r="AN1006" s="14" t="n"/>
      <c r="AQ1006">
        <f>IF($E1006="","",IF(COUNTIF($E$2:$E1006,$E1006)=1,1,0))</f>
        <v/>
      </c>
      <c r="AR1006">
        <f>IF($AQ1006=1,SUMPRODUCT(--($AU$2:$AU$1501&lt;$AU1006))+1,"")</f>
        <v/>
      </c>
      <c r="AS1006">
        <f>IF($E1006="","",IF(OR($U1006=TRUE(),$U1006="TRUE"),1,0))</f>
        <v/>
      </c>
      <c r="AT1006">
        <f>IF($E1006="","",IF($AC1006="Yes",1,0))</f>
        <v/>
      </c>
      <c r="AU1006">
        <f>IF($AQ1006=1,IFERROR(IF(VALUE($E1006)&lt;100000000,VALUE($E1006),1000000000),IFERROR(IF(VALUE(MID($E1006,2,20))&lt;100000000,VALUE(MID($E1006,2,20)),1000000000),1000000000))+ROW()/100000,"")</f>
        <v/>
      </c>
    </row>
    <row r="1007">
      <c r="G1007" s="14" t="n"/>
      <c r="Q1007" s="7">
        <f>IF($E1007="","",P1007*Z1007/100)</f>
        <v/>
      </c>
      <c r="R1007" s="7" t="n"/>
      <c r="Y1007" s="7" t="n"/>
      <c r="Z1007" s="7" t="n"/>
      <c r="AA1007" s="7" t="n"/>
      <c r="AD1007">
        <f>IF($E1007="","",IF($AT1007=1,Settings!$C$8,IF($AS1007=1,Settings!$C$6,Settings!$C$7))*100)</f>
        <v/>
      </c>
      <c r="AE1007" s="7">
        <f>IF($E1007="","",Z1007*AD1007/100)</f>
        <v/>
      </c>
      <c r="AF1007" s="7">
        <f>IF($E1007="","",Z1007-AE1007)</f>
        <v/>
      </c>
      <c r="AG1007" s="7">
        <f>IF($E1007="","",AF1007-Q1007)</f>
        <v/>
      </c>
      <c r="AK1007" s="7" t="n"/>
      <c r="AN1007" s="14" t="n"/>
      <c r="AQ1007">
        <f>IF($E1007="","",IF(COUNTIF($E$2:$E1007,$E1007)=1,1,0))</f>
        <v/>
      </c>
      <c r="AR1007">
        <f>IF($AQ1007=1,SUMPRODUCT(--($AU$2:$AU$1501&lt;$AU1007))+1,"")</f>
        <v/>
      </c>
      <c r="AS1007">
        <f>IF($E1007="","",IF(OR($U1007=TRUE(),$U1007="TRUE"),1,0))</f>
        <v/>
      </c>
      <c r="AT1007">
        <f>IF($E1007="","",IF($AC1007="Yes",1,0))</f>
        <v/>
      </c>
      <c r="AU1007">
        <f>IF($AQ1007=1,IFERROR(IF(VALUE($E1007)&lt;100000000,VALUE($E1007),1000000000),IFERROR(IF(VALUE(MID($E1007,2,20))&lt;100000000,VALUE(MID($E1007,2,20)),1000000000),1000000000))+ROW()/100000,"")</f>
        <v/>
      </c>
    </row>
    <row r="1008">
      <c r="G1008" s="14" t="n"/>
      <c r="Q1008" s="7">
        <f>IF($E1008="","",P1008*Z1008/100)</f>
        <v/>
      </c>
      <c r="R1008" s="7" t="n"/>
      <c r="Y1008" s="7" t="n"/>
      <c r="Z1008" s="7" t="n"/>
      <c r="AA1008" s="7" t="n"/>
      <c r="AD1008">
        <f>IF($E1008="","",IF($AT1008=1,Settings!$C$8,IF($AS1008=1,Settings!$C$6,Settings!$C$7))*100)</f>
        <v/>
      </c>
      <c r="AE1008" s="7">
        <f>IF($E1008="","",Z1008*AD1008/100)</f>
        <v/>
      </c>
      <c r="AF1008" s="7">
        <f>IF($E1008="","",Z1008-AE1008)</f>
        <v/>
      </c>
      <c r="AG1008" s="7">
        <f>IF($E1008="","",AF1008-Q1008)</f>
        <v/>
      </c>
      <c r="AK1008" s="7" t="n"/>
      <c r="AN1008" s="14" t="n"/>
      <c r="AQ1008">
        <f>IF($E1008="","",IF(COUNTIF($E$2:$E1008,$E1008)=1,1,0))</f>
        <v/>
      </c>
      <c r="AR1008">
        <f>IF($AQ1008=1,SUMPRODUCT(--($AU$2:$AU$1501&lt;$AU1008))+1,"")</f>
        <v/>
      </c>
      <c r="AS1008">
        <f>IF($E1008="","",IF(OR($U1008=TRUE(),$U1008="TRUE"),1,0))</f>
        <v/>
      </c>
      <c r="AT1008">
        <f>IF($E1008="","",IF($AC1008="Yes",1,0))</f>
        <v/>
      </c>
      <c r="AU1008">
        <f>IF($AQ1008=1,IFERROR(IF(VALUE($E1008)&lt;100000000,VALUE($E1008),1000000000),IFERROR(IF(VALUE(MID($E1008,2,20))&lt;100000000,VALUE(MID($E1008,2,20)),1000000000),1000000000))+ROW()/100000,"")</f>
        <v/>
      </c>
    </row>
    <row r="1009">
      <c r="G1009" s="14" t="n"/>
      <c r="Q1009" s="7">
        <f>IF($E1009="","",P1009*Z1009/100)</f>
        <v/>
      </c>
      <c r="R1009" s="7" t="n"/>
      <c r="Y1009" s="7" t="n"/>
      <c r="Z1009" s="7" t="n"/>
      <c r="AA1009" s="7" t="n"/>
      <c r="AD1009">
        <f>IF($E1009="","",IF($AT1009=1,Settings!$C$8,IF($AS1009=1,Settings!$C$6,Settings!$C$7))*100)</f>
        <v/>
      </c>
      <c r="AE1009" s="7">
        <f>IF($E1009="","",Z1009*AD1009/100)</f>
        <v/>
      </c>
      <c r="AF1009" s="7">
        <f>IF($E1009="","",Z1009-AE1009)</f>
        <v/>
      </c>
      <c r="AG1009" s="7">
        <f>IF($E1009="","",AF1009-Q1009)</f>
        <v/>
      </c>
      <c r="AK1009" s="7" t="n"/>
      <c r="AN1009" s="14" t="n"/>
      <c r="AQ1009">
        <f>IF($E1009="","",IF(COUNTIF($E$2:$E1009,$E1009)=1,1,0))</f>
        <v/>
      </c>
      <c r="AR1009">
        <f>IF($AQ1009=1,SUMPRODUCT(--($AU$2:$AU$1501&lt;$AU1009))+1,"")</f>
        <v/>
      </c>
      <c r="AS1009">
        <f>IF($E1009="","",IF(OR($U1009=TRUE(),$U1009="TRUE"),1,0))</f>
        <v/>
      </c>
      <c r="AT1009">
        <f>IF($E1009="","",IF($AC1009="Yes",1,0))</f>
        <v/>
      </c>
      <c r="AU1009">
        <f>IF($AQ1009=1,IFERROR(IF(VALUE($E1009)&lt;100000000,VALUE($E1009),1000000000),IFERROR(IF(VALUE(MID($E1009,2,20))&lt;100000000,VALUE(MID($E1009,2,20)),1000000000),1000000000))+ROW()/100000,"")</f>
        <v/>
      </c>
    </row>
    <row r="1010">
      <c r="G1010" s="14" t="n"/>
      <c r="Q1010" s="7">
        <f>IF($E1010="","",P1010*Z1010/100)</f>
        <v/>
      </c>
      <c r="R1010" s="7" t="n"/>
      <c r="Y1010" s="7" t="n"/>
      <c r="Z1010" s="7" t="n"/>
      <c r="AA1010" s="7" t="n"/>
      <c r="AD1010">
        <f>IF($E1010="","",IF($AT1010=1,Settings!$C$8,IF($AS1010=1,Settings!$C$6,Settings!$C$7))*100)</f>
        <v/>
      </c>
      <c r="AE1010" s="7">
        <f>IF($E1010="","",Z1010*AD1010/100)</f>
        <v/>
      </c>
      <c r="AF1010" s="7">
        <f>IF($E1010="","",Z1010-AE1010)</f>
        <v/>
      </c>
      <c r="AG1010" s="7">
        <f>IF($E1010="","",AF1010-Q1010)</f>
        <v/>
      </c>
      <c r="AK1010" s="7" t="n"/>
      <c r="AN1010" s="14" t="n"/>
      <c r="AQ1010">
        <f>IF($E1010="","",IF(COUNTIF($E$2:$E1010,$E1010)=1,1,0))</f>
        <v/>
      </c>
      <c r="AR1010">
        <f>IF($AQ1010=1,SUMPRODUCT(--($AU$2:$AU$1501&lt;$AU1010))+1,"")</f>
        <v/>
      </c>
      <c r="AS1010">
        <f>IF($E1010="","",IF(OR($U1010=TRUE(),$U1010="TRUE"),1,0))</f>
        <v/>
      </c>
      <c r="AT1010">
        <f>IF($E1010="","",IF($AC1010="Yes",1,0))</f>
        <v/>
      </c>
      <c r="AU1010">
        <f>IF($AQ1010=1,IFERROR(IF(VALUE($E1010)&lt;100000000,VALUE($E1010),1000000000),IFERROR(IF(VALUE(MID($E1010,2,20))&lt;100000000,VALUE(MID($E1010,2,20)),1000000000),1000000000))+ROW()/100000,"")</f>
        <v/>
      </c>
    </row>
    <row r="1011">
      <c r="G1011" s="14" t="n"/>
      <c r="Q1011" s="7">
        <f>IF($E1011="","",P1011*Z1011/100)</f>
        <v/>
      </c>
      <c r="R1011" s="7" t="n"/>
      <c r="Y1011" s="7" t="n"/>
      <c r="Z1011" s="7" t="n"/>
      <c r="AA1011" s="7" t="n"/>
      <c r="AD1011">
        <f>IF($E1011="","",IF($AT1011=1,Settings!$C$8,IF($AS1011=1,Settings!$C$6,Settings!$C$7))*100)</f>
        <v/>
      </c>
      <c r="AE1011" s="7">
        <f>IF($E1011="","",Z1011*AD1011/100)</f>
        <v/>
      </c>
      <c r="AF1011" s="7">
        <f>IF($E1011="","",Z1011-AE1011)</f>
        <v/>
      </c>
      <c r="AG1011" s="7">
        <f>IF($E1011="","",AF1011-Q1011)</f>
        <v/>
      </c>
      <c r="AK1011" s="7" t="n"/>
      <c r="AN1011" s="14" t="n"/>
      <c r="AQ1011">
        <f>IF($E1011="","",IF(COUNTIF($E$2:$E1011,$E1011)=1,1,0))</f>
        <v/>
      </c>
      <c r="AR1011">
        <f>IF($AQ1011=1,SUMPRODUCT(--($AU$2:$AU$1501&lt;$AU1011))+1,"")</f>
        <v/>
      </c>
      <c r="AS1011">
        <f>IF($E1011="","",IF(OR($U1011=TRUE(),$U1011="TRUE"),1,0))</f>
        <v/>
      </c>
      <c r="AT1011">
        <f>IF($E1011="","",IF($AC1011="Yes",1,0))</f>
        <v/>
      </c>
      <c r="AU1011">
        <f>IF($AQ1011=1,IFERROR(IF(VALUE($E1011)&lt;100000000,VALUE($E1011),1000000000),IFERROR(IF(VALUE(MID($E1011,2,20))&lt;100000000,VALUE(MID($E1011,2,20)),1000000000),1000000000))+ROW()/100000,"")</f>
        <v/>
      </c>
    </row>
    <row r="1012">
      <c r="G1012" s="14" t="n"/>
      <c r="Q1012" s="7">
        <f>IF($E1012="","",P1012*Z1012/100)</f>
        <v/>
      </c>
      <c r="R1012" s="7" t="n"/>
      <c r="Y1012" s="7" t="n"/>
      <c r="Z1012" s="7" t="n"/>
      <c r="AA1012" s="7" t="n"/>
      <c r="AD1012">
        <f>IF($E1012="","",IF($AT1012=1,Settings!$C$8,IF($AS1012=1,Settings!$C$6,Settings!$C$7))*100)</f>
        <v/>
      </c>
      <c r="AE1012" s="7">
        <f>IF($E1012="","",Z1012*AD1012/100)</f>
        <v/>
      </c>
      <c r="AF1012" s="7">
        <f>IF($E1012="","",Z1012-AE1012)</f>
        <v/>
      </c>
      <c r="AG1012" s="7">
        <f>IF($E1012="","",AF1012-Q1012)</f>
        <v/>
      </c>
      <c r="AK1012" s="7" t="n"/>
      <c r="AN1012" s="14" t="n"/>
      <c r="AQ1012">
        <f>IF($E1012="","",IF(COUNTIF($E$2:$E1012,$E1012)=1,1,0))</f>
        <v/>
      </c>
      <c r="AR1012">
        <f>IF($AQ1012=1,SUMPRODUCT(--($AU$2:$AU$1501&lt;$AU1012))+1,"")</f>
        <v/>
      </c>
      <c r="AS1012">
        <f>IF($E1012="","",IF(OR($U1012=TRUE(),$U1012="TRUE"),1,0))</f>
        <v/>
      </c>
      <c r="AT1012">
        <f>IF($E1012="","",IF($AC1012="Yes",1,0))</f>
        <v/>
      </c>
      <c r="AU1012">
        <f>IF($AQ1012=1,IFERROR(IF(VALUE($E1012)&lt;100000000,VALUE($E1012),1000000000),IFERROR(IF(VALUE(MID($E1012,2,20))&lt;100000000,VALUE(MID($E1012,2,20)),1000000000),1000000000))+ROW()/100000,"")</f>
        <v/>
      </c>
    </row>
    <row r="1013">
      <c r="G1013" s="14" t="n"/>
      <c r="Q1013" s="7">
        <f>IF($E1013="","",P1013*Z1013/100)</f>
        <v/>
      </c>
      <c r="R1013" s="7" t="n"/>
      <c r="Y1013" s="7" t="n"/>
      <c r="Z1013" s="7" t="n"/>
      <c r="AA1013" s="7" t="n"/>
      <c r="AD1013">
        <f>IF($E1013="","",IF($AT1013=1,Settings!$C$8,IF($AS1013=1,Settings!$C$6,Settings!$C$7))*100)</f>
        <v/>
      </c>
      <c r="AE1013" s="7">
        <f>IF($E1013="","",Z1013*AD1013/100)</f>
        <v/>
      </c>
      <c r="AF1013" s="7">
        <f>IF($E1013="","",Z1013-AE1013)</f>
        <v/>
      </c>
      <c r="AG1013" s="7">
        <f>IF($E1013="","",AF1013-Q1013)</f>
        <v/>
      </c>
      <c r="AK1013" s="7" t="n"/>
      <c r="AN1013" s="14" t="n"/>
      <c r="AQ1013">
        <f>IF($E1013="","",IF(COUNTIF($E$2:$E1013,$E1013)=1,1,0))</f>
        <v/>
      </c>
      <c r="AR1013">
        <f>IF($AQ1013=1,SUMPRODUCT(--($AU$2:$AU$1501&lt;$AU1013))+1,"")</f>
        <v/>
      </c>
      <c r="AS1013">
        <f>IF($E1013="","",IF(OR($U1013=TRUE(),$U1013="TRUE"),1,0))</f>
        <v/>
      </c>
      <c r="AT1013">
        <f>IF($E1013="","",IF($AC1013="Yes",1,0))</f>
        <v/>
      </c>
      <c r="AU1013">
        <f>IF($AQ1013=1,IFERROR(IF(VALUE($E1013)&lt;100000000,VALUE($E1013),1000000000),IFERROR(IF(VALUE(MID($E1013,2,20))&lt;100000000,VALUE(MID($E1013,2,20)),1000000000),1000000000))+ROW()/100000,"")</f>
        <v/>
      </c>
    </row>
    <row r="1014">
      <c r="G1014" s="14" t="n"/>
      <c r="Q1014" s="7">
        <f>IF($E1014="","",P1014*Z1014/100)</f>
        <v/>
      </c>
      <c r="R1014" s="7" t="n"/>
      <c r="Y1014" s="7" t="n"/>
      <c r="Z1014" s="7" t="n"/>
      <c r="AA1014" s="7" t="n"/>
      <c r="AD1014">
        <f>IF($E1014="","",IF($AT1014=1,Settings!$C$8,IF($AS1014=1,Settings!$C$6,Settings!$C$7))*100)</f>
        <v/>
      </c>
      <c r="AE1014" s="7">
        <f>IF($E1014="","",Z1014*AD1014/100)</f>
        <v/>
      </c>
      <c r="AF1014" s="7">
        <f>IF($E1014="","",Z1014-AE1014)</f>
        <v/>
      </c>
      <c r="AG1014" s="7">
        <f>IF($E1014="","",AF1014-Q1014)</f>
        <v/>
      </c>
      <c r="AK1014" s="7" t="n"/>
      <c r="AN1014" s="14" t="n"/>
      <c r="AQ1014">
        <f>IF($E1014="","",IF(COUNTIF($E$2:$E1014,$E1014)=1,1,0))</f>
        <v/>
      </c>
      <c r="AR1014">
        <f>IF($AQ1014=1,SUMPRODUCT(--($AU$2:$AU$1501&lt;$AU1014))+1,"")</f>
        <v/>
      </c>
      <c r="AS1014">
        <f>IF($E1014="","",IF(OR($U1014=TRUE(),$U1014="TRUE"),1,0))</f>
        <v/>
      </c>
      <c r="AT1014">
        <f>IF($E1014="","",IF($AC1014="Yes",1,0))</f>
        <v/>
      </c>
      <c r="AU1014">
        <f>IF($AQ1014=1,IFERROR(IF(VALUE($E1014)&lt;100000000,VALUE($E1014),1000000000),IFERROR(IF(VALUE(MID($E1014,2,20))&lt;100000000,VALUE(MID($E1014,2,20)),1000000000),1000000000))+ROW()/100000,"")</f>
        <v/>
      </c>
    </row>
    <row r="1015">
      <c r="G1015" s="14" t="n"/>
      <c r="Q1015" s="7">
        <f>IF($E1015="","",P1015*Z1015/100)</f>
        <v/>
      </c>
      <c r="R1015" s="7" t="n"/>
      <c r="Y1015" s="7" t="n"/>
      <c r="Z1015" s="7" t="n"/>
      <c r="AA1015" s="7" t="n"/>
      <c r="AD1015">
        <f>IF($E1015="","",IF($AT1015=1,Settings!$C$8,IF($AS1015=1,Settings!$C$6,Settings!$C$7))*100)</f>
        <v/>
      </c>
      <c r="AE1015" s="7">
        <f>IF($E1015="","",Z1015*AD1015/100)</f>
        <v/>
      </c>
      <c r="AF1015" s="7">
        <f>IF($E1015="","",Z1015-AE1015)</f>
        <v/>
      </c>
      <c r="AG1015" s="7">
        <f>IF($E1015="","",AF1015-Q1015)</f>
        <v/>
      </c>
      <c r="AK1015" s="7" t="n"/>
      <c r="AN1015" s="14" t="n"/>
      <c r="AQ1015">
        <f>IF($E1015="","",IF(COUNTIF($E$2:$E1015,$E1015)=1,1,0))</f>
        <v/>
      </c>
      <c r="AR1015">
        <f>IF($AQ1015=1,SUMPRODUCT(--($AU$2:$AU$1501&lt;$AU1015))+1,"")</f>
        <v/>
      </c>
      <c r="AS1015">
        <f>IF($E1015="","",IF(OR($U1015=TRUE(),$U1015="TRUE"),1,0))</f>
        <v/>
      </c>
      <c r="AT1015">
        <f>IF($E1015="","",IF($AC1015="Yes",1,0))</f>
        <v/>
      </c>
      <c r="AU1015">
        <f>IF($AQ1015=1,IFERROR(IF(VALUE($E1015)&lt;100000000,VALUE($E1015),1000000000),IFERROR(IF(VALUE(MID($E1015,2,20))&lt;100000000,VALUE(MID($E1015,2,20)),1000000000),1000000000))+ROW()/100000,"")</f>
        <v/>
      </c>
    </row>
    <row r="1016">
      <c r="G1016" s="14" t="n"/>
      <c r="Q1016" s="7">
        <f>IF($E1016="","",P1016*Z1016/100)</f>
        <v/>
      </c>
      <c r="R1016" s="7" t="n"/>
      <c r="Y1016" s="7" t="n"/>
      <c r="Z1016" s="7" t="n"/>
      <c r="AA1016" s="7" t="n"/>
      <c r="AD1016">
        <f>IF($E1016="","",IF($AT1016=1,Settings!$C$8,IF($AS1016=1,Settings!$C$6,Settings!$C$7))*100)</f>
        <v/>
      </c>
      <c r="AE1016" s="7">
        <f>IF($E1016="","",Z1016*AD1016/100)</f>
        <v/>
      </c>
      <c r="AF1016" s="7">
        <f>IF($E1016="","",Z1016-AE1016)</f>
        <v/>
      </c>
      <c r="AG1016" s="7">
        <f>IF($E1016="","",AF1016-Q1016)</f>
        <v/>
      </c>
      <c r="AK1016" s="7" t="n"/>
      <c r="AN1016" s="14" t="n"/>
      <c r="AQ1016">
        <f>IF($E1016="","",IF(COUNTIF($E$2:$E1016,$E1016)=1,1,0))</f>
        <v/>
      </c>
      <c r="AR1016">
        <f>IF($AQ1016=1,SUMPRODUCT(--($AU$2:$AU$1501&lt;$AU1016))+1,"")</f>
        <v/>
      </c>
      <c r="AS1016">
        <f>IF($E1016="","",IF(OR($U1016=TRUE(),$U1016="TRUE"),1,0))</f>
        <v/>
      </c>
      <c r="AT1016">
        <f>IF($E1016="","",IF($AC1016="Yes",1,0))</f>
        <v/>
      </c>
      <c r="AU1016">
        <f>IF($AQ1016=1,IFERROR(IF(VALUE($E1016)&lt;100000000,VALUE($E1016),1000000000),IFERROR(IF(VALUE(MID($E1016,2,20))&lt;100000000,VALUE(MID($E1016,2,20)),1000000000),1000000000))+ROW()/100000,"")</f>
        <v/>
      </c>
    </row>
    <row r="1017">
      <c r="G1017" s="14" t="n"/>
      <c r="Q1017" s="7">
        <f>IF($E1017="","",P1017*Z1017/100)</f>
        <v/>
      </c>
      <c r="R1017" s="7" t="n"/>
      <c r="Y1017" s="7" t="n"/>
      <c r="Z1017" s="7" t="n"/>
      <c r="AA1017" s="7" t="n"/>
      <c r="AD1017">
        <f>IF($E1017="","",IF($AT1017=1,Settings!$C$8,IF($AS1017=1,Settings!$C$6,Settings!$C$7))*100)</f>
        <v/>
      </c>
      <c r="AE1017" s="7">
        <f>IF($E1017="","",Z1017*AD1017/100)</f>
        <v/>
      </c>
      <c r="AF1017" s="7">
        <f>IF($E1017="","",Z1017-AE1017)</f>
        <v/>
      </c>
      <c r="AG1017" s="7">
        <f>IF($E1017="","",AF1017-Q1017)</f>
        <v/>
      </c>
      <c r="AK1017" s="7" t="n"/>
      <c r="AN1017" s="14" t="n"/>
      <c r="AQ1017">
        <f>IF($E1017="","",IF(COUNTIF($E$2:$E1017,$E1017)=1,1,0))</f>
        <v/>
      </c>
      <c r="AR1017">
        <f>IF($AQ1017=1,SUMPRODUCT(--($AU$2:$AU$1501&lt;$AU1017))+1,"")</f>
        <v/>
      </c>
      <c r="AS1017">
        <f>IF($E1017="","",IF(OR($U1017=TRUE(),$U1017="TRUE"),1,0))</f>
        <v/>
      </c>
      <c r="AT1017">
        <f>IF($E1017="","",IF($AC1017="Yes",1,0))</f>
        <v/>
      </c>
      <c r="AU1017">
        <f>IF($AQ1017=1,IFERROR(IF(VALUE($E1017)&lt;100000000,VALUE($E1017),1000000000),IFERROR(IF(VALUE(MID($E1017,2,20))&lt;100000000,VALUE(MID($E1017,2,20)),1000000000),1000000000))+ROW()/100000,"")</f>
        <v/>
      </c>
    </row>
    <row r="1018">
      <c r="G1018" s="14" t="n"/>
      <c r="Q1018" s="7">
        <f>IF($E1018="","",P1018*Z1018/100)</f>
        <v/>
      </c>
      <c r="R1018" s="7" t="n"/>
      <c r="Y1018" s="7" t="n"/>
      <c r="Z1018" s="7" t="n"/>
      <c r="AA1018" s="7" t="n"/>
      <c r="AD1018">
        <f>IF($E1018="","",IF($AT1018=1,Settings!$C$8,IF($AS1018=1,Settings!$C$6,Settings!$C$7))*100)</f>
        <v/>
      </c>
      <c r="AE1018" s="7">
        <f>IF($E1018="","",Z1018*AD1018/100)</f>
        <v/>
      </c>
      <c r="AF1018" s="7">
        <f>IF($E1018="","",Z1018-AE1018)</f>
        <v/>
      </c>
      <c r="AG1018" s="7">
        <f>IF($E1018="","",AF1018-Q1018)</f>
        <v/>
      </c>
      <c r="AK1018" s="7" t="n"/>
      <c r="AN1018" s="14" t="n"/>
      <c r="AQ1018">
        <f>IF($E1018="","",IF(COUNTIF($E$2:$E1018,$E1018)=1,1,0))</f>
        <v/>
      </c>
      <c r="AR1018">
        <f>IF($AQ1018=1,SUMPRODUCT(--($AU$2:$AU$1501&lt;$AU1018))+1,"")</f>
        <v/>
      </c>
      <c r="AS1018">
        <f>IF($E1018="","",IF(OR($U1018=TRUE(),$U1018="TRUE"),1,0))</f>
        <v/>
      </c>
      <c r="AT1018">
        <f>IF($E1018="","",IF($AC1018="Yes",1,0))</f>
        <v/>
      </c>
      <c r="AU1018">
        <f>IF($AQ1018=1,IFERROR(IF(VALUE($E1018)&lt;100000000,VALUE($E1018),1000000000),IFERROR(IF(VALUE(MID($E1018,2,20))&lt;100000000,VALUE(MID($E1018,2,20)),1000000000),1000000000))+ROW()/100000,"")</f>
        <v/>
      </c>
    </row>
    <row r="1019">
      <c r="G1019" s="14" t="n"/>
      <c r="Q1019" s="7">
        <f>IF($E1019="","",P1019*Z1019/100)</f>
        <v/>
      </c>
      <c r="R1019" s="7" t="n"/>
      <c r="Y1019" s="7" t="n"/>
      <c r="Z1019" s="7" t="n"/>
      <c r="AA1019" s="7" t="n"/>
      <c r="AD1019">
        <f>IF($E1019="","",IF($AT1019=1,Settings!$C$8,IF($AS1019=1,Settings!$C$6,Settings!$C$7))*100)</f>
        <v/>
      </c>
      <c r="AE1019" s="7">
        <f>IF($E1019="","",Z1019*AD1019/100)</f>
        <v/>
      </c>
      <c r="AF1019" s="7">
        <f>IF($E1019="","",Z1019-AE1019)</f>
        <v/>
      </c>
      <c r="AG1019" s="7">
        <f>IF($E1019="","",AF1019-Q1019)</f>
        <v/>
      </c>
      <c r="AK1019" s="7" t="n"/>
      <c r="AN1019" s="14" t="n"/>
      <c r="AQ1019">
        <f>IF($E1019="","",IF(COUNTIF($E$2:$E1019,$E1019)=1,1,0))</f>
        <v/>
      </c>
      <c r="AR1019">
        <f>IF($AQ1019=1,SUMPRODUCT(--($AU$2:$AU$1501&lt;$AU1019))+1,"")</f>
        <v/>
      </c>
      <c r="AS1019">
        <f>IF($E1019="","",IF(OR($U1019=TRUE(),$U1019="TRUE"),1,0))</f>
        <v/>
      </c>
      <c r="AT1019">
        <f>IF($E1019="","",IF($AC1019="Yes",1,0))</f>
        <v/>
      </c>
      <c r="AU1019">
        <f>IF($AQ1019=1,IFERROR(IF(VALUE($E1019)&lt;100000000,VALUE($E1019),1000000000),IFERROR(IF(VALUE(MID($E1019,2,20))&lt;100000000,VALUE(MID($E1019,2,20)),1000000000),1000000000))+ROW()/100000,"")</f>
        <v/>
      </c>
    </row>
    <row r="1020">
      <c r="G1020" s="14" t="n"/>
      <c r="Q1020" s="7">
        <f>IF($E1020="","",P1020*Z1020/100)</f>
        <v/>
      </c>
      <c r="R1020" s="7" t="n"/>
      <c r="Y1020" s="7" t="n"/>
      <c r="Z1020" s="7" t="n"/>
      <c r="AA1020" s="7" t="n"/>
      <c r="AD1020">
        <f>IF($E1020="","",IF($AT1020=1,Settings!$C$8,IF($AS1020=1,Settings!$C$6,Settings!$C$7))*100)</f>
        <v/>
      </c>
      <c r="AE1020" s="7">
        <f>IF($E1020="","",Z1020*AD1020/100)</f>
        <v/>
      </c>
      <c r="AF1020" s="7">
        <f>IF($E1020="","",Z1020-AE1020)</f>
        <v/>
      </c>
      <c r="AG1020" s="7">
        <f>IF($E1020="","",AF1020-Q1020)</f>
        <v/>
      </c>
      <c r="AK1020" s="7" t="n"/>
      <c r="AN1020" s="14" t="n"/>
      <c r="AQ1020">
        <f>IF($E1020="","",IF(COUNTIF($E$2:$E1020,$E1020)=1,1,0))</f>
        <v/>
      </c>
      <c r="AR1020">
        <f>IF($AQ1020=1,SUMPRODUCT(--($AU$2:$AU$1501&lt;$AU1020))+1,"")</f>
        <v/>
      </c>
      <c r="AS1020">
        <f>IF($E1020="","",IF(OR($U1020=TRUE(),$U1020="TRUE"),1,0))</f>
        <v/>
      </c>
      <c r="AT1020">
        <f>IF($E1020="","",IF($AC1020="Yes",1,0))</f>
        <v/>
      </c>
      <c r="AU1020">
        <f>IF($AQ1020=1,IFERROR(IF(VALUE($E1020)&lt;100000000,VALUE($E1020),1000000000),IFERROR(IF(VALUE(MID($E1020,2,20))&lt;100000000,VALUE(MID($E1020,2,20)),1000000000),1000000000))+ROW()/100000,"")</f>
        <v/>
      </c>
    </row>
    <row r="1021">
      <c r="G1021" s="14" t="n"/>
      <c r="Q1021" s="7">
        <f>IF($E1021="","",P1021*Z1021/100)</f>
        <v/>
      </c>
      <c r="R1021" s="7" t="n"/>
      <c r="Y1021" s="7" t="n"/>
      <c r="Z1021" s="7" t="n"/>
      <c r="AA1021" s="7" t="n"/>
      <c r="AD1021">
        <f>IF($E1021="","",IF($AT1021=1,Settings!$C$8,IF($AS1021=1,Settings!$C$6,Settings!$C$7))*100)</f>
        <v/>
      </c>
      <c r="AE1021" s="7">
        <f>IF($E1021="","",Z1021*AD1021/100)</f>
        <v/>
      </c>
      <c r="AF1021" s="7">
        <f>IF($E1021="","",Z1021-AE1021)</f>
        <v/>
      </c>
      <c r="AG1021" s="7">
        <f>IF($E1021="","",AF1021-Q1021)</f>
        <v/>
      </c>
      <c r="AK1021" s="7" t="n"/>
      <c r="AN1021" s="14" t="n"/>
      <c r="AQ1021">
        <f>IF($E1021="","",IF(COUNTIF($E$2:$E1021,$E1021)=1,1,0))</f>
        <v/>
      </c>
      <c r="AR1021">
        <f>IF($AQ1021=1,SUMPRODUCT(--($AU$2:$AU$1501&lt;$AU1021))+1,"")</f>
        <v/>
      </c>
      <c r="AS1021">
        <f>IF($E1021="","",IF(OR($U1021=TRUE(),$U1021="TRUE"),1,0))</f>
        <v/>
      </c>
      <c r="AT1021">
        <f>IF($E1021="","",IF($AC1021="Yes",1,0))</f>
        <v/>
      </c>
      <c r="AU1021">
        <f>IF($AQ1021=1,IFERROR(IF(VALUE($E1021)&lt;100000000,VALUE($E1021),1000000000),IFERROR(IF(VALUE(MID($E1021,2,20))&lt;100000000,VALUE(MID($E1021,2,20)),1000000000),1000000000))+ROW()/100000,"")</f>
        <v/>
      </c>
    </row>
    <row r="1022">
      <c r="G1022" s="14" t="n"/>
      <c r="Q1022" s="7">
        <f>IF($E1022="","",P1022*Z1022/100)</f>
        <v/>
      </c>
      <c r="R1022" s="7" t="n"/>
      <c r="Y1022" s="7" t="n"/>
      <c r="Z1022" s="7" t="n"/>
      <c r="AA1022" s="7" t="n"/>
      <c r="AD1022">
        <f>IF($E1022="","",IF($AT1022=1,Settings!$C$8,IF($AS1022=1,Settings!$C$6,Settings!$C$7))*100)</f>
        <v/>
      </c>
      <c r="AE1022" s="7">
        <f>IF($E1022="","",Z1022*AD1022/100)</f>
        <v/>
      </c>
      <c r="AF1022" s="7">
        <f>IF($E1022="","",Z1022-AE1022)</f>
        <v/>
      </c>
      <c r="AG1022" s="7">
        <f>IF($E1022="","",AF1022-Q1022)</f>
        <v/>
      </c>
      <c r="AK1022" s="7" t="n"/>
      <c r="AN1022" s="14" t="n"/>
      <c r="AQ1022">
        <f>IF($E1022="","",IF(COUNTIF($E$2:$E1022,$E1022)=1,1,0))</f>
        <v/>
      </c>
      <c r="AR1022">
        <f>IF($AQ1022=1,SUMPRODUCT(--($AU$2:$AU$1501&lt;$AU1022))+1,"")</f>
        <v/>
      </c>
      <c r="AS1022">
        <f>IF($E1022="","",IF(OR($U1022=TRUE(),$U1022="TRUE"),1,0))</f>
        <v/>
      </c>
      <c r="AT1022">
        <f>IF($E1022="","",IF($AC1022="Yes",1,0))</f>
        <v/>
      </c>
      <c r="AU1022">
        <f>IF($AQ1022=1,IFERROR(IF(VALUE($E1022)&lt;100000000,VALUE($E1022),1000000000),IFERROR(IF(VALUE(MID($E1022,2,20))&lt;100000000,VALUE(MID($E1022,2,20)),1000000000),1000000000))+ROW()/100000,"")</f>
        <v/>
      </c>
    </row>
    <row r="1023">
      <c r="G1023" s="14" t="n"/>
      <c r="Q1023" s="7">
        <f>IF($E1023="","",P1023*Z1023/100)</f>
        <v/>
      </c>
      <c r="R1023" s="7" t="n"/>
      <c r="Y1023" s="7" t="n"/>
      <c r="Z1023" s="7" t="n"/>
      <c r="AA1023" s="7" t="n"/>
      <c r="AD1023">
        <f>IF($E1023="","",IF($AT1023=1,Settings!$C$8,IF($AS1023=1,Settings!$C$6,Settings!$C$7))*100)</f>
        <v/>
      </c>
      <c r="AE1023" s="7">
        <f>IF($E1023="","",Z1023*AD1023/100)</f>
        <v/>
      </c>
      <c r="AF1023" s="7">
        <f>IF($E1023="","",Z1023-AE1023)</f>
        <v/>
      </c>
      <c r="AG1023" s="7">
        <f>IF($E1023="","",AF1023-Q1023)</f>
        <v/>
      </c>
      <c r="AK1023" s="7" t="n"/>
      <c r="AN1023" s="14" t="n"/>
      <c r="AQ1023">
        <f>IF($E1023="","",IF(COUNTIF($E$2:$E1023,$E1023)=1,1,0))</f>
        <v/>
      </c>
      <c r="AR1023">
        <f>IF($AQ1023=1,SUMPRODUCT(--($AU$2:$AU$1501&lt;$AU1023))+1,"")</f>
        <v/>
      </c>
      <c r="AS1023">
        <f>IF($E1023="","",IF(OR($U1023=TRUE(),$U1023="TRUE"),1,0))</f>
        <v/>
      </c>
      <c r="AT1023">
        <f>IF($E1023="","",IF($AC1023="Yes",1,0))</f>
        <v/>
      </c>
      <c r="AU1023">
        <f>IF($AQ1023=1,IFERROR(IF(VALUE($E1023)&lt;100000000,VALUE($E1023),1000000000),IFERROR(IF(VALUE(MID($E1023,2,20))&lt;100000000,VALUE(MID($E1023,2,20)),1000000000),1000000000))+ROW()/100000,"")</f>
        <v/>
      </c>
    </row>
    <row r="1024">
      <c r="G1024" s="14" t="n"/>
      <c r="Q1024" s="7">
        <f>IF($E1024="","",P1024*Z1024/100)</f>
        <v/>
      </c>
      <c r="R1024" s="7" t="n"/>
      <c r="Y1024" s="7" t="n"/>
      <c r="Z1024" s="7" t="n"/>
      <c r="AA1024" s="7" t="n"/>
      <c r="AD1024">
        <f>IF($E1024="","",IF($AT1024=1,Settings!$C$8,IF($AS1024=1,Settings!$C$6,Settings!$C$7))*100)</f>
        <v/>
      </c>
      <c r="AE1024" s="7">
        <f>IF($E1024="","",Z1024*AD1024/100)</f>
        <v/>
      </c>
      <c r="AF1024" s="7">
        <f>IF($E1024="","",Z1024-AE1024)</f>
        <v/>
      </c>
      <c r="AG1024" s="7">
        <f>IF($E1024="","",AF1024-Q1024)</f>
        <v/>
      </c>
      <c r="AK1024" s="7" t="n"/>
      <c r="AN1024" s="14" t="n"/>
      <c r="AQ1024">
        <f>IF($E1024="","",IF(COUNTIF($E$2:$E1024,$E1024)=1,1,0))</f>
        <v/>
      </c>
      <c r="AR1024">
        <f>IF($AQ1024=1,SUMPRODUCT(--($AU$2:$AU$1501&lt;$AU1024))+1,"")</f>
        <v/>
      </c>
      <c r="AS1024">
        <f>IF($E1024="","",IF(OR($U1024=TRUE(),$U1024="TRUE"),1,0))</f>
        <v/>
      </c>
      <c r="AT1024">
        <f>IF($E1024="","",IF($AC1024="Yes",1,0))</f>
        <v/>
      </c>
      <c r="AU1024">
        <f>IF($AQ1024=1,IFERROR(IF(VALUE($E1024)&lt;100000000,VALUE($E1024),1000000000),IFERROR(IF(VALUE(MID($E1024,2,20))&lt;100000000,VALUE(MID($E1024,2,20)),1000000000),1000000000))+ROW()/100000,"")</f>
        <v/>
      </c>
    </row>
    <row r="1025">
      <c r="G1025" s="14" t="n"/>
      <c r="Q1025" s="7">
        <f>IF($E1025="","",P1025*Z1025/100)</f>
        <v/>
      </c>
      <c r="R1025" s="7" t="n"/>
      <c r="Y1025" s="7" t="n"/>
      <c r="Z1025" s="7" t="n"/>
      <c r="AA1025" s="7" t="n"/>
      <c r="AD1025">
        <f>IF($E1025="","",IF($AT1025=1,Settings!$C$8,IF($AS1025=1,Settings!$C$6,Settings!$C$7))*100)</f>
        <v/>
      </c>
      <c r="AE1025" s="7">
        <f>IF($E1025="","",Z1025*AD1025/100)</f>
        <v/>
      </c>
      <c r="AF1025" s="7">
        <f>IF($E1025="","",Z1025-AE1025)</f>
        <v/>
      </c>
      <c r="AG1025" s="7">
        <f>IF($E1025="","",AF1025-Q1025)</f>
        <v/>
      </c>
      <c r="AK1025" s="7" t="n"/>
      <c r="AN1025" s="14" t="n"/>
      <c r="AQ1025">
        <f>IF($E1025="","",IF(COUNTIF($E$2:$E1025,$E1025)=1,1,0))</f>
        <v/>
      </c>
      <c r="AR1025">
        <f>IF($AQ1025=1,SUMPRODUCT(--($AU$2:$AU$1501&lt;$AU1025))+1,"")</f>
        <v/>
      </c>
      <c r="AS1025">
        <f>IF($E1025="","",IF(OR($U1025=TRUE(),$U1025="TRUE"),1,0))</f>
        <v/>
      </c>
      <c r="AT1025">
        <f>IF($E1025="","",IF($AC1025="Yes",1,0))</f>
        <v/>
      </c>
      <c r="AU1025">
        <f>IF($AQ1025=1,IFERROR(IF(VALUE($E1025)&lt;100000000,VALUE($E1025),1000000000),IFERROR(IF(VALUE(MID($E1025,2,20))&lt;100000000,VALUE(MID($E1025,2,20)),1000000000),1000000000))+ROW()/100000,"")</f>
        <v/>
      </c>
    </row>
    <row r="1026">
      <c r="G1026" s="14" t="n"/>
      <c r="Q1026" s="7">
        <f>IF($E1026="","",P1026*Z1026/100)</f>
        <v/>
      </c>
      <c r="R1026" s="7" t="n"/>
      <c r="Y1026" s="7" t="n"/>
      <c r="Z1026" s="7" t="n"/>
      <c r="AA1026" s="7" t="n"/>
      <c r="AD1026">
        <f>IF($E1026="","",IF($AT1026=1,Settings!$C$8,IF($AS1026=1,Settings!$C$6,Settings!$C$7))*100)</f>
        <v/>
      </c>
      <c r="AE1026" s="7">
        <f>IF($E1026="","",Z1026*AD1026/100)</f>
        <v/>
      </c>
      <c r="AF1026" s="7">
        <f>IF($E1026="","",Z1026-AE1026)</f>
        <v/>
      </c>
      <c r="AG1026" s="7">
        <f>IF($E1026="","",AF1026-Q1026)</f>
        <v/>
      </c>
      <c r="AK1026" s="7" t="n"/>
      <c r="AN1026" s="14" t="n"/>
      <c r="AQ1026">
        <f>IF($E1026="","",IF(COUNTIF($E$2:$E1026,$E1026)=1,1,0))</f>
        <v/>
      </c>
      <c r="AR1026">
        <f>IF($AQ1026=1,SUMPRODUCT(--($AU$2:$AU$1501&lt;$AU1026))+1,"")</f>
        <v/>
      </c>
      <c r="AS1026">
        <f>IF($E1026="","",IF(OR($U1026=TRUE(),$U1026="TRUE"),1,0))</f>
        <v/>
      </c>
      <c r="AT1026">
        <f>IF($E1026="","",IF($AC1026="Yes",1,0))</f>
        <v/>
      </c>
      <c r="AU1026">
        <f>IF($AQ1026=1,IFERROR(IF(VALUE($E1026)&lt;100000000,VALUE($E1026),1000000000),IFERROR(IF(VALUE(MID($E1026,2,20))&lt;100000000,VALUE(MID($E1026,2,20)),1000000000),1000000000))+ROW()/100000,"")</f>
        <v/>
      </c>
    </row>
    <row r="1027">
      <c r="G1027" s="14" t="n"/>
      <c r="Q1027" s="7">
        <f>IF($E1027="","",P1027*Z1027/100)</f>
        <v/>
      </c>
      <c r="R1027" s="7" t="n"/>
      <c r="Y1027" s="7" t="n"/>
      <c r="Z1027" s="7" t="n"/>
      <c r="AA1027" s="7" t="n"/>
      <c r="AD1027">
        <f>IF($E1027="","",IF($AT1027=1,Settings!$C$8,IF($AS1027=1,Settings!$C$6,Settings!$C$7))*100)</f>
        <v/>
      </c>
      <c r="AE1027" s="7">
        <f>IF($E1027="","",Z1027*AD1027/100)</f>
        <v/>
      </c>
      <c r="AF1027" s="7">
        <f>IF($E1027="","",Z1027-AE1027)</f>
        <v/>
      </c>
      <c r="AG1027" s="7">
        <f>IF($E1027="","",AF1027-Q1027)</f>
        <v/>
      </c>
      <c r="AK1027" s="7" t="n"/>
      <c r="AN1027" s="14" t="n"/>
      <c r="AQ1027">
        <f>IF($E1027="","",IF(COUNTIF($E$2:$E1027,$E1027)=1,1,0))</f>
        <v/>
      </c>
      <c r="AR1027">
        <f>IF($AQ1027=1,SUMPRODUCT(--($AU$2:$AU$1501&lt;$AU1027))+1,"")</f>
        <v/>
      </c>
      <c r="AS1027">
        <f>IF($E1027="","",IF(OR($U1027=TRUE(),$U1027="TRUE"),1,0))</f>
        <v/>
      </c>
      <c r="AT1027">
        <f>IF($E1027="","",IF($AC1027="Yes",1,0))</f>
        <v/>
      </c>
      <c r="AU1027">
        <f>IF($AQ1027=1,IFERROR(IF(VALUE($E1027)&lt;100000000,VALUE($E1027),1000000000),IFERROR(IF(VALUE(MID($E1027,2,20))&lt;100000000,VALUE(MID($E1027,2,20)),1000000000),1000000000))+ROW()/100000,"")</f>
        <v/>
      </c>
    </row>
    <row r="1028">
      <c r="G1028" s="14" t="n"/>
      <c r="Q1028" s="7">
        <f>IF($E1028="","",P1028*Z1028/100)</f>
        <v/>
      </c>
      <c r="R1028" s="7" t="n"/>
      <c r="Y1028" s="7" t="n"/>
      <c r="Z1028" s="7" t="n"/>
      <c r="AA1028" s="7" t="n"/>
      <c r="AD1028">
        <f>IF($E1028="","",IF($AT1028=1,Settings!$C$8,IF($AS1028=1,Settings!$C$6,Settings!$C$7))*100)</f>
        <v/>
      </c>
      <c r="AE1028" s="7">
        <f>IF($E1028="","",Z1028*AD1028/100)</f>
        <v/>
      </c>
      <c r="AF1028" s="7">
        <f>IF($E1028="","",Z1028-AE1028)</f>
        <v/>
      </c>
      <c r="AG1028" s="7">
        <f>IF($E1028="","",AF1028-Q1028)</f>
        <v/>
      </c>
      <c r="AK1028" s="7" t="n"/>
      <c r="AN1028" s="14" t="n"/>
      <c r="AQ1028">
        <f>IF($E1028="","",IF(COUNTIF($E$2:$E1028,$E1028)=1,1,0))</f>
        <v/>
      </c>
      <c r="AR1028">
        <f>IF($AQ1028=1,SUMPRODUCT(--($AU$2:$AU$1501&lt;$AU1028))+1,"")</f>
        <v/>
      </c>
      <c r="AS1028">
        <f>IF($E1028="","",IF(OR($U1028=TRUE(),$U1028="TRUE"),1,0))</f>
        <v/>
      </c>
      <c r="AT1028">
        <f>IF($E1028="","",IF($AC1028="Yes",1,0))</f>
        <v/>
      </c>
      <c r="AU1028">
        <f>IF($AQ1028=1,IFERROR(IF(VALUE($E1028)&lt;100000000,VALUE($E1028),1000000000),IFERROR(IF(VALUE(MID($E1028,2,20))&lt;100000000,VALUE(MID($E1028,2,20)),1000000000),1000000000))+ROW()/100000,"")</f>
        <v/>
      </c>
    </row>
    <row r="1029">
      <c r="G1029" s="14" t="n"/>
      <c r="Q1029" s="7">
        <f>IF($E1029="","",P1029*Z1029/100)</f>
        <v/>
      </c>
      <c r="R1029" s="7" t="n"/>
      <c r="Y1029" s="7" t="n"/>
      <c r="Z1029" s="7" t="n"/>
      <c r="AA1029" s="7" t="n"/>
      <c r="AD1029">
        <f>IF($E1029="","",IF($AT1029=1,Settings!$C$8,IF($AS1029=1,Settings!$C$6,Settings!$C$7))*100)</f>
        <v/>
      </c>
      <c r="AE1029" s="7">
        <f>IF($E1029="","",Z1029*AD1029/100)</f>
        <v/>
      </c>
      <c r="AF1029" s="7">
        <f>IF($E1029="","",Z1029-AE1029)</f>
        <v/>
      </c>
      <c r="AG1029" s="7">
        <f>IF($E1029="","",AF1029-Q1029)</f>
        <v/>
      </c>
      <c r="AK1029" s="7" t="n"/>
      <c r="AN1029" s="14" t="n"/>
      <c r="AQ1029">
        <f>IF($E1029="","",IF(COUNTIF($E$2:$E1029,$E1029)=1,1,0))</f>
        <v/>
      </c>
      <c r="AR1029">
        <f>IF($AQ1029=1,SUMPRODUCT(--($AU$2:$AU$1501&lt;$AU1029))+1,"")</f>
        <v/>
      </c>
      <c r="AS1029">
        <f>IF($E1029="","",IF(OR($U1029=TRUE(),$U1029="TRUE"),1,0))</f>
        <v/>
      </c>
      <c r="AT1029">
        <f>IF($E1029="","",IF($AC1029="Yes",1,0))</f>
        <v/>
      </c>
      <c r="AU1029">
        <f>IF($AQ1029=1,IFERROR(IF(VALUE($E1029)&lt;100000000,VALUE($E1029),1000000000),IFERROR(IF(VALUE(MID($E1029,2,20))&lt;100000000,VALUE(MID($E1029,2,20)),1000000000),1000000000))+ROW()/100000,"")</f>
        <v/>
      </c>
    </row>
    <row r="1030">
      <c r="G1030" s="14" t="n"/>
      <c r="Q1030" s="7">
        <f>IF($E1030="","",P1030*Z1030/100)</f>
        <v/>
      </c>
      <c r="R1030" s="7" t="n"/>
      <c r="Y1030" s="7" t="n"/>
      <c r="Z1030" s="7" t="n"/>
      <c r="AA1030" s="7" t="n"/>
      <c r="AD1030">
        <f>IF($E1030="","",IF($AT1030=1,Settings!$C$8,IF($AS1030=1,Settings!$C$6,Settings!$C$7))*100)</f>
        <v/>
      </c>
      <c r="AE1030" s="7">
        <f>IF($E1030="","",Z1030*AD1030/100)</f>
        <v/>
      </c>
      <c r="AF1030" s="7">
        <f>IF($E1030="","",Z1030-AE1030)</f>
        <v/>
      </c>
      <c r="AG1030" s="7">
        <f>IF($E1030="","",AF1030-Q1030)</f>
        <v/>
      </c>
      <c r="AK1030" s="7" t="n"/>
      <c r="AN1030" s="14" t="n"/>
      <c r="AQ1030">
        <f>IF($E1030="","",IF(COUNTIF($E$2:$E1030,$E1030)=1,1,0))</f>
        <v/>
      </c>
      <c r="AR1030">
        <f>IF($AQ1030=1,SUMPRODUCT(--($AU$2:$AU$1501&lt;$AU1030))+1,"")</f>
        <v/>
      </c>
      <c r="AS1030">
        <f>IF($E1030="","",IF(OR($U1030=TRUE(),$U1030="TRUE"),1,0))</f>
        <v/>
      </c>
      <c r="AT1030">
        <f>IF($E1030="","",IF($AC1030="Yes",1,0))</f>
        <v/>
      </c>
      <c r="AU1030">
        <f>IF($AQ1030=1,IFERROR(IF(VALUE($E1030)&lt;100000000,VALUE($E1030),1000000000),IFERROR(IF(VALUE(MID($E1030,2,20))&lt;100000000,VALUE(MID($E1030,2,20)),1000000000),1000000000))+ROW()/100000,"")</f>
        <v/>
      </c>
    </row>
    <row r="1031">
      <c r="G1031" s="14" t="n"/>
      <c r="Q1031" s="7">
        <f>IF($E1031="","",P1031*Z1031/100)</f>
        <v/>
      </c>
      <c r="R1031" s="7" t="n"/>
      <c r="Y1031" s="7" t="n"/>
      <c r="Z1031" s="7" t="n"/>
      <c r="AA1031" s="7" t="n"/>
      <c r="AD1031">
        <f>IF($E1031="","",IF($AT1031=1,Settings!$C$8,IF($AS1031=1,Settings!$C$6,Settings!$C$7))*100)</f>
        <v/>
      </c>
      <c r="AE1031" s="7">
        <f>IF($E1031="","",Z1031*AD1031/100)</f>
        <v/>
      </c>
      <c r="AF1031" s="7">
        <f>IF($E1031="","",Z1031-AE1031)</f>
        <v/>
      </c>
      <c r="AG1031" s="7">
        <f>IF($E1031="","",AF1031-Q1031)</f>
        <v/>
      </c>
      <c r="AK1031" s="7" t="n"/>
      <c r="AN1031" s="14" t="n"/>
      <c r="AQ1031">
        <f>IF($E1031="","",IF(COUNTIF($E$2:$E1031,$E1031)=1,1,0))</f>
        <v/>
      </c>
      <c r="AR1031">
        <f>IF($AQ1031=1,SUMPRODUCT(--($AU$2:$AU$1501&lt;$AU1031))+1,"")</f>
        <v/>
      </c>
      <c r="AS1031">
        <f>IF($E1031="","",IF(OR($U1031=TRUE(),$U1031="TRUE"),1,0))</f>
        <v/>
      </c>
      <c r="AT1031">
        <f>IF($E1031="","",IF($AC1031="Yes",1,0))</f>
        <v/>
      </c>
      <c r="AU1031">
        <f>IF($AQ1031=1,IFERROR(IF(VALUE($E1031)&lt;100000000,VALUE($E1031),1000000000),IFERROR(IF(VALUE(MID($E1031,2,20))&lt;100000000,VALUE(MID($E1031,2,20)),1000000000),1000000000))+ROW()/100000,"")</f>
        <v/>
      </c>
    </row>
    <row r="1032">
      <c r="G1032" s="14" t="n"/>
      <c r="Q1032" s="7">
        <f>IF($E1032="","",P1032*Z1032/100)</f>
        <v/>
      </c>
      <c r="R1032" s="7" t="n"/>
      <c r="Y1032" s="7" t="n"/>
      <c r="Z1032" s="7" t="n"/>
      <c r="AA1032" s="7" t="n"/>
      <c r="AD1032">
        <f>IF($E1032="","",IF($AT1032=1,Settings!$C$8,IF($AS1032=1,Settings!$C$6,Settings!$C$7))*100)</f>
        <v/>
      </c>
      <c r="AE1032" s="7">
        <f>IF($E1032="","",Z1032*AD1032/100)</f>
        <v/>
      </c>
      <c r="AF1032" s="7">
        <f>IF($E1032="","",Z1032-AE1032)</f>
        <v/>
      </c>
      <c r="AG1032" s="7">
        <f>IF($E1032="","",AF1032-Q1032)</f>
        <v/>
      </c>
      <c r="AK1032" s="7" t="n"/>
      <c r="AN1032" s="14" t="n"/>
      <c r="AQ1032">
        <f>IF($E1032="","",IF(COUNTIF($E$2:$E1032,$E1032)=1,1,0))</f>
        <v/>
      </c>
      <c r="AR1032">
        <f>IF($AQ1032=1,SUMPRODUCT(--($AU$2:$AU$1501&lt;$AU1032))+1,"")</f>
        <v/>
      </c>
      <c r="AS1032">
        <f>IF($E1032="","",IF(OR($U1032=TRUE(),$U1032="TRUE"),1,0))</f>
        <v/>
      </c>
      <c r="AT1032">
        <f>IF($E1032="","",IF($AC1032="Yes",1,0))</f>
        <v/>
      </c>
      <c r="AU1032">
        <f>IF($AQ1032=1,IFERROR(IF(VALUE($E1032)&lt;100000000,VALUE($E1032),1000000000),IFERROR(IF(VALUE(MID($E1032,2,20))&lt;100000000,VALUE(MID($E1032,2,20)),1000000000),1000000000))+ROW()/100000,"")</f>
        <v/>
      </c>
    </row>
    <row r="1033">
      <c r="G1033" s="14" t="n"/>
      <c r="Q1033" s="7">
        <f>IF($E1033="","",P1033*Z1033/100)</f>
        <v/>
      </c>
      <c r="R1033" s="7" t="n"/>
      <c r="Y1033" s="7" t="n"/>
      <c r="Z1033" s="7" t="n"/>
      <c r="AA1033" s="7" t="n"/>
      <c r="AD1033">
        <f>IF($E1033="","",IF($AT1033=1,Settings!$C$8,IF($AS1033=1,Settings!$C$6,Settings!$C$7))*100)</f>
        <v/>
      </c>
      <c r="AE1033" s="7">
        <f>IF($E1033="","",Z1033*AD1033/100)</f>
        <v/>
      </c>
      <c r="AF1033" s="7">
        <f>IF($E1033="","",Z1033-AE1033)</f>
        <v/>
      </c>
      <c r="AG1033" s="7">
        <f>IF($E1033="","",AF1033-Q1033)</f>
        <v/>
      </c>
      <c r="AK1033" s="7" t="n"/>
      <c r="AN1033" s="14" t="n"/>
      <c r="AQ1033">
        <f>IF($E1033="","",IF(COUNTIF($E$2:$E1033,$E1033)=1,1,0))</f>
        <v/>
      </c>
      <c r="AR1033">
        <f>IF($AQ1033=1,SUMPRODUCT(--($AU$2:$AU$1501&lt;$AU1033))+1,"")</f>
        <v/>
      </c>
      <c r="AS1033">
        <f>IF($E1033="","",IF(OR($U1033=TRUE(),$U1033="TRUE"),1,0))</f>
        <v/>
      </c>
      <c r="AT1033">
        <f>IF($E1033="","",IF($AC1033="Yes",1,0))</f>
        <v/>
      </c>
      <c r="AU1033">
        <f>IF($AQ1033=1,IFERROR(IF(VALUE($E1033)&lt;100000000,VALUE($E1033),1000000000),IFERROR(IF(VALUE(MID($E1033,2,20))&lt;100000000,VALUE(MID($E1033,2,20)),1000000000),1000000000))+ROW()/100000,"")</f>
        <v/>
      </c>
    </row>
    <row r="1034">
      <c r="G1034" s="14" t="n"/>
      <c r="Q1034" s="7">
        <f>IF($E1034="","",P1034*Z1034/100)</f>
        <v/>
      </c>
      <c r="R1034" s="7" t="n"/>
      <c r="Y1034" s="7" t="n"/>
      <c r="Z1034" s="7" t="n"/>
      <c r="AA1034" s="7" t="n"/>
      <c r="AD1034">
        <f>IF($E1034="","",IF($AT1034=1,Settings!$C$8,IF($AS1034=1,Settings!$C$6,Settings!$C$7))*100)</f>
        <v/>
      </c>
      <c r="AE1034" s="7">
        <f>IF($E1034="","",Z1034*AD1034/100)</f>
        <v/>
      </c>
      <c r="AF1034" s="7">
        <f>IF($E1034="","",Z1034-AE1034)</f>
        <v/>
      </c>
      <c r="AG1034" s="7">
        <f>IF($E1034="","",AF1034-Q1034)</f>
        <v/>
      </c>
      <c r="AK1034" s="7" t="n"/>
      <c r="AN1034" s="14" t="n"/>
      <c r="AQ1034">
        <f>IF($E1034="","",IF(COUNTIF($E$2:$E1034,$E1034)=1,1,0))</f>
        <v/>
      </c>
      <c r="AR1034">
        <f>IF($AQ1034=1,SUMPRODUCT(--($AU$2:$AU$1501&lt;$AU1034))+1,"")</f>
        <v/>
      </c>
      <c r="AS1034">
        <f>IF($E1034="","",IF(OR($U1034=TRUE(),$U1034="TRUE"),1,0))</f>
        <v/>
      </c>
      <c r="AT1034">
        <f>IF($E1034="","",IF($AC1034="Yes",1,0))</f>
        <v/>
      </c>
      <c r="AU1034">
        <f>IF($AQ1034=1,IFERROR(IF(VALUE($E1034)&lt;100000000,VALUE($E1034),1000000000),IFERROR(IF(VALUE(MID($E1034,2,20))&lt;100000000,VALUE(MID($E1034,2,20)),1000000000),1000000000))+ROW()/100000,"")</f>
        <v/>
      </c>
    </row>
    <row r="1035">
      <c r="G1035" s="14" t="n"/>
      <c r="Q1035" s="7">
        <f>IF($E1035="","",P1035*Z1035/100)</f>
        <v/>
      </c>
      <c r="R1035" s="7" t="n"/>
      <c r="Y1035" s="7" t="n"/>
      <c r="Z1035" s="7" t="n"/>
      <c r="AA1035" s="7" t="n"/>
      <c r="AD1035">
        <f>IF($E1035="","",IF($AT1035=1,Settings!$C$8,IF($AS1035=1,Settings!$C$6,Settings!$C$7))*100)</f>
        <v/>
      </c>
      <c r="AE1035" s="7">
        <f>IF($E1035="","",Z1035*AD1035/100)</f>
        <v/>
      </c>
      <c r="AF1035" s="7">
        <f>IF($E1035="","",Z1035-AE1035)</f>
        <v/>
      </c>
      <c r="AG1035" s="7">
        <f>IF($E1035="","",AF1035-Q1035)</f>
        <v/>
      </c>
      <c r="AK1035" s="7" t="n"/>
      <c r="AN1035" s="14" t="n"/>
      <c r="AQ1035">
        <f>IF($E1035="","",IF(COUNTIF($E$2:$E1035,$E1035)=1,1,0))</f>
        <v/>
      </c>
      <c r="AR1035">
        <f>IF($AQ1035=1,SUMPRODUCT(--($AU$2:$AU$1501&lt;$AU1035))+1,"")</f>
        <v/>
      </c>
      <c r="AS1035">
        <f>IF($E1035="","",IF(OR($U1035=TRUE(),$U1035="TRUE"),1,0))</f>
        <v/>
      </c>
      <c r="AT1035">
        <f>IF($E1035="","",IF($AC1035="Yes",1,0))</f>
        <v/>
      </c>
      <c r="AU1035">
        <f>IF($AQ1035=1,IFERROR(IF(VALUE($E1035)&lt;100000000,VALUE($E1035),1000000000),IFERROR(IF(VALUE(MID($E1035,2,20))&lt;100000000,VALUE(MID($E1035,2,20)),1000000000),1000000000))+ROW()/100000,"")</f>
        <v/>
      </c>
    </row>
    <row r="1036">
      <c r="G1036" s="14" t="n"/>
      <c r="Q1036" s="7">
        <f>IF($E1036="","",P1036*Z1036/100)</f>
        <v/>
      </c>
      <c r="R1036" s="7" t="n"/>
      <c r="Y1036" s="7" t="n"/>
      <c r="Z1036" s="7" t="n"/>
      <c r="AA1036" s="7" t="n"/>
      <c r="AD1036">
        <f>IF($E1036="","",IF($AT1036=1,Settings!$C$8,IF($AS1036=1,Settings!$C$6,Settings!$C$7))*100)</f>
        <v/>
      </c>
      <c r="AE1036" s="7">
        <f>IF($E1036="","",Z1036*AD1036/100)</f>
        <v/>
      </c>
      <c r="AF1036" s="7">
        <f>IF($E1036="","",Z1036-AE1036)</f>
        <v/>
      </c>
      <c r="AG1036" s="7">
        <f>IF($E1036="","",AF1036-Q1036)</f>
        <v/>
      </c>
      <c r="AK1036" s="7" t="n"/>
      <c r="AN1036" s="14" t="n"/>
      <c r="AQ1036">
        <f>IF($E1036="","",IF(COUNTIF($E$2:$E1036,$E1036)=1,1,0))</f>
        <v/>
      </c>
      <c r="AR1036">
        <f>IF($AQ1036=1,SUMPRODUCT(--($AU$2:$AU$1501&lt;$AU1036))+1,"")</f>
        <v/>
      </c>
      <c r="AS1036">
        <f>IF($E1036="","",IF(OR($U1036=TRUE(),$U1036="TRUE"),1,0))</f>
        <v/>
      </c>
      <c r="AT1036">
        <f>IF($E1036="","",IF($AC1036="Yes",1,0))</f>
        <v/>
      </c>
      <c r="AU1036">
        <f>IF($AQ1036=1,IFERROR(IF(VALUE($E1036)&lt;100000000,VALUE($E1036),1000000000),IFERROR(IF(VALUE(MID($E1036,2,20))&lt;100000000,VALUE(MID($E1036,2,20)),1000000000),1000000000))+ROW()/100000,"")</f>
        <v/>
      </c>
    </row>
    <row r="1037">
      <c r="G1037" s="14" t="n"/>
      <c r="Q1037" s="7">
        <f>IF($E1037="","",P1037*Z1037/100)</f>
        <v/>
      </c>
      <c r="R1037" s="7" t="n"/>
      <c r="Y1037" s="7" t="n"/>
      <c r="Z1037" s="7" t="n"/>
      <c r="AA1037" s="7" t="n"/>
      <c r="AD1037">
        <f>IF($E1037="","",IF($AT1037=1,Settings!$C$8,IF($AS1037=1,Settings!$C$6,Settings!$C$7))*100)</f>
        <v/>
      </c>
      <c r="AE1037" s="7">
        <f>IF($E1037="","",Z1037*AD1037/100)</f>
        <v/>
      </c>
      <c r="AF1037" s="7">
        <f>IF($E1037="","",Z1037-AE1037)</f>
        <v/>
      </c>
      <c r="AG1037" s="7">
        <f>IF($E1037="","",AF1037-Q1037)</f>
        <v/>
      </c>
      <c r="AK1037" s="7" t="n"/>
      <c r="AN1037" s="14" t="n"/>
      <c r="AQ1037">
        <f>IF($E1037="","",IF(COUNTIF($E$2:$E1037,$E1037)=1,1,0))</f>
        <v/>
      </c>
      <c r="AR1037">
        <f>IF($AQ1037=1,SUMPRODUCT(--($AU$2:$AU$1501&lt;$AU1037))+1,"")</f>
        <v/>
      </c>
      <c r="AS1037">
        <f>IF($E1037="","",IF(OR($U1037=TRUE(),$U1037="TRUE"),1,0))</f>
        <v/>
      </c>
      <c r="AT1037">
        <f>IF($E1037="","",IF($AC1037="Yes",1,0))</f>
        <v/>
      </c>
      <c r="AU1037">
        <f>IF($AQ1037=1,IFERROR(IF(VALUE($E1037)&lt;100000000,VALUE($E1037),1000000000),IFERROR(IF(VALUE(MID($E1037,2,20))&lt;100000000,VALUE(MID($E1037,2,20)),1000000000),1000000000))+ROW()/100000,"")</f>
        <v/>
      </c>
    </row>
    <row r="1038">
      <c r="G1038" s="14" t="n"/>
      <c r="Q1038" s="7">
        <f>IF($E1038="","",P1038*Z1038/100)</f>
        <v/>
      </c>
      <c r="R1038" s="7" t="n"/>
      <c r="Y1038" s="7" t="n"/>
      <c r="Z1038" s="7" t="n"/>
      <c r="AA1038" s="7" t="n"/>
      <c r="AD1038">
        <f>IF($E1038="","",IF($AT1038=1,Settings!$C$8,IF($AS1038=1,Settings!$C$6,Settings!$C$7))*100)</f>
        <v/>
      </c>
      <c r="AE1038" s="7">
        <f>IF($E1038="","",Z1038*AD1038/100)</f>
        <v/>
      </c>
      <c r="AF1038" s="7">
        <f>IF($E1038="","",Z1038-AE1038)</f>
        <v/>
      </c>
      <c r="AG1038" s="7">
        <f>IF($E1038="","",AF1038-Q1038)</f>
        <v/>
      </c>
      <c r="AK1038" s="7" t="n"/>
      <c r="AN1038" s="14" t="n"/>
      <c r="AQ1038">
        <f>IF($E1038="","",IF(COUNTIF($E$2:$E1038,$E1038)=1,1,0))</f>
        <v/>
      </c>
      <c r="AR1038">
        <f>IF($AQ1038=1,SUMPRODUCT(--($AU$2:$AU$1501&lt;$AU1038))+1,"")</f>
        <v/>
      </c>
      <c r="AS1038">
        <f>IF($E1038="","",IF(OR($U1038=TRUE(),$U1038="TRUE"),1,0))</f>
        <v/>
      </c>
      <c r="AT1038">
        <f>IF($E1038="","",IF($AC1038="Yes",1,0))</f>
        <v/>
      </c>
      <c r="AU1038">
        <f>IF($AQ1038=1,IFERROR(IF(VALUE($E1038)&lt;100000000,VALUE($E1038),1000000000),IFERROR(IF(VALUE(MID($E1038,2,20))&lt;100000000,VALUE(MID($E1038,2,20)),1000000000),1000000000))+ROW()/100000,"")</f>
        <v/>
      </c>
    </row>
    <row r="1039">
      <c r="G1039" s="14" t="n"/>
      <c r="Q1039" s="7">
        <f>IF($E1039="","",P1039*Z1039/100)</f>
        <v/>
      </c>
      <c r="R1039" s="7" t="n"/>
      <c r="Y1039" s="7" t="n"/>
      <c r="Z1039" s="7" t="n"/>
      <c r="AA1039" s="7" t="n"/>
      <c r="AD1039">
        <f>IF($E1039="","",IF($AT1039=1,Settings!$C$8,IF($AS1039=1,Settings!$C$6,Settings!$C$7))*100)</f>
        <v/>
      </c>
      <c r="AE1039" s="7">
        <f>IF($E1039="","",Z1039*AD1039/100)</f>
        <v/>
      </c>
      <c r="AF1039" s="7">
        <f>IF($E1039="","",Z1039-AE1039)</f>
        <v/>
      </c>
      <c r="AG1039" s="7">
        <f>IF($E1039="","",AF1039-Q1039)</f>
        <v/>
      </c>
      <c r="AK1039" s="7" t="n"/>
      <c r="AN1039" s="14" t="n"/>
      <c r="AQ1039">
        <f>IF($E1039="","",IF(COUNTIF($E$2:$E1039,$E1039)=1,1,0))</f>
        <v/>
      </c>
      <c r="AR1039">
        <f>IF($AQ1039=1,SUMPRODUCT(--($AU$2:$AU$1501&lt;$AU1039))+1,"")</f>
        <v/>
      </c>
      <c r="AS1039">
        <f>IF($E1039="","",IF(OR($U1039=TRUE(),$U1039="TRUE"),1,0))</f>
        <v/>
      </c>
      <c r="AT1039">
        <f>IF($E1039="","",IF($AC1039="Yes",1,0))</f>
        <v/>
      </c>
      <c r="AU1039">
        <f>IF($AQ1039=1,IFERROR(IF(VALUE($E1039)&lt;100000000,VALUE($E1039),1000000000),IFERROR(IF(VALUE(MID($E1039,2,20))&lt;100000000,VALUE(MID($E1039,2,20)),1000000000),1000000000))+ROW()/100000,"")</f>
        <v/>
      </c>
    </row>
    <row r="1040">
      <c r="G1040" s="14" t="n"/>
      <c r="Q1040" s="7">
        <f>IF($E1040="","",P1040*Z1040/100)</f>
        <v/>
      </c>
      <c r="R1040" s="7" t="n"/>
      <c r="Y1040" s="7" t="n"/>
      <c r="Z1040" s="7" t="n"/>
      <c r="AA1040" s="7" t="n"/>
      <c r="AD1040">
        <f>IF($E1040="","",IF($AT1040=1,Settings!$C$8,IF($AS1040=1,Settings!$C$6,Settings!$C$7))*100)</f>
        <v/>
      </c>
      <c r="AE1040" s="7">
        <f>IF($E1040="","",Z1040*AD1040/100)</f>
        <v/>
      </c>
      <c r="AF1040" s="7">
        <f>IF($E1040="","",Z1040-AE1040)</f>
        <v/>
      </c>
      <c r="AG1040" s="7">
        <f>IF($E1040="","",AF1040-Q1040)</f>
        <v/>
      </c>
      <c r="AK1040" s="7" t="n"/>
      <c r="AN1040" s="14" t="n"/>
      <c r="AQ1040">
        <f>IF($E1040="","",IF(COUNTIF($E$2:$E1040,$E1040)=1,1,0))</f>
        <v/>
      </c>
      <c r="AR1040">
        <f>IF($AQ1040=1,SUMPRODUCT(--($AU$2:$AU$1501&lt;$AU1040))+1,"")</f>
        <v/>
      </c>
      <c r="AS1040">
        <f>IF($E1040="","",IF(OR($U1040=TRUE(),$U1040="TRUE"),1,0))</f>
        <v/>
      </c>
      <c r="AT1040">
        <f>IF($E1040="","",IF($AC1040="Yes",1,0))</f>
        <v/>
      </c>
      <c r="AU1040">
        <f>IF($AQ1040=1,IFERROR(IF(VALUE($E1040)&lt;100000000,VALUE($E1040),1000000000),IFERROR(IF(VALUE(MID($E1040,2,20))&lt;100000000,VALUE(MID($E1040,2,20)),1000000000),1000000000))+ROW()/100000,"")</f>
        <v/>
      </c>
    </row>
    <row r="1041">
      <c r="G1041" s="14" t="n"/>
      <c r="Q1041" s="7">
        <f>IF($E1041="","",P1041*Z1041/100)</f>
        <v/>
      </c>
      <c r="R1041" s="7" t="n"/>
      <c r="Y1041" s="7" t="n"/>
      <c r="Z1041" s="7" t="n"/>
      <c r="AA1041" s="7" t="n"/>
      <c r="AD1041">
        <f>IF($E1041="","",IF($AT1041=1,Settings!$C$8,IF($AS1041=1,Settings!$C$6,Settings!$C$7))*100)</f>
        <v/>
      </c>
      <c r="AE1041" s="7">
        <f>IF($E1041="","",Z1041*AD1041/100)</f>
        <v/>
      </c>
      <c r="AF1041" s="7">
        <f>IF($E1041="","",Z1041-AE1041)</f>
        <v/>
      </c>
      <c r="AG1041" s="7">
        <f>IF($E1041="","",AF1041-Q1041)</f>
        <v/>
      </c>
      <c r="AK1041" s="7" t="n"/>
      <c r="AN1041" s="14" t="n"/>
      <c r="AQ1041">
        <f>IF($E1041="","",IF(COUNTIF($E$2:$E1041,$E1041)=1,1,0))</f>
        <v/>
      </c>
      <c r="AR1041">
        <f>IF($AQ1041=1,SUMPRODUCT(--($AU$2:$AU$1501&lt;$AU1041))+1,"")</f>
        <v/>
      </c>
      <c r="AS1041">
        <f>IF($E1041="","",IF(OR($U1041=TRUE(),$U1041="TRUE"),1,0))</f>
        <v/>
      </c>
      <c r="AT1041">
        <f>IF($E1041="","",IF($AC1041="Yes",1,0))</f>
        <v/>
      </c>
      <c r="AU1041">
        <f>IF($AQ1041=1,IFERROR(IF(VALUE($E1041)&lt;100000000,VALUE($E1041),1000000000),IFERROR(IF(VALUE(MID($E1041,2,20))&lt;100000000,VALUE(MID($E1041,2,20)),1000000000),1000000000))+ROW()/100000,"")</f>
        <v/>
      </c>
    </row>
    <row r="1042">
      <c r="G1042" s="14" t="n"/>
      <c r="Q1042" s="7">
        <f>IF($E1042="","",P1042*Z1042/100)</f>
        <v/>
      </c>
      <c r="R1042" s="7" t="n"/>
      <c r="Y1042" s="7" t="n"/>
      <c r="Z1042" s="7" t="n"/>
      <c r="AA1042" s="7" t="n"/>
      <c r="AD1042">
        <f>IF($E1042="","",IF($AT1042=1,Settings!$C$8,IF($AS1042=1,Settings!$C$6,Settings!$C$7))*100)</f>
        <v/>
      </c>
      <c r="AE1042" s="7">
        <f>IF($E1042="","",Z1042*AD1042/100)</f>
        <v/>
      </c>
      <c r="AF1042" s="7">
        <f>IF($E1042="","",Z1042-AE1042)</f>
        <v/>
      </c>
      <c r="AG1042" s="7">
        <f>IF($E1042="","",AF1042-Q1042)</f>
        <v/>
      </c>
      <c r="AK1042" s="7" t="n"/>
      <c r="AN1042" s="14" t="n"/>
      <c r="AQ1042">
        <f>IF($E1042="","",IF(COUNTIF($E$2:$E1042,$E1042)=1,1,0))</f>
        <v/>
      </c>
      <c r="AR1042">
        <f>IF($AQ1042=1,SUMPRODUCT(--($AU$2:$AU$1501&lt;$AU1042))+1,"")</f>
        <v/>
      </c>
      <c r="AS1042">
        <f>IF($E1042="","",IF(OR($U1042=TRUE(),$U1042="TRUE"),1,0))</f>
        <v/>
      </c>
      <c r="AT1042">
        <f>IF($E1042="","",IF($AC1042="Yes",1,0))</f>
        <v/>
      </c>
      <c r="AU1042">
        <f>IF($AQ1042=1,IFERROR(IF(VALUE($E1042)&lt;100000000,VALUE($E1042),1000000000),IFERROR(IF(VALUE(MID($E1042,2,20))&lt;100000000,VALUE(MID($E1042,2,20)),1000000000),1000000000))+ROW()/100000,"")</f>
        <v/>
      </c>
    </row>
    <row r="1043">
      <c r="G1043" s="14" t="n"/>
      <c r="Q1043" s="7">
        <f>IF($E1043="","",P1043*Z1043/100)</f>
        <v/>
      </c>
      <c r="R1043" s="7" t="n"/>
      <c r="Y1043" s="7" t="n"/>
      <c r="Z1043" s="7" t="n"/>
      <c r="AA1043" s="7" t="n"/>
      <c r="AD1043">
        <f>IF($E1043="","",IF($AT1043=1,Settings!$C$8,IF($AS1043=1,Settings!$C$6,Settings!$C$7))*100)</f>
        <v/>
      </c>
      <c r="AE1043" s="7">
        <f>IF($E1043="","",Z1043*AD1043/100)</f>
        <v/>
      </c>
      <c r="AF1043" s="7">
        <f>IF($E1043="","",Z1043-AE1043)</f>
        <v/>
      </c>
      <c r="AG1043" s="7">
        <f>IF($E1043="","",AF1043-Q1043)</f>
        <v/>
      </c>
      <c r="AK1043" s="7" t="n"/>
      <c r="AN1043" s="14" t="n"/>
      <c r="AQ1043">
        <f>IF($E1043="","",IF(COUNTIF($E$2:$E1043,$E1043)=1,1,0))</f>
        <v/>
      </c>
      <c r="AR1043">
        <f>IF($AQ1043=1,SUMPRODUCT(--($AU$2:$AU$1501&lt;$AU1043))+1,"")</f>
        <v/>
      </c>
      <c r="AS1043">
        <f>IF($E1043="","",IF(OR($U1043=TRUE(),$U1043="TRUE"),1,0))</f>
        <v/>
      </c>
      <c r="AT1043">
        <f>IF($E1043="","",IF($AC1043="Yes",1,0))</f>
        <v/>
      </c>
      <c r="AU1043">
        <f>IF($AQ1043=1,IFERROR(IF(VALUE($E1043)&lt;100000000,VALUE($E1043),1000000000),IFERROR(IF(VALUE(MID($E1043,2,20))&lt;100000000,VALUE(MID($E1043,2,20)),1000000000),1000000000))+ROW()/100000,"")</f>
        <v/>
      </c>
    </row>
    <row r="1044">
      <c r="G1044" s="14" t="n"/>
      <c r="Q1044" s="7">
        <f>IF($E1044="","",P1044*Z1044/100)</f>
        <v/>
      </c>
      <c r="R1044" s="7" t="n"/>
      <c r="Y1044" s="7" t="n"/>
      <c r="Z1044" s="7" t="n"/>
      <c r="AA1044" s="7" t="n"/>
      <c r="AD1044">
        <f>IF($E1044="","",IF($AT1044=1,Settings!$C$8,IF($AS1044=1,Settings!$C$6,Settings!$C$7))*100)</f>
        <v/>
      </c>
      <c r="AE1044" s="7">
        <f>IF($E1044="","",Z1044*AD1044/100)</f>
        <v/>
      </c>
      <c r="AF1044" s="7">
        <f>IF($E1044="","",Z1044-AE1044)</f>
        <v/>
      </c>
      <c r="AG1044" s="7">
        <f>IF($E1044="","",AF1044-Q1044)</f>
        <v/>
      </c>
      <c r="AK1044" s="7" t="n"/>
      <c r="AN1044" s="14" t="n"/>
      <c r="AQ1044">
        <f>IF($E1044="","",IF(COUNTIF($E$2:$E1044,$E1044)=1,1,0))</f>
        <v/>
      </c>
      <c r="AR1044">
        <f>IF($AQ1044=1,SUMPRODUCT(--($AU$2:$AU$1501&lt;$AU1044))+1,"")</f>
        <v/>
      </c>
      <c r="AS1044">
        <f>IF($E1044="","",IF(OR($U1044=TRUE(),$U1044="TRUE"),1,0))</f>
        <v/>
      </c>
      <c r="AT1044">
        <f>IF($E1044="","",IF($AC1044="Yes",1,0))</f>
        <v/>
      </c>
      <c r="AU1044">
        <f>IF($AQ1044=1,IFERROR(IF(VALUE($E1044)&lt;100000000,VALUE($E1044),1000000000),IFERROR(IF(VALUE(MID($E1044,2,20))&lt;100000000,VALUE(MID($E1044,2,20)),1000000000),1000000000))+ROW()/100000,"")</f>
        <v/>
      </c>
    </row>
    <row r="1045">
      <c r="G1045" s="14" t="n"/>
      <c r="Q1045" s="7">
        <f>IF($E1045="","",P1045*Z1045/100)</f>
        <v/>
      </c>
      <c r="R1045" s="7" t="n"/>
      <c r="Y1045" s="7" t="n"/>
      <c r="Z1045" s="7" t="n"/>
      <c r="AA1045" s="7" t="n"/>
      <c r="AD1045">
        <f>IF($E1045="","",IF($AT1045=1,Settings!$C$8,IF($AS1045=1,Settings!$C$6,Settings!$C$7))*100)</f>
        <v/>
      </c>
      <c r="AE1045" s="7">
        <f>IF($E1045="","",Z1045*AD1045/100)</f>
        <v/>
      </c>
      <c r="AF1045" s="7">
        <f>IF($E1045="","",Z1045-AE1045)</f>
        <v/>
      </c>
      <c r="AG1045" s="7">
        <f>IF($E1045="","",AF1045-Q1045)</f>
        <v/>
      </c>
      <c r="AK1045" s="7" t="n"/>
      <c r="AN1045" s="14" t="n"/>
      <c r="AQ1045">
        <f>IF($E1045="","",IF(COUNTIF($E$2:$E1045,$E1045)=1,1,0))</f>
        <v/>
      </c>
      <c r="AR1045">
        <f>IF($AQ1045=1,SUMPRODUCT(--($AU$2:$AU$1501&lt;$AU1045))+1,"")</f>
        <v/>
      </c>
      <c r="AS1045">
        <f>IF($E1045="","",IF(OR($U1045=TRUE(),$U1045="TRUE"),1,0))</f>
        <v/>
      </c>
      <c r="AT1045">
        <f>IF($E1045="","",IF($AC1045="Yes",1,0))</f>
        <v/>
      </c>
      <c r="AU1045">
        <f>IF($AQ1045=1,IFERROR(IF(VALUE($E1045)&lt;100000000,VALUE($E1045),1000000000),IFERROR(IF(VALUE(MID($E1045,2,20))&lt;100000000,VALUE(MID($E1045,2,20)),1000000000),1000000000))+ROW()/100000,"")</f>
        <v/>
      </c>
    </row>
    <row r="1046">
      <c r="G1046" s="14" t="n"/>
      <c r="Q1046" s="7">
        <f>IF($E1046="","",P1046*Z1046/100)</f>
        <v/>
      </c>
      <c r="R1046" s="7" t="n"/>
      <c r="Y1046" s="7" t="n"/>
      <c r="Z1046" s="7" t="n"/>
      <c r="AA1046" s="7" t="n"/>
      <c r="AD1046">
        <f>IF($E1046="","",IF($AT1046=1,Settings!$C$8,IF($AS1046=1,Settings!$C$6,Settings!$C$7))*100)</f>
        <v/>
      </c>
      <c r="AE1046" s="7">
        <f>IF($E1046="","",Z1046*AD1046/100)</f>
        <v/>
      </c>
      <c r="AF1046" s="7">
        <f>IF($E1046="","",Z1046-AE1046)</f>
        <v/>
      </c>
      <c r="AG1046" s="7">
        <f>IF($E1046="","",AF1046-Q1046)</f>
        <v/>
      </c>
      <c r="AK1046" s="7" t="n"/>
      <c r="AN1046" s="14" t="n"/>
      <c r="AQ1046">
        <f>IF($E1046="","",IF(COUNTIF($E$2:$E1046,$E1046)=1,1,0))</f>
        <v/>
      </c>
      <c r="AR1046">
        <f>IF($AQ1046=1,SUMPRODUCT(--($AU$2:$AU$1501&lt;$AU1046))+1,"")</f>
        <v/>
      </c>
      <c r="AS1046">
        <f>IF($E1046="","",IF(OR($U1046=TRUE(),$U1046="TRUE"),1,0))</f>
        <v/>
      </c>
      <c r="AT1046">
        <f>IF($E1046="","",IF($AC1046="Yes",1,0))</f>
        <v/>
      </c>
      <c r="AU1046">
        <f>IF($AQ1046=1,IFERROR(IF(VALUE($E1046)&lt;100000000,VALUE($E1046),1000000000),IFERROR(IF(VALUE(MID($E1046,2,20))&lt;100000000,VALUE(MID($E1046,2,20)),1000000000),1000000000))+ROW()/100000,"")</f>
        <v/>
      </c>
    </row>
    <row r="1047">
      <c r="G1047" s="14" t="n"/>
      <c r="Q1047" s="7">
        <f>IF($E1047="","",P1047*Z1047/100)</f>
        <v/>
      </c>
      <c r="R1047" s="7" t="n"/>
      <c r="Y1047" s="7" t="n"/>
      <c r="Z1047" s="7" t="n"/>
      <c r="AA1047" s="7" t="n"/>
      <c r="AD1047">
        <f>IF($E1047="","",IF($AT1047=1,Settings!$C$8,IF($AS1047=1,Settings!$C$6,Settings!$C$7))*100)</f>
        <v/>
      </c>
      <c r="AE1047" s="7">
        <f>IF($E1047="","",Z1047*AD1047/100)</f>
        <v/>
      </c>
      <c r="AF1047" s="7">
        <f>IF($E1047="","",Z1047-AE1047)</f>
        <v/>
      </c>
      <c r="AG1047" s="7">
        <f>IF($E1047="","",AF1047-Q1047)</f>
        <v/>
      </c>
      <c r="AK1047" s="7" t="n"/>
      <c r="AN1047" s="14" t="n"/>
      <c r="AQ1047">
        <f>IF($E1047="","",IF(COUNTIF($E$2:$E1047,$E1047)=1,1,0))</f>
        <v/>
      </c>
      <c r="AR1047">
        <f>IF($AQ1047=1,SUMPRODUCT(--($AU$2:$AU$1501&lt;$AU1047))+1,"")</f>
        <v/>
      </c>
      <c r="AS1047">
        <f>IF($E1047="","",IF(OR($U1047=TRUE(),$U1047="TRUE"),1,0))</f>
        <v/>
      </c>
      <c r="AT1047">
        <f>IF($E1047="","",IF($AC1047="Yes",1,0))</f>
        <v/>
      </c>
      <c r="AU1047">
        <f>IF($AQ1047=1,IFERROR(IF(VALUE($E1047)&lt;100000000,VALUE($E1047),1000000000),IFERROR(IF(VALUE(MID($E1047,2,20))&lt;100000000,VALUE(MID($E1047,2,20)),1000000000),1000000000))+ROW()/100000,"")</f>
        <v/>
      </c>
    </row>
    <row r="1048">
      <c r="G1048" s="14" t="n"/>
      <c r="Q1048" s="7">
        <f>IF($E1048="","",P1048*Z1048/100)</f>
        <v/>
      </c>
      <c r="R1048" s="7" t="n"/>
      <c r="Y1048" s="7" t="n"/>
      <c r="Z1048" s="7" t="n"/>
      <c r="AA1048" s="7" t="n"/>
      <c r="AD1048">
        <f>IF($E1048="","",IF($AT1048=1,Settings!$C$8,IF($AS1048=1,Settings!$C$6,Settings!$C$7))*100)</f>
        <v/>
      </c>
      <c r="AE1048" s="7">
        <f>IF($E1048="","",Z1048*AD1048/100)</f>
        <v/>
      </c>
      <c r="AF1048" s="7">
        <f>IF($E1048="","",Z1048-AE1048)</f>
        <v/>
      </c>
      <c r="AG1048" s="7">
        <f>IF($E1048="","",AF1048-Q1048)</f>
        <v/>
      </c>
      <c r="AK1048" s="7" t="n"/>
      <c r="AN1048" s="14" t="n"/>
      <c r="AQ1048">
        <f>IF($E1048="","",IF(COUNTIF($E$2:$E1048,$E1048)=1,1,0))</f>
        <v/>
      </c>
      <c r="AR1048">
        <f>IF($AQ1048=1,SUMPRODUCT(--($AU$2:$AU$1501&lt;$AU1048))+1,"")</f>
        <v/>
      </c>
      <c r="AS1048">
        <f>IF($E1048="","",IF(OR($U1048=TRUE(),$U1048="TRUE"),1,0))</f>
        <v/>
      </c>
      <c r="AT1048">
        <f>IF($E1048="","",IF($AC1048="Yes",1,0))</f>
        <v/>
      </c>
      <c r="AU1048">
        <f>IF($AQ1048=1,IFERROR(IF(VALUE($E1048)&lt;100000000,VALUE($E1048),1000000000),IFERROR(IF(VALUE(MID($E1048,2,20))&lt;100000000,VALUE(MID($E1048,2,20)),1000000000),1000000000))+ROW()/100000,"")</f>
        <v/>
      </c>
    </row>
    <row r="1049">
      <c r="G1049" s="14" t="n"/>
      <c r="Q1049" s="7">
        <f>IF($E1049="","",P1049*Z1049/100)</f>
        <v/>
      </c>
      <c r="R1049" s="7" t="n"/>
      <c r="Y1049" s="7" t="n"/>
      <c r="Z1049" s="7" t="n"/>
      <c r="AA1049" s="7" t="n"/>
      <c r="AD1049">
        <f>IF($E1049="","",IF($AT1049=1,Settings!$C$8,IF($AS1049=1,Settings!$C$6,Settings!$C$7))*100)</f>
        <v/>
      </c>
      <c r="AE1049" s="7">
        <f>IF($E1049="","",Z1049*AD1049/100)</f>
        <v/>
      </c>
      <c r="AF1049" s="7">
        <f>IF($E1049="","",Z1049-AE1049)</f>
        <v/>
      </c>
      <c r="AG1049" s="7">
        <f>IF($E1049="","",AF1049-Q1049)</f>
        <v/>
      </c>
      <c r="AK1049" s="7" t="n"/>
      <c r="AN1049" s="14" t="n"/>
      <c r="AQ1049">
        <f>IF($E1049="","",IF(COUNTIF($E$2:$E1049,$E1049)=1,1,0))</f>
        <v/>
      </c>
      <c r="AR1049">
        <f>IF($AQ1049=1,SUMPRODUCT(--($AU$2:$AU$1501&lt;$AU1049))+1,"")</f>
        <v/>
      </c>
      <c r="AS1049">
        <f>IF($E1049="","",IF(OR($U1049=TRUE(),$U1049="TRUE"),1,0))</f>
        <v/>
      </c>
      <c r="AT1049">
        <f>IF($E1049="","",IF($AC1049="Yes",1,0))</f>
        <v/>
      </c>
      <c r="AU1049">
        <f>IF($AQ1049=1,IFERROR(IF(VALUE($E1049)&lt;100000000,VALUE($E1049),1000000000),IFERROR(IF(VALUE(MID($E1049,2,20))&lt;100000000,VALUE(MID($E1049,2,20)),1000000000),1000000000))+ROW()/100000,"")</f>
        <v/>
      </c>
    </row>
    <row r="1050">
      <c r="G1050" s="14" t="n"/>
      <c r="Q1050" s="7">
        <f>IF($E1050="","",P1050*Z1050/100)</f>
        <v/>
      </c>
      <c r="R1050" s="7" t="n"/>
      <c r="Y1050" s="7" t="n"/>
      <c r="Z1050" s="7" t="n"/>
      <c r="AA1050" s="7" t="n"/>
      <c r="AD1050">
        <f>IF($E1050="","",IF($AT1050=1,Settings!$C$8,IF($AS1050=1,Settings!$C$6,Settings!$C$7))*100)</f>
        <v/>
      </c>
      <c r="AE1050" s="7">
        <f>IF($E1050="","",Z1050*AD1050/100)</f>
        <v/>
      </c>
      <c r="AF1050" s="7">
        <f>IF($E1050="","",Z1050-AE1050)</f>
        <v/>
      </c>
      <c r="AG1050" s="7">
        <f>IF($E1050="","",AF1050-Q1050)</f>
        <v/>
      </c>
      <c r="AK1050" s="7" t="n"/>
      <c r="AN1050" s="14" t="n"/>
      <c r="AQ1050">
        <f>IF($E1050="","",IF(COUNTIF($E$2:$E1050,$E1050)=1,1,0))</f>
        <v/>
      </c>
      <c r="AR1050">
        <f>IF($AQ1050=1,SUMPRODUCT(--($AU$2:$AU$1501&lt;$AU1050))+1,"")</f>
        <v/>
      </c>
      <c r="AS1050">
        <f>IF($E1050="","",IF(OR($U1050=TRUE(),$U1050="TRUE"),1,0))</f>
        <v/>
      </c>
      <c r="AT1050">
        <f>IF($E1050="","",IF($AC1050="Yes",1,0))</f>
        <v/>
      </c>
      <c r="AU1050">
        <f>IF($AQ1050=1,IFERROR(IF(VALUE($E1050)&lt;100000000,VALUE($E1050),1000000000),IFERROR(IF(VALUE(MID($E1050,2,20))&lt;100000000,VALUE(MID($E1050,2,20)),1000000000),1000000000))+ROW()/100000,"")</f>
        <v/>
      </c>
    </row>
    <row r="1051">
      <c r="G1051" s="14" t="n"/>
      <c r="Q1051" s="7">
        <f>IF($E1051="","",P1051*Z1051/100)</f>
        <v/>
      </c>
      <c r="R1051" s="7" t="n"/>
      <c r="Y1051" s="7" t="n"/>
      <c r="Z1051" s="7" t="n"/>
      <c r="AA1051" s="7" t="n"/>
      <c r="AD1051">
        <f>IF($E1051="","",IF($AT1051=1,Settings!$C$8,IF($AS1051=1,Settings!$C$6,Settings!$C$7))*100)</f>
        <v/>
      </c>
      <c r="AE1051" s="7">
        <f>IF($E1051="","",Z1051*AD1051/100)</f>
        <v/>
      </c>
      <c r="AF1051" s="7">
        <f>IF($E1051="","",Z1051-AE1051)</f>
        <v/>
      </c>
      <c r="AG1051" s="7">
        <f>IF($E1051="","",AF1051-Q1051)</f>
        <v/>
      </c>
      <c r="AK1051" s="7" t="n"/>
      <c r="AN1051" s="14" t="n"/>
      <c r="AQ1051">
        <f>IF($E1051="","",IF(COUNTIF($E$2:$E1051,$E1051)=1,1,0))</f>
        <v/>
      </c>
      <c r="AR1051">
        <f>IF($AQ1051=1,SUMPRODUCT(--($AU$2:$AU$1501&lt;$AU1051))+1,"")</f>
        <v/>
      </c>
      <c r="AS1051">
        <f>IF($E1051="","",IF(OR($U1051=TRUE(),$U1051="TRUE"),1,0))</f>
        <v/>
      </c>
      <c r="AT1051">
        <f>IF($E1051="","",IF($AC1051="Yes",1,0))</f>
        <v/>
      </c>
      <c r="AU1051">
        <f>IF($AQ1051=1,IFERROR(IF(VALUE($E1051)&lt;100000000,VALUE($E1051),1000000000),IFERROR(IF(VALUE(MID($E1051,2,20))&lt;100000000,VALUE(MID($E1051,2,20)),1000000000),1000000000))+ROW()/100000,"")</f>
        <v/>
      </c>
    </row>
    <row r="1052">
      <c r="G1052" s="14" t="n"/>
      <c r="Q1052" s="7">
        <f>IF($E1052="","",P1052*Z1052/100)</f>
        <v/>
      </c>
      <c r="R1052" s="7" t="n"/>
      <c r="Y1052" s="7" t="n"/>
      <c r="Z1052" s="7" t="n"/>
      <c r="AA1052" s="7" t="n"/>
      <c r="AD1052">
        <f>IF($E1052="","",IF($AT1052=1,Settings!$C$8,IF($AS1052=1,Settings!$C$6,Settings!$C$7))*100)</f>
        <v/>
      </c>
      <c r="AE1052" s="7">
        <f>IF($E1052="","",Z1052*AD1052/100)</f>
        <v/>
      </c>
      <c r="AF1052" s="7">
        <f>IF($E1052="","",Z1052-AE1052)</f>
        <v/>
      </c>
      <c r="AG1052" s="7">
        <f>IF($E1052="","",AF1052-Q1052)</f>
        <v/>
      </c>
      <c r="AK1052" s="7" t="n"/>
      <c r="AN1052" s="14" t="n"/>
      <c r="AQ1052">
        <f>IF($E1052="","",IF(COUNTIF($E$2:$E1052,$E1052)=1,1,0))</f>
        <v/>
      </c>
      <c r="AR1052">
        <f>IF($AQ1052=1,SUMPRODUCT(--($AU$2:$AU$1501&lt;$AU1052))+1,"")</f>
        <v/>
      </c>
      <c r="AS1052">
        <f>IF($E1052="","",IF(OR($U1052=TRUE(),$U1052="TRUE"),1,0))</f>
        <v/>
      </c>
      <c r="AT1052">
        <f>IF($E1052="","",IF($AC1052="Yes",1,0))</f>
        <v/>
      </c>
      <c r="AU1052">
        <f>IF($AQ1052=1,IFERROR(IF(VALUE($E1052)&lt;100000000,VALUE($E1052),1000000000),IFERROR(IF(VALUE(MID($E1052,2,20))&lt;100000000,VALUE(MID($E1052,2,20)),1000000000),1000000000))+ROW()/100000,"")</f>
        <v/>
      </c>
    </row>
    <row r="1053">
      <c r="G1053" s="14" t="n"/>
      <c r="Q1053" s="7">
        <f>IF($E1053="","",P1053*Z1053/100)</f>
        <v/>
      </c>
      <c r="R1053" s="7" t="n"/>
      <c r="Y1053" s="7" t="n"/>
      <c r="Z1053" s="7" t="n"/>
      <c r="AA1053" s="7" t="n"/>
      <c r="AD1053">
        <f>IF($E1053="","",IF($AT1053=1,Settings!$C$8,IF($AS1053=1,Settings!$C$6,Settings!$C$7))*100)</f>
        <v/>
      </c>
      <c r="AE1053" s="7">
        <f>IF($E1053="","",Z1053*AD1053/100)</f>
        <v/>
      </c>
      <c r="AF1053" s="7">
        <f>IF($E1053="","",Z1053-AE1053)</f>
        <v/>
      </c>
      <c r="AG1053" s="7">
        <f>IF($E1053="","",AF1053-Q1053)</f>
        <v/>
      </c>
      <c r="AK1053" s="7" t="n"/>
      <c r="AN1053" s="14" t="n"/>
      <c r="AQ1053">
        <f>IF($E1053="","",IF(COUNTIF($E$2:$E1053,$E1053)=1,1,0))</f>
        <v/>
      </c>
      <c r="AR1053">
        <f>IF($AQ1053=1,SUMPRODUCT(--($AU$2:$AU$1501&lt;$AU1053))+1,"")</f>
        <v/>
      </c>
      <c r="AS1053">
        <f>IF($E1053="","",IF(OR($U1053=TRUE(),$U1053="TRUE"),1,0))</f>
        <v/>
      </c>
      <c r="AT1053">
        <f>IF($E1053="","",IF($AC1053="Yes",1,0))</f>
        <v/>
      </c>
      <c r="AU1053">
        <f>IF($AQ1053=1,IFERROR(IF(VALUE($E1053)&lt;100000000,VALUE($E1053),1000000000),IFERROR(IF(VALUE(MID($E1053,2,20))&lt;100000000,VALUE(MID($E1053,2,20)),1000000000),1000000000))+ROW()/100000,"")</f>
        <v/>
      </c>
    </row>
    <row r="1054">
      <c r="G1054" s="14" t="n"/>
      <c r="Q1054" s="7">
        <f>IF($E1054="","",P1054*Z1054/100)</f>
        <v/>
      </c>
      <c r="R1054" s="7" t="n"/>
      <c r="Y1054" s="7" t="n"/>
      <c r="Z1054" s="7" t="n"/>
      <c r="AA1054" s="7" t="n"/>
      <c r="AD1054">
        <f>IF($E1054="","",IF($AT1054=1,Settings!$C$8,IF($AS1054=1,Settings!$C$6,Settings!$C$7))*100)</f>
        <v/>
      </c>
      <c r="AE1054" s="7">
        <f>IF($E1054="","",Z1054*AD1054/100)</f>
        <v/>
      </c>
      <c r="AF1054" s="7">
        <f>IF($E1054="","",Z1054-AE1054)</f>
        <v/>
      </c>
      <c r="AG1054" s="7">
        <f>IF($E1054="","",AF1054-Q1054)</f>
        <v/>
      </c>
      <c r="AK1054" s="7" t="n"/>
      <c r="AN1054" s="14" t="n"/>
      <c r="AQ1054">
        <f>IF($E1054="","",IF(COUNTIF($E$2:$E1054,$E1054)=1,1,0))</f>
        <v/>
      </c>
      <c r="AR1054">
        <f>IF($AQ1054=1,SUMPRODUCT(--($AU$2:$AU$1501&lt;$AU1054))+1,"")</f>
        <v/>
      </c>
      <c r="AS1054">
        <f>IF($E1054="","",IF(OR($U1054=TRUE(),$U1054="TRUE"),1,0))</f>
        <v/>
      </c>
      <c r="AT1054">
        <f>IF($E1054="","",IF($AC1054="Yes",1,0))</f>
        <v/>
      </c>
      <c r="AU1054">
        <f>IF($AQ1054=1,IFERROR(IF(VALUE($E1054)&lt;100000000,VALUE($E1054),1000000000),IFERROR(IF(VALUE(MID($E1054,2,20))&lt;100000000,VALUE(MID($E1054,2,20)),1000000000),1000000000))+ROW()/100000,"")</f>
        <v/>
      </c>
    </row>
    <row r="1055">
      <c r="G1055" s="14" t="n"/>
      <c r="Q1055" s="7">
        <f>IF($E1055="","",P1055*Z1055/100)</f>
        <v/>
      </c>
      <c r="R1055" s="7" t="n"/>
      <c r="Y1055" s="7" t="n"/>
      <c r="Z1055" s="7" t="n"/>
      <c r="AA1055" s="7" t="n"/>
      <c r="AD1055">
        <f>IF($E1055="","",IF($AT1055=1,Settings!$C$8,IF($AS1055=1,Settings!$C$6,Settings!$C$7))*100)</f>
        <v/>
      </c>
      <c r="AE1055" s="7">
        <f>IF($E1055="","",Z1055*AD1055/100)</f>
        <v/>
      </c>
      <c r="AF1055" s="7">
        <f>IF($E1055="","",Z1055-AE1055)</f>
        <v/>
      </c>
      <c r="AG1055" s="7">
        <f>IF($E1055="","",AF1055-Q1055)</f>
        <v/>
      </c>
      <c r="AK1055" s="7" t="n"/>
      <c r="AN1055" s="14" t="n"/>
      <c r="AQ1055">
        <f>IF($E1055="","",IF(COUNTIF($E$2:$E1055,$E1055)=1,1,0))</f>
        <v/>
      </c>
      <c r="AR1055">
        <f>IF($AQ1055=1,SUMPRODUCT(--($AU$2:$AU$1501&lt;$AU1055))+1,"")</f>
        <v/>
      </c>
      <c r="AS1055">
        <f>IF($E1055="","",IF(OR($U1055=TRUE(),$U1055="TRUE"),1,0))</f>
        <v/>
      </c>
      <c r="AT1055">
        <f>IF($E1055="","",IF($AC1055="Yes",1,0))</f>
        <v/>
      </c>
      <c r="AU1055">
        <f>IF($AQ1055=1,IFERROR(IF(VALUE($E1055)&lt;100000000,VALUE($E1055),1000000000),IFERROR(IF(VALUE(MID($E1055,2,20))&lt;100000000,VALUE(MID($E1055,2,20)),1000000000),1000000000))+ROW()/100000,"")</f>
        <v/>
      </c>
    </row>
    <row r="1056">
      <c r="G1056" s="14" t="n"/>
      <c r="Q1056" s="7">
        <f>IF($E1056="","",P1056*Z1056/100)</f>
        <v/>
      </c>
      <c r="R1056" s="7" t="n"/>
      <c r="Y1056" s="7" t="n"/>
      <c r="Z1056" s="7" t="n"/>
      <c r="AA1056" s="7" t="n"/>
      <c r="AD1056">
        <f>IF($E1056="","",IF($AT1056=1,Settings!$C$8,IF($AS1056=1,Settings!$C$6,Settings!$C$7))*100)</f>
        <v/>
      </c>
      <c r="AE1056" s="7">
        <f>IF($E1056="","",Z1056*AD1056/100)</f>
        <v/>
      </c>
      <c r="AF1056" s="7">
        <f>IF($E1056="","",Z1056-AE1056)</f>
        <v/>
      </c>
      <c r="AG1056" s="7">
        <f>IF($E1056="","",AF1056-Q1056)</f>
        <v/>
      </c>
      <c r="AK1056" s="7" t="n"/>
      <c r="AN1056" s="14" t="n"/>
      <c r="AQ1056">
        <f>IF($E1056="","",IF(COUNTIF($E$2:$E1056,$E1056)=1,1,0))</f>
        <v/>
      </c>
      <c r="AR1056">
        <f>IF($AQ1056=1,SUMPRODUCT(--($AU$2:$AU$1501&lt;$AU1056))+1,"")</f>
        <v/>
      </c>
      <c r="AS1056">
        <f>IF($E1056="","",IF(OR($U1056=TRUE(),$U1056="TRUE"),1,0))</f>
        <v/>
      </c>
      <c r="AT1056">
        <f>IF($E1056="","",IF($AC1056="Yes",1,0))</f>
        <v/>
      </c>
      <c r="AU1056">
        <f>IF($AQ1056=1,IFERROR(IF(VALUE($E1056)&lt;100000000,VALUE($E1056),1000000000),IFERROR(IF(VALUE(MID($E1056,2,20))&lt;100000000,VALUE(MID($E1056,2,20)),1000000000),1000000000))+ROW()/100000,"")</f>
        <v/>
      </c>
    </row>
    <row r="1057">
      <c r="G1057" s="14" t="n"/>
      <c r="Q1057" s="7">
        <f>IF($E1057="","",P1057*Z1057/100)</f>
        <v/>
      </c>
      <c r="R1057" s="7" t="n"/>
      <c r="Y1057" s="7" t="n"/>
      <c r="Z1057" s="7" t="n"/>
      <c r="AA1057" s="7" t="n"/>
      <c r="AD1057">
        <f>IF($E1057="","",IF($AT1057=1,Settings!$C$8,IF($AS1057=1,Settings!$C$6,Settings!$C$7))*100)</f>
        <v/>
      </c>
      <c r="AE1057" s="7">
        <f>IF($E1057="","",Z1057*AD1057/100)</f>
        <v/>
      </c>
      <c r="AF1057" s="7">
        <f>IF($E1057="","",Z1057-AE1057)</f>
        <v/>
      </c>
      <c r="AG1057" s="7">
        <f>IF($E1057="","",AF1057-Q1057)</f>
        <v/>
      </c>
      <c r="AK1057" s="7" t="n"/>
      <c r="AN1057" s="14" t="n"/>
      <c r="AQ1057">
        <f>IF($E1057="","",IF(COUNTIF($E$2:$E1057,$E1057)=1,1,0))</f>
        <v/>
      </c>
      <c r="AR1057">
        <f>IF($AQ1057=1,SUMPRODUCT(--($AU$2:$AU$1501&lt;$AU1057))+1,"")</f>
        <v/>
      </c>
      <c r="AS1057">
        <f>IF($E1057="","",IF(OR($U1057=TRUE(),$U1057="TRUE"),1,0))</f>
        <v/>
      </c>
      <c r="AT1057">
        <f>IF($E1057="","",IF($AC1057="Yes",1,0))</f>
        <v/>
      </c>
      <c r="AU1057">
        <f>IF($AQ1057=1,IFERROR(IF(VALUE($E1057)&lt;100000000,VALUE($E1057),1000000000),IFERROR(IF(VALUE(MID($E1057,2,20))&lt;100000000,VALUE(MID($E1057,2,20)),1000000000),1000000000))+ROW()/100000,"")</f>
        <v/>
      </c>
    </row>
    <row r="1058">
      <c r="G1058" s="14" t="n"/>
      <c r="Q1058" s="7">
        <f>IF($E1058="","",P1058*Z1058/100)</f>
        <v/>
      </c>
      <c r="R1058" s="7" t="n"/>
      <c r="Y1058" s="7" t="n"/>
      <c r="Z1058" s="7" t="n"/>
      <c r="AA1058" s="7" t="n"/>
      <c r="AD1058">
        <f>IF($E1058="","",IF($AT1058=1,Settings!$C$8,IF($AS1058=1,Settings!$C$6,Settings!$C$7))*100)</f>
        <v/>
      </c>
      <c r="AE1058" s="7">
        <f>IF($E1058="","",Z1058*AD1058/100)</f>
        <v/>
      </c>
      <c r="AF1058" s="7">
        <f>IF($E1058="","",Z1058-AE1058)</f>
        <v/>
      </c>
      <c r="AG1058" s="7">
        <f>IF($E1058="","",AF1058-Q1058)</f>
        <v/>
      </c>
      <c r="AK1058" s="7" t="n"/>
      <c r="AN1058" s="14" t="n"/>
      <c r="AQ1058">
        <f>IF($E1058="","",IF(COUNTIF($E$2:$E1058,$E1058)=1,1,0))</f>
        <v/>
      </c>
      <c r="AR1058">
        <f>IF($AQ1058=1,SUMPRODUCT(--($AU$2:$AU$1501&lt;$AU1058))+1,"")</f>
        <v/>
      </c>
      <c r="AS1058">
        <f>IF($E1058="","",IF(OR($U1058=TRUE(),$U1058="TRUE"),1,0))</f>
        <v/>
      </c>
      <c r="AT1058">
        <f>IF($E1058="","",IF($AC1058="Yes",1,0))</f>
        <v/>
      </c>
      <c r="AU1058">
        <f>IF($AQ1058=1,IFERROR(IF(VALUE($E1058)&lt;100000000,VALUE($E1058),1000000000),IFERROR(IF(VALUE(MID($E1058,2,20))&lt;100000000,VALUE(MID($E1058,2,20)),1000000000),1000000000))+ROW()/100000,"")</f>
        <v/>
      </c>
    </row>
    <row r="1059">
      <c r="G1059" s="14" t="n"/>
      <c r="Q1059" s="7">
        <f>IF($E1059="","",P1059*Z1059/100)</f>
        <v/>
      </c>
      <c r="R1059" s="7" t="n"/>
      <c r="Y1059" s="7" t="n"/>
      <c r="Z1059" s="7" t="n"/>
      <c r="AA1059" s="7" t="n"/>
      <c r="AD1059">
        <f>IF($E1059="","",IF($AT1059=1,Settings!$C$8,IF($AS1059=1,Settings!$C$6,Settings!$C$7))*100)</f>
        <v/>
      </c>
      <c r="AE1059" s="7">
        <f>IF($E1059="","",Z1059*AD1059/100)</f>
        <v/>
      </c>
      <c r="AF1059" s="7">
        <f>IF($E1059="","",Z1059-AE1059)</f>
        <v/>
      </c>
      <c r="AG1059" s="7">
        <f>IF($E1059="","",AF1059-Q1059)</f>
        <v/>
      </c>
      <c r="AK1059" s="7" t="n"/>
      <c r="AN1059" s="14" t="n"/>
      <c r="AQ1059">
        <f>IF($E1059="","",IF(COUNTIF($E$2:$E1059,$E1059)=1,1,0))</f>
        <v/>
      </c>
      <c r="AR1059">
        <f>IF($AQ1059=1,SUMPRODUCT(--($AU$2:$AU$1501&lt;$AU1059))+1,"")</f>
        <v/>
      </c>
      <c r="AS1059">
        <f>IF($E1059="","",IF(OR($U1059=TRUE(),$U1059="TRUE"),1,0))</f>
        <v/>
      </c>
      <c r="AT1059">
        <f>IF($E1059="","",IF($AC1059="Yes",1,0))</f>
        <v/>
      </c>
      <c r="AU1059">
        <f>IF($AQ1059=1,IFERROR(IF(VALUE($E1059)&lt;100000000,VALUE($E1059),1000000000),IFERROR(IF(VALUE(MID($E1059,2,20))&lt;100000000,VALUE(MID($E1059,2,20)),1000000000),1000000000))+ROW()/100000,"")</f>
        <v/>
      </c>
    </row>
    <row r="1060">
      <c r="G1060" s="14" t="n"/>
      <c r="Q1060" s="7">
        <f>IF($E1060="","",P1060*Z1060/100)</f>
        <v/>
      </c>
      <c r="R1060" s="7" t="n"/>
      <c r="Y1060" s="7" t="n"/>
      <c r="Z1060" s="7" t="n"/>
      <c r="AA1060" s="7" t="n"/>
      <c r="AD1060">
        <f>IF($E1060="","",IF($AT1060=1,Settings!$C$8,IF($AS1060=1,Settings!$C$6,Settings!$C$7))*100)</f>
        <v/>
      </c>
      <c r="AE1060" s="7">
        <f>IF($E1060="","",Z1060*AD1060/100)</f>
        <v/>
      </c>
      <c r="AF1060" s="7">
        <f>IF($E1060="","",Z1060-AE1060)</f>
        <v/>
      </c>
      <c r="AG1060" s="7">
        <f>IF($E1060="","",AF1060-Q1060)</f>
        <v/>
      </c>
      <c r="AK1060" s="7" t="n"/>
      <c r="AN1060" s="14" t="n"/>
      <c r="AQ1060">
        <f>IF($E1060="","",IF(COUNTIF($E$2:$E1060,$E1060)=1,1,0))</f>
        <v/>
      </c>
      <c r="AR1060">
        <f>IF($AQ1060=1,SUMPRODUCT(--($AU$2:$AU$1501&lt;$AU1060))+1,"")</f>
        <v/>
      </c>
      <c r="AS1060">
        <f>IF($E1060="","",IF(OR($U1060=TRUE(),$U1060="TRUE"),1,0))</f>
        <v/>
      </c>
      <c r="AT1060">
        <f>IF($E1060="","",IF($AC1060="Yes",1,0))</f>
        <v/>
      </c>
      <c r="AU1060">
        <f>IF($AQ1060=1,IFERROR(IF(VALUE($E1060)&lt;100000000,VALUE($E1060),1000000000),IFERROR(IF(VALUE(MID($E1060,2,20))&lt;100000000,VALUE(MID($E1060,2,20)),1000000000),1000000000))+ROW()/100000,"")</f>
        <v/>
      </c>
    </row>
    <row r="1061">
      <c r="G1061" s="14" t="n"/>
      <c r="Q1061" s="7">
        <f>IF($E1061="","",P1061*Z1061/100)</f>
        <v/>
      </c>
      <c r="R1061" s="7" t="n"/>
      <c r="Y1061" s="7" t="n"/>
      <c r="Z1061" s="7" t="n"/>
      <c r="AA1061" s="7" t="n"/>
      <c r="AD1061">
        <f>IF($E1061="","",IF($AT1061=1,Settings!$C$8,IF($AS1061=1,Settings!$C$6,Settings!$C$7))*100)</f>
        <v/>
      </c>
      <c r="AE1061" s="7">
        <f>IF($E1061="","",Z1061*AD1061/100)</f>
        <v/>
      </c>
      <c r="AF1061" s="7">
        <f>IF($E1061="","",Z1061-AE1061)</f>
        <v/>
      </c>
      <c r="AG1061" s="7">
        <f>IF($E1061="","",AF1061-Q1061)</f>
        <v/>
      </c>
      <c r="AK1061" s="7" t="n"/>
      <c r="AN1061" s="14" t="n"/>
      <c r="AQ1061">
        <f>IF($E1061="","",IF(COUNTIF($E$2:$E1061,$E1061)=1,1,0))</f>
        <v/>
      </c>
      <c r="AR1061">
        <f>IF($AQ1061=1,SUMPRODUCT(--($AU$2:$AU$1501&lt;$AU1061))+1,"")</f>
        <v/>
      </c>
      <c r="AS1061">
        <f>IF($E1061="","",IF(OR($U1061=TRUE(),$U1061="TRUE"),1,0))</f>
        <v/>
      </c>
      <c r="AT1061">
        <f>IF($E1061="","",IF($AC1061="Yes",1,0))</f>
        <v/>
      </c>
      <c r="AU1061">
        <f>IF($AQ1061=1,IFERROR(IF(VALUE($E1061)&lt;100000000,VALUE($E1061),1000000000),IFERROR(IF(VALUE(MID($E1061,2,20))&lt;100000000,VALUE(MID($E1061,2,20)),1000000000),1000000000))+ROW()/100000,"")</f>
        <v/>
      </c>
    </row>
    <row r="1062">
      <c r="G1062" s="14" t="n"/>
      <c r="Q1062" s="7">
        <f>IF($E1062="","",P1062*Z1062/100)</f>
        <v/>
      </c>
      <c r="R1062" s="7" t="n"/>
      <c r="Y1062" s="7" t="n"/>
      <c r="Z1062" s="7" t="n"/>
      <c r="AA1062" s="7" t="n"/>
      <c r="AD1062">
        <f>IF($E1062="","",IF($AT1062=1,Settings!$C$8,IF($AS1062=1,Settings!$C$6,Settings!$C$7))*100)</f>
        <v/>
      </c>
      <c r="AE1062" s="7">
        <f>IF($E1062="","",Z1062*AD1062/100)</f>
        <v/>
      </c>
      <c r="AF1062" s="7">
        <f>IF($E1062="","",Z1062-AE1062)</f>
        <v/>
      </c>
      <c r="AG1062" s="7">
        <f>IF($E1062="","",AF1062-Q1062)</f>
        <v/>
      </c>
      <c r="AK1062" s="7" t="n"/>
      <c r="AN1062" s="14" t="n"/>
      <c r="AQ1062">
        <f>IF($E1062="","",IF(COUNTIF($E$2:$E1062,$E1062)=1,1,0))</f>
        <v/>
      </c>
      <c r="AR1062">
        <f>IF($AQ1062=1,SUMPRODUCT(--($AU$2:$AU$1501&lt;$AU1062))+1,"")</f>
        <v/>
      </c>
      <c r="AS1062">
        <f>IF($E1062="","",IF(OR($U1062=TRUE(),$U1062="TRUE"),1,0))</f>
        <v/>
      </c>
      <c r="AT1062">
        <f>IF($E1062="","",IF($AC1062="Yes",1,0))</f>
        <v/>
      </c>
      <c r="AU1062">
        <f>IF($AQ1062=1,IFERROR(IF(VALUE($E1062)&lt;100000000,VALUE($E1062),1000000000),IFERROR(IF(VALUE(MID($E1062,2,20))&lt;100000000,VALUE(MID($E1062,2,20)),1000000000),1000000000))+ROW()/100000,"")</f>
        <v/>
      </c>
    </row>
    <row r="1063">
      <c r="G1063" s="14" t="n"/>
      <c r="Q1063" s="7">
        <f>IF($E1063="","",P1063*Z1063/100)</f>
        <v/>
      </c>
      <c r="R1063" s="7" t="n"/>
      <c r="Y1063" s="7" t="n"/>
      <c r="Z1063" s="7" t="n"/>
      <c r="AA1063" s="7" t="n"/>
      <c r="AD1063">
        <f>IF($E1063="","",IF($AT1063=1,Settings!$C$8,IF($AS1063=1,Settings!$C$6,Settings!$C$7))*100)</f>
        <v/>
      </c>
      <c r="AE1063" s="7">
        <f>IF($E1063="","",Z1063*AD1063/100)</f>
        <v/>
      </c>
      <c r="AF1063" s="7">
        <f>IF($E1063="","",Z1063-AE1063)</f>
        <v/>
      </c>
      <c r="AG1063" s="7">
        <f>IF($E1063="","",AF1063-Q1063)</f>
        <v/>
      </c>
      <c r="AK1063" s="7" t="n"/>
      <c r="AN1063" s="14" t="n"/>
      <c r="AQ1063">
        <f>IF($E1063="","",IF(COUNTIF($E$2:$E1063,$E1063)=1,1,0))</f>
        <v/>
      </c>
      <c r="AR1063">
        <f>IF($AQ1063=1,SUMPRODUCT(--($AU$2:$AU$1501&lt;$AU1063))+1,"")</f>
        <v/>
      </c>
      <c r="AS1063">
        <f>IF($E1063="","",IF(OR($U1063=TRUE(),$U1063="TRUE"),1,0))</f>
        <v/>
      </c>
      <c r="AT1063">
        <f>IF($E1063="","",IF($AC1063="Yes",1,0))</f>
        <v/>
      </c>
      <c r="AU1063">
        <f>IF($AQ1063=1,IFERROR(IF(VALUE($E1063)&lt;100000000,VALUE($E1063),1000000000),IFERROR(IF(VALUE(MID($E1063,2,20))&lt;100000000,VALUE(MID($E1063,2,20)),1000000000),1000000000))+ROW()/100000,"")</f>
        <v/>
      </c>
    </row>
    <row r="1064">
      <c r="G1064" s="14" t="n"/>
      <c r="Q1064" s="7">
        <f>IF($E1064="","",P1064*Z1064/100)</f>
        <v/>
      </c>
      <c r="R1064" s="7" t="n"/>
      <c r="Y1064" s="7" t="n"/>
      <c r="Z1064" s="7" t="n"/>
      <c r="AA1064" s="7" t="n"/>
      <c r="AD1064">
        <f>IF($E1064="","",IF($AT1064=1,Settings!$C$8,IF($AS1064=1,Settings!$C$6,Settings!$C$7))*100)</f>
        <v/>
      </c>
      <c r="AE1064" s="7">
        <f>IF($E1064="","",Z1064*AD1064/100)</f>
        <v/>
      </c>
      <c r="AF1064" s="7">
        <f>IF($E1064="","",Z1064-AE1064)</f>
        <v/>
      </c>
      <c r="AG1064" s="7">
        <f>IF($E1064="","",AF1064-Q1064)</f>
        <v/>
      </c>
      <c r="AK1064" s="7" t="n"/>
      <c r="AN1064" s="14" t="n"/>
      <c r="AQ1064">
        <f>IF($E1064="","",IF(COUNTIF($E$2:$E1064,$E1064)=1,1,0))</f>
        <v/>
      </c>
      <c r="AR1064">
        <f>IF($AQ1064=1,SUMPRODUCT(--($AU$2:$AU$1501&lt;$AU1064))+1,"")</f>
        <v/>
      </c>
      <c r="AS1064">
        <f>IF($E1064="","",IF(OR($U1064=TRUE(),$U1064="TRUE"),1,0))</f>
        <v/>
      </c>
      <c r="AT1064">
        <f>IF($E1064="","",IF($AC1064="Yes",1,0))</f>
        <v/>
      </c>
      <c r="AU1064">
        <f>IF($AQ1064=1,IFERROR(IF(VALUE($E1064)&lt;100000000,VALUE($E1064),1000000000),IFERROR(IF(VALUE(MID($E1064,2,20))&lt;100000000,VALUE(MID($E1064,2,20)),1000000000),1000000000))+ROW()/100000,"")</f>
        <v/>
      </c>
    </row>
    <row r="1065">
      <c r="G1065" s="14" t="n"/>
      <c r="Q1065" s="7">
        <f>IF($E1065="","",P1065*Z1065/100)</f>
        <v/>
      </c>
      <c r="R1065" s="7" t="n"/>
      <c r="Y1065" s="7" t="n"/>
      <c r="Z1065" s="7" t="n"/>
      <c r="AA1065" s="7" t="n"/>
      <c r="AD1065">
        <f>IF($E1065="","",IF($AT1065=1,Settings!$C$8,IF($AS1065=1,Settings!$C$6,Settings!$C$7))*100)</f>
        <v/>
      </c>
      <c r="AE1065" s="7">
        <f>IF($E1065="","",Z1065*AD1065/100)</f>
        <v/>
      </c>
      <c r="AF1065" s="7">
        <f>IF($E1065="","",Z1065-AE1065)</f>
        <v/>
      </c>
      <c r="AG1065" s="7">
        <f>IF($E1065="","",AF1065-Q1065)</f>
        <v/>
      </c>
      <c r="AK1065" s="7" t="n"/>
      <c r="AN1065" s="14" t="n"/>
      <c r="AQ1065">
        <f>IF($E1065="","",IF(COUNTIF($E$2:$E1065,$E1065)=1,1,0))</f>
        <v/>
      </c>
      <c r="AR1065">
        <f>IF($AQ1065=1,SUMPRODUCT(--($AU$2:$AU$1501&lt;$AU1065))+1,"")</f>
        <v/>
      </c>
      <c r="AS1065">
        <f>IF($E1065="","",IF(OR($U1065=TRUE(),$U1065="TRUE"),1,0))</f>
        <v/>
      </c>
      <c r="AT1065">
        <f>IF($E1065="","",IF($AC1065="Yes",1,0))</f>
        <v/>
      </c>
      <c r="AU1065">
        <f>IF($AQ1065=1,IFERROR(IF(VALUE($E1065)&lt;100000000,VALUE($E1065),1000000000),IFERROR(IF(VALUE(MID($E1065,2,20))&lt;100000000,VALUE(MID($E1065,2,20)),1000000000),1000000000))+ROW()/100000,"")</f>
        <v/>
      </c>
    </row>
    <row r="1066">
      <c r="G1066" s="14" t="n"/>
      <c r="Q1066" s="7">
        <f>IF($E1066="","",P1066*Z1066/100)</f>
        <v/>
      </c>
      <c r="R1066" s="7" t="n"/>
      <c r="Y1066" s="7" t="n"/>
      <c r="Z1066" s="7" t="n"/>
      <c r="AA1066" s="7" t="n"/>
      <c r="AD1066">
        <f>IF($E1066="","",IF($AT1066=1,Settings!$C$8,IF($AS1066=1,Settings!$C$6,Settings!$C$7))*100)</f>
        <v/>
      </c>
      <c r="AE1066" s="7">
        <f>IF($E1066="","",Z1066*AD1066/100)</f>
        <v/>
      </c>
      <c r="AF1066" s="7">
        <f>IF($E1066="","",Z1066-AE1066)</f>
        <v/>
      </c>
      <c r="AG1066" s="7">
        <f>IF($E1066="","",AF1066-Q1066)</f>
        <v/>
      </c>
      <c r="AK1066" s="7" t="n"/>
      <c r="AN1066" s="14" t="n"/>
      <c r="AQ1066">
        <f>IF($E1066="","",IF(COUNTIF($E$2:$E1066,$E1066)=1,1,0))</f>
        <v/>
      </c>
      <c r="AR1066">
        <f>IF($AQ1066=1,SUMPRODUCT(--($AU$2:$AU$1501&lt;$AU1066))+1,"")</f>
        <v/>
      </c>
      <c r="AS1066">
        <f>IF($E1066="","",IF(OR($U1066=TRUE(),$U1066="TRUE"),1,0))</f>
        <v/>
      </c>
      <c r="AT1066">
        <f>IF($E1066="","",IF($AC1066="Yes",1,0))</f>
        <v/>
      </c>
      <c r="AU1066">
        <f>IF($AQ1066=1,IFERROR(IF(VALUE($E1066)&lt;100000000,VALUE($E1066),1000000000),IFERROR(IF(VALUE(MID($E1066,2,20))&lt;100000000,VALUE(MID($E1066,2,20)),1000000000),1000000000))+ROW()/100000,"")</f>
        <v/>
      </c>
    </row>
    <row r="1067">
      <c r="G1067" s="14" t="n"/>
      <c r="Q1067" s="7">
        <f>IF($E1067="","",P1067*Z1067/100)</f>
        <v/>
      </c>
      <c r="R1067" s="7" t="n"/>
      <c r="Y1067" s="7" t="n"/>
      <c r="Z1067" s="7" t="n"/>
      <c r="AA1067" s="7" t="n"/>
      <c r="AD1067">
        <f>IF($E1067="","",IF($AT1067=1,Settings!$C$8,IF($AS1067=1,Settings!$C$6,Settings!$C$7))*100)</f>
        <v/>
      </c>
      <c r="AE1067" s="7">
        <f>IF($E1067="","",Z1067*AD1067/100)</f>
        <v/>
      </c>
      <c r="AF1067" s="7">
        <f>IF($E1067="","",Z1067-AE1067)</f>
        <v/>
      </c>
      <c r="AG1067" s="7">
        <f>IF($E1067="","",AF1067-Q1067)</f>
        <v/>
      </c>
      <c r="AK1067" s="7" t="n"/>
      <c r="AN1067" s="14" t="n"/>
      <c r="AQ1067">
        <f>IF($E1067="","",IF(COUNTIF($E$2:$E1067,$E1067)=1,1,0))</f>
        <v/>
      </c>
      <c r="AR1067">
        <f>IF($AQ1067=1,SUMPRODUCT(--($AU$2:$AU$1501&lt;$AU1067))+1,"")</f>
        <v/>
      </c>
      <c r="AS1067">
        <f>IF($E1067="","",IF(OR($U1067=TRUE(),$U1067="TRUE"),1,0))</f>
        <v/>
      </c>
      <c r="AT1067">
        <f>IF($E1067="","",IF($AC1067="Yes",1,0))</f>
        <v/>
      </c>
      <c r="AU1067">
        <f>IF($AQ1067=1,IFERROR(IF(VALUE($E1067)&lt;100000000,VALUE($E1067),1000000000),IFERROR(IF(VALUE(MID($E1067,2,20))&lt;100000000,VALUE(MID($E1067,2,20)),1000000000),1000000000))+ROW()/100000,"")</f>
        <v/>
      </c>
    </row>
    <row r="1068">
      <c r="G1068" s="14" t="n"/>
      <c r="Q1068" s="7">
        <f>IF($E1068="","",P1068*Z1068/100)</f>
        <v/>
      </c>
      <c r="R1068" s="7" t="n"/>
      <c r="Y1068" s="7" t="n"/>
      <c r="Z1068" s="7" t="n"/>
      <c r="AA1068" s="7" t="n"/>
      <c r="AD1068">
        <f>IF($E1068="","",IF($AT1068=1,Settings!$C$8,IF($AS1068=1,Settings!$C$6,Settings!$C$7))*100)</f>
        <v/>
      </c>
      <c r="AE1068" s="7">
        <f>IF($E1068="","",Z1068*AD1068/100)</f>
        <v/>
      </c>
      <c r="AF1068" s="7">
        <f>IF($E1068="","",Z1068-AE1068)</f>
        <v/>
      </c>
      <c r="AG1068" s="7">
        <f>IF($E1068="","",AF1068-Q1068)</f>
        <v/>
      </c>
      <c r="AK1068" s="7" t="n"/>
      <c r="AN1068" s="14" t="n"/>
      <c r="AQ1068">
        <f>IF($E1068="","",IF(COUNTIF($E$2:$E1068,$E1068)=1,1,0))</f>
        <v/>
      </c>
      <c r="AR1068">
        <f>IF($AQ1068=1,SUMPRODUCT(--($AU$2:$AU$1501&lt;$AU1068))+1,"")</f>
        <v/>
      </c>
      <c r="AS1068">
        <f>IF($E1068="","",IF(OR($U1068=TRUE(),$U1068="TRUE"),1,0))</f>
        <v/>
      </c>
      <c r="AT1068">
        <f>IF($E1068="","",IF($AC1068="Yes",1,0))</f>
        <v/>
      </c>
      <c r="AU1068">
        <f>IF($AQ1068=1,IFERROR(IF(VALUE($E1068)&lt;100000000,VALUE($E1068),1000000000),IFERROR(IF(VALUE(MID($E1068,2,20))&lt;100000000,VALUE(MID($E1068,2,20)),1000000000),1000000000))+ROW()/100000,"")</f>
        <v/>
      </c>
    </row>
    <row r="1069">
      <c r="G1069" s="14" t="n"/>
      <c r="Q1069" s="7">
        <f>IF($E1069="","",P1069*Z1069/100)</f>
        <v/>
      </c>
      <c r="R1069" s="7" t="n"/>
      <c r="Y1069" s="7" t="n"/>
      <c r="Z1069" s="7" t="n"/>
      <c r="AA1069" s="7" t="n"/>
      <c r="AD1069">
        <f>IF($E1069="","",IF($AT1069=1,Settings!$C$8,IF($AS1069=1,Settings!$C$6,Settings!$C$7))*100)</f>
        <v/>
      </c>
      <c r="AE1069" s="7">
        <f>IF($E1069="","",Z1069*AD1069/100)</f>
        <v/>
      </c>
      <c r="AF1069" s="7">
        <f>IF($E1069="","",Z1069-AE1069)</f>
        <v/>
      </c>
      <c r="AG1069" s="7">
        <f>IF($E1069="","",AF1069-Q1069)</f>
        <v/>
      </c>
      <c r="AK1069" s="7" t="n"/>
      <c r="AN1069" s="14" t="n"/>
      <c r="AQ1069">
        <f>IF($E1069="","",IF(COUNTIF($E$2:$E1069,$E1069)=1,1,0))</f>
        <v/>
      </c>
      <c r="AR1069">
        <f>IF($AQ1069=1,SUMPRODUCT(--($AU$2:$AU$1501&lt;$AU1069))+1,"")</f>
        <v/>
      </c>
      <c r="AS1069">
        <f>IF($E1069="","",IF(OR($U1069=TRUE(),$U1069="TRUE"),1,0))</f>
        <v/>
      </c>
      <c r="AT1069">
        <f>IF($E1069="","",IF($AC1069="Yes",1,0))</f>
        <v/>
      </c>
      <c r="AU1069">
        <f>IF($AQ1069=1,IFERROR(IF(VALUE($E1069)&lt;100000000,VALUE($E1069),1000000000),IFERROR(IF(VALUE(MID($E1069,2,20))&lt;100000000,VALUE(MID($E1069,2,20)),1000000000),1000000000))+ROW()/100000,"")</f>
        <v/>
      </c>
    </row>
    <row r="1070">
      <c r="G1070" s="14" t="n"/>
      <c r="Q1070" s="7">
        <f>IF($E1070="","",P1070*Z1070/100)</f>
        <v/>
      </c>
      <c r="R1070" s="7" t="n"/>
      <c r="Y1070" s="7" t="n"/>
      <c r="Z1070" s="7" t="n"/>
      <c r="AA1070" s="7" t="n"/>
      <c r="AD1070">
        <f>IF($E1070="","",IF($AT1070=1,Settings!$C$8,IF($AS1070=1,Settings!$C$6,Settings!$C$7))*100)</f>
        <v/>
      </c>
      <c r="AE1070" s="7">
        <f>IF($E1070="","",Z1070*AD1070/100)</f>
        <v/>
      </c>
      <c r="AF1070" s="7">
        <f>IF($E1070="","",Z1070-AE1070)</f>
        <v/>
      </c>
      <c r="AG1070" s="7">
        <f>IF($E1070="","",AF1070-Q1070)</f>
        <v/>
      </c>
      <c r="AK1070" s="7" t="n"/>
      <c r="AN1070" s="14" t="n"/>
      <c r="AQ1070">
        <f>IF($E1070="","",IF(COUNTIF($E$2:$E1070,$E1070)=1,1,0))</f>
        <v/>
      </c>
      <c r="AR1070">
        <f>IF($AQ1070=1,SUMPRODUCT(--($AU$2:$AU$1501&lt;$AU1070))+1,"")</f>
        <v/>
      </c>
      <c r="AS1070">
        <f>IF($E1070="","",IF(OR($U1070=TRUE(),$U1070="TRUE"),1,0))</f>
        <v/>
      </c>
      <c r="AT1070">
        <f>IF($E1070="","",IF($AC1070="Yes",1,0))</f>
        <v/>
      </c>
      <c r="AU1070">
        <f>IF($AQ1070=1,IFERROR(IF(VALUE($E1070)&lt;100000000,VALUE($E1070),1000000000),IFERROR(IF(VALUE(MID($E1070,2,20))&lt;100000000,VALUE(MID($E1070,2,20)),1000000000),1000000000))+ROW()/100000,"")</f>
        <v/>
      </c>
    </row>
    <row r="1071">
      <c r="G1071" s="14" t="n"/>
      <c r="Q1071" s="7">
        <f>IF($E1071="","",P1071*Z1071/100)</f>
        <v/>
      </c>
      <c r="R1071" s="7" t="n"/>
      <c r="Y1071" s="7" t="n"/>
      <c r="Z1071" s="7" t="n"/>
      <c r="AA1071" s="7" t="n"/>
      <c r="AD1071">
        <f>IF($E1071="","",IF($AT1071=1,Settings!$C$8,IF($AS1071=1,Settings!$C$6,Settings!$C$7))*100)</f>
        <v/>
      </c>
      <c r="AE1071" s="7">
        <f>IF($E1071="","",Z1071*AD1071/100)</f>
        <v/>
      </c>
      <c r="AF1071" s="7">
        <f>IF($E1071="","",Z1071-AE1071)</f>
        <v/>
      </c>
      <c r="AG1071" s="7">
        <f>IF($E1071="","",AF1071-Q1071)</f>
        <v/>
      </c>
      <c r="AK1071" s="7" t="n"/>
      <c r="AN1071" s="14" t="n"/>
      <c r="AQ1071">
        <f>IF($E1071="","",IF(COUNTIF($E$2:$E1071,$E1071)=1,1,0))</f>
        <v/>
      </c>
      <c r="AR1071">
        <f>IF($AQ1071=1,SUMPRODUCT(--($AU$2:$AU$1501&lt;$AU1071))+1,"")</f>
        <v/>
      </c>
      <c r="AS1071">
        <f>IF($E1071="","",IF(OR($U1071=TRUE(),$U1071="TRUE"),1,0))</f>
        <v/>
      </c>
      <c r="AT1071">
        <f>IF($E1071="","",IF($AC1071="Yes",1,0))</f>
        <v/>
      </c>
      <c r="AU1071">
        <f>IF($AQ1071=1,IFERROR(IF(VALUE($E1071)&lt;100000000,VALUE($E1071),1000000000),IFERROR(IF(VALUE(MID($E1071,2,20))&lt;100000000,VALUE(MID($E1071,2,20)),1000000000),1000000000))+ROW()/100000,"")</f>
        <v/>
      </c>
    </row>
    <row r="1072">
      <c r="G1072" s="14" t="n"/>
      <c r="Q1072" s="7">
        <f>IF($E1072="","",P1072*Z1072/100)</f>
        <v/>
      </c>
      <c r="R1072" s="7" t="n"/>
      <c r="Y1072" s="7" t="n"/>
      <c r="Z1072" s="7" t="n"/>
      <c r="AA1072" s="7" t="n"/>
      <c r="AD1072">
        <f>IF($E1072="","",IF($AT1072=1,Settings!$C$8,IF($AS1072=1,Settings!$C$6,Settings!$C$7))*100)</f>
        <v/>
      </c>
      <c r="AE1072" s="7">
        <f>IF($E1072="","",Z1072*AD1072/100)</f>
        <v/>
      </c>
      <c r="AF1072" s="7">
        <f>IF($E1072="","",Z1072-AE1072)</f>
        <v/>
      </c>
      <c r="AG1072" s="7">
        <f>IF($E1072="","",AF1072-Q1072)</f>
        <v/>
      </c>
      <c r="AK1072" s="7" t="n"/>
      <c r="AN1072" s="14" t="n"/>
      <c r="AQ1072">
        <f>IF($E1072="","",IF(COUNTIF($E$2:$E1072,$E1072)=1,1,0))</f>
        <v/>
      </c>
      <c r="AR1072">
        <f>IF($AQ1072=1,SUMPRODUCT(--($AU$2:$AU$1501&lt;$AU1072))+1,"")</f>
        <v/>
      </c>
      <c r="AS1072">
        <f>IF($E1072="","",IF(OR($U1072=TRUE(),$U1072="TRUE"),1,0))</f>
        <v/>
      </c>
      <c r="AT1072">
        <f>IF($E1072="","",IF($AC1072="Yes",1,0))</f>
        <v/>
      </c>
      <c r="AU1072">
        <f>IF($AQ1072=1,IFERROR(IF(VALUE($E1072)&lt;100000000,VALUE($E1072),1000000000),IFERROR(IF(VALUE(MID($E1072,2,20))&lt;100000000,VALUE(MID($E1072,2,20)),1000000000),1000000000))+ROW()/100000,"")</f>
        <v/>
      </c>
    </row>
    <row r="1073">
      <c r="G1073" s="14" t="n"/>
      <c r="Q1073" s="7">
        <f>IF($E1073="","",P1073*Z1073/100)</f>
        <v/>
      </c>
      <c r="R1073" s="7" t="n"/>
      <c r="Y1073" s="7" t="n"/>
      <c r="Z1073" s="7" t="n"/>
      <c r="AA1073" s="7" t="n"/>
      <c r="AD1073">
        <f>IF($E1073="","",IF($AT1073=1,Settings!$C$8,IF($AS1073=1,Settings!$C$6,Settings!$C$7))*100)</f>
        <v/>
      </c>
      <c r="AE1073" s="7">
        <f>IF($E1073="","",Z1073*AD1073/100)</f>
        <v/>
      </c>
      <c r="AF1073" s="7">
        <f>IF($E1073="","",Z1073-AE1073)</f>
        <v/>
      </c>
      <c r="AG1073" s="7">
        <f>IF($E1073="","",AF1073-Q1073)</f>
        <v/>
      </c>
      <c r="AK1073" s="7" t="n"/>
      <c r="AN1073" s="14" t="n"/>
      <c r="AQ1073">
        <f>IF($E1073="","",IF(COUNTIF($E$2:$E1073,$E1073)=1,1,0))</f>
        <v/>
      </c>
      <c r="AR1073">
        <f>IF($AQ1073=1,SUMPRODUCT(--($AU$2:$AU$1501&lt;$AU1073))+1,"")</f>
        <v/>
      </c>
      <c r="AS1073">
        <f>IF($E1073="","",IF(OR($U1073=TRUE(),$U1073="TRUE"),1,0))</f>
        <v/>
      </c>
      <c r="AT1073">
        <f>IF($E1073="","",IF($AC1073="Yes",1,0))</f>
        <v/>
      </c>
      <c r="AU1073">
        <f>IF($AQ1073=1,IFERROR(IF(VALUE($E1073)&lt;100000000,VALUE($E1073),1000000000),IFERROR(IF(VALUE(MID($E1073,2,20))&lt;100000000,VALUE(MID($E1073,2,20)),1000000000),1000000000))+ROW()/100000,"")</f>
        <v/>
      </c>
    </row>
    <row r="1074">
      <c r="G1074" s="14" t="n"/>
      <c r="Q1074" s="7">
        <f>IF($E1074="","",P1074*Z1074/100)</f>
        <v/>
      </c>
      <c r="R1074" s="7" t="n"/>
      <c r="Y1074" s="7" t="n"/>
      <c r="Z1074" s="7" t="n"/>
      <c r="AA1074" s="7" t="n"/>
      <c r="AD1074">
        <f>IF($E1074="","",IF($AT1074=1,Settings!$C$8,IF($AS1074=1,Settings!$C$6,Settings!$C$7))*100)</f>
        <v/>
      </c>
      <c r="AE1074" s="7">
        <f>IF($E1074="","",Z1074*AD1074/100)</f>
        <v/>
      </c>
      <c r="AF1074" s="7">
        <f>IF($E1074="","",Z1074-AE1074)</f>
        <v/>
      </c>
      <c r="AG1074" s="7">
        <f>IF($E1074="","",AF1074-Q1074)</f>
        <v/>
      </c>
      <c r="AK1074" s="7" t="n"/>
      <c r="AN1074" s="14" t="n"/>
      <c r="AQ1074">
        <f>IF($E1074="","",IF(COUNTIF($E$2:$E1074,$E1074)=1,1,0))</f>
        <v/>
      </c>
      <c r="AR1074">
        <f>IF($AQ1074=1,SUMPRODUCT(--($AU$2:$AU$1501&lt;$AU1074))+1,"")</f>
        <v/>
      </c>
      <c r="AS1074">
        <f>IF($E1074="","",IF(OR($U1074=TRUE(),$U1074="TRUE"),1,0))</f>
        <v/>
      </c>
      <c r="AT1074">
        <f>IF($E1074="","",IF($AC1074="Yes",1,0))</f>
        <v/>
      </c>
      <c r="AU1074">
        <f>IF($AQ1074=1,IFERROR(IF(VALUE($E1074)&lt;100000000,VALUE($E1074),1000000000),IFERROR(IF(VALUE(MID($E1074,2,20))&lt;100000000,VALUE(MID($E1074,2,20)),1000000000),1000000000))+ROW()/100000,"")</f>
        <v/>
      </c>
    </row>
    <row r="1075">
      <c r="G1075" s="14" t="n"/>
      <c r="Q1075" s="7">
        <f>IF($E1075="","",P1075*Z1075/100)</f>
        <v/>
      </c>
      <c r="R1075" s="7" t="n"/>
      <c r="Y1075" s="7" t="n"/>
      <c r="Z1075" s="7" t="n"/>
      <c r="AA1075" s="7" t="n"/>
      <c r="AD1075">
        <f>IF($E1075="","",IF($AT1075=1,Settings!$C$8,IF($AS1075=1,Settings!$C$6,Settings!$C$7))*100)</f>
        <v/>
      </c>
      <c r="AE1075" s="7">
        <f>IF($E1075="","",Z1075*AD1075/100)</f>
        <v/>
      </c>
      <c r="AF1075" s="7">
        <f>IF($E1075="","",Z1075-AE1075)</f>
        <v/>
      </c>
      <c r="AG1075" s="7">
        <f>IF($E1075="","",AF1075-Q1075)</f>
        <v/>
      </c>
      <c r="AK1075" s="7" t="n"/>
      <c r="AN1075" s="14" t="n"/>
      <c r="AQ1075">
        <f>IF($E1075="","",IF(COUNTIF($E$2:$E1075,$E1075)=1,1,0))</f>
        <v/>
      </c>
      <c r="AR1075">
        <f>IF($AQ1075=1,SUMPRODUCT(--($AU$2:$AU$1501&lt;$AU1075))+1,"")</f>
        <v/>
      </c>
      <c r="AS1075">
        <f>IF($E1075="","",IF(OR($U1075=TRUE(),$U1075="TRUE"),1,0))</f>
        <v/>
      </c>
      <c r="AT1075">
        <f>IF($E1075="","",IF($AC1075="Yes",1,0))</f>
        <v/>
      </c>
      <c r="AU1075">
        <f>IF($AQ1075=1,IFERROR(IF(VALUE($E1075)&lt;100000000,VALUE($E1075),1000000000),IFERROR(IF(VALUE(MID($E1075,2,20))&lt;100000000,VALUE(MID($E1075,2,20)),1000000000),1000000000))+ROW()/100000,"")</f>
        <v/>
      </c>
    </row>
    <row r="1076">
      <c r="G1076" s="14" t="n"/>
      <c r="Q1076" s="7">
        <f>IF($E1076="","",P1076*Z1076/100)</f>
        <v/>
      </c>
      <c r="R1076" s="7" t="n"/>
      <c r="Y1076" s="7" t="n"/>
      <c r="Z1076" s="7" t="n"/>
      <c r="AA1076" s="7" t="n"/>
      <c r="AD1076">
        <f>IF($E1076="","",IF($AT1076=1,Settings!$C$8,IF($AS1076=1,Settings!$C$6,Settings!$C$7))*100)</f>
        <v/>
      </c>
      <c r="AE1076" s="7">
        <f>IF($E1076="","",Z1076*AD1076/100)</f>
        <v/>
      </c>
      <c r="AF1076" s="7">
        <f>IF($E1076="","",Z1076-AE1076)</f>
        <v/>
      </c>
      <c r="AG1076" s="7">
        <f>IF($E1076="","",AF1076-Q1076)</f>
        <v/>
      </c>
      <c r="AK1076" s="7" t="n"/>
      <c r="AN1076" s="14" t="n"/>
      <c r="AQ1076">
        <f>IF($E1076="","",IF(COUNTIF($E$2:$E1076,$E1076)=1,1,0))</f>
        <v/>
      </c>
      <c r="AR1076">
        <f>IF($AQ1076=1,SUMPRODUCT(--($AU$2:$AU$1501&lt;$AU1076))+1,"")</f>
        <v/>
      </c>
      <c r="AS1076">
        <f>IF($E1076="","",IF(OR($U1076=TRUE(),$U1076="TRUE"),1,0))</f>
        <v/>
      </c>
      <c r="AT1076">
        <f>IF($E1076="","",IF($AC1076="Yes",1,0))</f>
        <v/>
      </c>
      <c r="AU1076">
        <f>IF($AQ1076=1,IFERROR(IF(VALUE($E1076)&lt;100000000,VALUE($E1076),1000000000),IFERROR(IF(VALUE(MID($E1076,2,20))&lt;100000000,VALUE(MID($E1076,2,20)),1000000000),1000000000))+ROW()/100000,"")</f>
        <v/>
      </c>
    </row>
    <row r="1077">
      <c r="G1077" s="14" t="n"/>
      <c r="Q1077" s="7">
        <f>IF($E1077="","",P1077*Z1077/100)</f>
        <v/>
      </c>
      <c r="R1077" s="7" t="n"/>
      <c r="Y1077" s="7" t="n"/>
      <c r="Z1077" s="7" t="n"/>
      <c r="AA1077" s="7" t="n"/>
      <c r="AD1077">
        <f>IF($E1077="","",IF($AT1077=1,Settings!$C$8,IF($AS1077=1,Settings!$C$6,Settings!$C$7))*100)</f>
        <v/>
      </c>
      <c r="AE1077" s="7">
        <f>IF($E1077="","",Z1077*AD1077/100)</f>
        <v/>
      </c>
      <c r="AF1077" s="7">
        <f>IF($E1077="","",Z1077-AE1077)</f>
        <v/>
      </c>
      <c r="AG1077" s="7">
        <f>IF($E1077="","",AF1077-Q1077)</f>
        <v/>
      </c>
      <c r="AK1077" s="7" t="n"/>
      <c r="AN1077" s="14" t="n"/>
      <c r="AQ1077">
        <f>IF($E1077="","",IF(COUNTIF($E$2:$E1077,$E1077)=1,1,0))</f>
        <v/>
      </c>
      <c r="AR1077">
        <f>IF($AQ1077=1,SUMPRODUCT(--($AU$2:$AU$1501&lt;$AU1077))+1,"")</f>
        <v/>
      </c>
      <c r="AS1077">
        <f>IF($E1077="","",IF(OR($U1077=TRUE(),$U1077="TRUE"),1,0))</f>
        <v/>
      </c>
      <c r="AT1077">
        <f>IF($E1077="","",IF($AC1077="Yes",1,0))</f>
        <v/>
      </c>
      <c r="AU1077">
        <f>IF($AQ1077=1,IFERROR(IF(VALUE($E1077)&lt;100000000,VALUE($E1077),1000000000),IFERROR(IF(VALUE(MID($E1077,2,20))&lt;100000000,VALUE(MID($E1077,2,20)),1000000000),1000000000))+ROW()/100000,"")</f>
        <v/>
      </c>
    </row>
    <row r="1078">
      <c r="G1078" s="14" t="n"/>
      <c r="Q1078" s="7">
        <f>IF($E1078="","",P1078*Z1078/100)</f>
        <v/>
      </c>
      <c r="R1078" s="7" t="n"/>
      <c r="Y1078" s="7" t="n"/>
      <c r="Z1078" s="7" t="n"/>
      <c r="AA1078" s="7" t="n"/>
      <c r="AD1078">
        <f>IF($E1078="","",IF($AT1078=1,Settings!$C$8,IF($AS1078=1,Settings!$C$6,Settings!$C$7))*100)</f>
        <v/>
      </c>
      <c r="AE1078" s="7">
        <f>IF($E1078="","",Z1078*AD1078/100)</f>
        <v/>
      </c>
      <c r="AF1078" s="7">
        <f>IF($E1078="","",Z1078-AE1078)</f>
        <v/>
      </c>
      <c r="AG1078" s="7">
        <f>IF($E1078="","",AF1078-Q1078)</f>
        <v/>
      </c>
      <c r="AK1078" s="7" t="n"/>
      <c r="AN1078" s="14" t="n"/>
      <c r="AQ1078">
        <f>IF($E1078="","",IF(COUNTIF($E$2:$E1078,$E1078)=1,1,0))</f>
        <v/>
      </c>
      <c r="AR1078">
        <f>IF($AQ1078=1,SUMPRODUCT(--($AU$2:$AU$1501&lt;$AU1078))+1,"")</f>
        <v/>
      </c>
      <c r="AS1078">
        <f>IF($E1078="","",IF(OR($U1078=TRUE(),$U1078="TRUE"),1,0))</f>
        <v/>
      </c>
      <c r="AT1078">
        <f>IF($E1078="","",IF($AC1078="Yes",1,0))</f>
        <v/>
      </c>
      <c r="AU1078">
        <f>IF($AQ1078=1,IFERROR(IF(VALUE($E1078)&lt;100000000,VALUE($E1078),1000000000),IFERROR(IF(VALUE(MID($E1078,2,20))&lt;100000000,VALUE(MID($E1078,2,20)),1000000000),1000000000))+ROW()/100000,"")</f>
        <v/>
      </c>
    </row>
    <row r="1079">
      <c r="G1079" s="14" t="n"/>
      <c r="Q1079" s="7">
        <f>IF($E1079="","",P1079*Z1079/100)</f>
        <v/>
      </c>
      <c r="R1079" s="7" t="n"/>
      <c r="Y1079" s="7" t="n"/>
      <c r="Z1079" s="7" t="n"/>
      <c r="AA1079" s="7" t="n"/>
      <c r="AD1079">
        <f>IF($E1079="","",IF($AT1079=1,Settings!$C$8,IF($AS1079=1,Settings!$C$6,Settings!$C$7))*100)</f>
        <v/>
      </c>
      <c r="AE1079" s="7">
        <f>IF($E1079="","",Z1079*AD1079/100)</f>
        <v/>
      </c>
      <c r="AF1079" s="7">
        <f>IF($E1079="","",Z1079-AE1079)</f>
        <v/>
      </c>
      <c r="AG1079" s="7">
        <f>IF($E1079="","",AF1079-Q1079)</f>
        <v/>
      </c>
      <c r="AK1079" s="7" t="n"/>
      <c r="AN1079" s="14" t="n"/>
      <c r="AQ1079">
        <f>IF($E1079="","",IF(COUNTIF($E$2:$E1079,$E1079)=1,1,0))</f>
        <v/>
      </c>
      <c r="AR1079">
        <f>IF($AQ1079=1,SUMPRODUCT(--($AU$2:$AU$1501&lt;$AU1079))+1,"")</f>
        <v/>
      </c>
      <c r="AS1079">
        <f>IF($E1079="","",IF(OR($U1079=TRUE(),$U1079="TRUE"),1,0))</f>
        <v/>
      </c>
      <c r="AT1079">
        <f>IF($E1079="","",IF($AC1079="Yes",1,0))</f>
        <v/>
      </c>
      <c r="AU1079">
        <f>IF($AQ1079=1,IFERROR(IF(VALUE($E1079)&lt;100000000,VALUE($E1079),1000000000),IFERROR(IF(VALUE(MID($E1079,2,20))&lt;100000000,VALUE(MID($E1079,2,20)),1000000000),1000000000))+ROW()/100000,"")</f>
        <v/>
      </c>
    </row>
    <row r="1080">
      <c r="G1080" s="14" t="n"/>
      <c r="Q1080" s="7">
        <f>IF($E1080="","",P1080*Z1080/100)</f>
        <v/>
      </c>
      <c r="R1080" s="7" t="n"/>
      <c r="Y1080" s="7" t="n"/>
      <c r="Z1080" s="7" t="n"/>
      <c r="AA1080" s="7" t="n"/>
      <c r="AD1080">
        <f>IF($E1080="","",IF($AT1080=1,Settings!$C$8,IF($AS1080=1,Settings!$C$6,Settings!$C$7))*100)</f>
        <v/>
      </c>
      <c r="AE1080" s="7">
        <f>IF($E1080="","",Z1080*AD1080/100)</f>
        <v/>
      </c>
      <c r="AF1080" s="7">
        <f>IF($E1080="","",Z1080-AE1080)</f>
        <v/>
      </c>
      <c r="AG1080" s="7">
        <f>IF($E1080="","",AF1080-Q1080)</f>
        <v/>
      </c>
      <c r="AK1080" s="7" t="n"/>
      <c r="AN1080" s="14" t="n"/>
      <c r="AQ1080">
        <f>IF($E1080="","",IF(COUNTIF($E$2:$E1080,$E1080)=1,1,0))</f>
        <v/>
      </c>
      <c r="AR1080">
        <f>IF($AQ1080=1,SUMPRODUCT(--($AU$2:$AU$1501&lt;$AU1080))+1,"")</f>
        <v/>
      </c>
      <c r="AS1080">
        <f>IF($E1080="","",IF(OR($U1080=TRUE(),$U1080="TRUE"),1,0))</f>
        <v/>
      </c>
      <c r="AT1080">
        <f>IF($E1080="","",IF($AC1080="Yes",1,0))</f>
        <v/>
      </c>
      <c r="AU1080">
        <f>IF($AQ1080=1,IFERROR(IF(VALUE($E1080)&lt;100000000,VALUE($E1080),1000000000),IFERROR(IF(VALUE(MID($E1080,2,20))&lt;100000000,VALUE(MID($E1080,2,20)),1000000000),1000000000))+ROW()/100000,"")</f>
        <v/>
      </c>
    </row>
    <row r="1081">
      <c r="G1081" s="14" t="n"/>
      <c r="Q1081" s="7">
        <f>IF($E1081="","",P1081*Z1081/100)</f>
        <v/>
      </c>
      <c r="R1081" s="7" t="n"/>
      <c r="Y1081" s="7" t="n"/>
      <c r="Z1081" s="7" t="n"/>
      <c r="AA1081" s="7" t="n"/>
      <c r="AD1081">
        <f>IF($E1081="","",IF($AT1081=1,Settings!$C$8,IF($AS1081=1,Settings!$C$6,Settings!$C$7))*100)</f>
        <v/>
      </c>
      <c r="AE1081" s="7">
        <f>IF($E1081="","",Z1081*AD1081/100)</f>
        <v/>
      </c>
      <c r="AF1081" s="7">
        <f>IF($E1081="","",Z1081-AE1081)</f>
        <v/>
      </c>
      <c r="AG1081" s="7">
        <f>IF($E1081="","",AF1081-Q1081)</f>
        <v/>
      </c>
      <c r="AK1081" s="7" t="n"/>
      <c r="AN1081" s="14" t="n"/>
      <c r="AQ1081">
        <f>IF($E1081="","",IF(COUNTIF($E$2:$E1081,$E1081)=1,1,0))</f>
        <v/>
      </c>
      <c r="AR1081">
        <f>IF($AQ1081=1,SUMPRODUCT(--($AU$2:$AU$1501&lt;$AU1081))+1,"")</f>
        <v/>
      </c>
      <c r="AS1081">
        <f>IF($E1081="","",IF(OR($U1081=TRUE(),$U1081="TRUE"),1,0))</f>
        <v/>
      </c>
      <c r="AT1081">
        <f>IF($E1081="","",IF($AC1081="Yes",1,0))</f>
        <v/>
      </c>
      <c r="AU1081">
        <f>IF($AQ1081=1,IFERROR(IF(VALUE($E1081)&lt;100000000,VALUE($E1081),1000000000),IFERROR(IF(VALUE(MID($E1081,2,20))&lt;100000000,VALUE(MID($E1081,2,20)),1000000000),1000000000))+ROW()/100000,"")</f>
        <v/>
      </c>
    </row>
    <row r="1082">
      <c r="G1082" s="14" t="n"/>
      <c r="Q1082" s="7">
        <f>IF($E1082="","",P1082*Z1082/100)</f>
        <v/>
      </c>
      <c r="R1082" s="7" t="n"/>
      <c r="Y1082" s="7" t="n"/>
      <c r="Z1082" s="7" t="n"/>
      <c r="AA1082" s="7" t="n"/>
      <c r="AD1082">
        <f>IF($E1082="","",IF($AT1082=1,Settings!$C$8,IF($AS1082=1,Settings!$C$6,Settings!$C$7))*100)</f>
        <v/>
      </c>
      <c r="AE1082" s="7">
        <f>IF($E1082="","",Z1082*AD1082/100)</f>
        <v/>
      </c>
      <c r="AF1082" s="7">
        <f>IF($E1082="","",Z1082-AE1082)</f>
        <v/>
      </c>
      <c r="AG1082" s="7">
        <f>IF($E1082="","",AF1082-Q1082)</f>
        <v/>
      </c>
      <c r="AK1082" s="7" t="n"/>
      <c r="AN1082" s="14" t="n"/>
      <c r="AQ1082">
        <f>IF($E1082="","",IF(COUNTIF($E$2:$E1082,$E1082)=1,1,0))</f>
        <v/>
      </c>
      <c r="AR1082">
        <f>IF($AQ1082=1,SUMPRODUCT(--($AU$2:$AU$1501&lt;$AU1082))+1,"")</f>
        <v/>
      </c>
      <c r="AS1082">
        <f>IF($E1082="","",IF(OR($U1082=TRUE(),$U1082="TRUE"),1,0))</f>
        <v/>
      </c>
      <c r="AT1082">
        <f>IF($E1082="","",IF($AC1082="Yes",1,0))</f>
        <v/>
      </c>
      <c r="AU1082">
        <f>IF($AQ1082=1,IFERROR(IF(VALUE($E1082)&lt;100000000,VALUE($E1082),1000000000),IFERROR(IF(VALUE(MID($E1082,2,20))&lt;100000000,VALUE(MID($E1082,2,20)),1000000000),1000000000))+ROW()/100000,"")</f>
        <v/>
      </c>
    </row>
    <row r="1083">
      <c r="G1083" s="14" t="n"/>
      <c r="Q1083" s="7">
        <f>IF($E1083="","",P1083*Z1083/100)</f>
        <v/>
      </c>
      <c r="R1083" s="7" t="n"/>
      <c r="Y1083" s="7" t="n"/>
      <c r="Z1083" s="7" t="n"/>
      <c r="AA1083" s="7" t="n"/>
      <c r="AD1083">
        <f>IF($E1083="","",IF($AT1083=1,Settings!$C$8,IF($AS1083=1,Settings!$C$6,Settings!$C$7))*100)</f>
        <v/>
      </c>
      <c r="AE1083" s="7">
        <f>IF($E1083="","",Z1083*AD1083/100)</f>
        <v/>
      </c>
      <c r="AF1083" s="7">
        <f>IF($E1083="","",Z1083-AE1083)</f>
        <v/>
      </c>
      <c r="AG1083" s="7">
        <f>IF($E1083="","",AF1083-Q1083)</f>
        <v/>
      </c>
      <c r="AK1083" s="7" t="n"/>
      <c r="AN1083" s="14" t="n"/>
      <c r="AQ1083">
        <f>IF($E1083="","",IF(COUNTIF($E$2:$E1083,$E1083)=1,1,0))</f>
        <v/>
      </c>
      <c r="AR1083">
        <f>IF($AQ1083=1,SUMPRODUCT(--($AU$2:$AU$1501&lt;$AU1083))+1,"")</f>
        <v/>
      </c>
      <c r="AS1083">
        <f>IF($E1083="","",IF(OR($U1083=TRUE(),$U1083="TRUE"),1,0))</f>
        <v/>
      </c>
      <c r="AT1083">
        <f>IF($E1083="","",IF($AC1083="Yes",1,0))</f>
        <v/>
      </c>
      <c r="AU1083">
        <f>IF($AQ1083=1,IFERROR(IF(VALUE($E1083)&lt;100000000,VALUE($E1083),1000000000),IFERROR(IF(VALUE(MID($E1083,2,20))&lt;100000000,VALUE(MID($E1083,2,20)),1000000000),1000000000))+ROW()/100000,"")</f>
        <v/>
      </c>
    </row>
    <row r="1084">
      <c r="G1084" s="14" t="n"/>
      <c r="Q1084" s="7">
        <f>IF($E1084="","",P1084*Z1084/100)</f>
        <v/>
      </c>
      <c r="R1084" s="7" t="n"/>
      <c r="Y1084" s="7" t="n"/>
      <c r="Z1084" s="7" t="n"/>
      <c r="AA1084" s="7" t="n"/>
      <c r="AD1084">
        <f>IF($E1084="","",IF($AT1084=1,Settings!$C$8,IF($AS1084=1,Settings!$C$6,Settings!$C$7))*100)</f>
        <v/>
      </c>
      <c r="AE1084" s="7">
        <f>IF($E1084="","",Z1084*AD1084/100)</f>
        <v/>
      </c>
      <c r="AF1084" s="7">
        <f>IF($E1084="","",Z1084-AE1084)</f>
        <v/>
      </c>
      <c r="AG1084" s="7">
        <f>IF($E1084="","",AF1084-Q1084)</f>
        <v/>
      </c>
      <c r="AK1084" s="7" t="n"/>
      <c r="AN1084" s="14" t="n"/>
      <c r="AQ1084">
        <f>IF($E1084="","",IF(COUNTIF($E$2:$E1084,$E1084)=1,1,0))</f>
        <v/>
      </c>
      <c r="AR1084">
        <f>IF($AQ1084=1,SUMPRODUCT(--($AU$2:$AU$1501&lt;$AU1084))+1,"")</f>
        <v/>
      </c>
      <c r="AS1084">
        <f>IF($E1084="","",IF(OR($U1084=TRUE(),$U1084="TRUE"),1,0))</f>
        <v/>
      </c>
      <c r="AT1084">
        <f>IF($E1084="","",IF($AC1084="Yes",1,0))</f>
        <v/>
      </c>
      <c r="AU1084">
        <f>IF($AQ1084=1,IFERROR(IF(VALUE($E1084)&lt;100000000,VALUE($E1084),1000000000),IFERROR(IF(VALUE(MID($E1084,2,20))&lt;100000000,VALUE(MID($E1084,2,20)),1000000000),1000000000))+ROW()/100000,"")</f>
        <v/>
      </c>
    </row>
    <row r="1085">
      <c r="G1085" s="14" t="n"/>
      <c r="Q1085" s="7">
        <f>IF($E1085="","",P1085*Z1085/100)</f>
        <v/>
      </c>
      <c r="R1085" s="7" t="n"/>
      <c r="Y1085" s="7" t="n"/>
      <c r="Z1085" s="7" t="n"/>
      <c r="AA1085" s="7" t="n"/>
      <c r="AD1085">
        <f>IF($E1085="","",IF($AT1085=1,Settings!$C$8,IF($AS1085=1,Settings!$C$6,Settings!$C$7))*100)</f>
        <v/>
      </c>
      <c r="AE1085" s="7">
        <f>IF($E1085="","",Z1085*AD1085/100)</f>
        <v/>
      </c>
      <c r="AF1085" s="7">
        <f>IF($E1085="","",Z1085-AE1085)</f>
        <v/>
      </c>
      <c r="AG1085" s="7">
        <f>IF($E1085="","",AF1085-Q1085)</f>
        <v/>
      </c>
      <c r="AK1085" s="7" t="n"/>
      <c r="AN1085" s="14" t="n"/>
      <c r="AQ1085">
        <f>IF($E1085="","",IF(COUNTIF($E$2:$E1085,$E1085)=1,1,0))</f>
        <v/>
      </c>
      <c r="AR1085">
        <f>IF($AQ1085=1,SUMPRODUCT(--($AU$2:$AU$1501&lt;$AU1085))+1,"")</f>
        <v/>
      </c>
      <c r="AS1085">
        <f>IF($E1085="","",IF(OR($U1085=TRUE(),$U1085="TRUE"),1,0))</f>
        <v/>
      </c>
      <c r="AT1085">
        <f>IF($E1085="","",IF($AC1085="Yes",1,0))</f>
        <v/>
      </c>
      <c r="AU1085">
        <f>IF($AQ1085=1,IFERROR(IF(VALUE($E1085)&lt;100000000,VALUE($E1085),1000000000),IFERROR(IF(VALUE(MID($E1085,2,20))&lt;100000000,VALUE(MID($E1085,2,20)),1000000000),1000000000))+ROW()/100000,"")</f>
        <v/>
      </c>
    </row>
    <row r="1086">
      <c r="G1086" s="14" t="n"/>
      <c r="Q1086" s="7">
        <f>IF($E1086="","",P1086*Z1086/100)</f>
        <v/>
      </c>
      <c r="R1086" s="7" t="n"/>
      <c r="Y1086" s="7" t="n"/>
      <c r="Z1086" s="7" t="n"/>
      <c r="AA1086" s="7" t="n"/>
      <c r="AD1086">
        <f>IF($E1086="","",IF($AT1086=1,Settings!$C$8,IF($AS1086=1,Settings!$C$6,Settings!$C$7))*100)</f>
        <v/>
      </c>
      <c r="AE1086" s="7">
        <f>IF($E1086="","",Z1086*AD1086/100)</f>
        <v/>
      </c>
      <c r="AF1086" s="7">
        <f>IF($E1086="","",Z1086-AE1086)</f>
        <v/>
      </c>
      <c r="AG1086" s="7">
        <f>IF($E1086="","",AF1086-Q1086)</f>
        <v/>
      </c>
      <c r="AK1086" s="7" t="n"/>
      <c r="AN1086" s="14" t="n"/>
      <c r="AQ1086">
        <f>IF($E1086="","",IF(COUNTIF($E$2:$E1086,$E1086)=1,1,0))</f>
        <v/>
      </c>
      <c r="AR1086">
        <f>IF($AQ1086=1,SUMPRODUCT(--($AU$2:$AU$1501&lt;$AU1086))+1,"")</f>
        <v/>
      </c>
      <c r="AS1086">
        <f>IF($E1086="","",IF(OR($U1086=TRUE(),$U1086="TRUE"),1,0))</f>
        <v/>
      </c>
      <c r="AT1086">
        <f>IF($E1086="","",IF($AC1086="Yes",1,0))</f>
        <v/>
      </c>
      <c r="AU1086">
        <f>IF($AQ1086=1,IFERROR(IF(VALUE($E1086)&lt;100000000,VALUE($E1086),1000000000),IFERROR(IF(VALUE(MID($E1086,2,20))&lt;100000000,VALUE(MID($E1086,2,20)),1000000000),1000000000))+ROW()/100000,"")</f>
        <v/>
      </c>
    </row>
    <row r="1087">
      <c r="G1087" s="14" t="n"/>
      <c r="Q1087" s="7">
        <f>IF($E1087="","",P1087*Z1087/100)</f>
        <v/>
      </c>
      <c r="R1087" s="7" t="n"/>
      <c r="Y1087" s="7" t="n"/>
      <c r="Z1087" s="7" t="n"/>
      <c r="AA1087" s="7" t="n"/>
      <c r="AD1087">
        <f>IF($E1087="","",IF($AT1087=1,Settings!$C$8,IF($AS1087=1,Settings!$C$6,Settings!$C$7))*100)</f>
        <v/>
      </c>
      <c r="AE1087" s="7">
        <f>IF($E1087="","",Z1087*AD1087/100)</f>
        <v/>
      </c>
      <c r="AF1087" s="7">
        <f>IF($E1087="","",Z1087-AE1087)</f>
        <v/>
      </c>
      <c r="AG1087" s="7">
        <f>IF($E1087="","",AF1087-Q1087)</f>
        <v/>
      </c>
      <c r="AK1087" s="7" t="n"/>
      <c r="AN1087" s="14" t="n"/>
      <c r="AQ1087">
        <f>IF($E1087="","",IF(COUNTIF($E$2:$E1087,$E1087)=1,1,0))</f>
        <v/>
      </c>
      <c r="AR1087">
        <f>IF($AQ1087=1,SUMPRODUCT(--($AU$2:$AU$1501&lt;$AU1087))+1,"")</f>
        <v/>
      </c>
      <c r="AS1087">
        <f>IF($E1087="","",IF(OR($U1087=TRUE(),$U1087="TRUE"),1,0))</f>
        <v/>
      </c>
      <c r="AT1087">
        <f>IF($E1087="","",IF($AC1087="Yes",1,0))</f>
        <v/>
      </c>
      <c r="AU1087">
        <f>IF($AQ1087=1,IFERROR(IF(VALUE($E1087)&lt;100000000,VALUE($E1087),1000000000),IFERROR(IF(VALUE(MID($E1087,2,20))&lt;100000000,VALUE(MID($E1087,2,20)),1000000000),1000000000))+ROW()/100000,"")</f>
        <v/>
      </c>
    </row>
    <row r="1088">
      <c r="G1088" s="14" t="n"/>
      <c r="Q1088" s="7">
        <f>IF($E1088="","",P1088*Z1088/100)</f>
        <v/>
      </c>
      <c r="R1088" s="7" t="n"/>
      <c r="Y1088" s="7" t="n"/>
      <c r="Z1088" s="7" t="n"/>
      <c r="AA1088" s="7" t="n"/>
      <c r="AD1088">
        <f>IF($E1088="","",IF($AT1088=1,Settings!$C$8,IF($AS1088=1,Settings!$C$6,Settings!$C$7))*100)</f>
        <v/>
      </c>
      <c r="AE1088" s="7">
        <f>IF($E1088="","",Z1088*AD1088/100)</f>
        <v/>
      </c>
      <c r="AF1088" s="7">
        <f>IF($E1088="","",Z1088-AE1088)</f>
        <v/>
      </c>
      <c r="AG1088" s="7">
        <f>IF($E1088="","",AF1088-Q1088)</f>
        <v/>
      </c>
      <c r="AK1088" s="7" t="n"/>
      <c r="AN1088" s="14" t="n"/>
      <c r="AQ1088">
        <f>IF($E1088="","",IF(COUNTIF($E$2:$E1088,$E1088)=1,1,0))</f>
        <v/>
      </c>
      <c r="AR1088">
        <f>IF($AQ1088=1,SUMPRODUCT(--($AU$2:$AU$1501&lt;$AU1088))+1,"")</f>
        <v/>
      </c>
      <c r="AS1088">
        <f>IF($E1088="","",IF(OR($U1088=TRUE(),$U1088="TRUE"),1,0))</f>
        <v/>
      </c>
      <c r="AT1088">
        <f>IF($E1088="","",IF($AC1088="Yes",1,0))</f>
        <v/>
      </c>
      <c r="AU1088">
        <f>IF($AQ1088=1,IFERROR(IF(VALUE($E1088)&lt;100000000,VALUE($E1088),1000000000),IFERROR(IF(VALUE(MID($E1088,2,20))&lt;100000000,VALUE(MID($E1088,2,20)),1000000000),1000000000))+ROW()/100000,"")</f>
        <v/>
      </c>
    </row>
    <row r="1089">
      <c r="G1089" s="14" t="n"/>
      <c r="Q1089" s="7">
        <f>IF($E1089="","",P1089*Z1089/100)</f>
        <v/>
      </c>
      <c r="R1089" s="7" t="n"/>
      <c r="Y1089" s="7" t="n"/>
      <c r="Z1089" s="7" t="n"/>
      <c r="AA1089" s="7" t="n"/>
      <c r="AD1089">
        <f>IF($E1089="","",IF($AT1089=1,Settings!$C$8,IF($AS1089=1,Settings!$C$6,Settings!$C$7))*100)</f>
        <v/>
      </c>
      <c r="AE1089" s="7">
        <f>IF($E1089="","",Z1089*AD1089/100)</f>
        <v/>
      </c>
      <c r="AF1089" s="7">
        <f>IF($E1089="","",Z1089-AE1089)</f>
        <v/>
      </c>
      <c r="AG1089" s="7">
        <f>IF($E1089="","",AF1089-Q1089)</f>
        <v/>
      </c>
      <c r="AK1089" s="7" t="n"/>
      <c r="AN1089" s="14" t="n"/>
      <c r="AQ1089">
        <f>IF($E1089="","",IF(COUNTIF($E$2:$E1089,$E1089)=1,1,0))</f>
        <v/>
      </c>
      <c r="AR1089">
        <f>IF($AQ1089=1,SUMPRODUCT(--($AU$2:$AU$1501&lt;$AU1089))+1,"")</f>
        <v/>
      </c>
      <c r="AS1089">
        <f>IF($E1089="","",IF(OR($U1089=TRUE(),$U1089="TRUE"),1,0))</f>
        <v/>
      </c>
      <c r="AT1089">
        <f>IF($E1089="","",IF($AC1089="Yes",1,0))</f>
        <v/>
      </c>
      <c r="AU1089">
        <f>IF($AQ1089=1,IFERROR(IF(VALUE($E1089)&lt;100000000,VALUE($E1089),1000000000),IFERROR(IF(VALUE(MID($E1089,2,20))&lt;100000000,VALUE(MID($E1089,2,20)),1000000000),1000000000))+ROW()/100000,"")</f>
        <v/>
      </c>
    </row>
    <row r="1090">
      <c r="G1090" s="14" t="n"/>
      <c r="Q1090" s="7">
        <f>IF($E1090="","",P1090*Z1090/100)</f>
        <v/>
      </c>
      <c r="R1090" s="7" t="n"/>
      <c r="Y1090" s="7" t="n"/>
      <c r="Z1090" s="7" t="n"/>
      <c r="AA1090" s="7" t="n"/>
      <c r="AD1090">
        <f>IF($E1090="","",IF($AT1090=1,Settings!$C$8,IF($AS1090=1,Settings!$C$6,Settings!$C$7))*100)</f>
        <v/>
      </c>
      <c r="AE1090" s="7">
        <f>IF($E1090="","",Z1090*AD1090/100)</f>
        <v/>
      </c>
      <c r="AF1090" s="7">
        <f>IF($E1090="","",Z1090-AE1090)</f>
        <v/>
      </c>
      <c r="AG1090" s="7">
        <f>IF($E1090="","",AF1090-Q1090)</f>
        <v/>
      </c>
      <c r="AK1090" s="7" t="n"/>
      <c r="AN1090" s="14" t="n"/>
      <c r="AQ1090">
        <f>IF($E1090="","",IF(COUNTIF($E$2:$E1090,$E1090)=1,1,0))</f>
        <v/>
      </c>
      <c r="AR1090">
        <f>IF($AQ1090=1,SUMPRODUCT(--($AU$2:$AU$1501&lt;$AU1090))+1,"")</f>
        <v/>
      </c>
      <c r="AS1090">
        <f>IF($E1090="","",IF(OR($U1090=TRUE(),$U1090="TRUE"),1,0))</f>
        <v/>
      </c>
      <c r="AT1090">
        <f>IF($E1090="","",IF($AC1090="Yes",1,0))</f>
        <v/>
      </c>
      <c r="AU1090">
        <f>IF($AQ1090=1,IFERROR(IF(VALUE($E1090)&lt;100000000,VALUE($E1090),1000000000),IFERROR(IF(VALUE(MID($E1090,2,20))&lt;100000000,VALUE(MID($E1090,2,20)),1000000000),1000000000))+ROW()/100000,"")</f>
        <v/>
      </c>
    </row>
    <row r="1091">
      <c r="G1091" s="14" t="n"/>
      <c r="Q1091" s="7">
        <f>IF($E1091="","",P1091*Z1091/100)</f>
        <v/>
      </c>
      <c r="R1091" s="7" t="n"/>
      <c r="Y1091" s="7" t="n"/>
      <c r="Z1091" s="7" t="n"/>
      <c r="AA1091" s="7" t="n"/>
      <c r="AD1091">
        <f>IF($E1091="","",IF($AT1091=1,Settings!$C$8,IF($AS1091=1,Settings!$C$6,Settings!$C$7))*100)</f>
        <v/>
      </c>
      <c r="AE1091" s="7">
        <f>IF($E1091="","",Z1091*AD1091/100)</f>
        <v/>
      </c>
      <c r="AF1091" s="7">
        <f>IF($E1091="","",Z1091-AE1091)</f>
        <v/>
      </c>
      <c r="AG1091" s="7">
        <f>IF($E1091="","",AF1091-Q1091)</f>
        <v/>
      </c>
      <c r="AK1091" s="7" t="n"/>
      <c r="AN1091" s="14" t="n"/>
      <c r="AQ1091">
        <f>IF($E1091="","",IF(COUNTIF($E$2:$E1091,$E1091)=1,1,0))</f>
        <v/>
      </c>
      <c r="AR1091">
        <f>IF($AQ1091=1,SUMPRODUCT(--($AU$2:$AU$1501&lt;$AU1091))+1,"")</f>
        <v/>
      </c>
      <c r="AS1091">
        <f>IF($E1091="","",IF(OR($U1091=TRUE(),$U1091="TRUE"),1,0))</f>
        <v/>
      </c>
      <c r="AT1091">
        <f>IF($E1091="","",IF($AC1091="Yes",1,0))</f>
        <v/>
      </c>
      <c r="AU1091">
        <f>IF($AQ1091=1,IFERROR(IF(VALUE($E1091)&lt;100000000,VALUE($E1091),1000000000),IFERROR(IF(VALUE(MID($E1091,2,20))&lt;100000000,VALUE(MID($E1091,2,20)),1000000000),1000000000))+ROW()/100000,"")</f>
        <v/>
      </c>
    </row>
    <row r="1092">
      <c r="G1092" s="14" t="n"/>
      <c r="Q1092" s="7">
        <f>IF($E1092="","",P1092*Z1092/100)</f>
        <v/>
      </c>
      <c r="R1092" s="7" t="n"/>
      <c r="Y1092" s="7" t="n"/>
      <c r="Z1092" s="7" t="n"/>
      <c r="AA1092" s="7" t="n"/>
      <c r="AD1092">
        <f>IF($E1092="","",IF($AT1092=1,Settings!$C$8,IF($AS1092=1,Settings!$C$6,Settings!$C$7))*100)</f>
        <v/>
      </c>
      <c r="AE1092" s="7">
        <f>IF($E1092="","",Z1092*AD1092/100)</f>
        <v/>
      </c>
      <c r="AF1092" s="7">
        <f>IF($E1092="","",Z1092-AE1092)</f>
        <v/>
      </c>
      <c r="AG1092" s="7">
        <f>IF($E1092="","",AF1092-Q1092)</f>
        <v/>
      </c>
      <c r="AK1092" s="7" t="n"/>
      <c r="AN1092" s="14" t="n"/>
      <c r="AQ1092">
        <f>IF($E1092="","",IF(COUNTIF($E$2:$E1092,$E1092)=1,1,0))</f>
        <v/>
      </c>
      <c r="AR1092">
        <f>IF($AQ1092=1,SUMPRODUCT(--($AU$2:$AU$1501&lt;$AU1092))+1,"")</f>
        <v/>
      </c>
      <c r="AS1092">
        <f>IF($E1092="","",IF(OR($U1092=TRUE(),$U1092="TRUE"),1,0))</f>
        <v/>
      </c>
      <c r="AT1092">
        <f>IF($E1092="","",IF($AC1092="Yes",1,0))</f>
        <v/>
      </c>
      <c r="AU1092">
        <f>IF($AQ1092=1,IFERROR(IF(VALUE($E1092)&lt;100000000,VALUE($E1092),1000000000),IFERROR(IF(VALUE(MID($E1092,2,20))&lt;100000000,VALUE(MID($E1092,2,20)),1000000000),1000000000))+ROW()/100000,"")</f>
        <v/>
      </c>
    </row>
    <row r="1093">
      <c r="G1093" s="14" t="n"/>
      <c r="Q1093" s="7">
        <f>IF($E1093="","",P1093*Z1093/100)</f>
        <v/>
      </c>
      <c r="R1093" s="7" t="n"/>
      <c r="Y1093" s="7" t="n"/>
      <c r="Z1093" s="7" t="n"/>
      <c r="AA1093" s="7" t="n"/>
      <c r="AD1093">
        <f>IF($E1093="","",IF($AT1093=1,Settings!$C$8,IF($AS1093=1,Settings!$C$6,Settings!$C$7))*100)</f>
        <v/>
      </c>
      <c r="AE1093" s="7">
        <f>IF($E1093="","",Z1093*AD1093/100)</f>
        <v/>
      </c>
      <c r="AF1093" s="7">
        <f>IF($E1093="","",Z1093-AE1093)</f>
        <v/>
      </c>
      <c r="AG1093" s="7">
        <f>IF($E1093="","",AF1093-Q1093)</f>
        <v/>
      </c>
      <c r="AK1093" s="7" t="n"/>
      <c r="AN1093" s="14" t="n"/>
      <c r="AQ1093">
        <f>IF($E1093="","",IF(COUNTIF($E$2:$E1093,$E1093)=1,1,0))</f>
        <v/>
      </c>
      <c r="AR1093">
        <f>IF($AQ1093=1,SUMPRODUCT(--($AU$2:$AU$1501&lt;$AU1093))+1,"")</f>
        <v/>
      </c>
      <c r="AS1093">
        <f>IF($E1093="","",IF(OR($U1093=TRUE(),$U1093="TRUE"),1,0))</f>
        <v/>
      </c>
      <c r="AT1093">
        <f>IF($E1093="","",IF($AC1093="Yes",1,0))</f>
        <v/>
      </c>
      <c r="AU1093">
        <f>IF($AQ1093=1,IFERROR(IF(VALUE($E1093)&lt;100000000,VALUE($E1093),1000000000),IFERROR(IF(VALUE(MID($E1093,2,20))&lt;100000000,VALUE(MID($E1093,2,20)),1000000000),1000000000))+ROW()/100000,"")</f>
        <v/>
      </c>
    </row>
    <row r="1094">
      <c r="G1094" s="14" t="n"/>
      <c r="Q1094" s="7">
        <f>IF($E1094="","",P1094*Z1094/100)</f>
        <v/>
      </c>
      <c r="R1094" s="7" t="n"/>
      <c r="Y1094" s="7" t="n"/>
      <c r="Z1094" s="7" t="n"/>
      <c r="AA1094" s="7" t="n"/>
      <c r="AD1094">
        <f>IF($E1094="","",IF($AT1094=1,Settings!$C$8,IF($AS1094=1,Settings!$C$6,Settings!$C$7))*100)</f>
        <v/>
      </c>
      <c r="AE1094" s="7">
        <f>IF($E1094="","",Z1094*AD1094/100)</f>
        <v/>
      </c>
      <c r="AF1094" s="7">
        <f>IF($E1094="","",Z1094-AE1094)</f>
        <v/>
      </c>
      <c r="AG1094" s="7">
        <f>IF($E1094="","",AF1094-Q1094)</f>
        <v/>
      </c>
      <c r="AK1094" s="7" t="n"/>
      <c r="AN1094" s="14" t="n"/>
      <c r="AQ1094">
        <f>IF($E1094="","",IF(COUNTIF($E$2:$E1094,$E1094)=1,1,0))</f>
        <v/>
      </c>
      <c r="AR1094">
        <f>IF($AQ1094=1,SUMPRODUCT(--($AU$2:$AU$1501&lt;$AU1094))+1,"")</f>
        <v/>
      </c>
      <c r="AS1094">
        <f>IF($E1094="","",IF(OR($U1094=TRUE(),$U1094="TRUE"),1,0))</f>
        <v/>
      </c>
      <c r="AT1094">
        <f>IF($E1094="","",IF($AC1094="Yes",1,0))</f>
        <v/>
      </c>
      <c r="AU1094">
        <f>IF($AQ1094=1,IFERROR(IF(VALUE($E1094)&lt;100000000,VALUE($E1094),1000000000),IFERROR(IF(VALUE(MID($E1094,2,20))&lt;100000000,VALUE(MID($E1094,2,20)),1000000000),1000000000))+ROW()/100000,"")</f>
        <v/>
      </c>
    </row>
    <row r="1095">
      <c r="G1095" s="14" t="n"/>
      <c r="Q1095" s="7">
        <f>IF($E1095="","",P1095*Z1095/100)</f>
        <v/>
      </c>
      <c r="R1095" s="7" t="n"/>
      <c r="Y1095" s="7" t="n"/>
      <c r="Z1095" s="7" t="n"/>
      <c r="AA1095" s="7" t="n"/>
      <c r="AD1095">
        <f>IF($E1095="","",IF($AT1095=1,Settings!$C$8,IF($AS1095=1,Settings!$C$6,Settings!$C$7))*100)</f>
        <v/>
      </c>
      <c r="AE1095" s="7">
        <f>IF($E1095="","",Z1095*AD1095/100)</f>
        <v/>
      </c>
      <c r="AF1095" s="7">
        <f>IF($E1095="","",Z1095-AE1095)</f>
        <v/>
      </c>
      <c r="AG1095" s="7">
        <f>IF($E1095="","",AF1095-Q1095)</f>
        <v/>
      </c>
      <c r="AK1095" s="7" t="n"/>
      <c r="AN1095" s="14" t="n"/>
      <c r="AQ1095">
        <f>IF($E1095="","",IF(COUNTIF($E$2:$E1095,$E1095)=1,1,0))</f>
        <v/>
      </c>
      <c r="AR1095">
        <f>IF($AQ1095=1,SUMPRODUCT(--($AU$2:$AU$1501&lt;$AU1095))+1,"")</f>
        <v/>
      </c>
      <c r="AS1095">
        <f>IF($E1095="","",IF(OR($U1095=TRUE(),$U1095="TRUE"),1,0))</f>
        <v/>
      </c>
      <c r="AT1095">
        <f>IF($E1095="","",IF($AC1095="Yes",1,0))</f>
        <v/>
      </c>
      <c r="AU1095">
        <f>IF($AQ1095=1,IFERROR(IF(VALUE($E1095)&lt;100000000,VALUE($E1095),1000000000),IFERROR(IF(VALUE(MID($E1095,2,20))&lt;100000000,VALUE(MID($E1095,2,20)),1000000000),1000000000))+ROW()/100000,"")</f>
        <v/>
      </c>
    </row>
    <row r="1096">
      <c r="G1096" s="14" t="n"/>
      <c r="Q1096" s="7">
        <f>IF($E1096="","",P1096*Z1096/100)</f>
        <v/>
      </c>
      <c r="R1096" s="7" t="n"/>
      <c r="Y1096" s="7" t="n"/>
      <c r="Z1096" s="7" t="n"/>
      <c r="AA1096" s="7" t="n"/>
      <c r="AD1096">
        <f>IF($E1096="","",IF($AT1096=1,Settings!$C$8,IF($AS1096=1,Settings!$C$6,Settings!$C$7))*100)</f>
        <v/>
      </c>
      <c r="AE1096" s="7">
        <f>IF($E1096="","",Z1096*AD1096/100)</f>
        <v/>
      </c>
      <c r="AF1096" s="7">
        <f>IF($E1096="","",Z1096-AE1096)</f>
        <v/>
      </c>
      <c r="AG1096" s="7">
        <f>IF($E1096="","",AF1096-Q1096)</f>
        <v/>
      </c>
      <c r="AK1096" s="7" t="n"/>
      <c r="AN1096" s="14" t="n"/>
      <c r="AQ1096">
        <f>IF($E1096="","",IF(COUNTIF($E$2:$E1096,$E1096)=1,1,0))</f>
        <v/>
      </c>
      <c r="AR1096">
        <f>IF($AQ1096=1,SUMPRODUCT(--($AU$2:$AU$1501&lt;$AU1096))+1,"")</f>
        <v/>
      </c>
      <c r="AS1096">
        <f>IF($E1096="","",IF(OR($U1096=TRUE(),$U1096="TRUE"),1,0))</f>
        <v/>
      </c>
      <c r="AT1096">
        <f>IF($E1096="","",IF($AC1096="Yes",1,0))</f>
        <v/>
      </c>
      <c r="AU1096">
        <f>IF($AQ1096=1,IFERROR(IF(VALUE($E1096)&lt;100000000,VALUE($E1096),1000000000),IFERROR(IF(VALUE(MID($E1096,2,20))&lt;100000000,VALUE(MID($E1096,2,20)),1000000000),1000000000))+ROW()/100000,"")</f>
        <v/>
      </c>
    </row>
    <row r="1097">
      <c r="G1097" s="14" t="n"/>
      <c r="Q1097" s="7">
        <f>IF($E1097="","",P1097*Z1097/100)</f>
        <v/>
      </c>
      <c r="R1097" s="7" t="n"/>
      <c r="Y1097" s="7" t="n"/>
      <c r="Z1097" s="7" t="n"/>
      <c r="AA1097" s="7" t="n"/>
      <c r="AD1097">
        <f>IF($E1097="","",IF($AT1097=1,Settings!$C$8,IF($AS1097=1,Settings!$C$6,Settings!$C$7))*100)</f>
        <v/>
      </c>
      <c r="AE1097" s="7">
        <f>IF($E1097="","",Z1097*AD1097/100)</f>
        <v/>
      </c>
      <c r="AF1097" s="7">
        <f>IF($E1097="","",Z1097-AE1097)</f>
        <v/>
      </c>
      <c r="AG1097" s="7">
        <f>IF($E1097="","",AF1097-Q1097)</f>
        <v/>
      </c>
      <c r="AK1097" s="7" t="n"/>
      <c r="AN1097" s="14" t="n"/>
      <c r="AQ1097">
        <f>IF($E1097="","",IF(COUNTIF($E$2:$E1097,$E1097)=1,1,0))</f>
        <v/>
      </c>
      <c r="AR1097">
        <f>IF($AQ1097=1,SUMPRODUCT(--($AU$2:$AU$1501&lt;$AU1097))+1,"")</f>
        <v/>
      </c>
      <c r="AS1097">
        <f>IF($E1097="","",IF(OR($U1097=TRUE(),$U1097="TRUE"),1,0))</f>
        <v/>
      </c>
      <c r="AT1097">
        <f>IF($E1097="","",IF($AC1097="Yes",1,0))</f>
        <v/>
      </c>
      <c r="AU1097">
        <f>IF($AQ1097=1,IFERROR(IF(VALUE($E1097)&lt;100000000,VALUE($E1097),1000000000),IFERROR(IF(VALUE(MID($E1097,2,20))&lt;100000000,VALUE(MID($E1097,2,20)),1000000000),1000000000))+ROW()/100000,"")</f>
        <v/>
      </c>
    </row>
    <row r="1098">
      <c r="G1098" s="14" t="n"/>
      <c r="Q1098" s="7">
        <f>IF($E1098="","",P1098*Z1098/100)</f>
        <v/>
      </c>
      <c r="R1098" s="7" t="n"/>
      <c r="Y1098" s="7" t="n"/>
      <c r="Z1098" s="7" t="n"/>
      <c r="AA1098" s="7" t="n"/>
      <c r="AD1098">
        <f>IF($E1098="","",IF($AT1098=1,Settings!$C$8,IF($AS1098=1,Settings!$C$6,Settings!$C$7))*100)</f>
        <v/>
      </c>
      <c r="AE1098" s="7">
        <f>IF($E1098="","",Z1098*AD1098/100)</f>
        <v/>
      </c>
      <c r="AF1098" s="7">
        <f>IF($E1098="","",Z1098-AE1098)</f>
        <v/>
      </c>
      <c r="AG1098" s="7">
        <f>IF($E1098="","",AF1098-Q1098)</f>
        <v/>
      </c>
      <c r="AK1098" s="7" t="n"/>
      <c r="AN1098" s="14" t="n"/>
      <c r="AQ1098">
        <f>IF($E1098="","",IF(COUNTIF($E$2:$E1098,$E1098)=1,1,0))</f>
        <v/>
      </c>
      <c r="AR1098">
        <f>IF($AQ1098=1,SUMPRODUCT(--($AU$2:$AU$1501&lt;$AU1098))+1,"")</f>
        <v/>
      </c>
      <c r="AS1098">
        <f>IF($E1098="","",IF(OR($U1098=TRUE(),$U1098="TRUE"),1,0))</f>
        <v/>
      </c>
      <c r="AT1098">
        <f>IF($E1098="","",IF($AC1098="Yes",1,0))</f>
        <v/>
      </c>
      <c r="AU1098">
        <f>IF($AQ1098=1,IFERROR(IF(VALUE($E1098)&lt;100000000,VALUE($E1098),1000000000),IFERROR(IF(VALUE(MID($E1098,2,20))&lt;100000000,VALUE(MID($E1098,2,20)),1000000000),1000000000))+ROW()/100000,"")</f>
        <v/>
      </c>
    </row>
    <row r="1099">
      <c r="G1099" s="14" t="n"/>
      <c r="Q1099" s="7">
        <f>IF($E1099="","",P1099*Z1099/100)</f>
        <v/>
      </c>
      <c r="R1099" s="7" t="n"/>
      <c r="Y1099" s="7" t="n"/>
      <c r="Z1099" s="7" t="n"/>
      <c r="AA1099" s="7" t="n"/>
      <c r="AD1099">
        <f>IF($E1099="","",IF($AT1099=1,Settings!$C$8,IF($AS1099=1,Settings!$C$6,Settings!$C$7))*100)</f>
        <v/>
      </c>
      <c r="AE1099" s="7">
        <f>IF($E1099="","",Z1099*AD1099/100)</f>
        <v/>
      </c>
      <c r="AF1099" s="7">
        <f>IF($E1099="","",Z1099-AE1099)</f>
        <v/>
      </c>
      <c r="AG1099" s="7">
        <f>IF($E1099="","",AF1099-Q1099)</f>
        <v/>
      </c>
      <c r="AK1099" s="7" t="n"/>
      <c r="AN1099" s="14" t="n"/>
      <c r="AQ1099">
        <f>IF($E1099="","",IF(COUNTIF($E$2:$E1099,$E1099)=1,1,0))</f>
        <v/>
      </c>
      <c r="AR1099">
        <f>IF($AQ1099=1,SUMPRODUCT(--($AU$2:$AU$1501&lt;$AU1099))+1,"")</f>
        <v/>
      </c>
      <c r="AS1099">
        <f>IF($E1099="","",IF(OR($U1099=TRUE(),$U1099="TRUE"),1,0))</f>
        <v/>
      </c>
      <c r="AT1099">
        <f>IF($E1099="","",IF($AC1099="Yes",1,0))</f>
        <v/>
      </c>
      <c r="AU1099">
        <f>IF($AQ1099=1,IFERROR(IF(VALUE($E1099)&lt;100000000,VALUE($E1099),1000000000),IFERROR(IF(VALUE(MID($E1099,2,20))&lt;100000000,VALUE(MID($E1099,2,20)),1000000000),1000000000))+ROW()/100000,"")</f>
        <v/>
      </c>
    </row>
    <row r="1100">
      <c r="G1100" s="14" t="n"/>
      <c r="Q1100" s="7">
        <f>IF($E1100="","",P1100*Z1100/100)</f>
        <v/>
      </c>
      <c r="R1100" s="7" t="n"/>
      <c r="Y1100" s="7" t="n"/>
      <c r="Z1100" s="7" t="n"/>
      <c r="AA1100" s="7" t="n"/>
      <c r="AD1100">
        <f>IF($E1100="","",IF($AT1100=1,Settings!$C$8,IF($AS1100=1,Settings!$C$6,Settings!$C$7))*100)</f>
        <v/>
      </c>
      <c r="AE1100" s="7">
        <f>IF($E1100="","",Z1100*AD1100/100)</f>
        <v/>
      </c>
      <c r="AF1100" s="7">
        <f>IF($E1100="","",Z1100-AE1100)</f>
        <v/>
      </c>
      <c r="AG1100" s="7">
        <f>IF($E1100="","",AF1100-Q1100)</f>
        <v/>
      </c>
      <c r="AK1100" s="7" t="n"/>
      <c r="AN1100" s="14" t="n"/>
      <c r="AQ1100">
        <f>IF($E1100="","",IF(COUNTIF($E$2:$E1100,$E1100)=1,1,0))</f>
        <v/>
      </c>
      <c r="AR1100">
        <f>IF($AQ1100=1,SUMPRODUCT(--($AU$2:$AU$1501&lt;$AU1100))+1,"")</f>
        <v/>
      </c>
      <c r="AS1100">
        <f>IF($E1100="","",IF(OR($U1100=TRUE(),$U1100="TRUE"),1,0))</f>
        <v/>
      </c>
      <c r="AT1100">
        <f>IF($E1100="","",IF($AC1100="Yes",1,0))</f>
        <v/>
      </c>
      <c r="AU1100">
        <f>IF($AQ1100=1,IFERROR(IF(VALUE($E1100)&lt;100000000,VALUE($E1100),1000000000),IFERROR(IF(VALUE(MID($E1100,2,20))&lt;100000000,VALUE(MID($E1100,2,20)),1000000000),1000000000))+ROW()/100000,"")</f>
        <v/>
      </c>
    </row>
    <row r="1101">
      <c r="G1101" s="14" t="n"/>
      <c r="Q1101" s="7">
        <f>IF($E1101="","",P1101*Z1101/100)</f>
        <v/>
      </c>
      <c r="R1101" s="7" t="n"/>
      <c r="Y1101" s="7" t="n"/>
      <c r="Z1101" s="7" t="n"/>
      <c r="AA1101" s="7" t="n"/>
      <c r="AD1101">
        <f>IF($E1101="","",IF($AT1101=1,Settings!$C$8,IF($AS1101=1,Settings!$C$6,Settings!$C$7))*100)</f>
        <v/>
      </c>
      <c r="AE1101" s="7">
        <f>IF($E1101="","",Z1101*AD1101/100)</f>
        <v/>
      </c>
      <c r="AF1101" s="7">
        <f>IF($E1101="","",Z1101-AE1101)</f>
        <v/>
      </c>
      <c r="AG1101" s="7">
        <f>IF($E1101="","",AF1101-Q1101)</f>
        <v/>
      </c>
      <c r="AK1101" s="7" t="n"/>
      <c r="AN1101" s="14" t="n"/>
      <c r="AQ1101">
        <f>IF($E1101="","",IF(COUNTIF($E$2:$E1101,$E1101)=1,1,0))</f>
        <v/>
      </c>
      <c r="AR1101">
        <f>IF($AQ1101=1,SUMPRODUCT(--($AU$2:$AU$1501&lt;$AU1101))+1,"")</f>
        <v/>
      </c>
      <c r="AS1101">
        <f>IF($E1101="","",IF(OR($U1101=TRUE(),$U1101="TRUE"),1,0))</f>
        <v/>
      </c>
      <c r="AT1101">
        <f>IF($E1101="","",IF($AC1101="Yes",1,0))</f>
        <v/>
      </c>
      <c r="AU1101">
        <f>IF($AQ1101=1,IFERROR(IF(VALUE($E1101)&lt;100000000,VALUE($E1101),1000000000),IFERROR(IF(VALUE(MID($E1101,2,20))&lt;100000000,VALUE(MID($E1101,2,20)),1000000000),1000000000))+ROW()/100000,"")</f>
        <v/>
      </c>
    </row>
    <row r="1102">
      <c r="G1102" s="14" t="n"/>
      <c r="Q1102" s="7">
        <f>IF($E1102="","",P1102*Z1102/100)</f>
        <v/>
      </c>
      <c r="R1102" s="7" t="n"/>
      <c r="Y1102" s="7" t="n"/>
      <c r="Z1102" s="7" t="n"/>
      <c r="AA1102" s="7" t="n"/>
      <c r="AD1102">
        <f>IF($E1102="","",IF($AT1102=1,Settings!$C$8,IF($AS1102=1,Settings!$C$6,Settings!$C$7))*100)</f>
        <v/>
      </c>
      <c r="AE1102" s="7">
        <f>IF($E1102="","",Z1102*AD1102/100)</f>
        <v/>
      </c>
      <c r="AF1102" s="7">
        <f>IF($E1102="","",Z1102-AE1102)</f>
        <v/>
      </c>
      <c r="AG1102" s="7">
        <f>IF($E1102="","",AF1102-Q1102)</f>
        <v/>
      </c>
      <c r="AK1102" s="7" t="n"/>
      <c r="AN1102" s="14" t="n"/>
      <c r="AQ1102">
        <f>IF($E1102="","",IF(COUNTIF($E$2:$E1102,$E1102)=1,1,0))</f>
        <v/>
      </c>
      <c r="AR1102">
        <f>IF($AQ1102=1,SUMPRODUCT(--($AU$2:$AU$1501&lt;$AU1102))+1,"")</f>
        <v/>
      </c>
      <c r="AS1102">
        <f>IF($E1102="","",IF(OR($U1102=TRUE(),$U1102="TRUE"),1,0))</f>
        <v/>
      </c>
      <c r="AT1102">
        <f>IF($E1102="","",IF($AC1102="Yes",1,0))</f>
        <v/>
      </c>
      <c r="AU1102">
        <f>IF($AQ1102=1,IFERROR(IF(VALUE($E1102)&lt;100000000,VALUE($E1102),1000000000),IFERROR(IF(VALUE(MID($E1102,2,20))&lt;100000000,VALUE(MID($E1102,2,20)),1000000000),1000000000))+ROW()/100000,"")</f>
        <v/>
      </c>
    </row>
    <row r="1103">
      <c r="G1103" s="14" t="n"/>
      <c r="Q1103" s="7">
        <f>IF($E1103="","",P1103*Z1103/100)</f>
        <v/>
      </c>
      <c r="R1103" s="7" t="n"/>
      <c r="Y1103" s="7" t="n"/>
      <c r="Z1103" s="7" t="n"/>
      <c r="AA1103" s="7" t="n"/>
      <c r="AD1103">
        <f>IF($E1103="","",IF($AT1103=1,Settings!$C$8,IF($AS1103=1,Settings!$C$6,Settings!$C$7))*100)</f>
        <v/>
      </c>
      <c r="AE1103" s="7">
        <f>IF($E1103="","",Z1103*AD1103/100)</f>
        <v/>
      </c>
      <c r="AF1103" s="7">
        <f>IF($E1103="","",Z1103-AE1103)</f>
        <v/>
      </c>
      <c r="AG1103" s="7">
        <f>IF($E1103="","",AF1103-Q1103)</f>
        <v/>
      </c>
      <c r="AK1103" s="7" t="n"/>
      <c r="AN1103" s="14" t="n"/>
      <c r="AQ1103">
        <f>IF($E1103="","",IF(COUNTIF($E$2:$E1103,$E1103)=1,1,0))</f>
        <v/>
      </c>
      <c r="AR1103">
        <f>IF($AQ1103=1,SUMPRODUCT(--($AU$2:$AU$1501&lt;$AU1103))+1,"")</f>
        <v/>
      </c>
      <c r="AS1103">
        <f>IF($E1103="","",IF(OR($U1103=TRUE(),$U1103="TRUE"),1,0))</f>
        <v/>
      </c>
      <c r="AT1103">
        <f>IF($E1103="","",IF($AC1103="Yes",1,0))</f>
        <v/>
      </c>
      <c r="AU1103">
        <f>IF($AQ1103=1,IFERROR(IF(VALUE($E1103)&lt;100000000,VALUE($E1103),1000000000),IFERROR(IF(VALUE(MID($E1103,2,20))&lt;100000000,VALUE(MID($E1103,2,20)),1000000000),1000000000))+ROW()/100000,"")</f>
        <v/>
      </c>
    </row>
    <row r="1104">
      <c r="G1104" s="14" t="n"/>
      <c r="Q1104" s="7">
        <f>IF($E1104="","",P1104*Z1104/100)</f>
        <v/>
      </c>
      <c r="R1104" s="7" t="n"/>
      <c r="Y1104" s="7" t="n"/>
      <c r="Z1104" s="7" t="n"/>
      <c r="AA1104" s="7" t="n"/>
      <c r="AD1104">
        <f>IF($E1104="","",IF($AT1104=1,Settings!$C$8,IF($AS1104=1,Settings!$C$6,Settings!$C$7))*100)</f>
        <v/>
      </c>
      <c r="AE1104" s="7">
        <f>IF($E1104="","",Z1104*AD1104/100)</f>
        <v/>
      </c>
      <c r="AF1104" s="7">
        <f>IF($E1104="","",Z1104-AE1104)</f>
        <v/>
      </c>
      <c r="AG1104" s="7">
        <f>IF($E1104="","",AF1104-Q1104)</f>
        <v/>
      </c>
      <c r="AK1104" s="7" t="n"/>
      <c r="AN1104" s="14" t="n"/>
      <c r="AQ1104">
        <f>IF($E1104="","",IF(COUNTIF($E$2:$E1104,$E1104)=1,1,0))</f>
        <v/>
      </c>
      <c r="AR1104">
        <f>IF($AQ1104=1,SUMPRODUCT(--($AU$2:$AU$1501&lt;$AU1104))+1,"")</f>
        <v/>
      </c>
      <c r="AS1104">
        <f>IF($E1104="","",IF(OR($U1104=TRUE(),$U1104="TRUE"),1,0))</f>
        <v/>
      </c>
      <c r="AT1104">
        <f>IF($E1104="","",IF($AC1104="Yes",1,0))</f>
        <v/>
      </c>
      <c r="AU1104">
        <f>IF($AQ1104=1,IFERROR(IF(VALUE($E1104)&lt;100000000,VALUE($E1104),1000000000),IFERROR(IF(VALUE(MID($E1104,2,20))&lt;100000000,VALUE(MID($E1104,2,20)),1000000000),1000000000))+ROW()/100000,"")</f>
        <v/>
      </c>
    </row>
    <row r="1105">
      <c r="G1105" s="14" t="n"/>
      <c r="Q1105" s="7">
        <f>IF($E1105="","",P1105*Z1105/100)</f>
        <v/>
      </c>
      <c r="R1105" s="7" t="n"/>
      <c r="Y1105" s="7" t="n"/>
      <c r="Z1105" s="7" t="n"/>
      <c r="AA1105" s="7" t="n"/>
      <c r="AD1105">
        <f>IF($E1105="","",IF($AT1105=1,Settings!$C$8,IF($AS1105=1,Settings!$C$6,Settings!$C$7))*100)</f>
        <v/>
      </c>
      <c r="AE1105" s="7">
        <f>IF($E1105="","",Z1105*AD1105/100)</f>
        <v/>
      </c>
      <c r="AF1105" s="7">
        <f>IF($E1105="","",Z1105-AE1105)</f>
        <v/>
      </c>
      <c r="AG1105" s="7">
        <f>IF($E1105="","",AF1105-Q1105)</f>
        <v/>
      </c>
      <c r="AK1105" s="7" t="n"/>
      <c r="AN1105" s="14" t="n"/>
      <c r="AQ1105">
        <f>IF($E1105="","",IF(COUNTIF($E$2:$E1105,$E1105)=1,1,0))</f>
        <v/>
      </c>
      <c r="AR1105">
        <f>IF($AQ1105=1,SUMPRODUCT(--($AU$2:$AU$1501&lt;$AU1105))+1,"")</f>
        <v/>
      </c>
      <c r="AS1105">
        <f>IF($E1105="","",IF(OR($U1105=TRUE(),$U1105="TRUE"),1,0))</f>
        <v/>
      </c>
      <c r="AT1105">
        <f>IF($E1105="","",IF($AC1105="Yes",1,0))</f>
        <v/>
      </c>
      <c r="AU1105">
        <f>IF($AQ1105=1,IFERROR(IF(VALUE($E1105)&lt;100000000,VALUE($E1105),1000000000),IFERROR(IF(VALUE(MID($E1105,2,20))&lt;100000000,VALUE(MID($E1105,2,20)),1000000000),1000000000))+ROW()/100000,"")</f>
        <v/>
      </c>
    </row>
    <row r="1106">
      <c r="G1106" s="14" t="n"/>
      <c r="Q1106" s="7">
        <f>IF($E1106="","",P1106*Z1106/100)</f>
        <v/>
      </c>
      <c r="R1106" s="7" t="n"/>
      <c r="Y1106" s="7" t="n"/>
      <c r="Z1106" s="7" t="n"/>
      <c r="AA1106" s="7" t="n"/>
      <c r="AD1106">
        <f>IF($E1106="","",IF($AT1106=1,Settings!$C$8,IF($AS1106=1,Settings!$C$6,Settings!$C$7))*100)</f>
        <v/>
      </c>
      <c r="AE1106" s="7">
        <f>IF($E1106="","",Z1106*AD1106/100)</f>
        <v/>
      </c>
      <c r="AF1106" s="7">
        <f>IF($E1106="","",Z1106-AE1106)</f>
        <v/>
      </c>
      <c r="AG1106" s="7">
        <f>IF($E1106="","",AF1106-Q1106)</f>
        <v/>
      </c>
      <c r="AK1106" s="7" t="n"/>
      <c r="AN1106" s="14" t="n"/>
      <c r="AQ1106">
        <f>IF($E1106="","",IF(COUNTIF($E$2:$E1106,$E1106)=1,1,0))</f>
        <v/>
      </c>
      <c r="AR1106">
        <f>IF($AQ1106=1,SUMPRODUCT(--($AU$2:$AU$1501&lt;$AU1106))+1,"")</f>
        <v/>
      </c>
      <c r="AS1106">
        <f>IF($E1106="","",IF(OR($U1106=TRUE(),$U1106="TRUE"),1,0))</f>
        <v/>
      </c>
      <c r="AT1106">
        <f>IF($E1106="","",IF($AC1106="Yes",1,0))</f>
        <v/>
      </c>
      <c r="AU1106">
        <f>IF($AQ1106=1,IFERROR(IF(VALUE($E1106)&lt;100000000,VALUE($E1106),1000000000),IFERROR(IF(VALUE(MID($E1106,2,20))&lt;100000000,VALUE(MID($E1106,2,20)),1000000000),1000000000))+ROW()/100000,"")</f>
        <v/>
      </c>
    </row>
    <row r="1107">
      <c r="G1107" s="14" t="n"/>
      <c r="Q1107" s="7">
        <f>IF($E1107="","",P1107*Z1107/100)</f>
        <v/>
      </c>
      <c r="R1107" s="7" t="n"/>
      <c r="Y1107" s="7" t="n"/>
      <c r="Z1107" s="7" t="n"/>
      <c r="AA1107" s="7" t="n"/>
      <c r="AD1107">
        <f>IF($E1107="","",IF($AT1107=1,Settings!$C$8,IF($AS1107=1,Settings!$C$6,Settings!$C$7))*100)</f>
        <v/>
      </c>
      <c r="AE1107" s="7">
        <f>IF($E1107="","",Z1107*AD1107/100)</f>
        <v/>
      </c>
      <c r="AF1107" s="7">
        <f>IF($E1107="","",Z1107-AE1107)</f>
        <v/>
      </c>
      <c r="AG1107" s="7">
        <f>IF($E1107="","",AF1107-Q1107)</f>
        <v/>
      </c>
      <c r="AK1107" s="7" t="n"/>
      <c r="AN1107" s="14" t="n"/>
      <c r="AQ1107">
        <f>IF($E1107="","",IF(COUNTIF($E$2:$E1107,$E1107)=1,1,0))</f>
        <v/>
      </c>
      <c r="AR1107">
        <f>IF($AQ1107=1,SUMPRODUCT(--($AU$2:$AU$1501&lt;$AU1107))+1,"")</f>
        <v/>
      </c>
      <c r="AS1107">
        <f>IF($E1107="","",IF(OR($U1107=TRUE(),$U1107="TRUE"),1,0))</f>
        <v/>
      </c>
      <c r="AT1107">
        <f>IF($E1107="","",IF($AC1107="Yes",1,0))</f>
        <v/>
      </c>
      <c r="AU1107">
        <f>IF($AQ1107=1,IFERROR(IF(VALUE($E1107)&lt;100000000,VALUE($E1107),1000000000),IFERROR(IF(VALUE(MID($E1107,2,20))&lt;100000000,VALUE(MID($E1107,2,20)),1000000000),1000000000))+ROW()/100000,"")</f>
        <v/>
      </c>
    </row>
    <row r="1108">
      <c r="G1108" s="14" t="n"/>
      <c r="Q1108" s="7">
        <f>IF($E1108="","",P1108*Z1108/100)</f>
        <v/>
      </c>
      <c r="R1108" s="7" t="n"/>
      <c r="Y1108" s="7" t="n"/>
      <c r="Z1108" s="7" t="n"/>
      <c r="AA1108" s="7" t="n"/>
      <c r="AD1108">
        <f>IF($E1108="","",IF($AT1108=1,Settings!$C$8,IF($AS1108=1,Settings!$C$6,Settings!$C$7))*100)</f>
        <v/>
      </c>
      <c r="AE1108" s="7">
        <f>IF($E1108="","",Z1108*AD1108/100)</f>
        <v/>
      </c>
      <c r="AF1108" s="7">
        <f>IF($E1108="","",Z1108-AE1108)</f>
        <v/>
      </c>
      <c r="AG1108" s="7">
        <f>IF($E1108="","",AF1108-Q1108)</f>
        <v/>
      </c>
      <c r="AK1108" s="7" t="n"/>
      <c r="AN1108" s="14" t="n"/>
      <c r="AQ1108">
        <f>IF($E1108="","",IF(COUNTIF($E$2:$E1108,$E1108)=1,1,0))</f>
        <v/>
      </c>
      <c r="AR1108">
        <f>IF($AQ1108=1,SUMPRODUCT(--($AU$2:$AU$1501&lt;$AU1108))+1,"")</f>
        <v/>
      </c>
      <c r="AS1108">
        <f>IF($E1108="","",IF(OR($U1108=TRUE(),$U1108="TRUE"),1,0))</f>
        <v/>
      </c>
      <c r="AT1108">
        <f>IF($E1108="","",IF($AC1108="Yes",1,0))</f>
        <v/>
      </c>
      <c r="AU1108">
        <f>IF($AQ1108=1,IFERROR(IF(VALUE($E1108)&lt;100000000,VALUE($E1108),1000000000),IFERROR(IF(VALUE(MID($E1108,2,20))&lt;100000000,VALUE(MID($E1108,2,20)),1000000000),1000000000))+ROW()/100000,"")</f>
        <v/>
      </c>
    </row>
    <row r="1109">
      <c r="G1109" s="14" t="n"/>
      <c r="Q1109" s="7">
        <f>IF($E1109="","",P1109*Z1109/100)</f>
        <v/>
      </c>
      <c r="R1109" s="7" t="n"/>
      <c r="Y1109" s="7" t="n"/>
      <c r="Z1109" s="7" t="n"/>
      <c r="AA1109" s="7" t="n"/>
      <c r="AD1109">
        <f>IF($E1109="","",IF($AT1109=1,Settings!$C$8,IF($AS1109=1,Settings!$C$6,Settings!$C$7))*100)</f>
        <v/>
      </c>
      <c r="AE1109" s="7">
        <f>IF($E1109="","",Z1109*AD1109/100)</f>
        <v/>
      </c>
      <c r="AF1109" s="7">
        <f>IF($E1109="","",Z1109-AE1109)</f>
        <v/>
      </c>
      <c r="AG1109" s="7">
        <f>IF($E1109="","",AF1109-Q1109)</f>
        <v/>
      </c>
      <c r="AK1109" s="7" t="n"/>
      <c r="AN1109" s="14" t="n"/>
      <c r="AQ1109">
        <f>IF($E1109="","",IF(COUNTIF($E$2:$E1109,$E1109)=1,1,0))</f>
        <v/>
      </c>
      <c r="AR1109">
        <f>IF($AQ1109=1,SUMPRODUCT(--($AU$2:$AU$1501&lt;$AU1109))+1,"")</f>
        <v/>
      </c>
      <c r="AS1109">
        <f>IF($E1109="","",IF(OR($U1109=TRUE(),$U1109="TRUE"),1,0))</f>
        <v/>
      </c>
      <c r="AT1109">
        <f>IF($E1109="","",IF($AC1109="Yes",1,0))</f>
        <v/>
      </c>
      <c r="AU1109">
        <f>IF($AQ1109=1,IFERROR(IF(VALUE($E1109)&lt;100000000,VALUE($E1109),1000000000),IFERROR(IF(VALUE(MID($E1109,2,20))&lt;100000000,VALUE(MID($E1109,2,20)),1000000000),1000000000))+ROW()/100000,"")</f>
        <v/>
      </c>
    </row>
    <row r="1110">
      <c r="G1110" s="14" t="n"/>
      <c r="Q1110" s="7">
        <f>IF($E1110="","",P1110*Z1110/100)</f>
        <v/>
      </c>
      <c r="R1110" s="7" t="n"/>
      <c r="Y1110" s="7" t="n"/>
      <c r="Z1110" s="7" t="n"/>
      <c r="AA1110" s="7" t="n"/>
      <c r="AD1110">
        <f>IF($E1110="","",IF($AT1110=1,Settings!$C$8,IF($AS1110=1,Settings!$C$6,Settings!$C$7))*100)</f>
        <v/>
      </c>
      <c r="AE1110" s="7">
        <f>IF($E1110="","",Z1110*AD1110/100)</f>
        <v/>
      </c>
      <c r="AF1110" s="7">
        <f>IF($E1110="","",Z1110-AE1110)</f>
        <v/>
      </c>
      <c r="AG1110" s="7">
        <f>IF($E1110="","",AF1110-Q1110)</f>
        <v/>
      </c>
      <c r="AK1110" s="7" t="n"/>
      <c r="AN1110" s="14" t="n"/>
      <c r="AQ1110">
        <f>IF($E1110="","",IF(COUNTIF($E$2:$E1110,$E1110)=1,1,0))</f>
        <v/>
      </c>
      <c r="AR1110">
        <f>IF($AQ1110=1,SUMPRODUCT(--($AU$2:$AU$1501&lt;$AU1110))+1,"")</f>
        <v/>
      </c>
      <c r="AS1110">
        <f>IF($E1110="","",IF(OR($U1110=TRUE(),$U1110="TRUE"),1,0))</f>
        <v/>
      </c>
      <c r="AT1110">
        <f>IF($E1110="","",IF($AC1110="Yes",1,0))</f>
        <v/>
      </c>
      <c r="AU1110">
        <f>IF($AQ1110=1,IFERROR(IF(VALUE($E1110)&lt;100000000,VALUE($E1110),1000000000),IFERROR(IF(VALUE(MID($E1110,2,20))&lt;100000000,VALUE(MID($E1110,2,20)),1000000000),1000000000))+ROW()/100000,"")</f>
        <v/>
      </c>
    </row>
    <row r="1111">
      <c r="G1111" s="14" t="n"/>
      <c r="Q1111" s="7">
        <f>IF($E1111="","",P1111*Z1111/100)</f>
        <v/>
      </c>
      <c r="R1111" s="7" t="n"/>
      <c r="Y1111" s="7" t="n"/>
      <c r="Z1111" s="7" t="n"/>
      <c r="AA1111" s="7" t="n"/>
      <c r="AD1111">
        <f>IF($E1111="","",IF($AT1111=1,Settings!$C$8,IF($AS1111=1,Settings!$C$6,Settings!$C$7))*100)</f>
        <v/>
      </c>
      <c r="AE1111" s="7">
        <f>IF($E1111="","",Z1111*AD1111/100)</f>
        <v/>
      </c>
      <c r="AF1111" s="7">
        <f>IF($E1111="","",Z1111-AE1111)</f>
        <v/>
      </c>
      <c r="AG1111" s="7">
        <f>IF($E1111="","",AF1111-Q1111)</f>
        <v/>
      </c>
      <c r="AK1111" s="7" t="n"/>
      <c r="AN1111" s="14" t="n"/>
      <c r="AQ1111">
        <f>IF($E1111="","",IF(COUNTIF($E$2:$E1111,$E1111)=1,1,0))</f>
        <v/>
      </c>
      <c r="AR1111">
        <f>IF($AQ1111=1,SUMPRODUCT(--($AU$2:$AU$1501&lt;$AU1111))+1,"")</f>
        <v/>
      </c>
      <c r="AS1111">
        <f>IF($E1111="","",IF(OR($U1111=TRUE(),$U1111="TRUE"),1,0))</f>
        <v/>
      </c>
      <c r="AT1111">
        <f>IF($E1111="","",IF($AC1111="Yes",1,0))</f>
        <v/>
      </c>
      <c r="AU1111">
        <f>IF($AQ1111=1,IFERROR(IF(VALUE($E1111)&lt;100000000,VALUE($E1111),1000000000),IFERROR(IF(VALUE(MID($E1111,2,20))&lt;100000000,VALUE(MID($E1111,2,20)),1000000000),1000000000))+ROW()/100000,"")</f>
        <v/>
      </c>
    </row>
    <row r="1112">
      <c r="G1112" s="14" t="n"/>
      <c r="Q1112" s="7">
        <f>IF($E1112="","",P1112*Z1112/100)</f>
        <v/>
      </c>
      <c r="R1112" s="7" t="n"/>
      <c r="Y1112" s="7" t="n"/>
      <c r="Z1112" s="7" t="n"/>
      <c r="AA1112" s="7" t="n"/>
      <c r="AD1112">
        <f>IF($E1112="","",IF($AT1112=1,Settings!$C$8,IF($AS1112=1,Settings!$C$6,Settings!$C$7))*100)</f>
        <v/>
      </c>
      <c r="AE1112" s="7">
        <f>IF($E1112="","",Z1112*AD1112/100)</f>
        <v/>
      </c>
      <c r="AF1112" s="7">
        <f>IF($E1112="","",Z1112-AE1112)</f>
        <v/>
      </c>
      <c r="AG1112" s="7">
        <f>IF($E1112="","",AF1112-Q1112)</f>
        <v/>
      </c>
      <c r="AK1112" s="7" t="n"/>
      <c r="AN1112" s="14" t="n"/>
      <c r="AQ1112">
        <f>IF($E1112="","",IF(COUNTIF($E$2:$E1112,$E1112)=1,1,0))</f>
        <v/>
      </c>
      <c r="AR1112">
        <f>IF($AQ1112=1,SUMPRODUCT(--($AU$2:$AU$1501&lt;$AU1112))+1,"")</f>
        <v/>
      </c>
      <c r="AS1112">
        <f>IF($E1112="","",IF(OR($U1112=TRUE(),$U1112="TRUE"),1,0))</f>
        <v/>
      </c>
      <c r="AT1112">
        <f>IF($E1112="","",IF($AC1112="Yes",1,0))</f>
        <v/>
      </c>
      <c r="AU1112">
        <f>IF($AQ1112=1,IFERROR(IF(VALUE($E1112)&lt;100000000,VALUE($E1112),1000000000),IFERROR(IF(VALUE(MID($E1112,2,20))&lt;100000000,VALUE(MID($E1112,2,20)),1000000000),1000000000))+ROW()/100000,"")</f>
        <v/>
      </c>
    </row>
    <row r="1113">
      <c r="G1113" s="14" t="n"/>
      <c r="Q1113" s="7">
        <f>IF($E1113="","",P1113*Z1113/100)</f>
        <v/>
      </c>
      <c r="R1113" s="7" t="n"/>
      <c r="Y1113" s="7" t="n"/>
      <c r="Z1113" s="7" t="n"/>
      <c r="AA1113" s="7" t="n"/>
      <c r="AD1113">
        <f>IF($E1113="","",IF($AT1113=1,Settings!$C$8,IF($AS1113=1,Settings!$C$6,Settings!$C$7))*100)</f>
        <v/>
      </c>
      <c r="AE1113" s="7">
        <f>IF($E1113="","",Z1113*AD1113/100)</f>
        <v/>
      </c>
      <c r="AF1113" s="7">
        <f>IF($E1113="","",Z1113-AE1113)</f>
        <v/>
      </c>
      <c r="AG1113" s="7">
        <f>IF($E1113="","",AF1113-Q1113)</f>
        <v/>
      </c>
      <c r="AK1113" s="7" t="n"/>
      <c r="AN1113" s="14" t="n"/>
      <c r="AQ1113">
        <f>IF($E1113="","",IF(COUNTIF($E$2:$E1113,$E1113)=1,1,0))</f>
        <v/>
      </c>
      <c r="AR1113">
        <f>IF($AQ1113=1,SUMPRODUCT(--($AU$2:$AU$1501&lt;$AU1113))+1,"")</f>
        <v/>
      </c>
      <c r="AS1113">
        <f>IF($E1113="","",IF(OR($U1113=TRUE(),$U1113="TRUE"),1,0))</f>
        <v/>
      </c>
      <c r="AT1113">
        <f>IF($E1113="","",IF($AC1113="Yes",1,0))</f>
        <v/>
      </c>
      <c r="AU1113">
        <f>IF($AQ1113=1,IFERROR(IF(VALUE($E1113)&lt;100000000,VALUE($E1113),1000000000),IFERROR(IF(VALUE(MID($E1113,2,20))&lt;100000000,VALUE(MID($E1113,2,20)),1000000000),1000000000))+ROW()/100000,"")</f>
        <v/>
      </c>
    </row>
    <row r="1114">
      <c r="G1114" s="14" t="n"/>
      <c r="Q1114" s="7">
        <f>IF($E1114="","",P1114*Z1114/100)</f>
        <v/>
      </c>
      <c r="R1114" s="7" t="n"/>
      <c r="Y1114" s="7" t="n"/>
      <c r="Z1114" s="7" t="n"/>
      <c r="AA1114" s="7" t="n"/>
      <c r="AD1114">
        <f>IF($E1114="","",IF($AT1114=1,Settings!$C$8,IF($AS1114=1,Settings!$C$6,Settings!$C$7))*100)</f>
        <v/>
      </c>
      <c r="AE1114" s="7">
        <f>IF($E1114="","",Z1114*AD1114/100)</f>
        <v/>
      </c>
      <c r="AF1114" s="7">
        <f>IF($E1114="","",Z1114-AE1114)</f>
        <v/>
      </c>
      <c r="AG1114" s="7">
        <f>IF($E1114="","",AF1114-Q1114)</f>
        <v/>
      </c>
      <c r="AK1114" s="7" t="n"/>
      <c r="AN1114" s="14" t="n"/>
      <c r="AQ1114">
        <f>IF($E1114="","",IF(COUNTIF($E$2:$E1114,$E1114)=1,1,0))</f>
        <v/>
      </c>
      <c r="AR1114">
        <f>IF($AQ1114=1,SUMPRODUCT(--($AU$2:$AU$1501&lt;$AU1114))+1,"")</f>
        <v/>
      </c>
      <c r="AS1114">
        <f>IF($E1114="","",IF(OR($U1114=TRUE(),$U1114="TRUE"),1,0))</f>
        <v/>
      </c>
      <c r="AT1114">
        <f>IF($E1114="","",IF($AC1114="Yes",1,0))</f>
        <v/>
      </c>
      <c r="AU1114">
        <f>IF($AQ1114=1,IFERROR(IF(VALUE($E1114)&lt;100000000,VALUE($E1114),1000000000),IFERROR(IF(VALUE(MID($E1114,2,20))&lt;100000000,VALUE(MID($E1114,2,20)),1000000000),1000000000))+ROW()/100000,"")</f>
        <v/>
      </c>
    </row>
    <row r="1115">
      <c r="G1115" s="14" t="n"/>
      <c r="Q1115" s="7">
        <f>IF($E1115="","",P1115*Z1115/100)</f>
        <v/>
      </c>
      <c r="R1115" s="7" t="n"/>
      <c r="Y1115" s="7" t="n"/>
      <c r="Z1115" s="7" t="n"/>
      <c r="AA1115" s="7" t="n"/>
      <c r="AD1115">
        <f>IF($E1115="","",IF($AT1115=1,Settings!$C$8,IF($AS1115=1,Settings!$C$6,Settings!$C$7))*100)</f>
        <v/>
      </c>
      <c r="AE1115" s="7">
        <f>IF($E1115="","",Z1115*AD1115/100)</f>
        <v/>
      </c>
      <c r="AF1115" s="7">
        <f>IF($E1115="","",Z1115-AE1115)</f>
        <v/>
      </c>
      <c r="AG1115" s="7">
        <f>IF($E1115="","",AF1115-Q1115)</f>
        <v/>
      </c>
      <c r="AK1115" s="7" t="n"/>
      <c r="AN1115" s="14" t="n"/>
      <c r="AQ1115">
        <f>IF($E1115="","",IF(COUNTIF($E$2:$E1115,$E1115)=1,1,0))</f>
        <v/>
      </c>
      <c r="AR1115">
        <f>IF($AQ1115=1,SUMPRODUCT(--($AU$2:$AU$1501&lt;$AU1115))+1,"")</f>
        <v/>
      </c>
      <c r="AS1115">
        <f>IF($E1115="","",IF(OR($U1115=TRUE(),$U1115="TRUE"),1,0))</f>
        <v/>
      </c>
      <c r="AT1115">
        <f>IF($E1115="","",IF($AC1115="Yes",1,0))</f>
        <v/>
      </c>
      <c r="AU1115">
        <f>IF($AQ1115=1,IFERROR(IF(VALUE($E1115)&lt;100000000,VALUE($E1115),1000000000),IFERROR(IF(VALUE(MID($E1115,2,20))&lt;100000000,VALUE(MID($E1115,2,20)),1000000000),1000000000))+ROW()/100000,"")</f>
        <v/>
      </c>
    </row>
    <row r="1116">
      <c r="G1116" s="14" t="n"/>
      <c r="Q1116" s="7">
        <f>IF($E1116="","",P1116*Z1116/100)</f>
        <v/>
      </c>
      <c r="R1116" s="7" t="n"/>
      <c r="Y1116" s="7" t="n"/>
      <c r="Z1116" s="7" t="n"/>
      <c r="AA1116" s="7" t="n"/>
      <c r="AD1116">
        <f>IF($E1116="","",IF($AT1116=1,Settings!$C$8,IF($AS1116=1,Settings!$C$6,Settings!$C$7))*100)</f>
        <v/>
      </c>
      <c r="AE1116" s="7">
        <f>IF($E1116="","",Z1116*AD1116/100)</f>
        <v/>
      </c>
      <c r="AF1116" s="7">
        <f>IF($E1116="","",Z1116-AE1116)</f>
        <v/>
      </c>
      <c r="AG1116" s="7">
        <f>IF($E1116="","",AF1116-Q1116)</f>
        <v/>
      </c>
      <c r="AK1116" s="7" t="n"/>
      <c r="AN1116" s="14" t="n"/>
      <c r="AQ1116">
        <f>IF($E1116="","",IF(COUNTIF($E$2:$E1116,$E1116)=1,1,0))</f>
        <v/>
      </c>
      <c r="AR1116">
        <f>IF($AQ1116=1,SUMPRODUCT(--($AU$2:$AU$1501&lt;$AU1116))+1,"")</f>
        <v/>
      </c>
      <c r="AS1116">
        <f>IF($E1116="","",IF(OR($U1116=TRUE(),$U1116="TRUE"),1,0))</f>
        <v/>
      </c>
      <c r="AT1116">
        <f>IF($E1116="","",IF($AC1116="Yes",1,0))</f>
        <v/>
      </c>
      <c r="AU1116">
        <f>IF($AQ1116=1,IFERROR(IF(VALUE($E1116)&lt;100000000,VALUE($E1116),1000000000),IFERROR(IF(VALUE(MID($E1116,2,20))&lt;100000000,VALUE(MID($E1116,2,20)),1000000000),1000000000))+ROW()/100000,"")</f>
        <v/>
      </c>
    </row>
    <row r="1117">
      <c r="G1117" s="14" t="n"/>
      <c r="Q1117" s="7">
        <f>IF($E1117="","",P1117*Z1117/100)</f>
        <v/>
      </c>
      <c r="R1117" s="7" t="n"/>
      <c r="Y1117" s="7" t="n"/>
      <c r="Z1117" s="7" t="n"/>
      <c r="AA1117" s="7" t="n"/>
      <c r="AD1117">
        <f>IF($E1117="","",IF($AT1117=1,Settings!$C$8,IF($AS1117=1,Settings!$C$6,Settings!$C$7))*100)</f>
        <v/>
      </c>
      <c r="AE1117" s="7">
        <f>IF($E1117="","",Z1117*AD1117/100)</f>
        <v/>
      </c>
      <c r="AF1117" s="7">
        <f>IF($E1117="","",Z1117-AE1117)</f>
        <v/>
      </c>
      <c r="AG1117" s="7">
        <f>IF($E1117="","",AF1117-Q1117)</f>
        <v/>
      </c>
      <c r="AK1117" s="7" t="n"/>
      <c r="AN1117" s="14" t="n"/>
      <c r="AQ1117">
        <f>IF($E1117="","",IF(COUNTIF($E$2:$E1117,$E1117)=1,1,0))</f>
        <v/>
      </c>
      <c r="AR1117">
        <f>IF($AQ1117=1,SUMPRODUCT(--($AU$2:$AU$1501&lt;$AU1117))+1,"")</f>
        <v/>
      </c>
      <c r="AS1117">
        <f>IF($E1117="","",IF(OR($U1117=TRUE(),$U1117="TRUE"),1,0))</f>
        <v/>
      </c>
      <c r="AT1117">
        <f>IF($E1117="","",IF($AC1117="Yes",1,0))</f>
        <v/>
      </c>
      <c r="AU1117">
        <f>IF($AQ1117=1,IFERROR(IF(VALUE($E1117)&lt;100000000,VALUE($E1117),1000000000),IFERROR(IF(VALUE(MID($E1117,2,20))&lt;100000000,VALUE(MID($E1117,2,20)),1000000000),1000000000))+ROW()/100000,"")</f>
        <v/>
      </c>
    </row>
    <row r="1118">
      <c r="G1118" s="14" t="n"/>
      <c r="Q1118" s="7">
        <f>IF($E1118="","",P1118*Z1118/100)</f>
        <v/>
      </c>
      <c r="R1118" s="7" t="n"/>
      <c r="Y1118" s="7" t="n"/>
      <c r="Z1118" s="7" t="n"/>
      <c r="AA1118" s="7" t="n"/>
      <c r="AD1118">
        <f>IF($E1118="","",IF($AT1118=1,Settings!$C$8,IF($AS1118=1,Settings!$C$6,Settings!$C$7))*100)</f>
        <v/>
      </c>
      <c r="AE1118" s="7">
        <f>IF($E1118="","",Z1118*AD1118/100)</f>
        <v/>
      </c>
      <c r="AF1118" s="7">
        <f>IF($E1118="","",Z1118-AE1118)</f>
        <v/>
      </c>
      <c r="AG1118" s="7">
        <f>IF($E1118="","",AF1118-Q1118)</f>
        <v/>
      </c>
      <c r="AK1118" s="7" t="n"/>
      <c r="AN1118" s="14" t="n"/>
      <c r="AQ1118">
        <f>IF($E1118="","",IF(COUNTIF($E$2:$E1118,$E1118)=1,1,0))</f>
        <v/>
      </c>
      <c r="AR1118">
        <f>IF($AQ1118=1,SUMPRODUCT(--($AU$2:$AU$1501&lt;$AU1118))+1,"")</f>
        <v/>
      </c>
      <c r="AS1118">
        <f>IF($E1118="","",IF(OR($U1118=TRUE(),$U1118="TRUE"),1,0))</f>
        <v/>
      </c>
      <c r="AT1118">
        <f>IF($E1118="","",IF($AC1118="Yes",1,0))</f>
        <v/>
      </c>
      <c r="AU1118">
        <f>IF($AQ1118=1,IFERROR(IF(VALUE($E1118)&lt;100000000,VALUE($E1118),1000000000),IFERROR(IF(VALUE(MID($E1118,2,20))&lt;100000000,VALUE(MID($E1118,2,20)),1000000000),1000000000))+ROW()/100000,"")</f>
        <v/>
      </c>
    </row>
    <row r="1119">
      <c r="G1119" s="14" t="n"/>
      <c r="Q1119" s="7">
        <f>IF($E1119="","",P1119*Z1119/100)</f>
        <v/>
      </c>
      <c r="R1119" s="7" t="n"/>
      <c r="Y1119" s="7" t="n"/>
      <c r="Z1119" s="7" t="n"/>
      <c r="AA1119" s="7" t="n"/>
      <c r="AD1119">
        <f>IF($E1119="","",IF($AT1119=1,Settings!$C$8,IF($AS1119=1,Settings!$C$6,Settings!$C$7))*100)</f>
        <v/>
      </c>
      <c r="AE1119" s="7">
        <f>IF($E1119="","",Z1119*AD1119/100)</f>
        <v/>
      </c>
      <c r="AF1119" s="7">
        <f>IF($E1119="","",Z1119-AE1119)</f>
        <v/>
      </c>
      <c r="AG1119" s="7">
        <f>IF($E1119="","",AF1119-Q1119)</f>
        <v/>
      </c>
      <c r="AK1119" s="7" t="n"/>
      <c r="AN1119" s="14" t="n"/>
      <c r="AQ1119">
        <f>IF($E1119="","",IF(COUNTIF($E$2:$E1119,$E1119)=1,1,0))</f>
        <v/>
      </c>
      <c r="AR1119">
        <f>IF($AQ1119=1,SUMPRODUCT(--($AU$2:$AU$1501&lt;$AU1119))+1,"")</f>
        <v/>
      </c>
      <c r="AS1119">
        <f>IF($E1119="","",IF(OR($U1119=TRUE(),$U1119="TRUE"),1,0))</f>
        <v/>
      </c>
      <c r="AT1119">
        <f>IF($E1119="","",IF($AC1119="Yes",1,0))</f>
        <v/>
      </c>
      <c r="AU1119">
        <f>IF($AQ1119=1,IFERROR(IF(VALUE($E1119)&lt;100000000,VALUE($E1119),1000000000),IFERROR(IF(VALUE(MID($E1119,2,20))&lt;100000000,VALUE(MID($E1119,2,20)),1000000000),1000000000))+ROW()/100000,"")</f>
        <v/>
      </c>
    </row>
    <row r="1120">
      <c r="G1120" s="14" t="n"/>
      <c r="Q1120" s="7">
        <f>IF($E1120="","",P1120*Z1120/100)</f>
        <v/>
      </c>
      <c r="R1120" s="7" t="n"/>
      <c r="Y1120" s="7" t="n"/>
      <c r="Z1120" s="7" t="n"/>
      <c r="AA1120" s="7" t="n"/>
      <c r="AD1120">
        <f>IF($E1120="","",IF($AT1120=1,Settings!$C$8,IF($AS1120=1,Settings!$C$6,Settings!$C$7))*100)</f>
        <v/>
      </c>
      <c r="AE1120" s="7">
        <f>IF($E1120="","",Z1120*AD1120/100)</f>
        <v/>
      </c>
      <c r="AF1120" s="7">
        <f>IF($E1120="","",Z1120-AE1120)</f>
        <v/>
      </c>
      <c r="AG1120" s="7">
        <f>IF($E1120="","",AF1120-Q1120)</f>
        <v/>
      </c>
      <c r="AK1120" s="7" t="n"/>
      <c r="AN1120" s="14" t="n"/>
      <c r="AQ1120">
        <f>IF($E1120="","",IF(COUNTIF($E$2:$E1120,$E1120)=1,1,0))</f>
        <v/>
      </c>
      <c r="AR1120">
        <f>IF($AQ1120=1,SUMPRODUCT(--($AU$2:$AU$1501&lt;$AU1120))+1,"")</f>
        <v/>
      </c>
      <c r="AS1120">
        <f>IF($E1120="","",IF(OR($U1120=TRUE(),$U1120="TRUE"),1,0))</f>
        <v/>
      </c>
      <c r="AT1120">
        <f>IF($E1120="","",IF($AC1120="Yes",1,0))</f>
        <v/>
      </c>
      <c r="AU1120">
        <f>IF($AQ1120=1,IFERROR(IF(VALUE($E1120)&lt;100000000,VALUE($E1120),1000000000),IFERROR(IF(VALUE(MID($E1120,2,20))&lt;100000000,VALUE(MID($E1120,2,20)),1000000000),1000000000))+ROW()/100000,"")</f>
        <v/>
      </c>
    </row>
    <row r="1121">
      <c r="G1121" s="14" t="n"/>
      <c r="Q1121" s="7">
        <f>IF($E1121="","",P1121*Z1121/100)</f>
        <v/>
      </c>
      <c r="R1121" s="7" t="n"/>
      <c r="Y1121" s="7" t="n"/>
      <c r="Z1121" s="7" t="n"/>
      <c r="AA1121" s="7" t="n"/>
      <c r="AD1121">
        <f>IF($E1121="","",IF($AT1121=1,Settings!$C$8,IF($AS1121=1,Settings!$C$6,Settings!$C$7))*100)</f>
        <v/>
      </c>
      <c r="AE1121" s="7">
        <f>IF($E1121="","",Z1121*AD1121/100)</f>
        <v/>
      </c>
      <c r="AF1121" s="7">
        <f>IF($E1121="","",Z1121-AE1121)</f>
        <v/>
      </c>
      <c r="AG1121" s="7">
        <f>IF($E1121="","",AF1121-Q1121)</f>
        <v/>
      </c>
      <c r="AK1121" s="7" t="n"/>
      <c r="AN1121" s="14" t="n"/>
      <c r="AQ1121">
        <f>IF($E1121="","",IF(COUNTIF($E$2:$E1121,$E1121)=1,1,0))</f>
        <v/>
      </c>
      <c r="AR1121">
        <f>IF($AQ1121=1,SUMPRODUCT(--($AU$2:$AU$1501&lt;$AU1121))+1,"")</f>
        <v/>
      </c>
      <c r="AS1121">
        <f>IF($E1121="","",IF(OR($U1121=TRUE(),$U1121="TRUE"),1,0))</f>
        <v/>
      </c>
      <c r="AT1121">
        <f>IF($E1121="","",IF($AC1121="Yes",1,0))</f>
        <v/>
      </c>
      <c r="AU1121">
        <f>IF($AQ1121=1,IFERROR(IF(VALUE($E1121)&lt;100000000,VALUE($E1121),1000000000),IFERROR(IF(VALUE(MID($E1121,2,20))&lt;100000000,VALUE(MID($E1121,2,20)),1000000000),1000000000))+ROW()/100000,"")</f>
        <v/>
      </c>
    </row>
    <row r="1122">
      <c r="G1122" s="14" t="n"/>
      <c r="Q1122" s="7">
        <f>IF($E1122="","",P1122*Z1122/100)</f>
        <v/>
      </c>
      <c r="R1122" s="7" t="n"/>
      <c r="Y1122" s="7" t="n"/>
      <c r="Z1122" s="7" t="n"/>
      <c r="AA1122" s="7" t="n"/>
      <c r="AD1122">
        <f>IF($E1122="","",IF($AT1122=1,Settings!$C$8,IF($AS1122=1,Settings!$C$6,Settings!$C$7))*100)</f>
        <v/>
      </c>
      <c r="AE1122" s="7">
        <f>IF($E1122="","",Z1122*AD1122/100)</f>
        <v/>
      </c>
      <c r="AF1122" s="7">
        <f>IF($E1122="","",Z1122-AE1122)</f>
        <v/>
      </c>
      <c r="AG1122" s="7">
        <f>IF($E1122="","",AF1122-Q1122)</f>
        <v/>
      </c>
      <c r="AK1122" s="7" t="n"/>
      <c r="AN1122" s="14" t="n"/>
      <c r="AQ1122">
        <f>IF($E1122="","",IF(COUNTIF($E$2:$E1122,$E1122)=1,1,0))</f>
        <v/>
      </c>
      <c r="AR1122">
        <f>IF($AQ1122=1,SUMPRODUCT(--($AU$2:$AU$1501&lt;$AU1122))+1,"")</f>
        <v/>
      </c>
      <c r="AS1122">
        <f>IF($E1122="","",IF(OR($U1122=TRUE(),$U1122="TRUE"),1,0))</f>
        <v/>
      </c>
      <c r="AT1122">
        <f>IF($E1122="","",IF($AC1122="Yes",1,0))</f>
        <v/>
      </c>
      <c r="AU1122">
        <f>IF($AQ1122=1,IFERROR(IF(VALUE($E1122)&lt;100000000,VALUE($E1122),1000000000),IFERROR(IF(VALUE(MID($E1122,2,20))&lt;100000000,VALUE(MID($E1122,2,20)),1000000000),1000000000))+ROW()/100000,"")</f>
        <v/>
      </c>
    </row>
    <row r="1123">
      <c r="G1123" s="14" t="n"/>
      <c r="Q1123" s="7">
        <f>IF($E1123="","",P1123*Z1123/100)</f>
        <v/>
      </c>
      <c r="R1123" s="7" t="n"/>
      <c r="Y1123" s="7" t="n"/>
      <c r="Z1123" s="7" t="n"/>
      <c r="AA1123" s="7" t="n"/>
      <c r="AD1123">
        <f>IF($E1123="","",IF($AT1123=1,Settings!$C$8,IF($AS1123=1,Settings!$C$6,Settings!$C$7))*100)</f>
        <v/>
      </c>
      <c r="AE1123" s="7">
        <f>IF($E1123="","",Z1123*AD1123/100)</f>
        <v/>
      </c>
      <c r="AF1123" s="7">
        <f>IF($E1123="","",Z1123-AE1123)</f>
        <v/>
      </c>
      <c r="AG1123" s="7">
        <f>IF($E1123="","",AF1123-Q1123)</f>
        <v/>
      </c>
      <c r="AK1123" s="7" t="n"/>
      <c r="AN1123" s="14" t="n"/>
      <c r="AQ1123">
        <f>IF($E1123="","",IF(COUNTIF($E$2:$E1123,$E1123)=1,1,0))</f>
        <v/>
      </c>
      <c r="AR1123">
        <f>IF($AQ1123=1,SUMPRODUCT(--($AU$2:$AU$1501&lt;$AU1123))+1,"")</f>
        <v/>
      </c>
      <c r="AS1123">
        <f>IF($E1123="","",IF(OR($U1123=TRUE(),$U1123="TRUE"),1,0))</f>
        <v/>
      </c>
      <c r="AT1123">
        <f>IF($E1123="","",IF($AC1123="Yes",1,0))</f>
        <v/>
      </c>
      <c r="AU1123">
        <f>IF($AQ1123=1,IFERROR(IF(VALUE($E1123)&lt;100000000,VALUE($E1123),1000000000),IFERROR(IF(VALUE(MID($E1123,2,20))&lt;100000000,VALUE(MID($E1123,2,20)),1000000000),1000000000))+ROW()/100000,"")</f>
        <v/>
      </c>
    </row>
    <row r="1124">
      <c r="G1124" s="14" t="n"/>
      <c r="Q1124" s="7">
        <f>IF($E1124="","",P1124*Z1124/100)</f>
        <v/>
      </c>
      <c r="R1124" s="7" t="n"/>
      <c r="Y1124" s="7" t="n"/>
      <c r="Z1124" s="7" t="n"/>
      <c r="AA1124" s="7" t="n"/>
      <c r="AD1124">
        <f>IF($E1124="","",IF($AT1124=1,Settings!$C$8,IF($AS1124=1,Settings!$C$6,Settings!$C$7))*100)</f>
        <v/>
      </c>
      <c r="AE1124" s="7">
        <f>IF($E1124="","",Z1124*AD1124/100)</f>
        <v/>
      </c>
      <c r="AF1124" s="7">
        <f>IF($E1124="","",Z1124-AE1124)</f>
        <v/>
      </c>
      <c r="AG1124" s="7">
        <f>IF($E1124="","",AF1124-Q1124)</f>
        <v/>
      </c>
      <c r="AK1124" s="7" t="n"/>
      <c r="AN1124" s="14" t="n"/>
      <c r="AQ1124">
        <f>IF($E1124="","",IF(COUNTIF($E$2:$E1124,$E1124)=1,1,0))</f>
        <v/>
      </c>
      <c r="AR1124">
        <f>IF($AQ1124=1,SUMPRODUCT(--($AU$2:$AU$1501&lt;$AU1124))+1,"")</f>
        <v/>
      </c>
      <c r="AS1124">
        <f>IF($E1124="","",IF(OR($U1124=TRUE(),$U1124="TRUE"),1,0))</f>
        <v/>
      </c>
      <c r="AT1124">
        <f>IF($E1124="","",IF($AC1124="Yes",1,0))</f>
        <v/>
      </c>
      <c r="AU1124">
        <f>IF($AQ1124=1,IFERROR(IF(VALUE($E1124)&lt;100000000,VALUE($E1124),1000000000),IFERROR(IF(VALUE(MID($E1124,2,20))&lt;100000000,VALUE(MID($E1124,2,20)),1000000000),1000000000))+ROW()/100000,"")</f>
        <v/>
      </c>
    </row>
    <row r="1125">
      <c r="G1125" s="14" t="n"/>
      <c r="Q1125" s="7">
        <f>IF($E1125="","",P1125*Z1125/100)</f>
        <v/>
      </c>
      <c r="R1125" s="7" t="n"/>
      <c r="Y1125" s="7" t="n"/>
      <c r="Z1125" s="7" t="n"/>
      <c r="AA1125" s="7" t="n"/>
      <c r="AD1125">
        <f>IF($E1125="","",IF($AT1125=1,Settings!$C$8,IF($AS1125=1,Settings!$C$6,Settings!$C$7))*100)</f>
        <v/>
      </c>
      <c r="AE1125" s="7">
        <f>IF($E1125="","",Z1125*AD1125/100)</f>
        <v/>
      </c>
      <c r="AF1125" s="7">
        <f>IF($E1125="","",Z1125-AE1125)</f>
        <v/>
      </c>
      <c r="AG1125" s="7">
        <f>IF($E1125="","",AF1125-Q1125)</f>
        <v/>
      </c>
      <c r="AK1125" s="7" t="n"/>
      <c r="AN1125" s="14" t="n"/>
      <c r="AQ1125">
        <f>IF($E1125="","",IF(COUNTIF($E$2:$E1125,$E1125)=1,1,0))</f>
        <v/>
      </c>
      <c r="AR1125">
        <f>IF($AQ1125=1,SUMPRODUCT(--($AU$2:$AU$1501&lt;$AU1125))+1,"")</f>
        <v/>
      </c>
      <c r="AS1125">
        <f>IF($E1125="","",IF(OR($U1125=TRUE(),$U1125="TRUE"),1,0))</f>
        <v/>
      </c>
      <c r="AT1125">
        <f>IF($E1125="","",IF($AC1125="Yes",1,0))</f>
        <v/>
      </c>
      <c r="AU1125">
        <f>IF($AQ1125=1,IFERROR(IF(VALUE($E1125)&lt;100000000,VALUE($E1125),1000000000),IFERROR(IF(VALUE(MID($E1125,2,20))&lt;100000000,VALUE(MID($E1125,2,20)),1000000000),1000000000))+ROW()/100000,"")</f>
        <v/>
      </c>
    </row>
    <row r="1126">
      <c r="G1126" s="14" t="n"/>
      <c r="Q1126" s="7">
        <f>IF($E1126="","",P1126*Z1126/100)</f>
        <v/>
      </c>
      <c r="R1126" s="7" t="n"/>
      <c r="Y1126" s="7" t="n"/>
      <c r="Z1126" s="7" t="n"/>
      <c r="AA1126" s="7" t="n"/>
      <c r="AD1126">
        <f>IF($E1126="","",IF($AT1126=1,Settings!$C$8,IF($AS1126=1,Settings!$C$6,Settings!$C$7))*100)</f>
        <v/>
      </c>
      <c r="AE1126" s="7">
        <f>IF($E1126="","",Z1126*AD1126/100)</f>
        <v/>
      </c>
      <c r="AF1126" s="7">
        <f>IF($E1126="","",Z1126-AE1126)</f>
        <v/>
      </c>
      <c r="AG1126" s="7">
        <f>IF($E1126="","",AF1126-Q1126)</f>
        <v/>
      </c>
      <c r="AK1126" s="7" t="n"/>
      <c r="AN1126" s="14" t="n"/>
      <c r="AQ1126">
        <f>IF($E1126="","",IF(COUNTIF($E$2:$E1126,$E1126)=1,1,0))</f>
        <v/>
      </c>
      <c r="AR1126">
        <f>IF($AQ1126=1,SUMPRODUCT(--($AU$2:$AU$1501&lt;$AU1126))+1,"")</f>
        <v/>
      </c>
      <c r="AS1126">
        <f>IF($E1126="","",IF(OR($U1126=TRUE(),$U1126="TRUE"),1,0))</f>
        <v/>
      </c>
      <c r="AT1126">
        <f>IF($E1126="","",IF($AC1126="Yes",1,0))</f>
        <v/>
      </c>
      <c r="AU1126">
        <f>IF($AQ1126=1,IFERROR(IF(VALUE($E1126)&lt;100000000,VALUE($E1126),1000000000),IFERROR(IF(VALUE(MID($E1126,2,20))&lt;100000000,VALUE(MID($E1126,2,20)),1000000000),1000000000))+ROW()/100000,"")</f>
        <v/>
      </c>
    </row>
    <row r="1127">
      <c r="G1127" s="14" t="n"/>
      <c r="Q1127" s="7">
        <f>IF($E1127="","",P1127*Z1127/100)</f>
        <v/>
      </c>
      <c r="R1127" s="7" t="n"/>
      <c r="Y1127" s="7" t="n"/>
      <c r="Z1127" s="7" t="n"/>
      <c r="AA1127" s="7" t="n"/>
      <c r="AD1127">
        <f>IF($E1127="","",IF($AT1127=1,Settings!$C$8,IF($AS1127=1,Settings!$C$6,Settings!$C$7))*100)</f>
        <v/>
      </c>
      <c r="AE1127" s="7">
        <f>IF($E1127="","",Z1127*AD1127/100)</f>
        <v/>
      </c>
      <c r="AF1127" s="7">
        <f>IF($E1127="","",Z1127-AE1127)</f>
        <v/>
      </c>
      <c r="AG1127" s="7">
        <f>IF($E1127="","",AF1127-Q1127)</f>
        <v/>
      </c>
      <c r="AK1127" s="7" t="n"/>
      <c r="AN1127" s="14" t="n"/>
      <c r="AQ1127">
        <f>IF($E1127="","",IF(COUNTIF($E$2:$E1127,$E1127)=1,1,0))</f>
        <v/>
      </c>
      <c r="AR1127">
        <f>IF($AQ1127=1,SUMPRODUCT(--($AU$2:$AU$1501&lt;$AU1127))+1,"")</f>
        <v/>
      </c>
      <c r="AS1127">
        <f>IF($E1127="","",IF(OR($U1127=TRUE(),$U1127="TRUE"),1,0))</f>
        <v/>
      </c>
      <c r="AT1127">
        <f>IF($E1127="","",IF($AC1127="Yes",1,0))</f>
        <v/>
      </c>
      <c r="AU1127">
        <f>IF($AQ1127=1,IFERROR(IF(VALUE($E1127)&lt;100000000,VALUE($E1127),1000000000),IFERROR(IF(VALUE(MID($E1127,2,20))&lt;100000000,VALUE(MID($E1127,2,20)),1000000000),1000000000))+ROW()/100000,"")</f>
        <v/>
      </c>
    </row>
    <row r="1128">
      <c r="G1128" s="14" t="n"/>
      <c r="Q1128" s="7">
        <f>IF($E1128="","",P1128*Z1128/100)</f>
        <v/>
      </c>
      <c r="R1128" s="7" t="n"/>
      <c r="Y1128" s="7" t="n"/>
      <c r="Z1128" s="7" t="n"/>
      <c r="AA1128" s="7" t="n"/>
      <c r="AD1128">
        <f>IF($E1128="","",IF($AT1128=1,Settings!$C$8,IF($AS1128=1,Settings!$C$6,Settings!$C$7))*100)</f>
        <v/>
      </c>
      <c r="AE1128" s="7">
        <f>IF($E1128="","",Z1128*AD1128/100)</f>
        <v/>
      </c>
      <c r="AF1128" s="7">
        <f>IF($E1128="","",Z1128-AE1128)</f>
        <v/>
      </c>
      <c r="AG1128" s="7">
        <f>IF($E1128="","",AF1128-Q1128)</f>
        <v/>
      </c>
      <c r="AK1128" s="7" t="n"/>
      <c r="AN1128" s="14" t="n"/>
      <c r="AQ1128">
        <f>IF($E1128="","",IF(COUNTIF($E$2:$E1128,$E1128)=1,1,0))</f>
        <v/>
      </c>
      <c r="AR1128">
        <f>IF($AQ1128=1,SUMPRODUCT(--($AU$2:$AU$1501&lt;$AU1128))+1,"")</f>
        <v/>
      </c>
      <c r="AS1128">
        <f>IF($E1128="","",IF(OR($U1128=TRUE(),$U1128="TRUE"),1,0))</f>
        <v/>
      </c>
      <c r="AT1128">
        <f>IF($E1128="","",IF($AC1128="Yes",1,0))</f>
        <v/>
      </c>
      <c r="AU1128">
        <f>IF($AQ1128=1,IFERROR(IF(VALUE($E1128)&lt;100000000,VALUE($E1128),1000000000),IFERROR(IF(VALUE(MID($E1128,2,20))&lt;100000000,VALUE(MID($E1128,2,20)),1000000000),1000000000))+ROW()/100000,"")</f>
        <v/>
      </c>
    </row>
    <row r="1129">
      <c r="G1129" s="14" t="n"/>
      <c r="Q1129" s="7">
        <f>IF($E1129="","",P1129*Z1129/100)</f>
        <v/>
      </c>
      <c r="R1129" s="7" t="n"/>
      <c r="Y1129" s="7" t="n"/>
      <c r="Z1129" s="7" t="n"/>
      <c r="AA1129" s="7" t="n"/>
      <c r="AD1129">
        <f>IF($E1129="","",IF($AT1129=1,Settings!$C$8,IF($AS1129=1,Settings!$C$6,Settings!$C$7))*100)</f>
        <v/>
      </c>
      <c r="AE1129" s="7">
        <f>IF($E1129="","",Z1129*AD1129/100)</f>
        <v/>
      </c>
      <c r="AF1129" s="7">
        <f>IF($E1129="","",Z1129-AE1129)</f>
        <v/>
      </c>
      <c r="AG1129" s="7">
        <f>IF($E1129="","",AF1129-Q1129)</f>
        <v/>
      </c>
      <c r="AK1129" s="7" t="n"/>
      <c r="AN1129" s="14" t="n"/>
      <c r="AQ1129">
        <f>IF($E1129="","",IF(COUNTIF($E$2:$E1129,$E1129)=1,1,0))</f>
        <v/>
      </c>
      <c r="AR1129">
        <f>IF($AQ1129=1,SUMPRODUCT(--($AU$2:$AU$1501&lt;$AU1129))+1,"")</f>
        <v/>
      </c>
      <c r="AS1129">
        <f>IF($E1129="","",IF(OR($U1129=TRUE(),$U1129="TRUE"),1,0))</f>
        <v/>
      </c>
      <c r="AT1129">
        <f>IF($E1129="","",IF($AC1129="Yes",1,0))</f>
        <v/>
      </c>
      <c r="AU1129">
        <f>IF($AQ1129=1,IFERROR(IF(VALUE($E1129)&lt;100000000,VALUE($E1129),1000000000),IFERROR(IF(VALUE(MID($E1129,2,20))&lt;100000000,VALUE(MID($E1129,2,20)),1000000000),1000000000))+ROW()/100000,"")</f>
        <v/>
      </c>
    </row>
    <row r="1130">
      <c r="G1130" s="14" t="n"/>
      <c r="Q1130" s="7">
        <f>IF($E1130="","",P1130*Z1130/100)</f>
        <v/>
      </c>
      <c r="R1130" s="7" t="n"/>
      <c r="Y1130" s="7" t="n"/>
      <c r="Z1130" s="7" t="n"/>
      <c r="AA1130" s="7" t="n"/>
      <c r="AD1130">
        <f>IF($E1130="","",IF($AT1130=1,Settings!$C$8,IF($AS1130=1,Settings!$C$6,Settings!$C$7))*100)</f>
        <v/>
      </c>
      <c r="AE1130" s="7">
        <f>IF($E1130="","",Z1130*AD1130/100)</f>
        <v/>
      </c>
      <c r="AF1130" s="7">
        <f>IF($E1130="","",Z1130-AE1130)</f>
        <v/>
      </c>
      <c r="AG1130" s="7">
        <f>IF($E1130="","",AF1130-Q1130)</f>
        <v/>
      </c>
      <c r="AK1130" s="7" t="n"/>
      <c r="AN1130" s="14" t="n"/>
      <c r="AQ1130">
        <f>IF($E1130="","",IF(COUNTIF($E$2:$E1130,$E1130)=1,1,0))</f>
        <v/>
      </c>
      <c r="AR1130">
        <f>IF($AQ1130=1,SUMPRODUCT(--($AU$2:$AU$1501&lt;$AU1130))+1,"")</f>
        <v/>
      </c>
      <c r="AS1130">
        <f>IF($E1130="","",IF(OR($U1130=TRUE(),$U1130="TRUE"),1,0))</f>
        <v/>
      </c>
      <c r="AT1130">
        <f>IF($E1130="","",IF($AC1130="Yes",1,0))</f>
        <v/>
      </c>
      <c r="AU1130">
        <f>IF($AQ1130=1,IFERROR(IF(VALUE($E1130)&lt;100000000,VALUE($E1130),1000000000),IFERROR(IF(VALUE(MID($E1130,2,20))&lt;100000000,VALUE(MID($E1130,2,20)),1000000000),1000000000))+ROW()/100000,"")</f>
        <v/>
      </c>
    </row>
    <row r="1131">
      <c r="G1131" s="14" t="n"/>
      <c r="Q1131" s="7">
        <f>IF($E1131="","",P1131*Z1131/100)</f>
        <v/>
      </c>
      <c r="R1131" s="7" t="n"/>
      <c r="Y1131" s="7" t="n"/>
      <c r="Z1131" s="7" t="n"/>
      <c r="AA1131" s="7" t="n"/>
      <c r="AD1131">
        <f>IF($E1131="","",IF($AT1131=1,Settings!$C$8,IF($AS1131=1,Settings!$C$6,Settings!$C$7))*100)</f>
        <v/>
      </c>
      <c r="AE1131" s="7">
        <f>IF($E1131="","",Z1131*AD1131/100)</f>
        <v/>
      </c>
      <c r="AF1131" s="7">
        <f>IF($E1131="","",Z1131-AE1131)</f>
        <v/>
      </c>
      <c r="AG1131" s="7">
        <f>IF($E1131="","",AF1131-Q1131)</f>
        <v/>
      </c>
      <c r="AK1131" s="7" t="n"/>
      <c r="AN1131" s="14" t="n"/>
      <c r="AQ1131">
        <f>IF($E1131="","",IF(COUNTIF($E$2:$E1131,$E1131)=1,1,0))</f>
        <v/>
      </c>
      <c r="AR1131">
        <f>IF($AQ1131=1,SUMPRODUCT(--($AU$2:$AU$1501&lt;$AU1131))+1,"")</f>
        <v/>
      </c>
      <c r="AS1131">
        <f>IF($E1131="","",IF(OR($U1131=TRUE(),$U1131="TRUE"),1,0))</f>
        <v/>
      </c>
      <c r="AT1131">
        <f>IF($E1131="","",IF($AC1131="Yes",1,0))</f>
        <v/>
      </c>
      <c r="AU1131">
        <f>IF($AQ1131=1,IFERROR(IF(VALUE($E1131)&lt;100000000,VALUE($E1131),1000000000),IFERROR(IF(VALUE(MID($E1131,2,20))&lt;100000000,VALUE(MID($E1131,2,20)),1000000000),1000000000))+ROW()/100000,"")</f>
        <v/>
      </c>
    </row>
    <row r="1132">
      <c r="G1132" s="14" t="n"/>
      <c r="Q1132" s="7">
        <f>IF($E1132="","",P1132*Z1132/100)</f>
        <v/>
      </c>
      <c r="R1132" s="7" t="n"/>
      <c r="Y1132" s="7" t="n"/>
      <c r="Z1132" s="7" t="n"/>
      <c r="AA1132" s="7" t="n"/>
      <c r="AD1132">
        <f>IF($E1132="","",IF($AT1132=1,Settings!$C$8,IF($AS1132=1,Settings!$C$6,Settings!$C$7))*100)</f>
        <v/>
      </c>
      <c r="AE1132" s="7">
        <f>IF($E1132="","",Z1132*AD1132/100)</f>
        <v/>
      </c>
      <c r="AF1132" s="7">
        <f>IF($E1132="","",Z1132-AE1132)</f>
        <v/>
      </c>
      <c r="AG1132" s="7">
        <f>IF($E1132="","",AF1132-Q1132)</f>
        <v/>
      </c>
      <c r="AK1132" s="7" t="n"/>
      <c r="AN1132" s="14" t="n"/>
      <c r="AQ1132">
        <f>IF($E1132="","",IF(COUNTIF($E$2:$E1132,$E1132)=1,1,0))</f>
        <v/>
      </c>
      <c r="AR1132">
        <f>IF($AQ1132=1,SUMPRODUCT(--($AU$2:$AU$1501&lt;$AU1132))+1,"")</f>
        <v/>
      </c>
      <c r="AS1132">
        <f>IF($E1132="","",IF(OR($U1132=TRUE(),$U1132="TRUE"),1,0))</f>
        <v/>
      </c>
      <c r="AT1132">
        <f>IF($E1132="","",IF($AC1132="Yes",1,0))</f>
        <v/>
      </c>
      <c r="AU1132">
        <f>IF($AQ1132=1,IFERROR(IF(VALUE($E1132)&lt;100000000,VALUE($E1132),1000000000),IFERROR(IF(VALUE(MID($E1132,2,20))&lt;100000000,VALUE(MID($E1132,2,20)),1000000000),1000000000))+ROW()/100000,"")</f>
        <v/>
      </c>
    </row>
    <row r="1133">
      <c r="G1133" s="14" t="n"/>
      <c r="Q1133" s="7">
        <f>IF($E1133="","",P1133*Z1133/100)</f>
        <v/>
      </c>
      <c r="R1133" s="7" t="n"/>
      <c r="Y1133" s="7" t="n"/>
      <c r="Z1133" s="7" t="n"/>
      <c r="AA1133" s="7" t="n"/>
      <c r="AD1133">
        <f>IF($E1133="","",IF($AT1133=1,Settings!$C$8,IF($AS1133=1,Settings!$C$6,Settings!$C$7))*100)</f>
        <v/>
      </c>
      <c r="AE1133" s="7">
        <f>IF($E1133="","",Z1133*AD1133/100)</f>
        <v/>
      </c>
      <c r="AF1133" s="7">
        <f>IF($E1133="","",Z1133-AE1133)</f>
        <v/>
      </c>
      <c r="AG1133" s="7">
        <f>IF($E1133="","",AF1133-Q1133)</f>
        <v/>
      </c>
      <c r="AK1133" s="7" t="n"/>
      <c r="AN1133" s="14" t="n"/>
      <c r="AQ1133">
        <f>IF($E1133="","",IF(COUNTIF($E$2:$E1133,$E1133)=1,1,0))</f>
        <v/>
      </c>
      <c r="AR1133">
        <f>IF($AQ1133=1,SUMPRODUCT(--($AU$2:$AU$1501&lt;$AU1133))+1,"")</f>
        <v/>
      </c>
      <c r="AS1133">
        <f>IF($E1133="","",IF(OR($U1133=TRUE(),$U1133="TRUE"),1,0))</f>
        <v/>
      </c>
      <c r="AT1133">
        <f>IF($E1133="","",IF($AC1133="Yes",1,0))</f>
        <v/>
      </c>
      <c r="AU1133">
        <f>IF($AQ1133=1,IFERROR(IF(VALUE($E1133)&lt;100000000,VALUE($E1133),1000000000),IFERROR(IF(VALUE(MID($E1133,2,20))&lt;100000000,VALUE(MID($E1133,2,20)),1000000000),1000000000))+ROW()/100000,"")</f>
        <v/>
      </c>
    </row>
    <row r="1134">
      <c r="G1134" s="14" t="n"/>
      <c r="Q1134" s="7">
        <f>IF($E1134="","",P1134*Z1134/100)</f>
        <v/>
      </c>
      <c r="R1134" s="7" t="n"/>
      <c r="Y1134" s="7" t="n"/>
      <c r="Z1134" s="7" t="n"/>
      <c r="AA1134" s="7" t="n"/>
      <c r="AD1134">
        <f>IF($E1134="","",IF($AT1134=1,Settings!$C$8,IF($AS1134=1,Settings!$C$6,Settings!$C$7))*100)</f>
        <v/>
      </c>
      <c r="AE1134" s="7">
        <f>IF($E1134="","",Z1134*AD1134/100)</f>
        <v/>
      </c>
      <c r="AF1134" s="7">
        <f>IF($E1134="","",Z1134-AE1134)</f>
        <v/>
      </c>
      <c r="AG1134" s="7">
        <f>IF($E1134="","",AF1134-Q1134)</f>
        <v/>
      </c>
      <c r="AK1134" s="7" t="n"/>
      <c r="AN1134" s="14" t="n"/>
      <c r="AQ1134">
        <f>IF($E1134="","",IF(COUNTIF($E$2:$E1134,$E1134)=1,1,0))</f>
        <v/>
      </c>
      <c r="AR1134">
        <f>IF($AQ1134=1,SUMPRODUCT(--($AU$2:$AU$1501&lt;$AU1134))+1,"")</f>
        <v/>
      </c>
      <c r="AS1134">
        <f>IF($E1134="","",IF(OR($U1134=TRUE(),$U1134="TRUE"),1,0))</f>
        <v/>
      </c>
      <c r="AT1134">
        <f>IF($E1134="","",IF($AC1134="Yes",1,0))</f>
        <v/>
      </c>
      <c r="AU1134">
        <f>IF($AQ1134=1,IFERROR(IF(VALUE($E1134)&lt;100000000,VALUE($E1134),1000000000),IFERROR(IF(VALUE(MID($E1134,2,20))&lt;100000000,VALUE(MID($E1134,2,20)),1000000000),1000000000))+ROW()/100000,"")</f>
        <v/>
      </c>
    </row>
    <row r="1135">
      <c r="G1135" s="14" t="n"/>
      <c r="Q1135" s="7">
        <f>IF($E1135="","",P1135*Z1135/100)</f>
        <v/>
      </c>
      <c r="R1135" s="7" t="n"/>
      <c r="Y1135" s="7" t="n"/>
      <c r="Z1135" s="7" t="n"/>
      <c r="AA1135" s="7" t="n"/>
      <c r="AD1135">
        <f>IF($E1135="","",IF($AT1135=1,Settings!$C$8,IF($AS1135=1,Settings!$C$6,Settings!$C$7))*100)</f>
        <v/>
      </c>
      <c r="AE1135" s="7">
        <f>IF($E1135="","",Z1135*AD1135/100)</f>
        <v/>
      </c>
      <c r="AF1135" s="7">
        <f>IF($E1135="","",Z1135-AE1135)</f>
        <v/>
      </c>
      <c r="AG1135" s="7">
        <f>IF($E1135="","",AF1135-Q1135)</f>
        <v/>
      </c>
      <c r="AK1135" s="7" t="n"/>
      <c r="AN1135" s="14" t="n"/>
      <c r="AQ1135">
        <f>IF($E1135="","",IF(COUNTIF($E$2:$E1135,$E1135)=1,1,0))</f>
        <v/>
      </c>
      <c r="AR1135">
        <f>IF($AQ1135=1,SUMPRODUCT(--($AU$2:$AU$1501&lt;$AU1135))+1,"")</f>
        <v/>
      </c>
      <c r="AS1135">
        <f>IF($E1135="","",IF(OR($U1135=TRUE(),$U1135="TRUE"),1,0))</f>
        <v/>
      </c>
      <c r="AT1135">
        <f>IF($E1135="","",IF($AC1135="Yes",1,0))</f>
        <v/>
      </c>
      <c r="AU1135">
        <f>IF($AQ1135=1,IFERROR(IF(VALUE($E1135)&lt;100000000,VALUE($E1135),1000000000),IFERROR(IF(VALUE(MID($E1135,2,20))&lt;100000000,VALUE(MID($E1135,2,20)),1000000000),1000000000))+ROW()/100000,"")</f>
        <v/>
      </c>
    </row>
    <row r="1136">
      <c r="G1136" s="14" t="n"/>
      <c r="Q1136" s="7">
        <f>IF($E1136="","",P1136*Z1136/100)</f>
        <v/>
      </c>
      <c r="R1136" s="7" t="n"/>
      <c r="Y1136" s="7" t="n"/>
      <c r="Z1136" s="7" t="n"/>
      <c r="AA1136" s="7" t="n"/>
      <c r="AD1136">
        <f>IF($E1136="","",IF($AT1136=1,Settings!$C$8,IF($AS1136=1,Settings!$C$6,Settings!$C$7))*100)</f>
        <v/>
      </c>
      <c r="AE1136" s="7">
        <f>IF($E1136="","",Z1136*AD1136/100)</f>
        <v/>
      </c>
      <c r="AF1136" s="7">
        <f>IF($E1136="","",Z1136-AE1136)</f>
        <v/>
      </c>
      <c r="AG1136" s="7">
        <f>IF($E1136="","",AF1136-Q1136)</f>
        <v/>
      </c>
      <c r="AK1136" s="7" t="n"/>
      <c r="AN1136" s="14" t="n"/>
      <c r="AQ1136">
        <f>IF($E1136="","",IF(COUNTIF($E$2:$E1136,$E1136)=1,1,0))</f>
        <v/>
      </c>
      <c r="AR1136">
        <f>IF($AQ1136=1,SUMPRODUCT(--($AU$2:$AU$1501&lt;$AU1136))+1,"")</f>
        <v/>
      </c>
      <c r="AS1136">
        <f>IF($E1136="","",IF(OR($U1136=TRUE(),$U1136="TRUE"),1,0))</f>
        <v/>
      </c>
      <c r="AT1136">
        <f>IF($E1136="","",IF($AC1136="Yes",1,0))</f>
        <v/>
      </c>
      <c r="AU1136">
        <f>IF($AQ1136=1,IFERROR(IF(VALUE($E1136)&lt;100000000,VALUE($E1136),1000000000),IFERROR(IF(VALUE(MID($E1136,2,20))&lt;100000000,VALUE(MID($E1136,2,20)),1000000000),1000000000))+ROW()/100000,"")</f>
        <v/>
      </c>
    </row>
    <row r="1137">
      <c r="G1137" s="14" t="n"/>
      <c r="Q1137" s="7">
        <f>IF($E1137="","",P1137*Z1137/100)</f>
        <v/>
      </c>
      <c r="R1137" s="7" t="n"/>
      <c r="Y1137" s="7" t="n"/>
      <c r="Z1137" s="7" t="n"/>
      <c r="AA1137" s="7" t="n"/>
      <c r="AD1137">
        <f>IF($E1137="","",IF($AT1137=1,Settings!$C$8,IF($AS1137=1,Settings!$C$6,Settings!$C$7))*100)</f>
        <v/>
      </c>
      <c r="AE1137" s="7">
        <f>IF($E1137="","",Z1137*AD1137/100)</f>
        <v/>
      </c>
      <c r="AF1137" s="7">
        <f>IF($E1137="","",Z1137-AE1137)</f>
        <v/>
      </c>
      <c r="AG1137" s="7">
        <f>IF($E1137="","",AF1137-Q1137)</f>
        <v/>
      </c>
      <c r="AK1137" s="7" t="n"/>
      <c r="AN1137" s="14" t="n"/>
      <c r="AQ1137">
        <f>IF($E1137="","",IF(COUNTIF($E$2:$E1137,$E1137)=1,1,0))</f>
        <v/>
      </c>
      <c r="AR1137">
        <f>IF($AQ1137=1,SUMPRODUCT(--($AU$2:$AU$1501&lt;$AU1137))+1,"")</f>
        <v/>
      </c>
      <c r="AS1137">
        <f>IF($E1137="","",IF(OR($U1137=TRUE(),$U1137="TRUE"),1,0))</f>
        <v/>
      </c>
      <c r="AT1137">
        <f>IF($E1137="","",IF($AC1137="Yes",1,0))</f>
        <v/>
      </c>
      <c r="AU1137">
        <f>IF($AQ1137=1,IFERROR(IF(VALUE($E1137)&lt;100000000,VALUE($E1137),1000000000),IFERROR(IF(VALUE(MID($E1137,2,20))&lt;100000000,VALUE(MID($E1137,2,20)),1000000000),1000000000))+ROW()/100000,"")</f>
        <v/>
      </c>
    </row>
    <row r="1138">
      <c r="G1138" s="14" t="n"/>
      <c r="Q1138" s="7">
        <f>IF($E1138="","",P1138*Z1138/100)</f>
        <v/>
      </c>
      <c r="R1138" s="7" t="n"/>
      <c r="Y1138" s="7" t="n"/>
      <c r="Z1138" s="7" t="n"/>
      <c r="AA1138" s="7" t="n"/>
      <c r="AD1138">
        <f>IF($E1138="","",IF($AT1138=1,Settings!$C$8,IF($AS1138=1,Settings!$C$6,Settings!$C$7))*100)</f>
        <v/>
      </c>
      <c r="AE1138" s="7">
        <f>IF($E1138="","",Z1138*AD1138/100)</f>
        <v/>
      </c>
      <c r="AF1138" s="7">
        <f>IF($E1138="","",Z1138-AE1138)</f>
        <v/>
      </c>
      <c r="AG1138" s="7">
        <f>IF($E1138="","",AF1138-Q1138)</f>
        <v/>
      </c>
      <c r="AK1138" s="7" t="n"/>
      <c r="AN1138" s="14" t="n"/>
      <c r="AQ1138">
        <f>IF($E1138="","",IF(COUNTIF($E$2:$E1138,$E1138)=1,1,0))</f>
        <v/>
      </c>
      <c r="AR1138">
        <f>IF($AQ1138=1,SUMPRODUCT(--($AU$2:$AU$1501&lt;$AU1138))+1,"")</f>
        <v/>
      </c>
      <c r="AS1138">
        <f>IF($E1138="","",IF(OR($U1138=TRUE(),$U1138="TRUE"),1,0))</f>
        <v/>
      </c>
      <c r="AT1138">
        <f>IF($E1138="","",IF($AC1138="Yes",1,0))</f>
        <v/>
      </c>
      <c r="AU1138">
        <f>IF($AQ1138=1,IFERROR(IF(VALUE($E1138)&lt;100000000,VALUE($E1138),1000000000),IFERROR(IF(VALUE(MID($E1138,2,20))&lt;100000000,VALUE(MID($E1138,2,20)),1000000000),1000000000))+ROW()/100000,"")</f>
        <v/>
      </c>
    </row>
    <row r="1139">
      <c r="G1139" s="14" t="n"/>
      <c r="Q1139" s="7">
        <f>IF($E1139="","",P1139*Z1139/100)</f>
        <v/>
      </c>
      <c r="R1139" s="7" t="n"/>
      <c r="Y1139" s="7" t="n"/>
      <c r="Z1139" s="7" t="n"/>
      <c r="AA1139" s="7" t="n"/>
      <c r="AD1139">
        <f>IF($E1139="","",IF($AT1139=1,Settings!$C$8,IF($AS1139=1,Settings!$C$6,Settings!$C$7))*100)</f>
        <v/>
      </c>
      <c r="AE1139" s="7">
        <f>IF($E1139="","",Z1139*AD1139/100)</f>
        <v/>
      </c>
      <c r="AF1139" s="7">
        <f>IF($E1139="","",Z1139-AE1139)</f>
        <v/>
      </c>
      <c r="AG1139" s="7">
        <f>IF($E1139="","",AF1139-Q1139)</f>
        <v/>
      </c>
      <c r="AK1139" s="7" t="n"/>
      <c r="AN1139" s="14" t="n"/>
      <c r="AQ1139">
        <f>IF($E1139="","",IF(COUNTIF($E$2:$E1139,$E1139)=1,1,0))</f>
        <v/>
      </c>
      <c r="AR1139">
        <f>IF($AQ1139=1,SUMPRODUCT(--($AU$2:$AU$1501&lt;$AU1139))+1,"")</f>
        <v/>
      </c>
      <c r="AS1139">
        <f>IF($E1139="","",IF(OR($U1139=TRUE(),$U1139="TRUE"),1,0))</f>
        <v/>
      </c>
      <c r="AT1139">
        <f>IF($E1139="","",IF($AC1139="Yes",1,0))</f>
        <v/>
      </c>
      <c r="AU1139">
        <f>IF($AQ1139=1,IFERROR(IF(VALUE($E1139)&lt;100000000,VALUE($E1139),1000000000),IFERROR(IF(VALUE(MID($E1139,2,20))&lt;100000000,VALUE(MID($E1139,2,20)),1000000000),1000000000))+ROW()/100000,"")</f>
        <v/>
      </c>
    </row>
    <row r="1140">
      <c r="G1140" s="14" t="n"/>
      <c r="Q1140" s="7">
        <f>IF($E1140="","",P1140*Z1140/100)</f>
        <v/>
      </c>
      <c r="R1140" s="7" t="n"/>
      <c r="Y1140" s="7" t="n"/>
      <c r="Z1140" s="7" t="n"/>
      <c r="AA1140" s="7" t="n"/>
      <c r="AD1140">
        <f>IF($E1140="","",IF($AT1140=1,Settings!$C$8,IF($AS1140=1,Settings!$C$6,Settings!$C$7))*100)</f>
        <v/>
      </c>
      <c r="AE1140" s="7">
        <f>IF($E1140="","",Z1140*AD1140/100)</f>
        <v/>
      </c>
      <c r="AF1140" s="7">
        <f>IF($E1140="","",Z1140-AE1140)</f>
        <v/>
      </c>
      <c r="AG1140" s="7">
        <f>IF($E1140="","",AF1140-Q1140)</f>
        <v/>
      </c>
      <c r="AK1140" s="7" t="n"/>
      <c r="AN1140" s="14" t="n"/>
      <c r="AQ1140">
        <f>IF($E1140="","",IF(COUNTIF($E$2:$E1140,$E1140)=1,1,0))</f>
        <v/>
      </c>
      <c r="AR1140">
        <f>IF($AQ1140=1,SUMPRODUCT(--($AU$2:$AU$1501&lt;$AU1140))+1,"")</f>
        <v/>
      </c>
      <c r="AS1140">
        <f>IF($E1140="","",IF(OR($U1140=TRUE(),$U1140="TRUE"),1,0))</f>
        <v/>
      </c>
      <c r="AT1140">
        <f>IF($E1140="","",IF($AC1140="Yes",1,0))</f>
        <v/>
      </c>
      <c r="AU1140">
        <f>IF($AQ1140=1,IFERROR(IF(VALUE($E1140)&lt;100000000,VALUE($E1140),1000000000),IFERROR(IF(VALUE(MID($E1140,2,20))&lt;100000000,VALUE(MID($E1140,2,20)),1000000000),1000000000))+ROW()/100000,"")</f>
        <v/>
      </c>
    </row>
    <row r="1141">
      <c r="G1141" s="14" t="n"/>
      <c r="Q1141" s="7">
        <f>IF($E1141="","",P1141*Z1141/100)</f>
        <v/>
      </c>
      <c r="R1141" s="7" t="n"/>
      <c r="Y1141" s="7" t="n"/>
      <c r="Z1141" s="7" t="n"/>
      <c r="AA1141" s="7" t="n"/>
      <c r="AD1141">
        <f>IF($E1141="","",IF($AT1141=1,Settings!$C$8,IF($AS1141=1,Settings!$C$6,Settings!$C$7))*100)</f>
        <v/>
      </c>
      <c r="AE1141" s="7">
        <f>IF($E1141="","",Z1141*AD1141/100)</f>
        <v/>
      </c>
      <c r="AF1141" s="7">
        <f>IF($E1141="","",Z1141-AE1141)</f>
        <v/>
      </c>
      <c r="AG1141" s="7">
        <f>IF($E1141="","",AF1141-Q1141)</f>
        <v/>
      </c>
      <c r="AK1141" s="7" t="n"/>
      <c r="AN1141" s="14" t="n"/>
      <c r="AQ1141">
        <f>IF($E1141="","",IF(COUNTIF($E$2:$E1141,$E1141)=1,1,0))</f>
        <v/>
      </c>
      <c r="AR1141">
        <f>IF($AQ1141=1,SUMPRODUCT(--($AU$2:$AU$1501&lt;$AU1141))+1,"")</f>
        <v/>
      </c>
      <c r="AS1141">
        <f>IF($E1141="","",IF(OR($U1141=TRUE(),$U1141="TRUE"),1,0))</f>
        <v/>
      </c>
      <c r="AT1141">
        <f>IF($E1141="","",IF($AC1141="Yes",1,0))</f>
        <v/>
      </c>
      <c r="AU1141">
        <f>IF($AQ1141=1,IFERROR(IF(VALUE($E1141)&lt;100000000,VALUE($E1141),1000000000),IFERROR(IF(VALUE(MID($E1141,2,20))&lt;100000000,VALUE(MID($E1141,2,20)),1000000000),1000000000))+ROW()/100000,"")</f>
        <v/>
      </c>
    </row>
    <row r="1142">
      <c r="G1142" s="14" t="n"/>
      <c r="Q1142" s="7">
        <f>IF($E1142="","",P1142*Z1142/100)</f>
        <v/>
      </c>
      <c r="R1142" s="7" t="n"/>
      <c r="Y1142" s="7" t="n"/>
      <c r="Z1142" s="7" t="n"/>
      <c r="AA1142" s="7" t="n"/>
      <c r="AD1142">
        <f>IF($E1142="","",IF($AT1142=1,Settings!$C$8,IF($AS1142=1,Settings!$C$6,Settings!$C$7))*100)</f>
        <v/>
      </c>
      <c r="AE1142" s="7">
        <f>IF($E1142="","",Z1142*AD1142/100)</f>
        <v/>
      </c>
      <c r="AF1142" s="7">
        <f>IF($E1142="","",Z1142-AE1142)</f>
        <v/>
      </c>
      <c r="AG1142" s="7">
        <f>IF($E1142="","",AF1142-Q1142)</f>
        <v/>
      </c>
      <c r="AK1142" s="7" t="n"/>
      <c r="AN1142" s="14" t="n"/>
      <c r="AQ1142">
        <f>IF($E1142="","",IF(COUNTIF($E$2:$E1142,$E1142)=1,1,0))</f>
        <v/>
      </c>
      <c r="AR1142">
        <f>IF($AQ1142=1,SUMPRODUCT(--($AU$2:$AU$1501&lt;$AU1142))+1,"")</f>
        <v/>
      </c>
      <c r="AS1142">
        <f>IF($E1142="","",IF(OR($U1142=TRUE(),$U1142="TRUE"),1,0))</f>
        <v/>
      </c>
      <c r="AT1142">
        <f>IF($E1142="","",IF($AC1142="Yes",1,0))</f>
        <v/>
      </c>
      <c r="AU1142">
        <f>IF($AQ1142=1,IFERROR(IF(VALUE($E1142)&lt;100000000,VALUE($E1142),1000000000),IFERROR(IF(VALUE(MID($E1142,2,20))&lt;100000000,VALUE(MID($E1142,2,20)),1000000000),1000000000))+ROW()/100000,"")</f>
        <v/>
      </c>
    </row>
    <row r="1143">
      <c r="G1143" s="14" t="n"/>
      <c r="Q1143" s="7">
        <f>IF($E1143="","",P1143*Z1143/100)</f>
        <v/>
      </c>
      <c r="R1143" s="7" t="n"/>
      <c r="Y1143" s="7" t="n"/>
      <c r="Z1143" s="7" t="n"/>
      <c r="AA1143" s="7" t="n"/>
      <c r="AD1143">
        <f>IF($E1143="","",IF($AT1143=1,Settings!$C$8,IF($AS1143=1,Settings!$C$6,Settings!$C$7))*100)</f>
        <v/>
      </c>
      <c r="AE1143" s="7">
        <f>IF($E1143="","",Z1143*AD1143/100)</f>
        <v/>
      </c>
      <c r="AF1143" s="7">
        <f>IF($E1143="","",Z1143-AE1143)</f>
        <v/>
      </c>
      <c r="AG1143" s="7">
        <f>IF($E1143="","",AF1143-Q1143)</f>
        <v/>
      </c>
      <c r="AK1143" s="7" t="n"/>
      <c r="AN1143" s="14" t="n"/>
      <c r="AQ1143">
        <f>IF($E1143="","",IF(COUNTIF($E$2:$E1143,$E1143)=1,1,0))</f>
        <v/>
      </c>
      <c r="AR1143">
        <f>IF($AQ1143=1,SUMPRODUCT(--($AU$2:$AU$1501&lt;$AU1143))+1,"")</f>
        <v/>
      </c>
      <c r="AS1143">
        <f>IF($E1143="","",IF(OR($U1143=TRUE(),$U1143="TRUE"),1,0))</f>
        <v/>
      </c>
      <c r="AT1143">
        <f>IF($E1143="","",IF($AC1143="Yes",1,0))</f>
        <v/>
      </c>
      <c r="AU1143">
        <f>IF($AQ1143=1,IFERROR(IF(VALUE($E1143)&lt;100000000,VALUE($E1143),1000000000),IFERROR(IF(VALUE(MID($E1143,2,20))&lt;100000000,VALUE(MID($E1143,2,20)),1000000000),1000000000))+ROW()/100000,"")</f>
        <v/>
      </c>
    </row>
    <row r="1144">
      <c r="G1144" s="14" t="n"/>
      <c r="Q1144" s="7">
        <f>IF($E1144="","",P1144*Z1144/100)</f>
        <v/>
      </c>
      <c r="R1144" s="7" t="n"/>
      <c r="Y1144" s="7" t="n"/>
      <c r="Z1144" s="7" t="n"/>
      <c r="AA1144" s="7" t="n"/>
      <c r="AD1144">
        <f>IF($E1144="","",IF($AT1144=1,Settings!$C$8,IF($AS1144=1,Settings!$C$6,Settings!$C$7))*100)</f>
        <v/>
      </c>
      <c r="AE1144" s="7">
        <f>IF($E1144="","",Z1144*AD1144/100)</f>
        <v/>
      </c>
      <c r="AF1144" s="7">
        <f>IF($E1144="","",Z1144-AE1144)</f>
        <v/>
      </c>
      <c r="AG1144" s="7">
        <f>IF($E1144="","",AF1144-Q1144)</f>
        <v/>
      </c>
      <c r="AK1144" s="7" t="n"/>
      <c r="AN1144" s="14" t="n"/>
      <c r="AQ1144">
        <f>IF($E1144="","",IF(COUNTIF($E$2:$E1144,$E1144)=1,1,0))</f>
        <v/>
      </c>
      <c r="AR1144">
        <f>IF($AQ1144=1,SUMPRODUCT(--($AU$2:$AU$1501&lt;$AU1144))+1,"")</f>
        <v/>
      </c>
      <c r="AS1144">
        <f>IF($E1144="","",IF(OR($U1144=TRUE(),$U1144="TRUE"),1,0))</f>
        <v/>
      </c>
      <c r="AT1144">
        <f>IF($E1144="","",IF($AC1144="Yes",1,0))</f>
        <v/>
      </c>
      <c r="AU1144">
        <f>IF($AQ1144=1,IFERROR(IF(VALUE($E1144)&lt;100000000,VALUE($E1144),1000000000),IFERROR(IF(VALUE(MID($E1144,2,20))&lt;100000000,VALUE(MID($E1144,2,20)),1000000000),1000000000))+ROW()/100000,"")</f>
        <v/>
      </c>
    </row>
    <row r="1145">
      <c r="G1145" s="14" t="n"/>
      <c r="Q1145" s="7">
        <f>IF($E1145="","",P1145*Z1145/100)</f>
        <v/>
      </c>
      <c r="R1145" s="7" t="n"/>
      <c r="Y1145" s="7" t="n"/>
      <c r="Z1145" s="7" t="n"/>
      <c r="AA1145" s="7" t="n"/>
      <c r="AD1145">
        <f>IF($E1145="","",IF($AT1145=1,Settings!$C$8,IF($AS1145=1,Settings!$C$6,Settings!$C$7))*100)</f>
        <v/>
      </c>
      <c r="AE1145" s="7">
        <f>IF($E1145="","",Z1145*AD1145/100)</f>
        <v/>
      </c>
      <c r="AF1145" s="7">
        <f>IF($E1145="","",Z1145-AE1145)</f>
        <v/>
      </c>
      <c r="AG1145" s="7">
        <f>IF($E1145="","",AF1145-Q1145)</f>
        <v/>
      </c>
      <c r="AK1145" s="7" t="n"/>
      <c r="AN1145" s="14" t="n"/>
      <c r="AQ1145">
        <f>IF($E1145="","",IF(COUNTIF($E$2:$E1145,$E1145)=1,1,0))</f>
        <v/>
      </c>
      <c r="AR1145">
        <f>IF($AQ1145=1,SUMPRODUCT(--($AU$2:$AU$1501&lt;$AU1145))+1,"")</f>
        <v/>
      </c>
      <c r="AS1145">
        <f>IF($E1145="","",IF(OR($U1145=TRUE(),$U1145="TRUE"),1,0))</f>
        <v/>
      </c>
      <c r="AT1145">
        <f>IF($E1145="","",IF($AC1145="Yes",1,0))</f>
        <v/>
      </c>
      <c r="AU1145">
        <f>IF($AQ1145=1,IFERROR(IF(VALUE($E1145)&lt;100000000,VALUE($E1145),1000000000),IFERROR(IF(VALUE(MID($E1145,2,20))&lt;100000000,VALUE(MID($E1145,2,20)),1000000000),1000000000))+ROW()/100000,"")</f>
        <v/>
      </c>
    </row>
    <row r="1146">
      <c r="G1146" s="14" t="n"/>
      <c r="Q1146" s="7">
        <f>IF($E1146="","",P1146*Z1146/100)</f>
        <v/>
      </c>
      <c r="R1146" s="7" t="n"/>
      <c r="Y1146" s="7" t="n"/>
      <c r="Z1146" s="7" t="n"/>
      <c r="AA1146" s="7" t="n"/>
      <c r="AD1146">
        <f>IF($E1146="","",IF($AT1146=1,Settings!$C$8,IF($AS1146=1,Settings!$C$6,Settings!$C$7))*100)</f>
        <v/>
      </c>
      <c r="AE1146" s="7">
        <f>IF($E1146="","",Z1146*AD1146/100)</f>
        <v/>
      </c>
      <c r="AF1146" s="7">
        <f>IF($E1146="","",Z1146-AE1146)</f>
        <v/>
      </c>
      <c r="AG1146" s="7">
        <f>IF($E1146="","",AF1146-Q1146)</f>
        <v/>
      </c>
      <c r="AK1146" s="7" t="n"/>
      <c r="AN1146" s="14" t="n"/>
      <c r="AQ1146">
        <f>IF($E1146="","",IF(COUNTIF($E$2:$E1146,$E1146)=1,1,0))</f>
        <v/>
      </c>
      <c r="AR1146">
        <f>IF($AQ1146=1,SUMPRODUCT(--($AU$2:$AU$1501&lt;$AU1146))+1,"")</f>
        <v/>
      </c>
      <c r="AS1146">
        <f>IF($E1146="","",IF(OR($U1146=TRUE(),$U1146="TRUE"),1,0))</f>
        <v/>
      </c>
      <c r="AT1146">
        <f>IF($E1146="","",IF($AC1146="Yes",1,0))</f>
        <v/>
      </c>
      <c r="AU1146">
        <f>IF($AQ1146=1,IFERROR(IF(VALUE($E1146)&lt;100000000,VALUE($E1146),1000000000),IFERROR(IF(VALUE(MID($E1146,2,20))&lt;100000000,VALUE(MID($E1146,2,20)),1000000000),1000000000))+ROW()/100000,"")</f>
        <v/>
      </c>
    </row>
    <row r="1147">
      <c r="G1147" s="14" t="n"/>
      <c r="Q1147" s="7">
        <f>IF($E1147="","",P1147*Z1147/100)</f>
        <v/>
      </c>
      <c r="R1147" s="7" t="n"/>
      <c r="Y1147" s="7" t="n"/>
      <c r="Z1147" s="7" t="n"/>
      <c r="AA1147" s="7" t="n"/>
      <c r="AD1147">
        <f>IF($E1147="","",IF($AT1147=1,Settings!$C$8,IF($AS1147=1,Settings!$C$6,Settings!$C$7))*100)</f>
        <v/>
      </c>
      <c r="AE1147" s="7">
        <f>IF($E1147="","",Z1147*AD1147/100)</f>
        <v/>
      </c>
      <c r="AF1147" s="7">
        <f>IF($E1147="","",Z1147-AE1147)</f>
        <v/>
      </c>
      <c r="AG1147" s="7">
        <f>IF($E1147="","",AF1147-Q1147)</f>
        <v/>
      </c>
      <c r="AK1147" s="7" t="n"/>
      <c r="AN1147" s="14" t="n"/>
      <c r="AQ1147">
        <f>IF($E1147="","",IF(COUNTIF($E$2:$E1147,$E1147)=1,1,0))</f>
        <v/>
      </c>
      <c r="AR1147">
        <f>IF($AQ1147=1,SUMPRODUCT(--($AU$2:$AU$1501&lt;$AU1147))+1,"")</f>
        <v/>
      </c>
      <c r="AS1147">
        <f>IF($E1147="","",IF(OR($U1147=TRUE(),$U1147="TRUE"),1,0))</f>
        <v/>
      </c>
      <c r="AT1147">
        <f>IF($E1147="","",IF($AC1147="Yes",1,0))</f>
        <v/>
      </c>
      <c r="AU1147">
        <f>IF($AQ1147=1,IFERROR(IF(VALUE($E1147)&lt;100000000,VALUE($E1147),1000000000),IFERROR(IF(VALUE(MID($E1147,2,20))&lt;100000000,VALUE(MID($E1147,2,20)),1000000000),1000000000))+ROW()/100000,"")</f>
        <v/>
      </c>
    </row>
    <row r="1148">
      <c r="G1148" s="14" t="n"/>
      <c r="Q1148" s="7">
        <f>IF($E1148="","",P1148*Z1148/100)</f>
        <v/>
      </c>
      <c r="R1148" s="7" t="n"/>
      <c r="Y1148" s="7" t="n"/>
      <c r="Z1148" s="7" t="n"/>
      <c r="AA1148" s="7" t="n"/>
      <c r="AD1148">
        <f>IF($E1148="","",IF($AT1148=1,Settings!$C$8,IF($AS1148=1,Settings!$C$6,Settings!$C$7))*100)</f>
        <v/>
      </c>
      <c r="AE1148" s="7">
        <f>IF($E1148="","",Z1148*AD1148/100)</f>
        <v/>
      </c>
      <c r="AF1148" s="7">
        <f>IF($E1148="","",Z1148-AE1148)</f>
        <v/>
      </c>
      <c r="AG1148" s="7">
        <f>IF($E1148="","",AF1148-Q1148)</f>
        <v/>
      </c>
      <c r="AK1148" s="7" t="n"/>
      <c r="AN1148" s="14" t="n"/>
      <c r="AQ1148">
        <f>IF($E1148="","",IF(COUNTIF($E$2:$E1148,$E1148)=1,1,0))</f>
        <v/>
      </c>
      <c r="AR1148">
        <f>IF($AQ1148=1,SUMPRODUCT(--($AU$2:$AU$1501&lt;$AU1148))+1,"")</f>
        <v/>
      </c>
      <c r="AS1148">
        <f>IF($E1148="","",IF(OR($U1148=TRUE(),$U1148="TRUE"),1,0))</f>
        <v/>
      </c>
      <c r="AT1148">
        <f>IF($E1148="","",IF($AC1148="Yes",1,0))</f>
        <v/>
      </c>
      <c r="AU1148">
        <f>IF($AQ1148=1,IFERROR(IF(VALUE($E1148)&lt;100000000,VALUE($E1148),1000000000),IFERROR(IF(VALUE(MID($E1148,2,20))&lt;100000000,VALUE(MID($E1148,2,20)),1000000000),1000000000))+ROW()/100000,"")</f>
        <v/>
      </c>
    </row>
    <row r="1149">
      <c r="G1149" s="14" t="n"/>
      <c r="Q1149" s="7">
        <f>IF($E1149="","",P1149*Z1149/100)</f>
        <v/>
      </c>
      <c r="R1149" s="7" t="n"/>
      <c r="Y1149" s="7" t="n"/>
      <c r="Z1149" s="7" t="n"/>
      <c r="AA1149" s="7" t="n"/>
      <c r="AD1149">
        <f>IF($E1149="","",IF($AT1149=1,Settings!$C$8,IF($AS1149=1,Settings!$C$6,Settings!$C$7))*100)</f>
        <v/>
      </c>
      <c r="AE1149" s="7">
        <f>IF($E1149="","",Z1149*AD1149/100)</f>
        <v/>
      </c>
      <c r="AF1149" s="7">
        <f>IF($E1149="","",Z1149-AE1149)</f>
        <v/>
      </c>
      <c r="AG1149" s="7">
        <f>IF($E1149="","",AF1149-Q1149)</f>
        <v/>
      </c>
      <c r="AK1149" s="7" t="n"/>
      <c r="AN1149" s="14" t="n"/>
      <c r="AQ1149">
        <f>IF($E1149="","",IF(COUNTIF($E$2:$E1149,$E1149)=1,1,0))</f>
        <v/>
      </c>
      <c r="AR1149">
        <f>IF($AQ1149=1,SUMPRODUCT(--($AU$2:$AU$1501&lt;$AU1149))+1,"")</f>
        <v/>
      </c>
      <c r="AS1149">
        <f>IF($E1149="","",IF(OR($U1149=TRUE(),$U1149="TRUE"),1,0))</f>
        <v/>
      </c>
      <c r="AT1149">
        <f>IF($E1149="","",IF($AC1149="Yes",1,0))</f>
        <v/>
      </c>
      <c r="AU1149">
        <f>IF($AQ1149=1,IFERROR(IF(VALUE($E1149)&lt;100000000,VALUE($E1149),1000000000),IFERROR(IF(VALUE(MID($E1149,2,20))&lt;100000000,VALUE(MID($E1149,2,20)),1000000000),1000000000))+ROW()/100000,"")</f>
        <v/>
      </c>
    </row>
    <row r="1150">
      <c r="G1150" s="14" t="n"/>
      <c r="Q1150" s="7">
        <f>IF($E1150="","",P1150*Z1150/100)</f>
        <v/>
      </c>
      <c r="R1150" s="7" t="n"/>
      <c r="Y1150" s="7" t="n"/>
      <c r="Z1150" s="7" t="n"/>
      <c r="AA1150" s="7" t="n"/>
      <c r="AD1150">
        <f>IF($E1150="","",IF($AT1150=1,Settings!$C$8,IF($AS1150=1,Settings!$C$6,Settings!$C$7))*100)</f>
        <v/>
      </c>
      <c r="AE1150" s="7">
        <f>IF($E1150="","",Z1150*AD1150/100)</f>
        <v/>
      </c>
      <c r="AF1150" s="7">
        <f>IF($E1150="","",Z1150-AE1150)</f>
        <v/>
      </c>
      <c r="AG1150" s="7">
        <f>IF($E1150="","",AF1150-Q1150)</f>
        <v/>
      </c>
      <c r="AK1150" s="7" t="n"/>
      <c r="AN1150" s="14" t="n"/>
      <c r="AQ1150">
        <f>IF($E1150="","",IF(COUNTIF($E$2:$E1150,$E1150)=1,1,0))</f>
        <v/>
      </c>
      <c r="AR1150">
        <f>IF($AQ1150=1,SUMPRODUCT(--($AU$2:$AU$1501&lt;$AU1150))+1,"")</f>
        <v/>
      </c>
      <c r="AS1150">
        <f>IF($E1150="","",IF(OR($U1150=TRUE(),$U1150="TRUE"),1,0))</f>
        <v/>
      </c>
      <c r="AT1150">
        <f>IF($E1150="","",IF($AC1150="Yes",1,0))</f>
        <v/>
      </c>
      <c r="AU1150">
        <f>IF($AQ1150=1,IFERROR(IF(VALUE($E1150)&lt;100000000,VALUE($E1150),1000000000),IFERROR(IF(VALUE(MID($E1150,2,20))&lt;100000000,VALUE(MID($E1150,2,20)),1000000000),1000000000))+ROW()/100000,"")</f>
        <v/>
      </c>
    </row>
    <row r="1151">
      <c r="G1151" s="14" t="n"/>
      <c r="Q1151" s="7">
        <f>IF($E1151="","",P1151*Z1151/100)</f>
        <v/>
      </c>
      <c r="R1151" s="7" t="n"/>
      <c r="Y1151" s="7" t="n"/>
      <c r="Z1151" s="7" t="n"/>
      <c r="AA1151" s="7" t="n"/>
      <c r="AD1151">
        <f>IF($E1151="","",IF($AT1151=1,Settings!$C$8,IF($AS1151=1,Settings!$C$6,Settings!$C$7))*100)</f>
        <v/>
      </c>
      <c r="AE1151" s="7">
        <f>IF($E1151="","",Z1151*AD1151/100)</f>
        <v/>
      </c>
      <c r="AF1151" s="7">
        <f>IF($E1151="","",Z1151-AE1151)</f>
        <v/>
      </c>
      <c r="AG1151" s="7">
        <f>IF($E1151="","",AF1151-Q1151)</f>
        <v/>
      </c>
      <c r="AK1151" s="7" t="n"/>
      <c r="AN1151" s="14" t="n"/>
      <c r="AQ1151">
        <f>IF($E1151="","",IF(COUNTIF($E$2:$E1151,$E1151)=1,1,0))</f>
        <v/>
      </c>
      <c r="AR1151">
        <f>IF($AQ1151=1,SUMPRODUCT(--($AU$2:$AU$1501&lt;$AU1151))+1,"")</f>
        <v/>
      </c>
      <c r="AS1151">
        <f>IF($E1151="","",IF(OR($U1151=TRUE(),$U1151="TRUE"),1,0))</f>
        <v/>
      </c>
      <c r="AT1151">
        <f>IF($E1151="","",IF($AC1151="Yes",1,0))</f>
        <v/>
      </c>
      <c r="AU1151">
        <f>IF($AQ1151=1,IFERROR(IF(VALUE($E1151)&lt;100000000,VALUE($E1151),1000000000),IFERROR(IF(VALUE(MID($E1151,2,20))&lt;100000000,VALUE(MID($E1151,2,20)),1000000000),1000000000))+ROW()/100000,"")</f>
        <v/>
      </c>
    </row>
    <row r="1152">
      <c r="G1152" s="14" t="n"/>
      <c r="Q1152" s="7">
        <f>IF($E1152="","",P1152*Z1152/100)</f>
        <v/>
      </c>
      <c r="R1152" s="7" t="n"/>
      <c r="Y1152" s="7" t="n"/>
      <c r="Z1152" s="7" t="n"/>
      <c r="AA1152" s="7" t="n"/>
      <c r="AD1152">
        <f>IF($E1152="","",IF($AT1152=1,Settings!$C$8,IF($AS1152=1,Settings!$C$6,Settings!$C$7))*100)</f>
        <v/>
      </c>
      <c r="AE1152" s="7">
        <f>IF($E1152="","",Z1152*AD1152/100)</f>
        <v/>
      </c>
      <c r="AF1152" s="7">
        <f>IF($E1152="","",Z1152-AE1152)</f>
        <v/>
      </c>
      <c r="AG1152" s="7">
        <f>IF($E1152="","",AF1152-Q1152)</f>
        <v/>
      </c>
      <c r="AK1152" s="7" t="n"/>
      <c r="AN1152" s="14" t="n"/>
      <c r="AQ1152">
        <f>IF($E1152="","",IF(COUNTIF($E$2:$E1152,$E1152)=1,1,0))</f>
        <v/>
      </c>
      <c r="AR1152">
        <f>IF($AQ1152=1,SUMPRODUCT(--($AU$2:$AU$1501&lt;$AU1152))+1,"")</f>
        <v/>
      </c>
      <c r="AS1152">
        <f>IF($E1152="","",IF(OR($U1152=TRUE(),$U1152="TRUE"),1,0))</f>
        <v/>
      </c>
      <c r="AT1152">
        <f>IF($E1152="","",IF($AC1152="Yes",1,0))</f>
        <v/>
      </c>
      <c r="AU1152">
        <f>IF($AQ1152=1,IFERROR(IF(VALUE($E1152)&lt;100000000,VALUE($E1152),1000000000),IFERROR(IF(VALUE(MID($E1152,2,20))&lt;100000000,VALUE(MID($E1152,2,20)),1000000000),1000000000))+ROW()/100000,"")</f>
        <v/>
      </c>
    </row>
    <row r="1153">
      <c r="G1153" s="14" t="n"/>
      <c r="Q1153" s="7">
        <f>IF($E1153="","",P1153*Z1153/100)</f>
        <v/>
      </c>
      <c r="R1153" s="7" t="n"/>
      <c r="Y1153" s="7" t="n"/>
      <c r="Z1153" s="7" t="n"/>
      <c r="AA1153" s="7" t="n"/>
      <c r="AD1153">
        <f>IF($E1153="","",IF($AT1153=1,Settings!$C$8,IF($AS1153=1,Settings!$C$6,Settings!$C$7))*100)</f>
        <v/>
      </c>
      <c r="AE1153" s="7">
        <f>IF($E1153="","",Z1153*AD1153/100)</f>
        <v/>
      </c>
      <c r="AF1153" s="7">
        <f>IF($E1153="","",Z1153-AE1153)</f>
        <v/>
      </c>
      <c r="AG1153" s="7">
        <f>IF($E1153="","",AF1153-Q1153)</f>
        <v/>
      </c>
      <c r="AK1153" s="7" t="n"/>
      <c r="AN1153" s="14" t="n"/>
      <c r="AQ1153">
        <f>IF($E1153="","",IF(COUNTIF($E$2:$E1153,$E1153)=1,1,0))</f>
        <v/>
      </c>
      <c r="AR1153">
        <f>IF($AQ1153=1,SUMPRODUCT(--($AU$2:$AU$1501&lt;$AU1153))+1,"")</f>
        <v/>
      </c>
      <c r="AS1153">
        <f>IF($E1153="","",IF(OR($U1153=TRUE(),$U1153="TRUE"),1,0))</f>
        <v/>
      </c>
      <c r="AT1153">
        <f>IF($E1153="","",IF($AC1153="Yes",1,0))</f>
        <v/>
      </c>
      <c r="AU1153">
        <f>IF($AQ1153=1,IFERROR(IF(VALUE($E1153)&lt;100000000,VALUE($E1153),1000000000),IFERROR(IF(VALUE(MID($E1153,2,20))&lt;100000000,VALUE(MID($E1153,2,20)),1000000000),1000000000))+ROW()/100000,"")</f>
        <v/>
      </c>
    </row>
    <row r="1154">
      <c r="G1154" s="14" t="n"/>
      <c r="Q1154" s="7">
        <f>IF($E1154="","",P1154*Z1154/100)</f>
        <v/>
      </c>
      <c r="R1154" s="7" t="n"/>
      <c r="Y1154" s="7" t="n"/>
      <c r="Z1154" s="7" t="n"/>
      <c r="AA1154" s="7" t="n"/>
      <c r="AD1154">
        <f>IF($E1154="","",IF($AT1154=1,Settings!$C$8,IF($AS1154=1,Settings!$C$6,Settings!$C$7))*100)</f>
        <v/>
      </c>
      <c r="AE1154" s="7">
        <f>IF($E1154="","",Z1154*AD1154/100)</f>
        <v/>
      </c>
      <c r="AF1154" s="7">
        <f>IF($E1154="","",Z1154-AE1154)</f>
        <v/>
      </c>
      <c r="AG1154" s="7">
        <f>IF($E1154="","",AF1154-Q1154)</f>
        <v/>
      </c>
      <c r="AK1154" s="7" t="n"/>
      <c r="AN1154" s="14" t="n"/>
      <c r="AQ1154">
        <f>IF($E1154="","",IF(COUNTIF($E$2:$E1154,$E1154)=1,1,0))</f>
        <v/>
      </c>
      <c r="AR1154">
        <f>IF($AQ1154=1,SUMPRODUCT(--($AU$2:$AU$1501&lt;$AU1154))+1,"")</f>
        <v/>
      </c>
      <c r="AS1154">
        <f>IF($E1154="","",IF(OR($U1154=TRUE(),$U1154="TRUE"),1,0))</f>
        <v/>
      </c>
      <c r="AT1154">
        <f>IF($E1154="","",IF($AC1154="Yes",1,0))</f>
        <v/>
      </c>
      <c r="AU1154">
        <f>IF($AQ1154=1,IFERROR(IF(VALUE($E1154)&lt;100000000,VALUE($E1154),1000000000),IFERROR(IF(VALUE(MID($E1154,2,20))&lt;100000000,VALUE(MID($E1154,2,20)),1000000000),1000000000))+ROW()/100000,"")</f>
        <v/>
      </c>
    </row>
    <row r="1155">
      <c r="G1155" s="14" t="n"/>
      <c r="Q1155" s="7">
        <f>IF($E1155="","",P1155*Z1155/100)</f>
        <v/>
      </c>
      <c r="R1155" s="7" t="n"/>
      <c r="Y1155" s="7" t="n"/>
      <c r="Z1155" s="7" t="n"/>
      <c r="AA1155" s="7" t="n"/>
      <c r="AD1155">
        <f>IF($E1155="","",IF($AT1155=1,Settings!$C$8,IF($AS1155=1,Settings!$C$6,Settings!$C$7))*100)</f>
        <v/>
      </c>
      <c r="AE1155" s="7">
        <f>IF($E1155="","",Z1155*AD1155/100)</f>
        <v/>
      </c>
      <c r="AF1155" s="7">
        <f>IF($E1155="","",Z1155-AE1155)</f>
        <v/>
      </c>
      <c r="AG1155" s="7">
        <f>IF($E1155="","",AF1155-Q1155)</f>
        <v/>
      </c>
      <c r="AK1155" s="7" t="n"/>
      <c r="AN1155" s="14" t="n"/>
      <c r="AQ1155">
        <f>IF($E1155="","",IF(COUNTIF($E$2:$E1155,$E1155)=1,1,0))</f>
        <v/>
      </c>
      <c r="AR1155">
        <f>IF($AQ1155=1,SUMPRODUCT(--($AU$2:$AU$1501&lt;$AU1155))+1,"")</f>
        <v/>
      </c>
      <c r="AS1155">
        <f>IF($E1155="","",IF(OR($U1155=TRUE(),$U1155="TRUE"),1,0))</f>
        <v/>
      </c>
      <c r="AT1155">
        <f>IF($E1155="","",IF($AC1155="Yes",1,0))</f>
        <v/>
      </c>
      <c r="AU1155">
        <f>IF($AQ1155=1,IFERROR(IF(VALUE($E1155)&lt;100000000,VALUE($E1155),1000000000),IFERROR(IF(VALUE(MID($E1155,2,20))&lt;100000000,VALUE(MID($E1155,2,20)),1000000000),1000000000))+ROW()/100000,"")</f>
        <v/>
      </c>
    </row>
    <row r="1156">
      <c r="G1156" s="14" t="n"/>
      <c r="Q1156" s="7">
        <f>IF($E1156="","",P1156*Z1156/100)</f>
        <v/>
      </c>
      <c r="R1156" s="7" t="n"/>
      <c r="Y1156" s="7" t="n"/>
      <c r="Z1156" s="7" t="n"/>
      <c r="AA1156" s="7" t="n"/>
      <c r="AD1156">
        <f>IF($E1156="","",IF($AT1156=1,Settings!$C$8,IF($AS1156=1,Settings!$C$6,Settings!$C$7))*100)</f>
        <v/>
      </c>
      <c r="AE1156" s="7">
        <f>IF($E1156="","",Z1156*AD1156/100)</f>
        <v/>
      </c>
      <c r="AF1156" s="7">
        <f>IF($E1156="","",Z1156-AE1156)</f>
        <v/>
      </c>
      <c r="AG1156" s="7">
        <f>IF($E1156="","",AF1156-Q1156)</f>
        <v/>
      </c>
      <c r="AK1156" s="7" t="n"/>
      <c r="AN1156" s="14" t="n"/>
      <c r="AQ1156">
        <f>IF($E1156="","",IF(COUNTIF($E$2:$E1156,$E1156)=1,1,0))</f>
        <v/>
      </c>
      <c r="AR1156">
        <f>IF($AQ1156=1,SUMPRODUCT(--($AU$2:$AU$1501&lt;$AU1156))+1,"")</f>
        <v/>
      </c>
      <c r="AS1156">
        <f>IF($E1156="","",IF(OR($U1156=TRUE(),$U1156="TRUE"),1,0))</f>
        <v/>
      </c>
      <c r="AT1156">
        <f>IF($E1156="","",IF($AC1156="Yes",1,0))</f>
        <v/>
      </c>
      <c r="AU1156">
        <f>IF($AQ1156=1,IFERROR(IF(VALUE($E1156)&lt;100000000,VALUE($E1156),1000000000),IFERROR(IF(VALUE(MID($E1156,2,20))&lt;100000000,VALUE(MID($E1156,2,20)),1000000000),1000000000))+ROW()/100000,"")</f>
        <v/>
      </c>
    </row>
    <row r="1157">
      <c r="G1157" s="14" t="n"/>
      <c r="Q1157" s="7">
        <f>IF($E1157="","",P1157*Z1157/100)</f>
        <v/>
      </c>
      <c r="R1157" s="7" t="n"/>
      <c r="Y1157" s="7" t="n"/>
      <c r="Z1157" s="7" t="n"/>
      <c r="AA1157" s="7" t="n"/>
      <c r="AD1157">
        <f>IF($E1157="","",IF($AT1157=1,Settings!$C$8,IF($AS1157=1,Settings!$C$6,Settings!$C$7))*100)</f>
        <v/>
      </c>
      <c r="AE1157" s="7">
        <f>IF($E1157="","",Z1157*AD1157/100)</f>
        <v/>
      </c>
      <c r="AF1157" s="7">
        <f>IF($E1157="","",Z1157-AE1157)</f>
        <v/>
      </c>
      <c r="AG1157" s="7">
        <f>IF($E1157="","",AF1157-Q1157)</f>
        <v/>
      </c>
      <c r="AK1157" s="7" t="n"/>
      <c r="AN1157" s="14" t="n"/>
      <c r="AQ1157">
        <f>IF($E1157="","",IF(COUNTIF($E$2:$E1157,$E1157)=1,1,0))</f>
        <v/>
      </c>
      <c r="AR1157">
        <f>IF($AQ1157=1,SUMPRODUCT(--($AU$2:$AU$1501&lt;$AU1157))+1,"")</f>
        <v/>
      </c>
      <c r="AS1157">
        <f>IF($E1157="","",IF(OR($U1157=TRUE(),$U1157="TRUE"),1,0))</f>
        <v/>
      </c>
      <c r="AT1157">
        <f>IF($E1157="","",IF($AC1157="Yes",1,0))</f>
        <v/>
      </c>
      <c r="AU1157">
        <f>IF($AQ1157=1,IFERROR(IF(VALUE($E1157)&lt;100000000,VALUE($E1157),1000000000),IFERROR(IF(VALUE(MID($E1157,2,20))&lt;100000000,VALUE(MID($E1157,2,20)),1000000000),1000000000))+ROW()/100000,"")</f>
        <v/>
      </c>
    </row>
    <row r="1158">
      <c r="G1158" s="14" t="n"/>
      <c r="Q1158" s="7">
        <f>IF($E1158="","",P1158*Z1158/100)</f>
        <v/>
      </c>
      <c r="R1158" s="7" t="n"/>
      <c r="Y1158" s="7" t="n"/>
      <c r="Z1158" s="7" t="n"/>
      <c r="AA1158" s="7" t="n"/>
      <c r="AD1158">
        <f>IF($E1158="","",IF($AT1158=1,Settings!$C$8,IF($AS1158=1,Settings!$C$6,Settings!$C$7))*100)</f>
        <v/>
      </c>
      <c r="AE1158" s="7">
        <f>IF($E1158="","",Z1158*AD1158/100)</f>
        <v/>
      </c>
      <c r="AF1158" s="7">
        <f>IF($E1158="","",Z1158-AE1158)</f>
        <v/>
      </c>
      <c r="AG1158" s="7">
        <f>IF($E1158="","",AF1158-Q1158)</f>
        <v/>
      </c>
      <c r="AK1158" s="7" t="n"/>
      <c r="AN1158" s="14" t="n"/>
      <c r="AQ1158">
        <f>IF($E1158="","",IF(COUNTIF($E$2:$E1158,$E1158)=1,1,0))</f>
        <v/>
      </c>
      <c r="AR1158">
        <f>IF($AQ1158=1,SUMPRODUCT(--($AU$2:$AU$1501&lt;$AU1158))+1,"")</f>
        <v/>
      </c>
      <c r="AS1158">
        <f>IF($E1158="","",IF(OR($U1158=TRUE(),$U1158="TRUE"),1,0))</f>
        <v/>
      </c>
      <c r="AT1158">
        <f>IF($E1158="","",IF($AC1158="Yes",1,0))</f>
        <v/>
      </c>
      <c r="AU1158">
        <f>IF($AQ1158=1,IFERROR(IF(VALUE($E1158)&lt;100000000,VALUE($E1158),1000000000),IFERROR(IF(VALUE(MID($E1158,2,20))&lt;100000000,VALUE(MID($E1158,2,20)),1000000000),1000000000))+ROW()/100000,"")</f>
        <v/>
      </c>
    </row>
    <row r="1159">
      <c r="G1159" s="14" t="n"/>
      <c r="Q1159" s="7">
        <f>IF($E1159="","",P1159*Z1159/100)</f>
        <v/>
      </c>
      <c r="R1159" s="7" t="n"/>
      <c r="Y1159" s="7" t="n"/>
      <c r="Z1159" s="7" t="n"/>
      <c r="AA1159" s="7" t="n"/>
      <c r="AD1159">
        <f>IF($E1159="","",IF($AT1159=1,Settings!$C$8,IF($AS1159=1,Settings!$C$6,Settings!$C$7))*100)</f>
        <v/>
      </c>
      <c r="AE1159" s="7">
        <f>IF($E1159="","",Z1159*AD1159/100)</f>
        <v/>
      </c>
      <c r="AF1159" s="7">
        <f>IF($E1159="","",Z1159-AE1159)</f>
        <v/>
      </c>
      <c r="AG1159" s="7">
        <f>IF($E1159="","",AF1159-Q1159)</f>
        <v/>
      </c>
      <c r="AK1159" s="7" t="n"/>
      <c r="AN1159" s="14" t="n"/>
      <c r="AQ1159">
        <f>IF($E1159="","",IF(COUNTIF($E$2:$E1159,$E1159)=1,1,0))</f>
        <v/>
      </c>
      <c r="AR1159">
        <f>IF($AQ1159=1,SUMPRODUCT(--($AU$2:$AU$1501&lt;$AU1159))+1,"")</f>
        <v/>
      </c>
      <c r="AS1159">
        <f>IF($E1159="","",IF(OR($U1159=TRUE(),$U1159="TRUE"),1,0))</f>
        <v/>
      </c>
      <c r="AT1159">
        <f>IF($E1159="","",IF($AC1159="Yes",1,0))</f>
        <v/>
      </c>
      <c r="AU1159">
        <f>IF($AQ1159=1,IFERROR(IF(VALUE($E1159)&lt;100000000,VALUE($E1159),1000000000),IFERROR(IF(VALUE(MID($E1159,2,20))&lt;100000000,VALUE(MID($E1159,2,20)),1000000000),1000000000))+ROW()/100000,"")</f>
        <v/>
      </c>
    </row>
    <row r="1160">
      <c r="G1160" s="14" t="n"/>
      <c r="Q1160" s="7">
        <f>IF($E1160="","",P1160*Z1160/100)</f>
        <v/>
      </c>
      <c r="R1160" s="7" t="n"/>
      <c r="Y1160" s="7" t="n"/>
      <c r="Z1160" s="7" t="n"/>
      <c r="AA1160" s="7" t="n"/>
      <c r="AD1160">
        <f>IF($E1160="","",IF($AT1160=1,Settings!$C$8,IF($AS1160=1,Settings!$C$6,Settings!$C$7))*100)</f>
        <v/>
      </c>
      <c r="AE1160" s="7">
        <f>IF($E1160="","",Z1160*AD1160/100)</f>
        <v/>
      </c>
      <c r="AF1160" s="7">
        <f>IF($E1160="","",Z1160-AE1160)</f>
        <v/>
      </c>
      <c r="AG1160" s="7">
        <f>IF($E1160="","",AF1160-Q1160)</f>
        <v/>
      </c>
      <c r="AK1160" s="7" t="n"/>
      <c r="AN1160" s="14" t="n"/>
      <c r="AQ1160">
        <f>IF($E1160="","",IF(COUNTIF($E$2:$E1160,$E1160)=1,1,0))</f>
        <v/>
      </c>
      <c r="AR1160">
        <f>IF($AQ1160=1,SUMPRODUCT(--($AU$2:$AU$1501&lt;$AU1160))+1,"")</f>
        <v/>
      </c>
      <c r="AS1160">
        <f>IF($E1160="","",IF(OR($U1160=TRUE(),$U1160="TRUE"),1,0))</f>
        <v/>
      </c>
      <c r="AT1160">
        <f>IF($E1160="","",IF($AC1160="Yes",1,0))</f>
        <v/>
      </c>
      <c r="AU1160">
        <f>IF($AQ1160=1,IFERROR(IF(VALUE($E1160)&lt;100000000,VALUE($E1160),1000000000),IFERROR(IF(VALUE(MID($E1160,2,20))&lt;100000000,VALUE(MID($E1160,2,20)),1000000000),1000000000))+ROW()/100000,"")</f>
        <v/>
      </c>
    </row>
    <row r="1161">
      <c r="G1161" s="14" t="n"/>
      <c r="Q1161" s="7">
        <f>IF($E1161="","",P1161*Z1161/100)</f>
        <v/>
      </c>
      <c r="R1161" s="7" t="n"/>
      <c r="Y1161" s="7" t="n"/>
      <c r="Z1161" s="7" t="n"/>
      <c r="AA1161" s="7" t="n"/>
      <c r="AD1161">
        <f>IF($E1161="","",IF($AT1161=1,Settings!$C$8,IF($AS1161=1,Settings!$C$6,Settings!$C$7))*100)</f>
        <v/>
      </c>
      <c r="AE1161" s="7">
        <f>IF($E1161="","",Z1161*AD1161/100)</f>
        <v/>
      </c>
      <c r="AF1161" s="7">
        <f>IF($E1161="","",Z1161-AE1161)</f>
        <v/>
      </c>
      <c r="AG1161" s="7">
        <f>IF($E1161="","",AF1161-Q1161)</f>
        <v/>
      </c>
      <c r="AK1161" s="7" t="n"/>
      <c r="AN1161" s="14" t="n"/>
      <c r="AQ1161">
        <f>IF($E1161="","",IF(COUNTIF($E$2:$E1161,$E1161)=1,1,0))</f>
        <v/>
      </c>
      <c r="AR1161">
        <f>IF($AQ1161=1,SUMPRODUCT(--($AU$2:$AU$1501&lt;$AU1161))+1,"")</f>
        <v/>
      </c>
      <c r="AS1161">
        <f>IF($E1161="","",IF(OR($U1161=TRUE(),$U1161="TRUE"),1,0))</f>
        <v/>
      </c>
      <c r="AT1161">
        <f>IF($E1161="","",IF($AC1161="Yes",1,0))</f>
        <v/>
      </c>
      <c r="AU1161">
        <f>IF($AQ1161=1,IFERROR(IF(VALUE($E1161)&lt;100000000,VALUE($E1161),1000000000),IFERROR(IF(VALUE(MID($E1161,2,20))&lt;100000000,VALUE(MID($E1161,2,20)),1000000000),1000000000))+ROW()/100000,"")</f>
        <v/>
      </c>
    </row>
    <row r="1162">
      <c r="G1162" s="14" t="n"/>
      <c r="Q1162" s="7">
        <f>IF($E1162="","",P1162*Z1162/100)</f>
        <v/>
      </c>
      <c r="R1162" s="7" t="n"/>
      <c r="Y1162" s="7" t="n"/>
      <c r="Z1162" s="7" t="n"/>
      <c r="AA1162" s="7" t="n"/>
      <c r="AD1162">
        <f>IF($E1162="","",IF($AT1162=1,Settings!$C$8,IF($AS1162=1,Settings!$C$6,Settings!$C$7))*100)</f>
        <v/>
      </c>
      <c r="AE1162" s="7">
        <f>IF($E1162="","",Z1162*AD1162/100)</f>
        <v/>
      </c>
      <c r="AF1162" s="7">
        <f>IF($E1162="","",Z1162-AE1162)</f>
        <v/>
      </c>
      <c r="AG1162" s="7">
        <f>IF($E1162="","",AF1162-Q1162)</f>
        <v/>
      </c>
      <c r="AK1162" s="7" t="n"/>
      <c r="AN1162" s="14" t="n"/>
      <c r="AQ1162">
        <f>IF($E1162="","",IF(COUNTIF($E$2:$E1162,$E1162)=1,1,0))</f>
        <v/>
      </c>
      <c r="AR1162">
        <f>IF($AQ1162=1,SUMPRODUCT(--($AU$2:$AU$1501&lt;$AU1162))+1,"")</f>
        <v/>
      </c>
      <c r="AS1162">
        <f>IF($E1162="","",IF(OR($U1162=TRUE(),$U1162="TRUE"),1,0))</f>
        <v/>
      </c>
      <c r="AT1162">
        <f>IF($E1162="","",IF($AC1162="Yes",1,0))</f>
        <v/>
      </c>
      <c r="AU1162">
        <f>IF($AQ1162=1,IFERROR(IF(VALUE($E1162)&lt;100000000,VALUE($E1162),1000000000),IFERROR(IF(VALUE(MID($E1162,2,20))&lt;100000000,VALUE(MID($E1162,2,20)),1000000000),1000000000))+ROW()/100000,"")</f>
        <v/>
      </c>
    </row>
    <row r="1163">
      <c r="G1163" s="14" t="n"/>
      <c r="Q1163" s="7">
        <f>IF($E1163="","",P1163*Z1163/100)</f>
        <v/>
      </c>
      <c r="R1163" s="7" t="n"/>
      <c r="Y1163" s="7" t="n"/>
      <c r="Z1163" s="7" t="n"/>
      <c r="AA1163" s="7" t="n"/>
      <c r="AD1163">
        <f>IF($E1163="","",IF($AT1163=1,Settings!$C$8,IF($AS1163=1,Settings!$C$6,Settings!$C$7))*100)</f>
        <v/>
      </c>
      <c r="AE1163" s="7">
        <f>IF($E1163="","",Z1163*AD1163/100)</f>
        <v/>
      </c>
      <c r="AF1163" s="7">
        <f>IF($E1163="","",Z1163-AE1163)</f>
        <v/>
      </c>
      <c r="AG1163" s="7">
        <f>IF($E1163="","",AF1163-Q1163)</f>
        <v/>
      </c>
      <c r="AK1163" s="7" t="n"/>
      <c r="AN1163" s="14" t="n"/>
      <c r="AQ1163">
        <f>IF($E1163="","",IF(COUNTIF($E$2:$E1163,$E1163)=1,1,0))</f>
        <v/>
      </c>
      <c r="AR1163">
        <f>IF($AQ1163=1,SUMPRODUCT(--($AU$2:$AU$1501&lt;$AU1163))+1,"")</f>
        <v/>
      </c>
      <c r="AS1163">
        <f>IF($E1163="","",IF(OR($U1163=TRUE(),$U1163="TRUE"),1,0))</f>
        <v/>
      </c>
      <c r="AT1163">
        <f>IF($E1163="","",IF($AC1163="Yes",1,0))</f>
        <v/>
      </c>
      <c r="AU1163">
        <f>IF($AQ1163=1,IFERROR(IF(VALUE($E1163)&lt;100000000,VALUE($E1163),1000000000),IFERROR(IF(VALUE(MID($E1163,2,20))&lt;100000000,VALUE(MID($E1163,2,20)),1000000000),1000000000))+ROW()/100000,"")</f>
        <v/>
      </c>
    </row>
    <row r="1164">
      <c r="G1164" s="14" t="n"/>
      <c r="Q1164" s="7">
        <f>IF($E1164="","",P1164*Z1164/100)</f>
        <v/>
      </c>
      <c r="R1164" s="7" t="n"/>
      <c r="Y1164" s="7" t="n"/>
      <c r="Z1164" s="7" t="n"/>
      <c r="AA1164" s="7" t="n"/>
      <c r="AD1164">
        <f>IF($E1164="","",IF($AT1164=1,Settings!$C$8,IF($AS1164=1,Settings!$C$6,Settings!$C$7))*100)</f>
        <v/>
      </c>
      <c r="AE1164" s="7">
        <f>IF($E1164="","",Z1164*AD1164/100)</f>
        <v/>
      </c>
      <c r="AF1164" s="7">
        <f>IF($E1164="","",Z1164-AE1164)</f>
        <v/>
      </c>
      <c r="AG1164" s="7">
        <f>IF($E1164="","",AF1164-Q1164)</f>
        <v/>
      </c>
      <c r="AK1164" s="7" t="n"/>
      <c r="AN1164" s="14" t="n"/>
      <c r="AQ1164">
        <f>IF($E1164="","",IF(COUNTIF($E$2:$E1164,$E1164)=1,1,0))</f>
        <v/>
      </c>
      <c r="AR1164">
        <f>IF($AQ1164=1,SUMPRODUCT(--($AU$2:$AU$1501&lt;$AU1164))+1,"")</f>
        <v/>
      </c>
      <c r="AS1164">
        <f>IF($E1164="","",IF(OR($U1164=TRUE(),$U1164="TRUE"),1,0))</f>
        <v/>
      </c>
      <c r="AT1164">
        <f>IF($E1164="","",IF($AC1164="Yes",1,0))</f>
        <v/>
      </c>
      <c r="AU1164">
        <f>IF($AQ1164=1,IFERROR(IF(VALUE($E1164)&lt;100000000,VALUE($E1164),1000000000),IFERROR(IF(VALUE(MID($E1164,2,20))&lt;100000000,VALUE(MID($E1164,2,20)),1000000000),1000000000))+ROW()/100000,"")</f>
        <v/>
      </c>
    </row>
    <row r="1165">
      <c r="G1165" s="14" t="n"/>
      <c r="Q1165" s="7">
        <f>IF($E1165="","",P1165*Z1165/100)</f>
        <v/>
      </c>
      <c r="R1165" s="7" t="n"/>
      <c r="Y1165" s="7" t="n"/>
      <c r="Z1165" s="7" t="n"/>
      <c r="AA1165" s="7" t="n"/>
      <c r="AD1165">
        <f>IF($E1165="","",IF($AT1165=1,Settings!$C$8,IF($AS1165=1,Settings!$C$6,Settings!$C$7))*100)</f>
        <v/>
      </c>
      <c r="AE1165" s="7">
        <f>IF($E1165="","",Z1165*AD1165/100)</f>
        <v/>
      </c>
      <c r="AF1165" s="7">
        <f>IF($E1165="","",Z1165-AE1165)</f>
        <v/>
      </c>
      <c r="AG1165" s="7">
        <f>IF($E1165="","",AF1165-Q1165)</f>
        <v/>
      </c>
      <c r="AK1165" s="7" t="n"/>
      <c r="AN1165" s="14" t="n"/>
      <c r="AQ1165">
        <f>IF($E1165="","",IF(COUNTIF($E$2:$E1165,$E1165)=1,1,0))</f>
        <v/>
      </c>
      <c r="AR1165">
        <f>IF($AQ1165=1,SUMPRODUCT(--($AU$2:$AU$1501&lt;$AU1165))+1,"")</f>
        <v/>
      </c>
      <c r="AS1165">
        <f>IF($E1165="","",IF(OR($U1165=TRUE(),$U1165="TRUE"),1,0))</f>
        <v/>
      </c>
      <c r="AT1165">
        <f>IF($E1165="","",IF($AC1165="Yes",1,0))</f>
        <v/>
      </c>
      <c r="AU1165">
        <f>IF($AQ1165=1,IFERROR(IF(VALUE($E1165)&lt;100000000,VALUE($E1165),1000000000),IFERROR(IF(VALUE(MID($E1165,2,20))&lt;100000000,VALUE(MID($E1165,2,20)),1000000000),1000000000))+ROW()/100000,"")</f>
        <v/>
      </c>
    </row>
    <row r="1166">
      <c r="G1166" s="14" t="n"/>
      <c r="Q1166" s="7">
        <f>IF($E1166="","",P1166*Z1166/100)</f>
        <v/>
      </c>
      <c r="R1166" s="7" t="n"/>
      <c r="Y1166" s="7" t="n"/>
      <c r="Z1166" s="7" t="n"/>
      <c r="AA1166" s="7" t="n"/>
      <c r="AD1166">
        <f>IF($E1166="","",IF($AT1166=1,Settings!$C$8,IF($AS1166=1,Settings!$C$6,Settings!$C$7))*100)</f>
        <v/>
      </c>
      <c r="AE1166" s="7">
        <f>IF($E1166="","",Z1166*AD1166/100)</f>
        <v/>
      </c>
      <c r="AF1166" s="7">
        <f>IF($E1166="","",Z1166-AE1166)</f>
        <v/>
      </c>
      <c r="AG1166" s="7">
        <f>IF($E1166="","",AF1166-Q1166)</f>
        <v/>
      </c>
      <c r="AK1166" s="7" t="n"/>
      <c r="AN1166" s="14" t="n"/>
      <c r="AQ1166">
        <f>IF($E1166="","",IF(COUNTIF($E$2:$E1166,$E1166)=1,1,0))</f>
        <v/>
      </c>
      <c r="AR1166">
        <f>IF($AQ1166=1,SUMPRODUCT(--($AU$2:$AU$1501&lt;$AU1166))+1,"")</f>
        <v/>
      </c>
      <c r="AS1166">
        <f>IF($E1166="","",IF(OR($U1166=TRUE(),$U1166="TRUE"),1,0))</f>
        <v/>
      </c>
      <c r="AT1166">
        <f>IF($E1166="","",IF($AC1166="Yes",1,0))</f>
        <v/>
      </c>
      <c r="AU1166">
        <f>IF($AQ1166=1,IFERROR(IF(VALUE($E1166)&lt;100000000,VALUE($E1166),1000000000),IFERROR(IF(VALUE(MID($E1166,2,20))&lt;100000000,VALUE(MID($E1166,2,20)),1000000000),1000000000))+ROW()/100000,"")</f>
        <v/>
      </c>
    </row>
    <row r="1167">
      <c r="G1167" s="14" t="n"/>
      <c r="Q1167" s="7">
        <f>IF($E1167="","",P1167*Z1167/100)</f>
        <v/>
      </c>
      <c r="R1167" s="7" t="n"/>
      <c r="Y1167" s="7" t="n"/>
      <c r="Z1167" s="7" t="n"/>
      <c r="AA1167" s="7" t="n"/>
      <c r="AD1167">
        <f>IF($E1167="","",IF($AT1167=1,Settings!$C$8,IF($AS1167=1,Settings!$C$6,Settings!$C$7))*100)</f>
        <v/>
      </c>
      <c r="AE1167" s="7">
        <f>IF($E1167="","",Z1167*AD1167/100)</f>
        <v/>
      </c>
      <c r="AF1167" s="7">
        <f>IF($E1167="","",Z1167-AE1167)</f>
        <v/>
      </c>
      <c r="AG1167" s="7">
        <f>IF($E1167="","",AF1167-Q1167)</f>
        <v/>
      </c>
      <c r="AK1167" s="7" t="n"/>
      <c r="AN1167" s="14" t="n"/>
      <c r="AQ1167">
        <f>IF($E1167="","",IF(COUNTIF($E$2:$E1167,$E1167)=1,1,0))</f>
        <v/>
      </c>
      <c r="AR1167">
        <f>IF($AQ1167=1,SUMPRODUCT(--($AU$2:$AU$1501&lt;$AU1167))+1,"")</f>
        <v/>
      </c>
      <c r="AS1167">
        <f>IF($E1167="","",IF(OR($U1167=TRUE(),$U1167="TRUE"),1,0))</f>
        <v/>
      </c>
      <c r="AT1167">
        <f>IF($E1167="","",IF($AC1167="Yes",1,0))</f>
        <v/>
      </c>
      <c r="AU1167">
        <f>IF($AQ1167=1,IFERROR(IF(VALUE($E1167)&lt;100000000,VALUE($E1167),1000000000),IFERROR(IF(VALUE(MID($E1167,2,20))&lt;100000000,VALUE(MID($E1167,2,20)),1000000000),1000000000))+ROW()/100000,"")</f>
        <v/>
      </c>
    </row>
    <row r="1168">
      <c r="G1168" s="14" t="n"/>
      <c r="Q1168" s="7">
        <f>IF($E1168="","",P1168*Z1168/100)</f>
        <v/>
      </c>
      <c r="R1168" s="7" t="n"/>
      <c r="Y1168" s="7" t="n"/>
      <c r="Z1168" s="7" t="n"/>
      <c r="AA1168" s="7" t="n"/>
      <c r="AD1168">
        <f>IF($E1168="","",IF($AT1168=1,Settings!$C$8,IF($AS1168=1,Settings!$C$6,Settings!$C$7))*100)</f>
        <v/>
      </c>
      <c r="AE1168" s="7">
        <f>IF($E1168="","",Z1168*AD1168/100)</f>
        <v/>
      </c>
      <c r="AF1168" s="7">
        <f>IF($E1168="","",Z1168-AE1168)</f>
        <v/>
      </c>
      <c r="AG1168" s="7">
        <f>IF($E1168="","",AF1168-Q1168)</f>
        <v/>
      </c>
      <c r="AK1168" s="7" t="n"/>
      <c r="AN1168" s="14" t="n"/>
      <c r="AQ1168">
        <f>IF($E1168="","",IF(COUNTIF($E$2:$E1168,$E1168)=1,1,0))</f>
        <v/>
      </c>
      <c r="AR1168">
        <f>IF($AQ1168=1,SUMPRODUCT(--($AU$2:$AU$1501&lt;$AU1168))+1,"")</f>
        <v/>
      </c>
      <c r="AS1168">
        <f>IF($E1168="","",IF(OR($U1168=TRUE(),$U1168="TRUE"),1,0))</f>
        <v/>
      </c>
      <c r="AT1168">
        <f>IF($E1168="","",IF($AC1168="Yes",1,0))</f>
        <v/>
      </c>
      <c r="AU1168">
        <f>IF($AQ1168=1,IFERROR(IF(VALUE($E1168)&lt;100000000,VALUE($E1168),1000000000),IFERROR(IF(VALUE(MID($E1168,2,20))&lt;100000000,VALUE(MID($E1168,2,20)),1000000000),1000000000))+ROW()/100000,"")</f>
        <v/>
      </c>
    </row>
    <row r="1169">
      <c r="G1169" s="14" t="n"/>
      <c r="Q1169" s="7">
        <f>IF($E1169="","",P1169*Z1169/100)</f>
        <v/>
      </c>
      <c r="R1169" s="7" t="n"/>
      <c r="Y1169" s="7" t="n"/>
      <c r="Z1169" s="7" t="n"/>
      <c r="AA1169" s="7" t="n"/>
      <c r="AD1169">
        <f>IF($E1169="","",IF($AT1169=1,Settings!$C$8,IF($AS1169=1,Settings!$C$6,Settings!$C$7))*100)</f>
        <v/>
      </c>
      <c r="AE1169" s="7">
        <f>IF($E1169="","",Z1169*AD1169/100)</f>
        <v/>
      </c>
      <c r="AF1169" s="7">
        <f>IF($E1169="","",Z1169-AE1169)</f>
        <v/>
      </c>
      <c r="AG1169" s="7">
        <f>IF($E1169="","",AF1169-Q1169)</f>
        <v/>
      </c>
      <c r="AK1169" s="7" t="n"/>
      <c r="AN1169" s="14" t="n"/>
      <c r="AQ1169">
        <f>IF($E1169="","",IF(COUNTIF($E$2:$E1169,$E1169)=1,1,0))</f>
        <v/>
      </c>
      <c r="AR1169">
        <f>IF($AQ1169=1,SUMPRODUCT(--($AU$2:$AU$1501&lt;$AU1169))+1,"")</f>
        <v/>
      </c>
      <c r="AS1169">
        <f>IF($E1169="","",IF(OR($U1169=TRUE(),$U1169="TRUE"),1,0))</f>
        <v/>
      </c>
      <c r="AT1169">
        <f>IF($E1169="","",IF($AC1169="Yes",1,0))</f>
        <v/>
      </c>
      <c r="AU1169">
        <f>IF($AQ1169=1,IFERROR(IF(VALUE($E1169)&lt;100000000,VALUE($E1169),1000000000),IFERROR(IF(VALUE(MID($E1169,2,20))&lt;100000000,VALUE(MID($E1169,2,20)),1000000000),1000000000))+ROW()/100000,"")</f>
        <v/>
      </c>
    </row>
    <row r="1170">
      <c r="G1170" s="14" t="n"/>
      <c r="Q1170" s="7">
        <f>IF($E1170="","",P1170*Z1170/100)</f>
        <v/>
      </c>
      <c r="R1170" s="7" t="n"/>
      <c r="Y1170" s="7" t="n"/>
      <c r="Z1170" s="7" t="n"/>
      <c r="AA1170" s="7" t="n"/>
      <c r="AD1170">
        <f>IF($E1170="","",IF($AT1170=1,Settings!$C$8,IF($AS1170=1,Settings!$C$6,Settings!$C$7))*100)</f>
        <v/>
      </c>
      <c r="AE1170" s="7">
        <f>IF($E1170="","",Z1170*AD1170/100)</f>
        <v/>
      </c>
      <c r="AF1170" s="7">
        <f>IF($E1170="","",Z1170-AE1170)</f>
        <v/>
      </c>
      <c r="AG1170" s="7">
        <f>IF($E1170="","",AF1170-Q1170)</f>
        <v/>
      </c>
      <c r="AK1170" s="7" t="n"/>
      <c r="AN1170" s="14" t="n"/>
      <c r="AQ1170">
        <f>IF($E1170="","",IF(COUNTIF($E$2:$E1170,$E1170)=1,1,0))</f>
        <v/>
      </c>
      <c r="AR1170">
        <f>IF($AQ1170=1,SUMPRODUCT(--($AU$2:$AU$1501&lt;$AU1170))+1,"")</f>
        <v/>
      </c>
      <c r="AS1170">
        <f>IF($E1170="","",IF(OR($U1170=TRUE(),$U1170="TRUE"),1,0))</f>
        <v/>
      </c>
      <c r="AT1170">
        <f>IF($E1170="","",IF($AC1170="Yes",1,0))</f>
        <v/>
      </c>
      <c r="AU1170">
        <f>IF($AQ1170=1,IFERROR(IF(VALUE($E1170)&lt;100000000,VALUE($E1170),1000000000),IFERROR(IF(VALUE(MID($E1170,2,20))&lt;100000000,VALUE(MID($E1170,2,20)),1000000000),1000000000))+ROW()/100000,"")</f>
        <v/>
      </c>
    </row>
    <row r="1171">
      <c r="G1171" s="14" t="n"/>
      <c r="Q1171" s="7">
        <f>IF($E1171="","",P1171*Z1171/100)</f>
        <v/>
      </c>
      <c r="R1171" s="7" t="n"/>
      <c r="Y1171" s="7" t="n"/>
      <c r="Z1171" s="7" t="n"/>
      <c r="AA1171" s="7" t="n"/>
      <c r="AD1171">
        <f>IF($E1171="","",IF($AT1171=1,Settings!$C$8,IF($AS1171=1,Settings!$C$6,Settings!$C$7))*100)</f>
        <v/>
      </c>
      <c r="AE1171" s="7">
        <f>IF($E1171="","",Z1171*AD1171/100)</f>
        <v/>
      </c>
      <c r="AF1171" s="7">
        <f>IF($E1171="","",Z1171-AE1171)</f>
        <v/>
      </c>
      <c r="AG1171" s="7">
        <f>IF($E1171="","",AF1171-Q1171)</f>
        <v/>
      </c>
      <c r="AK1171" s="7" t="n"/>
      <c r="AN1171" s="14" t="n"/>
      <c r="AQ1171">
        <f>IF($E1171="","",IF(COUNTIF($E$2:$E1171,$E1171)=1,1,0))</f>
        <v/>
      </c>
      <c r="AR1171">
        <f>IF($AQ1171=1,SUMPRODUCT(--($AU$2:$AU$1501&lt;$AU1171))+1,"")</f>
        <v/>
      </c>
      <c r="AS1171">
        <f>IF($E1171="","",IF(OR($U1171=TRUE(),$U1171="TRUE"),1,0))</f>
        <v/>
      </c>
      <c r="AT1171">
        <f>IF($E1171="","",IF($AC1171="Yes",1,0))</f>
        <v/>
      </c>
      <c r="AU1171">
        <f>IF($AQ1171=1,IFERROR(IF(VALUE($E1171)&lt;100000000,VALUE($E1171),1000000000),IFERROR(IF(VALUE(MID($E1171,2,20))&lt;100000000,VALUE(MID($E1171,2,20)),1000000000),1000000000))+ROW()/100000,"")</f>
        <v/>
      </c>
    </row>
    <row r="1172">
      <c r="G1172" s="14" t="n"/>
      <c r="Q1172" s="7">
        <f>IF($E1172="","",P1172*Z1172/100)</f>
        <v/>
      </c>
      <c r="R1172" s="7" t="n"/>
      <c r="Y1172" s="7" t="n"/>
      <c r="Z1172" s="7" t="n"/>
      <c r="AA1172" s="7" t="n"/>
      <c r="AD1172">
        <f>IF($E1172="","",IF($AT1172=1,Settings!$C$8,IF($AS1172=1,Settings!$C$6,Settings!$C$7))*100)</f>
        <v/>
      </c>
      <c r="AE1172" s="7">
        <f>IF($E1172="","",Z1172*AD1172/100)</f>
        <v/>
      </c>
      <c r="AF1172" s="7">
        <f>IF($E1172="","",Z1172-AE1172)</f>
        <v/>
      </c>
      <c r="AG1172" s="7">
        <f>IF($E1172="","",AF1172-Q1172)</f>
        <v/>
      </c>
      <c r="AK1172" s="7" t="n"/>
      <c r="AN1172" s="14" t="n"/>
      <c r="AQ1172">
        <f>IF($E1172="","",IF(COUNTIF($E$2:$E1172,$E1172)=1,1,0))</f>
        <v/>
      </c>
      <c r="AR1172">
        <f>IF($AQ1172=1,SUMPRODUCT(--($AU$2:$AU$1501&lt;$AU1172))+1,"")</f>
        <v/>
      </c>
      <c r="AS1172">
        <f>IF($E1172="","",IF(OR($U1172=TRUE(),$U1172="TRUE"),1,0))</f>
        <v/>
      </c>
      <c r="AT1172">
        <f>IF($E1172="","",IF($AC1172="Yes",1,0))</f>
        <v/>
      </c>
      <c r="AU1172">
        <f>IF($AQ1172=1,IFERROR(IF(VALUE($E1172)&lt;100000000,VALUE($E1172),1000000000),IFERROR(IF(VALUE(MID($E1172,2,20))&lt;100000000,VALUE(MID($E1172,2,20)),1000000000),1000000000))+ROW()/100000,"")</f>
        <v/>
      </c>
    </row>
    <row r="1173">
      <c r="G1173" s="14" t="n"/>
      <c r="Q1173" s="7">
        <f>IF($E1173="","",P1173*Z1173/100)</f>
        <v/>
      </c>
      <c r="R1173" s="7" t="n"/>
      <c r="Y1173" s="7" t="n"/>
      <c r="Z1173" s="7" t="n"/>
      <c r="AA1173" s="7" t="n"/>
      <c r="AD1173">
        <f>IF($E1173="","",IF($AT1173=1,Settings!$C$8,IF($AS1173=1,Settings!$C$6,Settings!$C$7))*100)</f>
        <v/>
      </c>
      <c r="AE1173" s="7">
        <f>IF($E1173="","",Z1173*AD1173/100)</f>
        <v/>
      </c>
      <c r="AF1173" s="7">
        <f>IF($E1173="","",Z1173-AE1173)</f>
        <v/>
      </c>
      <c r="AG1173" s="7">
        <f>IF($E1173="","",AF1173-Q1173)</f>
        <v/>
      </c>
      <c r="AK1173" s="7" t="n"/>
      <c r="AN1173" s="14" t="n"/>
      <c r="AQ1173">
        <f>IF($E1173="","",IF(COUNTIF($E$2:$E1173,$E1173)=1,1,0))</f>
        <v/>
      </c>
      <c r="AR1173">
        <f>IF($AQ1173=1,SUMPRODUCT(--($AU$2:$AU$1501&lt;$AU1173))+1,"")</f>
        <v/>
      </c>
      <c r="AS1173">
        <f>IF($E1173="","",IF(OR($U1173=TRUE(),$U1173="TRUE"),1,0))</f>
        <v/>
      </c>
      <c r="AT1173">
        <f>IF($E1173="","",IF($AC1173="Yes",1,0))</f>
        <v/>
      </c>
      <c r="AU1173">
        <f>IF($AQ1173=1,IFERROR(IF(VALUE($E1173)&lt;100000000,VALUE($E1173),1000000000),IFERROR(IF(VALUE(MID($E1173,2,20))&lt;100000000,VALUE(MID($E1173,2,20)),1000000000),1000000000))+ROW()/100000,"")</f>
        <v/>
      </c>
    </row>
    <row r="1174">
      <c r="G1174" s="14" t="n"/>
      <c r="Q1174" s="7">
        <f>IF($E1174="","",P1174*Z1174/100)</f>
        <v/>
      </c>
      <c r="R1174" s="7" t="n"/>
      <c r="Y1174" s="7" t="n"/>
      <c r="Z1174" s="7" t="n"/>
      <c r="AA1174" s="7" t="n"/>
      <c r="AD1174">
        <f>IF($E1174="","",IF($AT1174=1,Settings!$C$8,IF($AS1174=1,Settings!$C$6,Settings!$C$7))*100)</f>
        <v/>
      </c>
      <c r="AE1174" s="7">
        <f>IF($E1174="","",Z1174*AD1174/100)</f>
        <v/>
      </c>
      <c r="AF1174" s="7">
        <f>IF($E1174="","",Z1174-AE1174)</f>
        <v/>
      </c>
      <c r="AG1174" s="7">
        <f>IF($E1174="","",AF1174-Q1174)</f>
        <v/>
      </c>
      <c r="AK1174" s="7" t="n"/>
      <c r="AN1174" s="14" t="n"/>
      <c r="AQ1174">
        <f>IF($E1174="","",IF(COUNTIF($E$2:$E1174,$E1174)=1,1,0))</f>
        <v/>
      </c>
      <c r="AR1174">
        <f>IF($AQ1174=1,SUMPRODUCT(--($AU$2:$AU$1501&lt;$AU1174))+1,"")</f>
        <v/>
      </c>
      <c r="AS1174">
        <f>IF($E1174="","",IF(OR($U1174=TRUE(),$U1174="TRUE"),1,0))</f>
        <v/>
      </c>
      <c r="AT1174">
        <f>IF($E1174="","",IF($AC1174="Yes",1,0))</f>
        <v/>
      </c>
      <c r="AU1174">
        <f>IF($AQ1174=1,IFERROR(IF(VALUE($E1174)&lt;100000000,VALUE($E1174),1000000000),IFERROR(IF(VALUE(MID($E1174,2,20))&lt;100000000,VALUE(MID($E1174,2,20)),1000000000),1000000000))+ROW()/100000,"")</f>
        <v/>
      </c>
    </row>
    <row r="1175">
      <c r="G1175" s="14" t="n"/>
      <c r="Q1175" s="7">
        <f>IF($E1175="","",P1175*Z1175/100)</f>
        <v/>
      </c>
      <c r="R1175" s="7" t="n"/>
      <c r="Y1175" s="7" t="n"/>
      <c r="Z1175" s="7" t="n"/>
      <c r="AA1175" s="7" t="n"/>
      <c r="AD1175">
        <f>IF($E1175="","",IF($AT1175=1,Settings!$C$8,IF($AS1175=1,Settings!$C$6,Settings!$C$7))*100)</f>
        <v/>
      </c>
      <c r="AE1175" s="7">
        <f>IF($E1175="","",Z1175*AD1175/100)</f>
        <v/>
      </c>
      <c r="AF1175" s="7">
        <f>IF($E1175="","",Z1175-AE1175)</f>
        <v/>
      </c>
      <c r="AG1175" s="7">
        <f>IF($E1175="","",AF1175-Q1175)</f>
        <v/>
      </c>
      <c r="AK1175" s="7" t="n"/>
      <c r="AN1175" s="14" t="n"/>
      <c r="AQ1175">
        <f>IF($E1175="","",IF(COUNTIF($E$2:$E1175,$E1175)=1,1,0))</f>
        <v/>
      </c>
      <c r="AR1175">
        <f>IF($AQ1175=1,SUMPRODUCT(--($AU$2:$AU$1501&lt;$AU1175))+1,"")</f>
        <v/>
      </c>
      <c r="AS1175">
        <f>IF($E1175="","",IF(OR($U1175=TRUE(),$U1175="TRUE"),1,0))</f>
        <v/>
      </c>
      <c r="AT1175">
        <f>IF($E1175="","",IF($AC1175="Yes",1,0))</f>
        <v/>
      </c>
      <c r="AU1175">
        <f>IF($AQ1175=1,IFERROR(IF(VALUE($E1175)&lt;100000000,VALUE($E1175),1000000000),IFERROR(IF(VALUE(MID($E1175,2,20))&lt;100000000,VALUE(MID($E1175,2,20)),1000000000),1000000000))+ROW()/100000,"")</f>
        <v/>
      </c>
    </row>
    <row r="1176">
      <c r="G1176" s="14" t="n"/>
      <c r="Q1176" s="7">
        <f>IF($E1176="","",P1176*Z1176/100)</f>
        <v/>
      </c>
      <c r="R1176" s="7" t="n"/>
      <c r="Y1176" s="7" t="n"/>
      <c r="Z1176" s="7" t="n"/>
      <c r="AA1176" s="7" t="n"/>
      <c r="AD1176">
        <f>IF($E1176="","",IF($AT1176=1,Settings!$C$8,IF($AS1176=1,Settings!$C$6,Settings!$C$7))*100)</f>
        <v/>
      </c>
      <c r="AE1176" s="7">
        <f>IF($E1176="","",Z1176*AD1176/100)</f>
        <v/>
      </c>
      <c r="AF1176" s="7">
        <f>IF($E1176="","",Z1176-AE1176)</f>
        <v/>
      </c>
      <c r="AG1176" s="7">
        <f>IF($E1176="","",AF1176-Q1176)</f>
        <v/>
      </c>
      <c r="AK1176" s="7" t="n"/>
      <c r="AN1176" s="14" t="n"/>
      <c r="AQ1176">
        <f>IF($E1176="","",IF(COUNTIF($E$2:$E1176,$E1176)=1,1,0))</f>
        <v/>
      </c>
      <c r="AR1176">
        <f>IF($AQ1176=1,SUMPRODUCT(--($AU$2:$AU$1501&lt;$AU1176))+1,"")</f>
        <v/>
      </c>
      <c r="AS1176">
        <f>IF($E1176="","",IF(OR($U1176=TRUE(),$U1176="TRUE"),1,0))</f>
        <v/>
      </c>
      <c r="AT1176">
        <f>IF($E1176="","",IF($AC1176="Yes",1,0))</f>
        <v/>
      </c>
      <c r="AU1176">
        <f>IF($AQ1176=1,IFERROR(IF(VALUE($E1176)&lt;100000000,VALUE($E1176),1000000000),IFERROR(IF(VALUE(MID($E1176,2,20))&lt;100000000,VALUE(MID($E1176,2,20)),1000000000),1000000000))+ROW()/100000,"")</f>
        <v/>
      </c>
    </row>
    <row r="1177">
      <c r="G1177" s="14" t="n"/>
      <c r="Q1177" s="7">
        <f>IF($E1177="","",P1177*Z1177/100)</f>
        <v/>
      </c>
      <c r="R1177" s="7" t="n"/>
      <c r="Y1177" s="7" t="n"/>
      <c r="Z1177" s="7" t="n"/>
      <c r="AA1177" s="7" t="n"/>
      <c r="AD1177">
        <f>IF($E1177="","",IF($AT1177=1,Settings!$C$8,IF($AS1177=1,Settings!$C$6,Settings!$C$7))*100)</f>
        <v/>
      </c>
      <c r="AE1177" s="7">
        <f>IF($E1177="","",Z1177*AD1177/100)</f>
        <v/>
      </c>
      <c r="AF1177" s="7">
        <f>IF($E1177="","",Z1177-AE1177)</f>
        <v/>
      </c>
      <c r="AG1177" s="7">
        <f>IF($E1177="","",AF1177-Q1177)</f>
        <v/>
      </c>
      <c r="AK1177" s="7" t="n"/>
      <c r="AN1177" s="14" t="n"/>
      <c r="AQ1177">
        <f>IF($E1177="","",IF(COUNTIF($E$2:$E1177,$E1177)=1,1,0))</f>
        <v/>
      </c>
      <c r="AR1177">
        <f>IF($AQ1177=1,SUMPRODUCT(--($AU$2:$AU$1501&lt;$AU1177))+1,"")</f>
        <v/>
      </c>
      <c r="AS1177">
        <f>IF($E1177="","",IF(OR($U1177=TRUE(),$U1177="TRUE"),1,0))</f>
        <v/>
      </c>
      <c r="AT1177">
        <f>IF($E1177="","",IF($AC1177="Yes",1,0))</f>
        <v/>
      </c>
      <c r="AU1177">
        <f>IF($AQ1177=1,IFERROR(IF(VALUE($E1177)&lt;100000000,VALUE($E1177),1000000000),IFERROR(IF(VALUE(MID($E1177,2,20))&lt;100000000,VALUE(MID($E1177,2,20)),1000000000),1000000000))+ROW()/100000,"")</f>
        <v/>
      </c>
    </row>
    <row r="1178">
      <c r="G1178" s="14" t="n"/>
      <c r="Q1178" s="7">
        <f>IF($E1178="","",P1178*Z1178/100)</f>
        <v/>
      </c>
      <c r="R1178" s="7" t="n"/>
      <c r="Y1178" s="7" t="n"/>
      <c r="Z1178" s="7" t="n"/>
      <c r="AA1178" s="7" t="n"/>
      <c r="AD1178">
        <f>IF($E1178="","",IF($AT1178=1,Settings!$C$8,IF($AS1178=1,Settings!$C$6,Settings!$C$7))*100)</f>
        <v/>
      </c>
      <c r="AE1178" s="7">
        <f>IF($E1178="","",Z1178*AD1178/100)</f>
        <v/>
      </c>
      <c r="AF1178" s="7">
        <f>IF($E1178="","",Z1178-AE1178)</f>
        <v/>
      </c>
      <c r="AG1178" s="7">
        <f>IF($E1178="","",AF1178-Q1178)</f>
        <v/>
      </c>
      <c r="AK1178" s="7" t="n"/>
      <c r="AN1178" s="14" t="n"/>
      <c r="AQ1178">
        <f>IF($E1178="","",IF(COUNTIF($E$2:$E1178,$E1178)=1,1,0))</f>
        <v/>
      </c>
      <c r="AR1178">
        <f>IF($AQ1178=1,SUMPRODUCT(--($AU$2:$AU$1501&lt;$AU1178))+1,"")</f>
        <v/>
      </c>
      <c r="AS1178">
        <f>IF($E1178="","",IF(OR($U1178=TRUE(),$U1178="TRUE"),1,0))</f>
        <v/>
      </c>
      <c r="AT1178">
        <f>IF($E1178="","",IF($AC1178="Yes",1,0))</f>
        <v/>
      </c>
      <c r="AU1178">
        <f>IF($AQ1178=1,IFERROR(IF(VALUE($E1178)&lt;100000000,VALUE($E1178),1000000000),IFERROR(IF(VALUE(MID($E1178,2,20))&lt;100000000,VALUE(MID($E1178,2,20)),1000000000),1000000000))+ROW()/100000,"")</f>
        <v/>
      </c>
    </row>
    <row r="1179">
      <c r="G1179" s="14" t="n"/>
      <c r="Q1179" s="7">
        <f>IF($E1179="","",P1179*Z1179/100)</f>
        <v/>
      </c>
      <c r="R1179" s="7" t="n"/>
      <c r="Y1179" s="7" t="n"/>
      <c r="Z1179" s="7" t="n"/>
      <c r="AA1179" s="7" t="n"/>
      <c r="AD1179">
        <f>IF($E1179="","",IF($AT1179=1,Settings!$C$8,IF($AS1179=1,Settings!$C$6,Settings!$C$7))*100)</f>
        <v/>
      </c>
      <c r="AE1179" s="7">
        <f>IF($E1179="","",Z1179*AD1179/100)</f>
        <v/>
      </c>
      <c r="AF1179" s="7">
        <f>IF($E1179="","",Z1179-AE1179)</f>
        <v/>
      </c>
      <c r="AG1179" s="7">
        <f>IF($E1179="","",AF1179-Q1179)</f>
        <v/>
      </c>
      <c r="AK1179" s="7" t="n"/>
      <c r="AN1179" s="14" t="n"/>
      <c r="AQ1179">
        <f>IF($E1179="","",IF(COUNTIF($E$2:$E1179,$E1179)=1,1,0))</f>
        <v/>
      </c>
      <c r="AR1179">
        <f>IF($AQ1179=1,SUMPRODUCT(--($AU$2:$AU$1501&lt;$AU1179))+1,"")</f>
        <v/>
      </c>
      <c r="AS1179">
        <f>IF($E1179="","",IF(OR($U1179=TRUE(),$U1179="TRUE"),1,0))</f>
        <v/>
      </c>
      <c r="AT1179">
        <f>IF($E1179="","",IF($AC1179="Yes",1,0))</f>
        <v/>
      </c>
      <c r="AU1179">
        <f>IF($AQ1179=1,IFERROR(IF(VALUE($E1179)&lt;100000000,VALUE($E1179),1000000000),IFERROR(IF(VALUE(MID($E1179,2,20))&lt;100000000,VALUE(MID($E1179,2,20)),1000000000),1000000000))+ROW()/100000,"")</f>
        <v/>
      </c>
    </row>
    <row r="1180">
      <c r="G1180" s="14" t="n"/>
      <c r="Q1180" s="7">
        <f>IF($E1180="","",P1180*Z1180/100)</f>
        <v/>
      </c>
      <c r="R1180" s="7" t="n"/>
      <c r="Y1180" s="7" t="n"/>
      <c r="Z1180" s="7" t="n"/>
      <c r="AA1180" s="7" t="n"/>
      <c r="AD1180">
        <f>IF($E1180="","",IF($AT1180=1,Settings!$C$8,IF($AS1180=1,Settings!$C$6,Settings!$C$7))*100)</f>
        <v/>
      </c>
      <c r="AE1180" s="7">
        <f>IF($E1180="","",Z1180*AD1180/100)</f>
        <v/>
      </c>
      <c r="AF1180" s="7">
        <f>IF($E1180="","",Z1180-AE1180)</f>
        <v/>
      </c>
      <c r="AG1180" s="7">
        <f>IF($E1180="","",AF1180-Q1180)</f>
        <v/>
      </c>
      <c r="AK1180" s="7" t="n"/>
      <c r="AN1180" s="14" t="n"/>
      <c r="AQ1180">
        <f>IF($E1180="","",IF(COUNTIF($E$2:$E1180,$E1180)=1,1,0))</f>
        <v/>
      </c>
      <c r="AR1180">
        <f>IF($AQ1180=1,SUMPRODUCT(--($AU$2:$AU$1501&lt;$AU1180))+1,"")</f>
        <v/>
      </c>
      <c r="AS1180">
        <f>IF($E1180="","",IF(OR($U1180=TRUE(),$U1180="TRUE"),1,0))</f>
        <v/>
      </c>
      <c r="AT1180">
        <f>IF($E1180="","",IF($AC1180="Yes",1,0))</f>
        <v/>
      </c>
      <c r="AU1180">
        <f>IF($AQ1180=1,IFERROR(IF(VALUE($E1180)&lt;100000000,VALUE($E1180),1000000000),IFERROR(IF(VALUE(MID($E1180,2,20))&lt;100000000,VALUE(MID($E1180,2,20)),1000000000),1000000000))+ROW()/100000,"")</f>
        <v/>
      </c>
    </row>
    <row r="1181">
      <c r="G1181" s="14" t="n"/>
      <c r="Q1181" s="7">
        <f>IF($E1181="","",P1181*Z1181/100)</f>
        <v/>
      </c>
      <c r="R1181" s="7" t="n"/>
      <c r="Y1181" s="7" t="n"/>
      <c r="Z1181" s="7" t="n"/>
      <c r="AA1181" s="7" t="n"/>
      <c r="AD1181">
        <f>IF($E1181="","",IF($AT1181=1,Settings!$C$8,IF($AS1181=1,Settings!$C$6,Settings!$C$7))*100)</f>
        <v/>
      </c>
      <c r="AE1181" s="7">
        <f>IF($E1181="","",Z1181*AD1181/100)</f>
        <v/>
      </c>
      <c r="AF1181" s="7">
        <f>IF($E1181="","",Z1181-AE1181)</f>
        <v/>
      </c>
      <c r="AG1181" s="7">
        <f>IF($E1181="","",AF1181-Q1181)</f>
        <v/>
      </c>
      <c r="AK1181" s="7" t="n"/>
      <c r="AN1181" s="14" t="n"/>
      <c r="AQ1181">
        <f>IF($E1181="","",IF(COUNTIF($E$2:$E1181,$E1181)=1,1,0))</f>
        <v/>
      </c>
      <c r="AR1181">
        <f>IF($AQ1181=1,SUMPRODUCT(--($AU$2:$AU$1501&lt;$AU1181))+1,"")</f>
        <v/>
      </c>
      <c r="AS1181">
        <f>IF($E1181="","",IF(OR($U1181=TRUE(),$U1181="TRUE"),1,0))</f>
        <v/>
      </c>
      <c r="AT1181">
        <f>IF($E1181="","",IF($AC1181="Yes",1,0))</f>
        <v/>
      </c>
      <c r="AU1181">
        <f>IF($AQ1181=1,IFERROR(IF(VALUE($E1181)&lt;100000000,VALUE($E1181),1000000000),IFERROR(IF(VALUE(MID($E1181,2,20))&lt;100000000,VALUE(MID($E1181,2,20)),1000000000),1000000000))+ROW()/100000,"")</f>
        <v/>
      </c>
    </row>
    <row r="1182">
      <c r="G1182" s="14" t="n"/>
      <c r="Q1182" s="7">
        <f>IF($E1182="","",P1182*Z1182/100)</f>
        <v/>
      </c>
      <c r="R1182" s="7" t="n"/>
      <c r="Y1182" s="7" t="n"/>
      <c r="Z1182" s="7" t="n"/>
      <c r="AA1182" s="7" t="n"/>
      <c r="AD1182">
        <f>IF($E1182="","",IF($AT1182=1,Settings!$C$8,IF($AS1182=1,Settings!$C$6,Settings!$C$7))*100)</f>
        <v/>
      </c>
      <c r="AE1182" s="7">
        <f>IF($E1182="","",Z1182*AD1182/100)</f>
        <v/>
      </c>
      <c r="AF1182" s="7">
        <f>IF($E1182="","",Z1182-AE1182)</f>
        <v/>
      </c>
      <c r="AG1182" s="7">
        <f>IF($E1182="","",AF1182-Q1182)</f>
        <v/>
      </c>
      <c r="AK1182" s="7" t="n"/>
      <c r="AN1182" s="14" t="n"/>
      <c r="AQ1182">
        <f>IF($E1182="","",IF(COUNTIF($E$2:$E1182,$E1182)=1,1,0))</f>
        <v/>
      </c>
      <c r="AR1182">
        <f>IF($AQ1182=1,SUMPRODUCT(--($AU$2:$AU$1501&lt;$AU1182))+1,"")</f>
        <v/>
      </c>
      <c r="AS1182">
        <f>IF($E1182="","",IF(OR($U1182=TRUE(),$U1182="TRUE"),1,0))</f>
        <v/>
      </c>
      <c r="AT1182">
        <f>IF($E1182="","",IF($AC1182="Yes",1,0))</f>
        <v/>
      </c>
      <c r="AU1182">
        <f>IF($AQ1182=1,IFERROR(IF(VALUE($E1182)&lt;100000000,VALUE($E1182),1000000000),IFERROR(IF(VALUE(MID($E1182,2,20))&lt;100000000,VALUE(MID($E1182,2,20)),1000000000),1000000000))+ROW()/100000,"")</f>
        <v/>
      </c>
    </row>
    <row r="1183">
      <c r="G1183" s="14" t="n"/>
      <c r="Q1183" s="7">
        <f>IF($E1183="","",P1183*Z1183/100)</f>
        <v/>
      </c>
      <c r="R1183" s="7" t="n"/>
      <c r="Y1183" s="7" t="n"/>
      <c r="Z1183" s="7" t="n"/>
      <c r="AA1183" s="7" t="n"/>
      <c r="AD1183">
        <f>IF($E1183="","",IF($AT1183=1,Settings!$C$8,IF($AS1183=1,Settings!$C$6,Settings!$C$7))*100)</f>
        <v/>
      </c>
      <c r="AE1183" s="7">
        <f>IF($E1183="","",Z1183*AD1183/100)</f>
        <v/>
      </c>
      <c r="AF1183" s="7">
        <f>IF($E1183="","",Z1183-AE1183)</f>
        <v/>
      </c>
      <c r="AG1183" s="7">
        <f>IF($E1183="","",AF1183-Q1183)</f>
        <v/>
      </c>
      <c r="AK1183" s="7" t="n"/>
      <c r="AN1183" s="14" t="n"/>
      <c r="AQ1183">
        <f>IF($E1183="","",IF(COUNTIF($E$2:$E1183,$E1183)=1,1,0))</f>
        <v/>
      </c>
      <c r="AR1183">
        <f>IF($AQ1183=1,SUMPRODUCT(--($AU$2:$AU$1501&lt;$AU1183))+1,"")</f>
        <v/>
      </c>
      <c r="AS1183">
        <f>IF($E1183="","",IF(OR($U1183=TRUE(),$U1183="TRUE"),1,0))</f>
        <v/>
      </c>
      <c r="AT1183">
        <f>IF($E1183="","",IF($AC1183="Yes",1,0))</f>
        <v/>
      </c>
      <c r="AU1183">
        <f>IF($AQ1183=1,IFERROR(IF(VALUE($E1183)&lt;100000000,VALUE($E1183),1000000000),IFERROR(IF(VALUE(MID($E1183,2,20))&lt;100000000,VALUE(MID($E1183,2,20)),1000000000),1000000000))+ROW()/100000,"")</f>
        <v/>
      </c>
    </row>
    <row r="1184">
      <c r="G1184" s="14" t="n"/>
      <c r="Q1184" s="7">
        <f>IF($E1184="","",P1184*Z1184/100)</f>
        <v/>
      </c>
      <c r="R1184" s="7" t="n"/>
      <c r="Y1184" s="7" t="n"/>
      <c r="Z1184" s="7" t="n"/>
      <c r="AA1184" s="7" t="n"/>
      <c r="AD1184">
        <f>IF($E1184="","",IF($AT1184=1,Settings!$C$8,IF($AS1184=1,Settings!$C$6,Settings!$C$7))*100)</f>
        <v/>
      </c>
      <c r="AE1184" s="7">
        <f>IF($E1184="","",Z1184*AD1184/100)</f>
        <v/>
      </c>
      <c r="AF1184" s="7">
        <f>IF($E1184="","",Z1184-AE1184)</f>
        <v/>
      </c>
      <c r="AG1184" s="7">
        <f>IF($E1184="","",AF1184-Q1184)</f>
        <v/>
      </c>
      <c r="AK1184" s="7" t="n"/>
      <c r="AN1184" s="14" t="n"/>
      <c r="AQ1184">
        <f>IF($E1184="","",IF(COUNTIF($E$2:$E1184,$E1184)=1,1,0))</f>
        <v/>
      </c>
      <c r="AR1184">
        <f>IF($AQ1184=1,SUMPRODUCT(--($AU$2:$AU$1501&lt;$AU1184))+1,"")</f>
        <v/>
      </c>
      <c r="AS1184">
        <f>IF($E1184="","",IF(OR($U1184=TRUE(),$U1184="TRUE"),1,0))</f>
        <v/>
      </c>
      <c r="AT1184">
        <f>IF($E1184="","",IF($AC1184="Yes",1,0))</f>
        <v/>
      </c>
      <c r="AU1184">
        <f>IF($AQ1184=1,IFERROR(IF(VALUE($E1184)&lt;100000000,VALUE($E1184),1000000000),IFERROR(IF(VALUE(MID($E1184,2,20))&lt;100000000,VALUE(MID($E1184,2,20)),1000000000),1000000000))+ROW()/100000,"")</f>
        <v/>
      </c>
    </row>
    <row r="1185">
      <c r="G1185" s="14" t="n"/>
      <c r="Q1185" s="7">
        <f>IF($E1185="","",P1185*Z1185/100)</f>
        <v/>
      </c>
      <c r="R1185" s="7" t="n"/>
      <c r="Y1185" s="7" t="n"/>
      <c r="Z1185" s="7" t="n"/>
      <c r="AA1185" s="7" t="n"/>
      <c r="AD1185">
        <f>IF($E1185="","",IF($AT1185=1,Settings!$C$8,IF($AS1185=1,Settings!$C$6,Settings!$C$7))*100)</f>
        <v/>
      </c>
      <c r="AE1185" s="7">
        <f>IF($E1185="","",Z1185*AD1185/100)</f>
        <v/>
      </c>
      <c r="AF1185" s="7">
        <f>IF($E1185="","",Z1185-AE1185)</f>
        <v/>
      </c>
      <c r="AG1185" s="7">
        <f>IF($E1185="","",AF1185-Q1185)</f>
        <v/>
      </c>
      <c r="AK1185" s="7" t="n"/>
      <c r="AN1185" s="14" t="n"/>
      <c r="AQ1185">
        <f>IF($E1185="","",IF(COUNTIF($E$2:$E1185,$E1185)=1,1,0))</f>
        <v/>
      </c>
      <c r="AR1185">
        <f>IF($AQ1185=1,SUMPRODUCT(--($AU$2:$AU$1501&lt;$AU1185))+1,"")</f>
        <v/>
      </c>
      <c r="AS1185">
        <f>IF($E1185="","",IF(OR($U1185=TRUE(),$U1185="TRUE"),1,0))</f>
        <v/>
      </c>
      <c r="AT1185">
        <f>IF($E1185="","",IF($AC1185="Yes",1,0))</f>
        <v/>
      </c>
      <c r="AU1185">
        <f>IF($AQ1185=1,IFERROR(IF(VALUE($E1185)&lt;100000000,VALUE($E1185),1000000000),IFERROR(IF(VALUE(MID($E1185,2,20))&lt;100000000,VALUE(MID($E1185,2,20)),1000000000),1000000000))+ROW()/100000,"")</f>
        <v/>
      </c>
    </row>
    <row r="1186">
      <c r="G1186" s="14" t="n"/>
      <c r="Q1186" s="7">
        <f>IF($E1186="","",P1186*Z1186/100)</f>
        <v/>
      </c>
      <c r="R1186" s="7" t="n"/>
      <c r="Y1186" s="7" t="n"/>
      <c r="Z1186" s="7" t="n"/>
      <c r="AA1186" s="7" t="n"/>
      <c r="AD1186">
        <f>IF($E1186="","",IF($AT1186=1,Settings!$C$8,IF($AS1186=1,Settings!$C$6,Settings!$C$7))*100)</f>
        <v/>
      </c>
      <c r="AE1186" s="7">
        <f>IF($E1186="","",Z1186*AD1186/100)</f>
        <v/>
      </c>
      <c r="AF1186" s="7">
        <f>IF($E1186="","",Z1186-AE1186)</f>
        <v/>
      </c>
      <c r="AG1186" s="7">
        <f>IF($E1186="","",AF1186-Q1186)</f>
        <v/>
      </c>
      <c r="AK1186" s="7" t="n"/>
      <c r="AN1186" s="14" t="n"/>
      <c r="AQ1186">
        <f>IF($E1186="","",IF(COUNTIF($E$2:$E1186,$E1186)=1,1,0))</f>
        <v/>
      </c>
      <c r="AR1186">
        <f>IF($AQ1186=1,SUMPRODUCT(--($AU$2:$AU$1501&lt;$AU1186))+1,"")</f>
        <v/>
      </c>
      <c r="AS1186">
        <f>IF($E1186="","",IF(OR($U1186=TRUE(),$U1186="TRUE"),1,0))</f>
        <v/>
      </c>
      <c r="AT1186">
        <f>IF($E1186="","",IF($AC1186="Yes",1,0))</f>
        <v/>
      </c>
      <c r="AU1186">
        <f>IF($AQ1186=1,IFERROR(IF(VALUE($E1186)&lt;100000000,VALUE($E1186),1000000000),IFERROR(IF(VALUE(MID($E1186,2,20))&lt;100000000,VALUE(MID($E1186,2,20)),1000000000),1000000000))+ROW()/100000,"")</f>
        <v/>
      </c>
    </row>
    <row r="1187">
      <c r="G1187" s="14" t="n"/>
      <c r="Q1187" s="7">
        <f>IF($E1187="","",P1187*Z1187/100)</f>
        <v/>
      </c>
      <c r="R1187" s="7" t="n"/>
      <c r="Y1187" s="7" t="n"/>
      <c r="Z1187" s="7" t="n"/>
      <c r="AA1187" s="7" t="n"/>
      <c r="AD1187">
        <f>IF($E1187="","",IF($AT1187=1,Settings!$C$8,IF($AS1187=1,Settings!$C$6,Settings!$C$7))*100)</f>
        <v/>
      </c>
      <c r="AE1187" s="7">
        <f>IF($E1187="","",Z1187*AD1187/100)</f>
        <v/>
      </c>
      <c r="AF1187" s="7">
        <f>IF($E1187="","",Z1187-AE1187)</f>
        <v/>
      </c>
      <c r="AG1187" s="7">
        <f>IF($E1187="","",AF1187-Q1187)</f>
        <v/>
      </c>
      <c r="AK1187" s="7" t="n"/>
      <c r="AN1187" s="14" t="n"/>
      <c r="AQ1187">
        <f>IF($E1187="","",IF(COUNTIF($E$2:$E1187,$E1187)=1,1,0))</f>
        <v/>
      </c>
      <c r="AR1187">
        <f>IF($AQ1187=1,SUMPRODUCT(--($AU$2:$AU$1501&lt;$AU1187))+1,"")</f>
        <v/>
      </c>
      <c r="AS1187">
        <f>IF($E1187="","",IF(OR($U1187=TRUE(),$U1187="TRUE"),1,0))</f>
        <v/>
      </c>
      <c r="AT1187">
        <f>IF($E1187="","",IF($AC1187="Yes",1,0))</f>
        <v/>
      </c>
      <c r="AU1187">
        <f>IF($AQ1187=1,IFERROR(IF(VALUE($E1187)&lt;100000000,VALUE($E1187),1000000000),IFERROR(IF(VALUE(MID($E1187,2,20))&lt;100000000,VALUE(MID($E1187,2,20)),1000000000),1000000000))+ROW()/100000,"")</f>
        <v/>
      </c>
    </row>
    <row r="1188">
      <c r="G1188" s="14" t="n"/>
      <c r="Q1188" s="7">
        <f>IF($E1188="","",P1188*Z1188/100)</f>
        <v/>
      </c>
      <c r="R1188" s="7" t="n"/>
      <c r="Y1188" s="7" t="n"/>
      <c r="Z1188" s="7" t="n"/>
      <c r="AA1188" s="7" t="n"/>
      <c r="AD1188">
        <f>IF($E1188="","",IF($AT1188=1,Settings!$C$8,IF($AS1188=1,Settings!$C$6,Settings!$C$7))*100)</f>
        <v/>
      </c>
      <c r="AE1188" s="7">
        <f>IF($E1188="","",Z1188*AD1188/100)</f>
        <v/>
      </c>
      <c r="AF1188" s="7">
        <f>IF($E1188="","",Z1188-AE1188)</f>
        <v/>
      </c>
      <c r="AG1188" s="7">
        <f>IF($E1188="","",AF1188-Q1188)</f>
        <v/>
      </c>
      <c r="AK1188" s="7" t="n"/>
      <c r="AN1188" s="14" t="n"/>
      <c r="AQ1188">
        <f>IF($E1188="","",IF(COUNTIF($E$2:$E1188,$E1188)=1,1,0))</f>
        <v/>
      </c>
      <c r="AR1188">
        <f>IF($AQ1188=1,SUMPRODUCT(--($AU$2:$AU$1501&lt;$AU1188))+1,"")</f>
        <v/>
      </c>
      <c r="AS1188">
        <f>IF($E1188="","",IF(OR($U1188=TRUE(),$U1188="TRUE"),1,0))</f>
        <v/>
      </c>
      <c r="AT1188">
        <f>IF($E1188="","",IF($AC1188="Yes",1,0))</f>
        <v/>
      </c>
      <c r="AU1188">
        <f>IF($AQ1188=1,IFERROR(IF(VALUE($E1188)&lt;100000000,VALUE($E1188),1000000000),IFERROR(IF(VALUE(MID($E1188,2,20))&lt;100000000,VALUE(MID($E1188,2,20)),1000000000),1000000000))+ROW()/100000,"")</f>
        <v/>
      </c>
    </row>
    <row r="1189">
      <c r="G1189" s="14" t="n"/>
      <c r="Q1189" s="7">
        <f>IF($E1189="","",P1189*Z1189/100)</f>
        <v/>
      </c>
      <c r="R1189" s="7" t="n"/>
      <c r="Y1189" s="7" t="n"/>
      <c r="Z1189" s="7" t="n"/>
      <c r="AA1189" s="7" t="n"/>
      <c r="AD1189">
        <f>IF($E1189="","",IF($AT1189=1,Settings!$C$8,IF($AS1189=1,Settings!$C$6,Settings!$C$7))*100)</f>
        <v/>
      </c>
      <c r="AE1189" s="7">
        <f>IF($E1189="","",Z1189*AD1189/100)</f>
        <v/>
      </c>
      <c r="AF1189" s="7">
        <f>IF($E1189="","",Z1189-AE1189)</f>
        <v/>
      </c>
      <c r="AG1189" s="7">
        <f>IF($E1189="","",AF1189-Q1189)</f>
        <v/>
      </c>
      <c r="AK1189" s="7" t="n"/>
      <c r="AN1189" s="14" t="n"/>
      <c r="AQ1189">
        <f>IF($E1189="","",IF(COUNTIF($E$2:$E1189,$E1189)=1,1,0))</f>
        <v/>
      </c>
      <c r="AR1189">
        <f>IF($AQ1189=1,SUMPRODUCT(--($AU$2:$AU$1501&lt;$AU1189))+1,"")</f>
        <v/>
      </c>
      <c r="AS1189">
        <f>IF($E1189="","",IF(OR($U1189=TRUE(),$U1189="TRUE"),1,0))</f>
        <v/>
      </c>
      <c r="AT1189">
        <f>IF($E1189="","",IF($AC1189="Yes",1,0))</f>
        <v/>
      </c>
      <c r="AU1189">
        <f>IF($AQ1189=1,IFERROR(IF(VALUE($E1189)&lt;100000000,VALUE($E1189),1000000000),IFERROR(IF(VALUE(MID($E1189,2,20))&lt;100000000,VALUE(MID($E1189,2,20)),1000000000),1000000000))+ROW()/100000,"")</f>
        <v/>
      </c>
    </row>
    <row r="1190">
      <c r="G1190" s="14" t="n"/>
      <c r="Q1190" s="7">
        <f>IF($E1190="","",P1190*Z1190/100)</f>
        <v/>
      </c>
      <c r="R1190" s="7" t="n"/>
      <c r="Y1190" s="7" t="n"/>
      <c r="Z1190" s="7" t="n"/>
      <c r="AA1190" s="7" t="n"/>
      <c r="AD1190">
        <f>IF($E1190="","",IF($AT1190=1,Settings!$C$8,IF($AS1190=1,Settings!$C$6,Settings!$C$7))*100)</f>
        <v/>
      </c>
      <c r="AE1190" s="7">
        <f>IF($E1190="","",Z1190*AD1190/100)</f>
        <v/>
      </c>
      <c r="AF1190" s="7">
        <f>IF($E1190="","",Z1190-AE1190)</f>
        <v/>
      </c>
      <c r="AG1190" s="7">
        <f>IF($E1190="","",AF1190-Q1190)</f>
        <v/>
      </c>
      <c r="AK1190" s="7" t="n"/>
      <c r="AN1190" s="14" t="n"/>
      <c r="AQ1190">
        <f>IF($E1190="","",IF(COUNTIF($E$2:$E1190,$E1190)=1,1,0))</f>
        <v/>
      </c>
      <c r="AR1190">
        <f>IF($AQ1190=1,SUMPRODUCT(--($AU$2:$AU$1501&lt;$AU1190))+1,"")</f>
        <v/>
      </c>
      <c r="AS1190">
        <f>IF($E1190="","",IF(OR($U1190=TRUE(),$U1190="TRUE"),1,0))</f>
        <v/>
      </c>
      <c r="AT1190">
        <f>IF($E1190="","",IF($AC1190="Yes",1,0))</f>
        <v/>
      </c>
      <c r="AU1190">
        <f>IF($AQ1190=1,IFERROR(IF(VALUE($E1190)&lt;100000000,VALUE($E1190),1000000000),IFERROR(IF(VALUE(MID($E1190,2,20))&lt;100000000,VALUE(MID($E1190,2,20)),1000000000),1000000000))+ROW()/100000,"")</f>
        <v/>
      </c>
    </row>
    <row r="1191">
      <c r="G1191" s="14" t="n"/>
      <c r="Q1191" s="7">
        <f>IF($E1191="","",P1191*Z1191/100)</f>
        <v/>
      </c>
      <c r="R1191" s="7" t="n"/>
      <c r="Y1191" s="7" t="n"/>
      <c r="Z1191" s="7" t="n"/>
      <c r="AA1191" s="7" t="n"/>
      <c r="AD1191">
        <f>IF($E1191="","",IF($AT1191=1,Settings!$C$8,IF($AS1191=1,Settings!$C$6,Settings!$C$7))*100)</f>
        <v/>
      </c>
      <c r="AE1191" s="7">
        <f>IF($E1191="","",Z1191*AD1191/100)</f>
        <v/>
      </c>
      <c r="AF1191" s="7">
        <f>IF($E1191="","",Z1191-AE1191)</f>
        <v/>
      </c>
      <c r="AG1191" s="7">
        <f>IF($E1191="","",AF1191-Q1191)</f>
        <v/>
      </c>
      <c r="AK1191" s="7" t="n"/>
      <c r="AN1191" s="14" t="n"/>
      <c r="AQ1191">
        <f>IF($E1191="","",IF(COUNTIF($E$2:$E1191,$E1191)=1,1,0))</f>
        <v/>
      </c>
      <c r="AR1191">
        <f>IF($AQ1191=1,SUMPRODUCT(--($AU$2:$AU$1501&lt;$AU1191))+1,"")</f>
        <v/>
      </c>
      <c r="AS1191">
        <f>IF($E1191="","",IF(OR($U1191=TRUE(),$U1191="TRUE"),1,0))</f>
        <v/>
      </c>
      <c r="AT1191">
        <f>IF($E1191="","",IF($AC1191="Yes",1,0))</f>
        <v/>
      </c>
      <c r="AU1191">
        <f>IF($AQ1191=1,IFERROR(IF(VALUE($E1191)&lt;100000000,VALUE($E1191),1000000000),IFERROR(IF(VALUE(MID($E1191,2,20))&lt;100000000,VALUE(MID($E1191,2,20)),1000000000),1000000000))+ROW()/100000,"")</f>
        <v/>
      </c>
    </row>
    <row r="1192">
      <c r="G1192" s="14" t="n"/>
      <c r="Q1192" s="7">
        <f>IF($E1192="","",P1192*Z1192/100)</f>
        <v/>
      </c>
      <c r="R1192" s="7" t="n"/>
      <c r="Y1192" s="7" t="n"/>
      <c r="Z1192" s="7" t="n"/>
      <c r="AA1192" s="7" t="n"/>
      <c r="AD1192">
        <f>IF($E1192="","",IF($AT1192=1,Settings!$C$8,IF($AS1192=1,Settings!$C$6,Settings!$C$7))*100)</f>
        <v/>
      </c>
      <c r="AE1192" s="7">
        <f>IF($E1192="","",Z1192*AD1192/100)</f>
        <v/>
      </c>
      <c r="AF1192" s="7">
        <f>IF($E1192="","",Z1192-AE1192)</f>
        <v/>
      </c>
      <c r="AG1192" s="7">
        <f>IF($E1192="","",AF1192-Q1192)</f>
        <v/>
      </c>
      <c r="AK1192" s="7" t="n"/>
      <c r="AN1192" s="14" t="n"/>
      <c r="AQ1192">
        <f>IF($E1192="","",IF(COUNTIF($E$2:$E1192,$E1192)=1,1,0))</f>
        <v/>
      </c>
      <c r="AR1192">
        <f>IF($AQ1192=1,SUMPRODUCT(--($AU$2:$AU$1501&lt;$AU1192))+1,"")</f>
        <v/>
      </c>
      <c r="AS1192">
        <f>IF($E1192="","",IF(OR($U1192=TRUE(),$U1192="TRUE"),1,0))</f>
        <v/>
      </c>
      <c r="AT1192">
        <f>IF($E1192="","",IF($AC1192="Yes",1,0))</f>
        <v/>
      </c>
      <c r="AU1192">
        <f>IF($AQ1192=1,IFERROR(IF(VALUE($E1192)&lt;100000000,VALUE($E1192),1000000000),IFERROR(IF(VALUE(MID($E1192,2,20))&lt;100000000,VALUE(MID($E1192,2,20)),1000000000),1000000000))+ROW()/100000,"")</f>
        <v/>
      </c>
    </row>
    <row r="1193">
      <c r="G1193" s="14" t="n"/>
      <c r="Q1193" s="7">
        <f>IF($E1193="","",P1193*Z1193/100)</f>
        <v/>
      </c>
      <c r="R1193" s="7" t="n"/>
      <c r="Y1193" s="7" t="n"/>
      <c r="Z1193" s="7" t="n"/>
      <c r="AA1193" s="7" t="n"/>
      <c r="AD1193">
        <f>IF($E1193="","",IF($AT1193=1,Settings!$C$8,IF($AS1193=1,Settings!$C$6,Settings!$C$7))*100)</f>
        <v/>
      </c>
      <c r="AE1193" s="7">
        <f>IF($E1193="","",Z1193*AD1193/100)</f>
        <v/>
      </c>
      <c r="AF1193" s="7">
        <f>IF($E1193="","",Z1193-AE1193)</f>
        <v/>
      </c>
      <c r="AG1193" s="7">
        <f>IF($E1193="","",AF1193-Q1193)</f>
        <v/>
      </c>
      <c r="AK1193" s="7" t="n"/>
      <c r="AN1193" s="14" t="n"/>
      <c r="AQ1193">
        <f>IF($E1193="","",IF(COUNTIF($E$2:$E1193,$E1193)=1,1,0))</f>
        <v/>
      </c>
      <c r="AR1193">
        <f>IF($AQ1193=1,SUMPRODUCT(--($AU$2:$AU$1501&lt;$AU1193))+1,"")</f>
        <v/>
      </c>
      <c r="AS1193">
        <f>IF($E1193="","",IF(OR($U1193=TRUE(),$U1193="TRUE"),1,0))</f>
        <v/>
      </c>
      <c r="AT1193">
        <f>IF($E1193="","",IF($AC1193="Yes",1,0))</f>
        <v/>
      </c>
      <c r="AU1193">
        <f>IF($AQ1193=1,IFERROR(IF(VALUE($E1193)&lt;100000000,VALUE($E1193),1000000000),IFERROR(IF(VALUE(MID($E1193,2,20))&lt;100000000,VALUE(MID($E1193,2,20)),1000000000),1000000000))+ROW()/100000,"")</f>
        <v/>
      </c>
    </row>
    <row r="1194">
      <c r="G1194" s="14" t="n"/>
      <c r="Q1194" s="7">
        <f>IF($E1194="","",P1194*Z1194/100)</f>
        <v/>
      </c>
      <c r="R1194" s="7" t="n"/>
      <c r="Y1194" s="7" t="n"/>
      <c r="Z1194" s="7" t="n"/>
      <c r="AA1194" s="7" t="n"/>
      <c r="AD1194">
        <f>IF($E1194="","",IF($AT1194=1,Settings!$C$8,IF($AS1194=1,Settings!$C$6,Settings!$C$7))*100)</f>
        <v/>
      </c>
      <c r="AE1194" s="7">
        <f>IF($E1194="","",Z1194*AD1194/100)</f>
        <v/>
      </c>
      <c r="AF1194" s="7">
        <f>IF($E1194="","",Z1194-AE1194)</f>
        <v/>
      </c>
      <c r="AG1194" s="7">
        <f>IF($E1194="","",AF1194-Q1194)</f>
        <v/>
      </c>
      <c r="AK1194" s="7" t="n"/>
      <c r="AN1194" s="14" t="n"/>
      <c r="AQ1194">
        <f>IF($E1194="","",IF(COUNTIF($E$2:$E1194,$E1194)=1,1,0))</f>
        <v/>
      </c>
      <c r="AR1194">
        <f>IF($AQ1194=1,SUMPRODUCT(--($AU$2:$AU$1501&lt;$AU1194))+1,"")</f>
        <v/>
      </c>
      <c r="AS1194">
        <f>IF($E1194="","",IF(OR($U1194=TRUE(),$U1194="TRUE"),1,0))</f>
        <v/>
      </c>
      <c r="AT1194">
        <f>IF($E1194="","",IF($AC1194="Yes",1,0))</f>
        <v/>
      </c>
      <c r="AU1194">
        <f>IF($AQ1194=1,IFERROR(IF(VALUE($E1194)&lt;100000000,VALUE($E1194),1000000000),IFERROR(IF(VALUE(MID($E1194,2,20))&lt;100000000,VALUE(MID($E1194,2,20)),1000000000),1000000000))+ROW()/100000,"")</f>
        <v/>
      </c>
    </row>
    <row r="1195">
      <c r="G1195" s="14" t="n"/>
      <c r="Q1195" s="7">
        <f>IF($E1195="","",P1195*Z1195/100)</f>
        <v/>
      </c>
      <c r="R1195" s="7" t="n"/>
      <c r="Y1195" s="7" t="n"/>
      <c r="Z1195" s="7" t="n"/>
      <c r="AA1195" s="7" t="n"/>
      <c r="AD1195">
        <f>IF($E1195="","",IF($AT1195=1,Settings!$C$8,IF($AS1195=1,Settings!$C$6,Settings!$C$7))*100)</f>
        <v/>
      </c>
      <c r="AE1195" s="7">
        <f>IF($E1195="","",Z1195*AD1195/100)</f>
        <v/>
      </c>
      <c r="AF1195" s="7">
        <f>IF($E1195="","",Z1195-AE1195)</f>
        <v/>
      </c>
      <c r="AG1195" s="7">
        <f>IF($E1195="","",AF1195-Q1195)</f>
        <v/>
      </c>
      <c r="AK1195" s="7" t="n"/>
      <c r="AN1195" s="14" t="n"/>
      <c r="AQ1195">
        <f>IF($E1195="","",IF(COUNTIF($E$2:$E1195,$E1195)=1,1,0))</f>
        <v/>
      </c>
      <c r="AR1195">
        <f>IF($AQ1195=1,SUMPRODUCT(--($AU$2:$AU$1501&lt;$AU1195))+1,"")</f>
        <v/>
      </c>
      <c r="AS1195">
        <f>IF($E1195="","",IF(OR($U1195=TRUE(),$U1195="TRUE"),1,0))</f>
        <v/>
      </c>
      <c r="AT1195">
        <f>IF($E1195="","",IF($AC1195="Yes",1,0))</f>
        <v/>
      </c>
      <c r="AU1195">
        <f>IF($AQ1195=1,IFERROR(IF(VALUE($E1195)&lt;100000000,VALUE($E1195),1000000000),IFERROR(IF(VALUE(MID($E1195,2,20))&lt;100000000,VALUE(MID($E1195,2,20)),1000000000),1000000000))+ROW()/100000,"")</f>
        <v/>
      </c>
    </row>
    <row r="1196">
      <c r="G1196" s="14" t="n"/>
      <c r="Q1196" s="7">
        <f>IF($E1196="","",P1196*Z1196/100)</f>
        <v/>
      </c>
      <c r="R1196" s="7" t="n"/>
      <c r="Y1196" s="7" t="n"/>
      <c r="Z1196" s="7" t="n"/>
      <c r="AA1196" s="7" t="n"/>
      <c r="AD1196">
        <f>IF($E1196="","",IF($AT1196=1,Settings!$C$8,IF($AS1196=1,Settings!$C$6,Settings!$C$7))*100)</f>
        <v/>
      </c>
      <c r="AE1196" s="7">
        <f>IF($E1196="","",Z1196*AD1196/100)</f>
        <v/>
      </c>
      <c r="AF1196" s="7">
        <f>IF($E1196="","",Z1196-AE1196)</f>
        <v/>
      </c>
      <c r="AG1196" s="7">
        <f>IF($E1196="","",AF1196-Q1196)</f>
        <v/>
      </c>
      <c r="AK1196" s="7" t="n"/>
      <c r="AN1196" s="14" t="n"/>
      <c r="AQ1196">
        <f>IF($E1196="","",IF(COUNTIF($E$2:$E1196,$E1196)=1,1,0))</f>
        <v/>
      </c>
      <c r="AR1196">
        <f>IF($AQ1196=1,SUMPRODUCT(--($AU$2:$AU$1501&lt;$AU1196))+1,"")</f>
        <v/>
      </c>
      <c r="AS1196">
        <f>IF($E1196="","",IF(OR($U1196=TRUE(),$U1196="TRUE"),1,0))</f>
        <v/>
      </c>
      <c r="AT1196">
        <f>IF($E1196="","",IF($AC1196="Yes",1,0))</f>
        <v/>
      </c>
      <c r="AU1196">
        <f>IF($AQ1196=1,IFERROR(IF(VALUE($E1196)&lt;100000000,VALUE($E1196),1000000000),IFERROR(IF(VALUE(MID($E1196,2,20))&lt;100000000,VALUE(MID($E1196,2,20)),1000000000),1000000000))+ROW()/100000,"")</f>
        <v/>
      </c>
    </row>
    <row r="1197">
      <c r="G1197" s="14" t="n"/>
      <c r="Q1197" s="7">
        <f>IF($E1197="","",P1197*Z1197/100)</f>
        <v/>
      </c>
      <c r="R1197" s="7" t="n"/>
      <c r="Y1197" s="7" t="n"/>
      <c r="Z1197" s="7" t="n"/>
      <c r="AA1197" s="7" t="n"/>
      <c r="AD1197">
        <f>IF($E1197="","",IF($AT1197=1,Settings!$C$8,IF($AS1197=1,Settings!$C$6,Settings!$C$7))*100)</f>
        <v/>
      </c>
      <c r="AE1197" s="7">
        <f>IF($E1197="","",Z1197*AD1197/100)</f>
        <v/>
      </c>
      <c r="AF1197" s="7">
        <f>IF($E1197="","",Z1197-AE1197)</f>
        <v/>
      </c>
      <c r="AG1197" s="7">
        <f>IF($E1197="","",AF1197-Q1197)</f>
        <v/>
      </c>
      <c r="AK1197" s="7" t="n"/>
      <c r="AN1197" s="14" t="n"/>
      <c r="AQ1197">
        <f>IF($E1197="","",IF(COUNTIF($E$2:$E1197,$E1197)=1,1,0))</f>
        <v/>
      </c>
      <c r="AR1197">
        <f>IF($AQ1197=1,SUMPRODUCT(--($AU$2:$AU$1501&lt;$AU1197))+1,"")</f>
        <v/>
      </c>
      <c r="AS1197">
        <f>IF($E1197="","",IF(OR($U1197=TRUE(),$U1197="TRUE"),1,0))</f>
        <v/>
      </c>
      <c r="AT1197">
        <f>IF($E1197="","",IF($AC1197="Yes",1,0))</f>
        <v/>
      </c>
      <c r="AU1197">
        <f>IF($AQ1197=1,IFERROR(IF(VALUE($E1197)&lt;100000000,VALUE($E1197),1000000000),IFERROR(IF(VALUE(MID($E1197,2,20))&lt;100000000,VALUE(MID($E1197,2,20)),1000000000),1000000000))+ROW()/100000,"")</f>
        <v/>
      </c>
    </row>
    <row r="1198">
      <c r="G1198" s="14" t="n"/>
      <c r="Q1198" s="7">
        <f>IF($E1198="","",P1198*Z1198/100)</f>
        <v/>
      </c>
      <c r="R1198" s="7" t="n"/>
      <c r="Y1198" s="7" t="n"/>
      <c r="Z1198" s="7" t="n"/>
      <c r="AA1198" s="7" t="n"/>
      <c r="AD1198">
        <f>IF($E1198="","",IF($AT1198=1,Settings!$C$8,IF($AS1198=1,Settings!$C$6,Settings!$C$7))*100)</f>
        <v/>
      </c>
      <c r="AE1198" s="7">
        <f>IF($E1198="","",Z1198*AD1198/100)</f>
        <v/>
      </c>
      <c r="AF1198" s="7">
        <f>IF($E1198="","",Z1198-AE1198)</f>
        <v/>
      </c>
      <c r="AG1198" s="7">
        <f>IF($E1198="","",AF1198-Q1198)</f>
        <v/>
      </c>
      <c r="AK1198" s="7" t="n"/>
      <c r="AN1198" s="14" t="n"/>
      <c r="AQ1198">
        <f>IF($E1198="","",IF(COUNTIF($E$2:$E1198,$E1198)=1,1,0))</f>
        <v/>
      </c>
      <c r="AR1198">
        <f>IF($AQ1198=1,SUMPRODUCT(--($AU$2:$AU$1501&lt;$AU1198))+1,"")</f>
        <v/>
      </c>
      <c r="AS1198">
        <f>IF($E1198="","",IF(OR($U1198=TRUE(),$U1198="TRUE"),1,0))</f>
        <v/>
      </c>
      <c r="AT1198">
        <f>IF($E1198="","",IF($AC1198="Yes",1,0))</f>
        <v/>
      </c>
      <c r="AU1198">
        <f>IF($AQ1198=1,IFERROR(IF(VALUE($E1198)&lt;100000000,VALUE($E1198),1000000000),IFERROR(IF(VALUE(MID($E1198,2,20))&lt;100000000,VALUE(MID($E1198,2,20)),1000000000),1000000000))+ROW()/100000,"")</f>
        <v/>
      </c>
    </row>
    <row r="1199">
      <c r="G1199" s="14" t="n"/>
      <c r="Q1199" s="7">
        <f>IF($E1199="","",P1199*Z1199/100)</f>
        <v/>
      </c>
      <c r="R1199" s="7" t="n"/>
      <c r="Y1199" s="7" t="n"/>
      <c r="Z1199" s="7" t="n"/>
      <c r="AA1199" s="7" t="n"/>
      <c r="AD1199">
        <f>IF($E1199="","",IF($AT1199=1,Settings!$C$8,IF($AS1199=1,Settings!$C$6,Settings!$C$7))*100)</f>
        <v/>
      </c>
      <c r="AE1199" s="7">
        <f>IF($E1199="","",Z1199*AD1199/100)</f>
        <v/>
      </c>
      <c r="AF1199" s="7">
        <f>IF($E1199="","",Z1199-AE1199)</f>
        <v/>
      </c>
      <c r="AG1199" s="7">
        <f>IF($E1199="","",AF1199-Q1199)</f>
        <v/>
      </c>
      <c r="AK1199" s="7" t="n"/>
      <c r="AN1199" s="14" t="n"/>
      <c r="AQ1199">
        <f>IF($E1199="","",IF(COUNTIF($E$2:$E1199,$E1199)=1,1,0))</f>
        <v/>
      </c>
      <c r="AR1199">
        <f>IF($AQ1199=1,SUMPRODUCT(--($AU$2:$AU$1501&lt;$AU1199))+1,"")</f>
        <v/>
      </c>
      <c r="AS1199">
        <f>IF($E1199="","",IF(OR($U1199=TRUE(),$U1199="TRUE"),1,0))</f>
        <v/>
      </c>
      <c r="AT1199">
        <f>IF($E1199="","",IF($AC1199="Yes",1,0))</f>
        <v/>
      </c>
      <c r="AU1199">
        <f>IF($AQ1199=1,IFERROR(IF(VALUE($E1199)&lt;100000000,VALUE($E1199),1000000000),IFERROR(IF(VALUE(MID($E1199,2,20))&lt;100000000,VALUE(MID($E1199,2,20)),1000000000),1000000000))+ROW()/100000,"")</f>
        <v/>
      </c>
    </row>
    <row r="1200">
      <c r="G1200" s="14" t="n"/>
      <c r="Q1200" s="7">
        <f>IF($E1200="","",P1200*Z1200/100)</f>
        <v/>
      </c>
      <c r="R1200" s="7" t="n"/>
      <c r="Y1200" s="7" t="n"/>
      <c r="Z1200" s="7" t="n"/>
      <c r="AA1200" s="7" t="n"/>
      <c r="AD1200">
        <f>IF($E1200="","",IF($AT1200=1,Settings!$C$8,IF($AS1200=1,Settings!$C$6,Settings!$C$7))*100)</f>
        <v/>
      </c>
      <c r="AE1200" s="7">
        <f>IF($E1200="","",Z1200*AD1200/100)</f>
        <v/>
      </c>
      <c r="AF1200" s="7">
        <f>IF($E1200="","",Z1200-AE1200)</f>
        <v/>
      </c>
      <c r="AG1200" s="7">
        <f>IF($E1200="","",AF1200-Q1200)</f>
        <v/>
      </c>
      <c r="AK1200" s="7" t="n"/>
      <c r="AN1200" s="14" t="n"/>
      <c r="AQ1200">
        <f>IF($E1200="","",IF(COUNTIF($E$2:$E1200,$E1200)=1,1,0))</f>
        <v/>
      </c>
      <c r="AR1200">
        <f>IF($AQ1200=1,SUMPRODUCT(--($AU$2:$AU$1501&lt;$AU1200))+1,"")</f>
        <v/>
      </c>
      <c r="AS1200">
        <f>IF($E1200="","",IF(OR($U1200=TRUE(),$U1200="TRUE"),1,0))</f>
        <v/>
      </c>
      <c r="AT1200">
        <f>IF($E1200="","",IF($AC1200="Yes",1,0))</f>
        <v/>
      </c>
      <c r="AU1200">
        <f>IF($AQ1200=1,IFERROR(IF(VALUE($E1200)&lt;100000000,VALUE($E1200),1000000000),IFERROR(IF(VALUE(MID($E1200,2,20))&lt;100000000,VALUE(MID($E1200,2,20)),1000000000),1000000000))+ROW()/100000,"")</f>
        <v/>
      </c>
    </row>
    <row r="1201">
      <c r="G1201" s="14" t="n"/>
      <c r="Q1201" s="7">
        <f>IF($E1201="","",P1201*Z1201/100)</f>
        <v/>
      </c>
      <c r="R1201" s="7" t="n"/>
      <c r="Y1201" s="7" t="n"/>
      <c r="Z1201" s="7" t="n"/>
      <c r="AA1201" s="7" t="n"/>
      <c r="AD1201">
        <f>IF($E1201="","",IF($AT1201=1,Settings!$C$8,IF($AS1201=1,Settings!$C$6,Settings!$C$7))*100)</f>
        <v/>
      </c>
      <c r="AE1201" s="7">
        <f>IF($E1201="","",Z1201*AD1201/100)</f>
        <v/>
      </c>
      <c r="AF1201" s="7">
        <f>IF($E1201="","",Z1201-AE1201)</f>
        <v/>
      </c>
      <c r="AG1201" s="7">
        <f>IF($E1201="","",AF1201-Q1201)</f>
        <v/>
      </c>
      <c r="AK1201" s="7" t="n"/>
      <c r="AN1201" s="14" t="n"/>
      <c r="AQ1201">
        <f>IF($E1201="","",IF(COUNTIF($E$2:$E1201,$E1201)=1,1,0))</f>
        <v/>
      </c>
      <c r="AR1201">
        <f>IF($AQ1201=1,SUMPRODUCT(--($AU$2:$AU$1501&lt;$AU1201))+1,"")</f>
        <v/>
      </c>
      <c r="AS1201">
        <f>IF($E1201="","",IF(OR($U1201=TRUE(),$U1201="TRUE"),1,0))</f>
        <v/>
      </c>
      <c r="AT1201">
        <f>IF($E1201="","",IF($AC1201="Yes",1,0))</f>
        <v/>
      </c>
      <c r="AU1201">
        <f>IF($AQ1201=1,IFERROR(IF(VALUE($E1201)&lt;100000000,VALUE($E1201),1000000000),IFERROR(IF(VALUE(MID($E1201,2,20))&lt;100000000,VALUE(MID($E1201,2,20)),1000000000),1000000000))+ROW()/100000,"")</f>
        <v/>
      </c>
    </row>
    <row r="1202">
      <c r="G1202" s="14" t="n"/>
      <c r="Q1202" s="7">
        <f>IF($E1202="","",P1202*Z1202/100)</f>
        <v/>
      </c>
      <c r="R1202" s="7" t="n"/>
      <c r="Y1202" s="7" t="n"/>
      <c r="Z1202" s="7" t="n"/>
      <c r="AA1202" s="7" t="n"/>
      <c r="AD1202">
        <f>IF($E1202="","",IF($AT1202=1,Settings!$C$8,IF($AS1202=1,Settings!$C$6,Settings!$C$7))*100)</f>
        <v/>
      </c>
      <c r="AE1202" s="7">
        <f>IF($E1202="","",Z1202*AD1202/100)</f>
        <v/>
      </c>
      <c r="AF1202" s="7">
        <f>IF($E1202="","",Z1202-AE1202)</f>
        <v/>
      </c>
      <c r="AG1202" s="7">
        <f>IF($E1202="","",AF1202-Q1202)</f>
        <v/>
      </c>
      <c r="AK1202" s="7" t="n"/>
      <c r="AN1202" s="14" t="n"/>
      <c r="AQ1202">
        <f>IF($E1202="","",IF(COUNTIF($E$2:$E1202,$E1202)=1,1,0))</f>
        <v/>
      </c>
      <c r="AR1202">
        <f>IF($AQ1202=1,SUMPRODUCT(--($AU$2:$AU$1501&lt;$AU1202))+1,"")</f>
        <v/>
      </c>
      <c r="AS1202">
        <f>IF($E1202="","",IF(OR($U1202=TRUE(),$U1202="TRUE"),1,0))</f>
        <v/>
      </c>
      <c r="AT1202">
        <f>IF($E1202="","",IF($AC1202="Yes",1,0))</f>
        <v/>
      </c>
      <c r="AU1202">
        <f>IF($AQ1202=1,IFERROR(IF(VALUE($E1202)&lt;100000000,VALUE($E1202),1000000000),IFERROR(IF(VALUE(MID($E1202,2,20))&lt;100000000,VALUE(MID($E1202,2,20)),1000000000),1000000000))+ROW()/100000,"")</f>
        <v/>
      </c>
    </row>
    <row r="1203">
      <c r="G1203" s="14" t="n"/>
      <c r="Q1203" s="7">
        <f>IF($E1203="","",P1203*Z1203/100)</f>
        <v/>
      </c>
      <c r="R1203" s="7" t="n"/>
      <c r="Y1203" s="7" t="n"/>
      <c r="Z1203" s="7" t="n"/>
      <c r="AA1203" s="7" t="n"/>
      <c r="AD1203">
        <f>IF($E1203="","",IF($AT1203=1,Settings!$C$8,IF($AS1203=1,Settings!$C$6,Settings!$C$7))*100)</f>
        <v/>
      </c>
      <c r="AE1203" s="7">
        <f>IF($E1203="","",Z1203*AD1203/100)</f>
        <v/>
      </c>
      <c r="AF1203" s="7">
        <f>IF($E1203="","",Z1203-AE1203)</f>
        <v/>
      </c>
      <c r="AG1203" s="7">
        <f>IF($E1203="","",AF1203-Q1203)</f>
        <v/>
      </c>
      <c r="AK1203" s="7" t="n"/>
      <c r="AN1203" s="14" t="n"/>
      <c r="AQ1203">
        <f>IF($E1203="","",IF(COUNTIF($E$2:$E1203,$E1203)=1,1,0))</f>
        <v/>
      </c>
      <c r="AR1203">
        <f>IF($AQ1203=1,SUMPRODUCT(--($AU$2:$AU$1501&lt;$AU1203))+1,"")</f>
        <v/>
      </c>
      <c r="AS1203">
        <f>IF($E1203="","",IF(OR($U1203=TRUE(),$U1203="TRUE"),1,0))</f>
        <v/>
      </c>
      <c r="AT1203">
        <f>IF($E1203="","",IF($AC1203="Yes",1,0))</f>
        <v/>
      </c>
      <c r="AU1203">
        <f>IF($AQ1203=1,IFERROR(IF(VALUE($E1203)&lt;100000000,VALUE($E1203),1000000000),IFERROR(IF(VALUE(MID($E1203,2,20))&lt;100000000,VALUE(MID($E1203,2,20)),1000000000),1000000000))+ROW()/100000,"")</f>
        <v/>
      </c>
    </row>
    <row r="1204">
      <c r="G1204" s="14" t="n"/>
      <c r="Q1204" s="7">
        <f>IF($E1204="","",P1204*Z1204/100)</f>
        <v/>
      </c>
      <c r="R1204" s="7" t="n"/>
      <c r="Y1204" s="7" t="n"/>
      <c r="Z1204" s="7" t="n"/>
      <c r="AA1204" s="7" t="n"/>
      <c r="AD1204">
        <f>IF($E1204="","",IF($AT1204=1,Settings!$C$8,IF($AS1204=1,Settings!$C$6,Settings!$C$7))*100)</f>
        <v/>
      </c>
      <c r="AE1204" s="7">
        <f>IF($E1204="","",Z1204*AD1204/100)</f>
        <v/>
      </c>
      <c r="AF1204" s="7">
        <f>IF($E1204="","",Z1204-AE1204)</f>
        <v/>
      </c>
      <c r="AG1204" s="7">
        <f>IF($E1204="","",AF1204-Q1204)</f>
        <v/>
      </c>
      <c r="AK1204" s="7" t="n"/>
      <c r="AN1204" s="14" t="n"/>
      <c r="AQ1204">
        <f>IF($E1204="","",IF(COUNTIF($E$2:$E1204,$E1204)=1,1,0))</f>
        <v/>
      </c>
      <c r="AR1204">
        <f>IF($AQ1204=1,SUMPRODUCT(--($AU$2:$AU$1501&lt;$AU1204))+1,"")</f>
        <v/>
      </c>
      <c r="AS1204">
        <f>IF($E1204="","",IF(OR($U1204=TRUE(),$U1204="TRUE"),1,0))</f>
        <v/>
      </c>
      <c r="AT1204">
        <f>IF($E1204="","",IF($AC1204="Yes",1,0))</f>
        <v/>
      </c>
      <c r="AU1204">
        <f>IF($AQ1204=1,IFERROR(IF(VALUE($E1204)&lt;100000000,VALUE($E1204),1000000000),IFERROR(IF(VALUE(MID($E1204,2,20))&lt;100000000,VALUE(MID($E1204,2,20)),1000000000),1000000000))+ROW()/100000,"")</f>
        <v/>
      </c>
    </row>
    <row r="1205">
      <c r="G1205" s="14" t="n"/>
      <c r="Q1205" s="7">
        <f>IF($E1205="","",P1205*Z1205/100)</f>
        <v/>
      </c>
      <c r="R1205" s="7" t="n"/>
      <c r="Y1205" s="7" t="n"/>
      <c r="Z1205" s="7" t="n"/>
      <c r="AA1205" s="7" t="n"/>
      <c r="AD1205">
        <f>IF($E1205="","",IF($AT1205=1,Settings!$C$8,IF($AS1205=1,Settings!$C$6,Settings!$C$7))*100)</f>
        <v/>
      </c>
      <c r="AE1205" s="7">
        <f>IF($E1205="","",Z1205*AD1205/100)</f>
        <v/>
      </c>
      <c r="AF1205" s="7">
        <f>IF($E1205="","",Z1205-AE1205)</f>
        <v/>
      </c>
      <c r="AG1205" s="7">
        <f>IF($E1205="","",AF1205-Q1205)</f>
        <v/>
      </c>
      <c r="AK1205" s="7" t="n"/>
      <c r="AN1205" s="14" t="n"/>
      <c r="AQ1205">
        <f>IF($E1205="","",IF(COUNTIF($E$2:$E1205,$E1205)=1,1,0))</f>
        <v/>
      </c>
      <c r="AR1205">
        <f>IF($AQ1205=1,SUMPRODUCT(--($AU$2:$AU$1501&lt;$AU1205))+1,"")</f>
        <v/>
      </c>
      <c r="AS1205">
        <f>IF($E1205="","",IF(OR($U1205=TRUE(),$U1205="TRUE"),1,0))</f>
        <v/>
      </c>
      <c r="AT1205">
        <f>IF($E1205="","",IF($AC1205="Yes",1,0))</f>
        <v/>
      </c>
      <c r="AU1205">
        <f>IF($AQ1205=1,IFERROR(IF(VALUE($E1205)&lt;100000000,VALUE($E1205),1000000000),IFERROR(IF(VALUE(MID($E1205,2,20))&lt;100000000,VALUE(MID($E1205,2,20)),1000000000),1000000000))+ROW()/100000,"")</f>
        <v/>
      </c>
    </row>
    <row r="1206">
      <c r="G1206" s="14" t="n"/>
      <c r="Q1206" s="7">
        <f>IF($E1206="","",P1206*Z1206/100)</f>
        <v/>
      </c>
      <c r="R1206" s="7" t="n"/>
      <c r="Y1206" s="7" t="n"/>
      <c r="Z1206" s="7" t="n"/>
      <c r="AA1206" s="7" t="n"/>
      <c r="AD1206">
        <f>IF($E1206="","",IF($AT1206=1,Settings!$C$8,IF($AS1206=1,Settings!$C$6,Settings!$C$7))*100)</f>
        <v/>
      </c>
      <c r="AE1206" s="7">
        <f>IF($E1206="","",Z1206*AD1206/100)</f>
        <v/>
      </c>
      <c r="AF1206" s="7">
        <f>IF($E1206="","",Z1206-AE1206)</f>
        <v/>
      </c>
      <c r="AG1206" s="7">
        <f>IF($E1206="","",AF1206-Q1206)</f>
        <v/>
      </c>
      <c r="AK1206" s="7" t="n"/>
      <c r="AN1206" s="14" t="n"/>
      <c r="AQ1206">
        <f>IF($E1206="","",IF(COUNTIF($E$2:$E1206,$E1206)=1,1,0))</f>
        <v/>
      </c>
      <c r="AR1206">
        <f>IF($AQ1206=1,SUMPRODUCT(--($AU$2:$AU$1501&lt;$AU1206))+1,"")</f>
        <v/>
      </c>
      <c r="AS1206">
        <f>IF($E1206="","",IF(OR($U1206=TRUE(),$U1206="TRUE"),1,0))</f>
        <v/>
      </c>
      <c r="AT1206">
        <f>IF($E1206="","",IF($AC1206="Yes",1,0))</f>
        <v/>
      </c>
      <c r="AU1206">
        <f>IF($AQ1206=1,IFERROR(IF(VALUE($E1206)&lt;100000000,VALUE($E1206),1000000000),IFERROR(IF(VALUE(MID($E1206,2,20))&lt;100000000,VALUE(MID($E1206,2,20)),1000000000),1000000000))+ROW()/100000,"")</f>
        <v/>
      </c>
    </row>
    <row r="1207">
      <c r="G1207" s="14" t="n"/>
      <c r="Q1207" s="7">
        <f>IF($E1207="","",P1207*Z1207/100)</f>
        <v/>
      </c>
      <c r="R1207" s="7" t="n"/>
      <c r="Y1207" s="7" t="n"/>
      <c r="Z1207" s="7" t="n"/>
      <c r="AA1207" s="7" t="n"/>
      <c r="AD1207">
        <f>IF($E1207="","",IF($AT1207=1,Settings!$C$8,IF($AS1207=1,Settings!$C$6,Settings!$C$7))*100)</f>
        <v/>
      </c>
      <c r="AE1207" s="7">
        <f>IF($E1207="","",Z1207*AD1207/100)</f>
        <v/>
      </c>
      <c r="AF1207" s="7">
        <f>IF($E1207="","",Z1207-AE1207)</f>
        <v/>
      </c>
      <c r="AG1207" s="7">
        <f>IF($E1207="","",AF1207-Q1207)</f>
        <v/>
      </c>
      <c r="AK1207" s="7" t="n"/>
      <c r="AN1207" s="14" t="n"/>
      <c r="AQ1207">
        <f>IF($E1207="","",IF(COUNTIF($E$2:$E1207,$E1207)=1,1,0))</f>
        <v/>
      </c>
      <c r="AR1207">
        <f>IF($AQ1207=1,SUMPRODUCT(--($AU$2:$AU$1501&lt;$AU1207))+1,"")</f>
        <v/>
      </c>
      <c r="AS1207">
        <f>IF($E1207="","",IF(OR($U1207=TRUE(),$U1207="TRUE"),1,0))</f>
        <v/>
      </c>
      <c r="AT1207">
        <f>IF($E1207="","",IF($AC1207="Yes",1,0))</f>
        <v/>
      </c>
      <c r="AU1207">
        <f>IF($AQ1207=1,IFERROR(IF(VALUE($E1207)&lt;100000000,VALUE($E1207),1000000000),IFERROR(IF(VALUE(MID($E1207,2,20))&lt;100000000,VALUE(MID($E1207,2,20)),1000000000),1000000000))+ROW()/100000,"")</f>
        <v/>
      </c>
    </row>
    <row r="1208">
      <c r="G1208" s="14" t="n"/>
      <c r="Q1208" s="7">
        <f>IF($E1208="","",P1208*Z1208/100)</f>
        <v/>
      </c>
      <c r="R1208" s="7" t="n"/>
      <c r="Y1208" s="7" t="n"/>
      <c r="Z1208" s="7" t="n"/>
      <c r="AA1208" s="7" t="n"/>
      <c r="AD1208">
        <f>IF($E1208="","",IF($AT1208=1,Settings!$C$8,IF($AS1208=1,Settings!$C$6,Settings!$C$7))*100)</f>
        <v/>
      </c>
      <c r="AE1208" s="7">
        <f>IF($E1208="","",Z1208*AD1208/100)</f>
        <v/>
      </c>
      <c r="AF1208" s="7">
        <f>IF($E1208="","",Z1208-AE1208)</f>
        <v/>
      </c>
      <c r="AG1208" s="7">
        <f>IF($E1208="","",AF1208-Q1208)</f>
        <v/>
      </c>
      <c r="AK1208" s="7" t="n"/>
      <c r="AN1208" s="14" t="n"/>
      <c r="AQ1208">
        <f>IF($E1208="","",IF(COUNTIF($E$2:$E1208,$E1208)=1,1,0))</f>
        <v/>
      </c>
      <c r="AR1208">
        <f>IF($AQ1208=1,SUMPRODUCT(--($AU$2:$AU$1501&lt;$AU1208))+1,"")</f>
        <v/>
      </c>
      <c r="AS1208">
        <f>IF($E1208="","",IF(OR($U1208=TRUE(),$U1208="TRUE"),1,0))</f>
        <v/>
      </c>
      <c r="AT1208">
        <f>IF($E1208="","",IF($AC1208="Yes",1,0))</f>
        <v/>
      </c>
      <c r="AU1208">
        <f>IF($AQ1208=1,IFERROR(IF(VALUE($E1208)&lt;100000000,VALUE($E1208),1000000000),IFERROR(IF(VALUE(MID($E1208,2,20))&lt;100000000,VALUE(MID($E1208,2,20)),1000000000),1000000000))+ROW()/100000,"")</f>
        <v/>
      </c>
    </row>
    <row r="1209">
      <c r="G1209" s="14" t="n"/>
      <c r="Q1209" s="7">
        <f>IF($E1209="","",P1209*Z1209/100)</f>
        <v/>
      </c>
      <c r="R1209" s="7" t="n"/>
      <c r="Y1209" s="7" t="n"/>
      <c r="Z1209" s="7" t="n"/>
      <c r="AA1209" s="7" t="n"/>
      <c r="AD1209">
        <f>IF($E1209="","",IF($AT1209=1,Settings!$C$8,IF($AS1209=1,Settings!$C$6,Settings!$C$7))*100)</f>
        <v/>
      </c>
      <c r="AE1209" s="7">
        <f>IF($E1209="","",Z1209*AD1209/100)</f>
        <v/>
      </c>
      <c r="AF1209" s="7">
        <f>IF($E1209="","",Z1209-AE1209)</f>
        <v/>
      </c>
      <c r="AG1209" s="7">
        <f>IF($E1209="","",AF1209-Q1209)</f>
        <v/>
      </c>
      <c r="AK1209" s="7" t="n"/>
      <c r="AN1209" s="14" t="n"/>
      <c r="AQ1209">
        <f>IF($E1209="","",IF(COUNTIF($E$2:$E1209,$E1209)=1,1,0))</f>
        <v/>
      </c>
      <c r="AR1209">
        <f>IF($AQ1209=1,SUMPRODUCT(--($AU$2:$AU$1501&lt;$AU1209))+1,"")</f>
        <v/>
      </c>
      <c r="AS1209">
        <f>IF($E1209="","",IF(OR($U1209=TRUE(),$U1209="TRUE"),1,0))</f>
        <v/>
      </c>
      <c r="AT1209">
        <f>IF($E1209="","",IF($AC1209="Yes",1,0))</f>
        <v/>
      </c>
      <c r="AU1209">
        <f>IF($AQ1209=1,IFERROR(IF(VALUE($E1209)&lt;100000000,VALUE($E1209),1000000000),IFERROR(IF(VALUE(MID($E1209,2,20))&lt;100000000,VALUE(MID($E1209,2,20)),1000000000),1000000000))+ROW()/100000,"")</f>
        <v/>
      </c>
    </row>
    <row r="1210">
      <c r="G1210" s="14" t="n"/>
      <c r="Q1210" s="7">
        <f>IF($E1210="","",P1210*Z1210/100)</f>
        <v/>
      </c>
      <c r="R1210" s="7" t="n"/>
      <c r="Y1210" s="7" t="n"/>
      <c r="Z1210" s="7" t="n"/>
      <c r="AA1210" s="7" t="n"/>
      <c r="AD1210">
        <f>IF($E1210="","",IF($AT1210=1,Settings!$C$8,IF($AS1210=1,Settings!$C$6,Settings!$C$7))*100)</f>
        <v/>
      </c>
      <c r="AE1210" s="7">
        <f>IF($E1210="","",Z1210*AD1210/100)</f>
        <v/>
      </c>
      <c r="AF1210" s="7">
        <f>IF($E1210="","",Z1210-AE1210)</f>
        <v/>
      </c>
      <c r="AG1210" s="7">
        <f>IF($E1210="","",AF1210-Q1210)</f>
        <v/>
      </c>
      <c r="AK1210" s="7" t="n"/>
      <c r="AN1210" s="14" t="n"/>
      <c r="AQ1210">
        <f>IF($E1210="","",IF(COUNTIF($E$2:$E1210,$E1210)=1,1,0))</f>
        <v/>
      </c>
      <c r="AR1210">
        <f>IF($AQ1210=1,SUMPRODUCT(--($AU$2:$AU$1501&lt;$AU1210))+1,"")</f>
        <v/>
      </c>
      <c r="AS1210">
        <f>IF($E1210="","",IF(OR($U1210=TRUE(),$U1210="TRUE"),1,0))</f>
        <v/>
      </c>
      <c r="AT1210">
        <f>IF($E1210="","",IF($AC1210="Yes",1,0))</f>
        <v/>
      </c>
      <c r="AU1210">
        <f>IF($AQ1210=1,IFERROR(IF(VALUE($E1210)&lt;100000000,VALUE($E1210),1000000000),IFERROR(IF(VALUE(MID($E1210,2,20))&lt;100000000,VALUE(MID($E1210,2,20)),1000000000),1000000000))+ROW()/100000,"")</f>
        <v/>
      </c>
    </row>
    <row r="1211">
      <c r="G1211" s="14" t="n"/>
      <c r="Q1211" s="7">
        <f>IF($E1211="","",P1211*Z1211/100)</f>
        <v/>
      </c>
      <c r="R1211" s="7" t="n"/>
      <c r="Y1211" s="7" t="n"/>
      <c r="Z1211" s="7" t="n"/>
      <c r="AA1211" s="7" t="n"/>
      <c r="AD1211">
        <f>IF($E1211="","",IF($AT1211=1,Settings!$C$8,IF($AS1211=1,Settings!$C$6,Settings!$C$7))*100)</f>
        <v/>
      </c>
      <c r="AE1211" s="7">
        <f>IF($E1211="","",Z1211*AD1211/100)</f>
        <v/>
      </c>
      <c r="AF1211" s="7">
        <f>IF($E1211="","",Z1211-AE1211)</f>
        <v/>
      </c>
      <c r="AG1211" s="7">
        <f>IF($E1211="","",AF1211-Q1211)</f>
        <v/>
      </c>
      <c r="AK1211" s="7" t="n"/>
      <c r="AN1211" s="14" t="n"/>
      <c r="AQ1211">
        <f>IF($E1211="","",IF(COUNTIF($E$2:$E1211,$E1211)=1,1,0))</f>
        <v/>
      </c>
      <c r="AR1211">
        <f>IF($AQ1211=1,SUMPRODUCT(--($AU$2:$AU$1501&lt;$AU1211))+1,"")</f>
        <v/>
      </c>
      <c r="AS1211">
        <f>IF($E1211="","",IF(OR($U1211=TRUE(),$U1211="TRUE"),1,0))</f>
        <v/>
      </c>
      <c r="AT1211">
        <f>IF($E1211="","",IF($AC1211="Yes",1,0))</f>
        <v/>
      </c>
      <c r="AU1211">
        <f>IF($AQ1211=1,IFERROR(IF(VALUE($E1211)&lt;100000000,VALUE($E1211),1000000000),IFERROR(IF(VALUE(MID($E1211,2,20))&lt;100000000,VALUE(MID($E1211,2,20)),1000000000),1000000000))+ROW()/100000,"")</f>
        <v/>
      </c>
    </row>
    <row r="1212">
      <c r="G1212" s="14" t="n"/>
      <c r="Q1212" s="7">
        <f>IF($E1212="","",P1212*Z1212/100)</f>
        <v/>
      </c>
      <c r="R1212" s="7" t="n"/>
      <c r="Y1212" s="7" t="n"/>
      <c r="Z1212" s="7" t="n"/>
      <c r="AA1212" s="7" t="n"/>
      <c r="AD1212">
        <f>IF($E1212="","",IF($AT1212=1,Settings!$C$8,IF($AS1212=1,Settings!$C$6,Settings!$C$7))*100)</f>
        <v/>
      </c>
      <c r="AE1212" s="7">
        <f>IF($E1212="","",Z1212*AD1212/100)</f>
        <v/>
      </c>
      <c r="AF1212" s="7">
        <f>IF($E1212="","",Z1212-AE1212)</f>
        <v/>
      </c>
      <c r="AG1212" s="7">
        <f>IF($E1212="","",AF1212-Q1212)</f>
        <v/>
      </c>
      <c r="AK1212" s="7" t="n"/>
      <c r="AN1212" s="14" t="n"/>
      <c r="AQ1212">
        <f>IF($E1212="","",IF(COUNTIF($E$2:$E1212,$E1212)=1,1,0))</f>
        <v/>
      </c>
      <c r="AR1212">
        <f>IF($AQ1212=1,SUMPRODUCT(--($AU$2:$AU$1501&lt;$AU1212))+1,"")</f>
        <v/>
      </c>
      <c r="AS1212">
        <f>IF($E1212="","",IF(OR($U1212=TRUE(),$U1212="TRUE"),1,0))</f>
        <v/>
      </c>
      <c r="AT1212">
        <f>IF($E1212="","",IF($AC1212="Yes",1,0))</f>
        <v/>
      </c>
      <c r="AU1212">
        <f>IF($AQ1212=1,IFERROR(IF(VALUE($E1212)&lt;100000000,VALUE($E1212),1000000000),IFERROR(IF(VALUE(MID($E1212,2,20))&lt;100000000,VALUE(MID($E1212,2,20)),1000000000),1000000000))+ROW()/100000,"")</f>
        <v/>
      </c>
    </row>
    <row r="1213">
      <c r="G1213" s="14" t="n"/>
      <c r="Q1213" s="7">
        <f>IF($E1213="","",P1213*Z1213/100)</f>
        <v/>
      </c>
      <c r="R1213" s="7" t="n"/>
      <c r="Y1213" s="7" t="n"/>
      <c r="Z1213" s="7" t="n"/>
      <c r="AA1213" s="7" t="n"/>
      <c r="AD1213">
        <f>IF($E1213="","",IF($AT1213=1,Settings!$C$8,IF($AS1213=1,Settings!$C$6,Settings!$C$7))*100)</f>
        <v/>
      </c>
      <c r="AE1213" s="7">
        <f>IF($E1213="","",Z1213*AD1213/100)</f>
        <v/>
      </c>
      <c r="AF1213" s="7">
        <f>IF($E1213="","",Z1213-AE1213)</f>
        <v/>
      </c>
      <c r="AG1213" s="7">
        <f>IF($E1213="","",AF1213-Q1213)</f>
        <v/>
      </c>
      <c r="AK1213" s="7" t="n"/>
      <c r="AN1213" s="14" t="n"/>
      <c r="AQ1213">
        <f>IF($E1213="","",IF(COUNTIF($E$2:$E1213,$E1213)=1,1,0))</f>
        <v/>
      </c>
      <c r="AR1213">
        <f>IF($AQ1213=1,SUMPRODUCT(--($AU$2:$AU$1501&lt;$AU1213))+1,"")</f>
        <v/>
      </c>
      <c r="AS1213">
        <f>IF($E1213="","",IF(OR($U1213=TRUE(),$U1213="TRUE"),1,0))</f>
        <v/>
      </c>
      <c r="AT1213">
        <f>IF($E1213="","",IF($AC1213="Yes",1,0))</f>
        <v/>
      </c>
      <c r="AU1213">
        <f>IF($AQ1213=1,IFERROR(IF(VALUE($E1213)&lt;100000000,VALUE($E1213),1000000000),IFERROR(IF(VALUE(MID($E1213,2,20))&lt;100000000,VALUE(MID($E1213,2,20)),1000000000),1000000000))+ROW()/100000,"")</f>
        <v/>
      </c>
    </row>
    <row r="1214">
      <c r="G1214" s="14" t="n"/>
      <c r="Q1214" s="7">
        <f>IF($E1214="","",P1214*Z1214/100)</f>
        <v/>
      </c>
      <c r="R1214" s="7" t="n"/>
      <c r="Y1214" s="7" t="n"/>
      <c r="Z1214" s="7" t="n"/>
      <c r="AA1214" s="7" t="n"/>
      <c r="AD1214">
        <f>IF($E1214="","",IF($AT1214=1,Settings!$C$8,IF($AS1214=1,Settings!$C$6,Settings!$C$7))*100)</f>
        <v/>
      </c>
      <c r="AE1214" s="7">
        <f>IF($E1214="","",Z1214*AD1214/100)</f>
        <v/>
      </c>
      <c r="AF1214" s="7">
        <f>IF($E1214="","",Z1214-AE1214)</f>
        <v/>
      </c>
      <c r="AG1214" s="7">
        <f>IF($E1214="","",AF1214-Q1214)</f>
        <v/>
      </c>
      <c r="AK1214" s="7" t="n"/>
      <c r="AN1214" s="14" t="n"/>
      <c r="AQ1214">
        <f>IF($E1214="","",IF(COUNTIF($E$2:$E1214,$E1214)=1,1,0))</f>
        <v/>
      </c>
      <c r="AR1214">
        <f>IF($AQ1214=1,SUMPRODUCT(--($AU$2:$AU$1501&lt;$AU1214))+1,"")</f>
        <v/>
      </c>
      <c r="AS1214">
        <f>IF($E1214="","",IF(OR($U1214=TRUE(),$U1214="TRUE"),1,0))</f>
        <v/>
      </c>
      <c r="AT1214">
        <f>IF($E1214="","",IF($AC1214="Yes",1,0))</f>
        <v/>
      </c>
      <c r="AU1214">
        <f>IF($AQ1214=1,IFERROR(IF(VALUE($E1214)&lt;100000000,VALUE($E1214),1000000000),IFERROR(IF(VALUE(MID($E1214,2,20))&lt;100000000,VALUE(MID($E1214,2,20)),1000000000),1000000000))+ROW()/100000,"")</f>
        <v/>
      </c>
    </row>
    <row r="1215">
      <c r="G1215" s="14" t="n"/>
      <c r="Q1215" s="7">
        <f>IF($E1215="","",P1215*Z1215/100)</f>
        <v/>
      </c>
      <c r="R1215" s="7" t="n"/>
      <c r="Y1215" s="7" t="n"/>
      <c r="Z1215" s="7" t="n"/>
      <c r="AA1215" s="7" t="n"/>
      <c r="AD1215">
        <f>IF($E1215="","",IF($AT1215=1,Settings!$C$8,IF($AS1215=1,Settings!$C$6,Settings!$C$7))*100)</f>
        <v/>
      </c>
      <c r="AE1215" s="7">
        <f>IF($E1215="","",Z1215*AD1215/100)</f>
        <v/>
      </c>
      <c r="AF1215" s="7">
        <f>IF($E1215="","",Z1215-AE1215)</f>
        <v/>
      </c>
      <c r="AG1215" s="7">
        <f>IF($E1215="","",AF1215-Q1215)</f>
        <v/>
      </c>
      <c r="AK1215" s="7" t="n"/>
      <c r="AN1215" s="14" t="n"/>
      <c r="AQ1215">
        <f>IF($E1215="","",IF(COUNTIF($E$2:$E1215,$E1215)=1,1,0))</f>
        <v/>
      </c>
      <c r="AR1215">
        <f>IF($AQ1215=1,SUMPRODUCT(--($AU$2:$AU$1501&lt;$AU1215))+1,"")</f>
        <v/>
      </c>
      <c r="AS1215">
        <f>IF($E1215="","",IF(OR($U1215=TRUE(),$U1215="TRUE"),1,0))</f>
        <v/>
      </c>
      <c r="AT1215">
        <f>IF($E1215="","",IF($AC1215="Yes",1,0))</f>
        <v/>
      </c>
      <c r="AU1215">
        <f>IF($AQ1215=1,IFERROR(IF(VALUE($E1215)&lt;100000000,VALUE($E1215),1000000000),IFERROR(IF(VALUE(MID($E1215,2,20))&lt;100000000,VALUE(MID($E1215,2,20)),1000000000),1000000000))+ROW()/100000,"")</f>
        <v/>
      </c>
    </row>
    <row r="1216">
      <c r="G1216" s="14" t="n"/>
      <c r="Q1216" s="7">
        <f>IF($E1216="","",P1216*Z1216/100)</f>
        <v/>
      </c>
      <c r="R1216" s="7" t="n"/>
      <c r="Y1216" s="7" t="n"/>
      <c r="Z1216" s="7" t="n"/>
      <c r="AA1216" s="7" t="n"/>
      <c r="AD1216">
        <f>IF($E1216="","",IF($AT1216=1,Settings!$C$8,IF($AS1216=1,Settings!$C$6,Settings!$C$7))*100)</f>
        <v/>
      </c>
      <c r="AE1216" s="7">
        <f>IF($E1216="","",Z1216*AD1216/100)</f>
        <v/>
      </c>
      <c r="AF1216" s="7">
        <f>IF($E1216="","",Z1216-AE1216)</f>
        <v/>
      </c>
      <c r="AG1216" s="7">
        <f>IF($E1216="","",AF1216-Q1216)</f>
        <v/>
      </c>
      <c r="AK1216" s="7" t="n"/>
      <c r="AN1216" s="14" t="n"/>
      <c r="AQ1216">
        <f>IF($E1216="","",IF(COUNTIF($E$2:$E1216,$E1216)=1,1,0))</f>
        <v/>
      </c>
      <c r="AR1216">
        <f>IF($AQ1216=1,SUMPRODUCT(--($AU$2:$AU$1501&lt;$AU1216))+1,"")</f>
        <v/>
      </c>
      <c r="AS1216">
        <f>IF($E1216="","",IF(OR($U1216=TRUE(),$U1216="TRUE"),1,0))</f>
        <v/>
      </c>
      <c r="AT1216">
        <f>IF($E1216="","",IF($AC1216="Yes",1,0))</f>
        <v/>
      </c>
      <c r="AU1216">
        <f>IF($AQ1216=1,IFERROR(IF(VALUE($E1216)&lt;100000000,VALUE($E1216),1000000000),IFERROR(IF(VALUE(MID($E1216,2,20))&lt;100000000,VALUE(MID($E1216,2,20)),1000000000),1000000000))+ROW()/100000,"")</f>
        <v/>
      </c>
    </row>
    <row r="1217">
      <c r="G1217" s="14" t="n"/>
      <c r="Q1217" s="7">
        <f>IF($E1217="","",P1217*Z1217/100)</f>
        <v/>
      </c>
      <c r="R1217" s="7" t="n"/>
      <c r="Y1217" s="7" t="n"/>
      <c r="Z1217" s="7" t="n"/>
      <c r="AA1217" s="7" t="n"/>
      <c r="AD1217">
        <f>IF($E1217="","",IF($AT1217=1,Settings!$C$8,IF($AS1217=1,Settings!$C$6,Settings!$C$7))*100)</f>
        <v/>
      </c>
      <c r="AE1217" s="7">
        <f>IF($E1217="","",Z1217*AD1217/100)</f>
        <v/>
      </c>
      <c r="AF1217" s="7">
        <f>IF($E1217="","",Z1217-AE1217)</f>
        <v/>
      </c>
      <c r="AG1217" s="7">
        <f>IF($E1217="","",AF1217-Q1217)</f>
        <v/>
      </c>
      <c r="AK1217" s="7" t="n"/>
      <c r="AN1217" s="14" t="n"/>
      <c r="AQ1217">
        <f>IF($E1217="","",IF(COUNTIF($E$2:$E1217,$E1217)=1,1,0))</f>
        <v/>
      </c>
      <c r="AR1217">
        <f>IF($AQ1217=1,SUMPRODUCT(--($AU$2:$AU$1501&lt;$AU1217))+1,"")</f>
        <v/>
      </c>
      <c r="AS1217">
        <f>IF($E1217="","",IF(OR($U1217=TRUE(),$U1217="TRUE"),1,0))</f>
        <v/>
      </c>
      <c r="AT1217">
        <f>IF($E1217="","",IF($AC1217="Yes",1,0))</f>
        <v/>
      </c>
      <c r="AU1217">
        <f>IF($AQ1217=1,IFERROR(IF(VALUE($E1217)&lt;100000000,VALUE($E1217),1000000000),IFERROR(IF(VALUE(MID($E1217,2,20))&lt;100000000,VALUE(MID($E1217,2,20)),1000000000),1000000000))+ROW()/100000,"")</f>
        <v/>
      </c>
    </row>
    <row r="1218">
      <c r="G1218" s="14" t="n"/>
      <c r="Q1218" s="7">
        <f>IF($E1218="","",P1218*Z1218/100)</f>
        <v/>
      </c>
      <c r="R1218" s="7" t="n"/>
      <c r="Y1218" s="7" t="n"/>
      <c r="Z1218" s="7" t="n"/>
      <c r="AA1218" s="7" t="n"/>
      <c r="AD1218">
        <f>IF($E1218="","",IF($AT1218=1,Settings!$C$8,IF($AS1218=1,Settings!$C$6,Settings!$C$7))*100)</f>
        <v/>
      </c>
      <c r="AE1218" s="7">
        <f>IF($E1218="","",Z1218*AD1218/100)</f>
        <v/>
      </c>
      <c r="AF1218" s="7">
        <f>IF($E1218="","",Z1218-AE1218)</f>
        <v/>
      </c>
      <c r="AG1218" s="7">
        <f>IF($E1218="","",AF1218-Q1218)</f>
        <v/>
      </c>
      <c r="AK1218" s="7" t="n"/>
      <c r="AN1218" s="14" t="n"/>
      <c r="AQ1218">
        <f>IF($E1218="","",IF(COUNTIF($E$2:$E1218,$E1218)=1,1,0))</f>
        <v/>
      </c>
      <c r="AR1218">
        <f>IF($AQ1218=1,SUMPRODUCT(--($AU$2:$AU$1501&lt;$AU1218))+1,"")</f>
        <v/>
      </c>
      <c r="AS1218">
        <f>IF($E1218="","",IF(OR($U1218=TRUE(),$U1218="TRUE"),1,0))</f>
        <v/>
      </c>
      <c r="AT1218">
        <f>IF($E1218="","",IF($AC1218="Yes",1,0))</f>
        <v/>
      </c>
      <c r="AU1218">
        <f>IF($AQ1218=1,IFERROR(IF(VALUE($E1218)&lt;100000000,VALUE($E1218),1000000000),IFERROR(IF(VALUE(MID($E1218,2,20))&lt;100000000,VALUE(MID($E1218,2,20)),1000000000),1000000000))+ROW()/100000,"")</f>
        <v/>
      </c>
    </row>
    <row r="1219">
      <c r="G1219" s="14" t="n"/>
      <c r="Q1219" s="7">
        <f>IF($E1219="","",P1219*Z1219/100)</f>
        <v/>
      </c>
      <c r="R1219" s="7" t="n"/>
      <c r="Y1219" s="7" t="n"/>
      <c r="Z1219" s="7" t="n"/>
      <c r="AA1219" s="7" t="n"/>
      <c r="AD1219">
        <f>IF($E1219="","",IF($AT1219=1,Settings!$C$8,IF($AS1219=1,Settings!$C$6,Settings!$C$7))*100)</f>
        <v/>
      </c>
      <c r="AE1219" s="7">
        <f>IF($E1219="","",Z1219*AD1219/100)</f>
        <v/>
      </c>
      <c r="AF1219" s="7">
        <f>IF($E1219="","",Z1219-AE1219)</f>
        <v/>
      </c>
      <c r="AG1219" s="7">
        <f>IF($E1219="","",AF1219-Q1219)</f>
        <v/>
      </c>
      <c r="AK1219" s="7" t="n"/>
      <c r="AN1219" s="14" t="n"/>
      <c r="AQ1219">
        <f>IF($E1219="","",IF(COUNTIF($E$2:$E1219,$E1219)=1,1,0))</f>
        <v/>
      </c>
      <c r="AR1219">
        <f>IF($AQ1219=1,SUMPRODUCT(--($AU$2:$AU$1501&lt;$AU1219))+1,"")</f>
        <v/>
      </c>
      <c r="AS1219">
        <f>IF($E1219="","",IF(OR($U1219=TRUE(),$U1219="TRUE"),1,0))</f>
        <v/>
      </c>
      <c r="AT1219">
        <f>IF($E1219="","",IF($AC1219="Yes",1,0))</f>
        <v/>
      </c>
      <c r="AU1219">
        <f>IF($AQ1219=1,IFERROR(IF(VALUE($E1219)&lt;100000000,VALUE($E1219),1000000000),IFERROR(IF(VALUE(MID($E1219,2,20))&lt;100000000,VALUE(MID($E1219,2,20)),1000000000),1000000000))+ROW()/100000,"")</f>
        <v/>
      </c>
    </row>
    <row r="1220">
      <c r="G1220" s="14" t="n"/>
      <c r="Q1220" s="7">
        <f>IF($E1220="","",P1220*Z1220/100)</f>
        <v/>
      </c>
      <c r="R1220" s="7" t="n"/>
      <c r="Y1220" s="7" t="n"/>
      <c r="Z1220" s="7" t="n"/>
      <c r="AA1220" s="7" t="n"/>
      <c r="AD1220">
        <f>IF($E1220="","",IF($AT1220=1,Settings!$C$8,IF($AS1220=1,Settings!$C$6,Settings!$C$7))*100)</f>
        <v/>
      </c>
      <c r="AE1220" s="7">
        <f>IF($E1220="","",Z1220*AD1220/100)</f>
        <v/>
      </c>
      <c r="AF1220" s="7">
        <f>IF($E1220="","",Z1220-AE1220)</f>
        <v/>
      </c>
      <c r="AG1220" s="7">
        <f>IF($E1220="","",AF1220-Q1220)</f>
        <v/>
      </c>
      <c r="AK1220" s="7" t="n"/>
      <c r="AN1220" s="14" t="n"/>
      <c r="AQ1220">
        <f>IF($E1220="","",IF(COUNTIF($E$2:$E1220,$E1220)=1,1,0))</f>
        <v/>
      </c>
      <c r="AR1220">
        <f>IF($AQ1220=1,SUMPRODUCT(--($AU$2:$AU$1501&lt;$AU1220))+1,"")</f>
        <v/>
      </c>
      <c r="AS1220">
        <f>IF($E1220="","",IF(OR($U1220=TRUE(),$U1220="TRUE"),1,0))</f>
        <v/>
      </c>
      <c r="AT1220">
        <f>IF($E1220="","",IF($AC1220="Yes",1,0))</f>
        <v/>
      </c>
      <c r="AU1220">
        <f>IF($AQ1220=1,IFERROR(IF(VALUE($E1220)&lt;100000000,VALUE($E1220),1000000000),IFERROR(IF(VALUE(MID($E1220,2,20))&lt;100000000,VALUE(MID($E1220,2,20)),1000000000),1000000000))+ROW()/100000,"")</f>
        <v/>
      </c>
    </row>
    <row r="1221">
      <c r="G1221" s="14" t="n"/>
      <c r="Q1221" s="7">
        <f>IF($E1221="","",P1221*Z1221/100)</f>
        <v/>
      </c>
      <c r="R1221" s="7" t="n"/>
      <c r="Y1221" s="7" t="n"/>
      <c r="Z1221" s="7" t="n"/>
      <c r="AA1221" s="7" t="n"/>
      <c r="AD1221">
        <f>IF($E1221="","",IF($AT1221=1,Settings!$C$8,IF($AS1221=1,Settings!$C$6,Settings!$C$7))*100)</f>
        <v/>
      </c>
      <c r="AE1221" s="7">
        <f>IF($E1221="","",Z1221*AD1221/100)</f>
        <v/>
      </c>
      <c r="AF1221" s="7">
        <f>IF($E1221="","",Z1221-AE1221)</f>
        <v/>
      </c>
      <c r="AG1221" s="7">
        <f>IF($E1221="","",AF1221-Q1221)</f>
        <v/>
      </c>
      <c r="AK1221" s="7" t="n"/>
      <c r="AN1221" s="14" t="n"/>
      <c r="AQ1221">
        <f>IF($E1221="","",IF(COUNTIF($E$2:$E1221,$E1221)=1,1,0))</f>
        <v/>
      </c>
      <c r="AR1221">
        <f>IF($AQ1221=1,SUMPRODUCT(--($AU$2:$AU$1501&lt;$AU1221))+1,"")</f>
        <v/>
      </c>
      <c r="AS1221">
        <f>IF($E1221="","",IF(OR($U1221=TRUE(),$U1221="TRUE"),1,0))</f>
        <v/>
      </c>
      <c r="AT1221">
        <f>IF($E1221="","",IF($AC1221="Yes",1,0))</f>
        <v/>
      </c>
      <c r="AU1221">
        <f>IF($AQ1221=1,IFERROR(IF(VALUE($E1221)&lt;100000000,VALUE($E1221),1000000000),IFERROR(IF(VALUE(MID($E1221,2,20))&lt;100000000,VALUE(MID($E1221,2,20)),1000000000),1000000000))+ROW()/100000,"")</f>
        <v/>
      </c>
    </row>
    <row r="1222">
      <c r="G1222" s="14" t="n"/>
      <c r="Q1222" s="7">
        <f>IF($E1222="","",P1222*Z1222/100)</f>
        <v/>
      </c>
      <c r="R1222" s="7" t="n"/>
      <c r="Y1222" s="7" t="n"/>
      <c r="Z1222" s="7" t="n"/>
      <c r="AA1222" s="7" t="n"/>
      <c r="AD1222">
        <f>IF($E1222="","",IF($AT1222=1,Settings!$C$8,IF($AS1222=1,Settings!$C$6,Settings!$C$7))*100)</f>
        <v/>
      </c>
      <c r="AE1222" s="7">
        <f>IF($E1222="","",Z1222*AD1222/100)</f>
        <v/>
      </c>
      <c r="AF1222" s="7">
        <f>IF($E1222="","",Z1222-AE1222)</f>
        <v/>
      </c>
      <c r="AG1222" s="7">
        <f>IF($E1222="","",AF1222-Q1222)</f>
        <v/>
      </c>
      <c r="AK1222" s="7" t="n"/>
      <c r="AN1222" s="14" t="n"/>
      <c r="AQ1222">
        <f>IF($E1222="","",IF(COUNTIF($E$2:$E1222,$E1222)=1,1,0))</f>
        <v/>
      </c>
      <c r="AR1222">
        <f>IF($AQ1222=1,SUMPRODUCT(--($AU$2:$AU$1501&lt;$AU1222))+1,"")</f>
        <v/>
      </c>
      <c r="AS1222">
        <f>IF($E1222="","",IF(OR($U1222=TRUE(),$U1222="TRUE"),1,0))</f>
        <v/>
      </c>
      <c r="AT1222">
        <f>IF($E1222="","",IF($AC1222="Yes",1,0))</f>
        <v/>
      </c>
      <c r="AU1222">
        <f>IF($AQ1222=1,IFERROR(IF(VALUE($E1222)&lt;100000000,VALUE($E1222),1000000000),IFERROR(IF(VALUE(MID($E1222,2,20))&lt;100000000,VALUE(MID($E1222,2,20)),1000000000),1000000000))+ROW()/100000,"")</f>
        <v/>
      </c>
    </row>
    <row r="1223">
      <c r="G1223" s="14" t="n"/>
      <c r="Q1223" s="7">
        <f>IF($E1223="","",P1223*Z1223/100)</f>
        <v/>
      </c>
      <c r="R1223" s="7" t="n"/>
      <c r="Y1223" s="7" t="n"/>
      <c r="Z1223" s="7" t="n"/>
      <c r="AA1223" s="7" t="n"/>
      <c r="AD1223">
        <f>IF($E1223="","",IF($AT1223=1,Settings!$C$8,IF($AS1223=1,Settings!$C$6,Settings!$C$7))*100)</f>
        <v/>
      </c>
      <c r="AE1223" s="7">
        <f>IF($E1223="","",Z1223*AD1223/100)</f>
        <v/>
      </c>
      <c r="AF1223" s="7">
        <f>IF($E1223="","",Z1223-AE1223)</f>
        <v/>
      </c>
      <c r="AG1223" s="7">
        <f>IF($E1223="","",AF1223-Q1223)</f>
        <v/>
      </c>
      <c r="AK1223" s="7" t="n"/>
      <c r="AN1223" s="14" t="n"/>
      <c r="AQ1223">
        <f>IF($E1223="","",IF(COUNTIF($E$2:$E1223,$E1223)=1,1,0))</f>
        <v/>
      </c>
      <c r="AR1223">
        <f>IF($AQ1223=1,SUMPRODUCT(--($AU$2:$AU$1501&lt;$AU1223))+1,"")</f>
        <v/>
      </c>
      <c r="AS1223">
        <f>IF($E1223="","",IF(OR($U1223=TRUE(),$U1223="TRUE"),1,0))</f>
        <v/>
      </c>
      <c r="AT1223">
        <f>IF($E1223="","",IF($AC1223="Yes",1,0))</f>
        <v/>
      </c>
      <c r="AU1223">
        <f>IF($AQ1223=1,IFERROR(IF(VALUE($E1223)&lt;100000000,VALUE($E1223),1000000000),IFERROR(IF(VALUE(MID($E1223,2,20))&lt;100000000,VALUE(MID($E1223,2,20)),1000000000),1000000000))+ROW()/100000,"")</f>
        <v/>
      </c>
    </row>
    <row r="1224">
      <c r="G1224" s="14" t="n"/>
      <c r="Q1224" s="7">
        <f>IF($E1224="","",P1224*Z1224/100)</f>
        <v/>
      </c>
      <c r="R1224" s="7" t="n"/>
      <c r="Y1224" s="7" t="n"/>
      <c r="Z1224" s="7" t="n"/>
      <c r="AA1224" s="7" t="n"/>
      <c r="AD1224">
        <f>IF($E1224="","",IF($AT1224=1,Settings!$C$8,IF($AS1224=1,Settings!$C$6,Settings!$C$7))*100)</f>
        <v/>
      </c>
      <c r="AE1224" s="7">
        <f>IF($E1224="","",Z1224*AD1224/100)</f>
        <v/>
      </c>
      <c r="AF1224" s="7">
        <f>IF($E1224="","",Z1224-AE1224)</f>
        <v/>
      </c>
      <c r="AG1224" s="7">
        <f>IF($E1224="","",AF1224-Q1224)</f>
        <v/>
      </c>
      <c r="AK1224" s="7" t="n"/>
      <c r="AN1224" s="14" t="n"/>
      <c r="AQ1224">
        <f>IF($E1224="","",IF(COUNTIF($E$2:$E1224,$E1224)=1,1,0))</f>
        <v/>
      </c>
      <c r="AR1224">
        <f>IF($AQ1224=1,SUMPRODUCT(--($AU$2:$AU$1501&lt;$AU1224))+1,"")</f>
        <v/>
      </c>
      <c r="AS1224">
        <f>IF($E1224="","",IF(OR($U1224=TRUE(),$U1224="TRUE"),1,0))</f>
        <v/>
      </c>
      <c r="AT1224">
        <f>IF($E1224="","",IF($AC1224="Yes",1,0))</f>
        <v/>
      </c>
      <c r="AU1224">
        <f>IF($AQ1224=1,IFERROR(IF(VALUE($E1224)&lt;100000000,VALUE($E1224),1000000000),IFERROR(IF(VALUE(MID($E1224,2,20))&lt;100000000,VALUE(MID($E1224,2,20)),1000000000),1000000000))+ROW()/100000,"")</f>
        <v/>
      </c>
    </row>
    <row r="1225">
      <c r="G1225" s="14" t="n"/>
      <c r="Q1225" s="7">
        <f>IF($E1225="","",P1225*Z1225/100)</f>
        <v/>
      </c>
      <c r="R1225" s="7" t="n"/>
      <c r="Y1225" s="7" t="n"/>
      <c r="Z1225" s="7" t="n"/>
      <c r="AA1225" s="7" t="n"/>
      <c r="AD1225">
        <f>IF($E1225="","",IF($AT1225=1,Settings!$C$8,IF($AS1225=1,Settings!$C$6,Settings!$C$7))*100)</f>
        <v/>
      </c>
      <c r="AE1225" s="7">
        <f>IF($E1225="","",Z1225*AD1225/100)</f>
        <v/>
      </c>
      <c r="AF1225" s="7">
        <f>IF($E1225="","",Z1225-AE1225)</f>
        <v/>
      </c>
      <c r="AG1225" s="7">
        <f>IF($E1225="","",AF1225-Q1225)</f>
        <v/>
      </c>
      <c r="AK1225" s="7" t="n"/>
      <c r="AN1225" s="14" t="n"/>
      <c r="AQ1225">
        <f>IF($E1225="","",IF(COUNTIF($E$2:$E1225,$E1225)=1,1,0))</f>
        <v/>
      </c>
      <c r="AR1225">
        <f>IF($AQ1225=1,SUMPRODUCT(--($AU$2:$AU$1501&lt;$AU1225))+1,"")</f>
        <v/>
      </c>
      <c r="AS1225">
        <f>IF($E1225="","",IF(OR($U1225=TRUE(),$U1225="TRUE"),1,0))</f>
        <v/>
      </c>
      <c r="AT1225">
        <f>IF($E1225="","",IF($AC1225="Yes",1,0))</f>
        <v/>
      </c>
      <c r="AU1225">
        <f>IF($AQ1225=1,IFERROR(IF(VALUE($E1225)&lt;100000000,VALUE($E1225),1000000000),IFERROR(IF(VALUE(MID($E1225,2,20))&lt;100000000,VALUE(MID($E1225,2,20)),1000000000),1000000000))+ROW()/100000,"")</f>
        <v/>
      </c>
    </row>
    <row r="1226">
      <c r="G1226" s="14" t="n"/>
      <c r="Q1226" s="7">
        <f>IF($E1226="","",P1226*Z1226/100)</f>
        <v/>
      </c>
      <c r="R1226" s="7" t="n"/>
      <c r="Y1226" s="7" t="n"/>
      <c r="Z1226" s="7" t="n"/>
      <c r="AA1226" s="7" t="n"/>
      <c r="AD1226">
        <f>IF($E1226="","",IF($AT1226=1,Settings!$C$8,IF($AS1226=1,Settings!$C$6,Settings!$C$7))*100)</f>
        <v/>
      </c>
      <c r="AE1226" s="7">
        <f>IF($E1226="","",Z1226*AD1226/100)</f>
        <v/>
      </c>
      <c r="AF1226" s="7">
        <f>IF($E1226="","",Z1226-AE1226)</f>
        <v/>
      </c>
      <c r="AG1226" s="7">
        <f>IF($E1226="","",AF1226-Q1226)</f>
        <v/>
      </c>
      <c r="AK1226" s="7" t="n"/>
      <c r="AN1226" s="14" t="n"/>
      <c r="AQ1226">
        <f>IF($E1226="","",IF(COUNTIF($E$2:$E1226,$E1226)=1,1,0))</f>
        <v/>
      </c>
      <c r="AR1226">
        <f>IF($AQ1226=1,SUMPRODUCT(--($AU$2:$AU$1501&lt;$AU1226))+1,"")</f>
        <v/>
      </c>
      <c r="AS1226">
        <f>IF($E1226="","",IF(OR($U1226=TRUE(),$U1226="TRUE"),1,0))</f>
        <v/>
      </c>
      <c r="AT1226">
        <f>IF($E1226="","",IF($AC1226="Yes",1,0))</f>
        <v/>
      </c>
      <c r="AU1226">
        <f>IF($AQ1226=1,IFERROR(IF(VALUE($E1226)&lt;100000000,VALUE($E1226),1000000000),IFERROR(IF(VALUE(MID($E1226,2,20))&lt;100000000,VALUE(MID($E1226,2,20)),1000000000),1000000000))+ROW()/100000,"")</f>
        <v/>
      </c>
    </row>
    <row r="1227">
      <c r="G1227" s="14" t="n"/>
      <c r="Q1227" s="7">
        <f>IF($E1227="","",P1227*Z1227/100)</f>
        <v/>
      </c>
      <c r="R1227" s="7" t="n"/>
      <c r="Y1227" s="7" t="n"/>
      <c r="Z1227" s="7" t="n"/>
      <c r="AA1227" s="7" t="n"/>
      <c r="AD1227">
        <f>IF($E1227="","",IF($AT1227=1,Settings!$C$8,IF($AS1227=1,Settings!$C$6,Settings!$C$7))*100)</f>
        <v/>
      </c>
      <c r="AE1227" s="7">
        <f>IF($E1227="","",Z1227*AD1227/100)</f>
        <v/>
      </c>
      <c r="AF1227" s="7">
        <f>IF($E1227="","",Z1227-AE1227)</f>
        <v/>
      </c>
      <c r="AG1227" s="7">
        <f>IF($E1227="","",AF1227-Q1227)</f>
        <v/>
      </c>
      <c r="AK1227" s="7" t="n"/>
      <c r="AN1227" s="14" t="n"/>
      <c r="AQ1227">
        <f>IF($E1227="","",IF(COUNTIF($E$2:$E1227,$E1227)=1,1,0))</f>
        <v/>
      </c>
      <c r="AR1227">
        <f>IF($AQ1227=1,SUMPRODUCT(--($AU$2:$AU$1501&lt;$AU1227))+1,"")</f>
        <v/>
      </c>
      <c r="AS1227">
        <f>IF($E1227="","",IF(OR($U1227=TRUE(),$U1227="TRUE"),1,0))</f>
        <v/>
      </c>
      <c r="AT1227">
        <f>IF($E1227="","",IF($AC1227="Yes",1,0))</f>
        <v/>
      </c>
      <c r="AU1227">
        <f>IF($AQ1227=1,IFERROR(IF(VALUE($E1227)&lt;100000000,VALUE($E1227),1000000000),IFERROR(IF(VALUE(MID($E1227,2,20))&lt;100000000,VALUE(MID($E1227,2,20)),1000000000),1000000000))+ROW()/100000,"")</f>
        <v/>
      </c>
    </row>
    <row r="1228">
      <c r="G1228" s="14" t="n"/>
      <c r="Q1228" s="7">
        <f>IF($E1228="","",P1228*Z1228/100)</f>
        <v/>
      </c>
      <c r="R1228" s="7" t="n"/>
      <c r="Y1228" s="7" t="n"/>
      <c r="Z1228" s="7" t="n"/>
      <c r="AA1228" s="7" t="n"/>
      <c r="AD1228">
        <f>IF($E1228="","",IF($AT1228=1,Settings!$C$8,IF($AS1228=1,Settings!$C$6,Settings!$C$7))*100)</f>
        <v/>
      </c>
      <c r="AE1228" s="7">
        <f>IF($E1228="","",Z1228*AD1228/100)</f>
        <v/>
      </c>
      <c r="AF1228" s="7">
        <f>IF($E1228="","",Z1228-AE1228)</f>
        <v/>
      </c>
      <c r="AG1228" s="7">
        <f>IF($E1228="","",AF1228-Q1228)</f>
        <v/>
      </c>
      <c r="AK1228" s="7" t="n"/>
      <c r="AN1228" s="14" t="n"/>
      <c r="AQ1228">
        <f>IF($E1228="","",IF(COUNTIF($E$2:$E1228,$E1228)=1,1,0))</f>
        <v/>
      </c>
      <c r="AR1228">
        <f>IF($AQ1228=1,SUMPRODUCT(--($AU$2:$AU$1501&lt;$AU1228))+1,"")</f>
        <v/>
      </c>
      <c r="AS1228">
        <f>IF($E1228="","",IF(OR($U1228=TRUE(),$U1228="TRUE"),1,0))</f>
        <v/>
      </c>
      <c r="AT1228">
        <f>IF($E1228="","",IF($AC1228="Yes",1,0))</f>
        <v/>
      </c>
      <c r="AU1228">
        <f>IF($AQ1228=1,IFERROR(IF(VALUE($E1228)&lt;100000000,VALUE($E1228),1000000000),IFERROR(IF(VALUE(MID($E1228,2,20))&lt;100000000,VALUE(MID($E1228,2,20)),1000000000),1000000000))+ROW()/100000,"")</f>
        <v/>
      </c>
    </row>
    <row r="1229">
      <c r="G1229" s="14" t="n"/>
      <c r="Q1229" s="7">
        <f>IF($E1229="","",P1229*Z1229/100)</f>
        <v/>
      </c>
      <c r="R1229" s="7" t="n"/>
      <c r="Y1229" s="7" t="n"/>
      <c r="Z1229" s="7" t="n"/>
      <c r="AA1229" s="7" t="n"/>
      <c r="AD1229">
        <f>IF($E1229="","",IF($AT1229=1,Settings!$C$8,IF($AS1229=1,Settings!$C$6,Settings!$C$7))*100)</f>
        <v/>
      </c>
      <c r="AE1229" s="7">
        <f>IF($E1229="","",Z1229*AD1229/100)</f>
        <v/>
      </c>
      <c r="AF1229" s="7">
        <f>IF($E1229="","",Z1229-AE1229)</f>
        <v/>
      </c>
      <c r="AG1229" s="7">
        <f>IF($E1229="","",AF1229-Q1229)</f>
        <v/>
      </c>
      <c r="AK1229" s="7" t="n"/>
      <c r="AN1229" s="14" t="n"/>
      <c r="AQ1229">
        <f>IF($E1229="","",IF(COUNTIF($E$2:$E1229,$E1229)=1,1,0))</f>
        <v/>
      </c>
      <c r="AR1229">
        <f>IF($AQ1229=1,SUMPRODUCT(--($AU$2:$AU$1501&lt;$AU1229))+1,"")</f>
        <v/>
      </c>
      <c r="AS1229">
        <f>IF($E1229="","",IF(OR($U1229=TRUE(),$U1229="TRUE"),1,0))</f>
        <v/>
      </c>
      <c r="AT1229">
        <f>IF($E1229="","",IF($AC1229="Yes",1,0))</f>
        <v/>
      </c>
      <c r="AU1229">
        <f>IF($AQ1229=1,IFERROR(IF(VALUE($E1229)&lt;100000000,VALUE($E1229),1000000000),IFERROR(IF(VALUE(MID($E1229,2,20))&lt;100000000,VALUE(MID($E1229,2,20)),1000000000),1000000000))+ROW()/100000,"")</f>
        <v/>
      </c>
    </row>
    <row r="1230">
      <c r="G1230" s="14" t="n"/>
      <c r="Q1230" s="7">
        <f>IF($E1230="","",P1230*Z1230/100)</f>
        <v/>
      </c>
      <c r="R1230" s="7" t="n"/>
      <c r="Y1230" s="7" t="n"/>
      <c r="Z1230" s="7" t="n"/>
      <c r="AA1230" s="7" t="n"/>
      <c r="AD1230">
        <f>IF($E1230="","",IF($AT1230=1,Settings!$C$8,IF($AS1230=1,Settings!$C$6,Settings!$C$7))*100)</f>
        <v/>
      </c>
      <c r="AE1230" s="7">
        <f>IF($E1230="","",Z1230*AD1230/100)</f>
        <v/>
      </c>
      <c r="AF1230" s="7">
        <f>IF($E1230="","",Z1230-AE1230)</f>
        <v/>
      </c>
      <c r="AG1230" s="7">
        <f>IF($E1230="","",AF1230-Q1230)</f>
        <v/>
      </c>
      <c r="AK1230" s="7" t="n"/>
      <c r="AN1230" s="14" t="n"/>
      <c r="AQ1230">
        <f>IF($E1230="","",IF(COUNTIF($E$2:$E1230,$E1230)=1,1,0))</f>
        <v/>
      </c>
      <c r="AR1230">
        <f>IF($AQ1230=1,SUMPRODUCT(--($AU$2:$AU$1501&lt;$AU1230))+1,"")</f>
        <v/>
      </c>
      <c r="AS1230">
        <f>IF($E1230="","",IF(OR($U1230=TRUE(),$U1230="TRUE"),1,0))</f>
        <v/>
      </c>
      <c r="AT1230">
        <f>IF($E1230="","",IF($AC1230="Yes",1,0))</f>
        <v/>
      </c>
      <c r="AU1230">
        <f>IF($AQ1230=1,IFERROR(IF(VALUE($E1230)&lt;100000000,VALUE($E1230),1000000000),IFERROR(IF(VALUE(MID($E1230,2,20))&lt;100000000,VALUE(MID($E1230,2,20)),1000000000),1000000000))+ROW()/100000,"")</f>
        <v/>
      </c>
    </row>
    <row r="1231">
      <c r="G1231" s="14" t="n"/>
      <c r="Q1231" s="7">
        <f>IF($E1231="","",P1231*Z1231/100)</f>
        <v/>
      </c>
      <c r="R1231" s="7" t="n"/>
      <c r="Y1231" s="7" t="n"/>
      <c r="Z1231" s="7" t="n"/>
      <c r="AA1231" s="7" t="n"/>
      <c r="AD1231">
        <f>IF($E1231="","",IF($AT1231=1,Settings!$C$8,IF($AS1231=1,Settings!$C$6,Settings!$C$7))*100)</f>
        <v/>
      </c>
      <c r="AE1231" s="7">
        <f>IF($E1231="","",Z1231*AD1231/100)</f>
        <v/>
      </c>
      <c r="AF1231" s="7">
        <f>IF($E1231="","",Z1231-AE1231)</f>
        <v/>
      </c>
      <c r="AG1231" s="7">
        <f>IF($E1231="","",AF1231-Q1231)</f>
        <v/>
      </c>
      <c r="AK1231" s="7" t="n"/>
      <c r="AN1231" s="14" t="n"/>
      <c r="AQ1231">
        <f>IF($E1231="","",IF(COUNTIF($E$2:$E1231,$E1231)=1,1,0))</f>
        <v/>
      </c>
      <c r="AR1231">
        <f>IF($AQ1231=1,SUMPRODUCT(--($AU$2:$AU$1501&lt;$AU1231))+1,"")</f>
        <v/>
      </c>
      <c r="AS1231">
        <f>IF($E1231="","",IF(OR($U1231=TRUE(),$U1231="TRUE"),1,0))</f>
        <v/>
      </c>
      <c r="AT1231">
        <f>IF($E1231="","",IF($AC1231="Yes",1,0))</f>
        <v/>
      </c>
      <c r="AU1231">
        <f>IF($AQ1231=1,IFERROR(IF(VALUE($E1231)&lt;100000000,VALUE($E1231),1000000000),IFERROR(IF(VALUE(MID($E1231,2,20))&lt;100000000,VALUE(MID($E1231,2,20)),1000000000),1000000000))+ROW()/100000,"")</f>
        <v/>
      </c>
    </row>
    <row r="1232">
      <c r="G1232" s="14" t="n"/>
      <c r="Q1232" s="7">
        <f>IF($E1232="","",P1232*Z1232/100)</f>
        <v/>
      </c>
      <c r="R1232" s="7" t="n"/>
      <c r="Y1232" s="7" t="n"/>
      <c r="Z1232" s="7" t="n"/>
      <c r="AA1232" s="7" t="n"/>
      <c r="AD1232">
        <f>IF($E1232="","",IF($AT1232=1,Settings!$C$8,IF($AS1232=1,Settings!$C$6,Settings!$C$7))*100)</f>
        <v/>
      </c>
      <c r="AE1232" s="7">
        <f>IF($E1232="","",Z1232*AD1232/100)</f>
        <v/>
      </c>
      <c r="AF1232" s="7">
        <f>IF($E1232="","",Z1232-AE1232)</f>
        <v/>
      </c>
      <c r="AG1232" s="7">
        <f>IF($E1232="","",AF1232-Q1232)</f>
        <v/>
      </c>
      <c r="AK1232" s="7" t="n"/>
      <c r="AN1232" s="14" t="n"/>
      <c r="AQ1232">
        <f>IF($E1232="","",IF(COUNTIF($E$2:$E1232,$E1232)=1,1,0))</f>
        <v/>
      </c>
      <c r="AR1232">
        <f>IF($AQ1232=1,SUMPRODUCT(--($AU$2:$AU$1501&lt;$AU1232))+1,"")</f>
        <v/>
      </c>
      <c r="AS1232">
        <f>IF($E1232="","",IF(OR($U1232=TRUE(),$U1232="TRUE"),1,0))</f>
        <v/>
      </c>
      <c r="AT1232">
        <f>IF($E1232="","",IF($AC1232="Yes",1,0))</f>
        <v/>
      </c>
      <c r="AU1232">
        <f>IF($AQ1232=1,IFERROR(IF(VALUE($E1232)&lt;100000000,VALUE($E1232),1000000000),IFERROR(IF(VALUE(MID($E1232,2,20))&lt;100000000,VALUE(MID($E1232,2,20)),1000000000),1000000000))+ROW()/100000,"")</f>
        <v/>
      </c>
    </row>
    <row r="1233">
      <c r="G1233" s="14" t="n"/>
      <c r="Q1233" s="7">
        <f>IF($E1233="","",P1233*Z1233/100)</f>
        <v/>
      </c>
      <c r="R1233" s="7" t="n"/>
      <c r="Y1233" s="7" t="n"/>
      <c r="Z1233" s="7" t="n"/>
      <c r="AA1233" s="7" t="n"/>
      <c r="AD1233">
        <f>IF($E1233="","",IF($AT1233=1,Settings!$C$8,IF($AS1233=1,Settings!$C$6,Settings!$C$7))*100)</f>
        <v/>
      </c>
      <c r="AE1233" s="7">
        <f>IF($E1233="","",Z1233*AD1233/100)</f>
        <v/>
      </c>
      <c r="AF1233" s="7">
        <f>IF($E1233="","",Z1233-AE1233)</f>
        <v/>
      </c>
      <c r="AG1233" s="7">
        <f>IF($E1233="","",AF1233-Q1233)</f>
        <v/>
      </c>
      <c r="AK1233" s="7" t="n"/>
      <c r="AN1233" s="14" t="n"/>
      <c r="AQ1233">
        <f>IF($E1233="","",IF(COUNTIF($E$2:$E1233,$E1233)=1,1,0))</f>
        <v/>
      </c>
      <c r="AR1233">
        <f>IF($AQ1233=1,SUMPRODUCT(--($AU$2:$AU$1501&lt;$AU1233))+1,"")</f>
        <v/>
      </c>
      <c r="AS1233">
        <f>IF($E1233="","",IF(OR($U1233=TRUE(),$U1233="TRUE"),1,0))</f>
        <v/>
      </c>
      <c r="AT1233">
        <f>IF($E1233="","",IF($AC1233="Yes",1,0))</f>
        <v/>
      </c>
      <c r="AU1233">
        <f>IF($AQ1233=1,IFERROR(IF(VALUE($E1233)&lt;100000000,VALUE($E1233),1000000000),IFERROR(IF(VALUE(MID($E1233,2,20))&lt;100000000,VALUE(MID($E1233,2,20)),1000000000),1000000000))+ROW()/100000,"")</f>
        <v/>
      </c>
    </row>
    <row r="1234">
      <c r="G1234" s="14" t="n"/>
      <c r="Q1234" s="7">
        <f>IF($E1234="","",P1234*Z1234/100)</f>
        <v/>
      </c>
      <c r="R1234" s="7" t="n"/>
      <c r="Y1234" s="7" t="n"/>
      <c r="Z1234" s="7" t="n"/>
      <c r="AA1234" s="7" t="n"/>
      <c r="AD1234">
        <f>IF($E1234="","",IF($AT1234=1,Settings!$C$8,IF($AS1234=1,Settings!$C$6,Settings!$C$7))*100)</f>
        <v/>
      </c>
      <c r="AE1234" s="7">
        <f>IF($E1234="","",Z1234*AD1234/100)</f>
        <v/>
      </c>
      <c r="AF1234" s="7">
        <f>IF($E1234="","",Z1234-AE1234)</f>
        <v/>
      </c>
      <c r="AG1234" s="7">
        <f>IF($E1234="","",AF1234-Q1234)</f>
        <v/>
      </c>
      <c r="AK1234" s="7" t="n"/>
      <c r="AN1234" s="14" t="n"/>
      <c r="AQ1234">
        <f>IF($E1234="","",IF(COUNTIF($E$2:$E1234,$E1234)=1,1,0))</f>
        <v/>
      </c>
      <c r="AR1234">
        <f>IF($AQ1234=1,SUMPRODUCT(--($AU$2:$AU$1501&lt;$AU1234))+1,"")</f>
        <v/>
      </c>
      <c r="AS1234">
        <f>IF($E1234="","",IF(OR($U1234=TRUE(),$U1234="TRUE"),1,0))</f>
        <v/>
      </c>
      <c r="AT1234">
        <f>IF($E1234="","",IF($AC1234="Yes",1,0))</f>
        <v/>
      </c>
      <c r="AU1234">
        <f>IF($AQ1234=1,IFERROR(IF(VALUE($E1234)&lt;100000000,VALUE($E1234),1000000000),IFERROR(IF(VALUE(MID($E1234,2,20))&lt;100000000,VALUE(MID($E1234,2,20)),1000000000),1000000000))+ROW()/100000,"")</f>
        <v/>
      </c>
    </row>
    <row r="1235">
      <c r="G1235" s="14" t="n"/>
      <c r="Q1235" s="7">
        <f>IF($E1235="","",P1235*Z1235/100)</f>
        <v/>
      </c>
      <c r="R1235" s="7" t="n"/>
      <c r="Y1235" s="7" t="n"/>
      <c r="Z1235" s="7" t="n"/>
      <c r="AA1235" s="7" t="n"/>
      <c r="AD1235">
        <f>IF($E1235="","",IF($AT1235=1,Settings!$C$8,IF($AS1235=1,Settings!$C$6,Settings!$C$7))*100)</f>
        <v/>
      </c>
      <c r="AE1235" s="7">
        <f>IF($E1235="","",Z1235*AD1235/100)</f>
        <v/>
      </c>
      <c r="AF1235" s="7">
        <f>IF($E1235="","",Z1235-AE1235)</f>
        <v/>
      </c>
      <c r="AG1235" s="7">
        <f>IF($E1235="","",AF1235-Q1235)</f>
        <v/>
      </c>
      <c r="AK1235" s="7" t="n"/>
      <c r="AN1235" s="14" t="n"/>
      <c r="AQ1235">
        <f>IF($E1235="","",IF(COUNTIF($E$2:$E1235,$E1235)=1,1,0))</f>
        <v/>
      </c>
      <c r="AR1235">
        <f>IF($AQ1235=1,SUMPRODUCT(--($AU$2:$AU$1501&lt;$AU1235))+1,"")</f>
        <v/>
      </c>
      <c r="AS1235">
        <f>IF($E1235="","",IF(OR($U1235=TRUE(),$U1235="TRUE"),1,0))</f>
        <v/>
      </c>
      <c r="AT1235">
        <f>IF($E1235="","",IF($AC1235="Yes",1,0))</f>
        <v/>
      </c>
      <c r="AU1235">
        <f>IF($AQ1235=1,IFERROR(IF(VALUE($E1235)&lt;100000000,VALUE($E1235),1000000000),IFERROR(IF(VALUE(MID($E1235,2,20))&lt;100000000,VALUE(MID($E1235,2,20)),1000000000),1000000000))+ROW()/100000,"")</f>
        <v/>
      </c>
    </row>
    <row r="1236">
      <c r="G1236" s="14" t="n"/>
      <c r="Q1236" s="7">
        <f>IF($E1236="","",P1236*Z1236/100)</f>
        <v/>
      </c>
      <c r="R1236" s="7" t="n"/>
      <c r="Y1236" s="7" t="n"/>
      <c r="Z1236" s="7" t="n"/>
      <c r="AA1236" s="7" t="n"/>
      <c r="AD1236">
        <f>IF($E1236="","",IF($AT1236=1,Settings!$C$8,IF($AS1236=1,Settings!$C$6,Settings!$C$7))*100)</f>
        <v/>
      </c>
      <c r="AE1236" s="7">
        <f>IF($E1236="","",Z1236*AD1236/100)</f>
        <v/>
      </c>
      <c r="AF1236" s="7">
        <f>IF($E1236="","",Z1236-AE1236)</f>
        <v/>
      </c>
      <c r="AG1236" s="7">
        <f>IF($E1236="","",AF1236-Q1236)</f>
        <v/>
      </c>
      <c r="AK1236" s="7" t="n"/>
      <c r="AN1236" s="14" t="n"/>
      <c r="AQ1236">
        <f>IF($E1236="","",IF(COUNTIF($E$2:$E1236,$E1236)=1,1,0))</f>
        <v/>
      </c>
      <c r="AR1236">
        <f>IF($AQ1236=1,SUMPRODUCT(--($AU$2:$AU$1501&lt;$AU1236))+1,"")</f>
        <v/>
      </c>
      <c r="AS1236">
        <f>IF($E1236="","",IF(OR($U1236=TRUE(),$U1236="TRUE"),1,0))</f>
        <v/>
      </c>
      <c r="AT1236">
        <f>IF($E1236="","",IF($AC1236="Yes",1,0))</f>
        <v/>
      </c>
      <c r="AU1236">
        <f>IF($AQ1236=1,IFERROR(IF(VALUE($E1236)&lt;100000000,VALUE($E1236),1000000000),IFERROR(IF(VALUE(MID($E1236,2,20))&lt;100000000,VALUE(MID($E1236,2,20)),1000000000),1000000000))+ROW()/100000,"")</f>
        <v/>
      </c>
    </row>
    <row r="1237">
      <c r="G1237" s="14" t="n"/>
      <c r="Q1237" s="7">
        <f>IF($E1237="","",P1237*Z1237/100)</f>
        <v/>
      </c>
      <c r="R1237" s="7" t="n"/>
      <c r="Y1237" s="7" t="n"/>
      <c r="Z1237" s="7" t="n"/>
      <c r="AA1237" s="7" t="n"/>
      <c r="AD1237">
        <f>IF($E1237="","",IF($AT1237=1,Settings!$C$8,IF($AS1237=1,Settings!$C$6,Settings!$C$7))*100)</f>
        <v/>
      </c>
      <c r="AE1237" s="7">
        <f>IF($E1237="","",Z1237*AD1237/100)</f>
        <v/>
      </c>
      <c r="AF1237" s="7">
        <f>IF($E1237="","",Z1237-AE1237)</f>
        <v/>
      </c>
      <c r="AG1237" s="7">
        <f>IF($E1237="","",AF1237-Q1237)</f>
        <v/>
      </c>
      <c r="AK1237" s="7" t="n"/>
      <c r="AN1237" s="14" t="n"/>
      <c r="AQ1237">
        <f>IF($E1237="","",IF(COUNTIF($E$2:$E1237,$E1237)=1,1,0))</f>
        <v/>
      </c>
      <c r="AR1237">
        <f>IF($AQ1237=1,SUMPRODUCT(--($AU$2:$AU$1501&lt;$AU1237))+1,"")</f>
        <v/>
      </c>
      <c r="AS1237">
        <f>IF($E1237="","",IF(OR($U1237=TRUE(),$U1237="TRUE"),1,0))</f>
        <v/>
      </c>
      <c r="AT1237">
        <f>IF($E1237="","",IF($AC1237="Yes",1,0))</f>
        <v/>
      </c>
      <c r="AU1237">
        <f>IF($AQ1237=1,IFERROR(IF(VALUE($E1237)&lt;100000000,VALUE($E1237),1000000000),IFERROR(IF(VALUE(MID($E1237,2,20))&lt;100000000,VALUE(MID($E1237,2,20)),1000000000),1000000000))+ROW()/100000,"")</f>
        <v/>
      </c>
    </row>
    <row r="1238">
      <c r="G1238" s="14" t="n"/>
      <c r="Q1238" s="7">
        <f>IF($E1238="","",P1238*Z1238/100)</f>
        <v/>
      </c>
      <c r="R1238" s="7" t="n"/>
      <c r="Y1238" s="7" t="n"/>
      <c r="Z1238" s="7" t="n"/>
      <c r="AA1238" s="7" t="n"/>
      <c r="AD1238">
        <f>IF($E1238="","",IF($AT1238=1,Settings!$C$8,IF($AS1238=1,Settings!$C$6,Settings!$C$7))*100)</f>
        <v/>
      </c>
      <c r="AE1238" s="7">
        <f>IF($E1238="","",Z1238*AD1238/100)</f>
        <v/>
      </c>
      <c r="AF1238" s="7">
        <f>IF($E1238="","",Z1238-AE1238)</f>
        <v/>
      </c>
      <c r="AG1238" s="7">
        <f>IF($E1238="","",AF1238-Q1238)</f>
        <v/>
      </c>
      <c r="AK1238" s="7" t="n"/>
      <c r="AN1238" s="14" t="n"/>
      <c r="AQ1238">
        <f>IF($E1238="","",IF(COUNTIF($E$2:$E1238,$E1238)=1,1,0))</f>
        <v/>
      </c>
      <c r="AR1238">
        <f>IF($AQ1238=1,SUMPRODUCT(--($AU$2:$AU$1501&lt;$AU1238))+1,"")</f>
        <v/>
      </c>
      <c r="AS1238">
        <f>IF($E1238="","",IF(OR($U1238=TRUE(),$U1238="TRUE"),1,0))</f>
        <v/>
      </c>
      <c r="AT1238">
        <f>IF($E1238="","",IF($AC1238="Yes",1,0))</f>
        <v/>
      </c>
      <c r="AU1238">
        <f>IF($AQ1238=1,IFERROR(IF(VALUE($E1238)&lt;100000000,VALUE($E1238),1000000000),IFERROR(IF(VALUE(MID($E1238,2,20))&lt;100000000,VALUE(MID($E1238,2,20)),1000000000),1000000000))+ROW()/100000,"")</f>
        <v/>
      </c>
    </row>
    <row r="1239">
      <c r="G1239" s="14" t="n"/>
      <c r="Q1239" s="7">
        <f>IF($E1239="","",P1239*Z1239/100)</f>
        <v/>
      </c>
      <c r="R1239" s="7" t="n"/>
      <c r="Y1239" s="7" t="n"/>
      <c r="Z1239" s="7" t="n"/>
      <c r="AA1239" s="7" t="n"/>
      <c r="AD1239">
        <f>IF($E1239="","",IF($AT1239=1,Settings!$C$8,IF($AS1239=1,Settings!$C$6,Settings!$C$7))*100)</f>
        <v/>
      </c>
      <c r="AE1239" s="7">
        <f>IF($E1239="","",Z1239*AD1239/100)</f>
        <v/>
      </c>
      <c r="AF1239" s="7">
        <f>IF($E1239="","",Z1239-AE1239)</f>
        <v/>
      </c>
      <c r="AG1239" s="7">
        <f>IF($E1239="","",AF1239-Q1239)</f>
        <v/>
      </c>
      <c r="AK1239" s="7" t="n"/>
      <c r="AN1239" s="14" t="n"/>
      <c r="AQ1239">
        <f>IF($E1239="","",IF(COUNTIF($E$2:$E1239,$E1239)=1,1,0))</f>
        <v/>
      </c>
      <c r="AR1239">
        <f>IF($AQ1239=1,SUMPRODUCT(--($AU$2:$AU$1501&lt;$AU1239))+1,"")</f>
        <v/>
      </c>
      <c r="AS1239">
        <f>IF($E1239="","",IF(OR($U1239=TRUE(),$U1239="TRUE"),1,0))</f>
        <v/>
      </c>
      <c r="AT1239">
        <f>IF($E1239="","",IF($AC1239="Yes",1,0))</f>
        <v/>
      </c>
      <c r="AU1239">
        <f>IF($AQ1239=1,IFERROR(IF(VALUE($E1239)&lt;100000000,VALUE($E1239),1000000000),IFERROR(IF(VALUE(MID($E1239,2,20))&lt;100000000,VALUE(MID($E1239,2,20)),1000000000),1000000000))+ROW()/100000,"")</f>
        <v/>
      </c>
    </row>
    <row r="1240">
      <c r="G1240" s="14" t="n"/>
      <c r="Q1240" s="7">
        <f>IF($E1240="","",P1240*Z1240/100)</f>
        <v/>
      </c>
      <c r="R1240" s="7" t="n"/>
      <c r="Y1240" s="7" t="n"/>
      <c r="Z1240" s="7" t="n"/>
      <c r="AA1240" s="7" t="n"/>
      <c r="AD1240">
        <f>IF($E1240="","",IF($AT1240=1,Settings!$C$8,IF($AS1240=1,Settings!$C$6,Settings!$C$7))*100)</f>
        <v/>
      </c>
      <c r="AE1240" s="7">
        <f>IF($E1240="","",Z1240*AD1240/100)</f>
        <v/>
      </c>
      <c r="AF1240" s="7">
        <f>IF($E1240="","",Z1240-AE1240)</f>
        <v/>
      </c>
      <c r="AG1240" s="7">
        <f>IF($E1240="","",AF1240-Q1240)</f>
        <v/>
      </c>
      <c r="AK1240" s="7" t="n"/>
      <c r="AN1240" s="14" t="n"/>
      <c r="AQ1240">
        <f>IF($E1240="","",IF(COUNTIF($E$2:$E1240,$E1240)=1,1,0))</f>
        <v/>
      </c>
      <c r="AR1240">
        <f>IF($AQ1240=1,SUMPRODUCT(--($AU$2:$AU$1501&lt;$AU1240))+1,"")</f>
        <v/>
      </c>
      <c r="AS1240">
        <f>IF($E1240="","",IF(OR($U1240=TRUE(),$U1240="TRUE"),1,0))</f>
        <v/>
      </c>
      <c r="AT1240">
        <f>IF($E1240="","",IF($AC1240="Yes",1,0))</f>
        <v/>
      </c>
      <c r="AU1240">
        <f>IF($AQ1240=1,IFERROR(IF(VALUE($E1240)&lt;100000000,VALUE($E1240),1000000000),IFERROR(IF(VALUE(MID($E1240,2,20))&lt;100000000,VALUE(MID($E1240,2,20)),1000000000),1000000000))+ROW()/100000,"")</f>
        <v/>
      </c>
    </row>
    <row r="1241">
      <c r="G1241" s="14" t="n"/>
      <c r="Q1241" s="7">
        <f>IF($E1241="","",P1241*Z1241/100)</f>
        <v/>
      </c>
      <c r="R1241" s="7" t="n"/>
      <c r="Y1241" s="7" t="n"/>
      <c r="Z1241" s="7" t="n"/>
      <c r="AA1241" s="7" t="n"/>
      <c r="AD1241">
        <f>IF($E1241="","",IF($AT1241=1,Settings!$C$8,IF($AS1241=1,Settings!$C$6,Settings!$C$7))*100)</f>
        <v/>
      </c>
      <c r="AE1241" s="7">
        <f>IF($E1241="","",Z1241*AD1241/100)</f>
        <v/>
      </c>
      <c r="AF1241" s="7">
        <f>IF($E1241="","",Z1241-AE1241)</f>
        <v/>
      </c>
      <c r="AG1241" s="7">
        <f>IF($E1241="","",AF1241-Q1241)</f>
        <v/>
      </c>
      <c r="AK1241" s="7" t="n"/>
      <c r="AN1241" s="14" t="n"/>
      <c r="AQ1241">
        <f>IF($E1241="","",IF(COUNTIF($E$2:$E1241,$E1241)=1,1,0))</f>
        <v/>
      </c>
      <c r="AR1241">
        <f>IF($AQ1241=1,SUMPRODUCT(--($AU$2:$AU$1501&lt;$AU1241))+1,"")</f>
        <v/>
      </c>
      <c r="AS1241">
        <f>IF($E1241="","",IF(OR($U1241=TRUE(),$U1241="TRUE"),1,0))</f>
        <v/>
      </c>
      <c r="AT1241">
        <f>IF($E1241="","",IF($AC1241="Yes",1,0))</f>
        <v/>
      </c>
      <c r="AU1241">
        <f>IF($AQ1241=1,IFERROR(IF(VALUE($E1241)&lt;100000000,VALUE($E1241),1000000000),IFERROR(IF(VALUE(MID($E1241,2,20))&lt;100000000,VALUE(MID($E1241,2,20)),1000000000),1000000000))+ROW()/100000,"")</f>
        <v/>
      </c>
    </row>
    <row r="1242">
      <c r="G1242" s="14" t="n"/>
      <c r="Q1242" s="7">
        <f>IF($E1242="","",P1242*Z1242/100)</f>
        <v/>
      </c>
      <c r="R1242" s="7" t="n"/>
      <c r="Y1242" s="7" t="n"/>
      <c r="Z1242" s="7" t="n"/>
      <c r="AA1242" s="7" t="n"/>
      <c r="AD1242">
        <f>IF($E1242="","",IF($AT1242=1,Settings!$C$8,IF($AS1242=1,Settings!$C$6,Settings!$C$7))*100)</f>
        <v/>
      </c>
      <c r="AE1242" s="7">
        <f>IF($E1242="","",Z1242*AD1242/100)</f>
        <v/>
      </c>
      <c r="AF1242" s="7">
        <f>IF($E1242="","",Z1242-AE1242)</f>
        <v/>
      </c>
      <c r="AG1242" s="7">
        <f>IF($E1242="","",AF1242-Q1242)</f>
        <v/>
      </c>
      <c r="AK1242" s="7" t="n"/>
      <c r="AN1242" s="14" t="n"/>
      <c r="AQ1242">
        <f>IF($E1242="","",IF(COUNTIF($E$2:$E1242,$E1242)=1,1,0))</f>
        <v/>
      </c>
      <c r="AR1242">
        <f>IF($AQ1242=1,SUMPRODUCT(--($AU$2:$AU$1501&lt;$AU1242))+1,"")</f>
        <v/>
      </c>
      <c r="AS1242">
        <f>IF($E1242="","",IF(OR($U1242=TRUE(),$U1242="TRUE"),1,0))</f>
        <v/>
      </c>
      <c r="AT1242">
        <f>IF($E1242="","",IF($AC1242="Yes",1,0))</f>
        <v/>
      </c>
      <c r="AU1242">
        <f>IF($AQ1242=1,IFERROR(IF(VALUE($E1242)&lt;100000000,VALUE($E1242),1000000000),IFERROR(IF(VALUE(MID($E1242,2,20))&lt;100000000,VALUE(MID($E1242,2,20)),1000000000),1000000000))+ROW()/100000,"")</f>
        <v/>
      </c>
    </row>
    <row r="1243">
      <c r="G1243" s="14" t="n"/>
      <c r="Q1243" s="7">
        <f>IF($E1243="","",P1243*Z1243/100)</f>
        <v/>
      </c>
      <c r="R1243" s="7" t="n"/>
      <c r="Y1243" s="7" t="n"/>
      <c r="Z1243" s="7" t="n"/>
      <c r="AA1243" s="7" t="n"/>
      <c r="AD1243">
        <f>IF($E1243="","",IF($AT1243=1,Settings!$C$8,IF($AS1243=1,Settings!$C$6,Settings!$C$7))*100)</f>
        <v/>
      </c>
      <c r="AE1243" s="7">
        <f>IF($E1243="","",Z1243*AD1243/100)</f>
        <v/>
      </c>
      <c r="AF1243" s="7">
        <f>IF($E1243="","",Z1243-AE1243)</f>
        <v/>
      </c>
      <c r="AG1243" s="7">
        <f>IF($E1243="","",AF1243-Q1243)</f>
        <v/>
      </c>
      <c r="AK1243" s="7" t="n"/>
      <c r="AN1243" s="14" t="n"/>
      <c r="AQ1243">
        <f>IF($E1243="","",IF(COUNTIF($E$2:$E1243,$E1243)=1,1,0))</f>
        <v/>
      </c>
      <c r="AR1243">
        <f>IF($AQ1243=1,SUMPRODUCT(--($AU$2:$AU$1501&lt;$AU1243))+1,"")</f>
        <v/>
      </c>
      <c r="AS1243">
        <f>IF($E1243="","",IF(OR($U1243=TRUE(),$U1243="TRUE"),1,0))</f>
        <v/>
      </c>
      <c r="AT1243">
        <f>IF($E1243="","",IF($AC1243="Yes",1,0))</f>
        <v/>
      </c>
      <c r="AU1243">
        <f>IF($AQ1243=1,IFERROR(IF(VALUE($E1243)&lt;100000000,VALUE($E1243),1000000000),IFERROR(IF(VALUE(MID($E1243,2,20))&lt;100000000,VALUE(MID($E1243,2,20)),1000000000),1000000000))+ROW()/100000,"")</f>
        <v/>
      </c>
    </row>
    <row r="1244">
      <c r="G1244" s="14" t="n"/>
      <c r="Q1244" s="7">
        <f>IF($E1244="","",P1244*Z1244/100)</f>
        <v/>
      </c>
      <c r="R1244" s="7" t="n"/>
      <c r="Y1244" s="7" t="n"/>
      <c r="Z1244" s="7" t="n"/>
      <c r="AA1244" s="7" t="n"/>
      <c r="AD1244">
        <f>IF($E1244="","",IF($AT1244=1,Settings!$C$8,IF($AS1244=1,Settings!$C$6,Settings!$C$7))*100)</f>
        <v/>
      </c>
      <c r="AE1244" s="7">
        <f>IF($E1244="","",Z1244*AD1244/100)</f>
        <v/>
      </c>
      <c r="AF1244" s="7">
        <f>IF($E1244="","",Z1244-AE1244)</f>
        <v/>
      </c>
      <c r="AG1244" s="7">
        <f>IF($E1244="","",AF1244-Q1244)</f>
        <v/>
      </c>
      <c r="AK1244" s="7" t="n"/>
      <c r="AN1244" s="14" t="n"/>
      <c r="AQ1244">
        <f>IF($E1244="","",IF(COUNTIF($E$2:$E1244,$E1244)=1,1,0))</f>
        <v/>
      </c>
      <c r="AR1244">
        <f>IF($AQ1244=1,SUMPRODUCT(--($AU$2:$AU$1501&lt;$AU1244))+1,"")</f>
        <v/>
      </c>
      <c r="AS1244">
        <f>IF($E1244="","",IF(OR($U1244=TRUE(),$U1244="TRUE"),1,0))</f>
        <v/>
      </c>
      <c r="AT1244">
        <f>IF($E1244="","",IF($AC1244="Yes",1,0))</f>
        <v/>
      </c>
      <c r="AU1244">
        <f>IF($AQ1244=1,IFERROR(IF(VALUE($E1244)&lt;100000000,VALUE($E1244),1000000000),IFERROR(IF(VALUE(MID($E1244,2,20))&lt;100000000,VALUE(MID($E1244,2,20)),1000000000),1000000000))+ROW()/100000,"")</f>
        <v/>
      </c>
    </row>
    <row r="1245">
      <c r="G1245" s="14" t="n"/>
      <c r="Q1245" s="7">
        <f>IF($E1245="","",P1245*Z1245/100)</f>
        <v/>
      </c>
      <c r="R1245" s="7" t="n"/>
      <c r="Y1245" s="7" t="n"/>
      <c r="Z1245" s="7" t="n"/>
      <c r="AA1245" s="7" t="n"/>
      <c r="AD1245">
        <f>IF($E1245="","",IF($AT1245=1,Settings!$C$8,IF($AS1245=1,Settings!$C$6,Settings!$C$7))*100)</f>
        <v/>
      </c>
      <c r="AE1245" s="7">
        <f>IF($E1245="","",Z1245*AD1245/100)</f>
        <v/>
      </c>
      <c r="AF1245" s="7">
        <f>IF($E1245="","",Z1245-AE1245)</f>
        <v/>
      </c>
      <c r="AG1245" s="7">
        <f>IF($E1245="","",AF1245-Q1245)</f>
        <v/>
      </c>
      <c r="AK1245" s="7" t="n"/>
      <c r="AN1245" s="14" t="n"/>
      <c r="AQ1245">
        <f>IF($E1245="","",IF(COUNTIF($E$2:$E1245,$E1245)=1,1,0))</f>
        <v/>
      </c>
      <c r="AR1245">
        <f>IF($AQ1245=1,SUMPRODUCT(--($AU$2:$AU$1501&lt;$AU1245))+1,"")</f>
        <v/>
      </c>
      <c r="AS1245">
        <f>IF($E1245="","",IF(OR($U1245=TRUE(),$U1245="TRUE"),1,0))</f>
        <v/>
      </c>
      <c r="AT1245">
        <f>IF($E1245="","",IF($AC1245="Yes",1,0))</f>
        <v/>
      </c>
      <c r="AU1245">
        <f>IF($AQ1245=1,IFERROR(IF(VALUE($E1245)&lt;100000000,VALUE($E1245),1000000000),IFERROR(IF(VALUE(MID($E1245,2,20))&lt;100000000,VALUE(MID($E1245,2,20)),1000000000),1000000000))+ROW()/100000,"")</f>
        <v/>
      </c>
    </row>
    <row r="1246">
      <c r="G1246" s="14" t="n"/>
      <c r="Q1246" s="7">
        <f>IF($E1246="","",P1246*Z1246/100)</f>
        <v/>
      </c>
      <c r="R1246" s="7" t="n"/>
      <c r="Y1246" s="7" t="n"/>
      <c r="Z1246" s="7" t="n"/>
      <c r="AA1246" s="7" t="n"/>
      <c r="AD1246">
        <f>IF($E1246="","",IF($AT1246=1,Settings!$C$8,IF($AS1246=1,Settings!$C$6,Settings!$C$7))*100)</f>
        <v/>
      </c>
      <c r="AE1246" s="7">
        <f>IF($E1246="","",Z1246*AD1246/100)</f>
        <v/>
      </c>
      <c r="AF1246" s="7">
        <f>IF($E1246="","",Z1246-AE1246)</f>
        <v/>
      </c>
      <c r="AG1246" s="7">
        <f>IF($E1246="","",AF1246-Q1246)</f>
        <v/>
      </c>
      <c r="AK1246" s="7" t="n"/>
      <c r="AN1246" s="14" t="n"/>
      <c r="AQ1246">
        <f>IF($E1246="","",IF(COUNTIF($E$2:$E1246,$E1246)=1,1,0))</f>
        <v/>
      </c>
      <c r="AR1246">
        <f>IF($AQ1246=1,SUMPRODUCT(--($AU$2:$AU$1501&lt;$AU1246))+1,"")</f>
        <v/>
      </c>
      <c r="AS1246">
        <f>IF($E1246="","",IF(OR($U1246=TRUE(),$U1246="TRUE"),1,0))</f>
        <v/>
      </c>
      <c r="AT1246">
        <f>IF($E1246="","",IF($AC1246="Yes",1,0))</f>
        <v/>
      </c>
      <c r="AU1246">
        <f>IF($AQ1246=1,IFERROR(IF(VALUE($E1246)&lt;100000000,VALUE($E1246),1000000000),IFERROR(IF(VALUE(MID($E1246,2,20))&lt;100000000,VALUE(MID($E1246,2,20)),1000000000),1000000000))+ROW()/100000,"")</f>
        <v/>
      </c>
    </row>
    <row r="1247">
      <c r="G1247" s="14" t="n"/>
      <c r="Q1247" s="7">
        <f>IF($E1247="","",P1247*Z1247/100)</f>
        <v/>
      </c>
      <c r="R1247" s="7" t="n"/>
      <c r="Y1247" s="7" t="n"/>
      <c r="Z1247" s="7" t="n"/>
      <c r="AA1247" s="7" t="n"/>
      <c r="AD1247">
        <f>IF($E1247="","",IF($AT1247=1,Settings!$C$8,IF($AS1247=1,Settings!$C$6,Settings!$C$7))*100)</f>
        <v/>
      </c>
      <c r="AE1247" s="7">
        <f>IF($E1247="","",Z1247*AD1247/100)</f>
        <v/>
      </c>
      <c r="AF1247" s="7">
        <f>IF($E1247="","",Z1247-AE1247)</f>
        <v/>
      </c>
      <c r="AG1247" s="7">
        <f>IF($E1247="","",AF1247-Q1247)</f>
        <v/>
      </c>
      <c r="AK1247" s="7" t="n"/>
      <c r="AN1247" s="14" t="n"/>
      <c r="AQ1247">
        <f>IF($E1247="","",IF(COUNTIF($E$2:$E1247,$E1247)=1,1,0))</f>
        <v/>
      </c>
      <c r="AR1247">
        <f>IF($AQ1247=1,SUMPRODUCT(--($AU$2:$AU$1501&lt;$AU1247))+1,"")</f>
        <v/>
      </c>
      <c r="AS1247">
        <f>IF($E1247="","",IF(OR($U1247=TRUE(),$U1247="TRUE"),1,0))</f>
        <v/>
      </c>
      <c r="AT1247">
        <f>IF($E1247="","",IF($AC1247="Yes",1,0))</f>
        <v/>
      </c>
      <c r="AU1247">
        <f>IF($AQ1247=1,IFERROR(IF(VALUE($E1247)&lt;100000000,VALUE($E1247),1000000000),IFERROR(IF(VALUE(MID($E1247,2,20))&lt;100000000,VALUE(MID($E1247,2,20)),1000000000),1000000000))+ROW()/100000,"")</f>
        <v/>
      </c>
    </row>
    <row r="1248">
      <c r="G1248" s="14" t="n"/>
      <c r="Q1248" s="7">
        <f>IF($E1248="","",P1248*Z1248/100)</f>
        <v/>
      </c>
      <c r="R1248" s="7" t="n"/>
      <c r="Y1248" s="7" t="n"/>
      <c r="Z1248" s="7" t="n"/>
      <c r="AA1248" s="7" t="n"/>
      <c r="AD1248">
        <f>IF($E1248="","",IF($AT1248=1,Settings!$C$8,IF($AS1248=1,Settings!$C$6,Settings!$C$7))*100)</f>
        <v/>
      </c>
      <c r="AE1248" s="7">
        <f>IF($E1248="","",Z1248*AD1248/100)</f>
        <v/>
      </c>
      <c r="AF1248" s="7">
        <f>IF($E1248="","",Z1248-AE1248)</f>
        <v/>
      </c>
      <c r="AG1248" s="7">
        <f>IF($E1248="","",AF1248-Q1248)</f>
        <v/>
      </c>
      <c r="AK1248" s="7" t="n"/>
      <c r="AN1248" s="14" t="n"/>
      <c r="AQ1248">
        <f>IF($E1248="","",IF(COUNTIF($E$2:$E1248,$E1248)=1,1,0))</f>
        <v/>
      </c>
      <c r="AR1248">
        <f>IF($AQ1248=1,SUMPRODUCT(--($AU$2:$AU$1501&lt;$AU1248))+1,"")</f>
        <v/>
      </c>
      <c r="AS1248">
        <f>IF($E1248="","",IF(OR($U1248=TRUE(),$U1248="TRUE"),1,0))</f>
        <v/>
      </c>
      <c r="AT1248">
        <f>IF($E1248="","",IF($AC1248="Yes",1,0))</f>
        <v/>
      </c>
      <c r="AU1248">
        <f>IF($AQ1248=1,IFERROR(IF(VALUE($E1248)&lt;100000000,VALUE($E1248),1000000000),IFERROR(IF(VALUE(MID($E1248,2,20))&lt;100000000,VALUE(MID($E1248,2,20)),1000000000),1000000000))+ROW()/100000,"")</f>
        <v/>
      </c>
    </row>
    <row r="1249">
      <c r="G1249" s="14" t="n"/>
      <c r="Q1249" s="7">
        <f>IF($E1249="","",P1249*Z1249/100)</f>
        <v/>
      </c>
      <c r="R1249" s="7" t="n"/>
      <c r="Y1249" s="7" t="n"/>
      <c r="Z1249" s="7" t="n"/>
      <c r="AA1249" s="7" t="n"/>
      <c r="AD1249">
        <f>IF($E1249="","",IF($AT1249=1,Settings!$C$8,IF($AS1249=1,Settings!$C$6,Settings!$C$7))*100)</f>
        <v/>
      </c>
      <c r="AE1249" s="7">
        <f>IF($E1249="","",Z1249*AD1249/100)</f>
        <v/>
      </c>
      <c r="AF1249" s="7">
        <f>IF($E1249="","",Z1249-AE1249)</f>
        <v/>
      </c>
      <c r="AG1249" s="7">
        <f>IF($E1249="","",AF1249-Q1249)</f>
        <v/>
      </c>
      <c r="AK1249" s="7" t="n"/>
      <c r="AN1249" s="14" t="n"/>
      <c r="AQ1249">
        <f>IF($E1249="","",IF(COUNTIF($E$2:$E1249,$E1249)=1,1,0))</f>
        <v/>
      </c>
      <c r="AR1249">
        <f>IF($AQ1249=1,SUMPRODUCT(--($AU$2:$AU$1501&lt;$AU1249))+1,"")</f>
        <v/>
      </c>
      <c r="AS1249">
        <f>IF($E1249="","",IF(OR($U1249=TRUE(),$U1249="TRUE"),1,0))</f>
        <v/>
      </c>
      <c r="AT1249">
        <f>IF($E1249="","",IF($AC1249="Yes",1,0))</f>
        <v/>
      </c>
      <c r="AU1249">
        <f>IF($AQ1249=1,IFERROR(IF(VALUE($E1249)&lt;100000000,VALUE($E1249),1000000000),IFERROR(IF(VALUE(MID($E1249,2,20))&lt;100000000,VALUE(MID($E1249,2,20)),1000000000),1000000000))+ROW()/100000,"")</f>
        <v/>
      </c>
    </row>
    <row r="1250">
      <c r="G1250" s="14" t="n"/>
      <c r="Q1250" s="7">
        <f>IF($E1250="","",P1250*Z1250/100)</f>
        <v/>
      </c>
      <c r="R1250" s="7" t="n"/>
      <c r="Y1250" s="7" t="n"/>
      <c r="Z1250" s="7" t="n"/>
      <c r="AA1250" s="7" t="n"/>
      <c r="AD1250">
        <f>IF($E1250="","",IF($AT1250=1,Settings!$C$8,IF($AS1250=1,Settings!$C$6,Settings!$C$7))*100)</f>
        <v/>
      </c>
      <c r="AE1250" s="7">
        <f>IF($E1250="","",Z1250*AD1250/100)</f>
        <v/>
      </c>
      <c r="AF1250" s="7">
        <f>IF($E1250="","",Z1250-AE1250)</f>
        <v/>
      </c>
      <c r="AG1250" s="7">
        <f>IF($E1250="","",AF1250-Q1250)</f>
        <v/>
      </c>
      <c r="AK1250" s="7" t="n"/>
      <c r="AN1250" s="14" t="n"/>
      <c r="AQ1250">
        <f>IF($E1250="","",IF(COUNTIF($E$2:$E1250,$E1250)=1,1,0))</f>
        <v/>
      </c>
      <c r="AR1250">
        <f>IF($AQ1250=1,SUMPRODUCT(--($AU$2:$AU$1501&lt;$AU1250))+1,"")</f>
        <v/>
      </c>
      <c r="AS1250">
        <f>IF($E1250="","",IF(OR($U1250=TRUE(),$U1250="TRUE"),1,0))</f>
        <v/>
      </c>
      <c r="AT1250">
        <f>IF($E1250="","",IF($AC1250="Yes",1,0))</f>
        <v/>
      </c>
      <c r="AU1250">
        <f>IF($AQ1250=1,IFERROR(IF(VALUE($E1250)&lt;100000000,VALUE($E1250),1000000000),IFERROR(IF(VALUE(MID($E1250,2,20))&lt;100000000,VALUE(MID($E1250,2,20)),1000000000),1000000000))+ROW()/100000,"")</f>
        <v/>
      </c>
    </row>
    <row r="1251">
      <c r="G1251" s="14" t="n"/>
      <c r="Q1251" s="7">
        <f>IF($E1251="","",P1251*Z1251/100)</f>
        <v/>
      </c>
      <c r="R1251" s="7" t="n"/>
      <c r="Y1251" s="7" t="n"/>
      <c r="Z1251" s="7" t="n"/>
      <c r="AA1251" s="7" t="n"/>
      <c r="AD1251">
        <f>IF($E1251="","",IF($AT1251=1,Settings!$C$8,IF($AS1251=1,Settings!$C$6,Settings!$C$7))*100)</f>
        <v/>
      </c>
      <c r="AE1251" s="7">
        <f>IF($E1251="","",Z1251*AD1251/100)</f>
        <v/>
      </c>
      <c r="AF1251" s="7">
        <f>IF($E1251="","",Z1251-AE1251)</f>
        <v/>
      </c>
      <c r="AG1251" s="7">
        <f>IF($E1251="","",AF1251-Q1251)</f>
        <v/>
      </c>
      <c r="AK1251" s="7" t="n"/>
      <c r="AN1251" s="14" t="n"/>
      <c r="AQ1251">
        <f>IF($E1251="","",IF(COUNTIF($E$2:$E1251,$E1251)=1,1,0))</f>
        <v/>
      </c>
      <c r="AR1251">
        <f>IF($AQ1251=1,SUMPRODUCT(--($AU$2:$AU$1501&lt;$AU1251))+1,"")</f>
        <v/>
      </c>
      <c r="AS1251">
        <f>IF($E1251="","",IF(OR($U1251=TRUE(),$U1251="TRUE"),1,0))</f>
        <v/>
      </c>
      <c r="AT1251">
        <f>IF($E1251="","",IF($AC1251="Yes",1,0))</f>
        <v/>
      </c>
      <c r="AU1251">
        <f>IF($AQ1251=1,IFERROR(IF(VALUE($E1251)&lt;100000000,VALUE($E1251),1000000000),IFERROR(IF(VALUE(MID($E1251,2,20))&lt;100000000,VALUE(MID($E1251,2,20)),1000000000),1000000000))+ROW()/100000,"")</f>
        <v/>
      </c>
    </row>
    <row r="1252">
      <c r="G1252" s="14" t="n"/>
      <c r="Q1252" s="7">
        <f>IF($E1252="","",P1252*Z1252/100)</f>
        <v/>
      </c>
      <c r="R1252" s="7" t="n"/>
      <c r="Y1252" s="7" t="n"/>
      <c r="Z1252" s="7" t="n"/>
      <c r="AA1252" s="7" t="n"/>
      <c r="AD1252">
        <f>IF($E1252="","",IF($AT1252=1,Settings!$C$8,IF($AS1252=1,Settings!$C$6,Settings!$C$7))*100)</f>
        <v/>
      </c>
      <c r="AE1252" s="7">
        <f>IF($E1252="","",Z1252*AD1252/100)</f>
        <v/>
      </c>
      <c r="AF1252" s="7">
        <f>IF($E1252="","",Z1252-AE1252)</f>
        <v/>
      </c>
      <c r="AG1252" s="7">
        <f>IF($E1252="","",AF1252-Q1252)</f>
        <v/>
      </c>
      <c r="AK1252" s="7" t="n"/>
      <c r="AN1252" s="14" t="n"/>
      <c r="AQ1252">
        <f>IF($E1252="","",IF(COUNTIF($E$2:$E1252,$E1252)=1,1,0))</f>
        <v/>
      </c>
      <c r="AR1252">
        <f>IF($AQ1252=1,SUMPRODUCT(--($AU$2:$AU$1501&lt;$AU1252))+1,"")</f>
        <v/>
      </c>
      <c r="AS1252">
        <f>IF($E1252="","",IF(OR($U1252=TRUE(),$U1252="TRUE"),1,0))</f>
        <v/>
      </c>
      <c r="AT1252">
        <f>IF($E1252="","",IF($AC1252="Yes",1,0))</f>
        <v/>
      </c>
      <c r="AU1252">
        <f>IF($AQ1252=1,IFERROR(IF(VALUE($E1252)&lt;100000000,VALUE($E1252),1000000000),IFERROR(IF(VALUE(MID($E1252,2,20))&lt;100000000,VALUE(MID($E1252,2,20)),1000000000),1000000000))+ROW()/100000,"")</f>
        <v/>
      </c>
    </row>
    <row r="1253">
      <c r="G1253" s="14" t="n"/>
      <c r="Q1253" s="7">
        <f>IF($E1253="","",P1253*Z1253/100)</f>
        <v/>
      </c>
      <c r="R1253" s="7" t="n"/>
      <c r="Y1253" s="7" t="n"/>
      <c r="Z1253" s="7" t="n"/>
      <c r="AA1253" s="7" t="n"/>
      <c r="AD1253">
        <f>IF($E1253="","",IF($AT1253=1,Settings!$C$8,IF($AS1253=1,Settings!$C$6,Settings!$C$7))*100)</f>
        <v/>
      </c>
      <c r="AE1253" s="7">
        <f>IF($E1253="","",Z1253*AD1253/100)</f>
        <v/>
      </c>
      <c r="AF1253" s="7">
        <f>IF($E1253="","",Z1253-AE1253)</f>
        <v/>
      </c>
      <c r="AG1253" s="7">
        <f>IF($E1253="","",AF1253-Q1253)</f>
        <v/>
      </c>
      <c r="AK1253" s="7" t="n"/>
      <c r="AN1253" s="14" t="n"/>
      <c r="AQ1253">
        <f>IF($E1253="","",IF(COUNTIF($E$2:$E1253,$E1253)=1,1,0))</f>
        <v/>
      </c>
      <c r="AR1253">
        <f>IF($AQ1253=1,SUMPRODUCT(--($AU$2:$AU$1501&lt;$AU1253))+1,"")</f>
        <v/>
      </c>
      <c r="AS1253">
        <f>IF($E1253="","",IF(OR($U1253=TRUE(),$U1253="TRUE"),1,0))</f>
        <v/>
      </c>
      <c r="AT1253">
        <f>IF($E1253="","",IF($AC1253="Yes",1,0))</f>
        <v/>
      </c>
      <c r="AU1253">
        <f>IF($AQ1253=1,IFERROR(IF(VALUE($E1253)&lt;100000000,VALUE($E1253),1000000000),IFERROR(IF(VALUE(MID($E1253,2,20))&lt;100000000,VALUE(MID($E1253,2,20)),1000000000),1000000000))+ROW()/100000,"")</f>
        <v/>
      </c>
    </row>
    <row r="1254">
      <c r="G1254" s="14" t="n"/>
      <c r="Q1254" s="7">
        <f>IF($E1254="","",P1254*Z1254/100)</f>
        <v/>
      </c>
      <c r="R1254" s="7" t="n"/>
      <c r="Y1254" s="7" t="n"/>
      <c r="Z1254" s="7" t="n"/>
      <c r="AA1254" s="7" t="n"/>
      <c r="AD1254">
        <f>IF($E1254="","",IF($AT1254=1,Settings!$C$8,IF($AS1254=1,Settings!$C$6,Settings!$C$7))*100)</f>
        <v/>
      </c>
      <c r="AE1254" s="7">
        <f>IF($E1254="","",Z1254*AD1254/100)</f>
        <v/>
      </c>
      <c r="AF1254" s="7">
        <f>IF($E1254="","",Z1254-AE1254)</f>
        <v/>
      </c>
      <c r="AG1254" s="7">
        <f>IF($E1254="","",AF1254-Q1254)</f>
        <v/>
      </c>
      <c r="AK1254" s="7" t="n"/>
      <c r="AN1254" s="14" t="n"/>
      <c r="AQ1254">
        <f>IF($E1254="","",IF(COUNTIF($E$2:$E1254,$E1254)=1,1,0))</f>
        <v/>
      </c>
      <c r="AR1254">
        <f>IF($AQ1254=1,SUMPRODUCT(--($AU$2:$AU$1501&lt;$AU1254))+1,"")</f>
        <v/>
      </c>
      <c r="AS1254">
        <f>IF($E1254="","",IF(OR($U1254=TRUE(),$U1254="TRUE"),1,0))</f>
        <v/>
      </c>
      <c r="AT1254">
        <f>IF($E1254="","",IF($AC1254="Yes",1,0))</f>
        <v/>
      </c>
      <c r="AU1254">
        <f>IF($AQ1254=1,IFERROR(IF(VALUE($E1254)&lt;100000000,VALUE($E1254),1000000000),IFERROR(IF(VALUE(MID($E1254,2,20))&lt;100000000,VALUE(MID($E1254,2,20)),1000000000),1000000000))+ROW()/100000,"")</f>
        <v/>
      </c>
    </row>
    <row r="1255">
      <c r="G1255" s="14" t="n"/>
      <c r="Q1255" s="7">
        <f>IF($E1255="","",P1255*Z1255/100)</f>
        <v/>
      </c>
      <c r="R1255" s="7" t="n"/>
      <c r="Y1255" s="7" t="n"/>
      <c r="Z1255" s="7" t="n"/>
      <c r="AA1255" s="7" t="n"/>
      <c r="AD1255">
        <f>IF($E1255="","",IF($AT1255=1,Settings!$C$8,IF($AS1255=1,Settings!$C$6,Settings!$C$7))*100)</f>
        <v/>
      </c>
      <c r="AE1255" s="7">
        <f>IF($E1255="","",Z1255*AD1255/100)</f>
        <v/>
      </c>
      <c r="AF1255" s="7">
        <f>IF($E1255="","",Z1255-AE1255)</f>
        <v/>
      </c>
      <c r="AG1255" s="7">
        <f>IF($E1255="","",AF1255-Q1255)</f>
        <v/>
      </c>
      <c r="AK1255" s="7" t="n"/>
      <c r="AN1255" s="14" t="n"/>
      <c r="AQ1255">
        <f>IF($E1255="","",IF(COUNTIF($E$2:$E1255,$E1255)=1,1,0))</f>
        <v/>
      </c>
      <c r="AR1255">
        <f>IF($AQ1255=1,SUMPRODUCT(--($AU$2:$AU$1501&lt;$AU1255))+1,"")</f>
        <v/>
      </c>
      <c r="AS1255">
        <f>IF($E1255="","",IF(OR($U1255=TRUE(),$U1255="TRUE"),1,0))</f>
        <v/>
      </c>
      <c r="AT1255">
        <f>IF($E1255="","",IF($AC1255="Yes",1,0))</f>
        <v/>
      </c>
      <c r="AU1255">
        <f>IF($AQ1255=1,IFERROR(IF(VALUE($E1255)&lt;100000000,VALUE($E1255),1000000000),IFERROR(IF(VALUE(MID($E1255,2,20))&lt;100000000,VALUE(MID($E1255,2,20)),1000000000),1000000000))+ROW()/100000,"")</f>
        <v/>
      </c>
    </row>
    <row r="1256">
      <c r="G1256" s="14" t="n"/>
      <c r="Q1256" s="7">
        <f>IF($E1256="","",P1256*Z1256/100)</f>
        <v/>
      </c>
      <c r="R1256" s="7" t="n"/>
      <c r="Y1256" s="7" t="n"/>
      <c r="Z1256" s="7" t="n"/>
      <c r="AA1256" s="7" t="n"/>
      <c r="AD1256">
        <f>IF($E1256="","",IF($AT1256=1,Settings!$C$8,IF($AS1256=1,Settings!$C$6,Settings!$C$7))*100)</f>
        <v/>
      </c>
      <c r="AE1256" s="7">
        <f>IF($E1256="","",Z1256*AD1256/100)</f>
        <v/>
      </c>
      <c r="AF1256" s="7">
        <f>IF($E1256="","",Z1256-AE1256)</f>
        <v/>
      </c>
      <c r="AG1256" s="7">
        <f>IF($E1256="","",AF1256-Q1256)</f>
        <v/>
      </c>
      <c r="AK1256" s="7" t="n"/>
      <c r="AN1256" s="14" t="n"/>
      <c r="AQ1256">
        <f>IF($E1256="","",IF(COUNTIF($E$2:$E1256,$E1256)=1,1,0))</f>
        <v/>
      </c>
      <c r="AR1256">
        <f>IF($AQ1256=1,SUMPRODUCT(--($AU$2:$AU$1501&lt;$AU1256))+1,"")</f>
        <v/>
      </c>
      <c r="AS1256">
        <f>IF($E1256="","",IF(OR($U1256=TRUE(),$U1256="TRUE"),1,0))</f>
        <v/>
      </c>
      <c r="AT1256">
        <f>IF($E1256="","",IF($AC1256="Yes",1,0))</f>
        <v/>
      </c>
      <c r="AU1256">
        <f>IF($AQ1256=1,IFERROR(IF(VALUE($E1256)&lt;100000000,VALUE($E1256),1000000000),IFERROR(IF(VALUE(MID($E1256,2,20))&lt;100000000,VALUE(MID($E1256,2,20)),1000000000),1000000000))+ROW()/100000,"")</f>
        <v/>
      </c>
    </row>
    <row r="1257">
      <c r="G1257" s="14" t="n"/>
      <c r="Q1257" s="7">
        <f>IF($E1257="","",P1257*Z1257/100)</f>
        <v/>
      </c>
      <c r="R1257" s="7" t="n"/>
      <c r="Y1257" s="7" t="n"/>
      <c r="Z1257" s="7" t="n"/>
      <c r="AA1257" s="7" t="n"/>
      <c r="AD1257">
        <f>IF($E1257="","",IF($AT1257=1,Settings!$C$8,IF($AS1257=1,Settings!$C$6,Settings!$C$7))*100)</f>
        <v/>
      </c>
      <c r="AE1257" s="7">
        <f>IF($E1257="","",Z1257*AD1257/100)</f>
        <v/>
      </c>
      <c r="AF1257" s="7">
        <f>IF($E1257="","",Z1257-AE1257)</f>
        <v/>
      </c>
      <c r="AG1257" s="7">
        <f>IF($E1257="","",AF1257-Q1257)</f>
        <v/>
      </c>
      <c r="AK1257" s="7" t="n"/>
      <c r="AN1257" s="14" t="n"/>
      <c r="AQ1257">
        <f>IF($E1257="","",IF(COUNTIF($E$2:$E1257,$E1257)=1,1,0))</f>
        <v/>
      </c>
      <c r="AR1257">
        <f>IF($AQ1257=1,SUMPRODUCT(--($AU$2:$AU$1501&lt;$AU1257))+1,"")</f>
        <v/>
      </c>
      <c r="AS1257">
        <f>IF($E1257="","",IF(OR($U1257=TRUE(),$U1257="TRUE"),1,0))</f>
        <v/>
      </c>
      <c r="AT1257">
        <f>IF($E1257="","",IF($AC1257="Yes",1,0))</f>
        <v/>
      </c>
      <c r="AU1257">
        <f>IF($AQ1257=1,IFERROR(IF(VALUE($E1257)&lt;100000000,VALUE($E1257),1000000000),IFERROR(IF(VALUE(MID($E1257,2,20))&lt;100000000,VALUE(MID($E1257,2,20)),1000000000),1000000000))+ROW()/100000,"")</f>
        <v/>
      </c>
    </row>
    <row r="1258">
      <c r="G1258" s="14" t="n"/>
      <c r="Q1258" s="7">
        <f>IF($E1258="","",P1258*Z1258/100)</f>
        <v/>
      </c>
      <c r="R1258" s="7" t="n"/>
      <c r="Y1258" s="7" t="n"/>
      <c r="Z1258" s="7" t="n"/>
      <c r="AA1258" s="7" t="n"/>
      <c r="AD1258">
        <f>IF($E1258="","",IF($AT1258=1,Settings!$C$8,IF($AS1258=1,Settings!$C$6,Settings!$C$7))*100)</f>
        <v/>
      </c>
      <c r="AE1258" s="7">
        <f>IF($E1258="","",Z1258*AD1258/100)</f>
        <v/>
      </c>
      <c r="AF1258" s="7">
        <f>IF($E1258="","",Z1258-AE1258)</f>
        <v/>
      </c>
      <c r="AG1258" s="7">
        <f>IF($E1258="","",AF1258-Q1258)</f>
        <v/>
      </c>
      <c r="AK1258" s="7" t="n"/>
      <c r="AN1258" s="14" t="n"/>
      <c r="AQ1258">
        <f>IF($E1258="","",IF(COUNTIF($E$2:$E1258,$E1258)=1,1,0))</f>
        <v/>
      </c>
      <c r="AR1258">
        <f>IF($AQ1258=1,SUMPRODUCT(--($AU$2:$AU$1501&lt;$AU1258))+1,"")</f>
        <v/>
      </c>
      <c r="AS1258">
        <f>IF($E1258="","",IF(OR($U1258=TRUE(),$U1258="TRUE"),1,0))</f>
        <v/>
      </c>
      <c r="AT1258">
        <f>IF($E1258="","",IF($AC1258="Yes",1,0))</f>
        <v/>
      </c>
      <c r="AU1258">
        <f>IF($AQ1258=1,IFERROR(IF(VALUE($E1258)&lt;100000000,VALUE($E1258),1000000000),IFERROR(IF(VALUE(MID($E1258,2,20))&lt;100000000,VALUE(MID($E1258,2,20)),1000000000),1000000000))+ROW()/100000,"")</f>
        <v/>
      </c>
    </row>
    <row r="1259">
      <c r="G1259" s="14" t="n"/>
      <c r="Q1259" s="7">
        <f>IF($E1259="","",P1259*Z1259/100)</f>
        <v/>
      </c>
      <c r="R1259" s="7" t="n"/>
      <c r="Y1259" s="7" t="n"/>
      <c r="Z1259" s="7" t="n"/>
      <c r="AA1259" s="7" t="n"/>
      <c r="AD1259">
        <f>IF($E1259="","",IF($AT1259=1,Settings!$C$8,IF($AS1259=1,Settings!$C$6,Settings!$C$7))*100)</f>
        <v/>
      </c>
      <c r="AE1259" s="7">
        <f>IF($E1259="","",Z1259*AD1259/100)</f>
        <v/>
      </c>
      <c r="AF1259" s="7">
        <f>IF($E1259="","",Z1259-AE1259)</f>
        <v/>
      </c>
      <c r="AG1259" s="7">
        <f>IF($E1259="","",AF1259-Q1259)</f>
        <v/>
      </c>
      <c r="AK1259" s="7" t="n"/>
      <c r="AN1259" s="14" t="n"/>
      <c r="AQ1259">
        <f>IF($E1259="","",IF(COUNTIF($E$2:$E1259,$E1259)=1,1,0))</f>
        <v/>
      </c>
      <c r="AR1259">
        <f>IF($AQ1259=1,SUMPRODUCT(--($AU$2:$AU$1501&lt;$AU1259))+1,"")</f>
        <v/>
      </c>
      <c r="AS1259">
        <f>IF($E1259="","",IF(OR($U1259=TRUE(),$U1259="TRUE"),1,0))</f>
        <v/>
      </c>
      <c r="AT1259">
        <f>IF($E1259="","",IF($AC1259="Yes",1,0))</f>
        <v/>
      </c>
      <c r="AU1259">
        <f>IF($AQ1259=1,IFERROR(IF(VALUE($E1259)&lt;100000000,VALUE($E1259),1000000000),IFERROR(IF(VALUE(MID($E1259,2,20))&lt;100000000,VALUE(MID($E1259,2,20)),1000000000),1000000000))+ROW()/100000,"")</f>
        <v/>
      </c>
    </row>
    <row r="1260">
      <c r="G1260" s="14" t="n"/>
      <c r="Q1260" s="7">
        <f>IF($E1260="","",P1260*Z1260/100)</f>
        <v/>
      </c>
      <c r="R1260" s="7" t="n"/>
      <c r="Y1260" s="7" t="n"/>
      <c r="Z1260" s="7" t="n"/>
      <c r="AA1260" s="7" t="n"/>
      <c r="AD1260">
        <f>IF($E1260="","",IF($AT1260=1,Settings!$C$8,IF($AS1260=1,Settings!$C$6,Settings!$C$7))*100)</f>
        <v/>
      </c>
      <c r="AE1260" s="7">
        <f>IF($E1260="","",Z1260*AD1260/100)</f>
        <v/>
      </c>
      <c r="AF1260" s="7">
        <f>IF($E1260="","",Z1260-AE1260)</f>
        <v/>
      </c>
      <c r="AG1260" s="7">
        <f>IF($E1260="","",AF1260-Q1260)</f>
        <v/>
      </c>
      <c r="AK1260" s="7" t="n"/>
      <c r="AN1260" s="14" t="n"/>
      <c r="AQ1260">
        <f>IF($E1260="","",IF(COUNTIF($E$2:$E1260,$E1260)=1,1,0))</f>
        <v/>
      </c>
      <c r="AR1260">
        <f>IF($AQ1260=1,SUMPRODUCT(--($AU$2:$AU$1501&lt;$AU1260))+1,"")</f>
        <v/>
      </c>
      <c r="AS1260">
        <f>IF($E1260="","",IF(OR($U1260=TRUE(),$U1260="TRUE"),1,0))</f>
        <v/>
      </c>
      <c r="AT1260">
        <f>IF($E1260="","",IF($AC1260="Yes",1,0))</f>
        <v/>
      </c>
      <c r="AU1260">
        <f>IF($AQ1260=1,IFERROR(IF(VALUE($E1260)&lt;100000000,VALUE($E1260),1000000000),IFERROR(IF(VALUE(MID($E1260,2,20))&lt;100000000,VALUE(MID($E1260,2,20)),1000000000),1000000000))+ROW()/100000,"")</f>
        <v/>
      </c>
    </row>
    <row r="1261">
      <c r="G1261" s="14" t="n"/>
      <c r="Q1261" s="7">
        <f>IF($E1261="","",P1261*Z1261/100)</f>
        <v/>
      </c>
      <c r="R1261" s="7" t="n"/>
      <c r="Y1261" s="7" t="n"/>
      <c r="Z1261" s="7" t="n"/>
      <c r="AA1261" s="7" t="n"/>
      <c r="AD1261">
        <f>IF($E1261="","",IF($AT1261=1,Settings!$C$8,IF($AS1261=1,Settings!$C$6,Settings!$C$7))*100)</f>
        <v/>
      </c>
      <c r="AE1261" s="7">
        <f>IF($E1261="","",Z1261*AD1261/100)</f>
        <v/>
      </c>
      <c r="AF1261" s="7">
        <f>IF($E1261="","",Z1261-AE1261)</f>
        <v/>
      </c>
      <c r="AG1261" s="7">
        <f>IF($E1261="","",AF1261-Q1261)</f>
        <v/>
      </c>
      <c r="AK1261" s="7" t="n"/>
      <c r="AN1261" s="14" t="n"/>
      <c r="AQ1261">
        <f>IF($E1261="","",IF(COUNTIF($E$2:$E1261,$E1261)=1,1,0))</f>
        <v/>
      </c>
      <c r="AR1261">
        <f>IF($AQ1261=1,SUMPRODUCT(--($AU$2:$AU$1501&lt;$AU1261))+1,"")</f>
        <v/>
      </c>
      <c r="AS1261">
        <f>IF($E1261="","",IF(OR($U1261=TRUE(),$U1261="TRUE"),1,0))</f>
        <v/>
      </c>
      <c r="AT1261">
        <f>IF($E1261="","",IF($AC1261="Yes",1,0))</f>
        <v/>
      </c>
      <c r="AU1261">
        <f>IF($AQ1261=1,IFERROR(IF(VALUE($E1261)&lt;100000000,VALUE($E1261),1000000000),IFERROR(IF(VALUE(MID($E1261,2,20))&lt;100000000,VALUE(MID($E1261,2,20)),1000000000),1000000000))+ROW()/100000,"")</f>
        <v/>
      </c>
    </row>
    <row r="1262">
      <c r="G1262" s="14" t="n"/>
      <c r="Q1262" s="7">
        <f>IF($E1262="","",P1262*Z1262/100)</f>
        <v/>
      </c>
      <c r="R1262" s="7" t="n"/>
      <c r="Y1262" s="7" t="n"/>
      <c r="Z1262" s="7" t="n"/>
      <c r="AA1262" s="7" t="n"/>
      <c r="AD1262">
        <f>IF($E1262="","",IF($AT1262=1,Settings!$C$8,IF($AS1262=1,Settings!$C$6,Settings!$C$7))*100)</f>
        <v/>
      </c>
      <c r="AE1262" s="7">
        <f>IF($E1262="","",Z1262*AD1262/100)</f>
        <v/>
      </c>
      <c r="AF1262" s="7">
        <f>IF($E1262="","",Z1262-AE1262)</f>
        <v/>
      </c>
      <c r="AG1262" s="7">
        <f>IF($E1262="","",AF1262-Q1262)</f>
        <v/>
      </c>
      <c r="AK1262" s="7" t="n"/>
      <c r="AN1262" s="14" t="n"/>
      <c r="AQ1262">
        <f>IF($E1262="","",IF(COUNTIF($E$2:$E1262,$E1262)=1,1,0))</f>
        <v/>
      </c>
      <c r="AR1262">
        <f>IF($AQ1262=1,SUMPRODUCT(--($AU$2:$AU$1501&lt;$AU1262))+1,"")</f>
        <v/>
      </c>
      <c r="AS1262">
        <f>IF($E1262="","",IF(OR($U1262=TRUE(),$U1262="TRUE"),1,0))</f>
        <v/>
      </c>
      <c r="AT1262">
        <f>IF($E1262="","",IF($AC1262="Yes",1,0))</f>
        <v/>
      </c>
      <c r="AU1262">
        <f>IF($AQ1262=1,IFERROR(IF(VALUE($E1262)&lt;100000000,VALUE($E1262),1000000000),IFERROR(IF(VALUE(MID($E1262,2,20))&lt;100000000,VALUE(MID($E1262,2,20)),1000000000),1000000000))+ROW()/100000,"")</f>
        <v/>
      </c>
    </row>
    <row r="1263">
      <c r="G1263" s="14" t="n"/>
      <c r="Q1263" s="7">
        <f>IF($E1263="","",P1263*Z1263/100)</f>
        <v/>
      </c>
      <c r="R1263" s="7" t="n"/>
      <c r="Y1263" s="7" t="n"/>
      <c r="Z1263" s="7" t="n"/>
      <c r="AA1263" s="7" t="n"/>
      <c r="AD1263">
        <f>IF($E1263="","",IF($AT1263=1,Settings!$C$8,IF($AS1263=1,Settings!$C$6,Settings!$C$7))*100)</f>
        <v/>
      </c>
      <c r="AE1263" s="7">
        <f>IF($E1263="","",Z1263*AD1263/100)</f>
        <v/>
      </c>
      <c r="AF1263" s="7">
        <f>IF($E1263="","",Z1263-AE1263)</f>
        <v/>
      </c>
      <c r="AG1263" s="7">
        <f>IF($E1263="","",AF1263-Q1263)</f>
        <v/>
      </c>
      <c r="AK1263" s="7" t="n"/>
      <c r="AN1263" s="14" t="n"/>
      <c r="AQ1263">
        <f>IF($E1263="","",IF(COUNTIF($E$2:$E1263,$E1263)=1,1,0))</f>
        <v/>
      </c>
      <c r="AR1263">
        <f>IF($AQ1263=1,SUMPRODUCT(--($AU$2:$AU$1501&lt;$AU1263))+1,"")</f>
        <v/>
      </c>
      <c r="AS1263">
        <f>IF($E1263="","",IF(OR($U1263=TRUE(),$U1263="TRUE"),1,0))</f>
        <v/>
      </c>
      <c r="AT1263">
        <f>IF($E1263="","",IF($AC1263="Yes",1,0))</f>
        <v/>
      </c>
      <c r="AU1263">
        <f>IF($AQ1263=1,IFERROR(IF(VALUE($E1263)&lt;100000000,VALUE($E1263),1000000000),IFERROR(IF(VALUE(MID($E1263,2,20))&lt;100000000,VALUE(MID($E1263,2,20)),1000000000),1000000000))+ROW()/100000,"")</f>
        <v/>
      </c>
    </row>
    <row r="1264">
      <c r="G1264" s="14" t="n"/>
      <c r="Q1264" s="7">
        <f>IF($E1264="","",P1264*Z1264/100)</f>
        <v/>
      </c>
      <c r="R1264" s="7" t="n"/>
      <c r="Y1264" s="7" t="n"/>
      <c r="Z1264" s="7" t="n"/>
      <c r="AA1264" s="7" t="n"/>
      <c r="AD1264">
        <f>IF($E1264="","",IF($AT1264=1,Settings!$C$8,IF($AS1264=1,Settings!$C$6,Settings!$C$7))*100)</f>
        <v/>
      </c>
      <c r="AE1264" s="7">
        <f>IF($E1264="","",Z1264*AD1264/100)</f>
        <v/>
      </c>
      <c r="AF1264" s="7">
        <f>IF($E1264="","",Z1264-AE1264)</f>
        <v/>
      </c>
      <c r="AG1264" s="7">
        <f>IF($E1264="","",AF1264-Q1264)</f>
        <v/>
      </c>
      <c r="AK1264" s="7" t="n"/>
      <c r="AN1264" s="14" t="n"/>
      <c r="AQ1264">
        <f>IF($E1264="","",IF(COUNTIF($E$2:$E1264,$E1264)=1,1,0))</f>
        <v/>
      </c>
      <c r="AR1264">
        <f>IF($AQ1264=1,SUMPRODUCT(--($AU$2:$AU$1501&lt;$AU1264))+1,"")</f>
        <v/>
      </c>
      <c r="AS1264">
        <f>IF($E1264="","",IF(OR($U1264=TRUE(),$U1264="TRUE"),1,0))</f>
        <v/>
      </c>
      <c r="AT1264">
        <f>IF($E1264="","",IF($AC1264="Yes",1,0))</f>
        <v/>
      </c>
      <c r="AU1264">
        <f>IF($AQ1264=1,IFERROR(IF(VALUE($E1264)&lt;100000000,VALUE($E1264),1000000000),IFERROR(IF(VALUE(MID($E1264,2,20))&lt;100000000,VALUE(MID($E1264,2,20)),1000000000),1000000000))+ROW()/100000,"")</f>
        <v/>
      </c>
    </row>
    <row r="1265">
      <c r="G1265" s="14" t="n"/>
      <c r="Q1265" s="7">
        <f>IF($E1265="","",P1265*Z1265/100)</f>
        <v/>
      </c>
      <c r="R1265" s="7" t="n"/>
      <c r="Y1265" s="7" t="n"/>
      <c r="Z1265" s="7" t="n"/>
      <c r="AA1265" s="7" t="n"/>
      <c r="AD1265">
        <f>IF($E1265="","",IF($AT1265=1,Settings!$C$8,IF($AS1265=1,Settings!$C$6,Settings!$C$7))*100)</f>
        <v/>
      </c>
      <c r="AE1265" s="7">
        <f>IF($E1265="","",Z1265*AD1265/100)</f>
        <v/>
      </c>
      <c r="AF1265" s="7">
        <f>IF($E1265="","",Z1265-AE1265)</f>
        <v/>
      </c>
      <c r="AG1265" s="7">
        <f>IF($E1265="","",AF1265-Q1265)</f>
        <v/>
      </c>
      <c r="AK1265" s="7" t="n"/>
      <c r="AN1265" s="14" t="n"/>
      <c r="AQ1265">
        <f>IF($E1265="","",IF(COUNTIF($E$2:$E1265,$E1265)=1,1,0))</f>
        <v/>
      </c>
      <c r="AR1265">
        <f>IF($AQ1265=1,SUMPRODUCT(--($AU$2:$AU$1501&lt;$AU1265))+1,"")</f>
        <v/>
      </c>
      <c r="AS1265">
        <f>IF($E1265="","",IF(OR($U1265=TRUE(),$U1265="TRUE"),1,0))</f>
        <v/>
      </c>
      <c r="AT1265">
        <f>IF($E1265="","",IF($AC1265="Yes",1,0))</f>
        <v/>
      </c>
      <c r="AU1265">
        <f>IF($AQ1265=1,IFERROR(IF(VALUE($E1265)&lt;100000000,VALUE($E1265),1000000000),IFERROR(IF(VALUE(MID($E1265,2,20))&lt;100000000,VALUE(MID($E1265,2,20)),1000000000),1000000000))+ROW()/100000,"")</f>
        <v/>
      </c>
    </row>
    <row r="1266">
      <c r="G1266" s="14" t="n"/>
      <c r="Q1266" s="7">
        <f>IF($E1266="","",P1266*Z1266/100)</f>
        <v/>
      </c>
      <c r="R1266" s="7" t="n"/>
      <c r="Y1266" s="7" t="n"/>
      <c r="Z1266" s="7" t="n"/>
      <c r="AA1266" s="7" t="n"/>
      <c r="AD1266">
        <f>IF($E1266="","",IF($AT1266=1,Settings!$C$8,IF($AS1266=1,Settings!$C$6,Settings!$C$7))*100)</f>
        <v/>
      </c>
      <c r="AE1266" s="7">
        <f>IF($E1266="","",Z1266*AD1266/100)</f>
        <v/>
      </c>
      <c r="AF1266" s="7">
        <f>IF($E1266="","",Z1266-AE1266)</f>
        <v/>
      </c>
      <c r="AG1266" s="7">
        <f>IF($E1266="","",AF1266-Q1266)</f>
        <v/>
      </c>
      <c r="AK1266" s="7" t="n"/>
      <c r="AN1266" s="14" t="n"/>
      <c r="AQ1266">
        <f>IF($E1266="","",IF(COUNTIF($E$2:$E1266,$E1266)=1,1,0))</f>
        <v/>
      </c>
      <c r="AR1266">
        <f>IF($AQ1266=1,SUMPRODUCT(--($AU$2:$AU$1501&lt;$AU1266))+1,"")</f>
        <v/>
      </c>
      <c r="AS1266">
        <f>IF($E1266="","",IF(OR($U1266=TRUE(),$U1266="TRUE"),1,0))</f>
        <v/>
      </c>
      <c r="AT1266">
        <f>IF($E1266="","",IF($AC1266="Yes",1,0))</f>
        <v/>
      </c>
      <c r="AU1266">
        <f>IF($AQ1266=1,IFERROR(IF(VALUE($E1266)&lt;100000000,VALUE($E1266),1000000000),IFERROR(IF(VALUE(MID($E1266,2,20))&lt;100000000,VALUE(MID($E1266,2,20)),1000000000),1000000000))+ROW()/100000,"")</f>
        <v/>
      </c>
    </row>
    <row r="1267">
      <c r="G1267" s="14" t="n"/>
      <c r="Q1267" s="7">
        <f>IF($E1267="","",P1267*Z1267/100)</f>
        <v/>
      </c>
      <c r="R1267" s="7" t="n"/>
      <c r="Y1267" s="7" t="n"/>
      <c r="Z1267" s="7" t="n"/>
      <c r="AA1267" s="7" t="n"/>
      <c r="AD1267">
        <f>IF($E1267="","",IF($AT1267=1,Settings!$C$8,IF($AS1267=1,Settings!$C$6,Settings!$C$7))*100)</f>
        <v/>
      </c>
      <c r="AE1267" s="7">
        <f>IF($E1267="","",Z1267*AD1267/100)</f>
        <v/>
      </c>
      <c r="AF1267" s="7">
        <f>IF($E1267="","",Z1267-AE1267)</f>
        <v/>
      </c>
      <c r="AG1267" s="7">
        <f>IF($E1267="","",AF1267-Q1267)</f>
        <v/>
      </c>
      <c r="AK1267" s="7" t="n"/>
      <c r="AN1267" s="14" t="n"/>
      <c r="AQ1267">
        <f>IF($E1267="","",IF(COUNTIF($E$2:$E1267,$E1267)=1,1,0))</f>
        <v/>
      </c>
      <c r="AR1267">
        <f>IF($AQ1267=1,SUMPRODUCT(--($AU$2:$AU$1501&lt;$AU1267))+1,"")</f>
        <v/>
      </c>
      <c r="AS1267">
        <f>IF($E1267="","",IF(OR($U1267=TRUE(),$U1267="TRUE"),1,0))</f>
        <v/>
      </c>
      <c r="AT1267">
        <f>IF($E1267="","",IF($AC1267="Yes",1,0))</f>
        <v/>
      </c>
      <c r="AU1267">
        <f>IF($AQ1267=1,IFERROR(IF(VALUE($E1267)&lt;100000000,VALUE($E1267),1000000000),IFERROR(IF(VALUE(MID($E1267,2,20))&lt;100000000,VALUE(MID($E1267,2,20)),1000000000),1000000000))+ROW()/100000,"")</f>
        <v/>
      </c>
    </row>
    <row r="1268">
      <c r="G1268" s="14" t="n"/>
      <c r="Q1268" s="7">
        <f>IF($E1268="","",P1268*Z1268/100)</f>
        <v/>
      </c>
      <c r="R1268" s="7" t="n"/>
      <c r="Y1268" s="7" t="n"/>
      <c r="Z1268" s="7" t="n"/>
      <c r="AA1268" s="7" t="n"/>
      <c r="AD1268">
        <f>IF($E1268="","",IF($AT1268=1,Settings!$C$8,IF($AS1268=1,Settings!$C$6,Settings!$C$7))*100)</f>
        <v/>
      </c>
      <c r="AE1268" s="7">
        <f>IF($E1268="","",Z1268*AD1268/100)</f>
        <v/>
      </c>
      <c r="AF1268" s="7">
        <f>IF($E1268="","",Z1268-AE1268)</f>
        <v/>
      </c>
      <c r="AG1268" s="7">
        <f>IF($E1268="","",AF1268-Q1268)</f>
        <v/>
      </c>
      <c r="AK1268" s="7" t="n"/>
      <c r="AN1268" s="14" t="n"/>
      <c r="AQ1268">
        <f>IF($E1268="","",IF(COUNTIF($E$2:$E1268,$E1268)=1,1,0))</f>
        <v/>
      </c>
      <c r="AR1268">
        <f>IF($AQ1268=1,SUMPRODUCT(--($AU$2:$AU$1501&lt;$AU1268))+1,"")</f>
        <v/>
      </c>
      <c r="AS1268">
        <f>IF($E1268="","",IF(OR($U1268=TRUE(),$U1268="TRUE"),1,0))</f>
        <v/>
      </c>
      <c r="AT1268">
        <f>IF($E1268="","",IF($AC1268="Yes",1,0))</f>
        <v/>
      </c>
      <c r="AU1268">
        <f>IF($AQ1268=1,IFERROR(IF(VALUE($E1268)&lt;100000000,VALUE($E1268),1000000000),IFERROR(IF(VALUE(MID($E1268,2,20))&lt;100000000,VALUE(MID($E1268,2,20)),1000000000),1000000000))+ROW()/100000,"")</f>
        <v/>
      </c>
    </row>
    <row r="1269">
      <c r="G1269" s="14" t="n"/>
      <c r="Q1269" s="7">
        <f>IF($E1269="","",P1269*Z1269/100)</f>
        <v/>
      </c>
      <c r="R1269" s="7" t="n"/>
      <c r="Y1269" s="7" t="n"/>
      <c r="Z1269" s="7" t="n"/>
      <c r="AA1269" s="7" t="n"/>
      <c r="AD1269">
        <f>IF($E1269="","",IF($AT1269=1,Settings!$C$8,IF($AS1269=1,Settings!$C$6,Settings!$C$7))*100)</f>
        <v/>
      </c>
      <c r="AE1269" s="7">
        <f>IF($E1269="","",Z1269*AD1269/100)</f>
        <v/>
      </c>
      <c r="AF1269" s="7">
        <f>IF($E1269="","",Z1269-AE1269)</f>
        <v/>
      </c>
      <c r="AG1269" s="7">
        <f>IF($E1269="","",AF1269-Q1269)</f>
        <v/>
      </c>
      <c r="AK1269" s="7" t="n"/>
      <c r="AN1269" s="14" t="n"/>
      <c r="AQ1269">
        <f>IF($E1269="","",IF(COUNTIF($E$2:$E1269,$E1269)=1,1,0))</f>
        <v/>
      </c>
      <c r="AR1269">
        <f>IF($AQ1269=1,SUMPRODUCT(--($AU$2:$AU$1501&lt;$AU1269))+1,"")</f>
        <v/>
      </c>
      <c r="AS1269">
        <f>IF($E1269="","",IF(OR($U1269=TRUE(),$U1269="TRUE"),1,0))</f>
        <v/>
      </c>
      <c r="AT1269">
        <f>IF($E1269="","",IF($AC1269="Yes",1,0))</f>
        <v/>
      </c>
      <c r="AU1269">
        <f>IF($AQ1269=1,IFERROR(IF(VALUE($E1269)&lt;100000000,VALUE($E1269),1000000000),IFERROR(IF(VALUE(MID($E1269,2,20))&lt;100000000,VALUE(MID($E1269,2,20)),1000000000),1000000000))+ROW()/100000,"")</f>
        <v/>
      </c>
    </row>
    <row r="1270">
      <c r="G1270" s="14" t="n"/>
      <c r="Q1270" s="7">
        <f>IF($E1270="","",P1270*Z1270/100)</f>
        <v/>
      </c>
      <c r="R1270" s="7" t="n"/>
      <c r="Y1270" s="7" t="n"/>
      <c r="Z1270" s="7" t="n"/>
      <c r="AA1270" s="7" t="n"/>
      <c r="AD1270">
        <f>IF($E1270="","",IF($AT1270=1,Settings!$C$8,IF($AS1270=1,Settings!$C$6,Settings!$C$7))*100)</f>
        <v/>
      </c>
      <c r="AE1270" s="7">
        <f>IF($E1270="","",Z1270*AD1270/100)</f>
        <v/>
      </c>
      <c r="AF1270" s="7">
        <f>IF($E1270="","",Z1270-AE1270)</f>
        <v/>
      </c>
      <c r="AG1270" s="7">
        <f>IF($E1270="","",AF1270-Q1270)</f>
        <v/>
      </c>
      <c r="AK1270" s="7" t="n"/>
      <c r="AN1270" s="14" t="n"/>
      <c r="AQ1270">
        <f>IF($E1270="","",IF(COUNTIF($E$2:$E1270,$E1270)=1,1,0))</f>
        <v/>
      </c>
      <c r="AR1270">
        <f>IF($AQ1270=1,SUMPRODUCT(--($AU$2:$AU$1501&lt;$AU1270))+1,"")</f>
        <v/>
      </c>
      <c r="AS1270">
        <f>IF($E1270="","",IF(OR($U1270=TRUE(),$U1270="TRUE"),1,0))</f>
        <v/>
      </c>
      <c r="AT1270">
        <f>IF($E1270="","",IF($AC1270="Yes",1,0))</f>
        <v/>
      </c>
      <c r="AU1270">
        <f>IF($AQ1270=1,IFERROR(IF(VALUE($E1270)&lt;100000000,VALUE($E1270),1000000000),IFERROR(IF(VALUE(MID($E1270,2,20))&lt;100000000,VALUE(MID($E1270,2,20)),1000000000),1000000000))+ROW()/100000,"")</f>
        <v/>
      </c>
    </row>
    <row r="1271">
      <c r="G1271" s="14" t="n"/>
      <c r="Q1271" s="7">
        <f>IF($E1271="","",P1271*Z1271/100)</f>
        <v/>
      </c>
      <c r="R1271" s="7" t="n"/>
      <c r="Y1271" s="7" t="n"/>
      <c r="Z1271" s="7" t="n"/>
      <c r="AA1271" s="7" t="n"/>
      <c r="AD1271">
        <f>IF($E1271="","",IF($AT1271=1,Settings!$C$8,IF($AS1271=1,Settings!$C$6,Settings!$C$7))*100)</f>
        <v/>
      </c>
      <c r="AE1271" s="7">
        <f>IF($E1271="","",Z1271*AD1271/100)</f>
        <v/>
      </c>
      <c r="AF1271" s="7">
        <f>IF($E1271="","",Z1271-AE1271)</f>
        <v/>
      </c>
      <c r="AG1271" s="7">
        <f>IF($E1271="","",AF1271-Q1271)</f>
        <v/>
      </c>
      <c r="AK1271" s="7" t="n"/>
      <c r="AN1271" s="14" t="n"/>
      <c r="AQ1271">
        <f>IF($E1271="","",IF(COUNTIF($E$2:$E1271,$E1271)=1,1,0))</f>
        <v/>
      </c>
      <c r="AR1271">
        <f>IF($AQ1271=1,SUMPRODUCT(--($AU$2:$AU$1501&lt;$AU1271))+1,"")</f>
        <v/>
      </c>
      <c r="AS1271">
        <f>IF($E1271="","",IF(OR($U1271=TRUE(),$U1271="TRUE"),1,0))</f>
        <v/>
      </c>
      <c r="AT1271">
        <f>IF($E1271="","",IF($AC1271="Yes",1,0))</f>
        <v/>
      </c>
      <c r="AU1271">
        <f>IF($AQ1271=1,IFERROR(IF(VALUE($E1271)&lt;100000000,VALUE($E1271),1000000000),IFERROR(IF(VALUE(MID($E1271,2,20))&lt;100000000,VALUE(MID($E1271,2,20)),1000000000),1000000000))+ROW()/100000,"")</f>
        <v/>
      </c>
    </row>
    <row r="1272">
      <c r="G1272" s="14" t="n"/>
      <c r="Q1272" s="7">
        <f>IF($E1272="","",P1272*Z1272/100)</f>
        <v/>
      </c>
      <c r="R1272" s="7" t="n"/>
      <c r="Y1272" s="7" t="n"/>
      <c r="Z1272" s="7" t="n"/>
      <c r="AA1272" s="7" t="n"/>
      <c r="AD1272">
        <f>IF($E1272="","",IF($AT1272=1,Settings!$C$8,IF($AS1272=1,Settings!$C$6,Settings!$C$7))*100)</f>
        <v/>
      </c>
      <c r="AE1272" s="7">
        <f>IF($E1272="","",Z1272*AD1272/100)</f>
        <v/>
      </c>
      <c r="AF1272" s="7">
        <f>IF($E1272="","",Z1272-AE1272)</f>
        <v/>
      </c>
      <c r="AG1272" s="7">
        <f>IF($E1272="","",AF1272-Q1272)</f>
        <v/>
      </c>
      <c r="AK1272" s="7" t="n"/>
      <c r="AN1272" s="14" t="n"/>
      <c r="AQ1272">
        <f>IF($E1272="","",IF(COUNTIF($E$2:$E1272,$E1272)=1,1,0))</f>
        <v/>
      </c>
      <c r="AR1272">
        <f>IF($AQ1272=1,SUMPRODUCT(--($AU$2:$AU$1501&lt;$AU1272))+1,"")</f>
        <v/>
      </c>
      <c r="AS1272">
        <f>IF($E1272="","",IF(OR($U1272=TRUE(),$U1272="TRUE"),1,0))</f>
        <v/>
      </c>
      <c r="AT1272">
        <f>IF($E1272="","",IF($AC1272="Yes",1,0))</f>
        <v/>
      </c>
      <c r="AU1272">
        <f>IF($AQ1272=1,IFERROR(IF(VALUE($E1272)&lt;100000000,VALUE($E1272),1000000000),IFERROR(IF(VALUE(MID($E1272,2,20))&lt;100000000,VALUE(MID($E1272,2,20)),1000000000),1000000000))+ROW()/100000,"")</f>
        <v/>
      </c>
    </row>
    <row r="1273">
      <c r="G1273" s="14" t="n"/>
      <c r="Q1273" s="7">
        <f>IF($E1273="","",P1273*Z1273/100)</f>
        <v/>
      </c>
      <c r="R1273" s="7" t="n"/>
      <c r="Y1273" s="7" t="n"/>
      <c r="Z1273" s="7" t="n"/>
      <c r="AA1273" s="7" t="n"/>
      <c r="AD1273">
        <f>IF($E1273="","",IF($AT1273=1,Settings!$C$8,IF($AS1273=1,Settings!$C$6,Settings!$C$7))*100)</f>
        <v/>
      </c>
      <c r="AE1273" s="7">
        <f>IF($E1273="","",Z1273*AD1273/100)</f>
        <v/>
      </c>
      <c r="AF1273" s="7">
        <f>IF($E1273="","",Z1273-AE1273)</f>
        <v/>
      </c>
      <c r="AG1273" s="7">
        <f>IF($E1273="","",AF1273-Q1273)</f>
        <v/>
      </c>
      <c r="AK1273" s="7" t="n"/>
      <c r="AN1273" s="14" t="n"/>
      <c r="AQ1273">
        <f>IF($E1273="","",IF(COUNTIF($E$2:$E1273,$E1273)=1,1,0))</f>
        <v/>
      </c>
      <c r="AR1273">
        <f>IF($AQ1273=1,SUMPRODUCT(--($AU$2:$AU$1501&lt;$AU1273))+1,"")</f>
        <v/>
      </c>
      <c r="AS1273">
        <f>IF($E1273="","",IF(OR($U1273=TRUE(),$U1273="TRUE"),1,0))</f>
        <v/>
      </c>
      <c r="AT1273">
        <f>IF($E1273="","",IF($AC1273="Yes",1,0))</f>
        <v/>
      </c>
      <c r="AU1273">
        <f>IF($AQ1273=1,IFERROR(IF(VALUE($E1273)&lt;100000000,VALUE($E1273),1000000000),IFERROR(IF(VALUE(MID($E1273,2,20))&lt;100000000,VALUE(MID($E1273,2,20)),1000000000),1000000000))+ROW()/100000,"")</f>
        <v/>
      </c>
    </row>
    <row r="1274">
      <c r="G1274" s="14" t="n"/>
      <c r="Q1274" s="7">
        <f>IF($E1274="","",P1274*Z1274/100)</f>
        <v/>
      </c>
      <c r="R1274" s="7" t="n"/>
      <c r="Y1274" s="7" t="n"/>
      <c r="Z1274" s="7" t="n"/>
      <c r="AA1274" s="7" t="n"/>
      <c r="AD1274">
        <f>IF($E1274="","",IF($AT1274=1,Settings!$C$8,IF($AS1274=1,Settings!$C$6,Settings!$C$7))*100)</f>
        <v/>
      </c>
      <c r="AE1274" s="7">
        <f>IF($E1274="","",Z1274*AD1274/100)</f>
        <v/>
      </c>
      <c r="AF1274" s="7">
        <f>IF($E1274="","",Z1274-AE1274)</f>
        <v/>
      </c>
      <c r="AG1274" s="7">
        <f>IF($E1274="","",AF1274-Q1274)</f>
        <v/>
      </c>
      <c r="AK1274" s="7" t="n"/>
      <c r="AN1274" s="14" t="n"/>
      <c r="AQ1274">
        <f>IF($E1274="","",IF(COUNTIF($E$2:$E1274,$E1274)=1,1,0))</f>
        <v/>
      </c>
      <c r="AR1274">
        <f>IF($AQ1274=1,SUMPRODUCT(--($AU$2:$AU$1501&lt;$AU1274))+1,"")</f>
        <v/>
      </c>
      <c r="AS1274">
        <f>IF($E1274="","",IF(OR($U1274=TRUE(),$U1274="TRUE"),1,0))</f>
        <v/>
      </c>
      <c r="AT1274">
        <f>IF($E1274="","",IF($AC1274="Yes",1,0))</f>
        <v/>
      </c>
      <c r="AU1274">
        <f>IF($AQ1274=1,IFERROR(IF(VALUE($E1274)&lt;100000000,VALUE($E1274),1000000000),IFERROR(IF(VALUE(MID($E1274,2,20))&lt;100000000,VALUE(MID($E1274,2,20)),1000000000),1000000000))+ROW()/100000,"")</f>
        <v/>
      </c>
    </row>
    <row r="1275">
      <c r="G1275" s="14" t="n"/>
      <c r="Q1275" s="7">
        <f>IF($E1275="","",P1275*Z1275/100)</f>
        <v/>
      </c>
      <c r="R1275" s="7" t="n"/>
      <c r="Y1275" s="7" t="n"/>
      <c r="Z1275" s="7" t="n"/>
      <c r="AA1275" s="7" t="n"/>
      <c r="AD1275">
        <f>IF($E1275="","",IF($AT1275=1,Settings!$C$8,IF($AS1275=1,Settings!$C$6,Settings!$C$7))*100)</f>
        <v/>
      </c>
      <c r="AE1275" s="7">
        <f>IF($E1275="","",Z1275*AD1275/100)</f>
        <v/>
      </c>
      <c r="AF1275" s="7">
        <f>IF($E1275="","",Z1275-AE1275)</f>
        <v/>
      </c>
      <c r="AG1275" s="7">
        <f>IF($E1275="","",AF1275-Q1275)</f>
        <v/>
      </c>
      <c r="AK1275" s="7" t="n"/>
      <c r="AN1275" s="14" t="n"/>
      <c r="AQ1275">
        <f>IF($E1275="","",IF(COUNTIF($E$2:$E1275,$E1275)=1,1,0))</f>
        <v/>
      </c>
      <c r="AR1275">
        <f>IF($AQ1275=1,SUMPRODUCT(--($AU$2:$AU$1501&lt;$AU1275))+1,"")</f>
        <v/>
      </c>
      <c r="AS1275">
        <f>IF($E1275="","",IF(OR($U1275=TRUE(),$U1275="TRUE"),1,0))</f>
        <v/>
      </c>
      <c r="AT1275">
        <f>IF($E1275="","",IF($AC1275="Yes",1,0))</f>
        <v/>
      </c>
      <c r="AU1275">
        <f>IF($AQ1275=1,IFERROR(IF(VALUE($E1275)&lt;100000000,VALUE($E1275),1000000000),IFERROR(IF(VALUE(MID($E1275,2,20))&lt;100000000,VALUE(MID($E1275,2,20)),1000000000),1000000000))+ROW()/100000,"")</f>
        <v/>
      </c>
    </row>
    <row r="1276">
      <c r="G1276" s="14" t="n"/>
      <c r="Q1276" s="7">
        <f>IF($E1276="","",P1276*Z1276/100)</f>
        <v/>
      </c>
      <c r="R1276" s="7" t="n"/>
      <c r="Y1276" s="7" t="n"/>
      <c r="Z1276" s="7" t="n"/>
      <c r="AA1276" s="7" t="n"/>
      <c r="AD1276">
        <f>IF($E1276="","",IF($AT1276=1,Settings!$C$8,IF($AS1276=1,Settings!$C$6,Settings!$C$7))*100)</f>
        <v/>
      </c>
      <c r="AE1276" s="7">
        <f>IF($E1276="","",Z1276*AD1276/100)</f>
        <v/>
      </c>
      <c r="AF1276" s="7">
        <f>IF($E1276="","",Z1276-AE1276)</f>
        <v/>
      </c>
      <c r="AG1276" s="7">
        <f>IF($E1276="","",AF1276-Q1276)</f>
        <v/>
      </c>
      <c r="AK1276" s="7" t="n"/>
      <c r="AN1276" s="14" t="n"/>
      <c r="AQ1276">
        <f>IF($E1276="","",IF(COUNTIF($E$2:$E1276,$E1276)=1,1,0))</f>
        <v/>
      </c>
      <c r="AR1276">
        <f>IF($AQ1276=1,SUMPRODUCT(--($AU$2:$AU$1501&lt;$AU1276))+1,"")</f>
        <v/>
      </c>
      <c r="AS1276">
        <f>IF($E1276="","",IF(OR($U1276=TRUE(),$U1276="TRUE"),1,0))</f>
        <v/>
      </c>
      <c r="AT1276">
        <f>IF($E1276="","",IF($AC1276="Yes",1,0))</f>
        <v/>
      </c>
      <c r="AU1276">
        <f>IF($AQ1276=1,IFERROR(IF(VALUE($E1276)&lt;100000000,VALUE($E1276),1000000000),IFERROR(IF(VALUE(MID($E1276,2,20))&lt;100000000,VALUE(MID($E1276,2,20)),1000000000),1000000000))+ROW()/100000,"")</f>
        <v/>
      </c>
    </row>
    <row r="1277">
      <c r="G1277" s="14" t="n"/>
      <c r="Q1277" s="7">
        <f>IF($E1277="","",P1277*Z1277/100)</f>
        <v/>
      </c>
      <c r="R1277" s="7" t="n"/>
      <c r="Y1277" s="7" t="n"/>
      <c r="Z1277" s="7" t="n"/>
      <c r="AA1277" s="7" t="n"/>
      <c r="AD1277">
        <f>IF($E1277="","",IF($AT1277=1,Settings!$C$8,IF($AS1277=1,Settings!$C$6,Settings!$C$7))*100)</f>
        <v/>
      </c>
      <c r="AE1277" s="7">
        <f>IF($E1277="","",Z1277*AD1277/100)</f>
        <v/>
      </c>
      <c r="AF1277" s="7">
        <f>IF($E1277="","",Z1277-AE1277)</f>
        <v/>
      </c>
      <c r="AG1277" s="7">
        <f>IF($E1277="","",AF1277-Q1277)</f>
        <v/>
      </c>
      <c r="AK1277" s="7" t="n"/>
      <c r="AN1277" s="14" t="n"/>
      <c r="AQ1277">
        <f>IF($E1277="","",IF(COUNTIF($E$2:$E1277,$E1277)=1,1,0))</f>
        <v/>
      </c>
      <c r="AR1277">
        <f>IF($AQ1277=1,SUMPRODUCT(--($AU$2:$AU$1501&lt;$AU1277))+1,"")</f>
        <v/>
      </c>
      <c r="AS1277">
        <f>IF($E1277="","",IF(OR($U1277=TRUE(),$U1277="TRUE"),1,0))</f>
        <v/>
      </c>
      <c r="AT1277">
        <f>IF($E1277="","",IF($AC1277="Yes",1,0))</f>
        <v/>
      </c>
      <c r="AU1277">
        <f>IF($AQ1277=1,IFERROR(IF(VALUE($E1277)&lt;100000000,VALUE($E1277),1000000000),IFERROR(IF(VALUE(MID($E1277,2,20))&lt;100000000,VALUE(MID($E1277,2,20)),1000000000),1000000000))+ROW()/100000,"")</f>
        <v/>
      </c>
    </row>
    <row r="1278">
      <c r="G1278" s="14" t="n"/>
      <c r="Q1278" s="7">
        <f>IF($E1278="","",P1278*Z1278/100)</f>
        <v/>
      </c>
      <c r="R1278" s="7" t="n"/>
      <c r="Y1278" s="7" t="n"/>
      <c r="Z1278" s="7" t="n"/>
      <c r="AA1278" s="7" t="n"/>
      <c r="AD1278">
        <f>IF($E1278="","",IF($AT1278=1,Settings!$C$8,IF($AS1278=1,Settings!$C$6,Settings!$C$7))*100)</f>
        <v/>
      </c>
      <c r="AE1278" s="7">
        <f>IF($E1278="","",Z1278*AD1278/100)</f>
        <v/>
      </c>
      <c r="AF1278" s="7">
        <f>IF($E1278="","",Z1278-AE1278)</f>
        <v/>
      </c>
      <c r="AG1278" s="7">
        <f>IF($E1278="","",AF1278-Q1278)</f>
        <v/>
      </c>
      <c r="AK1278" s="7" t="n"/>
      <c r="AN1278" s="14" t="n"/>
      <c r="AQ1278">
        <f>IF($E1278="","",IF(COUNTIF($E$2:$E1278,$E1278)=1,1,0))</f>
        <v/>
      </c>
      <c r="AR1278">
        <f>IF($AQ1278=1,SUMPRODUCT(--($AU$2:$AU$1501&lt;$AU1278))+1,"")</f>
        <v/>
      </c>
      <c r="AS1278">
        <f>IF($E1278="","",IF(OR($U1278=TRUE(),$U1278="TRUE"),1,0))</f>
        <v/>
      </c>
      <c r="AT1278">
        <f>IF($E1278="","",IF($AC1278="Yes",1,0))</f>
        <v/>
      </c>
      <c r="AU1278">
        <f>IF($AQ1278=1,IFERROR(IF(VALUE($E1278)&lt;100000000,VALUE($E1278),1000000000),IFERROR(IF(VALUE(MID($E1278,2,20))&lt;100000000,VALUE(MID($E1278,2,20)),1000000000),1000000000))+ROW()/100000,"")</f>
        <v/>
      </c>
    </row>
    <row r="1279">
      <c r="G1279" s="14" t="n"/>
      <c r="Q1279" s="7">
        <f>IF($E1279="","",P1279*Z1279/100)</f>
        <v/>
      </c>
      <c r="R1279" s="7" t="n"/>
      <c r="Y1279" s="7" t="n"/>
      <c r="Z1279" s="7" t="n"/>
      <c r="AA1279" s="7" t="n"/>
      <c r="AD1279">
        <f>IF($E1279="","",IF($AT1279=1,Settings!$C$8,IF($AS1279=1,Settings!$C$6,Settings!$C$7))*100)</f>
        <v/>
      </c>
      <c r="AE1279" s="7">
        <f>IF($E1279="","",Z1279*AD1279/100)</f>
        <v/>
      </c>
      <c r="AF1279" s="7">
        <f>IF($E1279="","",Z1279-AE1279)</f>
        <v/>
      </c>
      <c r="AG1279" s="7">
        <f>IF($E1279="","",AF1279-Q1279)</f>
        <v/>
      </c>
      <c r="AK1279" s="7" t="n"/>
      <c r="AN1279" s="14" t="n"/>
      <c r="AQ1279">
        <f>IF($E1279="","",IF(COUNTIF($E$2:$E1279,$E1279)=1,1,0))</f>
        <v/>
      </c>
      <c r="AR1279">
        <f>IF($AQ1279=1,SUMPRODUCT(--($AU$2:$AU$1501&lt;$AU1279))+1,"")</f>
        <v/>
      </c>
      <c r="AS1279">
        <f>IF($E1279="","",IF(OR($U1279=TRUE(),$U1279="TRUE"),1,0))</f>
        <v/>
      </c>
      <c r="AT1279">
        <f>IF($E1279="","",IF($AC1279="Yes",1,0))</f>
        <v/>
      </c>
      <c r="AU1279">
        <f>IF($AQ1279=1,IFERROR(IF(VALUE($E1279)&lt;100000000,VALUE($E1279),1000000000),IFERROR(IF(VALUE(MID($E1279,2,20))&lt;100000000,VALUE(MID($E1279,2,20)),1000000000),1000000000))+ROW()/100000,"")</f>
        <v/>
      </c>
    </row>
    <row r="1280">
      <c r="G1280" s="14" t="n"/>
      <c r="Q1280" s="7">
        <f>IF($E1280="","",P1280*Z1280/100)</f>
        <v/>
      </c>
      <c r="R1280" s="7" t="n"/>
      <c r="Y1280" s="7" t="n"/>
      <c r="Z1280" s="7" t="n"/>
      <c r="AA1280" s="7" t="n"/>
      <c r="AD1280">
        <f>IF($E1280="","",IF($AT1280=1,Settings!$C$8,IF($AS1280=1,Settings!$C$6,Settings!$C$7))*100)</f>
        <v/>
      </c>
      <c r="AE1280" s="7">
        <f>IF($E1280="","",Z1280*AD1280/100)</f>
        <v/>
      </c>
      <c r="AF1280" s="7">
        <f>IF($E1280="","",Z1280-AE1280)</f>
        <v/>
      </c>
      <c r="AG1280" s="7">
        <f>IF($E1280="","",AF1280-Q1280)</f>
        <v/>
      </c>
      <c r="AK1280" s="7" t="n"/>
      <c r="AN1280" s="14" t="n"/>
      <c r="AQ1280">
        <f>IF($E1280="","",IF(COUNTIF($E$2:$E1280,$E1280)=1,1,0))</f>
        <v/>
      </c>
      <c r="AR1280">
        <f>IF($AQ1280=1,SUMPRODUCT(--($AU$2:$AU$1501&lt;$AU1280))+1,"")</f>
        <v/>
      </c>
      <c r="AS1280">
        <f>IF($E1280="","",IF(OR($U1280=TRUE(),$U1280="TRUE"),1,0))</f>
        <v/>
      </c>
      <c r="AT1280">
        <f>IF($E1280="","",IF($AC1280="Yes",1,0))</f>
        <v/>
      </c>
      <c r="AU1280">
        <f>IF($AQ1280=1,IFERROR(IF(VALUE($E1280)&lt;100000000,VALUE($E1280),1000000000),IFERROR(IF(VALUE(MID($E1280,2,20))&lt;100000000,VALUE(MID($E1280,2,20)),1000000000),1000000000))+ROW()/100000,"")</f>
        <v/>
      </c>
    </row>
    <row r="1281">
      <c r="G1281" s="14" t="n"/>
      <c r="Q1281" s="7">
        <f>IF($E1281="","",P1281*Z1281/100)</f>
        <v/>
      </c>
      <c r="R1281" s="7" t="n"/>
      <c r="Y1281" s="7" t="n"/>
      <c r="Z1281" s="7" t="n"/>
      <c r="AA1281" s="7" t="n"/>
      <c r="AD1281">
        <f>IF($E1281="","",IF($AT1281=1,Settings!$C$8,IF($AS1281=1,Settings!$C$6,Settings!$C$7))*100)</f>
        <v/>
      </c>
      <c r="AE1281" s="7">
        <f>IF($E1281="","",Z1281*AD1281/100)</f>
        <v/>
      </c>
      <c r="AF1281" s="7">
        <f>IF($E1281="","",Z1281-AE1281)</f>
        <v/>
      </c>
      <c r="AG1281" s="7">
        <f>IF($E1281="","",AF1281-Q1281)</f>
        <v/>
      </c>
      <c r="AK1281" s="7" t="n"/>
      <c r="AN1281" s="14" t="n"/>
      <c r="AQ1281">
        <f>IF($E1281="","",IF(COUNTIF($E$2:$E1281,$E1281)=1,1,0))</f>
        <v/>
      </c>
      <c r="AR1281">
        <f>IF($AQ1281=1,SUMPRODUCT(--($AU$2:$AU$1501&lt;$AU1281))+1,"")</f>
        <v/>
      </c>
      <c r="AS1281">
        <f>IF($E1281="","",IF(OR($U1281=TRUE(),$U1281="TRUE"),1,0))</f>
        <v/>
      </c>
      <c r="AT1281">
        <f>IF($E1281="","",IF($AC1281="Yes",1,0))</f>
        <v/>
      </c>
      <c r="AU1281">
        <f>IF($AQ1281=1,IFERROR(IF(VALUE($E1281)&lt;100000000,VALUE($E1281),1000000000),IFERROR(IF(VALUE(MID($E1281,2,20))&lt;100000000,VALUE(MID($E1281,2,20)),1000000000),1000000000))+ROW()/100000,"")</f>
        <v/>
      </c>
    </row>
    <row r="1282">
      <c r="G1282" s="14" t="n"/>
      <c r="Q1282" s="7">
        <f>IF($E1282="","",P1282*Z1282/100)</f>
        <v/>
      </c>
      <c r="R1282" s="7" t="n"/>
      <c r="Y1282" s="7" t="n"/>
      <c r="Z1282" s="7" t="n"/>
      <c r="AA1282" s="7" t="n"/>
      <c r="AD1282">
        <f>IF($E1282="","",IF($AT1282=1,Settings!$C$8,IF($AS1282=1,Settings!$C$6,Settings!$C$7))*100)</f>
        <v/>
      </c>
      <c r="AE1282" s="7">
        <f>IF($E1282="","",Z1282*AD1282/100)</f>
        <v/>
      </c>
      <c r="AF1282" s="7">
        <f>IF($E1282="","",Z1282-AE1282)</f>
        <v/>
      </c>
      <c r="AG1282" s="7">
        <f>IF($E1282="","",AF1282-Q1282)</f>
        <v/>
      </c>
      <c r="AK1282" s="7" t="n"/>
      <c r="AN1282" s="14" t="n"/>
      <c r="AQ1282">
        <f>IF($E1282="","",IF(COUNTIF($E$2:$E1282,$E1282)=1,1,0))</f>
        <v/>
      </c>
      <c r="AR1282">
        <f>IF($AQ1282=1,SUMPRODUCT(--($AU$2:$AU$1501&lt;$AU1282))+1,"")</f>
        <v/>
      </c>
      <c r="AS1282">
        <f>IF($E1282="","",IF(OR($U1282=TRUE(),$U1282="TRUE"),1,0))</f>
        <v/>
      </c>
      <c r="AT1282">
        <f>IF($E1282="","",IF($AC1282="Yes",1,0))</f>
        <v/>
      </c>
      <c r="AU1282">
        <f>IF($AQ1282=1,IFERROR(IF(VALUE($E1282)&lt;100000000,VALUE($E1282),1000000000),IFERROR(IF(VALUE(MID($E1282,2,20))&lt;100000000,VALUE(MID($E1282,2,20)),1000000000),1000000000))+ROW()/100000,"")</f>
        <v/>
      </c>
    </row>
    <row r="1283">
      <c r="G1283" s="14" t="n"/>
      <c r="Q1283" s="7">
        <f>IF($E1283="","",P1283*Z1283/100)</f>
        <v/>
      </c>
      <c r="R1283" s="7" t="n"/>
      <c r="Y1283" s="7" t="n"/>
      <c r="Z1283" s="7" t="n"/>
      <c r="AA1283" s="7" t="n"/>
      <c r="AD1283">
        <f>IF($E1283="","",IF($AT1283=1,Settings!$C$8,IF($AS1283=1,Settings!$C$6,Settings!$C$7))*100)</f>
        <v/>
      </c>
      <c r="AE1283" s="7">
        <f>IF($E1283="","",Z1283*AD1283/100)</f>
        <v/>
      </c>
      <c r="AF1283" s="7">
        <f>IF($E1283="","",Z1283-AE1283)</f>
        <v/>
      </c>
      <c r="AG1283" s="7">
        <f>IF($E1283="","",AF1283-Q1283)</f>
        <v/>
      </c>
      <c r="AK1283" s="7" t="n"/>
      <c r="AN1283" s="14" t="n"/>
      <c r="AQ1283">
        <f>IF($E1283="","",IF(COUNTIF($E$2:$E1283,$E1283)=1,1,0))</f>
        <v/>
      </c>
      <c r="AR1283">
        <f>IF($AQ1283=1,SUMPRODUCT(--($AU$2:$AU$1501&lt;$AU1283))+1,"")</f>
        <v/>
      </c>
      <c r="AS1283">
        <f>IF($E1283="","",IF(OR($U1283=TRUE(),$U1283="TRUE"),1,0))</f>
        <v/>
      </c>
      <c r="AT1283">
        <f>IF($E1283="","",IF($AC1283="Yes",1,0))</f>
        <v/>
      </c>
      <c r="AU1283">
        <f>IF($AQ1283=1,IFERROR(IF(VALUE($E1283)&lt;100000000,VALUE($E1283),1000000000),IFERROR(IF(VALUE(MID($E1283,2,20))&lt;100000000,VALUE(MID($E1283,2,20)),1000000000),1000000000))+ROW()/100000,"")</f>
        <v/>
      </c>
    </row>
    <row r="1284">
      <c r="G1284" s="14" t="n"/>
      <c r="Q1284" s="7">
        <f>IF($E1284="","",P1284*Z1284/100)</f>
        <v/>
      </c>
      <c r="R1284" s="7" t="n"/>
      <c r="Y1284" s="7" t="n"/>
      <c r="Z1284" s="7" t="n"/>
      <c r="AA1284" s="7" t="n"/>
      <c r="AD1284">
        <f>IF($E1284="","",IF($AT1284=1,Settings!$C$8,IF($AS1284=1,Settings!$C$6,Settings!$C$7))*100)</f>
        <v/>
      </c>
      <c r="AE1284" s="7">
        <f>IF($E1284="","",Z1284*AD1284/100)</f>
        <v/>
      </c>
      <c r="AF1284" s="7">
        <f>IF($E1284="","",Z1284-AE1284)</f>
        <v/>
      </c>
      <c r="AG1284" s="7">
        <f>IF($E1284="","",AF1284-Q1284)</f>
        <v/>
      </c>
      <c r="AK1284" s="7" t="n"/>
      <c r="AN1284" s="14" t="n"/>
      <c r="AQ1284">
        <f>IF($E1284="","",IF(COUNTIF($E$2:$E1284,$E1284)=1,1,0))</f>
        <v/>
      </c>
      <c r="AR1284">
        <f>IF($AQ1284=1,SUMPRODUCT(--($AU$2:$AU$1501&lt;$AU1284))+1,"")</f>
        <v/>
      </c>
      <c r="AS1284">
        <f>IF($E1284="","",IF(OR($U1284=TRUE(),$U1284="TRUE"),1,0))</f>
        <v/>
      </c>
      <c r="AT1284">
        <f>IF($E1284="","",IF($AC1284="Yes",1,0))</f>
        <v/>
      </c>
      <c r="AU1284">
        <f>IF($AQ1284=1,IFERROR(IF(VALUE($E1284)&lt;100000000,VALUE($E1284),1000000000),IFERROR(IF(VALUE(MID($E1284,2,20))&lt;100000000,VALUE(MID($E1284,2,20)),1000000000),1000000000))+ROW()/100000,"")</f>
        <v/>
      </c>
    </row>
    <row r="1285">
      <c r="G1285" s="14" t="n"/>
      <c r="Q1285" s="7">
        <f>IF($E1285="","",P1285*Z1285/100)</f>
        <v/>
      </c>
      <c r="R1285" s="7" t="n"/>
      <c r="Y1285" s="7" t="n"/>
      <c r="Z1285" s="7" t="n"/>
      <c r="AA1285" s="7" t="n"/>
      <c r="AD1285">
        <f>IF($E1285="","",IF($AT1285=1,Settings!$C$8,IF($AS1285=1,Settings!$C$6,Settings!$C$7))*100)</f>
        <v/>
      </c>
      <c r="AE1285" s="7">
        <f>IF($E1285="","",Z1285*AD1285/100)</f>
        <v/>
      </c>
      <c r="AF1285" s="7">
        <f>IF($E1285="","",Z1285-AE1285)</f>
        <v/>
      </c>
      <c r="AG1285" s="7">
        <f>IF($E1285="","",AF1285-Q1285)</f>
        <v/>
      </c>
      <c r="AK1285" s="7" t="n"/>
      <c r="AN1285" s="14" t="n"/>
      <c r="AQ1285">
        <f>IF($E1285="","",IF(COUNTIF($E$2:$E1285,$E1285)=1,1,0))</f>
        <v/>
      </c>
      <c r="AR1285">
        <f>IF($AQ1285=1,SUMPRODUCT(--($AU$2:$AU$1501&lt;$AU1285))+1,"")</f>
        <v/>
      </c>
      <c r="AS1285">
        <f>IF($E1285="","",IF(OR($U1285=TRUE(),$U1285="TRUE"),1,0))</f>
        <v/>
      </c>
      <c r="AT1285">
        <f>IF($E1285="","",IF($AC1285="Yes",1,0))</f>
        <v/>
      </c>
      <c r="AU1285">
        <f>IF($AQ1285=1,IFERROR(IF(VALUE($E1285)&lt;100000000,VALUE($E1285),1000000000),IFERROR(IF(VALUE(MID($E1285,2,20))&lt;100000000,VALUE(MID($E1285,2,20)),1000000000),1000000000))+ROW()/100000,"")</f>
        <v/>
      </c>
    </row>
    <row r="1286">
      <c r="G1286" s="14" t="n"/>
      <c r="Q1286" s="7">
        <f>IF($E1286="","",P1286*Z1286/100)</f>
        <v/>
      </c>
      <c r="R1286" s="7" t="n"/>
      <c r="Y1286" s="7" t="n"/>
      <c r="Z1286" s="7" t="n"/>
      <c r="AA1286" s="7" t="n"/>
      <c r="AD1286">
        <f>IF($E1286="","",IF($AT1286=1,Settings!$C$8,IF($AS1286=1,Settings!$C$6,Settings!$C$7))*100)</f>
        <v/>
      </c>
      <c r="AE1286" s="7">
        <f>IF($E1286="","",Z1286*AD1286/100)</f>
        <v/>
      </c>
      <c r="AF1286" s="7">
        <f>IF($E1286="","",Z1286-AE1286)</f>
        <v/>
      </c>
      <c r="AG1286" s="7">
        <f>IF($E1286="","",AF1286-Q1286)</f>
        <v/>
      </c>
      <c r="AK1286" s="7" t="n"/>
      <c r="AN1286" s="14" t="n"/>
      <c r="AQ1286">
        <f>IF($E1286="","",IF(COUNTIF($E$2:$E1286,$E1286)=1,1,0))</f>
        <v/>
      </c>
      <c r="AR1286">
        <f>IF($AQ1286=1,SUMPRODUCT(--($AU$2:$AU$1501&lt;$AU1286))+1,"")</f>
        <v/>
      </c>
      <c r="AS1286">
        <f>IF($E1286="","",IF(OR($U1286=TRUE(),$U1286="TRUE"),1,0))</f>
        <v/>
      </c>
      <c r="AT1286">
        <f>IF($E1286="","",IF($AC1286="Yes",1,0))</f>
        <v/>
      </c>
      <c r="AU1286">
        <f>IF($AQ1286=1,IFERROR(IF(VALUE($E1286)&lt;100000000,VALUE($E1286),1000000000),IFERROR(IF(VALUE(MID($E1286,2,20))&lt;100000000,VALUE(MID($E1286,2,20)),1000000000),1000000000))+ROW()/100000,"")</f>
        <v/>
      </c>
    </row>
    <row r="1287">
      <c r="G1287" s="14" t="n"/>
      <c r="Q1287" s="7">
        <f>IF($E1287="","",P1287*Z1287/100)</f>
        <v/>
      </c>
      <c r="R1287" s="7" t="n"/>
      <c r="Y1287" s="7" t="n"/>
      <c r="Z1287" s="7" t="n"/>
      <c r="AA1287" s="7" t="n"/>
      <c r="AD1287">
        <f>IF($E1287="","",IF($AT1287=1,Settings!$C$8,IF($AS1287=1,Settings!$C$6,Settings!$C$7))*100)</f>
        <v/>
      </c>
      <c r="AE1287" s="7">
        <f>IF($E1287="","",Z1287*AD1287/100)</f>
        <v/>
      </c>
      <c r="AF1287" s="7">
        <f>IF($E1287="","",Z1287-AE1287)</f>
        <v/>
      </c>
      <c r="AG1287" s="7">
        <f>IF($E1287="","",AF1287-Q1287)</f>
        <v/>
      </c>
      <c r="AK1287" s="7" t="n"/>
      <c r="AN1287" s="14" t="n"/>
      <c r="AQ1287">
        <f>IF($E1287="","",IF(COUNTIF($E$2:$E1287,$E1287)=1,1,0))</f>
        <v/>
      </c>
      <c r="AR1287">
        <f>IF($AQ1287=1,SUMPRODUCT(--($AU$2:$AU$1501&lt;$AU1287))+1,"")</f>
        <v/>
      </c>
      <c r="AS1287">
        <f>IF($E1287="","",IF(OR($U1287=TRUE(),$U1287="TRUE"),1,0))</f>
        <v/>
      </c>
      <c r="AT1287">
        <f>IF($E1287="","",IF($AC1287="Yes",1,0))</f>
        <v/>
      </c>
      <c r="AU1287">
        <f>IF($AQ1287=1,IFERROR(IF(VALUE($E1287)&lt;100000000,VALUE($E1287),1000000000),IFERROR(IF(VALUE(MID($E1287,2,20))&lt;100000000,VALUE(MID($E1287,2,20)),1000000000),1000000000))+ROW()/100000,"")</f>
        <v/>
      </c>
    </row>
    <row r="1288">
      <c r="G1288" s="14" t="n"/>
      <c r="Q1288" s="7">
        <f>IF($E1288="","",P1288*Z1288/100)</f>
        <v/>
      </c>
      <c r="R1288" s="7" t="n"/>
      <c r="Y1288" s="7" t="n"/>
      <c r="Z1288" s="7" t="n"/>
      <c r="AA1288" s="7" t="n"/>
      <c r="AD1288">
        <f>IF($E1288="","",IF($AT1288=1,Settings!$C$8,IF($AS1288=1,Settings!$C$6,Settings!$C$7))*100)</f>
        <v/>
      </c>
      <c r="AE1288" s="7">
        <f>IF($E1288="","",Z1288*AD1288/100)</f>
        <v/>
      </c>
      <c r="AF1288" s="7">
        <f>IF($E1288="","",Z1288-AE1288)</f>
        <v/>
      </c>
      <c r="AG1288" s="7">
        <f>IF($E1288="","",AF1288-Q1288)</f>
        <v/>
      </c>
      <c r="AK1288" s="7" t="n"/>
      <c r="AN1288" s="14" t="n"/>
      <c r="AQ1288">
        <f>IF($E1288="","",IF(COUNTIF($E$2:$E1288,$E1288)=1,1,0))</f>
        <v/>
      </c>
      <c r="AR1288">
        <f>IF($AQ1288=1,SUMPRODUCT(--($AU$2:$AU$1501&lt;$AU1288))+1,"")</f>
        <v/>
      </c>
      <c r="AS1288">
        <f>IF($E1288="","",IF(OR($U1288=TRUE(),$U1288="TRUE"),1,0))</f>
        <v/>
      </c>
      <c r="AT1288">
        <f>IF($E1288="","",IF($AC1288="Yes",1,0))</f>
        <v/>
      </c>
      <c r="AU1288">
        <f>IF($AQ1288=1,IFERROR(IF(VALUE($E1288)&lt;100000000,VALUE($E1288),1000000000),IFERROR(IF(VALUE(MID($E1288,2,20))&lt;100000000,VALUE(MID($E1288,2,20)),1000000000),1000000000))+ROW()/100000,"")</f>
        <v/>
      </c>
    </row>
    <row r="1289">
      <c r="G1289" s="14" t="n"/>
      <c r="Q1289" s="7">
        <f>IF($E1289="","",P1289*Z1289/100)</f>
        <v/>
      </c>
      <c r="R1289" s="7" t="n"/>
      <c r="Y1289" s="7" t="n"/>
      <c r="Z1289" s="7" t="n"/>
      <c r="AA1289" s="7" t="n"/>
      <c r="AD1289">
        <f>IF($E1289="","",IF($AT1289=1,Settings!$C$8,IF($AS1289=1,Settings!$C$6,Settings!$C$7))*100)</f>
        <v/>
      </c>
      <c r="AE1289" s="7">
        <f>IF($E1289="","",Z1289*AD1289/100)</f>
        <v/>
      </c>
      <c r="AF1289" s="7">
        <f>IF($E1289="","",Z1289-AE1289)</f>
        <v/>
      </c>
      <c r="AG1289" s="7">
        <f>IF($E1289="","",AF1289-Q1289)</f>
        <v/>
      </c>
      <c r="AK1289" s="7" t="n"/>
      <c r="AN1289" s="14" t="n"/>
      <c r="AQ1289">
        <f>IF($E1289="","",IF(COUNTIF($E$2:$E1289,$E1289)=1,1,0))</f>
        <v/>
      </c>
      <c r="AR1289">
        <f>IF($AQ1289=1,SUMPRODUCT(--($AU$2:$AU$1501&lt;$AU1289))+1,"")</f>
        <v/>
      </c>
      <c r="AS1289">
        <f>IF($E1289="","",IF(OR($U1289=TRUE(),$U1289="TRUE"),1,0))</f>
        <v/>
      </c>
      <c r="AT1289">
        <f>IF($E1289="","",IF($AC1289="Yes",1,0))</f>
        <v/>
      </c>
      <c r="AU1289">
        <f>IF($AQ1289=1,IFERROR(IF(VALUE($E1289)&lt;100000000,VALUE($E1289),1000000000),IFERROR(IF(VALUE(MID($E1289,2,20))&lt;100000000,VALUE(MID($E1289,2,20)),1000000000),1000000000))+ROW()/100000,"")</f>
        <v/>
      </c>
    </row>
    <row r="1290">
      <c r="G1290" s="14" t="n"/>
      <c r="Q1290" s="7">
        <f>IF($E1290="","",P1290*Z1290/100)</f>
        <v/>
      </c>
      <c r="R1290" s="7" t="n"/>
      <c r="Y1290" s="7" t="n"/>
      <c r="Z1290" s="7" t="n"/>
      <c r="AA1290" s="7" t="n"/>
      <c r="AD1290">
        <f>IF($E1290="","",IF($AT1290=1,Settings!$C$8,IF($AS1290=1,Settings!$C$6,Settings!$C$7))*100)</f>
        <v/>
      </c>
      <c r="AE1290" s="7">
        <f>IF($E1290="","",Z1290*AD1290/100)</f>
        <v/>
      </c>
      <c r="AF1290" s="7">
        <f>IF($E1290="","",Z1290-AE1290)</f>
        <v/>
      </c>
      <c r="AG1290" s="7">
        <f>IF($E1290="","",AF1290-Q1290)</f>
        <v/>
      </c>
      <c r="AK1290" s="7" t="n"/>
      <c r="AN1290" s="14" t="n"/>
      <c r="AQ1290">
        <f>IF($E1290="","",IF(COUNTIF($E$2:$E1290,$E1290)=1,1,0))</f>
        <v/>
      </c>
      <c r="AR1290">
        <f>IF($AQ1290=1,SUMPRODUCT(--($AU$2:$AU$1501&lt;$AU1290))+1,"")</f>
        <v/>
      </c>
      <c r="AS1290">
        <f>IF($E1290="","",IF(OR($U1290=TRUE(),$U1290="TRUE"),1,0))</f>
        <v/>
      </c>
      <c r="AT1290">
        <f>IF($E1290="","",IF($AC1290="Yes",1,0))</f>
        <v/>
      </c>
      <c r="AU1290">
        <f>IF($AQ1290=1,IFERROR(IF(VALUE($E1290)&lt;100000000,VALUE($E1290),1000000000),IFERROR(IF(VALUE(MID($E1290,2,20))&lt;100000000,VALUE(MID($E1290,2,20)),1000000000),1000000000))+ROW()/100000,"")</f>
        <v/>
      </c>
    </row>
    <row r="1291">
      <c r="G1291" s="14" t="n"/>
      <c r="Q1291" s="7">
        <f>IF($E1291="","",P1291*Z1291/100)</f>
        <v/>
      </c>
      <c r="R1291" s="7" t="n"/>
      <c r="Y1291" s="7" t="n"/>
      <c r="Z1291" s="7" t="n"/>
      <c r="AA1291" s="7" t="n"/>
      <c r="AD1291">
        <f>IF($E1291="","",IF($AT1291=1,Settings!$C$8,IF($AS1291=1,Settings!$C$6,Settings!$C$7))*100)</f>
        <v/>
      </c>
      <c r="AE1291" s="7">
        <f>IF($E1291="","",Z1291*AD1291/100)</f>
        <v/>
      </c>
      <c r="AF1291" s="7">
        <f>IF($E1291="","",Z1291-AE1291)</f>
        <v/>
      </c>
      <c r="AG1291" s="7">
        <f>IF($E1291="","",AF1291-Q1291)</f>
        <v/>
      </c>
      <c r="AK1291" s="7" t="n"/>
      <c r="AN1291" s="14" t="n"/>
      <c r="AQ1291">
        <f>IF($E1291="","",IF(COUNTIF($E$2:$E1291,$E1291)=1,1,0))</f>
        <v/>
      </c>
      <c r="AR1291">
        <f>IF($AQ1291=1,SUMPRODUCT(--($AU$2:$AU$1501&lt;$AU1291))+1,"")</f>
        <v/>
      </c>
      <c r="AS1291">
        <f>IF($E1291="","",IF(OR($U1291=TRUE(),$U1291="TRUE"),1,0))</f>
        <v/>
      </c>
      <c r="AT1291">
        <f>IF($E1291="","",IF($AC1291="Yes",1,0))</f>
        <v/>
      </c>
      <c r="AU1291">
        <f>IF($AQ1291=1,IFERROR(IF(VALUE($E1291)&lt;100000000,VALUE($E1291),1000000000),IFERROR(IF(VALUE(MID($E1291,2,20))&lt;100000000,VALUE(MID($E1291,2,20)),1000000000),1000000000))+ROW()/100000,"")</f>
        <v/>
      </c>
    </row>
    <row r="1292">
      <c r="G1292" s="14" t="n"/>
      <c r="Q1292" s="7">
        <f>IF($E1292="","",P1292*Z1292/100)</f>
        <v/>
      </c>
      <c r="R1292" s="7" t="n"/>
      <c r="Y1292" s="7" t="n"/>
      <c r="Z1292" s="7" t="n"/>
      <c r="AA1292" s="7" t="n"/>
      <c r="AD1292">
        <f>IF($E1292="","",IF($AT1292=1,Settings!$C$8,IF($AS1292=1,Settings!$C$6,Settings!$C$7))*100)</f>
        <v/>
      </c>
      <c r="AE1292" s="7">
        <f>IF($E1292="","",Z1292*AD1292/100)</f>
        <v/>
      </c>
      <c r="AF1292" s="7">
        <f>IF($E1292="","",Z1292-AE1292)</f>
        <v/>
      </c>
      <c r="AG1292" s="7">
        <f>IF($E1292="","",AF1292-Q1292)</f>
        <v/>
      </c>
      <c r="AK1292" s="7" t="n"/>
      <c r="AN1292" s="14" t="n"/>
      <c r="AQ1292">
        <f>IF($E1292="","",IF(COUNTIF($E$2:$E1292,$E1292)=1,1,0))</f>
        <v/>
      </c>
      <c r="AR1292">
        <f>IF($AQ1292=1,SUMPRODUCT(--($AU$2:$AU$1501&lt;$AU1292))+1,"")</f>
        <v/>
      </c>
      <c r="AS1292">
        <f>IF($E1292="","",IF(OR($U1292=TRUE(),$U1292="TRUE"),1,0))</f>
        <v/>
      </c>
      <c r="AT1292">
        <f>IF($E1292="","",IF($AC1292="Yes",1,0))</f>
        <v/>
      </c>
      <c r="AU1292">
        <f>IF($AQ1292=1,IFERROR(IF(VALUE($E1292)&lt;100000000,VALUE($E1292),1000000000),IFERROR(IF(VALUE(MID($E1292,2,20))&lt;100000000,VALUE(MID($E1292,2,20)),1000000000),1000000000))+ROW()/100000,"")</f>
        <v/>
      </c>
    </row>
    <row r="1293">
      <c r="G1293" s="14" t="n"/>
      <c r="Q1293" s="7">
        <f>IF($E1293="","",P1293*Z1293/100)</f>
        <v/>
      </c>
      <c r="R1293" s="7" t="n"/>
      <c r="Y1293" s="7" t="n"/>
      <c r="Z1293" s="7" t="n"/>
      <c r="AA1293" s="7" t="n"/>
      <c r="AD1293">
        <f>IF($E1293="","",IF($AT1293=1,Settings!$C$8,IF($AS1293=1,Settings!$C$6,Settings!$C$7))*100)</f>
        <v/>
      </c>
      <c r="AE1293" s="7">
        <f>IF($E1293="","",Z1293*AD1293/100)</f>
        <v/>
      </c>
      <c r="AF1293" s="7">
        <f>IF($E1293="","",Z1293-AE1293)</f>
        <v/>
      </c>
      <c r="AG1293" s="7">
        <f>IF($E1293="","",AF1293-Q1293)</f>
        <v/>
      </c>
      <c r="AK1293" s="7" t="n"/>
      <c r="AN1293" s="14" t="n"/>
      <c r="AQ1293">
        <f>IF($E1293="","",IF(COUNTIF($E$2:$E1293,$E1293)=1,1,0))</f>
        <v/>
      </c>
      <c r="AR1293">
        <f>IF($AQ1293=1,SUMPRODUCT(--($AU$2:$AU$1501&lt;$AU1293))+1,"")</f>
        <v/>
      </c>
      <c r="AS1293">
        <f>IF($E1293="","",IF(OR($U1293=TRUE(),$U1293="TRUE"),1,0))</f>
        <v/>
      </c>
      <c r="AT1293">
        <f>IF($E1293="","",IF($AC1293="Yes",1,0))</f>
        <v/>
      </c>
      <c r="AU1293">
        <f>IF($AQ1293=1,IFERROR(IF(VALUE($E1293)&lt;100000000,VALUE($E1293),1000000000),IFERROR(IF(VALUE(MID($E1293,2,20))&lt;100000000,VALUE(MID($E1293,2,20)),1000000000),1000000000))+ROW()/100000,"")</f>
        <v/>
      </c>
    </row>
    <row r="1294">
      <c r="G1294" s="14" t="n"/>
      <c r="Q1294" s="7">
        <f>IF($E1294="","",P1294*Z1294/100)</f>
        <v/>
      </c>
      <c r="R1294" s="7" t="n"/>
      <c r="Y1294" s="7" t="n"/>
      <c r="Z1294" s="7" t="n"/>
      <c r="AA1294" s="7" t="n"/>
      <c r="AD1294">
        <f>IF($E1294="","",IF($AT1294=1,Settings!$C$8,IF($AS1294=1,Settings!$C$6,Settings!$C$7))*100)</f>
        <v/>
      </c>
      <c r="AE1294" s="7">
        <f>IF($E1294="","",Z1294*AD1294/100)</f>
        <v/>
      </c>
      <c r="AF1294" s="7">
        <f>IF($E1294="","",Z1294-AE1294)</f>
        <v/>
      </c>
      <c r="AG1294" s="7">
        <f>IF($E1294="","",AF1294-Q1294)</f>
        <v/>
      </c>
      <c r="AK1294" s="7" t="n"/>
      <c r="AN1294" s="14" t="n"/>
      <c r="AQ1294">
        <f>IF($E1294="","",IF(COUNTIF($E$2:$E1294,$E1294)=1,1,0))</f>
        <v/>
      </c>
      <c r="AR1294">
        <f>IF($AQ1294=1,SUMPRODUCT(--($AU$2:$AU$1501&lt;$AU1294))+1,"")</f>
        <v/>
      </c>
      <c r="AS1294">
        <f>IF($E1294="","",IF(OR($U1294=TRUE(),$U1294="TRUE"),1,0))</f>
        <v/>
      </c>
      <c r="AT1294">
        <f>IF($E1294="","",IF($AC1294="Yes",1,0))</f>
        <v/>
      </c>
      <c r="AU1294">
        <f>IF($AQ1294=1,IFERROR(IF(VALUE($E1294)&lt;100000000,VALUE($E1294),1000000000),IFERROR(IF(VALUE(MID($E1294,2,20))&lt;100000000,VALUE(MID($E1294,2,20)),1000000000),1000000000))+ROW()/100000,"")</f>
        <v/>
      </c>
    </row>
    <row r="1295">
      <c r="G1295" s="14" t="n"/>
      <c r="Q1295" s="7">
        <f>IF($E1295="","",P1295*Z1295/100)</f>
        <v/>
      </c>
      <c r="R1295" s="7" t="n"/>
      <c r="Y1295" s="7" t="n"/>
      <c r="Z1295" s="7" t="n"/>
      <c r="AA1295" s="7" t="n"/>
      <c r="AD1295">
        <f>IF($E1295="","",IF($AT1295=1,Settings!$C$8,IF($AS1295=1,Settings!$C$6,Settings!$C$7))*100)</f>
        <v/>
      </c>
      <c r="AE1295" s="7">
        <f>IF($E1295="","",Z1295*AD1295/100)</f>
        <v/>
      </c>
      <c r="AF1295" s="7">
        <f>IF($E1295="","",Z1295-AE1295)</f>
        <v/>
      </c>
      <c r="AG1295" s="7">
        <f>IF($E1295="","",AF1295-Q1295)</f>
        <v/>
      </c>
      <c r="AK1295" s="7" t="n"/>
      <c r="AN1295" s="14" t="n"/>
      <c r="AQ1295">
        <f>IF($E1295="","",IF(COUNTIF($E$2:$E1295,$E1295)=1,1,0))</f>
        <v/>
      </c>
      <c r="AR1295">
        <f>IF($AQ1295=1,SUMPRODUCT(--($AU$2:$AU$1501&lt;$AU1295))+1,"")</f>
        <v/>
      </c>
      <c r="AS1295">
        <f>IF($E1295="","",IF(OR($U1295=TRUE(),$U1295="TRUE"),1,0))</f>
        <v/>
      </c>
      <c r="AT1295">
        <f>IF($E1295="","",IF($AC1295="Yes",1,0))</f>
        <v/>
      </c>
      <c r="AU1295">
        <f>IF($AQ1295=1,IFERROR(IF(VALUE($E1295)&lt;100000000,VALUE($E1295),1000000000),IFERROR(IF(VALUE(MID($E1295,2,20))&lt;100000000,VALUE(MID($E1295,2,20)),1000000000),1000000000))+ROW()/100000,"")</f>
        <v/>
      </c>
    </row>
    <row r="1296">
      <c r="G1296" s="14" t="n"/>
      <c r="Q1296" s="7">
        <f>IF($E1296="","",P1296*Z1296/100)</f>
        <v/>
      </c>
      <c r="R1296" s="7" t="n"/>
      <c r="Y1296" s="7" t="n"/>
      <c r="Z1296" s="7" t="n"/>
      <c r="AA1296" s="7" t="n"/>
      <c r="AD1296">
        <f>IF($E1296="","",IF($AT1296=1,Settings!$C$8,IF($AS1296=1,Settings!$C$6,Settings!$C$7))*100)</f>
        <v/>
      </c>
      <c r="AE1296" s="7">
        <f>IF($E1296="","",Z1296*AD1296/100)</f>
        <v/>
      </c>
      <c r="AF1296" s="7">
        <f>IF($E1296="","",Z1296-AE1296)</f>
        <v/>
      </c>
      <c r="AG1296" s="7">
        <f>IF($E1296="","",AF1296-Q1296)</f>
        <v/>
      </c>
      <c r="AK1296" s="7" t="n"/>
      <c r="AN1296" s="14" t="n"/>
      <c r="AQ1296">
        <f>IF($E1296="","",IF(COUNTIF($E$2:$E1296,$E1296)=1,1,0))</f>
        <v/>
      </c>
      <c r="AR1296">
        <f>IF($AQ1296=1,SUMPRODUCT(--($AU$2:$AU$1501&lt;$AU1296))+1,"")</f>
        <v/>
      </c>
      <c r="AS1296">
        <f>IF($E1296="","",IF(OR($U1296=TRUE(),$U1296="TRUE"),1,0))</f>
        <v/>
      </c>
      <c r="AT1296">
        <f>IF($E1296="","",IF($AC1296="Yes",1,0))</f>
        <v/>
      </c>
      <c r="AU1296">
        <f>IF($AQ1296=1,IFERROR(IF(VALUE($E1296)&lt;100000000,VALUE($E1296),1000000000),IFERROR(IF(VALUE(MID($E1296,2,20))&lt;100000000,VALUE(MID($E1296,2,20)),1000000000),1000000000))+ROW()/100000,"")</f>
        <v/>
      </c>
    </row>
    <row r="1297">
      <c r="G1297" s="14" t="n"/>
      <c r="Q1297" s="7">
        <f>IF($E1297="","",P1297*Z1297/100)</f>
        <v/>
      </c>
      <c r="R1297" s="7" t="n"/>
      <c r="Y1297" s="7" t="n"/>
      <c r="Z1297" s="7" t="n"/>
      <c r="AA1297" s="7" t="n"/>
      <c r="AD1297">
        <f>IF($E1297="","",IF($AT1297=1,Settings!$C$8,IF($AS1297=1,Settings!$C$6,Settings!$C$7))*100)</f>
        <v/>
      </c>
      <c r="AE1297" s="7">
        <f>IF($E1297="","",Z1297*AD1297/100)</f>
        <v/>
      </c>
      <c r="AF1297" s="7">
        <f>IF($E1297="","",Z1297-AE1297)</f>
        <v/>
      </c>
      <c r="AG1297" s="7">
        <f>IF($E1297="","",AF1297-Q1297)</f>
        <v/>
      </c>
      <c r="AK1297" s="7" t="n"/>
      <c r="AN1297" s="14" t="n"/>
      <c r="AQ1297">
        <f>IF($E1297="","",IF(COUNTIF($E$2:$E1297,$E1297)=1,1,0))</f>
        <v/>
      </c>
      <c r="AR1297">
        <f>IF($AQ1297=1,SUMPRODUCT(--($AU$2:$AU$1501&lt;$AU1297))+1,"")</f>
        <v/>
      </c>
      <c r="AS1297">
        <f>IF($E1297="","",IF(OR($U1297=TRUE(),$U1297="TRUE"),1,0))</f>
        <v/>
      </c>
      <c r="AT1297">
        <f>IF($E1297="","",IF($AC1297="Yes",1,0))</f>
        <v/>
      </c>
      <c r="AU1297">
        <f>IF($AQ1297=1,IFERROR(IF(VALUE($E1297)&lt;100000000,VALUE($E1297),1000000000),IFERROR(IF(VALUE(MID($E1297,2,20))&lt;100000000,VALUE(MID($E1297,2,20)),1000000000),1000000000))+ROW()/100000,"")</f>
        <v/>
      </c>
    </row>
    <row r="1298">
      <c r="G1298" s="14" t="n"/>
      <c r="Q1298" s="7">
        <f>IF($E1298="","",P1298*Z1298/100)</f>
        <v/>
      </c>
      <c r="R1298" s="7" t="n"/>
      <c r="Y1298" s="7" t="n"/>
      <c r="Z1298" s="7" t="n"/>
      <c r="AA1298" s="7" t="n"/>
      <c r="AD1298">
        <f>IF($E1298="","",IF($AT1298=1,Settings!$C$8,IF($AS1298=1,Settings!$C$6,Settings!$C$7))*100)</f>
        <v/>
      </c>
      <c r="AE1298" s="7">
        <f>IF($E1298="","",Z1298*AD1298/100)</f>
        <v/>
      </c>
      <c r="AF1298" s="7">
        <f>IF($E1298="","",Z1298-AE1298)</f>
        <v/>
      </c>
      <c r="AG1298" s="7">
        <f>IF($E1298="","",AF1298-Q1298)</f>
        <v/>
      </c>
      <c r="AK1298" s="7" t="n"/>
      <c r="AN1298" s="14" t="n"/>
      <c r="AQ1298">
        <f>IF($E1298="","",IF(COUNTIF($E$2:$E1298,$E1298)=1,1,0))</f>
        <v/>
      </c>
      <c r="AR1298">
        <f>IF($AQ1298=1,SUMPRODUCT(--($AU$2:$AU$1501&lt;$AU1298))+1,"")</f>
        <v/>
      </c>
      <c r="AS1298">
        <f>IF($E1298="","",IF(OR($U1298=TRUE(),$U1298="TRUE"),1,0))</f>
        <v/>
      </c>
      <c r="AT1298">
        <f>IF($E1298="","",IF($AC1298="Yes",1,0))</f>
        <v/>
      </c>
      <c r="AU1298">
        <f>IF($AQ1298=1,IFERROR(IF(VALUE($E1298)&lt;100000000,VALUE($E1298),1000000000),IFERROR(IF(VALUE(MID($E1298,2,20))&lt;100000000,VALUE(MID($E1298,2,20)),1000000000),1000000000))+ROW()/100000,"")</f>
        <v/>
      </c>
    </row>
    <row r="1299">
      <c r="G1299" s="14" t="n"/>
      <c r="Q1299" s="7">
        <f>IF($E1299="","",P1299*Z1299/100)</f>
        <v/>
      </c>
      <c r="R1299" s="7" t="n"/>
      <c r="Y1299" s="7" t="n"/>
      <c r="Z1299" s="7" t="n"/>
      <c r="AA1299" s="7" t="n"/>
      <c r="AD1299">
        <f>IF($E1299="","",IF($AT1299=1,Settings!$C$8,IF($AS1299=1,Settings!$C$6,Settings!$C$7))*100)</f>
        <v/>
      </c>
      <c r="AE1299" s="7">
        <f>IF($E1299="","",Z1299*AD1299/100)</f>
        <v/>
      </c>
      <c r="AF1299" s="7">
        <f>IF($E1299="","",Z1299-AE1299)</f>
        <v/>
      </c>
      <c r="AG1299" s="7">
        <f>IF($E1299="","",AF1299-Q1299)</f>
        <v/>
      </c>
      <c r="AK1299" s="7" t="n"/>
      <c r="AN1299" s="14" t="n"/>
      <c r="AQ1299">
        <f>IF($E1299="","",IF(COUNTIF($E$2:$E1299,$E1299)=1,1,0))</f>
        <v/>
      </c>
      <c r="AR1299">
        <f>IF($AQ1299=1,SUMPRODUCT(--($AU$2:$AU$1501&lt;$AU1299))+1,"")</f>
        <v/>
      </c>
      <c r="AS1299">
        <f>IF($E1299="","",IF(OR($U1299=TRUE(),$U1299="TRUE"),1,0))</f>
        <v/>
      </c>
      <c r="AT1299">
        <f>IF($E1299="","",IF($AC1299="Yes",1,0))</f>
        <v/>
      </c>
      <c r="AU1299">
        <f>IF($AQ1299=1,IFERROR(IF(VALUE($E1299)&lt;100000000,VALUE($E1299),1000000000),IFERROR(IF(VALUE(MID($E1299,2,20))&lt;100000000,VALUE(MID($E1299,2,20)),1000000000),1000000000))+ROW()/100000,"")</f>
        <v/>
      </c>
    </row>
    <row r="1300">
      <c r="G1300" s="14" t="n"/>
      <c r="Q1300" s="7">
        <f>IF($E1300="","",P1300*Z1300/100)</f>
        <v/>
      </c>
      <c r="R1300" s="7" t="n"/>
      <c r="Y1300" s="7" t="n"/>
      <c r="Z1300" s="7" t="n"/>
      <c r="AA1300" s="7" t="n"/>
      <c r="AD1300">
        <f>IF($E1300="","",IF($AT1300=1,Settings!$C$8,IF($AS1300=1,Settings!$C$6,Settings!$C$7))*100)</f>
        <v/>
      </c>
      <c r="AE1300" s="7">
        <f>IF($E1300="","",Z1300*AD1300/100)</f>
        <v/>
      </c>
      <c r="AF1300" s="7">
        <f>IF($E1300="","",Z1300-AE1300)</f>
        <v/>
      </c>
      <c r="AG1300" s="7">
        <f>IF($E1300="","",AF1300-Q1300)</f>
        <v/>
      </c>
      <c r="AK1300" s="7" t="n"/>
      <c r="AN1300" s="14" t="n"/>
      <c r="AQ1300">
        <f>IF($E1300="","",IF(COUNTIF($E$2:$E1300,$E1300)=1,1,0))</f>
        <v/>
      </c>
      <c r="AR1300">
        <f>IF($AQ1300=1,SUMPRODUCT(--($AU$2:$AU$1501&lt;$AU1300))+1,"")</f>
        <v/>
      </c>
      <c r="AS1300">
        <f>IF($E1300="","",IF(OR($U1300=TRUE(),$U1300="TRUE"),1,0))</f>
        <v/>
      </c>
      <c r="AT1300">
        <f>IF($E1300="","",IF($AC1300="Yes",1,0))</f>
        <v/>
      </c>
      <c r="AU1300">
        <f>IF($AQ1300=1,IFERROR(IF(VALUE($E1300)&lt;100000000,VALUE($E1300),1000000000),IFERROR(IF(VALUE(MID($E1300,2,20))&lt;100000000,VALUE(MID($E1300,2,20)),1000000000),1000000000))+ROW()/100000,"")</f>
        <v/>
      </c>
    </row>
    <row r="1301">
      <c r="G1301" s="14" t="n"/>
      <c r="Q1301" s="7">
        <f>IF($E1301="","",P1301*Z1301/100)</f>
        <v/>
      </c>
      <c r="R1301" s="7" t="n"/>
      <c r="Y1301" s="7" t="n"/>
      <c r="Z1301" s="7" t="n"/>
      <c r="AA1301" s="7" t="n"/>
      <c r="AD1301">
        <f>IF($E1301="","",IF($AT1301=1,Settings!$C$8,IF($AS1301=1,Settings!$C$6,Settings!$C$7))*100)</f>
        <v/>
      </c>
      <c r="AE1301" s="7">
        <f>IF($E1301="","",Z1301*AD1301/100)</f>
        <v/>
      </c>
      <c r="AF1301" s="7">
        <f>IF($E1301="","",Z1301-AE1301)</f>
        <v/>
      </c>
      <c r="AG1301" s="7">
        <f>IF($E1301="","",AF1301-Q1301)</f>
        <v/>
      </c>
      <c r="AK1301" s="7" t="n"/>
      <c r="AN1301" s="14" t="n"/>
      <c r="AQ1301">
        <f>IF($E1301="","",IF(COUNTIF($E$2:$E1301,$E1301)=1,1,0))</f>
        <v/>
      </c>
      <c r="AR1301">
        <f>IF($AQ1301=1,SUMPRODUCT(--($AU$2:$AU$1501&lt;$AU1301))+1,"")</f>
        <v/>
      </c>
      <c r="AS1301">
        <f>IF($E1301="","",IF(OR($U1301=TRUE(),$U1301="TRUE"),1,0))</f>
        <v/>
      </c>
      <c r="AT1301">
        <f>IF($E1301="","",IF($AC1301="Yes",1,0))</f>
        <v/>
      </c>
      <c r="AU1301">
        <f>IF($AQ1301=1,IFERROR(IF(VALUE($E1301)&lt;100000000,VALUE($E1301),1000000000),IFERROR(IF(VALUE(MID($E1301,2,20))&lt;100000000,VALUE(MID($E1301,2,20)),1000000000),1000000000))+ROW()/100000,"")</f>
        <v/>
      </c>
    </row>
    <row r="1302">
      <c r="G1302" s="14" t="n"/>
      <c r="Q1302" s="7">
        <f>IF($E1302="","",P1302*Z1302/100)</f>
        <v/>
      </c>
      <c r="R1302" s="7" t="n"/>
      <c r="Y1302" s="7" t="n"/>
      <c r="Z1302" s="7" t="n"/>
      <c r="AA1302" s="7" t="n"/>
      <c r="AD1302">
        <f>IF($E1302="","",IF($AT1302=1,Settings!$C$8,IF($AS1302=1,Settings!$C$6,Settings!$C$7))*100)</f>
        <v/>
      </c>
      <c r="AE1302" s="7">
        <f>IF($E1302="","",Z1302*AD1302/100)</f>
        <v/>
      </c>
      <c r="AF1302" s="7">
        <f>IF($E1302="","",Z1302-AE1302)</f>
        <v/>
      </c>
      <c r="AG1302" s="7">
        <f>IF($E1302="","",AF1302-Q1302)</f>
        <v/>
      </c>
      <c r="AK1302" s="7" t="n"/>
      <c r="AN1302" s="14" t="n"/>
      <c r="AQ1302">
        <f>IF($E1302="","",IF(COUNTIF($E$2:$E1302,$E1302)=1,1,0))</f>
        <v/>
      </c>
      <c r="AR1302">
        <f>IF($AQ1302=1,SUMPRODUCT(--($AU$2:$AU$1501&lt;$AU1302))+1,"")</f>
        <v/>
      </c>
      <c r="AS1302">
        <f>IF($E1302="","",IF(OR($U1302=TRUE(),$U1302="TRUE"),1,0))</f>
        <v/>
      </c>
      <c r="AT1302">
        <f>IF($E1302="","",IF($AC1302="Yes",1,0))</f>
        <v/>
      </c>
      <c r="AU1302">
        <f>IF($AQ1302=1,IFERROR(IF(VALUE($E1302)&lt;100000000,VALUE($E1302),1000000000),IFERROR(IF(VALUE(MID($E1302,2,20))&lt;100000000,VALUE(MID($E1302,2,20)),1000000000),1000000000))+ROW()/100000,"")</f>
        <v/>
      </c>
    </row>
    <row r="1303">
      <c r="G1303" s="14" t="n"/>
      <c r="Q1303" s="7">
        <f>IF($E1303="","",P1303*Z1303/100)</f>
        <v/>
      </c>
      <c r="R1303" s="7" t="n"/>
      <c r="Y1303" s="7" t="n"/>
      <c r="Z1303" s="7" t="n"/>
      <c r="AA1303" s="7" t="n"/>
      <c r="AD1303">
        <f>IF($E1303="","",IF($AT1303=1,Settings!$C$8,IF($AS1303=1,Settings!$C$6,Settings!$C$7))*100)</f>
        <v/>
      </c>
      <c r="AE1303" s="7">
        <f>IF($E1303="","",Z1303*AD1303/100)</f>
        <v/>
      </c>
      <c r="AF1303" s="7">
        <f>IF($E1303="","",Z1303-AE1303)</f>
        <v/>
      </c>
      <c r="AG1303" s="7">
        <f>IF($E1303="","",AF1303-Q1303)</f>
        <v/>
      </c>
      <c r="AK1303" s="7" t="n"/>
      <c r="AN1303" s="14" t="n"/>
      <c r="AQ1303">
        <f>IF($E1303="","",IF(COUNTIF($E$2:$E1303,$E1303)=1,1,0))</f>
        <v/>
      </c>
      <c r="AR1303">
        <f>IF($AQ1303=1,SUMPRODUCT(--($AU$2:$AU$1501&lt;$AU1303))+1,"")</f>
        <v/>
      </c>
      <c r="AS1303">
        <f>IF($E1303="","",IF(OR($U1303=TRUE(),$U1303="TRUE"),1,0))</f>
        <v/>
      </c>
      <c r="AT1303">
        <f>IF($E1303="","",IF($AC1303="Yes",1,0))</f>
        <v/>
      </c>
      <c r="AU1303">
        <f>IF($AQ1303=1,IFERROR(IF(VALUE($E1303)&lt;100000000,VALUE($E1303),1000000000),IFERROR(IF(VALUE(MID($E1303,2,20))&lt;100000000,VALUE(MID($E1303,2,20)),1000000000),1000000000))+ROW()/100000,"")</f>
        <v/>
      </c>
    </row>
    <row r="1304">
      <c r="G1304" s="14" t="n"/>
      <c r="Q1304" s="7">
        <f>IF($E1304="","",P1304*Z1304/100)</f>
        <v/>
      </c>
      <c r="R1304" s="7" t="n"/>
      <c r="Y1304" s="7" t="n"/>
      <c r="Z1304" s="7" t="n"/>
      <c r="AA1304" s="7" t="n"/>
      <c r="AD1304">
        <f>IF($E1304="","",IF($AT1304=1,Settings!$C$8,IF($AS1304=1,Settings!$C$6,Settings!$C$7))*100)</f>
        <v/>
      </c>
      <c r="AE1304" s="7">
        <f>IF($E1304="","",Z1304*AD1304/100)</f>
        <v/>
      </c>
      <c r="AF1304" s="7">
        <f>IF($E1304="","",Z1304-AE1304)</f>
        <v/>
      </c>
      <c r="AG1304" s="7">
        <f>IF($E1304="","",AF1304-Q1304)</f>
        <v/>
      </c>
      <c r="AK1304" s="7" t="n"/>
      <c r="AN1304" s="14" t="n"/>
      <c r="AQ1304">
        <f>IF($E1304="","",IF(COUNTIF($E$2:$E1304,$E1304)=1,1,0))</f>
        <v/>
      </c>
      <c r="AR1304">
        <f>IF($AQ1304=1,SUMPRODUCT(--($AU$2:$AU$1501&lt;$AU1304))+1,"")</f>
        <v/>
      </c>
      <c r="AS1304">
        <f>IF($E1304="","",IF(OR($U1304=TRUE(),$U1304="TRUE"),1,0))</f>
        <v/>
      </c>
      <c r="AT1304">
        <f>IF($E1304="","",IF($AC1304="Yes",1,0))</f>
        <v/>
      </c>
      <c r="AU1304">
        <f>IF($AQ1304=1,IFERROR(IF(VALUE($E1304)&lt;100000000,VALUE($E1304),1000000000),IFERROR(IF(VALUE(MID($E1304,2,20))&lt;100000000,VALUE(MID($E1304,2,20)),1000000000),1000000000))+ROW()/100000,"")</f>
        <v/>
      </c>
    </row>
    <row r="1305">
      <c r="G1305" s="14" t="n"/>
      <c r="Q1305" s="7">
        <f>IF($E1305="","",P1305*Z1305/100)</f>
        <v/>
      </c>
      <c r="R1305" s="7" t="n"/>
      <c r="Y1305" s="7" t="n"/>
      <c r="Z1305" s="7" t="n"/>
      <c r="AA1305" s="7" t="n"/>
      <c r="AD1305">
        <f>IF($E1305="","",IF($AT1305=1,Settings!$C$8,IF($AS1305=1,Settings!$C$6,Settings!$C$7))*100)</f>
        <v/>
      </c>
      <c r="AE1305" s="7">
        <f>IF($E1305="","",Z1305*AD1305/100)</f>
        <v/>
      </c>
      <c r="AF1305" s="7">
        <f>IF($E1305="","",Z1305-AE1305)</f>
        <v/>
      </c>
      <c r="AG1305" s="7">
        <f>IF($E1305="","",AF1305-Q1305)</f>
        <v/>
      </c>
      <c r="AK1305" s="7" t="n"/>
      <c r="AN1305" s="14" t="n"/>
      <c r="AQ1305">
        <f>IF($E1305="","",IF(COUNTIF($E$2:$E1305,$E1305)=1,1,0))</f>
        <v/>
      </c>
      <c r="AR1305">
        <f>IF($AQ1305=1,SUMPRODUCT(--($AU$2:$AU$1501&lt;$AU1305))+1,"")</f>
        <v/>
      </c>
      <c r="AS1305">
        <f>IF($E1305="","",IF(OR($U1305=TRUE(),$U1305="TRUE"),1,0))</f>
        <v/>
      </c>
      <c r="AT1305">
        <f>IF($E1305="","",IF($AC1305="Yes",1,0))</f>
        <v/>
      </c>
      <c r="AU1305">
        <f>IF($AQ1305=1,IFERROR(IF(VALUE($E1305)&lt;100000000,VALUE($E1305),1000000000),IFERROR(IF(VALUE(MID($E1305,2,20))&lt;100000000,VALUE(MID($E1305,2,20)),1000000000),1000000000))+ROW()/100000,"")</f>
        <v/>
      </c>
    </row>
    <row r="1306">
      <c r="G1306" s="14" t="n"/>
      <c r="Q1306" s="7">
        <f>IF($E1306="","",P1306*Z1306/100)</f>
        <v/>
      </c>
      <c r="R1306" s="7" t="n"/>
      <c r="Y1306" s="7" t="n"/>
      <c r="Z1306" s="7" t="n"/>
      <c r="AA1306" s="7" t="n"/>
      <c r="AD1306">
        <f>IF($E1306="","",IF($AT1306=1,Settings!$C$8,IF($AS1306=1,Settings!$C$6,Settings!$C$7))*100)</f>
        <v/>
      </c>
      <c r="AE1306" s="7">
        <f>IF($E1306="","",Z1306*AD1306/100)</f>
        <v/>
      </c>
      <c r="AF1306" s="7">
        <f>IF($E1306="","",Z1306-AE1306)</f>
        <v/>
      </c>
      <c r="AG1306" s="7">
        <f>IF($E1306="","",AF1306-Q1306)</f>
        <v/>
      </c>
      <c r="AK1306" s="7" t="n"/>
      <c r="AN1306" s="14" t="n"/>
      <c r="AQ1306">
        <f>IF($E1306="","",IF(COUNTIF($E$2:$E1306,$E1306)=1,1,0))</f>
        <v/>
      </c>
      <c r="AR1306">
        <f>IF($AQ1306=1,SUMPRODUCT(--($AU$2:$AU$1501&lt;$AU1306))+1,"")</f>
        <v/>
      </c>
      <c r="AS1306">
        <f>IF($E1306="","",IF(OR($U1306=TRUE(),$U1306="TRUE"),1,0))</f>
        <v/>
      </c>
      <c r="AT1306">
        <f>IF($E1306="","",IF($AC1306="Yes",1,0))</f>
        <v/>
      </c>
      <c r="AU1306">
        <f>IF($AQ1306=1,IFERROR(IF(VALUE($E1306)&lt;100000000,VALUE($E1306),1000000000),IFERROR(IF(VALUE(MID($E1306,2,20))&lt;100000000,VALUE(MID($E1306,2,20)),1000000000),1000000000))+ROW()/100000,"")</f>
        <v/>
      </c>
    </row>
    <row r="1307">
      <c r="G1307" s="14" t="n"/>
      <c r="Q1307" s="7">
        <f>IF($E1307="","",P1307*Z1307/100)</f>
        <v/>
      </c>
      <c r="R1307" s="7" t="n"/>
      <c r="Y1307" s="7" t="n"/>
      <c r="Z1307" s="7" t="n"/>
      <c r="AA1307" s="7" t="n"/>
      <c r="AD1307">
        <f>IF($E1307="","",IF($AT1307=1,Settings!$C$8,IF($AS1307=1,Settings!$C$6,Settings!$C$7))*100)</f>
        <v/>
      </c>
      <c r="AE1307" s="7">
        <f>IF($E1307="","",Z1307*AD1307/100)</f>
        <v/>
      </c>
      <c r="AF1307" s="7">
        <f>IF($E1307="","",Z1307-AE1307)</f>
        <v/>
      </c>
      <c r="AG1307" s="7">
        <f>IF($E1307="","",AF1307-Q1307)</f>
        <v/>
      </c>
      <c r="AK1307" s="7" t="n"/>
      <c r="AN1307" s="14" t="n"/>
      <c r="AQ1307">
        <f>IF($E1307="","",IF(COUNTIF($E$2:$E1307,$E1307)=1,1,0))</f>
        <v/>
      </c>
      <c r="AR1307">
        <f>IF($AQ1307=1,SUMPRODUCT(--($AU$2:$AU$1501&lt;$AU1307))+1,"")</f>
        <v/>
      </c>
      <c r="AS1307">
        <f>IF($E1307="","",IF(OR($U1307=TRUE(),$U1307="TRUE"),1,0))</f>
        <v/>
      </c>
      <c r="AT1307">
        <f>IF($E1307="","",IF($AC1307="Yes",1,0))</f>
        <v/>
      </c>
      <c r="AU1307">
        <f>IF($AQ1307=1,IFERROR(IF(VALUE($E1307)&lt;100000000,VALUE($E1307),1000000000),IFERROR(IF(VALUE(MID($E1307,2,20))&lt;100000000,VALUE(MID($E1307,2,20)),1000000000),1000000000))+ROW()/100000,"")</f>
        <v/>
      </c>
    </row>
    <row r="1308">
      <c r="G1308" s="14" t="n"/>
      <c r="Q1308" s="7">
        <f>IF($E1308="","",P1308*Z1308/100)</f>
        <v/>
      </c>
      <c r="R1308" s="7" t="n"/>
      <c r="Y1308" s="7" t="n"/>
      <c r="Z1308" s="7" t="n"/>
      <c r="AA1308" s="7" t="n"/>
      <c r="AD1308">
        <f>IF($E1308="","",IF($AT1308=1,Settings!$C$8,IF($AS1308=1,Settings!$C$6,Settings!$C$7))*100)</f>
        <v/>
      </c>
      <c r="AE1308" s="7">
        <f>IF($E1308="","",Z1308*AD1308/100)</f>
        <v/>
      </c>
      <c r="AF1308" s="7">
        <f>IF($E1308="","",Z1308-AE1308)</f>
        <v/>
      </c>
      <c r="AG1308" s="7">
        <f>IF($E1308="","",AF1308-Q1308)</f>
        <v/>
      </c>
      <c r="AK1308" s="7" t="n"/>
      <c r="AN1308" s="14" t="n"/>
      <c r="AQ1308">
        <f>IF($E1308="","",IF(COUNTIF($E$2:$E1308,$E1308)=1,1,0))</f>
        <v/>
      </c>
      <c r="AR1308">
        <f>IF($AQ1308=1,SUMPRODUCT(--($AU$2:$AU$1501&lt;$AU1308))+1,"")</f>
        <v/>
      </c>
      <c r="AS1308">
        <f>IF($E1308="","",IF(OR($U1308=TRUE(),$U1308="TRUE"),1,0))</f>
        <v/>
      </c>
      <c r="AT1308">
        <f>IF($E1308="","",IF($AC1308="Yes",1,0))</f>
        <v/>
      </c>
      <c r="AU1308">
        <f>IF($AQ1308=1,IFERROR(IF(VALUE($E1308)&lt;100000000,VALUE($E1308),1000000000),IFERROR(IF(VALUE(MID($E1308,2,20))&lt;100000000,VALUE(MID($E1308,2,20)),1000000000),1000000000))+ROW()/100000,"")</f>
        <v/>
      </c>
    </row>
    <row r="1309">
      <c r="G1309" s="14" t="n"/>
      <c r="Q1309" s="7">
        <f>IF($E1309="","",P1309*Z1309/100)</f>
        <v/>
      </c>
      <c r="R1309" s="7" t="n"/>
      <c r="Y1309" s="7" t="n"/>
      <c r="Z1309" s="7" t="n"/>
      <c r="AA1309" s="7" t="n"/>
      <c r="AD1309">
        <f>IF($E1309="","",IF($AT1309=1,Settings!$C$8,IF($AS1309=1,Settings!$C$6,Settings!$C$7))*100)</f>
        <v/>
      </c>
      <c r="AE1309" s="7">
        <f>IF($E1309="","",Z1309*AD1309/100)</f>
        <v/>
      </c>
      <c r="AF1309" s="7">
        <f>IF($E1309="","",Z1309-AE1309)</f>
        <v/>
      </c>
      <c r="AG1309" s="7">
        <f>IF($E1309="","",AF1309-Q1309)</f>
        <v/>
      </c>
      <c r="AK1309" s="7" t="n"/>
      <c r="AN1309" s="14" t="n"/>
      <c r="AQ1309">
        <f>IF($E1309="","",IF(COUNTIF($E$2:$E1309,$E1309)=1,1,0))</f>
        <v/>
      </c>
      <c r="AR1309">
        <f>IF($AQ1309=1,SUMPRODUCT(--($AU$2:$AU$1501&lt;$AU1309))+1,"")</f>
        <v/>
      </c>
      <c r="AS1309">
        <f>IF($E1309="","",IF(OR($U1309=TRUE(),$U1309="TRUE"),1,0))</f>
        <v/>
      </c>
      <c r="AT1309">
        <f>IF($E1309="","",IF($AC1309="Yes",1,0))</f>
        <v/>
      </c>
      <c r="AU1309">
        <f>IF($AQ1309=1,IFERROR(IF(VALUE($E1309)&lt;100000000,VALUE($E1309),1000000000),IFERROR(IF(VALUE(MID($E1309,2,20))&lt;100000000,VALUE(MID($E1309,2,20)),1000000000),1000000000))+ROW()/100000,"")</f>
        <v/>
      </c>
    </row>
    <row r="1310">
      <c r="G1310" s="14" t="n"/>
      <c r="Q1310" s="7">
        <f>IF($E1310="","",P1310*Z1310/100)</f>
        <v/>
      </c>
      <c r="R1310" s="7" t="n"/>
      <c r="Y1310" s="7" t="n"/>
      <c r="Z1310" s="7" t="n"/>
      <c r="AA1310" s="7" t="n"/>
      <c r="AD1310">
        <f>IF($E1310="","",IF($AT1310=1,Settings!$C$8,IF($AS1310=1,Settings!$C$6,Settings!$C$7))*100)</f>
        <v/>
      </c>
      <c r="AE1310" s="7">
        <f>IF($E1310="","",Z1310*AD1310/100)</f>
        <v/>
      </c>
      <c r="AF1310" s="7">
        <f>IF($E1310="","",Z1310-AE1310)</f>
        <v/>
      </c>
      <c r="AG1310" s="7">
        <f>IF($E1310="","",AF1310-Q1310)</f>
        <v/>
      </c>
      <c r="AK1310" s="7" t="n"/>
      <c r="AN1310" s="14" t="n"/>
      <c r="AQ1310">
        <f>IF($E1310="","",IF(COUNTIF($E$2:$E1310,$E1310)=1,1,0))</f>
        <v/>
      </c>
      <c r="AR1310">
        <f>IF($AQ1310=1,SUMPRODUCT(--($AU$2:$AU$1501&lt;$AU1310))+1,"")</f>
        <v/>
      </c>
      <c r="AS1310">
        <f>IF($E1310="","",IF(OR($U1310=TRUE(),$U1310="TRUE"),1,0))</f>
        <v/>
      </c>
      <c r="AT1310">
        <f>IF($E1310="","",IF($AC1310="Yes",1,0))</f>
        <v/>
      </c>
      <c r="AU1310">
        <f>IF($AQ1310=1,IFERROR(IF(VALUE($E1310)&lt;100000000,VALUE($E1310),1000000000),IFERROR(IF(VALUE(MID($E1310,2,20))&lt;100000000,VALUE(MID($E1310,2,20)),1000000000),1000000000))+ROW()/100000,"")</f>
        <v/>
      </c>
    </row>
    <row r="1311">
      <c r="G1311" s="14" t="n"/>
      <c r="Q1311" s="7">
        <f>IF($E1311="","",P1311*Z1311/100)</f>
        <v/>
      </c>
      <c r="R1311" s="7" t="n"/>
      <c r="Y1311" s="7" t="n"/>
      <c r="Z1311" s="7" t="n"/>
      <c r="AA1311" s="7" t="n"/>
      <c r="AD1311">
        <f>IF($E1311="","",IF($AT1311=1,Settings!$C$8,IF($AS1311=1,Settings!$C$6,Settings!$C$7))*100)</f>
        <v/>
      </c>
      <c r="AE1311" s="7">
        <f>IF($E1311="","",Z1311*AD1311/100)</f>
        <v/>
      </c>
      <c r="AF1311" s="7">
        <f>IF($E1311="","",Z1311-AE1311)</f>
        <v/>
      </c>
      <c r="AG1311" s="7">
        <f>IF($E1311="","",AF1311-Q1311)</f>
        <v/>
      </c>
      <c r="AK1311" s="7" t="n"/>
      <c r="AN1311" s="14" t="n"/>
      <c r="AQ1311">
        <f>IF($E1311="","",IF(COUNTIF($E$2:$E1311,$E1311)=1,1,0))</f>
        <v/>
      </c>
      <c r="AR1311">
        <f>IF($AQ1311=1,SUMPRODUCT(--($AU$2:$AU$1501&lt;$AU1311))+1,"")</f>
        <v/>
      </c>
      <c r="AS1311">
        <f>IF($E1311="","",IF(OR($U1311=TRUE(),$U1311="TRUE"),1,0))</f>
        <v/>
      </c>
      <c r="AT1311">
        <f>IF($E1311="","",IF($AC1311="Yes",1,0))</f>
        <v/>
      </c>
      <c r="AU1311">
        <f>IF($AQ1311=1,IFERROR(IF(VALUE($E1311)&lt;100000000,VALUE($E1311),1000000000),IFERROR(IF(VALUE(MID($E1311,2,20))&lt;100000000,VALUE(MID($E1311,2,20)),1000000000),1000000000))+ROW()/100000,"")</f>
        <v/>
      </c>
    </row>
    <row r="1312">
      <c r="G1312" s="14" t="n"/>
      <c r="Q1312" s="7">
        <f>IF($E1312="","",P1312*Z1312/100)</f>
        <v/>
      </c>
      <c r="R1312" s="7" t="n"/>
      <c r="Y1312" s="7" t="n"/>
      <c r="Z1312" s="7" t="n"/>
      <c r="AA1312" s="7" t="n"/>
      <c r="AD1312">
        <f>IF($E1312="","",IF($AT1312=1,Settings!$C$8,IF($AS1312=1,Settings!$C$6,Settings!$C$7))*100)</f>
        <v/>
      </c>
      <c r="AE1312" s="7">
        <f>IF($E1312="","",Z1312*AD1312/100)</f>
        <v/>
      </c>
      <c r="AF1312" s="7">
        <f>IF($E1312="","",Z1312-AE1312)</f>
        <v/>
      </c>
      <c r="AG1312" s="7">
        <f>IF($E1312="","",AF1312-Q1312)</f>
        <v/>
      </c>
      <c r="AK1312" s="7" t="n"/>
      <c r="AN1312" s="14" t="n"/>
      <c r="AQ1312">
        <f>IF($E1312="","",IF(COUNTIF($E$2:$E1312,$E1312)=1,1,0))</f>
        <v/>
      </c>
      <c r="AR1312">
        <f>IF($AQ1312=1,SUMPRODUCT(--($AU$2:$AU$1501&lt;$AU1312))+1,"")</f>
        <v/>
      </c>
      <c r="AS1312">
        <f>IF($E1312="","",IF(OR($U1312=TRUE(),$U1312="TRUE"),1,0))</f>
        <v/>
      </c>
      <c r="AT1312">
        <f>IF($E1312="","",IF($AC1312="Yes",1,0))</f>
        <v/>
      </c>
      <c r="AU1312">
        <f>IF($AQ1312=1,IFERROR(IF(VALUE($E1312)&lt;100000000,VALUE($E1312),1000000000),IFERROR(IF(VALUE(MID($E1312,2,20))&lt;100000000,VALUE(MID($E1312,2,20)),1000000000),1000000000))+ROW()/100000,"")</f>
        <v/>
      </c>
    </row>
    <row r="1313">
      <c r="G1313" s="14" t="n"/>
      <c r="Q1313" s="7">
        <f>IF($E1313="","",P1313*Z1313/100)</f>
        <v/>
      </c>
      <c r="R1313" s="7" t="n"/>
      <c r="Y1313" s="7" t="n"/>
      <c r="Z1313" s="7" t="n"/>
      <c r="AA1313" s="7" t="n"/>
      <c r="AD1313">
        <f>IF($E1313="","",IF($AT1313=1,Settings!$C$8,IF($AS1313=1,Settings!$C$6,Settings!$C$7))*100)</f>
        <v/>
      </c>
      <c r="AE1313" s="7">
        <f>IF($E1313="","",Z1313*AD1313/100)</f>
        <v/>
      </c>
      <c r="AF1313" s="7">
        <f>IF($E1313="","",Z1313-AE1313)</f>
        <v/>
      </c>
      <c r="AG1313" s="7">
        <f>IF($E1313="","",AF1313-Q1313)</f>
        <v/>
      </c>
      <c r="AK1313" s="7" t="n"/>
      <c r="AN1313" s="14" t="n"/>
      <c r="AQ1313">
        <f>IF($E1313="","",IF(COUNTIF($E$2:$E1313,$E1313)=1,1,0))</f>
        <v/>
      </c>
      <c r="AR1313">
        <f>IF($AQ1313=1,SUMPRODUCT(--($AU$2:$AU$1501&lt;$AU1313))+1,"")</f>
        <v/>
      </c>
      <c r="AS1313">
        <f>IF($E1313="","",IF(OR($U1313=TRUE(),$U1313="TRUE"),1,0))</f>
        <v/>
      </c>
      <c r="AT1313">
        <f>IF($E1313="","",IF($AC1313="Yes",1,0))</f>
        <v/>
      </c>
      <c r="AU1313">
        <f>IF($AQ1313=1,IFERROR(IF(VALUE($E1313)&lt;100000000,VALUE($E1313),1000000000),IFERROR(IF(VALUE(MID($E1313,2,20))&lt;100000000,VALUE(MID($E1313,2,20)),1000000000),1000000000))+ROW()/100000,"")</f>
        <v/>
      </c>
    </row>
    <row r="1314">
      <c r="G1314" s="14" t="n"/>
      <c r="Q1314" s="7">
        <f>IF($E1314="","",P1314*Z1314/100)</f>
        <v/>
      </c>
      <c r="R1314" s="7" t="n"/>
      <c r="Y1314" s="7" t="n"/>
      <c r="Z1314" s="7" t="n"/>
      <c r="AA1314" s="7" t="n"/>
      <c r="AD1314">
        <f>IF($E1314="","",IF($AT1314=1,Settings!$C$8,IF($AS1314=1,Settings!$C$6,Settings!$C$7))*100)</f>
        <v/>
      </c>
      <c r="AE1314" s="7">
        <f>IF($E1314="","",Z1314*AD1314/100)</f>
        <v/>
      </c>
      <c r="AF1314" s="7">
        <f>IF($E1314="","",Z1314-AE1314)</f>
        <v/>
      </c>
      <c r="AG1314" s="7">
        <f>IF($E1314="","",AF1314-Q1314)</f>
        <v/>
      </c>
      <c r="AK1314" s="7" t="n"/>
      <c r="AN1314" s="14" t="n"/>
      <c r="AQ1314">
        <f>IF($E1314="","",IF(COUNTIF($E$2:$E1314,$E1314)=1,1,0))</f>
        <v/>
      </c>
      <c r="AR1314">
        <f>IF($AQ1314=1,SUMPRODUCT(--($AU$2:$AU$1501&lt;$AU1314))+1,"")</f>
        <v/>
      </c>
      <c r="AS1314">
        <f>IF($E1314="","",IF(OR($U1314=TRUE(),$U1314="TRUE"),1,0))</f>
        <v/>
      </c>
      <c r="AT1314">
        <f>IF($E1314="","",IF($AC1314="Yes",1,0))</f>
        <v/>
      </c>
      <c r="AU1314">
        <f>IF($AQ1314=1,IFERROR(IF(VALUE($E1314)&lt;100000000,VALUE($E1314),1000000000),IFERROR(IF(VALUE(MID($E1314,2,20))&lt;100000000,VALUE(MID($E1314,2,20)),1000000000),1000000000))+ROW()/100000,"")</f>
        <v/>
      </c>
    </row>
    <row r="1315">
      <c r="G1315" s="14" t="n"/>
      <c r="Q1315" s="7">
        <f>IF($E1315="","",P1315*Z1315/100)</f>
        <v/>
      </c>
      <c r="R1315" s="7" t="n"/>
      <c r="Y1315" s="7" t="n"/>
      <c r="Z1315" s="7" t="n"/>
      <c r="AA1315" s="7" t="n"/>
      <c r="AD1315">
        <f>IF($E1315="","",IF($AT1315=1,Settings!$C$8,IF($AS1315=1,Settings!$C$6,Settings!$C$7))*100)</f>
        <v/>
      </c>
      <c r="AE1315" s="7">
        <f>IF($E1315="","",Z1315*AD1315/100)</f>
        <v/>
      </c>
      <c r="AF1315" s="7">
        <f>IF($E1315="","",Z1315-AE1315)</f>
        <v/>
      </c>
      <c r="AG1315" s="7">
        <f>IF($E1315="","",AF1315-Q1315)</f>
        <v/>
      </c>
      <c r="AK1315" s="7" t="n"/>
      <c r="AN1315" s="14" t="n"/>
      <c r="AQ1315">
        <f>IF($E1315="","",IF(COUNTIF($E$2:$E1315,$E1315)=1,1,0))</f>
        <v/>
      </c>
      <c r="AR1315">
        <f>IF($AQ1315=1,SUMPRODUCT(--($AU$2:$AU$1501&lt;$AU1315))+1,"")</f>
        <v/>
      </c>
      <c r="AS1315">
        <f>IF($E1315="","",IF(OR($U1315=TRUE(),$U1315="TRUE"),1,0))</f>
        <v/>
      </c>
      <c r="AT1315">
        <f>IF($E1315="","",IF($AC1315="Yes",1,0))</f>
        <v/>
      </c>
      <c r="AU1315">
        <f>IF($AQ1315=1,IFERROR(IF(VALUE($E1315)&lt;100000000,VALUE($E1315),1000000000),IFERROR(IF(VALUE(MID($E1315,2,20))&lt;100000000,VALUE(MID($E1315,2,20)),1000000000),1000000000))+ROW()/100000,"")</f>
        <v/>
      </c>
    </row>
    <row r="1316">
      <c r="G1316" s="14" t="n"/>
      <c r="Q1316" s="7">
        <f>IF($E1316="","",P1316*Z1316/100)</f>
        <v/>
      </c>
      <c r="R1316" s="7" t="n"/>
      <c r="Y1316" s="7" t="n"/>
      <c r="Z1316" s="7" t="n"/>
      <c r="AA1316" s="7" t="n"/>
      <c r="AD1316">
        <f>IF($E1316="","",IF($AT1316=1,Settings!$C$8,IF($AS1316=1,Settings!$C$6,Settings!$C$7))*100)</f>
        <v/>
      </c>
      <c r="AE1316" s="7">
        <f>IF($E1316="","",Z1316*AD1316/100)</f>
        <v/>
      </c>
      <c r="AF1316" s="7">
        <f>IF($E1316="","",Z1316-AE1316)</f>
        <v/>
      </c>
      <c r="AG1316" s="7">
        <f>IF($E1316="","",AF1316-Q1316)</f>
        <v/>
      </c>
      <c r="AK1316" s="7" t="n"/>
      <c r="AN1316" s="14" t="n"/>
      <c r="AQ1316">
        <f>IF($E1316="","",IF(COUNTIF($E$2:$E1316,$E1316)=1,1,0))</f>
        <v/>
      </c>
      <c r="AR1316">
        <f>IF($AQ1316=1,SUMPRODUCT(--($AU$2:$AU$1501&lt;$AU1316))+1,"")</f>
        <v/>
      </c>
      <c r="AS1316">
        <f>IF($E1316="","",IF(OR($U1316=TRUE(),$U1316="TRUE"),1,0))</f>
        <v/>
      </c>
      <c r="AT1316">
        <f>IF($E1316="","",IF($AC1316="Yes",1,0))</f>
        <v/>
      </c>
      <c r="AU1316">
        <f>IF($AQ1316=1,IFERROR(IF(VALUE($E1316)&lt;100000000,VALUE($E1316),1000000000),IFERROR(IF(VALUE(MID($E1316,2,20))&lt;100000000,VALUE(MID($E1316,2,20)),1000000000),1000000000))+ROW()/100000,"")</f>
        <v/>
      </c>
    </row>
    <row r="1317">
      <c r="G1317" s="14" t="n"/>
      <c r="Q1317" s="7">
        <f>IF($E1317="","",P1317*Z1317/100)</f>
        <v/>
      </c>
      <c r="R1317" s="7" t="n"/>
      <c r="Y1317" s="7" t="n"/>
      <c r="Z1317" s="7" t="n"/>
      <c r="AA1317" s="7" t="n"/>
      <c r="AD1317">
        <f>IF($E1317="","",IF($AT1317=1,Settings!$C$8,IF($AS1317=1,Settings!$C$6,Settings!$C$7))*100)</f>
        <v/>
      </c>
      <c r="AE1317" s="7">
        <f>IF($E1317="","",Z1317*AD1317/100)</f>
        <v/>
      </c>
      <c r="AF1317" s="7">
        <f>IF($E1317="","",Z1317-AE1317)</f>
        <v/>
      </c>
      <c r="AG1317" s="7">
        <f>IF($E1317="","",AF1317-Q1317)</f>
        <v/>
      </c>
      <c r="AK1317" s="7" t="n"/>
      <c r="AN1317" s="14" t="n"/>
      <c r="AQ1317">
        <f>IF($E1317="","",IF(COUNTIF($E$2:$E1317,$E1317)=1,1,0))</f>
        <v/>
      </c>
      <c r="AR1317">
        <f>IF($AQ1317=1,SUMPRODUCT(--($AU$2:$AU$1501&lt;$AU1317))+1,"")</f>
        <v/>
      </c>
      <c r="AS1317">
        <f>IF($E1317="","",IF(OR($U1317=TRUE(),$U1317="TRUE"),1,0))</f>
        <v/>
      </c>
      <c r="AT1317">
        <f>IF($E1317="","",IF($AC1317="Yes",1,0))</f>
        <v/>
      </c>
      <c r="AU1317">
        <f>IF($AQ1317=1,IFERROR(IF(VALUE($E1317)&lt;100000000,VALUE($E1317),1000000000),IFERROR(IF(VALUE(MID($E1317,2,20))&lt;100000000,VALUE(MID($E1317,2,20)),1000000000),1000000000))+ROW()/100000,"")</f>
        <v/>
      </c>
    </row>
    <row r="1318">
      <c r="G1318" s="14" t="n"/>
      <c r="Q1318" s="7">
        <f>IF($E1318="","",P1318*Z1318/100)</f>
        <v/>
      </c>
      <c r="R1318" s="7" t="n"/>
      <c r="Y1318" s="7" t="n"/>
      <c r="Z1318" s="7" t="n"/>
      <c r="AA1318" s="7" t="n"/>
      <c r="AD1318">
        <f>IF($E1318="","",IF($AT1318=1,Settings!$C$8,IF($AS1318=1,Settings!$C$6,Settings!$C$7))*100)</f>
        <v/>
      </c>
      <c r="AE1318" s="7">
        <f>IF($E1318="","",Z1318*AD1318/100)</f>
        <v/>
      </c>
      <c r="AF1318" s="7">
        <f>IF($E1318="","",Z1318-AE1318)</f>
        <v/>
      </c>
      <c r="AG1318" s="7">
        <f>IF($E1318="","",AF1318-Q1318)</f>
        <v/>
      </c>
      <c r="AK1318" s="7" t="n"/>
      <c r="AN1318" s="14" t="n"/>
      <c r="AQ1318">
        <f>IF($E1318="","",IF(COUNTIF($E$2:$E1318,$E1318)=1,1,0))</f>
        <v/>
      </c>
      <c r="AR1318">
        <f>IF($AQ1318=1,SUMPRODUCT(--($AU$2:$AU$1501&lt;$AU1318))+1,"")</f>
        <v/>
      </c>
      <c r="AS1318">
        <f>IF($E1318="","",IF(OR($U1318=TRUE(),$U1318="TRUE"),1,0))</f>
        <v/>
      </c>
      <c r="AT1318">
        <f>IF($E1318="","",IF($AC1318="Yes",1,0))</f>
        <v/>
      </c>
      <c r="AU1318">
        <f>IF($AQ1318=1,IFERROR(IF(VALUE($E1318)&lt;100000000,VALUE($E1318),1000000000),IFERROR(IF(VALUE(MID($E1318,2,20))&lt;100000000,VALUE(MID($E1318,2,20)),1000000000),1000000000))+ROW()/100000,"")</f>
        <v/>
      </c>
    </row>
    <row r="1319">
      <c r="G1319" s="14" t="n"/>
      <c r="Q1319" s="7">
        <f>IF($E1319="","",P1319*Z1319/100)</f>
        <v/>
      </c>
      <c r="R1319" s="7" t="n"/>
      <c r="Y1319" s="7" t="n"/>
      <c r="Z1319" s="7" t="n"/>
      <c r="AA1319" s="7" t="n"/>
      <c r="AD1319">
        <f>IF($E1319="","",IF($AT1319=1,Settings!$C$8,IF($AS1319=1,Settings!$C$6,Settings!$C$7))*100)</f>
        <v/>
      </c>
      <c r="AE1319" s="7">
        <f>IF($E1319="","",Z1319*AD1319/100)</f>
        <v/>
      </c>
      <c r="AF1319" s="7">
        <f>IF($E1319="","",Z1319-AE1319)</f>
        <v/>
      </c>
      <c r="AG1319" s="7">
        <f>IF($E1319="","",AF1319-Q1319)</f>
        <v/>
      </c>
      <c r="AK1319" s="7" t="n"/>
      <c r="AN1319" s="14" t="n"/>
      <c r="AQ1319">
        <f>IF($E1319="","",IF(COUNTIF($E$2:$E1319,$E1319)=1,1,0))</f>
        <v/>
      </c>
      <c r="AR1319">
        <f>IF($AQ1319=1,SUMPRODUCT(--($AU$2:$AU$1501&lt;$AU1319))+1,"")</f>
        <v/>
      </c>
      <c r="AS1319">
        <f>IF($E1319="","",IF(OR($U1319=TRUE(),$U1319="TRUE"),1,0))</f>
        <v/>
      </c>
      <c r="AT1319">
        <f>IF($E1319="","",IF($AC1319="Yes",1,0))</f>
        <v/>
      </c>
      <c r="AU1319">
        <f>IF($AQ1319=1,IFERROR(IF(VALUE($E1319)&lt;100000000,VALUE($E1319),1000000000),IFERROR(IF(VALUE(MID($E1319,2,20))&lt;100000000,VALUE(MID($E1319,2,20)),1000000000),1000000000))+ROW()/100000,"")</f>
        <v/>
      </c>
    </row>
    <row r="1320">
      <c r="G1320" s="14" t="n"/>
      <c r="Q1320" s="7">
        <f>IF($E1320="","",P1320*Z1320/100)</f>
        <v/>
      </c>
      <c r="R1320" s="7" t="n"/>
      <c r="Y1320" s="7" t="n"/>
      <c r="Z1320" s="7" t="n"/>
      <c r="AA1320" s="7" t="n"/>
      <c r="AD1320">
        <f>IF($E1320="","",IF($AT1320=1,Settings!$C$8,IF($AS1320=1,Settings!$C$6,Settings!$C$7))*100)</f>
        <v/>
      </c>
      <c r="AE1320" s="7">
        <f>IF($E1320="","",Z1320*AD1320/100)</f>
        <v/>
      </c>
      <c r="AF1320" s="7">
        <f>IF($E1320="","",Z1320-AE1320)</f>
        <v/>
      </c>
      <c r="AG1320" s="7">
        <f>IF($E1320="","",AF1320-Q1320)</f>
        <v/>
      </c>
      <c r="AK1320" s="7" t="n"/>
      <c r="AN1320" s="14" t="n"/>
      <c r="AQ1320">
        <f>IF($E1320="","",IF(COUNTIF($E$2:$E1320,$E1320)=1,1,0))</f>
        <v/>
      </c>
      <c r="AR1320">
        <f>IF($AQ1320=1,SUMPRODUCT(--($AU$2:$AU$1501&lt;$AU1320))+1,"")</f>
        <v/>
      </c>
      <c r="AS1320">
        <f>IF($E1320="","",IF(OR($U1320=TRUE(),$U1320="TRUE"),1,0))</f>
        <v/>
      </c>
      <c r="AT1320">
        <f>IF($E1320="","",IF($AC1320="Yes",1,0))</f>
        <v/>
      </c>
      <c r="AU1320">
        <f>IF($AQ1320=1,IFERROR(IF(VALUE($E1320)&lt;100000000,VALUE($E1320),1000000000),IFERROR(IF(VALUE(MID($E1320,2,20))&lt;100000000,VALUE(MID($E1320,2,20)),1000000000),1000000000))+ROW()/100000,"")</f>
        <v/>
      </c>
    </row>
    <row r="1321">
      <c r="G1321" s="14" t="n"/>
      <c r="Q1321" s="7">
        <f>IF($E1321="","",P1321*Z1321/100)</f>
        <v/>
      </c>
      <c r="R1321" s="7" t="n"/>
      <c r="Y1321" s="7" t="n"/>
      <c r="Z1321" s="7" t="n"/>
      <c r="AA1321" s="7" t="n"/>
      <c r="AD1321">
        <f>IF($E1321="","",IF($AT1321=1,Settings!$C$8,IF($AS1321=1,Settings!$C$6,Settings!$C$7))*100)</f>
        <v/>
      </c>
      <c r="AE1321" s="7">
        <f>IF($E1321="","",Z1321*AD1321/100)</f>
        <v/>
      </c>
      <c r="AF1321" s="7">
        <f>IF($E1321="","",Z1321-AE1321)</f>
        <v/>
      </c>
      <c r="AG1321" s="7">
        <f>IF($E1321="","",AF1321-Q1321)</f>
        <v/>
      </c>
      <c r="AK1321" s="7" t="n"/>
      <c r="AN1321" s="14" t="n"/>
      <c r="AQ1321">
        <f>IF($E1321="","",IF(COUNTIF($E$2:$E1321,$E1321)=1,1,0))</f>
        <v/>
      </c>
      <c r="AR1321">
        <f>IF($AQ1321=1,SUMPRODUCT(--($AU$2:$AU$1501&lt;$AU1321))+1,"")</f>
        <v/>
      </c>
      <c r="AS1321">
        <f>IF($E1321="","",IF(OR($U1321=TRUE(),$U1321="TRUE"),1,0))</f>
        <v/>
      </c>
      <c r="AT1321">
        <f>IF($E1321="","",IF($AC1321="Yes",1,0))</f>
        <v/>
      </c>
      <c r="AU1321">
        <f>IF($AQ1321=1,IFERROR(IF(VALUE($E1321)&lt;100000000,VALUE($E1321),1000000000),IFERROR(IF(VALUE(MID($E1321,2,20))&lt;100000000,VALUE(MID($E1321,2,20)),1000000000),1000000000))+ROW()/100000,"")</f>
        <v/>
      </c>
    </row>
    <row r="1322">
      <c r="G1322" s="14" t="n"/>
      <c r="Q1322" s="7">
        <f>IF($E1322="","",P1322*Z1322/100)</f>
        <v/>
      </c>
      <c r="R1322" s="7" t="n"/>
      <c r="Y1322" s="7" t="n"/>
      <c r="Z1322" s="7" t="n"/>
      <c r="AA1322" s="7" t="n"/>
      <c r="AD1322">
        <f>IF($E1322="","",IF($AT1322=1,Settings!$C$8,IF($AS1322=1,Settings!$C$6,Settings!$C$7))*100)</f>
        <v/>
      </c>
      <c r="AE1322" s="7">
        <f>IF($E1322="","",Z1322*AD1322/100)</f>
        <v/>
      </c>
      <c r="AF1322" s="7">
        <f>IF($E1322="","",Z1322-AE1322)</f>
        <v/>
      </c>
      <c r="AG1322" s="7">
        <f>IF($E1322="","",AF1322-Q1322)</f>
        <v/>
      </c>
      <c r="AK1322" s="7" t="n"/>
      <c r="AN1322" s="14" t="n"/>
      <c r="AQ1322">
        <f>IF($E1322="","",IF(COUNTIF($E$2:$E1322,$E1322)=1,1,0))</f>
        <v/>
      </c>
      <c r="AR1322">
        <f>IF($AQ1322=1,SUMPRODUCT(--($AU$2:$AU$1501&lt;$AU1322))+1,"")</f>
        <v/>
      </c>
      <c r="AS1322">
        <f>IF($E1322="","",IF(OR($U1322=TRUE(),$U1322="TRUE"),1,0))</f>
        <v/>
      </c>
      <c r="AT1322">
        <f>IF($E1322="","",IF($AC1322="Yes",1,0))</f>
        <v/>
      </c>
      <c r="AU1322">
        <f>IF($AQ1322=1,IFERROR(IF(VALUE($E1322)&lt;100000000,VALUE($E1322),1000000000),IFERROR(IF(VALUE(MID($E1322,2,20))&lt;100000000,VALUE(MID($E1322,2,20)),1000000000),1000000000))+ROW()/100000,"")</f>
        <v/>
      </c>
    </row>
    <row r="1323">
      <c r="G1323" s="14" t="n"/>
      <c r="Q1323" s="7">
        <f>IF($E1323="","",P1323*Z1323/100)</f>
        <v/>
      </c>
      <c r="R1323" s="7" t="n"/>
      <c r="Y1323" s="7" t="n"/>
      <c r="Z1323" s="7" t="n"/>
      <c r="AA1323" s="7" t="n"/>
      <c r="AD1323">
        <f>IF($E1323="","",IF($AT1323=1,Settings!$C$8,IF($AS1323=1,Settings!$C$6,Settings!$C$7))*100)</f>
        <v/>
      </c>
      <c r="AE1323" s="7">
        <f>IF($E1323="","",Z1323*AD1323/100)</f>
        <v/>
      </c>
      <c r="AF1323" s="7">
        <f>IF($E1323="","",Z1323-AE1323)</f>
        <v/>
      </c>
      <c r="AG1323" s="7">
        <f>IF($E1323="","",AF1323-Q1323)</f>
        <v/>
      </c>
      <c r="AK1323" s="7" t="n"/>
      <c r="AN1323" s="14" t="n"/>
      <c r="AQ1323">
        <f>IF($E1323="","",IF(COUNTIF($E$2:$E1323,$E1323)=1,1,0))</f>
        <v/>
      </c>
      <c r="AR1323">
        <f>IF($AQ1323=1,SUMPRODUCT(--($AU$2:$AU$1501&lt;$AU1323))+1,"")</f>
        <v/>
      </c>
      <c r="AS1323">
        <f>IF($E1323="","",IF(OR($U1323=TRUE(),$U1323="TRUE"),1,0))</f>
        <v/>
      </c>
      <c r="AT1323">
        <f>IF($E1323="","",IF($AC1323="Yes",1,0))</f>
        <v/>
      </c>
      <c r="AU1323">
        <f>IF($AQ1323=1,IFERROR(IF(VALUE($E1323)&lt;100000000,VALUE($E1323),1000000000),IFERROR(IF(VALUE(MID($E1323,2,20))&lt;100000000,VALUE(MID($E1323,2,20)),1000000000),1000000000))+ROW()/100000,"")</f>
        <v/>
      </c>
    </row>
    <row r="1324">
      <c r="G1324" s="14" t="n"/>
      <c r="Q1324" s="7">
        <f>IF($E1324="","",P1324*Z1324/100)</f>
        <v/>
      </c>
      <c r="R1324" s="7" t="n"/>
      <c r="Y1324" s="7" t="n"/>
      <c r="Z1324" s="7" t="n"/>
      <c r="AA1324" s="7" t="n"/>
      <c r="AD1324">
        <f>IF($E1324="","",IF($AT1324=1,Settings!$C$8,IF($AS1324=1,Settings!$C$6,Settings!$C$7))*100)</f>
        <v/>
      </c>
      <c r="AE1324" s="7">
        <f>IF($E1324="","",Z1324*AD1324/100)</f>
        <v/>
      </c>
      <c r="AF1324" s="7">
        <f>IF($E1324="","",Z1324-AE1324)</f>
        <v/>
      </c>
      <c r="AG1324" s="7">
        <f>IF($E1324="","",AF1324-Q1324)</f>
        <v/>
      </c>
      <c r="AK1324" s="7" t="n"/>
      <c r="AN1324" s="14" t="n"/>
      <c r="AQ1324">
        <f>IF($E1324="","",IF(COUNTIF($E$2:$E1324,$E1324)=1,1,0))</f>
        <v/>
      </c>
      <c r="AR1324">
        <f>IF($AQ1324=1,SUMPRODUCT(--($AU$2:$AU$1501&lt;$AU1324))+1,"")</f>
        <v/>
      </c>
      <c r="AS1324">
        <f>IF($E1324="","",IF(OR($U1324=TRUE(),$U1324="TRUE"),1,0))</f>
        <v/>
      </c>
      <c r="AT1324">
        <f>IF($E1324="","",IF($AC1324="Yes",1,0))</f>
        <v/>
      </c>
      <c r="AU1324">
        <f>IF($AQ1324=1,IFERROR(IF(VALUE($E1324)&lt;100000000,VALUE($E1324),1000000000),IFERROR(IF(VALUE(MID($E1324,2,20))&lt;100000000,VALUE(MID($E1324,2,20)),1000000000),1000000000))+ROW()/100000,"")</f>
        <v/>
      </c>
    </row>
    <row r="1325">
      <c r="G1325" s="14" t="n"/>
      <c r="Q1325" s="7">
        <f>IF($E1325="","",P1325*Z1325/100)</f>
        <v/>
      </c>
      <c r="R1325" s="7" t="n"/>
      <c r="Y1325" s="7" t="n"/>
      <c r="Z1325" s="7" t="n"/>
      <c r="AA1325" s="7" t="n"/>
      <c r="AD1325">
        <f>IF($E1325="","",IF($AT1325=1,Settings!$C$8,IF($AS1325=1,Settings!$C$6,Settings!$C$7))*100)</f>
        <v/>
      </c>
      <c r="AE1325" s="7">
        <f>IF($E1325="","",Z1325*AD1325/100)</f>
        <v/>
      </c>
      <c r="AF1325" s="7">
        <f>IF($E1325="","",Z1325-AE1325)</f>
        <v/>
      </c>
      <c r="AG1325" s="7">
        <f>IF($E1325="","",AF1325-Q1325)</f>
        <v/>
      </c>
      <c r="AK1325" s="7" t="n"/>
      <c r="AN1325" s="14" t="n"/>
      <c r="AQ1325">
        <f>IF($E1325="","",IF(COUNTIF($E$2:$E1325,$E1325)=1,1,0))</f>
        <v/>
      </c>
      <c r="AR1325">
        <f>IF($AQ1325=1,SUMPRODUCT(--($AU$2:$AU$1501&lt;$AU1325))+1,"")</f>
        <v/>
      </c>
      <c r="AS1325">
        <f>IF($E1325="","",IF(OR($U1325=TRUE(),$U1325="TRUE"),1,0))</f>
        <v/>
      </c>
      <c r="AT1325">
        <f>IF($E1325="","",IF($AC1325="Yes",1,0))</f>
        <v/>
      </c>
      <c r="AU1325">
        <f>IF($AQ1325=1,IFERROR(IF(VALUE($E1325)&lt;100000000,VALUE($E1325),1000000000),IFERROR(IF(VALUE(MID($E1325,2,20))&lt;100000000,VALUE(MID($E1325,2,20)),1000000000),1000000000))+ROW()/100000,"")</f>
        <v/>
      </c>
    </row>
    <row r="1326">
      <c r="G1326" s="14" t="n"/>
      <c r="Q1326" s="7">
        <f>IF($E1326="","",P1326*Z1326/100)</f>
        <v/>
      </c>
      <c r="R1326" s="7" t="n"/>
      <c r="Y1326" s="7" t="n"/>
      <c r="Z1326" s="7" t="n"/>
      <c r="AA1326" s="7" t="n"/>
      <c r="AD1326">
        <f>IF($E1326="","",IF($AT1326=1,Settings!$C$8,IF($AS1326=1,Settings!$C$6,Settings!$C$7))*100)</f>
        <v/>
      </c>
      <c r="AE1326" s="7">
        <f>IF($E1326="","",Z1326*AD1326/100)</f>
        <v/>
      </c>
      <c r="AF1326" s="7">
        <f>IF($E1326="","",Z1326-AE1326)</f>
        <v/>
      </c>
      <c r="AG1326" s="7">
        <f>IF($E1326="","",AF1326-Q1326)</f>
        <v/>
      </c>
      <c r="AK1326" s="7" t="n"/>
      <c r="AN1326" s="14" t="n"/>
      <c r="AQ1326">
        <f>IF($E1326="","",IF(COUNTIF($E$2:$E1326,$E1326)=1,1,0))</f>
        <v/>
      </c>
      <c r="AR1326">
        <f>IF($AQ1326=1,SUMPRODUCT(--($AU$2:$AU$1501&lt;$AU1326))+1,"")</f>
        <v/>
      </c>
      <c r="AS1326">
        <f>IF($E1326="","",IF(OR($U1326=TRUE(),$U1326="TRUE"),1,0))</f>
        <v/>
      </c>
      <c r="AT1326">
        <f>IF($E1326="","",IF($AC1326="Yes",1,0))</f>
        <v/>
      </c>
      <c r="AU1326">
        <f>IF($AQ1326=1,IFERROR(IF(VALUE($E1326)&lt;100000000,VALUE($E1326),1000000000),IFERROR(IF(VALUE(MID($E1326,2,20))&lt;100000000,VALUE(MID($E1326,2,20)),1000000000),1000000000))+ROW()/100000,"")</f>
        <v/>
      </c>
    </row>
    <row r="1327">
      <c r="G1327" s="14" t="n"/>
      <c r="Q1327" s="7">
        <f>IF($E1327="","",P1327*Z1327/100)</f>
        <v/>
      </c>
      <c r="R1327" s="7" t="n"/>
      <c r="Y1327" s="7" t="n"/>
      <c r="Z1327" s="7" t="n"/>
      <c r="AA1327" s="7" t="n"/>
      <c r="AD1327">
        <f>IF($E1327="","",IF($AT1327=1,Settings!$C$8,IF($AS1327=1,Settings!$C$6,Settings!$C$7))*100)</f>
        <v/>
      </c>
      <c r="AE1327" s="7">
        <f>IF($E1327="","",Z1327*AD1327/100)</f>
        <v/>
      </c>
      <c r="AF1327" s="7">
        <f>IF($E1327="","",Z1327-AE1327)</f>
        <v/>
      </c>
      <c r="AG1327" s="7">
        <f>IF($E1327="","",AF1327-Q1327)</f>
        <v/>
      </c>
      <c r="AK1327" s="7" t="n"/>
      <c r="AN1327" s="14" t="n"/>
      <c r="AQ1327">
        <f>IF($E1327="","",IF(COUNTIF($E$2:$E1327,$E1327)=1,1,0))</f>
        <v/>
      </c>
      <c r="AR1327">
        <f>IF($AQ1327=1,SUMPRODUCT(--($AU$2:$AU$1501&lt;$AU1327))+1,"")</f>
        <v/>
      </c>
      <c r="AS1327">
        <f>IF($E1327="","",IF(OR($U1327=TRUE(),$U1327="TRUE"),1,0))</f>
        <v/>
      </c>
      <c r="AT1327">
        <f>IF($E1327="","",IF($AC1327="Yes",1,0))</f>
        <v/>
      </c>
      <c r="AU1327">
        <f>IF($AQ1327=1,IFERROR(IF(VALUE($E1327)&lt;100000000,VALUE($E1327),1000000000),IFERROR(IF(VALUE(MID($E1327,2,20))&lt;100000000,VALUE(MID($E1327,2,20)),1000000000),1000000000))+ROW()/100000,"")</f>
        <v/>
      </c>
    </row>
    <row r="1328">
      <c r="G1328" s="14" t="n"/>
      <c r="Q1328" s="7">
        <f>IF($E1328="","",P1328*Z1328/100)</f>
        <v/>
      </c>
      <c r="R1328" s="7" t="n"/>
      <c r="Y1328" s="7" t="n"/>
      <c r="Z1328" s="7" t="n"/>
      <c r="AA1328" s="7" t="n"/>
      <c r="AD1328">
        <f>IF($E1328="","",IF($AT1328=1,Settings!$C$8,IF($AS1328=1,Settings!$C$6,Settings!$C$7))*100)</f>
        <v/>
      </c>
      <c r="AE1328" s="7">
        <f>IF($E1328="","",Z1328*AD1328/100)</f>
        <v/>
      </c>
      <c r="AF1328" s="7">
        <f>IF($E1328="","",Z1328-AE1328)</f>
        <v/>
      </c>
      <c r="AG1328" s="7">
        <f>IF($E1328="","",AF1328-Q1328)</f>
        <v/>
      </c>
      <c r="AK1328" s="7" t="n"/>
      <c r="AN1328" s="14" t="n"/>
      <c r="AQ1328">
        <f>IF($E1328="","",IF(COUNTIF($E$2:$E1328,$E1328)=1,1,0))</f>
        <v/>
      </c>
      <c r="AR1328">
        <f>IF($AQ1328=1,SUMPRODUCT(--($AU$2:$AU$1501&lt;$AU1328))+1,"")</f>
        <v/>
      </c>
      <c r="AS1328">
        <f>IF($E1328="","",IF(OR($U1328=TRUE(),$U1328="TRUE"),1,0))</f>
        <v/>
      </c>
      <c r="AT1328">
        <f>IF($E1328="","",IF($AC1328="Yes",1,0))</f>
        <v/>
      </c>
      <c r="AU1328">
        <f>IF($AQ1328=1,IFERROR(IF(VALUE($E1328)&lt;100000000,VALUE($E1328),1000000000),IFERROR(IF(VALUE(MID($E1328,2,20))&lt;100000000,VALUE(MID($E1328,2,20)),1000000000),1000000000))+ROW()/100000,"")</f>
        <v/>
      </c>
    </row>
    <row r="1329">
      <c r="G1329" s="14" t="n"/>
      <c r="Q1329" s="7">
        <f>IF($E1329="","",P1329*Z1329/100)</f>
        <v/>
      </c>
      <c r="R1329" s="7" t="n"/>
      <c r="Y1329" s="7" t="n"/>
      <c r="Z1329" s="7" t="n"/>
      <c r="AA1329" s="7" t="n"/>
      <c r="AD1329">
        <f>IF($E1329="","",IF($AT1329=1,Settings!$C$8,IF($AS1329=1,Settings!$C$6,Settings!$C$7))*100)</f>
        <v/>
      </c>
      <c r="AE1329" s="7">
        <f>IF($E1329="","",Z1329*AD1329/100)</f>
        <v/>
      </c>
      <c r="AF1329" s="7">
        <f>IF($E1329="","",Z1329-AE1329)</f>
        <v/>
      </c>
      <c r="AG1329" s="7">
        <f>IF($E1329="","",AF1329-Q1329)</f>
        <v/>
      </c>
      <c r="AK1329" s="7" t="n"/>
      <c r="AN1329" s="14" t="n"/>
      <c r="AQ1329">
        <f>IF($E1329="","",IF(COUNTIF($E$2:$E1329,$E1329)=1,1,0))</f>
        <v/>
      </c>
      <c r="AR1329">
        <f>IF($AQ1329=1,SUMPRODUCT(--($AU$2:$AU$1501&lt;$AU1329))+1,"")</f>
        <v/>
      </c>
      <c r="AS1329">
        <f>IF($E1329="","",IF(OR($U1329=TRUE(),$U1329="TRUE"),1,0))</f>
        <v/>
      </c>
      <c r="AT1329">
        <f>IF($E1329="","",IF($AC1329="Yes",1,0))</f>
        <v/>
      </c>
      <c r="AU1329">
        <f>IF($AQ1329=1,IFERROR(IF(VALUE($E1329)&lt;100000000,VALUE($E1329),1000000000),IFERROR(IF(VALUE(MID($E1329,2,20))&lt;100000000,VALUE(MID($E1329,2,20)),1000000000),1000000000))+ROW()/100000,"")</f>
        <v/>
      </c>
    </row>
    <row r="1330">
      <c r="G1330" s="14" t="n"/>
      <c r="Q1330" s="7">
        <f>IF($E1330="","",P1330*Z1330/100)</f>
        <v/>
      </c>
      <c r="R1330" s="7" t="n"/>
      <c r="Y1330" s="7" t="n"/>
      <c r="Z1330" s="7" t="n"/>
      <c r="AA1330" s="7" t="n"/>
      <c r="AD1330">
        <f>IF($E1330="","",IF($AT1330=1,Settings!$C$8,IF($AS1330=1,Settings!$C$6,Settings!$C$7))*100)</f>
        <v/>
      </c>
      <c r="AE1330" s="7">
        <f>IF($E1330="","",Z1330*AD1330/100)</f>
        <v/>
      </c>
      <c r="AF1330" s="7">
        <f>IF($E1330="","",Z1330-AE1330)</f>
        <v/>
      </c>
      <c r="AG1330" s="7">
        <f>IF($E1330="","",AF1330-Q1330)</f>
        <v/>
      </c>
      <c r="AK1330" s="7" t="n"/>
      <c r="AN1330" s="14" t="n"/>
      <c r="AQ1330">
        <f>IF($E1330="","",IF(COUNTIF($E$2:$E1330,$E1330)=1,1,0))</f>
        <v/>
      </c>
      <c r="AR1330">
        <f>IF($AQ1330=1,SUMPRODUCT(--($AU$2:$AU$1501&lt;$AU1330))+1,"")</f>
        <v/>
      </c>
      <c r="AS1330">
        <f>IF($E1330="","",IF(OR($U1330=TRUE(),$U1330="TRUE"),1,0))</f>
        <v/>
      </c>
      <c r="AT1330">
        <f>IF($E1330="","",IF($AC1330="Yes",1,0))</f>
        <v/>
      </c>
      <c r="AU1330">
        <f>IF($AQ1330=1,IFERROR(IF(VALUE($E1330)&lt;100000000,VALUE($E1330),1000000000),IFERROR(IF(VALUE(MID($E1330,2,20))&lt;100000000,VALUE(MID($E1330,2,20)),1000000000),1000000000))+ROW()/100000,"")</f>
        <v/>
      </c>
    </row>
    <row r="1331">
      <c r="G1331" s="14" t="n"/>
      <c r="Q1331" s="7">
        <f>IF($E1331="","",P1331*Z1331/100)</f>
        <v/>
      </c>
      <c r="R1331" s="7" t="n"/>
      <c r="Y1331" s="7" t="n"/>
      <c r="Z1331" s="7" t="n"/>
      <c r="AA1331" s="7" t="n"/>
      <c r="AD1331">
        <f>IF($E1331="","",IF($AT1331=1,Settings!$C$8,IF($AS1331=1,Settings!$C$6,Settings!$C$7))*100)</f>
        <v/>
      </c>
      <c r="AE1331" s="7">
        <f>IF($E1331="","",Z1331*AD1331/100)</f>
        <v/>
      </c>
      <c r="AF1331" s="7">
        <f>IF($E1331="","",Z1331-AE1331)</f>
        <v/>
      </c>
      <c r="AG1331" s="7">
        <f>IF($E1331="","",AF1331-Q1331)</f>
        <v/>
      </c>
      <c r="AK1331" s="7" t="n"/>
      <c r="AN1331" s="14" t="n"/>
      <c r="AQ1331">
        <f>IF($E1331="","",IF(COUNTIF($E$2:$E1331,$E1331)=1,1,0))</f>
        <v/>
      </c>
      <c r="AR1331">
        <f>IF($AQ1331=1,SUMPRODUCT(--($AU$2:$AU$1501&lt;$AU1331))+1,"")</f>
        <v/>
      </c>
      <c r="AS1331">
        <f>IF($E1331="","",IF(OR($U1331=TRUE(),$U1331="TRUE"),1,0))</f>
        <v/>
      </c>
      <c r="AT1331">
        <f>IF($E1331="","",IF($AC1331="Yes",1,0))</f>
        <v/>
      </c>
      <c r="AU1331">
        <f>IF($AQ1331=1,IFERROR(IF(VALUE($E1331)&lt;100000000,VALUE($E1331),1000000000),IFERROR(IF(VALUE(MID($E1331,2,20))&lt;100000000,VALUE(MID($E1331,2,20)),1000000000),1000000000))+ROW()/100000,"")</f>
        <v/>
      </c>
    </row>
    <row r="1332">
      <c r="G1332" s="14" t="n"/>
      <c r="Q1332" s="7">
        <f>IF($E1332="","",P1332*Z1332/100)</f>
        <v/>
      </c>
      <c r="R1332" s="7" t="n"/>
      <c r="Y1332" s="7" t="n"/>
      <c r="Z1332" s="7" t="n"/>
      <c r="AA1332" s="7" t="n"/>
      <c r="AD1332">
        <f>IF($E1332="","",IF($AT1332=1,Settings!$C$8,IF($AS1332=1,Settings!$C$6,Settings!$C$7))*100)</f>
        <v/>
      </c>
      <c r="AE1332" s="7">
        <f>IF($E1332="","",Z1332*AD1332/100)</f>
        <v/>
      </c>
      <c r="AF1332" s="7">
        <f>IF($E1332="","",Z1332-AE1332)</f>
        <v/>
      </c>
      <c r="AG1332" s="7">
        <f>IF($E1332="","",AF1332-Q1332)</f>
        <v/>
      </c>
      <c r="AK1332" s="7" t="n"/>
      <c r="AN1332" s="14" t="n"/>
      <c r="AQ1332">
        <f>IF($E1332="","",IF(COUNTIF($E$2:$E1332,$E1332)=1,1,0))</f>
        <v/>
      </c>
      <c r="AR1332">
        <f>IF($AQ1332=1,SUMPRODUCT(--($AU$2:$AU$1501&lt;$AU1332))+1,"")</f>
        <v/>
      </c>
      <c r="AS1332">
        <f>IF($E1332="","",IF(OR($U1332=TRUE(),$U1332="TRUE"),1,0))</f>
        <v/>
      </c>
      <c r="AT1332">
        <f>IF($E1332="","",IF($AC1332="Yes",1,0))</f>
        <v/>
      </c>
      <c r="AU1332">
        <f>IF($AQ1332=1,IFERROR(IF(VALUE($E1332)&lt;100000000,VALUE($E1332),1000000000),IFERROR(IF(VALUE(MID($E1332,2,20))&lt;100000000,VALUE(MID($E1332,2,20)),1000000000),1000000000))+ROW()/100000,"")</f>
        <v/>
      </c>
    </row>
    <row r="1333">
      <c r="G1333" s="14" t="n"/>
      <c r="Q1333" s="7">
        <f>IF($E1333="","",P1333*Z1333/100)</f>
        <v/>
      </c>
      <c r="R1333" s="7" t="n"/>
      <c r="Y1333" s="7" t="n"/>
      <c r="Z1333" s="7" t="n"/>
      <c r="AA1333" s="7" t="n"/>
      <c r="AD1333">
        <f>IF($E1333="","",IF($AT1333=1,Settings!$C$8,IF($AS1333=1,Settings!$C$6,Settings!$C$7))*100)</f>
        <v/>
      </c>
      <c r="AE1333" s="7">
        <f>IF($E1333="","",Z1333*AD1333/100)</f>
        <v/>
      </c>
      <c r="AF1333" s="7">
        <f>IF($E1333="","",Z1333-AE1333)</f>
        <v/>
      </c>
      <c r="AG1333" s="7">
        <f>IF($E1333="","",AF1333-Q1333)</f>
        <v/>
      </c>
      <c r="AK1333" s="7" t="n"/>
      <c r="AN1333" s="14" t="n"/>
      <c r="AQ1333">
        <f>IF($E1333="","",IF(COUNTIF($E$2:$E1333,$E1333)=1,1,0))</f>
        <v/>
      </c>
      <c r="AR1333">
        <f>IF($AQ1333=1,SUMPRODUCT(--($AU$2:$AU$1501&lt;$AU1333))+1,"")</f>
        <v/>
      </c>
      <c r="AS1333">
        <f>IF($E1333="","",IF(OR($U1333=TRUE(),$U1333="TRUE"),1,0))</f>
        <v/>
      </c>
      <c r="AT1333">
        <f>IF($E1333="","",IF($AC1333="Yes",1,0))</f>
        <v/>
      </c>
      <c r="AU1333">
        <f>IF($AQ1333=1,IFERROR(IF(VALUE($E1333)&lt;100000000,VALUE($E1333),1000000000),IFERROR(IF(VALUE(MID($E1333,2,20))&lt;100000000,VALUE(MID($E1333,2,20)),1000000000),1000000000))+ROW()/100000,"")</f>
        <v/>
      </c>
    </row>
    <row r="1334">
      <c r="G1334" s="14" t="n"/>
      <c r="Q1334" s="7">
        <f>IF($E1334="","",P1334*Z1334/100)</f>
        <v/>
      </c>
      <c r="R1334" s="7" t="n"/>
      <c r="Y1334" s="7" t="n"/>
      <c r="Z1334" s="7" t="n"/>
      <c r="AA1334" s="7" t="n"/>
      <c r="AD1334">
        <f>IF($E1334="","",IF($AT1334=1,Settings!$C$8,IF($AS1334=1,Settings!$C$6,Settings!$C$7))*100)</f>
        <v/>
      </c>
      <c r="AE1334" s="7">
        <f>IF($E1334="","",Z1334*AD1334/100)</f>
        <v/>
      </c>
      <c r="AF1334" s="7">
        <f>IF($E1334="","",Z1334-AE1334)</f>
        <v/>
      </c>
      <c r="AG1334" s="7">
        <f>IF($E1334="","",AF1334-Q1334)</f>
        <v/>
      </c>
      <c r="AK1334" s="7" t="n"/>
      <c r="AN1334" s="14" t="n"/>
      <c r="AQ1334">
        <f>IF($E1334="","",IF(COUNTIF($E$2:$E1334,$E1334)=1,1,0))</f>
        <v/>
      </c>
      <c r="AR1334">
        <f>IF($AQ1334=1,SUMPRODUCT(--($AU$2:$AU$1501&lt;$AU1334))+1,"")</f>
        <v/>
      </c>
      <c r="AS1334">
        <f>IF($E1334="","",IF(OR($U1334=TRUE(),$U1334="TRUE"),1,0))</f>
        <v/>
      </c>
      <c r="AT1334">
        <f>IF($E1334="","",IF($AC1334="Yes",1,0))</f>
        <v/>
      </c>
      <c r="AU1334">
        <f>IF($AQ1334=1,IFERROR(IF(VALUE($E1334)&lt;100000000,VALUE($E1334),1000000000),IFERROR(IF(VALUE(MID($E1334,2,20))&lt;100000000,VALUE(MID($E1334,2,20)),1000000000),1000000000))+ROW()/100000,"")</f>
        <v/>
      </c>
    </row>
    <row r="1335">
      <c r="G1335" s="14" t="n"/>
      <c r="Q1335" s="7">
        <f>IF($E1335="","",P1335*Z1335/100)</f>
        <v/>
      </c>
      <c r="R1335" s="7" t="n"/>
      <c r="Y1335" s="7" t="n"/>
      <c r="Z1335" s="7" t="n"/>
      <c r="AA1335" s="7" t="n"/>
      <c r="AD1335">
        <f>IF($E1335="","",IF($AT1335=1,Settings!$C$8,IF($AS1335=1,Settings!$C$6,Settings!$C$7))*100)</f>
        <v/>
      </c>
      <c r="AE1335" s="7">
        <f>IF($E1335="","",Z1335*AD1335/100)</f>
        <v/>
      </c>
      <c r="AF1335" s="7">
        <f>IF($E1335="","",Z1335-AE1335)</f>
        <v/>
      </c>
      <c r="AG1335" s="7">
        <f>IF($E1335="","",AF1335-Q1335)</f>
        <v/>
      </c>
      <c r="AK1335" s="7" t="n"/>
      <c r="AN1335" s="14" t="n"/>
      <c r="AQ1335">
        <f>IF($E1335="","",IF(COUNTIF($E$2:$E1335,$E1335)=1,1,0))</f>
        <v/>
      </c>
      <c r="AR1335">
        <f>IF($AQ1335=1,SUMPRODUCT(--($AU$2:$AU$1501&lt;$AU1335))+1,"")</f>
        <v/>
      </c>
      <c r="AS1335">
        <f>IF($E1335="","",IF(OR($U1335=TRUE(),$U1335="TRUE"),1,0))</f>
        <v/>
      </c>
      <c r="AT1335">
        <f>IF($E1335="","",IF($AC1335="Yes",1,0))</f>
        <v/>
      </c>
      <c r="AU1335">
        <f>IF($AQ1335=1,IFERROR(IF(VALUE($E1335)&lt;100000000,VALUE($E1335),1000000000),IFERROR(IF(VALUE(MID($E1335,2,20))&lt;100000000,VALUE(MID($E1335,2,20)),1000000000),1000000000))+ROW()/100000,"")</f>
        <v/>
      </c>
    </row>
    <row r="1336">
      <c r="G1336" s="14" t="n"/>
      <c r="Q1336" s="7">
        <f>IF($E1336="","",P1336*Z1336/100)</f>
        <v/>
      </c>
      <c r="R1336" s="7" t="n"/>
      <c r="Y1336" s="7" t="n"/>
      <c r="Z1336" s="7" t="n"/>
      <c r="AA1336" s="7" t="n"/>
      <c r="AD1336">
        <f>IF($E1336="","",IF($AT1336=1,Settings!$C$8,IF($AS1336=1,Settings!$C$6,Settings!$C$7))*100)</f>
        <v/>
      </c>
      <c r="AE1336" s="7">
        <f>IF($E1336="","",Z1336*AD1336/100)</f>
        <v/>
      </c>
      <c r="AF1336" s="7">
        <f>IF($E1336="","",Z1336-AE1336)</f>
        <v/>
      </c>
      <c r="AG1336" s="7">
        <f>IF($E1336="","",AF1336-Q1336)</f>
        <v/>
      </c>
      <c r="AK1336" s="7" t="n"/>
      <c r="AN1336" s="14" t="n"/>
      <c r="AQ1336">
        <f>IF($E1336="","",IF(COUNTIF($E$2:$E1336,$E1336)=1,1,0))</f>
        <v/>
      </c>
      <c r="AR1336">
        <f>IF($AQ1336=1,SUMPRODUCT(--($AU$2:$AU$1501&lt;$AU1336))+1,"")</f>
        <v/>
      </c>
      <c r="AS1336">
        <f>IF($E1336="","",IF(OR($U1336=TRUE(),$U1336="TRUE"),1,0))</f>
        <v/>
      </c>
      <c r="AT1336">
        <f>IF($E1336="","",IF($AC1336="Yes",1,0))</f>
        <v/>
      </c>
      <c r="AU1336">
        <f>IF($AQ1336=1,IFERROR(IF(VALUE($E1336)&lt;100000000,VALUE($E1336),1000000000),IFERROR(IF(VALUE(MID($E1336,2,20))&lt;100000000,VALUE(MID($E1336,2,20)),1000000000),1000000000))+ROW()/100000,"")</f>
        <v/>
      </c>
    </row>
    <row r="1337">
      <c r="G1337" s="14" t="n"/>
      <c r="Q1337" s="7">
        <f>IF($E1337="","",P1337*Z1337/100)</f>
        <v/>
      </c>
      <c r="R1337" s="7" t="n"/>
      <c r="Y1337" s="7" t="n"/>
      <c r="Z1337" s="7" t="n"/>
      <c r="AA1337" s="7" t="n"/>
      <c r="AD1337">
        <f>IF($E1337="","",IF($AT1337=1,Settings!$C$8,IF($AS1337=1,Settings!$C$6,Settings!$C$7))*100)</f>
        <v/>
      </c>
      <c r="AE1337" s="7">
        <f>IF($E1337="","",Z1337*AD1337/100)</f>
        <v/>
      </c>
      <c r="AF1337" s="7">
        <f>IF($E1337="","",Z1337-AE1337)</f>
        <v/>
      </c>
      <c r="AG1337" s="7">
        <f>IF($E1337="","",AF1337-Q1337)</f>
        <v/>
      </c>
      <c r="AK1337" s="7" t="n"/>
      <c r="AN1337" s="14" t="n"/>
      <c r="AQ1337">
        <f>IF($E1337="","",IF(COUNTIF($E$2:$E1337,$E1337)=1,1,0))</f>
        <v/>
      </c>
      <c r="AR1337">
        <f>IF($AQ1337=1,SUMPRODUCT(--($AU$2:$AU$1501&lt;$AU1337))+1,"")</f>
        <v/>
      </c>
      <c r="AS1337">
        <f>IF($E1337="","",IF(OR($U1337=TRUE(),$U1337="TRUE"),1,0))</f>
        <v/>
      </c>
      <c r="AT1337">
        <f>IF($E1337="","",IF($AC1337="Yes",1,0))</f>
        <v/>
      </c>
      <c r="AU1337">
        <f>IF($AQ1337=1,IFERROR(IF(VALUE($E1337)&lt;100000000,VALUE($E1337),1000000000),IFERROR(IF(VALUE(MID($E1337,2,20))&lt;100000000,VALUE(MID($E1337,2,20)),1000000000),1000000000))+ROW()/100000,"")</f>
        <v/>
      </c>
    </row>
    <row r="1338">
      <c r="G1338" s="14" t="n"/>
      <c r="Q1338" s="7">
        <f>IF($E1338="","",P1338*Z1338/100)</f>
        <v/>
      </c>
      <c r="R1338" s="7" t="n"/>
      <c r="Y1338" s="7" t="n"/>
      <c r="Z1338" s="7" t="n"/>
      <c r="AA1338" s="7" t="n"/>
      <c r="AD1338">
        <f>IF($E1338="","",IF($AT1338=1,Settings!$C$8,IF($AS1338=1,Settings!$C$6,Settings!$C$7))*100)</f>
        <v/>
      </c>
      <c r="AE1338" s="7">
        <f>IF($E1338="","",Z1338*AD1338/100)</f>
        <v/>
      </c>
      <c r="AF1338" s="7">
        <f>IF($E1338="","",Z1338-AE1338)</f>
        <v/>
      </c>
      <c r="AG1338" s="7">
        <f>IF($E1338="","",AF1338-Q1338)</f>
        <v/>
      </c>
      <c r="AK1338" s="7" t="n"/>
      <c r="AN1338" s="14" t="n"/>
      <c r="AQ1338">
        <f>IF($E1338="","",IF(COUNTIF($E$2:$E1338,$E1338)=1,1,0))</f>
        <v/>
      </c>
      <c r="AR1338">
        <f>IF($AQ1338=1,SUMPRODUCT(--($AU$2:$AU$1501&lt;$AU1338))+1,"")</f>
        <v/>
      </c>
      <c r="AS1338">
        <f>IF($E1338="","",IF(OR($U1338=TRUE(),$U1338="TRUE"),1,0))</f>
        <v/>
      </c>
      <c r="AT1338">
        <f>IF($E1338="","",IF($AC1338="Yes",1,0))</f>
        <v/>
      </c>
      <c r="AU1338">
        <f>IF($AQ1338=1,IFERROR(IF(VALUE($E1338)&lt;100000000,VALUE($E1338),1000000000),IFERROR(IF(VALUE(MID($E1338,2,20))&lt;100000000,VALUE(MID($E1338,2,20)),1000000000),1000000000))+ROW()/100000,"")</f>
        <v/>
      </c>
    </row>
    <row r="1339">
      <c r="G1339" s="14" t="n"/>
      <c r="Q1339" s="7">
        <f>IF($E1339="","",P1339*Z1339/100)</f>
        <v/>
      </c>
      <c r="R1339" s="7" t="n"/>
      <c r="Y1339" s="7" t="n"/>
      <c r="Z1339" s="7" t="n"/>
      <c r="AA1339" s="7" t="n"/>
      <c r="AD1339">
        <f>IF($E1339="","",IF($AT1339=1,Settings!$C$8,IF($AS1339=1,Settings!$C$6,Settings!$C$7))*100)</f>
        <v/>
      </c>
      <c r="AE1339" s="7">
        <f>IF($E1339="","",Z1339*AD1339/100)</f>
        <v/>
      </c>
      <c r="AF1339" s="7">
        <f>IF($E1339="","",Z1339-AE1339)</f>
        <v/>
      </c>
      <c r="AG1339" s="7">
        <f>IF($E1339="","",AF1339-Q1339)</f>
        <v/>
      </c>
      <c r="AK1339" s="7" t="n"/>
      <c r="AN1339" s="14" t="n"/>
      <c r="AQ1339">
        <f>IF($E1339="","",IF(COUNTIF($E$2:$E1339,$E1339)=1,1,0))</f>
        <v/>
      </c>
      <c r="AR1339">
        <f>IF($AQ1339=1,SUMPRODUCT(--($AU$2:$AU$1501&lt;$AU1339))+1,"")</f>
        <v/>
      </c>
      <c r="AS1339">
        <f>IF($E1339="","",IF(OR($U1339=TRUE(),$U1339="TRUE"),1,0))</f>
        <v/>
      </c>
      <c r="AT1339">
        <f>IF($E1339="","",IF($AC1339="Yes",1,0))</f>
        <v/>
      </c>
      <c r="AU1339">
        <f>IF($AQ1339=1,IFERROR(IF(VALUE($E1339)&lt;100000000,VALUE($E1339),1000000000),IFERROR(IF(VALUE(MID($E1339,2,20))&lt;100000000,VALUE(MID($E1339,2,20)),1000000000),1000000000))+ROW()/100000,"")</f>
        <v/>
      </c>
    </row>
    <row r="1340">
      <c r="G1340" s="14" t="n"/>
      <c r="Q1340" s="7">
        <f>IF($E1340="","",P1340*Z1340/100)</f>
        <v/>
      </c>
      <c r="R1340" s="7" t="n"/>
      <c r="Y1340" s="7" t="n"/>
      <c r="Z1340" s="7" t="n"/>
      <c r="AA1340" s="7" t="n"/>
      <c r="AD1340">
        <f>IF($E1340="","",IF($AT1340=1,Settings!$C$8,IF($AS1340=1,Settings!$C$6,Settings!$C$7))*100)</f>
        <v/>
      </c>
      <c r="AE1340" s="7">
        <f>IF($E1340="","",Z1340*AD1340/100)</f>
        <v/>
      </c>
      <c r="AF1340" s="7">
        <f>IF($E1340="","",Z1340-AE1340)</f>
        <v/>
      </c>
      <c r="AG1340" s="7">
        <f>IF($E1340="","",AF1340-Q1340)</f>
        <v/>
      </c>
      <c r="AK1340" s="7" t="n"/>
      <c r="AN1340" s="14" t="n"/>
      <c r="AQ1340">
        <f>IF($E1340="","",IF(COUNTIF($E$2:$E1340,$E1340)=1,1,0))</f>
        <v/>
      </c>
      <c r="AR1340">
        <f>IF($AQ1340=1,SUMPRODUCT(--($AU$2:$AU$1501&lt;$AU1340))+1,"")</f>
        <v/>
      </c>
      <c r="AS1340">
        <f>IF($E1340="","",IF(OR($U1340=TRUE(),$U1340="TRUE"),1,0))</f>
        <v/>
      </c>
      <c r="AT1340">
        <f>IF($E1340="","",IF($AC1340="Yes",1,0))</f>
        <v/>
      </c>
      <c r="AU1340">
        <f>IF($AQ1340=1,IFERROR(IF(VALUE($E1340)&lt;100000000,VALUE($E1340),1000000000),IFERROR(IF(VALUE(MID($E1340,2,20))&lt;100000000,VALUE(MID($E1340,2,20)),1000000000),1000000000))+ROW()/100000,"")</f>
        <v/>
      </c>
    </row>
    <row r="1341">
      <c r="G1341" s="14" t="n"/>
      <c r="Q1341" s="7">
        <f>IF($E1341="","",P1341*Z1341/100)</f>
        <v/>
      </c>
      <c r="R1341" s="7" t="n"/>
      <c r="Y1341" s="7" t="n"/>
      <c r="Z1341" s="7" t="n"/>
      <c r="AA1341" s="7" t="n"/>
      <c r="AD1341">
        <f>IF($E1341="","",IF($AT1341=1,Settings!$C$8,IF($AS1341=1,Settings!$C$6,Settings!$C$7))*100)</f>
        <v/>
      </c>
      <c r="AE1341" s="7">
        <f>IF($E1341="","",Z1341*AD1341/100)</f>
        <v/>
      </c>
      <c r="AF1341" s="7">
        <f>IF($E1341="","",Z1341-AE1341)</f>
        <v/>
      </c>
      <c r="AG1341" s="7">
        <f>IF($E1341="","",AF1341-Q1341)</f>
        <v/>
      </c>
      <c r="AK1341" s="7" t="n"/>
      <c r="AN1341" s="14" t="n"/>
      <c r="AQ1341">
        <f>IF($E1341="","",IF(COUNTIF($E$2:$E1341,$E1341)=1,1,0))</f>
        <v/>
      </c>
      <c r="AR1341">
        <f>IF($AQ1341=1,SUMPRODUCT(--($AU$2:$AU$1501&lt;$AU1341))+1,"")</f>
        <v/>
      </c>
      <c r="AS1341">
        <f>IF($E1341="","",IF(OR($U1341=TRUE(),$U1341="TRUE"),1,0))</f>
        <v/>
      </c>
      <c r="AT1341">
        <f>IF($E1341="","",IF($AC1341="Yes",1,0))</f>
        <v/>
      </c>
      <c r="AU1341">
        <f>IF($AQ1341=1,IFERROR(IF(VALUE($E1341)&lt;100000000,VALUE($E1341),1000000000),IFERROR(IF(VALUE(MID($E1341,2,20))&lt;100000000,VALUE(MID($E1341,2,20)),1000000000),1000000000))+ROW()/100000,"")</f>
        <v/>
      </c>
    </row>
    <row r="1342">
      <c r="G1342" s="14" t="n"/>
      <c r="Q1342" s="7">
        <f>IF($E1342="","",P1342*Z1342/100)</f>
        <v/>
      </c>
      <c r="R1342" s="7" t="n"/>
      <c r="Y1342" s="7" t="n"/>
      <c r="Z1342" s="7" t="n"/>
      <c r="AA1342" s="7" t="n"/>
      <c r="AD1342">
        <f>IF($E1342="","",IF($AT1342=1,Settings!$C$8,IF($AS1342=1,Settings!$C$6,Settings!$C$7))*100)</f>
        <v/>
      </c>
      <c r="AE1342" s="7">
        <f>IF($E1342="","",Z1342*AD1342/100)</f>
        <v/>
      </c>
      <c r="AF1342" s="7">
        <f>IF($E1342="","",Z1342-AE1342)</f>
        <v/>
      </c>
      <c r="AG1342" s="7">
        <f>IF($E1342="","",AF1342-Q1342)</f>
        <v/>
      </c>
      <c r="AK1342" s="7" t="n"/>
      <c r="AN1342" s="14" t="n"/>
      <c r="AQ1342">
        <f>IF($E1342="","",IF(COUNTIF($E$2:$E1342,$E1342)=1,1,0))</f>
        <v/>
      </c>
      <c r="AR1342">
        <f>IF($AQ1342=1,SUMPRODUCT(--($AU$2:$AU$1501&lt;$AU1342))+1,"")</f>
        <v/>
      </c>
      <c r="AS1342">
        <f>IF($E1342="","",IF(OR($U1342=TRUE(),$U1342="TRUE"),1,0))</f>
        <v/>
      </c>
      <c r="AT1342">
        <f>IF($E1342="","",IF($AC1342="Yes",1,0))</f>
        <v/>
      </c>
      <c r="AU1342">
        <f>IF($AQ1342=1,IFERROR(IF(VALUE($E1342)&lt;100000000,VALUE($E1342),1000000000),IFERROR(IF(VALUE(MID($E1342,2,20))&lt;100000000,VALUE(MID($E1342,2,20)),1000000000),1000000000))+ROW()/100000,"")</f>
        <v/>
      </c>
    </row>
    <row r="1343">
      <c r="G1343" s="14" t="n"/>
      <c r="Q1343" s="7">
        <f>IF($E1343="","",P1343*Z1343/100)</f>
        <v/>
      </c>
      <c r="R1343" s="7" t="n"/>
      <c r="Y1343" s="7" t="n"/>
      <c r="Z1343" s="7" t="n"/>
      <c r="AA1343" s="7" t="n"/>
      <c r="AD1343">
        <f>IF($E1343="","",IF($AT1343=1,Settings!$C$8,IF($AS1343=1,Settings!$C$6,Settings!$C$7))*100)</f>
        <v/>
      </c>
      <c r="AE1343" s="7">
        <f>IF($E1343="","",Z1343*AD1343/100)</f>
        <v/>
      </c>
      <c r="AF1343" s="7">
        <f>IF($E1343="","",Z1343-AE1343)</f>
        <v/>
      </c>
      <c r="AG1343" s="7">
        <f>IF($E1343="","",AF1343-Q1343)</f>
        <v/>
      </c>
      <c r="AK1343" s="7" t="n"/>
      <c r="AN1343" s="14" t="n"/>
      <c r="AQ1343">
        <f>IF($E1343="","",IF(COUNTIF($E$2:$E1343,$E1343)=1,1,0))</f>
        <v/>
      </c>
      <c r="AR1343">
        <f>IF($AQ1343=1,SUMPRODUCT(--($AU$2:$AU$1501&lt;$AU1343))+1,"")</f>
        <v/>
      </c>
      <c r="AS1343">
        <f>IF($E1343="","",IF(OR($U1343=TRUE(),$U1343="TRUE"),1,0))</f>
        <v/>
      </c>
      <c r="AT1343">
        <f>IF($E1343="","",IF($AC1343="Yes",1,0))</f>
        <v/>
      </c>
      <c r="AU1343">
        <f>IF($AQ1343=1,IFERROR(IF(VALUE($E1343)&lt;100000000,VALUE($E1343),1000000000),IFERROR(IF(VALUE(MID($E1343,2,20))&lt;100000000,VALUE(MID($E1343,2,20)),1000000000),1000000000))+ROW()/100000,"")</f>
        <v/>
      </c>
    </row>
    <row r="1344">
      <c r="G1344" s="14" t="n"/>
      <c r="Q1344" s="7">
        <f>IF($E1344="","",P1344*Z1344/100)</f>
        <v/>
      </c>
      <c r="R1344" s="7" t="n"/>
      <c r="Y1344" s="7" t="n"/>
      <c r="Z1344" s="7" t="n"/>
      <c r="AA1344" s="7" t="n"/>
      <c r="AD1344">
        <f>IF($E1344="","",IF($AT1344=1,Settings!$C$8,IF($AS1344=1,Settings!$C$6,Settings!$C$7))*100)</f>
        <v/>
      </c>
      <c r="AE1344" s="7">
        <f>IF($E1344="","",Z1344*AD1344/100)</f>
        <v/>
      </c>
      <c r="AF1344" s="7">
        <f>IF($E1344="","",Z1344-AE1344)</f>
        <v/>
      </c>
      <c r="AG1344" s="7">
        <f>IF($E1344="","",AF1344-Q1344)</f>
        <v/>
      </c>
      <c r="AK1344" s="7" t="n"/>
      <c r="AN1344" s="14" t="n"/>
      <c r="AQ1344">
        <f>IF($E1344="","",IF(COUNTIF($E$2:$E1344,$E1344)=1,1,0))</f>
        <v/>
      </c>
      <c r="AR1344">
        <f>IF($AQ1344=1,SUMPRODUCT(--($AU$2:$AU$1501&lt;$AU1344))+1,"")</f>
        <v/>
      </c>
      <c r="AS1344">
        <f>IF($E1344="","",IF(OR($U1344=TRUE(),$U1344="TRUE"),1,0))</f>
        <v/>
      </c>
      <c r="AT1344">
        <f>IF($E1344="","",IF($AC1344="Yes",1,0))</f>
        <v/>
      </c>
      <c r="AU1344">
        <f>IF($AQ1344=1,IFERROR(IF(VALUE($E1344)&lt;100000000,VALUE($E1344),1000000000),IFERROR(IF(VALUE(MID($E1344,2,20))&lt;100000000,VALUE(MID($E1344,2,20)),1000000000),1000000000))+ROW()/100000,"")</f>
        <v/>
      </c>
    </row>
    <row r="1345">
      <c r="G1345" s="14" t="n"/>
      <c r="Q1345" s="7">
        <f>IF($E1345="","",P1345*Z1345/100)</f>
        <v/>
      </c>
      <c r="R1345" s="7" t="n"/>
      <c r="Y1345" s="7" t="n"/>
      <c r="Z1345" s="7" t="n"/>
      <c r="AA1345" s="7" t="n"/>
      <c r="AD1345">
        <f>IF($E1345="","",IF($AT1345=1,Settings!$C$8,IF($AS1345=1,Settings!$C$6,Settings!$C$7))*100)</f>
        <v/>
      </c>
      <c r="AE1345" s="7">
        <f>IF($E1345="","",Z1345*AD1345/100)</f>
        <v/>
      </c>
      <c r="AF1345" s="7">
        <f>IF($E1345="","",Z1345-AE1345)</f>
        <v/>
      </c>
      <c r="AG1345" s="7">
        <f>IF($E1345="","",AF1345-Q1345)</f>
        <v/>
      </c>
      <c r="AK1345" s="7" t="n"/>
      <c r="AN1345" s="14" t="n"/>
      <c r="AQ1345">
        <f>IF($E1345="","",IF(COUNTIF($E$2:$E1345,$E1345)=1,1,0))</f>
        <v/>
      </c>
      <c r="AR1345">
        <f>IF($AQ1345=1,SUMPRODUCT(--($AU$2:$AU$1501&lt;$AU1345))+1,"")</f>
        <v/>
      </c>
      <c r="AS1345">
        <f>IF($E1345="","",IF(OR($U1345=TRUE(),$U1345="TRUE"),1,0))</f>
        <v/>
      </c>
      <c r="AT1345">
        <f>IF($E1345="","",IF($AC1345="Yes",1,0))</f>
        <v/>
      </c>
      <c r="AU1345">
        <f>IF($AQ1345=1,IFERROR(IF(VALUE($E1345)&lt;100000000,VALUE($E1345),1000000000),IFERROR(IF(VALUE(MID($E1345,2,20))&lt;100000000,VALUE(MID($E1345,2,20)),1000000000),1000000000))+ROW()/100000,"")</f>
        <v/>
      </c>
    </row>
    <row r="1346">
      <c r="G1346" s="14" t="n"/>
      <c r="Q1346" s="7">
        <f>IF($E1346="","",P1346*Z1346/100)</f>
        <v/>
      </c>
      <c r="R1346" s="7" t="n"/>
      <c r="Y1346" s="7" t="n"/>
      <c r="Z1346" s="7" t="n"/>
      <c r="AA1346" s="7" t="n"/>
      <c r="AD1346">
        <f>IF($E1346="","",IF($AT1346=1,Settings!$C$8,IF($AS1346=1,Settings!$C$6,Settings!$C$7))*100)</f>
        <v/>
      </c>
      <c r="AE1346" s="7">
        <f>IF($E1346="","",Z1346*AD1346/100)</f>
        <v/>
      </c>
      <c r="AF1346" s="7">
        <f>IF($E1346="","",Z1346-AE1346)</f>
        <v/>
      </c>
      <c r="AG1346" s="7">
        <f>IF($E1346="","",AF1346-Q1346)</f>
        <v/>
      </c>
      <c r="AK1346" s="7" t="n"/>
      <c r="AN1346" s="14" t="n"/>
      <c r="AQ1346">
        <f>IF($E1346="","",IF(COUNTIF($E$2:$E1346,$E1346)=1,1,0))</f>
        <v/>
      </c>
      <c r="AR1346">
        <f>IF($AQ1346=1,SUMPRODUCT(--($AU$2:$AU$1501&lt;$AU1346))+1,"")</f>
        <v/>
      </c>
      <c r="AS1346">
        <f>IF($E1346="","",IF(OR($U1346=TRUE(),$U1346="TRUE"),1,0))</f>
        <v/>
      </c>
      <c r="AT1346">
        <f>IF($E1346="","",IF($AC1346="Yes",1,0))</f>
        <v/>
      </c>
      <c r="AU1346">
        <f>IF($AQ1346=1,IFERROR(IF(VALUE($E1346)&lt;100000000,VALUE($E1346),1000000000),IFERROR(IF(VALUE(MID($E1346,2,20))&lt;100000000,VALUE(MID($E1346,2,20)),1000000000),1000000000))+ROW()/100000,"")</f>
        <v/>
      </c>
    </row>
    <row r="1347">
      <c r="G1347" s="14" t="n"/>
      <c r="Q1347" s="7">
        <f>IF($E1347="","",P1347*Z1347/100)</f>
        <v/>
      </c>
      <c r="R1347" s="7" t="n"/>
      <c r="Y1347" s="7" t="n"/>
      <c r="Z1347" s="7" t="n"/>
      <c r="AA1347" s="7" t="n"/>
      <c r="AD1347">
        <f>IF($E1347="","",IF($AT1347=1,Settings!$C$8,IF($AS1347=1,Settings!$C$6,Settings!$C$7))*100)</f>
        <v/>
      </c>
      <c r="AE1347" s="7">
        <f>IF($E1347="","",Z1347*AD1347/100)</f>
        <v/>
      </c>
      <c r="AF1347" s="7">
        <f>IF($E1347="","",Z1347-AE1347)</f>
        <v/>
      </c>
      <c r="AG1347" s="7">
        <f>IF($E1347="","",AF1347-Q1347)</f>
        <v/>
      </c>
      <c r="AK1347" s="7" t="n"/>
      <c r="AN1347" s="14" t="n"/>
      <c r="AQ1347">
        <f>IF($E1347="","",IF(COUNTIF($E$2:$E1347,$E1347)=1,1,0))</f>
        <v/>
      </c>
      <c r="AR1347">
        <f>IF($AQ1347=1,SUMPRODUCT(--($AU$2:$AU$1501&lt;$AU1347))+1,"")</f>
        <v/>
      </c>
      <c r="AS1347">
        <f>IF($E1347="","",IF(OR($U1347=TRUE(),$U1347="TRUE"),1,0))</f>
        <v/>
      </c>
      <c r="AT1347">
        <f>IF($E1347="","",IF($AC1347="Yes",1,0))</f>
        <v/>
      </c>
      <c r="AU1347">
        <f>IF($AQ1347=1,IFERROR(IF(VALUE($E1347)&lt;100000000,VALUE($E1347),1000000000),IFERROR(IF(VALUE(MID($E1347,2,20))&lt;100000000,VALUE(MID($E1347,2,20)),1000000000),1000000000))+ROW()/100000,"")</f>
        <v/>
      </c>
    </row>
    <row r="1348">
      <c r="G1348" s="14" t="n"/>
      <c r="Q1348" s="7">
        <f>IF($E1348="","",P1348*Z1348/100)</f>
        <v/>
      </c>
      <c r="R1348" s="7" t="n"/>
      <c r="Y1348" s="7" t="n"/>
      <c r="Z1348" s="7" t="n"/>
      <c r="AA1348" s="7" t="n"/>
      <c r="AD1348">
        <f>IF($E1348="","",IF($AT1348=1,Settings!$C$8,IF($AS1348=1,Settings!$C$6,Settings!$C$7))*100)</f>
        <v/>
      </c>
      <c r="AE1348" s="7">
        <f>IF($E1348="","",Z1348*AD1348/100)</f>
        <v/>
      </c>
      <c r="AF1348" s="7">
        <f>IF($E1348="","",Z1348-AE1348)</f>
        <v/>
      </c>
      <c r="AG1348" s="7">
        <f>IF($E1348="","",AF1348-Q1348)</f>
        <v/>
      </c>
      <c r="AK1348" s="7" t="n"/>
      <c r="AN1348" s="14" t="n"/>
      <c r="AQ1348">
        <f>IF($E1348="","",IF(COUNTIF($E$2:$E1348,$E1348)=1,1,0))</f>
        <v/>
      </c>
      <c r="AR1348">
        <f>IF($AQ1348=1,SUMPRODUCT(--($AU$2:$AU$1501&lt;$AU1348))+1,"")</f>
        <v/>
      </c>
      <c r="AS1348">
        <f>IF($E1348="","",IF(OR($U1348=TRUE(),$U1348="TRUE"),1,0))</f>
        <v/>
      </c>
      <c r="AT1348">
        <f>IF($E1348="","",IF($AC1348="Yes",1,0))</f>
        <v/>
      </c>
      <c r="AU1348">
        <f>IF($AQ1348=1,IFERROR(IF(VALUE($E1348)&lt;100000000,VALUE($E1348),1000000000),IFERROR(IF(VALUE(MID($E1348,2,20))&lt;100000000,VALUE(MID($E1348,2,20)),1000000000),1000000000))+ROW()/100000,"")</f>
        <v/>
      </c>
    </row>
    <row r="1349">
      <c r="G1349" s="14" t="n"/>
      <c r="Q1349" s="7">
        <f>IF($E1349="","",P1349*Z1349/100)</f>
        <v/>
      </c>
      <c r="R1349" s="7" t="n"/>
      <c r="Y1349" s="7" t="n"/>
      <c r="Z1349" s="7" t="n"/>
      <c r="AA1349" s="7" t="n"/>
      <c r="AD1349">
        <f>IF($E1349="","",IF($AT1349=1,Settings!$C$8,IF($AS1349=1,Settings!$C$6,Settings!$C$7))*100)</f>
        <v/>
      </c>
      <c r="AE1349" s="7">
        <f>IF($E1349="","",Z1349*AD1349/100)</f>
        <v/>
      </c>
      <c r="AF1349" s="7">
        <f>IF($E1349="","",Z1349-AE1349)</f>
        <v/>
      </c>
      <c r="AG1349" s="7">
        <f>IF($E1349="","",AF1349-Q1349)</f>
        <v/>
      </c>
      <c r="AK1349" s="7" t="n"/>
      <c r="AN1349" s="14" t="n"/>
      <c r="AQ1349">
        <f>IF($E1349="","",IF(COUNTIF($E$2:$E1349,$E1349)=1,1,0))</f>
        <v/>
      </c>
      <c r="AR1349">
        <f>IF($AQ1349=1,SUMPRODUCT(--($AU$2:$AU$1501&lt;$AU1349))+1,"")</f>
        <v/>
      </c>
      <c r="AS1349">
        <f>IF($E1349="","",IF(OR($U1349=TRUE(),$U1349="TRUE"),1,0))</f>
        <v/>
      </c>
      <c r="AT1349">
        <f>IF($E1349="","",IF($AC1349="Yes",1,0))</f>
        <v/>
      </c>
      <c r="AU1349">
        <f>IF($AQ1349=1,IFERROR(IF(VALUE($E1349)&lt;100000000,VALUE($E1349),1000000000),IFERROR(IF(VALUE(MID($E1349,2,20))&lt;100000000,VALUE(MID($E1349,2,20)),1000000000),1000000000))+ROW()/100000,"")</f>
        <v/>
      </c>
    </row>
    <row r="1350">
      <c r="G1350" s="14" t="n"/>
      <c r="Q1350" s="7">
        <f>IF($E1350="","",P1350*Z1350/100)</f>
        <v/>
      </c>
      <c r="R1350" s="7" t="n"/>
      <c r="Y1350" s="7" t="n"/>
      <c r="Z1350" s="7" t="n"/>
      <c r="AA1350" s="7" t="n"/>
      <c r="AD1350">
        <f>IF($E1350="","",IF($AT1350=1,Settings!$C$8,IF($AS1350=1,Settings!$C$6,Settings!$C$7))*100)</f>
        <v/>
      </c>
      <c r="AE1350" s="7">
        <f>IF($E1350="","",Z1350*AD1350/100)</f>
        <v/>
      </c>
      <c r="AF1350" s="7">
        <f>IF($E1350="","",Z1350-AE1350)</f>
        <v/>
      </c>
      <c r="AG1350" s="7">
        <f>IF($E1350="","",AF1350-Q1350)</f>
        <v/>
      </c>
      <c r="AK1350" s="7" t="n"/>
      <c r="AN1350" s="14" t="n"/>
      <c r="AQ1350">
        <f>IF($E1350="","",IF(COUNTIF($E$2:$E1350,$E1350)=1,1,0))</f>
        <v/>
      </c>
      <c r="AR1350">
        <f>IF($AQ1350=1,SUMPRODUCT(--($AU$2:$AU$1501&lt;$AU1350))+1,"")</f>
        <v/>
      </c>
      <c r="AS1350">
        <f>IF($E1350="","",IF(OR($U1350=TRUE(),$U1350="TRUE"),1,0))</f>
        <v/>
      </c>
      <c r="AT1350">
        <f>IF($E1350="","",IF($AC1350="Yes",1,0))</f>
        <v/>
      </c>
      <c r="AU1350">
        <f>IF($AQ1350=1,IFERROR(IF(VALUE($E1350)&lt;100000000,VALUE($E1350),1000000000),IFERROR(IF(VALUE(MID($E1350,2,20))&lt;100000000,VALUE(MID($E1350,2,20)),1000000000),1000000000))+ROW()/100000,"")</f>
        <v/>
      </c>
    </row>
    <row r="1351">
      <c r="G1351" s="14" t="n"/>
      <c r="Q1351" s="7">
        <f>IF($E1351="","",P1351*Z1351/100)</f>
        <v/>
      </c>
      <c r="R1351" s="7" t="n"/>
      <c r="Y1351" s="7" t="n"/>
      <c r="Z1351" s="7" t="n"/>
      <c r="AA1351" s="7" t="n"/>
      <c r="AD1351">
        <f>IF($E1351="","",IF($AT1351=1,Settings!$C$8,IF($AS1351=1,Settings!$C$6,Settings!$C$7))*100)</f>
        <v/>
      </c>
      <c r="AE1351" s="7">
        <f>IF($E1351="","",Z1351*AD1351/100)</f>
        <v/>
      </c>
      <c r="AF1351" s="7">
        <f>IF($E1351="","",Z1351-AE1351)</f>
        <v/>
      </c>
      <c r="AG1351" s="7">
        <f>IF($E1351="","",AF1351-Q1351)</f>
        <v/>
      </c>
      <c r="AK1351" s="7" t="n"/>
      <c r="AN1351" s="14" t="n"/>
      <c r="AQ1351">
        <f>IF($E1351="","",IF(COUNTIF($E$2:$E1351,$E1351)=1,1,0))</f>
        <v/>
      </c>
      <c r="AR1351">
        <f>IF($AQ1351=1,SUMPRODUCT(--($AU$2:$AU$1501&lt;$AU1351))+1,"")</f>
        <v/>
      </c>
      <c r="AS1351">
        <f>IF($E1351="","",IF(OR($U1351=TRUE(),$U1351="TRUE"),1,0))</f>
        <v/>
      </c>
      <c r="AT1351">
        <f>IF($E1351="","",IF($AC1351="Yes",1,0))</f>
        <v/>
      </c>
      <c r="AU1351">
        <f>IF($AQ1351=1,IFERROR(IF(VALUE($E1351)&lt;100000000,VALUE($E1351),1000000000),IFERROR(IF(VALUE(MID($E1351,2,20))&lt;100000000,VALUE(MID($E1351,2,20)),1000000000),1000000000))+ROW()/100000,"")</f>
        <v/>
      </c>
    </row>
    <row r="1352">
      <c r="G1352" s="14" t="n"/>
      <c r="Q1352" s="7">
        <f>IF($E1352="","",P1352*Z1352/100)</f>
        <v/>
      </c>
      <c r="R1352" s="7" t="n"/>
      <c r="Y1352" s="7" t="n"/>
      <c r="Z1352" s="7" t="n"/>
      <c r="AA1352" s="7" t="n"/>
      <c r="AD1352">
        <f>IF($E1352="","",IF($AT1352=1,Settings!$C$8,IF($AS1352=1,Settings!$C$6,Settings!$C$7))*100)</f>
        <v/>
      </c>
      <c r="AE1352" s="7">
        <f>IF($E1352="","",Z1352*AD1352/100)</f>
        <v/>
      </c>
      <c r="AF1352" s="7">
        <f>IF($E1352="","",Z1352-AE1352)</f>
        <v/>
      </c>
      <c r="AG1352" s="7">
        <f>IF($E1352="","",AF1352-Q1352)</f>
        <v/>
      </c>
      <c r="AK1352" s="7" t="n"/>
      <c r="AN1352" s="14" t="n"/>
      <c r="AQ1352">
        <f>IF($E1352="","",IF(COUNTIF($E$2:$E1352,$E1352)=1,1,0))</f>
        <v/>
      </c>
      <c r="AR1352">
        <f>IF($AQ1352=1,SUMPRODUCT(--($AU$2:$AU$1501&lt;$AU1352))+1,"")</f>
        <v/>
      </c>
      <c r="AS1352">
        <f>IF($E1352="","",IF(OR($U1352=TRUE(),$U1352="TRUE"),1,0))</f>
        <v/>
      </c>
      <c r="AT1352">
        <f>IF($E1352="","",IF($AC1352="Yes",1,0))</f>
        <v/>
      </c>
      <c r="AU1352">
        <f>IF($AQ1352=1,IFERROR(IF(VALUE($E1352)&lt;100000000,VALUE($E1352),1000000000),IFERROR(IF(VALUE(MID($E1352,2,20))&lt;100000000,VALUE(MID($E1352,2,20)),1000000000),1000000000))+ROW()/100000,"")</f>
        <v/>
      </c>
    </row>
    <row r="1353">
      <c r="G1353" s="14" t="n"/>
      <c r="Q1353" s="7">
        <f>IF($E1353="","",P1353*Z1353/100)</f>
        <v/>
      </c>
      <c r="R1353" s="7" t="n"/>
      <c r="Y1353" s="7" t="n"/>
      <c r="Z1353" s="7" t="n"/>
      <c r="AA1353" s="7" t="n"/>
      <c r="AD1353">
        <f>IF($E1353="","",IF($AT1353=1,Settings!$C$8,IF($AS1353=1,Settings!$C$6,Settings!$C$7))*100)</f>
        <v/>
      </c>
      <c r="AE1353" s="7">
        <f>IF($E1353="","",Z1353*AD1353/100)</f>
        <v/>
      </c>
      <c r="AF1353" s="7">
        <f>IF($E1353="","",Z1353-AE1353)</f>
        <v/>
      </c>
      <c r="AG1353" s="7">
        <f>IF($E1353="","",AF1353-Q1353)</f>
        <v/>
      </c>
      <c r="AK1353" s="7" t="n"/>
      <c r="AN1353" s="14" t="n"/>
      <c r="AQ1353">
        <f>IF($E1353="","",IF(COUNTIF($E$2:$E1353,$E1353)=1,1,0))</f>
        <v/>
      </c>
      <c r="AR1353">
        <f>IF($AQ1353=1,SUMPRODUCT(--($AU$2:$AU$1501&lt;$AU1353))+1,"")</f>
        <v/>
      </c>
      <c r="AS1353">
        <f>IF($E1353="","",IF(OR($U1353=TRUE(),$U1353="TRUE"),1,0))</f>
        <v/>
      </c>
      <c r="AT1353">
        <f>IF($E1353="","",IF($AC1353="Yes",1,0))</f>
        <v/>
      </c>
      <c r="AU1353">
        <f>IF($AQ1353=1,IFERROR(IF(VALUE($E1353)&lt;100000000,VALUE($E1353),1000000000),IFERROR(IF(VALUE(MID($E1353,2,20))&lt;100000000,VALUE(MID($E1353,2,20)),1000000000),1000000000))+ROW()/100000,"")</f>
        <v/>
      </c>
    </row>
    <row r="1354">
      <c r="G1354" s="14" t="n"/>
      <c r="Q1354" s="7">
        <f>IF($E1354="","",P1354*Z1354/100)</f>
        <v/>
      </c>
      <c r="R1354" s="7" t="n"/>
      <c r="Y1354" s="7" t="n"/>
      <c r="Z1354" s="7" t="n"/>
      <c r="AA1354" s="7" t="n"/>
      <c r="AD1354">
        <f>IF($E1354="","",IF($AT1354=1,Settings!$C$8,IF($AS1354=1,Settings!$C$6,Settings!$C$7))*100)</f>
        <v/>
      </c>
      <c r="AE1354" s="7">
        <f>IF($E1354="","",Z1354*AD1354/100)</f>
        <v/>
      </c>
      <c r="AF1354" s="7">
        <f>IF($E1354="","",Z1354-AE1354)</f>
        <v/>
      </c>
      <c r="AG1354" s="7">
        <f>IF($E1354="","",AF1354-Q1354)</f>
        <v/>
      </c>
      <c r="AK1354" s="7" t="n"/>
      <c r="AN1354" s="14" t="n"/>
      <c r="AQ1354">
        <f>IF($E1354="","",IF(COUNTIF($E$2:$E1354,$E1354)=1,1,0))</f>
        <v/>
      </c>
      <c r="AR1354">
        <f>IF($AQ1354=1,SUMPRODUCT(--($AU$2:$AU$1501&lt;$AU1354))+1,"")</f>
        <v/>
      </c>
      <c r="AS1354">
        <f>IF($E1354="","",IF(OR($U1354=TRUE(),$U1354="TRUE"),1,0))</f>
        <v/>
      </c>
      <c r="AT1354">
        <f>IF($E1354="","",IF($AC1354="Yes",1,0))</f>
        <v/>
      </c>
      <c r="AU1354">
        <f>IF($AQ1354=1,IFERROR(IF(VALUE($E1354)&lt;100000000,VALUE($E1354),1000000000),IFERROR(IF(VALUE(MID($E1354,2,20))&lt;100000000,VALUE(MID($E1354,2,20)),1000000000),1000000000))+ROW()/100000,"")</f>
        <v/>
      </c>
    </row>
    <row r="1355">
      <c r="G1355" s="14" t="n"/>
      <c r="Q1355" s="7">
        <f>IF($E1355="","",P1355*Z1355/100)</f>
        <v/>
      </c>
      <c r="R1355" s="7" t="n"/>
      <c r="Y1355" s="7" t="n"/>
      <c r="Z1355" s="7" t="n"/>
      <c r="AA1355" s="7" t="n"/>
      <c r="AD1355">
        <f>IF($E1355="","",IF($AT1355=1,Settings!$C$8,IF($AS1355=1,Settings!$C$6,Settings!$C$7))*100)</f>
        <v/>
      </c>
      <c r="AE1355" s="7">
        <f>IF($E1355="","",Z1355*AD1355/100)</f>
        <v/>
      </c>
      <c r="AF1355" s="7">
        <f>IF($E1355="","",Z1355-AE1355)</f>
        <v/>
      </c>
      <c r="AG1355" s="7">
        <f>IF($E1355="","",AF1355-Q1355)</f>
        <v/>
      </c>
      <c r="AK1355" s="7" t="n"/>
      <c r="AN1355" s="14" t="n"/>
      <c r="AQ1355">
        <f>IF($E1355="","",IF(COUNTIF($E$2:$E1355,$E1355)=1,1,0))</f>
        <v/>
      </c>
      <c r="AR1355">
        <f>IF($AQ1355=1,SUMPRODUCT(--($AU$2:$AU$1501&lt;$AU1355))+1,"")</f>
        <v/>
      </c>
      <c r="AS1355">
        <f>IF($E1355="","",IF(OR($U1355=TRUE(),$U1355="TRUE"),1,0))</f>
        <v/>
      </c>
      <c r="AT1355">
        <f>IF($E1355="","",IF($AC1355="Yes",1,0))</f>
        <v/>
      </c>
      <c r="AU1355">
        <f>IF($AQ1355=1,IFERROR(IF(VALUE($E1355)&lt;100000000,VALUE($E1355),1000000000),IFERROR(IF(VALUE(MID($E1355,2,20))&lt;100000000,VALUE(MID($E1355,2,20)),1000000000),1000000000))+ROW()/100000,"")</f>
        <v/>
      </c>
    </row>
    <row r="1356">
      <c r="G1356" s="14" t="n"/>
      <c r="Q1356" s="7">
        <f>IF($E1356="","",P1356*Z1356/100)</f>
        <v/>
      </c>
      <c r="R1356" s="7" t="n"/>
      <c r="Y1356" s="7" t="n"/>
      <c r="Z1356" s="7" t="n"/>
      <c r="AA1356" s="7" t="n"/>
      <c r="AD1356">
        <f>IF($E1356="","",IF($AT1356=1,Settings!$C$8,IF($AS1356=1,Settings!$C$6,Settings!$C$7))*100)</f>
        <v/>
      </c>
      <c r="AE1356" s="7">
        <f>IF($E1356="","",Z1356*AD1356/100)</f>
        <v/>
      </c>
      <c r="AF1356" s="7">
        <f>IF($E1356="","",Z1356-AE1356)</f>
        <v/>
      </c>
      <c r="AG1356" s="7">
        <f>IF($E1356="","",AF1356-Q1356)</f>
        <v/>
      </c>
      <c r="AK1356" s="7" t="n"/>
      <c r="AN1356" s="14" t="n"/>
      <c r="AQ1356">
        <f>IF($E1356="","",IF(COUNTIF($E$2:$E1356,$E1356)=1,1,0))</f>
        <v/>
      </c>
      <c r="AR1356">
        <f>IF($AQ1356=1,SUMPRODUCT(--($AU$2:$AU$1501&lt;$AU1356))+1,"")</f>
        <v/>
      </c>
      <c r="AS1356">
        <f>IF($E1356="","",IF(OR($U1356=TRUE(),$U1356="TRUE"),1,0))</f>
        <v/>
      </c>
      <c r="AT1356">
        <f>IF($E1356="","",IF($AC1356="Yes",1,0))</f>
        <v/>
      </c>
      <c r="AU1356">
        <f>IF($AQ1356=1,IFERROR(IF(VALUE($E1356)&lt;100000000,VALUE($E1356),1000000000),IFERROR(IF(VALUE(MID($E1356,2,20))&lt;100000000,VALUE(MID($E1356,2,20)),1000000000),1000000000))+ROW()/100000,"")</f>
        <v/>
      </c>
    </row>
    <row r="1357">
      <c r="G1357" s="14" t="n"/>
      <c r="Q1357" s="7">
        <f>IF($E1357="","",P1357*Z1357/100)</f>
        <v/>
      </c>
      <c r="R1357" s="7" t="n"/>
      <c r="Y1357" s="7" t="n"/>
      <c r="Z1357" s="7" t="n"/>
      <c r="AA1357" s="7" t="n"/>
      <c r="AD1357">
        <f>IF($E1357="","",IF($AT1357=1,Settings!$C$8,IF($AS1357=1,Settings!$C$6,Settings!$C$7))*100)</f>
        <v/>
      </c>
      <c r="AE1357" s="7">
        <f>IF($E1357="","",Z1357*AD1357/100)</f>
        <v/>
      </c>
      <c r="AF1357" s="7">
        <f>IF($E1357="","",Z1357-AE1357)</f>
        <v/>
      </c>
      <c r="AG1357" s="7">
        <f>IF($E1357="","",AF1357-Q1357)</f>
        <v/>
      </c>
      <c r="AK1357" s="7" t="n"/>
      <c r="AN1357" s="14" t="n"/>
      <c r="AQ1357">
        <f>IF($E1357="","",IF(COUNTIF($E$2:$E1357,$E1357)=1,1,0))</f>
        <v/>
      </c>
      <c r="AR1357">
        <f>IF($AQ1357=1,SUMPRODUCT(--($AU$2:$AU$1501&lt;$AU1357))+1,"")</f>
        <v/>
      </c>
      <c r="AS1357">
        <f>IF($E1357="","",IF(OR($U1357=TRUE(),$U1357="TRUE"),1,0))</f>
        <v/>
      </c>
      <c r="AT1357">
        <f>IF($E1357="","",IF($AC1357="Yes",1,0))</f>
        <v/>
      </c>
      <c r="AU1357">
        <f>IF($AQ1357=1,IFERROR(IF(VALUE($E1357)&lt;100000000,VALUE($E1357),1000000000),IFERROR(IF(VALUE(MID($E1357,2,20))&lt;100000000,VALUE(MID($E1357,2,20)),1000000000),1000000000))+ROW()/100000,"")</f>
        <v/>
      </c>
    </row>
    <row r="1358">
      <c r="G1358" s="14" t="n"/>
      <c r="Q1358" s="7">
        <f>IF($E1358="","",P1358*Z1358/100)</f>
        <v/>
      </c>
      <c r="R1358" s="7" t="n"/>
      <c r="Y1358" s="7" t="n"/>
      <c r="Z1358" s="7" t="n"/>
      <c r="AA1358" s="7" t="n"/>
      <c r="AD1358">
        <f>IF($E1358="","",IF($AT1358=1,Settings!$C$8,IF($AS1358=1,Settings!$C$6,Settings!$C$7))*100)</f>
        <v/>
      </c>
      <c r="AE1358" s="7">
        <f>IF($E1358="","",Z1358*AD1358/100)</f>
        <v/>
      </c>
      <c r="AF1358" s="7">
        <f>IF($E1358="","",Z1358-AE1358)</f>
        <v/>
      </c>
      <c r="AG1358" s="7">
        <f>IF($E1358="","",AF1358-Q1358)</f>
        <v/>
      </c>
      <c r="AK1358" s="7" t="n"/>
      <c r="AN1358" s="14" t="n"/>
      <c r="AQ1358">
        <f>IF($E1358="","",IF(COUNTIF($E$2:$E1358,$E1358)=1,1,0))</f>
        <v/>
      </c>
      <c r="AR1358">
        <f>IF($AQ1358=1,SUMPRODUCT(--($AU$2:$AU$1501&lt;$AU1358))+1,"")</f>
        <v/>
      </c>
      <c r="AS1358">
        <f>IF($E1358="","",IF(OR($U1358=TRUE(),$U1358="TRUE"),1,0))</f>
        <v/>
      </c>
      <c r="AT1358">
        <f>IF($E1358="","",IF($AC1358="Yes",1,0))</f>
        <v/>
      </c>
      <c r="AU1358">
        <f>IF($AQ1358=1,IFERROR(IF(VALUE($E1358)&lt;100000000,VALUE($E1358),1000000000),IFERROR(IF(VALUE(MID($E1358,2,20))&lt;100000000,VALUE(MID($E1358,2,20)),1000000000),1000000000))+ROW()/100000,"")</f>
        <v/>
      </c>
    </row>
    <row r="1359">
      <c r="G1359" s="14" t="n"/>
      <c r="Q1359" s="7">
        <f>IF($E1359="","",P1359*Z1359/100)</f>
        <v/>
      </c>
      <c r="R1359" s="7" t="n"/>
      <c r="Y1359" s="7" t="n"/>
      <c r="Z1359" s="7" t="n"/>
      <c r="AA1359" s="7" t="n"/>
      <c r="AD1359">
        <f>IF($E1359="","",IF($AT1359=1,Settings!$C$8,IF($AS1359=1,Settings!$C$6,Settings!$C$7))*100)</f>
        <v/>
      </c>
      <c r="AE1359" s="7">
        <f>IF($E1359="","",Z1359*AD1359/100)</f>
        <v/>
      </c>
      <c r="AF1359" s="7">
        <f>IF($E1359="","",Z1359-AE1359)</f>
        <v/>
      </c>
      <c r="AG1359" s="7">
        <f>IF($E1359="","",AF1359-Q1359)</f>
        <v/>
      </c>
      <c r="AK1359" s="7" t="n"/>
      <c r="AN1359" s="14" t="n"/>
      <c r="AQ1359">
        <f>IF($E1359="","",IF(COUNTIF($E$2:$E1359,$E1359)=1,1,0))</f>
        <v/>
      </c>
      <c r="AR1359">
        <f>IF($AQ1359=1,SUMPRODUCT(--($AU$2:$AU$1501&lt;$AU1359))+1,"")</f>
        <v/>
      </c>
      <c r="AS1359">
        <f>IF($E1359="","",IF(OR($U1359=TRUE(),$U1359="TRUE"),1,0))</f>
        <v/>
      </c>
      <c r="AT1359">
        <f>IF($E1359="","",IF($AC1359="Yes",1,0))</f>
        <v/>
      </c>
      <c r="AU1359">
        <f>IF($AQ1359=1,IFERROR(IF(VALUE($E1359)&lt;100000000,VALUE($E1359),1000000000),IFERROR(IF(VALUE(MID($E1359,2,20))&lt;100000000,VALUE(MID($E1359,2,20)),1000000000),1000000000))+ROW()/100000,"")</f>
        <v/>
      </c>
    </row>
    <row r="1360">
      <c r="G1360" s="14" t="n"/>
      <c r="Q1360" s="7">
        <f>IF($E1360="","",P1360*Z1360/100)</f>
        <v/>
      </c>
      <c r="R1360" s="7" t="n"/>
      <c r="Y1360" s="7" t="n"/>
      <c r="Z1360" s="7" t="n"/>
      <c r="AA1360" s="7" t="n"/>
      <c r="AD1360">
        <f>IF($E1360="","",IF($AT1360=1,Settings!$C$8,IF($AS1360=1,Settings!$C$6,Settings!$C$7))*100)</f>
        <v/>
      </c>
      <c r="AE1360" s="7">
        <f>IF($E1360="","",Z1360*AD1360/100)</f>
        <v/>
      </c>
      <c r="AF1360" s="7">
        <f>IF($E1360="","",Z1360-AE1360)</f>
        <v/>
      </c>
      <c r="AG1360" s="7">
        <f>IF($E1360="","",AF1360-Q1360)</f>
        <v/>
      </c>
      <c r="AK1360" s="7" t="n"/>
      <c r="AN1360" s="14" t="n"/>
      <c r="AQ1360">
        <f>IF($E1360="","",IF(COUNTIF($E$2:$E1360,$E1360)=1,1,0))</f>
        <v/>
      </c>
      <c r="AR1360">
        <f>IF($AQ1360=1,SUMPRODUCT(--($AU$2:$AU$1501&lt;$AU1360))+1,"")</f>
        <v/>
      </c>
      <c r="AS1360">
        <f>IF($E1360="","",IF(OR($U1360=TRUE(),$U1360="TRUE"),1,0))</f>
        <v/>
      </c>
      <c r="AT1360">
        <f>IF($E1360="","",IF($AC1360="Yes",1,0))</f>
        <v/>
      </c>
      <c r="AU1360">
        <f>IF($AQ1360=1,IFERROR(IF(VALUE($E1360)&lt;100000000,VALUE($E1360),1000000000),IFERROR(IF(VALUE(MID($E1360,2,20))&lt;100000000,VALUE(MID($E1360,2,20)),1000000000),1000000000))+ROW()/100000,"")</f>
        <v/>
      </c>
    </row>
    <row r="1361">
      <c r="G1361" s="14" t="n"/>
      <c r="Q1361" s="7">
        <f>IF($E1361="","",P1361*Z1361/100)</f>
        <v/>
      </c>
      <c r="R1361" s="7" t="n"/>
      <c r="Y1361" s="7" t="n"/>
      <c r="Z1361" s="7" t="n"/>
      <c r="AA1361" s="7" t="n"/>
      <c r="AD1361">
        <f>IF($E1361="","",IF($AT1361=1,Settings!$C$8,IF($AS1361=1,Settings!$C$6,Settings!$C$7))*100)</f>
        <v/>
      </c>
      <c r="AE1361" s="7">
        <f>IF($E1361="","",Z1361*AD1361/100)</f>
        <v/>
      </c>
      <c r="AF1361" s="7">
        <f>IF($E1361="","",Z1361-AE1361)</f>
        <v/>
      </c>
      <c r="AG1361" s="7">
        <f>IF($E1361="","",AF1361-Q1361)</f>
        <v/>
      </c>
      <c r="AK1361" s="7" t="n"/>
      <c r="AN1361" s="14" t="n"/>
      <c r="AQ1361">
        <f>IF($E1361="","",IF(COUNTIF($E$2:$E1361,$E1361)=1,1,0))</f>
        <v/>
      </c>
      <c r="AR1361">
        <f>IF($AQ1361=1,SUMPRODUCT(--($AU$2:$AU$1501&lt;$AU1361))+1,"")</f>
        <v/>
      </c>
      <c r="AS1361">
        <f>IF($E1361="","",IF(OR($U1361=TRUE(),$U1361="TRUE"),1,0))</f>
        <v/>
      </c>
      <c r="AT1361">
        <f>IF($E1361="","",IF($AC1361="Yes",1,0))</f>
        <v/>
      </c>
      <c r="AU1361">
        <f>IF($AQ1361=1,IFERROR(IF(VALUE($E1361)&lt;100000000,VALUE($E1361),1000000000),IFERROR(IF(VALUE(MID($E1361,2,20))&lt;100000000,VALUE(MID($E1361,2,20)),1000000000),1000000000))+ROW()/100000,"")</f>
        <v/>
      </c>
    </row>
    <row r="1362">
      <c r="G1362" s="14" t="n"/>
      <c r="Q1362" s="7">
        <f>IF($E1362="","",P1362*Z1362/100)</f>
        <v/>
      </c>
      <c r="R1362" s="7" t="n"/>
      <c r="Y1362" s="7" t="n"/>
      <c r="Z1362" s="7" t="n"/>
      <c r="AA1362" s="7" t="n"/>
      <c r="AD1362">
        <f>IF($E1362="","",IF($AT1362=1,Settings!$C$8,IF($AS1362=1,Settings!$C$6,Settings!$C$7))*100)</f>
        <v/>
      </c>
      <c r="AE1362" s="7">
        <f>IF($E1362="","",Z1362*AD1362/100)</f>
        <v/>
      </c>
      <c r="AF1362" s="7">
        <f>IF($E1362="","",Z1362-AE1362)</f>
        <v/>
      </c>
      <c r="AG1362" s="7">
        <f>IF($E1362="","",AF1362-Q1362)</f>
        <v/>
      </c>
      <c r="AK1362" s="7" t="n"/>
      <c r="AN1362" s="14" t="n"/>
      <c r="AQ1362">
        <f>IF($E1362="","",IF(COUNTIF($E$2:$E1362,$E1362)=1,1,0))</f>
        <v/>
      </c>
      <c r="AR1362">
        <f>IF($AQ1362=1,SUMPRODUCT(--($AU$2:$AU$1501&lt;$AU1362))+1,"")</f>
        <v/>
      </c>
      <c r="AS1362">
        <f>IF($E1362="","",IF(OR($U1362=TRUE(),$U1362="TRUE"),1,0))</f>
        <v/>
      </c>
      <c r="AT1362">
        <f>IF($E1362="","",IF($AC1362="Yes",1,0))</f>
        <v/>
      </c>
      <c r="AU1362">
        <f>IF($AQ1362=1,IFERROR(IF(VALUE($E1362)&lt;100000000,VALUE($E1362),1000000000),IFERROR(IF(VALUE(MID($E1362,2,20))&lt;100000000,VALUE(MID($E1362,2,20)),1000000000),1000000000))+ROW()/100000,"")</f>
        <v/>
      </c>
    </row>
    <row r="1363">
      <c r="G1363" s="14" t="n"/>
      <c r="Q1363" s="7">
        <f>IF($E1363="","",P1363*Z1363/100)</f>
        <v/>
      </c>
      <c r="R1363" s="7" t="n"/>
      <c r="Y1363" s="7" t="n"/>
      <c r="Z1363" s="7" t="n"/>
      <c r="AA1363" s="7" t="n"/>
      <c r="AD1363">
        <f>IF($E1363="","",IF($AT1363=1,Settings!$C$8,IF($AS1363=1,Settings!$C$6,Settings!$C$7))*100)</f>
        <v/>
      </c>
      <c r="AE1363" s="7">
        <f>IF($E1363="","",Z1363*AD1363/100)</f>
        <v/>
      </c>
      <c r="AF1363" s="7">
        <f>IF($E1363="","",Z1363-AE1363)</f>
        <v/>
      </c>
      <c r="AG1363" s="7">
        <f>IF($E1363="","",AF1363-Q1363)</f>
        <v/>
      </c>
      <c r="AK1363" s="7" t="n"/>
      <c r="AN1363" s="14" t="n"/>
      <c r="AQ1363">
        <f>IF($E1363="","",IF(COUNTIF($E$2:$E1363,$E1363)=1,1,0))</f>
        <v/>
      </c>
      <c r="AR1363">
        <f>IF($AQ1363=1,SUMPRODUCT(--($AU$2:$AU$1501&lt;$AU1363))+1,"")</f>
        <v/>
      </c>
      <c r="AS1363">
        <f>IF($E1363="","",IF(OR($U1363=TRUE(),$U1363="TRUE"),1,0))</f>
        <v/>
      </c>
      <c r="AT1363">
        <f>IF($E1363="","",IF($AC1363="Yes",1,0))</f>
        <v/>
      </c>
      <c r="AU1363">
        <f>IF($AQ1363=1,IFERROR(IF(VALUE($E1363)&lt;100000000,VALUE($E1363),1000000000),IFERROR(IF(VALUE(MID($E1363,2,20))&lt;100000000,VALUE(MID($E1363,2,20)),1000000000),1000000000))+ROW()/100000,"")</f>
        <v/>
      </c>
    </row>
    <row r="1364">
      <c r="G1364" s="14" t="n"/>
      <c r="Q1364" s="7">
        <f>IF($E1364="","",P1364*Z1364/100)</f>
        <v/>
      </c>
      <c r="R1364" s="7" t="n"/>
      <c r="Y1364" s="7" t="n"/>
      <c r="Z1364" s="7" t="n"/>
      <c r="AA1364" s="7" t="n"/>
      <c r="AD1364">
        <f>IF($E1364="","",IF($AT1364=1,Settings!$C$8,IF($AS1364=1,Settings!$C$6,Settings!$C$7))*100)</f>
        <v/>
      </c>
      <c r="AE1364" s="7">
        <f>IF($E1364="","",Z1364*AD1364/100)</f>
        <v/>
      </c>
      <c r="AF1364" s="7">
        <f>IF($E1364="","",Z1364-AE1364)</f>
        <v/>
      </c>
      <c r="AG1364" s="7">
        <f>IF($E1364="","",AF1364-Q1364)</f>
        <v/>
      </c>
      <c r="AK1364" s="7" t="n"/>
      <c r="AN1364" s="14" t="n"/>
      <c r="AQ1364">
        <f>IF($E1364="","",IF(COUNTIF($E$2:$E1364,$E1364)=1,1,0))</f>
        <v/>
      </c>
      <c r="AR1364">
        <f>IF($AQ1364=1,SUMPRODUCT(--($AU$2:$AU$1501&lt;$AU1364))+1,"")</f>
        <v/>
      </c>
      <c r="AS1364">
        <f>IF($E1364="","",IF(OR($U1364=TRUE(),$U1364="TRUE"),1,0))</f>
        <v/>
      </c>
      <c r="AT1364">
        <f>IF($E1364="","",IF($AC1364="Yes",1,0))</f>
        <v/>
      </c>
      <c r="AU1364">
        <f>IF($AQ1364=1,IFERROR(IF(VALUE($E1364)&lt;100000000,VALUE($E1364),1000000000),IFERROR(IF(VALUE(MID($E1364,2,20))&lt;100000000,VALUE(MID($E1364,2,20)),1000000000),1000000000))+ROW()/100000,"")</f>
        <v/>
      </c>
    </row>
    <row r="1365">
      <c r="G1365" s="14" t="n"/>
      <c r="Q1365" s="7">
        <f>IF($E1365="","",P1365*Z1365/100)</f>
        <v/>
      </c>
      <c r="R1365" s="7" t="n"/>
      <c r="Y1365" s="7" t="n"/>
      <c r="Z1365" s="7" t="n"/>
      <c r="AA1365" s="7" t="n"/>
      <c r="AD1365">
        <f>IF($E1365="","",IF($AT1365=1,Settings!$C$8,IF($AS1365=1,Settings!$C$6,Settings!$C$7))*100)</f>
        <v/>
      </c>
      <c r="AE1365" s="7">
        <f>IF($E1365="","",Z1365*AD1365/100)</f>
        <v/>
      </c>
      <c r="AF1365" s="7">
        <f>IF($E1365="","",Z1365-AE1365)</f>
        <v/>
      </c>
      <c r="AG1365" s="7">
        <f>IF($E1365="","",AF1365-Q1365)</f>
        <v/>
      </c>
      <c r="AK1365" s="7" t="n"/>
      <c r="AN1365" s="14" t="n"/>
      <c r="AQ1365">
        <f>IF($E1365="","",IF(COUNTIF($E$2:$E1365,$E1365)=1,1,0))</f>
        <v/>
      </c>
      <c r="AR1365">
        <f>IF($AQ1365=1,SUMPRODUCT(--($AU$2:$AU$1501&lt;$AU1365))+1,"")</f>
        <v/>
      </c>
      <c r="AS1365">
        <f>IF($E1365="","",IF(OR($U1365=TRUE(),$U1365="TRUE"),1,0))</f>
        <v/>
      </c>
      <c r="AT1365">
        <f>IF($E1365="","",IF($AC1365="Yes",1,0))</f>
        <v/>
      </c>
      <c r="AU1365">
        <f>IF($AQ1365=1,IFERROR(IF(VALUE($E1365)&lt;100000000,VALUE($E1365),1000000000),IFERROR(IF(VALUE(MID($E1365,2,20))&lt;100000000,VALUE(MID($E1365,2,20)),1000000000),1000000000))+ROW()/100000,"")</f>
        <v/>
      </c>
    </row>
    <row r="1366">
      <c r="G1366" s="14" t="n"/>
      <c r="Q1366" s="7">
        <f>IF($E1366="","",P1366*Z1366/100)</f>
        <v/>
      </c>
      <c r="R1366" s="7" t="n"/>
      <c r="Y1366" s="7" t="n"/>
      <c r="Z1366" s="7" t="n"/>
      <c r="AA1366" s="7" t="n"/>
      <c r="AD1366">
        <f>IF($E1366="","",IF($AT1366=1,Settings!$C$8,IF($AS1366=1,Settings!$C$6,Settings!$C$7))*100)</f>
        <v/>
      </c>
      <c r="AE1366" s="7">
        <f>IF($E1366="","",Z1366*AD1366/100)</f>
        <v/>
      </c>
      <c r="AF1366" s="7">
        <f>IF($E1366="","",Z1366-AE1366)</f>
        <v/>
      </c>
      <c r="AG1366" s="7">
        <f>IF($E1366="","",AF1366-Q1366)</f>
        <v/>
      </c>
      <c r="AK1366" s="7" t="n"/>
      <c r="AN1366" s="14" t="n"/>
      <c r="AQ1366">
        <f>IF($E1366="","",IF(COUNTIF($E$2:$E1366,$E1366)=1,1,0))</f>
        <v/>
      </c>
      <c r="AR1366">
        <f>IF($AQ1366=1,SUMPRODUCT(--($AU$2:$AU$1501&lt;$AU1366))+1,"")</f>
        <v/>
      </c>
      <c r="AS1366">
        <f>IF($E1366="","",IF(OR($U1366=TRUE(),$U1366="TRUE"),1,0))</f>
        <v/>
      </c>
      <c r="AT1366">
        <f>IF($E1366="","",IF($AC1366="Yes",1,0))</f>
        <v/>
      </c>
      <c r="AU1366">
        <f>IF($AQ1366=1,IFERROR(IF(VALUE($E1366)&lt;100000000,VALUE($E1366),1000000000),IFERROR(IF(VALUE(MID($E1366,2,20))&lt;100000000,VALUE(MID($E1366,2,20)),1000000000),1000000000))+ROW()/100000,"")</f>
        <v/>
      </c>
    </row>
    <row r="1367">
      <c r="G1367" s="14" t="n"/>
      <c r="Q1367" s="7">
        <f>IF($E1367="","",P1367*Z1367/100)</f>
        <v/>
      </c>
      <c r="R1367" s="7" t="n"/>
      <c r="Y1367" s="7" t="n"/>
      <c r="Z1367" s="7" t="n"/>
      <c r="AA1367" s="7" t="n"/>
      <c r="AD1367">
        <f>IF($E1367="","",IF($AT1367=1,Settings!$C$8,IF($AS1367=1,Settings!$C$6,Settings!$C$7))*100)</f>
        <v/>
      </c>
      <c r="AE1367" s="7">
        <f>IF($E1367="","",Z1367*AD1367/100)</f>
        <v/>
      </c>
      <c r="AF1367" s="7">
        <f>IF($E1367="","",Z1367-AE1367)</f>
        <v/>
      </c>
      <c r="AG1367" s="7">
        <f>IF($E1367="","",AF1367-Q1367)</f>
        <v/>
      </c>
      <c r="AK1367" s="7" t="n"/>
      <c r="AN1367" s="14" t="n"/>
      <c r="AQ1367">
        <f>IF($E1367="","",IF(COUNTIF($E$2:$E1367,$E1367)=1,1,0))</f>
        <v/>
      </c>
      <c r="AR1367">
        <f>IF($AQ1367=1,SUMPRODUCT(--($AU$2:$AU$1501&lt;$AU1367))+1,"")</f>
        <v/>
      </c>
      <c r="AS1367">
        <f>IF($E1367="","",IF(OR($U1367=TRUE(),$U1367="TRUE"),1,0))</f>
        <v/>
      </c>
      <c r="AT1367">
        <f>IF($E1367="","",IF($AC1367="Yes",1,0))</f>
        <v/>
      </c>
      <c r="AU1367">
        <f>IF($AQ1367=1,IFERROR(IF(VALUE($E1367)&lt;100000000,VALUE($E1367),1000000000),IFERROR(IF(VALUE(MID($E1367,2,20))&lt;100000000,VALUE(MID($E1367,2,20)),1000000000),1000000000))+ROW()/100000,"")</f>
        <v/>
      </c>
    </row>
    <row r="1368">
      <c r="G1368" s="14" t="n"/>
      <c r="Q1368" s="7">
        <f>IF($E1368="","",P1368*Z1368/100)</f>
        <v/>
      </c>
      <c r="R1368" s="7" t="n"/>
      <c r="Y1368" s="7" t="n"/>
      <c r="Z1368" s="7" t="n"/>
      <c r="AA1368" s="7" t="n"/>
      <c r="AD1368">
        <f>IF($E1368="","",IF($AT1368=1,Settings!$C$8,IF($AS1368=1,Settings!$C$6,Settings!$C$7))*100)</f>
        <v/>
      </c>
      <c r="AE1368" s="7">
        <f>IF($E1368="","",Z1368*AD1368/100)</f>
        <v/>
      </c>
      <c r="AF1368" s="7">
        <f>IF($E1368="","",Z1368-AE1368)</f>
        <v/>
      </c>
      <c r="AG1368" s="7">
        <f>IF($E1368="","",AF1368-Q1368)</f>
        <v/>
      </c>
      <c r="AK1368" s="7" t="n"/>
      <c r="AN1368" s="14" t="n"/>
      <c r="AQ1368">
        <f>IF($E1368="","",IF(COUNTIF($E$2:$E1368,$E1368)=1,1,0))</f>
        <v/>
      </c>
      <c r="AR1368">
        <f>IF($AQ1368=1,SUMPRODUCT(--($AU$2:$AU$1501&lt;$AU1368))+1,"")</f>
        <v/>
      </c>
      <c r="AS1368">
        <f>IF($E1368="","",IF(OR($U1368=TRUE(),$U1368="TRUE"),1,0))</f>
        <v/>
      </c>
      <c r="AT1368">
        <f>IF($E1368="","",IF($AC1368="Yes",1,0))</f>
        <v/>
      </c>
      <c r="AU1368">
        <f>IF($AQ1368=1,IFERROR(IF(VALUE($E1368)&lt;100000000,VALUE($E1368),1000000000),IFERROR(IF(VALUE(MID($E1368,2,20))&lt;100000000,VALUE(MID($E1368,2,20)),1000000000),1000000000))+ROW()/100000,"")</f>
        <v/>
      </c>
    </row>
    <row r="1369">
      <c r="G1369" s="14" t="n"/>
      <c r="Q1369" s="7">
        <f>IF($E1369="","",P1369*Z1369/100)</f>
        <v/>
      </c>
      <c r="R1369" s="7" t="n"/>
      <c r="Y1369" s="7" t="n"/>
      <c r="Z1369" s="7" t="n"/>
      <c r="AA1369" s="7" t="n"/>
      <c r="AD1369">
        <f>IF($E1369="","",IF($AT1369=1,Settings!$C$8,IF($AS1369=1,Settings!$C$6,Settings!$C$7))*100)</f>
        <v/>
      </c>
      <c r="AE1369" s="7">
        <f>IF($E1369="","",Z1369*AD1369/100)</f>
        <v/>
      </c>
      <c r="AF1369" s="7">
        <f>IF($E1369="","",Z1369-AE1369)</f>
        <v/>
      </c>
      <c r="AG1369" s="7">
        <f>IF($E1369="","",AF1369-Q1369)</f>
        <v/>
      </c>
      <c r="AK1369" s="7" t="n"/>
      <c r="AN1369" s="14" t="n"/>
      <c r="AQ1369">
        <f>IF($E1369="","",IF(COUNTIF($E$2:$E1369,$E1369)=1,1,0))</f>
        <v/>
      </c>
      <c r="AR1369">
        <f>IF($AQ1369=1,SUMPRODUCT(--($AU$2:$AU$1501&lt;$AU1369))+1,"")</f>
        <v/>
      </c>
      <c r="AS1369">
        <f>IF($E1369="","",IF(OR($U1369=TRUE(),$U1369="TRUE"),1,0))</f>
        <v/>
      </c>
      <c r="AT1369">
        <f>IF($E1369="","",IF($AC1369="Yes",1,0))</f>
        <v/>
      </c>
      <c r="AU1369">
        <f>IF($AQ1369=1,IFERROR(IF(VALUE($E1369)&lt;100000000,VALUE($E1369),1000000000),IFERROR(IF(VALUE(MID($E1369,2,20))&lt;100000000,VALUE(MID($E1369,2,20)),1000000000),1000000000))+ROW()/100000,"")</f>
        <v/>
      </c>
    </row>
    <row r="1370">
      <c r="G1370" s="14" t="n"/>
      <c r="Q1370" s="7">
        <f>IF($E1370="","",P1370*Z1370/100)</f>
        <v/>
      </c>
      <c r="R1370" s="7" t="n"/>
      <c r="Y1370" s="7" t="n"/>
      <c r="Z1370" s="7" t="n"/>
      <c r="AA1370" s="7" t="n"/>
      <c r="AD1370">
        <f>IF($E1370="","",IF($AT1370=1,Settings!$C$8,IF($AS1370=1,Settings!$C$6,Settings!$C$7))*100)</f>
        <v/>
      </c>
      <c r="AE1370" s="7">
        <f>IF($E1370="","",Z1370*AD1370/100)</f>
        <v/>
      </c>
      <c r="AF1370" s="7">
        <f>IF($E1370="","",Z1370-AE1370)</f>
        <v/>
      </c>
      <c r="AG1370" s="7">
        <f>IF($E1370="","",AF1370-Q1370)</f>
        <v/>
      </c>
      <c r="AK1370" s="7" t="n"/>
      <c r="AN1370" s="14" t="n"/>
      <c r="AQ1370">
        <f>IF($E1370="","",IF(COUNTIF($E$2:$E1370,$E1370)=1,1,0))</f>
        <v/>
      </c>
      <c r="AR1370">
        <f>IF($AQ1370=1,SUMPRODUCT(--($AU$2:$AU$1501&lt;$AU1370))+1,"")</f>
        <v/>
      </c>
      <c r="AS1370">
        <f>IF($E1370="","",IF(OR($U1370=TRUE(),$U1370="TRUE"),1,0))</f>
        <v/>
      </c>
      <c r="AT1370">
        <f>IF($E1370="","",IF($AC1370="Yes",1,0))</f>
        <v/>
      </c>
      <c r="AU1370">
        <f>IF($AQ1370=1,IFERROR(IF(VALUE($E1370)&lt;100000000,VALUE($E1370),1000000000),IFERROR(IF(VALUE(MID($E1370,2,20))&lt;100000000,VALUE(MID($E1370,2,20)),1000000000),1000000000))+ROW()/100000,"")</f>
        <v/>
      </c>
    </row>
    <row r="1371">
      <c r="G1371" s="14" t="n"/>
      <c r="Q1371" s="7">
        <f>IF($E1371="","",P1371*Z1371/100)</f>
        <v/>
      </c>
      <c r="R1371" s="7" t="n"/>
      <c r="Y1371" s="7" t="n"/>
      <c r="Z1371" s="7" t="n"/>
      <c r="AA1371" s="7" t="n"/>
      <c r="AD1371">
        <f>IF($E1371="","",IF($AT1371=1,Settings!$C$8,IF($AS1371=1,Settings!$C$6,Settings!$C$7))*100)</f>
        <v/>
      </c>
      <c r="AE1371" s="7">
        <f>IF($E1371="","",Z1371*AD1371/100)</f>
        <v/>
      </c>
      <c r="AF1371" s="7">
        <f>IF($E1371="","",Z1371-AE1371)</f>
        <v/>
      </c>
      <c r="AG1371" s="7">
        <f>IF($E1371="","",AF1371-Q1371)</f>
        <v/>
      </c>
      <c r="AK1371" s="7" t="n"/>
      <c r="AN1371" s="14" t="n"/>
      <c r="AQ1371">
        <f>IF($E1371="","",IF(COUNTIF($E$2:$E1371,$E1371)=1,1,0))</f>
        <v/>
      </c>
      <c r="AR1371">
        <f>IF($AQ1371=1,SUMPRODUCT(--($AU$2:$AU$1501&lt;$AU1371))+1,"")</f>
        <v/>
      </c>
      <c r="AS1371">
        <f>IF($E1371="","",IF(OR($U1371=TRUE(),$U1371="TRUE"),1,0))</f>
        <v/>
      </c>
      <c r="AT1371">
        <f>IF($E1371="","",IF($AC1371="Yes",1,0))</f>
        <v/>
      </c>
      <c r="AU1371">
        <f>IF($AQ1371=1,IFERROR(IF(VALUE($E1371)&lt;100000000,VALUE($E1371),1000000000),IFERROR(IF(VALUE(MID($E1371,2,20))&lt;100000000,VALUE(MID($E1371,2,20)),1000000000),1000000000))+ROW()/100000,"")</f>
        <v/>
      </c>
    </row>
    <row r="1372">
      <c r="G1372" s="14" t="n"/>
      <c r="Q1372" s="7">
        <f>IF($E1372="","",P1372*Z1372/100)</f>
        <v/>
      </c>
      <c r="R1372" s="7" t="n"/>
      <c r="Y1372" s="7" t="n"/>
      <c r="Z1372" s="7" t="n"/>
      <c r="AA1372" s="7" t="n"/>
      <c r="AD1372">
        <f>IF($E1372="","",IF($AT1372=1,Settings!$C$8,IF($AS1372=1,Settings!$C$6,Settings!$C$7))*100)</f>
        <v/>
      </c>
      <c r="AE1372" s="7">
        <f>IF($E1372="","",Z1372*AD1372/100)</f>
        <v/>
      </c>
      <c r="AF1372" s="7">
        <f>IF($E1372="","",Z1372-AE1372)</f>
        <v/>
      </c>
      <c r="AG1372" s="7">
        <f>IF($E1372="","",AF1372-Q1372)</f>
        <v/>
      </c>
      <c r="AK1372" s="7" t="n"/>
      <c r="AN1372" s="14" t="n"/>
      <c r="AQ1372">
        <f>IF($E1372="","",IF(COUNTIF($E$2:$E1372,$E1372)=1,1,0))</f>
        <v/>
      </c>
      <c r="AR1372">
        <f>IF($AQ1372=1,SUMPRODUCT(--($AU$2:$AU$1501&lt;$AU1372))+1,"")</f>
        <v/>
      </c>
      <c r="AS1372">
        <f>IF($E1372="","",IF(OR($U1372=TRUE(),$U1372="TRUE"),1,0))</f>
        <v/>
      </c>
      <c r="AT1372">
        <f>IF($E1372="","",IF($AC1372="Yes",1,0))</f>
        <v/>
      </c>
      <c r="AU1372">
        <f>IF($AQ1372=1,IFERROR(IF(VALUE($E1372)&lt;100000000,VALUE($E1372),1000000000),IFERROR(IF(VALUE(MID($E1372,2,20))&lt;100000000,VALUE(MID($E1372,2,20)),1000000000),1000000000))+ROW()/100000,"")</f>
        <v/>
      </c>
    </row>
    <row r="1373">
      <c r="G1373" s="14" t="n"/>
      <c r="Q1373" s="7">
        <f>IF($E1373="","",P1373*Z1373/100)</f>
        <v/>
      </c>
      <c r="R1373" s="7" t="n"/>
      <c r="Y1373" s="7" t="n"/>
      <c r="Z1373" s="7" t="n"/>
      <c r="AA1373" s="7" t="n"/>
      <c r="AD1373">
        <f>IF($E1373="","",IF($AT1373=1,Settings!$C$8,IF($AS1373=1,Settings!$C$6,Settings!$C$7))*100)</f>
        <v/>
      </c>
      <c r="AE1373" s="7">
        <f>IF($E1373="","",Z1373*AD1373/100)</f>
        <v/>
      </c>
      <c r="AF1373" s="7">
        <f>IF($E1373="","",Z1373-AE1373)</f>
        <v/>
      </c>
      <c r="AG1373" s="7">
        <f>IF($E1373="","",AF1373-Q1373)</f>
        <v/>
      </c>
      <c r="AK1373" s="7" t="n"/>
      <c r="AN1373" s="14" t="n"/>
      <c r="AQ1373">
        <f>IF($E1373="","",IF(COUNTIF($E$2:$E1373,$E1373)=1,1,0))</f>
        <v/>
      </c>
      <c r="AR1373">
        <f>IF($AQ1373=1,SUMPRODUCT(--($AU$2:$AU$1501&lt;$AU1373))+1,"")</f>
        <v/>
      </c>
      <c r="AS1373">
        <f>IF($E1373="","",IF(OR($U1373=TRUE(),$U1373="TRUE"),1,0))</f>
        <v/>
      </c>
      <c r="AT1373">
        <f>IF($E1373="","",IF($AC1373="Yes",1,0))</f>
        <v/>
      </c>
      <c r="AU1373">
        <f>IF($AQ1373=1,IFERROR(IF(VALUE($E1373)&lt;100000000,VALUE($E1373),1000000000),IFERROR(IF(VALUE(MID($E1373,2,20))&lt;100000000,VALUE(MID($E1373,2,20)),1000000000),1000000000))+ROW()/100000,"")</f>
        <v/>
      </c>
    </row>
    <row r="1374">
      <c r="G1374" s="14" t="n"/>
      <c r="Q1374" s="7">
        <f>IF($E1374="","",P1374*Z1374/100)</f>
        <v/>
      </c>
      <c r="R1374" s="7" t="n"/>
      <c r="Y1374" s="7" t="n"/>
      <c r="Z1374" s="7" t="n"/>
      <c r="AA1374" s="7" t="n"/>
      <c r="AD1374">
        <f>IF($E1374="","",IF($AT1374=1,Settings!$C$8,IF($AS1374=1,Settings!$C$6,Settings!$C$7))*100)</f>
        <v/>
      </c>
      <c r="AE1374" s="7">
        <f>IF($E1374="","",Z1374*AD1374/100)</f>
        <v/>
      </c>
      <c r="AF1374" s="7">
        <f>IF($E1374="","",Z1374-AE1374)</f>
        <v/>
      </c>
      <c r="AG1374" s="7">
        <f>IF($E1374="","",AF1374-Q1374)</f>
        <v/>
      </c>
      <c r="AK1374" s="7" t="n"/>
      <c r="AN1374" s="14" t="n"/>
      <c r="AQ1374">
        <f>IF($E1374="","",IF(COUNTIF($E$2:$E1374,$E1374)=1,1,0))</f>
        <v/>
      </c>
      <c r="AR1374">
        <f>IF($AQ1374=1,SUMPRODUCT(--($AU$2:$AU$1501&lt;$AU1374))+1,"")</f>
        <v/>
      </c>
      <c r="AS1374">
        <f>IF($E1374="","",IF(OR($U1374=TRUE(),$U1374="TRUE"),1,0))</f>
        <v/>
      </c>
      <c r="AT1374">
        <f>IF($E1374="","",IF($AC1374="Yes",1,0))</f>
        <v/>
      </c>
      <c r="AU1374">
        <f>IF($AQ1374=1,IFERROR(IF(VALUE($E1374)&lt;100000000,VALUE($E1374),1000000000),IFERROR(IF(VALUE(MID($E1374,2,20))&lt;100000000,VALUE(MID($E1374,2,20)),1000000000),1000000000))+ROW()/100000,"")</f>
        <v/>
      </c>
    </row>
    <row r="1375">
      <c r="G1375" s="14" t="n"/>
      <c r="Q1375" s="7">
        <f>IF($E1375="","",P1375*Z1375/100)</f>
        <v/>
      </c>
      <c r="R1375" s="7" t="n"/>
      <c r="Y1375" s="7" t="n"/>
      <c r="Z1375" s="7" t="n"/>
      <c r="AA1375" s="7" t="n"/>
      <c r="AD1375">
        <f>IF($E1375="","",IF($AT1375=1,Settings!$C$8,IF($AS1375=1,Settings!$C$6,Settings!$C$7))*100)</f>
        <v/>
      </c>
      <c r="AE1375" s="7">
        <f>IF($E1375="","",Z1375*AD1375/100)</f>
        <v/>
      </c>
      <c r="AF1375" s="7">
        <f>IF($E1375="","",Z1375-AE1375)</f>
        <v/>
      </c>
      <c r="AG1375" s="7">
        <f>IF($E1375="","",AF1375-Q1375)</f>
        <v/>
      </c>
      <c r="AK1375" s="7" t="n"/>
      <c r="AN1375" s="14" t="n"/>
      <c r="AQ1375">
        <f>IF($E1375="","",IF(COUNTIF($E$2:$E1375,$E1375)=1,1,0))</f>
        <v/>
      </c>
      <c r="AR1375">
        <f>IF($AQ1375=1,SUMPRODUCT(--($AU$2:$AU$1501&lt;$AU1375))+1,"")</f>
        <v/>
      </c>
      <c r="AS1375">
        <f>IF($E1375="","",IF(OR($U1375=TRUE(),$U1375="TRUE"),1,0))</f>
        <v/>
      </c>
      <c r="AT1375">
        <f>IF($E1375="","",IF($AC1375="Yes",1,0))</f>
        <v/>
      </c>
      <c r="AU1375">
        <f>IF($AQ1375=1,IFERROR(IF(VALUE($E1375)&lt;100000000,VALUE($E1375),1000000000),IFERROR(IF(VALUE(MID($E1375,2,20))&lt;100000000,VALUE(MID($E1375,2,20)),1000000000),1000000000))+ROW()/100000,"")</f>
        <v/>
      </c>
    </row>
    <row r="1376">
      <c r="G1376" s="14" t="n"/>
      <c r="Q1376" s="7">
        <f>IF($E1376="","",P1376*Z1376/100)</f>
        <v/>
      </c>
      <c r="R1376" s="7" t="n"/>
      <c r="Y1376" s="7" t="n"/>
      <c r="Z1376" s="7" t="n"/>
      <c r="AA1376" s="7" t="n"/>
      <c r="AD1376">
        <f>IF($E1376="","",IF($AT1376=1,Settings!$C$8,IF($AS1376=1,Settings!$C$6,Settings!$C$7))*100)</f>
        <v/>
      </c>
      <c r="AE1376" s="7">
        <f>IF($E1376="","",Z1376*AD1376/100)</f>
        <v/>
      </c>
      <c r="AF1376" s="7">
        <f>IF($E1376="","",Z1376-AE1376)</f>
        <v/>
      </c>
      <c r="AG1376" s="7">
        <f>IF($E1376="","",AF1376-Q1376)</f>
        <v/>
      </c>
      <c r="AK1376" s="7" t="n"/>
      <c r="AN1376" s="14" t="n"/>
      <c r="AQ1376">
        <f>IF($E1376="","",IF(COUNTIF($E$2:$E1376,$E1376)=1,1,0))</f>
        <v/>
      </c>
      <c r="AR1376">
        <f>IF($AQ1376=1,SUMPRODUCT(--($AU$2:$AU$1501&lt;$AU1376))+1,"")</f>
        <v/>
      </c>
      <c r="AS1376">
        <f>IF($E1376="","",IF(OR($U1376=TRUE(),$U1376="TRUE"),1,0))</f>
        <v/>
      </c>
      <c r="AT1376">
        <f>IF($E1376="","",IF($AC1376="Yes",1,0))</f>
        <v/>
      </c>
      <c r="AU1376">
        <f>IF($AQ1376=1,IFERROR(IF(VALUE($E1376)&lt;100000000,VALUE($E1376),1000000000),IFERROR(IF(VALUE(MID($E1376,2,20))&lt;100000000,VALUE(MID($E1376,2,20)),1000000000),1000000000))+ROW()/100000,"")</f>
        <v/>
      </c>
    </row>
    <row r="1377">
      <c r="G1377" s="14" t="n"/>
      <c r="Q1377" s="7">
        <f>IF($E1377="","",P1377*Z1377/100)</f>
        <v/>
      </c>
      <c r="R1377" s="7" t="n"/>
      <c r="Y1377" s="7" t="n"/>
      <c r="Z1377" s="7" t="n"/>
      <c r="AA1377" s="7" t="n"/>
      <c r="AD1377">
        <f>IF($E1377="","",IF($AT1377=1,Settings!$C$8,IF($AS1377=1,Settings!$C$6,Settings!$C$7))*100)</f>
        <v/>
      </c>
      <c r="AE1377" s="7">
        <f>IF($E1377="","",Z1377*AD1377/100)</f>
        <v/>
      </c>
      <c r="AF1377" s="7">
        <f>IF($E1377="","",Z1377-AE1377)</f>
        <v/>
      </c>
      <c r="AG1377" s="7">
        <f>IF($E1377="","",AF1377-Q1377)</f>
        <v/>
      </c>
      <c r="AK1377" s="7" t="n"/>
      <c r="AN1377" s="14" t="n"/>
      <c r="AQ1377">
        <f>IF($E1377="","",IF(COUNTIF($E$2:$E1377,$E1377)=1,1,0))</f>
        <v/>
      </c>
      <c r="AR1377">
        <f>IF($AQ1377=1,SUMPRODUCT(--($AU$2:$AU$1501&lt;$AU1377))+1,"")</f>
        <v/>
      </c>
      <c r="AS1377">
        <f>IF($E1377="","",IF(OR($U1377=TRUE(),$U1377="TRUE"),1,0))</f>
        <v/>
      </c>
      <c r="AT1377">
        <f>IF($E1377="","",IF($AC1377="Yes",1,0))</f>
        <v/>
      </c>
      <c r="AU1377">
        <f>IF($AQ1377=1,IFERROR(IF(VALUE($E1377)&lt;100000000,VALUE($E1377),1000000000),IFERROR(IF(VALUE(MID($E1377,2,20))&lt;100000000,VALUE(MID($E1377,2,20)),1000000000),1000000000))+ROW()/100000,"")</f>
        <v/>
      </c>
    </row>
    <row r="1378">
      <c r="G1378" s="14" t="n"/>
      <c r="Q1378" s="7">
        <f>IF($E1378="","",P1378*Z1378/100)</f>
        <v/>
      </c>
      <c r="R1378" s="7" t="n"/>
      <c r="Y1378" s="7" t="n"/>
      <c r="Z1378" s="7" t="n"/>
      <c r="AA1378" s="7" t="n"/>
      <c r="AD1378">
        <f>IF($E1378="","",IF($AT1378=1,Settings!$C$8,IF($AS1378=1,Settings!$C$6,Settings!$C$7))*100)</f>
        <v/>
      </c>
      <c r="AE1378" s="7">
        <f>IF($E1378="","",Z1378*AD1378/100)</f>
        <v/>
      </c>
      <c r="AF1378" s="7">
        <f>IF($E1378="","",Z1378-AE1378)</f>
        <v/>
      </c>
      <c r="AG1378" s="7">
        <f>IF($E1378="","",AF1378-Q1378)</f>
        <v/>
      </c>
      <c r="AK1378" s="7" t="n"/>
      <c r="AN1378" s="14" t="n"/>
      <c r="AQ1378">
        <f>IF($E1378="","",IF(COUNTIF($E$2:$E1378,$E1378)=1,1,0))</f>
        <v/>
      </c>
      <c r="AR1378">
        <f>IF($AQ1378=1,SUMPRODUCT(--($AU$2:$AU$1501&lt;$AU1378))+1,"")</f>
        <v/>
      </c>
      <c r="AS1378">
        <f>IF($E1378="","",IF(OR($U1378=TRUE(),$U1378="TRUE"),1,0))</f>
        <v/>
      </c>
      <c r="AT1378">
        <f>IF($E1378="","",IF($AC1378="Yes",1,0))</f>
        <v/>
      </c>
      <c r="AU1378">
        <f>IF($AQ1378=1,IFERROR(IF(VALUE($E1378)&lt;100000000,VALUE($E1378),1000000000),IFERROR(IF(VALUE(MID($E1378,2,20))&lt;100000000,VALUE(MID($E1378,2,20)),1000000000),1000000000))+ROW()/100000,"")</f>
        <v/>
      </c>
    </row>
    <row r="1379">
      <c r="G1379" s="14" t="n"/>
      <c r="Q1379" s="7">
        <f>IF($E1379="","",P1379*Z1379/100)</f>
        <v/>
      </c>
      <c r="R1379" s="7" t="n"/>
      <c r="Y1379" s="7" t="n"/>
      <c r="Z1379" s="7" t="n"/>
      <c r="AA1379" s="7" t="n"/>
      <c r="AD1379">
        <f>IF($E1379="","",IF($AT1379=1,Settings!$C$8,IF($AS1379=1,Settings!$C$6,Settings!$C$7))*100)</f>
        <v/>
      </c>
      <c r="AE1379" s="7">
        <f>IF($E1379="","",Z1379*AD1379/100)</f>
        <v/>
      </c>
      <c r="AF1379" s="7">
        <f>IF($E1379="","",Z1379-AE1379)</f>
        <v/>
      </c>
      <c r="AG1379" s="7">
        <f>IF($E1379="","",AF1379-Q1379)</f>
        <v/>
      </c>
      <c r="AK1379" s="7" t="n"/>
      <c r="AN1379" s="14" t="n"/>
      <c r="AQ1379">
        <f>IF($E1379="","",IF(COUNTIF($E$2:$E1379,$E1379)=1,1,0))</f>
        <v/>
      </c>
      <c r="AR1379">
        <f>IF($AQ1379=1,SUMPRODUCT(--($AU$2:$AU$1501&lt;$AU1379))+1,"")</f>
        <v/>
      </c>
      <c r="AS1379">
        <f>IF($E1379="","",IF(OR($U1379=TRUE(),$U1379="TRUE"),1,0))</f>
        <v/>
      </c>
      <c r="AT1379">
        <f>IF($E1379="","",IF($AC1379="Yes",1,0))</f>
        <v/>
      </c>
      <c r="AU1379">
        <f>IF($AQ1379=1,IFERROR(IF(VALUE($E1379)&lt;100000000,VALUE($E1379),1000000000),IFERROR(IF(VALUE(MID($E1379,2,20))&lt;100000000,VALUE(MID($E1379,2,20)),1000000000),1000000000))+ROW()/100000,"")</f>
        <v/>
      </c>
    </row>
    <row r="1380">
      <c r="G1380" s="14" t="n"/>
      <c r="Q1380" s="7">
        <f>IF($E1380="","",P1380*Z1380/100)</f>
        <v/>
      </c>
      <c r="R1380" s="7" t="n"/>
      <c r="Y1380" s="7" t="n"/>
      <c r="Z1380" s="7" t="n"/>
      <c r="AA1380" s="7" t="n"/>
      <c r="AD1380">
        <f>IF($E1380="","",IF($AT1380=1,Settings!$C$8,IF($AS1380=1,Settings!$C$6,Settings!$C$7))*100)</f>
        <v/>
      </c>
      <c r="AE1380" s="7">
        <f>IF($E1380="","",Z1380*AD1380/100)</f>
        <v/>
      </c>
      <c r="AF1380" s="7">
        <f>IF($E1380="","",Z1380-AE1380)</f>
        <v/>
      </c>
      <c r="AG1380" s="7">
        <f>IF($E1380="","",AF1380-Q1380)</f>
        <v/>
      </c>
      <c r="AK1380" s="7" t="n"/>
      <c r="AN1380" s="14" t="n"/>
      <c r="AQ1380">
        <f>IF($E1380="","",IF(COUNTIF($E$2:$E1380,$E1380)=1,1,0))</f>
        <v/>
      </c>
      <c r="AR1380">
        <f>IF($AQ1380=1,SUMPRODUCT(--($AU$2:$AU$1501&lt;$AU1380))+1,"")</f>
        <v/>
      </c>
      <c r="AS1380">
        <f>IF($E1380="","",IF(OR($U1380=TRUE(),$U1380="TRUE"),1,0))</f>
        <v/>
      </c>
      <c r="AT1380">
        <f>IF($E1380="","",IF($AC1380="Yes",1,0))</f>
        <v/>
      </c>
      <c r="AU1380">
        <f>IF($AQ1380=1,IFERROR(IF(VALUE($E1380)&lt;100000000,VALUE($E1380),1000000000),IFERROR(IF(VALUE(MID($E1380,2,20))&lt;100000000,VALUE(MID($E1380,2,20)),1000000000),1000000000))+ROW()/100000,"")</f>
        <v/>
      </c>
    </row>
    <row r="1381">
      <c r="G1381" s="14" t="n"/>
      <c r="Q1381" s="7">
        <f>IF($E1381="","",P1381*Z1381/100)</f>
        <v/>
      </c>
      <c r="R1381" s="7" t="n"/>
      <c r="Y1381" s="7" t="n"/>
      <c r="Z1381" s="7" t="n"/>
      <c r="AA1381" s="7" t="n"/>
      <c r="AD1381">
        <f>IF($E1381="","",IF($AT1381=1,Settings!$C$8,IF($AS1381=1,Settings!$C$6,Settings!$C$7))*100)</f>
        <v/>
      </c>
      <c r="AE1381" s="7">
        <f>IF($E1381="","",Z1381*AD1381/100)</f>
        <v/>
      </c>
      <c r="AF1381" s="7">
        <f>IF($E1381="","",Z1381-AE1381)</f>
        <v/>
      </c>
      <c r="AG1381" s="7">
        <f>IF($E1381="","",AF1381-Q1381)</f>
        <v/>
      </c>
      <c r="AK1381" s="7" t="n"/>
      <c r="AN1381" s="14" t="n"/>
      <c r="AQ1381">
        <f>IF($E1381="","",IF(COUNTIF($E$2:$E1381,$E1381)=1,1,0))</f>
        <v/>
      </c>
      <c r="AR1381">
        <f>IF($AQ1381=1,SUMPRODUCT(--($AU$2:$AU$1501&lt;$AU1381))+1,"")</f>
        <v/>
      </c>
      <c r="AS1381">
        <f>IF($E1381="","",IF(OR($U1381=TRUE(),$U1381="TRUE"),1,0))</f>
        <v/>
      </c>
      <c r="AT1381">
        <f>IF($E1381="","",IF($AC1381="Yes",1,0))</f>
        <v/>
      </c>
      <c r="AU1381">
        <f>IF($AQ1381=1,IFERROR(IF(VALUE($E1381)&lt;100000000,VALUE($E1381),1000000000),IFERROR(IF(VALUE(MID($E1381,2,20))&lt;100000000,VALUE(MID($E1381,2,20)),1000000000),1000000000))+ROW()/100000,"")</f>
        <v/>
      </c>
    </row>
    <row r="1382">
      <c r="G1382" s="14" t="n"/>
      <c r="Q1382" s="7">
        <f>IF($E1382="","",P1382*Z1382/100)</f>
        <v/>
      </c>
      <c r="R1382" s="7" t="n"/>
      <c r="Y1382" s="7" t="n"/>
      <c r="Z1382" s="7" t="n"/>
      <c r="AA1382" s="7" t="n"/>
      <c r="AD1382">
        <f>IF($E1382="","",IF($AT1382=1,Settings!$C$8,IF($AS1382=1,Settings!$C$6,Settings!$C$7))*100)</f>
        <v/>
      </c>
      <c r="AE1382" s="7">
        <f>IF($E1382="","",Z1382*AD1382/100)</f>
        <v/>
      </c>
      <c r="AF1382" s="7">
        <f>IF($E1382="","",Z1382-AE1382)</f>
        <v/>
      </c>
      <c r="AG1382" s="7">
        <f>IF($E1382="","",AF1382-Q1382)</f>
        <v/>
      </c>
      <c r="AK1382" s="7" t="n"/>
      <c r="AN1382" s="14" t="n"/>
      <c r="AQ1382">
        <f>IF($E1382="","",IF(COUNTIF($E$2:$E1382,$E1382)=1,1,0))</f>
        <v/>
      </c>
      <c r="AR1382">
        <f>IF($AQ1382=1,SUMPRODUCT(--($AU$2:$AU$1501&lt;$AU1382))+1,"")</f>
        <v/>
      </c>
      <c r="AS1382">
        <f>IF($E1382="","",IF(OR($U1382=TRUE(),$U1382="TRUE"),1,0))</f>
        <v/>
      </c>
      <c r="AT1382">
        <f>IF($E1382="","",IF($AC1382="Yes",1,0))</f>
        <v/>
      </c>
      <c r="AU1382">
        <f>IF($AQ1382=1,IFERROR(IF(VALUE($E1382)&lt;100000000,VALUE($E1382),1000000000),IFERROR(IF(VALUE(MID($E1382,2,20))&lt;100000000,VALUE(MID($E1382,2,20)),1000000000),1000000000))+ROW()/100000,"")</f>
        <v/>
      </c>
    </row>
    <row r="1383">
      <c r="G1383" s="14" t="n"/>
      <c r="Q1383" s="7">
        <f>IF($E1383="","",P1383*Z1383/100)</f>
        <v/>
      </c>
      <c r="R1383" s="7" t="n"/>
      <c r="Y1383" s="7" t="n"/>
      <c r="Z1383" s="7" t="n"/>
      <c r="AA1383" s="7" t="n"/>
      <c r="AD1383">
        <f>IF($E1383="","",IF($AT1383=1,Settings!$C$8,IF($AS1383=1,Settings!$C$6,Settings!$C$7))*100)</f>
        <v/>
      </c>
      <c r="AE1383" s="7">
        <f>IF($E1383="","",Z1383*AD1383/100)</f>
        <v/>
      </c>
      <c r="AF1383" s="7">
        <f>IF($E1383="","",Z1383-AE1383)</f>
        <v/>
      </c>
      <c r="AG1383" s="7">
        <f>IF($E1383="","",AF1383-Q1383)</f>
        <v/>
      </c>
      <c r="AK1383" s="7" t="n"/>
      <c r="AN1383" s="14" t="n"/>
      <c r="AQ1383">
        <f>IF($E1383="","",IF(COUNTIF($E$2:$E1383,$E1383)=1,1,0))</f>
        <v/>
      </c>
      <c r="AR1383">
        <f>IF($AQ1383=1,SUMPRODUCT(--($AU$2:$AU$1501&lt;$AU1383))+1,"")</f>
        <v/>
      </c>
      <c r="AS1383">
        <f>IF($E1383="","",IF(OR($U1383=TRUE(),$U1383="TRUE"),1,0))</f>
        <v/>
      </c>
      <c r="AT1383">
        <f>IF($E1383="","",IF($AC1383="Yes",1,0))</f>
        <v/>
      </c>
      <c r="AU1383">
        <f>IF($AQ1383=1,IFERROR(IF(VALUE($E1383)&lt;100000000,VALUE($E1383),1000000000),IFERROR(IF(VALUE(MID($E1383,2,20))&lt;100000000,VALUE(MID($E1383,2,20)),1000000000),1000000000))+ROW()/100000,"")</f>
        <v/>
      </c>
    </row>
    <row r="1384">
      <c r="G1384" s="14" t="n"/>
      <c r="Q1384" s="7">
        <f>IF($E1384="","",P1384*Z1384/100)</f>
        <v/>
      </c>
      <c r="R1384" s="7" t="n"/>
      <c r="Y1384" s="7" t="n"/>
      <c r="Z1384" s="7" t="n"/>
      <c r="AA1384" s="7" t="n"/>
      <c r="AD1384">
        <f>IF($E1384="","",IF($AT1384=1,Settings!$C$8,IF($AS1384=1,Settings!$C$6,Settings!$C$7))*100)</f>
        <v/>
      </c>
      <c r="AE1384" s="7">
        <f>IF($E1384="","",Z1384*AD1384/100)</f>
        <v/>
      </c>
      <c r="AF1384" s="7">
        <f>IF($E1384="","",Z1384-AE1384)</f>
        <v/>
      </c>
      <c r="AG1384" s="7">
        <f>IF($E1384="","",AF1384-Q1384)</f>
        <v/>
      </c>
      <c r="AK1384" s="7" t="n"/>
      <c r="AN1384" s="14" t="n"/>
      <c r="AQ1384">
        <f>IF($E1384="","",IF(COUNTIF($E$2:$E1384,$E1384)=1,1,0))</f>
        <v/>
      </c>
      <c r="AR1384">
        <f>IF($AQ1384=1,SUMPRODUCT(--($AU$2:$AU$1501&lt;$AU1384))+1,"")</f>
        <v/>
      </c>
      <c r="AS1384">
        <f>IF($E1384="","",IF(OR($U1384=TRUE(),$U1384="TRUE"),1,0))</f>
        <v/>
      </c>
      <c r="AT1384">
        <f>IF($E1384="","",IF($AC1384="Yes",1,0))</f>
        <v/>
      </c>
      <c r="AU1384">
        <f>IF($AQ1384=1,IFERROR(IF(VALUE($E1384)&lt;100000000,VALUE($E1384),1000000000),IFERROR(IF(VALUE(MID($E1384,2,20))&lt;100000000,VALUE(MID($E1384,2,20)),1000000000),1000000000))+ROW()/100000,"")</f>
        <v/>
      </c>
    </row>
    <row r="1385">
      <c r="G1385" s="14" t="n"/>
      <c r="Q1385" s="7">
        <f>IF($E1385="","",P1385*Z1385/100)</f>
        <v/>
      </c>
      <c r="R1385" s="7" t="n"/>
      <c r="Y1385" s="7" t="n"/>
      <c r="Z1385" s="7" t="n"/>
      <c r="AA1385" s="7" t="n"/>
      <c r="AD1385">
        <f>IF($E1385="","",IF($AT1385=1,Settings!$C$8,IF($AS1385=1,Settings!$C$6,Settings!$C$7))*100)</f>
        <v/>
      </c>
      <c r="AE1385" s="7">
        <f>IF($E1385="","",Z1385*AD1385/100)</f>
        <v/>
      </c>
      <c r="AF1385" s="7">
        <f>IF($E1385="","",Z1385-AE1385)</f>
        <v/>
      </c>
      <c r="AG1385" s="7">
        <f>IF($E1385="","",AF1385-Q1385)</f>
        <v/>
      </c>
      <c r="AK1385" s="7" t="n"/>
      <c r="AN1385" s="14" t="n"/>
      <c r="AQ1385">
        <f>IF($E1385="","",IF(COUNTIF($E$2:$E1385,$E1385)=1,1,0))</f>
        <v/>
      </c>
      <c r="AR1385">
        <f>IF($AQ1385=1,SUMPRODUCT(--($AU$2:$AU$1501&lt;$AU1385))+1,"")</f>
        <v/>
      </c>
      <c r="AS1385">
        <f>IF($E1385="","",IF(OR($U1385=TRUE(),$U1385="TRUE"),1,0))</f>
        <v/>
      </c>
      <c r="AT1385">
        <f>IF($E1385="","",IF($AC1385="Yes",1,0))</f>
        <v/>
      </c>
      <c r="AU1385">
        <f>IF($AQ1385=1,IFERROR(IF(VALUE($E1385)&lt;100000000,VALUE($E1385),1000000000),IFERROR(IF(VALUE(MID($E1385,2,20))&lt;100000000,VALUE(MID($E1385,2,20)),1000000000),1000000000))+ROW()/100000,"")</f>
        <v/>
      </c>
    </row>
    <row r="1386">
      <c r="G1386" s="14" t="n"/>
      <c r="Q1386" s="7">
        <f>IF($E1386="","",P1386*Z1386/100)</f>
        <v/>
      </c>
      <c r="R1386" s="7" t="n"/>
      <c r="Y1386" s="7" t="n"/>
      <c r="Z1386" s="7" t="n"/>
      <c r="AA1386" s="7" t="n"/>
      <c r="AD1386">
        <f>IF($E1386="","",IF($AT1386=1,Settings!$C$8,IF($AS1386=1,Settings!$C$6,Settings!$C$7))*100)</f>
        <v/>
      </c>
      <c r="AE1386" s="7">
        <f>IF($E1386="","",Z1386*AD1386/100)</f>
        <v/>
      </c>
      <c r="AF1386" s="7">
        <f>IF($E1386="","",Z1386-AE1386)</f>
        <v/>
      </c>
      <c r="AG1386" s="7">
        <f>IF($E1386="","",AF1386-Q1386)</f>
        <v/>
      </c>
      <c r="AK1386" s="7" t="n"/>
      <c r="AN1386" s="14" t="n"/>
      <c r="AQ1386">
        <f>IF($E1386="","",IF(COUNTIF($E$2:$E1386,$E1386)=1,1,0))</f>
        <v/>
      </c>
      <c r="AR1386">
        <f>IF($AQ1386=1,SUMPRODUCT(--($AU$2:$AU$1501&lt;$AU1386))+1,"")</f>
        <v/>
      </c>
      <c r="AS1386">
        <f>IF($E1386="","",IF(OR($U1386=TRUE(),$U1386="TRUE"),1,0))</f>
        <v/>
      </c>
      <c r="AT1386">
        <f>IF($E1386="","",IF($AC1386="Yes",1,0))</f>
        <v/>
      </c>
      <c r="AU1386">
        <f>IF($AQ1386=1,IFERROR(IF(VALUE($E1386)&lt;100000000,VALUE($E1386),1000000000),IFERROR(IF(VALUE(MID($E1386,2,20))&lt;100000000,VALUE(MID($E1386,2,20)),1000000000),1000000000))+ROW()/100000,"")</f>
        <v/>
      </c>
    </row>
    <row r="1387">
      <c r="G1387" s="14" t="n"/>
      <c r="Q1387" s="7">
        <f>IF($E1387="","",P1387*Z1387/100)</f>
        <v/>
      </c>
      <c r="R1387" s="7" t="n"/>
      <c r="Y1387" s="7" t="n"/>
      <c r="Z1387" s="7" t="n"/>
      <c r="AA1387" s="7" t="n"/>
      <c r="AD1387">
        <f>IF($E1387="","",IF($AT1387=1,Settings!$C$8,IF($AS1387=1,Settings!$C$6,Settings!$C$7))*100)</f>
        <v/>
      </c>
      <c r="AE1387" s="7">
        <f>IF($E1387="","",Z1387*AD1387/100)</f>
        <v/>
      </c>
      <c r="AF1387" s="7">
        <f>IF($E1387="","",Z1387-AE1387)</f>
        <v/>
      </c>
      <c r="AG1387" s="7">
        <f>IF($E1387="","",AF1387-Q1387)</f>
        <v/>
      </c>
      <c r="AK1387" s="7" t="n"/>
      <c r="AN1387" s="14" t="n"/>
      <c r="AQ1387">
        <f>IF($E1387="","",IF(COUNTIF($E$2:$E1387,$E1387)=1,1,0))</f>
        <v/>
      </c>
      <c r="AR1387">
        <f>IF($AQ1387=1,SUMPRODUCT(--($AU$2:$AU$1501&lt;$AU1387))+1,"")</f>
        <v/>
      </c>
      <c r="AS1387">
        <f>IF($E1387="","",IF(OR($U1387=TRUE(),$U1387="TRUE"),1,0))</f>
        <v/>
      </c>
      <c r="AT1387">
        <f>IF($E1387="","",IF($AC1387="Yes",1,0))</f>
        <v/>
      </c>
      <c r="AU1387">
        <f>IF($AQ1387=1,IFERROR(IF(VALUE($E1387)&lt;100000000,VALUE($E1387),1000000000),IFERROR(IF(VALUE(MID($E1387,2,20))&lt;100000000,VALUE(MID($E1387,2,20)),1000000000),1000000000))+ROW()/100000,"")</f>
        <v/>
      </c>
    </row>
    <row r="1388">
      <c r="G1388" s="14" t="n"/>
      <c r="Q1388" s="7">
        <f>IF($E1388="","",P1388*Z1388/100)</f>
        <v/>
      </c>
      <c r="R1388" s="7" t="n"/>
      <c r="Y1388" s="7" t="n"/>
      <c r="Z1388" s="7" t="n"/>
      <c r="AA1388" s="7" t="n"/>
      <c r="AD1388">
        <f>IF($E1388="","",IF($AT1388=1,Settings!$C$8,IF($AS1388=1,Settings!$C$6,Settings!$C$7))*100)</f>
        <v/>
      </c>
      <c r="AE1388" s="7">
        <f>IF($E1388="","",Z1388*AD1388/100)</f>
        <v/>
      </c>
      <c r="AF1388" s="7">
        <f>IF($E1388="","",Z1388-AE1388)</f>
        <v/>
      </c>
      <c r="AG1388" s="7">
        <f>IF($E1388="","",AF1388-Q1388)</f>
        <v/>
      </c>
      <c r="AK1388" s="7" t="n"/>
      <c r="AN1388" s="14" t="n"/>
      <c r="AQ1388">
        <f>IF($E1388="","",IF(COUNTIF($E$2:$E1388,$E1388)=1,1,0))</f>
        <v/>
      </c>
      <c r="AR1388">
        <f>IF($AQ1388=1,SUMPRODUCT(--($AU$2:$AU$1501&lt;$AU1388))+1,"")</f>
        <v/>
      </c>
      <c r="AS1388">
        <f>IF($E1388="","",IF(OR($U1388=TRUE(),$U1388="TRUE"),1,0))</f>
        <v/>
      </c>
      <c r="AT1388">
        <f>IF($E1388="","",IF($AC1388="Yes",1,0))</f>
        <v/>
      </c>
      <c r="AU1388">
        <f>IF($AQ1388=1,IFERROR(IF(VALUE($E1388)&lt;100000000,VALUE($E1388),1000000000),IFERROR(IF(VALUE(MID($E1388,2,20))&lt;100000000,VALUE(MID($E1388,2,20)),1000000000),1000000000))+ROW()/100000,"")</f>
        <v/>
      </c>
    </row>
    <row r="1389">
      <c r="G1389" s="14" t="n"/>
      <c r="Q1389" s="7">
        <f>IF($E1389="","",P1389*Z1389/100)</f>
        <v/>
      </c>
      <c r="R1389" s="7" t="n"/>
      <c r="Y1389" s="7" t="n"/>
      <c r="Z1389" s="7" t="n"/>
      <c r="AA1389" s="7" t="n"/>
      <c r="AD1389">
        <f>IF($E1389="","",IF($AT1389=1,Settings!$C$8,IF($AS1389=1,Settings!$C$6,Settings!$C$7))*100)</f>
        <v/>
      </c>
      <c r="AE1389" s="7">
        <f>IF($E1389="","",Z1389*AD1389/100)</f>
        <v/>
      </c>
      <c r="AF1389" s="7">
        <f>IF($E1389="","",Z1389-AE1389)</f>
        <v/>
      </c>
      <c r="AG1389" s="7">
        <f>IF($E1389="","",AF1389-Q1389)</f>
        <v/>
      </c>
      <c r="AK1389" s="7" t="n"/>
      <c r="AN1389" s="14" t="n"/>
      <c r="AQ1389">
        <f>IF($E1389="","",IF(COUNTIF($E$2:$E1389,$E1389)=1,1,0))</f>
        <v/>
      </c>
      <c r="AR1389">
        <f>IF($AQ1389=1,SUMPRODUCT(--($AU$2:$AU$1501&lt;$AU1389))+1,"")</f>
        <v/>
      </c>
      <c r="AS1389">
        <f>IF($E1389="","",IF(OR($U1389=TRUE(),$U1389="TRUE"),1,0))</f>
        <v/>
      </c>
      <c r="AT1389">
        <f>IF($E1389="","",IF($AC1389="Yes",1,0))</f>
        <v/>
      </c>
      <c r="AU1389">
        <f>IF($AQ1389=1,IFERROR(IF(VALUE($E1389)&lt;100000000,VALUE($E1389),1000000000),IFERROR(IF(VALUE(MID($E1389,2,20))&lt;100000000,VALUE(MID($E1389,2,20)),1000000000),1000000000))+ROW()/100000,"")</f>
        <v/>
      </c>
    </row>
    <row r="1390">
      <c r="G1390" s="14" t="n"/>
      <c r="Q1390" s="7">
        <f>IF($E1390="","",P1390*Z1390/100)</f>
        <v/>
      </c>
      <c r="R1390" s="7" t="n"/>
      <c r="Y1390" s="7" t="n"/>
      <c r="Z1390" s="7" t="n"/>
      <c r="AA1390" s="7" t="n"/>
      <c r="AD1390">
        <f>IF($E1390="","",IF($AT1390=1,Settings!$C$8,IF($AS1390=1,Settings!$C$6,Settings!$C$7))*100)</f>
        <v/>
      </c>
      <c r="AE1390" s="7">
        <f>IF($E1390="","",Z1390*AD1390/100)</f>
        <v/>
      </c>
      <c r="AF1390" s="7">
        <f>IF($E1390="","",Z1390-AE1390)</f>
        <v/>
      </c>
      <c r="AG1390" s="7">
        <f>IF($E1390="","",AF1390-Q1390)</f>
        <v/>
      </c>
      <c r="AK1390" s="7" t="n"/>
      <c r="AN1390" s="14" t="n"/>
      <c r="AQ1390">
        <f>IF($E1390="","",IF(COUNTIF($E$2:$E1390,$E1390)=1,1,0))</f>
        <v/>
      </c>
      <c r="AR1390">
        <f>IF($AQ1390=1,SUMPRODUCT(--($AU$2:$AU$1501&lt;$AU1390))+1,"")</f>
        <v/>
      </c>
      <c r="AS1390">
        <f>IF($E1390="","",IF(OR($U1390=TRUE(),$U1390="TRUE"),1,0))</f>
        <v/>
      </c>
      <c r="AT1390">
        <f>IF($E1390="","",IF($AC1390="Yes",1,0))</f>
        <v/>
      </c>
      <c r="AU1390">
        <f>IF($AQ1390=1,IFERROR(IF(VALUE($E1390)&lt;100000000,VALUE($E1390),1000000000),IFERROR(IF(VALUE(MID($E1390,2,20))&lt;100000000,VALUE(MID($E1390,2,20)),1000000000),1000000000))+ROW()/100000,"")</f>
        <v/>
      </c>
    </row>
    <row r="1391">
      <c r="G1391" s="14" t="n"/>
      <c r="Q1391" s="7">
        <f>IF($E1391="","",P1391*Z1391/100)</f>
        <v/>
      </c>
      <c r="R1391" s="7" t="n"/>
      <c r="Y1391" s="7" t="n"/>
      <c r="Z1391" s="7" t="n"/>
      <c r="AA1391" s="7" t="n"/>
      <c r="AD1391">
        <f>IF($E1391="","",IF($AT1391=1,Settings!$C$8,IF($AS1391=1,Settings!$C$6,Settings!$C$7))*100)</f>
        <v/>
      </c>
      <c r="AE1391" s="7">
        <f>IF($E1391="","",Z1391*AD1391/100)</f>
        <v/>
      </c>
      <c r="AF1391" s="7">
        <f>IF($E1391="","",Z1391-AE1391)</f>
        <v/>
      </c>
      <c r="AG1391" s="7">
        <f>IF($E1391="","",AF1391-Q1391)</f>
        <v/>
      </c>
      <c r="AK1391" s="7" t="n"/>
      <c r="AN1391" s="14" t="n"/>
      <c r="AQ1391">
        <f>IF($E1391="","",IF(COUNTIF($E$2:$E1391,$E1391)=1,1,0))</f>
        <v/>
      </c>
      <c r="AR1391">
        <f>IF($AQ1391=1,SUMPRODUCT(--($AU$2:$AU$1501&lt;$AU1391))+1,"")</f>
        <v/>
      </c>
      <c r="AS1391">
        <f>IF($E1391="","",IF(OR($U1391=TRUE(),$U1391="TRUE"),1,0))</f>
        <v/>
      </c>
      <c r="AT1391">
        <f>IF($E1391="","",IF($AC1391="Yes",1,0))</f>
        <v/>
      </c>
      <c r="AU1391">
        <f>IF($AQ1391=1,IFERROR(IF(VALUE($E1391)&lt;100000000,VALUE($E1391),1000000000),IFERROR(IF(VALUE(MID($E1391,2,20))&lt;100000000,VALUE(MID($E1391,2,20)),1000000000),1000000000))+ROW()/100000,"")</f>
        <v/>
      </c>
    </row>
    <row r="1392">
      <c r="G1392" s="14" t="n"/>
      <c r="Q1392" s="7">
        <f>IF($E1392="","",P1392*Z1392/100)</f>
        <v/>
      </c>
      <c r="R1392" s="7" t="n"/>
      <c r="Y1392" s="7" t="n"/>
      <c r="Z1392" s="7" t="n"/>
      <c r="AA1392" s="7" t="n"/>
      <c r="AD1392">
        <f>IF($E1392="","",IF($AT1392=1,Settings!$C$8,IF($AS1392=1,Settings!$C$6,Settings!$C$7))*100)</f>
        <v/>
      </c>
      <c r="AE1392" s="7">
        <f>IF($E1392="","",Z1392*AD1392/100)</f>
        <v/>
      </c>
      <c r="AF1392" s="7">
        <f>IF($E1392="","",Z1392-AE1392)</f>
        <v/>
      </c>
      <c r="AG1392" s="7">
        <f>IF($E1392="","",AF1392-Q1392)</f>
        <v/>
      </c>
      <c r="AK1392" s="7" t="n"/>
      <c r="AN1392" s="14" t="n"/>
      <c r="AQ1392">
        <f>IF($E1392="","",IF(COUNTIF($E$2:$E1392,$E1392)=1,1,0))</f>
        <v/>
      </c>
      <c r="AR1392">
        <f>IF($AQ1392=1,SUMPRODUCT(--($AU$2:$AU$1501&lt;$AU1392))+1,"")</f>
        <v/>
      </c>
      <c r="AS1392">
        <f>IF($E1392="","",IF(OR($U1392=TRUE(),$U1392="TRUE"),1,0))</f>
        <v/>
      </c>
      <c r="AT1392">
        <f>IF($E1392="","",IF($AC1392="Yes",1,0))</f>
        <v/>
      </c>
      <c r="AU1392">
        <f>IF($AQ1392=1,IFERROR(IF(VALUE($E1392)&lt;100000000,VALUE($E1392),1000000000),IFERROR(IF(VALUE(MID($E1392,2,20))&lt;100000000,VALUE(MID($E1392,2,20)),1000000000),1000000000))+ROW()/100000,"")</f>
        <v/>
      </c>
    </row>
    <row r="1393">
      <c r="G1393" s="14" t="n"/>
      <c r="Q1393" s="7">
        <f>IF($E1393="","",P1393*Z1393/100)</f>
        <v/>
      </c>
      <c r="R1393" s="7" t="n"/>
      <c r="Y1393" s="7" t="n"/>
      <c r="Z1393" s="7" t="n"/>
      <c r="AA1393" s="7" t="n"/>
      <c r="AD1393">
        <f>IF($E1393="","",IF($AT1393=1,Settings!$C$8,IF($AS1393=1,Settings!$C$6,Settings!$C$7))*100)</f>
        <v/>
      </c>
      <c r="AE1393" s="7">
        <f>IF($E1393="","",Z1393*AD1393/100)</f>
        <v/>
      </c>
      <c r="AF1393" s="7">
        <f>IF($E1393="","",Z1393-AE1393)</f>
        <v/>
      </c>
      <c r="AG1393" s="7">
        <f>IF($E1393="","",AF1393-Q1393)</f>
        <v/>
      </c>
      <c r="AK1393" s="7" t="n"/>
      <c r="AN1393" s="14" t="n"/>
      <c r="AQ1393">
        <f>IF($E1393="","",IF(COUNTIF($E$2:$E1393,$E1393)=1,1,0))</f>
        <v/>
      </c>
      <c r="AR1393">
        <f>IF($AQ1393=1,SUMPRODUCT(--($AU$2:$AU$1501&lt;$AU1393))+1,"")</f>
        <v/>
      </c>
      <c r="AS1393">
        <f>IF($E1393="","",IF(OR($U1393=TRUE(),$U1393="TRUE"),1,0))</f>
        <v/>
      </c>
      <c r="AT1393">
        <f>IF($E1393="","",IF($AC1393="Yes",1,0))</f>
        <v/>
      </c>
      <c r="AU1393">
        <f>IF($AQ1393=1,IFERROR(IF(VALUE($E1393)&lt;100000000,VALUE($E1393),1000000000),IFERROR(IF(VALUE(MID($E1393,2,20))&lt;100000000,VALUE(MID($E1393,2,20)),1000000000),1000000000))+ROW()/100000,"")</f>
        <v/>
      </c>
    </row>
    <row r="1394">
      <c r="G1394" s="14" t="n"/>
      <c r="Q1394" s="7">
        <f>IF($E1394="","",P1394*Z1394/100)</f>
        <v/>
      </c>
      <c r="R1394" s="7" t="n"/>
      <c r="Y1394" s="7" t="n"/>
      <c r="Z1394" s="7" t="n"/>
      <c r="AA1394" s="7" t="n"/>
      <c r="AD1394">
        <f>IF($E1394="","",IF($AT1394=1,Settings!$C$8,IF($AS1394=1,Settings!$C$6,Settings!$C$7))*100)</f>
        <v/>
      </c>
      <c r="AE1394" s="7">
        <f>IF($E1394="","",Z1394*AD1394/100)</f>
        <v/>
      </c>
      <c r="AF1394" s="7">
        <f>IF($E1394="","",Z1394-AE1394)</f>
        <v/>
      </c>
      <c r="AG1394" s="7">
        <f>IF($E1394="","",AF1394-Q1394)</f>
        <v/>
      </c>
      <c r="AK1394" s="7" t="n"/>
      <c r="AN1394" s="14" t="n"/>
      <c r="AQ1394">
        <f>IF($E1394="","",IF(COUNTIF($E$2:$E1394,$E1394)=1,1,0))</f>
        <v/>
      </c>
      <c r="AR1394">
        <f>IF($AQ1394=1,SUMPRODUCT(--($AU$2:$AU$1501&lt;$AU1394))+1,"")</f>
        <v/>
      </c>
      <c r="AS1394">
        <f>IF($E1394="","",IF(OR($U1394=TRUE(),$U1394="TRUE"),1,0))</f>
        <v/>
      </c>
      <c r="AT1394">
        <f>IF($E1394="","",IF($AC1394="Yes",1,0))</f>
        <v/>
      </c>
      <c r="AU1394">
        <f>IF($AQ1394=1,IFERROR(IF(VALUE($E1394)&lt;100000000,VALUE($E1394),1000000000),IFERROR(IF(VALUE(MID($E1394,2,20))&lt;100000000,VALUE(MID($E1394,2,20)),1000000000),1000000000))+ROW()/100000,"")</f>
        <v/>
      </c>
    </row>
    <row r="1395">
      <c r="G1395" s="14" t="n"/>
      <c r="Q1395" s="7">
        <f>IF($E1395="","",P1395*Z1395/100)</f>
        <v/>
      </c>
      <c r="R1395" s="7" t="n"/>
      <c r="Y1395" s="7" t="n"/>
      <c r="Z1395" s="7" t="n"/>
      <c r="AA1395" s="7" t="n"/>
      <c r="AD1395">
        <f>IF($E1395="","",IF($AT1395=1,Settings!$C$8,IF($AS1395=1,Settings!$C$6,Settings!$C$7))*100)</f>
        <v/>
      </c>
      <c r="AE1395" s="7">
        <f>IF($E1395="","",Z1395*AD1395/100)</f>
        <v/>
      </c>
      <c r="AF1395" s="7">
        <f>IF($E1395="","",Z1395-AE1395)</f>
        <v/>
      </c>
      <c r="AG1395" s="7">
        <f>IF($E1395="","",AF1395-Q1395)</f>
        <v/>
      </c>
      <c r="AK1395" s="7" t="n"/>
      <c r="AN1395" s="14" t="n"/>
      <c r="AQ1395">
        <f>IF($E1395="","",IF(COUNTIF($E$2:$E1395,$E1395)=1,1,0))</f>
        <v/>
      </c>
      <c r="AR1395">
        <f>IF($AQ1395=1,SUMPRODUCT(--($AU$2:$AU$1501&lt;$AU1395))+1,"")</f>
        <v/>
      </c>
      <c r="AS1395">
        <f>IF($E1395="","",IF(OR($U1395=TRUE(),$U1395="TRUE"),1,0))</f>
        <v/>
      </c>
      <c r="AT1395">
        <f>IF($E1395="","",IF($AC1395="Yes",1,0))</f>
        <v/>
      </c>
      <c r="AU1395">
        <f>IF($AQ1395=1,IFERROR(IF(VALUE($E1395)&lt;100000000,VALUE($E1395),1000000000),IFERROR(IF(VALUE(MID($E1395,2,20))&lt;100000000,VALUE(MID($E1395,2,20)),1000000000),1000000000))+ROW()/100000,"")</f>
        <v/>
      </c>
    </row>
    <row r="1396">
      <c r="G1396" s="14" t="n"/>
      <c r="Q1396" s="7">
        <f>IF($E1396="","",P1396*Z1396/100)</f>
        <v/>
      </c>
      <c r="R1396" s="7" t="n"/>
      <c r="Y1396" s="7" t="n"/>
      <c r="Z1396" s="7" t="n"/>
      <c r="AA1396" s="7" t="n"/>
      <c r="AD1396">
        <f>IF($E1396="","",IF($AT1396=1,Settings!$C$8,IF($AS1396=1,Settings!$C$6,Settings!$C$7))*100)</f>
        <v/>
      </c>
      <c r="AE1396" s="7">
        <f>IF($E1396="","",Z1396*AD1396/100)</f>
        <v/>
      </c>
      <c r="AF1396" s="7">
        <f>IF($E1396="","",Z1396-AE1396)</f>
        <v/>
      </c>
      <c r="AG1396" s="7">
        <f>IF($E1396="","",AF1396-Q1396)</f>
        <v/>
      </c>
      <c r="AK1396" s="7" t="n"/>
      <c r="AN1396" s="14" t="n"/>
      <c r="AQ1396">
        <f>IF($E1396="","",IF(COUNTIF($E$2:$E1396,$E1396)=1,1,0))</f>
        <v/>
      </c>
      <c r="AR1396">
        <f>IF($AQ1396=1,SUMPRODUCT(--($AU$2:$AU$1501&lt;$AU1396))+1,"")</f>
        <v/>
      </c>
      <c r="AS1396">
        <f>IF($E1396="","",IF(OR($U1396=TRUE(),$U1396="TRUE"),1,0))</f>
        <v/>
      </c>
      <c r="AT1396">
        <f>IF($E1396="","",IF($AC1396="Yes",1,0))</f>
        <v/>
      </c>
      <c r="AU1396">
        <f>IF($AQ1396=1,IFERROR(IF(VALUE($E1396)&lt;100000000,VALUE($E1396),1000000000),IFERROR(IF(VALUE(MID($E1396,2,20))&lt;100000000,VALUE(MID($E1396,2,20)),1000000000),1000000000))+ROW()/100000,"")</f>
        <v/>
      </c>
    </row>
    <row r="1397">
      <c r="G1397" s="14" t="n"/>
      <c r="Q1397" s="7">
        <f>IF($E1397="","",P1397*Z1397/100)</f>
        <v/>
      </c>
      <c r="R1397" s="7" t="n"/>
      <c r="Y1397" s="7" t="n"/>
      <c r="Z1397" s="7" t="n"/>
      <c r="AA1397" s="7" t="n"/>
      <c r="AD1397">
        <f>IF($E1397="","",IF($AT1397=1,Settings!$C$8,IF($AS1397=1,Settings!$C$6,Settings!$C$7))*100)</f>
        <v/>
      </c>
      <c r="AE1397" s="7">
        <f>IF($E1397="","",Z1397*AD1397/100)</f>
        <v/>
      </c>
      <c r="AF1397" s="7">
        <f>IF($E1397="","",Z1397-AE1397)</f>
        <v/>
      </c>
      <c r="AG1397" s="7">
        <f>IF($E1397="","",AF1397-Q1397)</f>
        <v/>
      </c>
      <c r="AK1397" s="7" t="n"/>
      <c r="AN1397" s="14" t="n"/>
      <c r="AQ1397">
        <f>IF($E1397="","",IF(COUNTIF($E$2:$E1397,$E1397)=1,1,0))</f>
        <v/>
      </c>
      <c r="AR1397">
        <f>IF($AQ1397=1,SUMPRODUCT(--($AU$2:$AU$1501&lt;$AU1397))+1,"")</f>
        <v/>
      </c>
      <c r="AS1397">
        <f>IF($E1397="","",IF(OR($U1397=TRUE(),$U1397="TRUE"),1,0))</f>
        <v/>
      </c>
      <c r="AT1397">
        <f>IF($E1397="","",IF($AC1397="Yes",1,0))</f>
        <v/>
      </c>
      <c r="AU1397">
        <f>IF($AQ1397=1,IFERROR(IF(VALUE($E1397)&lt;100000000,VALUE($E1397),1000000000),IFERROR(IF(VALUE(MID($E1397,2,20))&lt;100000000,VALUE(MID($E1397,2,20)),1000000000),1000000000))+ROW()/100000,"")</f>
        <v/>
      </c>
    </row>
    <row r="1398">
      <c r="G1398" s="14" t="n"/>
      <c r="Q1398" s="7">
        <f>IF($E1398="","",P1398*Z1398/100)</f>
        <v/>
      </c>
      <c r="R1398" s="7" t="n"/>
      <c r="Y1398" s="7" t="n"/>
      <c r="Z1398" s="7" t="n"/>
      <c r="AA1398" s="7" t="n"/>
      <c r="AD1398">
        <f>IF($E1398="","",IF($AT1398=1,Settings!$C$8,IF($AS1398=1,Settings!$C$6,Settings!$C$7))*100)</f>
        <v/>
      </c>
      <c r="AE1398" s="7">
        <f>IF($E1398="","",Z1398*AD1398/100)</f>
        <v/>
      </c>
      <c r="AF1398" s="7">
        <f>IF($E1398="","",Z1398-AE1398)</f>
        <v/>
      </c>
      <c r="AG1398" s="7">
        <f>IF($E1398="","",AF1398-Q1398)</f>
        <v/>
      </c>
      <c r="AK1398" s="7" t="n"/>
      <c r="AN1398" s="14" t="n"/>
      <c r="AQ1398">
        <f>IF($E1398="","",IF(COUNTIF($E$2:$E1398,$E1398)=1,1,0))</f>
        <v/>
      </c>
      <c r="AR1398">
        <f>IF($AQ1398=1,SUMPRODUCT(--($AU$2:$AU$1501&lt;$AU1398))+1,"")</f>
        <v/>
      </c>
      <c r="AS1398">
        <f>IF($E1398="","",IF(OR($U1398=TRUE(),$U1398="TRUE"),1,0))</f>
        <v/>
      </c>
      <c r="AT1398">
        <f>IF($E1398="","",IF($AC1398="Yes",1,0))</f>
        <v/>
      </c>
      <c r="AU1398">
        <f>IF($AQ1398=1,IFERROR(IF(VALUE($E1398)&lt;100000000,VALUE($E1398),1000000000),IFERROR(IF(VALUE(MID($E1398,2,20))&lt;100000000,VALUE(MID($E1398,2,20)),1000000000),1000000000))+ROW()/100000,"")</f>
        <v/>
      </c>
    </row>
    <row r="1399">
      <c r="G1399" s="14" t="n"/>
      <c r="Q1399" s="7">
        <f>IF($E1399="","",P1399*Z1399/100)</f>
        <v/>
      </c>
      <c r="R1399" s="7" t="n"/>
      <c r="Y1399" s="7" t="n"/>
      <c r="Z1399" s="7" t="n"/>
      <c r="AA1399" s="7" t="n"/>
      <c r="AD1399">
        <f>IF($E1399="","",IF($AT1399=1,Settings!$C$8,IF($AS1399=1,Settings!$C$6,Settings!$C$7))*100)</f>
        <v/>
      </c>
      <c r="AE1399" s="7">
        <f>IF($E1399="","",Z1399*AD1399/100)</f>
        <v/>
      </c>
      <c r="AF1399" s="7">
        <f>IF($E1399="","",Z1399-AE1399)</f>
        <v/>
      </c>
      <c r="AG1399" s="7">
        <f>IF($E1399="","",AF1399-Q1399)</f>
        <v/>
      </c>
      <c r="AK1399" s="7" t="n"/>
      <c r="AN1399" s="14" t="n"/>
      <c r="AQ1399">
        <f>IF($E1399="","",IF(COUNTIF($E$2:$E1399,$E1399)=1,1,0))</f>
        <v/>
      </c>
      <c r="AR1399">
        <f>IF($AQ1399=1,SUMPRODUCT(--($AU$2:$AU$1501&lt;$AU1399))+1,"")</f>
        <v/>
      </c>
      <c r="AS1399">
        <f>IF($E1399="","",IF(OR($U1399=TRUE(),$U1399="TRUE"),1,0))</f>
        <v/>
      </c>
      <c r="AT1399">
        <f>IF($E1399="","",IF($AC1399="Yes",1,0))</f>
        <v/>
      </c>
      <c r="AU1399">
        <f>IF($AQ1399=1,IFERROR(IF(VALUE($E1399)&lt;100000000,VALUE($E1399),1000000000),IFERROR(IF(VALUE(MID($E1399,2,20))&lt;100000000,VALUE(MID($E1399,2,20)),1000000000),1000000000))+ROW()/100000,"")</f>
        <v/>
      </c>
    </row>
    <row r="1400">
      <c r="G1400" s="14" t="n"/>
      <c r="Q1400" s="7">
        <f>IF($E1400="","",P1400*Z1400/100)</f>
        <v/>
      </c>
      <c r="R1400" s="7" t="n"/>
      <c r="Y1400" s="7" t="n"/>
      <c r="Z1400" s="7" t="n"/>
      <c r="AA1400" s="7" t="n"/>
      <c r="AD1400">
        <f>IF($E1400="","",IF($AT1400=1,Settings!$C$8,IF($AS1400=1,Settings!$C$6,Settings!$C$7))*100)</f>
        <v/>
      </c>
      <c r="AE1400" s="7">
        <f>IF($E1400="","",Z1400*AD1400/100)</f>
        <v/>
      </c>
      <c r="AF1400" s="7">
        <f>IF($E1400="","",Z1400-AE1400)</f>
        <v/>
      </c>
      <c r="AG1400" s="7">
        <f>IF($E1400="","",AF1400-Q1400)</f>
        <v/>
      </c>
      <c r="AK1400" s="7" t="n"/>
      <c r="AN1400" s="14" t="n"/>
      <c r="AQ1400">
        <f>IF($E1400="","",IF(COUNTIF($E$2:$E1400,$E1400)=1,1,0))</f>
        <v/>
      </c>
      <c r="AR1400">
        <f>IF($AQ1400=1,SUMPRODUCT(--($AU$2:$AU$1501&lt;$AU1400))+1,"")</f>
        <v/>
      </c>
      <c r="AS1400">
        <f>IF($E1400="","",IF(OR($U1400=TRUE(),$U1400="TRUE"),1,0))</f>
        <v/>
      </c>
      <c r="AT1400">
        <f>IF($E1400="","",IF($AC1400="Yes",1,0))</f>
        <v/>
      </c>
      <c r="AU1400">
        <f>IF($AQ1400=1,IFERROR(IF(VALUE($E1400)&lt;100000000,VALUE($E1400),1000000000),IFERROR(IF(VALUE(MID($E1400,2,20))&lt;100000000,VALUE(MID($E1400,2,20)),1000000000),1000000000))+ROW()/100000,"")</f>
        <v/>
      </c>
    </row>
    <row r="1401">
      <c r="G1401" s="14" t="n"/>
      <c r="Q1401" s="7">
        <f>IF($E1401="","",P1401*Z1401/100)</f>
        <v/>
      </c>
      <c r="R1401" s="7" t="n"/>
      <c r="Y1401" s="7" t="n"/>
      <c r="Z1401" s="7" t="n"/>
      <c r="AA1401" s="7" t="n"/>
      <c r="AD1401">
        <f>IF($E1401="","",IF($AT1401=1,Settings!$C$8,IF($AS1401=1,Settings!$C$6,Settings!$C$7))*100)</f>
        <v/>
      </c>
      <c r="AE1401" s="7">
        <f>IF($E1401="","",Z1401*AD1401/100)</f>
        <v/>
      </c>
      <c r="AF1401" s="7">
        <f>IF($E1401="","",Z1401-AE1401)</f>
        <v/>
      </c>
      <c r="AG1401" s="7">
        <f>IF($E1401="","",AF1401-Q1401)</f>
        <v/>
      </c>
      <c r="AK1401" s="7" t="n"/>
      <c r="AN1401" s="14" t="n"/>
      <c r="AQ1401">
        <f>IF($E1401="","",IF(COUNTIF($E$2:$E1401,$E1401)=1,1,0))</f>
        <v/>
      </c>
      <c r="AR1401">
        <f>IF($AQ1401=1,SUMPRODUCT(--($AU$2:$AU$1501&lt;$AU1401))+1,"")</f>
        <v/>
      </c>
      <c r="AS1401">
        <f>IF($E1401="","",IF(OR($U1401=TRUE(),$U1401="TRUE"),1,0))</f>
        <v/>
      </c>
      <c r="AT1401">
        <f>IF($E1401="","",IF($AC1401="Yes",1,0))</f>
        <v/>
      </c>
      <c r="AU1401">
        <f>IF($AQ1401=1,IFERROR(IF(VALUE($E1401)&lt;100000000,VALUE($E1401),1000000000),IFERROR(IF(VALUE(MID($E1401,2,20))&lt;100000000,VALUE(MID($E1401,2,20)),1000000000),1000000000))+ROW()/100000,"")</f>
        <v/>
      </c>
    </row>
    <row r="1402">
      <c r="G1402" s="14" t="n"/>
      <c r="Q1402" s="7">
        <f>IF($E1402="","",P1402*Z1402/100)</f>
        <v/>
      </c>
      <c r="R1402" s="7" t="n"/>
      <c r="Y1402" s="7" t="n"/>
      <c r="Z1402" s="7" t="n"/>
      <c r="AA1402" s="7" t="n"/>
      <c r="AD1402">
        <f>IF($E1402="","",IF($AT1402=1,Settings!$C$8,IF($AS1402=1,Settings!$C$6,Settings!$C$7))*100)</f>
        <v/>
      </c>
      <c r="AE1402" s="7">
        <f>IF($E1402="","",Z1402*AD1402/100)</f>
        <v/>
      </c>
      <c r="AF1402" s="7">
        <f>IF($E1402="","",Z1402-AE1402)</f>
        <v/>
      </c>
      <c r="AG1402" s="7">
        <f>IF($E1402="","",AF1402-Q1402)</f>
        <v/>
      </c>
      <c r="AK1402" s="7" t="n"/>
      <c r="AN1402" s="14" t="n"/>
      <c r="AQ1402">
        <f>IF($E1402="","",IF(COUNTIF($E$2:$E1402,$E1402)=1,1,0))</f>
        <v/>
      </c>
      <c r="AR1402">
        <f>IF($AQ1402=1,SUMPRODUCT(--($AU$2:$AU$1501&lt;$AU1402))+1,"")</f>
        <v/>
      </c>
      <c r="AS1402">
        <f>IF($E1402="","",IF(OR($U1402=TRUE(),$U1402="TRUE"),1,0))</f>
        <v/>
      </c>
      <c r="AT1402">
        <f>IF($E1402="","",IF($AC1402="Yes",1,0))</f>
        <v/>
      </c>
      <c r="AU1402">
        <f>IF($AQ1402=1,IFERROR(IF(VALUE($E1402)&lt;100000000,VALUE($E1402),1000000000),IFERROR(IF(VALUE(MID($E1402,2,20))&lt;100000000,VALUE(MID($E1402,2,20)),1000000000),1000000000))+ROW()/100000,"")</f>
        <v/>
      </c>
    </row>
    <row r="1403">
      <c r="G1403" s="14" t="n"/>
      <c r="Q1403" s="7">
        <f>IF($E1403="","",P1403*Z1403/100)</f>
        <v/>
      </c>
      <c r="R1403" s="7" t="n"/>
      <c r="Y1403" s="7" t="n"/>
      <c r="Z1403" s="7" t="n"/>
      <c r="AA1403" s="7" t="n"/>
      <c r="AD1403">
        <f>IF($E1403="","",IF($AT1403=1,Settings!$C$8,IF($AS1403=1,Settings!$C$6,Settings!$C$7))*100)</f>
        <v/>
      </c>
      <c r="AE1403" s="7">
        <f>IF($E1403="","",Z1403*AD1403/100)</f>
        <v/>
      </c>
      <c r="AF1403" s="7">
        <f>IF($E1403="","",Z1403-AE1403)</f>
        <v/>
      </c>
      <c r="AG1403" s="7">
        <f>IF($E1403="","",AF1403-Q1403)</f>
        <v/>
      </c>
      <c r="AK1403" s="7" t="n"/>
      <c r="AN1403" s="14" t="n"/>
      <c r="AQ1403">
        <f>IF($E1403="","",IF(COUNTIF($E$2:$E1403,$E1403)=1,1,0))</f>
        <v/>
      </c>
      <c r="AR1403">
        <f>IF($AQ1403=1,SUMPRODUCT(--($AU$2:$AU$1501&lt;$AU1403))+1,"")</f>
        <v/>
      </c>
      <c r="AS1403">
        <f>IF($E1403="","",IF(OR($U1403=TRUE(),$U1403="TRUE"),1,0))</f>
        <v/>
      </c>
      <c r="AT1403">
        <f>IF($E1403="","",IF($AC1403="Yes",1,0))</f>
        <v/>
      </c>
      <c r="AU1403">
        <f>IF($AQ1403=1,IFERROR(IF(VALUE($E1403)&lt;100000000,VALUE($E1403),1000000000),IFERROR(IF(VALUE(MID($E1403,2,20))&lt;100000000,VALUE(MID($E1403,2,20)),1000000000),1000000000))+ROW()/100000,"")</f>
        <v/>
      </c>
    </row>
    <row r="1404">
      <c r="G1404" s="14" t="n"/>
      <c r="Q1404" s="7">
        <f>IF($E1404="","",P1404*Z1404/100)</f>
        <v/>
      </c>
      <c r="R1404" s="7" t="n"/>
      <c r="Y1404" s="7" t="n"/>
      <c r="Z1404" s="7" t="n"/>
      <c r="AA1404" s="7" t="n"/>
      <c r="AD1404">
        <f>IF($E1404="","",IF($AT1404=1,Settings!$C$8,IF($AS1404=1,Settings!$C$6,Settings!$C$7))*100)</f>
        <v/>
      </c>
      <c r="AE1404" s="7">
        <f>IF($E1404="","",Z1404*AD1404/100)</f>
        <v/>
      </c>
      <c r="AF1404" s="7">
        <f>IF($E1404="","",Z1404-AE1404)</f>
        <v/>
      </c>
      <c r="AG1404" s="7">
        <f>IF($E1404="","",AF1404-Q1404)</f>
        <v/>
      </c>
      <c r="AK1404" s="7" t="n"/>
      <c r="AN1404" s="14" t="n"/>
      <c r="AQ1404">
        <f>IF($E1404="","",IF(COUNTIF($E$2:$E1404,$E1404)=1,1,0))</f>
        <v/>
      </c>
      <c r="AR1404">
        <f>IF($AQ1404=1,SUMPRODUCT(--($AU$2:$AU$1501&lt;$AU1404))+1,"")</f>
        <v/>
      </c>
      <c r="AS1404">
        <f>IF($E1404="","",IF(OR($U1404=TRUE(),$U1404="TRUE"),1,0))</f>
        <v/>
      </c>
      <c r="AT1404">
        <f>IF($E1404="","",IF($AC1404="Yes",1,0))</f>
        <v/>
      </c>
      <c r="AU1404">
        <f>IF($AQ1404=1,IFERROR(IF(VALUE($E1404)&lt;100000000,VALUE($E1404),1000000000),IFERROR(IF(VALUE(MID($E1404,2,20))&lt;100000000,VALUE(MID($E1404,2,20)),1000000000),1000000000))+ROW()/100000,"")</f>
        <v/>
      </c>
    </row>
    <row r="1405">
      <c r="G1405" s="14" t="n"/>
      <c r="Q1405" s="7">
        <f>IF($E1405="","",P1405*Z1405/100)</f>
        <v/>
      </c>
      <c r="R1405" s="7" t="n"/>
      <c r="Y1405" s="7" t="n"/>
      <c r="Z1405" s="7" t="n"/>
      <c r="AA1405" s="7" t="n"/>
      <c r="AD1405">
        <f>IF($E1405="","",IF($AT1405=1,Settings!$C$8,IF($AS1405=1,Settings!$C$6,Settings!$C$7))*100)</f>
        <v/>
      </c>
      <c r="AE1405" s="7">
        <f>IF($E1405="","",Z1405*AD1405/100)</f>
        <v/>
      </c>
      <c r="AF1405" s="7">
        <f>IF($E1405="","",Z1405-AE1405)</f>
        <v/>
      </c>
      <c r="AG1405" s="7">
        <f>IF($E1405="","",AF1405-Q1405)</f>
        <v/>
      </c>
      <c r="AK1405" s="7" t="n"/>
      <c r="AN1405" s="14" t="n"/>
      <c r="AQ1405">
        <f>IF($E1405="","",IF(COUNTIF($E$2:$E1405,$E1405)=1,1,0))</f>
        <v/>
      </c>
      <c r="AR1405">
        <f>IF($AQ1405=1,SUMPRODUCT(--($AU$2:$AU$1501&lt;$AU1405))+1,"")</f>
        <v/>
      </c>
      <c r="AS1405">
        <f>IF($E1405="","",IF(OR($U1405=TRUE(),$U1405="TRUE"),1,0))</f>
        <v/>
      </c>
      <c r="AT1405">
        <f>IF($E1405="","",IF($AC1405="Yes",1,0))</f>
        <v/>
      </c>
      <c r="AU1405">
        <f>IF($AQ1405=1,IFERROR(IF(VALUE($E1405)&lt;100000000,VALUE($E1405),1000000000),IFERROR(IF(VALUE(MID($E1405,2,20))&lt;100000000,VALUE(MID($E1405,2,20)),1000000000),1000000000))+ROW()/100000,"")</f>
        <v/>
      </c>
    </row>
    <row r="1406">
      <c r="G1406" s="14" t="n"/>
      <c r="Q1406" s="7">
        <f>IF($E1406="","",P1406*Z1406/100)</f>
        <v/>
      </c>
      <c r="R1406" s="7" t="n"/>
      <c r="Y1406" s="7" t="n"/>
      <c r="Z1406" s="7" t="n"/>
      <c r="AA1406" s="7" t="n"/>
      <c r="AD1406">
        <f>IF($E1406="","",IF($AT1406=1,Settings!$C$8,IF($AS1406=1,Settings!$C$6,Settings!$C$7))*100)</f>
        <v/>
      </c>
      <c r="AE1406" s="7">
        <f>IF($E1406="","",Z1406*AD1406/100)</f>
        <v/>
      </c>
      <c r="AF1406" s="7">
        <f>IF($E1406="","",Z1406-AE1406)</f>
        <v/>
      </c>
      <c r="AG1406" s="7">
        <f>IF($E1406="","",AF1406-Q1406)</f>
        <v/>
      </c>
      <c r="AK1406" s="7" t="n"/>
      <c r="AN1406" s="14" t="n"/>
      <c r="AQ1406">
        <f>IF($E1406="","",IF(COUNTIF($E$2:$E1406,$E1406)=1,1,0))</f>
        <v/>
      </c>
      <c r="AR1406">
        <f>IF($AQ1406=1,SUMPRODUCT(--($AU$2:$AU$1501&lt;$AU1406))+1,"")</f>
        <v/>
      </c>
      <c r="AS1406">
        <f>IF($E1406="","",IF(OR($U1406=TRUE(),$U1406="TRUE"),1,0))</f>
        <v/>
      </c>
      <c r="AT1406">
        <f>IF($E1406="","",IF($AC1406="Yes",1,0))</f>
        <v/>
      </c>
      <c r="AU1406">
        <f>IF($AQ1406=1,IFERROR(IF(VALUE($E1406)&lt;100000000,VALUE($E1406),1000000000),IFERROR(IF(VALUE(MID($E1406,2,20))&lt;100000000,VALUE(MID($E1406,2,20)),1000000000),1000000000))+ROW()/100000,"")</f>
        <v/>
      </c>
    </row>
    <row r="1407">
      <c r="G1407" s="14" t="n"/>
      <c r="Q1407" s="7">
        <f>IF($E1407="","",P1407*Z1407/100)</f>
        <v/>
      </c>
      <c r="R1407" s="7" t="n"/>
      <c r="Y1407" s="7" t="n"/>
      <c r="Z1407" s="7" t="n"/>
      <c r="AA1407" s="7" t="n"/>
      <c r="AD1407">
        <f>IF($E1407="","",IF($AT1407=1,Settings!$C$8,IF($AS1407=1,Settings!$C$6,Settings!$C$7))*100)</f>
        <v/>
      </c>
      <c r="AE1407" s="7">
        <f>IF($E1407="","",Z1407*AD1407/100)</f>
        <v/>
      </c>
      <c r="AF1407" s="7">
        <f>IF($E1407="","",Z1407-AE1407)</f>
        <v/>
      </c>
      <c r="AG1407" s="7">
        <f>IF($E1407="","",AF1407-Q1407)</f>
        <v/>
      </c>
      <c r="AK1407" s="7" t="n"/>
      <c r="AN1407" s="14" t="n"/>
      <c r="AQ1407">
        <f>IF($E1407="","",IF(COUNTIF($E$2:$E1407,$E1407)=1,1,0))</f>
        <v/>
      </c>
      <c r="AR1407">
        <f>IF($AQ1407=1,SUMPRODUCT(--($AU$2:$AU$1501&lt;$AU1407))+1,"")</f>
        <v/>
      </c>
      <c r="AS1407">
        <f>IF($E1407="","",IF(OR($U1407=TRUE(),$U1407="TRUE"),1,0))</f>
        <v/>
      </c>
      <c r="AT1407">
        <f>IF($E1407="","",IF($AC1407="Yes",1,0))</f>
        <v/>
      </c>
      <c r="AU1407">
        <f>IF($AQ1407=1,IFERROR(IF(VALUE($E1407)&lt;100000000,VALUE($E1407),1000000000),IFERROR(IF(VALUE(MID($E1407,2,20))&lt;100000000,VALUE(MID($E1407,2,20)),1000000000),1000000000))+ROW()/100000,"")</f>
        <v/>
      </c>
    </row>
    <row r="1408">
      <c r="G1408" s="14" t="n"/>
      <c r="Q1408" s="7">
        <f>IF($E1408="","",P1408*Z1408/100)</f>
        <v/>
      </c>
      <c r="R1408" s="7" t="n"/>
      <c r="Y1408" s="7" t="n"/>
      <c r="Z1408" s="7" t="n"/>
      <c r="AA1408" s="7" t="n"/>
      <c r="AD1408">
        <f>IF($E1408="","",IF($AT1408=1,Settings!$C$8,IF($AS1408=1,Settings!$C$6,Settings!$C$7))*100)</f>
        <v/>
      </c>
      <c r="AE1408" s="7">
        <f>IF($E1408="","",Z1408*AD1408/100)</f>
        <v/>
      </c>
      <c r="AF1408" s="7">
        <f>IF($E1408="","",Z1408-AE1408)</f>
        <v/>
      </c>
      <c r="AG1408" s="7">
        <f>IF($E1408="","",AF1408-Q1408)</f>
        <v/>
      </c>
      <c r="AK1408" s="7" t="n"/>
      <c r="AN1408" s="14" t="n"/>
      <c r="AQ1408">
        <f>IF($E1408="","",IF(COUNTIF($E$2:$E1408,$E1408)=1,1,0))</f>
        <v/>
      </c>
      <c r="AR1408">
        <f>IF($AQ1408=1,SUMPRODUCT(--($AU$2:$AU$1501&lt;$AU1408))+1,"")</f>
        <v/>
      </c>
      <c r="AS1408">
        <f>IF($E1408="","",IF(OR($U1408=TRUE(),$U1408="TRUE"),1,0))</f>
        <v/>
      </c>
      <c r="AT1408">
        <f>IF($E1408="","",IF($AC1408="Yes",1,0))</f>
        <v/>
      </c>
      <c r="AU1408">
        <f>IF($AQ1408=1,IFERROR(IF(VALUE($E1408)&lt;100000000,VALUE($E1408),1000000000),IFERROR(IF(VALUE(MID($E1408,2,20))&lt;100000000,VALUE(MID($E1408,2,20)),1000000000),1000000000))+ROW()/100000,"")</f>
        <v/>
      </c>
    </row>
    <row r="1409">
      <c r="G1409" s="14" t="n"/>
      <c r="Q1409" s="7">
        <f>IF($E1409="","",P1409*Z1409/100)</f>
        <v/>
      </c>
      <c r="R1409" s="7" t="n"/>
      <c r="Y1409" s="7" t="n"/>
      <c r="Z1409" s="7" t="n"/>
      <c r="AA1409" s="7" t="n"/>
      <c r="AD1409">
        <f>IF($E1409="","",IF($AT1409=1,Settings!$C$8,IF($AS1409=1,Settings!$C$6,Settings!$C$7))*100)</f>
        <v/>
      </c>
      <c r="AE1409" s="7">
        <f>IF($E1409="","",Z1409*AD1409/100)</f>
        <v/>
      </c>
      <c r="AF1409" s="7">
        <f>IF($E1409="","",Z1409-AE1409)</f>
        <v/>
      </c>
      <c r="AG1409" s="7">
        <f>IF($E1409="","",AF1409-Q1409)</f>
        <v/>
      </c>
      <c r="AK1409" s="7" t="n"/>
      <c r="AN1409" s="14" t="n"/>
      <c r="AQ1409">
        <f>IF($E1409="","",IF(COUNTIF($E$2:$E1409,$E1409)=1,1,0))</f>
        <v/>
      </c>
      <c r="AR1409">
        <f>IF($AQ1409=1,SUMPRODUCT(--($AU$2:$AU$1501&lt;$AU1409))+1,"")</f>
        <v/>
      </c>
      <c r="AS1409">
        <f>IF($E1409="","",IF(OR($U1409=TRUE(),$U1409="TRUE"),1,0))</f>
        <v/>
      </c>
      <c r="AT1409">
        <f>IF($E1409="","",IF($AC1409="Yes",1,0))</f>
        <v/>
      </c>
      <c r="AU1409">
        <f>IF($AQ1409=1,IFERROR(IF(VALUE($E1409)&lt;100000000,VALUE($E1409),1000000000),IFERROR(IF(VALUE(MID($E1409,2,20))&lt;100000000,VALUE(MID($E1409,2,20)),1000000000),1000000000))+ROW()/100000,"")</f>
        <v/>
      </c>
    </row>
    <row r="1410">
      <c r="G1410" s="14" t="n"/>
      <c r="Q1410" s="7">
        <f>IF($E1410="","",P1410*Z1410/100)</f>
        <v/>
      </c>
      <c r="R1410" s="7" t="n"/>
      <c r="Y1410" s="7" t="n"/>
      <c r="Z1410" s="7" t="n"/>
      <c r="AA1410" s="7" t="n"/>
      <c r="AD1410">
        <f>IF($E1410="","",IF($AT1410=1,Settings!$C$8,IF($AS1410=1,Settings!$C$6,Settings!$C$7))*100)</f>
        <v/>
      </c>
      <c r="AE1410" s="7">
        <f>IF($E1410="","",Z1410*AD1410/100)</f>
        <v/>
      </c>
      <c r="AF1410" s="7">
        <f>IF($E1410="","",Z1410-AE1410)</f>
        <v/>
      </c>
      <c r="AG1410" s="7">
        <f>IF($E1410="","",AF1410-Q1410)</f>
        <v/>
      </c>
      <c r="AK1410" s="7" t="n"/>
      <c r="AN1410" s="14" t="n"/>
      <c r="AQ1410">
        <f>IF($E1410="","",IF(COUNTIF($E$2:$E1410,$E1410)=1,1,0))</f>
        <v/>
      </c>
      <c r="AR1410">
        <f>IF($AQ1410=1,SUMPRODUCT(--($AU$2:$AU$1501&lt;$AU1410))+1,"")</f>
        <v/>
      </c>
      <c r="AS1410">
        <f>IF($E1410="","",IF(OR($U1410=TRUE(),$U1410="TRUE"),1,0))</f>
        <v/>
      </c>
      <c r="AT1410">
        <f>IF($E1410="","",IF($AC1410="Yes",1,0))</f>
        <v/>
      </c>
      <c r="AU1410">
        <f>IF($AQ1410=1,IFERROR(IF(VALUE($E1410)&lt;100000000,VALUE($E1410),1000000000),IFERROR(IF(VALUE(MID($E1410,2,20))&lt;100000000,VALUE(MID($E1410,2,20)),1000000000),1000000000))+ROW()/100000,"")</f>
        <v/>
      </c>
    </row>
    <row r="1411">
      <c r="G1411" s="14" t="n"/>
      <c r="Q1411" s="7">
        <f>IF($E1411="","",P1411*Z1411/100)</f>
        <v/>
      </c>
      <c r="R1411" s="7" t="n"/>
      <c r="Y1411" s="7" t="n"/>
      <c r="Z1411" s="7" t="n"/>
      <c r="AA1411" s="7" t="n"/>
      <c r="AD1411">
        <f>IF($E1411="","",IF($AT1411=1,Settings!$C$8,IF($AS1411=1,Settings!$C$6,Settings!$C$7))*100)</f>
        <v/>
      </c>
      <c r="AE1411" s="7">
        <f>IF($E1411="","",Z1411*AD1411/100)</f>
        <v/>
      </c>
      <c r="AF1411" s="7">
        <f>IF($E1411="","",Z1411-AE1411)</f>
        <v/>
      </c>
      <c r="AG1411" s="7">
        <f>IF($E1411="","",AF1411-Q1411)</f>
        <v/>
      </c>
      <c r="AK1411" s="7" t="n"/>
      <c r="AN1411" s="14" t="n"/>
      <c r="AQ1411">
        <f>IF($E1411="","",IF(COUNTIF($E$2:$E1411,$E1411)=1,1,0))</f>
        <v/>
      </c>
      <c r="AR1411">
        <f>IF($AQ1411=1,SUMPRODUCT(--($AU$2:$AU$1501&lt;$AU1411))+1,"")</f>
        <v/>
      </c>
      <c r="AS1411">
        <f>IF($E1411="","",IF(OR($U1411=TRUE(),$U1411="TRUE"),1,0))</f>
        <v/>
      </c>
      <c r="AT1411">
        <f>IF($E1411="","",IF($AC1411="Yes",1,0))</f>
        <v/>
      </c>
      <c r="AU1411">
        <f>IF($AQ1411=1,IFERROR(IF(VALUE($E1411)&lt;100000000,VALUE($E1411),1000000000),IFERROR(IF(VALUE(MID($E1411,2,20))&lt;100000000,VALUE(MID($E1411,2,20)),1000000000),1000000000))+ROW()/100000,"")</f>
        <v/>
      </c>
    </row>
    <row r="1412">
      <c r="G1412" s="14" t="n"/>
      <c r="Q1412" s="7">
        <f>IF($E1412="","",P1412*Z1412/100)</f>
        <v/>
      </c>
      <c r="R1412" s="7" t="n"/>
      <c r="Y1412" s="7" t="n"/>
      <c r="Z1412" s="7" t="n"/>
      <c r="AA1412" s="7" t="n"/>
      <c r="AD1412">
        <f>IF($E1412="","",IF($AT1412=1,Settings!$C$8,IF($AS1412=1,Settings!$C$6,Settings!$C$7))*100)</f>
        <v/>
      </c>
      <c r="AE1412" s="7">
        <f>IF($E1412="","",Z1412*AD1412/100)</f>
        <v/>
      </c>
      <c r="AF1412" s="7">
        <f>IF($E1412="","",Z1412-AE1412)</f>
        <v/>
      </c>
      <c r="AG1412" s="7">
        <f>IF($E1412="","",AF1412-Q1412)</f>
        <v/>
      </c>
      <c r="AK1412" s="7" t="n"/>
      <c r="AN1412" s="14" t="n"/>
      <c r="AQ1412">
        <f>IF($E1412="","",IF(COUNTIF($E$2:$E1412,$E1412)=1,1,0))</f>
        <v/>
      </c>
      <c r="AR1412">
        <f>IF($AQ1412=1,SUMPRODUCT(--($AU$2:$AU$1501&lt;$AU1412))+1,"")</f>
        <v/>
      </c>
      <c r="AS1412">
        <f>IF($E1412="","",IF(OR($U1412=TRUE(),$U1412="TRUE"),1,0))</f>
        <v/>
      </c>
      <c r="AT1412">
        <f>IF($E1412="","",IF($AC1412="Yes",1,0))</f>
        <v/>
      </c>
      <c r="AU1412">
        <f>IF($AQ1412=1,IFERROR(IF(VALUE($E1412)&lt;100000000,VALUE($E1412),1000000000),IFERROR(IF(VALUE(MID($E1412,2,20))&lt;100000000,VALUE(MID($E1412,2,20)),1000000000),1000000000))+ROW()/100000,"")</f>
        <v/>
      </c>
    </row>
    <row r="1413">
      <c r="G1413" s="14" t="n"/>
      <c r="Q1413" s="7">
        <f>IF($E1413="","",P1413*Z1413/100)</f>
        <v/>
      </c>
      <c r="R1413" s="7" t="n"/>
      <c r="Y1413" s="7" t="n"/>
      <c r="Z1413" s="7" t="n"/>
      <c r="AA1413" s="7" t="n"/>
      <c r="AD1413">
        <f>IF($E1413="","",IF($AT1413=1,Settings!$C$8,IF($AS1413=1,Settings!$C$6,Settings!$C$7))*100)</f>
        <v/>
      </c>
      <c r="AE1413" s="7">
        <f>IF($E1413="","",Z1413*AD1413/100)</f>
        <v/>
      </c>
      <c r="AF1413" s="7">
        <f>IF($E1413="","",Z1413-AE1413)</f>
        <v/>
      </c>
      <c r="AG1413" s="7">
        <f>IF($E1413="","",AF1413-Q1413)</f>
        <v/>
      </c>
      <c r="AK1413" s="7" t="n"/>
      <c r="AN1413" s="14" t="n"/>
      <c r="AQ1413">
        <f>IF($E1413="","",IF(COUNTIF($E$2:$E1413,$E1413)=1,1,0))</f>
        <v/>
      </c>
      <c r="AR1413">
        <f>IF($AQ1413=1,SUMPRODUCT(--($AU$2:$AU$1501&lt;$AU1413))+1,"")</f>
        <v/>
      </c>
      <c r="AS1413">
        <f>IF($E1413="","",IF(OR($U1413=TRUE(),$U1413="TRUE"),1,0))</f>
        <v/>
      </c>
      <c r="AT1413">
        <f>IF($E1413="","",IF($AC1413="Yes",1,0))</f>
        <v/>
      </c>
      <c r="AU1413">
        <f>IF($AQ1413=1,IFERROR(IF(VALUE($E1413)&lt;100000000,VALUE($E1413),1000000000),IFERROR(IF(VALUE(MID($E1413,2,20))&lt;100000000,VALUE(MID($E1413,2,20)),1000000000),1000000000))+ROW()/100000,"")</f>
        <v/>
      </c>
    </row>
    <row r="1414">
      <c r="G1414" s="14" t="n"/>
      <c r="Q1414" s="7">
        <f>IF($E1414="","",P1414*Z1414/100)</f>
        <v/>
      </c>
      <c r="R1414" s="7" t="n"/>
      <c r="Y1414" s="7" t="n"/>
      <c r="Z1414" s="7" t="n"/>
      <c r="AA1414" s="7" t="n"/>
      <c r="AD1414">
        <f>IF($E1414="","",IF($AT1414=1,Settings!$C$8,IF($AS1414=1,Settings!$C$6,Settings!$C$7))*100)</f>
        <v/>
      </c>
      <c r="AE1414" s="7">
        <f>IF($E1414="","",Z1414*AD1414/100)</f>
        <v/>
      </c>
      <c r="AF1414" s="7">
        <f>IF($E1414="","",Z1414-AE1414)</f>
        <v/>
      </c>
      <c r="AG1414" s="7">
        <f>IF($E1414="","",AF1414-Q1414)</f>
        <v/>
      </c>
      <c r="AK1414" s="7" t="n"/>
      <c r="AN1414" s="14" t="n"/>
      <c r="AQ1414">
        <f>IF($E1414="","",IF(COUNTIF($E$2:$E1414,$E1414)=1,1,0))</f>
        <v/>
      </c>
      <c r="AR1414">
        <f>IF($AQ1414=1,SUMPRODUCT(--($AU$2:$AU$1501&lt;$AU1414))+1,"")</f>
        <v/>
      </c>
      <c r="AS1414">
        <f>IF($E1414="","",IF(OR($U1414=TRUE(),$U1414="TRUE"),1,0))</f>
        <v/>
      </c>
      <c r="AT1414">
        <f>IF($E1414="","",IF($AC1414="Yes",1,0))</f>
        <v/>
      </c>
      <c r="AU1414">
        <f>IF($AQ1414=1,IFERROR(IF(VALUE($E1414)&lt;100000000,VALUE($E1414),1000000000),IFERROR(IF(VALUE(MID($E1414,2,20))&lt;100000000,VALUE(MID($E1414,2,20)),1000000000),1000000000))+ROW()/100000,"")</f>
        <v/>
      </c>
    </row>
    <row r="1415">
      <c r="G1415" s="14" t="n"/>
      <c r="Q1415" s="7">
        <f>IF($E1415="","",P1415*Z1415/100)</f>
        <v/>
      </c>
      <c r="R1415" s="7" t="n"/>
      <c r="Y1415" s="7" t="n"/>
      <c r="Z1415" s="7" t="n"/>
      <c r="AA1415" s="7" t="n"/>
      <c r="AD1415">
        <f>IF($E1415="","",IF($AT1415=1,Settings!$C$8,IF($AS1415=1,Settings!$C$6,Settings!$C$7))*100)</f>
        <v/>
      </c>
      <c r="AE1415" s="7">
        <f>IF($E1415="","",Z1415*AD1415/100)</f>
        <v/>
      </c>
      <c r="AF1415" s="7">
        <f>IF($E1415="","",Z1415-AE1415)</f>
        <v/>
      </c>
      <c r="AG1415" s="7">
        <f>IF($E1415="","",AF1415-Q1415)</f>
        <v/>
      </c>
      <c r="AK1415" s="7" t="n"/>
      <c r="AN1415" s="14" t="n"/>
      <c r="AQ1415">
        <f>IF($E1415="","",IF(COUNTIF($E$2:$E1415,$E1415)=1,1,0))</f>
        <v/>
      </c>
      <c r="AR1415">
        <f>IF($AQ1415=1,SUMPRODUCT(--($AU$2:$AU$1501&lt;$AU1415))+1,"")</f>
        <v/>
      </c>
      <c r="AS1415">
        <f>IF($E1415="","",IF(OR($U1415=TRUE(),$U1415="TRUE"),1,0))</f>
        <v/>
      </c>
      <c r="AT1415">
        <f>IF($E1415="","",IF($AC1415="Yes",1,0))</f>
        <v/>
      </c>
      <c r="AU1415">
        <f>IF($AQ1415=1,IFERROR(IF(VALUE($E1415)&lt;100000000,VALUE($E1415),1000000000),IFERROR(IF(VALUE(MID($E1415,2,20))&lt;100000000,VALUE(MID($E1415,2,20)),1000000000),1000000000))+ROW()/100000,"")</f>
        <v/>
      </c>
    </row>
    <row r="1416">
      <c r="G1416" s="14" t="n"/>
      <c r="Q1416" s="7">
        <f>IF($E1416="","",P1416*Z1416/100)</f>
        <v/>
      </c>
      <c r="R1416" s="7" t="n"/>
      <c r="Y1416" s="7" t="n"/>
      <c r="Z1416" s="7" t="n"/>
      <c r="AA1416" s="7" t="n"/>
      <c r="AD1416">
        <f>IF($E1416="","",IF($AT1416=1,Settings!$C$8,IF($AS1416=1,Settings!$C$6,Settings!$C$7))*100)</f>
        <v/>
      </c>
      <c r="AE1416" s="7">
        <f>IF($E1416="","",Z1416*AD1416/100)</f>
        <v/>
      </c>
      <c r="AF1416" s="7">
        <f>IF($E1416="","",Z1416-AE1416)</f>
        <v/>
      </c>
      <c r="AG1416" s="7">
        <f>IF($E1416="","",AF1416-Q1416)</f>
        <v/>
      </c>
      <c r="AK1416" s="7" t="n"/>
      <c r="AN1416" s="14" t="n"/>
      <c r="AQ1416">
        <f>IF($E1416="","",IF(COUNTIF($E$2:$E1416,$E1416)=1,1,0))</f>
        <v/>
      </c>
      <c r="AR1416">
        <f>IF($AQ1416=1,SUMPRODUCT(--($AU$2:$AU$1501&lt;$AU1416))+1,"")</f>
        <v/>
      </c>
      <c r="AS1416">
        <f>IF($E1416="","",IF(OR($U1416=TRUE(),$U1416="TRUE"),1,0))</f>
        <v/>
      </c>
      <c r="AT1416">
        <f>IF($E1416="","",IF($AC1416="Yes",1,0))</f>
        <v/>
      </c>
      <c r="AU1416">
        <f>IF($AQ1416=1,IFERROR(IF(VALUE($E1416)&lt;100000000,VALUE($E1416),1000000000),IFERROR(IF(VALUE(MID($E1416,2,20))&lt;100000000,VALUE(MID($E1416,2,20)),1000000000),1000000000))+ROW()/100000,"")</f>
        <v/>
      </c>
    </row>
    <row r="1417">
      <c r="G1417" s="14" t="n"/>
      <c r="Q1417" s="7">
        <f>IF($E1417="","",P1417*Z1417/100)</f>
        <v/>
      </c>
      <c r="R1417" s="7" t="n"/>
      <c r="Y1417" s="7" t="n"/>
      <c r="Z1417" s="7" t="n"/>
      <c r="AA1417" s="7" t="n"/>
      <c r="AD1417">
        <f>IF($E1417="","",IF($AT1417=1,Settings!$C$8,IF($AS1417=1,Settings!$C$6,Settings!$C$7))*100)</f>
        <v/>
      </c>
      <c r="AE1417" s="7">
        <f>IF($E1417="","",Z1417*AD1417/100)</f>
        <v/>
      </c>
      <c r="AF1417" s="7">
        <f>IF($E1417="","",Z1417-AE1417)</f>
        <v/>
      </c>
      <c r="AG1417" s="7">
        <f>IF($E1417="","",AF1417-Q1417)</f>
        <v/>
      </c>
      <c r="AK1417" s="7" t="n"/>
      <c r="AN1417" s="14" t="n"/>
      <c r="AQ1417">
        <f>IF($E1417="","",IF(COUNTIF($E$2:$E1417,$E1417)=1,1,0))</f>
        <v/>
      </c>
      <c r="AR1417">
        <f>IF($AQ1417=1,SUMPRODUCT(--($AU$2:$AU$1501&lt;$AU1417))+1,"")</f>
        <v/>
      </c>
      <c r="AS1417">
        <f>IF($E1417="","",IF(OR($U1417=TRUE(),$U1417="TRUE"),1,0))</f>
        <v/>
      </c>
      <c r="AT1417">
        <f>IF($E1417="","",IF($AC1417="Yes",1,0))</f>
        <v/>
      </c>
      <c r="AU1417">
        <f>IF($AQ1417=1,IFERROR(IF(VALUE($E1417)&lt;100000000,VALUE($E1417),1000000000),IFERROR(IF(VALUE(MID($E1417,2,20))&lt;100000000,VALUE(MID($E1417,2,20)),1000000000),1000000000))+ROW()/100000,"")</f>
        <v/>
      </c>
    </row>
    <row r="1418">
      <c r="G1418" s="14" t="n"/>
      <c r="Q1418" s="7">
        <f>IF($E1418="","",P1418*Z1418/100)</f>
        <v/>
      </c>
      <c r="R1418" s="7" t="n"/>
      <c r="Y1418" s="7" t="n"/>
      <c r="Z1418" s="7" t="n"/>
      <c r="AA1418" s="7" t="n"/>
      <c r="AD1418">
        <f>IF($E1418="","",IF($AT1418=1,Settings!$C$8,IF($AS1418=1,Settings!$C$6,Settings!$C$7))*100)</f>
        <v/>
      </c>
      <c r="AE1418" s="7">
        <f>IF($E1418="","",Z1418*AD1418/100)</f>
        <v/>
      </c>
      <c r="AF1418" s="7">
        <f>IF($E1418="","",Z1418-AE1418)</f>
        <v/>
      </c>
      <c r="AG1418" s="7">
        <f>IF($E1418="","",AF1418-Q1418)</f>
        <v/>
      </c>
      <c r="AK1418" s="7" t="n"/>
      <c r="AN1418" s="14" t="n"/>
      <c r="AQ1418">
        <f>IF($E1418="","",IF(COUNTIF($E$2:$E1418,$E1418)=1,1,0))</f>
        <v/>
      </c>
      <c r="AR1418">
        <f>IF($AQ1418=1,SUMPRODUCT(--($AU$2:$AU$1501&lt;$AU1418))+1,"")</f>
        <v/>
      </c>
      <c r="AS1418">
        <f>IF($E1418="","",IF(OR($U1418=TRUE(),$U1418="TRUE"),1,0))</f>
        <v/>
      </c>
      <c r="AT1418">
        <f>IF($E1418="","",IF($AC1418="Yes",1,0))</f>
        <v/>
      </c>
      <c r="AU1418">
        <f>IF($AQ1418=1,IFERROR(IF(VALUE($E1418)&lt;100000000,VALUE($E1418),1000000000),IFERROR(IF(VALUE(MID($E1418,2,20))&lt;100000000,VALUE(MID($E1418,2,20)),1000000000),1000000000))+ROW()/100000,"")</f>
        <v/>
      </c>
    </row>
    <row r="1419">
      <c r="G1419" s="14" t="n"/>
      <c r="Q1419" s="7">
        <f>IF($E1419="","",P1419*Z1419/100)</f>
        <v/>
      </c>
      <c r="R1419" s="7" t="n"/>
      <c r="Y1419" s="7" t="n"/>
      <c r="Z1419" s="7" t="n"/>
      <c r="AA1419" s="7" t="n"/>
      <c r="AD1419">
        <f>IF($E1419="","",IF($AT1419=1,Settings!$C$8,IF($AS1419=1,Settings!$C$6,Settings!$C$7))*100)</f>
        <v/>
      </c>
      <c r="AE1419" s="7">
        <f>IF($E1419="","",Z1419*AD1419/100)</f>
        <v/>
      </c>
      <c r="AF1419" s="7">
        <f>IF($E1419="","",Z1419-AE1419)</f>
        <v/>
      </c>
      <c r="AG1419" s="7">
        <f>IF($E1419="","",AF1419-Q1419)</f>
        <v/>
      </c>
      <c r="AK1419" s="7" t="n"/>
      <c r="AN1419" s="14" t="n"/>
      <c r="AQ1419">
        <f>IF($E1419="","",IF(COUNTIF($E$2:$E1419,$E1419)=1,1,0))</f>
        <v/>
      </c>
      <c r="AR1419">
        <f>IF($AQ1419=1,SUMPRODUCT(--($AU$2:$AU$1501&lt;$AU1419))+1,"")</f>
        <v/>
      </c>
      <c r="AS1419">
        <f>IF($E1419="","",IF(OR($U1419=TRUE(),$U1419="TRUE"),1,0))</f>
        <v/>
      </c>
      <c r="AT1419">
        <f>IF($E1419="","",IF($AC1419="Yes",1,0))</f>
        <v/>
      </c>
      <c r="AU1419">
        <f>IF($AQ1419=1,IFERROR(IF(VALUE($E1419)&lt;100000000,VALUE($E1419),1000000000),IFERROR(IF(VALUE(MID($E1419,2,20))&lt;100000000,VALUE(MID($E1419,2,20)),1000000000),1000000000))+ROW()/100000,"")</f>
        <v/>
      </c>
    </row>
    <row r="1420">
      <c r="G1420" s="14" t="n"/>
      <c r="Q1420" s="7">
        <f>IF($E1420="","",P1420*Z1420/100)</f>
        <v/>
      </c>
      <c r="R1420" s="7" t="n"/>
      <c r="Y1420" s="7" t="n"/>
      <c r="Z1420" s="7" t="n"/>
      <c r="AA1420" s="7" t="n"/>
      <c r="AD1420">
        <f>IF($E1420="","",IF($AT1420=1,Settings!$C$8,IF($AS1420=1,Settings!$C$6,Settings!$C$7))*100)</f>
        <v/>
      </c>
      <c r="AE1420" s="7">
        <f>IF($E1420="","",Z1420*AD1420/100)</f>
        <v/>
      </c>
      <c r="AF1420" s="7">
        <f>IF($E1420="","",Z1420-AE1420)</f>
        <v/>
      </c>
      <c r="AG1420" s="7">
        <f>IF($E1420="","",AF1420-Q1420)</f>
        <v/>
      </c>
      <c r="AK1420" s="7" t="n"/>
      <c r="AN1420" s="14" t="n"/>
      <c r="AQ1420">
        <f>IF($E1420="","",IF(COUNTIF($E$2:$E1420,$E1420)=1,1,0))</f>
        <v/>
      </c>
      <c r="AR1420">
        <f>IF($AQ1420=1,SUMPRODUCT(--($AU$2:$AU$1501&lt;$AU1420))+1,"")</f>
        <v/>
      </c>
      <c r="AS1420">
        <f>IF($E1420="","",IF(OR($U1420=TRUE(),$U1420="TRUE"),1,0))</f>
        <v/>
      </c>
      <c r="AT1420">
        <f>IF($E1420="","",IF($AC1420="Yes",1,0))</f>
        <v/>
      </c>
      <c r="AU1420">
        <f>IF($AQ1420=1,IFERROR(IF(VALUE($E1420)&lt;100000000,VALUE($E1420),1000000000),IFERROR(IF(VALUE(MID($E1420,2,20))&lt;100000000,VALUE(MID($E1420,2,20)),1000000000),1000000000))+ROW()/100000,"")</f>
        <v/>
      </c>
    </row>
    <row r="1421">
      <c r="G1421" s="14" t="n"/>
      <c r="Q1421" s="7">
        <f>IF($E1421="","",P1421*Z1421/100)</f>
        <v/>
      </c>
      <c r="R1421" s="7" t="n"/>
      <c r="Y1421" s="7" t="n"/>
      <c r="Z1421" s="7" t="n"/>
      <c r="AA1421" s="7" t="n"/>
      <c r="AD1421">
        <f>IF($E1421="","",IF($AT1421=1,Settings!$C$8,IF($AS1421=1,Settings!$C$6,Settings!$C$7))*100)</f>
        <v/>
      </c>
      <c r="AE1421" s="7">
        <f>IF($E1421="","",Z1421*AD1421/100)</f>
        <v/>
      </c>
      <c r="AF1421" s="7">
        <f>IF($E1421="","",Z1421-AE1421)</f>
        <v/>
      </c>
      <c r="AG1421" s="7">
        <f>IF($E1421="","",AF1421-Q1421)</f>
        <v/>
      </c>
      <c r="AK1421" s="7" t="n"/>
      <c r="AN1421" s="14" t="n"/>
      <c r="AQ1421">
        <f>IF($E1421="","",IF(COUNTIF($E$2:$E1421,$E1421)=1,1,0))</f>
        <v/>
      </c>
      <c r="AR1421">
        <f>IF($AQ1421=1,SUMPRODUCT(--($AU$2:$AU$1501&lt;$AU1421))+1,"")</f>
        <v/>
      </c>
      <c r="AS1421">
        <f>IF($E1421="","",IF(OR($U1421=TRUE(),$U1421="TRUE"),1,0))</f>
        <v/>
      </c>
      <c r="AT1421">
        <f>IF($E1421="","",IF($AC1421="Yes",1,0))</f>
        <v/>
      </c>
      <c r="AU1421">
        <f>IF($AQ1421=1,IFERROR(IF(VALUE($E1421)&lt;100000000,VALUE($E1421),1000000000),IFERROR(IF(VALUE(MID($E1421,2,20))&lt;100000000,VALUE(MID($E1421,2,20)),1000000000),1000000000))+ROW()/100000,"")</f>
        <v/>
      </c>
    </row>
    <row r="1422">
      <c r="G1422" s="14" t="n"/>
      <c r="Q1422" s="7">
        <f>IF($E1422="","",P1422*Z1422/100)</f>
        <v/>
      </c>
      <c r="R1422" s="7" t="n"/>
      <c r="Y1422" s="7" t="n"/>
      <c r="Z1422" s="7" t="n"/>
      <c r="AA1422" s="7" t="n"/>
      <c r="AD1422">
        <f>IF($E1422="","",IF($AT1422=1,Settings!$C$8,IF($AS1422=1,Settings!$C$6,Settings!$C$7))*100)</f>
        <v/>
      </c>
      <c r="AE1422" s="7">
        <f>IF($E1422="","",Z1422*AD1422/100)</f>
        <v/>
      </c>
      <c r="AF1422" s="7">
        <f>IF($E1422="","",Z1422-AE1422)</f>
        <v/>
      </c>
      <c r="AG1422" s="7">
        <f>IF($E1422="","",AF1422-Q1422)</f>
        <v/>
      </c>
      <c r="AK1422" s="7" t="n"/>
      <c r="AN1422" s="14" t="n"/>
      <c r="AQ1422">
        <f>IF($E1422="","",IF(COUNTIF($E$2:$E1422,$E1422)=1,1,0))</f>
        <v/>
      </c>
      <c r="AR1422">
        <f>IF($AQ1422=1,SUMPRODUCT(--($AU$2:$AU$1501&lt;$AU1422))+1,"")</f>
        <v/>
      </c>
      <c r="AS1422">
        <f>IF($E1422="","",IF(OR($U1422=TRUE(),$U1422="TRUE"),1,0))</f>
        <v/>
      </c>
      <c r="AT1422">
        <f>IF($E1422="","",IF($AC1422="Yes",1,0))</f>
        <v/>
      </c>
      <c r="AU1422">
        <f>IF($AQ1422=1,IFERROR(IF(VALUE($E1422)&lt;100000000,VALUE($E1422),1000000000),IFERROR(IF(VALUE(MID($E1422,2,20))&lt;100000000,VALUE(MID($E1422,2,20)),1000000000),1000000000))+ROW()/100000,"")</f>
        <v/>
      </c>
    </row>
    <row r="1423">
      <c r="G1423" s="14" t="n"/>
      <c r="Q1423" s="7">
        <f>IF($E1423="","",P1423*Z1423/100)</f>
        <v/>
      </c>
      <c r="R1423" s="7" t="n"/>
      <c r="Y1423" s="7" t="n"/>
      <c r="Z1423" s="7" t="n"/>
      <c r="AA1423" s="7" t="n"/>
      <c r="AD1423">
        <f>IF($E1423="","",IF($AT1423=1,Settings!$C$8,IF($AS1423=1,Settings!$C$6,Settings!$C$7))*100)</f>
        <v/>
      </c>
      <c r="AE1423" s="7">
        <f>IF($E1423="","",Z1423*AD1423/100)</f>
        <v/>
      </c>
      <c r="AF1423" s="7">
        <f>IF($E1423="","",Z1423-AE1423)</f>
        <v/>
      </c>
      <c r="AG1423" s="7">
        <f>IF($E1423="","",AF1423-Q1423)</f>
        <v/>
      </c>
      <c r="AK1423" s="7" t="n"/>
      <c r="AN1423" s="14" t="n"/>
      <c r="AQ1423">
        <f>IF($E1423="","",IF(COUNTIF($E$2:$E1423,$E1423)=1,1,0))</f>
        <v/>
      </c>
      <c r="AR1423">
        <f>IF($AQ1423=1,SUMPRODUCT(--($AU$2:$AU$1501&lt;$AU1423))+1,"")</f>
        <v/>
      </c>
      <c r="AS1423">
        <f>IF($E1423="","",IF(OR($U1423=TRUE(),$U1423="TRUE"),1,0))</f>
        <v/>
      </c>
      <c r="AT1423">
        <f>IF($E1423="","",IF($AC1423="Yes",1,0))</f>
        <v/>
      </c>
      <c r="AU1423">
        <f>IF($AQ1423=1,IFERROR(IF(VALUE($E1423)&lt;100000000,VALUE($E1423),1000000000),IFERROR(IF(VALUE(MID($E1423,2,20))&lt;100000000,VALUE(MID($E1423,2,20)),1000000000),1000000000))+ROW()/100000,"")</f>
        <v/>
      </c>
    </row>
    <row r="1424">
      <c r="G1424" s="14" t="n"/>
      <c r="Q1424" s="7">
        <f>IF($E1424="","",P1424*Z1424/100)</f>
        <v/>
      </c>
      <c r="R1424" s="7" t="n"/>
      <c r="Y1424" s="7" t="n"/>
      <c r="Z1424" s="7" t="n"/>
      <c r="AA1424" s="7" t="n"/>
      <c r="AD1424">
        <f>IF($E1424="","",IF($AT1424=1,Settings!$C$8,IF($AS1424=1,Settings!$C$6,Settings!$C$7))*100)</f>
        <v/>
      </c>
      <c r="AE1424" s="7">
        <f>IF($E1424="","",Z1424*AD1424/100)</f>
        <v/>
      </c>
      <c r="AF1424" s="7">
        <f>IF($E1424="","",Z1424-AE1424)</f>
        <v/>
      </c>
      <c r="AG1424" s="7">
        <f>IF($E1424="","",AF1424-Q1424)</f>
        <v/>
      </c>
      <c r="AK1424" s="7" t="n"/>
      <c r="AN1424" s="14" t="n"/>
      <c r="AQ1424">
        <f>IF($E1424="","",IF(COUNTIF($E$2:$E1424,$E1424)=1,1,0))</f>
        <v/>
      </c>
      <c r="AR1424">
        <f>IF($AQ1424=1,SUMPRODUCT(--($AU$2:$AU$1501&lt;$AU1424))+1,"")</f>
        <v/>
      </c>
      <c r="AS1424">
        <f>IF($E1424="","",IF(OR($U1424=TRUE(),$U1424="TRUE"),1,0))</f>
        <v/>
      </c>
      <c r="AT1424">
        <f>IF($E1424="","",IF($AC1424="Yes",1,0))</f>
        <v/>
      </c>
      <c r="AU1424">
        <f>IF($AQ1424=1,IFERROR(IF(VALUE($E1424)&lt;100000000,VALUE($E1424),1000000000),IFERROR(IF(VALUE(MID($E1424,2,20))&lt;100000000,VALUE(MID($E1424,2,20)),1000000000),1000000000))+ROW()/100000,"")</f>
        <v/>
      </c>
    </row>
    <row r="1425">
      <c r="G1425" s="14" t="n"/>
      <c r="Q1425" s="7">
        <f>IF($E1425="","",P1425*Z1425/100)</f>
        <v/>
      </c>
      <c r="R1425" s="7" t="n"/>
      <c r="Y1425" s="7" t="n"/>
      <c r="Z1425" s="7" t="n"/>
      <c r="AA1425" s="7" t="n"/>
      <c r="AD1425">
        <f>IF($E1425="","",IF($AT1425=1,Settings!$C$8,IF($AS1425=1,Settings!$C$6,Settings!$C$7))*100)</f>
        <v/>
      </c>
      <c r="AE1425" s="7">
        <f>IF($E1425="","",Z1425*AD1425/100)</f>
        <v/>
      </c>
      <c r="AF1425" s="7">
        <f>IF($E1425="","",Z1425-AE1425)</f>
        <v/>
      </c>
      <c r="AG1425" s="7">
        <f>IF($E1425="","",AF1425-Q1425)</f>
        <v/>
      </c>
      <c r="AK1425" s="7" t="n"/>
      <c r="AN1425" s="14" t="n"/>
      <c r="AQ1425">
        <f>IF($E1425="","",IF(COUNTIF($E$2:$E1425,$E1425)=1,1,0))</f>
        <v/>
      </c>
      <c r="AR1425">
        <f>IF($AQ1425=1,SUMPRODUCT(--($AU$2:$AU$1501&lt;$AU1425))+1,"")</f>
        <v/>
      </c>
      <c r="AS1425">
        <f>IF($E1425="","",IF(OR($U1425=TRUE(),$U1425="TRUE"),1,0))</f>
        <v/>
      </c>
      <c r="AT1425">
        <f>IF($E1425="","",IF($AC1425="Yes",1,0))</f>
        <v/>
      </c>
      <c r="AU1425">
        <f>IF($AQ1425=1,IFERROR(IF(VALUE($E1425)&lt;100000000,VALUE($E1425),1000000000),IFERROR(IF(VALUE(MID($E1425,2,20))&lt;100000000,VALUE(MID($E1425,2,20)),1000000000),1000000000))+ROW()/100000,"")</f>
        <v/>
      </c>
    </row>
    <row r="1426">
      <c r="G1426" s="14" t="n"/>
      <c r="Q1426" s="7">
        <f>IF($E1426="","",P1426*Z1426/100)</f>
        <v/>
      </c>
      <c r="R1426" s="7" t="n"/>
      <c r="Y1426" s="7" t="n"/>
      <c r="Z1426" s="7" t="n"/>
      <c r="AA1426" s="7" t="n"/>
      <c r="AD1426">
        <f>IF($E1426="","",IF($AT1426=1,Settings!$C$8,IF($AS1426=1,Settings!$C$6,Settings!$C$7))*100)</f>
        <v/>
      </c>
      <c r="AE1426" s="7">
        <f>IF($E1426="","",Z1426*AD1426/100)</f>
        <v/>
      </c>
      <c r="AF1426" s="7">
        <f>IF($E1426="","",Z1426-AE1426)</f>
        <v/>
      </c>
      <c r="AG1426" s="7">
        <f>IF($E1426="","",AF1426-Q1426)</f>
        <v/>
      </c>
      <c r="AK1426" s="7" t="n"/>
      <c r="AN1426" s="14" t="n"/>
      <c r="AQ1426">
        <f>IF($E1426="","",IF(COUNTIF($E$2:$E1426,$E1426)=1,1,0))</f>
        <v/>
      </c>
      <c r="AR1426">
        <f>IF($AQ1426=1,SUMPRODUCT(--($AU$2:$AU$1501&lt;$AU1426))+1,"")</f>
        <v/>
      </c>
      <c r="AS1426">
        <f>IF($E1426="","",IF(OR($U1426=TRUE(),$U1426="TRUE"),1,0))</f>
        <v/>
      </c>
      <c r="AT1426">
        <f>IF($E1426="","",IF($AC1426="Yes",1,0))</f>
        <v/>
      </c>
      <c r="AU1426">
        <f>IF($AQ1426=1,IFERROR(IF(VALUE($E1426)&lt;100000000,VALUE($E1426),1000000000),IFERROR(IF(VALUE(MID($E1426,2,20))&lt;100000000,VALUE(MID($E1426,2,20)),1000000000),1000000000))+ROW()/100000,"")</f>
        <v/>
      </c>
    </row>
    <row r="1427">
      <c r="G1427" s="14" t="n"/>
      <c r="Q1427" s="7">
        <f>IF($E1427="","",P1427*Z1427/100)</f>
        <v/>
      </c>
      <c r="R1427" s="7" t="n"/>
      <c r="Y1427" s="7" t="n"/>
      <c r="Z1427" s="7" t="n"/>
      <c r="AA1427" s="7" t="n"/>
      <c r="AD1427">
        <f>IF($E1427="","",IF($AT1427=1,Settings!$C$8,IF($AS1427=1,Settings!$C$6,Settings!$C$7))*100)</f>
        <v/>
      </c>
      <c r="AE1427" s="7">
        <f>IF($E1427="","",Z1427*AD1427/100)</f>
        <v/>
      </c>
      <c r="AF1427" s="7">
        <f>IF($E1427="","",Z1427-AE1427)</f>
        <v/>
      </c>
      <c r="AG1427" s="7">
        <f>IF($E1427="","",AF1427-Q1427)</f>
        <v/>
      </c>
      <c r="AK1427" s="7" t="n"/>
      <c r="AN1427" s="14" t="n"/>
      <c r="AQ1427">
        <f>IF($E1427="","",IF(COUNTIF($E$2:$E1427,$E1427)=1,1,0))</f>
        <v/>
      </c>
      <c r="AR1427">
        <f>IF($AQ1427=1,SUMPRODUCT(--($AU$2:$AU$1501&lt;$AU1427))+1,"")</f>
        <v/>
      </c>
      <c r="AS1427">
        <f>IF($E1427="","",IF(OR($U1427=TRUE(),$U1427="TRUE"),1,0))</f>
        <v/>
      </c>
      <c r="AT1427">
        <f>IF($E1427="","",IF($AC1427="Yes",1,0))</f>
        <v/>
      </c>
      <c r="AU1427">
        <f>IF($AQ1427=1,IFERROR(IF(VALUE($E1427)&lt;100000000,VALUE($E1427),1000000000),IFERROR(IF(VALUE(MID($E1427,2,20))&lt;100000000,VALUE(MID($E1427,2,20)),1000000000),1000000000))+ROW()/100000,"")</f>
        <v/>
      </c>
    </row>
    <row r="1428">
      <c r="G1428" s="14" t="n"/>
      <c r="Q1428" s="7">
        <f>IF($E1428="","",P1428*Z1428/100)</f>
        <v/>
      </c>
      <c r="R1428" s="7" t="n"/>
      <c r="Y1428" s="7" t="n"/>
      <c r="Z1428" s="7" t="n"/>
      <c r="AA1428" s="7" t="n"/>
      <c r="AD1428">
        <f>IF($E1428="","",IF($AT1428=1,Settings!$C$8,IF($AS1428=1,Settings!$C$6,Settings!$C$7))*100)</f>
        <v/>
      </c>
      <c r="AE1428" s="7">
        <f>IF($E1428="","",Z1428*AD1428/100)</f>
        <v/>
      </c>
      <c r="AF1428" s="7">
        <f>IF($E1428="","",Z1428-AE1428)</f>
        <v/>
      </c>
      <c r="AG1428" s="7">
        <f>IF($E1428="","",AF1428-Q1428)</f>
        <v/>
      </c>
      <c r="AK1428" s="7" t="n"/>
      <c r="AN1428" s="14" t="n"/>
      <c r="AQ1428">
        <f>IF($E1428="","",IF(COUNTIF($E$2:$E1428,$E1428)=1,1,0))</f>
        <v/>
      </c>
      <c r="AR1428">
        <f>IF($AQ1428=1,SUMPRODUCT(--($AU$2:$AU$1501&lt;$AU1428))+1,"")</f>
        <v/>
      </c>
      <c r="AS1428">
        <f>IF($E1428="","",IF(OR($U1428=TRUE(),$U1428="TRUE"),1,0))</f>
        <v/>
      </c>
      <c r="AT1428">
        <f>IF($E1428="","",IF($AC1428="Yes",1,0))</f>
        <v/>
      </c>
      <c r="AU1428">
        <f>IF($AQ1428=1,IFERROR(IF(VALUE($E1428)&lt;100000000,VALUE($E1428),1000000000),IFERROR(IF(VALUE(MID($E1428,2,20))&lt;100000000,VALUE(MID($E1428,2,20)),1000000000),1000000000))+ROW()/100000,"")</f>
        <v/>
      </c>
    </row>
    <row r="1429">
      <c r="G1429" s="14" t="n"/>
      <c r="Q1429" s="7">
        <f>IF($E1429="","",P1429*Z1429/100)</f>
        <v/>
      </c>
      <c r="R1429" s="7" t="n"/>
      <c r="Y1429" s="7" t="n"/>
      <c r="Z1429" s="7" t="n"/>
      <c r="AA1429" s="7" t="n"/>
      <c r="AD1429">
        <f>IF($E1429="","",IF($AT1429=1,Settings!$C$8,IF($AS1429=1,Settings!$C$6,Settings!$C$7))*100)</f>
        <v/>
      </c>
      <c r="AE1429" s="7">
        <f>IF($E1429="","",Z1429*AD1429/100)</f>
        <v/>
      </c>
      <c r="AF1429" s="7">
        <f>IF($E1429="","",Z1429-AE1429)</f>
        <v/>
      </c>
      <c r="AG1429" s="7">
        <f>IF($E1429="","",AF1429-Q1429)</f>
        <v/>
      </c>
      <c r="AK1429" s="7" t="n"/>
      <c r="AN1429" s="14" t="n"/>
      <c r="AQ1429">
        <f>IF($E1429="","",IF(COUNTIF($E$2:$E1429,$E1429)=1,1,0))</f>
        <v/>
      </c>
      <c r="AR1429">
        <f>IF($AQ1429=1,SUMPRODUCT(--($AU$2:$AU$1501&lt;$AU1429))+1,"")</f>
        <v/>
      </c>
      <c r="AS1429">
        <f>IF($E1429="","",IF(OR($U1429=TRUE(),$U1429="TRUE"),1,0))</f>
        <v/>
      </c>
      <c r="AT1429">
        <f>IF($E1429="","",IF($AC1429="Yes",1,0))</f>
        <v/>
      </c>
      <c r="AU1429">
        <f>IF($AQ1429=1,IFERROR(IF(VALUE($E1429)&lt;100000000,VALUE($E1429),1000000000),IFERROR(IF(VALUE(MID($E1429,2,20))&lt;100000000,VALUE(MID($E1429,2,20)),1000000000),1000000000))+ROW()/100000,"")</f>
        <v/>
      </c>
    </row>
    <row r="1430">
      <c r="G1430" s="14" t="n"/>
      <c r="Q1430" s="7">
        <f>IF($E1430="","",P1430*Z1430/100)</f>
        <v/>
      </c>
      <c r="R1430" s="7" t="n"/>
      <c r="Y1430" s="7" t="n"/>
      <c r="Z1430" s="7" t="n"/>
      <c r="AA1430" s="7" t="n"/>
      <c r="AD1430">
        <f>IF($E1430="","",IF($AT1430=1,Settings!$C$8,IF($AS1430=1,Settings!$C$6,Settings!$C$7))*100)</f>
        <v/>
      </c>
      <c r="AE1430" s="7">
        <f>IF($E1430="","",Z1430*AD1430/100)</f>
        <v/>
      </c>
      <c r="AF1430" s="7">
        <f>IF($E1430="","",Z1430-AE1430)</f>
        <v/>
      </c>
      <c r="AG1430" s="7">
        <f>IF($E1430="","",AF1430-Q1430)</f>
        <v/>
      </c>
      <c r="AK1430" s="7" t="n"/>
      <c r="AN1430" s="14" t="n"/>
      <c r="AQ1430">
        <f>IF($E1430="","",IF(COUNTIF($E$2:$E1430,$E1430)=1,1,0))</f>
        <v/>
      </c>
      <c r="AR1430">
        <f>IF($AQ1430=1,SUMPRODUCT(--($AU$2:$AU$1501&lt;$AU1430))+1,"")</f>
        <v/>
      </c>
      <c r="AS1430">
        <f>IF($E1430="","",IF(OR($U1430=TRUE(),$U1430="TRUE"),1,0))</f>
        <v/>
      </c>
      <c r="AT1430">
        <f>IF($E1430="","",IF($AC1430="Yes",1,0))</f>
        <v/>
      </c>
      <c r="AU1430">
        <f>IF($AQ1430=1,IFERROR(IF(VALUE($E1430)&lt;100000000,VALUE($E1430),1000000000),IFERROR(IF(VALUE(MID($E1430,2,20))&lt;100000000,VALUE(MID($E1430,2,20)),1000000000),1000000000))+ROW()/100000,"")</f>
        <v/>
      </c>
    </row>
    <row r="1431">
      <c r="G1431" s="14" t="n"/>
      <c r="Q1431" s="7">
        <f>IF($E1431="","",P1431*Z1431/100)</f>
        <v/>
      </c>
      <c r="R1431" s="7" t="n"/>
      <c r="Y1431" s="7" t="n"/>
      <c r="Z1431" s="7" t="n"/>
      <c r="AA1431" s="7" t="n"/>
      <c r="AD1431">
        <f>IF($E1431="","",IF($AT1431=1,Settings!$C$8,IF($AS1431=1,Settings!$C$6,Settings!$C$7))*100)</f>
        <v/>
      </c>
      <c r="AE1431" s="7">
        <f>IF($E1431="","",Z1431*AD1431/100)</f>
        <v/>
      </c>
      <c r="AF1431" s="7">
        <f>IF($E1431="","",Z1431-AE1431)</f>
        <v/>
      </c>
      <c r="AG1431" s="7">
        <f>IF($E1431="","",AF1431-Q1431)</f>
        <v/>
      </c>
      <c r="AK1431" s="7" t="n"/>
      <c r="AN1431" s="14" t="n"/>
      <c r="AQ1431">
        <f>IF($E1431="","",IF(COUNTIF($E$2:$E1431,$E1431)=1,1,0))</f>
        <v/>
      </c>
      <c r="AR1431">
        <f>IF($AQ1431=1,SUMPRODUCT(--($AU$2:$AU$1501&lt;$AU1431))+1,"")</f>
        <v/>
      </c>
      <c r="AS1431">
        <f>IF($E1431="","",IF(OR($U1431=TRUE(),$U1431="TRUE"),1,0))</f>
        <v/>
      </c>
      <c r="AT1431">
        <f>IF($E1431="","",IF($AC1431="Yes",1,0))</f>
        <v/>
      </c>
      <c r="AU1431">
        <f>IF($AQ1431=1,IFERROR(IF(VALUE($E1431)&lt;100000000,VALUE($E1431),1000000000),IFERROR(IF(VALUE(MID($E1431,2,20))&lt;100000000,VALUE(MID($E1431,2,20)),1000000000),1000000000))+ROW()/100000,"")</f>
        <v/>
      </c>
    </row>
    <row r="1432">
      <c r="G1432" s="14" t="n"/>
      <c r="Q1432" s="7">
        <f>IF($E1432="","",P1432*Z1432/100)</f>
        <v/>
      </c>
      <c r="R1432" s="7" t="n"/>
      <c r="Y1432" s="7" t="n"/>
      <c r="Z1432" s="7" t="n"/>
      <c r="AA1432" s="7" t="n"/>
      <c r="AD1432">
        <f>IF($E1432="","",IF($AT1432=1,Settings!$C$8,IF($AS1432=1,Settings!$C$6,Settings!$C$7))*100)</f>
        <v/>
      </c>
      <c r="AE1432" s="7">
        <f>IF($E1432="","",Z1432*AD1432/100)</f>
        <v/>
      </c>
      <c r="AF1432" s="7">
        <f>IF($E1432="","",Z1432-AE1432)</f>
        <v/>
      </c>
      <c r="AG1432" s="7">
        <f>IF($E1432="","",AF1432-Q1432)</f>
        <v/>
      </c>
      <c r="AK1432" s="7" t="n"/>
      <c r="AN1432" s="14" t="n"/>
      <c r="AQ1432">
        <f>IF($E1432="","",IF(COUNTIF($E$2:$E1432,$E1432)=1,1,0))</f>
        <v/>
      </c>
      <c r="AR1432">
        <f>IF($AQ1432=1,SUMPRODUCT(--($AU$2:$AU$1501&lt;$AU1432))+1,"")</f>
        <v/>
      </c>
      <c r="AS1432">
        <f>IF($E1432="","",IF(OR($U1432=TRUE(),$U1432="TRUE"),1,0))</f>
        <v/>
      </c>
      <c r="AT1432">
        <f>IF($E1432="","",IF($AC1432="Yes",1,0))</f>
        <v/>
      </c>
      <c r="AU1432">
        <f>IF($AQ1432=1,IFERROR(IF(VALUE($E1432)&lt;100000000,VALUE($E1432),1000000000),IFERROR(IF(VALUE(MID($E1432,2,20))&lt;100000000,VALUE(MID($E1432,2,20)),1000000000),1000000000))+ROW()/100000,"")</f>
        <v/>
      </c>
    </row>
    <row r="1433">
      <c r="G1433" s="14" t="n"/>
      <c r="Q1433" s="7">
        <f>IF($E1433="","",P1433*Z1433/100)</f>
        <v/>
      </c>
      <c r="R1433" s="7" t="n"/>
      <c r="Y1433" s="7" t="n"/>
      <c r="Z1433" s="7" t="n"/>
      <c r="AA1433" s="7" t="n"/>
      <c r="AD1433">
        <f>IF($E1433="","",IF($AT1433=1,Settings!$C$8,IF($AS1433=1,Settings!$C$6,Settings!$C$7))*100)</f>
        <v/>
      </c>
      <c r="AE1433" s="7">
        <f>IF($E1433="","",Z1433*AD1433/100)</f>
        <v/>
      </c>
      <c r="AF1433" s="7">
        <f>IF($E1433="","",Z1433-AE1433)</f>
        <v/>
      </c>
      <c r="AG1433" s="7">
        <f>IF($E1433="","",AF1433-Q1433)</f>
        <v/>
      </c>
      <c r="AK1433" s="7" t="n"/>
      <c r="AN1433" s="14" t="n"/>
      <c r="AQ1433">
        <f>IF($E1433="","",IF(COUNTIF($E$2:$E1433,$E1433)=1,1,0))</f>
        <v/>
      </c>
      <c r="AR1433">
        <f>IF($AQ1433=1,SUMPRODUCT(--($AU$2:$AU$1501&lt;$AU1433))+1,"")</f>
        <v/>
      </c>
      <c r="AS1433">
        <f>IF($E1433="","",IF(OR($U1433=TRUE(),$U1433="TRUE"),1,0))</f>
        <v/>
      </c>
      <c r="AT1433">
        <f>IF($E1433="","",IF($AC1433="Yes",1,0))</f>
        <v/>
      </c>
      <c r="AU1433">
        <f>IF($AQ1433=1,IFERROR(IF(VALUE($E1433)&lt;100000000,VALUE($E1433),1000000000),IFERROR(IF(VALUE(MID($E1433,2,20))&lt;100000000,VALUE(MID($E1433,2,20)),1000000000),1000000000))+ROW()/100000,"")</f>
        <v/>
      </c>
    </row>
    <row r="1434">
      <c r="G1434" s="14" t="n"/>
      <c r="Q1434" s="7">
        <f>IF($E1434="","",P1434*Z1434/100)</f>
        <v/>
      </c>
      <c r="R1434" s="7" t="n"/>
      <c r="Y1434" s="7" t="n"/>
      <c r="Z1434" s="7" t="n"/>
      <c r="AA1434" s="7" t="n"/>
      <c r="AD1434">
        <f>IF($E1434="","",IF($AT1434=1,Settings!$C$8,IF($AS1434=1,Settings!$C$6,Settings!$C$7))*100)</f>
        <v/>
      </c>
      <c r="AE1434" s="7">
        <f>IF($E1434="","",Z1434*AD1434/100)</f>
        <v/>
      </c>
      <c r="AF1434" s="7">
        <f>IF($E1434="","",Z1434-AE1434)</f>
        <v/>
      </c>
      <c r="AG1434" s="7">
        <f>IF($E1434="","",AF1434-Q1434)</f>
        <v/>
      </c>
      <c r="AK1434" s="7" t="n"/>
      <c r="AN1434" s="14" t="n"/>
      <c r="AQ1434">
        <f>IF($E1434="","",IF(COUNTIF($E$2:$E1434,$E1434)=1,1,0))</f>
        <v/>
      </c>
      <c r="AR1434">
        <f>IF($AQ1434=1,SUMPRODUCT(--($AU$2:$AU$1501&lt;$AU1434))+1,"")</f>
        <v/>
      </c>
      <c r="AS1434">
        <f>IF($E1434="","",IF(OR($U1434=TRUE(),$U1434="TRUE"),1,0))</f>
        <v/>
      </c>
      <c r="AT1434">
        <f>IF($E1434="","",IF($AC1434="Yes",1,0))</f>
        <v/>
      </c>
      <c r="AU1434">
        <f>IF($AQ1434=1,IFERROR(IF(VALUE($E1434)&lt;100000000,VALUE($E1434),1000000000),IFERROR(IF(VALUE(MID($E1434,2,20))&lt;100000000,VALUE(MID($E1434,2,20)),1000000000),1000000000))+ROW()/100000,"")</f>
        <v/>
      </c>
    </row>
    <row r="1435">
      <c r="G1435" s="14" t="n"/>
      <c r="Q1435" s="7">
        <f>IF($E1435="","",P1435*Z1435/100)</f>
        <v/>
      </c>
      <c r="R1435" s="7" t="n"/>
      <c r="Y1435" s="7" t="n"/>
      <c r="Z1435" s="7" t="n"/>
      <c r="AA1435" s="7" t="n"/>
      <c r="AD1435">
        <f>IF($E1435="","",IF($AT1435=1,Settings!$C$8,IF($AS1435=1,Settings!$C$6,Settings!$C$7))*100)</f>
        <v/>
      </c>
      <c r="AE1435" s="7">
        <f>IF($E1435="","",Z1435*AD1435/100)</f>
        <v/>
      </c>
      <c r="AF1435" s="7">
        <f>IF($E1435="","",Z1435-AE1435)</f>
        <v/>
      </c>
      <c r="AG1435" s="7">
        <f>IF($E1435="","",AF1435-Q1435)</f>
        <v/>
      </c>
      <c r="AK1435" s="7" t="n"/>
      <c r="AN1435" s="14" t="n"/>
      <c r="AQ1435">
        <f>IF($E1435="","",IF(COUNTIF($E$2:$E1435,$E1435)=1,1,0))</f>
        <v/>
      </c>
      <c r="AR1435">
        <f>IF($AQ1435=1,SUMPRODUCT(--($AU$2:$AU$1501&lt;$AU1435))+1,"")</f>
        <v/>
      </c>
      <c r="AS1435">
        <f>IF($E1435="","",IF(OR($U1435=TRUE(),$U1435="TRUE"),1,0))</f>
        <v/>
      </c>
      <c r="AT1435">
        <f>IF($E1435="","",IF($AC1435="Yes",1,0))</f>
        <v/>
      </c>
      <c r="AU1435">
        <f>IF($AQ1435=1,IFERROR(IF(VALUE($E1435)&lt;100000000,VALUE($E1435),1000000000),IFERROR(IF(VALUE(MID($E1435,2,20))&lt;100000000,VALUE(MID($E1435,2,20)),1000000000),1000000000))+ROW()/100000,"")</f>
        <v/>
      </c>
    </row>
    <row r="1436">
      <c r="G1436" s="14" t="n"/>
      <c r="Q1436" s="7">
        <f>IF($E1436="","",P1436*Z1436/100)</f>
        <v/>
      </c>
      <c r="R1436" s="7" t="n"/>
      <c r="Y1436" s="7" t="n"/>
      <c r="Z1436" s="7" t="n"/>
      <c r="AA1436" s="7" t="n"/>
      <c r="AD1436">
        <f>IF($E1436="","",IF($AT1436=1,Settings!$C$8,IF($AS1436=1,Settings!$C$6,Settings!$C$7))*100)</f>
        <v/>
      </c>
      <c r="AE1436" s="7">
        <f>IF($E1436="","",Z1436*AD1436/100)</f>
        <v/>
      </c>
      <c r="AF1436" s="7">
        <f>IF($E1436="","",Z1436-AE1436)</f>
        <v/>
      </c>
      <c r="AG1436" s="7">
        <f>IF($E1436="","",AF1436-Q1436)</f>
        <v/>
      </c>
      <c r="AK1436" s="7" t="n"/>
      <c r="AN1436" s="14" t="n"/>
      <c r="AQ1436">
        <f>IF($E1436="","",IF(COUNTIF($E$2:$E1436,$E1436)=1,1,0))</f>
        <v/>
      </c>
      <c r="AR1436">
        <f>IF($AQ1436=1,SUMPRODUCT(--($AU$2:$AU$1501&lt;$AU1436))+1,"")</f>
        <v/>
      </c>
      <c r="AS1436">
        <f>IF($E1436="","",IF(OR($U1436=TRUE(),$U1436="TRUE"),1,0))</f>
        <v/>
      </c>
      <c r="AT1436">
        <f>IF($E1436="","",IF($AC1436="Yes",1,0))</f>
        <v/>
      </c>
      <c r="AU1436">
        <f>IF($AQ1436=1,IFERROR(IF(VALUE($E1436)&lt;100000000,VALUE($E1436),1000000000),IFERROR(IF(VALUE(MID($E1436,2,20))&lt;100000000,VALUE(MID($E1436,2,20)),1000000000),1000000000))+ROW()/100000,"")</f>
        <v/>
      </c>
    </row>
    <row r="1437">
      <c r="G1437" s="14" t="n"/>
      <c r="Q1437" s="7">
        <f>IF($E1437="","",P1437*Z1437/100)</f>
        <v/>
      </c>
      <c r="R1437" s="7" t="n"/>
      <c r="Y1437" s="7" t="n"/>
      <c r="Z1437" s="7" t="n"/>
      <c r="AA1437" s="7" t="n"/>
      <c r="AD1437">
        <f>IF($E1437="","",IF($AT1437=1,Settings!$C$8,IF($AS1437=1,Settings!$C$6,Settings!$C$7))*100)</f>
        <v/>
      </c>
      <c r="AE1437" s="7">
        <f>IF($E1437="","",Z1437*AD1437/100)</f>
        <v/>
      </c>
      <c r="AF1437" s="7">
        <f>IF($E1437="","",Z1437-AE1437)</f>
        <v/>
      </c>
      <c r="AG1437" s="7">
        <f>IF($E1437="","",AF1437-Q1437)</f>
        <v/>
      </c>
      <c r="AK1437" s="7" t="n"/>
      <c r="AN1437" s="14" t="n"/>
      <c r="AQ1437">
        <f>IF($E1437="","",IF(COUNTIF($E$2:$E1437,$E1437)=1,1,0))</f>
        <v/>
      </c>
      <c r="AR1437">
        <f>IF($AQ1437=1,SUMPRODUCT(--($AU$2:$AU$1501&lt;$AU1437))+1,"")</f>
        <v/>
      </c>
      <c r="AS1437">
        <f>IF($E1437="","",IF(OR($U1437=TRUE(),$U1437="TRUE"),1,0))</f>
        <v/>
      </c>
      <c r="AT1437">
        <f>IF($E1437="","",IF($AC1437="Yes",1,0))</f>
        <v/>
      </c>
      <c r="AU1437">
        <f>IF($AQ1437=1,IFERROR(IF(VALUE($E1437)&lt;100000000,VALUE($E1437),1000000000),IFERROR(IF(VALUE(MID($E1437,2,20))&lt;100000000,VALUE(MID($E1437,2,20)),1000000000),1000000000))+ROW()/100000,"")</f>
        <v/>
      </c>
    </row>
    <row r="1438">
      <c r="G1438" s="14" t="n"/>
      <c r="Q1438" s="7">
        <f>IF($E1438="","",P1438*Z1438/100)</f>
        <v/>
      </c>
      <c r="R1438" s="7" t="n"/>
      <c r="Y1438" s="7" t="n"/>
      <c r="Z1438" s="7" t="n"/>
      <c r="AA1438" s="7" t="n"/>
      <c r="AD1438">
        <f>IF($E1438="","",IF($AT1438=1,Settings!$C$8,IF($AS1438=1,Settings!$C$6,Settings!$C$7))*100)</f>
        <v/>
      </c>
      <c r="AE1438" s="7">
        <f>IF($E1438="","",Z1438*AD1438/100)</f>
        <v/>
      </c>
      <c r="AF1438" s="7">
        <f>IF($E1438="","",Z1438-AE1438)</f>
        <v/>
      </c>
      <c r="AG1438" s="7">
        <f>IF($E1438="","",AF1438-Q1438)</f>
        <v/>
      </c>
      <c r="AK1438" s="7" t="n"/>
      <c r="AN1438" s="14" t="n"/>
      <c r="AQ1438">
        <f>IF($E1438="","",IF(COUNTIF($E$2:$E1438,$E1438)=1,1,0))</f>
        <v/>
      </c>
      <c r="AR1438">
        <f>IF($AQ1438=1,SUMPRODUCT(--($AU$2:$AU$1501&lt;$AU1438))+1,"")</f>
        <v/>
      </c>
      <c r="AS1438">
        <f>IF($E1438="","",IF(OR($U1438=TRUE(),$U1438="TRUE"),1,0))</f>
        <v/>
      </c>
      <c r="AT1438">
        <f>IF($E1438="","",IF($AC1438="Yes",1,0))</f>
        <v/>
      </c>
      <c r="AU1438">
        <f>IF($AQ1438=1,IFERROR(IF(VALUE($E1438)&lt;100000000,VALUE($E1438),1000000000),IFERROR(IF(VALUE(MID($E1438,2,20))&lt;100000000,VALUE(MID($E1438,2,20)),1000000000),1000000000))+ROW()/100000,"")</f>
        <v/>
      </c>
    </row>
    <row r="1439">
      <c r="G1439" s="14" t="n"/>
      <c r="Q1439" s="7">
        <f>IF($E1439="","",P1439*Z1439/100)</f>
        <v/>
      </c>
      <c r="R1439" s="7" t="n"/>
      <c r="Y1439" s="7" t="n"/>
      <c r="Z1439" s="7" t="n"/>
      <c r="AA1439" s="7" t="n"/>
      <c r="AD1439">
        <f>IF($E1439="","",IF($AT1439=1,Settings!$C$8,IF($AS1439=1,Settings!$C$6,Settings!$C$7))*100)</f>
        <v/>
      </c>
      <c r="AE1439" s="7">
        <f>IF($E1439="","",Z1439*AD1439/100)</f>
        <v/>
      </c>
      <c r="AF1439" s="7">
        <f>IF($E1439="","",Z1439-AE1439)</f>
        <v/>
      </c>
      <c r="AG1439" s="7">
        <f>IF($E1439="","",AF1439-Q1439)</f>
        <v/>
      </c>
      <c r="AK1439" s="7" t="n"/>
      <c r="AN1439" s="14" t="n"/>
      <c r="AQ1439">
        <f>IF($E1439="","",IF(COUNTIF($E$2:$E1439,$E1439)=1,1,0))</f>
        <v/>
      </c>
      <c r="AR1439">
        <f>IF($AQ1439=1,SUMPRODUCT(--($AU$2:$AU$1501&lt;$AU1439))+1,"")</f>
        <v/>
      </c>
      <c r="AS1439">
        <f>IF($E1439="","",IF(OR($U1439=TRUE(),$U1439="TRUE"),1,0))</f>
        <v/>
      </c>
      <c r="AT1439">
        <f>IF($E1439="","",IF($AC1439="Yes",1,0))</f>
        <v/>
      </c>
      <c r="AU1439">
        <f>IF($AQ1439=1,IFERROR(IF(VALUE($E1439)&lt;100000000,VALUE($E1439),1000000000),IFERROR(IF(VALUE(MID($E1439,2,20))&lt;100000000,VALUE(MID($E1439,2,20)),1000000000),1000000000))+ROW()/100000,"")</f>
        <v/>
      </c>
    </row>
    <row r="1440">
      <c r="G1440" s="14" t="n"/>
      <c r="Q1440" s="7">
        <f>IF($E1440="","",P1440*Z1440/100)</f>
        <v/>
      </c>
      <c r="R1440" s="7" t="n"/>
      <c r="Y1440" s="7" t="n"/>
      <c r="Z1440" s="7" t="n"/>
      <c r="AA1440" s="7" t="n"/>
      <c r="AD1440">
        <f>IF($E1440="","",IF($AT1440=1,Settings!$C$8,IF($AS1440=1,Settings!$C$6,Settings!$C$7))*100)</f>
        <v/>
      </c>
      <c r="AE1440" s="7">
        <f>IF($E1440="","",Z1440*AD1440/100)</f>
        <v/>
      </c>
      <c r="AF1440" s="7">
        <f>IF($E1440="","",Z1440-AE1440)</f>
        <v/>
      </c>
      <c r="AG1440" s="7">
        <f>IF($E1440="","",AF1440-Q1440)</f>
        <v/>
      </c>
      <c r="AK1440" s="7" t="n"/>
      <c r="AN1440" s="14" t="n"/>
      <c r="AQ1440">
        <f>IF($E1440="","",IF(COUNTIF($E$2:$E1440,$E1440)=1,1,0))</f>
        <v/>
      </c>
      <c r="AR1440">
        <f>IF($AQ1440=1,SUMPRODUCT(--($AU$2:$AU$1501&lt;$AU1440))+1,"")</f>
        <v/>
      </c>
      <c r="AS1440">
        <f>IF($E1440="","",IF(OR($U1440=TRUE(),$U1440="TRUE"),1,0))</f>
        <v/>
      </c>
      <c r="AT1440">
        <f>IF($E1440="","",IF($AC1440="Yes",1,0))</f>
        <v/>
      </c>
      <c r="AU1440">
        <f>IF($AQ1440=1,IFERROR(IF(VALUE($E1440)&lt;100000000,VALUE($E1440),1000000000),IFERROR(IF(VALUE(MID($E1440,2,20))&lt;100000000,VALUE(MID($E1440,2,20)),1000000000),1000000000))+ROW()/100000,"")</f>
        <v/>
      </c>
    </row>
    <row r="1441">
      <c r="G1441" s="14" t="n"/>
      <c r="Q1441" s="7">
        <f>IF($E1441="","",P1441*Z1441/100)</f>
        <v/>
      </c>
      <c r="R1441" s="7" t="n"/>
      <c r="Y1441" s="7" t="n"/>
      <c r="Z1441" s="7" t="n"/>
      <c r="AA1441" s="7" t="n"/>
      <c r="AD1441">
        <f>IF($E1441="","",IF($AT1441=1,Settings!$C$8,IF($AS1441=1,Settings!$C$6,Settings!$C$7))*100)</f>
        <v/>
      </c>
      <c r="AE1441" s="7">
        <f>IF($E1441="","",Z1441*AD1441/100)</f>
        <v/>
      </c>
      <c r="AF1441" s="7">
        <f>IF($E1441="","",Z1441-AE1441)</f>
        <v/>
      </c>
      <c r="AG1441" s="7">
        <f>IF($E1441="","",AF1441-Q1441)</f>
        <v/>
      </c>
      <c r="AK1441" s="7" t="n"/>
      <c r="AN1441" s="14" t="n"/>
      <c r="AQ1441">
        <f>IF($E1441="","",IF(COUNTIF($E$2:$E1441,$E1441)=1,1,0))</f>
        <v/>
      </c>
      <c r="AR1441">
        <f>IF($AQ1441=1,SUMPRODUCT(--($AU$2:$AU$1501&lt;$AU1441))+1,"")</f>
        <v/>
      </c>
      <c r="AS1441">
        <f>IF($E1441="","",IF(OR($U1441=TRUE(),$U1441="TRUE"),1,0))</f>
        <v/>
      </c>
      <c r="AT1441">
        <f>IF($E1441="","",IF($AC1441="Yes",1,0))</f>
        <v/>
      </c>
      <c r="AU1441">
        <f>IF($AQ1441=1,IFERROR(IF(VALUE($E1441)&lt;100000000,VALUE($E1441),1000000000),IFERROR(IF(VALUE(MID($E1441,2,20))&lt;100000000,VALUE(MID($E1441,2,20)),1000000000),1000000000))+ROW()/100000,"")</f>
        <v/>
      </c>
    </row>
    <row r="1442">
      <c r="G1442" s="14" t="n"/>
      <c r="Q1442" s="7">
        <f>IF($E1442="","",P1442*Z1442/100)</f>
        <v/>
      </c>
      <c r="R1442" s="7" t="n"/>
      <c r="Y1442" s="7" t="n"/>
      <c r="Z1442" s="7" t="n"/>
      <c r="AA1442" s="7" t="n"/>
      <c r="AD1442">
        <f>IF($E1442="","",IF($AT1442=1,Settings!$C$8,IF($AS1442=1,Settings!$C$6,Settings!$C$7))*100)</f>
        <v/>
      </c>
      <c r="AE1442" s="7">
        <f>IF($E1442="","",Z1442*AD1442/100)</f>
        <v/>
      </c>
      <c r="AF1442" s="7">
        <f>IF($E1442="","",Z1442-AE1442)</f>
        <v/>
      </c>
      <c r="AG1442" s="7">
        <f>IF($E1442="","",AF1442-Q1442)</f>
        <v/>
      </c>
      <c r="AK1442" s="7" t="n"/>
      <c r="AN1442" s="14" t="n"/>
      <c r="AQ1442">
        <f>IF($E1442="","",IF(COUNTIF($E$2:$E1442,$E1442)=1,1,0))</f>
        <v/>
      </c>
      <c r="AR1442">
        <f>IF($AQ1442=1,SUMPRODUCT(--($AU$2:$AU$1501&lt;$AU1442))+1,"")</f>
        <v/>
      </c>
      <c r="AS1442">
        <f>IF($E1442="","",IF(OR($U1442=TRUE(),$U1442="TRUE"),1,0))</f>
        <v/>
      </c>
      <c r="AT1442">
        <f>IF($E1442="","",IF($AC1442="Yes",1,0))</f>
        <v/>
      </c>
      <c r="AU1442">
        <f>IF($AQ1442=1,IFERROR(IF(VALUE($E1442)&lt;100000000,VALUE($E1442),1000000000),IFERROR(IF(VALUE(MID($E1442,2,20))&lt;100000000,VALUE(MID($E1442,2,20)),1000000000),1000000000))+ROW()/100000,"")</f>
        <v/>
      </c>
    </row>
    <row r="1443">
      <c r="G1443" s="14" t="n"/>
      <c r="Q1443" s="7">
        <f>IF($E1443="","",P1443*Z1443/100)</f>
        <v/>
      </c>
      <c r="R1443" s="7" t="n"/>
      <c r="Y1443" s="7" t="n"/>
      <c r="Z1443" s="7" t="n"/>
      <c r="AA1443" s="7" t="n"/>
      <c r="AD1443">
        <f>IF($E1443="","",IF($AT1443=1,Settings!$C$8,IF($AS1443=1,Settings!$C$6,Settings!$C$7))*100)</f>
        <v/>
      </c>
      <c r="AE1443" s="7">
        <f>IF($E1443="","",Z1443*AD1443/100)</f>
        <v/>
      </c>
      <c r="AF1443" s="7">
        <f>IF($E1443="","",Z1443-AE1443)</f>
        <v/>
      </c>
      <c r="AG1443" s="7">
        <f>IF($E1443="","",AF1443-Q1443)</f>
        <v/>
      </c>
      <c r="AK1443" s="7" t="n"/>
      <c r="AN1443" s="14" t="n"/>
      <c r="AQ1443">
        <f>IF($E1443="","",IF(COUNTIF($E$2:$E1443,$E1443)=1,1,0))</f>
        <v/>
      </c>
      <c r="AR1443">
        <f>IF($AQ1443=1,SUMPRODUCT(--($AU$2:$AU$1501&lt;$AU1443))+1,"")</f>
        <v/>
      </c>
      <c r="AS1443">
        <f>IF($E1443="","",IF(OR($U1443=TRUE(),$U1443="TRUE"),1,0))</f>
        <v/>
      </c>
      <c r="AT1443">
        <f>IF($E1443="","",IF($AC1443="Yes",1,0))</f>
        <v/>
      </c>
      <c r="AU1443">
        <f>IF($AQ1443=1,IFERROR(IF(VALUE($E1443)&lt;100000000,VALUE($E1443),1000000000),IFERROR(IF(VALUE(MID($E1443,2,20))&lt;100000000,VALUE(MID($E1443,2,20)),1000000000),1000000000))+ROW()/100000,"")</f>
        <v/>
      </c>
    </row>
    <row r="1444">
      <c r="G1444" s="14" t="n"/>
      <c r="Q1444" s="7">
        <f>IF($E1444="","",P1444*Z1444/100)</f>
        <v/>
      </c>
      <c r="R1444" s="7" t="n"/>
      <c r="Y1444" s="7" t="n"/>
      <c r="Z1444" s="7" t="n"/>
      <c r="AA1444" s="7" t="n"/>
      <c r="AD1444">
        <f>IF($E1444="","",IF($AT1444=1,Settings!$C$8,IF($AS1444=1,Settings!$C$6,Settings!$C$7))*100)</f>
        <v/>
      </c>
      <c r="AE1444" s="7">
        <f>IF($E1444="","",Z1444*AD1444/100)</f>
        <v/>
      </c>
      <c r="AF1444" s="7">
        <f>IF($E1444="","",Z1444-AE1444)</f>
        <v/>
      </c>
      <c r="AG1444" s="7">
        <f>IF($E1444="","",AF1444-Q1444)</f>
        <v/>
      </c>
      <c r="AK1444" s="7" t="n"/>
      <c r="AN1444" s="14" t="n"/>
      <c r="AQ1444">
        <f>IF($E1444="","",IF(COUNTIF($E$2:$E1444,$E1444)=1,1,0))</f>
        <v/>
      </c>
      <c r="AR1444">
        <f>IF($AQ1444=1,SUMPRODUCT(--($AU$2:$AU$1501&lt;$AU1444))+1,"")</f>
        <v/>
      </c>
      <c r="AS1444">
        <f>IF($E1444="","",IF(OR($U1444=TRUE(),$U1444="TRUE"),1,0))</f>
        <v/>
      </c>
      <c r="AT1444">
        <f>IF($E1444="","",IF($AC1444="Yes",1,0))</f>
        <v/>
      </c>
      <c r="AU1444">
        <f>IF($AQ1444=1,IFERROR(IF(VALUE($E1444)&lt;100000000,VALUE($E1444),1000000000),IFERROR(IF(VALUE(MID($E1444,2,20))&lt;100000000,VALUE(MID($E1444,2,20)),1000000000),1000000000))+ROW()/100000,"")</f>
        <v/>
      </c>
    </row>
    <row r="1445">
      <c r="G1445" s="14" t="n"/>
      <c r="Q1445" s="7">
        <f>IF($E1445="","",P1445*Z1445/100)</f>
        <v/>
      </c>
      <c r="R1445" s="7" t="n"/>
      <c r="Y1445" s="7" t="n"/>
      <c r="Z1445" s="7" t="n"/>
      <c r="AA1445" s="7" t="n"/>
      <c r="AD1445">
        <f>IF($E1445="","",IF($AT1445=1,Settings!$C$8,IF($AS1445=1,Settings!$C$6,Settings!$C$7))*100)</f>
        <v/>
      </c>
      <c r="AE1445" s="7">
        <f>IF($E1445="","",Z1445*AD1445/100)</f>
        <v/>
      </c>
      <c r="AF1445" s="7">
        <f>IF($E1445="","",Z1445-AE1445)</f>
        <v/>
      </c>
      <c r="AG1445" s="7">
        <f>IF($E1445="","",AF1445-Q1445)</f>
        <v/>
      </c>
      <c r="AK1445" s="7" t="n"/>
      <c r="AN1445" s="14" t="n"/>
      <c r="AQ1445">
        <f>IF($E1445="","",IF(COUNTIF($E$2:$E1445,$E1445)=1,1,0))</f>
        <v/>
      </c>
      <c r="AR1445">
        <f>IF($AQ1445=1,SUMPRODUCT(--($AU$2:$AU$1501&lt;$AU1445))+1,"")</f>
        <v/>
      </c>
      <c r="AS1445">
        <f>IF($E1445="","",IF(OR($U1445=TRUE(),$U1445="TRUE"),1,0))</f>
        <v/>
      </c>
      <c r="AT1445">
        <f>IF($E1445="","",IF($AC1445="Yes",1,0))</f>
        <v/>
      </c>
      <c r="AU1445">
        <f>IF($AQ1445=1,IFERROR(IF(VALUE($E1445)&lt;100000000,VALUE($E1445),1000000000),IFERROR(IF(VALUE(MID($E1445,2,20))&lt;100000000,VALUE(MID($E1445,2,20)),1000000000),1000000000))+ROW()/100000,"")</f>
        <v/>
      </c>
    </row>
    <row r="1446">
      <c r="G1446" s="14" t="n"/>
      <c r="Q1446" s="7">
        <f>IF($E1446="","",P1446*Z1446/100)</f>
        <v/>
      </c>
      <c r="R1446" s="7" t="n"/>
      <c r="Y1446" s="7" t="n"/>
      <c r="Z1446" s="7" t="n"/>
      <c r="AA1446" s="7" t="n"/>
      <c r="AD1446">
        <f>IF($E1446="","",IF($AT1446=1,Settings!$C$8,IF($AS1446=1,Settings!$C$6,Settings!$C$7))*100)</f>
        <v/>
      </c>
      <c r="AE1446" s="7">
        <f>IF($E1446="","",Z1446*AD1446/100)</f>
        <v/>
      </c>
      <c r="AF1446" s="7">
        <f>IF($E1446="","",Z1446-AE1446)</f>
        <v/>
      </c>
      <c r="AG1446" s="7">
        <f>IF($E1446="","",AF1446-Q1446)</f>
        <v/>
      </c>
      <c r="AK1446" s="7" t="n"/>
      <c r="AN1446" s="14" t="n"/>
      <c r="AQ1446">
        <f>IF($E1446="","",IF(COUNTIF($E$2:$E1446,$E1446)=1,1,0))</f>
        <v/>
      </c>
      <c r="AR1446">
        <f>IF($AQ1446=1,SUMPRODUCT(--($AU$2:$AU$1501&lt;$AU1446))+1,"")</f>
        <v/>
      </c>
      <c r="AS1446">
        <f>IF($E1446="","",IF(OR($U1446=TRUE(),$U1446="TRUE"),1,0))</f>
        <v/>
      </c>
      <c r="AT1446">
        <f>IF($E1446="","",IF($AC1446="Yes",1,0))</f>
        <v/>
      </c>
      <c r="AU1446">
        <f>IF($AQ1446=1,IFERROR(IF(VALUE($E1446)&lt;100000000,VALUE($E1446),1000000000),IFERROR(IF(VALUE(MID($E1446,2,20))&lt;100000000,VALUE(MID($E1446,2,20)),1000000000),1000000000))+ROW()/100000,"")</f>
        <v/>
      </c>
    </row>
    <row r="1447">
      <c r="G1447" s="14" t="n"/>
      <c r="Q1447" s="7">
        <f>IF($E1447="","",P1447*Z1447/100)</f>
        <v/>
      </c>
      <c r="R1447" s="7" t="n"/>
      <c r="Y1447" s="7" t="n"/>
      <c r="Z1447" s="7" t="n"/>
      <c r="AA1447" s="7" t="n"/>
      <c r="AD1447">
        <f>IF($E1447="","",IF($AT1447=1,Settings!$C$8,IF($AS1447=1,Settings!$C$6,Settings!$C$7))*100)</f>
        <v/>
      </c>
      <c r="AE1447" s="7">
        <f>IF($E1447="","",Z1447*AD1447/100)</f>
        <v/>
      </c>
      <c r="AF1447" s="7">
        <f>IF($E1447="","",Z1447-AE1447)</f>
        <v/>
      </c>
      <c r="AG1447" s="7">
        <f>IF($E1447="","",AF1447-Q1447)</f>
        <v/>
      </c>
      <c r="AK1447" s="7" t="n"/>
      <c r="AN1447" s="14" t="n"/>
      <c r="AQ1447">
        <f>IF($E1447="","",IF(COUNTIF($E$2:$E1447,$E1447)=1,1,0))</f>
        <v/>
      </c>
      <c r="AR1447">
        <f>IF($AQ1447=1,SUMPRODUCT(--($AU$2:$AU$1501&lt;$AU1447))+1,"")</f>
        <v/>
      </c>
      <c r="AS1447">
        <f>IF($E1447="","",IF(OR($U1447=TRUE(),$U1447="TRUE"),1,0))</f>
        <v/>
      </c>
      <c r="AT1447">
        <f>IF($E1447="","",IF($AC1447="Yes",1,0))</f>
        <v/>
      </c>
      <c r="AU1447">
        <f>IF($AQ1447=1,IFERROR(IF(VALUE($E1447)&lt;100000000,VALUE($E1447),1000000000),IFERROR(IF(VALUE(MID($E1447,2,20))&lt;100000000,VALUE(MID($E1447,2,20)),1000000000),1000000000))+ROW()/100000,"")</f>
        <v/>
      </c>
    </row>
    <row r="1448">
      <c r="G1448" s="14" t="n"/>
      <c r="Q1448" s="7">
        <f>IF($E1448="","",P1448*Z1448/100)</f>
        <v/>
      </c>
      <c r="R1448" s="7" t="n"/>
      <c r="Y1448" s="7" t="n"/>
      <c r="Z1448" s="7" t="n"/>
      <c r="AA1448" s="7" t="n"/>
      <c r="AD1448">
        <f>IF($E1448="","",IF($AT1448=1,Settings!$C$8,IF($AS1448=1,Settings!$C$6,Settings!$C$7))*100)</f>
        <v/>
      </c>
      <c r="AE1448" s="7">
        <f>IF($E1448="","",Z1448*AD1448/100)</f>
        <v/>
      </c>
      <c r="AF1448" s="7">
        <f>IF($E1448="","",Z1448-AE1448)</f>
        <v/>
      </c>
      <c r="AG1448" s="7">
        <f>IF($E1448="","",AF1448-Q1448)</f>
        <v/>
      </c>
      <c r="AK1448" s="7" t="n"/>
      <c r="AN1448" s="14" t="n"/>
      <c r="AQ1448">
        <f>IF($E1448="","",IF(COUNTIF($E$2:$E1448,$E1448)=1,1,0))</f>
        <v/>
      </c>
      <c r="AR1448">
        <f>IF($AQ1448=1,SUMPRODUCT(--($AU$2:$AU$1501&lt;$AU1448))+1,"")</f>
        <v/>
      </c>
      <c r="AS1448">
        <f>IF($E1448="","",IF(OR($U1448=TRUE(),$U1448="TRUE"),1,0))</f>
        <v/>
      </c>
      <c r="AT1448">
        <f>IF($E1448="","",IF($AC1448="Yes",1,0))</f>
        <v/>
      </c>
      <c r="AU1448">
        <f>IF($AQ1448=1,IFERROR(IF(VALUE($E1448)&lt;100000000,VALUE($E1448),1000000000),IFERROR(IF(VALUE(MID($E1448,2,20))&lt;100000000,VALUE(MID($E1448,2,20)),1000000000),1000000000))+ROW()/100000,"")</f>
        <v/>
      </c>
    </row>
    <row r="1449">
      <c r="G1449" s="14" t="n"/>
      <c r="Q1449" s="7">
        <f>IF($E1449="","",P1449*Z1449/100)</f>
        <v/>
      </c>
      <c r="R1449" s="7" t="n"/>
      <c r="Y1449" s="7" t="n"/>
      <c r="Z1449" s="7" t="n"/>
      <c r="AA1449" s="7" t="n"/>
      <c r="AD1449">
        <f>IF($E1449="","",IF($AT1449=1,Settings!$C$8,IF($AS1449=1,Settings!$C$6,Settings!$C$7))*100)</f>
        <v/>
      </c>
      <c r="AE1449" s="7">
        <f>IF($E1449="","",Z1449*AD1449/100)</f>
        <v/>
      </c>
      <c r="AF1449" s="7">
        <f>IF($E1449="","",Z1449-AE1449)</f>
        <v/>
      </c>
      <c r="AG1449" s="7">
        <f>IF($E1449="","",AF1449-Q1449)</f>
        <v/>
      </c>
      <c r="AK1449" s="7" t="n"/>
      <c r="AN1449" s="14" t="n"/>
      <c r="AQ1449">
        <f>IF($E1449="","",IF(COUNTIF($E$2:$E1449,$E1449)=1,1,0))</f>
        <v/>
      </c>
      <c r="AR1449">
        <f>IF($AQ1449=1,SUMPRODUCT(--($AU$2:$AU$1501&lt;$AU1449))+1,"")</f>
        <v/>
      </c>
      <c r="AS1449">
        <f>IF($E1449="","",IF(OR($U1449=TRUE(),$U1449="TRUE"),1,0))</f>
        <v/>
      </c>
      <c r="AT1449">
        <f>IF($E1449="","",IF($AC1449="Yes",1,0))</f>
        <v/>
      </c>
      <c r="AU1449">
        <f>IF($AQ1449=1,IFERROR(IF(VALUE($E1449)&lt;100000000,VALUE($E1449),1000000000),IFERROR(IF(VALUE(MID($E1449,2,20))&lt;100000000,VALUE(MID($E1449,2,20)),1000000000),1000000000))+ROW()/100000,"")</f>
        <v/>
      </c>
    </row>
    <row r="1450">
      <c r="G1450" s="14" t="n"/>
      <c r="Q1450" s="7">
        <f>IF($E1450="","",P1450*Z1450/100)</f>
        <v/>
      </c>
      <c r="R1450" s="7" t="n"/>
      <c r="Y1450" s="7" t="n"/>
      <c r="Z1450" s="7" t="n"/>
      <c r="AA1450" s="7" t="n"/>
      <c r="AD1450">
        <f>IF($E1450="","",IF($AT1450=1,Settings!$C$8,IF($AS1450=1,Settings!$C$6,Settings!$C$7))*100)</f>
        <v/>
      </c>
      <c r="AE1450" s="7">
        <f>IF($E1450="","",Z1450*AD1450/100)</f>
        <v/>
      </c>
      <c r="AF1450" s="7">
        <f>IF($E1450="","",Z1450-AE1450)</f>
        <v/>
      </c>
      <c r="AG1450" s="7">
        <f>IF($E1450="","",AF1450-Q1450)</f>
        <v/>
      </c>
      <c r="AK1450" s="7" t="n"/>
      <c r="AN1450" s="14" t="n"/>
      <c r="AQ1450">
        <f>IF($E1450="","",IF(COUNTIF($E$2:$E1450,$E1450)=1,1,0))</f>
        <v/>
      </c>
      <c r="AR1450">
        <f>IF($AQ1450=1,SUMPRODUCT(--($AU$2:$AU$1501&lt;$AU1450))+1,"")</f>
        <v/>
      </c>
      <c r="AS1450">
        <f>IF($E1450="","",IF(OR($U1450=TRUE(),$U1450="TRUE"),1,0))</f>
        <v/>
      </c>
      <c r="AT1450">
        <f>IF($E1450="","",IF($AC1450="Yes",1,0))</f>
        <v/>
      </c>
      <c r="AU1450">
        <f>IF($AQ1450=1,IFERROR(IF(VALUE($E1450)&lt;100000000,VALUE($E1450),1000000000),IFERROR(IF(VALUE(MID($E1450,2,20))&lt;100000000,VALUE(MID($E1450,2,20)),1000000000),1000000000))+ROW()/100000,"")</f>
        <v/>
      </c>
    </row>
    <row r="1451">
      <c r="G1451" s="14" t="n"/>
      <c r="Q1451" s="7">
        <f>IF($E1451="","",P1451*Z1451/100)</f>
        <v/>
      </c>
      <c r="R1451" s="7" t="n"/>
      <c r="Y1451" s="7" t="n"/>
      <c r="Z1451" s="7" t="n"/>
      <c r="AA1451" s="7" t="n"/>
      <c r="AD1451">
        <f>IF($E1451="","",IF($AT1451=1,Settings!$C$8,IF($AS1451=1,Settings!$C$6,Settings!$C$7))*100)</f>
        <v/>
      </c>
      <c r="AE1451" s="7">
        <f>IF($E1451="","",Z1451*AD1451/100)</f>
        <v/>
      </c>
      <c r="AF1451" s="7">
        <f>IF($E1451="","",Z1451-AE1451)</f>
        <v/>
      </c>
      <c r="AG1451" s="7">
        <f>IF($E1451="","",AF1451-Q1451)</f>
        <v/>
      </c>
      <c r="AK1451" s="7" t="n"/>
      <c r="AN1451" s="14" t="n"/>
      <c r="AQ1451">
        <f>IF($E1451="","",IF(COUNTIF($E$2:$E1451,$E1451)=1,1,0))</f>
        <v/>
      </c>
      <c r="AR1451">
        <f>IF($AQ1451=1,SUMPRODUCT(--($AU$2:$AU$1501&lt;$AU1451))+1,"")</f>
        <v/>
      </c>
      <c r="AS1451">
        <f>IF($E1451="","",IF(OR($U1451=TRUE(),$U1451="TRUE"),1,0))</f>
        <v/>
      </c>
      <c r="AT1451">
        <f>IF($E1451="","",IF($AC1451="Yes",1,0))</f>
        <v/>
      </c>
      <c r="AU1451">
        <f>IF($AQ1451=1,IFERROR(IF(VALUE($E1451)&lt;100000000,VALUE($E1451),1000000000),IFERROR(IF(VALUE(MID($E1451,2,20))&lt;100000000,VALUE(MID($E1451,2,20)),1000000000),1000000000))+ROW()/100000,"")</f>
        <v/>
      </c>
    </row>
    <row r="1452">
      <c r="G1452" s="14" t="n"/>
      <c r="Q1452" s="7">
        <f>IF($E1452="","",P1452*Z1452/100)</f>
        <v/>
      </c>
      <c r="R1452" s="7" t="n"/>
      <c r="Y1452" s="7" t="n"/>
      <c r="Z1452" s="7" t="n"/>
      <c r="AA1452" s="7" t="n"/>
      <c r="AD1452">
        <f>IF($E1452="","",IF($AT1452=1,Settings!$C$8,IF($AS1452=1,Settings!$C$6,Settings!$C$7))*100)</f>
        <v/>
      </c>
      <c r="AE1452" s="7">
        <f>IF($E1452="","",Z1452*AD1452/100)</f>
        <v/>
      </c>
      <c r="AF1452" s="7">
        <f>IF($E1452="","",Z1452-AE1452)</f>
        <v/>
      </c>
      <c r="AG1452" s="7">
        <f>IF($E1452="","",AF1452-Q1452)</f>
        <v/>
      </c>
      <c r="AK1452" s="7" t="n"/>
      <c r="AN1452" s="14" t="n"/>
      <c r="AQ1452">
        <f>IF($E1452="","",IF(COUNTIF($E$2:$E1452,$E1452)=1,1,0))</f>
        <v/>
      </c>
      <c r="AR1452">
        <f>IF($AQ1452=1,SUMPRODUCT(--($AU$2:$AU$1501&lt;$AU1452))+1,"")</f>
        <v/>
      </c>
      <c r="AS1452">
        <f>IF($E1452="","",IF(OR($U1452=TRUE(),$U1452="TRUE"),1,0))</f>
        <v/>
      </c>
      <c r="AT1452">
        <f>IF($E1452="","",IF($AC1452="Yes",1,0))</f>
        <v/>
      </c>
      <c r="AU1452">
        <f>IF($AQ1452=1,IFERROR(IF(VALUE($E1452)&lt;100000000,VALUE($E1452),1000000000),IFERROR(IF(VALUE(MID($E1452,2,20))&lt;100000000,VALUE(MID($E1452,2,20)),1000000000),1000000000))+ROW()/100000,"")</f>
        <v/>
      </c>
    </row>
    <row r="1453">
      <c r="G1453" s="14" t="n"/>
      <c r="Q1453" s="7">
        <f>IF($E1453="","",P1453*Z1453/100)</f>
        <v/>
      </c>
      <c r="R1453" s="7" t="n"/>
      <c r="Y1453" s="7" t="n"/>
      <c r="Z1453" s="7" t="n"/>
      <c r="AA1453" s="7" t="n"/>
      <c r="AD1453">
        <f>IF($E1453="","",IF($AT1453=1,Settings!$C$8,IF($AS1453=1,Settings!$C$6,Settings!$C$7))*100)</f>
        <v/>
      </c>
      <c r="AE1453" s="7">
        <f>IF($E1453="","",Z1453*AD1453/100)</f>
        <v/>
      </c>
      <c r="AF1453" s="7">
        <f>IF($E1453="","",Z1453-AE1453)</f>
        <v/>
      </c>
      <c r="AG1453" s="7">
        <f>IF($E1453="","",AF1453-Q1453)</f>
        <v/>
      </c>
      <c r="AK1453" s="7" t="n"/>
      <c r="AN1453" s="14" t="n"/>
      <c r="AQ1453">
        <f>IF($E1453="","",IF(COUNTIF($E$2:$E1453,$E1453)=1,1,0))</f>
        <v/>
      </c>
      <c r="AR1453">
        <f>IF($AQ1453=1,SUMPRODUCT(--($AU$2:$AU$1501&lt;$AU1453))+1,"")</f>
        <v/>
      </c>
      <c r="AS1453">
        <f>IF($E1453="","",IF(OR($U1453=TRUE(),$U1453="TRUE"),1,0))</f>
        <v/>
      </c>
      <c r="AT1453">
        <f>IF($E1453="","",IF($AC1453="Yes",1,0))</f>
        <v/>
      </c>
      <c r="AU1453">
        <f>IF($AQ1453=1,IFERROR(IF(VALUE($E1453)&lt;100000000,VALUE($E1453),1000000000),IFERROR(IF(VALUE(MID($E1453,2,20))&lt;100000000,VALUE(MID($E1453,2,20)),1000000000),1000000000))+ROW()/100000,"")</f>
        <v/>
      </c>
    </row>
    <row r="1454">
      <c r="G1454" s="14" t="n"/>
      <c r="Q1454" s="7">
        <f>IF($E1454="","",P1454*Z1454/100)</f>
        <v/>
      </c>
      <c r="R1454" s="7" t="n"/>
      <c r="Y1454" s="7" t="n"/>
      <c r="Z1454" s="7" t="n"/>
      <c r="AA1454" s="7" t="n"/>
      <c r="AD1454">
        <f>IF($E1454="","",IF($AT1454=1,Settings!$C$8,IF($AS1454=1,Settings!$C$6,Settings!$C$7))*100)</f>
        <v/>
      </c>
      <c r="AE1454" s="7">
        <f>IF($E1454="","",Z1454*AD1454/100)</f>
        <v/>
      </c>
      <c r="AF1454" s="7">
        <f>IF($E1454="","",Z1454-AE1454)</f>
        <v/>
      </c>
      <c r="AG1454" s="7">
        <f>IF($E1454="","",AF1454-Q1454)</f>
        <v/>
      </c>
      <c r="AK1454" s="7" t="n"/>
      <c r="AN1454" s="14" t="n"/>
      <c r="AQ1454">
        <f>IF($E1454="","",IF(COUNTIF($E$2:$E1454,$E1454)=1,1,0))</f>
        <v/>
      </c>
      <c r="AR1454">
        <f>IF($AQ1454=1,SUMPRODUCT(--($AU$2:$AU$1501&lt;$AU1454))+1,"")</f>
        <v/>
      </c>
      <c r="AS1454">
        <f>IF($E1454="","",IF(OR($U1454=TRUE(),$U1454="TRUE"),1,0))</f>
        <v/>
      </c>
      <c r="AT1454">
        <f>IF($E1454="","",IF($AC1454="Yes",1,0))</f>
        <v/>
      </c>
      <c r="AU1454">
        <f>IF($AQ1454=1,IFERROR(IF(VALUE($E1454)&lt;100000000,VALUE($E1454),1000000000),IFERROR(IF(VALUE(MID($E1454,2,20))&lt;100000000,VALUE(MID($E1454,2,20)),1000000000),1000000000))+ROW()/100000,"")</f>
        <v/>
      </c>
    </row>
    <row r="1455">
      <c r="G1455" s="14" t="n"/>
      <c r="Q1455" s="7">
        <f>IF($E1455="","",P1455*Z1455/100)</f>
        <v/>
      </c>
      <c r="R1455" s="7" t="n"/>
      <c r="Y1455" s="7" t="n"/>
      <c r="Z1455" s="7" t="n"/>
      <c r="AA1455" s="7" t="n"/>
      <c r="AD1455">
        <f>IF($E1455="","",IF($AT1455=1,Settings!$C$8,IF($AS1455=1,Settings!$C$6,Settings!$C$7))*100)</f>
        <v/>
      </c>
      <c r="AE1455" s="7">
        <f>IF($E1455="","",Z1455*AD1455/100)</f>
        <v/>
      </c>
      <c r="AF1455" s="7">
        <f>IF($E1455="","",Z1455-AE1455)</f>
        <v/>
      </c>
      <c r="AG1455" s="7">
        <f>IF($E1455="","",AF1455-Q1455)</f>
        <v/>
      </c>
      <c r="AK1455" s="7" t="n"/>
      <c r="AN1455" s="14" t="n"/>
      <c r="AQ1455">
        <f>IF($E1455="","",IF(COUNTIF($E$2:$E1455,$E1455)=1,1,0))</f>
        <v/>
      </c>
      <c r="AR1455">
        <f>IF($AQ1455=1,SUMPRODUCT(--($AU$2:$AU$1501&lt;$AU1455))+1,"")</f>
        <v/>
      </c>
      <c r="AS1455">
        <f>IF($E1455="","",IF(OR($U1455=TRUE(),$U1455="TRUE"),1,0))</f>
        <v/>
      </c>
      <c r="AT1455">
        <f>IF($E1455="","",IF($AC1455="Yes",1,0))</f>
        <v/>
      </c>
      <c r="AU1455">
        <f>IF($AQ1455=1,IFERROR(IF(VALUE($E1455)&lt;100000000,VALUE($E1455),1000000000),IFERROR(IF(VALUE(MID($E1455,2,20))&lt;100000000,VALUE(MID($E1455,2,20)),1000000000),1000000000))+ROW()/100000,"")</f>
        <v/>
      </c>
    </row>
    <row r="1456">
      <c r="G1456" s="14" t="n"/>
      <c r="Q1456" s="7">
        <f>IF($E1456="","",P1456*Z1456/100)</f>
        <v/>
      </c>
      <c r="R1456" s="7" t="n"/>
      <c r="Y1456" s="7" t="n"/>
      <c r="Z1456" s="7" t="n"/>
      <c r="AA1456" s="7" t="n"/>
      <c r="AD1456">
        <f>IF($E1456="","",IF($AT1456=1,Settings!$C$8,IF($AS1456=1,Settings!$C$6,Settings!$C$7))*100)</f>
        <v/>
      </c>
      <c r="AE1456" s="7">
        <f>IF($E1456="","",Z1456*AD1456/100)</f>
        <v/>
      </c>
      <c r="AF1456" s="7">
        <f>IF($E1456="","",Z1456-AE1456)</f>
        <v/>
      </c>
      <c r="AG1456" s="7">
        <f>IF($E1456="","",AF1456-Q1456)</f>
        <v/>
      </c>
      <c r="AK1456" s="7" t="n"/>
      <c r="AN1456" s="14" t="n"/>
      <c r="AQ1456">
        <f>IF($E1456="","",IF(COUNTIF($E$2:$E1456,$E1456)=1,1,0))</f>
        <v/>
      </c>
      <c r="AR1456">
        <f>IF($AQ1456=1,SUMPRODUCT(--($AU$2:$AU$1501&lt;$AU1456))+1,"")</f>
        <v/>
      </c>
      <c r="AS1456">
        <f>IF($E1456="","",IF(OR($U1456=TRUE(),$U1456="TRUE"),1,0))</f>
        <v/>
      </c>
      <c r="AT1456">
        <f>IF($E1456="","",IF($AC1456="Yes",1,0))</f>
        <v/>
      </c>
      <c r="AU1456">
        <f>IF($AQ1456=1,IFERROR(IF(VALUE($E1456)&lt;100000000,VALUE($E1456),1000000000),IFERROR(IF(VALUE(MID($E1456,2,20))&lt;100000000,VALUE(MID($E1456,2,20)),1000000000),1000000000))+ROW()/100000,"")</f>
        <v/>
      </c>
    </row>
    <row r="1457">
      <c r="G1457" s="14" t="n"/>
      <c r="Q1457" s="7">
        <f>IF($E1457="","",P1457*Z1457/100)</f>
        <v/>
      </c>
      <c r="R1457" s="7" t="n"/>
      <c r="Y1457" s="7" t="n"/>
      <c r="Z1457" s="7" t="n"/>
      <c r="AA1457" s="7" t="n"/>
      <c r="AD1457">
        <f>IF($E1457="","",IF($AT1457=1,Settings!$C$8,IF($AS1457=1,Settings!$C$6,Settings!$C$7))*100)</f>
        <v/>
      </c>
      <c r="AE1457" s="7">
        <f>IF($E1457="","",Z1457*AD1457/100)</f>
        <v/>
      </c>
      <c r="AF1457" s="7">
        <f>IF($E1457="","",Z1457-AE1457)</f>
        <v/>
      </c>
      <c r="AG1457" s="7">
        <f>IF($E1457="","",AF1457-Q1457)</f>
        <v/>
      </c>
      <c r="AK1457" s="7" t="n"/>
      <c r="AN1457" s="14" t="n"/>
      <c r="AQ1457">
        <f>IF($E1457="","",IF(COUNTIF($E$2:$E1457,$E1457)=1,1,0))</f>
        <v/>
      </c>
      <c r="AR1457">
        <f>IF($AQ1457=1,SUMPRODUCT(--($AU$2:$AU$1501&lt;$AU1457))+1,"")</f>
        <v/>
      </c>
      <c r="AS1457">
        <f>IF($E1457="","",IF(OR($U1457=TRUE(),$U1457="TRUE"),1,0))</f>
        <v/>
      </c>
      <c r="AT1457">
        <f>IF($E1457="","",IF($AC1457="Yes",1,0))</f>
        <v/>
      </c>
      <c r="AU1457">
        <f>IF($AQ1457=1,IFERROR(IF(VALUE($E1457)&lt;100000000,VALUE($E1457),1000000000),IFERROR(IF(VALUE(MID($E1457,2,20))&lt;100000000,VALUE(MID($E1457,2,20)),1000000000),1000000000))+ROW()/100000,"")</f>
        <v/>
      </c>
    </row>
    <row r="1458">
      <c r="G1458" s="14" t="n"/>
      <c r="Q1458" s="7">
        <f>IF($E1458="","",P1458*Z1458/100)</f>
        <v/>
      </c>
      <c r="R1458" s="7" t="n"/>
      <c r="Y1458" s="7" t="n"/>
      <c r="Z1458" s="7" t="n"/>
      <c r="AA1458" s="7" t="n"/>
      <c r="AD1458">
        <f>IF($E1458="","",IF($AT1458=1,Settings!$C$8,IF($AS1458=1,Settings!$C$6,Settings!$C$7))*100)</f>
        <v/>
      </c>
      <c r="AE1458" s="7">
        <f>IF($E1458="","",Z1458*AD1458/100)</f>
        <v/>
      </c>
      <c r="AF1458" s="7">
        <f>IF($E1458="","",Z1458-AE1458)</f>
        <v/>
      </c>
      <c r="AG1458" s="7">
        <f>IF($E1458="","",AF1458-Q1458)</f>
        <v/>
      </c>
      <c r="AK1458" s="7" t="n"/>
      <c r="AN1458" s="14" t="n"/>
      <c r="AQ1458">
        <f>IF($E1458="","",IF(COUNTIF($E$2:$E1458,$E1458)=1,1,0))</f>
        <v/>
      </c>
      <c r="AR1458">
        <f>IF($AQ1458=1,SUMPRODUCT(--($AU$2:$AU$1501&lt;$AU1458))+1,"")</f>
        <v/>
      </c>
      <c r="AS1458">
        <f>IF($E1458="","",IF(OR($U1458=TRUE(),$U1458="TRUE"),1,0))</f>
        <v/>
      </c>
      <c r="AT1458">
        <f>IF($E1458="","",IF($AC1458="Yes",1,0))</f>
        <v/>
      </c>
      <c r="AU1458">
        <f>IF($AQ1458=1,IFERROR(IF(VALUE($E1458)&lt;100000000,VALUE($E1458),1000000000),IFERROR(IF(VALUE(MID($E1458,2,20))&lt;100000000,VALUE(MID($E1458,2,20)),1000000000),1000000000))+ROW()/100000,"")</f>
        <v/>
      </c>
    </row>
    <row r="1459">
      <c r="G1459" s="14" t="n"/>
      <c r="Q1459" s="7">
        <f>IF($E1459="","",P1459*Z1459/100)</f>
        <v/>
      </c>
      <c r="R1459" s="7" t="n"/>
      <c r="Y1459" s="7" t="n"/>
      <c r="Z1459" s="7" t="n"/>
      <c r="AA1459" s="7" t="n"/>
      <c r="AD1459">
        <f>IF($E1459="","",IF($AT1459=1,Settings!$C$8,IF($AS1459=1,Settings!$C$6,Settings!$C$7))*100)</f>
        <v/>
      </c>
      <c r="AE1459" s="7">
        <f>IF($E1459="","",Z1459*AD1459/100)</f>
        <v/>
      </c>
      <c r="AF1459" s="7">
        <f>IF($E1459="","",Z1459-AE1459)</f>
        <v/>
      </c>
      <c r="AG1459" s="7">
        <f>IF($E1459="","",AF1459-Q1459)</f>
        <v/>
      </c>
      <c r="AK1459" s="7" t="n"/>
      <c r="AN1459" s="14" t="n"/>
      <c r="AQ1459">
        <f>IF($E1459="","",IF(COUNTIF($E$2:$E1459,$E1459)=1,1,0))</f>
        <v/>
      </c>
      <c r="AR1459">
        <f>IF($AQ1459=1,SUMPRODUCT(--($AU$2:$AU$1501&lt;$AU1459))+1,"")</f>
        <v/>
      </c>
      <c r="AS1459">
        <f>IF($E1459="","",IF(OR($U1459=TRUE(),$U1459="TRUE"),1,0))</f>
        <v/>
      </c>
      <c r="AT1459">
        <f>IF($E1459="","",IF($AC1459="Yes",1,0))</f>
        <v/>
      </c>
      <c r="AU1459">
        <f>IF($AQ1459=1,IFERROR(IF(VALUE($E1459)&lt;100000000,VALUE($E1459),1000000000),IFERROR(IF(VALUE(MID($E1459,2,20))&lt;100000000,VALUE(MID($E1459,2,20)),1000000000),1000000000))+ROW()/100000,"")</f>
        <v/>
      </c>
    </row>
    <row r="1460">
      <c r="G1460" s="14" t="n"/>
      <c r="Q1460" s="7">
        <f>IF($E1460="","",P1460*Z1460/100)</f>
        <v/>
      </c>
      <c r="R1460" s="7" t="n"/>
      <c r="Y1460" s="7" t="n"/>
      <c r="Z1460" s="7" t="n"/>
      <c r="AA1460" s="7" t="n"/>
      <c r="AD1460">
        <f>IF($E1460="","",IF($AT1460=1,Settings!$C$8,IF($AS1460=1,Settings!$C$6,Settings!$C$7))*100)</f>
        <v/>
      </c>
      <c r="AE1460" s="7">
        <f>IF($E1460="","",Z1460*AD1460/100)</f>
        <v/>
      </c>
      <c r="AF1460" s="7">
        <f>IF($E1460="","",Z1460-AE1460)</f>
        <v/>
      </c>
      <c r="AG1460" s="7">
        <f>IF($E1460="","",AF1460-Q1460)</f>
        <v/>
      </c>
      <c r="AK1460" s="7" t="n"/>
      <c r="AN1460" s="14" t="n"/>
      <c r="AQ1460">
        <f>IF($E1460="","",IF(COUNTIF($E$2:$E1460,$E1460)=1,1,0))</f>
        <v/>
      </c>
      <c r="AR1460">
        <f>IF($AQ1460=1,SUMPRODUCT(--($AU$2:$AU$1501&lt;$AU1460))+1,"")</f>
        <v/>
      </c>
      <c r="AS1460">
        <f>IF($E1460="","",IF(OR($U1460=TRUE(),$U1460="TRUE"),1,0))</f>
        <v/>
      </c>
      <c r="AT1460">
        <f>IF($E1460="","",IF($AC1460="Yes",1,0))</f>
        <v/>
      </c>
      <c r="AU1460">
        <f>IF($AQ1460=1,IFERROR(IF(VALUE($E1460)&lt;100000000,VALUE($E1460),1000000000),IFERROR(IF(VALUE(MID($E1460,2,20))&lt;100000000,VALUE(MID($E1460,2,20)),1000000000),1000000000))+ROW()/100000,"")</f>
        <v/>
      </c>
    </row>
    <row r="1461">
      <c r="G1461" s="14" t="n"/>
      <c r="Q1461" s="7">
        <f>IF($E1461="","",P1461*Z1461/100)</f>
        <v/>
      </c>
      <c r="R1461" s="7" t="n"/>
      <c r="Y1461" s="7" t="n"/>
      <c r="Z1461" s="7" t="n"/>
      <c r="AA1461" s="7" t="n"/>
      <c r="AD1461">
        <f>IF($E1461="","",IF($AT1461=1,Settings!$C$8,IF($AS1461=1,Settings!$C$6,Settings!$C$7))*100)</f>
        <v/>
      </c>
      <c r="AE1461" s="7">
        <f>IF($E1461="","",Z1461*AD1461/100)</f>
        <v/>
      </c>
      <c r="AF1461" s="7">
        <f>IF($E1461="","",Z1461-AE1461)</f>
        <v/>
      </c>
      <c r="AG1461" s="7">
        <f>IF($E1461="","",AF1461-Q1461)</f>
        <v/>
      </c>
      <c r="AK1461" s="7" t="n"/>
      <c r="AN1461" s="14" t="n"/>
      <c r="AQ1461">
        <f>IF($E1461="","",IF(COUNTIF($E$2:$E1461,$E1461)=1,1,0))</f>
        <v/>
      </c>
      <c r="AR1461">
        <f>IF($AQ1461=1,SUMPRODUCT(--($AU$2:$AU$1501&lt;$AU1461))+1,"")</f>
        <v/>
      </c>
      <c r="AS1461">
        <f>IF($E1461="","",IF(OR($U1461=TRUE(),$U1461="TRUE"),1,0))</f>
        <v/>
      </c>
      <c r="AT1461">
        <f>IF($E1461="","",IF($AC1461="Yes",1,0))</f>
        <v/>
      </c>
      <c r="AU1461">
        <f>IF($AQ1461=1,IFERROR(IF(VALUE($E1461)&lt;100000000,VALUE($E1461),1000000000),IFERROR(IF(VALUE(MID($E1461,2,20))&lt;100000000,VALUE(MID($E1461,2,20)),1000000000),1000000000))+ROW()/100000,"")</f>
        <v/>
      </c>
    </row>
    <row r="1462">
      <c r="G1462" s="14" t="n"/>
      <c r="Q1462" s="7">
        <f>IF($E1462="","",P1462*Z1462/100)</f>
        <v/>
      </c>
      <c r="R1462" s="7" t="n"/>
      <c r="Y1462" s="7" t="n"/>
      <c r="Z1462" s="7" t="n"/>
      <c r="AA1462" s="7" t="n"/>
      <c r="AD1462">
        <f>IF($E1462="","",IF($AT1462=1,Settings!$C$8,IF($AS1462=1,Settings!$C$6,Settings!$C$7))*100)</f>
        <v/>
      </c>
      <c r="AE1462" s="7">
        <f>IF($E1462="","",Z1462*AD1462/100)</f>
        <v/>
      </c>
      <c r="AF1462" s="7">
        <f>IF($E1462="","",Z1462-AE1462)</f>
        <v/>
      </c>
      <c r="AG1462" s="7">
        <f>IF($E1462="","",AF1462-Q1462)</f>
        <v/>
      </c>
      <c r="AK1462" s="7" t="n"/>
      <c r="AN1462" s="14" t="n"/>
      <c r="AQ1462">
        <f>IF($E1462="","",IF(COUNTIF($E$2:$E1462,$E1462)=1,1,0))</f>
        <v/>
      </c>
      <c r="AR1462">
        <f>IF($AQ1462=1,SUMPRODUCT(--($AU$2:$AU$1501&lt;$AU1462))+1,"")</f>
        <v/>
      </c>
      <c r="AS1462">
        <f>IF($E1462="","",IF(OR($U1462=TRUE(),$U1462="TRUE"),1,0))</f>
        <v/>
      </c>
      <c r="AT1462">
        <f>IF($E1462="","",IF($AC1462="Yes",1,0))</f>
        <v/>
      </c>
      <c r="AU1462">
        <f>IF($AQ1462=1,IFERROR(IF(VALUE($E1462)&lt;100000000,VALUE($E1462),1000000000),IFERROR(IF(VALUE(MID($E1462,2,20))&lt;100000000,VALUE(MID($E1462,2,20)),1000000000),1000000000))+ROW()/100000,"")</f>
        <v/>
      </c>
    </row>
    <row r="1463">
      <c r="G1463" s="14" t="n"/>
      <c r="Q1463" s="7">
        <f>IF($E1463="","",P1463*Z1463/100)</f>
        <v/>
      </c>
      <c r="R1463" s="7" t="n"/>
      <c r="Y1463" s="7" t="n"/>
      <c r="Z1463" s="7" t="n"/>
      <c r="AA1463" s="7" t="n"/>
      <c r="AD1463">
        <f>IF($E1463="","",IF($AT1463=1,Settings!$C$8,IF($AS1463=1,Settings!$C$6,Settings!$C$7))*100)</f>
        <v/>
      </c>
      <c r="AE1463" s="7">
        <f>IF($E1463="","",Z1463*AD1463/100)</f>
        <v/>
      </c>
      <c r="AF1463" s="7">
        <f>IF($E1463="","",Z1463-AE1463)</f>
        <v/>
      </c>
      <c r="AG1463" s="7">
        <f>IF($E1463="","",AF1463-Q1463)</f>
        <v/>
      </c>
      <c r="AK1463" s="7" t="n"/>
      <c r="AN1463" s="14" t="n"/>
      <c r="AQ1463">
        <f>IF($E1463="","",IF(COUNTIF($E$2:$E1463,$E1463)=1,1,0))</f>
        <v/>
      </c>
      <c r="AR1463">
        <f>IF($AQ1463=1,SUMPRODUCT(--($AU$2:$AU$1501&lt;$AU1463))+1,"")</f>
        <v/>
      </c>
      <c r="AS1463">
        <f>IF($E1463="","",IF(OR($U1463=TRUE(),$U1463="TRUE"),1,0))</f>
        <v/>
      </c>
      <c r="AT1463">
        <f>IF($E1463="","",IF($AC1463="Yes",1,0))</f>
        <v/>
      </c>
      <c r="AU1463">
        <f>IF($AQ1463=1,IFERROR(IF(VALUE($E1463)&lt;100000000,VALUE($E1463),1000000000),IFERROR(IF(VALUE(MID($E1463,2,20))&lt;100000000,VALUE(MID($E1463,2,20)),1000000000),1000000000))+ROW()/100000,"")</f>
        <v/>
      </c>
    </row>
    <row r="1464">
      <c r="G1464" s="14" t="n"/>
      <c r="Q1464" s="7">
        <f>IF($E1464="","",P1464*Z1464/100)</f>
        <v/>
      </c>
      <c r="R1464" s="7" t="n"/>
      <c r="Y1464" s="7" t="n"/>
      <c r="Z1464" s="7" t="n"/>
      <c r="AA1464" s="7" t="n"/>
      <c r="AD1464">
        <f>IF($E1464="","",IF($AT1464=1,Settings!$C$8,IF($AS1464=1,Settings!$C$6,Settings!$C$7))*100)</f>
        <v/>
      </c>
      <c r="AE1464" s="7">
        <f>IF($E1464="","",Z1464*AD1464/100)</f>
        <v/>
      </c>
      <c r="AF1464" s="7">
        <f>IF($E1464="","",Z1464-AE1464)</f>
        <v/>
      </c>
      <c r="AG1464" s="7">
        <f>IF($E1464="","",AF1464-Q1464)</f>
        <v/>
      </c>
      <c r="AK1464" s="7" t="n"/>
      <c r="AN1464" s="14" t="n"/>
      <c r="AQ1464">
        <f>IF($E1464="","",IF(COUNTIF($E$2:$E1464,$E1464)=1,1,0))</f>
        <v/>
      </c>
      <c r="AR1464">
        <f>IF($AQ1464=1,SUMPRODUCT(--($AU$2:$AU$1501&lt;$AU1464))+1,"")</f>
        <v/>
      </c>
      <c r="AS1464">
        <f>IF($E1464="","",IF(OR($U1464=TRUE(),$U1464="TRUE"),1,0))</f>
        <v/>
      </c>
      <c r="AT1464">
        <f>IF($E1464="","",IF($AC1464="Yes",1,0))</f>
        <v/>
      </c>
      <c r="AU1464">
        <f>IF($AQ1464=1,IFERROR(IF(VALUE($E1464)&lt;100000000,VALUE($E1464),1000000000),IFERROR(IF(VALUE(MID($E1464,2,20))&lt;100000000,VALUE(MID($E1464,2,20)),1000000000),1000000000))+ROW()/100000,"")</f>
        <v/>
      </c>
    </row>
    <row r="1465">
      <c r="G1465" s="14" t="n"/>
      <c r="Q1465" s="7">
        <f>IF($E1465="","",P1465*Z1465/100)</f>
        <v/>
      </c>
      <c r="R1465" s="7" t="n"/>
      <c r="Y1465" s="7" t="n"/>
      <c r="Z1465" s="7" t="n"/>
      <c r="AA1465" s="7" t="n"/>
      <c r="AD1465">
        <f>IF($E1465="","",IF($AT1465=1,Settings!$C$8,IF($AS1465=1,Settings!$C$6,Settings!$C$7))*100)</f>
        <v/>
      </c>
      <c r="AE1465" s="7">
        <f>IF($E1465="","",Z1465*AD1465/100)</f>
        <v/>
      </c>
      <c r="AF1465" s="7">
        <f>IF($E1465="","",Z1465-AE1465)</f>
        <v/>
      </c>
      <c r="AG1465" s="7">
        <f>IF($E1465="","",AF1465-Q1465)</f>
        <v/>
      </c>
      <c r="AK1465" s="7" t="n"/>
      <c r="AN1465" s="14" t="n"/>
      <c r="AQ1465">
        <f>IF($E1465="","",IF(COUNTIF($E$2:$E1465,$E1465)=1,1,0))</f>
        <v/>
      </c>
      <c r="AR1465">
        <f>IF($AQ1465=1,SUMPRODUCT(--($AU$2:$AU$1501&lt;$AU1465))+1,"")</f>
        <v/>
      </c>
      <c r="AS1465">
        <f>IF($E1465="","",IF(OR($U1465=TRUE(),$U1465="TRUE"),1,0))</f>
        <v/>
      </c>
      <c r="AT1465">
        <f>IF($E1465="","",IF($AC1465="Yes",1,0))</f>
        <v/>
      </c>
      <c r="AU1465">
        <f>IF($AQ1465=1,IFERROR(IF(VALUE($E1465)&lt;100000000,VALUE($E1465),1000000000),IFERROR(IF(VALUE(MID($E1465,2,20))&lt;100000000,VALUE(MID($E1465,2,20)),1000000000),1000000000))+ROW()/100000,"")</f>
        <v/>
      </c>
    </row>
    <row r="1466">
      <c r="G1466" s="14" t="n"/>
      <c r="Q1466" s="7">
        <f>IF($E1466="","",P1466*Z1466/100)</f>
        <v/>
      </c>
      <c r="R1466" s="7" t="n"/>
      <c r="Y1466" s="7" t="n"/>
      <c r="Z1466" s="7" t="n"/>
      <c r="AA1466" s="7" t="n"/>
      <c r="AD1466">
        <f>IF($E1466="","",IF($AT1466=1,Settings!$C$8,IF($AS1466=1,Settings!$C$6,Settings!$C$7))*100)</f>
        <v/>
      </c>
      <c r="AE1466" s="7">
        <f>IF($E1466="","",Z1466*AD1466/100)</f>
        <v/>
      </c>
      <c r="AF1466" s="7">
        <f>IF($E1466="","",Z1466-AE1466)</f>
        <v/>
      </c>
      <c r="AG1466" s="7">
        <f>IF($E1466="","",AF1466-Q1466)</f>
        <v/>
      </c>
      <c r="AK1466" s="7" t="n"/>
      <c r="AN1466" s="14" t="n"/>
      <c r="AQ1466">
        <f>IF($E1466="","",IF(COUNTIF($E$2:$E1466,$E1466)=1,1,0))</f>
        <v/>
      </c>
      <c r="AR1466">
        <f>IF($AQ1466=1,SUMPRODUCT(--($AU$2:$AU$1501&lt;$AU1466))+1,"")</f>
        <v/>
      </c>
      <c r="AS1466">
        <f>IF($E1466="","",IF(OR($U1466=TRUE(),$U1466="TRUE"),1,0))</f>
        <v/>
      </c>
      <c r="AT1466">
        <f>IF($E1466="","",IF($AC1466="Yes",1,0))</f>
        <v/>
      </c>
      <c r="AU1466">
        <f>IF($AQ1466=1,IFERROR(IF(VALUE($E1466)&lt;100000000,VALUE($E1466),1000000000),IFERROR(IF(VALUE(MID($E1466,2,20))&lt;100000000,VALUE(MID($E1466,2,20)),1000000000),1000000000))+ROW()/100000,"")</f>
        <v/>
      </c>
    </row>
    <row r="1467">
      <c r="G1467" s="14" t="n"/>
      <c r="Q1467" s="7">
        <f>IF($E1467="","",P1467*Z1467/100)</f>
        <v/>
      </c>
      <c r="R1467" s="7" t="n"/>
      <c r="Y1467" s="7" t="n"/>
      <c r="Z1467" s="7" t="n"/>
      <c r="AA1467" s="7" t="n"/>
      <c r="AD1467">
        <f>IF($E1467="","",IF($AT1467=1,Settings!$C$8,IF($AS1467=1,Settings!$C$6,Settings!$C$7))*100)</f>
        <v/>
      </c>
      <c r="AE1467" s="7">
        <f>IF($E1467="","",Z1467*AD1467/100)</f>
        <v/>
      </c>
      <c r="AF1467" s="7">
        <f>IF($E1467="","",Z1467-AE1467)</f>
        <v/>
      </c>
      <c r="AG1467" s="7">
        <f>IF($E1467="","",AF1467-Q1467)</f>
        <v/>
      </c>
      <c r="AK1467" s="7" t="n"/>
      <c r="AN1467" s="14" t="n"/>
      <c r="AQ1467">
        <f>IF($E1467="","",IF(COUNTIF($E$2:$E1467,$E1467)=1,1,0))</f>
        <v/>
      </c>
      <c r="AR1467">
        <f>IF($AQ1467=1,SUMPRODUCT(--($AU$2:$AU$1501&lt;$AU1467))+1,"")</f>
        <v/>
      </c>
      <c r="AS1467">
        <f>IF($E1467="","",IF(OR($U1467=TRUE(),$U1467="TRUE"),1,0))</f>
        <v/>
      </c>
      <c r="AT1467">
        <f>IF($E1467="","",IF($AC1467="Yes",1,0))</f>
        <v/>
      </c>
      <c r="AU1467">
        <f>IF($AQ1467=1,IFERROR(IF(VALUE($E1467)&lt;100000000,VALUE($E1467),1000000000),IFERROR(IF(VALUE(MID($E1467,2,20))&lt;100000000,VALUE(MID($E1467,2,20)),1000000000),1000000000))+ROW()/100000,"")</f>
        <v/>
      </c>
    </row>
    <row r="1468">
      <c r="G1468" s="14" t="n"/>
      <c r="Q1468" s="7">
        <f>IF($E1468="","",P1468*Z1468/100)</f>
        <v/>
      </c>
      <c r="R1468" s="7" t="n"/>
      <c r="Y1468" s="7" t="n"/>
      <c r="Z1468" s="7" t="n"/>
      <c r="AA1468" s="7" t="n"/>
      <c r="AD1468">
        <f>IF($E1468="","",IF($AT1468=1,Settings!$C$8,IF($AS1468=1,Settings!$C$6,Settings!$C$7))*100)</f>
        <v/>
      </c>
      <c r="AE1468" s="7">
        <f>IF($E1468="","",Z1468*AD1468/100)</f>
        <v/>
      </c>
      <c r="AF1468" s="7">
        <f>IF($E1468="","",Z1468-AE1468)</f>
        <v/>
      </c>
      <c r="AG1468" s="7">
        <f>IF($E1468="","",AF1468-Q1468)</f>
        <v/>
      </c>
      <c r="AK1468" s="7" t="n"/>
      <c r="AN1468" s="14" t="n"/>
      <c r="AQ1468">
        <f>IF($E1468="","",IF(COUNTIF($E$2:$E1468,$E1468)=1,1,0))</f>
        <v/>
      </c>
      <c r="AR1468">
        <f>IF($AQ1468=1,SUMPRODUCT(--($AU$2:$AU$1501&lt;$AU1468))+1,"")</f>
        <v/>
      </c>
      <c r="AS1468">
        <f>IF($E1468="","",IF(OR($U1468=TRUE(),$U1468="TRUE"),1,0))</f>
        <v/>
      </c>
      <c r="AT1468">
        <f>IF($E1468="","",IF($AC1468="Yes",1,0))</f>
        <v/>
      </c>
      <c r="AU1468">
        <f>IF($AQ1468=1,IFERROR(IF(VALUE($E1468)&lt;100000000,VALUE($E1468),1000000000),IFERROR(IF(VALUE(MID($E1468,2,20))&lt;100000000,VALUE(MID($E1468,2,20)),1000000000),1000000000))+ROW()/100000,"")</f>
        <v/>
      </c>
    </row>
    <row r="1469">
      <c r="G1469" s="14" t="n"/>
      <c r="Q1469" s="7">
        <f>IF($E1469="","",P1469*Z1469/100)</f>
        <v/>
      </c>
      <c r="R1469" s="7" t="n"/>
      <c r="Y1469" s="7" t="n"/>
      <c r="Z1469" s="7" t="n"/>
      <c r="AA1469" s="7" t="n"/>
      <c r="AD1469">
        <f>IF($E1469="","",IF($AT1469=1,Settings!$C$8,IF($AS1469=1,Settings!$C$6,Settings!$C$7))*100)</f>
        <v/>
      </c>
      <c r="AE1469" s="7">
        <f>IF($E1469="","",Z1469*AD1469/100)</f>
        <v/>
      </c>
      <c r="AF1469" s="7">
        <f>IF($E1469="","",Z1469-AE1469)</f>
        <v/>
      </c>
      <c r="AG1469" s="7">
        <f>IF($E1469="","",AF1469-Q1469)</f>
        <v/>
      </c>
      <c r="AK1469" s="7" t="n"/>
      <c r="AN1469" s="14" t="n"/>
      <c r="AQ1469">
        <f>IF($E1469="","",IF(COUNTIF($E$2:$E1469,$E1469)=1,1,0))</f>
        <v/>
      </c>
      <c r="AR1469">
        <f>IF($AQ1469=1,SUMPRODUCT(--($AU$2:$AU$1501&lt;$AU1469))+1,"")</f>
        <v/>
      </c>
      <c r="AS1469">
        <f>IF($E1469="","",IF(OR($U1469=TRUE(),$U1469="TRUE"),1,0))</f>
        <v/>
      </c>
      <c r="AT1469">
        <f>IF($E1469="","",IF($AC1469="Yes",1,0))</f>
        <v/>
      </c>
      <c r="AU1469">
        <f>IF($AQ1469=1,IFERROR(IF(VALUE($E1469)&lt;100000000,VALUE($E1469),1000000000),IFERROR(IF(VALUE(MID($E1469,2,20))&lt;100000000,VALUE(MID($E1469,2,20)),1000000000),1000000000))+ROW()/100000,"")</f>
        <v/>
      </c>
    </row>
    <row r="1470">
      <c r="G1470" s="14" t="n"/>
      <c r="Q1470" s="7">
        <f>IF($E1470="","",P1470*Z1470/100)</f>
        <v/>
      </c>
      <c r="R1470" s="7" t="n"/>
      <c r="Y1470" s="7" t="n"/>
      <c r="Z1470" s="7" t="n"/>
      <c r="AA1470" s="7" t="n"/>
      <c r="AD1470">
        <f>IF($E1470="","",IF($AT1470=1,Settings!$C$8,IF($AS1470=1,Settings!$C$6,Settings!$C$7))*100)</f>
        <v/>
      </c>
      <c r="AE1470" s="7">
        <f>IF($E1470="","",Z1470*AD1470/100)</f>
        <v/>
      </c>
      <c r="AF1470" s="7">
        <f>IF($E1470="","",Z1470-AE1470)</f>
        <v/>
      </c>
      <c r="AG1470" s="7">
        <f>IF($E1470="","",AF1470-Q1470)</f>
        <v/>
      </c>
      <c r="AK1470" s="7" t="n"/>
      <c r="AN1470" s="14" t="n"/>
      <c r="AQ1470">
        <f>IF($E1470="","",IF(COUNTIF($E$2:$E1470,$E1470)=1,1,0))</f>
        <v/>
      </c>
      <c r="AR1470">
        <f>IF($AQ1470=1,SUMPRODUCT(--($AU$2:$AU$1501&lt;$AU1470))+1,"")</f>
        <v/>
      </c>
      <c r="AS1470">
        <f>IF($E1470="","",IF(OR($U1470=TRUE(),$U1470="TRUE"),1,0))</f>
        <v/>
      </c>
      <c r="AT1470">
        <f>IF($E1470="","",IF($AC1470="Yes",1,0))</f>
        <v/>
      </c>
      <c r="AU1470">
        <f>IF($AQ1470=1,IFERROR(IF(VALUE($E1470)&lt;100000000,VALUE($E1470),1000000000),IFERROR(IF(VALUE(MID($E1470,2,20))&lt;100000000,VALUE(MID($E1470,2,20)),1000000000),1000000000))+ROW()/100000,"")</f>
        <v/>
      </c>
    </row>
    <row r="1471">
      <c r="G1471" s="14" t="n"/>
      <c r="Q1471" s="7">
        <f>IF($E1471="","",P1471*Z1471/100)</f>
        <v/>
      </c>
      <c r="R1471" s="7" t="n"/>
      <c r="Y1471" s="7" t="n"/>
      <c r="Z1471" s="7" t="n"/>
      <c r="AA1471" s="7" t="n"/>
      <c r="AD1471">
        <f>IF($E1471="","",IF($AT1471=1,Settings!$C$8,IF($AS1471=1,Settings!$C$6,Settings!$C$7))*100)</f>
        <v/>
      </c>
      <c r="AE1471" s="7">
        <f>IF($E1471="","",Z1471*AD1471/100)</f>
        <v/>
      </c>
      <c r="AF1471" s="7">
        <f>IF($E1471="","",Z1471-AE1471)</f>
        <v/>
      </c>
      <c r="AG1471" s="7">
        <f>IF($E1471="","",AF1471-Q1471)</f>
        <v/>
      </c>
      <c r="AK1471" s="7" t="n"/>
      <c r="AN1471" s="14" t="n"/>
      <c r="AQ1471">
        <f>IF($E1471="","",IF(COUNTIF($E$2:$E1471,$E1471)=1,1,0))</f>
        <v/>
      </c>
      <c r="AR1471">
        <f>IF($AQ1471=1,SUMPRODUCT(--($AU$2:$AU$1501&lt;$AU1471))+1,"")</f>
        <v/>
      </c>
      <c r="AS1471">
        <f>IF($E1471="","",IF(OR($U1471=TRUE(),$U1471="TRUE"),1,0))</f>
        <v/>
      </c>
      <c r="AT1471">
        <f>IF($E1471="","",IF($AC1471="Yes",1,0))</f>
        <v/>
      </c>
      <c r="AU1471">
        <f>IF($AQ1471=1,IFERROR(IF(VALUE($E1471)&lt;100000000,VALUE($E1471),1000000000),IFERROR(IF(VALUE(MID($E1471,2,20))&lt;100000000,VALUE(MID($E1471,2,20)),1000000000),1000000000))+ROW()/100000,"")</f>
        <v/>
      </c>
    </row>
    <row r="1472">
      <c r="G1472" s="14" t="n"/>
      <c r="Q1472" s="7">
        <f>IF($E1472="","",P1472*Z1472/100)</f>
        <v/>
      </c>
      <c r="R1472" s="7" t="n"/>
      <c r="Y1472" s="7" t="n"/>
      <c r="Z1472" s="7" t="n"/>
      <c r="AA1472" s="7" t="n"/>
      <c r="AD1472">
        <f>IF($E1472="","",IF($AT1472=1,Settings!$C$8,IF($AS1472=1,Settings!$C$6,Settings!$C$7))*100)</f>
        <v/>
      </c>
      <c r="AE1472" s="7">
        <f>IF($E1472="","",Z1472*AD1472/100)</f>
        <v/>
      </c>
      <c r="AF1472" s="7">
        <f>IF($E1472="","",Z1472-AE1472)</f>
        <v/>
      </c>
      <c r="AG1472" s="7">
        <f>IF($E1472="","",AF1472-Q1472)</f>
        <v/>
      </c>
      <c r="AK1472" s="7" t="n"/>
      <c r="AN1472" s="14" t="n"/>
      <c r="AQ1472">
        <f>IF($E1472="","",IF(COUNTIF($E$2:$E1472,$E1472)=1,1,0))</f>
        <v/>
      </c>
      <c r="AR1472">
        <f>IF($AQ1472=1,SUMPRODUCT(--($AU$2:$AU$1501&lt;$AU1472))+1,"")</f>
        <v/>
      </c>
      <c r="AS1472">
        <f>IF($E1472="","",IF(OR($U1472=TRUE(),$U1472="TRUE"),1,0))</f>
        <v/>
      </c>
      <c r="AT1472">
        <f>IF($E1472="","",IF($AC1472="Yes",1,0))</f>
        <v/>
      </c>
      <c r="AU1472">
        <f>IF($AQ1472=1,IFERROR(IF(VALUE($E1472)&lt;100000000,VALUE($E1472),1000000000),IFERROR(IF(VALUE(MID($E1472,2,20))&lt;100000000,VALUE(MID($E1472,2,20)),1000000000),1000000000))+ROW()/100000,"")</f>
        <v/>
      </c>
    </row>
    <row r="1473">
      <c r="G1473" s="14" t="n"/>
      <c r="Q1473" s="7">
        <f>IF($E1473="","",P1473*Z1473/100)</f>
        <v/>
      </c>
      <c r="R1473" s="7" t="n"/>
      <c r="Y1473" s="7" t="n"/>
      <c r="Z1473" s="7" t="n"/>
      <c r="AA1473" s="7" t="n"/>
      <c r="AD1473">
        <f>IF($E1473="","",IF($AT1473=1,Settings!$C$8,IF($AS1473=1,Settings!$C$6,Settings!$C$7))*100)</f>
        <v/>
      </c>
      <c r="AE1473" s="7">
        <f>IF($E1473="","",Z1473*AD1473/100)</f>
        <v/>
      </c>
      <c r="AF1473" s="7">
        <f>IF($E1473="","",Z1473-AE1473)</f>
        <v/>
      </c>
      <c r="AG1473" s="7">
        <f>IF($E1473="","",AF1473-Q1473)</f>
        <v/>
      </c>
      <c r="AK1473" s="7" t="n"/>
      <c r="AN1473" s="14" t="n"/>
      <c r="AQ1473">
        <f>IF($E1473="","",IF(COUNTIF($E$2:$E1473,$E1473)=1,1,0))</f>
        <v/>
      </c>
      <c r="AR1473">
        <f>IF($AQ1473=1,SUMPRODUCT(--($AU$2:$AU$1501&lt;$AU1473))+1,"")</f>
        <v/>
      </c>
      <c r="AS1473">
        <f>IF($E1473="","",IF(OR($U1473=TRUE(),$U1473="TRUE"),1,0))</f>
        <v/>
      </c>
      <c r="AT1473">
        <f>IF($E1473="","",IF($AC1473="Yes",1,0))</f>
        <v/>
      </c>
      <c r="AU1473">
        <f>IF($AQ1473=1,IFERROR(IF(VALUE($E1473)&lt;100000000,VALUE($E1473),1000000000),IFERROR(IF(VALUE(MID($E1473,2,20))&lt;100000000,VALUE(MID($E1473,2,20)),1000000000),1000000000))+ROW()/100000,"")</f>
        <v/>
      </c>
    </row>
    <row r="1474">
      <c r="G1474" s="14" t="n"/>
      <c r="Q1474" s="7">
        <f>IF($E1474="","",P1474*Z1474/100)</f>
        <v/>
      </c>
      <c r="R1474" s="7" t="n"/>
      <c r="Y1474" s="7" t="n"/>
      <c r="Z1474" s="7" t="n"/>
      <c r="AA1474" s="7" t="n"/>
      <c r="AD1474">
        <f>IF($E1474="","",IF($AT1474=1,Settings!$C$8,IF($AS1474=1,Settings!$C$6,Settings!$C$7))*100)</f>
        <v/>
      </c>
      <c r="AE1474" s="7">
        <f>IF($E1474="","",Z1474*AD1474/100)</f>
        <v/>
      </c>
      <c r="AF1474" s="7">
        <f>IF($E1474="","",Z1474-AE1474)</f>
        <v/>
      </c>
      <c r="AG1474" s="7">
        <f>IF($E1474="","",AF1474-Q1474)</f>
        <v/>
      </c>
      <c r="AK1474" s="7" t="n"/>
      <c r="AN1474" s="14" t="n"/>
      <c r="AQ1474">
        <f>IF($E1474="","",IF(COUNTIF($E$2:$E1474,$E1474)=1,1,0))</f>
        <v/>
      </c>
      <c r="AR1474">
        <f>IF($AQ1474=1,SUMPRODUCT(--($AU$2:$AU$1501&lt;$AU1474))+1,"")</f>
        <v/>
      </c>
      <c r="AS1474">
        <f>IF($E1474="","",IF(OR($U1474=TRUE(),$U1474="TRUE"),1,0))</f>
        <v/>
      </c>
      <c r="AT1474">
        <f>IF($E1474="","",IF($AC1474="Yes",1,0))</f>
        <v/>
      </c>
      <c r="AU1474">
        <f>IF($AQ1474=1,IFERROR(IF(VALUE($E1474)&lt;100000000,VALUE($E1474),1000000000),IFERROR(IF(VALUE(MID($E1474,2,20))&lt;100000000,VALUE(MID($E1474,2,20)),1000000000),1000000000))+ROW()/100000,"")</f>
        <v/>
      </c>
    </row>
    <row r="1475">
      <c r="G1475" s="14" t="n"/>
      <c r="Q1475" s="7">
        <f>IF($E1475="","",P1475*Z1475/100)</f>
        <v/>
      </c>
      <c r="R1475" s="7" t="n"/>
      <c r="Y1475" s="7" t="n"/>
      <c r="Z1475" s="7" t="n"/>
      <c r="AA1475" s="7" t="n"/>
      <c r="AD1475">
        <f>IF($E1475="","",IF($AT1475=1,Settings!$C$8,IF($AS1475=1,Settings!$C$6,Settings!$C$7))*100)</f>
        <v/>
      </c>
      <c r="AE1475" s="7">
        <f>IF($E1475="","",Z1475*AD1475/100)</f>
        <v/>
      </c>
      <c r="AF1475" s="7">
        <f>IF($E1475="","",Z1475-AE1475)</f>
        <v/>
      </c>
      <c r="AG1475" s="7">
        <f>IF($E1475="","",AF1475-Q1475)</f>
        <v/>
      </c>
      <c r="AK1475" s="7" t="n"/>
      <c r="AN1475" s="14" t="n"/>
      <c r="AQ1475">
        <f>IF($E1475="","",IF(COUNTIF($E$2:$E1475,$E1475)=1,1,0))</f>
        <v/>
      </c>
      <c r="AR1475">
        <f>IF($AQ1475=1,SUMPRODUCT(--($AU$2:$AU$1501&lt;$AU1475))+1,"")</f>
        <v/>
      </c>
      <c r="AS1475">
        <f>IF($E1475="","",IF(OR($U1475=TRUE(),$U1475="TRUE"),1,0))</f>
        <v/>
      </c>
      <c r="AT1475">
        <f>IF($E1475="","",IF($AC1475="Yes",1,0))</f>
        <v/>
      </c>
      <c r="AU1475">
        <f>IF($AQ1475=1,IFERROR(IF(VALUE($E1475)&lt;100000000,VALUE($E1475),1000000000),IFERROR(IF(VALUE(MID($E1475,2,20))&lt;100000000,VALUE(MID($E1475,2,20)),1000000000),1000000000))+ROW()/100000,"")</f>
        <v/>
      </c>
    </row>
    <row r="1476">
      <c r="G1476" s="14" t="n"/>
      <c r="Q1476" s="7">
        <f>IF($E1476="","",P1476*Z1476/100)</f>
        <v/>
      </c>
      <c r="R1476" s="7" t="n"/>
      <c r="Y1476" s="7" t="n"/>
      <c r="Z1476" s="7" t="n"/>
      <c r="AA1476" s="7" t="n"/>
      <c r="AD1476">
        <f>IF($E1476="","",IF($AT1476=1,Settings!$C$8,IF($AS1476=1,Settings!$C$6,Settings!$C$7))*100)</f>
        <v/>
      </c>
      <c r="AE1476" s="7">
        <f>IF($E1476="","",Z1476*AD1476/100)</f>
        <v/>
      </c>
      <c r="AF1476" s="7">
        <f>IF($E1476="","",Z1476-AE1476)</f>
        <v/>
      </c>
      <c r="AG1476" s="7">
        <f>IF($E1476="","",AF1476-Q1476)</f>
        <v/>
      </c>
      <c r="AK1476" s="7" t="n"/>
      <c r="AN1476" s="14" t="n"/>
      <c r="AQ1476">
        <f>IF($E1476="","",IF(COUNTIF($E$2:$E1476,$E1476)=1,1,0))</f>
        <v/>
      </c>
      <c r="AR1476">
        <f>IF($AQ1476=1,SUMPRODUCT(--($AU$2:$AU$1501&lt;$AU1476))+1,"")</f>
        <v/>
      </c>
      <c r="AS1476">
        <f>IF($E1476="","",IF(OR($U1476=TRUE(),$U1476="TRUE"),1,0))</f>
        <v/>
      </c>
      <c r="AT1476">
        <f>IF($E1476="","",IF($AC1476="Yes",1,0))</f>
        <v/>
      </c>
      <c r="AU1476">
        <f>IF($AQ1476=1,IFERROR(IF(VALUE($E1476)&lt;100000000,VALUE($E1476),1000000000),IFERROR(IF(VALUE(MID($E1476,2,20))&lt;100000000,VALUE(MID($E1476,2,20)),1000000000),1000000000))+ROW()/100000,"")</f>
        <v/>
      </c>
    </row>
    <row r="1477">
      <c r="G1477" s="14" t="n"/>
      <c r="Q1477" s="7">
        <f>IF($E1477="","",P1477*Z1477/100)</f>
        <v/>
      </c>
      <c r="R1477" s="7" t="n"/>
      <c r="Y1477" s="7" t="n"/>
      <c r="Z1477" s="7" t="n"/>
      <c r="AA1477" s="7" t="n"/>
      <c r="AD1477">
        <f>IF($E1477="","",IF($AT1477=1,Settings!$C$8,IF($AS1477=1,Settings!$C$6,Settings!$C$7))*100)</f>
        <v/>
      </c>
      <c r="AE1477" s="7">
        <f>IF($E1477="","",Z1477*AD1477/100)</f>
        <v/>
      </c>
      <c r="AF1477" s="7">
        <f>IF($E1477="","",Z1477-AE1477)</f>
        <v/>
      </c>
      <c r="AG1477" s="7">
        <f>IF($E1477="","",AF1477-Q1477)</f>
        <v/>
      </c>
      <c r="AK1477" s="7" t="n"/>
      <c r="AN1477" s="14" t="n"/>
      <c r="AQ1477">
        <f>IF($E1477="","",IF(COUNTIF($E$2:$E1477,$E1477)=1,1,0))</f>
        <v/>
      </c>
      <c r="AR1477">
        <f>IF($AQ1477=1,SUMPRODUCT(--($AU$2:$AU$1501&lt;$AU1477))+1,"")</f>
        <v/>
      </c>
      <c r="AS1477">
        <f>IF($E1477="","",IF(OR($U1477=TRUE(),$U1477="TRUE"),1,0))</f>
        <v/>
      </c>
      <c r="AT1477">
        <f>IF($E1477="","",IF($AC1477="Yes",1,0))</f>
        <v/>
      </c>
      <c r="AU1477">
        <f>IF($AQ1477=1,IFERROR(IF(VALUE($E1477)&lt;100000000,VALUE($E1477),1000000000),IFERROR(IF(VALUE(MID($E1477,2,20))&lt;100000000,VALUE(MID($E1477,2,20)),1000000000),1000000000))+ROW()/100000,"")</f>
        <v/>
      </c>
    </row>
    <row r="1478">
      <c r="G1478" s="14" t="n"/>
      <c r="Q1478" s="7">
        <f>IF($E1478="","",P1478*Z1478/100)</f>
        <v/>
      </c>
      <c r="R1478" s="7" t="n"/>
      <c r="Y1478" s="7" t="n"/>
      <c r="Z1478" s="7" t="n"/>
      <c r="AA1478" s="7" t="n"/>
      <c r="AD1478">
        <f>IF($E1478="","",IF($AT1478=1,Settings!$C$8,IF($AS1478=1,Settings!$C$6,Settings!$C$7))*100)</f>
        <v/>
      </c>
      <c r="AE1478" s="7">
        <f>IF($E1478="","",Z1478*AD1478/100)</f>
        <v/>
      </c>
      <c r="AF1478" s="7">
        <f>IF($E1478="","",Z1478-AE1478)</f>
        <v/>
      </c>
      <c r="AG1478" s="7">
        <f>IF($E1478="","",AF1478-Q1478)</f>
        <v/>
      </c>
      <c r="AK1478" s="7" t="n"/>
      <c r="AN1478" s="14" t="n"/>
      <c r="AQ1478">
        <f>IF($E1478="","",IF(COUNTIF($E$2:$E1478,$E1478)=1,1,0))</f>
        <v/>
      </c>
      <c r="AR1478">
        <f>IF($AQ1478=1,SUMPRODUCT(--($AU$2:$AU$1501&lt;$AU1478))+1,"")</f>
        <v/>
      </c>
      <c r="AS1478">
        <f>IF($E1478="","",IF(OR($U1478=TRUE(),$U1478="TRUE"),1,0))</f>
        <v/>
      </c>
      <c r="AT1478">
        <f>IF($E1478="","",IF($AC1478="Yes",1,0))</f>
        <v/>
      </c>
      <c r="AU1478">
        <f>IF($AQ1478=1,IFERROR(IF(VALUE($E1478)&lt;100000000,VALUE($E1478),1000000000),IFERROR(IF(VALUE(MID($E1478,2,20))&lt;100000000,VALUE(MID($E1478,2,20)),1000000000),1000000000))+ROW()/100000,"")</f>
        <v/>
      </c>
    </row>
    <row r="1479">
      <c r="G1479" s="14" t="n"/>
      <c r="Q1479" s="7">
        <f>IF($E1479="","",P1479*Z1479/100)</f>
        <v/>
      </c>
      <c r="R1479" s="7" t="n"/>
      <c r="Y1479" s="7" t="n"/>
      <c r="Z1479" s="7" t="n"/>
      <c r="AA1479" s="7" t="n"/>
      <c r="AD1479">
        <f>IF($E1479="","",IF($AT1479=1,Settings!$C$8,IF($AS1479=1,Settings!$C$6,Settings!$C$7))*100)</f>
        <v/>
      </c>
      <c r="AE1479" s="7">
        <f>IF($E1479="","",Z1479*AD1479/100)</f>
        <v/>
      </c>
      <c r="AF1479" s="7">
        <f>IF($E1479="","",Z1479-AE1479)</f>
        <v/>
      </c>
      <c r="AG1479" s="7">
        <f>IF($E1479="","",AF1479-Q1479)</f>
        <v/>
      </c>
      <c r="AK1479" s="7" t="n"/>
      <c r="AN1479" s="14" t="n"/>
      <c r="AQ1479">
        <f>IF($E1479="","",IF(COUNTIF($E$2:$E1479,$E1479)=1,1,0))</f>
        <v/>
      </c>
      <c r="AR1479">
        <f>IF($AQ1479=1,SUMPRODUCT(--($AU$2:$AU$1501&lt;$AU1479))+1,"")</f>
        <v/>
      </c>
      <c r="AS1479">
        <f>IF($E1479="","",IF(OR($U1479=TRUE(),$U1479="TRUE"),1,0))</f>
        <v/>
      </c>
      <c r="AT1479">
        <f>IF($E1479="","",IF($AC1479="Yes",1,0))</f>
        <v/>
      </c>
      <c r="AU1479">
        <f>IF($AQ1479=1,IFERROR(IF(VALUE($E1479)&lt;100000000,VALUE($E1479),1000000000),IFERROR(IF(VALUE(MID($E1479,2,20))&lt;100000000,VALUE(MID($E1479,2,20)),1000000000),1000000000))+ROW()/100000,"")</f>
        <v/>
      </c>
    </row>
    <row r="1480">
      <c r="G1480" s="14" t="n"/>
      <c r="Q1480" s="7">
        <f>IF($E1480="","",P1480*Z1480/100)</f>
        <v/>
      </c>
      <c r="R1480" s="7" t="n"/>
      <c r="Y1480" s="7" t="n"/>
      <c r="Z1480" s="7" t="n"/>
      <c r="AA1480" s="7" t="n"/>
      <c r="AD1480">
        <f>IF($E1480="","",IF($AT1480=1,Settings!$C$8,IF($AS1480=1,Settings!$C$6,Settings!$C$7))*100)</f>
        <v/>
      </c>
      <c r="AE1480" s="7">
        <f>IF($E1480="","",Z1480*AD1480/100)</f>
        <v/>
      </c>
      <c r="AF1480" s="7">
        <f>IF($E1480="","",Z1480-AE1480)</f>
        <v/>
      </c>
      <c r="AG1480" s="7">
        <f>IF($E1480="","",AF1480-Q1480)</f>
        <v/>
      </c>
      <c r="AK1480" s="7" t="n"/>
      <c r="AN1480" s="14" t="n"/>
      <c r="AQ1480">
        <f>IF($E1480="","",IF(COUNTIF($E$2:$E1480,$E1480)=1,1,0))</f>
        <v/>
      </c>
      <c r="AR1480">
        <f>IF($AQ1480=1,SUMPRODUCT(--($AU$2:$AU$1501&lt;$AU1480))+1,"")</f>
        <v/>
      </c>
      <c r="AS1480">
        <f>IF($E1480="","",IF(OR($U1480=TRUE(),$U1480="TRUE"),1,0))</f>
        <v/>
      </c>
      <c r="AT1480">
        <f>IF($E1480="","",IF($AC1480="Yes",1,0))</f>
        <v/>
      </c>
      <c r="AU1480">
        <f>IF($AQ1480=1,IFERROR(IF(VALUE($E1480)&lt;100000000,VALUE($E1480),1000000000),IFERROR(IF(VALUE(MID($E1480,2,20))&lt;100000000,VALUE(MID($E1480,2,20)),1000000000),1000000000))+ROW()/100000,"")</f>
        <v/>
      </c>
    </row>
    <row r="1481">
      <c r="G1481" s="14" t="n"/>
      <c r="Q1481" s="7">
        <f>IF($E1481="","",P1481*Z1481/100)</f>
        <v/>
      </c>
      <c r="R1481" s="7" t="n"/>
      <c r="Y1481" s="7" t="n"/>
      <c r="Z1481" s="7" t="n"/>
      <c r="AA1481" s="7" t="n"/>
      <c r="AD1481">
        <f>IF($E1481="","",IF($AT1481=1,Settings!$C$8,IF($AS1481=1,Settings!$C$6,Settings!$C$7))*100)</f>
        <v/>
      </c>
      <c r="AE1481" s="7">
        <f>IF($E1481="","",Z1481*AD1481/100)</f>
        <v/>
      </c>
      <c r="AF1481" s="7">
        <f>IF($E1481="","",Z1481-AE1481)</f>
        <v/>
      </c>
      <c r="AG1481" s="7">
        <f>IF($E1481="","",AF1481-Q1481)</f>
        <v/>
      </c>
      <c r="AK1481" s="7" t="n"/>
      <c r="AN1481" s="14" t="n"/>
      <c r="AQ1481">
        <f>IF($E1481="","",IF(COUNTIF($E$2:$E1481,$E1481)=1,1,0))</f>
        <v/>
      </c>
      <c r="AR1481">
        <f>IF($AQ1481=1,SUMPRODUCT(--($AU$2:$AU$1501&lt;$AU1481))+1,"")</f>
        <v/>
      </c>
      <c r="AS1481">
        <f>IF($E1481="","",IF(OR($U1481=TRUE(),$U1481="TRUE"),1,0))</f>
        <v/>
      </c>
      <c r="AT1481">
        <f>IF($E1481="","",IF($AC1481="Yes",1,0))</f>
        <v/>
      </c>
      <c r="AU1481">
        <f>IF($AQ1481=1,IFERROR(IF(VALUE($E1481)&lt;100000000,VALUE($E1481),1000000000),IFERROR(IF(VALUE(MID($E1481,2,20))&lt;100000000,VALUE(MID($E1481,2,20)),1000000000),1000000000))+ROW()/100000,"")</f>
        <v/>
      </c>
    </row>
    <row r="1482">
      <c r="G1482" s="14" t="n"/>
      <c r="Q1482" s="7">
        <f>IF($E1482="","",P1482*Z1482/100)</f>
        <v/>
      </c>
      <c r="R1482" s="7" t="n"/>
      <c r="Y1482" s="7" t="n"/>
      <c r="Z1482" s="7" t="n"/>
      <c r="AA1482" s="7" t="n"/>
      <c r="AD1482">
        <f>IF($E1482="","",IF($AT1482=1,Settings!$C$8,IF($AS1482=1,Settings!$C$6,Settings!$C$7))*100)</f>
        <v/>
      </c>
      <c r="AE1482" s="7">
        <f>IF($E1482="","",Z1482*AD1482/100)</f>
        <v/>
      </c>
      <c r="AF1482" s="7">
        <f>IF($E1482="","",Z1482-AE1482)</f>
        <v/>
      </c>
      <c r="AG1482" s="7">
        <f>IF($E1482="","",AF1482-Q1482)</f>
        <v/>
      </c>
      <c r="AK1482" s="7" t="n"/>
      <c r="AN1482" s="14" t="n"/>
      <c r="AQ1482">
        <f>IF($E1482="","",IF(COUNTIF($E$2:$E1482,$E1482)=1,1,0))</f>
        <v/>
      </c>
      <c r="AR1482">
        <f>IF($AQ1482=1,SUMPRODUCT(--($AU$2:$AU$1501&lt;$AU1482))+1,"")</f>
        <v/>
      </c>
      <c r="AS1482">
        <f>IF($E1482="","",IF(OR($U1482=TRUE(),$U1482="TRUE"),1,0))</f>
        <v/>
      </c>
      <c r="AT1482">
        <f>IF($E1482="","",IF($AC1482="Yes",1,0))</f>
        <v/>
      </c>
      <c r="AU1482">
        <f>IF($AQ1482=1,IFERROR(IF(VALUE($E1482)&lt;100000000,VALUE($E1482),1000000000),IFERROR(IF(VALUE(MID($E1482,2,20))&lt;100000000,VALUE(MID($E1482,2,20)),1000000000),1000000000))+ROW()/100000,"")</f>
        <v/>
      </c>
    </row>
    <row r="1483">
      <c r="G1483" s="14" t="n"/>
      <c r="Q1483" s="7">
        <f>IF($E1483="","",P1483*Z1483/100)</f>
        <v/>
      </c>
      <c r="R1483" s="7" t="n"/>
      <c r="Y1483" s="7" t="n"/>
      <c r="Z1483" s="7" t="n"/>
      <c r="AA1483" s="7" t="n"/>
      <c r="AD1483">
        <f>IF($E1483="","",IF($AT1483=1,Settings!$C$8,IF($AS1483=1,Settings!$C$6,Settings!$C$7))*100)</f>
        <v/>
      </c>
      <c r="AE1483" s="7">
        <f>IF($E1483="","",Z1483*AD1483/100)</f>
        <v/>
      </c>
      <c r="AF1483" s="7">
        <f>IF($E1483="","",Z1483-AE1483)</f>
        <v/>
      </c>
      <c r="AG1483" s="7">
        <f>IF($E1483="","",AF1483-Q1483)</f>
        <v/>
      </c>
      <c r="AK1483" s="7" t="n"/>
      <c r="AN1483" s="14" t="n"/>
      <c r="AQ1483">
        <f>IF($E1483="","",IF(COUNTIF($E$2:$E1483,$E1483)=1,1,0))</f>
        <v/>
      </c>
      <c r="AR1483">
        <f>IF($AQ1483=1,SUMPRODUCT(--($AU$2:$AU$1501&lt;$AU1483))+1,"")</f>
        <v/>
      </c>
      <c r="AS1483">
        <f>IF($E1483="","",IF(OR($U1483=TRUE(),$U1483="TRUE"),1,0))</f>
        <v/>
      </c>
      <c r="AT1483">
        <f>IF($E1483="","",IF($AC1483="Yes",1,0))</f>
        <v/>
      </c>
      <c r="AU1483">
        <f>IF($AQ1483=1,IFERROR(IF(VALUE($E1483)&lt;100000000,VALUE($E1483),1000000000),IFERROR(IF(VALUE(MID($E1483,2,20))&lt;100000000,VALUE(MID($E1483,2,20)),1000000000),1000000000))+ROW()/100000,"")</f>
        <v/>
      </c>
    </row>
    <row r="1484">
      <c r="G1484" s="14" t="n"/>
      <c r="Q1484" s="7">
        <f>IF($E1484="","",P1484*Z1484/100)</f>
        <v/>
      </c>
      <c r="R1484" s="7" t="n"/>
      <c r="Y1484" s="7" t="n"/>
      <c r="Z1484" s="7" t="n"/>
      <c r="AA1484" s="7" t="n"/>
      <c r="AD1484">
        <f>IF($E1484="","",IF($AT1484=1,Settings!$C$8,IF($AS1484=1,Settings!$C$6,Settings!$C$7))*100)</f>
        <v/>
      </c>
      <c r="AE1484" s="7">
        <f>IF($E1484="","",Z1484*AD1484/100)</f>
        <v/>
      </c>
      <c r="AF1484" s="7">
        <f>IF($E1484="","",Z1484-AE1484)</f>
        <v/>
      </c>
      <c r="AG1484" s="7">
        <f>IF($E1484="","",AF1484-Q1484)</f>
        <v/>
      </c>
      <c r="AK1484" s="7" t="n"/>
      <c r="AN1484" s="14" t="n"/>
      <c r="AQ1484">
        <f>IF($E1484="","",IF(COUNTIF($E$2:$E1484,$E1484)=1,1,0))</f>
        <v/>
      </c>
      <c r="AR1484">
        <f>IF($AQ1484=1,SUMPRODUCT(--($AU$2:$AU$1501&lt;$AU1484))+1,"")</f>
        <v/>
      </c>
      <c r="AS1484">
        <f>IF($E1484="","",IF(OR($U1484=TRUE(),$U1484="TRUE"),1,0))</f>
        <v/>
      </c>
      <c r="AT1484">
        <f>IF($E1484="","",IF($AC1484="Yes",1,0))</f>
        <v/>
      </c>
      <c r="AU1484">
        <f>IF($AQ1484=1,IFERROR(IF(VALUE($E1484)&lt;100000000,VALUE($E1484),1000000000),IFERROR(IF(VALUE(MID($E1484,2,20))&lt;100000000,VALUE(MID($E1484,2,20)),1000000000),1000000000))+ROW()/100000,"")</f>
        <v/>
      </c>
    </row>
    <row r="1485">
      <c r="G1485" s="14" t="n"/>
      <c r="Q1485" s="7">
        <f>IF($E1485="","",P1485*Z1485/100)</f>
        <v/>
      </c>
      <c r="R1485" s="7" t="n"/>
      <c r="Y1485" s="7" t="n"/>
      <c r="Z1485" s="7" t="n"/>
      <c r="AA1485" s="7" t="n"/>
      <c r="AD1485">
        <f>IF($E1485="","",IF($AT1485=1,Settings!$C$8,IF($AS1485=1,Settings!$C$6,Settings!$C$7))*100)</f>
        <v/>
      </c>
      <c r="AE1485" s="7">
        <f>IF($E1485="","",Z1485*AD1485/100)</f>
        <v/>
      </c>
      <c r="AF1485" s="7">
        <f>IF($E1485="","",Z1485-AE1485)</f>
        <v/>
      </c>
      <c r="AG1485" s="7">
        <f>IF($E1485="","",AF1485-Q1485)</f>
        <v/>
      </c>
      <c r="AK1485" s="7" t="n"/>
      <c r="AN1485" s="14" t="n"/>
      <c r="AQ1485">
        <f>IF($E1485="","",IF(COUNTIF($E$2:$E1485,$E1485)=1,1,0))</f>
        <v/>
      </c>
      <c r="AR1485">
        <f>IF($AQ1485=1,SUMPRODUCT(--($AU$2:$AU$1501&lt;$AU1485))+1,"")</f>
        <v/>
      </c>
      <c r="AS1485">
        <f>IF($E1485="","",IF(OR($U1485=TRUE(),$U1485="TRUE"),1,0))</f>
        <v/>
      </c>
      <c r="AT1485">
        <f>IF($E1485="","",IF($AC1485="Yes",1,0))</f>
        <v/>
      </c>
      <c r="AU1485">
        <f>IF($AQ1485=1,IFERROR(IF(VALUE($E1485)&lt;100000000,VALUE($E1485),1000000000),IFERROR(IF(VALUE(MID($E1485,2,20))&lt;100000000,VALUE(MID($E1485,2,20)),1000000000),1000000000))+ROW()/100000,"")</f>
        <v/>
      </c>
    </row>
    <row r="1486">
      <c r="G1486" s="14" t="n"/>
      <c r="Q1486" s="7">
        <f>IF($E1486="","",P1486*Z1486/100)</f>
        <v/>
      </c>
      <c r="R1486" s="7" t="n"/>
      <c r="Y1486" s="7" t="n"/>
      <c r="Z1486" s="7" t="n"/>
      <c r="AA1486" s="7" t="n"/>
      <c r="AD1486">
        <f>IF($E1486="","",IF($AT1486=1,Settings!$C$8,IF($AS1486=1,Settings!$C$6,Settings!$C$7))*100)</f>
        <v/>
      </c>
      <c r="AE1486" s="7">
        <f>IF($E1486="","",Z1486*AD1486/100)</f>
        <v/>
      </c>
      <c r="AF1486" s="7">
        <f>IF($E1486="","",Z1486-AE1486)</f>
        <v/>
      </c>
      <c r="AG1486" s="7">
        <f>IF($E1486="","",AF1486-Q1486)</f>
        <v/>
      </c>
      <c r="AK1486" s="7" t="n"/>
      <c r="AN1486" s="14" t="n"/>
      <c r="AQ1486">
        <f>IF($E1486="","",IF(COUNTIF($E$2:$E1486,$E1486)=1,1,0))</f>
        <v/>
      </c>
      <c r="AR1486">
        <f>IF($AQ1486=1,SUMPRODUCT(--($AU$2:$AU$1501&lt;$AU1486))+1,"")</f>
        <v/>
      </c>
      <c r="AS1486">
        <f>IF($E1486="","",IF(OR($U1486=TRUE(),$U1486="TRUE"),1,0))</f>
        <v/>
      </c>
      <c r="AT1486">
        <f>IF($E1486="","",IF($AC1486="Yes",1,0))</f>
        <v/>
      </c>
      <c r="AU1486">
        <f>IF($AQ1486=1,IFERROR(IF(VALUE($E1486)&lt;100000000,VALUE($E1486),1000000000),IFERROR(IF(VALUE(MID($E1486,2,20))&lt;100000000,VALUE(MID($E1486,2,20)),1000000000),1000000000))+ROW()/100000,"")</f>
        <v/>
      </c>
    </row>
    <row r="1487">
      <c r="G1487" s="14" t="n"/>
      <c r="Q1487" s="7">
        <f>IF($E1487="","",P1487*Z1487/100)</f>
        <v/>
      </c>
      <c r="R1487" s="7" t="n"/>
      <c r="Y1487" s="7" t="n"/>
      <c r="Z1487" s="7" t="n"/>
      <c r="AA1487" s="7" t="n"/>
      <c r="AD1487">
        <f>IF($E1487="","",IF($AT1487=1,Settings!$C$8,IF($AS1487=1,Settings!$C$6,Settings!$C$7))*100)</f>
        <v/>
      </c>
      <c r="AE1487" s="7">
        <f>IF($E1487="","",Z1487*AD1487/100)</f>
        <v/>
      </c>
      <c r="AF1487" s="7">
        <f>IF($E1487="","",Z1487-AE1487)</f>
        <v/>
      </c>
      <c r="AG1487" s="7">
        <f>IF($E1487="","",AF1487-Q1487)</f>
        <v/>
      </c>
      <c r="AK1487" s="7" t="n"/>
      <c r="AN1487" s="14" t="n"/>
      <c r="AQ1487">
        <f>IF($E1487="","",IF(COUNTIF($E$2:$E1487,$E1487)=1,1,0))</f>
        <v/>
      </c>
      <c r="AR1487">
        <f>IF($AQ1487=1,SUMPRODUCT(--($AU$2:$AU$1501&lt;$AU1487))+1,"")</f>
        <v/>
      </c>
      <c r="AS1487">
        <f>IF($E1487="","",IF(OR($U1487=TRUE(),$U1487="TRUE"),1,0))</f>
        <v/>
      </c>
      <c r="AT1487">
        <f>IF($E1487="","",IF($AC1487="Yes",1,0))</f>
        <v/>
      </c>
      <c r="AU1487">
        <f>IF($AQ1487=1,IFERROR(IF(VALUE($E1487)&lt;100000000,VALUE($E1487),1000000000),IFERROR(IF(VALUE(MID($E1487,2,20))&lt;100000000,VALUE(MID($E1487,2,20)),1000000000),1000000000))+ROW()/100000,"")</f>
        <v/>
      </c>
    </row>
    <row r="1488">
      <c r="G1488" s="14" t="n"/>
      <c r="Q1488" s="7">
        <f>IF($E1488="","",P1488*Z1488/100)</f>
        <v/>
      </c>
      <c r="R1488" s="7" t="n"/>
      <c r="Y1488" s="7" t="n"/>
      <c r="Z1488" s="7" t="n"/>
      <c r="AA1488" s="7" t="n"/>
      <c r="AD1488">
        <f>IF($E1488="","",IF($AT1488=1,Settings!$C$8,IF($AS1488=1,Settings!$C$6,Settings!$C$7))*100)</f>
        <v/>
      </c>
      <c r="AE1488" s="7">
        <f>IF($E1488="","",Z1488*AD1488/100)</f>
        <v/>
      </c>
      <c r="AF1488" s="7">
        <f>IF($E1488="","",Z1488-AE1488)</f>
        <v/>
      </c>
      <c r="AG1488" s="7">
        <f>IF($E1488="","",AF1488-Q1488)</f>
        <v/>
      </c>
      <c r="AK1488" s="7" t="n"/>
      <c r="AN1488" s="14" t="n"/>
      <c r="AQ1488">
        <f>IF($E1488="","",IF(COUNTIF($E$2:$E1488,$E1488)=1,1,0))</f>
        <v/>
      </c>
      <c r="AR1488">
        <f>IF($AQ1488=1,SUMPRODUCT(--($AU$2:$AU$1501&lt;$AU1488))+1,"")</f>
        <v/>
      </c>
      <c r="AS1488">
        <f>IF($E1488="","",IF(OR($U1488=TRUE(),$U1488="TRUE"),1,0))</f>
        <v/>
      </c>
      <c r="AT1488">
        <f>IF($E1488="","",IF($AC1488="Yes",1,0))</f>
        <v/>
      </c>
      <c r="AU1488">
        <f>IF($AQ1488=1,IFERROR(IF(VALUE($E1488)&lt;100000000,VALUE($E1488),1000000000),IFERROR(IF(VALUE(MID($E1488,2,20))&lt;100000000,VALUE(MID($E1488,2,20)),1000000000),1000000000))+ROW()/100000,"")</f>
        <v/>
      </c>
    </row>
    <row r="1489">
      <c r="G1489" s="14" t="n"/>
      <c r="Q1489" s="7">
        <f>IF($E1489="","",P1489*Z1489/100)</f>
        <v/>
      </c>
      <c r="R1489" s="7" t="n"/>
      <c r="Y1489" s="7" t="n"/>
      <c r="Z1489" s="7" t="n"/>
      <c r="AA1489" s="7" t="n"/>
      <c r="AD1489">
        <f>IF($E1489="","",IF($AT1489=1,Settings!$C$8,IF($AS1489=1,Settings!$C$6,Settings!$C$7))*100)</f>
        <v/>
      </c>
      <c r="AE1489" s="7">
        <f>IF($E1489="","",Z1489*AD1489/100)</f>
        <v/>
      </c>
      <c r="AF1489" s="7">
        <f>IF($E1489="","",Z1489-AE1489)</f>
        <v/>
      </c>
      <c r="AG1489" s="7">
        <f>IF($E1489="","",AF1489-Q1489)</f>
        <v/>
      </c>
      <c r="AK1489" s="7" t="n"/>
      <c r="AN1489" s="14" t="n"/>
      <c r="AQ1489">
        <f>IF($E1489="","",IF(COUNTIF($E$2:$E1489,$E1489)=1,1,0))</f>
        <v/>
      </c>
      <c r="AR1489">
        <f>IF($AQ1489=1,SUMPRODUCT(--($AU$2:$AU$1501&lt;$AU1489))+1,"")</f>
        <v/>
      </c>
      <c r="AS1489">
        <f>IF($E1489="","",IF(OR($U1489=TRUE(),$U1489="TRUE"),1,0))</f>
        <v/>
      </c>
      <c r="AT1489">
        <f>IF($E1489="","",IF($AC1489="Yes",1,0))</f>
        <v/>
      </c>
      <c r="AU1489">
        <f>IF($AQ1489=1,IFERROR(IF(VALUE($E1489)&lt;100000000,VALUE($E1489),1000000000),IFERROR(IF(VALUE(MID($E1489,2,20))&lt;100000000,VALUE(MID($E1489,2,20)),1000000000),1000000000))+ROW()/100000,"")</f>
        <v/>
      </c>
    </row>
    <row r="1490">
      <c r="G1490" s="14" t="n"/>
      <c r="Q1490" s="7">
        <f>IF($E1490="","",P1490*Z1490/100)</f>
        <v/>
      </c>
      <c r="R1490" s="7" t="n"/>
      <c r="Y1490" s="7" t="n"/>
      <c r="Z1490" s="7" t="n"/>
      <c r="AA1490" s="7" t="n"/>
      <c r="AD1490">
        <f>IF($E1490="","",IF($AT1490=1,Settings!$C$8,IF($AS1490=1,Settings!$C$6,Settings!$C$7))*100)</f>
        <v/>
      </c>
      <c r="AE1490" s="7">
        <f>IF($E1490="","",Z1490*AD1490/100)</f>
        <v/>
      </c>
      <c r="AF1490" s="7">
        <f>IF($E1490="","",Z1490-AE1490)</f>
        <v/>
      </c>
      <c r="AG1490" s="7">
        <f>IF($E1490="","",AF1490-Q1490)</f>
        <v/>
      </c>
      <c r="AK1490" s="7" t="n"/>
      <c r="AN1490" s="14" t="n"/>
      <c r="AQ1490">
        <f>IF($E1490="","",IF(COUNTIF($E$2:$E1490,$E1490)=1,1,0))</f>
        <v/>
      </c>
      <c r="AR1490">
        <f>IF($AQ1490=1,SUMPRODUCT(--($AU$2:$AU$1501&lt;$AU1490))+1,"")</f>
        <v/>
      </c>
      <c r="AS1490">
        <f>IF($E1490="","",IF(OR($U1490=TRUE(),$U1490="TRUE"),1,0))</f>
        <v/>
      </c>
      <c r="AT1490">
        <f>IF($E1490="","",IF($AC1490="Yes",1,0))</f>
        <v/>
      </c>
      <c r="AU1490">
        <f>IF($AQ1490=1,IFERROR(IF(VALUE($E1490)&lt;100000000,VALUE($E1490),1000000000),IFERROR(IF(VALUE(MID($E1490,2,20))&lt;100000000,VALUE(MID($E1490,2,20)),1000000000),1000000000))+ROW()/100000,"")</f>
        <v/>
      </c>
    </row>
    <row r="1491">
      <c r="G1491" s="14" t="n"/>
      <c r="Q1491" s="7">
        <f>IF($E1491="","",P1491*Z1491/100)</f>
        <v/>
      </c>
      <c r="R1491" s="7" t="n"/>
      <c r="Y1491" s="7" t="n"/>
      <c r="Z1491" s="7" t="n"/>
      <c r="AA1491" s="7" t="n"/>
      <c r="AD1491">
        <f>IF($E1491="","",IF($AT1491=1,Settings!$C$8,IF($AS1491=1,Settings!$C$6,Settings!$C$7))*100)</f>
        <v/>
      </c>
      <c r="AE1491" s="7">
        <f>IF($E1491="","",Z1491*AD1491/100)</f>
        <v/>
      </c>
      <c r="AF1491" s="7">
        <f>IF($E1491="","",Z1491-AE1491)</f>
        <v/>
      </c>
      <c r="AG1491" s="7">
        <f>IF($E1491="","",AF1491-Q1491)</f>
        <v/>
      </c>
      <c r="AK1491" s="7" t="n"/>
      <c r="AN1491" s="14" t="n"/>
      <c r="AQ1491">
        <f>IF($E1491="","",IF(COUNTIF($E$2:$E1491,$E1491)=1,1,0))</f>
        <v/>
      </c>
      <c r="AR1491">
        <f>IF($AQ1491=1,SUMPRODUCT(--($AU$2:$AU$1501&lt;$AU1491))+1,"")</f>
        <v/>
      </c>
      <c r="AS1491">
        <f>IF($E1491="","",IF(OR($U1491=TRUE(),$U1491="TRUE"),1,0))</f>
        <v/>
      </c>
      <c r="AT1491">
        <f>IF($E1491="","",IF($AC1491="Yes",1,0))</f>
        <v/>
      </c>
      <c r="AU1491">
        <f>IF($AQ1491=1,IFERROR(IF(VALUE($E1491)&lt;100000000,VALUE($E1491),1000000000),IFERROR(IF(VALUE(MID($E1491,2,20))&lt;100000000,VALUE(MID($E1491,2,20)),1000000000),1000000000))+ROW()/100000,"")</f>
        <v/>
      </c>
    </row>
    <row r="1492">
      <c r="G1492" s="14" t="n"/>
      <c r="Q1492" s="7">
        <f>IF($E1492="","",P1492*Z1492/100)</f>
        <v/>
      </c>
      <c r="R1492" s="7" t="n"/>
      <c r="Y1492" s="7" t="n"/>
      <c r="Z1492" s="7" t="n"/>
      <c r="AA1492" s="7" t="n"/>
      <c r="AD1492">
        <f>IF($E1492="","",IF($AT1492=1,Settings!$C$8,IF($AS1492=1,Settings!$C$6,Settings!$C$7))*100)</f>
        <v/>
      </c>
      <c r="AE1492" s="7">
        <f>IF($E1492="","",Z1492*AD1492/100)</f>
        <v/>
      </c>
      <c r="AF1492" s="7">
        <f>IF($E1492="","",Z1492-AE1492)</f>
        <v/>
      </c>
      <c r="AG1492" s="7">
        <f>IF($E1492="","",AF1492-Q1492)</f>
        <v/>
      </c>
      <c r="AK1492" s="7" t="n"/>
      <c r="AN1492" s="14" t="n"/>
      <c r="AQ1492">
        <f>IF($E1492="","",IF(COUNTIF($E$2:$E1492,$E1492)=1,1,0))</f>
        <v/>
      </c>
      <c r="AR1492">
        <f>IF($AQ1492=1,SUMPRODUCT(--($AU$2:$AU$1501&lt;$AU1492))+1,"")</f>
        <v/>
      </c>
      <c r="AS1492">
        <f>IF($E1492="","",IF(OR($U1492=TRUE(),$U1492="TRUE"),1,0))</f>
        <v/>
      </c>
      <c r="AT1492">
        <f>IF($E1492="","",IF($AC1492="Yes",1,0))</f>
        <v/>
      </c>
      <c r="AU1492">
        <f>IF($AQ1492=1,IFERROR(IF(VALUE($E1492)&lt;100000000,VALUE($E1492),1000000000),IFERROR(IF(VALUE(MID($E1492,2,20))&lt;100000000,VALUE(MID($E1492,2,20)),1000000000),1000000000))+ROW()/100000,"")</f>
        <v/>
      </c>
    </row>
    <row r="1493">
      <c r="G1493" s="14" t="n"/>
      <c r="Q1493" s="7">
        <f>IF($E1493="","",P1493*Z1493/100)</f>
        <v/>
      </c>
      <c r="R1493" s="7" t="n"/>
      <c r="Y1493" s="7" t="n"/>
      <c r="Z1493" s="7" t="n"/>
      <c r="AA1493" s="7" t="n"/>
      <c r="AD1493">
        <f>IF($E1493="","",IF($AT1493=1,Settings!$C$8,IF($AS1493=1,Settings!$C$6,Settings!$C$7))*100)</f>
        <v/>
      </c>
      <c r="AE1493" s="7">
        <f>IF($E1493="","",Z1493*AD1493/100)</f>
        <v/>
      </c>
      <c r="AF1493" s="7">
        <f>IF($E1493="","",Z1493-AE1493)</f>
        <v/>
      </c>
      <c r="AG1493" s="7">
        <f>IF($E1493="","",AF1493-Q1493)</f>
        <v/>
      </c>
      <c r="AK1493" s="7" t="n"/>
      <c r="AN1493" s="14" t="n"/>
      <c r="AQ1493">
        <f>IF($E1493="","",IF(COUNTIF($E$2:$E1493,$E1493)=1,1,0))</f>
        <v/>
      </c>
      <c r="AR1493">
        <f>IF($AQ1493=1,SUMPRODUCT(--($AU$2:$AU$1501&lt;$AU1493))+1,"")</f>
        <v/>
      </c>
      <c r="AS1493">
        <f>IF($E1493="","",IF(OR($U1493=TRUE(),$U1493="TRUE"),1,0))</f>
        <v/>
      </c>
      <c r="AT1493">
        <f>IF($E1493="","",IF($AC1493="Yes",1,0))</f>
        <v/>
      </c>
      <c r="AU1493">
        <f>IF($AQ1493=1,IFERROR(IF(VALUE($E1493)&lt;100000000,VALUE($E1493),1000000000),IFERROR(IF(VALUE(MID($E1493,2,20))&lt;100000000,VALUE(MID($E1493,2,20)),1000000000),1000000000))+ROW()/100000,"")</f>
        <v/>
      </c>
    </row>
    <row r="1494">
      <c r="G1494" s="14" t="n"/>
      <c r="Q1494" s="7">
        <f>IF($E1494="","",P1494*Z1494/100)</f>
        <v/>
      </c>
      <c r="R1494" s="7" t="n"/>
      <c r="Y1494" s="7" t="n"/>
      <c r="Z1494" s="7" t="n"/>
      <c r="AA1494" s="7" t="n"/>
      <c r="AD1494">
        <f>IF($E1494="","",IF($AT1494=1,Settings!$C$8,IF($AS1494=1,Settings!$C$6,Settings!$C$7))*100)</f>
        <v/>
      </c>
      <c r="AE1494" s="7">
        <f>IF($E1494="","",Z1494*AD1494/100)</f>
        <v/>
      </c>
      <c r="AF1494" s="7">
        <f>IF($E1494="","",Z1494-AE1494)</f>
        <v/>
      </c>
      <c r="AG1494" s="7">
        <f>IF($E1494="","",AF1494-Q1494)</f>
        <v/>
      </c>
      <c r="AK1494" s="7" t="n"/>
      <c r="AN1494" s="14" t="n"/>
      <c r="AQ1494">
        <f>IF($E1494="","",IF(COUNTIF($E$2:$E1494,$E1494)=1,1,0))</f>
        <v/>
      </c>
      <c r="AR1494">
        <f>IF($AQ1494=1,SUMPRODUCT(--($AU$2:$AU$1501&lt;$AU1494))+1,"")</f>
        <v/>
      </c>
      <c r="AS1494">
        <f>IF($E1494="","",IF(OR($U1494=TRUE(),$U1494="TRUE"),1,0))</f>
        <v/>
      </c>
      <c r="AT1494">
        <f>IF($E1494="","",IF($AC1494="Yes",1,0))</f>
        <v/>
      </c>
      <c r="AU1494">
        <f>IF($AQ1494=1,IFERROR(IF(VALUE($E1494)&lt;100000000,VALUE($E1494),1000000000),IFERROR(IF(VALUE(MID($E1494,2,20))&lt;100000000,VALUE(MID($E1494,2,20)),1000000000),1000000000))+ROW()/100000,"")</f>
        <v/>
      </c>
    </row>
    <row r="1495">
      <c r="G1495" s="14" t="n"/>
      <c r="Q1495" s="7">
        <f>IF($E1495="","",P1495*Z1495/100)</f>
        <v/>
      </c>
      <c r="R1495" s="7" t="n"/>
      <c r="Y1495" s="7" t="n"/>
      <c r="Z1495" s="7" t="n"/>
      <c r="AA1495" s="7" t="n"/>
      <c r="AD1495">
        <f>IF($E1495="","",IF($AT1495=1,Settings!$C$8,IF($AS1495=1,Settings!$C$6,Settings!$C$7))*100)</f>
        <v/>
      </c>
      <c r="AE1495" s="7">
        <f>IF($E1495="","",Z1495*AD1495/100)</f>
        <v/>
      </c>
      <c r="AF1495" s="7">
        <f>IF($E1495="","",Z1495-AE1495)</f>
        <v/>
      </c>
      <c r="AG1495" s="7">
        <f>IF($E1495="","",AF1495-Q1495)</f>
        <v/>
      </c>
      <c r="AK1495" s="7" t="n"/>
      <c r="AN1495" s="14" t="n"/>
      <c r="AQ1495">
        <f>IF($E1495="","",IF(COUNTIF($E$2:$E1495,$E1495)=1,1,0))</f>
        <v/>
      </c>
      <c r="AR1495">
        <f>IF($AQ1495=1,SUMPRODUCT(--($AU$2:$AU$1501&lt;$AU1495))+1,"")</f>
        <v/>
      </c>
      <c r="AS1495">
        <f>IF($E1495="","",IF(OR($U1495=TRUE(),$U1495="TRUE"),1,0))</f>
        <v/>
      </c>
      <c r="AT1495">
        <f>IF($E1495="","",IF($AC1495="Yes",1,0))</f>
        <v/>
      </c>
      <c r="AU1495">
        <f>IF($AQ1495=1,IFERROR(IF(VALUE($E1495)&lt;100000000,VALUE($E1495),1000000000),IFERROR(IF(VALUE(MID($E1495,2,20))&lt;100000000,VALUE(MID($E1495,2,20)),1000000000),1000000000))+ROW()/100000,"")</f>
        <v/>
      </c>
    </row>
    <row r="1496">
      <c r="G1496" s="14" t="n"/>
      <c r="Q1496" s="7">
        <f>IF($E1496="","",P1496*Z1496/100)</f>
        <v/>
      </c>
      <c r="R1496" s="7" t="n"/>
      <c r="Y1496" s="7" t="n"/>
      <c r="Z1496" s="7" t="n"/>
      <c r="AA1496" s="7" t="n"/>
      <c r="AD1496">
        <f>IF($E1496="","",IF($AT1496=1,Settings!$C$8,IF($AS1496=1,Settings!$C$6,Settings!$C$7))*100)</f>
        <v/>
      </c>
      <c r="AE1496" s="7">
        <f>IF($E1496="","",Z1496*AD1496/100)</f>
        <v/>
      </c>
      <c r="AF1496" s="7">
        <f>IF($E1496="","",Z1496-AE1496)</f>
        <v/>
      </c>
      <c r="AG1496" s="7">
        <f>IF($E1496="","",AF1496-Q1496)</f>
        <v/>
      </c>
      <c r="AK1496" s="7" t="n"/>
      <c r="AN1496" s="14" t="n"/>
      <c r="AQ1496">
        <f>IF($E1496="","",IF(COUNTIF($E$2:$E1496,$E1496)=1,1,0))</f>
        <v/>
      </c>
      <c r="AR1496">
        <f>IF($AQ1496=1,SUMPRODUCT(--($AU$2:$AU$1501&lt;$AU1496))+1,"")</f>
        <v/>
      </c>
      <c r="AS1496">
        <f>IF($E1496="","",IF(OR($U1496=TRUE(),$U1496="TRUE"),1,0))</f>
        <v/>
      </c>
      <c r="AT1496">
        <f>IF($E1496="","",IF($AC1496="Yes",1,0))</f>
        <v/>
      </c>
      <c r="AU1496">
        <f>IF($AQ1496=1,IFERROR(IF(VALUE($E1496)&lt;100000000,VALUE($E1496),1000000000),IFERROR(IF(VALUE(MID($E1496,2,20))&lt;100000000,VALUE(MID($E1496,2,20)),1000000000),1000000000))+ROW()/100000,"")</f>
        <v/>
      </c>
    </row>
    <row r="1497">
      <c r="G1497" s="14" t="n"/>
      <c r="Q1497" s="7">
        <f>IF($E1497="","",P1497*Z1497/100)</f>
        <v/>
      </c>
      <c r="R1497" s="7" t="n"/>
      <c r="Y1497" s="7" t="n"/>
      <c r="Z1497" s="7" t="n"/>
      <c r="AA1497" s="7" t="n"/>
      <c r="AD1497">
        <f>IF($E1497="","",IF($AT1497=1,Settings!$C$8,IF($AS1497=1,Settings!$C$6,Settings!$C$7))*100)</f>
        <v/>
      </c>
      <c r="AE1497" s="7">
        <f>IF($E1497="","",Z1497*AD1497/100)</f>
        <v/>
      </c>
      <c r="AF1497" s="7">
        <f>IF($E1497="","",Z1497-AE1497)</f>
        <v/>
      </c>
      <c r="AG1497" s="7">
        <f>IF($E1497="","",AF1497-Q1497)</f>
        <v/>
      </c>
      <c r="AK1497" s="7" t="n"/>
      <c r="AN1497" s="14" t="n"/>
      <c r="AQ1497">
        <f>IF($E1497="","",IF(COUNTIF($E$2:$E1497,$E1497)=1,1,0))</f>
        <v/>
      </c>
      <c r="AR1497">
        <f>IF($AQ1497=1,SUMPRODUCT(--($AU$2:$AU$1501&lt;$AU1497))+1,"")</f>
        <v/>
      </c>
      <c r="AS1497">
        <f>IF($E1497="","",IF(OR($U1497=TRUE(),$U1497="TRUE"),1,0))</f>
        <v/>
      </c>
      <c r="AT1497">
        <f>IF($E1497="","",IF($AC1497="Yes",1,0))</f>
        <v/>
      </c>
      <c r="AU1497">
        <f>IF($AQ1497=1,IFERROR(IF(VALUE($E1497)&lt;100000000,VALUE($E1497),1000000000),IFERROR(IF(VALUE(MID($E1497,2,20))&lt;100000000,VALUE(MID($E1497,2,20)),1000000000),1000000000))+ROW()/100000,"")</f>
        <v/>
      </c>
    </row>
    <row r="1498">
      <c r="G1498" s="14" t="n"/>
      <c r="Q1498" s="7">
        <f>IF($E1498="","",P1498*Z1498/100)</f>
        <v/>
      </c>
      <c r="R1498" s="7" t="n"/>
      <c r="Y1498" s="7" t="n"/>
      <c r="Z1498" s="7" t="n"/>
      <c r="AA1498" s="7" t="n"/>
      <c r="AD1498">
        <f>IF($E1498="","",IF($AT1498=1,Settings!$C$8,IF($AS1498=1,Settings!$C$6,Settings!$C$7))*100)</f>
        <v/>
      </c>
      <c r="AE1498" s="7">
        <f>IF($E1498="","",Z1498*AD1498/100)</f>
        <v/>
      </c>
      <c r="AF1498" s="7">
        <f>IF($E1498="","",Z1498-AE1498)</f>
        <v/>
      </c>
      <c r="AG1498" s="7">
        <f>IF($E1498="","",AF1498-Q1498)</f>
        <v/>
      </c>
      <c r="AK1498" s="7" t="n"/>
      <c r="AN1498" s="14" t="n"/>
      <c r="AQ1498">
        <f>IF($E1498="","",IF(COUNTIF($E$2:$E1498,$E1498)=1,1,0))</f>
        <v/>
      </c>
      <c r="AR1498">
        <f>IF($AQ1498=1,SUMPRODUCT(--($AU$2:$AU$1501&lt;$AU1498))+1,"")</f>
        <v/>
      </c>
      <c r="AS1498">
        <f>IF($E1498="","",IF(OR($U1498=TRUE(),$U1498="TRUE"),1,0))</f>
        <v/>
      </c>
      <c r="AT1498">
        <f>IF($E1498="","",IF($AC1498="Yes",1,0))</f>
        <v/>
      </c>
      <c r="AU1498">
        <f>IF($AQ1498=1,IFERROR(IF(VALUE($E1498)&lt;100000000,VALUE($E1498),1000000000),IFERROR(IF(VALUE(MID($E1498,2,20))&lt;100000000,VALUE(MID($E1498,2,20)),1000000000),1000000000))+ROW()/100000,"")</f>
        <v/>
      </c>
    </row>
    <row r="1499">
      <c r="G1499" s="14" t="n"/>
      <c r="Q1499" s="7">
        <f>IF($E1499="","",P1499*Z1499/100)</f>
        <v/>
      </c>
      <c r="R1499" s="7" t="n"/>
      <c r="Y1499" s="7" t="n"/>
      <c r="Z1499" s="7" t="n"/>
      <c r="AA1499" s="7" t="n"/>
      <c r="AD1499">
        <f>IF($E1499="","",IF($AT1499=1,Settings!$C$8,IF($AS1499=1,Settings!$C$6,Settings!$C$7))*100)</f>
        <v/>
      </c>
      <c r="AE1499" s="7">
        <f>IF($E1499="","",Z1499*AD1499/100)</f>
        <v/>
      </c>
      <c r="AF1499" s="7">
        <f>IF($E1499="","",Z1499-AE1499)</f>
        <v/>
      </c>
      <c r="AG1499" s="7">
        <f>IF($E1499="","",AF1499-Q1499)</f>
        <v/>
      </c>
      <c r="AK1499" s="7" t="n"/>
      <c r="AN1499" s="14" t="n"/>
      <c r="AQ1499">
        <f>IF($E1499="","",IF(COUNTIF($E$2:$E1499,$E1499)=1,1,0))</f>
        <v/>
      </c>
      <c r="AR1499">
        <f>IF($AQ1499=1,SUMPRODUCT(--($AU$2:$AU$1501&lt;$AU1499))+1,"")</f>
        <v/>
      </c>
      <c r="AS1499">
        <f>IF($E1499="","",IF(OR($U1499=TRUE(),$U1499="TRUE"),1,0))</f>
        <v/>
      </c>
      <c r="AT1499">
        <f>IF($E1499="","",IF($AC1499="Yes",1,0))</f>
        <v/>
      </c>
      <c r="AU1499">
        <f>IF($AQ1499=1,IFERROR(IF(VALUE($E1499)&lt;100000000,VALUE($E1499),1000000000),IFERROR(IF(VALUE(MID($E1499,2,20))&lt;100000000,VALUE(MID($E1499,2,20)),1000000000),1000000000))+ROW()/100000,"")</f>
        <v/>
      </c>
    </row>
    <row r="1500">
      <c r="G1500" s="14" t="n"/>
      <c r="Q1500" s="7">
        <f>IF($E1500="","",P1500*Z1500/100)</f>
        <v/>
      </c>
      <c r="R1500" s="7" t="n"/>
      <c r="Y1500" s="7" t="n"/>
      <c r="Z1500" s="7" t="n"/>
      <c r="AA1500" s="7" t="n"/>
      <c r="AD1500">
        <f>IF($E1500="","",IF($AT1500=1,Settings!$C$8,IF($AS1500=1,Settings!$C$6,Settings!$C$7))*100)</f>
        <v/>
      </c>
      <c r="AE1500" s="7">
        <f>IF($E1500="","",Z1500*AD1500/100)</f>
        <v/>
      </c>
      <c r="AF1500" s="7">
        <f>IF($E1500="","",Z1500-AE1500)</f>
        <v/>
      </c>
      <c r="AG1500" s="7">
        <f>IF($E1500="","",AF1500-Q1500)</f>
        <v/>
      </c>
      <c r="AK1500" s="7" t="n"/>
      <c r="AN1500" s="14" t="n"/>
      <c r="AQ1500">
        <f>IF($E1500="","",IF(COUNTIF($E$2:$E1500,$E1500)=1,1,0))</f>
        <v/>
      </c>
      <c r="AR1500">
        <f>IF($AQ1500=1,SUMPRODUCT(--($AU$2:$AU$1501&lt;$AU1500))+1,"")</f>
        <v/>
      </c>
      <c r="AS1500">
        <f>IF($E1500="","",IF(OR($U1500=TRUE(),$U1500="TRUE"),1,0))</f>
        <v/>
      </c>
      <c r="AT1500">
        <f>IF($E1500="","",IF($AC1500="Yes",1,0))</f>
        <v/>
      </c>
      <c r="AU1500">
        <f>IF($AQ1500=1,IFERROR(IF(VALUE($E1500)&lt;100000000,VALUE($E1500),1000000000),IFERROR(IF(VALUE(MID($E1500,2,20))&lt;100000000,VALUE(MID($E1500,2,20)),1000000000),1000000000))+ROW()/100000,"")</f>
        <v/>
      </c>
    </row>
    <row r="1501">
      <c r="G1501" s="14" t="n"/>
      <c r="Q1501" s="7">
        <f>IF($E1501="","",P1501*Z1501/100)</f>
        <v/>
      </c>
      <c r="R1501" s="7" t="n"/>
      <c r="Y1501" s="7" t="n"/>
      <c r="Z1501" s="7" t="n"/>
      <c r="AA1501" s="7" t="n"/>
      <c r="AD1501">
        <f>IF($E1501="","",IF($AT1501=1,Settings!$C$8,IF($AS1501=1,Settings!$C$6,Settings!$C$7))*100)</f>
        <v/>
      </c>
      <c r="AE1501" s="7">
        <f>IF($E1501="","",Z1501*AD1501/100)</f>
        <v/>
      </c>
      <c r="AF1501" s="7">
        <f>IF($E1501="","",Z1501-AE1501)</f>
        <v/>
      </c>
      <c r="AG1501" s="7">
        <f>IF($E1501="","",AF1501-Q1501)</f>
        <v/>
      </c>
      <c r="AK1501" s="7" t="n"/>
      <c r="AN1501" s="14" t="n"/>
      <c r="AQ1501">
        <f>IF($E1501="","",IF(COUNTIF($E$2:$E1501,$E1501)=1,1,0))</f>
        <v/>
      </c>
      <c r="AR1501">
        <f>IF($AQ1501=1,SUMPRODUCT(--($AU$2:$AU$1501&lt;$AU1501))+1,"")</f>
        <v/>
      </c>
      <c r="AS1501">
        <f>IF($E1501="","",IF(OR($U1501=TRUE(),$U1501="TRUE"),1,0))</f>
        <v/>
      </c>
      <c r="AT1501">
        <f>IF($E1501="","",IF($AC1501="Yes",1,0))</f>
        <v/>
      </c>
      <c r="AU1501">
        <f>IF($AQ1501=1,IFERROR(IF(VALUE($E1501)&lt;100000000,VALUE($E1501),1000000000),IFERROR(IF(VALUE(MID($E1501,2,20))&lt;100000000,VALUE(MID($E1501,2,20)),1000000000),1000000000))+ROW()/100000,"")</f>
        <v/>
      </c>
    </row>
  </sheetData>
  <autoFilter ref="A1:AU1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7" customWidth="1" min="9" max="9"/>
    <col width="18" customWidth="1" min="10" max="10"/>
    <col width="24" customWidth="1" min="11" max="11"/>
    <col width="12" customWidth="1" min="12" max="12"/>
    <col width="26" customWidth="1" min="13" max="13"/>
    <col width="14" customWidth="1" min="14" max="14"/>
    <col width="12" customWidth="1" min="15" max="15"/>
    <col width="12" customWidth="1" min="16" max="16"/>
    <col width="12" customWidth="1" min="17" max="17"/>
    <col width="36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3" customWidth="1" min="34" max="34"/>
    <col width="20" customWidth="1" min="35" max="35"/>
  </cols>
  <sheetData>
    <row r="1" ht="32" customHeight="1">
      <c r="A1" s="12" t="inlineStr">
        <is>
          <t>Invoice</t>
        </is>
      </c>
      <c r="B1" s="10" t="inlineStr">
        <is>
          <t>Order #</t>
        </is>
      </c>
      <c r="C1" s="10" t="inlineStr">
        <is>
          <t>Match Tab</t>
        </is>
      </c>
      <c r="D1" s="10" t="inlineStr">
        <is>
          <t>Cycle</t>
        </is>
      </c>
      <c r="E1" s="10" t="inlineStr">
        <is>
          <t>Ticket #</t>
        </is>
      </c>
      <c r="F1" s="10" t="inlineStr">
        <is>
          <t>Stage</t>
        </is>
      </c>
      <c r="G1" s="10" t="inlineStr">
        <is>
          <t>Approval Ref</t>
        </is>
      </c>
      <c r="H1" s="10" t="inlineStr">
        <is>
          <t>Channel</t>
        </is>
      </c>
      <c r="I1" s="10" t="inlineStr">
        <is>
          <t>Create At</t>
        </is>
      </c>
      <c r="J1" s="10" t="inlineStr">
        <is>
          <t>Insurance Company</t>
        </is>
      </c>
      <c r="K1" s="10" t="inlineStr">
        <is>
          <t>Corporate</t>
        </is>
      </c>
      <c r="L1" s="10" t="inlineStr">
        <is>
          <t>Card</t>
        </is>
      </c>
      <c r="M1" s="10" t="inlineStr">
        <is>
          <t>Name</t>
        </is>
      </c>
      <c r="N1" s="10" t="inlineStr">
        <is>
          <t>Status</t>
        </is>
      </c>
      <c r="O1" s="10" t="inlineStr">
        <is>
          <t>Order Co Payment</t>
        </is>
      </c>
      <c r="P1" s="10" t="inlineStr">
        <is>
          <t>Co val</t>
        </is>
      </c>
      <c r="Q1" s="10" t="inlineStr">
        <is>
          <t>By Patient</t>
        </is>
      </c>
      <c r="R1" s="10" t="inlineStr">
        <is>
          <t>ERX ID</t>
        </is>
      </c>
      <c r="S1" s="10" t="inlineStr">
        <is>
          <t>SPECIAL REBATES %</t>
        </is>
      </c>
      <c r="T1" s="10" t="inlineStr">
        <is>
          <t>SPECIAL REBATES</t>
        </is>
      </c>
      <c r="U1" s="10" t="inlineStr">
        <is>
          <t>SPECIAL REBATES VAL</t>
        </is>
      </c>
      <c r="V1" s="10" t="inlineStr">
        <is>
          <t>IMP %</t>
        </is>
      </c>
      <c r="W1" s="10" t="inlineStr">
        <is>
          <t>IMP</t>
        </is>
      </c>
      <c r="X1" s="10" t="inlineStr">
        <is>
          <t>IMP VAL</t>
        </is>
      </c>
      <c r="Y1" s="10" t="inlineStr">
        <is>
          <t>LOCAL %</t>
        </is>
      </c>
      <c r="Z1" s="10" t="inlineStr">
        <is>
          <t>LOCAL</t>
        </is>
      </c>
      <c r="AA1" s="10" t="inlineStr">
        <is>
          <t>LOCAL VAL</t>
        </is>
      </c>
      <c r="AB1" s="10" t="inlineStr">
        <is>
          <t>TOTAL VAL</t>
        </is>
      </c>
      <c r="AC1" s="10" t="inlineStr">
        <is>
          <t>SUBTOTAL</t>
        </is>
      </c>
      <c r="AD1" s="10" t="inlineStr">
        <is>
          <t>Grand Total</t>
        </is>
      </c>
      <c r="AE1" s="10" t="inlineStr">
        <is>
          <t>NET</t>
        </is>
      </c>
      <c r="AF1" s="12" t="inlineStr">
        <is>
          <t>N MR</t>
        </is>
      </c>
      <c r="AG1" s="10" t="inlineStr">
        <is>
          <t>D</t>
        </is>
      </c>
      <c r="AH1" s="13" t="inlineStr">
        <is>
          <t>Src Row (helper)</t>
        </is>
      </c>
      <c r="AI1" s="13" t="inlineStr">
        <is>
          <t>Payer Key (helper)</t>
        </is>
      </c>
    </row>
    <row r="2">
      <c r="A2" s="15" t="n"/>
      <c r="B2">
        <f>IF($AH2="","",INDEX('Per Line'!$E$2:$E$1501,$AH2)&amp;"")</f>
        <v/>
      </c>
      <c r="C2">
        <f>IF($AH2="","",IF(INDEX('Per Line'!$AP$2:$AP$1501,$AH2)="NOT MATCH","NOT MATCH","FULL MATCH"))</f>
        <v/>
      </c>
      <c r="D2">
        <f>IF($AH2="","",INDEX('Per Line'!$A$2:$A$1501,$AH2)&amp;"")</f>
        <v/>
      </c>
      <c r="E2">
        <f>IF($AH2="","",INDEX('Per Line'!$B$2:$B$1501,$AH2))</f>
        <v/>
      </c>
      <c r="F2">
        <f>IF($AH2="","",INDEX('Per Line'!$C$2:$C$1501,$AH2)&amp;"")</f>
        <v/>
      </c>
      <c r="G2">
        <f>IF($AH2="","",INDEX('Per Line'!$D$2:$D$1501,$AH2)&amp;"")</f>
        <v/>
      </c>
      <c r="H2">
        <f>IF($AH2="","",INDEX('Per Line'!$F$2:$F$1501,$AH2)&amp;"")</f>
        <v/>
      </c>
      <c r="I2" s="14">
        <f>IF($AH2="","",INDEX('Per Line'!$G$2:$G$1501,$AH2))</f>
        <v/>
      </c>
      <c r="J2">
        <f>IF($AH2="","",INDEX('Per Line'!$H$2:$H$1501,$AH2)&amp;"")</f>
        <v/>
      </c>
      <c r="K2">
        <f>IF($AH2="","",INDEX('Per Line'!$J$2:$J$1501,$AH2)&amp;"")</f>
        <v/>
      </c>
      <c r="L2">
        <f>IF($AH2="","",INDEX('Per Line'!$K$2:$K$1501,$AH2)&amp;"")</f>
        <v/>
      </c>
      <c r="M2">
        <f>IF($AH2="","",INDEX('Per Line'!$L$2:$L$1501,$AH2)&amp;"")</f>
        <v/>
      </c>
      <c r="N2">
        <f>IF($AH2="","",INDEX('Per Line'!$M$2:$M$1501,$AH2)&amp;"")</f>
        <v/>
      </c>
      <c r="O2">
        <f>IF($AH2="","",INDEX('Per Line'!$P$2:$P$1501,$AH2))</f>
        <v/>
      </c>
      <c r="P2" s="7">
        <f>IF($AH2="","",O2*AD2/100)</f>
        <v/>
      </c>
      <c r="Q2">
        <f>IF($AH2="","",INDEX('Per Line'!$R$2:$R$1501,$AH2)&amp;"")</f>
        <v/>
      </c>
      <c r="R2">
        <f>IF($AH2="","",INDEX('Per Line'!$AB$2:$AB$1501,$AH2)&amp;"")</f>
        <v/>
      </c>
      <c r="S2">
        <f>IF($AH2="","",Settings!$C$8)</f>
        <v/>
      </c>
      <c r="T2" s="7">
        <f>IF($AH2="","",SUMIFS('Per Line'!$Z$2:$Z$1501,'Per Line'!$E$2:$E$1501,$B2,'Per Line'!$AT$2:$AT$1501,1))</f>
        <v/>
      </c>
      <c r="U2" s="7">
        <f>IF($AH2="","",T2*S2)</f>
        <v/>
      </c>
      <c r="V2">
        <f>IF($AH2="","",Settings!$C$7)</f>
        <v/>
      </c>
      <c r="W2" s="7">
        <f>IF($AH2="","",SUMIFS('Per Line'!$Z$2:$Z$1501,'Per Line'!$E$2:$E$1501,$B2,'Per Line'!$AS$2:$AS$1501,0,'Per Line'!$AT$2:$AT$1501,0))</f>
        <v/>
      </c>
      <c r="X2" s="7">
        <f>IF($AH2="","",W2*V2)</f>
        <v/>
      </c>
      <c r="Y2">
        <f>IF($AH2="","",Settings!$C$6)</f>
        <v/>
      </c>
      <c r="Z2" s="7">
        <f>IF($AH2="","",SUMIFS('Per Line'!$Z$2:$Z$1501,'Per Line'!$E$2:$E$1501,$B2,'Per Line'!$AS$2:$AS$1501,1,'Per Line'!$AT$2:$AT$1501,0))</f>
        <v/>
      </c>
      <c r="AA2" s="7">
        <f>IF($AH2="","",Z2*Y2)</f>
        <v/>
      </c>
      <c r="AB2" s="7">
        <f>IF($AH2="","",AA2+X2+U2)</f>
        <v/>
      </c>
      <c r="AC2" s="7">
        <f>IF($AH2="","",AD2-AB2)</f>
        <v/>
      </c>
      <c r="AD2" s="7">
        <f>IF($AH2="","",W2+Z2+T2)</f>
        <v/>
      </c>
      <c r="AE2" s="7">
        <f>IF($AH2="","",AD2-AB2-P2)</f>
        <v/>
      </c>
      <c r="AF2" s="15" t="n"/>
      <c r="AG2" s="7">
        <f>IF($AH2="","",AE2-N(AF2))</f>
        <v/>
      </c>
      <c r="AH2" s="16">
        <f>IF(ROWS($AH$2:$AH2)&lt;=MAX('Per Line'!$AR$2:$AR$1501),MATCH(ROWS($AH$2:$AH2),'Per Line'!$AR$2:$AR$1501,0),"")</f>
        <v/>
      </c>
      <c r="AI2">
        <f>IF($AH2="","",C2&amp;"|"&amp;COUNTIF($C$2:$C2,C2))</f>
        <v/>
      </c>
    </row>
    <row r="3">
      <c r="A3" s="15" t="n"/>
      <c r="B3">
        <f>IF($AH3="","",INDEX('Per Line'!$E$2:$E$1501,$AH3)&amp;"")</f>
        <v/>
      </c>
      <c r="C3">
        <f>IF($AH3="","",IF(INDEX('Per Line'!$AP$2:$AP$1501,$AH3)="NOT MATCH","NOT MATCH","FULL MATCH"))</f>
        <v/>
      </c>
      <c r="D3">
        <f>IF($AH3="","",INDEX('Per Line'!$A$2:$A$1501,$AH3)&amp;"")</f>
        <v/>
      </c>
      <c r="E3">
        <f>IF($AH3="","",INDEX('Per Line'!$B$2:$B$1501,$AH3))</f>
        <v/>
      </c>
      <c r="F3">
        <f>IF($AH3="","",INDEX('Per Line'!$C$2:$C$1501,$AH3)&amp;"")</f>
        <v/>
      </c>
      <c r="G3">
        <f>IF($AH3="","",INDEX('Per Line'!$D$2:$D$1501,$AH3)&amp;"")</f>
        <v/>
      </c>
      <c r="H3">
        <f>IF($AH3="","",INDEX('Per Line'!$F$2:$F$1501,$AH3)&amp;"")</f>
        <v/>
      </c>
      <c r="I3" s="14">
        <f>IF($AH3="","",INDEX('Per Line'!$G$2:$G$1501,$AH3))</f>
        <v/>
      </c>
      <c r="J3">
        <f>IF($AH3="","",INDEX('Per Line'!$H$2:$H$1501,$AH3)&amp;"")</f>
        <v/>
      </c>
      <c r="K3">
        <f>IF($AH3="","",INDEX('Per Line'!$J$2:$J$1501,$AH3)&amp;"")</f>
        <v/>
      </c>
      <c r="L3">
        <f>IF($AH3="","",INDEX('Per Line'!$K$2:$K$1501,$AH3)&amp;"")</f>
        <v/>
      </c>
      <c r="M3">
        <f>IF($AH3="","",INDEX('Per Line'!$L$2:$L$1501,$AH3)&amp;"")</f>
        <v/>
      </c>
      <c r="N3">
        <f>IF($AH3="","",INDEX('Per Line'!$M$2:$M$1501,$AH3)&amp;"")</f>
        <v/>
      </c>
      <c r="O3">
        <f>IF($AH3="","",INDEX('Per Line'!$P$2:$P$1501,$AH3))</f>
        <v/>
      </c>
      <c r="P3" s="7">
        <f>IF($AH3="","",O3*AD3/100)</f>
        <v/>
      </c>
      <c r="Q3">
        <f>IF($AH3="","",INDEX('Per Line'!$R$2:$R$1501,$AH3)&amp;"")</f>
        <v/>
      </c>
      <c r="R3">
        <f>IF($AH3="","",INDEX('Per Line'!$AB$2:$AB$1501,$AH3)&amp;"")</f>
        <v/>
      </c>
      <c r="S3">
        <f>IF($AH3="","",Settings!$C$8)</f>
        <v/>
      </c>
      <c r="T3" s="7">
        <f>IF($AH3="","",SUMIFS('Per Line'!$Z$2:$Z$1501,'Per Line'!$E$2:$E$1501,$B3,'Per Line'!$AT$2:$AT$1501,1))</f>
        <v/>
      </c>
      <c r="U3" s="7">
        <f>IF($AH3="","",T3*S3)</f>
        <v/>
      </c>
      <c r="V3">
        <f>IF($AH3="","",Settings!$C$7)</f>
        <v/>
      </c>
      <c r="W3" s="7">
        <f>IF($AH3="","",SUMIFS('Per Line'!$Z$2:$Z$1501,'Per Line'!$E$2:$E$1501,$B3,'Per Line'!$AS$2:$AS$1501,0,'Per Line'!$AT$2:$AT$1501,0))</f>
        <v/>
      </c>
      <c r="X3" s="7">
        <f>IF($AH3="","",W3*V3)</f>
        <v/>
      </c>
      <c r="Y3">
        <f>IF($AH3="","",Settings!$C$6)</f>
        <v/>
      </c>
      <c r="Z3" s="7">
        <f>IF($AH3="","",SUMIFS('Per Line'!$Z$2:$Z$1501,'Per Line'!$E$2:$E$1501,$B3,'Per Line'!$AS$2:$AS$1501,1,'Per Line'!$AT$2:$AT$1501,0))</f>
        <v/>
      </c>
      <c r="AA3" s="7">
        <f>IF($AH3="","",Z3*Y3)</f>
        <v/>
      </c>
      <c r="AB3" s="7">
        <f>IF($AH3="","",AA3+X3+U3)</f>
        <v/>
      </c>
      <c r="AC3" s="7">
        <f>IF($AH3="","",AD3-AB3)</f>
        <v/>
      </c>
      <c r="AD3" s="7">
        <f>IF($AH3="","",W3+Z3+T3)</f>
        <v/>
      </c>
      <c r="AE3" s="7">
        <f>IF($AH3="","",AD3-AB3-P3)</f>
        <v/>
      </c>
      <c r="AF3" s="15" t="n"/>
      <c r="AG3" s="7">
        <f>IF($AH3="","",AE3-N(AF3))</f>
        <v/>
      </c>
      <c r="AH3" s="16">
        <f>IF(ROWS($AH$2:$AH3)&lt;=MAX('Per Line'!$AR$2:$AR$1501),MATCH(ROWS($AH$2:$AH3),'Per Line'!$AR$2:$AR$1501,0),"")</f>
        <v/>
      </c>
      <c r="AI3">
        <f>IF($AH3="","",C3&amp;"|"&amp;COUNTIF($C$2:$C3,C3))</f>
        <v/>
      </c>
    </row>
    <row r="4">
      <c r="A4" s="15" t="n"/>
      <c r="B4">
        <f>IF($AH4="","",INDEX('Per Line'!$E$2:$E$1501,$AH4)&amp;"")</f>
        <v/>
      </c>
      <c r="C4">
        <f>IF($AH4="","",IF(INDEX('Per Line'!$AP$2:$AP$1501,$AH4)="NOT MATCH","NOT MATCH","FULL MATCH"))</f>
        <v/>
      </c>
      <c r="D4">
        <f>IF($AH4="","",INDEX('Per Line'!$A$2:$A$1501,$AH4)&amp;"")</f>
        <v/>
      </c>
      <c r="E4">
        <f>IF($AH4="","",INDEX('Per Line'!$B$2:$B$1501,$AH4))</f>
        <v/>
      </c>
      <c r="F4">
        <f>IF($AH4="","",INDEX('Per Line'!$C$2:$C$1501,$AH4)&amp;"")</f>
        <v/>
      </c>
      <c r="G4">
        <f>IF($AH4="","",INDEX('Per Line'!$D$2:$D$1501,$AH4)&amp;"")</f>
        <v/>
      </c>
      <c r="H4">
        <f>IF($AH4="","",INDEX('Per Line'!$F$2:$F$1501,$AH4)&amp;"")</f>
        <v/>
      </c>
      <c r="I4" s="14">
        <f>IF($AH4="","",INDEX('Per Line'!$G$2:$G$1501,$AH4))</f>
        <v/>
      </c>
      <c r="J4">
        <f>IF($AH4="","",INDEX('Per Line'!$H$2:$H$1501,$AH4)&amp;"")</f>
        <v/>
      </c>
      <c r="K4">
        <f>IF($AH4="","",INDEX('Per Line'!$J$2:$J$1501,$AH4)&amp;"")</f>
        <v/>
      </c>
      <c r="L4">
        <f>IF($AH4="","",INDEX('Per Line'!$K$2:$K$1501,$AH4)&amp;"")</f>
        <v/>
      </c>
      <c r="M4">
        <f>IF($AH4="","",INDEX('Per Line'!$L$2:$L$1501,$AH4)&amp;"")</f>
        <v/>
      </c>
      <c r="N4">
        <f>IF($AH4="","",INDEX('Per Line'!$M$2:$M$1501,$AH4)&amp;"")</f>
        <v/>
      </c>
      <c r="O4">
        <f>IF($AH4="","",INDEX('Per Line'!$P$2:$P$1501,$AH4))</f>
        <v/>
      </c>
      <c r="P4" s="7">
        <f>IF($AH4="","",O4*AD4/100)</f>
        <v/>
      </c>
      <c r="Q4">
        <f>IF($AH4="","",INDEX('Per Line'!$R$2:$R$1501,$AH4)&amp;"")</f>
        <v/>
      </c>
      <c r="R4">
        <f>IF($AH4="","",INDEX('Per Line'!$AB$2:$AB$1501,$AH4)&amp;"")</f>
        <v/>
      </c>
      <c r="S4">
        <f>IF($AH4="","",Settings!$C$8)</f>
        <v/>
      </c>
      <c r="T4" s="7">
        <f>IF($AH4="","",SUMIFS('Per Line'!$Z$2:$Z$1501,'Per Line'!$E$2:$E$1501,$B4,'Per Line'!$AT$2:$AT$1501,1))</f>
        <v/>
      </c>
      <c r="U4" s="7">
        <f>IF($AH4="","",T4*S4)</f>
        <v/>
      </c>
      <c r="V4">
        <f>IF($AH4="","",Settings!$C$7)</f>
        <v/>
      </c>
      <c r="W4" s="7">
        <f>IF($AH4="","",SUMIFS('Per Line'!$Z$2:$Z$1501,'Per Line'!$E$2:$E$1501,$B4,'Per Line'!$AS$2:$AS$1501,0,'Per Line'!$AT$2:$AT$1501,0))</f>
        <v/>
      </c>
      <c r="X4" s="7">
        <f>IF($AH4="","",W4*V4)</f>
        <v/>
      </c>
      <c r="Y4">
        <f>IF($AH4="","",Settings!$C$6)</f>
        <v/>
      </c>
      <c r="Z4" s="7">
        <f>IF($AH4="","",SUMIFS('Per Line'!$Z$2:$Z$1501,'Per Line'!$E$2:$E$1501,$B4,'Per Line'!$AS$2:$AS$1501,1,'Per Line'!$AT$2:$AT$1501,0))</f>
        <v/>
      </c>
      <c r="AA4" s="7">
        <f>IF($AH4="","",Z4*Y4)</f>
        <v/>
      </c>
      <c r="AB4" s="7">
        <f>IF($AH4="","",AA4+X4+U4)</f>
        <v/>
      </c>
      <c r="AC4" s="7">
        <f>IF($AH4="","",AD4-AB4)</f>
        <v/>
      </c>
      <c r="AD4" s="7">
        <f>IF($AH4="","",W4+Z4+T4)</f>
        <v/>
      </c>
      <c r="AE4" s="7">
        <f>IF($AH4="","",AD4-AB4-P4)</f>
        <v/>
      </c>
      <c r="AF4" s="15" t="n"/>
      <c r="AG4" s="7">
        <f>IF($AH4="","",AE4-N(AF4))</f>
        <v/>
      </c>
      <c r="AH4" s="16">
        <f>IF(ROWS($AH$2:$AH4)&lt;=MAX('Per Line'!$AR$2:$AR$1501),MATCH(ROWS($AH$2:$AH4),'Per Line'!$AR$2:$AR$1501,0),"")</f>
        <v/>
      </c>
      <c r="AI4">
        <f>IF($AH4="","",C4&amp;"|"&amp;COUNTIF($C$2:$C4,C4))</f>
        <v/>
      </c>
    </row>
    <row r="5">
      <c r="A5" s="15" t="n"/>
      <c r="B5">
        <f>IF($AH5="","",INDEX('Per Line'!$E$2:$E$1501,$AH5)&amp;"")</f>
        <v/>
      </c>
      <c r="C5">
        <f>IF($AH5="","",IF(INDEX('Per Line'!$AP$2:$AP$1501,$AH5)="NOT MATCH","NOT MATCH","FULL MATCH"))</f>
        <v/>
      </c>
      <c r="D5">
        <f>IF($AH5="","",INDEX('Per Line'!$A$2:$A$1501,$AH5)&amp;"")</f>
        <v/>
      </c>
      <c r="E5">
        <f>IF($AH5="","",INDEX('Per Line'!$B$2:$B$1501,$AH5))</f>
        <v/>
      </c>
      <c r="F5">
        <f>IF($AH5="","",INDEX('Per Line'!$C$2:$C$1501,$AH5)&amp;"")</f>
        <v/>
      </c>
      <c r="G5">
        <f>IF($AH5="","",INDEX('Per Line'!$D$2:$D$1501,$AH5)&amp;"")</f>
        <v/>
      </c>
      <c r="H5">
        <f>IF($AH5="","",INDEX('Per Line'!$F$2:$F$1501,$AH5)&amp;"")</f>
        <v/>
      </c>
      <c r="I5" s="14">
        <f>IF($AH5="","",INDEX('Per Line'!$G$2:$G$1501,$AH5))</f>
        <v/>
      </c>
      <c r="J5">
        <f>IF($AH5="","",INDEX('Per Line'!$H$2:$H$1501,$AH5)&amp;"")</f>
        <v/>
      </c>
      <c r="K5">
        <f>IF($AH5="","",INDEX('Per Line'!$J$2:$J$1501,$AH5)&amp;"")</f>
        <v/>
      </c>
      <c r="L5">
        <f>IF($AH5="","",INDEX('Per Line'!$K$2:$K$1501,$AH5)&amp;"")</f>
        <v/>
      </c>
      <c r="M5">
        <f>IF($AH5="","",INDEX('Per Line'!$L$2:$L$1501,$AH5)&amp;"")</f>
        <v/>
      </c>
      <c r="N5">
        <f>IF($AH5="","",INDEX('Per Line'!$M$2:$M$1501,$AH5)&amp;"")</f>
        <v/>
      </c>
      <c r="O5">
        <f>IF($AH5="","",INDEX('Per Line'!$P$2:$P$1501,$AH5))</f>
        <v/>
      </c>
      <c r="P5" s="7">
        <f>IF($AH5="","",O5*AD5/100)</f>
        <v/>
      </c>
      <c r="Q5">
        <f>IF($AH5="","",INDEX('Per Line'!$R$2:$R$1501,$AH5)&amp;"")</f>
        <v/>
      </c>
      <c r="R5">
        <f>IF($AH5="","",INDEX('Per Line'!$AB$2:$AB$1501,$AH5)&amp;"")</f>
        <v/>
      </c>
      <c r="S5">
        <f>IF($AH5="","",Settings!$C$8)</f>
        <v/>
      </c>
      <c r="T5" s="7">
        <f>IF($AH5="","",SUMIFS('Per Line'!$Z$2:$Z$1501,'Per Line'!$E$2:$E$1501,$B5,'Per Line'!$AT$2:$AT$1501,1))</f>
        <v/>
      </c>
      <c r="U5" s="7">
        <f>IF($AH5="","",T5*S5)</f>
        <v/>
      </c>
      <c r="V5">
        <f>IF($AH5="","",Settings!$C$7)</f>
        <v/>
      </c>
      <c r="W5" s="7">
        <f>IF($AH5="","",SUMIFS('Per Line'!$Z$2:$Z$1501,'Per Line'!$E$2:$E$1501,$B5,'Per Line'!$AS$2:$AS$1501,0,'Per Line'!$AT$2:$AT$1501,0))</f>
        <v/>
      </c>
      <c r="X5" s="7">
        <f>IF($AH5="","",W5*V5)</f>
        <v/>
      </c>
      <c r="Y5">
        <f>IF($AH5="","",Settings!$C$6)</f>
        <v/>
      </c>
      <c r="Z5" s="7">
        <f>IF($AH5="","",SUMIFS('Per Line'!$Z$2:$Z$1501,'Per Line'!$E$2:$E$1501,$B5,'Per Line'!$AS$2:$AS$1501,1,'Per Line'!$AT$2:$AT$1501,0))</f>
        <v/>
      </c>
      <c r="AA5" s="7">
        <f>IF($AH5="","",Z5*Y5)</f>
        <v/>
      </c>
      <c r="AB5" s="7">
        <f>IF($AH5="","",AA5+X5+U5)</f>
        <v/>
      </c>
      <c r="AC5" s="7">
        <f>IF($AH5="","",AD5-AB5)</f>
        <v/>
      </c>
      <c r="AD5" s="7">
        <f>IF($AH5="","",W5+Z5+T5)</f>
        <v/>
      </c>
      <c r="AE5" s="7">
        <f>IF($AH5="","",AD5-AB5-P5)</f>
        <v/>
      </c>
      <c r="AF5" s="15" t="n"/>
      <c r="AG5" s="7">
        <f>IF($AH5="","",AE5-N(AF5))</f>
        <v/>
      </c>
      <c r="AH5" s="16">
        <f>IF(ROWS($AH$2:$AH5)&lt;=MAX('Per Line'!$AR$2:$AR$1501),MATCH(ROWS($AH$2:$AH5),'Per Line'!$AR$2:$AR$1501,0),"")</f>
        <v/>
      </c>
      <c r="AI5">
        <f>IF($AH5="","",C5&amp;"|"&amp;COUNTIF($C$2:$C5,C5))</f>
        <v/>
      </c>
    </row>
    <row r="6">
      <c r="A6" s="15" t="n"/>
      <c r="B6">
        <f>IF($AH6="","",INDEX('Per Line'!$E$2:$E$1501,$AH6)&amp;"")</f>
        <v/>
      </c>
      <c r="C6">
        <f>IF($AH6="","",IF(INDEX('Per Line'!$AP$2:$AP$1501,$AH6)="NOT MATCH","NOT MATCH","FULL MATCH"))</f>
        <v/>
      </c>
      <c r="D6">
        <f>IF($AH6="","",INDEX('Per Line'!$A$2:$A$1501,$AH6)&amp;"")</f>
        <v/>
      </c>
      <c r="E6">
        <f>IF($AH6="","",INDEX('Per Line'!$B$2:$B$1501,$AH6))</f>
        <v/>
      </c>
      <c r="F6">
        <f>IF($AH6="","",INDEX('Per Line'!$C$2:$C$1501,$AH6)&amp;"")</f>
        <v/>
      </c>
      <c r="G6">
        <f>IF($AH6="","",INDEX('Per Line'!$D$2:$D$1501,$AH6)&amp;"")</f>
        <v/>
      </c>
      <c r="H6">
        <f>IF($AH6="","",INDEX('Per Line'!$F$2:$F$1501,$AH6)&amp;"")</f>
        <v/>
      </c>
      <c r="I6" s="14">
        <f>IF($AH6="","",INDEX('Per Line'!$G$2:$G$1501,$AH6))</f>
        <v/>
      </c>
      <c r="J6">
        <f>IF($AH6="","",INDEX('Per Line'!$H$2:$H$1501,$AH6)&amp;"")</f>
        <v/>
      </c>
      <c r="K6">
        <f>IF($AH6="","",INDEX('Per Line'!$J$2:$J$1501,$AH6)&amp;"")</f>
        <v/>
      </c>
      <c r="L6">
        <f>IF($AH6="","",INDEX('Per Line'!$K$2:$K$1501,$AH6)&amp;"")</f>
        <v/>
      </c>
      <c r="M6">
        <f>IF($AH6="","",INDEX('Per Line'!$L$2:$L$1501,$AH6)&amp;"")</f>
        <v/>
      </c>
      <c r="N6">
        <f>IF($AH6="","",INDEX('Per Line'!$M$2:$M$1501,$AH6)&amp;"")</f>
        <v/>
      </c>
      <c r="O6">
        <f>IF($AH6="","",INDEX('Per Line'!$P$2:$P$1501,$AH6))</f>
        <v/>
      </c>
      <c r="P6" s="7">
        <f>IF($AH6="","",O6*AD6/100)</f>
        <v/>
      </c>
      <c r="Q6">
        <f>IF($AH6="","",INDEX('Per Line'!$R$2:$R$1501,$AH6)&amp;"")</f>
        <v/>
      </c>
      <c r="R6">
        <f>IF($AH6="","",INDEX('Per Line'!$AB$2:$AB$1501,$AH6)&amp;"")</f>
        <v/>
      </c>
      <c r="S6">
        <f>IF($AH6="","",Settings!$C$8)</f>
        <v/>
      </c>
      <c r="T6" s="7">
        <f>IF($AH6="","",SUMIFS('Per Line'!$Z$2:$Z$1501,'Per Line'!$E$2:$E$1501,$B6,'Per Line'!$AT$2:$AT$1501,1))</f>
        <v/>
      </c>
      <c r="U6" s="7">
        <f>IF($AH6="","",T6*S6)</f>
        <v/>
      </c>
      <c r="V6">
        <f>IF($AH6="","",Settings!$C$7)</f>
        <v/>
      </c>
      <c r="W6" s="7">
        <f>IF($AH6="","",SUMIFS('Per Line'!$Z$2:$Z$1501,'Per Line'!$E$2:$E$1501,$B6,'Per Line'!$AS$2:$AS$1501,0,'Per Line'!$AT$2:$AT$1501,0))</f>
        <v/>
      </c>
      <c r="X6" s="7">
        <f>IF($AH6="","",W6*V6)</f>
        <v/>
      </c>
      <c r="Y6">
        <f>IF($AH6="","",Settings!$C$6)</f>
        <v/>
      </c>
      <c r="Z6" s="7">
        <f>IF($AH6="","",SUMIFS('Per Line'!$Z$2:$Z$1501,'Per Line'!$E$2:$E$1501,$B6,'Per Line'!$AS$2:$AS$1501,1,'Per Line'!$AT$2:$AT$1501,0))</f>
        <v/>
      </c>
      <c r="AA6" s="7">
        <f>IF($AH6="","",Z6*Y6)</f>
        <v/>
      </c>
      <c r="AB6" s="7">
        <f>IF($AH6="","",AA6+X6+U6)</f>
        <v/>
      </c>
      <c r="AC6" s="7">
        <f>IF($AH6="","",AD6-AB6)</f>
        <v/>
      </c>
      <c r="AD6" s="7">
        <f>IF($AH6="","",W6+Z6+T6)</f>
        <v/>
      </c>
      <c r="AE6" s="7">
        <f>IF($AH6="","",AD6-AB6-P6)</f>
        <v/>
      </c>
      <c r="AF6" s="15" t="n"/>
      <c r="AG6" s="7">
        <f>IF($AH6="","",AE6-N(AF6))</f>
        <v/>
      </c>
      <c r="AH6" s="16">
        <f>IF(ROWS($AH$2:$AH6)&lt;=MAX('Per Line'!$AR$2:$AR$1501),MATCH(ROWS($AH$2:$AH6),'Per Line'!$AR$2:$AR$1501,0),"")</f>
        <v/>
      </c>
      <c r="AI6">
        <f>IF($AH6="","",C6&amp;"|"&amp;COUNTIF($C$2:$C6,C6))</f>
        <v/>
      </c>
    </row>
    <row r="7">
      <c r="A7" s="15" t="n"/>
      <c r="B7">
        <f>IF($AH7="","",INDEX('Per Line'!$E$2:$E$1501,$AH7)&amp;"")</f>
        <v/>
      </c>
      <c r="C7">
        <f>IF($AH7="","",IF(INDEX('Per Line'!$AP$2:$AP$1501,$AH7)="NOT MATCH","NOT MATCH","FULL MATCH"))</f>
        <v/>
      </c>
      <c r="D7">
        <f>IF($AH7="","",INDEX('Per Line'!$A$2:$A$1501,$AH7)&amp;"")</f>
        <v/>
      </c>
      <c r="E7">
        <f>IF($AH7="","",INDEX('Per Line'!$B$2:$B$1501,$AH7))</f>
        <v/>
      </c>
      <c r="F7">
        <f>IF($AH7="","",INDEX('Per Line'!$C$2:$C$1501,$AH7)&amp;"")</f>
        <v/>
      </c>
      <c r="G7">
        <f>IF($AH7="","",INDEX('Per Line'!$D$2:$D$1501,$AH7)&amp;"")</f>
        <v/>
      </c>
      <c r="H7">
        <f>IF($AH7="","",INDEX('Per Line'!$F$2:$F$1501,$AH7)&amp;"")</f>
        <v/>
      </c>
      <c r="I7" s="14">
        <f>IF($AH7="","",INDEX('Per Line'!$G$2:$G$1501,$AH7))</f>
        <v/>
      </c>
      <c r="J7">
        <f>IF($AH7="","",INDEX('Per Line'!$H$2:$H$1501,$AH7)&amp;"")</f>
        <v/>
      </c>
      <c r="K7">
        <f>IF($AH7="","",INDEX('Per Line'!$J$2:$J$1501,$AH7)&amp;"")</f>
        <v/>
      </c>
      <c r="L7">
        <f>IF($AH7="","",INDEX('Per Line'!$K$2:$K$1501,$AH7)&amp;"")</f>
        <v/>
      </c>
      <c r="M7">
        <f>IF($AH7="","",INDEX('Per Line'!$L$2:$L$1501,$AH7)&amp;"")</f>
        <v/>
      </c>
      <c r="N7">
        <f>IF($AH7="","",INDEX('Per Line'!$M$2:$M$1501,$AH7)&amp;"")</f>
        <v/>
      </c>
      <c r="O7">
        <f>IF($AH7="","",INDEX('Per Line'!$P$2:$P$1501,$AH7))</f>
        <v/>
      </c>
      <c r="P7" s="7">
        <f>IF($AH7="","",O7*AD7/100)</f>
        <v/>
      </c>
      <c r="Q7">
        <f>IF($AH7="","",INDEX('Per Line'!$R$2:$R$1501,$AH7)&amp;"")</f>
        <v/>
      </c>
      <c r="R7">
        <f>IF($AH7="","",INDEX('Per Line'!$AB$2:$AB$1501,$AH7)&amp;"")</f>
        <v/>
      </c>
      <c r="S7">
        <f>IF($AH7="","",Settings!$C$8)</f>
        <v/>
      </c>
      <c r="T7" s="7">
        <f>IF($AH7="","",SUMIFS('Per Line'!$Z$2:$Z$1501,'Per Line'!$E$2:$E$1501,$B7,'Per Line'!$AT$2:$AT$1501,1))</f>
        <v/>
      </c>
      <c r="U7" s="7">
        <f>IF($AH7="","",T7*S7)</f>
        <v/>
      </c>
      <c r="V7">
        <f>IF($AH7="","",Settings!$C$7)</f>
        <v/>
      </c>
      <c r="W7" s="7">
        <f>IF($AH7="","",SUMIFS('Per Line'!$Z$2:$Z$1501,'Per Line'!$E$2:$E$1501,$B7,'Per Line'!$AS$2:$AS$1501,0,'Per Line'!$AT$2:$AT$1501,0))</f>
        <v/>
      </c>
      <c r="X7" s="7">
        <f>IF($AH7="","",W7*V7)</f>
        <v/>
      </c>
      <c r="Y7">
        <f>IF($AH7="","",Settings!$C$6)</f>
        <v/>
      </c>
      <c r="Z7" s="7">
        <f>IF($AH7="","",SUMIFS('Per Line'!$Z$2:$Z$1501,'Per Line'!$E$2:$E$1501,$B7,'Per Line'!$AS$2:$AS$1501,1,'Per Line'!$AT$2:$AT$1501,0))</f>
        <v/>
      </c>
      <c r="AA7" s="7">
        <f>IF($AH7="","",Z7*Y7)</f>
        <v/>
      </c>
      <c r="AB7" s="7">
        <f>IF($AH7="","",AA7+X7+U7)</f>
        <v/>
      </c>
      <c r="AC7" s="7">
        <f>IF($AH7="","",AD7-AB7)</f>
        <v/>
      </c>
      <c r="AD7" s="7">
        <f>IF($AH7="","",W7+Z7+T7)</f>
        <v/>
      </c>
      <c r="AE7" s="7">
        <f>IF($AH7="","",AD7-AB7-P7)</f>
        <v/>
      </c>
      <c r="AF7" s="15" t="n"/>
      <c r="AG7" s="7">
        <f>IF($AH7="","",AE7-N(AF7))</f>
        <v/>
      </c>
      <c r="AH7" s="16">
        <f>IF(ROWS($AH$2:$AH7)&lt;=MAX('Per Line'!$AR$2:$AR$1501),MATCH(ROWS($AH$2:$AH7),'Per Line'!$AR$2:$AR$1501,0),"")</f>
        <v/>
      </c>
      <c r="AI7">
        <f>IF($AH7="","",C7&amp;"|"&amp;COUNTIF($C$2:$C7,C7))</f>
        <v/>
      </c>
    </row>
    <row r="8">
      <c r="A8" s="15" t="n"/>
      <c r="B8">
        <f>IF($AH8="","",INDEX('Per Line'!$E$2:$E$1501,$AH8)&amp;"")</f>
        <v/>
      </c>
      <c r="C8">
        <f>IF($AH8="","",IF(INDEX('Per Line'!$AP$2:$AP$1501,$AH8)="NOT MATCH","NOT MATCH","FULL MATCH"))</f>
        <v/>
      </c>
      <c r="D8">
        <f>IF($AH8="","",INDEX('Per Line'!$A$2:$A$1501,$AH8)&amp;"")</f>
        <v/>
      </c>
      <c r="E8">
        <f>IF($AH8="","",INDEX('Per Line'!$B$2:$B$1501,$AH8))</f>
        <v/>
      </c>
      <c r="F8">
        <f>IF($AH8="","",INDEX('Per Line'!$C$2:$C$1501,$AH8)&amp;"")</f>
        <v/>
      </c>
      <c r="G8">
        <f>IF($AH8="","",INDEX('Per Line'!$D$2:$D$1501,$AH8)&amp;"")</f>
        <v/>
      </c>
      <c r="H8">
        <f>IF($AH8="","",INDEX('Per Line'!$F$2:$F$1501,$AH8)&amp;"")</f>
        <v/>
      </c>
      <c r="I8" s="14">
        <f>IF($AH8="","",INDEX('Per Line'!$G$2:$G$1501,$AH8))</f>
        <v/>
      </c>
      <c r="J8">
        <f>IF($AH8="","",INDEX('Per Line'!$H$2:$H$1501,$AH8)&amp;"")</f>
        <v/>
      </c>
      <c r="K8">
        <f>IF($AH8="","",INDEX('Per Line'!$J$2:$J$1501,$AH8)&amp;"")</f>
        <v/>
      </c>
      <c r="L8">
        <f>IF($AH8="","",INDEX('Per Line'!$K$2:$K$1501,$AH8)&amp;"")</f>
        <v/>
      </c>
      <c r="M8">
        <f>IF($AH8="","",INDEX('Per Line'!$L$2:$L$1501,$AH8)&amp;"")</f>
        <v/>
      </c>
      <c r="N8">
        <f>IF($AH8="","",INDEX('Per Line'!$M$2:$M$1501,$AH8)&amp;"")</f>
        <v/>
      </c>
      <c r="O8">
        <f>IF($AH8="","",INDEX('Per Line'!$P$2:$P$1501,$AH8))</f>
        <v/>
      </c>
      <c r="P8" s="7">
        <f>IF($AH8="","",O8*AD8/100)</f>
        <v/>
      </c>
      <c r="Q8">
        <f>IF($AH8="","",INDEX('Per Line'!$R$2:$R$1501,$AH8)&amp;"")</f>
        <v/>
      </c>
      <c r="R8">
        <f>IF($AH8="","",INDEX('Per Line'!$AB$2:$AB$1501,$AH8)&amp;"")</f>
        <v/>
      </c>
      <c r="S8">
        <f>IF($AH8="","",Settings!$C$8)</f>
        <v/>
      </c>
      <c r="T8" s="7">
        <f>IF($AH8="","",SUMIFS('Per Line'!$Z$2:$Z$1501,'Per Line'!$E$2:$E$1501,$B8,'Per Line'!$AT$2:$AT$1501,1))</f>
        <v/>
      </c>
      <c r="U8" s="7">
        <f>IF($AH8="","",T8*S8)</f>
        <v/>
      </c>
      <c r="V8">
        <f>IF($AH8="","",Settings!$C$7)</f>
        <v/>
      </c>
      <c r="W8" s="7">
        <f>IF($AH8="","",SUMIFS('Per Line'!$Z$2:$Z$1501,'Per Line'!$E$2:$E$1501,$B8,'Per Line'!$AS$2:$AS$1501,0,'Per Line'!$AT$2:$AT$1501,0))</f>
        <v/>
      </c>
      <c r="X8" s="7">
        <f>IF($AH8="","",W8*V8)</f>
        <v/>
      </c>
      <c r="Y8">
        <f>IF($AH8="","",Settings!$C$6)</f>
        <v/>
      </c>
      <c r="Z8" s="7">
        <f>IF($AH8="","",SUMIFS('Per Line'!$Z$2:$Z$1501,'Per Line'!$E$2:$E$1501,$B8,'Per Line'!$AS$2:$AS$1501,1,'Per Line'!$AT$2:$AT$1501,0))</f>
        <v/>
      </c>
      <c r="AA8" s="7">
        <f>IF($AH8="","",Z8*Y8)</f>
        <v/>
      </c>
      <c r="AB8" s="7">
        <f>IF($AH8="","",AA8+X8+U8)</f>
        <v/>
      </c>
      <c r="AC8" s="7">
        <f>IF($AH8="","",AD8-AB8)</f>
        <v/>
      </c>
      <c r="AD8" s="7">
        <f>IF($AH8="","",W8+Z8+T8)</f>
        <v/>
      </c>
      <c r="AE8" s="7">
        <f>IF($AH8="","",AD8-AB8-P8)</f>
        <v/>
      </c>
      <c r="AF8" s="15" t="n"/>
      <c r="AG8" s="7">
        <f>IF($AH8="","",AE8-N(AF8))</f>
        <v/>
      </c>
      <c r="AH8" s="16">
        <f>IF(ROWS($AH$2:$AH8)&lt;=MAX('Per Line'!$AR$2:$AR$1501),MATCH(ROWS($AH$2:$AH8),'Per Line'!$AR$2:$AR$1501,0),"")</f>
        <v/>
      </c>
      <c r="AI8">
        <f>IF($AH8="","",C8&amp;"|"&amp;COUNTIF($C$2:$C8,C8))</f>
        <v/>
      </c>
    </row>
    <row r="9">
      <c r="A9" s="15" t="n"/>
      <c r="B9">
        <f>IF($AH9="","",INDEX('Per Line'!$E$2:$E$1501,$AH9)&amp;"")</f>
        <v/>
      </c>
      <c r="C9">
        <f>IF($AH9="","",IF(INDEX('Per Line'!$AP$2:$AP$1501,$AH9)="NOT MATCH","NOT MATCH","FULL MATCH"))</f>
        <v/>
      </c>
      <c r="D9">
        <f>IF($AH9="","",INDEX('Per Line'!$A$2:$A$1501,$AH9)&amp;"")</f>
        <v/>
      </c>
      <c r="E9">
        <f>IF($AH9="","",INDEX('Per Line'!$B$2:$B$1501,$AH9))</f>
        <v/>
      </c>
      <c r="F9">
        <f>IF($AH9="","",INDEX('Per Line'!$C$2:$C$1501,$AH9)&amp;"")</f>
        <v/>
      </c>
      <c r="G9">
        <f>IF($AH9="","",INDEX('Per Line'!$D$2:$D$1501,$AH9)&amp;"")</f>
        <v/>
      </c>
      <c r="H9">
        <f>IF($AH9="","",INDEX('Per Line'!$F$2:$F$1501,$AH9)&amp;"")</f>
        <v/>
      </c>
      <c r="I9" s="14">
        <f>IF($AH9="","",INDEX('Per Line'!$G$2:$G$1501,$AH9))</f>
        <v/>
      </c>
      <c r="J9">
        <f>IF($AH9="","",INDEX('Per Line'!$H$2:$H$1501,$AH9)&amp;"")</f>
        <v/>
      </c>
      <c r="K9">
        <f>IF($AH9="","",INDEX('Per Line'!$J$2:$J$1501,$AH9)&amp;"")</f>
        <v/>
      </c>
      <c r="L9">
        <f>IF($AH9="","",INDEX('Per Line'!$K$2:$K$1501,$AH9)&amp;"")</f>
        <v/>
      </c>
      <c r="M9">
        <f>IF($AH9="","",INDEX('Per Line'!$L$2:$L$1501,$AH9)&amp;"")</f>
        <v/>
      </c>
      <c r="N9">
        <f>IF($AH9="","",INDEX('Per Line'!$M$2:$M$1501,$AH9)&amp;"")</f>
        <v/>
      </c>
      <c r="O9">
        <f>IF($AH9="","",INDEX('Per Line'!$P$2:$P$1501,$AH9))</f>
        <v/>
      </c>
      <c r="P9" s="7">
        <f>IF($AH9="","",O9*AD9/100)</f>
        <v/>
      </c>
      <c r="Q9">
        <f>IF($AH9="","",INDEX('Per Line'!$R$2:$R$1501,$AH9)&amp;"")</f>
        <v/>
      </c>
      <c r="R9">
        <f>IF($AH9="","",INDEX('Per Line'!$AB$2:$AB$1501,$AH9)&amp;"")</f>
        <v/>
      </c>
      <c r="S9">
        <f>IF($AH9="","",Settings!$C$8)</f>
        <v/>
      </c>
      <c r="T9" s="7">
        <f>IF($AH9="","",SUMIFS('Per Line'!$Z$2:$Z$1501,'Per Line'!$E$2:$E$1501,$B9,'Per Line'!$AT$2:$AT$1501,1))</f>
        <v/>
      </c>
      <c r="U9" s="7">
        <f>IF($AH9="","",T9*S9)</f>
        <v/>
      </c>
      <c r="V9">
        <f>IF($AH9="","",Settings!$C$7)</f>
        <v/>
      </c>
      <c r="W9" s="7">
        <f>IF($AH9="","",SUMIFS('Per Line'!$Z$2:$Z$1501,'Per Line'!$E$2:$E$1501,$B9,'Per Line'!$AS$2:$AS$1501,0,'Per Line'!$AT$2:$AT$1501,0))</f>
        <v/>
      </c>
      <c r="X9" s="7">
        <f>IF($AH9="","",W9*V9)</f>
        <v/>
      </c>
      <c r="Y9">
        <f>IF($AH9="","",Settings!$C$6)</f>
        <v/>
      </c>
      <c r="Z9" s="7">
        <f>IF($AH9="","",SUMIFS('Per Line'!$Z$2:$Z$1501,'Per Line'!$E$2:$E$1501,$B9,'Per Line'!$AS$2:$AS$1501,1,'Per Line'!$AT$2:$AT$1501,0))</f>
        <v/>
      </c>
      <c r="AA9" s="7">
        <f>IF($AH9="","",Z9*Y9)</f>
        <v/>
      </c>
      <c r="AB9" s="7">
        <f>IF($AH9="","",AA9+X9+U9)</f>
        <v/>
      </c>
      <c r="AC9" s="7">
        <f>IF($AH9="","",AD9-AB9)</f>
        <v/>
      </c>
      <c r="AD9" s="7">
        <f>IF($AH9="","",W9+Z9+T9)</f>
        <v/>
      </c>
      <c r="AE9" s="7">
        <f>IF($AH9="","",AD9-AB9-P9)</f>
        <v/>
      </c>
      <c r="AF9" s="15" t="n"/>
      <c r="AG9" s="7">
        <f>IF($AH9="","",AE9-N(AF9))</f>
        <v/>
      </c>
      <c r="AH9" s="16">
        <f>IF(ROWS($AH$2:$AH9)&lt;=MAX('Per Line'!$AR$2:$AR$1501),MATCH(ROWS($AH$2:$AH9),'Per Line'!$AR$2:$AR$1501,0),"")</f>
        <v/>
      </c>
      <c r="AI9">
        <f>IF($AH9="","",C9&amp;"|"&amp;COUNTIF($C$2:$C9,C9))</f>
        <v/>
      </c>
    </row>
    <row r="10">
      <c r="A10" s="15" t="n"/>
      <c r="B10">
        <f>IF($AH10="","",INDEX('Per Line'!$E$2:$E$1501,$AH10)&amp;"")</f>
        <v/>
      </c>
      <c r="C10">
        <f>IF($AH10="","",IF(INDEX('Per Line'!$AP$2:$AP$1501,$AH10)="NOT MATCH","NOT MATCH","FULL MATCH"))</f>
        <v/>
      </c>
      <c r="D10">
        <f>IF($AH10="","",INDEX('Per Line'!$A$2:$A$1501,$AH10)&amp;"")</f>
        <v/>
      </c>
      <c r="E10">
        <f>IF($AH10="","",INDEX('Per Line'!$B$2:$B$1501,$AH10))</f>
        <v/>
      </c>
      <c r="F10">
        <f>IF($AH10="","",INDEX('Per Line'!$C$2:$C$1501,$AH10)&amp;"")</f>
        <v/>
      </c>
      <c r="G10">
        <f>IF($AH10="","",INDEX('Per Line'!$D$2:$D$1501,$AH10)&amp;"")</f>
        <v/>
      </c>
      <c r="H10">
        <f>IF($AH10="","",INDEX('Per Line'!$F$2:$F$1501,$AH10)&amp;"")</f>
        <v/>
      </c>
      <c r="I10" s="14">
        <f>IF($AH10="","",INDEX('Per Line'!$G$2:$G$1501,$AH10))</f>
        <v/>
      </c>
      <c r="J10">
        <f>IF($AH10="","",INDEX('Per Line'!$H$2:$H$1501,$AH10)&amp;"")</f>
        <v/>
      </c>
      <c r="K10">
        <f>IF($AH10="","",INDEX('Per Line'!$J$2:$J$1501,$AH10)&amp;"")</f>
        <v/>
      </c>
      <c r="L10">
        <f>IF($AH10="","",INDEX('Per Line'!$K$2:$K$1501,$AH10)&amp;"")</f>
        <v/>
      </c>
      <c r="M10">
        <f>IF($AH10="","",INDEX('Per Line'!$L$2:$L$1501,$AH10)&amp;"")</f>
        <v/>
      </c>
      <c r="N10">
        <f>IF($AH10="","",INDEX('Per Line'!$M$2:$M$1501,$AH10)&amp;"")</f>
        <v/>
      </c>
      <c r="O10">
        <f>IF($AH10="","",INDEX('Per Line'!$P$2:$P$1501,$AH10))</f>
        <v/>
      </c>
      <c r="P10" s="7">
        <f>IF($AH10="","",O10*AD10/100)</f>
        <v/>
      </c>
      <c r="Q10">
        <f>IF($AH10="","",INDEX('Per Line'!$R$2:$R$1501,$AH10)&amp;"")</f>
        <v/>
      </c>
      <c r="R10">
        <f>IF($AH10="","",INDEX('Per Line'!$AB$2:$AB$1501,$AH10)&amp;"")</f>
        <v/>
      </c>
      <c r="S10">
        <f>IF($AH10="","",Settings!$C$8)</f>
        <v/>
      </c>
      <c r="T10" s="7">
        <f>IF($AH10="","",SUMIFS('Per Line'!$Z$2:$Z$1501,'Per Line'!$E$2:$E$1501,$B10,'Per Line'!$AT$2:$AT$1501,1))</f>
        <v/>
      </c>
      <c r="U10" s="7">
        <f>IF($AH10="","",T10*S10)</f>
        <v/>
      </c>
      <c r="V10">
        <f>IF($AH10="","",Settings!$C$7)</f>
        <v/>
      </c>
      <c r="W10" s="7">
        <f>IF($AH10="","",SUMIFS('Per Line'!$Z$2:$Z$1501,'Per Line'!$E$2:$E$1501,$B10,'Per Line'!$AS$2:$AS$1501,0,'Per Line'!$AT$2:$AT$1501,0))</f>
        <v/>
      </c>
      <c r="X10" s="7">
        <f>IF($AH10="","",W10*V10)</f>
        <v/>
      </c>
      <c r="Y10">
        <f>IF($AH10="","",Settings!$C$6)</f>
        <v/>
      </c>
      <c r="Z10" s="7">
        <f>IF($AH10="","",SUMIFS('Per Line'!$Z$2:$Z$1501,'Per Line'!$E$2:$E$1501,$B10,'Per Line'!$AS$2:$AS$1501,1,'Per Line'!$AT$2:$AT$1501,0))</f>
        <v/>
      </c>
      <c r="AA10" s="7">
        <f>IF($AH10="","",Z10*Y10)</f>
        <v/>
      </c>
      <c r="AB10" s="7">
        <f>IF($AH10="","",AA10+X10+U10)</f>
        <v/>
      </c>
      <c r="AC10" s="7">
        <f>IF($AH10="","",AD10-AB10)</f>
        <v/>
      </c>
      <c r="AD10" s="7">
        <f>IF($AH10="","",W10+Z10+T10)</f>
        <v/>
      </c>
      <c r="AE10" s="7">
        <f>IF($AH10="","",AD10-AB10-P10)</f>
        <v/>
      </c>
      <c r="AF10" s="15" t="n"/>
      <c r="AG10" s="7">
        <f>IF($AH10="","",AE10-N(AF10))</f>
        <v/>
      </c>
      <c r="AH10" s="16">
        <f>IF(ROWS($AH$2:$AH10)&lt;=MAX('Per Line'!$AR$2:$AR$1501),MATCH(ROWS($AH$2:$AH10),'Per Line'!$AR$2:$AR$1501,0),"")</f>
        <v/>
      </c>
      <c r="AI10">
        <f>IF($AH10="","",C10&amp;"|"&amp;COUNTIF($C$2:$C10,C10))</f>
        <v/>
      </c>
    </row>
    <row r="11">
      <c r="A11" s="15" t="n"/>
      <c r="B11">
        <f>IF($AH11="","",INDEX('Per Line'!$E$2:$E$1501,$AH11)&amp;"")</f>
        <v/>
      </c>
      <c r="C11">
        <f>IF($AH11="","",IF(INDEX('Per Line'!$AP$2:$AP$1501,$AH11)="NOT MATCH","NOT MATCH","FULL MATCH"))</f>
        <v/>
      </c>
      <c r="D11">
        <f>IF($AH11="","",INDEX('Per Line'!$A$2:$A$1501,$AH11)&amp;"")</f>
        <v/>
      </c>
      <c r="E11">
        <f>IF($AH11="","",INDEX('Per Line'!$B$2:$B$1501,$AH11))</f>
        <v/>
      </c>
      <c r="F11">
        <f>IF($AH11="","",INDEX('Per Line'!$C$2:$C$1501,$AH11)&amp;"")</f>
        <v/>
      </c>
      <c r="G11">
        <f>IF($AH11="","",INDEX('Per Line'!$D$2:$D$1501,$AH11)&amp;"")</f>
        <v/>
      </c>
      <c r="H11">
        <f>IF($AH11="","",INDEX('Per Line'!$F$2:$F$1501,$AH11)&amp;"")</f>
        <v/>
      </c>
      <c r="I11" s="14">
        <f>IF($AH11="","",INDEX('Per Line'!$G$2:$G$1501,$AH11))</f>
        <v/>
      </c>
      <c r="J11">
        <f>IF($AH11="","",INDEX('Per Line'!$H$2:$H$1501,$AH11)&amp;"")</f>
        <v/>
      </c>
      <c r="K11">
        <f>IF($AH11="","",INDEX('Per Line'!$J$2:$J$1501,$AH11)&amp;"")</f>
        <v/>
      </c>
      <c r="L11">
        <f>IF($AH11="","",INDEX('Per Line'!$K$2:$K$1501,$AH11)&amp;"")</f>
        <v/>
      </c>
      <c r="M11">
        <f>IF($AH11="","",INDEX('Per Line'!$L$2:$L$1501,$AH11)&amp;"")</f>
        <v/>
      </c>
      <c r="N11">
        <f>IF($AH11="","",INDEX('Per Line'!$M$2:$M$1501,$AH11)&amp;"")</f>
        <v/>
      </c>
      <c r="O11">
        <f>IF($AH11="","",INDEX('Per Line'!$P$2:$P$1501,$AH11))</f>
        <v/>
      </c>
      <c r="P11" s="7">
        <f>IF($AH11="","",O11*AD11/100)</f>
        <v/>
      </c>
      <c r="Q11">
        <f>IF($AH11="","",INDEX('Per Line'!$R$2:$R$1501,$AH11)&amp;"")</f>
        <v/>
      </c>
      <c r="R11">
        <f>IF($AH11="","",INDEX('Per Line'!$AB$2:$AB$1501,$AH11)&amp;"")</f>
        <v/>
      </c>
      <c r="S11">
        <f>IF($AH11="","",Settings!$C$8)</f>
        <v/>
      </c>
      <c r="T11" s="7">
        <f>IF($AH11="","",SUMIFS('Per Line'!$Z$2:$Z$1501,'Per Line'!$E$2:$E$1501,$B11,'Per Line'!$AT$2:$AT$1501,1))</f>
        <v/>
      </c>
      <c r="U11" s="7">
        <f>IF($AH11="","",T11*S11)</f>
        <v/>
      </c>
      <c r="V11">
        <f>IF($AH11="","",Settings!$C$7)</f>
        <v/>
      </c>
      <c r="W11" s="7">
        <f>IF($AH11="","",SUMIFS('Per Line'!$Z$2:$Z$1501,'Per Line'!$E$2:$E$1501,$B11,'Per Line'!$AS$2:$AS$1501,0,'Per Line'!$AT$2:$AT$1501,0))</f>
        <v/>
      </c>
      <c r="X11" s="7">
        <f>IF($AH11="","",W11*V11)</f>
        <v/>
      </c>
      <c r="Y11">
        <f>IF($AH11="","",Settings!$C$6)</f>
        <v/>
      </c>
      <c r="Z11" s="7">
        <f>IF($AH11="","",SUMIFS('Per Line'!$Z$2:$Z$1501,'Per Line'!$E$2:$E$1501,$B11,'Per Line'!$AS$2:$AS$1501,1,'Per Line'!$AT$2:$AT$1501,0))</f>
        <v/>
      </c>
      <c r="AA11" s="7">
        <f>IF($AH11="","",Z11*Y11)</f>
        <v/>
      </c>
      <c r="AB11" s="7">
        <f>IF($AH11="","",AA11+X11+U11)</f>
        <v/>
      </c>
      <c r="AC11" s="7">
        <f>IF($AH11="","",AD11-AB11)</f>
        <v/>
      </c>
      <c r="AD11" s="7">
        <f>IF($AH11="","",W11+Z11+T11)</f>
        <v/>
      </c>
      <c r="AE11" s="7">
        <f>IF($AH11="","",AD11-AB11-P11)</f>
        <v/>
      </c>
      <c r="AF11" s="15" t="n"/>
      <c r="AG11" s="7">
        <f>IF($AH11="","",AE11-N(AF11))</f>
        <v/>
      </c>
      <c r="AH11" s="16">
        <f>IF(ROWS($AH$2:$AH11)&lt;=MAX('Per Line'!$AR$2:$AR$1501),MATCH(ROWS($AH$2:$AH11),'Per Line'!$AR$2:$AR$1501,0),"")</f>
        <v/>
      </c>
      <c r="AI11">
        <f>IF($AH11="","",C11&amp;"|"&amp;COUNTIF($C$2:$C11,C11))</f>
        <v/>
      </c>
    </row>
    <row r="12">
      <c r="A12" s="15" t="n"/>
      <c r="B12">
        <f>IF($AH12="","",INDEX('Per Line'!$E$2:$E$1501,$AH12)&amp;"")</f>
        <v/>
      </c>
      <c r="C12">
        <f>IF($AH12="","",IF(INDEX('Per Line'!$AP$2:$AP$1501,$AH12)="NOT MATCH","NOT MATCH","FULL MATCH"))</f>
        <v/>
      </c>
      <c r="D12">
        <f>IF($AH12="","",INDEX('Per Line'!$A$2:$A$1501,$AH12)&amp;"")</f>
        <v/>
      </c>
      <c r="E12">
        <f>IF($AH12="","",INDEX('Per Line'!$B$2:$B$1501,$AH12))</f>
        <v/>
      </c>
      <c r="F12">
        <f>IF($AH12="","",INDEX('Per Line'!$C$2:$C$1501,$AH12)&amp;"")</f>
        <v/>
      </c>
      <c r="G12">
        <f>IF($AH12="","",INDEX('Per Line'!$D$2:$D$1501,$AH12)&amp;"")</f>
        <v/>
      </c>
      <c r="H12">
        <f>IF($AH12="","",INDEX('Per Line'!$F$2:$F$1501,$AH12)&amp;"")</f>
        <v/>
      </c>
      <c r="I12" s="14">
        <f>IF($AH12="","",INDEX('Per Line'!$G$2:$G$1501,$AH12))</f>
        <v/>
      </c>
      <c r="J12">
        <f>IF($AH12="","",INDEX('Per Line'!$H$2:$H$1501,$AH12)&amp;"")</f>
        <v/>
      </c>
      <c r="K12">
        <f>IF($AH12="","",INDEX('Per Line'!$J$2:$J$1501,$AH12)&amp;"")</f>
        <v/>
      </c>
      <c r="L12">
        <f>IF($AH12="","",INDEX('Per Line'!$K$2:$K$1501,$AH12)&amp;"")</f>
        <v/>
      </c>
      <c r="M12">
        <f>IF($AH12="","",INDEX('Per Line'!$L$2:$L$1501,$AH12)&amp;"")</f>
        <v/>
      </c>
      <c r="N12">
        <f>IF($AH12="","",INDEX('Per Line'!$M$2:$M$1501,$AH12)&amp;"")</f>
        <v/>
      </c>
      <c r="O12">
        <f>IF($AH12="","",INDEX('Per Line'!$P$2:$P$1501,$AH12))</f>
        <v/>
      </c>
      <c r="P12" s="7">
        <f>IF($AH12="","",O12*AD12/100)</f>
        <v/>
      </c>
      <c r="Q12">
        <f>IF($AH12="","",INDEX('Per Line'!$R$2:$R$1501,$AH12)&amp;"")</f>
        <v/>
      </c>
      <c r="R12">
        <f>IF($AH12="","",INDEX('Per Line'!$AB$2:$AB$1501,$AH12)&amp;"")</f>
        <v/>
      </c>
      <c r="S12">
        <f>IF($AH12="","",Settings!$C$8)</f>
        <v/>
      </c>
      <c r="T12" s="7">
        <f>IF($AH12="","",SUMIFS('Per Line'!$Z$2:$Z$1501,'Per Line'!$E$2:$E$1501,$B12,'Per Line'!$AT$2:$AT$1501,1))</f>
        <v/>
      </c>
      <c r="U12" s="7">
        <f>IF($AH12="","",T12*S12)</f>
        <v/>
      </c>
      <c r="V12">
        <f>IF($AH12="","",Settings!$C$7)</f>
        <v/>
      </c>
      <c r="W12" s="7">
        <f>IF($AH12="","",SUMIFS('Per Line'!$Z$2:$Z$1501,'Per Line'!$E$2:$E$1501,$B12,'Per Line'!$AS$2:$AS$1501,0,'Per Line'!$AT$2:$AT$1501,0))</f>
        <v/>
      </c>
      <c r="X12" s="7">
        <f>IF($AH12="","",W12*V12)</f>
        <v/>
      </c>
      <c r="Y12">
        <f>IF($AH12="","",Settings!$C$6)</f>
        <v/>
      </c>
      <c r="Z12" s="7">
        <f>IF($AH12="","",SUMIFS('Per Line'!$Z$2:$Z$1501,'Per Line'!$E$2:$E$1501,$B12,'Per Line'!$AS$2:$AS$1501,1,'Per Line'!$AT$2:$AT$1501,0))</f>
        <v/>
      </c>
      <c r="AA12" s="7">
        <f>IF($AH12="","",Z12*Y12)</f>
        <v/>
      </c>
      <c r="AB12" s="7">
        <f>IF($AH12="","",AA12+X12+U12)</f>
        <v/>
      </c>
      <c r="AC12" s="7">
        <f>IF($AH12="","",AD12-AB12)</f>
        <v/>
      </c>
      <c r="AD12" s="7">
        <f>IF($AH12="","",W12+Z12+T12)</f>
        <v/>
      </c>
      <c r="AE12" s="7">
        <f>IF($AH12="","",AD12-AB12-P12)</f>
        <v/>
      </c>
      <c r="AF12" s="15" t="n"/>
      <c r="AG12" s="7">
        <f>IF($AH12="","",AE12-N(AF12))</f>
        <v/>
      </c>
      <c r="AH12" s="16">
        <f>IF(ROWS($AH$2:$AH12)&lt;=MAX('Per Line'!$AR$2:$AR$1501),MATCH(ROWS($AH$2:$AH12),'Per Line'!$AR$2:$AR$1501,0),"")</f>
        <v/>
      </c>
      <c r="AI12">
        <f>IF($AH12="","",C12&amp;"|"&amp;COUNTIF($C$2:$C12,C12))</f>
        <v/>
      </c>
    </row>
    <row r="13">
      <c r="A13" s="15" t="n"/>
      <c r="B13">
        <f>IF($AH13="","",INDEX('Per Line'!$E$2:$E$1501,$AH13)&amp;"")</f>
        <v/>
      </c>
      <c r="C13">
        <f>IF($AH13="","",IF(INDEX('Per Line'!$AP$2:$AP$1501,$AH13)="NOT MATCH","NOT MATCH","FULL MATCH"))</f>
        <v/>
      </c>
      <c r="D13">
        <f>IF($AH13="","",INDEX('Per Line'!$A$2:$A$1501,$AH13)&amp;"")</f>
        <v/>
      </c>
      <c r="E13">
        <f>IF($AH13="","",INDEX('Per Line'!$B$2:$B$1501,$AH13))</f>
        <v/>
      </c>
      <c r="F13">
        <f>IF($AH13="","",INDEX('Per Line'!$C$2:$C$1501,$AH13)&amp;"")</f>
        <v/>
      </c>
      <c r="G13">
        <f>IF($AH13="","",INDEX('Per Line'!$D$2:$D$1501,$AH13)&amp;"")</f>
        <v/>
      </c>
      <c r="H13">
        <f>IF($AH13="","",INDEX('Per Line'!$F$2:$F$1501,$AH13)&amp;"")</f>
        <v/>
      </c>
      <c r="I13" s="14">
        <f>IF($AH13="","",INDEX('Per Line'!$G$2:$G$1501,$AH13))</f>
        <v/>
      </c>
      <c r="J13">
        <f>IF($AH13="","",INDEX('Per Line'!$H$2:$H$1501,$AH13)&amp;"")</f>
        <v/>
      </c>
      <c r="K13">
        <f>IF($AH13="","",INDEX('Per Line'!$J$2:$J$1501,$AH13)&amp;"")</f>
        <v/>
      </c>
      <c r="L13">
        <f>IF($AH13="","",INDEX('Per Line'!$K$2:$K$1501,$AH13)&amp;"")</f>
        <v/>
      </c>
      <c r="M13">
        <f>IF($AH13="","",INDEX('Per Line'!$L$2:$L$1501,$AH13)&amp;"")</f>
        <v/>
      </c>
      <c r="N13">
        <f>IF($AH13="","",INDEX('Per Line'!$M$2:$M$1501,$AH13)&amp;"")</f>
        <v/>
      </c>
      <c r="O13">
        <f>IF($AH13="","",INDEX('Per Line'!$P$2:$P$1501,$AH13))</f>
        <v/>
      </c>
      <c r="P13" s="7">
        <f>IF($AH13="","",O13*AD13/100)</f>
        <v/>
      </c>
      <c r="Q13">
        <f>IF($AH13="","",INDEX('Per Line'!$R$2:$R$1501,$AH13)&amp;"")</f>
        <v/>
      </c>
      <c r="R13">
        <f>IF($AH13="","",INDEX('Per Line'!$AB$2:$AB$1501,$AH13)&amp;"")</f>
        <v/>
      </c>
      <c r="S13">
        <f>IF($AH13="","",Settings!$C$8)</f>
        <v/>
      </c>
      <c r="T13" s="7">
        <f>IF($AH13="","",SUMIFS('Per Line'!$Z$2:$Z$1501,'Per Line'!$E$2:$E$1501,$B13,'Per Line'!$AT$2:$AT$1501,1))</f>
        <v/>
      </c>
      <c r="U13" s="7">
        <f>IF($AH13="","",T13*S13)</f>
        <v/>
      </c>
      <c r="V13">
        <f>IF($AH13="","",Settings!$C$7)</f>
        <v/>
      </c>
      <c r="W13" s="7">
        <f>IF($AH13="","",SUMIFS('Per Line'!$Z$2:$Z$1501,'Per Line'!$E$2:$E$1501,$B13,'Per Line'!$AS$2:$AS$1501,0,'Per Line'!$AT$2:$AT$1501,0))</f>
        <v/>
      </c>
      <c r="X13" s="7">
        <f>IF($AH13="","",W13*V13)</f>
        <v/>
      </c>
      <c r="Y13">
        <f>IF($AH13="","",Settings!$C$6)</f>
        <v/>
      </c>
      <c r="Z13" s="7">
        <f>IF($AH13="","",SUMIFS('Per Line'!$Z$2:$Z$1501,'Per Line'!$E$2:$E$1501,$B13,'Per Line'!$AS$2:$AS$1501,1,'Per Line'!$AT$2:$AT$1501,0))</f>
        <v/>
      </c>
      <c r="AA13" s="7">
        <f>IF($AH13="","",Z13*Y13)</f>
        <v/>
      </c>
      <c r="AB13" s="7">
        <f>IF($AH13="","",AA13+X13+U13)</f>
        <v/>
      </c>
      <c r="AC13" s="7">
        <f>IF($AH13="","",AD13-AB13)</f>
        <v/>
      </c>
      <c r="AD13" s="7">
        <f>IF($AH13="","",W13+Z13+T13)</f>
        <v/>
      </c>
      <c r="AE13" s="7">
        <f>IF($AH13="","",AD13-AB13-P13)</f>
        <v/>
      </c>
      <c r="AF13" s="15" t="n"/>
      <c r="AG13" s="7">
        <f>IF($AH13="","",AE13-N(AF13))</f>
        <v/>
      </c>
      <c r="AH13" s="16">
        <f>IF(ROWS($AH$2:$AH13)&lt;=MAX('Per Line'!$AR$2:$AR$1501),MATCH(ROWS($AH$2:$AH13),'Per Line'!$AR$2:$AR$1501,0),"")</f>
        <v/>
      </c>
      <c r="AI13">
        <f>IF($AH13="","",C13&amp;"|"&amp;COUNTIF($C$2:$C13,C13))</f>
        <v/>
      </c>
    </row>
    <row r="14">
      <c r="A14" s="15" t="n"/>
      <c r="B14">
        <f>IF($AH14="","",INDEX('Per Line'!$E$2:$E$1501,$AH14)&amp;"")</f>
        <v/>
      </c>
      <c r="C14">
        <f>IF($AH14="","",IF(INDEX('Per Line'!$AP$2:$AP$1501,$AH14)="NOT MATCH","NOT MATCH","FULL MATCH"))</f>
        <v/>
      </c>
      <c r="D14">
        <f>IF($AH14="","",INDEX('Per Line'!$A$2:$A$1501,$AH14)&amp;"")</f>
        <v/>
      </c>
      <c r="E14">
        <f>IF($AH14="","",INDEX('Per Line'!$B$2:$B$1501,$AH14))</f>
        <v/>
      </c>
      <c r="F14">
        <f>IF($AH14="","",INDEX('Per Line'!$C$2:$C$1501,$AH14)&amp;"")</f>
        <v/>
      </c>
      <c r="G14">
        <f>IF($AH14="","",INDEX('Per Line'!$D$2:$D$1501,$AH14)&amp;"")</f>
        <v/>
      </c>
      <c r="H14">
        <f>IF($AH14="","",INDEX('Per Line'!$F$2:$F$1501,$AH14)&amp;"")</f>
        <v/>
      </c>
      <c r="I14" s="14">
        <f>IF($AH14="","",INDEX('Per Line'!$G$2:$G$1501,$AH14))</f>
        <v/>
      </c>
      <c r="J14">
        <f>IF($AH14="","",INDEX('Per Line'!$H$2:$H$1501,$AH14)&amp;"")</f>
        <v/>
      </c>
      <c r="K14">
        <f>IF($AH14="","",INDEX('Per Line'!$J$2:$J$1501,$AH14)&amp;"")</f>
        <v/>
      </c>
      <c r="L14">
        <f>IF($AH14="","",INDEX('Per Line'!$K$2:$K$1501,$AH14)&amp;"")</f>
        <v/>
      </c>
      <c r="M14">
        <f>IF($AH14="","",INDEX('Per Line'!$L$2:$L$1501,$AH14)&amp;"")</f>
        <v/>
      </c>
      <c r="N14">
        <f>IF($AH14="","",INDEX('Per Line'!$M$2:$M$1501,$AH14)&amp;"")</f>
        <v/>
      </c>
      <c r="O14">
        <f>IF($AH14="","",INDEX('Per Line'!$P$2:$P$1501,$AH14))</f>
        <v/>
      </c>
      <c r="P14" s="7">
        <f>IF($AH14="","",O14*AD14/100)</f>
        <v/>
      </c>
      <c r="Q14">
        <f>IF($AH14="","",INDEX('Per Line'!$R$2:$R$1501,$AH14)&amp;"")</f>
        <v/>
      </c>
      <c r="R14">
        <f>IF($AH14="","",INDEX('Per Line'!$AB$2:$AB$1501,$AH14)&amp;"")</f>
        <v/>
      </c>
      <c r="S14">
        <f>IF($AH14="","",Settings!$C$8)</f>
        <v/>
      </c>
      <c r="T14" s="7">
        <f>IF($AH14="","",SUMIFS('Per Line'!$Z$2:$Z$1501,'Per Line'!$E$2:$E$1501,$B14,'Per Line'!$AT$2:$AT$1501,1))</f>
        <v/>
      </c>
      <c r="U14" s="7">
        <f>IF($AH14="","",T14*S14)</f>
        <v/>
      </c>
      <c r="V14">
        <f>IF($AH14="","",Settings!$C$7)</f>
        <v/>
      </c>
      <c r="W14" s="7">
        <f>IF($AH14="","",SUMIFS('Per Line'!$Z$2:$Z$1501,'Per Line'!$E$2:$E$1501,$B14,'Per Line'!$AS$2:$AS$1501,0,'Per Line'!$AT$2:$AT$1501,0))</f>
        <v/>
      </c>
      <c r="X14" s="7">
        <f>IF($AH14="","",W14*V14)</f>
        <v/>
      </c>
      <c r="Y14">
        <f>IF($AH14="","",Settings!$C$6)</f>
        <v/>
      </c>
      <c r="Z14" s="7">
        <f>IF($AH14="","",SUMIFS('Per Line'!$Z$2:$Z$1501,'Per Line'!$E$2:$E$1501,$B14,'Per Line'!$AS$2:$AS$1501,1,'Per Line'!$AT$2:$AT$1501,0))</f>
        <v/>
      </c>
      <c r="AA14" s="7">
        <f>IF($AH14="","",Z14*Y14)</f>
        <v/>
      </c>
      <c r="AB14" s="7">
        <f>IF($AH14="","",AA14+X14+U14)</f>
        <v/>
      </c>
      <c r="AC14" s="7">
        <f>IF($AH14="","",AD14-AB14)</f>
        <v/>
      </c>
      <c r="AD14" s="7">
        <f>IF($AH14="","",W14+Z14+T14)</f>
        <v/>
      </c>
      <c r="AE14" s="7">
        <f>IF($AH14="","",AD14-AB14-P14)</f>
        <v/>
      </c>
      <c r="AF14" s="15" t="n"/>
      <c r="AG14" s="7">
        <f>IF($AH14="","",AE14-N(AF14))</f>
        <v/>
      </c>
      <c r="AH14" s="16">
        <f>IF(ROWS($AH$2:$AH14)&lt;=MAX('Per Line'!$AR$2:$AR$1501),MATCH(ROWS($AH$2:$AH14),'Per Line'!$AR$2:$AR$1501,0),"")</f>
        <v/>
      </c>
      <c r="AI14">
        <f>IF($AH14="","",C14&amp;"|"&amp;COUNTIF($C$2:$C14,C14))</f>
        <v/>
      </c>
    </row>
    <row r="15">
      <c r="A15" s="15" t="n"/>
      <c r="B15">
        <f>IF($AH15="","",INDEX('Per Line'!$E$2:$E$1501,$AH15)&amp;"")</f>
        <v/>
      </c>
      <c r="C15">
        <f>IF($AH15="","",IF(INDEX('Per Line'!$AP$2:$AP$1501,$AH15)="NOT MATCH","NOT MATCH","FULL MATCH"))</f>
        <v/>
      </c>
      <c r="D15">
        <f>IF($AH15="","",INDEX('Per Line'!$A$2:$A$1501,$AH15)&amp;"")</f>
        <v/>
      </c>
      <c r="E15">
        <f>IF($AH15="","",INDEX('Per Line'!$B$2:$B$1501,$AH15))</f>
        <v/>
      </c>
      <c r="F15">
        <f>IF($AH15="","",INDEX('Per Line'!$C$2:$C$1501,$AH15)&amp;"")</f>
        <v/>
      </c>
      <c r="G15">
        <f>IF($AH15="","",INDEX('Per Line'!$D$2:$D$1501,$AH15)&amp;"")</f>
        <v/>
      </c>
      <c r="H15">
        <f>IF($AH15="","",INDEX('Per Line'!$F$2:$F$1501,$AH15)&amp;"")</f>
        <v/>
      </c>
      <c r="I15" s="14">
        <f>IF($AH15="","",INDEX('Per Line'!$G$2:$G$1501,$AH15))</f>
        <v/>
      </c>
      <c r="J15">
        <f>IF($AH15="","",INDEX('Per Line'!$H$2:$H$1501,$AH15)&amp;"")</f>
        <v/>
      </c>
      <c r="K15">
        <f>IF($AH15="","",INDEX('Per Line'!$J$2:$J$1501,$AH15)&amp;"")</f>
        <v/>
      </c>
      <c r="L15">
        <f>IF($AH15="","",INDEX('Per Line'!$K$2:$K$1501,$AH15)&amp;"")</f>
        <v/>
      </c>
      <c r="M15">
        <f>IF($AH15="","",INDEX('Per Line'!$L$2:$L$1501,$AH15)&amp;"")</f>
        <v/>
      </c>
      <c r="N15">
        <f>IF($AH15="","",INDEX('Per Line'!$M$2:$M$1501,$AH15)&amp;"")</f>
        <v/>
      </c>
      <c r="O15">
        <f>IF($AH15="","",INDEX('Per Line'!$P$2:$P$1501,$AH15))</f>
        <v/>
      </c>
      <c r="P15" s="7">
        <f>IF($AH15="","",O15*AD15/100)</f>
        <v/>
      </c>
      <c r="Q15">
        <f>IF($AH15="","",INDEX('Per Line'!$R$2:$R$1501,$AH15)&amp;"")</f>
        <v/>
      </c>
      <c r="R15">
        <f>IF($AH15="","",INDEX('Per Line'!$AB$2:$AB$1501,$AH15)&amp;"")</f>
        <v/>
      </c>
      <c r="S15">
        <f>IF($AH15="","",Settings!$C$8)</f>
        <v/>
      </c>
      <c r="T15" s="7">
        <f>IF($AH15="","",SUMIFS('Per Line'!$Z$2:$Z$1501,'Per Line'!$E$2:$E$1501,$B15,'Per Line'!$AT$2:$AT$1501,1))</f>
        <v/>
      </c>
      <c r="U15" s="7">
        <f>IF($AH15="","",T15*S15)</f>
        <v/>
      </c>
      <c r="V15">
        <f>IF($AH15="","",Settings!$C$7)</f>
        <v/>
      </c>
      <c r="W15" s="7">
        <f>IF($AH15="","",SUMIFS('Per Line'!$Z$2:$Z$1501,'Per Line'!$E$2:$E$1501,$B15,'Per Line'!$AS$2:$AS$1501,0,'Per Line'!$AT$2:$AT$1501,0))</f>
        <v/>
      </c>
      <c r="X15" s="7">
        <f>IF($AH15="","",W15*V15)</f>
        <v/>
      </c>
      <c r="Y15">
        <f>IF($AH15="","",Settings!$C$6)</f>
        <v/>
      </c>
      <c r="Z15" s="7">
        <f>IF($AH15="","",SUMIFS('Per Line'!$Z$2:$Z$1501,'Per Line'!$E$2:$E$1501,$B15,'Per Line'!$AS$2:$AS$1501,1,'Per Line'!$AT$2:$AT$1501,0))</f>
        <v/>
      </c>
      <c r="AA15" s="7">
        <f>IF($AH15="","",Z15*Y15)</f>
        <v/>
      </c>
      <c r="AB15" s="7">
        <f>IF($AH15="","",AA15+X15+U15)</f>
        <v/>
      </c>
      <c r="AC15" s="7">
        <f>IF($AH15="","",AD15-AB15)</f>
        <v/>
      </c>
      <c r="AD15" s="7">
        <f>IF($AH15="","",W15+Z15+T15)</f>
        <v/>
      </c>
      <c r="AE15" s="7">
        <f>IF($AH15="","",AD15-AB15-P15)</f>
        <v/>
      </c>
      <c r="AF15" s="15" t="n"/>
      <c r="AG15" s="7">
        <f>IF($AH15="","",AE15-N(AF15))</f>
        <v/>
      </c>
      <c r="AH15" s="16">
        <f>IF(ROWS($AH$2:$AH15)&lt;=MAX('Per Line'!$AR$2:$AR$1501),MATCH(ROWS($AH$2:$AH15),'Per Line'!$AR$2:$AR$1501,0),"")</f>
        <v/>
      </c>
      <c r="AI15">
        <f>IF($AH15="","",C15&amp;"|"&amp;COUNTIF($C$2:$C15,C15))</f>
        <v/>
      </c>
    </row>
    <row r="16">
      <c r="A16" s="15" t="n"/>
      <c r="B16">
        <f>IF($AH16="","",INDEX('Per Line'!$E$2:$E$1501,$AH16)&amp;"")</f>
        <v/>
      </c>
      <c r="C16">
        <f>IF($AH16="","",IF(INDEX('Per Line'!$AP$2:$AP$1501,$AH16)="NOT MATCH","NOT MATCH","FULL MATCH"))</f>
        <v/>
      </c>
      <c r="D16">
        <f>IF($AH16="","",INDEX('Per Line'!$A$2:$A$1501,$AH16)&amp;"")</f>
        <v/>
      </c>
      <c r="E16">
        <f>IF($AH16="","",INDEX('Per Line'!$B$2:$B$1501,$AH16))</f>
        <v/>
      </c>
      <c r="F16">
        <f>IF($AH16="","",INDEX('Per Line'!$C$2:$C$1501,$AH16)&amp;"")</f>
        <v/>
      </c>
      <c r="G16">
        <f>IF($AH16="","",INDEX('Per Line'!$D$2:$D$1501,$AH16)&amp;"")</f>
        <v/>
      </c>
      <c r="H16">
        <f>IF($AH16="","",INDEX('Per Line'!$F$2:$F$1501,$AH16)&amp;"")</f>
        <v/>
      </c>
      <c r="I16" s="14">
        <f>IF($AH16="","",INDEX('Per Line'!$G$2:$G$1501,$AH16))</f>
        <v/>
      </c>
      <c r="J16">
        <f>IF($AH16="","",INDEX('Per Line'!$H$2:$H$1501,$AH16)&amp;"")</f>
        <v/>
      </c>
      <c r="K16">
        <f>IF($AH16="","",INDEX('Per Line'!$J$2:$J$1501,$AH16)&amp;"")</f>
        <v/>
      </c>
      <c r="L16">
        <f>IF($AH16="","",INDEX('Per Line'!$K$2:$K$1501,$AH16)&amp;"")</f>
        <v/>
      </c>
      <c r="M16">
        <f>IF($AH16="","",INDEX('Per Line'!$L$2:$L$1501,$AH16)&amp;"")</f>
        <v/>
      </c>
      <c r="N16">
        <f>IF($AH16="","",INDEX('Per Line'!$M$2:$M$1501,$AH16)&amp;"")</f>
        <v/>
      </c>
      <c r="O16">
        <f>IF($AH16="","",INDEX('Per Line'!$P$2:$P$1501,$AH16))</f>
        <v/>
      </c>
      <c r="P16" s="7">
        <f>IF($AH16="","",O16*AD16/100)</f>
        <v/>
      </c>
      <c r="Q16">
        <f>IF($AH16="","",INDEX('Per Line'!$R$2:$R$1501,$AH16)&amp;"")</f>
        <v/>
      </c>
      <c r="R16">
        <f>IF($AH16="","",INDEX('Per Line'!$AB$2:$AB$1501,$AH16)&amp;"")</f>
        <v/>
      </c>
      <c r="S16">
        <f>IF($AH16="","",Settings!$C$8)</f>
        <v/>
      </c>
      <c r="T16" s="7">
        <f>IF($AH16="","",SUMIFS('Per Line'!$Z$2:$Z$1501,'Per Line'!$E$2:$E$1501,$B16,'Per Line'!$AT$2:$AT$1501,1))</f>
        <v/>
      </c>
      <c r="U16" s="7">
        <f>IF($AH16="","",T16*S16)</f>
        <v/>
      </c>
      <c r="V16">
        <f>IF($AH16="","",Settings!$C$7)</f>
        <v/>
      </c>
      <c r="W16" s="7">
        <f>IF($AH16="","",SUMIFS('Per Line'!$Z$2:$Z$1501,'Per Line'!$E$2:$E$1501,$B16,'Per Line'!$AS$2:$AS$1501,0,'Per Line'!$AT$2:$AT$1501,0))</f>
        <v/>
      </c>
      <c r="X16" s="7">
        <f>IF($AH16="","",W16*V16)</f>
        <v/>
      </c>
      <c r="Y16">
        <f>IF($AH16="","",Settings!$C$6)</f>
        <v/>
      </c>
      <c r="Z16" s="7">
        <f>IF($AH16="","",SUMIFS('Per Line'!$Z$2:$Z$1501,'Per Line'!$E$2:$E$1501,$B16,'Per Line'!$AS$2:$AS$1501,1,'Per Line'!$AT$2:$AT$1501,0))</f>
        <v/>
      </c>
      <c r="AA16" s="7">
        <f>IF($AH16="","",Z16*Y16)</f>
        <v/>
      </c>
      <c r="AB16" s="7">
        <f>IF($AH16="","",AA16+X16+U16)</f>
        <v/>
      </c>
      <c r="AC16" s="7">
        <f>IF($AH16="","",AD16-AB16)</f>
        <v/>
      </c>
      <c r="AD16" s="7">
        <f>IF($AH16="","",W16+Z16+T16)</f>
        <v/>
      </c>
      <c r="AE16" s="7">
        <f>IF($AH16="","",AD16-AB16-P16)</f>
        <v/>
      </c>
      <c r="AF16" s="15" t="n"/>
      <c r="AG16" s="7">
        <f>IF($AH16="","",AE16-N(AF16))</f>
        <v/>
      </c>
      <c r="AH16" s="16">
        <f>IF(ROWS($AH$2:$AH16)&lt;=MAX('Per Line'!$AR$2:$AR$1501),MATCH(ROWS($AH$2:$AH16),'Per Line'!$AR$2:$AR$1501,0),"")</f>
        <v/>
      </c>
      <c r="AI16">
        <f>IF($AH16="","",C16&amp;"|"&amp;COUNTIF($C$2:$C16,C16))</f>
        <v/>
      </c>
    </row>
    <row r="17">
      <c r="A17" s="15" t="n"/>
      <c r="B17">
        <f>IF($AH17="","",INDEX('Per Line'!$E$2:$E$1501,$AH17)&amp;"")</f>
        <v/>
      </c>
      <c r="C17">
        <f>IF($AH17="","",IF(INDEX('Per Line'!$AP$2:$AP$1501,$AH17)="NOT MATCH","NOT MATCH","FULL MATCH"))</f>
        <v/>
      </c>
      <c r="D17">
        <f>IF($AH17="","",INDEX('Per Line'!$A$2:$A$1501,$AH17)&amp;"")</f>
        <v/>
      </c>
      <c r="E17">
        <f>IF($AH17="","",INDEX('Per Line'!$B$2:$B$1501,$AH17))</f>
        <v/>
      </c>
      <c r="F17">
        <f>IF($AH17="","",INDEX('Per Line'!$C$2:$C$1501,$AH17)&amp;"")</f>
        <v/>
      </c>
      <c r="G17">
        <f>IF($AH17="","",INDEX('Per Line'!$D$2:$D$1501,$AH17)&amp;"")</f>
        <v/>
      </c>
      <c r="H17">
        <f>IF($AH17="","",INDEX('Per Line'!$F$2:$F$1501,$AH17)&amp;"")</f>
        <v/>
      </c>
      <c r="I17" s="14">
        <f>IF($AH17="","",INDEX('Per Line'!$G$2:$G$1501,$AH17))</f>
        <v/>
      </c>
      <c r="J17">
        <f>IF($AH17="","",INDEX('Per Line'!$H$2:$H$1501,$AH17)&amp;"")</f>
        <v/>
      </c>
      <c r="K17">
        <f>IF($AH17="","",INDEX('Per Line'!$J$2:$J$1501,$AH17)&amp;"")</f>
        <v/>
      </c>
      <c r="L17">
        <f>IF($AH17="","",INDEX('Per Line'!$K$2:$K$1501,$AH17)&amp;"")</f>
        <v/>
      </c>
      <c r="M17">
        <f>IF($AH17="","",INDEX('Per Line'!$L$2:$L$1501,$AH17)&amp;"")</f>
        <v/>
      </c>
      <c r="N17">
        <f>IF($AH17="","",INDEX('Per Line'!$M$2:$M$1501,$AH17)&amp;"")</f>
        <v/>
      </c>
      <c r="O17">
        <f>IF($AH17="","",INDEX('Per Line'!$P$2:$P$1501,$AH17))</f>
        <v/>
      </c>
      <c r="P17" s="7">
        <f>IF($AH17="","",O17*AD17/100)</f>
        <v/>
      </c>
      <c r="Q17">
        <f>IF($AH17="","",INDEX('Per Line'!$R$2:$R$1501,$AH17)&amp;"")</f>
        <v/>
      </c>
      <c r="R17">
        <f>IF($AH17="","",INDEX('Per Line'!$AB$2:$AB$1501,$AH17)&amp;"")</f>
        <v/>
      </c>
      <c r="S17">
        <f>IF($AH17="","",Settings!$C$8)</f>
        <v/>
      </c>
      <c r="T17" s="7">
        <f>IF($AH17="","",SUMIFS('Per Line'!$Z$2:$Z$1501,'Per Line'!$E$2:$E$1501,$B17,'Per Line'!$AT$2:$AT$1501,1))</f>
        <v/>
      </c>
      <c r="U17" s="7">
        <f>IF($AH17="","",T17*S17)</f>
        <v/>
      </c>
      <c r="V17">
        <f>IF($AH17="","",Settings!$C$7)</f>
        <v/>
      </c>
      <c r="W17" s="7">
        <f>IF($AH17="","",SUMIFS('Per Line'!$Z$2:$Z$1501,'Per Line'!$E$2:$E$1501,$B17,'Per Line'!$AS$2:$AS$1501,0,'Per Line'!$AT$2:$AT$1501,0))</f>
        <v/>
      </c>
      <c r="X17" s="7">
        <f>IF($AH17="","",W17*V17)</f>
        <v/>
      </c>
      <c r="Y17">
        <f>IF($AH17="","",Settings!$C$6)</f>
        <v/>
      </c>
      <c r="Z17" s="7">
        <f>IF($AH17="","",SUMIFS('Per Line'!$Z$2:$Z$1501,'Per Line'!$E$2:$E$1501,$B17,'Per Line'!$AS$2:$AS$1501,1,'Per Line'!$AT$2:$AT$1501,0))</f>
        <v/>
      </c>
      <c r="AA17" s="7">
        <f>IF($AH17="","",Z17*Y17)</f>
        <v/>
      </c>
      <c r="AB17" s="7">
        <f>IF($AH17="","",AA17+X17+U17)</f>
        <v/>
      </c>
      <c r="AC17" s="7">
        <f>IF($AH17="","",AD17-AB17)</f>
        <v/>
      </c>
      <c r="AD17" s="7">
        <f>IF($AH17="","",W17+Z17+T17)</f>
        <v/>
      </c>
      <c r="AE17" s="7">
        <f>IF($AH17="","",AD17-AB17-P17)</f>
        <v/>
      </c>
      <c r="AF17" s="15" t="n"/>
      <c r="AG17" s="7">
        <f>IF($AH17="","",AE17-N(AF17))</f>
        <v/>
      </c>
      <c r="AH17" s="16">
        <f>IF(ROWS($AH$2:$AH17)&lt;=MAX('Per Line'!$AR$2:$AR$1501),MATCH(ROWS($AH$2:$AH17),'Per Line'!$AR$2:$AR$1501,0),"")</f>
        <v/>
      </c>
      <c r="AI17">
        <f>IF($AH17="","",C17&amp;"|"&amp;COUNTIF($C$2:$C17,C17))</f>
        <v/>
      </c>
    </row>
    <row r="18">
      <c r="A18" s="15" t="n"/>
      <c r="B18">
        <f>IF($AH18="","",INDEX('Per Line'!$E$2:$E$1501,$AH18)&amp;"")</f>
        <v/>
      </c>
      <c r="C18">
        <f>IF($AH18="","",IF(INDEX('Per Line'!$AP$2:$AP$1501,$AH18)="NOT MATCH","NOT MATCH","FULL MATCH"))</f>
        <v/>
      </c>
      <c r="D18">
        <f>IF($AH18="","",INDEX('Per Line'!$A$2:$A$1501,$AH18)&amp;"")</f>
        <v/>
      </c>
      <c r="E18">
        <f>IF($AH18="","",INDEX('Per Line'!$B$2:$B$1501,$AH18))</f>
        <v/>
      </c>
      <c r="F18">
        <f>IF($AH18="","",INDEX('Per Line'!$C$2:$C$1501,$AH18)&amp;"")</f>
        <v/>
      </c>
      <c r="G18">
        <f>IF($AH18="","",INDEX('Per Line'!$D$2:$D$1501,$AH18)&amp;"")</f>
        <v/>
      </c>
      <c r="H18">
        <f>IF($AH18="","",INDEX('Per Line'!$F$2:$F$1501,$AH18)&amp;"")</f>
        <v/>
      </c>
      <c r="I18" s="14">
        <f>IF($AH18="","",INDEX('Per Line'!$G$2:$G$1501,$AH18))</f>
        <v/>
      </c>
      <c r="J18">
        <f>IF($AH18="","",INDEX('Per Line'!$H$2:$H$1501,$AH18)&amp;"")</f>
        <v/>
      </c>
      <c r="K18">
        <f>IF($AH18="","",INDEX('Per Line'!$J$2:$J$1501,$AH18)&amp;"")</f>
        <v/>
      </c>
      <c r="L18">
        <f>IF($AH18="","",INDEX('Per Line'!$K$2:$K$1501,$AH18)&amp;"")</f>
        <v/>
      </c>
      <c r="M18">
        <f>IF($AH18="","",INDEX('Per Line'!$L$2:$L$1501,$AH18)&amp;"")</f>
        <v/>
      </c>
      <c r="N18">
        <f>IF($AH18="","",INDEX('Per Line'!$M$2:$M$1501,$AH18)&amp;"")</f>
        <v/>
      </c>
      <c r="O18">
        <f>IF($AH18="","",INDEX('Per Line'!$P$2:$P$1501,$AH18))</f>
        <v/>
      </c>
      <c r="P18" s="7">
        <f>IF($AH18="","",O18*AD18/100)</f>
        <v/>
      </c>
      <c r="Q18">
        <f>IF($AH18="","",INDEX('Per Line'!$R$2:$R$1501,$AH18)&amp;"")</f>
        <v/>
      </c>
      <c r="R18">
        <f>IF($AH18="","",INDEX('Per Line'!$AB$2:$AB$1501,$AH18)&amp;"")</f>
        <v/>
      </c>
      <c r="S18">
        <f>IF($AH18="","",Settings!$C$8)</f>
        <v/>
      </c>
      <c r="T18" s="7">
        <f>IF($AH18="","",SUMIFS('Per Line'!$Z$2:$Z$1501,'Per Line'!$E$2:$E$1501,$B18,'Per Line'!$AT$2:$AT$1501,1))</f>
        <v/>
      </c>
      <c r="U18" s="7">
        <f>IF($AH18="","",T18*S18)</f>
        <v/>
      </c>
      <c r="V18">
        <f>IF($AH18="","",Settings!$C$7)</f>
        <v/>
      </c>
      <c r="W18" s="7">
        <f>IF($AH18="","",SUMIFS('Per Line'!$Z$2:$Z$1501,'Per Line'!$E$2:$E$1501,$B18,'Per Line'!$AS$2:$AS$1501,0,'Per Line'!$AT$2:$AT$1501,0))</f>
        <v/>
      </c>
      <c r="X18" s="7">
        <f>IF($AH18="","",W18*V18)</f>
        <v/>
      </c>
      <c r="Y18">
        <f>IF($AH18="","",Settings!$C$6)</f>
        <v/>
      </c>
      <c r="Z18" s="7">
        <f>IF($AH18="","",SUMIFS('Per Line'!$Z$2:$Z$1501,'Per Line'!$E$2:$E$1501,$B18,'Per Line'!$AS$2:$AS$1501,1,'Per Line'!$AT$2:$AT$1501,0))</f>
        <v/>
      </c>
      <c r="AA18" s="7">
        <f>IF($AH18="","",Z18*Y18)</f>
        <v/>
      </c>
      <c r="AB18" s="7">
        <f>IF($AH18="","",AA18+X18+U18)</f>
        <v/>
      </c>
      <c r="AC18" s="7">
        <f>IF($AH18="","",AD18-AB18)</f>
        <v/>
      </c>
      <c r="AD18" s="7">
        <f>IF($AH18="","",W18+Z18+T18)</f>
        <v/>
      </c>
      <c r="AE18" s="7">
        <f>IF($AH18="","",AD18-AB18-P18)</f>
        <v/>
      </c>
      <c r="AF18" s="15" t="n"/>
      <c r="AG18" s="7">
        <f>IF($AH18="","",AE18-N(AF18))</f>
        <v/>
      </c>
      <c r="AH18" s="16">
        <f>IF(ROWS($AH$2:$AH18)&lt;=MAX('Per Line'!$AR$2:$AR$1501),MATCH(ROWS($AH$2:$AH18),'Per Line'!$AR$2:$AR$1501,0),"")</f>
        <v/>
      </c>
      <c r="AI18">
        <f>IF($AH18="","",C18&amp;"|"&amp;COUNTIF($C$2:$C18,C18))</f>
        <v/>
      </c>
    </row>
    <row r="19">
      <c r="A19" s="15" t="n"/>
      <c r="B19">
        <f>IF($AH19="","",INDEX('Per Line'!$E$2:$E$1501,$AH19)&amp;"")</f>
        <v/>
      </c>
      <c r="C19">
        <f>IF($AH19="","",IF(INDEX('Per Line'!$AP$2:$AP$1501,$AH19)="NOT MATCH","NOT MATCH","FULL MATCH"))</f>
        <v/>
      </c>
      <c r="D19">
        <f>IF($AH19="","",INDEX('Per Line'!$A$2:$A$1501,$AH19)&amp;"")</f>
        <v/>
      </c>
      <c r="E19">
        <f>IF($AH19="","",INDEX('Per Line'!$B$2:$B$1501,$AH19))</f>
        <v/>
      </c>
      <c r="F19">
        <f>IF($AH19="","",INDEX('Per Line'!$C$2:$C$1501,$AH19)&amp;"")</f>
        <v/>
      </c>
      <c r="G19">
        <f>IF($AH19="","",INDEX('Per Line'!$D$2:$D$1501,$AH19)&amp;"")</f>
        <v/>
      </c>
      <c r="H19">
        <f>IF($AH19="","",INDEX('Per Line'!$F$2:$F$1501,$AH19)&amp;"")</f>
        <v/>
      </c>
      <c r="I19" s="14">
        <f>IF($AH19="","",INDEX('Per Line'!$G$2:$G$1501,$AH19))</f>
        <v/>
      </c>
      <c r="J19">
        <f>IF($AH19="","",INDEX('Per Line'!$H$2:$H$1501,$AH19)&amp;"")</f>
        <v/>
      </c>
      <c r="K19">
        <f>IF($AH19="","",INDEX('Per Line'!$J$2:$J$1501,$AH19)&amp;"")</f>
        <v/>
      </c>
      <c r="L19">
        <f>IF($AH19="","",INDEX('Per Line'!$K$2:$K$1501,$AH19)&amp;"")</f>
        <v/>
      </c>
      <c r="M19">
        <f>IF($AH19="","",INDEX('Per Line'!$L$2:$L$1501,$AH19)&amp;"")</f>
        <v/>
      </c>
      <c r="N19">
        <f>IF($AH19="","",INDEX('Per Line'!$M$2:$M$1501,$AH19)&amp;"")</f>
        <v/>
      </c>
      <c r="O19">
        <f>IF($AH19="","",INDEX('Per Line'!$P$2:$P$1501,$AH19))</f>
        <v/>
      </c>
      <c r="P19" s="7">
        <f>IF($AH19="","",O19*AD19/100)</f>
        <v/>
      </c>
      <c r="Q19">
        <f>IF($AH19="","",INDEX('Per Line'!$R$2:$R$1501,$AH19)&amp;"")</f>
        <v/>
      </c>
      <c r="R19">
        <f>IF($AH19="","",INDEX('Per Line'!$AB$2:$AB$1501,$AH19)&amp;"")</f>
        <v/>
      </c>
      <c r="S19">
        <f>IF($AH19="","",Settings!$C$8)</f>
        <v/>
      </c>
      <c r="T19" s="7">
        <f>IF($AH19="","",SUMIFS('Per Line'!$Z$2:$Z$1501,'Per Line'!$E$2:$E$1501,$B19,'Per Line'!$AT$2:$AT$1501,1))</f>
        <v/>
      </c>
      <c r="U19" s="7">
        <f>IF($AH19="","",T19*S19)</f>
        <v/>
      </c>
      <c r="V19">
        <f>IF($AH19="","",Settings!$C$7)</f>
        <v/>
      </c>
      <c r="W19" s="7">
        <f>IF($AH19="","",SUMIFS('Per Line'!$Z$2:$Z$1501,'Per Line'!$E$2:$E$1501,$B19,'Per Line'!$AS$2:$AS$1501,0,'Per Line'!$AT$2:$AT$1501,0))</f>
        <v/>
      </c>
      <c r="X19" s="7">
        <f>IF($AH19="","",W19*V19)</f>
        <v/>
      </c>
      <c r="Y19">
        <f>IF($AH19="","",Settings!$C$6)</f>
        <v/>
      </c>
      <c r="Z19" s="7">
        <f>IF($AH19="","",SUMIFS('Per Line'!$Z$2:$Z$1501,'Per Line'!$E$2:$E$1501,$B19,'Per Line'!$AS$2:$AS$1501,1,'Per Line'!$AT$2:$AT$1501,0))</f>
        <v/>
      </c>
      <c r="AA19" s="7">
        <f>IF($AH19="","",Z19*Y19)</f>
        <v/>
      </c>
      <c r="AB19" s="7">
        <f>IF($AH19="","",AA19+X19+U19)</f>
        <v/>
      </c>
      <c r="AC19" s="7">
        <f>IF($AH19="","",AD19-AB19)</f>
        <v/>
      </c>
      <c r="AD19" s="7">
        <f>IF($AH19="","",W19+Z19+T19)</f>
        <v/>
      </c>
      <c r="AE19" s="7">
        <f>IF($AH19="","",AD19-AB19-P19)</f>
        <v/>
      </c>
      <c r="AF19" s="15" t="n"/>
      <c r="AG19" s="7">
        <f>IF($AH19="","",AE19-N(AF19))</f>
        <v/>
      </c>
      <c r="AH19" s="16">
        <f>IF(ROWS($AH$2:$AH19)&lt;=MAX('Per Line'!$AR$2:$AR$1501),MATCH(ROWS($AH$2:$AH19),'Per Line'!$AR$2:$AR$1501,0),"")</f>
        <v/>
      </c>
      <c r="AI19">
        <f>IF($AH19="","",C19&amp;"|"&amp;COUNTIF($C$2:$C19,C19))</f>
        <v/>
      </c>
    </row>
    <row r="20">
      <c r="A20" s="15" t="n"/>
      <c r="B20">
        <f>IF($AH20="","",INDEX('Per Line'!$E$2:$E$1501,$AH20)&amp;"")</f>
        <v/>
      </c>
      <c r="C20">
        <f>IF($AH20="","",IF(INDEX('Per Line'!$AP$2:$AP$1501,$AH20)="NOT MATCH","NOT MATCH","FULL MATCH"))</f>
        <v/>
      </c>
      <c r="D20">
        <f>IF($AH20="","",INDEX('Per Line'!$A$2:$A$1501,$AH20)&amp;"")</f>
        <v/>
      </c>
      <c r="E20">
        <f>IF($AH20="","",INDEX('Per Line'!$B$2:$B$1501,$AH20))</f>
        <v/>
      </c>
      <c r="F20">
        <f>IF($AH20="","",INDEX('Per Line'!$C$2:$C$1501,$AH20)&amp;"")</f>
        <v/>
      </c>
      <c r="G20">
        <f>IF($AH20="","",INDEX('Per Line'!$D$2:$D$1501,$AH20)&amp;"")</f>
        <v/>
      </c>
      <c r="H20">
        <f>IF($AH20="","",INDEX('Per Line'!$F$2:$F$1501,$AH20)&amp;"")</f>
        <v/>
      </c>
      <c r="I20" s="14">
        <f>IF($AH20="","",INDEX('Per Line'!$G$2:$G$1501,$AH20))</f>
        <v/>
      </c>
      <c r="J20">
        <f>IF($AH20="","",INDEX('Per Line'!$H$2:$H$1501,$AH20)&amp;"")</f>
        <v/>
      </c>
      <c r="K20">
        <f>IF($AH20="","",INDEX('Per Line'!$J$2:$J$1501,$AH20)&amp;"")</f>
        <v/>
      </c>
      <c r="L20">
        <f>IF($AH20="","",INDEX('Per Line'!$K$2:$K$1501,$AH20)&amp;"")</f>
        <v/>
      </c>
      <c r="M20">
        <f>IF($AH20="","",INDEX('Per Line'!$L$2:$L$1501,$AH20)&amp;"")</f>
        <v/>
      </c>
      <c r="N20">
        <f>IF($AH20="","",INDEX('Per Line'!$M$2:$M$1501,$AH20)&amp;"")</f>
        <v/>
      </c>
      <c r="O20">
        <f>IF($AH20="","",INDEX('Per Line'!$P$2:$P$1501,$AH20))</f>
        <v/>
      </c>
      <c r="P20" s="7">
        <f>IF($AH20="","",O20*AD20/100)</f>
        <v/>
      </c>
      <c r="Q20">
        <f>IF($AH20="","",INDEX('Per Line'!$R$2:$R$1501,$AH20)&amp;"")</f>
        <v/>
      </c>
      <c r="R20">
        <f>IF($AH20="","",INDEX('Per Line'!$AB$2:$AB$1501,$AH20)&amp;"")</f>
        <v/>
      </c>
      <c r="S20">
        <f>IF($AH20="","",Settings!$C$8)</f>
        <v/>
      </c>
      <c r="T20" s="7">
        <f>IF($AH20="","",SUMIFS('Per Line'!$Z$2:$Z$1501,'Per Line'!$E$2:$E$1501,$B20,'Per Line'!$AT$2:$AT$1501,1))</f>
        <v/>
      </c>
      <c r="U20" s="7">
        <f>IF($AH20="","",T20*S20)</f>
        <v/>
      </c>
      <c r="V20">
        <f>IF($AH20="","",Settings!$C$7)</f>
        <v/>
      </c>
      <c r="W20" s="7">
        <f>IF($AH20="","",SUMIFS('Per Line'!$Z$2:$Z$1501,'Per Line'!$E$2:$E$1501,$B20,'Per Line'!$AS$2:$AS$1501,0,'Per Line'!$AT$2:$AT$1501,0))</f>
        <v/>
      </c>
      <c r="X20" s="7">
        <f>IF($AH20="","",W20*V20)</f>
        <v/>
      </c>
      <c r="Y20">
        <f>IF($AH20="","",Settings!$C$6)</f>
        <v/>
      </c>
      <c r="Z20" s="7">
        <f>IF($AH20="","",SUMIFS('Per Line'!$Z$2:$Z$1501,'Per Line'!$E$2:$E$1501,$B20,'Per Line'!$AS$2:$AS$1501,1,'Per Line'!$AT$2:$AT$1501,0))</f>
        <v/>
      </c>
      <c r="AA20" s="7">
        <f>IF($AH20="","",Z20*Y20)</f>
        <v/>
      </c>
      <c r="AB20" s="7">
        <f>IF($AH20="","",AA20+X20+U20)</f>
        <v/>
      </c>
      <c r="AC20" s="7">
        <f>IF($AH20="","",AD20-AB20)</f>
        <v/>
      </c>
      <c r="AD20" s="7">
        <f>IF($AH20="","",W20+Z20+T20)</f>
        <v/>
      </c>
      <c r="AE20" s="7">
        <f>IF($AH20="","",AD20-AB20-P20)</f>
        <v/>
      </c>
      <c r="AF20" s="15" t="n"/>
      <c r="AG20" s="7">
        <f>IF($AH20="","",AE20-N(AF20))</f>
        <v/>
      </c>
      <c r="AH20" s="16">
        <f>IF(ROWS($AH$2:$AH20)&lt;=MAX('Per Line'!$AR$2:$AR$1501),MATCH(ROWS($AH$2:$AH20),'Per Line'!$AR$2:$AR$1501,0),"")</f>
        <v/>
      </c>
      <c r="AI20">
        <f>IF($AH20="","",C20&amp;"|"&amp;COUNTIF($C$2:$C20,C20))</f>
        <v/>
      </c>
    </row>
    <row r="21">
      <c r="A21" s="15" t="n"/>
      <c r="B21">
        <f>IF($AH21="","",INDEX('Per Line'!$E$2:$E$1501,$AH21)&amp;"")</f>
        <v/>
      </c>
      <c r="C21">
        <f>IF($AH21="","",IF(INDEX('Per Line'!$AP$2:$AP$1501,$AH21)="NOT MATCH","NOT MATCH","FULL MATCH"))</f>
        <v/>
      </c>
      <c r="D21">
        <f>IF($AH21="","",INDEX('Per Line'!$A$2:$A$1501,$AH21)&amp;"")</f>
        <v/>
      </c>
      <c r="E21">
        <f>IF($AH21="","",INDEX('Per Line'!$B$2:$B$1501,$AH21))</f>
        <v/>
      </c>
      <c r="F21">
        <f>IF($AH21="","",INDEX('Per Line'!$C$2:$C$1501,$AH21)&amp;"")</f>
        <v/>
      </c>
      <c r="G21">
        <f>IF($AH21="","",INDEX('Per Line'!$D$2:$D$1501,$AH21)&amp;"")</f>
        <v/>
      </c>
      <c r="H21">
        <f>IF($AH21="","",INDEX('Per Line'!$F$2:$F$1501,$AH21)&amp;"")</f>
        <v/>
      </c>
      <c r="I21" s="14">
        <f>IF($AH21="","",INDEX('Per Line'!$G$2:$G$1501,$AH21))</f>
        <v/>
      </c>
      <c r="J21">
        <f>IF($AH21="","",INDEX('Per Line'!$H$2:$H$1501,$AH21)&amp;"")</f>
        <v/>
      </c>
      <c r="K21">
        <f>IF($AH21="","",INDEX('Per Line'!$J$2:$J$1501,$AH21)&amp;"")</f>
        <v/>
      </c>
      <c r="L21">
        <f>IF($AH21="","",INDEX('Per Line'!$K$2:$K$1501,$AH21)&amp;"")</f>
        <v/>
      </c>
      <c r="M21">
        <f>IF($AH21="","",INDEX('Per Line'!$L$2:$L$1501,$AH21)&amp;"")</f>
        <v/>
      </c>
      <c r="N21">
        <f>IF($AH21="","",INDEX('Per Line'!$M$2:$M$1501,$AH21)&amp;"")</f>
        <v/>
      </c>
      <c r="O21">
        <f>IF($AH21="","",INDEX('Per Line'!$P$2:$P$1501,$AH21))</f>
        <v/>
      </c>
      <c r="P21" s="7">
        <f>IF($AH21="","",O21*AD21/100)</f>
        <v/>
      </c>
      <c r="Q21">
        <f>IF($AH21="","",INDEX('Per Line'!$R$2:$R$1501,$AH21)&amp;"")</f>
        <v/>
      </c>
      <c r="R21">
        <f>IF($AH21="","",INDEX('Per Line'!$AB$2:$AB$1501,$AH21)&amp;"")</f>
        <v/>
      </c>
      <c r="S21">
        <f>IF($AH21="","",Settings!$C$8)</f>
        <v/>
      </c>
      <c r="T21" s="7">
        <f>IF($AH21="","",SUMIFS('Per Line'!$Z$2:$Z$1501,'Per Line'!$E$2:$E$1501,$B21,'Per Line'!$AT$2:$AT$1501,1))</f>
        <v/>
      </c>
      <c r="U21" s="7">
        <f>IF($AH21="","",T21*S21)</f>
        <v/>
      </c>
      <c r="V21">
        <f>IF($AH21="","",Settings!$C$7)</f>
        <v/>
      </c>
      <c r="W21" s="7">
        <f>IF($AH21="","",SUMIFS('Per Line'!$Z$2:$Z$1501,'Per Line'!$E$2:$E$1501,$B21,'Per Line'!$AS$2:$AS$1501,0,'Per Line'!$AT$2:$AT$1501,0))</f>
        <v/>
      </c>
      <c r="X21" s="7">
        <f>IF($AH21="","",W21*V21)</f>
        <v/>
      </c>
      <c r="Y21">
        <f>IF($AH21="","",Settings!$C$6)</f>
        <v/>
      </c>
      <c r="Z21" s="7">
        <f>IF($AH21="","",SUMIFS('Per Line'!$Z$2:$Z$1501,'Per Line'!$E$2:$E$1501,$B21,'Per Line'!$AS$2:$AS$1501,1,'Per Line'!$AT$2:$AT$1501,0))</f>
        <v/>
      </c>
      <c r="AA21" s="7">
        <f>IF($AH21="","",Z21*Y21)</f>
        <v/>
      </c>
      <c r="AB21" s="7">
        <f>IF($AH21="","",AA21+X21+U21)</f>
        <v/>
      </c>
      <c r="AC21" s="7">
        <f>IF($AH21="","",AD21-AB21)</f>
        <v/>
      </c>
      <c r="AD21" s="7">
        <f>IF($AH21="","",W21+Z21+T21)</f>
        <v/>
      </c>
      <c r="AE21" s="7">
        <f>IF($AH21="","",AD21-AB21-P21)</f>
        <v/>
      </c>
      <c r="AF21" s="15" t="n"/>
      <c r="AG21" s="7">
        <f>IF($AH21="","",AE21-N(AF21))</f>
        <v/>
      </c>
      <c r="AH21" s="16">
        <f>IF(ROWS($AH$2:$AH21)&lt;=MAX('Per Line'!$AR$2:$AR$1501),MATCH(ROWS($AH$2:$AH21),'Per Line'!$AR$2:$AR$1501,0),"")</f>
        <v/>
      </c>
      <c r="AI21">
        <f>IF($AH21="","",C21&amp;"|"&amp;COUNTIF($C$2:$C21,C21))</f>
        <v/>
      </c>
    </row>
    <row r="22">
      <c r="A22" s="15" t="n"/>
      <c r="B22">
        <f>IF($AH22="","",INDEX('Per Line'!$E$2:$E$1501,$AH22)&amp;"")</f>
        <v/>
      </c>
      <c r="C22">
        <f>IF($AH22="","",IF(INDEX('Per Line'!$AP$2:$AP$1501,$AH22)="NOT MATCH","NOT MATCH","FULL MATCH"))</f>
        <v/>
      </c>
      <c r="D22">
        <f>IF($AH22="","",INDEX('Per Line'!$A$2:$A$1501,$AH22)&amp;"")</f>
        <v/>
      </c>
      <c r="E22">
        <f>IF($AH22="","",INDEX('Per Line'!$B$2:$B$1501,$AH22))</f>
        <v/>
      </c>
      <c r="F22">
        <f>IF($AH22="","",INDEX('Per Line'!$C$2:$C$1501,$AH22)&amp;"")</f>
        <v/>
      </c>
      <c r="G22">
        <f>IF($AH22="","",INDEX('Per Line'!$D$2:$D$1501,$AH22)&amp;"")</f>
        <v/>
      </c>
      <c r="H22">
        <f>IF($AH22="","",INDEX('Per Line'!$F$2:$F$1501,$AH22)&amp;"")</f>
        <v/>
      </c>
      <c r="I22" s="14">
        <f>IF($AH22="","",INDEX('Per Line'!$G$2:$G$1501,$AH22))</f>
        <v/>
      </c>
      <c r="J22">
        <f>IF($AH22="","",INDEX('Per Line'!$H$2:$H$1501,$AH22)&amp;"")</f>
        <v/>
      </c>
      <c r="K22">
        <f>IF($AH22="","",INDEX('Per Line'!$J$2:$J$1501,$AH22)&amp;"")</f>
        <v/>
      </c>
      <c r="L22">
        <f>IF($AH22="","",INDEX('Per Line'!$K$2:$K$1501,$AH22)&amp;"")</f>
        <v/>
      </c>
      <c r="M22">
        <f>IF($AH22="","",INDEX('Per Line'!$L$2:$L$1501,$AH22)&amp;"")</f>
        <v/>
      </c>
      <c r="N22">
        <f>IF($AH22="","",INDEX('Per Line'!$M$2:$M$1501,$AH22)&amp;"")</f>
        <v/>
      </c>
      <c r="O22">
        <f>IF($AH22="","",INDEX('Per Line'!$P$2:$P$1501,$AH22))</f>
        <v/>
      </c>
      <c r="P22" s="7">
        <f>IF($AH22="","",O22*AD22/100)</f>
        <v/>
      </c>
      <c r="Q22">
        <f>IF($AH22="","",INDEX('Per Line'!$R$2:$R$1501,$AH22)&amp;"")</f>
        <v/>
      </c>
      <c r="R22">
        <f>IF($AH22="","",INDEX('Per Line'!$AB$2:$AB$1501,$AH22)&amp;"")</f>
        <v/>
      </c>
      <c r="S22">
        <f>IF($AH22="","",Settings!$C$8)</f>
        <v/>
      </c>
      <c r="T22" s="7">
        <f>IF($AH22="","",SUMIFS('Per Line'!$Z$2:$Z$1501,'Per Line'!$E$2:$E$1501,$B22,'Per Line'!$AT$2:$AT$1501,1))</f>
        <v/>
      </c>
      <c r="U22" s="7">
        <f>IF($AH22="","",T22*S22)</f>
        <v/>
      </c>
      <c r="V22">
        <f>IF($AH22="","",Settings!$C$7)</f>
        <v/>
      </c>
      <c r="W22" s="7">
        <f>IF($AH22="","",SUMIFS('Per Line'!$Z$2:$Z$1501,'Per Line'!$E$2:$E$1501,$B22,'Per Line'!$AS$2:$AS$1501,0,'Per Line'!$AT$2:$AT$1501,0))</f>
        <v/>
      </c>
      <c r="X22" s="7">
        <f>IF($AH22="","",W22*V22)</f>
        <v/>
      </c>
      <c r="Y22">
        <f>IF($AH22="","",Settings!$C$6)</f>
        <v/>
      </c>
      <c r="Z22" s="7">
        <f>IF($AH22="","",SUMIFS('Per Line'!$Z$2:$Z$1501,'Per Line'!$E$2:$E$1501,$B22,'Per Line'!$AS$2:$AS$1501,1,'Per Line'!$AT$2:$AT$1501,0))</f>
        <v/>
      </c>
      <c r="AA22" s="7">
        <f>IF($AH22="","",Z22*Y22)</f>
        <v/>
      </c>
      <c r="AB22" s="7">
        <f>IF($AH22="","",AA22+X22+U22)</f>
        <v/>
      </c>
      <c r="AC22" s="7">
        <f>IF($AH22="","",AD22-AB22)</f>
        <v/>
      </c>
      <c r="AD22" s="7">
        <f>IF($AH22="","",W22+Z22+T22)</f>
        <v/>
      </c>
      <c r="AE22" s="7">
        <f>IF($AH22="","",AD22-AB22-P22)</f>
        <v/>
      </c>
      <c r="AF22" s="15" t="n"/>
      <c r="AG22" s="7">
        <f>IF($AH22="","",AE22-N(AF22))</f>
        <v/>
      </c>
      <c r="AH22" s="16">
        <f>IF(ROWS($AH$2:$AH22)&lt;=MAX('Per Line'!$AR$2:$AR$1501),MATCH(ROWS($AH$2:$AH22),'Per Line'!$AR$2:$AR$1501,0),"")</f>
        <v/>
      </c>
      <c r="AI22">
        <f>IF($AH22="","",C22&amp;"|"&amp;COUNTIF($C$2:$C22,C22))</f>
        <v/>
      </c>
    </row>
    <row r="23">
      <c r="A23" s="15" t="n"/>
      <c r="B23">
        <f>IF($AH23="","",INDEX('Per Line'!$E$2:$E$1501,$AH23)&amp;"")</f>
        <v/>
      </c>
      <c r="C23">
        <f>IF($AH23="","",IF(INDEX('Per Line'!$AP$2:$AP$1501,$AH23)="NOT MATCH","NOT MATCH","FULL MATCH"))</f>
        <v/>
      </c>
      <c r="D23">
        <f>IF($AH23="","",INDEX('Per Line'!$A$2:$A$1501,$AH23)&amp;"")</f>
        <v/>
      </c>
      <c r="E23">
        <f>IF($AH23="","",INDEX('Per Line'!$B$2:$B$1501,$AH23))</f>
        <v/>
      </c>
      <c r="F23">
        <f>IF($AH23="","",INDEX('Per Line'!$C$2:$C$1501,$AH23)&amp;"")</f>
        <v/>
      </c>
      <c r="G23">
        <f>IF($AH23="","",INDEX('Per Line'!$D$2:$D$1501,$AH23)&amp;"")</f>
        <v/>
      </c>
      <c r="H23">
        <f>IF($AH23="","",INDEX('Per Line'!$F$2:$F$1501,$AH23)&amp;"")</f>
        <v/>
      </c>
      <c r="I23" s="14">
        <f>IF($AH23="","",INDEX('Per Line'!$G$2:$G$1501,$AH23))</f>
        <v/>
      </c>
      <c r="J23">
        <f>IF($AH23="","",INDEX('Per Line'!$H$2:$H$1501,$AH23)&amp;"")</f>
        <v/>
      </c>
      <c r="K23">
        <f>IF($AH23="","",INDEX('Per Line'!$J$2:$J$1501,$AH23)&amp;"")</f>
        <v/>
      </c>
      <c r="L23">
        <f>IF($AH23="","",INDEX('Per Line'!$K$2:$K$1501,$AH23)&amp;"")</f>
        <v/>
      </c>
      <c r="M23">
        <f>IF($AH23="","",INDEX('Per Line'!$L$2:$L$1501,$AH23)&amp;"")</f>
        <v/>
      </c>
      <c r="N23">
        <f>IF($AH23="","",INDEX('Per Line'!$M$2:$M$1501,$AH23)&amp;"")</f>
        <v/>
      </c>
      <c r="O23">
        <f>IF($AH23="","",INDEX('Per Line'!$P$2:$P$1501,$AH23))</f>
        <v/>
      </c>
      <c r="P23" s="7">
        <f>IF($AH23="","",O23*AD23/100)</f>
        <v/>
      </c>
      <c r="Q23">
        <f>IF($AH23="","",INDEX('Per Line'!$R$2:$R$1501,$AH23)&amp;"")</f>
        <v/>
      </c>
      <c r="R23">
        <f>IF($AH23="","",INDEX('Per Line'!$AB$2:$AB$1501,$AH23)&amp;"")</f>
        <v/>
      </c>
      <c r="S23">
        <f>IF($AH23="","",Settings!$C$8)</f>
        <v/>
      </c>
      <c r="T23" s="7">
        <f>IF($AH23="","",SUMIFS('Per Line'!$Z$2:$Z$1501,'Per Line'!$E$2:$E$1501,$B23,'Per Line'!$AT$2:$AT$1501,1))</f>
        <v/>
      </c>
      <c r="U23" s="7">
        <f>IF($AH23="","",T23*S23)</f>
        <v/>
      </c>
      <c r="V23">
        <f>IF($AH23="","",Settings!$C$7)</f>
        <v/>
      </c>
      <c r="W23" s="7">
        <f>IF($AH23="","",SUMIFS('Per Line'!$Z$2:$Z$1501,'Per Line'!$E$2:$E$1501,$B23,'Per Line'!$AS$2:$AS$1501,0,'Per Line'!$AT$2:$AT$1501,0))</f>
        <v/>
      </c>
      <c r="X23" s="7">
        <f>IF($AH23="","",W23*V23)</f>
        <v/>
      </c>
      <c r="Y23">
        <f>IF($AH23="","",Settings!$C$6)</f>
        <v/>
      </c>
      <c r="Z23" s="7">
        <f>IF($AH23="","",SUMIFS('Per Line'!$Z$2:$Z$1501,'Per Line'!$E$2:$E$1501,$B23,'Per Line'!$AS$2:$AS$1501,1,'Per Line'!$AT$2:$AT$1501,0))</f>
        <v/>
      </c>
      <c r="AA23" s="7">
        <f>IF($AH23="","",Z23*Y23)</f>
        <v/>
      </c>
      <c r="AB23" s="7">
        <f>IF($AH23="","",AA23+X23+U23)</f>
        <v/>
      </c>
      <c r="AC23" s="7">
        <f>IF($AH23="","",AD23-AB23)</f>
        <v/>
      </c>
      <c r="AD23" s="7">
        <f>IF($AH23="","",W23+Z23+T23)</f>
        <v/>
      </c>
      <c r="AE23" s="7">
        <f>IF($AH23="","",AD23-AB23-P23)</f>
        <v/>
      </c>
      <c r="AF23" s="15" t="n"/>
      <c r="AG23" s="7">
        <f>IF($AH23="","",AE23-N(AF23))</f>
        <v/>
      </c>
      <c r="AH23" s="16">
        <f>IF(ROWS($AH$2:$AH23)&lt;=MAX('Per Line'!$AR$2:$AR$1501),MATCH(ROWS($AH$2:$AH23),'Per Line'!$AR$2:$AR$1501,0),"")</f>
        <v/>
      </c>
      <c r="AI23">
        <f>IF($AH23="","",C23&amp;"|"&amp;COUNTIF($C$2:$C23,C23))</f>
        <v/>
      </c>
    </row>
    <row r="24">
      <c r="A24" s="15" t="n"/>
      <c r="B24">
        <f>IF($AH24="","",INDEX('Per Line'!$E$2:$E$1501,$AH24)&amp;"")</f>
        <v/>
      </c>
      <c r="C24">
        <f>IF($AH24="","",IF(INDEX('Per Line'!$AP$2:$AP$1501,$AH24)="NOT MATCH","NOT MATCH","FULL MATCH"))</f>
        <v/>
      </c>
      <c r="D24">
        <f>IF($AH24="","",INDEX('Per Line'!$A$2:$A$1501,$AH24)&amp;"")</f>
        <v/>
      </c>
      <c r="E24">
        <f>IF($AH24="","",INDEX('Per Line'!$B$2:$B$1501,$AH24))</f>
        <v/>
      </c>
      <c r="F24">
        <f>IF($AH24="","",INDEX('Per Line'!$C$2:$C$1501,$AH24)&amp;"")</f>
        <v/>
      </c>
      <c r="G24">
        <f>IF($AH24="","",INDEX('Per Line'!$D$2:$D$1501,$AH24)&amp;"")</f>
        <v/>
      </c>
      <c r="H24">
        <f>IF($AH24="","",INDEX('Per Line'!$F$2:$F$1501,$AH24)&amp;"")</f>
        <v/>
      </c>
      <c r="I24" s="14">
        <f>IF($AH24="","",INDEX('Per Line'!$G$2:$G$1501,$AH24))</f>
        <v/>
      </c>
      <c r="J24">
        <f>IF($AH24="","",INDEX('Per Line'!$H$2:$H$1501,$AH24)&amp;"")</f>
        <v/>
      </c>
      <c r="K24">
        <f>IF($AH24="","",INDEX('Per Line'!$J$2:$J$1501,$AH24)&amp;"")</f>
        <v/>
      </c>
      <c r="L24">
        <f>IF($AH24="","",INDEX('Per Line'!$K$2:$K$1501,$AH24)&amp;"")</f>
        <v/>
      </c>
      <c r="M24">
        <f>IF($AH24="","",INDEX('Per Line'!$L$2:$L$1501,$AH24)&amp;"")</f>
        <v/>
      </c>
      <c r="N24">
        <f>IF($AH24="","",INDEX('Per Line'!$M$2:$M$1501,$AH24)&amp;"")</f>
        <v/>
      </c>
      <c r="O24">
        <f>IF($AH24="","",INDEX('Per Line'!$P$2:$P$1501,$AH24))</f>
        <v/>
      </c>
      <c r="P24" s="7">
        <f>IF($AH24="","",O24*AD24/100)</f>
        <v/>
      </c>
      <c r="Q24">
        <f>IF($AH24="","",INDEX('Per Line'!$R$2:$R$1501,$AH24)&amp;"")</f>
        <v/>
      </c>
      <c r="R24">
        <f>IF($AH24="","",INDEX('Per Line'!$AB$2:$AB$1501,$AH24)&amp;"")</f>
        <v/>
      </c>
      <c r="S24">
        <f>IF($AH24="","",Settings!$C$8)</f>
        <v/>
      </c>
      <c r="T24" s="7">
        <f>IF($AH24="","",SUMIFS('Per Line'!$Z$2:$Z$1501,'Per Line'!$E$2:$E$1501,$B24,'Per Line'!$AT$2:$AT$1501,1))</f>
        <v/>
      </c>
      <c r="U24" s="7">
        <f>IF($AH24="","",T24*S24)</f>
        <v/>
      </c>
      <c r="V24">
        <f>IF($AH24="","",Settings!$C$7)</f>
        <v/>
      </c>
      <c r="W24" s="7">
        <f>IF($AH24="","",SUMIFS('Per Line'!$Z$2:$Z$1501,'Per Line'!$E$2:$E$1501,$B24,'Per Line'!$AS$2:$AS$1501,0,'Per Line'!$AT$2:$AT$1501,0))</f>
        <v/>
      </c>
      <c r="X24" s="7">
        <f>IF($AH24="","",W24*V24)</f>
        <v/>
      </c>
      <c r="Y24">
        <f>IF($AH24="","",Settings!$C$6)</f>
        <v/>
      </c>
      <c r="Z24" s="7">
        <f>IF($AH24="","",SUMIFS('Per Line'!$Z$2:$Z$1501,'Per Line'!$E$2:$E$1501,$B24,'Per Line'!$AS$2:$AS$1501,1,'Per Line'!$AT$2:$AT$1501,0))</f>
        <v/>
      </c>
      <c r="AA24" s="7">
        <f>IF($AH24="","",Z24*Y24)</f>
        <v/>
      </c>
      <c r="AB24" s="7">
        <f>IF($AH24="","",AA24+X24+U24)</f>
        <v/>
      </c>
      <c r="AC24" s="7">
        <f>IF($AH24="","",AD24-AB24)</f>
        <v/>
      </c>
      <c r="AD24" s="7">
        <f>IF($AH24="","",W24+Z24+T24)</f>
        <v/>
      </c>
      <c r="AE24" s="7">
        <f>IF($AH24="","",AD24-AB24-P24)</f>
        <v/>
      </c>
      <c r="AF24" s="15" t="n"/>
      <c r="AG24" s="7">
        <f>IF($AH24="","",AE24-N(AF24))</f>
        <v/>
      </c>
      <c r="AH24" s="16">
        <f>IF(ROWS($AH$2:$AH24)&lt;=MAX('Per Line'!$AR$2:$AR$1501),MATCH(ROWS($AH$2:$AH24),'Per Line'!$AR$2:$AR$1501,0),"")</f>
        <v/>
      </c>
      <c r="AI24">
        <f>IF($AH24="","",C24&amp;"|"&amp;COUNTIF($C$2:$C24,C24))</f>
        <v/>
      </c>
    </row>
    <row r="25">
      <c r="A25" s="15" t="n"/>
      <c r="B25">
        <f>IF($AH25="","",INDEX('Per Line'!$E$2:$E$1501,$AH25)&amp;"")</f>
        <v/>
      </c>
      <c r="C25">
        <f>IF($AH25="","",IF(INDEX('Per Line'!$AP$2:$AP$1501,$AH25)="NOT MATCH","NOT MATCH","FULL MATCH"))</f>
        <v/>
      </c>
      <c r="D25">
        <f>IF($AH25="","",INDEX('Per Line'!$A$2:$A$1501,$AH25)&amp;"")</f>
        <v/>
      </c>
      <c r="E25">
        <f>IF($AH25="","",INDEX('Per Line'!$B$2:$B$1501,$AH25))</f>
        <v/>
      </c>
      <c r="F25">
        <f>IF($AH25="","",INDEX('Per Line'!$C$2:$C$1501,$AH25)&amp;"")</f>
        <v/>
      </c>
      <c r="G25">
        <f>IF($AH25="","",INDEX('Per Line'!$D$2:$D$1501,$AH25)&amp;"")</f>
        <v/>
      </c>
      <c r="H25">
        <f>IF($AH25="","",INDEX('Per Line'!$F$2:$F$1501,$AH25)&amp;"")</f>
        <v/>
      </c>
      <c r="I25" s="14">
        <f>IF($AH25="","",INDEX('Per Line'!$G$2:$G$1501,$AH25))</f>
        <v/>
      </c>
      <c r="J25">
        <f>IF($AH25="","",INDEX('Per Line'!$H$2:$H$1501,$AH25)&amp;"")</f>
        <v/>
      </c>
      <c r="K25">
        <f>IF($AH25="","",INDEX('Per Line'!$J$2:$J$1501,$AH25)&amp;"")</f>
        <v/>
      </c>
      <c r="L25">
        <f>IF($AH25="","",INDEX('Per Line'!$K$2:$K$1501,$AH25)&amp;"")</f>
        <v/>
      </c>
      <c r="M25">
        <f>IF($AH25="","",INDEX('Per Line'!$L$2:$L$1501,$AH25)&amp;"")</f>
        <v/>
      </c>
      <c r="N25">
        <f>IF($AH25="","",INDEX('Per Line'!$M$2:$M$1501,$AH25)&amp;"")</f>
        <v/>
      </c>
      <c r="O25">
        <f>IF($AH25="","",INDEX('Per Line'!$P$2:$P$1501,$AH25))</f>
        <v/>
      </c>
      <c r="P25" s="7">
        <f>IF($AH25="","",O25*AD25/100)</f>
        <v/>
      </c>
      <c r="Q25">
        <f>IF($AH25="","",INDEX('Per Line'!$R$2:$R$1501,$AH25)&amp;"")</f>
        <v/>
      </c>
      <c r="R25">
        <f>IF($AH25="","",INDEX('Per Line'!$AB$2:$AB$1501,$AH25)&amp;"")</f>
        <v/>
      </c>
      <c r="S25">
        <f>IF($AH25="","",Settings!$C$8)</f>
        <v/>
      </c>
      <c r="T25" s="7">
        <f>IF($AH25="","",SUMIFS('Per Line'!$Z$2:$Z$1501,'Per Line'!$E$2:$E$1501,$B25,'Per Line'!$AT$2:$AT$1501,1))</f>
        <v/>
      </c>
      <c r="U25" s="7">
        <f>IF($AH25="","",T25*S25)</f>
        <v/>
      </c>
      <c r="V25">
        <f>IF($AH25="","",Settings!$C$7)</f>
        <v/>
      </c>
      <c r="W25" s="7">
        <f>IF($AH25="","",SUMIFS('Per Line'!$Z$2:$Z$1501,'Per Line'!$E$2:$E$1501,$B25,'Per Line'!$AS$2:$AS$1501,0,'Per Line'!$AT$2:$AT$1501,0))</f>
        <v/>
      </c>
      <c r="X25" s="7">
        <f>IF($AH25="","",W25*V25)</f>
        <v/>
      </c>
      <c r="Y25">
        <f>IF($AH25="","",Settings!$C$6)</f>
        <v/>
      </c>
      <c r="Z25" s="7">
        <f>IF($AH25="","",SUMIFS('Per Line'!$Z$2:$Z$1501,'Per Line'!$E$2:$E$1501,$B25,'Per Line'!$AS$2:$AS$1501,1,'Per Line'!$AT$2:$AT$1501,0))</f>
        <v/>
      </c>
      <c r="AA25" s="7">
        <f>IF($AH25="","",Z25*Y25)</f>
        <v/>
      </c>
      <c r="AB25" s="7">
        <f>IF($AH25="","",AA25+X25+U25)</f>
        <v/>
      </c>
      <c r="AC25" s="7">
        <f>IF($AH25="","",AD25-AB25)</f>
        <v/>
      </c>
      <c r="AD25" s="7">
        <f>IF($AH25="","",W25+Z25+T25)</f>
        <v/>
      </c>
      <c r="AE25" s="7">
        <f>IF($AH25="","",AD25-AB25-P25)</f>
        <v/>
      </c>
      <c r="AF25" s="15" t="n"/>
      <c r="AG25" s="7">
        <f>IF($AH25="","",AE25-N(AF25))</f>
        <v/>
      </c>
      <c r="AH25" s="16">
        <f>IF(ROWS($AH$2:$AH25)&lt;=MAX('Per Line'!$AR$2:$AR$1501),MATCH(ROWS($AH$2:$AH25),'Per Line'!$AR$2:$AR$1501,0),"")</f>
        <v/>
      </c>
      <c r="AI25">
        <f>IF($AH25="","",C25&amp;"|"&amp;COUNTIF($C$2:$C25,C25))</f>
        <v/>
      </c>
    </row>
    <row r="26">
      <c r="A26" s="15" t="n"/>
      <c r="B26">
        <f>IF($AH26="","",INDEX('Per Line'!$E$2:$E$1501,$AH26)&amp;"")</f>
        <v/>
      </c>
      <c r="C26">
        <f>IF($AH26="","",IF(INDEX('Per Line'!$AP$2:$AP$1501,$AH26)="NOT MATCH","NOT MATCH","FULL MATCH"))</f>
        <v/>
      </c>
      <c r="D26">
        <f>IF($AH26="","",INDEX('Per Line'!$A$2:$A$1501,$AH26)&amp;"")</f>
        <v/>
      </c>
      <c r="E26">
        <f>IF($AH26="","",INDEX('Per Line'!$B$2:$B$1501,$AH26))</f>
        <v/>
      </c>
      <c r="F26">
        <f>IF($AH26="","",INDEX('Per Line'!$C$2:$C$1501,$AH26)&amp;"")</f>
        <v/>
      </c>
      <c r="G26">
        <f>IF($AH26="","",INDEX('Per Line'!$D$2:$D$1501,$AH26)&amp;"")</f>
        <v/>
      </c>
      <c r="H26">
        <f>IF($AH26="","",INDEX('Per Line'!$F$2:$F$1501,$AH26)&amp;"")</f>
        <v/>
      </c>
      <c r="I26" s="14">
        <f>IF($AH26="","",INDEX('Per Line'!$G$2:$G$1501,$AH26))</f>
        <v/>
      </c>
      <c r="J26">
        <f>IF($AH26="","",INDEX('Per Line'!$H$2:$H$1501,$AH26)&amp;"")</f>
        <v/>
      </c>
      <c r="K26">
        <f>IF($AH26="","",INDEX('Per Line'!$J$2:$J$1501,$AH26)&amp;"")</f>
        <v/>
      </c>
      <c r="L26">
        <f>IF($AH26="","",INDEX('Per Line'!$K$2:$K$1501,$AH26)&amp;"")</f>
        <v/>
      </c>
      <c r="M26">
        <f>IF($AH26="","",INDEX('Per Line'!$L$2:$L$1501,$AH26)&amp;"")</f>
        <v/>
      </c>
      <c r="N26">
        <f>IF($AH26="","",INDEX('Per Line'!$M$2:$M$1501,$AH26)&amp;"")</f>
        <v/>
      </c>
      <c r="O26">
        <f>IF($AH26="","",INDEX('Per Line'!$P$2:$P$1501,$AH26))</f>
        <v/>
      </c>
      <c r="P26" s="7">
        <f>IF($AH26="","",O26*AD26/100)</f>
        <v/>
      </c>
      <c r="Q26">
        <f>IF($AH26="","",INDEX('Per Line'!$R$2:$R$1501,$AH26)&amp;"")</f>
        <v/>
      </c>
      <c r="R26">
        <f>IF($AH26="","",INDEX('Per Line'!$AB$2:$AB$1501,$AH26)&amp;"")</f>
        <v/>
      </c>
      <c r="S26">
        <f>IF($AH26="","",Settings!$C$8)</f>
        <v/>
      </c>
      <c r="T26" s="7">
        <f>IF($AH26="","",SUMIFS('Per Line'!$Z$2:$Z$1501,'Per Line'!$E$2:$E$1501,$B26,'Per Line'!$AT$2:$AT$1501,1))</f>
        <v/>
      </c>
      <c r="U26" s="7">
        <f>IF($AH26="","",T26*S26)</f>
        <v/>
      </c>
      <c r="V26">
        <f>IF($AH26="","",Settings!$C$7)</f>
        <v/>
      </c>
      <c r="W26" s="7">
        <f>IF($AH26="","",SUMIFS('Per Line'!$Z$2:$Z$1501,'Per Line'!$E$2:$E$1501,$B26,'Per Line'!$AS$2:$AS$1501,0,'Per Line'!$AT$2:$AT$1501,0))</f>
        <v/>
      </c>
      <c r="X26" s="7">
        <f>IF($AH26="","",W26*V26)</f>
        <v/>
      </c>
      <c r="Y26">
        <f>IF($AH26="","",Settings!$C$6)</f>
        <v/>
      </c>
      <c r="Z26" s="7">
        <f>IF($AH26="","",SUMIFS('Per Line'!$Z$2:$Z$1501,'Per Line'!$E$2:$E$1501,$B26,'Per Line'!$AS$2:$AS$1501,1,'Per Line'!$AT$2:$AT$1501,0))</f>
        <v/>
      </c>
      <c r="AA26" s="7">
        <f>IF($AH26="","",Z26*Y26)</f>
        <v/>
      </c>
      <c r="AB26" s="7">
        <f>IF($AH26="","",AA26+X26+U26)</f>
        <v/>
      </c>
      <c r="AC26" s="7">
        <f>IF($AH26="","",AD26-AB26)</f>
        <v/>
      </c>
      <c r="AD26" s="7">
        <f>IF($AH26="","",W26+Z26+T26)</f>
        <v/>
      </c>
      <c r="AE26" s="7">
        <f>IF($AH26="","",AD26-AB26-P26)</f>
        <v/>
      </c>
      <c r="AF26" s="15" t="n"/>
      <c r="AG26" s="7">
        <f>IF($AH26="","",AE26-N(AF26))</f>
        <v/>
      </c>
      <c r="AH26" s="16">
        <f>IF(ROWS($AH$2:$AH26)&lt;=MAX('Per Line'!$AR$2:$AR$1501),MATCH(ROWS($AH$2:$AH26),'Per Line'!$AR$2:$AR$1501,0),"")</f>
        <v/>
      </c>
      <c r="AI26">
        <f>IF($AH26="","",C26&amp;"|"&amp;COUNTIF($C$2:$C26,C26))</f>
        <v/>
      </c>
    </row>
    <row r="27">
      <c r="A27" s="15" t="n"/>
      <c r="B27">
        <f>IF($AH27="","",INDEX('Per Line'!$E$2:$E$1501,$AH27)&amp;"")</f>
        <v/>
      </c>
      <c r="C27">
        <f>IF($AH27="","",IF(INDEX('Per Line'!$AP$2:$AP$1501,$AH27)="NOT MATCH","NOT MATCH","FULL MATCH"))</f>
        <v/>
      </c>
      <c r="D27">
        <f>IF($AH27="","",INDEX('Per Line'!$A$2:$A$1501,$AH27)&amp;"")</f>
        <v/>
      </c>
      <c r="E27">
        <f>IF($AH27="","",INDEX('Per Line'!$B$2:$B$1501,$AH27))</f>
        <v/>
      </c>
      <c r="F27">
        <f>IF($AH27="","",INDEX('Per Line'!$C$2:$C$1501,$AH27)&amp;"")</f>
        <v/>
      </c>
      <c r="G27">
        <f>IF($AH27="","",INDEX('Per Line'!$D$2:$D$1501,$AH27)&amp;"")</f>
        <v/>
      </c>
      <c r="H27">
        <f>IF($AH27="","",INDEX('Per Line'!$F$2:$F$1501,$AH27)&amp;"")</f>
        <v/>
      </c>
      <c r="I27" s="14">
        <f>IF($AH27="","",INDEX('Per Line'!$G$2:$G$1501,$AH27))</f>
        <v/>
      </c>
      <c r="J27">
        <f>IF($AH27="","",INDEX('Per Line'!$H$2:$H$1501,$AH27)&amp;"")</f>
        <v/>
      </c>
      <c r="K27">
        <f>IF($AH27="","",INDEX('Per Line'!$J$2:$J$1501,$AH27)&amp;"")</f>
        <v/>
      </c>
      <c r="L27">
        <f>IF($AH27="","",INDEX('Per Line'!$K$2:$K$1501,$AH27)&amp;"")</f>
        <v/>
      </c>
      <c r="M27">
        <f>IF($AH27="","",INDEX('Per Line'!$L$2:$L$1501,$AH27)&amp;"")</f>
        <v/>
      </c>
      <c r="N27">
        <f>IF($AH27="","",INDEX('Per Line'!$M$2:$M$1501,$AH27)&amp;"")</f>
        <v/>
      </c>
      <c r="O27">
        <f>IF($AH27="","",INDEX('Per Line'!$P$2:$P$1501,$AH27))</f>
        <v/>
      </c>
      <c r="P27" s="7">
        <f>IF($AH27="","",O27*AD27/100)</f>
        <v/>
      </c>
      <c r="Q27">
        <f>IF($AH27="","",INDEX('Per Line'!$R$2:$R$1501,$AH27)&amp;"")</f>
        <v/>
      </c>
      <c r="R27">
        <f>IF($AH27="","",INDEX('Per Line'!$AB$2:$AB$1501,$AH27)&amp;"")</f>
        <v/>
      </c>
      <c r="S27">
        <f>IF($AH27="","",Settings!$C$8)</f>
        <v/>
      </c>
      <c r="T27" s="7">
        <f>IF($AH27="","",SUMIFS('Per Line'!$Z$2:$Z$1501,'Per Line'!$E$2:$E$1501,$B27,'Per Line'!$AT$2:$AT$1501,1))</f>
        <v/>
      </c>
      <c r="U27" s="7">
        <f>IF($AH27="","",T27*S27)</f>
        <v/>
      </c>
      <c r="V27">
        <f>IF($AH27="","",Settings!$C$7)</f>
        <v/>
      </c>
      <c r="W27" s="7">
        <f>IF($AH27="","",SUMIFS('Per Line'!$Z$2:$Z$1501,'Per Line'!$E$2:$E$1501,$B27,'Per Line'!$AS$2:$AS$1501,0,'Per Line'!$AT$2:$AT$1501,0))</f>
        <v/>
      </c>
      <c r="X27" s="7">
        <f>IF($AH27="","",W27*V27)</f>
        <v/>
      </c>
      <c r="Y27">
        <f>IF($AH27="","",Settings!$C$6)</f>
        <v/>
      </c>
      <c r="Z27" s="7">
        <f>IF($AH27="","",SUMIFS('Per Line'!$Z$2:$Z$1501,'Per Line'!$E$2:$E$1501,$B27,'Per Line'!$AS$2:$AS$1501,1,'Per Line'!$AT$2:$AT$1501,0))</f>
        <v/>
      </c>
      <c r="AA27" s="7">
        <f>IF($AH27="","",Z27*Y27)</f>
        <v/>
      </c>
      <c r="AB27" s="7">
        <f>IF($AH27="","",AA27+X27+U27)</f>
        <v/>
      </c>
      <c r="AC27" s="7">
        <f>IF($AH27="","",AD27-AB27)</f>
        <v/>
      </c>
      <c r="AD27" s="7">
        <f>IF($AH27="","",W27+Z27+T27)</f>
        <v/>
      </c>
      <c r="AE27" s="7">
        <f>IF($AH27="","",AD27-AB27-P27)</f>
        <v/>
      </c>
      <c r="AF27" s="15" t="n"/>
      <c r="AG27" s="7">
        <f>IF($AH27="","",AE27-N(AF27))</f>
        <v/>
      </c>
      <c r="AH27" s="16">
        <f>IF(ROWS($AH$2:$AH27)&lt;=MAX('Per Line'!$AR$2:$AR$1501),MATCH(ROWS($AH$2:$AH27),'Per Line'!$AR$2:$AR$1501,0),"")</f>
        <v/>
      </c>
      <c r="AI27">
        <f>IF($AH27="","",C27&amp;"|"&amp;COUNTIF($C$2:$C27,C27))</f>
        <v/>
      </c>
    </row>
    <row r="28">
      <c r="A28" s="15" t="n"/>
      <c r="B28">
        <f>IF($AH28="","",INDEX('Per Line'!$E$2:$E$1501,$AH28)&amp;"")</f>
        <v/>
      </c>
      <c r="C28">
        <f>IF($AH28="","",IF(INDEX('Per Line'!$AP$2:$AP$1501,$AH28)="NOT MATCH","NOT MATCH","FULL MATCH"))</f>
        <v/>
      </c>
      <c r="D28">
        <f>IF($AH28="","",INDEX('Per Line'!$A$2:$A$1501,$AH28)&amp;"")</f>
        <v/>
      </c>
      <c r="E28">
        <f>IF($AH28="","",INDEX('Per Line'!$B$2:$B$1501,$AH28))</f>
        <v/>
      </c>
      <c r="F28">
        <f>IF($AH28="","",INDEX('Per Line'!$C$2:$C$1501,$AH28)&amp;"")</f>
        <v/>
      </c>
      <c r="G28">
        <f>IF($AH28="","",INDEX('Per Line'!$D$2:$D$1501,$AH28)&amp;"")</f>
        <v/>
      </c>
      <c r="H28">
        <f>IF($AH28="","",INDEX('Per Line'!$F$2:$F$1501,$AH28)&amp;"")</f>
        <v/>
      </c>
      <c r="I28" s="14">
        <f>IF($AH28="","",INDEX('Per Line'!$G$2:$G$1501,$AH28))</f>
        <v/>
      </c>
      <c r="J28">
        <f>IF($AH28="","",INDEX('Per Line'!$H$2:$H$1501,$AH28)&amp;"")</f>
        <v/>
      </c>
      <c r="K28">
        <f>IF($AH28="","",INDEX('Per Line'!$J$2:$J$1501,$AH28)&amp;"")</f>
        <v/>
      </c>
      <c r="L28">
        <f>IF($AH28="","",INDEX('Per Line'!$K$2:$K$1501,$AH28)&amp;"")</f>
        <v/>
      </c>
      <c r="M28">
        <f>IF($AH28="","",INDEX('Per Line'!$L$2:$L$1501,$AH28)&amp;"")</f>
        <v/>
      </c>
      <c r="N28">
        <f>IF($AH28="","",INDEX('Per Line'!$M$2:$M$1501,$AH28)&amp;"")</f>
        <v/>
      </c>
      <c r="O28">
        <f>IF($AH28="","",INDEX('Per Line'!$P$2:$P$1501,$AH28))</f>
        <v/>
      </c>
      <c r="P28" s="7">
        <f>IF($AH28="","",O28*AD28/100)</f>
        <v/>
      </c>
      <c r="Q28">
        <f>IF($AH28="","",INDEX('Per Line'!$R$2:$R$1501,$AH28)&amp;"")</f>
        <v/>
      </c>
      <c r="R28">
        <f>IF($AH28="","",INDEX('Per Line'!$AB$2:$AB$1501,$AH28)&amp;"")</f>
        <v/>
      </c>
      <c r="S28">
        <f>IF($AH28="","",Settings!$C$8)</f>
        <v/>
      </c>
      <c r="T28" s="7">
        <f>IF($AH28="","",SUMIFS('Per Line'!$Z$2:$Z$1501,'Per Line'!$E$2:$E$1501,$B28,'Per Line'!$AT$2:$AT$1501,1))</f>
        <v/>
      </c>
      <c r="U28" s="7">
        <f>IF($AH28="","",T28*S28)</f>
        <v/>
      </c>
      <c r="V28">
        <f>IF($AH28="","",Settings!$C$7)</f>
        <v/>
      </c>
      <c r="W28" s="7">
        <f>IF($AH28="","",SUMIFS('Per Line'!$Z$2:$Z$1501,'Per Line'!$E$2:$E$1501,$B28,'Per Line'!$AS$2:$AS$1501,0,'Per Line'!$AT$2:$AT$1501,0))</f>
        <v/>
      </c>
      <c r="X28" s="7">
        <f>IF($AH28="","",W28*V28)</f>
        <v/>
      </c>
      <c r="Y28">
        <f>IF($AH28="","",Settings!$C$6)</f>
        <v/>
      </c>
      <c r="Z28" s="7">
        <f>IF($AH28="","",SUMIFS('Per Line'!$Z$2:$Z$1501,'Per Line'!$E$2:$E$1501,$B28,'Per Line'!$AS$2:$AS$1501,1,'Per Line'!$AT$2:$AT$1501,0))</f>
        <v/>
      </c>
      <c r="AA28" s="7">
        <f>IF($AH28="","",Z28*Y28)</f>
        <v/>
      </c>
      <c r="AB28" s="7">
        <f>IF($AH28="","",AA28+X28+U28)</f>
        <v/>
      </c>
      <c r="AC28" s="7">
        <f>IF($AH28="","",AD28-AB28)</f>
        <v/>
      </c>
      <c r="AD28" s="7">
        <f>IF($AH28="","",W28+Z28+T28)</f>
        <v/>
      </c>
      <c r="AE28" s="7">
        <f>IF($AH28="","",AD28-AB28-P28)</f>
        <v/>
      </c>
      <c r="AF28" s="15" t="n"/>
      <c r="AG28" s="7">
        <f>IF($AH28="","",AE28-N(AF28))</f>
        <v/>
      </c>
      <c r="AH28" s="16">
        <f>IF(ROWS($AH$2:$AH28)&lt;=MAX('Per Line'!$AR$2:$AR$1501),MATCH(ROWS($AH$2:$AH28),'Per Line'!$AR$2:$AR$1501,0),"")</f>
        <v/>
      </c>
      <c r="AI28">
        <f>IF($AH28="","",C28&amp;"|"&amp;COUNTIF($C$2:$C28,C28))</f>
        <v/>
      </c>
    </row>
    <row r="29">
      <c r="A29" s="15" t="n"/>
      <c r="B29">
        <f>IF($AH29="","",INDEX('Per Line'!$E$2:$E$1501,$AH29)&amp;"")</f>
        <v/>
      </c>
      <c r="C29">
        <f>IF($AH29="","",IF(INDEX('Per Line'!$AP$2:$AP$1501,$AH29)="NOT MATCH","NOT MATCH","FULL MATCH"))</f>
        <v/>
      </c>
      <c r="D29">
        <f>IF($AH29="","",INDEX('Per Line'!$A$2:$A$1501,$AH29)&amp;"")</f>
        <v/>
      </c>
      <c r="E29">
        <f>IF($AH29="","",INDEX('Per Line'!$B$2:$B$1501,$AH29))</f>
        <v/>
      </c>
      <c r="F29">
        <f>IF($AH29="","",INDEX('Per Line'!$C$2:$C$1501,$AH29)&amp;"")</f>
        <v/>
      </c>
      <c r="G29">
        <f>IF($AH29="","",INDEX('Per Line'!$D$2:$D$1501,$AH29)&amp;"")</f>
        <v/>
      </c>
      <c r="H29">
        <f>IF($AH29="","",INDEX('Per Line'!$F$2:$F$1501,$AH29)&amp;"")</f>
        <v/>
      </c>
      <c r="I29" s="14">
        <f>IF($AH29="","",INDEX('Per Line'!$G$2:$G$1501,$AH29))</f>
        <v/>
      </c>
      <c r="J29">
        <f>IF($AH29="","",INDEX('Per Line'!$H$2:$H$1501,$AH29)&amp;"")</f>
        <v/>
      </c>
      <c r="K29">
        <f>IF($AH29="","",INDEX('Per Line'!$J$2:$J$1501,$AH29)&amp;"")</f>
        <v/>
      </c>
      <c r="L29">
        <f>IF($AH29="","",INDEX('Per Line'!$K$2:$K$1501,$AH29)&amp;"")</f>
        <v/>
      </c>
      <c r="M29">
        <f>IF($AH29="","",INDEX('Per Line'!$L$2:$L$1501,$AH29)&amp;"")</f>
        <v/>
      </c>
      <c r="N29">
        <f>IF($AH29="","",INDEX('Per Line'!$M$2:$M$1501,$AH29)&amp;"")</f>
        <v/>
      </c>
      <c r="O29">
        <f>IF($AH29="","",INDEX('Per Line'!$P$2:$P$1501,$AH29))</f>
        <v/>
      </c>
      <c r="P29" s="7">
        <f>IF($AH29="","",O29*AD29/100)</f>
        <v/>
      </c>
      <c r="Q29">
        <f>IF($AH29="","",INDEX('Per Line'!$R$2:$R$1501,$AH29)&amp;"")</f>
        <v/>
      </c>
      <c r="R29">
        <f>IF($AH29="","",INDEX('Per Line'!$AB$2:$AB$1501,$AH29)&amp;"")</f>
        <v/>
      </c>
      <c r="S29">
        <f>IF($AH29="","",Settings!$C$8)</f>
        <v/>
      </c>
      <c r="T29" s="7">
        <f>IF($AH29="","",SUMIFS('Per Line'!$Z$2:$Z$1501,'Per Line'!$E$2:$E$1501,$B29,'Per Line'!$AT$2:$AT$1501,1))</f>
        <v/>
      </c>
      <c r="U29" s="7">
        <f>IF($AH29="","",T29*S29)</f>
        <v/>
      </c>
      <c r="V29">
        <f>IF($AH29="","",Settings!$C$7)</f>
        <v/>
      </c>
      <c r="W29" s="7">
        <f>IF($AH29="","",SUMIFS('Per Line'!$Z$2:$Z$1501,'Per Line'!$E$2:$E$1501,$B29,'Per Line'!$AS$2:$AS$1501,0,'Per Line'!$AT$2:$AT$1501,0))</f>
        <v/>
      </c>
      <c r="X29" s="7">
        <f>IF($AH29="","",W29*V29)</f>
        <v/>
      </c>
      <c r="Y29">
        <f>IF($AH29="","",Settings!$C$6)</f>
        <v/>
      </c>
      <c r="Z29" s="7">
        <f>IF($AH29="","",SUMIFS('Per Line'!$Z$2:$Z$1501,'Per Line'!$E$2:$E$1501,$B29,'Per Line'!$AS$2:$AS$1501,1,'Per Line'!$AT$2:$AT$1501,0))</f>
        <v/>
      </c>
      <c r="AA29" s="7">
        <f>IF($AH29="","",Z29*Y29)</f>
        <v/>
      </c>
      <c r="AB29" s="7">
        <f>IF($AH29="","",AA29+X29+U29)</f>
        <v/>
      </c>
      <c r="AC29" s="7">
        <f>IF($AH29="","",AD29-AB29)</f>
        <v/>
      </c>
      <c r="AD29" s="7">
        <f>IF($AH29="","",W29+Z29+T29)</f>
        <v/>
      </c>
      <c r="AE29" s="7">
        <f>IF($AH29="","",AD29-AB29-P29)</f>
        <v/>
      </c>
      <c r="AF29" s="15" t="n"/>
      <c r="AG29" s="7">
        <f>IF($AH29="","",AE29-N(AF29))</f>
        <v/>
      </c>
      <c r="AH29" s="16">
        <f>IF(ROWS($AH$2:$AH29)&lt;=MAX('Per Line'!$AR$2:$AR$1501),MATCH(ROWS($AH$2:$AH29),'Per Line'!$AR$2:$AR$1501,0),"")</f>
        <v/>
      </c>
      <c r="AI29">
        <f>IF($AH29="","",C29&amp;"|"&amp;COUNTIF($C$2:$C29,C29))</f>
        <v/>
      </c>
    </row>
    <row r="30">
      <c r="A30" s="15" t="n"/>
      <c r="B30">
        <f>IF($AH30="","",INDEX('Per Line'!$E$2:$E$1501,$AH30)&amp;"")</f>
        <v/>
      </c>
      <c r="C30">
        <f>IF($AH30="","",IF(INDEX('Per Line'!$AP$2:$AP$1501,$AH30)="NOT MATCH","NOT MATCH","FULL MATCH"))</f>
        <v/>
      </c>
      <c r="D30">
        <f>IF($AH30="","",INDEX('Per Line'!$A$2:$A$1501,$AH30)&amp;"")</f>
        <v/>
      </c>
      <c r="E30">
        <f>IF($AH30="","",INDEX('Per Line'!$B$2:$B$1501,$AH30))</f>
        <v/>
      </c>
      <c r="F30">
        <f>IF($AH30="","",INDEX('Per Line'!$C$2:$C$1501,$AH30)&amp;"")</f>
        <v/>
      </c>
      <c r="G30">
        <f>IF($AH30="","",INDEX('Per Line'!$D$2:$D$1501,$AH30)&amp;"")</f>
        <v/>
      </c>
      <c r="H30">
        <f>IF($AH30="","",INDEX('Per Line'!$F$2:$F$1501,$AH30)&amp;"")</f>
        <v/>
      </c>
      <c r="I30" s="14">
        <f>IF($AH30="","",INDEX('Per Line'!$G$2:$G$1501,$AH30))</f>
        <v/>
      </c>
      <c r="J30">
        <f>IF($AH30="","",INDEX('Per Line'!$H$2:$H$1501,$AH30)&amp;"")</f>
        <v/>
      </c>
      <c r="K30">
        <f>IF($AH30="","",INDEX('Per Line'!$J$2:$J$1501,$AH30)&amp;"")</f>
        <v/>
      </c>
      <c r="L30">
        <f>IF($AH30="","",INDEX('Per Line'!$K$2:$K$1501,$AH30)&amp;"")</f>
        <v/>
      </c>
      <c r="M30">
        <f>IF($AH30="","",INDEX('Per Line'!$L$2:$L$1501,$AH30)&amp;"")</f>
        <v/>
      </c>
      <c r="N30">
        <f>IF($AH30="","",INDEX('Per Line'!$M$2:$M$1501,$AH30)&amp;"")</f>
        <v/>
      </c>
      <c r="O30">
        <f>IF($AH30="","",INDEX('Per Line'!$P$2:$P$1501,$AH30))</f>
        <v/>
      </c>
      <c r="P30" s="7">
        <f>IF($AH30="","",O30*AD30/100)</f>
        <v/>
      </c>
      <c r="Q30">
        <f>IF($AH30="","",INDEX('Per Line'!$R$2:$R$1501,$AH30)&amp;"")</f>
        <v/>
      </c>
      <c r="R30">
        <f>IF($AH30="","",INDEX('Per Line'!$AB$2:$AB$1501,$AH30)&amp;"")</f>
        <v/>
      </c>
      <c r="S30">
        <f>IF($AH30="","",Settings!$C$8)</f>
        <v/>
      </c>
      <c r="T30" s="7">
        <f>IF($AH30="","",SUMIFS('Per Line'!$Z$2:$Z$1501,'Per Line'!$E$2:$E$1501,$B30,'Per Line'!$AT$2:$AT$1501,1))</f>
        <v/>
      </c>
      <c r="U30" s="7">
        <f>IF($AH30="","",T30*S30)</f>
        <v/>
      </c>
      <c r="V30">
        <f>IF($AH30="","",Settings!$C$7)</f>
        <v/>
      </c>
      <c r="W30" s="7">
        <f>IF($AH30="","",SUMIFS('Per Line'!$Z$2:$Z$1501,'Per Line'!$E$2:$E$1501,$B30,'Per Line'!$AS$2:$AS$1501,0,'Per Line'!$AT$2:$AT$1501,0))</f>
        <v/>
      </c>
      <c r="X30" s="7">
        <f>IF($AH30="","",W30*V30)</f>
        <v/>
      </c>
      <c r="Y30">
        <f>IF($AH30="","",Settings!$C$6)</f>
        <v/>
      </c>
      <c r="Z30" s="7">
        <f>IF($AH30="","",SUMIFS('Per Line'!$Z$2:$Z$1501,'Per Line'!$E$2:$E$1501,$B30,'Per Line'!$AS$2:$AS$1501,1,'Per Line'!$AT$2:$AT$1501,0))</f>
        <v/>
      </c>
      <c r="AA30" s="7">
        <f>IF($AH30="","",Z30*Y30)</f>
        <v/>
      </c>
      <c r="AB30" s="7">
        <f>IF($AH30="","",AA30+X30+U30)</f>
        <v/>
      </c>
      <c r="AC30" s="7">
        <f>IF($AH30="","",AD30-AB30)</f>
        <v/>
      </c>
      <c r="AD30" s="7">
        <f>IF($AH30="","",W30+Z30+T30)</f>
        <v/>
      </c>
      <c r="AE30" s="7">
        <f>IF($AH30="","",AD30-AB30-P30)</f>
        <v/>
      </c>
      <c r="AF30" s="15" t="n"/>
      <c r="AG30" s="7">
        <f>IF($AH30="","",AE30-N(AF30))</f>
        <v/>
      </c>
      <c r="AH30" s="16">
        <f>IF(ROWS($AH$2:$AH30)&lt;=MAX('Per Line'!$AR$2:$AR$1501),MATCH(ROWS($AH$2:$AH30),'Per Line'!$AR$2:$AR$1501,0),"")</f>
        <v/>
      </c>
      <c r="AI30">
        <f>IF($AH30="","",C30&amp;"|"&amp;COUNTIF($C$2:$C30,C30))</f>
        <v/>
      </c>
    </row>
    <row r="31">
      <c r="A31" s="15" t="n"/>
      <c r="B31">
        <f>IF($AH31="","",INDEX('Per Line'!$E$2:$E$1501,$AH31)&amp;"")</f>
        <v/>
      </c>
      <c r="C31">
        <f>IF($AH31="","",IF(INDEX('Per Line'!$AP$2:$AP$1501,$AH31)="NOT MATCH","NOT MATCH","FULL MATCH"))</f>
        <v/>
      </c>
      <c r="D31">
        <f>IF($AH31="","",INDEX('Per Line'!$A$2:$A$1501,$AH31)&amp;"")</f>
        <v/>
      </c>
      <c r="E31">
        <f>IF($AH31="","",INDEX('Per Line'!$B$2:$B$1501,$AH31))</f>
        <v/>
      </c>
      <c r="F31">
        <f>IF($AH31="","",INDEX('Per Line'!$C$2:$C$1501,$AH31)&amp;"")</f>
        <v/>
      </c>
      <c r="G31">
        <f>IF($AH31="","",INDEX('Per Line'!$D$2:$D$1501,$AH31)&amp;"")</f>
        <v/>
      </c>
      <c r="H31">
        <f>IF($AH31="","",INDEX('Per Line'!$F$2:$F$1501,$AH31)&amp;"")</f>
        <v/>
      </c>
      <c r="I31" s="14">
        <f>IF($AH31="","",INDEX('Per Line'!$G$2:$G$1501,$AH31))</f>
        <v/>
      </c>
      <c r="J31">
        <f>IF($AH31="","",INDEX('Per Line'!$H$2:$H$1501,$AH31)&amp;"")</f>
        <v/>
      </c>
      <c r="K31">
        <f>IF($AH31="","",INDEX('Per Line'!$J$2:$J$1501,$AH31)&amp;"")</f>
        <v/>
      </c>
      <c r="L31">
        <f>IF($AH31="","",INDEX('Per Line'!$K$2:$K$1501,$AH31)&amp;"")</f>
        <v/>
      </c>
      <c r="M31">
        <f>IF($AH31="","",INDEX('Per Line'!$L$2:$L$1501,$AH31)&amp;"")</f>
        <v/>
      </c>
      <c r="N31">
        <f>IF($AH31="","",INDEX('Per Line'!$M$2:$M$1501,$AH31)&amp;"")</f>
        <v/>
      </c>
      <c r="O31">
        <f>IF($AH31="","",INDEX('Per Line'!$P$2:$P$1501,$AH31))</f>
        <v/>
      </c>
      <c r="P31" s="7">
        <f>IF($AH31="","",O31*AD31/100)</f>
        <v/>
      </c>
      <c r="Q31">
        <f>IF($AH31="","",INDEX('Per Line'!$R$2:$R$1501,$AH31)&amp;"")</f>
        <v/>
      </c>
      <c r="R31">
        <f>IF($AH31="","",INDEX('Per Line'!$AB$2:$AB$1501,$AH31)&amp;"")</f>
        <v/>
      </c>
      <c r="S31">
        <f>IF($AH31="","",Settings!$C$8)</f>
        <v/>
      </c>
      <c r="T31" s="7">
        <f>IF($AH31="","",SUMIFS('Per Line'!$Z$2:$Z$1501,'Per Line'!$E$2:$E$1501,$B31,'Per Line'!$AT$2:$AT$1501,1))</f>
        <v/>
      </c>
      <c r="U31" s="7">
        <f>IF($AH31="","",T31*S31)</f>
        <v/>
      </c>
      <c r="V31">
        <f>IF($AH31="","",Settings!$C$7)</f>
        <v/>
      </c>
      <c r="W31" s="7">
        <f>IF($AH31="","",SUMIFS('Per Line'!$Z$2:$Z$1501,'Per Line'!$E$2:$E$1501,$B31,'Per Line'!$AS$2:$AS$1501,0,'Per Line'!$AT$2:$AT$1501,0))</f>
        <v/>
      </c>
      <c r="X31" s="7">
        <f>IF($AH31="","",W31*V31)</f>
        <v/>
      </c>
      <c r="Y31">
        <f>IF($AH31="","",Settings!$C$6)</f>
        <v/>
      </c>
      <c r="Z31" s="7">
        <f>IF($AH31="","",SUMIFS('Per Line'!$Z$2:$Z$1501,'Per Line'!$E$2:$E$1501,$B31,'Per Line'!$AS$2:$AS$1501,1,'Per Line'!$AT$2:$AT$1501,0))</f>
        <v/>
      </c>
      <c r="AA31" s="7">
        <f>IF($AH31="","",Z31*Y31)</f>
        <v/>
      </c>
      <c r="AB31" s="7">
        <f>IF($AH31="","",AA31+X31+U31)</f>
        <v/>
      </c>
      <c r="AC31" s="7">
        <f>IF($AH31="","",AD31-AB31)</f>
        <v/>
      </c>
      <c r="AD31" s="7">
        <f>IF($AH31="","",W31+Z31+T31)</f>
        <v/>
      </c>
      <c r="AE31" s="7">
        <f>IF($AH31="","",AD31-AB31-P31)</f>
        <v/>
      </c>
      <c r="AF31" s="15" t="n"/>
      <c r="AG31" s="7">
        <f>IF($AH31="","",AE31-N(AF31))</f>
        <v/>
      </c>
      <c r="AH31" s="16">
        <f>IF(ROWS($AH$2:$AH31)&lt;=MAX('Per Line'!$AR$2:$AR$1501),MATCH(ROWS($AH$2:$AH31),'Per Line'!$AR$2:$AR$1501,0),"")</f>
        <v/>
      </c>
      <c r="AI31">
        <f>IF($AH31="","",C31&amp;"|"&amp;COUNTIF($C$2:$C31,C31))</f>
        <v/>
      </c>
    </row>
    <row r="32">
      <c r="A32" s="15" t="n"/>
      <c r="B32">
        <f>IF($AH32="","",INDEX('Per Line'!$E$2:$E$1501,$AH32)&amp;"")</f>
        <v/>
      </c>
      <c r="C32">
        <f>IF($AH32="","",IF(INDEX('Per Line'!$AP$2:$AP$1501,$AH32)="NOT MATCH","NOT MATCH","FULL MATCH"))</f>
        <v/>
      </c>
      <c r="D32">
        <f>IF($AH32="","",INDEX('Per Line'!$A$2:$A$1501,$AH32)&amp;"")</f>
        <v/>
      </c>
      <c r="E32">
        <f>IF($AH32="","",INDEX('Per Line'!$B$2:$B$1501,$AH32))</f>
        <v/>
      </c>
      <c r="F32">
        <f>IF($AH32="","",INDEX('Per Line'!$C$2:$C$1501,$AH32)&amp;"")</f>
        <v/>
      </c>
      <c r="G32">
        <f>IF($AH32="","",INDEX('Per Line'!$D$2:$D$1501,$AH32)&amp;"")</f>
        <v/>
      </c>
      <c r="H32">
        <f>IF($AH32="","",INDEX('Per Line'!$F$2:$F$1501,$AH32)&amp;"")</f>
        <v/>
      </c>
      <c r="I32" s="14">
        <f>IF($AH32="","",INDEX('Per Line'!$G$2:$G$1501,$AH32))</f>
        <v/>
      </c>
      <c r="J32">
        <f>IF($AH32="","",INDEX('Per Line'!$H$2:$H$1501,$AH32)&amp;"")</f>
        <v/>
      </c>
      <c r="K32">
        <f>IF($AH32="","",INDEX('Per Line'!$J$2:$J$1501,$AH32)&amp;"")</f>
        <v/>
      </c>
      <c r="L32">
        <f>IF($AH32="","",INDEX('Per Line'!$K$2:$K$1501,$AH32)&amp;"")</f>
        <v/>
      </c>
      <c r="M32">
        <f>IF($AH32="","",INDEX('Per Line'!$L$2:$L$1501,$AH32)&amp;"")</f>
        <v/>
      </c>
      <c r="N32">
        <f>IF($AH32="","",INDEX('Per Line'!$M$2:$M$1501,$AH32)&amp;"")</f>
        <v/>
      </c>
      <c r="O32">
        <f>IF($AH32="","",INDEX('Per Line'!$P$2:$P$1501,$AH32))</f>
        <v/>
      </c>
      <c r="P32" s="7">
        <f>IF($AH32="","",O32*AD32/100)</f>
        <v/>
      </c>
      <c r="Q32">
        <f>IF($AH32="","",INDEX('Per Line'!$R$2:$R$1501,$AH32)&amp;"")</f>
        <v/>
      </c>
      <c r="R32">
        <f>IF($AH32="","",INDEX('Per Line'!$AB$2:$AB$1501,$AH32)&amp;"")</f>
        <v/>
      </c>
      <c r="S32">
        <f>IF($AH32="","",Settings!$C$8)</f>
        <v/>
      </c>
      <c r="T32" s="7">
        <f>IF($AH32="","",SUMIFS('Per Line'!$Z$2:$Z$1501,'Per Line'!$E$2:$E$1501,$B32,'Per Line'!$AT$2:$AT$1501,1))</f>
        <v/>
      </c>
      <c r="U32" s="7">
        <f>IF($AH32="","",T32*S32)</f>
        <v/>
      </c>
      <c r="V32">
        <f>IF($AH32="","",Settings!$C$7)</f>
        <v/>
      </c>
      <c r="W32" s="7">
        <f>IF($AH32="","",SUMIFS('Per Line'!$Z$2:$Z$1501,'Per Line'!$E$2:$E$1501,$B32,'Per Line'!$AS$2:$AS$1501,0,'Per Line'!$AT$2:$AT$1501,0))</f>
        <v/>
      </c>
      <c r="X32" s="7">
        <f>IF($AH32="","",W32*V32)</f>
        <v/>
      </c>
      <c r="Y32">
        <f>IF($AH32="","",Settings!$C$6)</f>
        <v/>
      </c>
      <c r="Z32" s="7">
        <f>IF($AH32="","",SUMIFS('Per Line'!$Z$2:$Z$1501,'Per Line'!$E$2:$E$1501,$B32,'Per Line'!$AS$2:$AS$1501,1,'Per Line'!$AT$2:$AT$1501,0))</f>
        <v/>
      </c>
      <c r="AA32" s="7">
        <f>IF($AH32="","",Z32*Y32)</f>
        <v/>
      </c>
      <c r="AB32" s="7">
        <f>IF($AH32="","",AA32+X32+U32)</f>
        <v/>
      </c>
      <c r="AC32" s="7">
        <f>IF($AH32="","",AD32-AB32)</f>
        <v/>
      </c>
      <c r="AD32" s="7">
        <f>IF($AH32="","",W32+Z32+T32)</f>
        <v/>
      </c>
      <c r="AE32" s="7">
        <f>IF($AH32="","",AD32-AB32-P32)</f>
        <v/>
      </c>
      <c r="AF32" s="15" t="n"/>
      <c r="AG32" s="7">
        <f>IF($AH32="","",AE32-N(AF32))</f>
        <v/>
      </c>
      <c r="AH32" s="16">
        <f>IF(ROWS($AH$2:$AH32)&lt;=MAX('Per Line'!$AR$2:$AR$1501),MATCH(ROWS($AH$2:$AH32),'Per Line'!$AR$2:$AR$1501,0),"")</f>
        <v/>
      </c>
      <c r="AI32">
        <f>IF($AH32="","",C32&amp;"|"&amp;COUNTIF($C$2:$C32,C32))</f>
        <v/>
      </c>
    </row>
    <row r="33">
      <c r="A33" s="15" t="n"/>
      <c r="B33">
        <f>IF($AH33="","",INDEX('Per Line'!$E$2:$E$1501,$AH33)&amp;"")</f>
        <v/>
      </c>
      <c r="C33">
        <f>IF($AH33="","",IF(INDEX('Per Line'!$AP$2:$AP$1501,$AH33)="NOT MATCH","NOT MATCH","FULL MATCH"))</f>
        <v/>
      </c>
      <c r="D33">
        <f>IF($AH33="","",INDEX('Per Line'!$A$2:$A$1501,$AH33)&amp;"")</f>
        <v/>
      </c>
      <c r="E33">
        <f>IF($AH33="","",INDEX('Per Line'!$B$2:$B$1501,$AH33))</f>
        <v/>
      </c>
      <c r="F33">
        <f>IF($AH33="","",INDEX('Per Line'!$C$2:$C$1501,$AH33)&amp;"")</f>
        <v/>
      </c>
      <c r="G33">
        <f>IF($AH33="","",INDEX('Per Line'!$D$2:$D$1501,$AH33)&amp;"")</f>
        <v/>
      </c>
      <c r="H33">
        <f>IF($AH33="","",INDEX('Per Line'!$F$2:$F$1501,$AH33)&amp;"")</f>
        <v/>
      </c>
      <c r="I33" s="14">
        <f>IF($AH33="","",INDEX('Per Line'!$G$2:$G$1501,$AH33))</f>
        <v/>
      </c>
      <c r="J33">
        <f>IF($AH33="","",INDEX('Per Line'!$H$2:$H$1501,$AH33)&amp;"")</f>
        <v/>
      </c>
      <c r="K33">
        <f>IF($AH33="","",INDEX('Per Line'!$J$2:$J$1501,$AH33)&amp;"")</f>
        <v/>
      </c>
      <c r="L33">
        <f>IF($AH33="","",INDEX('Per Line'!$K$2:$K$1501,$AH33)&amp;"")</f>
        <v/>
      </c>
      <c r="M33">
        <f>IF($AH33="","",INDEX('Per Line'!$L$2:$L$1501,$AH33)&amp;"")</f>
        <v/>
      </c>
      <c r="N33">
        <f>IF($AH33="","",INDEX('Per Line'!$M$2:$M$1501,$AH33)&amp;"")</f>
        <v/>
      </c>
      <c r="O33">
        <f>IF($AH33="","",INDEX('Per Line'!$P$2:$P$1501,$AH33))</f>
        <v/>
      </c>
      <c r="P33" s="7">
        <f>IF($AH33="","",O33*AD33/100)</f>
        <v/>
      </c>
      <c r="Q33">
        <f>IF($AH33="","",INDEX('Per Line'!$R$2:$R$1501,$AH33)&amp;"")</f>
        <v/>
      </c>
      <c r="R33">
        <f>IF($AH33="","",INDEX('Per Line'!$AB$2:$AB$1501,$AH33)&amp;"")</f>
        <v/>
      </c>
      <c r="S33">
        <f>IF($AH33="","",Settings!$C$8)</f>
        <v/>
      </c>
      <c r="T33" s="7">
        <f>IF($AH33="","",SUMIFS('Per Line'!$Z$2:$Z$1501,'Per Line'!$E$2:$E$1501,$B33,'Per Line'!$AT$2:$AT$1501,1))</f>
        <v/>
      </c>
      <c r="U33" s="7">
        <f>IF($AH33="","",T33*S33)</f>
        <v/>
      </c>
      <c r="V33">
        <f>IF($AH33="","",Settings!$C$7)</f>
        <v/>
      </c>
      <c r="W33" s="7">
        <f>IF($AH33="","",SUMIFS('Per Line'!$Z$2:$Z$1501,'Per Line'!$E$2:$E$1501,$B33,'Per Line'!$AS$2:$AS$1501,0,'Per Line'!$AT$2:$AT$1501,0))</f>
        <v/>
      </c>
      <c r="X33" s="7">
        <f>IF($AH33="","",W33*V33)</f>
        <v/>
      </c>
      <c r="Y33">
        <f>IF($AH33="","",Settings!$C$6)</f>
        <v/>
      </c>
      <c r="Z33" s="7">
        <f>IF($AH33="","",SUMIFS('Per Line'!$Z$2:$Z$1501,'Per Line'!$E$2:$E$1501,$B33,'Per Line'!$AS$2:$AS$1501,1,'Per Line'!$AT$2:$AT$1501,0))</f>
        <v/>
      </c>
      <c r="AA33" s="7">
        <f>IF($AH33="","",Z33*Y33)</f>
        <v/>
      </c>
      <c r="AB33" s="7">
        <f>IF($AH33="","",AA33+X33+U33)</f>
        <v/>
      </c>
      <c r="AC33" s="7">
        <f>IF($AH33="","",AD33-AB33)</f>
        <v/>
      </c>
      <c r="AD33" s="7">
        <f>IF($AH33="","",W33+Z33+T33)</f>
        <v/>
      </c>
      <c r="AE33" s="7">
        <f>IF($AH33="","",AD33-AB33-P33)</f>
        <v/>
      </c>
      <c r="AF33" s="15" t="n"/>
      <c r="AG33" s="7">
        <f>IF($AH33="","",AE33-N(AF33))</f>
        <v/>
      </c>
      <c r="AH33" s="16">
        <f>IF(ROWS($AH$2:$AH33)&lt;=MAX('Per Line'!$AR$2:$AR$1501),MATCH(ROWS($AH$2:$AH33),'Per Line'!$AR$2:$AR$1501,0),"")</f>
        <v/>
      </c>
      <c r="AI33">
        <f>IF($AH33="","",C33&amp;"|"&amp;COUNTIF($C$2:$C33,C33))</f>
        <v/>
      </c>
    </row>
    <row r="34">
      <c r="A34" s="15" t="n"/>
      <c r="B34">
        <f>IF($AH34="","",INDEX('Per Line'!$E$2:$E$1501,$AH34)&amp;"")</f>
        <v/>
      </c>
      <c r="C34">
        <f>IF($AH34="","",IF(INDEX('Per Line'!$AP$2:$AP$1501,$AH34)="NOT MATCH","NOT MATCH","FULL MATCH"))</f>
        <v/>
      </c>
      <c r="D34">
        <f>IF($AH34="","",INDEX('Per Line'!$A$2:$A$1501,$AH34)&amp;"")</f>
        <v/>
      </c>
      <c r="E34">
        <f>IF($AH34="","",INDEX('Per Line'!$B$2:$B$1501,$AH34))</f>
        <v/>
      </c>
      <c r="F34">
        <f>IF($AH34="","",INDEX('Per Line'!$C$2:$C$1501,$AH34)&amp;"")</f>
        <v/>
      </c>
      <c r="G34">
        <f>IF($AH34="","",INDEX('Per Line'!$D$2:$D$1501,$AH34)&amp;"")</f>
        <v/>
      </c>
      <c r="H34">
        <f>IF($AH34="","",INDEX('Per Line'!$F$2:$F$1501,$AH34)&amp;"")</f>
        <v/>
      </c>
      <c r="I34" s="14">
        <f>IF($AH34="","",INDEX('Per Line'!$G$2:$G$1501,$AH34))</f>
        <v/>
      </c>
      <c r="J34">
        <f>IF($AH34="","",INDEX('Per Line'!$H$2:$H$1501,$AH34)&amp;"")</f>
        <v/>
      </c>
      <c r="K34">
        <f>IF($AH34="","",INDEX('Per Line'!$J$2:$J$1501,$AH34)&amp;"")</f>
        <v/>
      </c>
      <c r="L34">
        <f>IF($AH34="","",INDEX('Per Line'!$K$2:$K$1501,$AH34)&amp;"")</f>
        <v/>
      </c>
      <c r="M34">
        <f>IF($AH34="","",INDEX('Per Line'!$L$2:$L$1501,$AH34)&amp;"")</f>
        <v/>
      </c>
      <c r="N34">
        <f>IF($AH34="","",INDEX('Per Line'!$M$2:$M$1501,$AH34)&amp;"")</f>
        <v/>
      </c>
      <c r="O34">
        <f>IF($AH34="","",INDEX('Per Line'!$P$2:$P$1501,$AH34))</f>
        <v/>
      </c>
      <c r="P34" s="7">
        <f>IF($AH34="","",O34*AD34/100)</f>
        <v/>
      </c>
      <c r="Q34">
        <f>IF($AH34="","",INDEX('Per Line'!$R$2:$R$1501,$AH34)&amp;"")</f>
        <v/>
      </c>
      <c r="R34">
        <f>IF($AH34="","",INDEX('Per Line'!$AB$2:$AB$1501,$AH34)&amp;"")</f>
        <v/>
      </c>
      <c r="S34">
        <f>IF($AH34="","",Settings!$C$8)</f>
        <v/>
      </c>
      <c r="T34" s="7">
        <f>IF($AH34="","",SUMIFS('Per Line'!$Z$2:$Z$1501,'Per Line'!$E$2:$E$1501,$B34,'Per Line'!$AT$2:$AT$1501,1))</f>
        <v/>
      </c>
      <c r="U34" s="7">
        <f>IF($AH34="","",T34*S34)</f>
        <v/>
      </c>
      <c r="V34">
        <f>IF($AH34="","",Settings!$C$7)</f>
        <v/>
      </c>
      <c r="W34" s="7">
        <f>IF($AH34="","",SUMIFS('Per Line'!$Z$2:$Z$1501,'Per Line'!$E$2:$E$1501,$B34,'Per Line'!$AS$2:$AS$1501,0,'Per Line'!$AT$2:$AT$1501,0))</f>
        <v/>
      </c>
      <c r="X34" s="7">
        <f>IF($AH34="","",W34*V34)</f>
        <v/>
      </c>
      <c r="Y34">
        <f>IF($AH34="","",Settings!$C$6)</f>
        <v/>
      </c>
      <c r="Z34" s="7">
        <f>IF($AH34="","",SUMIFS('Per Line'!$Z$2:$Z$1501,'Per Line'!$E$2:$E$1501,$B34,'Per Line'!$AS$2:$AS$1501,1,'Per Line'!$AT$2:$AT$1501,0))</f>
        <v/>
      </c>
      <c r="AA34" s="7">
        <f>IF($AH34="","",Z34*Y34)</f>
        <v/>
      </c>
      <c r="AB34" s="7">
        <f>IF($AH34="","",AA34+X34+U34)</f>
        <v/>
      </c>
      <c r="AC34" s="7">
        <f>IF($AH34="","",AD34-AB34)</f>
        <v/>
      </c>
      <c r="AD34" s="7">
        <f>IF($AH34="","",W34+Z34+T34)</f>
        <v/>
      </c>
      <c r="AE34" s="7">
        <f>IF($AH34="","",AD34-AB34-P34)</f>
        <v/>
      </c>
      <c r="AF34" s="15" t="n"/>
      <c r="AG34" s="7">
        <f>IF($AH34="","",AE34-N(AF34))</f>
        <v/>
      </c>
      <c r="AH34" s="16">
        <f>IF(ROWS($AH$2:$AH34)&lt;=MAX('Per Line'!$AR$2:$AR$1501),MATCH(ROWS($AH$2:$AH34),'Per Line'!$AR$2:$AR$1501,0),"")</f>
        <v/>
      </c>
      <c r="AI34">
        <f>IF($AH34="","",C34&amp;"|"&amp;COUNTIF($C$2:$C34,C34))</f>
        <v/>
      </c>
    </row>
    <row r="35">
      <c r="A35" s="15" t="n"/>
      <c r="B35">
        <f>IF($AH35="","",INDEX('Per Line'!$E$2:$E$1501,$AH35)&amp;"")</f>
        <v/>
      </c>
      <c r="C35">
        <f>IF($AH35="","",IF(INDEX('Per Line'!$AP$2:$AP$1501,$AH35)="NOT MATCH","NOT MATCH","FULL MATCH"))</f>
        <v/>
      </c>
      <c r="D35">
        <f>IF($AH35="","",INDEX('Per Line'!$A$2:$A$1501,$AH35)&amp;"")</f>
        <v/>
      </c>
      <c r="E35">
        <f>IF($AH35="","",INDEX('Per Line'!$B$2:$B$1501,$AH35))</f>
        <v/>
      </c>
      <c r="F35">
        <f>IF($AH35="","",INDEX('Per Line'!$C$2:$C$1501,$AH35)&amp;"")</f>
        <v/>
      </c>
      <c r="G35">
        <f>IF($AH35="","",INDEX('Per Line'!$D$2:$D$1501,$AH35)&amp;"")</f>
        <v/>
      </c>
      <c r="H35">
        <f>IF($AH35="","",INDEX('Per Line'!$F$2:$F$1501,$AH35)&amp;"")</f>
        <v/>
      </c>
      <c r="I35" s="14">
        <f>IF($AH35="","",INDEX('Per Line'!$G$2:$G$1501,$AH35))</f>
        <v/>
      </c>
      <c r="J35">
        <f>IF($AH35="","",INDEX('Per Line'!$H$2:$H$1501,$AH35)&amp;"")</f>
        <v/>
      </c>
      <c r="K35">
        <f>IF($AH35="","",INDEX('Per Line'!$J$2:$J$1501,$AH35)&amp;"")</f>
        <v/>
      </c>
      <c r="L35">
        <f>IF($AH35="","",INDEX('Per Line'!$K$2:$K$1501,$AH35)&amp;"")</f>
        <v/>
      </c>
      <c r="M35">
        <f>IF($AH35="","",INDEX('Per Line'!$L$2:$L$1501,$AH35)&amp;"")</f>
        <v/>
      </c>
      <c r="N35">
        <f>IF($AH35="","",INDEX('Per Line'!$M$2:$M$1501,$AH35)&amp;"")</f>
        <v/>
      </c>
      <c r="O35">
        <f>IF($AH35="","",INDEX('Per Line'!$P$2:$P$1501,$AH35))</f>
        <v/>
      </c>
      <c r="P35" s="7">
        <f>IF($AH35="","",O35*AD35/100)</f>
        <v/>
      </c>
      <c r="Q35">
        <f>IF($AH35="","",INDEX('Per Line'!$R$2:$R$1501,$AH35)&amp;"")</f>
        <v/>
      </c>
      <c r="R35">
        <f>IF($AH35="","",INDEX('Per Line'!$AB$2:$AB$1501,$AH35)&amp;"")</f>
        <v/>
      </c>
      <c r="S35">
        <f>IF($AH35="","",Settings!$C$8)</f>
        <v/>
      </c>
      <c r="T35" s="7">
        <f>IF($AH35="","",SUMIFS('Per Line'!$Z$2:$Z$1501,'Per Line'!$E$2:$E$1501,$B35,'Per Line'!$AT$2:$AT$1501,1))</f>
        <v/>
      </c>
      <c r="U35" s="7">
        <f>IF($AH35="","",T35*S35)</f>
        <v/>
      </c>
      <c r="V35">
        <f>IF($AH35="","",Settings!$C$7)</f>
        <v/>
      </c>
      <c r="W35" s="7">
        <f>IF($AH35="","",SUMIFS('Per Line'!$Z$2:$Z$1501,'Per Line'!$E$2:$E$1501,$B35,'Per Line'!$AS$2:$AS$1501,0,'Per Line'!$AT$2:$AT$1501,0))</f>
        <v/>
      </c>
      <c r="X35" s="7">
        <f>IF($AH35="","",W35*V35)</f>
        <v/>
      </c>
      <c r="Y35">
        <f>IF($AH35="","",Settings!$C$6)</f>
        <v/>
      </c>
      <c r="Z35" s="7">
        <f>IF($AH35="","",SUMIFS('Per Line'!$Z$2:$Z$1501,'Per Line'!$E$2:$E$1501,$B35,'Per Line'!$AS$2:$AS$1501,1,'Per Line'!$AT$2:$AT$1501,0))</f>
        <v/>
      </c>
      <c r="AA35" s="7">
        <f>IF($AH35="","",Z35*Y35)</f>
        <v/>
      </c>
      <c r="AB35" s="7">
        <f>IF($AH35="","",AA35+X35+U35)</f>
        <v/>
      </c>
      <c r="AC35" s="7">
        <f>IF($AH35="","",AD35-AB35)</f>
        <v/>
      </c>
      <c r="AD35" s="7">
        <f>IF($AH35="","",W35+Z35+T35)</f>
        <v/>
      </c>
      <c r="AE35" s="7">
        <f>IF($AH35="","",AD35-AB35-P35)</f>
        <v/>
      </c>
      <c r="AF35" s="15" t="n"/>
      <c r="AG35" s="7">
        <f>IF($AH35="","",AE35-N(AF35))</f>
        <v/>
      </c>
      <c r="AH35" s="16">
        <f>IF(ROWS($AH$2:$AH35)&lt;=MAX('Per Line'!$AR$2:$AR$1501),MATCH(ROWS($AH$2:$AH35),'Per Line'!$AR$2:$AR$1501,0),"")</f>
        <v/>
      </c>
      <c r="AI35">
        <f>IF($AH35="","",C35&amp;"|"&amp;COUNTIF($C$2:$C35,C35))</f>
        <v/>
      </c>
    </row>
    <row r="36">
      <c r="A36" s="15" t="n"/>
      <c r="B36">
        <f>IF($AH36="","",INDEX('Per Line'!$E$2:$E$1501,$AH36)&amp;"")</f>
        <v/>
      </c>
      <c r="C36">
        <f>IF($AH36="","",IF(INDEX('Per Line'!$AP$2:$AP$1501,$AH36)="NOT MATCH","NOT MATCH","FULL MATCH"))</f>
        <v/>
      </c>
      <c r="D36">
        <f>IF($AH36="","",INDEX('Per Line'!$A$2:$A$1501,$AH36)&amp;"")</f>
        <v/>
      </c>
      <c r="E36">
        <f>IF($AH36="","",INDEX('Per Line'!$B$2:$B$1501,$AH36))</f>
        <v/>
      </c>
      <c r="F36">
        <f>IF($AH36="","",INDEX('Per Line'!$C$2:$C$1501,$AH36)&amp;"")</f>
        <v/>
      </c>
      <c r="G36">
        <f>IF($AH36="","",INDEX('Per Line'!$D$2:$D$1501,$AH36)&amp;"")</f>
        <v/>
      </c>
      <c r="H36">
        <f>IF($AH36="","",INDEX('Per Line'!$F$2:$F$1501,$AH36)&amp;"")</f>
        <v/>
      </c>
      <c r="I36" s="14">
        <f>IF($AH36="","",INDEX('Per Line'!$G$2:$G$1501,$AH36))</f>
        <v/>
      </c>
      <c r="J36">
        <f>IF($AH36="","",INDEX('Per Line'!$H$2:$H$1501,$AH36)&amp;"")</f>
        <v/>
      </c>
      <c r="K36">
        <f>IF($AH36="","",INDEX('Per Line'!$J$2:$J$1501,$AH36)&amp;"")</f>
        <v/>
      </c>
      <c r="L36">
        <f>IF($AH36="","",INDEX('Per Line'!$K$2:$K$1501,$AH36)&amp;"")</f>
        <v/>
      </c>
      <c r="M36">
        <f>IF($AH36="","",INDEX('Per Line'!$L$2:$L$1501,$AH36)&amp;"")</f>
        <v/>
      </c>
      <c r="N36">
        <f>IF($AH36="","",INDEX('Per Line'!$M$2:$M$1501,$AH36)&amp;"")</f>
        <v/>
      </c>
      <c r="O36">
        <f>IF($AH36="","",INDEX('Per Line'!$P$2:$P$1501,$AH36))</f>
        <v/>
      </c>
      <c r="P36" s="7">
        <f>IF($AH36="","",O36*AD36/100)</f>
        <v/>
      </c>
      <c r="Q36">
        <f>IF($AH36="","",INDEX('Per Line'!$R$2:$R$1501,$AH36)&amp;"")</f>
        <v/>
      </c>
      <c r="R36">
        <f>IF($AH36="","",INDEX('Per Line'!$AB$2:$AB$1501,$AH36)&amp;"")</f>
        <v/>
      </c>
      <c r="S36">
        <f>IF($AH36="","",Settings!$C$8)</f>
        <v/>
      </c>
      <c r="T36" s="7">
        <f>IF($AH36="","",SUMIFS('Per Line'!$Z$2:$Z$1501,'Per Line'!$E$2:$E$1501,$B36,'Per Line'!$AT$2:$AT$1501,1))</f>
        <v/>
      </c>
      <c r="U36" s="7">
        <f>IF($AH36="","",T36*S36)</f>
        <v/>
      </c>
      <c r="V36">
        <f>IF($AH36="","",Settings!$C$7)</f>
        <v/>
      </c>
      <c r="W36" s="7">
        <f>IF($AH36="","",SUMIFS('Per Line'!$Z$2:$Z$1501,'Per Line'!$E$2:$E$1501,$B36,'Per Line'!$AS$2:$AS$1501,0,'Per Line'!$AT$2:$AT$1501,0))</f>
        <v/>
      </c>
      <c r="X36" s="7">
        <f>IF($AH36="","",W36*V36)</f>
        <v/>
      </c>
      <c r="Y36">
        <f>IF($AH36="","",Settings!$C$6)</f>
        <v/>
      </c>
      <c r="Z36" s="7">
        <f>IF($AH36="","",SUMIFS('Per Line'!$Z$2:$Z$1501,'Per Line'!$E$2:$E$1501,$B36,'Per Line'!$AS$2:$AS$1501,1,'Per Line'!$AT$2:$AT$1501,0))</f>
        <v/>
      </c>
      <c r="AA36" s="7">
        <f>IF($AH36="","",Z36*Y36)</f>
        <v/>
      </c>
      <c r="AB36" s="7">
        <f>IF($AH36="","",AA36+X36+U36)</f>
        <v/>
      </c>
      <c r="AC36" s="7">
        <f>IF($AH36="","",AD36-AB36)</f>
        <v/>
      </c>
      <c r="AD36" s="7">
        <f>IF($AH36="","",W36+Z36+T36)</f>
        <v/>
      </c>
      <c r="AE36" s="7">
        <f>IF($AH36="","",AD36-AB36-P36)</f>
        <v/>
      </c>
      <c r="AF36" s="15" t="n"/>
      <c r="AG36" s="7">
        <f>IF($AH36="","",AE36-N(AF36))</f>
        <v/>
      </c>
      <c r="AH36" s="16">
        <f>IF(ROWS($AH$2:$AH36)&lt;=MAX('Per Line'!$AR$2:$AR$1501),MATCH(ROWS($AH$2:$AH36),'Per Line'!$AR$2:$AR$1501,0),"")</f>
        <v/>
      </c>
      <c r="AI36">
        <f>IF($AH36="","",C36&amp;"|"&amp;COUNTIF($C$2:$C36,C36))</f>
        <v/>
      </c>
    </row>
    <row r="37">
      <c r="A37" s="15" t="n"/>
      <c r="B37">
        <f>IF($AH37="","",INDEX('Per Line'!$E$2:$E$1501,$AH37)&amp;"")</f>
        <v/>
      </c>
      <c r="C37">
        <f>IF($AH37="","",IF(INDEX('Per Line'!$AP$2:$AP$1501,$AH37)="NOT MATCH","NOT MATCH","FULL MATCH"))</f>
        <v/>
      </c>
      <c r="D37">
        <f>IF($AH37="","",INDEX('Per Line'!$A$2:$A$1501,$AH37)&amp;"")</f>
        <v/>
      </c>
      <c r="E37">
        <f>IF($AH37="","",INDEX('Per Line'!$B$2:$B$1501,$AH37))</f>
        <v/>
      </c>
      <c r="F37">
        <f>IF($AH37="","",INDEX('Per Line'!$C$2:$C$1501,$AH37)&amp;"")</f>
        <v/>
      </c>
      <c r="G37">
        <f>IF($AH37="","",INDEX('Per Line'!$D$2:$D$1501,$AH37)&amp;"")</f>
        <v/>
      </c>
      <c r="H37">
        <f>IF($AH37="","",INDEX('Per Line'!$F$2:$F$1501,$AH37)&amp;"")</f>
        <v/>
      </c>
      <c r="I37" s="14">
        <f>IF($AH37="","",INDEX('Per Line'!$G$2:$G$1501,$AH37))</f>
        <v/>
      </c>
      <c r="J37">
        <f>IF($AH37="","",INDEX('Per Line'!$H$2:$H$1501,$AH37)&amp;"")</f>
        <v/>
      </c>
      <c r="K37">
        <f>IF($AH37="","",INDEX('Per Line'!$J$2:$J$1501,$AH37)&amp;"")</f>
        <v/>
      </c>
      <c r="L37">
        <f>IF($AH37="","",INDEX('Per Line'!$K$2:$K$1501,$AH37)&amp;"")</f>
        <v/>
      </c>
      <c r="M37">
        <f>IF($AH37="","",INDEX('Per Line'!$L$2:$L$1501,$AH37)&amp;"")</f>
        <v/>
      </c>
      <c r="N37">
        <f>IF($AH37="","",INDEX('Per Line'!$M$2:$M$1501,$AH37)&amp;"")</f>
        <v/>
      </c>
      <c r="O37">
        <f>IF($AH37="","",INDEX('Per Line'!$P$2:$P$1501,$AH37))</f>
        <v/>
      </c>
      <c r="P37" s="7">
        <f>IF($AH37="","",O37*AD37/100)</f>
        <v/>
      </c>
      <c r="Q37">
        <f>IF($AH37="","",INDEX('Per Line'!$R$2:$R$1501,$AH37)&amp;"")</f>
        <v/>
      </c>
      <c r="R37">
        <f>IF($AH37="","",INDEX('Per Line'!$AB$2:$AB$1501,$AH37)&amp;"")</f>
        <v/>
      </c>
      <c r="S37">
        <f>IF($AH37="","",Settings!$C$8)</f>
        <v/>
      </c>
      <c r="T37" s="7">
        <f>IF($AH37="","",SUMIFS('Per Line'!$Z$2:$Z$1501,'Per Line'!$E$2:$E$1501,$B37,'Per Line'!$AT$2:$AT$1501,1))</f>
        <v/>
      </c>
      <c r="U37" s="7">
        <f>IF($AH37="","",T37*S37)</f>
        <v/>
      </c>
      <c r="V37">
        <f>IF($AH37="","",Settings!$C$7)</f>
        <v/>
      </c>
      <c r="W37" s="7">
        <f>IF($AH37="","",SUMIFS('Per Line'!$Z$2:$Z$1501,'Per Line'!$E$2:$E$1501,$B37,'Per Line'!$AS$2:$AS$1501,0,'Per Line'!$AT$2:$AT$1501,0))</f>
        <v/>
      </c>
      <c r="X37" s="7">
        <f>IF($AH37="","",W37*V37)</f>
        <v/>
      </c>
      <c r="Y37">
        <f>IF($AH37="","",Settings!$C$6)</f>
        <v/>
      </c>
      <c r="Z37" s="7">
        <f>IF($AH37="","",SUMIFS('Per Line'!$Z$2:$Z$1501,'Per Line'!$E$2:$E$1501,$B37,'Per Line'!$AS$2:$AS$1501,1,'Per Line'!$AT$2:$AT$1501,0))</f>
        <v/>
      </c>
      <c r="AA37" s="7">
        <f>IF($AH37="","",Z37*Y37)</f>
        <v/>
      </c>
      <c r="AB37" s="7">
        <f>IF($AH37="","",AA37+X37+U37)</f>
        <v/>
      </c>
      <c r="AC37" s="7">
        <f>IF($AH37="","",AD37-AB37)</f>
        <v/>
      </c>
      <c r="AD37" s="7">
        <f>IF($AH37="","",W37+Z37+T37)</f>
        <v/>
      </c>
      <c r="AE37" s="7">
        <f>IF($AH37="","",AD37-AB37-P37)</f>
        <v/>
      </c>
      <c r="AF37" s="15" t="n"/>
      <c r="AG37" s="7">
        <f>IF($AH37="","",AE37-N(AF37))</f>
        <v/>
      </c>
      <c r="AH37" s="16">
        <f>IF(ROWS($AH$2:$AH37)&lt;=MAX('Per Line'!$AR$2:$AR$1501),MATCH(ROWS($AH$2:$AH37),'Per Line'!$AR$2:$AR$1501,0),"")</f>
        <v/>
      </c>
      <c r="AI37">
        <f>IF($AH37="","",C37&amp;"|"&amp;COUNTIF($C$2:$C37,C37))</f>
        <v/>
      </c>
    </row>
    <row r="38">
      <c r="A38" s="15" t="n"/>
      <c r="B38">
        <f>IF($AH38="","",INDEX('Per Line'!$E$2:$E$1501,$AH38)&amp;"")</f>
        <v/>
      </c>
      <c r="C38">
        <f>IF($AH38="","",IF(INDEX('Per Line'!$AP$2:$AP$1501,$AH38)="NOT MATCH","NOT MATCH","FULL MATCH"))</f>
        <v/>
      </c>
      <c r="D38">
        <f>IF($AH38="","",INDEX('Per Line'!$A$2:$A$1501,$AH38)&amp;"")</f>
        <v/>
      </c>
      <c r="E38">
        <f>IF($AH38="","",INDEX('Per Line'!$B$2:$B$1501,$AH38))</f>
        <v/>
      </c>
      <c r="F38">
        <f>IF($AH38="","",INDEX('Per Line'!$C$2:$C$1501,$AH38)&amp;"")</f>
        <v/>
      </c>
      <c r="G38">
        <f>IF($AH38="","",INDEX('Per Line'!$D$2:$D$1501,$AH38)&amp;"")</f>
        <v/>
      </c>
      <c r="H38">
        <f>IF($AH38="","",INDEX('Per Line'!$F$2:$F$1501,$AH38)&amp;"")</f>
        <v/>
      </c>
      <c r="I38" s="14">
        <f>IF($AH38="","",INDEX('Per Line'!$G$2:$G$1501,$AH38))</f>
        <v/>
      </c>
      <c r="J38">
        <f>IF($AH38="","",INDEX('Per Line'!$H$2:$H$1501,$AH38)&amp;"")</f>
        <v/>
      </c>
      <c r="K38">
        <f>IF($AH38="","",INDEX('Per Line'!$J$2:$J$1501,$AH38)&amp;"")</f>
        <v/>
      </c>
      <c r="L38">
        <f>IF($AH38="","",INDEX('Per Line'!$K$2:$K$1501,$AH38)&amp;"")</f>
        <v/>
      </c>
      <c r="M38">
        <f>IF($AH38="","",INDEX('Per Line'!$L$2:$L$1501,$AH38)&amp;"")</f>
        <v/>
      </c>
      <c r="N38">
        <f>IF($AH38="","",INDEX('Per Line'!$M$2:$M$1501,$AH38)&amp;"")</f>
        <v/>
      </c>
      <c r="O38">
        <f>IF($AH38="","",INDEX('Per Line'!$P$2:$P$1501,$AH38))</f>
        <v/>
      </c>
      <c r="P38" s="7">
        <f>IF($AH38="","",O38*AD38/100)</f>
        <v/>
      </c>
      <c r="Q38">
        <f>IF($AH38="","",INDEX('Per Line'!$R$2:$R$1501,$AH38)&amp;"")</f>
        <v/>
      </c>
      <c r="R38">
        <f>IF($AH38="","",INDEX('Per Line'!$AB$2:$AB$1501,$AH38)&amp;"")</f>
        <v/>
      </c>
      <c r="S38">
        <f>IF($AH38="","",Settings!$C$8)</f>
        <v/>
      </c>
      <c r="T38" s="7">
        <f>IF($AH38="","",SUMIFS('Per Line'!$Z$2:$Z$1501,'Per Line'!$E$2:$E$1501,$B38,'Per Line'!$AT$2:$AT$1501,1))</f>
        <v/>
      </c>
      <c r="U38" s="7">
        <f>IF($AH38="","",T38*S38)</f>
        <v/>
      </c>
      <c r="V38">
        <f>IF($AH38="","",Settings!$C$7)</f>
        <v/>
      </c>
      <c r="W38" s="7">
        <f>IF($AH38="","",SUMIFS('Per Line'!$Z$2:$Z$1501,'Per Line'!$E$2:$E$1501,$B38,'Per Line'!$AS$2:$AS$1501,0,'Per Line'!$AT$2:$AT$1501,0))</f>
        <v/>
      </c>
      <c r="X38" s="7">
        <f>IF($AH38="","",W38*V38)</f>
        <v/>
      </c>
      <c r="Y38">
        <f>IF($AH38="","",Settings!$C$6)</f>
        <v/>
      </c>
      <c r="Z38" s="7">
        <f>IF($AH38="","",SUMIFS('Per Line'!$Z$2:$Z$1501,'Per Line'!$E$2:$E$1501,$B38,'Per Line'!$AS$2:$AS$1501,1,'Per Line'!$AT$2:$AT$1501,0))</f>
        <v/>
      </c>
      <c r="AA38" s="7">
        <f>IF($AH38="","",Z38*Y38)</f>
        <v/>
      </c>
      <c r="AB38" s="7">
        <f>IF($AH38="","",AA38+X38+U38)</f>
        <v/>
      </c>
      <c r="AC38" s="7">
        <f>IF($AH38="","",AD38-AB38)</f>
        <v/>
      </c>
      <c r="AD38" s="7">
        <f>IF($AH38="","",W38+Z38+T38)</f>
        <v/>
      </c>
      <c r="AE38" s="7">
        <f>IF($AH38="","",AD38-AB38-P38)</f>
        <v/>
      </c>
      <c r="AF38" s="15" t="n"/>
      <c r="AG38" s="7">
        <f>IF($AH38="","",AE38-N(AF38))</f>
        <v/>
      </c>
      <c r="AH38" s="16">
        <f>IF(ROWS($AH$2:$AH38)&lt;=MAX('Per Line'!$AR$2:$AR$1501),MATCH(ROWS($AH$2:$AH38),'Per Line'!$AR$2:$AR$1501,0),"")</f>
        <v/>
      </c>
      <c r="AI38">
        <f>IF($AH38="","",C38&amp;"|"&amp;COUNTIF($C$2:$C38,C38))</f>
        <v/>
      </c>
    </row>
    <row r="39">
      <c r="A39" s="15" t="n"/>
      <c r="B39">
        <f>IF($AH39="","",INDEX('Per Line'!$E$2:$E$1501,$AH39)&amp;"")</f>
        <v/>
      </c>
      <c r="C39">
        <f>IF($AH39="","",IF(INDEX('Per Line'!$AP$2:$AP$1501,$AH39)="NOT MATCH","NOT MATCH","FULL MATCH"))</f>
        <v/>
      </c>
      <c r="D39">
        <f>IF($AH39="","",INDEX('Per Line'!$A$2:$A$1501,$AH39)&amp;"")</f>
        <v/>
      </c>
      <c r="E39">
        <f>IF($AH39="","",INDEX('Per Line'!$B$2:$B$1501,$AH39))</f>
        <v/>
      </c>
      <c r="F39">
        <f>IF($AH39="","",INDEX('Per Line'!$C$2:$C$1501,$AH39)&amp;"")</f>
        <v/>
      </c>
      <c r="G39">
        <f>IF($AH39="","",INDEX('Per Line'!$D$2:$D$1501,$AH39)&amp;"")</f>
        <v/>
      </c>
      <c r="H39">
        <f>IF($AH39="","",INDEX('Per Line'!$F$2:$F$1501,$AH39)&amp;"")</f>
        <v/>
      </c>
      <c r="I39" s="14">
        <f>IF($AH39="","",INDEX('Per Line'!$G$2:$G$1501,$AH39))</f>
        <v/>
      </c>
      <c r="J39">
        <f>IF($AH39="","",INDEX('Per Line'!$H$2:$H$1501,$AH39)&amp;"")</f>
        <v/>
      </c>
      <c r="K39">
        <f>IF($AH39="","",INDEX('Per Line'!$J$2:$J$1501,$AH39)&amp;"")</f>
        <v/>
      </c>
      <c r="L39">
        <f>IF($AH39="","",INDEX('Per Line'!$K$2:$K$1501,$AH39)&amp;"")</f>
        <v/>
      </c>
      <c r="M39">
        <f>IF($AH39="","",INDEX('Per Line'!$L$2:$L$1501,$AH39)&amp;"")</f>
        <v/>
      </c>
      <c r="N39">
        <f>IF($AH39="","",INDEX('Per Line'!$M$2:$M$1501,$AH39)&amp;"")</f>
        <v/>
      </c>
      <c r="O39">
        <f>IF($AH39="","",INDEX('Per Line'!$P$2:$P$1501,$AH39))</f>
        <v/>
      </c>
      <c r="P39" s="7">
        <f>IF($AH39="","",O39*AD39/100)</f>
        <v/>
      </c>
      <c r="Q39">
        <f>IF($AH39="","",INDEX('Per Line'!$R$2:$R$1501,$AH39)&amp;"")</f>
        <v/>
      </c>
      <c r="R39">
        <f>IF($AH39="","",INDEX('Per Line'!$AB$2:$AB$1501,$AH39)&amp;"")</f>
        <v/>
      </c>
      <c r="S39">
        <f>IF($AH39="","",Settings!$C$8)</f>
        <v/>
      </c>
      <c r="T39" s="7">
        <f>IF($AH39="","",SUMIFS('Per Line'!$Z$2:$Z$1501,'Per Line'!$E$2:$E$1501,$B39,'Per Line'!$AT$2:$AT$1501,1))</f>
        <v/>
      </c>
      <c r="U39" s="7">
        <f>IF($AH39="","",T39*S39)</f>
        <v/>
      </c>
      <c r="V39">
        <f>IF($AH39="","",Settings!$C$7)</f>
        <v/>
      </c>
      <c r="W39" s="7">
        <f>IF($AH39="","",SUMIFS('Per Line'!$Z$2:$Z$1501,'Per Line'!$E$2:$E$1501,$B39,'Per Line'!$AS$2:$AS$1501,0,'Per Line'!$AT$2:$AT$1501,0))</f>
        <v/>
      </c>
      <c r="X39" s="7">
        <f>IF($AH39="","",W39*V39)</f>
        <v/>
      </c>
      <c r="Y39">
        <f>IF($AH39="","",Settings!$C$6)</f>
        <v/>
      </c>
      <c r="Z39" s="7">
        <f>IF($AH39="","",SUMIFS('Per Line'!$Z$2:$Z$1501,'Per Line'!$E$2:$E$1501,$B39,'Per Line'!$AS$2:$AS$1501,1,'Per Line'!$AT$2:$AT$1501,0))</f>
        <v/>
      </c>
      <c r="AA39" s="7">
        <f>IF($AH39="","",Z39*Y39)</f>
        <v/>
      </c>
      <c r="AB39" s="7">
        <f>IF($AH39="","",AA39+X39+U39)</f>
        <v/>
      </c>
      <c r="AC39" s="7">
        <f>IF($AH39="","",AD39-AB39)</f>
        <v/>
      </c>
      <c r="AD39" s="7">
        <f>IF($AH39="","",W39+Z39+T39)</f>
        <v/>
      </c>
      <c r="AE39" s="7">
        <f>IF($AH39="","",AD39-AB39-P39)</f>
        <v/>
      </c>
      <c r="AF39" s="15" t="n"/>
      <c r="AG39" s="7">
        <f>IF($AH39="","",AE39-N(AF39))</f>
        <v/>
      </c>
      <c r="AH39" s="16">
        <f>IF(ROWS($AH$2:$AH39)&lt;=MAX('Per Line'!$AR$2:$AR$1501),MATCH(ROWS($AH$2:$AH39),'Per Line'!$AR$2:$AR$1501,0),"")</f>
        <v/>
      </c>
      <c r="AI39">
        <f>IF($AH39="","",C39&amp;"|"&amp;COUNTIF($C$2:$C39,C39))</f>
        <v/>
      </c>
    </row>
    <row r="40">
      <c r="A40" s="15" t="n"/>
      <c r="B40">
        <f>IF($AH40="","",INDEX('Per Line'!$E$2:$E$1501,$AH40)&amp;"")</f>
        <v/>
      </c>
      <c r="C40">
        <f>IF($AH40="","",IF(INDEX('Per Line'!$AP$2:$AP$1501,$AH40)="NOT MATCH","NOT MATCH","FULL MATCH"))</f>
        <v/>
      </c>
      <c r="D40">
        <f>IF($AH40="","",INDEX('Per Line'!$A$2:$A$1501,$AH40)&amp;"")</f>
        <v/>
      </c>
      <c r="E40">
        <f>IF($AH40="","",INDEX('Per Line'!$B$2:$B$1501,$AH40))</f>
        <v/>
      </c>
      <c r="F40">
        <f>IF($AH40="","",INDEX('Per Line'!$C$2:$C$1501,$AH40)&amp;"")</f>
        <v/>
      </c>
      <c r="G40">
        <f>IF($AH40="","",INDEX('Per Line'!$D$2:$D$1501,$AH40)&amp;"")</f>
        <v/>
      </c>
      <c r="H40">
        <f>IF($AH40="","",INDEX('Per Line'!$F$2:$F$1501,$AH40)&amp;"")</f>
        <v/>
      </c>
      <c r="I40" s="14">
        <f>IF($AH40="","",INDEX('Per Line'!$G$2:$G$1501,$AH40))</f>
        <v/>
      </c>
      <c r="J40">
        <f>IF($AH40="","",INDEX('Per Line'!$H$2:$H$1501,$AH40)&amp;"")</f>
        <v/>
      </c>
      <c r="K40">
        <f>IF($AH40="","",INDEX('Per Line'!$J$2:$J$1501,$AH40)&amp;"")</f>
        <v/>
      </c>
      <c r="L40">
        <f>IF($AH40="","",INDEX('Per Line'!$K$2:$K$1501,$AH40)&amp;"")</f>
        <v/>
      </c>
      <c r="M40">
        <f>IF($AH40="","",INDEX('Per Line'!$L$2:$L$1501,$AH40)&amp;"")</f>
        <v/>
      </c>
      <c r="N40">
        <f>IF($AH40="","",INDEX('Per Line'!$M$2:$M$1501,$AH40)&amp;"")</f>
        <v/>
      </c>
      <c r="O40">
        <f>IF($AH40="","",INDEX('Per Line'!$P$2:$P$1501,$AH40))</f>
        <v/>
      </c>
      <c r="P40" s="7">
        <f>IF($AH40="","",O40*AD40/100)</f>
        <v/>
      </c>
      <c r="Q40">
        <f>IF($AH40="","",INDEX('Per Line'!$R$2:$R$1501,$AH40)&amp;"")</f>
        <v/>
      </c>
      <c r="R40">
        <f>IF($AH40="","",INDEX('Per Line'!$AB$2:$AB$1501,$AH40)&amp;"")</f>
        <v/>
      </c>
      <c r="S40">
        <f>IF($AH40="","",Settings!$C$8)</f>
        <v/>
      </c>
      <c r="T40" s="7">
        <f>IF($AH40="","",SUMIFS('Per Line'!$Z$2:$Z$1501,'Per Line'!$E$2:$E$1501,$B40,'Per Line'!$AT$2:$AT$1501,1))</f>
        <v/>
      </c>
      <c r="U40" s="7">
        <f>IF($AH40="","",T40*S40)</f>
        <v/>
      </c>
      <c r="V40">
        <f>IF($AH40="","",Settings!$C$7)</f>
        <v/>
      </c>
      <c r="W40" s="7">
        <f>IF($AH40="","",SUMIFS('Per Line'!$Z$2:$Z$1501,'Per Line'!$E$2:$E$1501,$B40,'Per Line'!$AS$2:$AS$1501,0,'Per Line'!$AT$2:$AT$1501,0))</f>
        <v/>
      </c>
      <c r="X40" s="7">
        <f>IF($AH40="","",W40*V40)</f>
        <v/>
      </c>
      <c r="Y40">
        <f>IF($AH40="","",Settings!$C$6)</f>
        <v/>
      </c>
      <c r="Z40" s="7">
        <f>IF($AH40="","",SUMIFS('Per Line'!$Z$2:$Z$1501,'Per Line'!$E$2:$E$1501,$B40,'Per Line'!$AS$2:$AS$1501,1,'Per Line'!$AT$2:$AT$1501,0))</f>
        <v/>
      </c>
      <c r="AA40" s="7">
        <f>IF($AH40="","",Z40*Y40)</f>
        <v/>
      </c>
      <c r="AB40" s="7">
        <f>IF($AH40="","",AA40+X40+U40)</f>
        <v/>
      </c>
      <c r="AC40" s="7">
        <f>IF($AH40="","",AD40-AB40)</f>
        <v/>
      </c>
      <c r="AD40" s="7">
        <f>IF($AH40="","",W40+Z40+T40)</f>
        <v/>
      </c>
      <c r="AE40" s="7">
        <f>IF($AH40="","",AD40-AB40-P40)</f>
        <v/>
      </c>
      <c r="AF40" s="15" t="n"/>
      <c r="AG40" s="7">
        <f>IF($AH40="","",AE40-N(AF40))</f>
        <v/>
      </c>
      <c r="AH40" s="16">
        <f>IF(ROWS($AH$2:$AH40)&lt;=MAX('Per Line'!$AR$2:$AR$1501),MATCH(ROWS($AH$2:$AH40),'Per Line'!$AR$2:$AR$1501,0),"")</f>
        <v/>
      </c>
      <c r="AI40">
        <f>IF($AH40="","",C40&amp;"|"&amp;COUNTIF($C$2:$C40,C40))</f>
        <v/>
      </c>
    </row>
    <row r="41">
      <c r="A41" s="15" t="n"/>
      <c r="B41">
        <f>IF($AH41="","",INDEX('Per Line'!$E$2:$E$1501,$AH41)&amp;"")</f>
        <v/>
      </c>
      <c r="C41">
        <f>IF($AH41="","",IF(INDEX('Per Line'!$AP$2:$AP$1501,$AH41)="NOT MATCH","NOT MATCH","FULL MATCH"))</f>
        <v/>
      </c>
      <c r="D41">
        <f>IF($AH41="","",INDEX('Per Line'!$A$2:$A$1501,$AH41)&amp;"")</f>
        <v/>
      </c>
      <c r="E41">
        <f>IF($AH41="","",INDEX('Per Line'!$B$2:$B$1501,$AH41))</f>
        <v/>
      </c>
      <c r="F41">
        <f>IF($AH41="","",INDEX('Per Line'!$C$2:$C$1501,$AH41)&amp;"")</f>
        <v/>
      </c>
      <c r="G41">
        <f>IF($AH41="","",INDEX('Per Line'!$D$2:$D$1501,$AH41)&amp;"")</f>
        <v/>
      </c>
      <c r="H41">
        <f>IF($AH41="","",INDEX('Per Line'!$F$2:$F$1501,$AH41)&amp;"")</f>
        <v/>
      </c>
      <c r="I41" s="14">
        <f>IF($AH41="","",INDEX('Per Line'!$G$2:$G$1501,$AH41))</f>
        <v/>
      </c>
      <c r="J41">
        <f>IF($AH41="","",INDEX('Per Line'!$H$2:$H$1501,$AH41)&amp;"")</f>
        <v/>
      </c>
      <c r="K41">
        <f>IF($AH41="","",INDEX('Per Line'!$J$2:$J$1501,$AH41)&amp;"")</f>
        <v/>
      </c>
      <c r="L41">
        <f>IF($AH41="","",INDEX('Per Line'!$K$2:$K$1501,$AH41)&amp;"")</f>
        <v/>
      </c>
      <c r="M41">
        <f>IF($AH41="","",INDEX('Per Line'!$L$2:$L$1501,$AH41)&amp;"")</f>
        <v/>
      </c>
      <c r="N41">
        <f>IF($AH41="","",INDEX('Per Line'!$M$2:$M$1501,$AH41)&amp;"")</f>
        <v/>
      </c>
      <c r="O41">
        <f>IF($AH41="","",INDEX('Per Line'!$P$2:$P$1501,$AH41))</f>
        <v/>
      </c>
      <c r="P41" s="7">
        <f>IF($AH41="","",O41*AD41/100)</f>
        <v/>
      </c>
      <c r="Q41">
        <f>IF($AH41="","",INDEX('Per Line'!$R$2:$R$1501,$AH41)&amp;"")</f>
        <v/>
      </c>
      <c r="R41">
        <f>IF($AH41="","",INDEX('Per Line'!$AB$2:$AB$1501,$AH41)&amp;"")</f>
        <v/>
      </c>
      <c r="S41">
        <f>IF($AH41="","",Settings!$C$8)</f>
        <v/>
      </c>
      <c r="T41" s="7">
        <f>IF($AH41="","",SUMIFS('Per Line'!$Z$2:$Z$1501,'Per Line'!$E$2:$E$1501,$B41,'Per Line'!$AT$2:$AT$1501,1))</f>
        <v/>
      </c>
      <c r="U41" s="7">
        <f>IF($AH41="","",T41*S41)</f>
        <v/>
      </c>
      <c r="V41">
        <f>IF($AH41="","",Settings!$C$7)</f>
        <v/>
      </c>
      <c r="W41" s="7">
        <f>IF($AH41="","",SUMIFS('Per Line'!$Z$2:$Z$1501,'Per Line'!$E$2:$E$1501,$B41,'Per Line'!$AS$2:$AS$1501,0,'Per Line'!$AT$2:$AT$1501,0))</f>
        <v/>
      </c>
      <c r="X41" s="7">
        <f>IF($AH41="","",W41*V41)</f>
        <v/>
      </c>
      <c r="Y41">
        <f>IF($AH41="","",Settings!$C$6)</f>
        <v/>
      </c>
      <c r="Z41" s="7">
        <f>IF($AH41="","",SUMIFS('Per Line'!$Z$2:$Z$1501,'Per Line'!$E$2:$E$1501,$B41,'Per Line'!$AS$2:$AS$1501,1,'Per Line'!$AT$2:$AT$1501,0))</f>
        <v/>
      </c>
      <c r="AA41" s="7">
        <f>IF($AH41="","",Z41*Y41)</f>
        <v/>
      </c>
      <c r="AB41" s="7">
        <f>IF($AH41="","",AA41+X41+U41)</f>
        <v/>
      </c>
      <c r="AC41" s="7">
        <f>IF($AH41="","",AD41-AB41)</f>
        <v/>
      </c>
      <c r="AD41" s="7">
        <f>IF($AH41="","",W41+Z41+T41)</f>
        <v/>
      </c>
      <c r="AE41" s="7">
        <f>IF($AH41="","",AD41-AB41-P41)</f>
        <v/>
      </c>
      <c r="AF41" s="15" t="n"/>
      <c r="AG41" s="7">
        <f>IF($AH41="","",AE41-N(AF41))</f>
        <v/>
      </c>
      <c r="AH41" s="16">
        <f>IF(ROWS($AH$2:$AH41)&lt;=MAX('Per Line'!$AR$2:$AR$1501),MATCH(ROWS($AH$2:$AH41),'Per Line'!$AR$2:$AR$1501,0),"")</f>
        <v/>
      </c>
      <c r="AI41">
        <f>IF($AH41="","",C41&amp;"|"&amp;COUNTIF($C$2:$C41,C41))</f>
        <v/>
      </c>
    </row>
    <row r="42">
      <c r="A42" s="15" t="n"/>
      <c r="B42">
        <f>IF($AH42="","",INDEX('Per Line'!$E$2:$E$1501,$AH42)&amp;"")</f>
        <v/>
      </c>
      <c r="C42">
        <f>IF($AH42="","",IF(INDEX('Per Line'!$AP$2:$AP$1501,$AH42)="NOT MATCH","NOT MATCH","FULL MATCH"))</f>
        <v/>
      </c>
      <c r="D42">
        <f>IF($AH42="","",INDEX('Per Line'!$A$2:$A$1501,$AH42)&amp;"")</f>
        <v/>
      </c>
      <c r="E42">
        <f>IF($AH42="","",INDEX('Per Line'!$B$2:$B$1501,$AH42))</f>
        <v/>
      </c>
      <c r="F42">
        <f>IF($AH42="","",INDEX('Per Line'!$C$2:$C$1501,$AH42)&amp;"")</f>
        <v/>
      </c>
      <c r="G42">
        <f>IF($AH42="","",INDEX('Per Line'!$D$2:$D$1501,$AH42)&amp;"")</f>
        <v/>
      </c>
      <c r="H42">
        <f>IF($AH42="","",INDEX('Per Line'!$F$2:$F$1501,$AH42)&amp;"")</f>
        <v/>
      </c>
      <c r="I42" s="14">
        <f>IF($AH42="","",INDEX('Per Line'!$G$2:$G$1501,$AH42))</f>
        <v/>
      </c>
      <c r="J42">
        <f>IF($AH42="","",INDEX('Per Line'!$H$2:$H$1501,$AH42)&amp;"")</f>
        <v/>
      </c>
      <c r="K42">
        <f>IF($AH42="","",INDEX('Per Line'!$J$2:$J$1501,$AH42)&amp;"")</f>
        <v/>
      </c>
      <c r="L42">
        <f>IF($AH42="","",INDEX('Per Line'!$K$2:$K$1501,$AH42)&amp;"")</f>
        <v/>
      </c>
      <c r="M42">
        <f>IF($AH42="","",INDEX('Per Line'!$L$2:$L$1501,$AH42)&amp;"")</f>
        <v/>
      </c>
      <c r="N42">
        <f>IF($AH42="","",INDEX('Per Line'!$M$2:$M$1501,$AH42)&amp;"")</f>
        <v/>
      </c>
      <c r="O42">
        <f>IF($AH42="","",INDEX('Per Line'!$P$2:$P$1501,$AH42))</f>
        <v/>
      </c>
      <c r="P42" s="7">
        <f>IF($AH42="","",O42*AD42/100)</f>
        <v/>
      </c>
      <c r="Q42">
        <f>IF($AH42="","",INDEX('Per Line'!$R$2:$R$1501,$AH42)&amp;"")</f>
        <v/>
      </c>
      <c r="R42">
        <f>IF($AH42="","",INDEX('Per Line'!$AB$2:$AB$1501,$AH42)&amp;"")</f>
        <v/>
      </c>
      <c r="S42">
        <f>IF($AH42="","",Settings!$C$8)</f>
        <v/>
      </c>
      <c r="T42" s="7">
        <f>IF($AH42="","",SUMIFS('Per Line'!$Z$2:$Z$1501,'Per Line'!$E$2:$E$1501,$B42,'Per Line'!$AT$2:$AT$1501,1))</f>
        <v/>
      </c>
      <c r="U42" s="7">
        <f>IF($AH42="","",T42*S42)</f>
        <v/>
      </c>
      <c r="V42">
        <f>IF($AH42="","",Settings!$C$7)</f>
        <v/>
      </c>
      <c r="W42" s="7">
        <f>IF($AH42="","",SUMIFS('Per Line'!$Z$2:$Z$1501,'Per Line'!$E$2:$E$1501,$B42,'Per Line'!$AS$2:$AS$1501,0,'Per Line'!$AT$2:$AT$1501,0))</f>
        <v/>
      </c>
      <c r="X42" s="7">
        <f>IF($AH42="","",W42*V42)</f>
        <v/>
      </c>
      <c r="Y42">
        <f>IF($AH42="","",Settings!$C$6)</f>
        <v/>
      </c>
      <c r="Z42" s="7">
        <f>IF($AH42="","",SUMIFS('Per Line'!$Z$2:$Z$1501,'Per Line'!$E$2:$E$1501,$B42,'Per Line'!$AS$2:$AS$1501,1,'Per Line'!$AT$2:$AT$1501,0))</f>
        <v/>
      </c>
      <c r="AA42" s="7">
        <f>IF($AH42="","",Z42*Y42)</f>
        <v/>
      </c>
      <c r="AB42" s="7">
        <f>IF($AH42="","",AA42+X42+U42)</f>
        <v/>
      </c>
      <c r="AC42" s="7">
        <f>IF($AH42="","",AD42-AB42)</f>
        <v/>
      </c>
      <c r="AD42" s="7">
        <f>IF($AH42="","",W42+Z42+T42)</f>
        <v/>
      </c>
      <c r="AE42" s="7">
        <f>IF($AH42="","",AD42-AB42-P42)</f>
        <v/>
      </c>
      <c r="AF42" s="15" t="n"/>
      <c r="AG42" s="7">
        <f>IF($AH42="","",AE42-N(AF42))</f>
        <v/>
      </c>
      <c r="AH42" s="16">
        <f>IF(ROWS($AH$2:$AH42)&lt;=MAX('Per Line'!$AR$2:$AR$1501),MATCH(ROWS($AH$2:$AH42),'Per Line'!$AR$2:$AR$1501,0),"")</f>
        <v/>
      </c>
      <c r="AI42">
        <f>IF($AH42="","",C42&amp;"|"&amp;COUNTIF($C$2:$C42,C42))</f>
        <v/>
      </c>
    </row>
    <row r="43">
      <c r="A43" s="15" t="n"/>
      <c r="B43">
        <f>IF($AH43="","",INDEX('Per Line'!$E$2:$E$1501,$AH43)&amp;"")</f>
        <v/>
      </c>
      <c r="C43">
        <f>IF($AH43="","",IF(INDEX('Per Line'!$AP$2:$AP$1501,$AH43)="NOT MATCH","NOT MATCH","FULL MATCH"))</f>
        <v/>
      </c>
      <c r="D43">
        <f>IF($AH43="","",INDEX('Per Line'!$A$2:$A$1501,$AH43)&amp;"")</f>
        <v/>
      </c>
      <c r="E43">
        <f>IF($AH43="","",INDEX('Per Line'!$B$2:$B$1501,$AH43))</f>
        <v/>
      </c>
      <c r="F43">
        <f>IF($AH43="","",INDEX('Per Line'!$C$2:$C$1501,$AH43)&amp;"")</f>
        <v/>
      </c>
      <c r="G43">
        <f>IF($AH43="","",INDEX('Per Line'!$D$2:$D$1501,$AH43)&amp;"")</f>
        <v/>
      </c>
      <c r="H43">
        <f>IF($AH43="","",INDEX('Per Line'!$F$2:$F$1501,$AH43)&amp;"")</f>
        <v/>
      </c>
      <c r="I43" s="14">
        <f>IF($AH43="","",INDEX('Per Line'!$G$2:$G$1501,$AH43))</f>
        <v/>
      </c>
      <c r="J43">
        <f>IF($AH43="","",INDEX('Per Line'!$H$2:$H$1501,$AH43)&amp;"")</f>
        <v/>
      </c>
      <c r="K43">
        <f>IF($AH43="","",INDEX('Per Line'!$J$2:$J$1501,$AH43)&amp;"")</f>
        <v/>
      </c>
      <c r="L43">
        <f>IF($AH43="","",INDEX('Per Line'!$K$2:$K$1501,$AH43)&amp;"")</f>
        <v/>
      </c>
      <c r="M43">
        <f>IF($AH43="","",INDEX('Per Line'!$L$2:$L$1501,$AH43)&amp;"")</f>
        <v/>
      </c>
      <c r="N43">
        <f>IF($AH43="","",INDEX('Per Line'!$M$2:$M$1501,$AH43)&amp;"")</f>
        <v/>
      </c>
      <c r="O43">
        <f>IF($AH43="","",INDEX('Per Line'!$P$2:$P$1501,$AH43))</f>
        <v/>
      </c>
      <c r="P43" s="7">
        <f>IF($AH43="","",O43*AD43/100)</f>
        <v/>
      </c>
      <c r="Q43">
        <f>IF($AH43="","",INDEX('Per Line'!$R$2:$R$1501,$AH43)&amp;"")</f>
        <v/>
      </c>
      <c r="R43">
        <f>IF($AH43="","",INDEX('Per Line'!$AB$2:$AB$1501,$AH43)&amp;"")</f>
        <v/>
      </c>
      <c r="S43">
        <f>IF($AH43="","",Settings!$C$8)</f>
        <v/>
      </c>
      <c r="T43" s="7">
        <f>IF($AH43="","",SUMIFS('Per Line'!$Z$2:$Z$1501,'Per Line'!$E$2:$E$1501,$B43,'Per Line'!$AT$2:$AT$1501,1))</f>
        <v/>
      </c>
      <c r="U43" s="7">
        <f>IF($AH43="","",T43*S43)</f>
        <v/>
      </c>
      <c r="V43">
        <f>IF($AH43="","",Settings!$C$7)</f>
        <v/>
      </c>
      <c r="W43" s="7">
        <f>IF($AH43="","",SUMIFS('Per Line'!$Z$2:$Z$1501,'Per Line'!$E$2:$E$1501,$B43,'Per Line'!$AS$2:$AS$1501,0,'Per Line'!$AT$2:$AT$1501,0))</f>
        <v/>
      </c>
      <c r="X43" s="7">
        <f>IF($AH43="","",W43*V43)</f>
        <v/>
      </c>
      <c r="Y43">
        <f>IF($AH43="","",Settings!$C$6)</f>
        <v/>
      </c>
      <c r="Z43" s="7">
        <f>IF($AH43="","",SUMIFS('Per Line'!$Z$2:$Z$1501,'Per Line'!$E$2:$E$1501,$B43,'Per Line'!$AS$2:$AS$1501,1,'Per Line'!$AT$2:$AT$1501,0))</f>
        <v/>
      </c>
      <c r="AA43" s="7">
        <f>IF($AH43="","",Z43*Y43)</f>
        <v/>
      </c>
      <c r="AB43" s="7">
        <f>IF($AH43="","",AA43+X43+U43)</f>
        <v/>
      </c>
      <c r="AC43" s="7">
        <f>IF($AH43="","",AD43-AB43)</f>
        <v/>
      </c>
      <c r="AD43" s="7">
        <f>IF($AH43="","",W43+Z43+T43)</f>
        <v/>
      </c>
      <c r="AE43" s="7">
        <f>IF($AH43="","",AD43-AB43-P43)</f>
        <v/>
      </c>
      <c r="AF43" s="15" t="n"/>
      <c r="AG43" s="7">
        <f>IF($AH43="","",AE43-N(AF43))</f>
        <v/>
      </c>
      <c r="AH43" s="16">
        <f>IF(ROWS($AH$2:$AH43)&lt;=MAX('Per Line'!$AR$2:$AR$1501),MATCH(ROWS($AH$2:$AH43),'Per Line'!$AR$2:$AR$1501,0),"")</f>
        <v/>
      </c>
      <c r="AI43">
        <f>IF($AH43="","",C43&amp;"|"&amp;COUNTIF($C$2:$C43,C43))</f>
        <v/>
      </c>
    </row>
    <row r="44">
      <c r="A44" s="15" t="n"/>
      <c r="B44">
        <f>IF($AH44="","",INDEX('Per Line'!$E$2:$E$1501,$AH44)&amp;"")</f>
        <v/>
      </c>
      <c r="C44">
        <f>IF($AH44="","",IF(INDEX('Per Line'!$AP$2:$AP$1501,$AH44)="NOT MATCH","NOT MATCH","FULL MATCH"))</f>
        <v/>
      </c>
      <c r="D44">
        <f>IF($AH44="","",INDEX('Per Line'!$A$2:$A$1501,$AH44)&amp;"")</f>
        <v/>
      </c>
      <c r="E44">
        <f>IF($AH44="","",INDEX('Per Line'!$B$2:$B$1501,$AH44))</f>
        <v/>
      </c>
      <c r="F44">
        <f>IF($AH44="","",INDEX('Per Line'!$C$2:$C$1501,$AH44)&amp;"")</f>
        <v/>
      </c>
      <c r="G44">
        <f>IF($AH44="","",INDEX('Per Line'!$D$2:$D$1501,$AH44)&amp;"")</f>
        <v/>
      </c>
      <c r="H44">
        <f>IF($AH44="","",INDEX('Per Line'!$F$2:$F$1501,$AH44)&amp;"")</f>
        <v/>
      </c>
      <c r="I44" s="14">
        <f>IF($AH44="","",INDEX('Per Line'!$G$2:$G$1501,$AH44))</f>
        <v/>
      </c>
      <c r="J44">
        <f>IF($AH44="","",INDEX('Per Line'!$H$2:$H$1501,$AH44)&amp;"")</f>
        <v/>
      </c>
      <c r="K44">
        <f>IF($AH44="","",INDEX('Per Line'!$J$2:$J$1501,$AH44)&amp;"")</f>
        <v/>
      </c>
      <c r="L44">
        <f>IF($AH44="","",INDEX('Per Line'!$K$2:$K$1501,$AH44)&amp;"")</f>
        <v/>
      </c>
      <c r="M44">
        <f>IF($AH44="","",INDEX('Per Line'!$L$2:$L$1501,$AH44)&amp;"")</f>
        <v/>
      </c>
      <c r="N44">
        <f>IF($AH44="","",INDEX('Per Line'!$M$2:$M$1501,$AH44)&amp;"")</f>
        <v/>
      </c>
      <c r="O44">
        <f>IF($AH44="","",INDEX('Per Line'!$P$2:$P$1501,$AH44))</f>
        <v/>
      </c>
      <c r="P44" s="7">
        <f>IF($AH44="","",O44*AD44/100)</f>
        <v/>
      </c>
      <c r="Q44">
        <f>IF($AH44="","",INDEX('Per Line'!$R$2:$R$1501,$AH44)&amp;"")</f>
        <v/>
      </c>
      <c r="R44">
        <f>IF($AH44="","",INDEX('Per Line'!$AB$2:$AB$1501,$AH44)&amp;"")</f>
        <v/>
      </c>
      <c r="S44">
        <f>IF($AH44="","",Settings!$C$8)</f>
        <v/>
      </c>
      <c r="T44" s="7">
        <f>IF($AH44="","",SUMIFS('Per Line'!$Z$2:$Z$1501,'Per Line'!$E$2:$E$1501,$B44,'Per Line'!$AT$2:$AT$1501,1))</f>
        <v/>
      </c>
      <c r="U44" s="7">
        <f>IF($AH44="","",T44*S44)</f>
        <v/>
      </c>
      <c r="V44">
        <f>IF($AH44="","",Settings!$C$7)</f>
        <v/>
      </c>
      <c r="W44" s="7">
        <f>IF($AH44="","",SUMIFS('Per Line'!$Z$2:$Z$1501,'Per Line'!$E$2:$E$1501,$B44,'Per Line'!$AS$2:$AS$1501,0,'Per Line'!$AT$2:$AT$1501,0))</f>
        <v/>
      </c>
      <c r="X44" s="7">
        <f>IF($AH44="","",W44*V44)</f>
        <v/>
      </c>
      <c r="Y44">
        <f>IF($AH44="","",Settings!$C$6)</f>
        <v/>
      </c>
      <c r="Z44" s="7">
        <f>IF($AH44="","",SUMIFS('Per Line'!$Z$2:$Z$1501,'Per Line'!$E$2:$E$1501,$B44,'Per Line'!$AS$2:$AS$1501,1,'Per Line'!$AT$2:$AT$1501,0))</f>
        <v/>
      </c>
      <c r="AA44" s="7">
        <f>IF($AH44="","",Z44*Y44)</f>
        <v/>
      </c>
      <c r="AB44" s="7">
        <f>IF($AH44="","",AA44+X44+U44)</f>
        <v/>
      </c>
      <c r="AC44" s="7">
        <f>IF($AH44="","",AD44-AB44)</f>
        <v/>
      </c>
      <c r="AD44" s="7">
        <f>IF($AH44="","",W44+Z44+T44)</f>
        <v/>
      </c>
      <c r="AE44" s="7">
        <f>IF($AH44="","",AD44-AB44-P44)</f>
        <v/>
      </c>
      <c r="AF44" s="15" t="n"/>
      <c r="AG44" s="7">
        <f>IF($AH44="","",AE44-N(AF44))</f>
        <v/>
      </c>
      <c r="AH44" s="16">
        <f>IF(ROWS($AH$2:$AH44)&lt;=MAX('Per Line'!$AR$2:$AR$1501),MATCH(ROWS($AH$2:$AH44),'Per Line'!$AR$2:$AR$1501,0),"")</f>
        <v/>
      </c>
      <c r="AI44">
        <f>IF($AH44="","",C44&amp;"|"&amp;COUNTIF($C$2:$C44,C44))</f>
        <v/>
      </c>
    </row>
    <row r="45">
      <c r="A45" s="15" t="n"/>
      <c r="B45">
        <f>IF($AH45="","",INDEX('Per Line'!$E$2:$E$1501,$AH45)&amp;"")</f>
        <v/>
      </c>
      <c r="C45">
        <f>IF($AH45="","",IF(INDEX('Per Line'!$AP$2:$AP$1501,$AH45)="NOT MATCH","NOT MATCH","FULL MATCH"))</f>
        <v/>
      </c>
      <c r="D45">
        <f>IF($AH45="","",INDEX('Per Line'!$A$2:$A$1501,$AH45)&amp;"")</f>
        <v/>
      </c>
      <c r="E45">
        <f>IF($AH45="","",INDEX('Per Line'!$B$2:$B$1501,$AH45))</f>
        <v/>
      </c>
      <c r="F45">
        <f>IF($AH45="","",INDEX('Per Line'!$C$2:$C$1501,$AH45)&amp;"")</f>
        <v/>
      </c>
      <c r="G45">
        <f>IF($AH45="","",INDEX('Per Line'!$D$2:$D$1501,$AH45)&amp;"")</f>
        <v/>
      </c>
      <c r="H45">
        <f>IF($AH45="","",INDEX('Per Line'!$F$2:$F$1501,$AH45)&amp;"")</f>
        <v/>
      </c>
      <c r="I45" s="14">
        <f>IF($AH45="","",INDEX('Per Line'!$G$2:$G$1501,$AH45))</f>
        <v/>
      </c>
      <c r="J45">
        <f>IF($AH45="","",INDEX('Per Line'!$H$2:$H$1501,$AH45)&amp;"")</f>
        <v/>
      </c>
      <c r="K45">
        <f>IF($AH45="","",INDEX('Per Line'!$J$2:$J$1501,$AH45)&amp;"")</f>
        <v/>
      </c>
      <c r="L45">
        <f>IF($AH45="","",INDEX('Per Line'!$K$2:$K$1501,$AH45)&amp;"")</f>
        <v/>
      </c>
      <c r="M45">
        <f>IF($AH45="","",INDEX('Per Line'!$L$2:$L$1501,$AH45)&amp;"")</f>
        <v/>
      </c>
      <c r="N45">
        <f>IF($AH45="","",INDEX('Per Line'!$M$2:$M$1501,$AH45)&amp;"")</f>
        <v/>
      </c>
      <c r="O45">
        <f>IF($AH45="","",INDEX('Per Line'!$P$2:$P$1501,$AH45))</f>
        <v/>
      </c>
      <c r="P45" s="7">
        <f>IF($AH45="","",O45*AD45/100)</f>
        <v/>
      </c>
      <c r="Q45">
        <f>IF($AH45="","",INDEX('Per Line'!$R$2:$R$1501,$AH45)&amp;"")</f>
        <v/>
      </c>
      <c r="R45">
        <f>IF($AH45="","",INDEX('Per Line'!$AB$2:$AB$1501,$AH45)&amp;"")</f>
        <v/>
      </c>
      <c r="S45">
        <f>IF($AH45="","",Settings!$C$8)</f>
        <v/>
      </c>
      <c r="T45" s="7">
        <f>IF($AH45="","",SUMIFS('Per Line'!$Z$2:$Z$1501,'Per Line'!$E$2:$E$1501,$B45,'Per Line'!$AT$2:$AT$1501,1))</f>
        <v/>
      </c>
      <c r="U45" s="7">
        <f>IF($AH45="","",T45*S45)</f>
        <v/>
      </c>
      <c r="V45">
        <f>IF($AH45="","",Settings!$C$7)</f>
        <v/>
      </c>
      <c r="W45" s="7">
        <f>IF($AH45="","",SUMIFS('Per Line'!$Z$2:$Z$1501,'Per Line'!$E$2:$E$1501,$B45,'Per Line'!$AS$2:$AS$1501,0,'Per Line'!$AT$2:$AT$1501,0))</f>
        <v/>
      </c>
      <c r="X45" s="7">
        <f>IF($AH45="","",W45*V45)</f>
        <v/>
      </c>
      <c r="Y45">
        <f>IF($AH45="","",Settings!$C$6)</f>
        <v/>
      </c>
      <c r="Z45" s="7">
        <f>IF($AH45="","",SUMIFS('Per Line'!$Z$2:$Z$1501,'Per Line'!$E$2:$E$1501,$B45,'Per Line'!$AS$2:$AS$1501,1,'Per Line'!$AT$2:$AT$1501,0))</f>
        <v/>
      </c>
      <c r="AA45" s="7">
        <f>IF($AH45="","",Z45*Y45)</f>
        <v/>
      </c>
      <c r="AB45" s="7">
        <f>IF($AH45="","",AA45+X45+U45)</f>
        <v/>
      </c>
      <c r="AC45" s="7">
        <f>IF($AH45="","",AD45-AB45)</f>
        <v/>
      </c>
      <c r="AD45" s="7">
        <f>IF($AH45="","",W45+Z45+T45)</f>
        <v/>
      </c>
      <c r="AE45" s="7">
        <f>IF($AH45="","",AD45-AB45-P45)</f>
        <v/>
      </c>
      <c r="AF45" s="15" t="n"/>
      <c r="AG45" s="7">
        <f>IF($AH45="","",AE45-N(AF45))</f>
        <v/>
      </c>
      <c r="AH45" s="16">
        <f>IF(ROWS($AH$2:$AH45)&lt;=MAX('Per Line'!$AR$2:$AR$1501),MATCH(ROWS($AH$2:$AH45),'Per Line'!$AR$2:$AR$1501,0),"")</f>
        <v/>
      </c>
      <c r="AI45">
        <f>IF($AH45="","",C45&amp;"|"&amp;COUNTIF($C$2:$C45,C45))</f>
        <v/>
      </c>
    </row>
    <row r="46">
      <c r="A46" s="15" t="n"/>
      <c r="B46">
        <f>IF($AH46="","",INDEX('Per Line'!$E$2:$E$1501,$AH46)&amp;"")</f>
        <v/>
      </c>
      <c r="C46">
        <f>IF($AH46="","",IF(INDEX('Per Line'!$AP$2:$AP$1501,$AH46)="NOT MATCH","NOT MATCH","FULL MATCH"))</f>
        <v/>
      </c>
      <c r="D46">
        <f>IF($AH46="","",INDEX('Per Line'!$A$2:$A$1501,$AH46)&amp;"")</f>
        <v/>
      </c>
      <c r="E46">
        <f>IF($AH46="","",INDEX('Per Line'!$B$2:$B$1501,$AH46))</f>
        <v/>
      </c>
      <c r="F46">
        <f>IF($AH46="","",INDEX('Per Line'!$C$2:$C$1501,$AH46)&amp;"")</f>
        <v/>
      </c>
      <c r="G46">
        <f>IF($AH46="","",INDEX('Per Line'!$D$2:$D$1501,$AH46)&amp;"")</f>
        <v/>
      </c>
      <c r="H46">
        <f>IF($AH46="","",INDEX('Per Line'!$F$2:$F$1501,$AH46)&amp;"")</f>
        <v/>
      </c>
      <c r="I46" s="14">
        <f>IF($AH46="","",INDEX('Per Line'!$G$2:$G$1501,$AH46))</f>
        <v/>
      </c>
      <c r="J46">
        <f>IF($AH46="","",INDEX('Per Line'!$H$2:$H$1501,$AH46)&amp;"")</f>
        <v/>
      </c>
      <c r="K46">
        <f>IF($AH46="","",INDEX('Per Line'!$J$2:$J$1501,$AH46)&amp;"")</f>
        <v/>
      </c>
      <c r="L46">
        <f>IF($AH46="","",INDEX('Per Line'!$K$2:$K$1501,$AH46)&amp;"")</f>
        <v/>
      </c>
      <c r="M46">
        <f>IF($AH46="","",INDEX('Per Line'!$L$2:$L$1501,$AH46)&amp;"")</f>
        <v/>
      </c>
      <c r="N46">
        <f>IF($AH46="","",INDEX('Per Line'!$M$2:$M$1501,$AH46)&amp;"")</f>
        <v/>
      </c>
      <c r="O46">
        <f>IF($AH46="","",INDEX('Per Line'!$P$2:$P$1501,$AH46))</f>
        <v/>
      </c>
      <c r="P46" s="7">
        <f>IF($AH46="","",O46*AD46/100)</f>
        <v/>
      </c>
      <c r="Q46">
        <f>IF($AH46="","",INDEX('Per Line'!$R$2:$R$1501,$AH46)&amp;"")</f>
        <v/>
      </c>
      <c r="R46">
        <f>IF($AH46="","",INDEX('Per Line'!$AB$2:$AB$1501,$AH46)&amp;"")</f>
        <v/>
      </c>
      <c r="S46">
        <f>IF($AH46="","",Settings!$C$8)</f>
        <v/>
      </c>
      <c r="T46" s="7">
        <f>IF($AH46="","",SUMIFS('Per Line'!$Z$2:$Z$1501,'Per Line'!$E$2:$E$1501,$B46,'Per Line'!$AT$2:$AT$1501,1))</f>
        <v/>
      </c>
      <c r="U46" s="7">
        <f>IF($AH46="","",T46*S46)</f>
        <v/>
      </c>
      <c r="V46">
        <f>IF($AH46="","",Settings!$C$7)</f>
        <v/>
      </c>
      <c r="W46" s="7">
        <f>IF($AH46="","",SUMIFS('Per Line'!$Z$2:$Z$1501,'Per Line'!$E$2:$E$1501,$B46,'Per Line'!$AS$2:$AS$1501,0,'Per Line'!$AT$2:$AT$1501,0))</f>
        <v/>
      </c>
      <c r="X46" s="7">
        <f>IF($AH46="","",W46*V46)</f>
        <v/>
      </c>
      <c r="Y46">
        <f>IF($AH46="","",Settings!$C$6)</f>
        <v/>
      </c>
      <c r="Z46" s="7">
        <f>IF($AH46="","",SUMIFS('Per Line'!$Z$2:$Z$1501,'Per Line'!$E$2:$E$1501,$B46,'Per Line'!$AS$2:$AS$1501,1,'Per Line'!$AT$2:$AT$1501,0))</f>
        <v/>
      </c>
      <c r="AA46" s="7">
        <f>IF($AH46="","",Z46*Y46)</f>
        <v/>
      </c>
      <c r="AB46" s="7">
        <f>IF($AH46="","",AA46+X46+U46)</f>
        <v/>
      </c>
      <c r="AC46" s="7">
        <f>IF($AH46="","",AD46-AB46)</f>
        <v/>
      </c>
      <c r="AD46" s="7">
        <f>IF($AH46="","",W46+Z46+T46)</f>
        <v/>
      </c>
      <c r="AE46" s="7">
        <f>IF($AH46="","",AD46-AB46-P46)</f>
        <v/>
      </c>
      <c r="AF46" s="15" t="n"/>
      <c r="AG46" s="7">
        <f>IF($AH46="","",AE46-N(AF46))</f>
        <v/>
      </c>
      <c r="AH46" s="16">
        <f>IF(ROWS($AH$2:$AH46)&lt;=MAX('Per Line'!$AR$2:$AR$1501),MATCH(ROWS($AH$2:$AH46),'Per Line'!$AR$2:$AR$1501,0),"")</f>
        <v/>
      </c>
      <c r="AI46">
        <f>IF($AH46="","",C46&amp;"|"&amp;COUNTIF($C$2:$C46,C46))</f>
        <v/>
      </c>
    </row>
    <row r="47">
      <c r="A47" s="15" t="n"/>
      <c r="B47">
        <f>IF($AH47="","",INDEX('Per Line'!$E$2:$E$1501,$AH47)&amp;"")</f>
        <v/>
      </c>
      <c r="C47">
        <f>IF($AH47="","",IF(INDEX('Per Line'!$AP$2:$AP$1501,$AH47)="NOT MATCH","NOT MATCH","FULL MATCH"))</f>
        <v/>
      </c>
      <c r="D47">
        <f>IF($AH47="","",INDEX('Per Line'!$A$2:$A$1501,$AH47)&amp;"")</f>
        <v/>
      </c>
      <c r="E47">
        <f>IF($AH47="","",INDEX('Per Line'!$B$2:$B$1501,$AH47))</f>
        <v/>
      </c>
      <c r="F47">
        <f>IF($AH47="","",INDEX('Per Line'!$C$2:$C$1501,$AH47)&amp;"")</f>
        <v/>
      </c>
      <c r="G47">
        <f>IF($AH47="","",INDEX('Per Line'!$D$2:$D$1501,$AH47)&amp;"")</f>
        <v/>
      </c>
      <c r="H47">
        <f>IF($AH47="","",INDEX('Per Line'!$F$2:$F$1501,$AH47)&amp;"")</f>
        <v/>
      </c>
      <c r="I47" s="14">
        <f>IF($AH47="","",INDEX('Per Line'!$G$2:$G$1501,$AH47))</f>
        <v/>
      </c>
      <c r="J47">
        <f>IF($AH47="","",INDEX('Per Line'!$H$2:$H$1501,$AH47)&amp;"")</f>
        <v/>
      </c>
      <c r="K47">
        <f>IF($AH47="","",INDEX('Per Line'!$J$2:$J$1501,$AH47)&amp;"")</f>
        <v/>
      </c>
      <c r="L47">
        <f>IF($AH47="","",INDEX('Per Line'!$K$2:$K$1501,$AH47)&amp;"")</f>
        <v/>
      </c>
      <c r="M47">
        <f>IF($AH47="","",INDEX('Per Line'!$L$2:$L$1501,$AH47)&amp;"")</f>
        <v/>
      </c>
      <c r="N47">
        <f>IF($AH47="","",INDEX('Per Line'!$M$2:$M$1501,$AH47)&amp;"")</f>
        <v/>
      </c>
      <c r="O47">
        <f>IF($AH47="","",INDEX('Per Line'!$P$2:$P$1501,$AH47))</f>
        <v/>
      </c>
      <c r="P47" s="7">
        <f>IF($AH47="","",O47*AD47/100)</f>
        <v/>
      </c>
      <c r="Q47">
        <f>IF($AH47="","",INDEX('Per Line'!$R$2:$R$1501,$AH47)&amp;"")</f>
        <v/>
      </c>
      <c r="R47">
        <f>IF($AH47="","",INDEX('Per Line'!$AB$2:$AB$1501,$AH47)&amp;"")</f>
        <v/>
      </c>
      <c r="S47">
        <f>IF($AH47="","",Settings!$C$8)</f>
        <v/>
      </c>
      <c r="T47" s="7">
        <f>IF($AH47="","",SUMIFS('Per Line'!$Z$2:$Z$1501,'Per Line'!$E$2:$E$1501,$B47,'Per Line'!$AT$2:$AT$1501,1))</f>
        <v/>
      </c>
      <c r="U47" s="7">
        <f>IF($AH47="","",T47*S47)</f>
        <v/>
      </c>
      <c r="V47">
        <f>IF($AH47="","",Settings!$C$7)</f>
        <v/>
      </c>
      <c r="W47" s="7">
        <f>IF($AH47="","",SUMIFS('Per Line'!$Z$2:$Z$1501,'Per Line'!$E$2:$E$1501,$B47,'Per Line'!$AS$2:$AS$1501,0,'Per Line'!$AT$2:$AT$1501,0))</f>
        <v/>
      </c>
      <c r="X47" s="7">
        <f>IF($AH47="","",W47*V47)</f>
        <v/>
      </c>
      <c r="Y47">
        <f>IF($AH47="","",Settings!$C$6)</f>
        <v/>
      </c>
      <c r="Z47" s="7">
        <f>IF($AH47="","",SUMIFS('Per Line'!$Z$2:$Z$1501,'Per Line'!$E$2:$E$1501,$B47,'Per Line'!$AS$2:$AS$1501,1,'Per Line'!$AT$2:$AT$1501,0))</f>
        <v/>
      </c>
      <c r="AA47" s="7">
        <f>IF($AH47="","",Z47*Y47)</f>
        <v/>
      </c>
      <c r="AB47" s="7">
        <f>IF($AH47="","",AA47+X47+U47)</f>
        <v/>
      </c>
      <c r="AC47" s="7">
        <f>IF($AH47="","",AD47-AB47)</f>
        <v/>
      </c>
      <c r="AD47" s="7">
        <f>IF($AH47="","",W47+Z47+T47)</f>
        <v/>
      </c>
      <c r="AE47" s="7">
        <f>IF($AH47="","",AD47-AB47-P47)</f>
        <v/>
      </c>
      <c r="AF47" s="15" t="n"/>
      <c r="AG47" s="7">
        <f>IF($AH47="","",AE47-N(AF47))</f>
        <v/>
      </c>
      <c r="AH47" s="16">
        <f>IF(ROWS($AH$2:$AH47)&lt;=MAX('Per Line'!$AR$2:$AR$1501),MATCH(ROWS($AH$2:$AH47),'Per Line'!$AR$2:$AR$1501,0),"")</f>
        <v/>
      </c>
      <c r="AI47">
        <f>IF($AH47="","",C47&amp;"|"&amp;COUNTIF($C$2:$C47,C47))</f>
        <v/>
      </c>
    </row>
    <row r="48">
      <c r="A48" s="15" t="n"/>
      <c r="B48">
        <f>IF($AH48="","",INDEX('Per Line'!$E$2:$E$1501,$AH48)&amp;"")</f>
        <v/>
      </c>
      <c r="C48">
        <f>IF($AH48="","",IF(INDEX('Per Line'!$AP$2:$AP$1501,$AH48)="NOT MATCH","NOT MATCH","FULL MATCH"))</f>
        <v/>
      </c>
      <c r="D48">
        <f>IF($AH48="","",INDEX('Per Line'!$A$2:$A$1501,$AH48)&amp;"")</f>
        <v/>
      </c>
      <c r="E48">
        <f>IF($AH48="","",INDEX('Per Line'!$B$2:$B$1501,$AH48))</f>
        <v/>
      </c>
      <c r="F48">
        <f>IF($AH48="","",INDEX('Per Line'!$C$2:$C$1501,$AH48)&amp;"")</f>
        <v/>
      </c>
      <c r="G48">
        <f>IF($AH48="","",INDEX('Per Line'!$D$2:$D$1501,$AH48)&amp;"")</f>
        <v/>
      </c>
      <c r="H48">
        <f>IF($AH48="","",INDEX('Per Line'!$F$2:$F$1501,$AH48)&amp;"")</f>
        <v/>
      </c>
      <c r="I48" s="14">
        <f>IF($AH48="","",INDEX('Per Line'!$G$2:$G$1501,$AH48))</f>
        <v/>
      </c>
      <c r="J48">
        <f>IF($AH48="","",INDEX('Per Line'!$H$2:$H$1501,$AH48)&amp;"")</f>
        <v/>
      </c>
      <c r="K48">
        <f>IF($AH48="","",INDEX('Per Line'!$J$2:$J$1501,$AH48)&amp;"")</f>
        <v/>
      </c>
      <c r="L48">
        <f>IF($AH48="","",INDEX('Per Line'!$K$2:$K$1501,$AH48)&amp;"")</f>
        <v/>
      </c>
      <c r="M48">
        <f>IF($AH48="","",INDEX('Per Line'!$L$2:$L$1501,$AH48)&amp;"")</f>
        <v/>
      </c>
      <c r="N48">
        <f>IF($AH48="","",INDEX('Per Line'!$M$2:$M$1501,$AH48)&amp;"")</f>
        <v/>
      </c>
      <c r="O48">
        <f>IF($AH48="","",INDEX('Per Line'!$P$2:$P$1501,$AH48))</f>
        <v/>
      </c>
      <c r="P48" s="7">
        <f>IF($AH48="","",O48*AD48/100)</f>
        <v/>
      </c>
      <c r="Q48">
        <f>IF($AH48="","",INDEX('Per Line'!$R$2:$R$1501,$AH48)&amp;"")</f>
        <v/>
      </c>
      <c r="R48">
        <f>IF($AH48="","",INDEX('Per Line'!$AB$2:$AB$1501,$AH48)&amp;"")</f>
        <v/>
      </c>
      <c r="S48">
        <f>IF($AH48="","",Settings!$C$8)</f>
        <v/>
      </c>
      <c r="T48" s="7">
        <f>IF($AH48="","",SUMIFS('Per Line'!$Z$2:$Z$1501,'Per Line'!$E$2:$E$1501,$B48,'Per Line'!$AT$2:$AT$1501,1))</f>
        <v/>
      </c>
      <c r="U48" s="7">
        <f>IF($AH48="","",T48*S48)</f>
        <v/>
      </c>
      <c r="V48">
        <f>IF($AH48="","",Settings!$C$7)</f>
        <v/>
      </c>
      <c r="W48" s="7">
        <f>IF($AH48="","",SUMIFS('Per Line'!$Z$2:$Z$1501,'Per Line'!$E$2:$E$1501,$B48,'Per Line'!$AS$2:$AS$1501,0,'Per Line'!$AT$2:$AT$1501,0))</f>
        <v/>
      </c>
      <c r="X48" s="7">
        <f>IF($AH48="","",W48*V48)</f>
        <v/>
      </c>
      <c r="Y48">
        <f>IF($AH48="","",Settings!$C$6)</f>
        <v/>
      </c>
      <c r="Z48" s="7">
        <f>IF($AH48="","",SUMIFS('Per Line'!$Z$2:$Z$1501,'Per Line'!$E$2:$E$1501,$B48,'Per Line'!$AS$2:$AS$1501,1,'Per Line'!$AT$2:$AT$1501,0))</f>
        <v/>
      </c>
      <c r="AA48" s="7">
        <f>IF($AH48="","",Z48*Y48)</f>
        <v/>
      </c>
      <c r="AB48" s="7">
        <f>IF($AH48="","",AA48+X48+U48)</f>
        <v/>
      </c>
      <c r="AC48" s="7">
        <f>IF($AH48="","",AD48-AB48)</f>
        <v/>
      </c>
      <c r="AD48" s="7">
        <f>IF($AH48="","",W48+Z48+T48)</f>
        <v/>
      </c>
      <c r="AE48" s="7">
        <f>IF($AH48="","",AD48-AB48-P48)</f>
        <v/>
      </c>
      <c r="AF48" s="15" t="n"/>
      <c r="AG48" s="7">
        <f>IF($AH48="","",AE48-N(AF48))</f>
        <v/>
      </c>
      <c r="AH48" s="16">
        <f>IF(ROWS($AH$2:$AH48)&lt;=MAX('Per Line'!$AR$2:$AR$1501),MATCH(ROWS($AH$2:$AH48),'Per Line'!$AR$2:$AR$1501,0),"")</f>
        <v/>
      </c>
      <c r="AI48">
        <f>IF($AH48="","",C48&amp;"|"&amp;COUNTIF($C$2:$C48,C48))</f>
        <v/>
      </c>
    </row>
    <row r="49">
      <c r="A49" s="15" t="n"/>
      <c r="B49">
        <f>IF($AH49="","",INDEX('Per Line'!$E$2:$E$1501,$AH49)&amp;"")</f>
        <v/>
      </c>
      <c r="C49">
        <f>IF($AH49="","",IF(INDEX('Per Line'!$AP$2:$AP$1501,$AH49)="NOT MATCH","NOT MATCH","FULL MATCH"))</f>
        <v/>
      </c>
      <c r="D49">
        <f>IF($AH49="","",INDEX('Per Line'!$A$2:$A$1501,$AH49)&amp;"")</f>
        <v/>
      </c>
      <c r="E49">
        <f>IF($AH49="","",INDEX('Per Line'!$B$2:$B$1501,$AH49))</f>
        <v/>
      </c>
      <c r="F49">
        <f>IF($AH49="","",INDEX('Per Line'!$C$2:$C$1501,$AH49)&amp;"")</f>
        <v/>
      </c>
      <c r="G49">
        <f>IF($AH49="","",INDEX('Per Line'!$D$2:$D$1501,$AH49)&amp;"")</f>
        <v/>
      </c>
      <c r="H49">
        <f>IF($AH49="","",INDEX('Per Line'!$F$2:$F$1501,$AH49)&amp;"")</f>
        <v/>
      </c>
      <c r="I49" s="14">
        <f>IF($AH49="","",INDEX('Per Line'!$G$2:$G$1501,$AH49))</f>
        <v/>
      </c>
      <c r="J49">
        <f>IF($AH49="","",INDEX('Per Line'!$H$2:$H$1501,$AH49)&amp;"")</f>
        <v/>
      </c>
      <c r="K49">
        <f>IF($AH49="","",INDEX('Per Line'!$J$2:$J$1501,$AH49)&amp;"")</f>
        <v/>
      </c>
      <c r="L49">
        <f>IF($AH49="","",INDEX('Per Line'!$K$2:$K$1501,$AH49)&amp;"")</f>
        <v/>
      </c>
      <c r="M49">
        <f>IF($AH49="","",INDEX('Per Line'!$L$2:$L$1501,$AH49)&amp;"")</f>
        <v/>
      </c>
      <c r="N49">
        <f>IF($AH49="","",INDEX('Per Line'!$M$2:$M$1501,$AH49)&amp;"")</f>
        <v/>
      </c>
      <c r="O49">
        <f>IF($AH49="","",INDEX('Per Line'!$P$2:$P$1501,$AH49))</f>
        <v/>
      </c>
      <c r="P49" s="7">
        <f>IF($AH49="","",O49*AD49/100)</f>
        <v/>
      </c>
      <c r="Q49">
        <f>IF($AH49="","",INDEX('Per Line'!$R$2:$R$1501,$AH49)&amp;"")</f>
        <v/>
      </c>
      <c r="R49">
        <f>IF($AH49="","",INDEX('Per Line'!$AB$2:$AB$1501,$AH49)&amp;"")</f>
        <v/>
      </c>
      <c r="S49">
        <f>IF($AH49="","",Settings!$C$8)</f>
        <v/>
      </c>
      <c r="T49" s="7">
        <f>IF($AH49="","",SUMIFS('Per Line'!$Z$2:$Z$1501,'Per Line'!$E$2:$E$1501,$B49,'Per Line'!$AT$2:$AT$1501,1))</f>
        <v/>
      </c>
      <c r="U49" s="7">
        <f>IF($AH49="","",T49*S49)</f>
        <v/>
      </c>
      <c r="V49">
        <f>IF($AH49="","",Settings!$C$7)</f>
        <v/>
      </c>
      <c r="W49" s="7">
        <f>IF($AH49="","",SUMIFS('Per Line'!$Z$2:$Z$1501,'Per Line'!$E$2:$E$1501,$B49,'Per Line'!$AS$2:$AS$1501,0,'Per Line'!$AT$2:$AT$1501,0))</f>
        <v/>
      </c>
      <c r="X49" s="7">
        <f>IF($AH49="","",W49*V49)</f>
        <v/>
      </c>
      <c r="Y49">
        <f>IF($AH49="","",Settings!$C$6)</f>
        <v/>
      </c>
      <c r="Z49" s="7">
        <f>IF($AH49="","",SUMIFS('Per Line'!$Z$2:$Z$1501,'Per Line'!$E$2:$E$1501,$B49,'Per Line'!$AS$2:$AS$1501,1,'Per Line'!$AT$2:$AT$1501,0))</f>
        <v/>
      </c>
      <c r="AA49" s="7">
        <f>IF($AH49="","",Z49*Y49)</f>
        <v/>
      </c>
      <c r="AB49" s="7">
        <f>IF($AH49="","",AA49+X49+U49)</f>
        <v/>
      </c>
      <c r="AC49" s="7">
        <f>IF($AH49="","",AD49-AB49)</f>
        <v/>
      </c>
      <c r="AD49" s="7">
        <f>IF($AH49="","",W49+Z49+T49)</f>
        <v/>
      </c>
      <c r="AE49" s="7">
        <f>IF($AH49="","",AD49-AB49-P49)</f>
        <v/>
      </c>
      <c r="AF49" s="15" t="n"/>
      <c r="AG49" s="7">
        <f>IF($AH49="","",AE49-N(AF49))</f>
        <v/>
      </c>
      <c r="AH49" s="16">
        <f>IF(ROWS($AH$2:$AH49)&lt;=MAX('Per Line'!$AR$2:$AR$1501),MATCH(ROWS($AH$2:$AH49),'Per Line'!$AR$2:$AR$1501,0),"")</f>
        <v/>
      </c>
      <c r="AI49">
        <f>IF($AH49="","",C49&amp;"|"&amp;COUNTIF($C$2:$C49,C49))</f>
        <v/>
      </c>
    </row>
    <row r="50">
      <c r="A50" s="15" t="n"/>
      <c r="B50">
        <f>IF($AH50="","",INDEX('Per Line'!$E$2:$E$1501,$AH50)&amp;"")</f>
        <v/>
      </c>
      <c r="C50">
        <f>IF($AH50="","",IF(INDEX('Per Line'!$AP$2:$AP$1501,$AH50)="NOT MATCH","NOT MATCH","FULL MATCH"))</f>
        <v/>
      </c>
      <c r="D50">
        <f>IF($AH50="","",INDEX('Per Line'!$A$2:$A$1501,$AH50)&amp;"")</f>
        <v/>
      </c>
      <c r="E50">
        <f>IF($AH50="","",INDEX('Per Line'!$B$2:$B$1501,$AH50))</f>
        <v/>
      </c>
      <c r="F50">
        <f>IF($AH50="","",INDEX('Per Line'!$C$2:$C$1501,$AH50)&amp;"")</f>
        <v/>
      </c>
      <c r="G50">
        <f>IF($AH50="","",INDEX('Per Line'!$D$2:$D$1501,$AH50)&amp;"")</f>
        <v/>
      </c>
      <c r="H50">
        <f>IF($AH50="","",INDEX('Per Line'!$F$2:$F$1501,$AH50)&amp;"")</f>
        <v/>
      </c>
      <c r="I50" s="14">
        <f>IF($AH50="","",INDEX('Per Line'!$G$2:$G$1501,$AH50))</f>
        <v/>
      </c>
      <c r="J50">
        <f>IF($AH50="","",INDEX('Per Line'!$H$2:$H$1501,$AH50)&amp;"")</f>
        <v/>
      </c>
      <c r="K50">
        <f>IF($AH50="","",INDEX('Per Line'!$J$2:$J$1501,$AH50)&amp;"")</f>
        <v/>
      </c>
      <c r="L50">
        <f>IF($AH50="","",INDEX('Per Line'!$K$2:$K$1501,$AH50)&amp;"")</f>
        <v/>
      </c>
      <c r="M50">
        <f>IF($AH50="","",INDEX('Per Line'!$L$2:$L$1501,$AH50)&amp;"")</f>
        <v/>
      </c>
      <c r="N50">
        <f>IF($AH50="","",INDEX('Per Line'!$M$2:$M$1501,$AH50)&amp;"")</f>
        <v/>
      </c>
      <c r="O50">
        <f>IF($AH50="","",INDEX('Per Line'!$P$2:$P$1501,$AH50))</f>
        <v/>
      </c>
      <c r="P50" s="7">
        <f>IF($AH50="","",O50*AD50/100)</f>
        <v/>
      </c>
      <c r="Q50">
        <f>IF($AH50="","",INDEX('Per Line'!$R$2:$R$1501,$AH50)&amp;"")</f>
        <v/>
      </c>
      <c r="R50">
        <f>IF($AH50="","",INDEX('Per Line'!$AB$2:$AB$1501,$AH50)&amp;"")</f>
        <v/>
      </c>
      <c r="S50">
        <f>IF($AH50="","",Settings!$C$8)</f>
        <v/>
      </c>
      <c r="T50" s="7">
        <f>IF($AH50="","",SUMIFS('Per Line'!$Z$2:$Z$1501,'Per Line'!$E$2:$E$1501,$B50,'Per Line'!$AT$2:$AT$1501,1))</f>
        <v/>
      </c>
      <c r="U50" s="7">
        <f>IF($AH50="","",T50*S50)</f>
        <v/>
      </c>
      <c r="V50">
        <f>IF($AH50="","",Settings!$C$7)</f>
        <v/>
      </c>
      <c r="W50" s="7">
        <f>IF($AH50="","",SUMIFS('Per Line'!$Z$2:$Z$1501,'Per Line'!$E$2:$E$1501,$B50,'Per Line'!$AS$2:$AS$1501,0,'Per Line'!$AT$2:$AT$1501,0))</f>
        <v/>
      </c>
      <c r="X50" s="7">
        <f>IF($AH50="","",W50*V50)</f>
        <v/>
      </c>
      <c r="Y50">
        <f>IF($AH50="","",Settings!$C$6)</f>
        <v/>
      </c>
      <c r="Z50" s="7">
        <f>IF($AH50="","",SUMIFS('Per Line'!$Z$2:$Z$1501,'Per Line'!$E$2:$E$1501,$B50,'Per Line'!$AS$2:$AS$1501,1,'Per Line'!$AT$2:$AT$1501,0))</f>
        <v/>
      </c>
      <c r="AA50" s="7">
        <f>IF($AH50="","",Z50*Y50)</f>
        <v/>
      </c>
      <c r="AB50" s="7">
        <f>IF($AH50="","",AA50+X50+U50)</f>
        <v/>
      </c>
      <c r="AC50" s="7">
        <f>IF($AH50="","",AD50-AB50)</f>
        <v/>
      </c>
      <c r="AD50" s="7">
        <f>IF($AH50="","",W50+Z50+T50)</f>
        <v/>
      </c>
      <c r="AE50" s="7">
        <f>IF($AH50="","",AD50-AB50-P50)</f>
        <v/>
      </c>
      <c r="AF50" s="15" t="n"/>
      <c r="AG50" s="7">
        <f>IF($AH50="","",AE50-N(AF50))</f>
        <v/>
      </c>
      <c r="AH50" s="16">
        <f>IF(ROWS($AH$2:$AH50)&lt;=MAX('Per Line'!$AR$2:$AR$1501),MATCH(ROWS($AH$2:$AH50),'Per Line'!$AR$2:$AR$1501,0),"")</f>
        <v/>
      </c>
      <c r="AI50">
        <f>IF($AH50="","",C50&amp;"|"&amp;COUNTIF($C$2:$C50,C50))</f>
        <v/>
      </c>
    </row>
    <row r="51">
      <c r="A51" s="15" t="n"/>
      <c r="B51">
        <f>IF($AH51="","",INDEX('Per Line'!$E$2:$E$1501,$AH51)&amp;"")</f>
        <v/>
      </c>
      <c r="C51">
        <f>IF($AH51="","",IF(INDEX('Per Line'!$AP$2:$AP$1501,$AH51)="NOT MATCH","NOT MATCH","FULL MATCH"))</f>
        <v/>
      </c>
      <c r="D51">
        <f>IF($AH51="","",INDEX('Per Line'!$A$2:$A$1501,$AH51)&amp;"")</f>
        <v/>
      </c>
      <c r="E51">
        <f>IF($AH51="","",INDEX('Per Line'!$B$2:$B$1501,$AH51))</f>
        <v/>
      </c>
      <c r="F51">
        <f>IF($AH51="","",INDEX('Per Line'!$C$2:$C$1501,$AH51)&amp;"")</f>
        <v/>
      </c>
      <c r="G51">
        <f>IF($AH51="","",INDEX('Per Line'!$D$2:$D$1501,$AH51)&amp;"")</f>
        <v/>
      </c>
      <c r="H51">
        <f>IF($AH51="","",INDEX('Per Line'!$F$2:$F$1501,$AH51)&amp;"")</f>
        <v/>
      </c>
      <c r="I51" s="14">
        <f>IF($AH51="","",INDEX('Per Line'!$G$2:$G$1501,$AH51))</f>
        <v/>
      </c>
      <c r="J51">
        <f>IF($AH51="","",INDEX('Per Line'!$H$2:$H$1501,$AH51)&amp;"")</f>
        <v/>
      </c>
      <c r="K51">
        <f>IF($AH51="","",INDEX('Per Line'!$J$2:$J$1501,$AH51)&amp;"")</f>
        <v/>
      </c>
      <c r="L51">
        <f>IF($AH51="","",INDEX('Per Line'!$K$2:$K$1501,$AH51)&amp;"")</f>
        <v/>
      </c>
      <c r="M51">
        <f>IF($AH51="","",INDEX('Per Line'!$L$2:$L$1501,$AH51)&amp;"")</f>
        <v/>
      </c>
      <c r="N51">
        <f>IF($AH51="","",INDEX('Per Line'!$M$2:$M$1501,$AH51)&amp;"")</f>
        <v/>
      </c>
      <c r="O51">
        <f>IF($AH51="","",INDEX('Per Line'!$P$2:$P$1501,$AH51))</f>
        <v/>
      </c>
      <c r="P51" s="7">
        <f>IF($AH51="","",O51*AD51/100)</f>
        <v/>
      </c>
      <c r="Q51">
        <f>IF($AH51="","",INDEX('Per Line'!$R$2:$R$1501,$AH51)&amp;"")</f>
        <v/>
      </c>
      <c r="R51">
        <f>IF($AH51="","",INDEX('Per Line'!$AB$2:$AB$1501,$AH51)&amp;"")</f>
        <v/>
      </c>
      <c r="S51">
        <f>IF($AH51="","",Settings!$C$8)</f>
        <v/>
      </c>
      <c r="T51" s="7">
        <f>IF($AH51="","",SUMIFS('Per Line'!$Z$2:$Z$1501,'Per Line'!$E$2:$E$1501,$B51,'Per Line'!$AT$2:$AT$1501,1))</f>
        <v/>
      </c>
      <c r="U51" s="7">
        <f>IF($AH51="","",T51*S51)</f>
        <v/>
      </c>
      <c r="V51">
        <f>IF($AH51="","",Settings!$C$7)</f>
        <v/>
      </c>
      <c r="W51" s="7">
        <f>IF($AH51="","",SUMIFS('Per Line'!$Z$2:$Z$1501,'Per Line'!$E$2:$E$1501,$B51,'Per Line'!$AS$2:$AS$1501,0,'Per Line'!$AT$2:$AT$1501,0))</f>
        <v/>
      </c>
      <c r="X51" s="7">
        <f>IF($AH51="","",W51*V51)</f>
        <v/>
      </c>
      <c r="Y51">
        <f>IF($AH51="","",Settings!$C$6)</f>
        <v/>
      </c>
      <c r="Z51" s="7">
        <f>IF($AH51="","",SUMIFS('Per Line'!$Z$2:$Z$1501,'Per Line'!$E$2:$E$1501,$B51,'Per Line'!$AS$2:$AS$1501,1,'Per Line'!$AT$2:$AT$1501,0))</f>
        <v/>
      </c>
      <c r="AA51" s="7">
        <f>IF($AH51="","",Z51*Y51)</f>
        <v/>
      </c>
      <c r="AB51" s="7">
        <f>IF($AH51="","",AA51+X51+U51)</f>
        <v/>
      </c>
      <c r="AC51" s="7">
        <f>IF($AH51="","",AD51-AB51)</f>
        <v/>
      </c>
      <c r="AD51" s="7">
        <f>IF($AH51="","",W51+Z51+T51)</f>
        <v/>
      </c>
      <c r="AE51" s="7">
        <f>IF($AH51="","",AD51-AB51-P51)</f>
        <v/>
      </c>
      <c r="AF51" s="15" t="n"/>
      <c r="AG51" s="7">
        <f>IF($AH51="","",AE51-N(AF51))</f>
        <v/>
      </c>
      <c r="AH51" s="16">
        <f>IF(ROWS($AH$2:$AH51)&lt;=MAX('Per Line'!$AR$2:$AR$1501),MATCH(ROWS($AH$2:$AH51),'Per Line'!$AR$2:$AR$1501,0),"")</f>
        <v/>
      </c>
      <c r="AI51">
        <f>IF($AH51="","",C51&amp;"|"&amp;COUNTIF($C$2:$C51,C51))</f>
        <v/>
      </c>
    </row>
    <row r="52">
      <c r="A52" s="15" t="n"/>
      <c r="B52">
        <f>IF($AH52="","",INDEX('Per Line'!$E$2:$E$1501,$AH52)&amp;"")</f>
        <v/>
      </c>
      <c r="C52">
        <f>IF($AH52="","",IF(INDEX('Per Line'!$AP$2:$AP$1501,$AH52)="NOT MATCH","NOT MATCH","FULL MATCH"))</f>
        <v/>
      </c>
      <c r="D52">
        <f>IF($AH52="","",INDEX('Per Line'!$A$2:$A$1501,$AH52)&amp;"")</f>
        <v/>
      </c>
      <c r="E52">
        <f>IF($AH52="","",INDEX('Per Line'!$B$2:$B$1501,$AH52))</f>
        <v/>
      </c>
      <c r="F52">
        <f>IF($AH52="","",INDEX('Per Line'!$C$2:$C$1501,$AH52)&amp;"")</f>
        <v/>
      </c>
      <c r="G52">
        <f>IF($AH52="","",INDEX('Per Line'!$D$2:$D$1501,$AH52)&amp;"")</f>
        <v/>
      </c>
      <c r="H52">
        <f>IF($AH52="","",INDEX('Per Line'!$F$2:$F$1501,$AH52)&amp;"")</f>
        <v/>
      </c>
      <c r="I52" s="14">
        <f>IF($AH52="","",INDEX('Per Line'!$G$2:$G$1501,$AH52))</f>
        <v/>
      </c>
      <c r="J52">
        <f>IF($AH52="","",INDEX('Per Line'!$H$2:$H$1501,$AH52)&amp;"")</f>
        <v/>
      </c>
      <c r="K52">
        <f>IF($AH52="","",INDEX('Per Line'!$J$2:$J$1501,$AH52)&amp;"")</f>
        <v/>
      </c>
      <c r="L52">
        <f>IF($AH52="","",INDEX('Per Line'!$K$2:$K$1501,$AH52)&amp;"")</f>
        <v/>
      </c>
      <c r="M52">
        <f>IF($AH52="","",INDEX('Per Line'!$L$2:$L$1501,$AH52)&amp;"")</f>
        <v/>
      </c>
      <c r="N52">
        <f>IF($AH52="","",INDEX('Per Line'!$M$2:$M$1501,$AH52)&amp;"")</f>
        <v/>
      </c>
      <c r="O52">
        <f>IF($AH52="","",INDEX('Per Line'!$P$2:$P$1501,$AH52))</f>
        <v/>
      </c>
      <c r="P52" s="7">
        <f>IF($AH52="","",O52*AD52/100)</f>
        <v/>
      </c>
      <c r="Q52">
        <f>IF($AH52="","",INDEX('Per Line'!$R$2:$R$1501,$AH52)&amp;"")</f>
        <v/>
      </c>
      <c r="R52">
        <f>IF($AH52="","",INDEX('Per Line'!$AB$2:$AB$1501,$AH52)&amp;"")</f>
        <v/>
      </c>
      <c r="S52">
        <f>IF($AH52="","",Settings!$C$8)</f>
        <v/>
      </c>
      <c r="T52" s="7">
        <f>IF($AH52="","",SUMIFS('Per Line'!$Z$2:$Z$1501,'Per Line'!$E$2:$E$1501,$B52,'Per Line'!$AT$2:$AT$1501,1))</f>
        <v/>
      </c>
      <c r="U52" s="7">
        <f>IF($AH52="","",T52*S52)</f>
        <v/>
      </c>
      <c r="V52">
        <f>IF($AH52="","",Settings!$C$7)</f>
        <v/>
      </c>
      <c r="W52" s="7">
        <f>IF($AH52="","",SUMIFS('Per Line'!$Z$2:$Z$1501,'Per Line'!$E$2:$E$1501,$B52,'Per Line'!$AS$2:$AS$1501,0,'Per Line'!$AT$2:$AT$1501,0))</f>
        <v/>
      </c>
      <c r="X52" s="7">
        <f>IF($AH52="","",W52*V52)</f>
        <v/>
      </c>
      <c r="Y52">
        <f>IF($AH52="","",Settings!$C$6)</f>
        <v/>
      </c>
      <c r="Z52" s="7">
        <f>IF($AH52="","",SUMIFS('Per Line'!$Z$2:$Z$1501,'Per Line'!$E$2:$E$1501,$B52,'Per Line'!$AS$2:$AS$1501,1,'Per Line'!$AT$2:$AT$1501,0))</f>
        <v/>
      </c>
      <c r="AA52" s="7">
        <f>IF($AH52="","",Z52*Y52)</f>
        <v/>
      </c>
      <c r="AB52" s="7">
        <f>IF($AH52="","",AA52+X52+U52)</f>
        <v/>
      </c>
      <c r="AC52" s="7">
        <f>IF($AH52="","",AD52-AB52)</f>
        <v/>
      </c>
      <c r="AD52" s="7">
        <f>IF($AH52="","",W52+Z52+T52)</f>
        <v/>
      </c>
      <c r="AE52" s="7">
        <f>IF($AH52="","",AD52-AB52-P52)</f>
        <v/>
      </c>
      <c r="AF52" s="15" t="n"/>
      <c r="AG52" s="7">
        <f>IF($AH52="","",AE52-N(AF52))</f>
        <v/>
      </c>
      <c r="AH52" s="16">
        <f>IF(ROWS($AH$2:$AH52)&lt;=MAX('Per Line'!$AR$2:$AR$1501),MATCH(ROWS($AH$2:$AH52),'Per Line'!$AR$2:$AR$1501,0),"")</f>
        <v/>
      </c>
      <c r="AI52">
        <f>IF($AH52="","",C52&amp;"|"&amp;COUNTIF($C$2:$C52,C52))</f>
        <v/>
      </c>
    </row>
    <row r="53">
      <c r="A53" s="15" t="n"/>
      <c r="B53">
        <f>IF($AH53="","",INDEX('Per Line'!$E$2:$E$1501,$AH53)&amp;"")</f>
        <v/>
      </c>
      <c r="C53">
        <f>IF($AH53="","",IF(INDEX('Per Line'!$AP$2:$AP$1501,$AH53)="NOT MATCH","NOT MATCH","FULL MATCH"))</f>
        <v/>
      </c>
      <c r="D53">
        <f>IF($AH53="","",INDEX('Per Line'!$A$2:$A$1501,$AH53)&amp;"")</f>
        <v/>
      </c>
      <c r="E53">
        <f>IF($AH53="","",INDEX('Per Line'!$B$2:$B$1501,$AH53))</f>
        <v/>
      </c>
      <c r="F53">
        <f>IF($AH53="","",INDEX('Per Line'!$C$2:$C$1501,$AH53)&amp;"")</f>
        <v/>
      </c>
      <c r="G53">
        <f>IF($AH53="","",INDEX('Per Line'!$D$2:$D$1501,$AH53)&amp;"")</f>
        <v/>
      </c>
      <c r="H53">
        <f>IF($AH53="","",INDEX('Per Line'!$F$2:$F$1501,$AH53)&amp;"")</f>
        <v/>
      </c>
      <c r="I53" s="14">
        <f>IF($AH53="","",INDEX('Per Line'!$G$2:$G$1501,$AH53))</f>
        <v/>
      </c>
      <c r="J53">
        <f>IF($AH53="","",INDEX('Per Line'!$H$2:$H$1501,$AH53)&amp;"")</f>
        <v/>
      </c>
      <c r="K53">
        <f>IF($AH53="","",INDEX('Per Line'!$J$2:$J$1501,$AH53)&amp;"")</f>
        <v/>
      </c>
      <c r="L53">
        <f>IF($AH53="","",INDEX('Per Line'!$K$2:$K$1501,$AH53)&amp;"")</f>
        <v/>
      </c>
      <c r="M53">
        <f>IF($AH53="","",INDEX('Per Line'!$L$2:$L$1501,$AH53)&amp;"")</f>
        <v/>
      </c>
      <c r="N53">
        <f>IF($AH53="","",INDEX('Per Line'!$M$2:$M$1501,$AH53)&amp;"")</f>
        <v/>
      </c>
      <c r="O53">
        <f>IF($AH53="","",INDEX('Per Line'!$P$2:$P$1501,$AH53))</f>
        <v/>
      </c>
      <c r="P53" s="7">
        <f>IF($AH53="","",O53*AD53/100)</f>
        <v/>
      </c>
      <c r="Q53">
        <f>IF($AH53="","",INDEX('Per Line'!$R$2:$R$1501,$AH53)&amp;"")</f>
        <v/>
      </c>
      <c r="R53">
        <f>IF($AH53="","",INDEX('Per Line'!$AB$2:$AB$1501,$AH53)&amp;"")</f>
        <v/>
      </c>
      <c r="S53">
        <f>IF($AH53="","",Settings!$C$8)</f>
        <v/>
      </c>
      <c r="T53" s="7">
        <f>IF($AH53="","",SUMIFS('Per Line'!$Z$2:$Z$1501,'Per Line'!$E$2:$E$1501,$B53,'Per Line'!$AT$2:$AT$1501,1))</f>
        <v/>
      </c>
      <c r="U53" s="7">
        <f>IF($AH53="","",T53*S53)</f>
        <v/>
      </c>
      <c r="V53">
        <f>IF($AH53="","",Settings!$C$7)</f>
        <v/>
      </c>
      <c r="W53" s="7">
        <f>IF($AH53="","",SUMIFS('Per Line'!$Z$2:$Z$1501,'Per Line'!$E$2:$E$1501,$B53,'Per Line'!$AS$2:$AS$1501,0,'Per Line'!$AT$2:$AT$1501,0))</f>
        <v/>
      </c>
      <c r="X53" s="7">
        <f>IF($AH53="","",W53*V53)</f>
        <v/>
      </c>
      <c r="Y53">
        <f>IF($AH53="","",Settings!$C$6)</f>
        <v/>
      </c>
      <c r="Z53" s="7">
        <f>IF($AH53="","",SUMIFS('Per Line'!$Z$2:$Z$1501,'Per Line'!$E$2:$E$1501,$B53,'Per Line'!$AS$2:$AS$1501,1,'Per Line'!$AT$2:$AT$1501,0))</f>
        <v/>
      </c>
      <c r="AA53" s="7">
        <f>IF($AH53="","",Z53*Y53)</f>
        <v/>
      </c>
      <c r="AB53" s="7">
        <f>IF($AH53="","",AA53+X53+U53)</f>
        <v/>
      </c>
      <c r="AC53" s="7">
        <f>IF($AH53="","",AD53-AB53)</f>
        <v/>
      </c>
      <c r="AD53" s="7">
        <f>IF($AH53="","",W53+Z53+T53)</f>
        <v/>
      </c>
      <c r="AE53" s="7">
        <f>IF($AH53="","",AD53-AB53-P53)</f>
        <v/>
      </c>
      <c r="AF53" s="15" t="n"/>
      <c r="AG53" s="7">
        <f>IF($AH53="","",AE53-N(AF53))</f>
        <v/>
      </c>
      <c r="AH53" s="16">
        <f>IF(ROWS($AH$2:$AH53)&lt;=MAX('Per Line'!$AR$2:$AR$1501),MATCH(ROWS($AH$2:$AH53),'Per Line'!$AR$2:$AR$1501,0),"")</f>
        <v/>
      </c>
      <c r="AI53">
        <f>IF($AH53="","",C53&amp;"|"&amp;COUNTIF($C$2:$C53,C53))</f>
        <v/>
      </c>
    </row>
    <row r="54">
      <c r="A54" s="15" t="n"/>
      <c r="B54">
        <f>IF($AH54="","",INDEX('Per Line'!$E$2:$E$1501,$AH54)&amp;"")</f>
        <v/>
      </c>
      <c r="C54">
        <f>IF($AH54="","",IF(INDEX('Per Line'!$AP$2:$AP$1501,$AH54)="NOT MATCH","NOT MATCH","FULL MATCH"))</f>
        <v/>
      </c>
      <c r="D54">
        <f>IF($AH54="","",INDEX('Per Line'!$A$2:$A$1501,$AH54)&amp;"")</f>
        <v/>
      </c>
      <c r="E54">
        <f>IF($AH54="","",INDEX('Per Line'!$B$2:$B$1501,$AH54))</f>
        <v/>
      </c>
      <c r="F54">
        <f>IF($AH54="","",INDEX('Per Line'!$C$2:$C$1501,$AH54)&amp;"")</f>
        <v/>
      </c>
      <c r="G54">
        <f>IF($AH54="","",INDEX('Per Line'!$D$2:$D$1501,$AH54)&amp;"")</f>
        <v/>
      </c>
      <c r="H54">
        <f>IF($AH54="","",INDEX('Per Line'!$F$2:$F$1501,$AH54)&amp;"")</f>
        <v/>
      </c>
      <c r="I54" s="14">
        <f>IF($AH54="","",INDEX('Per Line'!$G$2:$G$1501,$AH54))</f>
        <v/>
      </c>
      <c r="J54">
        <f>IF($AH54="","",INDEX('Per Line'!$H$2:$H$1501,$AH54)&amp;"")</f>
        <v/>
      </c>
      <c r="K54">
        <f>IF($AH54="","",INDEX('Per Line'!$J$2:$J$1501,$AH54)&amp;"")</f>
        <v/>
      </c>
      <c r="L54">
        <f>IF($AH54="","",INDEX('Per Line'!$K$2:$K$1501,$AH54)&amp;"")</f>
        <v/>
      </c>
      <c r="M54">
        <f>IF($AH54="","",INDEX('Per Line'!$L$2:$L$1501,$AH54)&amp;"")</f>
        <v/>
      </c>
      <c r="N54">
        <f>IF($AH54="","",INDEX('Per Line'!$M$2:$M$1501,$AH54)&amp;"")</f>
        <v/>
      </c>
      <c r="O54">
        <f>IF($AH54="","",INDEX('Per Line'!$P$2:$P$1501,$AH54))</f>
        <v/>
      </c>
      <c r="P54" s="7">
        <f>IF($AH54="","",O54*AD54/100)</f>
        <v/>
      </c>
      <c r="Q54">
        <f>IF($AH54="","",INDEX('Per Line'!$R$2:$R$1501,$AH54)&amp;"")</f>
        <v/>
      </c>
      <c r="R54">
        <f>IF($AH54="","",INDEX('Per Line'!$AB$2:$AB$1501,$AH54)&amp;"")</f>
        <v/>
      </c>
      <c r="S54">
        <f>IF($AH54="","",Settings!$C$8)</f>
        <v/>
      </c>
      <c r="T54" s="7">
        <f>IF($AH54="","",SUMIFS('Per Line'!$Z$2:$Z$1501,'Per Line'!$E$2:$E$1501,$B54,'Per Line'!$AT$2:$AT$1501,1))</f>
        <v/>
      </c>
      <c r="U54" s="7">
        <f>IF($AH54="","",T54*S54)</f>
        <v/>
      </c>
      <c r="V54">
        <f>IF($AH54="","",Settings!$C$7)</f>
        <v/>
      </c>
      <c r="W54" s="7">
        <f>IF($AH54="","",SUMIFS('Per Line'!$Z$2:$Z$1501,'Per Line'!$E$2:$E$1501,$B54,'Per Line'!$AS$2:$AS$1501,0,'Per Line'!$AT$2:$AT$1501,0))</f>
        <v/>
      </c>
      <c r="X54" s="7">
        <f>IF($AH54="","",W54*V54)</f>
        <v/>
      </c>
      <c r="Y54">
        <f>IF($AH54="","",Settings!$C$6)</f>
        <v/>
      </c>
      <c r="Z54" s="7">
        <f>IF($AH54="","",SUMIFS('Per Line'!$Z$2:$Z$1501,'Per Line'!$E$2:$E$1501,$B54,'Per Line'!$AS$2:$AS$1501,1,'Per Line'!$AT$2:$AT$1501,0))</f>
        <v/>
      </c>
      <c r="AA54" s="7">
        <f>IF($AH54="","",Z54*Y54)</f>
        <v/>
      </c>
      <c r="AB54" s="7">
        <f>IF($AH54="","",AA54+X54+U54)</f>
        <v/>
      </c>
      <c r="AC54" s="7">
        <f>IF($AH54="","",AD54-AB54)</f>
        <v/>
      </c>
      <c r="AD54" s="7">
        <f>IF($AH54="","",W54+Z54+T54)</f>
        <v/>
      </c>
      <c r="AE54" s="7">
        <f>IF($AH54="","",AD54-AB54-P54)</f>
        <v/>
      </c>
      <c r="AF54" s="15" t="n"/>
      <c r="AG54" s="7">
        <f>IF($AH54="","",AE54-N(AF54))</f>
        <v/>
      </c>
      <c r="AH54" s="16">
        <f>IF(ROWS($AH$2:$AH54)&lt;=MAX('Per Line'!$AR$2:$AR$1501),MATCH(ROWS($AH$2:$AH54),'Per Line'!$AR$2:$AR$1501,0),"")</f>
        <v/>
      </c>
      <c r="AI54">
        <f>IF($AH54="","",C54&amp;"|"&amp;COUNTIF($C$2:$C54,C54))</f>
        <v/>
      </c>
    </row>
    <row r="55">
      <c r="A55" s="15" t="n"/>
      <c r="B55">
        <f>IF($AH55="","",INDEX('Per Line'!$E$2:$E$1501,$AH55)&amp;"")</f>
        <v/>
      </c>
      <c r="C55">
        <f>IF($AH55="","",IF(INDEX('Per Line'!$AP$2:$AP$1501,$AH55)="NOT MATCH","NOT MATCH","FULL MATCH"))</f>
        <v/>
      </c>
      <c r="D55">
        <f>IF($AH55="","",INDEX('Per Line'!$A$2:$A$1501,$AH55)&amp;"")</f>
        <v/>
      </c>
      <c r="E55">
        <f>IF($AH55="","",INDEX('Per Line'!$B$2:$B$1501,$AH55))</f>
        <v/>
      </c>
      <c r="F55">
        <f>IF($AH55="","",INDEX('Per Line'!$C$2:$C$1501,$AH55)&amp;"")</f>
        <v/>
      </c>
      <c r="G55">
        <f>IF($AH55="","",INDEX('Per Line'!$D$2:$D$1501,$AH55)&amp;"")</f>
        <v/>
      </c>
      <c r="H55">
        <f>IF($AH55="","",INDEX('Per Line'!$F$2:$F$1501,$AH55)&amp;"")</f>
        <v/>
      </c>
      <c r="I55" s="14">
        <f>IF($AH55="","",INDEX('Per Line'!$G$2:$G$1501,$AH55))</f>
        <v/>
      </c>
      <c r="J55">
        <f>IF($AH55="","",INDEX('Per Line'!$H$2:$H$1501,$AH55)&amp;"")</f>
        <v/>
      </c>
      <c r="K55">
        <f>IF($AH55="","",INDEX('Per Line'!$J$2:$J$1501,$AH55)&amp;"")</f>
        <v/>
      </c>
      <c r="L55">
        <f>IF($AH55="","",INDEX('Per Line'!$K$2:$K$1501,$AH55)&amp;"")</f>
        <v/>
      </c>
      <c r="M55">
        <f>IF($AH55="","",INDEX('Per Line'!$L$2:$L$1501,$AH55)&amp;"")</f>
        <v/>
      </c>
      <c r="N55">
        <f>IF($AH55="","",INDEX('Per Line'!$M$2:$M$1501,$AH55)&amp;"")</f>
        <v/>
      </c>
      <c r="O55">
        <f>IF($AH55="","",INDEX('Per Line'!$P$2:$P$1501,$AH55))</f>
        <v/>
      </c>
      <c r="P55" s="7">
        <f>IF($AH55="","",O55*AD55/100)</f>
        <v/>
      </c>
      <c r="Q55">
        <f>IF($AH55="","",INDEX('Per Line'!$R$2:$R$1501,$AH55)&amp;"")</f>
        <v/>
      </c>
      <c r="R55">
        <f>IF($AH55="","",INDEX('Per Line'!$AB$2:$AB$1501,$AH55)&amp;"")</f>
        <v/>
      </c>
      <c r="S55">
        <f>IF($AH55="","",Settings!$C$8)</f>
        <v/>
      </c>
      <c r="T55" s="7">
        <f>IF($AH55="","",SUMIFS('Per Line'!$Z$2:$Z$1501,'Per Line'!$E$2:$E$1501,$B55,'Per Line'!$AT$2:$AT$1501,1))</f>
        <v/>
      </c>
      <c r="U55" s="7">
        <f>IF($AH55="","",T55*S55)</f>
        <v/>
      </c>
      <c r="V55">
        <f>IF($AH55="","",Settings!$C$7)</f>
        <v/>
      </c>
      <c r="W55" s="7">
        <f>IF($AH55="","",SUMIFS('Per Line'!$Z$2:$Z$1501,'Per Line'!$E$2:$E$1501,$B55,'Per Line'!$AS$2:$AS$1501,0,'Per Line'!$AT$2:$AT$1501,0))</f>
        <v/>
      </c>
      <c r="X55" s="7">
        <f>IF($AH55="","",W55*V55)</f>
        <v/>
      </c>
      <c r="Y55">
        <f>IF($AH55="","",Settings!$C$6)</f>
        <v/>
      </c>
      <c r="Z55" s="7">
        <f>IF($AH55="","",SUMIFS('Per Line'!$Z$2:$Z$1501,'Per Line'!$E$2:$E$1501,$B55,'Per Line'!$AS$2:$AS$1501,1,'Per Line'!$AT$2:$AT$1501,0))</f>
        <v/>
      </c>
      <c r="AA55" s="7">
        <f>IF($AH55="","",Z55*Y55)</f>
        <v/>
      </c>
      <c r="AB55" s="7">
        <f>IF($AH55="","",AA55+X55+U55)</f>
        <v/>
      </c>
      <c r="AC55" s="7">
        <f>IF($AH55="","",AD55-AB55)</f>
        <v/>
      </c>
      <c r="AD55" s="7">
        <f>IF($AH55="","",W55+Z55+T55)</f>
        <v/>
      </c>
      <c r="AE55" s="7">
        <f>IF($AH55="","",AD55-AB55-P55)</f>
        <v/>
      </c>
      <c r="AF55" s="15" t="n"/>
      <c r="AG55" s="7">
        <f>IF($AH55="","",AE55-N(AF55))</f>
        <v/>
      </c>
      <c r="AH55" s="16">
        <f>IF(ROWS($AH$2:$AH55)&lt;=MAX('Per Line'!$AR$2:$AR$1501),MATCH(ROWS($AH$2:$AH55),'Per Line'!$AR$2:$AR$1501,0),"")</f>
        <v/>
      </c>
      <c r="AI55">
        <f>IF($AH55="","",C55&amp;"|"&amp;COUNTIF($C$2:$C55,C55))</f>
        <v/>
      </c>
    </row>
    <row r="56">
      <c r="A56" s="15" t="n"/>
      <c r="B56">
        <f>IF($AH56="","",INDEX('Per Line'!$E$2:$E$1501,$AH56)&amp;"")</f>
        <v/>
      </c>
      <c r="C56">
        <f>IF($AH56="","",IF(INDEX('Per Line'!$AP$2:$AP$1501,$AH56)="NOT MATCH","NOT MATCH","FULL MATCH"))</f>
        <v/>
      </c>
      <c r="D56">
        <f>IF($AH56="","",INDEX('Per Line'!$A$2:$A$1501,$AH56)&amp;"")</f>
        <v/>
      </c>
      <c r="E56">
        <f>IF($AH56="","",INDEX('Per Line'!$B$2:$B$1501,$AH56))</f>
        <v/>
      </c>
      <c r="F56">
        <f>IF($AH56="","",INDEX('Per Line'!$C$2:$C$1501,$AH56)&amp;"")</f>
        <v/>
      </c>
      <c r="G56">
        <f>IF($AH56="","",INDEX('Per Line'!$D$2:$D$1501,$AH56)&amp;"")</f>
        <v/>
      </c>
      <c r="H56">
        <f>IF($AH56="","",INDEX('Per Line'!$F$2:$F$1501,$AH56)&amp;"")</f>
        <v/>
      </c>
      <c r="I56" s="14">
        <f>IF($AH56="","",INDEX('Per Line'!$G$2:$G$1501,$AH56))</f>
        <v/>
      </c>
      <c r="J56">
        <f>IF($AH56="","",INDEX('Per Line'!$H$2:$H$1501,$AH56)&amp;"")</f>
        <v/>
      </c>
      <c r="K56">
        <f>IF($AH56="","",INDEX('Per Line'!$J$2:$J$1501,$AH56)&amp;"")</f>
        <v/>
      </c>
      <c r="L56">
        <f>IF($AH56="","",INDEX('Per Line'!$K$2:$K$1501,$AH56)&amp;"")</f>
        <v/>
      </c>
      <c r="M56">
        <f>IF($AH56="","",INDEX('Per Line'!$L$2:$L$1501,$AH56)&amp;"")</f>
        <v/>
      </c>
      <c r="N56">
        <f>IF($AH56="","",INDEX('Per Line'!$M$2:$M$1501,$AH56)&amp;"")</f>
        <v/>
      </c>
      <c r="O56">
        <f>IF($AH56="","",INDEX('Per Line'!$P$2:$P$1501,$AH56))</f>
        <v/>
      </c>
      <c r="P56" s="7">
        <f>IF($AH56="","",O56*AD56/100)</f>
        <v/>
      </c>
      <c r="Q56">
        <f>IF($AH56="","",INDEX('Per Line'!$R$2:$R$1501,$AH56)&amp;"")</f>
        <v/>
      </c>
      <c r="R56">
        <f>IF($AH56="","",INDEX('Per Line'!$AB$2:$AB$1501,$AH56)&amp;"")</f>
        <v/>
      </c>
      <c r="S56">
        <f>IF($AH56="","",Settings!$C$8)</f>
        <v/>
      </c>
      <c r="T56" s="7">
        <f>IF($AH56="","",SUMIFS('Per Line'!$Z$2:$Z$1501,'Per Line'!$E$2:$E$1501,$B56,'Per Line'!$AT$2:$AT$1501,1))</f>
        <v/>
      </c>
      <c r="U56" s="7">
        <f>IF($AH56="","",T56*S56)</f>
        <v/>
      </c>
      <c r="V56">
        <f>IF($AH56="","",Settings!$C$7)</f>
        <v/>
      </c>
      <c r="W56" s="7">
        <f>IF($AH56="","",SUMIFS('Per Line'!$Z$2:$Z$1501,'Per Line'!$E$2:$E$1501,$B56,'Per Line'!$AS$2:$AS$1501,0,'Per Line'!$AT$2:$AT$1501,0))</f>
        <v/>
      </c>
      <c r="X56" s="7">
        <f>IF($AH56="","",W56*V56)</f>
        <v/>
      </c>
      <c r="Y56">
        <f>IF($AH56="","",Settings!$C$6)</f>
        <v/>
      </c>
      <c r="Z56" s="7">
        <f>IF($AH56="","",SUMIFS('Per Line'!$Z$2:$Z$1501,'Per Line'!$E$2:$E$1501,$B56,'Per Line'!$AS$2:$AS$1501,1,'Per Line'!$AT$2:$AT$1501,0))</f>
        <v/>
      </c>
      <c r="AA56" s="7">
        <f>IF($AH56="","",Z56*Y56)</f>
        <v/>
      </c>
      <c r="AB56" s="7">
        <f>IF($AH56="","",AA56+X56+U56)</f>
        <v/>
      </c>
      <c r="AC56" s="7">
        <f>IF($AH56="","",AD56-AB56)</f>
        <v/>
      </c>
      <c r="AD56" s="7">
        <f>IF($AH56="","",W56+Z56+T56)</f>
        <v/>
      </c>
      <c r="AE56" s="7">
        <f>IF($AH56="","",AD56-AB56-P56)</f>
        <v/>
      </c>
      <c r="AF56" s="15" t="n"/>
      <c r="AG56" s="7">
        <f>IF($AH56="","",AE56-N(AF56))</f>
        <v/>
      </c>
      <c r="AH56" s="16">
        <f>IF(ROWS($AH$2:$AH56)&lt;=MAX('Per Line'!$AR$2:$AR$1501),MATCH(ROWS($AH$2:$AH56),'Per Line'!$AR$2:$AR$1501,0),"")</f>
        <v/>
      </c>
      <c r="AI56">
        <f>IF($AH56="","",C56&amp;"|"&amp;COUNTIF($C$2:$C56,C56))</f>
        <v/>
      </c>
    </row>
    <row r="57">
      <c r="A57" s="15" t="n"/>
      <c r="B57">
        <f>IF($AH57="","",INDEX('Per Line'!$E$2:$E$1501,$AH57)&amp;"")</f>
        <v/>
      </c>
      <c r="C57">
        <f>IF($AH57="","",IF(INDEX('Per Line'!$AP$2:$AP$1501,$AH57)="NOT MATCH","NOT MATCH","FULL MATCH"))</f>
        <v/>
      </c>
      <c r="D57">
        <f>IF($AH57="","",INDEX('Per Line'!$A$2:$A$1501,$AH57)&amp;"")</f>
        <v/>
      </c>
      <c r="E57">
        <f>IF($AH57="","",INDEX('Per Line'!$B$2:$B$1501,$AH57))</f>
        <v/>
      </c>
      <c r="F57">
        <f>IF($AH57="","",INDEX('Per Line'!$C$2:$C$1501,$AH57)&amp;"")</f>
        <v/>
      </c>
      <c r="G57">
        <f>IF($AH57="","",INDEX('Per Line'!$D$2:$D$1501,$AH57)&amp;"")</f>
        <v/>
      </c>
      <c r="H57">
        <f>IF($AH57="","",INDEX('Per Line'!$F$2:$F$1501,$AH57)&amp;"")</f>
        <v/>
      </c>
      <c r="I57" s="14">
        <f>IF($AH57="","",INDEX('Per Line'!$G$2:$G$1501,$AH57))</f>
        <v/>
      </c>
      <c r="J57">
        <f>IF($AH57="","",INDEX('Per Line'!$H$2:$H$1501,$AH57)&amp;"")</f>
        <v/>
      </c>
      <c r="K57">
        <f>IF($AH57="","",INDEX('Per Line'!$J$2:$J$1501,$AH57)&amp;"")</f>
        <v/>
      </c>
      <c r="L57">
        <f>IF($AH57="","",INDEX('Per Line'!$K$2:$K$1501,$AH57)&amp;"")</f>
        <v/>
      </c>
      <c r="M57">
        <f>IF($AH57="","",INDEX('Per Line'!$L$2:$L$1501,$AH57)&amp;"")</f>
        <v/>
      </c>
      <c r="N57">
        <f>IF($AH57="","",INDEX('Per Line'!$M$2:$M$1501,$AH57)&amp;"")</f>
        <v/>
      </c>
      <c r="O57">
        <f>IF($AH57="","",INDEX('Per Line'!$P$2:$P$1501,$AH57))</f>
        <v/>
      </c>
      <c r="P57" s="7">
        <f>IF($AH57="","",O57*AD57/100)</f>
        <v/>
      </c>
      <c r="Q57">
        <f>IF($AH57="","",INDEX('Per Line'!$R$2:$R$1501,$AH57)&amp;"")</f>
        <v/>
      </c>
      <c r="R57">
        <f>IF($AH57="","",INDEX('Per Line'!$AB$2:$AB$1501,$AH57)&amp;"")</f>
        <v/>
      </c>
      <c r="S57">
        <f>IF($AH57="","",Settings!$C$8)</f>
        <v/>
      </c>
      <c r="T57" s="7">
        <f>IF($AH57="","",SUMIFS('Per Line'!$Z$2:$Z$1501,'Per Line'!$E$2:$E$1501,$B57,'Per Line'!$AT$2:$AT$1501,1))</f>
        <v/>
      </c>
      <c r="U57" s="7">
        <f>IF($AH57="","",T57*S57)</f>
        <v/>
      </c>
      <c r="V57">
        <f>IF($AH57="","",Settings!$C$7)</f>
        <v/>
      </c>
      <c r="W57" s="7">
        <f>IF($AH57="","",SUMIFS('Per Line'!$Z$2:$Z$1501,'Per Line'!$E$2:$E$1501,$B57,'Per Line'!$AS$2:$AS$1501,0,'Per Line'!$AT$2:$AT$1501,0))</f>
        <v/>
      </c>
      <c r="X57" s="7">
        <f>IF($AH57="","",W57*V57)</f>
        <v/>
      </c>
      <c r="Y57">
        <f>IF($AH57="","",Settings!$C$6)</f>
        <v/>
      </c>
      <c r="Z57" s="7">
        <f>IF($AH57="","",SUMIFS('Per Line'!$Z$2:$Z$1501,'Per Line'!$E$2:$E$1501,$B57,'Per Line'!$AS$2:$AS$1501,1,'Per Line'!$AT$2:$AT$1501,0))</f>
        <v/>
      </c>
      <c r="AA57" s="7">
        <f>IF($AH57="","",Z57*Y57)</f>
        <v/>
      </c>
      <c r="AB57" s="7">
        <f>IF($AH57="","",AA57+X57+U57)</f>
        <v/>
      </c>
      <c r="AC57" s="7">
        <f>IF($AH57="","",AD57-AB57)</f>
        <v/>
      </c>
      <c r="AD57" s="7">
        <f>IF($AH57="","",W57+Z57+T57)</f>
        <v/>
      </c>
      <c r="AE57" s="7">
        <f>IF($AH57="","",AD57-AB57-P57)</f>
        <v/>
      </c>
      <c r="AF57" s="15" t="n"/>
      <c r="AG57" s="7">
        <f>IF($AH57="","",AE57-N(AF57))</f>
        <v/>
      </c>
      <c r="AH57" s="16">
        <f>IF(ROWS($AH$2:$AH57)&lt;=MAX('Per Line'!$AR$2:$AR$1501),MATCH(ROWS($AH$2:$AH57),'Per Line'!$AR$2:$AR$1501,0),"")</f>
        <v/>
      </c>
      <c r="AI57">
        <f>IF($AH57="","",C57&amp;"|"&amp;COUNTIF($C$2:$C57,C57))</f>
        <v/>
      </c>
    </row>
    <row r="58">
      <c r="A58" s="15" t="n"/>
      <c r="B58">
        <f>IF($AH58="","",INDEX('Per Line'!$E$2:$E$1501,$AH58)&amp;"")</f>
        <v/>
      </c>
      <c r="C58">
        <f>IF($AH58="","",IF(INDEX('Per Line'!$AP$2:$AP$1501,$AH58)="NOT MATCH","NOT MATCH","FULL MATCH"))</f>
        <v/>
      </c>
      <c r="D58">
        <f>IF($AH58="","",INDEX('Per Line'!$A$2:$A$1501,$AH58)&amp;"")</f>
        <v/>
      </c>
      <c r="E58">
        <f>IF($AH58="","",INDEX('Per Line'!$B$2:$B$1501,$AH58))</f>
        <v/>
      </c>
      <c r="F58">
        <f>IF($AH58="","",INDEX('Per Line'!$C$2:$C$1501,$AH58)&amp;"")</f>
        <v/>
      </c>
      <c r="G58">
        <f>IF($AH58="","",INDEX('Per Line'!$D$2:$D$1501,$AH58)&amp;"")</f>
        <v/>
      </c>
      <c r="H58">
        <f>IF($AH58="","",INDEX('Per Line'!$F$2:$F$1501,$AH58)&amp;"")</f>
        <v/>
      </c>
      <c r="I58" s="14">
        <f>IF($AH58="","",INDEX('Per Line'!$G$2:$G$1501,$AH58))</f>
        <v/>
      </c>
      <c r="J58">
        <f>IF($AH58="","",INDEX('Per Line'!$H$2:$H$1501,$AH58)&amp;"")</f>
        <v/>
      </c>
      <c r="K58">
        <f>IF($AH58="","",INDEX('Per Line'!$J$2:$J$1501,$AH58)&amp;"")</f>
        <v/>
      </c>
      <c r="L58">
        <f>IF($AH58="","",INDEX('Per Line'!$K$2:$K$1501,$AH58)&amp;"")</f>
        <v/>
      </c>
      <c r="M58">
        <f>IF($AH58="","",INDEX('Per Line'!$L$2:$L$1501,$AH58)&amp;"")</f>
        <v/>
      </c>
      <c r="N58">
        <f>IF($AH58="","",INDEX('Per Line'!$M$2:$M$1501,$AH58)&amp;"")</f>
        <v/>
      </c>
      <c r="O58">
        <f>IF($AH58="","",INDEX('Per Line'!$P$2:$P$1501,$AH58))</f>
        <v/>
      </c>
      <c r="P58" s="7">
        <f>IF($AH58="","",O58*AD58/100)</f>
        <v/>
      </c>
      <c r="Q58">
        <f>IF($AH58="","",INDEX('Per Line'!$R$2:$R$1501,$AH58)&amp;"")</f>
        <v/>
      </c>
      <c r="R58">
        <f>IF($AH58="","",INDEX('Per Line'!$AB$2:$AB$1501,$AH58)&amp;"")</f>
        <v/>
      </c>
      <c r="S58">
        <f>IF($AH58="","",Settings!$C$8)</f>
        <v/>
      </c>
      <c r="T58" s="7">
        <f>IF($AH58="","",SUMIFS('Per Line'!$Z$2:$Z$1501,'Per Line'!$E$2:$E$1501,$B58,'Per Line'!$AT$2:$AT$1501,1))</f>
        <v/>
      </c>
      <c r="U58" s="7">
        <f>IF($AH58="","",T58*S58)</f>
        <v/>
      </c>
      <c r="V58">
        <f>IF($AH58="","",Settings!$C$7)</f>
        <v/>
      </c>
      <c r="W58" s="7">
        <f>IF($AH58="","",SUMIFS('Per Line'!$Z$2:$Z$1501,'Per Line'!$E$2:$E$1501,$B58,'Per Line'!$AS$2:$AS$1501,0,'Per Line'!$AT$2:$AT$1501,0))</f>
        <v/>
      </c>
      <c r="X58" s="7">
        <f>IF($AH58="","",W58*V58)</f>
        <v/>
      </c>
      <c r="Y58">
        <f>IF($AH58="","",Settings!$C$6)</f>
        <v/>
      </c>
      <c r="Z58" s="7">
        <f>IF($AH58="","",SUMIFS('Per Line'!$Z$2:$Z$1501,'Per Line'!$E$2:$E$1501,$B58,'Per Line'!$AS$2:$AS$1501,1,'Per Line'!$AT$2:$AT$1501,0))</f>
        <v/>
      </c>
      <c r="AA58" s="7">
        <f>IF($AH58="","",Z58*Y58)</f>
        <v/>
      </c>
      <c r="AB58" s="7">
        <f>IF($AH58="","",AA58+X58+U58)</f>
        <v/>
      </c>
      <c r="AC58" s="7">
        <f>IF($AH58="","",AD58-AB58)</f>
        <v/>
      </c>
      <c r="AD58" s="7">
        <f>IF($AH58="","",W58+Z58+T58)</f>
        <v/>
      </c>
      <c r="AE58" s="7">
        <f>IF($AH58="","",AD58-AB58-P58)</f>
        <v/>
      </c>
      <c r="AF58" s="15" t="n"/>
      <c r="AG58" s="7">
        <f>IF($AH58="","",AE58-N(AF58))</f>
        <v/>
      </c>
      <c r="AH58" s="16">
        <f>IF(ROWS($AH$2:$AH58)&lt;=MAX('Per Line'!$AR$2:$AR$1501),MATCH(ROWS($AH$2:$AH58),'Per Line'!$AR$2:$AR$1501,0),"")</f>
        <v/>
      </c>
      <c r="AI58">
        <f>IF($AH58="","",C58&amp;"|"&amp;COUNTIF($C$2:$C58,C58))</f>
        <v/>
      </c>
    </row>
    <row r="59">
      <c r="A59" s="15" t="n"/>
      <c r="B59">
        <f>IF($AH59="","",INDEX('Per Line'!$E$2:$E$1501,$AH59)&amp;"")</f>
        <v/>
      </c>
      <c r="C59">
        <f>IF($AH59="","",IF(INDEX('Per Line'!$AP$2:$AP$1501,$AH59)="NOT MATCH","NOT MATCH","FULL MATCH"))</f>
        <v/>
      </c>
      <c r="D59">
        <f>IF($AH59="","",INDEX('Per Line'!$A$2:$A$1501,$AH59)&amp;"")</f>
        <v/>
      </c>
      <c r="E59">
        <f>IF($AH59="","",INDEX('Per Line'!$B$2:$B$1501,$AH59))</f>
        <v/>
      </c>
      <c r="F59">
        <f>IF($AH59="","",INDEX('Per Line'!$C$2:$C$1501,$AH59)&amp;"")</f>
        <v/>
      </c>
      <c r="G59">
        <f>IF($AH59="","",INDEX('Per Line'!$D$2:$D$1501,$AH59)&amp;"")</f>
        <v/>
      </c>
      <c r="H59">
        <f>IF($AH59="","",INDEX('Per Line'!$F$2:$F$1501,$AH59)&amp;"")</f>
        <v/>
      </c>
      <c r="I59" s="14">
        <f>IF($AH59="","",INDEX('Per Line'!$G$2:$G$1501,$AH59))</f>
        <v/>
      </c>
      <c r="J59">
        <f>IF($AH59="","",INDEX('Per Line'!$H$2:$H$1501,$AH59)&amp;"")</f>
        <v/>
      </c>
      <c r="K59">
        <f>IF($AH59="","",INDEX('Per Line'!$J$2:$J$1501,$AH59)&amp;"")</f>
        <v/>
      </c>
      <c r="L59">
        <f>IF($AH59="","",INDEX('Per Line'!$K$2:$K$1501,$AH59)&amp;"")</f>
        <v/>
      </c>
      <c r="M59">
        <f>IF($AH59="","",INDEX('Per Line'!$L$2:$L$1501,$AH59)&amp;"")</f>
        <v/>
      </c>
      <c r="N59">
        <f>IF($AH59="","",INDEX('Per Line'!$M$2:$M$1501,$AH59)&amp;"")</f>
        <v/>
      </c>
      <c r="O59">
        <f>IF($AH59="","",INDEX('Per Line'!$P$2:$P$1501,$AH59))</f>
        <v/>
      </c>
      <c r="P59" s="7">
        <f>IF($AH59="","",O59*AD59/100)</f>
        <v/>
      </c>
      <c r="Q59">
        <f>IF($AH59="","",INDEX('Per Line'!$R$2:$R$1501,$AH59)&amp;"")</f>
        <v/>
      </c>
      <c r="R59">
        <f>IF($AH59="","",INDEX('Per Line'!$AB$2:$AB$1501,$AH59)&amp;"")</f>
        <v/>
      </c>
      <c r="S59">
        <f>IF($AH59="","",Settings!$C$8)</f>
        <v/>
      </c>
      <c r="T59" s="7">
        <f>IF($AH59="","",SUMIFS('Per Line'!$Z$2:$Z$1501,'Per Line'!$E$2:$E$1501,$B59,'Per Line'!$AT$2:$AT$1501,1))</f>
        <v/>
      </c>
      <c r="U59" s="7">
        <f>IF($AH59="","",T59*S59)</f>
        <v/>
      </c>
      <c r="V59">
        <f>IF($AH59="","",Settings!$C$7)</f>
        <v/>
      </c>
      <c r="W59" s="7">
        <f>IF($AH59="","",SUMIFS('Per Line'!$Z$2:$Z$1501,'Per Line'!$E$2:$E$1501,$B59,'Per Line'!$AS$2:$AS$1501,0,'Per Line'!$AT$2:$AT$1501,0))</f>
        <v/>
      </c>
      <c r="X59" s="7">
        <f>IF($AH59="","",W59*V59)</f>
        <v/>
      </c>
      <c r="Y59">
        <f>IF($AH59="","",Settings!$C$6)</f>
        <v/>
      </c>
      <c r="Z59" s="7">
        <f>IF($AH59="","",SUMIFS('Per Line'!$Z$2:$Z$1501,'Per Line'!$E$2:$E$1501,$B59,'Per Line'!$AS$2:$AS$1501,1,'Per Line'!$AT$2:$AT$1501,0))</f>
        <v/>
      </c>
      <c r="AA59" s="7">
        <f>IF($AH59="","",Z59*Y59)</f>
        <v/>
      </c>
      <c r="AB59" s="7">
        <f>IF($AH59="","",AA59+X59+U59)</f>
        <v/>
      </c>
      <c r="AC59" s="7">
        <f>IF($AH59="","",AD59-AB59)</f>
        <v/>
      </c>
      <c r="AD59" s="7">
        <f>IF($AH59="","",W59+Z59+T59)</f>
        <v/>
      </c>
      <c r="AE59" s="7">
        <f>IF($AH59="","",AD59-AB59-P59)</f>
        <v/>
      </c>
      <c r="AF59" s="15" t="n"/>
      <c r="AG59" s="7">
        <f>IF($AH59="","",AE59-N(AF59))</f>
        <v/>
      </c>
      <c r="AH59" s="16">
        <f>IF(ROWS($AH$2:$AH59)&lt;=MAX('Per Line'!$AR$2:$AR$1501),MATCH(ROWS($AH$2:$AH59),'Per Line'!$AR$2:$AR$1501,0),"")</f>
        <v/>
      </c>
      <c r="AI59">
        <f>IF($AH59="","",C59&amp;"|"&amp;COUNTIF($C$2:$C59,C59))</f>
        <v/>
      </c>
    </row>
    <row r="60">
      <c r="A60" s="15" t="n"/>
      <c r="B60">
        <f>IF($AH60="","",INDEX('Per Line'!$E$2:$E$1501,$AH60)&amp;"")</f>
        <v/>
      </c>
      <c r="C60">
        <f>IF($AH60="","",IF(INDEX('Per Line'!$AP$2:$AP$1501,$AH60)="NOT MATCH","NOT MATCH","FULL MATCH"))</f>
        <v/>
      </c>
      <c r="D60">
        <f>IF($AH60="","",INDEX('Per Line'!$A$2:$A$1501,$AH60)&amp;"")</f>
        <v/>
      </c>
      <c r="E60">
        <f>IF($AH60="","",INDEX('Per Line'!$B$2:$B$1501,$AH60))</f>
        <v/>
      </c>
      <c r="F60">
        <f>IF($AH60="","",INDEX('Per Line'!$C$2:$C$1501,$AH60)&amp;"")</f>
        <v/>
      </c>
      <c r="G60">
        <f>IF($AH60="","",INDEX('Per Line'!$D$2:$D$1501,$AH60)&amp;"")</f>
        <v/>
      </c>
      <c r="H60">
        <f>IF($AH60="","",INDEX('Per Line'!$F$2:$F$1501,$AH60)&amp;"")</f>
        <v/>
      </c>
      <c r="I60" s="14">
        <f>IF($AH60="","",INDEX('Per Line'!$G$2:$G$1501,$AH60))</f>
        <v/>
      </c>
      <c r="J60">
        <f>IF($AH60="","",INDEX('Per Line'!$H$2:$H$1501,$AH60)&amp;"")</f>
        <v/>
      </c>
      <c r="K60">
        <f>IF($AH60="","",INDEX('Per Line'!$J$2:$J$1501,$AH60)&amp;"")</f>
        <v/>
      </c>
      <c r="L60">
        <f>IF($AH60="","",INDEX('Per Line'!$K$2:$K$1501,$AH60)&amp;"")</f>
        <v/>
      </c>
      <c r="M60">
        <f>IF($AH60="","",INDEX('Per Line'!$L$2:$L$1501,$AH60)&amp;"")</f>
        <v/>
      </c>
      <c r="N60">
        <f>IF($AH60="","",INDEX('Per Line'!$M$2:$M$1501,$AH60)&amp;"")</f>
        <v/>
      </c>
      <c r="O60">
        <f>IF($AH60="","",INDEX('Per Line'!$P$2:$P$1501,$AH60))</f>
        <v/>
      </c>
      <c r="P60" s="7">
        <f>IF($AH60="","",O60*AD60/100)</f>
        <v/>
      </c>
      <c r="Q60">
        <f>IF($AH60="","",INDEX('Per Line'!$R$2:$R$1501,$AH60)&amp;"")</f>
        <v/>
      </c>
      <c r="R60">
        <f>IF($AH60="","",INDEX('Per Line'!$AB$2:$AB$1501,$AH60)&amp;"")</f>
        <v/>
      </c>
      <c r="S60">
        <f>IF($AH60="","",Settings!$C$8)</f>
        <v/>
      </c>
      <c r="T60" s="7">
        <f>IF($AH60="","",SUMIFS('Per Line'!$Z$2:$Z$1501,'Per Line'!$E$2:$E$1501,$B60,'Per Line'!$AT$2:$AT$1501,1))</f>
        <v/>
      </c>
      <c r="U60" s="7">
        <f>IF($AH60="","",T60*S60)</f>
        <v/>
      </c>
      <c r="V60">
        <f>IF($AH60="","",Settings!$C$7)</f>
        <v/>
      </c>
      <c r="W60" s="7">
        <f>IF($AH60="","",SUMIFS('Per Line'!$Z$2:$Z$1501,'Per Line'!$E$2:$E$1501,$B60,'Per Line'!$AS$2:$AS$1501,0,'Per Line'!$AT$2:$AT$1501,0))</f>
        <v/>
      </c>
      <c r="X60" s="7">
        <f>IF($AH60="","",W60*V60)</f>
        <v/>
      </c>
      <c r="Y60">
        <f>IF($AH60="","",Settings!$C$6)</f>
        <v/>
      </c>
      <c r="Z60" s="7">
        <f>IF($AH60="","",SUMIFS('Per Line'!$Z$2:$Z$1501,'Per Line'!$E$2:$E$1501,$B60,'Per Line'!$AS$2:$AS$1501,1,'Per Line'!$AT$2:$AT$1501,0))</f>
        <v/>
      </c>
      <c r="AA60" s="7">
        <f>IF($AH60="","",Z60*Y60)</f>
        <v/>
      </c>
      <c r="AB60" s="7">
        <f>IF($AH60="","",AA60+X60+U60)</f>
        <v/>
      </c>
      <c r="AC60" s="7">
        <f>IF($AH60="","",AD60-AB60)</f>
        <v/>
      </c>
      <c r="AD60" s="7">
        <f>IF($AH60="","",W60+Z60+T60)</f>
        <v/>
      </c>
      <c r="AE60" s="7">
        <f>IF($AH60="","",AD60-AB60-P60)</f>
        <v/>
      </c>
      <c r="AF60" s="15" t="n"/>
      <c r="AG60" s="7">
        <f>IF($AH60="","",AE60-N(AF60))</f>
        <v/>
      </c>
      <c r="AH60" s="16">
        <f>IF(ROWS($AH$2:$AH60)&lt;=MAX('Per Line'!$AR$2:$AR$1501),MATCH(ROWS($AH$2:$AH60),'Per Line'!$AR$2:$AR$1501,0),"")</f>
        <v/>
      </c>
      <c r="AI60">
        <f>IF($AH60="","",C60&amp;"|"&amp;COUNTIF($C$2:$C60,C60))</f>
        <v/>
      </c>
    </row>
    <row r="61">
      <c r="A61" s="15" t="n"/>
      <c r="B61">
        <f>IF($AH61="","",INDEX('Per Line'!$E$2:$E$1501,$AH61)&amp;"")</f>
        <v/>
      </c>
      <c r="C61">
        <f>IF($AH61="","",IF(INDEX('Per Line'!$AP$2:$AP$1501,$AH61)="NOT MATCH","NOT MATCH","FULL MATCH"))</f>
        <v/>
      </c>
      <c r="D61">
        <f>IF($AH61="","",INDEX('Per Line'!$A$2:$A$1501,$AH61)&amp;"")</f>
        <v/>
      </c>
      <c r="E61">
        <f>IF($AH61="","",INDEX('Per Line'!$B$2:$B$1501,$AH61))</f>
        <v/>
      </c>
      <c r="F61">
        <f>IF($AH61="","",INDEX('Per Line'!$C$2:$C$1501,$AH61)&amp;"")</f>
        <v/>
      </c>
      <c r="G61">
        <f>IF($AH61="","",INDEX('Per Line'!$D$2:$D$1501,$AH61)&amp;"")</f>
        <v/>
      </c>
      <c r="H61">
        <f>IF($AH61="","",INDEX('Per Line'!$F$2:$F$1501,$AH61)&amp;"")</f>
        <v/>
      </c>
      <c r="I61" s="14">
        <f>IF($AH61="","",INDEX('Per Line'!$G$2:$G$1501,$AH61))</f>
        <v/>
      </c>
      <c r="J61">
        <f>IF($AH61="","",INDEX('Per Line'!$H$2:$H$1501,$AH61)&amp;"")</f>
        <v/>
      </c>
      <c r="K61">
        <f>IF($AH61="","",INDEX('Per Line'!$J$2:$J$1501,$AH61)&amp;"")</f>
        <v/>
      </c>
      <c r="L61">
        <f>IF($AH61="","",INDEX('Per Line'!$K$2:$K$1501,$AH61)&amp;"")</f>
        <v/>
      </c>
      <c r="M61">
        <f>IF($AH61="","",INDEX('Per Line'!$L$2:$L$1501,$AH61)&amp;"")</f>
        <v/>
      </c>
      <c r="N61">
        <f>IF($AH61="","",INDEX('Per Line'!$M$2:$M$1501,$AH61)&amp;"")</f>
        <v/>
      </c>
      <c r="O61">
        <f>IF($AH61="","",INDEX('Per Line'!$P$2:$P$1501,$AH61))</f>
        <v/>
      </c>
      <c r="P61" s="7">
        <f>IF($AH61="","",O61*AD61/100)</f>
        <v/>
      </c>
      <c r="Q61">
        <f>IF($AH61="","",INDEX('Per Line'!$R$2:$R$1501,$AH61)&amp;"")</f>
        <v/>
      </c>
      <c r="R61">
        <f>IF($AH61="","",INDEX('Per Line'!$AB$2:$AB$1501,$AH61)&amp;"")</f>
        <v/>
      </c>
      <c r="S61">
        <f>IF($AH61="","",Settings!$C$8)</f>
        <v/>
      </c>
      <c r="T61" s="7">
        <f>IF($AH61="","",SUMIFS('Per Line'!$Z$2:$Z$1501,'Per Line'!$E$2:$E$1501,$B61,'Per Line'!$AT$2:$AT$1501,1))</f>
        <v/>
      </c>
      <c r="U61" s="7">
        <f>IF($AH61="","",T61*S61)</f>
        <v/>
      </c>
      <c r="V61">
        <f>IF($AH61="","",Settings!$C$7)</f>
        <v/>
      </c>
      <c r="W61" s="7">
        <f>IF($AH61="","",SUMIFS('Per Line'!$Z$2:$Z$1501,'Per Line'!$E$2:$E$1501,$B61,'Per Line'!$AS$2:$AS$1501,0,'Per Line'!$AT$2:$AT$1501,0))</f>
        <v/>
      </c>
      <c r="X61" s="7">
        <f>IF($AH61="","",W61*V61)</f>
        <v/>
      </c>
      <c r="Y61">
        <f>IF($AH61="","",Settings!$C$6)</f>
        <v/>
      </c>
      <c r="Z61" s="7">
        <f>IF($AH61="","",SUMIFS('Per Line'!$Z$2:$Z$1501,'Per Line'!$E$2:$E$1501,$B61,'Per Line'!$AS$2:$AS$1501,1,'Per Line'!$AT$2:$AT$1501,0))</f>
        <v/>
      </c>
      <c r="AA61" s="7">
        <f>IF($AH61="","",Z61*Y61)</f>
        <v/>
      </c>
      <c r="AB61" s="7">
        <f>IF($AH61="","",AA61+X61+U61)</f>
        <v/>
      </c>
      <c r="AC61" s="7">
        <f>IF($AH61="","",AD61-AB61)</f>
        <v/>
      </c>
      <c r="AD61" s="7">
        <f>IF($AH61="","",W61+Z61+T61)</f>
        <v/>
      </c>
      <c r="AE61" s="7">
        <f>IF($AH61="","",AD61-AB61-P61)</f>
        <v/>
      </c>
      <c r="AF61" s="15" t="n"/>
      <c r="AG61" s="7">
        <f>IF($AH61="","",AE61-N(AF61))</f>
        <v/>
      </c>
      <c r="AH61" s="16">
        <f>IF(ROWS($AH$2:$AH61)&lt;=MAX('Per Line'!$AR$2:$AR$1501),MATCH(ROWS($AH$2:$AH61),'Per Line'!$AR$2:$AR$1501,0),"")</f>
        <v/>
      </c>
      <c r="AI61">
        <f>IF($AH61="","",C61&amp;"|"&amp;COUNTIF($C$2:$C61,C61))</f>
        <v/>
      </c>
    </row>
    <row r="62">
      <c r="A62" s="15" t="n"/>
      <c r="B62">
        <f>IF($AH62="","",INDEX('Per Line'!$E$2:$E$1501,$AH62)&amp;"")</f>
        <v/>
      </c>
      <c r="C62">
        <f>IF($AH62="","",IF(INDEX('Per Line'!$AP$2:$AP$1501,$AH62)="NOT MATCH","NOT MATCH","FULL MATCH"))</f>
        <v/>
      </c>
      <c r="D62">
        <f>IF($AH62="","",INDEX('Per Line'!$A$2:$A$1501,$AH62)&amp;"")</f>
        <v/>
      </c>
      <c r="E62">
        <f>IF($AH62="","",INDEX('Per Line'!$B$2:$B$1501,$AH62))</f>
        <v/>
      </c>
      <c r="F62">
        <f>IF($AH62="","",INDEX('Per Line'!$C$2:$C$1501,$AH62)&amp;"")</f>
        <v/>
      </c>
      <c r="G62">
        <f>IF($AH62="","",INDEX('Per Line'!$D$2:$D$1501,$AH62)&amp;"")</f>
        <v/>
      </c>
      <c r="H62">
        <f>IF($AH62="","",INDEX('Per Line'!$F$2:$F$1501,$AH62)&amp;"")</f>
        <v/>
      </c>
      <c r="I62" s="14">
        <f>IF($AH62="","",INDEX('Per Line'!$G$2:$G$1501,$AH62))</f>
        <v/>
      </c>
      <c r="J62">
        <f>IF($AH62="","",INDEX('Per Line'!$H$2:$H$1501,$AH62)&amp;"")</f>
        <v/>
      </c>
      <c r="K62">
        <f>IF($AH62="","",INDEX('Per Line'!$J$2:$J$1501,$AH62)&amp;"")</f>
        <v/>
      </c>
      <c r="L62">
        <f>IF($AH62="","",INDEX('Per Line'!$K$2:$K$1501,$AH62)&amp;"")</f>
        <v/>
      </c>
      <c r="M62">
        <f>IF($AH62="","",INDEX('Per Line'!$L$2:$L$1501,$AH62)&amp;"")</f>
        <v/>
      </c>
      <c r="N62">
        <f>IF($AH62="","",INDEX('Per Line'!$M$2:$M$1501,$AH62)&amp;"")</f>
        <v/>
      </c>
      <c r="O62">
        <f>IF($AH62="","",INDEX('Per Line'!$P$2:$P$1501,$AH62))</f>
        <v/>
      </c>
      <c r="P62" s="7">
        <f>IF($AH62="","",O62*AD62/100)</f>
        <v/>
      </c>
      <c r="Q62">
        <f>IF($AH62="","",INDEX('Per Line'!$R$2:$R$1501,$AH62)&amp;"")</f>
        <v/>
      </c>
      <c r="R62">
        <f>IF($AH62="","",INDEX('Per Line'!$AB$2:$AB$1501,$AH62)&amp;"")</f>
        <v/>
      </c>
      <c r="S62">
        <f>IF($AH62="","",Settings!$C$8)</f>
        <v/>
      </c>
      <c r="T62" s="7">
        <f>IF($AH62="","",SUMIFS('Per Line'!$Z$2:$Z$1501,'Per Line'!$E$2:$E$1501,$B62,'Per Line'!$AT$2:$AT$1501,1))</f>
        <v/>
      </c>
      <c r="U62" s="7">
        <f>IF($AH62="","",T62*S62)</f>
        <v/>
      </c>
      <c r="V62">
        <f>IF($AH62="","",Settings!$C$7)</f>
        <v/>
      </c>
      <c r="W62" s="7">
        <f>IF($AH62="","",SUMIFS('Per Line'!$Z$2:$Z$1501,'Per Line'!$E$2:$E$1501,$B62,'Per Line'!$AS$2:$AS$1501,0,'Per Line'!$AT$2:$AT$1501,0))</f>
        <v/>
      </c>
      <c r="X62" s="7">
        <f>IF($AH62="","",W62*V62)</f>
        <v/>
      </c>
      <c r="Y62">
        <f>IF($AH62="","",Settings!$C$6)</f>
        <v/>
      </c>
      <c r="Z62" s="7">
        <f>IF($AH62="","",SUMIFS('Per Line'!$Z$2:$Z$1501,'Per Line'!$E$2:$E$1501,$B62,'Per Line'!$AS$2:$AS$1501,1,'Per Line'!$AT$2:$AT$1501,0))</f>
        <v/>
      </c>
      <c r="AA62" s="7">
        <f>IF($AH62="","",Z62*Y62)</f>
        <v/>
      </c>
      <c r="AB62" s="7">
        <f>IF($AH62="","",AA62+X62+U62)</f>
        <v/>
      </c>
      <c r="AC62" s="7">
        <f>IF($AH62="","",AD62-AB62)</f>
        <v/>
      </c>
      <c r="AD62" s="7">
        <f>IF($AH62="","",W62+Z62+T62)</f>
        <v/>
      </c>
      <c r="AE62" s="7">
        <f>IF($AH62="","",AD62-AB62-P62)</f>
        <v/>
      </c>
      <c r="AF62" s="15" t="n"/>
      <c r="AG62" s="7">
        <f>IF($AH62="","",AE62-N(AF62))</f>
        <v/>
      </c>
      <c r="AH62" s="16">
        <f>IF(ROWS($AH$2:$AH62)&lt;=MAX('Per Line'!$AR$2:$AR$1501),MATCH(ROWS($AH$2:$AH62),'Per Line'!$AR$2:$AR$1501,0),"")</f>
        <v/>
      </c>
      <c r="AI62">
        <f>IF($AH62="","",C62&amp;"|"&amp;COUNTIF($C$2:$C62,C62))</f>
        <v/>
      </c>
    </row>
    <row r="63">
      <c r="A63" s="15" t="n"/>
      <c r="B63">
        <f>IF($AH63="","",INDEX('Per Line'!$E$2:$E$1501,$AH63)&amp;"")</f>
        <v/>
      </c>
      <c r="C63">
        <f>IF($AH63="","",IF(INDEX('Per Line'!$AP$2:$AP$1501,$AH63)="NOT MATCH","NOT MATCH","FULL MATCH"))</f>
        <v/>
      </c>
      <c r="D63">
        <f>IF($AH63="","",INDEX('Per Line'!$A$2:$A$1501,$AH63)&amp;"")</f>
        <v/>
      </c>
      <c r="E63">
        <f>IF($AH63="","",INDEX('Per Line'!$B$2:$B$1501,$AH63))</f>
        <v/>
      </c>
      <c r="F63">
        <f>IF($AH63="","",INDEX('Per Line'!$C$2:$C$1501,$AH63)&amp;"")</f>
        <v/>
      </c>
      <c r="G63">
        <f>IF($AH63="","",INDEX('Per Line'!$D$2:$D$1501,$AH63)&amp;"")</f>
        <v/>
      </c>
      <c r="H63">
        <f>IF($AH63="","",INDEX('Per Line'!$F$2:$F$1501,$AH63)&amp;"")</f>
        <v/>
      </c>
      <c r="I63" s="14">
        <f>IF($AH63="","",INDEX('Per Line'!$G$2:$G$1501,$AH63))</f>
        <v/>
      </c>
      <c r="J63">
        <f>IF($AH63="","",INDEX('Per Line'!$H$2:$H$1501,$AH63)&amp;"")</f>
        <v/>
      </c>
      <c r="K63">
        <f>IF($AH63="","",INDEX('Per Line'!$J$2:$J$1501,$AH63)&amp;"")</f>
        <v/>
      </c>
      <c r="L63">
        <f>IF($AH63="","",INDEX('Per Line'!$K$2:$K$1501,$AH63)&amp;"")</f>
        <v/>
      </c>
      <c r="M63">
        <f>IF($AH63="","",INDEX('Per Line'!$L$2:$L$1501,$AH63)&amp;"")</f>
        <v/>
      </c>
      <c r="N63">
        <f>IF($AH63="","",INDEX('Per Line'!$M$2:$M$1501,$AH63)&amp;"")</f>
        <v/>
      </c>
      <c r="O63">
        <f>IF($AH63="","",INDEX('Per Line'!$P$2:$P$1501,$AH63))</f>
        <v/>
      </c>
      <c r="P63" s="7">
        <f>IF($AH63="","",O63*AD63/100)</f>
        <v/>
      </c>
      <c r="Q63">
        <f>IF($AH63="","",INDEX('Per Line'!$R$2:$R$1501,$AH63)&amp;"")</f>
        <v/>
      </c>
      <c r="R63">
        <f>IF($AH63="","",INDEX('Per Line'!$AB$2:$AB$1501,$AH63)&amp;"")</f>
        <v/>
      </c>
      <c r="S63">
        <f>IF($AH63="","",Settings!$C$8)</f>
        <v/>
      </c>
      <c r="T63" s="7">
        <f>IF($AH63="","",SUMIFS('Per Line'!$Z$2:$Z$1501,'Per Line'!$E$2:$E$1501,$B63,'Per Line'!$AT$2:$AT$1501,1))</f>
        <v/>
      </c>
      <c r="U63" s="7">
        <f>IF($AH63="","",T63*S63)</f>
        <v/>
      </c>
      <c r="V63">
        <f>IF($AH63="","",Settings!$C$7)</f>
        <v/>
      </c>
      <c r="W63" s="7">
        <f>IF($AH63="","",SUMIFS('Per Line'!$Z$2:$Z$1501,'Per Line'!$E$2:$E$1501,$B63,'Per Line'!$AS$2:$AS$1501,0,'Per Line'!$AT$2:$AT$1501,0))</f>
        <v/>
      </c>
      <c r="X63" s="7">
        <f>IF($AH63="","",W63*V63)</f>
        <v/>
      </c>
      <c r="Y63">
        <f>IF($AH63="","",Settings!$C$6)</f>
        <v/>
      </c>
      <c r="Z63" s="7">
        <f>IF($AH63="","",SUMIFS('Per Line'!$Z$2:$Z$1501,'Per Line'!$E$2:$E$1501,$B63,'Per Line'!$AS$2:$AS$1501,1,'Per Line'!$AT$2:$AT$1501,0))</f>
        <v/>
      </c>
      <c r="AA63" s="7">
        <f>IF($AH63="","",Z63*Y63)</f>
        <v/>
      </c>
      <c r="AB63" s="7">
        <f>IF($AH63="","",AA63+X63+U63)</f>
        <v/>
      </c>
      <c r="AC63" s="7">
        <f>IF($AH63="","",AD63-AB63)</f>
        <v/>
      </c>
      <c r="AD63" s="7">
        <f>IF($AH63="","",W63+Z63+T63)</f>
        <v/>
      </c>
      <c r="AE63" s="7">
        <f>IF($AH63="","",AD63-AB63-P63)</f>
        <v/>
      </c>
      <c r="AF63" s="15" t="n"/>
      <c r="AG63" s="7">
        <f>IF($AH63="","",AE63-N(AF63))</f>
        <v/>
      </c>
      <c r="AH63" s="16">
        <f>IF(ROWS($AH$2:$AH63)&lt;=MAX('Per Line'!$AR$2:$AR$1501),MATCH(ROWS($AH$2:$AH63),'Per Line'!$AR$2:$AR$1501,0),"")</f>
        <v/>
      </c>
      <c r="AI63">
        <f>IF($AH63="","",C63&amp;"|"&amp;COUNTIF($C$2:$C63,C63))</f>
        <v/>
      </c>
    </row>
    <row r="64">
      <c r="A64" s="15" t="n"/>
      <c r="B64">
        <f>IF($AH64="","",INDEX('Per Line'!$E$2:$E$1501,$AH64)&amp;"")</f>
        <v/>
      </c>
      <c r="C64">
        <f>IF($AH64="","",IF(INDEX('Per Line'!$AP$2:$AP$1501,$AH64)="NOT MATCH","NOT MATCH","FULL MATCH"))</f>
        <v/>
      </c>
      <c r="D64">
        <f>IF($AH64="","",INDEX('Per Line'!$A$2:$A$1501,$AH64)&amp;"")</f>
        <v/>
      </c>
      <c r="E64">
        <f>IF($AH64="","",INDEX('Per Line'!$B$2:$B$1501,$AH64))</f>
        <v/>
      </c>
      <c r="F64">
        <f>IF($AH64="","",INDEX('Per Line'!$C$2:$C$1501,$AH64)&amp;"")</f>
        <v/>
      </c>
      <c r="G64">
        <f>IF($AH64="","",INDEX('Per Line'!$D$2:$D$1501,$AH64)&amp;"")</f>
        <v/>
      </c>
      <c r="H64">
        <f>IF($AH64="","",INDEX('Per Line'!$F$2:$F$1501,$AH64)&amp;"")</f>
        <v/>
      </c>
      <c r="I64" s="14">
        <f>IF($AH64="","",INDEX('Per Line'!$G$2:$G$1501,$AH64))</f>
        <v/>
      </c>
      <c r="J64">
        <f>IF($AH64="","",INDEX('Per Line'!$H$2:$H$1501,$AH64)&amp;"")</f>
        <v/>
      </c>
      <c r="K64">
        <f>IF($AH64="","",INDEX('Per Line'!$J$2:$J$1501,$AH64)&amp;"")</f>
        <v/>
      </c>
      <c r="L64">
        <f>IF($AH64="","",INDEX('Per Line'!$K$2:$K$1501,$AH64)&amp;"")</f>
        <v/>
      </c>
      <c r="M64">
        <f>IF($AH64="","",INDEX('Per Line'!$L$2:$L$1501,$AH64)&amp;"")</f>
        <v/>
      </c>
      <c r="N64">
        <f>IF($AH64="","",INDEX('Per Line'!$M$2:$M$1501,$AH64)&amp;"")</f>
        <v/>
      </c>
      <c r="O64">
        <f>IF($AH64="","",INDEX('Per Line'!$P$2:$P$1501,$AH64))</f>
        <v/>
      </c>
      <c r="P64" s="7">
        <f>IF($AH64="","",O64*AD64/100)</f>
        <v/>
      </c>
      <c r="Q64">
        <f>IF($AH64="","",INDEX('Per Line'!$R$2:$R$1501,$AH64)&amp;"")</f>
        <v/>
      </c>
      <c r="R64">
        <f>IF($AH64="","",INDEX('Per Line'!$AB$2:$AB$1501,$AH64)&amp;"")</f>
        <v/>
      </c>
      <c r="S64">
        <f>IF($AH64="","",Settings!$C$8)</f>
        <v/>
      </c>
      <c r="T64" s="7">
        <f>IF($AH64="","",SUMIFS('Per Line'!$Z$2:$Z$1501,'Per Line'!$E$2:$E$1501,$B64,'Per Line'!$AT$2:$AT$1501,1))</f>
        <v/>
      </c>
      <c r="U64" s="7">
        <f>IF($AH64="","",T64*S64)</f>
        <v/>
      </c>
      <c r="V64">
        <f>IF($AH64="","",Settings!$C$7)</f>
        <v/>
      </c>
      <c r="W64" s="7">
        <f>IF($AH64="","",SUMIFS('Per Line'!$Z$2:$Z$1501,'Per Line'!$E$2:$E$1501,$B64,'Per Line'!$AS$2:$AS$1501,0,'Per Line'!$AT$2:$AT$1501,0))</f>
        <v/>
      </c>
      <c r="X64" s="7">
        <f>IF($AH64="","",W64*V64)</f>
        <v/>
      </c>
      <c r="Y64">
        <f>IF($AH64="","",Settings!$C$6)</f>
        <v/>
      </c>
      <c r="Z64" s="7">
        <f>IF($AH64="","",SUMIFS('Per Line'!$Z$2:$Z$1501,'Per Line'!$E$2:$E$1501,$B64,'Per Line'!$AS$2:$AS$1501,1,'Per Line'!$AT$2:$AT$1501,0))</f>
        <v/>
      </c>
      <c r="AA64" s="7">
        <f>IF($AH64="","",Z64*Y64)</f>
        <v/>
      </c>
      <c r="AB64" s="7">
        <f>IF($AH64="","",AA64+X64+U64)</f>
        <v/>
      </c>
      <c r="AC64" s="7">
        <f>IF($AH64="","",AD64-AB64)</f>
        <v/>
      </c>
      <c r="AD64" s="7">
        <f>IF($AH64="","",W64+Z64+T64)</f>
        <v/>
      </c>
      <c r="AE64" s="7">
        <f>IF($AH64="","",AD64-AB64-P64)</f>
        <v/>
      </c>
      <c r="AF64" s="15" t="n"/>
      <c r="AG64" s="7">
        <f>IF($AH64="","",AE64-N(AF64))</f>
        <v/>
      </c>
      <c r="AH64" s="16">
        <f>IF(ROWS($AH$2:$AH64)&lt;=MAX('Per Line'!$AR$2:$AR$1501),MATCH(ROWS($AH$2:$AH64),'Per Line'!$AR$2:$AR$1501,0),"")</f>
        <v/>
      </c>
      <c r="AI64">
        <f>IF($AH64="","",C64&amp;"|"&amp;COUNTIF($C$2:$C64,C64))</f>
        <v/>
      </c>
    </row>
    <row r="65">
      <c r="A65" s="15" t="n"/>
      <c r="B65">
        <f>IF($AH65="","",INDEX('Per Line'!$E$2:$E$1501,$AH65)&amp;"")</f>
        <v/>
      </c>
      <c r="C65">
        <f>IF($AH65="","",IF(INDEX('Per Line'!$AP$2:$AP$1501,$AH65)="NOT MATCH","NOT MATCH","FULL MATCH"))</f>
        <v/>
      </c>
      <c r="D65">
        <f>IF($AH65="","",INDEX('Per Line'!$A$2:$A$1501,$AH65)&amp;"")</f>
        <v/>
      </c>
      <c r="E65">
        <f>IF($AH65="","",INDEX('Per Line'!$B$2:$B$1501,$AH65))</f>
        <v/>
      </c>
      <c r="F65">
        <f>IF($AH65="","",INDEX('Per Line'!$C$2:$C$1501,$AH65)&amp;"")</f>
        <v/>
      </c>
      <c r="G65">
        <f>IF($AH65="","",INDEX('Per Line'!$D$2:$D$1501,$AH65)&amp;"")</f>
        <v/>
      </c>
      <c r="H65">
        <f>IF($AH65="","",INDEX('Per Line'!$F$2:$F$1501,$AH65)&amp;"")</f>
        <v/>
      </c>
      <c r="I65" s="14">
        <f>IF($AH65="","",INDEX('Per Line'!$G$2:$G$1501,$AH65))</f>
        <v/>
      </c>
      <c r="J65">
        <f>IF($AH65="","",INDEX('Per Line'!$H$2:$H$1501,$AH65)&amp;"")</f>
        <v/>
      </c>
      <c r="K65">
        <f>IF($AH65="","",INDEX('Per Line'!$J$2:$J$1501,$AH65)&amp;"")</f>
        <v/>
      </c>
      <c r="L65">
        <f>IF($AH65="","",INDEX('Per Line'!$K$2:$K$1501,$AH65)&amp;"")</f>
        <v/>
      </c>
      <c r="M65">
        <f>IF($AH65="","",INDEX('Per Line'!$L$2:$L$1501,$AH65)&amp;"")</f>
        <v/>
      </c>
      <c r="N65">
        <f>IF($AH65="","",INDEX('Per Line'!$M$2:$M$1501,$AH65)&amp;"")</f>
        <v/>
      </c>
      <c r="O65">
        <f>IF($AH65="","",INDEX('Per Line'!$P$2:$P$1501,$AH65))</f>
        <v/>
      </c>
      <c r="P65" s="7">
        <f>IF($AH65="","",O65*AD65/100)</f>
        <v/>
      </c>
      <c r="Q65">
        <f>IF($AH65="","",INDEX('Per Line'!$R$2:$R$1501,$AH65)&amp;"")</f>
        <v/>
      </c>
      <c r="R65">
        <f>IF($AH65="","",INDEX('Per Line'!$AB$2:$AB$1501,$AH65)&amp;"")</f>
        <v/>
      </c>
      <c r="S65">
        <f>IF($AH65="","",Settings!$C$8)</f>
        <v/>
      </c>
      <c r="T65" s="7">
        <f>IF($AH65="","",SUMIFS('Per Line'!$Z$2:$Z$1501,'Per Line'!$E$2:$E$1501,$B65,'Per Line'!$AT$2:$AT$1501,1))</f>
        <v/>
      </c>
      <c r="U65" s="7">
        <f>IF($AH65="","",T65*S65)</f>
        <v/>
      </c>
      <c r="V65">
        <f>IF($AH65="","",Settings!$C$7)</f>
        <v/>
      </c>
      <c r="W65" s="7">
        <f>IF($AH65="","",SUMIFS('Per Line'!$Z$2:$Z$1501,'Per Line'!$E$2:$E$1501,$B65,'Per Line'!$AS$2:$AS$1501,0,'Per Line'!$AT$2:$AT$1501,0))</f>
        <v/>
      </c>
      <c r="X65" s="7">
        <f>IF($AH65="","",W65*V65)</f>
        <v/>
      </c>
      <c r="Y65">
        <f>IF($AH65="","",Settings!$C$6)</f>
        <v/>
      </c>
      <c r="Z65" s="7">
        <f>IF($AH65="","",SUMIFS('Per Line'!$Z$2:$Z$1501,'Per Line'!$E$2:$E$1501,$B65,'Per Line'!$AS$2:$AS$1501,1,'Per Line'!$AT$2:$AT$1501,0))</f>
        <v/>
      </c>
      <c r="AA65" s="7">
        <f>IF($AH65="","",Z65*Y65)</f>
        <v/>
      </c>
      <c r="AB65" s="7">
        <f>IF($AH65="","",AA65+X65+U65)</f>
        <v/>
      </c>
      <c r="AC65" s="7">
        <f>IF($AH65="","",AD65-AB65)</f>
        <v/>
      </c>
      <c r="AD65" s="7">
        <f>IF($AH65="","",W65+Z65+T65)</f>
        <v/>
      </c>
      <c r="AE65" s="7">
        <f>IF($AH65="","",AD65-AB65-P65)</f>
        <v/>
      </c>
      <c r="AF65" s="15" t="n"/>
      <c r="AG65" s="7">
        <f>IF($AH65="","",AE65-N(AF65))</f>
        <v/>
      </c>
      <c r="AH65" s="16">
        <f>IF(ROWS($AH$2:$AH65)&lt;=MAX('Per Line'!$AR$2:$AR$1501),MATCH(ROWS($AH$2:$AH65),'Per Line'!$AR$2:$AR$1501,0),"")</f>
        <v/>
      </c>
      <c r="AI65">
        <f>IF($AH65="","",C65&amp;"|"&amp;COUNTIF($C$2:$C65,C65))</f>
        <v/>
      </c>
    </row>
    <row r="66">
      <c r="A66" s="15" t="n"/>
      <c r="B66">
        <f>IF($AH66="","",INDEX('Per Line'!$E$2:$E$1501,$AH66)&amp;"")</f>
        <v/>
      </c>
      <c r="C66">
        <f>IF($AH66="","",IF(INDEX('Per Line'!$AP$2:$AP$1501,$AH66)="NOT MATCH","NOT MATCH","FULL MATCH"))</f>
        <v/>
      </c>
      <c r="D66">
        <f>IF($AH66="","",INDEX('Per Line'!$A$2:$A$1501,$AH66)&amp;"")</f>
        <v/>
      </c>
      <c r="E66">
        <f>IF($AH66="","",INDEX('Per Line'!$B$2:$B$1501,$AH66))</f>
        <v/>
      </c>
      <c r="F66">
        <f>IF($AH66="","",INDEX('Per Line'!$C$2:$C$1501,$AH66)&amp;"")</f>
        <v/>
      </c>
      <c r="G66">
        <f>IF($AH66="","",INDEX('Per Line'!$D$2:$D$1501,$AH66)&amp;"")</f>
        <v/>
      </c>
      <c r="H66">
        <f>IF($AH66="","",INDEX('Per Line'!$F$2:$F$1501,$AH66)&amp;"")</f>
        <v/>
      </c>
      <c r="I66" s="14">
        <f>IF($AH66="","",INDEX('Per Line'!$G$2:$G$1501,$AH66))</f>
        <v/>
      </c>
      <c r="J66">
        <f>IF($AH66="","",INDEX('Per Line'!$H$2:$H$1501,$AH66)&amp;"")</f>
        <v/>
      </c>
      <c r="K66">
        <f>IF($AH66="","",INDEX('Per Line'!$J$2:$J$1501,$AH66)&amp;"")</f>
        <v/>
      </c>
      <c r="L66">
        <f>IF($AH66="","",INDEX('Per Line'!$K$2:$K$1501,$AH66)&amp;"")</f>
        <v/>
      </c>
      <c r="M66">
        <f>IF($AH66="","",INDEX('Per Line'!$L$2:$L$1501,$AH66)&amp;"")</f>
        <v/>
      </c>
      <c r="N66">
        <f>IF($AH66="","",INDEX('Per Line'!$M$2:$M$1501,$AH66)&amp;"")</f>
        <v/>
      </c>
      <c r="O66">
        <f>IF($AH66="","",INDEX('Per Line'!$P$2:$P$1501,$AH66))</f>
        <v/>
      </c>
      <c r="P66" s="7">
        <f>IF($AH66="","",O66*AD66/100)</f>
        <v/>
      </c>
      <c r="Q66">
        <f>IF($AH66="","",INDEX('Per Line'!$R$2:$R$1501,$AH66)&amp;"")</f>
        <v/>
      </c>
      <c r="R66">
        <f>IF($AH66="","",INDEX('Per Line'!$AB$2:$AB$1501,$AH66)&amp;"")</f>
        <v/>
      </c>
      <c r="S66">
        <f>IF($AH66="","",Settings!$C$8)</f>
        <v/>
      </c>
      <c r="T66" s="7">
        <f>IF($AH66="","",SUMIFS('Per Line'!$Z$2:$Z$1501,'Per Line'!$E$2:$E$1501,$B66,'Per Line'!$AT$2:$AT$1501,1))</f>
        <v/>
      </c>
      <c r="U66" s="7">
        <f>IF($AH66="","",T66*S66)</f>
        <v/>
      </c>
      <c r="V66">
        <f>IF($AH66="","",Settings!$C$7)</f>
        <v/>
      </c>
      <c r="W66" s="7">
        <f>IF($AH66="","",SUMIFS('Per Line'!$Z$2:$Z$1501,'Per Line'!$E$2:$E$1501,$B66,'Per Line'!$AS$2:$AS$1501,0,'Per Line'!$AT$2:$AT$1501,0))</f>
        <v/>
      </c>
      <c r="X66" s="7">
        <f>IF($AH66="","",W66*V66)</f>
        <v/>
      </c>
      <c r="Y66">
        <f>IF($AH66="","",Settings!$C$6)</f>
        <v/>
      </c>
      <c r="Z66" s="7">
        <f>IF($AH66="","",SUMIFS('Per Line'!$Z$2:$Z$1501,'Per Line'!$E$2:$E$1501,$B66,'Per Line'!$AS$2:$AS$1501,1,'Per Line'!$AT$2:$AT$1501,0))</f>
        <v/>
      </c>
      <c r="AA66" s="7">
        <f>IF($AH66="","",Z66*Y66)</f>
        <v/>
      </c>
      <c r="AB66" s="7">
        <f>IF($AH66="","",AA66+X66+U66)</f>
        <v/>
      </c>
      <c r="AC66" s="7">
        <f>IF($AH66="","",AD66-AB66)</f>
        <v/>
      </c>
      <c r="AD66" s="7">
        <f>IF($AH66="","",W66+Z66+T66)</f>
        <v/>
      </c>
      <c r="AE66" s="7">
        <f>IF($AH66="","",AD66-AB66-P66)</f>
        <v/>
      </c>
      <c r="AF66" s="15" t="n"/>
      <c r="AG66" s="7">
        <f>IF($AH66="","",AE66-N(AF66))</f>
        <v/>
      </c>
      <c r="AH66" s="16">
        <f>IF(ROWS($AH$2:$AH66)&lt;=MAX('Per Line'!$AR$2:$AR$1501),MATCH(ROWS($AH$2:$AH66),'Per Line'!$AR$2:$AR$1501,0),"")</f>
        <v/>
      </c>
      <c r="AI66">
        <f>IF($AH66="","",C66&amp;"|"&amp;COUNTIF($C$2:$C66,C66))</f>
        <v/>
      </c>
    </row>
    <row r="67">
      <c r="A67" s="15" t="n"/>
      <c r="B67">
        <f>IF($AH67="","",INDEX('Per Line'!$E$2:$E$1501,$AH67)&amp;"")</f>
        <v/>
      </c>
      <c r="C67">
        <f>IF($AH67="","",IF(INDEX('Per Line'!$AP$2:$AP$1501,$AH67)="NOT MATCH","NOT MATCH","FULL MATCH"))</f>
        <v/>
      </c>
      <c r="D67">
        <f>IF($AH67="","",INDEX('Per Line'!$A$2:$A$1501,$AH67)&amp;"")</f>
        <v/>
      </c>
      <c r="E67">
        <f>IF($AH67="","",INDEX('Per Line'!$B$2:$B$1501,$AH67))</f>
        <v/>
      </c>
      <c r="F67">
        <f>IF($AH67="","",INDEX('Per Line'!$C$2:$C$1501,$AH67)&amp;"")</f>
        <v/>
      </c>
      <c r="G67">
        <f>IF($AH67="","",INDEX('Per Line'!$D$2:$D$1501,$AH67)&amp;"")</f>
        <v/>
      </c>
      <c r="H67">
        <f>IF($AH67="","",INDEX('Per Line'!$F$2:$F$1501,$AH67)&amp;"")</f>
        <v/>
      </c>
      <c r="I67" s="14">
        <f>IF($AH67="","",INDEX('Per Line'!$G$2:$G$1501,$AH67))</f>
        <v/>
      </c>
      <c r="J67">
        <f>IF($AH67="","",INDEX('Per Line'!$H$2:$H$1501,$AH67)&amp;"")</f>
        <v/>
      </c>
      <c r="K67">
        <f>IF($AH67="","",INDEX('Per Line'!$J$2:$J$1501,$AH67)&amp;"")</f>
        <v/>
      </c>
      <c r="L67">
        <f>IF($AH67="","",INDEX('Per Line'!$K$2:$K$1501,$AH67)&amp;"")</f>
        <v/>
      </c>
      <c r="M67">
        <f>IF($AH67="","",INDEX('Per Line'!$L$2:$L$1501,$AH67)&amp;"")</f>
        <v/>
      </c>
      <c r="N67">
        <f>IF($AH67="","",INDEX('Per Line'!$M$2:$M$1501,$AH67)&amp;"")</f>
        <v/>
      </c>
      <c r="O67">
        <f>IF($AH67="","",INDEX('Per Line'!$P$2:$P$1501,$AH67))</f>
        <v/>
      </c>
      <c r="P67" s="7">
        <f>IF($AH67="","",O67*AD67/100)</f>
        <v/>
      </c>
      <c r="Q67">
        <f>IF($AH67="","",INDEX('Per Line'!$R$2:$R$1501,$AH67)&amp;"")</f>
        <v/>
      </c>
      <c r="R67">
        <f>IF($AH67="","",INDEX('Per Line'!$AB$2:$AB$1501,$AH67)&amp;"")</f>
        <v/>
      </c>
      <c r="S67">
        <f>IF($AH67="","",Settings!$C$8)</f>
        <v/>
      </c>
      <c r="T67" s="7">
        <f>IF($AH67="","",SUMIFS('Per Line'!$Z$2:$Z$1501,'Per Line'!$E$2:$E$1501,$B67,'Per Line'!$AT$2:$AT$1501,1))</f>
        <v/>
      </c>
      <c r="U67" s="7">
        <f>IF($AH67="","",T67*S67)</f>
        <v/>
      </c>
      <c r="V67">
        <f>IF($AH67="","",Settings!$C$7)</f>
        <v/>
      </c>
      <c r="W67" s="7">
        <f>IF($AH67="","",SUMIFS('Per Line'!$Z$2:$Z$1501,'Per Line'!$E$2:$E$1501,$B67,'Per Line'!$AS$2:$AS$1501,0,'Per Line'!$AT$2:$AT$1501,0))</f>
        <v/>
      </c>
      <c r="X67" s="7">
        <f>IF($AH67="","",W67*V67)</f>
        <v/>
      </c>
      <c r="Y67">
        <f>IF($AH67="","",Settings!$C$6)</f>
        <v/>
      </c>
      <c r="Z67" s="7">
        <f>IF($AH67="","",SUMIFS('Per Line'!$Z$2:$Z$1501,'Per Line'!$E$2:$E$1501,$B67,'Per Line'!$AS$2:$AS$1501,1,'Per Line'!$AT$2:$AT$1501,0))</f>
        <v/>
      </c>
      <c r="AA67" s="7">
        <f>IF($AH67="","",Z67*Y67)</f>
        <v/>
      </c>
      <c r="AB67" s="7">
        <f>IF($AH67="","",AA67+X67+U67)</f>
        <v/>
      </c>
      <c r="AC67" s="7">
        <f>IF($AH67="","",AD67-AB67)</f>
        <v/>
      </c>
      <c r="AD67" s="7">
        <f>IF($AH67="","",W67+Z67+T67)</f>
        <v/>
      </c>
      <c r="AE67" s="7">
        <f>IF($AH67="","",AD67-AB67-P67)</f>
        <v/>
      </c>
      <c r="AF67" s="15" t="n"/>
      <c r="AG67" s="7">
        <f>IF($AH67="","",AE67-N(AF67))</f>
        <v/>
      </c>
      <c r="AH67" s="16">
        <f>IF(ROWS($AH$2:$AH67)&lt;=MAX('Per Line'!$AR$2:$AR$1501),MATCH(ROWS($AH$2:$AH67),'Per Line'!$AR$2:$AR$1501,0),"")</f>
        <v/>
      </c>
      <c r="AI67">
        <f>IF($AH67="","",C67&amp;"|"&amp;COUNTIF($C$2:$C67,C67))</f>
        <v/>
      </c>
    </row>
    <row r="68">
      <c r="A68" s="15" t="n"/>
      <c r="B68">
        <f>IF($AH68="","",INDEX('Per Line'!$E$2:$E$1501,$AH68)&amp;"")</f>
        <v/>
      </c>
      <c r="C68">
        <f>IF($AH68="","",IF(INDEX('Per Line'!$AP$2:$AP$1501,$AH68)="NOT MATCH","NOT MATCH","FULL MATCH"))</f>
        <v/>
      </c>
      <c r="D68">
        <f>IF($AH68="","",INDEX('Per Line'!$A$2:$A$1501,$AH68)&amp;"")</f>
        <v/>
      </c>
      <c r="E68">
        <f>IF($AH68="","",INDEX('Per Line'!$B$2:$B$1501,$AH68))</f>
        <v/>
      </c>
      <c r="F68">
        <f>IF($AH68="","",INDEX('Per Line'!$C$2:$C$1501,$AH68)&amp;"")</f>
        <v/>
      </c>
      <c r="G68">
        <f>IF($AH68="","",INDEX('Per Line'!$D$2:$D$1501,$AH68)&amp;"")</f>
        <v/>
      </c>
      <c r="H68">
        <f>IF($AH68="","",INDEX('Per Line'!$F$2:$F$1501,$AH68)&amp;"")</f>
        <v/>
      </c>
      <c r="I68" s="14">
        <f>IF($AH68="","",INDEX('Per Line'!$G$2:$G$1501,$AH68))</f>
        <v/>
      </c>
      <c r="J68">
        <f>IF($AH68="","",INDEX('Per Line'!$H$2:$H$1501,$AH68)&amp;"")</f>
        <v/>
      </c>
      <c r="K68">
        <f>IF($AH68="","",INDEX('Per Line'!$J$2:$J$1501,$AH68)&amp;"")</f>
        <v/>
      </c>
      <c r="L68">
        <f>IF($AH68="","",INDEX('Per Line'!$K$2:$K$1501,$AH68)&amp;"")</f>
        <v/>
      </c>
      <c r="M68">
        <f>IF($AH68="","",INDEX('Per Line'!$L$2:$L$1501,$AH68)&amp;"")</f>
        <v/>
      </c>
      <c r="N68">
        <f>IF($AH68="","",INDEX('Per Line'!$M$2:$M$1501,$AH68)&amp;"")</f>
        <v/>
      </c>
      <c r="O68">
        <f>IF($AH68="","",INDEX('Per Line'!$P$2:$P$1501,$AH68))</f>
        <v/>
      </c>
      <c r="P68" s="7">
        <f>IF($AH68="","",O68*AD68/100)</f>
        <v/>
      </c>
      <c r="Q68">
        <f>IF($AH68="","",INDEX('Per Line'!$R$2:$R$1501,$AH68)&amp;"")</f>
        <v/>
      </c>
      <c r="R68">
        <f>IF($AH68="","",INDEX('Per Line'!$AB$2:$AB$1501,$AH68)&amp;"")</f>
        <v/>
      </c>
      <c r="S68">
        <f>IF($AH68="","",Settings!$C$8)</f>
        <v/>
      </c>
      <c r="T68" s="7">
        <f>IF($AH68="","",SUMIFS('Per Line'!$Z$2:$Z$1501,'Per Line'!$E$2:$E$1501,$B68,'Per Line'!$AT$2:$AT$1501,1))</f>
        <v/>
      </c>
      <c r="U68" s="7">
        <f>IF($AH68="","",T68*S68)</f>
        <v/>
      </c>
      <c r="V68">
        <f>IF($AH68="","",Settings!$C$7)</f>
        <v/>
      </c>
      <c r="W68" s="7">
        <f>IF($AH68="","",SUMIFS('Per Line'!$Z$2:$Z$1501,'Per Line'!$E$2:$E$1501,$B68,'Per Line'!$AS$2:$AS$1501,0,'Per Line'!$AT$2:$AT$1501,0))</f>
        <v/>
      </c>
      <c r="X68" s="7">
        <f>IF($AH68="","",W68*V68)</f>
        <v/>
      </c>
      <c r="Y68">
        <f>IF($AH68="","",Settings!$C$6)</f>
        <v/>
      </c>
      <c r="Z68" s="7">
        <f>IF($AH68="","",SUMIFS('Per Line'!$Z$2:$Z$1501,'Per Line'!$E$2:$E$1501,$B68,'Per Line'!$AS$2:$AS$1501,1,'Per Line'!$AT$2:$AT$1501,0))</f>
        <v/>
      </c>
      <c r="AA68" s="7">
        <f>IF($AH68="","",Z68*Y68)</f>
        <v/>
      </c>
      <c r="AB68" s="7">
        <f>IF($AH68="","",AA68+X68+U68)</f>
        <v/>
      </c>
      <c r="AC68" s="7">
        <f>IF($AH68="","",AD68-AB68)</f>
        <v/>
      </c>
      <c r="AD68" s="7">
        <f>IF($AH68="","",W68+Z68+T68)</f>
        <v/>
      </c>
      <c r="AE68" s="7">
        <f>IF($AH68="","",AD68-AB68-P68)</f>
        <v/>
      </c>
      <c r="AF68" s="15" t="n"/>
      <c r="AG68" s="7">
        <f>IF($AH68="","",AE68-N(AF68))</f>
        <v/>
      </c>
      <c r="AH68" s="16">
        <f>IF(ROWS($AH$2:$AH68)&lt;=MAX('Per Line'!$AR$2:$AR$1501),MATCH(ROWS($AH$2:$AH68),'Per Line'!$AR$2:$AR$1501,0),"")</f>
        <v/>
      </c>
      <c r="AI68">
        <f>IF($AH68="","",C68&amp;"|"&amp;COUNTIF($C$2:$C68,C68))</f>
        <v/>
      </c>
    </row>
    <row r="69">
      <c r="A69" s="15" t="n"/>
      <c r="B69">
        <f>IF($AH69="","",INDEX('Per Line'!$E$2:$E$1501,$AH69)&amp;"")</f>
        <v/>
      </c>
      <c r="C69">
        <f>IF($AH69="","",IF(INDEX('Per Line'!$AP$2:$AP$1501,$AH69)="NOT MATCH","NOT MATCH","FULL MATCH"))</f>
        <v/>
      </c>
      <c r="D69">
        <f>IF($AH69="","",INDEX('Per Line'!$A$2:$A$1501,$AH69)&amp;"")</f>
        <v/>
      </c>
      <c r="E69">
        <f>IF($AH69="","",INDEX('Per Line'!$B$2:$B$1501,$AH69))</f>
        <v/>
      </c>
      <c r="F69">
        <f>IF($AH69="","",INDEX('Per Line'!$C$2:$C$1501,$AH69)&amp;"")</f>
        <v/>
      </c>
      <c r="G69">
        <f>IF($AH69="","",INDEX('Per Line'!$D$2:$D$1501,$AH69)&amp;"")</f>
        <v/>
      </c>
      <c r="H69">
        <f>IF($AH69="","",INDEX('Per Line'!$F$2:$F$1501,$AH69)&amp;"")</f>
        <v/>
      </c>
      <c r="I69" s="14">
        <f>IF($AH69="","",INDEX('Per Line'!$G$2:$G$1501,$AH69))</f>
        <v/>
      </c>
      <c r="J69">
        <f>IF($AH69="","",INDEX('Per Line'!$H$2:$H$1501,$AH69)&amp;"")</f>
        <v/>
      </c>
      <c r="K69">
        <f>IF($AH69="","",INDEX('Per Line'!$J$2:$J$1501,$AH69)&amp;"")</f>
        <v/>
      </c>
      <c r="L69">
        <f>IF($AH69="","",INDEX('Per Line'!$K$2:$K$1501,$AH69)&amp;"")</f>
        <v/>
      </c>
      <c r="M69">
        <f>IF($AH69="","",INDEX('Per Line'!$L$2:$L$1501,$AH69)&amp;"")</f>
        <v/>
      </c>
      <c r="N69">
        <f>IF($AH69="","",INDEX('Per Line'!$M$2:$M$1501,$AH69)&amp;"")</f>
        <v/>
      </c>
      <c r="O69">
        <f>IF($AH69="","",INDEX('Per Line'!$P$2:$P$1501,$AH69))</f>
        <v/>
      </c>
      <c r="P69" s="7">
        <f>IF($AH69="","",O69*AD69/100)</f>
        <v/>
      </c>
      <c r="Q69">
        <f>IF($AH69="","",INDEX('Per Line'!$R$2:$R$1501,$AH69)&amp;"")</f>
        <v/>
      </c>
      <c r="R69">
        <f>IF($AH69="","",INDEX('Per Line'!$AB$2:$AB$1501,$AH69)&amp;"")</f>
        <v/>
      </c>
      <c r="S69">
        <f>IF($AH69="","",Settings!$C$8)</f>
        <v/>
      </c>
      <c r="T69" s="7">
        <f>IF($AH69="","",SUMIFS('Per Line'!$Z$2:$Z$1501,'Per Line'!$E$2:$E$1501,$B69,'Per Line'!$AT$2:$AT$1501,1))</f>
        <v/>
      </c>
      <c r="U69" s="7">
        <f>IF($AH69="","",T69*S69)</f>
        <v/>
      </c>
      <c r="V69">
        <f>IF($AH69="","",Settings!$C$7)</f>
        <v/>
      </c>
      <c r="W69" s="7">
        <f>IF($AH69="","",SUMIFS('Per Line'!$Z$2:$Z$1501,'Per Line'!$E$2:$E$1501,$B69,'Per Line'!$AS$2:$AS$1501,0,'Per Line'!$AT$2:$AT$1501,0))</f>
        <v/>
      </c>
      <c r="X69" s="7">
        <f>IF($AH69="","",W69*V69)</f>
        <v/>
      </c>
      <c r="Y69">
        <f>IF($AH69="","",Settings!$C$6)</f>
        <v/>
      </c>
      <c r="Z69" s="7">
        <f>IF($AH69="","",SUMIFS('Per Line'!$Z$2:$Z$1501,'Per Line'!$E$2:$E$1501,$B69,'Per Line'!$AS$2:$AS$1501,1,'Per Line'!$AT$2:$AT$1501,0))</f>
        <v/>
      </c>
      <c r="AA69" s="7">
        <f>IF($AH69="","",Z69*Y69)</f>
        <v/>
      </c>
      <c r="AB69" s="7">
        <f>IF($AH69="","",AA69+X69+U69)</f>
        <v/>
      </c>
      <c r="AC69" s="7">
        <f>IF($AH69="","",AD69-AB69)</f>
        <v/>
      </c>
      <c r="AD69" s="7">
        <f>IF($AH69="","",W69+Z69+T69)</f>
        <v/>
      </c>
      <c r="AE69" s="7">
        <f>IF($AH69="","",AD69-AB69-P69)</f>
        <v/>
      </c>
      <c r="AF69" s="15" t="n"/>
      <c r="AG69" s="7">
        <f>IF($AH69="","",AE69-N(AF69))</f>
        <v/>
      </c>
      <c r="AH69" s="16">
        <f>IF(ROWS($AH$2:$AH69)&lt;=MAX('Per Line'!$AR$2:$AR$1501),MATCH(ROWS($AH$2:$AH69),'Per Line'!$AR$2:$AR$1501,0),"")</f>
        <v/>
      </c>
      <c r="AI69">
        <f>IF($AH69="","",C69&amp;"|"&amp;COUNTIF($C$2:$C69,C69))</f>
        <v/>
      </c>
    </row>
    <row r="70">
      <c r="A70" s="15" t="n"/>
      <c r="B70">
        <f>IF($AH70="","",INDEX('Per Line'!$E$2:$E$1501,$AH70)&amp;"")</f>
        <v/>
      </c>
      <c r="C70">
        <f>IF($AH70="","",IF(INDEX('Per Line'!$AP$2:$AP$1501,$AH70)="NOT MATCH","NOT MATCH","FULL MATCH"))</f>
        <v/>
      </c>
      <c r="D70">
        <f>IF($AH70="","",INDEX('Per Line'!$A$2:$A$1501,$AH70)&amp;"")</f>
        <v/>
      </c>
      <c r="E70">
        <f>IF($AH70="","",INDEX('Per Line'!$B$2:$B$1501,$AH70))</f>
        <v/>
      </c>
      <c r="F70">
        <f>IF($AH70="","",INDEX('Per Line'!$C$2:$C$1501,$AH70)&amp;"")</f>
        <v/>
      </c>
      <c r="G70">
        <f>IF($AH70="","",INDEX('Per Line'!$D$2:$D$1501,$AH70)&amp;"")</f>
        <v/>
      </c>
      <c r="H70">
        <f>IF($AH70="","",INDEX('Per Line'!$F$2:$F$1501,$AH70)&amp;"")</f>
        <v/>
      </c>
      <c r="I70" s="14">
        <f>IF($AH70="","",INDEX('Per Line'!$G$2:$G$1501,$AH70))</f>
        <v/>
      </c>
      <c r="J70">
        <f>IF($AH70="","",INDEX('Per Line'!$H$2:$H$1501,$AH70)&amp;"")</f>
        <v/>
      </c>
      <c r="K70">
        <f>IF($AH70="","",INDEX('Per Line'!$J$2:$J$1501,$AH70)&amp;"")</f>
        <v/>
      </c>
      <c r="L70">
        <f>IF($AH70="","",INDEX('Per Line'!$K$2:$K$1501,$AH70)&amp;"")</f>
        <v/>
      </c>
      <c r="M70">
        <f>IF($AH70="","",INDEX('Per Line'!$L$2:$L$1501,$AH70)&amp;"")</f>
        <v/>
      </c>
      <c r="N70">
        <f>IF($AH70="","",INDEX('Per Line'!$M$2:$M$1501,$AH70)&amp;"")</f>
        <v/>
      </c>
      <c r="O70">
        <f>IF($AH70="","",INDEX('Per Line'!$P$2:$P$1501,$AH70))</f>
        <v/>
      </c>
      <c r="P70" s="7">
        <f>IF($AH70="","",O70*AD70/100)</f>
        <v/>
      </c>
      <c r="Q70">
        <f>IF($AH70="","",INDEX('Per Line'!$R$2:$R$1501,$AH70)&amp;"")</f>
        <v/>
      </c>
      <c r="R70">
        <f>IF($AH70="","",INDEX('Per Line'!$AB$2:$AB$1501,$AH70)&amp;"")</f>
        <v/>
      </c>
      <c r="S70">
        <f>IF($AH70="","",Settings!$C$8)</f>
        <v/>
      </c>
      <c r="T70" s="7">
        <f>IF($AH70="","",SUMIFS('Per Line'!$Z$2:$Z$1501,'Per Line'!$E$2:$E$1501,$B70,'Per Line'!$AT$2:$AT$1501,1))</f>
        <v/>
      </c>
      <c r="U70" s="7">
        <f>IF($AH70="","",T70*S70)</f>
        <v/>
      </c>
      <c r="V70">
        <f>IF($AH70="","",Settings!$C$7)</f>
        <v/>
      </c>
      <c r="W70" s="7">
        <f>IF($AH70="","",SUMIFS('Per Line'!$Z$2:$Z$1501,'Per Line'!$E$2:$E$1501,$B70,'Per Line'!$AS$2:$AS$1501,0,'Per Line'!$AT$2:$AT$1501,0))</f>
        <v/>
      </c>
      <c r="X70" s="7">
        <f>IF($AH70="","",W70*V70)</f>
        <v/>
      </c>
      <c r="Y70">
        <f>IF($AH70="","",Settings!$C$6)</f>
        <v/>
      </c>
      <c r="Z70" s="7">
        <f>IF($AH70="","",SUMIFS('Per Line'!$Z$2:$Z$1501,'Per Line'!$E$2:$E$1501,$B70,'Per Line'!$AS$2:$AS$1501,1,'Per Line'!$AT$2:$AT$1501,0))</f>
        <v/>
      </c>
      <c r="AA70" s="7">
        <f>IF($AH70="","",Z70*Y70)</f>
        <v/>
      </c>
      <c r="AB70" s="7">
        <f>IF($AH70="","",AA70+X70+U70)</f>
        <v/>
      </c>
      <c r="AC70" s="7">
        <f>IF($AH70="","",AD70-AB70)</f>
        <v/>
      </c>
      <c r="AD70" s="7">
        <f>IF($AH70="","",W70+Z70+T70)</f>
        <v/>
      </c>
      <c r="AE70" s="7">
        <f>IF($AH70="","",AD70-AB70-P70)</f>
        <v/>
      </c>
      <c r="AF70" s="15" t="n"/>
      <c r="AG70" s="7">
        <f>IF($AH70="","",AE70-N(AF70))</f>
        <v/>
      </c>
      <c r="AH70" s="16">
        <f>IF(ROWS($AH$2:$AH70)&lt;=MAX('Per Line'!$AR$2:$AR$1501),MATCH(ROWS($AH$2:$AH70),'Per Line'!$AR$2:$AR$1501,0),"")</f>
        <v/>
      </c>
      <c r="AI70">
        <f>IF($AH70="","",C70&amp;"|"&amp;COUNTIF($C$2:$C70,C70))</f>
        <v/>
      </c>
    </row>
    <row r="71">
      <c r="A71" s="15" t="n"/>
      <c r="B71">
        <f>IF($AH71="","",INDEX('Per Line'!$E$2:$E$1501,$AH71)&amp;"")</f>
        <v/>
      </c>
      <c r="C71">
        <f>IF($AH71="","",IF(INDEX('Per Line'!$AP$2:$AP$1501,$AH71)="NOT MATCH","NOT MATCH","FULL MATCH"))</f>
        <v/>
      </c>
      <c r="D71">
        <f>IF($AH71="","",INDEX('Per Line'!$A$2:$A$1501,$AH71)&amp;"")</f>
        <v/>
      </c>
      <c r="E71">
        <f>IF($AH71="","",INDEX('Per Line'!$B$2:$B$1501,$AH71))</f>
        <v/>
      </c>
      <c r="F71">
        <f>IF($AH71="","",INDEX('Per Line'!$C$2:$C$1501,$AH71)&amp;"")</f>
        <v/>
      </c>
      <c r="G71">
        <f>IF($AH71="","",INDEX('Per Line'!$D$2:$D$1501,$AH71)&amp;"")</f>
        <v/>
      </c>
      <c r="H71">
        <f>IF($AH71="","",INDEX('Per Line'!$F$2:$F$1501,$AH71)&amp;"")</f>
        <v/>
      </c>
      <c r="I71" s="14">
        <f>IF($AH71="","",INDEX('Per Line'!$G$2:$G$1501,$AH71))</f>
        <v/>
      </c>
      <c r="J71">
        <f>IF($AH71="","",INDEX('Per Line'!$H$2:$H$1501,$AH71)&amp;"")</f>
        <v/>
      </c>
      <c r="K71">
        <f>IF($AH71="","",INDEX('Per Line'!$J$2:$J$1501,$AH71)&amp;"")</f>
        <v/>
      </c>
      <c r="L71">
        <f>IF($AH71="","",INDEX('Per Line'!$K$2:$K$1501,$AH71)&amp;"")</f>
        <v/>
      </c>
      <c r="M71">
        <f>IF($AH71="","",INDEX('Per Line'!$L$2:$L$1501,$AH71)&amp;"")</f>
        <v/>
      </c>
      <c r="N71">
        <f>IF($AH71="","",INDEX('Per Line'!$M$2:$M$1501,$AH71)&amp;"")</f>
        <v/>
      </c>
      <c r="O71">
        <f>IF($AH71="","",INDEX('Per Line'!$P$2:$P$1501,$AH71))</f>
        <v/>
      </c>
      <c r="P71" s="7">
        <f>IF($AH71="","",O71*AD71/100)</f>
        <v/>
      </c>
      <c r="Q71">
        <f>IF($AH71="","",INDEX('Per Line'!$R$2:$R$1501,$AH71)&amp;"")</f>
        <v/>
      </c>
      <c r="R71">
        <f>IF($AH71="","",INDEX('Per Line'!$AB$2:$AB$1501,$AH71)&amp;"")</f>
        <v/>
      </c>
      <c r="S71">
        <f>IF($AH71="","",Settings!$C$8)</f>
        <v/>
      </c>
      <c r="T71" s="7">
        <f>IF($AH71="","",SUMIFS('Per Line'!$Z$2:$Z$1501,'Per Line'!$E$2:$E$1501,$B71,'Per Line'!$AT$2:$AT$1501,1))</f>
        <v/>
      </c>
      <c r="U71" s="7">
        <f>IF($AH71="","",T71*S71)</f>
        <v/>
      </c>
      <c r="V71">
        <f>IF($AH71="","",Settings!$C$7)</f>
        <v/>
      </c>
      <c r="W71" s="7">
        <f>IF($AH71="","",SUMIFS('Per Line'!$Z$2:$Z$1501,'Per Line'!$E$2:$E$1501,$B71,'Per Line'!$AS$2:$AS$1501,0,'Per Line'!$AT$2:$AT$1501,0))</f>
        <v/>
      </c>
      <c r="X71" s="7">
        <f>IF($AH71="","",W71*V71)</f>
        <v/>
      </c>
      <c r="Y71">
        <f>IF($AH71="","",Settings!$C$6)</f>
        <v/>
      </c>
      <c r="Z71" s="7">
        <f>IF($AH71="","",SUMIFS('Per Line'!$Z$2:$Z$1501,'Per Line'!$E$2:$E$1501,$B71,'Per Line'!$AS$2:$AS$1501,1,'Per Line'!$AT$2:$AT$1501,0))</f>
        <v/>
      </c>
      <c r="AA71" s="7">
        <f>IF($AH71="","",Z71*Y71)</f>
        <v/>
      </c>
      <c r="AB71" s="7">
        <f>IF($AH71="","",AA71+X71+U71)</f>
        <v/>
      </c>
      <c r="AC71" s="7">
        <f>IF($AH71="","",AD71-AB71)</f>
        <v/>
      </c>
      <c r="AD71" s="7">
        <f>IF($AH71="","",W71+Z71+T71)</f>
        <v/>
      </c>
      <c r="AE71" s="7">
        <f>IF($AH71="","",AD71-AB71-P71)</f>
        <v/>
      </c>
      <c r="AF71" s="15" t="n"/>
      <c r="AG71" s="7">
        <f>IF($AH71="","",AE71-N(AF71))</f>
        <v/>
      </c>
      <c r="AH71" s="16">
        <f>IF(ROWS($AH$2:$AH71)&lt;=MAX('Per Line'!$AR$2:$AR$1501),MATCH(ROWS($AH$2:$AH71),'Per Line'!$AR$2:$AR$1501,0),"")</f>
        <v/>
      </c>
      <c r="AI71">
        <f>IF($AH71="","",C71&amp;"|"&amp;COUNTIF($C$2:$C71,C71))</f>
        <v/>
      </c>
    </row>
    <row r="72">
      <c r="A72" s="15" t="n"/>
      <c r="B72">
        <f>IF($AH72="","",INDEX('Per Line'!$E$2:$E$1501,$AH72)&amp;"")</f>
        <v/>
      </c>
      <c r="C72">
        <f>IF($AH72="","",IF(INDEX('Per Line'!$AP$2:$AP$1501,$AH72)="NOT MATCH","NOT MATCH","FULL MATCH"))</f>
        <v/>
      </c>
      <c r="D72">
        <f>IF($AH72="","",INDEX('Per Line'!$A$2:$A$1501,$AH72)&amp;"")</f>
        <v/>
      </c>
      <c r="E72">
        <f>IF($AH72="","",INDEX('Per Line'!$B$2:$B$1501,$AH72))</f>
        <v/>
      </c>
      <c r="F72">
        <f>IF($AH72="","",INDEX('Per Line'!$C$2:$C$1501,$AH72)&amp;"")</f>
        <v/>
      </c>
      <c r="G72">
        <f>IF($AH72="","",INDEX('Per Line'!$D$2:$D$1501,$AH72)&amp;"")</f>
        <v/>
      </c>
      <c r="H72">
        <f>IF($AH72="","",INDEX('Per Line'!$F$2:$F$1501,$AH72)&amp;"")</f>
        <v/>
      </c>
      <c r="I72" s="14">
        <f>IF($AH72="","",INDEX('Per Line'!$G$2:$G$1501,$AH72))</f>
        <v/>
      </c>
      <c r="J72">
        <f>IF($AH72="","",INDEX('Per Line'!$H$2:$H$1501,$AH72)&amp;"")</f>
        <v/>
      </c>
      <c r="K72">
        <f>IF($AH72="","",INDEX('Per Line'!$J$2:$J$1501,$AH72)&amp;"")</f>
        <v/>
      </c>
      <c r="L72">
        <f>IF($AH72="","",INDEX('Per Line'!$K$2:$K$1501,$AH72)&amp;"")</f>
        <v/>
      </c>
      <c r="M72">
        <f>IF($AH72="","",INDEX('Per Line'!$L$2:$L$1501,$AH72)&amp;"")</f>
        <v/>
      </c>
      <c r="N72">
        <f>IF($AH72="","",INDEX('Per Line'!$M$2:$M$1501,$AH72)&amp;"")</f>
        <v/>
      </c>
      <c r="O72">
        <f>IF($AH72="","",INDEX('Per Line'!$P$2:$P$1501,$AH72))</f>
        <v/>
      </c>
      <c r="P72" s="7">
        <f>IF($AH72="","",O72*AD72/100)</f>
        <v/>
      </c>
      <c r="Q72">
        <f>IF($AH72="","",INDEX('Per Line'!$R$2:$R$1501,$AH72)&amp;"")</f>
        <v/>
      </c>
      <c r="R72">
        <f>IF($AH72="","",INDEX('Per Line'!$AB$2:$AB$1501,$AH72)&amp;"")</f>
        <v/>
      </c>
      <c r="S72">
        <f>IF($AH72="","",Settings!$C$8)</f>
        <v/>
      </c>
      <c r="T72" s="7">
        <f>IF($AH72="","",SUMIFS('Per Line'!$Z$2:$Z$1501,'Per Line'!$E$2:$E$1501,$B72,'Per Line'!$AT$2:$AT$1501,1))</f>
        <v/>
      </c>
      <c r="U72" s="7">
        <f>IF($AH72="","",T72*S72)</f>
        <v/>
      </c>
      <c r="V72">
        <f>IF($AH72="","",Settings!$C$7)</f>
        <v/>
      </c>
      <c r="W72" s="7">
        <f>IF($AH72="","",SUMIFS('Per Line'!$Z$2:$Z$1501,'Per Line'!$E$2:$E$1501,$B72,'Per Line'!$AS$2:$AS$1501,0,'Per Line'!$AT$2:$AT$1501,0))</f>
        <v/>
      </c>
      <c r="X72" s="7">
        <f>IF($AH72="","",W72*V72)</f>
        <v/>
      </c>
      <c r="Y72">
        <f>IF($AH72="","",Settings!$C$6)</f>
        <v/>
      </c>
      <c r="Z72" s="7">
        <f>IF($AH72="","",SUMIFS('Per Line'!$Z$2:$Z$1501,'Per Line'!$E$2:$E$1501,$B72,'Per Line'!$AS$2:$AS$1501,1,'Per Line'!$AT$2:$AT$1501,0))</f>
        <v/>
      </c>
      <c r="AA72" s="7">
        <f>IF($AH72="","",Z72*Y72)</f>
        <v/>
      </c>
      <c r="AB72" s="7">
        <f>IF($AH72="","",AA72+X72+U72)</f>
        <v/>
      </c>
      <c r="AC72" s="7">
        <f>IF($AH72="","",AD72-AB72)</f>
        <v/>
      </c>
      <c r="AD72" s="7">
        <f>IF($AH72="","",W72+Z72+T72)</f>
        <v/>
      </c>
      <c r="AE72" s="7">
        <f>IF($AH72="","",AD72-AB72-P72)</f>
        <v/>
      </c>
      <c r="AF72" s="15" t="n"/>
      <c r="AG72" s="7">
        <f>IF($AH72="","",AE72-N(AF72))</f>
        <v/>
      </c>
      <c r="AH72" s="16">
        <f>IF(ROWS($AH$2:$AH72)&lt;=MAX('Per Line'!$AR$2:$AR$1501),MATCH(ROWS($AH$2:$AH72),'Per Line'!$AR$2:$AR$1501,0),"")</f>
        <v/>
      </c>
      <c r="AI72">
        <f>IF($AH72="","",C72&amp;"|"&amp;COUNTIF($C$2:$C72,C72))</f>
        <v/>
      </c>
    </row>
    <row r="73">
      <c r="A73" s="15" t="n"/>
      <c r="B73">
        <f>IF($AH73="","",INDEX('Per Line'!$E$2:$E$1501,$AH73)&amp;"")</f>
        <v/>
      </c>
      <c r="C73">
        <f>IF($AH73="","",IF(INDEX('Per Line'!$AP$2:$AP$1501,$AH73)="NOT MATCH","NOT MATCH","FULL MATCH"))</f>
        <v/>
      </c>
      <c r="D73">
        <f>IF($AH73="","",INDEX('Per Line'!$A$2:$A$1501,$AH73)&amp;"")</f>
        <v/>
      </c>
      <c r="E73">
        <f>IF($AH73="","",INDEX('Per Line'!$B$2:$B$1501,$AH73))</f>
        <v/>
      </c>
      <c r="F73">
        <f>IF($AH73="","",INDEX('Per Line'!$C$2:$C$1501,$AH73)&amp;"")</f>
        <v/>
      </c>
      <c r="G73">
        <f>IF($AH73="","",INDEX('Per Line'!$D$2:$D$1501,$AH73)&amp;"")</f>
        <v/>
      </c>
      <c r="H73">
        <f>IF($AH73="","",INDEX('Per Line'!$F$2:$F$1501,$AH73)&amp;"")</f>
        <v/>
      </c>
      <c r="I73" s="14">
        <f>IF($AH73="","",INDEX('Per Line'!$G$2:$G$1501,$AH73))</f>
        <v/>
      </c>
      <c r="J73">
        <f>IF($AH73="","",INDEX('Per Line'!$H$2:$H$1501,$AH73)&amp;"")</f>
        <v/>
      </c>
      <c r="K73">
        <f>IF($AH73="","",INDEX('Per Line'!$J$2:$J$1501,$AH73)&amp;"")</f>
        <v/>
      </c>
      <c r="L73">
        <f>IF($AH73="","",INDEX('Per Line'!$K$2:$K$1501,$AH73)&amp;"")</f>
        <v/>
      </c>
      <c r="M73">
        <f>IF($AH73="","",INDEX('Per Line'!$L$2:$L$1501,$AH73)&amp;"")</f>
        <v/>
      </c>
      <c r="N73">
        <f>IF($AH73="","",INDEX('Per Line'!$M$2:$M$1501,$AH73)&amp;"")</f>
        <v/>
      </c>
      <c r="O73">
        <f>IF($AH73="","",INDEX('Per Line'!$P$2:$P$1501,$AH73))</f>
        <v/>
      </c>
      <c r="P73" s="7">
        <f>IF($AH73="","",O73*AD73/100)</f>
        <v/>
      </c>
      <c r="Q73">
        <f>IF($AH73="","",INDEX('Per Line'!$R$2:$R$1501,$AH73)&amp;"")</f>
        <v/>
      </c>
      <c r="R73">
        <f>IF($AH73="","",INDEX('Per Line'!$AB$2:$AB$1501,$AH73)&amp;"")</f>
        <v/>
      </c>
      <c r="S73">
        <f>IF($AH73="","",Settings!$C$8)</f>
        <v/>
      </c>
      <c r="T73" s="7">
        <f>IF($AH73="","",SUMIFS('Per Line'!$Z$2:$Z$1501,'Per Line'!$E$2:$E$1501,$B73,'Per Line'!$AT$2:$AT$1501,1))</f>
        <v/>
      </c>
      <c r="U73" s="7">
        <f>IF($AH73="","",T73*S73)</f>
        <v/>
      </c>
      <c r="V73">
        <f>IF($AH73="","",Settings!$C$7)</f>
        <v/>
      </c>
      <c r="W73" s="7">
        <f>IF($AH73="","",SUMIFS('Per Line'!$Z$2:$Z$1501,'Per Line'!$E$2:$E$1501,$B73,'Per Line'!$AS$2:$AS$1501,0,'Per Line'!$AT$2:$AT$1501,0))</f>
        <v/>
      </c>
      <c r="X73" s="7">
        <f>IF($AH73="","",W73*V73)</f>
        <v/>
      </c>
      <c r="Y73">
        <f>IF($AH73="","",Settings!$C$6)</f>
        <v/>
      </c>
      <c r="Z73" s="7">
        <f>IF($AH73="","",SUMIFS('Per Line'!$Z$2:$Z$1501,'Per Line'!$E$2:$E$1501,$B73,'Per Line'!$AS$2:$AS$1501,1,'Per Line'!$AT$2:$AT$1501,0))</f>
        <v/>
      </c>
      <c r="AA73" s="7">
        <f>IF($AH73="","",Z73*Y73)</f>
        <v/>
      </c>
      <c r="AB73" s="7">
        <f>IF($AH73="","",AA73+X73+U73)</f>
        <v/>
      </c>
      <c r="AC73" s="7">
        <f>IF($AH73="","",AD73-AB73)</f>
        <v/>
      </c>
      <c r="AD73" s="7">
        <f>IF($AH73="","",W73+Z73+T73)</f>
        <v/>
      </c>
      <c r="AE73" s="7">
        <f>IF($AH73="","",AD73-AB73-P73)</f>
        <v/>
      </c>
      <c r="AF73" s="15" t="n"/>
      <c r="AG73" s="7">
        <f>IF($AH73="","",AE73-N(AF73))</f>
        <v/>
      </c>
      <c r="AH73" s="16">
        <f>IF(ROWS($AH$2:$AH73)&lt;=MAX('Per Line'!$AR$2:$AR$1501),MATCH(ROWS($AH$2:$AH73),'Per Line'!$AR$2:$AR$1501,0),"")</f>
        <v/>
      </c>
      <c r="AI73">
        <f>IF($AH73="","",C73&amp;"|"&amp;COUNTIF($C$2:$C73,C73))</f>
        <v/>
      </c>
    </row>
    <row r="74">
      <c r="A74" s="15" t="n"/>
      <c r="B74">
        <f>IF($AH74="","",INDEX('Per Line'!$E$2:$E$1501,$AH74)&amp;"")</f>
        <v/>
      </c>
      <c r="C74">
        <f>IF($AH74="","",IF(INDEX('Per Line'!$AP$2:$AP$1501,$AH74)="NOT MATCH","NOT MATCH","FULL MATCH"))</f>
        <v/>
      </c>
      <c r="D74">
        <f>IF($AH74="","",INDEX('Per Line'!$A$2:$A$1501,$AH74)&amp;"")</f>
        <v/>
      </c>
      <c r="E74">
        <f>IF($AH74="","",INDEX('Per Line'!$B$2:$B$1501,$AH74))</f>
        <v/>
      </c>
      <c r="F74">
        <f>IF($AH74="","",INDEX('Per Line'!$C$2:$C$1501,$AH74)&amp;"")</f>
        <v/>
      </c>
      <c r="G74">
        <f>IF($AH74="","",INDEX('Per Line'!$D$2:$D$1501,$AH74)&amp;"")</f>
        <v/>
      </c>
      <c r="H74">
        <f>IF($AH74="","",INDEX('Per Line'!$F$2:$F$1501,$AH74)&amp;"")</f>
        <v/>
      </c>
      <c r="I74" s="14">
        <f>IF($AH74="","",INDEX('Per Line'!$G$2:$G$1501,$AH74))</f>
        <v/>
      </c>
      <c r="J74">
        <f>IF($AH74="","",INDEX('Per Line'!$H$2:$H$1501,$AH74)&amp;"")</f>
        <v/>
      </c>
      <c r="K74">
        <f>IF($AH74="","",INDEX('Per Line'!$J$2:$J$1501,$AH74)&amp;"")</f>
        <v/>
      </c>
      <c r="L74">
        <f>IF($AH74="","",INDEX('Per Line'!$K$2:$K$1501,$AH74)&amp;"")</f>
        <v/>
      </c>
      <c r="M74">
        <f>IF($AH74="","",INDEX('Per Line'!$L$2:$L$1501,$AH74)&amp;"")</f>
        <v/>
      </c>
      <c r="N74">
        <f>IF($AH74="","",INDEX('Per Line'!$M$2:$M$1501,$AH74)&amp;"")</f>
        <v/>
      </c>
      <c r="O74">
        <f>IF($AH74="","",INDEX('Per Line'!$P$2:$P$1501,$AH74))</f>
        <v/>
      </c>
      <c r="P74" s="7">
        <f>IF($AH74="","",O74*AD74/100)</f>
        <v/>
      </c>
      <c r="Q74">
        <f>IF($AH74="","",INDEX('Per Line'!$R$2:$R$1501,$AH74)&amp;"")</f>
        <v/>
      </c>
      <c r="R74">
        <f>IF($AH74="","",INDEX('Per Line'!$AB$2:$AB$1501,$AH74)&amp;"")</f>
        <v/>
      </c>
      <c r="S74">
        <f>IF($AH74="","",Settings!$C$8)</f>
        <v/>
      </c>
      <c r="T74" s="7">
        <f>IF($AH74="","",SUMIFS('Per Line'!$Z$2:$Z$1501,'Per Line'!$E$2:$E$1501,$B74,'Per Line'!$AT$2:$AT$1501,1))</f>
        <v/>
      </c>
      <c r="U74" s="7">
        <f>IF($AH74="","",T74*S74)</f>
        <v/>
      </c>
      <c r="V74">
        <f>IF($AH74="","",Settings!$C$7)</f>
        <v/>
      </c>
      <c r="W74" s="7">
        <f>IF($AH74="","",SUMIFS('Per Line'!$Z$2:$Z$1501,'Per Line'!$E$2:$E$1501,$B74,'Per Line'!$AS$2:$AS$1501,0,'Per Line'!$AT$2:$AT$1501,0))</f>
        <v/>
      </c>
      <c r="X74" s="7">
        <f>IF($AH74="","",W74*V74)</f>
        <v/>
      </c>
      <c r="Y74">
        <f>IF($AH74="","",Settings!$C$6)</f>
        <v/>
      </c>
      <c r="Z74" s="7">
        <f>IF($AH74="","",SUMIFS('Per Line'!$Z$2:$Z$1501,'Per Line'!$E$2:$E$1501,$B74,'Per Line'!$AS$2:$AS$1501,1,'Per Line'!$AT$2:$AT$1501,0))</f>
        <v/>
      </c>
      <c r="AA74" s="7">
        <f>IF($AH74="","",Z74*Y74)</f>
        <v/>
      </c>
      <c r="AB74" s="7">
        <f>IF($AH74="","",AA74+X74+U74)</f>
        <v/>
      </c>
      <c r="AC74" s="7">
        <f>IF($AH74="","",AD74-AB74)</f>
        <v/>
      </c>
      <c r="AD74" s="7">
        <f>IF($AH74="","",W74+Z74+T74)</f>
        <v/>
      </c>
      <c r="AE74" s="7">
        <f>IF($AH74="","",AD74-AB74-P74)</f>
        <v/>
      </c>
      <c r="AF74" s="15" t="n"/>
      <c r="AG74" s="7">
        <f>IF($AH74="","",AE74-N(AF74))</f>
        <v/>
      </c>
      <c r="AH74" s="16">
        <f>IF(ROWS($AH$2:$AH74)&lt;=MAX('Per Line'!$AR$2:$AR$1501),MATCH(ROWS($AH$2:$AH74),'Per Line'!$AR$2:$AR$1501,0),"")</f>
        <v/>
      </c>
      <c r="AI74">
        <f>IF($AH74="","",C74&amp;"|"&amp;COUNTIF($C$2:$C74,C74))</f>
        <v/>
      </c>
    </row>
    <row r="75">
      <c r="A75" s="15" t="n"/>
      <c r="B75">
        <f>IF($AH75="","",INDEX('Per Line'!$E$2:$E$1501,$AH75)&amp;"")</f>
        <v/>
      </c>
      <c r="C75">
        <f>IF($AH75="","",IF(INDEX('Per Line'!$AP$2:$AP$1501,$AH75)="NOT MATCH","NOT MATCH","FULL MATCH"))</f>
        <v/>
      </c>
      <c r="D75">
        <f>IF($AH75="","",INDEX('Per Line'!$A$2:$A$1501,$AH75)&amp;"")</f>
        <v/>
      </c>
      <c r="E75">
        <f>IF($AH75="","",INDEX('Per Line'!$B$2:$B$1501,$AH75))</f>
        <v/>
      </c>
      <c r="F75">
        <f>IF($AH75="","",INDEX('Per Line'!$C$2:$C$1501,$AH75)&amp;"")</f>
        <v/>
      </c>
      <c r="G75">
        <f>IF($AH75="","",INDEX('Per Line'!$D$2:$D$1501,$AH75)&amp;"")</f>
        <v/>
      </c>
      <c r="H75">
        <f>IF($AH75="","",INDEX('Per Line'!$F$2:$F$1501,$AH75)&amp;"")</f>
        <v/>
      </c>
      <c r="I75" s="14">
        <f>IF($AH75="","",INDEX('Per Line'!$G$2:$G$1501,$AH75))</f>
        <v/>
      </c>
      <c r="J75">
        <f>IF($AH75="","",INDEX('Per Line'!$H$2:$H$1501,$AH75)&amp;"")</f>
        <v/>
      </c>
      <c r="K75">
        <f>IF($AH75="","",INDEX('Per Line'!$J$2:$J$1501,$AH75)&amp;"")</f>
        <v/>
      </c>
      <c r="L75">
        <f>IF($AH75="","",INDEX('Per Line'!$K$2:$K$1501,$AH75)&amp;"")</f>
        <v/>
      </c>
      <c r="M75">
        <f>IF($AH75="","",INDEX('Per Line'!$L$2:$L$1501,$AH75)&amp;"")</f>
        <v/>
      </c>
      <c r="N75">
        <f>IF($AH75="","",INDEX('Per Line'!$M$2:$M$1501,$AH75)&amp;"")</f>
        <v/>
      </c>
      <c r="O75">
        <f>IF($AH75="","",INDEX('Per Line'!$P$2:$P$1501,$AH75))</f>
        <v/>
      </c>
      <c r="P75" s="7">
        <f>IF($AH75="","",O75*AD75/100)</f>
        <v/>
      </c>
      <c r="Q75">
        <f>IF($AH75="","",INDEX('Per Line'!$R$2:$R$1501,$AH75)&amp;"")</f>
        <v/>
      </c>
      <c r="R75">
        <f>IF($AH75="","",INDEX('Per Line'!$AB$2:$AB$1501,$AH75)&amp;"")</f>
        <v/>
      </c>
      <c r="S75">
        <f>IF($AH75="","",Settings!$C$8)</f>
        <v/>
      </c>
      <c r="T75" s="7">
        <f>IF($AH75="","",SUMIFS('Per Line'!$Z$2:$Z$1501,'Per Line'!$E$2:$E$1501,$B75,'Per Line'!$AT$2:$AT$1501,1))</f>
        <v/>
      </c>
      <c r="U75" s="7">
        <f>IF($AH75="","",T75*S75)</f>
        <v/>
      </c>
      <c r="V75">
        <f>IF($AH75="","",Settings!$C$7)</f>
        <v/>
      </c>
      <c r="W75" s="7">
        <f>IF($AH75="","",SUMIFS('Per Line'!$Z$2:$Z$1501,'Per Line'!$E$2:$E$1501,$B75,'Per Line'!$AS$2:$AS$1501,0,'Per Line'!$AT$2:$AT$1501,0))</f>
        <v/>
      </c>
      <c r="X75" s="7">
        <f>IF($AH75="","",W75*V75)</f>
        <v/>
      </c>
      <c r="Y75">
        <f>IF($AH75="","",Settings!$C$6)</f>
        <v/>
      </c>
      <c r="Z75" s="7">
        <f>IF($AH75="","",SUMIFS('Per Line'!$Z$2:$Z$1501,'Per Line'!$E$2:$E$1501,$B75,'Per Line'!$AS$2:$AS$1501,1,'Per Line'!$AT$2:$AT$1501,0))</f>
        <v/>
      </c>
      <c r="AA75" s="7">
        <f>IF($AH75="","",Z75*Y75)</f>
        <v/>
      </c>
      <c r="AB75" s="7">
        <f>IF($AH75="","",AA75+X75+U75)</f>
        <v/>
      </c>
      <c r="AC75" s="7">
        <f>IF($AH75="","",AD75-AB75)</f>
        <v/>
      </c>
      <c r="AD75" s="7">
        <f>IF($AH75="","",W75+Z75+T75)</f>
        <v/>
      </c>
      <c r="AE75" s="7">
        <f>IF($AH75="","",AD75-AB75-P75)</f>
        <v/>
      </c>
      <c r="AF75" s="15" t="n"/>
      <c r="AG75" s="7">
        <f>IF($AH75="","",AE75-N(AF75))</f>
        <v/>
      </c>
      <c r="AH75" s="16">
        <f>IF(ROWS($AH$2:$AH75)&lt;=MAX('Per Line'!$AR$2:$AR$1501),MATCH(ROWS($AH$2:$AH75),'Per Line'!$AR$2:$AR$1501,0),"")</f>
        <v/>
      </c>
      <c r="AI75">
        <f>IF($AH75="","",C75&amp;"|"&amp;COUNTIF($C$2:$C75,C75))</f>
        <v/>
      </c>
    </row>
    <row r="76">
      <c r="A76" s="15" t="n"/>
      <c r="B76">
        <f>IF($AH76="","",INDEX('Per Line'!$E$2:$E$1501,$AH76)&amp;"")</f>
        <v/>
      </c>
      <c r="C76">
        <f>IF($AH76="","",IF(INDEX('Per Line'!$AP$2:$AP$1501,$AH76)="NOT MATCH","NOT MATCH","FULL MATCH"))</f>
        <v/>
      </c>
      <c r="D76">
        <f>IF($AH76="","",INDEX('Per Line'!$A$2:$A$1501,$AH76)&amp;"")</f>
        <v/>
      </c>
      <c r="E76">
        <f>IF($AH76="","",INDEX('Per Line'!$B$2:$B$1501,$AH76))</f>
        <v/>
      </c>
      <c r="F76">
        <f>IF($AH76="","",INDEX('Per Line'!$C$2:$C$1501,$AH76)&amp;"")</f>
        <v/>
      </c>
      <c r="G76">
        <f>IF($AH76="","",INDEX('Per Line'!$D$2:$D$1501,$AH76)&amp;"")</f>
        <v/>
      </c>
      <c r="H76">
        <f>IF($AH76="","",INDEX('Per Line'!$F$2:$F$1501,$AH76)&amp;"")</f>
        <v/>
      </c>
      <c r="I76" s="14">
        <f>IF($AH76="","",INDEX('Per Line'!$G$2:$G$1501,$AH76))</f>
        <v/>
      </c>
      <c r="J76">
        <f>IF($AH76="","",INDEX('Per Line'!$H$2:$H$1501,$AH76)&amp;"")</f>
        <v/>
      </c>
      <c r="K76">
        <f>IF($AH76="","",INDEX('Per Line'!$J$2:$J$1501,$AH76)&amp;"")</f>
        <v/>
      </c>
      <c r="L76">
        <f>IF($AH76="","",INDEX('Per Line'!$K$2:$K$1501,$AH76)&amp;"")</f>
        <v/>
      </c>
      <c r="M76">
        <f>IF($AH76="","",INDEX('Per Line'!$L$2:$L$1501,$AH76)&amp;"")</f>
        <v/>
      </c>
      <c r="N76">
        <f>IF($AH76="","",INDEX('Per Line'!$M$2:$M$1501,$AH76)&amp;"")</f>
        <v/>
      </c>
      <c r="O76">
        <f>IF($AH76="","",INDEX('Per Line'!$P$2:$P$1501,$AH76))</f>
        <v/>
      </c>
      <c r="P76" s="7">
        <f>IF($AH76="","",O76*AD76/100)</f>
        <v/>
      </c>
      <c r="Q76">
        <f>IF($AH76="","",INDEX('Per Line'!$R$2:$R$1501,$AH76)&amp;"")</f>
        <v/>
      </c>
      <c r="R76">
        <f>IF($AH76="","",INDEX('Per Line'!$AB$2:$AB$1501,$AH76)&amp;"")</f>
        <v/>
      </c>
      <c r="S76">
        <f>IF($AH76="","",Settings!$C$8)</f>
        <v/>
      </c>
      <c r="T76" s="7">
        <f>IF($AH76="","",SUMIFS('Per Line'!$Z$2:$Z$1501,'Per Line'!$E$2:$E$1501,$B76,'Per Line'!$AT$2:$AT$1501,1))</f>
        <v/>
      </c>
      <c r="U76" s="7">
        <f>IF($AH76="","",T76*S76)</f>
        <v/>
      </c>
      <c r="V76">
        <f>IF($AH76="","",Settings!$C$7)</f>
        <v/>
      </c>
      <c r="W76" s="7">
        <f>IF($AH76="","",SUMIFS('Per Line'!$Z$2:$Z$1501,'Per Line'!$E$2:$E$1501,$B76,'Per Line'!$AS$2:$AS$1501,0,'Per Line'!$AT$2:$AT$1501,0))</f>
        <v/>
      </c>
      <c r="X76" s="7">
        <f>IF($AH76="","",W76*V76)</f>
        <v/>
      </c>
      <c r="Y76">
        <f>IF($AH76="","",Settings!$C$6)</f>
        <v/>
      </c>
      <c r="Z76" s="7">
        <f>IF($AH76="","",SUMIFS('Per Line'!$Z$2:$Z$1501,'Per Line'!$E$2:$E$1501,$B76,'Per Line'!$AS$2:$AS$1501,1,'Per Line'!$AT$2:$AT$1501,0))</f>
        <v/>
      </c>
      <c r="AA76" s="7">
        <f>IF($AH76="","",Z76*Y76)</f>
        <v/>
      </c>
      <c r="AB76" s="7">
        <f>IF($AH76="","",AA76+X76+U76)</f>
        <v/>
      </c>
      <c r="AC76" s="7">
        <f>IF($AH76="","",AD76-AB76)</f>
        <v/>
      </c>
      <c r="AD76" s="7">
        <f>IF($AH76="","",W76+Z76+T76)</f>
        <v/>
      </c>
      <c r="AE76" s="7">
        <f>IF($AH76="","",AD76-AB76-P76)</f>
        <v/>
      </c>
      <c r="AF76" s="15" t="n"/>
      <c r="AG76" s="7">
        <f>IF($AH76="","",AE76-N(AF76))</f>
        <v/>
      </c>
      <c r="AH76" s="16">
        <f>IF(ROWS($AH$2:$AH76)&lt;=MAX('Per Line'!$AR$2:$AR$1501),MATCH(ROWS($AH$2:$AH76),'Per Line'!$AR$2:$AR$1501,0),"")</f>
        <v/>
      </c>
      <c r="AI76">
        <f>IF($AH76="","",C76&amp;"|"&amp;COUNTIF($C$2:$C76,C76))</f>
        <v/>
      </c>
    </row>
    <row r="77">
      <c r="A77" s="15" t="n"/>
      <c r="B77">
        <f>IF($AH77="","",INDEX('Per Line'!$E$2:$E$1501,$AH77)&amp;"")</f>
        <v/>
      </c>
      <c r="C77">
        <f>IF($AH77="","",IF(INDEX('Per Line'!$AP$2:$AP$1501,$AH77)="NOT MATCH","NOT MATCH","FULL MATCH"))</f>
        <v/>
      </c>
      <c r="D77">
        <f>IF($AH77="","",INDEX('Per Line'!$A$2:$A$1501,$AH77)&amp;"")</f>
        <v/>
      </c>
      <c r="E77">
        <f>IF($AH77="","",INDEX('Per Line'!$B$2:$B$1501,$AH77))</f>
        <v/>
      </c>
      <c r="F77">
        <f>IF($AH77="","",INDEX('Per Line'!$C$2:$C$1501,$AH77)&amp;"")</f>
        <v/>
      </c>
      <c r="G77">
        <f>IF($AH77="","",INDEX('Per Line'!$D$2:$D$1501,$AH77)&amp;"")</f>
        <v/>
      </c>
      <c r="H77">
        <f>IF($AH77="","",INDEX('Per Line'!$F$2:$F$1501,$AH77)&amp;"")</f>
        <v/>
      </c>
      <c r="I77" s="14">
        <f>IF($AH77="","",INDEX('Per Line'!$G$2:$G$1501,$AH77))</f>
        <v/>
      </c>
      <c r="J77">
        <f>IF($AH77="","",INDEX('Per Line'!$H$2:$H$1501,$AH77)&amp;"")</f>
        <v/>
      </c>
      <c r="K77">
        <f>IF($AH77="","",INDEX('Per Line'!$J$2:$J$1501,$AH77)&amp;"")</f>
        <v/>
      </c>
      <c r="L77">
        <f>IF($AH77="","",INDEX('Per Line'!$K$2:$K$1501,$AH77)&amp;"")</f>
        <v/>
      </c>
      <c r="M77">
        <f>IF($AH77="","",INDEX('Per Line'!$L$2:$L$1501,$AH77)&amp;"")</f>
        <v/>
      </c>
      <c r="N77">
        <f>IF($AH77="","",INDEX('Per Line'!$M$2:$M$1501,$AH77)&amp;"")</f>
        <v/>
      </c>
      <c r="O77">
        <f>IF($AH77="","",INDEX('Per Line'!$P$2:$P$1501,$AH77))</f>
        <v/>
      </c>
      <c r="P77" s="7">
        <f>IF($AH77="","",O77*AD77/100)</f>
        <v/>
      </c>
      <c r="Q77">
        <f>IF($AH77="","",INDEX('Per Line'!$R$2:$R$1501,$AH77)&amp;"")</f>
        <v/>
      </c>
      <c r="R77">
        <f>IF($AH77="","",INDEX('Per Line'!$AB$2:$AB$1501,$AH77)&amp;"")</f>
        <v/>
      </c>
      <c r="S77">
        <f>IF($AH77="","",Settings!$C$8)</f>
        <v/>
      </c>
      <c r="T77" s="7">
        <f>IF($AH77="","",SUMIFS('Per Line'!$Z$2:$Z$1501,'Per Line'!$E$2:$E$1501,$B77,'Per Line'!$AT$2:$AT$1501,1))</f>
        <v/>
      </c>
      <c r="U77" s="7">
        <f>IF($AH77="","",T77*S77)</f>
        <v/>
      </c>
      <c r="V77">
        <f>IF($AH77="","",Settings!$C$7)</f>
        <v/>
      </c>
      <c r="W77" s="7">
        <f>IF($AH77="","",SUMIFS('Per Line'!$Z$2:$Z$1501,'Per Line'!$E$2:$E$1501,$B77,'Per Line'!$AS$2:$AS$1501,0,'Per Line'!$AT$2:$AT$1501,0))</f>
        <v/>
      </c>
      <c r="X77" s="7">
        <f>IF($AH77="","",W77*V77)</f>
        <v/>
      </c>
      <c r="Y77">
        <f>IF($AH77="","",Settings!$C$6)</f>
        <v/>
      </c>
      <c r="Z77" s="7">
        <f>IF($AH77="","",SUMIFS('Per Line'!$Z$2:$Z$1501,'Per Line'!$E$2:$E$1501,$B77,'Per Line'!$AS$2:$AS$1501,1,'Per Line'!$AT$2:$AT$1501,0))</f>
        <v/>
      </c>
      <c r="AA77" s="7">
        <f>IF($AH77="","",Z77*Y77)</f>
        <v/>
      </c>
      <c r="AB77" s="7">
        <f>IF($AH77="","",AA77+X77+U77)</f>
        <v/>
      </c>
      <c r="AC77" s="7">
        <f>IF($AH77="","",AD77-AB77)</f>
        <v/>
      </c>
      <c r="AD77" s="7">
        <f>IF($AH77="","",W77+Z77+T77)</f>
        <v/>
      </c>
      <c r="AE77" s="7">
        <f>IF($AH77="","",AD77-AB77-P77)</f>
        <v/>
      </c>
      <c r="AF77" s="15" t="n"/>
      <c r="AG77" s="7">
        <f>IF($AH77="","",AE77-N(AF77))</f>
        <v/>
      </c>
      <c r="AH77" s="16">
        <f>IF(ROWS($AH$2:$AH77)&lt;=MAX('Per Line'!$AR$2:$AR$1501),MATCH(ROWS($AH$2:$AH77),'Per Line'!$AR$2:$AR$1501,0),"")</f>
        <v/>
      </c>
      <c r="AI77">
        <f>IF($AH77="","",C77&amp;"|"&amp;COUNTIF($C$2:$C77,C77))</f>
        <v/>
      </c>
    </row>
    <row r="78">
      <c r="A78" s="15" t="n"/>
      <c r="B78">
        <f>IF($AH78="","",INDEX('Per Line'!$E$2:$E$1501,$AH78)&amp;"")</f>
        <v/>
      </c>
      <c r="C78">
        <f>IF($AH78="","",IF(INDEX('Per Line'!$AP$2:$AP$1501,$AH78)="NOT MATCH","NOT MATCH","FULL MATCH"))</f>
        <v/>
      </c>
      <c r="D78">
        <f>IF($AH78="","",INDEX('Per Line'!$A$2:$A$1501,$AH78)&amp;"")</f>
        <v/>
      </c>
      <c r="E78">
        <f>IF($AH78="","",INDEX('Per Line'!$B$2:$B$1501,$AH78))</f>
        <v/>
      </c>
      <c r="F78">
        <f>IF($AH78="","",INDEX('Per Line'!$C$2:$C$1501,$AH78)&amp;"")</f>
        <v/>
      </c>
      <c r="G78">
        <f>IF($AH78="","",INDEX('Per Line'!$D$2:$D$1501,$AH78)&amp;"")</f>
        <v/>
      </c>
      <c r="H78">
        <f>IF($AH78="","",INDEX('Per Line'!$F$2:$F$1501,$AH78)&amp;"")</f>
        <v/>
      </c>
      <c r="I78" s="14">
        <f>IF($AH78="","",INDEX('Per Line'!$G$2:$G$1501,$AH78))</f>
        <v/>
      </c>
      <c r="J78">
        <f>IF($AH78="","",INDEX('Per Line'!$H$2:$H$1501,$AH78)&amp;"")</f>
        <v/>
      </c>
      <c r="K78">
        <f>IF($AH78="","",INDEX('Per Line'!$J$2:$J$1501,$AH78)&amp;"")</f>
        <v/>
      </c>
      <c r="L78">
        <f>IF($AH78="","",INDEX('Per Line'!$K$2:$K$1501,$AH78)&amp;"")</f>
        <v/>
      </c>
      <c r="M78">
        <f>IF($AH78="","",INDEX('Per Line'!$L$2:$L$1501,$AH78)&amp;"")</f>
        <v/>
      </c>
      <c r="N78">
        <f>IF($AH78="","",INDEX('Per Line'!$M$2:$M$1501,$AH78)&amp;"")</f>
        <v/>
      </c>
      <c r="O78">
        <f>IF($AH78="","",INDEX('Per Line'!$P$2:$P$1501,$AH78))</f>
        <v/>
      </c>
      <c r="P78" s="7">
        <f>IF($AH78="","",O78*AD78/100)</f>
        <v/>
      </c>
      <c r="Q78">
        <f>IF($AH78="","",INDEX('Per Line'!$R$2:$R$1501,$AH78)&amp;"")</f>
        <v/>
      </c>
      <c r="R78">
        <f>IF($AH78="","",INDEX('Per Line'!$AB$2:$AB$1501,$AH78)&amp;"")</f>
        <v/>
      </c>
      <c r="S78">
        <f>IF($AH78="","",Settings!$C$8)</f>
        <v/>
      </c>
      <c r="T78" s="7">
        <f>IF($AH78="","",SUMIFS('Per Line'!$Z$2:$Z$1501,'Per Line'!$E$2:$E$1501,$B78,'Per Line'!$AT$2:$AT$1501,1))</f>
        <v/>
      </c>
      <c r="U78" s="7">
        <f>IF($AH78="","",T78*S78)</f>
        <v/>
      </c>
      <c r="V78">
        <f>IF($AH78="","",Settings!$C$7)</f>
        <v/>
      </c>
      <c r="W78" s="7">
        <f>IF($AH78="","",SUMIFS('Per Line'!$Z$2:$Z$1501,'Per Line'!$E$2:$E$1501,$B78,'Per Line'!$AS$2:$AS$1501,0,'Per Line'!$AT$2:$AT$1501,0))</f>
        <v/>
      </c>
      <c r="X78" s="7">
        <f>IF($AH78="","",W78*V78)</f>
        <v/>
      </c>
      <c r="Y78">
        <f>IF($AH78="","",Settings!$C$6)</f>
        <v/>
      </c>
      <c r="Z78" s="7">
        <f>IF($AH78="","",SUMIFS('Per Line'!$Z$2:$Z$1501,'Per Line'!$E$2:$E$1501,$B78,'Per Line'!$AS$2:$AS$1501,1,'Per Line'!$AT$2:$AT$1501,0))</f>
        <v/>
      </c>
      <c r="AA78" s="7">
        <f>IF($AH78="","",Z78*Y78)</f>
        <v/>
      </c>
      <c r="AB78" s="7">
        <f>IF($AH78="","",AA78+X78+U78)</f>
        <v/>
      </c>
      <c r="AC78" s="7">
        <f>IF($AH78="","",AD78-AB78)</f>
        <v/>
      </c>
      <c r="AD78" s="7">
        <f>IF($AH78="","",W78+Z78+T78)</f>
        <v/>
      </c>
      <c r="AE78" s="7">
        <f>IF($AH78="","",AD78-AB78-P78)</f>
        <v/>
      </c>
      <c r="AF78" s="15" t="n"/>
      <c r="AG78" s="7">
        <f>IF($AH78="","",AE78-N(AF78))</f>
        <v/>
      </c>
      <c r="AH78" s="16">
        <f>IF(ROWS($AH$2:$AH78)&lt;=MAX('Per Line'!$AR$2:$AR$1501),MATCH(ROWS($AH$2:$AH78),'Per Line'!$AR$2:$AR$1501,0),"")</f>
        <v/>
      </c>
      <c r="AI78">
        <f>IF($AH78="","",C78&amp;"|"&amp;COUNTIF($C$2:$C78,C78))</f>
        <v/>
      </c>
    </row>
    <row r="79">
      <c r="A79" s="15" t="n"/>
      <c r="B79">
        <f>IF($AH79="","",INDEX('Per Line'!$E$2:$E$1501,$AH79)&amp;"")</f>
        <v/>
      </c>
      <c r="C79">
        <f>IF($AH79="","",IF(INDEX('Per Line'!$AP$2:$AP$1501,$AH79)="NOT MATCH","NOT MATCH","FULL MATCH"))</f>
        <v/>
      </c>
      <c r="D79">
        <f>IF($AH79="","",INDEX('Per Line'!$A$2:$A$1501,$AH79)&amp;"")</f>
        <v/>
      </c>
      <c r="E79">
        <f>IF($AH79="","",INDEX('Per Line'!$B$2:$B$1501,$AH79))</f>
        <v/>
      </c>
      <c r="F79">
        <f>IF($AH79="","",INDEX('Per Line'!$C$2:$C$1501,$AH79)&amp;"")</f>
        <v/>
      </c>
      <c r="G79">
        <f>IF($AH79="","",INDEX('Per Line'!$D$2:$D$1501,$AH79)&amp;"")</f>
        <v/>
      </c>
      <c r="H79">
        <f>IF($AH79="","",INDEX('Per Line'!$F$2:$F$1501,$AH79)&amp;"")</f>
        <v/>
      </c>
      <c r="I79" s="14">
        <f>IF($AH79="","",INDEX('Per Line'!$G$2:$G$1501,$AH79))</f>
        <v/>
      </c>
      <c r="J79">
        <f>IF($AH79="","",INDEX('Per Line'!$H$2:$H$1501,$AH79)&amp;"")</f>
        <v/>
      </c>
      <c r="K79">
        <f>IF($AH79="","",INDEX('Per Line'!$J$2:$J$1501,$AH79)&amp;"")</f>
        <v/>
      </c>
      <c r="L79">
        <f>IF($AH79="","",INDEX('Per Line'!$K$2:$K$1501,$AH79)&amp;"")</f>
        <v/>
      </c>
      <c r="M79">
        <f>IF($AH79="","",INDEX('Per Line'!$L$2:$L$1501,$AH79)&amp;"")</f>
        <v/>
      </c>
      <c r="N79">
        <f>IF($AH79="","",INDEX('Per Line'!$M$2:$M$1501,$AH79)&amp;"")</f>
        <v/>
      </c>
      <c r="O79">
        <f>IF($AH79="","",INDEX('Per Line'!$P$2:$P$1501,$AH79))</f>
        <v/>
      </c>
      <c r="P79" s="7">
        <f>IF($AH79="","",O79*AD79/100)</f>
        <v/>
      </c>
      <c r="Q79">
        <f>IF($AH79="","",INDEX('Per Line'!$R$2:$R$1501,$AH79)&amp;"")</f>
        <v/>
      </c>
      <c r="R79">
        <f>IF($AH79="","",INDEX('Per Line'!$AB$2:$AB$1501,$AH79)&amp;"")</f>
        <v/>
      </c>
      <c r="S79">
        <f>IF($AH79="","",Settings!$C$8)</f>
        <v/>
      </c>
      <c r="T79" s="7">
        <f>IF($AH79="","",SUMIFS('Per Line'!$Z$2:$Z$1501,'Per Line'!$E$2:$E$1501,$B79,'Per Line'!$AT$2:$AT$1501,1))</f>
        <v/>
      </c>
      <c r="U79" s="7">
        <f>IF($AH79="","",T79*S79)</f>
        <v/>
      </c>
      <c r="V79">
        <f>IF($AH79="","",Settings!$C$7)</f>
        <v/>
      </c>
      <c r="W79" s="7">
        <f>IF($AH79="","",SUMIFS('Per Line'!$Z$2:$Z$1501,'Per Line'!$E$2:$E$1501,$B79,'Per Line'!$AS$2:$AS$1501,0,'Per Line'!$AT$2:$AT$1501,0))</f>
        <v/>
      </c>
      <c r="X79" s="7">
        <f>IF($AH79="","",W79*V79)</f>
        <v/>
      </c>
      <c r="Y79">
        <f>IF($AH79="","",Settings!$C$6)</f>
        <v/>
      </c>
      <c r="Z79" s="7">
        <f>IF($AH79="","",SUMIFS('Per Line'!$Z$2:$Z$1501,'Per Line'!$E$2:$E$1501,$B79,'Per Line'!$AS$2:$AS$1501,1,'Per Line'!$AT$2:$AT$1501,0))</f>
        <v/>
      </c>
      <c r="AA79" s="7">
        <f>IF($AH79="","",Z79*Y79)</f>
        <v/>
      </c>
      <c r="AB79" s="7">
        <f>IF($AH79="","",AA79+X79+U79)</f>
        <v/>
      </c>
      <c r="AC79" s="7">
        <f>IF($AH79="","",AD79-AB79)</f>
        <v/>
      </c>
      <c r="AD79" s="7">
        <f>IF($AH79="","",W79+Z79+T79)</f>
        <v/>
      </c>
      <c r="AE79" s="7">
        <f>IF($AH79="","",AD79-AB79-P79)</f>
        <v/>
      </c>
      <c r="AF79" s="15" t="n"/>
      <c r="AG79" s="7">
        <f>IF($AH79="","",AE79-N(AF79))</f>
        <v/>
      </c>
      <c r="AH79" s="16">
        <f>IF(ROWS($AH$2:$AH79)&lt;=MAX('Per Line'!$AR$2:$AR$1501),MATCH(ROWS($AH$2:$AH79),'Per Line'!$AR$2:$AR$1501,0),"")</f>
        <v/>
      </c>
      <c r="AI79">
        <f>IF($AH79="","",C79&amp;"|"&amp;COUNTIF($C$2:$C79,C79))</f>
        <v/>
      </c>
    </row>
    <row r="80">
      <c r="A80" s="15" t="n"/>
      <c r="B80">
        <f>IF($AH80="","",INDEX('Per Line'!$E$2:$E$1501,$AH80)&amp;"")</f>
        <v/>
      </c>
      <c r="C80">
        <f>IF($AH80="","",IF(INDEX('Per Line'!$AP$2:$AP$1501,$AH80)="NOT MATCH","NOT MATCH","FULL MATCH"))</f>
        <v/>
      </c>
      <c r="D80">
        <f>IF($AH80="","",INDEX('Per Line'!$A$2:$A$1501,$AH80)&amp;"")</f>
        <v/>
      </c>
      <c r="E80">
        <f>IF($AH80="","",INDEX('Per Line'!$B$2:$B$1501,$AH80))</f>
        <v/>
      </c>
      <c r="F80">
        <f>IF($AH80="","",INDEX('Per Line'!$C$2:$C$1501,$AH80)&amp;"")</f>
        <v/>
      </c>
      <c r="G80">
        <f>IF($AH80="","",INDEX('Per Line'!$D$2:$D$1501,$AH80)&amp;"")</f>
        <v/>
      </c>
      <c r="H80">
        <f>IF($AH80="","",INDEX('Per Line'!$F$2:$F$1501,$AH80)&amp;"")</f>
        <v/>
      </c>
      <c r="I80" s="14">
        <f>IF($AH80="","",INDEX('Per Line'!$G$2:$G$1501,$AH80))</f>
        <v/>
      </c>
      <c r="J80">
        <f>IF($AH80="","",INDEX('Per Line'!$H$2:$H$1501,$AH80)&amp;"")</f>
        <v/>
      </c>
      <c r="K80">
        <f>IF($AH80="","",INDEX('Per Line'!$J$2:$J$1501,$AH80)&amp;"")</f>
        <v/>
      </c>
      <c r="L80">
        <f>IF($AH80="","",INDEX('Per Line'!$K$2:$K$1501,$AH80)&amp;"")</f>
        <v/>
      </c>
      <c r="M80">
        <f>IF($AH80="","",INDEX('Per Line'!$L$2:$L$1501,$AH80)&amp;"")</f>
        <v/>
      </c>
      <c r="N80">
        <f>IF($AH80="","",INDEX('Per Line'!$M$2:$M$1501,$AH80)&amp;"")</f>
        <v/>
      </c>
      <c r="O80">
        <f>IF($AH80="","",INDEX('Per Line'!$P$2:$P$1501,$AH80))</f>
        <v/>
      </c>
      <c r="P80" s="7">
        <f>IF($AH80="","",O80*AD80/100)</f>
        <v/>
      </c>
      <c r="Q80">
        <f>IF($AH80="","",INDEX('Per Line'!$R$2:$R$1501,$AH80)&amp;"")</f>
        <v/>
      </c>
      <c r="R80">
        <f>IF($AH80="","",INDEX('Per Line'!$AB$2:$AB$1501,$AH80)&amp;"")</f>
        <v/>
      </c>
      <c r="S80">
        <f>IF($AH80="","",Settings!$C$8)</f>
        <v/>
      </c>
      <c r="T80" s="7">
        <f>IF($AH80="","",SUMIFS('Per Line'!$Z$2:$Z$1501,'Per Line'!$E$2:$E$1501,$B80,'Per Line'!$AT$2:$AT$1501,1))</f>
        <v/>
      </c>
      <c r="U80" s="7">
        <f>IF($AH80="","",T80*S80)</f>
        <v/>
      </c>
      <c r="V80">
        <f>IF($AH80="","",Settings!$C$7)</f>
        <v/>
      </c>
      <c r="W80" s="7">
        <f>IF($AH80="","",SUMIFS('Per Line'!$Z$2:$Z$1501,'Per Line'!$E$2:$E$1501,$B80,'Per Line'!$AS$2:$AS$1501,0,'Per Line'!$AT$2:$AT$1501,0))</f>
        <v/>
      </c>
      <c r="X80" s="7">
        <f>IF($AH80="","",W80*V80)</f>
        <v/>
      </c>
      <c r="Y80">
        <f>IF($AH80="","",Settings!$C$6)</f>
        <v/>
      </c>
      <c r="Z80" s="7">
        <f>IF($AH80="","",SUMIFS('Per Line'!$Z$2:$Z$1501,'Per Line'!$E$2:$E$1501,$B80,'Per Line'!$AS$2:$AS$1501,1,'Per Line'!$AT$2:$AT$1501,0))</f>
        <v/>
      </c>
      <c r="AA80" s="7">
        <f>IF($AH80="","",Z80*Y80)</f>
        <v/>
      </c>
      <c r="AB80" s="7">
        <f>IF($AH80="","",AA80+X80+U80)</f>
        <v/>
      </c>
      <c r="AC80" s="7">
        <f>IF($AH80="","",AD80-AB80)</f>
        <v/>
      </c>
      <c r="AD80" s="7">
        <f>IF($AH80="","",W80+Z80+T80)</f>
        <v/>
      </c>
      <c r="AE80" s="7">
        <f>IF($AH80="","",AD80-AB80-P80)</f>
        <v/>
      </c>
      <c r="AF80" s="15" t="n"/>
      <c r="AG80" s="7">
        <f>IF($AH80="","",AE80-N(AF80))</f>
        <v/>
      </c>
      <c r="AH80" s="16">
        <f>IF(ROWS($AH$2:$AH80)&lt;=MAX('Per Line'!$AR$2:$AR$1501),MATCH(ROWS($AH$2:$AH80),'Per Line'!$AR$2:$AR$1501,0),"")</f>
        <v/>
      </c>
      <c r="AI80">
        <f>IF($AH80="","",C80&amp;"|"&amp;COUNTIF($C$2:$C80,C80))</f>
        <v/>
      </c>
    </row>
    <row r="81">
      <c r="A81" s="15" t="n"/>
      <c r="B81">
        <f>IF($AH81="","",INDEX('Per Line'!$E$2:$E$1501,$AH81)&amp;"")</f>
        <v/>
      </c>
      <c r="C81">
        <f>IF($AH81="","",IF(INDEX('Per Line'!$AP$2:$AP$1501,$AH81)="NOT MATCH","NOT MATCH","FULL MATCH"))</f>
        <v/>
      </c>
      <c r="D81">
        <f>IF($AH81="","",INDEX('Per Line'!$A$2:$A$1501,$AH81)&amp;"")</f>
        <v/>
      </c>
      <c r="E81">
        <f>IF($AH81="","",INDEX('Per Line'!$B$2:$B$1501,$AH81))</f>
        <v/>
      </c>
      <c r="F81">
        <f>IF($AH81="","",INDEX('Per Line'!$C$2:$C$1501,$AH81)&amp;"")</f>
        <v/>
      </c>
      <c r="G81">
        <f>IF($AH81="","",INDEX('Per Line'!$D$2:$D$1501,$AH81)&amp;"")</f>
        <v/>
      </c>
      <c r="H81">
        <f>IF($AH81="","",INDEX('Per Line'!$F$2:$F$1501,$AH81)&amp;"")</f>
        <v/>
      </c>
      <c r="I81" s="14">
        <f>IF($AH81="","",INDEX('Per Line'!$G$2:$G$1501,$AH81))</f>
        <v/>
      </c>
      <c r="J81">
        <f>IF($AH81="","",INDEX('Per Line'!$H$2:$H$1501,$AH81)&amp;"")</f>
        <v/>
      </c>
      <c r="K81">
        <f>IF($AH81="","",INDEX('Per Line'!$J$2:$J$1501,$AH81)&amp;"")</f>
        <v/>
      </c>
      <c r="L81">
        <f>IF($AH81="","",INDEX('Per Line'!$K$2:$K$1501,$AH81)&amp;"")</f>
        <v/>
      </c>
      <c r="M81">
        <f>IF($AH81="","",INDEX('Per Line'!$L$2:$L$1501,$AH81)&amp;"")</f>
        <v/>
      </c>
      <c r="N81">
        <f>IF($AH81="","",INDEX('Per Line'!$M$2:$M$1501,$AH81)&amp;"")</f>
        <v/>
      </c>
      <c r="O81">
        <f>IF($AH81="","",INDEX('Per Line'!$P$2:$P$1501,$AH81))</f>
        <v/>
      </c>
      <c r="P81" s="7">
        <f>IF($AH81="","",O81*AD81/100)</f>
        <v/>
      </c>
      <c r="Q81">
        <f>IF($AH81="","",INDEX('Per Line'!$R$2:$R$1501,$AH81)&amp;"")</f>
        <v/>
      </c>
      <c r="R81">
        <f>IF($AH81="","",INDEX('Per Line'!$AB$2:$AB$1501,$AH81)&amp;"")</f>
        <v/>
      </c>
      <c r="S81">
        <f>IF($AH81="","",Settings!$C$8)</f>
        <v/>
      </c>
      <c r="T81" s="7">
        <f>IF($AH81="","",SUMIFS('Per Line'!$Z$2:$Z$1501,'Per Line'!$E$2:$E$1501,$B81,'Per Line'!$AT$2:$AT$1501,1))</f>
        <v/>
      </c>
      <c r="U81" s="7">
        <f>IF($AH81="","",T81*S81)</f>
        <v/>
      </c>
      <c r="V81">
        <f>IF($AH81="","",Settings!$C$7)</f>
        <v/>
      </c>
      <c r="W81" s="7">
        <f>IF($AH81="","",SUMIFS('Per Line'!$Z$2:$Z$1501,'Per Line'!$E$2:$E$1501,$B81,'Per Line'!$AS$2:$AS$1501,0,'Per Line'!$AT$2:$AT$1501,0))</f>
        <v/>
      </c>
      <c r="X81" s="7">
        <f>IF($AH81="","",W81*V81)</f>
        <v/>
      </c>
      <c r="Y81">
        <f>IF($AH81="","",Settings!$C$6)</f>
        <v/>
      </c>
      <c r="Z81" s="7">
        <f>IF($AH81="","",SUMIFS('Per Line'!$Z$2:$Z$1501,'Per Line'!$E$2:$E$1501,$B81,'Per Line'!$AS$2:$AS$1501,1,'Per Line'!$AT$2:$AT$1501,0))</f>
        <v/>
      </c>
      <c r="AA81" s="7">
        <f>IF($AH81="","",Z81*Y81)</f>
        <v/>
      </c>
      <c r="AB81" s="7">
        <f>IF($AH81="","",AA81+X81+U81)</f>
        <v/>
      </c>
      <c r="AC81" s="7">
        <f>IF($AH81="","",AD81-AB81)</f>
        <v/>
      </c>
      <c r="AD81" s="7">
        <f>IF($AH81="","",W81+Z81+T81)</f>
        <v/>
      </c>
      <c r="AE81" s="7">
        <f>IF($AH81="","",AD81-AB81-P81)</f>
        <v/>
      </c>
      <c r="AF81" s="15" t="n"/>
      <c r="AG81" s="7">
        <f>IF($AH81="","",AE81-N(AF81))</f>
        <v/>
      </c>
      <c r="AH81" s="16">
        <f>IF(ROWS($AH$2:$AH81)&lt;=MAX('Per Line'!$AR$2:$AR$1501),MATCH(ROWS($AH$2:$AH81),'Per Line'!$AR$2:$AR$1501,0),"")</f>
        <v/>
      </c>
      <c r="AI81">
        <f>IF($AH81="","",C81&amp;"|"&amp;COUNTIF($C$2:$C81,C81))</f>
        <v/>
      </c>
    </row>
    <row r="82">
      <c r="A82" s="15" t="n"/>
      <c r="B82">
        <f>IF($AH82="","",INDEX('Per Line'!$E$2:$E$1501,$AH82)&amp;"")</f>
        <v/>
      </c>
      <c r="C82">
        <f>IF($AH82="","",IF(INDEX('Per Line'!$AP$2:$AP$1501,$AH82)="NOT MATCH","NOT MATCH","FULL MATCH"))</f>
        <v/>
      </c>
      <c r="D82">
        <f>IF($AH82="","",INDEX('Per Line'!$A$2:$A$1501,$AH82)&amp;"")</f>
        <v/>
      </c>
      <c r="E82">
        <f>IF($AH82="","",INDEX('Per Line'!$B$2:$B$1501,$AH82))</f>
        <v/>
      </c>
      <c r="F82">
        <f>IF($AH82="","",INDEX('Per Line'!$C$2:$C$1501,$AH82)&amp;"")</f>
        <v/>
      </c>
      <c r="G82">
        <f>IF($AH82="","",INDEX('Per Line'!$D$2:$D$1501,$AH82)&amp;"")</f>
        <v/>
      </c>
      <c r="H82">
        <f>IF($AH82="","",INDEX('Per Line'!$F$2:$F$1501,$AH82)&amp;"")</f>
        <v/>
      </c>
      <c r="I82" s="14">
        <f>IF($AH82="","",INDEX('Per Line'!$G$2:$G$1501,$AH82))</f>
        <v/>
      </c>
      <c r="J82">
        <f>IF($AH82="","",INDEX('Per Line'!$H$2:$H$1501,$AH82)&amp;"")</f>
        <v/>
      </c>
      <c r="K82">
        <f>IF($AH82="","",INDEX('Per Line'!$J$2:$J$1501,$AH82)&amp;"")</f>
        <v/>
      </c>
      <c r="L82">
        <f>IF($AH82="","",INDEX('Per Line'!$K$2:$K$1501,$AH82)&amp;"")</f>
        <v/>
      </c>
      <c r="M82">
        <f>IF($AH82="","",INDEX('Per Line'!$L$2:$L$1501,$AH82)&amp;"")</f>
        <v/>
      </c>
      <c r="N82">
        <f>IF($AH82="","",INDEX('Per Line'!$M$2:$M$1501,$AH82)&amp;"")</f>
        <v/>
      </c>
      <c r="O82">
        <f>IF($AH82="","",INDEX('Per Line'!$P$2:$P$1501,$AH82))</f>
        <v/>
      </c>
      <c r="P82" s="7">
        <f>IF($AH82="","",O82*AD82/100)</f>
        <v/>
      </c>
      <c r="Q82">
        <f>IF($AH82="","",INDEX('Per Line'!$R$2:$R$1501,$AH82)&amp;"")</f>
        <v/>
      </c>
      <c r="R82">
        <f>IF($AH82="","",INDEX('Per Line'!$AB$2:$AB$1501,$AH82)&amp;"")</f>
        <v/>
      </c>
      <c r="S82">
        <f>IF($AH82="","",Settings!$C$8)</f>
        <v/>
      </c>
      <c r="T82" s="7">
        <f>IF($AH82="","",SUMIFS('Per Line'!$Z$2:$Z$1501,'Per Line'!$E$2:$E$1501,$B82,'Per Line'!$AT$2:$AT$1501,1))</f>
        <v/>
      </c>
      <c r="U82" s="7">
        <f>IF($AH82="","",T82*S82)</f>
        <v/>
      </c>
      <c r="V82">
        <f>IF($AH82="","",Settings!$C$7)</f>
        <v/>
      </c>
      <c r="W82" s="7">
        <f>IF($AH82="","",SUMIFS('Per Line'!$Z$2:$Z$1501,'Per Line'!$E$2:$E$1501,$B82,'Per Line'!$AS$2:$AS$1501,0,'Per Line'!$AT$2:$AT$1501,0))</f>
        <v/>
      </c>
      <c r="X82" s="7">
        <f>IF($AH82="","",W82*V82)</f>
        <v/>
      </c>
      <c r="Y82">
        <f>IF($AH82="","",Settings!$C$6)</f>
        <v/>
      </c>
      <c r="Z82" s="7">
        <f>IF($AH82="","",SUMIFS('Per Line'!$Z$2:$Z$1501,'Per Line'!$E$2:$E$1501,$B82,'Per Line'!$AS$2:$AS$1501,1,'Per Line'!$AT$2:$AT$1501,0))</f>
        <v/>
      </c>
      <c r="AA82" s="7">
        <f>IF($AH82="","",Z82*Y82)</f>
        <v/>
      </c>
      <c r="AB82" s="7">
        <f>IF($AH82="","",AA82+X82+U82)</f>
        <v/>
      </c>
      <c r="AC82" s="7">
        <f>IF($AH82="","",AD82-AB82)</f>
        <v/>
      </c>
      <c r="AD82" s="7">
        <f>IF($AH82="","",W82+Z82+T82)</f>
        <v/>
      </c>
      <c r="AE82" s="7">
        <f>IF($AH82="","",AD82-AB82-P82)</f>
        <v/>
      </c>
      <c r="AF82" s="15" t="n"/>
      <c r="AG82" s="7">
        <f>IF($AH82="","",AE82-N(AF82))</f>
        <v/>
      </c>
      <c r="AH82" s="16">
        <f>IF(ROWS($AH$2:$AH82)&lt;=MAX('Per Line'!$AR$2:$AR$1501),MATCH(ROWS($AH$2:$AH82),'Per Line'!$AR$2:$AR$1501,0),"")</f>
        <v/>
      </c>
      <c r="AI82">
        <f>IF($AH82="","",C82&amp;"|"&amp;COUNTIF($C$2:$C82,C82))</f>
        <v/>
      </c>
    </row>
    <row r="83">
      <c r="A83" s="15" t="n"/>
      <c r="B83">
        <f>IF($AH83="","",INDEX('Per Line'!$E$2:$E$1501,$AH83)&amp;"")</f>
        <v/>
      </c>
      <c r="C83">
        <f>IF($AH83="","",IF(INDEX('Per Line'!$AP$2:$AP$1501,$AH83)="NOT MATCH","NOT MATCH","FULL MATCH"))</f>
        <v/>
      </c>
      <c r="D83">
        <f>IF($AH83="","",INDEX('Per Line'!$A$2:$A$1501,$AH83)&amp;"")</f>
        <v/>
      </c>
      <c r="E83">
        <f>IF($AH83="","",INDEX('Per Line'!$B$2:$B$1501,$AH83))</f>
        <v/>
      </c>
      <c r="F83">
        <f>IF($AH83="","",INDEX('Per Line'!$C$2:$C$1501,$AH83)&amp;"")</f>
        <v/>
      </c>
      <c r="G83">
        <f>IF($AH83="","",INDEX('Per Line'!$D$2:$D$1501,$AH83)&amp;"")</f>
        <v/>
      </c>
      <c r="H83">
        <f>IF($AH83="","",INDEX('Per Line'!$F$2:$F$1501,$AH83)&amp;"")</f>
        <v/>
      </c>
      <c r="I83" s="14">
        <f>IF($AH83="","",INDEX('Per Line'!$G$2:$G$1501,$AH83))</f>
        <v/>
      </c>
      <c r="J83">
        <f>IF($AH83="","",INDEX('Per Line'!$H$2:$H$1501,$AH83)&amp;"")</f>
        <v/>
      </c>
      <c r="K83">
        <f>IF($AH83="","",INDEX('Per Line'!$J$2:$J$1501,$AH83)&amp;"")</f>
        <v/>
      </c>
      <c r="L83">
        <f>IF($AH83="","",INDEX('Per Line'!$K$2:$K$1501,$AH83)&amp;"")</f>
        <v/>
      </c>
      <c r="M83">
        <f>IF($AH83="","",INDEX('Per Line'!$L$2:$L$1501,$AH83)&amp;"")</f>
        <v/>
      </c>
      <c r="N83">
        <f>IF($AH83="","",INDEX('Per Line'!$M$2:$M$1501,$AH83)&amp;"")</f>
        <v/>
      </c>
      <c r="O83">
        <f>IF($AH83="","",INDEX('Per Line'!$P$2:$P$1501,$AH83))</f>
        <v/>
      </c>
      <c r="P83" s="7">
        <f>IF($AH83="","",O83*AD83/100)</f>
        <v/>
      </c>
      <c r="Q83">
        <f>IF($AH83="","",INDEX('Per Line'!$R$2:$R$1501,$AH83)&amp;"")</f>
        <v/>
      </c>
      <c r="R83">
        <f>IF($AH83="","",INDEX('Per Line'!$AB$2:$AB$1501,$AH83)&amp;"")</f>
        <v/>
      </c>
      <c r="S83">
        <f>IF($AH83="","",Settings!$C$8)</f>
        <v/>
      </c>
      <c r="T83" s="7">
        <f>IF($AH83="","",SUMIFS('Per Line'!$Z$2:$Z$1501,'Per Line'!$E$2:$E$1501,$B83,'Per Line'!$AT$2:$AT$1501,1))</f>
        <v/>
      </c>
      <c r="U83" s="7">
        <f>IF($AH83="","",T83*S83)</f>
        <v/>
      </c>
      <c r="V83">
        <f>IF($AH83="","",Settings!$C$7)</f>
        <v/>
      </c>
      <c r="W83" s="7">
        <f>IF($AH83="","",SUMIFS('Per Line'!$Z$2:$Z$1501,'Per Line'!$E$2:$E$1501,$B83,'Per Line'!$AS$2:$AS$1501,0,'Per Line'!$AT$2:$AT$1501,0))</f>
        <v/>
      </c>
      <c r="X83" s="7">
        <f>IF($AH83="","",W83*V83)</f>
        <v/>
      </c>
      <c r="Y83">
        <f>IF($AH83="","",Settings!$C$6)</f>
        <v/>
      </c>
      <c r="Z83" s="7">
        <f>IF($AH83="","",SUMIFS('Per Line'!$Z$2:$Z$1501,'Per Line'!$E$2:$E$1501,$B83,'Per Line'!$AS$2:$AS$1501,1,'Per Line'!$AT$2:$AT$1501,0))</f>
        <v/>
      </c>
      <c r="AA83" s="7">
        <f>IF($AH83="","",Z83*Y83)</f>
        <v/>
      </c>
      <c r="AB83" s="7">
        <f>IF($AH83="","",AA83+X83+U83)</f>
        <v/>
      </c>
      <c r="AC83" s="7">
        <f>IF($AH83="","",AD83-AB83)</f>
        <v/>
      </c>
      <c r="AD83" s="7">
        <f>IF($AH83="","",W83+Z83+T83)</f>
        <v/>
      </c>
      <c r="AE83" s="7">
        <f>IF($AH83="","",AD83-AB83-P83)</f>
        <v/>
      </c>
      <c r="AF83" s="15" t="n"/>
      <c r="AG83" s="7">
        <f>IF($AH83="","",AE83-N(AF83))</f>
        <v/>
      </c>
      <c r="AH83" s="16">
        <f>IF(ROWS($AH$2:$AH83)&lt;=MAX('Per Line'!$AR$2:$AR$1501),MATCH(ROWS($AH$2:$AH83),'Per Line'!$AR$2:$AR$1501,0),"")</f>
        <v/>
      </c>
      <c r="AI83">
        <f>IF($AH83="","",C83&amp;"|"&amp;COUNTIF($C$2:$C83,C83))</f>
        <v/>
      </c>
    </row>
    <row r="84">
      <c r="A84" s="15" t="n"/>
      <c r="B84">
        <f>IF($AH84="","",INDEX('Per Line'!$E$2:$E$1501,$AH84)&amp;"")</f>
        <v/>
      </c>
      <c r="C84">
        <f>IF($AH84="","",IF(INDEX('Per Line'!$AP$2:$AP$1501,$AH84)="NOT MATCH","NOT MATCH","FULL MATCH"))</f>
        <v/>
      </c>
      <c r="D84">
        <f>IF($AH84="","",INDEX('Per Line'!$A$2:$A$1501,$AH84)&amp;"")</f>
        <v/>
      </c>
      <c r="E84">
        <f>IF($AH84="","",INDEX('Per Line'!$B$2:$B$1501,$AH84))</f>
        <v/>
      </c>
      <c r="F84">
        <f>IF($AH84="","",INDEX('Per Line'!$C$2:$C$1501,$AH84)&amp;"")</f>
        <v/>
      </c>
      <c r="G84">
        <f>IF($AH84="","",INDEX('Per Line'!$D$2:$D$1501,$AH84)&amp;"")</f>
        <v/>
      </c>
      <c r="H84">
        <f>IF($AH84="","",INDEX('Per Line'!$F$2:$F$1501,$AH84)&amp;"")</f>
        <v/>
      </c>
      <c r="I84" s="14">
        <f>IF($AH84="","",INDEX('Per Line'!$G$2:$G$1501,$AH84))</f>
        <v/>
      </c>
      <c r="J84">
        <f>IF($AH84="","",INDEX('Per Line'!$H$2:$H$1501,$AH84)&amp;"")</f>
        <v/>
      </c>
      <c r="K84">
        <f>IF($AH84="","",INDEX('Per Line'!$J$2:$J$1501,$AH84)&amp;"")</f>
        <v/>
      </c>
      <c r="L84">
        <f>IF($AH84="","",INDEX('Per Line'!$K$2:$K$1501,$AH84)&amp;"")</f>
        <v/>
      </c>
      <c r="M84">
        <f>IF($AH84="","",INDEX('Per Line'!$L$2:$L$1501,$AH84)&amp;"")</f>
        <v/>
      </c>
      <c r="N84">
        <f>IF($AH84="","",INDEX('Per Line'!$M$2:$M$1501,$AH84)&amp;"")</f>
        <v/>
      </c>
      <c r="O84">
        <f>IF($AH84="","",INDEX('Per Line'!$P$2:$P$1501,$AH84))</f>
        <v/>
      </c>
      <c r="P84" s="7">
        <f>IF($AH84="","",O84*AD84/100)</f>
        <v/>
      </c>
      <c r="Q84">
        <f>IF($AH84="","",INDEX('Per Line'!$R$2:$R$1501,$AH84)&amp;"")</f>
        <v/>
      </c>
      <c r="R84">
        <f>IF($AH84="","",INDEX('Per Line'!$AB$2:$AB$1501,$AH84)&amp;"")</f>
        <v/>
      </c>
      <c r="S84">
        <f>IF($AH84="","",Settings!$C$8)</f>
        <v/>
      </c>
      <c r="T84" s="7">
        <f>IF($AH84="","",SUMIFS('Per Line'!$Z$2:$Z$1501,'Per Line'!$E$2:$E$1501,$B84,'Per Line'!$AT$2:$AT$1501,1))</f>
        <v/>
      </c>
      <c r="U84" s="7">
        <f>IF($AH84="","",T84*S84)</f>
        <v/>
      </c>
      <c r="V84">
        <f>IF($AH84="","",Settings!$C$7)</f>
        <v/>
      </c>
      <c r="W84" s="7">
        <f>IF($AH84="","",SUMIFS('Per Line'!$Z$2:$Z$1501,'Per Line'!$E$2:$E$1501,$B84,'Per Line'!$AS$2:$AS$1501,0,'Per Line'!$AT$2:$AT$1501,0))</f>
        <v/>
      </c>
      <c r="X84" s="7">
        <f>IF($AH84="","",W84*V84)</f>
        <v/>
      </c>
      <c r="Y84">
        <f>IF($AH84="","",Settings!$C$6)</f>
        <v/>
      </c>
      <c r="Z84" s="7">
        <f>IF($AH84="","",SUMIFS('Per Line'!$Z$2:$Z$1501,'Per Line'!$E$2:$E$1501,$B84,'Per Line'!$AS$2:$AS$1501,1,'Per Line'!$AT$2:$AT$1501,0))</f>
        <v/>
      </c>
      <c r="AA84" s="7">
        <f>IF($AH84="","",Z84*Y84)</f>
        <v/>
      </c>
      <c r="AB84" s="7">
        <f>IF($AH84="","",AA84+X84+U84)</f>
        <v/>
      </c>
      <c r="AC84" s="7">
        <f>IF($AH84="","",AD84-AB84)</f>
        <v/>
      </c>
      <c r="AD84" s="7">
        <f>IF($AH84="","",W84+Z84+T84)</f>
        <v/>
      </c>
      <c r="AE84" s="7">
        <f>IF($AH84="","",AD84-AB84-P84)</f>
        <v/>
      </c>
      <c r="AF84" s="15" t="n"/>
      <c r="AG84" s="7">
        <f>IF($AH84="","",AE84-N(AF84))</f>
        <v/>
      </c>
      <c r="AH84" s="16">
        <f>IF(ROWS($AH$2:$AH84)&lt;=MAX('Per Line'!$AR$2:$AR$1501),MATCH(ROWS($AH$2:$AH84),'Per Line'!$AR$2:$AR$1501,0),"")</f>
        <v/>
      </c>
      <c r="AI84">
        <f>IF($AH84="","",C84&amp;"|"&amp;COUNTIF($C$2:$C84,C84))</f>
        <v/>
      </c>
    </row>
    <row r="85">
      <c r="A85" s="15" t="n"/>
      <c r="B85">
        <f>IF($AH85="","",INDEX('Per Line'!$E$2:$E$1501,$AH85)&amp;"")</f>
        <v/>
      </c>
      <c r="C85">
        <f>IF($AH85="","",IF(INDEX('Per Line'!$AP$2:$AP$1501,$AH85)="NOT MATCH","NOT MATCH","FULL MATCH"))</f>
        <v/>
      </c>
      <c r="D85">
        <f>IF($AH85="","",INDEX('Per Line'!$A$2:$A$1501,$AH85)&amp;"")</f>
        <v/>
      </c>
      <c r="E85">
        <f>IF($AH85="","",INDEX('Per Line'!$B$2:$B$1501,$AH85))</f>
        <v/>
      </c>
      <c r="F85">
        <f>IF($AH85="","",INDEX('Per Line'!$C$2:$C$1501,$AH85)&amp;"")</f>
        <v/>
      </c>
      <c r="G85">
        <f>IF($AH85="","",INDEX('Per Line'!$D$2:$D$1501,$AH85)&amp;"")</f>
        <v/>
      </c>
      <c r="H85">
        <f>IF($AH85="","",INDEX('Per Line'!$F$2:$F$1501,$AH85)&amp;"")</f>
        <v/>
      </c>
      <c r="I85" s="14">
        <f>IF($AH85="","",INDEX('Per Line'!$G$2:$G$1501,$AH85))</f>
        <v/>
      </c>
      <c r="J85">
        <f>IF($AH85="","",INDEX('Per Line'!$H$2:$H$1501,$AH85)&amp;"")</f>
        <v/>
      </c>
      <c r="K85">
        <f>IF($AH85="","",INDEX('Per Line'!$J$2:$J$1501,$AH85)&amp;"")</f>
        <v/>
      </c>
      <c r="L85">
        <f>IF($AH85="","",INDEX('Per Line'!$K$2:$K$1501,$AH85)&amp;"")</f>
        <v/>
      </c>
      <c r="M85">
        <f>IF($AH85="","",INDEX('Per Line'!$L$2:$L$1501,$AH85)&amp;"")</f>
        <v/>
      </c>
      <c r="N85">
        <f>IF($AH85="","",INDEX('Per Line'!$M$2:$M$1501,$AH85)&amp;"")</f>
        <v/>
      </c>
      <c r="O85">
        <f>IF($AH85="","",INDEX('Per Line'!$P$2:$P$1501,$AH85))</f>
        <v/>
      </c>
      <c r="P85" s="7">
        <f>IF($AH85="","",O85*AD85/100)</f>
        <v/>
      </c>
      <c r="Q85">
        <f>IF($AH85="","",INDEX('Per Line'!$R$2:$R$1501,$AH85)&amp;"")</f>
        <v/>
      </c>
      <c r="R85">
        <f>IF($AH85="","",INDEX('Per Line'!$AB$2:$AB$1501,$AH85)&amp;"")</f>
        <v/>
      </c>
      <c r="S85">
        <f>IF($AH85="","",Settings!$C$8)</f>
        <v/>
      </c>
      <c r="T85" s="7">
        <f>IF($AH85="","",SUMIFS('Per Line'!$Z$2:$Z$1501,'Per Line'!$E$2:$E$1501,$B85,'Per Line'!$AT$2:$AT$1501,1))</f>
        <v/>
      </c>
      <c r="U85" s="7">
        <f>IF($AH85="","",T85*S85)</f>
        <v/>
      </c>
      <c r="V85">
        <f>IF($AH85="","",Settings!$C$7)</f>
        <v/>
      </c>
      <c r="W85" s="7">
        <f>IF($AH85="","",SUMIFS('Per Line'!$Z$2:$Z$1501,'Per Line'!$E$2:$E$1501,$B85,'Per Line'!$AS$2:$AS$1501,0,'Per Line'!$AT$2:$AT$1501,0))</f>
        <v/>
      </c>
      <c r="X85" s="7">
        <f>IF($AH85="","",W85*V85)</f>
        <v/>
      </c>
      <c r="Y85">
        <f>IF($AH85="","",Settings!$C$6)</f>
        <v/>
      </c>
      <c r="Z85" s="7">
        <f>IF($AH85="","",SUMIFS('Per Line'!$Z$2:$Z$1501,'Per Line'!$E$2:$E$1501,$B85,'Per Line'!$AS$2:$AS$1501,1,'Per Line'!$AT$2:$AT$1501,0))</f>
        <v/>
      </c>
      <c r="AA85" s="7">
        <f>IF($AH85="","",Z85*Y85)</f>
        <v/>
      </c>
      <c r="AB85" s="7">
        <f>IF($AH85="","",AA85+X85+U85)</f>
        <v/>
      </c>
      <c r="AC85" s="7">
        <f>IF($AH85="","",AD85-AB85)</f>
        <v/>
      </c>
      <c r="AD85" s="7">
        <f>IF($AH85="","",W85+Z85+T85)</f>
        <v/>
      </c>
      <c r="AE85" s="7">
        <f>IF($AH85="","",AD85-AB85-P85)</f>
        <v/>
      </c>
      <c r="AF85" s="15" t="n"/>
      <c r="AG85" s="7">
        <f>IF($AH85="","",AE85-N(AF85))</f>
        <v/>
      </c>
      <c r="AH85" s="16">
        <f>IF(ROWS($AH$2:$AH85)&lt;=MAX('Per Line'!$AR$2:$AR$1501),MATCH(ROWS($AH$2:$AH85),'Per Line'!$AR$2:$AR$1501,0),"")</f>
        <v/>
      </c>
      <c r="AI85">
        <f>IF($AH85="","",C85&amp;"|"&amp;COUNTIF($C$2:$C85,C85))</f>
        <v/>
      </c>
    </row>
    <row r="86">
      <c r="A86" s="15" t="n"/>
      <c r="B86">
        <f>IF($AH86="","",INDEX('Per Line'!$E$2:$E$1501,$AH86)&amp;"")</f>
        <v/>
      </c>
      <c r="C86">
        <f>IF($AH86="","",IF(INDEX('Per Line'!$AP$2:$AP$1501,$AH86)="NOT MATCH","NOT MATCH","FULL MATCH"))</f>
        <v/>
      </c>
      <c r="D86">
        <f>IF($AH86="","",INDEX('Per Line'!$A$2:$A$1501,$AH86)&amp;"")</f>
        <v/>
      </c>
      <c r="E86">
        <f>IF($AH86="","",INDEX('Per Line'!$B$2:$B$1501,$AH86))</f>
        <v/>
      </c>
      <c r="F86">
        <f>IF($AH86="","",INDEX('Per Line'!$C$2:$C$1501,$AH86)&amp;"")</f>
        <v/>
      </c>
      <c r="G86">
        <f>IF($AH86="","",INDEX('Per Line'!$D$2:$D$1501,$AH86)&amp;"")</f>
        <v/>
      </c>
      <c r="H86">
        <f>IF($AH86="","",INDEX('Per Line'!$F$2:$F$1501,$AH86)&amp;"")</f>
        <v/>
      </c>
      <c r="I86" s="14">
        <f>IF($AH86="","",INDEX('Per Line'!$G$2:$G$1501,$AH86))</f>
        <v/>
      </c>
      <c r="J86">
        <f>IF($AH86="","",INDEX('Per Line'!$H$2:$H$1501,$AH86)&amp;"")</f>
        <v/>
      </c>
      <c r="K86">
        <f>IF($AH86="","",INDEX('Per Line'!$J$2:$J$1501,$AH86)&amp;"")</f>
        <v/>
      </c>
      <c r="L86">
        <f>IF($AH86="","",INDEX('Per Line'!$K$2:$K$1501,$AH86)&amp;"")</f>
        <v/>
      </c>
      <c r="M86">
        <f>IF($AH86="","",INDEX('Per Line'!$L$2:$L$1501,$AH86)&amp;"")</f>
        <v/>
      </c>
      <c r="N86">
        <f>IF($AH86="","",INDEX('Per Line'!$M$2:$M$1501,$AH86)&amp;"")</f>
        <v/>
      </c>
      <c r="O86">
        <f>IF($AH86="","",INDEX('Per Line'!$P$2:$P$1501,$AH86))</f>
        <v/>
      </c>
      <c r="P86" s="7">
        <f>IF($AH86="","",O86*AD86/100)</f>
        <v/>
      </c>
      <c r="Q86">
        <f>IF($AH86="","",INDEX('Per Line'!$R$2:$R$1501,$AH86)&amp;"")</f>
        <v/>
      </c>
      <c r="R86">
        <f>IF($AH86="","",INDEX('Per Line'!$AB$2:$AB$1501,$AH86)&amp;"")</f>
        <v/>
      </c>
      <c r="S86">
        <f>IF($AH86="","",Settings!$C$8)</f>
        <v/>
      </c>
      <c r="T86" s="7">
        <f>IF($AH86="","",SUMIFS('Per Line'!$Z$2:$Z$1501,'Per Line'!$E$2:$E$1501,$B86,'Per Line'!$AT$2:$AT$1501,1))</f>
        <v/>
      </c>
      <c r="U86" s="7">
        <f>IF($AH86="","",T86*S86)</f>
        <v/>
      </c>
      <c r="V86">
        <f>IF($AH86="","",Settings!$C$7)</f>
        <v/>
      </c>
      <c r="W86" s="7">
        <f>IF($AH86="","",SUMIFS('Per Line'!$Z$2:$Z$1501,'Per Line'!$E$2:$E$1501,$B86,'Per Line'!$AS$2:$AS$1501,0,'Per Line'!$AT$2:$AT$1501,0))</f>
        <v/>
      </c>
      <c r="X86" s="7">
        <f>IF($AH86="","",W86*V86)</f>
        <v/>
      </c>
      <c r="Y86">
        <f>IF($AH86="","",Settings!$C$6)</f>
        <v/>
      </c>
      <c r="Z86" s="7">
        <f>IF($AH86="","",SUMIFS('Per Line'!$Z$2:$Z$1501,'Per Line'!$E$2:$E$1501,$B86,'Per Line'!$AS$2:$AS$1501,1,'Per Line'!$AT$2:$AT$1501,0))</f>
        <v/>
      </c>
      <c r="AA86" s="7">
        <f>IF($AH86="","",Z86*Y86)</f>
        <v/>
      </c>
      <c r="AB86" s="7">
        <f>IF($AH86="","",AA86+X86+U86)</f>
        <v/>
      </c>
      <c r="AC86" s="7">
        <f>IF($AH86="","",AD86-AB86)</f>
        <v/>
      </c>
      <c r="AD86" s="7">
        <f>IF($AH86="","",W86+Z86+T86)</f>
        <v/>
      </c>
      <c r="AE86" s="7">
        <f>IF($AH86="","",AD86-AB86-P86)</f>
        <v/>
      </c>
      <c r="AF86" s="15" t="n"/>
      <c r="AG86" s="7">
        <f>IF($AH86="","",AE86-N(AF86))</f>
        <v/>
      </c>
      <c r="AH86" s="16">
        <f>IF(ROWS($AH$2:$AH86)&lt;=MAX('Per Line'!$AR$2:$AR$1501),MATCH(ROWS($AH$2:$AH86),'Per Line'!$AR$2:$AR$1501,0),"")</f>
        <v/>
      </c>
      <c r="AI86">
        <f>IF($AH86="","",C86&amp;"|"&amp;COUNTIF($C$2:$C86,C86))</f>
        <v/>
      </c>
    </row>
    <row r="87">
      <c r="A87" s="15" t="n"/>
      <c r="B87">
        <f>IF($AH87="","",INDEX('Per Line'!$E$2:$E$1501,$AH87)&amp;"")</f>
        <v/>
      </c>
      <c r="C87">
        <f>IF($AH87="","",IF(INDEX('Per Line'!$AP$2:$AP$1501,$AH87)="NOT MATCH","NOT MATCH","FULL MATCH"))</f>
        <v/>
      </c>
      <c r="D87">
        <f>IF($AH87="","",INDEX('Per Line'!$A$2:$A$1501,$AH87)&amp;"")</f>
        <v/>
      </c>
      <c r="E87">
        <f>IF($AH87="","",INDEX('Per Line'!$B$2:$B$1501,$AH87))</f>
        <v/>
      </c>
      <c r="F87">
        <f>IF($AH87="","",INDEX('Per Line'!$C$2:$C$1501,$AH87)&amp;"")</f>
        <v/>
      </c>
      <c r="G87">
        <f>IF($AH87="","",INDEX('Per Line'!$D$2:$D$1501,$AH87)&amp;"")</f>
        <v/>
      </c>
      <c r="H87">
        <f>IF($AH87="","",INDEX('Per Line'!$F$2:$F$1501,$AH87)&amp;"")</f>
        <v/>
      </c>
      <c r="I87" s="14">
        <f>IF($AH87="","",INDEX('Per Line'!$G$2:$G$1501,$AH87))</f>
        <v/>
      </c>
      <c r="J87">
        <f>IF($AH87="","",INDEX('Per Line'!$H$2:$H$1501,$AH87)&amp;"")</f>
        <v/>
      </c>
      <c r="K87">
        <f>IF($AH87="","",INDEX('Per Line'!$J$2:$J$1501,$AH87)&amp;"")</f>
        <v/>
      </c>
      <c r="L87">
        <f>IF($AH87="","",INDEX('Per Line'!$K$2:$K$1501,$AH87)&amp;"")</f>
        <v/>
      </c>
      <c r="M87">
        <f>IF($AH87="","",INDEX('Per Line'!$L$2:$L$1501,$AH87)&amp;"")</f>
        <v/>
      </c>
      <c r="N87">
        <f>IF($AH87="","",INDEX('Per Line'!$M$2:$M$1501,$AH87)&amp;"")</f>
        <v/>
      </c>
      <c r="O87">
        <f>IF($AH87="","",INDEX('Per Line'!$P$2:$P$1501,$AH87))</f>
        <v/>
      </c>
      <c r="P87" s="7">
        <f>IF($AH87="","",O87*AD87/100)</f>
        <v/>
      </c>
      <c r="Q87">
        <f>IF($AH87="","",INDEX('Per Line'!$R$2:$R$1501,$AH87)&amp;"")</f>
        <v/>
      </c>
      <c r="R87">
        <f>IF($AH87="","",INDEX('Per Line'!$AB$2:$AB$1501,$AH87)&amp;"")</f>
        <v/>
      </c>
      <c r="S87">
        <f>IF($AH87="","",Settings!$C$8)</f>
        <v/>
      </c>
      <c r="T87" s="7">
        <f>IF($AH87="","",SUMIFS('Per Line'!$Z$2:$Z$1501,'Per Line'!$E$2:$E$1501,$B87,'Per Line'!$AT$2:$AT$1501,1))</f>
        <v/>
      </c>
      <c r="U87" s="7">
        <f>IF($AH87="","",T87*S87)</f>
        <v/>
      </c>
      <c r="V87">
        <f>IF($AH87="","",Settings!$C$7)</f>
        <v/>
      </c>
      <c r="W87" s="7">
        <f>IF($AH87="","",SUMIFS('Per Line'!$Z$2:$Z$1501,'Per Line'!$E$2:$E$1501,$B87,'Per Line'!$AS$2:$AS$1501,0,'Per Line'!$AT$2:$AT$1501,0))</f>
        <v/>
      </c>
      <c r="X87" s="7">
        <f>IF($AH87="","",W87*V87)</f>
        <v/>
      </c>
      <c r="Y87">
        <f>IF($AH87="","",Settings!$C$6)</f>
        <v/>
      </c>
      <c r="Z87" s="7">
        <f>IF($AH87="","",SUMIFS('Per Line'!$Z$2:$Z$1501,'Per Line'!$E$2:$E$1501,$B87,'Per Line'!$AS$2:$AS$1501,1,'Per Line'!$AT$2:$AT$1501,0))</f>
        <v/>
      </c>
      <c r="AA87" s="7">
        <f>IF($AH87="","",Z87*Y87)</f>
        <v/>
      </c>
      <c r="AB87" s="7">
        <f>IF($AH87="","",AA87+X87+U87)</f>
        <v/>
      </c>
      <c r="AC87" s="7">
        <f>IF($AH87="","",AD87-AB87)</f>
        <v/>
      </c>
      <c r="AD87" s="7">
        <f>IF($AH87="","",W87+Z87+T87)</f>
        <v/>
      </c>
      <c r="AE87" s="7">
        <f>IF($AH87="","",AD87-AB87-P87)</f>
        <v/>
      </c>
      <c r="AF87" s="15" t="n"/>
      <c r="AG87" s="7">
        <f>IF($AH87="","",AE87-N(AF87))</f>
        <v/>
      </c>
      <c r="AH87" s="16">
        <f>IF(ROWS($AH$2:$AH87)&lt;=MAX('Per Line'!$AR$2:$AR$1501),MATCH(ROWS($AH$2:$AH87),'Per Line'!$AR$2:$AR$1501,0),"")</f>
        <v/>
      </c>
      <c r="AI87">
        <f>IF($AH87="","",C87&amp;"|"&amp;COUNTIF($C$2:$C87,C87))</f>
        <v/>
      </c>
    </row>
    <row r="88">
      <c r="A88" s="15" t="n"/>
      <c r="B88">
        <f>IF($AH88="","",INDEX('Per Line'!$E$2:$E$1501,$AH88)&amp;"")</f>
        <v/>
      </c>
      <c r="C88">
        <f>IF($AH88="","",IF(INDEX('Per Line'!$AP$2:$AP$1501,$AH88)="NOT MATCH","NOT MATCH","FULL MATCH"))</f>
        <v/>
      </c>
      <c r="D88">
        <f>IF($AH88="","",INDEX('Per Line'!$A$2:$A$1501,$AH88)&amp;"")</f>
        <v/>
      </c>
      <c r="E88">
        <f>IF($AH88="","",INDEX('Per Line'!$B$2:$B$1501,$AH88))</f>
        <v/>
      </c>
      <c r="F88">
        <f>IF($AH88="","",INDEX('Per Line'!$C$2:$C$1501,$AH88)&amp;"")</f>
        <v/>
      </c>
      <c r="G88">
        <f>IF($AH88="","",INDEX('Per Line'!$D$2:$D$1501,$AH88)&amp;"")</f>
        <v/>
      </c>
      <c r="H88">
        <f>IF($AH88="","",INDEX('Per Line'!$F$2:$F$1501,$AH88)&amp;"")</f>
        <v/>
      </c>
      <c r="I88" s="14">
        <f>IF($AH88="","",INDEX('Per Line'!$G$2:$G$1501,$AH88))</f>
        <v/>
      </c>
      <c r="J88">
        <f>IF($AH88="","",INDEX('Per Line'!$H$2:$H$1501,$AH88)&amp;"")</f>
        <v/>
      </c>
      <c r="K88">
        <f>IF($AH88="","",INDEX('Per Line'!$J$2:$J$1501,$AH88)&amp;"")</f>
        <v/>
      </c>
      <c r="L88">
        <f>IF($AH88="","",INDEX('Per Line'!$K$2:$K$1501,$AH88)&amp;"")</f>
        <v/>
      </c>
      <c r="M88">
        <f>IF($AH88="","",INDEX('Per Line'!$L$2:$L$1501,$AH88)&amp;"")</f>
        <v/>
      </c>
      <c r="N88">
        <f>IF($AH88="","",INDEX('Per Line'!$M$2:$M$1501,$AH88)&amp;"")</f>
        <v/>
      </c>
      <c r="O88">
        <f>IF($AH88="","",INDEX('Per Line'!$P$2:$P$1501,$AH88))</f>
        <v/>
      </c>
      <c r="P88" s="7">
        <f>IF($AH88="","",O88*AD88/100)</f>
        <v/>
      </c>
      <c r="Q88">
        <f>IF($AH88="","",INDEX('Per Line'!$R$2:$R$1501,$AH88)&amp;"")</f>
        <v/>
      </c>
      <c r="R88">
        <f>IF($AH88="","",INDEX('Per Line'!$AB$2:$AB$1501,$AH88)&amp;"")</f>
        <v/>
      </c>
      <c r="S88">
        <f>IF($AH88="","",Settings!$C$8)</f>
        <v/>
      </c>
      <c r="T88" s="7">
        <f>IF($AH88="","",SUMIFS('Per Line'!$Z$2:$Z$1501,'Per Line'!$E$2:$E$1501,$B88,'Per Line'!$AT$2:$AT$1501,1))</f>
        <v/>
      </c>
      <c r="U88" s="7">
        <f>IF($AH88="","",T88*S88)</f>
        <v/>
      </c>
      <c r="V88">
        <f>IF($AH88="","",Settings!$C$7)</f>
        <v/>
      </c>
      <c r="W88" s="7">
        <f>IF($AH88="","",SUMIFS('Per Line'!$Z$2:$Z$1501,'Per Line'!$E$2:$E$1501,$B88,'Per Line'!$AS$2:$AS$1501,0,'Per Line'!$AT$2:$AT$1501,0))</f>
        <v/>
      </c>
      <c r="X88" s="7">
        <f>IF($AH88="","",W88*V88)</f>
        <v/>
      </c>
      <c r="Y88">
        <f>IF($AH88="","",Settings!$C$6)</f>
        <v/>
      </c>
      <c r="Z88" s="7">
        <f>IF($AH88="","",SUMIFS('Per Line'!$Z$2:$Z$1501,'Per Line'!$E$2:$E$1501,$B88,'Per Line'!$AS$2:$AS$1501,1,'Per Line'!$AT$2:$AT$1501,0))</f>
        <v/>
      </c>
      <c r="AA88" s="7">
        <f>IF($AH88="","",Z88*Y88)</f>
        <v/>
      </c>
      <c r="AB88" s="7">
        <f>IF($AH88="","",AA88+X88+U88)</f>
        <v/>
      </c>
      <c r="AC88" s="7">
        <f>IF($AH88="","",AD88-AB88)</f>
        <v/>
      </c>
      <c r="AD88" s="7">
        <f>IF($AH88="","",W88+Z88+T88)</f>
        <v/>
      </c>
      <c r="AE88" s="7">
        <f>IF($AH88="","",AD88-AB88-P88)</f>
        <v/>
      </c>
      <c r="AF88" s="15" t="n"/>
      <c r="AG88" s="7">
        <f>IF($AH88="","",AE88-N(AF88))</f>
        <v/>
      </c>
      <c r="AH88" s="16">
        <f>IF(ROWS($AH$2:$AH88)&lt;=MAX('Per Line'!$AR$2:$AR$1501),MATCH(ROWS($AH$2:$AH88),'Per Line'!$AR$2:$AR$1501,0),"")</f>
        <v/>
      </c>
      <c r="AI88">
        <f>IF($AH88="","",C88&amp;"|"&amp;COUNTIF($C$2:$C88,C88))</f>
        <v/>
      </c>
    </row>
    <row r="89">
      <c r="A89" s="15" t="n"/>
      <c r="B89">
        <f>IF($AH89="","",INDEX('Per Line'!$E$2:$E$1501,$AH89)&amp;"")</f>
        <v/>
      </c>
      <c r="C89">
        <f>IF($AH89="","",IF(INDEX('Per Line'!$AP$2:$AP$1501,$AH89)="NOT MATCH","NOT MATCH","FULL MATCH"))</f>
        <v/>
      </c>
      <c r="D89">
        <f>IF($AH89="","",INDEX('Per Line'!$A$2:$A$1501,$AH89)&amp;"")</f>
        <v/>
      </c>
      <c r="E89">
        <f>IF($AH89="","",INDEX('Per Line'!$B$2:$B$1501,$AH89))</f>
        <v/>
      </c>
      <c r="F89">
        <f>IF($AH89="","",INDEX('Per Line'!$C$2:$C$1501,$AH89)&amp;"")</f>
        <v/>
      </c>
      <c r="G89">
        <f>IF($AH89="","",INDEX('Per Line'!$D$2:$D$1501,$AH89)&amp;"")</f>
        <v/>
      </c>
      <c r="H89">
        <f>IF($AH89="","",INDEX('Per Line'!$F$2:$F$1501,$AH89)&amp;"")</f>
        <v/>
      </c>
      <c r="I89" s="14">
        <f>IF($AH89="","",INDEX('Per Line'!$G$2:$G$1501,$AH89))</f>
        <v/>
      </c>
      <c r="J89">
        <f>IF($AH89="","",INDEX('Per Line'!$H$2:$H$1501,$AH89)&amp;"")</f>
        <v/>
      </c>
      <c r="K89">
        <f>IF($AH89="","",INDEX('Per Line'!$J$2:$J$1501,$AH89)&amp;"")</f>
        <v/>
      </c>
      <c r="L89">
        <f>IF($AH89="","",INDEX('Per Line'!$K$2:$K$1501,$AH89)&amp;"")</f>
        <v/>
      </c>
      <c r="M89">
        <f>IF($AH89="","",INDEX('Per Line'!$L$2:$L$1501,$AH89)&amp;"")</f>
        <v/>
      </c>
      <c r="N89">
        <f>IF($AH89="","",INDEX('Per Line'!$M$2:$M$1501,$AH89)&amp;"")</f>
        <v/>
      </c>
      <c r="O89">
        <f>IF($AH89="","",INDEX('Per Line'!$P$2:$P$1501,$AH89))</f>
        <v/>
      </c>
      <c r="P89" s="7">
        <f>IF($AH89="","",O89*AD89/100)</f>
        <v/>
      </c>
      <c r="Q89">
        <f>IF($AH89="","",INDEX('Per Line'!$R$2:$R$1501,$AH89)&amp;"")</f>
        <v/>
      </c>
      <c r="R89">
        <f>IF($AH89="","",INDEX('Per Line'!$AB$2:$AB$1501,$AH89)&amp;"")</f>
        <v/>
      </c>
      <c r="S89">
        <f>IF($AH89="","",Settings!$C$8)</f>
        <v/>
      </c>
      <c r="T89" s="7">
        <f>IF($AH89="","",SUMIFS('Per Line'!$Z$2:$Z$1501,'Per Line'!$E$2:$E$1501,$B89,'Per Line'!$AT$2:$AT$1501,1))</f>
        <v/>
      </c>
      <c r="U89" s="7">
        <f>IF($AH89="","",T89*S89)</f>
        <v/>
      </c>
      <c r="V89">
        <f>IF($AH89="","",Settings!$C$7)</f>
        <v/>
      </c>
      <c r="W89" s="7">
        <f>IF($AH89="","",SUMIFS('Per Line'!$Z$2:$Z$1501,'Per Line'!$E$2:$E$1501,$B89,'Per Line'!$AS$2:$AS$1501,0,'Per Line'!$AT$2:$AT$1501,0))</f>
        <v/>
      </c>
      <c r="X89" s="7">
        <f>IF($AH89="","",W89*V89)</f>
        <v/>
      </c>
      <c r="Y89">
        <f>IF($AH89="","",Settings!$C$6)</f>
        <v/>
      </c>
      <c r="Z89" s="7">
        <f>IF($AH89="","",SUMIFS('Per Line'!$Z$2:$Z$1501,'Per Line'!$E$2:$E$1501,$B89,'Per Line'!$AS$2:$AS$1501,1,'Per Line'!$AT$2:$AT$1501,0))</f>
        <v/>
      </c>
      <c r="AA89" s="7">
        <f>IF($AH89="","",Z89*Y89)</f>
        <v/>
      </c>
      <c r="AB89" s="7">
        <f>IF($AH89="","",AA89+X89+U89)</f>
        <v/>
      </c>
      <c r="AC89" s="7">
        <f>IF($AH89="","",AD89-AB89)</f>
        <v/>
      </c>
      <c r="AD89" s="7">
        <f>IF($AH89="","",W89+Z89+T89)</f>
        <v/>
      </c>
      <c r="AE89" s="7">
        <f>IF($AH89="","",AD89-AB89-P89)</f>
        <v/>
      </c>
      <c r="AF89" s="15" t="n"/>
      <c r="AG89" s="7">
        <f>IF($AH89="","",AE89-N(AF89))</f>
        <v/>
      </c>
      <c r="AH89" s="16">
        <f>IF(ROWS($AH$2:$AH89)&lt;=MAX('Per Line'!$AR$2:$AR$1501),MATCH(ROWS($AH$2:$AH89),'Per Line'!$AR$2:$AR$1501,0),"")</f>
        <v/>
      </c>
      <c r="AI89">
        <f>IF($AH89="","",C89&amp;"|"&amp;COUNTIF($C$2:$C89,C89))</f>
        <v/>
      </c>
    </row>
    <row r="90">
      <c r="A90" s="15" t="n"/>
      <c r="B90">
        <f>IF($AH90="","",INDEX('Per Line'!$E$2:$E$1501,$AH90)&amp;"")</f>
        <v/>
      </c>
      <c r="C90">
        <f>IF($AH90="","",IF(INDEX('Per Line'!$AP$2:$AP$1501,$AH90)="NOT MATCH","NOT MATCH","FULL MATCH"))</f>
        <v/>
      </c>
      <c r="D90">
        <f>IF($AH90="","",INDEX('Per Line'!$A$2:$A$1501,$AH90)&amp;"")</f>
        <v/>
      </c>
      <c r="E90">
        <f>IF($AH90="","",INDEX('Per Line'!$B$2:$B$1501,$AH90))</f>
        <v/>
      </c>
      <c r="F90">
        <f>IF($AH90="","",INDEX('Per Line'!$C$2:$C$1501,$AH90)&amp;"")</f>
        <v/>
      </c>
      <c r="G90">
        <f>IF($AH90="","",INDEX('Per Line'!$D$2:$D$1501,$AH90)&amp;"")</f>
        <v/>
      </c>
      <c r="H90">
        <f>IF($AH90="","",INDEX('Per Line'!$F$2:$F$1501,$AH90)&amp;"")</f>
        <v/>
      </c>
      <c r="I90" s="14">
        <f>IF($AH90="","",INDEX('Per Line'!$G$2:$G$1501,$AH90))</f>
        <v/>
      </c>
      <c r="J90">
        <f>IF($AH90="","",INDEX('Per Line'!$H$2:$H$1501,$AH90)&amp;"")</f>
        <v/>
      </c>
      <c r="K90">
        <f>IF($AH90="","",INDEX('Per Line'!$J$2:$J$1501,$AH90)&amp;"")</f>
        <v/>
      </c>
      <c r="L90">
        <f>IF($AH90="","",INDEX('Per Line'!$K$2:$K$1501,$AH90)&amp;"")</f>
        <v/>
      </c>
      <c r="M90">
        <f>IF($AH90="","",INDEX('Per Line'!$L$2:$L$1501,$AH90)&amp;"")</f>
        <v/>
      </c>
      <c r="N90">
        <f>IF($AH90="","",INDEX('Per Line'!$M$2:$M$1501,$AH90)&amp;"")</f>
        <v/>
      </c>
      <c r="O90">
        <f>IF($AH90="","",INDEX('Per Line'!$P$2:$P$1501,$AH90))</f>
        <v/>
      </c>
      <c r="P90" s="7">
        <f>IF($AH90="","",O90*AD90/100)</f>
        <v/>
      </c>
      <c r="Q90">
        <f>IF($AH90="","",INDEX('Per Line'!$R$2:$R$1501,$AH90)&amp;"")</f>
        <v/>
      </c>
      <c r="R90">
        <f>IF($AH90="","",INDEX('Per Line'!$AB$2:$AB$1501,$AH90)&amp;"")</f>
        <v/>
      </c>
      <c r="S90">
        <f>IF($AH90="","",Settings!$C$8)</f>
        <v/>
      </c>
      <c r="T90" s="7">
        <f>IF($AH90="","",SUMIFS('Per Line'!$Z$2:$Z$1501,'Per Line'!$E$2:$E$1501,$B90,'Per Line'!$AT$2:$AT$1501,1))</f>
        <v/>
      </c>
      <c r="U90" s="7">
        <f>IF($AH90="","",T90*S90)</f>
        <v/>
      </c>
      <c r="V90">
        <f>IF($AH90="","",Settings!$C$7)</f>
        <v/>
      </c>
      <c r="W90" s="7">
        <f>IF($AH90="","",SUMIFS('Per Line'!$Z$2:$Z$1501,'Per Line'!$E$2:$E$1501,$B90,'Per Line'!$AS$2:$AS$1501,0,'Per Line'!$AT$2:$AT$1501,0))</f>
        <v/>
      </c>
      <c r="X90" s="7">
        <f>IF($AH90="","",W90*V90)</f>
        <v/>
      </c>
      <c r="Y90">
        <f>IF($AH90="","",Settings!$C$6)</f>
        <v/>
      </c>
      <c r="Z90" s="7">
        <f>IF($AH90="","",SUMIFS('Per Line'!$Z$2:$Z$1501,'Per Line'!$E$2:$E$1501,$B90,'Per Line'!$AS$2:$AS$1501,1,'Per Line'!$AT$2:$AT$1501,0))</f>
        <v/>
      </c>
      <c r="AA90" s="7">
        <f>IF($AH90="","",Z90*Y90)</f>
        <v/>
      </c>
      <c r="AB90" s="7">
        <f>IF($AH90="","",AA90+X90+U90)</f>
        <v/>
      </c>
      <c r="AC90" s="7">
        <f>IF($AH90="","",AD90-AB90)</f>
        <v/>
      </c>
      <c r="AD90" s="7">
        <f>IF($AH90="","",W90+Z90+T90)</f>
        <v/>
      </c>
      <c r="AE90" s="7">
        <f>IF($AH90="","",AD90-AB90-P90)</f>
        <v/>
      </c>
      <c r="AF90" s="15" t="n"/>
      <c r="AG90" s="7">
        <f>IF($AH90="","",AE90-N(AF90))</f>
        <v/>
      </c>
      <c r="AH90" s="16">
        <f>IF(ROWS($AH$2:$AH90)&lt;=MAX('Per Line'!$AR$2:$AR$1501),MATCH(ROWS($AH$2:$AH90),'Per Line'!$AR$2:$AR$1501,0),"")</f>
        <v/>
      </c>
      <c r="AI90">
        <f>IF($AH90="","",C90&amp;"|"&amp;COUNTIF($C$2:$C90,C90))</f>
        <v/>
      </c>
    </row>
    <row r="91">
      <c r="A91" s="15" t="n"/>
      <c r="B91">
        <f>IF($AH91="","",INDEX('Per Line'!$E$2:$E$1501,$AH91)&amp;"")</f>
        <v/>
      </c>
      <c r="C91">
        <f>IF($AH91="","",IF(INDEX('Per Line'!$AP$2:$AP$1501,$AH91)="NOT MATCH","NOT MATCH","FULL MATCH"))</f>
        <v/>
      </c>
      <c r="D91">
        <f>IF($AH91="","",INDEX('Per Line'!$A$2:$A$1501,$AH91)&amp;"")</f>
        <v/>
      </c>
      <c r="E91">
        <f>IF($AH91="","",INDEX('Per Line'!$B$2:$B$1501,$AH91))</f>
        <v/>
      </c>
      <c r="F91">
        <f>IF($AH91="","",INDEX('Per Line'!$C$2:$C$1501,$AH91)&amp;"")</f>
        <v/>
      </c>
      <c r="G91">
        <f>IF($AH91="","",INDEX('Per Line'!$D$2:$D$1501,$AH91)&amp;"")</f>
        <v/>
      </c>
      <c r="H91">
        <f>IF($AH91="","",INDEX('Per Line'!$F$2:$F$1501,$AH91)&amp;"")</f>
        <v/>
      </c>
      <c r="I91" s="14">
        <f>IF($AH91="","",INDEX('Per Line'!$G$2:$G$1501,$AH91))</f>
        <v/>
      </c>
      <c r="J91">
        <f>IF($AH91="","",INDEX('Per Line'!$H$2:$H$1501,$AH91)&amp;"")</f>
        <v/>
      </c>
      <c r="K91">
        <f>IF($AH91="","",INDEX('Per Line'!$J$2:$J$1501,$AH91)&amp;"")</f>
        <v/>
      </c>
      <c r="L91">
        <f>IF($AH91="","",INDEX('Per Line'!$K$2:$K$1501,$AH91)&amp;"")</f>
        <v/>
      </c>
      <c r="M91">
        <f>IF($AH91="","",INDEX('Per Line'!$L$2:$L$1501,$AH91)&amp;"")</f>
        <v/>
      </c>
      <c r="N91">
        <f>IF($AH91="","",INDEX('Per Line'!$M$2:$M$1501,$AH91)&amp;"")</f>
        <v/>
      </c>
      <c r="O91">
        <f>IF($AH91="","",INDEX('Per Line'!$P$2:$P$1501,$AH91))</f>
        <v/>
      </c>
      <c r="P91" s="7">
        <f>IF($AH91="","",O91*AD91/100)</f>
        <v/>
      </c>
      <c r="Q91">
        <f>IF($AH91="","",INDEX('Per Line'!$R$2:$R$1501,$AH91)&amp;"")</f>
        <v/>
      </c>
      <c r="R91">
        <f>IF($AH91="","",INDEX('Per Line'!$AB$2:$AB$1501,$AH91)&amp;"")</f>
        <v/>
      </c>
      <c r="S91">
        <f>IF($AH91="","",Settings!$C$8)</f>
        <v/>
      </c>
      <c r="T91" s="7">
        <f>IF($AH91="","",SUMIFS('Per Line'!$Z$2:$Z$1501,'Per Line'!$E$2:$E$1501,$B91,'Per Line'!$AT$2:$AT$1501,1))</f>
        <v/>
      </c>
      <c r="U91" s="7">
        <f>IF($AH91="","",T91*S91)</f>
        <v/>
      </c>
      <c r="V91">
        <f>IF($AH91="","",Settings!$C$7)</f>
        <v/>
      </c>
      <c r="W91" s="7">
        <f>IF($AH91="","",SUMIFS('Per Line'!$Z$2:$Z$1501,'Per Line'!$E$2:$E$1501,$B91,'Per Line'!$AS$2:$AS$1501,0,'Per Line'!$AT$2:$AT$1501,0))</f>
        <v/>
      </c>
      <c r="X91" s="7">
        <f>IF($AH91="","",W91*V91)</f>
        <v/>
      </c>
      <c r="Y91">
        <f>IF($AH91="","",Settings!$C$6)</f>
        <v/>
      </c>
      <c r="Z91" s="7">
        <f>IF($AH91="","",SUMIFS('Per Line'!$Z$2:$Z$1501,'Per Line'!$E$2:$E$1501,$B91,'Per Line'!$AS$2:$AS$1501,1,'Per Line'!$AT$2:$AT$1501,0))</f>
        <v/>
      </c>
      <c r="AA91" s="7">
        <f>IF($AH91="","",Z91*Y91)</f>
        <v/>
      </c>
      <c r="AB91" s="7">
        <f>IF($AH91="","",AA91+X91+U91)</f>
        <v/>
      </c>
      <c r="AC91" s="7">
        <f>IF($AH91="","",AD91-AB91)</f>
        <v/>
      </c>
      <c r="AD91" s="7">
        <f>IF($AH91="","",W91+Z91+T91)</f>
        <v/>
      </c>
      <c r="AE91" s="7">
        <f>IF($AH91="","",AD91-AB91-P91)</f>
        <v/>
      </c>
      <c r="AF91" s="15" t="n"/>
      <c r="AG91" s="7">
        <f>IF($AH91="","",AE91-N(AF91))</f>
        <v/>
      </c>
      <c r="AH91" s="16">
        <f>IF(ROWS($AH$2:$AH91)&lt;=MAX('Per Line'!$AR$2:$AR$1501),MATCH(ROWS($AH$2:$AH91),'Per Line'!$AR$2:$AR$1501,0),"")</f>
        <v/>
      </c>
      <c r="AI91">
        <f>IF($AH91="","",C91&amp;"|"&amp;COUNTIF($C$2:$C91,C91))</f>
        <v/>
      </c>
    </row>
    <row r="92">
      <c r="A92" s="15" t="n"/>
      <c r="B92">
        <f>IF($AH92="","",INDEX('Per Line'!$E$2:$E$1501,$AH92)&amp;"")</f>
        <v/>
      </c>
      <c r="C92">
        <f>IF($AH92="","",IF(INDEX('Per Line'!$AP$2:$AP$1501,$AH92)="NOT MATCH","NOT MATCH","FULL MATCH"))</f>
        <v/>
      </c>
      <c r="D92">
        <f>IF($AH92="","",INDEX('Per Line'!$A$2:$A$1501,$AH92)&amp;"")</f>
        <v/>
      </c>
      <c r="E92">
        <f>IF($AH92="","",INDEX('Per Line'!$B$2:$B$1501,$AH92))</f>
        <v/>
      </c>
      <c r="F92">
        <f>IF($AH92="","",INDEX('Per Line'!$C$2:$C$1501,$AH92)&amp;"")</f>
        <v/>
      </c>
      <c r="G92">
        <f>IF($AH92="","",INDEX('Per Line'!$D$2:$D$1501,$AH92)&amp;"")</f>
        <v/>
      </c>
      <c r="H92">
        <f>IF($AH92="","",INDEX('Per Line'!$F$2:$F$1501,$AH92)&amp;"")</f>
        <v/>
      </c>
      <c r="I92" s="14">
        <f>IF($AH92="","",INDEX('Per Line'!$G$2:$G$1501,$AH92))</f>
        <v/>
      </c>
      <c r="J92">
        <f>IF($AH92="","",INDEX('Per Line'!$H$2:$H$1501,$AH92)&amp;"")</f>
        <v/>
      </c>
      <c r="K92">
        <f>IF($AH92="","",INDEX('Per Line'!$J$2:$J$1501,$AH92)&amp;"")</f>
        <v/>
      </c>
      <c r="L92">
        <f>IF($AH92="","",INDEX('Per Line'!$K$2:$K$1501,$AH92)&amp;"")</f>
        <v/>
      </c>
      <c r="M92">
        <f>IF($AH92="","",INDEX('Per Line'!$L$2:$L$1501,$AH92)&amp;"")</f>
        <v/>
      </c>
      <c r="N92">
        <f>IF($AH92="","",INDEX('Per Line'!$M$2:$M$1501,$AH92)&amp;"")</f>
        <v/>
      </c>
      <c r="O92">
        <f>IF($AH92="","",INDEX('Per Line'!$P$2:$P$1501,$AH92))</f>
        <v/>
      </c>
      <c r="P92" s="7">
        <f>IF($AH92="","",O92*AD92/100)</f>
        <v/>
      </c>
      <c r="Q92">
        <f>IF($AH92="","",INDEX('Per Line'!$R$2:$R$1501,$AH92)&amp;"")</f>
        <v/>
      </c>
      <c r="R92">
        <f>IF($AH92="","",INDEX('Per Line'!$AB$2:$AB$1501,$AH92)&amp;"")</f>
        <v/>
      </c>
      <c r="S92">
        <f>IF($AH92="","",Settings!$C$8)</f>
        <v/>
      </c>
      <c r="T92" s="7">
        <f>IF($AH92="","",SUMIFS('Per Line'!$Z$2:$Z$1501,'Per Line'!$E$2:$E$1501,$B92,'Per Line'!$AT$2:$AT$1501,1))</f>
        <v/>
      </c>
      <c r="U92" s="7">
        <f>IF($AH92="","",T92*S92)</f>
        <v/>
      </c>
      <c r="V92">
        <f>IF($AH92="","",Settings!$C$7)</f>
        <v/>
      </c>
      <c r="W92" s="7">
        <f>IF($AH92="","",SUMIFS('Per Line'!$Z$2:$Z$1501,'Per Line'!$E$2:$E$1501,$B92,'Per Line'!$AS$2:$AS$1501,0,'Per Line'!$AT$2:$AT$1501,0))</f>
        <v/>
      </c>
      <c r="X92" s="7">
        <f>IF($AH92="","",W92*V92)</f>
        <v/>
      </c>
      <c r="Y92">
        <f>IF($AH92="","",Settings!$C$6)</f>
        <v/>
      </c>
      <c r="Z92" s="7">
        <f>IF($AH92="","",SUMIFS('Per Line'!$Z$2:$Z$1501,'Per Line'!$E$2:$E$1501,$B92,'Per Line'!$AS$2:$AS$1501,1,'Per Line'!$AT$2:$AT$1501,0))</f>
        <v/>
      </c>
      <c r="AA92" s="7">
        <f>IF($AH92="","",Z92*Y92)</f>
        <v/>
      </c>
      <c r="AB92" s="7">
        <f>IF($AH92="","",AA92+X92+U92)</f>
        <v/>
      </c>
      <c r="AC92" s="7">
        <f>IF($AH92="","",AD92-AB92)</f>
        <v/>
      </c>
      <c r="AD92" s="7">
        <f>IF($AH92="","",W92+Z92+T92)</f>
        <v/>
      </c>
      <c r="AE92" s="7">
        <f>IF($AH92="","",AD92-AB92-P92)</f>
        <v/>
      </c>
      <c r="AF92" s="15" t="n"/>
      <c r="AG92" s="7">
        <f>IF($AH92="","",AE92-N(AF92))</f>
        <v/>
      </c>
      <c r="AH92" s="16">
        <f>IF(ROWS($AH$2:$AH92)&lt;=MAX('Per Line'!$AR$2:$AR$1501),MATCH(ROWS($AH$2:$AH92),'Per Line'!$AR$2:$AR$1501,0),"")</f>
        <v/>
      </c>
      <c r="AI92">
        <f>IF($AH92="","",C92&amp;"|"&amp;COUNTIF($C$2:$C92,C92))</f>
        <v/>
      </c>
    </row>
    <row r="93">
      <c r="A93" s="15" t="n"/>
      <c r="B93">
        <f>IF($AH93="","",INDEX('Per Line'!$E$2:$E$1501,$AH93)&amp;"")</f>
        <v/>
      </c>
      <c r="C93">
        <f>IF($AH93="","",IF(INDEX('Per Line'!$AP$2:$AP$1501,$AH93)="NOT MATCH","NOT MATCH","FULL MATCH"))</f>
        <v/>
      </c>
      <c r="D93">
        <f>IF($AH93="","",INDEX('Per Line'!$A$2:$A$1501,$AH93)&amp;"")</f>
        <v/>
      </c>
      <c r="E93">
        <f>IF($AH93="","",INDEX('Per Line'!$B$2:$B$1501,$AH93))</f>
        <v/>
      </c>
      <c r="F93">
        <f>IF($AH93="","",INDEX('Per Line'!$C$2:$C$1501,$AH93)&amp;"")</f>
        <v/>
      </c>
      <c r="G93">
        <f>IF($AH93="","",INDEX('Per Line'!$D$2:$D$1501,$AH93)&amp;"")</f>
        <v/>
      </c>
      <c r="H93">
        <f>IF($AH93="","",INDEX('Per Line'!$F$2:$F$1501,$AH93)&amp;"")</f>
        <v/>
      </c>
      <c r="I93" s="14">
        <f>IF($AH93="","",INDEX('Per Line'!$G$2:$G$1501,$AH93))</f>
        <v/>
      </c>
      <c r="J93">
        <f>IF($AH93="","",INDEX('Per Line'!$H$2:$H$1501,$AH93)&amp;"")</f>
        <v/>
      </c>
      <c r="K93">
        <f>IF($AH93="","",INDEX('Per Line'!$J$2:$J$1501,$AH93)&amp;"")</f>
        <v/>
      </c>
      <c r="L93">
        <f>IF($AH93="","",INDEX('Per Line'!$K$2:$K$1501,$AH93)&amp;"")</f>
        <v/>
      </c>
      <c r="M93">
        <f>IF($AH93="","",INDEX('Per Line'!$L$2:$L$1501,$AH93)&amp;"")</f>
        <v/>
      </c>
      <c r="N93">
        <f>IF($AH93="","",INDEX('Per Line'!$M$2:$M$1501,$AH93)&amp;"")</f>
        <v/>
      </c>
      <c r="O93">
        <f>IF($AH93="","",INDEX('Per Line'!$P$2:$P$1501,$AH93))</f>
        <v/>
      </c>
      <c r="P93" s="7">
        <f>IF($AH93="","",O93*AD93/100)</f>
        <v/>
      </c>
      <c r="Q93">
        <f>IF($AH93="","",INDEX('Per Line'!$R$2:$R$1501,$AH93)&amp;"")</f>
        <v/>
      </c>
      <c r="R93">
        <f>IF($AH93="","",INDEX('Per Line'!$AB$2:$AB$1501,$AH93)&amp;"")</f>
        <v/>
      </c>
      <c r="S93">
        <f>IF($AH93="","",Settings!$C$8)</f>
        <v/>
      </c>
      <c r="T93" s="7">
        <f>IF($AH93="","",SUMIFS('Per Line'!$Z$2:$Z$1501,'Per Line'!$E$2:$E$1501,$B93,'Per Line'!$AT$2:$AT$1501,1))</f>
        <v/>
      </c>
      <c r="U93" s="7">
        <f>IF($AH93="","",T93*S93)</f>
        <v/>
      </c>
      <c r="V93">
        <f>IF($AH93="","",Settings!$C$7)</f>
        <v/>
      </c>
      <c r="W93" s="7">
        <f>IF($AH93="","",SUMIFS('Per Line'!$Z$2:$Z$1501,'Per Line'!$E$2:$E$1501,$B93,'Per Line'!$AS$2:$AS$1501,0,'Per Line'!$AT$2:$AT$1501,0))</f>
        <v/>
      </c>
      <c r="X93" s="7">
        <f>IF($AH93="","",W93*V93)</f>
        <v/>
      </c>
      <c r="Y93">
        <f>IF($AH93="","",Settings!$C$6)</f>
        <v/>
      </c>
      <c r="Z93" s="7">
        <f>IF($AH93="","",SUMIFS('Per Line'!$Z$2:$Z$1501,'Per Line'!$E$2:$E$1501,$B93,'Per Line'!$AS$2:$AS$1501,1,'Per Line'!$AT$2:$AT$1501,0))</f>
        <v/>
      </c>
      <c r="AA93" s="7">
        <f>IF($AH93="","",Z93*Y93)</f>
        <v/>
      </c>
      <c r="AB93" s="7">
        <f>IF($AH93="","",AA93+X93+U93)</f>
        <v/>
      </c>
      <c r="AC93" s="7">
        <f>IF($AH93="","",AD93-AB93)</f>
        <v/>
      </c>
      <c r="AD93" s="7">
        <f>IF($AH93="","",W93+Z93+T93)</f>
        <v/>
      </c>
      <c r="AE93" s="7">
        <f>IF($AH93="","",AD93-AB93-P93)</f>
        <v/>
      </c>
      <c r="AF93" s="15" t="n"/>
      <c r="AG93" s="7">
        <f>IF($AH93="","",AE93-N(AF93))</f>
        <v/>
      </c>
      <c r="AH93" s="16">
        <f>IF(ROWS($AH$2:$AH93)&lt;=MAX('Per Line'!$AR$2:$AR$1501),MATCH(ROWS($AH$2:$AH93),'Per Line'!$AR$2:$AR$1501,0),"")</f>
        <v/>
      </c>
      <c r="AI93">
        <f>IF($AH93="","",C93&amp;"|"&amp;COUNTIF($C$2:$C93,C93))</f>
        <v/>
      </c>
    </row>
    <row r="94">
      <c r="A94" s="15" t="n"/>
      <c r="B94">
        <f>IF($AH94="","",INDEX('Per Line'!$E$2:$E$1501,$AH94)&amp;"")</f>
        <v/>
      </c>
      <c r="C94">
        <f>IF($AH94="","",IF(INDEX('Per Line'!$AP$2:$AP$1501,$AH94)="NOT MATCH","NOT MATCH","FULL MATCH"))</f>
        <v/>
      </c>
      <c r="D94">
        <f>IF($AH94="","",INDEX('Per Line'!$A$2:$A$1501,$AH94)&amp;"")</f>
        <v/>
      </c>
      <c r="E94">
        <f>IF($AH94="","",INDEX('Per Line'!$B$2:$B$1501,$AH94))</f>
        <v/>
      </c>
      <c r="F94">
        <f>IF($AH94="","",INDEX('Per Line'!$C$2:$C$1501,$AH94)&amp;"")</f>
        <v/>
      </c>
      <c r="G94">
        <f>IF($AH94="","",INDEX('Per Line'!$D$2:$D$1501,$AH94)&amp;"")</f>
        <v/>
      </c>
      <c r="H94">
        <f>IF($AH94="","",INDEX('Per Line'!$F$2:$F$1501,$AH94)&amp;"")</f>
        <v/>
      </c>
      <c r="I94" s="14">
        <f>IF($AH94="","",INDEX('Per Line'!$G$2:$G$1501,$AH94))</f>
        <v/>
      </c>
      <c r="J94">
        <f>IF($AH94="","",INDEX('Per Line'!$H$2:$H$1501,$AH94)&amp;"")</f>
        <v/>
      </c>
      <c r="K94">
        <f>IF($AH94="","",INDEX('Per Line'!$J$2:$J$1501,$AH94)&amp;"")</f>
        <v/>
      </c>
      <c r="L94">
        <f>IF($AH94="","",INDEX('Per Line'!$K$2:$K$1501,$AH94)&amp;"")</f>
        <v/>
      </c>
      <c r="M94">
        <f>IF($AH94="","",INDEX('Per Line'!$L$2:$L$1501,$AH94)&amp;"")</f>
        <v/>
      </c>
      <c r="N94">
        <f>IF($AH94="","",INDEX('Per Line'!$M$2:$M$1501,$AH94)&amp;"")</f>
        <v/>
      </c>
      <c r="O94">
        <f>IF($AH94="","",INDEX('Per Line'!$P$2:$P$1501,$AH94))</f>
        <v/>
      </c>
      <c r="P94" s="7">
        <f>IF($AH94="","",O94*AD94/100)</f>
        <v/>
      </c>
      <c r="Q94">
        <f>IF($AH94="","",INDEX('Per Line'!$R$2:$R$1501,$AH94)&amp;"")</f>
        <v/>
      </c>
      <c r="R94">
        <f>IF($AH94="","",INDEX('Per Line'!$AB$2:$AB$1501,$AH94)&amp;"")</f>
        <v/>
      </c>
      <c r="S94">
        <f>IF($AH94="","",Settings!$C$8)</f>
        <v/>
      </c>
      <c r="T94" s="7">
        <f>IF($AH94="","",SUMIFS('Per Line'!$Z$2:$Z$1501,'Per Line'!$E$2:$E$1501,$B94,'Per Line'!$AT$2:$AT$1501,1))</f>
        <v/>
      </c>
      <c r="U94" s="7">
        <f>IF($AH94="","",T94*S94)</f>
        <v/>
      </c>
      <c r="V94">
        <f>IF($AH94="","",Settings!$C$7)</f>
        <v/>
      </c>
      <c r="W94" s="7">
        <f>IF($AH94="","",SUMIFS('Per Line'!$Z$2:$Z$1501,'Per Line'!$E$2:$E$1501,$B94,'Per Line'!$AS$2:$AS$1501,0,'Per Line'!$AT$2:$AT$1501,0))</f>
        <v/>
      </c>
      <c r="X94" s="7">
        <f>IF($AH94="","",W94*V94)</f>
        <v/>
      </c>
      <c r="Y94">
        <f>IF($AH94="","",Settings!$C$6)</f>
        <v/>
      </c>
      <c r="Z94" s="7">
        <f>IF($AH94="","",SUMIFS('Per Line'!$Z$2:$Z$1501,'Per Line'!$E$2:$E$1501,$B94,'Per Line'!$AS$2:$AS$1501,1,'Per Line'!$AT$2:$AT$1501,0))</f>
        <v/>
      </c>
      <c r="AA94" s="7">
        <f>IF($AH94="","",Z94*Y94)</f>
        <v/>
      </c>
      <c r="AB94" s="7">
        <f>IF($AH94="","",AA94+X94+U94)</f>
        <v/>
      </c>
      <c r="AC94" s="7">
        <f>IF($AH94="","",AD94-AB94)</f>
        <v/>
      </c>
      <c r="AD94" s="7">
        <f>IF($AH94="","",W94+Z94+T94)</f>
        <v/>
      </c>
      <c r="AE94" s="7">
        <f>IF($AH94="","",AD94-AB94-P94)</f>
        <v/>
      </c>
      <c r="AF94" s="15" t="n"/>
      <c r="AG94" s="7">
        <f>IF($AH94="","",AE94-N(AF94))</f>
        <v/>
      </c>
      <c r="AH94" s="16">
        <f>IF(ROWS($AH$2:$AH94)&lt;=MAX('Per Line'!$AR$2:$AR$1501),MATCH(ROWS($AH$2:$AH94),'Per Line'!$AR$2:$AR$1501,0),"")</f>
        <v/>
      </c>
      <c r="AI94">
        <f>IF($AH94="","",C94&amp;"|"&amp;COUNTIF($C$2:$C94,C94))</f>
        <v/>
      </c>
    </row>
    <row r="95">
      <c r="A95" s="15" t="n"/>
      <c r="B95">
        <f>IF($AH95="","",INDEX('Per Line'!$E$2:$E$1501,$AH95)&amp;"")</f>
        <v/>
      </c>
      <c r="C95">
        <f>IF($AH95="","",IF(INDEX('Per Line'!$AP$2:$AP$1501,$AH95)="NOT MATCH","NOT MATCH","FULL MATCH"))</f>
        <v/>
      </c>
      <c r="D95">
        <f>IF($AH95="","",INDEX('Per Line'!$A$2:$A$1501,$AH95)&amp;"")</f>
        <v/>
      </c>
      <c r="E95">
        <f>IF($AH95="","",INDEX('Per Line'!$B$2:$B$1501,$AH95))</f>
        <v/>
      </c>
      <c r="F95">
        <f>IF($AH95="","",INDEX('Per Line'!$C$2:$C$1501,$AH95)&amp;"")</f>
        <v/>
      </c>
      <c r="G95">
        <f>IF($AH95="","",INDEX('Per Line'!$D$2:$D$1501,$AH95)&amp;"")</f>
        <v/>
      </c>
      <c r="H95">
        <f>IF($AH95="","",INDEX('Per Line'!$F$2:$F$1501,$AH95)&amp;"")</f>
        <v/>
      </c>
      <c r="I95" s="14">
        <f>IF($AH95="","",INDEX('Per Line'!$G$2:$G$1501,$AH95))</f>
        <v/>
      </c>
      <c r="J95">
        <f>IF($AH95="","",INDEX('Per Line'!$H$2:$H$1501,$AH95)&amp;"")</f>
        <v/>
      </c>
      <c r="K95">
        <f>IF($AH95="","",INDEX('Per Line'!$J$2:$J$1501,$AH95)&amp;"")</f>
        <v/>
      </c>
      <c r="L95">
        <f>IF($AH95="","",INDEX('Per Line'!$K$2:$K$1501,$AH95)&amp;"")</f>
        <v/>
      </c>
      <c r="M95">
        <f>IF($AH95="","",INDEX('Per Line'!$L$2:$L$1501,$AH95)&amp;"")</f>
        <v/>
      </c>
      <c r="N95">
        <f>IF($AH95="","",INDEX('Per Line'!$M$2:$M$1501,$AH95)&amp;"")</f>
        <v/>
      </c>
      <c r="O95">
        <f>IF($AH95="","",INDEX('Per Line'!$P$2:$P$1501,$AH95))</f>
        <v/>
      </c>
      <c r="P95" s="7">
        <f>IF($AH95="","",O95*AD95/100)</f>
        <v/>
      </c>
      <c r="Q95">
        <f>IF($AH95="","",INDEX('Per Line'!$R$2:$R$1501,$AH95)&amp;"")</f>
        <v/>
      </c>
      <c r="R95">
        <f>IF($AH95="","",INDEX('Per Line'!$AB$2:$AB$1501,$AH95)&amp;"")</f>
        <v/>
      </c>
      <c r="S95">
        <f>IF($AH95="","",Settings!$C$8)</f>
        <v/>
      </c>
      <c r="T95" s="7">
        <f>IF($AH95="","",SUMIFS('Per Line'!$Z$2:$Z$1501,'Per Line'!$E$2:$E$1501,$B95,'Per Line'!$AT$2:$AT$1501,1))</f>
        <v/>
      </c>
      <c r="U95" s="7">
        <f>IF($AH95="","",T95*S95)</f>
        <v/>
      </c>
      <c r="V95">
        <f>IF($AH95="","",Settings!$C$7)</f>
        <v/>
      </c>
      <c r="W95" s="7">
        <f>IF($AH95="","",SUMIFS('Per Line'!$Z$2:$Z$1501,'Per Line'!$E$2:$E$1501,$B95,'Per Line'!$AS$2:$AS$1501,0,'Per Line'!$AT$2:$AT$1501,0))</f>
        <v/>
      </c>
      <c r="X95" s="7">
        <f>IF($AH95="","",W95*V95)</f>
        <v/>
      </c>
      <c r="Y95">
        <f>IF($AH95="","",Settings!$C$6)</f>
        <v/>
      </c>
      <c r="Z95" s="7">
        <f>IF($AH95="","",SUMIFS('Per Line'!$Z$2:$Z$1501,'Per Line'!$E$2:$E$1501,$B95,'Per Line'!$AS$2:$AS$1501,1,'Per Line'!$AT$2:$AT$1501,0))</f>
        <v/>
      </c>
      <c r="AA95" s="7">
        <f>IF($AH95="","",Z95*Y95)</f>
        <v/>
      </c>
      <c r="AB95" s="7">
        <f>IF($AH95="","",AA95+X95+U95)</f>
        <v/>
      </c>
      <c r="AC95" s="7">
        <f>IF($AH95="","",AD95-AB95)</f>
        <v/>
      </c>
      <c r="AD95" s="7">
        <f>IF($AH95="","",W95+Z95+T95)</f>
        <v/>
      </c>
      <c r="AE95" s="7">
        <f>IF($AH95="","",AD95-AB95-P95)</f>
        <v/>
      </c>
      <c r="AF95" s="15" t="n"/>
      <c r="AG95" s="7">
        <f>IF($AH95="","",AE95-N(AF95))</f>
        <v/>
      </c>
      <c r="AH95" s="16">
        <f>IF(ROWS($AH$2:$AH95)&lt;=MAX('Per Line'!$AR$2:$AR$1501),MATCH(ROWS($AH$2:$AH95),'Per Line'!$AR$2:$AR$1501,0),"")</f>
        <v/>
      </c>
      <c r="AI95">
        <f>IF($AH95="","",C95&amp;"|"&amp;COUNTIF($C$2:$C95,C95))</f>
        <v/>
      </c>
    </row>
    <row r="96">
      <c r="A96" s="15" t="n"/>
      <c r="B96">
        <f>IF($AH96="","",INDEX('Per Line'!$E$2:$E$1501,$AH96)&amp;"")</f>
        <v/>
      </c>
      <c r="C96">
        <f>IF($AH96="","",IF(INDEX('Per Line'!$AP$2:$AP$1501,$AH96)="NOT MATCH","NOT MATCH","FULL MATCH"))</f>
        <v/>
      </c>
      <c r="D96">
        <f>IF($AH96="","",INDEX('Per Line'!$A$2:$A$1501,$AH96)&amp;"")</f>
        <v/>
      </c>
      <c r="E96">
        <f>IF($AH96="","",INDEX('Per Line'!$B$2:$B$1501,$AH96))</f>
        <v/>
      </c>
      <c r="F96">
        <f>IF($AH96="","",INDEX('Per Line'!$C$2:$C$1501,$AH96)&amp;"")</f>
        <v/>
      </c>
      <c r="G96">
        <f>IF($AH96="","",INDEX('Per Line'!$D$2:$D$1501,$AH96)&amp;"")</f>
        <v/>
      </c>
      <c r="H96">
        <f>IF($AH96="","",INDEX('Per Line'!$F$2:$F$1501,$AH96)&amp;"")</f>
        <v/>
      </c>
      <c r="I96" s="14">
        <f>IF($AH96="","",INDEX('Per Line'!$G$2:$G$1501,$AH96))</f>
        <v/>
      </c>
      <c r="J96">
        <f>IF($AH96="","",INDEX('Per Line'!$H$2:$H$1501,$AH96)&amp;"")</f>
        <v/>
      </c>
      <c r="K96">
        <f>IF($AH96="","",INDEX('Per Line'!$J$2:$J$1501,$AH96)&amp;"")</f>
        <v/>
      </c>
      <c r="L96">
        <f>IF($AH96="","",INDEX('Per Line'!$K$2:$K$1501,$AH96)&amp;"")</f>
        <v/>
      </c>
      <c r="M96">
        <f>IF($AH96="","",INDEX('Per Line'!$L$2:$L$1501,$AH96)&amp;"")</f>
        <v/>
      </c>
      <c r="N96">
        <f>IF($AH96="","",INDEX('Per Line'!$M$2:$M$1501,$AH96)&amp;"")</f>
        <v/>
      </c>
      <c r="O96">
        <f>IF($AH96="","",INDEX('Per Line'!$P$2:$P$1501,$AH96))</f>
        <v/>
      </c>
      <c r="P96" s="7">
        <f>IF($AH96="","",O96*AD96/100)</f>
        <v/>
      </c>
      <c r="Q96">
        <f>IF($AH96="","",INDEX('Per Line'!$R$2:$R$1501,$AH96)&amp;"")</f>
        <v/>
      </c>
      <c r="R96">
        <f>IF($AH96="","",INDEX('Per Line'!$AB$2:$AB$1501,$AH96)&amp;"")</f>
        <v/>
      </c>
      <c r="S96">
        <f>IF($AH96="","",Settings!$C$8)</f>
        <v/>
      </c>
      <c r="T96" s="7">
        <f>IF($AH96="","",SUMIFS('Per Line'!$Z$2:$Z$1501,'Per Line'!$E$2:$E$1501,$B96,'Per Line'!$AT$2:$AT$1501,1))</f>
        <v/>
      </c>
      <c r="U96" s="7">
        <f>IF($AH96="","",T96*S96)</f>
        <v/>
      </c>
      <c r="V96">
        <f>IF($AH96="","",Settings!$C$7)</f>
        <v/>
      </c>
      <c r="W96" s="7">
        <f>IF($AH96="","",SUMIFS('Per Line'!$Z$2:$Z$1501,'Per Line'!$E$2:$E$1501,$B96,'Per Line'!$AS$2:$AS$1501,0,'Per Line'!$AT$2:$AT$1501,0))</f>
        <v/>
      </c>
      <c r="X96" s="7">
        <f>IF($AH96="","",W96*V96)</f>
        <v/>
      </c>
      <c r="Y96">
        <f>IF($AH96="","",Settings!$C$6)</f>
        <v/>
      </c>
      <c r="Z96" s="7">
        <f>IF($AH96="","",SUMIFS('Per Line'!$Z$2:$Z$1501,'Per Line'!$E$2:$E$1501,$B96,'Per Line'!$AS$2:$AS$1501,1,'Per Line'!$AT$2:$AT$1501,0))</f>
        <v/>
      </c>
      <c r="AA96" s="7">
        <f>IF($AH96="","",Z96*Y96)</f>
        <v/>
      </c>
      <c r="AB96" s="7">
        <f>IF($AH96="","",AA96+X96+U96)</f>
        <v/>
      </c>
      <c r="AC96" s="7">
        <f>IF($AH96="","",AD96-AB96)</f>
        <v/>
      </c>
      <c r="AD96" s="7">
        <f>IF($AH96="","",W96+Z96+T96)</f>
        <v/>
      </c>
      <c r="AE96" s="7">
        <f>IF($AH96="","",AD96-AB96-P96)</f>
        <v/>
      </c>
      <c r="AF96" s="15" t="n"/>
      <c r="AG96" s="7">
        <f>IF($AH96="","",AE96-N(AF96))</f>
        <v/>
      </c>
      <c r="AH96" s="16">
        <f>IF(ROWS($AH$2:$AH96)&lt;=MAX('Per Line'!$AR$2:$AR$1501),MATCH(ROWS($AH$2:$AH96),'Per Line'!$AR$2:$AR$1501,0),"")</f>
        <v/>
      </c>
      <c r="AI96">
        <f>IF($AH96="","",C96&amp;"|"&amp;COUNTIF($C$2:$C96,C96))</f>
        <v/>
      </c>
    </row>
    <row r="97">
      <c r="A97" s="15" t="n"/>
      <c r="B97">
        <f>IF($AH97="","",INDEX('Per Line'!$E$2:$E$1501,$AH97)&amp;"")</f>
        <v/>
      </c>
      <c r="C97">
        <f>IF($AH97="","",IF(INDEX('Per Line'!$AP$2:$AP$1501,$AH97)="NOT MATCH","NOT MATCH","FULL MATCH"))</f>
        <v/>
      </c>
      <c r="D97">
        <f>IF($AH97="","",INDEX('Per Line'!$A$2:$A$1501,$AH97)&amp;"")</f>
        <v/>
      </c>
      <c r="E97">
        <f>IF($AH97="","",INDEX('Per Line'!$B$2:$B$1501,$AH97))</f>
        <v/>
      </c>
      <c r="F97">
        <f>IF($AH97="","",INDEX('Per Line'!$C$2:$C$1501,$AH97)&amp;"")</f>
        <v/>
      </c>
      <c r="G97">
        <f>IF($AH97="","",INDEX('Per Line'!$D$2:$D$1501,$AH97)&amp;"")</f>
        <v/>
      </c>
      <c r="H97">
        <f>IF($AH97="","",INDEX('Per Line'!$F$2:$F$1501,$AH97)&amp;"")</f>
        <v/>
      </c>
      <c r="I97" s="14">
        <f>IF($AH97="","",INDEX('Per Line'!$G$2:$G$1501,$AH97))</f>
        <v/>
      </c>
      <c r="J97">
        <f>IF($AH97="","",INDEX('Per Line'!$H$2:$H$1501,$AH97)&amp;"")</f>
        <v/>
      </c>
      <c r="K97">
        <f>IF($AH97="","",INDEX('Per Line'!$J$2:$J$1501,$AH97)&amp;"")</f>
        <v/>
      </c>
      <c r="L97">
        <f>IF($AH97="","",INDEX('Per Line'!$K$2:$K$1501,$AH97)&amp;"")</f>
        <v/>
      </c>
      <c r="M97">
        <f>IF($AH97="","",INDEX('Per Line'!$L$2:$L$1501,$AH97)&amp;"")</f>
        <v/>
      </c>
      <c r="N97">
        <f>IF($AH97="","",INDEX('Per Line'!$M$2:$M$1501,$AH97)&amp;"")</f>
        <v/>
      </c>
      <c r="O97">
        <f>IF($AH97="","",INDEX('Per Line'!$P$2:$P$1501,$AH97))</f>
        <v/>
      </c>
      <c r="P97" s="7">
        <f>IF($AH97="","",O97*AD97/100)</f>
        <v/>
      </c>
      <c r="Q97">
        <f>IF($AH97="","",INDEX('Per Line'!$R$2:$R$1501,$AH97)&amp;"")</f>
        <v/>
      </c>
      <c r="R97">
        <f>IF($AH97="","",INDEX('Per Line'!$AB$2:$AB$1501,$AH97)&amp;"")</f>
        <v/>
      </c>
      <c r="S97">
        <f>IF($AH97="","",Settings!$C$8)</f>
        <v/>
      </c>
      <c r="T97" s="7">
        <f>IF($AH97="","",SUMIFS('Per Line'!$Z$2:$Z$1501,'Per Line'!$E$2:$E$1501,$B97,'Per Line'!$AT$2:$AT$1501,1))</f>
        <v/>
      </c>
      <c r="U97" s="7">
        <f>IF($AH97="","",T97*S97)</f>
        <v/>
      </c>
      <c r="V97">
        <f>IF($AH97="","",Settings!$C$7)</f>
        <v/>
      </c>
      <c r="W97" s="7">
        <f>IF($AH97="","",SUMIFS('Per Line'!$Z$2:$Z$1501,'Per Line'!$E$2:$E$1501,$B97,'Per Line'!$AS$2:$AS$1501,0,'Per Line'!$AT$2:$AT$1501,0))</f>
        <v/>
      </c>
      <c r="X97" s="7">
        <f>IF($AH97="","",W97*V97)</f>
        <v/>
      </c>
      <c r="Y97">
        <f>IF($AH97="","",Settings!$C$6)</f>
        <v/>
      </c>
      <c r="Z97" s="7">
        <f>IF($AH97="","",SUMIFS('Per Line'!$Z$2:$Z$1501,'Per Line'!$E$2:$E$1501,$B97,'Per Line'!$AS$2:$AS$1501,1,'Per Line'!$AT$2:$AT$1501,0))</f>
        <v/>
      </c>
      <c r="AA97" s="7">
        <f>IF($AH97="","",Z97*Y97)</f>
        <v/>
      </c>
      <c r="AB97" s="7">
        <f>IF($AH97="","",AA97+X97+U97)</f>
        <v/>
      </c>
      <c r="AC97" s="7">
        <f>IF($AH97="","",AD97-AB97)</f>
        <v/>
      </c>
      <c r="AD97" s="7">
        <f>IF($AH97="","",W97+Z97+T97)</f>
        <v/>
      </c>
      <c r="AE97" s="7">
        <f>IF($AH97="","",AD97-AB97-P97)</f>
        <v/>
      </c>
      <c r="AF97" s="15" t="n"/>
      <c r="AG97" s="7">
        <f>IF($AH97="","",AE97-N(AF97))</f>
        <v/>
      </c>
      <c r="AH97" s="16">
        <f>IF(ROWS($AH$2:$AH97)&lt;=MAX('Per Line'!$AR$2:$AR$1501),MATCH(ROWS($AH$2:$AH97),'Per Line'!$AR$2:$AR$1501,0),"")</f>
        <v/>
      </c>
      <c r="AI97">
        <f>IF($AH97="","",C97&amp;"|"&amp;COUNTIF($C$2:$C97,C97))</f>
        <v/>
      </c>
    </row>
    <row r="98">
      <c r="A98" s="15" t="n"/>
      <c r="B98">
        <f>IF($AH98="","",INDEX('Per Line'!$E$2:$E$1501,$AH98)&amp;"")</f>
        <v/>
      </c>
      <c r="C98">
        <f>IF($AH98="","",IF(INDEX('Per Line'!$AP$2:$AP$1501,$AH98)="NOT MATCH","NOT MATCH","FULL MATCH"))</f>
        <v/>
      </c>
      <c r="D98">
        <f>IF($AH98="","",INDEX('Per Line'!$A$2:$A$1501,$AH98)&amp;"")</f>
        <v/>
      </c>
      <c r="E98">
        <f>IF($AH98="","",INDEX('Per Line'!$B$2:$B$1501,$AH98))</f>
        <v/>
      </c>
      <c r="F98">
        <f>IF($AH98="","",INDEX('Per Line'!$C$2:$C$1501,$AH98)&amp;"")</f>
        <v/>
      </c>
      <c r="G98">
        <f>IF($AH98="","",INDEX('Per Line'!$D$2:$D$1501,$AH98)&amp;"")</f>
        <v/>
      </c>
      <c r="H98">
        <f>IF($AH98="","",INDEX('Per Line'!$F$2:$F$1501,$AH98)&amp;"")</f>
        <v/>
      </c>
      <c r="I98" s="14">
        <f>IF($AH98="","",INDEX('Per Line'!$G$2:$G$1501,$AH98))</f>
        <v/>
      </c>
      <c r="J98">
        <f>IF($AH98="","",INDEX('Per Line'!$H$2:$H$1501,$AH98)&amp;"")</f>
        <v/>
      </c>
      <c r="K98">
        <f>IF($AH98="","",INDEX('Per Line'!$J$2:$J$1501,$AH98)&amp;"")</f>
        <v/>
      </c>
      <c r="L98">
        <f>IF($AH98="","",INDEX('Per Line'!$K$2:$K$1501,$AH98)&amp;"")</f>
        <v/>
      </c>
      <c r="M98">
        <f>IF($AH98="","",INDEX('Per Line'!$L$2:$L$1501,$AH98)&amp;"")</f>
        <v/>
      </c>
      <c r="N98">
        <f>IF($AH98="","",INDEX('Per Line'!$M$2:$M$1501,$AH98)&amp;"")</f>
        <v/>
      </c>
      <c r="O98">
        <f>IF($AH98="","",INDEX('Per Line'!$P$2:$P$1501,$AH98))</f>
        <v/>
      </c>
      <c r="P98" s="7">
        <f>IF($AH98="","",O98*AD98/100)</f>
        <v/>
      </c>
      <c r="Q98">
        <f>IF($AH98="","",INDEX('Per Line'!$R$2:$R$1501,$AH98)&amp;"")</f>
        <v/>
      </c>
      <c r="R98">
        <f>IF($AH98="","",INDEX('Per Line'!$AB$2:$AB$1501,$AH98)&amp;"")</f>
        <v/>
      </c>
      <c r="S98">
        <f>IF($AH98="","",Settings!$C$8)</f>
        <v/>
      </c>
      <c r="T98" s="7">
        <f>IF($AH98="","",SUMIFS('Per Line'!$Z$2:$Z$1501,'Per Line'!$E$2:$E$1501,$B98,'Per Line'!$AT$2:$AT$1501,1))</f>
        <v/>
      </c>
      <c r="U98" s="7">
        <f>IF($AH98="","",T98*S98)</f>
        <v/>
      </c>
      <c r="V98">
        <f>IF($AH98="","",Settings!$C$7)</f>
        <v/>
      </c>
      <c r="W98" s="7">
        <f>IF($AH98="","",SUMIFS('Per Line'!$Z$2:$Z$1501,'Per Line'!$E$2:$E$1501,$B98,'Per Line'!$AS$2:$AS$1501,0,'Per Line'!$AT$2:$AT$1501,0))</f>
        <v/>
      </c>
      <c r="X98" s="7">
        <f>IF($AH98="","",W98*V98)</f>
        <v/>
      </c>
      <c r="Y98">
        <f>IF($AH98="","",Settings!$C$6)</f>
        <v/>
      </c>
      <c r="Z98" s="7">
        <f>IF($AH98="","",SUMIFS('Per Line'!$Z$2:$Z$1501,'Per Line'!$E$2:$E$1501,$B98,'Per Line'!$AS$2:$AS$1501,1,'Per Line'!$AT$2:$AT$1501,0))</f>
        <v/>
      </c>
      <c r="AA98" s="7">
        <f>IF($AH98="","",Z98*Y98)</f>
        <v/>
      </c>
      <c r="AB98" s="7">
        <f>IF($AH98="","",AA98+X98+U98)</f>
        <v/>
      </c>
      <c r="AC98" s="7">
        <f>IF($AH98="","",AD98-AB98)</f>
        <v/>
      </c>
      <c r="AD98" s="7">
        <f>IF($AH98="","",W98+Z98+T98)</f>
        <v/>
      </c>
      <c r="AE98" s="7">
        <f>IF($AH98="","",AD98-AB98-P98)</f>
        <v/>
      </c>
      <c r="AF98" s="15" t="n"/>
      <c r="AG98" s="7">
        <f>IF($AH98="","",AE98-N(AF98))</f>
        <v/>
      </c>
      <c r="AH98" s="16">
        <f>IF(ROWS($AH$2:$AH98)&lt;=MAX('Per Line'!$AR$2:$AR$1501),MATCH(ROWS($AH$2:$AH98),'Per Line'!$AR$2:$AR$1501,0),"")</f>
        <v/>
      </c>
      <c r="AI98">
        <f>IF($AH98="","",C98&amp;"|"&amp;COUNTIF($C$2:$C98,C98))</f>
        <v/>
      </c>
    </row>
    <row r="99">
      <c r="A99" s="15" t="n"/>
      <c r="B99">
        <f>IF($AH99="","",INDEX('Per Line'!$E$2:$E$1501,$AH99)&amp;"")</f>
        <v/>
      </c>
      <c r="C99">
        <f>IF($AH99="","",IF(INDEX('Per Line'!$AP$2:$AP$1501,$AH99)="NOT MATCH","NOT MATCH","FULL MATCH"))</f>
        <v/>
      </c>
      <c r="D99">
        <f>IF($AH99="","",INDEX('Per Line'!$A$2:$A$1501,$AH99)&amp;"")</f>
        <v/>
      </c>
      <c r="E99">
        <f>IF($AH99="","",INDEX('Per Line'!$B$2:$B$1501,$AH99))</f>
        <v/>
      </c>
      <c r="F99">
        <f>IF($AH99="","",INDEX('Per Line'!$C$2:$C$1501,$AH99)&amp;"")</f>
        <v/>
      </c>
      <c r="G99">
        <f>IF($AH99="","",INDEX('Per Line'!$D$2:$D$1501,$AH99)&amp;"")</f>
        <v/>
      </c>
      <c r="H99">
        <f>IF($AH99="","",INDEX('Per Line'!$F$2:$F$1501,$AH99)&amp;"")</f>
        <v/>
      </c>
      <c r="I99" s="14">
        <f>IF($AH99="","",INDEX('Per Line'!$G$2:$G$1501,$AH99))</f>
        <v/>
      </c>
      <c r="J99">
        <f>IF($AH99="","",INDEX('Per Line'!$H$2:$H$1501,$AH99)&amp;"")</f>
        <v/>
      </c>
      <c r="K99">
        <f>IF($AH99="","",INDEX('Per Line'!$J$2:$J$1501,$AH99)&amp;"")</f>
        <v/>
      </c>
      <c r="L99">
        <f>IF($AH99="","",INDEX('Per Line'!$K$2:$K$1501,$AH99)&amp;"")</f>
        <v/>
      </c>
      <c r="M99">
        <f>IF($AH99="","",INDEX('Per Line'!$L$2:$L$1501,$AH99)&amp;"")</f>
        <v/>
      </c>
      <c r="N99">
        <f>IF($AH99="","",INDEX('Per Line'!$M$2:$M$1501,$AH99)&amp;"")</f>
        <v/>
      </c>
      <c r="O99">
        <f>IF($AH99="","",INDEX('Per Line'!$P$2:$P$1501,$AH99))</f>
        <v/>
      </c>
      <c r="P99" s="7">
        <f>IF($AH99="","",O99*AD99/100)</f>
        <v/>
      </c>
      <c r="Q99">
        <f>IF($AH99="","",INDEX('Per Line'!$R$2:$R$1501,$AH99)&amp;"")</f>
        <v/>
      </c>
      <c r="R99">
        <f>IF($AH99="","",INDEX('Per Line'!$AB$2:$AB$1501,$AH99)&amp;"")</f>
        <v/>
      </c>
      <c r="S99">
        <f>IF($AH99="","",Settings!$C$8)</f>
        <v/>
      </c>
      <c r="T99" s="7">
        <f>IF($AH99="","",SUMIFS('Per Line'!$Z$2:$Z$1501,'Per Line'!$E$2:$E$1501,$B99,'Per Line'!$AT$2:$AT$1501,1))</f>
        <v/>
      </c>
      <c r="U99" s="7">
        <f>IF($AH99="","",T99*S99)</f>
        <v/>
      </c>
      <c r="V99">
        <f>IF($AH99="","",Settings!$C$7)</f>
        <v/>
      </c>
      <c r="W99" s="7">
        <f>IF($AH99="","",SUMIFS('Per Line'!$Z$2:$Z$1501,'Per Line'!$E$2:$E$1501,$B99,'Per Line'!$AS$2:$AS$1501,0,'Per Line'!$AT$2:$AT$1501,0))</f>
        <v/>
      </c>
      <c r="X99" s="7">
        <f>IF($AH99="","",W99*V99)</f>
        <v/>
      </c>
      <c r="Y99">
        <f>IF($AH99="","",Settings!$C$6)</f>
        <v/>
      </c>
      <c r="Z99" s="7">
        <f>IF($AH99="","",SUMIFS('Per Line'!$Z$2:$Z$1501,'Per Line'!$E$2:$E$1501,$B99,'Per Line'!$AS$2:$AS$1501,1,'Per Line'!$AT$2:$AT$1501,0))</f>
        <v/>
      </c>
      <c r="AA99" s="7">
        <f>IF($AH99="","",Z99*Y99)</f>
        <v/>
      </c>
      <c r="AB99" s="7">
        <f>IF($AH99="","",AA99+X99+U99)</f>
        <v/>
      </c>
      <c r="AC99" s="7">
        <f>IF($AH99="","",AD99-AB99)</f>
        <v/>
      </c>
      <c r="AD99" s="7">
        <f>IF($AH99="","",W99+Z99+T99)</f>
        <v/>
      </c>
      <c r="AE99" s="7">
        <f>IF($AH99="","",AD99-AB99-P99)</f>
        <v/>
      </c>
      <c r="AF99" s="15" t="n"/>
      <c r="AG99" s="7">
        <f>IF($AH99="","",AE99-N(AF99))</f>
        <v/>
      </c>
      <c r="AH99" s="16">
        <f>IF(ROWS($AH$2:$AH99)&lt;=MAX('Per Line'!$AR$2:$AR$1501),MATCH(ROWS($AH$2:$AH99),'Per Line'!$AR$2:$AR$1501,0),"")</f>
        <v/>
      </c>
      <c r="AI99">
        <f>IF($AH99="","",C99&amp;"|"&amp;COUNTIF($C$2:$C99,C99))</f>
        <v/>
      </c>
    </row>
    <row r="100">
      <c r="A100" s="15" t="n"/>
      <c r="B100">
        <f>IF($AH100="","",INDEX('Per Line'!$E$2:$E$1501,$AH100)&amp;"")</f>
        <v/>
      </c>
      <c r="C100">
        <f>IF($AH100="","",IF(INDEX('Per Line'!$AP$2:$AP$1501,$AH100)="NOT MATCH","NOT MATCH","FULL MATCH"))</f>
        <v/>
      </c>
      <c r="D100">
        <f>IF($AH100="","",INDEX('Per Line'!$A$2:$A$1501,$AH100)&amp;"")</f>
        <v/>
      </c>
      <c r="E100">
        <f>IF($AH100="","",INDEX('Per Line'!$B$2:$B$1501,$AH100))</f>
        <v/>
      </c>
      <c r="F100">
        <f>IF($AH100="","",INDEX('Per Line'!$C$2:$C$1501,$AH100)&amp;"")</f>
        <v/>
      </c>
      <c r="G100">
        <f>IF($AH100="","",INDEX('Per Line'!$D$2:$D$1501,$AH100)&amp;"")</f>
        <v/>
      </c>
      <c r="H100">
        <f>IF($AH100="","",INDEX('Per Line'!$F$2:$F$1501,$AH100)&amp;"")</f>
        <v/>
      </c>
      <c r="I100" s="14">
        <f>IF($AH100="","",INDEX('Per Line'!$G$2:$G$1501,$AH100))</f>
        <v/>
      </c>
      <c r="J100">
        <f>IF($AH100="","",INDEX('Per Line'!$H$2:$H$1501,$AH100)&amp;"")</f>
        <v/>
      </c>
      <c r="K100">
        <f>IF($AH100="","",INDEX('Per Line'!$J$2:$J$1501,$AH100)&amp;"")</f>
        <v/>
      </c>
      <c r="L100">
        <f>IF($AH100="","",INDEX('Per Line'!$K$2:$K$1501,$AH100)&amp;"")</f>
        <v/>
      </c>
      <c r="M100">
        <f>IF($AH100="","",INDEX('Per Line'!$L$2:$L$1501,$AH100)&amp;"")</f>
        <v/>
      </c>
      <c r="N100">
        <f>IF($AH100="","",INDEX('Per Line'!$M$2:$M$1501,$AH100)&amp;"")</f>
        <v/>
      </c>
      <c r="O100">
        <f>IF($AH100="","",INDEX('Per Line'!$P$2:$P$1501,$AH100))</f>
        <v/>
      </c>
      <c r="P100" s="7">
        <f>IF($AH100="","",O100*AD100/100)</f>
        <v/>
      </c>
      <c r="Q100">
        <f>IF($AH100="","",INDEX('Per Line'!$R$2:$R$1501,$AH100)&amp;"")</f>
        <v/>
      </c>
      <c r="R100">
        <f>IF($AH100="","",INDEX('Per Line'!$AB$2:$AB$1501,$AH100)&amp;"")</f>
        <v/>
      </c>
      <c r="S100">
        <f>IF($AH100="","",Settings!$C$8)</f>
        <v/>
      </c>
      <c r="T100" s="7">
        <f>IF($AH100="","",SUMIFS('Per Line'!$Z$2:$Z$1501,'Per Line'!$E$2:$E$1501,$B100,'Per Line'!$AT$2:$AT$1501,1))</f>
        <v/>
      </c>
      <c r="U100" s="7">
        <f>IF($AH100="","",T100*S100)</f>
        <v/>
      </c>
      <c r="V100">
        <f>IF($AH100="","",Settings!$C$7)</f>
        <v/>
      </c>
      <c r="W100" s="7">
        <f>IF($AH100="","",SUMIFS('Per Line'!$Z$2:$Z$1501,'Per Line'!$E$2:$E$1501,$B100,'Per Line'!$AS$2:$AS$1501,0,'Per Line'!$AT$2:$AT$1501,0))</f>
        <v/>
      </c>
      <c r="X100" s="7">
        <f>IF($AH100="","",W100*V100)</f>
        <v/>
      </c>
      <c r="Y100">
        <f>IF($AH100="","",Settings!$C$6)</f>
        <v/>
      </c>
      <c r="Z100" s="7">
        <f>IF($AH100="","",SUMIFS('Per Line'!$Z$2:$Z$1501,'Per Line'!$E$2:$E$1501,$B100,'Per Line'!$AS$2:$AS$1501,1,'Per Line'!$AT$2:$AT$1501,0))</f>
        <v/>
      </c>
      <c r="AA100" s="7">
        <f>IF($AH100="","",Z100*Y100)</f>
        <v/>
      </c>
      <c r="AB100" s="7">
        <f>IF($AH100="","",AA100+X100+U100)</f>
        <v/>
      </c>
      <c r="AC100" s="7">
        <f>IF($AH100="","",AD100-AB100)</f>
        <v/>
      </c>
      <c r="AD100" s="7">
        <f>IF($AH100="","",W100+Z100+T100)</f>
        <v/>
      </c>
      <c r="AE100" s="7">
        <f>IF($AH100="","",AD100-AB100-P100)</f>
        <v/>
      </c>
      <c r="AF100" s="15" t="n"/>
      <c r="AG100" s="7">
        <f>IF($AH100="","",AE100-N(AF100))</f>
        <v/>
      </c>
      <c r="AH100" s="16">
        <f>IF(ROWS($AH$2:$AH100)&lt;=MAX('Per Line'!$AR$2:$AR$1501),MATCH(ROWS($AH$2:$AH100),'Per Line'!$AR$2:$AR$1501,0),"")</f>
        <v/>
      </c>
      <c r="AI100">
        <f>IF($AH100="","",C100&amp;"|"&amp;COUNTIF($C$2:$C100,C100))</f>
        <v/>
      </c>
    </row>
    <row r="101">
      <c r="A101" s="15" t="n"/>
      <c r="B101">
        <f>IF($AH101="","",INDEX('Per Line'!$E$2:$E$1501,$AH101)&amp;"")</f>
        <v/>
      </c>
      <c r="C101">
        <f>IF($AH101="","",IF(INDEX('Per Line'!$AP$2:$AP$1501,$AH101)="NOT MATCH","NOT MATCH","FULL MATCH"))</f>
        <v/>
      </c>
      <c r="D101">
        <f>IF($AH101="","",INDEX('Per Line'!$A$2:$A$1501,$AH101)&amp;"")</f>
        <v/>
      </c>
      <c r="E101">
        <f>IF($AH101="","",INDEX('Per Line'!$B$2:$B$1501,$AH101))</f>
        <v/>
      </c>
      <c r="F101">
        <f>IF($AH101="","",INDEX('Per Line'!$C$2:$C$1501,$AH101)&amp;"")</f>
        <v/>
      </c>
      <c r="G101">
        <f>IF($AH101="","",INDEX('Per Line'!$D$2:$D$1501,$AH101)&amp;"")</f>
        <v/>
      </c>
      <c r="H101">
        <f>IF($AH101="","",INDEX('Per Line'!$F$2:$F$1501,$AH101)&amp;"")</f>
        <v/>
      </c>
      <c r="I101" s="14">
        <f>IF($AH101="","",INDEX('Per Line'!$G$2:$G$1501,$AH101))</f>
        <v/>
      </c>
      <c r="J101">
        <f>IF($AH101="","",INDEX('Per Line'!$H$2:$H$1501,$AH101)&amp;"")</f>
        <v/>
      </c>
      <c r="K101">
        <f>IF($AH101="","",INDEX('Per Line'!$J$2:$J$1501,$AH101)&amp;"")</f>
        <v/>
      </c>
      <c r="L101">
        <f>IF($AH101="","",INDEX('Per Line'!$K$2:$K$1501,$AH101)&amp;"")</f>
        <v/>
      </c>
      <c r="M101">
        <f>IF($AH101="","",INDEX('Per Line'!$L$2:$L$1501,$AH101)&amp;"")</f>
        <v/>
      </c>
      <c r="N101">
        <f>IF($AH101="","",INDEX('Per Line'!$M$2:$M$1501,$AH101)&amp;"")</f>
        <v/>
      </c>
      <c r="O101">
        <f>IF($AH101="","",INDEX('Per Line'!$P$2:$P$1501,$AH101))</f>
        <v/>
      </c>
      <c r="P101" s="7">
        <f>IF($AH101="","",O101*AD101/100)</f>
        <v/>
      </c>
      <c r="Q101">
        <f>IF($AH101="","",INDEX('Per Line'!$R$2:$R$1501,$AH101)&amp;"")</f>
        <v/>
      </c>
      <c r="R101">
        <f>IF($AH101="","",INDEX('Per Line'!$AB$2:$AB$1501,$AH101)&amp;"")</f>
        <v/>
      </c>
      <c r="S101">
        <f>IF($AH101="","",Settings!$C$8)</f>
        <v/>
      </c>
      <c r="T101" s="7">
        <f>IF($AH101="","",SUMIFS('Per Line'!$Z$2:$Z$1501,'Per Line'!$E$2:$E$1501,$B101,'Per Line'!$AT$2:$AT$1501,1))</f>
        <v/>
      </c>
      <c r="U101" s="7">
        <f>IF($AH101="","",T101*S101)</f>
        <v/>
      </c>
      <c r="V101">
        <f>IF($AH101="","",Settings!$C$7)</f>
        <v/>
      </c>
      <c r="W101" s="7">
        <f>IF($AH101="","",SUMIFS('Per Line'!$Z$2:$Z$1501,'Per Line'!$E$2:$E$1501,$B101,'Per Line'!$AS$2:$AS$1501,0,'Per Line'!$AT$2:$AT$1501,0))</f>
        <v/>
      </c>
      <c r="X101" s="7">
        <f>IF($AH101="","",W101*V101)</f>
        <v/>
      </c>
      <c r="Y101">
        <f>IF($AH101="","",Settings!$C$6)</f>
        <v/>
      </c>
      <c r="Z101" s="7">
        <f>IF($AH101="","",SUMIFS('Per Line'!$Z$2:$Z$1501,'Per Line'!$E$2:$E$1501,$B101,'Per Line'!$AS$2:$AS$1501,1,'Per Line'!$AT$2:$AT$1501,0))</f>
        <v/>
      </c>
      <c r="AA101" s="7">
        <f>IF($AH101="","",Z101*Y101)</f>
        <v/>
      </c>
      <c r="AB101" s="7">
        <f>IF($AH101="","",AA101+X101+U101)</f>
        <v/>
      </c>
      <c r="AC101" s="7">
        <f>IF($AH101="","",AD101-AB101)</f>
        <v/>
      </c>
      <c r="AD101" s="7">
        <f>IF($AH101="","",W101+Z101+T101)</f>
        <v/>
      </c>
      <c r="AE101" s="7">
        <f>IF($AH101="","",AD101-AB101-P101)</f>
        <v/>
      </c>
      <c r="AF101" s="15" t="n"/>
      <c r="AG101" s="7">
        <f>IF($AH101="","",AE101-N(AF101))</f>
        <v/>
      </c>
      <c r="AH101" s="16">
        <f>IF(ROWS($AH$2:$AH101)&lt;=MAX('Per Line'!$AR$2:$AR$1501),MATCH(ROWS($AH$2:$AH101),'Per Line'!$AR$2:$AR$1501,0),"")</f>
        <v/>
      </c>
      <c r="AI101">
        <f>IF($AH101="","",C101&amp;"|"&amp;COUNTIF($C$2:$C101,C101))</f>
        <v/>
      </c>
    </row>
    <row r="102">
      <c r="A102" s="15" t="n"/>
      <c r="B102">
        <f>IF($AH102="","",INDEX('Per Line'!$E$2:$E$1501,$AH102)&amp;"")</f>
        <v/>
      </c>
      <c r="C102">
        <f>IF($AH102="","",IF(INDEX('Per Line'!$AP$2:$AP$1501,$AH102)="NOT MATCH","NOT MATCH","FULL MATCH"))</f>
        <v/>
      </c>
      <c r="D102">
        <f>IF($AH102="","",INDEX('Per Line'!$A$2:$A$1501,$AH102)&amp;"")</f>
        <v/>
      </c>
      <c r="E102">
        <f>IF($AH102="","",INDEX('Per Line'!$B$2:$B$1501,$AH102))</f>
        <v/>
      </c>
      <c r="F102">
        <f>IF($AH102="","",INDEX('Per Line'!$C$2:$C$1501,$AH102)&amp;"")</f>
        <v/>
      </c>
      <c r="G102">
        <f>IF($AH102="","",INDEX('Per Line'!$D$2:$D$1501,$AH102)&amp;"")</f>
        <v/>
      </c>
      <c r="H102">
        <f>IF($AH102="","",INDEX('Per Line'!$F$2:$F$1501,$AH102)&amp;"")</f>
        <v/>
      </c>
      <c r="I102" s="14">
        <f>IF($AH102="","",INDEX('Per Line'!$G$2:$G$1501,$AH102))</f>
        <v/>
      </c>
      <c r="J102">
        <f>IF($AH102="","",INDEX('Per Line'!$H$2:$H$1501,$AH102)&amp;"")</f>
        <v/>
      </c>
      <c r="K102">
        <f>IF($AH102="","",INDEX('Per Line'!$J$2:$J$1501,$AH102)&amp;"")</f>
        <v/>
      </c>
      <c r="L102">
        <f>IF($AH102="","",INDEX('Per Line'!$K$2:$K$1501,$AH102)&amp;"")</f>
        <v/>
      </c>
      <c r="M102">
        <f>IF($AH102="","",INDEX('Per Line'!$L$2:$L$1501,$AH102)&amp;"")</f>
        <v/>
      </c>
      <c r="N102">
        <f>IF($AH102="","",INDEX('Per Line'!$M$2:$M$1501,$AH102)&amp;"")</f>
        <v/>
      </c>
      <c r="O102">
        <f>IF($AH102="","",INDEX('Per Line'!$P$2:$P$1501,$AH102))</f>
        <v/>
      </c>
      <c r="P102" s="7">
        <f>IF($AH102="","",O102*AD102/100)</f>
        <v/>
      </c>
      <c r="Q102">
        <f>IF($AH102="","",INDEX('Per Line'!$R$2:$R$1501,$AH102)&amp;"")</f>
        <v/>
      </c>
      <c r="R102">
        <f>IF($AH102="","",INDEX('Per Line'!$AB$2:$AB$1501,$AH102)&amp;"")</f>
        <v/>
      </c>
      <c r="S102">
        <f>IF($AH102="","",Settings!$C$8)</f>
        <v/>
      </c>
      <c r="T102" s="7">
        <f>IF($AH102="","",SUMIFS('Per Line'!$Z$2:$Z$1501,'Per Line'!$E$2:$E$1501,$B102,'Per Line'!$AT$2:$AT$1501,1))</f>
        <v/>
      </c>
      <c r="U102" s="7">
        <f>IF($AH102="","",T102*S102)</f>
        <v/>
      </c>
      <c r="V102">
        <f>IF($AH102="","",Settings!$C$7)</f>
        <v/>
      </c>
      <c r="W102" s="7">
        <f>IF($AH102="","",SUMIFS('Per Line'!$Z$2:$Z$1501,'Per Line'!$E$2:$E$1501,$B102,'Per Line'!$AS$2:$AS$1501,0,'Per Line'!$AT$2:$AT$1501,0))</f>
        <v/>
      </c>
      <c r="X102" s="7">
        <f>IF($AH102="","",W102*V102)</f>
        <v/>
      </c>
      <c r="Y102">
        <f>IF($AH102="","",Settings!$C$6)</f>
        <v/>
      </c>
      <c r="Z102" s="7">
        <f>IF($AH102="","",SUMIFS('Per Line'!$Z$2:$Z$1501,'Per Line'!$E$2:$E$1501,$B102,'Per Line'!$AS$2:$AS$1501,1,'Per Line'!$AT$2:$AT$1501,0))</f>
        <v/>
      </c>
      <c r="AA102" s="7">
        <f>IF($AH102="","",Z102*Y102)</f>
        <v/>
      </c>
      <c r="AB102" s="7">
        <f>IF($AH102="","",AA102+X102+U102)</f>
        <v/>
      </c>
      <c r="AC102" s="7">
        <f>IF($AH102="","",AD102-AB102)</f>
        <v/>
      </c>
      <c r="AD102" s="7">
        <f>IF($AH102="","",W102+Z102+T102)</f>
        <v/>
      </c>
      <c r="AE102" s="7">
        <f>IF($AH102="","",AD102-AB102-P102)</f>
        <v/>
      </c>
      <c r="AF102" s="15" t="n"/>
      <c r="AG102" s="7">
        <f>IF($AH102="","",AE102-N(AF102))</f>
        <v/>
      </c>
      <c r="AH102" s="16">
        <f>IF(ROWS($AH$2:$AH102)&lt;=MAX('Per Line'!$AR$2:$AR$1501),MATCH(ROWS($AH$2:$AH102),'Per Line'!$AR$2:$AR$1501,0),"")</f>
        <v/>
      </c>
      <c r="AI102">
        <f>IF($AH102="","",C102&amp;"|"&amp;COUNTIF($C$2:$C102,C102))</f>
        <v/>
      </c>
    </row>
    <row r="103">
      <c r="A103" s="15" t="n"/>
      <c r="B103">
        <f>IF($AH103="","",INDEX('Per Line'!$E$2:$E$1501,$AH103)&amp;"")</f>
        <v/>
      </c>
      <c r="C103">
        <f>IF($AH103="","",IF(INDEX('Per Line'!$AP$2:$AP$1501,$AH103)="NOT MATCH","NOT MATCH","FULL MATCH"))</f>
        <v/>
      </c>
      <c r="D103">
        <f>IF($AH103="","",INDEX('Per Line'!$A$2:$A$1501,$AH103)&amp;"")</f>
        <v/>
      </c>
      <c r="E103">
        <f>IF($AH103="","",INDEX('Per Line'!$B$2:$B$1501,$AH103))</f>
        <v/>
      </c>
      <c r="F103">
        <f>IF($AH103="","",INDEX('Per Line'!$C$2:$C$1501,$AH103)&amp;"")</f>
        <v/>
      </c>
      <c r="G103">
        <f>IF($AH103="","",INDEX('Per Line'!$D$2:$D$1501,$AH103)&amp;"")</f>
        <v/>
      </c>
      <c r="H103">
        <f>IF($AH103="","",INDEX('Per Line'!$F$2:$F$1501,$AH103)&amp;"")</f>
        <v/>
      </c>
      <c r="I103" s="14">
        <f>IF($AH103="","",INDEX('Per Line'!$G$2:$G$1501,$AH103))</f>
        <v/>
      </c>
      <c r="J103">
        <f>IF($AH103="","",INDEX('Per Line'!$H$2:$H$1501,$AH103)&amp;"")</f>
        <v/>
      </c>
      <c r="K103">
        <f>IF($AH103="","",INDEX('Per Line'!$J$2:$J$1501,$AH103)&amp;"")</f>
        <v/>
      </c>
      <c r="L103">
        <f>IF($AH103="","",INDEX('Per Line'!$K$2:$K$1501,$AH103)&amp;"")</f>
        <v/>
      </c>
      <c r="M103">
        <f>IF($AH103="","",INDEX('Per Line'!$L$2:$L$1501,$AH103)&amp;"")</f>
        <v/>
      </c>
      <c r="N103">
        <f>IF($AH103="","",INDEX('Per Line'!$M$2:$M$1501,$AH103)&amp;"")</f>
        <v/>
      </c>
      <c r="O103">
        <f>IF($AH103="","",INDEX('Per Line'!$P$2:$P$1501,$AH103))</f>
        <v/>
      </c>
      <c r="P103" s="7">
        <f>IF($AH103="","",O103*AD103/100)</f>
        <v/>
      </c>
      <c r="Q103">
        <f>IF($AH103="","",INDEX('Per Line'!$R$2:$R$1501,$AH103)&amp;"")</f>
        <v/>
      </c>
      <c r="R103">
        <f>IF($AH103="","",INDEX('Per Line'!$AB$2:$AB$1501,$AH103)&amp;"")</f>
        <v/>
      </c>
      <c r="S103">
        <f>IF($AH103="","",Settings!$C$8)</f>
        <v/>
      </c>
      <c r="T103" s="7">
        <f>IF($AH103="","",SUMIFS('Per Line'!$Z$2:$Z$1501,'Per Line'!$E$2:$E$1501,$B103,'Per Line'!$AT$2:$AT$1501,1))</f>
        <v/>
      </c>
      <c r="U103" s="7">
        <f>IF($AH103="","",T103*S103)</f>
        <v/>
      </c>
      <c r="V103">
        <f>IF($AH103="","",Settings!$C$7)</f>
        <v/>
      </c>
      <c r="W103" s="7">
        <f>IF($AH103="","",SUMIFS('Per Line'!$Z$2:$Z$1501,'Per Line'!$E$2:$E$1501,$B103,'Per Line'!$AS$2:$AS$1501,0,'Per Line'!$AT$2:$AT$1501,0))</f>
        <v/>
      </c>
      <c r="X103" s="7">
        <f>IF($AH103="","",W103*V103)</f>
        <v/>
      </c>
      <c r="Y103">
        <f>IF($AH103="","",Settings!$C$6)</f>
        <v/>
      </c>
      <c r="Z103" s="7">
        <f>IF($AH103="","",SUMIFS('Per Line'!$Z$2:$Z$1501,'Per Line'!$E$2:$E$1501,$B103,'Per Line'!$AS$2:$AS$1501,1,'Per Line'!$AT$2:$AT$1501,0))</f>
        <v/>
      </c>
      <c r="AA103" s="7">
        <f>IF($AH103="","",Z103*Y103)</f>
        <v/>
      </c>
      <c r="AB103" s="7">
        <f>IF($AH103="","",AA103+X103+U103)</f>
        <v/>
      </c>
      <c r="AC103" s="7">
        <f>IF($AH103="","",AD103-AB103)</f>
        <v/>
      </c>
      <c r="AD103" s="7">
        <f>IF($AH103="","",W103+Z103+T103)</f>
        <v/>
      </c>
      <c r="AE103" s="7">
        <f>IF($AH103="","",AD103-AB103-P103)</f>
        <v/>
      </c>
      <c r="AF103" s="15" t="n"/>
      <c r="AG103" s="7">
        <f>IF($AH103="","",AE103-N(AF103))</f>
        <v/>
      </c>
      <c r="AH103" s="16">
        <f>IF(ROWS($AH$2:$AH103)&lt;=MAX('Per Line'!$AR$2:$AR$1501),MATCH(ROWS($AH$2:$AH103),'Per Line'!$AR$2:$AR$1501,0),"")</f>
        <v/>
      </c>
      <c r="AI103">
        <f>IF($AH103="","",C103&amp;"|"&amp;COUNTIF($C$2:$C103,C103))</f>
        <v/>
      </c>
    </row>
    <row r="104">
      <c r="A104" s="15" t="n"/>
      <c r="B104">
        <f>IF($AH104="","",INDEX('Per Line'!$E$2:$E$1501,$AH104)&amp;"")</f>
        <v/>
      </c>
      <c r="C104">
        <f>IF($AH104="","",IF(INDEX('Per Line'!$AP$2:$AP$1501,$AH104)="NOT MATCH","NOT MATCH","FULL MATCH"))</f>
        <v/>
      </c>
      <c r="D104">
        <f>IF($AH104="","",INDEX('Per Line'!$A$2:$A$1501,$AH104)&amp;"")</f>
        <v/>
      </c>
      <c r="E104">
        <f>IF($AH104="","",INDEX('Per Line'!$B$2:$B$1501,$AH104))</f>
        <v/>
      </c>
      <c r="F104">
        <f>IF($AH104="","",INDEX('Per Line'!$C$2:$C$1501,$AH104)&amp;"")</f>
        <v/>
      </c>
      <c r="G104">
        <f>IF($AH104="","",INDEX('Per Line'!$D$2:$D$1501,$AH104)&amp;"")</f>
        <v/>
      </c>
      <c r="H104">
        <f>IF($AH104="","",INDEX('Per Line'!$F$2:$F$1501,$AH104)&amp;"")</f>
        <v/>
      </c>
      <c r="I104" s="14">
        <f>IF($AH104="","",INDEX('Per Line'!$G$2:$G$1501,$AH104))</f>
        <v/>
      </c>
      <c r="J104">
        <f>IF($AH104="","",INDEX('Per Line'!$H$2:$H$1501,$AH104)&amp;"")</f>
        <v/>
      </c>
      <c r="K104">
        <f>IF($AH104="","",INDEX('Per Line'!$J$2:$J$1501,$AH104)&amp;"")</f>
        <v/>
      </c>
      <c r="L104">
        <f>IF($AH104="","",INDEX('Per Line'!$K$2:$K$1501,$AH104)&amp;"")</f>
        <v/>
      </c>
      <c r="M104">
        <f>IF($AH104="","",INDEX('Per Line'!$L$2:$L$1501,$AH104)&amp;"")</f>
        <v/>
      </c>
      <c r="N104">
        <f>IF($AH104="","",INDEX('Per Line'!$M$2:$M$1501,$AH104)&amp;"")</f>
        <v/>
      </c>
      <c r="O104">
        <f>IF($AH104="","",INDEX('Per Line'!$P$2:$P$1501,$AH104))</f>
        <v/>
      </c>
      <c r="P104" s="7">
        <f>IF($AH104="","",O104*AD104/100)</f>
        <v/>
      </c>
      <c r="Q104">
        <f>IF($AH104="","",INDEX('Per Line'!$R$2:$R$1501,$AH104)&amp;"")</f>
        <v/>
      </c>
      <c r="R104">
        <f>IF($AH104="","",INDEX('Per Line'!$AB$2:$AB$1501,$AH104)&amp;"")</f>
        <v/>
      </c>
      <c r="S104">
        <f>IF($AH104="","",Settings!$C$8)</f>
        <v/>
      </c>
      <c r="T104" s="7">
        <f>IF($AH104="","",SUMIFS('Per Line'!$Z$2:$Z$1501,'Per Line'!$E$2:$E$1501,$B104,'Per Line'!$AT$2:$AT$1501,1))</f>
        <v/>
      </c>
      <c r="U104" s="7">
        <f>IF($AH104="","",T104*S104)</f>
        <v/>
      </c>
      <c r="V104">
        <f>IF($AH104="","",Settings!$C$7)</f>
        <v/>
      </c>
      <c r="W104" s="7">
        <f>IF($AH104="","",SUMIFS('Per Line'!$Z$2:$Z$1501,'Per Line'!$E$2:$E$1501,$B104,'Per Line'!$AS$2:$AS$1501,0,'Per Line'!$AT$2:$AT$1501,0))</f>
        <v/>
      </c>
      <c r="X104" s="7">
        <f>IF($AH104="","",W104*V104)</f>
        <v/>
      </c>
      <c r="Y104">
        <f>IF($AH104="","",Settings!$C$6)</f>
        <v/>
      </c>
      <c r="Z104" s="7">
        <f>IF($AH104="","",SUMIFS('Per Line'!$Z$2:$Z$1501,'Per Line'!$E$2:$E$1501,$B104,'Per Line'!$AS$2:$AS$1501,1,'Per Line'!$AT$2:$AT$1501,0))</f>
        <v/>
      </c>
      <c r="AA104" s="7">
        <f>IF($AH104="","",Z104*Y104)</f>
        <v/>
      </c>
      <c r="AB104" s="7">
        <f>IF($AH104="","",AA104+X104+U104)</f>
        <v/>
      </c>
      <c r="AC104" s="7">
        <f>IF($AH104="","",AD104-AB104)</f>
        <v/>
      </c>
      <c r="AD104" s="7">
        <f>IF($AH104="","",W104+Z104+T104)</f>
        <v/>
      </c>
      <c r="AE104" s="7">
        <f>IF($AH104="","",AD104-AB104-P104)</f>
        <v/>
      </c>
      <c r="AF104" s="15" t="n"/>
      <c r="AG104" s="7">
        <f>IF($AH104="","",AE104-N(AF104))</f>
        <v/>
      </c>
      <c r="AH104" s="16">
        <f>IF(ROWS($AH$2:$AH104)&lt;=MAX('Per Line'!$AR$2:$AR$1501),MATCH(ROWS($AH$2:$AH104),'Per Line'!$AR$2:$AR$1501,0),"")</f>
        <v/>
      </c>
      <c r="AI104">
        <f>IF($AH104="","",C104&amp;"|"&amp;COUNTIF($C$2:$C104,C104))</f>
        <v/>
      </c>
    </row>
    <row r="105">
      <c r="A105" s="15" t="n"/>
      <c r="B105">
        <f>IF($AH105="","",INDEX('Per Line'!$E$2:$E$1501,$AH105)&amp;"")</f>
        <v/>
      </c>
      <c r="C105">
        <f>IF($AH105="","",IF(INDEX('Per Line'!$AP$2:$AP$1501,$AH105)="NOT MATCH","NOT MATCH","FULL MATCH"))</f>
        <v/>
      </c>
      <c r="D105">
        <f>IF($AH105="","",INDEX('Per Line'!$A$2:$A$1501,$AH105)&amp;"")</f>
        <v/>
      </c>
      <c r="E105">
        <f>IF($AH105="","",INDEX('Per Line'!$B$2:$B$1501,$AH105))</f>
        <v/>
      </c>
      <c r="F105">
        <f>IF($AH105="","",INDEX('Per Line'!$C$2:$C$1501,$AH105)&amp;"")</f>
        <v/>
      </c>
      <c r="G105">
        <f>IF($AH105="","",INDEX('Per Line'!$D$2:$D$1501,$AH105)&amp;"")</f>
        <v/>
      </c>
      <c r="H105">
        <f>IF($AH105="","",INDEX('Per Line'!$F$2:$F$1501,$AH105)&amp;"")</f>
        <v/>
      </c>
      <c r="I105" s="14">
        <f>IF($AH105="","",INDEX('Per Line'!$G$2:$G$1501,$AH105))</f>
        <v/>
      </c>
      <c r="J105">
        <f>IF($AH105="","",INDEX('Per Line'!$H$2:$H$1501,$AH105)&amp;"")</f>
        <v/>
      </c>
      <c r="K105">
        <f>IF($AH105="","",INDEX('Per Line'!$J$2:$J$1501,$AH105)&amp;"")</f>
        <v/>
      </c>
      <c r="L105">
        <f>IF($AH105="","",INDEX('Per Line'!$K$2:$K$1501,$AH105)&amp;"")</f>
        <v/>
      </c>
      <c r="M105">
        <f>IF($AH105="","",INDEX('Per Line'!$L$2:$L$1501,$AH105)&amp;"")</f>
        <v/>
      </c>
      <c r="N105">
        <f>IF($AH105="","",INDEX('Per Line'!$M$2:$M$1501,$AH105)&amp;"")</f>
        <v/>
      </c>
      <c r="O105">
        <f>IF($AH105="","",INDEX('Per Line'!$P$2:$P$1501,$AH105))</f>
        <v/>
      </c>
      <c r="P105" s="7">
        <f>IF($AH105="","",O105*AD105/100)</f>
        <v/>
      </c>
      <c r="Q105">
        <f>IF($AH105="","",INDEX('Per Line'!$R$2:$R$1501,$AH105)&amp;"")</f>
        <v/>
      </c>
      <c r="R105">
        <f>IF($AH105="","",INDEX('Per Line'!$AB$2:$AB$1501,$AH105)&amp;"")</f>
        <v/>
      </c>
      <c r="S105">
        <f>IF($AH105="","",Settings!$C$8)</f>
        <v/>
      </c>
      <c r="T105" s="7">
        <f>IF($AH105="","",SUMIFS('Per Line'!$Z$2:$Z$1501,'Per Line'!$E$2:$E$1501,$B105,'Per Line'!$AT$2:$AT$1501,1))</f>
        <v/>
      </c>
      <c r="U105" s="7">
        <f>IF($AH105="","",T105*S105)</f>
        <v/>
      </c>
      <c r="V105">
        <f>IF($AH105="","",Settings!$C$7)</f>
        <v/>
      </c>
      <c r="W105" s="7">
        <f>IF($AH105="","",SUMIFS('Per Line'!$Z$2:$Z$1501,'Per Line'!$E$2:$E$1501,$B105,'Per Line'!$AS$2:$AS$1501,0,'Per Line'!$AT$2:$AT$1501,0))</f>
        <v/>
      </c>
      <c r="X105" s="7">
        <f>IF($AH105="","",W105*V105)</f>
        <v/>
      </c>
      <c r="Y105">
        <f>IF($AH105="","",Settings!$C$6)</f>
        <v/>
      </c>
      <c r="Z105" s="7">
        <f>IF($AH105="","",SUMIFS('Per Line'!$Z$2:$Z$1501,'Per Line'!$E$2:$E$1501,$B105,'Per Line'!$AS$2:$AS$1501,1,'Per Line'!$AT$2:$AT$1501,0))</f>
        <v/>
      </c>
      <c r="AA105" s="7">
        <f>IF($AH105="","",Z105*Y105)</f>
        <v/>
      </c>
      <c r="AB105" s="7">
        <f>IF($AH105="","",AA105+X105+U105)</f>
        <v/>
      </c>
      <c r="AC105" s="7">
        <f>IF($AH105="","",AD105-AB105)</f>
        <v/>
      </c>
      <c r="AD105" s="7">
        <f>IF($AH105="","",W105+Z105+T105)</f>
        <v/>
      </c>
      <c r="AE105" s="7">
        <f>IF($AH105="","",AD105-AB105-P105)</f>
        <v/>
      </c>
      <c r="AF105" s="15" t="n"/>
      <c r="AG105" s="7">
        <f>IF($AH105="","",AE105-N(AF105))</f>
        <v/>
      </c>
      <c r="AH105" s="16">
        <f>IF(ROWS($AH$2:$AH105)&lt;=MAX('Per Line'!$AR$2:$AR$1501),MATCH(ROWS($AH$2:$AH105),'Per Line'!$AR$2:$AR$1501,0),"")</f>
        <v/>
      </c>
      <c r="AI105">
        <f>IF($AH105="","",C105&amp;"|"&amp;COUNTIF($C$2:$C105,C105))</f>
        <v/>
      </c>
    </row>
    <row r="106">
      <c r="A106" s="15" t="n"/>
      <c r="B106">
        <f>IF($AH106="","",INDEX('Per Line'!$E$2:$E$1501,$AH106)&amp;"")</f>
        <v/>
      </c>
      <c r="C106">
        <f>IF($AH106="","",IF(INDEX('Per Line'!$AP$2:$AP$1501,$AH106)="NOT MATCH","NOT MATCH","FULL MATCH"))</f>
        <v/>
      </c>
      <c r="D106">
        <f>IF($AH106="","",INDEX('Per Line'!$A$2:$A$1501,$AH106)&amp;"")</f>
        <v/>
      </c>
      <c r="E106">
        <f>IF($AH106="","",INDEX('Per Line'!$B$2:$B$1501,$AH106))</f>
        <v/>
      </c>
      <c r="F106">
        <f>IF($AH106="","",INDEX('Per Line'!$C$2:$C$1501,$AH106)&amp;"")</f>
        <v/>
      </c>
      <c r="G106">
        <f>IF($AH106="","",INDEX('Per Line'!$D$2:$D$1501,$AH106)&amp;"")</f>
        <v/>
      </c>
      <c r="H106">
        <f>IF($AH106="","",INDEX('Per Line'!$F$2:$F$1501,$AH106)&amp;"")</f>
        <v/>
      </c>
      <c r="I106" s="14">
        <f>IF($AH106="","",INDEX('Per Line'!$G$2:$G$1501,$AH106))</f>
        <v/>
      </c>
      <c r="J106">
        <f>IF($AH106="","",INDEX('Per Line'!$H$2:$H$1501,$AH106)&amp;"")</f>
        <v/>
      </c>
      <c r="K106">
        <f>IF($AH106="","",INDEX('Per Line'!$J$2:$J$1501,$AH106)&amp;"")</f>
        <v/>
      </c>
      <c r="L106">
        <f>IF($AH106="","",INDEX('Per Line'!$K$2:$K$1501,$AH106)&amp;"")</f>
        <v/>
      </c>
      <c r="M106">
        <f>IF($AH106="","",INDEX('Per Line'!$L$2:$L$1501,$AH106)&amp;"")</f>
        <v/>
      </c>
      <c r="N106">
        <f>IF($AH106="","",INDEX('Per Line'!$M$2:$M$1501,$AH106)&amp;"")</f>
        <v/>
      </c>
      <c r="O106">
        <f>IF($AH106="","",INDEX('Per Line'!$P$2:$P$1501,$AH106))</f>
        <v/>
      </c>
      <c r="P106" s="7">
        <f>IF($AH106="","",O106*AD106/100)</f>
        <v/>
      </c>
      <c r="Q106">
        <f>IF($AH106="","",INDEX('Per Line'!$R$2:$R$1501,$AH106)&amp;"")</f>
        <v/>
      </c>
      <c r="R106">
        <f>IF($AH106="","",INDEX('Per Line'!$AB$2:$AB$1501,$AH106)&amp;"")</f>
        <v/>
      </c>
      <c r="S106">
        <f>IF($AH106="","",Settings!$C$8)</f>
        <v/>
      </c>
      <c r="T106" s="7">
        <f>IF($AH106="","",SUMIFS('Per Line'!$Z$2:$Z$1501,'Per Line'!$E$2:$E$1501,$B106,'Per Line'!$AT$2:$AT$1501,1))</f>
        <v/>
      </c>
      <c r="U106" s="7">
        <f>IF($AH106="","",T106*S106)</f>
        <v/>
      </c>
      <c r="V106">
        <f>IF($AH106="","",Settings!$C$7)</f>
        <v/>
      </c>
      <c r="W106" s="7">
        <f>IF($AH106="","",SUMIFS('Per Line'!$Z$2:$Z$1501,'Per Line'!$E$2:$E$1501,$B106,'Per Line'!$AS$2:$AS$1501,0,'Per Line'!$AT$2:$AT$1501,0))</f>
        <v/>
      </c>
      <c r="X106" s="7">
        <f>IF($AH106="","",W106*V106)</f>
        <v/>
      </c>
      <c r="Y106">
        <f>IF($AH106="","",Settings!$C$6)</f>
        <v/>
      </c>
      <c r="Z106" s="7">
        <f>IF($AH106="","",SUMIFS('Per Line'!$Z$2:$Z$1501,'Per Line'!$E$2:$E$1501,$B106,'Per Line'!$AS$2:$AS$1501,1,'Per Line'!$AT$2:$AT$1501,0))</f>
        <v/>
      </c>
      <c r="AA106" s="7">
        <f>IF($AH106="","",Z106*Y106)</f>
        <v/>
      </c>
      <c r="AB106" s="7">
        <f>IF($AH106="","",AA106+X106+U106)</f>
        <v/>
      </c>
      <c r="AC106" s="7">
        <f>IF($AH106="","",AD106-AB106)</f>
        <v/>
      </c>
      <c r="AD106" s="7">
        <f>IF($AH106="","",W106+Z106+T106)</f>
        <v/>
      </c>
      <c r="AE106" s="7">
        <f>IF($AH106="","",AD106-AB106-P106)</f>
        <v/>
      </c>
      <c r="AF106" s="15" t="n"/>
      <c r="AG106" s="7">
        <f>IF($AH106="","",AE106-N(AF106))</f>
        <v/>
      </c>
      <c r="AH106" s="16">
        <f>IF(ROWS($AH$2:$AH106)&lt;=MAX('Per Line'!$AR$2:$AR$1501),MATCH(ROWS($AH$2:$AH106),'Per Line'!$AR$2:$AR$1501,0),"")</f>
        <v/>
      </c>
      <c r="AI106">
        <f>IF($AH106="","",C106&amp;"|"&amp;COUNTIF($C$2:$C106,C106))</f>
        <v/>
      </c>
    </row>
    <row r="107">
      <c r="A107" s="15" t="n"/>
      <c r="B107">
        <f>IF($AH107="","",INDEX('Per Line'!$E$2:$E$1501,$AH107)&amp;"")</f>
        <v/>
      </c>
      <c r="C107">
        <f>IF($AH107="","",IF(INDEX('Per Line'!$AP$2:$AP$1501,$AH107)="NOT MATCH","NOT MATCH","FULL MATCH"))</f>
        <v/>
      </c>
      <c r="D107">
        <f>IF($AH107="","",INDEX('Per Line'!$A$2:$A$1501,$AH107)&amp;"")</f>
        <v/>
      </c>
      <c r="E107">
        <f>IF($AH107="","",INDEX('Per Line'!$B$2:$B$1501,$AH107))</f>
        <v/>
      </c>
      <c r="F107">
        <f>IF($AH107="","",INDEX('Per Line'!$C$2:$C$1501,$AH107)&amp;"")</f>
        <v/>
      </c>
      <c r="G107">
        <f>IF($AH107="","",INDEX('Per Line'!$D$2:$D$1501,$AH107)&amp;"")</f>
        <v/>
      </c>
      <c r="H107">
        <f>IF($AH107="","",INDEX('Per Line'!$F$2:$F$1501,$AH107)&amp;"")</f>
        <v/>
      </c>
      <c r="I107" s="14">
        <f>IF($AH107="","",INDEX('Per Line'!$G$2:$G$1501,$AH107))</f>
        <v/>
      </c>
      <c r="J107">
        <f>IF($AH107="","",INDEX('Per Line'!$H$2:$H$1501,$AH107)&amp;"")</f>
        <v/>
      </c>
      <c r="K107">
        <f>IF($AH107="","",INDEX('Per Line'!$J$2:$J$1501,$AH107)&amp;"")</f>
        <v/>
      </c>
      <c r="L107">
        <f>IF($AH107="","",INDEX('Per Line'!$K$2:$K$1501,$AH107)&amp;"")</f>
        <v/>
      </c>
      <c r="M107">
        <f>IF($AH107="","",INDEX('Per Line'!$L$2:$L$1501,$AH107)&amp;"")</f>
        <v/>
      </c>
      <c r="N107">
        <f>IF($AH107="","",INDEX('Per Line'!$M$2:$M$1501,$AH107)&amp;"")</f>
        <v/>
      </c>
      <c r="O107">
        <f>IF($AH107="","",INDEX('Per Line'!$P$2:$P$1501,$AH107))</f>
        <v/>
      </c>
      <c r="P107" s="7">
        <f>IF($AH107="","",O107*AD107/100)</f>
        <v/>
      </c>
      <c r="Q107">
        <f>IF($AH107="","",INDEX('Per Line'!$R$2:$R$1501,$AH107)&amp;"")</f>
        <v/>
      </c>
      <c r="R107">
        <f>IF($AH107="","",INDEX('Per Line'!$AB$2:$AB$1501,$AH107)&amp;"")</f>
        <v/>
      </c>
      <c r="S107">
        <f>IF($AH107="","",Settings!$C$8)</f>
        <v/>
      </c>
      <c r="T107" s="7">
        <f>IF($AH107="","",SUMIFS('Per Line'!$Z$2:$Z$1501,'Per Line'!$E$2:$E$1501,$B107,'Per Line'!$AT$2:$AT$1501,1))</f>
        <v/>
      </c>
      <c r="U107" s="7">
        <f>IF($AH107="","",T107*S107)</f>
        <v/>
      </c>
      <c r="V107">
        <f>IF($AH107="","",Settings!$C$7)</f>
        <v/>
      </c>
      <c r="W107" s="7">
        <f>IF($AH107="","",SUMIFS('Per Line'!$Z$2:$Z$1501,'Per Line'!$E$2:$E$1501,$B107,'Per Line'!$AS$2:$AS$1501,0,'Per Line'!$AT$2:$AT$1501,0))</f>
        <v/>
      </c>
      <c r="X107" s="7">
        <f>IF($AH107="","",W107*V107)</f>
        <v/>
      </c>
      <c r="Y107">
        <f>IF($AH107="","",Settings!$C$6)</f>
        <v/>
      </c>
      <c r="Z107" s="7">
        <f>IF($AH107="","",SUMIFS('Per Line'!$Z$2:$Z$1501,'Per Line'!$E$2:$E$1501,$B107,'Per Line'!$AS$2:$AS$1501,1,'Per Line'!$AT$2:$AT$1501,0))</f>
        <v/>
      </c>
      <c r="AA107" s="7">
        <f>IF($AH107="","",Z107*Y107)</f>
        <v/>
      </c>
      <c r="AB107" s="7">
        <f>IF($AH107="","",AA107+X107+U107)</f>
        <v/>
      </c>
      <c r="AC107" s="7">
        <f>IF($AH107="","",AD107-AB107)</f>
        <v/>
      </c>
      <c r="AD107" s="7">
        <f>IF($AH107="","",W107+Z107+T107)</f>
        <v/>
      </c>
      <c r="AE107" s="7">
        <f>IF($AH107="","",AD107-AB107-P107)</f>
        <v/>
      </c>
      <c r="AF107" s="15" t="n"/>
      <c r="AG107" s="7">
        <f>IF($AH107="","",AE107-N(AF107))</f>
        <v/>
      </c>
      <c r="AH107" s="16">
        <f>IF(ROWS($AH$2:$AH107)&lt;=MAX('Per Line'!$AR$2:$AR$1501),MATCH(ROWS($AH$2:$AH107),'Per Line'!$AR$2:$AR$1501,0),"")</f>
        <v/>
      </c>
      <c r="AI107">
        <f>IF($AH107="","",C107&amp;"|"&amp;COUNTIF($C$2:$C107,C107))</f>
        <v/>
      </c>
    </row>
    <row r="108">
      <c r="A108" s="15" t="n"/>
      <c r="B108">
        <f>IF($AH108="","",INDEX('Per Line'!$E$2:$E$1501,$AH108)&amp;"")</f>
        <v/>
      </c>
      <c r="C108">
        <f>IF($AH108="","",IF(INDEX('Per Line'!$AP$2:$AP$1501,$AH108)="NOT MATCH","NOT MATCH","FULL MATCH"))</f>
        <v/>
      </c>
      <c r="D108">
        <f>IF($AH108="","",INDEX('Per Line'!$A$2:$A$1501,$AH108)&amp;"")</f>
        <v/>
      </c>
      <c r="E108">
        <f>IF($AH108="","",INDEX('Per Line'!$B$2:$B$1501,$AH108))</f>
        <v/>
      </c>
      <c r="F108">
        <f>IF($AH108="","",INDEX('Per Line'!$C$2:$C$1501,$AH108)&amp;"")</f>
        <v/>
      </c>
      <c r="G108">
        <f>IF($AH108="","",INDEX('Per Line'!$D$2:$D$1501,$AH108)&amp;"")</f>
        <v/>
      </c>
      <c r="H108">
        <f>IF($AH108="","",INDEX('Per Line'!$F$2:$F$1501,$AH108)&amp;"")</f>
        <v/>
      </c>
      <c r="I108" s="14">
        <f>IF($AH108="","",INDEX('Per Line'!$G$2:$G$1501,$AH108))</f>
        <v/>
      </c>
      <c r="J108">
        <f>IF($AH108="","",INDEX('Per Line'!$H$2:$H$1501,$AH108)&amp;"")</f>
        <v/>
      </c>
      <c r="K108">
        <f>IF($AH108="","",INDEX('Per Line'!$J$2:$J$1501,$AH108)&amp;"")</f>
        <v/>
      </c>
      <c r="L108">
        <f>IF($AH108="","",INDEX('Per Line'!$K$2:$K$1501,$AH108)&amp;"")</f>
        <v/>
      </c>
      <c r="M108">
        <f>IF($AH108="","",INDEX('Per Line'!$L$2:$L$1501,$AH108)&amp;"")</f>
        <v/>
      </c>
      <c r="N108">
        <f>IF($AH108="","",INDEX('Per Line'!$M$2:$M$1501,$AH108)&amp;"")</f>
        <v/>
      </c>
      <c r="O108">
        <f>IF($AH108="","",INDEX('Per Line'!$P$2:$P$1501,$AH108))</f>
        <v/>
      </c>
      <c r="P108" s="7">
        <f>IF($AH108="","",O108*AD108/100)</f>
        <v/>
      </c>
      <c r="Q108">
        <f>IF($AH108="","",INDEX('Per Line'!$R$2:$R$1501,$AH108)&amp;"")</f>
        <v/>
      </c>
      <c r="R108">
        <f>IF($AH108="","",INDEX('Per Line'!$AB$2:$AB$1501,$AH108)&amp;"")</f>
        <v/>
      </c>
      <c r="S108">
        <f>IF($AH108="","",Settings!$C$8)</f>
        <v/>
      </c>
      <c r="T108" s="7">
        <f>IF($AH108="","",SUMIFS('Per Line'!$Z$2:$Z$1501,'Per Line'!$E$2:$E$1501,$B108,'Per Line'!$AT$2:$AT$1501,1))</f>
        <v/>
      </c>
      <c r="U108" s="7">
        <f>IF($AH108="","",T108*S108)</f>
        <v/>
      </c>
      <c r="V108">
        <f>IF($AH108="","",Settings!$C$7)</f>
        <v/>
      </c>
      <c r="W108" s="7">
        <f>IF($AH108="","",SUMIFS('Per Line'!$Z$2:$Z$1501,'Per Line'!$E$2:$E$1501,$B108,'Per Line'!$AS$2:$AS$1501,0,'Per Line'!$AT$2:$AT$1501,0))</f>
        <v/>
      </c>
      <c r="X108" s="7">
        <f>IF($AH108="","",W108*V108)</f>
        <v/>
      </c>
      <c r="Y108">
        <f>IF($AH108="","",Settings!$C$6)</f>
        <v/>
      </c>
      <c r="Z108" s="7">
        <f>IF($AH108="","",SUMIFS('Per Line'!$Z$2:$Z$1501,'Per Line'!$E$2:$E$1501,$B108,'Per Line'!$AS$2:$AS$1501,1,'Per Line'!$AT$2:$AT$1501,0))</f>
        <v/>
      </c>
      <c r="AA108" s="7">
        <f>IF($AH108="","",Z108*Y108)</f>
        <v/>
      </c>
      <c r="AB108" s="7">
        <f>IF($AH108="","",AA108+X108+U108)</f>
        <v/>
      </c>
      <c r="AC108" s="7">
        <f>IF($AH108="","",AD108-AB108)</f>
        <v/>
      </c>
      <c r="AD108" s="7">
        <f>IF($AH108="","",W108+Z108+T108)</f>
        <v/>
      </c>
      <c r="AE108" s="7">
        <f>IF($AH108="","",AD108-AB108-P108)</f>
        <v/>
      </c>
      <c r="AF108" s="15" t="n"/>
      <c r="AG108" s="7">
        <f>IF($AH108="","",AE108-N(AF108))</f>
        <v/>
      </c>
      <c r="AH108" s="16">
        <f>IF(ROWS($AH$2:$AH108)&lt;=MAX('Per Line'!$AR$2:$AR$1501),MATCH(ROWS($AH$2:$AH108),'Per Line'!$AR$2:$AR$1501,0),"")</f>
        <v/>
      </c>
      <c r="AI108">
        <f>IF($AH108="","",C108&amp;"|"&amp;COUNTIF($C$2:$C108,C108))</f>
        <v/>
      </c>
    </row>
    <row r="109">
      <c r="A109" s="15" t="n"/>
      <c r="B109">
        <f>IF($AH109="","",INDEX('Per Line'!$E$2:$E$1501,$AH109)&amp;"")</f>
        <v/>
      </c>
      <c r="C109">
        <f>IF($AH109="","",IF(INDEX('Per Line'!$AP$2:$AP$1501,$AH109)="NOT MATCH","NOT MATCH","FULL MATCH"))</f>
        <v/>
      </c>
      <c r="D109">
        <f>IF($AH109="","",INDEX('Per Line'!$A$2:$A$1501,$AH109)&amp;"")</f>
        <v/>
      </c>
      <c r="E109">
        <f>IF($AH109="","",INDEX('Per Line'!$B$2:$B$1501,$AH109))</f>
        <v/>
      </c>
      <c r="F109">
        <f>IF($AH109="","",INDEX('Per Line'!$C$2:$C$1501,$AH109)&amp;"")</f>
        <v/>
      </c>
      <c r="G109">
        <f>IF($AH109="","",INDEX('Per Line'!$D$2:$D$1501,$AH109)&amp;"")</f>
        <v/>
      </c>
      <c r="H109">
        <f>IF($AH109="","",INDEX('Per Line'!$F$2:$F$1501,$AH109)&amp;"")</f>
        <v/>
      </c>
      <c r="I109" s="14">
        <f>IF($AH109="","",INDEX('Per Line'!$G$2:$G$1501,$AH109))</f>
        <v/>
      </c>
      <c r="J109">
        <f>IF($AH109="","",INDEX('Per Line'!$H$2:$H$1501,$AH109)&amp;"")</f>
        <v/>
      </c>
      <c r="K109">
        <f>IF($AH109="","",INDEX('Per Line'!$J$2:$J$1501,$AH109)&amp;"")</f>
        <v/>
      </c>
      <c r="L109">
        <f>IF($AH109="","",INDEX('Per Line'!$K$2:$K$1501,$AH109)&amp;"")</f>
        <v/>
      </c>
      <c r="M109">
        <f>IF($AH109="","",INDEX('Per Line'!$L$2:$L$1501,$AH109)&amp;"")</f>
        <v/>
      </c>
      <c r="N109">
        <f>IF($AH109="","",INDEX('Per Line'!$M$2:$M$1501,$AH109)&amp;"")</f>
        <v/>
      </c>
      <c r="O109">
        <f>IF($AH109="","",INDEX('Per Line'!$P$2:$P$1501,$AH109))</f>
        <v/>
      </c>
      <c r="P109" s="7">
        <f>IF($AH109="","",O109*AD109/100)</f>
        <v/>
      </c>
      <c r="Q109">
        <f>IF($AH109="","",INDEX('Per Line'!$R$2:$R$1501,$AH109)&amp;"")</f>
        <v/>
      </c>
      <c r="R109">
        <f>IF($AH109="","",INDEX('Per Line'!$AB$2:$AB$1501,$AH109)&amp;"")</f>
        <v/>
      </c>
      <c r="S109">
        <f>IF($AH109="","",Settings!$C$8)</f>
        <v/>
      </c>
      <c r="T109" s="7">
        <f>IF($AH109="","",SUMIFS('Per Line'!$Z$2:$Z$1501,'Per Line'!$E$2:$E$1501,$B109,'Per Line'!$AT$2:$AT$1501,1))</f>
        <v/>
      </c>
      <c r="U109" s="7">
        <f>IF($AH109="","",T109*S109)</f>
        <v/>
      </c>
      <c r="V109">
        <f>IF($AH109="","",Settings!$C$7)</f>
        <v/>
      </c>
      <c r="W109" s="7">
        <f>IF($AH109="","",SUMIFS('Per Line'!$Z$2:$Z$1501,'Per Line'!$E$2:$E$1501,$B109,'Per Line'!$AS$2:$AS$1501,0,'Per Line'!$AT$2:$AT$1501,0))</f>
        <v/>
      </c>
      <c r="X109" s="7">
        <f>IF($AH109="","",W109*V109)</f>
        <v/>
      </c>
      <c r="Y109">
        <f>IF($AH109="","",Settings!$C$6)</f>
        <v/>
      </c>
      <c r="Z109" s="7">
        <f>IF($AH109="","",SUMIFS('Per Line'!$Z$2:$Z$1501,'Per Line'!$E$2:$E$1501,$B109,'Per Line'!$AS$2:$AS$1501,1,'Per Line'!$AT$2:$AT$1501,0))</f>
        <v/>
      </c>
      <c r="AA109" s="7">
        <f>IF($AH109="","",Z109*Y109)</f>
        <v/>
      </c>
      <c r="AB109" s="7">
        <f>IF($AH109="","",AA109+X109+U109)</f>
        <v/>
      </c>
      <c r="AC109" s="7">
        <f>IF($AH109="","",AD109-AB109)</f>
        <v/>
      </c>
      <c r="AD109" s="7">
        <f>IF($AH109="","",W109+Z109+T109)</f>
        <v/>
      </c>
      <c r="AE109" s="7">
        <f>IF($AH109="","",AD109-AB109-P109)</f>
        <v/>
      </c>
      <c r="AF109" s="15" t="n"/>
      <c r="AG109" s="7">
        <f>IF($AH109="","",AE109-N(AF109))</f>
        <v/>
      </c>
      <c r="AH109" s="16">
        <f>IF(ROWS($AH$2:$AH109)&lt;=MAX('Per Line'!$AR$2:$AR$1501),MATCH(ROWS($AH$2:$AH109),'Per Line'!$AR$2:$AR$1501,0),"")</f>
        <v/>
      </c>
      <c r="AI109">
        <f>IF($AH109="","",C109&amp;"|"&amp;COUNTIF($C$2:$C109,C109))</f>
        <v/>
      </c>
    </row>
    <row r="110">
      <c r="A110" s="15" t="n"/>
      <c r="B110">
        <f>IF($AH110="","",INDEX('Per Line'!$E$2:$E$1501,$AH110)&amp;"")</f>
        <v/>
      </c>
      <c r="C110">
        <f>IF($AH110="","",IF(INDEX('Per Line'!$AP$2:$AP$1501,$AH110)="NOT MATCH","NOT MATCH","FULL MATCH"))</f>
        <v/>
      </c>
      <c r="D110">
        <f>IF($AH110="","",INDEX('Per Line'!$A$2:$A$1501,$AH110)&amp;"")</f>
        <v/>
      </c>
      <c r="E110">
        <f>IF($AH110="","",INDEX('Per Line'!$B$2:$B$1501,$AH110))</f>
        <v/>
      </c>
      <c r="F110">
        <f>IF($AH110="","",INDEX('Per Line'!$C$2:$C$1501,$AH110)&amp;"")</f>
        <v/>
      </c>
      <c r="G110">
        <f>IF($AH110="","",INDEX('Per Line'!$D$2:$D$1501,$AH110)&amp;"")</f>
        <v/>
      </c>
      <c r="H110">
        <f>IF($AH110="","",INDEX('Per Line'!$F$2:$F$1501,$AH110)&amp;"")</f>
        <v/>
      </c>
      <c r="I110" s="14">
        <f>IF($AH110="","",INDEX('Per Line'!$G$2:$G$1501,$AH110))</f>
        <v/>
      </c>
      <c r="J110">
        <f>IF($AH110="","",INDEX('Per Line'!$H$2:$H$1501,$AH110)&amp;"")</f>
        <v/>
      </c>
      <c r="K110">
        <f>IF($AH110="","",INDEX('Per Line'!$J$2:$J$1501,$AH110)&amp;"")</f>
        <v/>
      </c>
      <c r="L110">
        <f>IF($AH110="","",INDEX('Per Line'!$K$2:$K$1501,$AH110)&amp;"")</f>
        <v/>
      </c>
      <c r="M110">
        <f>IF($AH110="","",INDEX('Per Line'!$L$2:$L$1501,$AH110)&amp;"")</f>
        <v/>
      </c>
      <c r="N110">
        <f>IF($AH110="","",INDEX('Per Line'!$M$2:$M$1501,$AH110)&amp;"")</f>
        <v/>
      </c>
      <c r="O110">
        <f>IF($AH110="","",INDEX('Per Line'!$P$2:$P$1501,$AH110))</f>
        <v/>
      </c>
      <c r="P110" s="7">
        <f>IF($AH110="","",O110*AD110/100)</f>
        <v/>
      </c>
      <c r="Q110">
        <f>IF($AH110="","",INDEX('Per Line'!$R$2:$R$1501,$AH110)&amp;"")</f>
        <v/>
      </c>
      <c r="R110">
        <f>IF($AH110="","",INDEX('Per Line'!$AB$2:$AB$1501,$AH110)&amp;"")</f>
        <v/>
      </c>
      <c r="S110">
        <f>IF($AH110="","",Settings!$C$8)</f>
        <v/>
      </c>
      <c r="T110" s="7">
        <f>IF($AH110="","",SUMIFS('Per Line'!$Z$2:$Z$1501,'Per Line'!$E$2:$E$1501,$B110,'Per Line'!$AT$2:$AT$1501,1))</f>
        <v/>
      </c>
      <c r="U110" s="7">
        <f>IF($AH110="","",T110*S110)</f>
        <v/>
      </c>
      <c r="V110">
        <f>IF($AH110="","",Settings!$C$7)</f>
        <v/>
      </c>
      <c r="W110" s="7">
        <f>IF($AH110="","",SUMIFS('Per Line'!$Z$2:$Z$1501,'Per Line'!$E$2:$E$1501,$B110,'Per Line'!$AS$2:$AS$1501,0,'Per Line'!$AT$2:$AT$1501,0))</f>
        <v/>
      </c>
      <c r="X110" s="7">
        <f>IF($AH110="","",W110*V110)</f>
        <v/>
      </c>
      <c r="Y110">
        <f>IF($AH110="","",Settings!$C$6)</f>
        <v/>
      </c>
      <c r="Z110" s="7">
        <f>IF($AH110="","",SUMIFS('Per Line'!$Z$2:$Z$1501,'Per Line'!$E$2:$E$1501,$B110,'Per Line'!$AS$2:$AS$1501,1,'Per Line'!$AT$2:$AT$1501,0))</f>
        <v/>
      </c>
      <c r="AA110" s="7">
        <f>IF($AH110="","",Z110*Y110)</f>
        <v/>
      </c>
      <c r="AB110" s="7">
        <f>IF($AH110="","",AA110+X110+U110)</f>
        <v/>
      </c>
      <c r="AC110" s="7">
        <f>IF($AH110="","",AD110-AB110)</f>
        <v/>
      </c>
      <c r="AD110" s="7">
        <f>IF($AH110="","",W110+Z110+T110)</f>
        <v/>
      </c>
      <c r="AE110" s="7">
        <f>IF($AH110="","",AD110-AB110-P110)</f>
        <v/>
      </c>
      <c r="AF110" s="15" t="n"/>
      <c r="AG110" s="7">
        <f>IF($AH110="","",AE110-N(AF110))</f>
        <v/>
      </c>
      <c r="AH110" s="16">
        <f>IF(ROWS($AH$2:$AH110)&lt;=MAX('Per Line'!$AR$2:$AR$1501),MATCH(ROWS($AH$2:$AH110),'Per Line'!$AR$2:$AR$1501,0),"")</f>
        <v/>
      </c>
      <c r="AI110">
        <f>IF($AH110="","",C110&amp;"|"&amp;COUNTIF($C$2:$C110,C110))</f>
        <v/>
      </c>
    </row>
    <row r="111">
      <c r="A111" s="15" t="n"/>
      <c r="B111">
        <f>IF($AH111="","",INDEX('Per Line'!$E$2:$E$1501,$AH111)&amp;"")</f>
        <v/>
      </c>
      <c r="C111">
        <f>IF($AH111="","",IF(INDEX('Per Line'!$AP$2:$AP$1501,$AH111)="NOT MATCH","NOT MATCH","FULL MATCH"))</f>
        <v/>
      </c>
      <c r="D111">
        <f>IF($AH111="","",INDEX('Per Line'!$A$2:$A$1501,$AH111)&amp;"")</f>
        <v/>
      </c>
      <c r="E111">
        <f>IF($AH111="","",INDEX('Per Line'!$B$2:$B$1501,$AH111))</f>
        <v/>
      </c>
      <c r="F111">
        <f>IF($AH111="","",INDEX('Per Line'!$C$2:$C$1501,$AH111)&amp;"")</f>
        <v/>
      </c>
      <c r="G111">
        <f>IF($AH111="","",INDEX('Per Line'!$D$2:$D$1501,$AH111)&amp;"")</f>
        <v/>
      </c>
      <c r="H111">
        <f>IF($AH111="","",INDEX('Per Line'!$F$2:$F$1501,$AH111)&amp;"")</f>
        <v/>
      </c>
      <c r="I111" s="14">
        <f>IF($AH111="","",INDEX('Per Line'!$G$2:$G$1501,$AH111))</f>
        <v/>
      </c>
      <c r="J111">
        <f>IF($AH111="","",INDEX('Per Line'!$H$2:$H$1501,$AH111)&amp;"")</f>
        <v/>
      </c>
      <c r="K111">
        <f>IF($AH111="","",INDEX('Per Line'!$J$2:$J$1501,$AH111)&amp;"")</f>
        <v/>
      </c>
      <c r="L111">
        <f>IF($AH111="","",INDEX('Per Line'!$K$2:$K$1501,$AH111)&amp;"")</f>
        <v/>
      </c>
      <c r="M111">
        <f>IF($AH111="","",INDEX('Per Line'!$L$2:$L$1501,$AH111)&amp;"")</f>
        <v/>
      </c>
      <c r="N111">
        <f>IF($AH111="","",INDEX('Per Line'!$M$2:$M$1501,$AH111)&amp;"")</f>
        <v/>
      </c>
      <c r="O111">
        <f>IF($AH111="","",INDEX('Per Line'!$P$2:$P$1501,$AH111))</f>
        <v/>
      </c>
      <c r="P111" s="7">
        <f>IF($AH111="","",O111*AD111/100)</f>
        <v/>
      </c>
      <c r="Q111">
        <f>IF($AH111="","",INDEX('Per Line'!$R$2:$R$1501,$AH111)&amp;"")</f>
        <v/>
      </c>
      <c r="R111">
        <f>IF($AH111="","",INDEX('Per Line'!$AB$2:$AB$1501,$AH111)&amp;"")</f>
        <v/>
      </c>
      <c r="S111">
        <f>IF($AH111="","",Settings!$C$8)</f>
        <v/>
      </c>
      <c r="T111" s="7">
        <f>IF($AH111="","",SUMIFS('Per Line'!$Z$2:$Z$1501,'Per Line'!$E$2:$E$1501,$B111,'Per Line'!$AT$2:$AT$1501,1))</f>
        <v/>
      </c>
      <c r="U111" s="7">
        <f>IF($AH111="","",T111*S111)</f>
        <v/>
      </c>
      <c r="V111">
        <f>IF($AH111="","",Settings!$C$7)</f>
        <v/>
      </c>
      <c r="W111" s="7">
        <f>IF($AH111="","",SUMIFS('Per Line'!$Z$2:$Z$1501,'Per Line'!$E$2:$E$1501,$B111,'Per Line'!$AS$2:$AS$1501,0,'Per Line'!$AT$2:$AT$1501,0))</f>
        <v/>
      </c>
      <c r="X111" s="7">
        <f>IF($AH111="","",W111*V111)</f>
        <v/>
      </c>
      <c r="Y111">
        <f>IF($AH111="","",Settings!$C$6)</f>
        <v/>
      </c>
      <c r="Z111" s="7">
        <f>IF($AH111="","",SUMIFS('Per Line'!$Z$2:$Z$1501,'Per Line'!$E$2:$E$1501,$B111,'Per Line'!$AS$2:$AS$1501,1,'Per Line'!$AT$2:$AT$1501,0))</f>
        <v/>
      </c>
      <c r="AA111" s="7">
        <f>IF($AH111="","",Z111*Y111)</f>
        <v/>
      </c>
      <c r="AB111" s="7">
        <f>IF($AH111="","",AA111+X111+U111)</f>
        <v/>
      </c>
      <c r="AC111" s="7">
        <f>IF($AH111="","",AD111-AB111)</f>
        <v/>
      </c>
      <c r="AD111" s="7">
        <f>IF($AH111="","",W111+Z111+T111)</f>
        <v/>
      </c>
      <c r="AE111" s="7">
        <f>IF($AH111="","",AD111-AB111-P111)</f>
        <v/>
      </c>
      <c r="AF111" s="15" t="n"/>
      <c r="AG111" s="7">
        <f>IF($AH111="","",AE111-N(AF111))</f>
        <v/>
      </c>
      <c r="AH111" s="16">
        <f>IF(ROWS($AH$2:$AH111)&lt;=MAX('Per Line'!$AR$2:$AR$1501),MATCH(ROWS($AH$2:$AH111),'Per Line'!$AR$2:$AR$1501,0),"")</f>
        <v/>
      </c>
      <c r="AI111">
        <f>IF($AH111="","",C111&amp;"|"&amp;COUNTIF($C$2:$C111,C111))</f>
        <v/>
      </c>
    </row>
    <row r="112">
      <c r="A112" s="15" t="n"/>
      <c r="B112">
        <f>IF($AH112="","",INDEX('Per Line'!$E$2:$E$1501,$AH112)&amp;"")</f>
        <v/>
      </c>
      <c r="C112">
        <f>IF($AH112="","",IF(INDEX('Per Line'!$AP$2:$AP$1501,$AH112)="NOT MATCH","NOT MATCH","FULL MATCH"))</f>
        <v/>
      </c>
      <c r="D112">
        <f>IF($AH112="","",INDEX('Per Line'!$A$2:$A$1501,$AH112)&amp;"")</f>
        <v/>
      </c>
      <c r="E112">
        <f>IF($AH112="","",INDEX('Per Line'!$B$2:$B$1501,$AH112))</f>
        <v/>
      </c>
      <c r="F112">
        <f>IF($AH112="","",INDEX('Per Line'!$C$2:$C$1501,$AH112)&amp;"")</f>
        <v/>
      </c>
      <c r="G112">
        <f>IF($AH112="","",INDEX('Per Line'!$D$2:$D$1501,$AH112)&amp;"")</f>
        <v/>
      </c>
      <c r="H112">
        <f>IF($AH112="","",INDEX('Per Line'!$F$2:$F$1501,$AH112)&amp;"")</f>
        <v/>
      </c>
      <c r="I112" s="14">
        <f>IF($AH112="","",INDEX('Per Line'!$G$2:$G$1501,$AH112))</f>
        <v/>
      </c>
      <c r="J112">
        <f>IF($AH112="","",INDEX('Per Line'!$H$2:$H$1501,$AH112)&amp;"")</f>
        <v/>
      </c>
      <c r="K112">
        <f>IF($AH112="","",INDEX('Per Line'!$J$2:$J$1501,$AH112)&amp;"")</f>
        <v/>
      </c>
      <c r="L112">
        <f>IF($AH112="","",INDEX('Per Line'!$K$2:$K$1501,$AH112)&amp;"")</f>
        <v/>
      </c>
      <c r="M112">
        <f>IF($AH112="","",INDEX('Per Line'!$L$2:$L$1501,$AH112)&amp;"")</f>
        <v/>
      </c>
      <c r="N112">
        <f>IF($AH112="","",INDEX('Per Line'!$M$2:$M$1501,$AH112)&amp;"")</f>
        <v/>
      </c>
      <c r="O112">
        <f>IF($AH112="","",INDEX('Per Line'!$P$2:$P$1501,$AH112))</f>
        <v/>
      </c>
      <c r="P112" s="7">
        <f>IF($AH112="","",O112*AD112/100)</f>
        <v/>
      </c>
      <c r="Q112">
        <f>IF($AH112="","",INDEX('Per Line'!$R$2:$R$1501,$AH112)&amp;"")</f>
        <v/>
      </c>
      <c r="R112">
        <f>IF($AH112="","",INDEX('Per Line'!$AB$2:$AB$1501,$AH112)&amp;"")</f>
        <v/>
      </c>
      <c r="S112">
        <f>IF($AH112="","",Settings!$C$8)</f>
        <v/>
      </c>
      <c r="T112" s="7">
        <f>IF($AH112="","",SUMIFS('Per Line'!$Z$2:$Z$1501,'Per Line'!$E$2:$E$1501,$B112,'Per Line'!$AT$2:$AT$1501,1))</f>
        <v/>
      </c>
      <c r="U112" s="7">
        <f>IF($AH112="","",T112*S112)</f>
        <v/>
      </c>
      <c r="V112">
        <f>IF($AH112="","",Settings!$C$7)</f>
        <v/>
      </c>
      <c r="W112" s="7">
        <f>IF($AH112="","",SUMIFS('Per Line'!$Z$2:$Z$1501,'Per Line'!$E$2:$E$1501,$B112,'Per Line'!$AS$2:$AS$1501,0,'Per Line'!$AT$2:$AT$1501,0))</f>
        <v/>
      </c>
      <c r="X112" s="7">
        <f>IF($AH112="","",W112*V112)</f>
        <v/>
      </c>
      <c r="Y112">
        <f>IF($AH112="","",Settings!$C$6)</f>
        <v/>
      </c>
      <c r="Z112" s="7">
        <f>IF($AH112="","",SUMIFS('Per Line'!$Z$2:$Z$1501,'Per Line'!$E$2:$E$1501,$B112,'Per Line'!$AS$2:$AS$1501,1,'Per Line'!$AT$2:$AT$1501,0))</f>
        <v/>
      </c>
      <c r="AA112" s="7">
        <f>IF($AH112="","",Z112*Y112)</f>
        <v/>
      </c>
      <c r="AB112" s="7">
        <f>IF($AH112="","",AA112+X112+U112)</f>
        <v/>
      </c>
      <c r="AC112" s="7">
        <f>IF($AH112="","",AD112-AB112)</f>
        <v/>
      </c>
      <c r="AD112" s="7">
        <f>IF($AH112="","",W112+Z112+T112)</f>
        <v/>
      </c>
      <c r="AE112" s="7">
        <f>IF($AH112="","",AD112-AB112-P112)</f>
        <v/>
      </c>
      <c r="AF112" s="15" t="n"/>
      <c r="AG112" s="7">
        <f>IF($AH112="","",AE112-N(AF112))</f>
        <v/>
      </c>
      <c r="AH112" s="16">
        <f>IF(ROWS($AH$2:$AH112)&lt;=MAX('Per Line'!$AR$2:$AR$1501),MATCH(ROWS($AH$2:$AH112),'Per Line'!$AR$2:$AR$1501,0),"")</f>
        <v/>
      </c>
      <c r="AI112">
        <f>IF($AH112="","",C112&amp;"|"&amp;COUNTIF($C$2:$C112,C112))</f>
        <v/>
      </c>
    </row>
    <row r="113">
      <c r="A113" s="15" t="n"/>
      <c r="B113">
        <f>IF($AH113="","",INDEX('Per Line'!$E$2:$E$1501,$AH113)&amp;"")</f>
        <v/>
      </c>
      <c r="C113">
        <f>IF($AH113="","",IF(INDEX('Per Line'!$AP$2:$AP$1501,$AH113)="NOT MATCH","NOT MATCH","FULL MATCH"))</f>
        <v/>
      </c>
      <c r="D113">
        <f>IF($AH113="","",INDEX('Per Line'!$A$2:$A$1501,$AH113)&amp;"")</f>
        <v/>
      </c>
      <c r="E113">
        <f>IF($AH113="","",INDEX('Per Line'!$B$2:$B$1501,$AH113))</f>
        <v/>
      </c>
      <c r="F113">
        <f>IF($AH113="","",INDEX('Per Line'!$C$2:$C$1501,$AH113)&amp;"")</f>
        <v/>
      </c>
      <c r="G113">
        <f>IF($AH113="","",INDEX('Per Line'!$D$2:$D$1501,$AH113)&amp;"")</f>
        <v/>
      </c>
      <c r="H113">
        <f>IF($AH113="","",INDEX('Per Line'!$F$2:$F$1501,$AH113)&amp;"")</f>
        <v/>
      </c>
      <c r="I113" s="14">
        <f>IF($AH113="","",INDEX('Per Line'!$G$2:$G$1501,$AH113))</f>
        <v/>
      </c>
      <c r="J113">
        <f>IF($AH113="","",INDEX('Per Line'!$H$2:$H$1501,$AH113)&amp;"")</f>
        <v/>
      </c>
      <c r="K113">
        <f>IF($AH113="","",INDEX('Per Line'!$J$2:$J$1501,$AH113)&amp;"")</f>
        <v/>
      </c>
      <c r="L113">
        <f>IF($AH113="","",INDEX('Per Line'!$K$2:$K$1501,$AH113)&amp;"")</f>
        <v/>
      </c>
      <c r="M113">
        <f>IF($AH113="","",INDEX('Per Line'!$L$2:$L$1501,$AH113)&amp;"")</f>
        <v/>
      </c>
      <c r="N113">
        <f>IF($AH113="","",INDEX('Per Line'!$M$2:$M$1501,$AH113)&amp;"")</f>
        <v/>
      </c>
      <c r="O113">
        <f>IF($AH113="","",INDEX('Per Line'!$P$2:$P$1501,$AH113))</f>
        <v/>
      </c>
      <c r="P113" s="7">
        <f>IF($AH113="","",O113*AD113/100)</f>
        <v/>
      </c>
      <c r="Q113">
        <f>IF($AH113="","",INDEX('Per Line'!$R$2:$R$1501,$AH113)&amp;"")</f>
        <v/>
      </c>
      <c r="R113">
        <f>IF($AH113="","",INDEX('Per Line'!$AB$2:$AB$1501,$AH113)&amp;"")</f>
        <v/>
      </c>
      <c r="S113">
        <f>IF($AH113="","",Settings!$C$8)</f>
        <v/>
      </c>
      <c r="T113" s="7">
        <f>IF($AH113="","",SUMIFS('Per Line'!$Z$2:$Z$1501,'Per Line'!$E$2:$E$1501,$B113,'Per Line'!$AT$2:$AT$1501,1))</f>
        <v/>
      </c>
      <c r="U113" s="7">
        <f>IF($AH113="","",T113*S113)</f>
        <v/>
      </c>
      <c r="V113">
        <f>IF($AH113="","",Settings!$C$7)</f>
        <v/>
      </c>
      <c r="W113" s="7">
        <f>IF($AH113="","",SUMIFS('Per Line'!$Z$2:$Z$1501,'Per Line'!$E$2:$E$1501,$B113,'Per Line'!$AS$2:$AS$1501,0,'Per Line'!$AT$2:$AT$1501,0))</f>
        <v/>
      </c>
      <c r="X113" s="7">
        <f>IF($AH113="","",W113*V113)</f>
        <v/>
      </c>
      <c r="Y113">
        <f>IF($AH113="","",Settings!$C$6)</f>
        <v/>
      </c>
      <c r="Z113" s="7">
        <f>IF($AH113="","",SUMIFS('Per Line'!$Z$2:$Z$1501,'Per Line'!$E$2:$E$1501,$B113,'Per Line'!$AS$2:$AS$1501,1,'Per Line'!$AT$2:$AT$1501,0))</f>
        <v/>
      </c>
      <c r="AA113" s="7">
        <f>IF($AH113="","",Z113*Y113)</f>
        <v/>
      </c>
      <c r="AB113" s="7">
        <f>IF($AH113="","",AA113+X113+U113)</f>
        <v/>
      </c>
      <c r="AC113" s="7">
        <f>IF($AH113="","",AD113-AB113)</f>
        <v/>
      </c>
      <c r="AD113" s="7">
        <f>IF($AH113="","",W113+Z113+T113)</f>
        <v/>
      </c>
      <c r="AE113" s="7">
        <f>IF($AH113="","",AD113-AB113-P113)</f>
        <v/>
      </c>
      <c r="AF113" s="15" t="n"/>
      <c r="AG113" s="7">
        <f>IF($AH113="","",AE113-N(AF113))</f>
        <v/>
      </c>
      <c r="AH113" s="16">
        <f>IF(ROWS($AH$2:$AH113)&lt;=MAX('Per Line'!$AR$2:$AR$1501),MATCH(ROWS($AH$2:$AH113),'Per Line'!$AR$2:$AR$1501,0),"")</f>
        <v/>
      </c>
      <c r="AI113">
        <f>IF($AH113="","",C113&amp;"|"&amp;COUNTIF($C$2:$C113,C113))</f>
        <v/>
      </c>
    </row>
    <row r="114">
      <c r="A114" s="15" t="n"/>
      <c r="B114">
        <f>IF($AH114="","",INDEX('Per Line'!$E$2:$E$1501,$AH114)&amp;"")</f>
        <v/>
      </c>
      <c r="C114">
        <f>IF($AH114="","",IF(INDEX('Per Line'!$AP$2:$AP$1501,$AH114)="NOT MATCH","NOT MATCH","FULL MATCH"))</f>
        <v/>
      </c>
      <c r="D114">
        <f>IF($AH114="","",INDEX('Per Line'!$A$2:$A$1501,$AH114)&amp;"")</f>
        <v/>
      </c>
      <c r="E114">
        <f>IF($AH114="","",INDEX('Per Line'!$B$2:$B$1501,$AH114))</f>
        <v/>
      </c>
      <c r="F114">
        <f>IF($AH114="","",INDEX('Per Line'!$C$2:$C$1501,$AH114)&amp;"")</f>
        <v/>
      </c>
      <c r="G114">
        <f>IF($AH114="","",INDEX('Per Line'!$D$2:$D$1501,$AH114)&amp;"")</f>
        <v/>
      </c>
      <c r="H114">
        <f>IF($AH114="","",INDEX('Per Line'!$F$2:$F$1501,$AH114)&amp;"")</f>
        <v/>
      </c>
      <c r="I114" s="14">
        <f>IF($AH114="","",INDEX('Per Line'!$G$2:$G$1501,$AH114))</f>
        <v/>
      </c>
      <c r="J114">
        <f>IF($AH114="","",INDEX('Per Line'!$H$2:$H$1501,$AH114)&amp;"")</f>
        <v/>
      </c>
      <c r="K114">
        <f>IF($AH114="","",INDEX('Per Line'!$J$2:$J$1501,$AH114)&amp;"")</f>
        <v/>
      </c>
      <c r="L114">
        <f>IF($AH114="","",INDEX('Per Line'!$K$2:$K$1501,$AH114)&amp;"")</f>
        <v/>
      </c>
      <c r="M114">
        <f>IF($AH114="","",INDEX('Per Line'!$L$2:$L$1501,$AH114)&amp;"")</f>
        <v/>
      </c>
      <c r="N114">
        <f>IF($AH114="","",INDEX('Per Line'!$M$2:$M$1501,$AH114)&amp;"")</f>
        <v/>
      </c>
      <c r="O114">
        <f>IF($AH114="","",INDEX('Per Line'!$P$2:$P$1501,$AH114))</f>
        <v/>
      </c>
      <c r="P114" s="7">
        <f>IF($AH114="","",O114*AD114/100)</f>
        <v/>
      </c>
      <c r="Q114">
        <f>IF($AH114="","",INDEX('Per Line'!$R$2:$R$1501,$AH114)&amp;"")</f>
        <v/>
      </c>
      <c r="R114">
        <f>IF($AH114="","",INDEX('Per Line'!$AB$2:$AB$1501,$AH114)&amp;"")</f>
        <v/>
      </c>
      <c r="S114">
        <f>IF($AH114="","",Settings!$C$8)</f>
        <v/>
      </c>
      <c r="T114" s="7">
        <f>IF($AH114="","",SUMIFS('Per Line'!$Z$2:$Z$1501,'Per Line'!$E$2:$E$1501,$B114,'Per Line'!$AT$2:$AT$1501,1))</f>
        <v/>
      </c>
      <c r="U114" s="7">
        <f>IF($AH114="","",T114*S114)</f>
        <v/>
      </c>
      <c r="V114">
        <f>IF($AH114="","",Settings!$C$7)</f>
        <v/>
      </c>
      <c r="W114" s="7">
        <f>IF($AH114="","",SUMIFS('Per Line'!$Z$2:$Z$1501,'Per Line'!$E$2:$E$1501,$B114,'Per Line'!$AS$2:$AS$1501,0,'Per Line'!$AT$2:$AT$1501,0))</f>
        <v/>
      </c>
      <c r="X114" s="7">
        <f>IF($AH114="","",W114*V114)</f>
        <v/>
      </c>
      <c r="Y114">
        <f>IF($AH114="","",Settings!$C$6)</f>
        <v/>
      </c>
      <c r="Z114" s="7">
        <f>IF($AH114="","",SUMIFS('Per Line'!$Z$2:$Z$1501,'Per Line'!$E$2:$E$1501,$B114,'Per Line'!$AS$2:$AS$1501,1,'Per Line'!$AT$2:$AT$1501,0))</f>
        <v/>
      </c>
      <c r="AA114" s="7">
        <f>IF($AH114="","",Z114*Y114)</f>
        <v/>
      </c>
      <c r="AB114" s="7">
        <f>IF($AH114="","",AA114+X114+U114)</f>
        <v/>
      </c>
      <c r="AC114" s="7">
        <f>IF($AH114="","",AD114-AB114)</f>
        <v/>
      </c>
      <c r="AD114" s="7">
        <f>IF($AH114="","",W114+Z114+T114)</f>
        <v/>
      </c>
      <c r="AE114" s="7">
        <f>IF($AH114="","",AD114-AB114-P114)</f>
        <v/>
      </c>
      <c r="AF114" s="15" t="n"/>
      <c r="AG114" s="7">
        <f>IF($AH114="","",AE114-N(AF114))</f>
        <v/>
      </c>
      <c r="AH114" s="16">
        <f>IF(ROWS($AH$2:$AH114)&lt;=MAX('Per Line'!$AR$2:$AR$1501),MATCH(ROWS($AH$2:$AH114),'Per Line'!$AR$2:$AR$1501,0),"")</f>
        <v/>
      </c>
      <c r="AI114">
        <f>IF($AH114="","",C114&amp;"|"&amp;COUNTIF($C$2:$C114,C114))</f>
        <v/>
      </c>
    </row>
    <row r="115">
      <c r="A115" s="15" t="n"/>
      <c r="B115">
        <f>IF($AH115="","",INDEX('Per Line'!$E$2:$E$1501,$AH115)&amp;"")</f>
        <v/>
      </c>
      <c r="C115">
        <f>IF($AH115="","",IF(INDEX('Per Line'!$AP$2:$AP$1501,$AH115)="NOT MATCH","NOT MATCH","FULL MATCH"))</f>
        <v/>
      </c>
      <c r="D115">
        <f>IF($AH115="","",INDEX('Per Line'!$A$2:$A$1501,$AH115)&amp;"")</f>
        <v/>
      </c>
      <c r="E115">
        <f>IF($AH115="","",INDEX('Per Line'!$B$2:$B$1501,$AH115))</f>
        <v/>
      </c>
      <c r="F115">
        <f>IF($AH115="","",INDEX('Per Line'!$C$2:$C$1501,$AH115)&amp;"")</f>
        <v/>
      </c>
      <c r="G115">
        <f>IF($AH115="","",INDEX('Per Line'!$D$2:$D$1501,$AH115)&amp;"")</f>
        <v/>
      </c>
      <c r="H115">
        <f>IF($AH115="","",INDEX('Per Line'!$F$2:$F$1501,$AH115)&amp;"")</f>
        <v/>
      </c>
      <c r="I115" s="14">
        <f>IF($AH115="","",INDEX('Per Line'!$G$2:$G$1501,$AH115))</f>
        <v/>
      </c>
      <c r="J115">
        <f>IF($AH115="","",INDEX('Per Line'!$H$2:$H$1501,$AH115)&amp;"")</f>
        <v/>
      </c>
      <c r="K115">
        <f>IF($AH115="","",INDEX('Per Line'!$J$2:$J$1501,$AH115)&amp;"")</f>
        <v/>
      </c>
      <c r="L115">
        <f>IF($AH115="","",INDEX('Per Line'!$K$2:$K$1501,$AH115)&amp;"")</f>
        <v/>
      </c>
      <c r="M115">
        <f>IF($AH115="","",INDEX('Per Line'!$L$2:$L$1501,$AH115)&amp;"")</f>
        <v/>
      </c>
      <c r="N115">
        <f>IF($AH115="","",INDEX('Per Line'!$M$2:$M$1501,$AH115)&amp;"")</f>
        <v/>
      </c>
      <c r="O115">
        <f>IF($AH115="","",INDEX('Per Line'!$P$2:$P$1501,$AH115))</f>
        <v/>
      </c>
      <c r="P115" s="7">
        <f>IF($AH115="","",O115*AD115/100)</f>
        <v/>
      </c>
      <c r="Q115">
        <f>IF($AH115="","",INDEX('Per Line'!$R$2:$R$1501,$AH115)&amp;"")</f>
        <v/>
      </c>
      <c r="R115">
        <f>IF($AH115="","",INDEX('Per Line'!$AB$2:$AB$1501,$AH115)&amp;"")</f>
        <v/>
      </c>
      <c r="S115">
        <f>IF($AH115="","",Settings!$C$8)</f>
        <v/>
      </c>
      <c r="T115" s="7">
        <f>IF($AH115="","",SUMIFS('Per Line'!$Z$2:$Z$1501,'Per Line'!$E$2:$E$1501,$B115,'Per Line'!$AT$2:$AT$1501,1))</f>
        <v/>
      </c>
      <c r="U115" s="7">
        <f>IF($AH115="","",T115*S115)</f>
        <v/>
      </c>
      <c r="V115">
        <f>IF($AH115="","",Settings!$C$7)</f>
        <v/>
      </c>
      <c r="W115" s="7">
        <f>IF($AH115="","",SUMIFS('Per Line'!$Z$2:$Z$1501,'Per Line'!$E$2:$E$1501,$B115,'Per Line'!$AS$2:$AS$1501,0,'Per Line'!$AT$2:$AT$1501,0))</f>
        <v/>
      </c>
      <c r="X115" s="7">
        <f>IF($AH115="","",W115*V115)</f>
        <v/>
      </c>
      <c r="Y115">
        <f>IF($AH115="","",Settings!$C$6)</f>
        <v/>
      </c>
      <c r="Z115" s="7">
        <f>IF($AH115="","",SUMIFS('Per Line'!$Z$2:$Z$1501,'Per Line'!$E$2:$E$1501,$B115,'Per Line'!$AS$2:$AS$1501,1,'Per Line'!$AT$2:$AT$1501,0))</f>
        <v/>
      </c>
      <c r="AA115" s="7">
        <f>IF($AH115="","",Z115*Y115)</f>
        <v/>
      </c>
      <c r="AB115" s="7">
        <f>IF($AH115="","",AA115+X115+U115)</f>
        <v/>
      </c>
      <c r="AC115" s="7">
        <f>IF($AH115="","",AD115-AB115)</f>
        <v/>
      </c>
      <c r="AD115" s="7">
        <f>IF($AH115="","",W115+Z115+T115)</f>
        <v/>
      </c>
      <c r="AE115" s="7">
        <f>IF($AH115="","",AD115-AB115-P115)</f>
        <v/>
      </c>
      <c r="AF115" s="15" t="n"/>
      <c r="AG115" s="7">
        <f>IF($AH115="","",AE115-N(AF115))</f>
        <v/>
      </c>
      <c r="AH115" s="16">
        <f>IF(ROWS($AH$2:$AH115)&lt;=MAX('Per Line'!$AR$2:$AR$1501),MATCH(ROWS($AH$2:$AH115),'Per Line'!$AR$2:$AR$1501,0),"")</f>
        <v/>
      </c>
      <c r="AI115">
        <f>IF($AH115="","",C115&amp;"|"&amp;COUNTIF($C$2:$C115,C115))</f>
        <v/>
      </c>
    </row>
    <row r="116">
      <c r="A116" s="15" t="n"/>
      <c r="B116">
        <f>IF($AH116="","",INDEX('Per Line'!$E$2:$E$1501,$AH116)&amp;"")</f>
        <v/>
      </c>
      <c r="C116">
        <f>IF($AH116="","",IF(INDEX('Per Line'!$AP$2:$AP$1501,$AH116)="NOT MATCH","NOT MATCH","FULL MATCH"))</f>
        <v/>
      </c>
      <c r="D116">
        <f>IF($AH116="","",INDEX('Per Line'!$A$2:$A$1501,$AH116)&amp;"")</f>
        <v/>
      </c>
      <c r="E116">
        <f>IF($AH116="","",INDEX('Per Line'!$B$2:$B$1501,$AH116))</f>
        <v/>
      </c>
      <c r="F116">
        <f>IF($AH116="","",INDEX('Per Line'!$C$2:$C$1501,$AH116)&amp;"")</f>
        <v/>
      </c>
      <c r="G116">
        <f>IF($AH116="","",INDEX('Per Line'!$D$2:$D$1501,$AH116)&amp;"")</f>
        <v/>
      </c>
      <c r="H116">
        <f>IF($AH116="","",INDEX('Per Line'!$F$2:$F$1501,$AH116)&amp;"")</f>
        <v/>
      </c>
      <c r="I116" s="14">
        <f>IF($AH116="","",INDEX('Per Line'!$G$2:$G$1501,$AH116))</f>
        <v/>
      </c>
      <c r="J116">
        <f>IF($AH116="","",INDEX('Per Line'!$H$2:$H$1501,$AH116)&amp;"")</f>
        <v/>
      </c>
      <c r="K116">
        <f>IF($AH116="","",INDEX('Per Line'!$J$2:$J$1501,$AH116)&amp;"")</f>
        <v/>
      </c>
      <c r="L116">
        <f>IF($AH116="","",INDEX('Per Line'!$K$2:$K$1501,$AH116)&amp;"")</f>
        <v/>
      </c>
      <c r="M116">
        <f>IF($AH116="","",INDEX('Per Line'!$L$2:$L$1501,$AH116)&amp;"")</f>
        <v/>
      </c>
      <c r="N116">
        <f>IF($AH116="","",INDEX('Per Line'!$M$2:$M$1501,$AH116)&amp;"")</f>
        <v/>
      </c>
      <c r="O116">
        <f>IF($AH116="","",INDEX('Per Line'!$P$2:$P$1501,$AH116))</f>
        <v/>
      </c>
      <c r="P116" s="7">
        <f>IF($AH116="","",O116*AD116/100)</f>
        <v/>
      </c>
      <c r="Q116">
        <f>IF($AH116="","",INDEX('Per Line'!$R$2:$R$1501,$AH116)&amp;"")</f>
        <v/>
      </c>
      <c r="R116">
        <f>IF($AH116="","",INDEX('Per Line'!$AB$2:$AB$1501,$AH116)&amp;"")</f>
        <v/>
      </c>
      <c r="S116">
        <f>IF($AH116="","",Settings!$C$8)</f>
        <v/>
      </c>
      <c r="T116" s="7">
        <f>IF($AH116="","",SUMIFS('Per Line'!$Z$2:$Z$1501,'Per Line'!$E$2:$E$1501,$B116,'Per Line'!$AT$2:$AT$1501,1))</f>
        <v/>
      </c>
      <c r="U116" s="7">
        <f>IF($AH116="","",T116*S116)</f>
        <v/>
      </c>
      <c r="V116">
        <f>IF($AH116="","",Settings!$C$7)</f>
        <v/>
      </c>
      <c r="W116" s="7">
        <f>IF($AH116="","",SUMIFS('Per Line'!$Z$2:$Z$1501,'Per Line'!$E$2:$E$1501,$B116,'Per Line'!$AS$2:$AS$1501,0,'Per Line'!$AT$2:$AT$1501,0))</f>
        <v/>
      </c>
      <c r="X116" s="7">
        <f>IF($AH116="","",W116*V116)</f>
        <v/>
      </c>
      <c r="Y116">
        <f>IF($AH116="","",Settings!$C$6)</f>
        <v/>
      </c>
      <c r="Z116" s="7">
        <f>IF($AH116="","",SUMIFS('Per Line'!$Z$2:$Z$1501,'Per Line'!$E$2:$E$1501,$B116,'Per Line'!$AS$2:$AS$1501,1,'Per Line'!$AT$2:$AT$1501,0))</f>
        <v/>
      </c>
      <c r="AA116" s="7">
        <f>IF($AH116="","",Z116*Y116)</f>
        <v/>
      </c>
      <c r="AB116" s="7">
        <f>IF($AH116="","",AA116+X116+U116)</f>
        <v/>
      </c>
      <c r="AC116" s="7">
        <f>IF($AH116="","",AD116-AB116)</f>
        <v/>
      </c>
      <c r="AD116" s="7">
        <f>IF($AH116="","",W116+Z116+T116)</f>
        <v/>
      </c>
      <c r="AE116" s="7">
        <f>IF($AH116="","",AD116-AB116-P116)</f>
        <v/>
      </c>
      <c r="AF116" s="15" t="n"/>
      <c r="AG116" s="7">
        <f>IF($AH116="","",AE116-N(AF116))</f>
        <v/>
      </c>
      <c r="AH116" s="16">
        <f>IF(ROWS($AH$2:$AH116)&lt;=MAX('Per Line'!$AR$2:$AR$1501),MATCH(ROWS($AH$2:$AH116),'Per Line'!$AR$2:$AR$1501,0),"")</f>
        <v/>
      </c>
      <c r="AI116">
        <f>IF($AH116="","",C116&amp;"|"&amp;COUNTIF($C$2:$C116,C116))</f>
        <v/>
      </c>
    </row>
    <row r="117">
      <c r="A117" s="15" t="n"/>
      <c r="B117">
        <f>IF($AH117="","",INDEX('Per Line'!$E$2:$E$1501,$AH117)&amp;"")</f>
        <v/>
      </c>
      <c r="C117">
        <f>IF($AH117="","",IF(INDEX('Per Line'!$AP$2:$AP$1501,$AH117)="NOT MATCH","NOT MATCH","FULL MATCH"))</f>
        <v/>
      </c>
      <c r="D117">
        <f>IF($AH117="","",INDEX('Per Line'!$A$2:$A$1501,$AH117)&amp;"")</f>
        <v/>
      </c>
      <c r="E117">
        <f>IF($AH117="","",INDEX('Per Line'!$B$2:$B$1501,$AH117))</f>
        <v/>
      </c>
      <c r="F117">
        <f>IF($AH117="","",INDEX('Per Line'!$C$2:$C$1501,$AH117)&amp;"")</f>
        <v/>
      </c>
      <c r="G117">
        <f>IF($AH117="","",INDEX('Per Line'!$D$2:$D$1501,$AH117)&amp;"")</f>
        <v/>
      </c>
      <c r="H117">
        <f>IF($AH117="","",INDEX('Per Line'!$F$2:$F$1501,$AH117)&amp;"")</f>
        <v/>
      </c>
      <c r="I117" s="14">
        <f>IF($AH117="","",INDEX('Per Line'!$G$2:$G$1501,$AH117))</f>
        <v/>
      </c>
      <c r="J117">
        <f>IF($AH117="","",INDEX('Per Line'!$H$2:$H$1501,$AH117)&amp;"")</f>
        <v/>
      </c>
      <c r="K117">
        <f>IF($AH117="","",INDEX('Per Line'!$J$2:$J$1501,$AH117)&amp;"")</f>
        <v/>
      </c>
      <c r="L117">
        <f>IF($AH117="","",INDEX('Per Line'!$K$2:$K$1501,$AH117)&amp;"")</f>
        <v/>
      </c>
      <c r="M117">
        <f>IF($AH117="","",INDEX('Per Line'!$L$2:$L$1501,$AH117)&amp;"")</f>
        <v/>
      </c>
      <c r="N117">
        <f>IF($AH117="","",INDEX('Per Line'!$M$2:$M$1501,$AH117)&amp;"")</f>
        <v/>
      </c>
      <c r="O117">
        <f>IF($AH117="","",INDEX('Per Line'!$P$2:$P$1501,$AH117))</f>
        <v/>
      </c>
      <c r="P117" s="7">
        <f>IF($AH117="","",O117*AD117/100)</f>
        <v/>
      </c>
      <c r="Q117">
        <f>IF($AH117="","",INDEX('Per Line'!$R$2:$R$1501,$AH117)&amp;"")</f>
        <v/>
      </c>
      <c r="R117">
        <f>IF($AH117="","",INDEX('Per Line'!$AB$2:$AB$1501,$AH117)&amp;"")</f>
        <v/>
      </c>
      <c r="S117">
        <f>IF($AH117="","",Settings!$C$8)</f>
        <v/>
      </c>
      <c r="T117" s="7">
        <f>IF($AH117="","",SUMIFS('Per Line'!$Z$2:$Z$1501,'Per Line'!$E$2:$E$1501,$B117,'Per Line'!$AT$2:$AT$1501,1))</f>
        <v/>
      </c>
      <c r="U117" s="7">
        <f>IF($AH117="","",T117*S117)</f>
        <v/>
      </c>
      <c r="V117">
        <f>IF($AH117="","",Settings!$C$7)</f>
        <v/>
      </c>
      <c r="W117" s="7">
        <f>IF($AH117="","",SUMIFS('Per Line'!$Z$2:$Z$1501,'Per Line'!$E$2:$E$1501,$B117,'Per Line'!$AS$2:$AS$1501,0,'Per Line'!$AT$2:$AT$1501,0))</f>
        <v/>
      </c>
      <c r="X117" s="7">
        <f>IF($AH117="","",W117*V117)</f>
        <v/>
      </c>
      <c r="Y117">
        <f>IF($AH117="","",Settings!$C$6)</f>
        <v/>
      </c>
      <c r="Z117" s="7">
        <f>IF($AH117="","",SUMIFS('Per Line'!$Z$2:$Z$1501,'Per Line'!$E$2:$E$1501,$B117,'Per Line'!$AS$2:$AS$1501,1,'Per Line'!$AT$2:$AT$1501,0))</f>
        <v/>
      </c>
      <c r="AA117" s="7">
        <f>IF($AH117="","",Z117*Y117)</f>
        <v/>
      </c>
      <c r="AB117" s="7">
        <f>IF($AH117="","",AA117+X117+U117)</f>
        <v/>
      </c>
      <c r="AC117" s="7">
        <f>IF($AH117="","",AD117-AB117)</f>
        <v/>
      </c>
      <c r="AD117" s="7">
        <f>IF($AH117="","",W117+Z117+T117)</f>
        <v/>
      </c>
      <c r="AE117" s="7">
        <f>IF($AH117="","",AD117-AB117-P117)</f>
        <v/>
      </c>
      <c r="AF117" s="15" t="n"/>
      <c r="AG117" s="7">
        <f>IF($AH117="","",AE117-N(AF117))</f>
        <v/>
      </c>
      <c r="AH117" s="16">
        <f>IF(ROWS($AH$2:$AH117)&lt;=MAX('Per Line'!$AR$2:$AR$1501),MATCH(ROWS($AH$2:$AH117),'Per Line'!$AR$2:$AR$1501,0),"")</f>
        <v/>
      </c>
      <c r="AI117">
        <f>IF($AH117="","",C117&amp;"|"&amp;COUNTIF($C$2:$C117,C117))</f>
        <v/>
      </c>
    </row>
    <row r="118">
      <c r="A118" s="15" t="n"/>
      <c r="B118">
        <f>IF($AH118="","",INDEX('Per Line'!$E$2:$E$1501,$AH118)&amp;"")</f>
        <v/>
      </c>
      <c r="C118">
        <f>IF($AH118="","",IF(INDEX('Per Line'!$AP$2:$AP$1501,$AH118)="NOT MATCH","NOT MATCH","FULL MATCH"))</f>
        <v/>
      </c>
      <c r="D118">
        <f>IF($AH118="","",INDEX('Per Line'!$A$2:$A$1501,$AH118)&amp;"")</f>
        <v/>
      </c>
      <c r="E118">
        <f>IF($AH118="","",INDEX('Per Line'!$B$2:$B$1501,$AH118))</f>
        <v/>
      </c>
      <c r="F118">
        <f>IF($AH118="","",INDEX('Per Line'!$C$2:$C$1501,$AH118)&amp;"")</f>
        <v/>
      </c>
      <c r="G118">
        <f>IF($AH118="","",INDEX('Per Line'!$D$2:$D$1501,$AH118)&amp;"")</f>
        <v/>
      </c>
      <c r="H118">
        <f>IF($AH118="","",INDEX('Per Line'!$F$2:$F$1501,$AH118)&amp;"")</f>
        <v/>
      </c>
      <c r="I118" s="14">
        <f>IF($AH118="","",INDEX('Per Line'!$G$2:$G$1501,$AH118))</f>
        <v/>
      </c>
      <c r="J118">
        <f>IF($AH118="","",INDEX('Per Line'!$H$2:$H$1501,$AH118)&amp;"")</f>
        <v/>
      </c>
      <c r="K118">
        <f>IF($AH118="","",INDEX('Per Line'!$J$2:$J$1501,$AH118)&amp;"")</f>
        <v/>
      </c>
      <c r="L118">
        <f>IF($AH118="","",INDEX('Per Line'!$K$2:$K$1501,$AH118)&amp;"")</f>
        <v/>
      </c>
      <c r="M118">
        <f>IF($AH118="","",INDEX('Per Line'!$L$2:$L$1501,$AH118)&amp;"")</f>
        <v/>
      </c>
      <c r="N118">
        <f>IF($AH118="","",INDEX('Per Line'!$M$2:$M$1501,$AH118)&amp;"")</f>
        <v/>
      </c>
      <c r="O118">
        <f>IF($AH118="","",INDEX('Per Line'!$P$2:$P$1501,$AH118))</f>
        <v/>
      </c>
      <c r="P118" s="7">
        <f>IF($AH118="","",O118*AD118/100)</f>
        <v/>
      </c>
      <c r="Q118">
        <f>IF($AH118="","",INDEX('Per Line'!$R$2:$R$1501,$AH118)&amp;"")</f>
        <v/>
      </c>
      <c r="R118">
        <f>IF($AH118="","",INDEX('Per Line'!$AB$2:$AB$1501,$AH118)&amp;"")</f>
        <v/>
      </c>
      <c r="S118">
        <f>IF($AH118="","",Settings!$C$8)</f>
        <v/>
      </c>
      <c r="T118" s="7">
        <f>IF($AH118="","",SUMIFS('Per Line'!$Z$2:$Z$1501,'Per Line'!$E$2:$E$1501,$B118,'Per Line'!$AT$2:$AT$1501,1))</f>
        <v/>
      </c>
      <c r="U118" s="7">
        <f>IF($AH118="","",T118*S118)</f>
        <v/>
      </c>
      <c r="V118">
        <f>IF($AH118="","",Settings!$C$7)</f>
        <v/>
      </c>
      <c r="W118" s="7">
        <f>IF($AH118="","",SUMIFS('Per Line'!$Z$2:$Z$1501,'Per Line'!$E$2:$E$1501,$B118,'Per Line'!$AS$2:$AS$1501,0,'Per Line'!$AT$2:$AT$1501,0))</f>
        <v/>
      </c>
      <c r="X118" s="7">
        <f>IF($AH118="","",W118*V118)</f>
        <v/>
      </c>
      <c r="Y118">
        <f>IF($AH118="","",Settings!$C$6)</f>
        <v/>
      </c>
      <c r="Z118" s="7">
        <f>IF($AH118="","",SUMIFS('Per Line'!$Z$2:$Z$1501,'Per Line'!$E$2:$E$1501,$B118,'Per Line'!$AS$2:$AS$1501,1,'Per Line'!$AT$2:$AT$1501,0))</f>
        <v/>
      </c>
      <c r="AA118" s="7">
        <f>IF($AH118="","",Z118*Y118)</f>
        <v/>
      </c>
      <c r="AB118" s="7">
        <f>IF($AH118="","",AA118+X118+U118)</f>
        <v/>
      </c>
      <c r="AC118" s="7">
        <f>IF($AH118="","",AD118-AB118)</f>
        <v/>
      </c>
      <c r="AD118" s="7">
        <f>IF($AH118="","",W118+Z118+T118)</f>
        <v/>
      </c>
      <c r="AE118" s="7">
        <f>IF($AH118="","",AD118-AB118-P118)</f>
        <v/>
      </c>
      <c r="AF118" s="15" t="n"/>
      <c r="AG118" s="7">
        <f>IF($AH118="","",AE118-N(AF118))</f>
        <v/>
      </c>
      <c r="AH118" s="16">
        <f>IF(ROWS($AH$2:$AH118)&lt;=MAX('Per Line'!$AR$2:$AR$1501),MATCH(ROWS($AH$2:$AH118),'Per Line'!$AR$2:$AR$1501,0),"")</f>
        <v/>
      </c>
      <c r="AI118">
        <f>IF($AH118="","",C118&amp;"|"&amp;COUNTIF($C$2:$C118,C118))</f>
        <v/>
      </c>
    </row>
    <row r="119">
      <c r="A119" s="15" t="n"/>
      <c r="B119">
        <f>IF($AH119="","",INDEX('Per Line'!$E$2:$E$1501,$AH119)&amp;"")</f>
        <v/>
      </c>
      <c r="C119">
        <f>IF($AH119="","",IF(INDEX('Per Line'!$AP$2:$AP$1501,$AH119)="NOT MATCH","NOT MATCH","FULL MATCH"))</f>
        <v/>
      </c>
      <c r="D119">
        <f>IF($AH119="","",INDEX('Per Line'!$A$2:$A$1501,$AH119)&amp;"")</f>
        <v/>
      </c>
      <c r="E119">
        <f>IF($AH119="","",INDEX('Per Line'!$B$2:$B$1501,$AH119))</f>
        <v/>
      </c>
      <c r="F119">
        <f>IF($AH119="","",INDEX('Per Line'!$C$2:$C$1501,$AH119)&amp;"")</f>
        <v/>
      </c>
      <c r="G119">
        <f>IF($AH119="","",INDEX('Per Line'!$D$2:$D$1501,$AH119)&amp;"")</f>
        <v/>
      </c>
      <c r="H119">
        <f>IF($AH119="","",INDEX('Per Line'!$F$2:$F$1501,$AH119)&amp;"")</f>
        <v/>
      </c>
      <c r="I119" s="14">
        <f>IF($AH119="","",INDEX('Per Line'!$G$2:$G$1501,$AH119))</f>
        <v/>
      </c>
      <c r="J119">
        <f>IF($AH119="","",INDEX('Per Line'!$H$2:$H$1501,$AH119)&amp;"")</f>
        <v/>
      </c>
      <c r="K119">
        <f>IF($AH119="","",INDEX('Per Line'!$J$2:$J$1501,$AH119)&amp;"")</f>
        <v/>
      </c>
      <c r="L119">
        <f>IF($AH119="","",INDEX('Per Line'!$K$2:$K$1501,$AH119)&amp;"")</f>
        <v/>
      </c>
      <c r="M119">
        <f>IF($AH119="","",INDEX('Per Line'!$L$2:$L$1501,$AH119)&amp;"")</f>
        <v/>
      </c>
      <c r="N119">
        <f>IF($AH119="","",INDEX('Per Line'!$M$2:$M$1501,$AH119)&amp;"")</f>
        <v/>
      </c>
      <c r="O119">
        <f>IF($AH119="","",INDEX('Per Line'!$P$2:$P$1501,$AH119))</f>
        <v/>
      </c>
      <c r="P119" s="7">
        <f>IF($AH119="","",O119*AD119/100)</f>
        <v/>
      </c>
      <c r="Q119">
        <f>IF($AH119="","",INDEX('Per Line'!$R$2:$R$1501,$AH119)&amp;"")</f>
        <v/>
      </c>
      <c r="R119">
        <f>IF($AH119="","",INDEX('Per Line'!$AB$2:$AB$1501,$AH119)&amp;"")</f>
        <v/>
      </c>
      <c r="S119">
        <f>IF($AH119="","",Settings!$C$8)</f>
        <v/>
      </c>
      <c r="T119" s="7">
        <f>IF($AH119="","",SUMIFS('Per Line'!$Z$2:$Z$1501,'Per Line'!$E$2:$E$1501,$B119,'Per Line'!$AT$2:$AT$1501,1))</f>
        <v/>
      </c>
      <c r="U119" s="7">
        <f>IF($AH119="","",T119*S119)</f>
        <v/>
      </c>
      <c r="V119">
        <f>IF($AH119="","",Settings!$C$7)</f>
        <v/>
      </c>
      <c r="W119" s="7">
        <f>IF($AH119="","",SUMIFS('Per Line'!$Z$2:$Z$1501,'Per Line'!$E$2:$E$1501,$B119,'Per Line'!$AS$2:$AS$1501,0,'Per Line'!$AT$2:$AT$1501,0))</f>
        <v/>
      </c>
      <c r="X119" s="7">
        <f>IF($AH119="","",W119*V119)</f>
        <v/>
      </c>
      <c r="Y119">
        <f>IF($AH119="","",Settings!$C$6)</f>
        <v/>
      </c>
      <c r="Z119" s="7">
        <f>IF($AH119="","",SUMIFS('Per Line'!$Z$2:$Z$1501,'Per Line'!$E$2:$E$1501,$B119,'Per Line'!$AS$2:$AS$1501,1,'Per Line'!$AT$2:$AT$1501,0))</f>
        <v/>
      </c>
      <c r="AA119" s="7">
        <f>IF($AH119="","",Z119*Y119)</f>
        <v/>
      </c>
      <c r="AB119" s="7">
        <f>IF($AH119="","",AA119+X119+U119)</f>
        <v/>
      </c>
      <c r="AC119" s="7">
        <f>IF($AH119="","",AD119-AB119)</f>
        <v/>
      </c>
      <c r="AD119" s="7">
        <f>IF($AH119="","",W119+Z119+T119)</f>
        <v/>
      </c>
      <c r="AE119" s="7">
        <f>IF($AH119="","",AD119-AB119-P119)</f>
        <v/>
      </c>
      <c r="AF119" s="15" t="n"/>
      <c r="AG119" s="7">
        <f>IF($AH119="","",AE119-N(AF119))</f>
        <v/>
      </c>
      <c r="AH119" s="16">
        <f>IF(ROWS($AH$2:$AH119)&lt;=MAX('Per Line'!$AR$2:$AR$1501),MATCH(ROWS($AH$2:$AH119),'Per Line'!$AR$2:$AR$1501,0),"")</f>
        <v/>
      </c>
      <c r="AI119">
        <f>IF($AH119="","",C119&amp;"|"&amp;COUNTIF($C$2:$C119,C119))</f>
        <v/>
      </c>
    </row>
    <row r="120">
      <c r="A120" s="15" t="n"/>
      <c r="B120">
        <f>IF($AH120="","",INDEX('Per Line'!$E$2:$E$1501,$AH120)&amp;"")</f>
        <v/>
      </c>
      <c r="C120">
        <f>IF($AH120="","",IF(INDEX('Per Line'!$AP$2:$AP$1501,$AH120)="NOT MATCH","NOT MATCH","FULL MATCH"))</f>
        <v/>
      </c>
      <c r="D120">
        <f>IF($AH120="","",INDEX('Per Line'!$A$2:$A$1501,$AH120)&amp;"")</f>
        <v/>
      </c>
      <c r="E120">
        <f>IF($AH120="","",INDEX('Per Line'!$B$2:$B$1501,$AH120))</f>
        <v/>
      </c>
      <c r="F120">
        <f>IF($AH120="","",INDEX('Per Line'!$C$2:$C$1501,$AH120)&amp;"")</f>
        <v/>
      </c>
      <c r="G120">
        <f>IF($AH120="","",INDEX('Per Line'!$D$2:$D$1501,$AH120)&amp;"")</f>
        <v/>
      </c>
      <c r="H120">
        <f>IF($AH120="","",INDEX('Per Line'!$F$2:$F$1501,$AH120)&amp;"")</f>
        <v/>
      </c>
      <c r="I120" s="14">
        <f>IF($AH120="","",INDEX('Per Line'!$G$2:$G$1501,$AH120))</f>
        <v/>
      </c>
      <c r="J120">
        <f>IF($AH120="","",INDEX('Per Line'!$H$2:$H$1501,$AH120)&amp;"")</f>
        <v/>
      </c>
      <c r="K120">
        <f>IF($AH120="","",INDEX('Per Line'!$J$2:$J$1501,$AH120)&amp;"")</f>
        <v/>
      </c>
      <c r="L120">
        <f>IF($AH120="","",INDEX('Per Line'!$K$2:$K$1501,$AH120)&amp;"")</f>
        <v/>
      </c>
      <c r="M120">
        <f>IF($AH120="","",INDEX('Per Line'!$L$2:$L$1501,$AH120)&amp;"")</f>
        <v/>
      </c>
      <c r="N120">
        <f>IF($AH120="","",INDEX('Per Line'!$M$2:$M$1501,$AH120)&amp;"")</f>
        <v/>
      </c>
      <c r="O120">
        <f>IF($AH120="","",INDEX('Per Line'!$P$2:$P$1501,$AH120))</f>
        <v/>
      </c>
      <c r="P120" s="7">
        <f>IF($AH120="","",O120*AD120/100)</f>
        <v/>
      </c>
      <c r="Q120">
        <f>IF($AH120="","",INDEX('Per Line'!$R$2:$R$1501,$AH120)&amp;"")</f>
        <v/>
      </c>
      <c r="R120">
        <f>IF($AH120="","",INDEX('Per Line'!$AB$2:$AB$1501,$AH120)&amp;"")</f>
        <v/>
      </c>
      <c r="S120">
        <f>IF($AH120="","",Settings!$C$8)</f>
        <v/>
      </c>
      <c r="T120" s="7">
        <f>IF($AH120="","",SUMIFS('Per Line'!$Z$2:$Z$1501,'Per Line'!$E$2:$E$1501,$B120,'Per Line'!$AT$2:$AT$1501,1))</f>
        <v/>
      </c>
      <c r="U120" s="7">
        <f>IF($AH120="","",T120*S120)</f>
        <v/>
      </c>
      <c r="V120">
        <f>IF($AH120="","",Settings!$C$7)</f>
        <v/>
      </c>
      <c r="W120" s="7">
        <f>IF($AH120="","",SUMIFS('Per Line'!$Z$2:$Z$1501,'Per Line'!$E$2:$E$1501,$B120,'Per Line'!$AS$2:$AS$1501,0,'Per Line'!$AT$2:$AT$1501,0))</f>
        <v/>
      </c>
      <c r="X120" s="7">
        <f>IF($AH120="","",W120*V120)</f>
        <v/>
      </c>
      <c r="Y120">
        <f>IF($AH120="","",Settings!$C$6)</f>
        <v/>
      </c>
      <c r="Z120" s="7">
        <f>IF($AH120="","",SUMIFS('Per Line'!$Z$2:$Z$1501,'Per Line'!$E$2:$E$1501,$B120,'Per Line'!$AS$2:$AS$1501,1,'Per Line'!$AT$2:$AT$1501,0))</f>
        <v/>
      </c>
      <c r="AA120" s="7">
        <f>IF($AH120="","",Z120*Y120)</f>
        <v/>
      </c>
      <c r="AB120" s="7">
        <f>IF($AH120="","",AA120+X120+U120)</f>
        <v/>
      </c>
      <c r="AC120" s="7">
        <f>IF($AH120="","",AD120-AB120)</f>
        <v/>
      </c>
      <c r="AD120" s="7">
        <f>IF($AH120="","",W120+Z120+T120)</f>
        <v/>
      </c>
      <c r="AE120" s="7">
        <f>IF($AH120="","",AD120-AB120-P120)</f>
        <v/>
      </c>
      <c r="AF120" s="15" t="n"/>
      <c r="AG120" s="7">
        <f>IF($AH120="","",AE120-N(AF120))</f>
        <v/>
      </c>
      <c r="AH120" s="16">
        <f>IF(ROWS($AH$2:$AH120)&lt;=MAX('Per Line'!$AR$2:$AR$1501),MATCH(ROWS($AH$2:$AH120),'Per Line'!$AR$2:$AR$1501,0),"")</f>
        <v/>
      </c>
      <c r="AI120">
        <f>IF($AH120="","",C120&amp;"|"&amp;COUNTIF($C$2:$C120,C120))</f>
        <v/>
      </c>
    </row>
    <row r="121">
      <c r="A121" s="15" t="n"/>
      <c r="B121">
        <f>IF($AH121="","",INDEX('Per Line'!$E$2:$E$1501,$AH121)&amp;"")</f>
        <v/>
      </c>
      <c r="C121">
        <f>IF($AH121="","",IF(INDEX('Per Line'!$AP$2:$AP$1501,$AH121)="NOT MATCH","NOT MATCH","FULL MATCH"))</f>
        <v/>
      </c>
      <c r="D121">
        <f>IF($AH121="","",INDEX('Per Line'!$A$2:$A$1501,$AH121)&amp;"")</f>
        <v/>
      </c>
      <c r="E121">
        <f>IF($AH121="","",INDEX('Per Line'!$B$2:$B$1501,$AH121))</f>
        <v/>
      </c>
      <c r="F121">
        <f>IF($AH121="","",INDEX('Per Line'!$C$2:$C$1501,$AH121)&amp;"")</f>
        <v/>
      </c>
      <c r="G121">
        <f>IF($AH121="","",INDEX('Per Line'!$D$2:$D$1501,$AH121)&amp;"")</f>
        <v/>
      </c>
      <c r="H121">
        <f>IF($AH121="","",INDEX('Per Line'!$F$2:$F$1501,$AH121)&amp;"")</f>
        <v/>
      </c>
      <c r="I121" s="14">
        <f>IF($AH121="","",INDEX('Per Line'!$G$2:$G$1501,$AH121))</f>
        <v/>
      </c>
      <c r="J121">
        <f>IF($AH121="","",INDEX('Per Line'!$H$2:$H$1501,$AH121)&amp;"")</f>
        <v/>
      </c>
      <c r="K121">
        <f>IF($AH121="","",INDEX('Per Line'!$J$2:$J$1501,$AH121)&amp;"")</f>
        <v/>
      </c>
      <c r="L121">
        <f>IF($AH121="","",INDEX('Per Line'!$K$2:$K$1501,$AH121)&amp;"")</f>
        <v/>
      </c>
      <c r="M121">
        <f>IF($AH121="","",INDEX('Per Line'!$L$2:$L$1501,$AH121)&amp;"")</f>
        <v/>
      </c>
      <c r="N121">
        <f>IF($AH121="","",INDEX('Per Line'!$M$2:$M$1501,$AH121)&amp;"")</f>
        <v/>
      </c>
      <c r="O121">
        <f>IF($AH121="","",INDEX('Per Line'!$P$2:$P$1501,$AH121))</f>
        <v/>
      </c>
      <c r="P121" s="7">
        <f>IF($AH121="","",O121*AD121/100)</f>
        <v/>
      </c>
      <c r="Q121">
        <f>IF($AH121="","",INDEX('Per Line'!$R$2:$R$1501,$AH121)&amp;"")</f>
        <v/>
      </c>
      <c r="R121">
        <f>IF($AH121="","",INDEX('Per Line'!$AB$2:$AB$1501,$AH121)&amp;"")</f>
        <v/>
      </c>
      <c r="S121">
        <f>IF($AH121="","",Settings!$C$8)</f>
        <v/>
      </c>
      <c r="T121" s="7">
        <f>IF($AH121="","",SUMIFS('Per Line'!$Z$2:$Z$1501,'Per Line'!$E$2:$E$1501,$B121,'Per Line'!$AT$2:$AT$1501,1))</f>
        <v/>
      </c>
      <c r="U121" s="7">
        <f>IF($AH121="","",T121*S121)</f>
        <v/>
      </c>
      <c r="V121">
        <f>IF($AH121="","",Settings!$C$7)</f>
        <v/>
      </c>
      <c r="W121" s="7">
        <f>IF($AH121="","",SUMIFS('Per Line'!$Z$2:$Z$1501,'Per Line'!$E$2:$E$1501,$B121,'Per Line'!$AS$2:$AS$1501,0,'Per Line'!$AT$2:$AT$1501,0))</f>
        <v/>
      </c>
      <c r="X121" s="7">
        <f>IF($AH121="","",W121*V121)</f>
        <v/>
      </c>
      <c r="Y121">
        <f>IF($AH121="","",Settings!$C$6)</f>
        <v/>
      </c>
      <c r="Z121" s="7">
        <f>IF($AH121="","",SUMIFS('Per Line'!$Z$2:$Z$1501,'Per Line'!$E$2:$E$1501,$B121,'Per Line'!$AS$2:$AS$1501,1,'Per Line'!$AT$2:$AT$1501,0))</f>
        <v/>
      </c>
      <c r="AA121" s="7">
        <f>IF($AH121="","",Z121*Y121)</f>
        <v/>
      </c>
      <c r="AB121" s="7">
        <f>IF($AH121="","",AA121+X121+U121)</f>
        <v/>
      </c>
      <c r="AC121" s="7">
        <f>IF($AH121="","",AD121-AB121)</f>
        <v/>
      </c>
      <c r="AD121" s="7">
        <f>IF($AH121="","",W121+Z121+T121)</f>
        <v/>
      </c>
      <c r="AE121" s="7">
        <f>IF($AH121="","",AD121-AB121-P121)</f>
        <v/>
      </c>
      <c r="AF121" s="15" t="n"/>
      <c r="AG121" s="7">
        <f>IF($AH121="","",AE121-N(AF121))</f>
        <v/>
      </c>
      <c r="AH121" s="16">
        <f>IF(ROWS($AH$2:$AH121)&lt;=MAX('Per Line'!$AR$2:$AR$1501),MATCH(ROWS($AH$2:$AH121),'Per Line'!$AR$2:$AR$1501,0),"")</f>
        <v/>
      </c>
      <c r="AI121">
        <f>IF($AH121="","",C121&amp;"|"&amp;COUNTIF($C$2:$C121,C121))</f>
        <v/>
      </c>
    </row>
    <row r="122">
      <c r="A122" s="15" t="n"/>
      <c r="B122">
        <f>IF($AH122="","",INDEX('Per Line'!$E$2:$E$1501,$AH122)&amp;"")</f>
        <v/>
      </c>
      <c r="C122">
        <f>IF($AH122="","",IF(INDEX('Per Line'!$AP$2:$AP$1501,$AH122)="NOT MATCH","NOT MATCH","FULL MATCH"))</f>
        <v/>
      </c>
      <c r="D122">
        <f>IF($AH122="","",INDEX('Per Line'!$A$2:$A$1501,$AH122)&amp;"")</f>
        <v/>
      </c>
      <c r="E122">
        <f>IF($AH122="","",INDEX('Per Line'!$B$2:$B$1501,$AH122))</f>
        <v/>
      </c>
      <c r="F122">
        <f>IF($AH122="","",INDEX('Per Line'!$C$2:$C$1501,$AH122)&amp;"")</f>
        <v/>
      </c>
      <c r="G122">
        <f>IF($AH122="","",INDEX('Per Line'!$D$2:$D$1501,$AH122)&amp;"")</f>
        <v/>
      </c>
      <c r="H122">
        <f>IF($AH122="","",INDEX('Per Line'!$F$2:$F$1501,$AH122)&amp;"")</f>
        <v/>
      </c>
      <c r="I122" s="14">
        <f>IF($AH122="","",INDEX('Per Line'!$G$2:$G$1501,$AH122))</f>
        <v/>
      </c>
      <c r="J122">
        <f>IF($AH122="","",INDEX('Per Line'!$H$2:$H$1501,$AH122)&amp;"")</f>
        <v/>
      </c>
      <c r="K122">
        <f>IF($AH122="","",INDEX('Per Line'!$J$2:$J$1501,$AH122)&amp;"")</f>
        <v/>
      </c>
      <c r="L122">
        <f>IF($AH122="","",INDEX('Per Line'!$K$2:$K$1501,$AH122)&amp;"")</f>
        <v/>
      </c>
      <c r="M122">
        <f>IF($AH122="","",INDEX('Per Line'!$L$2:$L$1501,$AH122)&amp;"")</f>
        <v/>
      </c>
      <c r="N122">
        <f>IF($AH122="","",INDEX('Per Line'!$M$2:$M$1501,$AH122)&amp;"")</f>
        <v/>
      </c>
      <c r="O122">
        <f>IF($AH122="","",INDEX('Per Line'!$P$2:$P$1501,$AH122))</f>
        <v/>
      </c>
      <c r="P122" s="7">
        <f>IF($AH122="","",O122*AD122/100)</f>
        <v/>
      </c>
      <c r="Q122">
        <f>IF($AH122="","",INDEX('Per Line'!$R$2:$R$1501,$AH122)&amp;"")</f>
        <v/>
      </c>
      <c r="R122">
        <f>IF($AH122="","",INDEX('Per Line'!$AB$2:$AB$1501,$AH122)&amp;"")</f>
        <v/>
      </c>
      <c r="S122">
        <f>IF($AH122="","",Settings!$C$8)</f>
        <v/>
      </c>
      <c r="T122" s="7">
        <f>IF($AH122="","",SUMIFS('Per Line'!$Z$2:$Z$1501,'Per Line'!$E$2:$E$1501,$B122,'Per Line'!$AT$2:$AT$1501,1))</f>
        <v/>
      </c>
      <c r="U122" s="7">
        <f>IF($AH122="","",T122*S122)</f>
        <v/>
      </c>
      <c r="V122">
        <f>IF($AH122="","",Settings!$C$7)</f>
        <v/>
      </c>
      <c r="W122" s="7">
        <f>IF($AH122="","",SUMIFS('Per Line'!$Z$2:$Z$1501,'Per Line'!$E$2:$E$1501,$B122,'Per Line'!$AS$2:$AS$1501,0,'Per Line'!$AT$2:$AT$1501,0))</f>
        <v/>
      </c>
      <c r="X122" s="7">
        <f>IF($AH122="","",W122*V122)</f>
        <v/>
      </c>
      <c r="Y122">
        <f>IF($AH122="","",Settings!$C$6)</f>
        <v/>
      </c>
      <c r="Z122" s="7">
        <f>IF($AH122="","",SUMIFS('Per Line'!$Z$2:$Z$1501,'Per Line'!$E$2:$E$1501,$B122,'Per Line'!$AS$2:$AS$1501,1,'Per Line'!$AT$2:$AT$1501,0))</f>
        <v/>
      </c>
      <c r="AA122" s="7">
        <f>IF($AH122="","",Z122*Y122)</f>
        <v/>
      </c>
      <c r="AB122" s="7">
        <f>IF($AH122="","",AA122+X122+U122)</f>
        <v/>
      </c>
      <c r="AC122" s="7">
        <f>IF($AH122="","",AD122-AB122)</f>
        <v/>
      </c>
      <c r="AD122" s="7">
        <f>IF($AH122="","",W122+Z122+T122)</f>
        <v/>
      </c>
      <c r="AE122" s="7">
        <f>IF($AH122="","",AD122-AB122-P122)</f>
        <v/>
      </c>
      <c r="AF122" s="15" t="n"/>
      <c r="AG122" s="7">
        <f>IF($AH122="","",AE122-N(AF122))</f>
        <v/>
      </c>
      <c r="AH122" s="16">
        <f>IF(ROWS($AH$2:$AH122)&lt;=MAX('Per Line'!$AR$2:$AR$1501),MATCH(ROWS($AH$2:$AH122),'Per Line'!$AR$2:$AR$1501,0),"")</f>
        <v/>
      </c>
      <c r="AI122">
        <f>IF($AH122="","",C122&amp;"|"&amp;COUNTIF($C$2:$C122,C122))</f>
        <v/>
      </c>
    </row>
    <row r="123">
      <c r="A123" s="15" t="n"/>
      <c r="B123">
        <f>IF($AH123="","",INDEX('Per Line'!$E$2:$E$1501,$AH123)&amp;"")</f>
        <v/>
      </c>
      <c r="C123">
        <f>IF($AH123="","",IF(INDEX('Per Line'!$AP$2:$AP$1501,$AH123)="NOT MATCH","NOT MATCH","FULL MATCH"))</f>
        <v/>
      </c>
      <c r="D123">
        <f>IF($AH123="","",INDEX('Per Line'!$A$2:$A$1501,$AH123)&amp;"")</f>
        <v/>
      </c>
      <c r="E123">
        <f>IF($AH123="","",INDEX('Per Line'!$B$2:$B$1501,$AH123))</f>
        <v/>
      </c>
      <c r="F123">
        <f>IF($AH123="","",INDEX('Per Line'!$C$2:$C$1501,$AH123)&amp;"")</f>
        <v/>
      </c>
      <c r="G123">
        <f>IF($AH123="","",INDEX('Per Line'!$D$2:$D$1501,$AH123)&amp;"")</f>
        <v/>
      </c>
      <c r="H123">
        <f>IF($AH123="","",INDEX('Per Line'!$F$2:$F$1501,$AH123)&amp;"")</f>
        <v/>
      </c>
      <c r="I123" s="14">
        <f>IF($AH123="","",INDEX('Per Line'!$G$2:$G$1501,$AH123))</f>
        <v/>
      </c>
      <c r="J123">
        <f>IF($AH123="","",INDEX('Per Line'!$H$2:$H$1501,$AH123)&amp;"")</f>
        <v/>
      </c>
      <c r="K123">
        <f>IF($AH123="","",INDEX('Per Line'!$J$2:$J$1501,$AH123)&amp;"")</f>
        <v/>
      </c>
      <c r="L123">
        <f>IF($AH123="","",INDEX('Per Line'!$K$2:$K$1501,$AH123)&amp;"")</f>
        <v/>
      </c>
      <c r="M123">
        <f>IF($AH123="","",INDEX('Per Line'!$L$2:$L$1501,$AH123)&amp;"")</f>
        <v/>
      </c>
      <c r="N123">
        <f>IF($AH123="","",INDEX('Per Line'!$M$2:$M$1501,$AH123)&amp;"")</f>
        <v/>
      </c>
      <c r="O123">
        <f>IF($AH123="","",INDEX('Per Line'!$P$2:$P$1501,$AH123))</f>
        <v/>
      </c>
      <c r="P123" s="7">
        <f>IF($AH123="","",O123*AD123/100)</f>
        <v/>
      </c>
      <c r="Q123">
        <f>IF($AH123="","",INDEX('Per Line'!$R$2:$R$1501,$AH123)&amp;"")</f>
        <v/>
      </c>
      <c r="R123">
        <f>IF($AH123="","",INDEX('Per Line'!$AB$2:$AB$1501,$AH123)&amp;"")</f>
        <v/>
      </c>
      <c r="S123">
        <f>IF($AH123="","",Settings!$C$8)</f>
        <v/>
      </c>
      <c r="T123" s="7">
        <f>IF($AH123="","",SUMIFS('Per Line'!$Z$2:$Z$1501,'Per Line'!$E$2:$E$1501,$B123,'Per Line'!$AT$2:$AT$1501,1))</f>
        <v/>
      </c>
      <c r="U123" s="7">
        <f>IF($AH123="","",T123*S123)</f>
        <v/>
      </c>
      <c r="V123">
        <f>IF($AH123="","",Settings!$C$7)</f>
        <v/>
      </c>
      <c r="W123" s="7">
        <f>IF($AH123="","",SUMIFS('Per Line'!$Z$2:$Z$1501,'Per Line'!$E$2:$E$1501,$B123,'Per Line'!$AS$2:$AS$1501,0,'Per Line'!$AT$2:$AT$1501,0))</f>
        <v/>
      </c>
      <c r="X123" s="7">
        <f>IF($AH123="","",W123*V123)</f>
        <v/>
      </c>
      <c r="Y123">
        <f>IF($AH123="","",Settings!$C$6)</f>
        <v/>
      </c>
      <c r="Z123" s="7">
        <f>IF($AH123="","",SUMIFS('Per Line'!$Z$2:$Z$1501,'Per Line'!$E$2:$E$1501,$B123,'Per Line'!$AS$2:$AS$1501,1,'Per Line'!$AT$2:$AT$1501,0))</f>
        <v/>
      </c>
      <c r="AA123" s="7">
        <f>IF($AH123="","",Z123*Y123)</f>
        <v/>
      </c>
      <c r="AB123" s="7">
        <f>IF($AH123="","",AA123+X123+U123)</f>
        <v/>
      </c>
      <c r="AC123" s="7">
        <f>IF($AH123="","",AD123-AB123)</f>
        <v/>
      </c>
      <c r="AD123" s="7">
        <f>IF($AH123="","",W123+Z123+T123)</f>
        <v/>
      </c>
      <c r="AE123" s="7">
        <f>IF($AH123="","",AD123-AB123-P123)</f>
        <v/>
      </c>
      <c r="AF123" s="15" t="n"/>
      <c r="AG123" s="7">
        <f>IF($AH123="","",AE123-N(AF123))</f>
        <v/>
      </c>
      <c r="AH123" s="16">
        <f>IF(ROWS($AH$2:$AH123)&lt;=MAX('Per Line'!$AR$2:$AR$1501),MATCH(ROWS($AH$2:$AH123),'Per Line'!$AR$2:$AR$1501,0),"")</f>
        <v/>
      </c>
      <c r="AI123">
        <f>IF($AH123="","",C123&amp;"|"&amp;COUNTIF($C$2:$C123,C123))</f>
        <v/>
      </c>
    </row>
    <row r="124">
      <c r="A124" s="15" t="n"/>
      <c r="B124">
        <f>IF($AH124="","",INDEX('Per Line'!$E$2:$E$1501,$AH124)&amp;"")</f>
        <v/>
      </c>
      <c r="C124">
        <f>IF($AH124="","",IF(INDEX('Per Line'!$AP$2:$AP$1501,$AH124)="NOT MATCH","NOT MATCH","FULL MATCH"))</f>
        <v/>
      </c>
      <c r="D124">
        <f>IF($AH124="","",INDEX('Per Line'!$A$2:$A$1501,$AH124)&amp;"")</f>
        <v/>
      </c>
      <c r="E124">
        <f>IF($AH124="","",INDEX('Per Line'!$B$2:$B$1501,$AH124))</f>
        <v/>
      </c>
      <c r="F124">
        <f>IF($AH124="","",INDEX('Per Line'!$C$2:$C$1501,$AH124)&amp;"")</f>
        <v/>
      </c>
      <c r="G124">
        <f>IF($AH124="","",INDEX('Per Line'!$D$2:$D$1501,$AH124)&amp;"")</f>
        <v/>
      </c>
      <c r="H124">
        <f>IF($AH124="","",INDEX('Per Line'!$F$2:$F$1501,$AH124)&amp;"")</f>
        <v/>
      </c>
      <c r="I124" s="14">
        <f>IF($AH124="","",INDEX('Per Line'!$G$2:$G$1501,$AH124))</f>
        <v/>
      </c>
      <c r="J124">
        <f>IF($AH124="","",INDEX('Per Line'!$H$2:$H$1501,$AH124)&amp;"")</f>
        <v/>
      </c>
      <c r="K124">
        <f>IF($AH124="","",INDEX('Per Line'!$J$2:$J$1501,$AH124)&amp;"")</f>
        <v/>
      </c>
      <c r="L124">
        <f>IF($AH124="","",INDEX('Per Line'!$K$2:$K$1501,$AH124)&amp;"")</f>
        <v/>
      </c>
      <c r="M124">
        <f>IF($AH124="","",INDEX('Per Line'!$L$2:$L$1501,$AH124)&amp;"")</f>
        <v/>
      </c>
      <c r="N124">
        <f>IF($AH124="","",INDEX('Per Line'!$M$2:$M$1501,$AH124)&amp;"")</f>
        <v/>
      </c>
      <c r="O124">
        <f>IF($AH124="","",INDEX('Per Line'!$P$2:$P$1501,$AH124))</f>
        <v/>
      </c>
      <c r="P124" s="7">
        <f>IF($AH124="","",O124*AD124/100)</f>
        <v/>
      </c>
      <c r="Q124">
        <f>IF($AH124="","",INDEX('Per Line'!$R$2:$R$1501,$AH124)&amp;"")</f>
        <v/>
      </c>
      <c r="R124">
        <f>IF($AH124="","",INDEX('Per Line'!$AB$2:$AB$1501,$AH124)&amp;"")</f>
        <v/>
      </c>
      <c r="S124">
        <f>IF($AH124="","",Settings!$C$8)</f>
        <v/>
      </c>
      <c r="T124" s="7">
        <f>IF($AH124="","",SUMIFS('Per Line'!$Z$2:$Z$1501,'Per Line'!$E$2:$E$1501,$B124,'Per Line'!$AT$2:$AT$1501,1))</f>
        <v/>
      </c>
      <c r="U124" s="7">
        <f>IF($AH124="","",T124*S124)</f>
        <v/>
      </c>
      <c r="V124">
        <f>IF($AH124="","",Settings!$C$7)</f>
        <v/>
      </c>
      <c r="W124" s="7">
        <f>IF($AH124="","",SUMIFS('Per Line'!$Z$2:$Z$1501,'Per Line'!$E$2:$E$1501,$B124,'Per Line'!$AS$2:$AS$1501,0,'Per Line'!$AT$2:$AT$1501,0))</f>
        <v/>
      </c>
      <c r="X124" s="7">
        <f>IF($AH124="","",W124*V124)</f>
        <v/>
      </c>
      <c r="Y124">
        <f>IF($AH124="","",Settings!$C$6)</f>
        <v/>
      </c>
      <c r="Z124" s="7">
        <f>IF($AH124="","",SUMIFS('Per Line'!$Z$2:$Z$1501,'Per Line'!$E$2:$E$1501,$B124,'Per Line'!$AS$2:$AS$1501,1,'Per Line'!$AT$2:$AT$1501,0))</f>
        <v/>
      </c>
      <c r="AA124" s="7">
        <f>IF($AH124="","",Z124*Y124)</f>
        <v/>
      </c>
      <c r="AB124" s="7">
        <f>IF($AH124="","",AA124+X124+U124)</f>
        <v/>
      </c>
      <c r="AC124" s="7">
        <f>IF($AH124="","",AD124-AB124)</f>
        <v/>
      </c>
      <c r="AD124" s="7">
        <f>IF($AH124="","",W124+Z124+T124)</f>
        <v/>
      </c>
      <c r="AE124" s="7">
        <f>IF($AH124="","",AD124-AB124-P124)</f>
        <v/>
      </c>
      <c r="AF124" s="15" t="n"/>
      <c r="AG124" s="7">
        <f>IF($AH124="","",AE124-N(AF124))</f>
        <v/>
      </c>
      <c r="AH124" s="16">
        <f>IF(ROWS($AH$2:$AH124)&lt;=MAX('Per Line'!$AR$2:$AR$1501),MATCH(ROWS($AH$2:$AH124),'Per Line'!$AR$2:$AR$1501,0),"")</f>
        <v/>
      </c>
      <c r="AI124">
        <f>IF($AH124="","",C124&amp;"|"&amp;COUNTIF($C$2:$C124,C124))</f>
        <v/>
      </c>
    </row>
    <row r="125">
      <c r="A125" s="15" t="n"/>
      <c r="B125">
        <f>IF($AH125="","",INDEX('Per Line'!$E$2:$E$1501,$AH125)&amp;"")</f>
        <v/>
      </c>
      <c r="C125">
        <f>IF($AH125="","",IF(INDEX('Per Line'!$AP$2:$AP$1501,$AH125)="NOT MATCH","NOT MATCH","FULL MATCH"))</f>
        <v/>
      </c>
      <c r="D125">
        <f>IF($AH125="","",INDEX('Per Line'!$A$2:$A$1501,$AH125)&amp;"")</f>
        <v/>
      </c>
      <c r="E125">
        <f>IF($AH125="","",INDEX('Per Line'!$B$2:$B$1501,$AH125))</f>
        <v/>
      </c>
      <c r="F125">
        <f>IF($AH125="","",INDEX('Per Line'!$C$2:$C$1501,$AH125)&amp;"")</f>
        <v/>
      </c>
      <c r="G125">
        <f>IF($AH125="","",INDEX('Per Line'!$D$2:$D$1501,$AH125)&amp;"")</f>
        <v/>
      </c>
      <c r="H125">
        <f>IF($AH125="","",INDEX('Per Line'!$F$2:$F$1501,$AH125)&amp;"")</f>
        <v/>
      </c>
      <c r="I125" s="14">
        <f>IF($AH125="","",INDEX('Per Line'!$G$2:$G$1501,$AH125))</f>
        <v/>
      </c>
      <c r="J125">
        <f>IF($AH125="","",INDEX('Per Line'!$H$2:$H$1501,$AH125)&amp;"")</f>
        <v/>
      </c>
      <c r="K125">
        <f>IF($AH125="","",INDEX('Per Line'!$J$2:$J$1501,$AH125)&amp;"")</f>
        <v/>
      </c>
      <c r="L125">
        <f>IF($AH125="","",INDEX('Per Line'!$K$2:$K$1501,$AH125)&amp;"")</f>
        <v/>
      </c>
      <c r="M125">
        <f>IF($AH125="","",INDEX('Per Line'!$L$2:$L$1501,$AH125)&amp;"")</f>
        <v/>
      </c>
      <c r="N125">
        <f>IF($AH125="","",INDEX('Per Line'!$M$2:$M$1501,$AH125)&amp;"")</f>
        <v/>
      </c>
      <c r="O125">
        <f>IF($AH125="","",INDEX('Per Line'!$P$2:$P$1501,$AH125))</f>
        <v/>
      </c>
      <c r="P125" s="7">
        <f>IF($AH125="","",O125*AD125/100)</f>
        <v/>
      </c>
      <c r="Q125">
        <f>IF($AH125="","",INDEX('Per Line'!$R$2:$R$1501,$AH125)&amp;"")</f>
        <v/>
      </c>
      <c r="R125">
        <f>IF($AH125="","",INDEX('Per Line'!$AB$2:$AB$1501,$AH125)&amp;"")</f>
        <v/>
      </c>
      <c r="S125">
        <f>IF($AH125="","",Settings!$C$8)</f>
        <v/>
      </c>
      <c r="T125" s="7">
        <f>IF($AH125="","",SUMIFS('Per Line'!$Z$2:$Z$1501,'Per Line'!$E$2:$E$1501,$B125,'Per Line'!$AT$2:$AT$1501,1))</f>
        <v/>
      </c>
      <c r="U125" s="7">
        <f>IF($AH125="","",T125*S125)</f>
        <v/>
      </c>
      <c r="V125">
        <f>IF($AH125="","",Settings!$C$7)</f>
        <v/>
      </c>
      <c r="W125" s="7">
        <f>IF($AH125="","",SUMIFS('Per Line'!$Z$2:$Z$1501,'Per Line'!$E$2:$E$1501,$B125,'Per Line'!$AS$2:$AS$1501,0,'Per Line'!$AT$2:$AT$1501,0))</f>
        <v/>
      </c>
      <c r="X125" s="7">
        <f>IF($AH125="","",W125*V125)</f>
        <v/>
      </c>
      <c r="Y125">
        <f>IF($AH125="","",Settings!$C$6)</f>
        <v/>
      </c>
      <c r="Z125" s="7">
        <f>IF($AH125="","",SUMIFS('Per Line'!$Z$2:$Z$1501,'Per Line'!$E$2:$E$1501,$B125,'Per Line'!$AS$2:$AS$1501,1,'Per Line'!$AT$2:$AT$1501,0))</f>
        <v/>
      </c>
      <c r="AA125" s="7">
        <f>IF($AH125="","",Z125*Y125)</f>
        <v/>
      </c>
      <c r="AB125" s="7">
        <f>IF($AH125="","",AA125+X125+U125)</f>
        <v/>
      </c>
      <c r="AC125" s="7">
        <f>IF($AH125="","",AD125-AB125)</f>
        <v/>
      </c>
      <c r="AD125" s="7">
        <f>IF($AH125="","",W125+Z125+T125)</f>
        <v/>
      </c>
      <c r="AE125" s="7">
        <f>IF($AH125="","",AD125-AB125-P125)</f>
        <v/>
      </c>
      <c r="AF125" s="15" t="n"/>
      <c r="AG125" s="7">
        <f>IF($AH125="","",AE125-N(AF125))</f>
        <v/>
      </c>
      <c r="AH125" s="16">
        <f>IF(ROWS($AH$2:$AH125)&lt;=MAX('Per Line'!$AR$2:$AR$1501),MATCH(ROWS($AH$2:$AH125),'Per Line'!$AR$2:$AR$1501,0),"")</f>
        <v/>
      </c>
      <c r="AI125">
        <f>IF($AH125="","",C125&amp;"|"&amp;COUNTIF($C$2:$C125,C125))</f>
        <v/>
      </c>
    </row>
    <row r="126">
      <c r="A126" s="15" t="n"/>
      <c r="B126">
        <f>IF($AH126="","",INDEX('Per Line'!$E$2:$E$1501,$AH126)&amp;"")</f>
        <v/>
      </c>
      <c r="C126">
        <f>IF($AH126="","",IF(INDEX('Per Line'!$AP$2:$AP$1501,$AH126)="NOT MATCH","NOT MATCH","FULL MATCH"))</f>
        <v/>
      </c>
      <c r="D126">
        <f>IF($AH126="","",INDEX('Per Line'!$A$2:$A$1501,$AH126)&amp;"")</f>
        <v/>
      </c>
      <c r="E126">
        <f>IF($AH126="","",INDEX('Per Line'!$B$2:$B$1501,$AH126))</f>
        <v/>
      </c>
      <c r="F126">
        <f>IF($AH126="","",INDEX('Per Line'!$C$2:$C$1501,$AH126)&amp;"")</f>
        <v/>
      </c>
      <c r="G126">
        <f>IF($AH126="","",INDEX('Per Line'!$D$2:$D$1501,$AH126)&amp;"")</f>
        <v/>
      </c>
      <c r="H126">
        <f>IF($AH126="","",INDEX('Per Line'!$F$2:$F$1501,$AH126)&amp;"")</f>
        <v/>
      </c>
      <c r="I126" s="14">
        <f>IF($AH126="","",INDEX('Per Line'!$G$2:$G$1501,$AH126))</f>
        <v/>
      </c>
      <c r="J126">
        <f>IF($AH126="","",INDEX('Per Line'!$H$2:$H$1501,$AH126)&amp;"")</f>
        <v/>
      </c>
      <c r="K126">
        <f>IF($AH126="","",INDEX('Per Line'!$J$2:$J$1501,$AH126)&amp;"")</f>
        <v/>
      </c>
      <c r="L126">
        <f>IF($AH126="","",INDEX('Per Line'!$K$2:$K$1501,$AH126)&amp;"")</f>
        <v/>
      </c>
      <c r="M126">
        <f>IF($AH126="","",INDEX('Per Line'!$L$2:$L$1501,$AH126)&amp;"")</f>
        <v/>
      </c>
      <c r="N126">
        <f>IF($AH126="","",INDEX('Per Line'!$M$2:$M$1501,$AH126)&amp;"")</f>
        <v/>
      </c>
      <c r="O126">
        <f>IF($AH126="","",INDEX('Per Line'!$P$2:$P$1501,$AH126))</f>
        <v/>
      </c>
      <c r="P126" s="7">
        <f>IF($AH126="","",O126*AD126/100)</f>
        <v/>
      </c>
      <c r="Q126">
        <f>IF($AH126="","",INDEX('Per Line'!$R$2:$R$1501,$AH126)&amp;"")</f>
        <v/>
      </c>
      <c r="R126">
        <f>IF($AH126="","",INDEX('Per Line'!$AB$2:$AB$1501,$AH126)&amp;"")</f>
        <v/>
      </c>
      <c r="S126">
        <f>IF($AH126="","",Settings!$C$8)</f>
        <v/>
      </c>
      <c r="T126" s="7">
        <f>IF($AH126="","",SUMIFS('Per Line'!$Z$2:$Z$1501,'Per Line'!$E$2:$E$1501,$B126,'Per Line'!$AT$2:$AT$1501,1))</f>
        <v/>
      </c>
      <c r="U126" s="7">
        <f>IF($AH126="","",T126*S126)</f>
        <v/>
      </c>
      <c r="V126">
        <f>IF($AH126="","",Settings!$C$7)</f>
        <v/>
      </c>
      <c r="W126" s="7">
        <f>IF($AH126="","",SUMIFS('Per Line'!$Z$2:$Z$1501,'Per Line'!$E$2:$E$1501,$B126,'Per Line'!$AS$2:$AS$1501,0,'Per Line'!$AT$2:$AT$1501,0))</f>
        <v/>
      </c>
      <c r="X126" s="7">
        <f>IF($AH126="","",W126*V126)</f>
        <v/>
      </c>
      <c r="Y126">
        <f>IF($AH126="","",Settings!$C$6)</f>
        <v/>
      </c>
      <c r="Z126" s="7">
        <f>IF($AH126="","",SUMIFS('Per Line'!$Z$2:$Z$1501,'Per Line'!$E$2:$E$1501,$B126,'Per Line'!$AS$2:$AS$1501,1,'Per Line'!$AT$2:$AT$1501,0))</f>
        <v/>
      </c>
      <c r="AA126" s="7">
        <f>IF($AH126="","",Z126*Y126)</f>
        <v/>
      </c>
      <c r="AB126" s="7">
        <f>IF($AH126="","",AA126+X126+U126)</f>
        <v/>
      </c>
      <c r="AC126" s="7">
        <f>IF($AH126="","",AD126-AB126)</f>
        <v/>
      </c>
      <c r="AD126" s="7">
        <f>IF($AH126="","",W126+Z126+T126)</f>
        <v/>
      </c>
      <c r="AE126" s="7">
        <f>IF($AH126="","",AD126-AB126-P126)</f>
        <v/>
      </c>
      <c r="AF126" s="15" t="n"/>
      <c r="AG126" s="7">
        <f>IF($AH126="","",AE126-N(AF126))</f>
        <v/>
      </c>
      <c r="AH126" s="16">
        <f>IF(ROWS($AH$2:$AH126)&lt;=MAX('Per Line'!$AR$2:$AR$1501),MATCH(ROWS($AH$2:$AH126),'Per Line'!$AR$2:$AR$1501,0),"")</f>
        <v/>
      </c>
      <c r="AI126">
        <f>IF($AH126="","",C126&amp;"|"&amp;COUNTIF($C$2:$C126,C126))</f>
        <v/>
      </c>
    </row>
    <row r="127">
      <c r="A127" s="15" t="n"/>
      <c r="B127">
        <f>IF($AH127="","",INDEX('Per Line'!$E$2:$E$1501,$AH127)&amp;"")</f>
        <v/>
      </c>
      <c r="C127">
        <f>IF($AH127="","",IF(INDEX('Per Line'!$AP$2:$AP$1501,$AH127)="NOT MATCH","NOT MATCH","FULL MATCH"))</f>
        <v/>
      </c>
      <c r="D127">
        <f>IF($AH127="","",INDEX('Per Line'!$A$2:$A$1501,$AH127)&amp;"")</f>
        <v/>
      </c>
      <c r="E127">
        <f>IF($AH127="","",INDEX('Per Line'!$B$2:$B$1501,$AH127))</f>
        <v/>
      </c>
      <c r="F127">
        <f>IF($AH127="","",INDEX('Per Line'!$C$2:$C$1501,$AH127)&amp;"")</f>
        <v/>
      </c>
      <c r="G127">
        <f>IF($AH127="","",INDEX('Per Line'!$D$2:$D$1501,$AH127)&amp;"")</f>
        <v/>
      </c>
      <c r="H127">
        <f>IF($AH127="","",INDEX('Per Line'!$F$2:$F$1501,$AH127)&amp;"")</f>
        <v/>
      </c>
      <c r="I127" s="14">
        <f>IF($AH127="","",INDEX('Per Line'!$G$2:$G$1501,$AH127))</f>
        <v/>
      </c>
      <c r="J127">
        <f>IF($AH127="","",INDEX('Per Line'!$H$2:$H$1501,$AH127)&amp;"")</f>
        <v/>
      </c>
      <c r="K127">
        <f>IF($AH127="","",INDEX('Per Line'!$J$2:$J$1501,$AH127)&amp;"")</f>
        <v/>
      </c>
      <c r="L127">
        <f>IF($AH127="","",INDEX('Per Line'!$K$2:$K$1501,$AH127)&amp;"")</f>
        <v/>
      </c>
      <c r="M127">
        <f>IF($AH127="","",INDEX('Per Line'!$L$2:$L$1501,$AH127)&amp;"")</f>
        <v/>
      </c>
      <c r="N127">
        <f>IF($AH127="","",INDEX('Per Line'!$M$2:$M$1501,$AH127)&amp;"")</f>
        <v/>
      </c>
      <c r="O127">
        <f>IF($AH127="","",INDEX('Per Line'!$P$2:$P$1501,$AH127))</f>
        <v/>
      </c>
      <c r="P127" s="7">
        <f>IF($AH127="","",O127*AD127/100)</f>
        <v/>
      </c>
      <c r="Q127">
        <f>IF($AH127="","",INDEX('Per Line'!$R$2:$R$1501,$AH127)&amp;"")</f>
        <v/>
      </c>
      <c r="R127">
        <f>IF($AH127="","",INDEX('Per Line'!$AB$2:$AB$1501,$AH127)&amp;"")</f>
        <v/>
      </c>
      <c r="S127">
        <f>IF($AH127="","",Settings!$C$8)</f>
        <v/>
      </c>
      <c r="T127" s="7">
        <f>IF($AH127="","",SUMIFS('Per Line'!$Z$2:$Z$1501,'Per Line'!$E$2:$E$1501,$B127,'Per Line'!$AT$2:$AT$1501,1))</f>
        <v/>
      </c>
      <c r="U127" s="7">
        <f>IF($AH127="","",T127*S127)</f>
        <v/>
      </c>
      <c r="V127">
        <f>IF($AH127="","",Settings!$C$7)</f>
        <v/>
      </c>
      <c r="W127" s="7">
        <f>IF($AH127="","",SUMIFS('Per Line'!$Z$2:$Z$1501,'Per Line'!$E$2:$E$1501,$B127,'Per Line'!$AS$2:$AS$1501,0,'Per Line'!$AT$2:$AT$1501,0))</f>
        <v/>
      </c>
      <c r="X127" s="7">
        <f>IF($AH127="","",W127*V127)</f>
        <v/>
      </c>
      <c r="Y127">
        <f>IF($AH127="","",Settings!$C$6)</f>
        <v/>
      </c>
      <c r="Z127" s="7">
        <f>IF($AH127="","",SUMIFS('Per Line'!$Z$2:$Z$1501,'Per Line'!$E$2:$E$1501,$B127,'Per Line'!$AS$2:$AS$1501,1,'Per Line'!$AT$2:$AT$1501,0))</f>
        <v/>
      </c>
      <c r="AA127" s="7">
        <f>IF($AH127="","",Z127*Y127)</f>
        <v/>
      </c>
      <c r="AB127" s="7">
        <f>IF($AH127="","",AA127+X127+U127)</f>
        <v/>
      </c>
      <c r="AC127" s="7">
        <f>IF($AH127="","",AD127-AB127)</f>
        <v/>
      </c>
      <c r="AD127" s="7">
        <f>IF($AH127="","",W127+Z127+T127)</f>
        <v/>
      </c>
      <c r="AE127" s="7">
        <f>IF($AH127="","",AD127-AB127-P127)</f>
        <v/>
      </c>
      <c r="AF127" s="15" t="n"/>
      <c r="AG127" s="7">
        <f>IF($AH127="","",AE127-N(AF127))</f>
        <v/>
      </c>
      <c r="AH127" s="16">
        <f>IF(ROWS($AH$2:$AH127)&lt;=MAX('Per Line'!$AR$2:$AR$1501),MATCH(ROWS($AH$2:$AH127),'Per Line'!$AR$2:$AR$1501,0),"")</f>
        <v/>
      </c>
      <c r="AI127">
        <f>IF($AH127="","",C127&amp;"|"&amp;COUNTIF($C$2:$C127,C127))</f>
        <v/>
      </c>
    </row>
    <row r="128">
      <c r="A128" s="15" t="n"/>
      <c r="B128">
        <f>IF($AH128="","",INDEX('Per Line'!$E$2:$E$1501,$AH128)&amp;"")</f>
        <v/>
      </c>
      <c r="C128">
        <f>IF($AH128="","",IF(INDEX('Per Line'!$AP$2:$AP$1501,$AH128)="NOT MATCH","NOT MATCH","FULL MATCH"))</f>
        <v/>
      </c>
      <c r="D128">
        <f>IF($AH128="","",INDEX('Per Line'!$A$2:$A$1501,$AH128)&amp;"")</f>
        <v/>
      </c>
      <c r="E128">
        <f>IF($AH128="","",INDEX('Per Line'!$B$2:$B$1501,$AH128))</f>
        <v/>
      </c>
      <c r="F128">
        <f>IF($AH128="","",INDEX('Per Line'!$C$2:$C$1501,$AH128)&amp;"")</f>
        <v/>
      </c>
      <c r="G128">
        <f>IF($AH128="","",INDEX('Per Line'!$D$2:$D$1501,$AH128)&amp;"")</f>
        <v/>
      </c>
      <c r="H128">
        <f>IF($AH128="","",INDEX('Per Line'!$F$2:$F$1501,$AH128)&amp;"")</f>
        <v/>
      </c>
      <c r="I128" s="14">
        <f>IF($AH128="","",INDEX('Per Line'!$G$2:$G$1501,$AH128))</f>
        <v/>
      </c>
      <c r="J128">
        <f>IF($AH128="","",INDEX('Per Line'!$H$2:$H$1501,$AH128)&amp;"")</f>
        <v/>
      </c>
      <c r="K128">
        <f>IF($AH128="","",INDEX('Per Line'!$J$2:$J$1501,$AH128)&amp;"")</f>
        <v/>
      </c>
      <c r="L128">
        <f>IF($AH128="","",INDEX('Per Line'!$K$2:$K$1501,$AH128)&amp;"")</f>
        <v/>
      </c>
      <c r="M128">
        <f>IF($AH128="","",INDEX('Per Line'!$L$2:$L$1501,$AH128)&amp;"")</f>
        <v/>
      </c>
      <c r="N128">
        <f>IF($AH128="","",INDEX('Per Line'!$M$2:$M$1501,$AH128)&amp;"")</f>
        <v/>
      </c>
      <c r="O128">
        <f>IF($AH128="","",INDEX('Per Line'!$P$2:$P$1501,$AH128))</f>
        <v/>
      </c>
      <c r="P128" s="7">
        <f>IF($AH128="","",O128*AD128/100)</f>
        <v/>
      </c>
      <c r="Q128">
        <f>IF($AH128="","",INDEX('Per Line'!$R$2:$R$1501,$AH128)&amp;"")</f>
        <v/>
      </c>
      <c r="R128">
        <f>IF($AH128="","",INDEX('Per Line'!$AB$2:$AB$1501,$AH128)&amp;"")</f>
        <v/>
      </c>
      <c r="S128">
        <f>IF($AH128="","",Settings!$C$8)</f>
        <v/>
      </c>
      <c r="T128" s="7">
        <f>IF($AH128="","",SUMIFS('Per Line'!$Z$2:$Z$1501,'Per Line'!$E$2:$E$1501,$B128,'Per Line'!$AT$2:$AT$1501,1))</f>
        <v/>
      </c>
      <c r="U128" s="7">
        <f>IF($AH128="","",T128*S128)</f>
        <v/>
      </c>
      <c r="V128">
        <f>IF($AH128="","",Settings!$C$7)</f>
        <v/>
      </c>
      <c r="W128" s="7">
        <f>IF($AH128="","",SUMIFS('Per Line'!$Z$2:$Z$1501,'Per Line'!$E$2:$E$1501,$B128,'Per Line'!$AS$2:$AS$1501,0,'Per Line'!$AT$2:$AT$1501,0))</f>
        <v/>
      </c>
      <c r="X128" s="7">
        <f>IF($AH128="","",W128*V128)</f>
        <v/>
      </c>
      <c r="Y128">
        <f>IF($AH128="","",Settings!$C$6)</f>
        <v/>
      </c>
      <c r="Z128" s="7">
        <f>IF($AH128="","",SUMIFS('Per Line'!$Z$2:$Z$1501,'Per Line'!$E$2:$E$1501,$B128,'Per Line'!$AS$2:$AS$1501,1,'Per Line'!$AT$2:$AT$1501,0))</f>
        <v/>
      </c>
      <c r="AA128" s="7">
        <f>IF($AH128="","",Z128*Y128)</f>
        <v/>
      </c>
      <c r="AB128" s="7">
        <f>IF($AH128="","",AA128+X128+U128)</f>
        <v/>
      </c>
      <c r="AC128" s="7">
        <f>IF($AH128="","",AD128-AB128)</f>
        <v/>
      </c>
      <c r="AD128" s="7">
        <f>IF($AH128="","",W128+Z128+T128)</f>
        <v/>
      </c>
      <c r="AE128" s="7">
        <f>IF($AH128="","",AD128-AB128-P128)</f>
        <v/>
      </c>
      <c r="AF128" s="15" t="n"/>
      <c r="AG128" s="7">
        <f>IF($AH128="","",AE128-N(AF128))</f>
        <v/>
      </c>
      <c r="AH128" s="16">
        <f>IF(ROWS($AH$2:$AH128)&lt;=MAX('Per Line'!$AR$2:$AR$1501),MATCH(ROWS($AH$2:$AH128),'Per Line'!$AR$2:$AR$1501,0),"")</f>
        <v/>
      </c>
      <c r="AI128">
        <f>IF($AH128="","",C128&amp;"|"&amp;COUNTIF($C$2:$C128,C128))</f>
        <v/>
      </c>
    </row>
    <row r="129">
      <c r="A129" s="15" t="n"/>
      <c r="B129">
        <f>IF($AH129="","",INDEX('Per Line'!$E$2:$E$1501,$AH129)&amp;"")</f>
        <v/>
      </c>
      <c r="C129">
        <f>IF($AH129="","",IF(INDEX('Per Line'!$AP$2:$AP$1501,$AH129)="NOT MATCH","NOT MATCH","FULL MATCH"))</f>
        <v/>
      </c>
      <c r="D129">
        <f>IF($AH129="","",INDEX('Per Line'!$A$2:$A$1501,$AH129)&amp;"")</f>
        <v/>
      </c>
      <c r="E129">
        <f>IF($AH129="","",INDEX('Per Line'!$B$2:$B$1501,$AH129))</f>
        <v/>
      </c>
      <c r="F129">
        <f>IF($AH129="","",INDEX('Per Line'!$C$2:$C$1501,$AH129)&amp;"")</f>
        <v/>
      </c>
      <c r="G129">
        <f>IF($AH129="","",INDEX('Per Line'!$D$2:$D$1501,$AH129)&amp;"")</f>
        <v/>
      </c>
      <c r="H129">
        <f>IF($AH129="","",INDEX('Per Line'!$F$2:$F$1501,$AH129)&amp;"")</f>
        <v/>
      </c>
      <c r="I129" s="14">
        <f>IF($AH129="","",INDEX('Per Line'!$G$2:$G$1501,$AH129))</f>
        <v/>
      </c>
      <c r="J129">
        <f>IF($AH129="","",INDEX('Per Line'!$H$2:$H$1501,$AH129)&amp;"")</f>
        <v/>
      </c>
      <c r="K129">
        <f>IF($AH129="","",INDEX('Per Line'!$J$2:$J$1501,$AH129)&amp;"")</f>
        <v/>
      </c>
      <c r="L129">
        <f>IF($AH129="","",INDEX('Per Line'!$K$2:$K$1501,$AH129)&amp;"")</f>
        <v/>
      </c>
      <c r="M129">
        <f>IF($AH129="","",INDEX('Per Line'!$L$2:$L$1501,$AH129)&amp;"")</f>
        <v/>
      </c>
      <c r="N129">
        <f>IF($AH129="","",INDEX('Per Line'!$M$2:$M$1501,$AH129)&amp;"")</f>
        <v/>
      </c>
      <c r="O129">
        <f>IF($AH129="","",INDEX('Per Line'!$P$2:$P$1501,$AH129))</f>
        <v/>
      </c>
      <c r="P129" s="7">
        <f>IF($AH129="","",O129*AD129/100)</f>
        <v/>
      </c>
      <c r="Q129">
        <f>IF($AH129="","",INDEX('Per Line'!$R$2:$R$1501,$AH129)&amp;"")</f>
        <v/>
      </c>
      <c r="R129">
        <f>IF($AH129="","",INDEX('Per Line'!$AB$2:$AB$1501,$AH129)&amp;"")</f>
        <v/>
      </c>
      <c r="S129">
        <f>IF($AH129="","",Settings!$C$8)</f>
        <v/>
      </c>
      <c r="T129" s="7">
        <f>IF($AH129="","",SUMIFS('Per Line'!$Z$2:$Z$1501,'Per Line'!$E$2:$E$1501,$B129,'Per Line'!$AT$2:$AT$1501,1))</f>
        <v/>
      </c>
      <c r="U129" s="7">
        <f>IF($AH129="","",T129*S129)</f>
        <v/>
      </c>
      <c r="V129">
        <f>IF($AH129="","",Settings!$C$7)</f>
        <v/>
      </c>
      <c r="W129" s="7">
        <f>IF($AH129="","",SUMIFS('Per Line'!$Z$2:$Z$1501,'Per Line'!$E$2:$E$1501,$B129,'Per Line'!$AS$2:$AS$1501,0,'Per Line'!$AT$2:$AT$1501,0))</f>
        <v/>
      </c>
      <c r="X129" s="7">
        <f>IF($AH129="","",W129*V129)</f>
        <v/>
      </c>
      <c r="Y129">
        <f>IF($AH129="","",Settings!$C$6)</f>
        <v/>
      </c>
      <c r="Z129" s="7">
        <f>IF($AH129="","",SUMIFS('Per Line'!$Z$2:$Z$1501,'Per Line'!$E$2:$E$1501,$B129,'Per Line'!$AS$2:$AS$1501,1,'Per Line'!$AT$2:$AT$1501,0))</f>
        <v/>
      </c>
      <c r="AA129" s="7">
        <f>IF($AH129="","",Z129*Y129)</f>
        <v/>
      </c>
      <c r="AB129" s="7">
        <f>IF($AH129="","",AA129+X129+U129)</f>
        <v/>
      </c>
      <c r="AC129" s="7">
        <f>IF($AH129="","",AD129-AB129)</f>
        <v/>
      </c>
      <c r="AD129" s="7">
        <f>IF($AH129="","",W129+Z129+T129)</f>
        <v/>
      </c>
      <c r="AE129" s="7">
        <f>IF($AH129="","",AD129-AB129-P129)</f>
        <v/>
      </c>
      <c r="AF129" s="15" t="n"/>
      <c r="AG129" s="7">
        <f>IF($AH129="","",AE129-N(AF129))</f>
        <v/>
      </c>
      <c r="AH129" s="16">
        <f>IF(ROWS($AH$2:$AH129)&lt;=MAX('Per Line'!$AR$2:$AR$1501),MATCH(ROWS($AH$2:$AH129),'Per Line'!$AR$2:$AR$1501,0),"")</f>
        <v/>
      </c>
      <c r="AI129">
        <f>IF($AH129="","",C129&amp;"|"&amp;COUNTIF($C$2:$C129,C129))</f>
        <v/>
      </c>
    </row>
    <row r="130">
      <c r="A130" s="15" t="n"/>
      <c r="B130">
        <f>IF($AH130="","",INDEX('Per Line'!$E$2:$E$1501,$AH130)&amp;"")</f>
        <v/>
      </c>
      <c r="C130">
        <f>IF($AH130="","",IF(INDEX('Per Line'!$AP$2:$AP$1501,$AH130)="NOT MATCH","NOT MATCH","FULL MATCH"))</f>
        <v/>
      </c>
      <c r="D130">
        <f>IF($AH130="","",INDEX('Per Line'!$A$2:$A$1501,$AH130)&amp;"")</f>
        <v/>
      </c>
      <c r="E130">
        <f>IF($AH130="","",INDEX('Per Line'!$B$2:$B$1501,$AH130))</f>
        <v/>
      </c>
      <c r="F130">
        <f>IF($AH130="","",INDEX('Per Line'!$C$2:$C$1501,$AH130)&amp;"")</f>
        <v/>
      </c>
      <c r="G130">
        <f>IF($AH130="","",INDEX('Per Line'!$D$2:$D$1501,$AH130)&amp;"")</f>
        <v/>
      </c>
      <c r="H130">
        <f>IF($AH130="","",INDEX('Per Line'!$F$2:$F$1501,$AH130)&amp;"")</f>
        <v/>
      </c>
      <c r="I130" s="14">
        <f>IF($AH130="","",INDEX('Per Line'!$G$2:$G$1501,$AH130))</f>
        <v/>
      </c>
      <c r="J130">
        <f>IF($AH130="","",INDEX('Per Line'!$H$2:$H$1501,$AH130)&amp;"")</f>
        <v/>
      </c>
      <c r="K130">
        <f>IF($AH130="","",INDEX('Per Line'!$J$2:$J$1501,$AH130)&amp;"")</f>
        <v/>
      </c>
      <c r="L130">
        <f>IF($AH130="","",INDEX('Per Line'!$K$2:$K$1501,$AH130)&amp;"")</f>
        <v/>
      </c>
      <c r="M130">
        <f>IF($AH130="","",INDEX('Per Line'!$L$2:$L$1501,$AH130)&amp;"")</f>
        <v/>
      </c>
      <c r="N130">
        <f>IF($AH130="","",INDEX('Per Line'!$M$2:$M$1501,$AH130)&amp;"")</f>
        <v/>
      </c>
      <c r="O130">
        <f>IF($AH130="","",INDEX('Per Line'!$P$2:$P$1501,$AH130))</f>
        <v/>
      </c>
      <c r="P130" s="7">
        <f>IF($AH130="","",O130*AD130/100)</f>
        <v/>
      </c>
      <c r="Q130">
        <f>IF($AH130="","",INDEX('Per Line'!$R$2:$R$1501,$AH130)&amp;"")</f>
        <v/>
      </c>
      <c r="R130">
        <f>IF($AH130="","",INDEX('Per Line'!$AB$2:$AB$1501,$AH130)&amp;"")</f>
        <v/>
      </c>
      <c r="S130">
        <f>IF($AH130="","",Settings!$C$8)</f>
        <v/>
      </c>
      <c r="T130" s="7">
        <f>IF($AH130="","",SUMIFS('Per Line'!$Z$2:$Z$1501,'Per Line'!$E$2:$E$1501,$B130,'Per Line'!$AT$2:$AT$1501,1))</f>
        <v/>
      </c>
      <c r="U130" s="7">
        <f>IF($AH130="","",T130*S130)</f>
        <v/>
      </c>
      <c r="V130">
        <f>IF($AH130="","",Settings!$C$7)</f>
        <v/>
      </c>
      <c r="W130" s="7">
        <f>IF($AH130="","",SUMIFS('Per Line'!$Z$2:$Z$1501,'Per Line'!$E$2:$E$1501,$B130,'Per Line'!$AS$2:$AS$1501,0,'Per Line'!$AT$2:$AT$1501,0))</f>
        <v/>
      </c>
      <c r="X130" s="7">
        <f>IF($AH130="","",W130*V130)</f>
        <v/>
      </c>
      <c r="Y130">
        <f>IF($AH130="","",Settings!$C$6)</f>
        <v/>
      </c>
      <c r="Z130" s="7">
        <f>IF($AH130="","",SUMIFS('Per Line'!$Z$2:$Z$1501,'Per Line'!$E$2:$E$1501,$B130,'Per Line'!$AS$2:$AS$1501,1,'Per Line'!$AT$2:$AT$1501,0))</f>
        <v/>
      </c>
      <c r="AA130" s="7">
        <f>IF($AH130="","",Z130*Y130)</f>
        <v/>
      </c>
      <c r="AB130" s="7">
        <f>IF($AH130="","",AA130+X130+U130)</f>
        <v/>
      </c>
      <c r="AC130" s="7">
        <f>IF($AH130="","",AD130-AB130)</f>
        <v/>
      </c>
      <c r="AD130" s="7">
        <f>IF($AH130="","",W130+Z130+T130)</f>
        <v/>
      </c>
      <c r="AE130" s="7">
        <f>IF($AH130="","",AD130-AB130-P130)</f>
        <v/>
      </c>
      <c r="AF130" s="15" t="n"/>
      <c r="AG130" s="7">
        <f>IF($AH130="","",AE130-N(AF130))</f>
        <v/>
      </c>
      <c r="AH130" s="16">
        <f>IF(ROWS($AH$2:$AH130)&lt;=MAX('Per Line'!$AR$2:$AR$1501),MATCH(ROWS($AH$2:$AH130),'Per Line'!$AR$2:$AR$1501,0),"")</f>
        <v/>
      </c>
      <c r="AI130">
        <f>IF($AH130="","",C130&amp;"|"&amp;COUNTIF($C$2:$C130,C130))</f>
        <v/>
      </c>
    </row>
    <row r="131">
      <c r="A131" s="15" t="n"/>
      <c r="B131">
        <f>IF($AH131="","",INDEX('Per Line'!$E$2:$E$1501,$AH131)&amp;"")</f>
        <v/>
      </c>
      <c r="C131">
        <f>IF($AH131="","",IF(INDEX('Per Line'!$AP$2:$AP$1501,$AH131)="NOT MATCH","NOT MATCH","FULL MATCH"))</f>
        <v/>
      </c>
      <c r="D131">
        <f>IF($AH131="","",INDEX('Per Line'!$A$2:$A$1501,$AH131)&amp;"")</f>
        <v/>
      </c>
      <c r="E131">
        <f>IF($AH131="","",INDEX('Per Line'!$B$2:$B$1501,$AH131))</f>
        <v/>
      </c>
      <c r="F131">
        <f>IF($AH131="","",INDEX('Per Line'!$C$2:$C$1501,$AH131)&amp;"")</f>
        <v/>
      </c>
      <c r="G131">
        <f>IF($AH131="","",INDEX('Per Line'!$D$2:$D$1501,$AH131)&amp;"")</f>
        <v/>
      </c>
      <c r="H131">
        <f>IF($AH131="","",INDEX('Per Line'!$F$2:$F$1501,$AH131)&amp;"")</f>
        <v/>
      </c>
      <c r="I131" s="14">
        <f>IF($AH131="","",INDEX('Per Line'!$G$2:$G$1501,$AH131))</f>
        <v/>
      </c>
      <c r="J131">
        <f>IF($AH131="","",INDEX('Per Line'!$H$2:$H$1501,$AH131)&amp;"")</f>
        <v/>
      </c>
      <c r="K131">
        <f>IF($AH131="","",INDEX('Per Line'!$J$2:$J$1501,$AH131)&amp;"")</f>
        <v/>
      </c>
      <c r="L131">
        <f>IF($AH131="","",INDEX('Per Line'!$K$2:$K$1501,$AH131)&amp;"")</f>
        <v/>
      </c>
      <c r="M131">
        <f>IF($AH131="","",INDEX('Per Line'!$L$2:$L$1501,$AH131)&amp;"")</f>
        <v/>
      </c>
      <c r="N131">
        <f>IF($AH131="","",INDEX('Per Line'!$M$2:$M$1501,$AH131)&amp;"")</f>
        <v/>
      </c>
      <c r="O131">
        <f>IF($AH131="","",INDEX('Per Line'!$P$2:$P$1501,$AH131))</f>
        <v/>
      </c>
      <c r="P131" s="7">
        <f>IF($AH131="","",O131*AD131/100)</f>
        <v/>
      </c>
      <c r="Q131">
        <f>IF($AH131="","",INDEX('Per Line'!$R$2:$R$1501,$AH131)&amp;"")</f>
        <v/>
      </c>
      <c r="R131">
        <f>IF($AH131="","",INDEX('Per Line'!$AB$2:$AB$1501,$AH131)&amp;"")</f>
        <v/>
      </c>
      <c r="S131">
        <f>IF($AH131="","",Settings!$C$8)</f>
        <v/>
      </c>
      <c r="T131" s="7">
        <f>IF($AH131="","",SUMIFS('Per Line'!$Z$2:$Z$1501,'Per Line'!$E$2:$E$1501,$B131,'Per Line'!$AT$2:$AT$1501,1))</f>
        <v/>
      </c>
      <c r="U131" s="7">
        <f>IF($AH131="","",T131*S131)</f>
        <v/>
      </c>
      <c r="V131">
        <f>IF($AH131="","",Settings!$C$7)</f>
        <v/>
      </c>
      <c r="W131" s="7">
        <f>IF($AH131="","",SUMIFS('Per Line'!$Z$2:$Z$1501,'Per Line'!$E$2:$E$1501,$B131,'Per Line'!$AS$2:$AS$1501,0,'Per Line'!$AT$2:$AT$1501,0))</f>
        <v/>
      </c>
      <c r="X131" s="7">
        <f>IF($AH131="","",W131*V131)</f>
        <v/>
      </c>
      <c r="Y131">
        <f>IF($AH131="","",Settings!$C$6)</f>
        <v/>
      </c>
      <c r="Z131" s="7">
        <f>IF($AH131="","",SUMIFS('Per Line'!$Z$2:$Z$1501,'Per Line'!$E$2:$E$1501,$B131,'Per Line'!$AS$2:$AS$1501,1,'Per Line'!$AT$2:$AT$1501,0))</f>
        <v/>
      </c>
      <c r="AA131" s="7">
        <f>IF($AH131="","",Z131*Y131)</f>
        <v/>
      </c>
      <c r="AB131" s="7">
        <f>IF($AH131="","",AA131+X131+U131)</f>
        <v/>
      </c>
      <c r="AC131" s="7">
        <f>IF($AH131="","",AD131-AB131)</f>
        <v/>
      </c>
      <c r="AD131" s="7">
        <f>IF($AH131="","",W131+Z131+T131)</f>
        <v/>
      </c>
      <c r="AE131" s="7">
        <f>IF($AH131="","",AD131-AB131-P131)</f>
        <v/>
      </c>
      <c r="AF131" s="15" t="n"/>
      <c r="AG131" s="7">
        <f>IF($AH131="","",AE131-N(AF131))</f>
        <v/>
      </c>
      <c r="AH131" s="16">
        <f>IF(ROWS($AH$2:$AH131)&lt;=MAX('Per Line'!$AR$2:$AR$1501),MATCH(ROWS($AH$2:$AH131),'Per Line'!$AR$2:$AR$1501,0),"")</f>
        <v/>
      </c>
      <c r="AI131">
        <f>IF($AH131="","",C131&amp;"|"&amp;COUNTIF($C$2:$C131,C131))</f>
        <v/>
      </c>
    </row>
    <row r="132">
      <c r="A132" s="15" t="n"/>
      <c r="B132">
        <f>IF($AH132="","",INDEX('Per Line'!$E$2:$E$1501,$AH132)&amp;"")</f>
        <v/>
      </c>
      <c r="C132">
        <f>IF($AH132="","",IF(INDEX('Per Line'!$AP$2:$AP$1501,$AH132)="NOT MATCH","NOT MATCH","FULL MATCH"))</f>
        <v/>
      </c>
      <c r="D132">
        <f>IF($AH132="","",INDEX('Per Line'!$A$2:$A$1501,$AH132)&amp;"")</f>
        <v/>
      </c>
      <c r="E132">
        <f>IF($AH132="","",INDEX('Per Line'!$B$2:$B$1501,$AH132))</f>
        <v/>
      </c>
      <c r="F132">
        <f>IF($AH132="","",INDEX('Per Line'!$C$2:$C$1501,$AH132)&amp;"")</f>
        <v/>
      </c>
      <c r="G132">
        <f>IF($AH132="","",INDEX('Per Line'!$D$2:$D$1501,$AH132)&amp;"")</f>
        <v/>
      </c>
      <c r="H132">
        <f>IF($AH132="","",INDEX('Per Line'!$F$2:$F$1501,$AH132)&amp;"")</f>
        <v/>
      </c>
      <c r="I132" s="14">
        <f>IF($AH132="","",INDEX('Per Line'!$G$2:$G$1501,$AH132))</f>
        <v/>
      </c>
      <c r="J132">
        <f>IF($AH132="","",INDEX('Per Line'!$H$2:$H$1501,$AH132)&amp;"")</f>
        <v/>
      </c>
      <c r="K132">
        <f>IF($AH132="","",INDEX('Per Line'!$J$2:$J$1501,$AH132)&amp;"")</f>
        <v/>
      </c>
      <c r="L132">
        <f>IF($AH132="","",INDEX('Per Line'!$K$2:$K$1501,$AH132)&amp;"")</f>
        <v/>
      </c>
      <c r="M132">
        <f>IF($AH132="","",INDEX('Per Line'!$L$2:$L$1501,$AH132)&amp;"")</f>
        <v/>
      </c>
      <c r="N132">
        <f>IF($AH132="","",INDEX('Per Line'!$M$2:$M$1501,$AH132)&amp;"")</f>
        <v/>
      </c>
      <c r="O132">
        <f>IF($AH132="","",INDEX('Per Line'!$P$2:$P$1501,$AH132))</f>
        <v/>
      </c>
      <c r="P132" s="7">
        <f>IF($AH132="","",O132*AD132/100)</f>
        <v/>
      </c>
      <c r="Q132">
        <f>IF($AH132="","",INDEX('Per Line'!$R$2:$R$1501,$AH132)&amp;"")</f>
        <v/>
      </c>
      <c r="R132">
        <f>IF($AH132="","",INDEX('Per Line'!$AB$2:$AB$1501,$AH132)&amp;"")</f>
        <v/>
      </c>
      <c r="S132">
        <f>IF($AH132="","",Settings!$C$8)</f>
        <v/>
      </c>
      <c r="T132" s="7">
        <f>IF($AH132="","",SUMIFS('Per Line'!$Z$2:$Z$1501,'Per Line'!$E$2:$E$1501,$B132,'Per Line'!$AT$2:$AT$1501,1))</f>
        <v/>
      </c>
      <c r="U132" s="7">
        <f>IF($AH132="","",T132*S132)</f>
        <v/>
      </c>
      <c r="V132">
        <f>IF($AH132="","",Settings!$C$7)</f>
        <v/>
      </c>
      <c r="W132" s="7">
        <f>IF($AH132="","",SUMIFS('Per Line'!$Z$2:$Z$1501,'Per Line'!$E$2:$E$1501,$B132,'Per Line'!$AS$2:$AS$1501,0,'Per Line'!$AT$2:$AT$1501,0))</f>
        <v/>
      </c>
      <c r="X132" s="7">
        <f>IF($AH132="","",W132*V132)</f>
        <v/>
      </c>
      <c r="Y132">
        <f>IF($AH132="","",Settings!$C$6)</f>
        <v/>
      </c>
      <c r="Z132" s="7">
        <f>IF($AH132="","",SUMIFS('Per Line'!$Z$2:$Z$1501,'Per Line'!$E$2:$E$1501,$B132,'Per Line'!$AS$2:$AS$1501,1,'Per Line'!$AT$2:$AT$1501,0))</f>
        <v/>
      </c>
      <c r="AA132" s="7">
        <f>IF($AH132="","",Z132*Y132)</f>
        <v/>
      </c>
      <c r="AB132" s="7">
        <f>IF($AH132="","",AA132+X132+U132)</f>
        <v/>
      </c>
      <c r="AC132" s="7">
        <f>IF($AH132="","",AD132-AB132)</f>
        <v/>
      </c>
      <c r="AD132" s="7">
        <f>IF($AH132="","",W132+Z132+T132)</f>
        <v/>
      </c>
      <c r="AE132" s="7">
        <f>IF($AH132="","",AD132-AB132-P132)</f>
        <v/>
      </c>
      <c r="AF132" s="15" t="n"/>
      <c r="AG132" s="7">
        <f>IF($AH132="","",AE132-N(AF132))</f>
        <v/>
      </c>
      <c r="AH132" s="16">
        <f>IF(ROWS($AH$2:$AH132)&lt;=MAX('Per Line'!$AR$2:$AR$1501),MATCH(ROWS($AH$2:$AH132),'Per Line'!$AR$2:$AR$1501,0),"")</f>
        <v/>
      </c>
      <c r="AI132">
        <f>IF($AH132="","",C132&amp;"|"&amp;COUNTIF($C$2:$C132,C132))</f>
        <v/>
      </c>
    </row>
    <row r="133">
      <c r="A133" s="15" t="n"/>
      <c r="B133">
        <f>IF($AH133="","",INDEX('Per Line'!$E$2:$E$1501,$AH133)&amp;"")</f>
        <v/>
      </c>
      <c r="C133">
        <f>IF($AH133="","",IF(INDEX('Per Line'!$AP$2:$AP$1501,$AH133)="NOT MATCH","NOT MATCH","FULL MATCH"))</f>
        <v/>
      </c>
      <c r="D133">
        <f>IF($AH133="","",INDEX('Per Line'!$A$2:$A$1501,$AH133)&amp;"")</f>
        <v/>
      </c>
      <c r="E133">
        <f>IF($AH133="","",INDEX('Per Line'!$B$2:$B$1501,$AH133))</f>
        <v/>
      </c>
      <c r="F133">
        <f>IF($AH133="","",INDEX('Per Line'!$C$2:$C$1501,$AH133)&amp;"")</f>
        <v/>
      </c>
      <c r="G133">
        <f>IF($AH133="","",INDEX('Per Line'!$D$2:$D$1501,$AH133)&amp;"")</f>
        <v/>
      </c>
      <c r="H133">
        <f>IF($AH133="","",INDEX('Per Line'!$F$2:$F$1501,$AH133)&amp;"")</f>
        <v/>
      </c>
      <c r="I133" s="14">
        <f>IF($AH133="","",INDEX('Per Line'!$G$2:$G$1501,$AH133))</f>
        <v/>
      </c>
      <c r="J133">
        <f>IF($AH133="","",INDEX('Per Line'!$H$2:$H$1501,$AH133)&amp;"")</f>
        <v/>
      </c>
      <c r="K133">
        <f>IF($AH133="","",INDEX('Per Line'!$J$2:$J$1501,$AH133)&amp;"")</f>
        <v/>
      </c>
      <c r="L133">
        <f>IF($AH133="","",INDEX('Per Line'!$K$2:$K$1501,$AH133)&amp;"")</f>
        <v/>
      </c>
      <c r="M133">
        <f>IF($AH133="","",INDEX('Per Line'!$L$2:$L$1501,$AH133)&amp;"")</f>
        <v/>
      </c>
      <c r="N133">
        <f>IF($AH133="","",INDEX('Per Line'!$M$2:$M$1501,$AH133)&amp;"")</f>
        <v/>
      </c>
      <c r="O133">
        <f>IF($AH133="","",INDEX('Per Line'!$P$2:$P$1501,$AH133))</f>
        <v/>
      </c>
      <c r="P133" s="7">
        <f>IF($AH133="","",O133*AD133/100)</f>
        <v/>
      </c>
      <c r="Q133">
        <f>IF($AH133="","",INDEX('Per Line'!$R$2:$R$1501,$AH133)&amp;"")</f>
        <v/>
      </c>
      <c r="R133">
        <f>IF($AH133="","",INDEX('Per Line'!$AB$2:$AB$1501,$AH133)&amp;"")</f>
        <v/>
      </c>
      <c r="S133">
        <f>IF($AH133="","",Settings!$C$8)</f>
        <v/>
      </c>
      <c r="T133" s="7">
        <f>IF($AH133="","",SUMIFS('Per Line'!$Z$2:$Z$1501,'Per Line'!$E$2:$E$1501,$B133,'Per Line'!$AT$2:$AT$1501,1))</f>
        <v/>
      </c>
      <c r="U133" s="7">
        <f>IF($AH133="","",T133*S133)</f>
        <v/>
      </c>
      <c r="V133">
        <f>IF($AH133="","",Settings!$C$7)</f>
        <v/>
      </c>
      <c r="W133" s="7">
        <f>IF($AH133="","",SUMIFS('Per Line'!$Z$2:$Z$1501,'Per Line'!$E$2:$E$1501,$B133,'Per Line'!$AS$2:$AS$1501,0,'Per Line'!$AT$2:$AT$1501,0))</f>
        <v/>
      </c>
      <c r="X133" s="7">
        <f>IF($AH133="","",W133*V133)</f>
        <v/>
      </c>
      <c r="Y133">
        <f>IF($AH133="","",Settings!$C$6)</f>
        <v/>
      </c>
      <c r="Z133" s="7">
        <f>IF($AH133="","",SUMIFS('Per Line'!$Z$2:$Z$1501,'Per Line'!$E$2:$E$1501,$B133,'Per Line'!$AS$2:$AS$1501,1,'Per Line'!$AT$2:$AT$1501,0))</f>
        <v/>
      </c>
      <c r="AA133" s="7">
        <f>IF($AH133="","",Z133*Y133)</f>
        <v/>
      </c>
      <c r="AB133" s="7">
        <f>IF($AH133="","",AA133+X133+U133)</f>
        <v/>
      </c>
      <c r="AC133" s="7">
        <f>IF($AH133="","",AD133-AB133)</f>
        <v/>
      </c>
      <c r="AD133" s="7">
        <f>IF($AH133="","",W133+Z133+T133)</f>
        <v/>
      </c>
      <c r="AE133" s="7">
        <f>IF($AH133="","",AD133-AB133-P133)</f>
        <v/>
      </c>
      <c r="AF133" s="15" t="n"/>
      <c r="AG133" s="7">
        <f>IF($AH133="","",AE133-N(AF133))</f>
        <v/>
      </c>
      <c r="AH133" s="16">
        <f>IF(ROWS($AH$2:$AH133)&lt;=MAX('Per Line'!$AR$2:$AR$1501),MATCH(ROWS($AH$2:$AH133),'Per Line'!$AR$2:$AR$1501,0),"")</f>
        <v/>
      </c>
      <c r="AI133">
        <f>IF($AH133="","",C133&amp;"|"&amp;COUNTIF($C$2:$C133,C133))</f>
        <v/>
      </c>
    </row>
    <row r="134">
      <c r="A134" s="15" t="n"/>
      <c r="B134">
        <f>IF($AH134="","",INDEX('Per Line'!$E$2:$E$1501,$AH134)&amp;"")</f>
        <v/>
      </c>
      <c r="C134">
        <f>IF($AH134="","",IF(INDEX('Per Line'!$AP$2:$AP$1501,$AH134)="NOT MATCH","NOT MATCH","FULL MATCH"))</f>
        <v/>
      </c>
      <c r="D134">
        <f>IF($AH134="","",INDEX('Per Line'!$A$2:$A$1501,$AH134)&amp;"")</f>
        <v/>
      </c>
      <c r="E134">
        <f>IF($AH134="","",INDEX('Per Line'!$B$2:$B$1501,$AH134))</f>
        <v/>
      </c>
      <c r="F134">
        <f>IF($AH134="","",INDEX('Per Line'!$C$2:$C$1501,$AH134)&amp;"")</f>
        <v/>
      </c>
      <c r="G134">
        <f>IF($AH134="","",INDEX('Per Line'!$D$2:$D$1501,$AH134)&amp;"")</f>
        <v/>
      </c>
      <c r="H134">
        <f>IF($AH134="","",INDEX('Per Line'!$F$2:$F$1501,$AH134)&amp;"")</f>
        <v/>
      </c>
      <c r="I134" s="14">
        <f>IF($AH134="","",INDEX('Per Line'!$G$2:$G$1501,$AH134))</f>
        <v/>
      </c>
      <c r="J134">
        <f>IF($AH134="","",INDEX('Per Line'!$H$2:$H$1501,$AH134)&amp;"")</f>
        <v/>
      </c>
      <c r="K134">
        <f>IF($AH134="","",INDEX('Per Line'!$J$2:$J$1501,$AH134)&amp;"")</f>
        <v/>
      </c>
      <c r="L134">
        <f>IF($AH134="","",INDEX('Per Line'!$K$2:$K$1501,$AH134)&amp;"")</f>
        <v/>
      </c>
      <c r="M134">
        <f>IF($AH134="","",INDEX('Per Line'!$L$2:$L$1501,$AH134)&amp;"")</f>
        <v/>
      </c>
      <c r="N134">
        <f>IF($AH134="","",INDEX('Per Line'!$M$2:$M$1501,$AH134)&amp;"")</f>
        <v/>
      </c>
      <c r="O134">
        <f>IF($AH134="","",INDEX('Per Line'!$P$2:$P$1501,$AH134))</f>
        <v/>
      </c>
      <c r="P134" s="7">
        <f>IF($AH134="","",O134*AD134/100)</f>
        <v/>
      </c>
      <c r="Q134">
        <f>IF($AH134="","",INDEX('Per Line'!$R$2:$R$1501,$AH134)&amp;"")</f>
        <v/>
      </c>
      <c r="R134">
        <f>IF($AH134="","",INDEX('Per Line'!$AB$2:$AB$1501,$AH134)&amp;"")</f>
        <v/>
      </c>
      <c r="S134">
        <f>IF($AH134="","",Settings!$C$8)</f>
        <v/>
      </c>
      <c r="T134" s="7">
        <f>IF($AH134="","",SUMIFS('Per Line'!$Z$2:$Z$1501,'Per Line'!$E$2:$E$1501,$B134,'Per Line'!$AT$2:$AT$1501,1))</f>
        <v/>
      </c>
      <c r="U134" s="7">
        <f>IF($AH134="","",T134*S134)</f>
        <v/>
      </c>
      <c r="V134">
        <f>IF($AH134="","",Settings!$C$7)</f>
        <v/>
      </c>
      <c r="W134" s="7">
        <f>IF($AH134="","",SUMIFS('Per Line'!$Z$2:$Z$1501,'Per Line'!$E$2:$E$1501,$B134,'Per Line'!$AS$2:$AS$1501,0,'Per Line'!$AT$2:$AT$1501,0))</f>
        <v/>
      </c>
      <c r="X134" s="7">
        <f>IF($AH134="","",W134*V134)</f>
        <v/>
      </c>
      <c r="Y134">
        <f>IF($AH134="","",Settings!$C$6)</f>
        <v/>
      </c>
      <c r="Z134" s="7">
        <f>IF($AH134="","",SUMIFS('Per Line'!$Z$2:$Z$1501,'Per Line'!$E$2:$E$1501,$B134,'Per Line'!$AS$2:$AS$1501,1,'Per Line'!$AT$2:$AT$1501,0))</f>
        <v/>
      </c>
      <c r="AA134" s="7">
        <f>IF($AH134="","",Z134*Y134)</f>
        <v/>
      </c>
      <c r="AB134" s="7">
        <f>IF($AH134="","",AA134+X134+U134)</f>
        <v/>
      </c>
      <c r="AC134" s="7">
        <f>IF($AH134="","",AD134-AB134)</f>
        <v/>
      </c>
      <c r="AD134" s="7">
        <f>IF($AH134="","",W134+Z134+T134)</f>
        <v/>
      </c>
      <c r="AE134" s="7">
        <f>IF($AH134="","",AD134-AB134-P134)</f>
        <v/>
      </c>
      <c r="AF134" s="15" t="n"/>
      <c r="AG134" s="7">
        <f>IF($AH134="","",AE134-N(AF134))</f>
        <v/>
      </c>
      <c r="AH134" s="16">
        <f>IF(ROWS($AH$2:$AH134)&lt;=MAX('Per Line'!$AR$2:$AR$1501),MATCH(ROWS($AH$2:$AH134),'Per Line'!$AR$2:$AR$1501,0),"")</f>
        <v/>
      </c>
      <c r="AI134">
        <f>IF($AH134="","",C134&amp;"|"&amp;COUNTIF($C$2:$C134,C134))</f>
        <v/>
      </c>
    </row>
    <row r="135">
      <c r="A135" s="15" t="n"/>
      <c r="B135">
        <f>IF($AH135="","",INDEX('Per Line'!$E$2:$E$1501,$AH135)&amp;"")</f>
        <v/>
      </c>
      <c r="C135">
        <f>IF($AH135="","",IF(INDEX('Per Line'!$AP$2:$AP$1501,$AH135)="NOT MATCH","NOT MATCH","FULL MATCH"))</f>
        <v/>
      </c>
      <c r="D135">
        <f>IF($AH135="","",INDEX('Per Line'!$A$2:$A$1501,$AH135)&amp;"")</f>
        <v/>
      </c>
      <c r="E135">
        <f>IF($AH135="","",INDEX('Per Line'!$B$2:$B$1501,$AH135))</f>
        <v/>
      </c>
      <c r="F135">
        <f>IF($AH135="","",INDEX('Per Line'!$C$2:$C$1501,$AH135)&amp;"")</f>
        <v/>
      </c>
      <c r="G135">
        <f>IF($AH135="","",INDEX('Per Line'!$D$2:$D$1501,$AH135)&amp;"")</f>
        <v/>
      </c>
      <c r="H135">
        <f>IF($AH135="","",INDEX('Per Line'!$F$2:$F$1501,$AH135)&amp;"")</f>
        <v/>
      </c>
      <c r="I135" s="14">
        <f>IF($AH135="","",INDEX('Per Line'!$G$2:$G$1501,$AH135))</f>
        <v/>
      </c>
      <c r="J135">
        <f>IF($AH135="","",INDEX('Per Line'!$H$2:$H$1501,$AH135)&amp;"")</f>
        <v/>
      </c>
      <c r="K135">
        <f>IF($AH135="","",INDEX('Per Line'!$J$2:$J$1501,$AH135)&amp;"")</f>
        <v/>
      </c>
      <c r="L135">
        <f>IF($AH135="","",INDEX('Per Line'!$K$2:$K$1501,$AH135)&amp;"")</f>
        <v/>
      </c>
      <c r="M135">
        <f>IF($AH135="","",INDEX('Per Line'!$L$2:$L$1501,$AH135)&amp;"")</f>
        <v/>
      </c>
      <c r="N135">
        <f>IF($AH135="","",INDEX('Per Line'!$M$2:$M$1501,$AH135)&amp;"")</f>
        <v/>
      </c>
      <c r="O135">
        <f>IF($AH135="","",INDEX('Per Line'!$P$2:$P$1501,$AH135))</f>
        <v/>
      </c>
      <c r="P135" s="7">
        <f>IF($AH135="","",O135*AD135/100)</f>
        <v/>
      </c>
      <c r="Q135">
        <f>IF($AH135="","",INDEX('Per Line'!$R$2:$R$1501,$AH135)&amp;"")</f>
        <v/>
      </c>
      <c r="R135">
        <f>IF($AH135="","",INDEX('Per Line'!$AB$2:$AB$1501,$AH135)&amp;"")</f>
        <v/>
      </c>
      <c r="S135">
        <f>IF($AH135="","",Settings!$C$8)</f>
        <v/>
      </c>
      <c r="T135" s="7">
        <f>IF($AH135="","",SUMIFS('Per Line'!$Z$2:$Z$1501,'Per Line'!$E$2:$E$1501,$B135,'Per Line'!$AT$2:$AT$1501,1))</f>
        <v/>
      </c>
      <c r="U135" s="7">
        <f>IF($AH135="","",T135*S135)</f>
        <v/>
      </c>
      <c r="V135">
        <f>IF($AH135="","",Settings!$C$7)</f>
        <v/>
      </c>
      <c r="W135" s="7">
        <f>IF($AH135="","",SUMIFS('Per Line'!$Z$2:$Z$1501,'Per Line'!$E$2:$E$1501,$B135,'Per Line'!$AS$2:$AS$1501,0,'Per Line'!$AT$2:$AT$1501,0))</f>
        <v/>
      </c>
      <c r="X135" s="7">
        <f>IF($AH135="","",W135*V135)</f>
        <v/>
      </c>
      <c r="Y135">
        <f>IF($AH135="","",Settings!$C$6)</f>
        <v/>
      </c>
      <c r="Z135" s="7">
        <f>IF($AH135="","",SUMIFS('Per Line'!$Z$2:$Z$1501,'Per Line'!$E$2:$E$1501,$B135,'Per Line'!$AS$2:$AS$1501,1,'Per Line'!$AT$2:$AT$1501,0))</f>
        <v/>
      </c>
      <c r="AA135" s="7">
        <f>IF($AH135="","",Z135*Y135)</f>
        <v/>
      </c>
      <c r="AB135" s="7">
        <f>IF($AH135="","",AA135+X135+U135)</f>
        <v/>
      </c>
      <c r="AC135" s="7">
        <f>IF($AH135="","",AD135-AB135)</f>
        <v/>
      </c>
      <c r="AD135" s="7">
        <f>IF($AH135="","",W135+Z135+T135)</f>
        <v/>
      </c>
      <c r="AE135" s="7">
        <f>IF($AH135="","",AD135-AB135-P135)</f>
        <v/>
      </c>
      <c r="AF135" s="15" t="n"/>
      <c r="AG135" s="7">
        <f>IF($AH135="","",AE135-N(AF135))</f>
        <v/>
      </c>
      <c r="AH135" s="16">
        <f>IF(ROWS($AH$2:$AH135)&lt;=MAX('Per Line'!$AR$2:$AR$1501),MATCH(ROWS($AH$2:$AH135),'Per Line'!$AR$2:$AR$1501,0),"")</f>
        <v/>
      </c>
      <c r="AI135">
        <f>IF($AH135="","",C135&amp;"|"&amp;COUNTIF($C$2:$C135,C135))</f>
        <v/>
      </c>
    </row>
    <row r="136">
      <c r="A136" s="15" t="n"/>
      <c r="B136">
        <f>IF($AH136="","",INDEX('Per Line'!$E$2:$E$1501,$AH136)&amp;"")</f>
        <v/>
      </c>
      <c r="C136">
        <f>IF($AH136="","",IF(INDEX('Per Line'!$AP$2:$AP$1501,$AH136)="NOT MATCH","NOT MATCH","FULL MATCH"))</f>
        <v/>
      </c>
      <c r="D136">
        <f>IF($AH136="","",INDEX('Per Line'!$A$2:$A$1501,$AH136)&amp;"")</f>
        <v/>
      </c>
      <c r="E136">
        <f>IF($AH136="","",INDEX('Per Line'!$B$2:$B$1501,$AH136))</f>
        <v/>
      </c>
      <c r="F136">
        <f>IF($AH136="","",INDEX('Per Line'!$C$2:$C$1501,$AH136)&amp;"")</f>
        <v/>
      </c>
      <c r="G136">
        <f>IF($AH136="","",INDEX('Per Line'!$D$2:$D$1501,$AH136)&amp;"")</f>
        <v/>
      </c>
      <c r="H136">
        <f>IF($AH136="","",INDEX('Per Line'!$F$2:$F$1501,$AH136)&amp;"")</f>
        <v/>
      </c>
      <c r="I136" s="14">
        <f>IF($AH136="","",INDEX('Per Line'!$G$2:$G$1501,$AH136))</f>
        <v/>
      </c>
      <c r="J136">
        <f>IF($AH136="","",INDEX('Per Line'!$H$2:$H$1501,$AH136)&amp;"")</f>
        <v/>
      </c>
      <c r="K136">
        <f>IF($AH136="","",INDEX('Per Line'!$J$2:$J$1501,$AH136)&amp;"")</f>
        <v/>
      </c>
      <c r="L136">
        <f>IF($AH136="","",INDEX('Per Line'!$K$2:$K$1501,$AH136)&amp;"")</f>
        <v/>
      </c>
      <c r="M136">
        <f>IF($AH136="","",INDEX('Per Line'!$L$2:$L$1501,$AH136)&amp;"")</f>
        <v/>
      </c>
      <c r="N136">
        <f>IF($AH136="","",INDEX('Per Line'!$M$2:$M$1501,$AH136)&amp;"")</f>
        <v/>
      </c>
      <c r="O136">
        <f>IF($AH136="","",INDEX('Per Line'!$P$2:$P$1501,$AH136))</f>
        <v/>
      </c>
      <c r="P136" s="7">
        <f>IF($AH136="","",O136*AD136/100)</f>
        <v/>
      </c>
      <c r="Q136">
        <f>IF($AH136="","",INDEX('Per Line'!$R$2:$R$1501,$AH136)&amp;"")</f>
        <v/>
      </c>
      <c r="R136">
        <f>IF($AH136="","",INDEX('Per Line'!$AB$2:$AB$1501,$AH136)&amp;"")</f>
        <v/>
      </c>
      <c r="S136">
        <f>IF($AH136="","",Settings!$C$8)</f>
        <v/>
      </c>
      <c r="T136" s="7">
        <f>IF($AH136="","",SUMIFS('Per Line'!$Z$2:$Z$1501,'Per Line'!$E$2:$E$1501,$B136,'Per Line'!$AT$2:$AT$1501,1))</f>
        <v/>
      </c>
      <c r="U136" s="7">
        <f>IF($AH136="","",T136*S136)</f>
        <v/>
      </c>
      <c r="V136">
        <f>IF($AH136="","",Settings!$C$7)</f>
        <v/>
      </c>
      <c r="W136" s="7">
        <f>IF($AH136="","",SUMIFS('Per Line'!$Z$2:$Z$1501,'Per Line'!$E$2:$E$1501,$B136,'Per Line'!$AS$2:$AS$1501,0,'Per Line'!$AT$2:$AT$1501,0))</f>
        <v/>
      </c>
      <c r="X136" s="7">
        <f>IF($AH136="","",W136*V136)</f>
        <v/>
      </c>
      <c r="Y136">
        <f>IF($AH136="","",Settings!$C$6)</f>
        <v/>
      </c>
      <c r="Z136" s="7">
        <f>IF($AH136="","",SUMIFS('Per Line'!$Z$2:$Z$1501,'Per Line'!$E$2:$E$1501,$B136,'Per Line'!$AS$2:$AS$1501,1,'Per Line'!$AT$2:$AT$1501,0))</f>
        <v/>
      </c>
      <c r="AA136" s="7">
        <f>IF($AH136="","",Z136*Y136)</f>
        <v/>
      </c>
      <c r="AB136" s="7">
        <f>IF($AH136="","",AA136+X136+U136)</f>
        <v/>
      </c>
      <c r="AC136" s="7">
        <f>IF($AH136="","",AD136-AB136)</f>
        <v/>
      </c>
      <c r="AD136" s="7">
        <f>IF($AH136="","",W136+Z136+T136)</f>
        <v/>
      </c>
      <c r="AE136" s="7">
        <f>IF($AH136="","",AD136-AB136-P136)</f>
        <v/>
      </c>
      <c r="AF136" s="15" t="n"/>
      <c r="AG136" s="7">
        <f>IF($AH136="","",AE136-N(AF136))</f>
        <v/>
      </c>
      <c r="AH136" s="16">
        <f>IF(ROWS($AH$2:$AH136)&lt;=MAX('Per Line'!$AR$2:$AR$1501),MATCH(ROWS($AH$2:$AH136),'Per Line'!$AR$2:$AR$1501,0),"")</f>
        <v/>
      </c>
      <c r="AI136">
        <f>IF($AH136="","",C136&amp;"|"&amp;COUNTIF($C$2:$C136,C136))</f>
        <v/>
      </c>
    </row>
    <row r="137">
      <c r="A137" s="15" t="n"/>
      <c r="B137">
        <f>IF($AH137="","",INDEX('Per Line'!$E$2:$E$1501,$AH137)&amp;"")</f>
        <v/>
      </c>
      <c r="C137">
        <f>IF($AH137="","",IF(INDEX('Per Line'!$AP$2:$AP$1501,$AH137)="NOT MATCH","NOT MATCH","FULL MATCH"))</f>
        <v/>
      </c>
      <c r="D137">
        <f>IF($AH137="","",INDEX('Per Line'!$A$2:$A$1501,$AH137)&amp;"")</f>
        <v/>
      </c>
      <c r="E137">
        <f>IF($AH137="","",INDEX('Per Line'!$B$2:$B$1501,$AH137))</f>
        <v/>
      </c>
      <c r="F137">
        <f>IF($AH137="","",INDEX('Per Line'!$C$2:$C$1501,$AH137)&amp;"")</f>
        <v/>
      </c>
      <c r="G137">
        <f>IF($AH137="","",INDEX('Per Line'!$D$2:$D$1501,$AH137)&amp;"")</f>
        <v/>
      </c>
      <c r="H137">
        <f>IF($AH137="","",INDEX('Per Line'!$F$2:$F$1501,$AH137)&amp;"")</f>
        <v/>
      </c>
      <c r="I137" s="14">
        <f>IF($AH137="","",INDEX('Per Line'!$G$2:$G$1501,$AH137))</f>
        <v/>
      </c>
      <c r="J137">
        <f>IF($AH137="","",INDEX('Per Line'!$H$2:$H$1501,$AH137)&amp;"")</f>
        <v/>
      </c>
      <c r="K137">
        <f>IF($AH137="","",INDEX('Per Line'!$J$2:$J$1501,$AH137)&amp;"")</f>
        <v/>
      </c>
      <c r="L137">
        <f>IF($AH137="","",INDEX('Per Line'!$K$2:$K$1501,$AH137)&amp;"")</f>
        <v/>
      </c>
      <c r="M137">
        <f>IF($AH137="","",INDEX('Per Line'!$L$2:$L$1501,$AH137)&amp;"")</f>
        <v/>
      </c>
      <c r="N137">
        <f>IF($AH137="","",INDEX('Per Line'!$M$2:$M$1501,$AH137)&amp;"")</f>
        <v/>
      </c>
      <c r="O137">
        <f>IF($AH137="","",INDEX('Per Line'!$P$2:$P$1501,$AH137))</f>
        <v/>
      </c>
      <c r="P137" s="7">
        <f>IF($AH137="","",O137*AD137/100)</f>
        <v/>
      </c>
      <c r="Q137">
        <f>IF($AH137="","",INDEX('Per Line'!$R$2:$R$1501,$AH137)&amp;"")</f>
        <v/>
      </c>
      <c r="R137">
        <f>IF($AH137="","",INDEX('Per Line'!$AB$2:$AB$1501,$AH137)&amp;"")</f>
        <v/>
      </c>
      <c r="S137">
        <f>IF($AH137="","",Settings!$C$8)</f>
        <v/>
      </c>
      <c r="T137" s="7">
        <f>IF($AH137="","",SUMIFS('Per Line'!$Z$2:$Z$1501,'Per Line'!$E$2:$E$1501,$B137,'Per Line'!$AT$2:$AT$1501,1))</f>
        <v/>
      </c>
      <c r="U137" s="7">
        <f>IF($AH137="","",T137*S137)</f>
        <v/>
      </c>
      <c r="V137">
        <f>IF($AH137="","",Settings!$C$7)</f>
        <v/>
      </c>
      <c r="W137" s="7">
        <f>IF($AH137="","",SUMIFS('Per Line'!$Z$2:$Z$1501,'Per Line'!$E$2:$E$1501,$B137,'Per Line'!$AS$2:$AS$1501,0,'Per Line'!$AT$2:$AT$1501,0))</f>
        <v/>
      </c>
      <c r="X137" s="7">
        <f>IF($AH137="","",W137*V137)</f>
        <v/>
      </c>
      <c r="Y137">
        <f>IF($AH137="","",Settings!$C$6)</f>
        <v/>
      </c>
      <c r="Z137" s="7">
        <f>IF($AH137="","",SUMIFS('Per Line'!$Z$2:$Z$1501,'Per Line'!$E$2:$E$1501,$B137,'Per Line'!$AS$2:$AS$1501,1,'Per Line'!$AT$2:$AT$1501,0))</f>
        <v/>
      </c>
      <c r="AA137" s="7">
        <f>IF($AH137="","",Z137*Y137)</f>
        <v/>
      </c>
      <c r="AB137" s="7">
        <f>IF($AH137="","",AA137+X137+U137)</f>
        <v/>
      </c>
      <c r="AC137" s="7">
        <f>IF($AH137="","",AD137-AB137)</f>
        <v/>
      </c>
      <c r="AD137" s="7">
        <f>IF($AH137="","",W137+Z137+T137)</f>
        <v/>
      </c>
      <c r="AE137" s="7">
        <f>IF($AH137="","",AD137-AB137-P137)</f>
        <v/>
      </c>
      <c r="AF137" s="15" t="n"/>
      <c r="AG137" s="7">
        <f>IF($AH137="","",AE137-N(AF137))</f>
        <v/>
      </c>
      <c r="AH137" s="16">
        <f>IF(ROWS($AH$2:$AH137)&lt;=MAX('Per Line'!$AR$2:$AR$1501),MATCH(ROWS($AH$2:$AH137),'Per Line'!$AR$2:$AR$1501,0),"")</f>
        <v/>
      </c>
      <c r="AI137">
        <f>IF($AH137="","",C137&amp;"|"&amp;COUNTIF($C$2:$C137,C137))</f>
        <v/>
      </c>
    </row>
    <row r="138">
      <c r="A138" s="15" t="n"/>
      <c r="B138">
        <f>IF($AH138="","",INDEX('Per Line'!$E$2:$E$1501,$AH138)&amp;"")</f>
        <v/>
      </c>
      <c r="C138">
        <f>IF($AH138="","",IF(INDEX('Per Line'!$AP$2:$AP$1501,$AH138)="NOT MATCH","NOT MATCH","FULL MATCH"))</f>
        <v/>
      </c>
      <c r="D138">
        <f>IF($AH138="","",INDEX('Per Line'!$A$2:$A$1501,$AH138)&amp;"")</f>
        <v/>
      </c>
      <c r="E138">
        <f>IF($AH138="","",INDEX('Per Line'!$B$2:$B$1501,$AH138))</f>
        <v/>
      </c>
      <c r="F138">
        <f>IF($AH138="","",INDEX('Per Line'!$C$2:$C$1501,$AH138)&amp;"")</f>
        <v/>
      </c>
      <c r="G138">
        <f>IF($AH138="","",INDEX('Per Line'!$D$2:$D$1501,$AH138)&amp;"")</f>
        <v/>
      </c>
      <c r="H138">
        <f>IF($AH138="","",INDEX('Per Line'!$F$2:$F$1501,$AH138)&amp;"")</f>
        <v/>
      </c>
      <c r="I138" s="14">
        <f>IF($AH138="","",INDEX('Per Line'!$G$2:$G$1501,$AH138))</f>
        <v/>
      </c>
      <c r="J138">
        <f>IF($AH138="","",INDEX('Per Line'!$H$2:$H$1501,$AH138)&amp;"")</f>
        <v/>
      </c>
      <c r="K138">
        <f>IF($AH138="","",INDEX('Per Line'!$J$2:$J$1501,$AH138)&amp;"")</f>
        <v/>
      </c>
      <c r="L138">
        <f>IF($AH138="","",INDEX('Per Line'!$K$2:$K$1501,$AH138)&amp;"")</f>
        <v/>
      </c>
      <c r="M138">
        <f>IF($AH138="","",INDEX('Per Line'!$L$2:$L$1501,$AH138)&amp;"")</f>
        <v/>
      </c>
      <c r="N138">
        <f>IF($AH138="","",INDEX('Per Line'!$M$2:$M$1501,$AH138)&amp;"")</f>
        <v/>
      </c>
      <c r="O138">
        <f>IF($AH138="","",INDEX('Per Line'!$P$2:$P$1501,$AH138))</f>
        <v/>
      </c>
      <c r="P138" s="7">
        <f>IF($AH138="","",O138*AD138/100)</f>
        <v/>
      </c>
      <c r="Q138">
        <f>IF($AH138="","",INDEX('Per Line'!$R$2:$R$1501,$AH138)&amp;"")</f>
        <v/>
      </c>
      <c r="R138">
        <f>IF($AH138="","",INDEX('Per Line'!$AB$2:$AB$1501,$AH138)&amp;"")</f>
        <v/>
      </c>
      <c r="S138">
        <f>IF($AH138="","",Settings!$C$8)</f>
        <v/>
      </c>
      <c r="T138" s="7">
        <f>IF($AH138="","",SUMIFS('Per Line'!$Z$2:$Z$1501,'Per Line'!$E$2:$E$1501,$B138,'Per Line'!$AT$2:$AT$1501,1))</f>
        <v/>
      </c>
      <c r="U138" s="7">
        <f>IF($AH138="","",T138*S138)</f>
        <v/>
      </c>
      <c r="V138">
        <f>IF($AH138="","",Settings!$C$7)</f>
        <v/>
      </c>
      <c r="W138" s="7">
        <f>IF($AH138="","",SUMIFS('Per Line'!$Z$2:$Z$1501,'Per Line'!$E$2:$E$1501,$B138,'Per Line'!$AS$2:$AS$1501,0,'Per Line'!$AT$2:$AT$1501,0))</f>
        <v/>
      </c>
      <c r="X138" s="7">
        <f>IF($AH138="","",W138*V138)</f>
        <v/>
      </c>
      <c r="Y138">
        <f>IF($AH138="","",Settings!$C$6)</f>
        <v/>
      </c>
      <c r="Z138" s="7">
        <f>IF($AH138="","",SUMIFS('Per Line'!$Z$2:$Z$1501,'Per Line'!$E$2:$E$1501,$B138,'Per Line'!$AS$2:$AS$1501,1,'Per Line'!$AT$2:$AT$1501,0))</f>
        <v/>
      </c>
      <c r="AA138" s="7">
        <f>IF($AH138="","",Z138*Y138)</f>
        <v/>
      </c>
      <c r="AB138" s="7">
        <f>IF($AH138="","",AA138+X138+U138)</f>
        <v/>
      </c>
      <c r="AC138" s="7">
        <f>IF($AH138="","",AD138-AB138)</f>
        <v/>
      </c>
      <c r="AD138" s="7">
        <f>IF($AH138="","",W138+Z138+T138)</f>
        <v/>
      </c>
      <c r="AE138" s="7">
        <f>IF($AH138="","",AD138-AB138-P138)</f>
        <v/>
      </c>
      <c r="AF138" s="15" t="n"/>
      <c r="AG138" s="7">
        <f>IF($AH138="","",AE138-N(AF138))</f>
        <v/>
      </c>
      <c r="AH138" s="16">
        <f>IF(ROWS($AH$2:$AH138)&lt;=MAX('Per Line'!$AR$2:$AR$1501),MATCH(ROWS($AH$2:$AH138),'Per Line'!$AR$2:$AR$1501,0),"")</f>
        <v/>
      </c>
      <c r="AI138">
        <f>IF($AH138="","",C138&amp;"|"&amp;COUNTIF($C$2:$C138,C138))</f>
        <v/>
      </c>
    </row>
    <row r="139">
      <c r="A139" s="15" t="n"/>
      <c r="B139">
        <f>IF($AH139="","",INDEX('Per Line'!$E$2:$E$1501,$AH139)&amp;"")</f>
        <v/>
      </c>
      <c r="C139">
        <f>IF($AH139="","",IF(INDEX('Per Line'!$AP$2:$AP$1501,$AH139)="NOT MATCH","NOT MATCH","FULL MATCH"))</f>
        <v/>
      </c>
      <c r="D139">
        <f>IF($AH139="","",INDEX('Per Line'!$A$2:$A$1501,$AH139)&amp;"")</f>
        <v/>
      </c>
      <c r="E139">
        <f>IF($AH139="","",INDEX('Per Line'!$B$2:$B$1501,$AH139))</f>
        <v/>
      </c>
      <c r="F139">
        <f>IF($AH139="","",INDEX('Per Line'!$C$2:$C$1501,$AH139)&amp;"")</f>
        <v/>
      </c>
      <c r="G139">
        <f>IF($AH139="","",INDEX('Per Line'!$D$2:$D$1501,$AH139)&amp;"")</f>
        <v/>
      </c>
      <c r="H139">
        <f>IF($AH139="","",INDEX('Per Line'!$F$2:$F$1501,$AH139)&amp;"")</f>
        <v/>
      </c>
      <c r="I139" s="14">
        <f>IF($AH139="","",INDEX('Per Line'!$G$2:$G$1501,$AH139))</f>
        <v/>
      </c>
      <c r="J139">
        <f>IF($AH139="","",INDEX('Per Line'!$H$2:$H$1501,$AH139)&amp;"")</f>
        <v/>
      </c>
      <c r="K139">
        <f>IF($AH139="","",INDEX('Per Line'!$J$2:$J$1501,$AH139)&amp;"")</f>
        <v/>
      </c>
      <c r="L139">
        <f>IF($AH139="","",INDEX('Per Line'!$K$2:$K$1501,$AH139)&amp;"")</f>
        <v/>
      </c>
      <c r="M139">
        <f>IF($AH139="","",INDEX('Per Line'!$L$2:$L$1501,$AH139)&amp;"")</f>
        <v/>
      </c>
      <c r="N139">
        <f>IF($AH139="","",INDEX('Per Line'!$M$2:$M$1501,$AH139)&amp;"")</f>
        <v/>
      </c>
      <c r="O139">
        <f>IF($AH139="","",INDEX('Per Line'!$P$2:$P$1501,$AH139))</f>
        <v/>
      </c>
      <c r="P139" s="7">
        <f>IF($AH139="","",O139*AD139/100)</f>
        <v/>
      </c>
      <c r="Q139">
        <f>IF($AH139="","",INDEX('Per Line'!$R$2:$R$1501,$AH139)&amp;"")</f>
        <v/>
      </c>
      <c r="R139">
        <f>IF($AH139="","",INDEX('Per Line'!$AB$2:$AB$1501,$AH139)&amp;"")</f>
        <v/>
      </c>
      <c r="S139">
        <f>IF($AH139="","",Settings!$C$8)</f>
        <v/>
      </c>
      <c r="T139" s="7">
        <f>IF($AH139="","",SUMIFS('Per Line'!$Z$2:$Z$1501,'Per Line'!$E$2:$E$1501,$B139,'Per Line'!$AT$2:$AT$1501,1))</f>
        <v/>
      </c>
      <c r="U139" s="7">
        <f>IF($AH139="","",T139*S139)</f>
        <v/>
      </c>
      <c r="V139">
        <f>IF($AH139="","",Settings!$C$7)</f>
        <v/>
      </c>
      <c r="W139" s="7">
        <f>IF($AH139="","",SUMIFS('Per Line'!$Z$2:$Z$1501,'Per Line'!$E$2:$E$1501,$B139,'Per Line'!$AS$2:$AS$1501,0,'Per Line'!$AT$2:$AT$1501,0))</f>
        <v/>
      </c>
      <c r="X139" s="7">
        <f>IF($AH139="","",W139*V139)</f>
        <v/>
      </c>
      <c r="Y139">
        <f>IF($AH139="","",Settings!$C$6)</f>
        <v/>
      </c>
      <c r="Z139" s="7">
        <f>IF($AH139="","",SUMIFS('Per Line'!$Z$2:$Z$1501,'Per Line'!$E$2:$E$1501,$B139,'Per Line'!$AS$2:$AS$1501,1,'Per Line'!$AT$2:$AT$1501,0))</f>
        <v/>
      </c>
      <c r="AA139" s="7">
        <f>IF($AH139="","",Z139*Y139)</f>
        <v/>
      </c>
      <c r="AB139" s="7">
        <f>IF($AH139="","",AA139+X139+U139)</f>
        <v/>
      </c>
      <c r="AC139" s="7">
        <f>IF($AH139="","",AD139-AB139)</f>
        <v/>
      </c>
      <c r="AD139" s="7">
        <f>IF($AH139="","",W139+Z139+T139)</f>
        <v/>
      </c>
      <c r="AE139" s="7">
        <f>IF($AH139="","",AD139-AB139-P139)</f>
        <v/>
      </c>
      <c r="AF139" s="15" t="n"/>
      <c r="AG139" s="7">
        <f>IF($AH139="","",AE139-N(AF139))</f>
        <v/>
      </c>
      <c r="AH139" s="16">
        <f>IF(ROWS($AH$2:$AH139)&lt;=MAX('Per Line'!$AR$2:$AR$1501),MATCH(ROWS($AH$2:$AH139),'Per Line'!$AR$2:$AR$1501,0),"")</f>
        <v/>
      </c>
      <c r="AI139">
        <f>IF($AH139="","",C139&amp;"|"&amp;COUNTIF($C$2:$C139,C139))</f>
        <v/>
      </c>
    </row>
    <row r="140">
      <c r="A140" s="15" t="n"/>
      <c r="B140">
        <f>IF($AH140="","",INDEX('Per Line'!$E$2:$E$1501,$AH140)&amp;"")</f>
        <v/>
      </c>
      <c r="C140">
        <f>IF($AH140="","",IF(INDEX('Per Line'!$AP$2:$AP$1501,$AH140)="NOT MATCH","NOT MATCH","FULL MATCH"))</f>
        <v/>
      </c>
      <c r="D140">
        <f>IF($AH140="","",INDEX('Per Line'!$A$2:$A$1501,$AH140)&amp;"")</f>
        <v/>
      </c>
      <c r="E140">
        <f>IF($AH140="","",INDEX('Per Line'!$B$2:$B$1501,$AH140))</f>
        <v/>
      </c>
      <c r="F140">
        <f>IF($AH140="","",INDEX('Per Line'!$C$2:$C$1501,$AH140)&amp;"")</f>
        <v/>
      </c>
      <c r="G140">
        <f>IF($AH140="","",INDEX('Per Line'!$D$2:$D$1501,$AH140)&amp;"")</f>
        <v/>
      </c>
      <c r="H140">
        <f>IF($AH140="","",INDEX('Per Line'!$F$2:$F$1501,$AH140)&amp;"")</f>
        <v/>
      </c>
      <c r="I140" s="14">
        <f>IF($AH140="","",INDEX('Per Line'!$G$2:$G$1501,$AH140))</f>
        <v/>
      </c>
      <c r="J140">
        <f>IF($AH140="","",INDEX('Per Line'!$H$2:$H$1501,$AH140)&amp;"")</f>
        <v/>
      </c>
      <c r="K140">
        <f>IF($AH140="","",INDEX('Per Line'!$J$2:$J$1501,$AH140)&amp;"")</f>
        <v/>
      </c>
      <c r="L140">
        <f>IF($AH140="","",INDEX('Per Line'!$K$2:$K$1501,$AH140)&amp;"")</f>
        <v/>
      </c>
      <c r="M140">
        <f>IF($AH140="","",INDEX('Per Line'!$L$2:$L$1501,$AH140)&amp;"")</f>
        <v/>
      </c>
      <c r="N140">
        <f>IF($AH140="","",INDEX('Per Line'!$M$2:$M$1501,$AH140)&amp;"")</f>
        <v/>
      </c>
      <c r="O140">
        <f>IF($AH140="","",INDEX('Per Line'!$P$2:$P$1501,$AH140))</f>
        <v/>
      </c>
      <c r="P140" s="7">
        <f>IF($AH140="","",O140*AD140/100)</f>
        <v/>
      </c>
      <c r="Q140">
        <f>IF($AH140="","",INDEX('Per Line'!$R$2:$R$1501,$AH140)&amp;"")</f>
        <v/>
      </c>
      <c r="R140">
        <f>IF($AH140="","",INDEX('Per Line'!$AB$2:$AB$1501,$AH140)&amp;"")</f>
        <v/>
      </c>
      <c r="S140">
        <f>IF($AH140="","",Settings!$C$8)</f>
        <v/>
      </c>
      <c r="T140" s="7">
        <f>IF($AH140="","",SUMIFS('Per Line'!$Z$2:$Z$1501,'Per Line'!$E$2:$E$1501,$B140,'Per Line'!$AT$2:$AT$1501,1))</f>
        <v/>
      </c>
      <c r="U140" s="7">
        <f>IF($AH140="","",T140*S140)</f>
        <v/>
      </c>
      <c r="V140">
        <f>IF($AH140="","",Settings!$C$7)</f>
        <v/>
      </c>
      <c r="W140" s="7">
        <f>IF($AH140="","",SUMIFS('Per Line'!$Z$2:$Z$1501,'Per Line'!$E$2:$E$1501,$B140,'Per Line'!$AS$2:$AS$1501,0,'Per Line'!$AT$2:$AT$1501,0))</f>
        <v/>
      </c>
      <c r="X140" s="7">
        <f>IF($AH140="","",W140*V140)</f>
        <v/>
      </c>
      <c r="Y140">
        <f>IF($AH140="","",Settings!$C$6)</f>
        <v/>
      </c>
      <c r="Z140" s="7">
        <f>IF($AH140="","",SUMIFS('Per Line'!$Z$2:$Z$1501,'Per Line'!$E$2:$E$1501,$B140,'Per Line'!$AS$2:$AS$1501,1,'Per Line'!$AT$2:$AT$1501,0))</f>
        <v/>
      </c>
      <c r="AA140" s="7">
        <f>IF($AH140="","",Z140*Y140)</f>
        <v/>
      </c>
      <c r="AB140" s="7">
        <f>IF($AH140="","",AA140+X140+U140)</f>
        <v/>
      </c>
      <c r="AC140" s="7">
        <f>IF($AH140="","",AD140-AB140)</f>
        <v/>
      </c>
      <c r="AD140" s="7">
        <f>IF($AH140="","",W140+Z140+T140)</f>
        <v/>
      </c>
      <c r="AE140" s="7">
        <f>IF($AH140="","",AD140-AB140-P140)</f>
        <v/>
      </c>
      <c r="AF140" s="15" t="n"/>
      <c r="AG140" s="7">
        <f>IF($AH140="","",AE140-N(AF140))</f>
        <v/>
      </c>
      <c r="AH140" s="16">
        <f>IF(ROWS($AH$2:$AH140)&lt;=MAX('Per Line'!$AR$2:$AR$1501),MATCH(ROWS($AH$2:$AH140),'Per Line'!$AR$2:$AR$1501,0),"")</f>
        <v/>
      </c>
      <c r="AI140">
        <f>IF($AH140="","",C140&amp;"|"&amp;COUNTIF($C$2:$C140,C140))</f>
        <v/>
      </c>
    </row>
    <row r="141">
      <c r="A141" s="15" t="n"/>
      <c r="B141">
        <f>IF($AH141="","",INDEX('Per Line'!$E$2:$E$1501,$AH141)&amp;"")</f>
        <v/>
      </c>
      <c r="C141">
        <f>IF($AH141="","",IF(INDEX('Per Line'!$AP$2:$AP$1501,$AH141)="NOT MATCH","NOT MATCH","FULL MATCH"))</f>
        <v/>
      </c>
      <c r="D141">
        <f>IF($AH141="","",INDEX('Per Line'!$A$2:$A$1501,$AH141)&amp;"")</f>
        <v/>
      </c>
      <c r="E141">
        <f>IF($AH141="","",INDEX('Per Line'!$B$2:$B$1501,$AH141))</f>
        <v/>
      </c>
      <c r="F141">
        <f>IF($AH141="","",INDEX('Per Line'!$C$2:$C$1501,$AH141)&amp;"")</f>
        <v/>
      </c>
      <c r="G141">
        <f>IF($AH141="","",INDEX('Per Line'!$D$2:$D$1501,$AH141)&amp;"")</f>
        <v/>
      </c>
      <c r="H141">
        <f>IF($AH141="","",INDEX('Per Line'!$F$2:$F$1501,$AH141)&amp;"")</f>
        <v/>
      </c>
      <c r="I141" s="14">
        <f>IF($AH141="","",INDEX('Per Line'!$G$2:$G$1501,$AH141))</f>
        <v/>
      </c>
      <c r="J141">
        <f>IF($AH141="","",INDEX('Per Line'!$H$2:$H$1501,$AH141)&amp;"")</f>
        <v/>
      </c>
      <c r="K141">
        <f>IF($AH141="","",INDEX('Per Line'!$J$2:$J$1501,$AH141)&amp;"")</f>
        <v/>
      </c>
      <c r="L141">
        <f>IF($AH141="","",INDEX('Per Line'!$K$2:$K$1501,$AH141)&amp;"")</f>
        <v/>
      </c>
      <c r="M141">
        <f>IF($AH141="","",INDEX('Per Line'!$L$2:$L$1501,$AH141)&amp;"")</f>
        <v/>
      </c>
      <c r="N141">
        <f>IF($AH141="","",INDEX('Per Line'!$M$2:$M$1501,$AH141)&amp;"")</f>
        <v/>
      </c>
      <c r="O141">
        <f>IF($AH141="","",INDEX('Per Line'!$P$2:$P$1501,$AH141))</f>
        <v/>
      </c>
      <c r="P141" s="7">
        <f>IF($AH141="","",O141*AD141/100)</f>
        <v/>
      </c>
      <c r="Q141">
        <f>IF($AH141="","",INDEX('Per Line'!$R$2:$R$1501,$AH141)&amp;"")</f>
        <v/>
      </c>
      <c r="R141">
        <f>IF($AH141="","",INDEX('Per Line'!$AB$2:$AB$1501,$AH141)&amp;"")</f>
        <v/>
      </c>
      <c r="S141">
        <f>IF($AH141="","",Settings!$C$8)</f>
        <v/>
      </c>
      <c r="T141" s="7">
        <f>IF($AH141="","",SUMIFS('Per Line'!$Z$2:$Z$1501,'Per Line'!$E$2:$E$1501,$B141,'Per Line'!$AT$2:$AT$1501,1))</f>
        <v/>
      </c>
      <c r="U141" s="7">
        <f>IF($AH141="","",T141*S141)</f>
        <v/>
      </c>
      <c r="V141">
        <f>IF($AH141="","",Settings!$C$7)</f>
        <v/>
      </c>
      <c r="W141" s="7">
        <f>IF($AH141="","",SUMIFS('Per Line'!$Z$2:$Z$1501,'Per Line'!$E$2:$E$1501,$B141,'Per Line'!$AS$2:$AS$1501,0,'Per Line'!$AT$2:$AT$1501,0))</f>
        <v/>
      </c>
      <c r="X141" s="7">
        <f>IF($AH141="","",W141*V141)</f>
        <v/>
      </c>
      <c r="Y141">
        <f>IF($AH141="","",Settings!$C$6)</f>
        <v/>
      </c>
      <c r="Z141" s="7">
        <f>IF($AH141="","",SUMIFS('Per Line'!$Z$2:$Z$1501,'Per Line'!$E$2:$E$1501,$B141,'Per Line'!$AS$2:$AS$1501,1,'Per Line'!$AT$2:$AT$1501,0))</f>
        <v/>
      </c>
      <c r="AA141" s="7">
        <f>IF($AH141="","",Z141*Y141)</f>
        <v/>
      </c>
      <c r="AB141" s="7">
        <f>IF($AH141="","",AA141+X141+U141)</f>
        <v/>
      </c>
      <c r="AC141" s="7">
        <f>IF($AH141="","",AD141-AB141)</f>
        <v/>
      </c>
      <c r="AD141" s="7">
        <f>IF($AH141="","",W141+Z141+T141)</f>
        <v/>
      </c>
      <c r="AE141" s="7">
        <f>IF($AH141="","",AD141-AB141-P141)</f>
        <v/>
      </c>
      <c r="AF141" s="15" t="n"/>
      <c r="AG141" s="7">
        <f>IF($AH141="","",AE141-N(AF141))</f>
        <v/>
      </c>
      <c r="AH141" s="16">
        <f>IF(ROWS($AH$2:$AH141)&lt;=MAX('Per Line'!$AR$2:$AR$1501),MATCH(ROWS($AH$2:$AH141),'Per Line'!$AR$2:$AR$1501,0),"")</f>
        <v/>
      </c>
      <c r="AI141">
        <f>IF($AH141="","",C141&amp;"|"&amp;COUNTIF($C$2:$C141,C141))</f>
        <v/>
      </c>
    </row>
    <row r="142">
      <c r="A142" s="15" t="n"/>
      <c r="B142">
        <f>IF($AH142="","",INDEX('Per Line'!$E$2:$E$1501,$AH142)&amp;"")</f>
        <v/>
      </c>
      <c r="C142">
        <f>IF($AH142="","",IF(INDEX('Per Line'!$AP$2:$AP$1501,$AH142)="NOT MATCH","NOT MATCH","FULL MATCH"))</f>
        <v/>
      </c>
      <c r="D142">
        <f>IF($AH142="","",INDEX('Per Line'!$A$2:$A$1501,$AH142)&amp;"")</f>
        <v/>
      </c>
      <c r="E142">
        <f>IF($AH142="","",INDEX('Per Line'!$B$2:$B$1501,$AH142))</f>
        <v/>
      </c>
      <c r="F142">
        <f>IF($AH142="","",INDEX('Per Line'!$C$2:$C$1501,$AH142)&amp;"")</f>
        <v/>
      </c>
      <c r="G142">
        <f>IF($AH142="","",INDEX('Per Line'!$D$2:$D$1501,$AH142)&amp;"")</f>
        <v/>
      </c>
      <c r="H142">
        <f>IF($AH142="","",INDEX('Per Line'!$F$2:$F$1501,$AH142)&amp;"")</f>
        <v/>
      </c>
      <c r="I142" s="14">
        <f>IF($AH142="","",INDEX('Per Line'!$G$2:$G$1501,$AH142))</f>
        <v/>
      </c>
      <c r="J142">
        <f>IF($AH142="","",INDEX('Per Line'!$H$2:$H$1501,$AH142)&amp;"")</f>
        <v/>
      </c>
      <c r="K142">
        <f>IF($AH142="","",INDEX('Per Line'!$J$2:$J$1501,$AH142)&amp;"")</f>
        <v/>
      </c>
      <c r="L142">
        <f>IF($AH142="","",INDEX('Per Line'!$K$2:$K$1501,$AH142)&amp;"")</f>
        <v/>
      </c>
      <c r="M142">
        <f>IF($AH142="","",INDEX('Per Line'!$L$2:$L$1501,$AH142)&amp;"")</f>
        <v/>
      </c>
      <c r="N142">
        <f>IF($AH142="","",INDEX('Per Line'!$M$2:$M$1501,$AH142)&amp;"")</f>
        <v/>
      </c>
      <c r="O142">
        <f>IF($AH142="","",INDEX('Per Line'!$P$2:$P$1501,$AH142))</f>
        <v/>
      </c>
      <c r="P142" s="7">
        <f>IF($AH142="","",O142*AD142/100)</f>
        <v/>
      </c>
      <c r="Q142">
        <f>IF($AH142="","",INDEX('Per Line'!$R$2:$R$1501,$AH142)&amp;"")</f>
        <v/>
      </c>
      <c r="R142">
        <f>IF($AH142="","",INDEX('Per Line'!$AB$2:$AB$1501,$AH142)&amp;"")</f>
        <v/>
      </c>
      <c r="S142">
        <f>IF($AH142="","",Settings!$C$8)</f>
        <v/>
      </c>
      <c r="T142" s="7">
        <f>IF($AH142="","",SUMIFS('Per Line'!$Z$2:$Z$1501,'Per Line'!$E$2:$E$1501,$B142,'Per Line'!$AT$2:$AT$1501,1))</f>
        <v/>
      </c>
      <c r="U142" s="7">
        <f>IF($AH142="","",T142*S142)</f>
        <v/>
      </c>
      <c r="V142">
        <f>IF($AH142="","",Settings!$C$7)</f>
        <v/>
      </c>
      <c r="W142" s="7">
        <f>IF($AH142="","",SUMIFS('Per Line'!$Z$2:$Z$1501,'Per Line'!$E$2:$E$1501,$B142,'Per Line'!$AS$2:$AS$1501,0,'Per Line'!$AT$2:$AT$1501,0))</f>
        <v/>
      </c>
      <c r="X142" s="7">
        <f>IF($AH142="","",W142*V142)</f>
        <v/>
      </c>
      <c r="Y142">
        <f>IF($AH142="","",Settings!$C$6)</f>
        <v/>
      </c>
      <c r="Z142" s="7">
        <f>IF($AH142="","",SUMIFS('Per Line'!$Z$2:$Z$1501,'Per Line'!$E$2:$E$1501,$B142,'Per Line'!$AS$2:$AS$1501,1,'Per Line'!$AT$2:$AT$1501,0))</f>
        <v/>
      </c>
      <c r="AA142" s="7">
        <f>IF($AH142="","",Z142*Y142)</f>
        <v/>
      </c>
      <c r="AB142" s="7">
        <f>IF($AH142="","",AA142+X142+U142)</f>
        <v/>
      </c>
      <c r="AC142" s="7">
        <f>IF($AH142="","",AD142-AB142)</f>
        <v/>
      </c>
      <c r="AD142" s="7">
        <f>IF($AH142="","",W142+Z142+T142)</f>
        <v/>
      </c>
      <c r="AE142" s="7">
        <f>IF($AH142="","",AD142-AB142-P142)</f>
        <v/>
      </c>
      <c r="AF142" s="15" t="n"/>
      <c r="AG142" s="7">
        <f>IF($AH142="","",AE142-N(AF142))</f>
        <v/>
      </c>
      <c r="AH142" s="16">
        <f>IF(ROWS($AH$2:$AH142)&lt;=MAX('Per Line'!$AR$2:$AR$1501),MATCH(ROWS($AH$2:$AH142),'Per Line'!$AR$2:$AR$1501,0),"")</f>
        <v/>
      </c>
      <c r="AI142">
        <f>IF($AH142="","",C142&amp;"|"&amp;COUNTIF($C$2:$C142,C142))</f>
        <v/>
      </c>
    </row>
    <row r="143">
      <c r="A143" s="15" t="n"/>
      <c r="B143">
        <f>IF($AH143="","",INDEX('Per Line'!$E$2:$E$1501,$AH143)&amp;"")</f>
        <v/>
      </c>
      <c r="C143">
        <f>IF($AH143="","",IF(INDEX('Per Line'!$AP$2:$AP$1501,$AH143)="NOT MATCH","NOT MATCH","FULL MATCH"))</f>
        <v/>
      </c>
      <c r="D143">
        <f>IF($AH143="","",INDEX('Per Line'!$A$2:$A$1501,$AH143)&amp;"")</f>
        <v/>
      </c>
      <c r="E143">
        <f>IF($AH143="","",INDEX('Per Line'!$B$2:$B$1501,$AH143))</f>
        <v/>
      </c>
      <c r="F143">
        <f>IF($AH143="","",INDEX('Per Line'!$C$2:$C$1501,$AH143)&amp;"")</f>
        <v/>
      </c>
      <c r="G143">
        <f>IF($AH143="","",INDEX('Per Line'!$D$2:$D$1501,$AH143)&amp;"")</f>
        <v/>
      </c>
      <c r="H143">
        <f>IF($AH143="","",INDEX('Per Line'!$F$2:$F$1501,$AH143)&amp;"")</f>
        <v/>
      </c>
      <c r="I143" s="14">
        <f>IF($AH143="","",INDEX('Per Line'!$G$2:$G$1501,$AH143))</f>
        <v/>
      </c>
      <c r="J143">
        <f>IF($AH143="","",INDEX('Per Line'!$H$2:$H$1501,$AH143)&amp;"")</f>
        <v/>
      </c>
      <c r="K143">
        <f>IF($AH143="","",INDEX('Per Line'!$J$2:$J$1501,$AH143)&amp;"")</f>
        <v/>
      </c>
      <c r="L143">
        <f>IF($AH143="","",INDEX('Per Line'!$K$2:$K$1501,$AH143)&amp;"")</f>
        <v/>
      </c>
      <c r="M143">
        <f>IF($AH143="","",INDEX('Per Line'!$L$2:$L$1501,$AH143)&amp;"")</f>
        <v/>
      </c>
      <c r="N143">
        <f>IF($AH143="","",INDEX('Per Line'!$M$2:$M$1501,$AH143)&amp;"")</f>
        <v/>
      </c>
      <c r="O143">
        <f>IF($AH143="","",INDEX('Per Line'!$P$2:$P$1501,$AH143))</f>
        <v/>
      </c>
      <c r="P143" s="7">
        <f>IF($AH143="","",O143*AD143/100)</f>
        <v/>
      </c>
      <c r="Q143">
        <f>IF($AH143="","",INDEX('Per Line'!$R$2:$R$1501,$AH143)&amp;"")</f>
        <v/>
      </c>
      <c r="R143">
        <f>IF($AH143="","",INDEX('Per Line'!$AB$2:$AB$1501,$AH143)&amp;"")</f>
        <v/>
      </c>
      <c r="S143">
        <f>IF($AH143="","",Settings!$C$8)</f>
        <v/>
      </c>
      <c r="T143" s="7">
        <f>IF($AH143="","",SUMIFS('Per Line'!$Z$2:$Z$1501,'Per Line'!$E$2:$E$1501,$B143,'Per Line'!$AT$2:$AT$1501,1))</f>
        <v/>
      </c>
      <c r="U143" s="7">
        <f>IF($AH143="","",T143*S143)</f>
        <v/>
      </c>
      <c r="V143">
        <f>IF($AH143="","",Settings!$C$7)</f>
        <v/>
      </c>
      <c r="W143" s="7">
        <f>IF($AH143="","",SUMIFS('Per Line'!$Z$2:$Z$1501,'Per Line'!$E$2:$E$1501,$B143,'Per Line'!$AS$2:$AS$1501,0,'Per Line'!$AT$2:$AT$1501,0))</f>
        <v/>
      </c>
      <c r="X143" s="7">
        <f>IF($AH143="","",W143*V143)</f>
        <v/>
      </c>
      <c r="Y143">
        <f>IF($AH143="","",Settings!$C$6)</f>
        <v/>
      </c>
      <c r="Z143" s="7">
        <f>IF($AH143="","",SUMIFS('Per Line'!$Z$2:$Z$1501,'Per Line'!$E$2:$E$1501,$B143,'Per Line'!$AS$2:$AS$1501,1,'Per Line'!$AT$2:$AT$1501,0))</f>
        <v/>
      </c>
      <c r="AA143" s="7">
        <f>IF($AH143="","",Z143*Y143)</f>
        <v/>
      </c>
      <c r="AB143" s="7">
        <f>IF($AH143="","",AA143+X143+U143)</f>
        <v/>
      </c>
      <c r="AC143" s="7">
        <f>IF($AH143="","",AD143-AB143)</f>
        <v/>
      </c>
      <c r="AD143" s="7">
        <f>IF($AH143="","",W143+Z143+T143)</f>
        <v/>
      </c>
      <c r="AE143" s="7">
        <f>IF($AH143="","",AD143-AB143-P143)</f>
        <v/>
      </c>
      <c r="AF143" s="15" t="n"/>
      <c r="AG143" s="7">
        <f>IF($AH143="","",AE143-N(AF143))</f>
        <v/>
      </c>
      <c r="AH143" s="16">
        <f>IF(ROWS($AH$2:$AH143)&lt;=MAX('Per Line'!$AR$2:$AR$1501),MATCH(ROWS($AH$2:$AH143),'Per Line'!$AR$2:$AR$1501,0),"")</f>
        <v/>
      </c>
      <c r="AI143">
        <f>IF($AH143="","",C143&amp;"|"&amp;COUNTIF($C$2:$C143,C143))</f>
        <v/>
      </c>
    </row>
    <row r="144">
      <c r="A144" s="15" t="n"/>
      <c r="B144">
        <f>IF($AH144="","",INDEX('Per Line'!$E$2:$E$1501,$AH144)&amp;"")</f>
        <v/>
      </c>
      <c r="C144">
        <f>IF($AH144="","",IF(INDEX('Per Line'!$AP$2:$AP$1501,$AH144)="NOT MATCH","NOT MATCH","FULL MATCH"))</f>
        <v/>
      </c>
      <c r="D144">
        <f>IF($AH144="","",INDEX('Per Line'!$A$2:$A$1501,$AH144)&amp;"")</f>
        <v/>
      </c>
      <c r="E144">
        <f>IF($AH144="","",INDEX('Per Line'!$B$2:$B$1501,$AH144))</f>
        <v/>
      </c>
      <c r="F144">
        <f>IF($AH144="","",INDEX('Per Line'!$C$2:$C$1501,$AH144)&amp;"")</f>
        <v/>
      </c>
      <c r="G144">
        <f>IF($AH144="","",INDEX('Per Line'!$D$2:$D$1501,$AH144)&amp;"")</f>
        <v/>
      </c>
      <c r="H144">
        <f>IF($AH144="","",INDEX('Per Line'!$F$2:$F$1501,$AH144)&amp;"")</f>
        <v/>
      </c>
      <c r="I144" s="14">
        <f>IF($AH144="","",INDEX('Per Line'!$G$2:$G$1501,$AH144))</f>
        <v/>
      </c>
      <c r="J144">
        <f>IF($AH144="","",INDEX('Per Line'!$H$2:$H$1501,$AH144)&amp;"")</f>
        <v/>
      </c>
      <c r="K144">
        <f>IF($AH144="","",INDEX('Per Line'!$J$2:$J$1501,$AH144)&amp;"")</f>
        <v/>
      </c>
      <c r="L144">
        <f>IF($AH144="","",INDEX('Per Line'!$K$2:$K$1501,$AH144)&amp;"")</f>
        <v/>
      </c>
      <c r="M144">
        <f>IF($AH144="","",INDEX('Per Line'!$L$2:$L$1501,$AH144)&amp;"")</f>
        <v/>
      </c>
      <c r="N144">
        <f>IF($AH144="","",INDEX('Per Line'!$M$2:$M$1501,$AH144)&amp;"")</f>
        <v/>
      </c>
      <c r="O144">
        <f>IF($AH144="","",INDEX('Per Line'!$P$2:$P$1501,$AH144))</f>
        <v/>
      </c>
      <c r="P144" s="7">
        <f>IF($AH144="","",O144*AD144/100)</f>
        <v/>
      </c>
      <c r="Q144">
        <f>IF($AH144="","",INDEX('Per Line'!$R$2:$R$1501,$AH144)&amp;"")</f>
        <v/>
      </c>
      <c r="R144">
        <f>IF($AH144="","",INDEX('Per Line'!$AB$2:$AB$1501,$AH144)&amp;"")</f>
        <v/>
      </c>
      <c r="S144">
        <f>IF($AH144="","",Settings!$C$8)</f>
        <v/>
      </c>
      <c r="T144" s="7">
        <f>IF($AH144="","",SUMIFS('Per Line'!$Z$2:$Z$1501,'Per Line'!$E$2:$E$1501,$B144,'Per Line'!$AT$2:$AT$1501,1))</f>
        <v/>
      </c>
      <c r="U144" s="7">
        <f>IF($AH144="","",T144*S144)</f>
        <v/>
      </c>
      <c r="V144">
        <f>IF($AH144="","",Settings!$C$7)</f>
        <v/>
      </c>
      <c r="W144" s="7">
        <f>IF($AH144="","",SUMIFS('Per Line'!$Z$2:$Z$1501,'Per Line'!$E$2:$E$1501,$B144,'Per Line'!$AS$2:$AS$1501,0,'Per Line'!$AT$2:$AT$1501,0))</f>
        <v/>
      </c>
      <c r="X144" s="7">
        <f>IF($AH144="","",W144*V144)</f>
        <v/>
      </c>
      <c r="Y144">
        <f>IF($AH144="","",Settings!$C$6)</f>
        <v/>
      </c>
      <c r="Z144" s="7">
        <f>IF($AH144="","",SUMIFS('Per Line'!$Z$2:$Z$1501,'Per Line'!$E$2:$E$1501,$B144,'Per Line'!$AS$2:$AS$1501,1,'Per Line'!$AT$2:$AT$1501,0))</f>
        <v/>
      </c>
      <c r="AA144" s="7">
        <f>IF($AH144="","",Z144*Y144)</f>
        <v/>
      </c>
      <c r="AB144" s="7">
        <f>IF($AH144="","",AA144+X144+U144)</f>
        <v/>
      </c>
      <c r="AC144" s="7">
        <f>IF($AH144="","",AD144-AB144)</f>
        <v/>
      </c>
      <c r="AD144" s="7">
        <f>IF($AH144="","",W144+Z144+T144)</f>
        <v/>
      </c>
      <c r="AE144" s="7">
        <f>IF($AH144="","",AD144-AB144-P144)</f>
        <v/>
      </c>
      <c r="AF144" s="15" t="n"/>
      <c r="AG144" s="7">
        <f>IF($AH144="","",AE144-N(AF144))</f>
        <v/>
      </c>
      <c r="AH144" s="16">
        <f>IF(ROWS($AH$2:$AH144)&lt;=MAX('Per Line'!$AR$2:$AR$1501),MATCH(ROWS($AH$2:$AH144),'Per Line'!$AR$2:$AR$1501,0),"")</f>
        <v/>
      </c>
      <c r="AI144">
        <f>IF($AH144="","",C144&amp;"|"&amp;COUNTIF($C$2:$C144,C144))</f>
        <v/>
      </c>
    </row>
    <row r="145">
      <c r="A145" s="15" t="n"/>
      <c r="B145">
        <f>IF($AH145="","",INDEX('Per Line'!$E$2:$E$1501,$AH145)&amp;"")</f>
        <v/>
      </c>
      <c r="C145">
        <f>IF($AH145="","",IF(INDEX('Per Line'!$AP$2:$AP$1501,$AH145)="NOT MATCH","NOT MATCH","FULL MATCH"))</f>
        <v/>
      </c>
      <c r="D145">
        <f>IF($AH145="","",INDEX('Per Line'!$A$2:$A$1501,$AH145)&amp;"")</f>
        <v/>
      </c>
      <c r="E145">
        <f>IF($AH145="","",INDEX('Per Line'!$B$2:$B$1501,$AH145))</f>
        <v/>
      </c>
      <c r="F145">
        <f>IF($AH145="","",INDEX('Per Line'!$C$2:$C$1501,$AH145)&amp;"")</f>
        <v/>
      </c>
      <c r="G145">
        <f>IF($AH145="","",INDEX('Per Line'!$D$2:$D$1501,$AH145)&amp;"")</f>
        <v/>
      </c>
      <c r="H145">
        <f>IF($AH145="","",INDEX('Per Line'!$F$2:$F$1501,$AH145)&amp;"")</f>
        <v/>
      </c>
      <c r="I145" s="14">
        <f>IF($AH145="","",INDEX('Per Line'!$G$2:$G$1501,$AH145))</f>
        <v/>
      </c>
      <c r="J145">
        <f>IF($AH145="","",INDEX('Per Line'!$H$2:$H$1501,$AH145)&amp;"")</f>
        <v/>
      </c>
      <c r="K145">
        <f>IF($AH145="","",INDEX('Per Line'!$J$2:$J$1501,$AH145)&amp;"")</f>
        <v/>
      </c>
      <c r="L145">
        <f>IF($AH145="","",INDEX('Per Line'!$K$2:$K$1501,$AH145)&amp;"")</f>
        <v/>
      </c>
      <c r="M145">
        <f>IF($AH145="","",INDEX('Per Line'!$L$2:$L$1501,$AH145)&amp;"")</f>
        <v/>
      </c>
      <c r="N145">
        <f>IF($AH145="","",INDEX('Per Line'!$M$2:$M$1501,$AH145)&amp;"")</f>
        <v/>
      </c>
      <c r="O145">
        <f>IF($AH145="","",INDEX('Per Line'!$P$2:$P$1501,$AH145))</f>
        <v/>
      </c>
      <c r="P145" s="7">
        <f>IF($AH145="","",O145*AD145/100)</f>
        <v/>
      </c>
      <c r="Q145">
        <f>IF($AH145="","",INDEX('Per Line'!$R$2:$R$1501,$AH145)&amp;"")</f>
        <v/>
      </c>
      <c r="R145">
        <f>IF($AH145="","",INDEX('Per Line'!$AB$2:$AB$1501,$AH145)&amp;"")</f>
        <v/>
      </c>
      <c r="S145">
        <f>IF($AH145="","",Settings!$C$8)</f>
        <v/>
      </c>
      <c r="T145" s="7">
        <f>IF($AH145="","",SUMIFS('Per Line'!$Z$2:$Z$1501,'Per Line'!$E$2:$E$1501,$B145,'Per Line'!$AT$2:$AT$1501,1))</f>
        <v/>
      </c>
      <c r="U145" s="7">
        <f>IF($AH145="","",T145*S145)</f>
        <v/>
      </c>
      <c r="V145">
        <f>IF($AH145="","",Settings!$C$7)</f>
        <v/>
      </c>
      <c r="W145" s="7">
        <f>IF($AH145="","",SUMIFS('Per Line'!$Z$2:$Z$1501,'Per Line'!$E$2:$E$1501,$B145,'Per Line'!$AS$2:$AS$1501,0,'Per Line'!$AT$2:$AT$1501,0))</f>
        <v/>
      </c>
      <c r="X145" s="7">
        <f>IF($AH145="","",W145*V145)</f>
        <v/>
      </c>
      <c r="Y145">
        <f>IF($AH145="","",Settings!$C$6)</f>
        <v/>
      </c>
      <c r="Z145" s="7">
        <f>IF($AH145="","",SUMIFS('Per Line'!$Z$2:$Z$1501,'Per Line'!$E$2:$E$1501,$B145,'Per Line'!$AS$2:$AS$1501,1,'Per Line'!$AT$2:$AT$1501,0))</f>
        <v/>
      </c>
      <c r="AA145" s="7">
        <f>IF($AH145="","",Z145*Y145)</f>
        <v/>
      </c>
      <c r="AB145" s="7">
        <f>IF($AH145="","",AA145+X145+U145)</f>
        <v/>
      </c>
      <c r="AC145" s="7">
        <f>IF($AH145="","",AD145-AB145)</f>
        <v/>
      </c>
      <c r="AD145" s="7">
        <f>IF($AH145="","",W145+Z145+T145)</f>
        <v/>
      </c>
      <c r="AE145" s="7">
        <f>IF($AH145="","",AD145-AB145-P145)</f>
        <v/>
      </c>
      <c r="AF145" s="15" t="n"/>
      <c r="AG145" s="7">
        <f>IF($AH145="","",AE145-N(AF145))</f>
        <v/>
      </c>
      <c r="AH145" s="16">
        <f>IF(ROWS($AH$2:$AH145)&lt;=MAX('Per Line'!$AR$2:$AR$1501),MATCH(ROWS($AH$2:$AH145),'Per Line'!$AR$2:$AR$1501,0),"")</f>
        <v/>
      </c>
      <c r="AI145">
        <f>IF($AH145="","",C145&amp;"|"&amp;COUNTIF($C$2:$C145,C145))</f>
        <v/>
      </c>
    </row>
    <row r="146">
      <c r="A146" s="15" t="n"/>
      <c r="B146">
        <f>IF($AH146="","",INDEX('Per Line'!$E$2:$E$1501,$AH146)&amp;"")</f>
        <v/>
      </c>
      <c r="C146">
        <f>IF($AH146="","",IF(INDEX('Per Line'!$AP$2:$AP$1501,$AH146)="NOT MATCH","NOT MATCH","FULL MATCH"))</f>
        <v/>
      </c>
      <c r="D146">
        <f>IF($AH146="","",INDEX('Per Line'!$A$2:$A$1501,$AH146)&amp;"")</f>
        <v/>
      </c>
      <c r="E146">
        <f>IF($AH146="","",INDEX('Per Line'!$B$2:$B$1501,$AH146))</f>
        <v/>
      </c>
      <c r="F146">
        <f>IF($AH146="","",INDEX('Per Line'!$C$2:$C$1501,$AH146)&amp;"")</f>
        <v/>
      </c>
      <c r="G146">
        <f>IF($AH146="","",INDEX('Per Line'!$D$2:$D$1501,$AH146)&amp;"")</f>
        <v/>
      </c>
      <c r="H146">
        <f>IF($AH146="","",INDEX('Per Line'!$F$2:$F$1501,$AH146)&amp;"")</f>
        <v/>
      </c>
      <c r="I146" s="14">
        <f>IF($AH146="","",INDEX('Per Line'!$G$2:$G$1501,$AH146))</f>
        <v/>
      </c>
      <c r="J146">
        <f>IF($AH146="","",INDEX('Per Line'!$H$2:$H$1501,$AH146)&amp;"")</f>
        <v/>
      </c>
      <c r="K146">
        <f>IF($AH146="","",INDEX('Per Line'!$J$2:$J$1501,$AH146)&amp;"")</f>
        <v/>
      </c>
      <c r="L146">
        <f>IF($AH146="","",INDEX('Per Line'!$K$2:$K$1501,$AH146)&amp;"")</f>
        <v/>
      </c>
      <c r="M146">
        <f>IF($AH146="","",INDEX('Per Line'!$L$2:$L$1501,$AH146)&amp;"")</f>
        <v/>
      </c>
      <c r="N146">
        <f>IF($AH146="","",INDEX('Per Line'!$M$2:$M$1501,$AH146)&amp;"")</f>
        <v/>
      </c>
      <c r="O146">
        <f>IF($AH146="","",INDEX('Per Line'!$P$2:$P$1501,$AH146))</f>
        <v/>
      </c>
      <c r="P146" s="7">
        <f>IF($AH146="","",O146*AD146/100)</f>
        <v/>
      </c>
      <c r="Q146">
        <f>IF($AH146="","",INDEX('Per Line'!$R$2:$R$1501,$AH146)&amp;"")</f>
        <v/>
      </c>
      <c r="R146">
        <f>IF($AH146="","",INDEX('Per Line'!$AB$2:$AB$1501,$AH146)&amp;"")</f>
        <v/>
      </c>
      <c r="S146">
        <f>IF($AH146="","",Settings!$C$8)</f>
        <v/>
      </c>
      <c r="T146" s="7">
        <f>IF($AH146="","",SUMIFS('Per Line'!$Z$2:$Z$1501,'Per Line'!$E$2:$E$1501,$B146,'Per Line'!$AT$2:$AT$1501,1))</f>
        <v/>
      </c>
      <c r="U146" s="7">
        <f>IF($AH146="","",T146*S146)</f>
        <v/>
      </c>
      <c r="V146">
        <f>IF($AH146="","",Settings!$C$7)</f>
        <v/>
      </c>
      <c r="W146" s="7">
        <f>IF($AH146="","",SUMIFS('Per Line'!$Z$2:$Z$1501,'Per Line'!$E$2:$E$1501,$B146,'Per Line'!$AS$2:$AS$1501,0,'Per Line'!$AT$2:$AT$1501,0))</f>
        <v/>
      </c>
      <c r="X146" s="7">
        <f>IF($AH146="","",W146*V146)</f>
        <v/>
      </c>
      <c r="Y146">
        <f>IF($AH146="","",Settings!$C$6)</f>
        <v/>
      </c>
      <c r="Z146" s="7">
        <f>IF($AH146="","",SUMIFS('Per Line'!$Z$2:$Z$1501,'Per Line'!$E$2:$E$1501,$B146,'Per Line'!$AS$2:$AS$1501,1,'Per Line'!$AT$2:$AT$1501,0))</f>
        <v/>
      </c>
      <c r="AA146" s="7">
        <f>IF($AH146="","",Z146*Y146)</f>
        <v/>
      </c>
      <c r="AB146" s="7">
        <f>IF($AH146="","",AA146+X146+U146)</f>
        <v/>
      </c>
      <c r="AC146" s="7">
        <f>IF($AH146="","",AD146-AB146)</f>
        <v/>
      </c>
      <c r="AD146" s="7">
        <f>IF($AH146="","",W146+Z146+T146)</f>
        <v/>
      </c>
      <c r="AE146" s="7">
        <f>IF($AH146="","",AD146-AB146-P146)</f>
        <v/>
      </c>
      <c r="AF146" s="15" t="n"/>
      <c r="AG146" s="7">
        <f>IF($AH146="","",AE146-N(AF146))</f>
        <v/>
      </c>
      <c r="AH146" s="16">
        <f>IF(ROWS($AH$2:$AH146)&lt;=MAX('Per Line'!$AR$2:$AR$1501),MATCH(ROWS($AH$2:$AH146),'Per Line'!$AR$2:$AR$1501,0),"")</f>
        <v/>
      </c>
      <c r="AI146">
        <f>IF($AH146="","",C146&amp;"|"&amp;COUNTIF($C$2:$C146,C146))</f>
        <v/>
      </c>
    </row>
    <row r="147">
      <c r="A147" s="15" t="n"/>
      <c r="B147">
        <f>IF($AH147="","",INDEX('Per Line'!$E$2:$E$1501,$AH147)&amp;"")</f>
        <v/>
      </c>
      <c r="C147">
        <f>IF($AH147="","",IF(INDEX('Per Line'!$AP$2:$AP$1501,$AH147)="NOT MATCH","NOT MATCH","FULL MATCH"))</f>
        <v/>
      </c>
      <c r="D147">
        <f>IF($AH147="","",INDEX('Per Line'!$A$2:$A$1501,$AH147)&amp;"")</f>
        <v/>
      </c>
      <c r="E147">
        <f>IF($AH147="","",INDEX('Per Line'!$B$2:$B$1501,$AH147))</f>
        <v/>
      </c>
      <c r="F147">
        <f>IF($AH147="","",INDEX('Per Line'!$C$2:$C$1501,$AH147)&amp;"")</f>
        <v/>
      </c>
      <c r="G147">
        <f>IF($AH147="","",INDEX('Per Line'!$D$2:$D$1501,$AH147)&amp;"")</f>
        <v/>
      </c>
      <c r="H147">
        <f>IF($AH147="","",INDEX('Per Line'!$F$2:$F$1501,$AH147)&amp;"")</f>
        <v/>
      </c>
      <c r="I147" s="14">
        <f>IF($AH147="","",INDEX('Per Line'!$G$2:$G$1501,$AH147))</f>
        <v/>
      </c>
      <c r="J147">
        <f>IF($AH147="","",INDEX('Per Line'!$H$2:$H$1501,$AH147)&amp;"")</f>
        <v/>
      </c>
      <c r="K147">
        <f>IF($AH147="","",INDEX('Per Line'!$J$2:$J$1501,$AH147)&amp;"")</f>
        <v/>
      </c>
      <c r="L147">
        <f>IF($AH147="","",INDEX('Per Line'!$K$2:$K$1501,$AH147)&amp;"")</f>
        <v/>
      </c>
      <c r="M147">
        <f>IF($AH147="","",INDEX('Per Line'!$L$2:$L$1501,$AH147)&amp;"")</f>
        <v/>
      </c>
      <c r="N147">
        <f>IF($AH147="","",INDEX('Per Line'!$M$2:$M$1501,$AH147)&amp;"")</f>
        <v/>
      </c>
      <c r="O147">
        <f>IF($AH147="","",INDEX('Per Line'!$P$2:$P$1501,$AH147))</f>
        <v/>
      </c>
      <c r="P147" s="7">
        <f>IF($AH147="","",O147*AD147/100)</f>
        <v/>
      </c>
      <c r="Q147">
        <f>IF($AH147="","",INDEX('Per Line'!$R$2:$R$1501,$AH147)&amp;"")</f>
        <v/>
      </c>
      <c r="R147">
        <f>IF($AH147="","",INDEX('Per Line'!$AB$2:$AB$1501,$AH147)&amp;"")</f>
        <v/>
      </c>
      <c r="S147">
        <f>IF($AH147="","",Settings!$C$8)</f>
        <v/>
      </c>
      <c r="T147" s="7">
        <f>IF($AH147="","",SUMIFS('Per Line'!$Z$2:$Z$1501,'Per Line'!$E$2:$E$1501,$B147,'Per Line'!$AT$2:$AT$1501,1))</f>
        <v/>
      </c>
      <c r="U147" s="7">
        <f>IF($AH147="","",T147*S147)</f>
        <v/>
      </c>
      <c r="V147">
        <f>IF($AH147="","",Settings!$C$7)</f>
        <v/>
      </c>
      <c r="W147" s="7">
        <f>IF($AH147="","",SUMIFS('Per Line'!$Z$2:$Z$1501,'Per Line'!$E$2:$E$1501,$B147,'Per Line'!$AS$2:$AS$1501,0,'Per Line'!$AT$2:$AT$1501,0))</f>
        <v/>
      </c>
      <c r="X147" s="7">
        <f>IF($AH147="","",W147*V147)</f>
        <v/>
      </c>
      <c r="Y147">
        <f>IF($AH147="","",Settings!$C$6)</f>
        <v/>
      </c>
      <c r="Z147" s="7">
        <f>IF($AH147="","",SUMIFS('Per Line'!$Z$2:$Z$1501,'Per Line'!$E$2:$E$1501,$B147,'Per Line'!$AS$2:$AS$1501,1,'Per Line'!$AT$2:$AT$1501,0))</f>
        <v/>
      </c>
      <c r="AA147" s="7">
        <f>IF($AH147="","",Z147*Y147)</f>
        <v/>
      </c>
      <c r="AB147" s="7">
        <f>IF($AH147="","",AA147+X147+U147)</f>
        <v/>
      </c>
      <c r="AC147" s="7">
        <f>IF($AH147="","",AD147-AB147)</f>
        <v/>
      </c>
      <c r="AD147" s="7">
        <f>IF($AH147="","",W147+Z147+T147)</f>
        <v/>
      </c>
      <c r="AE147" s="7">
        <f>IF($AH147="","",AD147-AB147-P147)</f>
        <v/>
      </c>
      <c r="AF147" s="15" t="n"/>
      <c r="AG147" s="7">
        <f>IF($AH147="","",AE147-N(AF147))</f>
        <v/>
      </c>
      <c r="AH147" s="16">
        <f>IF(ROWS($AH$2:$AH147)&lt;=MAX('Per Line'!$AR$2:$AR$1501),MATCH(ROWS($AH$2:$AH147),'Per Line'!$AR$2:$AR$1501,0),"")</f>
        <v/>
      </c>
      <c r="AI147">
        <f>IF($AH147="","",C147&amp;"|"&amp;COUNTIF($C$2:$C147,C147))</f>
        <v/>
      </c>
    </row>
    <row r="148">
      <c r="A148" s="15" t="n"/>
      <c r="B148">
        <f>IF($AH148="","",INDEX('Per Line'!$E$2:$E$1501,$AH148)&amp;"")</f>
        <v/>
      </c>
      <c r="C148">
        <f>IF($AH148="","",IF(INDEX('Per Line'!$AP$2:$AP$1501,$AH148)="NOT MATCH","NOT MATCH","FULL MATCH"))</f>
        <v/>
      </c>
      <c r="D148">
        <f>IF($AH148="","",INDEX('Per Line'!$A$2:$A$1501,$AH148)&amp;"")</f>
        <v/>
      </c>
      <c r="E148">
        <f>IF($AH148="","",INDEX('Per Line'!$B$2:$B$1501,$AH148))</f>
        <v/>
      </c>
      <c r="F148">
        <f>IF($AH148="","",INDEX('Per Line'!$C$2:$C$1501,$AH148)&amp;"")</f>
        <v/>
      </c>
      <c r="G148">
        <f>IF($AH148="","",INDEX('Per Line'!$D$2:$D$1501,$AH148)&amp;"")</f>
        <v/>
      </c>
      <c r="H148">
        <f>IF($AH148="","",INDEX('Per Line'!$F$2:$F$1501,$AH148)&amp;"")</f>
        <v/>
      </c>
      <c r="I148" s="14">
        <f>IF($AH148="","",INDEX('Per Line'!$G$2:$G$1501,$AH148))</f>
        <v/>
      </c>
      <c r="J148">
        <f>IF($AH148="","",INDEX('Per Line'!$H$2:$H$1501,$AH148)&amp;"")</f>
        <v/>
      </c>
      <c r="K148">
        <f>IF($AH148="","",INDEX('Per Line'!$J$2:$J$1501,$AH148)&amp;"")</f>
        <v/>
      </c>
      <c r="L148">
        <f>IF($AH148="","",INDEX('Per Line'!$K$2:$K$1501,$AH148)&amp;"")</f>
        <v/>
      </c>
      <c r="M148">
        <f>IF($AH148="","",INDEX('Per Line'!$L$2:$L$1501,$AH148)&amp;"")</f>
        <v/>
      </c>
      <c r="N148">
        <f>IF($AH148="","",INDEX('Per Line'!$M$2:$M$1501,$AH148)&amp;"")</f>
        <v/>
      </c>
      <c r="O148">
        <f>IF($AH148="","",INDEX('Per Line'!$P$2:$P$1501,$AH148))</f>
        <v/>
      </c>
      <c r="P148" s="7">
        <f>IF($AH148="","",O148*AD148/100)</f>
        <v/>
      </c>
      <c r="Q148">
        <f>IF($AH148="","",INDEX('Per Line'!$R$2:$R$1501,$AH148)&amp;"")</f>
        <v/>
      </c>
      <c r="R148">
        <f>IF($AH148="","",INDEX('Per Line'!$AB$2:$AB$1501,$AH148)&amp;"")</f>
        <v/>
      </c>
      <c r="S148">
        <f>IF($AH148="","",Settings!$C$8)</f>
        <v/>
      </c>
      <c r="T148" s="7">
        <f>IF($AH148="","",SUMIFS('Per Line'!$Z$2:$Z$1501,'Per Line'!$E$2:$E$1501,$B148,'Per Line'!$AT$2:$AT$1501,1))</f>
        <v/>
      </c>
      <c r="U148" s="7">
        <f>IF($AH148="","",T148*S148)</f>
        <v/>
      </c>
      <c r="V148">
        <f>IF($AH148="","",Settings!$C$7)</f>
        <v/>
      </c>
      <c r="W148" s="7">
        <f>IF($AH148="","",SUMIFS('Per Line'!$Z$2:$Z$1501,'Per Line'!$E$2:$E$1501,$B148,'Per Line'!$AS$2:$AS$1501,0,'Per Line'!$AT$2:$AT$1501,0))</f>
        <v/>
      </c>
      <c r="X148" s="7">
        <f>IF($AH148="","",W148*V148)</f>
        <v/>
      </c>
      <c r="Y148">
        <f>IF($AH148="","",Settings!$C$6)</f>
        <v/>
      </c>
      <c r="Z148" s="7">
        <f>IF($AH148="","",SUMIFS('Per Line'!$Z$2:$Z$1501,'Per Line'!$E$2:$E$1501,$B148,'Per Line'!$AS$2:$AS$1501,1,'Per Line'!$AT$2:$AT$1501,0))</f>
        <v/>
      </c>
      <c r="AA148" s="7">
        <f>IF($AH148="","",Z148*Y148)</f>
        <v/>
      </c>
      <c r="AB148" s="7">
        <f>IF($AH148="","",AA148+X148+U148)</f>
        <v/>
      </c>
      <c r="AC148" s="7">
        <f>IF($AH148="","",AD148-AB148)</f>
        <v/>
      </c>
      <c r="AD148" s="7">
        <f>IF($AH148="","",W148+Z148+T148)</f>
        <v/>
      </c>
      <c r="AE148" s="7">
        <f>IF($AH148="","",AD148-AB148-P148)</f>
        <v/>
      </c>
      <c r="AF148" s="15" t="n"/>
      <c r="AG148" s="7">
        <f>IF($AH148="","",AE148-N(AF148))</f>
        <v/>
      </c>
      <c r="AH148" s="16">
        <f>IF(ROWS($AH$2:$AH148)&lt;=MAX('Per Line'!$AR$2:$AR$1501),MATCH(ROWS($AH$2:$AH148),'Per Line'!$AR$2:$AR$1501,0),"")</f>
        <v/>
      </c>
      <c r="AI148">
        <f>IF($AH148="","",C148&amp;"|"&amp;COUNTIF($C$2:$C148,C148))</f>
        <v/>
      </c>
    </row>
    <row r="149">
      <c r="A149" s="15" t="n"/>
      <c r="B149">
        <f>IF($AH149="","",INDEX('Per Line'!$E$2:$E$1501,$AH149)&amp;"")</f>
        <v/>
      </c>
      <c r="C149">
        <f>IF($AH149="","",IF(INDEX('Per Line'!$AP$2:$AP$1501,$AH149)="NOT MATCH","NOT MATCH","FULL MATCH"))</f>
        <v/>
      </c>
      <c r="D149">
        <f>IF($AH149="","",INDEX('Per Line'!$A$2:$A$1501,$AH149)&amp;"")</f>
        <v/>
      </c>
      <c r="E149">
        <f>IF($AH149="","",INDEX('Per Line'!$B$2:$B$1501,$AH149))</f>
        <v/>
      </c>
      <c r="F149">
        <f>IF($AH149="","",INDEX('Per Line'!$C$2:$C$1501,$AH149)&amp;"")</f>
        <v/>
      </c>
      <c r="G149">
        <f>IF($AH149="","",INDEX('Per Line'!$D$2:$D$1501,$AH149)&amp;"")</f>
        <v/>
      </c>
      <c r="H149">
        <f>IF($AH149="","",INDEX('Per Line'!$F$2:$F$1501,$AH149)&amp;"")</f>
        <v/>
      </c>
      <c r="I149" s="14">
        <f>IF($AH149="","",INDEX('Per Line'!$G$2:$G$1501,$AH149))</f>
        <v/>
      </c>
      <c r="J149">
        <f>IF($AH149="","",INDEX('Per Line'!$H$2:$H$1501,$AH149)&amp;"")</f>
        <v/>
      </c>
      <c r="K149">
        <f>IF($AH149="","",INDEX('Per Line'!$J$2:$J$1501,$AH149)&amp;"")</f>
        <v/>
      </c>
      <c r="L149">
        <f>IF($AH149="","",INDEX('Per Line'!$K$2:$K$1501,$AH149)&amp;"")</f>
        <v/>
      </c>
      <c r="M149">
        <f>IF($AH149="","",INDEX('Per Line'!$L$2:$L$1501,$AH149)&amp;"")</f>
        <v/>
      </c>
      <c r="N149">
        <f>IF($AH149="","",INDEX('Per Line'!$M$2:$M$1501,$AH149)&amp;"")</f>
        <v/>
      </c>
      <c r="O149">
        <f>IF($AH149="","",INDEX('Per Line'!$P$2:$P$1501,$AH149))</f>
        <v/>
      </c>
      <c r="P149" s="7">
        <f>IF($AH149="","",O149*AD149/100)</f>
        <v/>
      </c>
      <c r="Q149">
        <f>IF($AH149="","",INDEX('Per Line'!$R$2:$R$1501,$AH149)&amp;"")</f>
        <v/>
      </c>
      <c r="R149">
        <f>IF($AH149="","",INDEX('Per Line'!$AB$2:$AB$1501,$AH149)&amp;"")</f>
        <v/>
      </c>
      <c r="S149">
        <f>IF($AH149="","",Settings!$C$8)</f>
        <v/>
      </c>
      <c r="T149" s="7">
        <f>IF($AH149="","",SUMIFS('Per Line'!$Z$2:$Z$1501,'Per Line'!$E$2:$E$1501,$B149,'Per Line'!$AT$2:$AT$1501,1))</f>
        <v/>
      </c>
      <c r="U149" s="7">
        <f>IF($AH149="","",T149*S149)</f>
        <v/>
      </c>
      <c r="V149">
        <f>IF($AH149="","",Settings!$C$7)</f>
        <v/>
      </c>
      <c r="W149" s="7">
        <f>IF($AH149="","",SUMIFS('Per Line'!$Z$2:$Z$1501,'Per Line'!$E$2:$E$1501,$B149,'Per Line'!$AS$2:$AS$1501,0,'Per Line'!$AT$2:$AT$1501,0))</f>
        <v/>
      </c>
      <c r="X149" s="7">
        <f>IF($AH149="","",W149*V149)</f>
        <v/>
      </c>
      <c r="Y149">
        <f>IF($AH149="","",Settings!$C$6)</f>
        <v/>
      </c>
      <c r="Z149" s="7">
        <f>IF($AH149="","",SUMIFS('Per Line'!$Z$2:$Z$1501,'Per Line'!$E$2:$E$1501,$B149,'Per Line'!$AS$2:$AS$1501,1,'Per Line'!$AT$2:$AT$1501,0))</f>
        <v/>
      </c>
      <c r="AA149" s="7">
        <f>IF($AH149="","",Z149*Y149)</f>
        <v/>
      </c>
      <c r="AB149" s="7">
        <f>IF($AH149="","",AA149+X149+U149)</f>
        <v/>
      </c>
      <c r="AC149" s="7">
        <f>IF($AH149="","",AD149-AB149)</f>
        <v/>
      </c>
      <c r="AD149" s="7">
        <f>IF($AH149="","",W149+Z149+T149)</f>
        <v/>
      </c>
      <c r="AE149" s="7">
        <f>IF($AH149="","",AD149-AB149-P149)</f>
        <v/>
      </c>
      <c r="AF149" s="15" t="n"/>
      <c r="AG149" s="7">
        <f>IF($AH149="","",AE149-N(AF149))</f>
        <v/>
      </c>
      <c r="AH149" s="16">
        <f>IF(ROWS($AH$2:$AH149)&lt;=MAX('Per Line'!$AR$2:$AR$1501),MATCH(ROWS($AH$2:$AH149),'Per Line'!$AR$2:$AR$1501,0),"")</f>
        <v/>
      </c>
      <c r="AI149">
        <f>IF($AH149="","",C149&amp;"|"&amp;COUNTIF($C$2:$C149,C149))</f>
        <v/>
      </c>
    </row>
    <row r="150">
      <c r="A150" s="15" t="n"/>
      <c r="B150">
        <f>IF($AH150="","",INDEX('Per Line'!$E$2:$E$1501,$AH150)&amp;"")</f>
        <v/>
      </c>
      <c r="C150">
        <f>IF($AH150="","",IF(INDEX('Per Line'!$AP$2:$AP$1501,$AH150)="NOT MATCH","NOT MATCH","FULL MATCH"))</f>
        <v/>
      </c>
      <c r="D150">
        <f>IF($AH150="","",INDEX('Per Line'!$A$2:$A$1501,$AH150)&amp;"")</f>
        <v/>
      </c>
      <c r="E150">
        <f>IF($AH150="","",INDEX('Per Line'!$B$2:$B$1501,$AH150))</f>
        <v/>
      </c>
      <c r="F150">
        <f>IF($AH150="","",INDEX('Per Line'!$C$2:$C$1501,$AH150)&amp;"")</f>
        <v/>
      </c>
      <c r="G150">
        <f>IF($AH150="","",INDEX('Per Line'!$D$2:$D$1501,$AH150)&amp;"")</f>
        <v/>
      </c>
      <c r="H150">
        <f>IF($AH150="","",INDEX('Per Line'!$F$2:$F$1501,$AH150)&amp;"")</f>
        <v/>
      </c>
      <c r="I150" s="14">
        <f>IF($AH150="","",INDEX('Per Line'!$G$2:$G$1501,$AH150))</f>
        <v/>
      </c>
      <c r="J150">
        <f>IF($AH150="","",INDEX('Per Line'!$H$2:$H$1501,$AH150)&amp;"")</f>
        <v/>
      </c>
      <c r="K150">
        <f>IF($AH150="","",INDEX('Per Line'!$J$2:$J$1501,$AH150)&amp;"")</f>
        <v/>
      </c>
      <c r="L150">
        <f>IF($AH150="","",INDEX('Per Line'!$K$2:$K$1501,$AH150)&amp;"")</f>
        <v/>
      </c>
      <c r="M150">
        <f>IF($AH150="","",INDEX('Per Line'!$L$2:$L$1501,$AH150)&amp;"")</f>
        <v/>
      </c>
      <c r="N150">
        <f>IF($AH150="","",INDEX('Per Line'!$M$2:$M$1501,$AH150)&amp;"")</f>
        <v/>
      </c>
      <c r="O150">
        <f>IF($AH150="","",INDEX('Per Line'!$P$2:$P$1501,$AH150))</f>
        <v/>
      </c>
      <c r="P150" s="7">
        <f>IF($AH150="","",O150*AD150/100)</f>
        <v/>
      </c>
      <c r="Q150">
        <f>IF($AH150="","",INDEX('Per Line'!$R$2:$R$1501,$AH150)&amp;"")</f>
        <v/>
      </c>
      <c r="R150">
        <f>IF($AH150="","",INDEX('Per Line'!$AB$2:$AB$1501,$AH150)&amp;"")</f>
        <v/>
      </c>
      <c r="S150">
        <f>IF($AH150="","",Settings!$C$8)</f>
        <v/>
      </c>
      <c r="T150" s="7">
        <f>IF($AH150="","",SUMIFS('Per Line'!$Z$2:$Z$1501,'Per Line'!$E$2:$E$1501,$B150,'Per Line'!$AT$2:$AT$1501,1))</f>
        <v/>
      </c>
      <c r="U150" s="7">
        <f>IF($AH150="","",T150*S150)</f>
        <v/>
      </c>
      <c r="V150">
        <f>IF($AH150="","",Settings!$C$7)</f>
        <v/>
      </c>
      <c r="W150" s="7">
        <f>IF($AH150="","",SUMIFS('Per Line'!$Z$2:$Z$1501,'Per Line'!$E$2:$E$1501,$B150,'Per Line'!$AS$2:$AS$1501,0,'Per Line'!$AT$2:$AT$1501,0))</f>
        <v/>
      </c>
      <c r="X150" s="7">
        <f>IF($AH150="","",W150*V150)</f>
        <v/>
      </c>
      <c r="Y150">
        <f>IF($AH150="","",Settings!$C$6)</f>
        <v/>
      </c>
      <c r="Z150" s="7">
        <f>IF($AH150="","",SUMIFS('Per Line'!$Z$2:$Z$1501,'Per Line'!$E$2:$E$1501,$B150,'Per Line'!$AS$2:$AS$1501,1,'Per Line'!$AT$2:$AT$1501,0))</f>
        <v/>
      </c>
      <c r="AA150" s="7">
        <f>IF($AH150="","",Z150*Y150)</f>
        <v/>
      </c>
      <c r="AB150" s="7">
        <f>IF($AH150="","",AA150+X150+U150)</f>
        <v/>
      </c>
      <c r="AC150" s="7">
        <f>IF($AH150="","",AD150-AB150)</f>
        <v/>
      </c>
      <c r="AD150" s="7">
        <f>IF($AH150="","",W150+Z150+T150)</f>
        <v/>
      </c>
      <c r="AE150" s="7">
        <f>IF($AH150="","",AD150-AB150-P150)</f>
        <v/>
      </c>
      <c r="AF150" s="15" t="n"/>
      <c r="AG150" s="7">
        <f>IF($AH150="","",AE150-N(AF150))</f>
        <v/>
      </c>
      <c r="AH150" s="16">
        <f>IF(ROWS($AH$2:$AH150)&lt;=MAX('Per Line'!$AR$2:$AR$1501),MATCH(ROWS($AH$2:$AH150),'Per Line'!$AR$2:$AR$1501,0),"")</f>
        <v/>
      </c>
      <c r="AI150">
        <f>IF($AH150="","",C150&amp;"|"&amp;COUNTIF($C$2:$C150,C150))</f>
        <v/>
      </c>
    </row>
    <row r="151">
      <c r="A151" s="15" t="n"/>
      <c r="B151">
        <f>IF($AH151="","",INDEX('Per Line'!$E$2:$E$1501,$AH151)&amp;"")</f>
        <v/>
      </c>
      <c r="C151">
        <f>IF($AH151="","",IF(INDEX('Per Line'!$AP$2:$AP$1501,$AH151)="NOT MATCH","NOT MATCH","FULL MATCH"))</f>
        <v/>
      </c>
      <c r="D151">
        <f>IF($AH151="","",INDEX('Per Line'!$A$2:$A$1501,$AH151)&amp;"")</f>
        <v/>
      </c>
      <c r="E151">
        <f>IF($AH151="","",INDEX('Per Line'!$B$2:$B$1501,$AH151))</f>
        <v/>
      </c>
      <c r="F151">
        <f>IF($AH151="","",INDEX('Per Line'!$C$2:$C$1501,$AH151)&amp;"")</f>
        <v/>
      </c>
      <c r="G151">
        <f>IF($AH151="","",INDEX('Per Line'!$D$2:$D$1501,$AH151)&amp;"")</f>
        <v/>
      </c>
      <c r="H151">
        <f>IF($AH151="","",INDEX('Per Line'!$F$2:$F$1501,$AH151)&amp;"")</f>
        <v/>
      </c>
      <c r="I151" s="14">
        <f>IF($AH151="","",INDEX('Per Line'!$G$2:$G$1501,$AH151))</f>
        <v/>
      </c>
      <c r="J151">
        <f>IF($AH151="","",INDEX('Per Line'!$H$2:$H$1501,$AH151)&amp;"")</f>
        <v/>
      </c>
      <c r="K151">
        <f>IF($AH151="","",INDEX('Per Line'!$J$2:$J$1501,$AH151)&amp;"")</f>
        <v/>
      </c>
      <c r="L151">
        <f>IF($AH151="","",INDEX('Per Line'!$K$2:$K$1501,$AH151)&amp;"")</f>
        <v/>
      </c>
      <c r="M151">
        <f>IF($AH151="","",INDEX('Per Line'!$L$2:$L$1501,$AH151)&amp;"")</f>
        <v/>
      </c>
      <c r="N151">
        <f>IF($AH151="","",INDEX('Per Line'!$M$2:$M$1501,$AH151)&amp;"")</f>
        <v/>
      </c>
      <c r="O151">
        <f>IF($AH151="","",INDEX('Per Line'!$P$2:$P$1501,$AH151))</f>
        <v/>
      </c>
      <c r="P151" s="7">
        <f>IF($AH151="","",O151*AD151/100)</f>
        <v/>
      </c>
      <c r="Q151">
        <f>IF($AH151="","",INDEX('Per Line'!$R$2:$R$1501,$AH151)&amp;"")</f>
        <v/>
      </c>
      <c r="R151">
        <f>IF($AH151="","",INDEX('Per Line'!$AB$2:$AB$1501,$AH151)&amp;"")</f>
        <v/>
      </c>
      <c r="S151">
        <f>IF($AH151="","",Settings!$C$8)</f>
        <v/>
      </c>
      <c r="T151" s="7">
        <f>IF($AH151="","",SUMIFS('Per Line'!$Z$2:$Z$1501,'Per Line'!$E$2:$E$1501,$B151,'Per Line'!$AT$2:$AT$1501,1))</f>
        <v/>
      </c>
      <c r="U151" s="7">
        <f>IF($AH151="","",T151*S151)</f>
        <v/>
      </c>
      <c r="V151">
        <f>IF($AH151="","",Settings!$C$7)</f>
        <v/>
      </c>
      <c r="W151" s="7">
        <f>IF($AH151="","",SUMIFS('Per Line'!$Z$2:$Z$1501,'Per Line'!$E$2:$E$1501,$B151,'Per Line'!$AS$2:$AS$1501,0,'Per Line'!$AT$2:$AT$1501,0))</f>
        <v/>
      </c>
      <c r="X151" s="7">
        <f>IF($AH151="","",W151*V151)</f>
        <v/>
      </c>
      <c r="Y151">
        <f>IF($AH151="","",Settings!$C$6)</f>
        <v/>
      </c>
      <c r="Z151" s="7">
        <f>IF($AH151="","",SUMIFS('Per Line'!$Z$2:$Z$1501,'Per Line'!$E$2:$E$1501,$B151,'Per Line'!$AS$2:$AS$1501,1,'Per Line'!$AT$2:$AT$1501,0))</f>
        <v/>
      </c>
      <c r="AA151" s="7">
        <f>IF($AH151="","",Z151*Y151)</f>
        <v/>
      </c>
      <c r="AB151" s="7">
        <f>IF($AH151="","",AA151+X151+U151)</f>
        <v/>
      </c>
      <c r="AC151" s="7">
        <f>IF($AH151="","",AD151-AB151)</f>
        <v/>
      </c>
      <c r="AD151" s="7">
        <f>IF($AH151="","",W151+Z151+T151)</f>
        <v/>
      </c>
      <c r="AE151" s="7">
        <f>IF($AH151="","",AD151-AB151-P151)</f>
        <v/>
      </c>
      <c r="AF151" s="15" t="n"/>
      <c r="AG151" s="7">
        <f>IF($AH151="","",AE151-N(AF151))</f>
        <v/>
      </c>
      <c r="AH151" s="16">
        <f>IF(ROWS($AH$2:$AH151)&lt;=MAX('Per Line'!$AR$2:$AR$1501),MATCH(ROWS($AH$2:$AH151),'Per Line'!$AR$2:$AR$1501,0),"")</f>
        <v/>
      </c>
      <c r="AI151">
        <f>IF($AH151="","",C151&amp;"|"&amp;COUNTIF($C$2:$C151,C151))</f>
        <v/>
      </c>
    </row>
    <row r="152">
      <c r="A152" s="15" t="n"/>
      <c r="B152">
        <f>IF($AH152="","",INDEX('Per Line'!$E$2:$E$1501,$AH152)&amp;"")</f>
        <v/>
      </c>
      <c r="C152">
        <f>IF($AH152="","",IF(INDEX('Per Line'!$AP$2:$AP$1501,$AH152)="NOT MATCH","NOT MATCH","FULL MATCH"))</f>
        <v/>
      </c>
      <c r="D152">
        <f>IF($AH152="","",INDEX('Per Line'!$A$2:$A$1501,$AH152)&amp;"")</f>
        <v/>
      </c>
      <c r="E152">
        <f>IF($AH152="","",INDEX('Per Line'!$B$2:$B$1501,$AH152))</f>
        <v/>
      </c>
      <c r="F152">
        <f>IF($AH152="","",INDEX('Per Line'!$C$2:$C$1501,$AH152)&amp;"")</f>
        <v/>
      </c>
      <c r="G152">
        <f>IF($AH152="","",INDEX('Per Line'!$D$2:$D$1501,$AH152)&amp;"")</f>
        <v/>
      </c>
      <c r="H152">
        <f>IF($AH152="","",INDEX('Per Line'!$F$2:$F$1501,$AH152)&amp;"")</f>
        <v/>
      </c>
      <c r="I152" s="14">
        <f>IF($AH152="","",INDEX('Per Line'!$G$2:$G$1501,$AH152))</f>
        <v/>
      </c>
      <c r="J152">
        <f>IF($AH152="","",INDEX('Per Line'!$H$2:$H$1501,$AH152)&amp;"")</f>
        <v/>
      </c>
      <c r="K152">
        <f>IF($AH152="","",INDEX('Per Line'!$J$2:$J$1501,$AH152)&amp;"")</f>
        <v/>
      </c>
      <c r="L152">
        <f>IF($AH152="","",INDEX('Per Line'!$K$2:$K$1501,$AH152)&amp;"")</f>
        <v/>
      </c>
      <c r="M152">
        <f>IF($AH152="","",INDEX('Per Line'!$L$2:$L$1501,$AH152)&amp;"")</f>
        <v/>
      </c>
      <c r="N152">
        <f>IF($AH152="","",INDEX('Per Line'!$M$2:$M$1501,$AH152)&amp;"")</f>
        <v/>
      </c>
      <c r="O152">
        <f>IF($AH152="","",INDEX('Per Line'!$P$2:$P$1501,$AH152))</f>
        <v/>
      </c>
      <c r="P152" s="7">
        <f>IF($AH152="","",O152*AD152/100)</f>
        <v/>
      </c>
      <c r="Q152">
        <f>IF($AH152="","",INDEX('Per Line'!$R$2:$R$1501,$AH152)&amp;"")</f>
        <v/>
      </c>
      <c r="R152">
        <f>IF($AH152="","",INDEX('Per Line'!$AB$2:$AB$1501,$AH152)&amp;"")</f>
        <v/>
      </c>
      <c r="S152">
        <f>IF($AH152="","",Settings!$C$8)</f>
        <v/>
      </c>
      <c r="T152" s="7">
        <f>IF($AH152="","",SUMIFS('Per Line'!$Z$2:$Z$1501,'Per Line'!$E$2:$E$1501,$B152,'Per Line'!$AT$2:$AT$1501,1))</f>
        <v/>
      </c>
      <c r="U152" s="7">
        <f>IF($AH152="","",T152*S152)</f>
        <v/>
      </c>
      <c r="V152">
        <f>IF($AH152="","",Settings!$C$7)</f>
        <v/>
      </c>
      <c r="W152" s="7">
        <f>IF($AH152="","",SUMIFS('Per Line'!$Z$2:$Z$1501,'Per Line'!$E$2:$E$1501,$B152,'Per Line'!$AS$2:$AS$1501,0,'Per Line'!$AT$2:$AT$1501,0))</f>
        <v/>
      </c>
      <c r="X152" s="7">
        <f>IF($AH152="","",W152*V152)</f>
        <v/>
      </c>
      <c r="Y152">
        <f>IF($AH152="","",Settings!$C$6)</f>
        <v/>
      </c>
      <c r="Z152" s="7">
        <f>IF($AH152="","",SUMIFS('Per Line'!$Z$2:$Z$1501,'Per Line'!$E$2:$E$1501,$B152,'Per Line'!$AS$2:$AS$1501,1,'Per Line'!$AT$2:$AT$1501,0))</f>
        <v/>
      </c>
      <c r="AA152" s="7">
        <f>IF($AH152="","",Z152*Y152)</f>
        <v/>
      </c>
      <c r="AB152" s="7">
        <f>IF($AH152="","",AA152+X152+U152)</f>
        <v/>
      </c>
      <c r="AC152" s="7">
        <f>IF($AH152="","",AD152-AB152)</f>
        <v/>
      </c>
      <c r="AD152" s="7">
        <f>IF($AH152="","",W152+Z152+T152)</f>
        <v/>
      </c>
      <c r="AE152" s="7">
        <f>IF($AH152="","",AD152-AB152-P152)</f>
        <v/>
      </c>
      <c r="AF152" s="15" t="n"/>
      <c r="AG152" s="7">
        <f>IF($AH152="","",AE152-N(AF152))</f>
        <v/>
      </c>
      <c r="AH152" s="16">
        <f>IF(ROWS($AH$2:$AH152)&lt;=MAX('Per Line'!$AR$2:$AR$1501),MATCH(ROWS($AH$2:$AH152),'Per Line'!$AR$2:$AR$1501,0),"")</f>
        <v/>
      </c>
      <c r="AI152">
        <f>IF($AH152="","",C152&amp;"|"&amp;COUNTIF($C$2:$C152,C152))</f>
        <v/>
      </c>
    </row>
    <row r="153">
      <c r="A153" s="15" t="n"/>
      <c r="B153">
        <f>IF($AH153="","",INDEX('Per Line'!$E$2:$E$1501,$AH153)&amp;"")</f>
        <v/>
      </c>
      <c r="C153">
        <f>IF($AH153="","",IF(INDEX('Per Line'!$AP$2:$AP$1501,$AH153)="NOT MATCH","NOT MATCH","FULL MATCH"))</f>
        <v/>
      </c>
      <c r="D153">
        <f>IF($AH153="","",INDEX('Per Line'!$A$2:$A$1501,$AH153)&amp;"")</f>
        <v/>
      </c>
      <c r="E153">
        <f>IF($AH153="","",INDEX('Per Line'!$B$2:$B$1501,$AH153))</f>
        <v/>
      </c>
      <c r="F153">
        <f>IF($AH153="","",INDEX('Per Line'!$C$2:$C$1501,$AH153)&amp;"")</f>
        <v/>
      </c>
      <c r="G153">
        <f>IF($AH153="","",INDEX('Per Line'!$D$2:$D$1501,$AH153)&amp;"")</f>
        <v/>
      </c>
      <c r="H153">
        <f>IF($AH153="","",INDEX('Per Line'!$F$2:$F$1501,$AH153)&amp;"")</f>
        <v/>
      </c>
      <c r="I153" s="14">
        <f>IF($AH153="","",INDEX('Per Line'!$G$2:$G$1501,$AH153))</f>
        <v/>
      </c>
      <c r="J153">
        <f>IF($AH153="","",INDEX('Per Line'!$H$2:$H$1501,$AH153)&amp;"")</f>
        <v/>
      </c>
      <c r="K153">
        <f>IF($AH153="","",INDEX('Per Line'!$J$2:$J$1501,$AH153)&amp;"")</f>
        <v/>
      </c>
      <c r="L153">
        <f>IF($AH153="","",INDEX('Per Line'!$K$2:$K$1501,$AH153)&amp;"")</f>
        <v/>
      </c>
      <c r="M153">
        <f>IF($AH153="","",INDEX('Per Line'!$L$2:$L$1501,$AH153)&amp;"")</f>
        <v/>
      </c>
      <c r="N153">
        <f>IF($AH153="","",INDEX('Per Line'!$M$2:$M$1501,$AH153)&amp;"")</f>
        <v/>
      </c>
      <c r="O153">
        <f>IF($AH153="","",INDEX('Per Line'!$P$2:$P$1501,$AH153))</f>
        <v/>
      </c>
      <c r="P153" s="7">
        <f>IF($AH153="","",O153*AD153/100)</f>
        <v/>
      </c>
      <c r="Q153">
        <f>IF($AH153="","",INDEX('Per Line'!$R$2:$R$1501,$AH153)&amp;"")</f>
        <v/>
      </c>
      <c r="R153">
        <f>IF($AH153="","",INDEX('Per Line'!$AB$2:$AB$1501,$AH153)&amp;"")</f>
        <v/>
      </c>
      <c r="S153">
        <f>IF($AH153="","",Settings!$C$8)</f>
        <v/>
      </c>
      <c r="T153" s="7">
        <f>IF($AH153="","",SUMIFS('Per Line'!$Z$2:$Z$1501,'Per Line'!$E$2:$E$1501,$B153,'Per Line'!$AT$2:$AT$1501,1))</f>
        <v/>
      </c>
      <c r="U153" s="7">
        <f>IF($AH153="","",T153*S153)</f>
        <v/>
      </c>
      <c r="V153">
        <f>IF($AH153="","",Settings!$C$7)</f>
        <v/>
      </c>
      <c r="W153" s="7">
        <f>IF($AH153="","",SUMIFS('Per Line'!$Z$2:$Z$1501,'Per Line'!$E$2:$E$1501,$B153,'Per Line'!$AS$2:$AS$1501,0,'Per Line'!$AT$2:$AT$1501,0))</f>
        <v/>
      </c>
      <c r="X153" s="7">
        <f>IF($AH153="","",W153*V153)</f>
        <v/>
      </c>
      <c r="Y153">
        <f>IF($AH153="","",Settings!$C$6)</f>
        <v/>
      </c>
      <c r="Z153" s="7">
        <f>IF($AH153="","",SUMIFS('Per Line'!$Z$2:$Z$1501,'Per Line'!$E$2:$E$1501,$B153,'Per Line'!$AS$2:$AS$1501,1,'Per Line'!$AT$2:$AT$1501,0))</f>
        <v/>
      </c>
      <c r="AA153" s="7">
        <f>IF($AH153="","",Z153*Y153)</f>
        <v/>
      </c>
      <c r="AB153" s="7">
        <f>IF($AH153="","",AA153+X153+U153)</f>
        <v/>
      </c>
      <c r="AC153" s="7">
        <f>IF($AH153="","",AD153-AB153)</f>
        <v/>
      </c>
      <c r="AD153" s="7">
        <f>IF($AH153="","",W153+Z153+T153)</f>
        <v/>
      </c>
      <c r="AE153" s="7">
        <f>IF($AH153="","",AD153-AB153-P153)</f>
        <v/>
      </c>
      <c r="AF153" s="15" t="n"/>
      <c r="AG153" s="7">
        <f>IF($AH153="","",AE153-N(AF153))</f>
        <v/>
      </c>
      <c r="AH153" s="16">
        <f>IF(ROWS($AH$2:$AH153)&lt;=MAX('Per Line'!$AR$2:$AR$1501),MATCH(ROWS($AH$2:$AH153),'Per Line'!$AR$2:$AR$1501,0),"")</f>
        <v/>
      </c>
      <c r="AI153">
        <f>IF($AH153="","",C153&amp;"|"&amp;COUNTIF($C$2:$C153,C153))</f>
        <v/>
      </c>
    </row>
    <row r="154">
      <c r="A154" s="15" t="n"/>
      <c r="B154">
        <f>IF($AH154="","",INDEX('Per Line'!$E$2:$E$1501,$AH154)&amp;"")</f>
        <v/>
      </c>
      <c r="C154">
        <f>IF($AH154="","",IF(INDEX('Per Line'!$AP$2:$AP$1501,$AH154)="NOT MATCH","NOT MATCH","FULL MATCH"))</f>
        <v/>
      </c>
      <c r="D154">
        <f>IF($AH154="","",INDEX('Per Line'!$A$2:$A$1501,$AH154)&amp;"")</f>
        <v/>
      </c>
      <c r="E154">
        <f>IF($AH154="","",INDEX('Per Line'!$B$2:$B$1501,$AH154))</f>
        <v/>
      </c>
      <c r="F154">
        <f>IF($AH154="","",INDEX('Per Line'!$C$2:$C$1501,$AH154)&amp;"")</f>
        <v/>
      </c>
      <c r="G154">
        <f>IF($AH154="","",INDEX('Per Line'!$D$2:$D$1501,$AH154)&amp;"")</f>
        <v/>
      </c>
      <c r="H154">
        <f>IF($AH154="","",INDEX('Per Line'!$F$2:$F$1501,$AH154)&amp;"")</f>
        <v/>
      </c>
      <c r="I154" s="14">
        <f>IF($AH154="","",INDEX('Per Line'!$G$2:$G$1501,$AH154))</f>
        <v/>
      </c>
      <c r="J154">
        <f>IF($AH154="","",INDEX('Per Line'!$H$2:$H$1501,$AH154)&amp;"")</f>
        <v/>
      </c>
      <c r="K154">
        <f>IF($AH154="","",INDEX('Per Line'!$J$2:$J$1501,$AH154)&amp;"")</f>
        <v/>
      </c>
      <c r="L154">
        <f>IF($AH154="","",INDEX('Per Line'!$K$2:$K$1501,$AH154)&amp;"")</f>
        <v/>
      </c>
      <c r="M154">
        <f>IF($AH154="","",INDEX('Per Line'!$L$2:$L$1501,$AH154)&amp;"")</f>
        <v/>
      </c>
      <c r="N154">
        <f>IF($AH154="","",INDEX('Per Line'!$M$2:$M$1501,$AH154)&amp;"")</f>
        <v/>
      </c>
      <c r="O154">
        <f>IF($AH154="","",INDEX('Per Line'!$P$2:$P$1501,$AH154))</f>
        <v/>
      </c>
      <c r="P154" s="7">
        <f>IF($AH154="","",O154*AD154/100)</f>
        <v/>
      </c>
      <c r="Q154">
        <f>IF($AH154="","",INDEX('Per Line'!$R$2:$R$1501,$AH154)&amp;"")</f>
        <v/>
      </c>
      <c r="R154">
        <f>IF($AH154="","",INDEX('Per Line'!$AB$2:$AB$1501,$AH154)&amp;"")</f>
        <v/>
      </c>
      <c r="S154">
        <f>IF($AH154="","",Settings!$C$8)</f>
        <v/>
      </c>
      <c r="T154" s="7">
        <f>IF($AH154="","",SUMIFS('Per Line'!$Z$2:$Z$1501,'Per Line'!$E$2:$E$1501,$B154,'Per Line'!$AT$2:$AT$1501,1))</f>
        <v/>
      </c>
      <c r="U154" s="7">
        <f>IF($AH154="","",T154*S154)</f>
        <v/>
      </c>
      <c r="V154">
        <f>IF($AH154="","",Settings!$C$7)</f>
        <v/>
      </c>
      <c r="W154" s="7">
        <f>IF($AH154="","",SUMIFS('Per Line'!$Z$2:$Z$1501,'Per Line'!$E$2:$E$1501,$B154,'Per Line'!$AS$2:$AS$1501,0,'Per Line'!$AT$2:$AT$1501,0))</f>
        <v/>
      </c>
      <c r="X154" s="7">
        <f>IF($AH154="","",W154*V154)</f>
        <v/>
      </c>
      <c r="Y154">
        <f>IF($AH154="","",Settings!$C$6)</f>
        <v/>
      </c>
      <c r="Z154" s="7">
        <f>IF($AH154="","",SUMIFS('Per Line'!$Z$2:$Z$1501,'Per Line'!$E$2:$E$1501,$B154,'Per Line'!$AS$2:$AS$1501,1,'Per Line'!$AT$2:$AT$1501,0))</f>
        <v/>
      </c>
      <c r="AA154" s="7">
        <f>IF($AH154="","",Z154*Y154)</f>
        <v/>
      </c>
      <c r="AB154" s="7">
        <f>IF($AH154="","",AA154+X154+U154)</f>
        <v/>
      </c>
      <c r="AC154" s="7">
        <f>IF($AH154="","",AD154-AB154)</f>
        <v/>
      </c>
      <c r="AD154" s="7">
        <f>IF($AH154="","",W154+Z154+T154)</f>
        <v/>
      </c>
      <c r="AE154" s="7">
        <f>IF($AH154="","",AD154-AB154-P154)</f>
        <v/>
      </c>
      <c r="AF154" s="15" t="n"/>
      <c r="AG154" s="7">
        <f>IF($AH154="","",AE154-N(AF154))</f>
        <v/>
      </c>
      <c r="AH154" s="16">
        <f>IF(ROWS($AH$2:$AH154)&lt;=MAX('Per Line'!$AR$2:$AR$1501),MATCH(ROWS($AH$2:$AH154),'Per Line'!$AR$2:$AR$1501,0),"")</f>
        <v/>
      </c>
      <c r="AI154">
        <f>IF($AH154="","",C154&amp;"|"&amp;COUNTIF($C$2:$C154,C154))</f>
        <v/>
      </c>
    </row>
    <row r="155">
      <c r="A155" s="15" t="n"/>
      <c r="B155">
        <f>IF($AH155="","",INDEX('Per Line'!$E$2:$E$1501,$AH155)&amp;"")</f>
        <v/>
      </c>
      <c r="C155">
        <f>IF($AH155="","",IF(INDEX('Per Line'!$AP$2:$AP$1501,$AH155)="NOT MATCH","NOT MATCH","FULL MATCH"))</f>
        <v/>
      </c>
      <c r="D155">
        <f>IF($AH155="","",INDEX('Per Line'!$A$2:$A$1501,$AH155)&amp;"")</f>
        <v/>
      </c>
      <c r="E155">
        <f>IF($AH155="","",INDEX('Per Line'!$B$2:$B$1501,$AH155))</f>
        <v/>
      </c>
      <c r="F155">
        <f>IF($AH155="","",INDEX('Per Line'!$C$2:$C$1501,$AH155)&amp;"")</f>
        <v/>
      </c>
      <c r="G155">
        <f>IF($AH155="","",INDEX('Per Line'!$D$2:$D$1501,$AH155)&amp;"")</f>
        <v/>
      </c>
      <c r="H155">
        <f>IF($AH155="","",INDEX('Per Line'!$F$2:$F$1501,$AH155)&amp;"")</f>
        <v/>
      </c>
      <c r="I155" s="14">
        <f>IF($AH155="","",INDEX('Per Line'!$G$2:$G$1501,$AH155))</f>
        <v/>
      </c>
      <c r="J155">
        <f>IF($AH155="","",INDEX('Per Line'!$H$2:$H$1501,$AH155)&amp;"")</f>
        <v/>
      </c>
      <c r="K155">
        <f>IF($AH155="","",INDEX('Per Line'!$J$2:$J$1501,$AH155)&amp;"")</f>
        <v/>
      </c>
      <c r="L155">
        <f>IF($AH155="","",INDEX('Per Line'!$K$2:$K$1501,$AH155)&amp;"")</f>
        <v/>
      </c>
      <c r="M155">
        <f>IF($AH155="","",INDEX('Per Line'!$L$2:$L$1501,$AH155)&amp;"")</f>
        <v/>
      </c>
      <c r="N155">
        <f>IF($AH155="","",INDEX('Per Line'!$M$2:$M$1501,$AH155)&amp;"")</f>
        <v/>
      </c>
      <c r="O155">
        <f>IF($AH155="","",INDEX('Per Line'!$P$2:$P$1501,$AH155))</f>
        <v/>
      </c>
      <c r="P155" s="7">
        <f>IF($AH155="","",O155*AD155/100)</f>
        <v/>
      </c>
      <c r="Q155">
        <f>IF($AH155="","",INDEX('Per Line'!$R$2:$R$1501,$AH155)&amp;"")</f>
        <v/>
      </c>
      <c r="R155">
        <f>IF($AH155="","",INDEX('Per Line'!$AB$2:$AB$1501,$AH155)&amp;"")</f>
        <v/>
      </c>
      <c r="S155">
        <f>IF($AH155="","",Settings!$C$8)</f>
        <v/>
      </c>
      <c r="T155" s="7">
        <f>IF($AH155="","",SUMIFS('Per Line'!$Z$2:$Z$1501,'Per Line'!$E$2:$E$1501,$B155,'Per Line'!$AT$2:$AT$1501,1))</f>
        <v/>
      </c>
      <c r="U155" s="7">
        <f>IF($AH155="","",T155*S155)</f>
        <v/>
      </c>
      <c r="V155">
        <f>IF($AH155="","",Settings!$C$7)</f>
        <v/>
      </c>
      <c r="W155" s="7">
        <f>IF($AH155="","",SUMIFS('Per Line'!$Z$2:$Z$1501,'Per Line'!$E$2:$E$1501,$B155,'Per Line'!$AS$2:$AS$1501,0,'Per Line'!$AT$2:$AT$1501,0))</f>
        <v/>
      </c>
      <c r="X155" s="7">
        <f>IF($AH155="","",W155*V155)</f>
        <v/>
      </c>
      <c r="Y155">
        <f>IF($AH155="","",Settings!$C$6)</f>
        <v/>
      </c>
      <c r="Z155" s="7">
        <f>IF($AH155="","",SUMIFS('Per Line'!$Z$2:$Z$1501,'Per Line'!$E$2:$E$1501,$B155,'Per Line'!$AS$2:$AS$1501,1,'Per Line'!$AT$2:$AT$1501,0))</f>
        <v/>
      </c>
      <c r="AA155" s="7">
        <f>IF($AH155="","",Z155*Y155)</f>
        <v/>
      </c>
      <c r="AB155" s="7">
        <f>IF($AH155="","",AA155+X155+U155)</f>
        <v/>
      </c>
      <c r="AC155" s="7">
        <f>IF($AH155="","",AD155-AB155)</f>
        <v/>
      </c>
      <c r="AD155" s="7">
        <f>IF($AH155="","",W155+Z155+T155)</f>
        <v/>
      </c>
      <c r="AE155" s="7">
        <f>IF($AH155="","",AD155-AB155-P155)</f>
        <v/>
      </c>
      <c r="AF155" s="15" t="n"/>
      <c r="AG155" s="7">
        <f>IF($AH155="","",AE155-N(AF155))</f>
        <v/>
      </c>
      <c r="AH155" s="16">
        <f>IF(ROWS($AH$2:$AH155)&lt;=MAX('Per Line'!$AR$2:$AR$1501),MATCH(ROWS($AH$2:$AH155),'Per Line'!$AR$2:$AR$1501,0),"")</f>
        <v/>
      </c>
      <c r="AI155">
        <f>IF($AH155="","",C155&amp;"|"&amp;COUNTIF($C$2:$C155,C155))</f>
        <v/>
      </c>
    </row>
    <row r="156">
      <c r="A156" s="15" t="n"/>
      <c r="B156">
        <f>IF($AH156="","",INDEX('Per Line'!$E$2:$E$1501,$AH156)&amp;"")</f>
        <v/>
      </c>
      <c r="C156">
        <f>IF($AH156="","",IF(INDEX('Per Line'!$AP$2:$AP$1501,$AH156)="NOT MATCH","NOT MATCH","FULL MATCH"))</f>
        <v/>
      </c>
      <c r="D156">
        <f>IF($AH156="","",INDEX('Per Line'!$A$2:$A$1501,$AH156)&amp;"")</f>
        <v/>
      </c>
      <c r="E156">
        <f>IF($AH156="","",INDEX('Per Line'!$B$2:$B$1501,$AH156))</f>
        <v/>
      </c>
      <c r="F156">
        <f>IF($AH156="","",INDEX('Per Line'!$C$2:$C$1501,$AH156)&amp;"")</f>
        <v/>
      </c>
      <c r="G156">
        <f>IF($AH156="","",INDEX('Per Line'!$D$2:$D$1501,$AH156)&amp;"")</f>
        <v/>
      </c>
      <c r="H156">
        <f>IF($AH156="","",INDEX('Per Line'!$F$2:$F$1501,$AH156)&amp;"")</f>
        <v/>
      </c>
      <c r="I156" s="14">
        <f>IF($AH156="","",INDEX('Per Line'!$G$2:$G$1501,$AH156))</f>
        <v/>
      </c>
      <c r="J156">
        <f>IF($AH156="","",INDEX('Per Line'!$H$2:$H$1501,$AH156)&amp;"")</f>
        <v/>
      </c>
      <c r="K156">
        <f>IF($AH156="","",INDEX('Per Line'!$J$2:$J$1501,$AH156)&amp;"")</f>
        <v/>
      </c>
      <c r="L156">
        <f>IF($AH156="","",INDEX('Per Line'!$K$2:$K$1501,$AH156)&amp;"")</f>
        <v/>
      </c>
      <c r="M156">
        <f>IF($AH156="","",INDEX('Per Line'!$L$2:$L$1501,$AH156)&amp;"")</f>
        <v/>
      </c>
      <c r="N156">
        <f>IF($AH156="","",INDEX('Per Line'!$M$2:$M$1501,$AH156)&amp;"")</f>
        <v/>
      </c>
      <c r="O156">
        <f>IF($AH156="","",INDEX('Per Line'!$P$2:$P$1501,$AH156))</f>
        <v/>
      </c>
      <c r="P156" s="7">
        <f>IF($AH156="","",O156*AD156/100)</f>
        <v/>
      </c>
      <c r="Q156">
        <f>IF($AH156="","",INDEX('Per Line'!$R$2:$R$1501,$AH156)&amp;"")</f>
        <v/>
      </c>
      <c r="R156">
        <f>IF($AH156="","",INDEX('Per Line'!$AB$2:$AB$1501,$AH156)&amp;"")</f>
        <v/>
      </c>
      <c r="S156">
        <f>IF($AH156="","",Settings!$C$8)</f>
        <v/>
      </c>
      <c r="T156" s="7">
        <f>IF($AH156="","",SUMIFS('Per Line'!$Z$2:$Z$1501,'Per Line'!$E$2:$E$1501,$B156,'Per Line'!$AT$2:$AT$1501,1))</f>
        <v/>
      </c>
      <c r="U156" s="7">
        <f>IF($AH156="","",T156*S156)</f>
        <v/>
      </c>
      <c r="V156">
        <f>IF($AH156="","",Settings!$C$7)</f>
        <v/>
      </c>
      <c r="W156" s="7">
        <f>IF($AH156="","",SUMIFS('Per Line'!$Z$2:$Z$1501,'Per Line'!$E$2:$E$1501,$B156,'Per Line'!$AS$2:$AS$1501,0,'Per Line'!$AT$2:$AT$1501,0))</f>
        <v/>
      </c>
      <c r="X156" s="7">
        <f>IF($AH156="","",W156*V156)</f>
        <v/>
      </c>
      <c r="Y156">
        <f>IF($AH156="","",Settings!$C$6)</f>
        <v/>
      </c>
      <c r="Z156" s="7">
        <f>IF($AH156="","",SUMIFS('Per Line'!$Z$2:$Z$1501,'Per Line'!$E$2:$E$1501,$B156,'Per Line'!$AS$2:$AS$1501,1,'Per Line'!$AT$2:$AT$1501,0))</f>
        <v/>
      </c>
      <c r="AA156" s="7">
        <f>IF($AH156="","",Z156*Y156)</f>
        <v/>
      </c>
      <c r="AB156" s="7">
        <f>IF($AH156="","",AA156+X156+U156)</f>
        <v/>
      </c>
      <c r="AC156" s="7">
        <f>IF($AH156="","",AD156-AB156)</f>
        <v/>
      </c>
      <c r="AD156" s="7">
        <f>IF($AH156="","",W156+Z156+T156)</f>
        <v/>
      </c>
      <c r="AE156" s="7">
        <f>IF($AH156="","",AD156-AB156-P156)</f>
        <v/>
      </c>
      <c r="AF156" s="15" t="n"/>
      <c r="AG156" s="7">
        <f>IF($AH156="","",AE156-N(AF156))</f>
        <v/>
      </c>
      <c r="AH156" s="16">
        <f>IF(ROWS($AH$2:$AH156)&lt;=MAX('Per Line'!$AR$2:$AR$1501),MATCH(ROWS($AH$2:$AH156),'Per Line'!$AR$2:$AR$1501,0),"")</f>
        <v/>
      </c>
      <c r="AI156">
        <f>IF($AH156="","",C156&amp;"|"&amp;COUNTIF($C$2:$C156,C156))</f>
        <v/>
      </c>
    </row>
    <row r="157">
      <c r="A157" s="15" t="n"/>
      <c r="B157">
        <f>IF($AH157="","",INDEX('Per Line'!$E$2:$E$1501,$AH157)&amp;"")</f>
        <v/>
      </c>
      <c r="C157">
        <f>IF($AH157="","",IF(INDEX('Per Line'!$AP$2:$AP$1501,$AH157)="NOT MATCH","NOT MATCH","FULL MATCH"))</f>
        <v/>
      </c>
      <c r="D157">
        <f>IF($AH157="","",INDEX('Per Line'!$A$2:$A$1501,$AH157)&amp;"")</f>
        <v/>
      </c>
      <c r="E157">
        <f>IF($AH157="","",INDEX('Per Line'!$B$2:$B$1501,$AH157))</f>
        <v/>
      </c>
      <c r="F157">
        <f>IF($AH157="","",INDEX('Per Line'!$C$2:$C$1501,$AH157)&amp;"")</f>
        <v/>
      </c>
      <c r="G157">
        <f>IF($AH157="","",INDEX('Per Line'!$D$2:$D$1501,$AH157)&amp;"")</f>
        <v/>
      </c>
      <c r="H157">
        <f>IF($AH157="","",INDEX('Per Line'!$F$2:$F$1501,$AH157)&amp;"")</f>
        <v/>
      </c>
      <c r="I157" s="14">
        <f>IF($AH157="","",INDEX('Per Line'!$G$2:$G$1501,$AH157))</f>
        <v/>
      </c>
      <c r="J157">
        <f>IF($AH157="","",INDEX('Per Line'!$H$2:$H$1501,$AH157)&amp;"")</f>
        <v/>
      </c>
      <c r="K157">
        <f>IF($AH157="","",INDEX('Per Line'!$J$2:$J$1501,$AH157)&amp;"")</f>
        <v/>
      </c>
      <c r="L157">
        <f>IF($AH157="","",INDEX('Per Line'!$K$2:$K$1501,$AH157)&amp;"")</f>
        <v/>
      </c>
      <c r="M157">
        <f>IF($AH157="","",INDEX('Per Line'!$L$2:$L$1501,$AH157)&amp;"")</f>
        <v/>
      </c>
      <c r="N157">
        <f>IF($AH157="","",INDEX('Per Line'!$M$2:$M$1501,$AH157)&amp;"")</f>
        <v/>
      </c>
      <c r="O157">
        <f>IF($AH157="","",INDEX('Per Line'!$P$2:$P$1501,$AH157))</f>
        <v/>
      </c>
      <c r="P157" s="7">
        <f>IF($AH157="","",O157*AD157/100)</f>
        <v/>
      </c>
      <c r="Q157">
        <f>IF($AH157="","",INDEX('Per Line'!$R$2:$R$1501,$AH157)&amp;"")</f>
        <v/>
      </c>
      <c r="R157">
        <f>IF($AH157="","",INDEX('Per Line'!$AB$2:$AB$1501,$AH157)&amp;"")</f>
        <v/>
      </c>
      <c r="S157">
        <f>IF($AH157="","",Settings!$C$8)</f>
        <v/>
      </c>
      <c r="T157" s="7">
        <f>IF($AH157="","",SUMIFS('Per Line'!$Z$2:$Z$1501,'Per Line'!$E$2:$E$1501,$B157,'Per Line'!$AT$2:$AT$1501,1))</f>
        <v/>
      </c>
      <c r="U157" s="7">
        <f>IF($AH157="","",T157*S157)</f>
        <v/>
      </c>
      <c r="V157">
        <f>IF($AH157="","",Settings!$C$7)</f>
        <v/>
      </c>
      <c r="W157" s="7">
        <f>IF($AH157="","",SUMIFS('Per Line'!$Z$2:$Z$1501,'Per Line'!$E$2:$E$1501,$B157,'Per Line'!$AS$2:$AS$1501,0,'Per Line'!$AT$2:$AT$1501,0))</f>
        <v/>
      </c>
      <c r="X157" s="7">
        <f>IF($AH157="","",W157*V157)</f>
        <v/>
      </c>
      <c r="Y157">
        <f>IF($AH157="","",Settings!$C$6)</f>
        <v/>
      </c>
      <c r="Z157" s="7">
        <f>IF($AH157="","",SUMIFS('Per Line'!$Z$2:$Z$1501,'Per Line'!$E$2:$E$1501,$B157,'Per Line'!$AS$2:$AS$1501,1,'Per Line'!$AT$2:$AT$1501,0))</f>
        <v/>
      </c>
      <c r="AA157" s="7">
        <f>IF($AH157="","",Z157*Y157)</f>
        <v/>
      </c>
      <c r="AB157" s="7">
        <f>IF($AH157="","",AA157+X157+U157)</f>
        <v/>
      </c>
      <c r="AC157" s="7">
        <f>IF($AH157="","",AD157-AB157)</f>
        <v/>
      </c>
      <c r="AD157" s="7">
        <f>IF($AH157="","",W157+Z157+T157)</f>
        <v/>
      </c>
      <c r="AE157" s="7">
        <f>IF($AH157="","",AD157-AB157-P157)</f>
        <v/>
      </c>
      <c r="AF157" s="15" t="n"/>
      <c r="AG157" s="7">
        <f>IF($AH157="","",AE157-N(AF157))</f>
        <v/>
      </c>
      <c r="AH157" s="16">
        <f>IF(ROWS($AH$2:$AH157)&lt;=MAX('Per Line'!$AR$2:$AR$1501),MATCH(ROWS($AH$2:$AH157),'Per Line'!$AR$2:$AR$1501,0),"")</f>
        <v/>
      </c>
      <c r="AI157">
        <f>IF($AH157="","",C157&amp;"|"&amp;COUNTIF($C$2:$C157,C157))</f>
        <v/>
      </c>
    </row>
    <row r="158">
      <c r="A158" s="15" t="n"/>
      <c r="B158">
        <f>IF($AH158="","",INDEX('Per Line'!$E$2:$E$1501,$AH158)&amp;"")</f>
        <v/>
      </c>
      <c r="C158">
        <f>IF($AH158="","",IF(INDEX('Per Line'!$AP$2:$AP$1501,$AH158)="NOT MATCH","NOT MATCH","FULL MATCH"))</f>
        <v/>
      </c>
      <c r="D158">
        <f>IF($AH158="","",INDEX('Per Line'!$A$2:$A$1501,$AH158)&amp;"")</f>
        <v/>
      </c>
      <c r="E158">
        <f>IF($AH158="","",INDEX('Per Line'!$B$2:$B$1501,$AH158))</f>
        <v/>
      </c>
      <c r="F158">
        <f>IF($AH158="","",INDEX('Per Line'!$C$2:$C$1501,$AH158)&amp;"")</f>
        <v/>
      </c>
      <c r="G158">
        <f>IF($AH158="","",INDEX('Per Line'!$D$2:$D$1501,$AH158)&amp;"")</f>
        <v/>
      </c>
      <c r="H158">
        <f>IF($AH158="","",INDEX('Per Line'!$F$2:$F$1501,$AH158)&amp;"")</f>
        <v/>
      </c>
      <c r="I158" s="14">
        <f>IF($AH158="","",INDEX('Per Line'!$G$2:$G$1501,$AH158))</f>
        <v/>
      </c>
      <c r="J158">
        <f>IF($AH158="","",INDEX('Per Line'!$H$2:$H$1501,$AH158)&amp;"")</f>
        <v/>
      </c>
      <c r="K158">
        <f>IF($AH158="","",INDEX('Per Line'!$J$2:$J$1501,$AH158)&amp;"")</f>
        <v/>
      </c>
      <c r="L158">
        <f>IF($AH158="","",INDEX('Per Line'!$K$2:$K$1501,$AH158)&amp;"")</f>
        <v/>
      </c>
      <c r="M158">
        <f>IF($AH158="","",INDEX('Per Line'!$L$2:$L$1501,$AH158)&amp;"")</f>
        <v/>
      </c>
      <c r="N158">
        <f>IF($AH158="","",INDEX('Per Line'!$M$2:$M$1501,$AH158)&amp;"")</f>
        <v/>
      </c>
      <c r="O158">
        <f>IF($AH158="","",INDEX('Per Line'!$P$2:$P$1501,$AH158))</f>
        <v/>
      </c>
      <c r="P158" s="7">
        <f>IF($AH158="","",O158*AD158/100)</f>
        <v/>
      </c>
      <c r="Q158">
        <f>IF($AH158="","",INDEX('Per Line'!$R$2:$R$1501,$AH158)&amp;"")</f>
        <v/>
      </c>
      <c r="R158">
        <f>IF($AH158="","",INDEX('Per Line'!$AB$2:$AB$1501,$AH158)&amp;"")</f>
        <v/>
      </c>
      <c r="S158">
        <f>IF($AH158="","",Settings!$C$8)</f>
        <v/>
      </c>
      <c r="T158" s="7">
        <f>IF($AH158="","",SUMIFS('Per Line'!$Z$2:$Z$1501,'Per Line'!$E$2:$E$1501,$B158,'Per Line'!$AT$2:$AT$1501,1))</f>
        <v/>
      </c>
      <c r="U158" s="7">
        <f>IF($AH158="","",T158*S158)</f>
        <v/>
      </c>
      <c r="V158">
        <f>IF($AH158="","",Settings!$C$7)</f>
        <v/>
      </c>
      <c r="W158" s="7">
        <f>IF($AH158="","",SUMIFS('Per Line'!$Z$2:$Z$1501,'Per Line'!$E$2:$E$1501,$B158,'Per Line'!$AS$2:$AS$1501,0,'Per Line'!$AT$2:$AT$1501,0))</f>
        <v/>
      </c>
      <c r="X158" s="7">
        <f>IF($AH158="","",W158*V158)</f>
        <v/>
      </c>
      <c r="Y158">
        <f>IF($AH158="","",Settings!$C$6)</f>
        <v/>
      </c>
      <c r="Z158" s="7">
        <f>IF($AH158="","",SUMIFS('Per Line'!$Z$2:$Z$1501,'Per Line'!$E$2:$E$1501,$B158,'Per Line'!$AS$2:$AS$1501,1,'Per Line'!$AT$2:$AT$1501,0))</f>
        <v/>
      </c>
      <c r="AA158" s="7">
        <f>IF($AH158="","",Z158*Y158)</f>
        <v/>
      </c>
      <c r="AB158" s="7">
        <f>IF($AH158="","",AA158+X158+U158)</f>
        <v/>
      </c>
      <c r="AC158" s="7">
        <f>IF($AH158="","",AD158-AB158)</f>
        <v/>
      </c>
      <c r="AD158" s="7">
        <f>IF($AH158="","",W158+Z158+T158)</f>
        <v/>
      </c>
      <c r="AE158" s="7">
        <f>IF($AH158="","",AD158-AB158-P158)</f>
        <v/>
      </c>
      <c r="AF158" s="15" t="n"/>
      <c r="AG158" s="7">
        <f>IF($AH158="","",AE158-N(AF158))</f>
        <v/>
      </c>
      <c r="AH158" s="16">
        <f>IF(ROWS($AH$2:$AH158)&lt;=MAX('Per Line'!$AR$2:$AR$1501),MATCH(ROWS($AH$2:$AH158),'Per Line'!$AR$2:$AR$1501,0),"")</f>
        <v/>
      </c>
      <c r="AI158">
        <f>IF($AH158="","",C158&amp;"|"&amp;COUNTIF($C$2:$C158,C158))</f>
        <v/>
      </c>
    </row>
    <row r="159">
      <c r="A159" s="15" t="n"/>
      <c r="B159">
        <f>IF($AH159="","",INDEX('Per Line'!$E$2:$E$1501,$AH159)&amp;"")</f>
        <v/>
      </c>
      <c r="C159">
        <f>IF($AH159="","",IF(INDEX('Per Line'!$AP$2:$AP$1501,$AH159)="NOT MATCH","NOT MATCH","FULL MATCH"))</f>
        <v/>
      </c>
      <c r="D159">
        <f>IF($AH159="","",INDEX('Per Line'!$A$2:$A$1501,$AH159)&amp;"")</f>
        <v/>
      </c>
      <c r="E159">
        <f>IF($AH159="","",INDEX('Per Line'!$B$2:$B$1501,$AH159))</f>
        <v/>
      </c>
      <c r="F159">
        <f>IF($AH159="","",INDEX('Per Line'!$C$2:$C$1501,$AH159)&amp;"")</f>
        <v/>
      </c>
      <c r="G159">
        <f>IF($AH159="","",INDEX('Per Line'!$D$2:$D$1501,$AH159)&amp;"")</f>
        <v/>
      </c>
      <c r="H159">
        <f>IF($AH159="","",INDEX('Per Line'!$F$2:$F$1501,$AH159)&amp;"")</f>
        <v/>
      </c>
      <c r="I159" s="14">
        <f>IF($AH159="","",INDEX('Per Line'!$G$2:$G$1501,$AH159))</f>
        <v/>
      </c>
      <c r="J159">
        <f>IF($AH159="","",INDEX('Per Line'!$H$2:$H$1501,$AH159)&amp;"")</f>
        <v/>
      </c>
      <c r="K159">
        <f>IF($AH159="","",INDEX('Per Line'!$J$2:$J$1501,$AH159)&amp;"")</f>
        <v/>
      </c>
      <c r="L159">
        <f>IF($AH159="","",INDEX('Per Line'!$K$2:$K$1501,$AH159)&amp;"")</f>
        <v/>
      </c>
      <c r="M159">
        <f>IF($AH159="","",INDEX('Per Line'!$L$2:$L$1501,$AH159)&amp;"")</f>
        <v/>
      </c>
      <c r="N159">
        <f>IF($AH159="","",INDEX('Per Line'!$M$2:$M$1501,$AH159)&amp;"")</f>
        <v/>
      </c>
      <c r="O159">
        <f>IF($AH159="","",INDEX('Per Line'!$P$2:$P$1501,$AH159))</f>
        <v/>
      </c>
      <c r="P159" s="7">
        <f>IF($AH159="","",O159*AD159/100)</f>
        <v/>
      </c>
      <c r="Q159">
        <f>IF($AH159="","",INDEX('Per Line'!$R$2:$R$1501,$AH159)&amp;"")</f>
        <v/>
      </c>
      <c r="R159">
        <f>IF($AH159="","",INDEX('Per Line'!$AB$2:$AB$1501,$AH159)&amp;"")</f>
        <v/>
      </c>
      <c r="S159">
        <f>IF($AH159="","",Settings!$C$8)</f>
        <v/>
      </c>
      <c r="T159" s="7">
        <f>IF($AH159="","",SUMIFS('Per Line'!$Z$2:$Z$1501,'Per Line'!$E$2:$E$1501,$B159,'Per Line'!$AT$2:$AT$1501,1))</f>
        <v/>
      </c>
      <c r="U159" s="7">
        <f>IF($AH159="","",T159*S159)</f>
        <v/>
      </c>
      <c r="V159">
        <f>IF($AH159="","",Settings!$C$7)</f>
        <v/>
      </c>
      <c r="W159" s="7">
        <f>IF($AH159="","",SUMIFS('Per Line'!$Z$2:$Z$1501,'Per Line'!$E$2:$E$1501,$B159,'Per Line'!$AS$2:$AS$1501,0,'Per Line'!$AT$2:$AT$1501,0))</f>
        <v/>
      </c>
      <c r="X159" s="7">
        <f>IF($AH159="","",W159*V159)</f>
        <v/>
      </c>
      <c r="Y159">
        <f>IF($AH159="","",Settings!$C$6)</f>
        <v/>
      </c>
      <c r="Z159" s="7">
        <f>IF($AH159="","",SUMIFS('Per Line'!$Z$2:$Z$1501,'Per Line'!$E$2:$E$1501,$B159,'Per Line'!$AS$2:$AS$1501,1,'Per Line'!$AT$2:$AT$1501,0))</f>
        <v/>
      </c>
      <c r="AA159" s="7">
        <f>IF($AH159="","",Z159*Y159)</f>
        <v/>
      </c>
      <c r="AB159" s="7">
        <f>IF($AH159="","",AA159+X159+U159)</f>
        <v/>
      </c>
      <c r="AC159" s="7">
        <f>IF($AH159="","",AD159-AB159)</f>
        <v/>
      </c>
      <c r="AD159" s="7">
        <f>IF($AH159="","",W159+Z159+T159)</f>
        <v/>
      </c>
      <c r="AE159" s="7">
        <f>IF($AH159="","",AD159-AB159-P159)</f>
        <v/>
      </c>
      <c r="AF159" s="15" t="n"/>
      <c r="AG159" s="7">
        <f>IF($AH159="","",AE159-N(AF159))</f>
        <v/>
      </c>
      <c r="AH159" s="16">
        <f>IF(ROWS($AH$2:$AH159)&lt;=MAX('Per Line'!$AR$2:$AR$1501),MATCH(ROWS($AH$2:$AH159),'Per Line'!$AR$2:$AR$1501,0),"")</f>
        <v/>
      </c>
      <c r="AI159">
        <f>IF($AH159="","",C159&amp;"|"&amp;COUNTIF($C$2:$C159,C159))</f>
        <v/>
      </c>
    </row>
    <row r="160">
      <c r="A160" s="15" t="n"/>
      <c r="B160">
        <f>IF($AH160="","",INDEX('Per Line'!$E$2:$E$1501,$AH160)&amp;"")</f>
        <v/>
      </c>
      <c r="C160">
        <f>IF($AH160="","",IF(INDEX('Per Line'!$AP$2:$AP$1501,$AH160)="NOT MATCH","NOT MATCH","FULL MATCH"))</f>
        <v/>
      </c>
      <c r="D160">
        <f>IF($AH160="","",INDEX('Per Line'!$A$2:$A$1501,$AH160)&amp;"")</f>
        <v/>
      </c>
      <c r="E160">
        <f>IF($AH160="","",INDEX('Per Line'!$B$2:$B$1501,$AH160))</f>
        <v/>
      </c>
      <c r="F160">
        <f>IF($AH160="","",INDEX('Per Line'!$C$2:$C$1501,$AH160)&amp;"")</f>
        <v/>
      </c>
      <c r="G160">
        <f>IF($AH160="","",INDEX('Per Line'!$D$2:$D$1501,$AH160)&amp;"")</f>
        <v/>
      </c>
      <c r="H160">
        <f>IF($AH160="","",INDEX('Per Line'!$F$2:$F$1501,$AH160)&amp;"")</f>
        <v/>
      </c>
      <c r="I160" s="14">
        <f>IF($AH160="","",INDEX('Per Line'!$G$2:$G$1501,$AH160))</f>
        <v/>
      </c>
      <c r="J160">
        <f>IF($AH160="","",INDEX('Per Line'!$H$2:$H$1501,$AH160)&amp;"")</f>
        <v/>
      </c>
      <c r="K160">
        <f>IF($AH160="","",INDEX('Per Line'!$J$2:$J$1501,$AH160)&amp;"")</f>
        <v/>
      </c>
      <c r="L160">
        <f>IF($AH160="","",INDEX('Per Line'!$K$2:$K$1501,$AH160)&amp;"")</f>
        <v/>
      </c>
      <c r="M160">
        <f>IF($AH160="","",INDEX('Per Line'!$L$2:$L$1501,$AH160)&amp;"")</f>
        <v/>
      </c>
      <c r="N160">
        <f>IF($AH160="","",INDEX('Per Line'!$M$2:$M$1501,$AH160)&amp;"")</f>
        <v/>
      </c>
      <c r="O160">
        <f>IF($AH160="","",INDEX('Per Line'!$P$2:$P$1501,$AH160))</f>
        <v/>
      </c>
      <c r="P160" s="7">
        <f>IF($AH160="","",O160*AD160/100)</f>
        <v/>
      </c>
      <c r="Q160">
        <f>IF($AH160="","",INDEX('Per Line'!$R$2:$R$1501,$AH160)&amp;"")</f>
        <v/>
      </c>
      <c r="R160">
        <f>IF($AH160="","",INDEX('Per Line'!$AB$2:$AB$1501,$AH160)&amp;"")</f>
        <v/>
      </c>
      <c r="S160">
        <f>IF($AH160="","",Settings!$C$8)</f>
        <v/>
      </c>
      <c r="T160" s="7">
        <f>IF($AH160="","",SUMIFS('Per Line'!$Z$2:$Z$1501,'Per Line'!$E$2:$E$1501,$B160,'Per Line'!$AT$2:$AT$1501,1))</f>
        <v/>
      </c>
      <c r="U160" s="7">
        <f>IF($AH160="","",T160*S160)</f>
        <v/>
      </c>
      <c r="V160">
        <f>IF($AH160="","",Settings!$C$7)</f>
        <v/>
      </c>
      <c r="W160" s="7">
        <f>IF($AH160="","",SUMIFS('Per Line'!$Z$2:$Z$1501,'Per Line'!$E$2:$E$1501,$B160,'Per Line'!$AS$2:$AS$1501,0,'Per Line'!$AT$2:$AT$1501,0))</f>
        <v/>
      </c>
      <c r="X160" s="7">
        <f>IF($AH160="","",W160*V160)</f>
        <v/>
      </c>
      <c r="Y160">
        <f>IF($AH160="","",Settings!$C$6)</f>
        <v/>
      </c>
      <c r="Z160" s="7">
        <f>IF($AH160="","",SUMIFS('Per Line'!$Z$2:$Z$1501,'Per Line'!$E$2:$E$1501,$B160,'Per Line'!$AS$2:$AS$1501,1,'Per Line'!$AT$2:$AT$1501,0))</f>
        <v/>
      </c>
      <c r="AA160" s="7">
        <f>IF($AH160="","",Z160*Y160)</f>
        <v/>
      </c>
      <c r="AB160" s="7">
        <f>IF($AH160="","",AA160+X160+U160)</f>
        <v/>
      </c>
      <c r="AC160" s="7">
        <f>IF($AH160="","",AD160-AB160)</f>
        <v/>
      </c>
      <c r="AD160" s="7">
        <f>IF($AH160="","",W160+Z160+T160)</f>
        <v/>
      </c>
      <c r="AE160" s="7">
        <f>IF($AH160="","",AD160-AB160-P160)</f>
        <v/>
      </c>
      <c r="AF160" s="15" t="n"/>
      <c r="AG160" s="7">
        <f>IF($AH160="","",AE160-N(AF160))</f>
        <v/>
      </c>
      <c r="AH160" s="16">
        <f>IF(ROWS($AH$2:$AH160)&lt;=MAX('Per Line'!$AR$2:$AR$1501),MATCH(ROWS($AH$2:$AH160),'Per Line'!$AR$2:$AR$1501,0),"")</f>
        <v/>
      </c>
      <c r="AI160">
        <f>IF($AH160="","",C160&amp;"|"&amp;COUNTIF($C$2:$C160,C160))</f>
        <v/>
      </c>
    </row>
    <row r="161">
      <c r="A161" s="15" t="n"/>
      <c r="B161">
        <f>IF($AH161="","",INDEX('Per Line'!$E$2:$E$1501,$AH161)&amp;"")</f>
        <v/>
      </c>
      <c r="C161">
        <f>IF($AH161="","",IF(INDEX('Per Line'!$AP$2:$AP$1501,$AH161)="NOT MATCH","NOT MATCH","FULL MATCH"))</f>
        <v/>
      </c>
      <c r="D161">
        <f>IF($AH161="","",INDEX('Per Line'!$A$2:$A$1501,$AH161)&amp;"")</f>
        <v/>
      </c>
      <c r="E161">
        <f>IF($AH161="","",INDEX('Per Line'!$B$2:$B$1501,$AH161))</f>
        <v/>
      </c>
      <c r="F161">
        <f>IF($AH161="","",INDEX('Per Line'!$C$2:$C$1501,$AH161)&amp;"")</f>
        <v/>
      </c>
      <c r="G161">
        <f>IF($AH161="","",INDEX('Per Line'!$D$2:$D$1501,$AH161)&amp;"")</f>
        <v/>
      </c>
      <c r="H161">
        <f>IF($AH161="","",INDEX('Per Line'!$F$2:$F$1501,$AH161)&amp;"")</f>
        <v/>
      </c>
      <c r="I161" s="14">
        <f>IF($AH161="","",INDEX('Per Line'!$G$2:$G$1501,$AH161))</f>
        <v/>
      </c>
      <c r="J161">
        <f>IF($AH161="","",INDEX('Per Line'!$H$2:$H$1501,$AH161)&amp;"")</f>
        <v/>
      </c>
      <c r="K161">
        <f>IF($AH161="","",INDEX('Per Line'!$J$2:$J$1501,$AH161)&amp;"")</f>
        <v/>
      </c>
      <c r="L161">
        <f>IF($AH161="","",INDEX('Per Line'!$K$2:$K$1501,$AH161)&amp;"")</f>
        <v/>
      </c>
      <c r="M161">
        <f>IF($AH161="","",INDEX('Per Line'!$L$2:$L$1501,$AH161)&amp;"")</f>
        <v/>
      </c>
      <c r="N161">
        <f>IF($AH161="","",INDEX('Per Line'!$M$2:$M$1501,$AH161)&amp;"")</f>
        <v/>
      </c>
      <c r="O161">
        <f>IF($AH161="","",INDEX('Per Line'!$P$2:$P$1501,$AH161))</f>
        <v/>
      </c>
      <c r="P161" s="7">
        <f>IF($AH161="","",O161*AD161/100)</f>
        <v/>
      </c>
      <c r="Q161">
        <f>IF($AH161="","",INDEX('Per Line'!$R$2:$R$1501,$AH161)&amp;"")</f>
        <v/>
      </c>
      <c r="R161">
        <f>IF($AH161="","",INDEX('Per Line'!$AB$2:$AB$1501,$AH161)&amp;"")</f>
        <v/>
      </c>
      <c r="S161">
        <f>IF($AH161="","",Settings!$C$8)</f>
        <v/>
      </c>
      <c r="T161" s="7">
        <f>IF($AH161="","",SUMIFS('Per Line'!$Z$2:$Z$1501,'Per Line'!$E$2:$E$1501,$B161,'Per Line'!$AT$2:$AT$1501,1))</f>
        <v/>
      </c>
      <c r="U161" s="7">
        <f>IF($AH161="","",T161*S161)</f>
        <v/>
      </c>
      <c r="V161">
        <f>IF($AH161="","",Settings!$C$7)</f>
        <v/>
      </c>
      <c r="W161" s="7">
        <f>IF($AH161="","",SUMIFS('Per Line'!$Z$2:$Z$1501,'Per Line'!$E$2:$E$1501,$B161,'Per Line'!$AS$2:$AS$1501,0,'Per Line'!$AT$2:$AT$1501,0))</f>
        <v/>
      </c>
      <c r="X161" s="7">
        <f>IF($AH161="","",W161*V161)</f>
        <v/>
      </c>
      <c r="Y161">
        <f>IF($AH161="","",Settings!$C$6)</f>
        <v/>
      </c>
      <c r="Z161" s="7">
        <f>IF($AH161="","",SUMIFS('Per Line'!$Z$2:$Z$1501,'Per Line'!$E$2:$E$1501,$B161,'Per Line'!$AS$2:$AS$1501,1,'Per Line'!$AT$2:$AT$1501,0))</f>
        <v/>
      </c>
      <c r="AA161" s="7">
        <f>IF($AH161="","",Z161*Y161)</f>
        <v/>
      </c>
      <c r="AB161" s="7">
        <f>IF($AH161="","",AA161+X161+U161)</f>
        <v/>
      </c>
      <c r="AC161" s="7">
        <f>IF($AH161="","",AD161-AB161)</f>
        <v/>
      </c>
      <c r="AD161" s="7">
        <f>IF($AH161="","",W161+Z161+T161)</f>
        <v/>
      </c>
      <c r="AE161" s="7">
        <f>IF($AH161="","",AD161-AB161-P161)</f>
        <v/>
      </c>
      <c r="AF161" s="15" t="n"/>
      <c r="AG161" s="7">
        <f>IF($AH161="","",AE161-N(AF161))</f>
        <v/>
      </c>
      <c r="AH161" s="16">
        <f>IF(ROWS($AH$2:$AH161)&lt;=MAX('Per Line'!$AR$2:$AR$1501),MATCH(ROWS($AH$2:$AH161),'Per Line'!$AR$2:$AR$1501,0),"")</f>
        <v/>
      </c>
      <c r="AI161">
        <f>IF($AH161="","",C161&amp;"|"&amp;COUNTIF($C$2:$C161,C161))</f>
        <v/>
      </c>
    </row>
    <row r="162">
      <c r="A162" s="15" t="n"/>
      <c r="B162">
        <f>IF($AH162="","",INDEX('Per Line'!$E$2:$E$1501,$AH162)&amp;"")</f>
        <v/>
      </c>
      <c r="C162">
        <f>IF($AH162="","",IF(INDEX('Per Line'!$AP$2:$AP$1501,$AH162)="NOT MATCH","NOT MATCH","FULL MATCH"))</f>
        <v/>
      </c>
      <c r="D162">
        <f>IF($AH162="","",INDEX('Per Line'!$A$2:$A$1501,$AH162)&amp;"")</f>
        <v/>
      </c>
      <c r="E162">
        <f>IF($AH162="","",INDEX('Per Line'!$B$2:$B$1501,$AH162))</f>
        <v/>
      </c>
      <c r="F162">
        <f>IF($AH162="","",INDEX('Per Line'!$C$2:$C$1501,$AH162)&amp;"")</f>
        <v/>
      </c>
      <c r="G162">
        <f>IF($AH162="","",INDEX('Per Line'!$D$2:$D$1501,$AH162)&amp;"")</f>
        <v/>
      </c>
      <c r="H162">
        <f>IF($AH162="","",INDEX('Per Line'!$F$2:$F$1501,$AH162)&amp;"")</f>
        <v/>
      </c>
      <c r="I162" s="14">
        <f>IF($AH162="","",INDEX('Per Line'!$G$2:$G$1501,$AH162))</f>
        <v/>
      </c>
      <c r="J162">
        <f>IF($AH162="","",INDEX('Per Line'!$H$2:$H$1501,$AH162)&amp;"")</f>
        <v/>
      </c>
      <c r="K162">
        <f>IF($AH162="","",INDEX('Per Line'!$J$2:$J$1501,$AH162)&amp;"")</f>
        <v/>
      </c>
      <c r="L162">
        <f>IF($AH162="","",INDEX('Per Line'!$K$2:$K$1501,$AH162)&amp;"")</f>
        <v/>
      </c>
      <c r="M162">
        <f>IF($AH162="","",INDEX('Per Line'!$L$2:$L$1501,$AH162)&amp;"")</f>
        <v/>
      </c>
      <c r="N162">
        <f>IF($AH162="","",INDEX('Per Line'!$M$2:$M$1501,$AH162)&amp;"")</f>
        <v/>
      </c>
      <c r="O162">
        <f>IF($AH162="","",INDEX('Per Line'!$P$2:$P$1501,$AH162))</f>
        <v/>
      </c>
      <c r="P162" s="7">
        <f>IF($AH162="","",O162*AD162/100)</f>
        <v/>
      </c>
      <c r="Q162">
        <f>IF($AH162="","",INDEX('Per Line'!$R$2:$R$1501,$AH162)&amp;"")</f>
        <v/>
      </c>
      <c r="R162">
        <f>IF($AH162="","",INDEX('Per Line'!$AB$2:$AB$1501,$AH162)&amp;"")</f>
        <v/>
      </c>
      <c r="S162">
        <f>IF($AH162="","",Settings!$C$8)</f>
        <v/>
      </c>
      <c r="T162" s="7">
        <f>IF($AH162="","",SUMIFS('Per Line'!$Z$2:$Z$1501,'Per Line'!$E$2:$E$1501,$B162,'Per Line'!$AT$2:$AT$1501,1))</f>
        <v/>
      </c>
      <c r="U162" s="7">
        <f>IF($AH162="","",T162*S162)</f>
        <v/>
      </c>
      <c r="V162">
        <f>IF($AH162="","",Settings!$C$7)</f>
        <v/>
      </c>
      <c r="W162" s="7">
        <f>IF($AH162="","",SUMIFS('Per Line'!$Z$2:$Z$1501,'Per Line'!$E$2:$E$1501,$B162,'Per Line'!$AS$2:$AS$1501,0,'Per Line'!$AT$2:$AT$1501,0))</f>
        <v/>
      </c>
      <c r="X162" s="7">
        <f>IF($AH162="","",W162*V162)</f>
        <v/>
      </c>
      <c r="Y162">
        <f>IF($AH162="","",Settings!$C$6)</f>
        <v/>
      </c>
      <c r="Z162" s="7">
        <f>IF($AH162="","",SUMIFS('Per Line'!$Z$2:$Z$1501,'Per Line'!$E$2:$E$1501,$B162,'Per Line'!$AS$2:$AS$1501,1,'Per Line'!$AT$2:$AT$1501,0))</f>
        <v/>
      </c>
      <c r="AA162" s="7">
        <f>IF($AH162="","",Z162*Y162)</f>
        <v/>
      </c>
      <c r="AB162" s="7">
        <f>IF($AH162="","",AA162+X162+U162)</f>
        <v/>
      </c>
      <c r="AC162" s="7">
        <f>IF($AH162="","",AD162-AB162)</f>
        <v/>
      </c>
      <c r="AD162" s="7">
        <f>IF($AH162="","",W162+Z162+T162)</f>
        <v/>
      </c>
      <c r="AE162" s="7">
        <f>IF($AH162="","",AD162-AB162-P162)</f>
        <v/>
      </c>
      <c r="AF162" s="15" t="n"/>
      <c r="AG162" s="7">
        <f>IF($AH162="","",AE162-N(AF162))</f>
        <v/>
      </c>
      <c r="AH162" s="16">
        <f>IF(ROWS($AH$2:$AH162)&lt;=MAX('Per Line'!$AR$2:$AR$1501),MATCH(ROWS($AH$2:$AH162),'Per Line'!$AR$2:$AR$1501,0),"")</f>
        <v/>
      </c>
      <c r="AI162">
        <f>IF($AH162="","",C162&amp;"|"&amp;COUNTIF($C$2:$C162,C162))</f>
        <v/>
      </c>
    </row>
    <row r="163">
      <c r="A163" s="15" t="n"/>
      <c r="B163">
        <f>IF($AH163="","",INDEX('Per Line'!$E$2:$E$1501,$AH163)&amp;"")</f>
        <v/>
      </c>
      <c r="C163">
        <f>IF($AH163="","",IF(INDEX('Per Line'!$AP$2:$AP$1501,$AH163)="NOT MATCH","NOT MATCH","FULL MATCH"))</f>
        <v/>
      </c>
      <c r="D163">
        <f>IF($AH163="","",INDEX('Per Line'!$A$2:$A$1501,$AH163)&amp;"")</f>
        <v/>
      </c>
      <c r="E163">
        <f>IF($AH163="","",INDEX('Per Line'!$B$2:$B$1501,$AH163))</f>
        <v/>
      </c>
      <c r="F163">
        <f>IF($AH163="","",INDEX('Per Line'!$C$2:$C$1501,$AH163)&amp;"")</f>
        <v/>
      </c>
      <c r="G163">
        <f>IF($AH163="","",INDEX('Per Line'!$D$2:$D$1501,$AH163)&amp;"")</f>
        <v/>
      </c>
      <c r="H163">
        <f>IF($AH163="","",INDEX('Per Line'!$F$2:$F$1501,$AH163)&amp;"")</f>
        <v/>
      </c>
      <c r="I163" s="14">
        <f>IF($AH163="","",INDEX('Per Line'!$G$2:$G$1501,$AH163))</f>
        <v/>
      </c>
      <c r="J163">
        <f>IF($AH163="","",INDEX('Per Line'!$H$2:$H$1501,$AH163)&amp;"")</f>
        <v/>
      </c>
      <c r="K163">
        <f>IF($AH163="","",INDEX('Per Line'!$J$2:$J$1501,$AH163)&amp;"")</f>
        <v/>
      </c>
      <c r="L163">
        <f>IF($AH163="","",INDEX('Per Line'!$K$2:$K$1501,$AH163)&amp;"")</f>
        <v/>
      </c>
      <c r="M163">
        <f>IF($AH163="","",INDEX('Per Line'!$L$2:$L$1501,$AH163)&amp;"")</f>
        <v/>
      </c>
      <c r="N163">
        <f>IF($AH163="","",INDEX('Per Line'!$M$2:$M$1501,$AH163)&amp;"")</f>
        <v/>
      </c>
      <c r="O163">
        <f>IF($AH163="","",INDEX('Per Line'!$P$2:$P$1501,$AH163))</f>
        <v/>
      </c>
      <c r="P163" s="7">
        <f>IF($AH163="","",O163*AD163/100)</f>
        <v/>
      </c>
      <c r="Q163">
        <f>IF($AH163="","",INDEX('Per Line'!$R$2:$R$1501,$AH163)&amp;"")</f>
        <v/>
      </c>
      <c r="R163">
        <f>IF($AH163="","",INDEX('Per Line'!$AB$2:$AB$1501,$AH163)&amp;"")</f>
        <v/>
      </c>
      <c r="S163">
        <f>IF($AH163="","",Settings!$C$8)</f>
        <v/>
      </c>
      <c r="T163" s="7">
        <f>IF($AH163="","",SUMIFS('Per Line'!$Z$2:$Z$1501,'Per Line'!$E$2:$E$1501,$B163,'Per Line'!$AT$2:$AT$1501,1))</f>
        <v/>
      </c>
      <c r="U163" s="7">
        <f>IF($AH163="","",T163*S163)</f>
        <v/>
      </c>
      <c r="V163">
        <f>IF($AH163="","",Settings!$C$7)</f>
        <v/>
      </c>
      <c r="W163" s="7">
        <f>IF($AH163="","",SUMIFS('Per Line'!$Z$2:$Z$1501,'Per Line'!$E$2:$E$1501,$B163,'Per Line'!$AS$2:$AS$1501,0,'Per Line'!$AT$2:$AT$1501,0))</f>
        <v/>
      </c>
      <c r="X163" s="7">
        <f>IF($AH163="","",W163*V163)</f>
        <v/>
      </c>
      <c r="Y163">
        <f>IF($AH163="","",Settings!$C$6)</f>
        <v/>
      </c>
      <c r="Z163" s="7">
        <f>IF($AH163="","",SUMIFS('Per Line'!$Z$2:$Z$1501,'Per Line'!$E$2:$E$1501,$B163,'Per Line'!$AS$2:$AS$1501,1,'Per Line'!$AT$2:$AT$1501,0))</f>
        <v/>
      </c>
      <c r="AA163" s="7">
        <f>IF($AH163="","",Z163*Y163)</f>
        <v/>
      </c>
      <c r="AB163" s="7">
        <f>IF($AH163="","",AA163+X163+U163)</f>
        <v/>
      </c>
      <c r="AC163" s="7">
        <f>IF($AH163="","",AD163-AB163)</f>
        <v/>
      </c>
      <c r="AD163" s="7">
        <f>IF($AH163="","",W163+Z163+T163)</f>
        <v/>
      </c>
      <c r="AE163" s="7">
        <f>IF($AH163="","",AD163-AB163-P163)</f>
        <v/>
      </c>
      <c r="AF163" s="15" t="n"/>
      <c r="AG163" s="7">
        <f>IF($AH163="","",AE163-N(AF163))</f>
        <v/>
      </c>
      <c r="AH163" s="16">
        <f>IF(ROWS($AH$2:$AH163)&lt;=MAX('Per Line'!$AR$2:$AR$1501),MATCH(ROWS($AH$2:$AH163),'Per Line'!$AR$2:$AR$1501,0),"")</f>
        <v/>
      </c>
      <c r="AI163">
        <f>IF($AH163="","",C163&amp;"|"&amp;COUNTIF($C$2:$C163,C163))</f>
        <v/>
      </c>
    </row>
    <row r="164">
      <c r="A164" s="15" t="n"/>
      <c r="B164">
        <f>IF($AH164="","",INDEX('Per Line'!$E$2:$E$1501,$AH164)&amp;"")</f>
        <v/>
      </c>
      <c r="C164">
        <f>IF($AH164="","",IF(INDEX('Per Line'!$AP$2:$AP$1501,$AH164)="NOT MATCH","NOT MATCH","FULL MATCH"))</f>
        <v/>
      </c>
      <c r="D164">
        <f>IF($AH164="","",INDEX('Per Line'!$A$2:$A$1501,$AH164)&amp;"")</f>
        <v/>
      </c>
      <c r="E164">
        <f>IF($AH164="","",INDEX('Per Line'!$B$2:$B$1501,$AH164))</f>
        <v/>
      </c>
      <c r="F164">
        <f>IF($AH164="","",INDEX('Per Line'!$C$2:$C$1501,$AH164)&amp;"")</f>
        <v/>
      </c>
      <c r="G164">
        <f>IF($AH164="","",INDEX('Per Line'!$D$2:$D$1501,$AH164)&amp;"")</f>
        <v/>
      </c>
      <c r="H164">
        <f>IF($AH164="","",INDEX('Per Line'!$F$2:$F$1501,$AH164)&amp;"")</f>
        <v/>
      </c>
      <c r="I164" s="14">
        <f>IF($AH164="","",INDEX('Per Line'!$G$2:$G$1501,$AH164))</f>
        <v/>
      </c>
      <c r="J164">
        <f>IF($AH164="","",INDEX('Per Line'!$H$2:$H$1501,$AH164)&amp;"")</f>
        <v/>
      </c>
      <c r="K164">
        <f>IF($AH164="","",INDEX('Per Line'!$J$2:$J$1501,$AH164)&amp;"")</f>
        <v/>
      </c>
      <c r="L164">
        <f>IF($AH164="","",INDEX('Per Line'!$K$2:$K$1501,$AH164)&amp;"")</f>
        <v/>
      </c>
      <c r="M164">
        <f>IF($AH164="","",INDEX('Per Line'!$L$2:$L$1501,$AH164)&amp;"")</f>
        <v/>
      </c>
      <c r="N164">
        <f>IF($AH164="","",INDEX('Per Line'!$M$2:$M$1501,$AH164)&amp;"")</f>
        <v/>
      </c>
      <c r="O164">
        <f>IF($AH164="","",INDEX('Per Line'!$P$2:$P$1501,$AH164))</f>
        <v/>
      </c>
      <c r="P164" s="7">
        <f>IF($AH164="","",O164*AD164/100)</f>
        <v/>
      </c>
      <c r="Q164">
        <f>IF($AH164="","",INDEX('Per Line'!$R$2:$R$1501,$AH164)&amp;"")</f>
        <v/>
      </c>
      <c r="R164">
        <f>IF($AH164="","",INDEX('Per Line'!$AB$2:$AB$1501,$AH164)&amp;"")</f>
        <v/>
      </c>
      <c r="S164">
        <f>IF($AH164="","",Settings!$C$8)</f>
        <v/>
      </c>
      <c r="T164" s="7">
        <f>IF($AH164="","",SUMIFS('Per Line'!$Z$2:$Z$1501,'Per Line'!$E$2:$E$1501,$B164,'Per Line'!$AT$2:$AT$1501,1))</f>
        <v/>
      </c>
      <c r="U164" s="7">
        <f>IF($AH164="","",T164*S164)</f>
        <v/>
      </c>
      <c r="V164">
        <f>IF($AH164="","",Settings!$C$7)</f>
        <v/>
      </c>
      <c r="W164" s="7">
        <f>IF($AH164="","",SUMIFS('Per Line'!$Z$2:$Z$1501,'Per Line'!$E$2:$E$1501,$B164,'Per Line'!$AS$2:$AS$1501,0,'Per Line'!$AT$2:$AT$1501,0))</f>
        <v/>
      </c>
      <c r="X164" s="7">
        <f>IF($AH164="","",W164*V164)</f>
        <v/>
      </c>
      <c r="Y164">
        <f>IF($AH164="","",Settings!$C$6)</f>
        <v/>
      </c>
      <c r="Z164" s="7">
        <f>IF($AH164="","",SUMIFS('Per Line'!$Z$2:$Z$1501,'Per Line'!$E$2:$E$1501,$B164,'Per Line'!$AS$2:$AS$1501,1,'Per Line'!$AT$2:$AT$1501,0))</f>
        <v/>
      </c>
      <c r="AA164" s="7">
        <f>IF($AH164="","",Z164*Y164)</f>
        <v/>
      </c>
      <c r="AB164" s="7">
        <f>IF($AH164="","",AA164+X164+U164)</f>
        <v/>
      </c>
      <c r="AC164" s="7">
        <f>IF($AH164="","",AD164-AB164)</f>
        <v/>
      </c>
      <c r="AD164" s="7">
        <f>IF($AH164="","",W164+Z164+T164)</f>
        <v/>
      </c>
      <c r="AE164" s="7">
        <f>IF($AH164="","",AD164-AB164-P164)</f>
        <v/>
      </c>
      <c r="AF164" s="15" t="n"/>
      <c r="AG164" s="7">
        <f>IF($AH164="","",AE164-N(AF164))</f>
        <v/>
      </c>
      <c r="AH164" s="16">
        <f>IF(ROWS($AH$2:$AH164)&lt;=MAX('Per Line'!$AR$2:$AR$1501),MATCH(ROWS($AH$2:$AH164),'Per Line'!$AR$2:$AR$1501,0),"")</f>
        <v/>
      </c>
      <c r="AI164">
        <f>IF($AH164="","",C164&amp;"|"&amp;COUNTIF($C$2:$C164,C164))</f>
        <v/>
      </c>
    </row>
    <row r="165">
      <c r="A165" s="15" t="n"/>
      <c r="B165">
        <f>IF($AH165="","",INDEX('Per Line'!$E$2:$E$1501,$AH165)&amp;"")</f>
        <v/>
      </c>
      <c r="C165">
        <f>IF($AH165="","",IF(INDEX('Per Line'!$AP$2:$AP$1501,$AH165)="NOT MATCH","NOT MATCH","FULL MATCH"))</f>
        <v/>
      </c>
      <c r="D165">
        <f>IF($AH165="","",INDEX('Per Line'!$A$2:$A$1501,$AH165)&amp;"")</f>
        <v/>
      </c>
      <c r="E165">
        <f>IF($AH165="","",INDEX('Per Line'!$B$2:$B$1501,$AH165))</f>
        <v/>
      </c>
      <c r="F165">
        <f>IF($AH165="","",INDEX('Per Line'!$C$2:$C$1501,$AH165)&amp;"")</f>
        <v/>
      </c>
      <c r="G165">
        <f>IF($AH165="","",INDEX('Per Line'!$D$2:$D$1501,$AH165)&amp;"")</f>
        <v/>
      </c>
      <c r="H165">
        <f>IF($AH165="","",INDEX('Per Line'!$F$2:$F$1501,$AH165)&amp;"")</f>
        <v/>
      </c>
      <c r="I165" s="14">
        <f>IF($AH165="","",INDEX('Per Line'!$G$2:$G$1501,$AH165))</f>
        <v/>
      </c>
      <c r="J165">
        <f>IF($AH165="","",INDEX('Per Line'!$H$2:$H$1501,$AH165)&amp;"")</f>
        <v/>
      </c>
      <c r="K165">
        <f>IF($AH165="","",INDEX('Per Line'!$J$2:$J$1501,$AH165)&amp;"")</f>
        <v/>
      </c>
      <c r="L165">
        <f>IF($AH165="","",INDEX('Per Line'!$K$2:$K$1501,$AH165)&amp;"")</f>
        <v/>
      </c>
      <c r="M165">
        <f>IF($AH165="","",INDEX('Per Line'!$L$2:$L$1501,$AH165)&amp;"")</f>
        <v/>
      </c>
      <c r="N165">
        <f>IF($AH165="","",INDEX('Per Line'!$M$2:$M$1501,$AH165)&amp;"")</f>
        <v/>
      </c>
      <c r="O165">
        <f>IF($AH165="","",INDEX('Per Line'!$P$2:$P$1501,$AH165))</f>
        <v/>
      </c>
      <c r="P165" s="7">
        <f>IF($AH165="","",O165*AD165/100)</f>
        <v/>
      </c>
      <c r="Q165">
        <f>IF($AH165="","",INDEX('Per Line'!$R$2:$R$1501,$AH165)&amp;"")</f>
        <v/>
      </c>
      <c r="R165">
        <f>IF($AH165="","",INDEX('Per Line'!$AB$2:$AB$1501,$AH165)&amp;"")</f>
        <v/>
      </c>
      <c r="S165">
        <f>IF($AH165="","",Settings!$C$8)</f>
        <v/>
      </c>
      <c r="T165" s="7">
        <f>IF($AH165="","",SUMIFS('Per Line'!$Z$2:$Z$1501,'Per Line'!$E$2:$E$1501,$B165,'Per Line'!$AT$2:$AT$1501,1))</f>
        <v/>
      </c>
      <c r="U165" s="7">
        <f>IF($AH165="","",T165*S165)</f>
        <v/>
      </c>
      <c r="V165">
        <f>IF($AH165="","",Settings!$C$7)</f>
        <v/>
      </c>
      <c r="W165" s="7">
        <f>IF($AH165="","",SUMIFS('Per Line'!$Z$2:$Z$1501,'Per Line'!$E$2:$E$1501,$B165,'Per Line'!$AS$2:$AS$1501,0,'Per Line'!$AT$2:$AT$1501,0))</f>
        <v/>
      </c>
      <c r="X165" s="7">
        <f>IF($AH165="","",W165*V165)</f>
        <v/>
      </c>
      <c r="Y165">
        <f>IF($AH165="","",Settings!$C$6)</f>
        <v/>
      </c>
      <c r="Z165" s="7">
        <f>IF($AH165="","",SUMIFS('Per Line'!$Z$2:$Z$1501,'Per Line'!$E$2:$E$1501,$B165,'Per Line'!$AS$2:$AS$1501,1,'Per Line'!$AT$2:$AT$1501,0))</f>
        <v/>
      </c>
      <c r="AA165" s="7">
        <f>IF($AH165="","",Z165*Y165)</f>
        <v/>
      </c>
      <c r="AB165" s="7">
        <f>IF($AH165="","",AA165+X165+U165)</f>
        <v/>
      </c>
      <c r="AC165" s="7">
        <f>IF($AH165="","",AD165-AB165)</f>
        <v/>
      </c>
      <c r="AD165" s="7">
        <f>IF($AH165="","",W165+Z165+T165)</f>
        <v/>
      </c>
      <c r="AE165" s="7">
        <f>IF($AH165="","",AD165-AB165-P165)</f>
        <v/>
      </c>
      <c r="AF165" s="15" t="n"/>
      <c r="AG165" s="7">
        <f>IF($AH165="","",AE165-N(AF165))</f>
        <v/>
      </c>
      <c r="AH165" s="16">
        <f>IF(ROWS($AH$2:$AH165)&lt;=MAX('Per Line'!$AR$2:$AR$1501),MATCH(ROWS($AH$2:$AH165),'Per Line'!$AR$2:$AR$1501,0),"")</f>
        <v/>
      </c>
      <c r="AI165">
        <f>IF($AH165="","",C165&amp;"|"&amp;COUNTIF($C$2:$C165,C165))</f>
        <v/>
      </c>
    </row>
    <row r="166">
      <c r="A166" s="15" t="n"/>
      <c r="B166">
        <f>IF($AH166="","",INDEX('Per Line'!$E$2:$E$1501,$AH166)&amp;"")</f>
        <v/>
      </c>
      <c r="C166">
        <f>IF($AH166="","",IF(INDEX('Per Line'!$AP$2:$AP$1501,$AH166)="NOT MATCH","NOT MATCH","FULL MATCH"))</f>
        <v/>
      </c>
      <c r="D166">
        <f>IF($AH166="","",INDEX('Per Line'!$A$2:$A$1501,$AH166)&amp;"")</f>
        <v/>
      </c>
      <c r="E166">
        <f>IF($AH166="","",INDEX('Per Line'!$B$2:$B$1501,$AH166))</f>
        <v/>
      </c>
      <c r="F166">
        <f>IF($AH166="","",INDEX('Per Line'!$C$2:$C$1501,$AH166)&amp;"")</f>
        <v/>
      </c>
      <c r="G166">
        <f>IF($AH166="","",INDEX('Per Line'!$D$2:$D$1501,$AH166)&amp;"")</f>
        <v/>
      </c>
      <c r="H166">
        <f>IF($AH166="","",INDEX('Per Line'!$F$2:$F$1501,$AH166)&amp;"")</f>
        <v/>
      </c>
      <c r="I166" s="14">
        <f>IF($AH166="","",INDEX('Per Line'!$G$2:$G$1501,$AH166))</f>
        <v/>
      </c>
      <c r="J166">
        <f>IF($AH166="","",INDEX('Per Line'!$H$2:$H$1501,$AH166)&amp;"")</f>
        <v/>
      </c>
      <c r="K166">
        <f>IF($AH166="","",INDEX('Per Line'!$J$2:$J$1501,$AH166)&amp;"")</f>
        <v/>
      </c>
      <c r="L166">
        <f>IF($AH166="","",INDEX('Per Line'!$K$2:$K$1501,$AH166)&amp;"")</f>
        <v/>
      </c>
      <c r="M166">
        <f>IF($AH166="","",INDEX('Per Line'!$L$2:$L$1501,$AH166)&amp;"")</f>
        <v/>
      </c>
      <c r="N166">
        <f>IF($AH166="","",INDEX('Per Line'!$M$2:$M$1501,$AH166)&amp;"")</f>
        <v/>
      </c>
      <c r="O166">
        <f>IF($AH166="","",INDEX('Per Line'!$P$2:$P$1501,$AH166))</f>
        <v/>
      </c>
      <c r="P166" s="7">
        <f>IF($AH166="","",O166*AD166/100)</f>
        <v/>
      </c>
      <c r="Q166">
        <f>IF($AH166="","",INDEX('Per Line'!$R$2:$R$1501,$AH166)&amp;"")</f>
        <v/>
      </c>
      <c r="R166">
        <f>IF($AH166="","",INDEX('Per Line'!$AB$2:$AB$1501,$AH166)&amp;"")</f>
        <v/>
      </c>
      <c r="S166">
        <f>IF($AH166="","",Settings!$C$8)</f>
        <v/>
      </c>
      <c r="T166" s="7">
        <f>IF($AH166="","",SUMIFS('Per Line'!$Z$2:$Z$1501,'Per Line'!$E$2:$E$1501,$B166,'Per Line'!$AT$2:$AT$1501,1))</f>
        <v/>
      </c>
      <c r="U166" s="7">
        <f>IF($AH166="","",T166*S166)</f>
        <v/>
      </c>
      <c r="V166">
        <f>IF($AH166="","",Settings!$C$7)</f>
        <v/>
      </c>
      <c r="W166" s="7">
        <f>IF($AH166="","",SUMIFS('Per Line'!$Z$2:$Z$1501,'Per Line'!$E$2:$E$1501,$B166,'Per Line'!$AS$2:$AS$1501,0,'Per Line'!$AT$2:$AT$1501,0))</f>
        <v/>
      </c>
      <c r="X166" s="7">
        <f>IF($AH166="","",W166*V166)</f>
        <v/>
      </c>
      <c r="Y166">
        <f>IF($AH166="","",Settings!$C$6)</f>
        <v/>
      </c>
      <c r="Z166" s="7">
        <f>IF($AH166="","",SUMIFS('Per Line'!$Z$2:$Z$1501,'Per Line'!$E$2:$E$1501,$B166,'Per Line'!$AS$2:$AS$1501,1,'Per Line'!$AT$2:$AT$1501,0))</f>
        <v/>
      </c>
      <c r="AA166" s="7">
        <f>IF($AH166="","",Z166*Y166)</f>
        <v/>
      </c>
      <c r="AB166" s="7">
        <f>IF($AH166="","",AA166+X166+U166)</f>
        <v/>
      </c>
      <c r="AC166" s="7">
        <f>IF($AH166="","",AD166-AB166)</f>
        <v/>
      </c>
      <c r="AD166" s="7">
        <f>IF($AH166="","",W166+Z166+T166)</f>
        <v/>
      </c>
      <c r="AE166" s="7">
        <f>IF($AH166="","",AD166-AB166-P166)</f>
        <v/>
      </c>
      <c r="AF166" s="15" t="n"/>
      <c r="AG166" s="7">
        <f>IF($AH166="","",AE166-N(AF166))</f>
        <v/>
      </c>
      <c r="AH166" s="16">
        <f>IF(ROWS($AH$2:$AH166)&lt;=MAX('Per Line'!$AR$2:$AR$1501),MATCH(ROWS($AH$2:$AH166),'Per Line'!$AR$2:$AR$1501,0),"")</f>
        <v/>
      </c>
      <c r="AI166">
        <f>IF($AH166="","",C166&amp;"|"&amp;COUNTIF($C$2:$C166,C166))</f>
        <v/>
      </c>
    </row>
    <row r="167">
      <c r="A167" s="15" t="n"/>
      <c r="B167">
        <f>IF($AH167="","",INDEX('Per Line'!$E$2:$E$1501,$AH167)&amp;"")</f>
        <v/>
      </c>
      <c r="C167">
        <f>IF($AH167="","",IF(INDEX('Per Line'!$AP$2:$AP$1501,$AH167)="NOT MATCH","NOT MATCH","FULL MATCH"))</f>
        <v/>
      </c>
      <c r="D167">
        <f>IF($AH167="","",INDEX('Per Line'!$A$2:$A$1501,$AH167)&amp;"")</f>
        <v/>
      </c>
      <c r="E167">
        <f>IF($AH167="","",INDEX('Per Line'!$B$2:$B$1501,$AH167))</f>
        <v/>
      </c>
      <c r="F167">
        <f>IF($AH167="","",INDEX('Per Line'!$C$2:$C$1501,$AH167)&amp;"")</f>
        <v/>
      </c>
      <c r="G167">
        <f>IF($AH167="","",INDEX('Per Line'!$D$2:$D$1501,$AH167)&amp;"")</f>
        <v/>
      </c>
      <c r="H167">
        <f>IF($AH167="","",INDEX('Per Line'!$F$2:$F$1501,$AH167)&amp;"")</f>
        <v/>
      </c>
      <c r="I167" s="14">
        <f>IF($AH167="","",INDEX('Per Line'!$G$2:$G$1501,$AH167))</f>
        <v/>
      </c>
      <c r="J167">
        <f>IF($AH167="","",INDEX('Per Line'!$H$2:$H$1501,$AH167)&amp;"")</f>
        <v/>
      </c>
      <c r="K167">
        <f>IF($AH167="","",INDEX('Per Line'!$J$2:$J$1501,$AH167)&amp;"")</f>
        <v/>
      </c>
      <c r="L167">
        <f>IF($AH167="","",INDEX('Per Line'!$K$2:$K$1501,$AH167)&amp;"")</f>
        <v/>
      </c>
      <c r="M167">
        <f>IF($AH167="","",INDEX('Per Line'!$L$2:$L$1501,$AH167)&amp;"")</f>
        <v/>
      </c>
      <c r="N167">
        <f>IF($AH167="","",INDEX('Per Line'!$M$2:$M$1501,$AH167)&amp;"")</f>
        <v/>
      </c>
      <c r="O167">
        <f>IF($AH167="","",INDEX('Per Line'!$P$2:$P$1501,$AH167))</f>
        <v/>
      </c>
      <c r="P167" s="7">
        <f>IF($AH167="","",O167*AD167/100)</f>
        <v/>
      </c>
      <c r="Q167">
        <f>IF($AH167="","",INDEX('Per Line'!$R$2:$R$1501,$AH167)&amp;"")</f>
        <v/>
      </c>
      <c r="R167">
        <f>IF($AH167="","",INDEX('Per Line'!$AB$2:$AB$1501,$AH167)&amp;"")</f>
        <v/>
      </c>
      <c r="S167">
        <f>IF($AH167="","",Settings!$C$8)</f>
        <v/>
      </c>
      <c r="T167" s="7">
        <f>IF($AH167="","",SUMIFS('Per Line'!$Z$2:$Z$1501,'Per Line'!$E$2:$E$1501,$B167,'Per Line'!$AT$2:$AT$1501,1))</f>
        <v/>
      </c>
      <c r="U167" s="7">
        <f>IF($AH167="","",T167*S167)</f>
        <v/>
      </c>
      <c r="V167">
        <f>IF($AH167="","",Settings!$C$7)</f>
        <v/>
      </c>
      <c r="W167" s="7">
        <f>IF($AH167="","",SUMIFS('Per Line'!$Z$2:$Z$1501,'Per Line'!$E$2:$E$1501,$B167,'Per Line'!$AS$2:$AS$1501,0,'Per Line'!$AT$2:$AT$1501,0))</f>
        <v/>
      </c>
      <c r="X167" s="7">
        <f>IF($AH167="","",W167*V167)</f>
        <v/>
      </c>
      <c r="Y167">
        <f>IF($AH167="","",Settings!$C$6)</f>
        <v/>
      </c>
      <c r="Z167" s="7">
        <f>IF($AH167="","",SUMIFS('Per Line'!$Z$2:$Z$1501,'Per Line'!$E$2:$E$1501,$B167,'Per Line'!$AS$2:$AS$1501,1,'Per Line'!$AT$2:$AT$1501,0))</f>
        <v/>
      </c>
      <c r="AA167" s="7">
        <f>IF($AH167="","",Z167*Y167)</f>
        <v/>
      </c>
      <c r="AB167" s="7">
        <f>IF($AH167="","",AA167+X167+U167)</f>
        <v/>
      </c>
      <c r="AC167" s="7">
        <f>IF($AH167="","",AD167-AB167)</f>
        <v/>
      </c>
      <c r="AD167" s="7">
        <f>IF($AH167="","",W167+Z167+T167)</f>
        <v/>
      </c>
      <c r="AE167" s="7">
        <f>IF($AH167="","",AD167-AB167-P167)</f>
        <v/>
      </c>
      <c r="AF167" s="15" t="n"/>
      <c r="AG167" s="7">
        <f>IF($AH167="","",AE167-N(AF167))</f>
        <v/>
      </c>
      <c r="AH167" s="16">
        <f>IF(ROWS($AH$2:$AH167)&lt;=MAX('Per Line'!$AR$2:$AR$1501),MATCH(ROWS($AH$2:$AH167),'Per Line'!$AR$2:$AR$1501,0),"")</f>
        <v/>
      </c>
      <c r="AI167">
        <f>IF($AH167="","",C167&amp;"|"&amp;COUNTIF($C$2:$C167,C167))</f>
        <v/>
      </c>
    </row>
    <row r="168">
      <c r="A168" s="15" t="n"/>
      <c r="B168">
        <f>IF($AH168="","",INDEX('Per Line'!$E$2:$E$1501,$AH168)&amp;"")</f>
        <v/>
      </c>
      <c r="C168">
        <f>IF($AH168="","",IF(INDEX('Per Line'!$AP$2:$AP$1501,$AH168)="NOT MATCH","NOT MATCH","FULL MATCH"))</f>
        <v/>
      </c>
      <c r="D168">
        <f>IF($AH168="","",INDEX('Per Line'!$A$2:$A$1501,$AH168)&amp;"")</f>
        <v/>
      </c>
      <c r="E168">
        <f>IF($AH168="","",INDEX('Per Line'!$B$2:$B$1501,$AH168))</f>
        <v/>
      </c>
      <c r="F168">
        <f>IF($AH168="","",INDEX('Per Line'!$C$2:$C$1501,$AH168)&amp;"")</f>
        <v/>
      </c>
      <c r="G168">
        <f>IF($AH168="","",INDEX('Per Line'!$D$2:$D$1501,$AH168)&amp;"")</f>
        <v/>
      </c>
      <c r="H168">
        <f>IF($AH168="","",INDEX('Per Line'!$F$2:$F$1501,$AH168)&amp;"")</f>
        <v/>
      </c>
      <c r="I168" s="14">
        <f>IF($AH168="","",INDEX('Per Line'!$G$2:$G$1501,$AH168))</f>
        <v/>
      </c>
      <c r="J168">
        <f>IF($AH168="","",INDEX('Per Line'!$H$2:$H$1501,$AH168)&amp;"")</f>
        <v/>
      </c>
      <c r="K168">
        <f>IF($AH168="","",INDEX('Per Line'!$J$2:$J$1501,$AH168)&amp;"")</f>
        <v/>
      </c>
      <c r="L168">
        <f>IF($AH168="","",INDEX('Per Line'!$K$2:$K$1501,$AH168)&amp;"")</f>
        <v/>
      </c>
      <c r="M168">
        <f>IF($AH168="","",INDEX('Per Line'!$L$2:$L$1501,$AH168)&amp;"")</f>
        <v/>
      </c>
      <c r="N168">
        <f>IF($AH168="","",INDEX('Per Line'!$M$2:$M$1501,$AH168)&amp;"")</f>
        <v/>
      </c>
      <c r="O168">
        <f>IF($AH168="","",INDEX('Per Line'!$P$2:$P$1501,$AH168))</f>
        <v/>
      </c>
      <c r="P168" s="7">
        <f>IF($AH168="","",O168*AD168/100)</f>
        <v/>
      </c>
      <c r="Q168">
        <f>IF($AH168="","",INDEX('Per Line'!$R$2:$R$1501,$AH168)&amp;"")</f>
        <v/>
      </c>
      <c r="R168">
        <f>IF($AH168="","",INDEX('Per Line'!$AB$2:$AB$1501,$AH168)&amp;"")</f>
        <v/>
      </c>
      <c r="S168">
        <f>IF($AH168="","",Settings!$C$8)</f>
        <v/>
      </c>
      <c r="T168" s="7">
        <f>IF($AH168="","",SUMIFS('Per Line'!$Z$2:$Z$1501,'Per Line'!$E$2:$E$1501,$B168,'Per Line'!$AT$2:$AT$1501,1))</f>
        <v/>
      </c>
      <c r="U168" s="7">
        <f>IF($AH168="","",T168*S168)</f>
        <v/>
      </c>
      <c r="V168">
        <f>IF($AH168="","",Settings!$C$7)</f>
        <v/>
      </c>
      <c r="W168" s="7">
        <f>IF($AH168="","",SUMIFS('Per Line'!$Z$2:$Z$1501,'Per Line'!$E$2:$E$1501,$B168,'Per Line'!$AS$2:$AS$1501,0,'Per Line'!$AT$2:$AT$1501,0))</f>
        <v/>
      </c>
      <c r="X168" s="7">
        <f>IF($AH168="","",W168*V168)</f>
        <v/>
      </c>
      <c r="Y168">
        <f>IF($AH168="","",Settings!$C$6)</f>
        <v/>
      </c>
      <c r="Z168" s="7">
        <f>IF($AH168="","",SUMIFS('Per Line'!$Z$2:$Z$1501,'Per Line'!$E$2:$E$1501,$B168,'Per Line'!$AS$2:$AS$1501,1,'Per Line'!$AT$2:$AT$1501,0))</f>
        <v/>
      </c>
      <c r="AA168" s="7">
        <f>IF($AH168="","",Z168*Y168)</f>
        <v/>
      </c>
      <c r="AB168" s="7">
        <f>IF($AH168="","",AA168+X168+U168)</f>
        <v/>
      </c>
      <c r="AC168" s="7">
        <f>IF($AH168="","",AD168-AB168)</f>
        <v/>
      </c>
      <c r="AD168" s="7">
        <f>IF($AH168="","",W168+Z168+T168)</f>
        <v/>
      </c>
      <c r="AE168" s="7">
        <f>IF($AH168="","",AD168-AB168-P168)</f>
        <v/>
      </c>
      <c r="AF168" s="15" t="n"/>
      <c r="AG168" s="7">
        <f>IF($AH168="","",AE168-N(AF168))</f>
        <v/>
      </c>
      <c r="AH168" s="16">
        <f>IF(ROWS($AH$2:$AH168)&lt;=MAX('Per Line'!$AR$2:$AR$1501),MATCH(ROWS($AH$2:$AH168),'Per Line'!$AR$2:$AR$1501,0),"")</f>
        <v/>
      </c>
      <c r="AI168">
        <f>IF($AH168="","",C168&amp;"|"&amp;COUNTIF($C$2:$C168,C168))</f>
        <v/>
      </c>
    </row>
    <row r="169">
      <c r="A169" s="15" t="n"/>
      <c r="B169">
        <f>IF($AH169="","",INDEX('Per Line'!$E$2:$E$1501,$AH169)&amp;"")</f>
        <v/>
      </c>
      <c r="C169">
        <f>IF($AH169="","",IF(INDEX('Per Line'!$AP$2:$AP$1501,$AH169)="NOT MATCH","NOT MATCH","FULL MATCH"))</f>
        <v/>
      </c>
      <c r="D169">
        <f>IF($AH169="","",INDEX('Per Line'!$A$2:$A$1501,$AH169)&amp;"")</f>
        <v/>
      </c>
      <c r="E169">
        <f>IF($AH169="","",INDEX('Per Line'!$B$2:$B$1501,$AH169))</f>
        <v/>
      </c>
      <c r="F169">
        <f>IF($AH169="","",INDEX('Per Line'!$C$2:$C$1501,$AH169)&amp;"")</f>
        <v/>
      </c>
      <c r="G169">
        <f>IF($AH169="","",INDEX('Per Line'!$D$2:$D$1501,$AH169)&amp;"")</f>
        <v/>
      </c>
      <c r="H169">
        <f>IF($AH169="","",INDEX('Per Line'!$F$2:$F$1501,$AH169)&amp;"")</f>
        <v/>
      </c>
      <c r="I169" s="14">
        <f>IF($AH169="","",INDEX('Per Line'!$G$2:$G$1501,$AH169))</f>
        <v/>
      </c>
      <c r="J169">
        <f>IF($AH169="","",INDEX('Per Line'!$H$2:$H$1501,$AH169)&amp;"")</f>
        <v/>
      </c>
      <c r="K169">
        <f>IF($AH169="","",INDEX('Per Line'!$J$2:$J$1501,$AH169)&amp;"")</f>
        <v/>
      </c>
      <c r="L169">
        <f>IF($AH169="","",INDEX('Per Line'!$K$2:$K$1501,$AH169)&amp;"")</f>
        <v/>
      </c>
      <c r="M169">
        <f>IF($AH169="","",INDEX('Per Line'!$L$2:$L$1501,$AH169)&amp;"")</f>
        <v/>
      </c>
      <c r="N169">
        <f>IF($AH169="","",INDEX('Per Line'!$M$2:$M$1501,$AH169)&amp;"")</f>
        <v/>
      </c>
      <c r="O169">
        <f>IF($AH169="","",INDEX('Per Line'!$P$2:$P$1501,$AH169))</f>
        <v/>
      </c>
      <c r="P169" s="7">
        <f>IF($AH169="","",O169*AD169/100)</f>
        <v/>
      </c>
      <c r="Q169">
        <f>IF($AH169="","",INDEX('Per Line'!$R$2:$R$1501,$AH169)&amp;"")</f>
        <v/>
      </c>
      <c r="R169">
        <f>IF($AH169="","",INDEX('Per Line'!$AB$2:$AB$1501,$AH169)&amp;"")</f>
        <v/>
      </c>
      <c r="S169">
        <f>IF($AH169="","",Settings!$C$8)</f>
        <v/>
      </c>
      <c r="T169" s="7">
        <f>IF($AH169="","",SUMIFS('Per Line'!$Z$2:$Z$1501,'Per Line'!$E$2:$E$1501,$B169,'Per Line'!$AT$2:$AT$1501,1))</f>
        <v/>
      </c>
      <c r="U169" s="7">
        <f>IF($AH169="","",T169*S169)</f>
        <v/>
      </c>
      <c r="V169">
        <f>IF($AH169="","",Settings!$C$7)</f>
        <v/>
      </c>
      <c r="W169" s="7">
        <f>IF($AH169="","",SUMIFS('Per Line'!$Z$2:$Z$1501,'Per Line'!$E$2:$E$1501,$B169,'Per Line'!$AS$2:$AS$1501,0,'Per Line'!$AT$2:$AT$1501,0))</f>
        <v/>
      </c>
      <c r="X169" s="7">
        <f>IF($AH169="","",W169*V169)</f>
        <v/>
      </c>
      <c r="Y169">
        <f>IF($AH169="","",Settings!$C$6)</f>
        <v/>
      </c>
      <c r="Z169" s="7">
        <f>IF($AH169="","",SUMIFS('Per Line'!$Z$2:$Z$1501,'Per Line'!$E$2:$E$1501,$B169,'Per Line'!$AS$2:$AS$1501,1,'Per Line'!$AT$2:$AT$1501,0))</f>
        <v/>
      </c>
      <c r="AA169" s="7">
        <f>IF($AH169="","",Z169*Y169)</f>
        <v/>
      </c>
      <c r="AB169" s="7">
        <f>IF($AH169="","",AA169+X169+U169)</f>
        <v/>
      </c>
      <c r="AC169" s="7">
        <f>IF($AH169="","",AD169-AB169)</f>
        <v/>
      </c>
      <c r="AD169" s="7">
        <f>IF($AH169="","",W169+Z169+T169)</f>
        <v/>
      </c>
      <c r="AE169" s="7">
        <f>IF($AH169="","",AD169-AB169-P169)</f>
        <v/>
      </c>
      <c r="AF169" s="15" t="n"/>
      <c r="AG169" s="7">
        <f>IF($AH169="","",AE169-N(AF169))</f>
        <v/>
      </c>
      <c r="AH169" s="16">
        <f>IF(ROWS($AH$2:$AH169)&lt;=MAX('Per Line'!$AR$2:$AR$1501),MATCH(ROWS($AH$2:$AH169),'Per Line'!$AR$2:$AR$1501,0),"")</f>
        <v/>
      </c>
      <c r="AI169">
        <f>IF($AH169="","",C169&amp;"|"&amp;COUNTIF($C$2:$C169,C169))</f>
        <v/>
      </c>
    </row>
    <row r="170">
      <c r="A170" s="15" t="n"/>
      <c r="B170">
        <f>IF($AH170="","",INDEX('Per Line'!$E$2:$E$1501,$AH170)&amp;"")</f>
        <v/>
      </c>
      <c r="C170">
        <f>IF($AH170="","",IF(INDEX('Per Line'!$AP$2:$AP$1501,$AH170)="NOT MATCH","NOT MATCH","FULL MATCH"))</f>
        <v/>
      </c>
      <c r="D170">
        <f>IF($AH170="","",INDEX('Per Line'!$A$2:$A$1501,$AH170)&amp;"")</f>
        <v/>
      </c>
      <c r="E170">
        <f>IF($AH170="","",INDEX('Per Line'!$B$2:$B$1501,$AH170))</f>
        <v/>
      </c>
      <c r="F170">
        <f>IF($AH170="","",INDEX('Per Line'!$C$2:$C$1501,$AH170)&amp;"")</f>
        <v/>
      </c>
      <c r="G170">
        <f>IF($AH170="","",INDEX('Per Line'!$D$2:$D$1501,$AH170)&amp;"")</f>
        <v/>
      </c>
      <c r="H170">
        <f>IF($AH170="","",INDEX('Per Line'!$F$2:$F$1501,$AH170)&amp;"")</f>
        <v/>
      </c>
      <c r="I170" s="14">
        <f>IF($AH170="","",INDEX('Per Line'!$G$2:$G$1501,$AH170))</f>
        <v/>
      </c>
      <c r="J170">
        <f>IF($AH170="","",INDEX('Per Line'!$H$2:$H$1501,$AH170)&amp;"")</f>
        <v/>
      </c>
      <c r="K170">
        <f>IF($AH170="","",INDEX('Per Line'!$J$2:$J$1501,$AH170)&amp;"")</f>
        <v/>
      </c>
      <c r="L170">
        <f>IF($AH170="","",INDEX('Per Line'!$K$2:$K$1501,$AH170)&amp;"")</f>
        <v/>
      </c>
      <c r="M170">
        <f>IF($AH170="","",INDEX('Per Line'!$L$2:$L$1501,$AH170)&amp;"")</f>
        <v/>
      </c>
      <c r="N170">
        <f>IF($AH170="","",INDEX('Per Line'!$M$2:$M$1501,$AH170)&amp;"")</f>
        <v/>
      </c>
      <c r="O170">
        <f>IF($AH170="","",INDEX('Per Line'!$P$2:$P$1501,$AH170))</f>
        <v/>
      </c>
      <c r="P170" s="7">
        <f>IF($AH170="","",O170*AD170/100)</f>
        <v/>
      </c>
      <c r="Q170">
        <f>IF($AH170="","",INDEX('Per Line'!$R$2:$R$1501,$AH170)&amp;"")</f>
        <v/>
      </c>
      <c r="R170">
        <f>IF($AH170="","",INDEX('Per Line'!$AB$2:$AB$1501,$AH170)&amp;"")</f>
        <v/>
      </c>
      <c r="S170">
        <f>IF($AH170="","",Settings!$C$8)</f>
        <v/>
      </c>
      <c r="T170" s="7">
        <f>IF($AH170="","",SUMIFS('Per Line'!$Z$2:$Z$1501,'Per Line'!$E$2:$E$1501,$B170,'Per Line'!$AT$2:$AT$1501,1))</f>
        <v/>
      </c>
      <c r="U170" s="7">
        <f>IF($AH170="","",T170*S170)</f>
        <v/>
      </c>
      <c r="V170">
        <f>IF($AH170="","",Settings!$C$7)</f>
        <v/>
      </c>
      <c r="W170" s="7">
        <f>IF($AH170="","",SUMIFS('Per Line'!$Z$2:$Z$1501,'Per Line'!$E$2:$E$1501,$B170,'Per Line'!$AS$2:$AS$1501,0,'Per Line'!$AT$2:$AT$1501,0))</f>
        <v/>
      </c>
      <c r="X170" s="7">
        <f>IF($AH170="","",W170*V170)</f>
        <v/>
      </c>
      <c r="Y170">
        <f>IF($AH170="","",Settings!$C$6)</f>
        <v/>
      </c>
      <c r="Z170" s="7">
        <f>IF($AH170="","",SUMIFS('Per Line'!$Z$2:$Z$1501,'Per Line'!$E$2:$E$1501,$B170,'Per Line'!$AS$2:$AS$1501,1,'Per Line'!$AT$2:$AT$1501,0))</f>
        <v/>
      </c>
      <c r="AA170" s="7">
        <f>IF($AH170="","",Z170*Y170)</f>
        <v/>
      </c>
      <c r="AB170" s="7">
        <f>IF($AH170="","",AA170+X170+U170)</f>
        <v/>
      </c>
      <c r="AC170" s="7">
        <f>IF($AH170="","",AD170-AB170)</f>
        <v/>
      </c>
      <c r="AD170" s="7">
        <f>IF($AH170="","",W170+Z170+T170)</f>
        <v/>
      </c>
      <c r="AE170" s="7">
        <f>IF($AH170="","",AD170-AB170-P170)</f>
        <v/>
      </c>
      <c r="AF170" s="15" t="n"/>
      <c r="AG170" s="7">
        <f>IF($AH170="","",AE170-N(AF170))</f>
        <v/>
      </c>
      <c r="AH170" s="16">
        <f>IF(ROWS($AH$2:$AH170)&lt;=MAX('Per Line'!$AR$2:$AR$1501),MATCH(ROWS($AH$2:$AH170),'Per Line'!$AR$2:$AR$1501,0),"")</f>
        <v/>
      </c>
      <c r="AI170">
        <f>IF($AH170="","",C170&amp;"|"&amp;COUNTIF($C$2:$C170,C170))</f>
        <v/>
      </c>
    </row>
    <row r="171">
      <c r="A171" s="15" t="n"/>
      <c r="B171">
        <f>IF($AH171="","",INDEX('Per Line'!$E$2:$E$1501,$AH171)&amp;"")</f>
        <v/>
      </c>
      <c r="C171">
        <f>IF($AH171="","",IF(INDEX('Per Line'!$AP$2:$AP$1501,$AH171)="NOT MATCH","NOT MATCH","FULL MATCH"))</f>
        <v/>
      </c>
      <c r="D171">
        <f>IF($AH171="","",INDEX('Per Line'!$A$2:$A$1501,$AH171)&amp;"")</f>
        <v/>
      </c>
      <c r="E171">
        <f>IF($AH171="","",INDEX('Per Line'!$B$2:$B$1501,$AH171))</f>
        <v/>
      </c>
      <c r="F171">
        <f>IF($AH171="","",INDEX('Per Line'!$C$2:$C$1501,$AH171)&amp;"")</f>
        <v/>
      </c>
      <c r="G171">
        <f>IF($AH171="","",INDEX('Per Line'!$D$2:$D$1501,$AH171)&amp;"")</f>
        <v/>
      </c>
      <c r="H171">
        <f>IF($AH171="","",INDEX('Per Line'!$F$2:$F$1501,$AH171)&amp;"")</f>
        <v/>
      </c>
      <c r="I171" s="14">
        <f>IF($AH171="","",INDEX('Per Line'!$G$2:$G$1501,$AH171))</f>
        <v/>
      </c>
      <c r="J171">
        <f>IF($AH171="","",INDEX('Per Line'!$H$2:$H$1501,$AH171)&amp;"")</f>
        <v/>
      </c>
      <c r="K171">
        <f>IF($AH171="","",INDEX('Per Line'!$J$2:$J$1501,$AH171)&amp;"")</f>
        <v/>
      </c>
      <c r="L171">
        <f>IF($AH171="","",INDEX('Per Line'!$K$2:$K$1501,$AH171)&amp;"")</f>
        <v/>
      </c>
      <c r="M171">
        <f>IF($AH171="","",INDEX('Per Line'!$L$2:$L$1501,$AH171)&amp;"")</f>
        <v/>
      </c>
      <c r="N171">
        <f>IF($AH171="","",INDEX('Per Line'!$M$2:$M$1501,$AH171)&amp;"")</f>
        <v/>
      </c>
      <c r="O171">
        <f>IF($AH171="","",INDEX('Per Line'!$P$2:$P$1501,$AH171))</f>
        <v/>
      </c>
      <c r="P171" s="7">
        <f>IF($AH171="","",O171*AD171/100)</f>
        <v/>
      </c>
      <c r="Q171">
        <f>IF($AH171="","",INDEX('Per Line'!$R$2:$R$1501,$AH171)&amp;"")</f>
        <v/>
      </c>
      <c r="R171">
        <f>IF($AH171="","",INDEX('Per Line'!$AB$2:$AB$1501,$AH171)&amp;"")</f>
        <v/>
      </c>
      <c r="S171">
        <f>IF($AH171="","",Settings!$C$8)</f>
        <v/>
      </c>
      <c r="T171" s="7">
        <f>IF($AH171="","",SUMIFS('Per Line'!$Z$2:$Z$1501,'Per Line'!$E$2:$E$1501,$B171,'Per Line'!$AT$2:$AT$1501,1))</f>
        <v/>
      </c>
      <c r="U171" s="7">
        <f>IF($AH171="","",T171*S171)</f>
        <v/>
      </c>
      <c r="V171">
        <f>IF($AH171="","",Settings!$C$7)</f>
        <v/>
      </c>
      <c r="W171" s="7">
        <f>IF($AH171="","",SUMIFS('Per Line'!$Z$2:$Z$1501,'Per Line'!$E$2:$E$1501,$B171,'Per Line'!$AS$2:$AS$1501,0,'Per Line'!$AT$2:$AT$1501,0))</f>
        <v/>
      </c>
      <c r="X171" s="7">
        <f>IF($AH171="","",W171*V171)</f>
        <v/>
      </c>
      <c r="Y171">
        <f>IF($AH171="","",Settings!$C$6)</f>
        <v/>
      </c>
      <c r="Z171" s="7">
        <f>IF($AH171="","",SUMIFS('Per Line'!$Z$2:$Z$1501,'Per Line'!$E$2:$E$1501,$B171,'Per Line'!$AS$2:$AS$1501,1,'Per Line'!$AT$2:$AT$1501,0))</f>
        <v/>
      </c>
      <c r="AA171" s="7">
        <f>IF($AH171="","",Z171*Y171)</f>
        <v/>
      </c>
      <c r="AB171" s="7">
        <f>IF($AH171="","",AA171+X171+U171)</f>
        <v/>
      </c>
      <c r="AC171" s="7">
        <f>IF($AH171="","",AD171-AB171)</f>
        <v/>
      </c>
      <c r="AD171" s="7">
        <f>IF($AH171="","",W171+Z171+T171)</f>
        <v/>
      </c>
      <c r="AE171" s="7">
        <f>IF($AH171="","",AD171-AB171-P171)</f>
        <v/>
      </c>
      <c r="AF171" s="15" t="n"/>
      <c r="AG171" s="7">
        <f>IF($AH171="","",AE171-N(AF171))</f>
        <v/>
      </c>
      <c r="AH171" s="16">
        <f>IF(ROWS($AH$2:$AH171)&lt;=MAX('Per Line'!$AR$2:$AR$1501),MATCH(ROWS($AH$2:$AH171),'Per Line'!$AR$2:$AR$1501,0),"")</f>
        <v/>
      </c>
      <c r="AI171">
        <f>IF($AH171="","",C171&amp;"|"&amp;COUNTIF($C$2:$C171,C171))</f>
        <v/>
      </c>
    </row>
    <row r="172">
      <c r="A172" s="15" t="n"/>
      <c r="B172">
        <f>IF($AH172="","",INDEX('Per Line'!$E$2:$E$1501,$AH172)&amp;"")</f>
        <v/>
      </c>
      <c r="C172">
        <f>IF($AH172="","",IF(INDEX('Per Line'!$AP$2:$AP$1501,$AH172)="NOT MATCH","NOT MATCH","FULL MATCH"))</f>
        <v/>
      </c>
      <c r="D172">
        <f>IF($AH172="","",INDEX('Per Line'!$A$2:$A$1501,$AH172)&amp;"")</f>
        <v/>
      </c>
      <c r="E172">
        <f>IF($AH172="","",INDEX('Per Line'!$B$2:$B$1501,$AH172))</f>
        <v/>
      </c>
      <c r="F172">
        <f>IF($AH172="","",INDEX('Per Line'!$C$2:$C$1501,$AH172)&amp;"")</f>
        <v/>
      </c>
      <c r="G172">
        <f>IF($AH172="","",INDEX('Per Line'!$D$2:$D$1501,$AH172)&amp;"")</f>
        <v/>
      </c>
      <c r="H172">
        <f>IF($AH172="","",INDEX('Per Line'!$F$2:$F$1501,$AH172)&amp;"")</f>
        <v/>
      </c>
      <c r="I172" s="14">
        <f>IF($AH172="","",INDEX('Per Line'!$G$2:$G$1501,$AH172))</f>
        <v/>
      </c>
      <c r="J172">
        <f>IF($AH172="","",INDEX('Per Line'!$H$2:$H$1501,$AH172)&amp;"")</f>
        <v/>
      </c>
      <c r="K172">
        <f>IF($AH172="","",INDEX('Per Line'!$J$2:$J$1501,$AH172)&amp;"")</f>
        <v/>
      </c>
      <c r="L172">
        <f>IF($AH172="","",INDEX('Per Line'!$K$2:$K$1501,$AH172)&amp;"")</f>
        <v/>
      </c>
      <c r="M172">
        <f>IF($AH172="","",INDEX('Per Line'!$L$2:$L$1501,$AH172)&amp;"")</f>
        <v/>
      </c>
      <c r="N172">
        <f>IF($AH172="","",INDEX('Per Line'!$M$2:$M$1501,$AH172)&amp;"")</f>
        <v/>
      </c>
      <c r="O172">
        <f>IF($AH172="","",INDEX('Per Line'!$P$2:$P$1501,$AH172))</f>
        <v/>
      </c>
      <c r="P172" s="7">
        <f>IF($AH172="","",O172*AD172/100)</f>
        <v/>
      </c>
      <c r="Q172">
        <f>IF($AH172="","",INDEX('Per Line'!$R$2:$R$1501,$AH172)&amp;"")</f>
        <v/>
      </c>
      <c r="R172">
        <f>IF($AH172="","",INDEX('Per Line'!$AB$2:$AB$1501,$AH172)&amp;"")</f>
        <v/>
      </c>
      <c r="S172">
        <f>IF($AH172="","",Settings!$C$8)</f>
        <v/>
      </c>
      <c r="T172" s="7">
        <f>IF($AH172="","",SUMIFS('Per Line'!$Z$2:$Z$1501,'Per Line'!$E$2:$E$1501,$B172,'Per Line'!$AT$2:$AT$1501,1))</f>
        <v/>
      </c>
      <c r="U172" s="7">
        <f>IF($AH172="","",T172*S172)</f>
        <v/>
      </c>
      <c r="V172">
        <f>IF($AH172="","",Settings!$C$7)</f>
        <v/>
      </c>
      <c r="W172" s="7">
        <f>IF($AH172="","",SUMIFS('Per Line'!$Z$2:$Z$1501,'Per Line'!$E$2:$E$1501,$B172,'Per Line'!$AS$2:$AS$1501,0,'Per Line'!$AT$2:$AT$1501,0))</f>
        <v/>
      </c>
      <c r="X172" s="7">
        <f>IF($AH172="","",W172*V172)</f>
        <v/>
      </c>
      <c r="Y172">
        <f>IF($AH172="","",Settings!$C$6)</f>
        <v/>
      </c>
      <c r="Z172" s="7">
        <f>IF($AH172="","",SUMIFS('Per Line'!$Z$2:$Z$1501,'Per Line'!$E$2:$E$1501,$B172,'Per Line'!$AS$2:$AS$1501,1,'Per Line'!$AT$2:$AT$1501,0))</f>
        <v/>
      </c>
      <c r="AA172" s="7">
        <f>IF($AH172="","",Z172*Y172)</f>
        <v/>
      </c>
      <c r="AB172" s="7">
        <f>IF($AH172="","",AA172+X172+U172)</f>
        <v/>
      </c>
      <c r="AC172" s="7">
        <f>IF($AH172="","",AD172-AB172)</f>
        <v/>
      </c>
      <c r="AD172" s="7">
        <f>IF($AH172="","",W172+Z172+T172)</f>
        <v/>
      </c>
      <c r="AE172" s="7">
        <f>IF($AH172="","",AD172-AB172-P172)</f>
        <v/>
      </c>
      <c r="AF172" s="15" t="n"/>
      <c r="AG172" s="7">
        <f>IF($AH172="","",AE172-N(AF172))</f>
        <v/>
      </c>
      <c r="AH172" s="16">
        <f>IF(ROWS($AH$2:$AH172)&lt;=MAX('Per Line'!$AR$2:$AR$1501),MATCH(ROWS($AH$2:$AH172),'Per Line'!$AR$2:$AR$1501,0),"")</f>
        <v/>
      </c>
      <c r="AI172">
        <f>IF($AH172="","",C172&amp;"|"&amp;COUNTIF($C$2:$C172,C172))</f>
        <v/>
      </c>
    </row>
    <row r="173">
      <c r="A173" s="15" t="n"/>
      <c r="B173">
        <f>IF($AH173="","",INDEX('Per Line'!$E$2:$E$1501,$AH173)&amp;"")</f>
        <v/>
      </c>
      <c r="C173">
        <f>IF($AH173="","",IF(INDEX('Per Line'!$AP$2:$AP$1501,$AH173)="NOT MATCH","NOT MATCH","FULL MATCH"))</f>
        <v/>
      </c>
      <c r="D173">
        <f>IF($AH173="","",INDEX('Per Line'!$A$2:$A$1501,$AH173)&amp;"")</f>
        <v/>
      </c>
      <c r="E173">
        <f>IF($AH173="","",INDEX('Per Line'!$B$2:$B$1501,$AH173))</f>
        <v/>
      </c>
      <c r="F173">
        <f>IF($AH173="","",INDEX('Per Line'!$C$2:$C$1501,$AH173)&amp;"")</f>
        <v/>
      </c>
      <c r="G173">
        <f>IF($AH173="","",INDEX('Per Line'!$D$2:$D$1501,$AH173)&amp;"")</f>
        <v/>
      </c>
      <c r="H173">
        <f>IF($AH173="","",INDEX('Per Line'!$F$2:$F$1501,$AH173)&amp;"")</f>
        <v/>
      </c>
      <c r="I173" s="14">
        <f>IF($AH173="","",INDEX('Per Line'!$G$2:$G$1501,$AH173))</f>
        <v/>
      </c>
      <c r="J173">
        <f>IF($AH173="","",INDEX('Per Line'!$H$2:$H$1501,$AH173)&amp;"")</f>
        <v/>
      </c>
      <c r="K173">
        <f>IF($AH173="","",INDEX('Per Line'!$J$2:$J$1501,$AH173)&amp;"")</f>
        <v/>
      </c>
      <c r="L173">
        <f>IF($AH173="","",INDEX('Per Line'!$K$2:$K$1501,$AH173)&amp;"")</f>
        <v/>
      </c>
      <c r="M173">
        <f>IF($AH173="","",INDEX('Per Line'!$L$2:$L$1501,$AH173)&amp;"")</f>
        <v/>
      </c>
      <c r="N173">
        <f>IF($AH173="","",INDEX('Per Line'!$M$2:$M$1501,$AH173)&amp;"")</f>
        <v/>
      </c>
      <c r="O173">
        <f>IF($AH173="","",INDEX('Per Line'!$P$2:$P$1501,$AH173))</f>
        <v/>
      </c>
      <c r="P173" s="7">
        <f>IF($AH173="","",O173*AD173/100)</f>
        <v/>
      </c>
      <c r="Q173">
        <f>IF($AH173="","",INDEX('Per Line'!$R$2:$R$1501,$AH173)&amp;"")</f>
        <v/>
      </c>
      <c r="R173">
        <f>IF($AH173="","",INDEX('Per Line'!$AB$2:$AB$1501,$AH173)&amp;"")</f>
        <v/>
      </c>
      <c r="S173">
        <f>IF($AH173="","",Settings!$C$8)</f>
        <v/>
      </c>
      <c r="T173" s="7">
        <f>IF($AH173="","",SUMIFS('Per Line'!$Z$2:$Z$1501,'Per Line'!$E$2:$E$1501,$B173,'Per Line'!$AT$2:$AT$1501,1))</f>
        <v/>
      </c>
      <c r="U173" s="7">
        <f>IF($AH173="","",T173*S173)</f>
        <v/>
      </c>
      <c r="V173">
        <f>IF($AH173="","",Settings!$C$7)</f>
        <v/>
      </c>
      <c r="W173" s="7">
        <f>IF($AH173="","",SUMIFS('Per Line'!$Z$2:$Z$1501,'Per Line'!$E$2:$E$1501,$B173,'Per Line'!$AS$2:$AS$1501,0,'Per Line'!$AT$2:$AT$1501,0))</f>
        <v/>
      </c>
      <c r="X173" s="7">
        <f>IF($AH173="","",W173*V173)</f>
        <v/>
      </c>
      <c r="Y173">
        <f>IF($AH173="","",Settings!$C$6)</f>
        <v/>
      </c>
      <c r="Z173" s="7">
        <f>IF($AH173="","",SUMIFS('Per Line'!$Z$2:$Z$1501,'Per Line'!$E$2:$E$1501,$B173,'Per Line'!$AS$2:$AS$1501,1,'Per Line'!$AT$2:$AT$1501,0))</f>
        <v/>
      </c>
      <c r="AA173" s="7">
        <f>IF($AH173="","",Z173*Y173)</f>
        <v/>
      </c>
      <c r="AB173" s="7">
        <f>IF($AH173="","",AA173+X173+U173)</f>
        <v/>
      </c>
      <c r="AC173" s="7">
        <f>IF($AH173="","",AD173-AB173)</f>
        <v/>
      </c>
      <c r="AD173" s="7">
        <f>IF($AH173="","",W173+Z173+T173)</f>
        <v/>
      </c>
      <c r="AE173" s="7">
        <f>IF($AH173="","",AD173-AB173-P173)</f>
        <v/>
      </c>
      <c r="AF173" s="15" t="n"/>
      <c r="AG173" s="7">
        <f>IF($AH173="","",AE173-N(AF173))</f>
        <v/>
      </c>
      <c r="AH173" s="16">
        <f>IF(ROWS($AH$2:$AH173)&lt;=MAX('Per Line'!$AR$2:$AR$1501),MATCH(ROWS($AH$2:$AH173),'Per Line'!$AR$2:$AR$1501,0),"")</f>
        <v/>
      </c>
      <c r="AI173">
        <f>IF($AH173="","",C173&amp;"|"&amp;COUNTIF($C$2:$C173,C173))</f>
        <v/>
      </c>
    </row>
    <row r="174">
      <c r="A174" s="15" t="n"/>
      <c r="B174">
        <f>IF($AH174="","",INDEX('Per Line'!$E$2:$E$1501,$AH174)&amp;"")</f>
        <v/>
      </c>
      <c r="C174">
        <f>IF($AH174="","",IF(INDEX('Per Line'!$AP$2:$AP$1501,$AH174)="NOT MATCH","NOT MATCH","FULL MATCH"))</f>
        <v/>
      </c>
      <c r="D174">
        <f>IF($AH174="","",INDEX('Per Line'!$A$2:$A$1501,$AH174)&amp;"")</f>
        <v/>
      </c>
      <c r="E174">
        <f>IF($AH174="","",INDEX('Per Line'!$B$2:$B$1501,$AH174))</f>
        <v/>
      </c>
      <c r="F174">
        <f>IF($AH174="","",INDEX('Per Line'!$C$2:$C$1501,$AH174)&amp;"")</f>
        <v/>
      </c>
      <c r="G174">
        <f>IF($AH174="","",INDEX('Per Line'!$D$2:$D$1501,$AH174)&amp;"")</f>
        <v/>
      </c>
      <c r="H174">
        <f>IF($AH174="","",INDEX('Per Line'!$F$2:$F$1501,$AH174)&amp;"")</f>
        <v/>
      </c>
      <c r="I174" s="14">
        <f>IF($AH174="","",INDEX('Per Line'!$G$2:$G$1501,$AH174))</f>
        <v/>
      </c>
      <c r="J174">
        <f>IF($AH174="","",INDEX('Per Line'!$H$2:$H$1501,$AH174)&amp;"")</f>
        <v/>
      </c>
      <c r="K174">
        <f>IF($AH174="","",INDEX('Per Line'!$J$2:$J$1501,$AH174)&amp;"")</f>
        <v/>
      </c>
      <c r="L174">
        <f>IF($AH174="","",INDEX('Per Line'!$K$2:$K$1501,$AH174)&amp;"")</f>
        <v/>
      </c>
      <c r="M174">
        <f>IF($AH174="","",INDEX('Per Line'!$L$2:$L$1501,$AH174)&amp;"")</f>
        <v/>
      </c>
      <c r="N174">
        <f>IF($AH174="","",INDEX('Per Line'!$M$2:$M$1501,$AH174)&amp;"")</f>
        <v/>
      </c>
      <c r="O174">
        <f>IF($AH174="","",INDEX('Per Line'!$P$2:$P$1501,$AH174))</f>
        <v/>
      </c>
      <c r="P174" s="7">
        <f>IF($AH174="","",O174*AD174/100)</f>
        <v/>
      </c>
      <c r="Q174">
        <f>IF($AH174="","",INDEX('Per Line'!$R$2:$R$1501,$AH174)&amp;"")</f>
        <v/>
      </c>
      <c r="R174">
        <f>IF($AH174="","",INDEX('Per Line'!$AB$2:$AB$1501,$AH174)&amp;"")</f>
        <v/>
      </c>
      <c r="S174">
        <f>IF($AH174="","",Settings!$C$8)</f>
        <v/>
      </c>
      <c r="T174" s="7">
        <f>IF($AH174="","",SUMIFS('Per Line'!$Z$2:$Z$1501,'Per Line'!$E$2:$E$1501,$B174,'Per Line'!$AT$2:$AT$1501,1))</f>
        <v/>
      </c>
      <c r="U174" s="7">
        <f>IF($AH174="","",T174*S174)</f>
        <v/>
      </c>
      <c r="V174">
        <f>IF($AH174="","",Settings!$C$7)</f>
        <v/>
      </c>
      <c r="W174" s="7">
        <f>IF($AH174="","",SUMIFS('Per Line'!$Z$2:$Z$1501,'Per Line'!$E$2:$E$1501,$B174,'Per Line'!$AS$2:$AS$1501,0,'Per Line'!$AT$2:$AT$1501,0))</f>
        <v/>
      </c>
      <c r="X174" s="7">
        <f>IF($AH174="","",W174*V174)</f>
        <v/>
      </c>
      <c r="Y174">
        <f>IF($AH174="","",Settings!$C$6)</f>
        <v/>
      </c>
      <c r="Z174" s="7">
        <f>IF($AH174="","",SUMIFS('Per Line'!$Z$2:$Z$1501,'Per Line'!$E$2:$E$1501,$B174,'Per Line'!$AS$2:$AS$1501,1,'Per Line'!$AT$2:$AT$1501,0))</f>
        <v/>
      </c>
      <c r="AA174" s="7">
        <f>IF($AH174="","",Z174*Y174)</f>
        <v/>
      </c>
      <c r="AB174" s="7">
        <f>IF($AH174="","",AA174+X174+U174)</f>
        <v/>
      </c>
      <c r="AC174" s="7">
        <f>IF($AH174="","",AD174-AB174)</f>
        <v/>
      </c>
      <c r="AD174" s="7">
        <f>IF($AH174="","",W174+Z174+T174)</f>
        <v/>
      </c>
      <c r="AE174" s="7">
        <f>IF($AH174="","",AD174-AB174-P174)</f>
        <v/>
      </c>
      <c r="AF174" s="15" t="n"/>
      <c r="AG174" s="7">
        <f>IF($AH174="","",AE174-N(AF174))</f>
        <v/>
      </c>
      <c r="AH174" s="16">
        <f>IF(ROWS($AH$2:$AH174)&lt;=MAX('Per Line'!$AR$2:$AR$1501),MATCH(ROWS($AH$2:$AH174),'Per Line'!$AR$2:$AR$1501,0),"")</f>
        <v/>
      </c>
      <c r="AI174">
        <f>IF($AH174="","",C174&amp;"|"&amp;COUNTIF($C$2:$C174,C174))</f>
        <v/>
      </c>
    </row>
    <row r="175">
      <c r="A175" s="15" t="n"/>
      <c r="B175">
        <f>IF($AH175="","",INDEX('Per Line'!$E$2:$E$1501,$AH175)&amp;"")</f>
        <v/>
      </c>
      <c r="C175">
        <f>IF($AH175="","",IF(INDEX('Per Line'!$AP$2:$AP$1501,$AH175)="NOT MATCH","NOT MATCH","FULL MATCH"))</f>
        <v/>
      </c>
      <c r="D175">
        <f>IF($AH175="","",INDEX('Per Line'!$A$2:$A$1501,$AH175)&amp;"")</f>
        <v/>
      </c>
      <c r="E175">
        <f>IF($AH175="","",INDEX('Per Line'!$B$2:$B$1501,$AH175))</f>
        <v/>
      </c>
      <c r="F175">
        <f>IF($AH175="","",INDEX('Per Line'!$C$2:$C$1501,$AH175)&amp;"")</f>
        <v/>
      </c>
      <c r="G175">
        <f>IF($AH175="","",INDEX('Per Line'!$D$2:$D$1501,$AH175)&amp;"")</f>
        <v/>
      </c>
      <c r="H175">
        <f>IF($AH175="","",INDEX('Per Line'!$F$2:$F$1501,$AH175)&amp;"")</f>
        <v/>
      </c>
      <c r="I175" s="14">
        <f>IF($AH175="","",INDEX('Per Line'!$G$2:$G$1501,$AH175))</f>
        <v/>
      </c>
      <c r="J175">
        <f>IF($AH175="","",INDEX('Per Line'!$H$2:$H$1501,$AH175)&amp;"")</f>
        <v/>
      </c>
      <c r="K175">
        <f>IF($AH175="","",INDEX('Per Line'!$J$2:$J$1501,$AH175)&amp;"")</f>
        <v/>
      </c>
      <c r="L175">
        <f>IF($AH175="","",INDEX('Per Line'!$K$2:$K$1501,$AH175)&amp;"")</f>
        <v/>
      </c>
      <c r="M175">
        <f>IF($AH175="","",INDEX('Per Line'!$L$2:$L$1501,$AH175)&amp;"")</f>
        <v/>
      </c>
      <c r="N175">
        <f>IF($AH175="","",INDEX('Per Line'!$M$2:$M$1501,$AH175)&amp;"")</f>
        <v/>
      </c>
      <c r="O175">
        <f>IF($AH175="","",INDEX('Per Line'!$P$2:$P$1501,$AH175))</f>
        <v/>
      </c>
      <c r="P175" s="7">
        <f>IF($AH175="","",O175*AD175/100)</f>
        <v/>
      </c>
      <c r="Q175">
        <f>IF($AH175="","",INDEX('Per Line'!$R$2:$R$1501,$AH175)&amp;"")</f>
        <v/>
      </c>
      <c r="R175">
        <f>IF($AH175="","",INDEX('Per Line'!$AB$2:$AB$1501,$AH175)&amp;"")</f>
        <v/>
      </c>
      <c r="S175">
        <f>IF($AH175="","",Settings!$C$8)</f>
        <v/>
      </c>
      <c r="T175" s="7">
        <f>IF($AH175="","",SUMIFS('Per Line'!$Z$2:$Z$1501,'Per Line'!$E$2:$E$1501,$B175,'Per Line'!$AT$2:$AT$1501,1))</f>
        <v/>
      </c>
      <c r="U175" s="7">
        <f>IF($AH175="","",T175*S175)</f>
        <v/>
      </c>
      <c r="V175">
        <f>IF($AH175="","",Settings!$C$7)</f>
        <v/>
      </c>
      <c r="W175" s="7">
        <f>IF($AH175="","",SUMIFS('Per Line'!$Z$2:$Z$1501,'Per Line'!$E$2:$E$1501,$B175,'Per Line'!$AS$2:$AS$1501,0,'Per Line'!$AT$2:$AT$1501,0))</f>
        <v/>
      </c>
      <c r="X175" s="7">
        <f>IF($AH175="","",W175*V175)</f>
        <v/>
      </c>
      <c r="Y175">
        <f>IF($AH175="","",Settings!$C$6)</f>
        <v/>
      </c>
      <c r="Z175" s="7">
        <f>IF($AH175="","",SUMIFS('Per Line'!$Z$2:$Z$1501,'Per Line'!$E$2:$E$1501,$B175,'Per Line'!$AS$2:$AS$1501,1,'Per Line'!$AT$2:$AT$1501,0))</f>
        <v/>
      </c>
      <c r="AA175" s="7">
        <f>IF($AH175="","",Z175*Y175)</f>
        <v/>
      </c>
      <c r="AB175" s="7">
        <f>IF($AH175="","",AA175+X175+U175)</f>
        <v/>
      </c>
      <c r="AC175" s="7">
        <f>IF($AH175="","",AD175-AB175)</f>
        <v/>
      </c>
      <c r="AD175" s="7">
        <f>IF($AH175="","",W175+Z175+T175)</f>
        <v/>
      </c>
      <c r="AE175" s="7">
        <f>IF($AH175="","",AD175-AB175-P175)</f>
        <v/>
      </c>
      <c r="AF175" s="15" t="n"/>
      <c r="AG175" s="7">
        <f>IF($AH175="","",AE175-N(AF175))</f>
        <v/>
      </c>
      <c r="AH175" s="16">
        <f>IF(ROWS($AH$2:$AH175)&lt;=MAX('Per Line'!$AR$2:$AR$1501),MATCH(ROWS($AH$2:$AH175),'Per Line'!$AR$2:$AR$1501,0),"")</f>
        <v/>
      </c>
      <c r="AI175">
        <f>IF($AH175="","",C175&amp;"|"&amp;COUNTIF($C$2:$C175,C175))</f>
        <v/>
      </c>
    </row>
    <row r="176">
      <c r="A176" s="15" t="n"/>
      <c r="B176">
        <f>IF($AH176="","",INDEX('Per Line'!$E$2:$E$1501,$AH176)&amp;"")</f>
        <v/>
      </c>
      <c r="C176">
        <f>IF($AH176="","",IF(INDEX('Per Line'!$AP$2:$AP$1501,$AH176)="NOT MATCH","NOT MATCH","FULL MATCH"))</f>
        <v/>
      </c>
      <c r="D176">
        <f>IF($AH176="","",INDEX('Per Line'!$A$2:$A$1501,$AH176)&amp;"")</f>
        <v/>
      </c>
      <c r="E176">
        <f>IF($AH176="","",INDEX('Per Line'!$B$2:$B$1501,$AH176))</f>
        <v/>
      </c>
      <c r="F176">
        <f>IF($AH176="","",INDEX('Per Line'!$C$2:$C$1501,$AH176)&amp;"")</f>
        <v/>
      </c>
      <c r="G176">
        <f>IF($AH176="","",INDEX('Per Line'!$D$2:$D$1501,$AH176)&amp;"")</f>
        <v/>
      </c>
      <c r="H176">
        <f>IF($AH176="","",INDEX('Per Line'!$F$2:$F$1501,$AH176)&amp;"")</f>
        <v/>
      </c>
      <c r="I176" s="14">
        <f>IF($AH176="","",INDEX('Per Line'!$G$2:$G$1501,$AH176))</f>
        <v/>
      </c>
      <c r="J176">
        <f>IF($AH176="","",INDEX('Per Line'!$H$2:$H$1501,$AH176)&amp;"")</f>
        <v/>
      </c>
      <c r="K176">
        <f>IF($AH176="","",INDEX('Per Line'!$J$2:$J$1501,$AH176)&amp;"")</f>
        <v/>
      </c>
      <c r="L176">
        <f>IF($AH176="","",INDEX('Per Line'!$K$2:$K$1501,$AH176)&amp;"")</f>
        <v/>
      </c>
      <c r="M176">
        <f>IF($AH176="","",INDEX('Per Line'!$L$2:$L$1501,$AH176)&amp;"")</f>
        <v/>
      </c>
      <c r="N176">
        <f>IF($AH176="","",INDEX('Per Line'!$M$2:$M$1501,$AH176)&amp;"")</f>
        <v/>
      </c>
      <c r="O176">
        <f>IF($AH176="","",INDEX('Per Line'!$P$2:$P$1501,$AH176))</f>
        <v/>
      </c>
      <c r="P176" s="7">
        <f>IF($AH176="","",O176*AD176/100)</f>
        <v/>
      </c>
      <c r="Q176">
        <f>IF($AH176="","",INDEX('Per Line'!$R$2:$R$1501,$AH176)&amp;"")</f>
        <v/>
      </c>
      <c r="R176">
        <f>IF($AH176="","",INDEX('Per Line'!$AB$2:$AB$1501,$AH176)&amp;"")</f>
        <v/>
      </c>
      <c r="S176">
        <f>IF($AH176="","",Settings!$C$8)</f>
        <v/>
      </c>
      <c r="T176" s="7">
        <f>IF($AH176="","",SUMIFS('Per Line'!$Z$2:$Z$1501,'Per Line'!$E$2:$E$1501,$B176,'Per Line'!$AT$2:$AT$1501,1))</f>
        <v/>
      </c>
      <c r="U176" s="7">
        <f>IF($AH176="","",T176*S176)</f>
        <v/>
      </c>
      <c r="V176">
        <f>IF($AH176="","",Settings!$C$7)</f>
        <v/>
      </c>
      <c r="W176" s="7">
        <f>IF($AH176="","",SUMIFS('Per Line'!$Z$2:$Z$1501,'Per Line'!$E$2:$E$1501,$B176,'Per Line'!$AS$2:$AS$1501,0,'Per Line'!$AT$2:$AT$1501,0))</f>
        <v/>
      </c>
      <c r="X176" s="7">
        <f>IF($AH176="","",W176*V176)</f>
        <v/>
      </c>
      <c r="Y176">
        <f>IF($AH176="","",Settings!$C$6)</f>
        <v/>
      </c>
      <c r="Z176" s="7">
        <f>IF($AH176="","",SUMIFS('Per Line'!$Z$2:$Z$1501,'Per Line'!$E$2:$E$1501,$B176,'Per Line'!$AS$2:$AS$1501,1,'Per Line'!$AT$2:$AT$1501,0))</f>
        <v/>
      </c>
      <c r="AA176" s="7">
        <f>IF($AH176="","",Z176*Y176)</f>
        <v/>
      </c>
      <c r="AB176" s="7">
        <f>IF($AH176="","",AA176+X176+U176)</f>
        <v/>
      </c>
      <c r="AC176" s="7">
        <f>IF($AH176="","",AD176-AB176)</f>
        <v/>
      </c>
      <c r="AD176" s="7">
        <f>IF($AH176="","",W176+Z176+T176)</f>
        <v/>
      </c>
      <c r="AE176" s="7">
        <f>IF($AH176="","",AD176-AB176-P176)</f>
        <v/>
      </c>
      <c r="AF176" s="15" t="n"/>
      <c r="AG176" s="7">
        <f>IF($AH176="","",AE176-N(AF176))</f>
        <v/>
      </c>
      <c r="AH176" s="16">
        <f>IF(ROWS($AH$2:$AH176)&lt;=MAX('Per Line'!$AR$2:$AR$1501),MATCH(ROWS($AH$2:$AH176),'Per Line'!$AR$2:$AR$1501,0),"")</f>
        <v/>
      </c>
      <c r="AI176">
        <f>IF($AH176="","",C176&amp;"|"&amp;COUNTIF($C$2:$C176,C176))</f>
        <v/>
      </c>
    </row>
    <row r="177">
      <c r="A177" s="15" t="n"/>
      <c r="B177">
        <f>IF($AH177="","",INDEX('Per Line'!$E$2:$E$1501,$AH177)&amp;"")</f>
        <v/>
      </c>
      <c r="C177">
        <f>IF($AH177="","",IF(INDEX('Per Line'!$AP$2:$AP$1501,$AH177)="NOT MATCH","NOT MATCH","FULL MATCH"))</f>
        <v/>
      </c>
      <c r="D177">
        <f>IF($AH177="","",INDEX('Per Line'!$A$2:$A$1501,$AH177)&amp;"")</f>
        <v/>
      </c>
      <c r="E177">
        <f>IF($AH177="","",INDEX('Per Line'!$B$2:$B$1501,$AH177))</f>
        <v/>
      </c>
      <c r="F177">
        <f>IF($AH177="","",INDEX('Per Line'!$C$2:$C$1501,$AH177)&amp;"")</f>
        <v/>
      </c>
      <c r="G177">
        <f>IF($AH177="","",INDEX('Per Line'!$D$2:$D$1501,$AH177)&amp;"")</f>
        <v/>
      </c>
      <c r="H177">
        <f>IF($AH177="","",INDEX('Per Line'!$F$2:$F$1501,$AH177)&amp;"")</f>
        <v/>
      </c>
      <c r="I177" s="14">
        <f>IF($AH177="","",INDEX('Per Line'!$G$2:$G$1501,$AH177))</f>
        <v/>
      </c>
      <c r="J177">
        <f>IF($AH177="","",INDEX('Per Line'!$H$2:$H$1501,$AH177)&amp;"")</f>
        <v/>
      </c>
      <c r="K177">
        <f>IF($AH177="","",INDEX('Per Line'!$J$2:$J$1501,$AH177)&amp;"")</f>
        <v/>
      </c>
      <c r="L177">
        <f>IF($AH177="","",INDEX('Per Line'!$K$2:$K$1501,$AH177)&amp;"")</f>
        <v/>
      </c>
      <c r="M177">
        <f>IF($AH177="","",INDEX('Per Line'!$L$2:$L$1501,$AH177)&amp;"")</f>
        <v/>
      </c>
      <c r="N177">
        <f>IF($AH177="","",INDEX('Per Line'!$M$2:$M$1501,$AH177)&amp;"")</f>
        <v/>
      </c>
      <c r="O177">
        <f>IF($AH177="","",INDEX('Per Line'!$P$2:$P$1501,$AH177))</f>
        <v/>
      </c>
      <c r="P177" s="7">
        <f>IF($AH177="","",O177*AD177/100)</f>
        <v/>
      </c>
      <c r="Q177">
        <f>IF($AH177="","",INDEX('Per Line'!$R$2:$R$1501,$AH177)&amp;"")</f>
        <v/>
      </c>
      <c r="R177">
        <f>IF($AH177="","",INDEX('Per Line'!$AB$2:$AB$1501,$AH177)&amp;"")</f>
        <v/>
      </c>
      <c r="S177">
        <f>IF($AH177="","",Settings!$C$8)</f>
        <v/>
      </c>
      <c r="T177" s="7">
        <f>IF($AH177="","",SUMIFS('Per Line'!$Z$2:$Z$1501,'Per Line'!$E$2:$E$1501,$B177,'Per Line'!$AT$2:$AT$1501,1))</f>
        <v/>
      </c>
      <c r="U177" s="7">
        <f>IF($AH177="","",T177*S177)</f>
        <v/>
      </c>
      <c r="V177">
        <f>IF($AH177="","",Settings!$C$7)</f>
        <v/>
      </c>
      <c r="W177" s="7">
        <f>IF($AH177="","",SUMIFS('Per Line'!$Z$2:$Z$1501,'Per Line'!$E$2:$E$1501,$B177,'Per Line'!$AS$2:$AS$1501,0,'Per Line'!$AT$2:$AT$1501,0))</f>
        <v/>
      </c>
      <c r="X177" s="7">
        <f>IF($AH177="","",W177*V177)</f>
        <v/>
      </c>
      <c r="Y177">
        <f>IF($AH177="","",Settings!$C$6)</f>
        <v/>
      </c>
      <c r="Z177" s="7">
        <f>IF($AH177="","",SUMIFS('Per Line'!$Z$2:$Z$1501,'Per Line'!$E$2:$E$1501,$B177,'Per Line'!$AS$2:$AS$1501,1,'Per Line'!$AT$2:$AT$1501,0))</f>
        <v/>
      </c>
      <c r="AA177" s="7">
        <f>IF($AH177="","",Z177*Y177)</f>
        <v/>
      </c>
      <c r="AB177" s="7">
        <f>IF($AH177="","",AA177+X177+U177)</f>
        <v/>
      </c>
      <c r="AC177" s="7">
        <f>IF($AH177="","",AD177-AB177)</f>
        <v/>
      </c>
      <c r="AD177" s="7">
        <f>IF($AH177="","",W177+Z177+T177)</f>
        <v/>
      </c>
      <c r="AE177" s="7">
        <f>IF($AH177="","",AD177-AB177-P177)</f>
        <v/>
      </c>
      <c r="AF177" s="15" t="n"/>
      <c r="AG177" s="7">
        <f>IF($AH177="","",AE177-N(AF177))</f>
        <v/>
      </c>
      <c r="AH177" s="16">
        <f>IF(ROWS($AH$2:$AH177)&lt;=MAX('Per Line'!$AR$2:$AR$1501),MATCH(ROWS($AH$2:$AH177),'Per Line'!$AR$2:$AR$1501,0),"")</f>
        <v/>
      </c>
      <c r="AI177">
        <f>IF($AH177="","",C177&amp;"|"&amp;COUNTIF($C$2:$C177,C177))</f>
        <v/>
      </c>
    </row>
    <row r="178">
      <c r="A178" s="15" t="n"/>
      <c r="B178">
        <f>IF($AH178="","",INDEX('Per Line'!$E$2:$E$1501,$AH178)&amp;"")</f>
        <v/>
      </c>
      <c r="C178">
        <f>IF($AH178="","",IF(INDEX('Per Line'!$AP$2:$AP$1501,$AH178)="NOT MATCH","NOT MATCH","FULL MATCH"))</f>
        <v/>
      </c>
      <c r="D178">
        <f>IF($AH178="","",INDEX('Per Line'!$A$2:$A$1501,$AH178)&amp;"")</f>
        <v/>
      </c>
      <c r="E178">
        <f>IF($AH178="","",INDEX('Per Line'!$B$2:$B$1501,$AH178))</f>
        <v/>
      </c>
      <c r="F178">
        <f>IF($AH178="","",INDEX('Per Line'!$C$2:$C$1501,$AH178)&amp;"")</f>
        <v/>
      </c>
      <c r="G178">
        <f>IF($AH178="","",INDEX('Per Line'!$D$2:$D$1501,$AH178)&amp;"")</f>
        <v/>
      </c>
      <c r="H178">
        <f>IF($AH178="","",INDEX('Per Line'!$F$2:$F$1501,$AH178)&amp;"")</f>
        <v/>
      </c>
      <c r="I178" s="14">
        <f>IF($AH178="","",INDEX('Per Line'!$G$2:$G$1501,$AH178))</f>
        <v/>
      </c>
      <c r="J178">
        <f>IF($AH178="","",INDEX('Per Line'!$H$2:$H$1501,$AH178)&amp;"")</f>
        <v/>
      </c>
      <c r="K178">
        <f>IF($AH178="","",INDEX('Per Line'!$J$2:$J$1501,$AH178)&amp;"")</f>
        <v/>
      </c>
      <c r="L178">
        <f>IF($AH178="","",INDEX('Per Line'!$K$2:$K$1501,$AH178)&amp;"")</f>
        <v/>
      </c>
      <c r="M178">
        <f>IF($AH178="","",INDEX('Per Line'!$L$2:$L$1501,$AH178)&amp;"")</f>
        <v/>
      </c>
      <c r="N178">
        <f>IF($AH178="","",INDEX('Per Line'!$M$2:$M$1501,$AH178)&amp;"")</f>
        <v/>
      </c>
      <c r="O178">
        <f>IF($AH178="","",INDEX('Per Line'!$P$2:$P$1501,$AH178))</f>
        <v/>
      </c>
      <c r="P178" s="7">
        <f>IF($AH178="","",O178*AD178/100)</f>
        <v/>
      </c>
      <c r="Q178">
        <f>IF($AH178="","",INDEX('Per Line'!$R$2:$R$1501,$AH178)&amp;"")</f>
        <v/>
      </c>
      <c r="R178">
        <f>IF($AH178="","",INDEX('Per Line'!$AB$2:$AB$1501,$AH178)&amp;"")</f>
        <v/>
      </c>
      <c r="S178">
        <f>IF($AH178="","",Settings!$C$8)</f>
        <v/>
      </c>
      <c r="T178" s="7">
        <f>IF($AH178="","",SUMIFS('Per Line'!$Z$2:$Z$1501,'Per Line'!$E$2:$E$1501,$B178,'Per Line'!$AT$2:$AT$1501,1))</f>
        <v/>
      </c>
      <c r="U178" s="7">
        <f>IF($AH178="","",T178*S178)</f>
        <v/>
      </c>
      <c r="V178">
        <f>IF($AH178="","",Settings!$C$7)</f>
        <v/>
      </c>
      <c r="W178" s="7">
        <f>IF($AH178="","",SUMIFS('Per Line'!$Z$2:$Z$1501,'Per Line'!$E$2:$E$1501,$B178,'Per Line'!$AS$2:$AS$1501,0,'Per Line'!$AT$2:$AT$1501,0))</f>
        <v/>
      </c>
      <c r="X178" s="7">
        <f>IF($AH178="","",W178*V178)</f>
        <v/>
      </c>
      <c r="Y178">
        <f>IF($AH178="","",Settings!$C$6)</f>
        <v/>
      </c>
      <c r="Z178" s="7">
        <f>IF($AH178="","",SUMIFS('Per Line'!$Z$2:$Z$1501,'Per Line'!$E$2:$E$1501,$B178,'Per Line'!$AS$2:$AS$1501,1,'Per Line'!$AT$2:$AT$1501,0))</f>
        <v/>
      </c>
      <c r="AA178" s="7">
        <f>IF($AH178="","",Z178*Y178)</f>
        <v/>
      </c>
      <c r="AB178" s="7">
        <f>IF($AH178="","",AA178+X178+U178)</f>
        <v/>
      </c>
      <c r="AC178" s="7">
        <f>IF($AH178="","",AD178-AB178)</f>
        <v/>
      </c>
      <c r="AD178" s="7">
        <f>IF($AH178="","",W178+Z178+T178)</f>
        <v/>
      </c>
      <c r="AE178" s="7">
        <f>IF($AH178="","",AD178-AB178-P178)</f>
        <v/>
      </c>
      <c r="AF178" s="15" t="n"/>
      <c r="AG178" s="7">
        <f>IF($AH178="","",AE178-N(AF178))</f>
        <v/>
      </c>
      <c r="AH178" s="16">
        <f>IF(ROWS($AH$2:$AH178)&lt;=MAX('Per Line'!$AR$2:$AR$1501),MATCH(ROWS($AH$2:$AH178),'Per Line'!$AR$2:$AR$1501,0),"")</f>
        <v/>
      </c>
      <c r="AI178">
        <f>IF($AH178="","",C178&amp;"|"&amp;COUNTIF($C$2:$C178,C178))</f>
        <v/>
      </c>
    </row>
    <row r="179">
      <c r="A179" s="15" t="n"/>
      <c r="B179">
        <f>IF($AH179="","",INDEX('Per Line'!$E$2:$E$1501,$AH179)&amp;"")</f>
        <v/>
      </c>
      <c r="C179">
        <f>IF($AH179="","",IF(INDEX('Per Line'!$AP$2:$AP$1501,$AH179)="NOT MATCH","NOT MATCH","FULL MATCH"))</f>
        <v/>
      </c>
      <c r="D179">
        <f>IF($AH179="","",INDEX('Per Line'!$A$2:$A$1501,$AH179)&amp;"")</f>
        <v/>
      </c>
      <c r="E179">
        <f>IF($AH179="","",INDEX('Per Line'!$B$2:$B$1501,$AH179))</f>
        <v/>
      </c>
      <c r="F179">
        <f>IF($AH179="","",INDEX('Per Line'!$C$2:$C$1501,$AH179)&amp;"")</f>
        <v/>
      </c>
      <c r="G179">
        <f>IF($AH179="","",INDEX('Per Line'!$D$2:$D$1501,$AH179)&amp;"")</f>
        <v/>
      </c>
      <c r="H179">
        <f>IF($AH179="","",INDEX('Per Line'!$F$2:$F$1501,$AH179)&amp;"")</f>
        <v/>
      </c>
      <c r="I179" s="14">
        <f>IF($AH179="","",INDEX('Per Line'!$G$2:$G$1501,$AH179))</f>
        <v/>
      </c>
      <c r="J179">
        <f>IF($AH179="","",INDEX('Per Line'!$H$2:$H$1501,$AH179)&amp;"")</f>
        <v/>
      </c>
      <c r="K179">
        <f>IF($AH179="","",INDEX('Per Line'!$J$2:$J$1501,$AH179)&amp;"")</f>
        <v/>
      </c>
      <c r="L179">
        <f>IF($AH179="","",INDEX('Per Line'!$K$2:$K$1501,$AH179)&amp;"")</f>
        <v/>
      </c>
      <c r="M179">
        <f>IF($AH179="","",INDEX('Per Line'!$L$2:$L$1501,$AH179)&amp;"")</f>
        <v/>
      </c>
      <c r="N179">
        <f>IF($AH179="","",INDEX('Per Line'!$M$2:$M$1501,$AH179)&amp;"")</f>
        <v/>
      </c>
      <c r="O179">
        <f>IF($AH179="","",INDEX('Per Line'!$P$2:$P$1501,$AH179))</f>
        <v/>
      </c>
      <c r="P179" s="7">
        <f>IF($AH179="","",O179*AD179/100)</f>
        <v/>
      </c>
      <c r="Q179">
        <f>IF($AH179="","",INDEX('Per Line'!$R$2:$R$1501,$AH179)&amp;"")</f>
        <v/>
      </c>
      <c r="R179">
        <f>IF($AH179="","",INDEX('Per Line'!$AB$2:$AB$1501,$AH179)&amp;"")</f>
        <v/>
      </c>
      <c r="S179">
        <f>IF($AH179="","",Settings!$C$8)</f>
        <v/>
      </c>
      <c r="T179" s="7">
        <f>IF($AH179="","",SUMIFS('Per Line'!$Z$2:$Z$1501,'Per Line'!$E$2:$E$1501,$B179,'Per Line'!$AT$2:$AT$1501,1))</f>
        <v/>
      </c>
      <c r="U179" s="7">
        <f>IF($AH179="","",T179*S179)</f>
        <v/>
      </c>
      <c r="V179">
        <f>IF($AH179="","",Settings!$C$7)</f>
        <v/>
      </c>
      <c r="W179" s="7">
        <f>IF($AH179="","",SUMIFS('Per Line'!$Z$2:$Z$1501,'Per Line'!$E$2:$E$1501,$B179,'Per Line'!$AS$2:$AS$1501,0,'Per Line'!$AT$2:$AT$1501,0))</f>
        <v/>
      </c>
      <c r="X179" s="7">
        <f>IF($AH179="","",W179*V179)</f>
        <v/>
      </c>
      <c r="Y179">
        <f>IF($AH179="","",Settings!$C$6)</f>
        <v/>
      </c>
      <c r="Z179" s="7">
        <f>IF($AH179="","",SUMIFS('Per Line'!$Z$2:$Z$1501,'Per Line'!$E$2:$E$1501,$B179,'Per Line'!$AS$2:$AS$1501,1,'Per Line'!$AT$2:$AT$1501,0))</f>
        <v/>
      </c>
      <c r="AA179" s="7">
        <f>IF($AH179="","",Z179*Y179)</f>
        <v/>
      </c>
      <c r="AB179" s="7">
        <f>IF($AH179="","",AA179+X179+U179)</f>
        <v/>
      </c>
      <c r="AC179" s="7">
        <f>IF($AH179="","",AD179-AB179)</f>
        <v/>
      </c>
      <c r="AD179" s="7">
        <f>IF($AH179="","",W179+Z179+T179)</f>
        <v/>
      </c>
      <c r="AE179" s="7">
        <f>IF($AH179="","",AD179-AB179-P179)</f>
        <v/>
      </c>
      <c r="AF179" s="15" t="n"/>
      <c r="AG179" s="7">
        <f>IF($AH179="","",AE179-N(AF179))</f>
        <v/>
      </c>
      <c r="AH179" s="16">
        <f>IF(ROWS($AH$2:$AH179)&lt;=MAX('Per Line'!$AR$2:$AR$1501),MATCH(ROWS($AH$2:$AH179),'Per Line'!$AR$2:$AR$1501,0),"")</f>
        <v/>
      </c>
      <c r="AI179">
        <f>IF($AH179="","",C179&amp;"|"&amp;COUNTIF($C$2:$C179,C179))</f>
        <v/>
      </c>
    </row>
    <row r="180">
      <c r="A180" s="15" t="n"/>
      <c r="B180">
        <f>IF($AH180="","",INDEX('Per Line'!$E$2:$E$1501,$AH180)&amp;"")</f>
        <v/>
      </c>
      <c r="C180">
        <f>IF($AH180="","",IF(INDEX('Per Line'!$AP$2:$AP$1501,$AH180)="NOT MATCH","NOT MATCH","FULL MATCH"))</f>
        <v/>
      </c>
      <c r="D180">
        <f>IF($AH180="","",INDEX('Per Line'!$A$2:$A$1501,$AH180)&amp;"")</f>
        <v/>
      </c>
      <c r="E180">
        <f>IF($AH180="","",INDEX('Per Line'!$B$2:$B$1501,$AH180))</f>
        <v/>
      </c>
      <c r="F180">
        <f>IF($AH180="","",INDEX('Per Line'!$C$2:$C$1501,$AH180)&amp;"")</f>
        <v/>
      </c>
      <c r="G180">
        <f>IF($AH180="","",INDEX('Per Line'!$D$2:$D$1501,$AH180)&amp;"")</f>
        <v/>
      </c>
      <c r="H180">
        <f>IF($AH180="","",INDEX('Per Line'!$F$2:$F$1501,$AH180)&amp;"")</f>
        <v/>
      </c>
      <c r="I180" s="14">
        <f>IF($AH180="","",INDEX('Per Line'!$G$2:$G$1501,$AH180))</f>
        <v/>
      </c>
      <c r="J180">
        <f>IF($AH180="","",INDEX('Per Line'!$H$2:$H$1501,$AH180)&amp;"")</f>
        <v/>
      </c>
      <c r="K180">
        <f>IF($AH180="","",INDEX('Per Line'!$J$2:$J$1501,$AH180)&amp;"")</f>
        <v/>
      </c>
      <c r="L180">
        <f>IF($AH180="","",INDEX('Per Line'!$K$2:$K$1501,$AH180)&amp;"")</f>
        <v/>
      </c>
      <c r="M180">
        <f>IF($AH180="","",INDEX('Per Line'!$L$2:$L$1501,$AH180)&amp;"")</f>
        <v/>
      </c>
      <c r="N180">
        <f>IF($AH180="","",INDEX('Per Line'!$M$2:$M$1501,$AH180)&amp;"")</f>
        <v/>
      </c>
      <c r="O180">
        <f>IF($AH180="","",INDEX('Per Line'!$P$2:$P$1501,$AH180))</f>
        <v/>
      </c>
      <c r="P180" s="7">
        <f>IF($AH180="","",O180*AD180/100)</f>
        <v/>
      </c>
      <c r="Q180">
        <f>IF($AH180="","",INDEX('Per Line'!$R$2:$R$1501,$AH180)&amp;"")</f>
        <v/>
      </c>
      <c r="R180">
        <f>IF($AH180="","",INDEX('Per Line'!$AB$2:$AB$1501,$AH180)&amp;"")</f>
        <v/>
      </c>
      <c r="S180">
        <f>IF($AH180="","",Settings!$C$8)</f>
        <v/>
      </c>
      <c r="T180" s="7">
        <f>IF($AH180="","",SUMIFS('Per Line'!$Z$2:$Z$1501,'Per Line'!$E$2:$E$1501,$B180,'Per Line'!$AT$2:$AT$1501,1))</f>
        <v/>
      </c>
      <c r="U180" s="7">
        <f>IF($AH180="","",T180*S180)</f>
        <v/>
      </c>
      <c r="V180">
        <f>IF($AH180="","",Settings!$C$7)</f>
        <v/>
      </c>
      <c r="W180" s="7">
        <f>IF($AH180="","",SUMIFS('Per Line'!$Z$2:$Z$1501,'Per Line'!$E$2:$E$1501,$B180,'Per Line'!$AS$2:$AS$1501,0,'Per Line'!$AT$2:$AT$1501,0))</f>
        <v/>
      </c>
      <c r="X180" s="7">
        <f>IF($AH180="","",W180*V180)</f>
        <v/>
      </c>
      <c r="Y180">
        <f>IF($AH180="","",Settings!$C$6)</f>
        <v/>
      </c>
      <c r="Z180" s="7">
        <f>IF($AH180="","",SUMIFS('Per Line'!$Z$2:$Z$1501,'Per Line'!$E$2:$E$1501,$B180,'Per Line'!$AS$2:$AS$1501,1,'Per Line'!$AT$2:$AT$1501,0))</f>
        <v/>
      </c>
      <c r="AA180" s="7">
        <f>IF($AH180="","",Z180*Y180)</f>
        <v/>
      </c>
      <c r="AB180" s="7">
        <f>IF($AH180="","",AA180+X180+U180)</f>
        <v/>
      </c>
      <c r="AC180" s="7">
        <f>IF($AH180="","",AD180-AB180)</f>
        <v/>
      </c>
      <c r="AD180" s="7">
        <f>IF($AH180="","",W180+Z180+T180)</f>
        <v/>
      </c>
      <c r="AE180" s="7">
        <f>IF($AH180="","",AD180-AB180-P180)</f>
        <v/>
      </c>
      <c r="AF180" s="15" t="n"/>
      <c r="AG180" s="7">
        <f>IF($AH180="","",AE180-N(AF180))</f>
        <v/>
      </c>
      <c r="AH180" s="16">
        <f>IF(ROWS($AH$2:$AH180)&lt;=MAX('Per Line'!$AR$2:$AR$1501),MATCH(ROWS($AH$2:$AH180),'Per Line'!$AR$2:$AR$1501,0),"")</f>
        <v/>
      </c>
      <c r="AI180">
        <f>IF($AH180="","",C180&amp;"|"&amp;COUNTIF($C$2:$C180,C180))</f>
        <v/>
      </c>
    </row>
    <row r="181">
      <c r="A181" s="15" t="n"/>
      <c r="B181">
        <f>IF($AH181="","",INDEX('Per Line'!$E$2:$E$1501,$AH181)&amp;"")</f>
        <v/>
      </c>
      <c r="C181">
        <f>IF($AH181="","",IF(INDEX('Per Line'!$AP$2:$AP$1501,$AH181)="NOT MATCH","NOT MATCH","FULL MATCH"))</f>
        <v/>
      </c>
      <c r="D181">
        <f>IF($AH181="","",INDEX('Per Line'!$A$2:$A$1501,$AH181)&amp;"")</f>
        <v/>
      </c>
      <c r="E181">
        <f>IF($AH181="","",INDEX('Per Line'!$B$2:$B$1501,$AH181))</f>
        <v/>
      </c>
      <c r="F181">
        <f>IF($AH181="","",INDEX('Per Line'!$C$2:$C$1501,$AH181)&amp;"")</f>
        <v/>
      </c>
      <c r="G181">
        <f>IF($AH181="","",INDEX('Per Line'!$D$2:$D$1501,$AH181)&amp;"")</f>
        <v/>
      </c>
      <c r="H181">
        <f>IF($AH181="","",INDEX('Per Line'!$F$2:$F$1501,$AH181)&amp;"")</f>
        <v/>
      </c>
      <c r="I181" s="14">
        <f>IF($AH181="","",INDEX('Per Line'!$G$2:$G$1501,$AH181))</f>
        <v/>
      </c>
      <c r="J181">
        <f>IF($AH181="","",INDEX('Per Line'!$H$2:$H$1501,$AH181)&amp;"")</f>
        <v/>
      </c>
      <c r="K181">
        <f>IF($AH181="","",INDEX('Per Line'!$J$2:$J$1501,$AH181)&amp;"")</f>
        <v/>
      </c>
      <c r="L181">
        <f>IF($AH181="","",INDEX('Per Line'!$K$2:$K$1501,$AH181)&amp;"")</f>
        <v/>
      </c>
      <c r="M181">
        <f>IF($AH181="","",INDEX('Per Line'!$L$2:$L$1501,$AH181)&amp;"")</f>
        <v/>
      </c>
      <c r="N181">
        <f>IF($AH181="","",INDEX('Per Line'!$M$2:$M$1501,$AH181)&amp;"")</f>
        <v/>
      </c>
      <c r="O181">
        <f>IF($AH181="","",INDEX('Per Line'!$P$2:$P$1501,$AH181))</f>
        <v/>
      </c>
      <c r="P181" s="7">
        <f>IF($AH181="","",O181*AD181/100)</f>
        <v/>
      </c>
      <c r="Q181">
        <f>IF($AH181="","",INDEX('Per Line'!$R$2:$R$1501,$AH181)&amp;"")</f>
        <v/>
      </c>
      <c r="R181">
        <f>IF($AH181="","",INDEX('Per Line'!$AB$2:$AB$1501,$AH181)&amp;"")</f>
        <v/>
      </c>
      <c r="S181">
        <f>IF($AH181="","",Settings!$C$8)</f>
        <v/>
      </c>
      <c r="T181" s="7">
        <f>IF($AH181="","",SUMIFS('Per Line'!$Z$2:$Z$1501,'Per Line'!$E$2:$E$1501,$B181,'Per Line'!$AT$2:$AT$1501,1))</f>
        <v/>
      </c>
      <c r="U181" s="7">
        <f>IF($AH181="","",T181*S181)</f>
        <v/>
      </c>
      <c r="V181">
        <f>IF($AH181="","",Settings!$C$7)</f>
        <v/>
      </c>
      <c r="W181" s="7">
        <f>IF($AH181="","",SUMIFS('Per Line'!$Z$2:$Z$1501,'Per Line'!$E$2:$E$1501,$B181,'Per Line'!$AS$2:$AS$1501,0,'Per Line'!$AT$2:$AT$1501,0))</f>
        <v/>
      </c>
      <c r="X181" s="7">
        <f>IF($AH181="","",W181*V181)</f>
        <v/>
      </c>
      <c r="Y181">
        <f>IF($AH181="","",Settings!$C$6)</f>
        <v/>
      </c>
      <c r="Z181" s="7">
        <f>IF($AH181="","",SUMIFS('Per Line'!$Z$2:$Z$1501,'Per Line'!$E$2:$E$1501,$B181,'Per Line'!$AS$2:$AS$1501,1,'Per Line'!$AT$2:$AT$1501,0))</f>
        <v/>
      </c>
      <c r="AA181" s="7">
        <f>IF($AH181="","",Z181*Y181)</f>
        <v/>
      </c>
      <c r="AB181" s="7">
        <f>IF($AH181="","",AA181+X181+U181)</f>
        <v/>
      </c>
      <c r="AC181" s="7">
        <f>IF($AH181="","",AD181-AB181)</f>
        <v/>
      </c>
      <c r="AD181" s="7">
        <f>IF($AH181="","",W181+Z181+T181)</f>
        <v/>
      </c>
      <c r="AE181" s="7">
        <f>IF($AH181="","",AD181-AB181-P181)</f>
        <v/>
      </c>
      <c r="AF181" s="15" t="n"/>
      <c r="AG181" s="7">
        <f>IF($AH181="","",AE181-N(AF181))</f>
        <v/>
      </c>
      <c r="AH181" s="16">
        <f>IF(ROWS($AH$2:$AH181)&lt;=MAX('Per Line'!$AR$2:$AR$1501),MATCH(ROWS($AH$2:$AH181),'Per Line'!$AR$2:$AR$1501,0),"")</f>
        <v/>
      </c>
      <c r="AI181">
        <f>IF($AH181="","",C181&amp;"|"&amp;COUNTIF($C$2:$C181,C181))</f>
        <v/>
      </c>
    </row>
    <row r="182">
      <c r="A182" s="15" t="n"/>
      <c r="B182">
        <f>IF($AH182="","",INDEX('Per Line'!$E$2:$E$1501,$AH182)&amp;"")</f>
        <v/>
      </c>
      <c r="C182">
        <f>IF($AH182="","",IF(INDEX('Per Line'!$AP$2:$AP$1501,$AH182)="NOT MATCH","NOT MATCH","FULL MATCH"))</f>
        <v/>
      </c>
      <c r="D182">
        <f>IF($AH182="","",INDEX('Per Line'!$A$2:$A$1501,$AH182)&amp;"")</f>
        <v/>
      </c>
      <c r="E182">
        <f>IF($AH182="","",INDEX('Per Line'!$B$2:$B$1501,$AH182))</f>
        <v/>
      </c>
      <c r="F182">
        <f>IF($AH182="","",INDEX('Per Line'!$C$2:$C$1501,$AH182)&amp;"")</f>
        <v/>
      </c>
      <c r="G182">
        <f>IF($AH182="","",INDEX('Per Line'!$D$2:$D$1501,$AH182)&amp;"")</f>
        <v/>
      </c>
      <c r="H182">
        <f>IF($AH182="","",INDEX('Per Line'!$F$2:$F$1501,$AH182)&amp;"")</f>
        <v/>
      </c>
      <c r="I182" s="14">
        <f>IF($AH182="","",INDEX('Per Line'!$G$2:$G$1501,$AH182))</f>
        <v/>
      </c>
      <c r="J182">
        <f>IF($AH182="","",INDEX('Per Line'!$H$2:$H$1501,$AH182)&amp;"")</f>
        <v/>
      </c>
      <c r="K182">
        <f>IF($AH182="","",INDEX('Per Line'!$J$2:$J$1501,$AH182)&amp;"")</f>
        <v/>
      </c>
      <c r="L182">
        <f>IF($AH182="","",INDEX('Per Line'!$K$2:$K$1501,$AH182)&amp;"")</f>
        <v/>
      </c>
      <c r="M182">
        <f>IF($AH182="","",INDEX('Per Line'!$L$2:$L$1501,$AH182)&amp;"")</f>
        <v/>
      </c>
      <c r="N182">
        <f>IF($AH182="","",INDEX('Per Line'!$M$2:$M$1501,$AH182)&amp;"")</f>
        <v/>
      </c>
      <c r="O182">
        <f>IF($AH182="","",INDEX('Per Line'!$P$2:$P$1501,$AH182))</f>
        <v/>
      </c>
      <c r="P182" s="7">
        <f>IF($AH182="","",O182*AD182/100)</f>
        <v/>
      </c>
      <c r="Q182">
        <f>IF($AH182="","",INDEX('Per Line'!$R$2:$R$1501,$AH182)&amp;"")</f>
        <v/>
      </c>
      <c r="R182">
        <f>IF($AH182="","",INDEX('Per Line'!$AB$2:$AB$1501,$AH182)&amp;"")</f>
        <v/>
      </c>
      <c r="S182">
        <f>IF($AH182="","",Settings!$C$8)</f>
        <v/>
      </c>
      <c r="T182" s="7">
        <f>IF($AH182="","",SUMIFS('Per Line'!$Z$2:$Z$1501,'Per Line'!$E$2:$E$1501,$B182,'Per Line'!$AT$2:$AT$1501,1))</f>
        <v/>
      </c>
      <c r="U182" s="7">
        <f>IF($AH182="","",T182*S182)</f>
        <v/>
      </c>
      <c r="V182">
        <f>IF($AH182="","",Settings!$C$7)</f>
        <v/>
      </c>
      <c r="W182" s="7">
        <f>IF($AH182="","",SUMIFS('Per Line'!$Z$2:$Z$1501,'Per Line'!$E$2:$E$1501,$B182,'Per Line'!$AS$2:$AS$1501,0,'Per Line'!$AT$2:$AT$1501,0))</f>
        <v/>
      </c>
      <c r="X182" s="7">
        <f>IF($AH182="","",W182*V182)</f>
        <v/>
      </c>
      <c r="Y182">
        <f>IF($AH182="","",Settings!$C$6)</f>
        <v/>
      </c>
      <c r="Z182" s="7">
        <f>IF($AH182="","",SUMIFS('Per Line'!$Z$2:$Z$1501,'Per Line'!$E$2:$E$1501,$B182,'Per Line'!$AS$2:$AS$1501,1,'Per Line'!$AT$2:$AT$1501,0))</f>
        <v/>
      </c>
      <c r="AA182" s="7">
        <f>IF($AH182="","",Z182*Y182)</f>
        <v/>
      </c>
      <c r="AB182" s="7">
        <f>IF($AH182="","",AA182+X182+U182)</f>
        <v/>
      </c>
      <c r="AC182" s="7">
        <f>IF($AH182="","",AD182-AB182)</f>
        <v/>
      </c>
      <c r="AD182" s="7">
        <f>IF($AH182="","",W182+Z182+T182)</f>
        <v/>
      </c>
      <c r="AE182" s="7">
        <f>IF($AH182="","",AD182-AB182-P182)</f>
        <v/>
      </c>
      <c r="AF182" s="15" t="n"/>
      <c r="AG182" s="7">
        <f>IF($AH182="","",AE182-N(AF182))</f>
        <v/>
      </c>
      <c r="AH182" s="16">
        <f>IF(ROWS($AH$2:$AH182)&lt;=MAX('Per Line'!$AR$2:$AR$1501),MATCH(ROWS($AH$2:$AH182),'Per Line'!$AR$2:$AR$1501,0),"")</f>
        <v/>
      </c>
      <c r="AI182">
        <f>IF($AH182="","",C182&amp;"|"&amp;COUNTIF($C$2:$C182,C182))</f>
        <v/>
      </c>
    </row>
    <row r="183">
      <c r="A183" s="15" t="n"/>
      <c r="B183">
        <f>IF($AH183="","",INDEX('Per Line'!$E$2:$E$1501,$AH183)&amp;"")</f>
        <v/>
      </c>
      <c r="C183">
        <f>IF($AH183="","",IF(INDEX('Per Line'!$AP$2:$AP$1501,$AH183)="NOT MATCH","NOT MATCH","FULL MATCH"))</f>
        <v/>
      </c>
      <c r="D183">
        <f>IF($AH183="","",INDEX('Per Line'!$A$2:$A$1501,$AH183)&amp;"")</f>
        <v/>
      </c>
      <c r="E183">
        <f>IF($AH183="","",INDEX('Per Line'!$B$2:$B$1501,$AH183))</f>
        <v/>
      </c>
      <c r="F183">
        <f>IF($AH183="","",INDEX('Per Line'!$C$2:$C$1501,$AH183)&amp;"")</f>
        <v/>
      </c>
      <c r="G183">
        <f>IF($AH183="","",INDEX('Per Line'!$D$2:$D$1501,$AH183)&amp;"")</f>
        <v/>
      </c>
      <c r="H183">
        <f>IF($AH183="","",INDEX('Per Line'!$F$2:$F$1501,$AH183)&amp;"")</f>
        <v/>
      </c>
      <c r="I183" s="14">
        <f>IF($AH183="","",INDEX('Per Line'!$G$2:$G$1501,$AH183))</f>
        <v/>
      </c>
      <c r="J183">
        <f>IF($AH183="","",INDEX('Per Line'!$H$2:$H$1501,$AH183)&amp;"")</f>
        <v/>
      </c>
      <c r="K183">
        <f>IF($AH183="","",INDEX('Per Line'!$J$2:$J$1501,$AH183)&amp;"")</f>
        <v/>
      </c>
      <c r="L183">
        <f>IF($AH183="","",INDEX('Per Line'!$K$2:$K$1501,$AH183)&amp;"")</f>
        <v/>
      </c>
      <c r="M183">
        <f>IF($AH183="","",INDEX('Per Line'!$L$2:$L$1501,$AH183)&amp;"")</f>
        <v/>
      </c>
      <c r="N183">
        <f>IF($AH183="","",INDEX('Per Line'!$M$2:$M$1501,$AH183)&amp;"")</f>
        <v/>
      </c>
      <c r="O183">
        <f>IF($AH183="","",INDEX('Per Line'!$P$2:$P$1501,$AH183))</f>
        <v/>
      </c>
      <c r="P183" s="7">
        <f>IF($AH183="","",O183*AD183/100)</f>
        <v/>
      </c>
      <c r="Q183">
        <f>IF($AH183="","",INDEX('Per Line'!$R$2:$R$1501,$AH183)&amp;"")</f>
        <v/>
      </c>
      <c r="R183">
        <f>IF($AH183="","",INDEX('Per Line'!$AB$2:$AB$1501,$AH183)&amp;"")</f>
        <v/>
      </c>
      <c r="S183">
        <f>IF($AH183="","",Settings!$C$8)</f>
        <v/>
      </c>
      <c r="T183" s="7">
        <f>IF($AH183="","",SUMIFS('Per Line'!$Z$2:$Z$1501,'Per Line'!$E$2:$E$1501,$B183,'Per Line'!$AT$2:$AT$1501,1))</f>
        <v/>
      </c>
      <c r="U183" s="7">
        <f>IF($AH183="","",T183*S183)</f>
        <v/>
      </c>
      <c r="V183">
        <f>IF($AH183="","",Settings!$C$7)</f>
        <v/>
      </c>
      <c r="W183" s="7">
        <f>IF($AH183="","",SUMIFS('Per Line'!$Z$2:$Z$1501,'Per Line'!$E$2:$E$1501,$B183,'Per Line'!$AS$2:$AS$1501,0,'Per Line'!$AT$2:$AT$1501,0))</f>
        <v/>
      </c>
      <c r="X183" s="7">
        <f>IF($AH183="","",W183*V183)</f>
        <v/>
      </c>
      <c r="Y183">
        <f>IF($AH183="","",Settings!$C$6)</f>
        <v/>
      </c>
      <c r="Z183" s="7">
        <f>IF($AH183="","",SUMIFS('Per Line'!$Z$2:$Z$1501,'Per Line'!$E$2:$E$1501,$B183,'Per Line'!$AS$2:$AS$1501,1,'Per Line'!$AT$2:$AT$1501,0))</f>
        <v/>
      </c>
      <c r="AA183" s="7">
        <f>IF($AH183="","",Z183*Y183)</f>
        <v/>
      </c>
      <c r="AB183" s="7">
        <f>IF($AH183="","",AA183+X183+U183)</f>
        <v/>
      </c>
      <c r="AC183" s="7">
        <f>IF($AH183="","",AD183-AB183)</f>
        <v/>
      </c>
      <c r="AD183" s="7">
        <f>IF($AH183="","",W183+Z183+T183)</f>
        <v/>
      </c>
      <c r="AE183" s="7">
        <f>IF($AH183="","",AD183-AB183-P183)</f>
        <v/>
      </c>
      <c r="AF183" s="15" t="n"/>
      <c r="AG183" s="7">
        <f>IF($AH183="","",AE183-N(AF183))</f>
        <v/>
      </c>
      <c r="AH183" s="16">
        <f>IF(ROWS($AH$2:$AH183)&lt;=MAX('Per Line'!$AR$2:$AR$1501),MATCH(ROWS($AH$2:$AH183),'Per Line'!$AR$2:$AR$1501,0),"")</f>
        <v/>
      </c>
      <c r="AI183">
        <f>IF($AH183="","",C183&amp;"|"&amp;COUNTIF($C$2:$C183,C183))</f>
        <v/>
      </c>
    </row>
    <row r="184">
      <c r="A184" s="15" t="n"/>
      <c r="B184">
        <f>IF($AH184="","",INDEX('Per Line'!$E$2:$E$1501,$AH184)&amp;"")</f>
        <v/>
      </c>
      <c r="C184">
        <f>IF($AH184="","",IF(INDEX('Per Line'!$AP$2:$AP$1501,$AH184)="NOT MATCH","NOT MATCH","FULL MATCH"))</f>
        <v/>
      </c>
      <c r="D184">
        <f>IF($AH184="","",INDEX('Per Line'!$A$2:$A$1501,$AH184)&amp;"")</f>
        <v/>
      </c>
      <c r="E184">
        <f>IF($AH184="","",INDEX('Per Line'!$B$2:$B$1501,$AH184))</f>
        <v/>
      </c>
      <c r="F184">
        <f>IF($AH184="","",INDEX('Per Line'!$C$2:$C$1501,$AH184)&amp;"")</f>
        <v/>
      </c>
      <c r="G184">
        <f>IF($AH184="","",INDEX('Per Line'!$D$2:$D$1501,$AH184)&amp;"")</f>
        <v/>
      </c>
      <c r="H184">
        <f>IF($AH184="","",INDEX('Per Line'!$F$2:$F$1501,$AH184)&amp;"")</f>
        <v/>
      </c>
      <c r="I184" s="14">
        <f>IF($AH184="","",INDEX('Per Line'!$G$2:$G$1501,$AH184))</f>
        <v/>
      </c>
      <c r="J184">
        <f>IF($AH184="","",INDEX('Per Line'!$H$2:$H$1501,$AH184)&amp;"")</f>
        <v/>
      </c>
      <c r="K184">
        <f>IF($AH184="","",INDEX('Per Line'!$J$2:$J$1501,$AH184)&amp;"")</f>
        <v/>
      </c>
      <c r="L184">
        <f>IF($AH184="","",INDEX('Per Line'!$K$2:$K$1501,$AH184)&amp;"")</f>
        <v/>
      </c>
      <c r="M184">
        <f>IF($AH184="","",INDEX('Per Line'!$L$2:$L$1501,$AH184)&amp;"")</f>
        <v/>
      </c>
      <c r="N184">
        <f>IF($AH184="","",INDEX('Per Line'!$M$2:$M$1501,$AH184)&amp;"")</f>
        <v/>
      </c>
      <c r="O184">
        <f>IF($AH184="","",INDEX('Per Line'!$P$2:$P$1501,$AH184))</f>
        <v/>
      </c>
      <c r="P184" s="7">
        <f>IF($AH184="","",O184*AD184/100)</f>
        <v/>
      </c>
      <c r="Q184">
        <f>IF($AH184="","",INDEX('Per Line'!$R$2:$R$1501,$AH184)&amp;"")</f>
        <v/>
      </c>
      <c r="R184">
        <f>IF($AH184="","",INDEX('Per Line'!$AB$2:$AB$1501,$AH184)&amp;"")</f>
        <v/>
      </c>
      <c r="S184">
        <f>IF($AH184="","",Settings!$C$8)</f>
        <v/>
      </c>
      <c r="T184" s="7">
        <f>IF($AH184="","",SUMIFS('Per Line'!$Z$2:$Z$1501,'Per Line'!$E$2:$E$1501,$B184,'Per Line'!$AT$2:$AT$1501,1))</f>
        <v/>
      </c>
      <c r="U184" s="7">
        <f>IF($AH184="","",T184*S184)</f>
        <v/>
      </c>
      <c r="V184">
        <f>IF($AH184="","",Settings!$C$7)</f>
        <v/>
      </c>
      <c r="W184" s="7">
        <f>IF($AH184="","",SUMIFS('Per Line'!$Z$2:$Z$1501,'Per Line'!$E$2:$E$1501,$B184,'Per Line'!$AS$2:$AS$1501,0,'Per Line'!$AT$2:$AT$1501,0))</f>
        <v/>
      </c>
      <c r="X184" s="7">
        <f>IF($AH184="","",W184*V184)</f>
        <v/>
      </c>
      <c r="Y184">
        <f>IF($AH184="","",Settings!$C$6)</f>
        <v/>
      </c>
      <c r="Z184" s="7">
        <f>IF($AH184="","",SUMIFS('Per Line'!$Z$2:$Z$1501,'Per Line'!$E$2:$E$1501,$B184,'Per Line'!$AS$2:$AS$1501,1,'Per Line'!$AT$2:$AT$1501,0))</f>
        <v/>
      </c>
      <c r="AA184" s="7">
        <f>IF($AH184="","",Z184*Y184)</f>
        <v/>
      </c>
      <c r="AB184" s="7">
        <f>IF($AH184="","",AA184+X184+U184)</f>
        <v/>
      </c>
      <c r="AC184" s="7">
        <f>IF($AH184="","",AD184-AB184)</f>
        <v/>
      </c>
      <c r="AD184" s="7">
        <f>IF($AH184="","",W184+Z184+T184)</f>
        <v/>
      </c>
      <c r="AE184" s="7">
        <f>IF($AH184="","",AD184-AB184-P184)</f>
        <v/>
      </c>
      <c r="AF184" s="15" t="n"/>
      <c r="AG184" s="7">
        <f>IF($AH184="","",AE184-N(AF184))</f>
        <v/>
      </c>
      <c r="AH184" s="16">
        <f>IF(ROWS($AH$2:$AH184)&lt;=MAX('Per Line'!$AR$2:$AR$1501),MATCH(ROWS($AH$2:$AH184),'Per Line'!$AR$2:$AR$1501,0),"")</f>
        <v/>
      </c>
      <c r="AI184">
        <f>IF($AH184="","",C184&amp;"|"&amp;COUNTIF($C$2:$C184,C184))</f>
        <v/>
      </c>
    </row>
    <row r="185">
      <c r="A185" s="15" t="n"/>
      <c r="B185">
        <f>IF($AH185="","",INDEX('Per Line'!$E$2:$E$1501,$AH185)&amp;"")</f>
        <v/>
      </c>
      <c r="C185">
        <f>IF($AH185="","",IF(INDEX('Per Line'!$AP$2:$AP$1501,$AH185)="NOT MATCH","NOT MATCH","FULL MATCH"))</f>
        <v/>
      </c>
      <c r="D185">
        <f>IF($AH185="","",INDEX('Per Line'!$A$2:$A$1501,$AH185)&amp;"")</f>
        <v/>
      </c>
      <c r="E185">
        <f>IF($AH185="","",INDEX('Per Line'!$B$2:$B$1501,$AH185))</f>
        <v/>
      </c>
      <c r="F185">
        <f>IF($AH185="","",INDEX('Per Line'!$C$2:$C$1501,$AH185)&amp;"")</f>
        <v/>
      </c>
      <c r="G185">
        <f>IF($AH185="","",INDEX('Per Line'!$D$2:$D$1501,$AH185)&amp;"")</f>
        <v/>
      </c>
      <c r="H185">
        <f>IF($AH185="","",INDEX('Per Line'!$F$2:$F$1501,$AH185)&amp;"")</f>
        <v/>
      </c>
      <c r="I185" s="14">
        <f>IF($AH185="","",INDEX('Per Line'!$G$2:$G$1501,$AH185))</f>
        <v/>
      </c>
      <c r="J185">
        <f>IF($AH185="","",INDEX('Per Line'!$H$2:$H$1501,$AH185)&amp;"")</f>
        <v/>
      </c>
      <c r="K185">
        <f>IF($AH185="","",INDEX('Per Line'!$J$2:$J$1501,$AH185)&amp;"")</f>
        <v/>
      </c>
      <c r="L185">
        <f>IF($AH185="","",INDEX('Per Line'!$K$2:$K$1501,$AH185)&amp;"")</f>
        <v/>
      </c>
      <c r="M185">
        <f>IF($AH185="","",INDEX('Per Line'!$L$2:$L$1501,$AH185)&amp;"")</f>
        <v/>
      </c>
      <c r="N185">
        <f>IF($AH185="","",INDEX('Per Line'!$M$2:$M$1501,$AH185)&amp;"")</f>
        <v/>
      </c>
      <c r="O185">
        <f>IF($AH185="","",INDEX('Per Line'!$P$2:$P$1501,$AH185))</f>
        <v/>
      </c>
      <c r="P185" s="7">
        <f>IF($AH185="","",O185*AD185/100)</f>
        <v/>
      </c>
      <c r="Q185">
        <f>IF($AH185="","",INDEX('Per Line'!$R$2:$R$1501,$AH185)&amp;"")</f>
        <v/>
      </c>
      <c r="R185">
        <f>IF($AH185="","",INDEX('Per Line'!$AB$2:$AB$1501,$AH185)&amp;"")</f>
        <v/>
      </c>
      <c r="S185">
        <f>IF($AH185="","",Settings!$C$8)</f>
        <v/>
      </c>
      <c r="T185" s="7">
        <f>IF($AH185="","",SUMIFS('Per Line'!$Z$2:$Z$1501,'Per Line'!$E$2:$E$1501,$B185,'Per Line'!$AT$2:$AT$1501,1))</f>
        <v/>
      </c>
      <c r="U185" s="7">
        <f>IF($AH185="","",T185*S185)</f>
        <v/>
      </c>
      <c r="V185">
        <f>IF($AH185="","",Settings!$C$7)</f>
        <v/>
      </c>
      <c r="W185" s="7">
        <f>IF($AH185="","",SUMIFS('Per Line'!$Z$2:$Z$1501,'Per Line'!$E$2:$E$1501,$B185,'Per Line'!$AS$2:$AS$1501,0,'Per Line'!$AT$2:$AT$1501,0))</f>
        <v/>
      </c>
      <c r="X185" s="7">
        <f>IF($AH185="","",W185*V185)</f>
        <v/>
      </c>
      <c r="Y185">
        <f>IF($AH185="","",Settings!$C$6)</f>
        <v/>
      </c>
      <c r="Z185" s="7">
        <f>IF($AH185="","",SUMIFS('Per Line'!$Z$2:$Z$1501,'Per Line'!$E$2:$E$1501,$B185,'Per Line'!$AS$2:$AS$1501,1,'Per Line'!$AT$2:$AT$1501,0))</f>
        <v/>
      </c>
      <c r="AA185" s="7">
        <f>IF($AH185="","",Z185*Y185)</f>
        <v/>
      </c>
      <c r="AB185" s="7">
        <f>IF($AH185="","",AA185+X185+U185)</f>
        <v/>
      </c>
      <c r="AC185" s="7">
        <f>IF($AH185="","",AD185-AB185)</f>
        <v/>
      </c>
      <c r="AD185" s="7">
        <f>IF($AH185="","",W185+Z185+T185)</f>
        <v/>
      </c>
      <c r="AE185" s="7">
        <f>IF($AH185="","",AD185-AB185-P185)</f>
        <v/>
      </c>
      <c r="AF185" s="15" t="n"/>
      <c r="AG185" s="7">
        <f>IF($AH185="","",AE185-N(AF185))</f>
        <v/>
      </c>
      <c r="AH185" s="16">
        <f>IF(ROWS($AH$2:$AH185)&lt;=MAX('Per Line'!$AR$2:$AR$1501),MATCH(ROWS($AH$2:$AH185),'Per Line'!$AR$2:$AR$1501,0),"")</f>
        <v/>
      </c>
      <c r="AI185">
        <f>IF($AH185="","",C185&amp;"|"&amp;COUNTIF($C$2:$C185,C185))</f>
        <v/>
      </c>
    </row>
    <row r="186">
      <c r="A186" s="15" t="n"/>
      <c r="B186">
        <f>IF($AH186="","",INDEX('Per Line'!$E$2:$E$1501,$AH186)&amp;"")</f>
        <v/>
      </c>
      <c r="C186">
        <f>IF($AH186="","",IF(INDEX('Per Line'!$AP$2:$AP$1501,$AH186)="NOT MATCH","NOT MATCH","FULL MATCH"))</f>
        <v/>
      </c>
      <c r="D186">
        <f>IF($AH186="","",INDEX('Per Line'!$A$2:$A$1501,$AH186)&amp;"")</f>
        <v/>
      </c>
      <c r="E186">
        <f>IF($AH186="","",INDEX('Per Line'!$B$2:$B$1501,$AH186))</f>
        <v/>
      </c>
      <c r="F186">
        <f>IF($AH186="","",INDEX('Per Line'!$C$2:$C$1501,$AH186)&amp;"")</f>
        <v/>
      </c>
      <c r="G186">
        <f>IF($AH186="","",INDEX('Per Line'!$D$2:$D$1501,$AH186)&amp;"")</f>
        <v/>
      </c>
      <c r="H186">
        <f>IF($AH186="","",INDEX('Per Line'!$F$2:$F$1501,$AH186)&amp;"")</f>
        <v/>
      </c>
      <c r="I186" s="14">
        <f>IF($AH186="","",INDEX('Per Line'!$G$2:$G$1501,$AH186))</f>
        <v/>
      </c>
      <c r="J186">
        <f>IF($AH186="","",INDEX('Per Line'!$H$2:$H$1501,$AH186)&amp;"")</f>
        <v/>
      </c>
      <c r="K186">
        <f>IF($AH186="","",INDEX('Per Line'!$J$2:$J$1501,$AH186)&amp;"")</f>
        <v/>
      </c>
      <c r="L186">
        <f>IF($AH186="","",INDEX('Per Line'!$K$2:$K$1501,$AH186)&amp;"")</f>
        <v/>
      </c>
      <c r="M186">
        <f>IF($AH186="","",INDEX('Per Line'!$L$2:$L$1501,$AH186)&amp;"")</f>
        <v/>
      </c>
      <c r="N186">
        <f>IF($AH186="","",INDEX('Per Line'!$M$2:$M$1501,$AH186)&amp;"")</f>
        <v/>
      </c>
      <c r="O186">
        <f>IF($AH186="","",INDEX('Per Line'!$P$2:$P$1501,$AH186))</f>
        <v/>
      </c>
      <c r="P186" s="7">
        <f>IF($AH186="","",O186*AD186/100)</f>
        <v/>
      </c>
      <c r="Q186">
        <f>IF($AH186="","",INDEX('Per Line'!$R$2:$R$1501,$AH186)&amp;"")</f>
        <v/>
      </c>
      <c r="R186">
        <f>IF($AH186="","",INDEX('Per Line'!$AB$2:$AB$1501,$AH186)&amp;"")</f>
        <v/>
      </c>
      <c r="S186">
        <f>IF($AH186="","",Settings!$C$8)</f>
        <v/>
      </c>
      <c r="T186" s="7">
        <f>IF($AH186="","",SUMIFS('Per Line'!$Z$2:$Z$1501,'Per Line'!$E$2:$E$1501,$B186,'Per Line'!$AT$2:$AT$1501,1))</f>
        <v/>
      </c>
      <c r="U186" s="7">
        <f>IF($AH186="","",T186*S186)</f>
        <v/>
      </c>
      <c r="V186">
        <f>IF($AH186="","",Settings!$C$7)</f>
        <v/>
      </c>
      <c r="W186" s="7">
        <f>IF($AH186="","",SUMIFS('Per Line'!$Z$2:$Z$1501,'Per Line'!$E$2:$E$1501,$B186,'Per Line'!$AS$2:$AS$1501,0,'Per Line'!$AT$2:$AT$1501,0))</f>
        <v/>
      </c>
      <c r="X186" s="7">
        <f>IF($AH186="","",W186*V186)</f>
        <v/>
      </c>
      <c r="Y186">
        <f>IF($AH186="","",Settings!$C$6)</f>
        <v/>
      </c>
      <c r="Z186" s="7">
        <f>IF($AH186="","",SUMIFS('Per Line'!$Z$2:$Z$1501,'Per Line'!$E$2:$E$1501,$B186,'Per Line'!$AS$2:$AS$1501,1,'Per Line'!$AT$2:$AT$1501,0))</f>
        <v/>
      </c>
      <c r="AA186" s="7">
        <f>IF($AH186="","",Z186*Y186)</f>
        <v/>
      </c>
      <c r="AB186" s="7">
        <f>IF($AH186="","",AA186+X186+U186)</f>
        <v/>
      </c>
      <c r="AC186" s="7">
        <f>IF($AH186="","",AD186-AB186)</f>
        <v/>
      </c>
      <c r="AD186" s="7">
        <f>IF($AH186="","",W186+Z186+T186)</f>
        <v/>
      </c>
      <c r="AE186" s="7">
        <f>IF($AH186="","",AD186-AB186-P186)</f>
        <v/>
      </c>
      <c r="AF186" s="15" t="n"/>
      <c r="AG186" s="7">
        <f>IF($AH186="","",AE186-N(AF186))</f>
        <v/>
      </c>
      <c r="AH186" s="16">
        <f>IF(ROWS($AH$2:$AH186)&lt;=MAX('Per Line'!$AR$2:$AR$1501),MATCH(ROWS($AH$2:$AH186),'Per Line'!$AR$2:$AR$1501,0),"")</f>
        <v/>
      </c>
      <c r="AI186">
        <f>IF($AH186="","",C186&amp;"|"&amp;COUNTIF($C$2:$C186,C186))</f>
        <v/>
      </c>
    </row>
    <row r="187">
      <c r="A187" s="15" t="n"/>
      <c r="B187">
        <f>IF($AH187="","",INDEX('Per Line'!$E$2:$E$1501,$AH187)&amp;"")</f>
        <v/>
      </c>
      <c r="C187">
        <f>IF($AH187="","",IF(INDEX('Per Line'!$AP$2:$AP$1501,$AH187)="NOT MATCH","NOT MATCH","FULL MATCH"))</f>
        <v/>
      </c>
      <c r="D187">
        <f>IF($AH187="","",INDEX('Per Line'!$A$2:$A$1501,$AH187)&amp;"")</f>
        <v/>
      </c>
      <c r="E187">
        <f>IF($AH187="","",INDEX('Per Line'!$B$2:$B$1501,$AH187))</f>
        <v/>
      </c>
      <c r="F187">
        <f>IF($AH187="","",INDEX('Per Line'!$C$2:$C$1501,$AH187)&amp;"")</f>
        <v/>
      </c>
      <c r="G187">
        <f>IF($AH187="","",INDEX('Per Line'!$D$2:$D$1501,$AH187)&amp;"")</f>
        <v/>
      </c>
      <c r="H187">
        <f>IF($AH187="","",INDEX('Per Line'!$F$2:$F$1501,$AH187)&amp;"")</f>
        <v/>
      </c>
      <c r="I187" s="14">
        <f>IF($AH187="","",INDEX('Per Line'!$G$2:$G$1501,$AH187))</f>
        <v/>
      </c>
      <c r="J187">
        <f>IF($AH187="","",INDEX('Per Line'!$H$2:$H$1501,$AH187)&amp;"")</f>
        <v/>
      </c>
      <c r="K187">
        <f>IF($AH187="","",INDEX('Per Line'!$J$2:$J$1501,$AH187)&amp;"")</f>
        <v/>
      </c>
      <c r="L187">
        <f>IF($AH187="","",INDEX('Per Line'!$K$2:$K$1501,$AH187)&amp;"")</f>
        <v/>
      </c>
      <c r="M187">
        <f>IF($AH187="","",INDEX('Per Line'!$L$2:$L$1501,$AH187)&amp;"")</f>
        <v/>
      </c>
      <c r="N187">
        <f>IF($AH187="","",INDEX('Per Line'!$M$2:$M$1501,$AH187)&amp;"")</f>
        <v/>
      </c>
      <c r="O187">
        <f>IF($AH187="","",INDEX('Per Line'!$P$2:$P$1501,$AH187))</f>
        <v/>
      </c>
      <c r="P187" s="7">
        <f>IF($AH187="","",O187*AD187/100)</f>
        <v/>
      </c>
      <c r="Q187">
        <f>IF($AH187="","",INDEX('Per Line'!$R$2:$R$1501,$AH187)&amp;"")</f>
        <v/>
      </c>
      <c r="R187">
        <f>IF($AH187="","",INDEX('Per Line'!$AB$2:$AB$1501,$AH187)&amp;"")</f>
        <v/>
      </c>
      <c r="S187">
        <f>IF($AH187="","",Settings!$C$8)</f>
        <v/>
      </c>
      <c r="T187" s="7">
        <f>IF($AH187="","",SUMIFS('Per Line'!$Z$2:$Z$1501,'Per Line'!$E$2:$E$1501,$B187,'Per Line'!$AT$2:$AT$1501,1))</f>
        <v/>
      </c>
      <c r="U187" s="7">
        <f>IF($AH187="","",T187*S187)</f>
        <v/>
      </c>
      <c r="V187">
        <f>IF($AH187="","",Settings!$C$7)</f>
        <v/>
      </c>
      <c r="W187" s="7">
        <f>IF($AH187="","",SUMIFS('Per Line'!$Z$2:$Z$1501,'Per Line'!$E$2:$E$1501,$B187,'Per Line'!$AS$2:$AS$1501,0,'Per Line'!$AT$2:$AT$1501,0))</f>
        <v/>
      </c>
      <c r="X187" s="7">
        <f>IF($AH187="","",W187*V187)</f>
        <v/>
      </c>
      <c r="Y187">
        <f>IF($AH187="","",Settings!$C$6)</f>
        <v/>
      </c>
      <c r="Z187" s="7">
        <f>IF($AH187="","",SUMIFS('Per Line'!$Z$2:$Z$1501,'Per Line'!$E$2:$E$1501,$B187,'Per Line'!$AS$2:$AS$1501,1,'Per Line'!$AT$2:$AT$1501,0))</f>
        <v/>
      </c>
      <c r="AA187" s="7">
        <f>IF($AH187="","",Z187*Y187)</f>
        <v/>
      </c>
      <c r="AB187" s="7">
        <f>IF($AH187="","",AA187+X187+U187)</f>
        <v/>
      </c>
      <c r="AC187" s="7">
        <f>IF($AH187="","",AD187-AB187)</f>
        <v/>
      </c>
      <c r="AD187" s="7">
        <f>IF($AH187="","",W187+Z187+T187)</f>
        <v/>
      </c>
      <c r="AE187" s="7">
        <f>IF($AH187="","",AD187-AB187-P187)</f>
        <v/>
      </c>
      <c r="AF187" s="15" t="n"/>
      <c r="AG187" s="7">
        <f>IF($AH187="","",AE187-N(AF187))</f>
        <v/>
      </c>
      <c r="AH187" s="16">
        <f>IF(ROWS($AH$2:$AH187)&lt;=MAX('Per Line'!$AR$2:$AR$1501),MATCH(ROWS($AH$2:$AH187),'Per Line'!$AR$2:$AR$1501,0),"")</f>
        <v/>
      </c>
      <c r="AI187">
        <f>IF($AH187="","",C187&amp;"|"&amp;COUNTIF($C$2:$C187,C187))</f>
        <v/>
      </c>
    </row>
    <row r="188">
      <c r="A188" s="15" t="n"/>
      <c r="B188">
        <f>IF($AH188="","",INDEX('Per Line'!$E$2:$E$1501,$AH188)&amp;"")</f>
        <v/>
      </c>
      <c r="C188">
        <f>IF($AH188="","",IF(INDEX('Per Line'!$AP$2:$AP$1501,$AH188)="NOT MATCH","NOT MATCH","FULL MATCH"))</f>
        <v/>
      </c>
      <c r="D188">
        <f>IF($AH188="","",INDEX('Per Line'!$A$2:$A$1501,$AH188)&amp;"")</f>
        <v/>
      </c>
      <c r="E188">
        <f>IF($AH188="","",INDEX('Per Line'!$B$2:$B$1501,$AH188))</f>
        <v/>
      </c>
      <c r="F188">
        <f>IF($AH188="","",INDEX('Per Line'!$C$2:$C$1501,$AH188)&amp;"")</f>
        <v/>
      </c>
      <c r="G188">
        <f>IF($AH188="","",INDEX('Per Line'!$D$2:$D$1501,$AH188)&amp;"")</f>
        <v/>
      </c>
      <c r="H188">
        <f>IF($AH188="","",INDEX('Per Line'!$F$2:$F$1501,$AH188)&amp;"")</f>
        <v/>
      </c>
      <c r="I188" s="14">
        <f>IF($AH188="","",INDEX('Per Line'!$G$2:$G$1501,$AH188))</f>
        <v/>
      </c>
      <c r="J188">
        <f>IF($AH188="","",INDEX('Per Line'!$H$2:$H$1501,$AH188)&amp;"")</f>
        <v/>
      </c>
      <c r="K188">
        <f>IF($AH188="","",INDEX('Per Line'!$J$2:$J$1501,$AH188)&amp;"")</f>
        <v/>
      </c>
      <c r="L188">
        <f>IF($AH188="","",INDEX('Per Line'!$K$2:$K$1501,$AH188)&amp;"")</f>
        <v/>
      </c>
      <c r="M188">
        <f>IF($AH188="","",INDEX('Per Line'!$L$2:$L$1501,$AH188)&amp;"")</f>
        <v/>
      </c>
      <c r="N188">
        <f>IF($AH188="","",INDEX('Per Line'!$M$2:$M$1501,$AH188)&amp;"")</f>
        <v/>
      </c>
      <c r="O188">
        <f>IF($AH188="","",INDEX('Per Line'!$P$2:$P$1501,$AH188))</f>
        <v/>
      </c>
      <c r="P188" s="7">
        <f>IF($AH188="","",O188*AD188/100)</f>
        <v/>
      </c>
      <c r="Q188">
        <f>IF($AH188="","",INDEX('Per Line'!$R$2:$R$1501,$AH188)&amp;"")</f>
        <v/>
      </c>
      <c r="R188">
        <f>IF($AH188="","",INDEX('Per Line'!$AB$2:$AB$1501,$AH188)&amp;"")</f>
        <v/>
      </c>
      <c r="S188">
        <f>IF($AH188="","",Settings!$C$8)</f>
        <v/>
      </c>
      <c r="T188" s="7">
        <f>IF($AH188="","",SUMIFS('Per Line'!$Z$2:$Z$1501,'Per Line'!$E$2:$E$1501,$B188,'Per Line'!$AT$2:$AT$1501,1))</f>
        <v/>
      </c>
      <c r="U188" s="7">
        <f>IF($AH188="","",T188*S188)</f>
        <v/>
      </c>
      <c r="V188">
        <f>IF($AH188="","",Settings!$C$7)</f>
        <v/>
      </c>
      <c r="W188" s="7">
        <f>IF($AH188="","",SUMIFS('Per Line'!$Z$2:$Z$1501,'Per Line'!$E$2:$E$1501,$B188,'Per Line'!$AS$2:$AS$1501,0,'Per Line'!$AT$2:$AT$1501,0))</f>
        <v/>
      </c>
      <c r="X188" s="7">
        <f>IF($AH188="","",W188*V188)</f>
        <v/>
      </c>
      <c r="Y188">
        <f>IF($AH188="","",Settings!$C$6)</f>
        <v/>
      </c>
      <c r="Z188" s="7">
        <f>IF($AH188="","",SUMIFS('Per Line'!$Z$2:$Z$1501,'Per Line'!$E$2:$E$1501,$B188,'Per Line'!$AS$2:$AS$1501,1,'Per Line'!$AT$2:$AT$1501,0))</f>
        <v/>
      </c>
      <c r="AA188" s="7">
        <f>IF($AH188="","",Z188*Y188)</f>
        <v/>
      </c>
      <c r="AB188" s="7">
        <f>IF($AH188="","",AA188+X188+U188)</f>
        <v/>
      </c>
      <c r="AC188" s="7">
        <f>IF($AH188="","",AD188-AB188)</f>
        <v/>
      </c>
      <c r="AD188" s="7">
        <f>IF($AH188="","",W188+Z188+T188)</f>
        <v/>
      </c>
      <c r="AE188" s="7">
        <f>IF($AH188="","",AD188-AB188-P188)</f>
        <v/>
      </c>
      <c r="AF188" s="15" t="n"/>
      <c r="AG188" s="7">
        <f>IF($AH188="","",AE188-N(AF188))</f>
        <v/>
      </c>
      <c r="AH188" s="16">
        <f>IF(ROWS($AH$2:$AH188)&lt;=MAX('Per Line'!$AR$2:$AR$1501),MATCH(ROWS($AH$2:$AH188),'Per Line'!$AR$2:$AR$1501,0),"")</f>
        <v/>
      </c>
      <c r="AI188">
        <f>IF($AH188="","",C188&amp;"|"&amp;COUNTIF($C$2:$C188,C188))</f>
        <v/>
      </c>
    </row>
    <row r="189">
      <c r="A189" s="15" t="n"/>
      <c r="B189">
        <f>IF($AH189="","",INDEX('Per Line'!$E$2:$E$1501,$AH189)&amp;"")</f>
        <v/>
      </c>
      <c r="C189">
        <f>IF($AH189="","",IF(INDEX('Per Line'!$AP$2:$AP$1501,$AH189)="NOT MATCH","NOT MATCH","FULL MATCH"))</f>
        <v/>
      </c>
      <c r="D189">
        <f>IF($AH189="","",INDEX('Per Line'!$A$2:$A$1501,$AH189)&amp;"")</f>
        <v/>
      </c>
      <c r="E189">
        <f>IF($AH189="","",INDEX('Per Line'!$B$2:$B$1501,$AH189))</f>
        <v/>
      </c>
      <c r="F189">
        <f>IF($AH189="","",INDEX('Per Line'!$C$2:$C$1501,$AH189)&amp;"")</f>
        <v/>
      </c>
      <c r="G189">
        <f>IF($AH189="","",INDEX('Per Line'!$D$2:$D$1501,$AH189)&amp;"")</f>
        <v/>
      </c>
      <c r="H189">
        <f>IF($AH189="","",INDEX('Per Line'!$F$2:$F$1501,$AH189)&amp;"")</f>
        <v/>
      </c>
      <c r="I189" s="14">
        <f>IF($AH189="","",INDEX('Per Line'!$G$2:$G$1501,$AH189))</f>
        <v/>
      </c>
      <c r="J189">
        <f>IF($AH189="","",INDEX('Per Line'!$H$2:$H$1501,$AH189)&amp;"")</f>
        <v/>
      </c>
      <c r="K189">
        <f>IF($AH189="","",INDEX('Per Line'!$J$2:$J$1501,$AH189)&amp;"")</f>
        <v/>
      </c>
      <c r="L189">
        <f>IF($AH189="","",INDEX('Per Line'!$K$2:$K$1501,$AH189)&amp;"")</f>
        <v/>
      </c>
      <c r="M189">
        <f>IF($AH189="","",INDEX('Per Line'!$L$2:$L$1501,$AH189)&amp;"")</f>
        <v/>
      </c>
      <c r="N189">
        <f>IF($AH189="","",INDEX('Per Line'!$M$2:$M$1501,$AH189)&amp;"")</f>
        <v/>
      </c>
      <c r="O189">
        <f>IF($AH189="","",INDEX('Per Line'!$P$2:$P$1501,$AH189))</f>
        <v/>
      </c>
      <c r="P189" s="7">
        <f>IF($AH189="","",O189*AD189/100)</f>
        <v/>
      </c>
      <c r="Q189">
        <f>IF($AH189="","",INDEX('Per Line'!$R$2:$R$1501,$AH189)&amp;"")</f>
        <v/>
      </c>
      <c r="R189">
        <f>IF($AH189="","",INDEX('Per Line'!$AB$2:$AB$1501,$AH189)&amp;"")</f>
        <v/>
      </c>
      <c r="S189">
        <f>IF($AH189="","",Settings!$C$8)</f>
        <v/>
      </c>
      <c r="T189" s="7">
        <f>IF($AH189="","",SUMIFS('Per Line'!$Z$2:$Z$1501,'Per Line'!$E$2:$E$1501,$B189,'Per Line'!$AT$2:$AT$1501,1))</f>
        <v/>
      </c>
      <c r="U189" s="7">
        <f>IF($AH189="","",T189*S189)</f>
        <v/>
      </c>
      <c r="V189">
        <f>IF($AH189="","",Settings!$C$7)</f>
        <v/>
      </c>
      <c r="W189" s="7">
        <f>IF($AH189="","",SUMIFS('Per Line'!$Z$2:$Z$1501,'Per Line'!$E$2:$E$1501,$B189,'Per Line'!$AS$2:$AS$1501,0,'Per Line'!$AT$2:$AT$1501,0))</f>
        <v/>
      </c>
      <c r="X189" s="7">
        <f>IF($AH189="","",W189*V189)</f>
        <v/>
      </c>
      <c r="Y189">
        <f>IF($AH189="","",Settings!$C$6)</f>
        <v/>
      </c>
      <c r="Z189" s="7">
        <f>IF($AH189="","",SUMIFS('Per Line'!$Z$2:$Z$1501,'Per Line'!$E$2:$E$1501,$B189,'Per Line'!$AS$2:$AS$1501,1,'Per Line'!$AT$2:$AT$1501,0))</f>
        <v/>
      </c>
      <c r="AA189" s="7">
        <f>IF($AH189="","",Z189*Y189)</f>
        <v/>
      </c>
      <c r="AB189" s="7">
        <f>IF($AH189="","",AA189+X189+U189)</f>
        <v/>
      </c>
      <c r="AC189" s="7">
        <f>IF($AH189="","",AD189-AB189)</f>
        <v/>
      </c>
      <c r="AD189" s="7">
        <f>IF($AH189="","",W189+Z189+T189)</f>
        <v/>
      </c>
      <c r="AE189" s="7">
        <f>IF($AH189="","",AD189-AB189-P189)</f>
        <v/>
      </c>
      <c r="AF189" s="15" t="n"/>
      <c r="AG189" s="7">
        <f>IF($AH189="","",AE189-N(AF189))</f>
        <v/>
      </c>
      <c r="AH189" s="16">
        <f>IF(ROWS($AH$2:$AH189)&lt;=MAX('Per Line'!$AR$2:$AR$1501),MATCH(ROWS($AH$2:$AH189),'Per Line'!$AR$2:$AR$1501,0),"")</f>
        <v/>
      </c>
      <c r="AI189">
        <f>IF($AH189="","",C189&amp;"|"&amp;COUNTIF($C$2:$C189,C189))</f>
        <v/>
      </c>
    </row>
    <row r="190">
      <c r="A190" s="15" t="n"/>
      <c r="B190">
        <f>IF($AH190="","",INDEX('Per Line'!$E$2:$E$1501,$AH190)&amp;"")</f>
        <v/>
      </c>
      <c r="C190">
        <f>IF($AH190="","",IF(INDEX('Per Line'!$AP$2:$AP$1501,$AH190)="NOT MATCH","NOT MATCH","FULL MATCH"))</f>
        <v/>
      </c>
      <c r="D190">
        <f>IF($AH190="","",INDEX('Per Line'!$A$2:$A$1501,$AH190)&amp;"")</f>
        <v/>
      </c>
      <c r="E190">
        <f>IF($AH190="","",INDEX('Per Line'!$B$2:$B$1501,$AH190))</f>
        <v/>
      </c>
      <c r="F190">
        <f>IF($AH190="","",INDEX('Per Line'!$C$2:$C$1501,$AH190)&amp;"")</f>
        <v/>
      </c>
      <c r="G190">
        <f>IF($AH190="","",INDEX('Per Line'!$D$2:$D$1501,$AH190)&amp;"")</f>
        <v/>
      </c>
      <c r="H190">
        <f>IF($AH190="","",INDEX('Per Line'!$F$2:$F$1501,$AH190)&amp;"")</f>
        <v/>
      </c>
      <c r="I190" s="14">
        <f>IF($AH190="","",INDEX('Per Line'!$G$2:$G$1501,$AH190))</f>
        <v/>
      </c>
      <c r="J190">
        <f>IF($AH190="","",INDEX('Per Line'!$H$2:$H$1501,$AH190)&amp;"")</f>
        <v/>
      </c>
      <c r="K190">
        <f>IF($AH190="","",INDEX('Per Line'!$J$2:$J$1501,$AH190)&amp;"")</f>
        <v/>
      </c>
      <c r="L190">
        <f>IF($AH190="","",INDEX('Per Line'!$K$2:$K$1501,$AH190)&amp;"")</f>
        <v/>
      </c>
      <c r="M190">
        <f>IF($AH190="","",INDEX('Per Line'!$L$2:$L$1501,$AH190)&amp;"")</f>
        <v/>
      </c>
      <c r="N190">
        <f>IF($AH190="","",INDEX('Per Line'!$M$2:$M$1501,$AH190)&amp;"")</f>
        <v/>
      </c>
      <c r="O190">
        <f>IF($AH190="","",INDEX('Per Line'!$P$2:$P$1501,$AH190))</f>
        <v/>
      </c>
      <c r="P190" s="7">
        <f>IF($AH190="","",O190*AD190/100)</f>
        <v/>
      </c>
      <c r="Q190">
        <f>IF($AH190="","",INDEX('Per Line'!$R$2:$R$1501,$AH190)&amp;"")</f>
        <v/>
      </c>
      <c r="R190">
        <f>IF($AH190="","",INDEX('Per Line'!$AB$2:$AB$1501,$AH190)&amp;"")</f>
        <v/>
      </c>
      <c r="S190">
        <f>IF($AH190="","",Settings!$C$8)</f>
        <v/>
      </c>
      <c r="T190" s="7">
        <f>IF($AH190="","",SUMIFS('Per Line'!$Z$2:$Z$1501,'Per Line'!$E$2:$E$1501,$B190,'Per Line'!$AT$2:$AT$1501,1))</f>
        <v/>
      </c>
      <c r="U190" s="7">
        <f>IF($AH190="","",T190*S190)</f>
        <v/>
      </c>
      <c r="V190">
        <f>IF($AH190="","",Settings!$C$7)</f>
        <v/>
      </c>
      <c r="W190" s="7">
        <f>IF($AH190="","",SUMIFS('Per Line'!$Z$2:$Z$1501,'Per Line'!$E$2:$E$1501,$B190,'Per Line'!$AS$2:$AS$1501,0,'Per Line'!$AT$2:$AT$1501,0))</f>
        <v/>
      </c>
      <c r="X190" s="7">
        <f>IF($AH190="","",W190*V190)</f>
        <v/>
      </c>
      <c r="Y190">
        <f>IF($AH190="","",Settings!$C$6)</f>
        <v/>
      </c>
      <c r="Z190" s="7">
        <f>IF($AH190="","",SUMIFS('Per Line'!$Z$2:$Z$1501,'Per Line'!$E$2:$E$1501,$B190,'Per Line'!$AS$2:$AS$1501,1,'Per Line'!$AT$2:$AT$1501,0))</f>
        <v/>
      </c>
      <c r="AA190" s="7">
        <f>IF($AH190="","",Z190*Y190)</f>
        <v/>
      </c>
      <c r="AB190" s="7">
        <f>IF($AH190="","",AA190+X190+U190)</f>
        <v/>
      </c>
      <c r="AC190" s="7">
        <f>IF($AH190="","",AD190-AB190)</f>
        <v/>
      </c>
      <c r="AD190" s="7">
        <f>IF($AH190="","",W190+Z190+T190)</f>
        <v/>
      </c>
      <c r="AE190" s="7">
        <f>IF($AH190="","",AD190-AB190-P190)</f>
        <v/>
      </c>
      <c r="AF190" s="15" t="n"/>
      <c r="AG190" s="7">
        <f>IF($AH190="","",AE190-N(AF190))</f>
        <v/>
      </c>
      <c r="AH190" s="16">
        <f>IF(ROWS($AH$2:$AH190)&lt;=MAX('Per Line'!$AR$2:$AR$1501),MATCH(ROWS($AH$2:$AH190),'Per Line'!$AR$2:$AR$1501,0),"")</f>
        <v/>
      </c>
      <c r="AI190">
        <f>IF($AH190="","",C190&amp;"|"&amp;COUNTIF($C$2:$C190,C190))</f>
        <v/>
      </c>
    </row>
    <row r="191">
      <c r="A191" s="15" t="n"/>
      <c r="B191">
        <f>IF($AH191="","",INDEX('Per Line'!$E$2:$E$1501,$AH191)&amp;"")</f>
        <v/>
      </c>
      <c r="C191">
        <f>IF($AH191="","",IF(INDEX('Per Line'!$AP$2:$AP$1501,$AH191)="NOT MATCH","NOT MATCH","FULL MATCH"))</f>
        <v/>
      </c>
      <c r="D191">
        <f>IF($AH191="","",INDEX('Per Line'!$A$2:$A$1501,$AH191)&amp;"")</f>
        <v/>
      </c>
      <c r="E191">
        <f>IF($AH191="","",INDEX('Per Line'!$B$2:$B$1501,$AH191))</f>
        <v/>
      </c>
      <c r="F191">
        <f>IF($AH191="","",INDEX('Per Line'!$C$2:$C$1501,$AH191)&amp;"")</f>
        <v/>
      </c>
      <c r="G191">
        <f>IF($AH191="","",INDEX('Per Line'!$D$2:$D$1501,$AH191)&amp;"")</f>
        <v/>
      </c>
      <c r="H191">
        <f>IF($AH191="","",INDEX('Per Line'!$F$2:$F$1501,$AH191)&amp;"")</f>
        <v/>
      </c>
      <c r="I191" s="14">
        <f>IF($AH191="","",INDEX('Per Line'!$G$2:$G$1501,$AH191))</f>
        <v/>
      </c>
      <c r="J191">
        <f>IF($AH191="","",INDEX('Per Line'!$H$2:$H$1501,$AH191)&amp;"")</f>
        <v/>
      </c>
      <c r="K191">
        <f>IF($AH191="","",INDEX('Per Line'!$J$2:$J$1501,$AH191)&amp;"")</f>
        <v/>
      </c>
      <c r="L191">
        <f>IF($AH191="","",INDEX('Per Line'!$K$2:$K$1501,$AH191)&amp;"")</f>
        <v/>
      </c>
      <c r="M191">
        <f>IF($AH191="","",INDEX('Per Line'!$L$2:$L$1501,$AH191)&amp;"")</f>
        <v/>
      </c>
      <c r="N191">
        <f>IF($AH191="","",INDEX('Per Line'!$M$2:$M$1501,$AH191)&amp;"")</f>
        <v/>
      </c>
      <c r="O191">
        <f>IF($AH191="","",INDEX('Per Line'!$P$2:$P$1501,$AH191))</f>
        <v/>
      </c>
      <c r="P191" s="7">
        <f>IF($AH191="","",O191*AD191/100)</f>
        <v/>
      </c>
      <c r="Q191">
        <f>IF($AH191="","",INDEX('Per Line'!$R$2:$R$1501,$AH191)&amp;"")</f>
        <v/>
      </c>
      <c r="R191">
        <f>IF($AH191="","",INDEX('Per Line'!$AB$2:$AB$1501,$AH191)&amp;"")</f>
        <v/>
      </c>
      <c r="S191">
        <f>IF($AH191="","",Settings!$C$8)</f>
        <v/>
      </c>
      <c r="T191" s="7">
        <f>IF($AH191="","",SUMIFS('Per Line'!$Z$2:$Z$1501,'Per Line'!$E$2:$E$1501,$B191,'Per Line'!$AT$2:$AT$1501,1))</f>
        <v/>
      </c>
      <c r="U191" s="7">
        <f>IF($AH191="","",T191*S191)</f>
        <v/>
      </c>
      <c r="V191">
        <f>IF($AH191="","",Settings!$C$7)</f>
        <v/>
      </c>
      <c r="W191" s="7">
        <f>IF($AH191="","",SUMIFS('Per Line'!$Z$2:$Z$1501,'Per Line'!$E$2:$E$1501,$B191,'Per Line'!$AS$2:$AS$1501,0,'Per Line'!$AT$2:$AT$1501,0))</f>
        <v/>
      </c>
      <c r="X191" s="7">
        <f>IF($AH191="","",W191*V191)</f>
        <v/>
      </c>
      <c r="Y191">
        <f>IF($AH191="","",Settings!$C$6)</f>
        <v/>
      </c>
      <c r="Z191" s="7">
        <f>IF($AH191="","",SUMIFS('Per Line'!$Z$2:$Z$1501,'Per Line'!$E$2:$E$1501,$B191,'Per Line'!$AS$2:$AS$1501,1,'Per Line'!$AT$2:$AT$1501,0))</f>
        <v/>
      </c>
      <c r="AA191" s="7">
        <f>IF($AH191="","",Z191*Y191)</f>
        <v/>
      </c>
      <c r="AB191" s="7">
        <f>IF($AH191="","",AA191+X191+U191)</f>
        <v/>
      </c>
      <c r="AC191" s="7">
        <f>IF($AH191="","",AD191-AB191)</f>
        <v/>
      </c>
      <c r="AD191" s="7">
        <f>IF($AH191="","",W191+Z191+T191)</f>
        <v/>
      </c>
      <c r="AE191" s="7">
        <f>IF($AH191="","",AD191-AB191-P191)</f>
        <v/>
      </c>
      <c r="AF191" s="15" t="n"/>
      <c r="AG191" s="7">
        <f>IF($AH191="","",AE191-N(AF191))</f>
        <v/>
      </c>
      <c r="AH191" s="16">
        <f>IF(ROWS($AH$2:$AH191)&lt;=MAX('Per Line'!$AR$2:$AR$1501),MATCH(ROWS($AH$2:$AH191),'Per Line'!$AR$2:$AR$1501,0),"")</f>
        <v/>
      </c>
      <c r="AI191">
        <f>IF($AH191="","",C191&amp;"|"&amp;COUNTIF($C$2:$C191,C191))</f>
        <v/>
      </c>
    </row>
    <row r="192">
      <c r="A192" s="15" t="n"/>
      <c r="B192">
        <f>IF($AH192="","",INDEX('Per Line'!$E$2:$E$1501,$AH192)&amp;"")</f>
        <v/>
      </c>
      <c r="C192">
        <f>IF($AH192="","",IF(INDEX('Per Line'!$AP$2:$AP$1501,$AH192)="NOT MATCH","NOT MATCH","FULL MATCH"))</f>
        <v/>
      </c>
      <c r="D192">
        <f>IF($AH192="","",INDEX('Per Line'!$A$2:$A$1501,$AH192)&amp;"")</f>
        <v/>
      </c>
      <c r="E192">
        <f>IF($AH192="","",INDEX('Per Line'!$B$2:$B$1501,$AH192))</f>
        <v/>
      </c>
      <c r="F192">
        <f>IF($AH192="","",INDEX('Per Line'!$C$2:$C$1501,$AH192)&amp;"")</f>
        <v/>
      </c>
      <c r="G192">
        <f>IF($AH192="","",INDEX('Per Line'!$D$2:$D$1501,$AH192)&amp;"")</f>
        <v/>
      </c>
      <c r="H192">
        <f>IF($AH192="","",INDEX('Per Line'!$F$2:$F$1501,$AH192)&amp;"")</f>
        <v/>
      </c>
      <c r="I192" s="14">
        <f>IF($AH192="","",INDEX('Per Line'!$G$2:$G$1501,$AH192))</f>
        <v/>
      </c>
      <c r="J192">
        <f>IF($AH192="","",INDEX('Per Line'!$H$2:$H$1501,$AH192)&amp;"")</f>
        <v/>
      </c>
      <c r="K192">
        <f>IF($AH192="","",INDEX('Per Line'!$J$2:$J$1501,$AH192)&amp;"")</f>
        <v/>
      </c>
      <c r="L192">
        <f>IF($AH192="","",INDEX('Per Line'!$K$2:$K$1501,$AH192)&amp;"")</f>
        <v/>
      </c>
      <c r="M192">
        <f>IF($AH192="","",INDEX('Per Line'!$L$2:$L$1501,$AH192)&amp;"")</f>
        <v/>
      </c>
      <c r="N192">
        <f>IF($AH192="","",INDEX('Per Line'!$M$2:$M$1501,$AH192)&amp;"")</f>
        <v/>
      </c>
      <c r="O192">
        <f>IF($AH192="","",INDEX('Per Line'!$P$2:$P$1501,$AH192))</f>
        <v/>
      </c>
      <c r="P192" s="7">
        <f>IF($AH192="","",O192*AD192/100)</f>
        <v/>
      </c>
      <c r="Q192">
        <f>IF($AH192="","",INDEX('Per Line'!$R$2:$R$1501,$AH192)&amp;"")</f>
        <v/>
      </c>
      <c r="R192">
        <f>IF($AH192="","",INDEX('Per Line'!$AB$2:$AB$1501,$AH192)&amp;"")</f>
        <v/>
      </c>
      <c r="S192">
        <f>IF($AH192="","",Settings!$C$8)</f>
        <v/>
      </c>
      <c r="T192" s="7">
        <f>IF($AH192="","",SUMIFS('Per Line'!$Z$2:$Z$1501,'Per Line'!$E$2:$E$1501,$B192,'Per Line'!$AT$2:$AT$1501,1))</f>
        <v/>
      </c>
      <c r="U192" s="7">
        <f>IF($AH192="","",T192*S192)</f>
        <v/>
      </c>
      <c r="V192">
        <f>IF($AH192="","",Settings!$C$7)</f>
        <v/>
      </c>
      <c r="W192" s="7">
        <f>IF($AH192="","",SUMIFS('Per Line'!$Z$2:$Z$1501,'Per Line'!$E$2:$E$1501,$B192,'Per Line'!$AS$2:$AS$1501,0,'Per Line'!$AT$2:$AT$1501,0))</f>
        <v/>
      </c>
      <c r="X192" s="7">
        <f>IF($AH192="","",W192*V192)</f>
        <v/>
      </c>
      <c r="Y192">
        <f>IF($AH192="","",Settings!$C$6)</f>
        <v/>
      </c>
      <c r="Z192" s="7">
        <f>IF($AH192="","",SUMIFS('Per Line'!$Z$2:$Z$1501,'Per Line'!$E$2:$E$1501,$B192,'Per Line'!$AS$2:$AS$1501,1,'Per Line'!$AT$2:$AT$1501,0))</f>
        <v/>
      </c>
      <c r="AA192" s="7">
        <f>IF($AH192="","",Z192*Y192)</f>
        <v/>
      </c>
      <c r="AB192" s="7">
        <f>IF($AH192="","",AA192+X192+U192)</f>
        <v/>
      </c>
      <c r="AC192" s="7">
        <f>IF($AH192="","",AD192-AB192)</f>
        <v/>
      </c>
      <c r="AD192" s="7">
        <f>IF($AH192="","",W192+Z192+T192)</f>
        <v/>
      </c>
      <c r="AE192" s="7">
        <f>IF($AH192="","",AD192-AB192-P192)</f>
        <v/>
      </c>
      <c r="AF192" s="15" t="n"/>
      <c r="AG192" s="7">
        <f>IF($AH192="","",AE192-N(AF192))</f>
        <v/>
      </c>
      <c r="AH192" s="16">
        <f>IF(ROWS($AH$2:$AH192)&lt;=MAX('Per Line'!$AR$2:$AR$1501),MATCH(ROWS($AH$2:$AH192),'Per Line'!$AR$2:$AR$1501,0),"")</f>
        <v/>
      </c>
      <c r="AI192">
        <f>IF($AH192="","",C192&amp;"|"&amp;COUNTIF($C$2:$C192,C192))</f>
        <v/>
      </c>
    </row>
    <row r="193">
      <c r="A193" s="15" t="n"/>
      <c r="B193">
        <f>IF($AH193="","",INDEX('Per Line'!$E$2:$E$1501,$AH193)&amp;"")</f>
        <v/>
      </c>
      <c r="C193">
        <f>IF($AH193="","",IF(INDEX('Per Line'!$AP$2:$AP$1501,$AH193)="NOT MATCH","NOT MATCH","FULL MATCH"))</f>
        <v/>
      </c>
      <c r="D193">
        <f>IF($AH193="","",INDEX('Per Line'!$A$2:$A$1501,$AH193)&amp;"")</f>
        <v/>
      </c>
      <c r="E193">
        <f>IF($AH193="","",INDEX('Per Line'!$B$2:$B$1501,$AH193))</f>
        <v/>
      </c>
      <c r="F193">
        <f>IF($AH193="","",INDEX('Per Line'!$C$2:$C$1501,$AH193)&amp;"")</f>
        <v/>
      </c>
      <c r="G193">
        <f>IF($AH193="","",INDEX('Per Line'!$D$2:$D$1501,$AH193)&amp;"")</f>
        <v/>
      </c>
      <c r="H193">
        <f>IF($AH193="","",INDEX('Per Line'!$F$2:$F$1501,$AH193)&amp;"")</f>
        <v/>
      </c>
      <c r="I193" s="14">
        <f>IF($AH193="","",INDEX('Per Line'!$G$2:$G$1501,$AH193))</f>
        <v/>
      </c>
      <c r="J193">
        <f>IF($AH193="","",INDEX('Per Line'!$H$2:$H$1501,$AH193)&amp;"")</f>
        <v/>
      </c>
      <c r="K193">
        <f>IF($AH193="","",INDEX('Per Line'!$J$2:$J$1501,$AH193)&amp;"")</f>
        <v/>
      </c>
      <c r="L193">
        <f>IF($AH193="","",INDEX('Per Line'!$K$2:$K$1501,$AH193)&amp;"")</f>
        <v/>
      </c>
      <c r="M193">
        <f>IF($AH193="","",INDEX('Per Line'!$L$2:$L$1501,$AH193)&amp;"")</f>
        <v/>
      </c>
      <c r="N193">
        <f>IF($AH193="","",INDEX('Per Line'!$M$2:$M$1501,$AH193)&amp;"")</f>
        <v/>
      </c>
      <c r="O193">
        <f>IF($AH193="","",INDEX('Per Line'!$P$2:$P$1501,$AH193))</f>
        <v/>
      </c>
      <c r="P193" s="7">
        <f>IF($AH193="","",O193*AD193/100)</f>
        <v/>
      </c>
      <c r="Q193">
        <f>IF($AH193="","",INDEX('Per Line'!$R$2:$R$1501,$AH193)&amp;"")</f>
        <v/>
      </c>
      <c r="R193">
        <f>IF($AH193="","",INDEX('Per Line'!$AB$2:$AB$1501,$AH193)&amp;"")</f>
        <v/>
      </c>
      <c r="S193">
        <f>IF($AH193="","",Settings!$C$8)</f>
        <v/>
      </c>
      <c r="T193" s="7">
        <f>IF($AH193="","",SUMIFS('Per Line'!$Z$2:$Z$1501,'Per Line'!$E$2:$E$1501,$B193,'Per Line'!$AT$2:$AT$1501,1))</f>
        <v/>
      </c>
      <c r="U193" s="7">
        <f>IF($AH193="","",T193*S193)</f>
        <v/>
      </c>
      <c r="V193">
        <f>IF($AH193="","",Settings!$C$7)</f>
        <v/>
      </c>
      <c r="W193" s="7">
        <f>IF($AH193="","",SUMIFS('Per Line'!$Z$2:$Z$1501,'Per Line'!$E$2:$E$1501,$B193,'Per Line'!$AS$2:$AS$1501,0,'Per Line'!$AT$2:$AT$1501,0))</f>
        <v/>
      </c>
      <c r="X193" s="7">
        <f>IF($AH193="","",W193*V193)</f>
        <v/>
      </c>
      <c r="Y193">
        <f>IF($AH193="","",Settings!$C$6)</f>
        <v/>
      </c>
      <c r="Z193" s="7">
        <f>IF($AH193="","",SUMIFS('Per Line'!$Z$2:$Z$1501,'Per Line'!$E$2:$E$1501,$B193,'Per Line'!$AS$2:$AS$1501,1,'Per Line'!$AT$2:$AT$1501,0))</f>
        <v/>
      </c>
      <c r="AA193" s="7">
        <f>IF($AH193="","",Z193*Y193)</f>
        <v/>
      </c>
      <c r="AB193" s="7">
        <f>IF($AH193="","",AA193+X193+U193)</f>
        <v/>
      </c>
      <c r="AC193" s="7">
        <f>IF($AH193="","",AD193-AB193)</f>
        <v/>
      </c>
      <c r="AD193" s="7">
        <f>IF($AH193="","",W193+Z193+T193)</f>
        <v/>
      </c>
      <c r="AE193" s="7">
        <f>IF($AH193="","",AD193-AB193-P193)</f>
        <v/>
      </c>
      <c r="AF193" s="15" t="n"/>
      <c r="AG193" s="7">
        <f>IF($AH193="","",AE193-N(AF193))</f>
        <v/>
      </c>
      <c r="AH193" s="16">
        <f>IF(ROWS($AH$2:$AH193)&lt;=MAX('Per Line'!$AR$2:$AR$1501),MATCH(ROWS($AH$2:$AH193),'Per Line'!$AR$2:$AR$1501,0),"")</f>
        <v/>
      </c>
      <c r="AI193">
        <f>IF($AH193="","",C193&amp;"|"&amp;COUNTIF($C$2:$C193,C193))</f>
        <v/>
      </c>
    </row>
    <row r="194">
      <c r="A194" s="15" t="n"/>
      <c r="B194">
        <f>IF($AH194="","",INDEX('Per Line'!$E$2:$E$1501,$AH194)&amp;"")</f>
        <v/>
      </c>
      <c r="C194">
        <f>IF($AH194="","",IF(INDEX('Per Line'!$AP$2:$AP$1501,$AH194)="NOT MATCH","NOT MATCH","FULL MATCH"))</f>
        <v/>
      </c>
      <c r="D194">
        <f>IF($AH194="","",INDEX('Per Line'!$A$2:$A$1501,$AH194)&amp;"")</f>
        <v/>
      </c>
      <c r="E194">
        <f>IF($AH194="","",INDEX('Per Line'!$B$2:$B$1501,$AH194))</f>
        <v/>
      </c>
      <c r="F194">
        <f>IF($AH194="","",INDEX('Per Line'!$C$2:$C$1501,$AH194)&amp;"")</f>
        <v/>
      </c>
      <c r="G194">
        <f>IF($AH194="","",INDEX('Per Line'!$D$2:$D$1501,$AH194)&amp;"")</f>
        <v/>
      </c>
      <c r="H194">
        <f>IF($AH194="","",INDEX('Per Line'!$F$2:$F$1501,$AH194)&amp;"")</f>
        <v/>
      </c>
      <c r="I194" s="14">
        <f>IF($AH194="","",INDEX('Per Line'!$G$2:$G$1501,$AH194))</f>
        <v/>
      </c>
      <c r="J194">
        <f>IF($AH194="","",INDEX('Per Line'!$H$2:$H$1501,$AH194)&amp;"")</f>
        <v/>
      </c>
      <c r="K194">
        <f>IF($AH194="","",INDEX('Per Line'!$J$2:$J$1501,$AH194)&amp;"")</f>
        <v/>
      </c>
      <c r="L194">
        <f>IF($AH194="","",INDEX('Per Line'!$K$2:$K$1501,$AH194)&amp;"")</f>
        <v/>
      </c>
      <c r="M194">
        <f>IF($AH194="","",INDEX('Per Line'!$L$2:$L$1501,$AH194)&amp;"")</f>
        <v/>
      </c>
      <c r="N194">
        <f>IF($AH194="","",INDEX('Per Line'!$M$2:$M$1501,$AH194)&amp;"")</f>
        <v/>
      </c>
      <c r="O194">
        <f>IF($AH194="","",INDEX('Per Line'!$P$2:$P$1501,$AH194))</f>
        <v/>
      </c>
      <c r="P194" s="7">
        <f>IF($AH194="","",O194*AD194/100)</f>
        <v/>
      </c>
      <c r="Q194">
        <f>IF($AH194="","",INDEX('Per Line'!$R$2:$R$1501,$AH194)&amp;"")</f>
        <v/>
      </c>
      <c r="R194">
        <f>IF($AH194="","",INDEX('Per Line'!$AB$2:$AB$1501,$AH194)&amp;"")</f>
        <v/>
      </c>
      <c r="S194">
        <f>IF($AH194="","",Settings!$C$8)</f>
        <v/>
      </c>
      <c r="T194" s="7">
        <f>IF($AH194="","",SUMIFS('Per Line'!$Z$2:$Z$1501,'Per Line'!$E$2:$E$1501,$B194,'Per Line'!$AT$2:$AT$1501,1))</f>
        <v/>
      </c>
      <c r="U194" s="7">
        <f>IF($AH194="","",T194*S194)</f>
        <v/>
      </c>
      <c r="V194">
        <f>IF($AH194="","",Settings!$C$7)</f>
        <v/>
      </c>
      <c r="W194" s="7">
        <f>IF($AH194="","",SUMIFS('Per Line'!$Z$2:$Z$1501,'Per Line'!$E$2:$E$1501,$B194,'Per Line'!$AS$2:$AS$1501,0,'Per Line'!$AT$2:$AT$1501,0))</f>
        <v/>
      </c>
      <c r="X194" s="7">
        <f>IF($AH194="","",W194*V194)</f>
        <v/>
      </c>
      <c r="Y194">
        <f>IF($AH194="","",Settings!$C$6)</f>
        <v/>
      </c>
      <c r="Z194" s="7">
        <f>IF($AH194="","",SUMIFS('Per Line'!$Z$2:$Z$1501,'Per Line'!$E$2:$E$1501,$B194,'Per Line'!$AS$2:$AS$1501,1,'Per Line'!$AT$2:$AT$1501,0))</f>
        <v/>
      </c>
      <c r="AA194" s="7">
        <f>IF($AH194="","",Z194*Y194)</f>
        <v/>
      </c>
      <c r="AB194" s="7">
        <f>IF($AH194="","",AA194+X194+U194)</f>
        <v/>
      </c>
      <c r="AC194" s="7">
        <f>IF($AH194="","",AD194-AB194)</f>
        <v/>
      </c>
      <c r="AD194" s="7">
        <f>IF($AH194="","",W194+Z194+T194)</f>
        <v/>
      </c>
      <c r="AE194" s="7">
        <f>IF($AH194="","",AD194-AB194-P194)</f>
        <v/>
      </c>
      <c r="AF194" s="15" t="n"/>
      <c r="AG194" s="7">
        <f>IF($AH194="","",AE194-N(AF194))</f>
        <v/>
      </c>
      <c r="AH194" s="16">
        <f>IF(ROWS($AH$2:$AH194)&lt;=MAX('Per Line'!$AR$2:$AR$1501),MATCH(ROWS($AH$2:$AH194),'Per Line'!$AR$2:$AR$1501,0),"")</f>
        <v/>
      </c>
      <c r="AI194">
        <f>IF($AH194="","",C194&amp;"|"&amp;COUNTIF($C$2:$C194,C194))</f>
        <v/>
      </c>
    </row>
    <row r="195">
      <c r="A195" s="15" t="n"/>
      <c r="B195">
        <f>IF($AH195="","",INDEX('Per Line'!$E$2:$E$1501,$AH195)&amp;"")</f>
        <v/>
      </c>
      <c r="C195">
        <f>IF($AH195="","",IF(INDEX('Per Line'!$AP$2:$AP$1501,$AH195)="NOT MATCH","NOT MATCH","FULL MATCH"))</f>
        <v/>
      </c>
      <c r="D195">
        <f>IF($AH195="","",INDEX('Per Line'!$A$2:$A$1501,$AH195)&amp;"")</f>
        <v/>
      </c>
      <c r="E195">
        <f>IF($AH195="","",INDEX('Per Line'!$B$2:$B$1501,$AH195))</f>
        <v/>
      </c>
      <c r="F195">
        <f>IF($AH195="","",INDEX('Per Line'!$C$2:$C$1501,$AH195)&amp;"")</f>
        <v/>
      </c>
      <c r="G195">
        <f>IF($AH195="","",INDEX('Per Line'!$D$2:$D$1501,$AH195)&amp;"")</f>
        <v/>
      </c>
      <c r="H195">
        <f>IF($AH195="","",INDEX('Per Line'!$F$2:$F$1501,$AH195)&amp;"")</f>
        <v/>
      </c>
      <c r="I195" s="14">
        <f>IF($AH195="","",INDEX('Per Line'!$G$2:$G$1501,$AH195))</f>
        <v/>
      </c>
      <c r="J195">
        <f>IF($AH195="","",INDEX('Per Line'!$H$2:$H$1501,$AH195)&amp;"")</f>
        <v/>
      </c>
      <c r="K195">
        <f>IF($AH195="","",INDEX('Per Line'!$J$2:$J$1501,$AH195)&amp;"")</f>
        <v/>
      </c>
      <c r="L195">
        <f>IF($AH195="","",INDEX('Per Line'!$K$2:$K$1501,$AH195)&amp;"")</f>
        <v/>
      </c>
      <c r="M195">
        <f>IF($AH195="","",INDEX('Per Line'!$L$2:$L$1501,$AH195)&amp;"")</f>
        <v/>
      </c>
      <c r="N195">
        <f>IF($AH195="","",INDEX('Per Line'!$M$2:$M$1501,$AH195)&amp;"")</f>
        <v/>
      </c>
      <c r="O195">
        <f>IF($AH195="","",INDEX('Per Line'!$P$2:$P$1501,$AH195))</f>
        <v/>
      </c>
      <c r="P195" s="7">
        <f>IF($AH195="","",O195*AD195/100)</f>
        <v/>
      </c>
      <c r="Q195">
        <f>IF($AH195="","",INDEX('Per Line'!$R$2:$R$1501,$AH195)&amp;"")</f>
        <v/>
      </c>
      <c r="R195">
        <f>IF($AH195="","",INDEX('Per Line'!$AB$2:$AB$1501,$AH195)&amp;"")</f>
        <v/>
      </c>
      <c r="S195">
        <f>IF($AH195="","",Settings!$C$8)</f>
        <v/>
      </c>
      <c r="T195" s="7">
        <f>IF($AH195="","",SUMIFS('Per Line'!$Z$2:$Z$1501,'Per Line'!$E$2:$E$1501,$B195,'Per Line'!$AT$2:$AT$1501,1))</f>
        <v/>
      </c>
      <c r="U195" s="7">
        <f>IF($AH195="","",T195*S195)</f>
        <v/>
      </c>
      <c r="V195">
        <f>IF($AH195="","",Settings!$C$7)</f>
        <v/>
      </c>
      <c r="W195" s="7">
        <f>IF($AH195="","",SUMIFS('Per Line'!$Z$2:$Z$1501,'Per Line'!$E$2:$E$1501,$B195,'Per Line'!$AS$2:$AS$1501,0,'Per Line'!$AT$2:$AT$1501,0))</f>
        <v/>
      </c>
      <c r="X195" s="7">
        <f>IF($AH195="","",W195*V195)</f>
        <v/>
      </c>
      <c r="Y195">
        <f>IF($AH195="","",Settings!$C$6)</f>
        <v/>
      </c>
      <c r="Z195" s="7">
        <f>IF($AH195="","",SUMIFS('Per Line'!$Z$2:$Z$1501,'Per Line'!$E$2:$E$1501,$B195,'Per Line'!$AS$2:$AS$1501,1,'Per Line'!$AT$2:$AT$1501,0))</f>
        <v/>
      </c>
      <c r="AA195" s="7">
        <f>IF($AH195="","",Z195*Y195)</f>
        <v/>
      </c>
      <c r="AB195" s="7">
        <f>IF($AH195="","",AA195+X195+U195)</f>
        <v/>
      </c>
      <c r="AC195" s="7">
        <f>IF($AH195="","",AD195-AB195)</f>
        <v/>
      </c>
      <c r="AD195" s="7">
        <f>IF($AH195="","",W195+Z195+T195)</f>
        <v/>
      </c>
      <c r="AE195" s="7">
        <f>IF($AH195="","",AD195-AB195-P195)</f>
        <v/>
      </c>
      <c r="AF195" s="15" t="n"/>
      <c r="AG195" s="7">
        <f>IF($AH195="","",AE195-N(AF195))</f>
        <v/>
      </c>
      <c r="AH195" s="16">
        <f>IF(ROWS($AH$2:$AH195)&lt;=MAX('Per Line'!$AR$2:$AR$1501),MATCH(ROWS($AH$2:$AH195),'Per Line'!$AR$2:$AR$1501,0),"")</f>
        <v/>
      </c>
      <c r="AI195">
        <f>IF($AH195="","",C195&amp;"|"&amp;COUNTIF($C$2:$C195,C195))</f>
        <v/>
      </c>
    </row>
    <row r="196">
      <c r="A196" s="15" t="n"/>
      <c r="B196">
        <f>IF($AH196="","",INDEX('Per Line'!$E$2:$E$1501,$AH196)&amp;"")</f>
        <v/>
      </c>
      <c r="C196">
        <f>IF($AH196="","",IF(INDEX('Per Line'!$AP$2:$AP$1501,$AH196)="NOT MATCH","NOT MATCH","FULL MATCH"))</f>
        <v/>
      </c>
      <c r="D196">
        <f>IF($AH196="","",INDEX('Per Line'!$A$2:$A$1501,$AH196)&amp;"")</f>
        <v/>
      </c>
      <c r="E196">
        <f>IF($AH196="","",INDEX('Per Line'!$B$2:$B$1501,$AH196))</f>
        <v/>
      </c>
      <c r="F196">
        <f>IF($AH196="","",INDEX('Per Line'!$C$2:$C$1501,$AH196)&amp;"")</f>
        <v/>
      </c>
      <c r="G196">
        <f>IF($AH196="","",INDEX('Per Line'!$D$2:$D$1501,$AH196)&amp;"")</f>
        <v/>
      </c>
      <c r="H196">
        <f>IF($AH196="","",INDEX('Per Line'!$F$2:$F$1501,$AH196)&amp;"")</f>
        <v/>
      </c>
      <c r="I196" s="14">
        <f>IF($AH196="","",INDEX('Per Line'!$G$2:$G$1501,$AH196))</f>
        <v/>
      </c>
      <c r="J196">
        <f>IF($AH196="","",INDEX('Per Line'!$H$2:$H$1501,$AH196)&amp;"")</f>
        <v/>
      </c>
      <c r="K196">
        <f>IF($AH196="","",INDEX('Per Line'!$J$2:$J$1501,$AH196)&amp;"")</f>
        <v/>
      </c>
      <c r="L196">
        <f>IF($AH196="","",INDEX('Per Line'!$K$2:$K$1501,$AH196)&amp;"")</f>
        <v/>
      </c>
      <c r="M196">
        <f>IF($AH196="","",INDEX('Per Line'!$L$2:$L$1501,$AH196)&amp;"")</f>
        <v/>
      </c>
      <c r="N196">
        <f>IF($AH196="","",INDEX('Per Line'!$M$2:$M$1501,$AH196)&amp;"")</f>
        <v/>
      </c>
      <c r="O196">
        <f>IF($AH196="","",INDEX('Per Line'!$P$2:$P$1501,$AH196))</f>
        <v/>
      </c>
      <c r="P196" s="7">
        <f>IF($AH196="","",O196*AD196/100)</f>
        <v/>
      </c>
      <c r="Q196">
        <f>IF($AH196="","",INDEX('Per Line'!$R$2:$R$1501,$AH196)&amp;"")</f>
        <v/>
      </c>
      <c r="R196">
        <f>IF($AH196="","",INDEX('Per Line'!$AB$2:$AB$1501,$AH196)&amp;"")</f>
        <v/>
      </c>
      <c r="S196">
        <f>IF($AH196="","",Settings!$C$8)</f>
        <v/>
      </c>
      <c r="T196" s="7">
        <f>IF($AH196="","",SUMIFS('Per Line'!$Z$2:$Z$1501,'Per Line'!$E$2:$E$1501,$B196,'Per Line'!$AT$2:$AT$1501,1))</f>
        <v/>
      </c>
      <c r="U196" s="7">
        <f>IF($AH196="","",T196*S196)</f>
        <v/>
      </c>
      <c r="V196">
        <f>IF($AH196="","",Settings!$C$7)</f>
        <v/>
      </c>
      <c r="W196" s="7">
        <f>IF($AH196="","",SUMIFS('Per Line'!$Z$2:$Z$1501,'Per Line'!$E$2:$E$1501,$B196,'Per Line'!$AS$2:$AS$1501,0,'Per Line'!$AT$2:$AT$1501,0))</f>
        <v/>
      </c>
      <c r="X196" s="7">
        <f>IF($AH196="","",W196*V196)</f>
        <v/>
      </c>
      <c r="Y196">
        <f>IF($AH196="","",Settings!$C$6)</f>
        <v/>
      </c>
      <c r="Z196" s="7">
        <f>IF($AH196="","",SUMIFS('Per Line'!$Z$2:$Z$1501,'Per Line'!$E$2:$E$1501,$B196,'Per Line'!$AS$2:$AS$1501,1,'Per Line'!$AT$2:$AT$1501,0))</f>
        <v/>
      </c>
      <c r="AA196" s="7">
        <f>IF($AH196="","",Z196*Y196)</f>
        <v/>
      </c>
      <c r="AB196" s="7">
        <f>IF($AH196="","",AA196+X196+U196)</f>
        <v/>
      </c>
      <c r="AC196" s="7">
        <f>IF($AH196="","",AD196-AB196)</f>
        <v/>
      </c>
      <c r="AD196" s="7">
        <f>IF($AH196="","",W196+Z196+T196)</f>
        <v/>
      </c>
      <c r="AE196" s="7">
        <f>IF($AH196="","",AD196-AB196-P196)</f>
        <v/>
      </c>
      <c r="AF196" s="15" t="n"/>
      <c r="AG196" s="7">
        <f>IF($AH196="","",AE196-N(AF196))</f>
        <v/>
      </c>
      <c r="AH196" s="16">
        <f>IF(ROWS($AH$2:$AH196)&lt;=MAX('Per Line'!$AR$2:$AR$1501),MATCH(ROWS($AH$2:$AH196),'Per Line'!$AR$2:$AR$1501,0),"")</f>
        <v/>
      </c>
      <c r="AI196">
        <f>IF($AH196="","",C196&amp;"|"&amp;COUNTIF($C$2:$C196,C196))</f>
        <v/>
      </c>
    </row>
    <row r="197">
      <c r="A197" s="15" t="n"/>
      <c r="B197">
        <f>IF($AH197="","",INDEX('Per Line'!$E$2:$E$1501,$AH197)&amp;"")</f>
        <v/>
      </c>
      <c r="C197">
        <f>IF($AH197="","",IF(INDEX('Per Line'!$AP$2:$AP$1501,$AH197)="NOT MATCH","NOT MATCH","FULL MATCH"))</f>
        <v/>
      </c>
      <c r="D197">
        <f>IF($AH197="","",INDEX('Per Line'!$A$2:$A$1501,$AH197)&amp;"")</f>
        <v/>
      </c>
      <c r="E197">
        <f>IF($AH197="","",INDEX('Per Line'!$B$2:$B$1501,$AH197))</f>
        <v/>
      </c>
      <c r="F197">
        <f>IF($AH197="","",INDEX('Per Line'!$C$2:$C$1501,$AH197)&amp;"")</f>
        <v/>
      </c>
      <c r="G197">
        <f>IF($AH197="","",INDEX('Per Line'!$D$2:$D$1501,$AH197)&amp;"")</f>
        <v/>
      </c>
      <c r="H197">
        <f>IF($AH197="","",INDEX('Per Line'!$F$2:$F$1501,$AH197)&amp;"")</f>
        <v/>
      </c>
      <c r="I197" s="14">
        <f>IF($AH197="","",INDEX('Per Line'!$G$2:$G$1501,$AH197))</f>
        <v/>
      </c>
      <c r="J197">
        <f>IF($AH197="","",INDEX('Per Line'!$H$2:$H$1501,$AH197)&amp;"")</f>
        <v/>
      </c>
      <c r="K197">
        <f>IF($AH197="","",INDEX('Per Line'!$J$2:$J$1501,$AH197)&amp;"")</f>
        <v/>
      </c>
      <c r="L197">
        <f>IF($AH197="","",INDEX('Per Line'!$K$2:$K$1501,$AH197)&amp;"")</f>
        <v/>
      </c>
      <c r="M197">
        <f>IF($AH197="","",INDEX('Per Line'!$L$2:$L$1501,$AH197)&amp;"")</f>
        <v/>
      </c>
      <c r="N197">
        <f>IF($AH197="","",INDEX('Per Line'!$M$2:$M$1501,$AH197)&amp;"")</f>
        <v/>
      </c>
      <c r="O197">
        <f>IF($AH197="","",INDEX('Per Line'!$P$2:$P$1501,$AH197))</f>
        <v/>
      </c>
      <c r="P197" s="7">
        <f>IF($AH197="","",O197*AD197/100)</f>
        <v/>
      </c>
      <c r="Q197">
        <f>IF($AH197="","",INDEX('Per Line'!$R$2:$R$1501,$AH197)&amp;"")</f>
        <v/>
      </c>
      <c r="R197">
        <f>IF($AH197="","",INDEX('Per Line'!$AB$2:$AB$1501,$AH197)&amp;"")</f>
        <v/>
      </c>
      <c r="S197">
        <f>IF($AH197="","",Settings!$C$8)</f>
        <v/>
      </c>
      <c r="T197" s="7">
        <f>IF($AH197="","",SUMIFS('Per Line'!$Z$2:$Z$1501,'Per Line'!$E$2:$E$1501,$B197,'Per Line'!$AT$2:$AT$1501,1))</f>
        <v/>
      </c>
      <c r="U197" s="7">
        <f>IF($AH197="","",T197*S197)</f>
        <v/>
      </c>
      <c r="V197">
        <f>IF($AH197="","",Settings!$C$7)</f>
        <v/>
      </c>
      <c r="W197" s="7">
        <f>IF($AH197="","",SUMIFS('Per Line'!$Z$2:$Z$1501,'Per Line'!$E$2:$E$1501,$B197,'Per Line'!$AS$2:$AS$1501,0,'Per Line'!$AT$2:$AT$1501,0))</f>
        <v/>
      </c>
      <c r="X197" s="7">
        <f>IF($AH197="","",W197*V197)</f>
        <v/>
      </c>
      <c r="Y197">
        <f>IF($AH197="","",Settings!$C$6)</f>
        <v/>
      </c>
      <c r="Z197" s="7">
        <f>IF($AH197="","",SUMIFS('Per Line'!$Z$2:$Z$1501,'Per Line'!$E$2:$E$1501,$B197,'Per Line'!$AS$2:$AS$1501,1,'Per Line'!$AT$2:$AT$1501,0))</f>
        <v/>
      </c>
      <c r="AA197" s="7">
        <f>IF($AH197="","",Z197*Y197)</f>
        <v/>
      </c>
      <c r="AB197" s="7">
        <f>IF($AH197="","",AA197+X197+U197)</f>
        <v/>
      </c>
      <c r="AC197" s="7">
        <f>IF($AH197="","",AD197-AB197)</f>
        <v/>
      </c>
      <c r="AD197" s="7">
        <f>IF($AH197="","",W197+Z197+T197)</f>
        <v/>
      </c>
      <c r="AE197" s="7">
        <f>IF($AH197="","",AD197-AB197-P197)</f>
        <v/>
      </c>
      <c r="AF197" s="15" t="n"/>
      <c r="AG197" s="7">
        <f>IF($AH197="","",AE197-N(AF197))</f>
        <v/>
      </c>
      <c r="AH197" s="16">
        <f>IF(ROWS($AH$2:$AH197)&lt;=MAX('Per Line'!$AR$2:$AR$1501),MATCH(ROWS($AH$2:$AH197),'Per Line'!$AR$2:$AR$1501,0),"")</f>
        <v/>
      </c>
      <c r="AI197">
        <f>IF($AH197="","",C197&amp;"|"&amp;COUNTIF($C$2:$C197,C197))</f>
        <v/>
      </c>
    </row>
    <row r="198">
      <c r="A198" s="15" t="n"/>
      <c r="B198">
        <f>IF($AH198="","",INDEX('Per Line'!$E$2:$E$1501,$AH198)&amp;"")</f>
        <v/>
      </c>
      <c r="C198">
        <f>IF($AH198="","",IF(INDEX('Per Line'!$AP$2:$AP$1501,$AH198)="NOT MATCH","NOT MATCH","FULL MATCH"))</f>
        <v/>
      </c>
      <c r="D198">
        <f>IF($AH198="","",INDEX('Per Line'!$A$2:$A$1501,$AH198)&amp;"")</f>
        <v/>
      </c>
      <c r="E198">
        <f>IF($AH198="","",INDEX('Per Line'!$B$2:$B$1501,$AH198))</f>
        <v/>
      </c>
      <c r="F198">
        <f>IF($AH198="","",INDEX('Per Line'!$C$2:$C$1501,$AH198)&amp;"")</f>
        <v/>
      </c>
      <c r="G198">
        <f>IF($AH198="","",INDEX('Per Line'!$D$2:$D$1501,$AH198)&amp;"")</f>
        <v/>
      </c>
      <c r="H198">
        <f>IF($AH198="","",INDEX('Per Line'!$F$2:$F$1501,$AH198)&amp;"")</f>
        <v/>
      </c>
      <c r="I198" s="14">
        <f>IF($AH198="","",INDEX('Per Line'!$G$2:$G$1501,$AH198))</f>
        <v/>
      </c>
      <c r="J198">
        <f>IF($AH198="","",INDEX('Per Line'!$H$2:$H$1501,$AH198)&amp;"")</f>
        <v/>
      </c>
      <c r="K198">
        <f>IF($AH198="","",INDEX('Per Line'!$J$2:$J$1501,$AH198)&amp;"")</f>
        <v/>
      </c>
      <c r="L198">
        <f>IF($AH198="","",INDEX('Per Line'!$K$2:$K$1501,$AH198)&amp;"")</f>
        <v/>
      </c>
      <c r="M198">
        <f>IF($AH198="","",INDEX('Per Line'!$L$2:$L$1501,$AH198)&amp;"")</f>
        <v/>
      </c>
      <c r="N198">
        <f>IF($AH198="","",INDEX('Per Line'!$M$2:$M$1501,$AH198)&amp;"")</f>
        <v/>
      </c>
      <c r="O198">
        <f>IF($AH198="","",INDEX('Per Line'!$P$2:$P$1501,$AH198))</f>
        <v/>
      </c>
      <c r="P198" s="7">
        <f>IF($AH198="","",O198*AD198/100)</f>
        <v/>
      </c>
      <c r="Q198">
        <f>IF($AH198="","",INDEX('Per Line'!$R$2:$R$1501,$AH198)&amp;"")</f>
        <v/>
      </c>
      <c r="R198">
        <f>IF($AH198="","",INDEX('Per Line'!$AB$2:$AB$1501,$AH198)&amp;"")</f>
        <v/>
      </c>
      <c r="S198">
        <f>IF($AH198="","",Settings!$C$8)</f>
        <v/>
      </c>
      <c r="T198" s="7">
        <f>IF($AH198="","",SUMIFS('Per Line'!$Z$2:$Z$1501,'Per Line'!$E$2:$E$1501,$B198,'Per Line'!$AT$2:$AT$1501,1))</f>
        <v/>
      </c>
      <c r="U198" s="7">
        <f>IF($AH198="","",T198*S198)</f>
        <v/>
      </c>
      <c r="V198">
        <f>IF($AH198="","",Settings!$C$7)</f>
        <v/>
      </c>
      <c r="W198" s="7">
        <f>IF($AH198="","",SUMIFS('Per Line'!$Z$2:$Z$1501,'Per Line'!$E$2:$E$1501,$B198,'Per Line'!$AS$2:$AS$1501,0,'Per Line'!$AT$2:$AT$1501,0))</f>
        <v/>
      </c>
      <c r="X198" s="7">
        <f>IF($AH198="","",W198*V198)</f>
        <v/>
      </c>
      <c r="Y198">
        <f>IF($AH198="","",Settings!$C$6)</f>
        <v/>
      </c>
      <c r="Z198" s="7">
        <f>IF($AH198="","",SUMIFS('Per Line'!$Z$2:$Z$1501,'Per Line'!$E$2:$E$1501,$B198,'Per Line'!$AS$2:$AS$1501,1,'Per Line'!$AT$2:$AT$1501,0))</f>
        <v/>
      </c>
      <c r="AA198" s="7">
        <f>IF($AH198="","",Z198*Y198)</f>
        <v/>
      </c>
      <c r="AB198" s="7">
        <f>IF($AH198="","",AA198+X198+U198)</f>
        <v/>
      </c>
      <c r="AC198" s="7">
        <f>IF($AH198="","",AD198-AB198)</f>
        <v/>
      </c>
      <c r="AD198" s="7">
        <f>IF($AH198="","",W198+Z198+T198)</f>
        <v/>
      </c>
      <c r="AE198" s="7">
        <f>IF($AH198="","",AD198-AB198-P198)</f>
        <v/>
      </c>
      <c r="AF198" s="15" t="n"/>
      <c r="AG198" s="7">
        <f>IF($AH198="","",AE198-N(AF198))</f>
        <v/>
      </c>
      <c r="AH198" s="16">
        <f>IF(ROWS($AH$2:$AH198)&lt;=MAX('Per Line'!$AR$2:$AR$1501),MATCH(ROWS($AH$2:$AH198),'Per Line'!$AR$2:$AR$1501,0),"")</f>
        <v/>
      </c>
      <c r="AI198">
        <f>IF($AH198="","",C198&amp;"|"&amp;COUNTIF($C$2:$C198,C198))</f>
        <v/>
      </c>
    </row>
    <row r="199">
      <c r="A199" s="15" t="n"/>
      <c r="B199">
        <f>IF($AH199="","",INDEX('Per Line'!$E$2:$E$1501,$AH199)&amp;"")</f>
        <v/>
      </c>
      <c r="C199">
        <f>IF($AH199="","",IF(INDEX('Per Line'!$AP$2:$AP$1501,$AH199)="NOT MATCH","NOT MATCH","FULL MATCH"))</f>
        <v/>
      </c>
      <c r="D199">
        <f>IF($AH199="","",INDEX('Per Line'!$A$2:$A$1501,$AH199)&amp;"")</f>
        <v/>
      </c>
      <c r="E199">
        <f>IF($AH199="","",INDEX('Per Line'!$B$2:$B$1501,$AH199))</f>
        <v/>
      </c>
      <c r="F199">
        <f>IF($AH199="","",INDEX('Per Line'!$C$2:$C$1501,$AH199)&amp;"")</f>
        <v/>
      </c>
      <c r="G199">
        <f>IF($AH199="","",INDEX('Per Line'!$D$2:$D$1501,$AH199)&amp;"")</f>
        <v/>
      </c>
      <c r="H199">
        <f>IF($AH199="","",INDEX('Per Line'!$F$2:$F$1501,$AH199)&amp;"")</f>
        <v/>
      </c>
      <c r="I199" s="14">
        <f>IF($AH199="","",INDEX('Per Line'!$G$2:$G$1501,$AH199))</f>
        <v/>
      </c>
      <c r="J199">
        <f>IF($AH199="","",INDEX('Per Line'!$H$2:$H$1501,$AH199)&amp;"")</f>
        <v/>
      </c>
      <c r="K199">
        <f>IF($AH199="","",INDEX('Per Line'!$J$2:$J$1501,$AH199)&amp;"")</f>
        <v/>
      </c>
      <c r="L199">
        <f>IF($AH199="","",INDEX('Per Line'!$K$2:$K$1501,$AH199)&amp;"")</f>
        <v/>
      </c>
      <c r="M199">
        <f>IF($AH199="","",INDEX('Per Line'!$L$2:$L$1501,$AH199)&amp;"")</f>
        <v/>
      </c>
      <c r="N199">
        <f>IF($AH199="","",INDEX('Per Line'!$M$2:$M$1501,$AH199)&amp;"")</f>
        <v/>
      </c>
      <c r="O199">
        <f>IF($AH199="","",INDEX('Per Line'!$P$2:$P$1501,$AH199))</f>
        <v/>
      </c>
      <c r="P199" s="7">
        <f>IF($AH199="","",O199*AD199/100)</f>
        <v/>
      </c>
      <c r="Q199">
        <f>IF($AH199="","",INDEX('Per Line'!$R$2:$R$1501,$AH199)&amp;"")</f>
        <v/>
      </c>
      <c r="R199">
        <f>IF($AH199="","",INDEX('Per Line'!$AB$2:$AB$1501,$AH199)&amp;"")</f>
        <v/>
      </c>
      <c r="S199">
        <f>IF($AH199="","",Settings!$C$8)</f>
        <v/>
      </c>
      <c r="T199" s="7">
        <f>IF($AH199="","",SUMIFS('Per Line'!$Z$2:$Z$1501,'Per Line'!$E$2:$E$1501,$B199,'Per Line'!$AT$2:$AT$1501,1))</f>
        <v/>
      </c>
      <c r="U199" s="7">
        <f>IF($AH199="","",T199*S199)</f>
        <v/>
      </c>
      <c r="V199">
        <f>IF($AH199="","",Settings!$C$7)</f>
        <v/>
      </c>
      <c r="W199" s="7">
        <f>IF($AH199="","",SUMIFS('Per Line'!$Z$2:$Z$1501,'Per Line'!$E$2:$E$1501,$B199,'Per Line'!$AS$2:$AS$1501,0,'Per Line'!$AT$2:$AT$1501,0))</f>
        <v/>
      </c>
      <c r="X199" s="7">
        <f>IF($AH199="","",W199*V199)</f>
        <v/>
      </c>
      <c r="Y199">
        <f>IF($AH199="","",Settings!$C$6)</f>
        <v/>
      </c>
      <c r="Z199" s="7">
        <f>IF($AH199="","",SUMIFS('Per Line'!$Z$2:$Z$1501,'Per Line'!$E$2:$E$1501,$B199,'Per Line'!$AS$2:$AS$1501,1,'Per Line'!$AT$2:$AT$1501,0))</f>
        <v/>
      </c>
      <c r="AA199" s="7">
        <f>IF($AH199="","",Z199*Y199)</f>
        <v/>
      </c>
      <c r="AB199" s="7">
        <f>IF($AH199="","",AA199+X199+U199)</f>
        <v/>
      </c>
      <c r="AC199" s="7">
        <f>IF($AH199="","",AD199-AB199)</f>
        <v/>
      </c>
      <c r="AD199" s="7">
        <f>IF($AH199="","",W199+Z199+T199)</f>
        <v/>
      </c>
      <c r="AE199" s="7">
        <f>IF($AH199="","",AD199-AB199-P199)</f>
        <v/>
      </c>
      <c r="AF199" s="15" t="n"/>
      <c r="AG199" s="7">
        <f>IF($AH199="","",AE199-N(AF199))</f>
        <v/>
      </c>
      <c r="AH199" s="16">
        <f>IF(ROWS($AH$2:$AH199)&lt;=MAX('Per Line'!$AR$2:$AR$1501),MATCH(ROWS($AH$2:$AH199),'Per Line'!$AR$2:$AR$1501,0),"")</f>
        <v/>
      </c>
      <c r="AI199">
        <f>IF($AH199="","",C199&amp;"|"&amp;COUNTIF($C$2:$C199,C199))</f>
        <v/>
      </c>
    </row>
    <row r="200">
      <c r="A200" s="15" t="n"/>
      <c r="B200">
        <f>IF($AH200="","",INDEX('Per Line'!$E$2:$E$1501,$AH200)&amp;"")</f>
        <v/>
      </c>
      <c r="C200">
        <f>IF($AH200="","",IF(INDEX('Per Line'!$AP$2:$AP$1501,$AH200)="NOT MATCH","NOT MATCH","FULL MATCH"))</f>
        <v/>
      </c>
      <c r="D200">
        <f>IF($AH200="","",INDEX('Per Line'!$A$2:$A$1501,$AH200)&amp;"")</f>
        <v/>
      </c>
      <c r="E200">
        <f>IF($AH200="","",INDEX('Per Line'!$B$2:$B$1501,$AH200))</f>
        <v/>
      </c>
      <c r="F200">
        <f>IF($AH200="","",INDEX('Per Line'!$C$2:$C$1501,$AH200)&amp;"")</f>
        <v/>
      </c>
      <c r="G200">
        <f>IF($AH200="","",INDEX('Per Line'!$D$2:$D$1501,$AH200)&amp;"")</f>
        <v/>
      </c>
      <c r="H200">
        <f>IF($AH200="","",INDEX('Per Line'!$F$2:$F$1501,$AH200)&amp;"")</f>
        <v/>
      </c>
      <c r="I200" s="14">
        <f>IF($AH200="","",INDEX('Per Line'!$G$2:$G$1501,$AH200))</f>
        <v/>
      </c>
      <c r="J200">
        <f>IF($AH200="","",INDEX('Per Line'!$H$2:$H$1501,$AH200)&amp;"")</f>
        <v/>
      </c>
      <c r="K200">
        <f>IF($AH200="","",INDEX('Per Line'!$J$2:$J$1501,$AH200)&amp;"")</f>
        <v/>
      </c>
      <c r="L200">
        <f>IF($AH200="","",INDEX('Per Line'!$K$2:$K$1501,$AH200)&amp;"")</f>
        <v/>
      </c>
      <c r="M200">
        <f>IF($AH200="","",INDEX('Per Line'!$L$2:$L$1501,$AH200)&amp;"")</f>
        <v/>
      </c>
      <c r="N200">
        <f>IF($AH200="","",INDEX('Per Line'!$M$2:$M$1501,$AH200)&amp;"")</f>
        <v/>
      </c>
      <c r="O200">
        <f>IF($AH200="","",INDEX('Per Line'!$P$2:$P$1501,$AH200))</f>
        <v/>
      </c>
      <c r="P200" s="7">
        <f>IF($AH200="","",O200*AD200/100)</f>
        <v/>
      </c>
      <c r="Q200">
        <f>IF($AH200="","",INDEX('Per Line'!$R$2:$R$1501,$AH200)&amp;"")</f>
        <v/>
      </c>
      <c r="R200">
        <f>IF($AH200="","",INDEX('Per Line'!$AB$2:$AB$1501,$AH200)&amp;"")</f>
        <v/>
      </c>
      <c r="S200">
        <f>IF($AH200="","",Settings!$C$8)</f>
        <v/>
      </c>
      <c r="T200" s="7">
        <f>IF($AH200="","",SUMIFS('Per Line'!$Z$2:$Z$1501,'Per Line'!$E$2:$E$1501,$B200,'Per Line'!$AT$2:$AT$1501,1))</f>
        <v/>
      </c>
      <c r="U200" s="7">
        <f>IF($AH200="","",T200*S200)</f>
        <v/>
      </c>
      <c r="V200">
        <f>IF($AH200="","",Settings!$C$7)</f>
        <v/>
      </c>
      <c r="W200" s="7">
        <f>IF($AH200="","",SUMIFS('Per Line'!$Z$2:$Z$1501,'Per Line'!$E$2:$E$1501,$B200,'Per Line'!$AS$2:$AS$1501,0,'Per Line'!$AT$2:$AT$1501,0))</f>
        <v/>
      </c>
      <c r="X200" s="7">
        <f>IF($AH200="","",W200*V200)</f>
        <v/>
      </c>
      <c r="Y200">
        <f>IF($AH200="","",Settings!$C$6)</f>
        <v/>
      </c>
      <c r="Z200" s="7">
        <f>IF($AH200="","",SUMIFS('Per Line'!$Z$2:$Z$1501,'Per Line'!$E$2:$E$1501,$B200,'Per Line'!$AS$2:$AS$1501,1,'Per Line'!$AT$2:$AT$1501,0))</f>
        <v/>
      </c>
      <c r="AA200" s="7">
        <f>IF($AH200="","",Z200*Y200)</f>
        <v/>
      </c>
      <c r="AB200" s="7">
        <f>IF($AH200="","",AA200+X200+U200)</f>
        <v/>
      </c>
      <c r="AC200" s="7">
        <f>IF($AH200="","",AD200-AB200)</f>
        <v/>
      </c>
      <c r="AD200" s="7">
        <f>IF($AH200="","",W200+Z200+T200)</f>
        <v/>
      </c>
      <c r="AE200" s="7">
        <f>IF($AH200="","",AD200-AB200-P200)</f>
        <v/>
      </c>
      <c r="AF200" s="15" t="n"/>
      <c r="AG200" s="7">
        <f>IF($AH200="","",AE200-N(AF200))</f>
        <v/>
      </c>
      <c r="AH200" s="16">
        <f>IF(ROWS($AH$2:$AH200)&lt;=MAX('Per Line'!$AR$2:$AR$1501),MATCH(ROWS($AH$2:$AH200),'Per Line'!$AR$2:$AR$1501,0),"")</f>
        <v/>
      </c>
      <c r="AI200">
        <f>IF($AH200="","",C200&amp;"|"&amp;COUNTIF($C$2:$C200,C200))</f>
        <v/>
      </c>
    </row>
    <row r="201">
      <c r="A201" s="15" t="n"/>
      <c r="B201">
        <f>IF($AH201="","",INDEX('Per Line'!$E$2:$E$1501,$AH201)&amp;"")</f>
        <v/>
      </c>
      <c r="C201">
        <f>IF($AH201="","",IF(INDEX('Per Line'!$AP$2:$AP$1501,$AH201)="NOT MATCH","NOT MATCH","FULL MATCH"))</f>
        <v/>
      </c>
      <c r="D201">
        <f>IF($AH201="","",INDEX('Per Line'!$A$2:$A$1501,$AH201)&amp;"")</f>
        <v/>
      </c>
      <c r="E201">
        <f>IF($AH201="","",INDEX('Per Line'!$B$2:$B$1501,$AH201))</f>
        <v/>
      </c>
      <c r="F201">
        <f>IF($AH201="","",INDEX('Per Line'!$C$2:$C$1501,$AH201)&amp;"")</f>
        <v/>
      </c>
      <c r="G201">
        <f>IF($AH201="","",INDEX('Per Line'!$D$2:$D$1501,$AH201)&amp;"")</f>
        <v/>
      </c>
      <c r="H201">
        <f>IF($AH201="","",INDEX('Per Line'!$F$2:$F$1501,$AH201)&amp;"")</f>
        <v/>
      </c>
      <c r="I201" s="14">
        <f>IF($AH201="","",INDEX('Per Line'!$G$2:$G$1501,$AH201))</f>
        <v/>
      </c>
      <c r="J201">
        <f>IF($AH201="","",INDEX('Per Line'!$H$2:$H$1501,$AH201)&amp;"")</f>
        <v/>
      </c>
      <c r="K201">
        <f>IF($AH201="","",INDEX('Per Line'!$J$2:$J$1501,$AH201)&amp;"")</f>
        <v/>
      </c>
      <c r="L201">
        <f>IF($AH201="","",INDEX('Per Line'!$K$2:$K$1501,$AH201)&amp;"")</f>
        <v/>
      </c>
      <c r="M201">
        <f>IF($AH201="","",INDEX('Per Line'!$L$2:$L$1501,$AH201)&amp;"")</f>
        <v/>
      </c>
      <c r="N201">
        <f>IF($AH201="","",INDEX('Per Line'!$M$2:$M$1501,$AH201)&amp;"")</f>
        <v/>
      </c>
      <c r="O201">
        <f>IF($AH201="","",INDEX('Per Line'!$P$2:$P$1501,$AH201))</f>
        <v/>
      </c>
      <c r="P201" s="7">
        <f>IF($AH201="","",O201*AD201/100)</f>
        <v/>
      </c>
      <c r="Q201">
        <f>IF($AH201="","",INDEX('Per Line'!$R$2:$R$1501,$AH201)&amp;"")</f>
        <v/>
      </c>
      <c r="R201">
        <f>IF($AH201="","",INDEX('Per Line'!$AB$2:$AB$1501,$AH201)&amp;"")</f>
        <v/>
      </c>
      <c r="S201">
        <f>IF($AH201="","",Settings!$C$8)</f>
        <v/>
      </c>
      <c r="T201" s="7">
        <f>IF($AH201="","",SUMIFS('Per Line'!$Z$2:$Z$1501,'Per Line'!$E$2:$E$1501,$B201,'Per Line'!$AT$2:$AT$1501,1))</f>
        <v/>
      </c>
      <c r="U201" s="7">
        <f>IF($AH201="","",T201*S201)</f>
        <v/>
      </c>
      <c r="V201">
        <f>IF($AH201="","",Settings!$C$7)</f>
        <v/>
      </c>
      <c r="W201" s="7">
        <f>IF($AH201="","",SUMIFS('Per Line'!$Z$2:$Z$1501,'Per Line'!$E$2:$E$1501,$B201,'Per Line'!$AS$2:$AS$1501,0,'Per Line'!$AT$2:$AT$1501,0))</f>
        <v/>
      </c>
      <c r="X201" s="7">
        <f>IF($AH201="","",W201*V201)</f>
        <v/>
      </c>
      <c r="Y201">
        <f>IF($AH201="","",Settings!$C$6)</f>
        <v/>
      </c>
      <c r="Z201" s="7">
        <f>IF($AH201="","",SUMIFS('Per Line'!$Z$2:$Z$1501,'Per Line'!$E$2:$E$1501,$B201,'Per Line'!$AS$2:$AS$1501,1,'Per Line'!$AT$2:$AT$1501,0))</f>
        <v/>
      </c>
      <c r="AA201" s="7">
        <f>IF($AH201="","",Z201*Y201)</f>
        <v/>
      </c>
      <c r="AB201" s="7">
        <f>IF($AH201="","",AA201+X201+U201)</f>
        <v/>
      </c>
      <c r="AC201" s="7">
        <f>IF($AH201="","",AD201-AB201)</f>
        <v/>
      </c>
      <c r="AD201" s="7">
        <f>IF($AH201="","",W201+Z201+T201)</f>
        <v/>
      </c>
      <c r="AE201" s="7">
        <f>IF($AH201="","",AD201-AB201-P201)</f>
        <v/>
      </c>
      <c r="AF201" s="15" t="n"/>
      <c r="AG201" s="7">
        <f>IF($AH201="","",AE201-N(AF201))</f>
        <v/>
      </c>
      <c r="AH201" s="16">
        <f>IF(ROWS($AH$2:$AH201)&lt;=MAX('Per Line'!$AR$2:$AR$1501),MATCH(ROWS($AH$2:$AH201),'Per Line'!$AR$2:$AR$1501,0),"")</f>
        <v/>
      </c>
      <c r="AI201">
        <f>IF($AH201="","",C201&amp;"|"&amp;COUNTIF($C$2:$C201,C201))</f>
        <v/>
      </c>
    </row>
    <row r="202">
      <c r="A202" s="15" t="n"/>
      <c r="B202">
        <f>IF($AH202="","",INDEX('Per Line'!$E$2:$E$1501,$AH202)&amp;"")</f>
        <v/>
      </c>
      <c r="C202">
        <f>IF($AH202="","",IF(INDEX('Per Line'!$AP$2:$AP$1501,$AH202)="NOT MATCH","NOT MATCH","FULL MATCH"))</f>
        <v/>
      </c>
      <c r="D202">
        <f>IF($AH202="","",INDEX('Per Line'!$A$2:$A$1501,$AH202)&amp;"")</f>
        <v/>
      </c>
      <c r="E202">
        <f>IF($AH202="","",INDEX('Per Line'!$B$2:$B$1501,$AH202))</f>
        <v/>
      </c>
      <c r="F202">
        <f>IF($AH202="","",INDEX('Per Line'!$C$2:$C$1501,$AH202)&amp;"")</f>
        <v/>
      </c>
      <c r="G202">
        <f>IF($AH202="","",INDEX('Per Line'!$D$2:$D$1501,$AH202)&amp;"")</f>
        <v/>
      </c>
      <c r="H202">
        <f>IF($AH202="","",INDEX('Per Line'!$F$2:$F$1501,$AH202)&amp;"")</f>
        <v/>
      </c>
      <c r="I202" s="14">
        <f>IF($AH202="","",INDEX('Per Line'!$G$2:$G$1501,$AH202))</f>
        <v/>
      </c>
      <c r="J202">
        <f>IF($AH202="","",INDEX('Per Line'!$H$2:$H$1501,$AH202)&amp;"")</f>
        <v/>
      </c>
      <c r="K202">
        <f>IF($AH202="","",INDEX('Per Line'!$J$2:$J$1501,$AH202)&amp;"")</f>
        <v/>
      </c>
      <c r="L202">
        <f>IF($AH202="","",INDEX('Per Line'!$K$2:$K$1501,$AH202)&amp;"")</f>
        <v/>
      </c>
      <c r="M202">
        <f>IF($AH202="","",INDEX('Per Line'!$L$2:$L$1501,$AH202)&amp;"")</f>
        <v/>
      </c>
      <c r="N202">
        <f>IF($AH202="","",INDEX('Per Line'!$M$2:$M$1501,$AH202)&amp;"")</f>
        <v/>
      </c>
      <c r="O202">
        <f>IF($AH202="","",INDEX('Per Line'!$P$2:$P$1501,$AH202))</f>
        <v/>
      </c>
      <c r="P202" s="7">
        <f>IF($AH202="","",O202*AD202/100)</f>
        <v/>
      </c>
      <c r="Q202">
        <f>IF($AH202="","",INDEX('Per Line'!$R$2:$R$1501,$AH202)&amp;"")</f>
        <v/>
      </c>
      <c r="R202">
        <f>IF($AH202="","",INDEX('Per Line'!$AB$2:$AB$1501,$AH202)&amp;"")</f>
        <v/>
      </c>
      <c r="S202">
        <f>IF($AH202="","",Settings!$C$8)</f>
        <v/>
      </c>
      <c r="T202" s="7">
        <f>IF($AH202="","",SUMIFS('Per Line'!$Z$2:$Z$1501,'Per Line'!$E$2:$E$1501,$B202,'Per Line'!$AT$2:$AT$1501,1))</f>
        <v/>
      </c>
      <c r="U202" s="7">
        <f>IF($AH202="","",T202*S202)</f>
        <v/>
      </c>
      <c r="V202">
        <f>IF($AH202="","",Settings!$C$7)</f>
        <v/>
      </c>
      <c r="W202" s="7">
        <f>IF($AH202="","",SUMIFS('Per Line'!$Z$2:$Z$1501,'Per Line'!$E$2:$E$1501,$B202,'Per Line'!$AS$2:$AS$1501,0,'Per Line'!$AT$2:$AT$1501,0))</f>
        <v/>
      </c>
      <c r="X202" s="7">
        <f>IF($AH202="","",W202*V202)</f>
        <v/>
      </c>
      <c r="Y202">
        <f>IF($AH202="","",Settings!$C$6)</f>
        <v/>
      </c>
      <c r="Z202" s="7">
        <f>IF($AH202="","",SUMIFS('Per Line'!$Z$2:$Z$1501,'Per Line'!$E$2:$E$1501,$B202,'Per Line'!$AS$2:$AS$1501,1,'Per Line'!$AT$2:$AT$1501,0))</f>
        <v/>
      </c>
      <c r="AA202" s="7">
        <f>IF($AH202="","",Z202*Y202)</f>
        <v/>
      </c>
      <c r="AB202" s="7">
        <f>IF($AH202="","",AA202+X202+U202)</f>
        <v/>
      </c>
      <c r="AC202" s="7">
        <f>IF($AH202="","",AD202-AB202)</f>
        <v/>
      </c>
      <c r="AD202" s="7">
        <f>IF($AH202="","",W202+Z202+T202)</f>
        <v/>
      </c>
      <c r="AE202" s="7">
        <f>IF($AH202="","",AD202-AB202-P202)</f>
        <v/>
      </c>
      <c r="AF202" s="15" t="n"/>
      <c r="AG202" s="7">
        <f>IF($AH202="","",AE202-N(AF202))</f>
        <v/>
      </c>
      <c r="AH202" s="16">
        <f>IF(ROWS($AH$2:$AH202)&lt;=MAX('Per Line'!$AR$2:$AR$1501),MATCH(ROWS($AH$2:$AH202),'Per Line'!$AR$2:$AR$1501,0),"")</f>
        <v/>
      </c>
      <c r="AI202">
        <f>IF($AH202="","",C202&amp;"|"&amp;COUNTIF($C$2:$C202,C202))</f>
        <v/>
      </c>
    </row>
    <row r="203">
      <c r="A203" s="15" t="n"/>
      <c r="B203">
        <f>IF($AH203="","",INDEX('Per Line'!$E$2:$E$1501,$AH203)&amp;"")</f>
        <v/>
      </c>
      <c r="C203">
        <f>IF($AH203="","",IF(INDEX('Per Line'!$AP$2:$AP$1501,$AH203)="NOT MATCH","NOT MATCH","FULL MATCH"))</f>
        <v/>
      </c>
      <c r="D203">
        <f>IF($AH203="","",INDEX('Per Line'!$A$2:$A$1501,$AH203)&amp;"")</f>
        <v/>
      </c>
      <c r="E203">
        <f>IF($AH203="","",INDEX('Per Line'!$B$2:$B$1501,$AH203))</f>
        <v/>
      </c>
      <c r="F203">
        <f>IF($AH203="","",INDEX('Per Line'!$C$2:$C$1501,$AH203)&amp;"")</f>
        <v/>
      </c>
      <c r="G203">
        <f>IF($AH203="","",INDEX('Per Line'!$D$2:$D$1501,$AH203)&amp;"")</f>
        <v/>
      </c>
      <c r="H203">
        <f>IF($AH203="","",INDEX('Per Line'!$F$2:$F$1501,$AH203)&amp;"")</f>
        <v/>
      </c>
      <c r="I203" s="14">
        <f>IF($AH203="","",INDEX('Per Line'!$G$2:$G$1501,$AH203))</f>
        <v/>
      </c>
      <c r="J203">
        <f>IF($AH203="","",INDEX('Per Line'!$H$2:$H$1501,$AH203)&amp;"")</f>
        <v/>
      </c>
      <c r="K203">
        <f>IF($AH203="","",INDEX('Per Line'!$J$2:$J$1501,$AH203)&amp;"")</f>
        <v/>
      </c>
      <c r="L203">
        <f>IF($AH203="","",INDEX('Per Line'!$K$2:$K$1501,$AH203)&amp;"")</f>
        <v/>
      </c>
      <c r="M203">
        <f>IF($AH203="","",INDEX('Per Line'!$L$2:$L$1501,$AH203)&amp;"")</f>
        <v/>
      </c>
      <c r="N203">
        <f>IF($AH203="","",INDEX('Per Line'!$M$2:$M$1501,$AH203)&amp;"")</f>
        <v/>
      </c>
      <c r="O203">
        <f>IF($AH203="","",INDEX('Per Line'!$P$2:$P$1501,$AH203))</f>
        <v/>
      </c>
      <c r="P203" s="7">
        <f>IF($AH203="","",O203*AD203/100)</f>
        <v/>
      </c>
      <c r="Q203">
        <f>IF($AH203="","",INDEX('Per Line'!$R$2:$R$1501,$AH203)&amp;"")</f>
        <v/>
      </c>
      <c r="R203">
        <f>IF($AH203="","",INDEX('Per Line'!$AB$2:$AB$1501,$AH203)&amp;"")</f>
        <v/>
      </c>
      <c r="S203">
        <f>IF($AH203="","",Settings!$C$8)</f>
        <v/>
      </c>
      <c r="T203" s="7">
        <f>IF($AH203="","",SUMIFS('Per Line'!$Z$2:$Z$1501,'Per Line'!$E$2:$E$1501,$B203,'Per Line'!$AT$2:$AT$1501,1))</f>
        <v/>
      </c>
      <c r="U203" s="7">
        <f>IF($AH203="","",T203*S203)</f>
        <v/>
      </c>
      <c r="V203">
        <f>IF($AH203="","",Settings!$C$7)</f>
        <v/>
      </c>
      <c r="W203" s="7">
        <f>IF($AH203="","",SUMIFS('Per Line'!$Z$2:$Z$1501,'Per Line'!$E$2:$E$1501,$B203,'Per Line'!$AS$2:$AS$1501,0,'Per Line'!$AT$2:$AT$1501,0))</f>
        <v/>
      </c>
      <c r="X203" s="7">
        <f>IF($AH203="","",W203*V203)</f>
        <v/>
      </c>
      <c r="Y203">
        <f>IF($AH203="","",Settings!$C$6)</f>
        <v/>
      </c>
      <c r="Z203" s="7">
        <f>IF($AH203="","",SUMIFS('Per Line'!$Z$2:$Z$1501,'Per Line'!$E$2:$E$1501,$B203,'Per Line'!$AS$2:$AS$1501,1,'Per Line'!$AT$2:$AT$1501,0))</f>
        <v/>
      </c>
      <c r="AA203" s="7">
        <f>IF($AH203="","",Z203*Y203)</f>
        <v/>
      </c>
      <c r="AB203" s="7">
        <f>IF($AH203="","",AA203+X203+U203)</f>
        <v/>
      </c>
      <c r="AC203" s="7">
        <f>IF($AH203="","",AD203-AB203)</f>
        <v/>
      </c>
      <c r="AD203" s="7">
        <f>IF($AH203="","",W203+Z203+T203)</f>
        <v/>
      </c>
      <c r="AE203" s="7">
        <f>IF($AH203="","",AD203-AB203-P203)</f>
        <v/>
      </c>
      <c r="AF203" s="15" t="n"/>
      <c r="AG203" s="7">
        <f>IF($AH203="","",AE203-N(AF203))</f>
        <v/>
      </c>
      <c r="AH203" s="16">
        <f>IF(ROWS($AH$2:$AH203)&lt;=MAX('Per Line'!$AR$2:$AR$1501),MATCH(ROWS($AH$2:$AH203),'Per Line'!$AR$2:$AR$1501,0),"")</f>
        <v/>
      </c>
      <c r="AI203">
        <f>IF($AH203="","",C203&amp;"|"&amp;COUNTIF($C$2:$C203,C203))</f>
        <v/>
      </c>
    </row>
    <row r="204">
      <c r="A204" s="15" t="n"/>
      <c r="B204">
        <f>IF($AH204="","",INDEX('Per Line'!$E$2:$E$1501,$AH204)&amp;"")</f>
        <v/>
      </c>
      <c r="C204">
        <f>IF($AH204="","",IF(INDEX('Per Line'!$AP$2:$AP$1501,$AH204)="NOT MATCH","NOT MATCH","FULL MATCH"))</f>
        <v/>
      </c>
      <c r="D204">
        <f>IF($AH204="","",INDEX('Per Line'!$A$2:$A$1501,$AH204)&amp;"")</f>
        <v/>
      </c>
      <c r="E204">
        <f>IF($AH204="","",INDEX('Per Line'!$B$2:$B$1501,$AH204))</f>
        <v/>
      </c>
      <c r="F204">
        <f>IF($AH204="","",INDEX('Per Line'!$C$2:$C$1501,$AH204)&amp;"")</f>
        <v/>
      </c>
      <c r="G204">
        <f>IF($AH204="","",INDEX('Per Line'!$D$2:$D$1501,$AH204)&amp;"")</f>
        <v/>
      </c>
      <c r="H204">
        <f>IF($AH204="","",INDEX('Per Line'!$F$2:$F$1501,$AH204)&amp;"")</f>
        <v/>
      </c>
      <c r="I204" s="14">
        <f>IF($AH204="","",INDEX('Per Line'!$G$2:$G$1501,$AH204))</f>
        <v/>
      </c>
      <c r="J204">
        <f>IF($AH204="","",INDEX('Per Line'!$H$2:$H$1501,$AH204)&amp;"")</f>
        <v/>
      </c>
      <c r="K204">
        <f>IF($AH204="","",INDEX('Per Line'!$J$2:$J$1501,$AH204)&amp;"")</f>
        <v/>
      </c>
      <c r="L204">
        <f>IF($AH204="","",INDEX('Per Line'!$K$2:$K$1501,$AH204)&amp;"")</f>
        <v/>
      </c>
      <c r="M204">
        <f>IF($AH204="","",INDEX('Per Line'!$L$2:$L$1501,$AH204)&amp;"")</f>
        <v/>
      </c>
      <c r="N204">
        <f>IF($AH204="","",INDEX('Per Line'!$M$2:$M$1501,$AH204)&amp;"")</f>
        <v/>
      </c>
      <c r="O204">
        <f>IF($AH204="","",INDEX('Per Line'!$P$2:$P$1501,$AH204))</f>
        <v/>
      </c>
      <c r="P204" s="7">
        <f>IF($AH204="","",O204*AD204/100)</f>
        <v/>
      </c>
      <c r="Q204">
        <f>IF($AH204="","",INDEX('Per Line'!$R$2:$R$1501,$AH204)&amp;"")</f>
        <v/>
      </c>
      <c r="R204">
        <f>IF($AH204="","",INDEX('Per Line'!$AB$2:$AB$1501,$AH204)&amp;"")</f>
        <v/>
      </c>
      <c r="S204">
        <f>IF($AH204="","",Settings!$C$8)</f>
        <v/>
      </c>
      <c r="T204" s="7">
        <f>IF($AH204="","",SUMIFS('Per Line'!$Z$2:$Z$1501,'Per Line'!$E$2:$E$1501,$B204,'Per Line'!$AT$2:$AT$1501,1))</f>
        <v/>
      </c>
      <c r="U204" s="7">
        <f>IF($AH204="","",T204*S204)</f>
        <v/>
      </c>
      <c r="V204">
        <f>IF($AH204="","",Settings!$C$7)</f>
        <v/>
      </c>
      <c r="W204" s="7">
        <f>IF($AH204="","",SUMIFS('Per Line'!$Z$2:$Z$1501,'Per Line'!$E$2:$E$1501,$B204,'Per Line'!$AS$2:$AS$1501,0,'Per Line'!$AT$2:$AT$1501,0))</f>
        <v/>
      </c>
      <c r="X204" s="7">
        <f>IF($AH204="","",W204*V204)</f>
        <v/>
      </c>
      <c r="Y204">
        <f>IF($AH204="","",Settings!$C$6)</f>
        <v/>
      </c>
      <c r="Z204" s="7">
        <f>IF($AH204="","",SUMIFS('Per Line'!$Z$2:$Z$1501,'Per Line'!$E$2:$E$1501,$B204,'Per Line'!$AS$2:$AS$1501,1,'Per Line'!$AT$2:$AT$1501,0))</f>
        <v/>
      </c>
      <c r="AA204" s="7">
        <f>IF($AH204="","",Z204*Y204)</f>
        <v/>
      </c>
      <c r="AB204" s="7">
        <f>IF($AH204="","",AA204+X204+U204)</f>
        <v/>
      </c>
      <c r="AC204" s="7">
        <f>IF($AH204="","",AD204-AB204)</f>
        <v/>
      </c>
      <c r="AD204" s="7">
        <f>IF($AH204="","",W204+Z204+T204)</f>
        <v/>
      </c>
      <c r="AE204" s="7">
        <f>IF($AH204="","",AD204-AB204-P204)</f>
        <v/>
      </c>
      <c r="AF204" s="15" t="n"/>
      <c r="AG204" s="7">
        <f>IF($AH204="","",AE204-N(AF204))</f>
        <v/>
      </c>
      <c r="AH204" s="16">
        <f>IF(ROWS($AH$2:$AH204)&lt;=MAX('Per Line'!$AR$2:$AR$1501),MATCH(ROWS($AH$2:$AH204),'Per Line'!$AR$2:$AR$1501,0),"")</f>
        <v/>
      </c>
      <c r="AI204">
        <f>IF($AH204="","",C204&amp;"|"&amp;COUNTIF($C$2:$C204,C204))</f>
        <v/>
      </c>
    </row>
    <row r="205">
      <c r="A205" s="15" t="n"/>
      <c r="B205">
        <f>IF($AH205="","",INDEX('Per Line'!$E$2:$E$1501,$AH205)&amp;"")</f>
        <v/>
      </c>
      <c r="C205">
        <f>IF($AH205="","",IF(INDEX('Per Line'!$AP$2:$AP$1501,$AH205)="NOT MATCH","NOT MATCH","FULL MATCH"))</f>
        <v/>
      </c>
      <c r="D205">
        <f>IF($AH205="","",INDEX('Per Line'!$A$2:$A$1501,$AH205)&amp;"")</f>
        <v/>
      </c>
      <c r="E205">
        <f>IF($AH205="","",INDEX('Per Line'!$B$2:$B$1501,$AH205))</f>
        <v/>
      </c>
      <c r="F205">
        <f>IF($AH205="","",INDEX('Per Line'!$C$2:$C$1501,$AH205)&amp;"")</f>
        <v/>
      </c>
      <c r="G205">
        <f>IF($AH205="","",INDEX('Per Line'!$D$2:$D$1501,$AH205)&amp;"")</f>
        <v/>
      </c>
      <c r="H205">
        <f>IF($AH205="","",INDEX('Per Line'!$F$2:$F$1501,$AH205)&amp;"")</f>
        <v/>
      </c>
      <c r="I205" s="14">
        <f>IF($AH205="","",INDEX('Per Line'!$G$2:$G$1501,$AH205))</f>
        <v/>
      </c>
      <c r="J205">
        <f>IF($AH205="","",INDEX('Per Line'!$H$2:$H$1501,$AH205)&amp;"")</f>
        <v/>
      </c>
      <c r="K205">
        <f>IF($AH205="","",INDEX('Per Line'!$J$2:$J$1501,$AH205)&amp;"")</f>
        <v/>
      </c>
      <c r="L205">
        <f>IF($AH205="","",INDEX('Per Line'!$K$2:$K$1501,$AH205)&amp;"")</f>
        <v/>
      </c>
      <c r="M205">
        <f>IF($AH205="","",INDEX('Per Line'!$L$2:$L$1501,$AH205)&amp;"")</f>
        <v/>
      </c>
      <c r="N205">
        <f>IF($AH205="","",INDEX('Per Line'!$M$2:$M$1501,$AH205)&amp;"")</f>
        <v/>
      </c>
      <c r="O205">
        <f>IF($AH205="","",INDEX('Per Line'!$P$2:$P$1501,$AH205))</f>
        <v/>
      </c>
      <c r="P205" s="7">
        <f>IF($AH205="","",O205*AD205/100)</f>
        <v/>
      </c>
      <c r="Q205">
        <f>IF($AH205="","",INDEX('Per Line'!$R$2:$R$1501,$AH205)&amp;"")</f>
        <v/>
      </c>
      <c r="R205">
        <f>IF($AH205="","",INDEX('Per Line'!$AB$2:$AB$1501,$AH205)&amp;"")</f>
        <v/>
      </c>
      <c r="S205">
        <f>IF($AH205="","",Settings!$C$8)</f>
        <v/>
      </c>
      <c r="T205" s="7">
        <f>IF($AH205="","",SUMIFS('Per Line'!$Z$2:$Z$1501,'Per Line'!$E$2:$E$1501,$B205,'Per Line'!$AT$2:$AT$1501,1))</f>
        <v/>
      </c>
      <c r="U205" s="7">
        <f>IF($AH205="","",T205*S205)</f>
        <v/>
      </c>
      <c r="V205">
        <f>IF($AH205="","",Settings!$C$7)</f>
        <v/>
      </c>
      <c r="W205" s="7">
        <f>IF($AH205="","",SUMIFS('Per Line'!$Z$2:$Z$1501,'Per Line'!$E$2:$E$1501,$B205,'Per Line'!$AS$2:$AS$1501,0,'Per Line'!$AT$2:$AT$1501,0))</f>
        <v/>
      </c>
      <c r="X205" s="7">
        <f>IF($AH205="","",W205*V205)</f>
        <v/>
      </c>
      <c r="Y205">
        <f>IF($AH205="","",Settings!$C$6)</f>
        <v/>
      </c>
      <c r="Z205" s="7">
        <f>IF($AH205="","",SUMIFS('Per Line'!$Z$2:$Z$1501,'Per Line'!$E$2:$E$1501,$B205,'Per Line'!$AS$2:$AS$1501,1,'Per Line'!$AT$2:$AT$1501,0))</f>
        <v/>
      </c>
      <c r="AA205" s="7">
        <f>IF($AH205="","",Z205*Y205)</f>
        <v/>
      </c>
      <c r="AB205" s="7">
        <f>IF($AH205="","",AA205+X205+U205)</f>
        <v/>
      </c>
      <c r="AC205" s="7">
        <f>IF($AH205="","",AD205-AB205)</f>
        <v/>
      </c>
      <c r="AD205" s="7">
        <f>IF($AH205="","",W205+Z205+T205)</f>
        <v/>
      </c>
      <c r="AE205" s="7">
        <f>IF($AH205="","",AD205-AB205-P205)</f>
        <v/>
      </c>
      <c r="AF205" s="15" t="n"/>
      <c r="AG205" s="7">
        <f>IF($AH205="","",AE205-N(AF205))</f>
        <v/>
      </c>
      <c r="AH205" s="16">
        <f>IF(ROWS($AH$2:$AH205)&lt;=MAX('Per Line'!$AR$2:$AR$1501),MATCH(ROWS($AH$2:$AH205),'Per Line'!$AR$2:$AR$1501,0),"")</f>
        <v/>
      </c>
      <c r="AI205">
        <f>IF($AH205="","",C205&amp;"|"&amp;COUNTIF($C$2:$C205,C205))</f>
        <v/>
      </c>
    </row>
    <row r="206">
      <c r="A206" s="15" t="n"/>
      <c r="B206">
        <f>IF($AH206="","",INDEX('Per Line'!$E$2:$E$1501,$AH206)&amp;"")</f>
        <v/>
      </c>
      <c r="C206">
        <f>IF($AH206="","",IF(INDEX('Per Line'!$AP$2:$AP$1501,$AH206)="NOT MATCH","NOT MATCH","FULL MATCH"))</f>
        <v/>
      </c>
      <c r="D206">
        <f>IF($AH206="","",INDEX('Per Line'!$A$2:$A$1501,$AH206)&amp;"")</f>
        <v/>
      </c>
      <c r="E206">
        <f>IF($AH206="","",INDEX('Per Line'!$B$2:$B$1501,$AH206))</f>
        <v/>
      </c>
      <c r="F206">
        <f>IF($AH206="","",INDEX('Per Line'!$C$2:$C$1501,$AH206)&amp;"")</f>
        <v/>
      </c>
      <c r="G206">
        <f>IF($AH206="","",INDEX('Per Line'!$D$2:$D$1501,$AH206)&amp;"")</f>
        <v/>
      </c>
      <c r="H206">
        <f>IF($AH206="","",INDEX('Per Line'!$F$2:$F$1501,$AH206)&amp;"")</f>
        <v/>
      </c>
      <c r="I206" s="14">
        <f>IF($AH206="","",INDEX('Per Line'!$G$2:$G$1501,$AH206))</f>
        <v/>
      </c>
      <c r="J206">
        <f>IF($AH206="","",INDEX('Per Line'!$H$2:$H$1501,$AH206)&amp;"")</f>
        <v/>
      </c>
      <c r="K206">
        <f>IF($AH206="","",INDEX('Per Line'!$J$2:$J$1501,$AH206)&amp;"")</f>
        <v/>
      </c>
      <c r="L206">
        <f>IF($AH206="","",INDEX('Per Line'!$K$2:$K$1501,$AH206)&amp;"")</f>
        <v/>
      </c>
      <c r="M206">
        <f>IF($AH206="","",INDEX('Per Line'!$L$2:$L$1501,$AH206)&amp;"")</f>
        <v/>
      </c>
      <c r="N206">
        <f>IF($AH206="","",INDEX('Per Line'!$M$2:$M$1501,$AH206)&amp;"")</f>
        <v/>
      </c>
      <c r="O206">
        <f>IF($AH206="","",INDEX('Per Line'!$P$2:$P$1501,$AH206))</f>
        <v/>
      </c>
      <c r="P206" s="7">
        <f>IF($AH206="","",O206*AD206/100)</f>
        <v/>
      </c>
      <c r="Q206">
        <f>IF($AH206="","",INDEX('Per Line'!$R$2:$R$1501,$AH206)&amp;"")</f>
        <v/>
      </c>
      <c r="R206">
        <f>IF($AH206="","",INDEX('Per Line'!$AB$2:$AB$1501,$AH206)&amp;"")</f>
        <v/>
      </c>
      <c r="S206">
        <f>IF($AH206="","",Settings!$C$8)</f>
        <v/>
      </c>
      <c r="T206" s="7">
        <f>IF($AH206="","",SUMIFS('Per Line'!$Z$2:$Z$1501,'Per Line'!$E$2:$E$1501,$B206,'Per Line'!$AT$2:$AT$1501,1))</f>
        <v/>
      </c>
      <c r="U206" s="7">
        <f>IF($AH206="","",T206*S206)</f>
        <v/>
      </c>
      <c r="V206">
        <f>IF($AH206="","",Settings!$C$7)</f>
        <v/>
      </c>
      <c r="W206" s="7">
        <f>IF($AH206="","",SUMIFS('Per Line'!$Z$2:$Z$1501,'Per Line'!$E$2:$E$1501,$B206,'Per Line'!$AS$2:$AS$1501,0,'Per Line'!$AT$2:$AT$1501,0))</f>
        <v/>
      </c>
      <c r="X206" s="7">
        <f>IF($AH206="","",W206*V206)</f>
        <v/>
      </c>
      <c r="Y206">
        <f>IF($AH206="","",Settings!$C$6)</f>
        <v/>
      </c>
      <c r="Z206" s="7">
        <f>IF($AH206="","",SUMIFS('Per Line'!$Z$2:$Z$1501,'Per Line'!$E$2:$E$1501,$B206,'Per Line'!$AS$2:$AS$1501,1,'Per Line'!$AT$2:$AT$1501,0))</f>
        <v/>
      </c>
      <c r="AA206" s="7">
        <f>IF($AH206="","",Z206*Y206)</f>
        <v/>
      </c>
      <c r="AB206" s="7">
        <f>IF($AH206="","",AA206+X206+U206)</f>
        <v/>
      </c>
      <c r="AC206" s="7">
        <f>IF($AH206="","",AD206-AB206)</f>
        <v/>
      </c>
      <c r="AD206" s="7">
        <f>IF($AH206="","",W206+Z206+T206)</f>
        <v/>
      </c>
      <c r="AE206" s="7">
        <f>IF($AH206="","",AD206-AB206-P206)</f>
        <v/>
      </c>
      <c r="AF206" s="15" t="n"/>
      <c r="AG206" s="7">
        <f>IF($AH206="","",AE206-N(AF206))</f>
        <v/>
      </c>
      <c r="AH206" s="16">
        <f>IF(ROWS($AH$2:$AH206)&lt;=MAX('Per Line'!$AR$2:$AR$1501),MATCH(ROWS($AH$2:$AH206),'Per Line'!$AR$2:$AR$1501,0),"")</f>
        <v/>
      </c>
      <c r="AI206">
        <f>IF($AH206="","",C206&amp;"|"&amp;COUNTIF($C$2:$C206,C206))</f>
        <v/>
      </c>
    </row>
    <row r="207">
      <c r="A207" s="15" t="n"/>
      <c r="B207">
        <f>IF($AH207="","",INDEX('Per Line'!$E$2:$E$1501,$AH207)&amp;"")</f>
        <v/>
      </c>
      <c r="C207">
        <f>IF($AH207="","",IF(INDEX('Per Line'!$AP$2:$AP$1501,$AH207)="NOT MATCH","NOT MATCH","FULL MATCH"))</f>
        <v/>
      </c>
      <c r="D207">
        <f>IF($AH207="","",INDEX('Per Line'!$A$2:$A$1501,$AH207)&amp;"")</f>
        <v/>
      </c>
      <c r="E207">
        <f>IF($AH207="","",INDEX('Per Line'!$B$2:$B$1501,$AH207))</f>
        <v/>
      </c>
      <c r="F207">
        <f>IF($AH207="","",INDEX('Per Line'!$C$2:$C$1501,$AH207)&amp;"")</f>
        <v/>
      </c>
      <c r="G207">
        <f>IF($AH207="","",INDEX('Per Line'!$D$2:$D$1501,$AH207)&amp;"")</f>
        <v/>
      </c>
      <c r="H207">
        <f>IF($AH207="","",INDEX('Per Line'!$F$2:$F$1501,$AH207)&amp;"")</f>
        <v/>
      </c>
      <c r="I207" s="14">
        <f>IF($AH207="","",INDEX('Per Line'!$G$2:$G$1501,$AH207))</f>
        <v/>
      </c>
      <c r="J207">
        <f>IF($AH207="","",INDEX('Per Line'!$H$2:$H$1501,$AH207)&amp;"")</f>
        <v/>
      </c>
      <c r="K207">
        <f>IF($AH207="","",INDEX('Per Line'!$J$2:$J$1501,$AH207)&amp;"")</f>
        <v/>
      </c>
      <c r="L207">
        <f>IF($AH207="","",INDEX('Per Line'!$K$2:$K$1501,$AH207)&amp;"")</f>
        <v/>
      </c>
      <c r="M207">
        <f>IF($AH207="","",INDEX('Per Line'!$L$2:$L$1501,$AH207)&amp;"")</f>
        <v/>
      </c>
      <c r="N207">
        <f>IF($AH207="","",INDEX('Per Line'!$M$2:$M$1501,$AH207)&amp;"")</f>
        <v/>
      </c>
      <c r="O207">
        <f>IF($AH207="","",INDEX('Per Line'!$P$2:$P$1501,$AH207))</f>
        <v/>
      </c>
      <c r="P207" s="7">
        <f>IF($AH207="","",O207*AD207/100)</f>
        <v/>
      </c>
      <c r="Q207">
        <f>IF($AH207="","",INDEX('Per Line'!$R$2:$R$1501,$AH207)&amp;"")</f>
        <v/>
      </c>
      <c r="R207">
        <f>IF($AH207="","",INDEX('Per Line'!$AB$2:$AB$1501,$AH207)&amp;"")</f>
        <v/>
      </c>
      <c r="S207">
        <f>IF($AH207="","",Settings!$C$8)</f>
        <v/>
      </c>
      <c r="T207" s="7">
        <f>IF($AH207="","",SUMIFS('Per Line'!$Z$2:$Z$1501,'Per Line'!$E$2:$E$1501,$B207,'Per Line'!$AT$2:$AT$1501,1))</f>
        <v/>
      </c>
      <c r="U207" s="7">
        <f>IF($AH207="","",T207*S207)</f>
        <v/>
      </c>
      <c r="V207">
        <f>IF($AH207="","",Settings!$C$7)</f>
        <v/>
      </c>
      <c r="W207" s="7">
        <f>IF($AH207="","",SUMIFS('Per Line'!$Z$2:$Z$1501,'Per Line'!$E$2:$E$1501,$B207,'Per Line'!$AS$2:$AS$1501,0,'Per Line'!$AT$2:$AT$1501,0))</f>
        <v/>
      </c>
      <c r="X207" s="7">
        <f>IF($AH207="","",W207*V207)</f>
        <v/>
      </c>
      <c r="Y207">
        <f>IF($AH207="","",Settings!$C$6)</f>
        <v/>
      </c>
      <c r="Z207" s="7">
        <f>IF($AH207="","",SUMIFS('Per Line'!$Z$2:$Z$1501,'Per Line'!$E$2:$E$1501,$B207,'Per Line'!$AS$2:$AS$1501,1,'Per Line'!$AT$2:$AT$1501,0))</f>
        <v/>
      </c>
      <c r="AA207" s="7">
        <f>IF($AH207="","",Z207*Y207)</f>
        <v/>
      </c>
      <c r="AB207" s="7">
        <f>IF($AH207="","",AA207+X207+U207)</f>
        <v/>
      </c>
      <c r="AC207" s="7">
        <f>IF($AH207="","",AD207-AB207)</f>
        <v/>
      </c>
      <c r="AD207" s="7">
        <f>IF($AH207="","",W207+Z207+T207)</f>
        <v/>
      </c>
      <c r="AE207" s="7">
        <f>IF($AH207="","",AD207-AB207-P207)</f>
        <v/>
      </c>
      <c r="AF207" s="15" t="n"/>
      <c r="AG207" s="7">
        <f>IF($AH207="","",AE207-N(AF207))</f>
        <v/>
      </c>
      <c r="AH207" s="16">
        <f>IF(ROWS($AH$2:$AH207)&lt;=MAX('Per Line'!$AR$2:$AR$1501),MATCH(ROWS($AH$2:$AH207),'Per Line'!$AR$2:$AR$1501,0),"")</f>
        <v/>
      </c>
      <c r="AI207">
        <f>IF($AH207="","",C207&amp;"|"&amp;COUNTIF($C$2:$C207,C207))</f>
        <v/>
      </c>
    </row>
    <row r="208">
      <c r="A208" s="15" t="n"/>
      <c r="B208">
        <f>IF($AH208="","",INDEX('Per Line'!$E$2:$E$1501,$AH208)&amp;"")</f>
        <v/>
      </c>
      <c r="C208">
        <f>IF($AH208="","",IF(INDEX('Per Line'!$AP$2:$AP$1501,$AH208)="NOT MATCH","NOT MATCH","FULL MATCH"))</f>
        <v/>
      </c>
      <c r="D208">
        <f>IF($AH208="","",INDEX('Per Line'!$A$2:$A$1501,$AH208)&amp;"")</f>
        <v/>
      </c>
      <c r="E208">
        <f>IF($AH208="","",INDEX('Per Line'!$B$2:$B$1501,$AH208))</f>
        <v/>
      </c>
      <c r="F208">
        <f>IF($AH208="","",INDEX('Per Line'!$C$2:$C$1501,$AH208)&amp;"")</f>
        <v/>
      </c>
      <c r="G208">
        <f>IF($AH208="","",INDEX('Per Line'!$D$2:$D$1501,$AH208)&amp;"")</f>
        <v/>
      </c>
      <c r="H208">
        <f>IF($AH208="","",INDEX('Per Line'!$F$2:$F$1501,$AH208)&amp;"")</f>
        <v/>
      </c>
      <c r="I208" s="14">
        <f>IF($AH208="","",INDEX('Per Line'!$G$2:$G$1501,$AH208))</f>
        <v/>
      </c>
      <c r="J208">
        <f>IF($AH208="","",INDEX('Per Line'!$H$2:$H$1501,$AH208)&amp;"")</f>
        <v/>
      </c>
      <c r="K208">
        <f>IF($AH208="","",INDEX('Per Line'!$J$2:$J$1501,$AH208)&amp;"")</f>
        <v/>
      </c>
      <c r="L208">
        <f>IF($AH208="","",INDEX('Per Line'!$K$2:$K$1501,$AH208)&amp;"")</f>
        <v/>
      </c>
      <c r="M208">
        <f>IF($AH208="","",INDEX('Per Line'!$L$2:$L$1501,$AH208)&amp;"")</f>
        <v/>
      </c>
      <c r="N208">
        <f>IF($AH208="","",INDEX('Per Line'!$M$2:$M$1501,$AH208)&amp;"")</f>
        <v/>
      </c>
      <c r="O208">
        <f>IF($AH208="","",INDEX('Per Line'!$P$2:$P$1501,$AH208))</f>
        <v/>
      </c>
      <c r="P208" s="7">
        <f>IF($AH208="","",O208*AD208/100)</f>
        <v/>
      </c>
      <c r="Q208">
        <f>IF($AH208="","",INDEX('Per Line'!$R$2:$R$1501,$AH208)&amp;"")</f>
        <v/>
      </c>
      <c r="R208">
        <f>IF($AH208="","",INDEX('Per Line'!$AB$2:$AB$1501,$AH208)&amp;"")</f>
        <v/>
      </c>
      <c r="S208">
        <f>IF($AH208="","",Settings!$C$8)</f>
        <v/>
      </c>
      <c r="T208" s="7">
        <f>IF($AH208="","",SUMIFS('Per Line'!$Z$2:$Z$1501,'Per Line'!$E$2:$E$1501,$B208,'Per Line'!$AT$2:$AT$1501,1))</f>
        <v/>
      </c>
      <c r="U208" s="7">
        <f>IF($AH208="","",T208*S208)</f>
        <v/>
      </c>
      <c r="V208">
        <f>IF($AH208="","",Settings!$C$7)</f>
        <v/>
      </c>
      <c r="W208" s="7">
        <f>IF($AH208="","",SUMIFS('Per Line'!$Z$2:$Z$1501,'Per Line'!$E$2:$E$1501,$B208,'Per Line'!$AS$2:$AS$1501,0,'Per Line'!$AT$2:$AT$1501,0))</f>
        <v/>
      </c>
      <c r="X208" s="7">
        <f>IF($AH208="","",W208*V208)</f>
        <v/>
      </c>
      <c r="Y208">
        <f>IF($AH208="","",Settings!$C$6)</f>
        <v/>
      </c>
      <c r="Z208" s="7">
        <f>IF($AH208="","",SUMIFS('Per Line'!$Z$2:$Z$1501,'Per Line'!$E$2:$E$1501,$B208,'Per Line'!$AS$2:$AS$1501,1,'Per Line'!$AT$2:$AT$1501,0))</f>
        <v/>
      </c>
      <c r="AA208" s="7">
        <f>IF($AH208="","",Z208*Y208)</f>
        <v/>
      </c>
      <c r="AB208" s="7">
        <f>IF($AH208="","",AA208+X208+U208)</f>
        <v/>
      </c>
      <c r="AC208" s="7">
        <f>IF($AH208="","",AD208-AB208)</f>
        <v/>
      </c>
      <c r="AD208" s="7">
        <f>IF($AH208="","",W208+Z208+T208)</f>
        <v/>
      </c>
      <c r="AE208" s="7">
        <f>IF($AH208="","",AD208-AB208-P208)</f>
        <v/>
      </c>
      <c r="AF208" s="15" t="n"/>
      <c r="AG208" s="7">
        <f>IF($AH208="","",AE208-N(AF208))</f>
        <v/>
      </c>
      <c r="AH208" s="16">
        <f>IF(ROWS($AH$2:$AH208)&lt;=MAX('Per Line'!$AR$2:$AR$1501),MATCH(ROWS($AH$2:$AH208),'Per Line'!$AR$2:$AR$1501,0),"")</f>
        <v/>
      </c>
      <c r="AI208">
        <f>IF($AH208="","",C208&amp;"|"&amp;COUNTIF($C$2:$C208,C208))</f>
        <v/>
      </c>
    </row>
    <row r="209">
      <c r="A209" s="15" t="n"/>
      <c r="B209">
        <f>IF($AH209="","",INDEX('Per Line'!$E$2:$E$1501,$AH209)&amp;"")</f>
        <v/>
      </c>
      <c r="C209">
        <f>IF($AH209="","",IF(INDEX('Per Line'!$AP$2:$AP$1501,$AH209)="NOT MATCH","NOT MATCH","FULL MATCH"))</f>
        <v/>
      </c>
      <c r="D209">
        <f>IF($AH209="","",INDEX('Per Line'!$A$2:$A$1501,$AH209)&amp;"")</f>
        <v/>
      </c>
      <c r="E209">
        <f>IF($AH209="","",INDEX('Per Line'!$B$2:$B$1501,$AH209))</f>
        <v/>
      </c>
      <c r="F209">
        <f>IF($AH209="","",INDEX('Per Line'!$C$2:$C$1501,$AH209)&amp;"")</f>
        <v/>
      </c>
      <c r="G209">
        <f>IF($AH209="","",INDEX('Per Line'!$D$2:$D$1501,$AH209)&amp;"")</f>
        <v/>
      </c>
      <c r="H209">
        <f>IF($AH209="","",INDEX('Per Line'!$F$2:$F$1501,$AH209)&amp;"")</f>
        <v/>
      </c>
      <c r="I209" s="14">
        <f>IF($AH209="","",INDEX('Per Line'!$G$2:$G$1501,$AH209))</f>
        <v/>
      </c>
      <c r="J209">
        <f>IF($AH209="","",INDEX('Per Line'!$H$2:$H$1501,$AH209)&amp;"")</f>
        <v/>
      </c>
      <c r="K209">
        <f>IF($AH209="","",INDEX('Per Line'!$J$2:$J$1501,$AH209)&amp;"")</f>
        <v/>
      </c>
      <c r="L209">
        <f>IF($AH209="","",INDEX('Per Line'!$K$2:$K$1501,$AH209)&amp;"")</f>
        <v/>
      </c>
      <c r="M209">
        <f>IF($AH209="","",INDEX('Per Line'!$L$2:$L$1501,$AH209)&amp;"")</f>
        <v/>
      </c>
      <c r="N209">
        <f>IF($AH209="","",INDEX('Per Line'!$M$2:$M$1501,$AH209)&amp;"")</f>
        <v/>
      </c>
      <c r="O209">
        <f>IF($AH209="","",INDEX('Per Line'!$P$2:$P$1501,$AH209))</f>
        <v/>
      </c>
      <c r="P209" s="7">
        <f>IF($AH209="","",O209*AD209/100)</f>
        <v/>
      </c>
      <c r="Q209">
        <f>IF($AH209="","",INDEX('Per Line'!$R$2:$R$1501,$AH209)&amp;"")</f>
        <v/>
      </c>
      <c r="R209">
        <f>IF($AH209="","",INDEX('Per Line'!$AB$2:$AB$1501,$AH209)&amp;"")</f>
        <v/>
      </c>
      <c r="S209">
        <f>IF($AH209="","",Settings!$C$8)</f>
        <v/>
      </c>
      <c r="T209" s="7">
        <f>IF($AH209="","",SUMIFS('Per Line'!$Z$2:$Z$1501,'Per Line'!$E$2:$E$1501,$B209,'Per Line'!$AT$2:$AT$1501,1))</f>
        <v/>
      </c>
      <c r="U209" s="7">
        <f>IF($AH209="","",T209*S209)</f>
        <v/>
      </c>
      <c r="V209">
        <f>IF($AH209="","",Settings!$C$7)</f>
        <v/>
      </c>
      <c r="W209" s="7">
        <f>IF($AH209="","",SUMIFS('Per Line'!$Z$2:$Z$1501,'Per Line'!$E$2:$E$1501,$B209,'Per Line'!$AS$2:$AS$1501,0,'Per Line'!$AT$2:$AT$1501,0))</f>
        <v/>
      </c>
      <c r="X209" s="7">
        <f>IF($AH209="","",W209*V209)</f>
        <v/>
      </c>
      <c r="Y209">
        <f>IF($AH209="","",Settings!$C$6)</f>
        <v/>
      </c>
      <c r="Z209" s="7">
        <f>IF($AH209="","",SUMIFS('Per Line'!$Z$2:$Z$1501,'Per Line'!$E$2:$E$1501,$B209,'Per Line'!$AS$2:$AS$1501,1,'Per Line'!$AT$2:$AT$1501,0))</f>
        <v/>
      </c>
      <c r="AA209" s="7">
        <f>IF($AH209="","",Z209*Y209)</f>
        <v/>
      </c>
      <c r="AB209" s="7">
        <f>IF($AH209="","",AA209+X209+U209)</f>
        <v/>
      </c>
      <c r="AC209" s="7">
        <f>IF($AH209="","",AD209-AB209)</f>
        <v/>
      </c>
      <c r="AD209" s="7">
        <f>IF($AH209="","",W209+Z209+T209)</f>
        <v/>
      </c>
      <c r="AE209" s="7">
        <f>IF($AH209="","",AD209-AB209-P209)</f>
        <v/>
      </c>
      <c r="AF209" s="15" t="n"/>
      <c r="AG209" s="7">
        <f>IF($AH209="","",AE209-N(AF209))</f>
        <v/>
      </c>
      <c r="AH209" s="16">
        <f>IF(ROWS($AH$2:$AH209)&lt;=MAX('Per Line'!$AR$2:$AR$1501),MATCH(ROWS($AH$2:$AH209),'Per Line'!$AR$2:$AR$1501,0),"")</f>
        <v/>
      </c>
      <c r="AI209">
        <f>IF($AH209="","",C209&amp;"|"&amp;COUNTIF($C$2:$C209,C209))</f>
        <v/>
      </c>
    </row>
    <row r="210">
      <c r="A210" s="15" t="n"/>
      <c r="B210">
        <f>IF($AH210="","",INDEX('Per Line'!$E$2:$E$1501,$AH210)&amp;"")</f>
        <v/>
      </c>
      <c r="C210">
        <f>IF($AH210="","",IF(INDEX('Per Line'!$AP$2:$AP$1501,$AH210)="NOT MATCH","NOT MATCH","FULL MATCH"))</f>
        <v/>
      </c>
      <c r="D210">
        <f>IF($AH210="","",INDEX('Per Line'!$A$2:$A$1501,$AH210)&amp;"")</f>
        <v/>
      </c>
      <c r="E210">
        <f>IF($AH210="","",INDEX('Per Line'!$B$2:$B$1501,$AH210))</f>
        <v/>
      </c>
      <c r="F210">
        <f>IF($AH210="","",INDEX('Per Line'!$C$2:$C$1501,$AH210)&amp;"")</f>
        <v/>
      </c>
      <c r="G210">
        <f>IF($AH210="","",INDEX('Per Line'!$D$2:$D$1501,$AH210)&amp;"")</f>
        <v/>
      </c>
      <c r="H210">
        <f>IF($AH210="","",INDEX('Per Line'!$F$2:$F$1501,$AH210)&amp;"")</f>
        <v/>
      </c>
      <c r="I210" s="14">
        <f>IF($AH210="","",INDEX('Per Line'!$G$2:$G$1501,$AH210))</f>
        <v/>
      </c>
      <c r="J210">
        <f>IF($AH210="","",INDEX('Per Line'!$H$2:$H$1501,$AH210)&amp;"")</f>
        <v/>
      </c>
      <c r="K210">
        <f>IF($AH210="","",INDEX('Per Line'!$J$2:$J$1501,$AH210)&amp;"")</f>
        <v/>
      </c>
      <c r="L210">
        <f>IF($AH210="","",INDEX('Per Line'!$K$2:$K$1501,$AH210)&amp;"")</f>
        <v/>
      </c>
      <c r="M210">
        <f>IF($AH210="","",INDEX('Per Line'!$L$2:$L$1501,$AH210)&amp;"")</f>
        <v/>
      </c>
      <c r="N210">
        <f>IF($AH210="","",INDEX('Per Line'!$M$2:$M$1501,$AH210)&amp;"")</f>
        <v/>
      </c>
      <c r="O210">
        <f>IF($AH210="","",INDEX('Per Line'!$P$2:$P$1501,$AH210))</f>
        <v/>
      </c>
      <c r="P210" s="7">
        <f>IF($AH210="","",O210*AD210/100)</f>
        <v/>
      </c>
      <c r="Q210">
        <f>IF($AH210="","",INDEX('Per Line'!$R$2:$R$1501,$AH210)&amp;"")</f>
        <v/>
      </c>
      <c r="R210">
        <f>IF($AH210="","",INDEX('Per Line'!$AB$2:$AB$1501,$AH210)&amp;"")</f>
        <v/>
      </c>
      <c r="S210">
        <f>IF($AH210="","",Settings!$C$8)</f>
        <v/>
      </c>
      <c r="T210" s="7">
        <f>IF($AH210="","",SUMIFS('Per Line'!$Z$2:$Z$1501,'Per Line'!$E$2:$E$1501,$B210,'Per Line'!$AT$2:$AT$1501,1))</f>
        <v/>
      </c>
      <c r="U210" s="7">
        <f>IF($AH210="","",T210*S210)</f>
        <v/>
      </c>
      <c r="V210">
        <f>IF($AH210="","",Settings!$C$7)</f>
        <v/>
      </c>
      <c r="W210" s="7">
        <f>IF($AH210="","",SUMIFS('Per Line'!$Z$2:$Z$1501,'Per Line'!$E$2:$E$1501,$B210,'Per Line'!$AS$2:$AS$1501,0,'Per Line'!$AT$2:$AT$1501,0))</f>
        <v/>
      </c>
      <c r="X210" s="7">
        <f>IF($AH210="","",W210*V210)</f>
        <v/>
      </c>
      <c r="Y210">
        <f>IF($AH210="","",Settings!$C$6)</f>
        <v/>
      </c>
      <c r="Z210" s="7">
        <f>IF($AH210="","",SUMIFS('Per Line'!$Z$2:$Z$1501,'Per Line'!$E$2:$E$1501,$B210,'Per Line'!$AS$2:$AS$1501,1,'Per Line'!$AT$2:$AT$1501,0))</f>
        <v/>
      </c>
      <c r="AA210" s="7">
        <f>IF($AH210="","",Z210*Y210)</f>
        <v/>
      </c>
      <c r="AB210" s="7">
        <f>IF($AH210="","",AA210+X210+U210)</f>
        <v/>
      </c>
      <c r="AC210" s="7">
        <f>IF($AH210="","",AD210-AB210)</f>
        <v/>
      </c>
      <c r="AD210" s="7">
        <f>IF($AH210="","",W210+Z210+T210)</f>
        <v/>
      </c>
      <c r="AE210" s="7">
        <f>IF($AH210="","",AD210-AB210-P210)</f>
        <v/>
      </c>
      <c r="AF210" s="15" t="n"/>
      <c r="AG210" s="7">
        <f>IF($AH210="","",AE210-N(AF210))</f>
        <v/>
      </c>
      <c r="AH210" s="16">
        <f>IF(ROWS($AH$2:$AH210)&lt;=MAX('Per Line'!$AR$2:$AR$1501),MATCH(ROWS($AH$2:$AH210),'Per Line'!$AR$2:$AR$1501,0),"")</f>
        <v/>
      </c>
      <c r="AI210">
        <f>IF($AH210="","",C210&amp;"|"&amp;COUNTIF($C$2:$C210,C210))</f>
        <v/>
      </c>
    </row>
    <row r="211">
      <c r="A211" s="15" t="n"/>
      <c r="B211">
        <f>IF($AH211="","",INDEX('Per Line'!$E$2:$E$1501,$AH211)&amp;"")</f>
        <v/>
      </c>
      <c r="C211">
        <f>IF($AH211="","",IF(INDEX('Per Line'!$AP$2:$AP$1501,$AH211)="NOT MATCH","NOT MATCH","FULL MATCH"))</f>
        <v/>
      </c>
      <c r="D211">
        <f>IF($AH211="","",INDEX('Per Line'!$A$2:$A$1501,$AH211)&amp;"")</f>
        <v/>
      </c>
      <c r="E211">
        <f>IF($AH211="","",INDEX('Per Line'!$B$2:$B$1501,$AH211))</f>
        <v/>
      </c>
      <c r="F211">
        <f>IF($AH211="","",INDEX('Per Line'!$C$2:$C$1501,$AH211)&amp;"")</f>
        <v/>
      </c>
      <c r="G211">
        <f>IF($AH211="","",INDEX('Per Line'!$D$2:$D$1501,$AH211)&amp;"")</f>
        <v/>
      </c>
      <c r="H211">
        <f>IF($AH211="","",INDEX('Per Line'!$F$2:$F$1501,$AH211)&amp;"")</f>
        <v/>
      </c>
      <c r="I211" s="14">
        <f>IF($AH211="","",INDEX('Per Line'!$G$2:$G$1501,$AH211))</f>
        <v/>
      </c>
      <c r="J211">
        <f>IF($AH211="","",INDEX('Per Line'!$H$2:$H$1501,$AH211)&amp;"")</f>
        <v/>
      </c>
      <c r="K211">
        <f>IF($AH211="","",INDEX('Per Line'!$J$2:$J$1501,$AH211)&amp;"")</f>
        <v/>
      </c>
      <c r="L211">
        <f>IF($AH211="","",INDEX('Per Line'!$K$2:$K$1501,$AH211)&amp;"")</f>
        <v/>
      </c>
      <c r="M211">
        <f>IF($AH211="","",INDEX('Per Line'!$L$2:$L$1501,$AH211)&amp;"")</f>
        <v/>
      </c>
      <c r="N211">
        <f>IF($AH211="","",INDEX('Per Line'!$M$2:$M$1501,$AH211)&amp;"")</f>
        <v/>
      </c>
      <c r="O211">
        <f>IF($AH211="","",INDEX('Per Line'!$P$2:$P$1501,$AH211))</f>
        <v/>
      </c>
      <c r="P211" s="7">
        <f>IF($AH211="","",O211*AD211/100)</f>
        <v/>
      </c>
      <c r="Q211">
        <f>IF($AH211="","",INDEX('Per Line'!$R$2:$R$1501,$AH211)&amp;"")</f>
        <v/>
      </c>
      <c r="R211">
        <f>IF($AH211="","",INDEX('Per Line'!$AB$2:$AB$1501,$AH211)&amp;"")</f>
        <v/>
      </c>
      <c r="S211">
        <f>IF($AH211="","",Settings!$C$8)</f>
        <v/>
      </c>
      <c r="T211" s="7">
        <f>IF($AH211="","",SUMIFS('Per Line'!$Z$2:$Z$1501,'Per Line'!$E$2:$E$1501,$B211,'Per Line'!$AT$2:$AT$1501,1))</f>
        <v/>
      </c>
      <c r="U211" s="7">
        <f>IF($AH211="","",T211*S211)</f>
        <v/>
      </c>
      <c r="V211">
        <f>IF($AH211="","",Settings!$C$7)</f>
        <v/>
      </c>
      <c r="W211" s="7">
        <f>IF($AH211="","",SUMIFS('Per Line'!$Z$2:$Z$1501,'Per Line'!$E$2:$E$1501,$B211,'Per Line'!$AS$2:$AS$1501,0,'Per Line'!$AT$2:$AT$1501,0))</f>
        <v/>
      </c>
      <c r="X211" s="7">
        <f>IF($AH211="","",W211*V211)</f>
        <v/>
      </c>
      <c r="Y211">
        <f>IF($AH211="","",Settings!$C$6)</f>
        <v/>
      </c>
      <c r="Z211" s="7">
        <f>IF($AH211="","",SUMIFS('Per Line'!$Z$2:$Z$1501,'Per Line'!$E$2:$E$1501,$B211,'Per Line'!$AS$2:$AS$1501,1,'Per Line'!$AT$2:$AT$1501,0))</f>
        <v/>
      </c>
      <c r="AA211" s="7">
        <f>IF($AH211="","",Z211*Y211)</f>
        <v/>
      </c>
      <c r="AB211" s="7">
        <f>IF($AH211="","",AA211+X211+U211)</f>
        <v/>
      </c>
      <c r="AC211" s="7">
        <f>IF($AH211="","",AD211-AB211)</f>
        <v/>
      </c>
      <c r="AD211" s="7">
        <f>IF($AH211="","",W211+Z211+T211)</f>
        <v/>
      </c>
      <c r="AE211" s="7">
        <f>IF($AH211="","",AD211-AB211-P211)</f>
        <v/>
      </c>
      <c r="AF211" s="15" t="n"/>
      <c r="AG211" s="7">
        <f>IF($AH211="","",AE211-N(AF211))</f>
        <v/>
      </c>
      <c r="AH211" s="16">
        <f>IF(ROWS($AH$2:$AH211)&lt;=MAX('Per Line'!$AR$2:$AR$1501),MATCH(ROWS($AH$2:$AH211),'Per Line'!$AR$2:$AR$1501,0),"")</f>
        <v/>
      </c>
      <c r="AI211">
        <f>IF($AH211="","",C211&amp;"|"&amp;COUNTIF($C$2:$C211,C211))</f>
        <v/>
      </c>
    </row>
    <row r="212">
      <c r="A212" s="15" t="n"/>
      <c r="B212">
        <f>IF($AH212="","",INDEX('Per Line'!$E$2:$E$1501,$AH212)&amp;"")</f>
        <v/>
      </c>
      <c r="C212">
        <f>IF($AH212="","",IF(INDEX('Per Line'!$AP$2:$AP$1501,$AH212)="NOT MATCH","NOT MATCH","FULL MATCH"))</f>
        <v/>
      </c>
      <c r="D212">
        <f>IF($AH212="","",INDEX('Per Line'!$A$2:$A$1501,$AH212)&amp;"")</f>
        <v/>
      </c>
      <c r="E212">
        <f>IF($AH212="","",INDEX('Per Line'!$B$2:$B$1501,$AH212))</f>
        <v/>
      </c>
      <c r="F212">
        <f>IF($AH212="","",INDEX('Per Line'!$C$2:$C$1501,$AH212)&amp;"")</f>
        <v/>
      </c>
      <c r="G212">
        <f>IF($AH212="","",INDEX('Per Line'!$D$2:$D$1501,$AH212)&amp;"")</f>
        <v/>
      </c>
      <c r="H212">
        <f>IF($AH212="","",INDEX('Per Line'!$F$2:$F$1501,$AH212)&amp;"")</f>
        <v/>
      </c>
      <c r="I212" s="14">
        <f>IF($AH212="","",INDEX('Per Line'!$G$2:$G$1501,$AH212))</f>
        <v/>
      </c>
      <c r="J212">
        <f>IF($AH212="","",INDEX('Per Line'!$H$2:$H$1501,$AH212)&amp;"")</f>
        <v/>
      </c>
      <c r="K212">
        <f>IF($AH212="","",INDEX('Per Line'!$J$2:$J$1501,$AH212)&amp;"")</f>
        <v/>
      </c>
      <c r="L212">
        <f>IF($AH212="","",INDEX('Per Line'!$K$2:$K$1501,$AH212)&amp;"")</f>
        <v/>
      </c>
      <c r="M212">
        <f>IF($AH212="","",INDEX('Per Line'!$L$2:$L$1501,$AH212)&amp;"")</f>
        <v/>
      </c>
      <c r="N212">
        <f>IF($AH212="","",INDEX('Per Line'!$M$2:$M$1501,$AH212)&amp;"")</f>
        <v/>
      </c>
      <c r="O212">
        <f>IF($AH212="","",INDEX('Per Line'!$P$2:$P$1501,$AH212))</f>
        <v/>
      </c>
      <c r="P212" s="7">
        <f>IF($AH212="","",O212*AD212/100)</f>
        <v/>
      </c>
      <c r="Q212">
        <f>IF($AH212="","",INDEX('Per Line'!$R$2:$R$1501,$AH212)&amp;"")</f>
        <v/>
      </c>
      <c r="R212">
        <f>IF($AH212="","",INDEX('Per Line'!$AB$2:$AB$1501,$AH212)&amp;"")</f>
        <v/>
      </c>
      <c r="S212">
        <f>IF($AH212="","",Settings!$C$8)</f>
        <v/>
      </c>
      <c r="T212" s="7">
        <f>IF($AH212="","",SUMIFS('Per Line'!$Z$2:$Z$1501,'Per Line'!$E$2:$E$1501,$B212,'Per Line'!$AT$2:$AT$1501,1))</f>
        <v/>
      </c>
      <c r="U212" s="7">
        <f>IF($AH212="","",T212*S212)</f>
        <v/>
      </c>
      <c r="V212">
        <f>IF($AH212="","",Settings!$C$7)</f>
        <v/>
      </c>
      <c r="W212" s="7">
        <f>IF($AH212="","",SUMIFS('Per Line'!$Z$2:$Z$1501,'Per Line'!$E$2:$E$1501,$B212,'Per Line'!$AS$2:$AS$1501,0,'Per Line'!$AT$2:$AT$1501,0))</f>
        <v/>
      </c>
      <c r="X212" s="7">
        <f>IF($AH212="","",W212*V212)</f>
        <v/>
      </c>
      <c r="Y212">
        <f>IF($AH212="","",Settings!$C$6)</f>
        <v/>
      </c>
      <c r="Z212" s="7">
        <f>IF($AH212="","",SUMIFS('Per Line'!$Z$2:$Z$1501,'Per Line'!$E$2:$E$1501,$B212,'Per Line'!$AS$2:$AS$1501,1,'Per Line'!$AT$2:$AT$1501,0))</f>
        <v/>
      </c>
      <c r="AA212" s="7">
        <f>IF($AH212="","",Z212*Y212)</f>
        <v/>
      </c>
      <c r="AB212" s="7">
        <f>IF($AH212="","",AA212+X212+U212)</f>
        <v/>
      </c>
      <c r="AC212" s="7">
        <f>IF($AH212="","",AD212-AB212)</f>
        <v/>
      </c>
      <c r="AD212" s="7">
        <f>IF($AH212="","",W212+Z212+T212)</f>
        <v/>
      </c>
      <c r="AE212" s="7">
        <f>IF($AH212="","",AD212-AB212-P212)</f>
        <v/>
      </c>
      <c r="AF212" s="15" t="n"/>
      <c r="AG212" s="7">
        <f>IF($AH212="","",AE212-N(AF212))</f>
        <v/>
      </c>
      <c r="AH212" s="16">
        <f>IF(ROWS($AH$2:$AH212)&lt;=MAX('Per Line'!$AR$2:$AR$1501),MATCH(ROWS($AH$2:$AH212),'Per Line'!$AR$2:$AR$1501,0),"")</f>
        <v/>
      </c>
      <c r="AI212">
        <f>IF($AH212="","",C212&amp;"|"&amp;COUNTIF($C$2:$C212,C212))</f>
        <v/>
      </c>
    </row>
    <row r="213">
      <c r="A213" s="15" t="n"/>
      <c r="B213">
        <f>IF($AH213="","",INDEX('Per Line'!$E$2:$E$1501,$AH213)&amp;"")</f>
        <v/>
      </c>
      <c r="C213">
        <f>IF($AH213="","",IF(INDEX('Per Line'!$AP$2:$AP$1501,$AH213)="NOT MATCH","NOT MATCH","FULL MATCH"))</f>
        <v/>
      </c>
      <c r="D213">
        <f>IF($AH213="","",INDEX('Per Line'!$A$2:$A$1501,$AH213)&amp;"")</f>
        <v/>
      </c>
      <c r="E213">
        <f>IF($AH213="","",INDEX('Per Line'!$B$2:$B$1501,$AH213))</f>
        <v/>
      </c>
      <c r="F213">
        <f>IF($AH213="","",INDEX('Per Line'!$C$2:$C$1501,$AH213)&amp;"")</f>
        <v/>
      </c>
      <c r="G213">
        <f>IF($AH213="","",INDEX('Per Line'!$D$2:$D$1501,$AH213)&amp;"")</f>
        <v/>
      </c>
      <c r="H213">
        <f>IF($AH213="","",INDEX('Per Line'!$F$2:$F$1501,$AH213)&amp;"")</f>
        <v/>
      </c>
      <c r="I213" s="14">
        <f>IF($AH213="","",INDEX('Per Line'!$G$2:$G$1501,$AH213))</f>
        <v/>
      </c>
      <c r="J213">
        <f>IF($AH213="","",INDEX('Per Line'!$H$2:$H$1501,$AH213)&amp;"")</f>
        <v/>
      </c>
      <c r="K213">
        <f>IF($AH213="","",INDEX('Per Line'!$J$2:$J$1501,$AH213)&amp;"")</f>
        <v/>
      </c>
      <c r="L213">
        <f>IF($AH213="","",INDEX('Per Line'!$K$2:$K$1501,$AH213)&amp;"")</f>
        <v/>
      </c>
      <c r="M213">
        <f>IF($AH213="","",INDEX('Per Line'!$L$2:$L$1501,$AH213)&amp;"")</f>
        <v/>
      </c>
      <c r="N213">
        <f>IF($AH213="","",INDEX('Per Line'!$M$2:$M$1501,$AH213)&amp;"")</f>
        <v/>
      </c>
      <c r="O213">
        <f>IF($AH213="","",INDEX('Per Line'!$P$2:$P$1501,$AH213))</f>
        <v/>
      </c>
      <c r="P213" s="7">
        <f>IF($AH213="","",O213*AD213/100)</f>
        <v/>
      </c>
      <c r="Q213">
        <f>IF($AH213="","",INDEX('Per Line'!$R$2:$R$1501,$AH213)&amp;"")</f>
        <v/>
      </c>
      <c r="R213">
        <f>IF($AH213="","",INDEX('Per Line'!$AB$2:$AB$1501,$AH213)&amp;"")</f>
        <v/>
      </c>
      <c r="S213">
        <f>IF($AH213="","",Settings!$C$8)</f>
        <v/>
      </c>
      <c r="T213" s="7">
        <f>IF($AH213="","",SUMIFS('Per Line'!$Z$2:$Z$1501,'Per Line'!$E$2:$E$1501,$B213,'Per Line'!$AT$2:$AT$1501,1))</f>
        <v/>
      </c>
      <c r="U213" s="7">
        <f>IF($AH213="","",T213*S213)</f>
        <v/>
      </c>
      <c r="V213">
        <f>IF($AH213="","",Settings!$C$7)</f>
        <v/>
      </c>
      <c r="W213" s="7">
        <f>IF($AH213="","",SUMIFS('Per Line'!$Z$2:$Z$1501,'Per Line'!$E$2:$E$1501,$B213,'Per Line'!$AS$2:$AS$1501,0,'Per Line'!$AT$2:$AT$1501,0))</f>
        <v/>
      </c>
      <c r="X213" s="7">
        <f>IF($AH213="","",W213*V213)</f>
        <v/>
      </c>
      <c r="Y213">
        <f>IF($AH213="","",Settings!$C$6)</f>
        <v/>
      </c>
      <c r="Z213" s="7">
        <f>IF($AH213="","",SUMIFS('Per Line'!$Z$2:$Z$1501,'Per Line'!$E$2:$E$1501,$B213,'Per Line'!$AS$2:$AS$1501,1,'Per Line'!$AT$2:$AT$1501,0))</f>
        <v/>
      </c>
      <c r="AA213" s="7">
        <f>IF($AH213="","",Z213*Y213)</f>
        <v/>
      </c>
      <c r="AB213" s="7">
        <f>IF($AH213="","",AA213+X213+U213)</f>
        <v/>
      </c>
      <c r="AC213" s="7">
        <f>IF($AH213="","",AD213-AB213)</f>
        <v/>
      </c>
      <c r="AD213" s="7">
        <f>IF($AH213="","",W213+Z213+T213)</f>
        <v/>
      </c>
      <c r="AE213" s="7">
        <f>IF($AH213="","",AD213-AB213-P213)</f>
        <v/>
      </c>
      <c r="AF213" s="15" t="n"/>
      <c r="AG213" s="7">
        <f>IF($AH213="","",AE213-N(AF213))</f>
        <v/>
      </c>
      <c r="AH213" s="16">
        <f>IF(ROWS($AH$2:$AH213)&lt;=MAX('Per Line'!$AR$2:$AR$1501),MATCH(ROWS($AH$2:$AH213),'Per Line'!$AR$2:$AR$1501,0),"")</f>
        <v/>
      </c>
      <c r="AI213">
        <f>IF($AH213="","",C213&amp;"|"&amp;COUNTIF($C$2:$C213,C213))</f>
        <v/>
      </c>
    </row>
    <row r="214">
      <c r="A214" s="15" t="n"/>
      <c r="B214">
        <f>IF($AH214="","",INDEX('Per Line'!$E$2:$E$1501,$AH214)&amp;"")</f>
        <v/>
      </c>
      <c r="C214">
        <f>IF($AH214="","",IF(INDEX('Per Line'!$AP$2:$AP$1501,$AH214)="NOT MATCH","NOT MATCH","FULL MATCH"))</f>
        <v/>
      </c>
      <c r="D214">
        <f>IF($AH214="","",INDEX('Per Line'!$A$2:$A$1501,$AH214)&amp;"")</f>
        <v/>
      </c>
      <c r="E214">
        <f>IF($AH214="","",INDEX('Per Line'!$B$2:$B$1501,$AH214))</f>
        <v/>
      </c>
      <c r="F214">
        <f>IF($AH214="","",INDEX('Per Line'!$C$2:$C$1501,$AH214)&amp;"")</f>
        <v/>
      </c>
      <c r="G214">
        <f>IF($AH214="","",INDEX('Per Line'!$D$2:$D$1501,$AH214)&amp;"")</f>
        <v/>
      </c>
      <c r="H214">
        <f>IF($AH214="","",INDEX('Per Line'!$F$2:$F$1501,$AH214)&amp;"")</f>
        <v/>
      </c>
      <c r="I214" s="14">
        <f>IF($AH214="","",INDEX('Per Line'!$G$2:$G$1501,$AH214))</f>
        <v/>
      </c>
      <c r="J214">
        <f>IF($AH214="","",INDEX('Per Line'!$H$2:$H$1501,$AH214)&amp;"")</f>
        <v/>
      </c>
      <c r="K214">
        <f>IF($AH214="","",INDEX('Per Line'!$J$2:$J$1501,$AH214)&amp;"")</f>
        <v/>
      </c>
      <c r="L214">
        <f>IF($AH214="","",INDEX('Per Line'!$K$2:$K$1501,$AH214)&amp;"")</f>
        <v/>
      </c>
      <c r="M214">
        <f>IF($AH214="","",INDEX('Per Line'!$L$2:$L$1501,$AH214)&amp;"")</f>
        <v/>
      </c>
      <c r="N214">
        <f>IF($AH214="","",INDEX('Per Line'!$M$2:$M$1501,$AH214)&amp;"")</f>
        <v/>
      </c>
      <c r="O214">
        <f>IF($AH214="","",INDEX('Per Line'!$P$2:$P$1501,$AH214))</f>
        <v/>
      </c>
      <c r="P214" s="7">
        <f>IF($AH214="","",O214*AD214/100)</f>
        <v/>
      </c>
      <c r="Q214">
        <f>IF($AH214="","",INDEX('Per Line'!$R$2:$R$1501,$AH214)&amp;"")</f>
        <v/>
      </c>
      <c r="R214">
        <f>IF($AH214="","",INDEX('Per Line'!$AB$2:$AB$1501,$AH214)&amp;"")</f>
        <v/>
      </c>
      <c r="S214">
        <f>IF($AH214="","",Settings!$C$8)</f>
        <v/>
      </c>
      <c r="T214" s="7">
        <f>IF($AH214="","",SUMIFS('Per Line'!$Z$2:$Z$1501,'Per Line'!$E$2:$E$1501,$B214,'Per Line'!$AT$2:$AT$1501,1))</f>
        <v/>
      </c>
      <c r="U214" s="7">
        <f>IF($AH214="","",T214*S214)</f>
        <v/>
      </c>
      <c r="V214">
        <f>IF($AH214="","",Settings!$C$7)</f>
        <v/>
      </c>
      <c r="W214" s="7">
        <f>IF($AH214="","",SUMIFS('Per Line'!$Z$2:$Z$1501,'Per Line'!$E$2:$E$1501,$B214,'Per Line'!$AS$2:$AS$1501,0,'Per Line'!$AT$2:$AT$1501,0))</f>
        <v/>
      </c>
      <c r="X214" s="7">
        <f>IF($AH214="","",W214*V214)</f>
        <v/>
      </c>
      <c r="Y214">
        <f>IF($AH214="","",Settings!$C$6)</f>
        <v/>
      </c>
      <c r="Z214" s="7">
        <f>IF($AH214="","",SUMIFS('Per Line'!$Z$2:$Z$1501,'Per Line'!$E$2:$E$1501,$B214,'Per Line'!$AS$2:$AS$1501,1,'Per Line'!$AT$2:$AT$1501,0))</f>
        <v/>
      </c>
      <c r="AA214" s="7">
        <f>IF($AH214="","",Z214*Y214)</f>
        <v/>
      </c>
      <c r="AB214" s="7">
        <f>IF($AH214="","",AA214+X214+U214)</f>
        <v/>
      </c>
      <c r="AC214" s="7">
        <f>IF($AH214="","",AD214-AB214)</f>
        <v/>
      </c>
      <c r="AD214" s="7">
        <f>IF($AH214="","",W214+Z214+T214)</f>
        <v/>
      </c>
      <c r="AE214" s="7">
        <f>IF($AH214="","",AD214-AB214-P214)</f>
        <v/>
      </c>
      <c r="AF214" s="15" t="n"/>
      <c r="AG214" s="7">
        <f>IF($AH214="","",AE214-N(AF214))</f>
        <v/>
      </c>
      <c r="AH214" s="16">
        <f>IF(ROWS($AH$2:$AH214)&lt;=MAX('Per Line'!$AR$2:$AR$1501),MATCH(ROWS($AH$2:$AH214),'Per Line'!$AR$2:$AR$1501,0),"")</f>
        <v/>
      </c>
      <c r="AI214">
        <f>IF($AH214="","",C214&amp;"|"&amp;COUNTIF($C$2:$C214,C214))</f>
        <v/>
      </c>
    </row>
    <row r="215">
      <c r="A215" s="15" t="n"/>
      <c r="B215">
        <f>IF($AH215="","",INDEX('Per Line'!$E$2:$E$1501,$AH215)&amp;"")</f>
        <v/>
      </c>
      <c r="C215">
        <f>IF($AH215="","",IF(INDEX('Per Line'!$AP$2:$AP$1501,$AH215)="NOT MATCH","NOT MATCH","FULL MATCH"))</f>
        <v/>
      </c>
      <c r="D215">
        <f>IF($AH215="","",INDEX('Per Line'!$A$2:$A$1501,$AH215)&amp;"")</f>
        <v/>
      </c>
      <c r="E215">
        <f>IF($AH215="","",INDEX('Per Line'!$B$2:$B$1501,$AH215))</f>
        <v/>
      </c>
      <c r="F215">
        <f>IF($AH215="","",INDEX('Per Line'!$C$2:$C$1501,$AH215)&amp;"")</f>
        <v/>
      </c>
      <c r="G215">
        <f>IF($AH215="","",INDEX('Per Line'!$D$2:$D$1501,$AH215)&amp;"")</f>
        <v/>
      </c>
      <c r="H215">
        <f>IF($AH215="","",INDEX('Per Line'!$F$2:$F$1501,$AH215)&amp;"")</f>
        <v/>
      </c>
      <c r="I215" s="14">
        <f>IF($AH215="","",INDEX('Per Line'!$G$2:$G$1501,$AH215))</f>
        <v/>
      </c>
      <c r="J215">
        <f>IF($AH215="","",INDEX('Per Line'!$H$2:$H$1501,$AH215)&amp;"")</f>
        <v/>
      </c>
      <c r="K215">
        <f>IF($AH215="","",INDEX('Per Line'!$J$2:$J$1501,$AH215)&amp;"")</f>
        <v/>
      </c>
      <c r="L215">
        <f>IF($AH215="","",INDEX('Per Line'!$K$2:$K$1501,$AH215)&amp;"")</f>
        <v/>
      </c>
      <c r="M215">
        <f>IF($AH215="","",INDEX('Per Line'!$L$2:$L$1501,$AH215)&amp;"")</f>
        <v/>
      </c>
      <c r="N215">
        <f>IF($AH215="","",INDEX('Per Line'!$M$2:$M$1501,$AH215)&amp;"")</f>
        <v/>
      </c>
      <c r="O215">
        <f>IF($AH215="","",INDEX('Per Line'!$P$2:$P$1501,$AH215))</f>
        <v/>
      </c>
      <c r="P215" s="7">
        <f>IF($AH215="","",O215*AD215/100)</f>
        <v/>
      </c>
      <c r="Q215">
        <f>IF($AH215="","",INDEX('Per Line'!$R$2:$R$1501,$AH215)&amp;"")</f>
        <v/>
      </c>
      <c r="R215">
        <f>IF($AH215="","",INDEX('Per Line'!$AB$2:$AB$1501,$AH215)&amp;"")</f>
        <v/>
      </c>
      <c r="S215">
        <f>IF($AH215="","",Settings!$C$8)</f>
        <v/>
      </c>
      <c r="T215" s="7">
        <f>IF($AH215="","",SUMIFS('Per Line'!$Z$2:$Z$1501,'Per Line'!$E$2:$E$1501,$B215,'Per Line'!$AT$2:$AT$1501,1))</f>
        <v/>
      </c>
      <c r="U215" s="7">
        <f>IF($AH215="","",T215*S215)</f>
        <v/>
      </c>
      <c r="V215">
        <f>IF($AH215="","",Settings!$C$7)</f>
        <v/>
      </c>
      <c r="W215" s="7">
        <f>IF($AH215="","",SUMIFS('Per Line'!$Z$2:$Z$1501,'Per Line'!$E$2:$E$1501,$B215,'Per Line'!$AS$2:$AS$1501,0,'Per Line'!$AT$2:$AT$1501,0))</f>
        <v/>
      </c>
      <c r="X215" s="7">
        <f>IF($AH215="","",W215*V215)</f>
        <v/>
      </c>
      <c r="Y215">
        <f>IF($AH215="","",Settings!$C$6)</f>
        <v/>
      </c>
      <c r="Z215" s="7">
        <f>IF($AH215="","",SUMIFS('Per Line'!$Z$2:$Z$1501,'Per Line'!$E$2:$E$1501,$B215,'Per Line'!$AS$2:$AS$1501,1,'Per Line'!$AT$2:$AT$1501,0))</f>
        <v/>
      </c>
      <c r="AA215" s="7">
        <f>IF($AH215="","",Z215*Y215)</f>
        <v/>
      </c>
      <c r="AB215" s="7">
        <f>IF($AH215="","",AA215+X215+U215)</f>
        <v/>
      </c>
      <c r="AC215" s="7">
        <f>IF($AH215="","",AD215-AB215)</f>
        <v/>
      </c>
      <c r="AD215" s="7">
        <f>IF($AH215="","",W215+Z215+T215)</f>
        <v/>
      </c>
      <c r="AE215" s="7">
        <f>IF($AH215="","",AD215-AB215-P215)</f>
        <v/>
      </c>
      <c r="AF215" s="15" t="n"/>
      <c r="AG215" s="7">
        <f>IF($AH215="","",AE215-N(AF215))</f>
        <v/>
      </c>
      <c r="AH215" s="16">
        <f>IF(ROWS($AH$2:$AH215)&lt;=MAX('Per Line'!$AR$2:$AR$1501),MATCH(ROWS($AH$2:$AH215),'Per Line'!$AR$2:$AR$1501,0),"")</f>
        <v/>
      </c>
      <c r="AI215">
        <f>IF($AH215="","",C215&amp;"|"&amp;COUNTIF($C$2:$C215,C215))</f>
        <v/>
      </c>
    </row>
    <row r="216">
      <c r="A216" s="15" t="n"/>
      <c r="B216">
        <f>IF($AH216="","",INDEX('Per Line'!$E$2:$E$1501,$AH216)&amp;"")</f>
        <v/>
      </c>
      <c r="C216">
        <f>IF($AH216="","",IF(INDEX('Per Line'!$AP$2:$AP$1501,$AH216)="NOT MATCH","NOT MATCH","FULL MATCH"))</f>
        <v/>
      </c>
      <c r="D216">
        <f>IF($AH216="","",INDEX('Per Line'!$A$2:$A$1501,$AH216)&amp;"")</f>
        <v/>
      </c>
      <c r="E216">
        <f>IF($AH216="","",INDEX('Per Line'!$B$2:$B$1501,$AH216))</f>
        <v/>
      </c>
      <c r="F216">
        <f>IF($AH216="","",INDEX('Per Line'!$C$2:$C$1501,$AH216)&amp;"")</f>
        <v/>
      </c>
      <c r="G216">
        <f>IF($AH216="","",INDEX('Per Line'!$D$2:$D$1501,$AH216)&amp;"")</f>
        <v/>
      </c>
      <c r="H216">
        <f>IF($AH216="","",INDEX('Per Line'!$F$2:$F$1501,$AH216)&amp;"")</f>
        <v/>
      </c>
      <c r="I216" s="14">
        <f>IF($AH216="","",INDEX('Per Line'!$G$2:$G$1501,$AH216))</f>
        <v/>
      </c>
      <c r="J216">
        <f>IF($AH216="","",INDEX('Per Line'!$H$2:$H$1501,$AH216)&amp;"")</f>
        <v/>
      </c>
      <c r="K216">
        <f>IF($AH216="","",INDEX('Per Line'!$J$2:$J$1501,$AH216)&amp;"")</f>
        <v/>
      </c>
      <c r="L216">
        <f>IF($AH216="","",INDEX('Per Line'!$K$2:$K$1501,$AH216)&amp;"")</f>
        <v/>
      </c>
      <c r="M216">
        <f>IF($AH216="","",INDEX('Per Line'!$L$2:$L$1501,$AH216)&amp;"")</f>
        <v/>
      </c>
      <c r="N216">
        <f>IF($AH216="","",INDEX('Per Line'!$M$2:$M$1501,$AH216)&amp;"")</f>
        <v/>
      </c>
      <c r="O216">
        <f>IF($AH216="","",INDEX('Per Line'!$P$2:$P$1501,$AH216))</f>
        <v/>
      </c>
      <c r="P216" s="7">
        <f>IF($AH216="","",O216*AD216/100)</f>
        <v/>
      </c>
      <c r="Q216">
        <f>IF($AH216="","",INDEX('Per Line'!$R$2:$R$1501,$AH216)&amp;"")</f>
        <v/>
      </c>
      <c r="R216">
        <f>IF($AH216="","",INDEX('Per Line'!$AB$2:$AB$1501,$AH216)&amp;"")</f>
        <v/>
      </c>
      <c r="S216">
        <f>IF($AH216="","",Settings!$C$8)</f>
        <v/>
      </c>
      <c r="T216" s="7">
        <f>IF($AH216="","",SUMIFS('Per Line'!$Z$2:$Z$1501,'Per Line'!$E$2:$E$1501,$B216,'Per Line'!$AT$2:$AT$1501,1))</f>
        <v/>
      </c>
      <c r="U216" s="7">
        <f>IF($AH216="","",T216*S216)</f>
        <v/>
      </c>
      <c r="V216">
        <f>IF($AH216="","",Settings!$C$7)</f>
        <v/>
      </c>
      <c r="W216" s="7">
        <f>IF($AH216="","",SUMIFS('Per Line'!$Z$2:$Z$1501,'Per Line'!$E$2:$E$1501,$B216,'Per Line'!$AS$2:$AS$1501,0,'Per Line'!$AT$2:$AT$1501,0))</f>
        <v/>
      </c>
      <c r="X216" s="7">
        <f>IF($AH216="","",W216*V216)</f>
        <v/>
      </c>
      <c r="Y216">
        <f>IF($AH216="","",Settings!$C$6)</f>
        <v/>
      </c>
      <c r="Z216" s="7">
        <f>IF($AH216="","",SUMIFS('Per Line'!$Z$2:$Z$1501,'Per Line'!$E$2:$E$1501,$B216,'Per Line'!$AS$2:$AS$1501,1,'Per Line'!$AT$2:$AT$1501,0))</f>
        <v/>
      </c>
      <c r="AA216" s="7">
        <f>IF($AH216="","",Z216*Y216)</f>
        <v/>
      </c>
      <c r="AB216" s="7">
        <f>IF($AH216="","",AA216+X216+U216)</f>
        <v/>
      </c>
      <c r="AC216" s="7">
        <f>IF($AH216="","",AD216-AB216)</f>
        <v/>
      </c>
      <c r="AD216" s="7">
        <f>IF($AH216="","",W216+Z216+T216)</f>
        <v/>
      </c>
      <c r="AE216" s="7">
        <f>IF($AH216="","",AD216-AB216-P216)</f>
        <v/>
      </c>
      <c r="AF216" s="15" t="n"/>
      <c r="AG216" s="7">
        <f>IF($AH216="","",AE216-N(AF216))</f>
        <v/>
      </c>
      <c r="AH216" s="16">
        <f>IF(ROWS($AH$2:$AH216)&lt;=MAX('Per Line'!$AR$2:$AR$1501),MATCH(ROWS($AH$2:$AH216),'Per Line'!$AR$2:$AR$1501,0),"")</f>
        <v/>
      </c>
      <c r="AI216">
        <f>IF($AH216="","",C216&amp;"|"&amp;COUNTIF($C$2:$C216,C216))</f>
        <v/>
      </c>
    </row>
    <row r="217">
      <c r="A217" s="15" t="n"/>
      <c r="B217">
        <f>IF($AH217="","",INDEX('Per Line'!$E$2:$E$1501,$AH217)&amp;"")</f>
        <v/>
      </c>
      <c r="C217">
        <f>IF($AH217="","",IF(INDEX('Per Line'!$AP$2:$AP$1501,$AH217)="NOT MATCH","NOT MATCH","FULL MATCH"))</f>
        <v/>
      </c>
      <c r="D217">
        <f>IF($AH217="","",INDEX('Per Line'!$A$2:$A$1501,$AH217)&amp;"")</f>
        <v/>
      </c>
      <c r="E217">
        <f>IF($AH217="","",INDEX('Per Line'!$B$2:$B$1501,$AH217))</f>
        <v/>
      </c>
      <c r="F217">
        <f>IF($AH217="","",INDEX('Per Line'!$C$2:$C$1501,$AH217)&amp;"")</f>
        <v/>
      </c>
      <c r="G217">
        <f>IF($AH217="","",INDEX('Per Line'!$D$2:$D$1501,$AH217)&amp;"")</f>
        <v/>
      </c>
      <c r="H217">
        <f>IF($AH217="","",INDEX('Per Line'!$F$2:$F$1501,$AH217)&amp;"")</f>
        <v/>
      </c>
      <c r="I217" s="14">
        <f>IF($AH217="","",INDEX('Per Line'!$G$2:$G$1501,$AH217))</f>
        <v/>
      </c>
      <c r="J217">
        <f>IF($AH217="","",INDEX('Per Line'!$H$2:$H$1501,$AH217)&amp;"")</f>
        <v/>
      </c>
      <c r="K217">
        <f>IF($AH217="","",INDEX('Per Line'!$J$2:$J$1501,$AH217)&amp;"")</f>
        <v/>
      </c>
      <c r="L217">
        <f>IF($AH217="","",INDEX('Per Line'!$K$2:$K$1501,$AH217)&amp;"")</f>
        <v/>
      </c>
      <c r="M217">
        <f>IF($AH217="","",INDEX('Per Line'!$L$2:$L$1501,$AH217)&amp;"")</f>
        <v/>
      </c>
      <c r="N217">
        <f>IF($AH217="","",INDEX('Per Line'!$M$2:$M$1501,$AH217)&amp;"")</f>
        <v/>
      </c>
      <c r="O217">
        <f>IF($AH217="","",INDEX('Per Line'!$P$2:$P$1501,$AH217))</f>
        <v/>
      </c>
      <c r="P217" s="7">
        <f>IF($AH217="","",O217*AD217/100)</f>
        <v/>
      </c>
      <c r="Q217">
        <f>IF($AH217="","",INDEX('Per Line'!$R$2:$R$1501,$AH217)&amp;"")</f>
        <v/>
      </c>
      <c r="R217">
        <f>IF($AH217="","",INDEX('Per Line'!$AB$2:$AB$1501,$AH217)&amp;"")</f>
        <v/>
      </c>
      <c r="S217">
        <f>IF($AH217="","",Settings!$C$8)</f>
        <v/>
      </c>
      <c r="T217" s="7">
        <f>IF($AH217="","",SUMIFS('Per Line'!$Z$2:$Z$1501,'Per Line'!$E$2:$E$1501,$B217,'Per Line'!$AT$2:$AT$1501,1))</f>
        <v/>
      </c>
      <c r="U217" s="7">
        <f>IF($AH217="","",T217*S217)</f>
        <v/>
      </c>
      <c r="V217">
        <f>IF($AH217="","",Settings!$C$7)</f>
        <v/>
      </c>
      <c r="W217" s="7">
        <f>IF($AH217="","",SUMIFS('Per Line'!$Z$2:$Z$1501,'Per Line'!$E$2:$E$1501,$B217,'Per Line'!$AS$2:$AS$1501,0,'Per Line'!$AT$2:$AT$1501,0))</f>
        <v/>
      </c>
      <c r="X217" s="7">
        <f>IF($AH217="","",W217*V217)</f>
        <v/>
      </c>
      <c r="Y217">
        <f>IF($AH217="","",Settings!$C$6)</f>
        <v/>
      </c>
      <c r="Z217" s="7">
        <f>IF($AH217="","",SUMIFS('Per Line'!$Z$2:$Z$1501,'Per Line'!$E$2:$E$1501,$B217,'Per Line'!$AS$2:$AS$1501,1,'Per Line'!$AT$2:$AT$1501,0))</f>
        <v/>
      </c>
      <c r="AA217" s="7">
        <f>IF($AH217="","",Z217*Y217)</f>
        <v/>
      </c>
      <c r="AB217" s="7">
        <f>IF($AH217="","",AA217+X217+U217)</f>
        <v/>
      </c>
      <c r="AC217" s="7">
        <f>IF($AH217="","",AD217-AB217)</f>
        <v/>
      </c>
      <c r="AD217" s="7">
        <f>IF($AH217="","",W217+Z217+T217)</f>
        <v/>
      </c>
      <c r="AE217" s="7">
        <f>IF($AH217="","",AD217-AB217-P217)</f>
        <v/>
      </c>
      <c r="AF217" s="15" t="n"/>
      <c r="AG217" s="7">
        <f>IF($AH217="","",AE217-N(AF217))</f>
        <v/>
      </c>
      <c r="AH217" s="16">
        <f>IF(ROWS($AH$2:$AH217)&lt;=MAX('Per Line'!$AR$2:$AR$1501),MATCH(ROWS($AH$2:$AH217),'Per Line'!$AR$2:$AR$1501,0),"")</f>
        <v/>
      </c>
      <c r="AI217">
        <f>IF($AH217="","",C217&amp;"|"&amp;COUNTIF($C$2:$C217,C217))</f>
        <v/>
      </c>
    </row>
    <row r="218">
      <c r="A218" s="15" t="n"/>
      <c r="B218">
        <f>IF($AH218="","",INDEX('Per Line'!$E$2:$E$1501,$AH218)&amp;"")</f>
        <v/>
      </c>
      <c r="C218">
        <f>IF($AH218="","",IF(INDEX('Per Line'!$AP$2:$AP$1501,$AH218)="NOT MATCH","NOT MATCH","FULL MATCH"))</f>
        <v/>
      </c>
      <c r="D218">
        <f>IF($AH218="","",INDEX('Per Line'!$A$2:$A$1501,$AH218)&amp;"")</f>
        <v/>
      </c>
      <c r="E218">
        <f>IF($AH218="","",INDEX('Per Line'!$B$2:$B$1501,$AH218))</f>
        <v/>
      </c>
      <c r="F218">
        <f>IF($AH218="","",INDEX('Per Line'!$C$2:$C$1501,$AH218)&amp;"")</f>
        <v/>
      </c>
      <c r="G218">
        <f>IF($AH218="","",INDEX('Per Line'!$D$2:$D$1501,$AH218)&amp;"")</f>
        <v/>
      </c>
      <c r="H218">
        <f>IF($AH218="","",INDEX('Per Line'!$F$2:$F$1501,$AH218)&amp;"")</f>
        <v/>
      </c>
      <c r="I218" s="14">
        <f>IF($AH218="","",INDEX('Per Line'!$G$2:$G$1501,$AH218))</f>
        <v/>
      </c>
      <c r="J218">
        <f>IF($AH218="","",INDEX('Per Line'!$H$2:$H$1501,$AH218)&amp;"")</f>
        <v/>
      </c>
      <c r="K218">
        <f>IF($AH218="","",INDEX('Per Line'!$J$2:$J$1501,$AH218)&amp;"")</f>
        <v/>
      </c>
      <c r="L218">
        <f>IF($AH218="","",INDEX('Per Line'!$K$2:$K$1501,$AH218)&amp;"")</f>
        <v/>
      </c>
      <c r="M218">
        <f>IF($AH218="","",INDEX('Per Line'!$L$2:$L$1501,$AH218)&amp;"")</f>
        <v/>
      </c>
      <c r="N218">
        <f>IF($AH218="","",INDEX('Per Line'!$M$2:$M$1501,$AH218)&amp;"")</f>
        <v/>
      </c>
      <c r="O218">
        <f>IF($AH218="","",INDEX('Per Line'!$P$2:$P$1501,$AH218))</f>
        <v/>
      </c>
      <c r="P218" s="7">
        <f>IF($AH218="","",O218*AD218/100)</f>
        <v/>
      </c>
      <c r="Q218">
        <f>IF($AH218="","",INDEX('Per Line'!$R$2:$R$1501,$AH218)&amp;"")</f>
        <v/>
      </c>
      <c r="R218">
        <f>IF($AH218="","",INDEX('Per Line'!$AB$2:$AB$1501,$AH218)&amp;"")</f>
        <v/>
      </c>
      <c r="S218">
        <f>IF($AH218="","",Settings!$C$8)</f>
        <v/>
      </c>
      <c r="T218" s="7">
        <f>IF($AH218="","",SUMIFS('Per Line'!$Z$2:$Z$1501,'Per Line'!$E$2:$E$1501,$B218,'Per Line'!$AT$2:$AT$1501,1))</f>
        <v/>
      </c>
      <c r="U218" s="7">
        <f>IF($AH218="","",T218*S218)</f>
        <v/>
      </c>
      <c r="V218">
        <f>IF($AH218="","",Settings!$C$7)</f>
        <v/>
      </c>
      <c r="W218" s="7">
        <f>IF($AH218="","",SUMIFS('Per Line'!$Z$2:$Z$1501,'Per Line'!$E$2:$E$1501,$B218,'Per Line'!$AS$2:$AS$1501,0,'Per Line'!$AT$2:$AT$1501,0))</f>
        <v/>
      </c>
      <c r="X218" s="7">
        <f>IF($AH218="","",W218*V218)</f>
        <v/>
      </c>
      <c r="Y218">
        <f>IF($AH218="","",Settings!$C$6)</f>
        <v/>
      </c>
      <c r="Z218" s="7">
        <f>IF($AH218="","",SUMIFS('Per Line'!$Z$2:$Z$1501,'Per Line'!$E$2:$E$1501,$B218,'Per Line'!$AS$2:$AS$1501,1,'Per Line'!$AT$2:$AT$1501,0))</f>
        <v/>
      </c>
      <c r="AA218" s="7">
        <f>IF($AH218="","",Z218*Y218)</f>
        <v/>
      </c>
      <c r="AB218" s="7">
        <f>IF($AH218="","",AA218+X218+U218)</f>
        <v/>
      </c>
      <c r="AC218" s="7">
        <f>IF($AH218="","",AD218-AB218)</f>
        <v/>
      </c>
      <c r="AD218" s="7">
        <f>IF($AH218="","",W218+Z218+T218)</f>
        <v/>
      </c>
      <c r="AE218" s="7">
        <f>IF($AH218="","",AD218-AB218-P218)</f>
        <v/>
      </c>
      <c r="AF218" s="15" t="n"/>
      <c r="AG218" s="7">
        <f>IF($AH218="","",AE218-N(AF218))</f>
        <v/>
      </c>
      <c r="AH218" s="16">
        <f>IF(ROWS($AH$2:$AH218)&lt;=MAX('Per Line'!$AR$2:$AR$1501),MATCH(ROWS($AH$2:$AH218),'Per Line'!$AR$2:$AR$1501,0),"")</f>
        <v/>
      </c>
      <c r="AI218">
        <f>IF($AH218="","",C218&amp;"|"&amp;COUNTIF($C$2:$C218,C218))</f>
        <v/>
      </c>
    </row>
    <row r="219">
      <c r="A219" s="15" t="n"/>
      <c r="B219">
        <f>IF($AH219="","",INDEX('Per Line'!$E$2:$E$1501,$AH219)&amp;"")</f>
        <v/>
      </c>
      <c r="C219">
        <f>IF($AH219="","",IF(INDEX('Per Line'!$AP$2:$AP$1501,$AH219)="NOT MATCH","NOT MATCH","FULL MATCH"))</f>
        <v/>
      </c>
      <c r="D219">
        <f>IF($AH219="","",INDEX('Per Line'!$A$2:$A$1501,$AH219)&amp;"")</f>
        <v/>
      </c>
      <c r="E219">
        <f>IF($AH219="","",INDEX('Per Line'!$B$2:$B$1501,$AH219))</f>
        <v/>
      </c>
      <c r="F219">
        <f>IF($AH219="","",INDEX('Per Line'!$C$2:$C$1501,$AH219)&amp;"")</f>
        <v/>
      </c>
      <c r="G219">
        <f>IF($AH219="","",INDEX('Per Line'!$D$2:$D$1501,$AH219)&amp;"")</f>
        <v/>
      </c>
      <c r="H219">
        <f>IF($AH219="","",INDEX('Per Line'!$F$2:$F$1501,$AH219)&amp;"")</f>
        <v/>
      </c>
      <c r="I219" s="14">
        <f>IF($AH219="","",INDEX('Per Line'!$G$2:$G$1501,$AH219))</f>
        <v/>
      </c>
      <c r="J219">
        <f>IF($AH219="","",INDEX('Per Line'!$H$2:$H$1501,$AH219)&amp;"")</f>
        <v/>
      </c>
      <c r="K219">
        <f>IF($AH219="","",INDEX('Per Line'!$J$2:$J$1501,$AH219)&amp;"")</f>
        <v/>
      </c>
      <c r="L219">
        <f>IF($AH219="","",INDEX('Per Line'!$K$2:$K$1501,$AH219)&amp;"")</f>
        <v/>
      </c>
      <c r="M219">
        <f>IF($AH219="","",INDEX('Per Line'!$L$2:$L$1501,$AH219)&amp;"")</f>
        <v/>
      </c>
      <c r="N219">
        <f>IF($AH219="","",INDEX('Per Line'!$M$2:$M$1501,$AH219)&amp;"")</f>
        <v/>
      </c>
      <c r="O219">
        <f>IF($AH219="","",INDEX('Per Line'!$P$2:$P$1501,$AH219))</f>
        <v/>
      </c>
      <c r="P219" s="7">
        <f>IF($AH219="","",O219*AD219/100)</f>
        <v/>
      </c>
      <c r="Q219">
        <f>IF($AH219="","",INDEX('Per Line'!$R$2:$R$1501,$AH219)&amp;"")</f>
        <v/>
      </c>
      <c r="R219">
        <f>IF($AH219="","",INDEX('Per Line'!$AB$2:$AB$1501,$AH219)&amp;"")</f>
        <v/>
      </c>
      <c r="S219">
        <f>IF($AH219="","",Settings!$C$8)</f>
        <v/>
      </c>
      <c r="T219" s="7">
        <f>IF($AH219="","",SUMIFS('Per Line'!$Z$2:$Z$1501,'Per Line'!$E$2:$E$1501,$B219,'Per Line'!$AT$2:$AT$1501,1))</f>
        <v/>
      </c>
      <c r="U219" s="7">
        <f>IF($AH219="","",T219*S219)</f>
        <v/>
      </c>
      <c r="V219">
        <f>IF($AH219="","",Settings!$C$7)</f>
        <v/>
      </c>
      <c r="W219" s="7">
        <f>IF($AH219="","",SUMIFS('Per Line'!$Z$2:$Z$1501,'Per Line'!$E$2:$E$1501,$B219,'Per Line'!$AS$2:$AS$1501,0,'Per Line'!$AT$2:$AT$1501,0))</f>
        <v/>
      </c>
      <c r="X219" s="7">
        <f>IF($AH219="","",W219*V219)</f>
        <v/>
      </c>
      <c r="Y219">
        <f>IF($AH219="","",Settings!$C$6)</f>
        <v/>
      </c>
      <c r="Z219" s="7">
        <f>IF($AH219="","",SUMIFS('Per Line'!$Z$2:$Z$1501,'Per Line'!$E$2:$E$1501,$B219,'Per Line'!$AS$2:$AS$1501,1,'Per Line'!$AT$2:$AT$1501,0))</f>
        <v/>
      </c>
      <c r="AA219" s="7">
        <f>IF($AH219="","",Z219*Y219)</f>
        <v/>
      </c>
      <c r="AB219" s="7">
        <f>IF($AH219="","",AA219+X219+U219)</f>
        <v/>
      </c>
      <c r="AC219" s="7">
        <f>IF($AH219="","",AD219-AB219)</f>
        <v/>
      </c>
      <c r="AD219" s="7">
        <f>IF($AH219="","",W219+Z219+T219)</f>
        <v/>
      </c>
      <c r="AE219" s="7">
        <f>IF($AH219="","",AD219-AB219-P219)</f>
        <v/>
      </c>
      <c r="AF219" s="15" t="n"/>
      <c r="AG219" s="7">
        <f>IF($AH219="","",AE219-N(AF219))</f>
        <v/>
      </c>
      <c r="AH219" s="16">
        <f>IF(ROWS($AH$2:$AH219)&lt;=MAX('Per Line'!$AR$2:$AR$1501),MATCH(ROWS($AH$2:$AH219),'Per Line'!$AR$2:$AR$1501,0),"")</f>
        <v/>
      </c>
      <c r="AI219">
        <f>IF($AH219="","",C219&amp;"|"&amp;COUNTIF($C$2:$C219,C219))</f>
        <v/>
      </c>
    </row>
    <row r="220">
      <c r="A220" s="15" t="n"/>
      <c r="B220">
        <f>IF($AH220="","",INDEX('Per Line'!$E$2:$E$1501,$AH220)&amp;"")</f>
        <v/>
      </c>
      <c r="C220">
        <f>IF($AH220="","",IF(INDEX('Per Line'!$AP$2:$AP$1501,$AH220)="NOT MATCH","NOT MATCH","FULL MATCH"))</f>
        <v/>
      </c>
      <c r="D220">
        <f>IF($AH220="","",INDEX('Per Line'!$A$2:$A$1501,$AH220)&amp;"")</f>
        <v/>
      </c>
      <c r="E220">
        <f>IF($AH220="","",INDEX('Per Line'!$B$2:$B$1501,$AH220))</f>
        <v/>
      </c>
      <c r="F220">
        <f>IF($AH220="","",INDEX('Per Line'!$C$2:$C$1501,$AH220)&amp;"")</f>
        <v/>
      </c>
      <c r="G220">
        <f>IF($AH220="","",INDEX('Per Line'!$D$2:$D$1501,$AH220)&amp;"")</f>
        <v/>
      </c>
      <c r="H220">
        <f>IF($AH220="","",INDEX('Per Line'!$F$2:$F$1501,$AH220)&amp;"")</f>
        <v/>
      </c>
      <c r="I220" s="14">
        <f>IF($AH220="","",INDEX('Per Line'!$G$2:$G$1501,$AH220))</f>
        <v/>
      </c>
      <c r="J220">
        <f>IF($AH220="","",INDEX('Per Line'!$H$2:$H$1501,$AH220)&amp;"")</f>
        <v/>
      </c>
      <c r="K220">
        <f>IF($AH220="","",INDEX('Per Line'!$J$2:$J$1501,$AH220)&amp;"")</f>
        <v/>
      </c>
      <c r="L220">
        <f>IF($AH220="","",INDEX('Per Line'!$K$2:$K$1501,$AH220)&amp;"")</f>
        <v/>
      </c>
      <c r="M220">
        <f>IF($AH220="","",INDEX('Per Line'!$L$2:$L$1501,$AH220)&amp;"")</f>
        <v/>
      </c>
      <c r="N220">
        <f>IF($AH220="","",INDEX('Per Line'!$M$2:$M$1501,$AH220)&amp;"")</f>
        <v/>
      </c>
      <c r="O220">
        <f>IF($AH220="","",INDEX('Per Line'!$P$2:$P$1501,$AH220))</f>
        <v/>
      </c>
      <c r="P220" s="7">
        <f>IF($AH220="","",O220*AD220/100)</f>
        <v/>
      </c>
      <c r="Q220">
        <f>IF($AH220="","",INDEX('Per Line'!$R$2:$R$1501,$AH220)&amp;"")</f>
        <v/>
      </c>
      <c r="R220">
        <f>IF($AH220="","",INDEX('Per Line'!$AB$2:$AB$1501,$AH220)&amp;"")</f>
        <v/>
      </c>
      <c r="S220">
        <f>IF($AH220="","",Settings!$C$8)</f>
        <v/>
      </c>
      <c r="T220" s="7">
        <f>IF($AH220="","",SUMIFS('Per Line'!$Z$2:$Z$1501,'Per Line'!$E$2:$E$1501,$B220,'Per Line'!$AT$2:$AT$1501,1))</f>
        <v/>
      </c>
      <c r="U220" s="7">
        <f>IF($AH220="","",T220*S220)</f>
        <v/>
      </c>
      <c r="V220">
        <f>IF($AH220="","",Settings!$C$7)</f>
        <v/>
      </c>
      <c r="W220" s="7">
        <f>IF($AH220="","",SUMIFS('Per Line'!$Z$2:$Z$1501,'Per Line'!$E$2:$E$1501,$B220,'Per Line'!$AS$2:$AS$1501,0,'Per Line'!$AT$2:$AT$1501,0))</f>
        <v/>
      </c>
      <c r="X220" s="7">
        <f>IF($AH220="","",W220*V220)</f>
        <v/>
      </c>
      <c r="Y220">
        <f>IF($AH220="","",Settings!$C$6)</f>
        <v/>
      </c>
      <c r="Z220" s="7">
        <f>IF($AH220="","",SUMIFS('Per Line'!$Z$2:$Z$1501,'Per Line'!$E$2:$E$1501,$B220,'Per Line'!$AS$2:$AS$1501,1,'Per Line'!$AT$2:$AT$1501,0))</f>
        <v/>
      </c>
      <c r="AA220" s="7">
        <f>IF($AH220="","",Z220*Y220)</f>
        <v/>
      </c>
      <c r="AB220" s="7">
        <f>IF($AH220="","",AA220+X220+U220)</f>
        <v/>
      </c>
      <c r="AC220" s="7">
        <f>IF($AH220="","",AD220-AB220)</f>
        <v/>
      </c>
      <c r="AD220" s="7">
        <f>IF($AH220="","",W220+Z220+T220)</f>
        <v/>
      </c>
      <c r="AE220" s="7">
        <f>IF($AH220="","",AD220-AB220-P220)</f>
        <v/>
      </c>
      <c r="AF220" s="15" t="n"/>
      <c r="AG220" s="7">
        <f>IF($AH220="","",AE220-N(AF220))</f>
        <v/>
      </c>
      <c r="AH220" s="16">
        <f>IF(ROWS($AH$2:$AH220)&lt;=MAX('Per Line'!$AR$2:$AR$1501),MATCH(ROWS($AH$2:$AH220),'Per Line'!$AR$2:$AR$1501,0),"")</f>
        <v/>
      </c>
      <c r="AI220">
        <f>IF($AH220="","",C220&amp;"|"&amp;COUNTIF($C$2:$C220,C220))</f>
        <v/>
      </c>
    </row>
    <row r="221">
      <c r="A221" s="15" t="n"/>
      <c r="B221">
        <f>IF($AH221="","",INDEX('Per Line'!$E$2:$E$1501,$AH221)&amp;"")</f>
        <v/>
      </c>
      <c r="C221">
        <f>IF($AH221="","",IF(INDEX('Per Line'!$AP$2:$AP$1501,$AH221)="NOT MATCH","NOT MATCH","FULL MATCH"))</f>
        <v/>
      </c>
      <c r="D221">
        <f>IF($AH221="","",INDEX('Per Line'!$A$2:$A$1501,$AH221)&amp;"")</f>
        <v/>
      </c>
      <c r="E221">
        <f>IF($AH221="","",INDEX('Per Line'!$B$2:$B$1501,$AH221))</f>
        <v/>
      </c>
      <c r="F221">
        <f>IF($AH221="","",INDEX('Per Line'!$C$2:$C$1501,$AH221)&amp;"")</f>
        <v/>
      </c>
      <c r="G221">
        <f>IF($AH221="","",INDEX('Per Line'!$D$2:$D$1501,$AH221)&amp;"")</f>
        <v/>
      </c>
      <c r="H221">
        <f>IF($AH221="","",INDEX('Per Line'!$F$2:$F$1501,$AH221)&amp;"")</f>
        <v/>
      </c>
      <c r="I221" s="14">
        <f>IF($AH221="","",INDEX('Per Line'!$G$2:$G$1501,$AH221))</f>
        <v/>
      </c>
      <c r="J221">
        <f>IF($AH221="","",INDEX('Per Line'!$H$2:$H$1501,$AH221)&amp;"")</f>
        <v/>
      </c>
      <c r="K221">
        <f>IF($AH221="","",INDEX('Per Line'!$J$2:$J$1501,$AH221)&amp;"")</f>
        <v/>
      </c>
      <c r="L221">
        <f>IF($AH221="","",INDEX('Per Line'!$K$2:$K$1501,$AH221)&amp;"")</f>
        <v/>
      </c>
      <c r="M221">
        <f>IF($AH221="","",INDEX('Per Line'!$L$2:$L$1501,$AH221)&amp;"")</f>
        <v/>
      </c>
      <c r="N221">
        <f>IF($AH221="","",INDEX('Per Line'!$M$2:$M$1501,$AH221)&amp;"")</f>
        <v/>
      </c>
      <c r="O221">
        <f>IF($AH221="","",INDEX('Per Line'!$P$2:$P$1501,$AH221))</f>
        <v/>
      </c>
      <c r="P221" s="7">
        <f>IF($AH221="","",O221*AD221/100)</f>
        <v/>
      </c>
      <c r="Q221">
        <f>IF($AH221="","",INDEX('Per Line'!$R$2:$R$1501,$AH221)&amp;"")</f>
        <v/>
      </c>
      <c r="R221">
        <f>IF($AH221="","",INDEX('Per Line'!$AB$2:$AB$1501,$AH221)&amp;"")</f>
        <v/>
      </c>
      <c r="S221">
        <f>IF($AH221="","",Settings!$C$8)</f>
        <v/>
      </c>
      <c r="T221" s="7">
        <f>IF($AH221="","",SUMIFS('Per Line'!$Z$2:$Z$1501,'Per Line'!$E$2:$E$1501,$B221,'Per Line'!$AT$2:$AT$1501,1))</f>
        <v/>
      </c>
      <c r="U221" s="7">
        <f>IF($AH221="","",T221*S221)</f>
        <v/>
      </c>
      <c r="V221">
        <f>IF($AH221="","",Settings!$C$7)</f>
        <v/>
      </c>
      <c r="W221" s="7">
        <f>IF($AH221="","",SUMIFS('Per Line'!$Z$2:$Z$1501,'Per Line'!$E$2:$E$1501,$B221,'Per Line'!$AS$2:$AS$1501,0,'Per Line'!$AT$2:$AT$1501,0))</f>
        <v/>
      </c>
      <c r="X221" s="7">
        <f>IF($AH221="","",W221*V221)</f>
        <v/>
      </c>
      <c r="Y221">
        <f>IF($AH221="","",Settings!$C$6)</f>
        <v/>
      </c>
      <c r="Z221" s="7">
        <f>IF($AH221="","",SUMIFS('Per Line'!$Z$2:$Z$1501,'Per Line'!$E$2:$E$1501,$B221,'Per Line'!$AS$2:$AS$1501,1,'Per Line'!$AT$2:$AT$1501,0))</f>
        <v/>
      </c>
      <c r="AA221" s="7">
        <f>IF($AH221="","",Z221*Y221)</f>
        <v/>
      </c>
      <c r="AB221" s="7">
        <f>IF($AH221="","",AA221+X221+U221)</f>
        <v/>
      </c>
      <c r="AC221" s="7">
        <f>IF($AH221="","",AD221-AB221)</f>
        <v/>
      </c>
      <c r="AD221" s="7">
        <f>IF($AH221="","",W221+Z221+T221)</f>
        <v/>
      </c>
      <c r="AE221" s="7">
        <f>IF($AH221="","",AD221-AB221-P221)</f>
        <v/>
      </c>
      <c r="AF221" s="15" t="n"/>
      <c r="AG221" s="7">
        <f>IF($AH221="","",AE221-N(AF221))</f>
        <v/>
      </c>
      <c r="AH221" s="16">
        <f>IF(ROWS($AH$2:$AH221)&lt;=MAX('Per Line'!$AR$2:$AR$1501),MATCH(ROWS($AH$2:$AH221),'Per Line'!$AR$2:$AR$1501,0),"")</f>
        <v/>
      </c>
      <c r="AI221">
        <f>IF($AH221="","",C221&amp;"|"&amp;COUNTIF($C$2:$C221,C221))</f>
        <v/>
      </c>
    </row>
    <row r="222">
      <c r="A222" s="15" t="n"/>
      <c r="B222">
        <f>IF($AH222="","",INDEX('Per Line'!$E$2:$E$1501,$AH222)&amp;"")</f>
        <v/>
      </c>
      <c r="C222">
        <f>IF($AH222="","",IF(INDEX('Per Line'!$AP$2:$AP$1501,$AH222)="NOT MATCH","NOT MATCH","FULL MATCH"))</f>
        <v/>
      </c>
      <c r="D222">
        <f>IF($AH222="","",INDEX('Per Line'!$A$2:$A$1501,$AH222)&amp;"")</f>
        <v/>
      </c>
      <c r="E222">
        <f>IF($AH222="","",INDEX('Per Line'!$B$2:$B$1501,$AH222))</f>
        <v/>
      </c>
      <c r="F222">
        <f>IF($AH222="","",INDEX('Per Line'!$C$2:$C$1501,$AH222)&amp;"")</f>
        <v/>
      </c>
      <c r="G222">
        <f>IF($AH222="","",INDEX('Per Line'!$D$2:$D$1501,$AH222)&amp;"")</f>
        <v/>
      </c>
      <c r="H222">
        <f>IF($AH222="","",INDEX('Per Line'!$F$2:$F$1501,$AH222)&amp;"")</f>
        <v/>
      </c>
      <c r="I222" s="14">
        <f>IF($AH222="","",INDEX('Per Line'!$G$2:$G$1501,$AH222))</f>
        <v/>
      </c>
      <c r="J222">
        <f>IF($AH222="","",INDEX('Per Line'!$H$2:$H$1501,$AH222)&amp;"")</f>
        <v/>
      </c>
      <c r="K222">
        <f>IF($AH222="","",INDEX('Per Line'!$J$2:$J$1501,$AH222)&amp;"")</f>
        <v/>
      </c>
      <c r="L222">
        <f>IF($AH222="","",INDEX('Per Line'!$K$2:$K$1501,$AH222)&amp;"")</f>
        <v/>
      </c>
      <c r="M222">
        <f>IF($AH222="","",INDEX('Per Line'!$L$2:$L$1501,$AH222)&amp;"")</f>
        <v/>
      </c>
      <c r="N222">
        <f>IF($AH222="","",INDEX('Per Line'!$M$2:$M$1501,$AH222)&amp;"")</f>
        <v/>
      </c>
      <c r="O222">
        <f>IF($AH222="","",INDEX('Per Line'!$P$2:$P$1501,$AH222))</f>
        <v/>
      </c>
      <c r="P222" s="7">
        <f>IF($AH222="","",O222*AD222/100)</f>
        <v/>
      </c>
      <c r="Q222">
        <f>IF($AH222="","",INDEX('Per Line'!$R$2:$R$1501,$AH222)&amp;"")</f>
        <v/>
      </c>
      <c r="R222">
        <f>IF($AH222="","",INDEX('Per Line'!$AB$2:$AB$1501,$AH222)&amp;"")</f>
        <v/>
      </c>
      <c r="S222">
        <f>IF($AH222="","",Settings!$C$8)</f>
        <v/>
      </c>
      <c r="T222" s="7">
        <f>IF($AH222="","",SUMIFS('Per Line'!$Z$2:$Z$1501,'Per Line'!$E$2:$E$1501,$B222,'Per Line'!$AT$2:$AT$1501,1))</f>
        <v/>
      </c>
      <c r="U222" s="7">
        <f>IF($AH222="","",T222*S222)</f>
        <v/>
      </c>
      <c r="V222">
        <f>IF($AH222="","",Settings!$C$7)</f>
        <v/>
      </c>
      <c r="W222" s="7">
        <f>IF($AH222="","",SUMIFS('Per Line'!$Z$2:$Z$1501,'Per Line'!$E$2:$E$1501,$B222,'Per Line'!$AS$2:$AS$1501,0,'Per Line'!$AT$2:$AT$1501,0))</f>
        <v/>
      </c>
      <c r="X222" s="7">
        <f>IF($AH222="","",W222*V222)</f>
        <v/>
      </c>
      <c r="Y222">
        <f>IF($AH222="","",Settings!$C$6)</f>
        <v/>
      </c>
      <c r="Z222" s="7">
        <f>IF($AH222="","",SUMIFS('Per Line'!$Z$2:$Z$1501,'Per Line'!$E$2:$E$1501,$B222,'Per Line'!$AS$2:$AS$1501,1,'Per Line'!$AT$2:$AT$1501,0))</f>
        <v/>
      </c>
      <c r="AA222" s="7">
        <f>IF($AH222="","",Z222*Y222)</f>
        <v/>
      </c>
      <c r="AB222" s="7">
        <f>IF($AH222="","",AA222+X222+U222)</f>
        <v/>
      </c>
      <c r="AC222" s="7">
        <f>IF($AH222="","",AD222-AB222)</f>
        <v/>
      </c>
      <c r="AD222" s="7">
        <f>IF($AH222="","",W222+Z222+T222)</f>
        <v/>
      </c>
      <c r="AE222" s="7">
        <f>IF($AH222="","",AD222-AB222-P222)</f>
        <v/>
      </c>
      <c r="AF222" s="15" t="n"/>
      <c r="AG222" s="7">
        <f>IF($AH222="","",AE222-N(AF222))</f>
        <v/>
      </c>
      <c r="AH222" s="16">
        <f>IF(ROWS($AH$2:$AH222)&lt;=MAX('Per Line'!$AR$2:$AR$1501),MATCH(ROWS($AH$2:$AH222),'Per Line'!$AR$2:$AR$1501,0),"")</f>
        <v/>
      </c>
      <c r="AI222">
        <f>IF($AH222="","",C222&amp;"|"&amp;COUNTIF($C$2:$C222,C222))</f>
        <v/>
      </c>
    </row>
    <row r="223">
      <c r="A223" s="15" t="n"/>
      <c r="B223">
        <f>IF($AH223="","",INDEX('Per Line'!$E$2:$E$1501,$AH223)&amp;"")</f>
        <v/>
      </c>
      <c r="C223">
        <f>IF($AH223="","",IF(INDEX('Per Line'!$AP$2:$AP$1501,$AH223)="NOT MATCH","NOT MATCH","FULL MATCH"))</f>
        <v/>
      </c>
      <c r="D223">
        <f>IF($AH223="","",INDEX('Per Line'!$A$2:$A$1501,$AH223)&amp;"")</f>
        <v/>
      </c>
      <c r="E223">
        <f>IF($AH223="","",INDEX('Per Line'!$B$2:$B$1501,$AH223))</f>
        <v/>
      </c>
      <c r="F223">
        <f>IF($AH223="","",INDEX('Per Line'!$C$2:$C$1501,$AH223)&amp;"")</f>
        <v/>
      </c>
      <c r="G223">
        <f>IF($AH223="","",INDEX('Per Line'!$D$2:$D$1501,$AH223)&amp;"")</f>
        <v/>
      </c>
      <c r="H223">
        <f>IF($AH223="","",INDEX('Per Line'!$F$2:$F$1501,$AH223)&amp;"")</f>
        <v/>
      </c>
      <c r="I223" s="14">
        <f>IF($AH223="","",INDEX('Per Line'!$G$2:$G$1501,$AH223))</f>
        <v/>
      </c>
      <c r="J223">
        <f>IF($AH223="","",INDEX('Per Line'!$H$2:$H$1501,$AH223)&amp;"")</f>
        <v/>
      </c>
      <c r="K223">
        <f>IF($AH223="","",INDEX('Per Line'!$J$2:$J$1501,$AH223)&amp;"")</f>
        <v/>
      </c>
      <c r="L223">
        <f>IF($AH223="","",INDEX('Per Line'!$K$2:$K$1501,$AH223)&amp;"")</f>
        <v/>
      </c>
      <c r="M223">
        <f>IF($AH223="","",INDEX('Per Line'!$L$2:$L$1501,$AH223)&amp;"")</f>
        <v/>
      </c>
      <c r="N223">
        <f>IF($AH223="","",INDEX('Per Line'!$M$2:$M$1501,$AH223)&amp;"")</f>
        <v/>
      </c>
      <c r="O223">
        <f>IF($AH223="","",INDEX('Per Line'!$P$2:$P$1501,$AH223))</f>
        <v/>
      </c>
      <c r="P223" s="7">
        <f>IF($AH223="","",O223*AD223/100)</f>
        <v/>
      </c>
      <c r="Q223">
        <f>IF($AH223="","",INDEX('Per Line'!$R$2:$R$1501,$AH223)&amp;"")</f>
        <v/>
      </c>
      <c r="R223">
        <f>IF($AH223="","",INDEX('Per Line'!$AB$2:$AB$1501,$AH223)&amp;"")</f>
        <v/>
      </c>
      <c r="S223">
        <f>IF($AH223="","",Settings!$C$8)</f>
        <v/>
      </c>
      <c r="T223" s="7">
        <f>IF($AH223="","",SUMIFS('Per Line'!$Z$2:$Z$1501,'Per Line'!$E$2:$E$1501,$B223,'Per Line'!$AT$2:$AT$1501,1))</f>
        <v/>
      </c>
      <c r="U223" s="7">
        <f>IF($AH223="","",T223*S223)</f>
        <v/>
      </c>
      <c r="V223">
        <f>IF($AH223="","",Settings!$C$7)</f>
        <v/>
      </c>
      <c r="W223" s="7">
        <f>IF($AH223="","",SUMIFS('Per Line'!$Z$2:$Z$1501,'Per Line'!$E$2:$E$1501,$B223,'Per Line'!$AS$2:$AS$1501,0,'Per Line'!$AT$2:$AT$1501,0))</f>
        <v/>
      </c>
      <c r="X223" s="7">
        <f>IF($AH223="","",W223*V223)</f>
        <v/>
      </c>
      <c r="Y223">
        <f>IF($AH223="","",Settings!$C$6)</f>
        <v/>
      </c>
      <c r="Z223" s="7">
        <f>IF($AH223="","",SUMIFS('Per Line'!$Z$2:$Z$1501,'Per Line'!$E$2:$E$1501,$B223,'Per Line'!$AS$2:$AS$1501,1,'Per Line'!$AT$2:$AT$1501,0))</f>
        <v/>
      </c>
      <c r="AA223" s="7">
        <f>IF($AH223="","",Z223*Y223)</f>
        <v/>
      </c>
      <c r="AB223" s="7">
        <f>IF($AH223="","",AA223+X223+U223)</f>
        <v/>
      </c>
      <c r="AC223" s="7">
        <f>IF($AH223="","",AD223-AB223)</f>
        <v/>
      </c>
      <c r="AD223" s="7">
        <f>IF($AH223="","",W223+Z223+T223)</f>
        <v/>
      </c>
      <c r="AE223" s="7">
        <f>IF($AH223="","",AD223-AB223-P223)</f>
        <v/>
      </c>
      <c r="AF223" s="15" t="n"/>
      <c r="AG223" s="7">
        <f>IF($AH223="","",AE223-N(AF223))</f>
        <v/>
      </c>
      <c r="AH223" s="16">
        <f>IF(ROWS($AH$2:$AH223)&lt;=MAX('Per Line'!$AR$2:$AR$1501),MATCH(ROWS($AH$2:$AH223),'Per Line'!$AR$2:$AR$1501,0),"")</f>
        <v/>
      </c>
      <c r="AI223">
        <f>IF($AH223="","",C223&amp;"|"&amp;COUNTIF($C$2:$C223,C223))</f>
        <v/>
      </c>
    </row>
    <row r="224">
      <c r="A224" s="15" t="n"/>
      <c r="B224">
        <f>IF($AH224="","",INDEX('Per Line'!$E$2:$E$1501,$AH224)&amp;"")</f>
        <v/>
      </c>
      <c r="C224">
        <f>IF($AH224="","",IF(INDEX('Per Line'!$AP$2:$AP$1501,$AH224)="NOT MATCH","NOT MATCH","FULL MATCH"))</f>
        <v/>
      </c>
      <c r="D224">
        <f>IF($AH224="","",INDEX('Per Line'!$A$2:$A$1501,$AH224)&amp;"")</f>
        <v/>
      </c>
      <c r="E224">
        <f>IF($AH224="","",INDEX('Per Line'!$B$2:$B$1501,$AH224))</f>
        <v/>
      </c>
      <c r="F224">
        <f>IF($AH224="","",INDEX('Per Line'!$C$2:$C$1501,$AH224)&amp;"")</f>
        <v/>
      </c>
      <c r="G224">
        <f>IF($AH224="","",INDEX('Per Line'!$D$2:$D$1501,$AH224)&amp;"")</f>
        <v/>
      </c>
      <c r="H224">
        <f>IF($AH224="","",INDEX('Per Line'!$F$2:$F$1501,$AH224)&amp;"")</f>
        <v/>
      </c>
      <c r="I224" s="14">
        <f>IF($AH224="","",INDEX('Per Line'!$G$2:$G$1501,$AH224))</f>
        <v/>
      </c>
      <c r="J224">
        <f>IF($AH224="","",INDEX('Per Line'!$H$2:$H$1501,$AH224)&amp;"")</f>
        <v/>
      </c>
      <c r="K224">
        <f>IF($AH224="","",INDEX('Per Line'!$J$2:$J$1501,$AH224)&amp;"")</f>
        <v/>
      </c>
      <c r="L224">
        <f>IF($AH224="","",INDEX('Per Line'!$K$2:$K$1501,$AH224)&amp;"")</f>
        <v/>
      </c>
      <c r="M224">
        <f>IF($AH224="","",INDEX('Per Line'!$L$2:$L$1501,$AH224)&amp;"")</f>
        <v/>
      </c>
      <c r="N224">
        <f>IF($AH224="","",INDEX('Per Line'!$M$2:$M$1501,$AH224)&amp;"")</f>
        <v/>
      </c>
      <c r="O224">
        <f>IF($AH224="","",INDEX('Per Line'!$P$2:$P$1501,$AH224))</f>
        <v/>
      </c>
      <c r="P224" s="7">
        <f>IF($AH224="","",O224*AD224/100)</f>
        <v/>
      </c>
      <c r="Q224">
        <f>IF($AH224="","",INDEX('Per Line'!$R$2:$R$1501,$AH224)&amp;"")</f>
        <v/>
      </c>
      <c r="R224">
        <f>IF($AH224="","",INDEX('Per Line'!$AB$2:$AB$1501,$AH224)&amp;"")</f>
        <v/>
      </c>
      <c r="S224">
        <f>IF($AH224="","",Settings!$C$8)</f>
        <v/>
      </c>
      <c r="T224" s="7">
        <f>IF($AH224="","",SUMIFS('Per Line'!$Z$2:$Z$1501,'Per Line'!$E$2:$E$1501,$B224,'Per Line'!$AT$2:$AT$1501,1))</f>
        <v/>
      </c>
      <c r="U224" s="7">
        <f>IF($AH224="","",T224*S224)</f>
        <v/>
      </c>
      <c r="V224">
        <f>IF($AH224="","",Settings!$C$7)</f>
        <v/>
      </c>
      <c r="W224" s="7">
        <f>IF($AH224="","",SUMIFS('Per Line'!$Z$2:$Z$1501,'Per Line'!$E$2:$E$1501,$B224,'Per Line'!$AS$2:$AS$1501,0,'Per Line'!$AT$2:$AT$1501,0))</f>
        <v/>
      </c>
      <c r="X224" s="7">
        <f>IF($AH224="","",W224*V224)</f>
        <v/>
      </c>
      <c r="Y224">
        <f>IF($AH224="","",Settings!$C$6)</f>
        <v/>
      </c>
      <c r="Z224" s="7">
        <f>IF($AH224="","",SUMIFS('Per Line'!$Z$2:$Z$1501,'Per Line'!$E$2:$E$1501,$B224,'Per Line'!$AS$2:$AS$1501,1,'Per Line'!$AT$2:$AT$1501,0))</f>
        <v/>
      </c>
      <c r="AA224" s="7">
        <f>IF($AH224="","",Z224*Y224)</f>
        <v/>
      </c>
      <c r="AB224" s="7">
        <f>IF($AH224="","",AA224+X224+U224)</f>
        <v/>
      </c>
      <c r="AC224" s="7">
        <f>IF($AH224="","",AD224-AB224)</f>
        <v/>
      </c>
      <c r="AD224" s="7">
        <f>IF($AH224="","",W224+Z224+T224)</f>
        <v/>
      </c>
      <c r="AE224" s="7">
        <f>IF($AH224="","",AD224-AB224-P224)</f>
        <v/>
      </c>
      <c r="AF224" s="15" t="n"/>
      <c r="AG224" s="7">
        <f>IF($AH224="","",AE224-N(AF224))</f>
        <v/>
      </c>
      <c r="AH224" s="16">
        <f>IF(ROWS($AH$2:$AH224)&lt;=MAX('Per Line'!$AR$2:$AR$1501),MATCH(ROWS($AH$2:$AH224),'Per Line'!$AR$2:$AR$1501,0),"")</f>
        <v/>
      </c>
      <c r="AI224">
        <f>IF($AH224="","",C224&amp;"|"&amp;COUNTIF($C$2:$C224,C224))</f>
        <v/>
      </c>
    </row>
    <row r="225">
      <c r="A225" s="15" t="n"/>
      <c r="B225">
        <f>IF($AH225="","",INDEX('Per Line'!$E$2:$E$1501,$AH225)&amp;"")</f>
        <v/>
      </c>
      <c r="C225">
        <f>IF($AH225="","",IF(INDEX('Per Line'!$AP$2:$AP$1501,$AH225)="NOT MATCH","NOT MATCH","FULL MATCH"))</f>
        <v/>
      </c>
      <c r="D225">
        <f>IF($AH225="","",INDEX('Per Line'!$A$2:$A$1501,$AH225)&amp;"")</f>
        <v/>
      </c>
      <c r="E225">
        <f>IF($AH225="","",INDEX('Per Line'!$B$2:$B$1501,$AH225))</f>
        <v/>
      </c>
      <c r="F225">
        <f>IF($AH225="","",INDEX('Per Line'!$C$2:$C$1501,$AH225)&amp;"")</f>
        <v/>
      </c>
      <c r="G225">
        <f>IF($AH225="","",INDEX('Per Line'!$D$2:$D$1501,$AH225)&amp;"")</f>
        <v/>
      </c>
      <c r="H225">
        <f>IF($AH225="","",INDEX('Per Line'!$F$2:$F$1501,$AH225)&amp;"")</f>
        <v/>
      </c>
      <c r="I225" s="14">
        <f>IF($AH225="","",INDEX('Per Line'!$G$2:$G$1501,$AH225))</f>
        <v/>
      </c>
      <c r="J225">
        <f>IF($AH225="","",INDEX('Per Line'!$H$2:$H$1501,$AH225)&amp;"")</f>
        <v/>
      </c>
      <c r="K225">
        <f>IF($AH225="","",INDEX('Per Line'!$J$2:$J$1501,$AH225)&amp;"")</f>
        <v/>
      </c>
      <c r="L225">
        <f>IF($AH225="","",INDEX('Per Line'!$K$2:$K$1501,$AH225)&amp;"")</f>
        <v/>
      </c>
      <c r="M225">
        <f>IF($AH225="","",INDEX('Per Line'!$L$2:$L$1501,$AH225)&amp;"")</f>
        <v/>
      </c>
      <c r="N225">
        <f>IF($AH225="","",INDEX('Per Line'!$M$2:$M$1501,$AH225)&amp;"")</f>
        <v/>
      </c>
      <c r="O225">
        <f>IF($AH225="","",INDEX('Per Line'!$P$2:$P$1501,$AH225))</f>
        <v/>
      </c>
      <c r="P225" s="7">
        <f>IF($AH225="","",O225*AD225/100)</f>
        <v/>
      </c>
      <c r="Q225">
        <f>IF($AH225="","",INDEX('Per Line'!$R$2:$R$1501,$AH225)&amp;"")</f>
        <v/>
      </c>
      <c r="R225">
        <f>IF($AH225="","",INDEX('Per Line'!$AB$2:$AB$1501,$AH225)&amp;"")</f>
        <v/>
      </c>
      <c r="S225">
        <f>IF($AH225="","",Settings!$C$8)</f>
        <v/>
      </c>
      <c r="T225" s="7">
        <f>IF($AH225="","",SUMIFS('Per Line'!$Z$2:$Z$1501,'Per Line'!$E$2:$E$1501,$B225,'Per Line'!$AT$2:$AT$1501,1))</f>
        <v/>
      </c>
      <c r="U225" s="7">
        <f>IF($AH225="","",T225*S225)</f>
        <v/>
      </c>
      <c r="V225">
        <f>IF($AH225="","",Settings!$C$7)</f>
        <v/>
      </c>
      <c r="W225" s="7">
        <f>IF($AH225="","",SUMIFS('Per Line'!$Z$2:$Z$1501,'Per Line'!$E$2:$E$1501,$B225,'Per Line'!$AS$2:$AS$1501,0,'Per Line'!$AT$2:$AT$1501,0))</f>
        <v/>
      </c>
      <c r="X225" s="7">
        <f>IF($AH225="","",W225*V225)</f>
        <v/>
      </c>
      <c r="Y225">
        <f>IF($AH225="","",Settings!$C$6)</f>
        <v/>
      </c>
      <c r="Z225" s="7">
        <f>IF($AH225="","",SUMIFS('Per Line'!$Z$2:$Z$1501,'Per Line'!$E$2:$E$1501,$B225,'Per Line'!$AS$2:$AS$1501,1,'Per Line'!$AT$2:$AT$1501,0))</f>
        <v/>
      </c>
      <c r="AA225" s="7">
        <f>IF($AH225="","",Z225*Y225)</f>
        <v/>
      </c>
      <c r="AB225" s="7">
        <f>IF($AH225="","",AA225+X225+U225)</f>
        <v/>
      </c>
      <c r="AC225" s="7">
        <f>IF($AH225="","",AD225-AB225)</f>
        <v/>
      </c>
      <c r="AD225" s="7">
        <f>IF($AH225="","",W225+Z225+T225)</f>
        <v/>
      </c>
      <c r="AE225" s="7">
        <f>IF($AH225="","",AD225-AB225-P225)</f>
        <v/>
      </c>
      <c r="AF225" s="15" t="n"/>
      <c r="AG225" s="7">
        <f>IF($AH225="","",AE225-N(AF225))</f>
        <v/>
      </c>
      <c r="AH225" s="16">
        <f>IF(ROWS($AH$2:$AH225)&lt;=MAX('Per Line'!$AR$2:$AR$1501),MATCH(ROWS($AH$2:$AH225),'Per Line'!$AR$2:$AR$1501,0),"")</f>
        <v/>
      </c>
      <c r="AI225">
        <f>IF($AH225="","",C225&amp;"|"&amp;COUNTIF($C$2:$C225,C225))</f>
        <v/>
      </c>
    </row>
    <row r="226">
      <c r="A226" s="15" t="n"/>
      <c r="B226">
        <f>IF($AH226="","",INDEX('Per Line'!$E$2:$E$1501,$AH226)&amp;"")</f>
        <v/>
      </c>
      <c r="C226">
        <f>IF($AH226="","",IF(INDEX('Per Line'!$AP$2:$AP$1501,$AH226)="NOT MATCH","NOT MATCH","FULL MATCH"))</f>
        <v/>
      </c>
      <c r="D226">
        <f>IF($AH226="","",INDEX('Per Line'!$A$2:$A$1501,$AH226)&amp;"")</f>
        <v/>
      </c>
      <c r="E226">
        <f>IF($AH226="","",INDEX('Per Line'!$B$2:$B$1501,$AH226))</f>
        <v/>
      </c>
      <c r="F226">
        <f>IF($AH226="","",INDEX('Per Line'!$C$2:$C$1501,$AH226)&amp;"")</f>
        <v/>
      </c>
      <c r="G226">
        <f>IF($AH226="","",INDEX('Per Line'!$D$2:$D$1501,$AH226)&amp;"")</f>
        <v/>
      </c>
      <c r="H226">
        <f>IF($AH226="","",INDEX('Per Line'!$F$2:$F$1501,$AH226)&amp;"")</f>
        <v/>
      </c>
      <c r="I226" s="14">
        <f>IF($AH226="","",INDEX('Per Line'!$G$2:$G$1501,$AH226))</f>
        <v/>
      </c>
      <c r="J226">
        <f>IF($AH226="","",INDEX('Per Line'!$H$2:$H$1501,$AH226)&amp;"")</f>
        <v/>
      </c>
      <c r="K226">
        <f>IF($AH226="","",INDEX('Per Line'!$J$2:$J$1501,$AH226)&amp;"")</f>
        <v/>
      </c>
      <c r="L226">
        <f>IF($AH226="","",INDEX('Per Line'!$K$2:$K$1501,$AH226)&amp;"")</f>
        <v/>
      </c>
      <c r="M226">
        <f>IF($AH226="","",INDEX('Per Line'!$L$2:$L$1501,$AH226)&amp;"")</f>
        <v/>
      </c>
      <c r="N226">
        <f>IF($AH226="","",INDEX('Per Line'!$M$2:$M$1501,$AH226)&amp;"")</f>
        <v/>
      </c>
      <c r="O226">
        <f>IF($AH226="","",INDEX('Per Line'!$P$2:$P$1501,$AH226))</f>
        <v/>
      </c>
      <c r="P226" s="7">
        <f>IF($AH226="","",O226*AD226/100)</f>
        <v/>
      </c>
      <c r="Q226">
        <f>IF($AH226="","",INDEX('Per Line'!$R$2:$R$1501,$AH226)&amp;"")</f>
        <v/>
      </c>
      <c r="R226">
        <f>IF($AH226="","",INDEX('Per Line'!$AB$2:$AB$1501,$AH226)&amp;"")</f>
        <v/>
      </c>
      <c r="S226">
        <f>IF($AH226="","",Settings!$C$8)</f>
        <v/>
      </c>
      <c r="T226" s="7">
        <f>IF($AH226="","",SUMIFS('Per Line'!$Z$2:$Z$1501,'Per Line'!$E$2:$E$1501,$B226,'Per Line'!$AT$2:$AT$1501,1))</f>
        <v/>
      </c>
      <c r="U226" s="7">
        <f>IF($AH226="","",T226*S226)</f>
        <v/>
      </c>
      <c r="V226">
        <f>IF($AH226="","",Settings!$C$7)</f>
        <v/>
      </c>
      <c r="W226" s="7">
        <f>IF($AH226="","",SUMIFS('Per Line'!$Z$2:$Z$1501,'Per Line'!$E$2:$E$1501,$B226,'Per Line'!$AS$2:$AS$1501,0,'Per Line'!$AT$2:$AT$1501,0))</f>
        <v/>
      </c>
      <c r="X226" s="7">
        <f>IF($AH226="","",W226*V226)</f>
        <v/>
      </c>
      <c r="Y226">
        <f>IF($AH226="","",Settings!$C$6)</f>
        <v/>
      </c>
      <c r="Z226" s="7">
        <f>IF($AH226="","",SUMIFS('Per Line'!$Z$2:$Z$1501,'Per Line'!$E$2:$E$1501,$B226,'Per Line'!$AS$2:$AS$1501,1,'Per Line'!$AT$2:$AT$1501,0))</f>
        <v/>
      </c>
      <c r="AA226" s="7">
        <f>IF($AH226="","",Z226*Y226)</f>
        <v/>
      </c>
      <c r="AB226" s="7">
        <f>IF($AH226="","",AA226+X226+U226)</f>
        <v/>
      </c>
      <c r="AC226" s="7">
        <f>IF($AH226="","",AD226-AB226)</f>
        <v/>
      </c>
      <c r="AD226" s="7">
        <f>IF($AH226="","",W226+Z226+T226)</f>
        <v/>
      </c>
      <c r="AE226" s="7">
        <f>IF($AH226="","",AD226-AB226-P226)</f>
        <v/>
      </c>
      <c r="AF226" s="15" t="n"/>
      <c r="AG226" s="7">
        <f>IF($AH226="","",AE226-N(AF226))</f>
        <v/>
      </c>
      <c r="AH226" s="16">
        <f>IF(ROWS($AH$2:$AH226)&lt;=MAX('Per Line'!$AR$2:$AR$1501),MATCH(ROWS($AH$2:$AH226),'Per Line'!$AR$2:$AR$1501,0),"")</f>
        <v/>
      </c>
      <c r="AI226">
        <f>IF($AH226="","",C226&amp;"|"&amp;COUNTIF($C$2:$C226,C226))</f>
        <v/>
      </c>
    </row>
    <row r="227">
      <c r="A227" s="15" t="n"/>
      <c r="B227">
        <f>IF($AH227="","",INDEX('Per Line'!$E$2:$E$1501,$AH227)&amp;"")</f>
        <v/>
      </c>
      <c r="C227">
        <f>IF($AH227="","",IF(INDEX('Per Line'!$AP$2:$AP$1501,$AH227)="NOT MATCH","NOT MATCH","FULL MATCH"))</f>
        <v/>
      </c>
      <c r="D227">
        <f>IF($AH227="","",INDEX('Per Line'!$A$2:$A$1501,$AH227)&amp;"")</f>
        <v/>
      </c>
      <c r="E227">
        <f>IF($AH227="","",INDEX('Per Line'!$B$2:$B$1501,$AH227))</f>
        <v/>
      </c>
      <c r="F227">
        <f>IF($AH227="","",INDEX('Per Line'!$C$2:$C$1501,$AH227)&amp;"")</f>
        <v/>
      </c>
      <c r="G227">
        <f>IF($AH227="","",INDEX('Per Line'!$D$2:$D$1501,$AH227)&amp;"")</f>
        <v/>
      </c>
      <c r="H227">
        <f>IF($AH227="","",INDEX('Per Line'!$F$2:$F$1501,$AH227)&amp;"")</f>
        <v/>
      </c>
      <c r="I227" s="14">
        <f>IF($AH227="","",INDEX('Per Line'!$G$2:$G$1501,$AH227))</f>
        <v/>
      </c>
      <c r="J227">
        <f>IF($AH227="","",INDEX('Per Line'!$H$2:$H$1501,$AH227)&amp;"")</f>
        <v/>
      </c>
      <c r="K227">
        <f>IF($AH227="","",INDEX('Per Line'!$J$2:$J$1501,$AH227)&amp;"")</f>
        <v/>
      </c>
      <c r="L227">
        <f>IF($AH227="","",INDEX('Per Line'!$K$2:$K$1501,$AH227)&amp;"")</f>
        <v/>
      </c>
      <c r="M227">
        <f>IF($AH227="","",INDEX('Per Line'!$L$2:$L$1501,$AH227)&amp;"")</f>
        <v/>
      </c>
      <c r="N227">
        <f>IF($AH227="","",INDEX('Per Line'!$M$2:$M$1501,$AH227)&amp;"")</f>
        <v/>
      </c>
      <c r="O227">
        <f>IF($AH227="","",INDEX('Per Line'!$P$2:$P$1501,$AH227))</f>
        <v/>
      </c>
      <c r="P227" s="7">
        <f>IF($AH227="","",O227*AD227/100)</f>
        <v/>
      </c>
      <c r="Q227">
        <f>IF($AH227="","",INDEX('Per Line'!$R$2:$R$1501,$AH227)&amp;"")</f>
        <v/>
      </c>
      <c r="R227">
        <f>IF($AH227="","",INDEX('Per Line'!$AB$2:$AB$1501,$AH227)&amp;"")</f>
        <v/>
      </c>
      <c r="S227">
        <f>IF($AH227="","",Settings!$C$8)</f>
        <v/>
      </c>
      <c r="T227" s="7">
        <f>IF($AH227="","",SUMIFS('Per Line'!$Z$2:$Z$1501,'Per Line'!$E$2:$E$1501,$B227,'Per Line'!$AT$2:$AT$1501,1))</f>
        <v/>
      </c>
      <c r="U227" s="7">
        <f>IF($AH227="","",T227*S227)</f>
        <v/>
      </c>
      <c r="V227">
        <f>IF($AH227="","",Settings!$C$7)</f>
        <v/>
      </c>
      <c r="W227" s="7">
        <f>IF($AH227="","",SUMIFS('Per Line'!$Z$2:$Z$1501,'Per Line'!$E$2:$E$1501,$B227,'Per Line'!$AS$2:$AS$1501,0,'Per Line'!$AT$2:$AT$1501,0))</f>
        <v/>
      </c>
      <c r="X227" s="7">
        <f>IF($AH227="","",W227*V227)</f>
        <v/>
      </c>
      <c r="Y227">
        <f>IF($AH227="","",Settings!$C$6)</f>
        <v/>
      </c>
      <c r="Z227" s="7">
        <f>IF($AH227="","",SUMIFS('Per Line'!$Z$2:$Z$1501,'Per Line'!$E$2:$E$1501,$B227,'Per Line'!$AS$2:$AS$1501,1,'Per Line'!$AT$2:$AT$1501,0))</f>
        <v/>
      </c>
      <c r="AA227" s="7">
        <f>IF($AH227="","",Z227*Y227)</f>
        <v/>
      </c>
      <c r="AB227" s="7">
        <f>IF($AH227="","",AA227+X227+U227)</f>
        <v/>
      </c>
      <c r="AC227" s="7">
        <f>IF($AH227="","",AD227-AB227)</f>
        <v/>
      </c>
      <c r="AD227" s="7">
        <f>IF($AH227="","",W227+Z227+T227)</f>
        <v/>
      </c>
      <c r="AE227" s="7">
        <f>IF($AH227="","",AD227-AB227-P227)</f>
        <v/>
      </c>
      <c r="AF227" s="15" t="n"/>
      <c r="AG227" s="7">
        <f>IF($AH227="","",AE227-N(AF227))</f>
        <v/>
      </c>
      <c r="AH227" s="16">
        <f>IF(ROWS($AH$2:$AH227)&lt;=MAX('Per Line'!$AR$2:$AR$1501),MATCH(ROWS($AH$2:$AH227),'Per Line'!$AR$2:$AR$1501,0),"")</f>
        <v/>
      </c>
      <c r="AI227">
        <f>IF($AH227="","",C227&amp;"|"&amp;COUNTIF($C$2:$C227,C227))</f>
        <v/>
      </c>
    </row>
    <row r="228">
      <c r="A228" s="15" t="n"/>
      <c r="B228">
        <f>IF($AH228="","",INDEX('Per Line'!$E$2:$E$1501,$AH228)&amp;"")</f>
        <v/>
      </c>
      <c r="C228">
        <f>IF($AH228="","",IF(INDEX('Per Line'!$AP$2:$AP$1501,$AH228)="NOT MATCH","NOT MATCH","FULL MATCH"))</f>
        <v/>
      </c>
      <c r="D228">
        <f>IF($AH228="","",INDEX('Per Line'!$A$2:$A$1501,$AH228)&amp;"")</f>
        <v/>
      </c>
      <c r="E228">
        <f>IF($AH228="","",INDEX('Per Line'!$B$2:$B$1501,$AH228))</f>
        <v/>
      </c>
      <c r="F228">
        <f>IF($AH228="","",INDEX('Per Line'!$C$2:$C$1501,$AH228)&amp;"")</f>
        <v/>
      </c>
      <c r="G228">
        <f>IF($AH228="","",INDEX('Per Line'!$D$2:$D$1501,$AH228)&amp;"")</f>
        <v/>
      </c>
      <c r="H228">
        <f>IF($AH228="","",INDEX('Per Line'!$F$2:$F$1501,$AH228)&amp;"")</f>
        <v/>
      </c>
      <c r="I228" s="14">
        <f>IF($AH228="","",INDEX('Per Line'!$G$2:$G$1501,$AH228))</f>
        <v/>
      </c>
      <c r="J228">
        <f>IF($AH228="","",INDEX('Per Line'!$H$2:$H$1501,$AH228)&amp;"")</f>
        <v/>
      </c>
      <c r="K228">
        <f>IF($AH228="","",INDEX('Per Line'!$J$2:$J$1501,$AH228)&amp;"")</f>
        <v/>
      </c>
      <c r="L228">
        <f>IF($AH228="","",INDEX('Per Line'!$K$2:$K$1501,$AH228)&amp;"")</f>
        <v/>
      </c>
      <c r="M228">
        <f>IF($AH228="","",INDEX('Per Line'!$L$2:$L$1501,$AH228)&amp;"")</f>
        <v/>
      </c>
      <c r="N228">
        <f>IF($AH228="","",INDEX('Per Line'!$M$2:$M$1501,$AH228)&amp;"")</f>
        <v/>
      </c>
      <c r="O228">
        <f>IF($AH228="","",INDEX('Per Line'!$P$2:$P$1501,$AH228))</f>
        <v/>
      </c>
      <c r="P228" s="7">
        <f>IF($AH228="","",O228*AD228/100)</f>
        <v/>
      </c>
      <c r="Q228">
        <f>IF($AH228="","",INDEX('Per Line'!$R$2:$R$1501,$AH228)&amp;"")</f>
        <v/>
      </c>
      <c r="R228">
        <f>IF($AH228="","",INDEX('Per Line'!$AB$2:$AB$1501,$AH228)&amp;"")</f>
        <v/>
      </c>
      <c r="S228">
        <f>IF($AH228="","",Settings!$C$8)</f>
        <v/>
      </c>
      <c r="T228" s="7">
        <f>IF($AH228="","",SUMIFS('Per Line'!$Z$2:$Z$1501,'Per Line'!$E$2:$E$1501,$B228,'Per Line'!$AT$2:$AT$1501,1))</f>
        <v/>
      </c>
      <c r="U228" s="7">
        <f>IF($AH228="","",T228*S228)</f>
        <v/>
      </c>
      <c r="V228">
        <f>IF($AH228="","",Settings!$C$7)</f>
        <v/>
      </c>
      <c r="W228" s="7">
        <f>IF($AH228="","",SUMIFS('Per Line'!$Z$2:$Z$1501,'Per Line'!$E$2:$E$1501,$B228,'Per Line'!$AS$2:$AS$1501,0,'Per Line'!$AT$2:$AT$1501,0))</f>
        <v/>
      </c>
      <c r="X228" s="7">
        <f>IF($AH228="","",W228*V228)</f>
        <v/>
      </c>
      <c r="Y228">
        <f>IF($AH228="","",Settings!$C$6)</f>
        <v/>
      </c>
      <c r="Z228" s="7">
        <f>IF($AH228="","",SUMIFS('Per Line'!$Z$2:$Z$1501,'Per Line'!$E$2:$E$1501,$B228,'Per Line'!$AS$2:$AS$1501,1,'Per Line'!$AT$2:$AT$1501,0))</f>
        <v/>
      </c>
      <c r="AA228" s="7">
        <f>IF($AH228="","",Z228*Y228)</f>
        <v/>
      </c>
      <c r="AB228" s="7">
        <f>IF($AH228="","",AA228+X228+U228)</f>
        <v/>
      </c>
      <c r="AC228" s="7">
        <f>IF($AH228="","",AD228-AB228)</f>
        <v/>
      </c>
      <c r="AD228" s="7">
        <f>IF($AH228="","",W228+Z228+T228)</f>
        <v/>
      </c>
      <c r="AE228" s="7">
        <f>IF($AH228="","",AD228-AB228-P228)</f>
        <v/>
      </c>
      <c r="AF228" s="15" t="n"/>
      <c r="AG228" s="7">
        <f>IF($AH228="","",AE228-N(AF228))</f>
        <v/>
      </c>
      <c r="AH228" s="16">
        <f>IF(ROWS($AH$2:$AH228)&lt;=MAX('Per Line'!$AR$2:$AR$1501),MATCH(ROWS($AH$2:$AH228),'Per Line'!$AR$2:$AR$1501,0),"")</f>
        <v/>
      </c>
      <c r="AI228">
        <f>IF($AH228="","",C228&amp;"|"&amp;COUNTIF($C$2:$C228,C228))</f>
        <v/>
      </c>
    </row>
    <row r="229">
      <c r="A229" s="15" t="n"/>
      <c r="B229">
        <f>IF($AH229="","",INDEX('Per Line'!$E$2:$E$1501,$AH229)&amp;"")</f>
        <v/>
      </c>
      <c r="C229">
        <f>IF($AH229="","",IF(INDEX('Per Line'!$AP$2:$AP$1501,$AH229)="NOT MATCH","NOT MATCH","FULL MATCH"))</f>
        <v/>
      </c>
      <c r="D229">
        <f>IF($AH229="","",INDEX('Per Line'!$A$2:$A$1501,$AH229)&amp;"")</f>
        <v/>
      </c>
      <c r="E229">
        <f>IF($AH229="","",INDEX('Per Line'!$B$2:$B$1501,$AH229))</f>
        <v/>
      </c>
      <c r="F229">
        <f>IF($AH229="","",INDEX('Per Line'!$C$2:$C$1501,$AH229)&amp;"")</f>
        <v/>
      </c>
      <c r="G229">
        <f>IF($AH229="","",INDEX('Per Line'!$D$2:$D$1501,$AH229)&amp;"")</f>
        <v/>
      </c>
      <c r="H229">
        <f>IF($AH229="","",INDEX('Per Line'!$F$2:$F$1501,$AH229)&amp;"")</f>
        <v/>
      </c>
      <c r="I229" s="14">
        <f>IF($AH229="","",INDEX('Per Line'!$G$2:$G$1501,$AH229))</f>
        <v/>
      </c>
      <c r="J229">
        <f>IF($AH229="","",INDEX('Per Line'!$H$2:$H$1501,$AH229)&amp;"")</f>
        <v/>
      </c>
      <c r="K229">
        <f>IF($AH229="","",INDEX('Per Line'!$J$2:$J$1501,$AH229)&amp;"")</f>
        <v/>
      </c>
      <c r="L229">
        <f>IF($AH229="","",INDEX('Per Line'!$K$2:$K$1501,$AH229)&amp;"")</f>
        <v/>
      </c>
      <c r="M229">
        <f>IF($AH229="","",INDEX('Per Line'!$L$2:$L$1501,$AH229)&amp;"")</f>
        <v/>
      </c>
      <c r="N229">
        <f>IF($AH229="","",INDEX('Per Line'!$M$2:$M$1501,$AH229)&amp;"")</f>
        <v/>
      </c>
      <c r="O229">
        <f>IF($AH229="","",INDEX('Per Line'!$P$2:$P$1501,$AH229))</f>
        <v/>
      </c>
      <c r="P229" s="7">
        <f>IF($AH229="","",O229*AD229/100)</f>
        <v/>
      </c>
      <c r="Q229">
        <f>IF($AH229="","",INDEX('Per Line'!$R$2:$R$1501,$AH229)&amp;"")</f>
        <v/>
      </c>
      <c r="R229">
        <f>IF($AH229="","",INDEX('Per Line'!$AB$2:$AB$1501,$AH229)&amp;"")</f>
        <v/>
      </c>
      <c r="S229">
        <f>IF($AH229="","",Settings!$C$8)</f>
        <v/>
      </c>
      <c r="T229" s="7">
        <f>IF($AH229="","",SUMIFS('Per Line'!$Z$2:$Z$1501,'Per Line'!$E$2:$E$1501,$B229,'Per Line'!$AT$2:$AT$1501,1))</f>
        <v/>
      </c>
      <c r="U229" s="7">
        <f>IF($AH229="","",T229*S229)</f>
        <v/>
      </c>
      <c r="V229">
        <f>IF($AH229="","",Settings!$C$7)</f>
        <v/>
      </c>
      <c r="W229" s="7">
        <f>IF($AH229="","",SUMIFS('Per Line'!$Z$2:$Z$1501,'Per Line'!$E$2:$E$1501,$B229,'Per Line'!$AS$2:$AS$1501,0,'Per Line'!$AT$2:$AT$1501,0))</f>
        <v/>
      </c>
      <c r="X229" s="7">
        <f>IF($AH229="","",W229*V229)</f>
        <v/>
      </c>
      <c r="Y229">
        <f>IF($AH229="","",Settings!$C$6)</f>
        <v/>
      </c>
      <c r="Z229" s="7">
        <f>IF($AH229="","",SUMIFS('Per Line'!$Z$2:$Z$1501,'Per Line'!$E$2:$E$1501,$B229,'Per Line'!$AS$2:$AS$1501,1,'Per Line'!$AT$2:$AT$1501,0))</f>
        <v/>
      </c>
      <c r="AA229" s="7">
        <f>IF($AH229="","",Z229*Y229)</f>
        <v/>
      </c>
      <c r="AB229" s="7">
        <f>IF($AH229="","",AA229+X229+U229)</f>
        <v/>
      </c>
      <c r="AC229" s="7">
        <f>IF($AH229="","",AD229-AB229)</f>
        <v/>
      </c>
      <c r="AD229" s="7">
        <f>IF($AH229="","",W229+Z229+T229)</f>
        <v/>
      </c>
      <c r="AE229" s="7">
        <f>IF($AH229="","",AD229-AB229-P229)</f>
        <v/>
      </c>
      <c r="AF229" s="15" t="n"/>
      <c r="AG229" s="7">
        <f>IF($AH229="","",AE229-N(AF229))</f>
        <v/>
      </c>
      <c r="AH229" s="16">
        <f>IF(ROWS($AH$2:$AH229)&lt;=MAX('Per Line'!$AR$2:$AR$1501),MATCH(ROWS($AH$2:$AH229),'Per Line'!$AR$2:$AR$1501,0),"")</f>
        <v/>
      </c>
      <c r="AI229">
        <f>IF($AH229="","",C229&amp;"|"&amp;COUNTIF($C$2:$C229,C229))</f>
        <v/>
      </c>
    </row>
    <row r="230">
      <c r="A230" s="15" t="n"/>
      <c r="B230">
        <f>IF($AH230="","",INDEX('Per Line'!$E$2:$E$1501,$AH230)&amp;"")</f>
        <v/>
      </c>
      <c r="C230">
        <f>IF($AH230="","",IF(INDEX('Per Line'!$AP$2:$AP$1501,$AH230)="NOT MATCH","NOT MATCH","FULL MATCH"))</f>
        <v/>
      </c>
      <c r="D230">
        <f>IF($AH230="","",INDEX('Per Line'!$A$2:$A$1501,$AH230)&amp;"")</f>
        <v/>
      </c>
      <c r="E230">
        <f>IF($AH230="","",INDEX('Per Line'!$B$2:$B$1501,$AH230))</f>
        <v/>
      </c>
      <c r="F230">
        <f>IF($AH230="","",INDEX('Per Line'!$C$2:$C$1501,$AH230)&amp;"")</f>
        <v/>
      </c>
      <c r="G230">
        <f>IF($AH230="","",INDEX('Per Line'!$D$2:$D$1501,$AH230)&amp;"")</f>
        <v/>
      </c>
      <c r="H230">
        <f>IF($AH230="","",INDEX('Per Line'!$F$2:$F$1501,$AH230)&amp;"")</f>
        <v/>
      </c>
      <c r="I230" s="14">
        <f>IF($AH230="","",INDEX('Per Line'!$G$2:$G$1501,$AH230))</f>
        <v/>
      </c>
      <c r="J230">
        <f>IF($AH230="","",INDEX('Per Line'!$H$2:$H$1501,$AH230)&amp;"")</f>
        <v/>
      </c>
      <c r="K230">
        <f>IF($AH230="","",INDEX('Per Line'!$J$2:$J$1501,$AH230)&amp;"")</f>
        <v/>
      </c>
      <c r="L230">
        <f>IF($AH230="","",INDEX('Per Line'!$K$2:$K$1501,$AH230)&amp;"")</f>
        <v/>
      </c>
      <c r="M230">
        <f>IF($AH230="","",INDEX('Per Line'!$L$2:$L$1501,$AH230)&amp;"")</f>
        <v/>
      </c>
      <c r="N230">
        <f>IF($AH230="","",INDEX('Per Line'!$M$2:$M$1501,$AH230)&amp;"")</f>
        <v/>
      </c>
      <c r="O230">
        <f>IF($AH230="","",INDEX('Per Line'!$P$2:$P$1501,$AH230))</f>
        <v/>
      </c>
      <c r="P230" s="7">
        <f>IF($AH230="","",O230*AD230/100)</f>
        <v/>
      </c>
      <c r="Q230">
        <f>IF($AH230="","",INDEX('Per Line'!$R$2:$R$1501,$AH230)&amp;"")</f>
        <v/>
      </c>
      <c r="R230">
        <f>IF($AH230="","",INDEX('Per Line'!$AB$2:$AB$1501,$AH230)&amp;"")</f>
        <v/>
      </c>
      <c r="S230">
        <f>IF($AH230="","",Settings!$C$8)</f>
        <v/>
      </c>
      <c r="T230" s="7">
        <f>IF($AH230="","",SUMIFS('Per Line'!$Z$2:$Z$1501,'Per Line'!$E$2:$E$1501,$B230,'Per Line'!$AT$2:$AT$1501,1))</f>
        <v/>
      </c>
      <c r="U230" s="7">
        <f>IF($AH230="","",T230*S230)</f>
        <v/>
      </c>
      <c r="V230">
        <f>IF($AH230="","",Settings!$C$7)</f>
        <v/>
      </c>
      <c r="W230" s="7">
        <f>IF($AH230="","",SUMIFS('Per Line'!$Z$2:$Z$1501,'Per Line'!$E$2:$E$1501,$B230,'Per Line'!$AS$2:$AS$1501,0,'Per Line'!$AT$2:$AT$1501,0))</f>
        <v/>
      </c>
      <c r="X230" s="7">
        <f>IF($AH230="","",W230*V230)</f>
        <v/>
      </c>
      <c r="Y230">
        <f>IF($AH230="","",Settings!$C$6)</f>
        <v/>
      </c>
      <c r="Z230" s="7">
        <f>IF($AH230="","",SUMIFS('Per Line'!$Z$2:$Z$1501,'Per Line'!$E$2:$E$1501,$B230,'Per Line'!$AS$2:$AS$1501,1,'Per Line'!$AT$2:$AT$1501,0))</f>
        <v/>
      </c>
      <c r="AA230" s="7">
        <f>IF($AH230="","",Z230*Y230)</f>
        <v/>
      </c>
      <c r="AB230" s="7">
        <f>IF($AH230="","",AA230+X230+U230)</f>
        <v/>
      </c>
      <c r="AC230" s="7">
        <f>IF($AH230="","",AD230-AB230)</f>
        <v/>
      </c>
      <c r="AD230" s="7">
        <f>IF($AH230="","",W230+Z230+T230)</f>
        <v/>
      </c>
      <c r="AE230" s="7">
        <f>IF($AH230="","",AD230-AB230-P230)</f>
        <v/>
      </c>
      <c r="AF230" s="15" t="n"/>
      <c r="AG230" s="7">
        <f>IF($AH230="","",AE230-N(AF230))</f>
        <v/>
      </c>
      <c r="AH230" s="16">
        <f>IF(ROWS($AH$2:$AH230)&lt;=MAX('Per Line'!$AR$2:$AR$1501),MATCH(ROWS($AH$2:$AH230),'Per Line'!$AR$2:$AR$1501,0),"")</f>
        <v/>
      </c>
      <c r="AI230">
        <f>IF($AH230="","",C230&amp;"|"&amp;COUNTIF($C$2:$C230,C230))</f>
        <v/>
      </c>
    </row>
    <row r="231">
      <c r="A231" s="15" t="n"/>
      <c r="B231">
        <f>IF($AH231="","",INDEX('Per Line'!$E$2:$E$1501,$AH231)&amp;"")</f>
        <v/>
      </c>
      <c r="C231">
        <f>IF($AH231="","",IF(INDEX('Per Line'!$AP$2:$AP$1501,$AH231)="NOT MATCH","NOT MATCH","FULL MATCH"))</f>
        <v/>
      </c>
      <c r="D231">
        <f>IF($AH231="","",INDEX('Per Line'!$A$2:$A$1501,$AH231)&amp;"")</f>
        <v/>
      </c>
      <c r="E231">
        <f>IF($AH231="","",INDEX('Per Line'!$B$2:$B$1501,$AH231))</f>
        <v/>
      </c>
      <c r="F231">
        <f>IF($AH231="","",INDEX('Per Line'!$C$2:$C$1501,$AH231)&amp;"")</f>
        <v/>
      </c>
      <c r="G231">
        <f>IF($AH231="","",INDEX('Per Line'!$D$2:$D$1501,$AH231)&amp;"")</f>
        <v/>
      </c>
      <c r="H231">
        <f>IF($AH231="","",INDEX('Per Line'!$F$2:$F$1501,$AH231)&amp;"")</f>
        <v/>
      </c>
      <c r="I231" s="14">
        <f>IF($AH231="","",INDEX('Per Line'!$G$2:$G$1501,$AH231))</f>
        <v/>
      </c>
      <c r="J231">
        <f>IF($AH231="","",INDEX('Per Line'!$H$2:$H$1501,$AH231)&amp;"")</f>
        <v/>
      </c>
      <c r="K231">
        <f>IF($AH231="","",INDEX('Per Line'!$J$2:$J$1501,$AH231)&amp;"")</f>
        <v/>
      </c>
      <c r="L231">
        <f>IF($AH231="","",INDEX('Per Line'!$K$2:$K$1501,$AH231)&amp;"")</f>
        <v/>
      </c>
      <c r="M231">
        <f>IF($AH231="","",INDEX('Per Line'!$L$2:$L$1501,$AH231)&amp;"")</f>
        <v/>
      </c>
      <c r="N231">
        <f>IF($AH231="","",INDEX('Per Line'!$M$2:$M$1501,$AH231)&amp;"")</f>
        <v/>
      </c>
      <c r="O231">
        <f>IF($AH231="","",INDEX('Per Line'!$P$2:$P$1501,$AH231))</f>
        <v/>
      </c>
      <c r="P231" s="7">
        <f>IF($AH231="","",O231*AD231/100)</f>
        <v/>
      </c>
      <c r="Q231">
        <f>IF($AH231="","",INDEX('Per Line'!$R$2:$R$1501,$AH231)&amp;"")</f>
        <v/>
      </c>
      <c r="R231">
        <f>IF($AH231="","",INDEX('Per Line'!$AB$2:$AB$1501,$AH231)&amp;"")</f>
        <v/>
      </c>
      <c r="S231">
        <f>IF($AH231="","",Settings!$C$8)</f>
        <v/>
      </c>
      <c r="T231" s="7">
        <f>IF($AH231="","",SUMIFS('Per Line'!$Z$2:$Z$1501,'Per Line'!$E$2:$E$1501,$B231,'Per Line'!$AT$2:$AT$1501,1))</f>
        <v/>
      </c>
      <c r="U231" s="7">
        <f>IF($AH231="","",T231*S231)</f>
        <v/>
      </c>
      <c r="V231">
        <f>IF($AH231="","",Settings!$C$7)</f>
        <v/>
      </c>
      <c r="W231" s="7">
        <f>IF($AH231="","",SUMIFS('Per Line'!$Z$2:$Z$1501,'Per Line'!$E$2:$E$1501,$B231,'Per Line'!$AS$2:$AS$1501,0,'Per Line'!$AT$2:$AT$1501,0))</f>
        <v/>
      </c>
      <c r="X231" s="7">
        <f>IF($AH231="","",W231*V231)</f>
        <v/>
      </c>
      <c r="Y231">
        <f>IF($AH231="","",Settings!$C$6)</f>
        <v/>
      </c>
      <c r="Z231" s="7">
        <f>IF($AH231="","",SUMIFS('Per Line'!$Z$2:$Z$1501,'Per Line'!$E$2:$E$1501,$B231,'Per Line'!$AS$2:$AS$1501,1,'Per Line'!$AT$2:$AT$1501,0))</f>
        <v/>
      </c>
      <c r="AA231" s="7">
        <f>IF($AH231="","",Z231*Y231)</f>
        <v/>
      </c>
      <c r="AB231" s="7">
        <f>IF($AH231="","",AA231+X231+U231)</f>
        <v/>
      </c>
      <c r="AC231" s="7">
        <f>IF($AH231="","",AD231-AB231)</f>
        <v/>
      </c>
      <c r="AD231" s="7">
        <f>IF($AH231="","",W231+Z231+T231)</f>
        <v/>
      </c>
      <c r="AE231" s="7">
        <f>IF($AH231="","",AD231-AB231-P231)</f>
        <v/>
      </c>
      <c r="AF231" s="15" t="n"/>
      <c r="AG231" s="7">
        <f>IF($AH231="","",AE231-N(AF231))</f>
        <v/>
      </c>
      <c r="AH231" s="16">
        <f>IF(ROWS($AH$2:$AH231)&lt;=MAX('Per Line'!$AR$2:$AR$1501),MATCH(ROWS($AH$2:$AH231),'Per Line'!$AR$2:$AR$1501,0),"")</f>
        <v/>
      </c>
      <c r="AI231">
        <f>IF($AH231="","",C231&amp;"|"&amp;COUNTIF($C$2:$C231,C231))</f>
        <v/>
      </c>
    </row>
    <row r="232">
      <c r="A232" s="15" t="n"/>
      <c r="B232">
        <f>IF($AH232="","",INDEX('Per Line'!$E$2:$E$1501,$AH232)&amp;"")</f>
        <v/>
      </c>
      <c r="C232">
        <f>IF($AH232="","",IF(INDEX('Per Line'!$AP$2:$AP$1501,$AH232)="NOT MATCH","NOT MATCH","FULL MATCH"))</f>
        <v/>
      </c>
      <c r="D232">
        <f>IF($AH232="","",INDEX('Per Line'!$A$2:$A$1501,$AH232)&amp;"")</f>
        <v/>
      </c>
      <c r="E232">
        <f>IF($AH232="","",INDEX('Per Line'!$B$2:$B$1501,$AH232))</f>
        <v/>
      </c>
      <c r="F232">
        <f>IF($AH232="","",INDEX('Per Line'!$C$2:$C$1501,$AH232)&amp;"")</f>
        <v/>
      </c>
      <c r="G232">
        <f>IF($AH232="","",INDEX('Per Line'!$D$2:$D$1501,$AH232)&amp;"")</f>
        <v/>
      </c>
      <c r="H232">
        <f>IF($AH232="","",INDEX('Per Line'!$F$2:$F$1501,$AH232)&amp;"")</f>
        <v/>
      </c>
      <c r="I232" s="14">
        <f>IF($AH232="","",INDEX('Per Line'!$G$2:$G$1501,$AH232))</f>
        <v/>
      </c>
      <c r="J232">
        <f>IF($AH232="","",INDEX('Per Line'!$H$2:$H$1501,$AH232)&amp;"")</f>
        <v/>
      </c>
      <c r="K232">
        <f>IF($AH232="","",INDEX('Per Line'!$J$2:$J$1501,$AH232)&amp;"")</f>
        <v/>
      </c>
      <c r="L232">
        <f>IF($AH232="","",INDEX('Per Line'!$K$2:$K$1501,$AH232)&amp;"")</f>
        <v/>
      </c>
      <c r="M232">
        <f>IF($AH232="","",INDEX('Per Line'!$L$2:$L$1501,$AH232)&amp;"")</f>
        <v/>
      </c>
      <c r="N232">
        <f>IF($AH232="","",INDEX('Per Line'!$M$2:$M$1501,$AH232)&amp;"")</f>
        <v/>
      </c>
      <c r="O232">
        <f>IF($AH232="","",INDEX('Per Line'!$P$2:$P$1501,$AH232))</f>
        <v/>
      </c>
      <c r="P232" s="7">
        <f>IF($AH232="","",O232*AD232/100)</f>
        <v/>
      </c>
      <c r="Q232">
        <f>IF($AH232="","",INDEX('Per Line'!$R$2:$R$1501,$AH232)&amp;"")</f>
        <v/>
      </c>
      <c r="R232">
        <f>IF($AH232="","",INDEX('Per Line'!$AB$2:$AB$1501,$AH232)&amp;"")</f>
        <v/>
      </c>
      <c r="S232">
        <f>IF($AH232="","",Settings!$C$8)</f>
        <v/>
      </c>
      <c r="T232" s="7">
        <f>IF($AH232="","",SUMIFS('Per Line'!$Z$2:$Z$1501,'Per Line'!$E$2:$E$1501,$B232,'Per Line'!$AT$2:$AT$1501,1))</f>
        <v/>
      </c>
      <c r="U232" s="7">
        <f>IF($AH232="","",T232*S232)</f>
        <v/>
      </c>
      <c r="V232">
        <f>IF($AH232="","",Settings!$C$7)</f>
        <v/>
      </c>
      <c r="W232" s="7">
        <f>IF($AH232="","",SUMIFS('Per Line'!$Z$2:$Z$1501,'Per Line'!$E$2:$E$1501,$B232,'Per Line'!$AS$2:$AS$1501,0,'Per Line'!$AT$2:$AT$1501,0))</f>
        <v/>
      </c>
      <c r="X232" s="7">
        <f>IF($AH232="","",W232*V232)</f>
        <v/>
      </c>
      <c r="Y232">
        <f>IF($AH232="","",Settings!$C$6)</f>
        <v/>
      </c>
      <c r="Z232" s="7">
        <f>IF($AH232="","",SUMIFS('Per Line'!$Z$2:$Z$1501,'Per Line'!$E$2:$E$1501,$B232,'Per Line'!$AS$2:$AS$1501,1,'Per Line'!$AT$2:$AT$1501,0))</f>
        <v/>
      </c>
      <c r="AA232" s="7">
        <f>IF($AH232="","",Z232*Y232)</f>
        <v/>
      </c>
      <c r="AB232" s="7">
        <f>IF($AH232="","",AA232+X232+U232)</f>
        <v/>
      </c>
      <c r="AC232" s="7">
        <f>IF($AH232="","",AD232-AB232)</f>
        <v/>
      </c>
      <c r="AD232" s="7">
        <f>IF($AH232="","",W232+Z232+T232)</f>
        <v/>
      </c>
      <c r="AE232" s="7">
        <f>IF($AH232="","",AD232-AB232-P232)</f>
        <v/>
      </c>
      <c r="AF232" s="15" t="n"/>
      <c r="AG232" s="7">
        <f>IF($AH232="","",AE232-N(AF232))</f>
        <v/>
      </c>
      <c r="AH232" s="16">
        <f>IF(ROWS($AH$2:$AH232)&lt;=MAX('Per Line'!$AR$2:$AR$1501),MATCH(ROWS($AH$2:$AH232),'Per Line'!$AR$2:$AR$1501,0),"")</f>
        <v/>
      </c>
      <c r="AI232">
        <f>IF($AH232="","",C232&amp;"|"&amp;COUNTIF($C$2:$C232,C232))</f>
        <v/>
      </c>
    </row>
    <row r="233">
      <c r="A233" s="15" t="n"/>
      <c r="B233">
        <f>IF($AH233="","",INDEX('Per Line'!$E$2:$E$1501,$AH233)&amp;"")</f>
        <v/>
      </c>
      <c r="C233">
        <f>IF($AH233="","",IF(INDEX('Per Line'!$AP$2:$AP$1501,$AH233)="NOT MATCH","NOT MATCH","FULL MATCH"))</f>
        <v/>
      </c>
      <c r="D233">
        <f>IF($AH233="","",INDEX('Per Line'!$A$2:$A$1501,$AH233)&amp;"")</f>
        <v/>
      </c>
      <c r="E233">
        <f>IF($AH233="","",INDEX('Per Line'!$B$2:$B$1501,$AH233))</f>
        <v/>
      </c>
      <c r="F233">
        <f>IF($AH233="","",INDEX('Per Line'!$C$2:$C$1501,$AH233)&amp;"")</f>
        <v/>
      </c>
      <c r="G233">
        <f>IF($AH233="","",INDEX('Per Line'!$D$2:$D$1501,$AH233)&amp;"")</f>
        <v/>
      </c>
      <c r="H233">
        <f>IF($AH233="","",INDEX('Per Line'!$F$2:$F$1501,$AH233)&amp;"")</f>
        <v/>
      </c>
      <c r="I233" s="14">
        <f>IF($AH233="","",INDEX('Per Line'!$G$2:$G$1501,$AH233))</f>
        <v/>
      </c>
      <c r="J233">
        <f>IF($AH233="","",INDEX('Per Line'!$H$2:$H$1501,$AH233)&amp;"")</f>
        <v/>
      </c>
      <c r="K233">
        <f>IF($AH233="","",INDEX('Per Line'!$J$2:$J$1501,$AH233)&amp;"")</f>
        <v/>
      </c>
      <c r="L233">
        <f>IF($AH233="","",INDEX('Per Line'!$K$2:$K$1501,$AH233)&amp;"")</f>
        <v/>
      </c>
      <c r="M233">
        <f>IF($AH233="","",INDEX('Per Line'!$L$2:$L$1501,$AH233)&amp;"")</f>
        <v/>
      </c>
      <c r="N233">
        <f>IF($AH233="","",INDEX('Per Line'!$M$2:$M$1501,$AH233)&amp;"")</f>
        <v/>
      </c>
      <c r="O233">
        <f>IF($AH233="","",INDEX('Per Line'!$P$2:$P$1501,$AH233))</f>
        <v/>
      </c>
      <c r="P233" s="7">
        <f>IF($AH233="","",O233*AD233/100)</f>
        <v/>
      </c>
      <c r="Q233">
        <f>IF($AH233="","",INDEX('Per Line'!$R$2:$R$1501,$AH233)&amp;"")</f>
        <v/>
      </c>
      <c r="R233">
        <f>IF($AH233="","",INDEX('Per Line'!$AB$2:$AB$1501,$AH233)&amp;"")</f>
        <v/>
      </c>
      <c r="S233">
        <f>IF($AH233="","",Settings!$C$8)</f>
        <v/>
      </c>
      <c r="T233" s="7">
        <f>IF($AH233="","",SUMIFS('Per Line'!$Z$2:$Z$1501,'Per Line'!$E$2:$E$1501,$B233,'Per Line'!$AT$2:$AT$1501,1))</f>
        <v/>
      </c>
      <c r="U233" s="7">
        <f>IF($AH233="","",T233*S233)</f>
        <v/>
      </c>
      <c r="V233">
        <f>IF($AH233="","",Settings!$C$7)</f>
        <v/>
      </c>
      <c r="W233" s="7">
        <f>IF($AH233="","",SUMIFS('Per Line'!$Z$2:$Z$1501,'Per Line'!$E$2:$E$1501,$B233,'Per Line'!$AS$2:$AS$1501,0,'Per Line'!$AT$2:$AT$1501,0))</f>
        <v/>
      </c>
      <c r="X233" s="7">
        <f>IF($AH233="","",W233*V233)</f>
        <v/>
      </c>
      <c r="Y233">
        <f>IF($AH233="","",Settings!$C$6)</f>
        <v/>
      </c>
      <c r="Z233" s="7">
        <f>IF($AH233="","",SUMIFS('Per Line'!$Z$2:$Z$1501,'Per Line'!$E$2:$E$1501,$B233,'Per Line'!$AS$2:$AS$1501,1,'Per Line'!$AT$2:$AT$1501,0))</f>
        <v/>
      </c>
      <c r="AA233" s="7">
        <f>IF($AH233="","",Z233*Y233)</f>
        <v/>
      </c>
      <c r="AB233" s="7">
        <f>IF($AH233="","",AA233+X233+U233)</f>
        <v/>
      </c>
      <c r="AC233" s="7">
        <f>IF($AH233="","",AD233-AB233)</f>
        <v/>
      </c>
      <c r="AD233" s="7">
        <f>IF($AH233="","",W233+Z233+T233)</f>
        <v/>
      </c>
      <c r="AE233" s="7">
        <f>IF($AH233="","",AD233-AB233-P233)</f>
        <v/>
      </c>
      <c r="AF233" s="15" t="n"/>
      <c r="AG233" s="7">
        <f>IF($AH233="","",AE233-N(AF233))</f>
        <v/>
      </c>
      <c r="AH233" s="16">
        <f>IF(ROWS($AH$2:$AH233)&lt;=MAX('Per Line'!$AR$2:$AR$1501),MATCH(ROWS($AH$2:$AH233),'Per Line'!$AR$2:$AR$1501,0),"")</f>
        <v/>
      </c>
      <c r="AI233">
        <f>IF($AH233="","",C233&amp;"|"&amp;COUNTIF($C$2:$C233,C233))</f>
        <v/>
      </c>
    </row>
    <row r="234">
      <c r="A234" s="15" t="n"/>
      <c r="B234">
        <f>IF($AH234="","",INDEX('Per Line'!$E$2:$E$1501,$AH234)&amp;"")</f>
        <v/>
      </c>
      <c r="C234">
        <f>IF($AH234="","",IF(INDEX('Per Line'!$AP$2:$AP$1501,$AH234)="NOT MATCH","NOT MATCH","FULL MATCH"))</f>
        <v/>
      </c>
      <c r="D234">
        <f>IF($AH234="","",INDEX('Per Line'!$A$2:$A$1501,$AH234)&amp;"")</f>
        <v/>
      </c>
      <c r="E234">
        <f>IF($AH234="","",INDEX('Per Line'!$B$2:$B$1501,$AH234))</f>
        <v/>
      </c>
      <c r="F234">
        <f>IF($AH234="","",INDEX('Per Line'!$C$2:$C$1501,$AH234)&amp;"")</f>
        <v/>
      </c>
      <c r="G234">
        <f>IF($AH234="","",INDEX('Per Line'!$D$2:$D$1501,$AH234)&amp;"")</f>
        <v/>
      </c>
      <c r="H234">
        <f>IF($AH234="","",INDEX('Per Line'!$F$2:$F$1501,$AH234)&amp;"")</f>
        <v/>
      </c>
      <c r="I234" s="14">
        <f>IF($AH234="","",INDEX('Per Line'!$G$2:$G$1501,$AH234))</f>
        <v/>
      </c>
      <c r="J234">
        <f>IF($AH234="","",INDEX('Per Line'!$H$2:$H$1501,$AH234)&amp;"")</f>
        <v/>
      </c>
      <c r="K234">
        <f>IF($AH234="","",INDEX('Per Line'!$J$2:$J$1501,$AH234)&amp;"")</f>
        <v/>
      </c>
      <c r="L234">
        <f>IF($AH234="","",INDEX('Per Line'!$K$2:$K$1501,$AH234)&amp;"")</f>
        <v/>
      </c>
      <c r="M234">
        <f>IF($AH234="","",INDEX('Per Line'!$L$2:$L$1501,$AH234)&amp;"")</f>
        <v/>
      </c>
      <c r="N234">
        <f>IF($AH234="","",INDEX('Per Line'!$M$2:$M$1501,$AH234)&amp;"")</f>
        <v/>
      </c>
      <c r="O234">
        <f>IF($AH234="","",INDEX('Per Line'!$P$2:$P$1501,$AH234))</f>
        <v/>
      </c>
      <c r="P234" s="7">
        <f>IF($AH234="","",O234*AD234/100)</f>
        <v/>
      </c>
      <c r="Q234">
        <f>IF($AH234="","",INDEX('Per Line'!$R$2:$R$1501,$AH234)&amp;"")</f>
        <v/>
      </c>
      <c r="R234">
        <f>IF($AH234="","",INDEX('Per Line'!$AB$2:$AB$1501,$AH234)&amp;"")</f>
        <v/>
      </c>
      <c r="S234">
        <f>IF($AH234="","",Settings!$C$8)</f>
        <v/>
      </c>
      <c r="T234" s="7">
        <f>IF($AH234="","",SUMIFS('Per Line'!$Z$2:$Z$1501,'Per Line'!$E$2:$E$1501,$B234,'Per Line'!$AT$2:$AT$1501,1))</f>
        <v/>
      </c>
      <c r="U234" s="7">
        <f>IF($AH234="","",T234*S234)</f>
        <v/>
      </c>
      <c r="V234">
        <f>IF($AH234="","",Settings!$C$7)</f>
        <v/>
      </c>
      <c r="W234" s="7">
        <f>IF($AH234="","",SUMIFS('Per Line'!$Z$2:$Z$1501,'Per Line'!$E$2:$E$1501,$B234,'Per Line'!$AS$2:$AS$1501,0,'Per Line'!$AT$2:$AT$1501,0))</f>
        <v/>
      </c>
      <c r="X234" s="7">
        <f>IF($AH234="","",W234*V234)</f>
        <v/>
      </c>
      <c r="Y234">
        <f>IF($AH234="","",Settings!$C$6)</f>
        <v/>
      </c>
      <c r="Z234" s="7">
        <f>IF($AH234="","",SUMIFS('Per Line'!$Z$2:$Z$1501,'Per Line'!$E$2:$E$1501,$B234,'Per Line'!$AS$2:$AS$1501,1,'Per Line'!$AT$2:$AT$1501,0))</f>
        <v/>
      </c>
      <c r="AA234" s="7">
        <f>IF($AH234="","",Z234*Y234)</f>
        <v/>
      </c>
      <c r="AB234" s="7">
        <f>IF($AH234="","",AA234+X234+U234)</f>
        <v/>
      </c>
      <c r="AC234" s="7">
        <f>IF($AH234="","",AD234-AB234)</f>
        <v/>
      </c>
      <c r="AD234" s="7">
        <f>IF($AH234="","",W234+Z234+T234)</f>
        <v/>
      </c>
      <c r="AE234" s="7">
        <f>IF($AH234="","",AD234-AB234-P234)</f>
        <v/>
      </c>
      <c r="AF234" s="15" t="n"/>
      <c r="AG234" s="7">
        <f>IF($AH234="","",AE234-N(AF234))</f>
        <v/>
      </c>
      <c r="AH234" s="16">
        <f>IF(ROWS($AH$2:$AH234)&lt;=MAX('Per Line'!$AR$2:$AR$1501),MATCH(ROWS($AH$2:$AH234),'Per Line'!$AR$2:$AR$1501,0),"")</f>
        <v/>
      </c>
      <c r="AI234">
        <f>IF($AH234="","",C234&amp;"|"&amp;COUNTIF($C$2:$C234,C234))</f>
        <v/>
      </c>
    </row>
    <row r="235">
      <c r="A235" s="15" t="n"/>
      <c r="B235">
        <f>IF($AH235="","",INDEX('Per Line'!$E$2:$E$1501,$AH235)&amp;"")</f>
        <v/>
      </c>
      <c r="C235">
        <f>IF($AH235="","",IF(INDEX('Per Line'!$AP$2:$AP$1501,$AH235)="NOT MATCH","NOT MATCH","FULL MATCH"))</f>
        <v/>
      </c>
      <c r="D235">
        <f>IF($AH235="","",INDEX('Per Line'!$A$2:$A$1501,$AH235)&amp;"")</f>
        <v/>
      </c>
      <c r="E235">
        <f>IF($AH235="","",INDEX('Per Line'!$B$2:$B$1501,$AH235))</f>
        <v/>
      </c>
      <c r="F235">
        <f>IF($AH235="","",INDEX('Per Line'!$C$2:$C$1501,$AH235)&amp;"")</f>
        <v/>
      </c>
      <c r="G235">
        <f>IF($AH235="","",INDEX('Per Line'!$D$2:$D$1501,$AH235)&amp;"")</f>
        <v/>
      </c>
      <c r="H235">
        <f>IF($AH235="","",INDEX('Per Line'!$F$2:$F$1501,$AH235)&amp;"")</f>
        <v/>
      </c>
      <c r="I235" s="14">
        <f>IF($AH235="","",INDEX('Per Line'!$G$2:$G$1501,$AH235))</f>
        <v/>
      </c>
      <c r="J235">
        <f>IF($AH235="","",INDEX('Per Line'!$H$2:$H$1501,$AH235)&amp;"")</f>
        <v/>
      </c>
      <c r="K235">
        <f>IF($AH235="","",INDEX('Per Line'!$J$2:$J$1501,$AH235)&amp;"")</f>
        <v/>
      </c>
      <c r="L235">
        <f>IF($AH235="","",INDEX('Per Line'!$K$2:$K$1501,$AH235)&amp;"")</f>
        <v/>
      </c>
      <c r="M235">
        <f>IF($AH235="","",INDEX('Per Line'!$L$2:$L$1501,$AH235)&amp;"")</f>
        <v/>
      </c>
      <c r="N235">
        <f>IF($AH235="","",INDEX('Per Line'!$M$2:$M$1501,$AH235)&amp;"")</f>
        <v/>
      </c>
      <c r="O235">
        <f>IF($AH235="","",INDEX('Per Line'!$P$2:$P$1501,$AH235))</f>
        <v/>
      </c>
      <c r="P235" s="7">
        <f>IF($AH235="","",O235*AD235/100)</f>
        <v/>
      </c>
      <c r="Q235">
        <f>IF($AH235="","",INDEX('Per Line'!$R$2:$R$1501,$AH235)&amp;"")</f>
        <v/>
      </c>
      <c r="R235">
        <f>IF($AH235="","",INDEX('Per Line'!$AB$2:$AB$1501,$AH235)&amp;"")</f>
        <v/>
      </c>
      <c r="S235">
        <f>IF($AH235="","",Settings!$C$8)</f>
        <v/>
      </c>
      <c r="T235" s="7">
        <f>IF($AH235="","",SUMIFS('Per Line'!$Z$2:$Z$1501,'Per Line'!$E$2:$E$1501,$B235,'Per Line'!$AT$2:$AT$1501,1))</f>
        <v/>
      </c>
      <c r="U235" s="7">
        <f>IF($AH235="","",T235*S235)</f>
        <v/>
      </c>
      <c r="V235">
        <f>IF($AH235="","",Settings!$C$7)</f>
        <v/>
      </c>
      <c r="W235" s="7">
        <f>IF($AH235="","",SUMIFS('Per Line'!$Z$2:$Z$1501,'Per Line'!$E$2:$E$1501,$B235,'Per Line'!$AS$2:$AS$1501,0,'Per Line'!$AT$2:$AT$1501,0))</f>
        <v/>
      </c>
      <c r="X235" s="7">
        <f>IF($AH235="","",W235*V235)</f>
        <v/>
      </c>
      <c r="Y235">
        <f>IF($AH235="","",Settings!$C$6)</f>
        <v/>
      </c>
      <c r="Z235" s="7">
        <f>IF($AH235="","",SUMIFS('Per Line'!$Z$2:$Z$1501,'Per Line'!$E$2:$E$1501,$B235,'Per Line'!$AS$2:$AS$1501,1,'Per Line'!$AT$2:$AT$1501,0))</f>
        <v/>
      </c>
      <c r="AA235" s="7">
        <f>IF($AH235="","",Z235*Y235)</f>
        <v/>
      </c>
      <c r="AB235" s="7">
        <f>IF($AH235="","",AA235+X235+U235)</f>
        <v/>
      </c>
      <c r="AC235" s="7">
        <f>IF($AH235="","",AD235-AB235)</f>
        <v/>
      </c>
      <c r="AD235" s="7">
        <f>IF($AH235="","",W235+Z235+T235)</f>
        <v/>
      </c>
      <c r="AE235" s="7">
        <f>IF($AH235="","",AD235-AB235-P235)</f>
        <v/>
      </c>
      <c r="AF235" s="15" t="n"/>
      <c r="AG235" s="7">
        <f>IF($AH235="","",AE235-N(AF235))</f>
        <v/>
      </c>
      <c r="AH235" s="16">
        <f>IF(ROWS($AH$2:$AH235)&lt;=MAX('Per Line'!$AR$2:$AR$1501),MATCH(ROWS($AH$2:$AH235),'Per Line'!$AR$2:$AR$1501,0),"")</f>
        <v/>
      </c>
      <c r="AI235">
        <f>IF($AH235="","",C235&amp;"|"&amp;COUNTIF($C$2:$C235,C235))</f>
        <v/>
      </c>
    </row>
    <row r="236">
      <c r="A236" s="15" t="n"/>
      <c r="B236">
        <f>IF($AH236="","",INDEX('Per Line'!$E$2:$E$1501,$AH236)&amp;"")</f>
        <v/>
      </c>
      <c r="C236">
        <f>IF($AH236="","",IF(INDEX('Per Line'!$AP$2:$AP$1501,$AH236)="NOT MATCH","NOT MATCH","FULL MATCH"))</f>
        <v/>
      </c>
      <c r="D236">
        <f>IF($AH236="","",INDEX('Per Line'!$A$2:$A$1501,$AH236)&amp;"")</f>
        <v/>
      </c>
      <c r="E236">
        <f>IF($AH236="","",INDEX('Per Line'!$B$2:$B$1501,$AH236))</f>
        <v/>
      </c>
      <c r="F236">
        <f>IF($AH236="","",INDEX('Per Line'!$C$2:$C$1501,$AH236)&amp;"")</f>
        <v/>
      </c>
      <c r="G236">
        <f>IF($AH236="","",INDEX('Per Line'!$D$2:$D$1501,$AH236)&amp;"")</f>
        <v/>
      </c>
      <c r="H236">
        <f>IF($AH236="","",INDEX('Per Line'!$F$2:$F$1501,$AH236)&amp;"")</f>
        <v/>
      </c>
      <c r="I236" s="14">
        <f>IF($AH236="","",INDEX('Per Line'!$G$2:$G$1501,$AH236))</f>
        <v/>
      </c>
      <c r="J236">
        <f>IF($AH236="","",INDEX('Per Line'!$H$2:$H$1501,$AH236)&amp;"")</f>
        <v/>
      </c>
      <c r="K236">
        <f>IF($AH236="","",INDEX('Per Line'!$J$2:$J$1501,$AH236)&amp;"")</f>
        <v/>
      </c>
      <c r="L236">
        <f>IF($AH236="","",INDEX('Per Line'!$K$2:$K$1501,$AH236)&amp;"")</f>
        <v/>
      </c>
      <c r="M236">
        <f>IF($AH236="","",INDEX('Per Line'!$L$2:$L$1501,$AH236)&amp;"")</f>
        <v/>
      </c>
      <c r="N236">
        <f>IF($AH236="","",INDEX('Per Line'!$M$2:$M$1501,$AH236)&amp;"")</f>
        <v/>
      </c>
      <c r="O236">
        <f>IF($AH236="","",INDEX('Per Line'!$P$2:$P$1501,$AH236))</f>
        <v/>
      </c>
      <c r="P236" s="7">
        <f>IF($AH236="","",O236*AD236/100)</f>
        <v/>
      </c>
      <c r="Q236">
        <f>IF($AH236="","",INDEX('Per Line'!$R$2:$R$1501,$AH236)&amp;"")</f>
        <v/>
      </c>
      <c r="R236">
        <f>IF($AH236="","",INDEX('Per Line'!$AB$2:$AB$1501,$AH236)&amp;"")</f>
        <v/>
      </c>
      <c r="S236">
        <f>IF($AH236="","",Settings!$C$8)</f>
        <v/>
      </c>
      <c r="T236" s="7">
        <f>IF($AH236="","",SUMIFS('Per Line'!$Z$2:$Z$1501,'Per Line'!$E$2:$E$1501,$B236,'Per Line'!$AT$2:$AT$1501,1))</f>
        <v/>
      </c>
      <c r="U236" s="7">
        <f>IF($AH236="","",T236*S236)</f>
        <v/>
      </c>
      <c r="V236">
        <f>IF($AH236="","",Settings!$C$7)</f>
        <v/>
      </c>
      <c r="W236" s="7">
        <f>IF($AH236="","",SUMIFS('Per Line'!$Z$2:$Z$1501,'Per Line'!$E$2:$E$1501,$B236,'Per Line'!$AS$2:$AS$1501,0,'Per Line'!$AT$2:$AT$1501,0))</f>
        <v/>
      </c>
      <c r="X236" s="7">
        <f>IF($AH236="","",W236*V236)</f>
        <v/>
      </c>
      <c r="Y236">
        <f>IF($AH236="","",Settings!$C$6)</f>
        <v/>
      </c>
      <c r="Z236" s="7">
        <f>IF($AH236="","",SUMIFS('Per Line'!$Z$2:$Z$1501,'Per Line'!$E$2:$E$1501,$B236,'Per Line'!$AS$2:$AS$1501,1,'Per Line'!$AT$2:$AT$1501,0))</f>
        <v/>
      </c>
      <c r="AA236" s="7">
        <f>IF($AH236="","",Z236*Y236)</f>
        <v/>
      </c>
      <c r="AB236" s="7">
        <f>IF($AH236="","",AA236+X236+U236)</f>
        <v/>
      </c>
      <c r="AC236" s="7">
        <f>IF($AH236="","",AD236-AB236)</f>
        <v/>
      </c>
      <c r="AD236" s="7">
        <f>IF($AH236="","",W236+Z236+T236)</f>
        <v/>
      </c>
      <c r="AE236" s="7">
        <f>IF($AH236="","",AD236-AB236-P236)</f>
        <v/>
      </c>
      <c r="AF236" s="15" t="n"/>
      <c r="AG236" s="7">
        <f>IF($AH236="","",AE236-N(AF236))</f>
        <v/>
      </c>
      <c r="AH236" s="16">
        <f>IF(ROWS($AH$2:$AH236)&lt;=MAX('Per Line'!$AR$2:$AR$1501),MATCH(ROWS($AH$2:$AH236),'Per Line'!$AR$2:$AR$1501,0),"")</f>
        <v/>
      </c>
      <c r="AI236">
        <f>IF($AH236="","",C236&amp;"|"&amp;COUNTIF($C$2:$C236,C236))</f>
        <v/>
      </c>
    </row>
    <row r="237">
      <c r="A237" s="15" t="n"/>
      <c r="B237">
        <f>IF($AH237="","",INDEX('Per Line'!$E$2:$E$1501,$AH237)&amp;"")</f>
        <v/>
      </c>
      <c r="C237">
        <f>IF($AH237="","",IF(INDEX('Per Line'!$AP$2:$AP$1501,$AH237)="NOT MATCH","NOT MATCH","FULL MATCH"))</f>
        <v/>
      </c>
      <c r="D237">
        <f>IF($AH237="","",INDEX('Per Line'!$A$2:$A$1501,$AH237)&amp;"")</f>
        <v/>
      </c>
      <c r="E237">
        <f>IF($AH237="","",INDEX('Per Line'!$B$2:$B$1501,$AH237))</f>
        <v/>
      </c>
      <c r="F237">
        <f>IF($AH237="","",INDEX('Per Line'!$C$2:$C$1501,$AH237)&amp;"")</f>
        <v/>
      </c>
      <c r="G237">
        <f>IF($AH237="","",INDEX('Per Line'!$D$2:$D$1501,$AH237)&amp;"")</f>
        <v/>
      </c>
      <c r="H237">
        <f>IF($AH237="","",INDEX('Per Line'!$F$2:$F$1501,$AH237)&amp;"")</f>
        <v/>
      </c>
      <c r="I237" s="14">
        <f>IF($AH237="","",INDEX('Per Line'!$G$2:$G$1501,$AH237))</f>
        <v/>
      </c>
      <c r="J237">
        <f>IF($AH237="","",INDEX('Per Line'!$H$2:$H$1501,$AH237)&amp;"")</f>
        <v/>
      </c>
      <c r="K237">
        <f>IF($AH237="","",INDEX('Per Line'!$J$2:$J$1501,$AH237)&amp;"")</f>
        <v/>
      </c>
      <c r="L237">
        <f>IF($AH237="","",INDEX('Per Line'!$K$2:$K$1501,$AH237)&amp;"")</f>
        <v/>
      </c>
      <c r="M237">
        <f>IF($AH237="","",INDEX('Per Line'!$L$2:$L$1501,$AH237)&amp;"")</f>
        <v/>
      </c>
      <c r="N237">
        <f>IF($AH237="","",INDEX('Per Line'!$M$2:$M$1501,$AH237)&amp;"")</f>
        <v/>
      </c>
      <c r="O237">
        <f>IF($AH237="","",INDEX('Per Line'!$P$2:$P$1501,$AH237))</f>
        <v/>
      </c>
      <c r="P237" s="7">
        <f>IF($AH237="","",O237*AD237/100)</f>
        <v/>
      </c>
      <c r="Q237">
        <f>IF($AH237="","",INDEX('Per Line'!$R$2:$R$1501,$AH237)&amp;"")</f>
        <v/>
      </c>
      <c r="R237">
        <f>IF($AH237="","",INDEX('Per Line'!$AB$2:$AB$1501,$AH237)&amp;"")</f>
        <v/>
      </c>
      <c r="S237">
        <f>IF($AH237="","",Settings!$C$8)</f>
        <v/>
      </c>
      <c r="T237" s="7">
        <f>IF($AH237="","",SUMIFS('Per Line'!$Z$2:$Z$1501,'Per Line'!$E$2:$E$1501,$B237,'Per Line'!$AT$2:$AT$1501,1))</f>
        <v/>
      </c>
      <c r="U237" s="7">
        <f>IF($AH237="","",T237*S237)</f>
        <v/>
      </c>
      <c r="V237">
        <f>IF($AH237="","",Settings!$C$7)</f>
        <v/>
      </c>
      <c r="W237" s="7">
        <f>IF($AH237="","",SUMIFS('Per Line'!$Z$2:$Z$1501,'Per Line'!$E$2:$E$1501,$B237,'Per Line'!$AS$2:$AS$1501,0,'Per Line'!$AT$2:$AT$1501,0))</f>
        <v/>
      </c>
      <c r="X237" s="7">
        <f>IF($AH237="","",W237*V237)</f>
        <v/>
      </c>
      <c r="Y237">
        <f>IF($AH237="","",Settings!$C$6)</f>
        <v/>
      </c>
      <c r="Z237" s="7">
        <f>IF($AH237="","",SUMIFS('Per Line'!$Z$2:$Z$1501,'Per Line'!$E$2:$E$1501,$B237,'Per Line'!$AS$2:$AS$1501,1,'Per Line'!$AT$2:$AT$1501,0))</f>
        <v/>
      </c>
      <c r="AA237" s="7">
        <f>IF($AH237="","",Z237*Y237)</f>
        <v/>
      </c>
      <c r="AB237" s="7">
        <f>IF($AH237="","",AA237+X237+U237)</f>
        <v/>
      </c>
      <c r="AC237" s="7">
        <f>IF($AH237="","",AD237-AB237)</f>
        <v/>
      </c>
      <c r="AD237" s="7">
        <f>IF($AH237="","",W237+Z237+T237)</f>
        <v/>
      </c>
      <c r="AE237" s="7">
        <f>IF($AH237="","",AD237-AB237-P237)</f>
        <v/>
      </c>
      <c r="AF237" s="15" t="n"/>
      <c r="AG237" s="7">
        <f>IF($AH237="","",AE237-N(AF237))</f>
        <v/>
      </c>
      <c r="AH237" s="16">
        <f>IF(ROWS($AH$2:$AH237)&lt;=MAX('Per Line'!$AR$2:$AR$1501),MATCH(ROWS($AH$2:$AH237),'Per Line'!$AR$2:$AR$1501,0),"")</f>
        <v/>
      </c>
      <c r="AI237">
        <f>IF($AH237="","",C237&amp;"|"&amp;COUNTIF($C$2:$C237,C237))</f>
        <v/>
      </c>
    </row>
    <row r="238">
      <c r="A238" s="15" t="n"/>
      <c r="B238">
        <f>IF($AH238="","",INDEX('Per Line'!$E$2:$E$1501,$AH238)&amp;"")</f>
        <v/>
      </c>
      <c r="C238">
        <f>IF($AH238="","",IF(INDEX('Per Line'!$AP$2:$AP$1501,$AH238)="NOT MATCH","NOT MATCH","FULL MATCH"))</f>
        <v/>
      </c>
      <c r="D238">
        <f>IF($AH238="","",INDEX('Per Line'!$A$2:$A$1501,$AH238)&amp;"")</f>
        <v/>
      </c>
      <c r="E238">
        <f>IF($AH238="","",INDEX('Per Line'!$B$2:$B$1501,$AH238))</f>
        <v/>
      </c>
      <c r="F238">
        <f>IF($AH238="","",INDEX('Per Line'!$C$2:$C$1501,$AH238)&amp;"")</f>
        <v/>
      </c>
      <c r="G238">
        <f>IF($AH238="","",INDEX('Per Line'!$D$2:$D$1501,$AH238)&amp;"")</f>
        <v/>
      </c>
      <c r="H238">
        <f>IF($AH238="","",INDEX('Per Line'!$F$2:$F$1501,$AH238)&amp;"")</f>
        <v/>
      </c>
      <c r="I238" s="14">
        <f>IF($AH238="","",INDEX('Per Line'!$G$2:$G$1501,$AH238))</f>
        <v/>
      </c>
      <c r="J238">
        <f>IF($AH238="","",INDEX('Per Line'!$H$2:$H$1501,$AH238)&amp;"")</f>
        <v/>
      </c>
      <c r="K238">
        <f>IF($AH238="","",INDEX('Per Line'!$J$2:$J$1501,$AH238)&amp;"")</f>
        <v/>
      </c>
      <c r="L238">
        <f>IF($AH238="","",INDEX('Per Line'!$K$2:$K$1501,$AH238)&amp;"")</f>
        <v/>
      </c>
      <c r="M238">
        <f>IF($AH238="","",INDEX('Per Line'!$L$2:$L$1501,$AH238)&amp;"")</f>
        <v/>
      </c>
      <c r="N238">
        <f>IF($AH238="","",INDEX('Per Line'!$M$2:$M$1501,$AH238)&amp;"")</f>
        <v/>
      </c>
      <c r="O238">
        <f>IF($AH238="","",INDEX('Per Line'!$P$2:$P$1501,$AH238))</f>
        <v/>
      </c>
      <c r="P238" s="7">
        <f>IF($AH238="","",O238*AD238/100)</f>
        <v/>
      </c>
      <c r="Q238">
        <f>IF($AH238="","",INDEX('Per Line'!$R$2:$R$1501,$AH238)&amp;"")</f>
        <v/>
      </c>
      <c r="R238">
        <f>IF($AH238="","",INDEX('Per Line'!$AB$2:$AB$1501,$AH238)&amp;"")</f>
        <v/>
      </c>
      <c r="S238">
        <f>IF($AH238="","",Settings!$C$8)</f>
        <v/>
      </c>
      <c r="T238" s="7">
        <f>IF($AH238="","",SUMIFS('Per Line'!$Z$2:$Z$1501,'Per Line'!$E$2:$E$1501,$B238,'Per Line'!$AT$2:$AT$1501,1))</f>
        <v/>
      </c>
      <c r="U238" s="7">
        <f>IF($AH238="","",T238*S238)</f>
        <v/>
      </c>
      <c r="V238">
        <f>IF($AH238="","",Settings!$C$7)</f>
        <v/>
      </c>
      <c r="W238" s="7">
        <f>IF($AH238="","",SUMIFS('Per Line'!$Z$2:$Z$1501,'Per Line'!$E$2:$E$1501,$B238,'Per Line'!$AS$2:$AS$1501,0,'Per Line'!$AT$2:$AT$1501,0))</f>
        <v/>
      </c>
      <c r="X238" s="7">
        <f>IF($AH238="","",W238*V238)</f>
        <v/>
      </c>
      <c r="Y238">
        <f>IF($AH238="","",Settings!$C$6)</f>
        <v/>
      </c>
      <c r="Z238" s="7">
        <f>IF($AH238="","",SUMIFS('Per Line'!$Z$2:$Z$1501,'Per Line'!$E$2:$E$1501,$B238,'Per Line'!$AS$2:$AS$1501,1,'Per Line'!$AT$2:$AT$1501,0))</f>
        <v/>
      </c>
      <c r="AA238" s="7">
        <f>IF($AH238="","",Z238*Y238)</f>
        <v/>
      </c>
      <c r="AB238" s="7">
        <f>IF($AH238="","",AA238+X238+U238)</f>
        <v/>
      </c>
      <c r="AC238" s="7">
        <f>IF($AH238="","",AD238-AB238)</f>
        <v/>
      </c>
      <c r="AD238" s="7">
        <f>IF($AH238="","",W238+Z238+T238)</f>
        <v/>
      </c>
      <c r="AE238" s="7">
        <f>IF($AH238="","",AD238-AB238-P238)</f>
        <v/>
      </c>
      <c r="AF238" s="15" t="n"/>
      <c r="AG238" s="7">
        <f>IF($AH238="","",AE238-N(AF238))</f>
        <v/>
      </c>
      <c r="AH238" s="16">
        <f>IF(ROWS($AH$2:$AH238)&lt;=MAX('Per Line'!$AR$2:$AR$1501),MATCH(ROWS($AH$2:$AH238),'Per Line'!$AR$2:$AR$1501,0),"")</f>
        <v/>
      </c>
      <c r="AI238">
        <f>IF($AH238="","",C238&amp;"|"&amp;COUNTIF($C$2:$C238,C238))</f>
        <v/>
      </c>
    </row>
    <row r="239">
      <c r="A239" s="15" t="n"/>
      <c r="B239">
        <f>IF($AH239="","",INDEX('Per Line'!$E$2:$E$1501,$AH239)&amp;"")</f>
        <v/>
      </c>
      <c r="C239">
        <f>IF($AH239="","",IF(INDEX('Per Line'!$AP$2:$AP$1501,$AH239)="NOT MATCH","NOT MATCH","FULL MATCH"))</f>
        <v/>
      </c>
      <c r="D239">
        <f>IF($AH239="","",INDEX('Per Line'!$A$2:$A$1501,$AH239)&amp;"")</f>
        <v/>
      </c>
      <c r="E239">
        <f>IF($AH239="","",INDEX('Per Line'!$B$2:$B$1501,$AH239))</f>
        <v/>
      </c>
      <c r="F239">
        <f>IF($AH239="","",INDEX('Per Line'!$C$2:$C$1501,$AH239)&amp;"")</f>
        <v/>
      </c>
      <c r="G239">
        <f>IF($AH239="","",INDEX('Per Line'!$D$2:$D$1501,$AH239)&amp;"")</f>
        <v/>
      </c>
      <c r="H239">
        <f>IF($AH239="","",INDEX('Per Line'!$F$2:$F$1501,$AH239)&amp;"")</f>
        <v/>
      </c>
      <c r="I239" s="14">
        <f>IF($AH239="","",INDEX('Per Line'!$G$2:$G$1501,$AH239))</f>
        <v/>
      </c>
      <c r="J239">
        <f>IF($AH239="","",INDEX('Per Line'!$H$2:$H$1501,$AH239)&amp;"")</f>
        <v/>
      </c>
      <c r="K239">
        <f>IF($AH239="","",INDEX('Per Line'!$J$2:$J$1501,$AH239)&amp;"")</f>
        <v/>
      </c>
      <c r="L239">
        <f>IF($AH239="","",INDEX('Per Line'!$K$2:$K$1501,$AH239)&amp;"")</f>
        <v/>
      </c>
      <c r="M239">
        <f>IF($AH239="","",INDEX('Per Line'!$L$2:$L$1501,$AH239)&amp;"")</f>
        <v/>
      </c>
      <c r="N239">
        <f>IF($AH239="","",INDEX('Per Line'!$M$2:$M$1501,$AH239)&amp;"")</f>
        <v/>
      </c>
      <c r="O239">
        <f>IF($AH239="","",INDEX('Per Line'!$P$2:$P$1501,$AH239))</f>
        <v/>
      </c>
      <c r="P239" s="7">
        <f>IF($AH239="","",O239*AD239/100)</f>
        <v/>
      </c>
      <c r="Q239">
        <f>IF($AH239="","",INDEX('Per Line'!$R$2:$R$1501,$AH239)&amp;"")</f>
        <v/>
      </c>
      <c r="R239">
        <f>IF($AH239="","",INDEX('Per Line'!$AB$2:$AB$1501,$AH239)&amp;"")</f>
        <v/>
      </c>
      <c r="S239">
        <f>IF($AH239="","",Settings!$C$8)</f>
        <v/>
      </c>
      <c r="T239" s="7">
        <f>IF($AH239="","",SUMIFS('Per Line'!$Z$2:$Z$1501,'Per Line'!$E$2:$E$1501,$B239,'Per Line'!$AT$2:$AT$1501,1))</f>
        <v/>
      </c>
      <c r="U239" s="7">
        <f>IF($AH239="","",T239*S239)</f>
        <v/>
      </c>
      <c r="V239">
        <f>IF($AH239="","",Settings!$C$7)</f>
        <v/>
      </c>
      <c r="W239" s="7">
        <f>IF($AH239="","",SUMIFS('Per Line'!$Z$2:$Z$1501,'Per Line'!$E$2:$E$1501,$B239,'Per Line'!$AS$2:$AS$1501,0,'Per Line'!$AT$2:$AT$1501,0))</f>
        <v/>
      </c>
      <c r="X239" s="7">
        <f>IF($AH239="","",W239*V239)</f>
        <v/>
      </c>
      <c r="Y239">
        <f>IF($AH239="","",Settings!$C$6)</f>
        <v/>
      </c>
      <c r="Z239" s="7">
        <f>IF($AH239="","",SUMIFS('Per Line'!$Z$2:$Z$1501,'Per Line'!$E$2:$E$1501,$B239,'Per Line'!$AS$2:$AS$1501,1,'Per Line'!$AT$2:$AT$1501,0))</f>
        <v/>
      </c>
      <c r="AA239" s="7">
        <f>IF($AH239="","",Z239*Y239)</f>
        <v/>
      </c>
      <c r="AB239" s="7">
        <f>IF($AH239="","",AA239+X239+U239)</f>
        <v/>
      </c>
      <c r="AC239" s="7">
        <f>IF($AH239="","",AD239-AB239)</f>
        <v/>
      </c>
      <c r="AD239" s="7">
        <f>IF($AH239="","",W239+Z239+T239)</f>
        <v/>
      </c>
      <c r="AE239" s="7">
        <f>IF($AH239="","",AD239-AB239-P239)</f>
        <v/>
      </c>
      <c r="AF239" s="15" t="n"/>
      <c r="AG239" s="7">
        <f>IF($AH239="","",AE239-N(AF239))</f>
        <v/>
      </c>
      <c r="AH239" s="16">
        <f>IF(ROWS($AH$2:$AH239)&lt;=MAX('Per Line'!$AR$2:$AR$1501),MATCH(ROWS($AH$2:$AH239),'Per Line'!$AR$2:$AR$1501,0),"")</f>
        <v/>
      </c>
      <c r="AI239">
        <f>IF($AH239="","",C239&amp;"|"&amp;COUNTIF($C$2:$C239,C239))</f>
        <v/>
      </c>
    </row>
    <row r="240">
      <c r="A240" s="15" t="n"/>
      <c r="B240">
        <f>IF($AH240="","",INDEX('Per Line'!$E$2:$E$1501,$AH240)&amp;"")</f>
        <v/>
      </c>
      <c r="C240">
        <f>IF($AH240="","",IF(INDEX('Per Line'!$AP$2:$AP$1501,$AH240)="NOT MATCH","NOT MATCH","FULL MATCH"))</f>
        <v/>
      </c>
      <c r="D240">
        <f>IF($AH240="","",INDEX('Per Line'!$A$2:$A$1501,$AH240)&amp;"")</f>
        <v/>
      </c>
      <c r="E240">
        <f>IF($AH240="","",INDEX('Per Line'!$B$2:$B$1501,$AH240))</f>
        <v/>
      </c>
      <c r="F240">
        <f>IF($AH240="","",INDEX('Per Line'!$C$2:$C$1501,$AH240)&amp;"")</f>
        <v/>
      </c>
      <c r="G240">
        <f>IF($AH240="","",INDEX('Per Line'!$D$2:$D$1501,$AH240)&amp;"")</f>
        <v/>
      </c>
      <c r="H240">
        <f>IF($AH240="","",INDEX('Per Line'!$F$2:$F$1501,$AH240)&amp;"")</f>
        <v/>
      </c>
      <c r="I240" s="14">
        <f>IF($AH240="","",INDEX('Per Line'!$G$2:$G$1501,$AH240))</f>
        <v/>
      </c>
      <c r="J240">
        <f>IF($AH240="","",INDEX('Per Line'!$H$2:$H$1501,$AH240)&amp;"")</f>
        <v/>
      </c>
      <c r="K240">
        <f>IF($AH240="","",INDEX('Per Line'!$J$2:$J$1501,$AH240)&amp;"")</f>
        <v/>
      </c>
      <c r="L240">
        <f>IF($AH240="","",INDEX('Per Line'!$K$2:$K$1501,$AH240)&amp;"")</f>
        <v/>
      </c>
      <c r="M240">
        <f>IF($AH240="","",INDEX('Per Line'!$L$2:$L$1501,$AH240)&amp;"")</f>
        <v/>
      </c>
      <c r="N240">
        <f>IF($AH240="","",INDEX('Per Line'!$M$2:$M$1501,$AH240)&amp;"")</f>
        <v/>
      </c>
      <c r="O240">
        <f>IF($AH240="","",INDEX('Per Line'!$P$2:$P$1501,$AH240))</f>
        <v/>
      </c>
      <c r="P240" s="7">
        <f>IF($AH240="","",O240*AD240/100)</f>
        <v/>
      </c>
      <c r="Q240">
        <f>IF($AH240="","",INDEX('Per Line'!$R$2:$R$1501,$AH240)&amp;"")</f>
        <v/>
      </c>
      <c r="R240">
        <f>IF($AH240="","",INDEX('Per Line'!$AB$2:$AB$1501,$AH240)&amp;"")</f>
        <v/>
      </c>
      <c r="S240">
        <f>IF($AH240="","",Settings!$C$8)</f>
        <v/>
      </c>
      <c r="T240" s="7">
        <f>IF($AH240="","",SUMIFS('Per Line'!$Z$2:$Z$1501,'Per Line'!$E$2:$E$1501,$B240,'Per Line'!$AT$2:$AT$1501,1))</f>
        <v/>
      </c>
      <c r="U240" s="7">
        <f>IF($AH240="","",T240*S240)</f>
        <v/>
      </c>
      <c r="V240">
        <f>IF($AH240="","",Settings!$C$7)</f>
        <v/>
      </c>
      <c r="W240" s="7">
        <f>IF($AH240="","",SUMIFS('Per Line'!$Z$2:$Z$1501,'Per Line'!$E$2:$E$1501,$B240,'Per Line'!$AS$2:$AS$1501,0,'Per Line'!$AT$2:$AT$1501,0))</f>
        <v/>
      </c>
      <c r="X240" s="7">
        <f>IF($AH240="","",W240*V240)</f>
        <v/>
      </c>
      <c r="Y240">
        <f>IF($AH240="","",Settings!$C$6)</f>
        <v/>
      </c>
      <c r="Z240" s="7">
        <f>IF($AH240="","",SUMIFS('Per Line'!$Z$2:$Z$1501,'Per Line'!$E$2:$E$1501,$B240,'Per Line'!$AS$2:$AS$1501,1,'Per Line'!$AT$2:$AT$1501,0))</f>
        <v/>
      </c>
      <c r="AA240" s="7">
        <f>IF($AH240="","",Z240*Y240)</f>
        <v/>
      </c>
      <c r="AB240" s="7">
        <f>IF($AH240="","",AA240+X240+U240)</f>
        <v/>
      </c>
      <c r="AC240" s="7">
        <f>IF($AH240="","",AD240-AB240)</f>
        <v/>
      </c>
      <c r="AD240" s="7">
        <f>IF($AH240="","",W240+Z240+T240)</f>
        <v/>
      </c>
      <c r="AE240" s="7">
        <f>IF($AH240="","",AD240-AB240-P240)</f>
        <v/>
      </c>
      <c r="AF240" s="15" t="n"/>
      <c r="AG240" s="7">
        <f>IF($AH240="","",AE240-N(AF240))</f>
        <v/>
      </c>
      <c r="AH240" s="16">
        <f>IF(ROWS($AH$2:$AH240)&lt;=MAX('Per Line'!$AR$2:$AR$1501),MATCH(ROWS($AH$2:$AH240),'Per Line'!$AR$2:$AR$1501,0),"")</f>
        <v/>
      </c>
      <c r="AI240">
        <f>IF($AH240="","",C240&amp;"|"&amp;COUNTIF($C$2:$C240,C240))</f>
        <v/>
      </c>
    </row>
    <row r="241">
      <c r="A241" s="15" t="n"/>
      <c r="B241">
        <f>IF($AH241="","",INDEX('Per Line'!$E$2:$E$1501,$AH241)&amp;"")</f>
        <v/>
      </c>
      <c r="C241">
        <f>IF($AH241="","",IF(INDEX('Per Line'!$AP$2:$AP$1501,$AH241)="NOT MATCH","NOT MATCH","FULL MATCH"))</f>
        <v/>
      </c>
      <c r="D241">
        <f>IF($AH241="","",INDEX('Per Line'!$A$2:$A$1501,$AH241)&amp;"")</f>
        <v/>
      </c>
      <c r="E241">
        <f>IF($AH241="","",INDEX('Per Line'!$B$2:$B$1501,$AH241))</f>
        <v/>
      </c>
      <c r="F241">
        <f>IF($AH241="","",INDEX('Per Line'!$C$2:$C$1501,$AH241)&amp;"")</f>
        <v/>
      </c>
      <c r="G241">
        <f>IF($AH241="","",INDEX('Per Line'!$D$2:$D$1501,$AH241)&amp;"")</f>
        <v/>
      </c>
      <c r="H241">
        <f>IF($AH241="","",INDEX('Per Line'!$F$2:$F$1501,$AH241)&amp;"")</f>
        <v/>
      </c>
      <c r="I241" s="14">
        <f>IF($AH241="","",INDEX('Per Line'!$G$2:$G$1501,$AH241))</f>
        <v/>
      </c>
      <c r="J241">
        <f>IF($AH241="","",INDEX('Per Line'!$H$2:$H$1501,$AH241)&amp;"")</f>
        <v/>
      </c>
      <c r="K241">
        <f>IF($AH241="","",INDEX('Per Line'!$J$2:$J$1501,$AH241)&amp;"")</f>
        <v/>
      </c>
      <c r="L241">
        <f>IF($AH241="","",INDEX('Per Line'!$K$2:$K$1501,$AH241)&amp;"")</f>
        <v/>
      </c>
      <c r="M241">
        <f>IF($AH241="","",INDEX('Per Line'!$L$2:$L$1501,$AH241)&amp;"")</f>
        <v/>
      </c>
      <c r="N241">
        <f>IF($AH241="","",INDEX('Per Line'!$M$2:$M$1501,$AH241)&amp;"")</f>
        <v/>
      </c>
      <c r="O241">
        <f>IF($AH241="","",INDEX('Per Line'!$P$2:$P$1501,$AH241))</f>
        <v/>
      </c>
      <c r="P241" s="7">
        <f>IF($AH241="","",O241*AD241/100)</f>
        <v/>
      </c>
      <c r="Q241">
        <f>IF($AH241="","",INDEX('Per Line'!$R$2:$R$1501,$AH241)&amp;"")</f>
        <v/>
      </c>
      <c r="R241">
        <f>IF($AH241="","",INDEX('Per Line'!$AB$2:$AB$1501,$AH241)&amp;"")</f>
        <v/>
      </c>
      <c r="S241">
        <f>IF($AH241="","",Settings!$C$8)</f>
        <v/>
      </c>
      <c r="T241" s="7">
        <f>IF($AH241="","",SUMIFS('Per Line'!$Z$2:$Z$1501,'Per Line'!$E$2:$E$1501,$B241,'Per Line'!$AT$2:$AT$1501,1))</f>
        <v/>
      </c>
      <c r="U241" s="7">
        <f>IF($AH241="","",T241*S241)</f>
        <v/>
      </c>
      <c r="V241">
        <f>IF($AH241="","",Settings!$C$7)</f>
        <v/>
      </c>
      <c r="W241" s="7">
        <f>IF($AH241="","",SUMIFS('Per Line'!$Z$2:$Z$1501,'Per Line'!$E$2:$E$1501,$B241,'Per Line'!$AS$2:$AS$1501,0,'Per Line'!$AT$2:$AT$1501,0))</f>
        <v/>
      </c>
      <c r="X241" s="7">
        <f>IF($AH241="","",W241*V241)</f>
        <v/>
      </c>
      <c r="Y241">
        <f>IF($AH241="","",Settings!$C$6)</f>
        <v/>
      </c>
      <c r="Z241" s="7">
        <f>IF($AH241="","",SUMIFS('Per Line'!$Z$2:$Z$1501,'Per Line'!$E$2:$E$1501,$B241,'Per Line'!$AS$2:$AS$1501,1,'Per Line'!$AT$2:$AT$1501,0))</f>
        <v/>
      </c>
      <c r="AA241" s="7">
        <f>IF($AH241="","",Z241*Y241)</f>
        <v/>
      </c>
      <c r="AB241" s="7">
        <f>IF($AH241="","",AA241+X241+U241)</f>
        <v/>
      </c>
      <c r="AC241" s="7">
        <f>IF($AH241="","",AD241-AB241)</f>
        <v/>
      </c>
      <c r="AD241" s="7">
        <f>IF($AH241="","",W241+Z241+T241)</f>
        <v/>
      </c>
      <c r="AE241" s="7">
        <f>IF($AH241="","",AD241-AB241-P241)</f>
        <v/>
      </c>
      <c r="AF241" s="15" t="n"/>
      <c r="AG241" s="7">
        <f>IF($AH241="","",AE241-N(AF241))</f>
        <v/>
      </c>
      <c r="AH241" s="16">
        <f>IF(ROWS($AH$2:$AH241)&lt;=MAX('Per Line'!$AR$2:$AR$1501),MATCH(ROWS($AH$2:$AH241),'Per Line'!$AR$2:$AR$1501,0),"")</f>
        <v/>
      </c>
      <c r="AI241">
        <f>IF($AH241="","",C241&amp;"|"&amp;COUNTIF($C$2:$C241,C241))</f>
        <v/>
      </c>
    </row>
    <row r="242">
      <c r="A242" s="15" t="n"/>
      <c r="B242">
        <f>IF($AH242="","",INDEX('Per Line'!$E$2:$E$1501,$AH242)&amp;"")</f>
        <v/>
      </c>
      <c r="C242">
        <f>IF($AH242="","",IF(INDEX('Per Line'!$AP$2:$AP$1501,$AH242)="NOT MATCH","NOT MATCH","FULL MATCH"))</f>
        <v/>
      </c>
      <c r="D242">
        <f>IF($AH242="","",INDEX('Per Line'!$A$2:$A$1501,$AH242)&amp;"")</f>
        <v/>
      </c>
      <c r="E242">
        <f>IF($AH242="","",INDEX('Per Line'!$B$2:$B$1501,$AH242))</f>
        <v/>
      </c>
      <c r="F242">
        <f>IF($AH242="","",INDEX('Per Line'!$C$2:$C$1501,$AH242)&amp;"")</f>
        <v/>
      </c>
      <c r="G242">
        <f>IF($AH242="","",INDEX('Per Line'!$D$2:$D$1501,$AH242)&amp;"")</f>
        <v/>
      </c>
      <c r="H242">
        <f>IF($AH242="","",INDEX('Per Line'!$F$2:$F$1501,$AH242)&amp;"")</f>
        <v/>
      </c>
      <c r="I242" s="14">
        <f>IF($AH242="","",INDEX('Per Line'!$G$2:$G$1501,$AH242))</f>
        <v/>
      </c>
      <c r="J242">
        <f>IF($AH242="","",INDEX('Per Line'!$H$2:$H$1501,$AH242)&amp;"")</f>
        <v/>
      </c>
      <c r="K242">
        <f>IF($AH242="","",INDEX('Per Line'!$J$2:$J$1501,$AH242)&amp;"")</f>
        <v/>
      </c>
      <c r="L242">
        <f>IF($AH242="","",INDEX('Per Line'!$K$2:$K$1501,$AH242)&amp;"")</f>
        <v/>
      </c>
      <c r="M242">
        <f>IF($AH242="","",INDEX('Per Line'!$L$2:$L$1501,$AH242)&amp;"")</f>
        <v/>
      </c>
      <c r="N242">
        <f>IF($AH242="","",INDEX('Per Line'!$M$2:$M$1501,$AH242)&amp;"")</f>
        <v/>
      </c>
      <c r="O242">
        <f>IF($AH242="","",INDEX('Per Line'!$P$2:$P$1501,$AH242))</f>
        <v/>
      </c>
      <c r="P242" s="7">
        <f>IF($AH242="","",O242*AD242/100)</f>
        <v/>
      </c>
      <c r="Q242">
        <f>IF($AH242="","",INDEX('Per Line'!$R$2:$R$1501,$AH242)&amp;"")</f>
        <v/>
      </c>
      <c r="R242">
        <f>IF($AH242="","",INDEX('Per Line'!$AB$2:$AB$1501,$AH242)&amp;"")</f>
        <v/>
      </c>
      <c r="S242">
        <f>IF($AH242="","",Settings!$C$8)</f>
        <v/>
      </c>
      <c r="T242" s="7">
        <f>IF($AH242="","",SUMIFS('Per Line'!$Z$2:$Z$1501,'Per Line'!$E$2:$E$1501,$B242,'Per Line'!$AT$2:$AT$1501,1))</f>
        <v/>
      </c>
      <c r="U242" s="7">
        <f>IF($AH242="","",T242*S242)</f>
        <v/>
      </c>
      <c r="V242">
        <f>IF($AH242="","",Settings!$C$7)</f>
        <v/>
      </c>
      <c r="W242" s="7">
        <f>IF($AH242="","",SUMIFS('Per Line'!$Z$2:$Z$1501,'Per Line'!$E$2:$E$1501,$B242,'Per Line'!$AS$2:$AS$1501,0,'Per Line'!$AT$2:$AT$1501,0))</f>
        <v/>
      </c>
      <c r="X242" s="7">
        <f>IF($AH242="","",W242*V242)</f>
        <v/>
      </c>
      <c r="Y242">
        <f>IF($AH242="","",Settings!$C$6)</f>
        <v/>
      </c>
      <c r="Z242" s="7">
        <f>IF($AH242="","",SUMIFS('Per Line'!$Z$2:$Z$1501,'Per Line'!$E$2:$E$1501,$B242,'Per Line'!$AS$2:$AS$1501,1,'Per Line'!$AT$2:$AT$1501,0))</f>
        <v/>
      </c>
      <c r="AA242" s="7">
        <f>IF($AH242="","",Z242*Y242)</f>
        <v/>
      </c>
      <c r="AB242" s="7">
        <f>IF($AH242="","",AA242+X242+U242)</f>
        <v/>
      </c>
      <c r="AC242" s="7">
        <f>IF($AH242="","",AD242-AB242)</f>
        <v/>
      </c>
      <c r="AD242" s="7">
        <f>IF($AH242="","",W242+Z242+T242)</f>
        <v/>
      </c>
      <c r="AE242" s="7">
        <f>IF($AH242="","",AD242-AB242-P242)</f>
        <v/>
      </c>
      <c r="AF242" s="15" t="n"/>
      <c r="AG242" s="7">
        <f>IF($AH242="","",AE242-N(AF242))</f>
        <v/>
      </c>
      <c r="AH242" s="16">
        <f>IF(ROWS($AH$2:$AH242)&lt;=MAX('Per Line'!$AR$2:$AR$1501),MATCH(ROWS($AH$2:$AH242),'Per Line'!$AR$2:$AR$1501,0),"")</f>
        <v/>
      </c>
      <c r="AI242">
        <f>IF($AH242="","",C242&amp;"|"&amp;COUNTIF($C$2:$C242,C242))</f>
        <v/>
      </c>
    </row>
    <row r="243">
      <c r="A243" s="15" t="n"/>
      <c r="B243">
        <f>IF($AH243="","",INDEX('Per Line'!$E$2:$E$1501,$AH243)&amp;"")</f>
        <v/>
      </c>
      <c r="C243">
        <f>IF($AH243="","",IF(INDEX('Per Line'!$AP$2:$AP$1501,$AH243)="NOT MATCH","NOT MATCH","FULL MATCH"))</f>
        <v/>
      </c>
      <c r="D243">
        <f>IF($AH243="","",INDEX('Per Line'!$A$2:$A$1501,$AH243)&amp;"")</f>
        <v/>
      </c>
      <c r="E243">
        <f>IF($AH243="","",INDEX('Per Line'!$B$2:$B$1501,$AH243))</f>
        <v/>
      </c>
      <c r="F243">
        <f>IF($AH243="","",INDEX('Per Line'!$C$2:$C$1501,$AH243)&amp;"")</f>
        <v/>
      </c>
      <c r="G243">
        <f>IF($AH243="","",INDEX('Per Line'!$D$2:$D$1501,$AH243)&amp;"")</f>
        <v/>
      </c>
      <c r="H243">
        <f>IF($AH243="","",INDEX('Per Line'!$F$2:$F$1501,$AH243)&amp;"")</f>
        <v/>
      </c>
      <c r="I243" s="14">
        <f>IF($AH243="","",INDEX('Per Line'!$G$2:$G$1501,$AH243))</f>
        <v/>
      </c>
      <c r="J243">
        <f>IF($AH243="","",INDEX('Per Line'!$H$2:$H$1501,$AH243)&amp;"")</f>
        <v/>
      </c>
      <c r="K243">
        <f>IF($AH243="","",INDEX('Per Line'!$J$2:$J$1501,$AH243)&amp;"")</f>
        <v/>
      </c>
      <c r="L243">
        <f>IF($AH243="","",INDEX('Per Line'!$K$2:$K$1501,$AH243)&amp;"")</f>
        <v/>
      </c>
      <c r="M243">
        <f>IF($AH243="","",INDEX('Per Line'!$L$2:$L$1501,$AH243)&amp;"")</f>
        <v/>
      </c>
      <c r="N243">
        <f>IF($AH243="","",INDEX('Per Line'!$M$2:$M$1501,$AH243)&amp;"")</f>
        <v/>
      </c>
      <c r="O243">
        <f>IF($AH243="","",INDEX('Per Line'!$P$2:$P$1501,$AH243))</f>
        <v/>
      </c>
      <c r="P243" s="7">
        <f>IF($AH243="","",O243*AD243/100)</f>
        <v/>
      </c>
      <c r="Q243">
        <f>IF($AH243="","",INDEX('Per Line'!$R$2:$R$1501,$AH243)&amp;"")</f>
        <v/>
      </c>
      <c r="R243">
        <f>IF($AH243="","",INDEX('Per Line'!$AB$2:$AB$1501,$AH243)&amp;"")</f>
        <v/>
      </c>
      <c r="S243">
        <f>IF($AH243="","",Settings!$C$8)</f>
        <v/>
      </c>
      <c r="T243" s="7">
        <f>IF($AH243="","",SUMIFS('Per Line'!$Z$2:$Z$1501,'Per Line'!$E$2:$E$1501,$B243,'Per Line'!$AT$2:$AT$1501,1))</f>
        <v/>
      </c>
      <c r="U243" s="7">
        <f>IF($AH243="","",T243*S243)</f>
        <v/>
      </c>
      <c r="V243">
        <f>IF($AH243="","",Settings!$C$7)</f>
        <v/>
      </c>
      <c r="W243" s="7">
        <f>IF($AH243="","",SUMIFS('Per Line'!$Z$2:$Z$1501,'Per Line'!$E$2:$E$1501,$B243,'Per Line'!$AS$2:$AS$1501,0,'Per Line'!$AT$2:$AT$1501,0))</f>
        <v/>
      </c>
      <c r="X243" s="7">
        <f>IF($AH243="","",W243*V243)</f>
        <v/>
      </c>
      <c r="Y243">
        <f>IF($AH243="","",Settings!$C$6)</f>
        <v/>
      </c>
      <c r="Z243" s="7">
        <f>IF($AH243="","",SUMIFS('Per Line'!$Z$2:$Z$1501,'Per Line'!$E$2:$E$1501,$B243,'Per Line'!$AS$2:$AS$1501,1,'Per Line'!$AT$2:$AT$1501,0))</f>
        <v/>
      </c>
      <c r="AA243" s="7">
        <f>IF($AH243="","",Z243*Y243)</f>
        <v/>
      </c>
      <c r="AB243" s="7">
        <f>IF($AH243="","",AA243+X243+U243)</f>
        <v/>
      </c>
      <c r="AC243" s="7">
        <f>IF($AH243="","",AD243-AB243)</f>
        <v/>
      </c>
      <c r="AD243" s="7">
        <f>IF($AH243="","",W243+Z243+T243)</f>
        <v/>
      </c>
      <c r="AE243" s="7">
        <f>IF($AH243="","",AD243-AB243-P243)</f>
        <v/>
      </c>
      <c r="AF243" s="15" t="n"/>
      <c r="AG243" s="7">
        <f>IF($AH243="","",AE243-N(AF243))</f>
        <v/>
      </c>
      <c r="AH243" s="16">
        <f>IF(ROWS($AH$2:$AH243)&lt;=MAX('Per Line'!$AR$2:$AR$1501),MATCH(ROWS($AH$2:$AH243),'Per Line'!$AR$2:$AR$1501,0),"")</f>
        <v/>
      </c>
      <c r="AI243">
        <f>IF($AH243="","",C243&amp;"|"&amp;COUNTIF($C$2:$C243,C243))</f>
        <v/>
      </c>
    </row>
    <row r="244">
      <c r="A244" s="15" t="n"/>
      <c r="B244">
        <f>IF($AH244="","",INDEX('Per Line'!$E$2:$E$1501,$AH244)&amp;"")</f>
        <v/>
      </c>
      <c r="C244">
        <f>IF($AH244="","",IF(INDEX('Per Line'!$AP$2:$AP$1501,$AH244)="NOT MATCH","NOT MATCH","FULL MATCH"))</f>
        <v/>
      </c>
      <c r="D244">
        <f>IF($AH244="","",INDEX('Per Line'!$A$2:$A$1501,$AH244)&amp;"")</f>
        <v/>
      </c>
      <c r="E244">
        <f>IF($AH244="","",INDEX('Per Line'!$B$2:$B$1501,$AH244))</f>
        <v/>
      </c>
      <c r="F244">
        <f>IF($AH244="","",INDEX('Per Line'!$C$2:$C$1501,$AH244)&amp;"")</f>
        <v/>
      </c>
      <c r="G244">
        <f>IF($AH244="","",INDEX('Per Line'!$D$2:$D$1501,$AH244)&amp;"")</f>
        <v/>
      </c>
      <c r="H244">
        <f>IF($AH244="","",INDEX('Per Line'!$F$2:$F$1501,$AH244)&amp;"")</f>
        <v/>
      </c>
      <c r="I244" s="14">
        <f>IF($AH244="","",INDEX('Per Line'!$G$2:$G$1501,$AH244))</f>
        <v/>
      </c>
      <c r="J244">
        <f>IF($AH244="","",INDEX('Per Line'!$H$2:$H$1501,$AH244)&amp;"")</f>
        <v/>
      </c>
      <c r="K244">
        <f>IF($AH244="","",INDEX('Per Line'!$J$2:$J$1501,$AH244)&amp;"")</f>
        <v/>
      </c>
      <c r="L244">
        <f>IF($AH244="","",INDEX('Per Line'!$K$2:$K$1501,$AH244)&amp;"")</f>
        <v/>
      </c>
      <c r="M244">
        <f>IF($AH244="","",INDEX('Per Line'!$L$2:$L$1501,$AH244)&amp;"")</f>
        <v/>
      </c>
      <c r="N244">
        <f>IF($AH244="","",INDEX('Per Line'!$M$2:$M$1501,$AH244)&amp;"")</f>
        <v/>
      </c>
      <c r="O244">
        <f>IF($AH244="","",INDEX('Per Line'!$P$2:$P$1501,$AH244))</f>
        <v/>
      </c>
      <c r="P244" s="7">
        <f>IF($AH244="","",O244*AD244/100)</f>
        <v/>
      </c>
      <c r="Q244">
        <f>IF($AH244="","",INDEX('Per Line'!$R$2:$R$1501,$AH244)&amp;"")</f>
        <v/>
      </c>
      <c r="R244">
        <f>IF($AH244="","",INDEX('Per Line'!$AB$2:$AB$1501,$AH244)&amp;"")</f>
        <v/>
      </c>
      <c r="S244">
        <f>IF($AH244="","",Settings!$C$8)</f>
        <v/>
      </c>
      <c r="T244" s="7">
        <f>IF($AH244="","",SUMIFS('Per Line'!$Z$2:$Z$1501,'Per Line'!$E$2:$E$1501,$B244,'Per Line'!$AT$2:$AT$1501,1))</f>
        <v/>
      </c>
      <c r="U244" s="7">
        <f>IF($AH244="","",T244*S244)</f>
        <v/>
      </c>
      <c r="V244">
        <f>IF($AH244="","",Settings!$C$7)</f>
        <v/>
      </c>
      <c r="W244" s="7">
        <f>IF($AH244="","",SUMIFS('Per Line'!$Z$2:$Z$1501,'Per Line'!$E$2:$E$1501,$B244,'Per Line'!$AS$2:$AS$1501,0,'Per Line'!$AT$2:$AT$1501,0))</f>
        <v/>
      </c>
      <c r="X244" s="7">
        <f>IF($AH244="","",W244*V244)</f>
        <v/>
      </c>
      <c r="Y244">
        <f>IF($AH244="","",Settings!$C$6)</f>
        <v/>
      </c>
      <c r="Z244" s="7">
        <f>IF($AH244="","",SUMIFS('Per Line'!$Z$2:$Z$1501,'Per Line'!$E$2:$E$1501,$B244,'Per Line'!$AS$2:$AS$1501,1,'Per Line'!$AT$2:$AT$1501,0))</f>
        <v/>
      </c>
      <c r="AA244" s="7">
        <f>IF($AH244="","",Z244*Y244)</f>
        <v/>
      </c>
      <c r="AB244" s="7">
        <f>IF($AH244="","",AA244+X244+U244)</f>
        <v/>
      </c>
      <c r="AC244" s="7">
        <f>IF($AH244="","",AD244-AB244)</f>
        <v/>
      </c>
      <c r="AD244" s="7">
        <f>IF($AH244="","",W244+Z244+T244)</f>
        <v/>
      </c>
      <c r="AE244" s="7">
        <f>IF($AH244="","",AD244-AB244-P244)</f>
        <v/>
      </c>
      <c r="AF244" s="15" t="n"/>
      <c r="AG244" s="7">
        <f>IF($AH244="","",AE244-N(AF244))</f>
        <v/>
      </c>
      <c r="AH244" s="16">
        <f>IF(ROWS($AH$2:$AH244)&lt;=MAX('Per Line'!$AR$2:$AR$1501),MATCH(ROWS($AH$2:$AH244),'Per Line'!$AR$2:$AR$1501,0),"")</f>
        <v/>
      </c>
      <c r="AI244">
        <f>IF($AH244="","",C244&amp;"|"&amp;COUNTIF($C$2:$C244,C244))</f>
        <v/>
      </c>
    </row>
    <row r="245">
      <c r="A245" s="15" t="n"/>
      <c r="B245">
        <f>IF($AH245="","",INDEX('Per Line'!$E$2:$E$1501,$AH245)&amp;"")</f>
        <v/>
      </c>
      <c r="C245">
        <f>IF($AH245="","",IF(INDEX('Per Line'!$AP$2:$AP$1501,$AH245)="NOT MATCH","NOT MATCH","FULL MATCH"))</f>
        <v/>
      </c>
      <c r="D245">
        <f>IF($AH245="","",INDEX('Per Line'!$A$2:$A$1501,$AH245)&amp;"")</f>
        <v/>
      </c>
      <c r="E245">
        <f>IF($AH245="","",INDEX('Per Line'!$B$2:$B$1501,$AH245))</f>
        <v/>
      </c>
      <c r="F245">
        <f>IF($AH245="","",INDEX('Per Line'!$C$2:$C$1501,$AH245)&amp;"")</f>
        <v/>
      </c>
      <c r="G245">
        <f>IF($AH245="","",INDEX('Per Line'!$D$2:$D$1501,$AH245)&amp;"")</f>
        <v/>
      </c>
      <c r="H245">
        <f>IF($AH245="","",INDEX('Per Line'!$F$2:$F$1501,$AH245)&amp;"")</f>
        <v/>
      </c>
      <c r="I245" s="14">
        <f>IF($AH245="","",INDEX('Per Line'!$G$2:$G$1501,$AH245))</f>
        <v/>
      </c>
      <c r="J245">
        <f>IF($AH245="","",INDEX('Per Line'!$H$2:$H$1501,$AH245)&amp;"")</f>
        <v/>
      </c>
      <c r="K245">
        <f>IF($AH245="","",INDEX('Per Line'!$J$2:$J$1501,$AH245)&amp;"")</f>
        <v/>
      </c>
      <c r="L245">
        <f>IF($AH245="","",INDEX('Per Line'!$K$2:$K$1501,$AH245)&amp;"")</f>
        <v/>
      </c>
      <c r="M245">
        <f>IF($AH245="","",INDEX('Per Line'!$L$2:$L$1501,$AH245)&amp;"")</f>
        <v/>
      </c>
      <c r="N245">
        <f>IF($AH245="","",INDEX('Per Line'!$M$2:$M$1501,$AH245)&amp;"")</f>
        <v/>
      </c>
      <c r="O245">
        <f>IF($AH245="","",INDEX('Per Line'!$P$2:$P$1501,$AH245))</f>
        <v/>
      </c>
      <c r="P245" s="7">
        <f>IF($AH245="","",O245*AD245/100)</f>
        <v/>
      </c>
      <c r="Q245">
        <f>IF($AH245="","",INDEX('Per Line'!$R$2:$R$1501,$AH245)&amp;"")</f>
        <v/>
      </c>
      <c r="R245">
        <f>IF($AH245="","",INDEX('Per Line'!$AB$2:$AB$1501,$AH245)&amp;"")</f>
        <v/>
      </c>
      <c r="S245">
        <f>IF($AH245="","",Settings!$C$8)</f>
        <v/>
      </c>
      <c r="T245" s="7">
        <f>IF($AH245="","",SUMIFS('Per Line'!$Z$2:$Z$1501,'Per Line'!$E$2:$E$1501,$B245,'Per Line'!$AT$2:$AT$1501,1))</f>
        <v/>
      </c>
      <c r="U245" s="7">
        <f>IF($AH245="","",T245*S245)</f>
        <v/>
      </c>
      <c r="V245">
        <f>IF($AH245="","",Settings!$C$7)</f>
        <v/>
      </c>
      <c r="W245" s="7">
        <f>IF($AH245="","",SUMIFS('Per Line'!$Z$2:$Z$1501,'Per Line'!$E$2:$E$1501,$B245,'Per Line'!$AS$2:$AS$1501,0,'Per Line'!$AT$2:$AT$1501,0))</f>
        <v/>
      </c>
      <c r="X245" s="7">
        <f>IF($AH245="","",W245*V245)</f>
        <v/>
      </c>
      <c r="Y245">
        <f>IF($AH245="","",Settings!$C$6)</f>
        <v/>
      </c>
      <c r="Z245" s="7">
        <f>IF($AH245="","",SUMIFS('Per Line'!$Z$2:$Z$1501,'Per Line'!$E$2:$E$1501,$B245,'Per Line'!$AS$2:$AS$1501,1,'Per Line'!$AT$2:$AT$1501,0))</f>
        <v/>
      </c>
      <c r="AA245" s="7">
        <f>IF($AH245="","",Z245*Y245)</f>
        <v/>
      </c>
      <c r="AB245" s="7">
        <f>IF($AH245="","",AA245+X245+U245)</f>
        <v/>
      </c>
      <c r="AC245" s="7">
        <f>IF($AH245="","",AD245-AB245)</f>
        <v/>
      </c>
      <c r="AD245" s="7">
        <f>IF($AH245="","",W245+Z245+T245)</f>
        <v/>
      </c>
      <c r="AE245" s="7">
        <f>IF($AH245="","",AD245-AB245-P245)</f>
        <v/>
      </c>
      <c r="AF245" s="15" t="n"/>
      <c r="AG245" s="7">
        <f>IF($AH245="","",AE245-N(AF245))</f>
        <v/>
      </c>
      <c r="AH245" s="16">
        <f>IF(ROWS($AH$2:$AH245)&lt;=MAX('Per Line'!$AR$2:$AR$1501),MATCH(ROWS($AH$2:$AH245),'Per Line'!$AR$2:$AR$1501,0),"")</f>
        <v/>
      </c>
      <c r="AI245">
        <f>IF($AH245="","",C245&amp;"|"&amp;COUNTIF($C$2:$C245,C245))</f>
        <v/>
      </c>
    </row>
    <row r="246">
      <c r="A246" s="15" t="n"/>
      <c r="B246">
        <f>IF($AH246="","",INDEX('Per Line'!$E$2:$E$1501,$AH246)&amp;"")</f>
        <v/>
      </c>
      <c r="C246">
        <f>IF($AH246="","",IF(INDEX('Per Line'!$AP$2:$AP$1501,$AH246)="NOT MATCH","NOT MATCH","FULL MATCH"))</f>
        <v/>
      </c>
      <c r="D246">
        <f>IF($AH246="","",INDEX('Per Line'!$A$2:$A$1501,$AH246)&amp;"")</f>
        <v/>
      </c>
      <c r="E246">
        <f>IF($AH246="","",INDEX('Per Line'!$B$2:$B$1501,$AH246))</f>
        <v/>
      </c>
      <c r="F246">
        <f>IF($AH246="","",INDEX('Per Line'!$C$2:$C$1501,$AH246)&amp;"")</f>
        <v/>
      </c>
      <c r="G246">
        <f>IF($AH246="","",INDEX('Per Line'!$D$2:$D$1501,$AH246)&amp;"")</f>
        <v/>
      </c>
      <c r="H246">
        <f>IF($AH246="","",INDEX('Per Line'!$F$2:$F$1501,$AH246)&amp;"")</f>
        <v/>
      </c>
      <c r="I246" s="14">
        <f>IF($AH246="","",INDEX('Per Line'!$G$2:$G$1501,$AH246))</f>
        <v/>
      </c>
      <c r="J246">
        <f>IF($AH246="","",INDEX('Per Line'!$H$2:$H$1501,$AH246)&amp;"")</f>
        <v/>
      </c>
      <c r="K246">
        <f>IF($AH246="","",INDEX('Per Line'!$J$2:$J$1501,$AH246)&amp;"")</f>
        <v/>
      </c>
      <c r="L246">
        <f>IF($AH246="","",INDEX('Per Line'!$K$2:$K$1501,$AH246)&amp;"")</f>
        <v/>
      </c>
      <c r="M246">
        <f>IF($AH246="","",INDEX('Per Line'!$L$2:$L$1501,$AH246)&amp;"")</f>
        <v/>
      </c>
      <c r="N246">
        <f>IF($AH246="","",INDEX('Per Line'!$M$2:$M$1501,$AH246)&amp;"")</f>
        <v/>
      </c>
      <c r="O246">
        <f>IF($AH246="","",INDEX('Per Line'!$P$2:$P$1501,$AH246))</f>
        <v/>
      </c>
      <c r="P246" s="7">
        <f>IF($AH246="","",O246*AD246/100)</f>
        <v/>
      </c>
      <c r="Q246">
        <f>IF($AH246="","",INDEX('Per Line'!$R$2:$R$1501,$AH246)&amp;"")</f>
        <v/>
      </c>
      <c r="R246">
        <f>IF($AH246="","",INDEX('Per Line'!$AB$2:$AB$1501,$AH246)&amp;"")</f>
        <v/>
      </c>
      <c r="S246">
        <f>IF($AH246="","",Settings!$C$8)</f>
        <v/>
      </c>
      <c r="T246" s="7">
        <f>IF($AH246="","",SUMIFS('Per Line'!$Z$2:$Z$1501,'Per Line'!$E$2:$E$1501,$B246,'Per Line'!$AT$2:$AT$1501,1))</f>
        <v/>
      </c>
      <c r="U246" s="7">
        <f>IF($AH246="","",T246*S246)</f>
        <v/>
      </c>
      <c r="V246">
        <f>IF($AH246="","",Settings!$C$7)</f>
        <v/>
      </c>
      <c r="W246" s="7">
        <f>IF($AH246="","",SUMIFS('Per Line'!$Z$2:$Z$1501,'Per Line'!$E$2:$E$1501,$B246,'Per Line'!$AS$2:$AS$1501,0,'Per Line'!$AT$2:$AT$1501,0))</f>
        <v/>
      </c>
      <c r="X246" s="7">
        <f>IF($AH246="","",W246*V246)</f>
        <v/>
      </c>
      <c r="Y246">
        <f>IF($AH246="","",Settings!$C$6)</f>
        <v/>
      </c>
      <c r="Z246" s="7">
        <f>IF($AH246="","",SUMIFS('Per Line'!$Z$2:$Z$1501,'Per Line'!$E$2:$E$1501,$B246,'Per Line'!$AS$2:$AS$1501,1,'Per Line'!$AT$2:$AT$1501,0))</f>
        <v/>
      </c>
      <c r="AA246" s="7">
        <f>IF($AH246="","",Z246*Y246)</f>
        <v/>
      </c>
      <c r="AB246" s="7">
        <f>IF($AH246="","",AA246+X246+U246)</f>
        <v/>
      </c>
      <c r="AC246" s="7">
        <f>IF($AH246="","",AD246-AB246)</f>
        <v/>
      </c>
      <c r="AD246" s="7">
        <f>IF($AH246="","",W246+Z246+T246)</f>
        <v/>
      </c>
      <c r="AE246" s="7">
        <f>IF($AH246="","",AD246-AB246-P246)</f>
        <v/>
      </c>
      <c r="AF246" s="15" t="n"/>
      <c r="AG246" s="7">
        <f>IF($AH246="","",AE246-N(AF246))</f>
        <v/>
      </c>
      <c r="AH246" s="16">
        <f>IF(ROWS($AH$2:$AH246)&lt;=MAX('Per Line'!$AR$2:$AR$1501),MATCH(ROWS($AH$2:$AH246),'Per Line'!$AR$2:$AR$1501,0),"")</f>
        <v/>
      </c>
      <c r="AI246">
        <f>IF($AH246="","",C246&amp;"|"&amp;COUNTIF($C$2:$C246,C246))</f>
        <v/>
      </c>
    </row>
    <row r="247">
      <c r="A247" s="15" t="n"/>
      <c r="B247">
        <f>IF($AH247="","",INDEX('Per Line'!$E$2:$E$1501,$AH247)&amp;"")</f>
        <v/>
      </c>
      <c r="C247">
        <f>IF($AH247="","",IF(INDEX('Per Line'!$AP$2:$AP$1501,$AH247)="NOT MATCH","NOT MATCH","FULL MATCH"))</f>
        <v/>
      </c>
      <c r="D247">
        <f>IF($AH247="","",INDEX('Per Line'!$A$2:$A$1501,$AH247)&amp;"")</f>
        <v/>
      </c>
      <c r="E247">
        <f>IF($AH247="","",INDEX('Per Line'!$B$2:$B$1501,$AH247))</f>
        <v/>
      </c>
      <c r="F247">
        <f>IF($AH247="","",INDEX('Per Line'!$C$2:$C$1501,$AH247)&amp;"")</f>
        <v/>
      </c>
      <c r="G247">
        <f>IF($AH247="","",INDEX('Per Line'!$D$2:$D$1501,$AH247)&amp;"")</f>
        <v/>
      </c>
      <c r="H247">
        <f>IF($AH247="","",INDEX('Per Line'!$F$2:$F$1501,$AH247)&amp;"")</f>
        <v/>
      </c>
      <c r="I247" s="14">
        <f>IF($AH247="","",INDEX('Per Line'!$G$2:$G$1501,$AH247))</f>
        <v/>
      </c>
      <c r="J247">
        <f>IF($AH247="","",INDEX('Per Line'!$H$2:$H$1501,$AH247)&amp;"")</f>
        <v/>
      </c>
      <c r="K247">
        <f>IF($AH247="","",INDEX('Per Line'!$J$2:$J$1501,$AH247)&amp;"")</f>
        <v/>
      </c>
      <c r="L247">
        <f>IF($AH247="","",INDEX('Per Line'!$K$2:$K$1501,$AH247)&amp;"")</f>
        <v/>
      </c>
      <c r="M247">
        <f>IF($AH247="","",INDEX('Per Line'!$L$2:$L$1501,$AH247)&amp;"")</f>
        <v/>
      </c>
      <c r="N247">
        <f>IF($AH247="","",INDEX('Per Line'!$M$2:$M$1501,$AH247)&amp;"")</f>
        <v/>
      </c>
      <c r="O247">
        <f>IF($AH247="","",INDEX('Per Line'!$P$2:$P$1501,$AH247))</f>
        <v/>
      </c>
      <c r="P247" s="7">
        <f>IF($AH247="","",O247*AD247/100)</f>
        <v/>
      </c>
      <c r="Q247">
        <f>IF($AH247="","",INDEX('Per Line'!$R$2:$R$1501,$AH247)&amp;"")</f>
        <v/>
      </c>
      <c r="R247">
        <f>IF($AH247="","",INDEX('Per Line'!$AB$2:$AB$1501,$AH247)&amp;"")</f>
        <v/>
      </c>
      <c r="S247">
        <f>IF($AH247="","",Settings!$C$8)</f>
        <v/>
      </c>
      <c r="T247" s="7">
        <f>IF($AH247="","",SUMIFS('Per Line'!$Z$2:$Z$1501,'Per Line'!$E$2:$E$1501,$B247,'Per Line'!$AT$2:$AT$1501,1))</f>
        <v/>
      </c>
      <c r="U247" s="7">
        <f>IF($AH247="","",T247*S247)</f>
        <v/>
      </c>
      <c r="V247">
        <f>IF($AH247="","",Settings!$C$7)</f>
        <v/>
      </c>
      <c r="W247" s="7">
        <f>IF($AH247="","",SUMIFS('Per Line'!$Z$2:$Z$1501,'Per Line'!$E$2:$E$1501,$B247,'Per Line'!$AS$2:$AS$1501,0,'Per Line'!$AT$2:$AT$1501,0))</f>
        <v/>
      </c>
      <c r="X247" s="7">
        <f>IF($AH247="","",W247*V247)</f>
        <v/>
      </c>
      <c r="Y247">
        <f>IF($AH247="","",Settings!$C$6)</f>
        <v/>
      </c>
      <c r="Z247" s="7">
        <f>IF($AH247="","",SUMIFS('Per Line'!$Z$2:$Z$1501,'Per Line'!$E$2:$E$1501,$B247,'Per Line'!$AS$2:$AS$1501,1,'Per Line'!$AT$2:$AT$1501,0))</f>
        <v/>
      </c>
      <c r="AA247" s="7">
        <f>IF($AH247="","",Z247*Y247)</f>
        <v/>
      </c>
      <c r="AB247" s="7">
        <f>IF($AH247="","",AA247+X247+U247)</f>
        <v/>
      </c>
      <c r="AC247" s="7">
        <f>IF($AH247="","",AD247-AB247)</f>
        <v/>
      </c>
      <c r="AD247" s="7">
        <f>IF($AH247="","",W247+Z247+T247)</f>
        <v/>
      </c>
      <c r="AE247" s="7">
        <f>IF($AH247="","",AD247-AB247-P247)</f>
        <v/>
      </c>
      <c r="AF247" s="15" t="n"/>
      <c r="AG247" s="7">
        <f>IF($AH247="","",AE247-N(AF247))</f>
        <v/>
      </c>
      <c r="AH247" s="16">
        <f>IF(ROWS($AH$2:$AH247)&lt;=MAX('Per Line'!$AR$2:$AR$1501),MATCH(ROWS($AH$2:$AH247),'Per Line'!$AR$2:$AR$1501,0),"")</f>
        <v/>
      </c>
      <c r="AI247">
        <f>IF($AH247="","",C247&amp;"|"&amp;COUNTIF($C$2:$C247,C247))</f>
        <v/>
      </c>
    </row>
    <row r="248">
      <c r="A248" s="15" t="n"/>
      <c r="B248">
        <f>IF($AH248="","",INDEX('Per Line'!$E$2:$E$1501,$AH248)&amp;"")</f>
        <v/>
      </c>
      <c r="C248">
        <f>IF($AH248="","",IF(INDEX('Per Line'!$AP$2:$AP$1501,$AH248)="NOT MATCH","NOT MATCH","FULL MATCH"))</f>
        <v/>
      </c>
      <c r="D248">
        <f>IF($AH248="","",INDEX('Per Line'!$A$2:$A$1501,$AH248)&amp;"")</f>
        <v/>
      </c>
      <c r="E248">
        <f>IF($AH248="","",INDEX('Per Line'!$B$2:$B$1501,$AH248))</f>
        <v/>
      </c>
      <c r="F248">
        <f>IF($AH248="","",INDEX('Per Line'!$C$2:$C$1501,$AH248)&amp;"")</f>
        <v/>
      </c>
      <c r="G248">
        <f>IF($AH248="","",INDEX('Per Line'!$D$2:$D$1501,$AH248)&amp;"")</f>
        <v/>
      </c>
      <c r="H248">
        <f>IF($AH248="","",INDEX('Per Line'!$F$2:$F$1501,$AH248)&amp;"")</f>
        <v/>
      </c>
      <c r="I248" s="14">
        <f>IF($AH248="","",INDEX('Per Line'!$G$2:$G$1501,$AH248))</f>
        <v/>
      </c>
      <c r="J248">
        <f>IF($AH248="","",INDEX('Per Line'!$H$2:$H$1501,$AH248)&amp;"")</f>
        <v/>
      </c>
      <c r="K248">
        <f>IF($AH248="","",INDEX('Per Line'!$J$2:$J$1501,$AH248)&amp;"")</f>
        <v/>
      </c>
      <c r="L248">
        <f>IF($AH248="","",INDEX('Per Line'!$K$2:$K$1501,$AH248)&amp;"")</f>
        <v/>
      </c>
      <c r="M248">
        <f>IF($AH248="","",INDEX('Per Line'!$L$2:$L$1501,$AH248)&amp;"")</f>
        <v/>
      </c>
      <c r="N248">
        <f>IF($AH248="","",INDEX('Per Line'!$M$2:$M$1501,$AH248)&amp;"")</f>
        <v/>
      </c>
      <c r="O248">
        <f>IF($AH248="","",INDEX('Per Line'!$P$2:$P$1501,$AH248))</f>
        <v/>
      </c>
      <c r="P248" s="7">
        <f>IF($AH248="","",O248*AD248/100)</f>
        <v/>
      </c>
      <c r="Q248">
        <f>IF($AH248="","",INDEX('Per Line'!$R$2:$R$1501,$AH248)&amp;"")</f>
        <v/>
      </c>
      <c r="R248">
        <f>IF($AH248="","",INDEX('Per Line'!$AB$2:$AB$1501,$AH248)&amp;"")</f>
        <v/>
      </c>
      <c r="S248">
        <f>IF($AH248="","",Settings!$C$8)</f>
        <v/>
      </c>
      <c r="T248" s="7">
        <f>IF($AH248="","",SUMIFS('Per Line'!$Z$2:$Z$1501,'Per Line'!$E$2:$E$1501,$B248,'Per Line'!$AT$2:$AT$1501,1))</f>
        <v/>
      </c>
      <c r="U248" s="7">
        <f>IF($AH248="","",T248*S248)</f>
        <v/>
      </c>
      <c r="V248">
        <f>IF($AH248="","",Settings!$C$7)</f>
        <v/>
      </c>
      <c r="W248" s="7">
        <f>IF($AH248="","",SUMIFS('Per Line'!$Z$2:$Z$1501,'Per Line'!$E$2:$E$1501,$B248,'Per Line'!$AS$2:$AS$1501,0,'Per Line'!$AT$2:$AT$1501,0))</f>
        <v/>
      </c>
      <c r="X248" s="7">
        <f>IF($AH248="","",W248*V248)</f>
        <v/>
      </c>
      <c r="Y248">
        <f>IF($AH248="","",Settings!$C$6)</f>
        <v/>
      </c>
      <c r="Z248" s="7">
        <f>IF($AH248="","",SUMIFS('Per Line'!$Z$2:$Z$1501,'Per Line'!$E$2:$E$1501,$B248,'Per Line'!$AS$2:$AS$1501,1,'Per Line'!$AT$2:$AT$1501,0))</f>
        <v/>
      </c>
      <c r="AA248" s="7">
        <f>IF($AH248="","",Z248*Y248)</f>
        <v/>
      </c>
      <c r="AB248" s="7">
        <f>IF($AH248="","",AA248+X248+U248)</f>
        <v/>
      </c>
      <c r="AC248" s="7">
        <f>IF($AH248="","",AD248-AB248)</f>
        <v/>
      </c>
      <c r="AD248" s="7">
        <f>IF($AH248="","",W248+Z248+T248)</f>
        <v/>
      </c>
      <c r="AE248" s="7">
        <f>IF($AH248="","",AD248-AB248-P248)</f>
        <v/>
      </c>
      <c r="AF248" s="15" t="n"/>
      <c r="AG248" s="7">
        <f>IF($AH248="","",AE248-N(AF248))</f>
        <v/>
      </c>
      <c r="AH248" s="16">
        <f>IF(ROWS($AH$2:$AH248)&lt;=MAX('Per Line'!$AR$2:$AR$1501),MATCH(ROWS($AH$2:$AH248),'Per Line'!$AR$2:$AR$1501,0),"")</f>
        <v/>
      </c>
      <c r="AI248">
        <f>IF($AH248="","",C248&amp;"|"&amp;COUNTIF($C$2:$C248,C248))</f>
        <v/>
      </c>
    </row>
    <row r="249">
      <c r="A249" s="15" t="n"/>
      <c r="B249">
        <f>IF($AH249="","",INDEX('Per Line'!$E$2:$E$1501,$AH249)&amp;"")</f>
        <v/>
      </c>
      <c r="C249">
        <f>IF($AH249="","",IF(INDEX('Per Line'!$AP$2:$AP$1501,$AH249)="NOT MATCH","NOT MATCH","FULL MATCH"))</f>
        <v/>
      </c>
      <c r="D249">
        <f>IF($AH249="","",INDEX('Per Line'!$A$2:$A$1501,$AH249)&amp;"")</f>
        <v/>
      </c>
      <c r="E249">
        <f>IF($AH249="","",INDEX('Per Line'!$B$2:$B$1501,$AH249))</f>
        <v/>
      </c>
      <c r="F249">
        <f>IF($AH249="","",INDEX('Per Line'!$C$2:$C$1501,$AH249)&amp;"")</f>
        <v/>
      </c>
      <c r="G249">
        <f>IF($AH249="","",INDEX('Per Line'!$D$2:$D$1501,$AH249)&amp;"")</f>
        <v/>
      </c>
      <c r="H249">
        <f>IF($AH249="","",INDEX('Per Line'!$F$2:$F$1501,$AH249)&amp;"")</f>
        <v/>
      </c>
      <c r="I249" s="14">
        <f>IF($AH249="","",INDEX('Per Line'!$G$2:$G$1501,$AH249))</f>
        <v/>
      </c>
      <c r="J249">
        <f>IF($AH249="","",INDEX('Per Line'!$H$2:$H$1501,$AH249)&amp;"")</f>
        <v/>
      </c>
      <c r="K249">
        <f>IF($AH249="","",INDEX('Per Line'!$J$2:$J$1501,$AH249)&amp;"")</f>
        <v/>
      </c>
      <c r="L249">
        <f>IF($AH249="","",INDEX('Per Line'!$K$2:$K$1501,$AH249)&amp;"")</f>
        <v/>
      </c>
      <c r="M249">
        <f>IF($AH249="","",INDEX('Per Line'!$L$2:$L$1501,$AH249)&amp;"")</f>
        <v/>
      </c>
      <c r="N249">
        <f>IF($AH249="","",INDEX('Per Line'!$M$2:$M$1501,$AH249)&amp;"")</f>
        <v/>
      </c>
      <c r="O249">
        <f>IF($AH249="","",INDEX('Per Line'!$P$2:$P$1501,$AH249))</f>
        <v/>
      </c>
      <c r="P249" s="7">
        <f>IF($AH249="","",O249*AD249/100)</f>
        <v/>
      </c>
      <c r="Q249">
        <f>IF($AH249="","",INDEX('Per Line'!$R$2:$R$1501,$AH249)&amp;"")</f>
        <v/>
      </c>
      <c r="R249">
        <f>IF($AH249="","",INDEX('Per Line'!$AB$2:$AB$1501,$AH249)&amp;"")</f>
        <v/>
      </c>
      <c r="S249">
        <f>IF($AH249="","",Settings!$C$8)</f>
        <v/>
      </c>
      <c r="T249" s="7">
        <f>IF($AH249="","",SUMIFS('Per Line'!$Z$2:$Z$1501,'Per Line'!$E$2:$E$1501,$B249,'Per Line'!$AT$2:$AT$1501,1))</f>
        <v/>
      </c>
      <c r="U249" s="7">
        <f>IF($AH249="","",T249*S249)</f>
        <v/>
      </c>
      <c r="V249">
        <f>IF($AH249="","",Settings!$C$7)</f>
        <v/>
      </c>
      <c r="W249" s="7">
        <f>IF($AH249="","",SUMIFS('Per Line'!$Z$2:$Z$1501,'Per Line'!$E$2:$E$1501,$B249,'Per Line'!$AS$2:$AS$1501,0,'Per Line'!$AT$2:$AT$1501,0))</f>
        <v/>
      </c>
      <c r="X249" s="7">
        <f>IF($AH249="","",W249*V249)</f>
        <v/>
      </c>
      <c r="Y249">
        <f>IF($AH249="","",Settings!$C$6)</f>
        <v/>
      </c>
      <c r="Z249" s="7">
        <f>IF($AH249="","",SUMIFS('Per Line'!$Z$2:$Z$1501,'Per Line'!$E$2:$E$1501,$B249,'Per Line'!$AS$2:$AS$1501,1,'Per Line'!$AT$2:$AT$1501,0))</f>
        <v/>
      </c>
      <c r="AA249" s="7">
        <f>IF($AH249="","",Z249*Y249)</f>
        <v/>
      </c>
      <c r="AB249" s="7">
        <f>IF($AH249="","",AA249+X249+U249)</f>
        <v/>
      </c>
      <c r="AC249" s="7">
        <f>IF($AH249="","",AD249-AB249)</f>
        <v/>
      </c>
      <c r="AD249" s="7">
        <f>IF($AH249="","",W249+Z249+T249)</f>
        <v/>
      </c>
      <c r="AE249" s="7">
        <f>IF($AH249="","",AD249-AB249-P249)</f>
        <v/>
      </c>
      <c r="AF249" s="15" t="n"/>
      <c r="AG249" s="7">
        <f>IF($AH249="","",AE249-N(AF249))</f>
        <v/>
      </c>
      <c r="AH249" s="16">
        <f>IF(ROWS($AH$2:$AH249)&lt;=MAX('Per Line'!$AR$2:$AR$1501),MATCH(ROWS($AH$2:$AH249),'Per Line'!$AR$2:$AR$1501,0),"")</f>
        <v/>
      </c>
      <c r="AI249">
        <f>IF($AH249="","",C249&amp;"|"&amp;COUNTIF($C$2:$C249,C249))</f>
        <v/>
      </c>
    </row>
    <row r="250">
      <c r="A250" s="15" t="n"/>
      <c r="B250">
        <f>IF($AH250="","",INDEX('Per Line'!$E$2:$E$1501,$AH250)&amp;"")</f>
        <v/>
      </c>
      <c r="C250">
        <f>IF($AH250="","",IF(INDEX('Per Line'!$AP$2:$AP$1501,$AH250)="NOT MATCH","NOT MATCH","FULL MATCH"))</f>
        <v/>
      </c>
      <c r="D250">
        <f>IF($AH250="","",INDEX('Per Line'!$A$2:$A$1501,$AH250)&amp;"")</f>
        <v/>
      </c>
      <c r="E250">
        <f>IF($AH250="","",INDEX('Per Line'!$B$2:$B$1501,$AH250))</f>
        <v/>
      </c>
      <c r="F250">
        <f>IF($AH250="","",INDEX('Per Line'!$C$2:$C$1501,$AH250)&amp;"")</f>
        <v/>
      </c>
      <c r="G250">
        <f>IF($AH250="","",INDEX('Per Line'!$D$2:$D$1501,$AH250)&amp;"")</f>
        <v/>
      </c>
      <c r="H250">
        <f>IF($AH250="","",INDEX('Per Line'!$F$2:$F$1501,$AH250)&amp;"")</f>
        <v/>
      </c>
      <c r="I250" s="14">
        <f>IF($AH250="","",INDEX('Per Line'!$G$2:$G$1501,$AH250))</f>
        <v/>
      </c>
      <c r="J250">
        <f>IF($AH250="","",INDEX('Per Line'!$H$2:$H$1501,$AH250)&amp;"")</f>
        <v/>
      </c>
      <c r="K250">
        <f>IF($AH250="","",INDEX('Per Line'!$J$2:$J$1501,$AH250)&amp;"")</f>
        <v/>
      </c>
      <c r="L250">
        <f>IF($AH250="","",INDEX('Per Line'!$K$2:$K$1501,$AH250)&amp;"")</f>
        <v/>
      </c>
      <c r="M250">
        <f>IF($AH250="","",INDEX('Per Line'!$L$2:$L$1501,$AH250)&amp;"")</f>
        <v/>
      </c>
      <c r="N250">
        <f>IF($AH250="","",INDEX('Per Line'!$M$2:$M$1501,$AH250)&amp;"")</f>
        <v/>
      </c>
      <c r="O250">
        <f>IF($AH250="","",INDEX('Per Line'!$P$2:$P$1501,$AH250))</f>
        <v/>
      </c>
      <c r="P250" s="7">
        <f>IF($AH250="","",O250*AD250/100)</f>
        <v/>
      </c>
      <c r="Q250">
        <f>IF($AH250="","",INDEX('Per Line'!$R$2:$R$1501,$AH250)&amp;"")</f>
        <v/>
      </c>
      <c r="R250">
        <f>IF($AH250="","",INDEX('Per Line'!$AB$2:$AB$1501,$AH250)&amp;"")</f>
        <v/>
      </c>
      <c r="S250">
        <f>IF($AH250="","",Settings!$C$8)</f>
        <v/>
      </c>
      <c r="T250" s="7">
        <f>IF($AH250="","",SUMIFS('Per Line'!$Z$2:$Z$1501,'Per Line'!$E$2:$E$1501,$B250,'Per Line'!$AT$2:$AT$1501,1))</f>
        <v/>
      </c>
      <c r="U250" s="7">
        <f>IF($AH250="","",T250*S250)</f>
        <v/>
      </c>
      <c r="V250">
        <f>IF($AH250="","",Settings!$C$7)</f>
        <v/>
      </c>
      <c r="W250" s="7">
        <f>IF($AH250="","",SUMIFS('Per Line'!$Z$2:$Z$1501,'Per Line'!$E$2:$E$1501,$B250,'Per Line'!$AS$2:$AS$1501,0,'Per Line'!$AT$2:$AT$1501,0))</f>
        <v/>
      </c>
      <c r="X250" s="7">
        <f>IF($AH250="","",W250*V250)</f>
        <v/>
      </c>
      <c r="Y250">
        <f>IF($AH250="","",Settings!$C$6)</f>
        <v/>
      </c>
      <c r="Z250" s="7">
        <f>IF($AH250="","",SUMIFS('Per Line'!$Z$2:$Z$1501,'Per Line'!$E$2:$E$1501,$B250,'Per Line'!$AS$2:$AS$1501,1,'Per Line'!$AT$2:$AT$1501,0))</f>
        <v/>
      </c>
      <c r="AA250" s="7">
        <f>IF($AH250="","",Z250*Y250)</f>
        <v/>
      </c>
      <c r="AB250" s="7">
        <f>IF($AH250="","",AA250+X250+U250)</f>
        <v/>
      </c>
      <c r="AC250" s="7">
        <f>IF($AH250="","",AD250-AB250)</f>
        <v/>
      </c>
      <c r="AD250" s="7">
        <f>IF($AH250="","",W250+Z250+T250)</f>
        <v/>
      </c>
      <c r="AE250" s="7">
        <f>IF($AH250="","",AD250-AB250-P250)</f>
        <v/>
      </c>
      <c r="AF250" s="15" t="n"/>
      <c r="AG250" s="7">
        <f>IF($AH250="","",AE250-N(AF250))</f>
        <v/>
      </c>
      <c r="AH250" s="16">
        <f>IF(ROWS($AH$2:$AH250)&lt;=MAX('Per Line'!$AR$2:$AR$1501),MATCH(ROWS($AH$2:$AH250),'Per Line'!$AR$2:$AR$1501,0),"")</f>
        <v/>
      </c>
      <c r="AI250">
        <f>IF($AH250="","",C250&amp;"|"&amp;COUNTIF($C$2:$C250,C250))</f>
        <v/>
      </c>
    </row>
    <row r="251">
      <c r="A251" s="15" t="n"/>
      <c r="B251">
        <f>IF($AH251="","",INDEX('Per Line'!$E$2:$E$1501,$AH251)&amp;"")</f>
        <v/>
      </c>
      <c r="C251">
        <f>IF($AH251="","",IF(INDEX('Per Line'!$AP$2:$AP$1501,$AH251)="NOT MATCH","NOT MATCH","FULL MATCH"))</f>
        <v/>
      </c>
      <c r="D251">
        <f>IF($AH251="","",INDEX('Per Line'!$A$2:$A$1501,$AH251)&amp;"")</f>
        <v/>
      </c>
      <c r="E251">
        <f>IF($AH251="","",INDEX('Per Line'!$B$2:$B$1501,$AH251))</f>
        <v/>
      </c>
      <c r="F251">
        <f>IF($AH251="","",INDEX('Per Line'!$C$2:$C$1501,$AH251)&amp;"")</f>
        <v/>
      </c>
      <c r="G251">
        <f>IF($AH251="","",INDEX('Per Line'!$D$2:$D$1501,$AH251)&amp;"")</f>
        <v/>
      </c>
      <c r="H251">
        <f>IF($AH251="","",INDEX('Per Line'!$F$2:$F$1501,$AH251)&amp;"")</f>
        <v/>
      </c>
      <c r="I251" s="14">
        <f>IF($AH251="","",INDEX('Per Line'!$G$2:$G$1501,$AH251))</f>
        <v/>
      </c>
      <c r="J251">
        <f>IF($AH251="","",INDEX('Per Line'!$H$2:$H$1501,$AH251)&amp;"")</f>
        <v/>
      </c>
      <c r="K251">
        <f>IF($AH251="","",INDEX('Per Line'!$J$2:$J$1501,$AH251)&amp;"")</f>
        <v/>
      </c>
      <c r="L251">
        <f>IF($AH251="","",INDEX('Per Line'!$K$2:$K$1501,$AH251)&amp;"")</f>
        <v/>
      </c>
      <c r="M251">
        <f>IF($AH251="","",INDEX('Per Line'!$L$2:$L$1501,$AH251)&amp;"")</f>
        <v/>
      </c>
      <c r="N251">
        <f>IF($AH251="","",INDEX('Per Line'!$M$2:$M$1501,$AH251)&amp;"")</f>
        <v/>
      </c>
      <c r="O251">
        <f>IF($AH251="","",INDEX('Per Line'!$P$2:$P$1501,$AH251))</f>
        <v/>
      </c>
      <c r="P251" s="7">
        <f>IF($AH251="","",O251*AD251/100)</f>
        <v/>
      </c>
      <c r="Q251">
        <f>IF($AH251="","",INDEX('Per Line'!$R$2:$R$1501,$AH251)&amp;"")</f>
        <v/>
      </c>
      <c r="R251">
        <f>IF($AH251="","",INDEX('Per Line'!$AB$2:$AB$1501,$AH251)&amp;"")</f>
        <v/>
      </c>
      <c r="S251">
        <f>IF($AH251="","",Settings!$C$8)</f>
        <v/>
      </c>
      <c r="T251" s="7">
        <f>IF($AH251="","",SUMIFS('Per Line'!$Z$2:$Z$1501,'Per Line'!$E$2:$E$1501,$B251,'Per Line'!$AT$2:$AT$1501,1))</f>
        <v/>
      </c>
      <c r="U251" s="7">
        <f>IF($AH251="","",T251*S251)</f>
        <v/>
      </c>
      <c r="V251">
        <f>IF($AH251="","",Settings!$C$7)</f>
        <v/>
      </c>
      <c r="W251" s="7">
        <f>IF($AH251="","",SUMIFS('Per Line'!$Z$2:$Z$1501,'Per Line'!$E$2:$E$1501,$B251,'Per Line'!$AS$2:$AS$1501,0,'Per Line'!$AT$2:$AT$1501,0))</f>
        <v/>
      </c>
      <c r="X251" s="7">
        <f>IF($AH251="","",W251*V251)</f>
        <v/>
      </c>
      <c r="Y251">
        <f>IF($AH251="","",Settings!$C$6)</f>
        <v/>
      </c>
      <c r="Z251" s="7">
        <f>IF($AH251="","",SUMIFS('Per Line'!$Z$2:$Z$1501,'Per Line'!$E$2:$E$1501,$B251,'Per Line'!$AS$2:$AS$1501,1,'Per Line'!$AT$2:$AT$1501,0))</f>
        <v/>
      </c>
      <c r="AA251" s="7">
        <f>IF($AH251="","",Z251*Y251)</f>
        <v/>
      </c>
      <c r="AB251" s="7">
        <f>IF($AH251="","",AA251+X251+U251)</f>
        <v/>
      </c>
      <c r="AC251" s="7">
        <f>IF($AH251="","",AD251-AB251)</f>
        <v/>
      </c>
      <c r="AD251" s="7">
        <f>IF($AH251="","",W251+Z251+T251)</f>
        <v/>
      </c>
      <c r="AE251" s="7">
        <f>IF($AH251="","",AD251-AB251-P251)</f>
        <v/>
      </c>
      <c r="AF251" s="15" t="n"/>
      <c r="AG251" s="7">
        <f>IF($AH251="","",AE251-N(AF251))</f>
        <v/>
      </c>
      <c r="AH251" s="16">
        <f>IF(ROWS($AH$2:$AH251)&lt;=MAX('Per Line'!$AR$2:$AR$1501),MATCH(ROWS($AH$2:$AH251),'Per Line'!$AR$2:$AR$1501,0),"")</f>
        <v/>
      </c>
      <c r="AI251">
        <f>IF($AH251="","",C251&amp;"|"&amp;COUNTIF($C$2:$C251,C251))</f>
        <v/>
      </c>
    </row>
    <row r="252">
      <c r="A252" s="15" t="n"/>
      <c r="B252">
        <f>IF($AH252="","",INDEX('Per Line'!$E$2:$E$1501,$AH252)&amp;"")</f>
        <v/>
      </c>
      <c r="C252">
        <f>IF($AH252="","",IF(INDEX('Per Line'!$AP$2:$AP$1501,$AH252)="NOT MATCH","NOT MATCH","FULL MATCH"))</f>
        <v/>
      </c>
      <c r="D252">
        <f>IF($AH252="","",INDEX('Per Line'!$A$2:$A$1501,$AH252)&amp;"")</f>
        <v/>
      </c>
      <c r="E252">
        <f>IF($AH252="","",INDEX('Per Line'!$B$2:$B$1501,$AH252))</f>
        <v/>
      </c>
      <c r="F252">
        <f>IF($AH252="","",INDEX('Per Line'!$C$2:$C$1501,$AH252)&amp;"")</f>
        <v/>
      </c>
      <c r="G252">
        <f>IF($AH252="","",INDEX('Per Line'!$D$2:$D$1501,$AH252)&amp;"")</f>
        <v/>
      </c>
      <c r="H252">
        <f>IF($AH252="","",INDEX('Per Line'!$F$2:$F$1501,$AH252)&amp;"")</f>
        <v/>
      </c>
      <c r="I252" s="14">
        <f>IF($AH252="","",INDEX('Per Line'!$G$2:$G$1501,$AH252))</f>
        <v/>
      </c>
      <c r="J252">
        <f>IF($AH252="","",INDEX('Per Line'!$H$2:$H$1501,$AH252)&amp;"")</f>
        <v/>
      </c>
      <c r="K252">
        <f>IF($AH252="","",INDEX('Per Line'!$J$2:$J$1501,$AH252)&amp;"")</f>
        <v/>
      </c>
      <c r="L252">
        <f>IF($AH252="","",INDEX('Per Line'!$K$2:$K$1501,$AH252)&amp;"")</f>
        <v/>
      </c>
      <c r="M252">
        <f>IF($AH252="","",INDEX('Per Line'!$L$2:$L$1501,$AH252)&amp;"")</f>
        <v/>
      </c>
      <c r="N252">
        <f>IF($AH252="","",INDEX('Per Line'!$M$2:$M$1501,$AH252)&amp;"")</f>
        <v/>
      </c>
      <c r="O252">
        <f>IF($AH252="","",INDEX('Per Line'!$P$2:$P$1501,$AH252))</f>
        <v/>
      </c>
      <c r="P252" s="7">
        <f>IF($AH252="","",O252*AD252/100)</f>
        <v/>
      </c>
      <c r="Q252">
        <f>IF($AH252="","",INDEX('Per Line'!$R$2:$R$1501,$AH252)&amp;"")</f>
        <v/>
      </c>
      <c r="R252">
        <f>IF($AH252="","",INDEX('Per Line'!$AB$2:$AB$1501,$AH252)&amp;"")</f>
        <v/>
      </c>
      <c r="S252">
        <f>IF($AH252="","",Settings!$C$8)</f>
        <v/>
      </c>
      <c r="T252" s="7">
        <f>IF($AH252="","",SUMIFS('Per Line'!$Z$2:$Z$1501,'Per Line'!$E$2:$E$1501,$B252,'Per Line'!$AT$2:$AT$1501,1))</f>
        <v/>
      </c>
      <c r="U252" s="7">
        <f>IF($AH252="","",T252*S252)</f>
        <v/>
      </c>
      <c r="V252">
        <f>IF($AH252="","",Settings!$C$7)</f>
        <v/>
      </c>
      <c r="W252" s="7">
        <f>IF($AH252="","",SUMIFS('Per Line'!$Z$2:$Z$1501,'Per Line'!$E$2:$E$1501,$B252,'Per Line'!$AS$2:$AS$1501,0,'Per Line'!$AT$2:$AT$1501,0))</f>
        <v/>
      </c>
      <c r="X252" s="7">
        <f>IF($AH252="","",W252*V252)</f>
        <v/>
      </c>
      <c r="Y252">
        <f>IF($AH252="","",Settings!$C$6)</f>
        <v/>
      </c>
      <c r="Z252" s="7">
        <f>IF($AH252="","",SUMIFS('Per Line'!$Z$2:$Z$1501,'Per Line'!$E$2:$E$1501,$B252,'Per Line'!$AS$2:$AS$1501,1,'Per Line'!$AT$2:$AT$1501,0))</f>
        <v/>
      </c>
      <c r="AA252" s="7">
        <f>IF($AH252="","",Z252*Y252)</f>
        <v/>
      </c>
      <c r="AB252" s="7">
        <f>IF($AH252="","",AA252+X252+U252)</f>
        <v/>
      </c>
      <c r="AC252" s="7">
        <f>IF($AH252="","",AD252-AB252)</f>
        <v/>
      </c>
      <c r="AD252" s="7">
        <f>IF($AH252="","",W252+Z252+T252)</f>
        <v/>
      </c>
      <c r="AE252" s="7">
        <f>IF($AH252="","",AD252-AB252-P252)</f>
        <v/>
      </c>
      <c r="AF252" s="15" t="n"/>
      <c r="AG252" s="7">
        <f>IF($AH252="","",AE252-N(AF252))</f>
        <v/>
      </c>
      <c r="AH252" s="16">
        <f>IF(ROWS($AH$2:$AH252)&lt;=MAX('Per Line'!$AR$2:$AR$1501),MATCH(ROWS($AH$2:$AH252),'Per Line'!$AR$2:$AR$1501,0),"")</f>
        <v/>
      </c>
      <c r="AI252">
        <f>IF($AH252="","",C252&amp;"|"&amp;COUNTIF($C$2:$C252,C252))</f>
        <v/>
      </c>
    </row>
    <row r="253">
      <c r="A253" s="15" t="n"/>
      <c r="B253">
        <f>IF($AH253="","",INDEX('Per Line'!$E$2:$E$1501,$AH253)&amp;"")</f>
        <v/>
      </c>
      <c r="C253">
        <f>IF($AH253="","",IF(INDEX('Per Line'!$AP$2:$AP$1501,$AH253)="NOT MATCH","NOT MATCH","FULL MATCH"))</f>
        <v/>
      </c>
      <c r="D253">
        <f>IF($AH253="","",INDEX('Per Line'!$A$2:$A$1501,$AH253)&amp;"")</f>
        <v/>
      </c>
      <c r="E253">
        <f>IF($AH253="","",INDEX('Per Line'!$B$2:$B$1501,$AH253))</f>
        <v/>
      </c>
      <c r="F253">
        <f>IF($AH253="","",INDEX('Per Line'!$C$2:$C$1501,$AH253)&amp;"")</f>
        <v/>
      </c>
      <c r="G253">
        <f>IF($AH253="","",INDEX('Per Line'!$D$2:$D$1501,$AH253)&amp;"")</f>
        <v/>
      </c>
      <c r="H253">
        <f>IF($AH253="","",INDEX('Per Line'!$F$2:$F$1501,$AH253)&amp;"")</f>
        <v/>
      </c>
      <c r="I253" s="14">
        <f>IF($AH253="","",INDEX('Per Line'!$G$2:$G$1501,$AH253))</f>
        <v/>
      </c>
      <c r="J253">
        <f>IF($AH253="","",INDEX('Per Line'!$H$2:$H$1501,$AH253)&amp;"")</f>
        <v/>
      </c>
      <c r="K253">
        <f>IF($AH253="","",INDEX('Per Line'!$J$2:$J$1501,$AH253)&amp;"")</f>
        <v/>
      </c>
      <c r="L253">
        <f>IF($AH253="","",INDEX('Per Line'!$K$2:$K$1501,$AH253)&amp;"")</f>
        <v/>
      </c>
      <c r="M253">
        <f>IF($AH253="","",INDEX('Per Line'!$L$2:$L$1501,$AH253)&amp;"")</f>
        <v/>
      </c>
      <c r="N253">
        <f>IF($AH253="","",INDEX('Per Line'!$M$2:$M$1501,$AH253)&amp;"")</f>
        <v/>
      </c>
      <c r="O253">
        <f>IF($AH253="","",INDEX('Per Line'!$P$2:$P$1501,$AH253))</f>
        <v/>
      </c>
      <c r="P253" s="7">
        <f>IF($AH253="","",O253*AD253/100)</f>
        <v/>
      </c>
      <c r="Q253">
        <f>IF($AH253="","",INDEX('Per Line'!$R$2:$R$1501,$AH253)&amp;"")</f>
        <v/>
      </c>
      <c r="R253">
        <f>IF($AH253="","",INDEX('Per Line'!$AB$2:$AB$1501,$AH253)&amp;"")</f>
        <v/>
      </c>
      <c r="S253">
        <f>IF($AH253="","",Settings!$C$8)</f>
        <v/>
      </c>
      <c r="T253" s="7">
        <f>IF($AH253="","",SUMIFS('Per Line'!$Z$2:$Z$1501,'Per Line'!$E$2:$E$1501,$B253,'Per Line'!$AT$2:$AT$1501,1))</f>
        <v/>
      </c>
      <c r="U253" s="7">
        <f>IF($AH253="","",T253*S253)</f>
        <v/>
      </c>
      <c r="V253">
        <f>IF($AH253="","",Settings!$C$7)</f>
        <v/>
      </c>
      <c r="W253" s="7">
        <f>IF($AH253="","",SUMIFS('Per Line'!$Z$2:$Z$1501,'Per Line'!$E$2:$E$1501,$B253,'Per Line'!$AS$2:$AS$1501,0,'Per Line'!$AT$2:$AT$1501,0))</f>
        <v/>
      </c>
      <c r="X253" s="7">
        <f>IF($AH253="","",W253*V253)</f>
        <v/>
      </c>
      <c r="Y253">
        <f>IF($AH253="","",Settings!$C$6)</f>
        <v/>
      </c>
      <c r="Z253" s="7">
        <f>IF($AH253="","",SUMIFS('Per Line'!$Z$2:$Z$1501,'Per Line'!$E$2:$E$1501,$B253,'Per Line'!$AS$2:$AS$1501,1,'Per Line'!$AT$2:$AT$1501,0))</f>
        <v/>
      </c>
      <c r="AA253" s="7">
        <f>IF($AH253="","",Z253*Y253)</f>
        <v/>
      </c>
      <c r="AB253" s="7">
        <f>IF($AH253="","",AA253+X253+U253)</f>
        <v/>
      </c>
      <c r="AC253" s="7">
        <f>IF($AH253="","",AD253-AB253)</f>
        <v/>
      </c>
      <c r="AD253" s="7">
        <f>IF($AH253="","",W253+Z253+T253)</f>
        <v/>
      </c>
      <c r="AE253" s="7">
        <f>IF($AH253="","",AD253-AB253-P253)</f>
        <v/>
      </c>
      <c r="AF253" s="15" t="n"/>
      <c r="AG253" s="7">
        <f>IF($AH253="","",AE253-N(AF253))</f>
        <v/>
      </c>
      <c r="AH253" s="16">
        <f>IF(ROWS($AH$2:$AH253)&lt;=MAX('Per Line'!$AR$2:$AR$1501),MATCH(ROWS($AH$2:$AH253),'Per Line'!$AR$2:$AR$1501,0),"")</f>
        <v/>
      </c>
      <c r="AI253">
        <f>IF($AH253="","",C253&amp;"|"&amp;COUNTIF($C$2:$C253,C253))</f>
        <v/>
      </c>
    </row>
    <row r="254">
      <c r="A254" s="15" t="n"/>
      <c r="B254">
        <f>IF($AH254="","",INDEX('Per Line'!$E$2:$E$1501,$AH254)&amp;"")</f>
        <v/>
      </c>
      <c r="C254">
        <f>IF($AH254="","",IF(INDEX('Per Line'!$AP$2:$AP$1501,$AH254)="NOT MATCH","NOT MATCH","FULL MATCH"))</f>
        <v/>
      </c>
      <c r="D254">
        <f>IF($AH254="","",INDEX('Per Line'!$A$2:$A$1501,$AH254)&amp;"")</f>
        <v/>
      </c>
      <c r="E254">
        <f>IF($AH254="","",INDEX('Per Line'!$B$2:$B$1501,$AH254))</f>
        <v/>
      </c>
      <c r="F254">
        <f>IF($AH254="","",INDEX('Per Line'!$C$2:$C$1501,$AH254)&amp;"")</f>
        <v/>
      </c>
      <c r="G254">
        <f>IF($AH254="","",INDEX('Per Line'!$D$2:$D$1501,$AH254)&amp;"")</f>
        <v/>
      </c>
      <c r="H254">
        <f>IF($AH254="","",INDEX('Per Line'!$F$2:$F$1501,$AH254)&amp;"")</f>
        <v/>
      </c>
      <c r="I254" s="14">
        <f>IF($AH254="","",INDEX('Per Line'!$G$2:$G$1501,$AH254))</f>
        <v/>
      </c>
      <c r="J254">
        <f>IF($AH254="","",INDEX('Per Line'!$H$2:$H$1501,$AH254)&amp;"")</f>
        <v/>
      </c>
      <c r="K254">
        <f>IF($AH254="","",INDEX('Per Line'!$J$2:$J$1501,$AH254)&amp;"")</f>
        <v/>
      </c>
      <c r="L254">
        <f>IF($AH254="","",INDEX('Per Line'!$K$2:$K$1501,$AH254)&amp;"")</f>
        <v/>
      </c>
      <c r="M254">
        <f>IF($AH254="","",INDEX('Per Line'!$L$2:$L$1501,$AH254)&amp;"")</f>
        <v/>
      </c>
      <c r="N254">
        <f>IF($AH254="","",INDEX('Per Line'!$M$2:$M$1501,$AH254)&amp;"")</f>
        <v/>
      </c>
      <c r="O254">
        <f>IF($AH254="","",INDEX('Per Line'!$P$2:$P$1501,$AH254))</f>
        <v/>
      </c>
      <c r="P254" s="7">
        <f>IF($AH254="","",O254*AD254/100)</f>
        <v/>
      </c>
      <c r="Q254">
        <f>IF($AH254="","",INDEX('Per Line'!$R$2:$R$1501,$AH254)&amp;"")</f>
        <v/>
      </c>
      <c r="R254">
        <f>IF($AH254="","",INDEX('Per Line'!$AB$2:$AB$1501,$AH254)&amp;"")</f>
        <v/>
      </c>
      <c r="S254">
        <f>IF($AH254="","",Settings!$C$8)</f>
        <v/>
      </c>
      <c r="T254" s="7">
        <f>IF($AH254="","",SUMIFS('Per Line'!$Z$2:$Z$1501,'Per Line'!$E$2:$E$1501,$B254,'Per Line'!$AT$2:$AT$1501,1))</f>
        <v/>
      </c>
      <c r="U254" s="7">
        <f>IF($AH254="","",T254*S254)</f>
        <v/>
      </c>
      <c r="V254">
        <f>IF($AH254="","",Settings!$C$7)</f>
        <v/>
      </c>
      <c r="W254" s="7">
        <f>IF($AH254="","",SUMIFS('Per Line'!$Z$2:$Z$1501,'Per Line'!$E$2:$E$1501,$B254,'Per Line'!$AS$2:$AS$1501,0,'Per Line'!$AT$2:$AT$1501,0))</f>
        <v/>
      </c>
      <c r="X254" s="7">
        <f>IF($AH254="","",W254*V254)</f>
        <v/>
      </c>
      <c r="Y254">
        <f>IF($AH254="","",Settings!$C$6)</f>
        <v/>
      </c>
      <c r="Z254" s="7">
        <f>IF($AH254="","",SUMIFS('Per Line'!$Z$2:$Z$1501,'Per Line'!$E$2:$E$1501,$B254,'Per Line'!$AS$2:$AS$1501,1,'Per Line'!$AT$2:$AT$1501,0))</f>
        <v/>
      </c>
      <c r="AA254" s="7">
        <f>IF($AH254="","",Z254*Y254)</f>
        <v/>
      </c>
      <c r="AB254" s="7">
        <f>IF($AH254="","",AA254+X254+U254)</f>
        <v/>
      </c>
      <c r="AC254" s="7">
        <f>IF($AH254="","",AD254-AB254)</f>
        <v/>
      </c>
      <c r="AD254" s="7">
        <f>IF($AH254="","",W254+Z254+T254)</f>
        <v/>
      </c>
      <c r="AE254" s="7">
        <f>IF($AH254="","",AD254-AB254-P254)</f>
        <v/>
      </c>
      <c r="AF254" s="15" t="n"/>
      <c r="AG254" s="7">
        <f>IF($AH254="","",AE254-N(AF254))</f>
        <v/>
      </c>
      <c r="AH254" s="16">
        <f>IF(ROWS($AH$2:$AH254)&lt;=MAX('Per Line'!$AR$2:$AR$1501),MATCH(ROWS($AH$2:$AH254),'Per Line'!$AR$2:$AR$1501,0),"")</f>
        <v/>
      </c>
      <c r="AI254">
        <f>IF($AH254="","",C254&amp;"|"&amp;COUNTIF($C$2:$C254,C254))</f>
        <v/>
      </c>
    </row>
    <row r="255">
      <c r="A255" s="15" t="n"/>
      <c r="B255">
        <f>IF($AH255="","",INDEX('Per Line'!$E$2:$E$1501,$AH255)&amp;"")</f>
        <v/>
      </c>
      <c r="C255">
        <f>IF($AH255="","",IF(INDEX('Per Line'!$AP$2:$AP$1501,$AH255)="NOT MATCH","NOT MATCH","FULL MATCH"))</f>
        <v/>
      </c>
      <c r="D255">
        <f>IF($AH255="","",INDEX('Per Line'!$A$2:$A$1501,$AH255)&amp;"")</f>
        <v/>
      </c>
      <c r="E255">
        <f>IF($AH255="","",INDEX('Per Line'!$B$2:$B$1501,$AH255))</f>
        <v/>
      </c>
      <c r="F255">
        <f>IF($AH255="","",INDEX('Per Line'!$C$2:$C$1501,$AH255)&amp;"")</f>
        <v/>
      </c>
      <c r="G255">
        <f>IF($AH255="","",INDEX('Per Line'!$D$2:$D$1501,$AH255)&amp;"")</f>
        <v/>
      </c>
      <c r="H255">
        <f>IF($AH255="","",INDEX('Per Line'!$F$2:$F$1501,$AH255)&amp;"")</f>
        <v/>
      </c>
      <c r="I255" s="14">
        <f>IF($AH255="","",INDEX('Per Line'!$G$2:$G$1501,$AH255))</f>
        <v/>
      </c>
      <c r="J255">
        <f>IF($AH255="","",INDEX('Per Line'!$H$2:$H$1501,$AH255)&amp;"")</f>
        <v/>
      </c>
      <c r="K255">
        <f>IF($AH255="","",INDEX('Per Line'!$J$2:$J$1501,$AH255)&amp;"")</f>
        <v/>
      </c>
      <c r="L255">
        <f>IF($AH255="","",INDEX('Per Line'!$K$2:$K$1501,$AH255)&amp;"")</f>
        <v/>
      </c>
      <c r="M255">
        <f>IF($AH255="","",INDEX('Per Line'!$L$2:$L$1501,$AH255)&amp;"")</f>
        <v/>
      </c>
      <c r="N255">
        <f>IF($AH255="","",INDEX('Per Line'!$M$2:$M$1501,$AH255)&amp;"")</f>
        <v/>
      </c>
      <c r="O255">
        <f>IF($AH255="","",INDEX('Per Line'!$P$2:$P$1501,$AH255))</f>
        <v/>
      </c>
      <c r="P255" s="7">
        <f>IF($AH255="","",O255*AD255/100)</f>
        <v/>
      </c>
      <c r="Q255">
        <f>IF($AH255="","",INDEX('Per Line'!$R$2:$R$1501,$AH255)&amp;"")</f>
        <v/>
      </c>
      <c r="R255">
        <f>IF($AH255="","",INDEX('Per Line'!$AB$2:$AB$1501,$AH255)&amp;"")</f>
        <v/>
      </c>
      <c r="S255">
        <f>IF($AH255="","",Settings!$C$8)</f>
        <v/>
      </c>
      <c r="T255" s="7">
        <f>IF($AH255="","",SUMIFS('Per Line'!$Z$2:$Z$1501,'Per Line'!$E$2:$E$1501,$B255,'Per Line'!$AT$2:$AT$1501,1))</f>
        <v/>
      </c>
      <c r="U255" s="7">
        <f>IF($AH255="","",T255*S255)</f>
        <v/>
      </c>
      <c r="V255">
        <f>IF($AH255="","",Settings!$C$7)</f>
        <v/>
      </c>
      <c r="W255" s="7">
        <f>IF($AH255="","",SUMIFS('Per Line'!$Z$2:$Z$1501,'Per Line'!$E$2:$E$1501,$B255,'Per Line'!$AS$2:$AS$1501,0,'Per Line'!$AT$2:$AT$1501,0))</f>
        <v/>
      </c>
      <c r="X255" s="7">
        <f>IF($AH255="","",W255*V255)</f>
        <v/>
      </c>
      <c r="Y255">
        <f>IF($AH255="","",Settings!$C$6)</f>
        <v/>
      </c>
      <c r="Z255" s="7">
        <f>IF($AH255="","",SUMIFS('Per Line'!$Z$2:$Z$1501,'Per Line'!$E$2:$E$1501,$B255,'Per Line'!$AS$2:$AS$1501,1,'Per Line'!$AT$2:$AT$1501,0))</f>
        <v/>
      </c>
      <c r="AA255" s="7">
        <f>IF($AH255="","",Z255*Y255)</f>
        <v/>
      </c>
      <c r="AB255" s="7">
        <f>IF($AH255="","",AA255+X255+U255)</f>
        <v/>
      </c>
      <c r="AC255" s="7">
        <f>IF($AH255="","",AD255-AB255)</f>
        <v/>
      </c>
      <c r="AD255" s="7">
        <f>IF($AH255="","",W255+Z255+T255)</f>
        <v/>
      </c>
      <c r="AE255" s="7">
        <f>IF($AH255="","",AD255-AB255-P255)</f>
        <v/>
      </c>
      <c r="AF255" s="15" t="n"/>
      <c r="AG255" s="7">
        <f>IF($AH255="","",AE255-N(AF255))</f>
        <v/>
      </c>
      <c r="AH255" s="16">
        <f>IF(ROWS($AH$2:$AH255)&lt;=MAX('Per Line'!$AR$2:$AR$1501),MATCH(ROWS($AH$2:$AH255),'Per Line'!$AR$2:$AR$1501,0),"")</f>
        <v/>
      </c>
      <c r="AI255">
        <f>IF($AH255="","",C255&amp;"|"&amp;COUNTIF($C$2:$C255,C255))</f>
        <v/>
      </c>
    </row>
    <row r="256">
      <c r="A256" s="15" t="n"/>
      <c r="B256">
        <f>IF($AH256="","",INDEX('Per Line'!$E$2:$E$1501,$AH256)&amp;"")</f>
        <v/>
      </c>
      <c r="C256">
        <f>IF($AH256="","",IF(INDEX('Per Line'!$AP$2:$AP$1501,$AH256)="NOT MATCH","NOT MATCH","FULL MATCH"))</f>
        <v/>
      </c>
      <c r="D256">
        <f>IF($AH256="","",INDEX('Per Line'!$A$2:$A$1501,$AH256)&amp;"")</f>
        <v/>
      </c>
      <c r="E256">
        <f>IF($AH256="","",INDEX('Per Line'!$B$2:$B$1501,$AH256))</f>
        <v/>
      </c>
      <c r="F256">
        <f>IF($AH256="","",INDEX('Per Line'!$C$2:$C$1501,$AH256)&amp;"")</f>
        <v/>
      </c>
      <c r="G256">
        <f>IF($AH256="","",INDEX('Per Line'!$D$2:$D$1501,$AH256)&amp;"")</f>
        <v/>
      </c>
      <c r="H256">
        <f>IF($AH256="","",INDEX('Per Line'!$F$2:$F$1501,$AH256)&amp;"")</f>
        <v/>
      </c>
      <c r="I256" s="14">
        <f>IF($AH256="","",INDEX('Per Line'!$G$2:$G$1501,$AH256))</f>
        <v/>
      </c>
      <c r="J256">
        <f>IF($AH256="","",INDEX('Per Line'!$H$2:$H$1501,$AH256)&amp;"")</f>
        <v/>
      </c>
      <c r="K256">
        <f>IF($AH256="","",INDEX('Per Line'!$J$2:$J$1501,$AH256)&amp;"")</f>
        <v/>
      </c>
      <c r="L256">
        <f>IF($AH256="","",INDEX('Per Line'!$K$2:$K$1501,$AH256)&amp;"")</f>
        <v/>
      </c>
      <c r="M256">
        <f>IF($AH256="","",INDEX('Per Line'!$L$2:$L$1501,$AH256)&amp;"")</f>
        <v/>
      </c>
      <c r="N256">
        <f>IF($AH256="","",INDEX('Per Line'!$M$2:$M$1501,$AH256)&amp;"")</f>
        <v/>
      </c>
      <c r="O256">
        <f>IF($AH256="","",INDEX('Per Line'!$P$2:$P$1501,$AH256))</f>
        <v/>
      </c>
      <c r="P256" s="7">
        <f>IF($AH256="","",O256*AD256/100)</f>
        <v/>
      </c>
      <c r="Q256">
        <f>IF($AH256="","",INDEX('Per Line'!$R$2:$R$1501,$AH256)&amp;"")</f>
        <v/>
      </c>
      <c r="R256">
        <f>IF($AH256="","",INDEX('Per Line'!$AB$2:$AB$1501,$AH256)&amp;"")</f>
        <v/>
      </c>
      <c r="S256">
        <f>IF($AH256="","",Settings!$C$8)</f>
        <v/>
      </c>
      <c r="T256" s="7">
        <f>IF($AH256="","",SUMIFS('Per Line'!$Z$2:$Z$1501,'Per Line'!$E$2:$E$1501,$B256,'Per Line'!$AT$2:$AT$1501,1))</f>
        <v/>
      </c>
      <c r="U256" s="7">
        <f>IF($AH256="","",T256*S256)</f>
        <v/>
      </c>
      <c r="V256">
        <f>IF($AH256="","",Settings!$C$7)</f>
        <v/>
      </c>
      <c r="W256" s="7">
        <f>IF($AH256="","",SUMIFS('Per Line'!$Z$2:$Z$1501,'Per Line'!$E$2:$E$1501,$B256,'Per Line'!$AS$2:$AS$1501,0,'Per Line'!$AT$2:$AT$1501,0))</f>
        <v/>
      </c>
      <c r="X256" s="7">
        <f>IF($AH256="","",W256*V256)</f>
        <v/>
      </c>
      <c r="Y256">
        <f>IF($AH256="","",Settings!$C$6)</f>
        <v/>
      </c>
      <c r="Z256" s="7">
        <f>IF($AH256="","",SUMIFS('Per Line'!$Z$2:$Z$1501,'Per Line'!$E$2:$E$1501,$B256,'Per Line'!$AS$2:$AS$1501,1,'Per Line'!$AT$2:$AT$1501,0))</f>
        <v/>
      </c>
      <c r="AA256" s="7">
        <f>IF($AH256="","",Z256*Y256)</f>
        <v/>
      </c>
      <c r="AB256" s="7">
        <f>IF($AH256="","",AA256+X256+U256)</f>
        <v/>
      </c>
      <c r="AC256" s="7">
        <f>IF($AH256="","",AD256-AB256)</f>
        <v/>
      </c>
      <c r="AD256" s="7">
        <f>IF($AH256="","",W256+Z256+T256)</f>
        <v/>
      </c>
      <c r="AE256" s="7">
        <f>IF($AH256="","",AD256-AB256-P256)</f>
        <v/>
      </c>
      <c r="AF256" s="15" t="n"/>
      <c r="AG256" s="7">
        <f>IF($AH256="","",AE256-N(AF256))</f>
        <v/>
      </c>
      <c r="AH256" s="16">
        <f>IF(ROWS($AH$2:$AH256)&lt;=MAX('Per Line'!$AR$2:$AR$1501),MATCH(ROWS($AH$2:$AH256),'Per Line'!$AR$2:$AR$1501,0),"")</f>
        <v/>
      </c>
      <c r="AI256">
        <f>IF($AH256="","",C256&amp;"|"&amp;COUNTIF($C$2:$C256,C256))</f>
        <v/>
      </c>
    </row>
    <row r="257">
      <c r="A257" s="15" t="n"/>
      <c r="B257">
        <f>IF($AH257="","",INDEX('Per Line'!$E$2:$E$1501,$AH257)&amp;"")</f>
        <v/>
      </c>
      <c r="C257">
        <f>IF($AH257="","",IF(INDEX('Per Line'!$AP$2:$AP$1501,$AH257)="NOT MATCH","NOT MATCH","FULL MATCH"))</f>
        <v/>
      </c>
      <c r="D257">
        <f>IF($AH257="","",INDEX('Per Line'!$A$2:$A$1501,$AH257)&amp;"")</f>
        <v/>
      </c>
      <c r="E257">
        <f>IF($AH257="","",INDEX('Per Line'!$B$2:$B$1501,$AH257))</f>
        <v/>
      </c>
      <c r="F257">
        <f>IF($AH257="","",INDEX('Per Line'!$C$2:$C$1501,$AH257)&amp;"")</f>
        <v/>
      </c>
      <c r="G257">
        <f>IF($AH257="","",INDEX('Per Line'!$D$2:$D$1501,$AH257)&amp;"")</f>
        <v/>
      </c>
      <c r="H257">
        <f>IF($AH257="","",INDEX('Per Line'!$F$2:$F$1501,$AH257)&amp;"")</f>
        <v/>
      </c>
      <c r="I257" s="14">
        <f>IF($AH257="","",INDEX('Per Line'!$G$2:$G$1501,$AH257))</f>
        <v/>
      </c>
      <c r="J257">
        <f>IF($AH257="","",INDEX('Per Line'!$H$2:$H$1501,$AH257)&amp;"")</f>
        <v/>
      </c>
      <c r="K257">
        <f>IF($AH257="","",INDEX('Per Line'!$J$2:$J$1501,$AH257)&amp;"")</f>
        <v/>
      </c>
      <c r="L257">
        <f>IF($AH257="","",INDEX('Per Line'!$K$2:$K$1501,$AH257)&amp;"")</f>
        <v/>
      </c>
      <c r="M257">
        <f>IF($AH257="","",INDEX('Per Line'!$L$2:$L$1501,$AH257)&amp;"")</f>
        <v/>
      </c>
      <c r="N257">
        <f>IF($AH257="","",INDEX('Per Line'!$M$2:$M$1501,$AH257)&amp;"")</f>
        <v/>
      </c>
      <c r="O257">
        <f>IF($AH257="","",INDEX('Per Line'!$P$2:$P$1501,$AH257))</f>
        <v/>
      </c>
      <c r="P257" s="7">
        <f>IF($AH257="","",O257*AD257/100)</f>
        <v/>
      </c>
      <c r="Q257">
        <f>IF($AH257="","",INDEX('Per Line'!$R$2:$R$1501,$AH257)&amp;"")</f>
        <v/>
      </c>
      <c r="R257">
        <f>IF($AH257="","",INDEX('Per Line'!$AB$2:$AB$1501,$AH257)&amp;"")</f>
        <v/>
      </c>
      <c r="S257">
        <f>IF($AH257="","",Settings!$C$8)</f>
        <v/>
      </c>
      <c r="T257" s="7">
        <f>IF($AH257="","",SUMIFS('Per Line'!$Z$2:$Z$1501,'Per Line'!$E$2:$E$1501,$B257,'Per Line'!$AT$2:$AT$1501,1))</f>
        <v/>
      </c>
      <c r="U257" s="7">
        <f>IF($AH257="","",T257*S257)</f>
        <v/>
      </c>
      <c r="V257">
        <f>IF($AH257="","",Settings!$C$7)</f>
        <v/>
      </c>
      <c r="W257" s="7">
        <f>IF($AH257="","",SUMIFS('Per Line'!$Z$2:$Z$1501,'Per Line'!$E$2:$E$1501,$B257,'Per Line'!$AS$2:$AS$1501,0,'Per Line'!$AT$2:$AT$1501,0))</f>
        <v/>
      </c>
      <c r="X257" s="7">
        <f>IF($AH257="","",W257*V257)</f>
        <v/>
      </c>
      <c r="Y257">
        <f>IF($AH257="","",Settings!$C$6)</f>
        <v/>
      </c>
      <c r="Z257" s="7">
        <f>IF($AH257="","",SUMIFS('Per Line'!$Z$2:$Z$1501,'Per Line'!$E$2:$E$1501,$B257,'Per Line'!$AS$2:$AS$1501,1,'Per Line'!$AT$2:$AT$1501,0))</f>
        <v/>
      </c>
      <c r="AA257" s="7">
        <f>IF($AH257="","",Z257*Y257)</f>
        <v/>
      </c>
      <c r="AB257" s="7">
        <f>IF($AH257="","",AA257+X257+U257)</f>
        <v/>
      </c>
      <c r="AC257" s="7">
        <f>IF($AH257="","",AD257-AB257)</f>
        <v/>
      </c>
      <c r="AD257" s="7">
        <f>IF($AH257="","",W257+Z257+T257)</f>
        <v/>
      </c>
      <c r="AE257" s="7">
        <f>IF($AH257="","",AD257-AB257-P257)</f>
        <v/>
      </c>
      <c r="AF257" s="15" t="n"/>
      <c r="AG257" s="7">
        <f>IF($AH257="","",AE257-N(AF257))</f>
        <v/>
      </c>
      <c r="AH257" s="16">
        <f>IF(ROWS($AH$2:$AH257)&lt;=MAX('Per Line'!$AR$2:$AR$1501),MATCH(ROWS($AH$2:$AH257),'Per Line'!$AR$2:$AR$1501,0),"")</f>
        <v/>
      </c>
      <c r="AI257">
        <f>IF($AH257="","",C257&amp;"|"&amp;COUNTIF($C$2:$C257,C257))</f>
        <v/>
      </c>
    </row>
    <row r="258">
      <c r="A258" s="15" t="n"/>
      <c r="B258">
        <f>IF($AH258="","",INDEX('Per Line'!$E$2:$E$1501,$AH258)&amp;"")</f>
        <v/>
      </c>
      <c r="C258">
        <f>IF($AH258="","",IF(INDEX('Per Line'!$AP$2:$AP$1501,$AH258)="NOT MATCH","NOT MATCH","FULL MATCH"))</f>
        <v/>
      </c>
      <c r="D258">
        <f>IF($AH258="","",INDEX('Per Line'!$A$2:$A$1501,$AH258)&amp;"")</f>
        <v/>
      </c>
      <c r="E258">
        <f>IF($AH258="","",INDEX('Per Line'!$B$2:$B$1501,$AH258))</f>
        <v/>
      </c>
      <c r="F258">
        <f>IF($AH258="","",INDEX('Per Line'!$C$2:$C$1501,$AH258)&amp;"")</f>
        <v/>
      </c>
      <c r="G258">
        <f>IF($AH258="","",INDEX('Per Line'!$D$2:$D$1501,$AH258)&amp;"")</f>
        <v/>
      </c>
      <c r="H258">
        <f>IF($AH258="","",INDEX('Per Line'!$F$2:$F$1501,$AH258)&amp;"")</f>
        <v/>
      </c>
      <c r="I258" s="14">
        <f>IF($AH258="","",INDEX('Per Line'!$G$2:$G$1501,$AH258))</f>
        <v/>
      </c>
      <c r="J258">
        <f>IF($AH258="","",INDEX('Per Line'!$H$2:$H$1501,$AH258)&amp;"")</f>
        <v/>
      </c>
      <c r="K258">
        <f>IF($AH258="","",INDEX('Per Line'!$J$2:$J$1501,$AH258)&amp;"")</f>
        <v/>
      </c>
      <c r="L258">
        <f>IF($AH258="","",INDEX('Per Line'!$K$2:$K$1501,$AH258)&amp;"")</f>
        <v/>
      </c>
      <c r="M258">
        <f>IF($AH258="","",INDEX('Per Line'!$L$2:$L$1501,$AH258)&amp;"")</f>
        <v/>
      </c>
      <c r="N258">
        <f>IF($AH258="","",INDEX('Per Line'!$M$2:$M$1501,$AH258)&amp;"")</f>
        <v/>
      </c>
      <c r="O258">
        <f>IF($AH258="","",INDEX('Per Line'!$P$2:$P$1501,$AH258))</f>
        <v/>
      </c>
      <c r="P258" s="7">
        <f>IF($AH258="","",O258*AD258/100)</f>
        <v/>
      </c>
      <c r="Q258">
        <f>IF($AH258="","",INDEX('Per Line'!$R$2:$R$1501,$AH258)&amp;"")</f>
        <v/>
      </c>
      <c r="R258">
        <f>IF($AH258="","",INDEX('Per Line'!$AB$2:$AB$1501,$AH258)&amp;"")</f>
        <v/>
      </c>
      <c r="S258">
        <f>IF($AH258="","",Settings!$C$8)</f>
        <v/>
      </c>
      <c r="T258" s="7">
        <f>IF($AH258="","",SUMIFS('Per Line'!$Z$2:$Z$1501,'Per Line'!$E$2:$E$1501,$B258,'Per Line'!$AT$2:$AT$1501,1))</f>
        <v/>
      </c>
      <c r="U258" s="7">
        <f>IF($AH258="","",T258*S258)</f>
        <v/>
      </c>
      <c r="V258">
        <f>IF($AH258="","",Settings!$C$7)</f>
        <v/>
      </c>
      <c r="W258" s="7">
        <f>IF($AH258="","",SUMIFS('Per Line'!$Z$2:$Z$1501,'Per Line'!$E$2:$E$1501,$B258,'Per Line'!$AS$2:$AS$1501,0,'Per Line'!$AT$2:$AT$1501,0))</f>
        <v/>
      </c>
      <c r="X258" s="7">
        <f>IF($AH258="","",W258*V258)</f>
        <v/>
      </c>
      <c r="Y258">
        <f>IF($AH258="","",Settings!$C$6)</f>
        <v/>
      </c>
      <c r="Z258" s="7">
        <f>IF($AH258="","",SUMIFS('Per Line'!$Z$2:$Z$1501,'Per Line'!$E$2:$E$1501,$B258,'Per Line'!$AS$2:$AS$1501,1,'Per Line'!$AT$2:$AT$1501,0))</f>
        <v/>
      </c>
      <c r="AA258" s="7">
        <f>IF($AH258="","",Z258*Y258)</f>
        <v/>
      </c>
      <c r="AB258" s="7">
        <f>IF($AH258="","",AA258+X258+U258)</f>
        <v/>
      </c>
      <c r="AC258" s="7">
        <f>IF($AH258="","",AD258-AB258)</f>
        <v/>
      </c>
      <c r="AD258" s="7">
        <f>IF($AH258="","",W258+Z258+T258)</f>
        <v/>
      </c>
      <c r="AE258" s="7">
        <f>IF($AH258="","",AD258-AB258-P258)</f>
        <v/>
      </c>
      <c r="AF258" s="15" t="n"/>
      <c r="AG258" s="7">
        <f>IF($AH258="","",AE258-N(AF258))</f>
        <v/>
      </c>
      <c r="AH258" s="16">
        <f>IF(ROWS($AH$2:$AH258)&lt;=MAX('Per Line'!$AR$2:$AR$1501),MATCH(ROWS($AH$2:$AH258),'Per Line'!$AR$2:$AR$1501,0),"")</f>
        <v/>
      </c>
      <c r="AI258">
        <f>IF($AH258="","",C258&amp;"|"&amp;COUNTIF($C$2:$C258,C258))</f>
        <v/>
      </c>
    </row>
    <row r="259">
      <c r="A259" s="15" t="n"/>
      <c r="B259">
        <f>IF($AH259="","",INDEX('Per Line'!$E$2:$E$1501,$AH259)&amp;"")</f>
        <v/>
      </c>
      <c r="C259">
        <f>IF($AH259="","",IF(INDEX('Per Line'!$AP$2:$AP$1501,$AH259)="NOT MATCH","NOT MATCH","FULL MATCH"))</f>
        <v/>
      </c>
      <c r="D259">
        <f>IF($AH259="","",INDEX('Per Line'!$A$2:$A$1501,$AH259)&amp;"")</f>
        <v/>
      </c>
      <c r="E259">
        <f>IF($AH259="","",INDEX('Per Line'!$B$2:$B$1501,$AH259))</f>
        <v/>
      </c>
      <c r="F259">
        <f>IF($AH259="","",INDEX('Per Line'!$C$2:$C$1501,$AH259)&amp;"")</f>
        <v/>
      </c>
      <c r="G259">
        <f>IF($AH259="","",INDEX('Per Line'!$D$2:$D$1501,$AH259)&amp;"")</f>
        <v/>
      </c>
      <c r="H259">
        <f>IF($AH259="","",INDEX('Per Line'!$F$2:$F$1501,$AH259)&amp;"")</f>
        <v/>
      </c>
      <c r="I259" s="14">
        <f>IF($AH259="","",INDEX('Per Line'!$G$2:$G$1501,$AH259))</f>
        <v/>
      </c>
      <c r="J259">
        <f>IF($AH259="","",INDEX('Per Line'!$H$2:$H$1501,$AH259)&amp;"")</f>
        <v/>
      </c>
      <c r="K259">
        <f>IF($AH259="","",INDEX('Per Line'!$J$2:$J$1501,$AH259)&amp;"")</f>
        <v/>
      </c>
      <c r="L259">
        <f>IF($AH259="","",INDEX('Per Line'!$K$2:$K$1501,$AH259)&amp;"")</f>
        <v/>
      </c>
      <c r="M259">
        <f>IF($AH259="","",INDEX('Per Line'!$L$2:$L$1501,$AH259)&amp;"")</f>
        <v/>
      </c>
      <c r="N259">
        <f>IF($AH259="","",INDEX('Per Line'!$M$2:$M$1501,$AH259)&amp;"")</f>
        <v/>
      </c>
      <c r="O259">
        <f>IF($AH259="","",INDEX('Per Line'!$P$2:$P$1501,$AH259))</f>
        <v/>
      </c>
      <c r="P259" s="7">
        <f>IF($AH259="","",O259*AD259/100)</f>
        <v/>
      </c>
      <c r="Q259">
        <f>IF($AH259="","",INDEX('Per Line'!$R$2:$R$1501,$AH259)&amp;"")</f>
        <v/>
      </c>
      <c r="R259">
        <f>IF($AH259="","",INDEX('Per Line'!$AB$2:$AB$1501,$AH259)&amp;"")</f>
        <v/>
      </c>
      <c r="S259">
        <f>IF($AH259="","",Settings!$C$8)</f>
        <v/>
      </c>
      <c r="T259" s="7">
        <f>IF($AH259="","",SUMIFS('Per Line'!$Z$2:$Z$1501,'Per Line'!$E$2:$E$1501,$B259,'Per Line'!$AT$2:$AT$1501,1))</f>
        <v/>
      </c>
      <c r="U259" s="7">
        <f>IF($AH259="","",T259*S259)</f>
        <v/>
      </c>
      <c r="V259">
        <f>IF($AH259="","",Settings!$C$7)</f>
        <v/>
      </c>
      <c r="W259" s="7">
        <f>IF($AH259="","",SUMIFS('Per Line'!$Z$2:$Z$1501,'Per Line'!$E$2:$E$1501,$B259,'Per Line'!$AS$2:$AS$1501,0,'Per Line'!$AT$2:$AT$1501,0))</f>
        <v/>
      </c>
      <c r="X259" s="7">
        <f>IF($AH259="","",W259*V259)</f>
        <v/>
      </c>
      <c r="Y259">
        <f>IF($AH259="","",Settings!$C$6)</f>
        <v/>
      </c>
      <c r="Z259" s="7">
        <f>IF($AH259="","",SUMIFS('Per Line'!$Z$2:$Z$1501,'Per Line'!$E$2:$E$1501,$B259,'Per Line'!$AS$2:$AS$1501,1,'Per Line'!$AT$2:$AT$1501,0))</f>
        <v/>
      </c>
      <c r="AA259" s="7">
        <f>IF($AH259="","",Z259*Y259)</f>
        <v/>
      </c>
      <c r="AB259" s="7">
        <f>IF($AH259="","",AA259+X259+U259)</f>
        <v/>
      </c>
      <c r="AC259" s="7">
        <f>IF($AH259="","",AD259-AB259)</f>
        <v/>
      </c>
      <c r="AD259" s="7">
        <f>IF($AH259="","",W259+Z259+T259)</f>
        <v/>
      </c>
      <c r="AE259" s="7">
        <f>IF($AH259="","",AD259-AB259-P259)</f>
        <v/>
      </c>
      <c r="AF259" s="15" t="n"/>
      <c r="AG259" s="7">
        <f>IF($AH259="","",AE259-N(AF259))</f>
        <v/>
      </c>
      <c r="AH259" s="16">
        <f>IF(ROWS($AH$2:$AH259)&lt;=MAX('Per Line'!$AR$2:$AR$1501),MATCH(ROWS($AH$2:$AH259),'Per Line'!$AR$2:$AR$1501,0),"")</f>
        <v/>
      </c>
      <c r="AI259">
        <f>IF($AH259="","",C259&amp;"|"&amp;COUNTIF($C$2:$C259,C259))</f>
        <v/>
      </c>
    </row>
    <row r="260">
      <c r="A260" s="15" t="n"/>
      <c r="B260">
        <f>IF($AH260="","",INDEX('Per Line'!$E$2:$E$1501,$AH260)&amp;"")</f>
        <v/>
      </c>
      <c r="C260">
        <f>IF($AH260="","",IF(INDEX('Per Line'!$AP$2:$AP$1501,$AH260)="NOT MATCH","NOT MATCH","FULL MATCH"))</f>
        <v/>
      </c>
      <c r="D260">
        <f>IF($AH260="","",INDEX('Per Line'!$A$2:$A$1501,$AH260)&amp;"")</f>
        <v/>
      </c>
      <c r="E260">
        <f>IF($AH260="","",INDEX('Per Line'!$B$2:$B$1501,$AH260))</f>
        <v/>
      </c>
      <c r="F260">
        <f>IF($AH260="","",INDEX('Per Line'!$C$2:$C$1501,$AH260)&amp;"")</f>
        <v/>
      </c>
      <c r="G260">
        <f>IF($AH260="","",INDEX('Per Line'!$D$2:$D$1501,$AH260)&amp;"")</f>
        <v/>
      </c>
      <c r="H260">
        <f>IF($AH260="","",INDEX('Per Line'!$F$2:$F$1501,$AH260)&amp;"")</f>
        <v/>
      </c>
      <c r="I260" s="14">
        <f>IF($AH260="","",INDEX('Per Line'!$G$2:$G$1501,$AH260))</f>
        <v/>
      </c>
      <c r="J260">
        <f>IF($AH260="","",INDEX('Per Line'!$H$2:$H$1501,$AH260)&amp;"")</f>
        <v/>
      </c>
      <c r="K260">
        <f>IF($AH260="","",INDEX('Per Line'!$J$2:$J$1501,$AH260)&amp;"")</f>
        <v/>
      </c>
      <c r="L260">
        <f>IF($AH260="","",INDEX('Per Line'!$K$2:$K$1501,$AH260)&amp;"")</f>
        <v/>
      </c>
      <c r="M260">
        <f>IF($AH260="","",INDEX('Per Line'!$L$2:$L$1501,$AH260)&amp;"")</f>
        <v/>
      </c>
      <c r="N260">
        <f>IF($AH260="","",INDEX('Per Line'!$M$2:$M$1501,$AH260)&amp;"")</f>
        <v/>
      </c>
      <c r="O260">
        <f>IF($AH260="","",INDEX('Per Line'!$P$2:$P$1501,$AH260))</f>
        <v/>
      </c>
      <c r="P260" s="7">
        <f>IF($AH260="","",O260*AD260/100)</f>
        <v/>
      </c>
      <c r="Q260">
        <f>IF($AH260="","",INDEX('Per Line'!$R$2:$R$1501,$AH260)&amp;"")</f>
        <v/>
      </c>
      <c r="R260">
        <f>IF($AH260="","",INDEX('Per Line'!$AB$2:$AB$1501,$AH260)&amp;"")</f>
        <v/>
      </c>
      <c r="S260">
        <f>IF($AH260="","",Settings!$C$8)</f>
        <v/>
      </c>
      <c r="T260" s="7">
        <f>IF($AH260="","",SUMIFS('Per Line'!$Z$2:$Z$1501,'Per Line'!$E$2:$E$1501,$B260,'Per Line'!$AT$2:$AT$1501,1))</f>
        <v/>
      </c>
      <c r="U260" s="7">
        <f>IF($AH260="","",T260*S260)</f>
        <v/>
      </c>
      <c r="V260">
        <f>IF($AH260="","",Settings!$C$7)</f>
        <v/>
      </c>
      <c r="W260" s="7">
        <f>IF($AH260="","",SUMIFS('Per Line'!$Z$2:$Z$1501,'Per Line'!$E$2:$E$1501,$B260,'Per Line'!$AS$2:$AS$1501,0,'Per Line'!$AT$2:$AT$1501,0))</f>
        <v/>
      </c>
      <c r="X260" s="7">
        <f>IF($AH260="","",W260*V260)</f>
        <v/>
      </c>
      <c r="Y260">
        <f>IF($AH260="","",Settings!$C$6)</f>
        <v/>
      </c>
      <c r="Z260" s="7">
        <f>IF($AH260="","",SUMIFS('Per Line'!$Z$2:$Z$1501,'Per Line'!$E$2:$E$1501,$B260,'Per Line'!$AS$2:$AS$1501,1,'Per Line'!$AT$2:$AT$1501,0))</f>
        <v/>
      </c>
      <c r="AA260" s="7">
        <f>IF($AH260="","",Z260*Y260)</f>
        <v/>
      </c>
      <c r="AB260" s="7">
        <f>IF($AH260="","",AA260+X260+U260)</f>
        <v/>
      </c>
      <c r="AC260" s="7">
        <f>IF($AH260="","",AD260-AB260)</f>
        <v/>
      </c>
      <c r="AD260" s="7">
        <f>IF($AH260="","",W260+Z260+T260)</f>
        <v/>
      </c>
      <c r="AE260" s="7">
        <f>IF($AH260="","",AD260-AB260-P260)</f>
        <v/>
      </c>
      <c r="AF260" s="15" t="n"/>
      <c r="AG260" s="7">
        <f>IF($AH260="","",AE260-N(AF260))</f>
        <v/>
      </c>
      <c r="AH260" s="16">
        <f>IF(ROWS($AH$2:$AH260)&lt;=MAX('Per Line'!$AR$2:$AR$1501),MATCH(ROWS($AH$2:$AH260),'Per Line'!$AR$2:$AR$1501,0),"")</f>
        <v/>
      </c>
      <c r="AI260">
        <f>IF($AH260="","",C260&amp;"|"&amp;COUNTIF($C$2:$C260,C260))</f>
        <v/>
      </c>
    </row>
    <row r="261">
      <c r="A261" s="15" t="n"/>
      <c r="B261">
        <f>IF($AH261="","",INDEX('Per Line'!$E$2:$E$1501,$AH261)&amp;"")</f>
        <v/>
      </c>
      <c r="C261">
        <f>IF($AH261="","",IF(INDEX('Per Line'!$AP$2:$AP$1501,$AH261)="NOT MATCH","NOT MATCH","FULL MATCH"))</f>
        <v/>
      </c>
      <c r="D261">
        <f>IF($AH261="","",INDEX('Per Line'!$A$2:$A$1501,$AH261)&amp;"")</f>
        <v/>
      </c>
      <c r="E261">
        <f>IF($AH261="","",INDEX('Per Line'!$B$2:$B$1501,$AH261))</f>
        <v/>
      </c>
      <c r="F261">
        <f>IF($AH261="","",INDEX('Per Line'!$C$2:$C$1501,$AH261)&amp;"")</f>
        <v/>
      </c>
      <c r="G261">
        <f>IF($AH261="","",INDEX('Per Line'!$D$2:$D$1501,$AH261)&amp;"")</f>
        <v/>
      </c>
      <c r="H261">
        <f>IF($AH261="","",INDEX('Per Line'!$F$2:$F$1501,$AH261)&amp;"")</f>
        <v/>
      </c>
      <c r="I261" s="14">
        <f>IF($AH261="","",INDEX('Per Line'!$G$2:$G$1501,$AH261))</f>
        <v/>
      </c>
      <c r="J261">
        <f>IF($AH261="","",INDEX('Per Line'!$H$2:$H$1501,$AH261)&amp;"")</f>
        <v/>
      </c>
      <c r="K261">
        <f>IF($AH261="","",INDEX('Per Line'!$J$2:$J$1501,$AH261)&amp;"")</f>
        <v/>
      </c>
      <c r="L261">
        <f>IF($AH261="","",INDEX('Per Line'!$K$2:$K$1501,$AH261)&amp;"")</f>
        <v/>
      </c>
      <c r="M261">
        <f>IF($AH261="","",INDEX('Per Line'!$L$2:$L$1501,$AH261)&amp;"")</f>
        <v/>
      </c>
      <c r="N261">
        <f>IF($AH261="","",INDEX('Per Line'!$M$2:$M$1501,$AH261)&amp;"")</f>
        <v/>
      </c>
      <c r="O261">
        <f>IF($AH261="","",INDEX('Per Line'!$P$2:$P$1501,$AH261))</f>
        <v/>
      </c>
      <c r="P261" s="7">
        <f>IF($AH261="","",O261*AD261/100)</f>
        <v/>
      </c>
      <c r="Q261">
        <f>IF($AH261="","",INDEX('Per Line'!$R$2:$R$1501,$AH261)&amp;"")</f>
        <v/>
      </c>
      <c r="R261">
        <f>IF($AH261="","",INDEX('Per Line'!$AB$2:$AB$1501,$AH261)&amp;"")</f>
        <v/>
      </c>
      <c r="S261">
        <f>IF($AH261="","",Settings!$C$8)</f>
        <v/>
      </c>
      <c r="T261" s="7">
        <f>IF($AH261="","",SUMIFS('Per Line'!$Z$2:$Z$1501,'Per Line'!$E$2:$E$1501,$B261,'Per Line'!$AT$2:$AT$1501,1))</f>
        <v/>
      </c>
      <c r="U261" s="7">
        <f>IF($AH261="","",T261*S261)</f>
        <v/>
      </c>
      <c r="V261">
        <f>IF($AH261="","",Settings!$C$7)</f>
        <v/>
      </c>
      <c r="W261" s="7">
        <f>IF($AH261="","",SUMIFS('Per Line'!$Z$2:$Z$1501,'Per Line'!$E$2:$E$1501,$B261,'Per Line'!$AS$2:$AS$1501,0,'Per Line'!$AT$2:$AT$1501,0))</f>
        <v/>
      </c>
      <c r="X261" s="7">
        <f>IF($AH261="","",W261*V261)</f>
        <v/>
      </c>
      <c r="Y261">
        <f>IF($AH261="","",Settings!$C$6)</f>
        <v/>
      </c>
      <c r="Z261" s="7">
        <f>IF($AH261="","",SUMIFS('Per Line'!$Z$2:$Z$1501,'Per Line'!$E$2:$E$1501,$B261,'Per Line'!$AS$2:$AS$1501,1,'Per Line'!$AT$2:$AT$1501,0))</f>
        <v/>
      </c>
      <c r="AA261" s="7">
        <f>IF($AH261="","",Z261*Y261)</f>
        <v/>
      </c>
      <c r="AB261" s="7">
        <f>IF($AH261="","",AA261+X261+U261)</f>
        <v/>
      </c>
      <c r="AC261" s="7">
        <f>IF($AH261="","",AD261-AB261)</f>
        <v/>
      </c>
      <c r="AD261" s="7">
        <f>IF($AH261="","",W261+Z261+T261)</f>
        <v/>
      </c>
      <c r="AE261" s="7">
        <f>IF($AH261="","",AD261-AB261-P261)</f>
        <v/>
      </c>
      <c r="AF261" s="15" t="n"/>
      <c r="AG261" s="7">
        <f>IF($AH261="","",AE261-N(AF261))</f>
        <v/>
      </c>
      <c r="AH261" s="16">
        <f>IF(ROWS($AH$2:$AH261)&lt;=MAX('Per Line'!$AR$2:$AR$1501),MATCH(ROWS($AH$2:$AH261),'Per Line'!$AR$2:$AR$1501,0),"")</f>
        <v/>
      </c>
      <c r="AI261">
        <f>IF($AH261="","",C261&amp;"|"&amp;COUNTIF($C$2:$C261,C261))</f>
        <v/>
      </c>
    </row>
    <row r="262">
      <c r="A262" s="15" t="n"/>
      <c r="B262">
        <f>IF($AH262="","",INDEX('Per Line'!$E$2:$E$1501,$AH262)&amp;"")</f>
        <v/>
      </c>
      <c r="C262">
        <f>IF($AH262="","",IF(INDEX('Per Line'!$AP$2:$AP$1501,$AH262)="NOT MATCH","NOT MATCH","FULL MATCH"))</f>
        <v/>
      </c>
      <c r="D262">
        <f>IF($AH262="","",INDEX('Per Line'!$A$2:$A$1501,$AH262)&amp;"")</f>
        <v/>
      </c>
      <c r="E262">
        <f>IF($AH262="","",INDEX('Per Line'!$B$2:$B$1501,$AH262))</f>
        <v/>
      </c>
      <c r="F262">
        <f>IF($AH262="","",INDEX('Per Line'!$C$2:$C$1501,$AH262)&amp;"")</f>
        <v/>
      </c>
      <c r="G262">
        <f>IF($AH262="","",INDEX('Per Line'!$D$2:$D$1501,$AH262)&amp;"")</f>
        <v/>
      </c>
      <c r="H262">
        <f>IF($AH262="","",INDEX('Per Line'!$F$2:$F$1501,$AH262)&amp;"")</f>
        <v/>
      </c>
      <c r="I262" s="14">
        <f>IF($AH262="","",INDEX('Per Line'!$G$2:$G$1501,$AH262))</f>
        <v/>
      </c>
      <c r="J262">
        <f>IF($AH262="","",INDEX('Per Line'!$H$2:$H$1501,$AH262)&amp;"")</f>
        <v/>
      </c>
      <c r="K262">
        <f>IF($AH262="","",INDEX('Per Line'!$J$2:$J$1501,$AH262)&amp;"")</f>
        <v/>
      </c>
      <c r="L262">
        <f>IF($AH262="","",INDEX('Per Line'!$K$2:$K$1501,$AH262)&amp;"")</f>
        <v/>
      </c>
      <c r="M262">
        <f>IF($AH262="","",INDEX('Per Line'!$L$2:$L$1501,$AH262)&amp;"")</f>
        <v/>
      </c>
      <c r="N262">
        <f>IF($AH262="","",INDEX('Per Line'!$M$2:$M$1501,$AH262)&amp;"")</f>
        <v/>
      </c>
      <c r="O262">
        <f>IF($AH262="","",INDEX('Per Line'!$P$2:$P$1501,$AH262))</f>
        <v/>
      </c>
      <c r="P262" s="7">
        <f>IF($AH262="","",O262*AD262/100)</f>
        <v/>
      </c>
      <c r="Q262">
        <f>IF($AH262="","",INDEX('Per Line'!$R$2:$R$1501,$AH262)&amp;"")</f>
        <v/>
      </c>
      <c r="R262">
        <f>IF($AH262="","",INDEX('Per Line'!$AB$2:$AB$1501,$AH262)&amp;"")</f>
        <v/>
      </c>
      <c r="S262">
        <f>IF($AH262="","",Settings!$C$8)</f>
        <v/>
      </c>
      <c r="T262" s="7">
        <f>IF($AH262="","",SUMIFS('Per Line'!$Z$2:$Z$1501,'Per Line'!$E$2:$E$1501,$B262,'Per Line'!$AT$2:$AT$1501,1))</f>
        <v/>
      </c>
      <c r="U262" s="7">
        <f>IF($AH262="","",T262*S262)</f>
        <v/>
      </c>
      <c r="V262">
        <f>IF($AH262="","",Settings!$C$7)</f>
        <v/>
      </c>
      <c r="W262" s="7">
        <f>IF($AH262="","",SUMIFS('Per Line'!$Z$2:$Z$1501,'Per Line'!$E$2:$E$1501,$B262,'Per Line'!$AS$2:$AS$1501,0,'Per Line'!$AT$2:$AT$1501,0))</f>
        <v/>
      </c>
      <c r="X262" s="7">
        <f>IF($AH262="","",W262*V262)</f>
        <v/>
      </c>
      <c r="Y262">
        <f>IF($AH262="","",Settings!$C$6)</f>
        <v/>
      </c>
      <c r="Z262" s="7">
        <f>IF($AH262="","",SUMIFS('Per Line'!$Z$2:$Z$1501,'Per Line'!$E$2:$E$1501,$B262,'Per Line'!$AS$2:$AS$1501,1,'Per Line'!$AT$2:$AT$1501,0))</f>
        <v/>
      </c>
      <c r="AA262" s="7">
        <f>IF($AH262="","",Z262*Y262)</f>
        <v/>
      </c>
      <c r="AB262" s="7">
        <f>IF($AH262="","",AA262+X262+U262)</f>
        <v/>
      </c>
      <c r="AC262" s="7">
        <f>IF($AH262="","",AD262-AB262)</f>
        <v/>
      </c>
      <c r="AD262" s="7">
        <f>IF($AH262="","",W262+Z262+T262)</f>
        <v/>
      </c>
      <c r="AE262" s="7">
        <f>IF($AH262="","",AD262-AB262-P262)</f>
        <v/>
      </c>
      <c r="AF262" s="15" t="n"/>
      <c r="AG262" s="7">
        <f>IF($AH262="","",AE262-N(AF262))</f>
        <v/>
      </c>
      <c r="AH262" s="16">
        <f>IF(ROWS($AH$2:$AH262)&lt;=MAX('Per Line'!$AR$2:$AR$1501),MATCH(ROWS($AH$2:$AH262),'Per Line'!$AR$2:$AR$1501,0),"")</f>
        <v/>
      </c>
      <c r="AI262">
        <f>IF($AH262="","",C262&amp;"|"&amp;COUNTIF($C$2:$C262,C262))</f>
        <v/>
      </c>
    </row>
    <row r="263">
      <c r="A263" s="15" t="n"/>
      <c r="B263">
        <f>IF($AH263="","",INDEX('Per Line'!$E$2:$E$1501,$AH263)&amp;"")</f>
        <v/>
      </c>
      <c r="C263">
        <f>IF($AH263="","",IF(INDEX('Per Line'!$AP$2:$AP$1501,$AH263)="NOT MATCH","NOT MATCH","FULL MATCH"))</f>
        <v/>
      </c>
      <c r="D263">
        <f>IF($AH263="","",INDEX('Per Line'!$A$2:$A$1501,$AH263)&amp;"")</f>
        <v/>
      </c>
      <c r="E263">
        <f>IF($AH263="","",INDEX('Per Line'!$B$2:$B$1501,$AH263))</f>
        <v/>
      </c>
      <c r="F263">
        <f>IF($AH263="","",INDEX('Per Line'!$C$2:$C$1501,$AH263)&amp;"")</f>
        <v/>
      </c>
      <c r="G263">
        <f>IF($AH263="","",INDEX('Per Line'!$D$2:$D$1501,$AH263)&amp;"")</f>
        <v/>
      </c>
      <c r="H263">
        <f>IF($AH263="","",INDEX('Per Line'!$F$2:$F$1501,$AH263)&amp;"")</f>
        <v/>
      </c>
      <c r="I263" s="14">
        <f>IF($AH263="","",INDEX('Per Line'!$G$2:$G$1501,$AH263))</f>
        <v/>
      </c>
      <c r="J263">
        <f>IF($AH263="","",INDEX('Per Line'!$H$2:$H$1501,$AH263)&amp;"")</f>
        <v/>
      </c>
      <c r="K263">
        <f>IF($AH263="","",INDEX('Per Line'!$J$2:$J$1501,$AH263)&amp;"")</f>
        <v/>
      </c>
      <c r="L263">
        <f>IF($AH263="","",INDEX('Per Line'!$K$2:$K$1501,$AH263)&amp;"")</f>
        <v/>
      </c>
      <c r="M263">
        <f>IF($AH263="","",INDEX('Per Line'!$L$2:$L$1501,$AH263)&amp;"")</f>
        <v/>
      </c>
      <c r="N263">
        <f>IF($AH263="","",INDEX('Per Line'!$M$2:$M$1501,$AH263)&amp;"")</f>
        <v/>
      </c>
      <c r="O263">
        <f>IF($AH263="","",INDEX('Per Line'!$P$2:$P$1501,$AH263))</f>
        <v/>
      </c>
      <c r="P263" s="7">
        <f>IF($AH263="","",O263*AD263/100)</f>
        <v/>
      </c>
      <c r="Q263">
        <f>IF($AH263="","",INDEX('Per Line'!$R$2:$R$1501,$AH263)&amp;"")</f>
        <v/>
      </c>
      <c r="R263">
        <f>IF($AH263="","",INDEX('Per Line'!$AB$2:$AB$1501,$AH263)&amp;"")</f>
        <v/>
      </c>
      <c r="S263">
        <f>IF($AH263="","",Settings!$C$8)</f>
        <v/>
      </c>
      <c r="T263" s="7">
        <f>IF($AH263="","",SUMIFS('Per Line'!$Z$2:$Z$1501,'Per Line'!$E$2:$E$1501,$B263,'Per Line'!$AT$2:$AT$1501,1))</f>
        <v/>
      </c>
      <c r="U263" s="7">
        <f>IF($AH263="","",T263*S263)</f>
        <v/>
      </c>
      <c r="V263">
        <f>IF($AH263="","",Settings!$C$7)</f>
        <v/>
      </c>
      <c r="W263" s="7">
        <f>IF($AH263="","",SUMIFS('Per Line'!$Z$2:$Z$1501,'Per Line'!$E$2:$E$1501,$B263,'Per Line'!$AS$2:$AS$1501,0,'Per Line'!$AT$2:$AT$1501,0))</f>
        <v/>
      </c>
      <c r="X263" s="7">
        <f>IF($AH263="","",W263*V263)</f>
        <v/>
      </c>
      <c r="Y263">
        <f>IF($AH263="","",Settings!$C$6)</f>
        <v/>
      </c>
      <c r="Z263" s="7">
        <f>IF($AH263="","",SUMIFS('Per Line'!$Z$2:$Z$1501,'Per Line'!$E$2:$E$1501,$B263,'Per Line'!$AS$2:$AS$1501,1,'Per Line'!$AT$2:$AT$1501,0))</f>
        <v/>
      </c>
      <c r="AA263" s="7">
        <f>IF($AH263="","",Z263*Y263)</f>
        <v/>
      </c>
      <c r="AB263" s="7">
        <f>IF($AH263="","",AA263+X263+U263)</f>
        <v/>
      </c>
      <c r="AC263" s="7">
        <f>IF($AH263="","",AD263-AB263)</f>
        <v/>
      </c>
      <c r="AD263" s="7">
        <f>IF($AH263="","",W263+Z263+T263)</f>
        <v/>
      </c>
      <c r="AE263" s="7">
        <f>IF($AH263="","",AD263-AB263-P263)</f>
        <v/>
      </c>
      <c r="AF263" s="15" t="n"/>
      <c r="AG263" s="7">
        <f>IF($AH263="","",AE263-N(AF263))</f>
        <v/>
      </c>
      <c r="AH263" s="16">
        <f>IF(ROWS($AH$2:$AH263)&lt;=MAX('Per Line'!$AR$2:$AR$1501),MATCH(ROWS($AH$2:$AH263),'Per Line'!$AR$2:$AR$1501,0),"")</f>
        <v/>
      </c>
      <c r="AI263">
        <f>IF($AH263="","",C263&amp;"|"&amp;COUNTIF($C$2:$C263,C263))</f>
        <v/>
      </c>
    </row>
    <row r="264">
      <c r="A264" s="15" t="n"/>
      <c r="B264">
        <f>IF($AH264="","",INDEX('Per Line'!$E$2:$E$1501,$AH264)&amp;"")</f>
        <v/>
      </c>
      <c r="C264">
        <f>IF($AH264="","",IF(INDEX('Per Line'!$AP$2:$AP$1501,$AH264)="NOT MATCH","NOT MATCH","FULL MATCH"))</f>
        <v/>
      </c>
      <c r="D264">
        <f>IF($AH264="","",INDEX('Per Line'!$A$2:$A$1501,$AH264)&amp;"")</f>
        <v/>
      </c>
      <c r="E264">
        <f>IF($AH264="","",INDEX('Per Line'!$B$2:$B$1501,$AH264))</f>
        <v/>
      </c>
      <c r="F264">
        <f>IF($AH264="","",INDEX('Per Line'!$C$2:$C$1501,$AH264)&amp;"")</f>
        <v/>
      </c>
      <c r="G264">
        <f>IF($AH264="","",INDEX('Per Line'!$D$2:$D$1501,$AH264)&amp;"")</f>
        <v/>
      </c>
      <c r="H264">
        <f>IF($AH264="","",INDEX('Per Line'!$F$2:$F$1501,$AH264)&amp;"")</f>
        <v/>
      </c>
      <c r="I264" s="14">
        <f>IF($AH264="","",INDEX('Per Line'!$G$2:$G$1501,$AH264))</f>
        <v/>
      </c>
      <c r="J264">
        <f>IF($AH264="","",INDEX('Per Line'!$H$2:$H$1501,$AH264)&amp;"")</f>
        <v/>
      </c>
      <c r="K264">
        <f>IF($AH264="","",INDEX('Per Line'!$J$2:$J$1501,$AH264)&amp;"")</f>
        <v/>
      </c>
      <c r="L264">
        <f>IF($AH264="","",INDEX('Per Line'!$K$2:$K$1501,$AH264)&amp;"")</f>
        <v/>
      </c>
      <c r="M264">
        <f>IF($AH264="","",INDEX('Per Line'!$L$2:$L$1501,$AH264)&amp;"")</f>
        <v/>
      </c>
      <c r="N264">
        <f>IF($AH264="","",INDEX('Per Line'!$M$2:$M$1501,$AH264)&amp;"")</f>
        <v/>
      </c>
      <c r="O264">
        <f>IF($AH264="","",INDEX('Per Line'!$P$2:$P$1501,$AH264))</f>
        <v/>
      </c>
      <c r="P264" s="7">
        <f>IF($AH264="","",O264*AD264/100)</f>
        <v/>
      </c>
      <c r="Q264">
        <f>IF($AH264="","",INDEX('Per Line'!$R$2:$R$1501,$AH264)&amp;"")</f>
        <v/>
      </c>
      <c r="R264">
        <f>IF($AH264="","",INDEX('Per Line'!$AB$2:$AB$1501,$AH264)&amp;"")</f>
        <v/>
      </c>
      <c r="S264">
        <f>IF($AH264="","",Settings!$C$8)</f>
        <v/>
      </c>
      <c r="T264" s="7">
        <f>IF($AH264="","",SUMIFS('Per Line'!$Z$2:$Z$1501,'Per Line'!$E$2:$E$1501,$B264,'Per Line'!$AT$2:$AT$1501,1))</f>
        <v/>
      </c>
      <c r="U264" s="7">
        <f>IF($AH264="","",T264*S264)</f>
        <v/>
      </c>
      <c r="V264">
        <f>IF($AH264="","",Settings!$C$7)</f>
        <v/>
      </c>
      <c r="W264" s="7">
        <f>IF($AH264="","",SUMIFS('Per Line'!$Z$2:$Z$1501,'Per Line'!$E$2:$E$1501,$B264,'Per Line'!$AS$2:$AS$1501,0,'Per Line'!$AT$2:$AT$1501,0))</f>
        <v/>
      </c>
      <c r="X264" s="7">
        <f>IF($AH264="","",W264*V264)</f>
        <v/>
      </c>
      <c r="Y264">
        <f>IF($AH264="","",Settings!$C$6)</f>
        <v/>
      </c>
      <c r="Z264" s="7">
        <f>IF($AH264="","",SUMIFS('Per Line'!$Z$2:$Z$1501,'Per Line'!$E$2:$E$1501,$B264,'Per Line'!$AS$2:$AS$1501,1,'Per Line'!$AT$2:$AT$1501,0))</f>
        <v/>
      </c>
      <c r="AA264" s="7">
        <f>IF($AH264="","",Z264*Y264)</f>
        <v/>
      </c>
      <c r="AB264" s="7">
        <f>IF($AH264="","",AA264+X264+U264)</f>
        <v/>
      </c>
      <c r="AC264" s="7">
        <f>IF($AH264="","",AD264-AB264)</f>
        <v/>
      </c>
      <c r="AD264" s="7">
        <f>IF($AH264="","",W264+Z264+T264)</f>
        <v/>
      </c>
      <c r="AE264" s="7">
        <f>IF($AH264="","",AD264-AB264-P264)</f>
        <v/>
      </c>
      <c r="AF264" s="15" t="n"/>
      <c r="AG264" s="7">
        <f>IF($AH264="","",AE264-N(AF264))</f>
        <v/>
      </c>
      <c r="AH264" s="16">
        <f>IF(ROWS($AH$2:$AH264)&lt;=MAX('Per Line'!$AR$2:$AR$1501),MATCH(ROWS($AH$2:$AH264),'Per Line'!$AR$2:$AR$1501,0),"")</f>
        <v/>
      </c>
      <c r="AI264">
        <f>IF($AH264="","",C264&amp;"|"&amp;COUNTIF($C$2:$C264,C264))</f>
        <v/>
      </c>
    </row>
    <row r="265">
      <c r="A265" s="15" t="n"/>
      <c r="B265">
        <f>IF($AH265="","",INDEX('Per Line'!$E$2:$E$1501,$AH265)&amp;"")</f>
        <v/>
      </c>
      <c r="C265">
        <f>IF($AH265="","",IF(INDEX('Per Line'!$AP$2:$AP$1501,$AH265)="NOT MATCH","NOT MATCH","FULL MATCH"))</f>
        <v/>
      </c>
      <c r="D265">
        <f>IF($AH265="","",INDEX('Per Line'!$A$2:$A$1501,$AH265)&amp;"")</f>
        <v/>
      </c>
      <c r="E265">
        <f>IF($AH265="","",INDEX('Per Line'!$B$2:$B$1501,$AH265))</f>
        <v/>
      </c>
      <c r="F265">
        <f>IF($AH265="","",INDEX('Per Line'!$C$2:$C$1501,$AH265)&amp;"")</f>
        <v/>
      </c>
      <c r="G265">
        <f>IF($AH265="","",INDEX('Per Line'!$D$2:$D$1501,$AH265)&amp;"")</f>
        <v/>
      </c>
      <c r="H265">
        <f>IF($AH265="","",INDEX('Per Line'!$F$2:$F$1501,$AH265)&amp;"")</f>
        <v/>
      </c>
      <c r="I265" s="14">
        <f>IF($AH265="","",INDEX('Per Line'!$G$2:$G$1501,$AH265))</f>
        <v/>
      </c>
      <c r="J265">
        <f>IF($AH265="","",INDEX('Per Line'!$H$2:$H$1501,$AH265)&amp;"")</f>
        <v/>
      </c>
      <c r="K265">
        <f>IF($AH265="","",INDEX('Per Line'!$J$2:$J$1501,$AH265)&amp;"")</f>
        <v/>
      </c>
      <c r="L265">
        <f>IF($AH265="","",INDEX('Per Line'!$K$2:$K$1501,$AH265)&amp;"")</f>
        <v/>
      </c>
      <c r="M265">
        <f>IF($AH265="","",INDEX('Per Line'!$L$2:$L$1501,$AH265)&amp;"")</f>
        <v/>
      </c>
      <c r="N265">
        <f>IF($AH265="","",INDEX('Per Line'!$M$2:$M$1501,$AH265)&amp;"")</f>
        <v/>
      </c>
      <c r="O265">
        <f>IF($AH265="","",INDEX('Per Line'!$P$2:$P$1501,$AH265))</f>
        <v/>
      </c>
      <c r="P265" s="7">
        <f>IF($AH265="","",O265*AD265/100)</f>
        <v/>
      </c>
      <c r="Q265">
        <f>IF($AH265="","",INDEX('Per Line'!$R$2:$R$1501,$AH265)&amp;"")</f>
        <v/>
      </c>
      <c r="R265">
        <f>IF($AH265="","",INDEX('Per Line'!$AB$2:$AB$1501,$AH265)&amp;"")</f>
        <v/>
      </c>
      <c r="S265">
        <f>IF($AH265="","",Settings!$C$8)</f>
        <v/>
      </c>
      <c r="T265" s="7">
        <f>IF($AH265="","",SUMIFS('Per Line'!$Z$2:$Z$1501,'Per Line'!$E$2:$E$1501,$B265,'Per Line'!$AT$2:$AT$1501,1))</f>
        <v/>
      </c>
      <c r="U265" s="7">
        <f>IF($AH265="","",T265*S265)</f>
        <v/>
      </c>
      <c r="V265">
        <f>IF($AH265="","",Settings!$C$7)</f>
        <v/>
      </c>
      <c r="W265" s="7">
        <f>IF($AH265="","",SUMIFS('Per Line'!$Z$2:$Z$1501,'Per Line'!$E$2:$E$1501,$B265,'Per Line'!$AS$2:$AS$1501,0,'Per Line'!$AT$2:$AT$1501,0))</f>
        <v/>
      </c>
      <c r="X265" s="7">
        <f>IF($AH265="","",W265*V265)</f>
        <v/>
      </c>
      <c r="Y265">
        <f>IF($AH265="","",Settings!$C$6)</f>
        <v/>
      </c>
      <c r="Z265" s="7">
        <f>IF($AH265="","",SUMIFS('Per Line'!$Z$2:$Z$1501,'Per Line'!$E$2:$E$1501,$B265,'Per Line'!$AS$2:$AS$1501,1,'Per Line'!$AT$2:$AT$1501,0))</f>
        <v/>
      </c>
      <c r="AA265" s="7">
        <f>IF($AH265="","",Z265*Y265)</f>
        <v/>
      </c>
      <c r="AB265" s="7">
        <f>IF($AH265="","",AA265+X265+U265)</f>
        <v/>
      </c>
      <c r="AC265" s="7">
        <f>IF($AH265="","",AD265-AB265)</f>
        <v/>
      </c>
      <c r="AD265" s="7">
        <f>IF($AH265="","",W265+Z265+T265)</f>
        <v/>
      </c>
      <c r="AE265" s="7">
        <f>IF($AH265="","",AD265-AB265-P265)</f>
        <v/>
      </c>
      <c r="AF265" s="15" t="n"/>
      <c r="AG265" s="7">
        <f>IF($AH265="","",AE265-N(AF265))</f>
        <v/>
      </c>
      <c r="AH265" s="16">
        <f>IF(ROWS($AH$2:$AH265)&lt;=MAX('Per Line'!$AR$2:$AR$1501),MATCH(ROWS($AH$2:$AH265),'Per Line'!$AR$2:$AR$1501,0),"")</f>
        <v/>
      </c>
      <c r="AI265">
        <f>IF($AH265="","",C265&amp;"|"&amp;COUNTIF($C$2:$C265,C265))</f>
        <v/>
      </c>
    </row>
    <row r="266">
      <c r="A266" s="15" t="n"/>
      <c r="B266">
        <f>IF($AH266="","",INDEX('Per Line'!$E$2:$E$1501,$AH266)&amp;"")</f>
        <v/>
      </c>
      <c r="C266">
        <f>IF($AH266="","",IF(INDEX('Per Line'!$AP$2:$AP$1501,$AH266)="NOT MATCH","NOT MATCH","FULL MATCH"))</f>
        <v/>
      </c>
      <c r="D266">
        <f>IF($AH266="","",INDEX('Per Line'!$A$2:$A$1501,$AH266)&amp;"")</f>
        <v/>
      </c>
      <c r="E266">
        <f>IF($AH266="","",INDEX('Per Line'!$B$2:$B$1501,$AH266))</f>
        <v/>
      </c>
      <c r="F266">
        <f>IF($AH266="","",INDEX('Per Line'!$C$2:$C$1501,$AH266)&amp;"")</f>
        <v/>
      </c>
      <c r="G266">
        <f>IF($AH266="","",INDEX('Per Line'!$D$2:$D$1501,$AH266)&amp;"")</f>
        <v/>
      </c>
      <c r="H266">
        <f>IF($AH266="","",INDEX('Per Line'!$F$2:$F$1501,$AH266)&amp;"")</f>
        <v/>
      </c>
      <c r="I266" s="14">
        <f>IF($AH266="","",INDEX('Per Line'!$G$2:$G$1501,$AH266))</f>
        <v/>
      </c>
      <c r="J266">
        <f>IF($AH266="","",INDEX('Per Line'!$H$2:$H$1501,$AH266)&amp;"")</f>
        <v/>
      </c>
      <c r="K266">
        <f>IF($AH266="","",INDEX('Per Line'!$J$2:$J$1501,$AH266)&amp;"")</f>
        <v/>
      </c>
      <c r="L266">
        <f>IF($AH266="","",INDEX('Per Line'!$K$2:$K$1501,$AH266)&amp;"")</f>
        <v/>
      </c>
      <c r="M266">
        <f>IF($AH266="","",INDEX('Per Line'!$L$2:$L$1501,$AH266)&amp;"")</f>
        <v/>
      </c>
      <c r="N266">
        <f>IF($AH266="","",INDEX('Per Line'!$M$2:$M$1501,$AH266)&amp;"")</f>
        <v/>
      </c>
      <c r="O266">
        <f>IF($AH266="","",INDEX('Per Line'!$P$2:$P$1501,$AH266))</f>
        <v/>
      </c>
      <c r="P266" s="7">
        <f>IF($AH266="","",O266*AD266/100)</f>
        <v/>
      </c>
      <c r="Q266">
        <f>IF($AH266="","",INDEX('Per Line'!$R$2:$R$1501,$AH266)&amp;"")</f>
        <v/>
      </c>
      <c r="R266">
        <f>IF($AH266="","",INDEX('Per Line'!$AB$2:$AB$1501,$AH266)&amp;"")</f>
        <v/>
      </c>
      <c r="S266">
        <f>IF($AH266="","",Settings!$C$8)</f>
        <v/>
      </c>
      <c r="T266" s="7">
        <f>IF($AH266="","",SUMIFS('Per Line'!$Z$2:$Z$1501,'Per Line'!$E$2:$E$1501,$B266,'Per Line'!$AT$2:$AT$1501,1))</f>
        <v/>
      </c>
      <c r="U266" s="7">
        <f>IF($AH266="","",T266*S266)</f>
        <v/>
      </c>
      <c r="V266">
        <f>IF($AH266="","",Settings!$C$7)</f>
        <v/>
      </c>
      <c r="W266" s="7">
        <f>IF($AH266="","",SUMIFS('Per Line'!$Z$2:$Z$1501,'Per Line'!$E$2:$E$1501,$B266,'Per Line'!$AS$2:$AS$1501,0,'Per Line'!$AT$2:$AT$1501,0))</f>
        <v/>
      </c>
      <c r="X266" s="7">
        <f>IF($AH266="","",W266*V266)</f>
        <v/>
      </c>
      <c r="Y266">
        <f>IF($AH266="","",Settings!$C$6)</f>
        <v/>
      </c>
      <c r="Z266" s="7">
        <f>IF($AH266="","",SUMIFS('Per Line'!$Z$2:$Z$1501,'Per Line'!$E$2:$E$1501,$B266,'Per Line'!$AS$2:$AS$1501,1,'Per Line'!$AT$2:$AT$1501,0))</f>
        <v/>
      </c>
      <c r="AA266" s="7">
        <f>IF($AH266="","",Z266*Y266)</f>
        <v/>
      </c>
      <c r="AB266" s="7">
        <f>IF($AH266="","",AA266+X266+U266)</f>
        <v/>
      </c>
      <c r="AC266" s="7">
        <f>IF($AH266="","",AD266-AB266)</f>
        <v/>
      </c>
      <c r="AD266" s="7">
        <f>IF($AH266="","",W266+Z266+T266)</f>
        <v/>
      </c>
      <c r="AE266" s="7">
        <f>IF($AH266="","",AD266-AB266-P266)</f>
        <v/>
      </c>
      <c r="AF266" s="15" t="n"/>
      <c r="AG266" s="7">
        <f>IF($AH266="","",AE266-N(AF266))</f>
        <v/>
      </c>
      <c r="AH266" s="16">
        <f>IF(ROWS($AH$2:$AH266)&lt;=MAX('Per Line'!$AR$2:$AR$1501),MATCH(ROWS($AH$2:$AH266),'Per Line'!$AR$2:$AR$1501,0),"")</f>
        <v/>
      </c>
      <c r="AI266">
        <f>IF($AH266="","",C266&amp;"|"&amp;COUNTIF($C$2:$C266,C266))</f>
        <v/>
      </c>
    </row>
    <row r="267">
      <c r="A267" s="15" t="n"/>
      <c r="B267">
        <f>IF($AH267="","",INDEX('Per Line'!$E$2:$E$1501,$AH267)&amp;"")</f>
        <v/>
      </c>
      <c r="C267">
        <f>IF($AH267="","",IF(INDEX('Per Line'!$AP$2:$AP$1501,$AH267)="NOT MATCH","NOT MATCH","FULL MATCH"))</f>
        <v/>
      </c>
      <c r="D267">
        <f>IF($AH267="","",INDEX('Per Line'!$A$2:$A$1501,$AH267)&amp;"")</f>
        <v/>
      </c>
      <c r="E267">
        <f>IF($AH267="","",INDEX('Per Line'!$B$2:$B$1501,$AH267))</f>
        <v/>
      </c>
      <c r="F267">
        <f>IF($AH267="","",INDEX('Per Line'!$C$2:$C$1501,$AH267)&amp;"")</f>
        <v/>
      </c>
      <c r="G267">
        <f>IF($AH267="","",INDEX('Per Line'!$D$2:$D$1501,$AH267)&amp;"")</f>
        <v/>
      </c>
      <c r="H267">
        <f>IF($AH267="","",INDEX('Per Line'!$F$2:$F$1501,$AH267)&amp;"")</f>
        <v/>
      </c>
      <c r="I267" s="14">
        <f>IF($AH267="","",INDEX('Per Line'!$G$2:$G$1501,$AH267))</f>
        <v/>
      </c>
      <c r="J267">
        <f>IF($AH267="","",INDEX('Per Line'!$H$2:$H$1501,$AH267)&amp;"")</f>
        <v/>
      </c>
      <c r="K267">
        <f>IF($AH267="","",INDEX('Per Line'!$J$2:$J$1501,$AH267)&amp;"")</f>
        <v/>
      </c>
      <c r="L267">
        <f>IF($AH267="","",INDEX('Per Line'!$K$2:$K$1501,$AH267)&amp;"")</f>
        <v/>
      </c>
      <c r="M267">
        <f>IF($AH267="","",INDEX('Per Line'!$L$2:$L$1501,$AH267)&amp;"")</f>
        <v/>
      </c>
      <c r="N267">
        <f>IF($AH267="","",INDEX('Per Line'!$M$2:$M$1501,$AH267)&amp;"")</f>
        <v/>
      </c>
      <c r="O267">
        <f>IF($AH267="","",INDEX('Per Line'!$P$2:$P$1501,$AH267))</f>
        <v/>
      </c>
      <c r="P267" s="7">
        <f>IF($AH267="","",O267*AD267/100)</f>
        <v/>
      </c>
      <c r="Q267">
        <f>IF($AH267="","",INDEX('Per Line'!$R$2:$R$1501,$AH267)&amp;"")</f>
        <v/>
      </c>
      <c r="R267">
        <f>IF($AH267="","",INDEX('Per Line'!$AB$2:$AB$1501,$AH267)&amp;"")</f>
        <v/>
      </c>
      <c r="S267">
        <f>IF($AH267="","",Settings!$C$8)</f>
        <v/>
      </c>
      <c r="T267" s="7">
        <f>IF($AH267="","",SUMIFS('Per Line'!$Z$2:$Z$1501,'Per Line'!$E$2:$E$1501,$B267,'Per Line'!$AT$2:$AT$1501,1))</f>
        <v/>
      </c>
      <c r="U267" s="7">
        <f>IF($AH267="","",T267*S267)</f>
        <v/>
      </c>
      <c r="V267">
        <f>IF($AH267="","",Settings!$C$7)</f>
        <v/>
      </c>
      <c r="W267" s="7">
        <f>IF($AH267="","",SUMIFS('Per Line'!$Z$2:$Z$1501,'Per Line'!$E$2:$E$1501,$B267,'Per Line'!$AS$2:$AS$1501,0,'Per Line'!$AT$2:$AT$1501,0))</f>
        <v/>
      </c>
      <c r="X267" s="7">
        <f>IF($AH267="","",W267*V267)</f>
        <v/>
      </c>
      <c r="Y267">
        <f>IF($AH267="","",Settings!$C$6)</f>
        <v/>
      </c>
      <c r="Z267" s="7">
        <f>IF($AH267="","",SUMIFS('Per Line'!$Z$2:$Z$1501,'Per Line'!$E$2:$E$1501,$B267,'Per Line'!$AS$2:$AS$1501,1,'Per Line'!$AT$2:$AT$1501,0))</f>
        <v/>
      </c>
      <c r="AA267" s="7">
        <f>IF($AH267="","",Z267*Y267)</f>
        <v/>
      </c>
      <c r="AB267" s="7">
        <f>IF($AH267="","",AA267+X267+U267)</f>
        <v/>
      </c>
      <c r="AC267" s="7">
        <f>IF($AH267="","",AD267-AB267)</f>
        <v/>
      </c>
      <c r="AD267" s="7">
        <f>IF($AH267="","",W267+Z267+T267)</f>
        <v/>
      </c>
      <c r="AE267" s="7">
        <f>IF($AH267="","",AD267-AB267-P267)</f>
        <v/>
      </c>
      <c r="AF267" s="15" t="n"/>
      <c r="AG267" s="7">
        <f>IF($AH267="","",AE267-N(AF267))</f>
        <v/>
      </c>
      <c r="AH267" s="16">
        <f>IF(ROWS($AH$2:$AH267)&lt;=MAX('Per Line'!$AR$2:$AR$1501),MATCH(ROWS($AH$2:$AH267),'Per Line'!$AR$2:$AR$1501,0),"")</f>
        <v/>
      </c>
      <c r="AI267">
        <f>IF($AH267="","",C267&amp;"|"&amp;COUNTIF($C$2:$C267,C267))</f>
        <v/>
      </c>
    </row>
    <row r="268">
      <c r="A268" s="15" t="n"/>
      <c r="B268">
        <f>IF($AH268="","",INDEX('Per Line'!$E$2:$E$1501,$AH268)&amp;"")</f>
        <v/>
      </c>
      <c r="C268">
        <f>IF($AH268="","",IF(INDEX('Per Line'!$AP$2:$AP$1501,$AH268)="NOT MATCH","NOT MATCH","FULL MATCH"))</f>
        <v/>
      </c>
      <c r="D268">
        <f>IF($AH268="","",INDEX('Per Line'!$A$2:$A$1501,$AH268)&amp;"")</f>
        <v/>
      </c>
      <c r="E268">
        <f>IF($AH268="","",INDEX('Per Line'!$B$2:$B$1501,$AH268))</f>
        <v/>
      </c>
      <c r="F268">
        <f>IF($AH268="","",INDEX('Per Line'!$C$2:$C$1501,$AH268)&amp;"")</f>
        <v/>
      </c>
      <c r="G268">
        <f>IF($AH268="","",INDEX('Per Line'!$D$2:$D$1501,$AH268)&amp;"")</f>
        <v/>
      </c>
      <c r="H268">
        <f>IF($AH268="","",INDEX('Per Line'!$F$2:$F$1501,$AH268)&amp;"")</f>
        <v/>
      </c>
      <c r="I268" s="14">
        <f>IF($AH268="","",INDEX('Per Line'!$G$2:$G$1501,$AH268))</f>
        <v/>
      </c>
      <c r="J268">
        <f>IF($AH268="","",INDEX('Per Line'!$H$2:$H$1501,$AH268)&amp;"")</f>
        <v/>
      </c>
      <c r="K268">
        <f>IF($AH268="","",INDEX('Per Line'!$J$2:$J$1501,$AH268)&amp;"")</f>
        <v/>
      </c>
      <c r="L268">
        <f>IF($AH268="","",INDEX('Per Line'!$K$2:$K$1501,$AH268)&amp;"")</f>
        <v/>
      </c>
      <c r="M268">
        <f>IF($AH268="","",INDEX('Per Line'!$L$2:$L$1501,$AH268)&amp;"")</f>
        <v/>
      </c>
      <c r="N268">
        <f>IF($AH268="","",INDEX('Per Line'!$M$2:$M$1501,$AH268)&amp;"")</f>
        <v/>
      </c>
      <c r="O268">
        <f>IF($AH268="","",INDEX('Per Line'!$P$2:$P$1501,$AH268))</f>
        <v/>
      </c>
      <c r="P268" s="7">
        <f>IF($AH268="","",O268*AD268/100)</f>
        <v/>
      </c>
      <c r="Q268">
        <f>IF($AH268="","",INDEX('Per Line'!$R$2:$R$1501,$AH268)&amp;"")</f>
        <v/>
      </c>
      <c r="R268">
        <f>IF($AH268="","",INDEX('Per Line'!$AB$2:$AB$1501,$AH268)&amp;"")</f>
        <v/>
      </c>
      <c r="S268">
        <f>IF($AH268="","",Settings!$C$8)</f>
        <v/>
      </c>
      <c r="T268" s="7">
        <f>IF($AH268="","",SUMIFS('Per Line'!$Z$2:$Z$1501,'Per Line'!$E$2:$E$1501,$B268,'Per Line'!$AT$2:$AT$1501,1))</f>
        <v/>
      </c>
      <c r="U268" s="7">
        <f>IF($AH268="","",T268*S268)</f>
        <v/>
      </c>
      <c r="V268">
        <f>IF($AH268="","",Settings!$C$7)</f>
        <v/>
      </c>
      <c r="W268" s="7">
        <f>IF($AH268="","",SUMIFS('Per Line'!$Z$2:$Z$1501,'Per Line'!$E$2:$E$1501,$B268,'Per Line'!$AS$2:$AS$1501,0,'Per Line'!$AT$2:$AT$1501,0))</f>
        <v/>
      </c>
      <c r="X268" s="7">
        <f>IF($AH268="","",W268*V268)</f>
        <v/>
      </c>
      <c r="Y268">
        <f>IF($AH268="","",Settings!$C$6)</f>
        <v/>
      </c>
      <c r="Z268" s="7">
        <f>IF($AH268="","",SUMIFS('Per Line'!$Z$2:$Z$1501,'Per Line'!$E$2:$E$1501,$B268,'Per Line'!$AS$2:$AS$1501,1,'Per Line'!$AT$2:$AT$1501,0))</f>
        <v/>
      </c>
      <c r="AA268" s="7">
        <f>IF($AH268="","",Z268*Y268)</f>
        <v/>
      </c>
      <c r="AB268" s="7">
        <f>IF($AH268="","",AA268+X268+U268)</f>
        <v/>
      </c>
      <c r="AC268" s="7">
        <f>IF($AH268="","",AD268-AB268)</f>
        <v/>
      </c>
      <c r="AD268" s="7">
        <f>IF($AH268="","",W268+Z268+T268)</f>
        <v/>
      </c>
      <c r="AE268" s="7">
        <f>IF($AH268="","",AD268-AB268-P268)</f>
        <v/>
      </c>
      <c r="AF268" s="15" t="n"/>
      <c r="AG268" s="7">
        <f>IF($AH268="","",AE268-N(AF268))</f>
        <v/>
      </c>
      <c r="AH268" s="16">
        <f>IF(ROWS($AH$2:$AH268)&lt;=MAX('Per Line'!$AR$2:$AR$1501),MATCH(ROWS($AH$2:$AH268),'Per Line'!$AR$2:$AR$1501,0),"")</f>
        <v/>
      </c>
      <c r="AI268">
        <f>IF($AH268="","",C268&amp;"|"&amp;COUNTIF($C$2:$C268,C268))</f>
        <v/>
      </c>
    </row>
    <row r="269">
      <c r="A269" s="15" t="n"/>
      <c r="B269">
        <f>IF($AH269="","",INDEX('Per Line'!$E$2:$E$1501,$AH269)&amp;"")</f>
        <v/>
      </c>
      <c r="C269">
        <f>IF($AH269="","",IF(INDEX('Per Line'!$AP$2:$AP$1501,$AH269)="NOT MATCH","NOT MATCH","FULL MATCH"))</f>
        <v/>
      </c>
      <c r="D269">
        <f>IF($AH269="","",INDEX('Per Line'!$A$2:$A$1501,$AH269)&amp;"")</f>
        <v/>
      </c>
      <c r="E269">
        <f>IF($AH269="","",INDEX('Per Line'!$B$2:$B$1501,$AH269))</f>
        <v/>
      </c>
      <c r="F269">
        <f>IF($AH269="","",INDEX('Per Line'!$C$2:$C$1501,$AH269)&amp;"")</f>
        <v/>
      </c>
      <c r="G269">
        <f>IF($AH269="","",INDEX('Per Line'!$D$2:$D$1501,$AH269)&amp;"")</f>
        <v/>
      </c>
      <c r="H269">
        <f>IF($AH269="","",INDEX('Per Line'!$F$2:$F$1501,$AH269)&amp;"")</f>
        <v/>
      </c>
      <c r="I269" s="14">
        <f>IF($AH269="","",INDEX('Per Line'!$G$2:$G$1501,$AH269))</f>
        <v/>
      </c>
      <c r="J269">
        <f>IF($AH269="","",INDEX('Per Line'!$H$2:$H$1501,$AH269)&amp;"")</f>
        <v/>
      </c>
      <c r="K269">
        <f>IF($AH269="","",INDEX('Per Line'!$J$2:$J$1501,$AH269)&amp;"")</f>
        <v/>
      </c>
      <c r="L269">
        <f>IF($AH269="","",INDEX('Per Line'!$K$2:$K$1501,$AH269)&amp;"")</f>
        <v/>
      </c>
      <c r="M269">
        <f>IF($AH269="","",INDEX('Per Line'!$L$2:$L$1501,$AH269)&amp;"")</f>
        <v/>
      </c>
      <c r="N269">
        <f>IF($AH269="","",INDEX('Per Line'!$M$2:$M$1501,$AH269)&amp;"")</f>
        <v/>
      </c>
      <c r="O269">
        <f>IF($AH269="","",INDEX('Per Line'!$P$2:$P$1501,$AH269))</f>
        <v/>
      </c>
      <c r="P269" s="7">
        <f>IF($AH269="","",O269*AD269/100)</f>
        <v/>
      </c>
      <c r="Q269">
        <f>IF($AH269="","",INDEX('Per Line'!$R$2:$R$1501,$AH269)&amp;"")</f>
        <v/>
      </c>
      <c r="R269">
        <f>IF($AH269="","",INDEX('Per Line'!$AB$2:$AB$1501,$AH269)&amp;"")</f>
        <v/>
      </c>
      <c r="S269">
        <f>IF($AH269="","",Settings!$C$8)</f>
        <v/>
      </c>
      <c r="T269" s="7">
        <f>IF($AH269="","",SUMIFS('Per Line'!$Z$2:$Z$1501,'Per Line'!$E$2:$E$1501,$B269,'Per Line'!$AT$2:$AT$1501,1))</f>
        <v/>
      </c>
      <c r="U269" s="7">
        <f>IF($AH269="","",T269*S269)</f>
        <v/>
      </c>
      <c r="V269">
        <f>IF($AH269="","",Settings!$C$7)</f>
        <v/>
      </c>
      <c r="W269" s="7">
        <f>IF($AH269="","",SUMIFS('Per Line'!$Z$2:$Z$1501,'Per Line'!$E$2:$E$1501,$B269,'Per Line'!$AS$2:$AS$1501,0,'Per Line'!$AT$2:$AT$1501,0))</f>
        <v/>
      </c>
      <c r="X269" s="7">
        <f>IF($AH269="","",W269*V269)</f>
        <v/>
      </c>
      <c r="Y269">
        <f>IF($AH269="","",Settings!$C$6)</f>
        <v/>
      </c>
      <c r="Z269" s="7">
        <f>IF($AH269="","",SUMIFS('Per Line'!$Z$2:$Z$1501,'Per Line'!$E$2:$E$1501,$B269,'Per Line'!$AS$2:$AS$1501,1,'Per Line'!$AT$2:$AT$1501,0))</f>
        <v/>
      </c>
      <c r="AA269" s="7">
        <f>IF($AH269="","",Z269*Y269)</f>
        <v/>
      </c>
      <c r="AB269" s="7">
        <f>IF($AH269="","",AA269+X269+U269)</f>
        <v/>
      </c>
      <c r="AC269" s="7">
        <f>IF($AH269="","",AD269-AB269)</f>
        <v/>
      </c>
      <c r="AD269" s="7">
        <f>IF($AH269="","",W269+Z269+T269)</f>
        <v/>
      </c>
      <c r="AE269" s="7">
        <f>IF($AH269="","",AD269-AB269-P269)</f>
        <v/>
      </c>
      <c r="AF269" s="15" t="n"/>
      <c r="AG269" s="7">
        <f>IF($AH269="","",AE269-N(AF269))</f>
        <v/>
      </c>
      <c r="AH269" s="16">
        <f>IF(ROWS($AH$2:$AH269)&lt;=MAX('Per Line'!$AR$2:$AR$1501),MATCH(ROWS($AH$2:$AH269),'Per Line'!$AR$2:$AR$1501,0),"")</f>
        <v/>
      </c>
      <c r="AI269">
        <f>IF($AH269="","",C269&amp;"|"&amp;COUNTIF($C$2:$C269,C269))</f>
        <v/>
      </c>
    </row>
    <row r="270">
      <c r="A270" s="15" t="n"/>
      <c r="B270">
        <f>IF($AH270="","",INDEX('Per Line'!$E$2:$E$1501,$AH270)&amp;"")</f>
        <v/>
      </c>
      <c r="C270">
        <f>IF($AH270="","",IF(INDEX('Per Line'!$AP$2:$AP$1501,$AH270)="NOT MATCH","NOT MATCH","FULL MATCH"))</f>
        <v/>
      </c>
      <c r="D270">
        <f>IF($AH270="","",INDEX('Per Line'!$A$2:$A$1501,$AH270)&amp;"")</f>
        <v/>
      </c>
      <c r="E270">
        <f>IF($AH270="","",INDEX('Per Line'!$B$2:$B$1501,$AH270))</f>
        <v/>
      </c>
      <c r="F270">
        <f>IF($AH270="","",INDEX('Per Line'!$C$2:$C$1501,$AH270)&amp;"")</f>
        <v/>
      </c>
      <c r="G270">
        <f>IF($AH270="","",INDEX('Per Line'!$D$2:$D$1501,$AH270)&amp;"")</f>
        <v/>
      </c>
      <c r="H270">
        <f>IF($AH270="","",INDEX('Per Line'!$F$2:$F$1501,$AH270)&amp;"")</f>
        <v/>
      </c>
      <c r="I270" s="14">
        <f>IF($AH270="","",INDEX('Per Line'!$G$2:$G$1501,$AH270))</f>
        <v/>
      </c>
      <c r="J270">
        <f>IF($AH270="","",INDEX('Per Line'!$H$2:$H$1501,$AH270)&amp;"")</f>
        <v/>
      </c>
      <c r="K270">
        <f>IF($AH270="","",INDEX('Per Line'!$J$2:$J$1501,$AH270)&amp;"")</f>
        <v/>
      </c>
      <c r="L270">
        <f>IF($AH270="","",INDEX('Per Line'!$K$2:$K$1501,$AH270)&amp;"")</f>
        <v/>
      </c>
      <c r="M270">
        <f>IF($AH270="","",INDEX('Per Line'!$L$2:$L$1501,$AH270)&amp;"")</f>
        <v/>
      </c>
      <c r="N270">
        <f>IF($AH270="","",INDEX('Per Line'!$M$2:$M$1501,$AH270)&amp;"")</f>
        <v/>
      </c>
      <c r="O270">
        <f>IF($AH270="","",INDEX('Per Line'!$P$2:$P$1501,$AH270))</f>
        <v/>
      </c>
      <c r="P270" s="7">
        <f>IF($AH270="","",O270*AD270/100)</f>
        <v/>
      </c>
      <c r="Q270">
        <f>IF($AH270="","",INDEX('Per Line'!$R$2:$R$1501,$AH270)&amp;"")</f>
        <v/>
      </c>
      <c r="R270">
        <f>IF($AH270="","",INDEX('Per Line'!$AB$2:$AB$1501,$AH270)&amp;"")</f>
        <v/>
      </c>
      <c r="S270">
        <f>IF($AH270="","",Settings!$C$8)</f>
        <v/>
      </c>
      <c r="T270" s="7">
        <f>IF($AH270="","",SUMIFS('Per Line'!$Z$2:$Z$1501,'Per Line'!$E$2:$E$1501,$B270,'Per Line'!$AT$2:$AT$1501,1))</f>
        <v/>
      </c>
      <c r="U270" s="7">
        <f>IF($AH270="","",T270*S270)</f>
        <v/>
      </c>
      <c r="V270">
        <f>IF($AH270="","",Settings!$C$7)</f>
        <v/>
      </c>
      <c r="W270" s="7">
        <f>IF($AH270="","",SUMIFS('Per Line'!$Z$2:$Z$1501,'Per Line'!$E$2:$E$1501,$B270,'Per Line'!$AS$2:$AS$1501,0,'Per Line'!$AT$2:$AT$1501,0))</f>
        <v/>
      </c>
      <c r="X270" s="7">
        <f>IF($AH270="","",W270*V270)</f>
        <v/>
      </c>
      <c r="Y270">
        <f>IF($AH270="","",Settings!$C$6)</f>
        <v/>
      </c>
      <c r="Z270" s="7">
        <f>IF($AH270="","",SUMIFS('Per Line'!$Z$2:$Z$1501,'Per Line'!$E$2:$E$1501,$B270,'Per Line'!$AS$2:$AS$1501,1,'Per Line'!$AT$2:$AT$1501,0))</f>
        <v/>
      </c>
      <c r="AA270" s="7">
        <f>IF($AH270="","",Z270*Y270)</f>
        <v/>
      </c>
      <c r="AB270" s="7">
        <f>IF($AH270="","",AA270+X270+U270)</f>
        <v/>
      </c>
      <c r="AC270" s="7">
        <f>IF($AH270="","",AD270-AB270)</f>
        <v/>
      </c>
      <c r="AD270" s="7">
        <f>IF($AH270="","",W270+Z270+T270)</f>
        <v/>
      </c>
      <c r="AE270" s="7">
        <f>IF($AH270="","",AD270-AB270-P270)</f>
        <v/>
      </c>
      <c r="AF270" s="15" t="n"/>
      <c r="AG270" s="7">
        <f>IF($AH270="","",AE270-N(AF270))</f>
        <v/>
      </c>
      <c r="AH270" s="16">
        <f>IF(ROWS($AH$2:$AH270)&lt;=MAX('Per Line'!$AR$2:$AR$1501),MATCH(ROWS($AH$2:$AH270),'Per Line'!$AR$2:$AR$1501,0),"")</f>
        <v/>
      </c>
      <c r="AI270">
        <f>IF($AH270="","",C270&amp;"|"&amp;COUNTIF($C$2:$C270,C270))</f>
        <v/>
      </c>
    </row>
    <row r="271">
      <c r="A271" s="15" t="n"/>
      <c r="B271">
        <f>IF($AH271="","",INDEX('Per Line'!$E$2:$E$1501,$AH271)&amp;"")</f>
        <v/>
      </c>
      <c r="C271">
        <f>IF($AH271="","",IF(INDEX('Per Line'!$AP$2:$AP$1501,$AH271)="NOT MATCH","NOT MATCH","FULL MATCH"))</f>
        <v/>
      </c>
      <c r="D271">
        <f>IF($AH271="","",INDEX('Per Line'!$A$2:$A$1501,$AH271)&amp;"")</f>
        <v/>
      </c>
      <c r="E271">
        <f>IF($AH271="","",INDEX('Per Line'!$B$2:$B$1501,$AH271))</f>
        <v/>
      </c>
      <c r="F271">
        <f>IF($AH271="","",INDEX('Per Line'!$C$2:$C$1501,$AH271)&amp;"")</f>
        <v/>
      </c>
      <c r="G271">
        <f>IF($AH271="","",INDEX('Per Line'!$D$2:$D$1501,$AH271)&amp;"")</f>
        <v/>
      </c>
      <c r="H271">
        <f>IF($AH271="","",INDEX('Per Line'!$F$2:$F$1501,$AH271)&amp;"")</f>
        <v/>
      </c>
      <c r="I271" s="14">
        <f>IF($AH271="","",INDEX('Per Line'!$G$2:$G$1501,$AH271))</f>
        <v/>
      </c>
      <c r="J271">
        <f>IF($AH271="","",INDEX('Per Line'!$H$2:$H$1501,$AH271)&amp;"")</f>
        <v/>
      </c>
      <c r="K271">
        <f>IF($AH271="","",INDEX('Per Line'!$J$2:$J$1501,$AH271)&amp;"")</f>
        <v/>
      </c>
      <c r="L271">
        <f>IF($AH271="","",INDEX('Per Line'!$K$2:$K$1501,$AH271)&amp;"")</f>
        <v/>
      </c>
      <c r="M271">
        <f>IF($AH271="","",INDEX('Per Line'!$L$2:$L$1501,$AH271)&amp;"")</f>
        <v/>
      </c>
      <c r="N271">
        <f>IF($AH271="","",INDEX('Per Line'!$M$2:$M$1501,$AH271)&amp;"")</f>
        <v/>
      </c>
      <c r="O271">
        <f>IF($AH271="","",INDEX('Per Line'!$P$2:$P$1501,$AH271))</f>
        <v/>
      </c>
      <c r="P271" s="7">
        <f>IF($AH271="","",O271*AD271/100)</f>
        <v/>
      </c>
      <c r="Q271">
        <f>IF($AH271="","",INDEX('Per Line'!$R$2:$R$1501,$AH271)&amp;"")</f>
        <v/>
      </c>
      <c r="R271">
        <f>IF($AH271="","",INDEX('Per Line'!$AB$2:$AB$1501,$AH271)&amp;"")</f>
        <v/>
      </c>
      <c r="S271">
        <f>IF($AH271="","",Settings!$C$8)</f>
        <v/>
      </c>
      <c r="T271" s="7">
        <f>IF($AH271="","",SUMIFS('Per Line'!$Z$2:$Z$1501,'Per Line'!$E$2:$E$1501,$B271,'Per Line'!$AT$2:$AT$1501,1))</f>
        <v/>
      </c>
      <c r="U271" s="7">
        <f>IF($AH271="","",T271*S271)</f>
        <v/>
      </c>
      <c r="V271">
        <f>IF($AH271="","",Settings!$C$7)</f>
        <v/>
      </c>
      <c r="W271" s="7">
        <f>IF($AH271="","",SUMIFS('Per Line'!$Z$2:$Z$1501,'Per Line'!$E$2:$E$1501,$B271,'Per Line'!$AS$2:$AS$1501,0,'Per Line'!$AT$2:$AT$1501,0))</f>
        <v/>
      </c>
      <c r="X271" s="7">
        <f>IF($AH271="","",W271*V271)</f>
        <v/>
      </c>
      <c r="Y271">
        <f>IF($AH271="","",Settings!$C$6)</f>
        <v/>
      </c>
      <c r="Z271" s="7">
        <f>IF($AH271="","",SUMIFS('Per Line'!$Z$2:$Z$1501,'Per Line'!$E$2:$E$1501,$B271,'Per Line'!$AS$2:$AS$1501,1,'Per Line'!$AT$2:$AT$1501,0))</f>
        <v/>
      </c>
      <c r="AA271" s="7">
        <f>IF($AH271="","",Z271*Y271)</f>
        <v/>
      </c>
      <c r="AB271" s="7">
        <f>IF($AH271="","",AA271+X271+U271)</f>
        <v/>
      </c>
      <c r="AC271" s="7">
        <f>IF($AH271="","",AD271-AB271)</f>
        <v/>
      </c>
      <c r="AD271" s="7">
        <f>IF($AH271="","",W271+Z271+T271)</f>
        <v/>
      </c>
      <c r="AE271" s="7">
        <f>IF($AH271="","",AD271-AB271-P271)</f>
        <v/>
      </c>
      <c r="AF271" s="15" t="n"/>
      <c r="AG271" s="7">
        <f>IF($AH271="","",AE271-N(AF271))</f>
        <v/>
      </c>
      <c r="AH271" s="16">
        <f>IF(ROWS($AH$2:$AH271)&lt;=MAX('Per Line'!$AR$2:$AR$1501),MATCH(ROWS($AH$2:$AH271),'Per Line'!$AR$2:$AR$1501,0),"")</f>
        <v/>
      </c>
      <c r="AI271">
        <f>IF($AH271="","",C271&amp;"|"&amp;COUNTIF($C$2:$C271,C271))</f>
        <v/>
      </c>
    </row>
    <row r="272">
      <c r="A272" s="15" t="n"/>
      <c r="B272">
        <f>IF($AH272="","",INDEX('Per Line'!$E$2:$E$1501,$AH272)&amp;"")</f>
        <v/>
      </c>
      <c r="C272">
        <f>IF($AH272="","",IF(INDEX('Per Line'!$AP$2:$AP$1501,$AH272)="NOT MATCH","NOT MATCH","FULL MATCH"))</f>
        <v/>
      </c>
      <c r="D272">
        <f>IF($AH272="","",INDEX('Per Line'!$A$2:$A$1501,$AH272)&amp;"")</f>
        <v/>
      </c>
      <c r="E272">
        <f>IF($AH272="","",INDEX('Per Line'!$B$2:$B$1501,$AH272))</f>
        <v/>
      </c>
      <c r="F272">
        <f>IF($AH272="","",INDEX('Per Line'!$C$2:$C$1501,$AH272)&amp;"")</f>
        <v/>
      </c>
      <c r="G272">
        <f>IF($AH272="","",INDEX('Per Line'!$D$2:$D$1501,$AH272)&amp;"")</f>
        <v/>
      </c>
      <c r="H272">
        <f>IF($AH272="","",INDEX('Per Line'!$F$2:$F$1501,$AH272)&amp;"")</f>
        <v/>
      </c>
      <c r="I272" s="14">
        <f>IF($AH272="","",INDEX('Per Line'!$G$2:$G$1501,$AH272))</f>
        <v/>
      </c>
      <c r="J272">
        <f>IF($AH272="","",INDEX('Per Line'!$H$2:$H$1501,$AH272)&amp;"")</f>
        <v/>
      </c>
      <c r="K272">
        <f>IF($AH272="","",INDEX('Per Line'!$J$2:$J$1501,$AH272)&amp;"")</f>
        <v/>
      </c>
      <c r="L272">
        <f>IF($AH272="","",INDEX('Per Line'!$K$2:$K$1501,$AH272)&amp;"")</f>
        <v/>
      </c>
      <c r="M272">
        <f>IF($AH272="","",INDEX('Per Line'!$L$2:$L$1501,$AH272)&amp;"")</f>
        <v/>
      </c>
      <c r="N272">
        <f>IF($AH272="","",INDEX('Per Line'!$M$2:$M$1501,$AH272)&amp;"")</f>
        <v/>
      </c>
      <c r="O272">
        <f>IF($AH272="","",INDEX('Per Line'!$P$2:$P$1501,$AH272))</f>
        <v/>
      </c>
      <c r="P272" s="7">
        <f>IF($AH272="","",O272*AD272/100)</f>
        <v/>
      </c>
      <c r="Q272">
        <f>IF($AH272="","",INDEX('Per Line'!$R$2:$R$1501,$AH272)&amp;"")</f>
        <v/>
      </c>
      <c r="R272">
        <f>IF($AH272="","",INDEX('Per Line'!$AB$2:$AB$1501,$AH272)&amp;"")</f>
        <v/>
      </c>
      <c r="S272">
        <f>IF($AH272="","",Settings!$C$8)</f>
        <v/>
      </c>
      <c r="T272" s="7">
        <f>IF($AH272="","",SUMIFS('Per Line'!$Z$2:$Z$1501,'Per Line'!$E$2:$E$1501,$B272,'Per Line'!$AT$2:$AT$1501,1))</f>
        <v/>
      </c>
      <c r="U272" s="7">
        <f>IF($AH272="","",T272*S272)</f>
        <v/>
      </c>
      <c r="V272">
        <f>IF($AH272="","",Settings!$C$7)</f>
        <v/>
      </c>
      <c r="W272" s="7">
        <f>IF($AH272="","",SUMIFS('Per Line'!$Z$2:$Z$1501,'Per Line'!$E$2:$E$1501,$B272,'Per Line'!$AS$2:$AS$1501,0,'Per Line'!$AT$2:$AT$1501,0))</f>
        <v/>
      </c>
      <c r="X272" s="7">
        <f>IF($AH272="","",W272*V272)</f>
        <v/>
      </c>
      <c r="Y272">
        <f>IF($AH272="","",Settings!$C$6)</f>
        <v/>
      </c>
      <c r="Z272" s="7">
        <f>IF($AH272="","",SUMIFS('Per Line'!$Z$2:$Z$1501,'Per Line'!$E$2:$E$1501,$B272,'Per Line'!$AS$2:$AS$1501,1,'Per Line'!$AT$2:$AT$1501,0))</f>
        <v/>
      </c>
      <c r="AA272" s="7">
        <f>IF($AH272="","",Z272*Y272)</f>
        <v/>
      </c>
      <c r="AB272" s="7">
        <f>IF($AH272="","",AA272+X272+U272)</f>
        <v/>
      </c>
      <c r="AC272" s="7">
        <f>IF($AH272="","",AD272-AB272)</f>
        <v/>
      </c>
      <c r="AD272" s="7">
        <f>IF($AH272="","",W272+Z272+T272)</f>
        <v/>
      </c>
      <c r="AE272" s="7">
        <f>IF($AH272="","",AD272-AB272-P272)</f>
        <v/>
      </c>
      <c r="AF272" s="15" t="n"/>
      <c r="AG272" s="7">
        <f>IF($AH272="","",AE272-N(AF272))</f>
        <v/>
      </c>
      <c r="AH272" s="16">
        <f>IF(ROWS($AH$2:$AH272)&lt;=MAX('Per Line'!$AR$2:$AR$1501),MATCH(ROWS($AH$2:$AH272),'Per Line'!$AR$2:$AR$1501,0),"")</f>
        <v/>
      </c>
      <c r="AI272">
        <f>IF($AH272="","",C272&amp;"|"&amp;COUNTIF($C$2:$C272,C272))</f>
        <v/>
      </c>
    </row>
    <row r="273">
      <c r="A273" s="15" t="n"/>
      <c r="B273">
        <f>IF($AH273="","",INDEX('Per Line'!$E$2:$E$1501,$AH273)&amp;"")</f>
        <v/>
      </c>
      <c r="C273">
        <f>IF($AH273="","",IF(INDEX('Per Line'!$AP$2:$AP$1501,$AH273)="NOT MATCH","NOT MATCH","FULL MATCH"))</f>
        <v/>
      </c>
      <c r="D273">
        <f>IF($AH273="","",INDEX('Per Line'!$A$2:$A$1501,$AH273)&amp;"")</f>
        <v/>
      </c>
      <c r="E273">
        <f>IF($AH273="","",INDEX('Per Line'!$B$2:$B$1501,$AH273))</f>
        <v/>
      </c>
      <c r="F273">
        <f>IF($AH273="","",INDEX('Per Line'!$C$2:$C$1501,$AH273)&amp;"")</f>
        <v/>
      </c>
      <c r="G273">
        <f>IF($AH273="","",INDEX('Per Line'!$D$2:$D$1501,$AH273)&amp;"")</f>
        <v/>
      </c>
      <c r="H273">
        <f>IF($AH273="","",INDEX('Per Line'!$F$2:$F$1501,$AH273)&amp;"")</f>
        <v/>
      </c>
      <c r="I273" s="14">
        <f>IF($AH273="","",INDEX('Per Line'!$G$2:$G$1501,$AH273))</f>
        <v/>
      </c>
      <c r="J273">
        <f>IF($AH273="","",INDEX('Per Line'!$H$2:$H$1501,$AH273)&amp;"")</f>
        <v/>
      </c>
      <c r="K273">
        <f>IF($AH273="","",INDEX('Per Line'!$J$2:$J$1501,$AH273)&amp;"")</f>
        <v/>
      </c>
      <c r="L273">
        <f>IF($AH273="","",INDEX('Per Line'!$K$2:$K$1501,$AH273)&amp;"")</f>
        <v/>
      </c>
      <c r="M273">
        <f>IF($AH273="","",INDEX('Per Line'!$L$2:$L$1501,$AH273)&amp;"")</f>
        <v/>
      </c>
      <c r="N273">
        <f>IF($AH273="","",INDEX('Per Line'!$M$2:$M$1501,$AH273)&amp;"")</f>
        <v/>
      </c>
      <c r="O273">
        <f>IF($AH273="","",INDEX('Per Line'!$P$2:$P$1501,$AH273))</f>
        <v/>
      </c>
      <c r="P273" s="7">
        <f>IF($AH273="","",O273*AD273/100)</f>
        <v/>
      </c>
      <c r="Q273">
        <f>IF($AH273="","",INDEX('Per Line'!$R$2:$R$1501,$AH273)&amp;"")</f>
        <v/>
      </c>
      <c r="R273">
        <f>IF($AH273="","",INDEX('Per Line'!$AB$2:$AB$1501,$AH273)&amp;"")</f>
        <v/>
      </c>
      <c r="S273">
        <f>IF($AH273="","",Settings!$C$8)</f>
        <v/>
      </c>
      <c r="T273" s="7">
        <f>IF($AH273="","",SUMIFS('Per Line'!$Z$2:$Z$1501,'Per Line'!$E$2:$E$1501,$B273,'Per Line'!$AT$2:$AT$1501,1))</f>
        <v/>
      </c>
      <c r="U273" s="7">
        <f>IF($AH273="","",T273*S273)</f>
        <v/>
      </c>
      <c r="V273">
        <f>IF($AH273="","",Settings!$C$7)</f>
        <v/>
      </c>
      <c r="W273" s="7">
        <f>IF($AH273="","",SUMIFS('Per Line'!$Z$2:$Z$1501,'Per Line'!$E$2:$E$1501,$B273,'Per Line'!$AS$2:$AS$1501,0,'Per Line'!$AT$2:$AT$1501,0))</f>
        <v/>
      </c>
      <c r="X273" s="7">
        <f>IF($AH273="","",W273*V273)</f>
        <v/>
      </c>
      <c r="Y273">
        <f>IF($AH273="","",Settings!$C$6)</f>
        <v/>
      </c>
      <c r="Z273" s="7">
        <f>IF($AH273="","",SUMIFS('Per Line'!$Z$2:$Z$1501,'Per Line'!$E$2:$E$1501,$B273,'Per Line'!$AS$2:$AS$1501,1,'Per Line'!$AT$2:$AT$1501,0))</f>
        <v/>
      </c>
      <c r="AA273" s="7">
        <f>IF($AH273="","",Z273*Y273)</f>
        <v/>
      </c>
      <c r="AB273" s="7">
        <f>IF($AH273="","",AA273+X273+U273)</f>
        <v/>
      </c>
      <c r="AC273" s="7">
        <f>IF($AH273="","",AD273-AB273)</f>
        <v/>
      </c>
      <c r="AD273" s="7">
        <f>IF($AH273="","",W273+Z273+T273)</f>
        <v/>
      </c>
      <c r="AE273" s="7">
        <f>IF($AH273="","",AD273-AB273-P273)</f>
        <v/>
      </c>
      <c r="AF273" s="15" t="n"/>
      <c r="AG273" s="7">
        <f>IF($AH273="","",AE273-N(AF273))</f>
        <v/>
      </c>
      <c r="AH273" s="16">
        <f>IF(ROWS($AH$2:$AH273)&lt;=MAX('Per Line'!$AR$2:$AR$1501),MATCH(ROWS($AH$2:$AH273),'Per Line'!$AR$2:$AR$1501,0),"")</f>
        <v/>
      </c>
      <c r="AI273">
        <f>IF($AH273="","",C273&amp;"|"&amp;COUNTIF($C$2:$C273,C273))</f>
        <v/>
      </c>
    </row>
    <row r="274">
      <c r="A274" s="15" t="n"/>
      <c r="B274">
        <f>IF($AH274="","",INDEX('Per Line'!$E$2:$E$1501,$AH274)&amp;"")</f>
        <v/>
      </c>
      <c r="C274">
        <f>IF($AH274="","",IF(INDEX('Per Line'!$AP$2:$AP$1501,$AH274)="NOT MATCH","NOT MATCH","FULL MATCH"))</f>
        <v/>
      </c>
      <c r="D274">
        <f>IF($AH274="","",INDEX('Per Line'!$A$2:$A$1501,$AH274)&amp;"")</f>
        <v/>
      </c>
      <c r="E274">
        <f>IF($AH274="","",INDEX('Per Line'!$B$2:$B$1501,$AH274))</f>
        <v/>
      </c>
      <c r="F274">
        <f>IF($AH274="","",INDEX('Per Line'!$C$2:$C$1501,$AH274)&amp;"")</f>
        <v/>
      </c>
      <c r="G274">
        <f>IF($AH274="","",INDEX('Per Line'!$D$2:$D$1501,$AH274)&amp;"")</f>
        <v/>
      </c>
      <c r="H274">
        <f>IF($AH274="","",INDEX('Per Line'!$F$2:$F$1501,$AH274)&amp;"")</f>
        <v/>
      </c>
      <c r="I274" s="14">
        <f>IF($AH274="","",INDEX('Per Line'!$G$2:$G$1501,$AH274))</f>
        <v/>
      </c>
      <c r="J274">
        <f>IF($AH274="","",INDEX('Per Line'!$H$2:$H$1501,$AH274)&amp;"")</f>
        <v/>
      </c>
      <c r="K274">
        <f>IF($AH274="","",INDEX('Per Line'!$J$2:$J$1501,$AH274)&amp;"")</f>
        <v/>
      </c>
      <c r="L274">
        <f>IF($AH274="","",INDEX('Per Line'!$K$2:$K$1501,$AH274)&amp;"")</f>
        <v/>
      </c>
      <c r="M274">
        <f>IF($AH274="","",INDEX('Per Line'!$L$2:$L$1501,$AH274)&amp;"")</f>
        <v/>
      </c>
      <c r="N274">
        <f>IF($AH274="","",INDEX('Per Line'!$M$2:$M$1501,$AH274)&amp;"")</f>
        <v/>
      </c>
      <c r="O274">
        <f>IF($AH274="","",INDEX('Per Line'!$P$2:$P$1501,$AH274))</f>
        <v/>
      </c>
      <c r="P274" s="7">
        <f>IF($AH274="","",O274*AD274/100)</f>
        <v/>
      </c>
      <c r="Q274">
        <f>IF($AH274="","",INDEX('Per Line'!$R$2:$R$1501,$AH274)&amp;"")</f>
        <v/>
      </c>
      <c r="R274">
        <f>IF($AH274="","",INDEX('Per Line'!$AB$2:$AB$1501,$AH274)&amp;"")</f>
        <v/>
      </c>
      <c r="S274">
        <f>IF($AH274="","",Settings!$C$8)</f>
        <v/>
      </c>
      <c r="T274" s="7">
        <f>IF($AH274="","",SUMIFS('Per Line'!$Z$2:$Z$1501,'Per Line'!$E$2:$E$1501,$B274,'Per Line'!$AT$2:$AT$1501,1))</f>
        <v/>
      </c>
      <c r="U274" s="7">
        <f>IF($AH274="","",T274*S274)</f>
        <v/>
      </c>
      <c r="V274">
        <f>IF($AH274="","",Settings!$C$7)</f>
        <v/>
      </c>
      <c r="W274" s="7">
        <f>IF($AH274="","",SUMIFS('Per Line'!$Z$2:$Z$1501,'Per Line'!$E$2:$E$1501,$B274,'Per Line'!$AS$2:$AS$1501,0,'Per Line'!$AT$2:$AT$1501,0))</f>
        <v/>
      </c>
      <c r="X274" s="7">
        <f>IF($AH274="","",W274*V274)</f>
        <v/>
      </c>
      <c r="Y274">
        <f>IF($AH274="","",Settings!$C$6)</f>
        <v/>
      </c>
      <c r="Z274" s="7">
        <f>IF($AH274="","",SUMIFS('Per Line'!$Z$2:$Z$1501,'Per Line'!$E$2:$E$1501,$B274,'Per Line'!$AS$2:$AS$1501,1,'Per Line'!$AT$2:$AT$1501,0))</f>
        <v/>
      </c>
      <c r="AA274" s="7">
        <f>IF($AH274="","",Z274*Y274)</f>
        <v/>
      </c>
      <c r="AB274" s="7">
        <f>IF($AH274="","",AA274+X274+U274)</f>
        <v/>
      </c>
      <c r="AC274" s="7">
        <f>IF($AH274="","",AD274-AB274)</f>
        <v/>
      </c>
      <c r="AD274" s="7">
        <f>IF($AH274="","",W274+Z274+T274)</f>
        <v/>
      </c>
      <c r="AE274" s="7">
        <f>IF($AH274="","",AD274-AB274-P274)</f>
        <v/>
      </c>
      <c r="AF274" s="15" t="n"/>
      <c r="AG274" s="7">
        <f>IF($AH274="","",AE274-N(AF274))</f>
        <v/>
      </c>
      <c r="AH274" s="16">
        <f>IF(ROWS($AH$2:$AH274)&lt;=MAX('Per Line'!$AR$2:$AR$1501),MATCH(ROWS($AH$2:$AH274),'Per Line'!$AR$2:$AR$1501,0),"")</f>
        <v/>
      </c>
      <c r="AI274">
        <f>IF($AH274="","",C274&amp;"|"&amp;COUNTIF($C$2:$C274,C274))</f>
        <v/>
      </c>
    </row>
    <row r="275">
      <c r="A275" s="15" t="n"/>
      <c r="B275">
        <f>IF($AH275="","",INDEX('Per Line'!$E$2:$E$1501,$AH275)&amp;"")</f>
        <v/>
      </c>
      <c r="C275">
        <f>IF($AH275="","",IF(INDEX('Per Line'!$AP$2:$AP$1501,$AH275)="NOT MATCH","NOT MATCH","FULL MATCH"))</f>
        <v/>
      </c>
      <c r="D275">
        <f>IF($AH275="","",INDEX('Per Line'!$A$2:$A$1501,$AH275)&amp;"")</f>
        <v/>
      </c>
      <c r="E275">
        <f>IF($AH275="","",INDEX('Per Line'!$B$2:$B$1501,$AH275))</f>
        <v/>
      </c>
      <c r="F275">
        <f>IF($AH275="","",INDEX('Per Line'!$C$2:$C$1501,$AH275)&amp;"")</f>
        <v/>
      </c>
      <c r="G275">
        <f>IF($AH275="","",INDEX('Per Line'!$D$2:$D$1501,$AH275)&amp;"")</f>
        <v/>
      </c>
      <c r="H275">
        <f>IF($AH275="","",INDEX('Per Line'!$F$2:$F$1501,$AH275)&amp;"")</f>
        <v/>
      </c>
      <c r="I275" s="14">
        <f>IF($AH275="","",INDEX('Per Line'!$G$2:$G$1501,$AH275))</f>
        <v/>
      </c>
      <c r="J275">
        <f>IF($AH275="","",INDEX('Per Line'!$H$2:$H$1501,$AH275)&amp;"")</f>
        <v/>
      </c>
      <c r="K275">
        <f>IF($AH275="","",INDEX('Per Line'!$J$2:$J$1501,$AH275)&amp;"")</f>
        <v/>
      </c>
      <c r="L275">
        <f>IF($AH275="","",INDEX('Per Line'!$K$2:$K$1501,$AH275)&amp;"")</f>
        <v/>
      </c>
      <c r="M275">
        <f>IF($AH275="","",INDEX('Per Line'!$L$2:$L$1501,$AH275)&amp;"")</f>
        <v/>
      </c>
      <c r="N275">
        <f>IF($AH275="","",INDEX('Per Line'!$M$2:$M$1501,$AH275)&amp;"")</f>
        <v/>
      </c>
      <c r="O275">
        <f>IF($AH275="","",INDEX('Per Line'!$P$2:$P$1501,$AH275))</f>
        <v/>
      </c>
      <c r="P275" s="7">
        <f>IF($AH275="","",O275*AD275/100)</f>
        <v/>
      </c>
      <c r="Q275">
        <f>IF($AH275="","",INDEX('Per Line'!$R$2:$R$1501,$AH275)&amp;"")</f>
        <v/>
      </c>
      <c r="R275">
        <f>IF($AH275="","",INDEX('Per Line'!$AB$2:$AB$1501,$AH275)&amp;"")</f>
        <v/>
      </c>
      <c r="S275">
        <f>IF($AH275="","",Settings!$C$8)</f>
        <v/>
      </c>
      <c r="T275" s="7">
        <f>IF($AH275="","",SUMIFS('Per Line'!$Z$2:$Z$1501,'Per Line'!$E$2:$E$1501,$B275,'Per Line'!$AT$2:$AT$1501,1))</f>
        <v/>
      </c>
      <c r="U275" s="7">
        <f>IF($AH275="","",T275*S275)</f>
        <v/>
      </c>
      <c r="V275">
        <f>IF($AH275="","",Settings!$C$7)</f>
        <v/>
      </c>
      <c r="W275" s="7">
        <f>IF($AH275="","",SUMIFS('Per Line'!$Z$2:$Z$1501,'Per Line'!$E$2:$E$1501,$B275,'Per Line'!$AS$2:$AS$1501,0,'Per Line'!$AT$2:$AT$1501,0))</f>
        <v/>
      </c>
      <c r="X275" s="7">
        <f>IF($AH275="","",W275*V275)</f>
        <v/>
      </c>
      <c r="Y275">
        <f>IF($AH275="","",Settings!$C$6)</f>
        <v/>
      </c>
      <c r="Z275" s="7">
        <f>IF($AH275="","",SUMIFS('Per Line'!$Z$2:$Z$1501,'Per Line'!$E$2:$E$1501,$B275,'Per Line'!$AS$2:$AS$1501,1,'Per Line'!$AT$2:$AT$1501,0))</f>
        <v/>
      </c>
      <c r="AA275" s="7">
        <f>IF($AH275="","",Z275*Y275)</f>
        <v/>
      </c>
      <c r="AB275" s="7">
        <f>IF($AH275="","",AA275+X275+U275)</f>
        <v/>
      </c>
      <c r="AC275" s="7">
        <f>IF($AH275="","",AD275-AB275)</f>
        <v/>
      </c>
      <c r="AD275" s="7">
        <f>IF($AH275="","",W275+Z275+T275)</f>
        <v/>
      </c>
      <c r="AE275" s="7">
        <f>IF($AH275="","",AD275-AB275-P275)</f>
        <v/>
      </c>
      <c r="AF275" s="15" t="n"/>
      <c r="AG275" s="7">
        <f>IF($AH275="","",AE275-N(AF275))</f>
        <v/>
      </c>
      <c r="AH275" s="16">
        <f>IF(ROWS($AH$2:$AH275)&lt;=MAX('Per Line'!$AR$2:$AR$1501),MATCH(ROWS($AH$2:$AH275),'Per Line'!$AR$2:$AR$1501,0),"")</f>
        <v/>
      </c>
      <c r="AI275">
        <f>IF($AH275="","",C275&amp;"|"&amp;COUNTIF($C$2:$C275,C275))</f>
        <v/>
      </c>
    </row>
    <row r="276">
      <c r="A276" s="15" t="n"/>
      <c r="B276">
        <f>IF($AH276="","",INDEX('Per Line'!$E$2:$E$1501,$AH276)&amp;"")</f>
        <v/>
      </c>
      <c r="C276">
        <f>IF($AH276="","",IF(INDEX('Per Line'!$AP$2:$AP$1501,$AH276)="NOT MATCH","NOT MATCH","FULL MATCH"))</f>
        <v/>
      </c>
      <c r="D276">
        <f>IF($AH276="","",INDEX('Per Line'!$A$2:$A$1501,$AH276)&amp;"")</f>
        <v/>
      </c>
      <c r="E276">
        <f>IF($AH276="","",INDEX('Per Line'!$B$2:$B$1501,$AH276))</f>
        <v/>
      </c>
      <c r="F276">
        <f>IF($AH276="","",INDEX('Per Line'!$C$2:$C$1501,$AH276)&amp;"")</f>
        <v/>
      </c>
      <c r="G276">
        <f>IF($AH276="","",INDEX('Per Line'!$D$2:$D$1501,$AH276)&amp;"")</f>
        <v/>
      </c>
      <c r="H276">
        <f>IF($AH276="","",INDEX('Per Line'!$F$2:$F$1501,$AH276)&amp;"")</f>
        <v/>
      </c>
      <c r="I276" s="14">
        <f>IF($AH276="","",INDEX('Per Line'!$G$2:$G$1501,$AH276))</f>
        <v/>
      </c>
      <c r="J276">
        <f>IF($AH276="","",INDEX('Per Line'!$H$2:$H$1501,$AH276)&amp;"")</f>
        <v/>
      </c>
      <c r="K276">
        <f>IF($AH276="","",INDEX('Per Line'!$J$2:$J$1501,$AH276)&amp;"")</f>
        <v/>
      </c>
      <c r="L276">
        <f>IF($AH276="","",INDEX('Per Line'!$K$2:$K$1501,$AH276)&amp;"")</f>
        <v/>
      </c>
      <c r="M276">
        <f>IF($AH276="","",INDEX('Per Line'!$L$2:$L$1501,$AH276)&amp;"")</f>
        <v/>
      </c>
      <c r="N276">
        <f>IF($AH276="","",INDEX('Per Line'!$M$2:$M$1501,$AH276)&amp;"")</f>
        <v/>
      </c>
      <c r="O276">
        <f>IF($AH276="","",INDEX('Per Line'!$P$2:$P$1501,$AH276))</f>
        <v/>
      </c>
      <c r="P276" s="7">
        <f>IF($AH276="","",O276*AD276/100)</f>
        <v/>
      </c>
      <c r="Q276">
        <f>IF($AH276="","",INDEX('Per Line'!$R$2:$R$1501,$AH276)&amp;"")</f>
        <v/>
      </c>
      <c r="R276">
        <f>IF($AH276="","",INDEX('Per Line'!$AB$2:$AB$1501,$AH276)&amp;"")</f>
        <v/>
      </c>
      <c r="S276">
        <f>IF($AH276="","",Settings!$C$8)</f>
        <v/>
      </c>
      <c r="T276" s="7">
        <f>IF($AH276="","",SUMIFS('Per Line'!$Z$2:$Z$1501,'Per Line'!$E$2:$E$1501,$B276,'Per Line'!$AT$2:$AT$1501,1))</f>
        <v/>
      </c>
      <c r="U276" s="7">
        <f>IF($AH276="","",T276*S276)</f>
        <v/>
      </c>
      <c r="V276">
        <f>IF($AH276="","",Settings!$C$7)</f>
        <v/>
      </c>
      <c r="W276" s="7">
        <f>IF($AH276="","",SUMIFS('Per Line'!$Z$2:$Z$1501,'Per Line'!$E$2:$E$1501,$B276,'Per Line'!$AS$2:$AS$1501,0,'Per Line'!$AT$2:$AT$1501,0))</f>
        <v/>
      </c>
      <c r="X276" s="7">
        <f>IF($AH276="","",W276*V276)</f>
        <v/>
      </c>
      <c r="Y276">
        <f>IF($AH276="","",Settings!$C$6)</f>
        <v/>
      </c>
      <c r="Z276" s="7">
        <f>IF($AH276="","",SUMIFS('Per Line'!$Z$2:$Z$1501,'Per Line'!$E$2:$E$1501,$B276,'Per Line'!$AS$2:$AS$1501,1,'Per Line'!$AT$2:$AT$1501,0))</f>
        <v/>
      </c>
      <c r="AA276" s="7">
        <f>IF($AH276="","",Z276*Y276)</f>
        <v/>
      </c>
      <c r="AB276" s="7">
        <f>IF($AH276="","",AA276+X276+U276)</f>
        <v/>
      </c>
      <c r="AC276" s="7">
        <f>IF($AH276="","",AD276-AB276)</f>
        <v/>
      </c>
      <c r="AD276" s="7">
        <f>IF($AH276="","",W276+Z276+T276)</f>
        <v/>
      </c>
      <c r="AE276" s="7">
        <f>IF($AH276="","",AD276-AB276-P276)</f>
        <v/>
      </c>
      <c r="AF276" s="15" t="n"/>
      <c r="AG276" s="7">
        <f>IF($AH276="","",AE276-N(AF276))</f>
        <v/>
      </c>
      <c r="AH276" s="16">
        <f>IF(ROWS($AH$2:$AH276)&lt;=MAX('Per Line'!$AR$2:$AR$1501),MATCH(ROWS($AH$2:$AH276),'Per Line'!$AR$2:$AR$1501,0),"")</f>
        <v/>
      </c>
      <c r="AI276">
        <f>IF($AH276="","",C276&amp;"|"&amp;COUNTIF($C$2:$C276,C276))</f>
        <v/>
      </c>
    </row>
    <row r="277">
      <c r="A277" s="15" t="n"/>
      <c r="B277">
        <f>IF($AH277="","",INDEX('Per Line'!$E$2:$E$1501,$AH277)&amp;"")</f>
        <v/>
      </c>
      <c r="C277">
        <f>IF($AH277="","",IF(INDEX('Per Line'!$AP$2:$AP$1501,$AH277)="NOT MATCH","NOT MATCH","FULL MATCH"))</f>
        <v/>
      </c>
      <c r="D277">
        <f>IF($AH277="","",INDEX('Per Line'!$A$2:$A$1501,$AH277)&amp;"")</f>
        <v/>
      </c>
      <c r="E277">
        <f>IF($AH277="","",INDEX('Per Line'!$B$2:$B$1501,$AH277))</f>
        <v/>
      </c>
      <c r="F277">
        <f>IF($AH277="","",INDEX('Per Line'!$C$2:$C$1501,$AH277)&amp;"")</f>
        <v/>
      </c>
      <c r="G277">
        <f>IF($AH277="","",INDEX('Per Line'!$D$2:$D$1501,$AH277)&amp;"")</f>
        <v/>
      </c>
      <c r="H277">
        <f>IF($AH277="","",INDEX('Per Line'!$F$2:$F$1501,$AH277)&amp;"")</f>
        <v/>
      </c>
      <c r="I277" s="14">
        <f>IF($AH277="","",INDEX('Per Line'!$G$2:$G$1501,$AH277))</f>
        <v/>
      </c>
      <c r="J277">
        <f>IF($AH277="","",INDEX('Per Line'!$H$2:$H$1501,$AH277)&amp;"")</f>
        <v/>
      </c>
      <c r="K277">
        <f>IF($AH277="","",INDEX('Per Line'!$J$2:$J$1501,$AH277)&amp;"")</f>
        <v/>
      </c>
      <c r="L277">
        <f>IF($AH277="","",INDEX('Per Line'!$K$2:$K$1501,$AH277)&amp;"")</f>
        <v/>
      </c>
      <c r="M277">
        <f>IF($AH277="","",INDEX('Per Line'!$L$2:$L$1501,$AH277)&amp;"")</f>
        <v/>
      </c>
      <c r="N277">
        <f>IF($AH277="","",INDEX('Per Line'!$M$2:$M$1501,$AH277)&amp;"")</f>
        <v/>
      </c>
      <c r="O277">
        <f>IF($AH277="","",INDEX('Per Line'!$P$2:$P$1501,$AH277))</f>
        <v/>
      </c>
      <c r="P277" s="7">
        <f>IF($AH277="","",O277*AD277/100)</f>
        <v/>
      </c>
      <c r="Q277">
        <f>IF($AH277="","",INDEX('Per Line'!$R$2:$R$1501,$AH277)&amp;"")</f>
        <v/>
      </c>
      <c r="R277">
        <f>IF($AH277="","",INDEX('Per Line'!$AB$2:$AB$1501,$AH277)&amp;"")</f>
        <v/>
      </c>
      <c r="S277">
        <f>IF($AH277="","",Settings!$C$8)</f>
        <v/>
      </c>
      <c r="T277" s="7">
        <f>IF($AH277="","",SUMIFS('Per Line'!$Z$2:$Z$1501,'Per Line'!$E$2:$E$1501,$B277,'Per Line'!$AT$2:$AT$1501,1))</f>
        <v/>
      </c>
      <c r="U277" s="7">
        <f>IF($AH277="","",T277*S277)</f>
        <v/>
      </c>
      <c r="V277">
        <f>IF($AH277="","",Settings!$C$7)</f>
        <v/>
      </c>
      <c r="W277" s="7">
        <f>IF($AH277="","",SUMIFS('Per Line'!$Z$2:$Z$1501,'Per Line'!$E$2:$E$1501,$B277,'Per Line'!$AS$2:$AS$1501,0,'Per Line'!$AT$2:$AT$1501,0))</f>
        <v/>
      </c>
      <c r="X277" s="7">
        <f>IF($AH277="","",W277*V277)</f>
        <v/>
      </c>
      <c r="Y277">
        <f>IF($AH277="","",Settings!$C$6)</f>
        <v/>
      </c>
      <c r="Z277" s="7">
        <f>IF($AH277="","",SUMIFS('Per Line'!$Z$2:$Z$1501,'Per Line'!$E$2:$E$1501,$B277,'Per Line'!$AS$2:$AS$1501,1,'Per Line'!$AT$2:$AT$1501,0))</f>
        <v/>
      </c>
      <c r="AA277" s="7">
        <f>IF($AH277="","",Z277*Y277)</f>
        <v/>
      </c>
      <c r="AB277" s="7">
        <f>IF($AH277="","",AA277+X277+U277)</f>
        <v/>
      </c>
      <c r="AC277" s="7">
        <f>IF($AH277="","",AD277-AB277)</f>
        <v/>
      </c>
      <c r="AD277" s="7">
        <f>IF($AH277="","",W277+Z277+T277)</f>
        <v/>
      </c>
      <c r="AE277" s="7">
        <f>IF($AH277="","",AD277-AB277-P277)</f>
        <v/>
      </c>
      <c r="AF277" s="15" t="n"/>
      <c r="AG277" s="7">
        <f>IF($AH277="","",AE277-N(AF277))</f>
        <v/>
      </c>
      <c r="AH277" s="16">
        <f>IF(ROWS($AH$2:$AH277)&lt;=MAX('Per Line'!$AR$2:$AR$1501),MATCH(ROWS($AH$2:$AH277),'Per Line'!$AR$2:$AR$1501,0),"")</f>
        <v/>
      </c>
      <c r="AI277">
        <f>IF($AH277="","",C277&amp;"|"&amp;COUNTIF($C$2:$C277,C277))</f>
        <v/>
      </c>
    </row>
    <row r="278">
      <c r="A278" s="15" t="n"/>
      <c r="B278">
        <f>IF($AH278="","",INDEX('Per Line'!$E$2:$E$1501,$AH278)&amp;"")</f>
        <v/>
      </c>
      <c r="C278">
        <f>IF($AH278="","",IF(INDEX('Per Line'!$AP$2:$AP$1501,$AH278)="NOT MATCH","NOT MATCH","FULL MATCH"))</f>
        <v/>
      </c>
      <c r="D278">
        <f>IF($AH278="","",INDEX('Per Line'!$A$2:$A$1501,$AH278)&amp;"")</f>
        <v/>
      </c>
      <c r="E278">
        <f>IF($AH278="","",INDEX('Per Line'!$B$2:$B$1501,$AH278))</f>
        <v/>
      </c>
      <c r="F278">
        <f>IF($AH278="","",INDEX('Per Line'!$C$2:$C$1501,$AH278)&amp;"")</f>
        <v/>
      </c>
      <c r="G278">
        <f>IF($AH278="","",INDEX('Per Line'!$D$2:$D$1501,$AH278)&amp;"")</f>
        <v/>
      </c>
      <c r="H278">
        <f>IF($AH278="","",INDEX('Per Line'!$F$2:$F$1501,$AH278)&amp;"")</f>
        <v/>
      </c>
      <c r="I278" s="14">
        <f>IF($AH278="","",INDEX('Per Line'!$G$2:$G$1501,$AH278))</f>
        <v/>
      </c>
      <c r="J278">
        <f>IF($AH278="","",INDEX('Per Line'!$H$2:$H$1501,$AH278)&amp;"")</f>
        <v/>
      </c>
      <c r="K278">
        <f>IF($AH278="","",INDEX('Per Line'!$J$2:$J$1501,$AH278)&amp;"")</f>
        <v/>
      </c>
      <c r="L278">
        <f>IF($AH278="","",INDEX('Per Line'!$K$2:$K$1501,$AH278)&amp;"")</f>
        <v/>
      </c>
      <c r="M278">
        <f>IF($AH278="","",INDEX('Per Line'!$L$2:$L$1501,$AH278)&amp;"")</f>
        <v/>
      </c>
      <c r="N278">
        <f>IF($AH278="","",INDEX('Per Line'!$M$2:$M$1501,$AH278)&amp;"")</f>
        <v/>
      </c>
      <c r="O278">
        <f>IF($AH278="","",INDEX('Per Line'!$P$2:$P$1501,$AH278))</f>
        <v/>
      </c>
      <c r="P278" s="7">
        <f>IF($AH278="","",O278*AD278/100)</f>
        <v/>
      </c>
      <c r="Q278">
        <f>IF($AH278="","",INDEX('Per Line'!$R$2:$R$1501,$AH278)&amp;"")</f>
        <v/>
      </c>
      <c r="R278">
        <f>IF($AH278="","",INDEX('Per Line'!$AB$2:$AB$1501,$AH278)&amp;"")</f>
        <v/>
      </c>
      <c r="S278">
        <f>IF($AH278="","",Settings!$C$8)</f>
        <v/>
      </c>
      <c r="T278" s="7">
        <f>IF($AH278="","",SUMIFS('Per Line'!$Z$2:$Z$1501,'Per Line'!$E$2:$E$1501,$B278,'Per Line'!$AT$2:$AT$1501,1))</f>
        <v/>
      </c>
      <c r="U278" s="7">
        <f>IF($AH278="","",T278*S278)</f>
        <v/>
      </c>
      <c r="V278">
        <f>IF($AH278="","",Settings!$C$7)</f>
        <v/>
      </c>
      <c r="W278" s="7">
        <f>IF($AH278="","",SUMIFS('Per Line'!$Z$2:$Z$1501,'Per Line'!$E$2:$E$1501,$B278,'Per Line'!$AS$2:$AS$1501,0,'Per Line'!$AT$2:$AT$1501,0))</f>
        <v/>
      </c>
      <c r="X278" s="7">
        <f>IF($AH278="","",W278*V278)</f>
        <v/>
      </c>
      <c r="Y278">
        <f>IF($AH278="","",Settings!$C$6)</f>
        <v/>
      </c>
      <c r="Z278" s="7">
        <f>IF($AH278="","",SUMIFS('Per Line'!$Z$2:$Z$1501,'Per Line'!$E$2:$E$1501,$B278,'Per Line'!$AS$2:$AS$1501,1,'Per Line'!$AT$2:$AT$1501,0))</f>
        <v/>
      </c>
      <c r="AA278" s="7">
        <f>IF($AH278="","",Z278*Y278)</f>
        <v/>
      </c>
      <c r="AB278" s="7">
        <f>IF($AH278="","",AA278+X278+U278)</f>
        <v/>
      </c>
      <c r="AC278" s="7">
        <f>IF($AH278="","",AD278-AB278)</f>
        <v/>
      </c>
      <c r="AD278" s="7">
        <f>IF($AH278="","",W278+Z278+T278)</f>
        <v/>
      </c>
      <c r="AE278" s="7">
        <f>IF($AH278="","",AD278-AB278-P278)</f>
        <v/>
      </c>
      <c r="AF278" s="15" t="n"/>
      <c r="AG278" s="7">
        <f>IF($AH278="","",AE278-N(AF278))</f>
        <v/>
      </c>
      <c r="AH278" s="16">
        <f>IF(ROWS($AH$2:$AH278)&lt;=MAX('Per Line'!$AR$2:$AR$1501),MATCH(ROWS($AH$2:$AH278),'Per Line'!$AR$2:$AR$1501,0),"")</f>
        <v/>
      </c>
      <c r="AI278">
        <f>IF($AH278="","",C278&amp;"|"&amp;COUNTIF($C$2:$C278,C278))</f>
        <v/>
      </c>
    </row>
    <row r="279">
      <c r="A279" s="15" t="n"/>
      <c r="B279">
        <f>IF($AH279="","",INDEX('Per Line'!$E$2:$E$1501,$AH279)&amp;"")</f>
        <v/>
      </c>
      <c r="C279">
        <f>IF($AH279="","",IF(INDEX('Per Line'!$AP$2:$AP$1501,$AH279)="NOT MATCH","NOT MATCH","FULL MATCH"))</f>
        <v/>
      </c>
      <c r="D279">
        <f>IF($AH279="","",INDEX('Per Line'!$A$2:$A$1501,$AH279)&amp;"")</f>
        <v/>
      </c>
      <c r="E279">
        <f>IF($AH279="","",INDEX('Per Line'!$B$2:$B$1501,$AH279))</f>
        <v/>
      </c>
      <c r="F279">
        <f>IF($AH279="","",INDEX('Per Line'!$C$2:$C$1501,$AH279)&amp;"")</f>
        <v/>
      </c>
      <c r="G279">
        <f>IF($AH279="","",INDEX('Per Line'!$D$2:$D$1501,$AH279)&amp;"")</f>
        <v/>
      </c>
      <c r="H279">
        <f>IF($AH279="","",INDEX('Per Line'!$F$2:$F$1501,$AH279)&amp;"")</f>
        <v/>
      </c>
      <c r="I279" s="14">
        <f>IF($AH279="","",INDEX('Per Line'!$G$2:$G$1501,$AH279))</f>
        <v/>
      </c>
      <c r="J279">
        <f>IF($AH279="","",INDEX('Per Line'!$H$2:$H$1501,$AH279)&amp;"")</f>
        <v/>
      </c>
      <c r="K279">
        <f>IF($AH279="","",INDEX('Per Line'!$J$2:$J$1501,$AH279)&amp;"")</f>
        <v/>
      </c>
      <c r="L279">
        <f>IF($AH279="","",INDEX('Per Line'!$K$2:$K$1501,$AH279)&amp;"")</f>
        <v/>
      </c>
      <c r="M279">
        <f>IF($AH279="","",INDEX('Per Line'!$L$2:$L$1501,$AH279)&amp;"")</f>
        <v/>
      </c>
      <c r="N279">
        <f>IF($AH279="","",INDEX('Per Line'!$M$2:$M$1501,$AH279)&amp;"")</f>
        <v/>
      </c>
      <c r="O279">
        <f>IF($AH279="","",INDEX('Per Line'!$P$2:$P$1501,$AH279))</f>
        <v/>
      </c>
      <c r="P279" s="7">
        <f>IF($AH279="","",O279*AD279/100)</f>
        <v/>
      </c>
      <c r="Q279">
        <f>IF($AH279="","",INDEX('Per Line'!$R$2:$R$1501,$AH279)&amp;"")</f>
        <v/>
      </c>
      <c r="R279">
        <f>IF($AH279="","",INDEX('Per Line'!$AB$2:$AB$1501,$AH279)&amp;"")</f>
        <v/>
      </c>
      <c r="S279">
        <f>IF($AH279="","",Settings!$C$8)</f>
        <v/>
      </c>
      <c r="T279" s="7">
        <f>IF($AH279="","",SUMIFS('Per Line'!$Z$2:$Z$1501,'Per Line'!$E$2:$E$1501,$B279,'Per Line'!$AT$2:$AT$1501,1))</f>
        <v/>
      </c>
      <c r="U279" s="7">
        <f>IF($AH279="","",T279*S279)</f>
        <v/>
      </c>
      <c r="V279">
        <f>IF($AH279="","",Settings!$C$7)</f>
        <v/>
      </c>
      <c r="W279" s="7">
        <f>IF($AH279="","",SUMIFS('Per Line'!$Z$2:$Z$1501,'Per Line'!$E$2:$E$1501,$B279,'Per Line'!$AS$2:$AS$1501,0,'Per Line'!$AT$2:$AT$1501,0))</f>
        <v/>
      </c>
      <c r="X279" s="7">
        <f>IF($AH279="","",W279*V279)</f>
        <v/>
      </c>
      <c r="Y279">
        <f>IF($AH279="","",Settings!$C$6)</f>
        <v/>
      </c>
      <c r="Z279" s="7">
        <f>IF($AH279="","",SUMIFS('Per Line'!$Z$2:$Z$1501,'Per Line'!$E$2:$E$1501,$B279,'Per Line'!$AS$2:$AS$1501,1,'Per Line'!$AT$2:$AT$1501,0))</f>
        <v/>
      </c>
      <c r="AA279" s="7">
        <f>IF($AH279="","",Z279*Y279)</f>
        <v/>
      </c>
      <c r="AB279" s="7">
        <f>IF($AH279="","",AA279+X279+U279)</f>
        <v/>
      </c>
      <c r="AC279" s="7">
        <f>IF($AH279="","",AD279-AB279)</f>
        <v/>
      </c>
      <c r="AD279" s="7">
        <f>IF($AH279="","",W279+Z279+T279)</f>
        <v/>
      </c>
      <c r="AE279" s="7">
        <f>IF($AH279="","",AD279-AB279-P279)</f>
        <v/>
      </c>
      <c r="AF279" s="15" t="n"/>
      <c r="AG279" s="7">
        <f>IF($AH279="","",AE279-N(AF279))</f>
        <v/>
      </c>
      <c r="AH279" s="16">
        <f>IF(ROWS($AH$2:$AH279)&lt;=MAX('Per Line'!$AR$2:$AR$1501),MATCH(ROWS($AH$2:$AH279),'Per Line'!$AR$2:$AR$1501,0),"")</f>
        <v/>
      </c>
      <c r="AI279">
        <f>IF($AH279="","",C279&amp;"|"&amp;COUNTIF($C$2:$C279,C279))</f>
        <v/>
      </c>
    </row>
    <row r="280">
      <c r="A280" s="15" t="n"/>
      <c r="B280">
        <f>IF($AH280="","",INDEX('Per Line'!$E$2:$E$1501,$AH280)&amp;"")</f>
        <v/>
      </c>
      <c r="C280">
        <f>IF($AH280="","",IF(INDEX('Per Line'!$AP$2:$AP$1501,$AH280)="NOT MATCH","NOT MATCH","FULL MATCH"))</f>
        <v/>
      </c>
      <c r="D280">
        <f>IF($AH280="","",INDEX('Per Line'!$A$2:$A$1501,$AH280)&amp;"")</f>
        <v/>
      </c>
      <c r="E280">
        <f>IF($AH280="","",INDEX('Per Line'!$B$2:$B$1501,$AH280))</f>
        <v/>
      </c>
      <c r="F280">
        <f>IF($AH280="","",INDEX('Per Line'!$C$2:$C$1501,$AH280)&amp;"")</f>
        <v/>
      </c>
      <c r="G280">
        <f>IF($AH280="","",INDEX('Per Line'!$D$2:$D$1501,$AH280)&amp;"")</f>
        <v/>
      </c>
      <c r="H280">
        <f>IF($AH280="","",INDEX('Per Line'!$F$2:$F$1501,$AH280)&amp;"")</f>
        <v/>
      </c>
      <c r="I280" s="14">
        <f>IF($AH280="","",INDEX('Per Line'!$G$2:$G$1501,$AH280))</f>
        <v/>
      </c>
      <c r="J280">
        <f>IF($AH280="","",INDEX('Per Line'!$H$2:$H$1501,$AH280)&amp;"")</f>
        <v/>
      </c>
      <c r="K280">
        <f>IF($AH280="","",INDEX('Per Line'!$J$2:$J$1501,$AH280)&amp;"")</f>
        <v/>
      </c>
      <c r="L280">
        <f>IF($AH280="","",INDEX('Per Line'!$K$2:$K$1501,$AH280)&amp;"")</f>
        <v/>
      </c>
      <c r="M280">
        <f>IF($AH280="","",INDEX('Per Line'!$L$2:$L$1501,$AH280)&amp;"")</f>
        <v/>
      </c>
      <c r="N280">
        <f>IF($AH280="","",INDEX('Per Line'!$M$2:$M$1501,$AH280)&amp;"")</f>
        <v/>
      </c>
      <c r="O280">
        <f>IF($AH280="","",INDEX('Per Line'!$P$2:$P$1501,$AH280))</f>
        <v/>
      </c>
      <c r="P280" s="7">
        <f>IF($AH280="","",O280*AD280/100)</f>
        <v/>
      </c>
      <c r="Q280">
        <f>IF($AH280="","",INDEX('Per Line'!$R$2:$R$1501,$AH280)&amp;"")</f>
        <v/>
      </c>
      <c r="R280">
        <f>IF($AH280="","",INDEX('Per Line'!$AB$2:$AB$1501,$AH280)&amp;"")</f>
        <v/>
      </c>
      <c r="S280">
        <f>IF($AH280="","",Settings!$C$8)</f>
        <v/>
      </c>
      <c r="T280" s="7">
        <f>IF($AH280="","",SUMIFS('Per Line'!$Z$2:$Z$1501,'Per Line'!$E$2:$E$1501,$B280,'Per Line'!$AT$2:$AT$1501,1))</f>
        <v/>
      </c>
      <c r="U280" s="7">
        <f>IF($AH280="","",T280*S280)</f>
        <v/>
      </c>
      <c r="V280">
        <f>IF($AH280="","",Settings!$C$7)</f>
        <v/>
      </c>
      <c r="W280" s="7">
        <f>IF($AH280="","",SUMIFS('Per Line'!$Z$2:$Z$1501,'Per Line'!$E$2:$E$1501,$B280,'Per Line'!$AS$2:$AS$1501,0,'Per Line'!$AT$2:$AT$1501,0))</f>
        <v/>
      </c>
      <c r="X280" s="7">
        <f>IF($AH280="","",W280*V280)</f>
        <v/>
      </c>
      <c r="Y280">
        <f>IF($AH280="","",Settings!$C$6)</f>
        <v/>
      </c>
      <c r="Z280" s="7">
        <f>IF($AH280="","",SUMIFS('Per Line'!$Z$2:$Z$1501,'Per Line'!$E$2:$E$1501,$B280,'Per Line'!$AS$2:$AS$1501,1,'Per Line'!$AT$2:$AT$1501,0))</f>
        <v/>
      </c>
      <c r="AA280" s="7">
        <f>IF($AH280="","",Z280*Y280)</f>
        <v/>
      </c>
      <c r="AB280" s="7">
        <f>IF($AH280="","",AA280+X280+U280)</f>
        <v/>
      </c>
      <c r="AC280" s="7">
        <f>IF($AH280="","",AD280-AB280)</f>
        <v/>
      </c>
      <c r="AD280" s="7">
        <f>IF($AH280="","",W280+Z280+T280)</f>
        <v/>
      </c>
      <c r="AE280" s="7">
        <f>IF($AH280="","",AD280-AB280-P280)</f>
        <v/>
      </c>
      <c r="AF280" s="15" t="n"/>
      <c r="AG280" s="7">
        <f>IF($AH280="","",AE280-N(AF280))</f>
        <v/>
      </c>
      <c r="AH280" s="16">
        <f>IF(ROWS($AH$2:$AH280)&lt;=MAX('Per Line'!$AR$2:$AR$1501),MATCH(ROWS($AH$2:$AH280),'Per Line'!$AR$2:$AR$1501,0),"")</f>
        <v/>
      </c>
      <c r="AI280">
        <f>IF($AH280="","",C280&amp;"|"&amp;COUNTIF($C$2:$C280,C280))</f>
        <v/>
      </c>
    </row>
    <row r="281">
      <c r="A281" s="15" t="n"/>
      <c r="B281">
        <f>IF($AH281="","",INDEX('Per Line'!$E$2:$E$1501,$AH281)&amp;"")</f>
        <v/>
      </c>
      <c r="C281">
        <f>IF($AH281="","",IF(INDEX('Per Line'!$AP$2:$AP$1501,$AH281)="NOT MATCH","NOT MATCH","FULL MATCH"))</f>
        <v/>
      </c>
      <c r="D281">
        <f>IF($AH281="","",INDEX('Per Line'!$A$2:$A$1501,$AH281)&amp;"")</f>
        <v/>
      </c>
      <c r="E281">
        <f>IF($AH281="","",INDEX('Per Line'!$B$2:$B$1501,$AH281))</f>
        <v/>
      </c>
      <c r="F281">
        <f>IF($AH281="","",INDEX('Per Line'!$C$2:$C$1501,$AH281)&amp;"")</f>
        <v/>
      </c>
      <c r="G281">
        <f>IF($AH281="","",INDEX('Per Line'!$D$2:$D$1501,$AH281)&amp;"")</f>
        <v/>
      </c>
      <c r="H281">
        <f>IF($AH281="","",INDEX('Per Line'!$F$2:$F$1501,$AH281)&amp;"")</f>
        <v/>
      </c>
      <c r="I281" s="14">
        <f>IF($AH281="","",INDEX('Per Line'!$G$2:$G$1501,$AH281))</f>
        <v/>
      </c>
      <c r="J281">
        <f>IF($AH281="","",INDEX('Per Line'!$H$2:$H$1501,$AH281)&amp;"")</f>
        <v/>
      </c>
      <c r="K281">
        <f>IF($AH281="","",INDEX('Per Line'!$J$2:$J$1501,$AH281)&amp;"")</f>
        <v/>
      </c>
      <c r="L281">
        <f>IF($AH281="","",INDEX('Per Line'!$K$2:$K$1501,$AH281)&amp;"")</f>
        <v/>
      </c>
      <c r="M281">
        <f>IF($AH281="","",INDEX('Per Line'!$L$2:$L$1501,$AH281)&amp;"")</f>
        <v/>
      </c>
      <c r="N281">
        <f>IF($AH281="","",INDEX('Per Line'!$M$2:$M$1501,$AH281)&amp;"")</f>
        <v/>
      </c>
      <c r="O281">
        <f>IF($AH281="","",INDEX('Per Line'!$P$2:$P$1501,$AH281))</f>
        <v/>
      </c>
      <c r="P281" s="7">
        <f>IF($AH281="","",O281*AD281/100)</f>
        <v/>
      </c>
      <c r="Q281">
        <f>IF($AH281="","",INDEX('Per Line'!$R$2:$R$1501,$AH281)&amp;"")</f>
        <v/>
      </c>
      <c r="R281">
        <f>IF($AH281="","",INDEX('Per Line'!$AB$2:$AB$1501,$AH281)&amp;"")</f>
        <v/>
      </c>
      <c r="S281">
        <f>IF($AH281="","",Settings!$C$8)</f>
        <v/>
      </c>
      <c r="T281" s="7">
        <f>IF($AH281="","",SUMIFS('Per Line'!$Z$2:$Z$1501,'Per Line'!$E$2:$E$1501,$B281,'Per Line'!$AT$2:$AT$1501,1))</f>
        <v/>
      </c>
      <c r="U281" s="7">
        <f>IF($AH281="","",T281*S281)</f>
        <v/>
      </c>
      <c r="V281">
        <f>IF($AH281="","",Settings!$C$7)</f>
        <v/>
      </c>
      <c r="W281" s="7">
        <f>IF($AH281="","",SUMIFS('Per Line'!$Z$2:$Z$1501,'Per Line'!$E$2:$E$1501,$B281,'Per Line'!$AS$2:$AS$1501,0,'Per Line'!$AT$2:$AT$1501,0))</f>
        <v/>
      </c>
      <c r="X281" s="7">
        <f>IF($AH281="","",W281*V281)</f>
        <v/>
      </c>
      <c r="Y281">
        <f>IF($AH281="","",Settings!$C$6)</f>
        <v/>
      </c>
      <c r="Z281" s="7">
        <f>IF($AH281="","",SUMIFS('Per Line'!$Z$2:$Z$1501,'Per Line'!$E$2:$E$1501,$B281,'Per Line'!$AS$2:$AS$1501,1,'Per Line'!$AT$2:$AT$1501,0))</f>
        <v/>
      </c>
      <c r="AA281" s="7">
        <f>IF($AH281="","",Z281*Y281)</f>
        <v/>
      </c>
      <c r="AB281" s="7">
        <f>IF($AH281="","",AA281+X281+U281)</f>
        <v/>
      </c>
      <c r="AC281" s="7">
        <f>IF($AH281="","",AD281-AB281)</f>
        <v/>
      </c>
      <c r="AD281" s="7">
        <f>IF($AH281="","",W281+Z281+T281)</f>
        <v/>
      </c>
      <c r="AE281" s="7">
        <f>IF($AH281="","",AD281-AB281-P281)</f>
        <v/>
      </c>
      <c r="AF281" s="15" t="n"/>
      <c r="AG281" s="7">
        <f>IF($AH281="","",AE281-N(AF281))</f>
        <v/>
      </c>
      <c r="AH281" s="16">
        <f>IF(ROWS($AH$2:$AH281)&lt;=MAX('Per Line'!$AR$2:$AR$1501),MATCH(ROWS($AH$2:$AH281),'Per Line'!$AR$2:$AR$1501,0),"")</f>
        <v/>
      </c>
      <c r="AI281">
        <f>IF($AH281="","",C281&amp;"|"&amp;COUNTIF($C$2:$C281,C281))</f>
        <v/>
      </c>
    </row>
    <row r="282">
      <c r="A282" s="15" t="n"/>
      <c r="B282">
        <f>IF($AH282="","",INDEX('Per Line'!$E$2:$E$1501,$AH282)&amp;"")</f>
        <v/>
      </c>
      <c r="C282">
        <f>IF($AH282="","",IF(INDEX('Per Line'!$AP$2:$AP$1501,$AH282)="NOT MATCH","NOT MATCH","FULL MATCH"))</f>
        <v/>
      </c>
      <c r="D282">
        <f>IF($AH282="","",INDEX('Per Line'!$A$2:$A$1501,$AH282)&amp;"")</f>
        <v/>
      </c>
      <c r="E282">
        <f>IF($AH282="","",INDEX('Per Line'!$B$2:$B$1501,$AH282))</f>
        <v/>
      </c>
      <c r="F282">
        <f>IF($AH282="","",INDEX('Per Line'!$C$2:$C$1501,$AH282)&amp;"")</f>
        <v/>
      </c>
      <c r="G282">
        <f>IF($AH282="","",INDEX('Per Line'!$D$2:$D$1501,$AH282)&amp;"")</f>
        <v/>
      </c>
      <c r="H282">
        <f>IF($AH282="","",INDEX('Per Line'!$F$2:$F$1501,$AH282)&amp;"")</f>
        <v/>
      </c>
      <c r="I282" s="14">
        <f>IF($AH282="","",INDEX('Per Line'!$G$2:$G$1501,$AH282))</f>
        <v/>
      </c>
      <c r="J282">
        <f>IF($AH282="","",INDEX('Per Line'!$H$2:$H$1501,$AH282)&amp;"")</f>
        <v/>
      </c>
      <c r="K282">
        <f>IF($AH282="","",INDEX('Per Line'!$J$2:$J$1501,$AH282)&amp;"")</f>
        <v/>
      </c>
      <c r="L282">
        <f>IF($AH282="","",INDEX('Per Line'!$K$2:$K$1501,$AH282)&amp;"")</f>
        <v/>
      </c>
      <c r="M282">
        <f>IF($AH282="","",INDEX('Per Line'!$L$2:$L$1501,$AH282)&amp;"")</f>
        <v/>
      </c>
      <c r="N282">
        <f>IF($AH282="","",INDEX('Per Line'!$M$2:$M$1501,$AH282)&amp;"")</f>
        <v/>
      </c>
      <c r="O282">
        <f>IF($AH282="","",INDEX('Per Line'!$P$2:$P$1501,$AH282))</f>
        <v/>
      </c>
      <c r="P282" s="7">
        <f>IF($AH282="","",O282*AD282/100)</f>
        <v/>
      </c>
      <c r="Q282">
        <f>IF($AH282="","",INDEX('Per Line'!$R$2:$R$1501,$AH282)&amp;"")</f>
        <v/>
      </c>
      <c r="R282">
        <f>IF($AH282="","",INDEX('Per Line'!$AB$2:$AB$1501,$AH282)&amp;"")</f>
        <v/>
      </c>
      <c r="S282">
        <f>IF($AH282="","",Settings!$C$8)</f>
        <v/>
      </c>
      <c r="T282" s="7">
        <f>IF($AH282="","",SUMIFS('Per Line'!$Z$2:$Z$1501,'Per Line'!$E$2:$E$1501,$B282,'Per Line'!$AT$2:$AT$1501,1))</f>
        <v/>
      </c>
      <c r="U282" s="7">
        <f>IF($AH282="","",T282*S282)</f>
        <v/>
      </c>
      <c r="V282">
        <f>IF($AH282="","",Settings!$C$7)</f>
        <v/>
      </c>
      <c r="W282" s="7">
        <f>IF($AH282="","",SUMIFS('Per Line'!$Z$2:$Z$1501,'Per Line'!$E$2:$E$1501,$B282,'Per Line'!$AS$2:$AS$1501,0,'Per Line'!$AT$2:$AT$1501,0))</f>
        <v/>
      </c>
      <c r="X282" s="7">
        <f>IF($AH282="","",W282*V282)</f>
        <v/>
      </c>
      <c r="Y282">
        <f>IF($AH282="","",Settings!$C$6)</f>
        <v/>
      </c>
      <c r="Z282" s="7">
        <f>IF($AH282="","",SUMIFS('Per Line'!$Z$2:$Z$1501,'Per Line'!$E$2:$E$1501,$B282,'Per Line'!$AS$2:$AS$1501,1,'Per Line'!$AT$2:$AT$1501,0))</f>
        <v/>
      </c>
      <c r="AA282" s="7">
        <f>IF($AH282="","",Z282*Y282)</f>
        <v/>
      </c>
      <c r="AB282" s="7">
        <f>IF($AH282="","",AA282+X282+U282)</f>
        <v/>
      </c>
      <c r="AC282" s="7">
        <f>IF($AH282="","",AD282-AB282)</f>
        <v/>
      </c>
      <c r="AD282" s="7">
        <f>IF($AH282="","",W282+Z282+T282)</f>
        <v/>
      </c>
      <c r="AE282" s="7">
        <f>IF($AH282="","",AD282-AB282-P282)</f>
        <v/>
      </c>
      <c r="AF282" s="15" t="n"/>
      <c r="AG282" s="7">
        <f>IF($AH282="","",AE282-N(AF282))</f>
        <v/>
      </c>
      <c r="AH282" s="16">
        <f>IF(ROWS($AH$2:$AH282)&lt;=MAX('Per Line'!$AR$2:$AR$1501),MATCH(ROWS($AH$2:$AH282),'Per Line'!$AR$2:$AR$1501,0),"")</f>
        <v/>
      </c>
      <c r="AI282">
        <f>IF($AH282="","",C282&amp;"|"&amp;COUNTIF($C$2:$C282,C282))</f>
        <v/>
      </c>
    </row>
    <row r="283">
      <c r="A283" s="15" t="n"/>
      <c r="B283">
        <f>IF($AH283="","",INDEX('Per Line'!$E$2:$E$1501,$AH283)&amp;"")</f>
        <v/>
      </c>
      <c r="C283">
        <f>IF($AH283="","",IF(INDEX('Per Line'!$AP$2:$AP$1501,$AH283)="NOT MATCH","NOT MATCH","FULL MATCH"))</f>
        <v/>
      </c>
      <c r="D283">
        <f>IF($AH283="","",INDEX('Per Line'!$A$2:$A$1501,$AH283)&amp;"")</f>
        <v/>
      </c>
      <c r="E283">
        <f>IF($AH283="","",INDEX('Per Line'!$B$2:$B$1501,$AH283))</f>
        <v/>
      </c>
      <c r="F283">
        <f>IF($AH283="","",INDEX('Per Line'!$C$2:$C$1501,$AH283)&amp;"")</f>
        <v/>
      </c>
      <c r="G283">
        <f>IF($AH283="","",INDEX('Per Line'!$D$2:$D$1501,$AH283)&amp;"")</f>
        <v/>
      </c>
      <c r="H283">
        <f>IF($AH283="","",INDEX('Per Line'!$F$2:$F$1501,$AH283)&amp;"")</f>
        <v/>
      </c>
      <c r="I283" s="14">
        <f>IF($AH283="","",INDEX('Per Line'!$G$2:$G$1501,$AH283))</f>
        <v/>
      </c>
      <c r="J283">
        <f>IF($AH283="","",INDEX('Per Line'!$H$2:$H$1501,$AH283)&amp;"")</f>
        <v/>
      </c>
      <c r="K283">
        <f>IF($AH283="","",INDEX('Per Line'!$J$2:$J$1501,$AH283)&amp;"")</f>
        <v/>
      </c>
      <c r="L283">
        <f>IF($AH283="","",INDEX('Per Line'!$K$2:$K$1501,$AH283)&amp;"")</f>
        <v/>
      </c>
      <c r="M283">
        <f>IF($AH283="","",INDEX('Per Line'!$L$2:$L$1501,$AH283)&amp;"")</f>
        <v/>
      </c>
      <c r="N283">
        <f>IF($AH283="","",INDEX('Per Line'!$M$2:$M$1501,$AH283)&amp;"")</f>
        <v/>
      </c>
      <c r="O283">
        <f>IF($AH283="","",INDEX('Per Line'!$P$2:$P$1501,$AH283))</f>
        <v/>
      </c>
      <c r="P283" s="7">
        <f>IF($AH283="","",O283*AD283/100)</f>
        <v/>
      </c>
      <c r="Q283">
        <f>IF($AH283="","",INDEX('Per Line'!$R$2:$R$1501,$AH283)&amp;"")</f>
        <v/>
      </c>
      <c r="R283">
        <f>IF($AH283="","",INDEX('Per Line'!$AB$2:$AB$1501,$AH283)&amp;"")</f>
        <v/>
      </c>
      <c r="S283">
        <f>IF($AH283="","",Settings!$C$8)</f>
        <v/>
      </c>
      <c r="T283" s="7">
        <f>IF($AH283="","",SUMIFS('Per Line'!$Z$2:$Z$1501,'Per Line'!$E$2:$E$1501,$B283,'Per Line'!$AT$2:$AT$1501,1))</f>
        <v/>
      </c>
      <c r="U283" s="7">
        <f>IF($AH283="","",T283*S283)</f>
        <v/>
      </c>
      <c r="V283">
        <f>IF($AH283="","",Settings!$C$7)</f>
        <v/>
      </c>
      <c r="W283" s="7">
        <f>IF($AH283="","",SUMIFS('Per Line'!$Z$2:$Z$1501,'Per Line'!$E$2:$E$1501,$B283,'Per Line'!$AS$2:$AS$1501,0,'Per Line'!$AT$2:$AT$1501,0))</f>
        <v/>
      </c>
      <c r="X283" s="7">
        <f>IF($AH283="","",W283*V283)</f>
        <v/>
      </c>
      <c r="Y283">
        <f>IF($AH283="","",Settings!$C$6)</f>
        <v/>
      </c>
      <c r="Z283" s="7">
        <f>IF($AH283="","",SUMIFS('Per Line'!$Z$2:$Z$1501,'Per Line'!$E$2:$E$1501,$B283,'Per Line'!$AS$2:$AS$1501,1,'Per Line'!$AT$2:$AT$1501,0))</f>
        <v/>
      </c>
      <c r="AA283" s="7">
        <f>IF($AH283="","",Z283*Y283)</f>
        <v/>
      </c>
      <c r="AB283" s="7">
        <f>IF($AH283="","",AA283+X283+U283)</f>
        <v/>
      </c>
      <c r="AC283" s="7">
        <f>IF($AH283="","",AD283-AB283)</f>
        <v/>
      </c>
      <c r="AD283" s="7">
        <f>IF($AH283="","",W283+Z283+T283)</f>
        <v/>
      </c>
      <c r="AE283" s="7">
        <f>IF($AH283="","",AD283-AB283-P283)</f>
        <v/>
      </c>
      <c r="AF283" s="15" t="n"/>
      <c r="AG283" s="7">
        <f>IF($AH283="","",AE283-N(AF283))</f>
        <v/>
      </c>
      <c r="AH283" s="16">
        <f>IF(ROWS($AH$2:$AH283)&lt;=MAX('Per Line'!$AR$2:$AR$1501),MATCH(ROWS($AH$2:$AH283),'Per Line'!$AR$2:$AR$1501,0),"")</f>
        <v/>
      </c>
      <c r="AI283">
        <f>IF($AH283="","",C283&amp;"|"&amp;COUNTIF($C$2:$C283,C283))</f>
        <v/>
      </c>
    </row>
    <row r="284">
      <c r="A284" s="15" t="n"/>
      <c r="B284">
        <f>IF($AH284="","",INDEX('Per Line'!$E$2:$E$1501,$AH284)&amp;"")</f>
        <v/>
      </c>
      <c r="C284">
        <f>IF($AH284="","",IF(INDEX('Per Line'!$AP$2:$AP$1501,$AH284)="NOT MATCH","NOT MATCH","FULL MATCH"))</f>
        <v/>
      </c>
      <c r="D284">
        <f>IF($AH284="","",INDEX('Per Line'!$A$2:$A$1501,$AH284)&amp;"")</f>
        <v/>
      </c>
      <c r="E284">
        <f>IF($AH284="","",INDEX('Per Line'!$B$2:$B$1501,$AH284))</f>
        <v/>
      </c>
      <c r="F284">
        <f>IF($AH284="","",INDEX('Per Line'!$C$2:$C$1501,$AH284)&amp;"")</f>
        <v/>
      </c>
      <c r="G284">
        <f>IF($AH284="","",INDEX('Per Line'!$D$2:$D$1501,$AH284)&amp;"")</f>
        <v/>
      </c>
      <c r="H284">
        <f>IF($AH284="","",INDEX('Per Line'!$F$2:$F$1501,$AH284)&amp;"")</f>
        <v/>
      </c>
      <c r="I284" s="14">
        <f>IF($AH284="","",INDEX('Per Line'!$G$2:$G$1501,$AH284))</f>
        <v/>
      </c>
      <c r="J284">
        <f>IF($AH284="","",INDEX('Per Line'!$H$2:$H$1501,$AH284)&amp;"")</f>
        <v/>
      </c>
      <c r="K284">
        <f>IF($AH284="","",INDEX('Per Line'!$J$2:$J$1501,$AH284)&amp;"")</f>
        <v/>
      </c>
      <c r="L284">
        <f>IF($AH284="","",INDEX('Per Line'!$K$2:$K$1501,$AH284)&amp;"")</f>
        <v/>
      </c>
      <c r="M284">
        <f>IF($AH284="","",INDEX('Per Line'!$L$2:$L$1501,$AH284)&amp;"")</f>
        <v/>
      </c>
      <c r="N284">
        <f>IF($AH284="","",INDEX('Per Line'!$M$2:$M$1501,$AH284)&amp;"")</f>
        <v/>
      </c>
      <c r="O284">
        <f>IF($AH284="","",INDEX('Per Line'!$P$2:$P$1501,$AH284))</f>
        <v/>
      </c>
      <c r="P284" s="7">
        <f>IF($AH284="","",O284*AD284/100)</f>
        <v/>
      </c>
      <c r="Q284">
        <f>IF($AH284="","",INDEX('Per Line'!$R$2:$R$1501,$AH284)&amp;"")</f>
        <v/>
      </c>
      <c r="R284">
        <f>IF($AH284="","",INDEX('Per Line'!$AB$2:$AB$1501,$AH284)&amp;"")</f>
        <v/>
      </c>
      <c r="S284">
        <f>IF($AH284="","",Settings!$C$8)</f>
        <v/>
      </c>
      <c r="T284" s="7">
        <f>IF($AH284="","",SUMIFS('Per Line'!$Z$2:$Z$1501,'Per Line'!$E$2:$E$1501,$B284,'Per Line'!$AT$2:$AT$1501,1))</f>
        <v/>
      </c>
      <c r="U284" s="7">
        <f>IF($AH284="","",T284*S284)</f>
        <v/>
      </c>
      <c r="V284">
        <f>IF($AH284="","",Settings!$C$7)</f>
        <v/>
      </c>
      <c r="W284" s="7">
        <f>IF($AH284="","",SUMIFS('Per Line'!$Z$2:$Z$1501,'Per Line'!$E$2:$E$1501,$B284,'Per Line'!$AS$2:$AS$1501,0,'Per Line'!$AT$2:$AT$1501,0))</f>
        <v/>
      </c>
      <c r="X284" s="7">
        <f>IF($AH284="","",W284*V284)</f>
        <v/>
      </c>
      <c r="Y284">
        <f>IF($AH284="","",Settings!$C$6)</f>
        <v/>
      </c>
      <c r="Z284" s="7">
        <f>IF($AH284="","",SUMIFS('Per Line'!$Z$2:$Z$1501,'Per Line'!$E$2:$E$1501,$B284,'Per Line'!$AS$2:$AS$1501,1,'Per Line'!$AT$2:$AT$1501,0))</f>
        <v/>
      </c>
      <c r="AA284" s="7">
        <f>IF($AH284="","",Z284*Y284)</f>
        <v/>
      </c>
      <c r="AB284" s="7">
        <f>IF($AH284="","",AA284+X284+U284)</f>
        <v/>
      </c>
      <c r="AC284" s="7">
        <f>IF($AH284="","",AD284-AB284)</f>
        <v/>
      </c>
      <c r="AD284" s="7">
        <f>IF($AH284="","",W284+Z284+T284)</f>
        <v/>
      </c>
      <c r="AE284" s="7">
        <f>IF($AH284="","",AD284-AB284-P284)</f>
        <v/>
      </c>
      <c r="AF284" s="15" t="n"/>
      <c r="AG284" s="7">
        <f>IF($AH284="","",AE284-N(AF284))</f>
        <v/>
      </c>
      <c r="AH284" s="16">
        <f>IF(ROWS($AH$2:$AH284)&lt;=MAX('Per Line'!$AR$2:$AR$1501),MATCH(ROWS($AH$2:$AH284),'Per Line'!$AR$2:$AR$1501,0),"")</f>
        <v/>
      </c>
      <c r="AI284">
        <f>IF($AH284="","",C284&amp;"|"&amp;COUNTIF($C$2:$C284,C284))</f>
        <v/>
      </c>
    </row>
    <row r="285">
      <c r="A285" s="15" t="n"/>
      <c r="B285">
        <f>IF($AH285="","",INDEX('Per Line'!$E$2:$E$1501,$AH285)&amp;"")</f>
        <v/>
      </c>
      <c r="C285">
        <f>IF($AH285="","",IF(INDEX('Per Line'!$AP$2:$AP$1501,$AH285)="NOT MATCH","NOT MATCH","FULL MATCH"))</f>
        <v/>
      </c>
      <c r="D285">
        <f>IF($AH285="","",INDEX('Per Line'!$A$2:$A$1501,$AH285)&amp;"")</f>
        <v/>
      </c>
      <c r="E285">
        <f>IF($AH285="","",INDEX('Per Line'!$B$2:$B$1501,$AH285))</f>
        <v/>
      </c>
      <c r="F285">
        <f>IF($AH285="","",INDEX('Per Line'!$C$2:$C$1501,$AH285)&amp;"")</f>
        <v/>
      </c>
      <c r="G285">
        <f>IF($AH285="","",INDEX('Per Line'!$D$2:$D$1501,$AH285)&amp;"")</f>
        <v/>
      </c>
      <c r="H285">
        <f>IF($AH285="","",INDEX('Per Line'!$F$2:$F$1501,$AH285)&amp;"")</f>
        <v/>
      </c>
      <c r="I285" s="14">
        <f>IF($AH285="","",INDEX('Per Line'!$G$2:$G$1501,$AH285))</f>
        <v/>
      </c>
      <c r="J285">
        <f>IF($AH285="","",INDEX('Per Line'!$H$2:$H$1501,$AH285)&amp;"")</f>
        <v/>
      </c>
      <c r="K285">
        <f>IF($AH285="","",INDEX('Per Line'!$J$2:$J$1501,$AH285)&amp;"")</f>
        <v/>
      </c>
      <c r="L285">
        <f>IF($AH285="","",INDEX('Per Line'!$K$2:$K$1501,$AH285)&amp;"")</f>
        <v/>
      </c>
      <c r="M285">
        <f>IF($AH285="","",INDEX('Per Line'!$L$2:$L$1501,$AH285)&amp;"")</f>
        <v/>
      </c>
      <c r="N285">
        <f>IF($AH285="","",INDEX('Per Line'!$M$2:$M$1501,$AH285)&amp;"")</f>
        <v/>
      </c>
      <c r="O285">
        <f>IF($AH285="","",INDEX('Per Line'!$P$2:$P$1501,$AH285))</f>
        <v/>
      </c>
      <c r="P285" s="7">
        <f>IF($AH285="","",O285*AD285/100)</f>
        <v/>
      </c>
      <c r="Q285">
        <f>IF($AH285="","",INDEX('Per Line'!$R$2:$R$1501,$AH285)&amp;"")</f>
        <v/>
      </c>
      <c r="R285">
        <f>IF($AH285="","",INDEX('Per Line'!$AB$2:$AB$1501,$AH285)&amp;"")</f>
        <v/>
      </c>
      <c r="S285">
        <f>IF($AH285="","",Settings!$C$8)</f>
        <v/>
      </c>
      <c r="T285" s="7">
        <f>IF($AH285="","",SUMIFS('Per Line'!$Z$2:$Z$1501,'Per Line'!$E$2:$E$1501,$B285,'Per Line'!$AT$2:$AT$1501,1))</f>
        <v/>
      </c>
      <c r="U285" s="7">
        <f>IF($AH285="","",T285*S285)</f>
        <v/>
      </c>
      <c r="V285">
        <f>IF($AH285="","",Settings!$C$7)</f>
        <v/>
      </c>
      <c r="W285" s="7">
        <f>IF($AH285="","",SUMIFS('Per Line'!$Z$2:$Z$1501,'Per Line'!$E$2:$E$1501,$B285,'Per Line'!$AS$2:$AS$1501,0,'Per Line'!$AT$2:$AT$1501,0))</f>
        <v/>
      </c>
      <c r="X285" s="7">
        <f>IF($AH285="","",W285*V285)</f>
        <v/>
      </c>
      <c r="Y285">
        <f>IF($AH285="","",Settings!$C$6)</f>
        <v/>
      </c>
      <c r="Z285" s="7">
        <f>IF($AH285="","",SUMIFS('Per Line'!$Z$2:$Z$1501,'Per Line'!$E$2:$E$1501,$B285,'Per Line'!$AS$2:$AS$1501,1,'Per Line'!$AT$2:$AT$1501,0))</f>
        <v/>
      </c>
      <c r="AA285" s="7">
        <f>IF($AH285="","",Z285*Y285)</f>
        <v/>
      </c>
      <c r="AB285" s="7">
        <f>IF($AH285="","",AA285+X285+U285)</f>
        <v/>
      </c>
      <c r="AC285" s="7">
        <f>IF($AH285="","",AD285-AB285)</f>
        <v/>
      </c>
      <c r="AD285" s="7">
        <f>IF($AH285="","",W285+Z285+T285)</f>
        <v/>
      </c>
      <c r="AE285" s="7">
        <f>IF($AH285="","",AD285-AB285-P285)</f>
        <v/>
      </c>
      <c r="AF285" s="15" t="n"/>
      <c r="AG285" s="7">
        <f>IF($AH285="","",AE285-N(AF285))</f>
        <v/>
      </c>
      <c r="AH285" s="16">
        <f>IF(ROWS($AH$2:$AH285)&lt;=MAX('Per Line'!$AR$2:$AR$1501),MATCH(ROWS($AH$2:$AH285),'Per Line'!$AR$2:$AR$1501,0),"")</f>
        <v/>
      </c>
      <c r="AI285">
        <f>IF($AH285="","",C285&amp;"|"&amp;COUNTIF($C$2:$C285,C285))</f>
        <v/>
      </c>
    </row>
    <row r="286">
      <c r="A286" s="15" t="n"/>
      <c r="B286">
        <f>IF($AH286="","",INDEX('Per Line'!$E$2:$E$1501,$AH286)&amp;"")</f>
        <v/>
      </c>
      <c r="C286">
        <f>IF($AH286="","",IF(INDEX('Per Line'!$AP$2:$AP$1501,$AH286)="NOT MATCH","NOT MATCH","FULL MATCH"))</f>
        <v/>
      </c>
      <c r="D286">
        <f>IF($AH286="","",INDEX('Per Line'!$A$2:$A$1501,$AH286)&amp;"")</f>
        <v/>
      </c>
      <c r="E286">
        <f>IF($AH286="","",INDEX('Per Line'!$B$2:$B$1501,$AH286))</f>
        <v/>
      </c>
      <c r="F286">
        <f>IF($AH286="","",INDEX('Per Line'!$C$2:$C$1501,$AH286)&amp;"")</f>
        <v/>
      </c>
      <c r="G286">
        <f>IF($AH286="","",INDEX('Per Line'!$D$2:$D$1501,$AH286)&amp;"")</f>
        <v/>
      </c>
      <c r="H286">
        <f>IF($AH286="","",INDEX('Per Line'!$F$2:$F$1501,$AH286)&amp;"")</f>
        <v/>
      </c>
      <c r="I286" s="14">
        <f>IF($AH286="","",INDEX('Per Line'!$G$2:$G$1501,$AH286))</f>
        <v/>
      </c>
      <c r="J286">
        <f>IF($AH286="","",INDEX('Per Line'!$H$2:$H$1501,$AH286)&amp;"")</f>
        <v/>
      </c>
      <c r="K286">
        <f>IF($AH286="","",INDEX('Per Line'!$J$2:$J$1501,$AH286)&amp;"")</f>
        <v/>
      </c>
      <c r="L286">
        <f>IF($AH286="","",INDEX('Per Line'!$K$2:$K$1501,$AH286)&amp;"")</f>
        <v/>
      </c>
      <c r="M286">
        <f>IF($AH286="","",INDEX('Per Line'!$L$2:$L$1501,$AH286)&amp;"")</f>
        <v/>
      </c>
      <c r="N286">
        <f>IF($AH286="","",INDEX('Per Line'!$M$2:$M$1501,$AH286)&amp;"")</f>
        <v/>
      </c>
      <c r="O286">
        <f>IF($AH286="","",INDEX('Per Line'!$P$2:$P$1501,$AH286))</f>
        <v/>
      </c>
      <c r="P286" s="7">
        <f>IF($AH286="","",O286*AD286/100)</f>
        <v/>
      </c>
      <c r="Q286">
        <f>IF($AH286="","",INDEX('Per Line'!$R$2:$R$1501,$AH286)&amp;"")</f>
        <v/>
      </c>
      <c r="R286">
        <f>IF($AH286="","",INDEX('Per Line'!$AB$2:$AB$1501,$AH286)&amp;"")</f>
        <v/>
      </c>
      <c r="S286">
        <f>IF($AH286="","",Settings!$C$8)</f>
        <v/>
      </c>
      <c r="T286" s="7">
        <f>IF($AH286="","",SUMIFS('Per Line'!$Z$2:$Z$1501,'Per Line'!$E$2:$E$1501,$B286,'Per Line'!$AT$2:$AT$1501,1))</f>
        <v/>
      </c>
      <c r="U286" s="7">
        <f>IF($AH286="","",T286*S286)</f>
        <v/>
      </c>
      <c r="V286">
        <f>IF($AH286="","",Settings!$C$7)</f>
        <v/>
      </c>
      <c r="W286" s="7">
        <f>IF($AH286="","",SUMIFS('Per Line'!$Z$2:$Z$1501,'Per Line'!$E$2:$E$1501,$B286,'Per Line'!$AS$2:$AS$1501,0,'Per Line'!$AT$2:$AT$1501,0))</f>
        <v/>
      </c>
      <c r="X286" s="7">
        <f>IF($AH286="","",W286*V286)</f>
        <v/>
      </c>
      <c r="Y286">
        <f>IF($AH286="","",Settings!$C$6)</f>
        <v/>
      </c>
      <c r="Z286" s="7">
        <f>IF($AH286="","",SUMIFS('Per Line'!$Z$2:$Z$1501,'Per Line'!$E$2:$E$1501,$B286,'Per Line'!$AS$2:$AS$1501,1,'Per Line'!$AT$2:$AT$1501,0))</f>
        <v/>
      </c>
      <c r="AA286" s="7">
        <f>IF($AH286="","",Z286*Y286)</f>
        <v/>
      </c>
      <c r="AB286" s="7">
        <f>IF($AH286="","",AA286+X286+U286)</f>
        <v/>
      </c>
      <c r="AC286" s="7">
        <f>IF($AH286="","",AD286-AB286)</f>
        <v/>
      </c>
      <c r="AD286" s="7">
        <f>IF($AH286="","",W286+Z286+T286)</f>
        <v/>
      </c>
      <c r="AE286" s="7">
        <f>IF($AH286="","",AD286-AB286-P286)</f>
        <v/>
      </c>
      <c r="AF286" s="15" t="n"/>
      <c r="AG286" s="7">
        <f>IF($AH286="","",AE286-N(AF286))</f>
        <v/>
      </c>
      <c r="AH286" s="16">
        <f>IF(ROWS($AH$2:$AH286)&lt;=MAX('Per Line'!$AR$2:$AR$1501),MATCH(ROWS($AH$2:$AH286),'Per Line'!$AR$2:$AR$1501,0),"")</f>
        <v/>
      </c>
      <c r="AI286">
        <f>IF($AH286="","",C286&amp;"|"&amp;COUNTIF($C$2:$C286,C286))</f>
        <v/>
      </c>
    </row>
    <row r="287">
      <c r="A287" s="15" t="n"/>
      <c r="B287">
        <f>IF($AH287="","",INDEX('Per Line'!$E$2:$E$1501,$AH287)&amp;"")</f>
        <v/>
      </c>
      <c r="C287">
        <f>IF($AH287="","",IF(INDEX('Per Line'!$AP$2:$AP$1501,$AH287)="NOT MATCH","NOT MATCH","FULL MATCH"))</f>
        <v/>
      </c>
      <c r="D287">
        <f>IF($AH287="","",INDEX('Per Line'!$A$2:$A$1501,$AH287)&amp;"")</f>
        <v/>
      </c>
      <c r="E287">
        <f>IF($AH287="","",INDEX('Per Line'!$B$2:$B$1501,$AH287))</f>
        <v/>
      </c>
      <c r="F287">
        <f>IF($AH287="","",INDEX('Per Line'!$C$2:$C$1501,$AH287)&amp;"")</f>
        <v/>
      </c>
      <c r="G287">
        <f>IF($AH287="","",INDEX('Per Line'!$D$2:$D$1501,$AH287)&amp;"")</f>
        <v/>
      </c>
      <c r="H287">
        <f>IF($AH287="","",INDEX('Per Line'!$F$2:$F$1501,$AH287)&amp;"")</f>
        <v/>
      </c>
      <c r="I287" s="14">
        <f>IF($AH287="","",INDEX('Per Line'!$G$2:$G$1501,$AH287))</f>
        <v/>
      </c>
      <c r="J287">
        <f>IF($AH287="","",INDEX('Per Line'!$H$2:$H$1501,$AH287)&amp;"")</f>
        <v/>
      </c>
      <c r="K287">
        <f>IF($AH287="","",INDEX('Per Line'!$J$2:$J$1501,$AH287)&amp;"")</f>
        <v/>
      </c>
      <c r="L287">
        <f>IF($AH287="","",INDEX('Per Line'!$K$2:$K$1501,$AH287)&amp;"")</f>
        <v/>
      </c>
      <c r="M287">
        <f>IF($AH287="","",INDEX('Per Line'!$L$2:$L$1501,$AH287)&amp;"")</f>
        <v/>
      </c>
      <c r="N287">
        <f>IF($AH287="","",INDEX('Per Line'!$M$2:$M$1501,$AH287)&amp;"")</f>
        <v/>
      </c>
      <c r="O287">
        <f>IF($AH287="","",INDEX('Per Line'!$P$2:$P$1501,$AH287))</f>
        <v/>
      </c>
      <c r="P287" s="7">
        <f>IF($AH287="","",O287*AD287/100)</f>
        <v/>
      </c>
      <c r="Q287">
        <f>IF($AH287="","",INDEX('Per Line'!$R$2:$R$1501,$AH287)&amp;"")</f>
        <v/>
      </c>
      <c r="R287">
        <f>IF($AH287="","",INDEX('Per Line'!$AB$2:$AB$1501,$AH287)&amp;"")</f>
        <v/>
      </c>
      <c r="S287">
        <f>IF($AH287="","",Settings!$C$8)</f>
        <v/>
      </c>
      <c r="T287" s="7">
        <f>IF($AH287="","",SUMIFS('Per Line'!$Z$2:$Z$1501,'Per Line'!$E$2:$E$1501,$B287,'Per Line'!$AT$2:$AT$1501,1))</f>
        <v/>
      </c>
      <c r="U287" s="7">
        <f>IF($AH287="","",T287*S287)</f>
        <v/>
      </c>
      <c r="V287">
        <f>IF($AH287="","",Settings!$C$7)</f>
        <v/>
      </c>
      <c r="W287" s="7">
        <f>IF($AH287="","",SUMIFS('Per Line'!$Z$2:$Z$1501,'Per Line'!$E$2:$E$1501,$B287,'Per Line'!$AS$2:$AS$1501,0,'Per Line'!$AT$2:$AT$1501,0))</f>
        <v/>
      </c>
      <c r="X287" s="7">
        <f>IF($AH287="","",W287*V287)</f>
        <v/>
      </c>
      <c r="Y287">
        <f>IF($AH287="","",Settings!$C$6)</f>
        <v/>
      </c>
      <c r="Z287" s="7">
        <f>IF($AH287="","",SUMIFS('Per Line'!$Z$2:$Z$1501,'Per Line'!$E$2:$E$1501,$B287,'Per Line'!$AS$2:$AS$1501,1,'Per Line'!$AT$2:$AT$1501,0))</f>
        <v/>
      </c>
      <c r="AA287" s="7">
        <f>IF($AH287="","",Z287*Y287)</f>
        <v/>
      </c>
      <c r="AB287" s="7">
        <f>IF($AH287="","",AA287+X287+U287)</f>
        <v/>
      </c>
      <c r="AC287" s="7">
        <f>IF($AH287="","",AD287-AB287)</f>
        <v/>
      </c>
      <c r="AD287" s="7">
        <f>IF($AH287="","",W287+Z287+T287)</f>
        <v/>
      </c>
      <c r="AE287" s="7">
        <f>IF($AH287="","",AD287-AB287-P287)</f>
        <v/>
      </c>
      <c r="AF287" s="15" t="n"/>
      <c r="AG287" s="7">
        <f>IF($AH287="","",AE287-N(AF287))</f>
        <v/>
      </c>
      <c r="AH287" s="16">
        <f>IF(ROWS($AH$2:$AH287)&lt;=MAX('Per Line'!$AR$2:$AR$1501),MATCH(ROWS($AH$2:$AH287),'Per Line'!$AR$2:$AR$1501,0),"")</f>
        <v/>
      </c>
      <c r="AI287">
        <f>IF($AH287="","",C287&amp;"|"&amp;COUNTIF($C$2:$C287,C287))</f>
        <v/>
      </c>
    </row>
    <row r="288">
      <c r="A288" s="15" t="n"/>
      <c r="B288">
        <f>IF($AH288="","",INDEX('Per Line'!$E$2:$E$1501,$AH288)&amp;"")</f>
        <v/>
      </c>
      <c r="C288">
        <f>IF($AH288="","",IF(INDEX('Per Line'!$AP$2:$AP$1501,$AH288)="NOT MATCH","NOT MATCH","FULL MATCH"))</f>
        <v/>
      </c>
      <c r="D288">
        <f>IF($AH288="","",INDEX('Per Line'!$A$2:$A$1501,$AH288)&amp;"")</f>
        <v/>
      </c>
      <c r="E288">
        <f>IF($AH288="","",INDEX('Per Line'!$B$2:$B$1501,$AH288))</f>
        <v/>
      </c>
      <c r="F288">
        <f>IF($AH288="","",INDEX('Per Line'!$C$2:$C$1501,$AH288)&amp;"")</f>
        <v/>
      </c>
      <c r="G288">
        <f>IF($AH288="","",INDEX('Per Line'!$D$2:$D$1501,$AH288)&amp;"")</f>
        <v/>
      </c>
      <c r="H288">
        <f>IF($AH288="","",INDEX('Per Line'!$F$2:$F$1501,$AH288)&amp;"")</f>
        <v/>
      </c>
      <c r="I288" s="14">
        <f>IF($AH288="","",INDEX('Per Line'!$G$2:$G$1501,$AH288))</f>
        <v/>
      </c>
      <c r="J288">
        <f>IF($AH288="","",INDEX('Per Line'!$H$2:$H$1501,$AH288)&amp;"")</f>
        <v/>
      </c>
      <c r="K288">
        <f>IF($AH288="","",INDEX('Per Line'!$J$2:$J$1501,$AH288)&amp;"")</f>
        <v/>
      </c>
      <c r="L288">
        <f>IF($AH288="","",INDEX('Per Line'!$K$2:$K$1501,$AH288)&amp;"")</f>
        <v/>
      </c>
      <c r="M288">
        <f>IF($AH288="","",INDEX('Per Line'!$L$2:$L$1501,$AH288)&amp;"")</f>
        <v/>
      </c>
      <c r="N288">
        <f>IF($AH288="","",INDEX('Per Line'!$M$2:$M$1501,$AH288)&amp;"")</f>
        <v/>
      </c>
      <c r="O288">
        <f>IF($AH288="","",INDEX('Per Line'!$P$2:$P$1501,$AH288))</f>
        <v/>
      </c>
      <c r="P288" s="7">
        <f>IF($AH288="","",O288*AD288/100)</f>
        <v/>
      </c>
      <c r="Q288">
        <f>IF($AH288="","",INDEX('Per Line'!$R$2:$R$1501,$AH288)&amp;"")</f>
        <v/>
      </c>
      <c r="R288">
        <f>IF($AH288="","",INDEX('Per Line'!$AB$2:$AB$1501,$AH288)&amp;"")</f>
        <v/>
      </c>
      <c r="S288">
        <f>IF($AH288="","",Settings!$C$8)</f>
        <v/>
      </c>
      <c r="T288" s="7">
        <f>IF($AH288="","",SUMIFS('Per Line'!$Z$2:$Z$1501,'Per Line'!$E$2:$E$1501,$B288,'Per Line'!$AT$2:$AT$1501,1))</f>
        <v/>
      </c>
      <c r="U288" s="7">
        <f>IF($AH288="","",T288*S288)</f>
        <v/>
      </c>
      <c r="V288">
        <f>IF($AH288="","",Settings!$C$7)</f>
        <v/>
      </c>
      <c r="W288" s="7">
        <f>IF($AH288="","",SUMIFS('Per Line'!$Z$2:$Z$1501,'Per Line'!$E$2:$E$1501,$B288,'Per Line'!$AS$2:$AS$1501,0,'Per Line'!$AT$2:$AT$1501,0))</f>
        <v/>
      </c>
      <c r="X288" s="7">
        <f>IF($AH288="","",W288*V288)</f>
        <v/>
      </c>
      <c r="Y288">
        <f>IF($AH288="","",Settings!$C$6)</f>
        <v/>
      </c>
      <c r="Z288" s="7">
        <f>IF($AH288="","",SUMIFS('Per Line'!$Z$2:$Z$1501,'Per Line'!$E$2:$E$1501,$B288,'Per Line'!$AS$2:$AS$1501,1,'Per Line'!$AT$2:$AT$1501,0))</f>
        <v/>
      </c>
      <c r="AA288" s="7">
        <f>IF($AH288="","",Z288*Y288)</f>
        <v/>
      </c>
      <c r="AB288" s="7">
        <f>IF($AH288="","",AA288+X288+U288)</f>
        <v/>
      </c>
      <c r="AC288" s="7">
        <f>IF($AH288="","",AD288-AB288)</f>
        <v/>
      </c>
      <c r="AD288" s="7">
        <f>IF($AH288="","",W288+Z288+T288)</f>
        <v/>
      </c>
      <c r="AE288" s="7">
        <f>IF($AH288="","",AD288-AB288-P288)</f>
        <v/>
      </c>
      <c r="AF288" s="15" t="n"/>
      <c r="AG288" s="7">
        <f>IF($AH288="","",AE288-N(AF288))</f>
        <v/>
      </c>
      <c r="AH288" s="16">
        <f>IF(ROWS($AH$2:$AH288)&lt;=MAX('Per Line'!$AR$2:$AR$1501),MATCH(ROWS($AH$2:$AH288),'Per Line'!$AR$2:$AR$1501,0),"")</f>
        <v/>
      </c>
      <c r="AI288">
        <f>IF($AH288="","",C288&amp;"|"&amp;COUNTIF($C$2:$C288,C288))</f>
        <v/>
      </c>
    </row>
    <row r="289">
      <c r="A289" s="15" t="n"/>
      <c r="B289">
        <f>IF($AH289="","",INDEX('Per Line'!$E$2:$E$1501,$AH289)&amp;"")</f>
        <v/>
      </c>
      <c r="C289">
        <f>IF($AH289="","",IF(INDEX('Per Line'!$AP$2:$AP$1501,$AH289)="NOT MATCH","NOT MATCH","FULL MATCH"))</f>
        <v/>
      </c>
      <c r="D289">
        <f>IF($AH289="","",INDEX('Per Line'!$A$2:$A$1501,$AH289)&amp;"")</f>
        <v/>
      </c>
      <c r="E289">
        <f>IF($AH289="","",INDEX('Per Line'!$B$2:$B$1501,$AH289))</f>
        <v/>
      </c>
      <c r="F289">
        <f>IF($AH289="","",INDEX('Per Line'!$C$2:$C$1501,$AH289)&amp;"")</f>
        <v/>
      </c>
      <c r="G289">
        <f>IF($AH289="","",INDEX('Per Line'!$D$2:$D$1501,$AH289)&amp;"")</f>
        <v/>
      </c>
      <c r="H289">
        <f>IF($AH289="","",INDEX('Per Line'!$F$2:$F$1501,$AH289)&amp;"")</f>
        <v/>
      </c>
      <c r="I289" s="14">
        <f>IF($AH289="","",INDEX('Per Line'!$G$2:$G$1501,$AH289))</f>
        <v/>
      </c>
      <c r="J289">
        <f>IF($AH289="","",INDEX('Per Line'!$H$2:$H$1501,$AH289)&amp;"")</f>
        <v/>
      </c>
      <c r="K289">
        <f>IF($AH289="","",INDEX('Per Line'!$J$2:$J$1501,$AH289)&amp;"")</f>
        <v/>
      </c>
      <c r="L289">
        <f>IF($AH289="","",INDEX('Per Line'!$K$2:$K$1501,$AH289)&amp;"")</f>
        <v/>
      </c>
      <c r="M289">
        <f>IF($AH289="","",INDEX('Per Line'!$L$2:$L$1501,$AH289)&amp;"")</f>
        <v/>
      </c>
      <c r="N289">
        <f>IF($AH289="","",INDEX('Per Line'!$M$2:$M$1501,$AH289)&amp;"")</f>
        <v/>
      </c>
      <c r="O289">
        <f>IF($AH289="","",INDEX('Per Line'!$P$2:$P$1501,$AH289))</f>
        <v/>
      </c>
      <c r="P289" s="7">
        <f>IF($AH289="","",O289*AD289/100)</f>
        <v/>
      </c>
      <c r="Q289">
        <f>IF($AH289="","",INDEX('Per Line'!$R$2:$R$1501,$AH289)&amp;"")</f>
        <v/>
      </c>
      <c r="R289">
        <f>IF($AH289="","",INDEX('Per Line'!$AB$2:$AB$1501,$AH289)&amp;"")</f>
        <v/>
      </c>
      <c r="S289">
        <f>IF($AH289="","",Settings!$C$8)</f>
        <v/>
      </c>
      <c r="T289" s="7">
        <f>IF($AH289="","",SUMIFS('Per Line'!$Z$2:$Z$1501,'Per Line'!$E$2:$E$1501,$B289,'Per Line'!$AT$2:$AT$1501,1))</f>
        <v/>
      </c>
      <c r="U289" s="7">
        <f>IF($AH289="","",T289*S289)</f>
        <v/>
      </c>
      <c r="V289">
        <f>IF($AH289="","",Settings!$C$7)</f>
        <v/>
      </c>
      <c r="W289" s="7">
        <f>IF($AH289="","",SUMIFS('Per Line'!$Z$2:$Z$1501,'Per Line'!$E$2:$E$1501,$B289,'Per Line'!$AS$2:$AS$1501,0,'Per Line'!$AT$2:$AT$1501,0))</f>
        <v/>
      </c>
      <c r="X289" s="7">
        <f>IF($AH289="","",W289*V289)</f>
        <v/>
      </c>
      <c r="Y289">
        <f>IF($AH289="","",Settings!$C$6)</f>
        <v/>
      </c>
      <c r="Z289" s="7">
        <f>IF($AH289="","",SUMIFS('Per Line'!$Z$2:$Z$1501,'Per Line'!$E$2:$E$1501,$B289,'Per Line'!$AS$2:$AS$1501,1,'Per Line'!$AT$2:$AT$1501,0))</f>
        <v/>
      </c>
      <c r="AA289" s="7">
        <f>IF($AH289="","",Z289*Y289)</f>
        <v/>
      </c>
      <c r="AB289" s="7">
        <f>IF($AH289="","",AA289+X289+U289)</f>
        <v/>
      </c>
      <c r="AC289" s="7">
        <f>IF($AH289="","",AD289-AB289)</f>
        <v/>
      </c>
      <c r="AD289" s="7">
        <f>IF($AH289="","",W289+Z289+T289)</f>
        <v/>
      </c>
      <c r="AE289" s="7">
        <f>IF($AH289="","",AD289-AB289-P289)</f>
        <v/>
      </c>
      <c r="AF289" s="15" t="n"/>
      <c r="AG289" s="7">
        <f>IF($AH289="","",AE289-N(AF289))</f>
        <v/>
      </c>
      <c r="AH289" s="16">
        <f>IF(ROWS($AH$2:$AH289)&lt;=MAX('Per Line'!$AR$2:$AR$1501),MATCH(ROWS($AH$2:$AH289),'Per Line'!$AR$2:$AR$1501,0),"")</f>
        <v/>
      </c>
      <c r="AI289">
        <f>IF($AH289="","",C289&amp;"|"&amp;COUNTIF($C$2:$C289,C289))</f>
        <v/>
      </c>
    </row>
    <row r="290">
      <c r="A290" s="15" t="n"/>
      <c r="B290">
        <f>IF($AH290="","",INDEX('Per Line'!$E$2:$E$1501,$AH290)&amp;"")</f>
        <v/>
      </c>
      <c r="C290">
        <f>IF($AH290="","",IF(INDEX('Per Line'!$AP$2:$AP$1501,$AH290)="NOT MATCH","NOT MATCH","FULL MATCH"))</f>
        <v/>
      </c>
      <c r="D290">
        <f>IF($AH290="","",INDEX('Per Line'!$A$2:$A$1501,$AH290)&amp;"")</f>
        <v/>
      </c>
      <c r="E290">
        <f>IF($AH290="","",INDEX('Per Line'!$B$2:$B$1501,$AH290))</f>
        <v/>
      </c>
      <c r="F290">
        <f>IF($AH290="","",INDEX('Per Line'!$C$2:$C$1501,$AH290)&amp;"")</f>
        <v/>
      </c>
      <c r="G290">
        <f>IF($AH290="","",INDEX('Per Line'!$D$2:$D$1501,$AH290)&amp;"")</f>
        <v/>
      </c>
      <c r="H290">
        <f>IF($AH290="","",INDEX('Per Line'!$F$2:$F$1501,$AH290)&amp;"")</f>
        <v/>
      </c>
      <c r="I290" s="14">
        <f>IF($AH290="","",INDEX('Per Line'!$G$2:$G$1501,$AH290))</f>
        <v/>
      </c>
      <c r="J290">
        <f>IF($AH290="","",INDEX('Per Line'!$H$2:$H$1501,$AH290)&amp;"")</f>
        <v/>
      </c>
      <c r="K290">
        <f>IF($AH290="","",INDEX('Per Line'!$J$2:$J$1501,$AH290)&amp;"")</f>
        <v/>
      </c>
      <c r="L290">
        <f>IF($AH290="","",INDEX('Per Line'!$K$2:$K$1501,$AH290)&amp;"")</f>
        <v/>
      </c>
      <c r="M290">
        <f>IF($AH290="","",INDEX('Per Line'!$L$2:$L$1501,$AH290)&amp;"")</f>
        <v/>
      </c>
      <c r="N290">
        <f>IF($AH290="","",INDEX('Per Line'!$M$2:$M$1501,$AH290)&amp;"")</f>
        <v/>
      </c>
      <c r="O290">
        <f>IF($AH290="","",INDEX('Per Line'!$P$2:$P$1501,$AH290))</f>
        <v/>
      </c>
      <c r="P290" s="7">
        <f>IF($AH290="","",O290*AD290/100)</f>
        <v/>
      </c>
      <c r="Q290">
        <f>IF($AH290="","",INDEX('Per Line'!$R$2:$R$1501,$AH290)&amp;"")</f>
        <v/>
      </c>
      <c r="R290">
        <f>IF($AH290="","",INDEX('Per Line'!$AB$2:$AB$1501,$AH290)&amp;"")</f>
        <v/>
      </c>
      <c r="S290">
        <f>IF($AH290="","",Settings!$C$8)</f>
        <v/>
      </c>
      <c r="T290" s="7">
        <f>IF($AH290="","",SUMIFS('Per Line'!$Z$2:$Z$1501,'Per Line'!$E$2:$E$1501,$B290,'Per Line'!$AT$2:$AT$1501,1))</f>
        <v/>
      </c>
      <c r="U290" s="7">
        <f>IF($AH290="","",T290*S290)</f>
        <v/>
      </c>
      <c r="V290">
        <f>IF($AH290="","",Settings!$C$7)</f>
        <v/>
      </c>
      <c r="W290" s="7">
        <f>IF($AH290="","",SUMIFS('Per Line'!$Z$2:$Z$1501,'Per Line'!$E$2:$E$1501,$B290,'Per Line'!$AS$2:$AS$1501,0,'Per Line'!$AT$2:$AT$1501,0))</f>
        <v/>
      </c>
      <c r="X290" s="7">
        <f>IF($AH290="","",W290*V290)</f>
        <v/>
      </c>
      <c r="Y290">
        <f>IF($AH290="","",Settings!$C$6)</f>
        <v/>
      </c>
      <c r="Z290" s="7">
        <f>IF($AH290="","",SUMIFS('Per Line'!$Z$2:$Z$1501,'Per Line'!$E$2:$E$1501,$B290,'Per Line'!$AS$2:$AS$1501,1,'Per Line'!$AT$2:$AT$1501,0))</f>
        <v/>
      </c>
      <c r="AA290" s="7">
        <f>IF($AH290="","",Z290*Y290)</f>
        <v/>
      </c>
      <c r="AB290" s="7">
        <f>IF($AH290="","",AA290+X290+U290)</f>
        <v/>
      </c>
      <c r="AC290" s="7">
        <f>IF($AH290="","",AD290-AB290)</f>
        <v/>
      </c>
      <c r="AD290" s="7">
        <f>IF($AH290="","",W290+Z290+T290)</f>
        <v/>
      </c>
      <c r="AE290" s="7">
        <f>IF($AH290="","",AD290-AB290-P290)</f>
        <v/>
      </c>
      <c r="AF290" s="15" t="n"/>
      <c r="AG290" s="7">
        <f>IF($AH290="","",AE290-N(AF290))</f>
        <v/>
      </c>
      <c r="AH290" s="16">
        <f>IF(ROWS($AH$2:$AH290)&lt;=MAX('Per Line'!$AR$2:$AR$1501),MATCH(ROWS($AH$2:$AH290),'Per Line'!$AR$2:$AR$1501,0),"")</f>
        <v/>
      </c>
      <c r="AI290">
        <f>IF($AH290="","",C290&amp;"|"&amp;COUNTIF($C$2:$C290,C290))</f>
        <v/>
      </c>
    </row>
    <row r="291">
      <c r="A291" s="15" t="n"/>
      <c r="B291">
        <f>IF($AH291="","",INDEX('Per Line'!$E$2:$E$1501,$AH291)&amp;"")</f>
        <v/>
      </c>
      <c r="C291">
        <f>IF($AH291="","",IF(INDEX('Per Line'!$AP$2:$AP$1501,$AH291)="NOT MATCH","NOT MATCH","FULL MATCH"))</f>
        <v/>
      </c>
      <c r="D291">
        <f>IF($AH291="","",INDEX('Per Line'!$A$2:$A$1501,$AH291)&amp;"")</f>
        <v/>
      </c>
      <c r="E291">
        <f>IF($AH291="","",INDEX('Per Line'!$B$2:$B$1501,$AH291))</f>
        <v/>
      </c>
      <c r="F291">
        <f>IF($AH291="","",INDEX('Per Line'!$C$2:$C$1501,$AH291)&amp;"")</f>
        <v/>
      </c>
      <c r="G291">
        <f>IF($AH291="","",INDEX('Per Line'!$D$2:$D$1501,$AH291)&amp;"")</f>
        <v/>
      </c>
      <c r="H291">
        <f>IF($AH291="","",INDEX('Per Line'!$F$2:$F$1501,$AH291)&amp;"")</f>
        <v/>
      </c>
      <c r="I291" s="14">
        <f>IF($AH291="","",INDEX('Per Line'!$G$2:$G$1501,$AH291))</f>
        <v/>
      </c>
      <c r="J291">
        <f>IF($AH291="","",INDEX('Per Line'!$H$2:$H$1501,$AH291)&amp;"")</f>
        <v/>
      </c>
      <c r="K291">
        <f>IF($AH291="","",INDEX('Per Line'!$J$2:$J$1501,$AH291)&amp;"")</f>
        <v/>
      </c>
      <c r="L291">
        <f>IF($AH291="","",INDEX('Per Line'!$K$2:$K$1501,$AH291)&amp;"")</f>
        <v/>
      </c>
      <c r="M291">
        <f>IF($AH291="","",INDEX('Per Line'!$L$2:$L$1501,$AH291)&amp;"")</f>
        <v/>
      </c>
      <c r="N291">
        <f>IF($AH291="","",INDEX('Per Line'!$M$2:$M$1501,$AH291)&amp;"")</f>
        <v/>
      </c>
      <c r="O291">
        <f>IF($AH291="","",INDEX('Per Line'!$P$2:$P$1501,$AH291))</f>
        <v/>
      </c>
      <c r="P291" s="7">
        <f>IF($AH291="","",O291*AD291/100)</f>
        <v/>
      </c>
      <c r="Q291">
        <f>IF($AH291="","",INDEX('Per Line'!$R$2:$R$1501,$AH291)&amp;"")</f>
        <v/>
      </c>
      <c r="R291">
        <f>IF($AH291="","",INDEX('Per Line'!$AB$2:$AB$1501,$AH291)&amp;"")</f>
        <v/>
      </c>
      <c r="S291">
        <f>IF($AH291="","",Settings!$C$8)</f>
        <v/>
      </c>
      <c r="T291" s="7">
        <f>IF($AH291="","",SUMIFS('Per Line'!$Z$2:$Z$1501,'Per Line'!$E$2:$E$1501,$B291,'Per Line'!$AT$2:$AT$1501,1))</f>
        <v/>
      </c>
      <c r="U291" s="7">
        <f>IF($AH291="","",T291*S291)</f>
        <v/>
      </c>
      <c r="V291">
        <f>IF($AH291="","",Settings!$C$7)</f>
        <v/>
      </c>
      <c r="W291" s="7">
        <f>IF($AH291="","",SUMIFS('Per Line'!$Z$2:$Z$1501,'Per Line'!$E$2:$E$1501,$B291,'Per Line'!$AS$2:$AS$1501,0,'Per Line'!$AT$2:$AT$1501,0))</f>
        <v/>
      </c>
      <c r="X291" s="7">
        <f>IF($AH291="","",W291*V291)</f>
        <v/>
      </c>
      <c r="Y291">
        <f>IF($AH291="","",Settings!$C$6)</f>
        <v/>
      </c>
      <c r="Z291" s="7">
        <f>IF($AH291="","",SUMIFS('Per Line'!$Z$2:$Z$1501,'Per Line'!$E$2:$E$1501,$B291,'Per Line'!$AS$2:$AS$1501,1,'Per Line'!$AT$2:$AT$1501,0))</f>
        <v/>
      </c>
      <c r="AA291" s="7">
        <f>IF($AH291="","",Z291*Y291)</f>
        <v/>
      </c>
      <c r="AB291" s="7">
        <f>IF($AH291="","",AA291+X291+U291)</f>
        <v/>
      </c>
      <c r="AC291" s="7">
        <f>IF($AH291="","",AD291-AB291)</f>
        <v/>
      </c>
      <c r="AD291" s="7">
        <f>IF($AH291="","",W291+Z291+T291)</f>
        <v/>
      </c>
      <c r="AE291" s="7">
        <f>IF($AH291="","",AD291-AB291-P291)</f>
        <v/>
      </c>
      <c r="AF291" s="15" t="n"/>
      <c r="AG291" s="7">
        <f>IF($AH291="","",AE291-N(AF291))</f>
        <v/>
      </c>
      <c r="AH291" s="16">
        <f>IF(ROWS($AH$2:$AH291)&lt;=MAX('Per Line'!$AR$2:$AR$1501),MATCH(ROWS($AH$2:$AH291),'Per Line'!$AR$2:$AR$1501,0),"")</f>
        <v/>
      </c>
      <c r="AI291">
        <f>IF($AH291="","",C291&amp;"|"&amp;COUNTIF($C$2:$C291,C291))</f>
        <v/>
      </c>
    </row>
    <row r="292">
      <c r="A292" s="15" t="n"/>
      <c r="B292">
        <f>IF($AH292="","",INDEX('Per Line'!$E$2:$E$1501,$AH292)&amp;"")</f>
        <v/>
      </c>
      <c r="C292">
        <f>IF($AH292="","",IF(INDEX('Per Line'!$AP$2:$AP$1501,$AH292)="NOT MATCH","NOT MATCH","FULL MATCH"))</f>
        <v/>
      </c>
      <c r="D292">
        <f>IF($AH292="","",INDEX('Per Line'!$A$2:$A$1501,$AH292)&amp;"")</f>
        <v/>
      </c>
      <c r="E292">
        <f>IF($AH292="","",INDEX('Per Line'!$B$2:$B$1501,$AH292))</f>
        <v/>
      </c>
      <c r="F292">
        <f>IF($AH292="","",INDEX('Per Line'!$C$2:$C$1501,$AH292)&amp;"")</f>
        <v/>
      </c>
      <c r="G292">
        <f>IF($AH292="","",INDEX('Per Line'!$D$2:$D$1501,$AH292)&amp;"")</f>
        <v/>
      </c>
      <c r="H292">
        <f>IF($AH292="","",INDEX('Per Line'!$F$2:$F$1501,$AH292)&amp;"")</f>
        <v/>
      </c>
      <c r="I292" s="14">
        <f>IF($AH292="","",INDEX('Per Line'!$G$2:$G$1501,$AH292))</f>
        <v/>
      </c>
      <c r="J292">
        <f>IF($AH292="","",INDEX('Per Line'!$H$2:$H$1501,$AH292)&amp;"")</f>
        <v/>
      </c>
      <c r="K292">
        <f>IF($AH292="","",INDEX('Per Line'!$J$2:$J$1501,$AH292)&amp;"")</f>
        <v/>
      </c>
      <c r="L292">
        <f>IF($AH292="","",INDEX('Per Line'!$K$2:$K$1501,$AH292)&amp;"")</f>
        <v/>
      </c>
      <c r="M292">
        <f>IF($AH292="","",INDEX('Per Line'!$L$2:$L$1501,$AH292)&amp;"")</f>
        <v/>
      </c>
      <c r="N292">
        <f>IF($AH292="","",INDEX('Per Line'!$M$2:$M$1501,$AH292)&amp;"")</f>
        <v/>
      </c>
      <c r="O292">
        <f>IF($AH292="","",INDEX('Per Line'!$P$2:$P$1501,$AH292))</f>
        <v/>
      </c>
      <c r="P292" s="7">
        <f>IF($AH292="","",O292*AD292/100)</f>
        <v/>
      </c>
      <c r="Q292">
        <f>IF($AH292="","",INDEX('Per Line'!$R$2:$R$1501,$AH292)&amp;"")</f>
        <v/>
      </c>
      <c r="R292">
        <f>IF($AH292="","",INDEX('Per Line'!$AB$2:$AB$1501,$AH292)&amp;"")</f>
        <v/>
      </c>
      <c r="S292">
        <f>IF($AH292="","",Settings!$C$8)</f>
        <v/>
      </c>
      <c r="T292" s="7">
        <f>IF($AH292="","",SUMIFS('Per Line'!$Z$2:$Z$1501,'Per Line'!$E$2:$E$1501,$B292,'Per Line'!$AT$2:$AT$1501,1))</f>
        <v/>
      </c>
      <c r="U292" s="7">
        <f>IF($AH292="","",T292*S292)</f>
        <v/>
      </c>
      <c r="V292">
        <f>IF($AH292="","",Settings!$C$7)</f>
        <v/>
      </c>
      <c r="W292" s="7">
        <f>IF($AH292="","",SUMIFS('Per Line'!$Z$2:$Z$1501,'Per Line'!$E$2:$E$1501,$B292,'Per Line'!$AS$2:$AS$1501,0,'Per Line'!$AT$2:$AT$1501,0))</f>
        <v/>
      </c>
      <c r="X292" s="7">
        <f>IF($AH292="","",W292*V292)</f>
        <v/>
      </c>
      <c r="Y292">
        <f>IF($AH292="","",Settings!$C$6)</f>
        <v/>
      </c>
      <c r="Z292" s="7">
        <f>IF($AH292="","",SUMIFS('Per Line'!$Z$2:$Z$1501,'Per Line'!$E$2:$E$1501,$B292,'Per Line'!$AS$2:$AS$1501,1,'Per Line'!$AT$2:$AT$1501,0))</f>
        <v/>
      </c>
      <c r="AA292" s="7">
        <f>IF($AH292="","",Z292*Y292)</f>
        <v/>
      </c>
      <c r="AB292" s="7">
        <f>IF($AH292="","",AA292+X292+U292)</f>
        <v/>
      </c>
      <c r="AC292" s="7">
        <f>IF($AH292="","",AD292-AB292)</f>
        <v/>
      </c>
      <c r="AD292" s="7">
        <f>IF($AH292="","",W292+Z292+T292)</f>
        <v/>
      </c>
      <c r="AE292" s="7">
        <f>IF($AH292="","",AD292-AB292-P292)</f>
        <v/>
      </c>
      <c r="AF292" s="15" t="n"/>
      <c r="AG292" s="7">
        <f>IF($AH292="","",AE292-N(AF292))</f>
        <v/>
      </c>
      <c r="AH292" s="16">
        <f>IF(ROWS($AH$2:$AH292)&lt;=MAX('Per Line'!$AR$2:$AR$1501),MATCH(ROWS($AH$2:$AH292),'Per Line'!$AR$2:$AR$1501,0),"")</f>
        <v/>
      </c>
      <c r="AI292">
        <f>IF($AH292="","",C292&amp;"|"&amp;COUNTIF($C$2:$C292,C292))</f>
        <v/>
      </c>
    </row>
    <row r="293">
      <c r="A293" s="15" t="n"/>
      <c r="B293">
        <f>IF($AH293="","",INDEX('Per Line'!$E$2:$E$1501,$AH293)&amp;"")</f>
        <v/>
      </c>
      <c r="C293">
        <f>IF($AH293="","",IF(INDEX('Per Line'!$AP$2:$AP$1501,$AH293)="NOT MATCH","NOT MATCH","FULL MATCH"))</f>
        <v/>
      </c>
      <c r="D293">
        <f>IF($AH293="","",INDEX('Per Line'!$A$2:$A$1501,$AH293)&amp;"")</f>
        <v/>
      </c>
      <c r="E293">
        <f>IF($AH293="","",INDEX('Per Line'!$B$2:$B$1501,$AH293))</f>
        <v/>
      </c>
      <c r="F293">
        <f>IF($AH293="","",INDEX('Per Line'!$C$2:$C$1501,$AH293)&amp;"")</f>
        <v/>
      </c>
      <c r="G293">
        <f>IF($AH293="","",INDEX('Per Line'!$D$2:$D$1501,$AH293)&amp;"")</f>
        <v/>
      </c>
      <c r="H293">
        <f>IF($AH293="","",INDEX('Per Line'!$F$2:$F$1501,$AH293)&amp;"")</f>
        <v/>
      </c>
      <c r="I293" s="14">
        <f>IF($AH293="","",INDEX('Per Line'!$G$2:$G$1501,$AH293))</f>
        <v/>
      </c>
      <c r="J293">
        <f>IF($AH293="","",INDEX('Per Line'!$H$2:$H$1501,$AH293)&amp;"")</f>
        <v/>
      </c>
      <c r="K293">
        <f>IF($AH293="","",INDEX('Per Line'!$J$2:$J$1501,$AH293)&amp;"")</f>
        <v/>
      </c>
      <c r="L293">
        <f>IF($AH293="","",INDEX('Per Line'!$K$2:$K$1501,$AH293)&amp;"")</f>
        <v/>
      </c>
      <c r="M293">
        <f>IF($AH293="","",INDEX('Per Line'!$L$2:$L$1501,$AH293)&amp;"")</f>
        <v/>
      </c>
      <c r="N293">
        <f>IF($AH293="","",INDEX('Per Line'!$M$2:$M$1501,$AH293)&amp;"")</f>
        <v/>
      </c>
      <c r="O293">
        <f>IF($AH293="","",INDEX('Per Line'!$P$2:$P$1501,$AH293))</f>
        <v/>
      </c>
      <c r="P293" s="7">
        <f>IF($AH293="","",O293*AD293/100)</f>
        <v/>
      </c>
      <c r="Q293">
        <f>IF($AH293="","",INDEX('Per Line'!$R$2:$R$1501,$AH293)&amp;"")</f>
        <v/>
      </c>
      <c r="R293">
        <f>IF($AH293="","",INDEX('Per Line'!$AB$2:$AB$1501,$AH293)&amp;"")</f>
        <v/>
      </c>
      <c r="S293">
        <f>IF($AH293="","",Settings!$C$8)</f>
        <v/>
      </c>
      <c r="T293" s="7">
        <f>IF($AH293="","",SUMIFS('Per Line'!$Z$2:$Z$1501,'Per Line'!$E$2:$E$1501,$B293,'Per Line'!$AT$2:$AT$1501,1))</f>
        <v/>
      </c>
      <c r="U293" s="7">
        <f>IF($AH293="","",T293*S293)</f>
        <v/>
      </c>
      <c r="V293">
        <f>IF($AH293="","",Settings!$C$7)</f>
        <v/>
      </c>
      <c r="W293" s="7">
        <f>IF($AH293="","",SUMIFS('Per Line'!$Z$2:$Z$1501,'Per Line'!$E$2:$E$1501,$B293,'Per Line'!$AS$2:$AS$1501,0,'Per Line'!$AT$2:$AT$1501,0))</f>
        <v/>
      </c>
      <c r="X293" s="7">
        <f>IF($AH293="","",W293*V293)</f>
        <v/>
      </c>
      <c r="Y293">
        <f>IF($AH293="","",Settings!$C$6)</f>
        <v/>
      </c>
      <c r="Z293" s="7">
        <f>IF($AH293="","",SUMIFS('Per Line'!$Z$2:$Z$1501,'Per Line'!$E$2:$E$1501,$B293,'Per Line'!$AS$2:$AS$1501,1,'Per Line'!$AT$2:$AT$1501,0))</f>
        <v/>
      </c>
      <c r="AA293" s="7">
        <f>IF($AH293="","",Z293*Y293)</f>
        <v/>
      </c>
      <c r="AB293" s="7">
        <f>IF($AH293="","",AA293+X293+U293)</f>
        <v/>
      </c>
      <c r="AC293" s="7">
        <f>IF($AH293="","",AD293-AB293)</f>
        <v/>
      </c>
      <c r="AD293" s="7">
        <f>IF($AH293="","",W293+Z293+T293)</f>
        <v/>
      </c>
      <c r="AE293" s="7">
        <f>IF($AH293="","",AD293-AB293-P293)</f>
        <v/>
      </c>
      <c r="AF293" s="15" t="n"/>
      <c r="AG293" s="7">
        <f>IF($AH293="","",AE293-N(AF293))</f>
        <v/>
      </c>
      <c r="AH293" s="16">
        <f>IF(ROWS($AH$2:$AH293)&lt;=MAX('Per Line'!$AR$2:$AR$1501),MATCH(ROWS($AH$2:$AH293),'Per Line'!$AR$2:$AR$1501,0),"")</f>
        <v/>
      </c>
      <c r="AI293">
        <f>IF($AH293="","",C293&amp;"|"&amp;COUNTIF($C$2:$C293,C293))</f>
        <v/>
      </c>
    </row>
    <row r="294">
      <c r="A294" s="15" t="n"/>
      <c r="B294">
        <f>IF($AH294="","",INDEX('Per Line'!$E$2:$E$1501,$AH294)&amp;"")</f>
        <v/>
      </c>
      <c r="C294">
        <f>IF($AH294="","",IF(INDEX('Per Line'!$AP$2:$AP$1501,$AH294)="NOT MATCH","NOT MATCH","FULL MATCH"))</f>
        <v/>
      </c>
      <c r="D294">
        <f>IF($AH294="","",INDEX('Per Line'!$A$2:$A$1501,$AH294)&amp;"")</f>
        <v/>
      </c>
      <c r="E294">
        <f>IF($AH294="","",INDEX('Per Line'!$B$2:$B$1501,$AH294))</f>
        <v/>
      </c>
      <c r="F294">
        <f>IF($AH294="","",INDEX('Per Line'!$C$2:$C$1501,$AH294)&amp;"")</f>
        <v/>
      </c>
      <c r="G294">
        <f>IF($AH294="","",INDEX('Per Line'!$D$2:$D$1501,$AH294)&amp;"")</f>
        <v/>
      </c>
      <c r="H294">
        <f>IF($AH294="","",INDEX('Per Line'!$F$2:$F$1501,$AH294)&amp;"")</f>
        <v/>
      </c>
      <c r="I294" s="14">
        <f>IF($AH294="","",INDEX('Per Line'!$G$2:$G$1501,$AH294))</f>
        <v/>
      </c>
      <c r="J294">
        <f>IF($AH294="","",INDEX('Per Line'!$H$2:$H$1501,$AH294)&amp;"")</f>
        <v/>
      </c>
      <c r="K294">
        <f>IF($AH294="","",INDEX('Per Line'!$J$2:$J$1501,$AH294)&amp;"")</f>
        <v/>
      </c>
      <c r="L294">
        <f>IF($AH294="","",INDEX('Per Line'!$K$2:$K$1501,$AH294)&amp;"")</f>
        <v/>
      </c>
      <c r="M294">
        <f>IF($AH294="","",INDEX('Per Line'!$L$2:$L$1501,$AH294)&amp;"")</f>
        <v/>
      </c>
      <c r="N294">
        <f>IF($AH294="","",INDEX('Per Line'!$M$2:$M$1501,$AH294)&amp;"")</f>
        <v/>
      </c>
      <c r="O294">
        <f>IF($AH294="","",INDEX('Per Line'!$P$2:$P$1501,$AH294))</f>
        <v/>
      </c>
      <c r="P294" s="7">
        <f>IF($AH294="","",O294*AD294/100)</f>
        <v/>
      </c>
      <c r="Q294">
        <f>IF($AH294="","",INDEX('Per Line'!$R$2:$R$1501,$AH294)&amp;"")</f>
        <v/>
      </c>
      <c r="R294">
        <f>IF($AH294="","",INDEX('Per Line'!$AB$2:$AB$1501,$AH294)&amp;"")</f>
        <v/>
      </c>
      <c r="S294">
        <f>IF($AH294="","",Settings!$C$8)</f>
        <v/>
      </c>
      <c r="T294" s="7">
        <f>IF($AH294="","",SUMIFS('Per Line'!$Z$2:$Z$1501,'Per Line'!$E$2:$E$1501,$B294,'Per Line'!$AT$2:$AT$1501,1))</f>
        <v/>
      </c>
      <c r="U294" s="7">
        <f>IF($AH294="","",T294*S294)</f>
        <v/>
      </c>
      <c r="V294">
        <f>IF($AH294="","",Settings!$C$7)</f>
        <v/>
      </c>
      <c r="W294" s="7">
        <f>IF($AH294="","",SUMIFS('Per Line'!$Z$2:$Z$1501,'Per Line'!$E$2:$E$1501,$B294,'Per Line'!$AS$2:$AS$1501,0,'Per Line'!$AT$2:$AT$1501,0))</f>
        <v/>
      </c>
      <c r="X294" s="7">
        <f>IF($AH294="","",W294*V294)</f>
        <v/>
      </c>
      <c r="Y294">
        <f>IF($AH294="","",Settings!$C$6)</f>
        <v/>
      </c>
      <c r="Z294" s="7">
        <f>IF($AH294="","",SUMIFS('Per Line'!$Z$2:$Z$1501,'Per Line'!$E$2:$E$1501,$B294,'Per Line'!$AS$2:$AS$1501,1,'Per Line'!$AT$2:$AT$1501,0))</f>
        <v/>
      </c>
      <c r="AA294" s="7">
        <f>IF($AH294="","",Z294*Y294)</f>
        <v/>
      </c>
      <c r="AB294" s="7">
        <f>IF($AH294="","",AA294+X294+U294)</f>
        <v/>
      </c>
      <c r="AC294" s="7">
        <f>IF($AH294="","",AD294-AB294)</f>
        <v/>
      </c>
      <c r="AD294" s="7">
        <f>IF($AH294="","",W294+Z294+T294)</f>
        <v/>
      </c>
      <c r="AE294" s="7">
        <f>IF($AH294="","",AD294-AB294-P294)</f>
        <v/>
      </c>
      <c r="AF294" s="15" t="n"/>
      <c r="AG294" s="7">
        <f>IF($AH294="","",AE294-N(AF294))</f>
        <v/>
      </c>
      <c r="AH294" s="16">
        <f>IF(ROWS($AH$2:$AH294)&lt;=MAX('Per Line'!$AR$2:$AR$1501),MATCH(ROWS($AH$2:$AH294),'Per Line'!$AR$2:$AR$1501,0),"")</f>
        <v/>
      </c>
      <c r="AI294">
        <f>IF($AH294="","",C294&amp;"|"&amp;COUNTIF($C$2:$C294,C294))</f>
        <v/>
      </c>
    </row>
    <row r="295">
      <c r="A295" s="15" t="n"/>
      <c r="B295">
        <f>IF($AH295="","",INDEX('Per Line'!$E$2:$E$1501,$AH295)&amp;"")</f>
        <v/>
      </c>
      <c r="C295">
        <f>IF($AH295="","",IF(INDEX('Per Line'!$AP$2:$AP$1501,$AH295)="NOT MATCH","NOT MATCH","FULL MATCH"))</f>
        <v/>
      </c>
      <c r="D295">
        <f>IF($AH295="","",INDEX('Per Line'!$A$2:$A$1501,$AH295)&amp;"")</f>
        <v/>
      </c>
      <c r="E295">
        <f>IF($AH295="","",INDEX('Per Line'!$B$2:$B$1501,$AH295))</f>
        <v/>
      </c>
      <c r="F295">
        <f>IF($AH295="","",INDEX('Per Line'!$C$2:$C$1501,$AH295)&amp;"")</f>
        <v/>
      </c>
      <c r="G295">
        <f>IF($AH295="","",INDEX('Per Line'!$D$2:$D$1501,$AH295)&amp;"")</f>
        <v/>
      </c>
      <c r="H295">
        <f>IF($AH295="","",INDEX('Per Line'!$F$2:$F$1501,$AH295)&amp;"")</f>
        <v/>
      </c>
      <c r="I295" s="14">
        <f>IF($AH295="","",INDEX('Per Line'!$G$2:$G$1501,$AH295))</f>
        <v/>
      </c>
      <c r="J295">
        <f>IF($AH295="","",INDEX('Per Line'!$H$2:$H$1501,$AH295)&amp;"")</f>
        <v/>
      </c>
      <c r="K295">
        <f>IF($AH295="","",INDEX('Per Line'!$J$2:$J$1501,$AH295)&amp;"")</f>
        <v/>
      </c>
      <c r="L295">
        <f>IF($AH295="","",INDEX('Per Line'!$K$2:$K$1501,$AH295)&amp;"")</f>
        <v/>
      </c>
      <c r="M295">
        <f>IF($AH295="","",INDEX('Per Line'!$L$2:$L$1501,$AH295)&amp;"")</f>
        <v/>
      </c>
      <c r="N295">
        <f>IF($AH295="","",INDEX('Per Line'!$M$2:$M$1501,$AH295)&amp;"")</f>
        <v/>
      </c>
      <c r="O295">
        <f>IF($AH295="","",INDEX('Per Line'!$P$2:$P$1501,$AH295))</f>
        <v/>
      </c>
      <c r="P295" s="7">
        <f>IF($AH295="","",O295*AD295/100)</f>
        <v/>
      </c>
      <c r="Q295">
        <f>IF($AH295="","",INDEX('Per Line'!$R$2:$R$1501,$AH295)&amp;"")</f>
        <v/>
      </c>
      <c r="R295">
        <f>IF($AH295="","",INDEX('Per Line'!$AB$2:$AB$1501,$AH295)&amp;"")</f>
        <v/>
      </c>
      <c r="S295">
        <f>IF($AH295="","",Settings!$C$8)</f>
        <v/>
      </c>
      <c r="T295" s="7">
        <f>IF($AH295="","",SUMIFS('Per Line'!$Z$2:$Z$1501,'Per Line'!$E$2:$E$1501,$B295,'Per Line'!$AT$2:$AT$1501,1))</f>
        <v/>
      </c>
      <c r="U295" s="7">
        <f>IF($AH295="","",T295*S295)</f>
        <v/>
      </c>
      <c r="V295">
        <f>IF($AH295="","",Settings!$C$7)</f>
        <v/>
      </c>
      <c r="W295" s="7">
        <f>IF($AH295="","",SUMIFS('Per Line'!$Z$2:$Z$1501,'Per Line'!$E$2:$E$1501,$B295,'Per Line'!$AS$2:$AS$1501,0,'Per Line'!$AT$2:$AT$1501,0))</f>
        <v/>
      </c>
      <c r="X295" s="7">
        <f>IF($AH295="","",W295*V295)</f>
        <v/>
      </c>
      <c r="Y295">
        <f>IF($AH295="","",Settings!$C$6)</f>
        <v/>
      </c>
      <c r="Z295" s="7">
        <f>IF($AH295="","",SUMIFS('Per Line'!$Z$2:$Z$1501,'Per Line'!$E$2:$E$1501,$B295,'Per Line'!$AS$2:$AS$1501,1,'Per Line'!$AT$2:$AT$1501,0))</f>
        <v/>
      </c>
      <c r="AA295" s="7">
        <f>IF($AH295="","",Z295*Y295)</f>
        <v/>
      </c>
      <c r="AB295" s="7">
        <f>IF($AH295="","",AA295+X295+U295)</f>
        <v/>
      </c>
      <c r="AC295" s="7">
        <f>IF($AH295="","",AD295-AB295)</f>
        <v/>
      </c>
      <c r="AD295" s="7">
        <f>IF($AH295="","",W295+Z295+T295)</f>
        <v/>
      </c>
      <c r="AE295" s="7">
        <f>IF($AH295="","",AD295-AB295-P295)</f>
        <v/>
      </c>
      <c r="AF295" s="15" t="n"/>
      <c r="AG295" s="7">
        <f>IF($AH295="","",AE295-N(AF295))</f>
        <v/>
      </c>
      <c r="AH295" s="16">
        <f>IF(ROWS($AH$2:$AH295)&lt;=MAX('Per Line'!$AR$2:$AR$1501),MATCH(ROWS($AH$2:$AH295),'Per Line'!$AR$2:$AR$1501,0),"")</f>
        <v/>
      </c>
      <c r="AI295">
        <f>IF($AH295="","",C295&amp;"|"&amp;COUNTIF($C$2:$C295,C295))</f>
        <v/>
      </c>
    </row>
    <row r="296">
      <c r="A296" s="15" t="n"/>
      <c r="B296">
        <f>IF($AH296="","",INDEX('Per Line'!$E$2:$E$1501,$AH296)&amp;"")</f>
        <v/>
      </c>
      <c r="C296">
        <f>IF($AH296="","",IF(INDEX('Per Line'!$AP$2:$AP$1501,$AH296)="NOT MATCH","NOT MATCH","FULL MATCH"))</f>
        <v/>
      </c>
      <c r="D296">
        <f>IF($AH296="","",INDEX('Per Line'!$A$2:$A$1501,$AH296)&amp;"")</f>
        <v/>
      </c>
      <c r="E296">
        <f>IF($AH296="","",INDEX('Per Line'!$B$2:$B$1501,$AH296))</f>
        <v/>
      </c>
      <c r="F296">
        <f>IF($AH296="","",INDEX('Per Line'!$C$2:$C$1501,$AH296)&amp;"")</f>
        <v/>
      </c>
      <c r="G296">
        <f>IF($AH296="","",INDEX('Per Line'!$D$2:$D$1501,$AH296)&amp;"")</f>
        <v/>
      </c>
      <c r="H296">
        <f>IF($AH296="","",INDEX('Per Line'!$F$2:$F$1501,$AH296)&amp;"")</f>
        <v/>
      </c>
      <c r="I296" s="14">
        <f>IF($AH296="","",INDEX('Per Line'!$G$2:$G$1501,$AH296))</f>
        <v/>
      </c>
      <c r="J296">
        <f>IF($AH296="","",INDEX('Per Line'!$H$2:$H$1501,$AH296)&amp;"")</f>
        <v/>
      </c>
      <c r="K296">
        <f>IF($AH296="","",INDEX('Per Line'!$J$2:$J$1501,$AH296)&amp;"")</f>
        <v/>
      </c>
      <c r="L296">
        <f>IF($AH296="","",INDEX('Per Line'!$K$2:$K$1501,$AH296)&amp;"")</f>
        <v/>
      </c>
      <c r="M296">
        <f>IF($AH296="","",INDEX('Per Line'!$L$2:$L$1501,$AH296)&amp;"")</f>
        <v/>
      </c>
      <c r="N296">
        <f>IF($AH296="","",INDEX('Per Line'!$M$2:$M$1501,$AH296)&amp;"")</f>
        <v/>
      </c>
      <c r="O296">
        <f>IF($AH296="","",INDEX('Per Line'!$P$2:$P$1501,$AH296))</f>
        <v/>
      </c>
      <c r="P296" s="7">
        <f>IF($AH296="","",O296*AD296/100)</f>
        <v/>
      </c>
      <c r="Q296">
        <f>IF($AH296="","",INDEX('Per Line'!$R$2:$R$1501,$AH296)&amp;"")</f>
        <v/>
      </c>
      <c r="R296">
        <f>IF($AH296="","",INDEX('Per Line'!$AB$2:$AB$1501,$AH296)&amp;"")</f>
        <v/>
      </c>
      <c r="S296">
        <f>IF($AH296="","",Settings!$C$8)</f>
        <v/>
      </c>
      <c r="T296" s="7">
        <f>IF($AH296="","",SUMIFS('Per Line'!$Z$2:$Z$1501,'Per Line'!$E$2:$E$1501,$B296,'Per Line'!$AT$2:$AT$1501,1))</f>
        <v/>
      </c>
      <c r="U296" s="7">
        <f>IF($AH296="","",T296*S296)</f>
        <v/>
      </c>
      <c r="V296">
        <f>IF($AH296="","",Settings!$C$7)</f>
        <v/>
      </c>
      <c r="W296" s="7">
        <f>IF($AH296="","",SUMIFS('Per Line'!$Z$2:$Z$1501,'Per Line'!$E$2:$E$1501,$B296,'Per Line'!$AS$2:$AS$1501,0,'Per Line'!$AT$2:$AT$1501,0))</f>
        <v/>
      </c>
      <c r="X296" s="7">
        <f>IF($AH296="","",W296*V296)</f>
        <v/>
      </c>
      <c r="Y296">
        <f>IF($AH296="","",Settings!$C$6)</f>
        <v/>
      </c>
      <c r="Z296" s="7">
        <f>IF($AH296="","",SUMIFS('Per Line'!$Z$2:$Z$1501,'Per Line'!$E$2:$E$1501,$B296,'Per Line'!$AS$2:$AS$1501,1,'Per Line'!$AT$2:$AT$1501,0))</f>
        <v/>
      </c>
      <c r="AA296" s="7">
        <f>IF($AH296="","",Z296*Y296)</f>
        <v/>
      </c>
      <c r="AB296" s="7">
        <f>IF($AH296="","",AA296+X296+U296)</f>
        <v/>
      </c>
      <c r="AC296" s="7">
        <f>IF($AH296="","",AD296-AB296)</f>
        <v/>
      </c>
      <c r="AD296" s="7">
        <f>IF($AH296="","",W296+Z296+T296)</f>
        <v/>
      </c>
      <c r="AE296" s="7">
        <f>IF($AH296="","",AD296-AB296-P296)</f>
        <v/>
      </c>
      <c r="AF296" s="15" t="n"/>
      <c r="AG296" s="7">
        <f>IF($AH296="","",AE296-N(AF296))</f>
        <v/>
      </c>
      <c r="AH296" s="16">
        <f>IF(ROWS($AH$2:$AH296)&lt;=MAX('Per Line'!$AR$2:$AR$1501),MATCH(ROWS($AH$2:$AH296),'Per Line'!$AR$2:$AR$1501,0),"")</f>
        <v/>
      </c>
      <c r="AI296">
        <f>IF($AH296="","",C296&amp;"|"&amp;COUNTIF($C$2:$C296,C296))</f>
        <v/>
      </c>
    </row>
    <row r="297">
      <c r="A297" s="15" t="n"/>
      <c r="B297">
        <f>IF($AH297="","",INDEX('Per Line'!$E$2:$E$1501,$AH297)&amp;"")</f>
        <v/>
      </c>
      <c r="C297">
        <f>IF($AH297="","",IF(INDEX('Per Line'!$AP$2:$AP$1501,$AH297)="NOT MATCH","NOT MATCH","FULL MATCH"))</f>
        <v/>
      </c>
      <c r="D297">
        <f>IF($AH297="","",INDEX('Per Line'!$A$2:$A$1501,$AH297)&amp;"")</f>
        <v/>
      </c>
      <c r="E297">
        <f>IF($AH297="","",INDEX('Per Line'!$B$2:$B$1501,$AH297))</f>
        <v/>
      </c>
      <c r="F297">
        <f>IF($AH297="","",INDEX('Per Line'!$C$2:$C$1501,$AH297)&amp;"")</f>
        <v/>
      </c>
      <c r="G297">
        <f>IF($AH297="","",INDEX('Per Line'!$D$2:$D$1501,$AH297)&amp;"")</f>
        <v/>
      </c>
      <c r="H297">
        <f>IF($AH297="","",INDEX('Per Line'!$F$2:$F$1501,$AH297)&amp;"")</f>
        <v/>
      </c>
      <c r="I297" s="14">
        <f>IF($AH297="","",INDEX('Per Line'!$G$2:$G$1501,$AH297))</f>
        <v/>
      </c>
      <c r="J297">
        <f>IF($AH297="","",INDEX('Per Line'!$H$2:$H$1501,$AH297)&amp;"")</f>
        <v/>
      </c>
      <c r="K297">
        <f>IF($AH297="","",INDEX('Per Line'!$J$2:$J$1501,$AH297)&amp;"")</f>
        <v/>
      </c>
      <c r="L297">
        <f>IF($AH297="","",INDEX('Per Line'!$K$2:$K$1501,$AH297)&amp;"")</f>
        <v/>
      </c>
      <c r="M297">
        <f>IF($AH297="","",INDEX('Per Line'!$L$2:$L$1501,$AH297)&amp;"")</f>
        <v/>
      </c>
      <c r="N297">
        <f>IF($AH297="","",INDEX('Per Line'!$M$2:$M$1501,$AH297)&amp;"")</f>
        <v/>
      </c>
      <c r="O297">
        <f>IF($AH297="","",INDEX('Per Line'!$P$2:$P$1501,$AH297))</f>
        <v/>
      </c>
      <c r="P297" s="7">
        <f>IF($AH297="","",O297*AD297/100)</f>
        <v/>
      </c>
      <c r="Q297">
        <f>IF($AH297="","",INDEX('Per Line'!$R$2:$R$1501,$AH297)&amp;"")</f>
        <v/>
      </c>
      <c r="R297">
        <f>IF($AH297="","",INDEX('Per Line'!$AB$2:$AB$1501,$AH297)&amp;"")</f>
        <v/>
      </c>
      <c r="S297">
        <f>IF($AH297="","",Settings!$C$8)</f>
        <v/>
      </c>
      <c r="T297" s="7">
        <f>IF($AH297="","",SUMIFS('Per Line'!$Z$2:$Z$1501,'Per Line'!$E$2:$E$1501,$B297,'Per Line'!$AT$2:$AT$1501,1))</f>
        <v/>
      </c>
      <c r="U297" s="7">
        <f>IF($AH297="","",T297*S297)</f>
        <v/>
      </c>
      <c r="V297">
        <f>IF($AH297="","",Settings!$C$7)</f>
        <v/>
      </c>
      <c r="W297" s="7">
        <f>IF($AH297="","",SUMIFS('Per Line'!$Z$2:$Z$1501,'Per Line'!$E$2:$E$1501,$B297,'Per Line'!$AS$2:$AS$1501,0,'Per Line'!$AT$2:$AT$1501,0))</f>
        <v/>
      </c>
      <c r="X297" s="7">
        <f>IF($AH297="","",W297*V297)</f>
        <v/>
      </c>
      <c r="Y297">
        <f>IF($AH297="","",Settings!$C$6)</f>
        <v/>
      </c>
      <c r="Z297" s="7">
        <f>IF($AH297="","",SUMIFS('Per Line'!$Z$2:$Z$1501,'Per Line'!$E$2:$E$1501,$B297,'Per Line'!$AS$2:$AS$1501,1,'Per Line'!$AT$2:$AT$1501,0))</f>
        <v/>
      </c>
      <c r="AA297" s="7">
        <f>IF($AH297="","",Z297*Y297)</f>
        <v/>
      </c>
      <c r="AB297" s="7">
        <f>IF($AH297="","",AA297+X297+U297)</f>
        <v/>
      </c>
      <c r="AC297" s="7">
        <f>IF($AH297="","",AD297-AB297)</f>
        <v/>
      </c>
      <c r="AD297" s="7">
        <f>IF($AH297="","",W297+Z297+T297)</f>
        <v/>
      </c>
      <c r="AE297" s="7">
        <f>IF($AH297="","",AD297-AB297-P297)</f>
        <v/>
      </c>
      <c r="AF297" s="15" t="n"/>
      <c r="AG297" s="7">
        <f>IF($AH297="","",AE297-N(AF297))</f>
        <v/>
      </c>
      <c r="AH297" s="16">
        <f>IF(ROWS($AH$2:$AH297)&lt;=MAX('Per Line'!$AR$2:$AR$1501),MATCH(ROWS($AH$2:$AH297),'Per Line'!$AR$2:$AR$1501,0),"")</f>
        <v/>
      </c>
      <c r="AI297">
        <f>IF($AH297="","",C297&amp;"|"&amp;COUNTIF($C$2:$C297,C297))</f>
        <v/>
      </c>
    </row>
    <row r="298">
      <c r="A298" s="15" t="n"/>
      <c r="B298">
        <f>IF($AH298="","",INDEX('Per Line'!$E$2:$E$1501,$AH298)&amp;"")</f>
        <v/>
      </c>
      <c r="C298">
        <f>IF($AH298="","",IF(INDEX('Per Line'!$AP$2:$AP$1501,$AH298)="NOT MATCH","NOT MATCH","FULL MATCH"))</f>
        <v/>
      </c>
      <c r="D298">
        <f>IF($AH298="","",INDEX('Per Line'!$A$2:$A$1501,$AH298)&amp;"")</f>
        <v/>
      </c>
      <c r="E298">
        <f>IF($AH298="","",INDEX('Per Line'!$B$2:$B$1501,$AH298))</f>
        <v/>
      </c>
      <c r="F298">
        <f>IF($AH298="","",INDEX('Per Line'!$C$2:$C$1501,$AH298)&amp;"")</f>
        <v/>
      </c>
      <c r="G298">
        <f>IF($AH298="","",INDEX('Per Line'!$D$2:$D$1501,$AH298)&amp;"")</f>
        <v/>
      </c>
      <c r="H298">
        <f>IF($AH298="","",INDEX('Per Line'!$F$2:$F$1501,$AH298)&amp;"")</f>
        <v/>
      </c>
      <c r="I298" s="14">
        <f>IF($AH298="","",INDEX('Per Line'!$G$2:$G$1501,$AH298))</f>
        <v/>
      </c>
      <c r="J298">
        <f>IF($AH298="","",INDEX('Per Line'!$H$2:$H$1501,$AH298)&amp;"")</f>
        <v/>
      </c>
      <c r="K298">
        <f>IF($AH298="","",INDEX('Per Line'!$J$2:$J$1501,$AH298)&amp;"")</f>
        <v/>
      </c>
      <c r="L298">
        <f>IF($AH298="","",INDEX('Per Line'!$K$2:$K$1501,$AH298)&amp;"")</f>
        <v/>
      </c>
      <c r="M298">
        <f>IF($AH298="","",INDEX('Per Line'!$L$2:$L$1501,$AH298)&amp;"")</f>
        <v/>
      </c>
      <c r="N298">
        <f>IF($AH298="","",INDEX('Per Line'!$M$2:$M$1501,$AH298)&amp;"")</f>
        <v/>
      </c>
      <c r="O298">
        <f>IF($AH298="","",INDEX('Per Line'!$P$2:$P$1501,$AH298))</f>
        <v/>
      </c>
      <c r="P298" s="7">
        <f>IF($AH298="","",O298*AD298/100)</f>
        <v/>
      </c>
      <c r="Q298">
        <f>IF($AH298="","",INDEX('Per Line'!$R$2:$R$1501,$AH298)&amp;"")</f>
        <v/>
      </c>
      <c r="R298">
        <f>IF($AH298="","",INDEX('Per Line'!$AB$2:$AB$1501,$AH298)&amp;"")</f>
        <v/>
      </c>
      <c r="S298">
        <f>IF($AH298="","",Settings!$C$8)</f>
        <v/>
      </c>
      <c r="T298" s="7">
        <f>IF($AH298="","",SUMIFS('Per Line'!$Z$2:$Z$1501,'Per Line'!$E$2:$E$1501,$B298,'Per Line'!$AT$2:$AT$1501,1))</f>
        <v/>
      </c>
      <c r="U298" s="7">
        <f>IF($AH298="","",T298*S298)</f>
        <v/>
      </c>
      <c r="V298">
        <f>IF($AH298="","",Settings!$C$7)</f>
        <v/>
      </c>
      <c r="W298" s="7">
        <f>IF($AH298="","",SUMIFS('Per Line'!$Z$2:$Z$1501,'Per Line'!$E$2:$E$1501,$B298,'Per Line'!$AS$2:$AS$1501,0,'Per Line'!$AT$2:$AT$1501,0))</f>
        <v/>
      </c>
      <c r="X298" s="7">
        <f>IF($AH298="","",W298*V298)</f>
        <v/>
      </c>
      <c r="Y298">
        <f>IF($AH298="","",Settings!$C$6)</f>
        <v/>
      </c>
      <c r="Z298" s="7">
        <f>IF($AH298="","",SUMIFS('Per Line'!$Z$2:$Z$1501,'Per Line'!$E$2:$E$1501,$B298,'Per Line'!$AS$2:$AS$1501,1,'Per Line'!$AT$2:$AT$1501,0))</f>
        <v/>
      </c>
      <c r="AA298" s="7">
        <f>IF($AH298="","",Z298*Y298)</f>
        <v/>
      </c>
      <c r="AB298" s="7">
        <f>IF($AH298="","",AA298+X298+U298)</f>
        <v/>
      </c>
      <c r="AC298" s="7">
        <f>IF($AH298="","",AD298-AB298)</f>
        <v/>
      </c>
      <c r="AD298" s="7">
        <f>IF($AH298="","",W298+Z298+T298)</f>
        <v/>
      </c>
      <c r="AE298" s="7">
        <f>IF($AH298="","",AD298-AB298-P298)</f>
        <v/>
      </c>
      <c r="AF298" s="15" t="n"/>
      <c r="AG298" s="7">
        <f>IF($AH298="","",AE298-N(AF298))</f>
        <v/>
      </c>
      <c r="AH298" s="16">
        <f>IF(ROWS($AH$2:$AH298)&lt;=MAX('Per Line'!$AR$2:$AR$1501),MATCH(ROWS($AH$2:$AH298),'Per Line'!$AR$2:$AR$1501,0),"")</f>
        <v/>
      </c>
      <c r="AI298">
        <f>IF($AH298="","",C298&amp;"|"&amp;COUNTIF($C$2:$C298,C298))</f>
        <v/>
      </c>
    </row>
    <row r="299">
      <c r="A299" s="15" t="n"/>
      <c r="B299">
        <f>IF($AH299="","",INDEX('Per Line'!$E$2:$E$1501,$AH299)&amp;"")</f>
        <v/>
      </c>
      <c r="C299">
        <f>IF($AH299="","",IF(INDEX('Per Line'!$AP$2:$AP$1501,$AH299)="NOT MATCH","NOT MATCH","FULL MATCH"))</f>
        <v/>
      </c>
      <c r="D299">
        <f>IF($AH299="","",INDEX('Per Line'!$A$2:$A$1501,$AH299)&amp;"")</f>
        <v/>
      </c>
      <c r="E299">
        <f>IF($AH299="","",INDEX('Per Line'!$B$2:$B$1501,$AH299))</f>
        <v/>
      </c>
      <c r="F299">
        <f>IF($AH299="","",INDEX('Per Line'!$C$2:$C$1501,$AH299)&amp;"")</f>
        <v/>
      </c>
      <c r="G299">
        <f>IF($AH299="","",INDEX('Per Line'!$D$2:$D$1501,$AH299)&amp;"")</f>
        <v/>
      </c>
      <c r="H299">
        <f>IF($AH299="","",INDEX('Per Line'!$F$2:$F$1501,$AH299)&amp;"")</f>
        <v/>
      </c>
      <c r="I299" s="14">
        <f>IF($AH299="","",INDEX('Per Line'!$G$2:$G$1501,$AH299))</f>
        <v/>
      </c>
      <c r="J299">
        <f>IF($AH299="","",INDEX('Per Line'!$H$2:$H$1501,$AH299)&amp;"")</f>
        <v/>
      </c>
      <c r="K299">
        <f>IF($AH299="","",INDEX('Per Line'!$J$2:$J$1501,$AH299)&amp;"")</f>
        <v/>
      </c>
      <c r="L299">
        <f>IF($AH299="","",INDEX('Per Line'!$K$2:$K$1501,$AH299)&amp;"")</f>
        <v/>
      </c>
      <c r="M299">
        <f>IF($AH299="","",INDEX('Per Line'!$L$2:$L$1501,$AH299)&amp;"")</f>
        <v/>
      </c>
      <c r="N299">
        <f>IF($AH299="","",INDEX('Per Line'!$M$2:$M$1501,$AH299)&amp;"")</f>
        <v/>
      </c>
      <c r="O299">
        <f>IF($AH299="","",INDEX('Per Line'!$P$2:$P$1501,$AH299))</f>
        <v/>
      </c>
      <c r="P299" s="7">
        <f>IF($AH299="","",O299*AD299/100)</f>
        <v/>
      </c>
      <c r="Q299">
        <f>IF($AH299="","",INDEX('Per Line'!$R$2:$R$1501,$AH299)&amp;"")</f>
        <v/>
      </c>
      <c r="R299">
        <f>IF($AH299="","",INDEX('Per Line'!$AB$2:$AB$1501,$AH299)&amp;"")</f>
        <v/>
      </c>
      <c r="S299">
        <f>IF($AH299="","",Settings!$C$8)</f>
        <v/>
      </c>
      <c r="T299" s="7">
        <f>IF($AH299="","",SUMIFS('Per Line'!$Z$2:$Z$1501,'Per Line'!$E$2:$E$1501,$B299,'Per Line'!$AT$2:$AT$1501,1))</f>
        <v/>
      </c>
      <c r="U299" s="7">
        <f>IF($AH299="","",T299*S299)</f>
        <v/>
      </c>
      <c r="V299">
        <f>IF($AH299="","",Settings!$C$7)</f>
        <v/>
      </c>
      <c r="W299" s="7">
        <f>IF($AH299="","",SUMIFS('Per Line'!$Z$2:$Z$1501,'Per Line'!$E$2:$E$1501,$B299,'Per Line'!$AS$2:$AS$1501,0,'Per Line'!$AT$2:$AT$1501,0))</f>
        <v/>
      </c>
      <c r="X299" s="7">
        <f>IF($AH299="","",W299*V299)</f>
        <v/>
      </c>
      <c r="Y299">
        <f>IF($AH299="","",Settings!$C$6)</f>
        <v/>
      </c>
      <c r="Z299" s="7">
        <f>IF($AH299="","",SUMIFS('Per Line'!$Z$2:$Z$1501,'Per Line'!$E$2:$E$1501,$B299,'Per Line'!$AS$2:$AS$1501,1,'Per Line'!$AT$2:$AT$1501,0))</f>
        <v/>
      </c>
      <c r="AA299" s="7">
        <f>IF($AH299="","",Z299*Y299)</f>
        <v/>
      </c>
      <c r="AB299" s="7">
        <f>IF($AH299="","",AA299+X299+U299)</f>
        <v/>
      </c>
      <c r="AC299" s="7">
        <f>IF($AH299="","",AD299-AB299)</f>
        <v/>
      </c>
      <c r="AD299" s="7">
        <f>IF($AH299="","",W299+Z299+T299)</f>
        <v/>
      </c>
      <c r="AE299" s="7">
        <f>IF($AH299="","",AD299-AB299-P299)</f>
        <v/>
      </c>
      <c r="AF299" s="15" t="n"/>
      <c r="AG299" s="7">
        <f>IF($AH299="","",AE299-N(AF299))</f>
        <v/>
      </c>
      <c r="AH299" s="16">
        <f>IF(ROWS($AH$2:$AH299)&lt;=MAX('Per Line'!$AR$2:$AR$1501),MATCH(ROWS($AH$2:$AH299),'Per Line'!$AR$2:$AR$1501,0),"")</f>
        <v/>
      </c>
      <c r="AI299">
        <f>IF($AH299="","",C299&amp;"|"&amp;COUNTIF($C$2:$C299,C299))</f>
        <v/>
      </c>
    </row>
    <row r="300">
      <c r="A300" s="15" t="n"/>
      <c r="B300">
        <f>IF($AH300="","",INDEX('Per Line'!$E$2:$E$1501,$AH300)&amp;"")</f>
        <v/>
      </c>
      <c r="C300">
        <f>IF($AH300="","",IF(INDEX('Per Line'!$AP$2:$AP$1501,$AH300)="NOT MATCH","NOT MATCH","FULL MATCH"))</f>
        <v/>
      </c>
      <c r="D300">
        <f>IF($AH300="","",INDEX('Per Line'!$A$2:$A$1501,$AH300)&amp;"")</f>
        <v/>
      </c>
      <c r="E300">
        <f>IF($AH300="","",INDEX('Per Line'!$B$2:$B$1501,$AH300))</f>
        <v/>
      </c>
      <c r="F300">
        <f>IF($AH300="","",INDEX('Per Line'!$C$2:$C$1501,$AH300)&amp;"")</f>
        <v/>
      </c>
      <c r="G300">
        <f>IF($AH300="","",INDEX('Per Line'!$D$2:$D$1501,$AH300)&amp;"")</f>
        <v/>
      </c>
      <c r="H300">
        <f>IF($AH300="","",INDEX('Per Line'!$F$2:$F$1501,$AH300)&amp;"")</f>
        <v/>
      </c>
      <c r="I300" s="14">
        <f>IF($AH300="","",INDEX('Per Line'!$G$2:$G$1501,$AH300))</f>
        <v/>
      </c>
      <c r="J300">
        <f>IF($AH300="","",INDEX('Per Line'!$H$2:$H$1501,$AH300)&amp;"")</f>
        <v/>
      </c>
      <c r="K300">
        <f>IF($AH300="","",INDEX('Per Line'!$J$2:$J$1501,$AH300)&amp;"")</f>
        <v/>
      </c>
      <c r="L300">
        <f>IF($AH300="","",INDEX('Per Line'!$K$2:$K$1501,$AH300)&amp;"")</f>
        <v/>
      </c>
      <c r="M300">
        <f>IF($AH300="","",INDEX('Per Line'!$L$2:$L$1501,$AH300)&amp;"")</f>
        <v/>
      </c>
      <c r="N300">
        <f>IF($AH300="","",INDEX('Per Line'!$M$2:$M$1501,$AH300)&amp;"")</f>
        <v/>
      </c>
      <c r="O300">
        <f>IF($AH300="","",INDEX('Per Line'!$P$2:$P$1501,$AH300))</f>
        <v/>
      </c>
      <c r="P300" s="7">
        <f>IF($AH300="","",O300*AD300/100)</f>
        <v/>
      </c>
      <c r="Q300">
        <f>IF($AH300="","",INDEX('Per Line'!$R$2:$R$1501,$AH300)&amp;"")</f>
        <v/>
      </c>
      <c r="R300">
        <f>IF($AH300="","",INDEX('Per Line'!$AB$2:$AB$1501,$AH300)&amp;"")</f>
        <v/>
      </c>
      <c r="S300">
        <f>IF($AH300="","",Settings!$C$8)</f>
        <v/>
      </c>
      <c r="T300" s="7">
        <f>IF($AH300="","",SUMIFS('Per Line'!$Z$2:$Z$1501,'Per Line'!$E$2:$E$1501,$B300,'Per Line'!$AT$2:$AT$1501,1))</f>
        <v/>
      </c>
      <c r="U300" s="7">
        <f>IF($AH300="","",T300*S300)</f>
        <v/>
      </c>
      <c r="V300">
        <f>IF($AH300="","",Settings!$C$7)</f>
        <v/>
      </c>
      <c r="W300" s="7">
        <f>IF($AH300="","",SUMIFS('Per Line'!$Z$2:$Z$1501,'Per Line'!$E$2:$E$1501,$B300,'Per Line'!$AS$2:$AS$1501,0,'Per Line'!$AT$2:$AT$1501,0))</f>
        <v/>
      </c>
      <c r="X300" s="7">
        <f>IF($AH300="","",W300*V300)</f>
        <v/>
      </c>
      <c r="Y300">
        <f>IF($AH300="","",Settings!$C$6)</f>
        <v/>
      </c>
      <c r="Z300" s="7">
        <f>IF($AH300="","",SUMIFS('Per Line'!$Z$2:$Z$1501,'Per Line'!$E$2:$E$1501,$B300,'Per Line'!$AS$2:$AS$1501,1,'Per Line'!$AT$2:$AT$1501,0))</f>
        <v/>
      </c>
      <c r="AA300" s="7">
        <f>IF($AH300="","",Z300*Y300)</f>
        <v/>
      </c>
      <c r="AB300" s="7">
        <f>IF($AH300="","",AA300+X300+U300)</f>
        <v/>
      </c>
      <c r="AC300" s="7">
        <f>IF($AH300="","",AD300-AB300)</f>
        <v/>
      </c>
      <c r="AD300" s="7">
        <f>IF($AH300="","",W300+Z300+T300)</f>
        <v/>
      </c>
      <c r="AE300" s="7">
        <f>IF($AH300="","",AD300-AB300-P300)</f>
        <v/>
      </c>
      <c r="AF300" s="15" t="n"/>
      <c r="AG300" s="7">
        <f>IF($AH300="","",AE300-N(AF300))</f>
        <v/>
      </c>
      <c r="AH300" s="16">
        <f>IF(ROWS($AH$2:$AH300)&lt;=MAX('Per Line'!$AR$2:$AR$1501),MATCH(ROWS($AH$2:$AH300),'Per Line'!$AR$2:$AR$1501,0),"")</f>
        <v/>
      </c>
      <c r="AI300">
        <f>IF($AH300="","",C300&amp;"|"&amp;COUNTIF($C$2:$C300,C300))</f>
        <v/>
      </c>
    </row>
    <row r="301">
      <c r="A301" s="15" t="n"/>
      <c r="B301">
        <f>IF($AH301="","",INDEX('Per Line'!$E$2:$E$1501,$AH301)&amp;"")</f>
        <v/>
      </c>
      <c r="C301">
        <f>IF($AH301="","",IF(INDEX('Per Line'!$AP$2:$AP$1501,$AH301)="NOT MATCH","NOT MATCH","FULL MATCH"))</f>
        <v/>
      </c>
      <c r="D301">
        <f>IF($AH301="","",INDEX('Per Line'!$A$2:$A$1501,$AH301)&amp;"")</f>
        <v/>
      </c>
      <c r="E301">
        <f>IF($AH301="","",INDEX('Per Line'!$B$2:$B$1501,$AH301))</f>
        <v/>
      </c>
      <c r="F301">
        <f>IF($AH301="","",INDEX('Per Line'!$C$2:$C$1501,$AH301)&amp;"")</f>
        <v/>
      </c>
      <c r="G301">
        <f>IF($AH301="","",INDEX('Per Line'!$D$2:$D$1501,$AH301)&amp;"")</f>
        <v/>
      </c>
      <c r="H301">
        <f>IF($AH301="","",INDEX('Per Line'!$F$2:$F$1501,$AH301)&amp;"")</f>
        <v/>
      </c>
      <c r="I301" s="14">
        <f>IF($AH301="","",INDEX('Per Line'!$G$2:$G$1501,$AH301))</f>
        <v/>
      </c>
      <c r="J301">
        <f>IF($AH301="","",INDEX('Per Line'!$H$2:$H$1501,$AH301)&amp;"")</f>
        <v/>
      </c>
      <c r="K301">
        <f>IF($AH301="","",INDEX('Per Line'!$J$2:$J$1501,$AH301)&amp;"")</f>
        <v/>
      </c>
      <c r="L301">
        <f>IF($AH301="","",INDEX('Per Line'!$K$2:$K$1501,$AH301)&amp;"")</f>
        <v/>
      </c>
      <c r="M301">
        <f>IF($AH301="","",INDEX('Per Line'!$L$2:$L$1501,$AH301)&amp;"")</f>
        <v/>
      </c>
      <c r="N301">
        <f>IF($AH301="","",INDEX('Per Line'!$M$2:$M$1501,$AH301)&amp;"")</f>
        <v/>
      </c>
      <c r="O301">
        <f>IF($AH301="","",INDEX('Per Line'!$P$2:$P$1501,$AH301))</f>
        <v/>
      </c>
      <c r="P301" s="7">
        <f>IF($AH301="","",O301*AD301/100)</f>
        <v/>
      </c>
      <c r="Q301">
        <f>IF($AH301="","",INDEX('Per Line'!$R$2:$R$1501,$AH301)&amp;"")</f>
        <v/>
      </c>
      <c r="R301">
        <f>IF($AH301="","",INDEX('Per Line'!$AB$2:$AB$1501,$AH301)&amp;"")</f>
        <v/>
      </c>
      <c r="S301">
        <f>IF($AH301="","",Settings!$C$8)</f>
        <v/>
      </c>
      <c r="T301" s="7">
        <f>IF($AH301="","",SUMIFS('Per Line'!$Z$2:$Z$1501,'Per Line'!$E$2:$E$1501,$B301,'Per Line'!$AT$2:$AT$1501,1))</f>
        <v/>
      </c>
      <c r="U301" s="7">
        <f>IF($AH301="","",T301*S301)</f>
        <v/>
      </c>
      <c r="V301">
        <f>IF($AH301="","",Settings!$C$7)</f>
        <v/>
      </c>
      <c r="W301" s="7">
        <f>IF($AH301="","",SUMIFS('Per Line'!$Z$2:$Z$1501,'Per Line'!$E$2:$E$1501,$B301,'Per Line'!$AS$2:$AS$1501,0,'Per Line'!$AT$2:$AT$1501,0))</f>
        <v/>
      </c>
      <c r="X301" s="7">
        <f>IF($AH301="","",W301*V301)</f>
        <v/>
      </c>
      <c r="Y301">
        <f>IF($AH301="","",Settings!$C$6)</f>
        <v/>
      </c>
      <c r="Z301" s="7">
        <f>IF($AH301="","",SUMIFS('Per Line'!$Z$2:$Z$1501,'Per Line'!$E$2:$E$1501,$B301,'Per Line'!$AS$2:$AS$1501,1,'Per Line'!$AT$2:$AT$1501,0))</f>
        <v/>
      </c>
      <c r="AA301" s="7">
        <f>IF($AH301="","",Z301*Y301)</f>
        <v/>
      </c>
      <c r="AB301" s="7">
        <f>IF($AH301="","",AA301+X301+U301)</f>
        <v/>
      </c>
      <c r="AC301" s="7">
        <f>IF($AH301="","",AD301-AB301)</f>
        <v/>
      </c>
      <c r="AD301" s="7">
        <f>IF($AH301="","",W301+Z301+T301)</f>
        <v/>
      </c>
      <c r="AE301" s="7">
        <f>IF($AH301="","",AD301-AB301-P301)</f>
        <v/>
      </c>
      <c r="AF301" s="15" t="n"/>
      <c r="AG301" s="7">
        <f>IF($AH301="","",AE301-N(AF301))</f>
        <v/>
      </c>
      <c r="AH301" s="16">
        <f>IF(ROWS($AH$2:$AH301)&lt;=MAX('Per Line'!$AR$2:$AR$1501),MATCH(ROWS($AH$2:$AH301),'Per Line'!$AR$2:$AR$1501,0),"")</f>
        <v/>
      </c>
      <c r="AI301">
        <f>IF($AH301="","",C301&amp;"|"&amp;COUNTIF($C$2:$C301,C301))</f>
        <v/>
      </c>
    </row>
    <row r="302">
      <c r="A302" s="15" t="n"/>
      <c r="B302">
        <f>IF($AH302="","",INDEX('Per Line'!$E$2:$E$1501,$AH302)&amp;"")</f>
        <v/>
      </c>
      <c r="C302">
        <f>IF($AH302="","",IF(INDEX('Per Line'!$AP$2:$AP$1501,$AH302)="NOT MATCH","NOT MATCH","FULL MATCH"))</f>
        <v/>
      </c>
      <c r="D302">
        <f>IF($AH302="","",INDEX('Per Line'!$A$2:$A$1501,$AH302)&amp;"")</f>
        <v/>
      </c>
      <c r="E302">
        <f>IF($AH302="","",INDEX('Per Line'!$B$2:$B$1501,$AH302))</f>
        <v/>
      </c>
      <c r="F302">
        <f>IF($AH302="","",INDEX('Per Line'!$C$2:$C$1501,$AH302)&amp;"")</f>
        <v/>
      </c>
      <c r="G302">
        <f>IF($AH302="","",INDEX('Per Line'!$D$2:$D$1501,$AH302)&amp;"")</f>
        <v/>
      </c>
      <c r="H302">
        <f>IF($AH302="","",INDEX('Per Line'!$F$2:$F$1501,$AH302)&amp;"")</f>
        <v/>
      </c>
      <c r="I302" s="14">
        <f>IF($AH302="","",INDEX('Per Line'!$G$2:$G$1501,$AH302))</f>
        <v/>
      </c>
      <c r="J302">
        <f>IF($AH302="","",INDEX('Per Line'!$H$2:$H$1501,$AH302)&amp;"")</f>
        <v/>
      </c>
      <c r="K302">
        <f>IF($AH302="","",INDEX('Per Line'!$J$2:$J$1501,$AH302)&amp;"")</f>
        <v/>
      </c>
      <c r="L302">
        <f>IF($AH302="","",INDEX('Per Line'!$K$2:$K$1501,$AH302)&amp;"")</f>
        <v/>
      </c>
      <c r="M302">
        <f>IF($AH302="","",INDEX('Per Line'!$L$2:$L$1501,$AH302)&amp;"")</f>
        <v/>
      </c>
      <c r="N302">
        <f>IF($AH302="","",INDEX('Per Line'!$M$2:$M$1501,$AH302)&amp;"")</f>
        <v/>
      </c>
      <c r="O302">
        <f>IF($AH302="","",INDEX('Per Line'!$P$2:$P$1501,$AH302))</f>
        <v/>
      </c>
      <c r="P302" s="7">
        <f>IF($AH302="","",O302*AD302/100)</f>
        <v/>
      </c>
      <c r="Q302">
        <f>IF($AH302="","",INDEX('Per Line'!$R$2:$R$1501,$AH302)&amp;"")</f>
        <v/>
      </c>
      <c r="R302">
        <f>IF($AH302="","",INDEX('Per Line'!$AB$2:$AB$1501,$AH302)&amp;"")</f>
        <v/>
      </c>
      <c r="S302">
        <f>IF($AH302="","",Settings!$C$8)</f>
        <v/>
      </c>
      <c r="T302" s="7">
        <f>IF($AH302="","",SUMIFS('Per Line'!$Z$2:$Z$1501,'Per Line'!$E$2:$E$1501,$B302,'Per Line'!$AT$2:$AT$1501,1))</f>
        <v/>
      </c>
      <c r="U302" s="7">
        <f>IF($AH302="","",T302*S302)</f>
        <v/>
      </c>
      <c r="V302">
        <f>IF($AH302="","",Settings!$C$7)</f>
        <v/>
      </c>
      <c r="W302" s="7">
        <f>IF($AH302="","",SUMIFS('Per Line'!$Z$2:$Z$1501,'Per Line'!$E$2:$E$1501,$B302,'Per Line'!$AS$2:$AS$1501,0,'Per Line'!$AT$2:$AT$1501,0))</f>
        <v/>
      </c>
      <c r="X302" s="7">
        <f>IF($AH302="","",W302*V302)</f>
        <v/>
      </c>
      <c r="Y302">
        <f>IF($AH302="","",Settings!$C$6)</f>
        <v/>
      </c>
      <c r="Z302" s="7">
        <f>IF($AH302="","",SUMIFS('Per Line'!$Z$2:$Z$1501,'Per Line'!$E$2:$E$1501,$B302,'Per Line'!$AS$2:$AS$1501,1,'Per Line'!$AT$2:$AT$1501,0))</f>
        <v/>
      </c>
      <c r="AA302" s="7">
        <f>IF($AH302="","",Z302*Y302)</f>
        <v/>
      </c>
      <c r="AB302" s="7">
        <f>IF($AH302="","",AA302+X302+U302)</f>
        <v/>
      </c>
      <c r="AC302" s="7">
        <f>IF($AH302="","",AD302-AB302)</f>
        <v/>
      </c>
      <c r="AD302" s="7">
        <f>IF($AH302="","",W302+Z302+T302)</f>
        <v/>
      </c>
      <c r="AE302" s="7">
        <f>IF($AH302="","",AD302-AB302-P302)</f>
        <v/>
      </c>
      <c r="AF302" s="15" t="n"/>
      <c r="AG302" s="7">
        <f>IF($AH302="","",AE302-N(AF302))</f>
        <v/>
      </c>
      <c r="AH302" s="16">
        <f>IF(ROWS($AH$2:$AH302)&lt;=MAX('Per Line'!$AR$2:$AR$1501),MATCH(ROWS($AH$2:$AH302),'Per Line'!$AR$2:$AR$1501,0),"")</f>
        <v/>
      </c>
      <c r="AI302">
        <f>IF($AH302="","",C302&amp;"|"&amp;COUNTIF($C$2:$C302,C302))</f>
        <v/>
      </c>
    </row>
    <row r="303">
      <c r="A303" s="15" t="n"/>
      <c r="B303">
        <f>IF($AH303="","",INDEX('Per Line'!$E$2:$E$1501,$AH303)&amp;"")</f>
        <v/>
      </c>
      <c r="C303">
        <f>IF($AH303="","",IF(INDEX('Per Line'!$AP$2:$AP$1501,$AH303)="NOT MATCH","NOT MATCH","FULL MATCH"))</f>
        <v/>
      </c>
      <c r="D303">
        <f>IF($AH303="","",INDEX('Per Line'!$A$2:$A$1501,$AH303)&amp;"")</f>
        <v/>
      </c>
      <c r="E303">
        <f>IF($AH303="","",INDEX('Per Line'!$B$2:$B$1501,$AH303))</f>
        <v/>
      </c>
      <c r="F303">
        <f>IF($AH303="","",INDEX('Per Line'!$C$2:$C$1501,$AH303)&amp;"")</f>
        <v/>
      </c>
      <c r="G303">
        <f>IF($AH303="","",INDEX('Per Line'!$D$2:$D$1501,$AH303)&amp;"")</f>
        <v/>
      </c>
      <c r="H303">
        <f>IF($AH303="","",INDEX('Per Line'!$F$2:$F$1501,$AH303)&amp;"")</f>
        <v/>
      </c>
      <c r="I303" s="14">
        <f>IF($AH303="","",INDEX('Per Line'!$G$2:$G$1501,$AH303))</f>
        <v/>
      </c>
      <c r="J303">
        <f>IF($AH303="","",INDEX('Per Line'!$H$2:$H$1501,$AH303)&amp;"")</f>
        <v/>
      </c>
      <c r="K303">
        <f>IF($AH303="","",INDEX('Per Line'!$J$2:$J$1501,$AH303)&amp;"")</f>
        <v/>
      </c>
      <c r="L303">
        <f>IF($AH303="","",INDEX('Per Line'!$K$2:$K$1501,$AH303)&amp;"")</f>
        <v/>
      </c>
      <c r="M303">
        <f>IF($AH303="","",INDEX('Per Line'!$L$2:$L$1501,$AH303)&amp;"")</f>
        <v/>
      </c>
      <c r="N303">
        <f>IF($AH303="","",INDEX('Per Line'!$M$2:$M$1501,$AH303)&amp;"")</f>
        <v/>
      </c>
      <c r="O303">
        <f>IF($AH303="","",INDEX('Per Line'!$P$2:$P$1501,$AH303))</f>
        <v/>
      </c>
      <c r="P303" s="7">
        <f>IF($AH303="","",O303*AD303/100)</f>
        <v/>
      </c>
      <c r="Q303">
        <f>IF($AH303="","",INDEX('Per Line'!$R$2:$R$1501,$AH303)&amp;"")</f>
        <v/>
      </c>
      <c r="R303">
        <f>IF($AH303="","",INDEX('Per Line'!$AB$2:$AB$1501,$AH303)&amp;"")</f>
        <v/>
      </c>
      <c r="S303">
        <f>IF($AH303="","",Settings!$C$8)</f>
        <v/>
      </c>
      <c r="T303" s="7">
        <f>IF($AH303="","",SUMIFS('Per Line'!$Z$2:$Z$1501,'Per Line'!$E$2:$E$1501,$B303,'Per Line'!$AT$2:$AT$1501,1))</f>
        <v/>
      </c>
      <c r="U303" s="7">
        <f>IF($AH303="","",T303*S303)</f>
        <v/>
      </c>
      <c r="V303">
        <f>IF($AH303="","",Settings!$C$7)</f>
        <v/>
      </c>
      <c r="W303" s="7">
        <f>IF($AH303="","",SUMIFS('Per Line'!$Z$2:$Z$1501,'Per Line'!$E$2:$E$1501,$B303,'Per Line'!$AS$2:$AS$1501,0,'Per Line'!$AT$2:$AT$1501,0))</f>
        <v/>
      </c>
      <c r="X303" s="7">
        <f>IF($AH303="","",W303*V303)</f>
        <v/>
      </c>
      <c r="Y303">
        <f>IF($AH303="","",Settings!$C$6)</f>
        <v/>
      </c>
      <c r="Z303" s="7">
        <f>IF($AH303="","",SUMIFS('Per Line'!$Z$2:$Z$1501,'Per Line'!$E$2:$E$1501,$B303,'Per Line'!$AS$2:$AS$1501,1,'Per Line'!$AT$2:$AT$1501,0))</f>
        <v/>
      </c>
      <c r="AA303" s="7">
        <f>IF($AH303="","",Z303*Y303)</f>
        <v/>
      </c>
      <c r="AB303" s="7">
        <f>IF($AH303="","",AA303+X303+U303)</f>
        <v/>
      </c>
      <c r="AC303" s="7">
        <f>IF($AH303="","",AD303-AB303)</f>
        <v/>
      </c>
      <c r="AD303" s="7">
        <f>IF($AH303="","",W303+Z303+T303)</f>
        <v/>
      </c>
      <c r="AE303" s="7">
        <f>IF($AH303="","",AD303-AB303-P303)</f>
        <v/>
      </c>
      <c r="AF303" s="15" t="n"/>
      <c r="AG303" s="7">
        <f>IF($AH303="","",AE303-N(AF303))</f>
        <v/>
      </c>
      <c r="AH303" s="16">
        <f>IF(ROWS($AH$2:$AH303)&lt;=MAX('Per Line'!$AR$2:$AR$1501),MATCH(ROWS($AH$2:$AH303),'Per Line'!$AR$2:$AR$1501,0),"")</f>
        <v/>
      </c>
      <c r="AI303">
        <f>IF($AH303="","",C303&amp;"|"&amp;COUNTIF($C$2:$C303,C303))</f>
        <v/>
      </c>
    </row>
    <row r="304">
      <c r="A304" s="15" t="n"/>
      <c r="B304">
        <f>IF($AH304="","",INDEX('Per Line'!$E$2:$E$1501,$AH304)&amp;"")</f>
        <v/>
      </c>
      <c r="C304">
        <f>IF($AH304="","",IF(INDEX('Per Line'!$AP$2:$AP$1501,$AH304)="NOT MATCH","NOT MATCH","FULL MATCH"))</f>
        <v/>
      </c>
      <c r="D304">
        <f>IF($AH304="","",INDEX('Per Line'!$A$2:$A$1501,$AH304)&amp;"")</f>
        <v/>
      </c>
      <c r="E304">
        <f>IF($AH304="","",INDEX('Per Line'!$B$2:$B$1501,$AH304))</f>
        <v/>
      </c>
      <c r="F304">
        <f>IF($AH304="","",INDEX('Per Line'!$C$2:$C$1501,$AH304)&amp;"")</f>
        <v/>
      </c>
      <c r="G304">
        <f>IF($AH304="","",INDEX('Per Line'!$D$2:$D$1501,$AH304)&amp;"")</f>
        <v/>
      </c>
      <c r="H304">
        <f>IF($AH304="","",INDEX('Per Line'!$F$2:$F$1501,$AH304)&amp;"")</f>
        <v/>
      </c>
      <c r="I304" s="14">
        <f>IF($AH304="","",INDEX('Per Line'!$G$2:$G$1501,$AH304))</f>
        <v/>
      </c>
      <c r="J304">
        <f>IF($AH304="","",INDEX('Per Line'!$H$2:$H$1501,$AH304)&amp;"")</f>
        <v/>
      </c>
      <c r="K304">
        <f>IF($AH304="","",INDEX('Per Line'!$J$2:$J$1501,$AH304)&amp;"")</f>
        <v/>
      </c>
      <c r="L304">
        <f>IF($AH304="","",INDEX('Per Line'!$K$2:$K$1501,$AH304)&amp;"")</f>
        <v/>
      </c>
      <c r="M304">
        <f>IF($AH304="","",INDEX('Per Line'!$L$2:$L$1501,$AH304)&amp;"")</f>
        <v/>
      </c>
      <c r="N304">
        <f>IF($AH304="","",INDEX('Per Line'!$M$2:$M$1501,$AH304)&amp;"")</f>
        <v/>
      </c>
      <c r="O304">
        <f>IF($AH304="","",INDEX('Per Line'!$P$2:$P$1501,$AH304))</f>
        <v/>
      </c>
      <c r="P304" s="7">
        <f>IF($AH304="","",O304*AD304/100)</f>
        <v/>
      </c>
      <c r="Q304">
        <f>IF($AH304="","",INDEX('Per Line'!$R$2:$R$1501,$AH304)&amp;"")</f>
        <v/>
      </c>
      <c r="R304">
        <f>IF($AH304="","",INDEX('Per Line'!$AB$2:$AB$1501,$AH304)&amp;"")</f>
        <v/>
      </c>
      <c r="S304">
        <f>IF($AH304="","",Settings!$C$8)</f>
        <v/>
      </c>
      <c r="T304" s="7">
        <f>IF($AH304="","",SUMIFS('Per Line'!$Z$2:$Z$1501,'Per Line'!$E$2:$E$1501,$B304,'Per Line'!$AT$2:$AT$1501,1))</f>
        <v/>
      </c>
      <c r="U304" s="7">
        <f>IF($AH304="","",T304*S304)</f>
        <v/>
      </c>
      <c r="V304">
        <f>IF($AH304="","",Settings!$C$7)</f>
        <v/>
      </c>
      <c r="W304" s="7">
        <f>IF($AH304="","",SUMIFS('Per Line'!$Z$2:$Z$1501,'Per Line'!$E$2:$E$1501,$B304,'Per Line'!$AS$2:$AS$1501,0,'Per Line'!$AT$2:$AT$1501,0))</f>
        <v/>
      </c>
      <c r="X304" s="7">
        <f>IF($AH304="","",W304*V304)</f>
        <v/>
      </c>
      <c r="Y304">
        <f>IF($AH304="","",Settings!$C$6)</f>
        <v/>
      </c>
      <c r="Z304" s="7">
        <f>IF($AH304="","",SUMIFS('Per Line'!$Z$2:$Z$1501,'Per Line'!$E$2:$E$1501,$B304,'Per Line'!$AS$2:$AS$1501,1,'Per Line'!$AT$2:$AT$1501,0))</f>
        <v/>
      </c>
      <c r="AA304" s="7">
        <f>IF($AH304="","",Z304*Y304)</f>
        <v/>
      </c>
      <c r="AB304" s="7">
        <f>IF($AH304="","",AA304+X304+U304)</f>
        <v/>
      </c>
      <c r="AC304" s="7">
        <f>IF($AH304="","",AD304-AB304)</f>
        <v/>
      </c>
      <c r="AD304" s="7">
        <f>IF($AH304="","",W304+Z304+T304)</f>
        <v/>
      </c>
      <c r="AE304" s="7">
        <f>IF($AH304="","",AD304-AB304-P304)</f>
        <v/>
      </c>
      <c r="AF304" s="15" t="n"/>
      <c r="AG304" s="7">
        <f>IF($AH304="","",AE304-N(AF304))</f>
        <v/>
      </c>
      <c r="AH304" s="16">
        <f>IF(ROWS($AH$2:$AH304)&lt;=MAX('Per Line'!$AR$2:$AR$1501),MATCH(ROWS($AH$2:$AH304),'Per Line'!$AR$2:$AR$1501,0),"")</f>
        <v/>
      </c>
      <c r="AI304">
        <f>IF($AH304="","",C304&amp;"|"&amp;COUNTIF($C$2:$C304,C304))</f>
        <v/>
      </c>
    </row>
    <row r="305">
      <c r="A305" s="15" t="n"/>
      <c r="B305">
        <f>IF($AH305="","",INDEX('Per Line'!$E$2:$E$1501,$AH305)&amp;"")</f>
        <v/>
      </c>
      <c r="C305">
        <f>IF($AH305="","",IF(INDEX('Per Line'!$AP$2:$AP$1501,$AH305)="NOT MATCH","NOT MATCH","FULL MATCH"))</f>
        <v/>
      </c>
      <c r="D305">
        <f>IF($AH305="","",INDEX('Per Line'!$A$2:$A$1501,$AH305)&amp;"")</f>
        <v/>
      </c>
      <c r="E305">
        <f>IF($AH305="","",INDEX('Per Line'!$B$2:$B$1501,$AH305))</f>
        <v/>
      </c>
      <c r="F305">
        <f>IF($AH305="","",INDEX('Per Line'!$C$2:$C$1501,$AH305)&amp;"")</f>
        <v/>
      </c>
      <c r="G305">
        <f>IF($AH305="","",INDEX('Per Line'!$D$2:$D$1501,$AH305)&amp;"")</f>
        <v/>
      </c>
      <c r="H305">
        <f>IF($AH305="","",INDEX('Per Line'!$F$2:$F$1501,$AH305)&amp;"")</f>
        <v/>
      </c>
      <c r="I305" s="14">
        <f>IF($AH305="","",INDEX('Per Line'!$G$2:$G$1501,$AH305))</f>
        <v/>
      </c>
      <c r="J305">
        <f>IF($AH305="","",INDEX('Per Line'!$H$2:$H$1501,$AH305)&amp;"")</f>
        <v/>
      </c>
      <c r="K305">
        <f>IF($AH305="","",INDEX('Per Line'!$J$2:$J$1501,$AH305)&amp;"")</f>
        <v/>
      </c>
      <c r="L305">
        <f>IF($AH305="","",INDEX('Per Line'!$K$2:$K$1501,$AH305)&amp;"")</f>
        <v/>
      </c>
      <c r="M305">
        <f>IF($AH305="","",INDEX('Per Line'!$L$2:$L$1501,$AH305)&amp;"")</f>
        <v/>
      </c>
      <c r="N305">
        <f>IF($AH305="","",INDEX('Per Line'!$M$2:$M$1501,$AH305)&amp;"")</f>
        <v/>
      </c>
      <c r="O305">
        <f>IF($AH305="","",INDEX('Per Line'!$P$2:$P$1501,$AH305))</f>
        <v/>
      </c>
      <c r="P305" s="7">
        <f>IF($AH305="","",O305*AD305/100)</f>
        <v/>
      </c>
      <c r="Q305">
        <f>IF($AH305="","",INDEX('Per Line'!$R$2:$R$1501,$AH305)&amp;"")</f>
        <v/>
      </c>
      <c r="R305">
        <f>IF($AH305="","",INDEX('Per Line'!$AB$2:$AB$1501,$AH305)&amp;"")</f>
        <v/>
      </c>
      <c r="S305">
        <f>IF($AH305="","",Settings!$C$8)</f>
        <v/>
      </c>
      <c r="T305" s="7">
        <f>IF($AH305="","",SUMIFS('Per Line'!$Z$2:$Z$1501,'Per Line'!$E$2:$E$1501,$B305,'Per Line'!$AT$2:$AT$1501,1))</f>
        <v/>
      </c>
      <c r="U305" s="7">
        <f>IF($AH305="","",T305*S305)</f>
        <v/>
      </c>
      <c r="V305">
        <f>IF($AH305="","",Settings!$C$7)</f>
        <v/>
      </c>
      <c r="W305" s="7">
        <f>IF($AH305="","",SUMIFS('Per Line'!$Z$2:$Z$1501,'Per Line'!$E$2:$E$1501,$B305,'Per Line'!$AS$2:$AS$1501,0,'Per Line'!$AT$2:$AT$1501,0))</f>
        <v/>
      </c>
      <c r="X305" s="7">
        <f>IF($AH305="","",W305*V305)</f>
        <v/>
      </c>
      <c r="Y305">
        <f>IF($AH305="","",Settings!$C$6)</f>
        <v/>
      </c>
      <c r="Z305" s="7">
        <f>IF($AH305="","",SUMIFS('Per Line'!$Z$2:$Z$1501,'Per Line'!$E$2:$E$1501,$B305,'Per Line'!$AS$2:$AS$1501,1,'Per Line'!$AT$2:$AT$1501,0))</f>
        <v/>
      </c>
      <c r="AA305" s="7">
        <f>IF($AH305="","",Z305*Y305)</f>
        <v/>
      </c>
      <c r="AB305" s="7">
        <f>IF($AH305="","",AA305+X305+U305)</f>
        <v/>
      </c>
      <c r="AC305" s="7">
        <f>IF($AH305="","",AD305-AB305)</f>
        <v/>
      </c>
      <c r="AD305" s="7">
        <f>IF($AH305="","",W305+Z305+T305)</f>
        <v/>
      </c>
      <c r="AE305" s="7">
        <f>IF($AH305="","",AD305-AB305-P305)</f>
        <v/>
      </c>
      <c r="AF305" s="15" t="n"/>
      <c r="AG305" s="7">
        <f>IF($AH305="","",AE305-N(AF305))</f>
        <v/>
      </c>
      <c r="AH305" s="16">
        <f>IF(ROWS($AH$2:$AH305)&lt;=MAX('Per Line'!$AR$2:$AR$1501),MATCH(ROWS($AH$2:$AH305),'Per Line'!$AR$2:$AR$1501,0),"")</f>
        <v/>
      </c>
      <c r="AI305">
        <f>IF($AH305="","",C305&amp;"|"&amp;COUNTIF($C$2:$C305,C305))</f>
        <v/>
      </c>
    </row>
    <row r="306">
      <c r="A306" s="15" t="n"/>
      <c r="B306">
        <f>IF($AH306="","",INDEX('Per Line'!$E$2:$E$1501,$AH306)&amp;"")</f>
        <v/>
      </c>
      <c r="C306">
        <f>IF($AH306="","",IF(INDEX('Per Line'!$AP$2:$AP$1501,$AH306)="NOT MATCH","NOT MATCH","FULL MATCH"))</f>
        <v/>
      </c>
      <c r="D306">
        <f>IF($AH306="","",INDEX('Per Line'!$A$2:$A$1501,$AH306)&amp;"")</f>
        <v/>
      </c>
      <c r="E306">
        <f>IF($AH306="","",INDEX('Per Line'!$B$2:$B$1501,$AH306))</f>
        <v/>
      </c>
      <c r="F306">
        <f>IF($AH306="","",INDEX('Per Line'!$C$2:$C$1501,$AH306)&amp;"")</f>
        <v/>
      </c>
      <c r="G306">
        <f>IF($AH306="","",INDEX('Per Line'!$D$2:$D$1501,$AH306)&amp;"")</f>
        <v/>
      </c>
      <c r="H306">
        <f>IF($AH306="","",INDEX('Per Line'!$F$2:$F$1501,$AH306)&amp;"")</f>
        <v/>
      </c>
      <c r="I306" s="14">
        <f>IF($AH306="","",INDEX('Per Line'!$G$2:$G$1501,$AH306))</f>
        <v/>
      </c>
      <c r="J306">
        <f>IF($AH306="","",INDEX('Per Line'!$H$2:$H$1501,$AH306)&amp;"")</f>
        <v/>
      </c>
      <c r="K306">
        <f>IF($AH306="","",INDEX('Per Line'!$J$2:$J$1501,$AH306)&amp;"")</f>
        <v/>
      </c>
      <c r="L306">
        <f>IF($AH306="","",INDEX('Per Line'!$K$2:$K$1501,$AH306)&amp;"")</f>
        <v/>
      </c>
      <c r="M306">
        <f>IF($AH306="","",INDEX('Per Line'!$L$2:$L$1501,$AH306)&amp;"")</f>
        <v/>
      </c>
      <c r="N306">
        <f>IF($AH306="","",INDEX('Per Line'!$M$2:$M$1501,$AH306)&amp;"")</f>
        <v/>
      </c>
      <c r="O306">
        <f>IF($AH306="","",INDEX('Per Line'!$P$2:$P$1501,$AH306))</f>
        <v/>
      </c>
      <c r="P306" s="7">
        <f>IF($AH306="","",O306*AD306/100)</f>
        <v/>
      </c>
      <c r="Q306">
        <f>IF($AH306="","",INDEX('Per Line'!$R$2:$R$1501,$AH306)&amp;"")</f>
        <v/>
      </c>
      <c r="R306">
        <f>IF($AH306="","",INDEX('Per Line'!$AB$2:$AB$1501,$AH306)&amp;"")</f>
        <v/>
      </c>
      <c r="S306">
        <f>IF($AH306="","",Settings!$C$8)</f>
        <v/>
      </c>
      <c r="T306" s="7">
        <f>IF($AH306="","",SUMIFS('Per Line'!$Z$2:$Z$1501,'Per Line'!$E$2:$E$1501,$B306,'Per Line'!$AT$2:$AT$1501,1))</f>
        <v/>
      </c>
      <c r="U306" s="7">
        <f>IF($AH306="","",T306*S306)</f>
        <v/>
      </c>
      <c r="V306">
        <f>IF($AH306="","",Settings!$C$7)</f>
        <v/>
      </c>
      <c r="W306" s="7">
        <f>IF($AH306="","",SUMIFS('Per Line'!$Z$2:$Z$1501,'Per Line'!$E$2:$E$1501,$B306,'Per Line'!$AS$2:$AS$1501,0,'Per Line'!$AT$2:$AT$1501,0))</f>
        <v/>
      </c>
      <c r="X306" s="7">
        <f>IF($AH306="","",W306*V306)</f>
        <v/>
      </c>
      <c r="Y306">
        <f>IF($AH306="","",Settings!$C$6)</f>
        <v/>
      </c>
      <c r="Z306" s="7">
        <f>IF($AH306="","",SUMIFS('Per Line'!$Z$2:$Z$1501,'Per Line'!$E$2:$E$1501,$B306,'Per Line'!$AS$2:$AS$1501,1,'Per Line'!$AT$2:$AT$1501,0))</f>
        <v/>
      </c>
      <c r="AA306" s="7">
        <f>IF($AH306="","",Z306*Y306)</f>
        <v/>
      </c>
      <c r="AB306" s="7">
        <f>IF($AH306="","",AA306+X306+U306)</f>
        <v/>
      </c>
      <c r="AC306" s="7">
        <f>IF($AH306="","",AD306-AB306)</f>
        <v/>
      </c>
      <c r="AD306" s="7">
        <f>IF($AH306="","",W306+Z306+T306)</f>
        <v/>
      </c>
      <c r="AE306" s="7">
        <f>IF($AH306="","",AD306-AB306-P306)</f>
        <v/>
      </c>
      <c r="AF306" s="15" t="n"/>
      <c r="AG306" s="7">
        <f>IF($AH306="","",AE306-N(AF306))</f>
        <v/>
      </c>
      <c r="AH306" s="16">
        <f>IF(ROWS($AH$2:$AH306)&lt;=MAX('Per Line'!$AR$2:$AR$1501),MATCH(ROWS($AH$2:$AH306),'Per Line'!$AR$2:$AR$1501,0),"")</f>
        <v/>
      </c>
      <c r="AI306">
        <f>IF($AH306="","",C306&amp;"|"&amp;COUNTIF($C$2:$C306,C306))</f>
        <v/>
      </c>
    </row>
    <row r="307">
      <c r="A307" s="15" t="n"/>
      <c r="B307">
        <f>IF($AH307="","",INDEX('Per Line'!$E$2:$E$1501,$AH307)&amp;"")</f>
        <v/>
      </c>
      <c r="C307">
        <f>IF($AH307="","",IF(INDEX('Per Line'!$AP$2:$AP$1501,$AH307)="NOT MATCH","NOT MATCH","FULL MATCH"))</f>
        <v/>
      </c>
      <c r="D307">
        <f>IF($AH307="","",INDEX('Per Line'!$A$2:$A$1501,$AH307)&amp;"")</f>
        <v/>
      </c>
      <c r="E307">
        <f>IF($AH307="","",INDEX('Per Line'!$B$2:$B$1501,$AH307))</f>
        <v/>
      </c>
      <c r="F307">
        <f>IF($AH307="","",INDEX('Per Line'!$C$2:$C$1501,$AH307)&amp;"")</f>
        <v/>
      </c>
      <c r="G307">
        <f>IF($AH307="","",INDEX('Per Line'!$D$2:$D$1501,$AH307)&amp;"")</f>
        <v/>
      </c>
      <c r="H307">
        <f>IF($AH307="","",INDEX('Per Line'!$F$2:$F$1501,$AH307)&amp;"")</f>
        <v/>
      </c>
      <c r="I307" s="14">
        <f>IF($AH307="","",INDEX('Per Line'!$G$2:$G$1501,$AH307))</f>
        <v/>
      </c>
      <c r="J307">
        <f>IF($AH307="","",INDEX('Per Line'!$H$2:$H$1501,$AH307)&amp;"")</f>
        <v/>
      </c>
      <c r="K307">
        <f>IF($AH307="","",INDEX('Per Line'!$J$2:$J$1501,$AH307)&amp;"")</f>
        <v/>
      </c>
      <c r="L307">
        <f>IF($AH307="","",INDEX('Per Line'!$K$2:$K$1501,$AH307)&amp;"")</f>
        <v/>
      </c>
      <c r="M307">
        <f>IF($AH307="","",INDEX('Per Line'!$L$2:$L$1501,$AH307)&amp;"")</f>
        <v/>
      </c>
      <c r="N307">
        <f>IF($AH307="","",INDEX('Per Line'!$M$2:$M$1501,$AH307)&amp;"")</f>
        <v/>
      </c>
      <c r="O307">
        <f>IF($AH307="","",INDEX('Per Line'!$P$2:$P$1501,$AH307))</f>
        <v/>
      </c>
      <c r="P307" s="7">
        <f>IF($AH307="","",O307*AD307/100)</f>
        <v/>
      </c>
      <c r="Q307">
        <f>IF($AH307="","",INDEX('Per Line'!$R$2:$R$1501,$AH307)&amp;"")</f>
        <v/>
      </c>
      <c r="R307">
        <f>IF($AH307="","",INDEX('Per Line'!$AB$2:$AB$1501,$AH307)&amp;"")</f>
        <v/>
      </c>
      <c r="S307">
        <f>IF($AH307="","",Settings!$C$8)</f>
        <v/>
      </c>
      <c r="T307" s="7">
        <f>IF($AH307="","",SUMIFS('Per Line'!$Z$2:$Z$1501,'Per Line'!$E$2:$E$1501,$B307,'Per Line'!$AT$2:$AT$1501,1))</f>
        <v/>
      </c>
      <c r="U307" s="7">
        <f>IF($AH307="","",T307*S307)</f>
        <v/>
      </c>
      <c r="V307">
        <f>IF($AH307="","",Settings!$C$7)</f>
        <v/>
      </c>
      <c r="W307" s="7">
        <f>IF($AH307="","",SUMIFS('Per Line'!$Z$2:$Z$1501,'Per Line'!$E$2:$E$1501,$B307,'Per Line'!$AS$2:$AS$1501,0,'Per Line'!$AT$2:$AT$1501,0))</f>
        <v/>
      </c>
      <c r="X307" s="7">
        <f>IF($AH307="","",W307*V307)</f>
        <v/>
      </c>
      <c r="Y307">
        <f>IF($AH307="","",Settings!$C$6)</f>
        <v/>
      </c>
      <c r="Z307" s="7">
        <f>IF($AH307="","",SUMIFS('Per Line'!$Z$2:$Z$1501,'Per Line'!$E$2:$E$1501,$B307,'Per Line'!$AS$2:$AS$1501,1,'Per Line'!$AT$2:$AT$1501,0))</f>
        <v/>
      </c>
      <c r="AA307" s="7">
        <f>IF($AH307="","",Z307*Y307)</f>
        <v/>
      </c>
      <c r="AB307" s="7">
        <f>IF($AH307="","",AA307+X307+U307)</f>
        <v/>
      </c>
      <c r="AC307" s="7">
        <f>IF($AH307="","",AD307-AB307)</f>
        <v/>
      </c>
      <c r="AD307" s="7">
        <f>IF($AH307="","",W307+Z307+T307)</f>
        <v/>
      </c>
      <c r="AE307" s="7">
        <f>IF($AH307="","",AD307-AB307-P307)</f>
        <v/>
      </c>
      <c r="AF307" s="15" t="n"/>
      <c r="AG307" s="7">
        <f>IF($AH307="","",AE307-N(AF307))</f>
        <v/>
      </c>
      <c r="AH307" s="16">
        <f>IF(ROWS($AH$2:$AH307)&lt;=MAX('Per Line'!$AR$2:$AR$1501),MATCH(ROWS($AH$2:$AH307),'Per Line'!$AR$2:$AR$1501,0),"")</f>
        <v/>
      </c>
      <c r="AI307">
        <f>IF($AH307="","",C307&amp;"|"&amp;COUNTIF($C$2:$C307,C307))</f>
        <v/>
      </c>
    </row>
    <row r="308">
      <c r="A308" s="15" t="n"/>
      <c r="B308">
        <f>IF($AH308="","",INDEX('Per Line'!$E$2:$E$1501,$AH308)&amp;"")</f>
        <v/>
      </c>
      <c r="C308">
        <f>IF($AH308="","",IF(INDEX('Per Line'!$AP$2:$AP$1501,$AH308)="NOT MATCH","NOT MATCH","FULL MATCH"))</f>
        <v/>
      </c>
      <c r="D308">
        <f>IF($AH308="","",INDEX('Per Line'!$A$2:$A$1501,$AH308)&amp;"")</f>
        <v/>
      </c>
      <c r="E308">
        <f>IF($AH308="","",INDEX('Per Line'!$B$2:$B$1501,$AH308))</f>
        <v/>
      </c>
      <c r="F308">
        <f>IF($AH308="","",INDEX('Per Line'!$C$2:$C$1501,$AH308)&amp;"")</f>
        <v/>
      </c>
      <c r="G308">
        <f>IF($AH308="","",INDEX('Per Line'!$D$2:$D$1501,$AH308)&amp;"")</f>
        <v/>
      </c>
      <c r="H308">
        <f>IF($AH308="","",INDEX('Per Line'!$F$2:$F$1501,$AH308)&amp;"")</f>
        <v/>
      </c>
      <c r="I308" s="14">
        <f>IF($AH308="","",INDEX('Per Line'!$G$2:$G$1501,$AH308))</f>
        <v/>
      </c>
      <c r="J308">
        <f>IF($AH308="","",INDEX('Per Line'!$H$2:$H$1501,$AH308)&amp;"")</f>
        <v/>
      </c>
      <c r="K308">
        <f>IF($AH308="","",INDEX('Per Line'!$J$2:$J$1501,$AH308)&amp;"")</f>
        <v/>
      </c>
      <c r="L308">
        <f>IF($AH308="","",INDEX('Per Line'!$K$2:$K$1501,$AH308)&amp;"")</f>
        <v/>
      </c>
      <c r="M308">
        <f>IF($AH308="","",INDEX('Per Line'!$L$2:$L$1501,$AH308)&amp;"")</f>
        <v/>
      </c>
      <c r="N308">
        <f>IF($AH308="","",INDEX('Per Line'!$M$2:$M$1501,$AH308)&amp;"")</f>
        <v/>
      </c>
      <c r="O308">
        <f>IF($AH308="","",INDEX('Per Line'!$P$2:$P$1501,$AH308))</f>
        <v/>
      </c>
      <c r="P308" s="7">
        <f>IF($AH308="","",O308*AD308/100)</f>
        <v/>
      </c>
      <c r="Q308">
        <f>IF($AH308="","",INDEX('Per Line'!$R$2:$R$1501,$AH308)&amp;"")</f>
        <v/>
      </c>
      <c r="R308">
        <f>IF($AH308="","",INDEX('Per Line'!$AB$2:$AB$1501,$AH308)&amp;"")</f>
        <v/>
      </c>
      <c r="S308">
        <f>IF($AH308="","",Settings!$C$8)</f>
        <v/>
      </c>
      <c r="T308" s="7">
        <f>IF($AH308="","",SUMIFS('Per Line'!$Z$2:$Z$1501,'Per Line'!$E$2:$E$1501,$B308,'Per Line'!$AT$2:$AT$1501,1))</f>
        <v/>
      </c>
      <c r="U308" s="7">
        <f>IF($AH308="","",T308*S308)</f>
        <v/>
      </c>
      <c r="V308">
        <f>IF($AH308="","",Settings!$C$7)</f>
        <v/>
      </c>
      <c r="W308" s="7">
        <f>IF($AH308="","",SUMIFS('Per Line'!$Z$2:$Z$1501,'Per Line'!$E$2:$E$1501,$B308,'Per Line'!$AS$2:$AS$1501,0,'Per Line'!$AT$2:$AT$1501,0))</f>
        <v/>
      </c>
      <c r="X308" s="7">
        <f>IF($AH308="","",W308*V308)</f>
        <v/>
      </c>
      <c r="Y308">
        <f>IF($AH308="","",Settings!$C$6)</f>
        <v/>
      </c>
      <c r="Z308" s="7">
        <f>IF($AH308="","",SUMIFS('Per Line'!$Z$2:$Z$1501,'Per Line'!$E$2:$E$1501,$B308,'Per Line'!$AS$2:$AS$1501,1,'Per Line'!$AT$2:$AT$1501,0))</f>
        <v/>
      </c>
      <c r="AA308" s="7">
        <f>IF($AH308="","",Z308*Y308)</f>
        <v/>
      </c>
      <c r="AB308" s="7">
        <f>IF($AH308="","",AA308+X308+U308)</f>
        <v/>
      </c>
      <c r="AC308" s="7">
        <f>IF($AH308="","",AD308-AB308)</f>
        <v/>
      </c>
      <c r="AD308" s="7">
        <f>IF($AH308="","",W308+Z308+T308)</f>
        <v/>
      </c>
      <c r="AE308" s="7">
        <f>IF($AH308="","",AD308-AB308-P308)</f>
        <v/>
      </c>
      <c r="AF308" s="15" t="n"/>
      <c r="AG308" s="7">
        <f>IF($AH308="","",AE308-N(AF308))</f>
        <v/>
      </c>
      <c r="AH308" s="16">
        <f>IF(ROWS($AH$2:$AH308)&lt;=MAX('Per Line'!$AR$2:$AR$1501),MATCH(ROWS($AH$2:$AH308),'Per Line'!$AR$2:$AR$1501,0),"")</f>
        <v/>
      </c>
      <c r="AI308">
        <f>IF($AH308="","",C308&amp;"|"&amp;COUNTIF($C$2:$C308,C308))</f>
        <v/>
      </c>
    </row>
    <row r="309">
      <c r="A309" s="15" t="n"/>
      <c r="B309">
        <f>IF($AH309="","",INDEX('Per Line'!$E$2:$E$1501,$AH309)&amp;"")</f>
        <v/>
      </c>
      <c r="C309">
        <f>IF($AH309="","",IF(INDEX('Per Line'!$AP$2:$AP$1501,$AH309)="NOT MATCH","NOT MATCH","FULL MATCH"))</f>
        <v/>
      </c>
      <c r="D309">
        <f>IF($AH309="","",INDEX('Per Line'!$A$2:$A$1501,$AH309)&amp;"")</f>
        <v/>
      </c>
      <c r="E309">
        <f>IF($AH309="","",INDEX('Per Line'!$B$2:$B$1501,$AH309))</f>
        <v/>
      </c>
      <c r="F309">
        <f>IF($AH309="","",INDEX('Per Line'!$C$2:$C$1501,$AH309)&amp;"")</f>
        <v/>
      </c>
      <c r="G309">
        <f>IF($AH309="","",INDEX('Per Line'!$D$2:$D$1501,$AH309)&amp;"")</f>
        <v/>
      </c>
      <c r="H309">
        <f>IF($AH309="","",INDEX('Per Line'!$F$2:$F$1501,$AH309)&amp;"")</f>
        <v/>
      </c>
      <c r="I309" s="14">
        <f>IF($AH309="","",INDEX('Per Line'!$G$2:$G$1501,$AH309))</f>
        <v/>
      </c>
      <c r="J309">
        <f>IF($AH309="","",INDEX('Per Line'!$H$2:$H$1501,$AH309)&amp;"")</f>
        <v/>
      </c>
      <c r="K309">
        <f>IF($AH309="","",INDEX('Per Line'!$J$2:$J$1501,$AH309)&amp;"")</f>
        <v/>
      </c>
      <c r="L309">
        <f>IF($AH309="","",INDEX('Per Line'!$K$2:$K$1501,$AH309)&amp;"")</f>
        <v/>
      </c>
      <c r="M309">
        <f>IF($AH309="","",INDEX('Per Line'!$L$2:$L$1501,$AH309)&amp;"")</f>
        <v/>
      </c>
      <c r="N309">
        <f>IF($AH309="","",INDEX('Per Line'!$M$2:$M$1501,$AH309)&amp;"")</f>
        <v/>
      </c>
      <c r="O309">
        <f>IF($AH309="","",INDEX('Per Line'!$P$2:$P$1501,$AH309))</f>
        <v/>
      </c>
      <c r="P309" s="7">
        <f>IF($AH309="","",O309*AD309/100)</f>
        <v/>
      </c>
      <c r="Q309">
        <f>IF($AH309="","",INDEX('Per Line'!$R$2:$R$1501,$AH309)&amp;"")</f>
        <v/>
      </c>
      <c r="R309">
        <f>IF($AH309="","",INDEX('Per Line'!$AB$2:$AB$1501,$AH309)&amp;"")</f>
        <v/>
      </c>
      <c r="S309">
        <f>IF($AH309="","",Settings!$C$8)</f>
        <v/>
      </c>
      <c r="T309" s="7">
        <f>IF($AH309="","",SUMIFS('Per Line'!$Z$2:$Z$1501,'Per Line'!$E$2:$E$1501,$B309,'Per Line'!$AT$2:$AT$1501,1))</f>
        <v/>
      </c>
      <c r="U309" s="7">
        <f>IF($AH309="","",T309*S309)</f>
        <v/>
      </c>
      <c r="V309">
        <f>IF($AH309="","",Settings!$C$7)</f>
        <v/>
      </c>
      <c r="W309" s="7">
        <f>IF($AH309="","",SUMIFS('Per Line'!$Z$2:$Z$1501,'Per Line'!$E$2:$E$1501,$B309,'Per Line'!$AS$2:$AS$1501,0,'Per Line'!$AT$2:$AT$1501,0))</f>
        <v/>
      </c>
      <c r="X309" s="7">
        <f>IF($AH309="","",W309*V309)</f>
        <v/>
      </c>
      <c r="Y309">
        <f>IF($AH309="","",Settings!$C$6)</f>
        <v/>
      </c>
      <c r="Z309" s="7">
        <f>IF($AH309="","",SUMIFS('Per Line'!$Z$2:$Z$1501,'Per Line'!$E$2:$E$1501,$B309,'Per Line'!$AS$2:$AS$1501,1,'Per Line'!$AT$2:$AT$1501,0))</f>
        <v/>
      </c>
      <c r="AA309" s="7">
        <f>IF($AH309="","",Z309*Y309)</f>
        <v/>
      </c>
      <c r="AB309" s="7">
        <f>IF($AH309="","",AA309+X309+U309)</f>
        <v/>
      </c>
      <c r="AC309" s="7">
        <f>IF($AH309="","",AD309-AB309)</f>
        <v/>
      </c>
      <c r="AD309" s="7">
        <f>IF($AH309="","",W309+Z309+T309)</f>
        <v/>
      </c>
      <c r="AE309" s="7">
        <f>IF($AH309="","",AD309-AB309-P309)</f>
        <v/>
      </c>
      <c r="AF309" s="15" t="n"/>
      <c r="AG309" s="7">
        <f>IF($AH309="","",AE309-N(AF309))</f>
        <v/>
      </c>
      <c r="AH309" s="16">
        <f>IF(ROWS($AH$2:$AH309)&lt;=MAX('Per Line'!$AR$2:$AR$1501),MATCH(ROWS($AH$2:$AH309),'Per Line'!$AR$2:$AR$1501,0),"")</f>
        <v/>
      </c>
      <c r="AI309">
        <f>IF($AH309="","",C309&amp;"|"&amp;COUNTIF($C$2:$C309,C309))</f>
        <v/>
      </c>
    </row>
    <row r="310">
      <c r="A310" s="15" t="n"/>
      <c r="B310">
        <f>IF($AH310="","",INDEX('Per Line'!$E$2:$E$1501,$AH310)&amp;"")</f>
        <v/>
      </c>
      <c r="C310">
        <f>IF($AH310="","",IF(INDEX('Per Line'!$AP$2:$AP$1501,$AH310)="NOT MATCH","NOT MATCH","FULL MATCH"))</f>
        <v/>
      </c>
      <c r="D310">
        <f>IF($AH310="","",INDEX('Per Line'!$A$2:$A$1501,$AH310)&amp;"")</f>
        <v/>
      </c>
      <c r="E310">
        <f>IF($AH310="","",INDEX('Per Line'!$B$2:$B$1501,$AH310))</f>
        <v/>
      </c>
      <c r="F310">
        <f>IF($AH310="","",INDEX('Per Line'!$C$2:$C$1501,$AH310)&amp;"")</f>
        <v/>
      </c>
      <c r="G310">
        <f>IF($AH310="","",INDEX('Per Line'!$D$2:$D$1501,$AH310)&amp;"")</f>
        <v/>
      </c>
      <c r="H310">
        <f>IF($AH310="","",INDEX('Per Line'!$F$2:$F$1501,$AH310)&amp;"")</f>
        <v/>
      </c>
      <c r="I310" s="14">
        <f>IF($AH310="","",INDEX('Per Line'!$G$2:$G$1501,$AH310))</f>
        <v/>
      </c>
      <c r="J310">
        <f>IF($AH310="","",INDEX('Per Line'!$H$2:$H$1501,$AH310)&amp;"")</f>
        <v/>
      </c>
      <c r="K310">
        <f>IF($AH310="","",INDEX('Per Line'!$J$2:$J$1501,$AH310)&amp;"")</f>
        <v/>
      </c>
      <c r="L310">
        <f>IF($AH310="","",INDEX('Per Line'!$K$2:$K$1501,$AH310)&amp;"")</f>
        <v/>
      </c>
      <c r="M310">
        <f>IF($AH310="","",INDEX('Per Line'!$L$2:$L$1501,$AH310)&amp;"")</f>
        <v/>
      </c>
      <c r="N310">
        <f>IF($AH310="","",INDEX('Per Line'!$M$2:$M$1501,$AH310)&amp;"")</f>
        <v/>
      </c>
      <c r="O310">
        <f>IF($AH310="","",INDEX('Per Line'!$P$2:$P$1501,$AH310))</f>
        <v/>
      </c>
      <c r="P310" s="7">
        <f>IF($AH310="","",O310*AD310/100)</f>
        <v/>
      </c>
      <c r="Q310">
        <f>IF($AH310="","",INDEX('Per Line'!$R$2:$R$1501,$AH310)&amp;"")</f>
        <v/>
      </c>
      <c r="R310">
        <f>IF($AH310="","",INDEX('Per Line'!$AB$2:$AB$1501,$AH310)&amp;"")</f>
        <v/>
      </c>
      <c r="S310">
        <f>IF($AH310="","",Settings!$C$8)</f>
        <v/>
      </c>
      <c r="T310" s="7">
        <f>IF($AH310="","",SUMIFS('Per Line'!$Z$2:$Z$1501,'Per Line'!$E$2:$E$1501,$B310,'Per Line'!$AT$2:$AT$1501,1))</f>
        <v/>
      </c>
      <c r="U310" s="7">
        <f>IF($AH310="","",T310*S310)</f>
        <v/>
      </c>
      <c r="V310">
        <f>IF($AH310="","",Settings!$C$7)</f>
        <v/>
      </c>
      <c r="W310" s="7">
        <f>IF($AH310="","",SUMIFS('Per Line'!$Z$2:$Z$1501,'Per Line'!$E$2:$E$1501,$B310,'Per Line'!$AS$2:$AS$1501,0,'Per Line'!$AT$2:$AT$1501,0))</f>
        <v/>
      </c>
      <c r="X310" s="7">
        <f>IF($AH310="","",W310*V310)</f>
        <v/>
      </c>
      <c r="Y310">
        <f>IF($AH310="","",Settings!$C$6)</f>
        <v/>
      </c>
      <c r="Z310" s="7">
        <f>IF($AH310="","",SUMIFS('Per Line'!$Z$2:$Z$1501,'Per Line'!$E$2:$E$1501,$B310,'Per Line'!$AS$2:$AS$1501,1,'Per Line'!$AT$2:$AT$1501,0))</f>
        <v/>
      </c>
      <c r="AA310" s="7">
        <f>IF($AH310="","",Z310*Y310)</f>
        <v/>
      </c>
      <c r="AB310" s="7">
        <f>IF($AH310="","",AA310+X310+U310)</f>
        <v/>
      </c>
      <c r="AC310" s="7">
        <f>IF($AH310="","",AD310-AB310)</f>
        <v/>
      </c>
      <c r="AD310" s="7">
        <f>IF($AH310="","",W310+Z310+T310)</f>
        <v/>
      </c>
      <c r="AE310" s="7">
        <f>IF($AH310="","",AD310-AB310-P310)</f>
        <v/>
      </c>
      <c r="AF310" s="15" t="n"/>
      <c r="AG310" s="7">
        <f>IF($AH310="","",AE310-N(AF310))</f>
        <v/>
      </c>
      <c r="AH310" s="16">
        <f>IF(ROWS($AH$2:$AH310)&lt;=MAX('Per Line'!$AR$2:$AR$1501),MATCH(ROWS($AH$2:$AH310),'Per Line'!$AR$2:$AR$1501,0),"")</f>
        <v/>
      </c>
      <c r="AI310">
        <f>IF($AH310="","",C310&amp;"|"&amp;COUNTIF($C$2:$C310,C310))</f>
        <v/>
      </c>
    </row>
    <row r="311">
      <c r="A311" s="15" t="n"/>
      <c r="B311">
        <f>IF($AH311="","",INDEX('Per Line'!$E$2:$E$1501,$AH311)&amp;"")</f>
        <v/>
      </c>
      <c r="C311">
        <f>IF($AH311="","",IF(INDEX('Per Line'!$AP$2:$AP$1501,$AH311)="NOT MATCH","NOT MATCH","FULL MATCH"))</f>
        <v/>
      </c>
      <c r="D311">
        <f>IF($AH311="","",INDEX('Per Line'!$A$2:$A$1501,$AH311)&amp;"")</f>
        <v/>
      </c>
      <c r="E311">
        <f>IF($AH311="","",INDEX('Per Line'!$B$2:$B$1501,$AH311))</f>
        <v/>
      </c>
      <c r="F311">
        <f>IF($AH311="","",INDEX('Per Line'!$C$2:$C$1501,$AH311)&amp;"")</f>
        <v/>
      </c>
      <c r="G311">
        <f>IF($AH311="","",INDEX('Per Line'!$D$2:$D$1501,$AH311)&amp;"")</f>
        <v/>
      </c>
      <c r="H311">
        <f>IF($AH311="","",INDEX('Per Line'!$F$2:$F$1501,$AH311)&amp;"")</f>
        <v/>
      </c>
      <c r="I311" s="14">
        <f>IF($AH311="","",INDEX('Per Line'!$G$2:$G$1501,$AH311))</f>
        <v/>
      </c>
      <c r="J311">
        <f>IF($AH311="","",INDEX('Per Line'!$H$2:$H$1501,$AH311)&amp;"")</f>
        <v/>
      </c>
      <c r="K311">
        <f>IF($AH311="","",INDEX('Per Line'!$J$2:$J$1501,$AH311)&amp;"")</f>
        <v/>
      </c>
      <c r="L311">
        <f>IF($AH311="","",INDEX('Per Line'!$K$2:$K$1501,$AH311)&amp;"")</f>
        <v/>
      </c>
      <c r="M311">
        <f>IF($AH311="","",INDEX('Per Line'!$L$2:$L$1501,$AH311)&amp;"")</f>
        <v/>
      </c>
      <c r="N311">
        <f>IF($AH311="","",INDEX('Per Line'!$M$2:$M$1501,$AH311)&amp;"")</f>
        <v/>
      </c>
      <c r="O311">
        <f>IF($AH311="","",INDEX('Per Line'!$P$2:$P$1501,$AH311))</f>
        <v/>
      </c>
      <c r="P311" s="7">
        <f>IF($AH311="","",O311*AD311/100)</f>
        <v/>
      </c>
      <c r="Q311">
        <f>IF($AH311="","",INDEX('Per Line'!$R$2:$R$1501,$AH311)&amp;"")</f>
        <v/>
      </c>
      <c r="R311">
        <f>IF($AH311="","",INDEX('Per Line'!$AB$2:$AB$1501,$AH311)&amp;"")</f>
        <v/>
      </c>
      <c r="S311">
        <f>IF($AH311="","",Settings!$C$8)</f>
        <v/>
      </c>
      <c r="T311" s="7">
        <f>IF($AH311="","",SUMIFS('Per Line'!$Z$2:$Z$1501,'Per Line'!$E$2:$E$1501,$B311,'Per Line'!$AT$2:$AT$1501,1))</f>
        <v/>
      </c>
      <c r="U311" s="7">
        <f>IF($AH311="","",T311*S311)</f>
        <v/>
      </c>
      <c r="V311">
        <f>IF($AH311="","",Settings!$C$7)</f>
        <v/>
      </c>
      <c r="W311" s="7">
        <f>IF($AH311="","",SUMIFS('Per Line'!$Z$2:$Z$1501,'Per Line'!$E$2:$E$1501,$B311,'Per Line'!$AS$2:$AS$1501,0,'Per Line'!$AT$2:$AT$1501,0))</f>
        <v/>
      </c>
      <c r="X311" s="7">
        <f>IF($AH311="","",W311*V311)</f>
        <v/>
      </c>
      <c r="Y311">
        <f>IF($AH311="","",Settings!$C$6)</f>
        <v/>
      </c>
      <c r="Z311" s="7">
        <f>IF($AH311="","",SUMIFS('Per Line'!$Z$2:$Z$1501,'Per Line'!$E$2:$E$1501,$B311,'Per Line'!$AS$2:$AS$1501,1,'Per Line'!$AT$2:$AT$1501,0))</f>
        <v/>
      </c>
      <c r="AA311" s="7">
        <f>IF($AH311="","",Z311*Y311)</f>
        <v/>
      </c>
      <c r="AB311" s="7">
        <f>IF($AH311="","",AA311+X311+U311)</f>
        <v/>
      </c>
      <c r="AC311" s="7">
        <f>IF($AH311="","",AD311-AB311)</f>
        <v/>
      </c>
      <c r="AD311" s="7">
        <f>IF($AH311="","",W311+Z311+T311)</f>
        <v/>
      </c>
      <c r="AE311" s="7">
        <f>IF($AH311="","",AD311-AB311-P311)</f>
        <v/>
      </c>
      <c r="AF311" s="15" t="n"/>
      <c r="AG311" s="7">
        <f>IF($AH311="","",AE311-N(AF311))</f>
        <v/>
      </c>
      <c r="AH311" s="16">
        <f>IF(ROWS($AH$2:$AH311)&lt;=MAX('Per Line'!$AR$2:$AR$1501),MATCH(ROWS($AH$2:$AH311),'Per Line'!$AR$2:$AR$1501,0),"")</f>
        <v/>
      </c>
      <c r="AI311">
        <f>IF($AH311="","",C311&amp;"|"&amp;COUNTIF($C$2:$C311,C311))</f>
        <v/>
      </c>
    </row>
    <row r="312">
      <c r="A312" s="15" t="n"/>
      <c r="B312">
        <f>IF($AH312="","",INDEX('Per Line'!$E$2:$E$1501,$AH312)&amp;"")</f>
        <v/>
      </c>
      <c r="C312">
        <f>IF($AH312="","",IF(INDEX('Per Line'!$AP$2:$AP$1501,$AH312)="NOT MATCH","NOT MATCH","FULL MATCH"))</f>
        <v/>
      </c>
      <c r="D312">
        <f>IF($AH312="","",INDEX('Per Line'!$A$2:$A$1501,$AH312)&amp;"")</f>
        <v/>
      </c>
      <c r="E312">
        <f>IF($AH312="","",INDEX('Per Line'!$B$2:$B$1501,$AH312))</f>
        <v/>
      </c>
      <c r="F312">
        <f>IF($AH312="","",INDEX('Per Line'!$C$2:$C$1501,$AH312)&amp;"")</f>
        <v/>
      </c>
      <c r="G312">
        <f>IF($AH312="","",INDEX('Per Line'!$D$2:$D$1501,$AH312)&amp;"")</f>
        <v/>
      </c>
      <c r="H312">
        <f>IF($AH312="","",INDEX('Per Line'!$F$2:$F$1501,$AH312)&amp;"")</f>
        <v/>
      </c>
      <c r="I312" s="14">
        <f>IF($AH312="","",INDEX('Per Line'!$G$2:$G$1501,$AH312))</f>
        <v/>
      </c>
      <c r="J312">
        <f>IF($AH312="","",INDEX('Per Line'!$H$2:$H$1501,$AH312)&amp;"")</f>
        <v/>
      </c>
      <c r="K312">
        <f>IF($AH312="","",INDEX('Per Line'!$J$2:$J$1501,$AH312)&amp;"")</f>
        <v/>
      </c>
      <c r="L312">
        <f>IF($AH312="","",INDEX('Per Line'!$K$2:$K$1501,$AH312)&amp;"")</f>
        <v/>
      </c>
      <c r="M312">
        <f>IF($AH312="","",INDEX('Per Line'!$L$2:$L$1501,$AH312)&amp;"")</f>
        <v/>
      </c>
      <c r="N312">
        <f>IF($AH312="","",INDEX('Per Line'!$M$2:$M$1501,$AH312)&amp;"")</f>
        <v/>
      </c>
      <c r="O312">
        <f>IF($AH312="","",INDEX('Per Line'!$P$2:$P$1501,$AH312))</f>
        <v/>
      </c>
      <c r="P312" s="7">
        <f>IF($AH312="","",O312*AD312/100)</f>
        <v/>
      </c>
      <c r="Q312">
        <f>IF($AH312="","",INDEX('Per Line'!$R$2:$R$1501,$AH312)&amp;"")</f>
        <v/>
      </c>
      <c r="R312">
        <f>IF($AH312="","",INDEX('Per Line'!$AB$2:$AB$1501,$AH312)&amp;"")</f>
        <v/>
      </c>
      <c r="S312">
        <f>IF($AH312="","",Settings!$C$8)</f>
        <v/>
      </c>
      <c r="T312" s="7">
        <f>IF($AH312="","",SUMIFS('Per Line'!$Z$2:$Z$1501,'Per Line'!$E$2:$E$1501,$B312,'Per Line'!$AT$2:$AT$1501,1))</f>
        <v/>
      </c>
      <c r="U312" s="7">
        <f>IF($AH312="","",T312*S312)</f>
        <v/>
      </c>
      <c r="V312">
        <f>IF($AH312="","",Settings!$C$7)</f>
        <v/>
      </c>
      <c r="W312" s="7">
        <f>IF($AH312="","",SUMIFS('Per Line'!$Z$2:$Z$1501,'Per Line'!$E$2:$E$1501,$B312,'Per Line'!$AS$2:$AS$1501,0,'Per Line'!$AT$2:$AT$1501,0))</f>
        <v/>
      </c>
      <c r="X312" s="7">
        <f>IF($AH312="","",W312*V312)</f>
        <v/>
      </c>
      <c r="Y312">
        <f>IF($AH312="","",Settings!$C$6)</f>
        <v/>
      </c>
      <c r="Z312" s="7">
        <f>IF($AH312="","",SUMIFS('Per Line'!$Z$2:$Z$1501,'Per Line'!$E$2:$E$1501,$B312,'Per Line'!$AS$2:$AS$1501,1,'Per Line'!$AT$2:$AT$1501,0))</f>
        <v/>
      </c>
      <c r="AA312" s="7">
        <f>IF($AH312="","",Z312*Y312)</f>
        <v/>
      </c>
      <c r="AB312" s="7">
        <f>IF($AH312="","",AA312+X312+U312)</f>
        <v/>
      </c>
      <c r="AC312" s="7">
        <f>IF($AH312="","",AD312-AB312)</f>
        <v/>
      </c>
      <c r="AD312" s="7">
        <f>IF($AH312="","",W312+Z312+T312)</f>
        <v/>
      </c>
      <c r="AE312" s="7">
        <f>IF($AH312="","",AD312-AB312-P312)</f>
        <v/>
      </c>
      <c r="AF312" s="15" t="n"/>
      <c r="AG312" s="7">
        <f>IF($AH312="","",AE312-N(AF312))</f>
        <v/>
      </c>
      <c r="AH312" s="16">
        <f>IF(ROWS($AH$2:$AH312)&lt;=MAX('Per Line'!$AR$2:$AR$1501),MATCH(ROWS($AH$2:$AH312),'Per Line'!$AR$2:$AR$1501,0),"")</f>
        <v/>
      </c>
      <c r="AI312">
        <f>IF($AH312="","",C312&amp;"|"&amp;COUNTIF($C$2:$C312,C312))</f>
        <v/>
      </c>
    </row>
    <row r="313">
      <c r="A313" s="15" t="n"/>
      <c r="B313">
        <f>IF($AH313="","",INDEX('Per Line'!$E$2:$E$1501,$AH313)&amp;"")</f>
        <v/>
      </c>
      <c r="C313">
        <f>IF($AH313="","",IF(INDEX('Per Line'!$AP$2:$AP$1501,$AH313)="NOT MATCH","NOT MATCH","FULL MATCH"))</f>
        <v/>
      </c>
      <c r="D313">
        <f>IF($AH313="","",INDEX('Per Line'!$A$2:$A$1501,$AH313)&amp;"")</f>
        <v/>
      </c>
      <c r="E313">
        <f>IF($AH313="","",INDEX('Per Line'!$B$2:$B$1501,$AH313))</f>
        <v/>
      </c>
      <c r="F313">
        <f>IF($AH313="","",INDEX('Per Line'!$C$2:$C$1501,$AH313)&amp;"")</f>
        <v/>
      </c>
      <c r="G313">
        <f>IF($AH313="","",INDEX('Per Line'!$D$2:$D$1501,$AH313)&amp;"")</f>
        <v/>
      </c>
      <c r="H313">
        <f>IF($AH313="","",INDEX('Per Line'!$F$2:$F$1501,$AH313)&amp;"")</f>
        <v/>
      </c>
      <c r="I313" s="14">
        <f>IF($AH313="","",INDEX('Per Line'!$G$2:$G$1501,$AH313))</f>
        <v/>
      </c>
      <c r="J313">
        <f>IF($AH313="","",INDEX('Per Line'!$H$2:$H$1501,$AH313)&amp;"")</f>
        <v/>
      </c>
      <c r="K313">
        <f>IF($AH313="","",INDEX('Per Line'!$J$2:$J$1501,$AH313)&amp;"")</f>
        <v/>
      </c>
      <c r="L313">
        <f>IF($AH313="","",INDEX('Per Line'!$K$2:$K$1501,$AH313)&amp;"")</f>
        <v/>
      </c>
      <c r="M313">
        <f>IF($AH313="","",INDEX('Per Line'!$L$2:$L$1501,$AH313)&amp;"")</f>
        <v/>
      </c>
      <c r="N313">
        <f>IF($AH313="","",INDEX('Per Line'!$M$2:$M$1501,$AH313)&amp;"")</f>
        <v/>
      </c>
      <c r="O313">
        <f>IF($AH313="","",INDEX('Per Line'!$P$2:$P$1501,$AH313))</f>
        <v/>
      </c>
      <c r="P313" s="7">
        <f>IF($AH313="","",O313*AD313/100)</f>
        <v/>
      </c>
      <c r="Q313">
        <f>IF($AH313="","",INDEX('Per Line'!$R$2:$R$1501,$AH313)&amp;"")</f>
        <v/>
      </c>
      <c r="R313">
        <f>IF($AH313="","",INDEX('Per Line'!$AB$2:$AB$1501,$AH313)&amp;"")</f>
        <v/>
      </c>
      <c r="S313">
        <f>IF($AH313="","",Settings!$C$8)</f>
        <v/>
      </c>
      <c r="T313" s="7">
        <f>IF($AH313="","",SUMIFS('Per Line'!$Z$2:$Z$1501,'Per Line'!$E$2:$E$1501,$B313,'Per Line'!$AT$2:$AT$1501,1))</f>
        <v/>
      </c>
      <c r="U313" s="7">
        <f>IF($AH313="","",T313*S313)</f>
        <v/>
      </c>
      <c r="V313">
        <f>IF($AH313="","",Settings!$C$7)</f>
        <v/>
      </c>
      <c r="W313" s="7">
        <f>IF($AH313="","",SUMIFS('Per Line'!$Z$2:$Z$1501,'Per Line'!$E$2:$E$1501,$B313,'Per Line'!$AS$2:$AS$1501,0,'Per Line'!$AT$2:$AT$1501,0))</f>
        <v/>
      </c>
      <c r="X313" s="7">
        <f>IF($AH313="","",W313*V313)</f>
        <v/>
      </c>
      <c r="Y313">
        <f>IF($AH313="","",Settings!$C$6)</f>
        <v/>
      </c>
      <c r="Z313" s="7">
        <f>IF($AH313="","",SUMIFS('Per Line'!$Z$2:$Z$1501,'Per Line'!$E$2:$E$1501,$B313,'Per Line'!$AS$2:$AS$1501,1,'Per Line'!$AT$2:$AT$1501,0))</f>
        <v/>
      </c>
      <c r="AA313" s="7">
        <f>IF($AH313="","",Z313*Y313)</f>
        <v/>
      </c>
      <c r="AB313" s="7">
        <f>IF($AH313="","",AA313+X313+U313)</f>
        <v/>
      </c>
      <c r="AC313" s="7">
        <f>IF($AH313="","",AD313-AB313)</f>
        <v/>
      </c>
      <c r="AD313" s="7">
        <f>IF($AH313="","",W313+Z313+T313)</f>
        <v/>
      </c>
      <c r="AE313" s="7">
        <f>IF($AH313="","",AD313-AB313-P313)</f>
        <v/>
      </c>
      <c r="AF313" s="15" t="n"/>
      <c r="AG313" s="7">
        <f>IF($AH313="","",AE313-N(AF313))</f>
        <v/>
      </c>
      <c r="AH313" s="16">
        <f>IF(ROWS($AH$2:$AH313)&lt;=MAX('Per Line'!$AR$2:$AR$1501),MATCH(ROWS($AH$2:$AH313),'Per Line'!$AR$2:$AR$1501,0),"")</f>
        <v/>
      </c>
      <c r="AI313">
        <f>IF($AH313="","",C313&amp;"|"&amp;COUNTIF($C$2:$C313,C313))</f>
        <v/>
      </c>
    </row>
    <row r="314">
      <c r="A314" s="15" t="n"/>
      <c r="B314">
        <f>IF($AH314="","",INDEX('Per Line'!$E$2:$E$1501,$AH314)&amp;"")</f>
        <v/>
      </c>
      <c r="C314">
        <f>IF($AH314="","",IF(INDEX('Per Line'!$AP$2:$AP$1501,$AH314)="NOT MATCH","NOT MATCH","FULL MATCH"))</f>
        <v/>
      </c>
      <c r="D314">
        <f>IF($AH314="","",INDEX('Per Line'!$A$2:$A$1501,$AH314)&amp;"")</f>
        <v/>
      </c>
      <c r="E314">
        <f>IF($AH314="","",INDEX('Per Line'!$B$2:$B$1501,$AH314))</f>
        <v/>
      </c>
      <c r="F314">
        <f>IF($AH314="","",INDEX('Per Line'!$C$2:$C$1501,$AH314)&amp;"")</f>
        <v/>
      </c>
      <c r="G314">
        <f>IF($AH314="","",INDEX('Per Line'!$D$2:$D$1501,$AH314)&amp;"")</f>
        <v/>
      </c>
      <c r="H314">
        <f>IF($AH314="","",INDEX('Per Line'!$F$2:$F$1501,$AH314)&amp;"")</f>
        <v/>
      </c>
      <c r="I314" s="14">
        <f>IF($AH314="","",INDEX('Per Line'!$G$2:$G$1501,$AH314))</f>
        <v/>
      </c>
      <c r="J314">
        <f>IF($AH314="","",INDEX('Per Line'!$H$2:$H$1501,$AH314)&amp;"")</f>
        <v/>
      </c>
      <c r="K314">
        <f>IF($AH314="","",INDEX('Per Line'!$J$2:$J$1501,$AH314)&amp;"")</f>
        <v/>
      </c>
      <c r="L314">
        <f>IF($AH314="","",INDEX('Per Line'!$K$2:$K$1501,$AH314)&amp;"")</f>
        <v/>
      </c>
      <c r="M314">
        <f>IF($AH314="","",INDEX('Per Line'!$L$2:$L$1501,$AH314)&amp;"")</f>
        <v/>
      </c>
      <c r="N314">
        <f>IF($AH314="","",INDEX('Per Line'!$M$2:$M$1501,$AH314)&amp;"")</f>
        <v/>
      </c>
      <c r="O314">
        <f>IF($AH314="","",INDEX('Per Line'!$P$2:$P$1501,$AH314))</f>
        <v/>
      </c>
      <c r="P314" s="7">
        <f>IF($AH314="","",O314*AD314/100)</f>
        <v/>
      </c>
      <c r="Q314">
        <f>IF($AH314="","",INDEX('Per Line'!$R$2:$R$1501,$AH314)&amp;"")</f>
        <v/>
      </c>
      <c r="R314">
        <f>IF($AH314="","",INDEX('Per Line'!$AB$2:$AB$1501,$AH314)&amp;"")</f>
        <v/>
      </c>
      <c r="S314">
        <f>IF($AH314="","",Settings!$C$8)</f>
        <v/>
      </c>
      <c r="T314" s="7">
        <f>IF($AH314="","",SUMIFS('Per Line'!$Z$2:$Z$1501,'Per Line'!$E$2:$E$1501,$B314,'Per Line'!$AT$2:$AT$1501,1))</f>
        <v/>
      </c>
      <c r="U314" s="7">
        <f>IF($AH314="","",T314*S314)</f>
        <v/>
      </c>
      <c r="V314">
        <f>IF($AH314="","",Settings!$C$7)</f>
        <v/>
      </c>
      <c r="W314" s="7">
        <f>IF($AH314="","",SUMIFS('Per Line'!$Z$2:$Z$1501,'Per Line'!$E$2:$E$1501,$B314,'Per Line'!$AS$2:$AS$1501,0,'Per Line'!$AT$2:$AT$1501,0))</f>
        <v/>
      </c>
      <c r="X314" s="7">
        <f>IF($AH314="","",W314*V314)</f>
        <v/>
      </c>
      <c r="Y314">
        <f>IF($AH314="","",Settings!$C$6)</f>
        <v/>
      </c>
      <c r="Z314" s="7">
        <f>IF($AH314="","",SUMIFS('Per Line'!$Z$2:$Z$1501,'Per Line'!$E$2:$E$1501,$B314,'Per Line'!$AS$2:$AS$1501,1,'Per Line'!$AT$2:$AT$1501,0))</f>
        <v/>
      </c>
      <c r="AA314" s="7">
        <f>IF($AH314="","",Z314*Y314)</f>
        <v/>
      </c>
      <c r="AB314" s="7">
        <f>IF($AH314="","",AA314+X314+U314)</f>
        <v/>
      </c>
      <c r="AC314" s="7">
        <f>IF($AH314="","",AD314-AB314)</f>
        <v/>
      </c>
      <c r="AD314" s="7">
        <f>IF($AH314="","",W314+Z314+T314)</f>
        <v/>
      </c>
      <c r="AE314" s="7">
        <f>IF($AH314="","",AD314-AB314-P314)</f>
        <v/>
      </c>
      <c r="AF314" s="15" t="n"/>
      <c r="AG314" s="7">
        <f>IF($AH314="","",AE314-N(AF314))</f>
        <v/>
      </c>
      <c r="AH314" s="16">
        <f>IF(ROWS($AH$2:$AH314)&lt;=MAX('Per Line'!$AR$2:$AR$1501),MATCH(ROWS($AH$2:$AH314),'Per Line'!$AR$2:$AR$1501,0),"")</f>
        <v/>
      </c>
      <c r="AI314">
        <f>IF($AH314="","",C314&amp;"|"&amp;COUNTIF($C$2:$C314,C314))</f>
        <v/>
      </c>
    </row>
    <row r="315">
      <c r="A315" s="15" t="n"/>
      <c r="B315">
        <f>IF($AH315="","",INDEX('Per Line'!$E$2:$E$1501,$AH315)&amp;"")</f>
        <v/>
      </c>
      <c r="C315">
        <f>IF($AH315="","",IF(INDEX('Per Line'!$AP$2:$AP$1501,$AH315)="NOT MATCH","NOT MATCH","FULL MATCH"))</f>
        <v/>
      </c>
      <c r="D315">
        <f>IF($AH315="","",INDEX('Per Line'!$A$2:$A$1501,$AH315)&amp;"")</f>
        <v/>
      </c>
      <c r="E315">
        <f>IF($AH315="","",INDEX('Per Line'!$B$2:$B$1501,$AH315))</f>
        <v/>
      </c>
      <c r="F315">
        <f>IF($AH315="","",INDEX('Per Line'!$C$2:$C$1501,$AH315)&amp;"")</f>
        <v/>
      </c>
      <c r="G315">
        <f>IF($AH315="","",INDEX('Per Line'!$D$2:$D$1501,$AH315)&amp;"")</f>
        <v/>
      </c>
      <c r="H315">
        <f>IF($AH315="","",INDEX('Per Line'!$F$2:$F$1501,$AH315)&amp;"")</f>
        <v/>
      </c>
      <c r="I315" s="14">
        <f>IF($AH315="","",INDEX('Per Line'!$G$2:$G$1501,$AH315))</f>
        <v/>
      </c>
      <c r="J315">
        <f>IF($AH315="","",INDEX('Per Line'!$H$2:$H$1501,$AH315)&amp;"")</f>
        <v/>
      </c>
      <c r="K315">
        <f>IF($AH315="","",INDEX('Per Line'!$J$2:$J$1501,$AH315)&amp;"")</f>
        <v/>
      </c>
      <c r="L315">
        <f>IF($AH315="","",INDEX('Per Line'!$K$2:$K$1501,$AH315)&amp;"")</f>
        <v/>
      </c>
      <c r="M315">
        <f>IF($AH315="","",INDEX('Per Line'!$L$2:$L$1501,$AH315)&amp;"")</f>
        <v/>
      </c>
      <c r="N315">
        <f>IF($AH315="","",INDEX('Per Line'!$M$2:$M$1501,$AH315)&amp;"")</f>
        <v/>
      </c>
      <c r="O315">
        <f>IF($AH315="","",INDEX('Per Line'!$P$2:$P$1501,$AH315))</f>
        <v/>
      </c>
      <c r="P315" s="7">
        <f>IF($AH315="","",O315*AD315/100)</f>
        <v/>
      </c>
      <c r="Q315">
        <f>IF($AH315="","",INDEX('Per Line'!$R$2:$R$1501,$AH315)&amp;"")</f>
        <v/>
      </c>
      <c r="R315">
        <f>IF($AH315="","",INDEX('Per Line'!$AB$2:$AB$1501,$AH315)&amp;"")</f>
        <v/>
      </c>
      <c r="S315">
        <f>IF($AH315="","",Settings!$C$8)</f>
        <v/>
      </c>
      <c r="T315" s="7">
        <f>IF($AH315="","",SUMIFS('Per Line'!$Z$2:$Z$1501,'Per Line'!$E$2:$E$1501,$B315,'Per Line'!$AT$2:$AT$1501,1))</f>
        <v/>
      </c>
      <c r="U315" s="7">
        <f>IF($AH315="","",T315*S315)</f>
        <v/>
      </c>
      <c r="V315">
        <f>IF($AH315="","",Settings!$C$7)</f>
        <v/>
      </c>
      <c r="W315" s="7">
        <f>IF($AH315="","",SUMIFS('Per Line'!$Z$2:$Z$1501,'Per Line'!$E$2:$E$1501,$B315,'Per Line'!$AS$2:$AS$1501,0,'Per Line'!$AT$2:$AT$1501,0))</f>
        <v/>
      </c>
      <c r="X315" s="7">
        <f>IF($AH315="","",W315*V315)</f>
        <v/>
      </c>
      <c r="Y315">
        <f>IF($AH315="","",Settings!$C$6)</f>
        <v/>
      </c>
      <c r="Z315" s="7">
        <f>IF($AH315="","",SUMIFS('Per Line'!$Z$2:$Z$1501,'Per Line'!$E$2:$E$1501,$B315,'Per Line'!$AS$2:$AS$1501,1,'Per Line'!$AT$2:$AT$1501,0))</f>
        <v/>
      </c>
      <c r="AA315" s="7">
        <f>IF($AH315="","",Z315*Y315)</f>
        <v/>
      </c>
      <c r="AB315" s="7">
        <f>IF($AH315="","",AA315+X315+U315)</f>
        <v/>
      </c>
      <c r="AC315" s="7">
        <f>IF($AH315="","",AD315-AB315)</f>
        <v/>
      </c>
      <c r="AD315" s="7">
        <f>IF($AH315="","",W315+Z315+T315)</f>
        <v/>
      </c>
      <c r="AE315" s="7">
        <f>IF($AH315="","",AD315-AB315-P315)</f>
        <v/>
      </c>
      <c r="AF315" s="15" t="n"/>
      <c r="AG315" s="7">
        <f>IF($AH315="","",AE315-N(AF315))</f>
        <v/>
      </c>
      <c r="AH315" s="16">
        <f>IF(ROWS($AH$2:$AH315)&lt;=MAX('Per Line'!$AR$2:$AR$1501),MATCH(ROWS($AH$2:$AH315),'Per Line'!$AR$2:$AR$1501,0),"")</f>
        <v/>
      </c>
      <c r="AI315">
        <f>IF($AH315="","",C315&amp;"|"&amp;COUNTIF($C$2:$C315,C315))</f>
        <v/>
      </c>
    </row>
    <row r="316">
      <c r="A316" s="15" t="n"/>
      <c r="B316">
        <f>IF($AH316="","",INDEX('Per Line'!$E$2:$E$1501,$AH316)&amp;"")</f>
        <v/>
      </c>
      <c r="C316">
        <f>IF($AH316="","",IF(INDEX('Per Line'!$AP$2:$AP$1501,$AH316)="NOT MATCH","NOT MATCH","FULL MATCH"))</f>
        <v/>
      </c>
      <c r="D316">
        <f>IF($AH316="","",INDEX('Per Line'!$A$2:$A$1501,$AH316)&amp;"")</f>
        <v/>
      </c>
      <c r="E316">
        <f>IF($AH316="","",INDEX('Per Line'!$B$2:$B$1501,$AH316))</f>
        <v/>
      </c>
      <c r="F316">
        <f>IF($AH316="","",INDEX('Per Line'!$C$2:$C$1501,$AH316)&amp;"")</f>
        <v/>
      </c>
      <c r="G316">
        <f>IF($AH316="","",INDEX('Per Line'!$D$2:$D$1501,$AH316)&amp;"")</f>
        <v/>
      </c>
      <c r="H316">
        <f>IF($AH316="","",INDEX('Per Line'!$F$2:$F$1501,$AH316)&amp;"")</f>
        <v/>
      </c>
      <c r="I316" s="14">
        <f>IF($AH316="","",INDEX('Per Line'!$G$2:$G$1501,$AH316))</f>
        <v/>
      </c>
      <c r="J316">
        <f>IF($AH316="","",INDEX('Per Line'!$H$2:$H$1501,$AH316)&amp;"")</f>
        <v/>
      </c>
      <c r="K316">
        <f>IF($AH316="","",INDEX('Per Line'!$J$2:$J$1501,$AH316)&amp;"")</f>
        <v/>
      </c>
      <c r="L316">
        <f>IF($AH316="","",INDEX('Per Line'!$K$2:$K$1501,$AH316)&amp;"")</f>
        <v/>
      </c>
      <c r="M316">
        <f>IF($AH316="","",INDEX('Per Line'!$L$2:$L$1501,$AH316)&amp;"")</f>
        <v/>
      </c>
      <c r="N316">
        <f>IF($AH316="","",INDEX('Per Line'!$M$2:$M$1501,$AH316)&amp;"")</f>
        <v/>
      </c>
      <c r="O316">
        <f>IF($AH316="","",INDEX('Per Line'!$P$2:$P$1501,$AH316))</f>
        <v/>
      </c>
      <c r="P316" s="7">
        <f>IF($AH316="","",O316*AD316/100)</f>
        <v/>
      </c>
      <c r="Q316">
        <f>IF($AH316="","",INDEX('Per Line'!$R$2:$R$1501,$AH316)&amp;"")</f>
        <v/>
      </c>
      <c r="R316">
        <f>IF($AH316="","",INDEX('Per Line'!$AB$2:$AB$1501,$AH316)&amp;"")</f>
        <v/>
      </c>
      <c r="S316">
        <f>IF($AH316="","",Settings!$C$8)</f>
        <v/>
      </c>
      <c r="T316" s="7">
        <f>IF($AH316="","",SUMIFS('Per Line'!$Z$2:$Z$1501,'Per Line'!$E$2:$E$1501,$B316,'Per Line'!$AT$2:$AT$1501,1))</f>
        <v/>
      </c>
      <c r="U316" s="7">
        <f>IF($AH316="","",T316*S316)</f>
        <v/>
      </c>
      <c r="V316">
        <f>IF($AH316="","",Settings!$C$7)</f>
        <v/>
      </c>
      <c r="W316" s="7">
        <f>IF($AH316="","",SUMIFS('Per Line'!$Z$2:$Z$1501,'Per Line'!$E$2:$E$1501,$B316,'Per Line'!$AS$2:$AS$1501,0,'Per Line'!$AT$2:$AT$1501,0))</f>
        <v/>
      </c>
      <c r="X316" s="7">
        <f>IF($AH316="","",W316*V316)</f>
        <v/>
      </c>
      <c r="Y316">
        <f>IF($AH316="","",Settings!$C$6)</f>
        <v/>
      </c>
      <c r="Z316" s="7">
        <f>IF($AH316="","",SUMIFS('Per Line'!$Z$2:$Z$1501,'Per Line'!$E$2:$E$1501,$B316,'Per Line'!$AS$2:$AS$1501,1,'Per Line'!$AT$2:$AT$1501,0))</f>
        <v/>
      </c>
      <c r="AA316" s="7">
        <f>IF($AH316="","",Z316*Y316)</f>
        <v/>
      </c>
      <c r="AB316" s="7">
        <f>IF($AH316="","",AA316+X316+U316)</f>
        <v/>
      </c>
      <c r="AC316" s="7">
        <f>IF($AH316="","",AD316-AB316)</f>
        <v/>
      </c>
      <c r="AD316" s="7">
        <f>IF($AH316="","",W316+Z316+T316)</f>
        <v/>
      </c>
      <c r="AE316" s="7">
        <f>IF($AH316="","",AD316-AB316-P316)</f>
        <v/>
      </c>
      <c r="AF316" s="15" t="n"/>
      <c r="AG316" s="7">
        <f>IF($AH316="","",AE316-N(AF316))</f>
        <v/>
      </c>
      <c r="AH316" s="16">
        <f>IF(ROWS($AH$2:$AH316)&lt;=MAX('Per Line'!$AR$2:$AR$1501),MATCH(ROWS($AH$2:$AH316),'Per Line'!$AR$2:$AR$1501,0),"")</f>
        <v/>
      </c>
      <c r="AI316">
        <f>IF($AH316="","",C316&amp;"|"&amp;COUNTIF($C$2:$C316,C316))</f>
        <v/>
      </c>
    </row>
    <row r="317">
      <c r="A317" s="15" t="n"/>
      <c r="B317">
        <f>IF($AH317="","",INDEX('Per Line'!$E$2:$E$1501,$AH317)&amp;"")</f>
        <v/>
      </c>
      <c r="C317">
        <f>IF($AH317="","",IF(INDEX('Per Line'!$AP$2:$AP$1501,$AH317)="NOT MATCH","NOT MATCH","FULL MATCH"))</f>
        <v/>
      </c>
      <c r="D317">
        <f>IF($AH317="","",INDEX('Per Line'!$A$2:$A$1501,$AH317)&amp;"")</f>
        <v/>
      </c>
      <c r="E317">
        <f>IF($AH317="","",INDEX('Per Line'!$B$2:$B$1501,$AH317))</f>
        <v/>
      </c>
      <c r="F317">
        <f>IF($AH317="","",INDEX('Per Line'!$C$2:$C$1501,$AH317)&amp;"")</f>
        <v/>
      </c>
      <c r="G317">
        <f>IF($AH317="","",INDEX('Per Line'!$D$2:$D$1501,$AH317)&amp;"")</f>
        <v/>
      </c>
      <c r="H317">
        <f>IF($AH317="","",INDEX('Per Line'!$F$2:$F$1501,$AH317)&amp;"")</f>
        <v/>
      </c>
      <c r="I317" s="14">
        <f>IF($AH317="","",INDEX('Per Line'!$G$2:$G$1501,$AH317))</f>
        <v/>
      </c>
      <c r="J317">
        <f>IF($AH317="","",INDEX('Per Line'!$H$2:$H$1501,$AH317)&amp;"")</f>
        <v/>
      </c>
      <c r="K317">
        <f>IF($AH317="","",INDEX('Per Line'!$J$2:$J$1501,$AH317)&amp;"")</f>
        <v/>
      </c>
      <c r="L317">
        <f>IF($AH317="","",INDEX('Per Line'!$K$2:$K$1501,$AH317)&amp;"")</f>
        <v/>
      </c>
      <c r="M317">
        <f>IF($AH317="","",INDEX('Per Line'!$L$2:$L$1501,$AH317)&amp;"")</f>
        <v/>
      </c>
      <c r="N317">
        <f>IF($AH317="","",INDEX('Per Line'!$M$2:$M$1501,$AH317)&amp;"")</f>
        <v/>
      </c>
      <c r="O317">
        <f>IF($AH317="","",INDEX('Per Line'!$P$2:$P$1501,$AH317))</f>
        <v/>
      </c>
      <c r="P317" s="7">
        <f>IF($AH317="","",O317*AD317/100)</f>
        <v/>
      </c>
      <c r="Q317">
        <f>IF($AH317="","",INDEX('Per Line'!$R$2:$R$1501,$AH317)&amp;"")</f>
        <v/>
      </c>
      <c r="R317">
        <f>IF($AH317="","",INDEX('Per Line'!$AB$2:$AB$1501,$AH317)&amp;"")</f>
        <v/>
      </c>
      <c r="S317">
        <f>IF($AH317="","",Settings!$C$8)</f>
        <v/>
      </c>
      <c r="T317" s="7">
        <f>IF($AH317="","",SUMIFS('Per Line'!$Z$2:$Z$1501,'Per Line'!$E$2:$E$1501,$B317,'Per Line'!$AT$2:$AT$1501,1))</f>
        <v/>
      </c>
      <c r="U317" s="7">
        <f>IF($AH317="","",T317*S317)</f>
        <v/>
      </c>
      <c r="V317">
        <f>IF($AH317="","",Settings!$C$7)</f>
        <v/>
      </c>
      <c r="W317" s="7">
        <f>IF($AH317="","",SUMIFS('Per Line'!$Z$2:$Z$1501,'Per Line'!$E$2:$E$1501,$B317,'Per Line'!$AS$2:$AS$1501,0,'Per Line'!$AT$2:$AT$1501,0))</f>
        <v/>
      </c>
      <c r="X317" s="7">
        <f>IF($AH317="","",W317*V317)</f>
        <v/>
      </c>
      <c r="Y317">
        <f>IF($AH317="","",Settings!$C$6)</f>
        <v/>
      </c>
      <c r="Z317" s="7">
        <f>IF($AH317="","",SUMIFS('Per Line'!$Z$2:$Z$1501,'Per Line'!$E$2:$E$1501,$B317,'Per Line'!$AS$2:$AS$1501,1,'Per Line'!$AT$2:$AT$1501,0))</f>
        <v/>
      </c>
      <c r="AA317" s="7">
        <f>IF($AH317="","",Z317*Y317)</f>
        <v/>
      </c>
      <c r="AB317" s="7">
        <f>IF($AH317="","",AA317+X317+U317)</f>
        <v/>
      </c>
      <c r="AC317" s="7">
        <f>IF($AH317="","",AD317-AB317)</f>
        <v/>
      </c>
      <c r="AD317" s="7">
        <f>IF($AH317="","",W317+Z317+T317)</f>
        <v/>
      </c>
      <c r="AE317" s="7">
        <f>IF($AH317="","",AD317-AB317-P317)</f>
        <v/>
      </c>
      <c r="AF317" s="15" t="n"/>
      <c r="AG317" s="7">
        <f>IF($AH317="","",AE317-N(AF317))</f>
        <v/>
      </c>
      <c r="AH317" s="16">
        <f>IF(ROWS($AH$2:$AH317)&lt;=MAX('Per Line'!$AR$2:$AR$1501),MATCH(ROWS($AH$2:$AH317),'Per Line'!$AR$2:$AR$1501,0),"")</f>
        <v/>
      </c>
      <c r="AI317">
        <f>IF($AH317="","",C317&amp;"|"&amp;COUNTIF($C$2:$C317,C317))</f>
        <v/>
      </c>
    </row>
    <row r="318">
      <c r="A318" s="15" t="n"/>
      <c r="B318">
        <f>IF($AH318="","",INDEX('Per Line'!$E$2:$E$1501,$AH318)&amp;"")</f>
        <v/>
      </c>
      <c r="C318">
        <f>IF($AH318="","",IF(INDEX('Per Line'!$AP$2:$AP$1501,$AH318)="NOT MATCH","NOT MATCH","FULL MATCH"))</f>
        <v/>
      </c>
      <c r="D318">
        <f>IF($AH318="","",INDEX('Per Line'!$A$2:$A$1501,$AH318)&amp;"")</f>
        <v/>
      </c>
      <c r="E318">
        <f>IF($AH318="","",INDEX('Per Line'!$B$2:$B$1501,$AH318))</f>
        <v/>
      </c>
      <c r="F318">
        <f>IF($AH318="","",INDEX('Per Line'!$C$2:$C$1501,$AH318)&amp;"")</f>
        <v/>
      </c>
      <c r="G318">
        <f>IF($AH318="","",INDEX('Per Line'!$D$2:$D$1501,$AH318)&amp;"")</f>
        <v/>
      </c>
      <c r="H318">
        <f>IF($AH318="","",INDEX('Per Line'!$F$2:$F$1501,$AH318)&amp;"")</f>
        <v/>
      </c>
      <c r="I318" s="14">
        <f>IF($AH318="","",INDEX('Per Line'!$G$2:$G$1501,$AH318))</f>
        <v/>
      </c>
      <c r="J318">
        <f>IF($AH318="","",INDEX('Per Line'!$H$2:$H$1501,$AH318)&amp;"")</f>
        <v/>
      </c>
      <c r="K318">
        <f>IF($AH318="","",INDEX('Per Line'!$J$2:$J$1501,$AH318)&amp;"")</f>
        <v/>
      </c>
      <c r="L318">
        <f>IF($AH318="","",INDEX('Per Line'!$K$2:$K$1501,$AH318)&amp;"")</f>
        <v/>
      </c>
      <c r="M318">
        <f>IF($AH318="","",INDEX('Per Line'!$L$2:$L$1501,$AH318)&amp;"")</f>
        <v/>
      </c>
      <c r="N318">
        <f>IF($AH318="","",INDEX('Per Line'!$M$2:$M$1501,$AH318)&amp;"")</f>
        <v/>
      </c>
      <c r="O318">
        <f>IF($AH318="","",INDEX('Per Line'!$P$2:$P$1501,$AH318))</f>
        <v/>
      </c>
      <c r="P318" s="7">
        <f>IF($AH318="","",O318*AD318/100)</f>
        <v/>
      </c>
      <c r="Q318">
        <f>IF($AH318="","",INDEX('Per Line'!$R$2:$R$1501,$AH318)&amp;"")</f>
        <v/>
      </c>
      <c r="R318">
        <f>IF($AH318="","",INDEX('Per Line'!$AB$2:$AB$1501,$AH318)&amp;"")</f>
        <v/>
      </c>
      <c r="S318">
        <f>IF($AH318="","",Settings!$C$8)</f>
        <v/>
      </c>
      <c r="T318" s="7">
        <f>IF($AH318="","",SUMIFS('Per Line'!$Z$2:$Z$1501,'Per Line'!$E$2:$E$1501,$B318,'Per Line'!$AT$2:$AT$1501,1))</f>
        <v/>
      </c>
      <c r="U318" s="7">
        <f>IF($AH318="","",T318*S318)</f>
        <v/>
      </c>
      <c r="V318">
        <f>IF($AH318="","",Settings!$C$7)</f>
        <v/>
      </c>
      <c r="W318" s="7">
        <f>IF($AH318="","",SUMIFS('Per Line'!$Z$2:$Z$1501,'Per Line'!$E$2:$E$1501,$B318,'Per Line'!$AS$2:$AS$1501,0,'Per Line'!$AT$2:$AT$1501,0))</f>
        <v/>
      </c>
      <c r="X318" s="7">
        <f>IF($AH318="","",W318*V318)</f>
        <v/>
      </c>
      <c r="Y318">
        <f>IF($AH318="","",Settings!$C$6)</f>
        <v/>
      </c>
      <c r="Z318" s="7">
        <f>IF($AH318="","",SUMIFS('Per Line'!$Z$2:$Z$1501,'Per Line'!$E$2:$E$1501,$B318,'Per Line'!$AS$2:$AS$1501,1,'Per Line'!$AT$2:$AT$1501,0))</f>
        <v/>
      </c>
      <c r="AA318" s="7">
        <f>IF($AH318="","",Z318*Y318)</f>
        <v/>
      </c>
      <c r="AB318" s="7">
        <f>IF($AH318="","",AA318+X318+U318)</f>
        <v/>
      </c>
      <c r="AC318" s="7">
        <f>IF($AH318="","",AD318-AB318)</f>
        <v/>
      </c>
      <c r="AD318" s="7">
        <f>IF($AH318="","",W318+Z318+T318)</f>
        <v/>
      </c>
      <c r="AE318" s="7">
        <f>IF($AH318="","",AD318-AB318-P318)</f>
        <v/>
      </c>
      <c r="AF318" s="15" t="n"/>
      <c r="AG318" s="7">
        <f>IF($AH318="","",AE318-N(AF318))</f>
        <v/>
      </c>
      <c r="AH318" s="16">
        <f>IF(ROWS($AH$2:$AH318)&lt;=MAX('Per Line'!$AR$2:$AR$1501),MATCH(ROWS($AH$2:$AH318),'Per Line'!$AR$2:$AR$1501,0),"")</f>
        <v/>
      </c>
      <c r="AI318">
        <f>IF($AH318="","",C318&amp;"|"&amp;COUNTIF($C$2:$C318,C318))</f>
        <v/>
      </c>
    </row>
    <row r="319">
      <c r="A319" s="15" t="n"/>
      <c r="B319">
        <f>IF($AH319="","",INDEX('Per Line'!$E$2:$E$1501,$AH319)&amp;"")</f>
        <v/>
      </c>
      <c r="C319">
        <f>IF($AH319="","",IF(INDEX('Per Line'!$AP$2:$AP$1501,$AH319)="NOT MATCH","NOT MATCH","FULL MATCH"))</f>
        <v/>
      </c>
      <c r="D319">
        <f>IF($AH319="","",INDEX('Per Line'!$A$2:$A$1501,$AH319)&amp;"")</f>
        <v/>
      </c>
      <c r="E319">
        <f>IF($AH319="","",INDEX('Per Line'!$B$2:$B$1501,$AH319))</f>
        <v/>
      </c>
      <c r="F319">
        <f>IF($AH319="","",INDEX('Per Line'!$C$2:$C$1501,$AH319)&amp;"")</f>
        <v/>
      </c>
      <c r="G319">
        <f>IF($AH319="","",INDEX('Per Line'!$D$2:$D$1501,$AH319)&amp;"")</f>
        <v/>
      </c>
      <c r="H319">
        <f>IF($AH319="","",INDEX('Per Line'!$F$2:$F$1501,$AH319)&amp;"")</f>
        <v/>
      </c>
      <c r="I319" s="14">
        <f>IF($AH319="","",INDEX('Per Line'!$G$2:$G$1501,$AH319))</f>
        <v/>
      </c>
      <c r="J319">
        <f>IF($AH319="","",INDEX('Per Line'!$H$2:$H$1501,$AH319)&amp;"")</f>
        <v/>
      </c>
      <c r="K319">
        <f>IF($AH319="","",INDEX('Per Line'!$J$2:$J$1501,$AH319)&amp;"")</f>
        <v/>
      </c>
      <c r="L319">
        <f>IF($AH319="","",INDEX('Per Line'!$K$2:$K$1501,$AH319)&amp;"")</f>
        <v/>
      </c>
      <c r="M319">
        <f>IF($AH319="","",INDEX('Per Line'!$L$2:$L$1501,$AH319)&amp;"")</f>
        <v/>
      </c>
      <c r="N319">
        <f>IF($AH319="","",INDEX('Per Line'!$M$2:$M$1501,$AH319)&amp;"")</f>
        <v/>
      </c>
      <c r="O319">
        <f>IF($AH319="","",INDEX('Per Line'!$P$2:$P$1501,$AH319))</f>
        <v/>
      </c>
      <c r="P319" s="7">
        <f>IF($AH319="","",O319*AD319/100)</f>
        <v/>
      </c>
      <c r="Q319">
        <f>IF($AH319="","",INDEX('Per Line'!$R$2:$R$1501,$AH319)&amp;"")</f>
        <v/>
      </c>
      <c r="R319">
        <f>IF($AH319="","",INDEX('Per Line'!$AB$2:$AB$1501,$AH319)&amp;"")</f>
        <v/>
      </c>
      <c r="S319">
        <f>IF($AH319="","",Settings!$C$8)</f>
        <v/>
      </c>
      <c r="T319" s="7">
        <f>IF($AH319="","",SUMIFS('Per Line'!$Z$2:$Z$1501,'Per Line'!$E$2:$E$1501,$B319,'Per Line'!$AT$2:$AT$1501,1))</f>
        <v/>
      </c>
      <c r="U319" s="7">
        <f>IF($AH319="","",T319*S319)</f>
        <v/>
      </c>
      <c r="V319">
        <f>IF($AH319="","",Settings!$C$7)</f>
        <v/>
      </c>
      <c r="W319" s="7">
        <f>IF($AH319="","",SUMIFS('Per Line'!$Z$2:$Z$1501,'Per Line'!$E$2:$E$1501,$B319,'Per Line'!$AS$2:$AS$1501,0,'Per Line'!$AT$2:$AT$1501,0))</f>
        <v/>
      </c>
      <c r="X319" s="7">
        <f>IF($AH319="","",W319*V319)</f>
        <v/>
      </c>
      <c r="Y319">
        <f>IF($AH319="","",Settings!$C$6)</f>
        <v/>
      </c>
      <c r="Z319" s="7">
        <f>IF($AH319="","",SUMIFS('Per Line'!$Z$2:$Z$1501,'Per Line'!$E$2:$E$1501,$B319,'Per Line'!$AS$2:$AS$1501,1,'Per Line'!$AT$2:$AT$1501,0))</f>
        <v/>
      </c>
      <c r="AA319" s="7">
        <f>IF($AH319="","",Z319*Y319)</f>
        <v/>
      </c>
      <c r="AB319" s="7">
        <f>IF($AH319="","",AA319+X319+U319)</f>
        <v/>
      </c>
      <c r="AC319" s="7">
        <f>IF($AH319="","",AD319-AB319)</f>
        <v/>
      </c>
      <c r="AD319" s="7">
        <f>IF($AH319="","",W319+Z319+T319)</f>
        <v/>
      </c>
      <c r="AE319" s="7">
        <f>IF($AH319="","",AD319-AB319-P319)</f>
        <v/>
      </c>
      <c r="AF319" s="15" t="n"/>
      <c r="AG319" s="7">
        <f>IF($AH319="","",AE319-N(AF319))</f>
        <v/>
      </c>
      <c r="AH319" s="16">
        <f>IF(ROWS($AH$2:$AH319)&lt;=MAX('Per Line'!$AR$2:$AR$1501),MATCH(ROWS($AH$2:$AH319),'Per Line'!$AR$2:$AR$1501,0),"")</f>
        <v/>
      </c>
      <c r="AI319">
        <f>IF($AH319="","",C319&amp;"|"&amp;COUNTIF($C$2:$C319,C319))</f>
        <v/>
      </c>
    </row>
    <row r="320">
      <c r="A320" s="15" t="n"/>
      <c r="B320">
        <f>IF($AH320="","",INDEX('Per Line'!$E$2:$E$1501,$AH320)&amp;"")</f>
        <v/>
      </c>
      <c r="C320">
        <f>IF($AH320="","",IF(INDEX('Per Line'!$AP$2:$AP$1501,$AH320)="NOT MATCH","NOT MATCH","FULL MATCH"))</f>
        <v/>
      </c>
      <c r="D320">
        <f>IF($AH320="","",INDEX('Per Line'!$A$2:$A$1501,$AH320)&amp;"")</f>
        <v/>
      </c>
      <c r="E320">
        <f>IF($AH320="","",INDEX('Per Line'!$B$2:$B$1501,$AH320))</f>
        <v/>
      </c>
      <c r="F320">
        <f>IF($AH320="","",INDEX('Per Line'!$C$2:$C$1501,$AH320)&amp;"")</f>
        <v/>
      </c>
      <c r="G320">
        <f>IF($AH320="","",INDEX('Per Line'!$D$2:$D$1501,$AH320)&amp;"")</f>
        <v/>
      </c>
      <c r="H320">
        <f>IF($AH320="","",INDEX('Per Line'!$F$2:$F$1501,$AH320)&amp;"")</f>
        <v/>
      </c>
      <c r="I320" s="14">
        <f>IF($AH320="","",INDEX('Per Line'!$G$2:$G$1501,$AH320))</f>
        <v/>
      </c>
      <c r="J320">
        <f>IF($AH320="","",INDEX('Per Line'!$H$2:$H$1501,$AH320)&amp;"")</f>
        <v/>
      </c>
      <c r="K320">
        <f>IF($AH320="","",INDEX('Per Line'!$J$2:$J$1501,$AH320)&amp;"")</f>
        <v/>
      </c>
      <c r="L320">
        <f>IF($AH320="","",INDEX('Per Line'!$K$2:$K$1501,$AH320)&amp;"")</f>
        <v/>
      </c>
      <c r="M320">
        <f>IF($AH320="","",INDEX('Per Line'!$L$2:$L$1501,$AH320)&amp;"")</f>
        <v/>
      </c>
      <c r="N320">
        <f>IF($AH320="","",INDEX('Per Line'!$M$2:$M$1501,$AH320)&amp;"")</f>
        <v/>
      </c>
      <c r="O320">
        <f>IF($AH320="","",INDEX('Per Line'!$P$2:$P$1501,$AH320))</f>
        <v/>
      </c>
      <c r="P320" s="7">
        <f>IF($AH320="","",O320*AD320/100)</f>
        <v/>
      </c>
      <c r="Q320">
        <f>IF($AH320="","",INDEX('Per Line'!$R$2:$R$1501,$AH320)&amp;"")</f>
        <v/>
      </c>
      <c r="R320">
        <f>IF($AH320="","",INDEX('Per Line'!$AB$2:$AB$1501,$AH320)&amp;"")</f>
        <v/>
      </c>
      <c r="S320">
        <f>IF($AH320="","",Settings!$C$8)</f>
        <v/>
      </c>
      <c r="T320" s="7">
        <f>IF($AH320="","",SUMIFS('Per Line'!$Z$2:$Z$1501,'Per Line'!$E$2:$E$1501,$B320,'Per Line'!$AT$2:$AT$1501,1))</f>
        <v/>
      </c>
      <c r="U320" s="7">
        <f>IF($AH320="","",T320*S320)</f>
        <v/>
      </c>
      <c r="V320">
        <f>IF($AH320="","",Settings!$C$7)</f>
        <v/>
      </c>
      <c r="W320" s="7">
        <f>IF($AH320="","",SUMIFS('Per Line'!$Z$2:$Z$1501,'Per Line'!$E$2:$E$1501,$B320,'Per Line'!$AS$2:$AS$1501,0,'Per Line'!$AT$2:$AT$1501,0))</f>
        <v/>
      </c>
      <c r="X320" s="7">
        <f>IF($AH320="","",W320*V320)</f>
        <v/>
      </c>
      <c r="Y320">
        <f>IF($AH320="","",Settings!$C$6)</f>
        <v/>
      </c>
      <c r="Z320" s="7">
        <f>IF($AH320="","",SUMIFS('Per Line'!$Z$2:$Z$1501,'Per Line'!$E$2:$E$1501,$B320,'Per Line'!$AS$2:$AS$1501,1,'Per Line'!$AT$2:$AT$1501,0))</f>
        <v/>
      </c>
      <c r="AA320" s="7">
        <f>IF($AH320="","",Z320*Y320)</f>
        <v/>
      </c>
      <c r="AB320" s="7">
        <f>IF($AH320="","",AA320+X320+U320)</f>
        <v/>
      </c>
      <c r="AC320" s="7">
        <f>IF($AH320="","",AD320-AB320)</f>
        <v/>
      </c>
      <c r="AD320" s="7">
        <f>IF($AH320="","",W320+Z320+T320)</f>
        <v/>
      </c>
      <c r="AE320" s="7">
        <f>IF($AH320="","",AD320-AB320-P320)</f>
        <v/>
      </c>
      <c r="AF320" s="15" t="n"/>
      <c r="AG320" s="7">
        <f>IF($AH320="","",AE320-N(AF320))</f>
        <v/>
      </c>
      <c r="AH320" s="16">
        <f>IF(ROWS($AH$2:$AH320)&lt;=MAX('Per Line'!$AR$2:$AR$1501),MATCH(ROWS($AH$2:$AH320),'Per Line'!$AR$2:$AR$1501,0),"")</f>
        <v/>
      </c>
      <c r="AI320">
        <f>IF($AH320="","",C320&amp;"|"&amp;COUNTIF($C$2:$C320,C320))</f>
        <v/>
      </c>
    </row>
    <row r="321">
      <c r="A321" s="15" t="n"/>
      <c r="B321">
        <f>IF($AH321="","",INDEX('Per Line'!$E$2:$E$1501,$AH321)&amp;"")</f>
        <v/>
      </c>
      <c r="C321">
        <f>IF($AH321="","",IF(INDEX('Per Line'!$AP$2:$AP$1501,$AH321)="NOT MATCH","NOT MATCH","FULL MATCH"))</f>
        <v/>
      </c>
      <c r="D321">
        <f>IF($AH321="","",INDEX('Per Line'!$A$2:$A$1501,$AH321)&amp;"")</f>
        <v/>
      </c>
      <c r="E321">
        <f>IF($AH321="","",INDEX('Per Line'!$B$2:$B$1501,$AH321))</f>
        <v/>
      </c>
      <c r="F321">
        <f>IF($AH321="","",INDEX('Per Line'!$C$2:$C$1501,$AH321)&amp;"")</f>
        <v/>
      </c>
      <c r="G321">
        <f>IF($AH321="","",INDEX('Per Line'!$D$2:$D$1501,$AH321)&amp;"")</f>
        <v/>
      </c>
      <c r="H321">
        <f>IF($AH321="","",INDEX('Per Line'!$F$2:$F$1501,$AH321)&amp;"")</f>
        <v/>
      </c>
      <c r="I321" s="14">
        <f>IF($AH321="","",INDEX('Per Line'!$G$2:$G$1501,$AH321))</f>
        <v/>
      </c>
      <c r="J321">
        <f>IF($AH321="","",INDEX('Per Line'!$H$2:$H$1501,$AH321)&amp;"")</f>
        <v/>
      </c>
      <c r="K321">
        <f>IF($AH321="","",INDEX('Per Line'!$J$2:$J$1501,$AH321)&amp;"")</f>
        <v/>
      </c>
      <c r="L321">
        <f>IF($AH321="","",INDEX('Per Line'!$K$2:$K$1501,$AH321)&amp;"")</f>
        <v/>
      </c>
      <c r="M321">
        <f>IF($AH321="","",INDEX('Per Line'!$L$2:$L$1501,$AH321)&amp;"")</f>
        <v/>
      </c>
      <c r="N321">
        <f>IF($AH321="","",INDEX('Per Line'!$M$2:$M$1501,$AH321)&amp;"")</f>
        <v/>
      </c>
      <c r="O321">
        <f>IF($AH321="","",INDEX('Per Line'!$P$2:$P$1501,$AH321))</f>
        <v/>
      </c>
      <c r="P321" s="7">
        <f>IF($AH321="","",O321*AD321/100)</f>
        <v/>
      </c>
      <c r="Q321">
        <f>IF($AH321="","",INDEX('Per Line'!$R$2:$R$1501,$AH321)&amp;"")</f>
        <v/>
      </c>
      <c r="R321">
        <f>IF($AH321="","",INDEX('Per Line'!$AB$2:$AB$1501,$AH321)&amp;"")</f>
        <v/>
      </c>
      <c r="S321">
        <f>IF($AH321="","",Settings!$C$8)</f>
        <v/>
      </c>
      <c r="T321" s="7">
        <f>IF($AH321="","",SUMIFS('Per Line'!$Z$2:$Z$1501,'Per Line'!$E$2:$E$1501,$B321,'Per Line'!$AT$2:$AT$1501,1))</f>
        <v/>
      </c>
      <c r="U321" s="7">
        <f>IF($AH321="","",T321*S321)</f>
        <v/>
      </c>
      <c r="V321">
        <f>IF($AH321="","",Settings!$C$7)</f>
        <v/>
      </c>
      <c r="W321" s="7">
        <f>IF($AH321="","",SUMIFS('Per Line'!$Z$2:$Z$1501,'Per Line'!$E$2:$E$1501,$B321,'Per Line'!$AS$2:$AS$1501,0,'Per Line'!$AT$2:$AT$1501,0))</f>
        <v/>
      </c>
      <c r="X321" s="7">
        <f>IF($AH321="","",W321*V321)</f>
        <v/>
      </c>
      <c r="Y321">
        <f>IF($AH321="","",Settings!$C$6)</f>
        <v/>
      </c>
      <c r="Z321" s="7">
        <f>IF($AH321="","",SUMIFS('Per Line'!$Z$2:$Z$1501,'Per Line'!$E$2:$E$1501,$B321,'Per Line'!$AS$2:$AS$1501,1,'Per Line'!$AT$2:$AT$1501,0))</f>
        <v/>
      </c>
      <c r="AA321" s="7">
        <f>IF($AH321="","",Z321*Y321)</f>
        <v/>
      </c>
      <c r="AB321" s="7">
        <f>IF($AH321="","",AA321+X321+U321)</f>
        <v/>
      </c>
      <c r="AC321" s="7">
        <f>IF($AH321="","",AD321-AB321)</f>
        <v/>
      </c>
      <c r="AD321" s="7">
        <f>IF($AH321="","",W321+Z321+T321)</f>
        <v/>
      </c>
      <c r="AE321" s="7">
        <f>IF($AH321="","",AD321-AB321-P321)</f>
        <v/>
      </c>
      <c r="AF321" s="15" t="n"/>
      <c r="AG321" s="7">
        <f>IF($AH321="","",AE321-N(AF321))</f>
        <v/>
      </c>
      <c r="AH321" s="16">
        <f>IF(ROWS($AH$2:$AH321)&lt;=MAX('Per Line'!$AR$2:$AR$1501),MATCH(ROWS($AH$2:$AH321),'Per Line'!$AR$2:$AR$1501,0),"")</f>
        <v/>
      </c>
      <c r="AI321">
        <f>IF($AH321="","",C321&amp;"|"&amp;COUNTIF($C$2:$C321,C321))</f>
        <v/>
      </c>
    </row>
    <row r="322">
      <c r="A322" s="15" t="n"/>
      <c r="B322">
        <f>IF($AH322="","",INDEX('Per Line'!$E$2:$E$1501,$AH322)&amp;"")</f>
        <v/>
      </c>
      <c r="C322">
        <f>IF($AH322="","",IF(INDEX('Per Line'!$AP$2:$AP$1501,$AH322)="NOT MATCH","NOT MATCH","FULL MATCH"))</f>
        <v/>
      </c>
      <c r="D322">
        <f>IF($AH322="","",INDEX('Per Line'!$A$2:$A$1501,$AH322)&amp;"")</f>
        <v/>
      </c>
      <c r="E322">
        <f>IF($AH322="","",INDEX('Per Line'!$B$2:$B$1501,$AH322))</f>
        <v/>
      </c>
      <c r="F322">
        <f>IF($AH322="","",INDEX('Per Line'!$C$2:$C$1501,$AH322)&amp;"")</f>
        <v/>
      </c>
      <c r="G322">
        <f>IF($AH322="","",INDEX('Per Line'!$D$2:$D$1501,$AH322)&amp;"")</f>
        <v/>
      </c>
      <c r="H322">
        <f>IF($AH322="","",INDEX('Per Line'!$F$2:$F$1501,$AH322)&amp;"")</f>
        <v/>
      </c>
      <c r="I322" s="14">
        <f>IF($AH322="","",INDEX('Per Line'!$G$2:$G$1501,$AH322))</f>
        <v/>
      </c>
      <c r="J322">
        <f>IF($AH322="","",INDEX('Per Line'!$H$2:$H$1501,$AH322)&amp;"")</f>
        <v/>
      </c>
      <c r="K322">
        <f>IF($AH322="","",INDEX('Per Line'!$J$2:$J$1501,$AH322)&amp;"")</f>
        <v/>
      </c>
      <c r="L322">
        <f>IF($AH322="","",INDEX('Per Line'!$K$2:$K$1501,$AH322)&amp;"")</f>
        <v/>
      </c>
      <c r="M322">
        <f>IF($AH322="","",INDEX('Per Line'!$L$2:$L$1501,$AH322)&amp;"")</f>
        <v/>
      </c>
      <c r="N322">
        <f>IF($AH322="","",INDEX('Per Line'!$M$2:$M$1501,$AH322)&amp;"")</f>
        <v/>
      </c>
      <c r="O322">
        <f>IF($AH322="","",INDEX('Per Line'!$P$2:$P$1501,$AH322))</f>
        <v/>
      </c>
      <c r="P322" s="7">
        <f>IF($AH322="","",O322*AD322/100)</f>
        <v/>
      </c>
      <c r="Q322">
        <f>IF($AH322="","",INDEX('Per Line'!$R$2:$R$1501,$AH322)&amp;"")</f>
        <v/>
      </c>
      <c r="R322">
        <f>IF($AH322="","",INDEX('Per Line'!$AB$2:$AB$1501,$AH322)&amp;"")</f>
        <v/>
      </c>
      <c r="S322">
        <f>IF($AH322="","",Settings!$C$8)</f>
        <v/>
      </c>
      <c r="T322" s="7">
        <f>IF($AH322="","",SUMIFS('Per Line'!$Z$2:$Z$1501,'Per Line'!$E$2:$E$1501,$B322,'Per Line'!$AT$2:$AT$1501,1))</f>
        <v/>
      </c>
      <c r="U322" s="7">
        <f>IF($AH322="","",T322*S322)</f>
        <v/>
      </c>
      <c r="V322">
        <f>IF($AH322="","",Settings!$C$7)</f>
        <v/>
      </c>
      <c r="W322" s="7">
        <f>IF($AH322="","",SUMIFS('Per Line'!$Z$2:$Z$1501,'Per Line'!$E$2:$E$1501,$B322,'Per Line'!$AS$2:$AS$1501,0,'Per Line'!$AT$2:$AT$1501,0))</f>
        <v/>
      </c>
      <c r="X322" s="7">
        <f>IF($AH322="","",W322*V322)</f>
        <v/>
      </c>
      <c r="Y322">
        <f>IF($AH322="","",Settings!$C$6)</f>
        <v/>
      </c>
      <c r="Z322" s="7">
        <f>IF($AH322="","",SUMIFS('Per Line'!$Z$2:$Z$1501,'Per Line'!$E$2:$E$1501,$B322,'Per Line'!$AS$2:$AS$1501,1,'Per Line'!$AT$2:$AT$1501,0))</f>
        <v/>
      </c>
      <c r="AA322" s="7">
        <f>IF($AH322="","",Z322*Y322)</f>
        <v/>
      </c>
      <c r="AB322" s="7">
        <f>IF($AH322="","",AA322+X322+U322)</f>
        <v/>
      </c>
      <c r="AC322" s="7">
        <f>IF($AH322="","",AD322-AB322)</f>
        <v/>
      </c>
      <c r="AD322" s="7">
        <f>IF($AH322="","",W322+Z322+T322)</f>
        <v/>
      </c>
      <c r="AE322" s="7">
        <f>IF($AH322="","",AD322-AB322-P322)</f>
        <v/>
      </c>
      <c r="AF322" s="15" t="n"/>
      <c r="AG322" s="7">
        <f>IF($AH322="","",AE322-N(AF322))</f>
        <v/>
      </c>
      <c r="AH322" s="16">
        <f>IF(ROWS($AH$2:$AH322)&lt;=MAX('Per Line'!$AR$2:$AR$1501),MATCH(ROWS($AH$2:$AH322),'Per Line'!$AR$2:$AR$1501,0),"")</f>
        <v/>
      </c>
      <c r="AI322">
        <f>IF($AH322="","",C322&amp;"|"&amp;COUNTIF($C$2:$C322,C322))</f>
        <v/>
      </c>
    </row>
    <row r="323">
      <c r="A323" s="15" t="n"/>
      <c r="B323">
        <f>IF($AH323="","",INDEX('Per Line'!$E$2:$E$1501,$AH323)&amp;"")</f>
        <v/>
      </c>
      <c r="C323">
        <f>IF($AH323="","",IF(INDEX('Per Line'!$AP$2:$AP$1501,$AH323)="NOT MATCH","NOT MATCH","FULL MATCH"))</f>
        <v/>
      </c>
      <c r="D323">
        <f>IF($AH323="","",INDEX('Per Line'!$A$2:$A$1501,$AH323)&amp;"")</f>
        <v/>
      </c>
      <c r="E323">
        <f>IF($AH323="","",INDEX('Per Line'!$B$2:$B$1501,$AH323))</f>
        <v/>
      </c>
      <c r="F323">
        <f>IF($AH323="","",INDEX('Per Line'!$C$2:$C$1501,$AH323)&amp;"")</f>
        <v/>
      </c>
      <c r="G323">
        <f>IF($AH323="","",INDEX('Per Line'!$D$2:$D$1501,$AH323)&amp;"")</f>
        <v/>
      </c>
      <c r="H323">
        <f>IF($AH323="","",INDEX('Per Line'!$F$2:$F$1501,$AH323)&amp;"")</f>
        <v/>
      </c>
      <c r="I323" s="14">
        <f>IF($AH323="","",INDEX('Per Line'!$G$2:$G$1501,$AH323))</f>
        <v/>
      </c>
      <c r="J323">
        <f>IF($AH323="","",INDEX('Per Line'!$H$2:$H$1501,$AH323)&amp;"")</f>
        <v/>
      </c>
      <c r="K323">
        <f>IF($AH323="","",INDEX('Per Line'!$J$2:$J$1501,$AH323)&amp;"")</f>
        <v/>
      </c>
      <c r="L323">
        <f>IF($AH323="","",INDEX('Per Line'!$K$2:$K$1501,$AH323)&amp;"")</f>
        <v/>
      </c>
      <c r="M323">
        <f>IF($AH323="","",INDEX('Per Line'!$L$2:$L$1501,$AH323)&amp;"")</f>
        <v/>
      </c>
      <c r="N323">
        <f>IF($AH323="","",INDEX('Per Line'!$M$2:$M$1501,$AH323)&amp;"")</f>
        <v/>
      </c>
      <c r="O323">
        <f>IF($AH323="","",INDEX('Per Line'!$P$2:$P$1501,$AH323))</f>
        <v/>
      </c>
      <c r="P323" s="7">
        <f>IF($AH323="","",O323*AD323/100)</f>
        <v/>
      </c>
      <c r="Q323">
        <f>IF($AH323="","",INDEX('Per Line'!$R$2:$R$1501,$AH323)&amp;"")</f>
        <v/>
      </c>
      <c r="R323">
        <f>IF($AH323="","",INDEX('Per Line'!$AB$2:$AB$1501,$AH323)&amp;"")</f>
        <v/>
      </c>
      <c r="S323">
        <f>IF($AH323="","",Settings!$C$8)</f>
        <v/>
      </c>
      <c r="T323" s="7">
        <f>IF($AH323="","",SUMIFS('Per Line'!$Z$2:$Z$1501,'Per Line'!$E$2:$E$1501,$B323,'Per Line'!$AT$2:$AT$1501,1))</f>
        <v/>
      </c>
      <c r="U323" s="7">
        <f>IF($AH323="","",T323*S323)</f>
        <v/>
      </c>
      <c r="V323">
        <f>IF($AH323="","",Settings!$C$7)</f>
        <v/>
      </c>
      <c r="W323" s="7">
        <f>IF($AH323="","",SUMIFS('Per Line'!$Z$2:$Z$1501,'Per Line'!$E$2:$E$1501,$B323,'Per Line'!$AS$2:$AS$1501,0,'Per Line'!$AT$2:$AT$1501,0))</f>
        <v/>
      </c>
      <c r="X323" s="7">
        <f>IF($AH323="","",W323*V323)</f>
        <v/>
      </c>
      <c r="Y323">
        <f>IF($AH323="","",Settings!$C$6)</f>
        <v/>
      </c>
      <c r="Z323" s="7">
        <f>IF($AH323="","",SUMIFS('Per Line'!$Z$2:$Z$1501,'Per Line'!$E$2:$E$1501,$B323,'Per Line'!$AS$2:$AS$1501,1,'Per Line'!$AT$2:$AT$1501,0))</f>
        <v/>
      </c>
      <c r="AA323" s="7">
        <f>IF($AH323="","",Z323*Y323)</f>
        <v/>
      </c>
      <c r="AB323" s="7">
        <f>IF($AH323="","",AA323+X323+U323)</f>
        <v/>
      </c>
      <c r="AC323" s="7">
        <f>IF($AH323="","",AD323-AB323)</f>
        <v/>
      </c>
      <c r="AD323" s="7">
        <f>IF($AH323="","",W323+Z323+T323)</f>
        <v/>
      </c>
      <c r="AE323" s="7">
        <f>IF($AH323="","",AD323-AB323-P323)</f>
        <v/>
      </c>
      <c r="AF323" s="15" t="n"/>
      <c r="AG323" s="7">
        <f>IF($AH323="","",AE323-N(AF323))</f>
        <v/>
      </c>
      <c r="AH323" s="16">
        <f>IF(ROWS($AH$2:$AH323)&lt;=MAX('Per Line'!$AR$2:$AR$1501),MATCH(ROWS($AH$2:$AH323),'Per Line'!$AR$2:$AR$1501,0),"")</f>
        <v/>
      </c>
      <c r="AI323">
        <f>IF($AH323="","",C323&amp;"|"&amp;COUNTIF($C$2:$C323,C323))</f>
        <v/>
      </c>
    </row>
    <row r="324">
      <c r="A324" s="15" t="n"/>
      <c r="B324">
        <f>IF($AH324="","",INDEX('Per Line'!$E$2:$E$1501,$AH324)&amp;"")</f>
        <v/>
      </c>
      <c r="C324">
        <f>IF($AH324="","",IF(INDEX('Per Line'!$AP$2:$AP$1501,$AH324)="NOT MATCH","NOT MATCH","FULL MATCH"))</f>
        <v/>
      </c>
      <c r="D324">
        <f>IF($AH324="","",INDEX('Per Line'!$A$2:$A$1501,$AH324)&amp;"")</f>
        <v/>
      </c>
      <c r="E324">
        <f>IF($AH324="","",INDEX('Per Line'!$B$2:$B$1501,$AH324))</f>
        <v/>
      </c>
      <c r="F324">
        <f>IF($AH324="","",INDEX('Per Line'!$C$2:$C$1501,$AH324)&amp;"")</f>
        <v/>
      </c>
      <c r="G324">
        <f>IF($AH324="","",INDEX('Per Line'!$D$2:$D$1501,$AH324)&amp;"")</f>
        <v/>
      </c>
      <c r="H324">
        <f>IF($AH324="","",INDEX('Per Line'!$F$2:$F$1501,$AH324)&amp;"")</f>
        <v/>
      </c>
      <c r="I324" s="14">
        <f>IF($AH324="","",INDEX('Per Line'!$G$2:$G$1501,$AH324))</f>
        <v/>
      </c>
      <c r="J324">
        <f>IF($AH324="","",INDEX('Per Line'!$H$2:$H$1501,$AH324)&amp;"")</f>
        <v/>
      </c>
      <c r="K324">
        <f>IF($AH324="","",INDEX('Per Line'!$J$2:$J$1501,$AH324)&amp;"")</f>
        <v/>
      </c>
      <c r="L324">
        <f>IF($AH324="","",INDEX('Per Line'!$K$2:$K$1501,$AH324)&amp;"")</f>
        <v/>
      </c>
      <c r="M324">
        <f>IF($AH324="","",INDEX('Per Line'!$L$2:$L$1501,$AH324)&amp;"")</f>
        <v/>
      </c>
      <c r="N324">
        <f>IF($AH324="","",INDEX('Per Line'!$M$2:$M$1501,$AH324)&amp;"")</f>
        <v/>
      </c>
      <c r="O324">
        <f>IF($AH324="","",INDEX('Per Line'!$P$2:$P$1501,$AH324))</f>
        <v/>
      </c>
      <c r="P324" s="7">
        <f>IF($AH324="","",O324*AD324/100)</f>
        <v/>
      </c>
      <c r="Q324">
        <f>IF($AH324="","",INDEX('Per Line'!$R$2:$R$1501,$AH324)&amp;"")</f>
        <v/>
      </c>
      <c r="R324">
        <f>IF($AH324="","",INDEX('Per Line'!$AB$2:$AB$1501,$AH324)&amp;"")</f>
        <v/>
      </c>
      <c r="S324">
        <f>IF($AH324="","",Settings!$C$8)</f>
        <v/>
      </c>
      <c r="T324" s="7">
        <f>IF($AH324="","",SUMIFS('Per Line'!$Z$2:$Z$1501,'Per Line'!$E$2:$E$1501,$B324,'Per Line'!$AT$2:$AT$1501,1))</f>
        <v/>
      </c>
      <c r="U324" s="7">
        <f>IF($AH324="","",T324*S324)</f>
        <v/>
      </c>
      <c r="V324">
        <f>IF($AH324="","",Settings!$C$7)</f>
        <v/>
      </c>
      <c r="W324" s="7">
        <f>IF($AH324="","",SUMIFS('Per Line'!$Z$2:$Z$1501,'Per Line'!$E$2:$E$1501,$B324,'Per Line'!$AS$2:$AS$1501,0,'Per Line'!$AT$2:$AT$1501,0))</f>
        <v/>
      </c>
      <c r="X324" s="7">
        <f>IF($AH324="","",W324*V324)</f>
        <v/>
      </c>
      <c r="Y324">
        <f>IF($AH324="","",Settings!$C$6)</f>
        <v/>
      </c>
      <c r="Z324" s="7">
        <f>IF($AH324="","",SUMIFS('Per Line'!$Z$2:$Z$1501,'Per Line'!$E$2:$E$1501,$B324,'Per Line'!$AS$2:$AS$1501,1,'Per Line'!$AT$2:$AT$1501,0))</f>
        <v/>
      </c>
      <c r="AA324" s="7">
        <f>IF($AH324="","",Z324*Y324)</f>
        <v/>
      </c>
      <c r="AB324" s="7">
        <f>IF($AH324="","",AA324+X324+U324)</f>
        <v/>
      </c>
      <c r="AC324" s="7">
        <f>IF($AH324="","",AD324-AB324)</f>
        <v/>
      </c>
      <c r="AD324" s="7">
        <f>IF($AH324="","",W324+Z324+T324)</f>
        <v/>
      </c>
      <c r="AE324" s="7">
        <f>IF($AH324="","",AD324-AB324-P324)</f>
        <v/>
      </c>
      <c r="AF324" s="15" t="n"/>
      <c r="AG324" s="7">
        <f>IF($AH324="","",AE324-N(AF324))</f>
        <v/>
      </c>
      <c r="AH324" s="16">
        <f>IF(ROWS($AH$2:$AH324)&lt;=MAX('Per Line'!$AR$2:$AR$1501),MATCH(ROWS($AH$2:$AH324),'Per Line'!$AR$2:$AR$1501,0),"")</f>
        <v/>
      </c>
      <c r="AI324">
        <f>IF($AH324="","",C324&amp;"|"&amp;COUNTIF($C$2:$C324,C324))</f>
        <v/>
      </c>
    </row>
    <row r="325">
      <c r="A325" s="15" t="n"/>
      <c r="B325">
        <f>IF($AH325="","",INDEX('Per Line'!$E$2:$E$1501,$AH325)&amp;"")</f>
        <v/>
      </c>
      <c r="C325">
        <f>IF($AH325="","",IF(INDEX('Per Line'!$AP$2:$AP$1501,$AH325)="NOT MATCH","NOT MATCH","FULL MATCH"))</f>
        <v/>
      </c>
      <c r="D325">
        <f>IF($AH325="","",INDEX('Per Line'!$A$2:$A$1501,$AH325)&amp;"")</f>
        <v/>
      </c>
      <c r="E325">
        <f>IF($AH325="","",INDEX('Per Line'!$B$2:$B$1501,$AH325))</f>
        <v/>
      </c>
      <c r="F325">
        <f>IF($AH325="","",INDEX('Per Line'!$C$2:$C$1501,$AH325)&amp;"")</f>
        <v/>
      </c>
      <c r="G325">
        <f>IF($AH325="","",INDEX('Per Line'!$D$2:$D$1501,$AH325)&amp;"")</f>
        <v/>
      </c>
      <c r="H325">
        <f>IF($AH325="","",INDEX('Per Line'!$F$2:$F$1501,$AH325)&amp;"")</f>
        <v/>
      </c>
      <c r="I325" s="14">
        <f>IF($AH325="","",INDEX('Per Line'!$G$2:$G$1501,$AH325))</f>
        <v/>
      </c>
      <c r="J325">
        <f>IF($AH325="","",INDEX('Per Line'!$H$2:$H$1501,$AH325)&amp;"")</f>
        <v/>
      </c>
      <c r="K325">
        <f>IF($AH325="","",INDEX('Per Line'!$J$2:$J$1501,$AH325)&amp;"")</f>
        <v/>
      </c>
      <c r="L325">
        <f>IF($AH325="","",INDEX('Per Line'!$K$2:$K$1501,$AH325)&amp;"")</f>
        <v/>
      </c>
      <c r="M325">
        <f>IF($AH325="","",INDEX('Per Line'!$L$2:$L$1501,$AH325)&amp;"")</f>
        <v/>
      </c>
      <c r="N325">
        <f>IF($AH325="","",INDEX('Per Line'!$M$2:$M$1501,$AH325)&amp;"")</f>
        <v/>
      </c>
      <c r="O325">
        <f>IF($AH325="","",INDEX('Per Line'!$P$2:$P$1501,$AH325))</f>
        <v/>
      </c>
      <c r="P325" s="7">
        <f>IF($AH325="","",O325*AD325/100)</f>
        <v/>
      </c>
      <c r="Q325">
        <f>IF($AH325="","",INDEX('Per Line'!$R$2:$R$1501,$AH325)&amp;"")</f>
        <v/>
      </c>
      <c r="R325">
        <f>IF($AH325="","",INDEX('Per Line'!$AB$2:$AB$1501,$AH325)&amp;"")</f>
        <v/>
      </c>
      <c r="S325">
        <f>IF($AH325="","",Settings!$C$8)</f>
        <v/>
      </c>
      <c r="T325" s="7">
        <f>IF($AH325="","",SUMIFS('Per Line'!$Z$2:$Z$1501,'Per Line'!$E$2:$E$1501,$B325,'Per Line'!$AT$2:$AT$1501,1))</f>
        <v/>
      </c>
      <c r="U325" s="7">
        <f>IF($AH325="","",T325*S325)</f>
        <v/>
      </c>
      <c r="V325">
        <f>IF($AH325="","",Settings!$C$7)</f>
        <v/>
      </c>
      <c r="W325" s="7">
        <f>IF($AH325="","",SUMIFS('Per Line'!$Z$2:$Z$1501,'Per Line'!$E$2:$E$1501,$B325,'Per Line'!$AS$2:$AS$1501,0,'Per Line'!$AT$2:$AT$1501,0))</f>
        <v/>
      </c>
      <c r="X325" s="7">
        <f>IF($AH325="","",W325*V325)</f>
        <v/>
      </c>
      <c r="Y325">
        <f>IF($AH325="","",Settings!$C$6)</f>
        <v/>
      </c>
      <c r="Z325" s="7">
        <f>IF($AH325="","",SUMIFS('Per Line'!$Z$2:$Z$1501,'Per Line'!$E$2:$E$1501,$B325,'Per Line'!$AS$2:$AS$1501,1,'Per Line'!$AT$2:$AT$1501,0))</f>
        <v/>
      </c>
      <c r="AA325" s="7">
        <f>IF($AH325="","",Z325*Y325)</f>
        <v/>
      </c>
      <c r="AB325" s="7">
        <f>IF($AH325="","",AA325+X325+U325)</f>
        <v/>
      </c>
      <c r="AC325" s="7">
        <f>IF($AH325="","",AD325-AB325)</f>
        <v/>
      </c>
      <c r="AD325" s="7">
        <f>IF($AH325="","",W325+Z325+T325)</f>
        <v/>
      </c>
      <c r="AE325" s="7">
        <f>IF($AH325="","",AD325-AB325-P325)</f>
        <v/>
      </c>
      <c r="AF325" s="15" t="n"/>
      <c r="AG325" s="7">
        <f>IF($AH325="","",AE325-N(AF325))</f>
        <v/>
      </c>
      <c r="AH325" s="16">
        <f>IF(ROWS($AH$2:$AH325)&lt;=MAX('Per Line'!$AR$2:$AR$1501),MATCH(ROWS($AH$2:$AH325),'Per Line'!$AR$2:$AR$1501,0),"")</f>
        <v/>
      </c>
      <c r="AI325">
        <f>IF($AH325="","",C325&amp;"|"&amp;COUNTIF($C$2:$C325,C325))</f>
        <v/>
      </c>
    </row>
    <row r="326">
      <c r="A326" s="15" t="n"/>
      <c r="B326">
        <f>IF($AH326="","",INDEX('Per Line'!$E$2:$E$1501,$AH326)&amp;"")</f>
        <v/>
      </c>
      <c r="C326">
        <f>IF($AH326="","",IF(INDEX('Per Line'!$AP$2:$AP$1501,$AH326)="NOT MATCH","NOT MATCH","FULL MATCH"))</f>
        <v/>
      </c>
      <c r="D326">
        <f>IF($AH326="","",INDEX('Per Line'!$A$2:$A$1501,$AH326)&amp;"")</f>
        <v/>
      </c>
      <c r="E326">
        <f>IF($AH326="","",INDEX('Per Line'!$B$2:$B$1501,$AH326))</f>
        <v/>
      </c>
      <c r="F326">
        <f>IF($AH326="","",INDEX('Per Line'!$C$2:$C$1501,$AH326)&amp;"")</f>
        <v/>
      </c>
      <c r="G326">
        <f>IF($AH326="","",INDEX('Per Line'!$D$2:$D$1501,$AH326)&amp;"")</f>
        <v/>
      </c>
      <c r="H326">
        <f>IF($AH326="","",INDEX('Per Line'!$F$2:$F$1501,$AH326)&amp;"")</f>
        <v/>
      </c>
      <c r="I326" s="14">
        <f>IF($AH326="","",INDEX('Per Line'!$G$2:$G$1501,$AH326))</f>
        <v/>
      </c>
      <c r="J326">
        <f>IF($AH326="","",INDEX('Per Line'!$H$2:$H$1501,$AH326)&amp;"")</f>
        <v/>
      </c>
      <c r="K326">
        <f>IF($AH326="","",INDEX('Per Line'!$J$2:$J$1501,$AH326)&amp;"")</f>
        <v/>
      </c>
      <c r="L326">
        <f>IF($AH326="","",INDEX('Per Line'!$K$2:$K$1501,$AH326)&amp;"")</f>
        <v/>
      </c>
      <c r="M326">
        <f>IF($AH326="","",INDEX('Per Line'!$L$2:$L$1501,$AH326)&amp;"")</f>
        <v/>
      </c>
      <c r="N326">
        <f>IF($AH326="","",INDEX('Per Line'!$M$2:$M$1501,$AH326)&amp;"")</f>
        <v/>
      </c>
      <c r="O326">
        <f>IF($AH326="","",INDEX('Per Line'!$P$2:$P$1501,$AH326))</f>
        <v/>
      </c>
      <c r="P326" s="7">
        <f>IF($AH326="","",O326*AD326/100)</f>
        <v/>
      </c>
      <c r="Q326">
        <f>IF($AH326="","",INDEX('Per Line'!$R$2:$R$1501,$AH326)&amp;"")</f>
        <v/>
      </c>
      <c r="R326">
        <f>IF($AH326="","",INDEX('Per Line'!$AB$2:$AB$1501,$AH326)&amp;"")</f>
        <v/>
      </c>
      <c r="S326">
        <f>IF($AH326="","",Settings!$C$8)</f>
        <v/>
      </c>
      <c r="T326" s="7">
        <f>IF($AH326="","",SUMIFS('Per Line'!$Z$2:$Z$1501,'Per Line'!$E$2:$E$1501,$B326,'Per Line'!$AT$2:$AT$1501,1))</f>
        <v/>
      </c>
      <c r="U326" s="7">
        <f>IF($AH326="","",T326*S326)</f>
        <v/>
      </c>
      <c r="V326">
        <f>IF($AH326="","",Settings!$C$7)</f>
        <v/>
      </c>
      <c r="W326" s="7">
        <f>IF($AH326="","",SUMIFS('Per Line'!$Z$2:$Z$1501,'Per Line'!$E$2:$E$1501,$B326,'Per Line'!$AS$2:$AS$1501,0,'Per Line'!$AT$2:$AT$1501,0))</f>
        <v/>
      </c>
      <c r="X326" s="7">
        <f>IF($AH326="","",W326*V326)</f>
        <v/>
      </c>
      <c r="Y326">
        <f>IF($AH326="","",Settings!$C$6)</f>
        <v/>
      </c>
      <c r="Z326" s="7">
        <f>IF($AH326="","",SUMIFS('Per Line'!$Z$2:$Z$1501,'Per Line'!$E$2:$E$1501,$B326,'Per Line'!$AS$2:$AS$1501,1,'Per Line'!$AT$2:$AT$1501,0))</f>
        <v/>
      </c>
      <c r="AA326" s="7">
        <f>IF($AH326="","",Z326*Y326)</f>
        <v/>
      </c>
      <c r="AB326" s="7">
        <f>IF($AH326="","",AA326+X326+U326)</f>
        <v/>
      </c>
      <c r="AC326" s="7">
        <f>IF($AH326="","",AD326-AB326)</f>
        <v/>
      </c>
      <c r="AD326" s="7">
        <f>IF($AH326="","",W326+Z326+T326)</f>
        <v/>
      </c>
      <c r="AE326" s="7">
        <f>IF($AH326="","",AD326-AB326-P326)</f>
        <v/>
      </c>
      <c r="AF326" s="15" t="n"/>
      <c r="AG326" s="7">
        <f>IF($AH326="","",AE326-N(AF326))</f>
        <v/>
      </c>
      <c r="AH326" s="16">
        <f>IF(ROWS($AH$2:$AH326)&lt;=MAX('Per Line'!$AR$2:$AR$1501),MATCH(ROWS($AH$2:$AH326),'Per Line'!$AR$2:$AR$1501,0),"")</f>
        <v/>
      </c>
      <c r="AI326">
        <f>IF($AH326="","",C326&amp;"|"&amp;COUNTIF($C$2:$C326,C326))</f>
        <v/>
      </c>
    </row>
    <row r="327">
      <c r="A327" s="15" t="n"/>
      <c r="B327">
        <f>IF($AH327="","",INDEX('Per Line'!$E$2:$E$1501,$AH327)&amp;"")</f>
        <v/>
      </c>
      <c r="C327">
        <f>IF($AH327="","",IF(INDEX('Per Line'!$AP$2:$AP$1501,$AH327)="NOT MATCH","NOT MATCH","FULL MATCH"))</f>
        <v/>
      </c>
      <c r="D327">
        <f>IF($AH327="","",INDEX('Per Line'!$A$2:$A$1501,$AH327)&amp;"")</f>
        <v/>
      </c>
      <c r="E327">
        <f>IF($AH327="","",INDEX('Per Line'!$B$2:$B$1501,$AH327))</f>
        <v/>
      </c>
      <c r="F327">
        <f>IF($AH327="","",INDEX('Per Line'!$C$2:$C$1501,$AH327)&amp;"")</f>
        <v/>
      </c>
      <c r="G327">
        <f>IF($AH327="","",INDEX('Per Line'!$D$2:$D$1501,$AH327)&amp;"")</f>
        <v/>
      </c>
      <c r="H327">
        <f>IF($AH327="","",INDEX('Per Line'!$F$2:$F$1501,$AH327)&amp;"")</f>
        <v/>
      </c>
      <c r="I327" s="14">
        <f>IF($AH327="","",INDEX('Per Line'!$G$2:$G$1501,$AH327))</f>
        <v/>
      </c>
      <c r="J327">
        <f>IF($AH327="","",INDEX('Per Line'!$H$2:$H$1501,$AH327)&amp;"")</f>
        <v/>
      </c>
      <c r="K327">
        <f>IF($AH327="","",INDEX('Per Line'!$J$2:$J$1501,$AH327)&amp;"")</f>
        <v/>
      </c>
      <c r="L327">
        <f>IF($AH327="","",INDEX('Per Line'!$K$2:$K$1501,$AH327)&amp;"")</f>
        <v/>
      </c>
      <c r="M327">
        <f>IF($AH327="","",INDEX('Per Line'!$L$2:$L$1501,$AH327)&amp;"")</f>
        <v/>
      </c>
      <c r="N327">
        <f>IF($AH327="","",INDEX('Per Line'!$M$2:$M$1501,$AH327)&amp;"")</f>
        <v/>
      </c>
      <c r="O327">
        <f>IF($AH327="","",INDEX('Per Line'!$P$2:$P$1501,$AH327))</f>
        <v/>
      </c>
      <c r="P327" s="7">
        <f>IF($AH327="","",O327*AD327/100)</f>
        <v/>
      </c>
      <c r="Q327">
        <f>IF($AH327="","",INDEX('Per Line'!$R$2:$R$1501,$AH327)&amp;"")</f>
        <v/>
      </c>
      <c r="R327">
        <f>IF($AH327="","",INDEX('Per Line'!$AB$2:$AB$1501,$AH327)&amp;"")</f>
        <v/>
      </c>
      <c r="S327">
        <f>IF($AH327="","",Settings!$C$8)</f>
        <v/>
      </c>
      <c r="T327" s="7">
        <f>IF($AH327="","",SUMIFS('Per Line'!$Z$2:$Z$1501,'Per Line'!$E$2:$E$1501,$B327,'Per Line'!$AT$2:$AT$1501,1))</f>
        <v/>
      </c>
      <c r="U327" s="7">
        <f>IF($AH327="","",T327*S327)</f>
        <v/>
      </c>
      <c r="V327">
        <f>IF($AH327="","",Settings!$C$7)</f>
        <v/>
      </c>
      <c r="W327" s="7">
        <f>IF($AH327="","",SUMIFS('Per Line'!$Z$2:$Z$1501,'Per Line'!$E$2:$E$1501,$B327,'Per Line'!$AS$2:$AS$1501,0,'Per Line'!$AT$2:$AT$1501,0))</f>
        <v/>
      </c>
      <c r="X327" s="7">
        <f>IF($AH327="","",W327*V327)</f>
        <v/>
      </c>
      <c r="Y327">
        <f>IF($AH327="","",Settings!$C$6)</f>
        <v/>
      </c>
      <c r="Z327" s="7">
        <f>IF($AH327="","",SUMIFS('Per Line'!$Z$2:$Z$1501,'Per Line'!$E$2:$E$1501,$B327,'Per Line'!$AS$2:$AS$1501,1,'Per Line'!$AT$2:$AT$1501,0))</f>
        <v/>
      </c>
      <c r="AA327" s="7">
        <f>IF($AH327="","",Z327*Y327)</f>
        <v/>
      </c>
      <c r="AB327" s="7">
        <f>IF($AH327="","",AA327+X327+U327)</f>
        <v/>
      </c>
      <c r="AC327" s="7">
        <f>IF($AH327="","",AD327-AB327)</f>
        <v/>
      </c>
      <c r="AD327" s="7">
        <f>IF($AH327="","",W327+Z327+T327)</f>
        <v/>
      </c>
      <c r="AE327" s="7">
        <f>IF($AH327="","",AD327-AB327-P327)</f>
        <v/>
      </c>
      <c r="AF327" s="15" t="n"/>
      <c r="AG327" s="7">
        <f>IF($AH327="","",AE327-N(AF327))</f>
        <v/>
      </c>
      <c r="AH327" s="16">
        <f>IF(ROWS($AH$2:$AH327)&lt;=MAX('Per Line'!$AR$2:$AR$1501),MATCH(ROWS($AH$2:$AH327),'Per Line'!$AR$2:$AR$1501,0),"")</f>
        <v/>
      </c>
      <c r="AI327">
        <f>IF($AH327="","",C327&amp;"|"&amp;COUNTIF($C$2:$C327,C327))</f>
        <v/>
      </c>
    </row>
    <row r="328">
      <c r="A328" s="15" t="n"/>
      <c r="B328">
        <f>IF($AH328="","",INDEX('Per Line'!$E$2:$E$1501,$AH328)&amp;"")</f>
        <v/>
      </c>
      <c r="C328">
        <f>IF($AH328="","",IF(INDEX('Per Line'!$AP$2:$AP$1501,$AH328)="NOT MATCH","NOT MATCH","FULL MATCH"))</f>
        <v/>
      </c>
      <c r="D328">
        <f>IF($AH328="","",INDEX('Per Line'!$A$2:$A$1501,$AH328)&amp;"")</f>
        <v/>
      </c>
      <c r="E328">
        <f>IF($AH328="","",INDEX('Per Line'!$B$2:$B$1501,$AH328))</f>
        <v/>
      </c>
      <c r="F328">
        <f>IF($AH328="","",INDEX('Per Line'!$C$2:$C$1501,$AH328)&amp;"")</f>
        <v/>
      </c>
      <c r="G328">
        <f>IF($AH328="","",INDEX('Per Line'!$D$2:$D$1501,$AH328)&amp;"")</f>
        <v/>
      </c>
      <c r="H328">
        <f>IF($AH328="","",INDEX('Per Line'!$F$2:$F$1501,$AH328)&amp;"")</f>
        <v/>
      </c>
      <c r="I328" s="14">
        <f>IF($AH328="","",INDEX('Per Line'!$G$2:$G$1501,$AH328))</f>
        <v/>
      </c>
      <c r="J328">
        <f>IF($AH328="","",INDEX('Per Line'!$H$2:$H$1501,$AH328)&amp;"")</f>
        <v/>
      </c>
      <c r="K328">
        <f>IF($AH328="","",INDEX('Per Line'!$J$2:$J$1501,$AH328)&amp;"")</f>
        <v/>
      </c>
      <c r="L328">
        <f>IF($AH328="","",INDEX('Per Line'!$K$2:$K$1501,$AH328)&amp;"")</f>
        <v/>
      </c>
      <c r="M328">
        <f>IF($AH328="","",INDEX('Per Line'!$L$2:$L$1501,$AH328)&amp;"")</f>
        <v/>
      </c>
      <c r="N328">
        <f>IF($AH328="","",INDEX('Per Line'!$M$2:$M$1501,$AH328)&amp;"")</f>
        <v/>
      </c>
      <c r="O328">
        <f>IF($AH328="","",INDEX('Per Line'!$P$2:$P$1501,$AH328))</f>
        <v/>
      </c>
      <c r="P328" s="7">
        <f>IF($AH328="","",O328*AD328/100)</f>
        <v/>
      </c>
      <c r="Q328">
        <f>IF($AH328="","",INDEX('Per Line'!$R$2:$R$1501,$AH328)&amp;"")</f>
        <v/>
      </c>
      <c r="R328">
        <f>IF($AH328="","",INDEX('Per Line'!$AB$2:$AB$1501,$AH328)&amp;"")</f>
        <v/>
      </c>
      <c r="S328">
        <f>IF($AH328="","",Settings!$C$8)</f>
        <v/>
      </c>
      <c r="T328" s="7">
        <f>IF($AH328="","",SUMIFS('Per Line'!$Z$2:$Z$1501,'Per Line'!$E$2:$E$1501,$B328,'Per Line'!$AT$2:$AT$1501,1))</f>
        <v/>
      </c>
      <c r="U328" s="7">
        <f>IF($AH328="","",T328*S328)</f>
        <v/>
      </c>
      <c r="V328">
        <f>IF($AH328="","",Settings!$C$7)</f>
        <v/>
      </c>
      <c r="W328" s="7">
        <f>IF($AH328="","",SUMIFS('Per Line'!$Z$2:$Z$1501,'Per Line'!$E$2:$E$1501,$B328,'Per Line'!$AS$2:$AS$1501,0,'Per Line'!$AT$2:$AT$1501,0))</f>
        <v/>
      </c>
      <c r="X328" s="7">
        <f>IF($AH328="","",W328*V328)</f>
        <v/>
      </c>
      <c r="Y328">
        <f>IF($AH328="","",Settings!$C$6)</f>
        <v/>
      </c>
      <c r="Z328" s="7">
        <f>IF($AH328="","",SUMIFS('Per Line'!$Z$2:$Z$1501,'Per Line'!$E$2:$E$1501,$B328,'Per Line'!$AS$2:$AS$1501,1,'Per Line'!$AT$2:$AT$1501,0))</f>
        <v/>
      </c>
      <c r="AA328" s="7">
        <f>IF($AH328="","",Z328*Y328)</f>
        <v/>
      </c>
      <c r="AB328" s="7">
        <f>IF($AH328="","",AA328+X328+U328)</f>
        <v/>
      </c>
      <c r="AC328" s="7">
        <f>IF($AH328="","",AD328-AB328)</f>
        <v/>
      </c>
      <c r="AD328" s="7">
        <f>IF($AH328="","",W328+Z328+T328)</f>
        <v/>
      </c>
      <c r="AE328" s="7">
        <f>IF($AH328="","",AD328-AB328-P328)</f>
        <v/>
      </c>
      <c r="AF328" s="15" t="n"/>
      <c r="AG328" s="7">
        <f>IF($AH328="","",AE328-N(AF328))</f>
        <v/>
      </c>
      <c r="AH328" s="16">
        <f>IF(ROWS($AH$2:$AH328)&lt;=MAX('Per Line'!$AR$2:$AR$1501),MATCH(ROWS($AH$2:$AH328),'Per Line'!$AR$2:$AR$1501,0),"")</f>
        <v/>
      </c>
      <c r="AI328">
        <f>IF($AH328="","",C328&amp;"|"&amp;COUNTIF($C$2:$C328,C328))</f>
        <v/>
      </c>
    </row>
    <row r="329">
      <c r="A329" s="15" t="n"/>
      <c r="B329">
        <f>IF($AH329="","",INDEX('Per Line'!$E$2:$E$1501,$AH329)&amp;"")</f>
        <v/>
      </c>
      <c r="C329">
        <f>IF($AH329="","",IF(INDEX('Per Line'!$AP$2:$AP$1501,$AH329)="NOT MATCH","NOT MATCH","FULL MATCH"))</f>
        <v/>
      </c>
      <c r="D329">
        <f>IF($AH329="","",INDEX('Per Line'!$A$2:$A$1501,$AH329)&amp;"")</f>
        <v/>
      </c>
      <c r="E329">
        <f>IF($AH329="","",INDEX('Per Line'!$B$2:$B$1501,$AH329))</f>
        <v/>
      </c>
      <c r="F329">
        <f>IF($AH329="","",INDEX('Per Line'!$C$2:$C$1501,$AH329)&amp;"")</f>
        <v/>
      </c>
      <c r="G329">
        <f>IF($AH329="","",INDEX('Per Line'!$D$2:$D$1501,$AH329)&amp;"")</f>
        <v/>
      </c>
      <c r="H329">
        <f>IF($AH329="","",INDEX('Per Line'!$F$2:$F$1501,$AH329)&amp;"")</f>
        <v/>
      </c>
      <c r="I329" s="14">
        <f>IF($AH329="","",INDEX('Per Line'!$G$2:$G$1501,$AH329))</f>
        <v/>
      </c>
      <c r="J329">
        <f>IF($AH329="","",INDEX('Per Line'!$H$2:$H$1501,$AH329)&amp;"")</f>
        <v/>
      </c>
      <c r="K329">
        <f>IF($AH329="","",INDEX('Per Line'!$J$2:$J$1501,$AH329)&amp;"")</f>
        <v/>
      </c>
      <c r="L329">
        <f>IF($AH329="","",INDEX('Per Line'!$K$2:$K$1501,$AH329)&amp;"")</f>
        <v/>
      </c>
      <c r="M329">
        <f>IF($AH329="","",INDEX('Per Line'!$L$2:$L$1501,$AH329)&amp;"")</f>
        <v/>
      </c>
      <c r="N329">
        <f>IF($AH329="","",INDEX('Per Line'!$M$2:$M$1501,$AH329)&amp;"")</f>
        <v/>
      </c>
      <c r="O329">
        <f>IF($AH329="","",INDEX('Per Line'!$P$2:$P$1501,$AH329))</f>
        <v/>
      </c>
      <c r="P329" s="7">
        <f>IF($AH329="","",O329*AD329/100)</f>
        <v/>
      </c>
      <c r="Q329">
        <f>IF($AH329="","",INDEX('Per Line'!$R$2:$R$1501,$AH329)&amp;"")</f>
        <v/>
      </c>
      <c r="R329">
        <f>IF($AH329="","",INDEX('Per Line'!$AB$2:$AB$1501,$AH329)&amp;"")</f>
        <v/>
      </c>
      <c r="S329">
        <f>IF($AH329="","",Settings!$C$8)</f>
        <v/>
      </c>
      <c r="T329" s="7">
        <f>IF($AH329="","",SUMIFS('Per Line'!$Z$2:$Z$1501,'Per Line'!$E$2:$E$1501,$B329,'Per Line'!$AT$2:$AT$1501,1))</f>
        <v/>
      </c>
      <c r="U329" s="7">
        <f>IF($AH329="","",T329*S329)</f>
        <v/>
      </c>
      <c r="V329">
        <f>IF($AH329="","",Settings!$C$7)</f>
        <v/>
      </c>
      <c r="W329" s="7">
        <f>IF($AH329="","",SUMIFS('Per Line'!$Z$2:$Z$1501,'Per Line'!$E$2:$E$1501,$B329,'Per Line'!$AS$2:$AS$1501,0,'Per Line'!$AT$2:$AT$1501,0))</f>
        <v/>
      </c>
      <c r="X329" s="7">
        <f>IF($AH329="","",W329*V329)</f>
        <v/>
      </c>
      <c r="Y329">
        <f>IF($AH329="","",Settings!$C$6)</f>
        <v/>
      </c>
      <c r="Z329" s="7">
        <f>IF($AH329="","",SUMIFS('Per Line'!$Z$2:$Z$1501,'Per Line'!$E$2:$E$1501,$B329,'Per Line'!$AS$2:$AS$1501,1,'Per Line'!$AT$2:$AT$1501,0))</f>
        <v/>
      </c>
      <c r="AA329" s="7">
        <f>IF($AH329="","",Z329*Y329)</f>
        <v/>
      </c>
      <c r="AB329" s="7">
        <f>IF($AH329="","",AA329+X329+U329)</f>
        <v/>
      </c>
      <c r="AC329" s="7">
        <f>IF($AH329="","",AD329-AB329)</f>
        <v/>
      </c>
      <c r="AD329" s="7">
        <f>IF($AH329="","",W329+Z329+T329)</f>
        <v/>
      </c>
      <c r="AE329" s="7">
        <f>IF($AH329="","",AD329-AB329-P329)</f>
        <v/>
      </c>
      <c r="AF329" s="15" t="n"/>
      <c r="AG329" s="7">
        <f>IF($AH329="","",AE329-N(AF329))</f>
        <v/>
      </c>
      <c r="AH329" s="16">
        <f>IF(ROWS($AH$2:$AH329)&lt;=MAX('Per Line'!$AR$2:$AR$1501),MATCH(ROWS($AH$2:$AH329),'Per Line'!$AR$2:$AR$1501,0),"")</f>
        <v/>
      </c>
      <c r="AI329">
        <f>IF($AH329="","",C329&amp;"|"&amp;COUNTIF($C$2:$C329,C329))</f>
        <v/>
      </c>
    </row>
    <row r="330">
      <c r="A330" s="15" t="n"/>
      <c r="B330">
        <f>IF($AH330="","",INDEX('Per Line'!$E$2:$E$1501,$AH330)&amp;"")</f>
        <v/>
      </c>
      <c r="C330">
        <f>IF($AH330="","",IF(INDEX('Per Line'!$AP$2:$AP$1501,$AH330)="NOT MATCH","NOT MATCH","FULL MATCH"))</f>
        <v/>
      </c>
      <c r="D330">
        <f>IF($AH330="","",INDEX('Per Line'!$A$2:$A$1501,$AH330)&amp;"")</f>
        <v/>
      </c>
      <c r="E330">
        <f>IF($AH330="","",INDEX('Per Line'!$B$2:$B$1501,$AH330))</f>
        <v/>
      </c>
      <c r="F330">
        <f>IF($AH330="","",INDEX('Per Line'!$C$2:$C$1501,$AH330)&amp;"")</f>
        <v/>
      </c>
      <c r="G330">
        <f>IF($AH330="","",INDEX('Per Line'!$D$2:$D$1501,$AH330)&amp;"")</f>
        <v/>
      </c>
      <c r="H330">
        <f>IF($AH330="","",INDEX('Per Line'!$F$2:$F$1501,$AH330)&amp;"")</f>
        <v/>
      </c>
      <c r="I330" s="14">
        <f>IF($AH330="","",INDEX('Per Line'!$G$2:$G$1501,$AH330))</f>
        <v/>
      </c>
      <c r="J330">
        <f>IF($AH330="","",INDEX('Per Line'!$H$2:$H$1501,$AH330)&amp;"")</f>
        <v/>
      </c>
      <c r="K330">
        <f>IF($AH330="","",INDEX('Per Line'!$J$2:$J$1501,$AH330)&amp;"")</f>
        <v/>
      </c>
      <c r="L330">
        <f>IF($AH330="","",INDEX('Per Line'!$K$2:$K$1501,$AH330)&amp;"")</f>
        <v/>
      </c>
      <c r="M330">
        <f>IF($AH330="","",INDEX('Per Line'!$L$2:$L$1501,$AH330)&amp;"")</f>
        <v/>
      </c>
      <c r="N330">
        <f>IF($AH330="","",INDEX('Per Line'!$M$2:$M$1501,$AH330)&amp;"")</f>
        <v/>
      </c>
      <c r="O330">
        <f>IF($AH330="","",INDEX('Per Line'!$P$2:$P$1501,$AH330))</f>
        <v/>
      </c>
      <c r="P330" s="7">
        <f>IF($AH330="","",O330*AD330/100)</f>
        <v/>
      </c>
      <c r="Q330">
        <f>IF($AH330="","",INDEX('Per Line'!$R$2:$R$1501,$AH330)&amp;"")</f>
        <v/>
      </c>
      <c r="R330">
        <f>IF($AH330="","",INDEX('Per Line'!$AB$2:$AB$1501,$AH330)&amp;"")</f>
        <v/>
      </c>
      <c r="S330">
        <f>IF($AH330="","",Settings!$C$8)</f>
        <v/>
      </c>
      <c r="T330" s="7">
        <f>IF($AH330="","",SUMIFS('Per Line'!$Z$2:$Z$1501,'Per Line'!$E$2:$E$1501,$B330,'Per Line'!$AT$2:$AT$1501,1))</f>
        <v/>
      </c>
      <c r="U330" s="7">
        <f>IF($AH330="","",T330*S330)</f>
        <v/>
      </c>
      <c r="V330">
        <f>IF($AH330="","",Settings!$C$7)</f>
        <v/>
      </c>
      <c r="W330" s="7">
        <f>IF($AH330="","",SUMIFS('Per Line'!$Z$2:$Z$1501,'Per Line'!$E$2:$E$1501,$B330,'Per Line'!$AS$2:$AS$1501,0,'Per Line'!$AT$2:$AT$1501,0))</f>
        <v/>
      </c>
      <c r="X330" s="7">
        <f>IF($AH330="","",W330*V330)</f>
        <v/>
      </c>
      <c r="Y330">
        <f>IF($AH330="","",Settings!$C$6)</f>
        <v/>
      </c>
      <c r="Z330" s="7">
        <f>IF($AH330="","",SUMIFS('Per Line'!$Z$2:$Z$1501,'Per Line'!$E$2:$E$1501,$B330,'Per Line'!$AS$2:$AS$1501,1,'Per Line'!$AT$2:$AT$1501,0))</f>
        <v/>
      </c>
      <c r="AA330" s="7">
        <f>IF($AH330="","",Z330*Y330)</f>
        <v/>
      </c>
      <c r="AB330" s="7">
        <f>IF($AH330="","",AA330+X330+U330)</f>
        <v/>
      </c>
      <c r="AC330" s="7">
        <f>IF($AH330="","",AD330-AB330)</f>
        <v/>
      </c>
      <c r="AD330" s="7">
        <f>IF($AH330="","",W330+Z330+T330)</f>
        <v/>
      </c>
      <c r="AE330" s="7">
        <f>IF($AH330="","",AD330-AB330-P330)</f>
        <v/>
      </c>
      <c r="AF330" s="15" t="n"/>
      <c r="AG330" s="7">
        <f>IF($AH330="","",AE330-N(AF330))</f>
        <v/>
      </c>
      <c r="AH330" s="16">
        <f>IF(ROWS($AH$2:$AH330)&lt;=MAX('Per Line'!$AR$2:$AR$1501),MATCH(ROWS($AH$2:$AH330),'Per Line'!$AR$2:$AR$1501,0),"")</f>
        <v/>
      </c>
      <c r="AI330">
        <f>IF($AH330="","",C330&amp;"|"&amp;COUNTIF($C$2:$C330,C330))</f>
        <v/>
      </c>
    </row>
    <row r="331">
      <c r="A331" s="15" t="n"/>
      <c r="B331">
        <f>IF($AH331="","",INDEX('Per Line'!$E$2:$E$1501,$AH331)&amp;"")</f>
        <v/>
      </c>
      <c r="C331">
        <f>IF($AH331="","",IF(INDEX('Per Line'!$AP$2:$AP$1501,$AH331)="NOT MATCH","NOT MATCH","FULL MATCH"))</f>
        <v/>
      </c>
      <c r="D331">
        <f>IF($AH331="","",INDEX('Per Line'!$A$2:$A$1501,$AH331)&amp;"")</f>
        <v/>
      </c>
      <c r="E331">
        <f>IF($AH331="","",INDEX('Per Line'!$B$2:$B$1501,$AH331))</f>
        <v/>
      </c>
      <c r="F331">
        <f>IF($AH331="","",INDEX('Per Line'!$C$2:$C$1501,$AH331)&amp;"")</f>
        <v/>
      </c>
      <c r="G331">
        <f>IF($AH331="","",INDEX('Per Line'!$D$2:$D$1501,$AH331)&amp;"")</f>
        <v/>
      </c>
      <c r="H331">
        <f>IF($AH331="","",INDEX('Per Line'!$F$2:$F$1501,$AH331)&amp;"")</f>
        <v/>
      </c>
      <c r="I331" s="14">
        <f>IF($AH331="","",INDEX('Per Line'!$G$2:$G$1501,$AH331))</f>
        <v/>
      </c>
      <c r="J331">
        <f>IF($AH331="","",INDEX('Per Line'!$H$2:$H$1501,$AH331)&amp;"")</f>
        <v/>
      </c>
      <c r="K331">
        <f>IF($AH331="","",INDEX('Per Line'!$J$2:$J$1501,$AH331)&amp;"")</f>
        <v/>
      </c>
      <c r="L331">
        <f>IF($AH331="","",INDEX('Per Line'!$K$2:$K$1501,$AH331)&amp;"")</f>
        <v/>
      </c>
      <c r="M331">
        <f>IF($AH331="","",INDEX('Per Line'!$L$2:$L$1501,$AH331)&amp;"")</f>
        <v/>
      </c>
      <c r="N331">
        <f>IF($AH331="","",INDEX('Per Line'!$M$2:$M$1501,$AH331)&amp;"")</f>
        <v/>
      </c>
      <c r="O331">
        <f>IF($AH331="","",INDEX('Per Line'!$P$2:$P$1501,$AH331))</f>
        <v/>
      </c>
      <c r="P331" s="7">
        <f>IF($AH331="","",O331*AD331/100)</f>
        <v/>
      </c>
      <c r="Q331">
        <f>IF($AH331="","",INDEX('Per Line'!$R$2:$R$1501,$AH331)&amp;"")</f>
        <v/>
      </c>
      <c r="R331">
        <f>IF($AH331="","",INDEX('Per Line'!$AB$2:$AB$1501,$AH331)&amp;"")</f>
        <v/>
      </c>
      <c r="S331">
        <f>IF($AH331="","",Settings!$C$8)</f>
        <v/>
      </c>
      <c r="T331" s="7">
        <f>IF($AH331="","",SUMIFS('Per Line'!$Z$2:$Z$1501,'Per Line'!$E$2:$E$1501,$B331,'Per Line'!$AT$2:$AT$1501,1))</f>
        <v/>
      </c>
      <c r="U331" s="7">
        <f>IF($AH331="","",T331*S331)</f>
        <v/>
      </c>
      <c r="V331">
        <f>IF($AH331="","",Settings!$C$7)</f>
        <v/>
      </c>
      <c r="W331" s="7">
        <f>IF($AH331="","",SUMIFS('Per Line'!$Z$2:$Z$1501,'Per Line'!$E$2:$E$1501,$B331,'Per Line'!$AS$2:$AS$1501,0,'Per Line'!$AT$2:$AT$1501,0))</f>
        <v/>
      </c>
      <c r="X331" s="7">
        <f>IF($AH331="","",W331*V331)</f>
        <v/>
      </c>
      <c r="Y331">
        <f>IF($AH331="","",Settings!$C$6)</f>
        <v/>
      </c>
      <c r="Z331" s="7">
        <f>IF($AH331="","",SUMIFS('Per Line'!$Z$2:$Z$1501,'Per Line'!$E$2:$E$1501,$B331,'Per Line'!$AS$2:$AS$1501,1,'Per Line'!$AT$2:$AT$1501,0))</f>
        <v/>
      </c>
      <c r="AA331" s="7">
        <f>IF($AH331="","",Z331*Y331)</f>
        <v/>
      </c>
      <c r="AB331" s="7">
        <f>IF($AH331="","",AA331+X331+U331)</f>
        <v/>
      </c>
      <c r="AC331" s="7">
        <f>IF($AH331="","",AD331-AB331)</f>
        <v/>
      </c>
      <c r="AD331" s="7">
        <f>IF($AH331="","",W331+Z331+T331)</f>
        <v/>
      </c>
      <c r="AE331" s="7">
        <f>IF($AH331="","",AD331-AB331-P331)</f>
        <v/>
      </c>
      <c r="AF331" s="15" t="n"/>
      <c r="AG331" s="7">
        <f>IF($AH331="","",AE331-N(AF331))</f>
        <v/>
      </c>
      <c r="AH331" s="16">
        <f>IF(ROWS($AH$2:$AH331)&lt;=MAX('Per Line'!$AR$2:$AR$1501),MATCH(ROWS($AH$2:$AH331),'Per Line'!$AR$2:$AR$1501,0),"")</f>
        <v/>
      </c>
      <c r="AI331">
        <f>IF($AH331="","",C331&amp;"|"&amp;COUNTIF($C$2:$C331,C331))</f>
        <v/>
      </c>
    </row>
    <row r="332">
      <c r="A332" s="15" t="n"/>
      <c r="B332">
        <f>IF($AH332="","",INDEX('Per Line'!$E$2:$E$1501,$AH332)&amp;"")</f>
        <v/>
      </c>
      <c r="C332">
        <f>IF($AH332="","",IF(INDEX('Per Line'!$AP$2:$AP$1501,$AH332)="NOT MATCH","NOT MATCH","FULL MATCH"))</f>
        <v/>
      </c>
      <c r="D332">
        <f>IF($AH332="","",INDEX('Per Line'!$A$2:$A$1501,$AH332)&amp;"")</f>
        <v/>
      </c>
      <c r="E332">
        <f>IF($AH332="","",INDEX('Per Line'!$B$2:$B$1501,$AH332))</f>
        <v/>
      </c>
      <c r="F332">
        <f>IF($AH332="","",INDEX('Per Line'!$C$2:$C$1501,$AH332)&amp;"")</f>
        <v/>
      </c>
      <c r="G332">
        <f>IF($AH332="","",INDEX('Per Line'!$D$2:$D$1501,$AH332)&amp;"")</f>
        <v/>
      </c>
      <c r="H332">
        <f>IF($AH332="","",INDEX('Per Line'!$F$2:$F$1501,$AH332)&amp;"")</f>
        <v/>
      </c>
      <c r="I332" s="14">
        <f>IF($AH332="","",INDEX('Per Line'!$G$2:$G$1501,$AH332))</f>
        <v/>
      </c>
      <c r="J332">
        <f>IF($AH332="","",INDEX('Per Line'!$H$2:$H$1501,$AH332)&amp;"")</f>
        <v/>
      </c>
      <c r="K332">
        <f>IF($AH332="","",INDEX('Per Line'!$J$2:$J$1501,$AH332)&amp;"")</f>
        <v/>
      </c>
      <c r="L332">
        <f>IF($AH332="","",INDEX('Per Line'!$K$2:$K$1501,$AH332)&amp;"")</f>
        <v/>
      </c>
      <c r="M332">
        <f>IF($AH332="","",INDEX('Per Line'!$L$2:$L$1501,$AH332)&amp;"")</f>
        <v/>
      </c>
      <c r="N332">
        <f>IF($AH332="","",INDEX('Per Line'!$M$2:$M$1501,$AH332)&amp;"")</f>
        <v/>
      </c>
      <c r="O332">
        <f>IF($AH332="","",INDEX('Per Line'!$P$2:$P$1501,$AH332))</f>
        <v/>
      </c>
      <c r="P332" s="7">
        <f>IF($AH332="","",O332*AD332/100)</f>
        <v/>
      </c>
      <c r="Q332">
        <f>IF($AH332="","",INDEX('Per Line'!$R$2:$R$1501,$AH332)&amp;"")</f>
        <v/>
      </c>
      <c r="R332">
        <f>IF($AH332="","",INDEX('Per Line'!$AB$2:$AB$1501,$AH332)&amp;"")</f>
        <v/>
      </c>
      <c r="S332">
        <f>IF($AH332="","",Settings!$C$8)</f>
        <v/>
      </c>
      <c r="T332" s="7">
        <f>IF($AH332="","",SUMIFS('Per Line'!$Z$2:$Z$1501,'Per Line'!$E$2:$E$1501,$B332,'Per Line'!$AT$2:$AT$1501,1))</f>
        <v/>
      </c>
      <c r="U332" s="7">
        <f>IF($AH332="","",T332*S332)</f>
        <v/>
      </c>
      <c r="V332">
        <f>IF($AH332="","",Settings!$C$7)</f>
        <v/>
      </c>
      <c r="W332" s="7">
        <f>IF($AH332="","",SUMIFS('Per Line'!$Z$2:$Z$1501,'Per Line'!$E$2:$E$1501,$B332,'Per Line'!$AS$2:$AS$1501,0,'Per Line'!$AT$2:$AT$1501,0))</f>
        <v/>
      </c>
      <c r="X332" s="7">
        <f>IF($AH332="","",W332*V332)</f>
        <v/>
      </c>
      <c r="Y332">
        <f>IF($AH332="","",Settings!$C$6)</f>
        <v/>
      </c>
      <c r="Z332" s="7">
        <f>IF($AH332="","",SUMIFS('Per Line'!$Z$2:$Z$1501,'Per Line'!$E$2:$E$1501,$B332,'Per Line'!$AS$2:$AS$1501,1,'Per Line'!$AT$2:$AT$1501,0))</f>
        <v/>
      </c>
      <c r="AA332" s="7">
        <f>IF($AH332="","",Z332*Y332)</f>
        <v/>
      </c>
      <c r="AB332" s="7">
        <f>IF($AH332="","",AA332+X332+U332)</f>
        <v/>
      </c>
      <c r="AC332" s="7">
        <f>IF($AH332="","",AD332-AB332)</f>
        <v/>
      </c>
      <c r="AD332" s="7">
        <f>IF($AH332="","",W332+Z332+T332)</f>
        <v/>
      </c>
      <c r="AE332" s="7">
        <f>IF($AH332="","",AD332-AB332-P332)</f>
        <v/>
      </c>
      <c r="AF332" s="15" t="n"/>
      <c r="AG332" s="7">
        <f>IF($AH332="","",AE332-N(AF332))</f>
        <v/>
      </c>
      <c r="AH332" s="16">
        <f>IF(ROWS($AH$2:$AH332)&lt;=MAX('Per Line'!$AR$2:$AR$1501),MATCH(ROWS($AH$2:$AH332),'Per Line'!$AR$2:$AR$1501,0),"")</f>
        <v/>
      </c>
      <c r="AI332">
        <f>IF($AH332="","",C332&amp;"|"&amp;COUNTIF($C$2:$C332,C332))</f>
        <v/>
      </c>
    </row>
    <row r="333">
      <c r="A333" s="15" t="n"/>
      <c r="B333">
        <f>IF($AH333="","",INDEX('Per Line'!$E$2:$E$1501,$AH333)&amp;"")</f>
        <v/>
      </c>
      <c r="C333">
        <f>IF($AH333="","",IF(INDEX('Per Line'!$AP$2:$AP$1501,$AH333)="NOT MATCH","NOT MATCH","FULL MATCH"))</f>
        <v/>
      </c>
      <c r="D333">
        <f>IF($AH333="","",INDEX('Per Line'!$A$2:$A$1501,$AH333)&amp;"")</f>
        <v/>
      </c>
      <c r="E333">
        <f>IF($AH333="","",INDEX('Per Line'!$B$2:$B$1501,$AH333))</f>
        <v/>
      </c>
      <c r="F333">
        <f>IF($AH333="","",INDEX('Per Line'!$C$2:$C$1501,$AH333)&amp;"")</f>
        <v/>
      </c>
      <c r="G333">
        <f>IF($AH333="","",INDEX('Per Line'!$D$2:$D$1501,$AH333)&amp;"")</f>
        <v/>
      </c>
      <c r="H333">
        <f>IF($AH333="","",INDEX('Per Line'!$F$2:$F$1501,$AH333)&amp;"")</f>
        <v/>
      </c>
      <c r="I333" s="14">
        <f>IF($AH333="","",INDEX('Per Line'!$G$2:$G$1501,$AH333))</f>
        <v/>
      </c>
      <c r="J333">
        <f>IF($AH333="","",INDEX('Per Line'!$H$2:$H$1501,$AH333)&amp;"")</f>
        <v/>
      </c>
      <c r="K333">
        <f>IF($AH333="","",INDEX('Per Line'!$J$2:$J$1501,$AH333)&amp;"")</f>
        <v/>
      </c>
      <c r="L333">
        <f>IF($AH333="","",INDEX('Per Line'!$K$2:$K$1501,$AH333)&amp;"")</f>
        <v/>
      </c>
      <c r="M333">
        <f>IF($AH333="","",INDEX('Per Line'!$L$2:$L$1501,$AH333)&amp;"")</f>
        <v/>
      </c>
      <c r="N333">
        <f>IF($AH333="","",INDEX('Per Line'!$M$2:$M$1501,$AH333)&amp;"")</f>
        <v/>
      </c>
      <c r="O333">
        <f>IF($AH333="","",INDEX('Per Line'!$P$2:$P$1501,$AH333))</f>
        <v/>
      </c>
      <c r="P333" s="7">
        <f>IF($AH333="","",O333*AD333/100)</f>
        <v/>
      </c>
      <c r="Q333">
        <f>IF($AH333="","",INDEX('Per Line'!$R$2:$R$1501,$AH333)&amp;"")</f>
        <v/>
      </c>
      <c r="R333">
        <f>IF($AH333="","",INDEX('Per Line'!$AB$2:$AB$1501,$AH333)&amp;"")</f>
        <v/>
      </c>
      <c r="S333">
        <f>IF($AH333="","",Settings!$C$8)</f>
        <v/>
      </c>
      <c r="T333" s="7">
        <f>IF($AH333="","",SUMIFS('Per Line'!$Z$2:$Z$1501,'Per Line'!$E$2:$E$1501,$B333,'Per Line'!$AT$2:$AT$1501,1))</f>
        <v/>
      </c>
      <c r="U333" s="7">
        <f>IF($AH333="","",T333*S333)</f>
        <v/>
      </c>
      <c r="V333">
        <f>IF($AH333="","",Settings!$C$7)</f>
        <v/>
      </c>
      <c r="W333" s="7">
        <f>IF($AH333="","",SUMIFS('Per Line'!$Z$2:$Z$1501,'Per Line'!$E$2:$E$1501,$B333,'Per Line'!$AS$2:$AS$1501,0,'Per Line'!$AT$2:$AT$1501,0))</f>
        <v/>
      </c>
      <c r="X333" s="7">
        <f>IF($AH333="","",W333*V333)</f>
        <v/>
      </c>
      <c r="Y333">
        <f>IF($AH333="","",Settings!$C$6)</f>
        <v/>
      </c>
      <c r="Z333" s="7">
        <f>IF($AH333="","",SUMIFS('Per Line'!$Z$2:$Z$1501,'Per Line'!$E$2:$E$1501,$B333,'Per Line'!$AS$2:$AS$1501,1,'Per Line'!$AT$2:$AT$1501,0))</f>
        <v/>
      </c>
      <c r="AA333" s="7">
        <f>IF($AH333="","",Z333*Y333)</f>
        <v/>
      </c>
      <c r="AB333" s="7">
        <f>IF($AH333="","",AA333+X333+U333)</f>
        <v/>
      </c>
      <c r="AC333" s="7">
        <f>IF($AH333="","",AD333-AB333)</f>
        <v/>
      </c>
      <c r="AD333" s="7">
        <f>IF($AH333="","",W333+Z333+T333)</f>
        <v/>
      </c>
      <c r="AE333" s="7">
        <f>IF($AH333="","",AD333-AB333-P333)</f>
        <v/>
      </c>
      <c r="AF333" s="15" t="n"/>
      <c r="AG333" s="7">
        <f>IF($AH333="","",AE333-N(AF333))</f>
        <v/>
      </c>
      <c r="AH333" s="16">
        <f>IF(ROWS($AH$2:$AH333)&lt;=MAX('Per Line'!$AR$2:$AR$1501),MATCH(ROWS($AH$2:$AH333),'Per Line'!$AR$2:$AR$1501,0),"")</f>
        <v/>
      </c>
      <c r="AI333">
        <f>IF($AH333="","",C333&amp;"|"&amp;COUNTIF($C$2:$C333,C333))</f>
        <v/>
      </c>
    </row>
    <row r="334">
      <c r="A334" s="15" t="n"/>
      <c r="B334">
        <f>IF($AH334="","",INDEX('Per Line'!$E$2:$E$1501,$AH334)&amp;"")</f>
        <v/>
      </c>
      <c r="C334">
        <f>IF($AH334="","",IF(INDEX('Per Line'!$AP$2:$AP$1501,$AH334)="NOT MATCH","NOT MATCH","FULL MATCH"))</f>
        <v/>
      </c>
      <c r="D334">
        <f>IF($AH334="","",INDEX('Per Line'!$A$2:$A$1501,$AH334)&amp;"")</f>
        <v/>
      </c>
      <c r="E334">
        <f>IF($AH334="","",INDEX('Per Line'!$B$2:$B$1501,$AH334))</f>
        <v/>
      </c>
      <c r="F334">
        <f>IF($AH334="","",INDEX('Per Line'!$C$2:$C$1501,$AH334)&amp;"")</f>
        <v/>
      </c>
      <c r="G334">
        <f>IF($AH334="","",INDEX('Per Line'!$D$2:$D$1501,$AH334)&amp;"")</f>
        <v/>
      </c>
      <c r="H334">
        <f>IF($AH334="","",INDEX('Per Line'!$F$2:$F$1501,$AH334)&amp;"")</f>
        <v/>
      </c>
      <c r="I334" s="14">
        <f>IF($AH334="","",INDEX('Per Line'!$G$2:$G$1501,$AH334))</f>
        <v/>
      </c>
      <c r="J334">
        <f>IF($AH334="","",INDEX('Per Line'!$H$2:$H$1501,$AH334)&amp;"")</f>
        <v/>
      </c>
      <c r="K334">
        <f>IF($AH334="","",INDEX('Per Line'!$J$2:$J$1501,$AH334)&amp;"")</f>
        <v/>
      </c>
      <c r="L334">
        <f>IF($AH334="","",INDEX('Per Line'!$K$2:$K$1501,$AH334)&amp;"")</f>
        <v/>
      </c>
      <c r="M334">
        <f>IF($AH334="","",INDEX('Per Line'!$L$2:$L$1501,$AH334)&amp;"")</f>
        <v/>
      </c>
      <c r="N334">
        <f>IF($AH334="","",INDEX('Per Line'!$M$2:$M$1501,$AH334)&amp;"")</f>
        <v/>
      </c>
      <c r="O334">
        <f>IF($AH334="","",INDEX('Per Line'!$P$2:$P$1501,$AH334))</f>
        <v/>
      </c>
      <c r="P334" s="7">
        <f>IF($AH334="","",O334*AD334/100)</f>
        <v/>
      </c>
      <c r="Q334">
        <f>IF($AH334="","",INDEX('Per Line'!$R$2:$R$1501,$AH334)&amp;"")</f>
        <v/>
      </c>
      <c r="R334">
        <f>IF($AH334="","",INDEX('Per Line'!$AB$2:$AB$1501,$AH334)&amp;"")</f>
        <v/>
      </c>
      <c r="S334">
        <f>IF($AH334="","",Settings!$C$8)</f>
        <v/>
      </c>
      <c r="T334" s="7">
        <f>IF($AH334="","",SUMIFS('Per Line'!$Z$2:$Z$1501,'Per Line'!$E$2:$E$1501,$B334,'Per Line'!$AT$2:$AT$1501,1))</f>
        <v/>
      </c>
      <c r="U334" s="7">
        <f>IF($AH334="","",T334*S334)</f>
        <v/>
      </c>
      <c r="V334">
        <f>IF($AH334="","",Settings!$C$7)</f>
        <v/>
      </c>
      <c r="W334" s="7">
        <f>IF($AH334="","",SUMIFS('Per Line'!$Z$2:$Z$1501,'Per Line'!$E$2:$E$1501,$B334,'Per Line'!$AS$2:$AS$1501,0,'Per Line'!$AT$2:$AT$1501,0))</f>
        <v/>
      </c>
      <c r="X334" s="7">
        <f>IF($AH334="","",W334*V334)</f>
        <v/>
      </c>
      <c r="Y334">
        <f>IF($AH334="","",Settings!$C$6)</f>
        <v/>
      </c>
      <c r="Z334" s="7">
        <f>IF($AH334="","",SUMIFS('Per Line'!$Z$2:$Z$1501,'Per Line'!$E$2:$E$1501,$B334,'Per Line'!$AS$2:$AS$1501,1,'Per Line'!$AT$2:$AT$1501,0))</f>
        <v/>
      </c>
      <c r="AA334" s="7">
        <f>IF($AH334="","",Z334*Y334)</f>
        <v/>
      </c>
      <c r="AB334" s="7">
        <f>IF($AH334="","",AA334+X334+U334)</f>
        <v/>
      </c>
      <c r="AC334" s="7">
        <f>IF($AH334="","",AD334-AB334)</f>
        <v/>
      </c>
      <c r="AD334" s="7">
        <f>IF($AH334="","",W334+Z334+T334)</f>
        <v/>
      </c>
      <c r="AE334" s="7">
        <f>IF($AH334="","",AD334-AB334-P334)</f>
        <v/>
      </c>
      <c r="AF334" s="15" t="n"/>
      <c r="AG334" s="7">
        <f>IF($AH334="","",AE334-N(AF334))</f>
        <v/>
      </c>
      <c r="AH334" s="16">
        <f>IF(ROWS($AH$2:$AH334)&lt;=MAX('Per Line'!$AR$2:$AR$1501),MATCH(ROWS($AH$2:$AH334),'Per Line'!$AR$2:$AR$1501,0),"")</f>
        <v/>
      </c>
      <c r="AI334">
        <f>IF($AH334="","",C334&amp;"|"&amp;COUNTIF($C$2:$C334,C334))</f>
        <v/>
      </c>
    </row>
    <row r="335">
      <c r="A335" s="15" t="n"/>
      <c r="B335">
        <f>IF($AH335="","",INDEX('Per Line'!$E$2:$E$1501,$AH335)&amp;"")</f>
        <v/>
      </c>
      <c r="C335">
        <f>IF($AH335="","",IF(INDEX('Per Line'!$AP$2:$AP$1501,$AH335)="NOT MATCH","NOT MATCH","FULL MATCH"))</f>
        <v/>
      </c>
      <c r="D335">
        <f>IF($AH335="","",INDEX('Per Line'!$A$2:$A$1501,$AH335)&amp;"")</f>
        <v/>
      </c>
      <c r="E335">
        <f>IF($AH335="","",INDEX('Per Line'!$B$2:$B$1501,$AH335))</f>
        <v/>
      </c>
      <c r="F335">
        <f>IF($AH335="","",INDEX('Per Line'!$C$2:$C$1501,$AH335)&amp;"")</f>
        <v/>
      </c>
      <c r="G335">
        <f>IF($AH335="","",INDEX('Per Line'!$D$2:$D$1501,$AH335)&amp;"")</f>
        <v/>
      </c>
      <c r="H335">
        <f>IF($AH335="","",INDEX('Per Line'!$F$2:$F$1501,$AH335)&amp;"")</f>
        <v/>
      </c>
      <c r="I335" s="14">
        <f>IF($AH335="","",INDEX('Per Line'!$G$2:$G$1501,$AH335))</f>
        <v/>
      </c>
      <c r="J335">
        <f>IF($AH335="","",INDEX('Per Line'!$H$2:$H$1501,$AH335)&amp;"")</f>
        <v/>
      </c>
      <c r="K335">
        <f>IF($AH335="","",INDEX('Per Line'!$J$2:$J$1501,$AH335)&amp;"")</f>
        <v/>
      </c>
      <c r="L335">
        <f>IF($AH335="","",INDEX('Per Line'!$K$2:$K$1501,$AH335)&amp;"")</f>
        <v/>
      </c>
      <c r="M335">
        <f>IF($AH335="","",INDEX('Per Line'!$L$2:$L$1501,$AH335)&amp;"")</f>
        <v/>
      </c>
      <c r="N335">
        <f>IF($AH335="","",INDEX('Per Line'!$M$2:$M$1501,$AH335)&amp;"")</f>
        <v/>
      </c>
      <c r="O335">
        <f>IF($AH335="","",INDEX('Per Line'!$P$2:$P$1501,$AH335))</f>
        <v/>
      </c>
      <c r="P335" s="7">
        <f>IF($AH335="","",O335*AD335/100)</f>
        <v/>
      </c>
      <c r="Q335">
        <f>IF($AH335="","",INDEX('Per Line'!$R$2:$R$1501,$AH335)&amp;"")</f>
        <v/>
      </c>
      <c r="R335">
        <f>IF($AH335="","",INDEX('Per Line'!$AB$2:$AB$1501,$AH335)&amp;"")</f>
        <v/>
      </c>
      <c r="S335">
        <f>IF($AH335="","",Settings!$C$8)</f>
        <v/>
      </c>
      <c r="T335" s="7">
        <f>IF($AH335="","",SUMIFS('Per Line'!$Z$2:$Z$1501,'Per Line'!$E$2:$E$1501,$B335,'Per Line'!$AT$2:$AT$1501,1))</f>
        <v/>
      </c>
      <c r="U335" s="7">
        <f>IF($AH335="","",T335*S335)</f>
        <v/>
      </c>
      <c r="V335">
        <f>IF($AH335="","",Settings!$C$7)</f>
        <v/>
      </c>
      <c r="W335" s="7">
        <f>IF($AH335="","",SUMIFS('Per Line'!$Z$2:$Z$1501,'Per Line'!$E$2:$E$1501,$B335,'Per Line'!$AS$2:$AS$1501,0,'Per Line'!$AT$2:$AT$1501,0))</f>
        <v/>
      </c>
      <c r="X335" s="7">
        <f>IF($AH335="","",W335*V335)</f>
        <v/>
      </c>
      <c r="Y335">
        <f>IF($AH335="","",Settings!$C$6)</f>
        <v/>
      </c>
      <c r="Z335" s="7">
        <f>IF($AH335="","",SUMIFS('Per Line'!$Z$2:$Z$1501,'Per Line'!$E$2:$E$1501,$B335,'Per Line'!$AS$2:$AS$1501,1,'Per Line'!$AT$2:$AT$1501,0))</f>
        <v/>
      </c>
      <c r="AA335" s="7">
        <f>IF($AH335="","",Z335*Y335)</f>
        <v/>
      </c>
      <c r="AB335" s="7">
        <f>IF($AH335="","",AA335+X335+U335)</f>
        <v/>
      </c>
      <c r="AC335" s="7">
        <f>IF($AH335="","",AD335-AB335)</f>
        <v/>
      </c>
      <c r="AD335" s="7">
        <f>IF($AH335="","",W335+Z335+T335)</f>
        <v/>
      </c>
      <c r="AE335" s="7">
        <f>IF($AH335="","",AD335-AB335-P335)</f>
        <v/>
      </c>
      <c r="AF335" s="15" t="n"/>
      <c r="AG335" s="7">
        <f>IF($AH335="","",AE335-N(AF335))</f>
        <v/>
      </c>
      <c r="AH335" s="16">
        <f>IF(ROWS($AH$2:$AH335)&lt;=MAX('Per Line'!$AR$2:$AR$1501),MATCH(ROWS($AH$2:$AH335),'Per Line'!$AR$2:$AR$1501,0),"")</f>
        <v/>
      </c>
      <c r="AI335">
        <f>IF($AH335="","",C335&amp;"|"&amp;COUNTIF($C$2:$C335,C335))</f>
        <v/>
      </c>
    </row>
    <row r="336">
      <c r="A336" s="15" t="n"/>
      <c r="B336">
        <f>IF($AH336="","",INDEX('Per Line'!$E$2:$E$1501,$AH336)&amp;"")</f>
        <v/>
      </c>
      <c r="C336">
        <f>IF($AH336="","",IF(INDEX('Per Line'!$AP$2:$AP$1501,$AH336)="NOT MATCH","NOT MATCH","FULL MATCH"))</f>
        <v/>
      </c>
      <c r="D336">
        <f>IF($AH336="","",INDEX('Per Line'!$A$2:$A$1501,$AH336)&amp;"")</f>
        <v/>
      </c>
      <c r="E336">
        <f>IF($AH336="","",INDEX('Per Line'!$B$2:$B$1501,$AH336))</f>
        <v/>
      </c>
      <c r="F336">
        <f>IF($AH336="","",INDEX('Per Line'!$C$2:$C$1501,$AH336)&amp;"")</f>
        <v/>
      </c>
      <c r="G336">
        <f>IF($AH336="","",INDEX('Per Line'!$D$2:$D$1501,$AH336)&amp;"")</f>
        <v/>
      </c>
      <c r="H336">
        <f>IF($AH336="","",INDEX('Per Line'!$F$2:$F$1501,$AH336)&amp;"")</f>
        <v/>
      </c>
      <c r="I336" s="14">
        <f>IF($AH336="","",INDEX('Per Line'!$G$2:$G$1501,$AH336))</f>
        <v/>
      </c>
      <c r="J336">
        <f>IF($AH336="","",INDEX('Per Line'!$H$2:$H$1501,$AH336)&amp;"")</f>
        <v/>
      </c>
      <c r="K336">
        <f>IF($AH336="","",INDEX('Per Line'!$J$2:$J$1501,$AH336)&amp;"")</f>
        <v/>
      </c>
      <c r="L336">
        <f>IF($AH336="","",INDEX('Per Line'!$K$2:$K$1501,$AH336)&amp;"")</f>
        <v/>
      </c>
      <c r="M336">
        <f>IF($AH336="","",INDEX('Per Line'!$L$2:$L$1501,$AH336)&amp;"")</f>
        <v/>
      </c>
      <c r="N336">
        <f>IF($AH336="","",INDEX('Per Line'!$M$2:$M$1501,$AH336)&amp;"")</f>
        <v/>
      </c>
      <c r="O336">
        <f>IF($AH336="","",INDEX('Per Line'!$P$2:$P$1501,$AH336))</f>
        <v/>
      </c>
      <c r="P336" s="7">
        <f>IF($AH336="","",O336*AD336/100)</f>
        <v/>
      </c>
      <c r="Q336">
        <f>IF($AH336="","",INDEX('Per Line'!$R$2:$R$1501,$AH336)&amp;"")</f>
        <v/>
      </c>
      <c r="R336">
        <f>IF($AH336="","",INDEX('Per Line'!$AB$2:$AB$1501,$AH336)&amp;"")</f>
        <v/>
      </c>
      <c r="S336">
        <f>IF($AH336="","",Settings!$C$8)</f>
        <v/>
      </c>
      <c r="T336" s="7">
        <f>IF($AH336="","",SUMIFS('Per Line'!$Z$2:$Z$1501,'Per Line'!$E$2:$E$1501,$B336,'Per Line'!$AT$2:$AT$1501,1))</f>
        <v/>
      </c>
      <c r="U336" s="7">
        <f>IF($AH336="","",T336*S336)</f>
        <v/>
      </c>
      <c r="V336">
        <f>IF($AH336="","",Settings!$C$7)</f>
        <v/>
      </c>
      <c r="W336" s="7">
        <f>IF($AH336="","",SUMIFS('Per Line'!$Z$2:$Z$1501,'Per Line'!$E$2:$E$1501,$B336,'Per Line'!$AS$2:$AS$1501,0,'Per Line'!$AT$2:$AT$1501,0))</f>
        <v/>
      </c>
      <c r="X336" s="7">
        <f>IF($AH336="","",W336*V336)</f>
        <v/>
      </c>
      <c r="Y336">
        <f>IF($AH336="","",Settings!$C$6)</f>
        <v/>
      </c>
      <c r="Z336" s="7">
        <f>IF($AH336="","",SUMIFS('Per Line'!$Z$2:$Z$1501,'Per Line'!$E$2:$E$1501,$B336,'Per Line'!$AS$2:$AS$1501,1,'Per Line'!$AT$2:$AT$1501,0))</f>
        <v/>
      </c>
      <c r="AA336" s="7">
        <f>IF($AH336="","",Z336*Y336)</f>
        <v/>
      </c>
      <c r="AB336" s="7">
        <f>IF($AH336="","",AA336+X336+U336)</f>
        <v/>
      </c>
      <c r="AC336" s="7">
        <f>IF($AH336="","",AD336-AB336)</f>
        <v/>
      </c>
      <c r="AD336" s="7">
        <f>IF($AH336="","",W336+Z336+T336)</f>
        <v/>
      </c>
      <c r="AE336" s="7">
        <f>IF($AH336="","",AD336-AB336-P336)</f>
        <v/>
      </c>
      <c r="AF336" s="15" t="n"/>
      <c r="AG336" s="7">
        <f>IF($AH336="","",AE336-N(AF336))</f>
        <v/>
      </c>
      <c r="AH336" s="16">
        <f>IF(ROWS($AH$2:$AH336)&lt;=MAX('Per Line'!$AR$2:$AR$1501),MATCH(ROWS($AH$2:$AH336),'Per Line'!$AR$2:$AR$1501,0),"")</f>
        <v/>
      </c>
      <c r="AI336">
        <f>IF($AH336="","",C336&amp;"|"&amp;COUNTIF($C$2:$C336,C336))</f>
        <v/>
      </c>
    </row>
    <row r="337">
      <c r="A337" s="15" t="n"/>
      <c r="B337">
        <f>IF($AH337="","",INDEX('Per Line'!$E$2:$E$1501,$AH337)&amp;"")</f>
        <v/>
      </c>
      <c r="C337">
        <f>IF($AH337="","",IF(INDEX('Per Line'!$AP$2:$AP$1501,$AH337)="NOT MATCH","NOT MATCH","FULL MATCH"))</f>
        <v/>
      </c>
      <c r="D337">
        <f>IF($AH337="","",INDEX('Per Line'!$A$2:$A$1501,$AH337)&amp;"")</f>
        <v/>
      </c>
      <c r="E337">
        <f>IF($AH337="","",INDEX('Per Line'!$B$2:$B$1501,$AH337))</f>
        <v/>
      </c>
      <c r="F337">
        <f>IF($AH337="","",INDEX('Per Line'!$C$2:$C$1501,$AH337)&amp;"")</f>
        <v/>
      </c>
      <c r="G337">
        <f>IF($AH337="","",INDEX('Per Line'!$D$2:$D$1501,$AH337)&amp;"")</f>
        <v/>
      </c>
      <c r="H337">
        <f>IF($AH337="","",INDEX('Per Line'!$F$2:$F$1501,$AH337)&amp;"")</f>
        <v/>
      </c>
      <c r="I337" s="14">
        <f>IF($AH337="","",INDEX('Per Line'!$G$2:$G$1501,$AH337))</f>
        <v/>
      </c>
      <c r="J337">
        <f>IF($AH337="","",INDEX('Per Line'!$H$2:$H$1501,$AH337)&amp;"")</f>
        <v/>
      </c>
      <c r="K337">
        <f>IF($AH337="","",INDEX('Per Line'!$J$2:$J$1501,$AH337)&amp;"")</f>
        <v/>
      </c>
      <c r="L337">
        <f>IF($AH337="","",INDEX('Per Line'!$K$2:$K$1501,$AH337)&amp;"")</f>
        <v/>
      </c>
      <c r="M337">
        <f>IF($AH337="","",INDEX('Per Line'!$L$2:$L$1501,$AH337)&amp;"")</f>
        <v/>
      </c>
      <c r="N337">
        <f>IF($AH337="","",INDEX('Per Line'!$M$2:$M$1501,$AH337)&amp;"")</f>
        <v/>
      </c>
      <c r="O337">
        <f>IF($AH337="","",INDEX('Per Line'!$P$2:$P$1501,$AH337))</f>
        <v/>
      </c>
      <c r="P337" s="7">
        <f>IF($AH337="","",O337*AD337/100)</f>
        <v/>
      </c>
      <c r="Q337">
        <f>IF($AH337="","",INDEX('Per Line'!$R$2:$R$1501,$AH337)&amp;"")</f>
        <v/>
      </c>
      <c r="R337">
        <f>IF($AH337="","",INDEX('Per Line'!$AB$2:$AB$1501,$AH337)&amp;"")</f>
        <v/>
      </c>
      <c r="S337">
        <f>IF($AH337="","",Settings!$C$8)</f>
        <v/>
      </c>
      <c r="T337" s="7">
        <f>IF($AH337="","",SUMIFS('Per Line'!$Z$2:$Z$1501,'Per Line'!$E$2:$E$1501,$B337,'Per Line'!$AT$2:$AT$1501,1))</f>
        <v/>
      </c>
      <c r="U337" s="7">
        <f>IF($AH337="","",T337*S337)</f>
        <v/>
      </c>
      <c r="V337">
        <f>IF($AH337="","",Settings!$C$7)</f>
        <v/>
      </c>
      <c r="W337" s="7">
        <f>IF($AH337="","",SUMIFS('Per Line'!$Z$2:$Z$1501,'Per Line'!$E$2:$E$1501,$B337,'Per Line'!$AS$2:$AS$1501,0,'Per Line'!$AT$2:$AT$1501,0))</f>
        <v/>
      </c>
      <c r="X337" s="7">
        <f>IF($AH337="","",W337*V337)</f>
        <v/>
      </c>
      <c r="Y337">
        <f>IF($AH337="","",Settings!$C$6)</f>
        <v/>
      </c>
      <c r="Z337" s="7">
        <f>IF($AH337="","",SUMIFS('Per Line'!$Z$2:$Z$1501,'Per Line'!$E$2:$E$1501,$B337,'Per Line'!$AS$2:$AS$1501,1,'Per Line'!$AT$2:$AT$1501,0))</f>
        <v/>
      </c>
      <c r="AA337" s="7">
        <f>IF($AH337="","",Z337*Y337)</f>
        <v/>
      </c>
      <c r="AB337" s="7">
        <f>IF($AH337="","",AA337+X337+U337)</f>
        <v/>
      </c>
      <c r="AC337" s="7">
        <f>IF($AH337="","",AD337-AB337)</f>
        <v/>
      </c>
      <c r="AD337" s="7">
        <f>IF($AH337="","",W337+Z337+T337)</f>
        <v/>
      </c>
      <c r="AE337" s="7">
        <f>IF($AH337="","",AD337-AB337-P337)</f>
        <v/>
      </c>
      <c r="AF337" s="15" t="n"/>
      <c r="AG337" s="7">
        <f>IF($AH337="","",AE337-N(AF337))</f>
        <v/>
      </c>
      <c r="AH337" s="16">
        <f>IF(ROWS($AH$2:$AH337)&lt;=MAX('Per Line'!$AR$2:$AR$1501),MATCH(ROWS($AH$2:$AH337),'Per Line'!$AR$2:$AR$1501,0),"")</f>
        <v/>
      </c>
      <c r="AI337">
        <f>IF($AH337="","",C337&amp;"|"&amp;COUNTIF($C$2:$C337,C337))</f>
        <v/>
      </c>
    </row>
    <row r="338">
      <c r="A338" s="15" t="n"/>
      <c r="B338">
        <f>IF($AH338="","",INDEX('Per Line'!$E$2:$E$1501,$AH338)&amp;"")</f>
        <v/>
      </c>
      <c r="C338">
        <f>IF($AH338="","",IF(INDEX('Per Line'!$AP$2:$AP$1501,$AH338)="NOT MATCH","NOT MATCH","FULL MATCH"))</f>
        <v/>
      </c>
      <c r="D338">
        <f>IF($AH338="","",INDEX('Per Line'!$A$2:$A$1501,$AH338)&amp;"")</f>
        <v/>
      </c>
      <c r="E338">
        <f>IF($AH338="","",INDEX('Per Line'!$B$2:$B$1501,$AH338))</f>
        <v/>
      </c>
      <c r="F338">
        <f>IF($AH338="","",INDEX('Per Line'!$C$2:$C$1501,$AH338)&amp;"")</f>
        <v/>
      </c>
      <c r="G338">
        <f>IF($AH338="","",INDEX('Per Line'!$D$2:$D$1501,$AH338)&amp;"")</f>
        <v/>
      </c>
      <c r="H338">
        <f>IF($AH338="","",INDEX('Per Line'!$F$2:$F$1501,$AH338)&amp;"")</f>
        <v/>
      </c>
      <c r="I338" s="14">
        <f>IF($AH338="","",INDEX('Per Line'!$G$2:$G$1501,$AH338))</f>
        <v/>
      </c>
      <c r="J338">
        <f>IF($AH338="","",INDEX('Per Line'!$H$2:$H$1501,$AH338)&amp;"")</f>
        <v/>
      </c>
      <c r="K338">
        <f>IF($AH338="","",INDEX('Per Line'!$J$2:$J$1501,$AH338)&amp;"")</f>
        <v/>
      </c>
      <c r="L338">
        <f>IF($AH338="","",INDEX('Per Line'!$K$2:$K$1501,$AH338)&amp;"")</f>
        <v/>
      </c>
      <c r="M338">
        <f>IF($AH338="","",INDEX('Per Line'!$L$2:$L$1501,$AH338)&amp;"")</f>
        <v/>
      </c>
      <c r="N338">
        <f>IF($AH338="","",INDEX('Per Line'!$M$2:$M$1501,$AH338)&amp;"")</f>
        <v/>
      </c>
      <c r="O338">
        <f>IF($AH338="","",INDEX('Per Line'!$P$2:$P$1501,$AH338))</f>
        <v/>
      </c>
      <c r="P338" s="7">
        <f>IF($AH338="","",O338*AD338/100)</f>
        <v/>
      </c>
      <c r="Q338">
        <f>IF($AH338="","",INDEX('Per Line'!$R$2:$R$1501,$AH338)&amp;"")</f>
        <v/>
      </c>
      <c r="R338">
        <f>IF($AH338="","",INDEX('Per Line'!$AB$2:$AB$1501,$AH338)&amp;"")</f>
        <v/>
      </c>
      <c r="S338">
        <f>IF($AH338="","",Settings!$C$8)</f>
        <v/>
      </c>
      <c r="T338" s="7">
        <f>IF($AH338="","",SUMIFS('Per Line'!$Z$2:$Z$1501,'Per Line'!$E$2:$E$1501,$B338,'Per Line'!$AT$2:$AT$1501,1))</f>
        <v/>
      </c>
      <c r="U338" s="7">
        <f>IF($AH338="","",T338*S338)</f>
        <v/>
      </c>
      <c r="V338">
        <f>IF($AH338="","",Settings!$C$7)</f>
        <v/>
      </c>
      <c r="W338" s="7">
        <f>IF($AH338="","",SUMIFS('Per Line'!$Z$2:$Z$1501,'Per Line'!$E$2:$E$1501,$B338,'Per Line'!$AS$2:$AS$1501,0,'Per Line'!$AT$2:$AT$1501,0))</f>
        <v/>
      </c>
      <c r="X338" s="7">
        <f>IF($AH338="","",W338*V338)</f>
        <v/>
      </c>
      <c r="Y338">
        <f>IF($AH338="","",Settings!$C$6)</f>
        <v/>
      </c>
      <c r="Z338" s="7">
        <f>IF($AH338="","",SUMIFS('Per Line'!$Z$2:$Z$1501,'Per Line'!$E$2:$E$1501,$B338,'Per Line'!$AS$2:$AS$1501,1,'Per Line'!$AT$2:$AT$1501,0))</f>
        <v/>
      </c>
      <c r="AA338" s="7">
        <f>IF($AH338="","",Z338*Y338)</f>
        <v/>
      </c>
      <c r="AB338" s="7">
        <f>IF($AH338="","",AA338+X338+U338)</f>
        <v/>
      </c>
      <c r="AC338" s="7">
        <f>IF($AH338="","",AD338-AB338)</f>
        <v/>
      </c>
      <c r="AD338" s="7">
        <f>IF($AH338="","",W338+Z338+T338)</f>
        <v/>
      </c>
      <c r="AE338" s="7">
        <f>IF($AH338="","",AD338-AB338-P338)</f>
        <v/>
      </c>
      <c r="AF338" s="15" t="n"/>
      <c r="AG338" s="7">
        <f>IF($AH338="","",AE338-N(AF338))</f>
        <v/>
      </c>
      <c r="AH338" s="16">
        <f>IF(ROWS($AH$2:$AH338)&lt;=MAX('Per Line'!$AR$2:$AR$1501),MATCH(ROWS($AH$2:$AH338),'Per Line'!$AR$2:$AR$1501,0),"")</f>
        <v/>
      </c>
      <c r="AI338">
        <f>IF($AH338="","",C338&amp;"|"&amp;COUNTIF($C$2:$C338,C338))</f>
        <v/>
      </c>
    </row>
    <row r="339">
      <c r="A339" s="15" t="n"/>
      <c r="B339">
        <f>IF($AH339="","",INDEX('Per Line'!$E$2:$E$1501,$AH339)&amp;"")</f>
        <v/>
      </c>
      <c r="C339">
        <f>IF($AH339="","",IF(INDEX('Per Line'!$AP$2:$AP$1501,$AH339)="NOT MATCH","NOT MATCH","FULL MATCH"))</f>
        <v/>
      </c>
      <c r="D339">
        <f>IF($AH339="","",INDEX('Per Line'!$A$2:$A$1501,$AH339)&amp;"")</f>
        <v/>
      </c>
      <c r="E339">
        <f>IF($AH339="","",INDEX('Per Line'!$B$2:$B$1501,$AH339))</f>
        <v/>
      </c>
      <c r="F339">
        <f>IF($AH339="","",INDEX('Per Line'!$C$2:$C$1501,$AH339)&amp;"")</f>
        <v/>
      </c>
      <c r="G339">
        <f>IF($AH339="","",INDEX('Per Line'!$D$2:$D$1501,$AH339)&amp;"")</f>
        <v/>
      </c>
      <c r="H339">
        <f>IF($AH339="","",INDEX('Per Line'!$F$2:$F$1501,$AH339)&amp;"")</f>
        <v/>
      </c>
      <c r="I339" s="14">
        <f>IF($AH339="","",INDEX('Per Line'!$G$2:$G$1501,$AH339))</f>
        <v/>
      </c>
      <c r="J339">
        <f>IF($AH339="","",INDEX('Per Line'!$H$2:$H$1501,$AH339)&amp;"")</f>
        <v/>
      </c>
      <c r="K339">
        <f>IF($AH339="","",INDEX('Per Line'!$J$2:$J$1501,$AH339)&amp;"")</f>
        <v/>
      </c>
      <c r="L339">
        <f>IF($AH339="","",INDEX('Per Line'!$K$2:$K$1501,$AH339)&amp;"")</f>
        <v/>
      </c>
      <c r="M339">
        <f>IF($AH339="","",INDEX('Per Line'!$L$2:$L$1501,$AH339)&amp;"")</f>
        <v/>
      </c>
      <c r="N339">
        <f>IF($AH339="","",INDEX('Per Line'!$M$2:$M$1501,$AH339)&amp;"")</f>
        <v/>
      </c>
      <c r="O339">
        <f>IF($AH339="","",INDEX('Per Line'!$P$2:$P$1501,$AH339))</f>
        <v/>
      </c>
      <c r="P339" s="7">
        <f>IF($AH339="","",O339*AD339/100)</f>
        <v/>
      </c>
      <c r="Q339">
        <f>IF($AH339="","",INDEX('Per Line'!$R$2:$R$1501,$AH339)&amp;"")</f>
        <v/>
      </c>
      <c r="R339">
        <f>IF($AH339="","",INDEX('Per Line'!$AB$2:$AB$1501,$AH339)&amp;"")</f>
        <v/>
      </c>
      <c r="S339">
        <f>IF($AH339="","",Settings!$C$8)</f>
        <v/>
      </c>
      <c r="T339" s="7">
        <f>IF($AH339="","",SUMIFS('Per Line'!$Z$2:$Z$1501,'Per Line'!$E$2:$E$1501,$B339,'Per Line'!$AT$2:$AT$1501,1))</f>
        <v/>
      </c>
      <c r="U339" s="7">
        <f>IF($AH339="","",T339*S339)</f>
        <v/>
      </c>
      <c r="V339">
        <f>IF($AH339="","",Settings!$C$7)</f>
        <v/>
      </c>
      <c r="W339" s="7">
        <f>IF($AH339="","",SUMIFS('Per Line'!$Z$2:$Z$1501,'Per Line'!$E$2:$E$1501,$B339,'Per Line'!$AS$2:$AS$1501,0,'Per Line'!$AT$2:$AT$1501,0))</f>
        <v/>
      </c>
      <c r="X339" s="7">
        <f>IF($AH339="","",W339*V339)</f>
        <v/>
      </c>
      <c r="Y339">
        <f>IF($AH339="","",Settings!$C$6)</f>
        <v/>
      </c>
      <c r="Z339" s="7">
        <f>IF($AH339="","",SUMIFS('Per Line'!$Z$2:$Z$1501,'Per Line'!$E$2:$E$1501,$B339,'Per Line'!$AS$2:$AS$1501,1,'Per Line'!$AT$2:$AT$1501,0))</f>
        <v/>
      </c>
      <c r="AA339" s="7">
        <f>IF($AH339="","",Z339*Y339)</f>
        <v/>
      </c>
      <c r="AB339" s="7">
        <f>IF($AH339="","",AA339+X339+U339)</f>
        <v/>
      </c>
      <c r="AC339" s="7">
        <f>IF($AH339="","",AD339-AB339)</f>
        <v/>
      </c>
      <c r="AD339" s="7">
        <f>IF($AH339="","",W339+Z339+T339)</f>
        <v/>
      </c>
      <c r="AE339" s="7">
        <f>IF($AH339="","",AD339-AB339-P339)</f>
        <v/>
      </c>
      <c r="AF339" s="15" t="n"/>
      <c r="AG339" s="7">
        <f>IF($AH339="","",AE339-N(AF339))</f>
        <v/>
      </c>
      <c r="AH339" s="16">
        <f>IF(ROWS($AH$2:$AH339)&lt;=MAX('Per Line'!$AR$2:$AR$1501),MATCH(ROWS($AH$2:$AH339),'Per Line'!$AR$2:$AR$1501,0),"")</f>
        <v/>
      </c>
      <c r="AI339">
        <f>IF($AH339="","",C339&amp;"|"&amp;COUNTIF($C$2:$C339,C339))</f>
        <v/>
      </c>
    </row>
    <row r="340">
      <c r="A340" s="15" t="n"/>
      <c r="B340">
        <f>IF($AH340="","",INDEX('Per Line'!$E$2:$E$1501,$AH340)&amp;"")</f>
        <v/>
      </c>
      <c r="C340">
        <f>IF($AH340="","",IF(INDEX('Per Line'!$AP$2:$AP$1501,$AH340)="NOT MATCH","NOT MATCH","FULL MATCH"))</f>
        <v/>
      </c>
      <c r="D340">
        <f>IF($AH340="","",INDEX('Per Line'!$A$2:$A$1501,$AH340)&amp;"")</f>
        <v/>
      </c>
      <c r="E340">
        <f>IF($AH340="","",INDEX('Per Line'!$B$2:$B$1501,$AH340))</f>
        <v/>
      </c>
      <c r="F340">
        <f>IF($AH340="","",INDEX('Per Line'!$C$2:$C$1501,$AH340)&amp;"")</f>
        <v/>
      </c>
      <c r="G340">
        <f>IF($AH340="","",INDEX('Per Line'!$D$2:$D$1501,$AH340)&amp;"")</f>
        <v/>
      </c>
      <c r="H340">
        <f>IF($AH340="","",INDEX('Per Line'!$F$2:$F$1501,$AH340)&amp;"")</f>
        <v/>
      </c>
      <c r="I340" s="14">
        <f>IF($AH340="","",INDEX('Per Line'!$G$2:$G$1501,$AH340))</f>
        <v/>
      </c>
      <c r="J340">
        <f>IF($AH340="","",INDEX('Per Line'!$H$2:$H$1501,$AH340)&amp;"")</f>
        <v/>
      </c>
      <c r="K340">
        <f>IF($AH340="","",INDEX('Per Line'!$J$2:$J$1501,$AH340)&amp;"")</f>
        <v/>
      </c>
      <c r="L340">
        <f>IF($AH340="","",INDEX('Per Line'!$K$2:$K$1501,$AH340)&amp;"")</f>
        <v/>
      </c>
      <c r="M340">
        <f>IF($AH340="","",INDEX('Per Line'!$L$2:$L$1501,$AH340)&amp;"")</f>
        <v/>
      </c>
      <c r="N340">
        <f>IF($AH340="","",INDEX('Per Line'!$M$2:$M$1501,$AH340)&amp;"")</f>
        <v/>
      </c>
      <c r="O340">
        <f>IF($AH340="","",INDEX('Per Line'!$P$2:$P$1501,$AH340))</f>
        <v/>
      </c>
      <c r="P340" s="7">
        <f>IF($AH340="","",O340*AD340/100)</f>
        <v/>
      </c>
      <c r="Q340">
        <f>IF($AH340="","",INDEX('Per Line'!$R$2:$R$1501,$AH340)&amp;"")</f>
        <v/>
      </c>
      <c r="R340">
        <f>IF($AH340="","",INDEX('Per Line'!$AB$2:$AB$1501,$AH340)&amp;"")</f>
        <v/>
      </c>
      <c r="S340">
        <f>IF($AH340="","",Settings!$C$8)</f>
        <v/>
      </c>
      <c r="T340" s="7">
        <f>IF($AH340="","",SUMIFS('Per Line'!$Z$2:$Z$1501,'Per Line'!$E$2:$E$1501,$B340,'Per Line'!$AT$2:$AT$1501,1))</f>
        <v/>
      </c>
      <c r="U340" s="7">
        <f>IF($AH340="","",T340*S340)</f>
        <v/>
      </c>
      <c r="V340">
        <f>IF($AH340="","",Settings!$C$7)</f>
        <v/>
      </c>
      <c r="W340" s="7">
        <f>IF($AH340="","",SUMIFS('Per Line'!$Z$2:$Z$1501,'Per Line'!$E$2:$E$1501,$B340,'Per Line'!$AS$2:$AS$1501,0,'Per Line'!$AT$2:$AT$1501,0))</f>
        <v/>
      </c>
      <c r="X340" s="7">
        <f>IF($AH340="","",W340*V340)</f>
        <v/>
      </c>
      <c r="Y340">
        <f>IF($AH340="","",Settings!$C$6)</f>
        <v/>
      </c>
      <c r="Z340" s="7">
        <f>IF($AH340="","",SUMIFS('Per Line'!$Z$2:$Z$1501,'Per Line'!$E$2:$E$1501,$B340,'Per Line'!$AS$2:$AS$1501,1,'Per Line'!$AT$2:$AT$1501,0))</f>
        <v/>
      </c>
      <c r="AA340" s="7">
        <f>IF($AH340="","",Z340*Y340)</f>
        <v/>
      </c>
      <c r="AB340" s="7">
        <f>IF($AH340="","",AA340+X340+U340)</f>
        <v/>
      </c>
      <c r="AC340" s="7">
        <f>IF($AH340="","",AD340-AB340)</f>
        <v/>
      </c>
      <c r="AD340" s="7">
        <f>IF($AH340="","",W340+Z340+T340)</f>
        <v/>
      </c>
      <c r="AE340" s="7">
        <f>IF($AH340="","",AD340-AB340-P340)</f>
        <v/>
      </c>
      <c r="AF340" s="15" t="n"/>
      <c r="AG340" s="7">
        <f>IF($AH340="","",AE340-N(AF340))</f>
        <v/>
      </c>
      <c r="AH340" s="16">
        <f>IF(ROWS($AH$2:$AH340)&lt;=MAX('Per Line'!$AR$2:$AR$1501),MATCH(ROWS($AH$2:$AH340),'Per Line'!$AR$2:$AR$1501,0),"")</f>
        <v/>
      </c>
      <c r="AI340">
        <f>IF($AH340="","",C340&amp;"|"&amp;COUNTIF($C$2:$C340,C340))</f>
        <v/>
      </c>
    </row>
    <row r="341">
      <c r="A341" s="15" t="n"/>
      <c r="B341">
        <f>IF($AH341="","",INDEX('Per Line'!$E$2:$E$1501,$AH341)&amp;"")</f>
        <v/>
      </c>
      <c r="C341">
        <f>IF($AH341="","",IF(INDEX('Per Line'!$AP$2:$AP$1501,$AH341)="NOT MATCH","NOT MATCH","FULL MATCH"))</f>
        <v/>
      </c>
      <c r="D341">
        <f>IF($AH341="","",INDEX('Per Line'!$A$2:$A$1501,$AH341)&amp;"")</f>
        <v/>
      </c>
      <c r="E341">
        <f>IF($AH341="","",INDEX('Per Line'!$B$2:$B$1501,$AH341))</f>
        <v/>
      </c>
      <c r="F341">
        <f>IF($AH341="","",INDEX('Per Line'!$C$2:$C$1501,$AH341)&amp;"")</f>
        <v/>
      </c>
      <c r="G341">
        <f>IF($AH341="","",INDEX('Per Line'!$D$2:$D$1501,$AH341)&amp;"")</f>
        <v/>
      </c>
      <c r="H341">
        <f>IF($AH341="","",INDEX('Per Line'!$F$2:$F$1501,$AH341)&amp;"")</f>
        <v/>
      </c>
      <c r="I341" s="14">
        <f>IF($AH341="","",INDEX('Per Line'!$G$2:$G$1501,$AH341))</f>
        <v/>
      </c>
      <c r="J341">
        <f>IF($AH341="","",INDEX('Per Line'!$H$2:$H$1501,$AH341)&amp;"")</f>
        <v/>
      </c>
      <c r="K341">
        <f>IF($AH341="","",INDEX('Per Line'!$J$2:$J$1501,$AH341)&amp;"")</f>
        <v/>
      </c>
      <c r="L341">
        <f>IF($AH341="","",INDEX('Per Line'!$K$2:$K$1501,$AH341)&amp;"")</f>
        <v/>
      </c>
      <c r="M341">
        <f>IF($AH341="","",INDEX('Per Line'!$L$2:$L$1501,$AH341)&amp;"")</f>
        <v/>
      </c>
      <c r="N341">
        <f>IF($AH341="","",INDEX('Per Line'!$M$2:$M$1501,$AH341)&amp;"")</f>
        <v/>
      </c>
      <c r="O341">
        <f>IF($AH341="","",INDEX('Per Line'!$P$2:$P$1501,$AH341))</f>
        <v/>
      </c>
      <c r="P341" s="7">
        <f>IF($AH341="","",O341*AD341/100)</f>
        <v/>
      </c>
      <c r="Q341">
        <f>IF($AH341="","",INDEX('Per Line'!$R$2:$R$1501,$AH341)&amp;"")</f>
        <v/>
      </c>
      <c r="R341">
        <f>IF($AH341="","",INDEX('Per Line'!$AB$2:$AB$1501,$AH341)&amp;"")</f>
        <v/>
      </c>
      <c r="S341">
        <f>IF($AH341="","",Settings!$C$8)</f>
        <v/>
      </c>
      <c r="T341" s="7">
        <f>IF($AH341="","",SUMIFS('Per Line'!$Z$2:$Z$1501,'Per Line'!$E$2:$E$1501,$B341,'Per Line'!$AT$2:$AT$1501,1))</f>
        <v/>
      </c>
      <c r="U341" s="7">
        <f>IF($AH341="","",T341*S341)</f>
        <v/>
      </c>
      <c r="V341">
        <f>IF($AH341="","",Settings!$C$7)</f>
        <v/>
      </c>
      <c r="W341" s="7">
        <f>IF($AH341="","",SUMIFS('Per Line'!$Z$2:$Z$1501,'Per Line'!$E$2:$E$1501,$B341,'Per Line'!$AS$2:$AS$1501,0,'Per Line'!$AT$2:$AT$1501,0))</f>
        <v/>
      </c>
      <c r="X341" s="7">
        <f>IF($AH341="","",W341*V341)</f>
        <v/>
      </c>
      <c r="Y341">
        <f>IF($AH341="","",Settings!$C$6)</f>
        <v/>
      </c>
      <c r="Z341" s="7">
        <f>IF($AH341="","",SUMIFS('Per Line'!$Z$2:$Z$1501,'Per Line'!$E$2:$E$1501,$B341,'Per Line'!$AS$2:$AS$1501,1,'Per Line'!$AT$2:$AT$1501,0))</f>
        <v/>
      </c>
      <c r="AA341" s="7">
        <f>IF($AH341="","",Z341*Y341)</f>
        <v/>
      </c>
      <c r="AB341" s="7">
        <f>IF($AH341="","",AA341+X341+U341)</f>
        <v/>
      </c>
      <c r="AC341" s="7">
        <f>IF($AH341="","",AD341-AB341)</f>
        <v/>
      </c>
      <c r="AD341" s="7">
        <f>IF($AH341="","",W341+Z341+T341)</f>
        <v/>
      </c>
      <c r="AE341" s="7">
        <f>IF($AH341="","",AD341-AB341-P341)</f>
        <v/>
      </c>
      <c r="AF341" s="15" t="n"/>
      <c r="AG341" s="7">
        <f>IF($AH341="","",AE341-N(AF341))</f>
        <v/>
      </c>
      <c r="AH341" s="16">
        <f>IF(ROWS($AH$2:$AH341)&lt;=MAX('Per Line'!$AR$2:$AR$1501),MATCH(ROWS($AH$2:$AH341),'Per Line'!$AR$2:$AR$1501,0),"")</f>
        <v/>
      </c>
      <c r="AI341">
        <f>IF($AH341="","",C341&amp;"|"&amp;COUNTIF($C$2:$C341,C341))</f>
        <v/>
      </c>
    </row>
    <row r="342">
      <c r="A342" s="15" t="n"/>
      <c r="B342">
        <f>IF($AH342="","",INDEX('Per Line'!$E$2:$E$1501,$AH342)&amp;"")</f>
        <v/>
      </c>
      <c r="C342">
        <f>IF($AH342="","",IF(INDEX('Per Line'!$AP$2:$AP$1501,$AH342)="NOT MATCH","NOT MATCH","FULL MATCH"))</f>
        <v/>
      </c>
      <c r="D342">
        <f>IF($AH342="","",INDEX('Per Line'!$A$2:$A$1501,$AH342)&amp;"")</f>
        <v/>
      </c>
      <c r="E342">
        <f>IF($AH342="","",INDEX('Per Line'!$B$2:$B$1501,$AH342))</f>
        <v/>
      </c>
      <c r="F342">
        <f>IF($AH342="","",INDEX('Per Line'!$C$2:$C$1501,$AH342)&amp;"")</f>
        <v/>
      </c>
      <c r="G342">
        <f>IF($AH342="","",INDEX('Per Line'!$D$2:$D$1501,$AH342)&amp;"")</f>
        <v/>
      </c>
      <c r="H342">
        <f>IF($AH342="","",INDEX('Per Line'!$F$2:$F$1501,$AH342)&amp;"")</f>
        <v/>
      </c>
      <c r="I342" s="14">
        <f>IF($AH342="","",INDEX('Per Line'!$G$2:$G$1501,$AH342))</f>
        <v/>
      </c>
      <c r="J342">
        <f>IF($AH342="","",INDEX('Per Line'!$H$2:$H$1501,$AH342)&amp;"")</f>
        <v/>
      </c>
      <c r="K342">
        <f>IF($AH342="","",INDEX('Per Line'!$J$2:$J$1501,$AH342)&amp;"")</f>
        <v/>
      </c>
      <c r="L342">
        <f>IF($AH342="","",INDEX('Per Line'!$K$2:$K$1501,$AH342)&amp;"")</f>
        <v/>
      </c>
      <c r="M342">
        <f>IF($AH342="","",INDEX('Per Line'!$L$2:$L$1501,$AH342)&amp;"")</f>
        <v/>
      </c>
      <c r="N342">
        <f>IF($AH342="","",INDEX('Per Line'!$M$2:$M$1501,$AH342)&amp;"")</f>
        <v/>
      </c>
      <c r="O342">
        <f>IF($AH342="","",INDEX('Per Line'!$P$2:$P$1501,$AH342))</f>
        <v/>
      </c>
      <c r="P342" s="7">
        <f>IF($AH342="","",O342*AD342/100)</f>
        <v/>
      </c>
      <c r="Q342">
        <f>IF($AH342="","",INDEX('Per Line'!$R$2:$R$1501,$AH342)&amp;"")</f>
        <v/>
      </c>
      <c r="R342">
        <f>IF($AH342="","",INDEX('Per Line'!$AB$2:$AB$1501,$AH342)&amp;"")</f>
        <v/>
      </c>
      <c r="S342">
        <f>IF($AH342="","",Settings!$C$8)</f>
        <v/>
      </c>
      <c r="T342" s="7">
        <f>IF($AH342="","",SUMIFS('Per Line'!$Z$2:$Z$1501,'Per Line'!$E$2:$E$1501,$B342,'Per Line'!$AT$2:$AT$1501,1))</f>
        <v/>
      </c>
      <c r="U342" s="7">
        <f>IF($AH342="","",T342*S342)</f>
        <v/>
      </c>
      <c r="V342">
        <f>IF($AH342="","",Settings!$C$7)</f>
        <v/>
      </c>
      <c r="W342" s="7">
        <f>IF($AH342="","",SUMIFS('Per Line'!$Z$2:$Z$1501,'Per Line'!$E$2:$E$1501,$B342,'Per Line'!$AS$2:$AS$1501,0,'Per Line'!$AT$2:$AT$1501,0))</f>
        <v/>
      </c>
      <c r="X342" s="7">
        <f>IF($AH342="","",W342*V342)</f>
        <v/>
      </c>
      <c r="Y342">
        <f>IF($AH342="","",Settings!$C$6)</f>
        <v/>
      </c>
      <c r="Z342" s="7">
        <f>IF($AH342="","",SUMIFS('Per Line'!$Z$2:$Z$1501,'Per Line'!$E$2:$E$1501,$B342,'Per Line'!$AS$2:$AS$1501,1,'Per Line'!$AT$2:$AT$1501,0))</f>
        <v/>
      </c>
      <c r="AA342" s="7">
        <f>IF($AH342="","",Z342*Y342)</f>
        <v/>
      </c>
      <c r="AB342" s="7">
        <f>IF($AH342="","",AA342+X342+U342)</f>
        <v/>
      </c>
      <c r="AC342" s="7">
        <f>IF($AH342="","",AD342-AB342)</f>
        <v/>
      </c>
      <c r="AD342" s="7">
        <f>IF($AH342="","",W342+Z342+T342)</f>
        <v/>
      </c>
      <c r="AE342" s="7">
        <f>IF($AH342="","",AD342-AB342-P342)</f>
        <v/>
      </c>
      <c r="AF342" s="15" t="n"/>
      <c r="AG342" s="7">
        <f>IF($AH342="","",AE342-N(AF342))</f>
        <v/>
      </c>
      <c r="AH342" s="16">
        <f>IF(ROWS($AH$2:$AH342)&lt;=MAX('Per Line'!$AR$2:$AR$1501),MATCH(ROWS($AH$2:$AH342),'Per Line'!$AR$2:$AR$1501,0),"")</f>
        <v/>
      </c>
      <c r="AI342">
        <f>IF($AH342="","",C342&amp;"|"&amp;COUNTIF($C$2:$C342,C342))</f>
        <v/>
      </c>
    </row>
    <row r="343">
      <c r="A343" s="15" t="n"/>
      <c r="B343">
        <f>IF($AH343="","",INDEX('Per Line'!$E$2:$E$1501,$AH343)&amp;"")</f>
        <v/>
      </c>
      <c r="C343">
        <f>IF($AH343="","",IF(INDEX('Per Line'!$AP$2:$AP$1501,$AH343)="NOT MATCH","NOT MATCH","FULL MATCH"))</f>
        <v/>
      </c>
      <c r="D343">
        <f>IF($AH343="","",INDEX('Per Line'!$A$2:$A$1501,$AH343)&amp;"")</f>
        <v/>
      </c>
      <c r="E343">
        <f>IF($AH343="","",INDEX('Per Line'!$B$2:$B$1501,$AH343))</f>
        <v/>
      </c>
      <c r="F343">
        <f>IF($AH343="","",INDEX('Per Line'!$C$2:$C$1501,$AH343)&amp;"")</f>
        <v/>
      </c>
      <c r="G343">
        <f>IF($AH343="","",INDEX('Per Line'!$D$2:$D$1501,$AH343)&amp;"")</f>
        <v/>
      </c>
      <c r="H343">
        <f>IF($AH343="","",INDEX('Per Line'!$F$2:$F$1501,$AH343)&amp;"")</f>
        <v/>
      </c>
      <c r="I343" s="14">
        <f>IF($AH343="","",INDEX('Per Line'!$G$2:$G$1501,$AH343))</f>
        <v/>
      </c>
      <c r="J343">
        <f>IF($AH343="","",INDEX('Per Line'!$H$2:$H$1501,$AH343)&amp;"")</f>
        <v/>
      </c>
      <c r="K343">
        <f>IF($AH343="","",INDEX('Per Line'!$J$2:$J$1501,$AH343)&amp;"")</f>
        <v/>
      </c>
      <c r="L343">
        <f>IF($AH343="","",INDEX('Per Line'!$K$2:$K$1501,$AH343)&amp;"")</f>
        <v/>
      </c>
      <c r="M343">
        <f>IF($AH343="","",INDEX('Per Line'!$L$2:$L$1501,$AH343)&amp;"")</f>
        <v/>
      </c>
      <c r="N343">
        <f>IF($AH343="","",INDEX('Per Line'!$M$2:$M$1501,$AH343)&amp;"")</f>
        <v/>
      </c>
      <c r="O343">
        <f>IF($AH343="","",INDEX('Per Line'!$P$2:$P$1501,$AH343))</f>
        <v/>
      </c>
      <c r="P343" s="7">
        <f>IF($AH343="","",O343*AD343/100)</f>
        <v/>
      </c>
      <c r="Q343">
        <f>IF($AH343="","",INDEX('Per Line'!$R$2:$R$1501,$AH343)&amp;"")</f>
        <v/>
      </c>
      <c r="R343">
        <f>IF($AH343="","",INDEX('Per Line'!$AB$2:$AB$1501,$AH343)&amp;"")</f>
        <v/>
      </c>
      <c r="S343">
        <f>IF($AH343="","",Settings!$C$8)</f>
        <v/>
      </c>
      <c r="T343" s="7">
        <f>IF($AH343="","",SUMIFS('Per Line'!$Z$2:$Z$1501,'Per Line'!$E$2:$E$1501,$B343,'Per Line'!$AT$2:$AT$1501,1))</f>
        <v/>
      </c>
      <c r="U343" s="7">
        <f>IF($AH343="","",T343*S343)</f>
        <v/>
      </c>
      <c r="V343">
        <f>IF($AH343="","",Settings!$C$7)</f>
        <v/>
      </c>
      <c r="W343" s="7">
        <f>IF($AH343="","",SUMIFS('Per Line'!$Z$2:$Z$1501,'Per Line'!$E$2:$E$1501,$B343,'Per Line'!$AS$2:$AS$1501,0,'Per Line'!$AT$2:$AT$1501,0))</f>
        <v/>
      </c>
      <c r="X343" s="7">
        <f>IF($AH343="","",W343*V343)</f>
        <v/>
      </c>
      <c r="Y343">
        <f>IF($AH343="","",Settings!$C$6)</f>
        <v/>
      </c>
      <c r="Z343" s="7">
        <f>IF($AH343="","",SUMIFS('Per Line'!$Z$2:$Z$1501,'Per Line'!$E$2:$E$1501,$B343,'Per Line'!$AS$2:$AS$1501,1,'Per Line'!$AT$2:$AT$1501,0))</f>
        <v/>
      </c>
      <c r="AA343" s="7">
        <f>IF($AH343="","",Z343*Y343)</f>
        <v/>
      </c>
      <c r="AB343" s="7">
        <f>IF($AH343="","",AA343+X343+U343)</f>
        <v/>
      </c>
      <c r="AC343" s="7">
        <f>IF($AH343="","",AD343-AB343)</f>
        <v/>
      </c>
      <c r="AD343" s="7">
        <f>IF($AH343="","",W343+Z343+T343)</f>
        <v/>
      </c>
      <c r="AE343" s="7">
        <f>IF($AH343="","",AD343-AB343-P343)</f>
        <v/>
      </c>
      <c r="AF343" s="15" t="n"/>
      <c r="AG343" s="7">
        <f>IF($AH343="","",AE343-N(AF343))</f>
        <v/>
      </c>
      <c r="AH343" s="16">
        <f>IF(ROWS($AH$2:$AH343)&lt;=MAX('Per Line'!$AR$2:$AR$1501),MATCH(ROWS($AH$2:$AH343),'Per Line'!$AR$2:$AR$1501,0),"")</f>
        <v/>
      </c>
      <c r="AI343">
        <f>IF($AH343="","",C343&amp;"|"&amp;COUNTIF($C$2:$C343,C343))</f>
        <v/>
      </c>
    </row>
    <row r="344">
      <c r="A344" s="15" t="n"/>
      <c r="B344">
        <f>IF($AH344="","",INDEX('Per Line'!$E$2:$E$1501,$AH344)&amp;"")</f>
        <v/>
      </c>
      <c r="C344">
        <f>IF($AH344="","",IF(INDEX('Per Line'!$AP$2:$AP$1501,$AH344)="NOT MATCH","NOT MATCH","FULL MATCH"))</f>
        <v/>
      </c>
      <c r="D344">
        <f>IF($AH344="","",INDEX('Per Line'!$A$2:$A$1501,$AH344)&amp;"")</f>
        <v/>
      </c>
      <c r="E344">
        <f>IF($AH344="","",INDEX('Per Line'!$B$2:$B$1501,$AH344))</f>
        <v/>
      </c>
      <c r="F344">
        <f>IF($AH344="","",INDEX('Per Line'!$C$2:$C$1501,$AH344)&amp;"")</f>
        <v/>
      </c>
      <c r="G344">
        <f>IF($AH344="","",INDEX('Per Line'!$D$2:$D$1501,$AH344)&amp;"")</f>
        <v/>
      </c>
      <c r="H344">
        <f>IF($AH344="","",INDEX('Per Line'!$F$2:$F$1501,$AH344)&amp;"")</f>
        <v/>
      </c>
      <c r="I344" s="14">
        <f>IF($AH344="","",INDEX('Per Line'!$G$2:$G$1501,$AH344))</f>
        <v/>
      </c>
      <c r="J344">
        <f>IF($AH344="","",INDEX('Per Line'!$H$2:$H$1501,$AH344)&amp;"")</f>
        <v/>
      </c>
      <c r="K344">
        <f>IF($AH344="","",INDEX('Per Line'!$J$2:$J$1501,$AH344)&amp;"")</f>
        <v/>
      </c>
      <c r="L344">
        <f>IF($AH344="","",INDEX('Per Line'!$K$2:$K$1501,$AH344)&amp;"")</f>
        <v/>
      </c>
      <c r="M344">
        <f>IF($AH344="","",INDEX('Per Line'!$L$2:$L$1501,$AH344)&amp;"")</f>
        <v/>
      </c>
      <c r="N344">
        <f>IF($AH344="","",INDEX('Per Line'!$M$2:$M$1501,$AH344)&amp;"")</f>
        <v/>
      </c>
      <c r="O344">
        <f>IF($AH344="","",INDEX('Per Line'!$P$2:$P$1501,$AH344))</f>
        <v/>
      </c>
      <c r="P344" s="7">
        <f>IF($AH344="","",O344*AD344/100)</f>
        <v/>
      </c>
      <c r="Q344">
        <f>IF($AH344="","",INDEX('Per Line'!$R$2:$R$1501,$AH344)&amp;"")</f>
        <v/>
      </c>
      <c r="R344">
        <f>IF($AH344="","",INDEX('Per Line'!$AB$2:$AB$1501,$AH344)&amp;"")</f>
        <v/>
      </c>
      <c r="S344">
        <f>IF($AH344="","",Settings!$C$8)</f>
        <v/>
      </c>
      <c r="T344" s="7">
        <f>IF($AH344="","",SUMIFS('Per Line'!$Z$2:$Z$1501,'Per Line'!$E$2:$E$1501,$B344,'Per Line'!$AT$2:$AT$1501,1))</f>
        <v/>
      </c>
      <c r="U344" s="7">
        <f>IF($AH344="","",T344*S344)</f>
        <v/>
      </c>
      <c r="V344">
        <f>IF($AH344="","",Settings!$C$7)</f>
        <v/>
      </c>
      <c r="W344" s="7">
        <f>IF($AH344="","",SUMIFS('Per Line'!$Z$2:$Z$1501,'Per Line'!$E$2:$E$1501,$B344,'Per Line'!$AS$2:$AS$1501,0,'Per Line'!$AT$2:$AT$1501,0))</f>
        <v/>
      </c>
      <c r="X344" s="7">
        <f>IF($AH344="","",W344*V344)</f>
        <v/>
      </c>
      <c r="Y344">
        <f>IF($AH344="","",Settings!$C$6)</f>
        <v/>
      </c>
      <c r="Z344" s="7">
        <f>IF($AH344="","",SUMIFS('Per Line'!$Z$2:$Z$1501,'Per Line'!$E$2:$E$1501,$B344,'Per Line'!$AS$2:$AS$1501,1,'Per Line'!$AT$2:$AT$1501,0))</f>
        <v/>
      </c>
      <c r="AA344" s="7">
        <f>IF($AH344="","",Z344*Y344)</f>
        <v/>
      </c>
      <c r="AB344" s="7">
        <f>IF($AH344="","",AA344+X344+U344)</f>
        <v/>
      </c>
      <c r="AC344" s="7">
        <f>IF($AH344="","",AD344-AB344)</f>
        <v/>
      </c>
      <c r="AD344" s="7">
        <f>IF($AH344="","",W344+Z344+T344)</f>
        <v/>
      </c>
      <c r="AE344" s="7">
        <f>IF($AH344="","",AD344-AB344-P344)</f>
        <v/>
      </c>
      <c r="AF344" s="15" t="n"/>
      <c r="AG344" s="7">
        <f>IF($AH344="","",AE344-N(AF344))</f>
        <v/>
      </c>
      <c r="AH344" s="16">
        <f>IF(ROWS($AH$2:$AH344)&lt;=MAX('Per Line'!$AR$2:$AR$1501),MATCH(ROWS($AH$2:$AH344),'Per Line'!$AR$2:$AR$1501,0),"")</f>
        <v/>
      </c>
      <c r="AI344">
        <f>IF($AH344="","",C344&amp;"|"&amp;COUNTIF($C$2:$C344,C344))</f>
        <v/>
      </c>
    </row>
    <row r="345">
      <c r="A345" s="15" t="n"/>
      <c r="B345">
        <f>IF($AH345="","",INDEX('Per Line'!$E$2:$E$1501,$AH345)&amp;"")</f>
        <v/>
      </c>
      <c r="C345">
        <f>IF($AH345="","",IF(INDEX('Per Line'!$AP$2:$AP$1501,$AH345)="NOT MATCH","NOT MATCH","FULL MATCH"))</f>
        <v/>
      </c>
      <c r="D345">
        <f>IF($AH345="","",INDEX('Per Line'!$A$2:$A$1501,$AH345)&amp;"")</f>
        <v/>
      </c>
      <c r="E345">
        <f>IF($AH345="","",INDEX('Per Line'!$B$2:$B$1501,$AH345))</f>
        <v/>
      </c>
      <c r="F345">
        <f>IF($AH345="","",INDEX('Per Line'!$C$2:$C$1501,$AH345)&amp;"")</f>
        <v/>
      </c>
      <c r="G345">
        <f>IF($AH345="","",INDEX('Per Line'!$D$2:$D$1501,$AH345)&amp;"")</f>
        <v/>
      </c>
      <c r="H345">
        <f>IF($AH345="","",INDEX('Per Line'!$F$2:$F$1501,$AH345)&amp;"")</f>
        <v/>
      </c>
      <c r="I345" s="14">
        <f>IF($AH345="","",INDEX('Per Line'!$G$2:$G$1501,$AH345))</f>
        <v/>
      </c>
      <c r="J345">
        <f>IF($AH345="","",INDEX('Per Line'!$H$2:$H$1501,$AH345)&amp;"")</f>
        <v/>
      </c>
      <c r="K345">
        <f>IF($AH345="","",INDEX('Per Line'!$J$2:$J$1501,$AH345)&amp;"")</f>
        <v/>
      </c>
      <c r="L345">
        <f>IF($AH345="","",INDEX('Per Line'!$K$2:$K$1501,$AH345)&amp;"")</f>
        <v/>
      </c>
      <c r="M345">
        <f>IF($AH345="","",INDEX('Per Line'!$L$2:$L$1501,$AH345)&amp;"")</f>
        <v/>
      </c>
      <c r="N345">
        <f>IF($AH345="","",INDEX('Per Line'!$M$2:$M$1501,$AH345)&amp;"")</f>
        <v/>
      </c>
      <c r="O345">
        <f>IF($AH345="","",INDEX('Per Line'!$P$2:$P$1501,$AH345))</f>
        <v/>
      </c>
      <c r="P345" s="7">
        <f>IF($AH345="","",O345*AD345/100)</f>
        <v/>
      </c>
      <c r="Q345">
        <f>IF($AH345="","",INDEX('Per Line'!$R$2:$R$1501,$AH345)&amp;"")</f>
        <v/>
      </c>
      <c r="R345">
        <f>IF($AH345="","",INDEX('Per Line'!$AB$2:$AB$1501,$AH345)&amp;"")</f>
        <v/>
      </c>
      <c r="S345">
        <f>IF($AH345="","",Settings!$C$8)</f>
        <v/>
      </c>
      <c r="T345" s="7">
        <f>IF($AH345="","",SUMIFS('Per Line'!$Z$2:$Z$1501,'Per Line'!$E$2:$E$1501,$B345,'Per Line'!$AT$2:$AT$1501,1))</f>
        <v/>
      </c>
      <c r="U345" s="7">
        <f>IF($AH345="","",T345*S345)</f>
        <v/>
      </c>
      <c r="V345">
        <f>IF($AH345="","",Settings!$C$7)</f>
        <v/>
      </c>
      <c r="W345" s="7">
        <f>IF($AH345="","",SUMIFS('Per Line'!$Z$2:$Z$1501,'Per Line'!$E$2:$E$1501,$B345,'Per Line'!$AS$2:$AS$1501,0,'Per Line'!$AT$2:$AT$1501,0))</f>
        <v/>
      </c>
      <c r="X345" s="7">
        <f>IF($AH345="","",W345*V345)</f>
        <v/>
      </c>
      <c r="Y345">
        <f>IF($AH345="","",Settings!$C$6)</f>
        <v/>
      </c>
      <c r="Z345" s="7">
        <f>IF($AH345="","",SUMIFS('Per Line'!$Z$2:$Z$1501,'Per Line'!$E$2:$E$1501,$B345,'Per Line'!$AS$2:$AS$1501,1,'Per Line'!$AT$2:$AT$1501,0))</f>
        <v/>
      </c>
      <c r="AA345" s="7">
        <f>IF($AH345="","",Z345*Y345)</f>
        <v/>
      </c>
      <c r="AB345" s="7">
        <f>IF($AH345="","",AA345+X345+U345)</f>
        <v/>
      </c>
      <c r="AC345" s="7">
        <f>IF($AH345="","",AD345-AB345)</f>
        <v/>
      </c>
      <c r="AD345" s="7">
        <f>IF($AH345="","",W345+Z345+T345)</f>
        <v/>
      </c>
      <c r="AE345" s="7">
        <f>IF($AH345="","",AD345-AB345-P345)</f>
        <v/>
      </c>
      <c r="AF345" s="15" t="n"/>
      <c r="AG345" s="7">
        <f>IF($AH345="","",AE345-N(AF345))</f>
        <v/>
      </c>
      <c r="AH345" s="16">
        <f>IF(ROWS($AH$2:$AH345)&lt;=MAX('Per Line'!$AR$2:$AR$1501),MATCH(ROWS($AH$2:$AH345),'Per Line'!$AR$2:$AR$1501,0),"")</f>
        <v/>
      </c>
      <c r="AI345">
        <f>IF($AH345="","",C345&amp;"|"&amp;COUNTIF($C$2:$C345,C345))</f>
        <v/>
      </c>
    </row>
    <row r="346">
      <c r="A346" s="15" t="n"/>
      <c r="B346">
        <f>IF($AH346="","",INDEX('Per Line'!$E$2:$E$1501,$AH346)&amp;"")</f>
        <v/>
      </c>
      <c r="C346">
        <f>IF($AH346="","",IF(INDEX('Per Line'!$AP$2:$AP$1501,$AH346)="NOT MATCH","NOT MATCH","FULL MATCH"))</f>
        <v/>
      </c>
      <c r="D346">
        <f>IF($AH346="","",INDEX('Per Line'!$A$2:$A$1501,$AH346)&amp;"")</f>
        <v/>
      </c>
      <c r="E346">
        <f>IF($AH346="","",INDEX('Per Line'!$B$2:$B$1501,$AH346))</f>
        <v/>
      </c>
      <c r="F346">
        <f>IF($AH346="","",INDEX('Per Line'!$C$2:$C$1501,$AH346)&amp;"")</f>
        <v/>
      </c>
      <c r="G346">
        <f>IF($AH346="","",INDEX('Per Line'!$D$2:$D$1501,$AH346)&amp;"")</f>
        <v/>
      </c>
      <c r="H346">
        <f>IF($AH346="","",INDEX('Per Line'!$F$2:$F$1501,$AH346)&amp;"")</f>
        <v/>
      </c>
      <c r="I346" s="14">
        <f>IF($AH346="","",INDEX('Per Line'!$G$2:$G$1501,$AH346))</f>
        <v/>
      </c>
      <c r="J346">
        <f>IF($AH346="","",INDEX('Per Line'!$H$2:$H$1501,$AH346)&amp;"")</f>
        <v/>
      </c>
      <c r="K346">
        <f>IF($AH346="","",INDEX('Per Line'!$J$2:$J$1501,$AH346)&amp;"")</f>
        <v/>
      </c>
      <c r="L346">
        <f>IF($AH346="","",INDEX('Per Line'!$K$2:$K$1501,$AH346)&amp;"")</f>
        <v/>
      </c>
      <c r="M346">
        <f>IF($AH346="","",INDEX('Per Line'!$L$2:$L$1501,$AH346)&amp;"")</f>
        <v/>
      </c>
      <c r="N346">
        <f>IF($AH346="","",INDEX('Per Line'!$M$2:$M$1501,$AH346)&amp;"")</f>
        <v/>
      </c>
      <c r="O346">
        <f>IF($AH346="","",INDEX('Per Line'!$P$2:$P$1501,$AH346))</f>
        <v/>
      </c>
      <c r="P346" s="7">
        <f>IF($AH346="","",O346*AD346/100)</f>
        <v/>
      </c>
      <c r="Q346">
        <f>IF($AH346="","",INDEX('Per Line'!$R$2:$R$1501,$AH346)&amp;"")</f>
        <v/>
      </c>
      <c r="R346">
        <f>IF($AH346="","",INDEX('Per Line'!$AB$2:$AB$1501,$AH346)&amp;"")</f>
        <v/>
      </c>
      <c r="S346">
        <f>IF($AH346="","",Settings!$C$8)</f>
        <v/>
      </c>
      <c r="T346" s="7">
        <f>IF($AH346="","",SUMIFS('Per Line'!$Z$2:$Z$1501,'Per Line'!$E$2:$E$1501,$B346,'Per Line'!$AT$2:$AT$1501,1))</f>
        <v/>
      </c>
      <c r="U346" s="7">
        <f>IF($AH346="","",T346*S346)</f>
        <v/>
      </c>
      <c r="V346">
        <f>IF($AH346="","",Settings!$C$7)</f>
        <v/>
      </c>
      <c r="W346" s="7">
        <f>IF($AH346="","",SUMIFS('Per Line'!$Z$2:$Z$1501,'Per Line'!$E$2:$E$1501,$B346,'Per Line'!$AS$2:$AS$1501,0,'Per Line'!$AT$2:$AT$1501,0))</f>
        <v/>
      </c>
      <c r="X346" s="7">
        <f>IF($AH346="","",W346*V346)</f>
        <v/>
      </c>
      <c r="Y346">
        <f>IF($AH346="","",Settings!$C$6)</f>
        <v/>
      </c>
      <c r="Z346" s="7">
        <f>IF($AH346="","",SUMIFS('Per Line'!$Z$2:$Z$1501,'Per Line'!$E$2:$E$1501,$B346,'Per Line'!$AS$2:$AS$1501,1,'Per Line'!$AT$2:$AT$1501,0))</f>
        <v/>
      </c>
      <c r="AA346" s="7">
        <f>IF($AH346="","",Z346*Y346)</f>
        <v/>
      </c>
      <c r="AB346" s="7">
        <f>IF($AH346="","",AA346+X346+U346)</f>
        <v/>
      </c>
      <c r="AC346" s="7">
        <f>IF($AH346="","",AD346-AB346)</f>
        <v/>
      </c>
      <c r="AD346" s="7">
        <f>IF($AH346="","",W346+Z346+T346)</f>
        <v/>
      </c>
      <c r="AE346" s="7">
        <f>IF($AH346="","",AD346-AB346-P346)</f>
        <v/>
      </c>
      <c r="AF346" s="15" t="n"/>
      <c r="AG346" s="7">
        <f>IF($AH346="","",AE346-N(AF346))</f>
        <v/>
      </c>
      <c r="AH346" s="16">
        <f>IF(ROWS($AH$2:$AH346)&lt;=MAX('Per Line'!$AR$2:$AR$1501),MATCH(ROWS($AH$2:$AH346),'Per Line'!$AR$2:$AR$1501,0),"")</f>
        <v/>
      </c>
      <c r="AI346">
        <f>IF($AH346="","",C346&amp;"|"&amp;COUNTIF($C$2:$C346,C346))</f>
        <v/>
      </c>
    </row>
    <row r="347">
      <c r="A347" s="15" t="n"/>
      <c r="B347">
        <f>IF($AH347="","",INDEX('Per Line'!$E$2:$E$1501,$AH347)&amp;"")</f>
        <v/>
      </c>
      <c r="C347">
        <f>IF($AH347="","",IF(INDEX('Per Line'!$AP$2:$AP$1501,$AH347)="NOT MATCH","NOT MATCH","FULL MATCH"))</f>
        <v/>
      </c>
      <c r="D347">
        <f>IF($AH347="","",INDEX('Per Line'!$A$2:$A$1501,$AH347)&amp;"")</f>
        <v/>
      </c>
      <c r="E347">
        <f>IF($AH347="","",INDEX('Per Line'!$B$2:$B$1501,$AH347))</f>
        <v/>
      </c>
      <c r="F347">
        <f>IF($AH347="","",INDEX('Per Line'!$C$2:$C$1501,$AH347)&amp;"")</f>
        <v/>
      </c>
      <c r="G347">
        <f>IF($AH347="","",INDEX('Per Line'!$D$2:$D$1501,$AH347)&amp;"")</f>
        <v/>
      </c>
      <c r="H347">
        <f>IF($AH347="","",INDEX('Per Line'!$F$2:$F$1501,$AH347)&amp;"")</f>
        <v/>
      </c>
      <c r="I347" s="14">
        <f>IF($AH347="","",INDEX('Per Line'!$G$2:$G$1501,$AH347))</f>
        <v/>
      </c>
      <c r="J347">
        <f>IF($AH347="","",INDEX('Per Line'!$H$2:$H$1501,$AH347)&amp;"")</f>
        <v/>
      </c>
      <c r="K347">
        <f>IF($AH347="","",INDEX('Per Line'!$J$2:$J$1501,$AH347)&amp;"")</f>
        <v/>
      </c>
      <c r="L347">
        <f>IF($AH347="","",INDEX('Per Line'!$K$2:$K$1501,$AH347)&amp;"")</f>
        <v/>
      </c>
      <c r="M347">
        <f>IF($AH347="","",INDEX('Per Line'!$L$2:$L$1501,$AH347)&amp;"")</f>
        <v/>
      </c>
      <c r="N347">
        <f>IF($AH347="","",INDEX('Per Line'!$M$2:$M$1501,$AH347)&amp;"")</f>
        <v/>
      </c>
      <c r="O347">
        <f>IF($AH347="","",INDEX('Per Line'!$P$2:$P$1501,$AH347))</f>
        <v/>
      </c>
      <c r="P347" s="7">
        <f>IF($AH347="","",O347*AD347/100)</f>
        <v/>
      </c>
      <c r="Q347">
        <f>IF($AH347="","",INDEX('Per Line'!$R$2:$R$1501,$AH347)&amp;"")</f>
        <v/>
      </c>
      <c r="R347">
        <f>IF($AH347="","",INDEX('Per Line'!$AB$2:$AB$1501,$AH347)&amp;"")</f>
        <v/>
      </c>
      <c r="S347">
        <f>IF($AH347="","",Settings!$C$8)</f>
        <v/>
      </c>
      <c r="T347" s="7">
        <f>IF($AH347="","",SUMIFS('Per Line'!$Z$2:$Z$1501,'Per Line'!$E$2:$E$1501,$B347,'Per Line'!$AT$2:$AT$1501,1))</f>
        <v/>
      </c>
      <c r="U347" s="7">
        <f>IF($AH347="","",T347*S347)</f>
        <v/>
      </c>
      <c r="V347">
        <f>IF($AH347="","",Settings!$C$7)</f>
        <v/>
      </c>
      <c r="W347" s="7">
        <f>IF($AH347="","",SUMIFS('Per Line'!$Z$2:$Z$1501,'Per Line'!$E$2:$E$1501,$B347,'Per Line'!$AS$2:$AS$1501,0,'Per Line'!$AT$2:$AT$1501,0))</f>
        <v/>
      </c>
      <c r="X347" s="7">
        <f>IF($AH347="","",W347*V347)</f>
        <v/>
      </c>
      <c r="Y347">
        <f>IF($AH347="","",Settings!$C$6)</f>
        <v/>
      </c>
      <c r="Z347" s="7">
        <f>IF($AH347="","",SUMIFS('Per Line'!$Z$2:$Z$1501,'Per Line'!$E$2:$E$1501,$B347,'Per Line'!$AS$2:$AS$1501,1,'Per Line'!$AT$2:$AT$1501,0))</f>
        <v/>
      </c>
      <c r="AA347" s="7">
        <f>IF($AH347="","",Z347*Y347)</f>
        <v/>
      </c>
      <c r="AB347" s="7">
        <f>IF($AH347="","",AA347+X347+U347)</f>
        <v/>
      </c>
      <c r="AC347" s="7">
        <f>IF($AH347="","",AD347-AB347)</f>
        <v/>
      </c>
      <c r="AD347" s="7">
        <f>IF($AH347="","",W347+Z347+T347)</f>
        <v/>
      </c>
      <c r="AE347" s="7">
        <f>IF($AH347="","",AD347-AB347-P347)</f>
        <v/>
      </c>
      <c r="AF347" s="15" t="n"/>
      <c r="AG347" s="7">
        <f>IF($AH347="","",AE347-N(AF347))</f>
        <v/>
      </c>
      <c r="AH347" s="16">
        <f>IF(ROWS($AH$2:$AH347)&lt;=MAX('Per Line'!$AR$2:$AR$1501),MATCH(ROWS($AH$2:$AH347),'Per Line'!$AR$2:$AR$1501,0),"")</f>
        <v/>
      </c>
      <c r="AI347">
        <f>IF($AH347="","",C347&amp;"|"&amp;COUNTIF($C$2:$C347,C347))</f>
        <v/>
      </c>
    </row>
    <row r="348">
      <c r="A348" s="15" t="n"/>
      <c r="B348">
        <f>IF($AH348="","",INDEX('Per Line'!$E$2:$E$1501,$AH348)&amp;"")</f>
        <v/>
      </c>
      <c r="C348">
        <f>IF($AH348="","",IF(INDEX('Per Line'!$AP$2:$AP$1501,$AH348)="NOT MATCH","NOT MATCH","FULL MATCH"))</f>
        <v/>
      </c>
      <c r="D348">
        <f>IF($AH348="","",INDEX('Per Line'!$A$2:$A$1501,$AH348)&amp;"")</f>
        <v/>
      </c>
      <c r="E348">
        <f>IF($AH348="","",INDEX('Per Line'!$B$2:$B$1501,$AH348))</f>
        <v/>
      </c>
      <c r="F348">
        <f>IF($AH348="","",INDEX('Per Line'!$C$2:$C$1501,$AH348)&amp;"")</f>
        <v/>
      </c>
      <c r="G348">
        <f>IF($AH348="","",INDEX('Per Line'!$D$2:$D$1501,$AH348)&amp;"")</f>
        <v/>
      </c>
      <c r="H348">
        <f>IF($AH348="","",INDEX('Per Line'!$F$2:$F$1501,$AH348)&amp;"")</f>
        <v/>
      </c>
      <c r="I348" s="14">
        <f>IF($AH348="","",INDEX('Per Line'!$G$2:$G$1501,$AH348))</f>
        <v/>
      </c>
      <c r="J348">
        <f>IF($AH348="","",INDEX('Per Line'!$H$2:$H$1501,$AH348)&amp;"")</f>
        <v/>
      </c>
      <c r="K348">
        <f>IF($AH348="","",INDEX('Per Line'!$J$2:$J$1501,$AH348)&amp;"")</f>
        <v/>
      </c>
      <c r="L348">
        <f>IF($AH348="","",INDEX('Per Line'!$K$2:$K$1501,$AH348)&amp;"")</f>
        <v/>
      </c>
      <c r="M348">
        <f>IF($AH348="","",INDEX('Per Line'!$L$2:$L$1501,$AH348)&amp;"")</f>
        <v/>
      </c>
      <c r="N348">
        <f>IF($AH348="","",INDEX('Per Line'!$M$2:$M$1501,$AH348)&amp;"")</f>
        <v/>
      </c>
      <c r="O348">
        <f>IF($AH348="","",INDEX('Per Line'!$P$2:$P$1501,$AH348))</f>
        <v/>
      </c>
      <c r="P348" s="7">
        <f>IF($AH348="","",O348*AD348/100)</f>
        <v/>
      </c>
      <c r="Q348">
        <f>IF($AH348="","",INDEX('Per Line'!$R$2:$R$1501,$AH348)&amp;"")</f>
        <v/>
      </c>
      <c r="R348">
        <f>IF($AH348="","",INDEX('Per Line'!$AB$2:$AB$1501,$AH348)&amp;"")</f>
        <v/>
      </c>
      <c r="S348">
        <f>IF($AH348="","",Settings!$C$8)</f>
        <v/>
      </c>
      <c r="T348" s="7">
        <f>IF($AH348="","",SUMIFS('Per Line'!$Z$2:$Z$1501,'Per Line'!$E$2:$E$1501,$B348,'Per Line'!$AT$2:$AT$1501,1))</f>
        <v/>
      </c>
      <c r="U348" s="7">
        <f>IF($AH348="","",T348*S348)</f>
        <v/>
      </c>
      <c r="V348">
        <f>IF($AH348="","",Settings!$C$7)</f>
        <v/>
      </c>
      <c r="W348" s="7">
        <f>IF($AH348="","",SUMIFS('Per Line'!$Z$2:$Z$1501,'Per Line'!$E$2:$E$1501,$B348,'Per Line'!$AS$2:$AS$1501,0,'Per Line'!$AT$2:$AT$1501,0))</f>
        <v/>
      </c>
      <c r="X348" s="7">
        <f>IF($AH348="","",W348*V348)</f>
        <v/>
      </c>
      <c r="Y348">
        <f>IF($AH348="","",Settings!$C$6)</f>
        <v/>
      </c>
      <c r="Z348" s="7">
        <f>IF($AH348="","",SUMIFS('Per Line'!$Z$2:$Z$1501,'Per Line'!$E$2:$E$1501,$B348,'Per Line'!$AS$2:$AS$1501,1,'Per Line'!$AT$2:$AT$1501,0))</f>
        <v/>
      </c>
      <c r="AA348" s="7">
        <f>IF($AH348="","",Z348*Y348)</f>
        <v/>
      </c>
      <c r="AB348" s="7">
        <f>IF($AH348="","",AA348+X348+U348)</f>
        <v/>
      </c>
      <c r="AC348" s="7">
        <f>IF($AH348="","",AD348-AB348)</f>
        <v/>
      </c>
      <c r="AD348" s="7">
        <f>IF($AH348="","",W348+Z348+T348)</f>
        <v/>
      </c>
      <c r="AE348" s="7">
        <f>IF($AH348="","",AD348-AB348-P348)</f>
        <v/>
      </c>
      <c r="AF348" s="15" t="n"/>
      <c r="AG348" s="7">
        <f>IF($AH348="","",AE348-N(AF348))</f>
        <v/>
      </c>
      <c r="AH348" s="16">
        <f>IF(ROWS($AH$2:$AH348)&lt;=MAX('Per Line'!$AR$2:$AR$1501),MATCH(ROWS($AH$2:$AH348),'Per Line'!$AR$2:$AR$1501,0),"")</f>
        <v/>
      </c>
      <c r="AI348">
        <f>IF($AH348="","",C348&amp;"|"&amp;COUNTIF($C$2:$C348,C348))</f>
        <v/>
      </c>
    </row>
    <row r="349">
      <c r="A349" s="15" t="n"/>
      <c r="B349">
        <f>IF($AH349="","",INDEX('Per Line'!$E$2:$E$1501,$AH349)&amp;"")</f>
        <v/>
      </c>
      <c r="C349">
        <f>IF($AH349="","",IF(INDEX('Per Line'!$AP$2:$AP$1501,$AH349)="NOT MATCH","NOT MATCH","FULL MATCH"))</f>
        <v/>
      </c>
      <c r="D349">
        <f>IF($AH349="","",INDEX('Per Line'!$A$2:$A$1501,$AH349)&amp;"")</f>
        <v/>
      </c>
      <c r="E349">
        <f>IF($AH349="","",INDEX('Per Line'!$B$2:$B$1501,$AH349))</f>
        <v/>
      </c>
      <c r="F349">
        <f>IF($AH349="","",INDEX('Per Line'!$C$2:$C$1501,$AH349)&amp;"")</f>
        <v/>
      </c>
      <c r="G349">
        <f>IF($AH349="","",INDEX('Per Line'!$D$2:$D$1501,$AH349)&amp;"")</f>
        <v/>
      </c>
      <c r="H349">
        <f>IF($AH349="","",INDEX('Per Line'!$F$2:$F$1501,$AH349)&amp;"")</f>
        <v/>
      </c>
      <c r="I349" s="14">
        <f>IF($AH349="","",INDEX('Per Line'!$G$2:$G$1501,$AH349))</f>
        <v/>
      </c>
      <c r="J349">
        <f>IF($AH349="","",INDEX('Per Line'!$H$2:$H$1501,$AH349)&amp;"")</f>
        <v/>
      </c>
      <c r="K349">
        <f>IF($AH349="","",INDEX('Per Line'!$J$2:$J$1501,$AH349)&amp;"")</f>
        <v/>
      </c>
      <c r="L349">
        <f>IF($AH349="","",INDEX('Per Line'!$K$2:$K$1501,$AH349)&amp;"")</f>
        <v/>
      </c>
      <c r="M349">
        <f>IF($AH349="","",INDEX('Per Line'!$L$2:$L$1501,$AH349)&amp;"")</f>
        <v/>
      </c>
      <c r="N349">
        <f>IF($AH349="","",INDEX('Per Line'!$M$2:$M$1501,$AH349)&amp;"")</f>
        <v/>
      </c>
      <c r="O349">
        <f>IF($AH349="","",INDEX('Per Line'!$P$2:$P$1501,$AH349))</f>
        <v/>
      </c>
      <c r="P349" s="7">
        <f>IF($AH349="","",O349*AD349/100)</f>
        <v/>
      </c>
      <c r="Q349">
        <f>IF($AH349="","",INDEX('Per Line'!$R$2:$R$1501,$AH349)&amp;"")</f>
        <v/>
      </c>
      <c r="R349">
        <f>IF($AH349="","",INDEX('Per Line'!$AB$2:$AB$1501,$AH349)&amp;"")</f>
        <v/>
      </c>
      <c r="S349">
        <f>IF($AH349="","",Settings!$C$8)</f>
        <v/>
      </c>
      <c r="T349" s="7">
        <f>IF($AH349="","",SUMIFS('Per Line'!$Z$2:$Z$1501,'Per Line'!$E$2:$E$1501,$B349,'Per Line'!$AT$2:$AT$1501,1))</f>
        <v/>
      </c>
      <c r="U349" s="7">
        <f>IF($AH349="","",T349*S349)</f>
        <v/>
      </c>
      <c r="V349">
        <f>IF($AH349="","",Settings!$C$7)</f>
        <v/>
      </c>
      <c r="W349" s="7">
        <f>IF($AH349="","",SUMIFS('Per Line'!$Z$2:$Z$1501,'Per Line'!$E$2:$E$1501,$B349,'Per Line'!$AS$2:$AS$1501,0,'Per Line'!$AT$2:$AT$1501,0))</f>
        <v/>
      </c>
      <c r="X349" s="7">
        <f>IF($AH349="","",W349*V349)</f>
        <v/>
      </c>
      <c r="Y349">
        <f>IF($AH349="","",Settings!$C$6)</f>
        <v/>
      </c>
      <c r="Z349" s="7">
        <f>IF($AH349="","",SUMIFS('Per Line'!$Z$2:$Z$1501,'Per Line'!$E$2:$E$1501,$B349,'Per Line'!$AS$2:$AS$1501,1,'Per Line'!$AT$2:$AT$1501,0))</f>
        <v/>
      </c>
      <c r="AA349" s="7">
        <f>IF($AH349="","",Z349*Y349)</f>
        <v/>
      </c>
      <c r="AB349" s="7">
        <f>IF($AH349="","",AA349+X349+U349)</f>
        <v/>
      </c>
      <c r="AC349" s="7">
        <f>IF($AH349="","",AD349-AB349)</f>
        <v/>
      </c>
      <c r="AD349" s="7">
        <f>IF($AH349="","",W349+Z349+T349)</f>
        <v/>
      </c>
      <c r="AE349" s="7">
        <f>IF($AH349="","",AD349-AB349-P349)</f>
        <v/>
      </c>
      <c r="AF349" s="15" t="n"/>
      <c r="AG349" s="7">
        <f>IF($AH349="","",AE349-N(AF349))</f>
        <v/>
      </c>
      <c r="AH349" s="16">
        <f>IF(ROWS($AH$2:$AH349)&lt;=MAX('Per Line'!$AR$2:$AR$1501),MATCH(ROWS($AH$2:$AH349),'Per Line'!$AR$2:$AR$1501,0),"")</f>
        <v/>
      </c>
      <c r="AI349">
        <f>IF($AH349="","",C349&amp;"|"&amp;COUNTIF($C$2:$C349,C349))</f>
        <v/>
      </c>
    </row>
    <row r="350">
      <c r="A350" s="15" t="n"/>
      <c r="B350">
        <f>IF($AH350="","",INDEX('Per Line'!$E$2:$E$1501,$AH350)&amp;"")</f>
        <v/>
      </c>
      <c r="C350">
        <f>IF($AH350="","",IF(INDEX('Per Line'!$AP$2:$AP$1501,$AH350)="NOT MATCH","NOT MATCH","FULL MATCH"))</f>
        <v/>
      </c>
      <c r="D350">
        <f>IF($AH350="","",INDEX('Per Line'!$A$2:$A$1501,$AH350)&amp;"")</f>
        <v/>
      </c>
      <c r="E350">
        <f>IF($AH350="","",INDEX('Per Line'!$B$2:$B$1501,$AH350))</f>
        <v/>
      </c>
      <c r="F350">
        <f>IF($AH350="","",INDEX('Per Line'!$C$2:$C$1501,$AH350)&amp;"")</f>
        <v/>
      </c>
      <c r="G350">
        <f>IF($AH350="","",INDEX('Per Line'!$D$2:$D$1501,$AH350)&amp;"")</f>
        <v/>
      </c>
      <c r="H350">
        <f>IF($AH350="","",INDEX('Per Line'!$F$2:$F$1501,$AH350)&amp;"")</f>
        <v/>
      </c>
      <c r="I350" s="14">
        <f>IF($AH350="","",INDEX('Per Line'!$G$2:$G$1501,$AH350))</f>
        <v/>
      </c>
      <c r="J350">
        <f>IF($AH350="","",INDEX('Per Line'!$H$2:$H$1501,$AH350)&amp;"")</f>
        <v/>
      </c>
      <c r="K350">
        <f>IF($AH350="","",INDEX('Per Line'!$J$2:$J$1501,$AH350)&amp;"")</f>
        <v/>
      </c>
      <c r="L350">
        <f>IF($AH350="","",INDEX('Per Line'!$K$2:$K$1501,$AH350)&amp;"")</f>
        <v/>
      </c>
      <c r="M350">
        <f>IF($AH350="","",INDEX('Per Line'!$L$2:$L$1501,$AH350)&amp;"")</f>
        <v/>
      </c>
      <c r="N350">
        <f>IF($AH350="","",INDEX('Per Line'!$M$2:$M$1501,$AH350)&amp;"")</f>
        <v/>
      </c>
      <c r="O350">
        <f>IF($AH350="","",INDEX('Per Line'!$P$2:$P$1501,$AH350))</f>
        <v/>
      </c>
      <c r="P350" s="7">
        <f>IF($AH350="","",O350*AD350/100)</f>
        <v/>
      </c>
      <c r="Q350">
        <f>IF($AH350="","",INDEX('Per Line'!$R$2:$R$1501,$AH350)&amp;"")</f>
        <v/>
      </c>
      <c r="R350">
        <f>IF($AH350="","",INDEX('Per Line'!$AB$2:$AB$1501,$AH350)&amp;"")</f>
        <v/>
      </c>
      <c r="S350">
        <f>IF($AH350="","",Settings!$C$8)</f>
        <v/>
      </c>
      <c r="T350" s="7">
        <f>IF($AH350="","",SUMIFS('Per Line'!$Z$2:$Z$1501,'Per Line'!$E$2:$E$1501,$B350,'Per Line'!$AT$2:$AT$1501,1))</f>
        <v/>
      </c>
      <c r="U350" s="7">
        <f>IF($AH350="","",T350*S350)</f>
        <v/>
      </c>
      <c r="V350">
        <f>IF($AH350="","",Settings!$C$7)</f>
        <v/>
      </c>
      <c r="W350" s="7">
        <f>IF($AH350="","",SUMIFS('Per Line'!$Z$2:$Z$1501,'Per Line'!$E$2:$E$1501,$B350,'Per Line'!$AS$2:$AS$1501,0,'Per Line'!$AT$2:$AT$1501,0))</f>
        <v/>
      </c>
      <c r="X350" s="7">
        <f>IF($AH350="","",W350*V350)</f>
        <v/>
      </c>
      <c r="Y350">
        <f>IF($AH350="","",Settings!$C$6)</f>
        <v/>
      </c>
      <c r="Z350" s="7">
        <f>IF($AH350="","",SUMIFS('Per Line'!$Z$2:$Z$1501,'Per Line'!$E$2:$E$1501,$B350,'Per Line'!$AS$2:$AS$1501,1,'Per Line'!$AT$2:$AT$1501,0))</f>
        <v/>
      </c>
      <c r="AA350" s="7">
        <f>IF($AH350="","",Z350*Y350)</f>
        <v/>
      </c>
      <c r="AB350" s="7">
        <f>IF($AH350="","",AA350+X350+U350)</f>
        <v/>
      </c>
      <c r="AC350" s="7">
        <f>IF($AH350="","",AD350-AB350)</f>
        <v/>
      </c>
      <c r="AD350" s="7">
        <f>IF($AH350="","",W350+Z350+T350)</f>
        <v/>
      </c>
      <c r="AE350" s="7">
        <f>IF($AH350="","",AD350-AB350-P350)</f>
        <v/>
      </c>
      <c r="AF350" s="15" t="n"/>
      <c r="AG350" s="7">
        <f>IF($AH350="","",AE350-N(AF350))</f>
        <v/>
      </c>
      <c r="AH350" s="16">
        <f>IF(ROWS($AH$2:$AH350)&lt;=MAX('Per Line'!$AR$2:$AR$1501),MATCH(ROWS($AH$2:$AH350),'Per Line'!$AR$2:$AR$1501,0),"")</f>
        <v/>
      </c>
      <c r="AI350">
        <f>IF($AH350="","",C350&amp;"|"&amp;COUNTIF($C$2:$C350,C350))</f>
        <v/>
      </c>
    </row>
    <row r="351">
      <c r="A351" s="15" t="n"/>
      <c r="B351">
        <f>IF($AH351="","",INDEX('Per Line'!$E$2:$E$1501,$AH351)&amp;"")</f>
        <v/>
      </c>
      <c r="C351">
        <f>IF($AH351="","",IF(INDEX('Per Line'!$AP$2:$AP$1501,$AH351)="NOT MATCH","NOT MATCH","FULL MATCH"))</f>
        <v/>
      </c>
      <c r="D351">
        <f>IF($AH351="","",INDEX('Per Line'!$A$2:$A$1501,$AH351)&amp;"")</f>
        <v/>
      </c>
      <c r="E351">
        <f>IF($AH351="","",INDEX('Per Line'!$B$2:$B$1501,$AH351))</f>
        <v/>
      </c>
      <c r="F351">
        <f>IF($AH351="","",INDEX('Per Line'!$C$2:$C$1501,$AH351)&amp;"")</f>
        <v/>
      </c>
      <c r="G351">
        <f>IF($AH351="","",INDEX('Per Line'!$D$2:$D$1501,$AH351)&amp;"")</f>
        <v/>
      </c>
      <c r="H351">
        <f>IF($AH351="","",INDEX('Per Line'!$F$2:$F$1501,$AH351)&amp;"")</f>
        <v/>
      </c>
      <c r="I351" s="14">
        <f>IF($AH351="","",INDEX('Per Line'!$G$2:$G$1501,$AH351))</f>
        <v/>
      </c>
      <c r="J351">
        <f>IF($AH351="","",INDEX('Per Line'!$H$2:$H$1501,$AH351)&amp;"")</f>
        <v/>
      </c>
      <c r="K351">
        <f>IF($AH351="","",INDEX('Per Line'!$J$2:$J$1501,$AH351)&amp;"")</f>
        <v/>
      </c>
      <c r="L351">
        <f>IF($AH351="","",INDEX('Per Line'!$K$2:$K$1501,$AH351)&amp;"")</f>
        <v/>
      </c>
      <c r="M351">
        <f>IF($AH351="","",INDEX('Per Line'!$L$2:$L$1501,$AH351)&amp;"")</f>
        <v/>
      </c>
      <c r="N351">
        <f>IF($AH351="","",INDEX('Per Line'!$M$2:$M$1501,$AH351)&amp;"")</f>
        <v/>
      </c>
      <c r="O351">
        <f>IF($AH351="","",INDEX('Per Line'!$P$2:$P$1501,$AH351))</f>
        <v/>
      </c>
      <c r="P351" s="7">
        <f>IF($AH351="","",O351*AD351/100)</f>
        <v/>
      </c>
      <c r="Q351">
        <f>IF($AH351="","",INDEX('Per Line'!$R$2:$R$1501,$AH351)&amp;"")</f>
        <v/>
      </c>
      <c r="R351">
        <f>IF($AH351="","",INDEX('Per Line'!$AB$2:$AB$1501,$AH351)&amp;"")</f>
        <v/>
      </c>
      <c r="S351">
        <f>IF($AH351="","",Settings!$C$8)</f>
        <v/>
      </c>
      <c r="T351" s="7">
        <f>IF($AH351="","",SUMIFS('Per Line'!$Z$2:$Z$1501,'Per Line'!$E$2:$E$1501,$B351,'Per Line'!$AT$2:$AT$1501,1))</f>
        <v/>
      </c>
      <c r="U351" s="7">
        <f>IF($AH351="","",T351*S351)</f>
        <v/>
      </c>
      <c r="V351">
        <f>IF($AH351="","",Settings!$C$7)</f>
        <v/>
      </c>
      <c r="W351" s="7">
        <f>IF($AH351="","",SUMIFS('Per Line'!$Z$2:$Z$1501,'Per Line'!$E$2:$E$1501,$B351,'Per Line'!$AS$2:$AS$1501,0,'Per Line'!$AT$2:$AT$1501,0))</f>
        <v/>
      </c>
      <c r="X351" s="7">
        <f>IF($AH351="","",W351*V351)</f>
        <v/>
      </c>
      <c r="Y351">
        <f>IF($AH351="","",Settings!$C$6)</f>
        <v/>
      </c>
      <c r="Z351" s="7">
        <f>IF($AH351="","",SUMIFS('Per Line'!$Z$2:$Z$1501,'Per Line'!$E$2:$E$1501,$B351,'Per Line'!$AS$2:$AS$1501,1,'Per Line'!$AT$2:$AT$1501,0))</f>
        <v/>
      </c>
      <c r="AA351" s="7">
        <f>IF($AH351="","",Z351*Y351)</f>
        <v/>
      </c>
      <c r="AB351" s="7">
        <f>IF($AH351="","",AA351+X351+U351)</f>
        <v/>
      </c>
      <c r="AC351" s="7">
        <f>IF($AH351="","",AD351-AB351)</f>
        <v/>
      </c>
      <c r="AD351" s="7">
        <f>IF($AH351="","",W351+Z351+T351)</f>
        <v/>
      </c>
      <c r="AE351" s="7">
        <f>IF($AH351="","",AD351-AB351-P351)</f>
        <v/>
      </c>
      <c r="AF351" s="15" t="n"/>
      <c r="AG351" s="7">
        <f>IF($AH351="","",AE351-N(AF351))</f>
        <v/>
      </c>
      <c r="AH351" s="16">
        <f>IF(ROWS($AH$2:$AH351)&lt;=MAX('Per Line'!$AR$2:$AR$1501),MATCH(ROWS($AH$2:$AH351),'Per Line'!$AR$2:$AR$1501,0),"")</f>
        <v/>
      </c>
      <c r="AI351">
        <f>IF($AH351="","",C351&amp;"|"&amp;COUNTIF($C$2:$C351,C351))</f>
        <v/>
      </c>
    </row>
    <row r="352">
      <c r="A352" s="15" t="n"/>
      <c r="B352">
        <f>IF($AH352="","",INDEX('Per Line'!$E$2:$E$1501,$AH352)&amp;"")</f>
        <v/>
      </c>
      <c r="C352">
        <f>IF($AH352="","",IF(INDEX('Per Line'!$AP$2:$AP$1501,$AH352)="NOT MATCH","NOT MATCH","FULL MATCH"))</f>
        <v/>
      </c>
      <c r="D352">
        <f>IF($AH352="","",INDEX('Per Line'!$A$2:$A$1501,$AH352)&amp;"")</f>
        <v/>
      </c>
      <c r="E352">
        <f>IF($AH352="","",INDEX('Per Line'!$B$2:$B$1501,$AH352))</f>
        <v/>
      </c>
      <c r="F352">
        <f>IF($AH352="","",INDEX('Per Line'!$C$2:$C$1501,$AH352)&amp;"")</f>
        <v/>
      </c>
      <c r="G352">
        <f>IF($AH352="","",INDEX('Per Line'!$D$2:$D$1501,$AH352)&amp;"")</f>
        <v/>
      </c>
      <c r="H352">
        <f>IF($AH352="","",INDEX('Per Line'!$F$2:$F$1501,$AH352)&amp;"")</f>
        <v/>
      </c>
      <c r="I352" s="14">
        <f>IF($AH352="","",INDEX('Per Line'!$G$2:$G$1501,$AH352))</f>
        <v/>
      </c>
      <c r="J352">
        <f>IF($AH352="","",INDEX('Per Line'!$H$2:$H$1501,$AH352)&amp;"")</f>
        <v/>
      </c>
      <c r="K352">
        <f>IF($AH352="","",INDEX('Per Line'!$J$2:$J$1501,$AH352)&amp;"")</f>
        <v/>
      </c>
      <c r="L352">
        <f>IF($AH352="","",INDEX('Per Line'!$K$2:$K$1501,$AH352)&amp;"")</f>
        <v/>
      </c>
      <c r="M352">
        <f>IF($AH352="","",INDEX('Per Line'!$L$2:$L$1501,$AH352)&amp;"")</f>
        <v/>
      </c>
      <c r="N352">
        <f>IF($AH352="","",INDEX('Per Line'!$M$2:$M$1501,$AH352)&amp;"")</f>
        <v/>
      </c>
      <c r="O352">
        <f>IF($AH352="","",INDEX('Per Line'!$P$2:$P$1501,$AH352))</f>
        <v/>
      </c>
      <c r="P352" s="7">
        <f>IF($AH352="","",O352*AD352/100)</f>
        <v/>
      </c>
      <c r="Q352">
        <f>IF($AH352="","",INDEX('Per Line'!$R$2:$R$1501,$AH352)&amp;"")</f>
        <v/>
      </c>
      <c r="R352">
        <f>IF($AH352="","",INDEX('Per Line'!$AB$2:$AB$1501,$AH352)&amp;"")</f>
        <v/>
      </c>
      <c r="S352">
        <f>IF($AH352="","",Settings!$C$8)</f>
        <v/>
      </c>
      <c r="T352" s="7">
        <f>IF($AH352="","",SUMIFS('Per Line'!$Z$2:$Z$1501,'Per Line'!$E$2:$E$1501,$B352,'Per Line'!$AT$2:$AT$1501,1))</f>
        <v/>
      </c>
      <c r="U352" s="7">
        <f>IF($AH352="","",T352*S352)</f>
        <v/>
      </c>
      <c r="V352">
        <f>IF($AH352="","",Settings!$C$7)</f>
        <v/>
      </c>
      <c r="W352" s="7">
        <f>IF($AH352="","",SUMIFS('Per Line'!$Z$2:$Z$1501,'Per Line'!$E$2:$E$1501,$B352,'Per Line'!$AS$2:$AS$1501,0,'Per Line'!$AT$2:$AT$1501,0))</f>
        <v/>
      </c>
      <c r="X352" s="7">
        <f>IF($AH352="","",W352*V352)</f>
        <v/>
      </c>
      <c r="Y352">
        <f>IF($AH352="","",Settings!$C$6)</f>
        <v/>
      </c>
      <c r="Z352" s="7">
        <f>IF($AH352="","",SUMIFS('Per Line'!$Z$2:$Z$1501,'Per Line'!$E$2:$E$1501,$B352,'Per Line'!$AS$2:$AS$1501,1,'Per Line'!$AT$2:$AT$1501,0))</f>
        <v/>
      </c>
      <c r="AA352" s="7">
        <f>IF($AH352="","",Z352*Y352)</f>
        <v/>
      </c>
      <c r="AB352" s="7">
        <f>IF($AH352="","",AA352+X352+U352)</f>
        <v/>
      </c>
      <c r="AC352" s="7">
        <f>IF($AH352="","",AD352-AB352)</f>
        <v/>
      </c>
      <c r="AD352" s="7">
        <f>IF($AH352="","",W352+Z352+T352)</f>
        <v/>
      </c>
      <c r="AE352" s="7">
        <f>IF($AH352="","",AD352-AB352-P352)</f>
        <v/>
      </c>
      <c r="AF352" s="15" t="n"/>
      <c r="AG352" s="7">
        <f>IF($AH352="","",AE352-N(AF352))</f>
        <v/>
      </c>
      <c r="AH352" s="16">
        <f>IF(ROWS($AH$2:$AH352)&lt;=MAX('Per Line'!$AR$2:$AR$1501),MATCH(ROWS($AH$2:$AH352),'Per Line'!$AR$2:$AR$1501,0),"")</f>
        <v/>
      </c>
      <c r="AI352">
        <f>IF($AH352="","",C352&amp;"|"&amp;COUNTIF($C$2:$C352,C352))</f>
        <v/>
      </c>
    </row>
    <row r="353">
      <c r="A353" s="15" t="n"/>
      <c r="B353">
        <f>IF($AH353="","",INDEX('Per Line'!$E$2:$E$1501,$AH353)&amp;"")</f>
        <v/>
      </c>
      <c r="C353">
        <f>IF($AH353="","",IF(INDEX('Per Line'!$AP$2:$AP$1501,$AH353)="NOT MATCH","NOT MATCH","FULL MATCH"))</f>
        <v/>
      </c>
      <c r="D353">
        <f>IF($AH353="","",INDEX('Per Line'!$A$2:$A$1501,$AH353)&amp;"")</f>
        <v/>
      </c>
      <c r="E353">
        <f>IF($AH353="","",INDEX('Per Line'!$B$2:$B$1501,$AH353))</f>
        <v/>
      </c>
      <c r="F353">
        <f>IF($AH353="","",INDEX('Per Line'!$C$2:$C$1501,$AH353)&amp;"")</f>
        <v/>
      </c>
      <c r="G353">
        <f>IF($AH353="","",INDEX('Per Line'!$D$2:$D$1501,$AH353)&amp;"")</f>
        <v/>
      </c>
      <c r="H353">
        <f>IF($AH353="","",INDEX('Per Line'!$F$2:$F$1501,$AH353)&amp;"")</f>
        <v/>
      </c>
      <c r="I353" s="14">
        <f>IF($AH353="","",INDEX('Per Line'!$G$2:$G$1501,$AH353))</f>
        <v/>
      </c>
      <c r="J353">
        <f>IF($AH353="","",INDEX('Per Line'!$H$2:$H$1501,$AH353)&amp;"")</f>
        <v/>
      </c>
      <c r="K353">
        <f>IF($AH353="","",INDEX('Per Line'!$J$2:$J$1501,$AH353)&amp;"")</f>
        <v/>
      </c>
      <c r="L353">
        <f>IF($AH353="","",INDEX('Per Line'!$K$2:$K$1501,$AH353)&amp;"")</f>
        <v/>
      </c>
      <c r="M353">
        <f>IF($AH353="","",INDEX('Per Line'!$L$2:$L$1501,$AH353)&amp;"")</f>
        <v/>
      </c>
      <c r="N353">
        <f>IF($AH353="","",INDEX('Per Line'!$M$2:$M$1501,$AH353)&amp;"")</f>
        <v/>
      </c>
      <c r="O353">
        <f>IF($AH353="","",INDEX('Per Line'!$P$2:$P$1501,$AH353))</f>
        <v/>
      </c>
      <c r="P353" s="7">
        <f>IF($AH353="","",O353*AD353/100)</f>
        <v/>
      </c>
      <c r="Q353">
        <f>IF($AH353="","",INDEX('Per Line'!$R$2:$R$1501,$AH353)&amp;"")</f>
        <v/>
      </c>
      <c r="R353">
        <f>IF($AH353="","",INDEX('Per Line'!$AB$2:$AB$1501,$AH353)&amp;"")</f>
        <v/>
      </c>
      <c r="S353">
        <f>IF($AH353="","",Settings!$C$8)</f>
        <v/>
      </c>
      <c r="T353" s="7">
        <f>IF($AH353="","",SUMIFS('Per Line'!$Z$2:$Z$1501,'Per Line'!$E$2:$E$1501,$B353,'Per Line'!$AT$2:$AT$1501,1))</f>
        <v/>
      </c>
      <c r="U353" s="7">
        <f>IF($AH353="","",T353*S353)</f>
        <v/>
      </c>
      <c r="V353">
        <f>IF($AH353="","",Settings!$C$7)</f>
        <v/>
      </c>
      <c r="W353" s="7">
        <f>IF($AH353="","",SUMIFS('Per Line'!$Z$2:$Z$1501,'Per Line'!$E$2:$E$1501,$B353,'Per Line'!$AS$2:$AS$1501,0,'Per Line'!$AT$2:$AT$1501,0))</f>
        <v/>
      </c>
      <c r="X353" s="7">
        <f>IF($AH353="","",W353*V353)</f>
        <v/>
      </c>
      <c r="Y353">
        <f>IF($AH353="","",Settings!$C$6)</f>
        <v/>
      </c>
      <c r="Z353" s="7">
        <f>IF($AH353="","",SUMIFS('Per Line'!$Z$2:$Z$1501,'Per Line'!$E$2:$E$1501,$B353,'Per Line'!$AS$2:$AS$1501,1,'Per Line'!$AT$2:$AT$1501,0))</f>
        <v/>
      </c>
      <c r="AA353" s="7">
        <f>IF($AH353="","",Z353*Y353)</f>
        <v/>
      </c>
      <c r="AB353" s="7">
        <f>IF($AH353="","",AA353+X353+U353)</f>
        <v/>
      </c>
      <c r="AC353" s="7">
        <f>IF($AH353="","",AD353-AB353)</f>
        <v/>
      </c>
      <c r="AD353" s="7">
        <f>IF($AH353="","",W353+Z353+T353)</f>
        <v/>
      </c>
      <c r="AE353" s="7">
        <f>IF($AH353="","",AD353-AB353-P353)</f>
        <v/>
      </c>
      <c r="AF353" s="15" t="n"/>
      <c r="AG353" s="7">
        <f>IF($AH353="","",AE353-N(AF353))</f>
        <v/>
      </c>
      <c r="AH353" s="16">
        <f>IF(ROWS($AH$2:$AH353)&lt;=MAX('Per Line'!$AR$2:$AR$1501),MATCH(ROWS($AH$2:$AH353),'Per Line'!$AR$2:$AR$1501,0),"")</f>
        <v/>
      </c>
      <c r="AI353">
        <f>IF($AH353="","",C353&amp;"|"&amp;COUNTIF($C$2:$C353,C353))</f>
        <v/>
      </c>
    </row>
    <row r="354">
      <c r="A354" s="15" t="n"/>
      <c r="B354">
        <f>IF($AH354="","",INDEX('Per Line'!$E$2:$E$1501,$AH354)&amp;"")</f>
        <v/>
      </c>
      <c r="C354">
        <f>IF($AH354="","",IF(INDEX('Per Line'!$AP$2:$AP$1501,$AH354)="NOT MATCH","NOT MATCH","FULL MATCH"))</f>
        <v/>
      </c>
      <c r="D354">
        <f>IF($AH354="","",INDEX('Per Line'!$A$2:$A$1501,$AH354)&amp;"")</f>
        <v/>
      </c>
      <c r="E354">
        <f>IF($AH354="","",INDEX('Per Line'!$B$2:$B$1501,$AH354))</f>
        <v/>
      </c>
      <c r="F354">
        <f>IF($AH354="","",INDEX('Per Line'!$C$2:$C$1501,$AH354)&amp;"")</f>
        <v/>
      </c>
      <c r="G354">
        <f>IF($AH354="","",INDEX('Per Line'!$D$2:$D$1501,$AH354)&amp;"")</f>
        <v/>
      </c>
      <c r="H354">
        <f>IF($AH354="","",INDEX('Per Line'!$F$2:$F$1501,$AH354)&amp;"")</f>
        <v/>
      </c>
      <c r="I354" s="14">
        <f>IF($AH354="","",INDEX('Per Line'!$G$2:$G$1501,$AH354))</f>
        <v/>
      </c>
      <c r="J354">
        <f>IF($AH354="","",INDEX('Per Line'!$H$2:$H$1501,$AH354)&amp;"")</f>
        <v/>
      </c>
      <c r="K354">
        <f>IF($AH354="","",INDEX('Per Line'!$J$2:$J$1501,$AH354)&amp;"")</f>
        <v/>
      </c>
      <c r="L354">
        <f>IF($AH354="","",INDEX('Per Line'!$K$2:$K$1501,$AH354)&amp;"")</f>
        <v/>
      </c>
      <c r="M354">
        <f>IF($AH354="","",INDEX('Per Line'!$L$2:$L$1501,$AH354)&amp;"")</f>
        <v/>
      </c>
      <c r="N354">
        <f>IF($AH354="","",INDEX('Per Line'!$M$2:$M$1501,$AH354)&amp;"")</f>
        <v/>
      </c>
      <c r="O354">
        <f>IF($AH354="","",INDEX('Per Line'!$P$2:$P$1501,$AH354))</f>
        <v/>
      </c>
      <c r="P354" s="7">
        <f>IF($AH354="","",O354*AD354/100)</f>
        <v/>
      </c>
      <c r="Q354">
        <f>IF($AH354="","",INDEX('Per Line'!$R$2:$R$1501,$AH354)&amp;"")</f>
        <v/>
      </c>
      <c r="R354">
        <f>IF($AH354="","",INDEX('Per Line'!$AB$2:$AB$1501,$AH354)&amp;"")</f>
        <v/>
      </c>
      <c r="S354">
        <f>IF($AH354="","",Settings!$C$8)</f>
        <v/>
      </c>
      <c r="T354" s="7">
        <f>IF($AH354="","",SUMIFS('Per Line'!$Z$2:$Z$1501,'Per Line'!$E$2:$E$1501,$B354,'Per Line'!$AT$2:$AT$1501,1))</f>
        <v/>
      </c>
      <c r="U354" s="7">
        <f>IF($AH354="","",T354*S354)</f>
        <v/>
      </c>
      <c r="V354">
        <f>IF($AH354="","",Settings!$C$7)</f>
        <v/>
      </c>
      <c r="W354" s="7">
        <f>IF($AH354="","",SUMIFS('Per Line'!$Z$2:$Z$1501,'Per Line'!$E$2:$E$1501,$B354,'Per Line'!$AS$2:$AS$1501,0,'Per Line'!$AT$2:$AT$1501,0))</f>
        <v/>
      </c>
      <c r="X354" s="7">
        <f>IF($AH354="","",W354*V354)</f>
        <v/>
      </c>
      <c r="Y354">
        <f>IF($AH354="","",Settings!$C$6)</f>
        <v/>
      </c>
      <c r="Z354" s="7">
        <f>IF($AH354="","",SUMIFS('Per Line'!$Z$2:$Z$1501,'Per Line'!$E$2:$E$1501,$B354,'Per Line'!$AS$2:$AS$1501,1,'Per Line'!$AT$2:$AT$1501,0))</f>
        <v/>
      </c>
      <c r="AA354" s="7">
        <f>IF($AH354="","",Z354*Y354)</f>
        <v/>
      </c>
      <c r="AB354" s="7">
        <f>IF($AH354="","",AA354+X354+U354)</f>
        <v/>
      </c>
      <c r="AC354" s="7">
        <f>IF($AH354="","",AD354-AB354)</f>
        <v/>
      </c>
      <c r="AD354" s="7">
        <f>IF($AH354="","",W354+Z354+T354)</f>
        <v/>
      </c>
      <c r="AE354" s="7">
        <f>IF($AH354="","",AD354-AB354-P354)</f>
        <v/>
      </c>
      <c r="AF354" s="15" t="n"/>
      <c r="AG354" s="7">
        <f>IF($AH354="","",AE354-N(AF354))</f>
        <v/>
      </c>
      <c r="AH354" s="16">
        <f>IF(ROWS($AH$2:$AH354)&lt;=MAX('Per Line'!$AR$2:$AR$1501),MATCH(ROWS($AH$2:$AH354),'Per Line'!$AR$2:$AR$1501,0),"")</f>
        <v/>
      </c>
      <c r="AI354">
        <f>IF($AH354="","",C354&amp;"|"&amp;COUNTIF($C$2:$C354,C354))</f>
        <v/>
      </c>
    </row>
    <row r="355">
      <c r="A355" s="15" t="n"/>
      <c r="B355">
        <f>IF($AH355="","",INDEX('Per Line'!$E$2:$E$1501,$AH355)&amp;"")</f>
        <v/>
      </c>
      <c r="C355">
        <f>IF($AH355="","",IF(INDEX('Per Line'!$AP$2:$AP$1501,$AH355)="NOT MATCH","NOT MATCH","FULL MATCH"))</f>
        <v/>
      </c>
      <c r="D355">
        <f>IF($AH355="","",INDEX('Per Line'!$A$2:$A$1501,$AH355)&amp;"")</f>
        <v/>
      </c>
      <c r="E355">
        <f>IF($AH355="","",INDEX('Per Line'!$B$2:$B$1501,$AH355))</f>
        <v/>
      </c>
      <c r="F355">
        <f>IF($AH355="","",INDEX('Per Line'!$C$2:$C$1501,$AH355)&amp;"")</f>
        <v/>
      </c>
      <c r="G355">
        <f>IF($AH355="","",INDEX('Per Line'!$D$2:$D$1501,$AH355)&amp;"")</f>
        <v/>
      </c>
      <c r="H355">
        <f>IF($AH355="","",INDEX('Per Line'!$F$2:$F$1501,$AH355)&amp;"")</f>
        <v/>
      </c>
      <c r="I355" s="14">
        <f>IF($AH355="","",INDEX('Per Line'!$G$2:$G$1501,$AH355))</f>
        <v/>
      </c>
      <c r="J355">
        <f>IF($AH355="","",INDEX('Per Line'!$H$2:$H$1501,$AH355)&amp;"")</f>
        <v/>
      </c>
      <c r="K355">
        <f>IF($AH355="","",INDEX('Per Line'!$J$2:$J$1501,$AH355)&amp;"")</f>
        <v/>
      </c>
      <c r="L355">
        <f>IF($AH355="","",INDEX('Per Line'!$K$2:$K$1501,$AH355)&amp;"")</f>
        <v/>
      </c>
      <c r="M355">
        <f>IF($AH355="","",INDEX('Per Line'!$L$2:$L$1501,$AH355)&amp;"")</f>
        <v/>
      </c>
      <c r="N355">
        <f>IF($AH355="","",INDEX('Per Line'!$M$2:$M$1501,$AH355)&amp;"")</f>
        <v/>
      </c>
      <c r="O355">
        <f>IF($AH355="","",INDEX('Per Line'!$P$2:$P$1501,$AH355))</f>
        <v/>
      </c>
      <c r="P355" s="7">
        <f>IF($AH355="","",O355*AD355/100)</f>
        <v/>
      </c>
      <c r="Q355">
        <f>IF($AH355="","",INDEX('Per Line'!$R$2:$R$1501,$AH355)&amp;"")</f>
        <v/>
      </c>
      <c r="R355">
        <f>IF($AH355="","",INDEX('Per Line'!$AB$2:$AB$1501,$AH355)&amp;"")</f>
        <v/>
      </c>
      <c r="S355">
        <f>IF($AH355="","",Settings!$C$8)</f>
        <v/>
      </c>
      <c r="T355" s="7">
        <f>IF($AH355="","",SUMIFS('Per Line'!$Z$2:$Z$1501,'Per Line'!$E$2:$E$1501,$B355,'Per Line'!$AT$2:$AT$1501,1))</f>
        <v/>
      </c>
      <c r="U355" s="7">
        <f>IF($AH355="","",T355*S355)</f>
        <v/>
      </c>
      <c r="V355">
        <f>IF($AH355="","",Settings!$C$7)</f>
        <v/>
      </c>
      <c r="W355" s="7">
        <f>IF($AH355="","",SUMIFS('Per Line'!$Z$2:$Z$1501,'Per Line'!$E$2:$E$1501,$B355,'Per Line'!$AS$2:$AS$1501,0,'Per Line'!$AT$2:$AT$1501,0))</f>
        <v/>
      </c>
      <c r="X355" s="7">
        <f>IF($AH355="","",W355*V355)</f>
        <v/>
      </c>
      <c r="Y355">
        <f>IF($AH355="","",Settings!$C$6)</f>
        <v/>
      </c>
      <c r="Z355" s="7">
        <f>IF($AH355="","",SUMIFS('Per Line'!$Z$2:$Z$1501,'Per Line'!$E$2:$E$1501,$B355,'Per Line'!$AS$2:$AS$1501,1,'Per Line'!$AT$2:$AT$1501,0))</f>
        <v/>
      </c>
      <c r="AA355" s="7">
        <f>IF($AH355="","",Z355*Y355)</f>
        <v/>
      </c>
      <c r="AB355" s="7">
        <f>IF($AH355="","",AA355+X355+U355)</f>
        <v/>
      </c>
      <c r="AC355" s="7">
        <f>IF($AH355="","",AD355-AB355)</f>
        <v/>
      </c>
      <c r="AD355" s="7">
        <f>IF($AH355="","",W355+Z355+T355)</f>
        <v/>
      </c>
      <c r="AE355" s="7">
        <f>IF($AH355="","",AD355-AB355-P355)</f>
        <v/>
      </c>
      <c r="AF355" s="15" t="n"/>
      <c r="AG355" s="7">
        <f>IF($AH355="","",AE355-N(AF355))</f>
        <v/>
      </c>
      <c r="AH355" s="16">
        <f>IF(ROWS($AH$2:$AH355)&lt;=MAX('Per Line'!$AR$2:$AR$1501),MATCH(ROWS($AH$2:$AH355),'Per Line'!$AR$2:$AR$1501,0),"")</f>
        <v/>
      </c>
      <c r="AI355">
        <f>IF($AH355="","",C355&amp;"|"&amp;COUNTIF($C$2:$C355,C355))</f>
        <v/>
      </c>
    </row>
    <row r="356">
      <c r="A356" s="15" t="n"/>
      <c r="B356">
        <f>IF($AH356="","",INDEX('Per Line'!$E$2:$E$1501,$AH356)&amp;"")</f>
        <v/>
      </c>
      <c r="C356">
        <f>IF($AH356="","",IF(INDEX('Per Line'!$AP$2:$AP$1501,$AH356)="NOT MATCH","NOT MATCH","FULL MATCH"))</f>
        <v/>
      </c>
      <c r="D356">
        <f>IF($AH356="","",INDEX('Per Line'!$A$2:$A$1501,$AH356)&amp;"")</f>
        <v/>
      </c>
      <c r="E356">
        <f>IF($AH356="","",INDEX('Per Line'!$B$2:$B$1501,$AH356))</f>
        <v/>
      </c>
      <c r="F356">
        <f>IF($AH356="","",INDEX('Per Line'!$C$2:$C$1501,$AH356)&amp;"")</f>
        <v/>
      </c>
      <c r="G356">
        <f>IF($AH356="","",INDEX('Per Line'!$D$2:$D$1501,$AH356)&amp;"")</f>
        <v/>
      </c>
      <c r="H356">
        <f>IF($AH356="","",INDEX('Per Line'!$F$2:$F$1501,$AH356)&amp;"")</f>
        <v/>
      </c>
      <c r="I356" s="14">
        <f>IF($AH356="","",INDEX('Per Line'!$G$2:$G$1501,$AH356))</f>
        <v/>
      </c>
      <c r="J356">
        <f>IF($AH356="","",INDEX('Per Line'!$H$2:$H$1501,$AH356)&amp;"")</f>
        <v/>
      </c>
      <c r="K356">
        <f>IF($AH356="","",INDEX('Per Line'!$J$2:$J$1501,$AH356)&amp;"")</f>
        <v/>
      </c>
      <c r="L356">
        <f>IF($AH356="","",INDEX('Per Line'!$K$2:$K$1501,$AH356)&amp;"")</f>
        <v/>
      </c>
      <c r="M356">
        <f>IF($AH356="","",INDEX('Per Line'!$L$2:$L$1501,$AH356)&amp;"")</f>
        <v/>
      </c>
      <c r="N356">
        <f>IF($AH356="","",INDEX('Per Line'!$M$2:$M$1501,$AH356)&amp;"")</f>
        <v/>
      </c>
      <c r="O356">
        <f>IF($AH356="","",INDEX('Per Line'!$P$2:$P$1501,$AH356))</f>
        <v/>
      </c>
      <c r="P356" s="7">
        <f>IF($AH356="","",O356*AD356/100)</f>
        <v/>
      </c>
      <c r="Q356">
        <f>IF($AH356="","",INDEX('Per Line'!$R$2:$R$1501,$AH356)&amp;"")</f>
        <v/>
      </c>
      <c r="R356">
        <f>IF($AH356="","",INDEX('Per Line'!$AB$2:$AB$1501,$AH356)&amp;"")</f>
        <v/>
      </c>
      <c r="S356">
        <f>IF($AH356="","",Settings!$C$8)</f>
        <v/>
      </c>
      <c r="T356" s="7">
        <f>IF($AH356="","",SUMIFS('Per Line'!$Z$2:$Z$1501,'Per Line'!$E$2:$E$1501,$B356,'Per Line'!$AT$2:$AT$1501,1))</f>
        <v/>
      </c>
      <c r="U356" s="7">
        <f>IF($AH356="","",T356*S356)</f>
        <v/>
      </c>
      <c r="V356">
        <f>IF($AH356="","",Settings!$C$7)</f>
        <v/>
      </c>
      <c r="W356" s="7">
        <f>IF($AH356="","",SUMIFS('Per Line'!$Z$2:$Z$1501,'Per Line'!$E$2:$E$1501,$B356,'Per Line'!$AS$2:$AS$1501,0,'Per Line'!$AT$2:$AT$1501,0))</f>
        <v/>
      </c>
      <c r="X356" s="7">
        <f>IF($AH356="","",W356*V356)</f>
        <v/>
      </c>
      <c r="Y356">
        <f>IF($AH356="","",Settings!$C$6)</f>
        <v/>
      </c>
      <c r="Z356" s="7">
        <f>IF($AH356="","",SUMIFS('Per Line'!$Z$2:$Z$1501,'Per Line'!$E$2:$E$1501,$B356,'Per Line'!$AS$2:$AS$1501,1,'Per Line'!$AT$2:$AT$1501,0))</f>
        <v/>
      </c>
      <c r="AA356" s="7">
        <f>IF($AH356="","",Z356*Y356)</f>
        <v/>
      </c>
      <c r="AB356" s="7">
        <f>IF($AH356="","",AA356+X356+U356)</f>
        <v/>
      </c>
      <c r="AC356" s="7">
        <f>IF($AH356="","",AD356-AB356)</f>
        <v/>
      </c>
      <c r="AD356" s="7">
        <f>IF($AH356="","",W356+Z356+T356)</f>
        <v/>
      </c>
      <c r="AE356" s="7">
        <f>IF($AH356="","",AD356-AB356-P356)</f>
        <v/>
      </c>
      <c r="AF356" s="15" t="n"/>
      <c r="AG356" s="7">
        <f>IF($AH356="","",AE356-N(AF356))</f>
        <v/>
      </c>
      <c r="AH356" s="16">
        <f>IF(ROWS($AH$2:$AH356)&lt;=MAX('Per Line'!$AR$2:$AR$1501),MATCH(ROWS($AH$2:$AH356),'Per Line'!$AR$2:$AR$1501,0),"")</f>
        <v/>
      </c>
      <c r="AI356">
        <f>IF($AH356="","",C356&amp;"|"&amp;COUNTIF($C$2:$C356,C356))</f>
        <v/>
      </c>
    </row>
    <row r="357">
      <c r="A357" s="15" t="n"/>
      <c r="B357">
        <f>IF($AH357="","",INDEX('Per Line'!$E$2:$E$1501,$AH357)&amp;"")</f>
        <v/>
      </c>
      <c r="C357">
        <f>IF($AH357="","",IF(INDEX('Per Line'!$AP$2:$AP$1501,$AH357)="NOT MATCH","NOT MATCH","FULL MATCH"))</f>
        <v/>
      </c>
      <c r="D357">
        <f>IF($AH357="","",INDEX('Per Line'!$A$2:$A$1501,$AH357)&amp;"")</f>
        <v/>
      </c>
      <c r="E357">
        <f>IF($AH357="","",INDEX('Per Line'!$B$2:$B$1501,$AH357))</f>
        <v/>
      </c>
      <c r="F357">
        <f>IF($AH357="","",INDEX('Per Line'!$C$2:$C$1501,$AH357)&amp;"")</f>
        <v/>
      </c>
      <c r="G357">
        <f>IF($AH357="","",INDEX('Per Line'!$D$2:$D$1501,$AH357)&amp;"")</f>
        <v/>
      </c>
      <c r="H357">
        <f>IF($AH357="","",INDEX('Per Line'!$F$2:$F$1501,$AH357)&amp;"")</f>
        <v/>
      </c>
      <c r="I357" s="14">
        <f>IF($AH357="","",INDEX('Per Line'!$G$2:$G$1501,$AH357))</f>
        <v/>
      </c>
      <c r="J357">
        <f>IF($AH357="","",INDEX('Per Line'!$H$2:$H$1501,$AH357)&amp;"")</f>
        <v/>
      </c>
      <c r="K357">
        <f>IF($AH357="","",INDEX('Per Line'!$J$2:$J$1501,$AH357)&amp;"")</f>
        <v/>
      </c>
      <c r="L357">
        <f>IF($AH357="","",INDEX('Per Line'!$K$2:$K$1501,$AH357)&amp;"")</f>
        <v/>
      </c>
      <c r="M357">
        <f>IF($AH357="","",INDEX('Per Line'!$L$2:$L$1501,$AH357)&amp;"")</f>
        <v/>
      </c>
      <c r="N357">
        <f>IF($AH357="","",INDEX('Per Line'!$M$2:$M$1501,$AH357)&amp;"")</f>
        <v/>
      </c>
      <c r="O357">
        <f>IF($AH357="","",INDEX('Per Line'!$P$2:$P$1501,$AH357))</f>
        <v/>
      </c>
      <c r="P357" s="7">
        <f>IF($AH357="","",O357*AD357/100)</f>
        <v/>
      </c>
      <c r="Q357">
        <f>IF($AH357="","",INDEX('Per Line'!$R$2:$R$1501,$AH357)&amp;"")</f>
        <v/>
      </c>
      <c r="R357">
        <f>IF($AH357="","",INDEX('Per Line'!$AB$2:$AB$1501,$AH357)&amp;"")</f>
        <v/>
      </c>
      <c r="S357">
        <f>IF($AH357="","",Settings!$C$8)</f>
        <v/>
      </c>
      <c r="T357" s="7">
        <f>IF($AH357="","",SUMIFS('Per Line'!$Z$2:$Z$1501,'Per Line'!$E$2:$E$1501,$B357,'Per Line'!$AT$2:$AT$1501,1))</f>
        <v/>
      </c>
      <c r="U357" s="7">
        <f>IF($AH357="","",T357*S357)</f>
        <v/>
      </c>
      <c r="V357">
        <f>IF($AH357="","",Settings!$C$7)</f>
        <v/>
      </c>
      <c r="W357" s="7">
        <f>IF($AH357="","",SUMIFS('Per Line'!$Z$2:$Z$1501,'Per Line'!$E$2:$E$1501,$B357,'Per Line'!$AS$2:$AS$1501,0,'Per Line'!$AT$2:$AT$1501,0))</f>
        <v/>
      </c>
      <c r="X357" s="7">
        <f>IF($AH357="","",W357*V357)</f>
        <v/>
      </c>
      <c r="Y357">
        <f>IF($AH357="","",Settings!$C$6)</f>
        <v/>
      </c>
      <c r="Z357" s="7">
        <f>IF($AH357="","",SUMIFS('Per Line'!$Z$2:$Z$1501,'Per Line'!$E$2:$E$1501,$B357,'Per Line'!$AS$2:$AS$1501,1,'Per Line'!$AT$2:$AT$1501,0))</f>
        <v/>
      </c>
      <c r="AA357" s="7">
        <f>IF($AH357="","",Z357*Y357)</f>
        <v/>
      </c>
      <c r="AB357" s="7">
        <f>IF($AH357="","",AA357+X357+U357)</f>
        <v/>
      </c>
      <c r="AC357" s="7">
        <f>IF($AH357="","",AD357-AB357)</f>
        <v/>
      </c>
      <c r="AD357" s="7">
        <f>IF($AH357="","",W357+Z357+T357)</f>
        <v/>
      </c>
      <c r="AE357" s="7">
        <f>IF($AH357="","",AD357-AB357-P357)</f>
        <v/>
      </c>
      <c r="AF357" s="15" t="n"/>
      <c r="AG357" s="7">
        <f>IF($AH357="","",AE357-N(AF357))</f>
        <v/>
      </c>
      <c r="AH357" s="16">
        <f>IF(ROWS($AH$2:$AH357)&lt;=MAX('Per Line'!$AR$2:$AR$1501),MATCH(ROWS($AH$2:$AH357),'Per Line'!$AR$2:$AR$1501,0),"")</f>
        <v/>
      </c>
      <c r="AI357">
        <f>IF($AH357="","",C357&amp;"|"&amp;COUNTIF($C$2:$C357,C357))</f>
        <v/>
      </c>
    </row>
    <row r="358">
      <c r="A358" s="15" t="n"/>
      <c r="B358">
        <f>IF($AH358="","",INDEX('Per Line'!$E$2:$E$1501,$AH358)&amp;"")</f>
        <v/>
      </c>
      <c r="C358">
        <f>IF($AH358="","",IF(INDEX('Per Line'!$AP$2:$AP$1501,$AH358)="NOT MATCH","NOT MATCH","FULL MATCH"))</f>
        <v/>
      </c>
      <c r="D358">
        <f>IF($AH358="","",INDEX('Per Line'!$A$2:$A$1501,$AH358)&amp;"")</f>
        <v/>
      </c>
      <c r="E358">
        <f>IF($AH358="","",INDEX('Per Line'!$B$2:$B$1501,$AH358))</f>
        <v/>
      </c>
      <c r="F358">
        <f>IF($AH358="","",INDEX('Per Line'!$C$2:$C$1501,$AH358)&amp;"")</f>
        <v/>
      </c>
      <c r="G358">
        <f>IF($AH358="","",INDEX('Per Line'!$D$2:$D$1501,$AH358)&amp;"")</f>
        <v/>
      </c>
      <c r="H358">
        <f>IF($AH358="","",INDEX('Per Line'!$F$2:$F$1501,$AH358)&amp;"")</f>
        <v/>
      </c>
      <c r="I358" s="14">
        <f>IF($AH358="","",INDEX('Per Line'!$G$2:$G$1501,$AH358))</f>
        <v/>
      </c>
      <c r="J358">
        <f>IF($AH358="","",INDEX('Per Line'!$H$2:$H$1501,$AH358)&amp;"")</f>
        <v/>
      </c>
      <c r="K358">
        <f>IF($AH358="","",INDEX('Per Line'!$J$2:$J$1501,$AH358)&amp;"")</f>
        <v/>
      </c>
      <c r="L358">
        <f>IF($AH358="","",INDEX('Per Line'!$K$2:$K$1501,$AH358)&amp;"")</f>
        <v/>
      </c>
      <c r="M358">
        <f>IF($AH358="","",INDEX('Per Line'!$L$2:$L$1501,$AH358)&amp;"")</f>
        <v/>
      </c>
      <c r="N358">
        <f>IF($AH358="","",INDEX('Per Line'!$M$2:$M$1501,$AH358)&amp;"")</f>
        <v/>
      </c>
      <c r="O358">
        <f>IF($AH358="","",INDEX('Per Line'!$P$2:$P$1501,$AH358))</f>
        <v/>
      </c>
      <c r="P358" s="7">
        <f>IF($AH358="","",O358*AD358/100)</f>
        <v/>
      </c>
      <c r="Q358">
        <f>IF($AH358="","",INDEX('Per Line'!$R$2:$R$1501,$AH358)&amp;"")</f>
        <v/>
      </c>
      <c r="R358">
        <f>IF($AH358="","",INDEX('Per Line'!$AB$2:$AB$1501,$AH358)&amp;"")</f>
        <v/>
      </c>
      <c r="S358">
        <f>IF($AH358="","",Settings!$C$8)</f>
        <v/>
      </c>
      <c r="T358" s="7">
        <f>IF($AH358="","",SUMIFS('Per Line'!$Z$2:$Z$1501,'Per Line'!$E$2:$E$1501,$B358,'Per Line'!$AT$2:$AT$1501,1))</f>
        <v/>
      </c>
      <c r="U358" s="7">
        <f>IF($AH358="","",T358*S358)</f>
        <v/>
      </c>
      <c r="V358">
        <f>IF($AH358="","",Settings!$C$7)</f>
        <v/>
      </c>
      <c r="W358" s="7">
        <f>IF($AH358="","",SUMIFS('Per Line'!$Z$2:$Z$1501,'Per Line'!$E$2:$E$1501,$B358,'Per Line'!$AS$2:$AS$1501,0,'Per Line'!$AT$2:$AT$1501,0))</f>
        <v/>
      </c>
      <c r="X358" s="7">
        <f>IF($AH358="","",W358*V358)</f>
        <v/>
      </c>
      <c r="Y358">
        <f>IF($AH358="","",Settings!$C$6)</f>
        <v/>
      </c>
      <c r="Z358" s="7">
        <f>IF($AH358="","",SUMIFS('Per Line'!$Z$2:$Z$1501,'Per Line'!$E$2:$E$1501,$B358,'Per Line'!$AS$2:$AS$1501,1,'Per Line'!$AT$2:$AT$1501,0))</f>
        <v/>
      </c>
      <c r="AA358" s="7">
        <f>IF($AH358="","",Z358*Y358)</f>
        <v/>
      </c>
      <c r="AB358" s="7">
        <f>IF($AH358="","",AA358+X358+U358)</f>
        <v/>
      </c>
      <c r="AC358" s="7">
        <f>IF($AH358="","",AD358-AB358)</f>
        <v/>
      </c>
      <c r="AD358" s="7">
        <f>IF($AH358="","",W358+Z358+T358)</f>
        <v/>
      </c>
      <c r="AE358" s="7">
        <f>IF($AH358="","",AD358-AB358-P358)</f>
        <v/>
      </c>
      <c r="AF358" s="15" t="n"/>
      <c r="AG358" s="7">
        <f>IF($AH358="","",AE358-N(AF358))</f>
        <v/>
      </c>
      <c r="AH358" s="16">
        <f>IF(ROWS($AH$2:$AH358)&lt;=MAX('Per Line'!$AR$2:$AR$1501),MATCH(ROWS($AH$2:$AH358),'Per Line'!$AR$2:$AR$1501,0),"")</f>
        <v/>
      </c>
      <c r="AI358">
        <f>IF($AH358="","",C358&amp;"|"&amp;COUNTIF($C$2:$C358,C358))</f>
        <v/>
      </c>
    </row>
    <row r="359">
      <c r="A359" s="15" t="n"/>
      <c r="B359">
        <f>IF($AH359="","",INDEX('Per Line'!$E$2:$E$1501,$AH359)&amp;"")</f>
        <v/>
      </c>
      <c r="C359">
        <f>IF($AH359="","",IF(INDEX('Per Line'!$AP$2:$AP$1501,$AH359)="NOT MATCH","NOT MATCH","FULL MATCH"))</f>
        <v/>
      </c>
      <c r="D359">
        <f>IF($AH359="","",INDEX('Per Line'!$A$2:$A$1501,$AH359)&amp;"")</f>
        <v/>
      </c>
      <c r="E359">
        <f>IF($AH359="","",INDEX('Per Line'!$B$2:$B$1501,$AH359))</f>
        <v/>
      </c>
      <c r="F359">
        <f>IF($AH359="","",INDEX('Per Line'!$C$2:$C$1501,$AH359)&amp;"")</f>
        <v/>
      </c>
      <c r="G359">
        <f>IF($AH359="","",INDEX('Per Line'!$D$2:$D$1501,$AH359)&amp;"")</f>
        <v/>
      </c>
      <c r="H359">
        <f>IF($AH359="","",INDEX('Per Line'!$F$2:$F$1501,$AH359)&amp;"")</f>
        <v/>
      </c>
      <c r="I359" s="14">
        <f>IF($AH359="","",INDEX('Per Line'!$G$2:$G$1501,$AH359))</f>
        <v/>
      </c>
      <c r="J359">
        <f>IF($AH359="","",INDEX('Per Line'!$H$2:$H$1501,$AH359)&amp;"")</f>
        <v/>
      </c>
      <c r="K359">
        <f>IF($AH359="","",INDEX('Per Line'!$J$2:$J$1501,$AH359)&amp;"")</f>
        <v/>
      </c>
      <c r="L359">
        <f>IF($AH359="","",INDEX('Per Line'!$K$2:$K$1501,$AH359)&amp;"")</f>
        <v/>
      </c>
      <c r="M359">
        <f>IF($AH359="","",INDEX('Per Line'!$L$2:$L$1501,$AH359)&amp;"")</f>
        <v/>
      </c>
      <c r="N359">
        <f>IF($AH359="","",INDEX('Per Line'!$M$2:$M$1501,$AH359)&amp;"")</f>
        <v/>
      </c>
      <c r="O359">
        <f>IF($AH359="","",INDEX('Per Line'!$P$2:$P$1501,$AH359))</f>
        <v/>
      </c>
      <c r="P359" s="7">
        <f>IF($AH359="","",O359*AD359/100)</f>
        <v/>
      </c>
      <c r="Q359">
        <f>IF($AH359="","",INDEX('Per Line'!$R$2:$R$1501,$AH359)&amp;"")</f>
        <v/>
      </c>
      <c r="R359">
        <f>IF($AH359="","",INDEX('Per Line'!$AB$2:$AB$1501,$AH359)&amp;"")</f>
        <v/>
      </c>
      <c r="S359">
        <f>IF($AH359="","",Settings!$C$8)</f>
        <v/>
      </c>
      <c r="T359" s="7">
        <f>IF($AH359="","",SUMIFS('Per Line'!$Z$2:$Z$1501,'Per Line'!$E$2:$E$1501,$B359,'Per Line'!$AT$2:$AT$1501,1))</f>
        <v/>
      </c>
      <c r="U359" s="7">
        <f>IF($AH359="","",T359*S359)</f>
        <v/>
      </c>
      <c r="V359">
        <f>IF($AH359="","",Settings!$C$7)</f>
        <v/>
      </c>
      <c r="W359" s="7">
        <f>IF($AH359="","",SUMIFS('Per Line'!$Z$2:$Z$1501,'Per Line'!$E$2:$E$1501,$B359,'Per Line'!$AS$2:$AS$1501,0,'Per Line'!$AT$2:$AT$1501,0))</f>
        <v/>
      </c>
      <c r="X359" s="7">
        <f>IF($AH359="","",W359*V359)</f>
        <v/>
      </c>
      <c r="Y359">
        <f>IF($AH359="","",Settings!$C$6)</f>
        <v/>
      </c>
      <c r="Z359" s="7">
        <f>IF($AH359="","",SUMIFS('Per Line'!$Z$2:$Z$1501,'Per Line'!$E$2:$E$1501,$B359,'Per Line'!$AS$2:$AS$1501,1,'Per Line'!$AT$2:$AT$1501,0))</f>
        <v/>
      </c>
      <c r="AA359" s="7">
        <f>IF($AH359="","",Z359*Y359)</f>
        <v/>
      </c>
      <c r="AB359" s="7">
        <f>IF($AH359="","",AA359+X359+U359)</f>
        <v/>
      </c>
      <c r="AC359" s="7">
        <f>IF($AH359="","",AD359-AB359)</f>
        <v/>
      </c>
      <c r="AD359" s="7">
        <f>IF($AH359="","",W359+Z359+T359)</f>
        <v/>
      </c>
      <c r="AE359" s="7">
        <f>IF($AH359="","",AD359-AB359-P359)</f>
        <v/>
      </c>
      <c r="AF359" s="15" t="n"/>
      <c r="AG359" s="7">
        <f>IF($AH359="","",AE359-N(AF359))</f>
        <v/>
      </c>
      <c r="AH359" s="16">
        <f>IF(ROWS($AH$2:$AH359)&lt;=MAX('Per Line'!$AR$2:$AR$1501),MATCH(ROWS($AH$2:$AH359),'Per Line'!$AR$2:$AR$1501,0),"")</f>
        <v/>
      </c>
      <c r="AI359">
        <f>IF($AH359="","",C359&amp;"|"&amp;COUNTIF($C$2:$C359,C359))</f>
        <v/>
      </c>
    </row>
    <row r="360">
      <c r="A360" s="15" t="n"/>
      <c r="B360">
        <f>IF($AH360="","",INDEX('Per Line'!$E$2:$E$1501,$AH360)&amp;"")</f>
        <v/>
      </c>
      <c r="C360">
        <f>IF($AH360="","",IF(INDEX('Per Line'!$AP$2:$AP$1501,$AH360)="NOT MATCH","NOT MATCH","FULL MATCH"))</f>
        <v/>
      </c>
      <c r="D360">
        <f>IF($AH360="","",INDEX('Per Line'!$A$2:$A$1501,$AH360)&amp;"")</f>
        <v/>
      </c>
      <c r="E360">
        <f>IF($AH360="","",INDEX('Per Line'!$B$2:$B$1501,$AH360))</f>
        <v/>
      </c>
      <c r="F360">
        <f>IF($AH360="","",INDEX('Per Line'!$C$2:$C$1501,$AH360)&amp;"")</f>
        <v/>
      </c>
      <c r="G360">
        <f>IF($AH360="","",INDEX('Per Line'!$D$2:$D$1501,$AH360)&amp;"")</f>
        <v/>
      </c>
      <c r="H360">
        <f>IF($AH360="","",INDEX('Per Line'!$F$2:$F$1501,$AH360)&amp;"")</f>
        <v/>
      </c>
      <c r="I360" s="14">
        <f>IF($AH360="","",INDEX('Per Line'!$G$2:$G$1501,$AH360))</f>
        <v/>
      </c>
      <c r="J360">
        <f>IF($AH360="","",INDEX('Per Line'!$H$2:$H$1501,$AH360)&amp;"")</f>
        <v/>
      </c>
      <c r="K360">
        <f>IF($AH360="","",INDEX('Per Line'!$J$2:$J$1501,$AH360)&amp;"")</f>
        <v/>
      </c>
      <c r="L360">
        <f>IF($AH360="","",INDEX('Per Line'!$K$2:$K$1501,$AH360)&amp;"")</f>
        <v/>
      </c>
      <c r="M360">
        <f>IF($AH360="","",INDEX('Per Line'!$L$2:$L$1501,$AH360)&amp;"")</f>
        <v/>
      </c>
      <c r="N360">
        <f>IF($AH360="","",INDEX('Per Line'!$M$2:$M$1501,$AH360)&amp;"")</f>
        <v/>
      </c>
      <c r="O360">
        <f>IF($AH360="","",INDEX('Per Line'!$P$2:$P$1501,$AH360))</f>
        <v/>
      </c>
      <c r="P360" s="7">
        <f>IF($AH360="","",O360*AD360/100)</f>
        <v/>
      </c>
      <c r="Q360">
        <f>IF($AH360="","",INDEX('Per Line'!$R$2:$R$1501,$AH360)&amp;"")</f>
        <v/>
      </c>
      <c r="R360">
        <f>IF($AH360="","",INDEX('Per Line'!$AB$2:$AB$1501,$AH360)&amp;"")</f>
        <v/>
      </c>
      <c r="S360">
        <f>IF($AH360="","",Settings!$C$8)</f>
        <v/>
      </c>
      <c r="T360" s="7">
        <f>IF($AH360="","",SUMIFS('Per Line'!$Z$2:$Z$1501,'Per Line'!$E$2:$E$1501,$B360,'Per Line'!$AT$2:$AT$1501,1))</f>
        <v/>
      </c>
      <c r="U360" s="7">
        <f>IF($AH360="","",T360*S360)</f>
        <v/>
      </c>
      <c r="V360">
        <f>IF($AH360="","",Settings!$C$7)</f>
        <v/>
      </c>
      <c r="W360" s="7">
        <f>IF($AH360="","",SUMIFS('Per Line'!$Z$2:$Z$1501,'Per Line'!$E$2:$E$1501,$B360,'Per Line'!$AS$2:$AS$1501,0,'Per Line'!$AT$2:$AT$1501,0))</f>
        <v/>
      </c>
      <c r="X360" s="7">
        <f>IF($AH360="","",W360*V360)</f>
        <v/>
      </c>
      <c r="Y360">
        <f>IF($AH360="","",Settings!$C$6)</f>
        <v/>
      </c>
      <c r="Z360" s="7">
        <f>IF($AH360="","",SUMIFS('Per Line'!$Z$2:$Z$1501,'Per Line'!$E$2:$E$1501,$B360,'Per Line'!$AS$2:$AS$1501,1,'Per Line'!$AT$2:$AT$1501,0))</f>
        <v/>
      </c>
      <c r="AA360" s="7">
        <f>IF($AH360="","",Z360*Y360)</f>
        <v/>
      </c>
      <c r="AB360" s="7">
        <f>IF($AH360="","",AA360+X360+U360)</f>
        <v/>
      </c>
      <c r="AC360" s="7">
        <f>IF($AH360="","",AD360-AB360)</f>
        <v/>
      </c>
      <c r="AD360" s="7">
        <f>IF($AH360="","",W360+Z360+T360)</f>
        <v/>
      </c>
      <c r="AE360" s="7">
        <f>IF($AH360="","",AD360-AB360-P360)</f>
        <v/>
      </c>
      <c r="AF360" s="15" t="n"/>
      <c r="AG360" s="7">
        <f>IF($AH360="","",AE360-N(AF360))</f>
        <v/>
      </c>
      <c r="AH360" s="16">
        <f>IF(ROWS($AH$2:$AH360)&lt;=MAX('Per Line'!$AR$2:$AR$1501),MATCH(ROWS($AH$2:$AH360),'Per Line'!$AR$2:$AR$1501,0),"")</f>
        <v/>
      </c>
      <c r="AI360">
        <f>IF($AH360="","",C360&amp;"|"&amp;COUNTIF($C$2:$C360,C360))</f>
        <v/>
      </c>
    </row>
    <row r="361">
      <c r="A361" s="15" t="n"/>
      <c r="B361">
        <f>IF($AH361="","",INDEX('Per Line'!$E$2:$E$1501,$AH361)&amp;"")</f>
        <v/>
      </c>
      <c r="C361">
        <f>IF($AH361="","",IF(INDEX('Per Line'!$AP$2:$AP$1501,$AH361)="NOT MATCH","NOT MATCH","FULL MATCH"))</f>
        <v/>
      </c>
      <c r="D361">
        <f>IF($AH361="","",INDEX('Per Line'!$A$2:$A$1501,$AH361)&amp;"")</f>
        <v/>
      </c>
      <c r="E361">
        <f>IF($AH361="","",INDEX('Per Line'!$B$2:$B$1501,$AH361))</f>
        <v/>
      </c>
      <c r="F361">
        <f>IF($AH361="","",INDEX('Per Line'!$C$2:$C$1501,$AH361)&amp;"")</f>
        <v/>
      </c>
      <c r="G361">
        <f>IF($AH361="","",INDEX('Per Line'!$D$2:$D$1501,$AH361)&amp;"")</f>
        <v/>
      </c>
      <c r="H361">
        <f>IF($AH361="","",INDEX('Per Line'!$F$2:$F$1501,$AH361)&amp;"")</f>
        <v/>
      </c>
      <c r="I361" s="14">
        <f>IF($AH361="","",INDEX('Per Line'!$G$2:$G$1501,$AH361))</f>
        <v/>
      </c>
      <c r="J361">
        <f>IF($AH361="","",INDEX('Per Line'!$H$2:$H$1501,$AH361)&amp;"")</f>
        <v/>
      </c>
      <c r="K361">
        <f>IF($AH361="","",INDEX('Per Line'!$J$2:$J$1501,$AH361)&amp;"")</f>
        <v/>
      </c>
      <c r="L361">
        <f>IF($AH361="","",INDEX('Per Line'!$K$2:$K$1501,$AH361)&amp;"")</f>
        <v/>
      </c>
      <c r="M361">
        <f>IF($AH361="","",INDEX('Per Line'!$L$2:$L$1501,$AH361)&amp;"")</f>
        <v/>
      </c>
      <c r="N361">
        <f>IF($AH361="","",INDEX('Per Line'!$M$2:$M$1501,$AH361)&amp;"")</f>
        <v/>
      </c>
      <c r="O361">
        <f>IF($AH361="","",INDEX('Per Line'!$P$2:$P$1501,$AH361))</f>
        <v/>
      </c>
      <c r="P361" s="7">
        <f>IF($AH361="","",O361*AD361/100)</f>
        <v/>
      </c>
      <c r="Q361">
        <f>IF($AH361="","",INDEX('Per Line'!$R$2:$R$1501,$AH361)&amp;"")</f>
        <v/>
      </c>
      <c r="R361">
        <f>IF($AH361="","",INDEX('Per Line'!$AB$2:$AB$1501,$AH361)&amp;"")</f>
        <v/>
      </c>
      <c r="S361">
        <f>IF($AH361="","",Settings!$C$8)</f>
        <v/>
      </c>
      <c r="T361" s="7">
        <f>IF($AH361="","",SUMIFS('Per Line'!$Z$2:$Z$1501,'Per Line'!$E$2:$E$1501,$B361,'Per Line'!$AT$2:$AT$1501,1))</f>
        <v/>
      </c>
      <c r="U361" s="7">
        <f>IF($AH361="","",T361*S361)</f>
        <v/>
      </c>
      <c r="V361">
        <f>IF($AH361="","",Settings!$C$7)</f>
        <v/>
      </c>
      <c r="W361" s="7">
        <f>IF($AH361="","",SUMIFS('Per Line'!$Z$2:$Z$1501,'Per Line'!$E$2:$E$1501,$B361,'Per Line'!$AS$2:$AS$1501,0,'Per Line'!$AT$2:$AT$1501,0))</f>
        <v/>
      </c>
      <c r="X361" s="7">
        <f>IF($AH361="","",W361*V361)</f>
        <v/>
      </c>
      <c r="Y361">
        <f>IF($AH361="","",Settings!$C$6)</f>
        <v/>
      </c>
      <c r="Z361" s="7">
        <f>IF($AH361="","",SUMIFS('Per Line'!$Z$2:$Z$1501,'Per Line'!$E$2:$E$1501,$B361,'Per Line'!$AS$2:$AS$1501,1,'Per Line'!$AT$2:$AT$1501,0))</f>
        <v/>
      </c>
      <c r="AA361" s="7">
        <f>IF($AH361="","",Z361*Y361)</f>
        <v/>
      </c>
      <c r="AB361" s="7">
        <f>IF($AH361="","",AA361+X361+U361)</f>
        <v/>
      </c>
      <c r="AC361" s="7">
        <f>IF($AH361="","",AD361-AB361)</f>
        <v/>
      </c>
      <c r="AD361" s="7">
        <f>IF($AH361="","",W361+Z361+T361)</f>
        <v/>
      </c>
      <c r="AE361" s="7">
        <f>IF($AH361="","",AD361-AB361-P361)</f>
        <v/>
      </c>
      <c r="AF361" s="15" t="n"/>
      <c r="AG361" s="7">
        <f>IF($AH361="","",AE361-N(AF361))</f>
        <v/>
      </c>
      <c r="AH361" s="16">
        <f>IF(ROWS($AH$2:$AH361)&lt;=MAX('Per Line'!$AR$2:$AR$1501),MATCH(ROWS($AH$2:$AH361),'Per Line'!$AR$2:$AR$1501,0),"")</f>
        <v/>
      </c>
      <c r="AI361">
        <f>IF($AH361="","",C361&amp;"|"&amp;COUNTIF($C$2:$C361,C361))</f>
        <v/>
      </c>
    </row>
    <row r="362">
      <c r="A362" s="15" t="n"/>
      <c r="B362">
        <f>IF($AH362="","",INDEX('Per Line'!$E$2:$E$1501,$AH362)&amp;"")</f>
        <v/>
      </c>
      <c r="C362">
        <f>IF($AH362="","",IF(INDEX('Per Line'!$AP$2:$AP$1501,$AH362)="NOT MATCH","NOT MATCH","FULL MATCH"))</f>
        <v/>
      </c>
      <c r="D362">
        <f>IF($AH362="","",INDEX('Per Line'!$A$2:$A$1501,$AH362)&amp;"")</f>
        <v/>
      </c>
      <c r="E362">
        <f>IF($AH362="","",INDEX('Per Line'!$B$2:$B$1501,$AH362))</f>
        <v/>
      </c>
      <c r="F362">
        <f>IF($AH362="","",INDEX('Per Line'!$C$2:$C$1501,$AH362)&amp;"")</f>
        <v/>
      </c>
      <c r="G362">
        <f>IF($AH362="","",INDEX('Per Line'!$D$2:$D$1501,$AH362)&amp;"")</f>
        <v/>
      </c>
      <c r="H362">
        <f>IF($AH362="","",INDEX('Per Line'!$F$2:$F$1501,$AH362)&amp;"")</f>
        <v/>
      </c>
      <c r="I362" s="14">
        <f>IF($AH362="","",INDEX('Per Line'!$G$2:$G$1501,$AH362))</f>
        <v/>
      </c>
      <c r="J362">
        <f>IF($AH362="","",INDEX('Per Line'!$H$2:$H$1501,$AH362)&amp;"")</f>
        <v/>
      </c>
      <c r="K362">
        <f>IF($AH362="","",INDEX('Per Line'!$J$2:$J$1501,$AH362)&amp;"")</f>
        <v/>
      </c>
      <c r="L362">
        <f>IF($AH362="","",INDEX('Per Line'!$K$2:$K$1501,$AH362)&amp;"")</f>
        <v/>
      </c>
      <c r="M362">
        <f>IF($AH362="","",INDEX('Per Line'!$L$2:$L$1501,$AH362)&amp;"")</f>
        <v/>
      </c>
      <c r="N362">
        <f>IF($AH362="","",INDEX('Per Line'!$M$2:$M$1501,$AH362)&amp;"")</f>
        <v/>
      </c>
      <c r="O362">
        <f>IF($AH362="","",INDEX('Per Line'!$P$2:$P$1501,$AH362))</f>
        <v/>
      </c>
      <c r="P362" s="7">
        <f>IF($AH362="","",O362*AD362/100)</f>
        <v/>
      </c>
      <c r="Q362">
        <f>IF($AH362="","",INDEX('Per Line'!$R$2:$R$1501,$AH362)&amp;"")</f>
        <v/>
      </c>
      <c r="R362">
        <f>IF($AH362="","",INDEX('Per Line'!$AB$2:$AB$1501,$AH362)&amp;"")</f>
        <v/>
      </c>
      <c r="S362">
        <f>IF($AH362="","",Settings!$C$8)</f>
        <v/>
      </c>
      <c r="T362" s="7">
        <f>IF($AH362="","",SUMIFS('Per Line'!$Z$2:$Z$1501,'Per Line'!$E$2:$E$1501,$B362,'Per Line'!$AT$2:$AT$1501,1))</f>
        <v/>
      </c>
      <c r="U362" s="7">
        <f>IF($AH362="","",T362*S362)</f>
        <v/>
      </c>
      <c r="V362">
        <f>IF($AH362="","",Settings!$C$7)</f>
        <v/>
      </c>
      <c r="W362" s="7">
        <f>IF($AH362="","",SUMIFS('Per Line'!$Z$2:$Z$1501,'Per Line'!$E$2:$E$1501,$B362,'Per Line'!$AS$2:$AS$1501,0,'Per Line'!$AT$2:$AT$1501,0))</f>
        <v/>
      </c>
      <c r="X362" s="7">
        <f>IF($AH362="","",W362*V362)</f>
        <v/>
      </c>
      <c r="Y362">
        <f>IF($AH362="","",Settings!$C$6)</f>
        <v/>
      </c>
      <c r="Z362" s="7">
        <f>IF($AH362="","",SUMIFS('Per Line'!$Z$2:$Z$1501,'Per Line'!$E$2:$E$1501,$B362,'Per Line'!$AS$2:$AS$1501,1,'Per Line'!$AT$2:$AT$1501,0))</f>
        <v/>
      </c>
      <c r="AA362" s="7">
        <f>IF($AH362="","",Z362*Y362)</f>
        <v/>
      </c>
      <c r="AB362" s="7">
        <f>IF($AH362="","",AA362+X362+U362)</f>
        <v/>
      </c>
      <c r="AC362" s="7">
        <f>IF($AH362="","",AD362-AB362)</f>
        <v/>
      </c>
      <c r="AD362" s="7">
        <f>IF($AH362="","",W362+Z362+T362)</f>
        <v/>
      </c>
      <c r="AE362" s="7">
        <f>IF($AH362="","",AD362-AB362-P362)</f>
        <v/>
      </c>
      <c r="AF362" s="15" t="n"/>
      <c r="AG362" s="7">
        <f>IF($AH362="","",AE362-N(AF362))</f>
        <v/>
      </c>
      <c r="AH362" s="16">
        <f>IF(ROWS($AH$2:$AH362)&lt;=MAX('Per Line'!$AR$2:$AR$1501),MATCH(ROWS($AH$2:$AH362),'Per Line'!$AR$2:$AR$1501,0),"")</f>
        <v/>
      </c>
      <c r="AI362">
        <f>IF($AH362="","",C362&amp;"|"&amp;COUNTIF($C$2:$C362,C362))</f>
        <v/>
      </c>
    </row>
    <row r="363">
      <c r="A363" s="15" t="n"/>
      <c r="B363">
        <f>IF($AH363="","",INDEX('Per Line'!$E$2:$E$1501,$AH363)&amp;"")</f>
        <v/>
      </c>
      <c r="C363">
        <f>IF($AH363="","",IF(INDEX('Per Line'!$AP$2:$AP$1501,$AH363)="NOT MATCH","NOT MATCH","FULL MATCH"))</f>
        <v/>
      </c>
      <c r="D363">
        <f>IF($AH363="","",INDEX('Per Line'!$A$2:$A$1501,$AH363)&amp;"")</f>
        <v/>
      </c>
      <c r="E363">
        <f>IF($AH363="","",INDEX('Per Line'!$B$2:$B$1501,$AH363))</f>
        <v/>
      </c>
      <c r="F363">
        <f>IF($AH363="","",INDEX('Per Line'!$C$2:$C$1501,$AH363)&amp;"")</f>
        <v/>
      </c>
      <c r="G363">
        <f>IF($AH363="","",INDEX('Per Line'!$D$2:$D$1501,$AH363)&amp;"")</f>
        <v/>
      </c>
      <c r="H363">
        <f>IF($AH363="","",INDEX('Per Line'!$F$2:$F$1501,$AH363)&amp;"")</f>
        <v/>
      </c>
      <c r="I363" s="14">
        <f>IF($AH363="","",INDEX('Per Line'!$G$2:$G$1501,$AH363))</f>
        <v/>
      </c>
      <c r="J363">
        <f>IF($AH363="","",INDEX('Per Line'!$H$2:$H$1501,$AH363)&amp;"")</f>
        <v/>
      </c>
      <c r="K363">
        <f>IF($AH363="","",INDEX('Per Line'!$J$2:$J$1501,$AH363)&amp;"")</f>
        <v/>
      </c>
      <c r="L363">
        <f>IF($AH363="","",INDEX('Per Line'!$K$2:$K$1501,$AH363)&amp;"")</f>
        <v/>
      </c>
      <c r="M363">
        <f>IF($AH363="","",INDEX('Per Line'!$L$2:$L$1501,$AH363)&amp;"")</f>
        <v/>
      </c>
      <c r="N363">
        <f>IF($AH363="","",INDEX('Per Line'!$M$2:$M$1501,$AH363)&amp;"")</f>
        <v/>
      </c>
      <c r="O363">
        <f>IF($AH363="","",INDEX('Per Line'!$P$2:$P$1501,$AH363))</f>
        <v/>
      </c>
      <c r="P363" s="7">
        <f>IF($AH363="","",O363*AD363/100)</f>
        <v/>
      </c>
      <c r="Q363">
        <f>IF($AH363="","",INDEX('Per Line'!$R$2:$R$1501,$AH363)&amp;"")</f>
        <v/>
      </c>
      <c r="R363">
        <f>IF($AH363="","",INDEX('Per Line'!$AB$2:$AB$1501,$AH363)&amp;"")</f>
        <v/>
      </c>
      <c r="S363">
        <f>IF($AH363="","",Settings!$C$8)</f>
        <v/>
      </c>
      <c r="T363" s="7">
        <f>IF($AH363="","",SUMIFS('Per Line'!$Z$2:$Z$1501,'Per Line'!$E$2:$E$1501,$B363,'Per Line'!$AT$2:$AT$1501,1))</f>
        <v/>
      </c>
      <c r="U363" s="7">
        <f>IF($AH363="","",T363*S363)</f>
        <v/>
      </c>
      <c r="V363">
        <f>IF($AH363="","",Settings!$C$7)</f>
        <v/>
      </c>
      <c r="W363" s="7">
        <f>IF($AH363="","",SUMIFS('Per Line'!$Z$2:$Z$1501,'Per Line'!$E$2:$E$1501,$B363,'Per Line'!$AS$2:$AS$1501,0,'Per Line'!$AT$2:$AT$1501,0))</f>
        <v/>
      </c>
      <c r="X363" s="7">
        <f>IF($AH363="","",W363*V363)</f>
        <v/>
      </c>
      <c r="Y363">
        <f>IF($AH363="","",Settings!$C$6)</f>
        <v/>
      </c>
      <c r="Z363" s="7">
        <f>IF($AH363="","",SUMIFS('Per Line'!$Z$2:$Z$1501,'Per Line'!$E$2:$E$1501,$B363,'Per Line'!$AS$2:$AS$1501,1,'Per Line'!$AT$2:$AT$1501,0))</f>
        <v/>
      </c>
      <c r="AA363" s="7">
        <f>IF($AH363="","",Z363*Y363)</f>
        <v/>
      </c>
      <c r="AB363" s="7">
        <f>IF($AH363="","",AA363+X363+U363)</f>
        <v/>
      </c>
      <c r="AC363" s="7">
        <f>IF($AH363="","",AD363-AB363)</f>
        <v/>
      </c>
      <c r="AD363" s="7">
        <f>IF($AH363="","",W363+Z363+T363)</f>
        <v/>
      </c>
      <c r="AE363" s="7">
        <f>IF($AH363="","",AD363-AB363-P363)</f>
        <v/>
      </c>
      <c r="AF363" s="15" t="n"/>
      <c r="AG363" s="7">
        <f>IF($AH363="","",AE363-N(AF363))</f>
        <v/>
      </c>
      <c r="AH363" s="16">
        <f>IF(ROWS($AH$2:$AH363)&lt;=MAX('Per Line'!$AR$2:$AR$1501),MATCH(ROWS($AH$2:$AH363),'Per Line'!$AR$2:$AR$1501,0),"")</f>
        <v/>
      </c>
      <c r="AI363">
        <f>IF($AH363="","",C363&amp;"|"&amp;COUNTIF($C$2:$C363,C363))</f>
        <v/>
      </c>
    </row>
    <row r="364">
      <c r="A364" s="15" t="n"/>
      <c r="B364">
        <f>IF($AH364="","",INDEX('Per Line'!$E$2:$E$1501,$AH364)&amp;"")</f>
        <v/>
      </c>
      <c r="C364">
        <f>IF($AH364="","",IF(INDEX('Per Line'!$AP$2:$AP$1501,$AH364)="NOT MATCH","NOT MATCH","FULL MATCH"))</f>
        <v/>
      </c>
      <c r="D364">
        <f>IF($AH364="","",INDEX('Per Line'!$A$2:$A$1501,$AH364)&amp;"")</f>
        <v/>
      </c>
      <c r="E364">
        <f>IF($AH364="","",INDEX('Per Line'!$B$2:$B$1501,$AH364))</f>
        <v/>
      </c>
      <c r="F364">
        <f>IF($AH364="","",INDEX('Per Line'!$C$2:$C$1501,$AH364)&amp;"")</f>
        <v/>
      </c>
      <c r="G364">
        <f>IF($AH364="","",INDEX('Per Line'!$D$2:$D$1501,$AH364)&amp;"")</f>
        <v/>
      </c>
      <c r="H364">
        <f>IF($AH364="","",INDEX('Per Line'!$F$2:$F$1501,$AH364)&amp;"")</f>
        <v/>
      </c>
      <c r="I364" s="14">
        <f>IF($AH364="","",INDEX('Per Line'!$G$2:$G$1501,$AH364))</f>
        <v/>
      </c>
      <c r="J364">
        <f>IF($AH364="","",INDEX('Per Line'!$H$2:$H$1501,$AH364)&amp;"")</f>
        <v/>
      </c>
      <c r="K364">
        <f>IF($AH364="","",INDEX('Per Line'!$J$2:$J$1501,$AH364)&amp;"")</f>
        <v/>
      </c>
      <c r="L364">
        <f>IF($AH364="","",INDEX('Per Line'!$K$2:$K$1501,$AH364)&amp;"")</f>
        <v/>
      </c>
      <c r="M364">
        <f>IF($AH364="","",INDEX('Per Line'!$L$2:$L$1501,$AH364)&amp;"")</f>
        <v/>
      </c>
      <c r="N364">
        <f>IF($AH364="","",INDEX('Per Line'!$M$2:$M$1501,$AH364)&amp;"")</f>
        <v/>
      </c>
      <c r="O364">
        <f>IF($AH364="","",INDEX('Per Line'!$P$2:$P$1501,$AH364))</f>
        <v/>
      </c>
      <c r="P364" s="7">
        <f>IF($AH364="","",O364*AD364/100)</f>
        <v/>
      </c>
      <c r="Q364">
        <f>IF($AH364="","",INDEX('Per Line'!$R$2:$R$1501,$AH364)&amp;"")</f>
        <v/>
      </c>
      <c r="R364">
        <f>IF($AH364="","",INDEX('Per Line'!$AB$2:$AB$1501,$AH364)&amp;"")</f>
        <v/>
      </c>
      <c r="S364">
        <f>IF($AH364="","",Settings!$C$8)</f>
        <v/>
      </c>
      <c r="T364" s="7">
        <f>IF($AH364="","",SUMIFS('Per Line'!$Z$2:$Z$1501,'Per Line'!$E$2:$E$1501,$B364,'Per Line'!$AT$2:$AT$1501,1))</f>
        <v/>
      </c>
      <c r="U364" s="7">
        <f>IF($AH364="","",T364*S364)</f>
        <v/>
      </c>
      <c r="V364">
        <f>IF($AH364="","",Settings!$C$7)</f>
        <v/>
      </c>
      <c r="W364" s="7">
        <f>IF($AH364="","",SUMIFS('Per Line'!$Z$2:$Z$1501,'Per Line'!$E$2:$E$1501,$B364,'Per Line'!$AS$2:$AS$1501,0,'Per Line'!$AT$2:$AT$1501,0))</f>
        <v/>
      </c>
      <c r="X364" s="7">
        <f>IF($AH364="","",W364*V364)</f>
        <v/>
      </c>
      <c r="Y364">
        <f>IF($AH364="","",Settings!$C$6)</f>
        <v/>
      </c>
      <c r="Z364" s="7">
        <f>IF($AH364="","",SUMIFS('Per Line'!$Z$2:$Z$1501,'Per Line'!$E$2:$E$1501,$B364,'Per Line'!$AS$2:$AS$1501,1,'Per Line'!$AT$2:$AT$1501,0))</f>
        <v/>
      </c>
      <c r="AA364" s="7">
        <f>IF($AH364="","",Z364*Y364)</f>
        <v/>
      </c>
      <c r="AB364" s="7">
        <f>IF($AH364="","",AA364+X364+U364)</f>
        <v/>
      </c>
      <c r="AC364" s="7">
        <f>IF($AH364="","",AD364-AB364)</f>
        <v/>
      </c>
      <c r="AD364" s="7">
        <f>IF($AH364="","",W364+Z364+T364)</f>
        <v/>
      </c>
      <c r="AE364" s="7">
        <f>IF($AH364="","",AD364-AB364-P364)</f>
        <v/>
      </c>
      <c r="AF364" s="15" t="n"/>
      <c r="AG364" s="7">
        <f>IF($AH364="","",AE364-N(AF364))</f>
        <v/>
      </c>
      <c r="AH364" s="16">
        <f>IF(ROWS($AH$2:$AH364)&lt;=MAX('Per Line'!$AR$2:$AR$1501),MATCH(ROWS($AH$2:$AH364),'Per Line'!$AR$2:$AR$1501,0),"")</f>
        <v/>
      </c>
      <c r="AI364">
        <f>IF($AH364="","",C364&amp;"|"&amp;COUNTIF($C$2:$C364,C364))</f>
        <v/>
      </c>
    </row>
    <row r="365">
      <c r="A365" s="15" t="n"/>
      <c r="B365">
        <f>IF($AH365="","",INDEX('Per Line'!$E$2:$E$1501,$AH365)&amp;"")</f>
        <v/>
      </c>
      <c r="C365">
        <f>IF($AH365="","",IF(INDEX('Per Line'!$AP$2:$AP$1501,$AH365)="NOT MATCH","NOT MATCH","FULL MATCH"))</f>
        <v/>
      </c>
      <c r="D365">
        <f>IF($AH365="","",INDEX('Per Line'!$A$2:$A$1501,$AH365)&amp;"")</f>
        <v/>
      </c>
      <c r="E365">
        <f>IF($AH365="","",INDEX('Per Line'!$B$2:$B$1501,$AH365))</f>
        <v/>
      </c>
      <c r="F365">
        <f>IF($AH365="","",INDEX('Per Line'!$C$2:$C$1501,$AH365)&amp;"")</f>
        <v/>
      </c>
      <c r="G365">
        <f>IF($AH365="","",INDEX('Per Line'!$D$2:$D$1501,$AH365)&amp;"")</f>
        <v/>
      </c>
      <c r="H365">
        <f>IF($AH365="","",INDEX('Per Line'!$F$2:$F$1501,$AH365)&amp;"")</f>
        <v/>
      </c>
      <c r="I365" s="14">
        <f>IF($AH365="","",INDEX('Per Line'!$G$2:$G$1501,$AH365))</f>
        <v/>
      </c>
      <c r="J365">
        <f>IF($AH365="","",INDEX('Per Line'!$H$2:$H$1501,$AH365)&amp;"")</f>
        <v/>
      </c>
      <c r="K365">
        <f>IF($AH365="","",INDEX('Per Line'!$J$2:$J$1501,$AH365)&amp;"")</f>
        <v/>
      </c>
      <c r="L365">
        <f>IF($AH365="","",INDEX('Per Line'!$K$2:$K$1501,$AH365)&amp;"")</f>
        <v/>
      </c>
      <c r="M365">
        <f>IF($AH365="","",INDEX('Per Line'!$L$2:$L$1501,$AH365)&amp;"")</f>
        <v/>
      </c>
      <c r="N365">
        <f>IF($AH365="","",INDEX('Per Line'!$M$2:$M$1501,$AH365)&amp;"")</f>
        <v/>
      </c>
      <c r="O365">
        <f>IF($AH365="","",INDEX('Per Line'!$P$2:$P$1501,$AH365))</f>
        <v/>
      </c>
      <c r="P365" s="7">
        <f>IF($AH365="","",O365*AD365/100)</f>
        <v/>
      </c>
      <c r="Q365">
        <f>IF($AH365="","",INDEX('Per Line'!$R$2:$R$1501,$AH365)&amp;"")</f>
        <v/>
      </c>
      <c r="R365">
        <f>IF($AH365="","",INDEX('Per Line'!$AB$2:$AB$1501,$AH365)&amp;"")</f>
        <v/>
      </c>
      <c r="S365">
        <f>IF($AH365="","",Settings!$C$8)</f>
        <v/>
      </c>
      <c r="T365" s="7">
        <f>IF($AH365="","",SUMIFS('Per Line'!$Z$2:$Z$1501,'Per Line'!$E$2:$E$1501,$B365,'Per Line'!$AT$2:$AT$1501,1))</f>
        <v/>
      </c>
      <c r="U365" s="7">
        <f>IF($AH365="","",T365*S365)</f>
        <v/>
      </c>
      <c r="V365">
        <f>IF($AH365="","",Settings!$C$7)</f>
        <v/>
      </c>
      <c r="W365" s="7">
        <f>IF($AH365="","",SUMIFS('Per Line'!$Z$2:$Z$1501,'Per Line'!$E$2:$E$1501,$B365,'Per Line'!$AS$2:$AS$1501,0,'Per Line'!$AT$2:$AT$1501,0))</f>
        <v/>
      </c>
      <c r="X365" s="7">
        <f>IF($AH365="","",W365*V365)</f>
        <v/>
      </c>
      <c r="Y365">
        <f>IF($AH365="","",Settings!$C$6)</f>
        <v/>
      </c>
      <c r="Z365" s="7">
        <f>IF($AH365="","",SUMIFS('Per Line'!$Z$2:$Z$1501,'Per Line'!$E$2:$E$1501,$B365,'Per Line'!$AS$2:$AS$1501,1,'Per Line'!$AT$2:$AT$1501,0))</f>
        <v/>
      </c>
      <c r="AA365" s="7">
        <f>IF($AH365="","",Z365*Y365)</f>
        <v/>
      </c>
      <c r="AB365" s="7">
        <f>IF($AH365="","",AA365+X365+U365)</f>
        <v/>
      </c>
      <c r="AC365" s="7">
        <f>IF($AH365="","",AD365-AB365)</f>
        <v/>
      </c>
      <c r="AD365" s="7">
        <f>IF($AH365="","",W365+Z365+T365)</f>
        <v/>
      </c>
      <c r="AE365" s="7">
        <f>IF($AH365="","",AD365-AB365-P365)</f>
        <v/>
      </c>
      <c r="AF365" s="15" t="n"/>
      <c r="AG365" s="7">
        <f>IF($AH365="","",AE365-N(AF365))</f>
        <v/>
      </c>
      <c r="AH365" s="16">
        <f>IF(ROWS($AH$2:$AH365)&lt;=MAX('Per Line'!$AR$2:$AR$1501),MATCH(ROWS($AH$2:$AH365),'Per Line'!$AR$2:$AR$1501,0),"")</f>
        <v/>
      </c>
      <c r="AI365">
        <f>IF($AH365="","",C365&amp;"|"&amp;COUNTIF($C$2:$C365,C365))</f>
        <v/>
      </c>
    </row>
    <row r="366">
      <c r="A366" s="15" t="n"/>
      <c r="B366">
        <f>IF($AH366="","",INDEX('Per Line'!$E$2:$E$1501,$AH366)&amp;"")</f>
        <v/>
      </c>
      <c r="C366">
        <f>IF($AH366="","",IF(INDEX('Per Line'!$AP$2:$AP$1501,$AH366)="NOT MATCH","NOT MATCH","FULL MATCH"))</f>
        <v/>
      </c>
      <c r="D366">
        <f>IF($AH366="","",INDEX('Per Line'!$A$2:$A$1501,$AH366)&amp;"")</f>
        <v/>
      </c>
      <c r="E366">
        <f>IF($AH366="","",INDEX('Per Line'!$B$2:$B$1501,$AH366))</f>
        <v/>
      </c>
      <c r="F366">
        <f>IF($AH366="","",INDEX('Per Line'!$C$2:$C$1501,$AH366)&amp;"")</f>
        <v/>
      </c>
      <c r="G366">
        <f>IF($AH366="","",INDEX('Per Line'!$D$2:$D$1501,$AH366)&amp;"")</f>
        <v/>
      </c>
      <c r="H366">
        <f>IF($AH366="","",INDEX('Per Line'!$F$2:$F$1501,$AH366)&amp;"")</f>
        <v/>
      </c>
      <c r="I366" s="14">
        <f>IF($AH366="","",INDEX('Per Line'!$G$2:$G$1501,$AH366))</f>
        <v/>
      </c>
      <c r="J366">
        <f>IF($AH366="","",INDEX('Per Line'!$H$2:$H$1501,$AH366)&amp;"")</f>
        <v/>
      </c>
      <c r="K366">
        <f>IF($AH366="","",INDEX('Per Line'!$J$2:$J$1501,$AH366)&amp;"")</f>
        <v/>
      </c>
      <c r="L366">
        <f>IF($AH366="","",INDEX('Per Line'!$K$2:$K$1501,$AH366)&amp;"")</f>
        <v/>
      </c>
      <c r="M366">
        <f>IF($AH366="","",INDEX('Per Line'!$L$2:$L$1501,$AH366)&amp;"")</f>
        <v/>
      </c>
      <c r="N366">
        <f>IF($AH366="","",INDEX('Per Line'!$M$2:$M$1501,$AH366)&amp;"")</f>
        <v/>
      </c>
      <c r="O366">
        <f>IF($AH366="","",INDEX('Per Line'!$P$2:$P$1501,$AH366))</f>
        <v/>
      </c>
      <c r="P366" s="7">
        <f>IF($AH366="","",O366*AD366/100)</f>
        <v/>
      </c>
      <c r="Q366">
        <f>IF($AH366="","",INDEX('Per Line'!$R$2:$R$1501,$AH366)&amp;"")</f>
        <v/>
      </c>
      <c r="R366">
        <f>IF($AH366="","",INDEX('Per Line'!$AB$2:$AB$1501,$AH366)&amp;"")</f>
        <v/>
      </c>
      <c r="S366">
        <f>IF($AH366="","",Settings!$C$8)</f>
        <v/>
      </c>
      <c r="T366" s="7">
        <f>IF($AH366="","",SUMIFS('Per Line'!$Z$2:$Z$1501,'Per Line'!$E$2:$E$1501,$B366,'Per Line'!$AT$2:$AT$1501,1))</f>
        <v/>
      </c>
      <c r="U366" s="7">
        <f>IF($AH366="","",T366*S366)</f>
        <v/>
      </c>
      <c r="V366">
        <f>IF($AH366="","",Settings!$C$7)</f>
        <v/>
      </c>
      <c r="W366" s="7">
        <f>IF($AH366="","",SUMIFS('Per Line'!$Z$2:$Z$1501,'Per Line'!$E$2:$E$1501,$B366,'Per Line'!$AS$2:$AS$1501,0,'Per Line'!$AT$2:$AT$1501,0))</f>
        <v/>
      </c>
      <c r="X366" s="7">
        <f>IF($AH366="","",W366*V366)</f>
        <v/>
      </c>
      <c r="Y366">
        <f>IF($AH366="","",Settings!$C$6)</f>
        <v/>
      </c>
      <c r="Z366" s="7">
        <f>IF($AH366="","",SUMIFS('Per Line'!$Z$2:$Z$1501,'Per Line'!$E$2:$E$1501,$B366,'Per Line'!$AS$2:$AS$1501,1,'Per Line'!$AT$2:$AT$1501,0))</f>
        <v/>
      </c>
      <c r="AA366" s="7">
        <f>IF($AH366="","",Z366*Y366)</f>
        <v/>
      </c>
      <c r="AB366" s="7">
        <f>IF($AH366="","",AA366+X366+U366)</f>
        <v/>
      </c>
      <c r="AC366" s="7">
        <f>IF($AH366="","",AD366-AB366)</f>
        <v/>
      </c>
      <c r="AD366" s="7">
        <f>IF($AH366="","",W366+Z366+T366)</f>
        <v/>
      </c>
      <c r="AE366" s="7">
        <f>IF($AH366="","",AD366-AB366-P366)</f>
        <v/>
      </c>
      <c r="AF366" s="15" t="n"/>
      <c r="AG366" s="7">
        <f>IF($AH366="","",AE366-N(AF366))</f>
        <v/>
      </c>
      <c r="AH366" s="16">
        <f>IF(ROWS($AH$2:$AH366)&lt;=MAX('Per Line'!$AR$2:$AR$1501),MATCH(ROWS($AH$2:$AH366),'Per Line'!$AR$2:$AR$1501,0),"")</f>
        <v/>
      </c>
      <c r="AI366">
        <f>IF($AH366="","",C366&amp;"|"&amp;COUNTIF($C$2:$C366,C366))</f>
        <v/>
      </c>
    </row>
    <row r="367">
      <c r="A367" s="15" t="n"/>
      <c r="B367">
        <f>IF($AH367="","",INDEX('Per Line'!$E$2:$E$1501,$AH367)&amp;"")</f>
        <v/>
      </c>
      <c r="C367">
        <f>IF($AH367="","",IF(INDEX('Per Line'!$AP$2:$AP$1501,$AH367)="NOT MATCH","NOT MATCH","FULL MATCH"))</f>
        <v/>
      </c>
      <c r="D367">
        <f>IF($AH367="","",INDEX('Per Line'!$A$2:$A$1501,$AH367)&amp;"")</f>
        <v/>
      </c>
      <c r="E367">
        <f>IF($AH367="","",INDEX('Per Line'!$B$2:$B$1501,$AH367))</f>
        <v/>
      </c>
      <c r="F367">
        <f>IF($AH367="","",INDEX('Per Line'!$C$2:$C$1501,$AH367)&amp;"")</f>
        <v/>
      </c>
      <c r="G367">
        <f>IF($AH367="","",INDEX('Per Line'!$D$2:$D$1501,$AH367)&amp;"")</f>
        <v/>
      </c>
      <c r="H367">
        <f>IF($AH367="","",INDEX('Per Line'!$F$2:$F$1501,$AH367)&amp;"")</f>
        <v/>
      </c>
      <c r="I367" s="14">
        <f>IF($AH367="","",INDEX('Per Line'!$G$2:$G$1501,$AH367))</f>
        <v/>
      </c>
      <c r="J367">
        <f>IF($AH367="","",INDEX('Per Line'!$H$2:$H$1501,$AH367)&amp;"")</f>
        <v/>
      </c>
      <c r="K367">
        <f>IF($AH367="","",INDEX('Per Line'!$J$2:$J$1501,$AH367)&amp;"")</f>
        <v/>
      </c>
      <c r="L367">
        <f>IF($AH367="","",INDEX('Per Line'!$K$2:$K$1501,$AH367)&amp;"")</f>
        <v/>
      </c>
      <c r="M367">
        <f>IF($AH367="","",INDEX('Per Line'!$L$2:$L$1501,$AH367)&amp;"")</f>
        <v/>
      </c>
      <c r="N367">
        <f>IF($AH367="","",INDEX('Per Line'!$M$2:$M$1501,$AH367)&amp;"")</f>
        <v/>
      </c>
      <c r="O367">
        <f>IF($AH367="","",INDEX('Per Line'!$P$2:$P$1501,$AH367))</f>
        <v/>
      </c>
      <c r="P367" s="7">
        <f>IF($AH367="","",O367*AD367/100)</f>
        <v/>
      </c>
      <c r="Q367">
        <f>IF($AH367="","",INDEX('Per Line'!$R$2:$R$1501,$AH367)&amp;"")</f>
        <v/>
      </c>
      <c r="R367">
        <f>IF($AH367="","",INDEX('Per Line'!$AB$2:$AB$1501,$AH367)&amp;"")</f>
        <v/>
      </c>
      <c r="S367">
        <f>IF($AH367="","",Settings!$C$8)</f>
        <v/>
      </c>
      <c r="T367" s="7">
        <f>IF($AH367="","",SUMIFS('Per Line'!$Z$2:$Z$1501,'Per Line'!$E$2:$E$1501,$B367,'Per Line'!$AT$2:$AT$1501,1))</f>
        <v/>
      </c>
      <c r="U367" s="7">
        <f>IF($AH367="","",T367*S367)</f>
        <v/>
      </c>
      <c r="V367">
        <f>IF($AH367="","",Settings!$C$7)</f>
        <v/>
      </c>
      <c r="W367" s="7">
        <f>IF($AH367="","",SUMIFS('Per Line'!$Z$2:$Z$1501,'Per Line'!$E$2:$E$1501,$B367,'Per Line'!$AS$2:$AS$1501,0,'Per Line'!$AT$2:$AT$1501,0))</f>
        <v/>
      </c>
      <c r="X367" s="7">
        <f>IF($AH367="","",W367*V367)</f>
        <v/>
      </c>
      <c r="Y367">
        <f>IF($AH367="","",Settings!$C$6)</f>
        <v/>
      </c>
      <c r="Z367" s="7">
        <f>IF($AH367="","",SUMIFS('Per Line'!$Z$2:$Z$1501,'Per Line'!$E$2:$E$1501,$B367,'Per Line'!$AS$2:$AS$1501,1,'Per Line'!$AT$2:$AT$1501,0))</f>
        <v/>
      </c>
      <c r="AA367" s="7">
        <f>IF($AH367="","",Z367*Y367)</f>
        <v/>
      </c>
      <c r="AB367" s="7">
        <f>IF($AH367="","",AA367+X367+U367)</f>
        <v/>
      </c>
      <c r="AC367" s="7">
        <f>IF($AH367="","",AD367-AB367)</f>
        <v/>
      </c>
      <c r="AD367" s="7">
        <f>IF($AH367="","",W367+Z367+T367)</f>
        <v/>
      </c>
      <c r="AE367" s="7">
        <f>IF($AH367="","",AD367-AB367-P367)</f>
        <v/>
      </c>
      <c r="AF367" s="15" t="n"/>
      <c r="AG367" s="7">
        <f>IF($AH367="","",AE367-N(AF367))</f>
        <v/>
      </c>
      <c r="AH367" s="16">
        <f>IF(ROWS($AH$2:$AH367)&lt;=MAX('Per Line'!$AR$2:$AR$1501),MATCH(ROWS($AH$2:$AH367),'Per Line'!$AR$2:$AR$1501,0),"")</f>
        <v/>
      </c>
      <c r="AI367">
        <f>IF($AH367="","",C367&amp;"|"&amp;COUNTIF($C$2:$C367,C367))</f>
        <v/>
      </c>
    </row>
    <row r="368">
      <c r="A368" s="15" t="n"/>
      <c r="B368">
        <f>IF($AH368="","",INDEX('Per Line'!$E$2:$E$1501,$AH368)&amp;"")</f>
        <v/>
      </c>
      <c r="C368">
        <f>IF($AH368="","",IF(INDEX('Per Line'!$AP$2:$AP$1501,$AH368)="NOT MATCH","NOT MATCH","FULL MATCH"))</f>
        <v/>
      </c>
      <c r="D368">
        <f>IF($AH368="","",INDEX('Per Line'!$A$2:$A$1501,$AH368)&amp;"")</f>
        <v/>
      </c>
      <c r="E368">
        <f>IF($AH368="","",INDEX('Per Line'!$B$2:$B$1501,$AH368))</f>
        <v/>
      </c>
      <c r="F368">
        <f>IF($AH368="","",INDEX('Per Line'!$C$2:$C$1501,$AH368)&amp;"")</f>
        <v/>
      </c>
      <c r="G368">
        <f>IF($AH368="","",INDEX('Per Line'!$D$2:$D$1501,$AH368)&amp;"")</f>
        <v/>
      </c>
      <c r="H368">
        <f>IF($AH368="","",INDEX('Per Line'!$F$2:$F$1501,$AH368)&amp;"")</f>
        <v/>
      </c>
      <c r="I368" s="14">
        <f>IF($AH368="","",INDEX('Per Line'!$G$2:$G$1501,$AH368))</f>
        <v/>
      </c>
      <c r="J368">
        <f>IF($AH368="","",INDEX('Per Line'!$H$2:$H$1501,$AH368)&amp;"")</f>
        <v/>
      </c>
      <c r="K368">
        <f>IF($AH368="","",INDEX('Per Line'!$J$2:$J$1501,$AH368)&amp;"")</f>
        <v/>
      </c>
      <c r="L368">
        <f>IF($AH368="","",INDEX('Per Line'!$K$2:$K$1501,$AH368)&amp;"")</f>
        <v/>
      </c>
      <c r="M368">
        <f>IF($AH368="","",INDEX('Per Line'!$L$2:$L$1501,$AH368)&amp;"")</f>
        <v/>
      </c>
      <c r="N368">
        <f>IF($AH368="","",INDEX('Per Line'!$M$2:$M$1501,$AH368)&amp;"")</f>
        <v/>
      </c>
      <c r="O368">
        <f>IF($AH368="","",INDEX('Per Line'!$P$2:$P$1501,$AH368))</f>
        <v/>
      </c>
      <c r="P368" s="7">
        <f>IF($AH368="","",O368*AD368/100)</f>
        <v/>
      </c>
      <c r="Q368">
        <f>IF($AH368="","",INDEX('Per Line'!$R$2:$R$1501,$AH368)&amp;"")</f>
        <v/>
      </c>
      <c r="R368">
        <f>IF($AH368="","",INDEX('Per Line'!$AB$2:$AB$1501,$AH368)&amp;"")</f>
        <v/>
      </c>
      <c r="S368">
        <f>IF($AH368="","",Settings!$C$8)</f>
        <v/>
      </c>
      <c r="T368" s="7">
        <f>IF($AH368="","",SUMIFS('Per Line'!$Z$2:$Z$1501,'Per Line'!$E$2:$E$1501,$B368,'Per Line'!$AT$2:$AT$1501,1))</f>
        <v/>
      </c>
      <c r="U368" s="7">
        <f>IF($AH368="","",T368*S368)</f>
        <v/>
      </c>
      <c r="V368">
        <f>IF($AH368="","",Settings!$C$7)</f>
        <v/>
      </c>
      <c r="W368" s="7">
        <f>IF($AH368="","",SUMIFS('Per Line'!$Z$2:$Z$1501,'Per Line'!$E$2:$E$1501,$B368,'Per Line'!$AS$2:$AS$1501,0,'Per Line'!$AT$2:$AT$1501,0))</f>
        <v/>
      </c>
      <c r="X368" s="7">
        <f>IF($AH368="","",W368*V368)</f>
        <v/>
      </c>
      <c r="Y368">
        <f>IF($AH368="","",Settings!$C$6)</f>
        <v/>
      </c>
      <c r="Z368" s="7">
        <f>IF($AH368="","",SUMIFS('Per Line'!$Z$2:$Z$1501,'Per Line'!$E$2:$E$1501,$B368,'Per Line'!$AS$2:$AS$1501,1,'Per Line'!$AT$2:$AT$1501,0))</f>
        <v/>
      </c>
      <c r="AA368" s="7">
        <f>IF($AH368="","",Z368*Y368)</f>
        <v/>
      </c>
      <c r="AB368" s="7">
        <f>IF($AH368="","",AA368+X368+U368)</f>
        <v/>
      </c>
      <c r="AC368" s="7">
        <f>IF($AH368="","",AD368-AB368)</f>
        <v/>
      </c>
      <c r="AD368" s="7">
        <f>IF($AH368="","",W368+Z368+T368)</f>
        <v/>
      </c>
      <c r="AE368" s="7">
        <f>IF($AH368="","",AD368-AB368-P368)</f>
        <v/>
      </c>
      <c r="AF368" s="15" t="n"/>
      <c r="AG368" s="7">
        <f>IF($AH368="","",AE368-N(AF368))</f>
        <v/>
      </c>
      <c r="AH368" s="16">
        <f>IF(ROWS($AH$2:$AH368)&lt;=MAX('Per Line'!$AR$2:$AR$1501),MATCH(ROWS($AH$2:$AH368),'Per Line'!$AR$2:$AR$1501,0),"")</f>
        <v/>
      </c>
      <c r="AI368">
        <f>IF($AH368="","",C368&amp;"|"&amp;COUNTIF($C$2:$C368,C368))</f>
        <v/>
      </c>
    </row>
    <row r="369">
      <c r="A369" s="15" t="n"/>
      <c r="B369">
        <f>IF($AH369="","",INDEX('Per Line'!$E$2:$E$1501,$AH369)&amp;"")</f>
        <v/>
      </c>
      <c r="C369">
        <f>IF($AH369="","",IF(INDEX('Per Line'!$AP$2:$AP$1501,$AH369)="NOT MATCH","NOT MATCH","FULL MATCH"))</f>
        <v/>
      </c>
      <c r="D369">
        <f>IF($AH369="","",INDEX('Per Line'!$A$2:$A$1501,$AH369)&amp;"")</f>
        <v/>
      </c>
      <c r="E369">
        <f>IF($AH369="","",INDEX('Per Line'!$B$2:$B$1501,$AH369))</f>
        <v/>
      </c>
      <c r="F369">
        <f>IF($AH369="","",INDEX('Per Line'!$C$2:$C$1501,$AH369)&amp;"")</f>
        <v/>
      </c>
      <c r="G369">
        <f>IF($AH369="","",INDEX('Per Line'!$D$2:$D$1501,$AH369)&amp;"")</f>
        <v/>
      </c>
      <c r="H369">
        <f>IF($AH369="","",INDEX('Per Line'!$F$2:$F$1501,$AH369)&amp;"")</f>
        <v/>
      </c>
      <c r="I369" s="14">
        <f>IF($AH369="","",INDEX('Per Line'!$G$2:$G$1501,$AH369))</f>
        <v/>
      </c>
      <c r="J369">
        <f>IF($AH369="","",INDEX('Per Line'!$H$2:$H$1501,$AH369)&amp;"")</f>
        <v/>
      </c>
      <c r="K369">
        <f>IF($AH369="","",INDEX('Per Line'!$J$2:$J$1501,$AH369)&amp;"")</f>
        <v/>
      </c>
      <c r="L369">
        <f>IF($AH369="","",INDEX('Per Line'!$K$2:$K$1501,$AH369)&amp;"")</f>
        <v/>
      </c>
      <c r="M369">
        <f>IF($AH369="","",INDEX('Per Line'!$L$2:$L$1501,$AH369)&amp;"")</f>
        <v/>
      </c>
      <c r="N369">
        <f>IF($AH369="","",INDEX('Per Line'!$M$2:$M$1501,$AH369)&amp;"")</f>
        <v/>
      </c>
      <c r="O369">
        <f>IF($AH369="","",INDEX('Per Line'!$P$2:$P$1501,$AH369))</f>
        <v/>
      </c>
      <c r="P369" s="7">
        <f>IF($AH369="","",O369*AD369/100)</f>
        <v/>
      </c>
      <c r="Q369">
        <f>IF($AH369="","",INDEX('Per Line'!$R$2:$R$1501,$AH369)&amp;"")</f>
        <v/>
      </c>
      <c r="R369">
        <f>IF($AH369="","",INDEX('Per Line'!$AB$2:$AB$1501,$AH369)&amp;"")</f>
        <v/>
      </c>
      <c r="S369">
        <f>IF($AH369="","",Settings!$C$8)</f>
        <v/>
      </c>
      <c r="T369" s="7">
        <f>IF($AH369="","",SUMIFS('Per Line'!$Z$2:$Z$1501,'Per Line'!$E$2:$E$1501,$B369,'Per Line'!$AT$2:$AT$1501,1))</f>
        <v/>
      </c>
      <c r="U369" s="7">
        <f>IF($AH369="","",T369*S369)</f>
        <v/>
      </c>
      <c r="V369">
        <f>IF($AH369="","",Settings!$C$7)</f>
        <v/>
      </c>
      <c r="W369" s="7">
        <f>IF($AH369="","",SUMIFS('Per Line'!$Z$2:$Z$1501,'Per Line'!$E$2:$E$1501,$B369,'Per Line'!$AS$2:$AS$1501,0,'Per Line'!$AT$2:$AT$1501,0))</f>
        <v/>
      </c>
      <c r="X369" s="7">
        <f>IF($AH369="","",W369*V369)</f>
        <v/>
      </c>
      <c r="Y369">
        <f>IF($AH369="","",Settings!$C$6)</f>
        <v/>
      </c>
      <c r="Z369" s="7">
        <f>IF($AH369="","",SUMIFS('Per Line'!$Z$2:$Z$1501,'Per Line'!$E$2:$E$1501,$B369,'Per Line'!$AS$2:$AS$1501,1,'Per Line'!$AT$2:$AT$1501,0))</f>
        <v/>
      </c>
      <c r="AA369" s="7">
        <f>IF($AH369="","",Z369*Y369)</f>
        <v/>
      </c>
      <c r="AB369" s="7">
        <f>IF($AH369="","",AA369+X369+U369)</f>
        <v/>
      </c>
      <c r="AC369" s="7">
        <f>IF($AH369="","",AD369-AB369)</f>
        <v/>
      </c>
      <c r="AD369" s="7">
        <f>IF($AH369="","",W369+Z369+T369)</f>
        <v/>
      </c>
      <c r="AE369" s="7">
        <f>IF($AH369="","",AD369-AB369-P369)</f>
        <v/>
      </c>
      <c r="AF369" s="15" t="n"/>
      <c r="AG369" s="7">
        <f>IF($AH369="","",AE369-N(AF369))</f>
        <v/>
      </c>
      <c r="AH369" s="16">
        <f>IF(ROWS($AH$2:$AH369)&lt;=MAX('Per Line'!$AR$2:$AR$1501),MATCH(ROWS($AH$2:$AH369),'Per Line'!$AR$2:$AR$1501,0),"")</f>
        <v/>
      </c>
      <c r="AI369">
        <f>IF($AH369="","",C369&amp;"|"&amp;COUNTIF($C$2:$C369,C369))</f>
        <v/>
      </c>
    </row>
    <row r="370">
      <c r="A370" s="15" t="n"/>
      <c r="B370">
        <f>IF($AH370="","",INDEX('Per Line'!$E$2:$E$1501,$AH370)&amp;"")</f>
        <v/>
      </c>
      <c r="C370">
        <f>IF($AH370="","",IF(INDEX('Per Line'!$AP$2:$AP$1501,$AH370)="NOT MATCH","NOT MATCH","FULL MATCH"))</f>
        <v/>
      </c>
      <c r="D370">
        <f>IF($AH370="","",INDEX('Per Line'!$A$2:$A$1501,$AH370)&amp;"")</f>
        <v/>
      </c>
      <c r="E370">
        <f>IF($AH370="","",INDEX('Per Line'!$B$2:$B$1501,$AH370))</f>
        <v/>
      </c>
      <c r="F370">
        <f>IF($AH370="","",INDEX('Per Line'!$C$2:$C$1501,$AH370)&amp;"")</f>
        <v/>
      </c>
      <c r="G370">
        <f>IF($AH370="","",INDEX('Per Line'!$D$2:$D$1501,$AH370)&amp;"")</f>
        <v/>
      </c>
      <c r="H370">
        <f>IF($AH370="","",INDEX('Per Line'!$F$2:$F$1501,$AH370)&amp;"")</f>
        <v/>
      </c>
      <c r="I370" s="14">
        <f>IF($AH370="","",INDEX('Per Line'!$G$2:$G$1501,$AH370))</f>
        <v/>
      </c>
      <c r="J370">
        <f>IF($AH370="","",INDEX('Per Line'!$H$2:$H$1501,$AH370)&amp;"")</f>
        <v/>
      </c>
      <c r="K370">
        <f>IF($AH370="","",INDEX('Per Line'!$J$2:$J$1501,$AH370)&amp;"")</f>
        <v/>
      </c>
      <c r="L370">
        <f>IF($AH370="","",INDEX('Per Line'!$K$2:$K$1501,$AH370)&amp;"")</f>
        <v/>
      </c>
      <c r="M370">
        <f>IF($AH370="","",INDEX('Per Line'!$L$2:$L$1501,$AH370)&amp;"")</f>
        <v/>
      </c>
      <c r="N370">
        <f>IF($AH370="","",INDEX('Per Line'!$M$2:$M$1501,$AH370)&amp;"")</f>
        <v/>
      </c>
      <c r="O370">
        <f>IF($AH370="","",INDEX('Per Line'!$P$2:$P$1501,$AH370))</f>
        <v/>
      </c>
      <c r="P370" s="7">
        <f>IF($AH370="","",O370*AD370/100)</f>
        <v/>
      </c>
      <c r="Q370">
        <f>IF($AH370="","",INDEX('Per Line'!$R$2:$R$1501,$AH370)&amp;"")</f>
        <v/>
      </c>
      <c r="R370">
        <f>IF($AH370="","",INDEX('Per Line'!$AB$2:$AB$1501,$AH370)&amp;"")</f>
        <v/>
      </c>
      <c r="S370">
        <f>IF($AH370="","",Settings!$C$8)</f>
        <v/>
      </c>
      <c r="T370" s="7">
        <f>IF($AH370="","",SUMIFS('Per Line'!$Z$2:$Z$1501,'Per Line'!$E$2:$E$1501,$B370,'Per Line'!$AT$2:$AT$1501,1))</f>
        <v/>
      </c>
      <c r="U370" s="7">
        <f>IF($AH370="","",T370*S370)</f>
        <v/>
      </c>
      <c r="V370">
        <f>IF($AH370="","",Settings!$C$7)</f>
        <v/>
      </c>
      <c r="W370" s="7">
        <f>IF($AH370="","",SUMIFS('Per Line'!$Z$2:$Z$1501,'Per Line'!$E$2:$E$1501,$B370,'Per Line'!$AS$2:$AS$1501,0,'Per Line'!$AT$2:$AT$1501,0))</f>
        <v/>
      </c>
      <c r="X370" s="7">
        <f>IF($AH370="","",W370*V370)</f>
        <v/>
      </c>
      <c r="Y370">
        <f>IF($AH370="","",Settings!$C$6)</f>
        <v/>
      </c>
      <c r="Z370" s="7">
        <f>IF($AH370="","",SUMIFS('Per Line'!$Z$2:$Z$1501,'Per Line'!$E$2:$E$1501,$B370,'Per Line'!$AS$2:$AS$1501,1,'Per Line'!$AT$2:$AT$1501,0))</f>
        <v/>
      </c>
      <c r="AA370" s="7">
        <f>IF($AH370="","",Z370*Y370)</f>
        <v/>
      </c>
      <c r="AB370" s="7">
        <f>IF($AH370="","",AA370+X370+U370)</f>
        <v/>
      </c>
      <c r="AC370" s="7">
        <f>IF($AH370="","",AD370-AB370)</f>
        <v/>
      </c>
      <c r="AD370" s="7">
        <f>IF($AH370="","",W370+Z370+T370)</f>
        <v/>
      </c>
      <c r="AE370" s="7">
        <f>IF($AH370="","",AD370-AB370-P370)</f>
        <v/>
      </c>
      <c r="AF370" s="15" t="n"/>
      <c r="AG370" s="7">
        <f>IF($AH370="","",AE370-N(AF370))</f>
        <v/>
      </c>
      <c r="AH370" s="16">
        <f>IF(ROWS($AH$2:$AH370)&lt;=MAX('Per Line'!$AR$2:$AR$1501),MATCH(ROWS($AH$2:$AH370),'Per Line'!$AR$2:$AR$1501,0),"")</f>
        <v/>
      </c>
      <c r="AI370">
        <f>IF($AH370="","",C370&amp;"|"&amp;COUNTIF($C$2:$C370,C370))</f>
        <v/>
      </c>
    </row>
    <row r="371">
      <c r="A371" s="15" t="n"/>
      <c r="B371">
        <f>IF($AH371="","",INDEX('Per Line'!$E$2:$E$1501,$AH371)&amp;"")</f>
        <v/>
      </c>
      <c r="C371">
        <f>IF($AH371="","",IF(INDEX('Per Line'!$AP$2:$AP$1501,$AH371)="NOT MATCH","NOT MATCH","FULL MATCH"))</f>
        <v/>
      </c>
      <c r="D371">
        <f>IF($AH371="","",INDEX('Per Line'!$A$2:$A$1501,$AH371)&amp;"")</f>
        <v/>
      </c>
      <c r="E371">
        <f>IF($AH371="","",INDEX('Per Line'!$B$2:$B$1501,$AH371))</f>
        <v/>
      </c>
      <c r="F371">
        <f>IF($AH371="","",INDEX('Per Line'!$C$2:$C$1501,$AH371)&amp;"")</f>
        <v/>
      </c>
      <c r="G371">
        <f>IF($AH371="","",INDEX('Per Line'!$D$2:$D$1501,$AH371)&amp;"")</f>
        <v/>
      </c>
      <c r="H371">
        <f>IF($AH371="","",INDEX('Per Line'!$F$2:$F$1501,$AH371)&amp;"")</f>
        <v/>
      </c>
      <c r="I371" s="14">
        <f>IF($AH371="","",INDEX('Per Line'!$G$2:$G$1501,$AH371))</f>
        <v/>
      </c>
      <c r="J371">
        <f>IF($AH371="","",INDEX('Per Line'!$H$2:$H$1501,$AH371)&amp;"")</f>
        <v/>
      </c>
      <c r="K371">
        <f>IF($AH371="","",INDEX('Per Line'!$J$2:$J$1501,$AH371)&amp;"")</f>
        <v/>
      </c>
      <c r="L371">
        <f>IF($AH371="","",INDEX('Per Line'!$K$2:$K$1501,$AH371)&amp;"")</f>
        <v/>
      </c>
      <c r="M371">
        <f>IF($AH371="","",INDEX('Per Line'!$L$2:$L$1501,$AH371)&amp;"")</f>
        <v/>
      </c>
      <c r="N371">
        <f>IF($AH371="","",INDEX('Per Line'!$M$2:$M$1501,$AH371)&amp;"")</f>
        <v/>
      </c>
      <c r="O371">
        <f>IF($AH371="","",INDEX('Per Line'!$P$2:$P$1501,$AH371))</f>
        <v/>
      </c>
      <c r="P371" s="7">
        <f>IF($AH371="","",O371*AD371/100)</f>
        <v/>
      </c>
      <c r="Q371">
        <f>IF($AH371="","",INDEX('Per Line'!$R$2:$R$1501,$AH371)&amp;"")</f>
        <v/>
      </c>
      <c r="R371">
        <f>IF($AH371="","",INDEX('Per Line'!$AB$2:$AB$1501,$AH371)&amp;"")</f>
        <v/>
      </c>
      <c r="S371">
        <f>IF($AH371="","",Settings!$C$8)</f>
        <v/>
      </c>
      <c r="T371" s="7">
        <f>IF($AH371="","",SUMIFS('Per Line'!$Z$2:$Z$1501,'Per Line'!$E$2:$E$1501,$B371,'Per Line'!$AT$2:$AT$1501,1))</f>
        <v/>
      </c>
      <c r="U371" s="7">
        <f>IF($AH371="","",T371*S371)</f>
        <v/>
      </c>
      <c r="V371">
        <f>IF($AH371="","",Settings!$C$7)</f>
        <v/>
      </c>
      <c r="W371" s="7">
        <f>IF($AH371="","",SUMIFS('Per Line'!$Z$2:$Z$1501,'Per Line'!$E$2:$E$1501,$B371,'Per Line'!$AS$2:$AS$1501,0,'Per Line'!$AT$2:$AT$1501,0))</f>
        <v/>
      </c>
      <c r="X371" s="7">
        <f>IF($AH371="","",W371*V371)</f>
        <v/>
      </c>
      <c r="Y371">
        <f>IF($AH371="","",Settings!$C$6)</f>
        <v/>
      </c>
      <c r="Z371" s="7">
        <f>IF($AH371="","",SUMIFS('Per Line'!$Z$2:$Z$1501,'Per Line'!$E$2:$E$1501,$B371,'Per Line'!$AS$2:$AS$1501,1,'Per Line'!$AT$2:$AT$1501,0))</f>
        <v/>
      </c>
      <c r="AA371" s="7">
        <f>IF($AH371="","",Z371*Y371)</f>
        <v/>
      </c>
      <c r="AB371" s="7">
        <f>IF($AH371="","",AA371+X371+U371)</f>
        <v/>
      </c>
      <c r="AC371" s="7">
        <f>IF($AH371="","",AD371-AB371)</f>
        <v/>
      </c>
      <c r="AD371" s="7">
        <f>IF($AH371="","",W371+Z371+T371)</f>
        <v/>
      </c>
      <c r="AE371" s="7">
        <f>IF($AH371="","",AD371-AB371-P371)</f>
        <v/>
      </c>
      <c r="AF371" s="15" t="n"/>
      <c r="AG371" s="7">
        <f>IF($AH371="","",AE371-N(AF371))</f>
        <v/>
      </c>
      <c r="AH371" s="16">
        <f>IF(ROWS($AH$2:$AH371)&lt;=MAX('Per Line'!$AR$2:$AR$1501),MATCH(ROWS($AH$2:$AH371),'Per Line'!$AR$2:$AR$1501,0),"")</f>
        <v/>
      </c>
      <c r="AI371">
        <f>IF($AH371="","",C371&amp;"|"&amp;COUNTIF($C$2:$C371,C371))</f>
        <v/>
      </c>
    </row>
    <row r="372">
      <c r="A372" s="15" t="n"/>
      <c r="B372">
        <f>IF($AH372="","",INDEX('Per Line'!$E$2:$E$1501,$AH372)&amp;"")</f>
        <v/>
      </c>
      <c r="C372">
        <f>IF($AH372="","",IF(INDEX('Per Line'!$AP$2:$AP$1501,$AH372)="NOT MATCH","NOT MATCH","FULL MATCH"))</f>
        <v/>
      </c>
      <c r="D372">
        <f>IF($AH372="","",INDEX('Per Line'!$A$2:$A$1501,$AH372)&amp;"")</f>
        <v/>
      </c>
      <c r="E372">
        <f>IF($AH372="","",INDEX('Per Line'!$B$2:$B$1501,$AH372))</f>
        <v/>
      </c>
      <c r="F372">
        <f>IF($AH372="","",INDEX('Per Line'!$C$2:$C$1501,$AH372)&amp;"")</f>
        <v/>
      </c>
      <c r="G372">
        <f>IF($AH372="","",INDEX('Per Line'!$D$2:$D$1501,$AH372)&amp;"")</f>
        <v/>
      </c>
      <c r="H372">
        <f>IF($AH372="","",INDEX('Per Line'!$F$2:$F$1501,$AH372)&amp;"")</f>
        <v/>
      </c>
      <c r="I372" s="14">
        <f>IF($AH372="","",INDEX('Per Line'!$G$2:$G$1501,$AH372))</f>
        <v/>
      </c>
      <c r="J372">
        <f>IF($AH372="","",INDEX('Per Line'!$H$2:$H$1501,$AH372)&amp;"")</f>
        <v/>
      </c>
      <c r="K372">
        <f>IF($AH372="","",INDEX('Per Line'!$J$2:$J$1501,$AH372)&amp;"")</f>
        <v/>
      </c>
      <c r="L372">
        <f>IF($AH372="","",INDEX('Per Line'!$K$2:$K$1501,$AH372)&amp;"")</f>
        <v/>
      </c>
      <c r="M372">
        <f>IF($AH372="","",INDEX('Per Line'!$L$2:$L$1501,$AH372)&amp;"")</f>
        <v/>
      </c>
      <c r="N372">
        <f>IF($AH372="","",INDEX('Per Line'!$M$2:$M$1501,$AH372)&amp;"")</f>
        <v/>
      </c>
      <c r="O372">
        <f>IF($AH372="","",INDEX('Per Line'!$P$2:$P$1501,$AH372))</f>
        <v/>
      </c>
      <c r="P372" s="7">
        <f>IF($AH372="","",O372*AD372/100)</f>
        <v/>
      </c>
      <c r="Q372">
        <f>IF($AH372="","",INDEX('Per Line'!$R$2:$R$1501,$AH372)&amp;"")</f>
        <v/>
      </c>
      <c r="R372">
        <f>IF($AH372="","",INDEX('Per Line'!$AB$2:$AB$1501,$AH372)&amp;"")</f>
        <v/>
      </c>
      <c r="S372">
        <f>IF($AH372="","",Settings!$C$8)</f>
        <v/>
      </c>
      <c r="T372" s="7">
        <f>IF($AH372="","",SUMIFS('Per Line'!$Z$2:$Z$1501,'Per Line'!$E$2:$E$1501,$B372,'Per Line'!$AT$2:$AT$1501,1))</f>
        <v/>
      </c>
      <c r="U372" s="7">
        <f>IF($AH372="","",T372*S372)</f>
        <v/>
      </c>
      <c r="V372">
        <f>IF($AH372="","",Settings!$C$7)</f>
        <v/>
      </c>
      <c r="W372" s="7">
        <f>IF($AH372="","",SUMIFS('Per Line'!$Z$2:$Z$1501,'Per Line'!$E$2:$E$1501,$B372,'Per Line'!$AS$2:$AS$1501,0,'Per Line'!$AT$2:$AT$1501,0))</f>
        <v/>
      </c>
      <c r="X372" s="7">
        <f>IF($AH372="","",W372*V372)</f>
        <v/>
      </c>
      <c r="Y372">
        <f>IF($AH372="","",Settings!$C$6)</f>
        <v/>
      </c>
      <c r="Z372" s="7">
        <f>IF($AH372="","",SUMIFS('Per Line'!$Z$2:$Z$1501,'Per Line'!$E$2:$E$1501,$B372,'Per Line'!$AS$2:$AS$1501,1,'Per Line'!$AT$2:$AT$1501,0))</f>
        <v/>
      </c>
      <c r="AA372" s="7">
        <f>IF($AH372="","",Z372*Y372)</f>
        <v/>
      </c>
      <c r="AB372" s="7">
        <f>IF($AH372="","",AA372+X372+U372)</f>
        <v/>
      </c>
      <c r="AC372" s="7">
        <f>IF($AH372="","",AD372-AB372)</f>
        <v/>
      </c>
      <c r="AD372" s="7">
        <f>IF($AH372="","",W372+Z372+T372)</f>
        <v/>
      </c>
      <c r="AE372" s="7">
        <f>IF($AH372="","",AD372-AB372-P372)</f>
        <v/>
      </c>
      <c r="AF372" s="15" t="n"/>
      <c r="AG372" s="7">
        <f>IF($AH372="","",AE372-N(AF372))</f>
        <v/>
      </c>
      <c r="AH372" s="16">
        <f>IF(ROWS($AH$2:$AH372)&lt;=MAX('Per Line'!$AR$2:$AR$1501),MATCH(ROWS($AH$2:$AH372),'Per Line'!$AR$2:$AR$1501,0),"")</f>
        <v/>
      </c>
      <c r="AI372">
        <f>IF($AH372="","",C372&amp;"|"&amp;COUNTIF($C$2:$C372,C372))</f>
        <v/>
      </c>
    </row>
    <row r="373">
      <c r="A373" s="15" t="n"/>
      <c r="B373">
        <f>IF($AH373="","",INDEX('Per Line'!$E$2:$E$1501,$AH373)&amp;"")</f>
        <v/>
      </c>
      <c r="C373">
        <f>IF($AH373="","",IF(INDEX('Per Line'!$AP$2:$AP$1501,$AH373)="NOT MATCH","NOT MATCH","FULL MATCH"))</f>
        <v/>
      </c>
      <c r="D373">
        <f>IF($AH373="","",INDEX('Per Line'!$A$2:$A$1501,$AH373)&amp;"")</f>
        <v/>
      </c>
      <c r="E373">
        <f>IF($AH373="","",INDEX('Per Line'!$B$2:$B$1501,$AH373))</f>
        <v/>
      </c>
      <c r="F373">
        <f>IF($AH373="","",INDEX('Per Line'!$C$2:$C$1501,$AH373)&amp;"")</f>
        <v/>
      </c>
      <c r="G373">
        <f>IF($AH373="","",INDEX('Per Line'!$D$2:$D$1501,$AH373)&amp;"")</f>
        <v/>
      </c>
      <c r="H373">
        <f>IF($AH373="","",INDEX('Per Line'!$F$2:$F$1501,$AH373)&amp;"")</f>
        <v/>
      </c>
      <c r="I373" s="14">
        <f>IF($AH373="","",INDEX('Per Line'!$G$2:$G$1501,$AH373))</f>
        <v/>
      </c>
      <c r="J373">
        <f>IF($AH373="","",INDEX('Per Line'!$H$2:$H$1501,$AH373)&amp;"")</f>
        <v/>
      </c>
      <c r="K373">
        <f>IF($AH373="","",INDEX('Per Line'!$J$2:$J$1501,$AH373)&amp;"")</f>
        <v/>
      </c>
      <c r="L373">
        <f>IF($AH373="","",INDEX('Per Line'!$K$2:$K$1501,$AH373)&amp;"")</f>
        <v/>
      </c>
      <c r="M373">
        <f>IF($AH373="","",INDEX('Per Line'!$L$2:$L$1501,$AH373)&amp;"")</f>
        <v/>
      </c>
      <c r="N373">
        <f>IF($AH373="","",INDEX('Per Line'!$M$2:$M$1501,$AH373)&amp;"")</f>
        <v/>
      </c>
      <c r="O373">
        <f>IF($AH373="","",INDEX('Per Line'!$P$2:$P$1501,$AH373))</f>
        <v/>
      </c>
      <c r="P373" s="7">
        <f>IF($AH373="","",O373*AD373/100)</f>
        <v/>
      </c>
      <c r="Q373">
        <f>IF($AH373="","",INDEX('Per Line'!$R$2:$R$1501,$AH373)&amp;"")</f>
        <v/>
      </c>
      <c r="R373">
        <f>IF($AH373="","",INDEX('Per Line'!$AB$2:$AB$1501,$AH373)&amp;"")</f>
        <v/>
      </c>
      <c r="S373">
        <f>IF($AH373="","",Settings!$C$8)</f>
        <v/>
      </c>
      <c r="T373" s="7">
        <f>IF($AH373="","",SUMIFS('Per Line'!$Z$2:$Z$1501,'Per Line'!$E$2:$E$1501,$B373,'Per Line'!$AT$2:$AT$1501,1))</f>
        <v/>
      </c>
      <c r="U373" s="7">
        <f>IF($AH373="","",T373*S373)</f>
        <v/>
      </c>
      <c r="V373">
        <f>IF($AH373="","",Settings!$C$7)</f>
        <v/>
      </c>
      <c r="W373" s="7">
        <f>IF($AH373="","",SUMIFS('Per Line'!$Z$2:$Z$1501,'Per Line'!$E$2:$E$1501,$B373,'Per Line'!$AS$2:$AS$1501,0,'Per Line'!$AT$2:$AT$1501,0))</f>
        <v/>
      </c>
      <c r="X373" s="7">
        <f>IF($AH373="","",W373*V373)</f>
        <v/>
      </c>
      <c r="Y373">
        <f>IF($AH373="","",Settings!$C$6)</f>
        <v/>
      </c>
      <c r="Z373" s="7">
        <f>IF($AH373="","",SUMIFS('Per Line'!$Z$2:$Z$1501,'Per Line'!$E$2:$E$1501,$B373,'Per Line'!$AS$2:$AS$1501,1,'Per Line'!$AT$2:$AT$1501,0))</f>
        <v/>
      </c>
      <c r="AA373" s="7">
        <f>IF($AH373="","",Z373*Y373)</f>
        <v/>
      </c>
      <c r="AB373" s="7">
        <f>IF($AH373="","",AA373+X373+U373)</f>
        <v/>
      </c>
      <c r="AC373" s="7">
        <f>IF($AH373="","",AD373-AB373)</f>
        <v/>
      </c>
      <c r="AD373" s="7">
        <f>IF($AH373="","",W373+Z373+T373)</f>
        <v/>
      </c>
      <c r="AE373" s="7">
        <f>IF($AH373="","",AD373-AB373-P373)</f>
        <v/>
      </c>
      <c r="AF373" s="15" t="n"/>
      <c r="AG373" s="7">
        <f>IF($AH373="","",AE373-N(AF373))</f>
        <v/>
      </c>
      <c r="AH373" s="16">
        <f>IF(ROWS($AH$2:$AH373)&lt;=MAX('Per Line'!$AR$2:$AR$1501),MATCH(ROWS($AH$2:$AH373),'Per Line'!$AR$2:$AR$1501,0),"")</f>
        <v/>
      </c>
      <c r="AI373">
        <f>IF($AH373="","",C373&amp;"|"&amp;COUNTIF($C$2:$C373,C373))</f>
        <v/>
      </c>
    </row>
    <row r="374">
      <c r="A374" s="15" t="n"/>
      <c r="B374">
        <f>IF($AH374="","",INDEX('Per Line'!$E$2:$E$1501,$AH374)&amp;"")</f>
        <v/>
      </c>
      <c r="C374">
        <f>IF($AH374="","",IF(INDEX('Per Line'!$AP$2:$AP$1501,$AH374)="NOT MATCH","NOT MATCH","FULL MATCH"))</f>
        <v/>
      </c>
      <c r="D374">
        <f>IF($AH374="","",INDEX('Per Line'!$A$2:$A$1501,$AH374)&amp;"")</f>
        <v/>
      </c>
      <c r="E374">
        <f>IF($AH374="","",INDEX('Per Line'!$B$2:$B$1501,$AH374))</f>
        <v/>
      </c>
      <c r="F374">
        <f>IF($AH374="","",INDEX('Per Line'!$C$2:$C$1501,$AH374)&amp;"")</f>
        <v/>
      </c>
      <c r="G374">
        <f>IF($AH374="","",INDEX('Per Line'!$D$2:$D$1501,$AH374)&amp;"")</f>
        <v/>
      </c>
      <c r="H374">
        <f>IF($AH374="","",INDEX('Per Line'!$F$2:$F$1501,$AH374)&amp;"")</f>
        <v/>
      </c>
      <c r="I374" s="14">
        <f>IF($AH374="","",INDEX('Per Line'!$G$2:$G$1501,$AH374))</f>
        <v/>
      </c>
      <c r="J374">
        <f>IF($AH374="","",INDEX('Per Line'!$H$2:$H$1501,$AH374)&amp;"")</f>
        <v/>
      </c>
      <c r="K374">
        <f>IF($AH374="","",INDEX('Per Line'!$J$2:$J$1501,$AH374)&amp;"")</f>
        <v/>
      </c>
      <c r="L374">
        <f>IF($AH374="","",INDEX('Per Line'!$K$2:$K$1501,$AH374)&amp;"")</f>
        <v/>
      </c>
      <c r="M374">
        <f>IF($AH374="","",INDEX('Per Line'!$L$2:$L$1501,$AH374)&amp;"")</f>
        <v/>
      </c>
      <c r="N374">
        <f>IF($AH374="","",INDEX('Per Line'!$M$2:$M$1501,$AH374)&amp;"")</f>
        <v/>
      </c>
      <c r="O374">
        <f>IF($AH374="","",INDEX('Per Line'!$P$2:$P$1501,$AH374))</f>
        <v/>
      </c>
      <c r="P374" s="7">
        <f>IF($AH374="","",O374*AD374/100)</f>
        <v/>
      </c>
      <c r="Q374">
        <f>IF($AH374="","",INDEX('Per Line'!$R$2:$R$1501,$AH374)&amp;"")</f>
        <v/>
      </c>
      <c r="R374">
        <f>IF($AH374="","",INDEX('Per Line'!$AB$2:$AB$1501,$AH374)&amp;"")</f>
        <v/>
      </c>
      <c r="S374">
        <f>IF($AH374="","",Settings!$C$8)</f>
        <v/>
      </c>
      <c r="T374" s="7">
        <f>IF($AH374="","",SUMIFS('Per Line'!$Z$2:$Z$1501,'Per Line'!$E$2:$E$1501,$B374,'Per Line'!$AT$2:$AT$1501,1))</f>
        <v/>
      </c>
      <c r="U374" s="7">
        <f>IF($AH374="","",T374*S374)</f>
        <v/>
      </c>
      <c r="V374">
        <f>IF($AH374="","",Settings!$C$7)</f>
        <v/>
      </c>
      <c r="W374" s="7">
        <f>IF($AH374="","",SUMIFS('Per Line'!$Z$2:$Z$1501,'Per Line'!$E$2:$E$1501,$B374,'Per Line'!$AS$2:$AS$1501,0,'Per Line'!$AT$2:$AT$1501,0))</f>
        <v/>
      </c>
      <c r="X374" s="7">
        <f>IF($AH374="","",W374*V374)</f>
        <v/>
      </c>
      <c r="Y374">
        <f>IF($AH374="","",Settings!$C$6)</f>
        <v/>
      </c>
      <c r="Z374" s="7">
        <f>IF($AH374="","",SUMIFS('Per Line'!$Z$2:$Z$1501,'Per Line'!$E$2:$E$1501,$B374,'Per Line'!$AS$2:$AS$1501,1,'Per Line'!$AT$2:$AT$1501,0))</f>
        <v/>
      </c>
      <c r="AA374" s="7">
        <f>IF($AH374="","",Z374*Y374)</f>
        <v/>
      </c>
      <c r="AB374" s="7">
        <f>IF($AH374="","",AA374+X374+U374)</f>
        <v/>
      </c>
      <c r="AC374" s="7">
        <f>IF($AH374="","",AD374-AB374)</f>
        <v/>
      </c>
      <c r="AD374" s="7">
        <f>IF($AH374="","",W374+Z374+T374)</f>
        <v/>
      </c>
      <c r="AE374" s="7">
        <f>IF($AH374="","",AD374-AB374-P374)</f>
        <v/>
      </c>
      <c r="AF374" s="15" t="n"/>
      <c r="AG374" s="7">
        <f>IF($AH374="","",AE374-N(AF374))</f>
        <v/>
      </c>
      <c r="AH374" s="16">
        <f>IF(ROWS($AH$2:$AH374)&lt;=MAX('Per Line'!$AR$2:$AR$1501),MATCH(ROWS($AH$2:$AH374),'Per Line'!$AR$2:$AR$1501,0),"")</f>
        <v/>
      </c>
      <c r="AI374">
        <f>IF($AH374="","",C374&amp;"|"&amp;COUNTIF($C$2:$C374,C374))</f>
        <v/>
      </c>
    </row>
    <row r="375">
      <c r="A375" s="15" t="n"/>
      <c r="B375">
        <f>IF($AH375="","",INDEX('Per Line'!$E$2:$E$1501,$AH375)&amp;"")</f>
        <v/>
      </c>
      <c r="C375">
        <f>IF($AH375="","",IF(INDEX('Per Line'!$AP$2:$AP$1501,$AH375)="NOT MATCH","NOT MATCH","FULL MATCH"))</f>
        <v/>
      </c>
      <c r="D375">
        <f>IF($AH375="","",INDEX('Per Line'!$A$2:$A$1501,$AH375)&amp;"")</f>
        <v/>
      </c>
      <c r="E375">
        <f>IF($AH375="","",INDEX('Per Line'!$B$2:$B$1501,$AH375))</f>
        <v/>
      </c>
      <c r="F375">
        <f>IF($AH375="","",INDEX('Per Line'!$C$2:$C$1501,$AH375)&amp;"")</f>
        <v/>
      </c>
      <c r="G375">
        <f>IF($AH375="","",INDEX('Per Line'!$D$2:$D$1501,$AH375)&amp;"")</f>
        <v/>
      </c>
      <c r="H375">
        <f>IF($AH375="","",INDEX('Per Line'!$F$2:$F$1501,$AH375)&amp;"")</f>
        <v/>
      </c>
      <c r="I375" s="14">
        <f>IF($AH375="","",INDEX('Per Line'!$G$2:$G$1501,$AH375))</f>
        <v/>
      </c>
      <c r="J375">
        <f>IF($AH375="","",INDEX('Per Line'!$H$2:$H$1501,$AH375)&amp;"")</f>
        <v/>
      </c>
      <c r="K375">
        <f>IF($AH375="","",INDEX('Per Line'!$J$2:$J$1501,$AH375)&amp;"")</f>
        <v/>
      </c>
      <c r="L375">
        <f>IF($AH375="","",INDEX('Per Line'!$K$2:$K$1501,$AH375)&amp;"")</f>
        <v/>
      </c>
      <c r="M375">
        <f>IF($AH375="","",INDEX('Per Line'!$L$2:$L$1501,$AH375)&amp;"")</f>
        <v/>
      </c>
      <c r="N375">
        <f>IF($AH375="","",INDEX('Per Line'!$M$2:$M$1501,$AH375)&amp;"")</f>
        <v/>
      </c>
      <c r="O375">
        <f>IF($AH375="","",INDEX('Per Line'!$P$2:$P$1501,$AH375))</f>
        <v/>
      </c>
      <c r="P375" s="7">
        <f>IF($AH375="","",O375*AD375/100)</f>
        <v/>
      </c>
      <c r="Q375">
        <f>IF($AH375="","",INDEX('Per Line'!$R$2:$R$1501,$AH375)&amp;"")</f>
        <v/>
      </c>
      <c r="R375">
        <f>IF($AH375="","",INDEX('Per Line'!$AB$2:$AB$1501,$AH375)&amp;"")</f>
        <v/>
      </c>
      <c r="S375">
        <f>IF($AH375="","",Settings!$C$8)</f>
        <v/>
      </c>
      <c r="T375" s="7">
        <f>IF($AH375="","",SUMIFS('Per Line'!$Z$2:$Z$1501,'Per Line'!$E$2:$E$1501,$B375,'Per Line'!$AT$2:$AT$1501,1))</f>
        <v/>
      </c>
      <c r="U375" s="7">
        <f>IF($AH375="","",T375*S375)</f>
        <v/>
      </c>
      <c r="V375">
        <f>IF($AH375="","",Settings!$C$7)</f>
        <v/>
      </c>
      <c r="W375" s="7">
        <f>IF($AH375="","",SUMIFS('Per Line'!$Z$2:$Z$1501,'Per Line'!$E$2:$E$1501,$B375,'Per Line'!$AS$2:$AS$1501,0,'Per Line'!$AT$2:$AT$1501,0))</f>
        <v/>
      </c>
      <c r="X375" s="7">
        <f>IF($AH375="","",W375*V375)</f>
        <v/>
      </c>
      <c r="Y375">
        <f>IF($AH375="","",Settings!$C$6)</f>
        <v/>
      </c>
      <c r="Z375" s="7">
        <f>IF($AH375="","",SUMIFS('Per Line'!$Z$2:$Z$1501,'Per Line'!$E$2:$E$1501,$B375,'Per Line'!$AS$2:$AS$1501,1,'Per Line'!$AT$2:$AT$1501,0))</f>
        <v/>
      </c>
      <c r="AA375" s="7">
        <f>IF($AH375="","",Z375*Y375)</f>
        <v/>
      </c>
      <c r="AB375" s="7">
        <f>IF($AH375="","",AA375+X375+U375)</f>
        <v/>
      </c>
      <c r="AC375" s="7">
        <f>IF($AH375="","",AD375-AB375)</f>
        <v/>
      </c>
      <c r="AD375" s="7">
        <f>IF($AH375="","",W375+Z375+T375)</f>
        <v/>
      </c>
      <c r="AE375" s="7">
        <f>IF($AH375="","",AD375-AB375-P375)</f>
        <v/>
      </c>
      <c r="AF375" s="15" t="n"/>
      <c r="AG375" s="7">
        <f>IF($AH375="","",AE375-N(AF375))</f>
        <v/>
      </c>
      <c r="AH375" s="16">
        <f>IF(ROWS($AH$2:$AH375)&lt;=MAX('Per Line'!$AR$2:$AR$1501),MATCH(ROWS($AH$2:$AH375),'Per Line'!$AR$2:$AR$1501,0),"")</f>
        <v/>
      </c>
      <c r="AI375">
        <f>IF($AH375="","",C375&amp;"|"&amp;COUNTIF($C$2:$C375,C375))</f>
        <v/>
      </c>
    </row>
    <row r="376">
      <c r="A376" s="15" t="n"/>
      <c r="B376">
        <f>IF($AH376="","",INDEX('Per Line'!$E$2:$E$1501,$AH376)&amp;"")</f>
        <v/>
      </c>
      <c r="C376">
        <f>IF($AH376="","",IF(INDEX('Per Line'!$AP$2:$AP$1501,$AH376)="NOT MATCH","NOT MATCH","FULL MATCH"))</f>
        <v/>
      </c>
      <c r="D376">
        <f>IF($AH376="","",INDEX('Per Line'!$A$2:$A$1501,$AH376)&amp;"")</f>
        <v/>
      </c>
      <c r="E376">
        <f>IF($AH376="","",INDEX('Per Line'!$B$2:$B$1501,$AH376))</f>
        <v/>
      </c>
      <c r="F376">
        <f>IF($AH376="","",INDEX('Per Line'!$C$2:$C$1501,$AH376)&amp;"")</f>
        <v/>
      </c>
      <c r="G376">
        <f>IF($AH376="","",INDEX('Per Line'!$D$2:$D$1501,$AH376)&amp;"")</f>
        <v/>
      </c>
      <c r="H376">
        <f>IF($AH376="","",INDEX('Per Line'!$F$2:$F$1501,$AH376)&amp;"")</f>
        <v/>
      </c>
      <c r="I376" s="14">
        <f>IF($AH376="","",INDEX('Per Line'!$G$2:$G$1501,$AH376))</f>
        <v/>
      </c>
      <c r="J376">
        <f>IF($AH376="","",INDEX('Per Line'!$H$2:$H$1501,$AH376)&amp;"")</f>
        <v/>
      </c>
      <c r="K376">
        <f>IF($AH376="","",INDEX('Per Line'!$J$2:$J$1501,$AH376)&amp;"")</f>
        <v/>
      </c>
      <c r="L376">
        <f>IF($AH376="","",INDEX('Per Line'!$K$2:$K$1501,$AH376)&amp;"")</f>
        <v/>
      </c>
      <c r="M376">
        <f>IF($AH376="","",INDEX('Per Line'!$L$2:$L$1501,$AH376)&amp;"")</f>
        <v/>
      </c>
      <c r="N376">
        <f>IF($AH376="","",INDEX('Per Line'!$M$2:$M$1501,$AH376)&amp;"")</f>
        <v/>
      </c>
      <c r="O376">
        <f>IF($AH376="","",INDEX('Per Line'!$P$2:$P$1501,$AH376))</f>
        <v/>
      </c>
      <c r="P376" s="7">
        <f>IF($AH376="","",O376*AD376/100)</f>
        <v/>
      </c>
      <c r="Q376">
        <f>IF($AH376="","",INDEX('Per Line'!$R$2:$R$1501,$AH376)&amp;"")</f>
        <v/>
      </c>
      <c r="R376">
        <f>IF($AH376="","",INDEX('Per Line'!$AB$2:$AB$1501,$AH376)&amp;"")</f>
        <v/>
      </c>
      <c r="S376">
        <f>IF($AH376="","",Settings!$C$8)</f>
        <v/>
      </c>
      <c r="T376" s="7">
        <f>IF($AH376="","",SUMIFS('Per Line'!$Z$2:$Z$1501,'Per Line'!$E$2:$E$1501,$B376,'Per Line'!$AT$2:$AT$1501,1))</f>
        <v/>
      </c>
      <c r="U376" s="7">
        <f>IF($AH376="","",T376*S376)</f>
        <v/>
      </c>
      <c r="V376">
        <f>IF($AH376="","",Settings!$C$7)</f>
        <v/>
      </c>
      <c r="W376" s="7">
        <f>IF($AH376="","",SUMIFS('Per Line'!$Z$2:$Z$1501,'Per Line'!$E$2:$E$1501,$B376,'Per Line'!$AS$2:$AS$1501,0,'Per Line'!$AT$2:$AT$1501,0))</f>
        <v/>
      </c>
      <c r="X376" s="7">
        <f>IF($AH376="","",W376*V376)</f>
        <v/>
      </c>
      <c r="Y376">
        <f>IF($AH376="","",Settings!$C$6)</f>
        <v/>
      </c>
      <c r="Z376" s="7">
        <f>IF($AH376="","",SUMIFS('Per Line'!$Z$2:$Z$1501,'Per Line'!$E$2:$E$1501,$B376,'Per Line'!$AS$2:$AS$1501,1,'Per Line'!$AT$2:$AT$1501,0))</f>
        <v/>
      </c>
      <c r="AA376" s="7">
        <f>IF($AH376="","",Z376*Y376)</f>
        <v/>
      </c>
      <c r="AB376" s="7">
        <f>IF($AH376="","",AA376+X376+U376)</f>
        <v/>
      </c>
      <c r="AC376" s="7">
        <f>IF($AH376="","",AD376-AB376)</f>
        <v/>
      </c>
      <c r="AD376" s="7">
        <f>IF($AH376="","",W376+Z376+T376)</f>
        <v/>
      </c>
      <c r="AE376" s="7">
        <f>IF($AH376="","",AD376-AB376-P376)</f>
        <v/>
      </c>
      <c r="AF376" s="15" t="n"/>
      <c r="AG376" s="7">
        <f>IF($AH376="","",AE376-N(AF376))</f>
        <v/>
      </c>
      <c r="AH376" s="16">
        <f>IF(ROWS($AH$2:$AH376)&lt;=MAX('Per Line'!$AR$2:$AR$1501),MATCH(ROWS($AH$2:$AH376),'Per Line'!$AR$2:$AR$1501,0),"")</f>
        <v/>
      </c>
      <c r="AI376">
        <f>IF($AH376="","",C376&amp;"|"&amp;COUNTIF($C$2:$C376,C376))</f>
        <v/>
      </c>
    </row>
    <row r="377">
      <c r="A377" s="15" t="n"/>
      <c r="B377">
        <f>IF($AH377="","",INDEX('Per Line'!$E$2:$E$1501,$AH377)&amp;"")</f>
        <v/>
      </c>
      <c r="C377">
        <f>IF($AH377="","",IF(INDEX('Per Line'!$AP$2:$AP$1501,$AH377)="NOT MATCH","NOT MATCH","FULL MATCH"))</f>
        <v/>
      </c>
      <c r="D377">
        <f>IF($AH377="","",INDEX('Per Line'!$A$2:$A$1501,$AH377)&amp;"")</f>
        <v/>
      </c>
      <c r="E377">
        <f>IF($AH377="","",INDEX('Per Line'!$B$2:$B$1501,$AH377))</f>
        <v/>
      </c>
      <c r="F377">
        <f>IF($AH377="","",INDEX('Per Line'!$C$2:$C$1501,$AH377)&amp;"")</f>
        <v/>
      </c>
      <c r="G377">
        <f>IF($AH377="","",INDEX('Per Line'!$D$2:$D$1501,$AH377)&amp;"")</f>
        <v/>
      </c>
      <c r="H377">
        <f>IF($AH377="","",INDEX('Per Line'!$F$2:$F$1501,$AH377)&amp;"")</f>
        <v/>
      </c>
      <c r="I377" s="14">
        <f>IF($AH377="","",INDEX('Per Line'!$G$2:$G$1501,$AH377))</f>
        <v/>
      </c>
      <c r="J377">
        <f>IF($AH377="","",INDEX('Per Line'!$H$2:$H$1501,$AH377)&amp;"")</f>
        <v/>
      </c>
      <c r="K377">
        <f>IF($AH377="","",INDEX('Per Line'!$J$2:$J$1501,$AH377)&amp;"")</f>
        <v/>
      </c>
      <c r="L377">
        <f>IF($AH377="","",INDEX('Per Line'!$K$2:$K$1501,$AH377)&amp;"")</f>
        <v/>
      </c>
      <c r="M377">
        <f>IF($AH377="","",INDEX('Per Line'!$L$2:$L$1501,$AH377)&amp;"")</f>
        <v/>
      </c>
      <c r="N377">
        <f>IF($AH377="","",INDEX('Per Line'!$M$2:$M$1501,$AH377)&amp;"")</f>
        <v/>
      </c>
      <c r="O377">
        <f>IF($AH377="","",INDEX('Per Line'!$P$2:$P$1501,$AH377))</f>
        <v/>
      </c>
      <c r="P377" s="7">
        <f>IF($AH377="","",O377*AD377/100)</f>
        <v/>
      </c>
      <c r="Q377">
        <f>IF($AH377="","",INDEX('Per Line'!$R$2:$R$1501,$AH377)&amp;"")</f>
        <v/>
      </c>
      <c r="R377">
        <f>IF($AH377="","",INDEX('Per Line'!$AB$2:$AB$1501,$AH377)&amp;"")</f>
        <v/>
      </c>
      <c r="S377">
        <f>IF($AH377="","",Settings!$C$8)</f>
        <v/>
      </c>
      <c r="T377" s="7">
        <f>IF($AH377="","",SUMIFS('Per Line'!$Z$2:$Z$1501,'Per Line'!$E$2:$E$1501,$B377,'Per Line'!$AT$2:$AT$1501,1))</f>
        <v/>
      </c>
      <c r="U377" s="7">
        <f>IF($AH377="","",T377*S377)</f>
        <v/>
      </c>
      <c r="V377">
        <f>IF($AH377="","",Settings!$C$7)</f>
        <v/>
      </c>
      <c r="W377" s="7">
        <f>IF($AH377="","",SUMIFS('Per Line'!$Z$2:$Z$1501,'Per Line'!$E$2:$E$1501,$B377,'Per Line'!$AS$2:$AS$1501,0,'Per Line'!$AT$2:$AT$1501,0))</f>
        <v/>
      </c>
      <c r="X377" s="7">
        <f>IF($AH377="","",W377*V377)</f>
        <v/>
      </c>
      <c r="Y377">
        <f>IF($AH377="","",Settings!$C$6)</f>
        <v/>
      </c>
      <c r="Z377" s="7">
        <f>IF($AH377="","",SUMIFS('Per Line'!$Z$2:$Z$1501,'Per Line'!$E$2:$E$1501,$B377,'Per Line'!$AS$2:$AS$1501,1,'Per Line'!$AT$2:$AT$1501,0))</f>
        <v/>
      </c>
      <c r="AA377" s="7">
        <f>IF($AH377="","",Z377*Y377)</f>
        <v/>
      </c>
      <c r="AB377" s="7">
        <f>IF($AH377="","",AA377+X377+U377)</f>
        <v/>
      </c>
      <c r="AC377" s="7">
        <f>IF($AH377="","",AD377-AB377)</f>
        <v/>
      </c>
      <c r="AD377" s="7">
        <f>IF($AH377="","",W377+Z377+T377)</f>
        <v/>
      </c>
      <c r="AE377" s="7">
        <f>IF($AH377="","",AD377-AB377-P377)</f>
        <v/>
      </c>
      <c r="AF377" s="15" t="n"/>
      <c r="AG377" s="7">
        <f>IF($AH377="","",AE377-N(AF377))</f>
        <v/>
      </c>
      <c r="AH377" s="16">
        <f>IF(ROWS($AH$2:$AH377)&lt;=MAX('Per Line'!$AR$2:$AR$1501),MATCH(ROWS($AH$2:$AH377),'Per Line'!$AR$2:$AR$1501,0),"")</f>
        <v/>
      </c>
      <c r="AI377">
        <f>IF($AH377="","",C377&amp;"|"&amp;COUNTIF($C$2:$C377,C377))</f>
        <v/>
      </c>
    </row>
    <row r="378">
      <c r="A378" s="15" t="n"/>
      <c r="B378">
        <f>IF($AH378="","",INDEX('Per Line'!$E$2:$E$1501,$AH378)&amp;"")</f>
        <v/>
      </c>
      <c r="C378">
        <f>IF($AH378="","",IF(INDEX('Per Line'!$AP$2:$AP$1501,$AH378)="NOT MATCH","NOT MATCH","FULL MATCH"))</f>
        <v/>
      </c>
      <c r="D378">
        <f>IF($AH378="","",INDEX('Per Line'!$A$2:$A$1501,$AH378)&amp;"")</f>
        <v/>
      </c>
      <c r="E378">
        <f>IF($AH378="","",INDEX('Per Line'!$B$2:$B$1501,$AH378))</f>
        <v/>
      </c>
      <c r="F378">
        <f>IF($AH378="","",INDEX('Per Line'!$C$2:$C$1501,$AH378)&amp;"")</f>
        <v/>
      </c>
      <c r="G378">
        <f>IF($AH378="","",INDEX('Per Line'!$D$2:$D$1501,$AH378)&amp;"")</f>
        <v/>
      </c>
      <c r="H378">
        <f>IF($AH378="","",INDEX('Per Line'!$F$2:$F$1501,$AH378)&amp;"")</f>
        <v/>
      </c>
      <c r="I378" s="14">
        <f>IF($AH378="","",INDEX('Per Line'!$G$2:$G$1501,$AH378))</f>
        <v/>
      </c>
      <c r="J378">
        <f>IF($AH378="","",INDEX('Per Line'!$H$2:$H$1501,$AH378)&amp;"")</f>
        <v/>
      </c>
      <c r="K378">
        <f>IF($AH378="","",INDEX('Per Line'!$J$2:$J$1501,$AH378)&amp;"")</f>
        <v/>
      </c>
      <c r="L378">
        <f>IF($AH378="","",INDEX('Per Line'!$K$2:$K$1501,$AH378)&amp;"")</f>
        <v/>
      </c>
      <c r="M378">
        <f>IF($AH378="","",INDEX('Per Line'!$L$2:$L$1501,$AH378)&amp;"")</f>
        <v/>
      </c>
      <c r="N378">
        <f>IF($AH378="","",INDEX('Per Line'!$M$2:$M$1501,$AH378)&amp;"")</f>
        <v/>
      </c>
      <c r="O378">
        <f>IF($AH378="","",INDEX('Per Line'!$P$2:$P$1501,$AH378))</f>
        <v/>
      </c>
      <c r="P378" s="7">
        <f>IF($AH378="","",O378*AD378/100)</f>
        <v/>
      </c>
      <c r="Q378">
        <f>IF($AH378="","",INDEX('Per Line'!$R$2:$R$1501,$AH378)&amp;"")</f>
        <v/>
      </c>
      <c r="R378">
        <f>IF($AH378="","",INDEX('Per Line'!$AB$2:$AB$1501,$AH378)&amp;"")</f>
        <v/>
      </c>
      <c r="S378">
        <f>IF($AH378="","",Settings!$C$8)</f>
        <v/>
      </c>
      <c r="T378" s="7">
        <f>IF($AH378="","",SUMIFS('Per Line'!$Z$2:$Z$1501,'Per Line'!$E$2:$E$1501,$B378,'Per Line'!$AT$2:$AT$1501,1))</f>
        <v/>
      </c>
      <c r="U378" s="7">
        <f>IF($AH378="","",T378*S378)</f>
        <v/>
      </c>
      <c r="V378">
        <f>IF($AH378="","",Settings!$C$7)</f>
        <v/>
      </c>
      <c r="W378" s="7">
        <f>IF($AH378="","",SUMIFS('Per Line'!$Z$2:$Z$1501,'Per Line'!$E$2:$E$1501,$B378,'Per Line'!$AS$2:$AS$1501,0,'Per Line'!$AT$2:$AT$1501,0))</f>
        <v/>
      </c>
      <c r="X378" s="7">
        <f>IF($AH378="","",W378*V378)</f>
        <v/>
      </c>
      <c r="Y378">
        <f>IF($AH378="","",Settings!$C$6)</f>
        <v/>
      </c>
      <c r="Z378" s="7">
        <f>IF($AH378="","",SUMIFS('Per Line'!$Z$2:$Z$1501,'Per Line'!$E$2:$E$1501,$B378,'Per Line'!$AS$2:$AS$1501,1,'Per Line'!$AT$2:$AT$1501,0))</f>
        <v/>
      </c>
      <c r="AA378" s="7">
        <f>IF($AH378="","",Z378*Y378)</f>
        <v/>
      </c>
      <c r="AB378" s="7">
        <f>IF($AH378="","",AA378+X378+U378)</f>
        <v/>
      </c>
      <c r="AC378" s="7">
        <f>IF($AH378="","",AD378-AB378)</f>
        <v/>
      </c>
      <c r="AD378" s="7">
        <f>IF($AH378="","",W378+Z378+T378)</f>
        <v/>
      </c>
      <c r="AE378" s="7">
        <f>IF($AH378="","",AD378-AB378-P378)</f>
        <v/>
      </c>
      <c r="AF378" s="15" t="n"/>
      <c r="AG378" s="7">
        <f>IF($AH378="","",AE378-N(AF378))</f>
        <v/>
      </c>
      <c r="AH378" s="16">
        <f>IF(ROWS($AH$2:$AH378)&lt;=MAX('Per Line'!$AR$2:$AR$1501),MATCH(ROWS($AH$2:$AH378),'Per Line'!$AR$2:$AR$1501,0),"")</f>
        <v/>
      </c>
      <c r="AI378">
        <f>IF($AH378="","",C378&amp;"|"&amp;COUNTIF($C$2:$C378,C378))</f>
        <v/>
      </c>
    </row>
    <row r="379">
      <c r="A379" s="15" t="n"/>
      <c r="B379">
        <f>IF($AH379="","",INDEX('Per Line'!$E$2:$E$1501,$AH379)&amp;"")</f>
        <v/>
      </c>
      <c r="C379">
        <f>IF($AH379="","",IF(INDEX('Per Line'!$AP$2:$AP$1501,$AH379)="NOT MATCH","NOT MATCH","FULL MATCH"))</f>
        <v/>
      </c>
      <c r="D379">
        <f>IF($AH379="","",INDEX('Per Line'!$A$2:$A$1501,$AH379)&amp;"")</f>
        <v/>
      </c>
      <c r="E379">
        <f>IF($AH379="","",INDEX('Per Line'!$B$2:$B$1501,$AH379))</f>
        <v/>
      </c>
      <c r="F379">
        <f>IF($AH379="","",INDEX('Per Line'!$C$2:$C$1501,$AH379)&amp;"")</f>
        <v/>
      </c>
      <c r="G379">
        <f>IF($AH379="","",INDEX('Per Line'!$D$2:$D$1501,$AH379)&amp;"")</f>
        <v/>
      </c>
      <c r="H379">
        <f>IF($AH379="","",INDEX('Per Line'!$F$2:$F$1501,$AH379)&amp;"")</f>
        <v/>
      </c>
      <c r="I379" s="14">
        <f>IF($AH379="","",INDEX('Per Line'!$G$2:$G$1501,$AH379))</f>
        <v/>
      </c>
      <c r="J379">
        <f>IF($AH379="","",INDEX('Per Line'!$H$2:$H$1501,$AH379)&amp;"")</f>
        <v/>
      </c>
      <c r="K379">
        <f>IF($AH379="","",INDEX('Per Line'!$J$2:$J$1501,$AH379)&amp;"")</f>
        <v/>
      </c>
      <c r="L379">
        <f>IF($AH379="","",INDEX('Per Line'!$K$2:$K$1501,$AH379)&amp;"")</f>
        <v/>
      </c>
      <c r="M379">
        <f>IF($AH379="","",INDEX('Per Line'!$L$2:$L$1501,$AH379)&amp;"")</f>
        <v/>
      </c>
      <c r="N379">
        <f>IF($AH379="","",INDEX('Per Line'!$M$2:$M$1501,$AH379)&amp;"")</f>
        <v/>
      </c>
      <c r="O379">
        <f>IF($AH379="","",INDEX('Per Line'!$P$2:$P$1501,$AH379))</f>
        <v/>
      </c>
      <c r="P379" s="7">
        <f>IF($AH379="","",O379*AD379/100)</f>
        <v/>
      </c>
      <c r="Q379">
        <f>IF($AH379="","",INDEX('Per Line'!$R$2:$R$1501,$AH379)&amp;"")</f>
        <v/>
      </c>
      <c r="R379">
        <f>IF($AH379="","",INDEX('Per Line'!$AB$2:$AB$1501,$AH379)&amp;"")</f>
        <v/>
      </c>
      <c r="S379">
        <f>IF($AH379="","",Settings!$C$8)</f>
        <v/>
      </c>
      <c r="T379" s="7">
        <f>IF($AH379="","",SUMIFS('Per Line'!$Z$2:$Z$1501,'Per Line'!$E$2:$E$1501,$B379,'Per Line'!$AT$2:$AT$1501,1))</f>
        <v/>
      </c>
      <c r="U379" s="7">
        <f>IF($AH379="","",T379*S379)</f>
        <v/>
      </c>
      <c r="V379">
        <f>IF($AH379="","",Settings!$C$7)</f>
        <v/>
      </c>
      <c r="W379" s="7">
        <f>IF($AH379="","",SUMIFS('Per Line'!$Z$2:$Z$1501,'Per Line'!$E$2:$E$1501,$B379,'Per Line'!$AS$2:$AS$1501,0,'Per Line'!$AT$2:$AT$1501,0))</f>
        <v/>
      </c>
      <c r="X379" s="7">
        <f>IF($AH379="","",W379*V379)</f>
        <v/>
      </c>
      <c r="Y379">
        <f>IF($AH379="","",Settings!$C$6)</f>
        <v/>
      </c>
      <c r="Z379" s="7">
        <f>IF($AH379="","",SUMIFS('Per Line'!$Z$2:$Z$1501,'Per Line'!$E$2:$E$1501,$B379,'Per Line'!$AS$2:$AS$1501,1,'Per Line'!$AT$2:$AT$1501,0))</f>
        <v/>
      </c>
      <c r="AA379" s="7">
        <f>IF($AH379="","",Z379*Y379)</f>
        <v/>
      </c>
      <c r="AB379" s="7">
        <f>IF($AH379="","",AA379+X379+U379)</f>
        <v/>
      </c>
      <c r="AC379" s="7">
        <f>IF($AH379="","",AD379-AB379)</f>
        <v/>
      </c>
      <c r="AD379" s="7">
        <f>IF($AH379="","",W379+Z379+T379)</f>
        <v/>
      </c>
      <c r="AE379" s="7">
        <f>IF($AH379="","",AD379-AB379-P379)</f>
        <v/>
      </c>
      <c r="AF379" s="15" t="n"/>
      <c r="AG379" s="7">
        <f>IF($AH379="","",AE379-N(AF379))</f>
        <v/>
      </c>
      <c r="AH379" s="16">
        <f>IF(ROWS($AH$2:$AH379)&lt;=MAX('Per Line'!$AR$2:$AR$1501),MATCH(ROWS($AH$2:$AH379),'Per Line'!$AR$2:$AR$1501,0),"")</f>
        <v/>
      </c>
      <c r="AI379">
        <f>IF($AH379="","",C379&amp;"|"&amp;COUNTIF($C$2:$C379,C379))</f>
        <v/>
      </c>
    </row>
    <row r="380">
      <c r="A380" s="15" t="n"/>
      <c r="B380">
        <f>IF($AH380="","",INDEX('Per Line'!$E$2:$E$1501,$AH380)&amp;"")</f>
        <v/>
      </c>
      <c r="C380">
        <f>IF($AH380="","",IF(INDEX('Per Line'!$AP$2:$AP$1501,$AH380)="NOT MATCH","NOT MATCH","FULL MATCH"))</f>
        <v/>
      </c>
      <c r="D380">
        <f>IF($AH380="","",INDEX('Per Line'!$A$2:$A$1501,$AH380)&amp;"")</f>
        <v/>
      </c>
      <c r="E380">
        <f>IF($AH380="","",INDEX('Per Line'!$B$2:$B$1501,$AH380))</f>
        <v/>
      </c>
      <c r="F380">
        <f>IF($AH380="","",INDEX('Per Line'!$C$2:$C$1501,$AH380)&amp;"")</f>
        <v/>
      </c>
      <c r="G380">
        <f>IF($AH380="","",INDEX('Per Line'!$D$2:$D$1501,$AH380)&amp;"")</f>
        <v/>
      </c>
      <c r="H380">
        <f>IF($AH380="","",INDEX('Per Line'!$F$2:$F$1501,$AH380)&amp;"")</f>
        <v/>
      </c>
      <c r="I380" s="14">
        <f>IF($AH380="","",INDEX('Per Line'!$G$2:$G$1501,$AH380))</f>
        <v/>
      </c>
      <c r="J380">
        <f>IF($AH380="","",INDEX('Per Line'!$H$2:$H$1501,$AH380)&amp;"")</f>
        <v/>
      </c>
      <c r="K380">
        <f>IF($AH380="","",INDEX('Per Line'!$J$2:$J$1501,$AH380)&amp;"")</f>
        <v/>
      </c>
      <c r="L380">
        <f>IF($AH380="","",INDEX('Per Line'!$K$2:$K$1501,$AH380)&amp;"")</f>
        <v/>
      </c>
      <c r="M380">
        <f>IF($AH380="","",INDEX('Per Line'!$L$2:$L$1501,$AH380)&amp;"")</f>
        <v/>
      </c>
      <c r="N380">
        <f>IF($AH380="","",INDEX('Per Line'!$M$2:$M$1501,$AH380)&amp;"")</f>
        <v/>
      </c>
      <c r="O380">
        <f>IF($AH380="","",INDEX('Per Line'!$P$2:$P$1501,$AH380))</f>
        <v/>
      </c>
      <c r="P380" s="7">
        <f>IF($AH380="","",O380*AD380/100)</f>
        <v/>
      </c>
      <c r="Q380">
        <f>IF($AH380="","",INDEX('Per Line'!$R$2:$R$1501,$AH380)&amp;"")</f>
        <v/>
      </c>
      <c r="R380">
        <f>IF($AH380="","",INDEX('Per Line'!$AB$2:$AB$1501,$AH380)&amp;"")</f>
        <v/>
      </c>
      <c r="S380">
        <f>IF($AH380="","",Settings!$C$8)</f>
        <v/>
      </c>
      <c r="T380" s="7">
        <f>IF($AH380="","",SUMIFS('Per Line'!$Z$2:$Z$1501,'Per Line'!$E$2:$E$1501,$B380,'Per Line'!$AT$2:$AT$1501,1))</f>
        <v/>
      </c>
      <c r="U380" s="7">
        <f>IF($AH380="","",T380*S380)</f>
        <v/>
      </c>
      <c r="V380">
        <f>IF($AH380="","",Settings!$C$7)</f>
        <v/>
      </c>
      <c r="W380" s="7">
        <f>IF($AH380="","",SUMIFS('Per Line'!$Z$2:$Z$1501,'Per Line'!$E$2:$E$1501,$B380,'Per Line'!$AS$2:$AS$1501,0,'Per Line'!$AT$2:$AT$1501,0))</f>
        <v/>
      </c>
      <c r="X380" s="7">
        <f>IF($AH380="","",W380*V380)</f>
        <v/>
      </c>
      <c r="Y380">
        <f>IF($AH380="","",Settings!$C$6)</f>
        <v/>
      </c>
      <c r="Z380" s="7">
        <f>IF($AH380="","",SUMIFS('Per Line'!$Z$2:$Z$1501,'Per Line'!$E$2:$E$1501,$B380,'Per Line'!$AS$2:$AS$1501,1,'Per Line'!$AT$2:$AT$1501,0))</f>
        <v/>
      </c>
      <c r="AA380" s="7">
        <f>IF($AH380="","",Z380*Y380)</f>
        <v/>
      </c>
      <c r="AB380" s="7">
        <f>IF($AH380="","",AA380+X380+U380)</f>
        <v/>
      </c>
      <c r="AC380" s="7">
        <f>IF($AH380="","",AD380-AB380)</f>
        <v/>
      </c>
      <c r="AD380" s="7">
        <f>IF($AH380="","",W380+Z380+T380)</f>
        <v/>
      </c>
      <c r="AE380" s="7">
        <f>IF($AH380="","",AD380-AB380-P380)</f>
        <v/>
      </c>
      <c r="AF380" s="15" t="n"/>
      <c r="AG380" s="7">
        <f>IF($AH380="","",AE380-N(AF380))</f>
        <v/>
      </c>
      <c r="AH380" s="16">
        <f>IF(ROWS($AH$2:$AH380)&lt;=MAX('Per Line'!$AR$2:$AR$1501),MATCH(ROWS($AH$2:$AH380),'Per Line'!$AR$2:$AR$1501,0),"")</f>
        <v/>
      </c>
      <c r="AI380">
        <f>IF($AH380="","",C380&amp;"|"&amp;COUNTIF($C$2:$C380,C380))</f>
        <v/>
      </c>
    </row>
    <row r="381">
      <c r="A381" s="15" t="n"/>
      <c r="B381">
        <f>IF($AH381="","",INDEX('Per Line'!$E$2:$E$1501,$AH381)&amp;"")</f>
        <v/>
      </c>
      <c r="C381">
        <f>IF($AH381="","",IF(INDEX('Per Line'!$AP$2:$AP$1501,$AH381)="NOT MATCH","NOT MATCH","FULL MATCH"))</f>
        <v/>
      </c>
      <c r="D381">
        <f>IF($AH381="","",INDEX('Per Line'!$A$2:$A$1501,$AH381)&amp;"")</f>
        <v/>
      </c>
      <c r="E381">
        <f>IF($AH381="","",INDEX('Per Line'!$B$2:$B$1501,$AH381))</f>
        <v/>
      </c>
      <c r="F381">
        <f>IF($AH381="","",INDEX('Per Line'!$C$2:$C$1501,$AH381)&amp;"")</f>
        <v/>
      </c>
      <c r="G381">
        <f>IF($AH381="","",INDEX('Per Line'!$D$2:$D$1501,$AH381)&amp;"")</f>
        <v/>
      </c>
      <c r="H381">
        <f>IF($AH381="","",INDEX('Per Line'!$F$2:$F$1501,$AH381)&amp;"")</f>
        <v/>
      </c>
      <c r="I381" s="14">
        <f>IF($AH381="","",INDEX('Per Line'!$G$2:$G$1501,$AH381))</f>
        <v/>
      </c>
      <c r="J381">
        <f>IF($AH381="","",INDEX('Per Line'!$H$2:$H$1501,$AH381)&amp;"")</f>
        <v/>
      </c>
      <c r="K381">
        <f>IF($AH381="","",INDEX('Per Line'!$J$2:$J$1501,$AH381)&amp;"")</f>
        <v/>
      </c>
      <c r="L381">
        <f>IF($AH381="","",INDEX('Per Line'!$K$2:$K$1501,$AH381)&amp;"")</f>
        <v/>
      </c>
      <c r="M381">
        <f>IF($AH381="","",INDEX('Per Line'!$L$2:$L$1501,$AH381)&amp;"")</f>
        <v/>
      </c>
      <c r="N381">
        <f>IF($AH381="","",INDEX('Per Line'!$M$2:$M$1501,$AH381)&amp;"")</f>
        <v/>
      </c>
      <c r="O381">
        <f>IF($AH381="","",INDEX('Per Line'!$P$2:$P$1501,$AH381))</f>
        <v/>
      </c>
      <c r="P381" s="7">
        <f>IF($AH381="","",O381*AD381/100)</f>
        <v/>
      </c>
      <c r="Q381">
        <f>IF($AH381="","",INDEX('Per Line'!$R$2:$R$1501,$AH381)&amp;"")</f>
        <v/>
      </c>
      <c r="R381">
        <f>IF($AH381="","",INDEX('Per Line'!$AB$2:$AB$1501,$AH381)&amp;"")</f>
        <v/>
      </c>
      <c r="S381">
        <f>IF($AH381="","",Settings!$C$8)</f>
        <v/>
      </c>
      <c r="T381" s="7">
        <f>IF($AH381="","",SUMIFS('Per Line'!$Z$2:$Z$1501,'Per Line'!$E$2:$E$1501,$B381,'Per Line'!$AT$2:$AT$1501,1))</f>
        <v/>
      </c>
      <c r="U381" s="7">
        <f>IF($AH381="","",T381*S381)</f>
        <v/>
      </c>
      <c r="V381">
        <f>IF($AH381="","",Settings!$C$7)</f>
        <v/>
      </c>
      <c r="W381" s="7">
        <f>IF($AH381="","",SUMIFS('Per Line'!$Z$2:$Z$1501,'Per Line'!$E$2:$E$1501,$B381,'Per Line'!$AS$2:$AS$1501,0,'Per Line'!$AT$2:$AT$1501,0))</f>
        <v/>
      </c>
      <c r="X381" s="7">
        <f>IF($AH381="","",W381*V381)</f>
        <v/>
      </c>
      <c r="Y381">
        <f>IF($AH381="","",Settings!$C$6)</f>
        <v/>
      </c>
      <c r="Z381" s="7">
        <f>IF($AH381="","",SUMIFS('Per Line'!$Z$2:$Z$1501,'Per Line'!$E$2:$E$1501,$B381,'Per Line'!$AS$2:$AS$1501,1,'Per Line'!$AT$2:$AT$1501,0))</f>
        <v/>
      </c>
      <c r="AA381" s="7">
        <f>IF($AH381="","",Z381*Y381)</f>
        <v/>
      </c>
      <c r="AB381" s="7">
        <f>IF($AH381="","",AA381+X381+U381)</f>
        <v/>
      </c>
      <c r="AC381" s="7">
        <f>IF($AH381="","",AD381-AB381)</f>
        <v/>
      </c>
      <c r="AD381" s="7">
        <f>IF($AH381="","",W381+Z381+T381)</f>
        <v/>
      </c>
      <c r="AE381" s="7">
        <f>IF($AH381="","",AD381-AB381-P381)</f>
        <v/>
      </c>
      <c r="AF381" s="15" t="n"/>
      <c r="AG381" s="7">
        <f>IF($AH381="","",AE381-N(AF381))</f>
        <v/>
      </c>
      <c r="AH381" s="16">
        <f>IF(ROWS($AH$2:$AH381)&lt;=MAX('Per Line'!$AR$2:$AR$1501),MATCH(ROWS($AH$2:$AH381),'Per Line'!$AR$2:$AR$1501,0),"")</f>
        <v/>
      </c>
      <c r="AI381">
        <f>IF($AH381="","",C381&amp;"|"&amp;COUNTIF($C$2:$C381,C381))</f>
        <v/>
      </c>
    </row>
    <row r="382">
      <c r="A382" s="15" t="n"/>
      <c r="B382">
        <f>IF($AH382="","",INDEX('Per Line'!$E$2:$E$1501,$AH382)&amp;"")</f>
        <v/>
      </c>
      <c r="C382">
        <f>IF($AH382="","",IF(INDEX('Per Line'!$AP$2:$AP$1501,$AH382)="NOT MATCH","NOT MATCH","FULL MATCH"))</f>
        <v/>
      </c>
      <c r="D382">
        <f>IF($AH382="","",INDEX('Per Line'!$A$2:$A$1501,$AH382)&amp;"")</f>
        <v/>
      </c>
      <c r="E382">
        <f>IF($AH382="","",INDEX('Per Line'!$B$2:$B$1501,$AH382))</f>
        <v/>
      </c>
      <c r="F382">
        <f>IF($AH382="","",INDEX('Per Line'!$C$2:$C$1501,$AH382)&amp;"")</f>
        <v/>
      </c>
      <c r="G382">
        <f>IF($AH382="","",INDEX('Per Line'!$D$2:$D$1501,$AH382)&amp;"")</f>
        <v/>
      </c>
      <c r="H382">
        <f>IF($AH382="","",INDEX('Per Line'!$F$2:$F$1501,$AH382)&amp;"")</f>
        <v/>
      </c>
      <c r="I382" s="14">
        <f>IF($AH382="","",INDEX('Per Line'!$G$2:$G$1501,$AH382))</f>
        <v/>
      </c>
      <c r="J382">
        <f>IF($AH382="","",INDEX('Per Line'!$H$2:$H$1501,$AH382)&amp;"")</f>
        <v/>
      </c>
      <c r="K382">
        <f>IF($AH382="","",INDEX('Per Line'!$J$2:$J$1501,$AH382)&amp;"")</f>
        <v/>
      </c>
      <c r="L382">
        <f>IF($AH382="","",INDEX('Per Line'!$K$2:$K$1501,$AH382)&amp;"")</f>
        <v/>
      </c>
      <c r="M382">
        <f>IF($AH382="","",INDEX('Per Line'!$L$2:$L$1501,$AH382)&amp;"")</f>
        <v/>
      </c>
      <c r="N382">
        <f>IF($AH382="","",INDEX('Per Line'!$M$2:$M$1501,$AH382)&amp;"")</f>
        <v/>
      </c>
      <c r="O382">
        <f>IF($AH382="","",INDEX('Per Line'!$P$2:$P$1501,$AH382))</f>
        <v/>
      </c>
      <c r="P382" s="7">
        <f>IF($AH382="","",O382*AD382/100)</f>
        <v/>
      </c>
      <c r="Q382">
        <f>IF($AH382="","",INDEX('Per Line'!$R$2:$R$1501,$AH382)&amp;"")</f>
        <v/>
      </c>
      <c r="R382">
        <f>IF($AH382="","",INDEX('Per Line'!$AB$2:$AB$1501,$AH382)&amp;"")</f>
        <v/>
      </c>
      <c r="S382">
        <f>IF($AH382="","",Settings!$C$8)</f>
        <v/>
      </c>
      <c r="T382" s="7">
        <f>IF($AH382="","",SUMIFS('Per Line'!$Z$2:$Z$1501,'Per Line'!$E$2:$E$1501,$B382,'Per Line'!$AT$2:$AT$1501,1))</f>
        <v/>
      </c>
      <c r="U382" s="7">
        <f>IF($AH382="","",T382*S382)</f>
        <v/>
      </c>
      <c r="V382">
        <f>IF($AH382="","",Settings!$C$7)</f>
        <v/>
      </c>
      <c r="W382" s="7">
        <f>IF($AH382="","",SUMIFS('Per Line'!$Z$2:$Z$1501,'Per Line'!$E$2:$E$1501,$B382,'Per Line'!$AS$2:$AS$1501,0,'Per Line'!$AT$2:$AT$1501,0))</f>
        <v/>
      </c>
      <c r="X382" s="7">
        <f>IF($AH382="","",W382*V382)</f>
        <v/>
      </c>
      <c r="Y382">
        <f>IF($AH382="","",Settings!$C$6)</f>
        <v/>
      </c>
      <c r="Z382" s="7">
        <f>IF($AH382="","",SUMIFS('Per Line'!$Z$2:$Z$1501,'Per Line'!$E$2:$E$1501,$B382,'Per Line'!$AS$2:$AS$1501,1,'Per Line'!$AT$2:$AT$1501,0))</f>
        <v/>
      </c>
      <c r="AA382" s="7">
        <f>IF($AH382="","",Z382*Y382)</f>
        <v/>
      </c>
      <c r="AB382" s="7">
        <f>IF($AH382="","",AA382+X382+U382)</f>
        <v/>
      </c>
      <c r="AC382" s="7">
        <f>IF($AH382="","",AD382-AB382)</f>
        <v/>
      </c>
      <c r="AD382" s="7">
        <f>IF($AH382="","",W382+Z382+T382)</f>
        <v/>
      </c>
      <c r="AE382" s="7">
        <f>IF($AH382="","",AD382-AB382-P382)</f>
        <v/>
      </c>
      <c r="AF382" s="15" t="n"/>
      <c r="AG382" s="7">
        <f>IF($AH382="","",AE382-N(AF382))</f>
        <v/>
      </c>
      <c r="AH382" s="16">
        <f>IF(ROWS($AH$2:$AH382)&lt;=MAX('Per Line'!$AR$2:$AR$1501),MATCH(ROWS($AH$2:$AH382),'Per Line'!$AR$2:$AR$1501,0),"")</f>
        <v/>
      </c>
      <c r="AI382">
        <f>IF($AH382="","",C382&amp;"|"&amp;COUNTIF($C$2:$C382,C382))</f>
        <v/>
      </c>
    </row>
    <row r="383">
      <c r="A383" s="15" t="n"/>
      <c r="B383">
        <f>IF($AH383="","",INDEX('Per Line'!$E$2:$E$1501,$AH383)&amp;"")</f>
        <v/>
      </c>
      <c r="C383">
        <f>IF($AH383="","",IF(INDEX('Per Line'!$AP$2:$AP$1501,$AH383)="NOT MATCH","NOT MATCH","FULL MATCH"))</f>
        <v/>
      </c>
      <c r="D383">
        <f>IF($AH383="","",INDEX('Per Line'!$A$2:$A$1501,$AH383)&amp;"")</f>
        <v/>
      </c>
      <c r="E383">
        <f>IF($AH383="","",INDEX('Per Line'!$B$2:$B$1501,$AH383))</f>
        <v/>
      </c>
      <c r="F383">
        <f>IF($AH383="","",INDEX('Per Line'!$C$2:$C$1501,$AH383)&amp;"")</f>
        <v/>
      </c>
      <c r="G383">
        <f>IF($AH383="","",INDEX('Per Line'!$D$2:$D$1501,$AH383)&amp;"")</f>
        <v/>
      </c>
      <c r="H383">
        <f>IF($AH383="","",INDEX('Per Line'!$F$2:$F$1501,$AH383)&amp;"")</f>
        <v/>
      </c>
      <c r="I383" s="14">
        <f>IF($AH383="","",INDEX('Per Line'!$G$2:$G$1501,$AH383))</f>
        <v/>
      </c>
      <c r="J383">
        <f>IF($AH383="","",INDEX('Per Line'!$H$2:$H$1501,$AH383)&amp;"")</f>
        <v/>
      </c>
      <c r="K383">
        <f>IF($AH383="","",INDEX('Per Line'!$J$2:$J$1501,$AH383)&amp;"")</f>
        <v/>
      </c>
      <c r="L383">
        <f>IF($AH383="","",INDEX('Per Line'!$K$2:$K$1501,$AH383)&amp;"")</f>
        <v/>
      </c>
      <c r="M383">
        <f>IF($AH383="","",INDEX('Per Line'!$L$2:$L$1501,$AH383)&amp;"")</f>
        <v/>
      </c>
      <c r="N383">
        <f>IF($AH383="","",INDEX('Per Line'!$M$2:$M$1501,$AH383)&amp;"")</f>
        <v/>
      </c>
      <c r="O383">
        <f>IF($AH383="","",INDEX('Per Line'!$P$2:$P$1501,$AH383))</f>
        <v/>
      </c>
      <c r="P383" s="7">
        <f>IF($AH383="","",O383*AD383/100)</f>
        <v/>
      </c>
      <c r="Q383">
        <f>IF($AH383="","",INDEX('Per Line'!$R$2:$R$1501,$AH383)&amp;"")</f>
        <v/>
      </c>
      <c r="R383">
        <f>IF($AH383="","",INDEX('Per Line'!$AB$2:$AB$1501,$AH383)&amp;"")</f>
        <v/>
      </c>
      <c r="S383">
        <f>IF($AH383="","",Settings!$C$8)</f>
        <v/>
      </c>
      <c r="T383" s="7">
        <f>IF($AH383="","",SUMIFS('Per Line'!$Z$2:$Z$1501,'Per Line'!$E$2:$E$1501,$B383,'Per Line'!$AT$2:$AT$1501,1))</f>
        <v/>
      </c>
      <c r="U383" s="7">
        <f>IF($AH383="","",T383*S383)</f>
        <v/>
      </c>
      <c r="V383">
        <f>IF($AH383="","",Settings!$C$7)</f>
        <v/>
      </c>
      <c r="W383" s="7">
        <f>IF($AH383="","",SUMIFS('Per Line'!$Z$2:$Z$1501,'Per Line'!$E$2:$E$1501,$B383,'Per Line'!$AS$2:$AS$1501,0,'Per Line'!$AT$2:$AT$1501,0))</f>
        <v/>
      </c>
      <c r="X383" s="7">
        <f>IF($AH383="","",W383*V383)</f>
        <v/>
      </c>
      <c r="Y383">
        <f>IF($AH383="","",Settings!$C$6)</f>
        <v/>
      </c>
      <c r="Z383" s="7">
        <f>IF($AH383="","",SUMIFS('Per Line'!$Z$2:$Z$1501,'Per Line'!$E$2:$E$1501,$B383,'Per Line'!$AS$2:$AS$1501,1,'Per Line'!$AT$2:$AT$1501,0))</f>
        <v/>
      </c>
      <c r="AA383" s="7">
        <f>IF($AH383="","",Z383*Y383)</f>
        <v/>
      </c>
      <c r="AB383" s="7">
        <f>IF($AH383="","",AA383+X383+U383)</f>
        <v/>
      </c>
      <c r="AC383" s="7">
        <f>IF($AH383="","",AD383-AB383)</f>
        <v/>
      </c>
      <c r="AD383" s="7">
        <f>IF($AH383="","",W383+Z383+T383)</f>
        <v/>
      </c>
      <c r="AE383" s="7">
        <f>IF($AH383="","",AD383-AB383-P383)</f>
        <v/>
      </c>
      <c r="AF383" s="15" t="n"/>
      <c r="AG383" s="7">
        <f>IF($AH383="","",AE383-N(AF383))</f>
        <v/>
      </c>
      <c r="AH383" s="16">
        <f>IF(ROWS($AH$2:$AH383)&lt;=MAX('Per Line'!$AR$2:$AR$1501),MATCH(ROWS($AH$2:$AH383),'Per Line'!$AR$2:$AR$1501,0),"")</f>
        <v/>
      </c>
      <c r="AI383">
        <f>IF($AH383="","",C383&amp;"|"&amp;COUNTIF($C$2:$C383,C383))</f>
        <v/>
      </c>
    </row>
    <row r="384">
      <c r="A384" s="15" t="n"/>
      <c r="B384">
        <f>IF($AH384="","",INDEX('Per Line'!$E$2:$E$1501,$AH384)&amp;"")</f>
        <v/>
      </c>
      <c r="C384">
        <f>IF($AH384="","",IF(INDEX('Per Line'!$AP$2:$AP$1501,$AH384)="NOT MATCH","NOT MATCH","FULL MATCH"))</f>
        <v/>
      </c>
      <c r="D384">
        <f>IF($AH384="","",INDEX('Per Line'!$A$2:$A$1501,$AH384)&amp;"")</f>
        <v/>
      </c>
      <c r="E384">
        <f>IF($AH384="","",INDEX('Per Line'!$B$2:$B$1501,$AH384))</f>
        <v/>
      </c>
      <c r="F384">
        <f>IF($AH384="","",INDEX('Per Line'!$C$2:$C$1501,$AH384)&amp;"")</f>
        <v/>
      </c>
      <c r="G384">
        <f>IF($AH384="","",INDEX('Per Line'!$D$2:$D$1501,$AH384)&amp;"")</f>
        <v/>
      </c>
      <c r="H384">
        <f>IF($AH384="","",INDEX('Per Line'!$F$2:$F$1501,$AH384)&amp;"")</f>
        <v/>
      </c>
      <c r="I384" s="14">
        <f>IF($AH384="","",INDEX('Per Line'!$G$2:$G$1501,$AH384))</f>
        <v/>
      </c>
      <c r="J384">
        <f>IF($AH384="","",INDEX('Per Line'!$H$2:$H$1501,$AH384)&amp;"")</f>
        <v/>
      </c>
      <c r="K384">
        <f>IF($AH384="","",INDEX('Per Line'!$J$2:$J$1501,$AH384)&amp;"")</f>
        <v/>
      </c>
      <c r="L384">
        <f>IF($AH384="","",INDEX('Per Line'!$K$2:$K$1501,$AH384)&amp;"")</f>
        <v/>
      </c>
      <c r="M384">
        <f>IF($AH384="","",INDEX('Per Line'!$L$2:$L$1501,$AH384)&amp;"")</f>
        <v/>
      </c>
      <c r="N384">
        <f>IF($AH384="","",INDEX('Per Line'!$M$2:$M$1501,$AH384)&amp;"")</f>
        <v/>
      </c>
      <c r="O384">
        <f>IF($AH384="","",INDEX('Per Line'!$P$2:$P$1501,$AH384))</f>
        <v/>
      </c>
      <c r="P384" s="7">
        <f>IF($AH384="","",O384*AD384/100)</f>
        <v/>
      </c>
      <c r="Q384">
        <f>IF($AH384="","",INDEX('Per Line'!$R$2:$R$1501,$AH384)&amp;"")</f>
        <v/>
      </c>
      <c r="R384">
        <f>IF($AH384="","",INDEX('Per Line'!$AB$2:$AB$1501,$AH384)&amp;"")</f>
        <v/>
      </c>
      <c r="S384">
        <f>IF($AH384="","",Settings!$C$8)</f>
        <v/>
      </c>
      <c r="T384" s="7">
        <f>IF($AH384="","",SUMIFS('Per Line'!$Z$2:$Z$1501,'Per Line'!$E$2:$E$1501,$B384,'Per Line'!$AT$2:$AT$1501,1))</f>
        <v/>
      </c>
      <c r="U384" s="7">
        <f>IF($AH384="","",T384*S384)</f>
        <v/>
      </c>
      <c r="V384">
        <f>IF($AH384="","",Settings!$C$7)</f>
        <v/>
      </c>
      <c r="W384" s="7">
        <f>IF($AH384="","",SUMIFS('Per Line'!$Z$2:$Z$1501,'Per Line'!$E$2:$E$1501,$B384,'Per Line'!$AS$2:$AS$1501,0,'Per Line'!$AT$2:$AT$1501,0))</f>
        <v/>
      </c>
      <c r="X384" s="7">
        <f>IF($AH384="","",W384*V384)</f>
        <v/>
      </c>
      <c r="Y384">
        <f>IF($AH384="","",Settings!$C$6)</f>
        <v/>
      </c>
      <c r="Z384" s="7">
        <f>IF($AH384="","",SUMIFS('Per Line'!$Z$2:$Z$1501,'Per Line'!$E$2:$E$1501,$B384,'Per Line'!$AS$2:$AS$1501,1,'Per Line'!$AT$2:$AT$1501,0))</f>
        <v/>
      </c>
      <c r="AA384" s="7">
        <f>IF($AH384="","",Z384*Y384)</f>
        <v/>
      </c>
      <c r="AB384" s="7">
        <f>IF($AH384="","",AA384+X384+U384)</f>
        <v/>
      </c>
      <c r="AC384" s="7">
        <f>IF($AH384="","",AD384-AB384)</f>
        <v/>
      </c>
      <c r="AD384" s="7">
        <f>IF($AH384="","",W384+Z384+T384)</f>
        <v/>
      </c>
      <c r="AE384" s="7">
        <f>IF($AH384="","",AD384-AB384-P384)</f>
        <v/>
      </c>
      <c r="AF384" s="15" t="n"/>
      <c r="AG384" s="7">
        <f>IF($AH384="","",AE384-N(AF384))</f>
        <v/>
      </c>
      <c r="AH384" s="16">
        <f>IF(ROWS($AH$2:$AH384)&lt;=MAX('Per Line'!$AR$2:$AR$1501),MATCH(ROWS($AH$2:$AH384),'Per Line'!$AR$2:$AR$1501,0),"")</f>
        <v/>
      </c>
      <c r="AI384">
        <f>IF($AH384="","",C384&amp;"|"&amp;COUNTIF($C$2:$C384,C384))</f>
        <v/>
      </c>
    </row>
    <row r="385">
      <c r="A385" s="15" t="n"/>
      <c r="B385">
        <f>IF($AH385="","",INDEX('Per Line'!$E$2:$E$1501,$AH385)&amp;"")</f>
        <v/>
      </c>
      <c r="C385">
        <f>IF($AH385="","",IF(INDEX('Per Line'!$AP$2:$AP$1501,$AH385)="NOT MATCH","NOT MATCH","FULL MATCH"))</f>
        <v/>
      </c>
      <c r="D385">
        <f>IF($AH385="","",INDEX('Per Line'!$A$2:$A$1501,$AH385)&amp;"")</f>
        <v/>
      </c>
      <c r="E385">
        <f>IF($AH385="","",INDEX('Per Line'!$B$2:$B$1501,$AH385))</f>
        <v/>
      </c>
      <c r="F385">
        <f>IF($AH385="","",INDEX('Per Line'!$C$2:$C$1501,$AH385)&amp;"")</f>
        <v/>
      </c>
      <c r="G385">
        <f>IF($AH385="","",INDEX('Per Line'!$D$2:$D$1501,$AH385)&amp;"")</f>
        <v/>
      </c>
      <c r="H385">
        <f>IF($AH385="","",INDEX('Per Line'!$F$2:$F$1501,$AH385)&amp;"")</f>
        <v/>
      </c>
      <c r="I385" s="14">
        <f>IF($AH385="","",INDEX('Per Line'!$G$2:$G$1501,$AH385))</f>
        <v/>
      </c>
      <c r="J385">
        <f>IF($AH385="","",INDEX('Per Line'!$H$2:$H$1501,$AH385)&amp;"")</f>
        <v/>
      </c>
      <c r="K385">
        <f>IF($AH385="","",INDEX('Per Line'!$J$2:$J$1501,$AH385)&amp;"")</f>
        <v/>
      </c>
      <c r="L385">
        <f>IF($AH385="","",INDEX('Per Line'!$K$2:$K$1501,$AH385)&amp;"")</f>
        <v/>
      </c>
      <c r="M385">
        <f>IF($AH385="","",INDEX('Per Line'!$L$2:$L$1501,$AH385)&amp;"")</f>
        <v/>
      </c>
      <c r="N385">
        <f>IF($AH385="","",INDEX('Per Line'!$M$2:$M$1501,$AH385)&amp;"")</f>
        <v/>
      </c>
      <c r="O385">
        <f>IF($AH385="","",INDEX('Per Line'!$P$2:$P$1501,$AH385))</f>
        <v/>
      </c>
      <c r="P385" s="7">
        <f>IF($AH385="","",O385*AD385/100)</f>
        <v/>
      </c>
      <c r="Q385">
        <f>IF($AH385="","",INDEX('Per Line'!$R$2:$R$1501,$AH385)&amp;"")</f>
        <v/>
      </c>
      <c r="R385">
        <f>IF($AH385="","",INDEX('Per Line'!$AB$2:$AB$1501,$AH385)&amp;"")</f>
        <v/>
      </c>
      <c r="S385">
        <f>IF($AH385="","",Settings!$C$8)</f>
        <v/>
      </c>
      <c r="T385" s="7">
        <f>IF($AH385="","",SUMIFS('Per Line'!$Z$2:$Z$1501,'Per Line'!$E$2:$E$1501,$B385,'Per Line'!$AT$2:$AT$1501,1))</f>
        <v/>
      </c>
      <c r="U385" s="7">
        <f>IF($AH385="","",T385*S385)</f>
        <v/>
      </c>
      <c r="V385">
        <f>IF($AH385="","",Settings!$C$7)</f>
        <v/>
      </c>
      <c r="W385" s="7">
        <f>IF($AH385="","",SUMIFS('Per Line'!$Z$2:$Z$1501,'Per Line'!$E$2:$E$1501,$B385,'Per Line'!$AS$2:$AS$1501,0,'Per Line'!$AT$2:$AT$1501,0))</f>
        <v/>
      </c>
      <c r="X385" s="7">
        <f>IF($AH385="","",W385*V385)</f>
        <v/>
      </c>
      <c r="Y385">
        <f>IF($AH385="","",Settings!$C$6)</f>
        <v/>
      </c>
      <c r="Z385" s="7">
        <f>IF($AH385="","",SUMIFS('Per Line'!$Z$2:$Z$1501,'Per Line'!$E$2:$E$1501,$B385,'Per Line'!$AS$2:$AS$1501,1,'Per Line'!$AT$2:$AT$1501,0))</f>
        <v/>
      </c>
      <c r="AA385" s="7">
        <f>IF($AH385="","",Z385*Y385)</f>
        <v/>
      </c>
      <c r="AB385" s="7">
        <f>IF($AH385="","",AA385+X385+U385)</f>
        <v/>
      </c>
      <c r="AC385" s="7">
        <f>IF($AH385="","",AD385-AB385)</f>
        <v/>
      </c>
      <c r="AD385" s="7">
        <f>IF($AH385="","",W385+Z385+T385)</f>
        <v/>
      </c>
      <c r="AE385" s="7">
        <f>IF($AH385="","",AD385-AB385-P385)</f>
        <v/>
      </c>
      <c r="AF385" s="15" t="n"/>
      <c r="AG385" s="7">
        <f>IF($AH385="","",AE385-N(AF385))</f>
        <v/>
      </c>
      <c r="AH385" s="16">
        <f>IF(ROWS($AH$2:$AH385)&lt;=MAX('Per Line'!$AR$2:$AR$1501),MATCH(ROWS($AH$2:$AH385),'Per Line'!$AR$2:$AR$1501,0),"")</f>
        <v/>
      </c>
      <c r="AI385">
        <f>IF($AH385="","",C385&amp;"|"&amp;COUNTIF($C$2:$C385,C385))</f>
        <v/>
      </c>
    </row>
    <row r="386">
      <c r="A386" s="15" t="n"/>
      <c r="B386">
        <f>IF($AH386="","",INDEX('Per Line'!$E$2:$E$1501,$AH386)&amp;"")</f>
        <v/>
      </c>
      <c r="C386">
        <f>IF($AH386="","",IF(INDEX('Per Line'!$AP$2:$AP$1501,$AH386)="NOT MATCH","NOT MATCH","FULL MATCH"))</f>
        <v/>
      </c>
      <c r="D386">
        <f>IF($AH386="","",INDEX('Per Line'!$A$2:$A$1501,$AH386)&amp;"")</f>
        <v/>
      </c>
      <c r="E386">
        <f>IF($AH386="","",INDEX('Per Line'!$B$2:$B$1501,$AH386))</f>
        <v/>
      </c>
      <c r="F386">
        <f>IF($AH386="","",INDEX('Per Line'!$C$2:$C$1501,$AH386)&amp;"")</f>
        <v/>
      </c>
      <c r="G386">
        <f>IF($AH386="","",INDEX('Per Line'!$D$2:$D$1501,$AH386)&amp;"")</f>
        <v/>
      </c>
      <c r="H386">
        <f>IF($AH386="","",INDEX('Per Line'!$F$2:$F$1501,$AH386)&amp;"")</f>
        <v/>
      </c>
      <c r="I386" s="14">
        <f>IF($AH386="","",INDEX('Per Line'!$G$2:$G$1501,$AH386))</f>
        <v/>
      </c>
      <c r="J386">
        <f>IF($AH386="","",INDEX('Per Line'!$H$2:$H$1501,$AH386)&amp;"")</f>
        <v/>
      </c>
      <c r="K386">
        <f>IF($AH386="","",INDEX('Per Line'!$J$2:$J$1501,$AH386)&amp;"")</f>
        <v/>
      </c>
      <c r="L386">
        <f>IF($AH386="","",INDEX('Per Line'!$K$2:$K$1501,$AH386)&amp;"")</f>
        <v/>
      </c>
      <c r="M386">
        <f>IF($AH386="","",INDEX('Per Line'!$L$2:$L$1501,$AH386)&amp;"")</f>
        <v/>
      </c>
      <c r="N386">
        <f>IF($AH386="","",INDEX('Per Line'!$M$2:$M$1501,$AH386)&amp;"")</f>
        <v/>
      </c>
      <c r="O386">
        <f>IF($AH386="","",INDEX('Per Line'!$P$2:$P$1501,$AH386))</f>
        <v/>
      </c>
      <c r="P386" s="7">
        <f>IF($AH386="","",O386*AD386/100)</f>
        <v/>
      </c>
      <c r="Q386">
        <f>IF($AH386="","",INDEX('Per Line'!$R$2:$R$1501,$AH386)&amp;"")</f>
        <v/>
      </c>
      <c r="R386">
        <f>IF($AH386="","",INDEX('Per Line'!$AB$2:$AB$1501,$AH386)&amp;"")</f>
        <v/>
      </c>
      <c r="S386">
        <f>IF($AH386="","",Settings!$C$8)</f>
        <v/>
      </c>
      <c r="T386" s="7">
        <f>IF($AH386="","",SUMIFS('Per Line'!$Z$2:$Z$1501,'Per Line'!$E$2:$E$1501,$B386,'Per Line'!$AT$2:$AT$1501,1))</f>
        <v/>
      </c>
      <c r="U386" s="7">
        <f>IF($AH386="","",T386*S386)</f>
        <v/>
      </c>
      <c r="V386">
        <f>IF($AH386="","",Settings!$C$7)</f>
        <v/>
      </c>
      <c r="W386" s="7">
        <f>IF($AH386="","",SUMIFS('Per Line'!$Z$2:$Z$1501,'Per Line'!$E$2:$E$1501,$B386,'Per Line'!$AS$2:$AS$1501,0,'Per Line'!$AT$2:$AT$1501,0))</f>
        <v/>
      </c>
      <c r="X386" s="7">
        <f>IF($AH386="","",W386*V386)</f>
        <v/>
      </c>
      <c r="Y386">
        <f>IF($AH386="","",Settings!$C$6)</f>
        <v/>
      </c>
      <c r="Z386" s="7">
        <f>IF($AH386="","",SUMIFS('Per Line'!$Z$2:$Z$1501,'Per Line'!$E$2:$E$1501,$B386,'Per Line'!$AS$2:$AS$1501,1,'Per Line'!$AT$2:$AT$1501,0))</f>
        <v/>
      </c>
      <c r="AA386" s="7">
        <f>IF($AH386="","",Z386*Y386)</f>
        <v/>
      </c>
      <c r="AB386" s="7">
        <f>IF($AH386="","",AA386+X386+U386)</f>
        <v/>
      </c>
      <c r="AC386" s="7">
        <f>IF($AH386="","",AD386-AB386)</f>
        <v/>
      </c>
      <c r="AD386" s="7">
        <f>IF($AH386="","",W386+Z386+T386)</f>
        <v/>
      </c>
      <c r="AE386" s="7">
        <f>IF($AH386="","",AD386-AB386-P386)</f>
        <v/>
      </c>
      <c r="AF386" s="15" t="n"/>
      <c r="AG386" s="7">
        <f>IF($AH386="","",AE386-N(AF386))</f>
        <v/>
      </c>
      <c r="AH386" s="16">
        <f>IF(ROWS($AH$2:$AH386)&lt;=MAX('Per Line'!$AR$2:$AR$1501),MATCH(ROWS($AH$2:$AH386),'Per Line'!$AR$2:$AR$1501,0),"")</f>
        <v/>
      </c>
      <c r="AI386">
        <f>IF($AH386="","",C386&amp;"|"&amp;COUNTIF($C$2:$C386,C386))</f>
        <v/>
      </c>
    </row>
    <row r="387">
      <c r="A387" s="15" t="n"/>
      <c r="B387">
        <f>IF($AH387="","",INDEX('Per Line'!$E$2:$E$1501,$AH387)&amp;"")</f>
        <v/>
      </c>
      <c r="C387">
        <f>IF($AH387="","",IF(INDEX('Per Line'!$AP$2:$AP$1501,$AH387)="NOT MATCH","NOT MATCH","FULL MATCH"))</f>
        <v/>
      </c>
      <c r="D387">
        <f>IF($AH387="","",INDEX('Per Line'!$A$2:$A$1501,$AH387)&amp;"")</f>
        <v/>
      </c>
      <c r="E387">
        <f>IF($AH387="","",INDEX('Per Line'!$B$2:$B$1501,$AH387))</f>
        <v/>
      </c>
      <c r="F387">
        <f>IF($AH387="","",INDEX('Per Line'!$C$2:$C$1501,$AH387)&amp;"")</f>
        <v/>
      </c>
      <c r="G387">
        <f>IF($AH387="","",INDEX('Per Line'!$D$2:$D$1501,$AH387)&amp;"")</f>
        <v/>
      </c>
      <c r="H387">
        <f>IF($AH387="","",INDEX('Per Line'!$F$2:$F$1501,$AH387)&amp;"")</f>
        <v/>
      </c>
      <c r="I387" s="14">
        <f>IF($AH387="","",INDEX('Per Line'!$G$2:$G$1501,$AH387))</f>
        <v/>
      </c>
      <c r="J387">
        <f>IF($AH387="","",INDEX('Per Line'!$H$2:$H$1501,$AH387)&amp;"")</f>
        <v/>
      </c>
      <c r="K387">
        <f>IF($AH387="","",INDEX('Per Line'!$J$2:$J$1501,$AH387)&amp;"")</f>
        <v/>
      </c>
      <c r="L387">
        <f>IF($AH387="","",INDEX('Per Line'!$K$2:$K$1501,$AH387)&amp;"")</f>
        <v/>
      </c>
      <c r="M387">
        <f>IF($AH387="","",INDEX('Per Line'!$L$2:$L$1501,$AH387)&amp;"")</f>
        <v/>
      </c>
      <c r="N387">
        <f>IF($AH387="","",INDEX('Per Line'!$M$2:$M$1501,$AH387)&amp;"")</f>
        <v/>
      </c>
      <c r="O387">
        <f>IF($AH387="","",INDEX('Per Line'!$P$2:$P$1501,$AH387))</f>
        <v/>
      </c>
      <c r="P387" s="7">
        <f>IF($AH387="","",O387*AD387/100)</f>
        <v/>
      </c>
      <c r="Q387">
        <f>IF($AH387="","",INDEX('Per Line'!$R$2:$R$1501,$AH387)&amp;"")</f>
        <v/>
      </c>
      <c r="R387">
        <f>IF($AH387="","",INDEX('Per Line'!$AB$2:$AB$1501,$AH387)&amp;"")</f>
        <v/>
      </c>
      <c r="S387">
        <f>IF($AH387="","",Settings!$C$8)</f>
        <v/>
      </c>
      <c r="T387" s="7">
        <f>IF($AH387="","",SUMIFS('Per Line'!$Z$2:$Z$1501,'Per Line'!$E$2:$E$1501,$B387,'Per Line'!$AT$2:$AT$1501,1))</f>
        <v/>
      </c>
      <c r="U387" s="7">
        <f>IF($AH387="","",T387*S387)</f>
        <v/>
      </c>
      <c r="V387">
        <f>IF($AH387="","",Settings!$C$7)</f>
        <v/>
      </c>
      <c r="W387" s="7">
        <f>IF($AH387="","",SUMIFS('Per Line'!$Z$2:$Z$1501,'Per Line'!$E$2:$E$1501,$B387,'Per Line'!$AS$2:$AS$1501,0,'Per Line'!$AT$2:$AT$1501,0))</f>
        <v/>
      </c>
      <c r="X387" s="7">
        <f>IF($AH387="","",W387*V387)</f>
        <v/>
      </c>
      <c r="Y387">
        <f>IF($AH387="","",Settings!$C$6)</f>
        <v/>
      </c>
      <c r="Z387" s="7">
        <f>IF($AH387="","",SUMIFS('Per Line'!$Z$2:$Z$1501,'Per Line'!$E$2:$E$1501,$B387,'Per Line'!$AS$2:$AS$1501,1,'Per Line'!$AT$2:$AT$1501,0))</f>
        <v/>
      </c>
      <c r="AA387" s="7">
        <f>IF($AH387="","",Z387*Y387)</f>
        <v/>
      </c>
      <c r="AB387" s="7">
        <f>IF($AH387="","",AA387+X387+U387)</f>
        <v/>
      </c>
      <c r="AC387" s="7">
        <f>IF($AH387="","",AD387-AB387)</f>
        <v/>
      </c>
      <c r="AD387" s="7">
        <f>IF($AH387="","",W387+Z387+T387)</f>
        <v/>
      </c>
      <c r="AE387" s="7">
        <f>IF($AH387="","",AD387-AB387-P387)</f>
        <v/>
      </c>
      <c r="AF387" s="15" t="n"/>
      <c r="AG387" s="7">
        <f>IF($AH387="","",AE387-N(AF387))</f>
        <v/>
      </c>
      <c r="AH387" s="16">
        <f>IF(ROWS($AH$2:$AH387)&lt;=MAX('Per Line'!$AR$2:$AR$1501),MATCH(ROWS($AH$2:$AH387),'Per Line'!$AR$2:$AR$1501,0),"")</f>
        <v/>
      </c>
      <c r="AI387">
        <f>IF($AH387="","",C387&amp;"|"&amp;COUNTIF($C$2:$C387,C387))</f>
        <v/>
      </c>
    </row>
    <row r="388">
      <c r="A388" s="15" t="n"/>
      <c r="B388">
        <f>IF($AH388="","",INDEX('Per Line'!$E$2:$E$1501,$AH388)&amp;"")</f>
        <v/>
      </c>
      <c r="C388">
        <f>IF($AH388="","",IF(INDEX('Per Line'!$AP$2:$AP$1501,$AH388)="NOT MATCH","NOT MATCH","FULL MATCH"))</f>
        <v/>
      </c>
      <c r="D388">
        <f>IF($AH388="","",INDEX('Per Line'!$A$2:$A$1501,$AH388)&amp;"")</f>
        <v/>
      </c>
      <c r="E388">
        <f>IF($AH388="","",INDEX('Per Line'!$B$2:$B$1501,$AH388))</f>
        <v/>
      </c>
      <c r="F388">
        <f>IF($AH388="","",INDEX('Per Line'!$C$2:$C$1501,$AH388)&amp;"")</f>
        <v/>
      </c>
      <c r="G388">
        <f>IF($AH388="","",INDEX('Per Line'!$D$2:$D$1501,$AH388)&amp;"")</f>
        <v/>
      </c>
      <c r="H388">
        <f>IF($AH388="","",INDEX('Per Line'!$F$2:$F$1501,$AH388)&amp;"")</f>
        <v/>
      </c>
      <c r="I388" s="14">
        <f>IF($AH388="","",INDEX('Per Line'!$G$2:$G$1501,$AH388))</f>
        <v/>
      </c>
      <c r="J388">
        <f>IF($AH388="","",INDEX('Per Line'!$H$2:$H$1501,$AH388)&amp;"")</f>
        <v/>
      </c>
      <c r="K388">
        <f>IF($AH388="","",INDEX('Per Line'!$J$2:$J$1501,$AH388)&amp;"")</f>
        <v/>
      </c>
      <c r="L388">
        <f>IF($AH388="","",INDEX('Per Line'!$K$2:$K$1501,$AH388)&amp;"")</f>
        <v/>
      </c>
      <c r="M388">
        <f>IF($AH388="","",INDEX('Per Line'!$L$2:$L$1501,$AH388)&amp;"")</f>
        <v/>
      </c>
      <c r="N388">
        <f>IF($AH388="","",INDEX('Per Line'!$M$2:$M$1501,$AH388)&amp;"")</f>
        <v/>
      </c>
      <c r="O388">
        <f>IF($AH388="","",INDEX('Per Line'!$P$2:$P$1501,$AH388))</f>
        <v/>
      </c>
      <c r="P388" s="7">
        <f>IF($AH388="","",O388*AD388/100)</f>
        <v/>
      </c>
      <c r="Q388">
        <f>IF($AH388="","",INDEX('Per Line'!$R$2:$R$1501,$AH388)&amp;"")</f>
        <v/>
      </c>
      <c r="R388">
        <f>IF($AH388="","",INDEX('Per Line'!$AB$2:$AB$1501,$AH388)&amp;"")</f>
        <v/>
      </c>
      <c r="S388">
        <f>IF($AH388="","",Settings!$C$8)</f>
        <v/>
      </c>
      <c r="T388" s="7">
        <f>IF($AH388="","",SUMIFS('Per Line'!$Z$2:$Z$1501,'Per Line'!$E$2:$E$1501,$B388,'Per Line'!$AT$2:$AT$1501,1))</f>
        <v/>
      </c>
      <c r="U388" s="7">
        <f>IF($AH388="","",T388*S388)</f>
        <v/>
      </c>
      <c r="V388">
        <f>IF($AH388="","",Settings!$C$7)</f>
        <v/>
      </c>
      <c r="W388" s="7">
        <f>IF($AH388="","",SUMIFS('Per Line'!$Z$2:$Z$1501,'Per Line'!$E$2:$E$1501,$B388,'Per Line'!$AS$2:$AS$1501,0,'Per Line'!$AT$2:$AT$1501,0))</f>
        <v/>
      </c>
      <c r="X388" s="7">
        <f>IF($AH388="","",W388*V388)</f>
        <v/>
      </c>
      <c r="Y388">
        <f>IF($AH388="","",Settings!$C$6)</f>
        <v/>
      </c>
      <c r="Z388" s="7">
        <f>IF($AH388="","",SUMIFS('Per Line'!$Z$2:$Z$1501,'Per Line'!$E$2:$E$1501,$B388,'Per Line'!$AS$2:$AS$1501,1,'Per Line'!$AT$2:$AT$1501,0))</f>
        <v/>
      </c>
      <c r="AA388" s="7">
        <f>IF($AH388="","",Z388*Y388)</f>
        <v/>
      </c>
      <c r="AB388" s="7">
        <f>IF($AH388="","",AA388+X388+U388)</f>
        <v/>
      </c>
      <c r="AC388" s="7">
        <f>IF($AH388="","",AD388-AB388)</f>
        <v/>
      </c>
      <c r="AD388" s="7">
        <f>IF($AH388="","",W388+Z388+T388)</f>
        <v/>
      </c>
      <c r="AE388" s="7">
        <f>IF($AH388="","",AD388-AB388-P388)</f>
        <v/>
      </c>
      <c r="AF388" s="15" t="n"/>
      <c r="AG388" s="7">
        <f>IF($AH388="","",AE388-N(AF388))</f>
        <v/>
      </c>
      <c r="AH388" s="16">
        <f>IF(ROWS($AH$2:$AH388)&lt;=MAX('Per Line'!$AR$2:$AR$1501),MATCH(ROWS($AH$2:$AH388),'Per Line'!$AR$2:$AR$1501,0),"")</f>
        <v/>
      </c>
      <c r="AI388">
        <f>IF($AH388="","",C388&amp;"|"&amp;COUNTIF($C$2:$C388,C388))</f>
        <v/>
      </c>
    </row>
    <row r="389">
      <c r="A389" s="15" t="n"/>
      <c r="B389">
        <f>IF($AH389="","",INDEX('Per Line'!$E$2:$E$1501,$AH389)&amp;"")</f>
        <v/>
      </c>
      <c r="C389">
        <f>IF($AH389="","",IF(INDEX('Per Line'!$AP$2:$AP$1501,$AH389)="NOT MATCH","NOT MATCH","FULL MATCH"))</f>
        <v/>
      </c>
      <c r="D389">
        <f>IF($AH389="","",INDEX('Per Line'!$A$2:$A$1501,$AH389)&amp;"")</f>
        <v/>
      </c>
      <c r="E389">
        <f>IF($AH389="","",INDEX('Per Line'!$B$2:$B$1501,$AH389))</f>
        <v/>
      </c>
      <c r="F389">
        <f>IF($AH389="","",INDEX('Per Line'!$C$2:$C$1501,$AH389)&amp;"")</f>
        <v/>
      </c>
      <c r="G389">
        <f>IF($AH389="","",INDEX('Per Line'!$D$2:$D$1501,$AH389)&amp;"")</f>
        <v/>
      </c>
      <c r="H389">
        <f>IF($AH389="","",INDEX('Per Line'!$F$2:$F$1501,$AH389)&amp;"")</f>
        <v/>
      </c>
      <c r="I389" s="14">
        <f>IF($AH389="","",INDEX('Per Line'!$G$2:$G$1501,$AH389))</f>
        <v/>
      </c>
      <c r="J389">
        <f>IF($AH389="","",INDEX('Per Line'!$H$2:$H$1501,$AH389)&amp;"")</f>
        <v/>
      </c>
      <c r="K389">
        <f>IF($AH389="","",INDEX('Per Line'!$J$2:$J$1501,$AH389)&amp;"")</f>
        <v/>
      </c>
      <c r="L389">
        <f>IF($AH389="","",INDEX('Per Line'!$K$2:$K$1501,$AH389)&amp;"")</f>
        <v/>
      </c>
      <c r="M389">
        <f>IF($AH389="","",INDEX('Per Line'!$L$2:$L$1501,$AH389)&amp;"")</f>
        <v/>
      </c>
      <c r="N389">
        <f>IF($AH389="","",INDEX('Per Line'!$M$2:$M$1501,$AH389)&amp;"")</f>
        <v/>
      </c>
      <c r="O389">
        <f>IF($AH389="","",INDEX('Per Line'!$P$2:$P$1501,$AH389))</f>
        <v/>
      </c>
      <c r="P389" s="7">
        <f>IF($AH389="","",O389*AD389/100)</f>
        <v/>
      </c>
      <c r="Q389">
        <f>IF($AH389="","",INDEX('Per Line'!$R$2:$R$1501,$AH389)&amp;"")</f>
        <v/>
      </c>
      <c r="R389">
        <f>IF($AH389="","",INDEX('Per Line'!$AB$2:$AB$1501,$AH389)&amp;"")</f>
        <v/>
      </c>
      <c r="S389">
        <f>IF($AH389="","",Settings!$C$8)</f>
        <v/>
      </c>
      <c r="T389" s="7">
        <f>IF($AH389="","",SUMIFS('Per Line'!$Z$2:$Z$1501,'Per Line'!$E$2:$E$1501,$B389,'Per Line'!$AT$2:$AT$1501,1))</f>
        <v/>
      </c>
      <c r="U389" s="7">
        <f>IF($AH389="","",T389*S389)</f>
        <v/>
      </c>
      <c r="V389">
        <f>IF($AH389="","",Settings!$C$7)</f>
        <v/>
      </c>
      <c r="W389" s="7">
        <f>IF($AH389="","",SUMIFS('Per Line'!$Z$2:$Z$1501,'Per Line'!$E$2:$E$1501,$B389,'Per Line'!$AS$2:$AS$1501,0,'Per Line'!$AT$2:$AT$1501,0))</f>
        <v/>
      </c>
      <c r="X389" s="7">
        <f>IF($AH389="","",W389*V389)</f>
        <v/>
      </c>
      <c r="Y389">
        <f>IF($AH389="","",Settings!$C$6)</f>
        <v/>
      </c>
      <c r="Z389" s="7">
        <f>IF($AH389="","",SUMIFS('Per Line'!$Z$2:$Z$1501,'Per Line'!$E$2:$E$1501,$B389,'Per Line'!$AS$2:$AS$1501,1,'Per Line'!$AT$2:$AT$1501,0))</f>
        <v/>
      </c>
      <c r="AA389" s="7">
        <f>IF($AH389="","",Z389*Y389)</f>
        <v/>
      </c>
      <c r="AB389" s="7">
        <f>IF($AH389="","",AA389+X389+U389)</f>
        <v/>
      </c>
      <c r="AC389" s="7">
        <f>IF($AH389="","",AD389-AB389)</f>
        <v/>
      </c>
      <c r="AD389" s="7">
        <f>IF($AH389="","",W389+Z389+T389)</f>
        <v/>
      </c>
      <c r="AE389" s="7">
        <f>IF($AH389="","",AD389-AB389-P389)</f>
        <v/>
      </c>
      <c r="AF389" s="15" t="n"/>
      <c r="AG389" s="7">
        <f>IF($AH389="","",AE389-N(AF389))</f>
        <v/>
      </c>
      <c r="AH389" s="16">
        <f>IF(ROWS($AH$2:$AH389)&lt;=MAX('Per Line'!$AR$2:$AR$1501),MATCH(ROWS($AH$2:$AH389),'Per Line'!$AR$2:$AR$1501,0),"")</f>
        <v/>
      </c>
      <c r="AI389">
        <f>IF($AH389="","",C389&amp;"|"&amp;COUNTIF($C$2:$C389,C389))</f>
        <v/>
      </c>
    </row>
    <row r="390">
      <c r="A390" s="15" t="n"/>
      <c r="B390">
        <f>IF($AH390="","",INDEX('Per Line'!$E$2:$E$1501,$AH390)&amp;"")</f>
        <v/>
      </c>
      <c r="C390">
        <f>IF($AH390="","",IF(INDEX('Per Line'!$AP$2:$AP$1501,$AH390)="NOT MATCH","NOT MATCH","FULL MATCH"))</f>
        <v/>
      </c>
      <c r="D390">
        <f>IF($AH390="","",INDEX('Per Line'!$A$2:$A$1501,$AH390)&amp;"")</f>
        <v/>
      </c>
      <c r="E390">
        <f>IF($AH390="","",INDEX('Per Line'!$B$2:$B$1501,$AH390))</f>
        <v/>
      </c>
      <c r="F390">
        <f>IF($AH390="","",INDEX('Per Line'!$C$2:$C$1501,$AH390)&amp;"")</f>
        <v/>
      </c>
      <c r="G390">
        <f>IF($AH390="","",INDEX('Per Line'!$D$2:$D$1501,$AH390)&amp;"")</f>
        <v/>
      </c>
      <c r="H390">
        <f>IF($AH390="","",INDEX('Per Line'!$F$2:$F$1501,$AH390)&amp;"")</f>
        <v/>
      </c>
      <c r="I390" s="14">
        <f>IF($AH390="","",INDEX('Per Line'!$G$2:$G$1501,$AH390))</f>
        <v/>
      </c>
      <c r="J390">
        <f>IF($AH390="","",INDEX('Per Line'!$H$2:$H$1501,$AH390)&amp;"")</f>
        <v/>
      </c>
      <c r="K390">
        <f>IF($AH390="","",INDEX('Per Line'!$J$2:$J$1501,$AH390)&amp;"")</f>
        <v/>
      </c>
      <c r="L390">
        <f>IF($AH390="","",INDEX('Per Line'!$K$2:$K$1501,$AH390)&amp;"")</f>
        <v/>
      </c>
      <c r="M390">
        <f>IF($AH390="","",INDEX('Per Line'!$L$2:$L$1501,$AH390)&amp;"")</f>
        <v/>
      </c>
      <c r="N390">
        <f>IF($AH390="","",INDEX('Per Line'!$M$2:$M$1501,$AH390)&amp;"")</f>
        <v/>
      </c>
      <c r="O390">
        <f>IF($AH390="","",INDEX('Per Line'!$P$2:$P$1501,$AH390))</f>
        <v/>
      </c>
      <c r="P390" s="7">
        <f>IF($AH390="","",O390*AD390/100)</f>
        <v/>
      </c>
      <c r="Q390">
        <f>IF($AH390="","",INDEX('Per Line'!$R$2:$R$1501,$AH390)&amp;"")</f>
        <v/>
      </c>
      <c r="R390">
        <f>IF($AH390="","",INDEX('Per Line'!$AB$2:$AB$1501,$AH390)&amp;"")</f>
        <v/>
      </c>
      <c r="S390">
        <f>IF($AH390="","",Settings!$C$8)</f>
        <v/>
      </c>
      <c r="T390" s="7">
        <f>IF($AH390="","",SUMIFS('Per Line'!$Z$2:$Z$1501,'Per Line'!$E$2:$E$1501,$B390,'Per Line'!$AT$2:$AT$1501,1))</f>
        <v/>
      </c>
      <c r="U390" s="7">
        <f>IF($AH390="","",T390*S390)</f>
        <v/>
      </c>
      <c r="V390">
        <f>IF($AH390="","",Settings!$C$7)</f>
        <v/>
      </c>
      <c r="W390" s="7">
        <f>IF($AH390="","",SUMIFS('Per Line'!$Z$2:$Z$1501,'Per Line'!$E$2:$E$1501,$B390,'Per Line'!$AS$2:$AS$1501,0,'Per Line'!$AT$2:$AT$1501,0))</f>
        <v/>
      </c>
      <c r="X390" s="7">
        <f>IF($AH390="","",W390*V390)</f>
        <v/>
      </c>
      <c r="Y390">
        <f>IF($AH390="","",Settings!$C$6)</f>
        <v/>
      </c>
      <c r="Z390" s="7">
        <f>IF($AH390="","",SUMIFS('Per Line'!$Z$2:$Z$1501,'Per Line'!$E$2:$E$1501,$B390,'Per Line'!$AS$2:$AS$1501,1,'Per Line'!$AT$2:$AT$1501,0))</f>
        <v/>
      </c>
      <c r="AA390" s="7">
        <f>IF($AH390="","",Z390*Y390)</f>
        <v/>
      </c>
      <c r="AB390" s="7">
        <f>IF($AH390="","",AA390+X390+U390)</f>
        <v/>
      </c>
      <c r="AC390" s="7">
        <f>IF($AH390="","",AD390-AB390)</f>
        <v/>
      </c>
      <c r="AD390" s="7">
        <f>IF($AH390="","",W390+Z390+T390)</f>
        <v/>
      </c>
      <c r="AE390" s="7">
        <f>IF($AH390="","",AD390-AB390-P390)</f>
        <v/>
      </c>
      <c r="AF390" s="15" t="n"/>
      <c r="AG390" s="7">
        <f>IF($AH390="","",AE390-N(AF390))</f>
        <v/>
      </c>
      <c r="AH390" s="16">
        <f>IF(ROWS($AH$2:$AH390)&lt;=MAX('Per Line'!$AR$2:$AR$1501),MATCH(ROWS($AH$2:$AH390),'Per Line'!$AR$2:$AR$1501,0),"")</f>
        <v/>
      </c>
      <c r="AI390">
        <f>IF($AH390="","",C390&amp;"|"&amp;COUNTIF($C$2:$C390,C390))</f>
        <v/>
      </c>
    </row>
    <row r="391">
      <c r="A391" s="15" t="n"/>
      <c r="B391">
        <f>IF($AH391="","",INDEX('Per Line'!$E$2:$E$1501,$AH391)&amp;"")</f>
        <v/>
      </c>
      <c r="C391">
        <f>IF($AH391="","",IF(INDEX('Per Line'!$AP$2:$AP$1501,$AH391)="NOT MATCH","NOT MATCH","FULL MATCH"))</f>
        <v/>
      </c>
      <c r="D391">
        <f>IF($AH391="","",INDEX('Per Line'!$A$2:$A$1501,$AH391)&amp;"")</f>
        <v/>
      </c>
      <c r="E391">
        <f>IF($AH391="","",INDEX('Per Line'!$B$2:$B$1501,$AH391))</f>
        <v/>
      </c>
      <c r="F391">
        <f>IF($AH391="","",INDEX('Per Line'!$C$2:$C$1501,$AH391)&amp;"")</f>
        <v/>
      </c>
      <c r="G391">
        <f>IF($AH391="","",INDEX('Per Line'!$D$2:$D$1501,$AH391)&amp;"")</f>
        <v/>
      </c>
      <c r="H391">
        <f>IF($AH391="","",INDEX('Per Line'!$F$2:$F$1501,$AH391)&amp;"")</f>
        <v/>
      </c>
      <c r="I391" s="14">
        <f>IF($AH391="","",INDEX('Per Line'!$G$2:$G$1501,$AH391))</f>
        <v/>
      </c>
      <c r="J391">
        <f>IF($AH391="","",INDEX('Per Line'!$H$2:$H$1501,$AH391)&amp;"")</f>
        <v/>
      </c>
      <c r="K391">
        <f>IF($AH391="","",INDEX('Per Line'!$J$2:$J$1501,$AH391)&amp;"")</f>
        <v/>
      </c>
      <c r="L391">
        <f>IF($AH391="","",INDEX('Per Line'!$K$2:$K$1501,$AH391)&amp;"")</f>
        <v/>
      </c>
      <c r="M391">
        <f>IF($AH391="","",INDEX('Per Line'!$L$2:$L$1501,$AH391)&amp;"")</f>
        <v/>
      </c>
      <c r="N391">
        <f>IF($AH391="","",INDEX('Per Line'!$M$2:$M$1501,$AH391)&amp;"")</f>
        <v/>
      </c>
      <c r="O391">
        <f>IF($AH391="","",INDEX('Per Line'!$P$2:$P$1501,$AH391))</f>
        <v/>
      </c>
      <c r="P391" s="7">
        <f>IF($AH391="","",O391*AD391/100)</f>
        <v/>
      </c>
      <c r="Q391">
        <f>IF($AH391="","",INDEX('Per Line'!$R$2:$R$1501,$AH391)&amp;"")</f>
        <v/>
      </c>
      <c r="R391">
        <f>IF($AH391="","",INDEX('Per Line'!$AB$2:$AB$1501,$AH391)&amp;"")</f>
        <v/>
      </c>
      <c r="S391">
        <f>IF($AH391="","",Settings!$C$8)</f>
        <v/>
      </c>
      <c r="T391" s="7">
        <f>IF($AH391="","",SUMIFS('Per Line'!$Z$2:$Z$1501,'Per Line'!$E$2:$E$1501,$B391,'Per Line'!$AT$2:$AT$1501,1))</f>
        <v/>
      </c>
      <c r="U391" s="7">
        <f>IF($AH391="","",T391*S391)</f>
        <v/>
      </c>
      <c r="V391">
        <f>IF($AH391="","",Settings!$C$7)</f>
        <v/>
      </c>
      <c r="W391" s="7">
        <f>IF($AH391="","",SUMIFS('Per Line'!$Z$2:$Z$1501,'Per Line'!$E$2:$E$1501,$B391,'Per Line'!$AS$2:$AS$1501,0,'Per Line'!$AT$2:$AT$1501,0))</f>
        <v/>
      </c>
      <c r="X391" s="7">
        <f>IF($AH391="","",W391*V391)</f>
        <v/>
      </c>
      <c r="Y391">
        <f>IF($AH391="","",Settings!$C$6)</f>
        <v/>
      </c>
      <c r="Z391" s="7">
        <f>IF($AH391="","",SUMIFS('Per Line'!$Z$2:$Z$1501,'Per Line'!$E$2:$E$1501,$B391,'Per Line'!$AS$2:$AS$1501,1,'Per Line'!$AT$2:$AT$1501,0))</f>
        <v/>
      </c>
      <c r="AA391" s="7">
        <f>IF($AH391="","",Z391*Y391)</f>
        <v/>
      </c>
      <c r="AB391" s="7">
        <f>IF($AH391="","",AA391+X391+U391)</f>
        <v/>
      </c>
      <c r="AC391" s="7">
        <f>IF($AH391="","",AD391-AB391)</f>
        <v/>
      </c>
      <c r="AD391" s="7">
        <f>IF($AH391="","",W391+Z391+T391)</f>
        <v/>
      </c>
      <c r="AE391" s="7">
        <f>IF($AH391="","",AD391-AB391-P391)</f>
        <v/>
      </c>
      <c r="AF391" s="15" t="n"/>
      <c r="AG391" s="7">
        <f>IF($AH391="","",AE391-N(AF391))</f>
        <v/>
      </c>
      <c r="AH391" s="16">
        <f>IF(ROWS($AH$2:$AH391)&lt;=MAX('Per Line'!$AR$2:$AR$1501),MATCH(ROWS($AH$2:$AH391),'Per Line'!$AR$2:$AR$1501,0),"")</f>
        <v/>
      </c>
      <c r="AI391">
        <f>IF($AH391="","",C391&amp;"|"&amp;COUNTIF($C$2:$C391,C391))</f>
        <v/>
      </c>
    </row>
    <row r="392">
      <c r="A392" s="15" t="n"/>
      <c r="B392">
        <f>IF($AH392="","",INDEX('Per Line'!$E$2:$E$1501,$AH392)&amp;"")</f>
        <v/>
      </c>
      <c r="C392">
        <f>IF($AH392="","",IF(INDEX('Per Line'!$AP$2:$AP$1501,$AH392)="NOT MATCH","NOT MATCH","FULL MATCH"))</f>
        <v/>
      </c>
      <c r="D392">
        <f>IF($AH392="","",INDEX('Per Line'!$A$2:$A$1501,$AH392)&amp;"")</f>
        <v/>
      </c>
      <c r="E392">
        <f>IF($AH392="","",INDEX('Per Line'!$B$2:$B$1501,$AH392))</f>
        <v/>
      </c>
      <c r="F392">
        <f>IF($AH392="","",INDEX('Per Line'!$C$2:$C$1501,$AH392)&amp;"")</f>
        <v/>
      </c>
      <c r="G392">
        <f>IF($AH392="","",INDEX('Per Line'!$D$2:$D$1501,$AH392)&amp;"")</f>
        <v/>
      </c>
      <c r="H392">
        <f>IF($AH392="","",INDEX('Per Line'!$F$2:$F$1501,$AH392)&amp;"")</f>
        <v/>
      </c>
      <c r="I392" s="14">
        <f>IF($AH392="","",INDEX('Per Line'!$G$2:$G$1501,$AH392))</f>
        <v/>
      </c>
      <c r="J392">
        <f>IF($AH392="","",INDEX('Per Line'!$H$2:$H$1501,$AH392)&amp;"")</f>
        <v/>
      </c>
      <c r="K392">
        <f>IF($AH392="","",INDEX('Per Line'!$J$2:$J$1501,$AH392)&amp;"")</f>
        <v/>
      </c>
      <c r="L392">
        <f>IF($AH392="","",INDEX('Per Line'!$K$2:$K$1501,$AH392)&amp;"")</f>
        <v/>
      </c>
      <c r="M392">
        <f>IF($AH392="","",INDEX('Per Line'!$L$2:$L$1501,$AH392)&amp;"")</f>
        <v/>
      </c>
      <c r="N392">
        <f>IF($AH392="","",INDEX('Per Line'!$M$2:$M$1501,$AH392)&amp;"")</f>
        <v/>
      </c>
      <c r="O392">
        <f>IF($AH392="","",INDEX('Per Line'!$P$2:$P$1501,$AH392))</f>
        <v/>
      </c>
      <c r="P392" s="7">
        <f>IF($AH392="","",O392*AD392/100)</f>
        <v/>
      </c>
      <c r="Q392">
        <f>IF($AH392="","",INDEX('Per Line'!$R$2:$R$1501,$AH392)&amp;"")</f>
        <v/>
      </c>
      <c r="R392">
        <f>IF($AH392="","",INDEX('Per Line'!$AB$2:$AB$1501,$AH392)&amp;"")</f>
        <v/>
      </c>
      <c r="S392">
        <f>IF($AH392="","",Settings!$C$8)</f>
        <v/>
      </c>
      <c r="T392" s="7">
        <f>IF($AH392="","",SUMIFS('Per Line'!$Z$2:$Z$1501,'Per Line'!$E$2:$E$1501,$B392,'Per Line'!$AT$2:$AT$1501,1))</f>
        <v/>
      </c>
      <c r="U392" s="7">
        <f>IF($AH392="","",T392*S392)</f>
        <v/>
      </c>
      <c r="V392">
        <f>IF($AH392="","",Settings!$C$7)</f>
        <v/>
      </c>
      <c r="W392" s="7">
        <f>IF($AH392="","",SUMIFS('Per Line'!$Z$2:$Z$1501,'Per Line'!$E$2:$E$1501,$B392,'Per Line'!$AS$2:$AS$1501,0,'Per Line'!$AT$2:$AT$1501,0))</f>
        <v/>
      </c>
      <c r="X392" s="7">
        <f>IF($AH392="","",W392*V392)</f>
        <v/>
      </c>
      <c r="Y392">
        <f>IF($AH392="","",Settings!$C$6)</f>
        <v/>
      </c>
      <c r="Z392" s="7">
        <f>IF($AH392="","",SUMIFS('Per Line'!$Z$2:$Z$1501,'Per Line'!$E$2:$E$1501,$B392,'Per Line'!$AS$2:$AS$1501,1,'Per Line'!$AT$2:$AT$1501,0))</f>
        <v/>
      </c>
      <c r="AA392" s="7">
        <f>IF($AH392="","",Z392*Y392)</f>
        <v/>
      </c>
      <c r="AB392" s="7">
        <f>IF($AH392="","",AA392+X392+U392)</f>
        <v/>
      </c>
      <c r="AC392" s="7">
        <f>IF($AH392="","",AD392-AB392)</f>
        <v/>
      </c>
      <c r="AD392" s="7">
        <f>IF($AH392="","",W392+Z392+T392)</f>
        <v/>
      </c>
      <c r="AE392" s="7">
        <f>IF($AH392="","",AD392-AB392-P392)</f>
        <v/>
      </c>
      <c r="AF392" s="15" t="n"/>
      <c r="AG392" s="7">
        <f>IF($AH392="","",AE392-N(AF392))</f>
        <v/>
      </c>
      <c r="AH392" s="16">
        <f>IF(ROWS($AH$2:$AH392)&lt;=MAX('Per Line'!$AR$2:$AR$1501),MATCH(ROWS($AH$2:$AH392),'Per Line'!$AR$2:$AR$1501,0),"")</f>
        <v/>
      </c>
      <c r="AI392">
        <f>IF($AH392="","",C392&amp;"|"&amp;COUNTIF($C$2:$C392,C392))</f>
        <v/>
      </c>
    </row>
    <row r="393">
      <c r="A393" s="15" t="n"/>
      <c r="B393">
        <f>IF($AH393="","",INDEX('Per Line'!$E$2:$E$1501,$AH393)&amp;"")</f>
        <v/>
      </c>
      <c r="C393">
        <f>IF($AH393="","",IF(INDEX('Per Line'!$AP$2:$AP$1501,$AH393)="NOT MATCH","NOT MATCH","FULL MATCH"))</f>
        <v/>
      </c>
      <c r="D393">
        <f>IF($AH393="","",INDEX('Per Line'!$A$2:$A$1501,$AH393)&amp;"")</f>
        <v/>
      </c>
      <c r="E393">
        <f>IF($AH393="","",INDEX('Per Line'!$B$2:$B$1501,$AH393))</f>
        <v/>
      </c>
      <c r="F393">
        <f>IF($AH393="","",INDEX('Per Line'!$C$2:$C$1501,$AH393)&amp;"")</f>
        <v/>
      </c>
      <c r="G393">
        <f>IF($AH393="","",INDEX('Per Line'!$D$2:$D$1501,$AH393)&amp;"")</f>
        <v/>
      </c>
      <c r="H393">
        <f>IF($AH393="","",INDEX('Per Line'!$F$2:$F$1501,$AH393)&amp;"")</f>
        <v/>
      </c>
      <c r="I393" s="14">
        <f>IF($AH393="","",INDEX('Per Line'!$G$2:$G$1501,$AH393))</f>
        <v/>
      </c>
      <c r="J393">
        <f>IF($AH393="","",INDEX('Per Line'!$H$2:$H$1501,$AH393)&amp;"")</f>
        <v/>
      </c>
      <c r="K393">
        <f>IF($AH393="","",INDEX('Per Line'!$J$2:$J$1501,$AH393)&amp;"")</f>
        <v/>
      </c>
      <c r="L393">
        <f>IF($AH393="","",INDEX('Per Line'!$K$2:$K$1501,$AH393)&amp;"")</f>
        <v/>
      </c>
      <c r="M393">
        <f>IF($AH393="","",INDEX('Per Line'!$L$2:$L$1501,$AH393)&amp;"")</f>
        <v/>
      </c>
      <c r="N393">
        <f>IF($AH393="","",INDEX('Per Line'!$M$2:$M$1501,$AH393)&amp;"")</f>
        <v/>
      </c>
      <c r="O393">
        <f>IF($AH393="","",INDEX('Per Line'!$P$2:$P$1501,$AH393))</f>
        <v/>
      </c>
      <c r="P393" s="7">
        <f>IF($AH393="","",O393*AD393/100)</f>
        <v/>
      </c>
      <c r="Q393">
        <f>IF($AH393="","",INDEX('Per Line'!$R$2:$R$1501,$AH393)&amp;"")</f>
        <v/>
      </c>
      <c r="R393">
        <f>IF($AH393="","",INDEX('Per Line'!$AB$2:$AB$1501,$AH393)&amp;"")</f>
        <v/>
      </c>
      <c r="S393">
        <f>IF($AH393="","",Settings!$C$8)</f>
        <v/>
      </c>
      <c r="T393" s="7">
        <f>IF($AH393="","",SUMIFS('Per Line'!$Z$2:$Z$1501,'Per Line'!$E$2:$E$1501,$B393,'Per Line'!$AT$2:$AT$1501,1))</f>
        <v/>
      </c>
      <c r="U393" s="7">
        <f>IF($AH393="","",T393*S393)</f>
        <v/>
      </c>
      <c r="V393">
        <f>IF($AH393="","",Settings!$C$7)</f>
        <v/>
      </c>
      <c r="W393" s="7">
        <f>IF($AH393="","",SUMIFS('Per Line'!$Z$2:$Z$1501,'Per Line'!$E$2:$E$1501,$B393,'Per Line'!$AS$2:$AS$1501,0,'Per Line'!$AT$2:$AT$1501,0))</f>
        <v/>
      </c>
      <c r="X393" s="7">
        <f>IF($AH393="","",W393*V393)</f>
        <v/>
      </c>
      <c r="Y393">
        <f>IF($AH393="","",Settings!$C$6)</f>
        <v/>
      </c>
      <c r="Z393" s="7">
        <f>IF($AH393="","",SUMIFS('Per Line'!$Z$2:$Z$1501,'Per Line'!$E$2:$E$1501,$B393,'Per Line'!$AS$2:$AS$1501,1,'Per Line'!$AT$2:$AT$1501,0))</f>
        <v/>
      </c>
      <c r="AA393" s="7">
        <f>IF($AH393="","",Z393*Y393)</f>
        <v/>
      </c>
      <c r="AB393" s="7">
        <f>IF($AH393="","",AA393+X393+U393)</f>
        <v/>
      </c>
      <c r="AC393" s="7">
        <f>IF($AH393="","",AD393-AB393)</f>
        <v/>
      </c>
      <c r="AD393" s="7">
        <f>IF($AH393="","",W393+Z393+T393)</f>
        <v/>
      </c>
      <c r="AE393" s="7">
        <f>IF($AH393="","",AD393-AB393-P393)</f>
        <v/>
      </c>
      <c r="AF393" s="15" t="n"/>
      <c r="AG393" s="7">
        <f>IF($AH393="","",AE393-N(AF393))</f>
        <v/>
      </c>
      <c r="AH393" s="16">
        <f>IF(ROWS($AH$2:$AH393)&lt;=MAX('Per Line'!$AR$2:$AR$1501),MATCH(ROWS($AH$2:$AH393),'Per Line'!$AR$2:$AR$1501,0),"")</f>
        <v/>
      </c>
      <c r="AI393">
        <f>IF($AH393="","",C393&amp;"|"&amp;COUNTIF($C$2:$C393,C393))</f>
        <v/>
      </c>
    </row>
    <row r="394">
      <c r="A394" s="15" t="n"/>
      <c r="B394">
        <f>IF($AH394="","",INDEX('Per Line'!$E$2:$E$1501,$AH394)&amp;"")</f>
        <v/>
      </c>
      <c r="C394">
        <f>IF($AH394="","",IF(INDEX('Per Line'!$AP$2:$AP$1501,$AH394)="NOT MATCH","NOT MATCH","FULL MATCH"))</f>
        <v/>
      </c>
      <c r="D394">
        <f>IF($AH394="","",INDEX('Per Line'!$A$2:$A$1501,$AH394)&amp;"")</f>
        <v/>
      </c>
      <c r="E394">
        <f>IF($AH394="","",INDEX('Per Line'!$B$2:$B$1501,$AH394))</f>
        <v/>
      </c>
      <c r="F394">
        <f>IF($AH394="","",INDEX('Per Line'!$C$2:$C$1501,$AH394)&amp;"")</f>
        <v/>
      </c>
      <c r="G394">
        <f>IF($AH394="","",INDEX('Per Line'!$D$2:$D$1501,$AH394)&amp;"")</f>
        <v/>
      </c>
      <c r="H394">
        <f>IF($AH394="","",INDEX('Per Line'!$F$2:$F$1501,$AH394)&amp;"")</f>
        <v/>
      </c>
      <c r="I394" s="14">
        <f>IF($AH394="","",INDEX('Per Line'!$G$2:$G$1501,$AH394))</f>
        <v/>
      </c>
      <c r="J394">
        <f>IF($AH394="","",INDEX('Per Line'!$H$2:$H$1501,$AH394)&amp;"")</f>
        <v/>
      </c>
      <c r="K394">
        <f>IF($AH394="","",INDEX('Per Line'!$J$2:$J$1501,$AH394)&amp;"")</f>
        <v/>
      </c>
      <c r="L394">
        <f>IF($AH394="","",INDEX('Per Line'!$K$2:$K$1501,$AH394)&amp;"")</f>
        <v/>
      </c>
      <c r="M394">
        <f>IF($AH394="","",INDEX('Per Line'!$L$2:$L$1501,$AH394)&amp;"")</f>
        <v/>
      </c>
      <c r="N394">
        <f>IF($AH394="","",INDEX('Per Line'!$M$2:$M$1501,$AH394)&amp;"")</f>
        <v/>
      </c>
      <c r="O394">
        <f>IF($AH394="","",INDEX('Per Line'!$P$2:$P$1501,$AH394))</f>
        <v/>
      </c>
      <c r="P394" s="7">
        <f>IF($AH394="","",O394*AD394/100)</f>
        <v/>
      </c>
      <c r="Q394">
        <f>IF($AH394="","",INDEX('Per Line'!$R$2:$R$1501,$AH394)&amp;"")</f>
        <v/>
      </c>
      <c r="R394">
        <f>IF($AH394="","",INDEX('Per Line'!$AB$2:$AB$1501,$AH394)&amp;"")</f>
        <v/>
      </c>
      <c r="S394">
        <f>IF($AH394="","",Settings!$C$8)</f>
        <v/>
      </c>
      <c r="T394" s="7">
        <f>IF($AH394="","",SUMIFS('Per Line'!$Z$2:$Z$1501,'Per Line'!$E$2:$E$1501,$B394,'Per Line'!$AT$2:$AT$1501,1))</f>
        <v/>
      </c>
      <c r="U394" s="7">
        <f>IF($AH394="","",T394*S394)</f>
        <v/>
      </c>
      <c r="V394">
        <f>IF($AH394="","",Settings!$C$7)</f>
        <v/>
      </c>
      <c r="W394" s="7">
        <f>IF($AH394="","",SUMIFS('Per Line'!$Z$2:$Z$1501,'Per Line'!$E$2:$E$1501,$B394,'Per Line'!$AS$2:$AS$1501,0,'Per Line'!$AT$2:$AT$1501,0))</f>
        <v/>
      </c>
      <c r="X394" s="7">
        <f>IF($AH394="","",W394*V394)</f>
        <v/>
      </c>
      <c r="Y394">
        <f>IF($AH394="","",Settings!$C$6)</f>
        <v/>
      </c>
      <c r="Z394" s="7">
        <f>IF($AH394="","",SUMIFS('Per Line'!$Z$2:$Z$1501,'Per Line'!$E$2:$E$1501,$B394,'Per Line'!$AS$2:$AS$1501,1,'Per Line'!$AT$2:$AT$1501,0))</f>
        <v/>
      </c>
      <c r="AA394" s="7">
        <f>IF($AH394="","",Z394*Y394)</f>
        <v/>
      </c>
      <c r="AB394" s="7">
        <f>IF($AH394="","",AA394+X394+U394)</f>
        <v/>
      </c>
      <c r="AC394" s="7">
        <f>IF($AH394="","",AD394-AB394)</f>
        <v/>
      </c>
      <c r="AD394" s="7">
        <f>IF($AH394="","",W394+Z394+T394)</f>
        <v/>
      </c>
      <c r="AE394" s="7">
        <f>IF($AH394="","",AD394-AB394-P394)</f>
        <v/>
      </c>
      <c r="AF394" s="15" t="n"/>
      <c r="AG394" s="7">
        <f>IF($AH394="","",AE394-N(AF394))</f>
        <v/>
      </c>
      <c r="AH394" s="16">
        <f>IF(ROWS($AH$2:$AH394)&lt;=MAX('Per Line'!$AR$2:$AR$1501),MATCH(ROWS($AH$2:$AH394),'Per Line'!$AR$2:$AR$1501,0),"")</f>
        <v/>
      </c>
      <c r="AI394">
        <f>IF($AH394="","",C394&amp;"|"&amp;COUNTIF($C$2:$C394,C394))</f>
        <v/>
      </c>
    </row>
    <row r="395">
      <c r="A395" s="15" t="n"/>
      <c r="B395">
        <f>IF($AH395="","",INDEX('Per Line'!$E$2:$E$1501,$AH395)&amp;"")</f>
        <v/>
      </c>
      <c r="C395">
        <f>IF($AH395="","",IF(INDEX('Per Line'!$AP$2:$AP$1501,$AH395)="NOT MATCH","NOT MATCH","FULL MATCH"))</f>
        <v/>
      </c>
      <c r="D395">
        <f>IF($AH395="","",INDEX('Per Line'!$A$2:$A$1501,$AH395)&amp;"")</f>
        <v/>
      </c>
      <c r="E395">
        <f>IF($AH395="","",INDEX('Per Line'!$B$2:$B$1501,$AH395))</f>
        <v/>
      </c>
      <c r="F395">
        <f>IF($AH395="","",INDEX('Per Line'!$C$2:$C$1501,$AH395)&amp;"")</f>
        <v/>
      </c>
      <c r="G395">
        <f>IF($AH395="","",INDEX('Per Line'!$D$2:$D$1501,$AH395)&amp;"")</f>
        <v/>
      </c>
      <c r="H395">
        <f>IF($AH395="","",INDEX('Per Line'!$F$2:$F$1501,$AH395)&amp;"")</f>
        <v/>
      </c>
      <c r="I395" s="14">
        <f>IF($AH395="","",INDEX('Per Line'!$G$2:$G$1501,$AH395))</f>
        <v/>
      </c>
      <c r="J395">
        <f>IF($AH395="","",INDEX('Per Line'!$H$2:$H$1501,$AH395)&amp;"")</f>
        <v/>
      </c>
      <c r="K395">
        <f>IF($AH395="","",INDEX('Per Line'!$J$2:$J$1501,$AH395)&amp;"")</f>
        <v/>
      </c>
      <c r="L395">
        <f>IF($AH395="","",INDEX('Per Line'!$K$2:$K$1501,$AH395)&amp;"")</f>
        <v/>
      </c>
      <c r="M395">
        <f>IF($AH395="","",INDEX('Per Line'!$L$2:$L$1501,$AH395)&amp;"")</f>
        <v/>
      </c>
      <c r="N395">
        <f>IF($AH395="","",INDEX('Per Line'!$M$2:$M$1501,$AH395)&amp;"")</f>
        <v/>
      </c>
      <c r="O395">
        <f>IF($AH395="","",INDEX('Per Line'!$P$2:$P$1501,$AH395))</f>
        <v/>
      </c>
      <c r="P395" s="7">
        <f>IF($AH395="","",O395*AD395/100)</f>
        <v/>
      </c>
      <c r="Q395">
        <f>IF($AH395="","",INDEX('Per Line'!$R$2:$R$1501,$AH395)&amp;"")</f>
        <v/>
      </c>
      <c r="R395">
        <f>IF($AH395="","",INDEX('Per Line'!$AB$2:$AB$1501,$AH395)&amp;"")</f>
        <v/>
      </c>
      <c r="S395">
        <f>IF($AH395="","",Settings!$C$8)</f>
        <v/>
      </c>
      <c r="T395" s="7">
        <f>IF($AH395="","",SUMIFS('Per Line'!$Z$2:$Z$1501,'Per Line'!$E$2:$E$1501,$B395,'Per Line'!$AT$2:$AT$1501,1))</f>
        <v/>
      </c>
      <c r="U395" s="7">
        <f>IF($AH395="","",T395*S395)</f>
        <v/>
      </c>
      <c r="V395">
        <f>IF($AH395="","",Settings!$C$7)</f>
        <v/>
      </c>
      <c r="W395" s="7">
        <f>IF($AH395="","",SUMIFS('Per Line'!$Z$2:$Z$1501,'Per Line'!$E$2:$E$1501,$B395,'Per Line'!$AS$2:$AS$1501,0,'Per Line'!$AT$2:$AT$1501,0))</f>
        <v/>
      </c>
      <c r="X395" s="7">
        <f>IF($AH395="","",W395*V395)</f>
        <v/>
      </c>
      <c r="Y395">
        <f>IF($AH395="","",Settings!$C$6)</f>
        <v/>
      </c>
      <c r="Z395" s="7">
        <f>IF($AH395="","",SUMIFS('Per Line'!$Z$2:$Z$1501,'Per Line'!$E$2:$E$1501,$B395,'Per Line'!$AS$2:$AS$1501,1,'Per Line'!$AT$2:$AT$1501,0))</f>
        <v/>
      </c>
      <c r="AA395" s="7">
        <f>IF($AH395="","",Z395*Y395)</f>
        <v/>
      </c>
      <c r="AB395" s="7">
        <f>IF($AH395="","",AA395+X395+U395)</f>
        <v/>
      </c>
      <c r="AC395" s="7">
        <f>IF($AH395="","",AD395-AB395)</f>
        <v/>
      </c>
      <c r="AD395" s="7">
        <f>IF($AH395="","",W395+Z395+T395)</f>
        <v/>
      </c>
      <c r="AE395" s="7">
        <f>IF($AH395="","",AD395-AB395-P395)</f>
        <v/>
      </c>
      <c r="AF395" s="15" t="n"/>
      <c r="AG395" s="7">
        <f>IF($AH395="","",AE395-N(AF395))</f>
        <v/>
      </c>
      <c r="AH395" s="16">
        <f>IF(ROWS($AH$2:$AH395)&lt;=MAX('Per Line'!$AR$2:$AR$1501),MATCH(ROWS($AH$2:$AH395),'Per Line'!$AR$2:$AR$1501,0),"")</f>
        <v/>
      </c>
      <c r="AI395">
        <f>IF($AH395="","",C395&amp;"|"&amp;COUNTIF($C$2:$C395,C395))</f>
        <v/>
      </c>
    </row>
    <row r="396">
      <c r="A396" s="15" t="n"/>
      <c r="B396">
        <f>IF($AH396="","",INDEX('Per Line'!$E$2:$E$1501,$AH396)&amp;"")</f>
        <v/>
      </c>
      <c r="C396">
        <f>IF($AH396="","",IF(INDEX('Per Line'!$AP$2:$AP$1501,$AH396)="NOT MATCH","NOT MATCH","FULL MATCH"))</f>
        <v/>
      </c>
      <c r="D396">
        <f>IF($AH396="","",INDEX('Per Line'!$A$2:$A$1501,$AH396)&amp;"")</f>
        <v/>
      </c>
      <c r="E396">
        <f>IF($AH396="","",INDEX('Per Line'!$B$2:$B$1501,$AH396))</f>
        <v/>
      </c>
      <c r="F396">
        <f>IF($AH396="","",INDEX('Per Line'!$C$2:$C$1501,$AH396)&amp;"")</f>
        <v/>
      </c>
      <c r="G396">
        <f>IF($AH396="","",INDEX('Per Line'!$D$2:$D$1501,$AH396)&amp;"")</f>
        <v/>
      </c>
      <c r="H396">
        <f>IF($AH396="","",INDEX('Per Line'!$F$2:$F$1501,$AH396)&amp;"")</f>
        <v/>
      </c>
      <c r="I396" s="14">
        <f>IF($AH396="","",INDEX('Per Line'!$G$2:$G$1501,$AH396))</f>
        <v/>
      </c>
      <c r="J396">
        <f>IF($AH396="","",INDEX('Per Line'!$H$2:$H$1501,$AH396)&amp;"")</f>
        <v/>
      </c>
      <c r="K396">
        <f>IF($AH396="","",INDEX('Per Line'!$J$2:$J$1501,$AH396)&amp;"")</f>
        <v/>
      </c>
      <c r="L396">
        <f>IF($AH396="","",INDEX('Per Line'!$K$2:$K$1501,$AH396)&amp;"")</f>
        <v/>
      </c>
      <c r="M396">
        <f>IF($AH396="","",INDEX('Per Line'!$L$2:$L$1501,$AH396)&amp;"")</f>
        <v/>
      </c>
      <c r="N396">
        <f>IF($AH396="","",INDEX('Per Line'!$M$2:$M$1501,$AH396)&amp;"")</f>
        <v/>
      </c>
      <c r="O396">
        <f>IF($AH396="","",INDEX('Per Line'!$P$2:$P$1501,$AH396))</f>
        <v/>
      </c>
      <c r="P396" s="7">
        <f>IF($AH396="","",O396*AD396/100)</f>
        <v/>
      </c>
      <c r="Q396">
        <f>IF($AH396="","",INDEX('Per Line'!$R$2:$R$1501,$AH396)&amp;"")</f>
        <v/>
      </c>
      <c r="R396">
        <f>IF($AH396="","",INDEX('Per Line'!$AB$2:$AB$1501,$AH396)&amp;"")</f>
        <v/>
      </c>
      <c r="S396">
        <f>IF($AH396="","",Settings!$C$8)</f>
        <v/>
      </c>
      <c r="T396" s="7">
        <f>IF($AH396="","",SUMIFS('Per Line'!$Z$2:$Z$1501,'Per Line'!$E$2:$E$1501,$B396,'Per Line'!$AT$2:$AT$1501,1))</f>
        <v/>
      </c>
      <c r="U396" s="7">
        <f>IF($AH396="","",T396*S396)</f>
        <v/>
      </c>
      <c r="V396">
        <f>IF($AH396="","",Settings!$C$7)</f>
        <v/>
      </c>
      <c r="W396" s="7">
        <f>IF($AH396="","",SUMIFS('Per Line'!$Z$2:$Z$1501,'Per Line'!$E$2:$E$1501,$B396,'Per Line'!$AS$2:$AS$1501,0,'Per Line'!$AT$2:$AT$1501,0))</f>
        <v/>
      </c>
      <c r="X396" s="7">
        <f>IF($AH396="","",W396*V396)</f>
        <v/>
      </c>
      <c r="Y396">
        <f>IF($AH396="","",Settings!$C$6)</f>
        <v/>
      </c>
      <c r="Z396" s="7">
        <f>IF($AH396="","",SUMIFS('Per Line'!$Z$2:$Z$1501,'Per Line'!$E$2:$E$1501,$B396,'Per Line'!$AS$2:$AS$1501,1,'Per Line'!$AT$2:$AT$1501,0))</f>
        <v/>
      </c>
      <c r="AA396" s="7">
        <f>IF($AH396="","",Z396*Y396)</f>
        <v/>
      </c>
      <c r="AB396" s="7">
        <f>IF($AH396="","",AA396+X396+U396)</f>
        <v/>
      </c>
      <c r="AC396" s="7">
        <f>IF($AH396="","",AD396-AB396)</f>
        <v/>
      </c>
      <c r="AD396" s="7">
        <f>IF($AH396="","",W396+Z396+T396)</f>
        <v/>
      </c>
      <c r="AE396" s="7">
        <f>IF($AH396="","",AD396-AB396-P396)</f>
        <v/>
      </c>
      <c r="AF396" s="15" t="n"/>
      <c r="AG396" s="7">
        <f>IF($AH396="","",AE396-N(AF396))</f>
        <v/>
      </c>
      <c r="AH396" s="16">
        <f>IF(ROWS($AH$2:$AH396)&lt;=MAX('Per Line'!$AR$2:$AR$1501),MATCH(ROWS($AH$2:$AH396),'Per Line'!$AR$2:$AR$1501,0),"")</f>
        <v/>
      </c>
      <c r="AI396">
        <f>IF($AH396="","",C396&amp;"|"&amp;COUNTIF($C$2:$C396,C396))</f>
        <v/>
      </c>
    </row>
    <row r="397">
      <c r="A397" s="15" t="n"/>
      <c r="B397">
        <f>IF($AH397="","",INDEX('Per Line'!$E$2:$E$1501,$AH397)&amp;"")</f>
        <v/>
      </c>
      <c r="C397">
        <f>IF($AH397="","",IF(INDEX('Per Line'!$AP$2:$AP$1501,$AH397)="NOT MATCH","NOT MATCH","FULL MATCH"))</f>
        <v/>
      </c>
      <c r="D397">
        <f>IF($AH397="","",INDEX('Per Line'!$A$2:$A$1501,$AH397)&amp;"")</f>
        <v/>
      </c>
      <c r="E397">
        <f>IF($AH397="","",INDEX('Per Line'!$B$2:$B$1501,$AH397))</f>
        <v/>
      </c>
      <c r="F397">
        <f>IF($AH397="","",INDEX('Per Line'!$C$2:$C$1501,$AH397)&amp;"")</f>
        <v/>
      </c>
      <c r="G397">
        <f>IF($AH397="","",INDEX('Per Line'!$D$2:$D$1501,$AH397)&amp;"")</f>
        <v/>
      </c>
      <c r="H397">
        <f>IF($AH397="","",INDEX('Per Line'!$F$2:$F$1501,$AH397)&amp;"")</f>
        <v/>
      </c>
      <c r="I397" s="14">
        <f>IF($AH397="","",INDEX('Per Line'!$G$2:$G$1501,$AH397))</f>
        <v/>
      </c>
      <c r="J397">
        <f>IF($AH397="","",INDEX('Per Line'!$H$2:$H$1501,$AH397)&amp;"")</f>
        <v/>
      </c>
      <c r="K397">
        <f>IF($AH397="","",INDEX('Per Line'!$J$2:$J$1501,$AH397)&amp;"")</f>
        <v/>
      </c>
      <c r="L397">
        <f>IF($AH397="","",INDEX('Per Line'!$K$2:$K$1501,$AH397)&amp;"")</f>
        <v/>
      </c>
      <c r="M397">
        <f>IF($AH397="","",INDEX('Per Line'!$L$2:$L$1501,$AH397)&amp;"")</f>
        <v/>
      </c>
      <c r="N397">
        <f>IF($AH397="","",INDEX('Per Line'!$M$2:$M$1501,$AH397)&amp;"")</f>
        <v/>
      </c>
      <c r="O397">
        <f>IF($AH397="","",INDEX('Per Line'!$P$2:$P$1501,$AH397))</f>
        <v/>
      </c>
      <c r="P397" s="7">
        <f>IF($AH397="","",O397*AD397/100)</f>
        <v/>
      </c>
      <c r="Q397">
        <f>IF($AH397="","",INDEX('Per Line'!$R$2:$R$1501,$AH397)&amp;"")</f>
        <v/>
      </c>
      <c r="R397">
        <f>IF($AH397="","",INDEX('Per Line'!$AB$2:$AB$1501,$AH397)&amp;"")</f>
        <v/>
      </c>
      <c r="S397">
        <f>IF($AH397="","",Settings!$C$8)</f>
        <v/>
      </c>
      <c r="T397" s="7">
        <f>IF($AH397="","",SUMIFS('Per Line'!$Z$2:$Z$1501,'Per Line'!$E$2:$E$1501,$B397,'Per Line'!$AT$2:$AT$1501,1))</f>
        <v/>
      </c>
      <c r="U397" s="7">
        <f>IF($AH397="","",T397*S397)</f>
        <v/>
      </c>
      <c r="V397">
        <f>IF($AH397="","",Settings!$C$7)</f>
        <v/>
      </c>
      <c r="W397" s="7">
        <f>IF($AH397="","",SUMIFS('Per Line'!$Z$2:$Z$1501,'Per Line'!$E$2:$E$1501,$B397,'Per Line'!$AS$2:$AS$1501,0,'Per Line'!$AT$2:$AT$1501,0))</f>
        <v/>
      </c>
      <c r="X397" s="7">
        <f>IF($AH397="","",W397*V397)</f>
        <v/>
      </c>
      <c r="Y397">
        <f>IF($AH397="","",Settings!$C$6)</f>
        <v/>
      </c>
      <c r="Z397" s="7">
        <f>IF($AH397="","",SUMIFS('Per Line'!$Z$2:$Z$1501,'Per Line'!$E$2:$E$1501,$B397,'Per Line'!$AS$2:$AS$1501,1,'Per Line'!$AT$2:$AT$1501,0))</f>
        <v/>
      </c>
      <c r="AA397" s="7">
        <f>IF($AH397="","",Z397*Y397)</f>
        <v/>
      </c>
      <c r="AB397" s="7">
        <f>IF($AH397="","",AA397+X397+U397)</f>
        <v/>
      </c>
      <c r="AC397" s="7">
        <f>IF($AH397="","",AD397-AB397)</f>
        <v/>
      </c>
      <c r="AD397" s="7">
        <f>IF($AH397="","",W397+Z397+T397)</f>
        <v/>
      </c>
      <c r="AE397" s="7">
        <f>IF($AH397="","",AD397-AB397-P397)</f>
        <v/>
      </c>
      <c r="AF397" s="15" t="n"/>
      <c r="AG397" s="7">
        <f>IF($AH397="","",AE397-N(AF397))</f>
        <v/>
      </c>
      <c r="AH397" s="16">
        <f>IF(ROWS($AH$2:$AH397)&lt;=MAX('Per Line'!$AR$2:$AR$1501),MATCH(ROWS($AH$2:$AH397),'Per Line'!$AR$2:$AR$1501,0),"")</f>
        <v/>
      </c>
      <c r="AI397">
        <f>IF($AH397="","",C397&amp;"|"&amp;COUNTIF($C$2:$C397,C397))</f>
        <v/>
      </c>
    </row>
    <row r="398">
      <c r="A398" s="15" t="n"/>
      <c r="B398">
        <f>IF($AH398="","",INDEX('Per Line'!$E$2:$E$1501,$AH398)&amp;"")</f>
        <v/>
      </c>
      <c r="C398">
        <f>IF($AH398="","",IF(INDEX('Per Line'!$AP$2:$AP$1501,$AH398)="NOT MATCH","NOT MATCH","FULL MATCH"))</f>
        <v/>
      </c>
      <c r="D398">
        <f>IF($AH398="","",INDEX('Per Line'!$A$2:$A$1501,$AH398)&amp;"")</f>
        <v/>
      </c>
      <c r="E398">
        <f>IF($AH398="","",INDEX('Per Line'!$B$2:$B$1501,$AH398))</f>
        <v/>
      </c>
      <c r="F398">
        <f>IF($AH398="","",INDEX('Per Line'!$C$2:$C$1501,$AH398)&amp;"")</f>
        <v/>
      </c>
      <c r="G398">
        <f>IF($AH398="","",INDEX('Per Line'!$D$2:$D$1501,$AH398)&amp;"")</f>
        <v/>
      </c>
      <c r="H398">
        <f>IF($AH398="","",INDEX('Per Line'!$F$2:$F$1501,$AH398)&amp;"")</f>
        <v/>
      </c>
      <c r="I398" s="14">
        <f>IF($AH398="","",INDEX('Per Line'!$G$2:$G$1501,$AH398))</f>
        <v/>
      </c>
      <c r="J398">
        <f>IF($AH398="","",INDEX('Per Line'!$H$2:$H$1501,$AH398)&amp;"")</f>
        <v/>
      </c>
      <c r="K398">
        <f>IF($AH398="","",INDEX('Per Line'!$J$2:$J$1501,$AH398)&amp;"")</f>
        <v/>
      </c>
      <c r="L398">
        <f>IF($AH398="","",INDEX('Per Line'!$K$2:$K$1501,$AH398)&amp;"")</f>
        <v/>
      </c>
      <c r="M398">
        <f>IF($AH398="","",INDEX('Per Line'!$L$2:$L$1501,$AH398)&amp;"")</f>
        <v/>
      </c>
      <c r="N398">
        <f>IF($AH398="","",INDEX('Per Line'!$M$2:$M$1501,$AH398)&amp;"")</f>
        <v/>
      </c>
      <c r="O398">
        <f>IF($AH398="","",INDEX('Per Line'!$P$2:$P$1501,$AH398))</f>
        <v/>
      </c>
      <c r="P398" s="7">
        <f>IF($AH398="","",O398*AD398/100)</f>
        <v/>
      </c>
      <c r="Q398">
        <f>IF($AH398="","",INDEX('Per Line'!$R$2:$R$1501,$AH398)&amp;"")</f>
        <v/>
      </c>
      <c r="R398">
        <f>IF($AH398="","",INDEX('Per Line'!$AB$2:$AB$1501,$AH398)&amp;"")</f>
        <v/>
      </c>
      <c r="S398">
        <f>IF($AH398="","",Settings!$C$8)</f>
        <v/>
      </c>
      <c r="T398" s="7">
        <f>IF($AH398="","",SUMIFS('Per Line'!$Z$2:$Z$1501,'Per Line'!$E$2:$E$1501,$B398,'Per Line'!$AT$2:$AT$1501,1))</f>
        <v/>
      </c>
      <c r="U398" s="7">
        <f>IF($AH398="","",T398*S398)</f>
        <v/>
      </c>
      <c r="V398">
        <f>IF($AH398="","",Settings!$C$7)</f>
        <v/>
      </c>
      <c r="W398" s="7">
        <f>IF($AH398="","",SUMIFS('Per Line'!$Z$2:$Z$1501,'Per Line'!$E$2:$E$1501,$B398,'Per Line'!$AS$2:$AS$1501,0,'Per Line'!$AT$2:$AT$1501,0))</f>
        <v/>
      </c>
      <c r="X398" s="7">
        <f>IF($AH398="","",W398*V398)</f>
        <v/>
      </c>
      <c r="Y398">
        <f>IF($AH398="","",Settings!$C$6)</f>
        <v/>
      </c>
      <c r="Z398" s="7">
        <f>IF($AH398="","",SUMIFS('Per Line'!$Z$2:$Z$1501,'Per Line'!$E$2:$E$1501,$B398,'Per Line'!$AS$2:$AS$1501,1,'Per Line'!$AT$2:$AT$1501,0))</f>
        <v/>
      </c>
      <c r="AA398" s="7">
        <f>IF($AH398="","",Z398*Y398)</f>
        <v/>
      </c>
      <c r="AB398" s="7">
        <f>IF($AH398="","",AA398+X398+U398)</f>
        <v/>
      </c>
      <c r="AC398" s="7">
        <f>IF($AH398="","",AD398-AB398)</f>
        <v/>
      </c>
      <c r="AD398" s="7">
        <f>IF($AH398="","",W398+Z398+T398)</f>
        <v/>
      </c>
      <c r="AE398" s="7">
        <f>IF($AH398="","",AD398-AB398-P398)</f>
        <v/>
      </c>
      <c r="AF398" s="15" t="n"/>
      <c r="AG398" s="7">
        <f>IF($AH398="","",AE398-N(AF398))</f>
        <v/>
      </c>
      <c r="AH398" s="16">
        <f>IF(ROWS($AH$2:$AH398)&lt;=MAX('Per Line'!$AR$2:$AR$1501),MATCH(ROWS($AH$2:$AH398),'Per Line'!$AR$2:$AR$1501,0),"")</f>
        <v/>
      </c>
      <c r="AI398">
        <f>IF($AH398="","",C398&amp;"|"&amp;COUNTIF($C$2:$C398,C398))</f>
        <v/>
      </c>
    </row>
    <row r="399">
      <c r="A399" s="15" t="n"/>
      <c r="B399">
        <f>IF($AH399="","",INDEX('Per Line'!$E$2:$E$1501,$AH399)&amp;"")</f>
        <v/>
      </c>
      <c r="C399">
        <f>IF($AH399="","",IF(INDEX('Per Line'!$AP$2:$AP$1501,$AH399)="NOT MATCH","NOT MATCH","FULL MATCH"))</f>
        <v/>
      </c>
      <c r="D399">
        <f>IF($AH399="","",INDEX('Per Line'!$A$2:$A$1501,$AH399)&amp;"")</f>
        <v/>
      </c>
      <c r="E399">
        <f>IF($AH399="","",INDEX('Per Line'!$B$2:$B$1501,$AH399))</f>
        <v/>
      </c>
      <c r="F399">
        <f>IF($AH399="","",INDEX('Per Line'!$C$2:$C$1501,$AH399)&amp;"")</f>
        <v/>
      </c>
      <c r="G399">
        <f>IF($AH399="","",INDEX('Per Line'!$D$2:$D$1501,$AH399)&amp;"")</f>
        <v/>
      </c>
      <c r="H399">
        <f>IF($AH399="","",INDEX('Per Line'!$F$2:$F$1501,$AH399)&amp;"")</f>
        <v/>
      </c>
      <c r="I399" s="14">
        <f>IF($AH399="","",INDEX('Per Line'!$G$2:$G$1501,$AH399))</f>
        <v/>
      </c>
      <c r="J399">
        <f>IF($AH399="","",INDEX('Per Line'!$H$2:$H$1501,$AH399)&amp;"")</f>
        <v/>
      </c>
      <c r="K399">
        <f>IF($AH399="","",INDEX('Per Line'!$J$2:$J$1501,$AH399)&amp;"")</f>
        <v/>
      </c>
      <c r="L399">
        <f>IF($AH399="","",INDEX('Per Line'!$K$2:$K$1501,$AH399)&amp;"")</f>
        <v/>
      </c>
      <c r="M399">
        <f>IF($AH399="","",INDEX('Per Line'!$L$2:$L$1501,$AH399)&amp;"")</f>
        <v/>
      </c>
      <c r="N399">
        <f>IF($AH399="","",INDEX('Per Line'!$M$2:$M$1501,$AH399)&amp;"")</f>
        <v/>
      </c>
      <c r="O399">
        <f>IF($AH399="","",INDEX('Per Line'!$P$2:$P$1501,$AH399))</f>
        <v/>
      </c>
      <c r="P399" s="7">
        <f>IF($AH399="","",O399*AD399/100)</f>
        <v/>
      </c>
      <c r="Q399">
        <f>IF($AH399="","",INDEX('Per Line'!$R$2:$R$1501,$AH399)&amp;"")</f>
        <v/>
      </c>
      <c r="R399">
        <f>IF($AH399="","",INDEX('Per Line'!$AB$2:$AB$1501,$AH399)&amp;"")</f>
        <v/>
      </c>
      <c r="S399">
        <f>IF($AH399="","",Settings!$C$8)</f>
        <v/>
      </c>
      <c r="T399" s="7">
        <f>IF($AH399="","",SUMIFS('Per Line'!$Z$2:$Z$1501,'Per Line'!$E$2:$E$1501,$B399,'Per Line'!$AT$2:$AT$1501,1))</f>
        <v/>
      </c>
      <c r="U399" s="7">
        <f>IF($AH399="","",T399*S399)</f>
        <v/>
      </c>
      <c r="V399">
        <f>IF($AH399="","",Settings!$C$7)</f>
        <v/>
      </c>
      <c r="W399" s="7">
        <f>IF($AH399="","",SUMIFS('Per Line'!$Z$2:$Z$1501,'Per Line'!$E$2:$E$1501,$B399,'Per Line'!$AS$2:$AS$1501,0,'Per Line'!$AT$2:$AT$1501,0))</f>
        <v/>
      </c>
      <c r="X399" s="7">
        <f>IF($AH399="","",W399*V399)</f>
        <v/>
      </c>
      <c r="Y399">
        <f>IF($AH399="","",Settings!$C$6)</f>
        <v/>
      </c>
      <c r="Z399" s="7">
        <f>IF($AH399="","",SUMIFS('Per Line'!$Z$2:$Z$1501,'Per Line'!$E$2:$E$1501,$B399,'Per Line'!$AS$2:$AS$1501,1,'Per Line'!$AT$2:$AT$1501,0))</f>
        <v/>
      </c>
      <c r="AA399" s="7">
        <f>IF($AH399="","",Z399*Y399)</f>
        <v/>
      </c>
      <c r="AB399" s="7">
        <f>IF($AH399="","",AA399+X399+U399)</f>
        <v/>
      </c>
      <c r="AC399" s="7">
        <f>IF($AH399="","",AD399-AB399)</f>
        <v/>
      </c>
      <c r="AD399" s="7">
        <f>IF($AH399="","",W399+Z399+T399)</f>
        <v/>
      </c>
      <c r="AE399" s="7">
        <f>IF($AH399="","",AD399-AB399-P399)</f>
        <v/>
      </c>
      <c r="AF399" s="15" t="n"/>
      <c r="AG399" s="7">
        <f>IF($AH399="","",AE399-N(AF399))</f>
        <v/>
      </c>
      <c r="AH399" s="16">
        <f>IF(ROWS($AH$2:$AH399)&lt;=MAX('Per Line'!$AR$2:$AR$1501),MATCH(ROWS($AH$2:$AH399),'Per Line'!$AR$2:$AR$1501,0),"")</f>
        <v/>
      </c>
      <c r="AI399">
        <f>IF($AH399="","",C399&amp;"|"&amp;COUNTIF($C$2:$C399,C399))</f>
        <v/>
      </c>
    </row>
    <row r="400">
      <c r="A400" s="15" t="n"/>
      <c r="B400">
        <f>IF($AH400="","",INDEX('Per Line'!$E$2:$E$1501,$AH400)&amp;"")</f>
        <v/>
      </c>
      <c r="C400">
        <f>IF($AH400="","",IF(INDEX('Per Line'!$AP$2:$AP$1501,$AH400)="NOT MATCH","NOT MATCH","FULL MATCH"))</f>
        <v/>
      </c>
      <c r="D400">
        <f>IF($AH400="","",INDEX('Per Line'!$A$2:$A$1501,$AH400)&amp;"")</f>
        <v/>
      </c>
      <c r="E400">
        <f>IF($AH400="","",INDEX('Per Line'!$B$2:$B$1501,$AH400))</f>
        <v/>
      </c>
      <c r="F400">
        <f>IF($AH400="","",INDEX('Per Line'!$C$2:$C$1501,$AH400)&amp;"")</f>
        <v/>
      </c>
      <c r="G400">
        <f>IF($AH400="","",INDEX('Per Line'!$D$2:$D$1501,$AH400)&amp;"")</f>
        <v/>
      </c>
      <c r="H400">
        <f>IF($AH400="","",INDEX('Per Line'!$F$2:$F$1501,$AH400)&amp;"")</f>
        <v/>
      </c>
      <c r="I400" s="14">
        <f>IF($AH400="","",INDEX('Per Line'!$G$2:$G$1501,$AH400))</f>
        <v/>
      </c>
      <c r="J400">
        <f>IF($AH400="","",INDEX('Per Line'!$H$2:$H$1501,$AH400)&amp;"")</f>
        <v/>
      </c>
      <c r="K400">
        <f>IF($AH400="","",INDEX('Per Line'!$J$2:$J$1501,$AH400)&amp;"")</f>
        <v/>
      </c>
      <c r="L400">
        <f>IF($AH400="","",INDEX('Per Line'!$K$2:$K$1501,$AH400)&amp;"")</f>
        <v/>
      </c>
      <c r="M400">
        <f>IF($AH400="","",INDEX('Per Line'!$L$2:$L$1501,$AH400)&amp;"")</f>
        <v/>
      </c>
      <c r="N400">
        <f>IF($AH400="","",INDEX('Per Line'!$M$2:$M$1501,$AH400)&amp;"")</f>
        <v/>
      </c>
      <c r="O400">
        <f>IF($AH400="","",INDEX('Per Line'!$P$2:$P$1501,$AH400))</f>
        <v/>
      </c>
      <c r="P400" s="7">
        <f>IF($AH400="","",O400*AD400/100)</f>
        <v/>
      </c>
      <c r="Q400">
        <f>IF($AH400="","",INDEX('Per Line'!$R$2:$R$1501,$AH400)&amp;"")</f>
        <v/>
      </c>
      <c r="R400">
        <f>IF($AH400="","",INDEX('Per Line'!$AB$2:$AB$1501,$AH400)&amp;"")</f>
        <v/>
      </c>
      <c r="S400">
        <f>IF($AH400="","",Settings!$C$8)</f>
        <v/>
      </c>
      <c r="T400" s="7">
        <f>IF($AH400="","",SUMIFS('Per Line'!$Z$2:$Z$1501,'Per Line'!$E$2:$E$1501,$B400,'Per Line'!$AT$2:$AT$1501,1))</f>
        <v/>
      </c>
      <c r="U400" s="7">
        <f>IF($AH400="","",T400*S400)</f>
        <v/>
      </c>
      <c r="V400">
        <f>IF($AH400="","",Settings!$C$7)</f>
        <v/>
      </c>
      <c r="W400" s="7">
        <f>IF($AH400="","",SUMIFS('Per Line'!$Z$2:$Z$1501,'Per Line'!$E$2:$E$1501,$B400,'Per Line'!$AS$2:$AS$1501,0,'Per Line'!$AT$2:$AT$1501,0))</f>
        <v/>
      </c>
      <c r="X400" s="7">
        <f>IF($AH400="","",W400*V400)</f>
        <v/>
      </c>
      <c r="Y400">
        <f>IF($AH400="","",Settings!$C$6)</f>
        <v/>
      </c>
      <c r="Z400" s="7">
        <f>IF($AH400="","",SUMIFS('Per Line'!$Z$2:$Z$1501,'Per Line'!$E$2:$E$1501,$B400,'Per Line'!$AS$2:$AS$1501,1,'Per Line'!$AT$2:$AT$1501,0))</f>
        <v/>
      </c>
      <c r="AA400" s="7">
        <f>IF($AH400="","",Z400*Y400)</f>
        <v/>
      </c>
      <c r="AB400" s="7">
        <f>IF($AH400="","",AA400+X400+U400)</f>
        <v/>
      </c>
      <c r="AC400" s="7">
        <f>IF($AH400="","",AD400-AB400)</f>
        <v/>
      </c>
      <c r="AD400" s="7">
        <f>IF($AH400="","",W400+Z400+T400)</f>
        <v/>
      </c>
      <c r="AE400" s="7">
        <f>IF($AH400="","",AD400-AB400-P400)</f>
        <v/>
      </c>
      <c r="AF400" s="15" t="n"/>
      <c r="AG400" s="7">
        <f>IF($AH400="","",AE400-N(AF400))</f>
        <v/>
      </c>
      <c r="AH400" s="16">
        <f>IF(ROWS($AH$2:$AH400)&lt;=MAX('Per Line'!$AR$2:$AR$1501),MATCH(ROWS($AH$2:$AH400),'Per Line'!$AR$2:$AR$1501,0),"")</f>
        <v/>
      </c>
      <c r="AI400">
        <f>IF($AH400="","",C400&amp;"|"&amp;COUNTIF($C$2:$C400,C400))</f>
        <v/>
      </c>
    </row>
    <row r="401">
      <c r="A401" s="15" t="n"/>
      <c r="B401">
        <f>IF($AH401="","",INDEX('Per Line'!$E$2:$E$1501,$AH401)&amp;"")</f>
        <v/>
      </c>
      <c r="C401">
        <f>IF($AH401="","",IF(INDEX('Per Line'!$AP$2:$AP$1501,$AH401)="NOT MATCH","NOT MATCH","FULL MATCH"))</f>
        <v/>
      </c>
      <c r="D401">
        <f>IF($AH401="","",INDEX('Per Line'!$A$2:$A$1501,$AH401)&amp;"")</f>
        <v/>
      </c>
      <c r="E401">
        <f>IF($AH401="","",INDEX('Per Line'!$B$2:$B$1501,$AH401))</f>
        <v/>
      </c>
      <c r="F401">
        <f>IF($AH401="","",INDEX('Per Line'!$C$2:$C$1501,$AH401)&amp;"")</f>
        <v/>
      </c>
      <c r="G401">
        <f>IF($AH401="","",INDEX('Per Line'!$D$2:$D$1501,$AH401)&amp;"")</f>
        <v/>
      </c>
      <c r="H401">
        <f>IF($AH401="","",INDEX('Per Line'!$F$2:$F$1501,$AH401)&amp;"")</f>
        <v/>
      </c>
      <c r="I401" s="14">
        <f>IF($AH401="","",INDEX('Per Line'!$G$2:$G$1501,$AH401))</f>
        <v/>
      </c>
      <c r="J401">
        <f>IF($AH401="","",INDEX('Per Line'!$H$2:$H$1501,$AH401)&amp;"")</f>
        <v/>
      </c>
      <c r="K401">
        <f>IF($AH401="","",INDEX('Per Line'!$J$2:$J$1501,$AH401)&amp;"")</f>
        <v/>
      </c>
      <c r="L401">
        <f>IF($AH401="","",INDEX('Per Line'!$K$2:$K$1501,$AH401)&amp;"")</f>
        <v/>
      </c>
      <c r="M401">
        <f>IF($AH401="","",INDEX('Per Line'!$L$2:$L$1501,$AH401)&amp;"")</f>
        <v/>
      </c>
      <c r="N401">
        <f>IF($AH401="","",INDEX('Per Line'!$M$2:$M$1501,$AH401)&amp;"")</f>
        <v/>
      </c>
      <c r="O401">
        <f>IF($AH401="","",INDEX('Per Line'!$P$2:$P$1501,$AH401))</f>
        <v/>
      </c>
      <c r="P401" s="7">
        <f>IF($AH401="","",O401*AD401/100)</f>
        <v/>
      </c>
      <c r="Q401">
        <f>IF($AH401="","",INDEX('Per Line'!$R$2:$R$1501,$AH401)&amp;"")</f>
        <v/>
      </c>
      <c r="R401">
        <f>IF($AH401="","",INDEX('Per Line'!$AB$2:$AB$1501,$AH401)&amp;"")</f>
        <v/>
      </c>
      <c r="S401">
        <f>IF($AH401="","",Settings!$C$8)</f>
        <v/>
      </c>
      <c r="T401" s="7">
        <f>IF($AH401="","",SUMIFS('Per Line'!$Z$2:$Z$1501,'Per Line'!$E$2:$E$1501,$B401,'Per Line'!$AT$2:$AT$1501,1))</f>
        <v/>
      </c>
      <c r="U401" s="7">
        <f>IF($AH401="","",T401*S401)</f>
        <v/>
      </c>
      <c r="V401">
        <f>IF($AH401="","",Settings!$C$7)</f>
        <v/>
      </c>
      <c r="W401" s="7">
        <f>IF($AH401="","",SUMIFS('Per Line'!$Z$2:$Z$1501,'Per Line'!$E$2:$E$1501,$B401,'Per Line'!$AS$2:$AS$1501,0,'Per Line'!$AT$2:$AT$1501,0))</f>
        <v/>
      </c>
      <c r="X401" s="7">
        <f>IF($AH401="","",W401*V401)</f>
        <v/>
      </c>
      <c r="Y401">
        <f>IF($AH401="","",Settings!$C$6)</f>
        <v/>
      </c>
      <c r="Z401" s="7">
        <f>IF($AH401="","",SUMIFS('Per Line'!$Z$2:$Z$1501,'Per Line'!$E$2:$E$1501,$B401,'Per Line'!$AS$2:$AS$1501,1,'Per Line'!$AT$2:$AT$1501,0))</f>
        <v/>
      </c>
      <c r="AA401" s="7">
        <f>IF($AH401="","",Z401*Y401)</f>
        <v/>
      </c>
      <c r="AB401" s="7">
        <f>IF($AH401="","",AA401+X401+U401)</f>
        <v/>
      </c>
      <c r="AC401" s="7">
        <f>IF($AH401="","",AD401-AB401)</f>
        <v/>
      </c>
      <c r="AD401" s="7">
        <f>IF($AH401="","",W401+Z401+T401)</f>
        <v/>
      </c>
      <c r="AE401" s="7">
        <f>IF($AH401="","",AD401-AB401-P401)</f>
        <v/>
      </c>
      <c r="AF401" s="15" t="n"/>
      <c r="AG401" s="7">
        <f>IF($AH401="","",AE401-N(AF401))</f>
        <v/>
      </c>
      <c r="AH401" s="16">
        <f>IF(ROWS($AH$2:$AH401)&lt;=MAX('Per Line'!$AR$2:$AR$1501),MATCH(ROWS($AH$2:$AH401),'Per Line'!$AR$2:$AR$1501,0),"")</f>
        <v/>
      </c>
      <c r="AI401">
        <f>IF($AH401="","",C401&amp;"|"&amp;COUNTIF($C$2:$C401,C401))</f>
        <v/>
      </c>
    </row>
  </sheetData>
  <autoFilter ref="A1:AI4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7" customWidth="1" min="9" max="9"/>
    <col width="18" customWidth="1" min="10" max="10"/>
    <col width="24" customWidth="1" min="11" max="11"/>
    <col width="12" customWidth="1" min="12" max="12"/>
    <col width="26" customWidth="1" min="13" max="13"/>
    <col width="14" customWidth="1" min="14" max="14"/>
    <col width="12" customWidth="1" min="15" max="15"/>
    <col width="12" customWidth="1" min="16" max="16"/>
    <col width="12" customWidth="1" min="17" max="17"/>
    <col width="36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3" customWidth="1" min="34" max="34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Match Tab</t>
        </is>
      </c>
      <c r="D1" s="10" t="inlineStr">
        <is>
          <t>Cycle</t>
        </is>
      </c>
      <c r="E1" s="10" t="inlineStr">
        <is>
          <t>Ticket #</t>
        </is>
      </c>
      <c r="F1" s="10" t="inlineStr">
        <is>
          <t>Stage</t>
        </is>
      </c>
      <c r="G1" s="10" t="inlineStr">
        <is>
          <t>Approval Ref</t>
        </is>
      </c>
      <c r="H1" s="10" t="inlineStr">
        <is>
          <t>Channel</t>
        </is>
      </c>
      <c r="I1" s="10" t="inlineStr">
        <is>
          <t>Create At</t>
        </is>
      </c>
      <c r="J1" s="10" t="inlineStr">
        <is>
          <t>Insurance Company</t>
        </is>
      </c>
      <c r="K1" s="10" t="inlineStr">
        <is>
          <t>Corporate</t>
        </is>
      </c>
      <c r="L1" s="10" t="inlineStr">
        <is>
          <t>Card</t>
        </is>
      </c>
      <c r="M1" s="10" t="inlineStr">
        <is>
          <t>Name</t>
        </is>
      </c>
      <c r="N1" s="10" t="inlineStr">
        <is>
          <t>Status</t>
        </is>
      </c>
      <c r="O1" s="10" t="inlineStr">
        <is>
          <t>Order Co Payment</t>
        </is>
      </c>
      <c r="P1" s="10" t="inlineStr">
        <is>
          <t>Co val</t>
        </is>
      </c>
      <c r="Q1" s="10" t="inlineStr">
        <is>
          <t>By Patient</t>
        </is>
      </c>
      <c r="R1" s="10" t="inlineStr">
        <is>
          <t>ERX ID</t>
        </is>
      </c>
      <c r="S1" s="10" t="inlineStr">
        <is>
          <t>SPECIAL REBATES %</t>
        </is>
      </c>
      <c r="T1" s="10" t="inlineStr">
        <is>
          <t>SPECIAL REBATES</t>
        </is>
      </c>
      <c r="U1" s="10" t="inlineStr">
        <is>
          <t>SPECIAL REBATES VAL</t>
        </is>
      </c>
      <c r="V1" s="10" t="inlineStr">
        <is>
          <t>IMP %</t>
        </is>
      </c>
      <c r="W1" s="10" t="inlineStr">
        <is>
          <t>IMP</t>
        </is>
      </c>
      <c r="X1" s="10" t="inlineStr">
        <is>
          <t>IMP VAL</t>
        </is>
      </c>
      <c r="Y1" s="10" t="inlineStr">
        <is>
          <t>LOCAL %</t>
        </is>
      </c>
      <c r="Z1" s="10" t="inlineStr">
        <is>
          <t>LOCAL</t>
        </is>
      </c>
      <c r="AA1" s="10" t="inlineStr">
        <is>
          <t>LOCAL VAL</t>
        </is>
      </c>
      <c r="AB1" s="10" t="inlineStr">
        <is>
          <t>TOTAL VAL</t>
        </is>
      </c>
      <c r="AC1" s="10" t="inlineStr">
        <is>
          <t>SUBTOTAL</t>
        </is>
      </c>
      <c r="AD1" s="10" t="inlineStr">
        <is>
          <t>Grand Total</t>
        </is>
      </c>
      <c r="AE1" s="10" t="inlineStr">
        <is>
          <t>NET</t>
        </is>
      </c>
      <c r="AF1" s="10" t="inlineStr">
        <is>
          <t>N MR</t>
        </is>
      </c>
      <c r="AG1" s="10" t="inlineStr">
        <is>
          <t>D</t>
        </is>
      </c>
      <c r="AH1" s="13" t="inlineStr">
        <is>
          <t>Src Row (helper)</t>
        </is>
      </c>
    </row>
    <row r="2">
      <c r="A2">
        <f>IF($AH2="","",IF(INDEX('Per Invoice'!A$2:A$401,$AH2)="","",INDEX('Per Invoice'!A$2:A$401,$AH2)))</f>
        <v/>
      </c>
      <c r="B2">
        <f>IF($AH2="","",IF(INDEX('Per Invoice'!B$2:B$401,$AH2)="","",INDEX('Per Invoice'!B$2:B$401,$AH2)))</f>
        <v/>
      </c>
      <c r="C2">
        <f>IF($AH2="","",IF(INDEX('Per Invoice'!C$2:C$401,$AH2)="","",INDEX('Per Invoice'!C$2:C$401,$AH2)))</f>
        <v/>
      </c>
      <c r="D2">
        <f>IF($AH2="","",IF(INDEX('Per Invoice'!D$2:D$401,$AH2)="","",INDEX('Per Invoice'!D$2:D$401,$AH2)))</f>
        <v/>
      </c>
      <c r="E2">
        <f>IF($AH2="","",IF(INDEX('Per Invoice'!E$2:E$401,$AH2)="","",INDEX('Per Invoice'!E$2:E$401,$AH2)))</f>
        <v/>
      </c>
      <c r="F2">
        <f>IF($AH2="","",IF(INDEX('Per Invoice'!F$2:F$401,$AH2)="","",INDEX('Per Invoice'!F$2:F$401,$AH2)))</f>
        <v/>
      </c>
      <c r="G2">
        <f>IF($AH2="","",IF(INDEX('Per Invoice'!G$2:G$401,$AH2)="","",INDEX('Per Invoice'!G$2:G$401,$AH2)))</f>
        <v/>
      </c>
      <c r="H2">
        <f>IF($AH2="","",IF(INDEX('Per Invoice'!H$2:H$401,$AH2)="","",INDEX('Per Invoice'!H$2:H$401,$AH2)))</f>
        <v/>
      </c>
      <c r="I2" s="14">
        <f>IF($AH2="","",IF(INDEX('Per Invoice'!I$2:I$401,$AH2)="","",INDEX('Per Invoice'!I$2:I$401,$AH2)))</f>
        <v/>
      </c>
      <c r="J2">
        <f>IF($AH2="","",IF(INDEX('Per Invoice'!J$2:J$401,$AH2)="","",INDEX('Per Invoice'!J$2:J$401,$AH2)))</f>
        <v/>
      </c>
      <c r="K2">
        <f>IF($AH2="","",IF(INDEX('Per Invoice'!K$2:K$401,$AH2)="","",INDEX('Per Invoice'!K$2:K$401,$AH2)))</f>
        <v/>
      </c>
      <c r="L2">
        <f>IF($AH2="","",IF(INDEX('Per Invoice'!L$2:L$401,$AH2)="","",INDEX('Per Invoice'!L$2:L$401,$AH2)))</f>
        <v/>
      </c>
      <c r="M2">
        <f>IF($AH2="","",IF(INDEX('Per Invoice'!M$2:M$401,$AH2)="","",INDEX('Per Invoice'!M$2:M$401,$AH2)))</f>
        <v/>
      </c>
      <c r="N2">
        <f>IF($AH2="","",IF(INDEX('Per Invoice'!N$2:N$401,$AH2)="","",INDEX('Per Invoice'!N$2:N$401,$AH2)))</f>
        <v/>
      </c>
      <c r="O2">
        <f>IF($AH2="","",IF(INDEX('Per Invoice'!O$2:O$401,$AH2)="","",INDEX('Per Invoice'!O$2:O$401,$AH2)))</f>
        <v/>
      </c>
      <c r="P2" s="7">
        <f>IF($AH2="","",IF(INDEX('Per Invoice'!P$2:P$401,$AH2)="","",INDEX('Per Invoice'!P$2:P$401,$AH2)))</f>
        <v/>
      </c>
      <c r="Q2">
        <f>IF($AH2="","",IF(INDEX('Per Invoice'!Q$2:Q$401,$AH2)="","",INDEX('Per Invoice'!Q$2:Q$401,$AH2)))</f>
        <v/>
      </c>
      <c r="R2">
        <f>IF($AH2="","",IF(INDEX('Per Invoice'!R$2:R$401,$AH2)="","",INDEX('Per Invoice'!R$2:R$401,$AH2)))</f>
        <v/>
      </c>
      <c r="S2">
        <f>IF($AH2="","",IF(INDEX('Per Invoice'!S$2:S$401,$AH2)="","",INDEX('Per Invoice'!S$2:S$401,$AH2)))</f>
        <v/>
      </c>
      <c r="T2" s="7">
        <f>IF($AH2="","",IF(INDEX('Per Invoice'!T$2:T$401,$AH2)="","",INDEX('Per Invoice'!T$2:T$401,$AH2)))</f>
        <v/>
      </c>
      <c r="U2" s="7">
        <f>IF($AH2="","",IF(INDEX('Per Invoice'!U$2:U$401,$AH2)="","",INDEX('Per Invoice'!U$2:U$401,$AH2)))</f>
        <v/>
      </c>
      <c r="V2">
        <f>IF($AH2="","",IF(INDEX('Per Invoice'!V$2:V$401,$AH2)="","",INDEX('Per Invoice'!V$2:V$401,$AH2)))</f>
        <v/>
      </c>
      <c r="W2" s="7">
        <f>IF($AH2="","",IF(INDEX('Per Invoice'!W$2:W$401,$AH2)="","",INDEX('Per Invoice'!W$2:W$401,$AH2)))</f>
        <v/>
      </c>
      <c r="X2" s="7">
        <f>IF($AH2="","",IF(INDEX('Per Invoice'!X$2:X$401,$AH2)="","",INDEX('Per Invoice'!X$2:X$401,$AH2)))</f>
        <v/>
      </c>
      <c r="Y2">
        <f>IF($AH2="","",IF(INDEX('Per Invoice'!Y$2:Y$401,$AH2)="","",INDEX('Per Invoice'!Y$2:Y$401,$AH2)))</f>
        <v/>
      </c>
      <c r="Z2" s="7">
        <f>IF($AH2="","",IF(INDEX('Per Invoice'!Z$2:Z$401,$AH2)="","",INDEX('Per Invoice'!Z$2:Z$401,$AH2)))</f>
        <v/>
      </c>
      <c r="AA2" s="7">
        <f>IF($AH2="","",IF(INDEX('Per Invoice'!AA$2:AA$401,$AH2)="","",INDEX('Per Invoice'!AA$2:AA$401,$AH2)))</f>
        <v/>
      </c>
      <c r="AB2" s="7">
        <f>IF($AH2="","",IF(INDEX('Per Invoice'!AB$2:AB$401,$AH2)="","",INDEX('Per Invoice'!AB$2:AB$401,$AH2)))</f>
        <v/>
      </c>
      <c r="AC2" s="7">
        <f>IF($AH2="","",IF(INDEX('Per Invoice'!AC$2:AC$401,$AH2)="","",INDEX('Per Invoice'!AC$2:AC$401,$AH2)))</f>
        <v/>
      </c>
      <c r="AD2" s="7">
        <f>IF($AH2="","",IF(INDEX('Per Invoice'!AD$2:AD$401,$AH2)="","",INDEX('Per Invoice'!AD$2:AD$401,$AH2)))</f>
        <v/>
      </c>
      <c r="AE2" s="7">
        <f>IF($AH2="","",IF(INDEX('Per Invoice'!AE$2:AE$401,$AH2)="","",INDEX('Per Invoice'!AE$2:AE$401,$AH2)))</f>
        <v/>
      </c>
      <c r="AF2">
        <f>IF($AH2="","",IF(INDEX('Per Invoice'!AF$2:AF$401,$AH2)="","",INDEX('Per Invoice'!AF$2:AF$401,$AH2)))</f>
        <v/>
      </c>
      <c r="AG2" s="7">
        <f>IF($AH2="","",IF(INDEX('Per Invoice'!AG$2:AG$401,$AH2)="","",INDEX('Per Invoice'!AG$2:AG$401,$AH2)))</f>
        <v/>
      </c>
      <c r="AH2" s="16">
        <f>IFERROR(MATCH(Settings!$C$26&amp;"|"&amp;ROWS($AH$2:$AH2),'Per Invoice'!$AI$2:$AI$401,0),"")</f>
        <v/>
      </c>
    </row>
    <row r="3">
      <c r="A3">
        <f>IF($AH3="","",IF(INDEX('Per Invoice'!A$2:A$401,$AH3)="","",INDEX('Per Invoice'!A$2:A$401,$AH3)))</f>
        <v/>
      </c>
      <c r="B3">
        <f>IF($AH3="","",IF(INDEX('Per Invoice'!B$2:B$401,$AH3)="","",INDEX('Per Invoice'!B$2:B$401,$AH3)))</f>
        <v/>
      </c>
      <c r="C3">
        <f>IF($AH3="","",IF(INDEX('Per Invoice'!C$2:C$401,$AH3)="","",INDEX('Per Invoice'!C$2:C$401,$AH3)))</f>
        <v/>
      </c>
      <c r="D3">
        <f>IF($AH3="","",IF(INDEX('Per Invoice'!D$2:D$401,$AH3)="","",INDEX('Per Invoice'!D$2:D$401,$AH3)))</f>
        <v/>
      </c>
      <c r="E3">
        <f>IF($AH3="","",IF(INDEX('Per Invoice'!E$2:E$401,$AH3)="","",INDEX('Per Invoice'!E$2:E$401,$AH3)))</f>
        <v/>
      </c>
      <c r="F3">
        <f>IF($AH3="","",IF(INDEX('Per Invoice'!F$2:F$401,$AH3)="","",INDEX('Per Invoice'!F$2:F$401,$AH3)))</f>
        <v/>
      </c>
      <c r="G3">
        <f>IF($AH3="","",IF(INDEX('Per Invoice'!G$2:G$401,$AH3)="","",INDEX('Per Invoice'!G$2:G$401,$AH3)))</f>
        <v/>
      </c>
      <c r="H3">
        <f>IF($AH3="","",IF(INDEX('Per Invoice'!H$2:H$401,$AH3)="","",INDEX('Per Invoice'!H$2:H$401,$AH3)))</f>
        <v/>
      </c>
      <c r="I3" s="14">
        <f>IF($AH3="","",IF(INDEX('Per Invoice'!I$2:I$401,$AH3)="","",INDEX('Per Invoice'!I$2:I$401,$AH3)))</f>
        <v/>
      </c>
      <c r="J3">
        <f>IF($AH3="","",IF(INDEX('Per Invoice'!J$2:J$401,$AH3)="","",INDEX('Per Invoice'!J$2:J$401,$AH3)))</f>
        <v/>
      </c>
      <c r="K3">
        <f>IF($AH3="","",IF(INDEX('Per Invoice'!K$2:K$401,$AH3)="","",INDEX('Per Invoice'!K$2:K$401,$AH3)))</f>
        <v/>
      </c>
      <c r="L3">
        <f>IF($AH3="","",IF(INDEX('Per Invoice'!L$2:L$401,$AH3)="","",INDEX('Per Invoice'!L$2:L$401,$AH3)))</f>
        <v/>
      </c>
      <c r="M3">
        <f>IF($AH3="","",IF(INDEX('Per Invoice'!M$2:M$401,$AH3)="","",INDEX('Per Invoice'!M$2:M$401,$AH3)))</f>
        <v/>
      </c>
      <c r="N3">
        <f>IF($AH3="","",IF(INDEX('Per Invoice'!N$2:N$401,$AH3)="","",INDEX('Per Invoice'!N$2:N$401,$AH3)))</f>
        <v/>
      </c>
      <c r="O3">
        <f>IF($AH3="","",IF(INDEX('Per Invoice'!O$2:O$401,$AH3)="","",INDEX('Per Invoice'!O$2:O$401,$AH3)))</f>
        <v/>
      </c>
      <c r="P3" s="7">
        <f>IF($AH3="","",IF(INDEX('Per Invoice'!P$2:P$401,$AH3)="","",INDEX('Per Invoice'!P$2:P$401,$AH3)))</f>
        <v/>
      </c>
      <c r="Q3">
        <f>IF($AH3="","",IF(INDEX('Per Invoice'!Q$2:Q$401,$AH3)="","",INDEX('Per Invoice'!Q$2:Q$401,$AH3)))</f>
        <v/>
      </c>
      <c r="R3">
        <f>IF($AH3="","",IF(INDEX('Per Invoice'!R$2:R$401,$AH3)="","",INDEX('Per Invoice'!R$2:R$401,$AH3)))</f>
        <v/>
      </c>
      <c r="S3">
        <f>IF($AH3="","",IF(INDEX('Per Invoice'!S$2:S$401,$AH3)="","",INDEX('Per Invoice'!S$2:S$401,$AH3)))</f>
        <v/>
      </c>
      <c r="T3" s="7">
        <f>IF($AH3="","",IF(INDEX('Per Invoice'!T$2:T$401,$AH3)="","",INDEX('Per Invoice'!T$2:T$401,$AH3)))</f>
        <v/>
      </c>
      <c r="U3" s="7">
        <f>IF($AH3="","",IF(INDEX('Per Invoice'!U$2:U$401,$AH3)="","",INDEX('Per Invoice'!U$2:U$401,$AH3)))</f>
        <v/>
      </c>
      <c r="V3">
        <f>IF($AH3="","",IF(INDEX('Per Invoice'!V$2:V$401,$AH3)="","",INDEX('Per Invoice'!V$2:V$401,$AH3)))</f>
        <v/>
      </c>
      <c r="W3" s="7">
        <f>IF($AH3="","",IF(INDEX('Per Invoice'!W$2:W$401,$AH3)="","",INDEX('Per Invoice'!W$2:W$401,$AH3)))</f>
        <v/>
      </c>
      <c r="X3" s="7">
        <f>IF($AH3="","",IF(INDEX('Per Invoice'!X$2:X$401,$AH3)="","",INDEX('Per Invoice'!X$2:X$401,$AH3)))</f>
        <v/>
      </c>
      <c r="Y3">
        <f>IF($AH3="","",IF(INDEX('Per Invoice'!Y$2:Y$401,$AH3)="","",INDEX('Per Invoice'!Y$2:Y$401,$AH3)))</f>
        <v/>
      </c>
      <c r="Z3" s="7">
        <f>IF($AH3="","",IF(INDEX('Per Invoice'!Z$2:Z$401,$AH3)="","",INDEX('Per Invoice'!Z$2:Z$401,$AH3)))</f>
        <v/>
      </c>
      <c r="AA3" s="7">
        <f>IF($AH3="","",IF(INDEX('Per Invoice'!AA$2:AA$401,$AH3)="","",INDEX('Per Invoice'!AA$2:AA$401,$AH3)))</f>
        <v/>
      </c>
      <c r="AB3" s="7">
        <f>IF($AH3="","",IF(INDEX('Per Invoice'!AB$2:AB$401,$AH3)="","",INDEX('Per Invoice'!AB$2:AB$401,$AH3)))</f>
        <v/>
      </c>
      <c r="AC3" s="7">
        <f>IF($AH3="","",IF(INDEX('Per Invoice'!AC$2:AC$401,$AH3)="","",INDEX('Per Invoice'!AC$2:AC$401,$AH3)))</f>
        <v/>
      </c>
      <c r="AD3" s="7">
        <f>IF($AH3="","",IF(INDEX('Per Invoice'!AD$2:AD$401,$AH3)="","",INDEX('Per Invoice'!AD$2:AD$401,$AH3)))</f>
        <v/>
      </c>
      <c r="AE3" s="7">
        <f>IF($AH3="","",IF(INDEX('Per Invoice'!AE$2:AE$401,$AH3)="","",INDEX('Per Invoice'!AE$2:AE$401,$AH3)))</f>
        <v/>
      </c>
      <c r="AF3">
        <f>IF($AH3="","",IF(INDEX('Per Invoice'!AF$2:AF$401,$AH3)="","",INDEX('Per Invoice'!AF$2:AF$401,$AH3)))</f>
        <v/>
      </c>
      <c r="AG3" s="7">
        <f>IF($AH3="","",IF(INDEX('Per Invoice'!AG$2:AG$401,$AH3)="","",INDEX('Per Invoice'!AG$2:AG$401,$AH3)))</f>
        <v/>
      </c>
      <c r="AH3" s="16">
        <f>IFERROR(MATCH(Settings!$C$26&amp;"|"&amp;ROWS($AH$2:$AH3),'Per Invoice'!$AI$2:$AI$401,0),"")</f>
        <v/>
      </c>
    </row>
    <row r="4">
      <c r="A4">
        <f>IF($AH4="","",IF(INDEX('Per Invoice'!A$2:A$401,$AH4)="","",INDEX('Per Invoice'!A$2:A$401,$AH4)))</f>
        <v/>
      </c>
      <c r="B4">
        <f>IF($AH4="","",IF(INDEX('Per Invoice'!B$2:B$401,$AH4)="","",INDEX('Per Invoice'!B$2:B$401,$AH4)))</f>
        <v/>
      </c>
      <c r="C4">
        <f>IF($AH4="","",IF(INDEX('Per Invoice'!C$2:C$401,$AH4)="","",INDEX('Per Invoice'!C$2:C$401,$AH4)))</f>
        <v/>
      </c>
      <c r="D4">
        <f>IF($AH4="","",IF(INDEX('Per Invoice'!D$2:D$401,$AH4)="","",INDEX('Per Invoice'!D$2:D$401,$AH4)))</f>
        <v/>
      </c>
      <c r="E4">
        <f>IF($AH4="","",IF(INDEX('Per Invoice'!E$2:E$401,$AH4)="","",INDEX('Per Invoice'!E$2:E$401,$AH4)))</f>
        <v/>
      </c>
      <c r="F4">
        <f>IF($AH4="","",IF(INDEX('Per Invoice'!F$2:F$401,$AH4)="","",INDEX('Per Invoice'!F$2:F$401,$AH4)))</f>
        <v/>
      </c>
      <c r="G4">
        <f>IF($AH4="","",IF(INDEX('Per Invoice'!G$2:G$401,$AH4)="","",INDEX('Per Invoice'!G$2:G$401,$AH4)))</f>
        <v/>
      </c>
      <c r="H4">
        <f>IF($AH4="","",IF(INDEX('Per Invoice'!H$2:H$401,$AH4)="","",INDEX('Per Invoice'!H$2:H$401,$AH4)))</f>
        <v/>
      </c>
      <c r="I4" s="14">
        <f>IF($AH4="","",IF(INDEX('Per Invoice'!I$2:I$401,$AH4)="","",INDEX('Per Invoice'!I$2:I$401,$AH4)))</f>
        <v/>
      </c>
      <c r="J4">
        <f>IF($AH4="","",IF(INDEX('Per Invoice'!J$2:J$401,$AH4)="","",INDEX('Per Invoice'!J$2:J$401,$AH4)))</f>
        <v/>
      </c>
      <c r="K4">
        <f>IF($AH4="","",IF(INDEX('Per Invoice'!K$2:K$401,$AH4)="","",INDEX('Per Invoice'!K$2:K$401,$AH4)))</f>
        <v/>
      </c>
      <c r="L4">
        <f>IF($AH4="","",IF(INDEX('Per Invoice'!L$2:L$401,$AH4)="","",INDEX('Per Invoice'!L$2:L$401,$AH4)))</f>
        <v/>
      </c>
      <c r="M4">
        <f>IF($AH4="","",IF(INDEX('Per Invoice'!M$2:M$401,$AH4)="","",INDEX('Per Invoice'!M$2:M$401,$AH4)))</f>
        <v/>
      </c>
      <c r="N4">
        <f>IF($AH4="","",IF(INDEX('Per Invoice'!N$2:N$401,$AH4)="","",INDEX('Per Invoice'!N$2:N$401,$AH4)))</f>
        <v/>
      </c>
      <c r="O4">
        <f>IF($AH4="","",IF(INDEX('Per Invoice'!O$2:O$401,$AH4)="","",INDEX('Per Invoice'!O$2:O$401,$AH4)))</f>
        <v/>
      </c>
      <c r="P4" s="7">
        <f>IF($AH4="","",IF(INDEX('Per Invoice'!P$2:P$401,$AH4)="","",INDEX('Per Invoice'!P$2:P$401,$AH4)))</f>
        <v/>
      </c>
      <c r="Q4">
        <f>IF($AH4="","",IF(INDEX('Per Invoice'!Q$2:Q$401,$AH4)="","",INDEX('Per Invoice'!Q$2:Q$401,$AH4)))</f>
        <v/>
      </c>
      <c r="R4">
        <f>IF($AH4="","",IF(INDEX('Per Invoice'!R$2:R$401,$AH4)="","",INDEX('Per Invoice'!R$2:R$401,$AH4)))</f>
        <v/>
      </c>
      <c r="S4">
        <f>IF($AH4="","",IF(INDEX('Per Invoice'!S$2:S$401,$AH4)="","",INDEX('Per Invoice'!S$2:S$401,$AH4)))</f>
        <v/>
      </c>
      <c r="T4" s="7">
        <f>IF($AH4="","",IF(INDEX('Per Invoice'!T$2:T$401,$AH4)="","",INDEX('Per Invoice'!T$2:T$401,$AH4)))</f>
        <v/>
      </c>
      <c r="U4" s="7">
        <f>IF($AH4="","",IF(INDEX('Per Invoice'!U$2:U$401,$AH4)="","",INDEX('Per Invoice'!U$2:U$401,$AH4)))</f>
        <v/>
      </c>
      <c r="V4">
        <f>IF($AH4="","",IF(INDEX('Per Invoice'!V$2:V$401,$AH4)="","",INDEX('Per Invoice'!V$2:V$401,$AH4)))</f>
        <v/>
      </c>
      <c r="W4" s="7">
        <f>IF($AH4="","",IF(INDEX('Per Invoice'!W$2:W$401,$AH4)="","",INDEX('Per Invoice'!W$2:W$401,$AH4)))</f>
        <v/>
      </c>
      <c r="X4" s="7">
        <f>IF($AH4="","",IF(INDEX('Per Invoice'!X$2:X$401,$AH4)="","",INDEX('Per Invoice'!X$2:X$401,$AH4)))</f>
        <v/>
      </c>
      <c r="Y4">
        <f>IF($AH4="","",IF(INDEX('Per Invoice'!Y$2:Y$401,$AH4)="","",INDEX('Per Invoice'!Y$2:Y$401,$AH4)))</f>
        <v/>
      </c>
      <c r="Z4" s="7">
        <f>IF($AH4="","",IF(INDEX('Per Invoice'!Z$2:Z$401,$AH4)="","",INDEX('Per Invoice'!Z$2:Z$401,$AH4)))</f>
        <v/>
      </c>
      <c r="AA4" s="7">
        <f>IF($AH4="","",IF(INDEX('Per Invoice'!AA$2:AA$401,$AH4)="","",INDEX('Per Invoice'!AA$2:AA$401,$AH4)))</f>
        <v/>
      </c>
      <c r="AB4" s="7">
        <f>IF($AH4="","",IF(INDEX('Per Invoice'!AB$2:AB$401,$AH4)="","",INDEX('Per Invoice'!AB$2:AB$401,$AH4)))</f>
        <v/>
      </c>
      <c r="AC4" s="7">
        <f>IF($AH4="","",IF(INDEX('Per Invoice'!AC$2:AC$401,$AH4)="","",INDEX('Per Invoice'!AC$2:AC$401,$AH4)))</f>
        <v/>
      </c>
      <c r="AD4" s="7">
        <f>IF($AH4="","",IF(INDEX('Per Invoice'!AD$2:AD$401,$AH4)="","",INDEX('Per Invoice'!AD$2:AD$401,$AH4)))</f>
        <v/>
      </c>
      <c r="AE4" s="7">
        <f>IF($AH4="","",IF(INDEX('Per Invoice'!AE$2:AE$401,$AH4)="","",INDEX('Per Invoice'!AE$2:AE$401,$AH4)))</f>
        <v/>
      </c>
      <c r="AF4">
        <f>IF($AH4="","",IF(INDEX('Per Invoice'!AF$2:AF$401,$AH4)="","",INDEX('Per Invoice'!AF$2:AF$401,$AH4)))</f>
        <v/>
      </c>
      <c r="AG4" s="7">
        <f>IF($AH4="","",IF(INDEX('Per Invoice'!AG$2:AG$401,$AH4)="","",INDEX('Per Invoice'!AG$2:AG$401,$AH4)))</f>
        <v/>
      </c>
      <c r="AH4" s="16">
        <f>IFERROR(MATCH(Settings!$C$26&amp;"|"&amp;ROWS($AH$2:$AH4),'Per Invoice'!$AI$2:$AI$401,0),"")</f>
        <v/>
      </c>
    </row>
    <row r="5">
      <c r="A5">
        <f>IF($AH5="","",IF(INDEX('Per Invoice'!A$2:A$401,$AH5)="","",INDEX('Per Invoice'!A$2:A$401,$AH5)))</f>
        <v/>
      </c>
      <c r="B5">
        <f>IF($AH5="","",IF(INDEX('Per Invoice'!B$2:B$401,$AH5)="","",INDEX('Per Invoice'!B$2:B$401,$AH5)))</f>
        <v/>
      </c>
      <c r="C5">
        <f>IF($AH5="","",IF(INDEX('Per Invoice'!C$2:C$401,$AH5)="","",INDEX('Per Invoice'!C$2:C$401,$AH5)))</f>
        <v/>
      </c>
      <c r="D5">
        <f>IF($AH5="","",IF(INDEX('Per Invoice'!D$2:D$401,$AH5)="","",INDEX('Per Invoice'!D$2:D$401,$AH5)))</f>
        <v/>
      </c>
      <c r="E5">
        <f>IF($AH5="","",IF(INDEX('Per Invoice'!E$2:E$401,$AH5)="","",INDEX('Per Invoice'!E$2:E$401,$AH5)))</f>
        <v/>
      </c>
      <c r="F5">
        <f>IF($AH5="","",IF(INDEX('Per Invoice'!F$2:F$401,$AH5)="","",INDEX('Per Invoice'!F$2:F$401,$AH5)))</f>
        <v/>
      </c>
      <c r="G5">
        <f>IF($AH5="","",IF(INDEX('Per Invoice'!G$2:G$401,$AH5)="","",INDEX('Per Invoice'!G$2:G$401,$AH5)))</f>
        <v/>
      </c>
      <c r="H5">
        <f>IF($AH5="","",IF(INDEX('Per Invoice'!H$2:H$401,$AH5)="","",INDEX('Per Invoice'!H$2:H$401,$AH5)))</f>
        <v/>
      </c>
      <c r="I5" s="14">
        <f>IF($AH5="","",IF(INDEX('Per Invoice'!I$2:I$401,$AH5)="","",INDEX('Per Invoice'!I$2:I$401,$AH5)))</f>
        <v/>
      </c>
      <c r="J5">
        <f>IF($AH5="","",IF(INDEX('Per Invoice'!J$2:J$401,$AH5)="","",INDEX('Per Invoice'!J$2:J$401,$AH5)))</f>
        <v/>
      </c>
      <c r="K5">
        <f>IF($AH5="","",IF(INDEX('Per Invoice'!K$2:K$401,$AH5)="","",INDEX('Per Invoice'!K$2:K$401,$AH5)))</f>
        <v/>
      </c>
      <c r="L5">
        <f>IF($AH5="","",IF(INDEX('Per Invoice'!L$2:L$401,$AH5)="","",INDEX('Per Invoice'!L$2:L$401,$AH5)))</f>
        <v/>
      </c>
      <c r="M5">
        <f>IF($AH5="","",IF(INDEX('Per Invoice'!M$2:M$401,$AH5)="","",INDEX('Per Invoice'!M$2:M$401,$AH5)))</f>
        <v/>
      </c>
      <c r="N5">
        <f>IF($AH5="","",IF(INDEX('Per Invoice'!N$2:N$401,$AH5)="","",INDEX('Per Invoice'!N$2:N$401,$AH5)))</f>
        <v/>
      </c>
      <c r="O5">
        <f>IF($AH5="","",IF(INDEX('Per Invoice'!O$2:O$401,$AH5)="","",INDEX('Per Invoice'!O$2:O$401,$AH5)))</f>
        <v/>
      </c>
      <c r="P5" s="7">
        <f>IF($AH5="","",IF(INDEX('Per Invoice'!P$2:P$401,$AH5)="","",INDEX('Per Invoice'!P$2:P$401,$AH5)))</f>
        <v/>
      </c>
      <c r="Q5">
        <f>IF($AH5="","",IF(INDEX('Per Invoice'!Q$2:Q$401,$AH5)="","",INDEX('Per Invoice'!Q$2:Q$401,$AH5)))</f>
        <v/>
      </c>
      <c r="R5">
        <f>IF($AH5="","",IF(INDEX('Per Invoice'!R$2:R$401,$AH5)="","",INDEX('Per Invoice'!R$2:R$401,$AH5)))</f>
        <v/>
      </c>
      <c r="S5">
        <f>IF($AH5="","",IF(INDEX('Per Invoice'!S$2:S$401,$AH5)="","",INDEX('Per Invoice'!S$2:S$401,$AH5)))</f>
        <v/>
      </c>
      <c r="T5" s="7">
        <f>IF($AH5="","",IF(INDEX('Per Invoice'!T$2:T$401,$AH5)="","",INDEX('Per Invoice'!T$2:T$401,$AH5)))</f>
        <v/>
      </c>
      <c r="U5" s="7">
        <f>IF($AH5="","",IF(INDEX('Per Invoice'!U$2:U$401,$AH5)="","",INDEX('Per Invoice'!U$2:U$401,$AH5)))</f>
        <v/>
      </c>
      <c r="V5">
        <f>IF($AH5="","",IF(INDEX('Per Invoice'!V$2:V$401,$AH5)="","",INDEX('Per Invoice'!V$2:V$401,$AH5)))</f>
        <v/>
      </c>
      <c r="W5" s="7">
        <f>IF($AH5="","",IF(INDEX('Per Invoice'!W$2:W$401,$AH5)="","",INDEX('Per Invoice'!W$2:W$401,$AH5)))</f>
        <v/>
      </c>
      <c r="X5" s="7">
        <f>IF($AH5="","",IF(INDEX('Per Invoice'!X$2:X$401,$AH5)="","",INDEX('Per Invoice'!X$2:X$401,$AH5)))</f>
        <v/>
      </c>
      <c r="Y5">
        <f>IF($AH5="","",IF(INDEX('Per Invoice'!Y$2:Y$401,$AH5)="","",INDEX('Per Invoice'!Y$2:Y$401,$AH5)))</f>
        <v/>
      </c>
      <c r="Z5" s="7">
        <f>IF($AH5="","",IF(INDEX('Per Invoice'!Z$2:Z$401,$AH5)="","",INDEX('Per Invoice'!Z$2:Z$401,$AH5)))</f>
        <v/>
      </c>
      <c r="AA5" s="7">
        <f>IF($AH5="","",IF(INDEX('Per Invoice'!AA$2:AA$401,$AH5)="","",INDEX('Per Invoice'!AA$2:AA$401,$AH5)))</f>
        <v/>
      </c>
      <c r="AB5" s="7">
        <f>IF($AH5="","",IF(INDEX('Per Invoice'!AB$2:AB$401,$AH5)="","",INDEX('Per Invoice'!AB$2:AB$401,$AH5)))</f>
        <v/>
      </c>
      <c r="AC5" s="7">
        <f>IF($AH5="","",IF(INDEX('Per Invoice'!AC$2:AC$401,$AH5)="","",INDEX('Per Invoice'!AC$2:AC$401,$AH5)))</f>
        <v/>
      </c>
      <c r="AD5" s="7">
        <f>IF($AH5="","",IF(INDEX('Per Invoice'!AD$2:AD$401,$AH5)="","",INDEX('Per Invoice'!AD$2:AD$401,$AH5)))</f>
        <v/>
      </c>
      <c r="AE5" s="7">
        <f>IF($AH5="","",IF(INDEX('Per Invoice'!AE$2:AE$401,$AH5)="","",INDEX('Per Invoice'!AE$2:AE$401,$AH5)))</f>
        <v/>
      </c>
      <c r="AF5">
        <f>IF($AH5="","",IF(INDEX('Per Invoice'!AF$2:AF$401,$AH5)="","",INDEX('Per Invoice'!AF$2:AF$401,$AH5)))</f>
        <v/>
      </c>
      <c r="AG5" s="7">
        <f>IF($AH5="","",IF(INDEX('Per Invoice'!AG$2:AG$401,$AH5)="","",INDEX('Per Invoice'!AG$2:AG$401,$AH5)))</f>
        <v/>
      </c>
      <c r="AH5" s="16">
        <f>IFERROR(MATCH(Settings!$C$26&amp;"|"&amp;ROWS($AH$2:$AH5),'Per Invoice'!$AI$2:$AI$401,0),"")</f>
        <v/>
      </c>
    </row>
    <row r="6">
      <c r="A6">
        <f>IF($AH6="","",IF(INDEX('Per Invoice'!A$2:A$401,$AH6)="","",INDEX('Per Invoice'!A$2:A$401,$AH6)))</f>
        <v/>
      </c>
      <c r="B6">
        <f>IF($AH6="","",IF(INDEX('Per Invoice'!B$2:B$401,$AH6)="","",INDEX('Per Invoice'!B$2:B$401,$AH6)))</f>
        <v/>
      </c>
      <c r="C6">
        <f>IF($AH6="","",IF(INDEX('Per Invoice'!C$2:C$401,$AH6)="","",INDEX('Per Invoice'!C$2:C$401,$AH6)))</f>
        <v/>
      </c>
      <c r="D6">
        <f>IF($AH6="","",IF(INDEX('Per Invoice'!D$2:D$401,$AH6)="","",INDEX('Per Invoice'!D$2:D$401,$AH6)))</f>
        <v/>
      </c>
      <c r="E6">
        <f>IF($AH6="","",IF(INDEX('Per Invoice'!E$2:E$401,$AH6)="","",INDEX('Per Invoice'!E$2:E$401,$AH6)))</f>
        <v/>
      </c>
      <c r="F6">
        <f>IF($AH6="","",IF(INDEX('Per Invoice'!F$2:F$401,$AH6)="","",INDEX('Per Invoice'!F$2:F$401,$AH6)))</f>
        <v/>
      </c>
      <c r="G6">
        <f>IF($AH6="","",IF(INDEX('Per Invoice'!G$2:G$401,$AH6)="","",INDEX('Per Invoice'!G$2:G$401,$AH6)))</f>
        <v/>
      </c>
      <c r="H6">
        <f>IF($AH6="","",IF(INDEX('Per Invoice'!H$2:H$401,$AH6)="","",INDEX('Per Invoice'!H$2:H$401,$AH6)))</f>
        <v/>
      </c>
      <c r="I6" s="14">
        <f>IF($AH6="","",IF(INDEX('Per Invoice'!I$2:I$401,$AH6)="","",INDEX('Per Invoice'!I$2:I$401,$AH6)))</f>
        <v/>
      </c>
      <c r="J6">
        <f>IF($AH6="","",IF(INDEX('Per Invoice'!J$2:J$401,$AH6)="","",INDEX('Per Invoice'!J$2:J$401,$AH6)))</f>
        <v/>
      </c>
      <c r="K6">
        <f>IF($AH6="","",IF(INDEX('Per Invoice'!K$2:K$401,$AH6)="","",INDEX('Per Invoice'!K$2:K$401,$AH6)))</f>
        <v/>
      </c>
      <c r="L6">
        <f>IF($AH6="","",IF(INDEX('Per Invoice'!L$2:L$401,$AH6)="","",INDEX('Per Invoice'!L$2:L$401,$AH6)))</f>
        <v/>
      </c>
      <c r="M6">
        <f>IF($AH6="","",IF(INDEX('Per Invoice'!M$2:M$401,$AH6)="","",INDEX('Per Invoice'!M$2:M$401,$AH6)))</f>
        <v/>
      </c>
      <c r="N6">
        <f>IF($AH6="","",IF(INDEX('Per Invoice'!N$2:N$401,$AH6)="","",INDEX('Per Invoice'!N$2:N$401,$AH6)))</f>
        <v/>
      </c>
      <c r="O6">
        <f>IF($AH6="","",IF(INDEX('Per Invoice'!O$2:O$401,$AH6)="","",INDEX('Per Invoice'!O$2:O$401,$AH6)))</f>
        <v/>
      </c>
      <c r="P6" s="7">
        <f>IF($AH6="","",IF(INDEX('Per Invoice'!P$2:P$401,$AH6)="","",INDEX('Per Invoice'!P$2:P$401,$AH6)))</f>
        <v/>
      </c>
      <c r="Q6">
        <f>IF($AH6="","",IF(INDEX('Per Invoice'!Q$2:Q$401,$AH6)="","",INDEX('Per Invoice'!Q$2:Q$401,$AH6)))</f>
        <v/>
      </c>
      <c r="R6">
        <f>IF($AH6="","",IF(INDEX('Per Invoice'!R$2:R$401,$AH6)="","",INDEX('Per Invoice'!R$2:R$401,$AH6)))</f>
        <v/>
      </c>
      <c r="S6">
        <f>IF($AH6="","",IF(INDEX('Per Invoice'!S$2:S$401,$AH6)="","",INDEX('Per Invoice'!S$2:S$401,$AH6)))</f>
        <v/>
      </c>
      <c r="T6" s="7">
        <f>IF($AH6="","",IF(INDEX('Per Invoice'!T$2:T$401,$AH6)="","",INDEX('Per Invoice'!T$2:T$401,$AH6)))</f>
        <v/>
      </c>
      <c r="U6" s="7">
        <f>IF($AH6="","",IF(INDEX('Per Invoice'!U$2:U$401,$AH6)="","",INDEX('Per Invoice'!U$2:U$401,$AH6)))</f>
        <v/>
      </c>
      <c r="V6">
        <f>IF($AH6="","",IF(INDEX('Per Invoice'!V$2:V$401,$AH6)="","",INDEX('Per Invoice'!V$2:V$401,$AH6)))</f>
        <v/>
      </c>
      <c r="W6" s="7">
        <f>IF($AH6="","",IF(INDEX('Per Invoice'!W$2:W$401,$AH6)="","",INDEX('Per Invoice'!W$2:W$401,$AH6)))</f>
        <v/>
      </c>
      <c r="X6" s="7">
        <f>IF($AH6="","",IF(INDEX('Per Invoice'!X$2:X$401,$AH6)="","",INDEX('Per Invoice'!X$2:X$401,$AH6)))</f>
        <v/>
      </c>
      <c r="Y6">
        <f>IF($AH6="","",IF(INDEX('Per Invoice'!Y$2:Y$401,$AH6)="","",INDEX('Per Invoice'!Y$2:Y$401,$AH6)))</f>
        <v/>
      </c>
      <c r="Z6" s="7">
        <f>IF($AH6="","",IF(INDEX('Per Invoice'!Z$2:Z$401,$AH6)="","",INDEX('Per Invoice'!Z$2:Z$401,$AH6)))</f>
        <v/>
      </c>
      <c r="AA6" s="7">
        <f>IF($AH6="","",IF(INDEX('Per Invoice'!AA$2:AA$401,$AH6)="","",INDEX('Per Invoice'!AA$2:AA$401,$AH6)))</f>
        <v/>
      </c>
      <c r="AB6" s="7">
        <f>IF($AH6="","",IF(INDEX('Per Invoice'!AB$2:AB$401,$AH6)="","",INDEX('Per Invoice'!AB$2:AB$401,$AH6)))</f>
        <v/>
      </c>
      <c r="AC6" s="7">
        <f>IF($AH6="","",IF(INDEX('Per Invoice'!AC$2:AC$401,$AH6)="","",INDEX('Per Invoice'!AC$2:AC$401,$AH6)))</f>
        <v/>
      </c>
      <c r="AD6" s="7">
        <f>IF($AH6="","",IF(INDEX('Per Invoice'!AD$2:AD$401,$AH6)="","",INDEX('Per Invoice'!AD$2:AD$401,$AH6)))</f>
        <v/>
      </c>
      <c r="AE6" s="7">
        <f>IF($AH6="","",IF(INDEX('Per Invoice'!AE$2:AE$401,$AH6)="","",INDEX('Per Invoice'!AE$2:AE$401,$AH6)))</f>
        <v/>
      </c>
      <c r="AF6">
        <f>IF($AH6="","",IF(INDEX('Per Invoice'!AF$2:AF$401,$AH6)="","",INDEX('Per Invoice'!AF$2:AF$401,$AH6)))</f>
        <v/>
      </c>
      <c r="AG6" s="7">
        <f>IF($AH6="","",IF(INDEX('Per Invoice'!AG$2:AG$401,$AH6)="","",INDEX('Per Invoice'!AG$2:AG$401,$AH6)))</f>
        <v/>
      </c>
      <c r="AH6" s="16">
        <f>IFERROR(MATCH(Settings!$C$26&amp;"|"&amp;ROWS($AH$2:$AH6),'Per Invoice'!$AI$2:$AI$401,0),"")</f>
        <v/>
      </c>
    </row>
    <row r="7">
      <c r="A7">
        <f>IF($AH7="","",IF(INDEX('Per Invoice'!A$2:A$401,$AH7)="","",INDEX('Per Invoice'!A$2:A$401,$AH7)))</f>
        <v/>
      </c>
      <c r="B7">
        <f>IF($AH7="","",IF(INDEX('Per Invoice'!B$2:B$401,$AH7)="","",INDEX('Per Invoice'!B$2:B$401,$AH7)))</f>
        <v/>
      </c>
      <c r="C7">
        <f>IF($AH7="","",IF(INDEX('Per Invoice'!C$2:C$401,$AH7)="","",INDEX('Per Invoice'!C$2:C$401,$AH7)))</f>
        <v/>
      </c>
      <c r="D7">
        <f>IF($AH7="","",IF(INDEX('Per Invoice'!D$2:D$401,$AH7)="","",INDEX('Per Invoice'!D$2:D$401,$AH7)))</f>
        <v/>
      </c>
      <c r="E7">
        <f>IF($AH7="","",IF(INDEX('Per Invoice'!E$2:E$401,$AH7)="","",INDEX('Per Invoice'!E$2:E$401,$AH7)))</f>
        <v/>
      </c>
      <c r="F7">
        <f>IF($AH7="","",IF(INDEX('Per Invoice'!F$2:F$401,$AH7)="","",INDEX('Per Invoice'!F$2:F$401,$AH7)))</f>
        <v/>
      </c>
      <c r="G7">
        <f>IF($AH7="","",IF(INDEX('Per Invoice'!G$2:G$401,$AH7)="","",INDEX('Per Invoice'!G$2:G$401,$AH7)))</f>
        <v/>
      </c>
      <c r="H7">
        <f>IF($AH7="","",IF(INDEX('Per Invoice'!H$2:H$401,$AH7)="","",INDEX('Per Invoice'!H$2:H$401,$AH7)))</f>
        <v/>
      </c>
      <c r="I7" s="14">
        <f>IF($AH7="","",IF(INDEX('Per Invoice'!I$2:I$401,$AH7)="","",INDEX('Per Invoice'!I$2:I$401,$AH7)))</f>
        <v/>
      </c>
      <c r="J7">
        <f>IF($AH7="","",IF(INDEX('Per Invoice'!J$2:J$401,$AH7)="","",INDEX('Per Invoice'!J$2:J$401,$AH7)))</f>
        <v/>
      </c>
      <c r="K7">
        <f>IF($AH7="","",IF(INDEX('Per Invoice'!K$2:K$401,$AH7)="","",INDEX('Per Invoice'!K$2:K$401,$AH7)))</f>
        <v/>
      </c>
      <c r="L7">
        <f>IF($AH7="","",IF(INDEX('Per Invoice'!L$2:L$401,$AH7)="","",INDEX('Per Invoice'!L$2:L$401,$AH7)))</f>
        <v/>
      </c>
      <c r="M7">
        <f>IF($AH7="","",IF(INDEX('Per Invoice'!M$2:M$401,$AH7)="","",INDEX('Per Invoice'!M$2:M$401,$AH7)))</f>
        <v/>
      </c>
      <c r="N7">
        <f>IF($AH7="","",IF(INDEX('Per Invoice'!N$2:N$401,$AH7)="","",INDEX('Per Invoice'!N$2:N$401,$AH7)))</f>
        <v/>
      </c>
      <c r="O7">
        <f>IF($AH7="","",IF(INDEX('Per Invoice'!O$2:O$401,$AH7)="","",INDEX('Per Invoice'!O$2:O$401,$AH7)))</f>
        <v/>
      </c>
      <c r="P7" s="7">
        <f>IF($AH7="","",IF(INDEX('Per Invoice'!P$2:P$401,$AH7)="","",INDEX('Per Invoice'!P$2:P$401,$AH7)))</f>
        <v/>
      </c>
      <c r="Q7">
        <f>IF($AH7="","",IF(INDEX('Per Invoice'!Q$2:Q$401,$AH7)="","",INDEX('Per Invoice'!Q$2:Q$401,$AH7)))</f>
        <v/>
      </c>
      <c r="R7">
        <f>IF($AH7="","",IF(INDEX('Per Invoice'!R$2:R$401,$AH7)="","",INDEX('Per Invoice'!R$2:R$401,$AH7)))</f>
        <v/>
      </c>
      <c r="S7">
        <f>IF($AH7="","",IF(INDEX('Per Invoice'!S$2:S$401,$AH7)="","",INDEX('Per Invoice'!S$2:S$401,$AH7)))</f>
        <v/>
      </c>
      <c r="T7" s="7">
        <f>IF($AH7="","",IF(INDEX('Per Invoice'!T$2:T$401,$AH7)="","",INDEX('Per Invoice'!T$2:T$401,$AH7)))</f>
        <v/>
      </c>
      <c r="U7" s="7">
        <f>IF($AH7="","",IF(INDEX('Per Invoice'!U$2:U$401,$AH7)="","",INDEX('Per Invoice'!U$2:U$401,$AH7)))</f>
        <v/>
      </c>
      <c r="V7">
        <f>IF($AH7="","",IF(INDEX('Per Invoice'!V$2:V$401,$AH7)="","",INDEX('Per Invoice'!V$2:V$401,$AH7)))</f>
        <v/>
      </c>
      <c r="W7" s="7">
        <f>IF($AH7="","",IF(INDEX('Per Invoice'!W$2:W$401,$AH7)="","",INDEX('Per Invoice'!W$2:W$401,$AH7)))</f>
        <v/>
      </c>
      <c r="X7" s="7">
        <f>IF($AH7="","",IF(INDEX('Per Invoice'!X$2:X$401,$AH7)="","",INDEX('Per Invoice'!X$2:X$401,$AH7)))</f>
        <v/>
      </c>
      <c r="Y7">
        <f>IF($AH7="","",IF(INDEX('Per Invoice'!Y$2:Y$401,$AH7)="","",INDEX('Per Invoice'!Y$2:Y$401,$AH7)))</f>
        <v/>
      </c>
      <c r="Z7" s="7">
        <f>IF($AH7="","",IF(INDEX('Per Invoice'!Z$2:Z$401,$AH7)="","",INDEX('Per Invoice'!Z$2:Z$401,$AH7)))</f>
        <v/>
      </c>
      <c r="AA7" s="7">
        <f>IF($AH7="","",IF(INDEX('Per Invoice'!AA$2:AA$401,$AH7)="","",INDEX('Per Invoice'!AA$2:AA$401,$AH7)))</f>
        <v/>
      </c>
      <c r="AB7" s="7">
        <f>IF($AH7="","",IF(INDEX('Per Invoice'!AB$2:AB$401,$AH7)="","",INDEX('Per Invoice'!AB$2:AB$401,$AH7)))</f>
        <v/>
      </c>
      <c r="AC7" s="7">
        <f>IF($AH7="","",IF(INDEX('Per Invoice'!AC$2:AC$401,$AH7)="","",INDEX('Per Invoice'!AC$2:AC$401,$AH7)))</f>
        <v/>
      </c>
      <c r="AD7" s="7">
        <f>IF($AH7="","",IF(INDEX('Per Invoice'!AD$2:AD$401,$AH7)="","",INDEX('Per Invoice'!AD$2:AD$401,$AH7)))</f>
        <v/>
      </c>
      <c r="AE7" s="7">
        <f>IF($AH7="","",IF(INDEX('Per Invoice'!AE$2:AE$401,$AH7)="","",INDEX('Per Invoice'!AE$2:AE$401,$AH7)))</f>
        <v/>
      </c>
      <c r="AF7">
        <f>IF($AH7="","",IF(INDEX('Per Invoice'!AF$2:AF$401,$AH7)="","",INDEX('Per Invoice'!AF$2:AF$401,$AH7)))</f>
        <v/>
      </c>
      <c r="AG7" s="7">
        <f>IF($AH7="","",IF(INDEX('Per Invoice'!AG$2:AG$401,$AH7)="","",INDEX('Per Invoice'!AG$2:AG$401,$AH7)))</f>
        <v/>
      </c>
      <c r="AH7" s="16">
        <f>IFERROR(MATCH(Settings!$C$26&amp;"|"&amp;ROWS($AH$2:$AH7),'Per Invoice'!$AI$2:$AI$401,0),"")</f>
        <v/>
      </c>
    </row>
    <row r="8">
      <c r="A8">
        <f>IF($AH8="","",IF(INDEX('Per Invoice'!A$2:A$401,$AH8)="","",INDEX('Per Invoice'!A$2:A$401,$AH8)))</f>
        <v/>
      </c>
      <c r="B8">
        <f>IF($AH8="","",IF(INDEX('Per Invoice'!B$2:B$401,$AH8)="","",INDEX('Per Invoice'!B$2:B$401,$AH8)))</f>
        <v/>
      </c>
      <c r="C8">
        <f>IF($AH8="","",IF(INDEX('Per Invoice'!C$2:C$401,$AH8)="","",INDEX('Per Invoice'!C$2:C$401,$AH8)))</f>
        <v/>
      </c>
      <c r="D8">
        <f>IF($AH8="","",IF(INDEX('Per Invoice'!D$2:D$401,$AH8)="","",INDEX('Per Invoice'!D$2:D$401,$AH8)))</f>
        <v/>
      </c>
      <c r="E8">
        <f>IF($AH8="","",IF(INDEX('Per Invoice'!E$2:E$401,$AH8)="","",INDEX('Per Invoice'!E$2:E$401,$AH8)))</f>
        <v/>
      </c>
      <c r="F8">
        <f>IF($AH8="","",IF(INDEX('Per Invoice'!F$2:F$401,$AH8)="","",INDEX('Per Invoice'!F$2:F$401,$AH8)))</f>
        <v/>
      </c>
      <c r="G8">
        <f>IF($AH8="","",IF(INDEX('Per Invoice'!G$2:G$401,$AH8)="","",INDEX('Per Invoice'!G$2:G$401,$AH8)))</f>
        <v/>
      </c>
      <c r="H8">
        <f>IF($AH8="","",IF(INDEX('Per Invoice'!H$2:H$401,$AH8)="","",INDEX('Per Invoice'!H$2:H$401,$AH8)))</f>
        <v/>
      </c>
      <c r="I8" s="14">
        <f>IF($AH8="","",IF(INDEX('Per Invoice'!I$2:I$401,$AH8)="","",INDEX('Per Invoice'!I$2:I$401,$AH8)))</f>
        <v/>
      </c>
      <c r="J8">
        <f>IF($AH8="","",IF(INDEX('Per Invoice'!J$2:J$401,$AH8)="","",INDEX('Per Invoice'!J$2:J$401,$AH8)))</f>
        <v/>
      </c>
      <c r="K8">
        <f>IF($AH8="","",IF(INDEX('Per Invoice'!K$2:K$401,$AH8)="","",INDEX('Per Invoice'!K$2:K$401,$AH8)))</f>
        <v/>
      </c>
      <c r="L8">
        <f>IF($AH8="","",IF(INDEX('Per Invoice'!L$2:L$401,$AH8)="","",INDEX('Per Invoice'!L$2:L$401,$AH8)))</f>
        <v/>
      </c>
      <c r="M8">
        <f>IF($AH8="","",IF(INDEX('Per Invoice'!M$2:M$401,$AH8)="","",INDEX('Per Invoice'!M$2:M$401,$AH8)))</f>
        <v/>
      </c>
      <c r="N8">
        <f>IF($AH8="","",IF(INDEX('Per Invoice'!N$2:N$401,$AH8)="","",INDEX('Per Invoice'!N$2:N$401,$AH8)))</f>
        <v/>
      </c>
      <c r="O8">
        <f>IF($AH8="","",IF(INDEX('Per Invoice'!O$2:O$401,$AH8)="","",INDEX('Per Invoice'!O$2:O$401,$AH8)))</f>
        <v/>
      </c>
      <c r="P8" s="7">
        <f>IF($AH8="","",IF(INDEX('Per Invoice'!P$2:P$401,$AH8)="","",INDEX('Per Invoice'!P$2:P$401,$AH8)))</f>
        <v/>
      </c>
      <c r="Q8">
        <f>IF($AH8="","",IF(INDEX('Per Invoice'!Q$2:Q$401,$AH8)="","",INDEX('Per Invoice'!Q$2:Q$401,$AH8)))</f>
        <v/>
      </c>
      <c r="R8">
        <f>IF($AH8="","",IF(INDEX('Per Invoice'!R$2:R$401,$AH8)="","",INDEX('Per Invoice'!R$2:R$401,$AH8)))</f>
        <v/>
      </c>
      <c r="S8">
        <f>IF($AH8="","",IF(INDEX('Per Invoice'!S$2:S$401,$AH8)="","",INDEX('Per Invoice'!S$2:S$401,$AH8)))</f>
        <v/>
      </c>
      <c r="T8" s="7">
        <f>IF($AH8="","",IF(INDEX('Per Invoice'!T$2:T$401,$AH8)="","",INDEX('Per Invoice'!T$2:T$401,$AH8)))</f>
        <v/>
      </c>
      <c r="U8" s="7">
        <f>IF($AH8="","",IF(INDEX('Per Invoice'!U$2:U$401,$AH8)="","",INDEX('Per Invoice'!U$2:U$401,$AH8)))</f>
        <v/>
      </c>
      <c r="V8">
        <f>IF($AH8="","",IF(INDEX('Per Invoice'!V$2:V$401,$AH8)="","",INDEX('Per Invoice'!V$2:V$401,$AH8)))</f>
        <v/>
      </c>
      <c r="W8" s="7">
        <f>IF($AH8="","",IF(INDEX('Per Invoice'!W$2:W$401,$AH8)="","",INDEX('Per Invoice'!W$2:W$401,$AH8)))</f>
        <v/>
      </c>
      <c r="X8" s="7">
        <f>IF($AH8="","",IF(INDEX('Per Invoice'!X$2:X$401,$AH8)="","",INDEX('Per Invoice'!X$2:X$401,$AH8)))</f>
        <v/>
      </c>
      <c r="Y8">
        <f>IF($AH8="","",IF(INDEX('Per Invoice'!Y$2:Y$401,$AH8)="","",INDEX('Per Invoice'!Y$2:Y$401,$AH8)))</f>
        <v/>
      </c>
      <c r="Z8" s="7">
        <f>IF($AH8="","",IF(INDEX('Per Invoice'!Z$2:Z$401,$AH8)="","",INDEX('Per Invoice'!Z$2:Z$401,$AH8)))</f>
        <v/>
      </c>
      <c r="AA8" s="7">
        <f>IF($AH8="","",IF(INDEX('Per Invoice'!AA$2:AA$401,$AH8)="","",INDEX('Per Invoice'!AA$2:AA$401,$AH8)))</f>
        <v/>
      </c>
      <c r="AB8" s="7">
        <f>IF($AH8="","",IF(INDEX('Per Invoice'!AB$2:AB$401,$AH8)="","",INDEX('Per Invoice'!AB$2:AB$401,$AH8)))</f>
        <v/>
      </c>
      <c r="AC8" s="7">
        <f>IF($AH8="","",IF(INDEX('Per Invoice'!AC$2:AC$401,$AH8)="","",INDEX('Per Invoice'!AC$2:AC$401,$AH8)))</f>
        <v/>
      </c>
      <c r="AD8" s="7">
        <f>IF($AH8="","",IF(INDEX('Per Invoice'!AD$2:AD$401,$AH8)="","",INDEX('Per Invoice'!AD$2:AD$401,$AH8)))</f>
        <v/>
      </c>
      <c r="AE8" s="7">
        <f>IF($AH8="","",IF(INDEX('Per Invoice'!AE$2:AE$401,$AH8)="","",INDEX('Per Invoice'!AE$2:AE$401,$AH8)))</f>
        <v/>
      </c>
      <c r="AF8">
        <f>IF($AH8="","",IF(INDEX('Per Invoice'!AF$2:AF$401,$AH8)="","",INDEX('Per Invoice'!AF$2:AF$401,$AH8)))</f>
        <v/>
      </c>
      <c r="AG8" s="7">
        <f>IF($AH8="","",IF(INDEX('Per Invoice'!AG$2:AG$401,$AH8)="","",INDEX('Per Invoice'!AG$2:AG$401,$AH8)))</f>
        <v/>
      </c>
      <c r="AH8" s="16">
        <f>IFERROR(MATCH(Settings!$C$26&amp;"|"&amp;ROWS($AH$2:$AH8),'Per Invoice'!$AI$2:$AI$401,0),"")</f>
        <v/>
      </c>
    </row>
    <row r="9">
      <c r="A9">
        <f>IF($AH9="","",IF(INDEX('Per Invoice'!A$2:A$401,$AH9)="","",INDEX('Per Invoice'!A$2:A$401,$AH9)))</f>
        <v/>
      </c>
      <c r="B9">
        <f>IF($AH9="","",IF(INDEX('Per Invoice'!B$2:B$401,$AH9)="","",INDEX('Per Invoice'!B$2:B$401,$AH9)))</f>
        <v/>
      </c>
      <c r="C9">
        <f>IF($AH9="","",IF(INDEX('Per Invoice'!C$2:C$401,$AH9)="","",INDEX('Per Invoice'!C$2:C$401,$AH9)))</f>
        <v/>
      </c>
      <c r="D9">
        <f>IF($AH9="","",IF(INDEX('Per Invoice'!D$2:D$401,$AH9)="","",INDEX('Per Invoice'!D$2:D$401,$AH9)))</f>
        <v/>
      </c>
      <c r="E9">
        <f>IF($AH9="","",IF(INDEX('Per Invoice'!E$2:E$401,$AH9)="","",INDEX('Per Invoice'!E$2:E$401,$AH9)))</f>
        <v/>
      </c>
      <c r="F9">
        <f>IF($AH9="","",IF(INDEX('Per Invoice'!F$2:F$401,$AH9)="","",INDEX('Per Invoice'!F$2:F$401,$AH9)))</f>
        <v/>
      </c>
      <c r="G9">
        <f>IF($AH9="","",IF(INDEX('Per Invoice'!G$2:G$401,$AH9)="","",INDEX('Per Invoice'!G$2:G$401,$AH9)))</f>
        <v/>
      </c>
      <c r="H9">
        <f>IF($AH9="","",IF(INDEX('Per Invoice'!H$2:H$401,$AH9)="","",INDEX('Per Invoice'!H$2:H$401,$AH9)))</f>
        <v/>
      </c>
      <c r="I9" s="14">
        <f>IF($AH9="","",IF(INDEX('Per Invoice'!I$2:I$401,$AH9)="","",INDEX('Per Invoice'!I$2:I$401,$AH9)))</f>
        <v/>
      </c>
      <c r="J9">
        <f>IF($AH9="","",IF(INDEX('Per Invoice'!J$2:J$401,$AH9)="","",INDEX('Per Invoice'!J$2:J$401,$AH9)))</f>
        <v/>
      </c>
      <c r="K9">
        <f>IF($AH9="","",IF(INDEX('Per Invoice'!K$2:K$401,$AH9)="","",INDEX('Per Invoice'!K$2:K$401,$AH9)))</f>
        <v/>
      </c>
      <c r="L9">
        <f>IF($AH9="","",IF(INDEX('Per Invoice'!L$2:L$401,$AH9)="","",INDEX('Per Invoice'!L$2:L$401,$AH9)))</f>
        <v/>
      </c>
      <c r="M9">
        <f>IF($AH9="","",IF(INDEX('Per Invoice'!M$2:M$401,$AH9)="","",INDEX('Per Invoice'!M$2:M$401,$AH9)))</f>
        <v/>
      </c>
      <c r="N9">
        <f>IF($AH9="","",IF(INDEX('Per Invoice'!N$2:N$401,$AH9)="","",INDEX('Per Invoice'!N$2:N$401,$AH9)))</f>
        <v/>
      </c>
      <c r="O9">
        <f>IF($AH9="","",IF(INDEX('Per Invoice'!O$2:O$401,$AH9)="","",INDEX('Per Invoice'!O$2:O$401,$AH9)))</f>
        <v/>
      </c>
      <c r="P9" s="7">
        <f>IF($AH9="","",IF(INDEX('Per Invoice'!P$2:P$401,$AH9)="","",INDEX('Per Invoice'!P$2:P$401,$AH9)))</f>
        <v/>
      </c>
      <c r="Q9">
        <f>IF($AH9="","",IF(INDEX('Per Invoice'!Q$2:Q$401,$AH9)="","",INDEX('Per Invoice'!Q$2:Q$401,$AH9)))</f>
        <v/>
      </c>
      <c r="R9">
        <f>IF($AH9="","",IF(INDEX('Per Invoice'!R$2:R$401,$AH9)="","",INDEX('Per Invoice'!R$2:R$401,$AH9)))</f>
        <v/>
      </c>
      <c r="S9">
        <f>IF($AH9="","",IF(INDEX('Per Invoice'!S$2:S$401,$AH9)="","",INDEX('Per Invoice'!S$2:S$401,$AH9)))</f>
        <v/>
      </c>
      <c r="T9" s="7">
        <f>IF($AH9="","",IF(INDEX('Per Invoice'!T$2:T$401,$AH9)="","",INDEX('Per Invoice'!T$2:T$401,$AH9)))</f>
        <v/>
      </c>
      <c r="U9" s="7">
        <f>IF($AH9="","",IF(INDEX('Per Invoice'!U$2:U$401,$AH9)="","",INDEX('Per Invoice'!U$2:U$401,$AH9)))</f>
        <v/>
      </c>
      <c r="V9">
        <f>IF($AH9="","",IF(INDEX('Per Invoice'!V$2:V$401,$AH9)="","",INDEX('Per Invoice'!V$2:V$401,$AH9)))</f>
        <v/>
      </c>
      <c r="W9" s="7">
        <f>IF($AH9="","",IF(INDEX('Per Invoice'!W$2:W$401,$AH9)="","",INDEX('Per Invoice'!W$2:W$401,$AH9)))</f>
        <v/>
      </c>
      <c r="X9" s="7">
        <f>IF($AH9="","",IF(INDEX('Per Invoice'!X$2:X$401,$AH9)="","",INDEX('Per Invoice'!X$2:X$401,$AH9)))</f>
        <v/>
      </c>
      <c r="Y9">
        <f>IF($AH9="","",IF(INDEX('Per Invoice'!Y$2:Y$401,$AH9)="","",INDEX('Per Invoice'!Y$2:Y$401,$AH9)))</f>
        <v/>
      </c>
      <c r="Z9" s="7">
        <f>IF($AH9="","",IF(INDEX('Per Invoice'!Z$2:Z$401,$AH9)="","",INDEX('Per Invoice'!Z$2:Z$401,$AH9)))</f>
        <v/>
      </c>
      <c r="AA9" s="7">
        <f>IF($AH9="","",IF(INDEX('Per Invoice'!AA$2:AA$401,$AH9)="","",INDEX('Per Invoice'!AA$2:AA$401,$AH9)))</f>
        <v/>
      </c>
      <c r="AB9" s="7">
        <f>IF($AH9="","",IF(INDEX('Per Invoice'!AB$2:AB$401,$AH9)="","",INDEX('Per Invoice'!AB$2:AB$401,$AH9)))</f>
        <v/>
      </c>
      <c r="AC9" s="7">
        <f>IF($AH9="","",IF(INDEX('Per Invoice'!AC$2:AC$401,$AH9)="","",INDEX('Per Invoice'!AC$2:AC$401,$AH9)))</f>
        <v/>
      </c>
      <c r="AD9" s="7">
        <f>IF($AH9="","",IF(INDEX('Per Invoice'!AD$2:AD$401,$AH9)="","",INDEX('Per Invoice'!AD$2:AD$401,$AH9)))</f>
        <v/>
      </c>
      <c r="AE9" s="7">
        <f>IF($AH9="","",IF(INDEX('Per Invoice'!AE$2:AE$401,$AH9)="","",INDEX('Per Invoice'!AE$2:AE$401,$AH9)))</f>
        <v/>
      </c>
      <c r="AF9">
        <f>IF($AH9="","",IF(INDEX('Per Invoice'!AF$2:AF$401,$AH9)="","",INDEX('Per Invoice'!AF$2:AF$401,$AH9)))</f>
        <v/>
      </c>
      <c r="AG9" s="7">
        <f>IF($AH9="","",IF(INDEX('Per Invoice'!AG$2:AG$401,$AH9)="","",INDEX('Per Invoice'!AG$2:AG$401,$AH9)))</f>
        <v/>
      </c>
      <c r="AH9" s="16">
        <f>IFERROR(MATCH(Settings!$C$26&amp;"|"&amp;ROWS($AH$2:$AH9),'Per Invoice'!$AI$2:$AI$401,0),"")</f>
        <v/>
      </c>
    </row>
    <row r="10">
      <c r="A10">
        <f>IF($AH10="","",IF(INDEX('Per Invoice'!A$2:A$401,$AH10)="","",INDEX('Per Invoice'!A$2:A$401,$AH10)))</f>
        <v/>
      </c>
      <c r="B10">
        <f>IF($AH10="","",IF(INDEX('Per Invoice'!B$2:B$401,$AH10)="","",INDEX('Per Invoice'!B$2:B$401,$AH10)))</f>
        <v/>
      </c>
      <c r="C10">
        <f>IF($AH10="","",IF(INDEX('Per Invoice'!C$2:C$401,$AH10)="","",INDEX('Per Invoice'!C$2:C$401,$AH10)))</f>
        <v/>
      </c>
      <c r="D10">
        <f>IF($AH10="","",IF(INDEX('Per Invoice'!D$2:D$401,$AH10)="","",INDEX('Per Invoice'!D$2:D$401,$AH10)))</f>
        <v/>
      </c>
      <c r="E10">
        <f>IF($AH10="","",IF(INDEX('Per Invoice'!E$2:E$401,$AH10)="","",INDEX('Per Invoice'!E$2:E$401,$AH10)))</f>
        <v/>
      </c>
      <c r="F10">
        <f>IF($AH10="","",IF(INDEX('Per Invoice'!F$2:F$401,$AH10)="","",INDEX('Per Invoice'!F$2:F$401,$AH10)))</f>
        <v/>
      </c>
      <c r="G10">
        <f>IF($AH10="","",IF(INDEX('Per Invoice'!G$2:G$401,$AH10)="","",INDEX('Per Invoice'!G$2:G$401,$AH10)))</f>
        <v/>
      </c>
      <c r="H10">
        <f>IF($AH10="","",IF(INDEX('Per Invoice'!H$2:H$401,$AH10)="","",INDEX('Per Invoice'!H$2:H$401,$AH10)))</f>
        <v/>
      </c>
      <c r="I10" s="14">
        <f>IF($AH10="","",IF(INDEX('Per Invoice'!I$2:I$401,$AH10)="","",INDEX('Per Invoice'!I$2:I$401,$AH10)))</f>
        <v/>
      </c>
      <c r="J10">
        <f>IF($AH10="","",IF(INDEX('Per Invoice'!J$2:J$401,$AH10)="","",INDEX('Per Invoice'!J$2:J$401,$AH10)))</f>
        <v/>
      </c>
      <c r="K10">
        <f>IF($AH10="","",IF(INDEX('Per Invoice'!K$2:K$401,$AH10)="","",INDEX('Per Invoice'!K$2:K$401,$AH10)))</f>
        <v/>
      </c>
      <c r="L10">
        <f>IF($AH10="","",IF(INDEX('Per Invoice'!L$2:L$401,$AH10)="","",INDEX('Per Invoice'!L$2:L$401,$AH10)))</f>
        <v/>
      </c>
      <c r="M10">
        <f>IF($AH10="","",IF(INDEX('Per Invoice'!M$2:M$401,$AH10)="","",INDEX('Per Invoice'!M$2:M$401,$AH10)))</f>
        <v/>
      </c>
      <c r="N10">
        <f>IF($AH10="","",IF(INDEX('Per Invoice'!N$2:N$401,$AH10)="","",INDEX('Per Invoice'!N$2:N$401,$AH10)))</f>
        <v/>
      </c>
      <c r="O10">
        <f>IF($AH10="","",IF(INDEX('Per Invoice'!O$2:O$401,$AH10)="","",INDEX('Per Invoice'!O$2:O$401,$AH10)))</f>
        <v/>
      </c>
      <c r="P10" s="7">
        <f>IF($AH10="","",IF(INDEX('Per Invoice'!P$2:P$401,$AH10)="","",INDEX('Per Invoice'!P$2:P$401,$AH10)))</f>
        <v/>
      </c>
      <c r="Q10">
        <f>IF($AH10="","",IF(INDEX('Per Invoice'!Q$2:Q$401,$AH10)="","",INDEX('Per Invoice'!Q$2:Q$401,$AH10)))</f>
        <v/>
      </c>
      <c r="R10">
        <f>IF($AH10="","",IF(INDEX('Per Invoice'!R$2:R$401,$AH10)="","",INDEX('Per Invoice'!R$2:R$401,$AH10)))</f>
        <v/>
      </c>
      <c r="S10">
        <f>IF($AH10="","",IF(INDEX('Per Invoice'!S$2:S$401,$AH10)="","",INDEX('Per Invoice'!S$2:S$401,$AH10)))</f>
        <v/>
      </c>
      <c r="T10" s="7">
        <f>IF($AH10="","",IF(INDEX('Per Invoice'!T$2:T$401,$AH10)="","",INDEX('Per Invoice'!T$2:T$401,$AH10)))</f>
        <v/>
      </c>
      <c r="U10" s="7">
        <f>IF($AH10="","",IF(INDEX('Per Invoice'!U$2:U$401,$AH10)="","",INDEX('Per Invoice'!U$2:U$401,$AH10)))</f>
        <v/>
      </c>
      <c r="V10">
        <f>IF($AH10="","",IF(INDEX('Per Invoice'!V$2:V$401,$AH10)="","",INDEX('Per Invoice'!V$2:V$401,$AH10)))</f>
        <v/>
      </c>
      <c r="W10" s="7">
        <f>IF($AH10="","",IF(INDEX('Per Invoice'!W$2:W$401,$AH10)="","",INDEX('Per Invoice'!W$2:W$401,$AH10)))</f>
        <v/>
      </c>
      <c r="X10" s="7">
        <f>IF($AH10="","",IF(INDEX('Per Invoice'!X$2:X$401,$AH10)="","",INDEX('Per Invoice'!X$2:X$401,$AH10)))</f>
        <v/>
      </c>
      <c r="Y10">
        <f>IF($AH10="","",IF(INDEX('Per Invoice'!Y$2:Y$401,$AH10)="","",INDEX('Per Invoice'!Y$2:Y$401,$AH10)))</f>
        <v/>
      </c>
      <c r="Z10" s="7">
        <f>IF($AH10="","",IF(INDEX('Per Invoice'!Z$2:Z$401,$AH10)="","",INDEX('Per Invoice'!Z$2:Z$401,$AH10)))</f>
        <v/>
      </c>
      <c r="AA10" s="7">
        <f>IF($AH10="","",IF(INDEX('Per Invoice'!AA$2:AA$401,$AH10)="","",INDEX('Per Invoice'!AA$2:AA$401,$AH10)))</f>
        <v/>
      </c>
      <c r="AB10" s="7">
        <f>IF($AH10="","",IF(INDEX('Per Invoice'!AB$2:AB$401,$AH10)="","",INDEX('Per Invoice'!AB$2:AB$401,$AH10)))</f>
        <v/>
      </c>
      <c r="AC10" s="7">
        <f>IF($AH10="","",IF(INDEX('Per Invoice'!AC$2:AC$401,$AH10)="","",INDEX('Per Invoice'!AC$2:AC$401,$AH10)))</f>
        <v/>
      </c>
      <c r="AD10" s="7">
        <f>IF($AH10="","",IF(INDEX('Per Invoice'!AD$2:AD$401,$AH10)="","",INDEX('Per Invoice'!AD$2:AD$401,$AH10)))</f>
        <v/>
      </c>
      <c r="AE10" s="7">
        <f>IF($AH10="","",IF(INDEX('Per Invoice'!AE$2:AE$401,$AH10)="","",INDEX('Per Invoice'!AE$2:AE$401,$AH10)))</f>
        <v/>
      </c>
      <c r="AF10">
        <f>IF($AH10="","",IF(INDEX('Per Invoice'!AF$2:AF$401,$AH10)="","",INDEX('Per Invoice'!AF$2:AF$401,$AH10)))</f>
        <v/>
      </c>
      <c r="AG10" s="7">
        <f>IF($AH10="","",IF(INDEX('Per Invoice'!AG$2:AG$401,$AH10)="","",INDEX('Per Invoice'!AG$2:AG$401,$AH10)))</f>
        <v/>
      </c>
      <c r="AH10" s="16">
        <f>IFERROR(MATCH(Settings!$C$26&amp;"|"&amp;ROWS($AH$2:$AH10),'Per Invoice'!$AI$2:$AI$401,0),"")</f>
        <v/>
      </c>
    </row>
    <row r="11">
      <c r="A11">
        <f>IF($AH11="","",IF(INDEX('Per Invoice'!A$2:A$401,$AH11)="","",INDEX('Per Invoice'!A$2:A$401,$AH11)))</f>
        <v/>
      </c>
      <c r="B11">
        <f>IF($AH11="","",IF(INDEX('Per Invoice'!B$2:B$401,$AH11)="","",INDEX('Per Invoice'!B$2:B$401,$AH11)))</f>
        <v/>
      </c>
      <c r="C11">
        <f>IF($AH11="","",IF(INDEX('Per Invoice'!C$2:C$401,$AH11)="","",INDEX('Per Invoice'!C$2:C$401,$AH11)))</f>
        <v/>
      </c>
      <c r="D11">
        <f>IF($AH11="","",IF(INDEX('Per Invoice'!D$2:D$401,$AH11)="","",INDEX('Per Invoice'!D$2:D$401,$AH11)))</f>
        <v/>
      </c>
      <c r="E11">
        <f>IF($AH11="","",IF(INDEX('Per Invoice'!E$2:E$401,$AH11)="","",INDEX('Per Invoice'!E$2:E$401,$AH11)))</f>
        <v/>
      </c>
      <c r="F11">
        <f>IF($AH11="","",IF(INDEX('Per Invoice'!F$2:F$401,$AH11)="","",INDEX('Per Invoice'!F$2:F$401,$AH11)))</f>
        <v/>
      </c>
      <c r="G11">
        <f>IF($AH11="","",IF(INDEX('Per Invoice'!G$2:G$401,$AH11)="","",INDEX('Per Invoice'!G$2:G$401,$AH11)))</f>
        <v/>
      </c>
      <c r="H11">
        <f>IF($AH11="","",IF(INDEX('Per Invoice'!H$2:H$401,$AH11)="","",INDEX('Per Invoice'!H$2:H$401,$AH11)))</f>
        <v/>
      </c>
      <c r="I11" s="14">
        <f>IF($AH11="","",IF(INDEX('Per Invoice'!I$2:I$401,$AH11)="","",INDEX('Per Invoice'!I$2:I$401,$AH11)))</f>
        <v/>
      </c>
      <c r="J11">
        <f>IF($AH11="","",IF(INDEX('Per Invoice'!J$2:J$401,$AH11)="","",INDEX('Per Invoice'!J$2:J$401,$AH11)))</f>
        <v/>
      </c>
      <c r="K11">
        <f>IF($AH11="","",IF(INDEX('Per Invoice'!K$2:K$401,$AH11)="","",INDEX('Per Invoice'!K$2:K$401,$AH11)))</f>
        <v/>
      </c>
      <c r="L11">
        <f>IF($AH11="","",IF(INDEX('Per Invoice'!L$2:L$401,$AH11)="","",INDEX('Per Invoice'!L$2:L$401,$AH11)))</f>
        <v/>
      </c>
      <c r="M11">
        <f>IF($AH11="","",IF(INDEX('Per Invoice'!M$2:M$401,$AH11)="","",INDEX('Per Invoice'!M$2:M$401,$AH11)))</f>
        <v/>
      </c>
      <c r="N11">
        <f>IF($AH11="","",IF(INDEX('Per Invoice'!N$2:N$401,$AH11)="","",INDEX('Per Invoice'!N$2:N$401,$AH11)))</f>
        <v/>
      </c>
      <c r="O11">
        <f>IF($AH11="","",IF(INDEX('Per Invoice'!O$2:O$401,$AH11)="","",INDEX('Per Invoice'!O$2:O$401,$AH11)))</f>
        <v/>
      </c>
      <c r="P11" s="7">
        <f>IF($AH11="","",IF(INDEX('Per Invoice'!P$2:P$401,$AH11)="","",INDEX('Per Invoice'!P$2:P$401,$AH11)))</f>
        <v/>
      </c>
      <c r="Q11">
        <f>IF($AH11="","",IF(INDEX('Per Invoice'!Q$2:Q$401,$AH11)="","",INDEX('Per Invoice'!Q$2:Q$401,$AH11)))</f>
        <v/>
      </c>
      <c r="R11">
        <f>IF($AH11="","",IF(INDEX('Per Invoice'!R$2:R$401,$AH11)="","",INDEX('Per Invoice'!R$2:R$401,$AH11)))</f>
        <v/>
      </c>
      <c r="S11">
        <f>IF($AH11="","",IF(INDEX('Per Invoice'!S$2:S$401,$AH11)="","",INDEX('Per Invoice'!S$2:S$401,$AH11)))</f>
        <v/>
      </c>
      <c r="T11" s="7">
        <f>IF($AH11="","",IF(INDEX('Per Invoice'!T$2:T$401,$AH11)="","",INDEX('Per Invoice'!T$2:T$401,$AH11)))</f>
        <v/>
      </c>
      <c r="U11" s="7">
        <f>IF($AH11="","",IF(INDEX('Per Invoice'!U$2:U$401,$AH11)="","",INDEX('Per Invoice'!U$2:U$401,$AH11)))</f>
        <v/>
      </c>
      <c r="V11">
        <f>IF($AH11="","",IF(INDEX('Per Invoice'!V$2:V$401,$AH11)="","",INDEX('Per Invoice'!V$2:V$401,$AH11)))</f>
        <v/>
      </c>
      <c r="W11" s="7">
        <f>IF($AH11="","",IF(INDEX('Per Invoice'!W$2:W$401,$AH11)="","",INDEX('Per Invoice'!W$2:W$401,$AH11)))</f>
        <v/>
      </c>
      <c r="X11" s="7">
        <f>IF($AH11="","",IF(INDEX('Per Invoice'!X$2:X$401,$AH11)="","",INDEX('Per Invoice'!X$2:X$401,$AH11)))</f>
        <v/>
      </c>
      <c r="Y11">
        <f>IF($AH11="","",IF(INDEX('Per Invoice'!Y$2:Y$401,$AH11)="","",INDEX('Per Invoice'!Y$2:Y$401,$AH11)))</f>
        <v/>
      </c>
      <c r="Z11" s="7">
        <f>IF($AH11="","",IF(INDEX('Per Invoice'!Z$2:Z$401,$AH11)="","",INDEX('Per Invoice'!Z$2:Z$401,$AH11)))</f>
        <v/>
      </c>
      <c r="AA11" s="7">
        <f>IF($AH11="","",IF(INDEX('Per Invoice'!AA$2:AA$401,$AH11)="","",INDEX('Per Invoice'!AA$2:AA$401,$AH11)))</f>
        <v/>
      </c>
      <c r="AB11" s="7">
        <f>IF($AH11="","",IF(INDEX('Per Invoice'!AB$2:AB$401,$AH11)="","",INDEX('Per Invoice'!AB$2:AB$401,$AH11)))</f>
        <v/>
      </c>
      <c r="AC11" s="7">
        <f>IF($AH11="","",IF(INDEX('Per Invoice'!AC$2:AC$401,$AH11)="","",INDEX('Per Invoice'!AC$2:AC$401,$AH11)))</f>
        <v/>
      </c>
      <c r="AD11" s="7">
        <f>IF($AH11="","",IF(INDEX('Per Invoice'!AD$2:AD$401,$AH11)="","",INDEX('Per Invoice'!AD$2:AD$401,$AH11)))</f>
        <v/>
      </c>
      <c r="AE11" s="7">
        <f>IF($AH11="","",IF(INDEX('Per Invoice'!AE$2:AE$401,$AH11)="","",INDEX('Per Invoice'!AE$2:AE$401,$AH11)))</f>
        <v/>
      </c>
      <c r="AF11">
        <f>IF($AH11="","",IF(INDEX('Per Invoice'!AF$2:AF$401,$AH11)="","",INDEX('Per Invoice'!AF$2:AF$401,$AH11)))</f>
        <v/>
      </c>
      <c r="AG11" s="7">
        <f>IF($AH11="","",IF(INDEX('Per Invoice'!AG$2:AG$401,$AH11)="","",INDEX('Per Invoice'!AG$2:AG$401,$AH11)))</f>
        <v/>
      </c>
      <c r="AH11" s="16">
        <f>IFERROR(MATCH(Settings!$C$26&amp;"|"&amp;ROWS($AH$2:$AH11),'Per Invoice'!$AI$2:$AI$401,0),"")</f>
        <v/>
      </c>
    </row>
    <row r="12">
      <c r="A12">
        <f>IF($AH12="","",IF(INDEX('Per Invoice'!A$2:A$401,$AH12)="","",INDEX('Per Invoice'!A$2:A$401,$AH12)))</f>
        <v/>
      </c>
      <c r="B12">
        <f>IF($AH12="","",IF(INDEX('Per Invoice'!B$2:B$401,$AH12)="","",INDEX('Per Invoice'!B$2:B$401,$AH12)))</f>
        <v/>
      </c>
      <c r="C12">
        <f>IF($AH12="","",IF(INDEX('Per Invoice'!C$2:C$401,$AH12)="","",INDEX('Per Invoice'!C$2:C$401,$AH12)))</f>
        <v/>
      </c>
      <c r="D12">
        <f>IF($AH12="","",IF(INDEX('Per Invoice'!D$2:D$401,$AH12)="","",INDEX('Per Invoice'!D$2:D$401,$AH12)))</f>
        <v/>
      </c>
      <c r="E12">
        <f>IF($AH12="","",IF(INDEX('Per Invoice'!E$2:E$401,$AH12)="","",INDEX('Per Invoice'!E$2:E$401,$AH12)))</f>
        <v/>
      </c>
      <c r="F12">
        <f>IF($AH12="","",IF(INDEX('Per Invoice'!F$2:F$401,$AH12)="","",INDEX('Per Invoice'!F$2:F$401,$AH12)))</f>
        <v/>
      </c>
      <c r="G12">
        <f>IF($AH12="","",IF(INDEX('Per Invoice'!G$2:G$401,$AH12)="","",INDEX('Per Invoice'!G$2:G$401,$AH12)))</f>
        <v/>
      </c>
      <c r="H12">
        <f>IF($AH12="","",IF(INDEX('Per Invoice'!H$2:H$401,$AH12)="","",INDEX('Per Invoice'!H$2:H$401,$AH12)))</f>
        <v/>
      </c>
      <c r="I12" s="14">
        <f>IF($AH12="","",IF(INDEX('Per Invoice'!I$2:I$401,$AH12)="","",INDEX('Per Invoice'!I$2:I$401,$AH12)))</f>
        <v/>
      </c>
      <c r="J12">
        <f>IF($AH12="","",IF(INDEX('Per Invoice'!J$2:J$401,$AH12)="","",INDEX('Per Invoice'!J$2:J$401,$AH12)))</f>
        <v/>
      </c>
      <c r="K12">
        <f>IF($AH12="","",IF(INDEX('Per Invoice'!K$2:K$401,$AH12)="","",INDEX('Per Invoice'!K$2:K$401,$AH12)))</f>
        <v/>
      </c>
      <c r="L12">
        <f>IF($AH12="","",IF(INDEX('Per Invoice'!L$2:L$401,$AH12)="","",INDEX('Per Invoice'!L$2:L$401,$AH12)))</f>
        <v/>
      </c>
      <c r="M12">
        <f>IF($AH12="","",IF(INDEX('Per Invoice'!M$2:M$401,$AH12)="","",INDEX('Per Invoice'!M$2:M$401,$AH12)))</f>
        <v/>
      </c>
      <c r="N12">
        <f>IF($AH12="","",IF(INDEX('Per Invoice'!N$2:N$401,$AH12)="","",INDEX('Per Invoice'!N$2:N$401,$AH12)))</f>
        <v/>
      </c>
      <c r="O12">
        <f>IF($AH12="","",IF(INDEX('Per Invoice'!O$2:O$401,$AH12)="","",INDEX('Per Invoice'!O$2:O$401,$AH12)))</f>
        <v/>
      </c>
      <c r="P12" s="7">
        <f>IF($AH12="","",IF(INDEX('Per Invoice'!P$2:P$401,$AH12)="","",INDEX('Per Invoice'!P$2:P$401,$AH12)))</f>
        <v/>
      </c>
      <c r="Q12">
        <f>IF($AH12="","",IF(INDEX('Per Invoice'!Q$2:Q$401,$AH12)="","",INDEX('Per Invoice'!Q$2:Q$401,$AH12)))</f>
        <v/>
      </c>
      <c r="R12">
        <f>IF($AH12="","",IF(INDEX('Per Invoice'!R$2:R$401,$AH12)="","",INDEX('Per Invoice'!R$2:R$401,$AH12)))</f>
        <v/>
      </c>
      <c r="S12">
        <f>IF($AH12="","",IF(INDEX('Per Invoice'!S$2:S$401,$AH12)="","",INDEX('Per Invoice'!S$2:S$401,$AH12)))</f>
        <v/>
      </c>
      <c r="T12" s="7">
        <f>IF($AH12="","",IF(INDEX('Per Invoice'!T$2:T$401,$AH12)="","",INDEX('Per Invoice'!T$2:T$401,$AH12)))</f>
        <v/>
      </c>
      <c r="U12" s="7">
        <f>IF($AH12="","",IF(INDEX('Per Invoice'!U$2:U$401,$AH12)="","",INDEX('Per Invoice'!U$2:U$401,$AH12)))</f>
        <v/>
      </c>
      <c r="V12">
        <f>IF($AH12="","",IF(INDEX('Per Invoice'!V$2:V$401,$AH12)="","",INDEX('Per Invoice'!V$2:V$401,$AH12)))</f>
        <v/>
      </c>
      <c r="W12" s="7">
        <f>IF($AH12="","",IF(INDEX('Per Invoice'!W$2:W$401,$AH12)="","",INDEX('Per Invoice'!W$2:W$401,$AH12)))</f>
        <v/>
      </c>
      <c r="X12" s="7">
        <f>IF($AH12="","",IF(INDEX('Per Invoice'!X$2:X$401,$AH12)="","",INDEX('Per Invoice'!X$2:X$401,$AH12)))</f>
        <v/>
      </c>
      <c r="Y12">
        <f>IF($AH12="","",IF(INDEX('Per Invoice'!Y$2:Y$401,$AH12)="","",INDEX('Per Invoice'!Y$2:Y$401,$AH12)))</f>
        <v/>
      </c>
      <c r="Z12" s="7">
        <f>IF($AH12="","",IF(INDEX('Per Invoice'!Z$2:Z$401,$AH12)="","",INDEX('Per Invoice'!Z$2:Z$401,$AH12)))</f>
        <v/>
      </c>
      <c r="AA12" s="7">
        <f>IF($AH12="","",IF(INDEX('Per Invoice'!AA$2:AA$401,$AH12)="","",INDEX('Per Invoice'!AA$2:AA$401,$AH12)))</f>
        <v/>
      </c>
      <c r="AB12" s="7">
        <f>IF($AH12="","",IF(INDEX('Per Invoice'!AB$2:AB$401,$AH12)="","",INDEX('Per Invoice'!AB$2:AB$401,$AH12)))</f>
        <v/>
      </c>
      <c r="AC12" s="7">
        <f>IF($AH12="","",IF(INDEX('Per Invoice'!AC$2:AC$401,$AH12)="","",INDEX('Per Invoice'!AC$2:AC$401,$AH12)))</f>
        <v/>
      </c>
      <c r="AD12" s="7">
        <f>IF($AH12="","",IF(INDEX('Per Invoice'!AD$2:AD$401,$AH12)="","",INDEX('Per Invoice'!AD$2:AD$401,$AH12)))</f>
        <v/>
      </c>
      <c r="AE12" s="7">
        <f>IF($AH12="","",IF(INDEX('Per Invoice'!AE$2:AE$401,$AH12)="","",INDEX('Per Invoice'!AE$2:AE$401,$AH12)))</f>
        <v/>
      </c>
      <c r="AF12">
        <f>IF($AH12="","",IF(INDEX('Per Invoice'!AF$2:AF$401,$AH12)="","",INDEX('Per Invoice'!AF$2:AF$401,$AH12)))</f>
        <v/>
      </c>
      <c r="AG12" s="7">
        <f>IF($AH12="","",IF(INDEX('Per Invoice'!AG$2:AG$401,$AH12)="","",INDEX('Per Invoice'!AG$2:AG$401,$AH12)))</f>
        <v/>
      </c>
      <c r="AH12" s="16">
        <f>IFERROR(MATCH(Settings!$C$26&amp;"|"&amp;ROWS($AH$2:$AH12),'Per Invoice'!$AI$2:$AI$401,0),"")</f>
        <v/>
      </c>
    </row>
    <row r="13">
      <c r="A13">
        <f>IF($AH13="","",IF(INDEX('Per Invoice'!A$2:A$401,$AH13)="","",INDEX('Per Invoice'!A$2:A$401,$AH13)))</f>
        <v/>
      </c>
      <c r="B13">
        <f>IF($AH13="","",IF(INDEX('Per Invoice'!B$2:B$401,$AH13)="","",INDEX('Per Invoice'!B$2:B$401,$AH13)))</f>
        <v/>
      </c>
      <c r="C13">
        <f>IF($AH13="","",IF(INDEX('Per Invoice'!C$2:C$401,$AH13)="","",INDEX('Per Invoice'!C$2:C$401,$AH13)))</f>
        <v/>
      </c>
      <c r="D13">
        <f>IF($AH13="","",IF(INDEX('Per Invoice'!D$2:D$401,$AH13)="","",INDEX('Per Invoice'!D$2:D$401,$AH13)))</f>
        <v/>
      </c>
      <c r="E13">
        <f>IF($AH13="","",IF(INDEX('Per Invoice'!E$2:E$401,$AH13)="","",INDEX('Per Invoice'!E$2:E$401,$AH13)))</f>
        <v/>
      </c>
      <c r="F13">
        <f>IF($AH13="","",IF(INDEX('Per Invoice'!F$2:F$401,$AH13)="","",INDEX('Per Invoice'!F$2:F$401,$AH13)))</f>
        <v/>
      </c>
      <c r="G13">
        <f>IF($AH13="","",IF(INDEX('Per Invoice'!G$2:G$401,$AH13)="","",INDEX('Per Invoice'!G$2:G$401,$AH13)))</f>
        <v/>
      </c>
      <c r="H13">
        <f>IF($AH13="","",IF(INDEX('Per Invoice'!H$2:H$401,$AH13)="","",INDEX('Per Invoice'!H$2:H$401,$AH13)))</f>
        <v/>
      </c>
      <c r="I13" s="14">
        <f>IF($AH13="","",IF(INDEX('Per Invoice'!I$2:I$401,$AH13)="","",INDEX('Per Invoice'!I$2:I$401,$AH13)))</f>
        <v/>
      </c>
      <c r="J13">
        <f>IF($AH13="","",IF(INDEX('Per Invoice'!J$2:J$401,$AH13)="","",INDEX('Per Invoice'!J$2:J$401,$AH13)))</f>
        <v/>
      </c>
      <c r="K13">
        <f>IF($AH13="","",IF(INDEX('Per Invoice'!K$2:K$401,$AH13)="","",INDEX('Per Invoice'!K$2:K$401,$AH13)))</f>
        <v/>
      </c>
      <c r="L13">
        <f>IF($AH13="","",IF(INDEX('Per Invoice'!L$2:L$401,$AH13)="","",INDEX('Per Invoice'!L$2:L$401,$AH13)))</f>
        <v/>
      </c>
      <c r="M13">
        <f>IF($AH13="","",IF(INDEX('Per Invoice'!M$2:M$401,$AH13)="","",INDEX('Per Invoice'!M$2:M$401,$AH13)))</f>
        <v/>
      </c>
      <c r="N13">
        <f>IF($AH13="","",IF(INDEX('Per Invoice'!N$2:N$401,$AH13)="","",INDEX('Per Invoice'!N$2:N$401,$AH13)))</f>
        <v/>
      </c>
      <c r="O13">
        <f>IF($AH13="","",IF(INDEX('Per Invoice'!O$2:O$401,$AH13)="","",INDEX('Per Invoice'!O$2:O$401,$AH13)))</f>
        <v/>
      </c>
      <c r="P13" s="7">
        <f>IF($AH13="","",IF(INDEX('Per Invoice'!P$2:P$401,$AH13)="","",INDEX('Per Invoice'!P$2:P$401,$AH13)))</f>
        <v/>
      </c>
      <c r="Q13">
        <f>IF($AH13="","",IF(INDEX('Per Invoice'!Q$2:Q$401,$AH13)="","",INDEX('Per Invoice'!Q$2:Q$401,$AH13)))</f>
        <v/>
      </c>
      <c r="R13">
        <f>IF($AH13="","",IF(INDEX('Per Invoice'!R$2:R$401,$AH13)="","",INDEX('Per Invoice'!R$2:R$401,$AH13)))</f>
        <v/>
      </c>
      <c r="S13">
        <f>IF($AH13="","",IF(INDEX('Per Invoice'!S$2:S$401,$AH13)="","",INDEX('Per Invoice'!S$2:S$401,$AH13)))</f>
        <v/>
      </c>
      <c r="T13" s="7">
        <f>IF($AH13="","",IF(INDEX('Per Invoice'!T$2:T$401,$AH13)="","",INDEX('Per Invoice'!T$2:T$401,$AH13)))</f>
        <v/>
      </c>
      <c r="U13" s="7">
        <f>IF($AH13="","",IF(INDEX('Per Invoice'!U$2:U$401,$AH13)="","",INDEX('Per Invoice'!U$2:U$401,$AH13)))</f>
        <v/>
      </c>
      <c r="V13">
        <f>IF($AH13="","",IF(INDEX('Per Invoice'!V$2:V$401,$AH13)="","",INDEX('Per Invoice'!V$2:V$401,$AH13)))</f>
        <v/>
      </c>
      <c r="W13" s="7">
        <f>IF($AH13="","",IF(INDEX('Per Invoice'!W$2:W$401,$AH13)="","",INDEX('Per Invoice'!W$2:W$401,$AH13)))</f>
        <v/>
      </c>
      <c r="X13" s="7">
        <f>IF($AH13="","",IF(INDEX('Per Invoice'!X$2:X$401,$AH13)="","",INDEX('Per Invoice'!X$2:X$401,$AH13)))</f>
        <v/>
      </c>
      <c r="Y13">
        <f>IF($AH13="","",IF(INDEX('Per Invoice'!Y$2:Y$401,$AH13)="","",INDEX('Per Invoice'!Y$2:Y$401,$AH13)))</f>
        <v/>
      </c>
      <c r="Z13" s="7">
        <f>IF($AH13="","",IF(INDEX('Per Invoice'!Z$2:Z$401,$AH13)="","",INDEX('Per Invoice'!Z$2:Z$401,$AH13)))</f>
        <v/>
      </c>
      <c r="AA13" s="7">
        <f>IF($AH13="","",IF(INDEX('Per Invoice'!AA$2:AA$401,$AH13)="","",INDEX('Per Invoice'!AA$2:AA$401,$AH13)))</f>
        <v/>
      </c>
      <c r="AB13" s="7">
        <f>IF($AH13="","",IF(INDEX('Per Invoice'!AB$2:AB$401,$AH13)="","",INDEX('Per Invoice'!AB$2:AB$401,$AH13)))</f>
        <v/>
      </c>
      <c r="AC13" s="7">
        <f>IF($AH13="","",IF(INDEX('Per Invoice'!AC$2:AC$401,$AH13)="","",INDEX('Per Invoice'!AC$2:AC$401,$AH13)))</f>
        <v/>
      </c>
      <c r="AD13" s="7">
        <f>IF($AH13="","",IF(INDEX('Per Invoice'!AD$2:AD$401,$AH13)="","",INDEX('Per Invoice'!AD$2:AD$401,$AH13)))</f>
        <v/>
      </c>
      <c r="AE13" s="7">
        <f>IF($AH13="","",IF(INDEX('Per Invoice'!AE$2:AE$401,$AH13)="","",INDEX('Per Invoice'!AE$2:AE$401,$AH13)))</f>
        <v/>
      </c>
      <c r="AF13">
        <f>IF($AH13="","",IF(INDEX('Per Invoice'!AF$2:AF$401,$AH13)="","",INDEX('Per Invoice'!AF$2:AF$401,$AH13)))</f>
        <v/>
      </c>
      <c r="AG13" s="7">
        <f>IF($AH13="","",IF(INDEX('Per Invoice'!AG$2:AG$401,$AH13)="","",INDEX('Per Invoice'!AG$2:AG$401,$AH13)))</f>
        <v/>
      </c>
      <c r="AH13" s="16">
        <f>IFERROR(MATCH(Settings!$C$26&amp;"|"&amp;ROWS($AH$2:$AH13),'Per Invoice'!$AI$2:$AI$401,0),"")</f>
        <v/>
      </c>
    </row>
    <row r="14">
      <c r="A14">
        <f>IF($AH14="","",IF(INDEX('Per Invoice'!A$2:A$401,$AH14)="","",INDEX('Per Invoice'!A$2:A$401,$AH14)))</f>
        <v/>
      </c>
      <c r="B14">
        <f>IF($AH14="","",IF(INDEX('Per Invoice'!B$2:B$401,$AH14)="","",INDEX('Per Invoice'!B$2:B$401,$AH14)))</f>
        <v/>
      </c>
      <c r="C14">
        <f>IF($AH14="","",IF(INDEX('Per Invoice'!C$2:C$401,$AH14)="","",INDEX('Per Invoice'!C$2:C$401,$AH14)))</f>
        <v/>
      </c>
      <c r="D14">
        <f>IF($AH14="","",IF(INDEX('Per Invoice'!D$2:D$401,$AH14)="","",INDEX('Per Invoice'!D$2:D$401,$AH14)))</f>
        <v/>
      </c>
      <c r="E14">
        <f>IF($AH14="","",IF(INDEX('Per Invoice'!E$2:E$401,$AH14)="","",INDEX('Per Invoice'!E$2:E$401,$AH14)))</f>
        <v/>
      </c>
      <c r="F14">
        <f>IF($AH14="","",IF(INDEX('Per Invoice'!F$2:F$401,$AH14)="","",INDEX('Per Invoice'!F$2:F$401,$AH14)))</f>
        <v/>
      </c>
      <c r="G14">
        <f>IF($AH14="","",IF(INDEX('Per Invoice'!G$2:G$401,$AH14)="","",INDEX('Per Invoice'!G$2:G$401,$AH14)))</f>
        <v/>
      </c>
      <c r="H14">
        <f>IF($AH14="","",IF(INDEX('Per Invoice'!H$2:H$401,$AH14)="","",INDEX('Per Invoice'!H$2:H$401,$AH14)))</f>
        <v/>
      </c>
      <c r="I14" s="14">
        <f>IF($AH14="","",IF(INDEX('Per Invoice'!I$2:I$401,$AH14)="","",INDEX('Per Invoice'!I$2:I$401,$AH14)))</f>
        <v/>
      </c>
      <c r="J14">
        <f>IF($AH14="","",IF(INDEX('Per Invoice'!J$2:J$401,$AH14)="","",INDEX('Per Invoice'!J$2:J$401,$AH14)))</f>
        <v/>
      </c>
      <c r="K14">
        <f>IF($AH14="","",IF(INDEX('Per Invoice'!K$2:K$401,$AH14)="","",INDEX('Per Invoice'!K$2:K$401,$AH14)))</f>
        <v/>
      </c>
      <c r="L14">
        <f>IF($AH14="","",IF(INDEX('Per Invoice'!L$2:L$401,$AH14)="","",INDEX('Per Invoice'!L$2:L$401,$AH14)))</f>
        <v/>
      </c>
      <c r="M14">
        <f>IF($AH14="","",IF(INDEX('Per Invoice'!M$2:M$401,$AH14)="","",INDEX('Per Invoice'!M$2:M$401,$AH14)))</f>
        <v/>
      </c>
      <c r="N14">
        <f>IF($AH14="","",IF(INDEX('Per Invoice'!N$2:N$401,$AH14)="","",INDEX('Per Invoice'!N$2:N$401,$AH14)))</f>
        <v/>
      </c>
      <c r="O14">
        <f>IF($AH14="","",IF(INDEX('Per Invoice'!O$2:O$401,$AH14)="","",INDEX('Per Invoice'!O$2:O$401,$AH14)))</f>
        <v/>
      </c>
      <c r="P14" s="7">
        <f>IF($AH14="","",IF(INDEX('Per Invoice'!P$2:P$401,$AH14)="","",INDEX('Per Invoice'!P$2:P$401,$AH14)))</f>
        <v/>
      </c>
      <c r="Q14">
        <f>IF($AH14="","",IF(INDEX('Per Invoice'!Q$2:Q$401,$AH14)="","",INDEX('Per Invoice'!Q$2:Q$401,$AH14)))</f>
        <v/>
      </c>
      <c r="R14">
        <f>IF($AH14="","",IF(INDEX('Per Invoice'!R$2:R$401,$AH14)="","",INDEX('Per Invoice'!R$2:R$401,$AH14)))</f>
        <v/>
      </c>
      <c r="S14">
        <f>IF($AH14="","",IF(INDEX('Per Invoice'!S$2:S$401,$AH14)="","",INDEX('Per Invoice'!S$2:S$401,$AH14)))</f>
        <v/>
      </c>
      <c r="T14" s="7">
        <f>IF($AH14="","",IF(INDEX('Per Invoice'!T$2:T$401,$AH14)="","",INDEX('Per Invoice'!T$2:T$401,$AH14)))</f>
        <v/>
      </c>
      <c r="U14" s="7">
        <f>IF($AH14="","",IF(INDEX('Per Invoice'!U$2:U$401,$AH14)="","",INDEX('Per Invoice'!U$2:U$401,$AH14)))</f>
        <v/>
      </c>
      <c r="V14">
        <f>IF($AH14="","",IF(INDEX('Per Invoice'!V$2:V$401,$AH14)="","",INDEX('Per Invoice'!V$2:V$401,$AH14)))</f>
        <v/>
      </c>
      <c r="W14" s="7">
        <f>IF($AH14="","",IF(INDEX('Per Invoice'!W$2:W$401,$AH14)="","",INDEX('Per Invoice'!W$2:W$401,$AH14)))</f>
        <v/>
      </c>
      <c r="X14" s="7">
        <f>IF($AH14="","",IF(INDEX('Per Invoice'!X$2:X$401,$AH14)="","",INDEX('Per Invoice'!X$2:X$401,$AH14)))</f>
        <v/>
      </c>
      <c r="Y14">
        <f>IF($AH14="","",IF(INDEX('Per Invoice'!Y$2:Y$401,$AH14)="","",INDEX('Per Invoice'!Y$2:Y$401,$AH14)))</f>
        <v/>
      </c>
      <c r="Z14" s="7">
        <f>IF($AH14="","",IF(INDEX('Per Invoice'!Z$2:Z$401,$AH14)="","",INDEX('Per Invoice'!Z$2:Z$401,$AH14)))</f>
        <v/>
      </c>
      <c r="AA14" s="7">
        <f>IF($AH14="","",IF(INDEX('Per Invoice'!AA$2:AA$401,$AH14)="","",INDEX('Per Invoice'!AA$2:AA$401,$AH14)))</f>
        <v/>
      </c>
      <c r="AB14" s="7">
        <f>IF($AH14="","",IF(INDEX('Per Invoice'!AB$2:AB$401,$AH14)="","",INDEX('Per Invoice'!AB$2:AB$401,$AH14)))</f>
        <v/>
      </c>
      <c r="AC14" s="7">
        <f>IF($AH14="","",IF(INDEX('Per Invoice'!AC$2:AC$401,$AH14)="","",INDEX('Per Invoice'!AC$2:AC$401,$AH14)))</f>
        <v/>
      </c>
      <c r="AD14" s="7">
        <f>IF($AH14="","",IF(INDEX('Per Invoice'!AD$2:AD$401,$AH14)="","",INDEX('Per Invoice'!AD$2:AD$401,$AH14)))</f>
        <v/>
      </c>
      <c r="AE14" s="7">
        <f>IF($AH14="","",IF(INDEX('Per Invoice'!AE$2:AE$401,$AH14)="","",INDEX('Per Invoice'!AE$2:AE$401,$AH14)))</f>
        <v/>
      </c>
      <c r="AF14">
        <f>IF($AH14="","",IF(INDEX('Per Invoice'!AF$2:AF$401,$AH14)="","",INDEX('Per Invoice'!AF$2:AF$401,$AH14)))</f>
        <v/>
      </c>
      <c r="AG14" s="7">
        <f>IF($AH14="","",IF(INDEX('Per Invoice'!AG$2:AG$401,$AH14)="","",INDEX('Per Invoice'!AG$2:AG$401,$AH14)))</f>
        <v/>
      </c>
      <c r="AH14" s="16">
        <f>IFERROR(MATCH(Settings!$C$26&amp;"|"&amp;ROWS($AH$2:$AH14),'Per Invoice'!$AI$2:$AI$401,0),"")</f>
        <v/>
      </c>
    </row>
    <row r="15">
      <c r="A15">
        <f>IF($AH15="","",IF(INDEX('Per Invoice'!A$2:A$401,$AH15)="","",INDEX('Per Invoice'!A$2:A$401,$AH15)))</f>
        <v/>
      </c>
      <c r="B15">
        <f>IF($AH15="","",IF(INDEX('Per Invoice'!B$2:B$401,$AH15)="","",INDEX('Per Invoice'!B$2:B$401,$AH15)))</f>
        <v/>
      </c>
      <c r="C15">
        <f>IF($AH15="","",IF(INDEX('Per Invoice'!C$2:C$401,$AH15)="","",INDEX('Per Invoice'!C$2:C$401,$AH15)))</f>
        <v/>
      </c>
      <c r="D15">
        <f>IF($AH15="","",IF(INDEX('Per Invoice'!D$2:D$401,$AH15)="","",INDEX('Per Invoice'!D$2:D$401,$AH15)))</f>
        <v/>
      </c>
      <c r="E15">
        <f>IF($AH15="","",IF(INDEX('Per Invoice'!E$2:E$401,$AH15)="","",INDEX('Per Invoice'!E$2:E$401,$AH15)))</f>
        <v/>
      </c>
      <c r="F15">
        <f>IF($AH15="","",IF(INDEX('Per Invoice'!F$2:F$401,$AH15)="","",INDEX('Per Invoice'!F$2:F$401,$AH15)))</f>
        <v/>
      </c>
      <c r="G15">
        <f>IF($AH15="","",IF(INDEX('Per Invoice'!G$2:G$401,$AH15)="","",INDEX('Per Invoice'!G$2:G$401,$AH15)))</f>
        <v/>
      </c>
      <c r="H15">
        <f>IF($AH15="","",IF(INDEX('Per Invoice'!H$2:H$401,$AH15)="","",INDEX('Per Invoice'!H$2:H$401,$AH15)))</f>
        <v/>
      </c>
      <c r="I15" s="14">
        <f>IF($AH15="","",IF(INDEX('Per Invoice'!I$2:I$401,$AH15)="","",INDEX('Per Invoice'!I$2:I$401,$AH15)))</f>
        <v/>
      </c>
      <c r="J15">
        <f>IF($AH15="","",IF(INDEX('Per Invoice'!J$2:J$401,$AH15)="","",INDEX('Per Invoice'!J$2:J$401,$AH15)))</f>
        <v/>
      </c>
      <c r="K15">
        <f>IF($AH15="","",IF(INDEX('Per Invoice'!K$2:K$401,$AH15)="","",INDEX('Per Invoice'!K$2:K$401,$AH15)))</f>
        <v/>
      </c>
      <c r="L15">
        <f>IF($AH15="","",IF(INDEX('Per Invoice'!L$2:L$401,$AH15)="","",INDEX('Per Invoice'!L$2:L$401,$AH15)))</f>
        <v/>
      </c>
      <c r="M15">
        <f>IF($AH15="","",IF(INDEX('Per Invoice'!M$2:M$401,$AH15)="","",INDEX('Per Invoice'!M$2:M$401,$AH15)))</f>
        <v/>
      </c>
      <c r="N15">
        <f>IF($AH15="","",IF(INDEX('Per Invoice'!N$2:N$401,$AH15)="","",INDEX('Per Invoice'!N$2:N$401,$AH15)))</f>
        <v/>
      </c>
      <c r="O15">
        <f>IF($AH15="","",IF(INDEX('Per Invoice'!O$2:O$401,$AH15)="","",INDEX('Per Invoice'!O$2:O$401,$AH15)))</f>
        <v/>
      </c>
      <c r="P15" s="7">
        <f>IF($AH15="","",IF(INDEX('Per Invoice'!P$2:P$401,$AH15)="","",INDEX('Per Invoice'!P$2:P$401,$AH15)))</f>
        <v/>
      </c>
      <c r="Q15">
        <f>IF($AH15="","",IF(INDEX('Per Invoice'!Q$2:Q$401,$AH15)="","",INDEX('Per Invoice'!Q$2:Q$401,$AH15)))</f>
        <v/>
      </c>
      <c r="R15">
        <f>IF($AH15="","",IF(INDEX('Per Invoice'!R$2:R$401,$AH15)="","",INDEX('Per Invoice'!R$2:R$401,$AH15)))</f>
        <v/>
      </c>
      <c r="S15">
        <f>IF($AH15="","",IF(INDEX('Per Invoice'!S$2:S$401,$AH15)="","",INDEX('Per Invoice'!S$2:S$401,$AH15)))</f>
        <v/>
      </c>
      <c r="T15" s="7">
        <f>IF($AH15="","",IF(INDEX('Per Invoice'!T$2:T$401,$AH15)="","",INDEX('Per Invoice'!T$2:T$401,$AH15)))</f>
        <v/>
      </c>
      <c r="U15" s="7">
        <f>IF($AH15="","",IF(INDEX('Per Invoice'!U$2:U$401,$AH15)="","",INDEX('Per Invoice'!U$2:U$401,$AH15)))</f>
        <v/>
      </c>
      <c r="V15">
        <f>IF($AH15="","",IF(INDEX('Per Invoice'!V$2:V$401,$AH15)="","",INDEX('Per Invoice'!V$2:V$401,$AH15)))</f>
        <v/>
      </c>
      <c r="W15" s="7">
        <f>IF($AH15="","",IF(INDEX('Per Invoice'!W$2:W$401,$AH15)="","",INDEX('Per Invoice'!W$2:W$401,$AH15)))</f>
        <v/>
      </c>
      <c r="X15" s="7">
        <f>IF($AH15="","",IF(INDEX('Per Invoice'!X$2:X$401,$AH15)="","",INDEX('Per Invoice'!X$2:X$401,$AH15)))</f>
        <v/>
      </c>
      <c r="Y15">
        <f>IF($AH15="","",IF(INDEX('Per Invoice'!Y$2:Y$401,$AH15)="","",INDEX('Per Invoice'!Y$2:Y$401,$AH15)))</f>
        <v/>
      </c>
      <c r="Z15" s="7">
        <f>IF($AH15="","",IF(INDEX('Per Invoice'!Z$2:Z$401,$AH15)="","",INDEX('Per Invoice'!Z$2:Z$401,$AH15)))</f>
        <v/>
      </c>
      <c r="AA15" s="7">
        <f>IF($AH15="","",IF(INDEX('Per Invoice'!AA$2:AA$401,$AH15)="","",INDEX('Per Invoice'!AA$2:AA$401,$AH15)))</f>
        <v/>
      </c>
      <c r="AB15" s="7">
        <f>IF($AH15="","",IF(INDEX('Per Invoice'!AB$2:AB$401,$AH15)="","",INDEX('Per Invoice'!AB$2:AB$401,$AH15)))</f>
        <v/>
      </c>
      <c r="AC15" s="7">
        <f>IF($AH15="","",IF(INDEX('Per Invoice'!AC$2:AC$401,$AH15)="","",INDEX('Per Invoice'!AC$2:AC$401,$AH15)))</f>
        <v/>
      </c>
      <c r="AD15" s="7">
        <f>IF($AH15="","",IF(INDEX('Per Invoice'!AD$2:AD$401,$AH15)="","",INDEX('Per Invoice'!AD$2:AD$401,$AH15)))</f>
        <v/>
      </c>
      <c r="AE15" s="7">
        <f>IF($AH15="","",IF(INDEX('Per Invoice'!AE$2:AE$401,$AH15)="","",INDEX('Per Invoice'!AE$2:AE$401,$AH15)))</f>
        <v/>
      </c>
      <c r="AF15">
        <f>IF($AH15="","",IF(INDEX('Per Invoice'!AF$2:AF$401,$AH15)="","",INDEX('Per Invoice'!AF$2:AF$401,$AH15)))</f>
        <v/>
      </c>
      <c r="AG15" s="7">
        <f>IF($AH15="","",IF(INDEX('Per Invoice'!AG$2:AG$401,$AH15)="","",INDEX('Per Invoice'!AG$2:AG$401,$AH15)))</f>
        <v/>
      </c>
      <c r="AH15" s="16">
        <f>IFERROR(MATCH(Settings!$C$26&amp;"|"&amp;ROWS($AH$2:$AH15),'Per Invoice'!$AI$2:$AI$401,0),"")</f>
        <v/>
      </c>
    </row>
    <row r="16">
      <c r="A16">
        <f>IF($AH16="","",IF(INDEX('Per Invoice'!A$2:A$401,$AH16)="","",INDEX('Per Invoice'!A$2:A$401,$AH16)))</f>
        <v/>
      </c>
      <c r="B16">
        <f>IF($AH16="","",IF(INDEX('Per Invoice'!B$2:B$401,$AH16)="","",INDEX('Per Invoice'!B$2:B$401,$AH16)))</f>
        <v/>
      </c>
      <c r="C16">
        <f>IF($AH16="","",IF(INDEX('Per Invoice'!C$2:C$401,$AH16)="","",INDEX('Per Invoice'!C$2:C$401,$AH16)))</f>
        <v/>
      </c>
      <c r="D16">
        <f>IF($AH16="","",IF(INDEX('Per Invoice'!D$2:D$401,$AH16)="","",INDEX('Per Invoice'!D$2:D$401,$AH16)))</f>
        <v/>
      </c>
      <c r="E16">
        <f>IF($AH16="","",IF(INDEX('Per Invoice'!E$2:E$401,$AH16)="","",INDEX('Per Invoice'!E$2:E$401,$AH16)))</f>
        <v/>
      </c>
      <c r="F16">
        <f>IF($AH16="","",IF(INDEX('Per Invoice'!F$2:F$401,$AH16)="","",INDEX('Per Invoice'!F$2:F$401,$AH16)))</f>
        <v/>
      </c>
      <c r="G16">
        <f>IF($AH16="","",IF(INDEX('Per Invoice'!G$2:G$401,$AH16)="","",INDEX('Per Invoice'!G$2:G$401,$AH16)))</f>
        <v/>
      </c>
      <c r="H16">
        <f>IF($AH16="","",IF(INDEX('Per Invoice'!H$2:H$401,$AH16)="","",INDEX('Per Invoice'!H$2:H$401,$AH16)))</f>
        <v/>
      </c>
      <c r="I16" s="14">
        <f>IF($AH16="","",IF(INDEX('Per Invoice'!I$2:I$401,$AH16)="","",INDEX('Per Invoice'!I$2:I$401,$AH16)))</f>
        <v/>
      </c>
      <c r="J16">
        <f>IF($AH16="","",IF(INDEX('Per Invoice'!J$2:J$401,$AH16)="","",INDEX('Per Invoice'!J$2:J$401,$AH16)))</f>
        <v/>
      </c>
      <c r="K16">
        <f>IF($AH16="","",IF(INDEX('Per Invoice'!K$2:K$401,$AH16)="","",INDEX('Per Invoice'!K$2:K$401,$AH16)))</f>
        <v/>
      </c>
      <c r="L16">
        <f>IF($AH16="","",IF(INDEX('Per Invoice'!L$2:L$401,$AH16)="","",INDEX('Per Invoice'!L$2:L$401,$AH16)))</f>
        <v/>
      </c>
      <c r="M16">
        <f>IF($AH16="","",IF(INDEX('Per Invoice'!M$2:M$401,$AH16)="","",INDEX('Per Invoice'!M$2:M$401,$AH16)))</f>
        <v/>
      </c>
      <c r="N16">
        <f>IF($AH16="","",IF(INDEX('Per Invoice'!N$2:N$401,$AH16)="","",INDEX('Per Invoice'!N$2:N$401,$AH16)))</f>
        <v/>
      </c>
      <c r="O16">
        <f>IF($AH16="","",IF(INDEX('Per Invoice'!O$2:O$401,$AH16)="","",INDEX('Per Invoice'!O$2:O$401,$AH16)))</f>
        <v/>
      </c>
      <c r="P16" s="7">
        <f>IF($AH16="","",IF(INDEX('Per Invoice'!P$2:P$401,$AH16)="","",INDEX('Per Invoice'!P$2:P$401,$AH16)))</f>
        <v/>
      </c>
      <c r="Q16">
        <f>IF($AH16="","",IF(INDEX('Per Invoice'!Q$2:Q$401,$AH16)="","",INDEX('Per Invoice'!Q$2:Q$401,$AH16)))</f>
        <v/>
      </c>
      <c r="R16">
        <f>IF($AH16="","",IF(INDEX('Per Invoice'!R$2:R$401,$AH16)="","",INDEX('Per Invoice'!R$2:R$401,$AH16)))</f>
        <v/>
      </c>
      <c r="S16">
        <f>IF($AH16="","",IF(INDEX('Per Invoice'!S$2:S$401,$AH16)="","",INDEX('Per Invoice'!S$2:S$401,$AH16)))</f>
        <v/>
      </c>
      <c r="T16" s="7">
        <f>IF($AH16="","",IF(INDEX('Per Invoice'!T$2:T$401,$AH16)="","",INDEX('Per Invoice'!T$2:T$401,$AH16)))</f>
        <v/>
      </c>
      <c r="U16" s="7">
        <f>IF($AH16="","",IF(INDEX('Per Invoice'!U$2:U$401,$AH16)="","",INDEX('Per Invoice'!U$2:U$401,$AH16)))</f>
        <v/>
      </c>
      <c r="V16">
        <f>IF($AH16="","",IF(INDEX('Per Invoice'!V$2:V$401,$AH16)="","",INDEX('Per Invoice'!V$2:V$401,$AH16)))</f>
        <v/>
      </c>
      <c r="W16" s="7">
        <f>IF($AH16="","",IF(INDEX('Per Invoice'!W$2:W$401,$AH16)="","",INDEX('Per Invoice'!W$2:W$401,$AH16)))</f>
        <v/>
      </c>
      <c r="X16" s="7">
        <f>IF($AH16="","",IF(INDEX('Per Invoice'!X$2:X$401,$AH16)="","",INDEX('Per Invoice'!X$2:X$401,$AH16)))</f>
        <v/>
      </c>
      <c r="Y16">
        <f>IF($AH16="","",IF(INDEX('Per Invoice'!Y$2:Y$401,$AH16)="","",INDEX('Per Invoice'!Y$2:Y$401,$AH16)))</f>
        <v/>
      </c>
      <c r="Z16" s="7">
        <f>IF($AH16="","",IF(INDEX('Per Invoice'!Z$2:Z$401,$AH16)="","",INDEX('Per Invoice'!Z$2:Z$401,$AH16)))</f>
        <v/>
      </c>
      <c r="AA16" s="7">
        <f>IF($AH16="","",IF(INDEX('Per Invoice'!AA$2:AA$401,$AH16)="","",INDEX('Per Invoice'!AA$2:AA$401,$AH16)))</f>
        <v/>
      </c>
      <c r="AB16" s="7">
        <f>IF($AH16="","",IF(INDEX('Per Invoice'!AB$2:AB$401,$AH16)="","",INDEX('Per Invoice'!AB$2:AB$401,$AH16)))</f>
        <v/>
      </c>
      <c r="AC16" s="7">
        <f>IF($AH16="","",IF(INDEX('Per Invoice'!AC$2:AC$401,$AH16)="","",INDEX('Per Invoice'!AC$2:AC$401,$AH16)))</f>
        <v/>
      </c>
      <c r="AD16" s="7">
        <f>IF($AH16="","",IF(INDEX('Per Invoice'!AD$2:AD$401,$AH16)="","",INDEX('Per Invoice'!AD$2:AD$401,$AH16)))</f>
        <v/>
      </c>
      <c r="AE16" s="7">
        <f>IF($AH16="","",IF(INDEX('Per Invoice'!AE$2:AE$401,$AH16)="","",INDEX('Per Invoice'!AE$2:AE$401,$AH16)))</f>
        <v/>
      </c>
      <c r="AF16">
        <f>IF($AH16="","",IF(INDEX('Per Invoice'!AF$2:AF$401,$AH16)="","",INDEX('Per Invoice'!AF$2:AF$401,$AH16)))</f>
        <v/>
      </c>
      <c r="AG16" s="7">
        <f>IF($AH16="","",IF(INDEX('Per Invoice'!AG$2:AG$401,$AH16)="","",INDEX('Per Invoice'!AG$2:AG$401,$AH16)))</f>
        <v/>
      </c>
      <c r="AH16" s="16">
        <f>IFERROR(MATCH(Settings!$C$26&amp;"|"&amp;ROWS($AH$2:$AH16),'Per Invoice'!$AI$2:$AI$401,0),"")</f>
        <v/>
      </c>
    </row>
    <row r="17">
      <c r="A17">
        <f>IF($AH17="","",IF(INDEX('Per Invoice'!A$2:A$401,$AH17)="","",INDEX('Per Invoice'!A$2:A$401,$AH17)))</f>
        <v/>
      </c>
      <c r="B17">
        <f>IF($AH17="","",IF(INDEX('Per Invoice'!B$2:B$401,$AH17)="","",INDEX('Per Invoice'!B$2:B$401,$AH17)))</f>
        <v/>
      </c>
      <c r="C17">
        <f>IF($AH17="","",IF(INDEX('Per Invoice'!C$2:C$401,$AH17)="","",INDEX('Per Invoice'!C$2:C$401,$AH17)))</f>
        <v/>
      </c>
      <c r="D17">
        <f>IF($AH17="","",IF(INDEX('Per Invoice'!D$2:D$401,$AH17)="","",INDEX('Per Invoice'!D$2:D$401,$AH17)))</f>
        <v/>
      </c>
      <c r="E17">
        <f>IF($AH17="","",IF(INDEX('Per Invoice'!E$2:E$401,$AH17)="","",INDEX('Per Invoice'!E$2:E$401,$AH17)))</f>
        <v/>
      </c>
      <c r="F17">
        <f>IF($AH17="","",IF(INDEX('Per Invoice'!F$2:F$401,$AH17)="","",INDEX('Per Invoice'!F$2:F$401,$AH17)))</f>
        <v/>
      </c>
      <c r="G17">
        <f>IF($AH17="","",IF(INDEX('Per Invoice'!G$2:G$401,$AH17)="","",INDEX('Per Invoice'!G$2:G$401,$AH17)))</f>
        <v/>
      </c>
      <c r="H17">
        <f>IF($AH17="","",IF(INDEX('Per Invoice'!H$2:H$401,$AH17)="","",INDEX('Per Invoice'!H$2:H$401,$AH17)))</f>
        <v/>
      </c>
      <c r="I17" s="14">
        <f>IF($AH17="","",IF(INDEX('Per Invoice'!I$2:I$401,$AH17)="","",INDEX('Per Invoice'!I$2:I$401,$AH17)))</f>
        <v/>
      </c>
      <c r="J17">
        <f>IF($AH17="","",IF(INDEX('Per Invoice'!J$2:J$401,$AH17)="","",INDEX('Per Invoice'!J$2:J$401,$AH17)))</f>
        <v/>
      </c>
      <c r="K17">
        <f>IF($AH17="","",IF(INDEX('Per Invoice'!K$2:K$401,$AH17)="","",INDEX('Per Invoice'!K$2:K$401,$AH17)))</f>
        <v/>
      </c>
      <c r="L17">
        <f>IF($AH17="","",IF(INDEX('Per Invoice'!L$2:L$401,$AH17)="","",INDEX('Per Invoice'!L$2:L$401,$AH17)))</f>
        <v/>
      </c>
      <c r="M17">
        <f>IF($AH17="","",IF(INDEX('Per Invoice'!M$2:M$401,$AH17)="","",INDEX('Per Invoice'!M$2:M$401,$AH17)))</f>
        <v/>
      </c>
      <c r="N17">
        <f>IF($AH17="","",IF(INDEX('Per Invoice'!N$2:N$401,$AH17)="","",INDEX('Per Invoice'!N$2:N$401,$AH17)))</f>
        <v/>
      </c>
      <c r="O17">
        <f>IF($AH17="","",IF(INDEX('Per Invoice'!O$2:O$401,$AH17)="","",INDEX('Per Invoice'!O$2:O$401,$AH17)))</f>
        <v/>
      </c>
      <c r="P17" s="7">
        <f>IF($AH17="","",IF(INDEX('Per Invoice'!P$2:P$401,$AH17)="","",INDEX('Per Invoice'!P$2:P$401,$AH17)))</f>
        <v/>
      </c>
      <c r="Q17">
        <f>IF($AH17="","",IF(INDEX('Per Invoice'!Q$2:Q$401,$AH17)="","",INDEX('Per Invoice'!Q$2:Q$401,$AH17)))</f>
        <v/>
      </c>
      <c r="R17">
        <f>IF($AH17="","",IF(INDEX('Per Invoice'!R$2:R$401,$AH17)="","",INDEX('Per Invoice'!R$2:R$401,$AH17)))</f>
        <v/>
      </c>
      <c r="S17">
        <f>IF($AH17="","",IF(INDEX('Per Invoice'!S$2:S$401,$AH17)="","",INDEX('Per Invoice'!S$2:S$401,$AH17)))</f>
        <v/>
      </c>
      <c r="T17" s="7">
        <f>IF($AH17="","",IF(INDEX('Per Invoice'!T$2:T$401,$AH17)="","",INDEX('Per Invoice'!T$2:T$401,$AH17)))</f>
        <v/>
      </c>
      <c r="U17" s="7">
        <f>IF($AH17="","",IF(INDEX('Per Invoice'!U$2:U$401,$AH17)="","",INDEX('Per Invoice'!U$2:U$401,$AH17)))</f>
        <v/>
      </c>
      <c r="V17">
        <f>IF($AH17="","",IF(INDEX('Per Invoice'!V$2:V$401,$AH17)="","",INDEX('Per Invoice'!V$2:V$401,$AH17)))</f>
        <v/>
      </c>
      <c r="W17" s="7">
        <f>IF($AH17="","",IF(INDEX('Per Invoice'!W$2:W$401,$AH17)="","",INDEX('Per Invoice'!W$2:W$401,$AH17)))</f>
        <v/>
      </c>
      <c r="X17" s="7">
        <f>IF($AH17="","",IF(INDEX('Per Invoice'!X$2:X$401,$AH17)="","",INDEX('Per Invoice'!X$2:X$401,$AH17)))</f>
        <v/>
      </c>
      <c r="Y17">
        <f>IF($AH17="","",IF(INDEX('Per Invoice'!Y$2:Y$401,$AH17)="","",INDEX('Per Invoice'!Y$2:Y$401,$AH17)))</f>
        <v/>
      </c>
      <c r="Z17" s="7">
        <f>IF($AH17="","",IF(INDEX('Per Invoice'!Z$2:Z$401,$AH17)="","",INDEX('Per Invoice'!Z$2:Z$401,$AH17)))</f>
        <v/>
      </c>
      <c r="AA17" s="7">
        <f>IF($AH17="","",IF(INDEX('Per Invoice'!AA$2:AA$401,$AH17)="","",INDEX('Per Invoice'!AA$2:AA$401,$AH17)))</f>
        <v/>
      </c>
      <c r="AB17" s="7">
        <f>IF($AH17="","",IF(INDEX('Per Invoice'!AB$2:AB$401,$AH17)="","",INDEX('Per Invoice'!AB$2:AB$401,$AH17)))</f>
        <v/>
      </c>
      <c r="AC17" s="7">
        <f>IF($AH17="","",IF(INDEX('Per Invoice'!AC$2:AC$401,$AH17)="","",INDEX('Per Invoice'!AC$2:AC$401,$AH17)))</f>
        <v/>
      </c>
      <c r="AD17" s="7">
        <f>IF($AH17="","",IF(INDEX('Per Invoice'!AD$2:AD$401,$AH17)="","",INDEX('Per Invoice'!AD$2:AD$401,$AH17)))</f>
        <v/>
      </c>
      <c r="AE17" s="7">
        <f>IF($AH17="","",IF(INDEX('Per Invoice'!AE$2:AE$401,$AH17)="","",INDEX('Per Invoice'!AE$2:AE$401,$AH17)))</f>
        <v/>
      </c>
      <c r="AF17">
        <f>IF($AH17="","",IF(INDEX('Per Invoice'!AF$2:AF$401,$AH17)="","",INDEX('Per Invoice'!AF$2:AF$401,$AH17)))</f>
        <v/>
      </c>
      <c r="AG17" s="7">
        <f>IF($AH17="","",IF(INDEX('Per Invoice'!AG$2:AG$401,$AH17)="","",INDEX('Per Invoice'!AG$2:AG$401,$AH17)))</f>
        <v/>
      </c>
      <c r="AH17" s="16">
        <f>IFERROR(MATCH(Settings!$C$26&amp;"|"&amp;ROWS($AH$2:$AH17),'Per Invoice'!$AI$2:$AI$401,0),"")</f>
        <v/>
      </c>
    </row>
    <row r="18">
      <c r="A18">
        <f>IF($AH18="","",IF(INDEX('Per Invoice'!A$2:A$401,$AH18)="","",INDEX('Per Invoice'!A$2:A$401,$AH18)))</f>
        <v/>
      </c>
      <c r="B18">
        <f>IF($AH18="","",IF(INDEX('Per Invoice'!B$2:B$401,$AH18)="","",INDEX('Per Invoice'!B$2:B$401,$AH18)))</f>
        <v/>
      </c>
      <c r="C18">
        <f>IF($AH18="","",IF(INDEX('Per Invoice'!C$2:C$401,$AH18)="","",INDEX('Per Invoice'!C$2:C$401,$AH18)))</f>
        <v/>
      </c>
      <c r="D18">
        <f>IF($AH18="","",IF(INDEX('Per Invoice'!D$2:D$401,$AH18)="","",INDEX('Per Invoice'!D$2:D$401,$AH18)))</f>
        <v/>
      </c>
      <c r="E18">
        <f>IF($AH18="","",IF(INDEX('Per Invoice'!E$2:E$401,$AH18)="","",INDEX('Per Invoice'!E$2:E$401,$AH18)))</f>
        <v/>
      </c>
      <c r="F18">
        <f>IF($AH18="","",IF(INDEX('Per Invoice'!F$2:F$401,$AH18)="","",INDEX('Per Invoice'!F$2:F$401,$AH18)))</f>
        <v/>
      </c>
      <c r="G18">
        <f>IF($AH18="","",IF(INDEX('Per Invoice'!G$2:G$401,$AH18)="","",INDEX('Per Invoice'!G$2:G$401,$AH18)))</f>
        <v/>
      </c>
      <c r="H18">
        <f>IF($AH18="","",IF(INDEX('Per Invoice'!H$2:H$401,$AH18)="","",INDEX('Per Invoice'!H$2:H$401,$AH18)))</f>
        <v/>
      </c>
      <c r="I18" s="14">
        <f>IF($AH18="","",IF(INDEX('Per Invoice'!I$2:I$401,$AH18)="","",INDEX('Per Invoice'!I$2:I$401,$AH18)))</f>
        <v/>
      </c>
      <c r="J18">
        <f>IF($AH18="","",IF(INDEX('Per Invoice'!J$2:J$401,$AH18)="","",INDEX('Per Invoice'!J$2:J$401,$AH18)))</f>
        <v/>
      </c>
      <c r="K18">
        <f>IF($AH18="","",IF(INDEX('Per Invoice'!K$2:K$401,$AH18)="","",INDEX('Per Invoice'!K$2:K$401,$AH18)))</f>
        <v/>
      </c>
      <c r="L18">
        <f>IF($AH18="","",IF(INDEX('Per Invoice'!L$2:L$401,$AH18)="","",INDEX('Per Invoice'!L$2:L$401,$AH18)))</f>
        <v/>
      </c>
      <c r="M18">
        <f>IF($AH18="","",IF(INDEX('Per Invoice'!M$2:M$401,$AH18)="","",INDEX('Per Invoice'!M$2:M$401,$AH18)))</f>
        <v/>
      </c>
      <c r="N18">
        <f>IF($AH18="","",IF(INDEX('Per Invoice'!N$2:N$401,$AH18)="","",INDEX('Per Invoice'!N$2:N$401,$AH18)))</f>
        <v/>
      </c>
      <c r="O18">
        <f>IF($AH18="","",IF(INDEX('Per Invoice'!O$2:O$401,$AH18)="","",INDEX('Per Invoice'!O$2:O$401,$AH18)))</f>
        <v/>
      </c>
      <c r="P18" s="7">
        <f>IF($AH18="","",IF(INDEX('Per Invoice'!P$2:P$401,$AH18)="","",INDEX('Per Invoice'!P$2:P$401,$AH18)))</f>
        <v/>
      </c>
      <c r="Q18">
        <f>IF($AH18="","",IF(INDEX('Per Invoice'!Q$2:Q$401,$AH18)="","",INDEX('Per Invoice'!Q$2:Q$401,$AH18)))</f>
        <v/>
      </c>
      <c r="R18">
        <f>IF($AH18="","",IF(INDEX('Per Invoice'!R$2:R$401,$AH18)="","",INDEX('Per Invoice'!R$2:R$401,$AH18)))</f>
        <v/>
      </c>
      <c r="S18">
        <f>IF($AH18="","",IF(INDEX('Per Invoice'!S$2:S$401,$AH18)="","",INDEX('Per Invoice'!S$2:S$401,$AH18)))</f>
        <v/>
      </c>
      <c r="T18" s="7">
        <f>IF($AH18="","",IF(INDEX('Per Invoice'!T$2:T$401,$AH18)="","",INDEX('Per Invoice'!T$2:T$401,$AH18)))</f>
        <v/>
      </c>
      <c r="U18" s="7">
        <f>IF($AH18="","",IF(INDEX('Per Invoice'!U$2:U$401,$AH18)="","",INDEX('Per Invoice'!U$2:U$401,$AH18)))</f>
        <v/>
      </c>
      <c r="V18">
        <f>IF($AH18="","",IF(INDEX('Per Invoice'!V$2:V$401,$AH18)="","",INDEX('Per Invoice'!V$2:V$401,$AH18)))</f>
        <v/>
      </c>
      <c r="W18" s="7">
        <f>IF($AH18="","",IF(INDEX('Per Invoice'!W$2:W$401,$AH18)="","",INDEX('Per Invoice'!W$2:W$401,$AH18)))</f>
        <v/>
      </c>
      <c r="X18" s="7">
        <f>IF($AH18="","",IF(INDEX('Per Invoice'!X$2:X$401,$AH18)="","",INDEX('Per Invoice'!X$2:X$401,$AH18)))</f>
        <v/>
      </c>
      <c r="Y18">
        <f>IF($AH18="","",IF(INDEX('Per Invoice'!Y$2:Y$401,$AH18)="","",INDEX('Per Invoice'!Y$2:Y$401,$AH18)))</f>
        <v/>
      </c>
      <c r="Z18" s="7">
        <f>IF($AH18="","",IF(INDEX('Per Invoice'!Z$2:Z$401,$AH18)="","",INDEX('Per Invoice'!Z$2:Z$401,$AH18)))</f>
        <v/>
      </c>
      <c r="AA18" s="7">
        <f>IF($AH18="","",IF(INDEX('Per Invoice'!AA$2:AA$401,$AH18)="","",INDEX('Per Invoice'!AA$2:AA$401,$AH18)))</f>
        <v/>
      </c>
      <c r="AB18" s="7">
        <f>IF($AH18="","",IF(INDEX('Per Invoice'!AB$2:AB$401,$AH18)="","",INDEX('Per Invoice'!AB$2:AB$401,$AH18)))</f>
        <v/>
      </c>
      <c r="AC18" s="7">
        <f>IF($AH18="","",IF(INDEX('Per Invoice'!AC$2:AC$401,$AH18)="","",INDEX('Per Invoice'!AC$2:AC$401,$AH18)))</f>
        <v/>
      </c>
      <c r="AD18" s="7">
        <f>IF($AH18="","",IF(INDEX('Per Invoice'!AD$2:AD$401,$AH18)="","",INDEX('Per Invoice'!AD$2:AD$401,$AH18)))</f>
        <v/>
      </c>
      <c r="AE18" s="7">
        <f>IF($AH18="","",IF(INDEX('Per Invoice'!AE$2:AE$401,$AH18)="","",INDEX('Per Invoice'!AE$2:AE$401,$AH18)))</f>
        <v/>
      </c>
      <c r="AF18">
        <f>IF($AH18="","",IF(INDEX('Per Invoice'!AF$2:AF$401,$AH18)="","",INDEX('Per Invoice'!AF$2:AF$401,$AH18)))</f>
        <v/>
      </c>
      <c r="AG18" s="7">
        <f>IF($AH18="","",IF(INDEX('Per Invoice'!AG$2:AG$401,$AH18)="","",INDEX('Per Invoice'!AG$2:AG$401,$AH18)))</f>
        <v/>
      </c>
      <c r="AH18" s="16">
        <f>IFERROR(MATCH(Settings!$C$26&amp;"|"&amp;ROWS($AH$2:$AH18),'Per Invoice'!$AI$2:$AI$401,0),"")</f>
        <v/>
      </c>
    </row>
    <row r="19">
      <c r="A19">
        <f>IF($AH19="","",IF(INDEX('Per Invoice'!A$2:A$401,$AH19)="","",INDEX('Per Invoice'!A$2:A$401,$AH19)))</f>
        <v/>
      </c>
      <c r="B19">
        <f>IF($AH19="","",IF(INDEX('Per Invoice'!B$2:B$401,$AH19)="","",INDEX('Per Invoice'!B$2:B$401,$AH19)))</f>
        <v/>
      </c>
      <c r="C19">
        <f>IF($AH19="","",IF(INDEX('Per Invoice'!C$2:C$401,$AH19)="","",INDEX('Per Invoice'!C$2:C$401,$AH19)))</f>
        <v/>
      </c>
      <c r="D19">
        <f>IF($AH19="","",IF(INDEX('Per Invoice'!D$2:D$401,$AH19)="","",INDEX('Per Invoice'!D$2:D$401,$AH19)))</f>
        <v/>
      </c>
      <c r="E19">
        <f>IF($AH19="","",IF(INDEX('Per Invoice'!E$2:E$401,$AH19)="","",INDEX('Per Invoice'!E$2:E$401,$AH19)))</f>
        <v/>
      </c>
      <c r="F19">
        <f>IF($AH19="","",IF(INDEX('Per Invoice'!F$2:F$401,$AH19)="","",INDEX('Per Invoice'!F$2:F$401,$AH19)))</f>
        <v/>
      </c>
      <c r="G19">
        <f>IF($AH19="","",IF(INDEX('Per Invoice'!G$2:G$401,$AH19)="","",INDEX('Per Invoice'!G$2:G$401,$AH19)))</f>
        <v/>
      </c>
      <c r="H19">
        <f>IF($AH19="","",IF(INDEX('Per Invoice'!H$2:H$401,$AH19)="","",INDEX('Per Invoice'!H$2:H$401,$AH19)))</f>
        <v/>
      </c>
      <c r="I19" s="14">
        <f>IF($AH19="","",IF(INDEX('Per Invoice'!I$2:I$401,$AH19)="","",INDEX('Per Invoice'!I$2:I$401,$AH19)))</f>
        <v/>
      </c>
      <c r="J19">
        <f>IF($AH19="","",IF(INDEX('Per Invoice'!J$2:J$401,$AH19)="","",INDEX('Per Invoice'!J$2:J$401,$AH19)))</f>
        <v/>
      </c>
      <c r="K19">
        <f>IF($AH19="","",IF(INDEX('Per Invoice'!K$2:K$401,$AH19)="","",INDEX('Per Invoice'!K$2:K$401,$AH19)))</f>
        <v/>
      </c>
      <c r="L19">
        <f>IF($AH19="","",IF(INDEX('Per Invoice'!L$2:L$401,$AH19)="","",INDEX('Per Invoice'!L$2:L$401,$AH19)))</f>
        <v/>
      </c>
      <c r="M19">
        <f>IF($AH19="","",IF(INDEX('Per Invoice'!M$2:M$401,$AH19)="","",INDEX('Per Invoice'!M$2:M$401,$AH19)))</f>
        <v/>
      </c>
      <c r="N19">
        <f>IF($AH19="","",IF(INDEX('Per Invoice'!N$2:N$401,$AH19)="","",INDEX('Per Invoice'!N$2:N$401,$AH19)))</f>
        <v/>
      </c>
      <c r="O19">
        <f>IF($AH19="","",IF(INDEX('Per Invoice'!O$2:O$401,$AH19)="","",INDEX('Per Invoice'!O$2:O$401,$AH19)))</f>
        <v/>
      </c>
      <c r="P19" s="7">
        <f>IF($AH19="","",IF(INDEX('Per Invoice'!P$2:P$401,$AH19)="","",INDEX('Per Invoice'!P$2:P$401,$AH19)))</f>
        <v/>
      </c>
      <c r="Q19">
        <f>IF($AH19="","",IF(INDEX('Per Invoice'!Q$2:Q$401,$AH19)="","",INDEX('Per Invoice'!Q$2:Q$401,$AH19)))</f>
        <v/>
      </c>
      <c r="R19">
        <f>IF($AH19="","",IF(INDEX('Per Invoice'!R$2:R$401,$AH19)="","",INDEX('Per Invoice'!R$2:R$401,$AH19)))</f>
        <v/>
      </c>
      <c r="S19">
        <f>IF($AH19="","",IF(INDEX('Per Invoice'!S$2:S$401,$AH19)="","",INDEX('Per Invoice'!S$2:S$401,$AH19)))</f>
        <v/>
      </c>
      <c r="T19" s="7">
        <f>IF($AH19="","",IF(INDEX('Per Invoice'!T$2:T$401,$AH19)="","",INDEX('Per Invoice'!T$2:T$401,$AH19)))</f>
        <v/>
      </c>
      <c r="U19" s="7">
        <f>IF($AH19="","",IF(INDEX('Per Invoice'!U$2:U$401,$AH19)="","",INDEX('Per Invoice'!U$2:U$401,$AH19)))</f>
        <v/>
      </c>
      <c r="V19">
        <f>IF($AH19="","",IF(INDEX('Per Invoice'!V$2:V$401,$AH19)="","",INDEX('Per Invoice'!V$2:V$401,$AH19)))</f>
        <v/>
      </c>
      <c r="W19" s="7">
        <f>IF($AH19="","",IF(INDEX('Per Invoice'!W$2:W$401,$AH19)="","",INDEX('Per Invoice'!W$2:W$401,$AH19)))</f>
        <v/>
      </c>
      <c r="X19" s="7">
        <f>IF($AH19="","",IF(INDEX('Per Invoice'!X$2:X$401,$AH19)="","",INDEX('Per Invoice'!X$2:X$401,$AH19)))</f>
        <v/>
      </c>
      <c r="Y19">
        <f>IF($AH19="","",IF(INDEX('Per Invoice'!Y$2:Y$401,$AH19)="","",INDEX('Per Invoice'!Y$2:Y$401,$AH19)))</f>
        <v/>
      </c>
      <c r="Z19" s="7">
        <f>IF($AH19="","",IF(INDEX('Per Invoice'!Z$2:Z$401,$AH19)="","",INDEX('Per Invoice'!Z$2:Z$401,$AH19)))</f>
        <v/>
      </c>
      <c r="AA19" s="7">
        <f>IF($AH19="","",IF(INDEX('Per Invoice'!AA$2:AA$401,$AH19)="","",INDEX('Per Invoice'!AA$2:AA$401,$AH19)))</f>
        <v/>
      </c>
      <c r="AB19" s="7">
        <f>IF($AH19="","",IF(INDEX('Per Invoice'!AB$2:AB$401,$AH19)="","",INDEX('Per Invoice'!AB$2:AB$401,$AH19)))</f>
        <v/>
      </c>
      <c r="AC19" s="7">
        <f>IF($AH19="","",IF(INDEX('Per Invoice'!AC$2:AC$401,$AH19)="","",INDEX('Per Invoice'!AC$2:AC$401,$AH19)))</f>
        <v/>
      </c>
      <c r="AD19" s="7">
        <f>IF($AH19="","",IF(INDEX('Per Invoice'!AD$2:AD$401,$AH19)="","",INDEX('Per Invoice'!AD$2:AD$401,$AH19)))</f>
        <v/>
      </c>
      <c r="AE19" s="7">
        <f>IF($AH19="","",IF(INDEX('Per Invoice'!AE$2:AE$401,$AH19)="","",INDEX('Per Invoice'!AE$2:AE$401,$AH19)))</f>
        <v/>
      </c>
      <c r="AF19">
        <f>IF($AH19="","",IF(INDEX('Per Invoice'!AF$2:AF$401,$AH19)="","",INDEX('Per Invoice'!AF$2:AF$401,$AH19)))</f>
        <v/>
      </c>
      <c r="AG19" s="7">
        <f>IF($AH19="","",IF(INDEX('Per Invoice'!AG$2:AG$401,$AH19)="","",INDEX('Per Invoice'!AG$2:AG$401,$AH19)))</f>
        <v/>
      </c>
      <c r="AH19" s="16">
        <f>IFERROR(MATCH(Settings!$C$26&amp;"|"&amp;ROWS($AH$2:$AH19),'Per Invoice'!$AI$2:$AI$401,0),"")</f>
        <v/>
      </c>
    </row>
    <row r="20">
      <c r="A20">
        <f>IF($AH20="","",IF(INDEX('Per Invoice'!A$2:A$401,$AH20)="","",INDEX('Per Invoice'!A$2:A$401,$AH20)))</f>
        <v/>
      </c>
      <c r="B20">
        <f>IF($AH20="","",IF(INDEX('Per Invoice'!B$2:B$401,$AH20)="","",INDEX('Per Invoice'!B$2:B$401,$AH20)))</f>
        <v/>
      </c>
      <c r="C20">
        <f>IF($AH20="","",IF(INDEX('Per Invoice'!C$2:C$401,$AH20)="","",INDEX('Per Invoice'!C$2:C$401,$AH20)))</f>
        <v/>
      </c>
      <c r="D20">
        <f>IF($AH20="","",IF(INDEX('Per Invoice'!D$2:D$401,$AH20)="","",INDEX('Per Invoice'!D$2:D$401,$AH20)))</f>
        <v/>
      </c>
      <c r="E20">
        <f>IF($AH20="","",IF(INDEX('Per Invoice'!E$2:E$401,$AH20)="","",INDEX('Per Invoice'!E$2:E$401,$AH20)))</f>
        <v/>
      </c>
      <c r="F20">
        <f>IF($AH20="","",IF(INDEX('Per Invoice'!F$2:F$401,$AH20)="","",INDEX('Per Invoice'!F$2:F$401,$AH20)))</f>
        <v/>
      </c>
      <c r="G20">
        <f>IF($AH20="","",IF(INDEX('Per Invoice'!G$2:G$401,$AH20)="","",INDEX('Per Invoice'!G$2:G$401,$AH20)))</f>
        <v/>
      </c>
      <c r="H20">
        <f>IF($AH20="","",IF(INDEX('Per Invoice'!H$2:H$401,$AH20)="","",INDEX('Per Invoice'!H$2:H$401,$AH20)))</f>
        <v/>
      </c>
      <c r="I20" s="14">
        <f>IF($AH20="","",IF(INDEX('Per Invoice'!I$2:I$401,$AH20)="","",INDEX('Per Invoice'!I$2:I$401,$AH20)))</f>
        <v/>
      </c>
      <c r="J20">
        <f>IF($AH20="","",IF(INDEX('Per Invoice'!J$2:J$401,$AH20)="","",INDEX('Per Invoice'!J$2:J$401,$AH20)))</f>
        <v/>
      </c>
      <c r="K20">
        <f>IF($AH20="","",IF(INDEX('Per Invoice'!K$2:K$401,$AH20)="","",INDEX('Per Invoice'!K$2:K$401,$AH20)))</f>
        <v/>
      </c>
      <c r="L20">
        <f>IF($AH20="","",IF(INDEX('Per Invoice'!L$2:L$401,$AH20)="","",INDEX('Per Invoice'!L$2:L$401,$AH20)))</f>
        <v/>
      </c>
      <c r="M20">
        <f>IF($AH20="","",IF(INDEX('Per Invoice'!M$2:M$401,$AH20)="","",INDEX('Per Invoice'!M$2:M$401,$AH20)))</f>
        <v/>
      </c>
      <c r="N20">
        <f>IF($AH20="","",IF(INDEX('Per Invoice'!N$2:N$401,$AH20)="","",INDEX('Per Invoice'!N$2:N$401,$AH20)))</f>
        <v/>
      </c>
      <c r="O20">
        <f>IF($AH20="","",IF(INDEX('Per Invoice'!O$2:O$401,$AH20)="","",INDEX('Per Invoice'!O$2:O$401,$AH20)))</f>
        <v/>
      </c>
      <c r="P20" s="7">
        <f>IF($AH20="","",IF(INDEX('Per Invoice'!P$2:P$401,$AH20)="","",INDEX('Per Invoice'!P$2:P$401,$AH20)))</f>
        <v/>
      </c>
      <c r="Q20">
        <f>IF($AH20="","",IF(INDEX('Per Invoice'!Q$2:Q$401,$AH20)="","",INDEX('Per Invoice'!Q$2:Q$401,$AH20)))</f>
        <v/>
      </c>
      <c r="R20">
        <f>IF($AH20="","",IF(INDEX('Per Invoice'!R$2:R$401,$AH20)="","",INDEX('Per Invoice'!R$2:R$401,$AH20)))</f>
        <v/>
      </c>
      <c r="S20">
        <f>IF($AH20="","",IF(INDEX('Per Invoice'!S$2:S$401,$AH20)="","",INDEX('Per Invoice'!S$2:S$401,$AH20)))</f>
        <v/>
      </c>
      <c r="T20" s="7">
        <f>IF($AH20="","",IF(INDEX('Per Invoice'!T$2:T$401,$AH20)="","",INDEX('Per Invoice'!T$2:T$401,$AH20)))</f>
        <v/>
      </c>
      <c r="U20" s="7">
        <f>IF($AH20="","",IF(INDEX('Per Invoice'!U$2:U$401,$AH20)="","",INDEX('Per Invoice'!U$2:U$401,$AH20)))</f>
        <v/>
      </c>
      <c r="V20">
        <f>IF($AH20="","",IF(INDEX('Per Invoice'!V$2:V$401,$AH20)="","",INDEX('Per Invoice'!V$2:V$401,$AH20)))</f>
        <v/>
      </c>
      <c r="W20" s="7">
        <f>IF($AH20="","",IF(INDEX('Per Invoice'!W$2:W$401,$AH20)="","",INDEX('Per Invoice'!W$2:W$401,$AH20)))</f>
        <v/>
      </c>
      <c r="X20" s="7">
        <f>IF($AH20="","",IF(INDEX('Per Invoice'!X$2:X$401,$AH20)="","",INDEX('Per Invoice'!X$2:X$401,$AH20)))</f>
        <v/>
      </c>
      <c r="Y20">
        <f>IF($AH20="","",IF(INDEX('Per Invoice'!Y$2:Y$401,$AH20)="","",INDEX('Per Invoice'!Y$2:Y$401,$AH20)))</f>
        <v/>
      </c>
      <c r="Z20" s="7">
        <f>IF($AH20="","",IF(INDEX('Per Invoice'!Z$2:Z$401,$AH20)="","",INDEX('Per Invoice'!Z$2:Z$401,$AH20)))</f>
        <v/>
      </c>
      <c r="AA20" s="7">
        <f>IF($AH20="","",IF(INDEX('Per Invoice'!AA$2:AA$401,$AH20)="","",INDEX('Per Invoice'!AA$2:AA$401,$AH20)))</f>
        <v/>
      </c>
      <c r="AB20" s="7">
        <f>IF($AH20="","",IF(INDEX('Per Invoice'!AB$2:AB$401,$AH20)="","",INDEX('Per Invoice'!AB$2:AB$401,$AH20)))</f>
        <v/>
      </c>
      <c r="AC20" s="7">
        <f>IF($AH20="","",IF(INDEX('Per Invoice'!AC$2:AC$401,$AH20)="","",INDEX('Per Invoice'!AC$2:AC$401,$AH20)))</f>
        <v/>
      </c>
      <c r="AD20" s="7">
        <f>IF($AH20="","",IF(INDEX('Per Invoice'!AD$2:AD$401,$AH20)="","",INDEX('Per Invoice'!AD$2:AD$401,$AH20)))</f>
        <v/>
      </c>
      <c r="AE20" s="7">
        <f>IF($AH20="","",IF(INDEX('Per Invoice'!AE$2:AE$401,$AH20)="","",INDEX('Per Invoice'!AE$2:AE$401,$AH20)))</f>
        <v/>
      </c>
      <c r="AF20">
        <f>IF($AH20="","",IF(INDEX('Per Invoice'!AF$2:AF$401,$AH20)="","",INDEX('Per Invoice'!AF$2:AF$401,$AH20)))</f>
        <v/>
      </c>
      <c r="AG20" s="7">
        <f>IF($AH20="","",IF(INDEX('Per Invoice'!AG$2:AG$401,$AH20)="","",INDEX('Per Invoice'!AG$2:AG$401,$AH20)))</f>
        <v/>
      </c>
      <c r="AH20" s="16">
        <f>IFERROR(MATCH(Settings!$C$26&amp;"|"&amp;ROWS($AH$2:$AH20),'Per Invoice'!$AI$2:$AI$401,0),"")</f>
        <v/>
      </c>
    </row>
    <row r="21">
      <c r="A21">
        <f>IF($AH21="","",IF(INDEX('Per Invoice'!A$2:A$401,$AH21)="","",INDEX('Per Invoice'!A$2:A$401,$AH21)))</f>
        <v/>
      </c>
      <c r="B21">
        <f>IF($AH21="","",IF(INDEX('Per Invoice'!B$2:B$401,$AH21)="","",INDEX('Per Invoice'!B$2:B$401,$AH21)))</f>
        <v/>
      </c>
      <c r="C21">
        <f>IF($AH21="","",IF(INDEX('Per Invoice'!C$2:C$401,$AH21)="","",INDEX('Per Invoice'!C$2:C$401,$AH21)))</f>
        <v/>
      </c>
      <c r="D21">
        <f>IF($AH21="","",IF(INDEX('Per Invoice'!D$2:D$401,$AH21)="","",INDEX('Per Invoice'!D$2:D$401,$AH21)))</f>
        <v/>
      </c>
      <c r="E21">
        <f>IF($AH21="","",IF(INDEX('Per Invoice'!E$2:E$401,$AH21)="","",INDEX('Per Invoice'!E$2:E$401,$AH21)))</f>
        <v/>
      </c>
      <c r="F21">
        <f>IF($AH21="","",IF(INDEX('Per Invoice'!F$2:F$401,$AH21)="","",INDEX('Per Invoice'!F$2:F$401,$AH21)))</f>
        <v/>
      </c>
      <c r="G21">
        <f>IF($AH21="","",IF(INDEX('Per Invoice'!G$2:G$401,$AH21)="","",INDEX('Per Invoice'!G$2:G$401,$AH21)))</f>
        <v/>
      </c>
      <c r="H21">
        <f>IF($AH21="","",IF(INDEX('Per Invoice'!H$2:H$401,$AH21)="","",INDEX('Per Invoice'!H$2:H$401,$AH21)))</f>
        <v/>
      </c>
      <c r="I21" s="14">
        <f>IF($AH21="","",IF(INDEX('Per Invoice'!I$2:I$401,$AH21)="","",INDEX('Per Invoice'!I$2:I$401,$AH21)))</f>
        <v/>
      </c>
      <c r="J21">
        <f>IF($AH21="","",IF(INDEX('Per Invoice'!J$2:J$401,$AH21)="","",INDEX('Per Invoice'!J$2:J$401,$AH21)))</f>
        <v/>
      </c>
      <c r="K21">
        <f>IF($AH21="","",IF(INDEX('Per Invoice'!K$2:K$401,$AH21)="","",INDEX('Per Invoice'!K$2:K$401,$AH21)))</f>
        <v/>
      </c>
      <c r="L21">
        <f>IF($AH21="","",IF(INDEX('Per Invoice'!L$2:L$401,$AH21)="","",INDEX('Per Invoice'!L$2:L$401,$AH21)))</f>
        <v/>
      </c>
      <c r="M21">
        <f>IF($AH21="","",IF(INDEX('Per Invoice'!M$2:M$401,$AH21)="","",INDEX('Per Invoice'!M$2:M$401,$AH21)))</f>
        <v/>
      </c>
      <c r="N21">
        <f>IF($AH21="","",IF(INDEX('Per Invoice'!N$2:N$401,$AH21)="","",INDEX('Per Invoice'!N$2:N$401,$AH21)))</f>
        <v/>
      </c>
      <c r="O21">
        <f>IF($AH21="","",IF(INDEX('Per Invoice'!O$2:O$401,$AH21)="","",INDEX('Per Invoice'!O$2:O$401,$AH21)))</f>
        <v/>
      </c>
      <c r="P21" s="7">
        <f>IF($AH21="","",IF(INDEX('Per Invoice'!P$2:P$401,$AH21)="","",INDEX('Per Invoice'!P$2:P$401,$AH21)))</f>
        <v/>
      </c>
      <c r="Q21">
        <f>IF($AH21="","",IF(INDEX('Per Invoice'!Q$2:Q$401,$AH21)="","",INDEX('Per Invoice'!Q$2:Q$401,$AH21)))</f>
        <v/>
      </c>
      <c r="R21">
        <f>IF($AH21="","",IF(INDEX('Per Invoice'!R$2:R$401,$AH21)="","",INDEX('Per Invoice'!R$2:R$401,$AH21)))</f>
        <v/>
      </c>
      <c r="S21">
        <f>IF($AH21="","",IF(INDEX('Per Invoice'!S$2:S$401,$AH21)="","",INDEX('Per Invoice'!S$2:S$401,$AH21)))</f>
        <v/>
      </c>
      <c r="T21" s="7">
        <f>IF($AH21="","",IF(INDEX('Per Invoice'!T$2:T$401,$AH21)="","",INDEX('Per Invoice'!T$2:T$401,$AH21)))</f>
        <v/>
      </c>
      <c r="U21" s="7">
        <f>IF($AH21="","",IF(INDEX('Per Invoice'!U$2:U$401,$AH21)="","",INDEX('Per Invoice'!U$2:U$401,$AH21)))</f>
        <v/>
      </c>
      <c r="V21">
        <f>IF($AH21="","",IF(INDEX('Per Invoice'!V$2:V$401,$AH21)="","",INDEX('Per Invoice'!V$2:V$401,$AH21)))</f>
        <v/>
      </c>
      <c r="W21" s="7">
        <f>IF($AH21="","",IF(INDEX('Per Invoice'!W$2:W$401,$AH21)="","",INDEX('Per Invoice'!W$2:W$401,$AH21)))</f>
        <v/>
      </c>
      <c r="X21" s="7">
        <f>IF($AH21="","",IF(INDEX('Per Invoice'!X$2:X$401,$AH21)="","",INDEX('Per Invoice'!X$2:X$401,$AH21)))</f>
        <v/>
      </c>
      <c r="Y21">
        <f>IF($AH21="","",IF(INDEX('Per Invoice'!Y$2:Y$401,$AH21)="","",INDEX('Per Invoice'!Y$2:Y$401,$AH21)))</f>
        <v/>
      </c>
      <c r="Z21" s="7">
        <f>IF($AH21="","",IF(INDEX('Per Invoice'!Z$2:Z$401,$AH21)="","",INDEX('Per Invoice'!Z$2:Z$401,$AH21)))</f>
        <v/>
      </c>
      <c r="AA21" s="7">
        <f>IF($AH21="","",IF(INDEX('Per Invoice'!AA$2:AA$401,$AH21)="","",INDEX('Per Invoice'!AA$2:AA$401,$AH21)))</f>
        <v/>
      </c>
      <c r="AB21" s="7">
        <f>IF($AH21="","",IF(INDEX('Per Invoice'!AB$2:AB$401,$AH21)="","",INDEX('Per Invoice'!AB$2:AB$401,$AH21)))</f>
        <v/>
      </c>
      <c r="AC21" s="7">
        <f>IF($AH21="","",IF(INDEX('Per Invoice'!AC$2:AC$401,$AH21)="","",INDEX('Per Invoice'!AC$2:AC$401,$AH21)))</f>
        <v/>
      </c>
      <c r="AD21" s="7">
        <f>IF($AH21="","",IF(INDEX('Per Invoice'!AD$2:AD$401,$AH21)="","",INDEX('Per Invoice'!AD$2:AD$401,$AH21)))</f>
        <v/>
      </c>
      <c r="AE21" s="7">
        <f>IF($AH21="","",IF(INDEX('Per Invoice'!AE$2:AE$401,$AH21)="","",INDEX('Per Invoice'!AE$2:AE$401,$AH21)))</f>
        <v/>
      </c>
      <c r="AF21">
        <f>IF($AH21="","",IF(INDEX('Per Invoice'!AF$2:AF$401,$AH21)="","",INDEX('Per Invoice'!AF$2:AF$401,$AH21)))</f>
        <v/>
      </c>
      <c r="AG21" s="7">
        <f>IF($AH21="","",IF(INDEX('Per Invoice'!AG$2:AG$401,$AH21)="","",INDEX('Per Invoice'!AG$2:AG$401,$AH21)))</f>
        <v/>
      </c>
      <c r="AH21" s="16">
        <f>IFERROR(MATCH(Settings!$C$26&amp;"|"&amp;ROWS($AH$2:$AH21),'Per Invoice'!$AI$2:$AI$401,0),"")</f>
        <v/>
      </c>
    </row>
    <row r="22">
      <c r="A22">
        <f>IF($AH22="","",IF(INDEX('Per Invoice'!A$2:A$401,$AH22)="","",INDEX('Per Invoice'!A$2:A$401,$AH22)))</f>
        <v/>
      </c>
      <c r="B22">
        <f>IF($AH22="","",IF(INDEX('Per Invoice'!B$2:B$401,$AH22)="","",INDEX('Per Invoice'!B$2:B$401,$AH22)))</f>
        <v/>
      </c>
      <c r="C22">
        <f>IF($AH22="","",IF(INDEX('Per Invoice'!C$2:C$401,$AH22)="","",INDEX('Per Invoice'!C$2:C$401,$AH22)))</f>
        <v/>
      </c>
      <c r="D22">
        <f>IF($AH22="","",IF(INDEX('Per Invoice'!D$2:D$401,$AH22)="","",INDEX('Per Invoice'!D$2:D$401,$AH22)))</f>
        <v/>
      </c>
      <c r="E22">
        <f>IF($AH22="","",IF(INDEX('Per Invoice'!E$2:E$401,$AH22)="","",INDEX('Per Invoice'!E$2:E$401,$AH22)))</f>
        <v/>
      </c>
      <c r="F22">
        <f>IF($AH22="","",IF(INDEX('Per Invoice'!F$2:F$401,$AH22)="","",INDEX('Per Invoice'!F$2:F$401,$AH22)))</f>
        <v/>
      </c>
      <c r="G22">
        <f>IF($AH22="","",IF(INDEX('Per Invoice'!G$2:G$401,$AH22)="","",INDEX('Per Invoice'!G$2:G$401,$AH22)))</f>
        <v/>
      </c>
      <c r="H22">
        <f>IF($AH22="","",IF(INDEX('Per Invoice'!H$2:H$401,$AH22)="","",INDEX('Per Invoice'!H$2:H$401,$AH22)))</f>
        <v/>
      </c>
      <c r="I22" s="14">
        <f>IF($AH22="","",IF(INDEX('Per Invoice'!I$2:I$401,$AH22)="","",INDEX('Per Invoice'!I$2:I$401,$AH22)))</f>
        <v/>
      </c>
      <c r="J22">
        <f>IF($AH22="","",IF(INDEX('Per Invoice'!J$2:J$401,$AH22)="","",INDEX('Per Invoice'!J$2:J$401,$AH22)))</f>
        <v/>
      </c>
      <c r="K22">
        <f>IF($AH22="","",IF(INDEX('Per Invoice'!K$2:K$401,$AH22)="","",INDEX('Per Invoice'!K$2:K$401,$AH22)))</f>
        <v/>
      </c>
      <c r="L22">
        <f>IF($AH22="","",IF(INDEX('Per Invoice'!L$2:L$401,$AH22)="","",INDEX('Per Invoice'!L$2:L$401,$AH22)))</f>
        <v/>
      </c>
      <c r="M22">
        <f>IF($AH22="","",IF(INDEX('Per Invoice'!M$2:M$401,$AH22)="","",INDEX('Per Invoice'!M$2:M$401,$AH22)))</f>
        <v/>
      </c>
      <c r="N22">
        <f>IF($AH22="","",IF(INDEX('Per Invoice'!N$2:N$401,$AH22)="","",INDEX('Per Invoice'!N$2:N$401,$AH22)))</f>
        <v/>
      </c>
      <c r="O22">
        <f>IF($AH22="","",IF(INDEX('Per Invoice'!O$2:O$401,$AH22)="","",INDEX('Per Invoice'!O$2:O$401,$AH22)))</f>
        <v/>
      </c>
      <c r="P22" s="7">
        <f>IF($AH22="","",IF(INDEX('Per Invoice'!P$2:P$401,$AH22)="","",INDEX('Per Invoice'!P$2:P$401,$AH22)))</f>
        <v/>
      </c>
      <c r="Q22">
        <f>IF($AH22="","",IF(INDEX('Per Invoice'!Q$2:Q$401,$AH22)="","",INDEX('Per Invoice'!Q$2:Q$401,$AH22)))</f>
        <v/>
      </c>
      <c r="R22">
        <f>IF($AH22="","",IF(INDEX('Per Invoice'!R$2:R$401,$AH22)="","",INDEX('Per Invoice'!R$2:R$401,$AH22)))</f>
        <v/>
      </c>
      <c r="S22">
        <f>IF($AH22="","",IF(INDEX('Per Invoice'!S$2:S$401,$AH22)="","",INDEX('Per Invoice'!S$2:S$401,$AH22)))</f>
        <v/>
      </c>
      <c r="T22" s="7">
        <f>IF($AH22="","",IF(INDEX('Per Invoice'!T$2:T$401,$AH22)="","",INDEX('Per Invoice'!T$2:T$401,$AH22)))</f>
        <v/>
      </c>
      <c r="U22" s="7">
        <f>IF($AH22="","",IF(INDEX('Per Invoice'!U$2:U$401,$AH22)="","",INDEX('Per Invoice'!U$2:U$401,$AH22)))</f>
        <v/>
      </c>
      <c r="V22">
        <f>IF($AH22="","",IF(INDEX('Per Invoice'!V$2:V$401,$AH22)="","",INDEX('Per Invoice'!V$2:V$401,$AH22)))</f>
        <v/>
      </c>
      <c r="W22" s="7">
        <f>IF($AH22="","",IF(INDEX('Per Invoice'!W$2:W$401,$AH22)="","",INDEX('Per Invoice'!W$2:W$401,$AH22)))</f>
        <v/>
      </c>
      <c r="X22" s="7">
        <f>IF($AH22="","",IF(INDEX('Per Invoice'!X$2:X$401,$AH22)="","",INDEX('Per Invoice'!X$2:X$401,$AH22)))</f>
        <v/>
      </c>
      <c r="Y22">
        <f>IF($AH22="","",IF(INDEX('Per Invoice'!Y$2:Y$401,$AH22)="","",INDEX('Per Invoice'!Y$2:Y$401,$AH22)))</f>
        <v/>
      </c>
      <c r="Z22" s="7">
        <f>IF($AH22="","",IF(INDEX('Per Invoice'!Z$2:Z$401,$AH22)="","",INDEX('Per Invoice'!Z$2:Z$401,$AH22)))</f>
        <v/>
      </c>
      <c r="AA22" s="7">
        <f>IF($AH22="","",IF(INDEX('Per Invoice'!AA$2:AA$401,$AH22)="","",INDEX('Per Invoice'!AA$2:AA$401,$AH22)))</f>
        <v/>
      </c>
      <c r="AB22" s="7">
        <f>IF($AH22="","",IF(INDEX('Per Invoice'!AB$2:AB$401,$AH22)="","",INDEX('Per Invoice'!AB$2:AB$401,$AH22)))</f>
        <v/>
      </c>
      <c r="AC22" s="7">
        <f>IF($AH22="","",IF(INDEX('Per Invoice'!AC$2:AC$401,$AH22)="","",INDEX('Per Invoice'!AC$2:AC$401,$AH22)))</f>
        <v/>
      </c>
      <c r="AD22" s="7">
        <f>IF($AH22="","",IF(INDEX('Per Invoice'!AD$2:AD$401,$AH22)="","",INDEX('Per Invoice'!AD$2:AD$401,$AH22)))</f>
        <v/>
      </c>
      <c r="AE22" s="7">
        <f>IF($AH22="","",IF(INDEX('Per Invoice'!AE$2:AE$401,$AH22)="","",INDEX('Per Invoice'!AE$2:AE$401,$AH22)))</f>
        <v/>
      </c>
      <c r="AF22">
        <f>IF($AH22="","",IF(INDEX('Per Invoice'!AF$2:AF$401,$AH22)="","",INDEX('Per Invoice'!AF$2:AF$401,$AH22)))</f>
        <v/>
      </c>
      <c r="AG22" s="7">
        <f>IF($AH22="","",IF(INDEX('Per Invoice'!AG$2:AG$401,$AH22)="","",INDEX('Per Invoice'!AG$2:AG$401,$AH22)))</f>
        <v/>
      </c>
      <c r="AH22" s="16">
        <f>IFERROR(MATCH(Settings!$C$26&amp;"|"&amp;ROWS($AH$2:$AH22),'Per Invoice'!$AI$2:$AI$401,0),"")</f>
        <v/>
      </c>
    </row>
    <row r="23">
      <c r="A23">
        <f>IF($AH23="","",IF(INDEX('Per Invoice'!A$2:A$401,$AH23)="","",INDEX('Per Invoice'!A$2:A$401,$AH23)))</f>
        <v/>
      </c>
      <c r="B23">
        <f>IF($AH23="","",IF(INDEX('Per Invoice'!B$2:B$401,$AH23)="","",INDEX('Per Invoice'!B$2:B$401,$AH23)))</f>
        <v/>
      </c>
      <c r="C23">
        <f>IF($AH23="","",IF(INDEX('Per Invoice'!C$2:C$401,$AH23)="","",INDEX('Per Invoice'!C$2:C$401,$AH23)))</f>
        <v/>
      </c>
      <c r="D23">
        <f>IF($AH23="","",IF(INDEX('Per Invoice'!D$2:D$401,$AH23)="","",INDEX('Per Invoice'!D$2:D$401,$AH23)))</f>
        <v/>
      </c>
      <c r="E23">
        <f>IF($AH23="","",IF(INDEX('Per Invoice'!E$2:E$401,$AH23)="","",INDEX('Per Invoice'!E$2:E$401,$AH23)))</f>
        <v/>
      </c>
      <c r="F23">
        <f>IF($AH23="","",IF(INDEX('Per Invoice'!F$2:F$401,$AH23)="","",INDEX('Per Invoice'!F$2:F$401,$AH23)))</f>
        <v/>
      </c>
      <c r="G23">
        <f>IF($AH23="","",IF(INDEX('Per Invoice'!G$2:G$401,$AH23)="","",INDEX('Per Invoice'!G$2:G$401,$AH23)))</f>
        <v/>
      </c>
      <c r="H23">
        <f>IF($AH23="","",IF(INDEX('Per Invoice'!H$2:H$401,$AH23)="","",INDEX('Per Invoice'!H$2:H$401,$AH23)))</f>
        <v/>
      </c>
      <c r="I23" s="14">
        <f>IF($AH23="","",IF(INDEX('Per Invoice'!I$2:I$401,$AH23)="","",INDEX('Per Invoice'!I$2:I$401,$AH23)))</f>
        <v/>
      </c>
      <c r="J23">
        <f>IF($AH23="","",IF(INDEX('Per Invoice'!J$2:J$401,$AH23)="","",INDEX('Per Invoice'!J$2:J$401,$AH23)))</f>
        <v/>
      </c>
      <c r="K23">
        <f>IF($AH23="","",IF(INDEX('Per Invoice'!K$2:K$401,$AH23)="","",INDEX('Per Invoice'!K$2:K$401,$AH23)))</f>
        <v/>
      </c>
      <c r="L23">
        <f>IF($AH23="","",IF(INDEX('Per Invoice'!L$2:L$401,$AH23)="","",INDEX('Per Invoice'!L$2:L$401,$AH23)))</f>
        <v/>
      </c>
      <c r="M23">
        <f>IF($AH23="","",IF(INDEX('Per Invoice'!M$2:M$401,$AH23)="","",INDEX('Per Invoice'!M$2:M$401,$AH23)))</f>
        <v/>
      </c>
      <c r="N23">
        <f>IF($AH23="","",IF(INDEX('Per Invoice'!N$2:N$401,$AH23)="","",INDEX('Per Invoice'!N$2:N$401,$AH23)))</f>
        <v/>
      </c>
      <c r="O23">
        <f>IF($AH23="","",IF(INDEX('Per Invoice'!O$2:O$401,$AH23)="","",INDEX('Per Invoice'!O$2:O$401,$AH23)))</f>
        <v/>
      </c>
      <c r="P23" s="7">
        <f>IF($AH23="","",IF(INDEX('Per Invoice'!P$2:P$401,$AH23)="","",INDEX('Per Invoice'!P$2:P$401,$AH23)))</f>
        <v/>
      </c>
      <c r="Q23">
        <f>IF($AH23="","",IF(INDEX('Per Invoice'!Q$2:Q$401,$AH23)="","",INDEX('Per Invoice'!Q$2:Q$401,$AH23)))</f>
        <v/>
      </c>
      <c r="R23">
        <f>IF($AH23="","",IF(INDEX('Per Invoice'!R$2:R$401,$AH23)="","",INDEX('Per Invoice'!R$2:R$401,$AH23)))</f>
        <v/>
      </c>
      <c r="S23">
        <f>IF($AH23="","",IF(INDEX('Per Invoice'!S$2:S$401,$AH23)="","",INDEX('Per Invoice'!S$2:S$401,$AH23)))</f>
        <v/>
      </c>
      <c r="T23" s="7">
        <f>IF($AH23="","",IF(INDEX('Per Invoice'!T$2:T$401,$AH23)="","",INDEX('Per Invoice'!T$2:T$401,$AH23)))</f>
        <v/>
      </c>
      <c r="U23" s="7">
        <f>IF($AH23="","",IF(INDEX('Per Invoice'!U$2:U$401,$AH23)="","",INDEX('Per Invoice'!U$2:U$401,$AH23)))</f>
        <v/>
      </c>
      <c r="V23">
        <f>IF($AH23="","",IF(INDEX('Per Invoice'!V$2:V$401,$AH23)="","",INDEX('Per Invoice'!V$2:V$401,$AH23)))</f>
        <v/>
      </c>
      <c r="W23" s="7">
        <f>IF($AH23="","",IF(INDEX('Per Invoice'!W$2:W$401,$AH23)="","",INDEX('Per Invoice'!W$2:W$401,$AH23)))</f>
        <v/>
      </c>
      <c r="X23" s="7">
        <f>IF($AH23="","",IF(INDEX('Per Invoice'!X$2:X$401,$AH23)="","",INDEX('Per Invoice'!X$2:X$401,$AH23)))</f>
        <v/>
      </c>
      <c r="Y23">
        <f>IF($AH23="","",IF(INDEX('Per Invoice'!Y$2:Y$401,$AH23)="","",INDEX('Per Invoice'!Y$2:Y$401,$AH23)))</f>
        <v/>
      </c>
      <c r="Z23" s="7">
        <f>IF($AH23="","",IF(INDEX('Per Invoice'!Z$2:Z$401,$AH23)="","",INDEX('Per Invoice'!Z$2:Z$401,$AH23)))</f>
        <v/>
      </c>
      <c r="AA23" s="7">
        <f>IF($AH23="","",IF(INDEX('Per Invoice'!AA$2:AA$401,$AH23)="","",INDEX('Per Invoice'!AA$2:AA$401,$AH23)))</f>
        <v/>
      </c>
      <c r="AB23" s="7">
        <f>IF($AH23="","",IF(INDEX('Per Invoice'!AB$2:AB$401,$AH23)="","",INDEX('Per Invoice'!AB$2:AB$401,$AH23)))</f>
        <v/>
      </c>
      <c r="AC23" s="7">
        <f>IF($AH23="","",IF(INDEX('Per Invoice'!AC$2:AC$401,$AH23)="","",INDEX('Per Invoice'!AC$2:AC$401,$AH23)))</f>
        <v/>
      </c>
      <c r="AD23" s="7">
        <f>IF($AH23="","",IF(INDEX('Per Invoice'!AD$2:AD$401,$AH23)="","",INDEX('Per Invoice'!AD$2:AD$401,$AH23)))</f>
        <v/>
      </c>
      <c r="AE23" s="7">
        <f>IF($AH23="","",IF(INDEX('Per Invoice'!AE$2:AE$401,$AH23)="","",INDEX('Per Invoice'!AE$2:AE$401,$AH23)))</f>
        <v/>
      </c>
      <c r="AF23">
        <f>IF($AH23="","",IF(INDEX('Per Invoice'!AF$2:AF$401,$AH23)="","",INDEX('Per Invoice'!AF$2:AF$401,$AH23)))</f>
        <v/>
      </c>
      <c r="AG23" s="7">
        <f>IF($AH23="","",IF(INDEX('Per Invoice'!AG$2:AG$401,$AH23)="","",INDEX('Per Invoice'!AG$2:AG$401,$AH23)))</f>
        <v/>
      </c>
      <c r="AH23" s="16">
        <f>IFERROR(MATCH(Settings!$C$26&amp;"|"&amp;ROWS($AH$2:$AH23),'Per Invoice'!$AI$2:$AI$401,0),"")</f>
        <v/>
      </c>
    </row>
    <row r="24">
      <c r="A24">
        <f>IF($AH24="","",IF(INDEX('Per Invoice'!A$2:A$401,$AH24)="","",INDEX('Per Invoice'!A$2:A$401,$AH24)))</f>
        <v/>
      </c>
      <c r="B24">
        <f>IF($AH24="","",IF(INDEX('Per Invoice'!B$2:B$401,$AH24)="","",INDEX('Per Invoice'!B$2:B$401,$AH24)))</f>
        <v/>
      </c>
      <c r="C24">
        <f>IF($AH24="","",IF(INDEX('Per Invoice'!C$2:C$401,$AH24)="","",INDEX('Per Invoice'!C$2:C$401,$AH24)))</f>
        <v/>
      </c>
      <c r="D24">
        <f>IF($AH24="","",IF(INDEX('Per Invoice'!D$2:D$401,$AH24)="","",INDEX('Per Invoice'!D$2:D$401,$AH24)))</f>
        <v/>
      </c>
      <c r="E24">
        <f>IF($AH24="","",IF(INDEX('Per Invoice'!E$2:E$401,$AH24)="","",INDEX('Per Invoice'!E$2:E$401,$AH24)))</f>
        <v/>
      </c>
      <c r="F24">
        <f>IF($AH24="","",IF(INDEX('Per Invoice'!F$2:F$401,$AH24)="","",INDEX('Per Invoice'!F$2:F$401,$AH24)))</f>
        <v/>
      </c>
      <c r="G24">
        <f>IF($AH24="","",IF(INDEX('Per Invoice'!G$2:G$401,$AH24)="","",INDEX('Per Invoice'!G$2:G$401,$AH24)))</f>
        <v/>
      </c>
      <c r="H24">
        <f>IF($AH24="","",IF(INDEX('Per Invoice'!H$2:H$401,$AH24)="","",INDEX('Per Invoice'!H$2:H$401,$AH24)))</f>
        <v/>
      </c>
      <c r="I24" s="14">
        <f>IF($AH24="","",IF(INDEX('Per Invoice'!I$2:I$401,$AH24)="","",INDEX('Per Invoice'!I$2:I$401,$AH24)))</f>
        <v/>
      </c>
      <c r="J24">
        <f>IF($AH24="","",IF(INDEX('Per Invoice'!J$2:J$401,$AH24)="","",INDEX('Per Invoice'!J$2:J$401,$AH24)))</f>
        <v/>
      </c>
      <c r="K24">
        <f>IF($AH24="","",IF(INDEX('Per Invoice'!K$2:K$401,$AH24)="","",INDEX('Per Invoice'!K$2:K$401,$AH24)))</f>
        <v/>
      </c>
      <c r="L24">
        <f>IF($AH24="","",IF(INDEX('Per Invoice'!L$2:L$401,$AH24)="","",INDEX('Per Invoice'!L$2:L$401,$AH24)))</f>
        <v/>
      </c>
      <c r="M24">
        <f>IF($AH24="","",IF(INDEX('Per Invoice'!M$2:M$401,$AH24)="","",INDEX('Per Invoice'!M$2:M$401,$AH24)))</f>
        <v/>
      </c>
      <c r="N24">
        <f>IF($AH24="","",IF(INDEX('Per Invoice'!N$2:N$401,$AH24)="","",INDEX('Per Invoice'!N$2:N$401,$AH24)))</f>
        <v/>
      </c>
      <c r="O24">
        <f>IF($AH24="","",IF(INDEX('Per Invoice'!O$2:O$401,$AH24)="","",INDEX('Per Invoice'!O$2:O$401,$AH24)))</f>
        <v/>
      </c>
      <c r="P24" s="7">
        <f>IF($AH24="","",IF(INDEX('Per Invoice'!P$2:P$401,$AH24)="","",INDEX('Per Invoice'!P$2:P$401,$AH24)))</f>
        <v/>
      </c>
      <c r="Q24">
        <f>IF($AH24="","",IF(INDEX('Per Invoice'!Q$2:Q$401,$AH24)="","",INDEX('Per Invoice'!Q$2:Q$401,$AH24)))</f>
        <v/>
      </c>
      <c r="R24">
        <f>IF($AH24="","",IF(INDEX('Per Invoice'!R$2:R$401,$AH24)="","",INDEX('Per Invoice'!R$2:R$401,$AH24)))</f>
        <v/>
      </c>
      <c r="S24">
        <f>IF($AH24="","",IF(INDEX('Per Invoice'!S$2:S$401,$AH24)="","",INDEX('Per Invoice'!S$2:S$401,$AH24)))</f>
        <v/>
      </c>
      <c r="T24" s="7">
        <f>IF($AH24="","",IF(INDEX('Per Invoice'!T$2:T$401,$AH24)="","",INDEX('Per Invoice'!T$2:T$401,$AH24)))</f>
        <v/>
      </c>
      <c r="U24" s="7">
        <f>IF($AH24="","",IF(INDEX('Per Invoice'!U$2:U$401,$AH24)="","",INDEX('Per Invoice'!U$2:U$401,$AH24)))</f>
        <v/>
      </c>
      <c r="V24">
        <f>IF($AH24="","",IF(INDEX('Per Invoice'!V$2:V$401,$AH24)="","",INDEX('Per Invoice'!V$2:V$401,$AH24)))</f>
        <v/>
      </c>
      <c r="W24" s="7">
        <f>IF($AH24="","",IF(INDEX('Per Invoice'!W$2:W$401,$AH24)="","",INDEX('Per Invoice'!W$2:W$401,$AH24)))</f>
        <v/>
      </c>
      <c r="X24" s="7">
        <f>IF($AH24="","",IF(INDEX('Per Invoice'!X$2:X$401,$AH24)="","",INDEX('Per Invoice'!X$2:X$401,$AH24)))</f>
        <v/>
      </c>
      <c r="Y24">
        <f>IF($AH24="","",IF(INDEX('Per Invoice'!Y$2:Y$401,$AH24)="","",INDEX('Per Invoice'!Y$2:Y$401,$AH24)))</f>
        <v/>
      </c>
      <c r="Z24" s="7">
        <f>IF($AH24="","",IF(INDEX('Per Invoice'!Z$2:Z$401,$AH24)="","",INDEX('Per Invoice'!Z$2:Z$401,$AH24)))</f>
        <v/>
      </c>
      <c r="AA24" s="7">
        <f>IF($AH24="","",IF(INDEX('Per Invoice'!AA$2:AA$401,$AH24)="","",INDEX('Per Invoice'!AA$2:AA$401,$AH24)))</f>
        <v/>
      </c>
      <c r="AB24" s="7">
        <f>IF($AH24="","",IF(INDEX('Per Invoice'!AB$2:AB$401,$AH24)="","",INDEX('Per Invoice'!AB$2:AB$401,$AH24)))</f>
        <v/>
      </c>
      <c r="AC24" s="7">
        <f>IF($AH24="","",IF(INDEX('Per Invoice'!AC$2:AC$401,$AH24)="","",INDEX('Per Invoice'!AC$2:AC$401,$AH24)))</f>
        <v/>
      </c>
      <c r="AD24" s="7">
        <f>IF($AH24="","",IF(INDEX('Per Invoice'!AD$2:AD$401,$AH24)="","",INDEX('Per Invoice'!AD$2:AD$401,$AH24)))</f>
        <v/>
      </c>
      <c r="AE24" s="7">
        <f>IF($AH24="","",IF(INDEX('Per Invoice'!AE$2:AE$401,$AH24)="","",INDEX('Per Invoice'!AE$2:AE$401,$AH24)))</f>
        <v/>
      </c>
      <c r="AF24">
        <f>IF($AH24="","",IF(INDEX('Per Invoice'!AF$2:AF$401,$AH24)="","",INDEX('Per Invoice'!AF$2:AF$401,$AH24)))</f>
        <v/>
      </c>
      <c r="AG24" s="7">
        <f>IF($AH24="","",IF(INDEX('Per Invoice'!AG$2:AG$401,$AH24)="","",INDEX('Per Invoice'!AG$2:AG$401,$AH24)))</f>
        <v/>
      </c>
      <c r="AH24" s="16">
        <f>IFERROR(MATCH(Settings!$C$26&amp;"|"&amp;ROWS($AH$2:$AH24),'Per Invoice'!$AI$2:$AI$401,0),"")</f>
        <v/>
      </c>
    </row>
    <row r="25">
      <c r="A25">
        <f>IF($AH25="","",IF(INDEX('Per Invoice'!A$2:A$401,$AH25)="","",INDEX('Per Invoice'!A$2:A$401,$AH25)))</f>
        <v/>
      </c>
      <c r="B25">
        <f>IF($AH25="","",IF(INDEX('Per Invoice'!B$2:B$401,$AH25)="","",INDEX('Per Invoice'!B$2:B$401,$AH25)))</f>
        <v/>
      </c>
      <c r="C25">
        <f>IF($AH25="","",IF(INDEX('Per Invoice'!C$2:C$401,$AH25)="","",INDEX('Per Invoice'!C$2:C$401,$AH25)))</f>
        <v/>
      </c>
      <c r="D25">
        <f>IF($AH25="","",IF(INDEX('Per Invoice'!D$2:D$401,$AH25)="","",INDEX('Per Invoice'!D$2:D$401,$AH25)))</f>
        <v/>
      </c>
      <c r="E25">
        <f>IF($AH25="","",IF(INDEX('Per Invoice'!E$2:E$401,$AH25)="","",INDEX('Per Invoice'!E$2:E$401,$AH25)))</f>
        <v/>
      </c>
      <c r="F25">
        <f>IF($AH25="","",IF(INDEX('Per Invoice'!F$2:F$401,$AH25)="","",INDEX('Per Invoice'!F$2:F$401,$AH25)))</f>
        <v/>
      </c>
      <c r="G25">
        <f>IF($AH25="","",IF(INDEX('Per Invoice'!G$2:G$401,$AH25)="","",INDEX('Per Invoice'!G$2:G$401,$AH25)))</f>
        <v/>
      </c>
      <c r="H25">
        <f>IF($AH25="","",IF(INDEX('Per Invoice'!H$2:H$401,$AH25)="","",INDEX('Per Invoice'!H$2:H$401,$AH25)))</f>
        <v/>
      </c>
      <c r="I25" s="14">
        <f>IF($AH25="","",IF(INDEX('Per Invoice'!I$2:I$401,$AH25)="","",INDEX('Per Invoice'!I$2:I$401,$AH25)))</f>
        <v/>
      </c>
      <c r="J25">
        <f>IF($AH25="","",IF(INDEX('Per Invoice'!J$2:J$401,$AH25)="","",INDEX('Per Invoice'!J$2:J$401,$AH25)))</f>
        <v/>
      </c>
      <c r="K25">
        <f>IF($AH25="","",IF(INDEX('Per Invoice'!K$2:K$401,$AH25)="","",INDEX('Per Invoice'!K$2:K$401,$AH25)))</f>
        <v/>
      </c>
      <c r="L25">
        <f>IF($AH25="","",IF(INDEX('Per Invoice'!L$2:L$401,$AH25)="","",INDEX('Per Invoice'!L$2:L$401,$AH25)))</f>
        <v/>
      </c>
      <c r="M25">
        <f>IF($AH25="","",IF(INDEX('Per Invoice'!M$2:M$401,$AH25)="","",INDEX('Per Invoice'!M$2:M$401,$AH25)))</f>
        <v/>
      </c>
      <c r="N25">
        <f>IF($AH25="","",IF(INDEX('Per Invoice'!N$2:N$401,$AH25)="","",INDEX('Per Invoice'!N$2:N$401,$AH25)))</f>
        <v/>
      </c>
      <c r="O25">
        <f>IF($AH25="","",IF(INDEX('Per Invoice'!O$2:O$401,$AH25)="","",INDEX('Per Invoice'!O$2:O$401,$AH25)))</f>
        <v/>
      </c>
      <c r="P25" s="7">
        <f>IF($AH25="","",IF(INDEX('Per Invoice'!P$2:P$401,$AH25)="","",INDEX('Per Invoice'!P$2:P$401,$AH25)))</f>
        <v/>
      </c>
      <c r="Q25">
        <f>IF($AH25="","",IF(INDEX('Per Invoice'!Q$2:Q$401,$AH25)="","",INDEX('Per Invoice'!Q$2:Q$401,$AH25)))</f>
        <v/>
      </c>
      <c r="R25">
        <f>IF($AH25="","",IF(INDEX('Per Invoice'!R$2:R$401,$AH25)="","",INDEX('Per Invoice'!R$2:R$401,$AH25)))</f>
        <v/>
      </c>
      <c r="S25">
        <f>IF($AH25="","",IF(INDEX('Per Invoice'!S$2:S$401,$AH25)="","",INDEX('Per Invoice'!S$2:S$401,$AH25)))</f>
        <v/>
      </c>
      <c r="T25" s="7">
        <f>IF($AH25="","",IF(INDEX('Per Invoice'!T$2:T$401,$AH25)="","",INDEX('Per Invoice'!T$2:T$401,$AH25)))</f>
        <v/>
      </c>
      <c r="U25" s="7">
        <f>IF($AH25="","",IF(INDEX('Per Invoice'!U$2:U$401,$AH25)="","",INDEX('Per Invoice'!U$2:U$401,$AH25)))</f>
        <v/>
      </c>
      <c r="V25">
        <f>IF($AH25="","",IF(INDEX('Per Invoice'!V$2:V$401,$AH25)="","",INDEX('Per Invoice'!V$2:V$401,$AH25)))</f>
        <v/>
      </c>
      <c r="W25" s="7">
        <f>IF($AH25="","",IF(INDEX('Per Invoice'!W$2:W$401,$AH25)="","",INDEX('Per Invoice'!W$2:W$401,$AH25)))</f>
        <v/>
      </c>
      <c r="X25" s="7">
        <f>IF($AH25="","",IF(INDEX('Per Invoice'!X$2:X$401,$AH25)="","",INDEX('Per Invoice'!X$2:X$401,$AH25)))</f>
        <v/>
      </c>
      <c r="Y25">
        <f>IF($AH25="","",IF(INDEX('Per Invoice'!Y$2:Y$401,$AH25)="","",INDEX('Per Invoice'!Y$2:Y$401,$AH25)))</f>
        <v/>
      </c>
      <c r="Z25" s="7">
        <f>IF($AH25="","",IF(INDEX('Per Invoice'!Z$2:Z$401,$AH25)="","",INDEX('Per Invoice'!Z$2:Z$401,$AH25)))</f>
        <v/>
      </c>
      <c r="AA25" s="7">
        <f>IF($AH25="","",IF(INDEX('Per Invoice'!AA$2:AA$401,$AH25)="","",INDEX('Per Invoice'!AA$2:AA$401,$AH25)))</f>
        <v/>
      </c>
      <c r="AB25" s="7">
        <f>IF($AH25="","",IF(INDEX('Per Invoice'!AB$2:AB$401,$AH25)="","",INDEX('Per Invoice'!AB$2:AB$401,$AH25)))</f>
        <v/>
      </c>
      <c r="AC25" s="7">
        <f>IF($AH25="","",IF(INDEX('Per Invoice'!AC$2:AC$401,$AH25)="","",INDEX('Per Invoice'!AC$2:AC$401,$AH25)))</f>
        <v/>
      </c>
      <c r="AD25" s="7">
        <f>IF($AH25="","",IF(INDEX('Per Invoice'!AD$2:AD$401,$AH25)="","",INDEX('Per Invoice'!AD$2:AD$401,$AH25)))</f>
        <v/>
      </c>
      <c r="AE25" s="7">
        <f>IF($AH25="","",IF(INDEX('Per Invoice'!AE$2:AE$401,$AH25)="","",INDEX('Per Invoice'!AE$2:AE$401,$AH25)))</f>
        <v/>
      </c>
      <c r="AF25">
        <f>IF($AH25="","",IF(INDEX('Per Invoice'!AF$2:AF$401,$AH25)="","",INDEX('Per Invoice'!AF$2:AF$401,$AH25)))</f>
        <v/>
      </c>
      <c r="AG25" s="7">
        <f>IF($AH25="","",IF(INDEX('Per Invoice'!AG$2:AG$401,$AH25)="","",INDEX('Per Invoice'!AG$2:AG$401,$AH25)))</f>
        <v/>
      </c>
      <c r="AH25" s="16">
        <f>IFERROR(MATCH(Settings!$C$26&amp;"|"&amp;ROWS($AH$2:$AH25),'Per Invoice'!$AI$2:$AI$401,0),"")</f>
        <v/>
      </c>
    </row>
    <row r="26">
      <c r="A26">
        <f>IF($AH26="","",IF(INDEX('Per Invoice'!A$2:A$401,$AH26)="","",INDEX('Per Invoice'!A$2:A$401,$AH26)))</f>
        <v/>
      </c>
      <c r="B26">
        <f>IF($AH26="","",IF(INDEX('Per Invoice'!B$2:B$401,$AH26)="","",INDEX('Per Invoice'!B$2:B$401,$AH26)))</f>
        <v/>
      </c>
      <c r="C26">
        <f>IF($AH26="","",IF(INDEX('Per Invoice'!C$2:C$401,$AH26)="","",INDEX('Per Invoice'!C$2:C$401,$AH26)))</f>
        <v/>
      </c>
      <c r="D26">
        <f>IF($AH26="","",IF(INDEX('Per Invoice'!D$2:D$401,$AH26)="","",INDEX('Per Invoice'!D$2:D$401,$AH26)))</f>
        <v/>
      </c>
      <c r="E26">
        <f>IF($AH26="","",IF(INDEX('Per Invoice'!E$2:E$401,$AH26)="","",INDEX('Per Invoice'!E$2:E$401,$AH26)))</f>
        <v/>
      </c>
      <c r="F26">
        <f>IF($AH26="","",IF(INDEX('Per Invoice'!F$2:F$401,$AH26)="","",INDEX('Per Invoice'!F$2:F$401,$AH26)))</f>
        <v/>
      </c>
      <c r="G26">
        <f>IF($AH26="","",IF(INDEX('Per Invoice'!G$2:G$401,$AH26)="","",INDEX('Per Invoice'!G$2:G$401,$AH26)))</f>
        <v/>
      </c>
      <c r="H26">
        <f>IF($AH26="","",IF(INDEX('Per Invoice'!H$2:H$401,$AH26)="","",INDEX('Per Invoice'!H$2:H$401,$AH26)))</f>
        <v/>
      </c>
      <c r="I26" s="14">
        <f>IF($AH26="","",IF(INDEX('Per Invoice'!I$2:I$401,$AH26)="","",INDEX('Per Invoice'!I$2:I$401,$AH26)))</f>
        <v/>
      </c>
      <c r="J26">
        <f>IF($AH26="","",IF(INDEX('Per Invoice'!J$2:J$401,$AH26)="","",INDEX('Per Invoice'!J$2:J$401,$AH26)))</f>
        <v/>
      </c>
      <c r="K26">
        <f>IF($AH26="","",IF(INDEX('Per Invoice'!K$2:K$401,$AH26)="","",INDEX('Per Invoice'!K$2:K$401,$AH26)))</f>
        <v/>
      </c>
      <c r="L26">
        <f>IF($AH26="","",IF(INDEX('Per Invoice'!L$2:L$401,$AH26)="","",INDEX('Per Invoice'!L$2:L$401,$AH26)))</f>
        <v/>
      </c>
      <c r="M26">
        <f>IF($AH26="","",IF(INDEX('Per Invoice'!M$2:M$401,$AH26)="","",INDEX('Per Invoice'!M$2:M$401,$AH26)))</f>
        <v/>
      </c>
      <c r="N26">
        <f>IF($AH26="","",IF(INDEX('Per Invoice'!N$2:N$401,$AH26)="","",INDEX('Per Invoice'!N$2:N$401,$AH26)))</f>
        <v/>
      </c>
      <c r="O26">
        <f>IF($AH26="","",IF(INDEX('Per Invoice'!O$2:O$401,$AH26)="","",INDEX('Per Invoice'!O$2:O$401,$AH26)))</f>
        <v/>
      </c>
      <c r="P26" s="7">
        <f>IF($AH26="","",IF(INDEX('Per Invoice'!P$2:P$401,$AH26)="","",INDEX('Per Invoice'!P$2:P$401,$AH26)))</f>
        <v/>
      </c>
      <c r="Q26">
        <f>IF($AH26="","",IF(INDEX('Per Invoice'!Q$2:Q$401,$AH26)="","",INDEX('Per Invoice'!Q$2:Q$401,$AH26)))</f>
        <v/>
      </c>
      <c r="R26">
        <f>IF($AH26="","",IF(INDEX('Per Invoice'!R$2:R$401,$AH26)="","",INDEX('Per Invoice'!R$2:R$401,$AH26)))</f>
        <v/>
      </c>
      <c r="S26">
        <f>IF($AH26="","",IF(INDEX('Per Invoice'!S$2:S$401,$AH26)="","",INDEX('Per Invoice'!S$2:S$401,$AH26)))</f>
        <v/>
      </c>
      <c r="T26" s="7">
        <f>IF($AH26="","",IF(INDEX('Per Invoice'!T$2:T$401,$AH26)="","",INDEX('Per Invoice'!T$2:T$401,$AH26)))</f>
        <v/>
      </c>
      <c r="U26" s="7">
        <f>IF($AH26="","",IF(INDEX('Per Invoice'!U$2:U$401,$AH26)="","",INDEX('Per Invoice'!U$2:U$401,$AH26)))</f>
        <v/>
      </c>
      <c r="V26">
        <f>IF($AH26="","",IF(INDEX('Per Invoice'!V$2:V$401,$AH26)="","",INDEX('Per Invoice'!V$2:V$401,$AH26)))</f>
        <v/>
      </c>
      <c r="W26" s="7">
        <f>IF($AH26="","",IF(INDEX('Per Invoice'!W$2:W$401,$AH26)="","",INDEX('Per Invoice'!W$2:W$401,$AH26)))</f>
        <v/>
      </c>
      <c r="X26" s="7">
        <f>IF($AH26="","",IF(INDEX('Per Invoice'!X$2:X$401,$AH26)="","",INDEX('Per Invoice'!X$2:X$401,$AH26)))</f>
        <v/>
      </c>
      <c r="Y26">
        <f>IF($AH26="","",IF(INDEX('Per Invoice'!Y$2:Y$401,$AH26)="","",INDEX('Per Invoice'!Y$2:Y$401,$AH26)))</f>
        <v/>
      </c>
      <c r="Z26" s="7">
        <f>IF($AH26="","",IF(INDEX('Per Invoice'!Z$2:Z$401,$AH26)="","",INDEX('Per Invoice'!Z$2:Z$401,$AH26)))</f>
        <v/>
      </c>
      <c r="AA26" s="7">
        <f>IF($AH26="","",IF(INDEX('Per Invoice'!AA$2:AA$401,$AH26)="","",INDEX('Per Invoice'!AA$2:AA$401,$AH26)))</f>
        <v/>
      </c>
      <c r="AB26" s="7">
        <f>IF($AH26="","",IF(INDEX('Per Invoice'!AB$2:AB$401,$AH26)="","",INDEX('Per Invoice'!AB$2:AB$401,$AH26)))</f>
        <v/>
      </c>
      <c r="AC26" s="7">
        <f>IF($AH26="","",IF(INDEX('Per Invoice'!AC$2:AC$401,$AH26)="","",INDEX('Per Invoice'!AC$2:AC$401,$AH26)))</f>
        <v/>
      </c>
      <c r="AD26" s="7">
        <f>IF($AH26="","",IF(INDEX('Per Invoice'!AD$2:AD$401,$AH26)="","",INDEX('Per Invoice'!AD$2:AD$401,$AH26)))</f>
        <v/>
      </c>
      <c r="AE26" s="7">
        <f>IF($AH26="","",IF(INDEX('Per Invoice'!AE$2:AE$401,$AH26)="","",INDEX('Per Invoice'!AE$2:AE$401,$AH26)))</f>
        <v/>
      </c>
      <c r="AF26">
        <f>IF($AH26="","",IF(INDEX('Per Invoice'!AF$2:AF$401,$AH26)="","",INDEX('Per Invoice'!AF$2:AF$401,$AH26)))</f>
        <v/>
      </c>
      <c r="AG26" s="7">
        <f>IF($AH26="","",IF(INDEX('Per Invoice'!AG$2:AG$401,$AH26)="","",INDEX('Per Invoice'!AG$2:AG$401,$AH26)))</f>
        <v/>
      </c>
      <c r="AH26" s="16">
        <f>IFERROR(MATCH(Settings!$C$26&amp;"|"&amp;ROWS($AH$2:$AH26),'Per Invoice'!$AI$2:$AI$401,0),"")</f>
        <v/>
      </c>
    </row>
    <row r="27">
      <c r="A27">
        <f>IF($AH27="","",IF(INDEX('Per Invoice'!A$2:A$401,$AH27)="","",INDEX('Per Invoice'!A$2:A$401,$AH27)))</f>
        <v/>
      </c>
      <c r="B27">
        <f>IF($AH27="","",IF(INDEX('Per Invoice'!B$2:B$401,$AH27)="","",INDEX('Per Invoice'!B$2:B$401,$AH27)))</f>
        <v/>
      </c>
      <c r="C27">
        <f>IF($AH27="","",IF(INDEX('Per Invoice'!C$2:C$401,$AH27)="","",INDEX('Per Invoice'!C$2:C$401,$AH27)))</f>
        <v/>
      </c>
      <c r="D27">
        <f>IF($AH27="","",IF(INDEX('Per Invoice'!D$2:D$401,$AH27)="","",INDEX('Per Invoice'!D$2:D$401,$AH27)))</f>
        <v/>
      </c>
      <c r="E27">
        <f>IF($AH27="","",IF(INDEX('Per Invoice'!E$2:E$401,$AH27)="","",INDEX('Per Invoice'!E$2:E$401,$AH27)))</f>
        <v/>
      </c>
      <c r="F27">
        <f>IF($AH27="","",IF(INDEX('Per Invoice'!F$2:F$401,$AH27)="","",INDEX('Per Invoice'!F$2:F$401,$AH27)))</f>
        <v/>
      </c>
      <c r="G27">
        <f>IF($AH27="","",IF(INDEX('Per Invoice'!G$2:G$401,$AH27)="","",INDEX('Per Invoice'!G$2:G$401,$AH27)))</f>
        <v/>
      </c>
      <c r="H27">
        <f>IF($AH27="","",IF(INDEX('Per Invoice'!H$2:H$401,$AH27)="","",INDEX('Per Invoice'!H$2:H$401,$AH27)))</f>
        <v/>
      </c>
      <c r="I27" s="14">
        <f>IF($AH27="","",IF(INDEX('Per Invoice'!I$2:I$401,$AH27)="","",INDEX('Per Invoice'!I$2:I$401,$AH27)))</f>
        <v/>
      </c>
      <c r="J27">
        <f>IF($AH27="","",IF(INDEX('Per Invoice'!J$2:J$401,$AH27)="","",INDEX('Per Invoice'!J$2:J$401,$AH27)))</f>
        <v/>
      </c>
      <c r="K27">
        <f>IF($AH27="","",IF(INDEX('Per Invoice'!K$2:K$401,$AH27)="","",INDEX('Per Invoice'!K$2:K$401,$AH27)))</f>
        <v/>
      </c>
      <c r="L27">
        <f>IF($AH27="","",IF(INDEX('Per Invoice'!L$2:L$401,$AH27)="","",INDEX('Per Invoice'!L$2:L$401,$AH27)))</f>
        <v/>
      </c>
      <c r="M27">
        <f>IF($AH27="","",IF(INDEX('Per Invoice'!M$2:M$401,$AH27)="","",INDEX('Per Invoice'!M$2:M$401,$AH27)))</f>
        <v/>
      </c>
      <c r="N27">
        <f>IF($AH27="","",IF(INDEX('Per Invoice'!N$2:N$401,$AH27)="","",INDEX('Per Invoice'!N$2:N$401,$AH27)))</f>
        <v/>
      </c>
      <c r="O27">
        <f>IF($AH27="","",IF(INDEX('Per Invoice'!O$2:O$401,$AH27)="","",INDEX('Per Invoice'!O$2:O$401,$AH27)))</f>
        <v/>
      </c>
      <c r="P27" s="7">
        <f>IF($AH27="","",IF(INDEX('Per Invoice'!P$2:P$401,$AH27)="","",INDEX('Per Invoice'!P$2:P$401,$AH27)))</f>
        <v/>
      </c>
      <c r="Q27">
        <f>IF($AH27="","",IF(INDEX('Per Invoice'!Q$2:Q$401,$AH27)="","",INDEX('Per Invoice'!Q$2:Q$401,$AH27)))</f>
        <v/>
      </c>
      <c r="R27">
        <f>IF($AH27="","",IF(INDEX('Per Invoice'!R$2:R$401,$AH27)="","",INDEX('Per Invoice'!R$2:R$401,$AH27)))</f>
        <v/>
      </c>
      <c r="S27">
        <f>IF($AH27="","",IF(INDEX('Per Invoice'!S$2:S$401,$AH27)="","",INDEX('Per Invoice'!S$2:S$401,$AH27)))</f>
        <v/>
      </c>
      <c r="T27" s="7">
        <f>IF($AH27="","",IF(INDEX('Per Invoice'!T$2:T$401,$AH27)="","",INDEX('Per Invoice'!T$2:T$401,$AH27)))</f>
        <v/>
      </c>
      <c r="U27" s="7">
        <f>IF($AH27="","",IF(INDEX('Per Invoice'!U$2:U$401,$AH27)="","",INDEX('Per Invoice'!U$2:U$401,$AH27)))</f>
        <v/>
      </c>
      <c r="V27">
        <f>IF($AH27="","",IF(INDEX('Per Invoice'!V$2:V$401,$AH27)="","",INDEX('Per Invoice'!V$2:V$401,$AH27)))</f>
        <v/>
      </c>
      <c r="W27" s="7">
        <f>IF($AH27="","",IF(INDEX('Per Invoice'!W$2:W$401,$AH27)="","",INDEX('Per Invoice'!W$2:W$401,$AH27)))</f>
        <v/>
      </c>
      <c r="X27" s="7">
        <f>IF($AH27="","",IF(INDEX('Per Invoice'!X$2:X$401,$AH27)="","",INDEX('Per Invoice'!X$2:X$401,$AH27)))</f>
        <v/>
      </c>
      <c r="Y27">
        <f>IF($AH27="","",IF(INDEX('Per Invoice'!Y$2:Y$401,$AH27)="","",INDEX('Per Invoice'!Y$2:Y$401,$AH27)))</f>
        <v/>
      </c>
      <c r="Z27" s="7">
        <f>IF($AH27="","",IF(INDEX('Per Invoice'!Z$2:Z$401,$AH27)="","",INDEX('Per Invoice'!Z$2:Z$401,$AH27)))</f>
        <v/>
      </c>
      <c r="AA27" s="7">
        <f>IF($AH27="","",IF(INDEX('Per Invoice'!AA$2:AA$401,$AH27)="","",INDEX('Per Invoice'!AA$2:AA$401,$AH27)))</f>
        <v/>
      </c>
      <c r="AB27" s="7">
        <f>IF($AH27="","",IF(INDEX('Per Invoice'!AB$2:AB$401,$AH27)="","",INDEX('Per Invoice'!AB$2:AB$401,$AH27)))</f>
        <v/>
      </c>
      <c r="AC27" s="7">
        <f>IF($AH27="","",IF(INDEX('Per Invoice'!AC$2:AC$401,$AH27)="","",INDEX('Per Invoice'!AC$2:AC$401,$AH27)))</f>
        <v/>
      </c>
      <c r="AD27" s="7">
        <f>IF($AH27="","",IF(INDEX('Per Invoice'!AD$2:AD$401,$AH27)="","",INDEX('Per Invoice'!AD$2:AD$401,$AH27)))</f>
        <v/>
      </c>
      <c r="AE27" s="7">
        <f>IF($AH27="","",IF(INDEX('Per Invoice'!AE$2:AE$401,$AH27)="","",INDEX('Per Invoice'!AE$2:AE$401,$AH27)))</f>
        <v/>
      </c>
      <c r="AF27">
        <f>IF($AH27="","",IF(INDEX('Per Invoice'!AF$2:AF$401,$AH27)="","",INDEX('Per Invoice'!AF$2:AF$401,$AH27)))</f>
        <v/>
      </c>
      <c r="AG27" s="7">
        <f>IF($AH27="","",IF(INDEX('Per Invoice'!AG$2:AG$401,$AH27)="","",INDEX('Per Invoice'!AG$2:AG$401,$AH27)))</f>
        <v/>
      </c>
      <c r="AH27" s="16">
        <f>IFERROR(MATCH(Settings!$C$26&amp;"|"&amp;ROWS($AH$2:$AH27),'Per Invoice'!$AI$2:$AI$401,0),"")</f>
        <v/>
      </c>
    </row>
    <row r="28">
      <c r="A28">
        <f>IF($AH28="","",IF(INDEX('Per Invoice'!A$2:A$401,$AH28)="","",INDEX('Per Invoice'!A$2:A$401,$AH28)))</f>
        <v/>
      </c>
      <c r="B28">
        <f>IF($AH28="","",IF(INDEX('Per Invoice'!B$2:B$401,$AH28)="","",INDEX('Per Invoice'!B$2:B$401,$AH28)))</f>
        <v/>
      </c>
      <c r="C28">
        <f>IF($AH28="","",IF(INDEX('Per Invoice'!C$2:C$401,$AH28)="","",INDEX('Per Invoice'!C$2:C$401,$AH28)))</f>
        <v/>
      </c>
      <c r="D28">
        <f>IF($AH28="","",IF(INDEX('Per Invoice'!D$2:D$401,$AH28)="","",INDEX('Per Invoice'!D$2:D$401,$AH28)))</f>
        <v/>
      </c>
      <c r="E28">
        <f>IF($AH28="","",IF(INDEX('Per Invoice'!E$2:E$401,$AH28)="","",INDEX('Per Invoice'!E$2:E$401,$AH28)))</f>
        <v/>
      </c>
      <c r="F28">
        <f>IF($AH28="","",IF(INDEX('Per Invoice'!F$2:F$401,$AH28)="","",INDEX('Per Invoice'!F$2:F$401,$AH28)))</f>
        <v/>
      </c>
      <c r="G28">
        <f>IF($AH28="","",IF(INDEX('Per Invoice'!G$2:G$401,$AH28)="","",INDEX('Per Invoice'!G$2:G$401,$AH28)))</f>
        <v/>
      </c>
      <c r="H28">
        <f>IF($AH28="","",IF(INDEX('Per Invoice'!H$2:H$401,$AH28)="","",INDEX('Per Invoice'!H$2:H$401,$AH28)))</f>
        <v/>
      </c>
      <c r="I28" s="14">
        <f>IF($AH28="","",IF(INDEX('Per Invoice'!I$2:I$401,$AH28)="","",INDEX('Per Invoice'!I$2:I$401,$AH28)))</f>
        <v/>
      </c>
      <c r="J28">
        <f>IF($AH28="","",IF(INDEX('Per Invoice'!J$2:J$401,$AH28)="","",INDEX('Per Invoice'!J$2:J$401,$AH28)))</f>
        <v/>
      </c>
      <c r="K28">
        <f>IF($AH28="","",IF(INDEX('Per Invoice'!K$2:K$401,$AH28)="","",INDEX('Per Invoice'!K$2:K$401,$AH28)))</f>
        <v/>
      </c>
      <c r="L28">
        <f>IF($AH28="","",IF(INDEX('Per Invoice'!L$2:L$401,$AH28)="","",INDEX('Per Invoice'!L$2:L$401,$AH28)))</f>
        <v/>
      </c>
      <c r="M28">
        <f>IF($AH28="","",IF(INDEX('Per Invoice'!M$2:M$401,$AH28)="","",INDEX('Per Invoice'!M$2:M$401,$AH28)))</f>
        <v/>
      </c>
      <c r="N28">
        <f>IF($AH28="","",IF(INDEX('Per Invoice'!N$2:N$401,$AH28)="","",INDEX('Per Invoice'!N$2:N$401,$AH28)))</f>
        <v/>
      </c>
      <c r="O28">
        <f>IF($AH28="","",IF(INDEX('Per Invoice'!O$2:O$401,$AH28)="","",INDEX('Per Invoice'!O$2:O$401,$AH28)))</f>
        <v/>
      </c>
      <c r="P28" s="7">
        <f>IF($AH28="","",IF(INDEX('Per Invoice'!P$2:P$401,$AH28)="","",INDEX('Per Invoice'!P$2:P$401,$AH28)))</f>
        <v/>
      </c>
      <c r="Q28">
        <f>IF($AH28="","",IF(INDEX('Per Invoice'!Q$2:Q$401,$AH28)="","",INDEX('Per Invoice'!Q$2:Q$401,$AH28)))</f>
        <v/>
      </c>
      <c r="R28">
        <f>IF($AH28="","",IF(INDEX('Per Invoice'!R$2:R$401,$AH28)="","",INDEX('Per Invoice'!R$2:R$401,$AH28)))</f>
        <v/>
      </c>
      <c r="S28">
        <f>IF($AH28="","",IF(INDEX('Per Invoice'!S$2:S$401,$AH28)="","",INDEX('Per Invoice'!S$2:S$401,$AH28)))</f>
        <v/>
      </c>
      <c r="T28" s="7">
        <f>IF($AH28="","",IF(INDEX('Per Invoice'!T$2:T$401,$AH28)="","",INDEX('Per Invoice'!T$2:T$401,$AH28)))</f>
        <v/>
      </c>
      <c r="U28" s="7">
        <f>IF($AH28="","",IF(INDEX('Per Invoice'!U$2:U$401,$AH28)="","",INDEX('Per Invoice'!U$2:U$401,$AH28)))</f>
        <v/>
      </c>
      <c r="V28">
        <f>IF($AH28="","",IF(INDEX('Per Invoice'!V$2:V$401,$AH28)="","",INDEX('Per Invoice'!V$2:V$401,$AH28)))</f>
        <v/>
      </c>
      <c r="W28" s="7">
        <f>IF($AH28="","",IF(INDEX('Per Invoice'!W$2:W$401,$AH28)="","",INDEX('Per Invoice'!W$2:W$401,$AH28)))</f>
        <v/>
      </c>
      <c r="X28" s="7">
        <f>IF($AH28="","",IF(INDEX('Per Invoice'!X$2:X$401,$AH28)="","",INDEX('Per Invoice'!X$2:X$401,$AH28)))</f>
        <v/>
      </c>
      <c r="Y28">
        <f>IF($AH28="","",IF(INDEX('Per Invoice'!Y$2:Y$401,$AH28)="","",INDEX('Per Invoice'!Y$2:Y$401,$AH28)))</f>
        <v/>
      </c>
      <c r="Z28" s="7">
        <f>IF($AH28="","",IF(INDEX('Per Invoice'!Z$2:Z$401,$AH28)="","",INDEX('Per Invoice'!Z$2:Z$401,$AH28)))</f>
        <v/>
      </c>
      <c r="AA28" s="7">
        <f>IF($AH28="","",IF(INDEX('Per Invoice'!AA$2:AA$401,$AH28)="","",INDEX('Per Invoice'!AA$2:AA$401,$AH28)))</f>
        <v/>
      </c>
      <c r="AB28" s="7">
        <f>IF($AH28="","",IF(INDEX('Per Invoice'!AB$2:AB$401,$AH28)="","",INDEX('Per Invoice'!AB$2:AB$401,$AH28)))</f>
        <v/>
      </c>
      <c r="AC28" s="7">
        <f>IF($AH28="","",IF(INDEX('Per Invoice'!AC$2:AC$401,$AH28)="","",INDEX('Per Invoice'!AC$2:AC$401,$AH28)))</f>
        <v/>
      </c>
      <c r="AD28" s="7">
        <f>IF($AH28="","",IF(INDEX('Per Invoice'!AD$2:AD$401,$AH28)="","",INDEX('Per Invoice'!AD$2:AD$401,$AH28)))</f>
        <v/>
      </c>
      <c r="AE28" s="7">
        <f>IF($AH28="","",IF(INDEX('Per Invoice'!AE$2:AE$401,$AH28)="","",INDEX('Per Invoice'!AE$2:AE$401,$AH28)))</f>
        <v/>
      </c>
      <c r="AF28">
        <f>IF($AH28="","",IF(INDEX('Per Invoice'!AF$2:AF$401,$AH28)="","",INDEX('Per Invoice'!AF$2:AF$401,$AH28)))</f>
        <v/>
      </c>
      <c r="AG28" s="7">
        <f>IF($AH28="","",IF(INDEX('Per Invoice'!AG$2:AG$401,$AH28)="","",INDEX('Per Invoice'!AG$2:AG$401,$AH28)))</f>
        <v/>
      </c>
      <c r="AH28" s="16">
        <f>IFERROR(MATCH(Settings!$C$26&amp;"|"&amp;ROWS($AH$2:$AH28),'Per Invoice'!$AI$2:$AI$401,0),"")</f>
        <v/>
      </c>
    </row>
    <row r="29">
      <c r="A29">
        <f>IF($AH29="","",IF(INDEX('Per Invoice'!A$2:A$401,$AH29)="","",INDEX('Per Invoice'!A$2:A$401,$AH29)))</f>
        <v/>
      </c>
      <c r="B29">
        <f>IF($AH29="","",IF(INDEX('Per Invoice'!B$2:B$401,$AH29)="","",INDEX('Per Invoice'!B$2:B$401,$AH29)))</f>
        <v/>
      </c>
      <c r="C29">
        <f>IF($AH29="","",IF(INDEX('Per Invoice'!C$2:C$401,$AH29)="","",INDEX('Per Invoice'!C$2:C$401,$AH29)))</f>
        <v/>
      </c>
      <c r="D29">
        <f>IF($AH29="","",IF(INDEX('Per Invoice'!D$2:D$401,$AH29)="","",INDEX('Per Invoice'!D$2:D$401,$AH29)))</f>
        <v/>
      </c>
      <c r="E29">
        <f>IF($AH29="","",IF(INDEX('Per Invoice'!E$2:E$401,$AH29)="","",INDEX('Per Invoice'!E$2:E$401,$AH29)))</f>
        <v/>
      </c>
      <c r="F29">
        <f>IF($AH29="","",IF(INDEX('Per Invoice'!F$2:F$401,$AH29)="","",INDEX('Per Invoice'!F$2:F$401,$AH29)))</f>
        <v/>
      </c>
      <c r="G29">
        <f>IF($AH29="","",IF(INDEX('Per Invoice'!G$2:G$401,$AH29)="","",INDEX('Per Invoice'!G$2:G$401,$AH29)))</f>
        <v/>
      </c>
      <c r="H29">
        <f>IF($AH29="","",IF(INDEX('Per Invoice'!H$2:H$401,$AH29)="","",INDEX('Per Invoice'!H$2:H$401,$AH29)))</f>
        <v/>
      </c>
      <c r="I29" s="14">
        <f>IF($AH29="","",IF(INDEX('Per Invoice'!I$2:I$401,$AH29)="","",INDEX('Per Invoice'!I$2:I$401,$AH29)))</f>
        <v/>
      </c>
      <c r="J29">
        <f>IF($AH29="","",IF(INDEX('Per Invoice'!J$2:J$401,$AH29)="","",INDEX('Per Invoice'!J$2:J$401,$AH29)))</f>
        <v/>
      </c>
      <c r="K29">
        <f>IF($AH29="","",IF(INDEX('Per Invoice'!K$2:K$401,$AH29)="","",INDEX('Per Invoice'!K$2:K$401,$AH29)))</f>
        <v/>
      </c>
      <c r="L29">
        <f>IF($AH29="","",IF(INDEX('Per Invoice'!L$2:L$401,$AH29)="","",INDEX('Per Invoice'!L$2:L$401,$AH29)))</f>
        <v/>
      </c>
      <c r="M29">
        <f>IF($AH29="","",IF(INDEX('Per Invoice'!M$2:M$401,$AH29)="","",INDEX('Per Invoice'!M$2:M$401,$AH29)))</f>
        <v/>
      </c>
      <c r="N29">
        <f>IF($AH29="","",IF(INDEX('Per Invoice'!N$2:N$401,$AH29)="","",INDEX('Per Invoice'!N$2:N$401,$AH29)))</f>
        <v/>
      </c>
      <c r="O29">
        <f>IF($AH29="","",IF(INDEX('Per Invoice'!O$2:O$401,$AH29)="","",INDEX('Per Invoice'!O$2:O$401,$AH29)))</f>
        <v/>
      </c>
      <c r="P29" s="7">
        <f>IF($AH29="","",IF(INDEX('Per Invoice'!P$2:P$401,$AH29)="","",INDEX('Per Invoice'!P$2:P$401,$AH29)))</f>
        <v/>
      </c>
      <c r="Q29">
        <f>IF($AH29="","",IF(INDEX('Per Invoice'!Q$2:Q$401,$AH29)="","",INDEX('Per Invoice'!Q$2:Q$401,$AH29)))</f>
        <v/>
      </c>
      <c r="R29">
        <f>IF($AH29="","",IF(INDEX('Per Invoice'!R$2:R$401,$AH29)="","",INDEX('Per Invoice'!R$2:R$401,$AH29)))</f>
        <v/>
      </c>
      <c r="S29">
        <f>IF($AH29="","",IF(INDEX('Per Invoice'!S$2:S$401,$AH29)="","",INDEX('Per Invoice'!S$2:S$401,$AH29)))</f>
        <v/>
      </c>
      <c r="T29" s="7">
        <f>IF($AH29="","",IF(INDEX('Per Invoice'!T$2:T$401,$AH29)="","",INDEX('Per Invoice'!T$2:T$401,$AH29)))</f>
        <v/>
      </c>
      <c r="U29" s="7">
        <f>IF($AH29="","",IF(INDEX('Per Invoice'!U$2:U$401,$AH29)="","",INDEX('Per Invoice'!U$2:U$401,$AH29)))</f>
        <v/>
      </c>
      <c r="V29">
        <f>IF($AH29="","",IF(INDEX('Per Invoice'!V$2:V$401,$AH29)="","",INDEX('Per Invoice'!V$2:V$401,$AH29)))</f>
        <v/>
      </c>
      <c r="W29" s="7">
        <f>IF($AH29="","",IF(INDEX('Per Invoice'!W$2:W$401,$AH29)="","",INDEX('Per Invoice'!W$2:W$401,$AH29)))</f>
        <v/>
      </c>
      <c r="X29" s="7">
        <f>IF($AH29="","",IF(INDEX('Per Invoice'!X$2:X$401,$AH29)="","",INDEX('Per Invoice'!X$2:X$401,$AH29)))</f>
        <v/>
      </c>
      <c r="Y29">
        <f>IF($AH29="","",IF(INDEX('Per Invoice'!Y$2:Y$401,$AH29)="","",INDEX('Per Invoice'!Y$2:Y$401,$AH29)))</f>
        <v/>
      </c>
      <c r="Z29" s="7">
        <f>IF($AH29="","",IF(INDEX('Per Invoice'!Z$2:Z$401,$AH29)="","",INDEX('Per Invoice'!Z$2:Z$401,$AH29)))</f>
        <v/>
      </c>
      <c r="AA29" s="7">
        <f>IF($AH29="","",IF(INDEX('Per Invoice'!AA$2:AA$401,$AH29)="","",INDEX('Per Invoice'!AA$2:AA$401,$AH29)))</f>
        <v/>
      </c>
      <c r="AB29" s="7">
        <f>IF($AH29="","",IF(INDEX('Per Invoice'!AB$2:AB$401,$AH29)="","",INDEX('Per Invoice'!AB$2:AB$401,$AH29)))</f>
        <v/>
      </c>
      <c r="AC29" s="7">
        <f>IF($AH29="","",IF(INDEX('Per Invoice'!AC$2:AC$401,$AH29)="","",INDEX('Per Invoice'!AC$2:AC$401,$AH29)))</f>
        <v/>
      </c>
      <c r="AD29" s="7">
        <f>IF($AH29="","",IF(INDEX('Per Invoice'!AD$2:AD$401,$AH29)="","",INDEX('Per Invoice'!AD$2:AD$401,$AH29)))</f>
        <v/>
      </c>
      <c r="AE29" s="7">
        <f>IF($AH29="","",IF(INDEX('Per Invoice'!AE$2:AE$401,$AH29)="","",INDEX('Per Invoice'!AE$2:AE$401,$AH29)))</f>
        <v/>
      </c>
      <c r="AF29">
        <f>IF($AH29="","",IF(INDEX('Per Invoice'!AF$2:AF$401,$AH29)="","",INDEX('Per Invoice'!AF$2:AF$401,$AH29)))</f>
        <v/>
      </c>
      <c r="AG29" s="7">
        <f>IF($AH29="","",IF(INDEX('Per Invoice'!AG$2:AG$401,$AH29)="","",INDEX('Per Invoice'!AG$2:AG$401,$AH29)))</f>
        <v/>
      </c>
      <c r="AH29" s="16">
        <f>IFERROR(MATCH(Settings!$C$26&amp;"|"&amp;ROWS($AH$2:$AH29),'Per Invoice'!$AI$2:$AI$401,0),"")</f>
        <v/>
      </c>
    </row>
    <row r="30">
      <c r="A30">
        <f>IF($AH30="","",IF(INDEX('Per Invoice'!A$2:A$401,$AH30)="","",INDEX('Per Invoice'!A$2:A$401,$AH30)))</f>
        <v/>
      </c>
      <c r="B30">
        <f>IF($AH30="","",IF(INDEX('Per Invoice'!B$2:B$401,$AH30)="","",INDEX('Per Invoice'!B$2:B$401,$AH30)))</f>
        <v/>
      </c>
      <c r="C30">
        <f>IF($AH30="","",IF(INDEX('Per Invoice'!C$2:C$401,$AH30)="","",INDEX('Per Invoice'!C$2:C$401,$AH30)))</f>
        <v/>
      </c>
      <c r="D30">
        <f>IF($AH30="","",IF(INDEX('Per Invoice'!D$2:D$401,$AH30)="","",INDEX('Per Invoice'!D$2:D$401,$AH30)))</f>
        <v/>
      </c>
      <c r="E30">
        <f>IF($AH30="","",IF(INDEX('Per Invoice'!E$2:E$401,$AH30)="","",INDEX('Per Invoice'!E$2:E$401,$AH30)))</f>
        <v/>
      </c>
      <c r="F30">
        <f>IF($AH30="","",IF(INDEX('Per Invoice'!F$2:F$401,$AH30)="","",INDEX('Per Invoice'!F$2:F$401,$AH30)))</f>
        <v/>
      </c>
      <c r="G30">
        <f>IF($AH30="","",IF(INDEX('Per Invoice'!G$2:G$401,$AH30)="","",INDEX('Per Invoice'!G$2:G$401,$AH30)))</f>
        <v/>
      </c>
      <c r="H30">
        <f>IF($AH30="","",IF(INDEX('Per Invoice'!H$2:H$401,$AH30)="","",INDEX('Per Invoice'!H$2:H$401,$AH30)))</f>
        <v/>
      </c>
      <c r="I30" s="14">
        <f>IF($AH30="","",IF(INDEX('Per Invoice'!I$2:I$401,$AH30)="","",INDEX('Per Invoice'!I$2:I$401,$AH30)))</f>
        <v/>
      </c>
      <c r="J30">
        <f>IF($AH30="","",IF(INDEX('Per Invoice'!J$2:J$401,$AH30)="","",INDEX('Per Invoice'!J$2:J$401,$AH30)))</f>
        <v/>
      </c>
      <c r="K30">
        <f>IF($AH30="","",IF(INDEX('Per Invoice'!K$2:K$401,$AH30)="","",INDEX('Per Invoice'!K$2:K$401,$AH30)))</f>
        <v/>
      </c>
      <c r="L30">
        <f>IF($AH30="","",IF(INDEX('Per Invoice'!L$2:L$401,$AH30)="","",INDEX('Per Invoice'!L$2:L$401,$AH30)))</f>
        <v/>
      </c>
      <c r="M30">
        <f>IF($AH30="","",IF(INDEX('Per Invoice'!M$2:M$401,$AH30)="","",INDEX('Per Invoice'!M$2:M$401,$AH30)))</f>
        <v/>
      </c>
      <c r="N30">
        <f>IF($AH30="","",IF(INDEX('Per Invoice'!N$2:N$401,$AH30)="","",INDEX('Per Invoice'!N$2:N$401,$AH30)))</f>
        <v/>
      </c>
      <c r="O30">
        <f>IF($AH30="","",IF(INDEX('Per Invoice'!O$2:O$401,$AH30)="","",INDEX('Per Invoice'!O$2:O$401,$AH30)))</f>
        <v/>
      </c>
      <c r="P30" s="7">
        <f>IF($AH30="","",IF(INDEX('Per Invoice'!P$2:P$401,$AH30)="","",INDEX('Per Invoice'!P$2:P$401,$AH30)))</f>
        <v/>
      </c>
      <c r="Q30">
        <f>IF($AH30="","",IF(INDEX('Per Invoice'!Q$2:Q$401,$AH30)="","",INDEX('Per Invoice'!Q$2:Q$401,$AH30)))</f>
        <v/>
      </c>
      <c r="R30">
        <f>IF($AH30="","",IF(INDEX('Per Invoice'!R$2:R$401,$AH30)="","",INDEX('Per Invoice'!R$2:R$401,$AH30)))</f>
        <v/>
      </c>
      <c r="S30">
        <f>IF($AH30="","",IF(INDEX('Per Invoice'!S$2:S$401,$AH30)="","",INDEX('Per Invoice'!S$2:S$401,$AH30)))</f>
        <v/>
      </c>
      <c r="T30" s="7">
        <f>IF($AH30="","",IF(INDEX('Per Invoice'!T$2:T$401,$AH30)="","",INDEX('Per Invoice'!T$2:T$401,$AH30)))</f>
        <v/>
      </c>
      <c r="U30" s="7">
        <f>IF($AH30="","",IF(INDEX('Per Invoice'!U$2:U$401,$AH30)="","",INDEX('Per Invoice'!U$2:U$401,$AH30)))</f>
        <v/>
      </c>
      <c r="V30">
        <f>IF($AH30="","",IF(INDEX('Per Invoice'!V$2:V$401,$AH30)="","",INDEX('Per Invoice'!V$2:V$401,$AH30)))</f>
        <v/>
      </c>
      <c r="W30" s="7">
        <f>IF($AH30="","",IF(INDEX('Per Invoice'!W$2:W$401,$AH30)="","",INDEX('Per Invoice'!W$2:W$401,$AH30)))</f>
        <v/>
      </c>
      <c r="X30" s="7">
        <f>IF($AH30="","",IF(INDEX('Per Invoice'!X$2:X$401,$AH30)="","",INDEX('Per Invoice'!X$2:X$401,$AH30)))</f>
        <v/>
      </c>
      <c r="Y30">
        <f>IF($AH30="","",IF(INDEX('Per Invoice'!Y$2:Y$401,$AH30)="","",INDEX('Per Invoice'!Y$2:Y$401,$AH30)))</f>
        <v/>
      </c>
      <c r="Z30" s="7">
        <f>IF($AH30="","",IF(INDEX('Per Invoice'!Z$2:Z$401,$AH30)="","",INDEX('Per Invoice'!Z$2:Z$401,$AH30)))</f>
        <v/>
      </c>
      <c r="AA30" s="7">
        <f>IF($AH30="","",IF(INDEX('Per Invoice'!AA$2:AA$401,$AH30)="","",INDEX('Per Invoice'!AA$2:AA$401,$AH30)))</f>
        <v/>
      </c>
      <c r="AB30" s="7">
        <f>IF($AH30="","",IF(INDEX('Per Invoice'!AB$2:AB$401,$AH30)="","",INDEX('Per Invoice'!AB$2:AB$401,$AH30)))</f>
        <v/>
      </c>
      <c r="AC30" s="7">
        <f>IF($AH30="","",IF(INDEX('Per Invoice'!AC$2:AC$401,$AH30)="","",INDEX('Per Invoice'!AC$2:AC$401,$AH30)))</f>
        <v/>
      </c>
      <c r="AD30" s="7">
        <f>IF($AH30="","",IF(INDEX('Per Invoice'!AD$2:AD$401,$AH30)="","",INDEX('Per Invoice'!AD$2:AD$401,$AH30)))</f>
        <v/>
      </c>
      <c r="AE30" s="7">
        <f>IF($AH30="","",IF(INDEX('Per Invoice'!AE$2:AE$401,$AH30)="","",INDEX('Per Invoice'!AE$2:AE$401,$AH30)))</f>
        <v/>
      </c>
      <c r="AF30">
        <f>IF($AH30="","",IF(INDEX('Per Invoice'!AF$2:AF$401,$AH30)="","",INDEX('Per Invoice'!AF$2:AF$401,$AH30)))</f>
        <v/>
      </c>
      <c r="AG30" s="7">
        <f>IF($AH30="","",IF(INDEX('Per Invoice'!AG$2:AG$401,$AH30)="","",INDEX('Per Invoice'!AG$2:AG$401,$AH30)))</f>
        <v/>
      </c>
      <c r="AH30" s="16">
        <f>IFERROR(MATCH(Settings!$C$26&amp;"|"&amp;ROWS($AH$2:$AH30),'Per Invoice'!$AI$2:$AI$401,0),"")</f>
        <v/>
      </c>
    </row>
    <row r="31">
      <c r="A31">
        <f>IF($AH31="","",IF(INDEX('Per Invoice'!A$2:A$401,$AH31)="","",INDEX('Per Invoice'!A$2:A$401,$AH31)))</f>
        <v/>
      </c>
      <c r="B31">
        <f>IF($AH31="","",IF(INDEX('Per Invoice'!B$2:B$401,$AH31)="","",INDEX('Per Invoice'!B$2:B$401,$AH31)))</f>
        <v/>
      </c>
      <c r="C31">
        <f>IF($AH31="","",IF(INDEX('Per Invoice'!C$2:C$401,$AH31)="","",INDEX('Per Invoice'!C$2:C$401,$AH31)))</f>
        <v/>
      </c>
      <c r="D31">
        <f>IF($AH31="","",IF(INDEX('Per Invoice'!D$2:D$401,$AH31)="","",INDEX('Per Invoice'!D$2:D$401,$AH31)))</f>
        <v/>
      </c>
      <c r="E31">
        <f>IF($AH31="","",IF(INDEX('Per Invoice'!E$2:E$401,$AH31)="","",INDEX('Per Invoice'!E$2:E$401,$AH31)))</f>
        <v/>
      </c>
      <c r="F31">
        <f>IF($AH31="","",IF(INDEX('Per Invoice'!F$2:F$401,$AH31)="","",INDEX('Per Invoice'!F$2:F$401,$AH31)))</f>
        <v/>
      </c>
      <c r="G31">
        <f>IF($AH31="","",IF(INDEX('Per Invoice'!G$2:G$401,$AH31)="","",INDEX('Per Invoice'!G$2:G$401,$AH31)))</f>
        <v/>
      </c>
      <c r="H31">
        <f>IF($AH31="","",IF(INDEX('Per Invoice'!H$2:H$401,$AH31)="","",INDEX('Per Invoice'!H$2:H$401,$AH31)))</f>
        <v/>
      </c>
      <c r="I31" s="14">
        <f>IF($AH31="","",IF(INDEX('Per Invoice'!I$2:I$401,$AH31)="","",INDEX('Per Invoice'!I$2:I$401,$AH31)))</f>
        <v/>
      </c>
      <c r="J31">
        <f>IF($AH31="","",IF(INDEX('Per Invoice'!J$2:J$401,$AH31)="","",INDEX('Per Invoice'!J$2:J$401,$AH31)))</f>
        <v/>
      </c>
      <c r="K31">
        <f>IF($AH31="","",IF(INDEX('Per Invoice'!K$2:K$401,$AH31)="","",INDEX('Per Invoice'!K$2:K$401,$AH31)))</f>
        <v/>
      </c>
      <c r="L31">
        <f>IF($AH31="","",IF(INDEX('Per Invoice'!L$2:L$401,$AH31)="","",INDEX('Per Invoice'!L$2:L$401,$AH31)))</f>
        <v/>
      </c>
      <c r="M31">
        <f>IF($AH31="","",IF(INDEX('Per Invoice'!M$2:M$401,$AH31)="","",INDEX('Per Invoice'!M$2:M$401,$AH31)))</f>
        <v/>
      </c>
      <c r="N31">
        <f>IF($AH31="","",IF(INDEX('Per Invoice'!N$2:N$401,$AH31)="","",INDEX('Per Invoice'!N$2:N$401,$AH31)))</f>
        <v/>
      </c>
      <c r="O31">
        <f>IF($AH31="","",IF(INDEX('Per Invoice'!O$2:O$401,$AH31)="","",INDEX('Per Invoice'!O$2:O$401,$AH31)))</f>
        <v/>
      </c>
      <c r="P31" s="7">
        <f>IF($AH31="","",IF(INDEX('Per Invoice'!P$2:P$401,$AH31)="","",INDEX('Per Invoice'!P$2:P$401,$AH31)))</f>
        <v/>
      </c>
      <c r="Q31">
        <f>IF($AH31="","",IF(INDEX('Per Invoice'!Q$2:Q$401,$AH31)="","",INDEX('Per Invoice'!Q$2:Q$401,$AH31)))</f>
        <v/>
      </c>
      <c r="R31">
        <f>IF($AH31="","",IF(INDEX('Per Invoice'!R$2:R$401,$AH31)="","",INDEX('Per Invoice'!R$2:R$401,$AH31)))</f>
        <v/>
      </c>
      <c r="S31">
        <f>IF($AH31="","",IF(INDEX('Per Invoice'!S$2:S$401,$AH31)="","",INDEX('Per Invoice'!S$2:S$401,$AH31)))</f>
        <v/>
      </c>
      <c r="T31" s="7">
        <f>IF($AH31="","",IF(INDEX('Per Invoice'!T$2:T$401,$AH31)="","",INDEX('Per Invoice'!T$2:T$401,$AH31)))</f>
        <v/>
      </c>
      <c r="U31" s="7">
        <f>IF($AH31="","",IF(INDEX('Per Invoice'!U$2:U$401,$AH31)="","",INDEX('Per Invoice'!U$2:U$401,$AH31)))</f>
        <v/>
      </c>
      <c r="V31">
        <f>IF($AH31="","",IF(INDEX('Per Invoice'!V$2:V$401,$AH31)="","",INDEX('Per Invoice'!V$2:V$401,$AH31)))</f>
        <v/>
      </c>
      <c r="W31" s="7">
        <f>IF($AH31="","",IF(INDEX('Per Invoice'!W$2:W$401,$AH31)="","",INDEX('Per Invoice'!W$2:W$401,$AH31)))</f>
        <v/>
      </c>
      <c r="X31" s="7">
        <f>IF($AH31="","",IF(INDEX('Per Invoice'!X$2:X$401,$AH31)="","",INDEX('Per Invoice'!X$2:X$401,$AH31)))</f>
        <v/>
      </c>
      <c r="Y31">
        <f>IF($AH31="","",IF(INDEX('Per Invoice'!Y$2:Y$401,$AH31)="","",INDEX('Per Invoice'!Y$2:Y$401,$AH31)))</f>
        <v/>
      </c>
      <c r="Z31" s="7">
        <f>IF($AH31="","",IF(INDEX('Per Invoice'!Z$2:Z$401,$AH31)="","",INDEX('Per Invoice'!Z$2:Z$401,$AH31)))</f>
        <v/>
      </c>
      <c r="AA31" s="7">
        <f>IF($AH31="","",IF(INDEX('Per Invoice'!AA$2:AA$401,$AH31)="","",INDEX('Per Invoice'!AA$2:AA$401,$AH31)))</f>
        <v/>
      </c>
      <c r="AB31" s="7">
        <f>IF($AH31="","",IF(INDEX('Per Invoice'!AB$2:AB$401,$AH31)="","",INDEX('Per Invoice'!AB$2:AB$401,$AH31)))</f>
        <v/>
      </c>
      <c r="AC31" s="7">
        <f>IF($AH31="","",IF(INDEX('Per Invoice'!AC$2:AC$401,$AH31)="","",INDEX('Per Invoice'!AC$2:AC$401,$AH31)))</f>
        <v/>
      </c>
      <c r="AD31" s="7">
        <f>IF($AH31="","",IF(INDEX('Per Invoice'!AD$2:AD$401,$AH31)="","",INDEX('Per Invoice'!AD$2:AD$401,$AH31)))</f>
        <v/>
      </c>
      <c r="AE31" s="7">
        <f>IF($AH31="","",IF(INDEX('Per Invoice'!AE$2:AE$401,$AH31)="","",INDEX('Per Invoice'!AE$2:AE$401,$AH31)))</f>
        <v/>
      </c>
      <c r="AF31">
        <f>IF($AH31="","",IF(INDEX('Per Invoice'!AF$2:AF$401,$AH31)="","",INDEX('Per Invoice'!AF$2:AF$401,$AH31)))</f>
        <v/>
      </c>
      <c r="AG31" s="7">
        <f>IF($AH31="","",IF(INDEX('Per Invoice'!AG$2:AG$401,$AH31)="","",INDEX('Per Invoice'!AG$2:AG$401,$AH31)))</f>
        <v/>
      </c>
      <c r="AH31" s="16">
        <f>IFERROR(MATCH(Settings!$C$26&amp;"|"&amp;ROWS($AH$2:$AH31),'Per Invoice'!$AI$2:$AI$401,0),"")</f>
        <v/>
      </c>
    </row>
    <row r="32">
      <c r="A32">
        <f>IF($AH32="","",IF(INDEX('Per Invoice'!A$2:A$401,$AH32)="","",INDEX('Per Invoice'!A$2:A$401,$AH32)))</f>
        <v/>
      </c>
      <c r="B32">
        <f>IF($AH32="","",IF(INDEX('Per Invoice'!B$2:B$401,$AH32)="","",INDEX('Per Invoice'!B$2:B$401,$AH32)))</f>
        <v/>
      </c>
      <c r="C32">
        <f>IF($AH32="","",IF(INDEX('Per Invoice'!C$2:C$401,$AH32)="","",INDEX('Per Invoice'!C$2:C$401,$AH32)))</f>
        <v/>
      </c>
      <c r="D32">
        <f>IF($AH32="","",IF(INDEX('Per Invoice'!D$2:D$401,$AH32)="","",INDEX('Per Invoice'!D$2:D$401,$AH32)))</f>
        <v/>
      </c>
      <c r="E32">
        <f>IF($AH32="","",IF(INDEX('Per Invoice'!E$2:E$401,$AH32)="","",INDEX('Per Invoice'!E$2:E$401,$AH32)))</f>
        <v/>
      </c>
      <c r="F32">
        <f>IF($AH32="","",IF(INDEX('Per Invoice'!F$2:F$401,$AH32)="","",INDEX('Per Invoice'!F$2:F$401,$AH32)))</f>
        <v/>
      </c>
      <c r="G32">
        <f>IF($AH32="","",IF(INDEX('Per Invoice'!G$2:G$401,$AH32)="","",INDEX('Per Invoice'!G$2:G$401,$AH32)))</f>
        <v/>
      </c>
      <c r="H32">
        <f>IF($AH32="","",IF(INDEX('Per Invoice'!H$2:H$401,$AH32)="","",INDEX('Per Invoice'!H$2:H$401,$AH32)))</f>
        <v/>
      </c>
      <c r="I32" s="14">
        <f>IF($AH32="","",IF(INDEX('Per Invoice'!I$2:I$401,$AH32)="","",INDEX('Per Invoice'!I$2:I$401,$AH32)))</f>
        <v/>
      </c>
      <c r="J32">
        <f>IF($AH32="","",IF(INDEX('Per Invoice'!J$2:J$401,$AH32)="","",INDEX('Per Invoice'!J$2:J$401,$AH32)))</f>
        <v/>
      </c>
      <c r="K32">
        <f>IF($AH32="","",IF(INDEX('Per Invoice'!K$2:K$401,$AH32)="","",INDEX('Per Invoice'!K$2:K$401,$AH32)))</f>
        <v/>
      </c>
      <c r="L32">
        <f>IF($AH32="","",IF(INDEX('Per Invoice'!L$2:L$401,$AH32)="","",INDEX('Per Invoice'!L$2:L$401,$AH32)))</f>
        <v/>
      </c>
      <c r="M32">
        <f>IF($AH32="","",IF(INDEX('Per Invoice'!M$2:M$401,$AH32)="","",INDEX('Per Invoice'!M$2:M$401,$AH32)))</f>
        <v/>
      </c>
      <c r="N32">
        <f>IF($AH32="","",IF(INDEX('Per Invoice'!N$2:N$401,$AH32)="","",INDEX('Per Invoice'!N$2:N$401,$AH32)))</f>
        <v/>
      </c>
      <c r="O32">
        <f>IF($AH32="","",IF(INDEX('Per Invoice'!O$2:O$401,$AH32)="","",INDEX('Per Invoice'!O$2:O$401,$AH32)))</f>
        <v/>
      </c>
      <c r="P32" s="7">
        <f>IF($AH32="","",IF(INDEX('Per Invoice'!P$2:P$401,$AH32)="","",INDEX('Per Invoice'!P$2:P$401,$AH32)))</f>
        <v/>
      </c>
      <c r="Q32">
        <f>IF($AH32="","",IF(INDEX('Per Invoice'!Q$2:Q$401,$AH32)="","",INDEX('Per Invoice'!Q$2:Q$401,$AH32)))</f>
        <v/>
      </c>
      <c r="R32">
        <f>IF($AH32="","",IF(INDEX('Per Invoice'!R$2:R$401,$AH32)="","",INDEX('Per Invoice'!R$2:R$401,$AH32)))</f>
        <v/>
      </c>
      <c r="S32">
        <f>IF($AH32="","",IF(INDEX('Per Invoice'!S$2:S$401,$AH32)="","",INDEX('Per Invoice'!S$2:S$401,$AH32)))</f>
        <v/>
      </c>
      <c r="T32" s="7">
        <f>IF($AH32="","",IF(INDEX('Per Invoice'!T$2:T$401,$AH32)="","",INDEX('Per Invoice'!T$2:T$401,$AH32)))</f>
        <v/>
      </c>
      <c r="U32" s="7">
        <f>IF($AH32="","",IF(INDEX('Per Invoice'!U$2:U$401,$AH32)="","",INDEX('Per Invoice'!U$2:U$401,$AH32)))</f>
        <v/>
      </c>
      <c r="V32">
        <f>IF($AH32="","",IF(INDEX('Per Invoice'!V$2:V$401,$AH32)="","",INDEX('Per Invoice'!V$2:V$401,$AH32)))</f>
        <v/>
      </c>
      <c r="W32" s="7">
        <f>IF($AH32="","",IF(INDEX('Per Invoice'!W$2:W$401,$AH32)="","",INDEX('Per Invoice'!W$2:W$401,$AH32)))</f>
        <v/>
      </c>
      <c r="X32" s="7">
        <f>IF($AH32="","",IF(INDEX('Per Invoice'!X$2:X$401,$AH32)="","",INDEX('Per Invoice'!X$2:X$401,$AH32)))</f>
        <v/>
      </c>
      <c r="Y32">
        <f>IF($AH32="","",IF(INDEX('Per Invoice'!Y$2:Y$401,$AH32)="","",INDEX('Per Invoice'!Y$2:Y$401,$AH32)))</f>
        <v/>
      </c>
      <c r="Z32" s="7">
        <f>IF($AH32="","",IF(INDEX('Per Invoice'!Z$2:Z$401,$AH32)="","",INDEX('Per Invoice'!Z$2:Z$401,$AH32)))</f>
        <v/>
      </c>
      <c r="AA32" s="7">
        <f>IF($AH32="","",IF(INDEX('Per Invoice'!AA$2:AA$401,$AH32)="","",INDEX('Per Invoice'!AA$2:AA$401,$AH32)))</f>
        <v/>
      </c>
      <c r="AB32" s="7">
        <f>IF($AH32="","",IF(INDEX('Per Invoice'!AB$2:AB$401,$AH32)="","",INDEX('Per Invoice'!AB$2:AB$401,$AH32)))</f>
        <v/>
      </c>
      <c r="AC32" s="7">
        <f>IF($AH32="","",IF(INDEX('Per Invoice'!AC$2:AC$401,$AH32)="","",INDEX('Per Invoice'!AC$2:AC$401,$AH32)))</f>
        <v/>
      </c>
      <c r="AD32" s="7">
        <f>IF($AH32="","",IF(INDEX('Per Invoice'!AD$2:AD$401,$AH32)="","",INDEX('Per Invoice'!AD$2:AD$401,$AH32)))</f>
        <v/>
      </c>
      <c r="AE32" s="7">
        <f>IF($AH32="","",IF(INDEX('Per Invoice'!AE$2:AE$401,$AH32)="","",INDEX('Per Invoice'!AE$2:AE$401,$AH32)))</f>
        <v/>
      </c>
      <c r="AF32">
        <f>IF($AH32="","",IF(INDEX('Per Invoice'!AF$2:AF$401,$AH32)="","",INDEX('Per Invoice'!AF$2:AF$401,$AH32)))</f>
        <v/>
      </c>
      <c r="AG32" s="7">
        <f>IF($AH32="","",IF(INDEX('Per Invoice'!AG$2:AG$401,$AH32)="","",INDEX('Per Invoice'!AG$2:AG$401,$AH32)))</f>
        <v/>
      </c>
      <c r="AH32" s="16">
        <f>IFERROR(MATCH(Settings!$C$26&amp;"|"&amp;ROWS($AH$2:$AH32),'Per Invoice'!$AI$2:$AI$401,0),"")</f>
        <v/>
      </c>
    </row>
    <row r="33">
      <c r="A33">
        <f>IF($AH33="","",IF(INDEX('Per Invoice'!A$2:A$401,$AH33)="","",INDEX('Per Invoice'!A$2:A$401,$AH33)))</f>
        <v/>
      </c>
      <c r="B33">
        <f>IF($AH33="","",IF(INDEX('Per Invoice'!B$2:B$401,$AH33)="","",INDEX('Per Invoice'!B$2:B$401,$AH33)))</f>
        <v/>
      </c>
      <c r="C33">
        <f>IF($AH33="","",IF(INDEX('Per Invoice'!C$2:C$401,$AH33)="","",INDEX('Per Invoice'!C$2:C$401,$AH33)))</f>
        <v/>
      </c>
      <c r="D33">
        <f>IF($AH33="","",IF(INDEX('Per Invoice'!D$2:D$401,$AH33)="","",INDEX('Per Invoice'!D$2:D$401,$AH33)))</f>
        <v/>
      </c>
      <c r="E33">
        <f>IF($AH33="","",IF(INDEX('Per Invoice'!E$2:E$401,$AH33)="","",INDEX('Per Invoice'!E$2:E$401,$AH33)))</f>
        <v/>
      </c>
      <c r="F33">
        <f>IF($AH33="","",IF(INDEX('Per Invoice'!F$2:F$401,$AH33)="","",INDEX('Per Invoice'!F$2:F$401,$AH33)))</f>
        <v/>
      </c>
      <c r="G33">
        <f>IF($AH33="","",IF(INDEX('Per Invoice'!G$2:G$401,$AH33)="","",INDEX('Per Invoice'!G$2:G$401,$AH33)))</f>
        <v/>
      </c>
      <c r="H33">
        <f>IF($AH33="","",IF(INDEX('Per Invoice'!H$2:H$401,$AH33)="","",INDEX('Per Invoice'!H$2:H$401,$AH33)))</f>
        <v/>
      </c>
      <c r="I33" s="14">
        <f>IF($AH33="","",IF(INDEX('Per Invoice'!I$2:I$401,$AH33)="","",INDEX('Per Invoice'!I$2:I$401,$AH33)))</f>
        <v/>
      </c>
      <c r="J33">
        <f>IF($AH33="","",IF(INDEX('Per Invoice'!J$2:J$401,$AH33)="","",INDEX('Per Invoice'!J$2:J$401,$AH33)))</f>
        <v/>
      </c>
      <c r="K33">
        <f>IF($AH33="","",IF(INDEX('Per Invoice'!K$2:K$401,$AH33)="","",INDEX('Per Invoice'!K$2:K$401,$AH33)))</f>
        <v/>
      </c>
      <c r="L33">
        <f>IF($AH33="","",IF(INDEX('Per Invoice'!L$2:L$401,$AH33)="","",INDEX('Per Invoice'!L$2:L$401,$AH33)))</f>
        <v/>
      </c>
      <c r="M33">
        <f>IF($AH33="","",IF(INDEX('Per Invoice'!M$2:M$401,$AH33)="","",INDEX('Per Invoice'!M$2:M$401,$AH33)))</f>
        <v/>
      </c>
      <c r="N33">
        <f>IF($AH33="","",IF(INDEX('Per Invoice'!N$2:N$401,$AH33)="","",INDEX('Per Invoice'!N$2:N$401,$AH33)))</f>
        <v/>
      </c>
      <c r="O33">
        <f>IF($AH33="","",IF(INDEX('Per Invoice'!O$2:O$401,$AH33)="","",INDEX('Per Invoice'!O$2:O$401,$AH33)))</f>
        <v/>
      </c>
      <c r="P33" s="7">
        <f>IF($AH33="","",IF(INDEX('Per Invoice'!P$2:P$401,$AH33)="","",INDEX('Per Invoice'!P$2:P$401,$AH33)))</f>
        <v/>
      </c>
      <c r="Q33">
        <f>IF($AH33="","",IF(INDEX('Per Invoice'!Q$2:Q$401,$AH33)="","",INDEX('Per Invoice'!Q$2:Q$401,$AH33)))</f>
        <v/>
      </c>
      <c r="R33">
        <f>IF($AH33="","",IF(INDEX('Per Invoice'!R$2:R$401,$AH33)="","",INDEX('Per Invoice'!R$2:R$401,$AH33)))</f>
        <v/>
      </c>
      <c r="S33">
        <f>IF($AH33="","",IF(INDEX('Per Invoice'!S$2:S$401,$AH33)="","",INDEX('Per Invoice'!S$2:S$401,$AH33)))</f>
        <v/>
      </c>
      <c r="T33" s="7">
        <f>IF($AH33="","",IF(INDEX('Per Invoice'!T$2:T$401,$AH33)="","",INDEX('Per Invoice'!T$2:T$401,$AH33)))</f>
        <v/>
      </c>
      <c r="U33" s="7">
        <f>IF($AH33="","",IF(INDEX('Per Invoice'!U$2:U$401,$AH33)="","",INDEX('Per Invoice'!U$2:U$401,$AH33)))</f>
        <v/>
      </c>
      <c r="V33">
        <f>IF($AH33="","",IF(INDEX('Per Invoice'!V$2:V$401,$AH33)="","",INDEX('Per Invoice'!V$2:V$401,$AH33)))</f>
        <v/>
      </c>
      <c r="W33" s="7">
        <f>IF($AH33="","",IF(INDEX('Per Invoice'!W$2:W$401,$AH33)="","",INDEX('Per Invoice'!W$2:W$401,$AH33)))</f>
        <v/>
      </c>
      <c r="X33" s="7">
        <f>IF($AH33="","",IF(INDEX('Per Invoice'!X$2:X$401,$AH33)="","",INDEX('Per Invoice'!X$2:X$401,$AH33)))</f>
        <v/>
      </c>
      <c r="Y33">
        <f>IF($AH33="","",IF(INDEX('Per Invoice'!Y$2:Y$401,$AH33)="","",INDEX('Per Invoice'!Y$2:Y$401,$AH33)))</f>
        <v/>
      </c>
      <c r="Z33" s="7">
        <f>IF($AH33="","",IF(INDEX('Per Invoice'!Z$2:Z$401,$AH33)="","",INDEX('Per Invoice'!Z$2:Z$401,$AH33)))</f>
        <v/>
      </c>
      <c r="AA33" s="7">
        <f>IF($AH33="","",IF(INDEX('Per Invoice'!AA$2:AA$401,$AH33)="","",INDEX('Per Invoice'!AA$2:AA$401,$AH33)))</f>
        <v/>
      </c>
      <c r="AB33" s="7">
        <f>IF($AH33="","",IF(INDEX('Per Invoice'!AB$2:AB$401,$AH33)="","",INDEX('Per Invoice'!AB$2:AB$401,$AH33)))</f>
        <v/>
      </c>
      <c r="AC33" s="7">
        <f>IF($AH33="","",IF(INDEX('Per Invoice'!AC$2:AC$401,$AH33)="","",INDEX('Per Invoice'!AC$2:AC$401,$AH33)))</f>
        <v/>
      </c>
      <c r="AD33" s="7">
        <f>IF($AH33="","",IF(INDEX('Per Invoice'!AD$2:AD$401,$AH33)="","",INDEX('Per Invoice'!AD$2:AD$401,$AH33)))</f>
        <v/>
      </c>
      <c r="AE33" s="7">
        <f>IF($AH33="","",IF(INDEX('Per Invoice'!AE$2:AE$401,$AH33)="","",INDEX('Per Invoice'!AE$2:AE$401,$AH33)))</f>
        <v/>
      </c>
      <c r="AF33">
        <f>IF($AH33="","",IF(INDEX('Per Invoice'!AF$2:AF$401,$AH33)="","",INDEX('Per Invoice'!AF$2:AF$401,$AH33)))</f>
        <v/>
      </c>
      <c r="AG33" s="7">
        <f>IF($AH33="","",IF(INDEX('Per Invoice'!AG$2:AG$401,$AH33)="","",INDEX('Per Invoice'!AG$2:AG$401,$AH33)))</f>
        <v/>
      </c>
      <c r="AH33" s="16">
        <f>IFERROR(MATCH(Settings!$C$26&amp;"|"&amp;ROWS($AH$2:$AH33),'Per Invoice'!$AI$2:$AI$401,0),"")</f>
        <v/>
      </c>
    </row>
    <row r="34">
      <c r="A34">
        <f>IF($AH34="","",IF(INDEX('Per Invoice'!A$2:A$401,$AH34)="","",INDEX('Per Invoice'!A$2:A$401,$AH34)))</f>
        <v/>
      </c>
      <c r="B34">
        <f>IF($AH34="","",IF(INDEX('Per Invoice'!B$2:B$401,$AH34)="","",INDEX('Per Invoice'!B$2:B$401,$AH34)))</f>
        <v/>
      </c>
      <c r="C34">
        <f>IF($AH34="","",IF(INDEX('Per Invoice'!C$2:C$401,$AH34)="","",INDEX('Per Invoice'!C$2:C$401,$AH34)))</f>
        <v/>
      </c>
      <c r="D34">
        <f>IF($AH34="","",IF(INDEX('Per Invoice'!D$2:D$401,$AH34)="","",INDEX('Per Invoice'!D$2:D$401,$AH34)))</f>
        <v/>
      </c>
      <c r="E34">
        <f>IF($AH34="","",IF(INDEX('Per Invoice'!E$2:E$401,$AH34)="","",INDEX('Per Invoice'!E$2:E$401,$AH34)))</f>
        <v/>
      </c>
      <c r="F34">
        <f>IF($AH34="","",IF(INDEX('Per Invoice'!F$2:F$401,$AH34)="","",INDEX('Per Invoice'!F$2:F$401,$AH34)))</f>
        <v/>
      </c>
      <c r="G34">
        <f>IF($AH34="","",IF(INDEX('Per Invoice'!G$2:G$401,$AH34)="","",INDEX('Per Invoice'!G$2:G$401,$AH34)))</f>
        <v/>
      </c>
      <c r="H34">
        <f>IF($AH34="","",IF(INDEX('Per Invoice'!H$2:H$401,$AH34)="","",INDEX('Per Invoice'!H$2:H$401,$AH34)))</f>
        <v/>
      </c>
      <c r="I34" s="14">
        <f>IF($AH34="","",IF(INDEX('Per Invoice'!I$2:I$401,$AH34)="","",INDEX('Per Invoice'!I$2:I$401,$AH34)))</f>
        <v/>
      </c>
      <c r="J34">
        <f>IF($AH34="","",IF(INDEX('Per Invoice'!J$2:J$401,$AH34)="","",INDEX('Per Invoice'!J$2:J$401,$AH34)))</f>
        <v/>
      </c>
      <c r="K34">
        <f>IF($AH34="","",IF(INDEX('Per Invoice'!K$2:K$401,$AH34)="","",INDEX('Per Invoice'!K$2:K$401,$AH34)))</f>
        <v/>
      </c>
      <c r="L34">
        <f>IF($AH34="","",IF(INDEX('Per Invoice'!L$2:L$401,$AH34)="","",INDEX('Per Invoice'!L$2:L$401,$AH34)))</f>
        <v/>
      </c>
      <c r="M34">
        <f>IF($AH34="","",IF(INDEX('Per Invoice'!M$2:M$401,$AH34)="","",INDEX('Per Invoice'!M$2:M$401,$AH34)))</f>
        <v/>
      </c>
      <c r="N34">
        <f>IF($AH34="","",IF(INDEX('Per Invoice'!N$2:N$401,$AH34)="","",INDEX('Per Invoice'!N$2:N$401,$AH34)))</f>
        <v/>
      </c>
      <c r="O34">
        <f>IF($AH34="","",IF(INDEX('Per Invoice'!O$2:O$401,$AH34)="","",INDEX('Per Invoice'!O$2:O$401,$AH34)))</f>
        <v/>
      </c>
      <c r="P34" s="7">
        <f>IF($AH34="","",IF(INDEX('Per Invoice'!P$2:P$401,$AH34)="","",INDEX('Per Invoice'!P$2:P$401,$AH34)))</f>
        <v/>
      </c>
      <c r="Q34">
        <f>IF($AH34="","",IF(INDEX('Per Invoice'!Q$2:Q$401,$AH34)="","",INDEX('Per Invoice'!Q$2:Q$401,$AH34)))</f>
        <v/>
      </c>
      <c r="R34">
        <f>IF($AH34="","",IF(INDEX('Per Invoice'!R$2:R$401,$AH34)="","",INDEX('Per Invoice'!R$2:R$401,$AH34)))</f>
        <v/>
      </c>
      <c r="S34">
        <f>IF($AH34="","",IF(INDEX('Per Invoice'!S$2:S$401,$AH34)="","",INDEX('Per Invoice'!S$2:S$401,$AH34)))</f>
        <v/>
      </c>
      <c r="T34" s="7">
        <f>IF($AH34="","",IF(INDEX('Per Invoice'!T$2:T$401,$AH34)="","",INDEX('Per Invoice'!T$2:T$401,$AH34)))</f>
        <v/>
      </c>
      <c r="U34" s="7">
        <f>IF($AH34="","",IF(INDEX('Per Invoice'!U$2:U$401,$AH34)="","",INDEX('Per Invoice'!U$2:U$401,$AH34)))</f>
        <v/>
      </c>
      <c r="V34">
        <f>IF($AH34="","",IF(INDEX('Per Invoice'!V$2:V$401,$AH34)="","",INDEX('Per Invoice'!V$2:V$401,$AH34)))</f>
        <v/>
      </c>
      <c r="W34" s="7">
        <f>IF($AH34="","",IF(INDEX('Per Invoice'!W$2:W$401,$AH34)="","",INDEX('Per Invoice'!W$2:W$401,$AH34)))</f>
        <v/>
      </c>
      <c r="X34" s="7">
        <f>IF($AH34="","",IF(INDEX('Per Invoice'!X$2:X$401,$AH34)="","",INDEX('Per Invoice'!X$2:X$401,$AH34)))</f>
        <v/>
      </c>
      <c r="Y34">
        <f>IF($AH34="","",IF(INDEX('Per Invoice'!Y$2:Y$401,$AH34)="","",INDEX('Per Invoice'!Y$2:Y$401,$AH34)))</f>
        <v/>
      </c>
      <c r="Z34" s="7">
        <f>IF($AH34="","",IF(INDEX('Per Invoice'!Z$2:Z$401,$AH34)="","",INDEX('Per Invoice'!Z$2:Z$401,$AH34)))</f>
        <v/>
      </c>
      <c r="AA34" s="7">
        <f>IF($AH34="","",IF(INDEX('Per Invoice'!AA$2:AA$401,$AH34)="","",INDEX('Per Invoice'!AA$2:AA$401,$AH34)))</f>
        <v/>
      </c>
      <c r="AB34" s="7">
        <f>IF($AH34="","",IF(INDEX('Per Invoice'!AB$2:AB$401,$AH34)="","",INDEX('Per Invoice'!AB$2:AB$401,$AH34)))</f>
        <v/>
      </c>
      <c r="AC34" s="7">
        <f>IF($AH34="","",IF(INDEX('Per Invoice'!AC$2:AC$401,$AH34)="","",INDEX('Per Invoice'!AC$2:AC$401,$AH34)))</f>
        <v/>
      </c>
      <c r="AD34" s="7">
        <f>IF($AH34="","",IF(INDEX('Per Invoice'!AD$2:AD$401,$AH34)="","",INDEX('Per Invoice'!AD$2:AD$401,$AH34)))</f>
        <v/>
      </c>
      <c r="AE34" s="7">
        <f>IF($AH34="","",IF(INDEX('Per Invoice'!AE$2:AE$401,$AH34)="","",INDEX('Per Invoice'!AE$2:AE$401,$AH34)))</f>
        <v/>
      </c>
      <c r="AF34">
        <f>IF($AH34="","",IF(INDEX('Per Invoice'!AF$2:AF$401,$AH34)="","",INDEX('Per Invoice'!AF$2:AF$401,$AH34)))</f>
        <v/>
      </c>
      <c r="AG34" s="7">
        <f>IF($AH34="","",IF(INDEX('Per Invoice'!AG$2:AG$401,$AH34)="","",INDEX('Per Invoice'!AG$2:AG$401,$AH34)))</f>
        <v/>
      </c>
      <c r="AH34" s="16">
        <f>IFERROR(MATCH(Settings!$C$26&amp;"|"&amp;ROWS($AH$2:$AH34),'Per Invoice'!$AI$2:$AI$401,0),"")</f>
        <v/>
      </c>
    </row>
    <row r="35">
      <c r="A35">
        <f>IF($AH35="","",IF(INDEX('Per Invoice'!A$2:A$401,$AH35)="","",INDEX('Per Invoice'!A$2:A$401,$AH35)))</f>
        <v/>
      </c>
      <c r="B35">
        <f>IF($AH35="","",IF(INDEX('Per Invoice'!B$2:B$401,$AH35)="","",INDEX('Per Invoice'!B$2:B$401,$AH35)))</f>
        <v/>
      </c>
      <c r="C35">
        <f>IF($AH35="","",IF(INDEX('Per Invoice'!C$2:C$401,$AH35)="","",INDEX('Per Invoice'!C$2:C$401,$AH35)))</f>
        <v/>
      </c>
      <c r="D35">
        <f>IF($AH35="","",IF(INDEX('Per Invoice'!D$2:D$401,$AH35)="","",INDEX('Per Invoice'!D$2:D$401,$AH35)))</f>
        <v/>
      </c>
      <c r="E35">
        <f>IF($AH35="","",IF(INDEX('Per Invoice'!E$2:E$401,$AH35)="","",INDEX('Per Invoice'!E$2:E$401,$AH35)))</f>
        <v/>
      </c>
      <c r="F35">
        <f>IF($AH35="","",IF(INDEX('Per Invoice'!F$2:F$401,$AH35)="","",INDEX('Per Invoice'!F$2:F$401,$AH35)))</f>
        <v/>
      </c>
      <c r="G35">
        <f>IF($AH35="","",IF(INDEX('Per Invoice'!G$2:G$401,$AH35)="","",INDEX('Per Invoice'!G$2:G$401,$AH35)))</f>
        <v/>
      </c>
      <c r="H35">
        <f>IF($AH35="","",IF(INDEX('Per Invoice'!H$2:H$401,$AH35)="","",INDEX('Per Invoice'!H$2:H$401,$AH35)))</f>
        <v/>
      </c>
      <c r="I35" s="14">
        <f>IF($AH35="","",IF(INDEX('Per Invoice'!I$2:I$401,$AH35)="","",INDEX('Per Invoice'!I$2:I$401,$AH35)))</f>
        <v/>
      </c>
      <c r="J35">
        <f>IF($AH35="","",IF(INDEX('Per Invoice'!J$2:J$401,$AH35)="","",INDEX('Per Invoice'!J$2:J$401,$AH35)))</f>
        <v/>
      </c>
      <c r="K35">
        <f>IF($AH35="","",IF(INDEX('Per Invoice'!K$2:K$401,$AH35)="","",INDEX('Per Invoice'!K$2:K$401,$AH35)))</f>
        <v/>
      </c>
      <c r="L35">
        <f>IF($AH35="","",IF(INDEX('Per Invoice'!L$2:L$401,$AH35)="","",INDEX('Per Invoice'!L$2:L$401,$AH35)))</f>
        <v/>
      </c>
      <c r="M35">
        <f>IF($AH35="","",IF(INDEX('Per Invoice'!M$2:M$401,$AH35)="","",INDEX('Per Invoice'!M$2:M$401,$AH35)))</f>
        <v/>
      </c>
      <c r="N35">
        <f>IF($AH35="","",IF(INDEX('Per Invoice'!N$2:N$401,$AH35)="","",INDEX('Per Invoice'!N$2:N$401,$AH35)))</f>
        <v/>
      </c>
      <c r="O35">
        <f>IF($AH35="","",IF(INDEX('Per Invoice'!O$2:O$401,$AH35)="","",INDEX('Per Invoice'!O$2:O$401,$AH35)))</f>
        <v/>
      </c>
      <c r="P35" s="7">
        <f>IF($AH35="","",IF(INDEX('Per Invoice'!P$2:P$401,$AH35)="","",INDEX('Per Invoice'!P$2:P$401,$AH35)))</f>
        <v/>
      </c>
      <c r="Q35">
        <f>IF($AH35="","",IF(INDEX('Per Invoice'!Q$2:Q$401,$AH35)="","",INDEX('Per Invoice'!Q$2:Q$401,$AH35)))</f>
        <v/>
      </c>
      <c r="R35">
        <f>IF($AH35="","",IF(INDEX('Per Invoice'!R$2:R$401,$AH35)="","",INDEX('Per Invoice'!R$2:R$401,$AH35)))</f>
        <v/>
      </c>
      <c r="S35">
        <f>IF($AH35="","",IF(INDEX('Per Invoice'!S$2:S$401,$AH35)="","",INDEX('Per Invoice'!S$2:S$401,$AH35)))</f>
        <v/>
      </c>
      <c r="T35" s="7">
        <f>IF($AH35="","",IF(INDEX('Per Invoice'!T$2:T$401,$AH35)="","",INDEX('Per Invoice'!T$2:T$401,$AH35)))</f>
        <v/>
      </c>
      <c r="U35" s="7">
        <f>IF($AH35="","",IF(INDEX('Per Invoice'!U$2:U$401,$AH35)="","",INDEX('Per Invoice'!U$2:U$401,$AH35)))</f>
        <v/>
      </c>
      <c r="V35">
        <f>IF($AH35="","",IF(INDEX('Per Invoice'!V$2:V$401,$AH35)="","",INDEX('Per Invoice'!V$2:V$401,$AH35)))</f>
        <v/>
      </c>
      <c r="W35" s="7">
        <f>IF($AH35="","",IF(INDEX('Per Invoice'!W$2:W$401,$AH35)="","",INDEX('Per Invoice'!W$2:W$401,$AH35)))</f>
        <v/>
      </c>
      <c r="X35" s="7">
        <f>IF($AH35="","",IF(INDEX('Per Invoice'!X$2:X$401,$AH35)="","",INDEX('Per Invoice'!X$2:X$401,$AH35)))</f>
        <v/>
      </c>
      <c r="Y35">
        <f>IF($AH35="","",IF(INDEX('Per Invoice'!Y$2:Y$401,$AH35)="","",INDEX('Per Invoice'!Y$2:Y$401,$AH35)))</f>
        <v/>
      </c>
      <c r="Z35" s="7">
        <f>IF($AH35="","",IF(INDEX('Per Invoice'!Z$2:Z$401,$AH35)="","",INDEX('Per Invoice'!Z$2:Z$401,$AH35)))</f>
        <v/>
      </c>
      <c r="AA35" s="7">
        <f>IF($AH35="","",IF(INDEX('Per Invoice'!AA$2:AA$401,$AH35)="","",INDEX('Per Invoice'!AA$2:AA$401,$AH35)))</f>
        <v/>
      </c>
      <c r="AB35" s="7">
        <f>IF($AH35="","",IF(INDEX('Per Invoice'!AB$2:AB$401,$AH35)="","",INDEX('Per Invoice'!AB$2:AB$401,$AH35)))</f>
        <v/>
      </c>
      <c r="AC35" s="7">
        <f>IF($AH35="","",IF(INDEX('Per Invoice'!AC$2:AC$401,$AH35)="","",INDEX('Per Invoice'!AC$2:AC$401,$AH35)))</f>
        <v/>
      </c>
      <c r="AD35" s="7">
        <f>IF($AH35="","",IF(INDEX('Per Invoice'!AD$2:AD$401,$AH35)="","",INDEX('Per Invoice'!AD$2:AD$401,$AH35)))</f>
        <v/>
      </c>
      <c r="AE35" s="7">
        <f>IF($AH35="","",IF(INDEX('Per Invoice'!AE$2:AE$401,$AH35)="","",INDEX('Per Invoice'!AE$2:AE$401,$AH35)))</f>
        <v/>
      </c>
      <c r="AF35">
        <f>IF($AH35="","",IF(INDEX('Per Invoice'!AF$2:AF$401,$AH35)="","",INDEX('Per Invoice'!AF$2:AF$401,$AH35)))</f>
        <v/>
      </c>
      <c r="AG35" s="7">
        <f>IF($AH35="","",IF(INDEX('Per Invoice'!AG$2:AG$401,$AH35)="","",INDEX('Per Invoice'!AG$2:AG$401,$AH35)))</f>
        <v/>
      </c>
      <c r="AH35" s="16">
        <f>IFERROR(MATCH(Settings!$C$26&amp;"|"&amp;ROWS($AH$2:$AH35),'Per Invoice'!$AI$2:$AI$401,0),"")</f>
        <v/>
      </c>
    </row>
    <row r="36">
      <c r="A36">
        <f>IF($AH36="","",IF(INDEX('Per Invoice'!A$2:A$401,$AH36)="","",INDEX('Per Invoice'!A$2:A$401,$AH36)))</f>
        <v/>
      </c>
      <c r="B36">
        <f>IF($AH36="","",IF(INDEX('Per Invoice'!B$2:B$401,$AH36)="","",INDEX('Per Invoice'!B$2:B$401,$AH36)))</f>
        <v/>
      </c>
      <c r="C36">
        <f>IF($AH36="","",IF(INDEX('Per Invoice'!C$2:C$401,$AH36)="","",INDEX('Per Invoice'!C$2:C$401,$AH36)))</f>
        <v/>
      </c>
      <c r="D36">
        <f>IF($AH36="","",IF(INDEX('Per Invoice'!D$2:D$401,$AH36)="","",INDEX('Per Invoice'!D$2:D$401,$AH36)))</f>
        <v/>
      </c>
      <c r="E36">
        <f>IF($AH36="","",IF(INDEX('Per Invoice'!E$2:E$401,$AH36)="","",INDEX('Per Invoice'!E$2:E$401,$AH36)))</f>
        <v/>
      </c>
      <c r="F36">
        <f>IF($AH36="","",IF(INDEX('Per Invoice'!F$2:F$401,$AH36)="","",INDEX('Per Invoice'!F$2:F$401,$AH36)))</f>
        <v/>
      </c>
      <c r="G36">
        <f>IF($AH36="","",IF(INDEX('Per Invoice'!G$2:G$401,$AH36)="","",INDEX('Per Invoice'!G$2:G$401,$AH36)))</f>
        <v/>
      </c>
      <c r="H36">
        <f>IF($AH36="","",IF(INDEX('Per Invoice'!H$2:H$401,$AH36)="","",INDEX('Per Invoice'!H$2:H$401,$AH36)))</f>
        <v/>
      </c>
      <c r="I36" s="14">
        <f>IF($AH36="","",IF(INDEX('Per Invoice'!I$2:I$401,$AH36)="","",INDEX('Per Invoice'!I$2:I$401,$AH36)))</f>
        <v/>
      </c>
      <c r="J36">
        <f>IF($AH36="","",IF(INDEX('Per Invoice'!J$2:J$401,$AH36)="","",INDEX('Per Invoice'!J$2:J$401,$AH36)))</f>
        <v/>
      </c>
      <c r="K36">
        <f>IF($AH36="","",IF(INDEX('Per Invoice'!K$2:K$401,$AH36)="","",INDEX('Per Invoice'!K$2:K$401,$AH36)))</f>
        <v/>
      </c>
      <c r="L36">
        <f>IF($AH36="","",IF(INDEX('Per Invoice'!L$2:L$401,$AH36)="","",INDEX('Per Invoice'!L$2:L$401,$AH36)))</f>
        <v/>
      </c>
      <c r="M36">
        <f>IF($AH36="","",IF(INDEX('Per Invoice'!M$2:M$401,$AH36)="","",INDEX('Per Invoice'!M$2:M$401,$AH36)))</f>
        <v/>
      </c>
      <c r="N36">
        <f>IF($AH36="","",IF(INDEX('Per Invoice'!N$2:N$401,$AH36)="","",INDEX('Per Invoice'!N$2:N$401,$AH36)))</f>
        <v/>
      </c>
      <c r="O36">
        <f>IF($AH36="","",IF(INDEX('Per Invoice'!O$2:O$401,$AH36)="","",INDEX('Per Invoice'!O$2:O$401,$AH36)))</f>
        <v/>
      </c>
      <c r="P36" s="7">
        <f>IF($AH36="","",IF(INDEX('Per Invoice'!P$2:P$401,$AH36)="","",INDEX('Per Invoice'!P$2:P$401,$AH36)))</f>
        <v/>
      </c>
      <c r="Q36">
        <f>IF($AH36="","",IF(INDEX('Per Invoice'!Q$2:Q$401,$AH36)="","",INDEX('Per Invoice'!Q$2:Q$401,$AH36)))</f>
        <v/>
      </c>
      <c r="R36">
        <f>IF($AH36="","",IF(INDEX('Per Invoice'!R$2:R$401,$AH36)="","",INDEX('Per Invoice'!R$2:R$401,$AH36)))</f>
        <v/>
      </c>
      <c r="S36">
        <f>IF($AH36="","",IF(INDEX('Per Invoice'!S$2:S$401,$AH36)="","",INDEX('Per Invoice'!S$2:S$401,$AH36)))</f>
        <v/>
      </c>
      <c r="T36" s="7">
        <f>IF($AH36="","",IF(INDEX('Per Invoice'!T$2:T$401,$AH36)="","",INDEX('Per Invoice'!T$2:T$401,$AH36)))</f>
        <v/>
      </c>
      <c r="U36" s="7">
        <f>IF($AH36="","",IF(INDEX('Per Invoice'!U$2:U$401,$AH36)="","",INDEX('Per Invoice'!U$2:U$401,$AH36)))</f>
        <v/>
      </c>
      <c r="V36">
        <f>IF($AH36="","",IF(INDEX('Per Invoice'!V$2:V$401,$AH36)="","",INDEX('Per Invoice'!V$2:V$401,$AH36)))</f>
        <v/>
      </c>
      <c r="W36" s="7">
        <f>IF($AH36="","",IF(INDEX('Per Invoice'!W$2:W$401,$AH36)="","",INDEX('Per Invoice'!W$2:W$401,$AH36)))</f>
        <v/>
      </c>
      <c r="X36" s="7">
        <f>IF($AH36="","",IF(INDEX('Per Invoice'!X$2:X$401,$AH36)="","",INDEX('Per Invoice'!X$2:X$401,$AH36)))</f>
        <v/>
      </c>
      <c r="Y36">
        <f>IF($AH36="","",IF(INDEX('Per Invoice'!Y$2:Y$401,$AH36)="","",INDEX('Per Invoice'!Y$2:Y$401,$AH36)))</f>
        <v/>
      </c>
      <c r="Z36" s="7">
        <f>IF($AH36="","",IF(INDEX('Per Invoice'!Z$2:Z$401,$AH36)="","",INDEX('Per Invoice'!Z$2:Z$401,$AH36)))</f>
        <v/>
      </c>
      <c r="AA36" s="7">
        <f>IF($AH36="","",IF(INDEX('Per Invoice'!AA$2:AA$401,$AH36)="","",INDEX('Per Invoice'!AA$2:AA$401,$AH36)))</f>
        <v/>
      </c>
      <c r="AB36" s="7">
        <f>IF($AH36="","",IF(INDEX('Per Invoice'!AB$2:AB$401,$AH36)="","",INDEX('Per Invoice'!AB$2:AB$401,$AH36)))</f>
        <v/>
      </c>
      <c r="AC36" s="7">
        <f>IF($AH36="","",IF(INDEX('Per Invoice'!AC$2:AC$401,$AH36)="","",INDEX('Per Invoice'!AC$2:AC$401,$AH36)))</f>
        <v/>
      </c>
      <c r="AD36" s="7">
        <f>IF($AH36="","",IF(INDEX('Per Invoice'!AD$2:AD$401,$AH36)="","",INDEX('Per Invoice'!AD$2:AD$401,$AH36)))</f>
        <v/>
      </c>
      <c r="AE36" s="7">
        <f>IF($AH36="","",IF(INDEX('Per Invoice'!AE$2:AE$401,$AH36)="","",INDEX('Per Invoice'!AE$2:AE$401,$AH36)))</f>
        <v/>
      </c>
      <c r="AF36">
        <f>IF($AH36="","",IF(INDEX('Per Invoice'!AF$2:AF$401,$AH36)="","",INDEX('Per Invoice'!AF$2:AF$401,$AH36)))</f>
        <v/>
      </c>
      <c r="AG36" s="7">
        <f>IF($AH36="","",IF(INDEX('Per Invoice'!AG$2:AG$401,$AH36)="","",INDEX('Per Invoice'!AG$2:AG$401,$AH36)))</f>
        <v/>
      </c>
      <c r="AH36" s="16">
        <f>IFERROR(MATCH(Settings!$C$26&amp;"|"&amp;ROWS($AH$2:$AH36),'Per Invoice'!$AI$2:$AI$401,0),"")</f>
        <v/>
      </c>
    </row>
    <row r="37">
      <c r="A37">
        <f>IF($AH37="","",IF(INDEX('Per Invoice'!A$2:A$401,$AH37)="","",INDEX('Per Invoice'!A$2:A$401,$AH37)))</f>
        <v/>
      </c>
      <c r="B37">
        <f>IF($AH37="","",IF(INDEX('Per Invoice'!B$2:B$401,$AH37)="","",INDEX('Per Invoice'!B$2:B$401,$AH37)))</f>
        <v/>
      </c>
      <c r="C37">
        <f>IF($AH37="","",IF(INDEX('Per Invoice'!C$2:C$401,$AH37)="","",INDEX('Per Invoice'!C$2:C$401,$AH37)))</f>
        <v/>
      </c>
      <c r="D37">
        <f>IF($AH37="","",IF(INDEX('Per Invoice'!D$2:D$401,$AH37)="","",INDEX('Per Invoice'!D$2:D$401,$AH37)))</f>
        <v/>
      </c>
      <c r="E37">
        <f>IF($AH37="","",IF(INDEX('Per Invoice'!E$2:E$401,$AH37)="","",INDEX('Per Invoice'!E$2:E$401,$AH37)))</f>
        <v/>
      </c>
      <c r="F37">
        <f>IF($AH37="","",IF(INDEX('Per Invoice'!F$2:F$401,$AH37)="","",INDEX('Per Invoice'!F$2:F$401,$AH37)))</f>
        <v/>
      </c>
      <c r="G37">
        <f>IF($AH37="","",IF(INDEX('Per Invoice'!G$2:G$401,$AH37)="","",INDEX('Per Invoice'!G$2:G$401,$AH37)))</f>
        <v/>
      </c>
      <c r="H37">
        <f>IF($AH37="","",IF(INDEX('Per Invoice'!H$2:H$401,$AH37)="","",INDEX('Per Invoice'!H$2:H$401,$AH37)))</f>
        <v/>
      </c>
      <c r="I37" s="14">
        <f>IF($AH37="","",IF(INDEX('Per Invoice'!I$2:I$401,$AH37)="","",INDEX('Per Invoice'!I$2:I$401,$AH37)))</f>
        <v/>
      </c>
      <c r="J37">
        <f>IF($AH37="","",IF(INDEX('Per Invoice'!J$2:J$401,$AH37)="","",INDEX('Per Invoice'!J$2:J$401,$AH37)))</f>
        <v/>
      </c>
      <c r="K37">
        <f>IF($AH37="","",IF(INDEX('Per Invoice'!K$2:K$401,$AH37)="","",INDEX('Per Invoice'!K$2:K$401,$AH37)))</f>
        <v/>
      </c>
      <c r="L37">
        <f>IF($AH37="","",IF(INDEX('Per Invoice'!L$2:L$401,$AH37)="","",INDEX('Per Invoice'!L$2:L$401,$AH37)))</f>
        <v/>
      </c>
      <c r="M37">
        <f>IF($AH37="","",IF(INDEX('Per Invoice'!M$2:M$401,$AH37)="","",INDEX('Per Invoice'!M$2:M$401,$AH37)))</f>
        <v/>
      </c>
      <c r="N37">
        <f>IF($AH37="","",IF(INDEX('Per Invoice'!N$2:N$401,$AH37)="","",INDEX('Per Invoice'!N$2:N$401,$AH37)))</f>
        <v/>
      </c>
      <c r="O37">
        <f>IF($AH37="","",IF(INDEX('Per Invoice'!O$2:O$401,$AH37)="","",INDEX('Per Invoice'!O$2:O$401,$AH37)))</f>
        <v/>
      </c>
      <c r="P37" s="7">
        <f>IF($AH37="","",IF(INDEX('Per Invoice'!P$2:P$401,$AH37)="","",INDEX('Per Invoice'!P$2:P$401,$AH37)))</f>
        <v/>
      </c>
      <c r="Q37">
        <f>IF($AH37="","",IF(INDEX('Per Invoice'!Q$2:Q$401,$AH37)="","",INDEX('Per Invoice'!Q$2:Q$401,$AH37)))</f>
        <v/>
      </c>
      <c r="R37">
        <f>IF($AH37="","",IF(INDEX('Per Invoice'!R$2:R$401,$AH37)="","",INDEX('Per Invoice'!R$2:R$401,$AH37)))</f>
        <v/>
      </c>
      <c r="S37">
        <f>IF($AH37="","",IF(INDEX('Per Invoice'!S$2:S$401,$AH37)="","",INDEX('Per Invoice'!S$2:S$401,$AH37)))</f>
        <v/>
      </c>
      <c r="T37" s="7">
        <f>IF($AH37="","",IF(INDEX('Per Invoice'!T$2:T$401,$AH37)="","",INDEX('Per Invoice'!T$2:T$401,$AH37)))</f>
        <v/>
      </c>
      <c r="U37" s="7">
        <f>IF($AH37="","",IF(INDEX('Per Invoice'!U$2:U$401,$AH37)="","",INDEX('Per Invoice'!U$2:U$401,$AH37)))</f>
        <v/>
      </c>
      <c r="V37">
        <f>IF($AH37="","",IF(INDEX('Per Invoice'!V$2:V$401,$AH37)="","",INDEX('Per Invoice'!V$2:V$401,$AH37)))</f>
        <v/>
      </c>
      <c r="W37" s="7">
        <f>IF($AH37="","",IF(INDEX('Per Invoice'!W$2:W$401,$AH37)="","",INDEX('Per Invoice'!W$2:W$401,$AH37)))</f>
        <v/>
      </c>
      <c r="X37" s="7">
        <f>IF($AH37="","",IF(INDEX('Per Invoice'!X$2:X$401,$AH37)="","",INDEX('Per Invoice'!X$2:X$401,$AH37)))</f>
        <v/>
      </c>
      <c r="Y37">
        <f>IF($AH37="","",IF(INDEX('Per Invoice'!Y$2:Y$401,$AH37)="","",INDEX('Per Invoice'!Y$2:Y$401,$AH37)))</f>
        <v/>
      </c>
      <c r="Z37" s="7">
        <f>IF($AH37="","",IF(INDEX('Per Invoice'!Z$2:Z$401,$AH37)="","",INDEX('Per Invoice'!Z$2:Z$401,$AH37)))</f>
        <v/>
      </c>
      <c r="AA37" s="7">
        <f>IF($AH37="","",IF(INDEX('Per Invoice'!AA$2:AA$401,$AH37)="","",INDEX('Per Invoice'!AA$2:AA$401,$AH37)))</f>
        <v/>
      </c>
      <c r="AB37" s="7">
        <f>IF($AH37="","",IF(INDEX('Per Invoice'!AB$2:AB$401,$AH37)="","",INDEX('Per Invoice'!AB$2:AB$401,$AH37)))</f>
        <v/>
      </c>
      <c r="AC37" s="7">
        <f>IF($AH37="","",IF(INDEX('Per Invoice'!AC$2:AC$401,$AH37)="","",INDEX('Per Invoice'!AC$2:AC$401,$AH37)))</f>
        <v/>
      </c>
      <c r="AD37" s="7">
        <f>IF($AH37="","",IF(INDEX('Per Invoice'!AD$2:AD$401,$AH37)="","",INDEX('Per Invoice'!AD$2:AD$401,$AH37)))</f>
        <v/>
      </c>
      <c r="AE37" s="7">
        <f>IF($AH37="","",IF(INDEX('Per Invoice'!AE$2:AE$401,$AH37)="","",INDEX('Per Invoice'!AE$2:AE$401,$AH37)))</f>
        <v/>
      </c>
      <c r="AF37">
        <f>IF($AH37="","",IF(INDEX('Per Invoice'!AF$2:AF$401,$AH37)="","",INDEX('Per Invoice'!AF$2:AF$401,$AH37)))</f>
        <v/>
      </c>
      <c r="AG37" s="7">
        <f>IF($AH37="","",IF(INDEX('Per Invoice'!AG$2:AG$401,$AH37)="","",INDEX('Per Invoice'!AG$2:AG$401,$AH37)))</f>
        <v/>
      </c>
      <c r="AH37" s="16">
        <f>IFERROR(MATCH(Settings!$C$26&amp;"|"&amp;ROWS($AH$2:$AH37),'Per Invoice'!$AI$2:$AI$401,0),"")</f>
        <v/>
      </c>
    </row>
    <row r="38">
      <c r="A38">
        <f>IF($AH38="","",IF(INDEX('Per Invoice'!A$2:A$401,$AH38)="","",INDEX('Per Invoice'!A$2:A$401,$AH38)))</f>
        <v/>
      </c>
      <c r="B38">
        <f>IF($AH38="","",IF(INDEX('Per Invoice'!B$2:B$401,$AH38)="","",INDEX('Per Invoice'!B$2:B$401,$AH38)))</f>
        <v/>
      </c>
      <c r="C38">
        <f>IF($AH38="","",IF(INDEX('Per Invoice'!C$2:C$401,$AH38)="","",INDEX('Per Invoice'!C$2:C$401,$AH38)))</f>
        <v/>
      </c>
      <c r="D38">
        <f>IF($AH38="","",IF(INDEX('Per Invoice'!D$2:D$401,$AH38)="","",INDEX('Per Invoice'!D$2:D$401,$AH38)))</f>
        <v/>
      </c>
      <c r="E38">
        <f>IF($AH38="","",IF(INDEX('Per Invoice'!E$2:E$401,$AH38)="","",INDEX('Per Invoice'!E$2:E$401,$AH38)))</f>
        <v/>
      </c>
      <c r="F38">
        <f>IF($AH38="","",IF(INDEX('Per Invoice'!F$2:F$401,$AH38)="","",INDEX('Per Invoice'!F$2:F$401,$AH38)))</f>
        <v/>
      </c>
      <c r="G38">
        <f>IF($AH38="","",IF(INDEX('Per Invoice'!G$2:G$401,$AH38)="","",INDEX('Per Invoice'!G$2:G$401,$AH38)))</f>
        <v/>
      </c>
      <c r="H38">
        <f>IF($AH38="","",IF(INDEX('Per Invoice'!H$2:H$401,$AH38)="","",INDEX('Per Invoice'!H$2:H$401,$AH38)))</f>
        <v/>
      </c>
      <c r="I38" s="14">
        <f>IF($AH38="","",IF(INDEX('Per Invoice'!I$2:I$401,$AH38)="","",INDEX('Per Invoice'!I$2:I$401,$AH38)))</f>
        <v/>
      </c>
      <c r="J38">
        <f>IF($AH38="","",IF(INDEX('Per Invoice'!J$2:J$401,$AH38)="","",INDEX('Per Invoice'!J$2:J$401,$AH38)))</f>
        <v/>
      </c>
      <c r="K38">
        <f>IF($AH38="","",IF(INDEX('Per Invoice'!K$2:K$401,$AH38)="","",INDEX('Per Invoice'!K$2:K$401,$AH38)))</f>
        <v/>
      </c>
      <c r="L38">
        <f>IF($AH38="","",IF(INDEX('Per Invoice'!L$2:L$401,$AH38)="","",INDEX('Per Invoice'!L$2:L$401,$AH38)))</f>
        <v/>
      </c>
      <c r="M38">
        <f>IF($AH38="","",IF(INDEX('Per Invoice'!M$2:M$401,$AH38)="","",INDEX('Per Invoice'!M$2:M$401,$AH38)))</f>
        <v/>
      </c>
      <c r="N38">
        <f>IF($AH38="","",IF(INDEX('Per Invoice'!N$2:N$401,$AH38)="","",INDEX('Per Invoice'!N$2:N$401,$AH38)))</f>
        <v/>
      </c>
      <c r="O38">
        <f>IF($AH38="","",IF(INDEX('Per Invoice'!O$2:O$401,$AH38)="","",INDEX('Per Invoice'!O$2:O$401,$AH38)))</f>
        <v/>
      </c>
      <c r="P38" s="7">
        <f>IF($AH38="","",IF(INDEX('Per Invoice'!P$2:P$401,$AH38)="","",INDEX('Per Invoice'!P$2:P$401,$AH38)))</f>
        <v/>
      </c>
      <c r="Q38">
        <f>IF($AH38="","",IF(INDEX('Per Invoice'!Q$2:Q$401,$AH38)="","",INDEX('Per Invoice'!Q$2:Q$401,$AH38)))</f>
        <v/>
      </c>
      <c r="R38">
        <f>IF($AH38="","",IF(INDEX('Per Invoice'!R$2:R$401,$AH38)="","",INDEX('Per Invoice'!R$2:R$401,$AH38)))</f>
        <v/>
      </c>
      <c r="S38">
        <f>IF($AH38="","",IF(INDEX('Per Invoice'!S$2:S$401,$AH38)="","",INDEX('Per Invoice'!S$2:S$401,$AH38)))</f>
        <v/>
      </c>
      <c r="T38" s="7">
        <f>IF($AH38="","",IF(INDEX('Per Invoice'!T$2:T$401,$AH38)="","",INDEX('Per Invoice'!T$2:T$401,$AH38)))</f>
        <v/>
      </c>
      <c r="U38" s="7">
        <f>IF($AH38="","",IF(INDEX('Per Invoice'!U$2:U$401,$AH38)="","",INDEX('Per Invoice'!U$2:U$401,$AH38)))</f>
        <v/>
      </c>
      <c r="V38">
        <f>IF($AH38="","",IF(INDEX('Per Invoice'!V$2:V$401,$AH38)="","",INDEX('Per Invoice'!V$2:V$401,$AH38)))</f>
        <v/>
      </c>
      <c r="W38" s="7">
        <f>IF($AH38="","",IF(INDEX('Per Invoice'!W$2:W$401,$AH38)="","",INDEX('Per Invoice'!W$2:W$401,$AH38)))</f>
        <v/>
      </c>
      <c r="X38" s="7">
        <f>IF($AH38="","",IF(INDEX('Per Invoice'!X$2:X$401,$AH38)="","",INDEX('Per Invoice'!X$2:X$401,$AH38)))</f>
        <v/>
      </c>
      <c r="Y38">
        <f>IF($AH38="","",IF(INDEX('Per Invoice'!Y$2:Y$401,$AH38)="","",INDEX('Per Invoice'!Y$2:Y$401,$AH38)))</f>
        <v/>
      </c>
      <c r="Z38" s="7">
        <f>IF($AH38="","",IF(INDEX('Per Invoice'!Z$2:Z$401,$AH38)="","",INDEX('Per Invoice'!Z$2:Z$401,$AH38)))</f>
        <v/>
      </c>
      <c r="AA38" s="7">
        <f>IF($AH38="","",IF(INDEX('Per Invoice'!AA$2:AA$401,$AH38)="","",INDEX('Per Invoice'!AA$2:AA$401,$AH38)))</f>
        <v/>
      </c>
      <c r="AB38" s="7">
        <f>IF($AH38="","",IF(INDEX('Per Invoice'!AB$2:AB$401,$AH38)="","",INDEX('Per Invoice'!AB$2:AB$401,$AH38)))</f>
        <v/>
      </c>
      <c r="AC38" s="7">
        <f>IF($AH38="","",IF(INDEX('Per Invoice'!AC$2:AC$401,$AH38)="","",INDEX('Per Invoice'!AC$2:AC$401,$AH38)))</f>
        <v/>
      </c>
      <c r="AD38" s="7">
        <f>IF($AH38="","",IF(INDEX('Per Invoice'!AD$2:AD$401,$AH38)="","",INDEX('Per Invoice'!AD$2:AD$401,$AH38)))</f>
        <v/>
      </c>
      <c r="AE38" s="7">
        <f>IF($AH38="","",IF(INDEX('Per Invoice'!AE$2:AE$401,$AH38)="","",INDEX('Per Invoice'!AE$2:AE$401,$AH38)))</f>
        <v/>
      </c>
      <c r="AF38">
        <f>IF($AH38="","",IF(INDEX('Per Invoice'!AF$2:AF$401,$AH38)="","",INDEX('Per Invoice'!AF$2:AF$401,$AH38)))</f>
        <v/>
      </c>
      <c r="AG38" s="7">
        <f>IF($AH38="","",IF(INDEX('Per Invoice'!AG$2:AG$401,$AH38)="","",INDEX('Per Invoice'!AG$2:AG$401,$AH38)))</f>
        <v/>
      </c>
      <c r="AH38" s="16">
        <f>IFERROR(MATCH(Settings!$C$26&amp;"|"&amp;ROWS($AH$2:$AH38),'Per Invoice'!$AI$2:$AI$401,0),"")</f>
        <v/>
      </c>
    </row>
    <row r="39">
      <c r="A39">
        <f>IF($AH39="","",IF(INDEX('Per Invoice'!A$2:A$401,$AH39)="","",INDEX('Per Invoice'!A$2:A$401,$AH39)))</f>
        <v/>
      </c>
      <c r="B39">
        <f>IF($AH39="","",IF(INDEX('Per Invoice'!B$2:B$401,$AH39)="","",INDEX('Per Invoice'!B$2:B$401,$AH39)))</f>
        <v/>
      </c>
      <c r="C39">
        <f>IF($AH39="","",IF(INDEX('Per Invoice'!C$2:C$401,$AH39)="","",INDEX('Per Invoice'!C$2:C$401,$AH39)))</f>
        <v/>
      </c>
      <c r="D39">
        <f>IF($AH39="","",IF(INDEX('Per Invoice'!D$2:D$401,$AH39)="","",INDEX('Per Invoice'!D$2:D$401,$AH39)))</f>
        <v/>
      </c>
      <c r="E39">
        <f>IF($AH39="","",IF(INDEX('Per Invoice'!E$2:E$401,$AH39)="","",INDEX('Per Invoice'!E$2:E$401,$AH39)))</f>
        <v/>
      </c>
      <c r="F39">
        <f>IF($AH39="","",IF(INDEX('Per Invoice'!F$2:F$401,$AH39)="","",INDEX('Per Invoice'!F$2:F$401,$AH39)))</f>
        <v/>
      </c>
      <c r="G39">
        <f>IF($AH39="","",IF(INDEX('Per Invoice'!G$2:G$401,$AH39)="","",INDEX('Per Invoice'!G$2:G$401,$AH39)))</f>
        <v/>
      </c>
      <c r="H39">
        <f>IF($AH39="","",IF(INDEX('Per Invoice'!H$2:H$401,$AH39)="","",INDEX('Per Invoice'!H$2:H$401,$AH39)))</f>
        <v/>
      </c>
      <c r="I39" s="14">
        <f>IF($AH39="","",IF(INDEX('Per Invoice'!I$2:I$401,$AH39)="","",INDEX('Per Invoice'!I$2:I$401,$AH39)))</f>
        <v/>
      </c>
      <c r="J39">
        <f>IF($AH39="","",IF(INDEX('Per Invoice'!J$2:J$401,$AH39)="","",INDEX('Per Invoice'!J$2:J$401,$AH39)))</f>
        <v/>
      </c>
      <c r="K39">
        <f>IF($AH39="","",IF(INDEX('Per Invoice'!K$2:K$401,$AH39)="","",INDEX('Per Invoice'!K$2:K$401,$AH39)))</f>
        <v/>
      </c>
      <c r="L39">
        <f>IF($AH39="","",IF(INDEX('Per Invoice'!L$2:L$401,$AH39)="","",INDEX('Per Invoice'!L$2:L$401,$AH39)))</f>
        <v/>
      </c>
      <c r="M39">
        <f>IF($AH39="","",IF(INDEX('Per Invoice'!M$2:M$401,$AH39)="","",INDEX('Per Invoice'!M$2:M$401,$AH39)))</f>
        <v/>
      </c>
      <c r="N39">
        <f>IF($AH39="","",IF(INDEX('Per Invoice'!N$2:N$401,$AH39)="","",INDEX('Per Invoice'!N$2:N$401,$AH39)))</f>
        <v/>
      </c>
      <c r="O39">
        <f>IF($AH39="","",IF(INDEX('Per Invoice'!O$2:O$401,$AH39)="","",INDEX('Per Invoice'!O$2:O$401,$AH39)))</f>
        <v/>
      </c>
      <c r="P39" s="7">
        <f>IF($AH39="","",IF(INDEX('Per Invoice'!P$2:P$401,$AH39)="","",INDEX('Per Invoice'!P$2:P$401,$AH39)))</f>
        <v/>
      </c>
      <c r="Q39">
        <f>IF($AH39="","",IF(INDEX('Per Invoice'!Q$2:Q$401,$AH39)="","",INDEX('Per Invoice'!Q$2:Q$401,$AH39)))</f>
        <v/>
      </c>
      <c r="R39">
        <f>IF($AH39="","",IF(INDEX('Per Invoice'!R$2:R$401,$AH39)="","",INDEX('Per Invoice'!R$2:R$401,$AH39)))</f>
        <v/>
      </c>
      <c r="S39">
        <f>IF($AH39="","",IF(INDEX('Per Invoice'!S$2:S$401,$AH39)="","",INDEX('Per Invoice'!S$2:S$401,$AH39)))</f>
        <v/>
      </c>
      <c r="T39" s="7">
        <f>IF($AH39="","",IF(INDEX('Per Invoice'!T$2:T$401,$AH39)="","",INDEX('Per Invoice'!T$2:T$401,$AH39)))</f>
        <v/>
      </c>
      <c r="U39" s="7">
        <f>IF($AH39="","",IF(INDEX('Per Invoice'!U$2:U$401,$AH39)="","",INDEX('Per Invoice'!U$2:U$401,$AH39)))</f>
        <v/>
      </c>
      <c r="V39">
        <f>IF($AH39="","",IF(INDEX('Per Invoice'!V$2:V$401,$AH39)="","",INDEX('Per Invoice'!V$2:V$401,$AH39)))</f>
        <v/>
      </c>
      <c r="W39" s="7">
        <f>IF($AH39="","",IF(INDEX('Per Invoice'!W$2:W$401,$AH39)="","",INDEX('Per Invoice'!W$2:W$401,$AH39)))</f>
        <v/>
      </c>
      <c r="X39" s="7">
        <f>IF($AH39="","",IF(INDEX('Per Invoice'!X$2:X$401,$AH39)="","",INDEX('Per Invoice'!X$2:X$401,$AH39)))</f>
        <v/>
      </c>
      <c r="Y39">
        <f>IF($AH39="","",IF(INDEX('Per Invoice'!Y$2:Y$401,$AH39)="","",INDEX('Per Invoice'!Y$2:Y$401,$AH39)))</f>
        <v/>
      </c>
      <c r="Z39" s="7">
        <f>IF($AH39="","",IF(INDEX('Per Invoice'!Z$2:Z$401,$AH39)="","",INDEX('Per Invoice'!Z$2:Z$401,$AH39)))</f>
        <v/>
      </c>
      <c r="AA39" s="7">
        <f>IF($AH39="","",IF(INDEX('Per Invoice'!AA$2:AA$401,$AH39)="","",INDEX('Per Invoice'!AA$2:AA$401,$AH39)))</f>
        <v/>
      </c>
      <c r="AB39" s="7">
        <f>IF($AH39="","",IF(INDEX('Per Invoice'!AB$2:AB$401,$AH39)="","",INDEX('Per Invoice'!AB$2:AB$401,$AH39)))</f>
        <v/>
      </c>
      <c r="AC39" s="7">
        <f>IF($AH39="","",IF(INDEX('Per Invoice'!AC$2:AC$401,$AH39)="","",INDEX('Per Invoice'!AC$2:AC$401,$AH39)))</f>
        <v/>
      </c>
      <c r="AD39" s="7">
        <f>IF($AH39="","",IF(INDEX('Per Invoice'!AD$2:AD$401,$AH39)="","",INDEX('Per Invoice'!AD$2:AD$401,$AH39)))</f>
        <v/>
      </c>
      <c r="AE39" s="7">
        <f>IF($AH39="","",IF(INDEX('Per Invoice'!AE$2:AE$401,$AH39)="","",INDEX('Per Invoice'!AE$2:AE$401,$AH39)))</f>
        <v/>
      </c>
      <c r="AF39">
        <f>IF($AH39="","",IF(INDEX('Per Invoice'!AF$2:AF$401,$AH39)="","",INDEX('Per Invoice'!AF$2:AF$401,$AH39)))</f>
        <v/>
      </c>
      <c r="AG39" s="7">
        <f>IF($AH39="","",IF(INDEX('Per Invoice'!AG$2:AG$401,$AH39)="","",INDEX('Per Invoice'!AG$2:AG$401,$AH39)))</f>
        <v/>
      </c>
      <c r="AH39" s="16">
        <f>IFERROR(MATCH(Settings!$C$26&amp;"|"&amp;ROWS($AH$2:$AH39),'Per Invoice'!$AI$2:$AI$401,0),"")</f>
        <v/>
      </c>
    </row>
    <row r="40">
      <c r="A40">
        <f>IF($AH40="","",IF(INDEX('Per Invoice'!A$2:A$401,$AH40)="","",INDEX('Per Invoice'!A$2:A$401,$AH40)))</f>
        <v/>
      </c>
      <c r="B40">
        <f>IF($AH40="","",IF(INDEX('Per Invoice'!B$2:B$401,$AH40)="","",INDEX('Per Invoice'!B$2:B$401,$AH40)))</f>
        <v/>
      </c>
      <c r="C40">
        <f>IF($AH40="","",IF(INDEX('Per Invoice'!C$2:C$401,$AH40)="","",INDEX('Per Invoice'!C$2:C$401,$AH40)))</f>
        <v/>
      </c>
      <c r="D40">
        <f>IF($AH40="","",IF(INDEX('Per Invoice'!D$2:D$401,$AH40)="","",INDEX('Per Invoice'!D$2:D$401,$AH40)))</f>
        <v/>
      </c>
      <c r="E40">
        <f>IF($AH40="","",IF(INDEX('Per Invoice'!E$2:E$401,$AH40)="","",INDEX('Per Invoice'!E$2:E$401,$AH40)))</f>
        <v/>
      </c>
      <c r="F40">
        <f>IF($AH40="","",IF(INDEX('Per Invoice'!F$2:F$401,$AH40)="","",INDEX('Per Invoice'!F$2:F$401,$AH40)))</f>
        <v/>
      </c>
      <c r="G40">
        <f>IF($AH40="","",IF(INDEX('Per Invoice'!G$2:G$401,$AH40)="","",INDEX('Per Invoice'!G$2:G$401,$AH40)))</f>
        <v/>
      </c>
      <c r="H40">
        <f>IF($AH40="","",IF(INDEX('Per Invoice'!H$2:H$401,$AH40)="","",INDEX('Per Invoice'!H$2:H$401,$AH40)))</f>
        <v/>
      </c>
      <c r="I40" s="14">
        <f>IF($AH40="","",IF(INDEX('Per Invoice'!I$2:I$401,$AH40)="","",INDEX('Per Invoice'!I$2:I$401,$AH40)))</f>
        <v/>
      </c>
      <c r="J40">
        <f>IF($AH40="","",IF(INDEX('Per Invoice'!J$2:J$401,$AH40)="","",INDEX('Per Invoice'!J$2:J$401,$AH40)))</f>
        <v/>
      </c>
      <c r="K40">
        <f>IF($AH40="","",IF(INDEX('Per Invoice'!K$2:K$401,$AH40)="","",INDEX('Per Invoice'!K$2:K$401,$AH40)))</f>
        <v/>
      </c>
      <c r="L40">
        <f>IF($AH40="","",IF(INDEX('Per Invoice'!L$2:L$401,$AH40)="","",INDEX('Per Invoice'!L$2:L$401,$AH40)))</f>
        <v/>
      </c>
      <c r="M40">
        <f>IF($AH40="","",IF(INDEX('Per Invoice'!M$2:M$401,$AH40)="","",INDEX('Per Invoice'!M$2:M$401,$AH40)))</f>
        <v/>
      </c>
      <c r="N40">
        <f>IF($AH40="","",IF(INDEX('Per Invoice'!N$2:N$401,$AH40)="","",INDEX('Per Invoice'!N$2:N$401,$AH40)))</f>
        <v/>
      </c>
      <c r="O40">
        <f>IF($AH40="","",IF(INDEX('Per Invoice'!O$2:O$401,$AH40)="","",INDEX('Per Invoice'!O$2:O$401,$AH40)))</f>
        <v/>
      </c>
      <c r="P40" s="7">
        <f>IF($AH40="","",IF(INDEX('Per Invoice'!P$2:P$401,$AH40)="","",INDEX('Per Invoice'!P$2:P$401,$AH40)))</f>
        <v/>
      </c>
      <c r="Q40">
        <f>IF($AH40="","",IF(INDEX('Per Invoice'!Q$2:Q$401,$AH40)="","",INDEX('Per Invoice'!Q$2:Q$401,$AH40)))</f>
        <v/>
      </c>
      <c r="R40">
        <f>IF($AH40="","",IF(INDEX('Per Invoice'!R$2:R$401,$AH40)="","",INDEX('Per Invoice'!R$2:R$401,$AH40)))</f>
        <v/>
      </c>
      <c r="S40">
        <f>IF($AH40="","",IF(INDEX('Per Invoice'!S$2:S$401,$AH40)="","",INDEX('Per Invoice'!S$2:S$401,$AH40)))</f>
        <v/>
      </c>
      <c r="T40" s="7">
        <f>IF($AH40="","",IF(INDEX('Per Invoice'!T$2:T$401,$AH40)="","",INDEX('Per Invoice'!T$2:T$401,$AH40)))</f>
        <v/>
      </c>
      <c r="U40" s="7">
        <f>IF($AH40="","",IF(INDEX('Per Invoice'!U$2:U$401,$AH40)="","",INDEX('Per Invoice'!U$2:U$401,$AH40)))</f>
        <v/>
      </c>
      <c r="V40">
        <f>IF($AH40="","",IF(INDEX('Per Invoice'!V$2:V$401,$AH40)="","",INDEX('Per Invoice'!V$2:V$401,$AH40)))</f>
        <v/>
      </c>
      <c r="W40" s="7">
        <f>IF($AH40="","",IF(INDEX('Per Invoice'!W$2:W$401,$AH40)="","",INDEX('Per Invoice'!W$2:W$401,$AH40)))</f>
        <v/>
      </c>
      <c r="X40" s="7">
        <f>IF($AH40="","",IF(INDEX('Per Invoice'!X$2:X$401,$AH40)="","",INDEX('Per Invoice'!X$2:X$401,$AH40)))</f>
        <v/>
      </c>
      <c r="Y40">
        <f>IF($AH40="","",IF(INDEX('Per Invoice'!Y$2:Y$401,$AH40)="","",INDEX('Per Invoice'!Y$2:Y$401,$AH40)))</f>
        <v/>
      </c>
      <c r="Z40" s="7">
        <f>IF($AH40="","",IF(INDEX('Per Invoice'!Z$2:Z$401,$AH40)="","",INDEX('Per Invoice'!Z$2:Z$401,$AH40)))</f>
        <v/>
      </c>
      <c r="AA40" s="7">
        <f>IF($AH40="","",IF(INDEX('Per Invoice'!AA$2:AA$401,$AH40)="","",INDEX('Per Invoice'!AA$2:AA$401,$AH40)))</f>
        <v/>
      </c>
      <c r="AB40" s="7">
        <f>IF($AH40="","",IF(INDEX('Per Invoice'!AB$2:AB$401,$AH40)="","",INDEX('Per Invoice'!AB$2:AB$401,$AH40)))</f>
        <v/>
      </c>
      <c r="AC40" s="7">
        <f>IF($AH40="","",IF(INDEX('Per Invoice'!AC$2:AC$401,$AH40)="","",INDEX('Per Invoice'!AC$2:AC$401,$AH40)))</f>
        <v/>
      </c>
      <c r="AD40" s="7">
        <f>IF($AH40="","",IF(INDEX('Per Invoice'!AD$2:AD$401,$AH40)="","",INDEX('Per Invoice'!AD$2:AD$401,$AH40)))</f>
        <v/>
      </c>
      <c r="AE40" s="7">
        <f>IF($AH40="","",IF(INDEX('Per Invoice'!AE$2:AE$401,$AH40)="","",INDEX('Per Invoice'!AE$2:AE$401,$AH40)))</f>
        <v/>
      </c>
      <c r="AF40">
        <f>IF($AH40="","",IF(INDEX('Per Invoice'!AF$2:AF$401,$AH40)="","",INDEX('Per Invoice'!AF$2:AF$401,$AH40)))</f>
        <v/>
      </c>
      <c r="AG40" s="7">
        <f>IF($AH40="","",IF(INDEX('Per Invoice'!AG$2:AG$401,$AH40)="","",INDEX('Per Invoice'!AG$2:AG$401,$AH40)))</f>
        <v/>
      </c>
      <c r="AH40" s="16">
        <f>IFERROR(MATCH(Settings!$C$26&amp;"|"&amp;ROWS($AH$2:$AH40),'Per Invoice'!$AI$2:$AI$401,0),"")</f>
        <v/>
      </c>
    </row>
    <row r="41">
      <c r="A41">
        <f>IF($AH41="","",IF(INDEX('Per Invoice'!A$2:A$401,$AH41)="","",INDEX('Per Invoice'!A$2:A$401,$AH41)))</f>
        <v/>
      </c>
      <c r="B41">
        <f>IF($AH41="","",IF(INDEX('Per Invoice'!B$2:B$401,$AH41)="","",INDEX('Per Invoice'!B$2:B$401,$AH41)))</f>
        <v/>
      </c>
      <c r="C41">
        <f>IF($AH41="","",IF(INDEX('Per Invoice'!C$2:C$401,$AH41)="","",INDEX('Per Invoice'!C$2:C$401,$AH41)))</f>
        <v/>
      </c>
      <c r="D41">
        <f>IF($AH41="","",IF(INDEX('Per Invoice'!D$2:D$401,$AH41)="","",INDEX('Per Invoice'!D$2:D$401,$AH41)))</f>
        <v/>
      </c>
      <c r="E41">
        <f>IF($AH41="","",IF(INDEX('Per Invoice'!E$2:E$401,$AH41)="","",INDEX('Per Invoice'!E$2:E$401,$AH41)))</f>
        <v/>
      </c>
      <c r="F41">
        <f>IF($AH41="","",IF(INDEX('Per Invoice'!F$2:F$401,$AH41)="","",INDEX('Per Invoice'!F$2:F$401,$AH41)))</f>
        <v/>
      </c>
      <c r="G41">
        <f>IF($AH41="","",IF(INDEX('Per Invoice'!G$2:G$401,$AH41)="","",INDEX('Per Invoice'!G$2:G$401,$AH41)))</f>
        <v/>
      </c>
      <c r="H41">
        <f>IF($AH41="","",IF(INDEX('Per Invoice'!H$2:H$401,$AH41)="","",INDEX('Per Invoice'!H$2:H$401,$AH41)))</f>
        <v/>
      </c>
      <c r="I41" s="14">
        <f>IF($AH41="","",IF(INDEX('Per Invoice'!I$2:I$401,$AH41)="","",INDEX('Per Invoice'!I$2:I$401,$AH41)))</f>
        <v/>
      </c>
      <c r="J41">
        <f>IF($AH41="","",IF(INDEX('Per Invoice'!J$2:J$401,$AH41)="","",INDEX('Per Invoice'!J$2:J$401,$AH41)))</f>
        <v/>
      </c>
      <c r="K41">
        <f>IF($AH41="","",IF(INDEX('Per Invoice'!K$2:K$401,$AH41)="","",INDEX('Per Invoice'!K$2:K$401,$AH41)))</f>
        <v/>
      </c>
      <c r="L41">
        <f>IF($AH41="","",IF(INDEX('Per Invoice'!L$2:L$401,$AH41)="","",INDEX('Per Invoice'!L$2:L$401,$AH41)))</f>
        <v/>
      </c>
      <c r="M41">
        <f>IF($AH41="","",IF(INDEX('Per Invoice'!M$2:M$401,$AH41)="","",INDEX('Per Invoice'!M$2:M$401,$AH41)))</f>
        <v/>
      </c>
      <c r="N41">
        <f>IF($AH41="","",IF(INDEX('Per Invoice'!N$2:N$401,$AH41)="","",INDEX('Per Invoice'!N$2:N$401,$AH41)))</f>
        <v/>
      </c>
      <c r="O41">
        <f>IF($AH41="","",IF(INDEX('Per Invoice'!O$2:O$401,$AH41)="","",INDEX('Per Invoice'!O$2:O$401,$AH41)))</f>
        <v/>
      </c>
      <c r="P41" s="7">
        <f>IF($AH41="","",IF(INDEX('Per Invoice'!P$2:P$401,$AH41)="","",INDEX('Per Invoice'!P$2:P$401,$AH41)))</f>
        <v/>
      </c>
      <c r="Q41">
        <f>IF($AH41="","",IF(INDEX('Per Invoice'!Q$2:Q$401,$AH41)="","",INDEX('Per Invoice'!Q$2:Q$401,$AH41)))</f>
        <v/>
      </c>
      <c r="R41">
        <f>IF($AH41="","",IF(INDEX('Per Invoice'!R$2:R$401,$AH41)="","",INDEX('Per Invoice'!R$2:R$401,$AH41)))</f>
        <v/>
      </c>
      <c r="S41">
        <f>IF($AH41="","",IF(INDEX('Per Invoice'!S$2:S$401,$AH41)="","",INDEX('Per Invoice'!S$2:S$401,$AH41)))</f>
        <v/>
      </c>
      <c r="T41" s="7">
        <f>IF($AH41="","",IF(INDEX('Per Invoice'!T$2:T$401,$AH41)="","",INDEX('Per Invoice'!T$2:T$401,$AH41)))</f>
        <v/>
      </c>
      <c r="U41" s="7">
        <f>IF($AH41="","",IF(INDEX('Per Invoice'!U$2:U$401,$AH41)="","",INDEX('Per Invoice'!U$2:U$401,$AH41)))</f>
        <v/>
      </c>
      <c r="V41">
        <f>IF($AH41="","",IF(INDEX('Per Invoice'!V$2:V$401,$AH41)="","",INDEX('Per Invoice'!V$2:V$401,$AH41)))</f>
        <v/>
      </c>
      <c r="W41" s="7">
        <f>IF($AH41="","",IF(INDEX('Per Invoice'!W$2:W$401,$AH41)="","",INDEX('Per Invoice'!W$2:W$401,$AH41)))</f>
        <v/>
      </c>
      <c r="X41" s="7">
        <f>IF($AH41="","",IF(INDEX('Per Invoice'!X$2:X$401,$AH41)="","",INDEX('Per Invoice'!X$2:X$401,$AH41)))</f>
        <v/>
      </c>
      <c r="Y41">
        <f>IF($AH41="","",IF(INDEX('Per Invoice'!Y$2:Y$401,$AH41)="","",INDEX('Per Invoice'!Y$2:Y$401,$AH41)))</f>
        <v/>
      </c>
      <c r="Z41" s="7">
        <f>IF($AH41="","",IF(INDEX('Per Invoice'!Z$2:Z$401,$AH41)="","",INDEX('Per Invoice'!Z$2:Z$401,$AH41)))</f>
        <v/>
      </c>
      <c r="AA41" s="7">
        <f>IF($AH41="","",IF(INDEX('Per Invoice'!AA$2:AA$401,$AH41)="","",INDEX('Per Invoice'!AA$2:AA$401,$AH41)))</f>
        <v/>
      </c>
      <c r="AB41" s="7">
        <f>IF($AH41="","",IF(INDEX('Per Invoice'!AB$2:AB$401,$AH41)="","",INDEX('Per Invoice'!AB$2:AB$401,$AH41)))</f>
        <v/>
      </c>
      <c r="AC41" s="7">
        <f>IF($AH41="","",IF(INDEX('Per Invoice'!AC$2:AC$401,$AH41)="","",INDEX('Per Invoice'!AC$2:AC$401,$AH41)))</f>
        <v/>
      </c>
      <c r="AD41" s="7">
        <f>IF($AH41="","",IF(INDEX('Per Invoice'!AD$2:AD$401,$AH41)="","",INDEX('Per Invoice'!AD$2:AD$401,$AH41)))</f>
        <v/>
      </c>
      <c r="AE41" s="7">
        <f>IF($AH41="","",IF(INDEX('Per Invoice'!AE$2:AE$401,$AH41)="","",INDEX('Per Invoice'!AE$2:AE$401,$AH41)))</f>
        <v/>
      </c>
      <c r="AF41">
        <f>IF($AH41="","",IF(INDEX('Per Invoice'!AF$2:AF$401,$AH41)="","",INDEX('Per Invoice'!AF$2:AF$401,$AH41)))</f>
        <v/>
      </c>
      <c r="AG41" s="7">
        <f>IF($AH41="","",IF(INDEX('Per Invoice'!AG$2:AG$401,$AH41)="","",INDEX('Per Invoice'!AG$2:AG$401,$AH41)))</f>
        <v/>
      </c>
      <c r="AH41" s="16">
        <f>IFERROR(MATCH(Settings!$C$26&amp;"|"&amp;ROWS($AH$2:$AH41),'Per Invoice'!$AI$2:$AI$401,0),"")</f>
        <v/>
      </c>
    </row>
    <row r="42">
      <c r="A42">
        <f>IF($AH42="","",IF(INDEX('Per Invoice'!A$2:A$401,$AH42)="","",INDEX('Per Invoice'!A$2:A$401,$AH42)))</f>
        <v/>
      </c>
      <c r="B42">
        <f>IF($AH42="","",IF(INDEX('Per Invoice'!B$2:B$401,$AH42)="","",INDEX('Per Invoice'!B$2:B$401,$AH42)))</f>
        <v/>
      </c>
      <c r="C42">
        <f>IF($AH42="","",IF(INDEX('Per Invoice'!C$2:C$401,$AH42)="","",INDEX('Per Invoice'!C$2:C$401,$AH42)))</f>
        <v/>
      </c>
      <c r="D42">
        <f>IF($AH42="","",IF(INDEX('Per Invoice'!D$2:D$401,$AH42)="","",INDEX('Per Invoice'!D$2:D$401,$AH42)))</f>
        <v/>
      </c>
      <c r="E42">
        <f>IF($AH42="","",IF(INDEX('Per Invoice'!E$2:E$401,$AH42)="","",INDEX('Per Invoice'!E$2:E$401,$AH42)))</f>
        <v/>
      </c>
      <c r="F42">
        <f>IF($AH42="","",IF(INDEX('Per Invoice'!F$2:F$401,$AH42)="","",INDEX('Per Invoice'!F$2:F$401,$AH42)))</f>
        <v/>
      </c>
      <c r="G42">
        <f>IF($AH42="","",IF(INDEX('Per Invoice'!G$2:G$401,$AH42)="","",INDEX('Per Invoice'!G$2:G$401,$AH42)))</f>
        <v/>
      </c>
      <c r="H42">
        <f>IF($AH42="","",IF(INDEX('Per Invoice'!H$2:H$401,$AH42)="","",INDEX('Per Invoice'!H$2:H$401,$AH42)))</f>
        <v/>
      </c>
      <c r="I42" s="14">
        <f>IF($AH42="","",IF(INDEX('Per Invoice'!I$2:I$401,$AH42)="","",INDEX('Per Invoice'!I$2:I$401,$AH42)))</f>
        <v/>
      </c>
      <c r="J42">
        <f>IF($AH42="","",IF(INDEX('Per Invoice'!J$2:J$401,$AH42)="","",INDEX('Per Invoice'!J$2:J$401,$AH42)))</f>
        <v/>
      </c>
      <c r="K42">
        <f>IF($AH42="","",IF(INDEX('Per Invoice'!K$2:K$401,$AH42)="","",INDEX('Per Invoice'!K$2:K$401,$AH42)))</f>
        <v/>
      </c>
      <c r="L42">
        <f>IF($AH42="","",IF(INDEX('Per Invoice'!L$2:L$401,$AH42)="","",INDEX('Per Invoice'!L$2:L$401,$AH42)))</f>
        <v/>
      </c>
      <c r="M42">
        <f>IF($AH42="","",IF(INDEX('Per Invoice'!M$2:M$401,$AH42)="","",INDEX('Per Invoice'!M$2:M$401,$AH42)))</f>
        <v/>
      </c>
      <c r="N42">
        <f>IF($AH42="","",IF(INDEX('Per Invoice'!N$2:N$401,$AH42)="","",INDEX('Per Invoice'!N$2:N$401,$AH42)))</f>
        <v/>
      </c>
      <c r="O42">
        <f>IF($AH42="","",IF(INDEX('Per Invoice'!O$2:O$401,$AH42)="","",INDEX('Per Invoice'!O$2:O$401,$AH42)))</f>
        <v/>
      </c>
      <c r="P42" s="7">
        <f>IF($AH42="","",IF(INDEX('Per Invoice'!P$2:P$401,$AH42)="","",INDEX('Per Invoice'!P$2:P$401,$AH42)))</f>
        <v/>
      </c>
      <c r="Q42">
        <f>IF($AH42="","",IF(INDEX('Per Invoice'!Q$2:Q$401,$AH42)="","",INDEX('Per Invoice'!Q$2:Q$401,$AH42)))</f>
        <v/>
      </c>
      <c r="R42">
        <f>IF($AH42="","",IF(INDEX('Per Invoice'!R$2:R$401,$AH42)="","",INDEX('Per Invoice'!R$2:R$401,$AH42)))</f>
        <v/>
      </c>
      <c r="S42">
        <f>IF($AH42="","",IF(INDEX('Per Invoice'!S$2:S$401,$AH42)="","",INDEX('Per Invoice'!S$2:S$401,$AH42)))</f>
        <v/>
      </c>
      <c r="T42" s="7">
        <f>IF($AH42="","",IF(INDEX('Per Invoice'!T$2:T$401,$AH42)="","",INDEX('Per Invoice'!T$2:T$401,$AH42)))</f>
        <v/>
      </c>
      <c r="U42" s="7">
        <f>IF($AH42="","",IF(INDEX('Per Invoice'!U$2:U$401,$AH42)="","",INDEX('Per Invoice'!U$2:U$401,$AH42)))</f>
        <v/>
      </c>
      <c r="V42">
        <f>IF($AH42="","",IF(INDEX('Per Invoice'!V$2:V$401,$AH42)="","",INDEX('Per Invoice'!V$2:V$401,$AH42)))</f>
        <v/>
      </c>
      <c r="W42" s="7">
        <f>IF($AH42="","",IF(INDEX('Per Invoice'!W$2:W$401,$AH42)="","",INDEX('Per Invoice'!W$2:W$401,$AH42)))</f>
        <v/>
      </c>
      <c r="X42" s="7">
        <f>IF($AH42="","",IF(INDEX('Per Invoice'!X$2:X$401,$AH42)="","",INDEX('Per Invoice'!X$2:X$401,$AH42)))</f>
        <v/>
      </c>
      <c r="Y42">
        <f>IF($AH42="","",IF(INDEX('Per Invoice'!Y$2:Y$401,$AH42)="","",INDEX('Per Invoice'!Y$2:Y$401,$AH42)))</f>
        <v/>
      </c>
      <c r="Z42" s="7">
        <f>IF($AH42="","",IF(INDEX('Per Invoice'!Z$2:Z$401,$AH42)="","",INDEX('Per Invoice'!Z$2:Z$401,$AH42)))</f>
        <v/>
      </c>
      <c r="AA42" s="7">
        <f>IF($AH42="","",IF(INDEX('Per Invoice'!AA$2:AA$401,$AH42)="","",INDEX('Per Invoice'!AA$2:AA$401,$AH42)))</f>
        <v/>
      </c>
      <c r="AB42" s="7">
        <f>IF($AH42="","",IF(INDEX('Per Invoice'!AB$2:AB$401,$AH42)="","",INDEX('Per Invoice'!AB$2:AB$401,$AH42)))</f>
        <v/>
      </c>
      <c r="AC42" s="7">
        <f>IF($AH42="","",IF(INDEX('Per Invoice'!AC$2:AC$401,$AH42)="","",INDEX('Per Invoice'!AC$2:AC$401,$AH42)))</f>
        <v/>
      </c>
      <c r="AD42" s="7">
        <f>IF($AH42="","",IF(INDEX('Per Invoice'!AD$2:AD$401,$AH42)="","",INDEX('Per Invoice'!AD$2:AD$401,$AH42)))</f>
        <v/>
      </c>
      <c r="AE42" s="7">
        <f>IF($AH42="","",IF(INDEX('Per Invoice'!AE$2:AE$401,$AH42)="","",INDEX('Per Invoice'!AE$2:AE$401,$AH42)))</f>
        <v/>
      </c>
      <c r="AF42">
        <f>IF($AH42="","",IF(INDEX('Per Invoice'!AF$2:AF$401,$AH42)="","",INDEX('Per Invoice'!AF$2:AF$401,$AH42)))</f>
        <v/>
      </c>
      <c r="AG42" s="7">
        <f>IF($AH42="","",IF(INDEX('Per Invoice'!AG$2:AG$401,$AH42)="","",INDEX('Per Invoice'!AG$2:AG$401,$AH42)))</f>
        <v/>
      </c>
      <c r="AH42" s="16">
        <f>IFERROR(MATCH(Settings!$C$26&amp;"|"&amp;ROWS($AH$2:$AH42),'Per Invoice'!$AI$2:$AI$401,0),"")</f>
        <v/>
      </c>
    </row>
    <row r="43">
      <c r="A43">
        <f>IF($AH43="","",IF(INDEX('Per Invoice'!A$2:A$401,$AH43)="","",INDEX('Per Invoice'!A$2:A$401,$AH43)))</f>
        <v/>
      </c>
      <c r="B43">
        <f>IF($AH43="","",IF(INDEX('Per Invoice'!B$2:B$401,$AH43)="","",INDEX('Per Invoice'!B$2:B$401,$AH43)))</f>
        <v/>
      </c>
      <c r="C43">
        <f>IF($AH43="","",IF(INDEX('Per Invoice'!C$2:C$401,$AH43)="","",INDEX('Per Invoice'!C$2:C$401,$AH43)))</f>
        <v/>
      </c>
      <c r="D43">
        <f>IF($AH43="","",IF(INDEX('Per Invoice'!D$2:D$401,$AH43)="","",INDEX('Per Invoice'!D$2:D$401,$AH43)))</f>
        <v/>
      </c>
      <c r="E43">
        <f>IF($AH43="","",IF(INDEX('Per Invoice'!E$2:E$401,$AH43)="","",INDEX('Per Invoice'!E$2:E$401,$AH43)))</f>
        <v/>
      </c>
      <c r="F43">
        <f>IF($AH43="","",IF(INDEX('Per Invoice'!F$2:F$401,$AH43)="","",INDEX('Per Invoice'!F$2:F$401,$AH43)))</f>
        <v/>
      </c>
      <c r="G43">
        <f>IF($AH43="","",IF(INDEX('Per Invoice'!G$2:G$401,$AH43)="","",INDEX('Per Invoice'!G$2:G$401,$AH43)))</f>
        <v/>
      </c>
      <c r="H43">
        <f>IF($AH43="","",IF(INDEX('Per Invoice'!H$2:H$401,$AH43)="","",INDEX('Per Invoice'!H$2:H$401,$AH43)))</f>
        <v/>
      </c>
      <c r="I43" s="14">
        <f>IF($AH43="","",IF(INDEX('Per Invoice'!I$2:I$401,$AH43)="","",INDEX('Per Invoice'!I$2:I$401,$AH43)))</f>
        <v/>
      </c>
      <c r="J43">
        <f>IF($AH43="","",IF(INDEX('Per Invoice'!J$2:J$401,$AH43)="","",INDEX('Per Invoice'!J$2:J$401,$AH43)))</f>
        <v/>
      </c>
      <c r="K43">
        <f>IF($AH43="","",IF(INDEX('Per Invoice'!K$2:K$401,$AH43)="","",INDEX('Per Invoice'!K$2:K$401,$AH43)))</f>
        <v/>
      </c>
      <c r="L43">
        <f>IF($AH43="","",IF(INDEX('Per Invoice'!L$2:L$401,$AH43)="","",INDEX('Per Invoice'!L$2:L$401,$AH43)))</f>
        <v/>
      </c>
      <c r="M43">
        <f>IF($AH43="","",IF(INDEX('Per Invoice'!M$2:M$401,$AH43)="","",INDEX('Per Invoice'!M$2:M$401,$AH43)))</f>
        <v/>
      </c>
      <c r="N43">
        <f>IF($AH43="","",IF(INDEX('Per Invoice'!N$2:N$401,$AH43)="","",INDEX('Per Invoice'!N$2:N$401,$AH43)))</f>
        <v/>
      </c>
      <c r="O43">
        <f>IF($AH43="","",IF(INDEX('Per Invoice'!O$2:O$401,$AH43)="","",INDEX('Per Invoice'!O$2:O$401,$AH43)))</f>
        <v/>
      </c>
      <c r="P43" s="7">
        <f>IF($AH43="","",IF(INDEX('Per Invoice'!P$2:P$401,$AH43)="","",INDEX('Per Invoice'!P$2:P$401,$AH43)))</f>
        <v/>
      </c>
      <c r="Q43">
        <f>IF($AH43="","",IF(INDEX('Per Invoice'!Q$2:Q$401,$AH43)="","",INDEX('Per Invoice'!Q$2:Q$401,$AH43)))</f>
        <v/>
      </c>
      <c r="R43">
        <f>IF($AH43="","",IF(INDEX('Per Invoice'!R$2:R$401,$AH43)="","",INDEX('Per Invoice'!R$2:R$401,$AH43)))</f>
        <v/>
      </c>
      <c r="S43">
        <f>IF($AH43="","",IF(INDEX('Per Invoice'!S$2:S$401,$AH43)="","",INDEX('Per Invoice'!S$2:S$401,$AH43)))</f>
        <v/>
      </c>
      <c r="T43" s="7">
        <f>IF($AH43="","",IF(INDEX('Per Invoice'!T$2:T$401,$AH43)="","",INDEX('Per Invoice'!T$2:T$401,$AH43)))</f>
        <v/>
      </c>
      <c r="U43" s="7">
        <f>IF($AH43="","",IF(INDEX('Per Invoice'!U$2:U$401,$AH43)="","",INDEX('Per Invoice'!U$2:U$401,$AH43)))</f>
        <v/>
      </c>
      <c r="V43">
        <f>IF($AH43="","",IF(INDEX('Per Invoice'!V$2:V$401,$AH43)="","",INDEX('Per Invoice'!V$2:V$401,$AH43)))</f>
        <v/>
      </c>
      <c r="W43" s="7">
        <f>IF($AH43="","",IF(INDEX('Per Invoice'!W$2:W$401,$AH43)="","",INDEX('Per Invoice'!W$2:W$401,$AH43)))</f>
        <v/>
      </c>
      <c r="X43" s="7">
        <f>IF($AH43="","",IF(INDEX('Per Invoice'!X$2:X$401,$AH43)="","",INDEX('Per Invoice'!X$2:X$401,$AH43)))</f>
        <v/>
      </c>
      <c r="Y43">
        <f>IF($AH43="","",IF(INDEX('Per Invoice'!Y$2:Y$401,$AH43)="","",INDEX('Per Invoice'!Y$2:Y$401,$AH43)))</f>
        <v/>
      </c>
      <c r="Z43" s="7">
        <f>IF($AH43="","",IF(INDEX('Per Invoice'!Z$2:Z$401,$AH43)="","",INDEX('Per Invoice'!Z$2:Z$401,$AH43)))</f>
        <v/>
      </c>
      <c r="AA43" s="7">
        <f>IF($AH43="","",IF(INDEX('Per Invoice'!AA$2:AA$401,$AH43)="","",INDEX('Per Invoice'!AA$2:AA$401,$AH43)))</f>
        <v/>
      </c>
      <c r="AB43" s="7">
        <f>IF($AH43="","",IF(INDEX('Per Invoice'!AB$2:AB$401,$AH43)="","",INDEX('Per Invoice'!AB$2:AB$401,$AH43)))</f>
        <v/>
      </c>
      <c r="AC43" s="7">
        <f>IF($AH43="","",IF(INDEX('Per Invoice'!AC$2:AC$401,$AH43)="","",INDEX('Per Invoice'!AC$2:AC$401,$AH43)))</f>
        <v/>
      </c>
      <c r="AD43" s="7">
        <f>IF($AH43="","",IF(INDEX('Per Invoice'!AD$2:AD$401,$AH43)="","",INDEX('Per Invoice'!AD$2:AD$401,$AH43)))</f>
        <v/>
      </c>
      <c r="AE43" s="7">
        <f>IF($AH43="","",IF(INDEX('Per Invoice'!AE$2:AE$401,$AH43)="","",INDEX('Per Invoice'!AE$2:AE$401,$AH43)))</f>
        <v/>
      </c>
      <c r="AF43">
        <f>IF($AH43="","",IF(INDEX('Per Invoice'!AF$2:AF$401,$AH43)="","",INDEX('Per Invoice'!AF$2:AF$401,$AH43)))</f>
        <v/>
      </c>
      <c r="AG43" s="7">
        <f>IF($AH43="","",IF(INDEX('Per Invoice'!AG$2:AG$401,$AH43)="","",INDEX('Per Invoice'!AG$2:AG$401,$AH43)))</f>
        <v/>
      </c>
      <c r="AH43" s="16">
        <f>IFERROR(MATCH(Settings!$C$26&amp;"|"&amp;ROWS($AH$2:$AH43),'Per Invoice'!$AI$2:$AI$401,0),"")</f>
        <v/>
      </c>
    </row>
    <row r="44">
      <c r="A44">
        <f>IF($AH44="","",IF(INDEX('Per Invoice'!A$2:A$401,$AH44)="","",INDEX('Per Invoice'!A$2:A$401,$AH44)))</f>
        <v/>
      </c>
      <c r="B44">
        <f>IF($AH44="","",IF(INDEX('Per Invoice'!B$2:B$401,$AH44)="","",INDEX('Per Invoice'!B$2:B$401,$AH44)))</f>
        <v/>
      </c>
      <c r="C44">
        <f>IF($AH44="","",IF(INDEX('Per Invoice'!C$2:C$401,$AH44)="","",INDEX('Per Invoice'!C$2:C$401,$AH44)))</f>
        <v/>
      </c>
      <c r="D44">
        <f>IF($AH44="","",IF(INDEX('Per Invoice'!D$2:D$401,$AH44)="","",INDEX('Per Invoice'!D$2:D$401,$AH44)))</f>
        <v/>
      </c>
      <c r="E44">
        <f>IF($AH44="","",IF(INDEX('Per Invoice'!E$2:E$401,$AH44)="","",INDEX('Per Invoice'!E$2:E$401,$AH44)))</f>
        <v/>
      </c>
      <c r="F44">
        <f>IF($AH44="","",IF(INDEX('Per Invoice'!F$2:F$401,$AH44)="","",INDEX('Per Invoice'!F$2:F$401,$AH44)))</f>
        <v/>
      </c>
      <c r="G44">
        <f>IF($AH44="","",IF(INDEX('Per Invoice'!G$2:G$401,$AH44)="","",INDEX('Per Invoice'!G$2:G$401,$AH44)))</f>
        <v/>
      </c>
      <c r="H44">
        <f>IF($AH44="","",IF(INDEX('Per Invoice'!H$2:H$401,$AH44)="","",INDEX('Per Invoice'!H$2:H$401,$AH44)))</f>
        <v/>
      </c>
      <c r="I44" s="14">
        <f>IF($AH44="","",IF(INDEX('Per Invoice'!I$2:I$401,$AH44)="","",INDEX('Per Invoice'!I$2:I$401,$AH44)))</f>
        <v/>
      </c>
      <c r="J44">
        <f>IF($AH44="","",IF(INDEX('Per Invoice'!J$2:J$401,$AH44)="","",INDEX('Per Invoice'!J$2:J$401,$AH44)))</f>
        <v/>
      </c>
      <c r="K44">
        <f>IF($AH44="","",IF(INDEX('Per Invoice'!K$2:K$401,$AH44)="","",INDEX('Per Invoice'!K$2:K$401,$AH44)))</f>
        <v/>
      </c>
      <c r="L44">
        <f>IF($AH44="","",IF(INDEX('Per Invoice'!L$2:L$401,$AH44)="","",INDEX('Per Invoice'!L$2:L$401,$AH44)))</f>
        <v/>
      </c>
      <c r="M44">
        <f>IF($AH44="","",IF(INDEX('Per Invoice'!M$2:M$401,$AH44)="","",INDEX('Per Invoice'!M$2:M$401,$AH44)))</f>
        <v/>
      </c>
      <c r="N44">
        <f>IF($AH44="","",IF(INDEX('Per Invoice'!N$2:N$401,$AH44)="","",INDEX('Per Invoice'!N$2:N$401,$AH44)))</f>
        <v/>
      </c>
      <c r="O44">
        <f>IF($AH44="","",IF(INDEX('Per Invoice'!O$2:O$401,$AH44)="","",INDEX('Per Invoice'!O$2:O$401,$AH44)))</f>
        <v/>
      </c>
      <c r="P44" s="7">
        <f>IF($AH44="","",IF(INDEX('Per Invoice'!P$2:P$401,$AH44)="","",INDEX('Per Invoice'!P$2:P$401,$AH44)))</f>
        <v/>
      </c>
      <c r="Q44">
        <f>IF($AH44="","",IF(INDEX('Per Invoice'!Q$2:Q$401,$AH44)="","",INDEX('Per Invoice'!Q$2:Q$401,$AH44)))</f>
        <v/>
      </c>
      <c r="R44">
        <f>IF($AH44="","",IF(INDEX('Per Invoice'!R$2:R$401,$AH44)="","",INDEX('Per Invoice'!R$2:R$401,$AH44)))</f>
        <v/>
      </c>
      <c r="S44">
        <f>IF($AH44="","",IF(INDEX('Per Invoice'!S$2:S$401,$AH44)="","",INDEX('Per Invoice'!S$2:S$401,$AH44)))</f>
        <v/>
      </c>
      <c r="T44" s="7">
        <f>IF($AH44="","",IF(INDEX('Per Invoice'!T$2:T$401,$AH44)="","",INDEX('Per Invoice'!T$2:T$401,$AH44)))</f>
        <v/>
      </c>
      <c r="U44" s="7">
        <f>IF($AH44="","",IF(INDEX('Per Invoice'!U$2:U$401,$AH44)="","",INDEX('Per Invoice'!U$2:U$401,$AH44)))</f>
        <v/>
      </c>
      <c r="V44">
        <f>IF($AH44="","",IF(INDEX('Per Invoice'!V$2:V$401,$AH44)="","",INDEX('Per Invoice'!V$2:V$401,$AH44)))</f>
        <v/>
      </c>
      <c r="W44" s="7">
        <f>IF($AH44="","",IF(INDEX('Per Invoice'!W$2:W$401,$AH44)="","",INDEX('Per Invoice'!W$2:W$401,$AH44)))</f>
        <v/>
      </c>
      <c r="X44" s="7">
        <f>IF($AH44="","",IF(INDEX('Per Invoice'!X$2:X$401,$AH44)="","",INDEX('Per Invoice'!X$2:X$401,$AH44)))</f>
        <v/>
      </c>
      <c r="Y44">
        <f>IF($AH44="","",IF(INDEX('Per Invoice'!Y$2:Y$401,$AH44)="","",INDEX('Per Invoice'!Y$2:Y$401,$AH44)))</f>
        <v/>
      </c>
      <c r="Z44" s="7">
        <f>IF($AH44="","",IF(INDEX('Per Invoice'!Z$2:Z$401,$AH44)="","",INDEX('Per Invoice'!Z$2:Z$401,$AH44)))</f>
        <v/>
      </c>
      <c r="AA44" s="7">
        <f>IF($AH44="","",IF(INDEX('Per Invoice'!AA$2:AA$401,$AH44)="","",INDEX('Per Invoice'!AA$2:AA$401,$AH44)))</f>
        <v/>
      </c>
      <c r="AB44" s="7">
        <f>IF($AH44="","",IF(INDEX('Per Invoice'!AB$2:AB$401,$AH44)="","",INDEX('Per Invoice'!AB$2:AB$401,$AH44)))</f>
        <v/>
      </c>
      <c r="AC44" s="7">
        <f>IF($AH44="","",IF(INDEX('Per Invoice'!AC$2:AC$401,$AH44)="","",INDEX('Per Invoice'!AC$2:AC$401,$AH44)))</f>
        <v/>
      </c>
      <c r="AD44" s="7">
        <f>IF($AH44="","",IF(INDEX('Per Invoice'!AD$2:AD$401,$AH44)="","",INDEX('Per Invoice'!AD$2:AD$401,$AH44)))</f>
        <v/>
      </c>
      <c r="AE44" s="7">
        <f>IF($AH44="","",IF(INDEX('Per Invoice'!AE$2:AE$401,$AH44)="","",INDEX('Per Invoice'!AE$2:AE$401,$AH44)))</f>
        <v/>
      </c>
      <c r="AF44">
        <f>IF($AH44="","",IF(INDEX('Per Invoice'!AF$2:AF$401,$AH44)="","",INDEX('Per Invoice'!AF$2:AF$401,$AH44)))</f>
        <v/>
      </c>
      <c r="AG44" s="7">
        <f>IF($AH44="","",IF(INDEX('Per Invoice'!AG$2:AG$401,$AH44)="","",INDEX('Per Invoice'!AG$2:AG$401,$AH44)))</f>
        <v/>
      </c>
      <c r="AH44" s="16">
        <f>IFERROR(MATCH(Settings!$C$26&amp;"|"&amp;ROWS($AH$2:$AH44),'Per Invoice'!$AI$2:$AI$401,0),"")</f>
        <v/>
      </c>
    </row>
    <row r="45">
      <c r="A45">
        <f>IF($AH45="","",IF(INDEX('Per Invoice'!A$2:A$401,$AH45)="","",INDEX('Per Invoice'!A$2:A$401,$AH45)))</f>
        <v/>
      </c>
      <c r="B45">
        <f>IF($AH45="","",IF(INDEX('Per Invoice'!B$2:B$401,$AH45)="","",INDEX('Per Invoice'!B$2:B$401,$AH45)))</f>
        <v/>
      </c>
      <c r="C45">
        <f>IF($AH45="","",IF(INDEX('Per Invoice'!C$2:C$401,$AH45)="","",INDEX('Per Invoice'!C$2:C$401,$AH45)))</f>
        <v/>
      </c>
      <c r="D45">
        <f>IF($AH45="","",IF(INDEX('Per Invoice'!D$2:D$401,$AH45)="","",INDEX('Per Invoice'!D$2:D$401,$AH45)))</f>
        <v/>
      </c>
      <c r="E45">
        <f>IF($AH45="","",IF(INDEX('Per Invoice'!E$2:E$401,$AH45)="","",INDEX('Per Invoice'!E$2:E$401,$AH45)))</f>
        <v/>
      </c>
      <c r="F45">
        <f>IF($AH45="","",IF(INDEX('Per Invoice'!F$2:F$401,$AH45)="","",INDEX('Per Invoice'!F$2:F$401,$AH45)))</f>
        <v/>
      </c>
      <c r="G45">
        <f>IF($AH45="","",IF(INDEX('Per Invoice'!G$2:G$401,$AH45)="","",INDEX('Per Invoice'!G$2:G$401,$AH45)))</f>
        <v/>
      </c>
      <c r="H45">
        <f>IF($AH45="","",IF(INDEX('Per Invoice'!H$2:H$401,$AH45)="","",INDEX('Per Invoice'!H$2:H$401,$AH45)))</f>
        <v/>
      </c>
      <c r="I45" s="14">
        <f>IF($AH45="","",IF(INDEX('Per Invoice'!I$2:I$401,$AH45)="","",INDEX('Per Invoice'!I$2:I$401,$AH45)))</f>
        <v/>
      </c>
      <c r="J45">
        <f>IF($AH45="","",IF(INDEX('Per Invoice'!J$2:J$401,$AH45)="","",INDEX('Per Invoice'!J$2:J$401,$AH45)))</f>
        <v/>
      </c>
      <c r="K45">
        <f>IF($AH45="","",IF(INDEX('Per Invoice'!K$2:K$401,$AH45)="","",INDEX('Per Invoice'!K$2:K$401,$AH45)))</f>
        <v/>
      </c>
      <c r="L45">
        <f>IF($AH45="","",IF(INDEX('Per Invoice'!L$2:L$401,$AH45)="","",INDEX('Per Invoice'!L$2:L$401,$AH45)))</f>
        <v/>
      </c>
      <c r="M45">
        <f>IF($AH45="","",IF(INDEX('Per Invoice'!M$2:M$401,$AH45)="","",INDEX('Per Invoice'!M$2:M$401,$AH45)))</f>
        <v/>
      </c>
      <c r="N45">
        <f>IF($AH45="","",IF(INDEX('Per Invoice'!N$2:N$401,$AH45)="","",INDEX('Per Invoice'!N$2:N$401,$AH45)))</f>
        <v/>
      </c>
      <c r="O45">
        <f>IF($AH45="","",IF(INDEX('Per Invoice'!O$2:O$401,$AH45)="","",INDEX('Per Invoice'!O$2:O$401,$AH45)))</f>
        <v/>
      </c>
      <c r="P45" s="7">
        <f>IF($AH45="","",IF(INDEX('Per Invoice'!P$2:P$401,$AH45)="","",INDEX('Per Invoice'!P$2:P$401,$AH45)))</f>
        <v/>
      </c>
      <c r="Q45">
        <f>IF($AH45="","",IF(INDEX('Per Invoice'!Q$2:Q$401,$AH45)="","",INDEX('Per Invoice'!Q$2:Q$401,$AH45)))</f>
        <v/>
      </c>
      <c r="R45">
        <f>IF($AH45="","",IF(INDEX('Per Invoice'!R$2:R$401,$AH45)="","",INDEX('Per Invoice'!R$2:R$401,$AH45)))</f>
        <v/>
      </c>
      <c r="S45">
        <f>IF($AH45="","",IF(INDEX('Per Invoice'!S$2:S$401,$AH45)="","",INDEX('Per Invoice'!S$2:S$401,$AH45)))</f>
        <v/>
      </c>
      <c r="T45" s="7">
        <f>IF($AH45="","",IF(INDEX('Per Invoice'!T$2:T$401,$AH45)="","",INDEX('Per Invoice'!T$2:T$401,$AH45)))</f>
        <v/>
      </c>
      <c r="U45" s="7">
        <f>IF($AH45="","",IF(INDEX('Per Invoice'!U$2:U$401,$AH45)="","",INDEX('Per Invoice'!U$2:U$401,$AH45)))</f>
        <v/>
      </c>
      <c r="V45">
        <f>IF($AH45="","",IF(INDEX('Per Invoice'!V$2:V$401,$AH45)="","",INDEX('Per Invoice'!V$2:V$401,$AH45)))</f>
        <v/>
      </c>
      <c r="W45" s="7">
        <f>IF($AH45="","",IF(INDEX('Per Invoice'!W$2:W$401,$AH45)="","",INDEX('Per Invoice'!W$2:W$401,$AH45)))</f>
        <v/>
      </c>
      <c r="X45" s="7">
        <f>IF($AH45="","",IF(INDEX('Per Invoice'!X$2:X$401,$AH45)="","",INDEX('Per Invoice'!X$2:X$401,$AH45)))</f>
        <v/>
      </c>
      <c r="Y45">
        <f>IF($AH45="","",IF(INDEX('Per Invoice'!Y$2:Y$401,$AH45)="","",INDEX('Per Invoice'!Y$2:Y$401,$AH45)))</f>
        <v/>
      </c>
      <c r="Z45" s="7">
        <f>IF($AH45="","",IF(INDEX('Per Invoice'!Z$2:Z$401,$AH45)="","",INDEX('Per Invoice'!Z$2:Z$401,$AH45)))</f>
        <v/>
      </c>
      <c r="AA45" s="7">
        <f>IF($AH45="","",IF(INDEX('Per Invoice'!AA$2:AA$401,$AH45)="","",INDEX('Per Invoice'!AA$2:AA$401,$AH45)))</f>
        <v/>
      </c>
      <c r="AB45" s="7">
        <f>IF($AH45="","",IF(INDEX('Per Invoice'!AB$2:AB$401,$AH45)="","",INDEX('Per Invoice'!AB$2:AB$401,$AH45)))</f>
        <v/>
      </c>
      <c r="AC45" s="7">
        <f>IF($AH45="","",IF(INDEX('Per Invoice'!AC$2:AC$401,$AH45)="","",INDEX('Per Invoice'!AC$2:AC$401,$AH45)))</f>
        <v/>
      </c>
      <c r="AD45" s="7">
        <f>IF($AH45="","",IF(INDEX('Per Invoice'!AD$2:AD$401,$AH45)="","",INDEX('Per Invoice'!AD$2:AD$401,$AH45)))</f>
        <v/>
      </c>
      <c r="AE45" s="7">
        <f>IF($AH45="","",IF(INDEX('Per Invoice'!AE$2:AE$401,$AH45)="","",INDEX('Per Invoice'!AE$2:AE$401,$AH45)))</f>
        <v/>
      </c>
      <c r="AF45">
        <f>IF($AH45="","",IF(INDEX('Per Invoice'!AF$2:AF$401,$AH45)="","",INDEX('Per Invoice'!AF$2:AF$401,$AH45)))</f>
        <v/>
      </c>
      <c r="AG45" s="7">
        <f>IF($AH45="","",IF(INDEX('Per Invoice'!AG$2:AG$401,$AH45)="","",INDEX('Per Invoice'!AG$2:AG$401,$AH45)))</f>
        <v/>
      </c>
      <c r="AH45" s="16">
        <f>IFERROR(MATCH(Settings!$C$26&amp;"|"&amp;ROWS($AH$2:$AH45),'Per Invoice'!$AI$2:$AI$401,0),"")</f>
        <v/>
      </c>
    </row>
    <row r="46">
      <c r="A46">
        <f>IF($AH46="","",IF(INDEX('Per Invoice'!A$2:A$401,$AH46)="","",INDEX('Per Invoice'!A$2:A$401,$AH46)))</f>
        <v/>
      </c>
      <c r="B46">
        <f>IF($AH46="","",IF(INDEX('Per Invoice'!B$2:B$401,$AH46)="","",INDEX('Per Invoice'!B$2:B$401,$AH46)))</f>
        <v/>
      </c>
      <c r="C46">
        <f>IF($AH46="","",IF(INDEX('Per Invoice'!C$2:C$401,$AH46)="","",INDEX('Per Invoice'!C$2:C$401,$AH46)))</f>
        <v/>
      </c>
      <c r="D46">
        <f>IF($AH46="","",IF(INDEX('Per Invoice'!D$2:D$401,$AH46)="","",INDEX('Per Invoice'!D$2:D$401,$AH46)))</f>
        <v/>
      </c>
      <c r="E46">
        <f>IF($AH46="","",IF(INDEX('Per Invoice'!E$2:E$401,$AH46)="","",INDEX('Per Invoice'!E$2:E$401,$AH46)))</f>
        <v/>
      </c>
      <c r="F46">
        <f>IF($AH46="","",IF(INDEX('Per Invoice'!F$2:F$401,$AH46)="","",INDEX('Per Invoice'!F$2:F$401,$AH46)))</f>
        <v/>
      </c>
      <c r="G46">
        <f>IF($AH46="","",IF(INDEX('Per Invoice'!G$2:G$401,$AH46)="","",INDEX('Per Invoice'!G$2:G$401,$AH46)))</f>
        <v/>
      </c>
      <c r="H46">
        <f>IF($AH46="","",IF(INDEX('Per Invoice'!H$2:H$401,$AH46)="","",INDEX('Per Invoice'!H$2:H$401,$AH46)))</f>
        <v/>
      </c>
      <c r="I46" s="14">
        <f>IF($AH46="","",IF(INDEX('Per Invoice'!I$2:I$401,$AH46)="","",INDEX('Per Invoice'!I$2:I$401,$AH46)))</f>
        <v/>
      </c>
      <c r="J46">
        <f>IF($AH46="","",IF(INDEX('Per Invoice'!J$2:J$401,$AH46)="","",INDEX('Per Invoice'!J$2:J$401,$AH46)))</f>
        <v/>
      </c>
      <c r="K46">
        <f>IF($AH46="","",IF(INDEX('Per Invoice'!K$2:K$401,$AH46)="","",INDEX('Per Invoice'!K$2:K$401,$AH46)))</f>
        <v/>
      </c>
      <c r="L46">
        <f>IF($AH46="","",IF(INDEX('Per Invoice'!L$2:L$401,$AH46)="","",INDEX('Per Invoice'!L$2:L$401,$AH46)))</f>
        <v/>
      </c>
      <c r="M46">
        <f>IF($AH46="","",IF(INDEX('Per Invoice'!M$2:M$401,$AH46)="","",INDEX('Per Invoice'!M$2:M$401,$AH46)))</f>
        <v/>
      </c>
      <c r="N46">
        <f>IF($AH46="","",IF(INDEX('Per Invoice'!N$2:N$401,$AH46)="","",INDEX('Per Invoice'!N$2:N$401,$AH46)))</f>
        <v/>
      </c>
      <c r="O46">
        <f>IF($AH46="","",IF(INDEX('Per Invoice'!O$2:O$401,$AH46)="","",INDEX('Per Invoice'!O$2:O$401,$AH46)))</f>
        <v/>
      </c>
      <c r="P46" s="7">
        <f>IF($AH46="","",IF(INDEX('Per Invoice'!P$2:P$401,$AH46)="","",INDEX('Per Invoice'!P$2:P$401,$AH46)))</f>
        <v/>
      </c>
      <c r="Q46">
        <f>IF($AH46="","",IF(INDEX('Per Invoice'!Q$2:Q$401,$AH46)="","",INDEX('Per Invoice'!Q$2:Q$401,$AH46)))</f>
        <v/>
      </c>
      <c r="R46">
        <f>IF($AH46="","",IF(INDEX('Per Invoice'!R$2:R$401,$AH46)="","",INDEX('Per Invoice'!R$2:R$401,$AH46)))</f>
        <v/>
      </c>
      <c r="S46">
        <f>IF($AH46="","",IF(INDEX('Per Invoice'!S$2:S$401,$AH46)="","",INDEX('Per Invoice'!S$2:S$401,$AH46)))</f>
        <v/>
      </c>
      <c r="T46" s="7">
        <f>IF($AH46="","",IF(INDEX('Per Invoice'!T$2:T$401,$AH46)="","",INDEX('Per Invoice'!T$2:T$401,$AH46)))</f>
        <v/>
      </c>
      <c r="U46" s="7">
        <f>IF($AH46="","",IF(INDEX('Per Invoice'!U$2:U$401,$AH46)="","",INDEX('Per Invoice'!U$2:U$401,$AH46)))</f>
        <v/>
      </c>
      <c r="V46">
        <f>IF($AH46="","",IF(INDEX('Per Invoice'!V$2:V$401,$AH46)="","",INDEX('Per Invoice'!V$2:V$401,$AH46)))</f>
        <v/>
      </c>
      <c r="W46" s="7">
        <f>IF($AH46="","",IF(INDEX('Per Invoice'!W$2:W$401,$AH46)="","",INDEX('Per Invoice'!W$2:W$401,$AH46)))</f>
        <v/>
      </c>
      <c r="X46" s="7">
        <f>IF($AH46="","",IF(INDEX('Per Invoice'!X$2:X$401,$AH46)="","",INDEX('Per Invoice'!X$2:X$401,$AH46)))</f>
        <v/>
      </c>
      <c r="Y46">
        <f>IF($AH46="","",IF(INDEX('Per Invoice'!Y$2:Y$401,$AH46)="","",INDEX('Per Invoice'!Y$2:Y$401,$AH46)))</f>
        <v/>
      </c>
      <c r="Z46" s="7">
        <f>IF($AH46="","",IF(INDEX('Per Invoice'!Z$2:Z$401,$AH46)="","",INDEX('Per Invoice'!Z$2:Z$401,$AH46)))</f>
        <v/>
      </c>
      <c r="AA46" s="7">
        <f>IF($AH46="","",IF(INDEX('Per Invoice'!AA$2:AA$401,$AH46)="","",INDEX('Per Invoice'!AA$2:AA$401,$AH46)))</f>
        <v/>
      </c>
      <c r="AB46" s="7">
        <f>IF($AH46="","",IF(INDEX('Per Invoice'!AB$2:AB$401,$AH46)="","",INDEX('Per Invoice'!AB$2:AB$401,$AH46)))</f>
        <v/>
      </c>
      <c r="AC46" s="7">
        <f>IF($AH46="","",IF(INDEX('Per Invoice'!AC$2:AC$401,$AH46)="","",INDEX('Per Invoice'!AC$2:AC$401,$AH46)))</f>
        <v/>
      </c>
      <c r="AD46" s="7">
        <f>IF($AH46="","",IF(INDEX('Per Invoice'!AD$2:AD$401,$AH46)="","",INDEX('Per Invoice'!AD$2:AD$401,$AH46)))</f>
        <v/>
      </c>
      <c r="AE46" s="7">
        <f>IF($AH46="","",IF(INDEX('Per Invoice'!AE$2:AE$401,$AH46)="","",INDEX('Per Invoice'!AE$2:AE$401,$AH46)))</f>
        <v/>
      </c>
      <c r="AF46">
        <f>IF($AH46="","",IF(INDEX('Per Invoice'!AF$2:AF$401,$AH46)="","",INDEX('Per Invoice'!AF$2:AF$401,$AH46)))</f>
        <v/>
      </c>
      <c r="AG46" s="7">
        <f>IF($AH46="","",IF(INDEX('Per Invoice'!AG$2:AG$401,$AH46)="","",INDEX('Per Invoice'!AG$2:AG$401,$AH46)))</f>
        <v/>
      </c>
      <c r="AH46" s="16">
        <f>IFERROR(MATCH(Settings!$C$26&amp;"|"&amp;ROWS($AH$2:$AH46),'Per Invoice'!$AI$2:$AI$401,0),"")</f>
        <v/>
      </c>
    </row>
    <row r="47">
      <c r="A47">
        <f>IF($AH47="","",IF(INDEX('Per Invoice'!A$2:A$401,$AH47)="","",INDEX('Per Invoice'!A$2:A$401,$AH47)))</f>
        <v/>
      </c>
      <c r="B47">
        <f>IF($AH47="","",IF(INDEX('Per Invoice'!B$2:B$401,$AH47)="","",INDEX('Per Invoice'!B$2:B$401,$AH47)))</f>
        <v/>
      </c>
      <c r="C47">
        <f>IF($AH47="","",IF(INDEX('Per Invoice'!C$2:C$401,$AH47)="","",INDEX('Per Invoice'!C$2:C$401,$AH47)))</f>
        <v/>
      </c>
      <c r="D47">
        <f>IF($AH47="","",IF(INDEX('Per Invoice'!D$2:D$401,$AH47)="","",INDEX('Per Invoice'!D$2:D$401,$AH47)))</f>
        <v/>
      </c>
      <c r="E47">
        <f>IF($AH47="","",IF(INDEX('Per Invoice'!E$2:E$401,$AH47)="","",INDEX('Per Invoice'!E$2:E$401,$AH47)))</f>
        <v/>
      </c>
      <c r="F47">
        <f>IF($AH47="","",IF(INDEX('Per Invoice'!F$2:F$401,$AH47)="","",INDEX('Per Invoice'!F$2:F$401,$AH47)))</f>
        <v/>
      </c>
      <c r="G47">
        <f>IF($AH47="","",IF(INDEX('Per Invoice'!G$2:G$401,$AH47)="","",INDEX('Per Invoice'!G$2:G$401,$AH47)))</f>
        <v/>
      </c>
      <c r="H47">
        <f>IF($AH47="","",IF(INDEX('Per Invoice'!H$2:H$401,$AH47)="","",INDEX('Per Invoice'!H$2:H$401,$AH47)))</f>
        <v/>
      </c>
      <c r="I47" s="14">
        <f>IF($AH47="","",IF(INDEX('Per Invoice'!I$2:I$401,$AH47)="","",INDEX('Per Invoice'!I$2:I$401,$AH47)))</f>
        <v/>
      </c>
      <c r="J47">
        <f>IF($AH47="","",IF(INDEX('Per Invoice'!J$2:J$401,$AH47)="","",INDEX('Per Invoice'!J$2:J$401,$AH47)))</f>
        <v/>
      </c>
      <c r="K47">
        <f>IF($AH47="","",IF(INDEX('Per Invoice'!K$2:K$401,$AH47)="","",INDEX('Per Invoice'!K$2:K$401,$AH47)))</f>
        <v/>
      </c>
      <c r="L47">
        <f>IF($AH47="","",IF(INDEX('Per Invoice'!L$2:L$401,$AH47)="","",INDEX('Per Invoice'!L$2:L$401,$AH47)))</f>
        <v/>
      </c>
      <c r="M47">
        <f>IF($AH47="","",IF(INDEX('Per Invoice'!M$2:M$401,$AH47)="","",INDEX('Per Invoice'!M$2:M$401,$AH47)))</f>
        <v/>
      </c>
      <c r="N47">
        <f>IF($AH47="","",IF(INDEX('Per Invoice'!N$2:N$401,$AH47)="","",INDEX('Per Invoice'!N$2:N$401,$AH47)))</f>
        <v/>
      </c>
      <c r="O47">
        <f>IF($AH47="","",IF(INDEX('Per Invoice'!O$2:O$401,$AH47)="","",INDEX('Per Invoice'!O$2:O$401,$AH47)))</f>
        <v/>
      </c>
      <c r="P47" s="7">
        <f>IF($AH47="","",IF(INDEX('Per Invoice'!P$2:P$401,$AH47)="","",INDEX('Per Invoice'!P$2:P$401,$AH47)))</f>
        <v/>
      </c>
      <c r="Q47">
        <f>IF($AH47="","",IF(INDEX('Per Invoice'!Q$2:Q$401,$AH47)="","",INDEX('Per Invoice'!Q$2:Q$401,$AH47)))</f>
        <v/>
      </c>
      <c r="R47">
        <f>IF($AH47="","",IF(INDEX('Per Invoice'!R$2:R$401,$AH47)="","",INDEX('Per Invoice'!R$2:R$401,$AH47)))</f>
        <v/>
      </c>
      <c r="S47">
        <f>IF($AH47="","",IF(INDEX('Per Invoice'!S$2:S$401,$AH47)="","",INDEX('Per Invoice'!S$2:S$401,$AH47)))</f>
        <v/>
      </c>
      <c r="T47" s="7">
        <f>IF($AH47="","",IF(INDEX('Per Invoice'!T$2:T$401,$AH47)="","",INDEX('Per Invoice'!T$2:T$401,$AH47)))</f>
        <v/>
      </c>
      <c r="U47" s="7">
        <f>IF($AH47="","",IF(INDEX('Per Invoice'!U$2:U$401,$AH47)="","",INDEX('Per Invoice'!U$2:U$401,$AH47)))</f>
        <v/>
      </c>
      <c r="V47">
        <f>IF($AH47="","",IF(INDEX('Per Invoice'!V$2:V$401,$AH47)="","",INDEX('Per Invoice'!V$2:V$401,$AH47)))</f>
        <v/>
      </c>
      <c r="W47" s="7">
        <f>IF($AH47="","",IF(INDEX('Per Invoice'!W$2:W$401,$AH47)="","",INDEX('Per Invoice'!W$2:W$401,$AH47)))</f>
        <v/>
      </c>
      <c r="X47" s="7">
        <f>IF($AH47="","",IF(INDEX('Per Invoice'!X$2:X$401,$AH47)="","",INDEX('Per Invoice'!X$2:X$401,$AH47)))</f>
        <v/>
      </c>
      <c r="Y47">
        <f>IF($AH47="","",IF(INDEX('Per Invoice'!Y$2:Y$401,$AH47)="","",INDEX('Per Invoice'!Y$2:Y$401,$AH47)))</f>
        <v/>
      </c>
      <c r="Z47" s="7">
        <f>IF($AH47="","",IF(INDEX('Per Invoice'!Z$2:Z$401,$AH47)="","",INDEX('Per Invoice'!Z$2:Z$401,$AH47)))</f>
        <v/>
      </c>
      <c r="AA47" s="7">
        <f>IF($AH47="","",IF(INDEX('Per Invoice'!AA$2:AA$401,$AH47)="","",INDEX('Per Invoice'!AA$2:AA$401,$AH47)))</f>
        <v/>
      </c>
      <c r="AB47" s="7">
        <f>IF($AH47="","",IF(INDEX('Per Invoice'!AB$2:AB$401,$AH47)="","",INDEX('Per Invoice'!AB$2:AB$401,$AH47)))</f>
        <v/>
      </c>
      <c r="AC47" s="7">
        <f>IF($AH47="","",IF(INDEX('Per Invoice'!AC$2:AC$401,$AH47)="","",INDEX('Per Invoice'!AC$2:AC$401,$AH47)))</f>
        <v/>
      </c>
      <c r="AD47" s="7">
        <f>IF($AH47="","",IF(INDEX('Per Invoice'!AD$2:AD$401,$AH47)="","",INDEX('Per Invoice'!AD$2:AD$401,$AH47)))</f>
        <v/>
      </c>
      <c r="AE47" s="7">
        <f>IF($AH47="","",IF(INDEX('Per Invoice'!AE$2:AE$401,$AH47)="","",INDEX('Per Invoice'!AE$2:AE$401,$AH47)))</f>
        <v/>
      </c>
      <c r="AF47">
        <f>IF($AH47="","",IF(INDEX('Per Invoice'!AF$2:AF$401,$AH47)="","",INDEX('Per Invoice'!AF$2:AF$401,$AH47)))</f>
        <v/>
      </c>
      <c r="AG47" s="7">
        <f>IF($AH47="","",IF(INDEX('Per Invoice'!AG$2:AG$401,$AH47)="","",INDEX('Per Invoice'!AG$2:AG$401,$AH47)))</f>
        <v/>
      </c>
      <c r="AH47" s="16">
        <f>IFERROR(MATCH(Settings!$C$26&amp;"|"&amp;ROWS($AH$2:$AH47),'Per Invoice'!$AI$2:$AI$401,0),"")</f>
        <v/>
      </c>
    </row>
    <row r="48">
      <c r="A48">
        <f>IF($AH48="","",IF(INDEX('Per Invoice'!A$2:A$401,$AH48)="","",INDEX('Per Invoice'!A$2:A$401,$AH48)))</f>
        <v/>
      </c>
      <c r="B48">
        <f>IF($AH48="","",IF(INDEX('Per Invoice'!B$2:B$401,$AH48)="","",INDEX('Per Invoice'!B$2:B$401,$AH48)))</f>
        <v/>
      </c>
      <c r="C48">
        <f>IF($AH48="","",IF(INDEX('Per Invoice'!C$2:C$401,$AH48)="","",INDEX('Per Invoice'!C$2:C$401,$AH48)))</f>
        <v/>
      </c>
      <c r="D48">
        <f>IF($AH48="","",IF(INDEX('Per Invoice'!D$2:D$401,$AH48)="","",INDEX('Per Invoice'!D$2:D$401,$AH48)))</f>
        <v/>
      </c>
      <c r="E48">
        <f>IF($AH48="","",IF(INDEX('Per Invoice'!E$2:E$401,$AH48)="","",INDEX('Per Invoice'!E$2:E$401,$AH48)))</f>
        <v/>
      </c>
      <c r="F48">
        <f>IF($AH48="","",IF(INDEX('Per Invoice'!F$2:F$401,$AH48)="","",INDEX('Per Invoice'!F$2:F$401,$AH48)))</f>
        <v/>
      </c>
      <c r="G48">
        <f>IF($AH48="","",IF(INDEX('Per Invoice'!G$2:G$401,$AH48)="","",INDEX('Per Invoice'!G$2:G$401,$AH48)))</f>
        <v/>
      </c>
      <c r="H48">
        <f>IF($AH48="","",IF(INDEX('Per Invoice'!H$2:H$401,$AH48)="","",INDEX('Per Invoice'!H$2:H$401,$AH48)))</f>
        <v/>
      </c>
      <c r="I48" s="14">
        <f>IF($AH48="","",IF(INDEX('Per Invoice'!I$2:I$401,$AH48)="","",INDEX('Per Invoice'!I$2:I$401,$AH48)))</f>
        <v/>
      </c>
      <c r="J48">
        <f>IF($AH48="","",IF(INDEX('Per Invoice'!J$2:J$401,$AH48)="","",INDEX('Per Invoice'!J$2:J$401,$AH48)))</f>
        <v/>
      </c>
      <c r="K48">
        <f>IF($AH48="","",IF(INDEX('Per Invoice'!K$2:K$401,$AH48)="","",INDEX('Per Invoice'!K$2:K$401,$AH48)))</f>
        <v/>
      </c>
      <c r="L48">
        <f>IF($AH48="","",IF(INDEX('Per Invoice'!L$2:L$401,$AH48)="","",INDEX('Per Invoice'!L$2:L$401,$AH48)))</f>
        <v/>
      </c>
      <c r="M48">
        <f>IF($AH48="","",IF(INDEX('Per Invoice'!M$2:M$401,$AH48)="","",INDEX('Per Invoice'!M$2:M$401,$AH48)))</f>
        <v/>
      </c>
      <c r="N48">
        <f>IF($AH48="","",IF(INDEX('Per Invoice'!N$2:N$401,$AH48)="","",INDEX('Per Invoice'!N$2:N$401,$AH48)))</f>
        <v/>
      </c>
      <c r="O48">
        <f>IF($AH48="","",IF(INDEX('Per Invoice'!O$2:O$401,$AH48)="","",INDEX('Per Invoice'!O$2:O$401,$AH48)))</f>
        <v/>
      </c>
      <c r="P48" s="7">
        <f>IF($AH48="","",IF(INDEX('Per Invoice'!P$2:P$401,$AH48)="","",INDEX('Per Invoice'!P$2:P$401,$AH48)))</f>
        <v/>
      </c>
      <c r="Q48">
        <f>IF($AH48="","",IF(INDEX('Per Invoice'!Q$2:Q$401,$AH48)="","",INDEX('Per Invoice'!Q$2:Q$401,$AH48)))</f>
        <v/>
      </c>
      <c r="R48">
        <f>IF($AH48="","",IF(INDEX('Per Invoice'!R$2:R$401,$AH48)="","",INDEX('Per Invoice'!R$2:R$401,$AH48)))</f>
        <v/>
      </c>
      <c r="S48">
        <f>IF($AH48="","",IF(INDEX('Per Invoice'!S$2:S$401,$AH48)="","",INDEX('Per Invoice'!S$2:S$401,$AH48)))</f>
        <v/>
      </c>
      <c r="T48" s="7">
        <f>IF($AH48="","",IF(INDEX('Per Invoice'!T$2:T$401,$AH48)="","",INDEX('Per Invoice'!T$2:T$401,$AH48)))</f>
        <v/>
      </c>
      <c r="U48" s="7">
        <f>IF($AH48="","",IF(INDEX('Per Invoice'!U$2:U$401,$AH48)="","",INDEX('Per Invoice'!U$2:U$401,$AH48)))</f>
        <v/>
      </c>
      <c r="V48">
        <f>IF($AH48="","",IF(INDEX('Per Invoice'!V$2:V$401,$AH48)="","",INDEX('Per Invoice'!V$2:V$401,$AH48)))</f>
        <v/>
      </c>
      <c r="W48" s="7">
        <f>IF($AH48="","",IF(INDEX('Per Invoice'!W$2:W$401,$AH48)="","",INDEX('Per Invoice'!W$2:W$401,$AH48)))</f>
        <v/>
      </c>
      <c r="X48" s="7">
        <f>IF($AH48="","",IF(INDEX('Per Invoice'!X$2:X$401,$AH48)="","",INDEX('Per Invoice'!X$2:X$401,$AH48)))</f>
        <v/>
      </c>
      <c r="Y48">
        <f>IF($AH48="","",IF(INDEX('Per Invoice'!Y$2:Y$401,$AH48)="","",INDEX('Per Invoice'!Y$2:Y$401,$AH48)))</f>
        <v/>
      </c>
      <c r="Z48" s="7">
        <f>IF($AH48="","",IF(INDEX('Per Invoice'!Z$2:Z$401,$AH48)="","",INDEX('Per Invoice'!Z$2:Z$401,$AH48)))</f>
        <v/>
      </c>
      <c r="AA48" s="7">
        <f>IF($AH48="","",IF(INDEX('Per Invoice'!AA$2:AA$401,$AH48)="","",INDEX('Per Invoice'!AA$2:AA$401,$AH48)))</f>
        <v/>
      </c>
      <c r="AB48" s="7">
        <f>IF($AH48="","",IF(INDEX('Per Invoice'!AB$2:AB$401,$AH48)="","",INDEX('Per Invoice'!AB$2:AB$401,$AH48)))</f>
        <v/>
      </c>
      <c r="AC48" s="7">
        <f>IF($AH48="","",IF(INDEX('Per Invoice'!AC$2:AC$401,$AH48)="","",INDEX('Per Invoice'!AC$2:AC$401,$AH48)))</f>
        <v/>
      </c>
      <c r="AD48" s="7">
        <f>IF($AH48="","",IF(INDEX('Per Invoice'!AD$2:AD$401,$AH48)="","",INDEX('Per Invoice'!AD$2:AD$401,$AH48)))</f>
        <v/>
      </c>
      <c r="AE48" s="7">
        <f>IF($AH48="","",IF(INDEX('Per Invoice'!AE$2:AE$401,$AH48)="","",INDEX('Per Invoice'!AE$2:AE$401,$AH48)))</f>
        <v/>
      </c>
      <c r="AF48">
        <f>IF($AH48="","",IF(INDEX('Per Invoice'!AF$2:AF$401,$AH48)="","",INDEX('Per Invoice'!AF$2:AF$401,$AH48)))</f>
        <v/>
      </c>
      <c r="AG48" s="7">
        <f>IF($AH48="","",IF(INDEX('Per Invoice'!AG$2:AG$401,$AH48)="","",INDEX('Per Invoice'!AG$2:AG$401,$AH48)))</f>
        <v/>
      </c>
      <c r="AH48" s="16">
        <f>IFERROR(MATCH(Settings!$C$26&amp;"|"&amp;ROWS($AH$2:$AH48),'Per Invoice'!$AI$2:$AI$401,0),"")</f>
        <v/>
      </c>
    </row>
    <row r="49">
      <c r="A49">
        <f>IF($AH49="","",IF(INDEX('Per Invoice'!A$2:A$401,$AH49)="","",INDEX('Per Invoice'!A$2:A$401,$AH49)))</f>
        <v/>
      </c>
      <c r="B49">
        <f>IF($AH49="","",IF(INDEX('Per Invoice'!B$2:B$401,$AH49)="","",INDEX('Per Invoice'!B$2:B$401,$AH49)))</f>
        <v/>
      </c>
      <c r="C49">
        <f>IF($AH49="","",IF(INDEX('Per Invoice'!C$2:C$401,$AH49)="","",INDEX('Per Invoice'!C$2:C$401,$AH49)))</f>
        <v/>
      </c>
      <c r="D49">
        <f>IF($AH49="","",IF(INDEX('Per Invoice'!D$2:D$401,$AH49)="","",INDEX('Per Invoice'!D$2:D$401,$AH49)))</f>
        <v/>
      </c>
      <c r="E49">
        <f>IF($AH49="","",IF(INDEX('Per Invoice'!E$2:E$401,$AH49)="","",INDEX('Per Invoice'!E$2:E$401,$AH49)))</f>
        <v/>
      </c>
      <c r="F49">
        <f>IF($AH49="","",IF(INDEX('Per Invoice'!F$2:F$401,$AH49)="","",INDEX('Per Invoice'!F$2:F$401,$AH49)))</f>
        <v/>
      </c>
      <c r="G49">
        <f>IF($AH49="","",IF(INDEX('Per Invoice'!G$2:G$401,$AH49)="","",INDEX('Per Invoice'!G$2:G$401,$AH49)))</f>
        <v/>
      </c>
      <c r="H49">
        <f>IF($AH49="","",IF(INDEX('Per Invoice'!H$2:H$401,$AH49)="","",INDEX('Per Invoice'!H$2:H$401,$AH49)))</f>
        <v/>
      </c>
      <c r="I49" s="14">
        <f>IF($AH49="","",IF(INDEX('Per Invoice'!I$2:I$401,$AH49)="","",INDEX('Per Invoice'!I$2:I$401,$AH49)))</f>
        <v/>
      </c>
      <c r="J49">
        <f>IF($AH49="","",IF(INDEX('Per Invoice'!J$2:J$401,$AH49)="","",INDEX('Per Invoice'!J$2:J$401,$AH49)))</f>
        <v/>
      </c>
      <c r="K49">
        <f>IF($AH49="","",IF(INDEX('Per Invoice'!K$2:K$401,$AH49)="","",INDEX('Per Invoice'!K$2:K$401,$AH49)))</f>
        <v/>
      </c>
      <c r="L49">
        <f>IF($AH49="","",IF(INDEX('Per Invoice'!L$2:L$401,$AH49)="","",INDEX('Per Invoice'!L$2:L$401,$AH49)))</f>
        <v/>
      </c>
      <c r="M49">
        <f>IF($AH49="","",IF(INDEX('Per Invoice'!M$2:M$401,$AH49)="","",INDEX('Per Invoice'!M$2:M$401,$AH49)))</f>
        <v/>
      </c>
      <c r="N49">
        <f>IF($AH49="","",IF(INDEX('Per Invoice'!N$2:N$401,$AH49)="","",INDEX('Per Invoice'!N$2:N$401,$AH49)))</f>
        <v/>
      </c>
      <c r="O49">
        <f>IF($AH49="","",IF(INDEX('Per Invoice'!O$2:O$401,$AH49)="","",INDEX('Per Invoice'!O$2:O$401,$AH49)))</f>
        <v/>
      </c>
      <c r="P49" s="7">
        <f>IF($AH49="","",IF(INDEX('Per Invoice'!P$2:P$401,$AH49)="","",INDEX('Per Invoice'!P$2:P$401,$AH49)))</f>
        <v/>
      </c>
      <c r="Q49">
        <f>IF($AH49="","",IF(INDEX('Per Invoice'!Q$2:Q$401,$AH49)="","",INDEX('Per Invoice'!Q$2:Q$401,$AH49)))</f>
        <v/>
      </c>
      <c r="R49">
        <f>IF($AH49="","",IF(INDEX('Per Invoice'!R$2:R$401,$AH49)="","",INDEX('Per Invoice'!R$2:R$401,$AH49)))</f>
        <v/>
      </c>
      <c r="S49">
        <f>IF($AH49="","",IF(INDEX('Per Invoice'!S$2:S$401,$AH49)="","",INDEX('Per Invoice'!S$2:S$401,$AH49)))</f>
        <v/>
      </c>
      <c r="T49" s="7">
        <f>IF($AH49="","",IF(INDEX('Per Invoice'!T$2:T$401,$AH49)="","",INDEX('Per Invoice'!T$2:T$401,$AH49)))</f>
        <v/>
      </c>
      <c r="U49" s="7">
        <f>IF($AH49="","",IF(INDEX('Per Invoice'!U$2:U$401,$AH49)="","",INDEX('Per Invoice'!U$2:U$401,$AH49)))</f>
        <v/>
      </c>
      <c r="V49">
        <f>IF($AH49="","",IF(INDEX('Per Invoice'!V$2:V$401,$AH49)="","",INDEX('Per Invoice'!V$2:V$401,$AH49)))</f>
        <v/>
      </c>
      <c r="W49" s="7">
        <f>IF($AH49="","",IF(INDEX('Per Invoice'!W$2:W$401,$AH49)="","",INDEX('Per Invoice'!W$2:W$401,$AH49)))</f>
        <v/>
      </c>
      <c r="X49" s="7">
        <f>IF($AH49="","",IF(INDEX('Per Invoice'!X$2:X$401,$AH49)="","",INDEX('Per Invoice'!X$2:X$401,$AH49)))</f>
        <v/>
      </c>
      <c r="Y49">
        <f>IF($AH49="","",IF(INDEX('Per Invoice'!Y$2:Y$401,$AH49)="","",INDEX('Per Invoice'!Y$2:Y$401,$AH49)))</f>
        <v/>
      </c>
      <c r="Z49" s="7">
        <f>IF($AH49="","",IF(INDEX('Per Invoice'!Z$2:Z$401,$AH49)="","",INDEX('Per Invoice'!Z$2:Z$401,$AH49)))</f>
        <v/>
      </c>
      <c r="AA49" s="7">
        <f>IF($AH49="","",IF(INDEX('Per Invoice'!AA$2:AA$401,$AH49)="","",INDEX('Per Invoice'!AA$2:AA$401,$AH49)))</f>
        <v/>
      </c>
      <c r="AB49" s="7">
        <f>IF($AH49="","",IF(INDEX('Per Invoice'!AB$2:AB$401,$AH49)="","",INDEX('Per Invoice'!AB$2:AB$401,$AH49)))</f>
        <v/>
      </c>
      <c r="AC49" s="7">
        <f>IF($AH49="","",IF(INDEX('Per Invoice'!AC$2:AC$401,$AH49)="","",INDEX('Per Invoice'!AC$2:AC$401,$AH49)))</f>
        <v/>
      </c>
      <c r="AD49" s="7">
        <f>IF($AH49="","",IF(INDEX('Per Invoice'!AD$2:AD$401,$AH49)="","",INDEX('Per Invoice'!AD$2:AD$401,$AH49)))</f>
        <v/>
      </c>
      <c r="AE49" s="7">
        <f>IF($AH49="","",IF(INDEX('Per Invoice'!AE$2:AE$401,$AH49)="","",INDEX('Per Invoice'!AE$2:AE$401,$AH49)))</f>
        <v/>
      </c>
      <c r="AF49">
        <f>IF($AH49="","",IF(INDEX('Per Invoice'!AF$2:AF$401,$AH49)="","",INDEX('Per Invoice'!AF$2:AF$401,$AH49)))</f>
        <v/>
      </c>
      <c r="AG49" s="7">
        <f>IF($AH49="","",IF(INDEX('Per Invoice'!AG$2:AG$401,$AH49)="","",INDEX('Per Invoice'!AG$2:AG$401,$AH49)))</f>
        <v/>
      </c>
      <c r="AH49" s="16">
        <f>IFERROR(MATCH(Settings!$C$26&amp;"|"&amp;ROWS($AH$2:$AH49),'Per Invoice'!$AI$2:$AI$401,0),"")</f>
        <v/>
      </c>
    </row>
    <row r="50">
      <c r="A50">
        <f>IF($AH50="","",IF(INDEX('Per Invoice'!A$2:A$401,$AH50)="","",INDEX('Per Invoice'!A$2:A$401,$AH50)))</f>
        <v/>
      </c>
      <c r="B50">
        <f>IF($AH50="","",IF(INDEX('Per Invoice'!B$2:B$401,$AH50)="","",INDEX('Per Invoice'!B$2:B$401,$AH50)))</f>
        <v/>
      </c>
      <c r="C50">
        <f>IF($AH50="","",IF(INDEX('Per Invoice'!C$2:C$401,$AH50)="","",INDEX('Per Invoice'!C$2:C$401,$AH50)))</f>
        <v/>
      </c>
      <c r="D50">
        <f>IF($AH50="","",IF(INDEX('Per Invoice'!D$2:D$401,$AH50)="","",INDEX('Per Invoice'!D$2:D$401,$AH50)))</f>
        <v/>
      </c>
      <c r="E50">
        <f>IF($AH50="","",IF(INDEX('Per Invoice'!E$2:E$401,$AH50)="","",INDEX('Per Invoice'!E$2:E$401,$AH50)))</f>
        <v/>
      </c>
      <c r="F50">
        <f>IF($AH50="","",IF(INDEX('Per Invoice'!F$2:F$401,$AH50)="","",INDEX('Per Invoice'!F$2:F$401,$AH50)))</f>
        <v/>
      </c>
      <c r="G50">
        <f>IF($AH50="","",IF(INDEX('Per Invoice'!G$2:G$401,$AH50)="","",INDEX('Per Invoice'!G$2:G$401,$AH50)))</f>
        <v/>
      </c>
      <c r="H50">
        <f>IF($AH50="","",IF(INDEX('Per Invoice'!H$2:H$401,$AH50)="","",INDEX('Per Invoice'!H$2:H$401,$AH50)))</f>
        <v/>
      </c>
      <c r="I50" s="14">
        <f>IF($AH50="","",IF(INDEX('Per Invoice'!I$2:I$401,$AH50)="","",INDEX('Per Invoice'!I$2:I$401,$AH50)))</f>
        <v/>
      </c>
      <c r="J50">
        <f>IF($AH50="","",IF(INDEX('Per Invoice'!J$2:J$401,$AH50)="","",INDEX('Per Invoice'!J$2:J$401,$AH50)))</f>
        <v/>
      </c>
      <c r="K50">
        <f>IF($AH50="","",IF(INDEX('Per Invoice'!K$2:K$401,$AH50)="","",INDEX('Per Invoice'!K$2:K$401,$AH50)))</f>
        <v/>
      </c>
      <c r="L50">
        <f>IF($AH50="","",IF(INDEX('Per Invoice'!L$2:L$401,$AH50)="","",INDEX('Per Invoice'!L$2:L$401,$AH50)))</f>
        <v/>
      </c>
      <c r="M50">
        <f>IF($AH50="","",IF(INDEX('Per Invoice'!M$2:M$401,$AH50)="","",INDEX('Per Invoice'!M$2:M$401,$AH50)))</f>
        <v/>
      </c>
      <c r="N50">
        <f>IF($AH50="","",IF(INDEX('Per Invoice'!N$2:N$401,$AH50)="","",INDEX('Per Invoice'!N$2:N$401,$AH50)))</f>
        <v/>
      </c>
      <c r="O50">
        <f>IF($AH50="","",IF(INDEX('Per Invoice'!O$2:O$401,$AH50)="","",INDEX('Per Invoice'!O$2:O$401,$AH50)))</f>
        <v/>
      </c>
      <c r="P50" s="7">
        <f>IF($AH50="","",IF(INDEX('Per Invoice'!P$2:P$401,$AH50)="","",INDEX('Per Invoice'!P$2:P$401,$AH50)))</f>
        <v/>
      </c>
      <c r="Q50">
        <f>IF($AH50="","",IF(INDEX('Per Invoice'!Q$2:Q$401,$AH50)="","",INDEX('Per Invoice'!Q$2:Q$401,$AH50)))</f>
        <v/>
      </c>
      <c r="R50">
        <f>IF($AH50="","",IF(INDEX('Per Invoice'!R$2:R$401,$AH50)="","",INDEX('Per Invoice'!R$2:R$401,$AH50)))</f>
        <v/>
      </c>
      <c r="S50">
        <f>IF($AH50="","",IF(INDEX('Per Invoice'!S$2:S$401,$AH50)="","",INDEX('Per Invoice'!S$2:S$401,$AH50)))</f>
        <v/>
      </c>
      <c r="T50" s="7">
        <f>IF($AH50="","",IF(INDEX('Per Invoice'!T$2:T$401,$AH50)="","",INDEX('Per Invoice'!T$2:T$401,$AH50)))</f>
        <v/>
      </c>
      <c r="U50" s="7">
        <f>IF($AH50="","",IF(INDEX('Per Invoice'!U$2:U$401,$AH50)="","",INDEX('Per Invoice'!U$2:U$401,$AH50)))</f>
        <v/>
      </c>
      <c r="V50">
        <f>IF($AH50="","",IF(INDEX('Per Invoice'!V$2:V$401,$AH50)="","",INDEX('Per Invoice'!V$2:V$401,$AH50)))</f>
        <v/>
      </c>
      <c r="W50" s="7">
        <f>IF($AH50="","",IF(INDEX('Per Invoice'!W$2:W$401,$AH50)="","",INDEX('Per Invoice'!W$2:W$401,$AH50)))</f>
        <v/>
      </c>
      <c r="X50" s="7">
        <f>IF($AH50="","",IF(INDEX('Per Invoice'!X$2:X$401,$AH50)="","",INDEX('Per Invoice'!X$2:X$401,$AH50)))</f>
        <v/>
      </c>
      <c r="Y50">
        <f>IF($AH50="","",IF(INDEX('Per Invoice'!Y$2:Y$401,$AH50)="","",INDEX('Per Invoice'!Y$2:Y$401,$AH50)))</f>
        <v/>
      </c>
      <c r="Z50" s="7">
        <f>IF($AH50="","",IF(INDEX('Per Invoice'!Z$2:Z$401,$AH50)="","",INDEX('Per Invoice'!Z$2:Z$401,$AH50)))</f>
        <v/>
      </c>
      <c r="AA50" s="7">
        <f>IF($AH50="","",IF(INDEX('Per Invoice'!AA$2:AA$401,$AH50)="","",INDEX('Per Invoice'!AA$2:AA$401,$AH50)))</f>
        <v/>
      </c>
      <c r="AB50" s="7">
        <f>IF($AH50="","",IF(INDEX('Per Invoice'!AB$2:AB$401,$AH50)="","",INDEX('Per Invoice'!AB$2:AB$401,$AH50)))</f>
        <v/>
      </c>
      <c r="AC50" s="7">
        <f>IF($AH50="","",IF(INDEX('Per Invoice'!AC$2:AC$401,$AH50)="","",INDEX('Per Invoice'!AC$2:AC$401,$AH50)))</f>
        <v/>
      </c>
      <c r="AD50" s="7">
        <f>IF($AH50="","",IF(INDEX('Per Invoice'!AD$2:AD$401,$AH50)="","",INDEX('Per Invoice'!AD$2:AD$401,$AH50)))</f>
        <v/>
      </c>
      <c r="AE50" s="7">
        <f>IF($AH50="","",IF(INDEX('Per Invoice'!AE$2:AE$401,$AH50)="","",INDEX('Per Invoice'!AE$2:AE$401,$AH50)))</f>
        <v/>
      </c>
      <c r="AF50">
        <f>IF($AH50="","",IF(INDEX('Per Invoice'!AF$2:AF$401,$AH50)="","",INDEX('Per Invoice'!AF$2:AF$401,$AH50)))</f>
        <v/>
      </c>
      <c r="AG50" s="7">
        <f>IF($AH50="","",IF(INDEX('Per Invoice'!AG$2:AG$401,$AH50)="","",INDEX('Per Invoice'!AG$2:AG$401,$AH50)))</f>
        <v/>
      </c>
      <c r="AH50" s="16">
        <f>IFERROR(MATCH(Settings!$C$26&amp;"|"&amp;ROWS($AH$2:$AH50),'Per Invoice'!$AI$2:$AI$401,0),"")</f>
        <v/>
      </c>
    </row>
    <row r="51">
      <c r="A51">
        <f>IF($AH51="","",IF(INDEX('Per Invoice'!A$2:A$401,$AH51)="","",INDEX('Per Invoice'!A$2:A$401,$AH51)))</f>
        <v/>
      </c>
      <c r="B51">
        <f>IF($AH51="","",IF(INDEX('Per Invoice'!B$2:B$401,$AH51)="","",INDEX('Per Invoice'!B$2:B$401,$AH51)))</f>
        <v/>
      </c>
      <c r="C51">
        <f>IF($AH51="","",IF(INDEX('Per Invoice'!C$2:C$401,$AH51)="","",INDEX('Per Invoice'!C$2:C$401,$AH51)))</f>
        <v/>
      </c>
      <c r="D51">
        <f>IF($AH51="","",IF(INDEX('Per Invoice'!D$2:D$401,$AH51)="","",INDEX('Per Invoice'!D$2:D$401,$AH51)))</f>
        <v/>
      </c>
      <c r="E51">
        <f>IF($AH51="","",IF(INDEX('Per Invoice'!E$2:E$401,$AH51)="","",INDEX('Per Invoice'!E$2:E$401,$AH51)))</f>
        <v/>
      </c>
      <c r="F51">
        <f>IF($AH51="","",IF(INDEX('Per Invoice'!F$2:F$401,$AH51)="","",INDEX('Per Invoice'!F$2:F$401,$AH51)))</f>
        <v/>
      </c>
      <c r="G51">
        <f>IF($AH51="","",IF(INDEX('Per Invoice'!G$2:G$401,$AH51)="","",INDEX('Per Invoice'!G$2:G$401,$AH51)))</f>
        <v/>
      </c>
      <c r="H51">
        <f>IF($AH51="","",IF(INDEX('Per Invoice'!H$2:H$401,$AH51)="","",INDEX('Per Invoice'!H$2:H$401,$AH51)))</f>
        <v/>
      </c>
      <c r="I51" s="14">
        <f>IF($AH51="","",IF(INDEX('Per Invoice'!I$2:I$401,$AH51)="","",INDEX('Per Invoice'!I$2:I$401,$AH51)))</f>
        <v/>
      </c>
      <c r="J51">
        <f>IF($AH51="","",IF(INDEX('Per Invoice'!J$2:J$401,$AH51)="","",INDEX('Per Invoice'!J$2:J$401,$AH51)))</f>
        <v/>
      </c>
      <c r="K51">
        <f>IF($AH51="","",IF(INDEX('Per Invoice'!K$2:K$401,$AH51)="","",INDEX('Per Invoice'!K$2:K$401,$AH51)))</f>
        <v/>
      </c>
      <c r="L51">
        <f>IF($AH51="","",IF(INDEX('Per Invoice'!L$2:L$401,$AH51)="","",INDEX('Per Invoice'!L$2:L$401,$AH51)))</f>
        <v/>
      </c>
      <c r="M51">
        <f>IF($AH51="","",IF(INDEX('Per Invoice'!M$2:M$401,$AH51)="","",INDEX('Per Invoice'!M$2:M$401,$AH51)))</f>
        <v/>
      </c>
      <c r="N51">
        <f>IF($AH51="","",IF(INDEX('Per Invoice'!N$2:N$401,$AH51)="","",INDEX('Per Invoice'!N$2:N$401,$AH51)))</f>
        <v/>
      </c>
      <c r="O51">
        <f>IF($AH51="","",IF(INDEX('Per Invoice'!O$2:O$401,$AH51)="","",INDEX('Per Invoice'!O$2:O$401,$AH51)))</f>
        <v/>
      </c>
      <c r="P51" s="7">
        <f>IF($AH51="","",IF(INDEX('Per Invoice'!P$2:P$401,$AH51)="","",INDEX('Per Invoice'!P$2:P$401,$AH51)))</f>
        <v/>
      </c>
      <c r="Q51">
        <f>IF($AH51="","",IF(INDEX('Per Invoice'!Q$2:Q$401,$AH51)="","",INDEX('Per Invoice'!Q$2:Q$401,$AH51)))</f>
        <v/>
      </c>
      <c r="R51">
        <f>IF($AH51="","",IF(INDEX('Per Invoice'!R$2:R$401,$AH51)="","",INDEX('Per Invoice'!R$2:R$401,$AH51)))</f>
        <v/>
      </c>
      <c r="S51">
        <f>IF($AH51="","",IF(INDEX('Per Invoice'!S$2:S$401,$AH51)="","",INDEX('Per Invoice'!S$2:S$401,$AH51)))</f>
        <v/>
      </c>
      <c r="T51" s="7">
        <f>IF($AH51="","",IF(INDEX('Per Invoice'!T$2:T$401,$AH51)="","",INDEX('Per Invoice'!T$2:T$401,$AH51)))</f>
        <v/>
      </c>
      <c r="U51" s="7">
        <f>IF($AH51="","",IF(INDEX('Per Invoice'!U$2:U$401,$AH51)="","",INDEX('Per Invoice'!U$2:U$401,$AH51)))</f>
        <v/>
      </c>
      <c r="V51">
        <f>IF($AH51="","",IF(INDEX('Per Invoice'!V$2:V$401,$AH51)="","",INDEX('Per Invoice'!V$2:V$401,$AH51)))</f>
        <v/>
      </c>
      <c r="W51" s="7">
        <f>IF($AH51="","",IF(INDEX('Per Invoice'!W$2:W$401,$AH51)="","",INDEX('Per Invoice'!W$2:W$401,$AH51)))</f>
        <v/>
      </c>
      <c r="X51" s="7">
        <f>IF($AH51="","",IF(INDEX('Per Invoice'!X$2:X$401,$AH51)="","",INDEX('Per Invoice'!X$2:X$401,$AH51)))</f>
        <v/>
      </c>
      <c r="Y51">
        <f>IF($AH51="","",IF(INDEX('Per Invoice'!Y$2:Y$401,$AH51)="","",INDEX('Per Invoice'!Y$2:Y$401,$AH51)))</f>
        <v/>
      </c>
      <c r="Z51" s="7">
        <f>IF($AH51="","",IF(INDEX('Per Invoice'!Z$2:Z$401,$AH51)="","",INDEX('Per Invoice'!Z$2:Z$401,$AH51)))</f>
        <v/>
      </c>
      <c r="AA51" s="7">
        <f>IF($AH51="","",IF(INDEX('Per Invoice'!AA$2:AA$401,$AH51)="","",INDEX('Per Invoice'!AA$2:AA$401,$AH51)))</f>
        <v/>
      </c>
      <c r="AB51" s="7">
        <f>IF($AH51="","",IF(INDEX('Per Invoice'!AB$2:AB$401,$AH51)="","",INDEX('Per Invoice'!AB$2:AB$401,$AH51)))</f>
        <v/>
      </c>
      <c r="AC51" s="7">
        <f>IF($AH51="","",IF(INDEX('Per Invoice'!AC$2:AC$401,$AH51)="","",INDEX('Per Invoice'!AC$2:AC$401,$AH51)))</f>
        <v/>
      </c>
      <c r="AD51" s="7">
        <f>IF($AH51="","",IF(INDEX('Per Invoice'!AD$2:AD$401,$AH51)="","",INDEX('Per Invoice'!AD$2:AD$401,$AH51)))</f>
        <v/>
      </c>
      <c r="AE51" s="7">
        <f>IF($AH51="","",IF(INDEX('Per Invoice'!AE$2:AE$401,$AH51)="","",INDEX('Per Invoice'!AE$2:AE$401,$AH51)))</f>
        <v/>
      </c>
      <c r="AF51">
        <f>IF($AH51="","",IF(INDEX('Per Invoice'!AF$2:AF$401,$AH51)="","",INDEX('Per Invoice'!AF$2:AF$401,$AH51)))</f>
        <v/>
      </c>
      <c r="AG51" s="7">
        <f>IF($AH51="","",IF(INDEX('Per Invoice'!AG$2:AG$401,$AH51)="","",INDEX('Per Invoice'!AG$2:AG$401,$AH51)))</f>
        <v/>
      </c>
      <c r="AH51" s="16">
        <f>IFERROR(MATCH(Settings!$C$26&amp;"|"&amp;ROWS($AH$2:$AH51),'Per Invoice'!$AI$2:$AI$401,0),"")</f>
        <v/>
      </c>
    </row>
    <row r="52">
      <c r="A52">
        <f>IF($AH52="","",IF(INDEX('Per Invoice'!A$2:A$401,$AH52)="","",INDEX('Per Invoice'!A$2:A$401,$AH52)))</f>
        <v/>
      </c>
      <c r="B52">
        <f>IF($AH52="","",IF(INDEX('Per Invoice'!B$2:B$401,$AH52)="","",INDEX('Per Invoice'!B$2:B$401,$AH52)))</f>
        <v/>
      </c>
      <c r="C52">
        <f>IF($AH52="","",IF(INDEX('Per Invoice'!C$2:C$401,$AH52)="","",INDEX('Per Invoice'!C$2:C$401,$AH52)))</f>
        <v/>
      </c>
      <c r="D52">
        <f>IF($AH52="","",IF(INDEX('Per Invoice'!D$2:D$401,$AH52)="","",INDEX('Per Invoice'!D$2:D$401,$AH52)))</f>
        <v/>
      </c>
      <c r="E52">
        <f>IF($AH52="","",IF(INDEX('Per Invoice'!E$2:E$401,$AH52)="","",INDEX('Per Invoice'!E$2:E$401,$AH52)))</f>
        <v/>
      </c>
      <c r="F52">
        <f>IF($AH52="","",IF(INDEX('Per Invoice'!F$2:F$401,$AH52)="","",INDEX('Per Invoice'!F$2:F$401,$AH52)))</f>
        <v/>
      </c>
      <c r="G52">
        <f>IF($AH52="","",IF(INDEX('Per Invoice'!G$2:G$401,$AH52)="","",INDEX('Per Invoice'!G$2:G$401,$AH52)))</f>
        <v/>
      </c>
      <c r="H52">
        <f>IF($AH52="","",IF(INDEX('Per Invoice'!H$2:H$401,$AH52)="","",INDEX('Per Invoice'!H$2:H$401,$AH52)))</f>
        <v/>
      </c>
      <c r="I52" s="14">
        <f>IF($AH52="","",IF(INDEX('Per Invoice'!I$2:I$401,$AH52)="","",INDEX('Per Invoice'!I$2:I$401,$AH52)))</f>
        <v/>
      </c>
      <c r="J52">
        <f>IF($AH52="","",IF(INDEX('Per Invoice'!J$2:J$401,$AH52)="","",INDEX('Per Invoice'!J$2:J$401,$AH52)))</f>
        <v/>
      </c>
      <c r="K52">
        <f>IF($AH52="","",IF(INDEX('Per Invoice'!K$2:K$401,$AH52)="","",INDEX('Per Invoice'!K$2:K$401,$AH52)))</f>
        <v/>
      </c>
      <c r="L52">
        <f>IF($AH52="","",IF(INDEX('Per Invoice'!L$2:L$401,$AH52)="","",INDEX('Per Invoice'!L$2:L$401,$AH52)))</f>
        <v/>
      </c>
      <c r="M52">
        <f>IF($AH52="","",IF(INDEX('Per Invoice'!M$2:M$401,$AH52)="","",INDEX('Per Invoice'!M$2:M$401,$AH52)))</f>
        <v/>
      </c>
      <c r="N52">
        <f>IF($AH52="","",IF(INDEX('Per Invoice'!N$2:N$401,$AH52)="","",INDEX('Per Invoice'!N$2:N$401,$AH52)))</f>
        <v/>
      </c>
      <c r="O52">
        <f>IF($AH52="","",IF(INDEX('Per Invoice'!O$2:O$401,$AH52)="","",INDEX('Per Invoice'!O$2:O$401,$AH52)))</f>
        <v/>
      </c>
      <c r="P52" s="7">
        <f>IF($AH52="","",IF(INDEX('Per Invoice'!P$2:P$401,$AH52)="","",INDEX('Per Invoice'!P$2:P$401,$AH52)))</f>
        <v/>
      </c>
      <c r="Q52">
        <f>IF($AH52="","",IF(INDEX('Per Invoice'!Q$2:Q$401,$AH52)="","",INDEX('Per Invoice'!Q$2:Q$401,$AH52)))</f>
        <v/>
      </c>
      <c r="R52">
        <f>IF($AH52="","",IF(INDEX('Per Invoice'!R$2:R$401,$AH52)="","",INDEX('Per Invoice'!R$2:R$401,$AH52)))</f>
        <v/>
      </c>
      <c r="S52">
        <f>IF($AH52="","",IF(INDEX('Per Invoice'!S$2:S$401,$AH52)="","",INDEX('Per Invoice'!S$2:S$401,$AH52)))</f>
        <v/>
      </c>
      <c r="T52" s="7">
        <f>IF($AH52="","",IF(INDEX('Per Invoice'!T$2:T$401,$AH52)="","",INDEX('Per Invoice'!T$2:T$401,$AH52)))</f>
        <v/>
      </c>
      <c r="U52" s="7">
        <f>IF($AH52="","",IF(INDEX('Per Invoice'!U$2:U$401,$AH52)="","",INDEX('Per Invoice'!U$2:U$401,$AH52)))</f>
        <v/>
      </c>
      <c r="V52">
        <f>IF($AH52="","",IF(INDEX('Per Invoice'!V$2:V$401,$AH52)="","",INDEX('Per Invoice'!V$2:V$401,$AH52)))</f>
        <v/>
      </c>
      <c r="W52" s="7">
        <f>IF($AH52="","",IF(INDEX('Per Invoice'!W$2:W$401,$AH52)="","",INDEX('Per Invoice'!W$2:W$401,$AH52)))</f>
        <v/>
      </c>
      <c r="X52" s="7">
        <f>IF($AH52="","",IF(INDEX('Per Invoice'!X$2:X$401,$AH52)="","",INDEX('Per Invoice'!X$2:X$401,$AH52)))</f>
        <v/>
      </c>
      <c r="Y52">
        <f>IF($AH52="","",IF(INDEX('Per Invoice'!Y$2:Y$401,$AH52)="","",INDEX('Per Invoice'!Y$2:Y$401,$AH52)))</f>
        <v/>
      </c>
      <c r="Z52" s="7">
        <f>IF($AH52="","",IF(INDEX('Per Invoice'!Z$2:Z$401,$AH52)="","",INDEX('Per Invoice'!Z$2:Z$401,$AH52)))</f>
        <v/>
      </c>
      <c r="AA52" s="7">
        <f>IF($AH52="","",IF(INDEX('Per Invoice'!AA$2:AA$401,$AH52)="","",INDEX('Per Invoice'!AA$2:AA$401,$AH52)))</f>
        <v/>
      </c>
      <c r="AB52" s="7">
        <f>IF($AH52="","",IF(INDEX('Per Invoice'!AB$2:AB$401,$AH52)="","",INDEX('Per Invoice'!AB$2:AB$401,$AH52)))</f>
        <v/>
      </c>
      <c r="AC52" s="7">
        <f>IF($AH52="","",IF(INDEX('Per Invoice'!AC$2:AC$401,$AH52)="","",INDEX('Per Invoice'!AC$2:AC$401,$AH52)))</f>
        <v/>
      </c>
      <c r="AD52" s="7">
        <f>IF($AH52="","",IF(INDEX('Per Invoice'!AD$2:AD$401,$AH52)="","",INDEX('Per Invoice'!AD$2:AD$401,$AH52)))</f>
        <v/>
      </c>
      <c r="AE52" s="7">
        <f>IF($AH52="","",IF(INDEX('Per Invoice'!AE$2:AE$401,$AH52)="","",INDEX('Per Invoice'!AE$2:AE$401,$AH52)))</f>
        <v/>
      </c>
      <c r="AF52">
        <f>IF($AH52="","",IF(INDEX('Per Invoice'!AF$2:AF$401,$AH52)="","",INDEX('Per Invoice'!AF$2:AF$401,$AH52)))</f>
        <v/>
      </c>
      <c r="AG52" s="7">
        <f>IF($AH52="","",IF(INDEX('Per Invoice'!AG$2:AG$401,$AH52)="","",INDEX('Per Invoice'!AG$2:AG$401,$AH52)))</f>
        <v/>
      </c>
      <c r="AH52" s="16">
        <f>IFERROR(MATCH(Settings!$C$26&amp;"|"&amp;ROWS($AH$2:$AH52),'Per Invoice'!$AI$2:$AI$401,0),"")</f>
        <v/>
      </c>
    </row>
    <row r="53">
      <c r="A53">
        <f>IF($AH53="","",IF(INDEX('Per Invoice'!A$2:A$401,$AH53)="","",INDEX('Per Invoice'!A$2:A$401,$AH53)))</f>
        <v/>
      </c>
      <c r="B53">
        <f>IF($AH53="","",IF(INDEX('Per Invoice'!B$2:B$401,$AH53)="","",INDEX('Per Invoice'!B$2:B$401,$AH53)))</f>
        <v/>
      </c>
      <c r="C53">
        <f>IF($AH53="","",IF(INDEX('Per Invoice'!C$2:C$401,$AH53)="","",INDEX('Per Invoice'!C$2:C$401,$AH53)))</f>
        <v/>
      </c>
      <c r="D53">
        <f>IF($AH53="","",IF(INDEX('Per Invoice'!D$2:D$401,$AH53)="","",INDEX('Per Invoice'!D$2:D$401,$AH53)))</f>
        <v/>
      </c>
      <c r="E53">
        <f>IF($AH53="","",IF(INDEX('Per Invoice'!E$2:E$401,$AH53)="","",INDEX('Per Invoice'!E$2:E$401,$AH53)))</f>
        <v/>
      </c>
      <c r="F53">
        <f>IF($AH53="","",IF(INDEX('Per Invoice'!F$2:F$401,$AH53)="","",INDEX('Per Invoice'!F$2:F$401,$AH53)))</f>
        <v/>
      </c>
      <c r="G53">
        <f>IF($AH53="","",IF(INDEX('Per Invoice'!G$2:G$401,$AH53)="","",INDEX('Per Invoice'!G$2:G$401,$AH53)))</f>
        <v/>
      </c>
      <c r="H53">
        <f>IF($AH53="","",IF(INDEX('Per Invoice'!H$2:H$401,$AH53)="","",INDEX('Per Invoice'!H$2:H$401,$AH53)))</f>
        <v/>
      </c>
      <c r="I53" s="14">
        <f>IF($AH53="","",IF(INDEX('Per Invoice'!I$2:I$401,$AH53)="","",INDEX('Per Invoice'!I$2:I$401,$AH53)))</f>
        <v/>
      </c>
      <c r="J53">
        <f>IF($AH53="","",IF(INDEX('Per Invoice'!J$2:J$401,$AH53)="","",INDEX('Per Invoice'!J$2:J$401,$AH53)))</f>
        <v/>
      </c>
      <c r="K53">
        <f>IF($AH53="","",IF(INDEX('Per Invoice'!K$2:K$401,$AH53)="","",INDEX('Per Invoice'!K$2:K$401,$AH53)))</f>
        <v/>
      </c>
      <c r="L53">
        <f>IF($AH53="","",IF(INDEX('Per Invoice'!L$2:L$401,$AH53)="","",INDEX('Per Invoice'!L$2:L$401,$AH53)))</f>
        <v/>
      </c>
      <c r="M53">
        <f>IF($AH53="","",IF(INDEX('Per Invoice'!M$2:M$401,$AH53)="","",INDEX('Per Invoice'!M$2:M$401,$AH53)))</f>
        <v/>
      </c>
      <c r="N53">
        <f>IF($AH53="","",IF(INDEX('Per Invoice'!N$2:N$401,$AH53)="","",INDEX('Per Invoice'!N$2:N$401,$AH53)))</f>
        <v/>
      </c>
      <c r="O53">
        <f>IF($AH53="","",IF(INDEX('Per Invoice'!O$2:O$401,$AH53)="","",INDEX('Per Invoice'!O$2:O$401,$AH53)))</f>
        <v/>
      </c>
      <c r="P53" s="7">
        <f>IF($AH53="","",IF(INDEX('Per Invoice'!P$2:P$401,$AH53)="","",INDEX('Per Invoice'!P$2:P$401,$AH53)))</f>
        <v/>
      </c>
      <c r="Q53">
        <f>IF($AH53="","",IF(INDEX('Per Invoice'!Q$2:Q$401,$AH53)="","",INDEX('Per Invoice'!Q$2:Q$401,$AH53)))</f>
        <v/>
      </c>
      <c r="R53">
        <f>IF($AH53="","",IF(INDEX('Per Invoice'!R$2:R$401,$AH53)="","",INDEX('Per Invoice'!R$2:R$401,$AH53)))</f>
        <v/>
      </c>
      <c r="S53">
        <f>IF($AH53="","",IF(INDEX('Per Invoice'!S$2:S$401,$AH53)="","",INDEX('Per Invoice'!S$2:S$401,$AH53)))</f>
        <v/>
      </c>
      <c r="T53" s="7">
        <f>IF($AH53="","",IF(INDEX('Per Invoice'!T$2:T$401,$AH53)="","",INDEX('Per Invoice'!T$2:T$401,$AH53)))</f>
        <v/>
      </c>
      <c r="U53" s="7">
        <f>IF($AH53="","",IF(INDEX('Per Invoice'!U$2:U$401,$AH53)="","",INDEX('Per Invoice'!U$2:U$401,$AH53)))</f>
        <v/>
      </c>
      <c r="V53">
        <f>IF($AH53="","",IF(INDEX('Per Invoice'!V$2:V$401,$AH53)="","",INDEX('Per Invoice'!V$2:V$401,$AH53)))</f>
        <v/>
      </c>
      <c r="W53" s="7">
        <f>IF($AH53="","",IF(INDEX('Per Invoice'!W$2:W$401,$AH53)="","",INDEX('Per Invoice'!W$2:W$401,$AH53)))</f>
        <v/>
      </c>
      <c r="X53" s="7">
        <f>IF($AH53="","",IF(INDEX('Per Invoice'!X$2:X$401,$AH53)="","",INDEX('Per Invoice'!X$2:X$401,$AH53)))</f>
        <v/>
      </c>
      <c r="Y53">
        <f>IF($AH53="","",IF(INDEX('Per Invoice'!Y$2:Y$401,$AH53)="","",INDEX('Per Invoice'!Y$2:Y$401,$AH53)))</f>
        <v/>
      </c>
      <c r="Z53" s="7">
        <f>IF($AH53="","",IF(INDEX('Per Invoice'!Z$2:Z$401,$AH53)="","",INDEX('Per Invoice'!Z$2:Z$401,$AH53)))</f>
        <v/>
      </c>
      <c r="AA53" s="7">
        <f>IF($AH53="","",IF(INDEX('Per Invoice'!AA$2:AA$401,$AH53)="","",INDEX('Per Invoice'!AA$2:AA$401,$AH53)))</f>
        <v/>
      </c>
      <c r="AB53" s="7">
        <f>IF($AH53="","",IF(INDEX('Per Invoice'!AB$2:AB$401,$AH53)="","",INDEX('Per Invoice'!AB$2:AB$401,$AH53)))</f>
        <v/>
      </c>
      <c r="AC53" s="7">
        <f>IF($AH53="","",IF(INDEX('Per Invoice'!AC$2:AC$401,$AH53)="","",INDEX('Per Invoice'!AC$2:AC$401,$AH53)))</f>
        <v/>
      </c>
      <c r="AD53" s="7">
        <f>IF($AH53="","",IF(INDEX('Per Invoice'!AD$2:AD$401,$AH53)="","",INDEX('Per Invoice'!AD$2:AD$401,$AH53)))</f>
        <v/>
      </c>
      <c r="AE53" s="7">
        <f>IF($AH53="","",IF(INDEX('Per Invoice'!AE$2:AE$401,$AH53)="","",INDEX('Per Invoice'!AE$2:AE$401,$AH53)))</f>
        <v/>
      </c>
      <c r="AF53">
        <f>IF($AH53="","",IF(INDEX('Per Invoice'!AF$2:AF$401,$AH53)="","",INDEX('Per Invoice'!AF$2:AF$401,$AH53)))</f>
        <v/>
      </c>
      <c r="AG53" s="7">
        <f>IF($AH53="","",IF(INDEX('Per Invoice'!AG$2:AG$401,$AH53)="","",INDEX('Per Invoice'!AG$2:AG$401,$AH53)))</f>
        <v/>
      </c>
      <c r="AH53" s="16">
        <f>IFERROR(MATCH(Settings!$C$26&amp;"|"&amp;ROWS($AH$2:$AH53),'Per Invoice'!$AI$2:$AI$401,0),"")</f>
        <v/>
      </c>
    </row>
    <row r="54">
      <c r="A54">
        <f>IF($AH54="","",IF(INDEX('Per Invoice'!A$2:A$401,$AH54)="","",INDEX('Per Invoice'!A$2:A$401,$AH54)))</f>
        <v/>
      </c>
      <c r="B54">
        <f>IF($AH54="","",IF(INDEX('Per Invoice'!B$2:B$401,$AH54)="","",INDEX('Per Invoice'!B$2:B$401,$AH54)))</f>
        <v/>
      </c>
      <c r="C54">
        <f>IF($AH54="","",IF(INDEX('Per Invoice'!C$2:C$401,$AH54)="","",INDEX('Per Invoice'!C$2:C$401,$AH54)))</f>
        <v/>
      </c>
      <c r="D54">
        <f>IF($AH54="","",IF(INDEX('Per Invoice'!D$2:D$401,$AH54)="","",INDEX('Per Invoice'!D$2:D$401,$AH54)))</f>
        <v/>
      </c>
      <c r="E54">
        <f>IF($AH54="","",IF(INDEX('Per Invoice'!E$2:E$401,$AH54)="","",INDEX('Per Invoice'!E$2:E$401,$AH54)))</f>
        <v/>
      </c>
      <c r="F54">
        <f>IF($AH54="","",IF(INDEX('Per Invoice'!F$2:F$401,$AH54)="","",INDEX('Per Invoice'!F$2:F$401,$AH54)))</f>
        <v/>
      </c>
      <c r="G54">
        <f>IF($AH54="","",IF(INDEX('Per Invoice'!G$2:G$401,$AH54)="","",INDEX('Per Invoice'!G$2:G$401,$AH54)))</f>
        <v/>
      </c>
      <c r="H54">
        <f>IF($AH54="","",IF(INDEX('Per Invoice'!H$2:H$401,$AH54)="","",INDEX('Per Invoice'!H$2:H$401,$AH54)))</f>
        <v/>
      </c>
      <c r="I54" s="14">
        <f>IF($AH54="","",IF(INDEX('Per Invoice'!I$2:I$401,$AH54)="","",INDEX('Per Invoice'!I$2:I$401,$AH54)))</f>
        <v/>
      </c>
      <c r="J54">
        <f>IF($AH54="","",IF(INDEX('Per Invoice'!J$2:J$401,$AH54)="","",INDEX('Per Invoice'!J$2:J$401,$AH54)))</f>
        <v/>
      </c>
      <c r="K54">
        <f>IF($AH54="","",IF(INDEX('Per Invoice'!K$2:K$401,$AH54)="","",INDEX('Per Invoice'!K$2:K$401,$AH54)))</f>
        <v/>
      </c>
      <c r="L54">
        <f>IF($AH54="","",IF(INDEX('Per Invoice'!L$2:L$401,$AH54)="","",INDEX('Per Invoice'!L$2:L$401,$AH54)))</f>
        <v/>
      </c>
      <c r="M54">
        <f>IF($AH54="","",IF(INDEX('Per Invoice'!M$2:M$401,$AH54)="","",INDEX('Per Invoice'!M$2:M$401,$AH54)))</f>
        <v/>
      </c>
      <c r="N54">
        <f>IF($AH54="","",IF(INDEX('Per Invoice'!N$2:N$401,$AH54)="","",INDEX('Per Invoice'!N$2:N$401,$AH54)))</f>
        <v/>
      </c>
      <c r="O54">
        <f>IF($AH54="","",IF(INDEX('Per Invoice'!O$2:O$401,$AH54)="","",INDEX('Per Invoice'!O$2:O$401,$AH54)))</f>
        <v/>
      </c>
      <c r="P54" s="7">
        <f>IF($AH54="","",IF(INDEX('Per Invoice'!P$2:P$401,$AH54)="","",INDEX('Per Invoice'!P$2:P$401,$AH54)))</f>
        <v/>
      </c>
      <c r="Q54">
        <f>IF($AH54="","",IF(INDEX('Per Invoice'!Q$2:Q$401,$AH54)="","",INDEX('Per Invoice'!Q$2:Q$401,$AH54)))</f>
        <v/>
      </c>
      <c r="R54">
        <f>IF($AH54="","",IF(INDEX('Per Invoice'!R$2:R$401,$AH54)="","",INDEX('Per Invoice'!R$2:R$401,$AH54)))</f>
        <v/>
      </c>
      <c r="S54">
        <f>IF($AH54="","",IF(INDEX('Per Invoice'!S$2:S$401,$AH54)="","",INDEX('Per Invoice'!S$2:S$401,$AH54)))</f>
        <v/>
      </c>
      <c r="T54" s="7">
        <f>IF($AH54="","",IF(INDEX('Per Invoice'!T$2:T$401,$AH54)="","",INDEX('Per Invoice'!T$2:T$401,$AH54)))</f>
        <v/>
      </c>
      <c r="U54" s="7">
        <f>IF($AH54="","",IF(INDEX('Per Invoice'!U$2:U$401,$AH54)="","",INDEX('Per Invoice'!U$2:U$401,$AH54)))</f>
        <v/>
      </c>
      <c r="V54">
        <f>IF($AH54="","",IF(INDEX('Per Invoice'!V$2:V$401,$AH54)="","",INDEX('Per Invoice'!V$2:V$401,$AH54)))</f>
        <v/>
      </c>
      <c r="W54" s="7">
        <f>IF($AH54="","",IF(INDEX('Per Invoice'!W$2:W$401,$AH54)="","",INDEX('Per Invoice'!W$2:W$401,$AH54)))</f>
        <v/>
      </c>
      <c r="X54" s="7">
        <f>IF($AH54="","",IF(INDEX('Per Invoice'!X$2:X$401,$AH54)="","",INDEX('Per Invoice'!X$2:X$401,$AH54)))</f>
        <v/>
      </c>
      <c r="Y54">
        <f>IF($AH54="","",IF(INDEX('Per Invoice'!Y$2:Y$401,$AH54)="","",INDEX('Per Invoice'!Y$2:Y$401,$AH54)))</f>
        <v/>
      </c>
      <c r="Z54" s="7">
        <f>IF($AH54="","",IF(INDEX('Per Invoice'!Z$2:Z$401,$AH54)="","",INDEX('Per Invoice'!Z$2:Z$401,$AH54)))</f>
        <v/>
      </c>
      <c r="AA54" s="7">
        <f>IF($AH54="","",IF(INDEX('Per Invoice'!AA$2:AA$401,$AH54)="","",INDEX('Per Invoice'!AA$2:AA$401,$AH54)))</f>
        <v/>
      </c>
      <c r="AB54" s="7">
        <f>IF($AH54="","",IF(INDEX('Per Invoice'!AB$2:AB$401,$AH54)="","",INDEX('Per Invoice'!AB$2:AB$401,$AH54)))</f>
        <v/>
      </c>
      <c r="AC54" s="7">
        <f>IF($AH54="","",IF(INDEX('Per Invoice'!AC$2:AC$401,$AH54)="","",INDEX('Per Invoice'!AC$2:AC$401,$AH54)))</f>
        <v/>
      </c>
      <c r="AD54" s="7">
        <f>IF($AH54="","",IF(INDEX('Per Invoice'!AD$2:AD$401,$AH54)="","",INDEX('Per Invoice'!AD$2:AD$401,$AH54)))</f>
        <v/>
      </c>
      <c r="AE54" s="7">
        <f>IF($AH54="","",IF(INDEX('Per Invoice'!AE$2:AE$401,$AH54)="","",INDEX('Per Invoice'!AE$2:AE$401,$AH54)))</f>
        <v/>
      </c>
      <c r="AF54">
        <f>IF($AH54="","",IF(INDEX('Per Invoice'!AF$2:AF$401,$AH54)="","",INDEX('Per Invoice'!AF$2:AF$401,$AH54)))</f>
        <v/>
      </c>
      <c r="AG54" s="7">
        <f>IF($AH54="","",IF(INDEX('Per Invoice'!AG$2:AG$401,$AH54)="","",INDEX('Per Invoice'!AG$2:AG$401,$AH54)))</f>
        <v/>
      </c>
      <c r="AH54" s="16">
        <f>IFERROR(MATCH(Settings!$C$26&amp;"|"&amp;ROWS($AH$2:$AH54),'Per Invoice'!$AI$2:$AI$401,0),"")</f>
        <v/>
      </c>
    </row>
    <row r="55">
      <c r="A55">
        <f>IF($AH55="","",IF(INDEX('Per Invoice'!A$2:A$401,$AH55)="","",INDEX('Per Invoice'!A$2:A$401,$AH55)))</f>
        <v/>
      </c>
      <c r="B55">
        <f>IF($AH55="","",IF(INDEX('Per Invoice'!B$2:B$401,$AH55)="","",INDEX('Per Invoice'!B$2:B$401,$AH55)))</f>
        <v/>
      </c>
      <c r="C55">
        <f>IF($AH55="","",IF(INDEX('Per Invoice'!C$2:C$401,$AH55)="","",INDEX('Per Invoice'!C$2:C$401,$AH55)))</f>
        <v/>
      </c>
      <c r="D55">
        <f>IF($AH55="","",IF(INDEX('Per Invoice'!D$2:D$401,$AH55)="","",INDEX('Per Invoice'!D$2:D$401,$AH55)))</f>
        <v/>
      </c>
      <c r="E55">
        <f>IF($AH55="","",IF(INDEX('Per Invoice'!E$2:E$401,$AH55)="","",INDEX('Per Invoice'!E$2:E$401,$AH55)))</f>
        <v/>
      </c>
      <c r="F55">
        <f>IF($AH55="","",IF(INDEX('Per Invoice'!F$2:F$401,$AH55)="","",INDEX('Per Invoice'!F$2:F$401,$AH55)))</f>
        <v/>
      </c>
      <c r="G55">
        <f>IF($AH55="","",IF(INDEX('Per Invoice'!G$2:G$401,$AH55)="","",INDEX('Per Invoice'!G$2:G$401,$AH55)))</f>
        <v/>
      </c>
      <c r="H55">
        <f>IF($AH55="","",IF(INDEX('Per Invoice'!H$2:H$401,$AH55)="","",INDEX('Per Invoice'!H$2:H$401,$AH55)))</f>
        <v/>
      </c>
      <c r="I55" s="14">
        <f>IF($AH55="","",IF(INDEX('Per Invoice'!I$2:I$401,$AH55)="","",INDEX('Per Invoice'!I$2:I$401,$AH55)))</f>
        <v/>
      </c>
      <c r="J55">
        <f>IF($AH55="","",IF(INDEX('Per Invoice'!J$2:J$401,$AH55)="","",INDEX('Per Invoice'!J$2:J$401,$AH55)))</f>
        <v/>
      </c>
      <c r="K55">
        <f>IF($AH55="","",IF(INDEX('Per Invoice'!K$2:K$401,$AH55)="","",INDEX('Per Invoice'!K$2:K$401,$AH55)))</f>
        <v/>
      </c>
      <c r="L55">
        <f>IF($AH55="","",IF(INDEX('Per Invoice'!L$2:L$401,$AH55)="","",INDEX('Per Invoice'!L$2:L$401,$AH55)))</f>
        <v/>
      </c>
      <c r="M55">
        <f>IF($AH55="","",IF(INDEX('Per Invoice'!M$2:M$401,$AH55)="","",INDEX('Per Invoice'!M$2:M$401,$AH55)))</f>
        <v/>
      </c>
      <c r="N55">
        <f>IF($AH55="","",IF(INDEX('Per Invoice'!N$2:N$401,$AH55)="","",INDEX('Per Invoice'!N$2:N$401,$AH55)))</f>
        <v/>
      </c>
      <c r="O55">
        <f>IF($AH55="","",IF(INDEX('Per Invoice'!O$2:O$401,$AH55)="","",INDEX('Per Invoice'!O$2:O$401,$AH55)))</f>
        <v/>
      </c>
      <c r="P55" s="7">
        <f>IF($AH55="","",IF(INDEX('Per Invoice'!P$2:P$401,$AH55)="","",INDEX('Per Invoice'!P$2:P$401,$AH55)))</f>
        <v/>
      </c>
      <c r="Q55">
        <f>IF($AH55="","",IF(INDEX('Per Invoice'!Q$2:Q$401,$AH55)="","",INDEX('Per Invoice'!Q$2:Q$401,$AH55)))</f>
        <v/>
      </c>
      <c r="R55">
        <f>IF($AH55="","",IF(INDEX('Per Invoice'!R$2:R$401,$AH55)="","",INDEX('Per Invoice'!R$2:R$401,$AH55)))</f>
        <v/>
      </c>
      <c r="S55">
        <f>IF($AH55="","",IF(INDEX('Per Invoice'!S$2:S$401,$AH55)="","",INDEX('Per Invoice'!S$2:S$401,$AH55)))</f>
        <v/>
      </c>
      <c r="T55" s="7">
        <f>IF($AH55="","",IF(INDEX('Per Invoice'!T$2:T$401,$AH55)="","",INDEX('Per Invoice'!T$2:T$401,$AH55)))</f>
        <v/>
      </c>
      <c r="U55" s="7">
        <f>IF($AH55="","",IF(INDEX('Per Invoice'!U$2:U$401,$AH55)="","",INDEX('Per Invoice'!U$2:U$401,$AH55)))</f>
        <v/>
      </c>
      <c r="V55">
        <f>IF($AH55="","",IF(INDEX('Per Invoice'!V$2:V$401,$AH55)="","",INDEX('Per Invoice'!V$2:V$401,$AH55)))</f>
        <v/>
      </c>
      <c r="W55" s="7">
        <f>IF($AH55="","",IF(INDEX('Per Invoice'!W$2:W$401,$AH55)="","",INDEX('Per Invoice'!W$2:W$401,$AH55)))</f>
        <v/>
      </c>
      <c r="X55" s="7">
        <f>IF($AH55="","",IF(INDEX('Per Invoice'!X$2:X$401,$AH55)="","",INDEX('Per Invoice'!X$2:X$401,$AH55)))</f>
        <v/>
      </c>
      <c r="Y55">
        <f>IF($AH55="","",IF(INDEX('Per Invoice'!Y$2:Y$401,$AH55)="","",INDEX('Per Invoice'!Y$2:Y$401,$AH55)))</f>
        <v/>
      </c>
      <c r="Z55" s="7">
        <f>IF($AH55="","",IF(INDEX('Per Invoice'!Z$2:Z$401,$AH55)="","",INDEX('Per Invoice'!Z$2:Z$401,$AH55)))</f>
        <v/>
      </c>
      <c r="AA55" s="7">
        <f>IF($AH55="","",IF(INDEX('Per Invoice'!AA$2:AA$401,$AH55)="","",INDEX('Per Invoice'!AA$2:AA$401,$AH55)))</f>
        <v/>
      </c>
      <c r="AB55" s="7">
        <f>IF($AH55="","",IF(INDEX('Per Invoice'!AB$2:AB$401,$AH55)="","",INDEX('Per Invoice'!AB$2:AB$401,$AH55)))</f>
        <v/>
      </c>
      <c r="AC55" s="7">
        <f>IF($AH55="","",IF(INDEX('Per Invoice'!AC$2:AC$401,$AH55)="","",INDEX('Per Invoice'!AC$2:AC$401,$AH55)))</f>
        <v/>
      </c>
      <c r="AD55" s="7">
        <f>IF($AH55="","",IF(INDEX('Per Invoice'!AD$2:AD$401,$AH55)="","",INDEX('Per Invoice'!AD$2:AD$401,$AH55)))</f>
        <v/>
      </c>
      <c r="AE55" s="7">
        <f>IF($AH55="","",IF(INDEX('Per Invoice'!AE$2:AE$401,$AH55)="","",INDEX('Per Invoice'!AE$2:AE$401,$AH55)))</f>
        <v/>
      </c>
      <c r="AF55">
        <f>IF($AH55="","",IF(INDEX('Per Invoice'!AF$2:AF$401,$AH55)="","",INDEX('Per Invoice'!AF$2:AF$401,$AH55)))</f>
        <v/>
      </c>
      <c r="AG55" s="7">
        <f>IF($AH55="","",IF(INDEX('Per Invoice'!AG$2:AG$401,$AH55)="","",INDEX('Per Invoice'!AG$2:AG$401,$AH55)))</f>
        <v/>
      </c>
      <c r="AH55" s="16">
        <f>IFERROR(MATCH(Settings!$C$26&amp;"|"&amp;ROWS($AH$2:$AH55),'Per Invoice'!$AI$2:$AI$401,0),"")</f>
        <v/>
      </c>
    </row>
    <row r="56">
      <c r="A56">
        <f>IF($AH56="","",IF(INDEX('Per Invoice'!A$2:A$401,$AH56)="","",INDEX('Per Invoice'!A$2:A$401,$AH56)))</f>
        <v/>
      </c>
      <c r="B56">
        <f>IF($AH56="","",IF(INDEX('Per Invoice'!B$2:B$401,$AH56)="","",INDEX('Per Invoice'!B$2:B$401,$AH56)))</f>
        <v/>
      </c>
      <c r="C56">
        <f>IF($AH56="","",IF(INDEX('Per Invoice'!C$2:C$401,$AH56)="","",INDEX('Per Invoice'!C$2:C$401,$AH56)))</f>
        <v/>
      </c>
      <c r="D56">
        <f>IF($AH56="","",IF(INDEX('Per Invoice'!D$2:D$401,$AH56)="","",INDEX('Per Invoice'!D$2:D$401,$AH56)))</f>
        <v/>
      </c>
      <c r="E56">
        <f>IF($AH56="","",IF(INDEX('Per Invoice'!E$2:E$401,$AH56)="","",INDEX('Per Invoice'!E$2:E$401,$AH56)))</f>
        <v/>
      </c>
      <c r="F56">
        <f>IF($AH56="","",IF(INDEX('Per Invoice'!F$2:F$401,$AH56)="","",INDEX('Per Invoice'!F$2:F$401,$AH56)))</f>
        <v/>
      </c>
      <c r="G56">
        <f>IF($AH56="","",IF(INDEX('Per Invoice'!G$2:G$401,$AH56)="","",INDEX('Per Invoice'!G$2:G$401,$AH56)))</f>
        <v/>
      </c>
      <c r="H56">
        <f>IF($AH56="","",IF(INDEX('Per Invoice'!H$2:H$401,$AH56)="","",INDEX('Per Invoice'!H$2:H$401,$AH56)))</f>
        <v/>
      </c>
      <c r="I56" s="14">
        <f>IF($AH56="","",IF(INDEX('Per Invoice'!I$2:I$401,$AH56)="","",INDEX('Per Invoice'!I$2:I$401,$AH56)))</f>
        <v/>
      </c>
      <c r="J56">
        <f>IF($AH56="","",IF(INDEX('Per Invoice'!J$2:J$401,$AH56)="","",INDEX('Per Invoice'!J$2:J$401,$AH56)))</f>
        <v/>
      </c>
      <c r="K56">
        <f>IF($AH56="","",IF(INDEX('Per Invoice'!K$2:K$401,$AH56)="","",INDEX('Per Invoice'!K$2:K$401,$AH56)))</f>
        <v/>
      </c>
      <c r="L56">
        <f>IF($AH56="","",IF(INDEX('Per Invoice'!L$2:L$401,$AH56)="","",INDEX('Per Invoice'!L$2:L$401,$AH56)))</f>
        <v/>
      </c>
      <c r="M56">
        <f>IF($AH56="","",IF(INDEX('Per Invoice'!M$2:M$401,$AH56)="","",INDEX('Per Invoice'!M$2:M$401,$AH56)))</f>
        <v/>
      </c>
      <c r="N56">
        <f>IF($AH56="","",IF(INDEX('Per Invoice'!N$2:N$401,$AH56)="","",INDEX('Per Invoice'!N$2:N$401,$AH56)))</f>
        <v/>
      </c>
      <c r="O56">
        <f>IF($AH56="","",IF(INDEX('Per Invoice'!O$2:O$401,$AH56)="","",INDEX('Per Invoice'!O$2:O$401,$AH56)))</f>
        <v/>
      </c>
      <c r="P56" s="7">
        <f>IF($AH56="","",IF(INDEX('Per Invoice'!P$2:P$401,$AH56)="","",INDEX('Per Invoice'!P$2:P$401,$AH56)))</f>
        <v/>
      </c>
      <c r="Q56">
        <f>IF($AH56="","",IF(INDEX('Per Invoice'!Q$2:Q$401,$AH56)="","",INDEX('Per Invoice'!Q$2:Q$401,$AH56)))</f>
        <v/>
      </c>
      <c r="R56">
        <f>IF($AH56="","",IF(INDEX('Per Invoice'!R$2:R$401,$AH56)="","",INDEX('Per Invoice'!R$2:R$401,$AH56)))</f>
        <v/>
      </c>
      <c r="S56">
        <f>IF($AH56="","",IF(INDEX('Per Invoice'!S$2:S$401,$AH56)="","",INDEX('Per Invoice'!S$2:S$401,$AH56)))</f>
        <v/>
      </c>
      <c r="T56" s="7">
        <f>IF($AH56="","",IF(INDEX('Per Invoice'!T$2:T$401,$AH56)="","",INDEX('Per Invoice'!T$2:T$401,$AH56)))</f>
        <v/>
      </c>
      <c r="U56" s="7">
        <f>IF($AH56="","",IF(INDEX('Per Invoice'!U$2:U$401,$AH56)="","",INDEX('Per Invoice'!U$2:U$401,$AH56)))</f>
        <v/>
      </c>
      <c r="V56">
        <f>IF($AH56="","",IF(INDEX('Per Invoice'!V$2:V$401,$AH56)="","",INDEX('Per Invoice'!V$2:V$401,$AH56)))</f>
        <v/>
      </c>
      <c r="W56" s="7">
        <f>IF($AH56="","",IF(INDEX('Per Invoice'!W$2:W$401,$AH56)="","",INDEX('Per Invoice'!W$2:W$401,$AH56)))</f>
        <v/>
      </c>
      <c r="X56" s="7">
        <f>IF($AH56="","",IF(INDEX('Per Invoice'!X$2:X$401,$AH56)="","",INDEX('Per Invoice'!X$2:X$401,$AH56)))</f>
        <v/>
      </c>
      <c r="Y56">
        <f>IF($AH56="","",IF(INDEX('Per Invoice'!Y$2:Y$401,$AH56)="","",INDEX('Per Invoice'!Y$2:Y$401,$AH56)))</f>
        <v/>
      </c>
      <c r="Z56" s="7">
        <f>IF($AH56="","",IF(INDEX('Per Invoice'!Z$2:Z$401,$AH56)="","",INDEX('Per Invoice'!Z$2:Z$401,$AH56)))</f>
        <v/>
      </c>
      <c r="AA56" s="7">
        <f>IF($AH56="","",IF(INDEX('Per Invoice'!AA$2:AA$401,$AH56)="","",INDEX('Per Invoice'!AA$2:AA$401,$AH56)))</f>
        <v/>
      </c>
      <c r="AB56" s="7">
        <f>IF($AH56="","",IF(INDEX('Per Invoice'!AB$2:AB$401,$AH56)="","",INDEX('Per Invoice'!AB$2:AB$401,$AH56)))</f>
        <v/>
      </c>
      <c r="AC56" s="7">
        <f>IF($AH56="","",IF(INDEX('Per Invoice'!AC$2:AC$401,$AH56)="","",INDEX('Per Invoice'!AC$2:AC$401,$AH56)))</f>
        <v/>
      </c>
      <c r="AD56" s="7">
        <f>IF($AH56="","",IF(INDEX('Per Invoice'!AD$2:AD$401,$AH56)="","",INDEX('Per Invoice'!AD$2:AD$401,$AH56)))</f>
        <v/>
      </c>
      <c r="AE56" s="7">
        <f>IF($AH56="","",IF(INDEX('Per Invoice'!AE$2:AE$401,$AH56)="","",INDEX('Per Invoice'!AE$2:AE$401,$AH56)))</f>
        <v/>
      </c>
      <c r="AF56">
        <f>IF($AH56="","",IF(INDEX('Per Invoice'!AF$2:AF$401,$AH56)="","",INDEX('Per Invoice'!AF$2:AF$401,$AH56)))</f>
        <v/>
      </c>
      <c r="AG56" s="7">
        <f>IF($AH56="","",IF(INDEX('Per Invoice'!AG$2:AG$401,$AH56)="","",INDEX('Per Invoice'!AG$2:AG$401,$AH56)))</f>
        <v/>
      </c>
      <c r="AH56" s="16">
        <f>IFERROR(MATCH(Settings!$C$26&amp;"|"&amp;ROWS($AH$2:$AH56),'Per Invoice'!$AI$2:$AI$401,0),"")</f>
        <v/>
      </c>
    </row>
    <row r="57">
      <c r="A57">
        <f>IF($AH57="","",IF(INDEX('Per Invoice'!A$2:A$401,$AH57)="","",INDEX('Per Invoice'!A$2:A$401,$AH57)))</f>
        <v/>
      </c>
      <c r="B57">
        <f>IF($AH57="","",IF(INDEX('Per Invoice'!B$2:B$401,$AH57)="","",INDEX('Per Invoice'!B$2:B$401,$AH57)))</f>
        <v/>
      </c>
      <c r="C57">
        <f>IF($AH57="","",IF(INDEX('Per Invoice'!C$2:C$401,$AH57)="","",INDEX('Per Invoice'!C$2:C$401,$AH57)))</f>
        <v/>
      </c>
      <c r="D57">
        <f>IF($AH57="","",IF(INDEX('Per Invoice'!D$2:D$401,$AH57)="","",INDEX('Per Invoice'!D$2:D$401,$AH57)))</f>
        <v/>
      </c>
      <c r="E57">
        <f>IF($AH57="","",IF(INDEX('Per Invoice'!E$2:E$401,$AH57)="","",INDEX('Per Invoice'!E$2:E$401,$AH57)))</f>
        <v/>
      </c>
      <c r="F57">
        <f>IF($AH57="","",IF(INDEX('Per Invoice'!F$2:F$401,$AH57)="","",INDEX('Per Invoice'!F$2:F$401,$AH57)))</f>
        <v/>
      </c>
      <c r="G57">
        <f>IF($AH57="","",IF(INDEX('Per Invoice'!G$2:G$401,$AH57)="","",INDEX('Per Invoice'!G$2:G$401,$AH57)))</f>
        <v/>
      </c>
      <c r="H57">
        <f>IF($AH57="","",IF(INDEX('Per Invoice'!H$2:H$401,$AH57)="","",INDEX('Per Invoice'!H$2:H$401,$AH57)))</f>
        <v/>
      </c>
      <c r="I57" s="14">
        <f>IF($AH57="","",IF(INDEX('Per Invoice'!I$2:I$401,$AH57)="","",INDEX('Per Invoice'!I$2:I$401,$AH57)))</f>
        <v/>
      </c>
      <c r="J57">
        <f>IF($AH57="","",IF(INDEX('Per Invoice'!J$2:J$401,$AH57)="","",INDEX('Per Invoice'!J$2:J$401,$AH57)))</f>
        <v/>
      </c>
      <c r="K57">
        <f>IF($AH57="","",IF(INDEX('Per Invoice'!K$2:K$401,$AH57)="","",INDEX('Per Invoice'!K$2:K$401,$AH57)))</f>
        <v/>
      </c>
      <c r="L57">
        <f>IF($AH57="","",IF(INDEX('Per Invoice'!L$2:L$401,$AH57)="","",INDEX('Per Invoice'!L$2:L$401,$AH57)))</f>
        <v/>
      </c>
      <c r="M57">
        <f>IF($AH57="","",IF(INDEX('Per Invoice'!M$2:M$401,$AH57)="","",INDEX('Per Invoice'!M$2:M$401,$AH57)))</f>
        <v/>
      </c>
      <c r="N57">
        <f>IF($AH57="","",IF(INDEX('Per Invoice'!N$2:N$401,$AH57)="","",INDEX('Per Invoice'!N$2:N$401,$AH57)))</f>
        <v/>
      </c>
      <c r="O57">
        <f>IF($AH57="","",IF(INDEX('Per Invoice'!O$2:O$401,$AH57)="","",INDEX('Per Invoice'!O$2:O$401,$AH57)))</f>
        <v/>
      </c>
      <c r="P57" s="7">
        <f>IF($AH57="","",IF(INDEX('Per Invoice'!P$2:P$401,$AH57)="","",INDEX('Per Invoice'!P$2:P$401,$AH57)))</f>
        <v/>
      </c>
      <c r="Q57">
        <f>IF($AH57="","",IF(INDEX('Per Invoice'!Q$2:Q$401,$AH57)="","",INDEX('Per Invoice'!Q$2:Q$401,$AH57)))</f>
        <v/>
      </c>
      <c r="R57">
        <f>IF($AH57="","",IF(INDEX('Per Invoice'!R$2:R$401,$AH57)="","",INDEX('Per Invoice'!R$2:R$401,$AH57)))</f>
        <v/>
      </c>
      <c r="S57">
        <f>IF($AH57="","",IF(INDEX('Per Invoice'!S$2:S$401,$AH57)="","",INDEX('Per Invoice'!S$2:S$401,$AH57)))</f>
        <v/>
      </c>
      <c r="T57" s="7">
        <f>IF($AH57="","",IF(INDEX('Per Invoice'!T$2:T$401,$AH57)="","",INDEX('Per Invoice'!T$2:T$401,$AH57)))</f>
        <v/>
      </c>
      <c r="U57" s="7">
        <f>IF($AH57="","",IF(INDEX('Per Invoice'!U$2:U$401,$AH57)="","",INDEX('Per Invoice'!U$2:U$401,$AH57)))</f>
        <v/>
      </c>
      <c r="V57">
        <f>IF($AH57="","",IF(INDEX('Per Invoice'!V$2:V$401,$AH57)="","",INDEX('Per Invoice'!V$2:V$401,$AH57)))</f>
        <v/>
      </c>
      <c r="W57" s="7">
        <f>IF($AH57="","",IF(INDEX('Per Invoice'!W$2:W$401,$AH57)="","",INDEX('Per Invoice'!W$2:W$401,$AH57)))</f>
        <v/>
      </c>
      <c r="X57" s="7">
        <f>IF($AH57="","",IF(INDEX('Per Invoice'!X$2:X$401,$AH57)="","",INDEX('Per Invoice'!X$2:X$401,$AH57)))</f>
        <v/>
      </c>
      <c r="Y57">
        <f>IF($AH57="","",IF(INDEX('Per Invoice'!Y$2:Y$401,$AH57)="","",INDEX('Per Invoice'!Y$2:Y$401,$AH57)))</f>
        <v/>
      </c>
      <c r="Z57" s="7">
        <f>IF($AH57="","",IF(INDEX('Per Invoice'!Z$2:Z$401,$AH57)="","",INDEX('Per Invoice'!Z$2:Z$401,$AH57)))</f>
        <v/>
      </c>
      <c r="AA57" s="7">
        <f>IF($AH57="","",IF(INDEX('Per Invoice'!AA$2:AA$401,$AH57)="","",INDEX('Per Invoice'!AA$2:AA$401,$AH57)))</f>
        <v/>
      </c>
      <c r="AB57" s="7">
        <f>IF($AH57="","",IF(INDEX('Per Invoice'!AB$2:AB$401,$AH57)="","",INDEX('Per Invoice'!AB$2:AB$401,$AH57)))</f>
        <v/>
      </c>
      <c r="AC57" s="7">
        <f>IF($AH57="","",IF(INDEX('Per Invoice'!AC$2:AC$401,$AH57)="","",INDEX('Per Invoice'!AC$2:AC$401,$AH57)))</f>
        <v/>
      </c>
      <c r="AD57" s="7">
        <f>IF($AH57="","",IF(INDEX('Per Invoice'!AD$2:AD$401,$AH57)="","",INDEX('Per Invoice'!AD$2:AD$401,$AH57)))</f>
        <v/>
      </c>
      <c r="AE57" s="7">
        <f>IF($AH57="","",IF(INDEX('Per Invoice'!AE$2:AE$401,$AH57)="","",INDEX('Per Invoice'!AE$2:AE$401,$AH57)))</f>
        <v/>
      </c>
      <c r="AF57">
        <f>IF($AH57="","",IF(INDEX('Per Invoice'!AF$2:AF$401,$AH57)="","",INDEX('Per Invoice'!AF$2:AF$401,$AH57)))</f>
        <v/>
      </c>
      <c r="AG57" s="7">
        <f>IF($AH57="","",IF(INDEX('Per Invoice'!AG$2:AG$401,$AH57)="","",INDEX('Per Invoice'!AG$2:AG$401,$AH57)))</f>
        <v/>
      </c>
      <c r="AH57" s="16">
        <f>IFERROR(MATCH(Settings!$C$26&amp;"|"&amp;ROWS($AH$2:$AH57),'Per Invoice'!$AI$2:$AI$401,0),"")</f>
        <v/>
      </c>
    </row>
    <row r="58">
      <c r="A58">
        <f>IF($AH58="","",IF(INDEX('Per Invoice'!A$2:A$401,$AH58)="","",INDEX('Per Invoice'!A$2:A$401,$AH58)))</f>
        <v/>
      </c>
      <c r="B58">
        <f>IF($AH58="","",IF(INDEX('Per Invoice'!B$2:B$401,$AH58)="","",INDEX('Per Invoice'!B$2:B$401,$AH58)))</f>
        <v/>
      </c>
      <c r="C58">
        <f>IF($AH58="","",IF(INDEX('Per Invoice'!C$2:C$401,$AH58)="","",INDEX('Per Invoice'!C$2:C$401,$AH58)))</f>
        <v/>
      </c>
      <c r="D58">
        <f>IF($AH58="","",IF(INDEX('Per Invoice'!D$2:D$401,$AH58)="","",INDEX('Per Invoice'!D$2:D$401,$AH58)))</f>
        <v/>
      </c>
      <c r="E58">
        <f>IF($AH58="","",IF(INDEX('Per Invoice'!E$2:E$401,$AH58)="","",INDEX('Per Invoice'!E$2:E$401,$AH58)))</f>
        <v/>
      </c>
      <c r="F58">
        <f>IF($AH58="","",IF(INDEX('Per Invoice'!F$2:F$401,$AH58)="","",INDEX('Per Invoice'!F$2:F$401,$AH58)))</f>
        <v/>
      </c>
      <c r="G58">
        <f>IF($AH58="","",IF(INDEX('Per Invoice'!G$2:G$401,$AH58)="","",INDEX('Per Invoice'!G$2:G$401,$AH58)))</f>
        <v/>
      </c>
      <c r="H58">
        <f>IF($AH58="","",IF(INDEX('Per Invoice'!H$2:H$401,$AH58)="","",INDEX('Per Invoice'!H$2:H$401,$AH58)))</f>
        <v/>
      </c>
      <c r="I58" s="14">
        <f>IF($AH58="","",IF(INDEX('Per Invoice'!I$2:I$401,$AH58)="","",INDEX('Per Invoice'!I$2:I$401,$AH58)))</f>
        <v/>
      </c>
      <c r="J58">
        <f>IF($AH58="","",IF(INDEX('Per Invoice'!J$2:J$401,$AH58)="","",INDEX('Per Invoice'!J$2:J$401,$AH58)))</f>
        <v/>
      </c>
      <c r="K58">
        <f>IF($AH58="","",IF(INDEX('Per Invoice'!K$2:K$401,$AH58)="","",INDEX('Per Invoice'!K$2:K$401,$AH58)))</f>
        <v/>
      </c>
      <c r="L58">
        <f>IF($AH58="","",IF(INDEX('Per Invoice'!L$2:L$401,$AH58)="","",INDEX('Per Invoice'!L$2:L$401,$AH58)))</f>
        <v/>
      </c>
      <c r="M58">
        <f>IF($AH58="","",IF(INDEX('Per Invoice'!M$2:M$401,$AH58)="","",INDEX('Per Invoice'!M$2:M$401,$AH58)))</f>
        <v/>
      </c>
      <c r="N58">
        <f>IF($AH58="","",IF(INDEX('Per Invoice'!N$2:N$401,$AH58)="","",INDEX('Per Invoice'!N$2:N$401,$AH58)))</f>
        <v/>
      </c>
      <c r="O58">
        <f>IF($AH58="","",IF(INDEX('Per Invoice'!O$2:O$401,$AH58)="","",INDEX('Per Invoice'!O$2:O$401,$AH58)))</f>
        <v/>
      </c>
      <c r="P58" s="7">
        <f>IF($AH58="","",IF(INDEX('Per Invoice'!P$2:P$401,$AH58)="","",INDEX('Per Invoice'!P$2:P$401,$AH58)))</f>
        <v/>
      </c>
      <c r="Q58">
        <f>IF($AH58="","",IF(INDEX('Per Invoice'!Q$2:Q$401,$AH58)="","",INDEX('Per Invoice'!Q$2:Q$401,$AH58)))</f>
        <v/>
      </c>
      <c r="R58">
        <f>IF($AH58="","",IF(INDEX('Per Invoice'!R$2:R$401,$AH58)="","",INDEX('Per Invoice'!R$2:R$401,$AH58)))</f>
        <v/>
      </c>
      <c r="S58">
        <f>IF($AH58="","",IF(INDEX('Per Invoice'!S$2:S$401,$AH58)="","",INDEX('Per Invoice'!S$2:S$401,$AH58)))</f>
        <v/>
      </c>
      <c r="T58" s="7">
        <f>IF($AH58="","",IF(INDEX('Per Invoice'!T$2:T$401,$AH58)="","",INDEX('Per Invoice'!T$2:T$401,$AH58)))</f>
        <v/>
      </c>
      <c r="U58" s="7">
        <f>IF($AH58="","",IF(INDEX('Per Invoice'!U$2:U$401,$AH58)="","",INDEX('Per Invoice'!U$2:U$401,$AH58)))</f>
        <v/>
      </c>
      <c r="V58">
        <f>IF($AH58="","",IF(INDEX('Per Invoice'!V$2:V$401,$AH58)="","",INDEX('Per Invoice'!V$2:V$401,$AH58)))</f>
        <v/>
      </c>
      <c r="W58" s="7">
        <f>IF($AH58="","",IF(INDEX('Per Invoice'!W$2:W$401,$AH58)="","",INDEX('Per Invoice'!W$2:W$401,$AH58)))</f>
        <v/>
      </c>
      <c r="X58" s="7">
        <f>IF($AH58="","",IF(INDEX('Per Invoice'!X$2:X$401,$AH58)="","",INDEX('Per Invoice'!X$2:X$401,$AH58)))</f>
        <v/>
      </c>
      <c r="Y58">
        <f>IF($AH58="","",IF(INDEX('Per Invoice'!Y$2:Y$401,$AH58)="","",INDEX('Per Invoice'!Y$2:Y$401,$AH58)))</f>
        <v/>
      </c>
      <c r="Z58" s="7">
        <f>IF($AH58="","",IF(INDEX('Per Invoice'!Z$2:Z$401,$AH58)="","",INDEX('Per Invoice'!Z$2:Z$401,$AH58)))</f>
        <v/>
      </c>
      <c r="AA58" s="7">
        <f>IF($AH58="","",IF(INDEX('Per Invoice'!AA$2:AA$401,$AH58)="","",INDEX('Per Invoice'!AA$2:AA$401,$AH58)))</f>
        <v/>
      </c>
      <c r="AB58" s="7">
        <f>IF($AH58="","",IF(INDEX('Per Invoice'!AB$2:AB$401,$AH58)="","",INDEX('Per Invoice'!AB$2:AB$401,$AH58)))</f>
        <v/>
      </c>
      <c r="AC58" s="7">
        <f>IF($AH58="","",IF(INDEX('Per Invoice'!AC$2:AC$401,$AH58)="","",INDEX('Per Invoice'!AC$2:AC$401,$AH58)))</f>
        <v/>
      </c>
      <c r="AD58" s="7">
        <f>IF($AH58="","",IF(INDEX('Per Invoice'!AD$2:AD$401,$AH58)="","",INDEX('Per Invoice'!AD$2:AD$401,$AH58)))</f>
        <v/>
      </c>
      <c r="AE58" s="7">
        <f>IF($AH58="","",IF(INDEX('Per Invoice'!AE$2:AE$401,$AH58)="","",INDEX('Per Invoice'!AE$2:AE$401,$AH58)))</f>
        <v/>
      </c>
      <c r="AF58">
        <f>IF($AH58="","",IF(INDEX('Per Invoice'!AF$2:AF$401,$AH58)="","",INDEX('Per Invoice'!AF$2:AF$401,$AH58)))</f>
        <v/>
      </c>
      <c r="AG58" s="7">
        <f>IF($AH58="","",IF(INDEX('Per Invoice'!AG$2:AG$401,$AH58)="","",INDEX('Per Invoice'!AG$2:AG$401,$AH58)))</f>
        <v/>
      </c>
      <c r="AH58" s="16">
        <f>IFERROR(MATCH(Settings!$C$26&amp;"|"&amp;ROWS($AH$2:$AH58),'Per Invoice'!$AI$2:$AI$401,0),"")</f>
        <v/>
      </c>
    </row>
    <row r="59">
      <c r="A59">
        <f>IF($AH59="","",IF(INDEX('Per Invoice'!A$2:A$401,$AH59)="","",INDEX('Per Invoice'!A$2:A$401,$AH59)))</f>
        <v/>
      </c>
      <c r="B59">
        <f>IF($AH59="","",IF(INDEX('Per Invoice'!B$2:B$401,$AH59)="","",INDEX('Per Invoice'!B$2:B$401,$AH59)))</f>
        <v/>
      </c>
      <c r="C59">
        <f>IF($AH59="","",IF(INDEX('Per Invoice'!C$2:C$401,$AH59)="","",INDEX('Per Invoice'!C$2:C$401,$AH59)))</f>
        <v/>
      </c>
      <c r="D59">
        <f>IF($AH59="","",IF(INDEX('Per Invoice'!D$2:D$401,$AH59)="","",INDEX('Per Invoice'!D$2:D$401,$AH59)))</f>
        <v/>
      </c>
      <c r="E59">
        <f>IF($AH59="","",IF(INDEX('Per Invoice'!E$2:E$401,$AH59)="","",INDEX('Per Invoice'!E$2:E$401,$AH59)))</f>
        <v/>
      </c>
      <c r="F59">
        <f>IF($AH59="","",IF(INDEX('Per Invoice'!F$2:F$401,$AH59)="","",INDEX('Per Invoice'!F$2:F$401,$AH59)))</f>
        <v/>
      </c>
      <c r="G59">
        <f>IF($AH59="","",IF(INDEX('Per Invoice'!G$2:G$401,$AH59)="","",INDEX('Per Invoice'!G$2:G$401,$AH59)))</f>
        <v/>
      </c>
      <c r="H59">
        <f>IF($AH59="","",IF(INDEX('Per Invoice'!H$2:H$401,$AH59)="","",INDEX('Per Invoice'!H$2:H$401,$AH59)))</f>
        <v/>
      </c>
      <c r="I59" s="14">
        <f>IF($AH59="","",IF(INDEX('Per Invoice'!I$2:I$401,$AH59)="","",INDEX('Per Invoice'!I$2:I$401,$AH59)))</f>
        <v/>
      </c>
      <c r="J59">
        <f>IF($AH59="","",IF(INDEX('Per Invoice'!J$2:J$401,$AH59)="","",INDEX('Per Invoice'!J$2:J$401,$AH59)))</f>
        <v/>
      </c>
      <c r="K59">
        <f>IF($AH59="","",IF(INDEX('Per Invoice'!K$2:K$401,$AH59)="","",INDEX('Per Invoice'!K$2:K$401,$AH59)))</f>
        <v/>
      </c>
      <c r="L59">
        <f>IF($AH59="","",IF(INDEX('Per Invoice'!L$2:L$401,$AH59)="","",INDEX('Per Invoice'!L$2:L$401,$AH59)))</f>
        <v/>
      </c>
      <c r="M59">
        <f>IF($AH59="","",IF(INDEX('Per Invoice'!M$2:M$401,$AH59)="","",INDEX('Per Invoice'!M$2:M$401,$AH59)))</f>
        <v/>
      </c>
      <c r="N59">
        <f>IF($AH59="","",IF(INDEX('Per Invoice'!N$2:N$401,$AH59)="","",INDEX('Per Invoice'!N$2:N$401,$AH59)))</f>
        <v/>
      </c>
      <c r="O59">
        <f>IF($AH59="","",IF(INDEX('Per Invoice'!O$2:O$401,$AH59)="","",INDEX('Per Invoice'!O$2:O$401,$AH59)))</f>
        <v/>
      </c>
      <c r="P59" s="7">
        <f>IF($AH59="","",IF(INDEX('Per Invoice'!P$2:P$401,$AH59)="","",INDEX('Per Invoice'!P$2:P$401,$AH59)))</f>
        <v/>
      </c>
      <c r="Q59">
        <f>IF($AH59="","",IF(INDEX('Per Invoice'!Q$2:Q$401,$AH59)="","",INDEX('Per Invoice'!Q$2:Q$401,$AH59)))</f>
        <v/>
      </c>
      <c r="R59">
        <f>IF($AH59="","",IF(INDEX('Per Invoice'!R$2:R$401,$AH59)="","",INDEX('Per Invoice'!R$2:R$401,$AH59)))</f>
        <v/>
      </c>
      <c r="S59">
        <f>IF($AH59="","",IF(INDEX('Per Invoice'!S$2:S$401,$AH59)="","",INDEX('Per Invoice'!S$2:S$401,$AH59)))</f>
        <v/>
      </c>
      <c r="T59" s="7">
        <f>IF($AH59="","",IF(INDEX('Per Invoice'!T$2:T$401,$AH59)="","",INDEX('Per Invoice'!T$2:T$401,$AH59)))</f>
        <v/>
      </c>
      <c r="U59" s="7">
        <f>IF($AH59="","",IF(INDEX('Per Invoice'!U$2:U$401,$AH59)="","",INDEX('Per Invoice'!U$2:U$401,$AH59)))</f>
        <v/>
      </c>
      <c r="V59">
        <f>IF($AH59="","",IF(INDEX('Per Invoice'!V$2:V$401,$AH59)="","",INDEX('Per Invoice'!V$2:V$401,$AH59)))</f>
        <v/>
      </c>
      <c r="W59" s="7">
        <f>IF($AH59="","",IF(INDEX('Per Invoice'!W$2:W$401,$AH59)="","",INDEX('Per Invoice'!W$2:W$401,$AH59)))</f>
        <v/>
      </c>
      <c r="X59" s="7">
        <f>IF($AH59="","",IF(INDEX('Per Invoice'!X$2:X$401,$AH59)="","",INDEX('Per Invoice'!X$2:X$401,$AH59)))</f>
        <v/>
      </c>
      <c r="Y59">
        <f>IF($AH59="","",IF(INDEX('Per Invoice'!Y$2:Y$401,$AH59)="","",INDEX('Per Invoice'!Y$2:Y$401,$AH59)))</f>
        <v/>
      </c>
      <c r="Z59" s="7">
        <f>IF($AH59="","",IF(INDEX('Per Invoice'!Z$2:Z$401,$AH59)="","",INDEX('Per Invoice'!Z$2:Z$401,$AH59)))</f>
        <v/>
      </c>
      <c r="AA59" s="7">
        <f>IF($AH59="","",IF(INDEX('Per Invoice'!AA$2:AA$401,$AH59)="","",INDEX('Per Invoice'!AA$2:AA$401,$AH59)))</f>
        <v/>
      </c>
      <c r="AB59" s="7">
        <f>IF($AH59="","",IF(INDEX('Per Invoice'!AB$2:AB$401,$AH59)="","",INDEX('Per Invoice'!AB$2:AB$401,$AH59)))</f>
        <v/>
      </c>
      <c r="AC59" s="7">
        <f>IF($AH59="","",IF(INDEX('Per Invoice'!AC$2:AC$401,$AH59)="","",INDEX('Per Invoice'!AC$2:AC$401,$AH59)))</f>
        <v/>
      </c>
      <c r="AD59" s="7">
        <f>IF($AH59="","",IF(INDEX('Per Invoice'!AD$2:AD$401,$AH59)="","",INDEX('Per Invoice'!AD$2:AD$401,$AH59)))</f>
        <v/>
      </c>
      <c r="AE59" s="7">
        <f>IF($AH59="","",IF(INDEX('Per Invoice'!AE$2:AE$401,$AH59)="","",INDEX('Per Invoice'!AE$2:AE$401,$AH59)))</f>
        <v/>
      </c>
      <c r="AF59">
        <f>IF($AH59="","",IF(INDEX('Per Invoice'!AF$2:AF$401,$AH59)="","",INDEX('Per Invoice'!AF$2:AF$401,$AH59)))</f>
        <v/>
      </c>
      <c r="AG59" s="7">
        <f>IF($AH59="","",IF(INDEX('Per Invoice'!AG$2:AG$401,$AH59)="","",INDEX('Per Invoice'!AG$2:AG$401,$AH59)))</f>
        <v/>
      </c>
      <c r="AH59" s="16">
        <f>IFERROR(MATCH(Settings!$C$26&amp;"|"&amp;ROWS($AH$2:$AH59),'Per Invoice'!$AI$2:$AI$401,0),"")</f>
        <v/>
      </c>
    </row>
    <row r="60">
      <c r="A60">
        <f>IF($AH60="","",IF(INDEX('Per Invoice'!A$2:A$401,$AH60)="","",INDEX('Per Invoice'!A$2:A$401,$AH60)))</f>
        <v/>
      </c>
      <c r="B60">
        <f>IF($AH60="","",IF(INDEX('Per Invoice'!B$2:B$401,$AH60)="","",INDEX('Per Invoice'!B$2:B$401,$AH60)))</f>
        <v/>
      </c>
      <c r="C60">
        <f>IF($AH60="","",IF(INDEX('Per Invoice'!C$2:C$401,$AH60)="","",INDEX('Per Invoice'!C$2:C$401,$AH60)))</f>
        <v/>
      </c>
      <c r="D60">
        <f>IF($AH60="","",IF(INDEX('Per Invoice'!D$2:D$401,$AH60)="","",INDEX('Per Invoice'!D$2:D$401,$AH60)))</f>
        <v/>
      </c>
      <c r="E60">
        <f>IF($AH60="","",IF(INDEX('Per Invoice'!E$2:E$401,$AH60)="","",INDEX('Per Invoice'!E$2:E$401,$AH60)))</f>
        <v/>
      </c>
      <c r="F60">
        <f>IF($AH60="","",IF(INDEX('Per Invoice'!F$2:F$401,$AH60)="","",INDEX('Per Invoice'!F$2:F$401,$AH60)))</f>
        <v/>
      </c>
      <c r="G60">
        <f>IF($AH60="","",IF(INDEX('Per Invoice'!G$2:G$401,$AH60)="","",INDEX('Per Invoice'!G$2:G$401,$AH60)))</f>
        <v/>
      </c>
      <c r="H60">
        <f>IF($AH60="","",IF(INDEX('Per Invoice'!H$2:H$401,$AH60)="","",INDEX('Per Invoice'!H$2:H$401,$AH60)))</f>
        <v/>
      </c>
      <c r="I60" s="14">
        <f>IF($AH60="","",IF(INDEX('Per Invoice'!I$2:I$401,$AH60)="","",INDEX('Per Invoice'!I$2:I$401,$AH60)))</f>
        <v/>
      </c>
      <c r="J60">
        <f>IF($AH60="","",IF(INDEX('Per Invoice'!J$2:J$401,$AH60)="","",INDEX('Per Invoice'!J$2:J$401,$AH60)))</f>
        <v/>
      </c>
      <c r="K60">
        <f>IF($AH60="","",IF(INDEX('Per Invoice'!K$2:K$401,$AH60)="","",INDEX('Per Invoice'!K$2:K$401,$AH60)))</f>
        <v/>
      </c>
      <c r="L60">
        <f>IF($AH60="","",IF(INDEX('Per Invoice'!L$2:L$401,$AH60)="","",INDEX('Per Invoice'!L$2:L$401,$AH60)))</f>
        <v/>
      </c>
      <c r="M60">
        <f>IF($AH60="","",IF(INDEX('Per Invoice'!M$2:M$401,$AH60)="","",INDEX('Per Invoice'!M$2:M$401,$AH60)))</f>
        <v/>
      </c>
      <c r="N60">
        <f>IF($AH60="","",IF(INDEX('Per Invoice'!N$2:N$401,$AH60)="","",INDEX('Per Invoice'!N$2:N$401,$AH60)))</f>
        <v/>
      </c>
      <c r="O60">
        <f>IF($AH60="","",IF(INDEX('Per Invoice'!O$2:O$401,$AH60)="","",INDEX('Per Invoice'!O$2:O$401,$AH60)))</f>
        <v/>
      </c>
      <c r="P60" s="7">
        <f>IF($AH60="","",IF(INDEX('Per Invoice'!P$2:P$401,$AH60)="","",INDEX('Per Invoice'!P$2:P$401,$AH60)))</f>
        <v/>
      </c>
      <c r="Q60">
        <f>IF($AH60="","",IF(INDEX('Per Invoice'!Q$2:Q$401,$AH60)="","",INDEX('Per Invoice'!Q$2:Q$401,$AH60)))</f>
        <v/>
      </c>
      <c r="R60">
        <f>IF($AH60="","",IF(INDEX('Per Invoice'!R$2:R$401,$AH60)="","",INDEX('Per Invoice'!R$2:R$401,$AH60)))</f>
        <v/>
      </c>
      <c r="S60">
        <f>IF($AH60="","",IF(INDEX('Per Invoice'!S$2:S$401,$AH60)="","",INDEX('Per Invoice'!S$2:S$401,$AH60)))</f>
        <v/>
      </c>
      <c r="T60" s="7">
        <f>IF($AH60="","",IF(INDEX('Per Invoice'!T$2:T$401,$AH60)="","",INDEX('Per Invoice'!T$2:T$401,$AH60)))</f>
        <v/>
      </c>
      <c r="U60" s="7">
        <f>IF($AH60="","",IF(INDEX('Per Invoice'!U$2:U$401,$AH60)="","",INDEX('Per Invoice'!U$2:U$401,$AH60)))</f>
        <v/>
      </c>
      <c r="V60">
        <f>IF($AH60="","",IF(INDEX('Per Invoice'!V$2:V$401,$AH60)="","",INDEX('Per Invoice'!V$2:V$401,$AH60)))</f>
        <v/>
      </c>
      <c r="W60" s="7">
        <f>IF($AH60="","",IF(INDEX('Per Invoice'!W$2:W$401,$AH60)="","",INDEX('Per Invoice'!W$2:W$401,$AH60)))</f>
        <v/>
      </c>
      <c r="X60" s="7">
        <f>IF($AH60="","",IF(INDEX('Per Invoice'!X$2:X$401,$AH60)="","",INDEX('Per Invoice'!X$2:X$401,$AH60)))</f>
        <v/>
      </c>
      <c r="Y60">
        <f>IF($AH60="","",IF(INDEX('Per Invoice'!Y$2:Y$401,$AH60)="","",INDEX('Per Invoice'!Y$2:Y$401,$AH60)))</f>
        <v/>
      </c>
      <c r="Z60" s="7">
        <f>IF($AH60="","",IF(INDEX('Per Invoice'!Z$2:Z$401,$AH60)="","",INDEX('Per Invoice'!Z$2:Z$401,$AH60)))</f>
        <v/>
      </c>
      <c r="AA60" s="7">
        <f>IF($AH60="","",IF(INDEX('Per Invoice'!AA$2:AA$401,$AH60)="","",INDEX('Per Invoice'!AA$2:AA$401,$AH60)))</f>
        <v/>
      </c>
      <c r="AB60" s="7">
        <f>IF($AH60="","",IF(INDEX('Per Invoice'!AB$2:AB$401,$AH60)="","",INDEX('Per Invoice'!AB$2:AB$401,$AH60)))</f>
        <v/>
      </c>
      <c r="AC60" s="7">
        <f>IF($AH60="","",IF(INDEX('Per Invoice'!AC$2:AC$401,$AH60)="","",INDEX('Per Invoice'!AC$2:AC$401,$AH60)))</f>
        <v/>
      </c>
      <c r="AD60" s="7">
        <f>IF($AH60="","",IF(INDEX('Per Invoice'!AD$2:AD$401,$AH60)="","",INDEX('Per Invoice'!AD$2:AD$401,$AH60)))</f>
        <v/>
      </c>
      <c r="AE60" s="7">
        <f>IF($AH60="","",IF(INDEX('Per Invoice'!AE$2:AE$401,$AH60)="","",INDEX('Per Invoice'!AE$2:AE$401,$AH60)))</f>
        <v/>
      </c>
      <c r="AF60">
        <f>IF($AH60="","",IF(INDEX('Per Invoice'!AF$2:AF$401,$AH60)="","",INDEX('Per Invoice'!AF$2:AF$401,$AH60)))</f>
        <v/>
      </c>
      <c r="AG60" s="7">
        <f>IF($AH60="","",IF(INDEX('Per Invoice'!AG$2:AG$401,$AH60)="","",INDEX('Per Invoice'!AG$2:AG$401,$AH60)))</f>
        <v/>
      </c>
      <c r="AH60" s="16">
        <f>IFERROR(MATCH(Settings!$C$26&amp;"|"&amp;ROWS($AH$2:$AH60),'Per Invoice'!$AI$2:$AI$401,0),"")</f>
        <v/>
      </c>
    </row>
    <row r="61">
      <c r="A61">
        <f>IF($AH61="","",IF(INDEX('Per Invoice'!A$2:A$401,$AH61)="","",INDEX('Per Invoice'!A$2:A$401,$AH61)))</f>
        <v/>
      </c>
      <c r="B61">
        <f>IF($AH61="","",IF(INDEX('Per Invoice'!B$2:B$401,$AH61)="","",INDEX('Per Invoice'!B$2:B$401,$AH61)))</f>
        <v/>
      </c>
      <c r="C61">
        <f>IF($AH61="","",IF(INDEX('Per Invoice'!C$2:C$401,$AH61)="","",INDEX('Per Invoice'!C$2:C$401,$AH61)))</f>
        <v/>
      </c>
      <c r="D61">
        <f>IF($AH61="","",IF(INDEX('Per Invoice'!D$2:D$401,$AH61)="","",INDEX('Per Invoice'!D$2:D$401,$AH61)))</f>
        <v/>
      </c>
      <c r="E61">
        <f>IF($AH61="","",IF(INDEX('Per Invoice'!E$2:E$401,$AH61)="","",INDEX('Per Invoice'!E$2:E$401,$AH61)))</f>
        <v/>
      </c>
      <c r="F61">
        <f>IF($AH61="","",IF(INDEX('Per Invoice'!F$2:F$401,$AH61)="","",INDEX('Per Invoice'!F$2:F$401,$AH61)))</f>
        <v/>
      </c>
      <c r="G61">
        <f>IF($AH61="","",IF(INDEX('Per Invoice'!G$2:G$401,$AH61)="","",INDEX('Per Invoice'!G$2:G$401,$AH61)))</f>
        <v/>
      </c>
      <c r="H61">
        <f>IF($AH61="","",IF(INDEX('Per Invoice'!H$2:H$401,$AH61)="","",INDEX('Per Invoice'!H$2:H$401,$AH61)))</f>
        <v/>
      </c>
      <c r="I61" s="14">
        <f>IF($AH61="","",IF(INDEX('Per Invoice'!I$2:I$401,$AH61)="","",INDEX('Per Invoice'!I$2:I$401,$AH61)))</f>
        <v/>
      </c>
      <c r="J61">
        <f>IF($AH61="","",IF(INDEX('Per Invoice'!J$2:J$401,$AH61)="","",INDEX('Per Invoice'!J$2:J$401,$AH61)))</f>
        <v/>
      </c>
      <c r="K61">
        <f>IF($AH61="","",IF(INDEX('Per Invoice'!K$2:K$401,$AH61)="","",INDEX('Per Invoice'!K$2:K$401,$AH61)))</f>
        <v/>
      </c>
      <c r="L61">
        <f>IF($AH61="","",IF(INDEX('Per Invoice'!L$2:L$401,$AH61)="","",INDEX('Per Invoice'!L$2:L$401,$AH61)))</f>
        <v/>
      </c>
      <c r="M61">
        <f>IF($AH61="","",IF(INDEX('Per Invoice'!M$2:M$401,$AH61)="","",INDEX('Per Invoice'!M$2:M$401,$AH61)))</f>
        <v/>
      </c>
      <c r="N61">
        <f>IF($AH61="","",IF(INDEX('Per Invoice'!N$2:N$401,$AH61)="","",INDEX('Per Invoice'!N$2:N$401,$AH61)))</f>
        <v/>
      </c>
      <c r="O61">
        <f>IF($AH61="","",IF(INDEX('Per Invoice'!O$2:O$401,$AH61)="","",INDEX('Per Invoice'!O$2:O$401,$AH61)))</f>
        <v/>
      </c>
      <c r="P61" s="7">
        <f>IF($AH61="","",IF(INDEX('Per Invoice'!P$2:P$401,$AH61)="","",INDEX('Per Invoice'!P$2:P$401,$AH61)))</f>
        <v/>
      </c>
      <c r="Q61">
        <f>IF($AH61="","",IF(INDEX('Per Invoice'!Q$2:Q$401,$AH61)="","",INDEX('Per Invoice'!Q$2:Q$401,$AH61)))</f>
        <v/>
      </c>
      <c r="R61">
        <f>IF($AH61="","",IF(INDEX('Per Invoice'!R$2:R$401,$AH61)="","",INDEX('Per Invoice'!R$2:R$401,$AH61)))</f>
        <v/>
      </c>
      <c r="S61">
        <f>IF($AH61="","",IF(INDEX('Per Invoice'!S$2:S$401,$AH61)="","",INDEX('Per Invoice'!S$2:S$401,$AH61)))</f>
        <v/>
      </c>
      <c r="T61" s="7">
        <f>IF($AH61="","",IF(INDEX('Per Invoice'!T$2:T$401,$AH61)="","",INDEX('Per Invoice'!T$2:T$401,$AH61)))</f>
        <v/>
      </c>
      <c r="U61" s="7">
        <f>IF($AH61="","",IF(INDEX('Per Invoice'!U$2:U$401,$AH61)="","",INDEX('Per Invoice'!U$2:U$401,$AH61)))</f>
        <v/>
      </c>
      <c r="V61">
        <f>IF($AH61="","",IF(INDEX('Per Invoice'!V$2:V$401,$AH61)="","",INDEX('Per Invoice'!V$2:V$401,$AH61)))</f>
        <v/>
      </c>
      <c r="W61" s="7">
        <f>IF($AH61="","",IF(INDEX('Per Invoice'!W$2:W$401,$AH61)="","",INDEX('Per Invoice'!W$2:W$401,$AH61)))</f>
        <v/>
      </c>
      <c r="X61" s="7">
        <f>IF($AH61="","",IF(INDEX('Per Invoice'!X$2:X$401,$AH61)="","",INDEX('Per Invoice'!X$2:X$401,$AH61)))</f>
        <v/>
      </c>
      <c r="Y61">
        <f>IF($AH61="","",IF(INDEX('Per Invoice'!Y$2:Y$401,$AH61)="","",INDEX('Per Invoice'!Y$2:Y$401,$AH61)))</f>
        <v/>
      </c>
      <c r="Z61" s="7">
        <f>IF($AH61="","",IF(INDEX('Per Invoice'!Z$2:Z$401,$AH61)="","",INDEX('Per Invoice'!Z$2:Z$401,$AH61)))</f>
        <v/>
      </c>
      <c r="AA61" s="7">
        <f>IF($AH61="","",IF(INDEX('Per Invoice'!AA$2:AA$401,$AH61)="","",INDEX('Per Invoice'!AA$2:AA$401,$AH61)))</f>
        <v/>
      </c>
      <c r="AB61" s="7">
        <f>IF($AH61="","",IF(INDEX('Per Invoice'!AB$2:AB$401,$AH61)="","",INDEX('Per Invoice'!AB$2:AB$401,$AH61)))</f>
        <v/>
      </c>
      <c r="AC61" s="7">
        <f>IF($AH61="","",IF(INDEX('Per Invoice'!AC$2:AC$401,$AH61)="","",INDEX('Per Invoice'!AC$2:AC$401,$AH61)))</f>
        <v/>
      </c>
      <c r="AD61" s="7">
        <f>IF($AH61="","",IF(INDEX('Per Invoice'!AD$2:AD$401,$AH61)="","",INDEX('Per Invoice'!AD$2:AD$401,$AH61)))</f>
        <v/>
      </c>
      <c r="AE61" s="7">
        <f>IF($AH61="","",IF(INDEX('Per Invoice'!AE$2:AE$401,$AH61)="","",INDEX('Per Invoice'!AE$2:AE$401,$AH61)))</f>
        <v/>
      </c>
      <c r="AF61">
        <f>IF($AH61="","",IF(INDEX('Per Invoice'!AF$2:AF$401,$AH61)="","",INDEX('Per Invoice'!AF$2:AF$401,$AH61)))</f>
        <v/>
      </c>
      <c r="AG61" s="7">
        <f>IF($AH61="","",IF(INDEX('Per Invoice'!AG$2:AG$401,$AH61)="","",INDEX('Per Invoice'!AG$2:AG$401,$AH61)))</f>
        <v/>
      </c>
      <c r="AH61" s="16">
        <f>IFERROR(MATCH(Settings!$C$26&amp;"|"&amp;ROWS($AH$2:$AH61),'Per Invoice'!$AI$2:$AI$401,0),"")</f>
        <v/>
      </c>
    </row>
    <row r="62">
      <c r="A62">
        <f>IF($AH62="","",IF(INDEX('Per Invoice'!A$2:A$401,$AH62)="","",INDEX('Per Invoice'!A$2:A$401,$AH62)))</f>
        <v/>
      </c>
      <c r="B62">
        <f>IF($AH62="","",IF(INDEX('Per Invoice'!B$2:B$401,$AH62)="","",INDEX('Per Invoice'!B$2:B$401,$AH62)))</f>
        <v/>
      </c>
      <c r="C62">
        <f>IF($AH62="","",IF(INDEX('Per Invoice'!C$2:C$401,$AH62)="","",INDEX('Per Invoice'!C$2:C$401,$AH62)))</f>
        <v/>
      </c>
      <c r="D62">
        <f>IF($AH62="","",IF(INDEX('Per Invoice'!D$2:D$401,$AH62)="","",INDEX('Per Invoice'!D$2:D$401,$AH62)))</f>
        <v/>
      </c>
      <c r="E62">
        <f>IF($AH62="","",IF(INDEX('Per Invoice'!E$2:E$401,$AH62)="","",INDEX('Per Invoice'!E$2:E$401,$AH62)))</f>
        <v/>
      </c>
      <c r="F62">
        <f>IF($AH62="","",IF(INDEX('Per Invoice'!F$2:F$401,$AH62)="","",INDEX('Per Invoice'!F$2:F$401,$AH62)))</f>
        <v/>
      </c>
      <c r="G62">
        <f>IF($AH62="","",IF(INDEX('Per Invoice'!G$2:G$401,$AH62)="","",INDEX('Per Invoice'!G$2:G$401,$AH62)))</f>
        <v/>
      </c>
      <c r="H62">
        <f>IF($AH62="","",IF(INDEX('Per Invoice'!H$2:H$401,$AH62)="","",INDEX('Per Invoice'!H$2:H$401,$AH62)))</f>
        <v/>
      </c>
      <c r="I62" s="14">
        <f>IF($AH62="","",IF(INDEX('Per Invoice'!I$2:I$401,$AH62)="","",INDEX('Per Invoice'!I$2:I$401,$AH62)))</f>
        <v/>
      </c>
      <c r="J62">
        <f>IF($AH62="","",IF(INDEX('Per Invoice'!J$2:J$401,$AH62)="","",INDEX('Per Invoice'!J$2:J$401,$AH62)))</f>
        <v/>
      </c>
      <c r="K62">
        <f>IF($AH62="","",IF(INDEX('Per Invoice'!K$2:K$401,$AH62)="","",INDEX('Per Invoice'!K$2:K$401,$AH62)))</f>
        <v/>
      </c>
      <c r="L62">
        <f>IF($AH62="","",IF(INDEX('Per Invoice'!L$2:L$401,$AH62)="","",INDEX('Per Invoice'!L$2:L$401,$AH62)))</f>
        <v/>
      </c>
      <c r="M62">
        <f>IF($AH62="","",IF(INDEX('Per Invoice'!M$2:M$401,$AH62)="","",INDEX('Per Invoice'!M$2:M$401,$AH62)))</f>
        <v/>
      </c>
      <c r="N62">
        <f>IF($AH62="","",IF(INDEX('Per Invoice'!N$2:N$401,$AH62)="","",INDEX('Per Invoice'!N$2:N$401,$AH62)))</f>
        <v/>
      </c>
      <c r="O62">
        <f>IF($AH62="","",IF(INDEX('Per Invoice'!O$2:O$401,$AH62)="","",INDEX('Per Invoice'!O$2:O$401,$AH62)))</f>
        <v/>
      </c>
      <c r="P62" s="7">
        <f>IF($AH62="","",IF(INDEX('Per Invoice'!P$2:P$401,$AH62)="","",INDEX('Per Invoice'!P$2:P$401,$AH62)))</f>
        <v/>
      </c>
      <c r="Q62">
        <f>IF($AH62="","",IF(INDEX('Per Invoice'!Q$2:Q$401,$AH62)="","",INDEX('Per Invoice'!Q$2:Q$401,$AH62)))</f>
        <v/>
      </c>
      <c r="R62">
        <f>IF($AH62="","",IF(INDEX('Per Invoice'!R$2:R$401,$AH62)="","",INDEX('Per Invoice'!R$2:R$401,$AH62)))</f>
        <v/>
      </c>
      <c r="S62">
        <f>IF($AH62="","",IF(INDEX('Per Invoice'!S$2:S$401,$AH62)="","",INDEX('Per Invoice'!S$2:S$401,$AH62)))</f>
        <v/>
      </c>
      <c r="T62" s="7">
        <f>IF($AH62="","",IF(INDEX('Per Invoice'!T$2:T$401,$AH62)="","",INDEX('Per Invoice'!T$2:T$401,$AH62)))</f>
        <v/>
      </c>
      <c r="U62" s="7">
        <f>IF($AH62="","",IF(INDEX('Per Invoice'!U$2:U$401,$AH62)="","",INDEX('Per Invoice'!U$2:U$401,$AH62)))</f>
        <v/>
      </c>
      <c r="V62">
        <f>IF($AH62="","",IF(INDEX('Per Invoice'!V$2:V$401,$AH62)="","",INDEX('Per Invoice'!V$2:V$401,$AH62)))</f>
        <v/>
      </c>
      <c r="W62" s="7">
        <f>IF($AH62="","",IF(INDEX('Per Invoice'!W$2:W$401,$AH62)="","",INDEX('Per Invoice'!W$2:W$401,$AH62)))</f>
        <v/>
      </c>
      <c r="X62" s="7">
        <f>IF($AH62="","",IF(INDEX('Per Invoice'!X$2:X$401,$AH62)="","",INDEX('Per Invoice'!X$2:X$401,$AH62)))</f>
        <v/>
      </c>
      <c r="Y62">
        <f>IF($AH62="","",IF(INDEX('Per Invoice'!Y$2:Y$401,$AH62)="","",INDEX('Per Invoice'!Y$2:Y$401,$AH62)))</f>
        <v/>
      </c>
      <c r="Z62" s="7">
        <f>IF($AH62="","",IF(INDEX('Per Invoice'!Z$2:Z$401,$AH62)="","",INDEX('Per Invoice'!Z$2:Z$401,$AH62)))</f>
        <v/>
      </c>
      <c r="AA62" s="7">
        <f>IF($AH62="","",IF(INDEX('Per Invoice'!AA$2:AA$401,$AH62)="","",INDEX('Per Invoice'!AA$2:AA$401,$AH62)))</f>
        <v/>
      </c>
      <c r="AB62" s="7">
        <f>IF($AH62="","",IF(INDEX('Per Invoice'!AB$2:AB$401,$AH62)="","",INDEX('Per Invoice'!AB$2:AB$401,$AH62)))</f>
        <v/>
      </c>
      <c r="AC62" s="7">
        <f>IF($AH62="","",IF(INDEX('Per Invoice'!AC$2:AC$401,$AH62)="","",INDEX('Per Invoice'!AC$2:AC$401,$AH62)))</f>
        <v/>
      </c>
      <c r="AD62" s="7">
        <f>IF($AH62="","",IF(INDEX('Per Invoice'!AD$2:AD$401,$AH62)="","",INDEX('Per Invoice'!AD$2:AD$401,$AH62)))</f>
        <v/>
      </c>
      <c r="AE62" s="7">
        <f>IF($AH62="","",IF(INDEX('Per Invoice'!AE$2:AE$401,$AH62)="","",INDEX('Per Invoice'!AE$2:AE$401,$AH62)))</f>
        <v/>
      </c>
      <c r="AF62">
        <f>IF($AH62="","",IF(INDEX('Per Invoice'!AF$2:AF$401,$AH62)="","",INDEX('Per Invoice'!AF$2:AF$401,$AH62)))</f>
        <v/>
      </c>
      <c r="AG62" s="7">
        <f>IF($AH62="","",IF(INDEX('Per Invoice'!AG$2:AG$401,$AH62)="","",INDEX('Per Invoice'!AG$2:AG$401,$AH62)))</f>
        <v/>
      </c>
      <c r="AH62" s="16">
        <f>IFERROR(MATCH(Settings!$C$26&amp;"|"&amp;ROWS($AH$2:$AH62),'Per Invoice'!$AI$2:$AI$401,0),"")</f>
        <v/>
      </c>
    </row>
    <row r="63">
      <c r="A63">
        <f>IF($AH63="","",IF(INDEX('Per Invoice'!A$2:A$401,$AH63)="","",INDEX('Per Invoice'!A$2:A$401,$AH63)))</f>
        <v/>
      </c>
      <c r="B63">
        <f>IF($AH63="","",IF(INDEX('Per Invoice'!B$2:B$401,$AH63)="","",INDEX('Per Invoice'!B$2:B$401,$AH63)))</f>
        <v/>
      </c>
      <c r="C63">
        <f>IF($AH63="","",IF(INDEX('Per Invoice'!C$2:C$401,$AH63)="","",INDEX('Per Invoice'!C$2:C$401,$AH63)))</f>
        <v/>
      </c>
      <c r="D63">
        <f>IF($AH63="","",IF(INDEX('Per Invoice'!D$2:D$401,$AH63)="","",INDEX('Per Invoice'!D$2:D$401,$AH63)))</f>
        <v/>
      </c>
      <c r="E63">
        <f>IF($AH63="","",IF(INDEX('Per Invoice'!E$2:E$401,$AH63)="","",INDEX('Per Invoice'!E$2:E$401,$AH63)))</f>
        <v/>
      </c>
      <c r="F63">
        <f>IF($AH63="","",IF(INDEX('Per Invoice'!F$2:F$401,$AH63)="","",INDEX('Per Invoice'!F$2:F$401,$AH63)))</f>
        <v/>
      </c>
      <c r="G63">
        <f>IF($AH63="","",IF(INDEX('Per Invoice'!G$2:G$401,$AH63)="","",INDEX('Per Invoice'!G$2:G$401,$AH63)))</f>
        <v/>
      </c>
      <c r="H63">
        <f>IF($AH63="","",IF(INDEX('Per Invoice'!H$2:H$401,$AH63)="","",INDEX('Per Invoice'!H$2:H$401,$AH63)))</f>
        <v/>
      </c>
      <c r="I63" s="14">
        <f>IF($AH63="","",IF(INDEX('Per Invoice'!I$2:I$401,$AH63)="","",INDEX('Per Invoice'!I$2:I$401,$AH63)))</f>
        <v/>
      </c>
      <c r="J63">
        <f>IF($AH63="","",IF(INDEX('Per Invoice'!J$2:J$401,$AH63)="","",INDEX('Per Invoice'!J$2:J$401,$AH63)))</f>
        <v/>
      </c>
      <c r="K63">
        <f>IF($AH63="","",IF(INDEX('Per Invoice'!K$2:K$401,$AH63)="","",INDEX('Per Invoice'!K$2:K$401,$AH63)))</f>
        <v/>
      </c>
      <c r="L63">
        <f>IF($AH63="","",IF(INDEX('Per Invoice'!L$2:L$401,$AH63)="","",INDEX('Per Invoice'!L$2:L$401,$AH63)))</f>
        <v/>
      </c>
      <c r="M63">
        <f>IF($AH63="","",IF(INDEX('Per Invoice'!M$2:M$401,$AH63)="","",INDEX('Per Invoice'!M$2:M$401,$AH63)))</f>
        <v/>
      </c>
      <c r="N63">
        <f>IF($AH63="","",IF(INDEX('Per Invoice'!N$2:N$401,$AH63)="","",INDEX('Per Invoice'!N$2:N$401,$AH63)))</f>
        <v/>
      </c>
      <c r="O63">
        <f>IF($AH63="","",IF(INDEX('Per Invoice'!O$2:O$401,$AH63)="","",INDEX('Per Invoice'!O$2:O$401,$AH63)))</f>
        <v/>
      </c>
      <c r="P63" s="7">
        <f>IF($AH63="","",IF(INDEX('Per Invoice'!P$2:P$401,$AH63)="","",INDEX('Per Invoice'!P$2:P$401,$AH63)))</f>
        <v/>
      </c>
      <c r="Q63">
        <f>IF($AH63="","",IF(INDEX('Per Invoice'!Q$2:Q$401,$AH63)="","",INDEX('Per Invoice'!Q$2:Q$401,$AH63)))</f>
        <v/>
      </c>
      <c r="R63">
        <f>IF($AH63="","",IF(INDEX('Per Invoice'!R$2:R$401,$AH63)="","",INDEX('Per Invoice'!R$2:R$401,$AH63)))</f>
        <v/>
      </c>
      <c r="S63">
        <f>IF($AH63="","",IF(INDEX('Per Invoice'!S$2:S$401,$AH63)="","",INDEX('Per Invoice'!S$2:S$401,$AH63)))</f>
        <v/>
      </c>
      <c r="T63" s="7">
        <f>IF($AH63="","",IF(INDEX('Per Invoice'!T$2:T$401,$AH63)="","",INDEX('Per Invoice'!T$2:T$401,$AH63)))</f>
        <v/>
      </c>
      <c r="U63" s="7">
        <f>IF($AH63="","",IF(INDEX('Per Invoice'!U$2:U$401,$AH63)="","",INDEX('Per Invoice'!U$2:U$401,$AH63)))</f>
        <v/>
      </c>
      <c r="V63">
        <f>IF($AH63="","",IF(INDEX('Per Invoice'!V$2:V$401,$AH63)="","",INDEX('Per Invoice'!V$2:V$401,$AH63)))</f>
        <v/>
      </c>
      <c r="W63" s="7">
        <f>IF($AH63="","",IF(INDEX('Per Invoice'!W$2:W$401,$AH63)="","",INDEX('Per Invoice'!W$2:W$401,$AH63)))</f>
        <v/>
      </c>
      <c r="X63" s="7">
        <f>IF($AH63="","",IF(INDEX('Per Invoice'!X$2:X$401,$AH63)="","",INDEX('Per Invoice'!X$2:X$401,$AH63)))</f>
        <v/>
      </c>
      <c r="Y63">
        <f>IF($AH63="","",IF(INDEX('Per Invoice'!Y$2:Y$401,$AH63)="","",INDEX('Per Invoice'!Y$2:Y$401,$AH63)))</f>
        <v/>
      </c>
      <c r="Z63" s="7">
        <f>IF($AH63="","",IF(INDEX('Per Invoice'!Z$2:Z$401,$AH63)="","",INDEX('Per Invoice'!Z$2:Z$401,$AH63)))</f>
        <v/>
      </c>
      <c r="AA63" s="7">
        <f>IF($AH63="","",IF(INDEX('Per Invoice'!AA$2:AA$401,$AH63)="","",INDEX('Per Invoice'!AA$2:AA$401,$AH63)))</f>
        <v/>
      </c>
      <c r="AB63" s="7">
        <f>IF($AH63="","",IF(INDEX('Per Invoice'!AB$2:AB$401,$AH63)="","",INDEX('Per Invoice'!AB$2:AB$401,$AH63)))</f>
        <v/>
      </c>
      <c r="AC63" s="7">
        <f>IF($AH63="","",IF(INDEX('Per Invoice'!AC$2:AC$401,$AH63)="","",INDEX('Per Invoice'!AC$2:AC$401,$AH63)))</f>
        <v/>
      </c>
      <c r="AD63" s="7">
        <f>IF($AH63="","",IF(INDEX('Per Invoice'!AD$2:AD$401,$AH63)="","",INDEX('Per Invoice'!AD$2:AD$401,$AH63)))</f>
        <v/>
      </c>
      <c r="AE63" s="7">
        <f>IF($AH63="","",IF(INDEX('Per Invoice'!AE$2:AE$401,$AH63)="","",INDEX('Per Invoice'!AE$2:AE$401,$AH63)))</f>
        <v/>
      </c>
      <c r="AF63">
        <f>IF($AH63="","",IF(INDEX('Per Invoice'!AF$2:AF$401,$AH63)="","",INDEX('Per Invoice'!AF$2:AF$401,$AH63)))</f>
        <v/>
      </c>
      <c r="AG63" s="7">
        <f>IF($AH63="","",IF(INDEX('Per Invoice'!AG$2:AG$401,$AH63)="","",INDEX('Per Invoice'!AG$2:AG$401,$AH63)))</f>
        <v/>
      </c>
      <c r="AH63" s="16">
        <f>IFERROR(MATCH(Settings!$C$26&amp;"|"&amp;ROWS($AH$2:$AH63),'Per Invoice'!$AI$2:$AI$401,0),"")</f>
        <v/>
      </c>
    </row>
    <row r="64">
      <c r="A64">
        <f>IF($AH64="","",IF(INDEX('Per Invoice'!A$2:A$401,$AH64)="","",INDEX('Per Invoice'!A$2:A$401,$AH64)))</f>
        <v/>
      </c>
      <c r="B64">
        <f>IF($AH64="","",IF(INDEX('Per Invoice'!B$2:B$401,$AH64)="","",INDEX('Per Invoice'!B$2:B$401,$AH64)))</f>
        <v/>
      </c>
      <c r="C64">
        <f>IF($AH64="","",IF(INDEX('Per Invoice'!C$2:C$401,$AH64)="","",INDEX('Per Invoice'!C$2:C$401,$AH64)))</f>
        <v/>
      </c>
      <c r="D64">
        <f>IF($AH64="","",IF(INDEX('Per Invoice'!D$2:D$401,$AH64)="","",INDEX('Per Invoice'!D$2:D$401,$AH64)))</f>
        <v/>
      </c>
      <c r="E64">
        <f>IF($AH64="","",IF(INDEX('Per Invoice'!E$2:E$401,$AH64)="","",INDEX('Per Invoice'!E$2:E$401,$AH64)))</f>
        <v/>
      </c>
      <c r="F64">
        <f>IF($AH64="","",IF(INDEX('Per Invoice'!F$2:F$401,$AH64)="","",INDEX('Per Invoice'!F$2:F$401,$AH64)))</f>
        <v/>
      </c>
      <c r="G64">
        <f>IF($AH64="","",IF(INDEX('Per Invoice'!G$2:G$401,$AH64)="","",INDEX('Per Invoice'!G$2:G$401,$AH64)))</f>
        <v/>
      </c>
      <c r="H64">
        <f>IF($AH64="","",IF(INDEX('Per Invoice'!H$2:H$401,$AH64)="","",INDEX('Per Invoice'!H$2:H$401,$AH64)))</f>
        <v/>
      </c>
      <c r="I64" s="14">
        <f>IF($AH64="","",IF(INDEX('Per Invoice'!I$2:I$401,$AH64)="","",INDEX('Per Invoice'!I$2:I$401,$AH64)))</f>
        <v/>
      </c>
      <c r="J64">
        <f>IF($AH64="","",IF(INDEX('Per Invoice'!J$2:J$401,$AH64)="","",INDEX('Per Invoice'!J$2:J$401,$AH64)))</f>
        <v/>
      </c>
      <c r="K64">
        <f>IF($AH64="","",IF(INDEX('Per Invoice'!K$2:K$401,$AH64)="","",INDEX('Per Invoice'!K$2:K$401,$AH64)))</f>
        <v/>
      </c>
      <c r="L64">
        <f>IF($AH64="","",IF(INDEX('Per Invoice'!L$2:L$401,$AH64)="","",INDEX('Per Invoice'!L$2:L$401,$AH64)))</f>
        <v/>
      </c>
      <c r="M64">
        <f>IF($AH64="","",IF(INDEX('Per Invoice'!M$2:M$401,$AH64)="","",INDEX('Per Invoice'!M$2:M$401,$AH64)))</f>
        <v/>
      </c>
      <c r="N64">
        <f>IF($AH64="","",IF(INDEX('Per Invoice'!N$2:N$401,$AH64)="","",INDEX('Per Invoice'!N$2:N$401,$AH64)))</f>
        <v/>
      </c>
      <c r="O64">
        <f>IF($AH64="","",IF(INDEX('Per Invoice'!O$2:O$401,$AH64)="","",INDEX('Per Invoice'!O$2:O$401,$AH64)))</f>
        <v/>
      </c>
      <c r="P64" s="7">
        <f>IF($AH64="","",IF(INDEX('Per Invoice'!P$2:P$401,$AH64)="","",INDEX('Per Invoice'!P$2:P$401,$AH64)))</f>
        <v/>
      </c>
      <c r="Q64">
        <f>IF($AH64="","",IF(INDEX('Per Invoice'!Q$2:Q$401,$AH64)="","",INDEX('Per Invoice'!Q$2:Q$401,$AH64)))</f>
        <v/>
      </c>
      <c r="R64">
        <f>IF($AH64="","",IF(INDEX('Per Invoice'!R$2:R$401,$AH64)="","",INDEX('Per Invoice'!R$2:R$401,$AH64)))</f>
        <v/>
      </c>
      <c r="S64">
        <f>IF($AH64="","",IF(INDEX('Per Invoice'!S$2:S$401,$AH64)="","",INDEX('Per Invoice'!S$2:S$401,$AH64)))</f>
        <v/>
      </c>
      <c r="T64" s="7">
        <f>IF($AH64="","",IF(INDEX('Per Invoice'!T$2:T$401,$AH64)="","",INDEX('Per Invoice'!T$2:T$401,$AH64)))</f>
        <v/>
      </c>
      <c r="U64" s="7">
        <f>IF($AH64="","",IF(INDEX('Per Invoice'!U$2:U$401,$AH64)="","",INDEX('Per Invoice'!U$2:U$401,$AH64)))</f>
        <v/>
      </c>
      <c r="V64">
        <f>IF($AH64="","",IF(INDEX('Per Invoice'!V$2:V$401,$AH64)="","",INDEX('Per Invoice'!V$2:V$401,$AH64)))</f>
        <v/>
      </c>
      <c r="W64" s="7">
        <f>IF($AH64="","",IF(INDEX('Per Invoice'!W$2:W$401,$AH64)="","",INDEX('Per Invoice'!W$2:W$401,$AH64)))</f>
        <v/>
      </c>
      <c r="X64" s="7">
        <f>IF($AH64="","",IF(INDEX('Per Invoice'!X$2:X$401,$AH64)="","",INDEX('Per Invoice'!X$2:X$401,$AH64)))</f>
        <v/>
      </c>
      <c r="Y64">
        <f>IF($AH64="","",IF(INDEX('Per Invoice'!Y$2:Y$401,$AH64)="","",INDEX('Per Invoice'!Y$2:Y$401,$AH64)))</f>
        <v/>
      </c>
      <c r="Z64" s="7">
        <f>IF($AH64="","",IF(INDEX('Per Invoice'!Z$2:Z$401,$AH64)="","",INDEX('Per Invoice'!Z$2:Z$401,$AH64)))</f>
        <v/>
      </c>
      <c r="AA64" s="7">
        <f>IF($AH64="","",IF(INDEX('Per Invoice'!AA$2:AA$401,$AH64)="","",INDEX('Per Invoice'!AA$2:AA$401,$AH64)))</f>
        <v/>
      </c>
      <c r="AB64" s="7">
        <f>IF($AH64="","",IF(INDEX('Per Invoice'!AB$2:AB$401,$AH64)="","",INDEX('Per Invoice'!AB$2:AB$401,$AH64)))</f>
        <v/>
      </c>
      <c r="AC64" s="7">
        <f>IF($AH64="","",IF(INDEX('Per Invoice'!AC$2:AC$401,$AH64)="","",INDEX('Per Invoice'!AC$2:AC$401,$AH64)))</f>
        <v/>
      </c>
      <c r="AD64" s="7">
        <f>IF($AH64="","",IF(INDEX('Per Invoice'!AD$2:AD$401,$AH64)="","",INDEX('Per Invoice'!AD$2:AD$401,$AH64)))</f>
        <v/>
      </c>
      <c r="AE64" s="7">
        <f>IF($AH64="","",IF(INDEX('Per Invoice'!AE$2:AE$401,$AH64)="","",INDEX('Per Invoice'!AE$2:AE$401,$AH64)))</f>
        <v/>
      </c>
      <c r="AF64">
        <f>IF($AH64="","",IF(INDEX('Per Invoice'!AF$2:AF$401,$AH64)="","",INDEX('Per Invoice'!AF$2:AF$401,$AH64)))</f>
        <v/>
      </c>
      <c r="AG64" s="7">
        <f>IF($AH64="","",IF(INDEX('Per Invoice'!AG$2:AG$401,$AH64)="","",INDEX('Per Invoice'!AG$2:AG$401,$AH64)))</f>
        <v/>
      </c>
      <c r="AH64" s="16">
        <f>IFERROR(MATCH(Settings!$C$26&amp;"|"&amp;ROWS($AH$2:$AH64),'Per Invoice'!$AI$2:$AI$401,0),"")</f>
        <v/>
      </c>
    </row>
    <row r="65">
      <c r="A65">
        <f>IF($AH65="","",IF(INDEX('Per Invoice'!A$2:A$401,$AH65)="","",INDEX('Per Invoice'!A$2:A$401,$AH65)))</f>
        <v/>
      </c>
      <c r="B65">
        <f>IF($AH65="","",IF(INDEX('Per Invoice'!B$2:B$401,$AH65)="","",INDEX('Per Invoice'!B$2:B$401,$AH65)))</f>
        <v/>
      </c>
      <c r="C65">
        <f>IF($AH65="","",IF(INDEX('Per Invoice'!C$2:C$401,$AH65)="","",INDEX('Per Invoice'!C$2:C$401,$AH65)))</f>
        <v/>
      </c>
      <c r="D65">
        <f>IF($AH65="","",IF(INDEX('Per Invoice'!D$2:D$401,$AH65)="","",INDEX('Per Invoice'!D$2:D$401,$AH65)))</f>
        <v/>
      </c>
      <c r="E65">
        <f>IF($AH65="","",IF(INDEX('Per Invoice'!E$2:E$401,$AH65)="","",INDEX('Per Invoice'!E$2:E$401,$AH65)))</f>
        <v/>
      </c>
      <c r="F65">
        <f>IF($AH65="","",IF(INDEX('Per Invoice'!F$2:F$401,$AH65)="","",INDEX('Per Invoice'!F$2:F$401,$AH65)))</f>
        <v/>
      </c>
      <c r="G65">
        <f>IF($AH65="","",IF(INDEX('Per Invoice'!G$2:G$401,$AH65)="","",INDEX('Per Invoice'!G$2:G$401,$AH65)))</f>
        <v/>
      </c>
      <c r="H65">
        <f>IF($AH65="","",IF(INDEX('Per Invoice'!H$2:H$401,$AH65)="","",INDEX('Per Invoice'!H$2:H$401,$AH65)))</f>
        <v/>
      </c>
      <c r="I65" s="14">
        <f>IF($AH65="","",IF(INDEX('Per Invoice'!I$2:I$401,$AH65)="","",INDEX('Per Invoice'!I$2:I$401,$AH65)))</f>
        <v/>
      </c>
      <c r="J65">
        <f>IF($AH65="","",IF(INDEX('Per Invoice'!J$2:J$401,$AH65)="","",INDEX('Per Invoice'!J$2:J$401,$AH65)))</f>
        <v/>
      </c>
      <c r="K65">
        <f>IF($AH65="","",IF(INDEX('Per Invoice'!K$2:K$401,$AH65)="","",INDEX('Per Invoice'!K$2:K$401,$AH65)))</f>
        <v/>
      </c>
      <c r="L65">
        <f>IF($AH65="","",IF(INDEX('Per Invoice'!L$2:L$401,$AH65)="","",INDEX('Per Invoice'!L$2:L$401,$AH65)))</f>
        <v/>
      </c>
      <c r="M65">
        <f>IF($AH65="","",IF(INDEX('Per Invoice'!M$2:M$401,$AH65)="","",INDEX('Per Invoice'!M$2:M$401,$AH65)))</f>
        <v/>
      </c>
      <c r="N65">
        <f>IF($AH65="","",IF(INDEX('Per Invoice'!N$2:N$401,$AH65)="","",INDEX('Per Invoice'!N$2:N$401,$AH65)))</f>
        <v/>
      </c>
      <c r="O65">
        <f>IF($AH65="","",IF(INDEX('Per Invoice'!O$2:O$401,$AH65)="","",INDEX('Per Invoice'!O$2:O$401,$AH65)))</f>
        <v/>
      </c>
      <c r="P65" s="7">
        <f>IF($AH65="","",IF(INDEX('Per Invoice'!P$2:P$401,$AH65)="","",INDEX('Per Invoice'!P$2:P$401,$AH65)))</f>
        <v/>
      </c>
      <c r="Q65">
        <f>IF($AH65="","",IF(INDEX('Per Invoice'!Q$2:Q$401,$AH65)="","",INDEX('Per Invoice'!Q$2:Q$401,$AH65)))</f>
        <v/>
      </c>
      <c r="R65">
        <f>IF($AH65="","",IF(INDEX('Per Invoice'!R$2:R$401,$AH65)="","",INDEX('Per Invoice'!R$2:R$401,$AH65)))</f>
        <v/>
      </c>
      <c r="S65">
        <f>IF($AH65="","",IF(INDEX('Per Invoice'!S$2:S$401,$AH65)="","",INDEX('Per Invoice'!S$2:S$401,$AH65)))</f>
        <v/>
      </c>
      <c r="T65" s="7">
        <f>IF($AH65="","",IF(INDEX('Per Invoice'!T$2:T$401,$AH65)="","",INDEX('Per Invoice'!T$2:T$401,$AH65)))</f>
        <v/>
      </c>
      <c r="U65" s="7">
        <f>IF($AH65="","",IF(INDEX('Per Invoice'!U$2:U$401,$AH65)="","",INDEX('Per Invoice'!U$2:U$401,$AH65)))</f>
        <v/>
      </c>
      <c r="V65">
        <f>IF($AH65="","",IF(INDEX('Per Invoice'!V$2:V$401,$AH65)="","",INDEX('Per Invoice'!V$2:V$401,$AH65)))</f>
        <v/>
      </c>
      <c r="W65" s="7">
        <f>IF($AH65="","",IF(INDEX('Per Invoice'!W$2:W$401,$AH65)="","",INDEX('Per Invoice'!W$2:W$401,$AH65)))</f>
        <v/>
      </c>
      <c r="X65" s="7">
        <f>IF($AH65="","",IF(INDEX('Per Invoice'!X$2:X$401,$AH65)="","",INDEX('Per Invoice'!X$2:X$401,$AH65)))</f>
        <v/>
      </c>
      <c r="Y65">
        <f>IF($AH65="","",IF(INDEX('Per Invoice'!Y$2:Y$401,$AH65)="","",INDEX('Per Invoice'!Y$2:Y$401,$AH65)))</f>
        <v/>
      </c>
      <c r="Z65" s="7">
        <f>IF($AH65="","",IF(INDEX('Per Invoice'!Z$2:Z$401,$AH65)="","",INDEX('Per Invoice'!Z$2:Z$401,$AH65)))</f>
        <v/>
      </c>
      <c r="AA65" s="7">
        <f>IF($AH65="","",IF(INDEX('Per Invoice'!AA$2:AA$401,$AH65)="","",INDEX('Per Invoice'!AA$2:AA$401,$AH65)))</f>
        <v/>
      </c>
      <c r="AB65" s="7">
        <f>IF($AH65="","",IF(INDEX('Per Invoice'!AB$2:AB$401,$AH65)="","",INDEX('Per Invoice'!AB$2:AB$401,$AH65)))</f>
        <v/>
      </c>
      <c r="AC65" s="7">
        <f>IF($AH65="","",IF(INDEX('Per Invoice'!AC$2:AC$401,$AH65)="","",INDEX('Per Invoice'!AC$2:AC$401,$AH65)))</f>
        <v/>
      </c>
      <c r="AD65" s="7">
        <f>IF($AH65="","",IF(INDEX('Per Invoice'!AD$2:AD$401,$AH65)="","",INDEX('Per Invoice'!AD$2:AD$401,$AH65)))</f>
        <v/>
      </c>
      <c r="AE65" s="7">
        <f>IF($AH65="","",IF(INDEX('Per Invoice'!AE$2:AE$401,$AH65)="","",INDEX('Per Invoice'!AE$2:AE$401,$AH65)))</f>
        <v/>
      </c>
      <c r="AF65">
        <f>IF($AH65="","",IF(INDEX('Per Invoice'!AF$2:AF$401,$AH65)="","",INDEX('Per Invoice'!AF$2:AF$401,$AH65)))</f>
        <v/>
      </c>
      <c r="AG65" s="7">
        <f>IF($AH65="","",IF(INDEX('Per Invoice'!AG$2:AG$401,$AH65)="","",INDEX('Per Invoice'!AG$2:AG$401,$AH65)))</f>
        <v/>
      </c>
      <c r="AH65" s="16">
        <f>IFERROR(MATCH(Settings!$C$26&amp;"|"&amp;ROWS($AH$2:$AH65),'Per Invoice'!$AI$2:$AI$401,0),"")</f>
        <v/>
      </c>
    </row>
    <row r="66">
      <c r="A66">
        <f>IF($AH66="","",IF(INDEX('Per Invoice'!A$2:A$401,$AH66)="","",INDEX('Per Invoice'!A$2:A$401,$AH66)))</f>
        <v/>
      </c>
      <c r="B66">
        <f>IF($AH66="","",IF(INDEX('Per Invoice'!B$2:B$401,$AH66)="","",INDEX('Per Invoice'!B$2:B$401,$AH66)))</f>
        <v/>
      </c>
      <c r="C66">
        <f>IF($AH66="","",IF(INDEX('Per Invoice'!C$2:C$401,$AH66)="","",INDEX('Per Invoice'!C$2:C$401,$AH66)))</f>
        <v/>
      </c>
      <c r="D66">
        <f>IF($AH66="","",IF(INDEX('Per Invoice'!D$2:D$401,$AH66)="","",INDEX('Per Invoice'!D$2:D$401,$AH66)))</f>
        <v/>
      </c>
      <c r="E66">
        <f>IF($AH66="","",IF(INDEX('Per Invoice'!E$2:E$401,$AH66)="","",INDEX('Per Invoice'!E$2:E$401,$AH66)))</f>
        <v/>
      </c>
      <c r="F66">
        <f>IF($AH66="","",IF(INDEX('Per Invoice'!F$2:F$401,$AH66)="","",INDEX('Per Invoice'!F$2:F$401,$AH66)))</f>
        <v/>
      </c>
      <c r="G66">
        <f>IF($AH66="","",IF(INDEX('Per Invoice'!G$2:G$401,$AH66)="","",INDEX('Per Invoice'!G$2:G$401,$AH66)))</f>
        <v/>
      </c>
      <c r="H66">
        <f>IF($AH66="","",IF(INDEX('Per Invoice'!H$2:H$401,$AH66)="","",INDEX('Per Invoice'!H$2:H$401,$AH66)))</f>
        <v/>
      </c>
      <c r="I66" s="14">
        <f>IF($AH66="","",IF(INDEX('Per Invoice'!I$2:I$401,$AH66)="","",INDEX('Per Invoice'!I$2:I$401,$AH66)))</f>
        <v/>
      </c>
      <c r="J66">
        <f>IF($AH66="","",IF(INDEX('Per Invoice'!J$2:J$401,$AH66)="","",INDEX('Per Invoice'!J$2:J$401,$AH66)))</f>
        <v/>
      </c>
      <c r="K66">
        <f>IF($AH66="","",IF(INDEX('Per Invoice'!K$2:K$401,$AH66)="","",INDEX('Per Invoice'!K$2:K$401,$AH66)))</f>
        <v/>
      </c>
      <c r="L66">
        <f>IF($AH66="","",IF(INDEX('Per Invoice'!L$2:L$401,$AH66)="","",INDEX('Per Invoice'!L$2:L$401,$AH66)))</f>
        <v/>
      </c>
      <c r="M66">
        <f>IF($AH66="","",IF(INDEX('Per Invoice'!M$2:M$401,$AH66)="","",INDEX('Per Invoice'!M$2:M$401,$AH66)))</f>
        <v/>
      </c>
      <c r="N66">
        <f>IF($AH66="","",IF(INDEX('Per Invoice'!N$2:N$401,$AH66)="","",INDEX('Per Invoice'!N$2:N$401,$AH66)))</f>
        <v/>
      </c>
      <c r="O66">
        <f>IF($AH66="","",IF(INDEX('Per Invoice'!O$2:O$401,$AH66)="","",INDEX('Per Invoice'!O$2:O$401,$AH66)))</f>
        <v/>
      </c>
      <c r="P66" s="7">
        <f>IF($AH66="","",IF(INDEX('Per Invoice'!P$2:P$401,$AH66)="","",INDEX('Per Invoice'!P$2:P$401,$AH66)))</f>
        <v/>
      </c>
      <c r="Q66">
        <f>IF($AH66="","",IF(INDEX('Per Invoice'!Q$2:Q$401,$AH66)="","",INDEX('Per Invoice'!Q$2:Q$401,$AH66)))</f>
        <v/>
      </c>
      <c r="R66">
        <f>IF($AH66="","",IF(INDEX('Per Invoice'!R$2:R$401,$AH66)="","",INDEX('Per Invoice'!R$2:R$401,$AH66)))</f>
        <v/>
      </c>
      <c r="S66">
        <f>IF($AH66="","",IF(INDEX('Per Invoice'!S$2:S$401,$AH66)="","",INDEX('Per Invoice'!S$2:S$401,$AH66)))</f>
        <v/>
      </c>
      <c r="T66" s="7">
        <f>IF($AH66="","",IF(INDEX('Per Invoice'!T$2:T$401,$AH66)="","",INDEX('Per Invoice'!T$2:T$401,$AH66)))</f>
        <v/>
      </c>
      <c r="U66" s="7">
        <f>IF($AH66="","",IF(INDEX('Per Invoice'!U$2:U$401,$AH66)="","",INDEX('Per Invoice'!U$2:U$401,$AH66)))</f>
        <v/>
      </c>
      <c r="V66">
        <f>IF($AH66="","",IF(INDEX('Per Invoice'!V$2:V$401,$AH66)="","",INDEX('Per Invoice'!V$2:V$401,$AH66)))</f>
        <v/>
      </c>
      <c r="W66" s="7">
        <f>IF($AH66="","",IF(INDEX('Per Invoice'!W$2:W$401,$AH66)="","",INDEX('Per Invoice'!W$2:W$401,$AH66)))</f>
        <v/>
      </c>
      <c r="X66" s="7">
        <f>IF($AH66="","",IF(INDEX('Per Invoice'!X$2:X$401,$AH66)="","",INDEX('Per Invoice'!X$2:X$401,$AH66)))</f>
        <v/>
      </c>
      <c r="Y66">
        <f>IF($AH66="","",IF(INDEX('Per Invoice'!Y$2:Y$401,$AH66)="","",INDEX('Per Invoice'!Y$2:Y$401,$AH66)))</f>
        <v/>
      </c>
      <c r="Z66" s="7">
        <f>IF($AH66="","",IF(INDEX('Per Invoice'!Z$2:Z$401,$AH66)="","",INDEX('Per Invoice'!Z$2:Z$401,$AH66)))</f>
        <v/>
      </c>
      <c r="AA66" s="7">
        <f>IF($AH66="","",IF(INDEX('Per Invoice'!AA$2:AA$401,$AH66)="","",INDEX('Per Invoice'!AA$2:AA$401,$AH66)))</f>
        <v/>
      </c>
      <c r="AB66" s="7">
        <f>IF($AH66="","",IF(INDEX('Per Invoice'!AB$2:AB$401,$AH66)="","",INDEX('Per Invoice'!AB$2:AB$401,$AH66)))</f>
        <v/>
      </c>
      <c r="AC66" s="7">
        <f>IF($AH66="","",IF(INDEX('Per Invoice'!AC$2:AC$401,$AH66)="","",INDEX('Per Invoice'!AC$2:AC$401,$AH66)))</f>
        <v/>
      </c>
      <c r="AD66" s="7">
        <f>IF($AH66="","",IF(INDEX('Per Invoice'!AD$2:AD$401,$AH66)="","",INDEX('Per Invoice'!AD$2:AD$401,$AH66)))</f>
        <v/>
      </c>
      <c r="AE66" s="7">
        <f>IF($AH66="","",IF(INDEX('Per Invoice'!AE$2:AE$401,$AH66)="","",INDEX('Per Invoice'!AE$2:AE$401,$AH66)))</f>
        <v/>
      </c>
      <c r="AF66">
        <f>IF($AH66="","",IF(INDEX('Per Invoice'!AF$2:AF$401,$AH66)="","",INDEX('Per Invoice'!AF$2:AF$401,$AH66)))</f>
        <v/>
      </c>
      <c r="AG66" s="7">
        <f>IF($AH66="","",IF(INDEX('Per Invoice'!AG$2:AG$401,$AH66)="","",INDEX('Per Invoice'!AG$2:AG$401,$AH66)))</f>
        <v/>
      </c>
      <c r="AH66" s="16">
        <f>IFERROR(MATCH(Settings!$C$26&amp;"|"&amp;ROWS($AH$2:$AH66),'Per Invoice'!$AI$2:$AI$401,0),"")</f>
        <v/>
      </c>
    </row>
    <row r="67">
      <c r="A67">
        <f>IF($AH67="","",IF(INDEX('Per Invoice'!A$2:A$401,$AH67)="","",INDEX('Per Invoice'!A$2:A$401,$AH67)))</f>
        <v/>
      </c>
      <c r="B67">
        <f>IF($AH67="","",IF(INDEX('Per Invoice'!B$2:B$401,$AH67)="","",INDEX('Per Invoice'!B$2:B$401,$AH67)))</f>
        <v/>
      </c>
      <c r="C67">
        <f>IF($AH67="","",IF(INDEX('Per Invoice'!C$2:C$401,$AH67)="","",INDEX('Per Invoice'!C$2:C$401,$AH67)))</f>
        <v/>
      </c>
      <c r="D67">
        <f>IF($AH67="","",IF(INDEX('Per Invoice'!D$2:D$401,$AH67)="","",INDEX('Per Invoice'!D$2:D$401,$AH67)))</f>
        <v/>
      </c>
      <c r="E67">
        <f>IF($AH67="","",IF(INDEX('Per Invoice'!E$2:E$401,$AH67)="","",INDEX('Per Invoice'!E$2:E$401,$AH67)))</f>
        <v/>
      </c>
      <c r="F67">
        <f>IF($AH67="","",IF(INDEX('Per Invoice'!F$2:F$401,$AH67)="","",INDEX('Per Invoice'!F$2:F$401,$AH67)))</f>
        <v/>
      </c>
      <c r="G67">
        <f>IF($AH67="","",IF(INDEX('Per Invoice'!G$2:G$401,$AH67)="","",INDEX('Per Invoice'!G$2:G$401,$AH67)))</f>
        <v/>
      </c>
      <c r="H67">
        <f>IF($AH67="","",IF(INDEX('Per Invoice'!H$2:H$401,$AH67)="","",INDEX('Per Invoice'!H$2:H$401,$AH67)))</f>
        <v/>
      </c>
      <c r="I67" s="14">
        <f>IF($AH67="","",IF(INDEX('Per Invoice'!I$2:I$401,$AH67)="","",INDEX('Per Invoice'!I$2:I$401,$AH67)))</f>
        <v/>
      </c>
      <c r="J67">
        <f>IF($AH67="","",IF(INDEX('Per Invoice'!J$2:J$401,$AH67)="","",INDEX('Per Invoice'!J$2:J$401,$AH67)))</f>
        <v/>
      </c>
      <c r="K67">
        <f>IF($AH67="","",IF(INDEX('Per Invoice'!K$2:K$401,$AH67)="","",INDEX('Per Invoice'!K$2:K$401,$AH67)))</f>
        <v/>
      </c>
      <c r="L67">
        <f>IF($AH67="","",IF(INDEX('Per Invoice'!L$2:L$401,$AH67)="","",INDEX('Per Invoice'!L$2:L$401,$AH67)))</f>
        <v/>
      </c>
      <c r="M67">
        <f>IF($AH67="","",IF(INDEX('Per Invoice'!M$2:M$401,$AH67)="","",INDEX('Per Invoice'!M$2:M$401,$AH67)))</f>
        <v/>
      </c>
      <c r="N67">
        <f>IF($AH67="","",IF(INDEX('Per Invoice'!N$2:N$401,$AH67)="","",INDEX('Per Invoice'!N$2:N$401,$AH67)))</f>
        <v/>
      </c>
      <c r="O67">
        <f>IF($AH67="","",IF(INDEX('Per Invoice'!O$2:O$401,$AH67)="","",INDEX('Per Invoice'!O$2:O$401,$AH67)))</f>
        <v/>
      </c>
      <c r="P67" s="7">
        <f>IF($AH67="","",IF(INDEX('Per Invoice'!P$2:P$401,$AH67)="","",INDEX('Per Invoice'!P$2:P$401,$AH67)))</f>
        <v/>
      </c>
      <c r="Q67">
        <f>IF($AH67="","",IF(INDEX('Per Invoice'!Q$2:Q$401,$AH67)="","",INDEX('Per Invoice'!Q$2:Q$401,$AH67)))</f>
        <v/>
      </c>
      <c r="R67">
        <f>IF($AH67="","",IF(INDEX('Per Invoice'!R$2:R$401,$AH67)="","",INDEX('Per Invoice'!R$2:R$401,$AH67)))</f>
        <v/>
      </c>
      <c r="S67">
        <f>IF($AH67="","",IF(INDEX('Per Invoice'!S$2:S$401,$AH67)="","",INDEX('Per Invoice'!S$2:S$401,$AH67)))</f>
        <v/>
      </c>
      <c r="T67" s="7">
        <f>IF($AH67="","",IF(INDEX('Per Invoice'!T$2:T$401,$AH67)="","",INDEX('Per Invoice'!T$2:T$401,$AH67)))</f>
        <v/>
      </c>
      <c r="U67" s="7">
        <f>IF($AH67="","",IF(INDEX('Per Invoice'!U$2:U$401,$AH67)="","",INDEX('Per Invoice'!U$2:U$401,$AH67)))</f>
        <v/>
      </c>
      <c r="V67">
        <f>IF($AH67="","",IF(INDEX('Per Invoice'!V$2:V$401,$AH67)="","",INDEX('Per Invoice'!V$2:V$401,$AH67)))</f>
        <v/>
      </c>
      <c r="W67" s="7">
        <f>IF($AH67="","",IF(INDEX('Per Invoice'!W$2:W$401,$AH67)="","",INDEX('Per Invoice'!W$2:W$401,$AH67)))</f>
        <v/>
      </c>
      <c r="X67" s="7">
        <f>IF($AH67="","",IF(INDEX('Per Invoice'!X$2:X$401,$AH67)="","",INDEX('Per Invoice'!X$2:X$401,$AH67)))</f>
        <v/>
      </c>
      <c r="Y67">
        <f>IF($AH67="","",IF(INDEX('Per Invoice'!Y$2:Y$401,$AH67)="","",INDEX('Per Invoice'!Y$2:Y$401,$AH67)))</f>
        <v/>
      </c>
      <c r="Z67" s="7">
        <f>IF($AH67="","",IF(INDEX('Per Invoice'!Z$2:Z$401,$AH67)="","",INDEX('Per Invoice'!Z$2:Z$401,$AH67)))</f>
        <v/>
      </c>
      <c r="AA67" s="7">
        <f>IF($AH67="","",IF(INDEX('Per Invoice'!AA$2:AA$401,$AH67)="","",INDEX('Per Invoice'!AA$2:AA$401,$AH67)))</f>
        <v/>
      </c>
      <c r="AB67" s="7">
        <f>IF($AH67="","",IF(INDEX('Per Invoice'!AB$2:AB$401,$AH67)="","",INDEX('Per Invoice'!AB$2:AB$401,$AH67)))</f>
        <v/>
      </c>
      <c r="AC67" s="7">
        <f>IF($AH67="","",IF(INDEX('Per Invoice'!AC$2:AC$401,$AH67)="","",INDEX('Per Invoice'!AC$2:AC$401,$AH67)))</f>
        <v/>
      </c>
      <c r="AD67" s="7">
        <f>IF($AH67="","",IF(INDEX('Per Invoice'!AD$2:AD$401,$AH67)="","",INDEX('Per Invoice'!AD$2:AD$401,$AH67)))</f>
        <v/>
      </c>
      <c r="AE67" s="7">
        <f>IF($AH67="","",IF(INDEX('Per Invoice'!AE$2:AE$401,$AH67)="","",INDEX('Per Invoice'!AE$2:AE$401,$AH67)))</f>
        <v/>
      </c>
      <c r="AF67">
        <f>IF($AH67="","",IF(INDEX('Per Invoice'!AF$2:AF$401,$AH67)="","",INDEX('Per Invoice'!AF$2:AF$401,$AH67)))</f>
        <v/>
      </c>
      <c r="AG67" s="7">
        <f>IF($AH67="","",IF(INDEX('Per Invoice'!AG$2:AG$401,$AH67)="","",INDEX('Per Invoice'!AG$2:AG$401,$AH67)))</f>
        <v/>
      </c>
      <c r="AH67" s="16">
        <f>IFERROR(MATCH(Settings!$C$26&amp;"|"&amp;ROWS($AH$2:$AH67),'Per Invoice'!$AI$2:$AI$401,0),"")</f>
        <v/>
      </c>
    </row>
    <row r="68">
      <c r="A68">
        <f>IF($AH68="","",IF(INDEX('Per Invoice'!A$2:A$401,$AH68)="","",INDEX('Per Invoice'!A$2:A$401,$AH68)))</f>
        <v/>
      </c>
      <c r="B68">
        <f>IF($AH68="","",IF(INDEX('Per Invoice'!B$2:B$401,$AH68)="","",INDEX('Per Invoice'!B$2:B$401,$AH68)))</f>
        <v/>
      </c>
      <c r="C68">
        <f>IF($AH68="","",IF(INDEX('Per Invoice'!C$2:C$401,$AH68)="","",INDEX('Per Invoice'!C$2:C$401,$AH68)))</f>
        <v/>
      </c>
      <c r="D68">
        <f>IF($AH68="","",IF(INDEX('Per Invoice'!D$2:D$401,$AH68)="","",INDEX('Per Invoice'!D$2:D$401,$AH68)))</f>
        <v/>
      </c>
      <c r="E68">
        <f>IF($AH68="","",IF(INDEX('Per Invoice'!E$2:E$401,$AH68)="","",INDEX('Per Invoice'!E$2:E$401,$AH68)))</f>
        <v/>
      </c>
      <c r="F68">
        <f>IF($AH68="","",IF(INDEX('Per Invoice'!F$2:F$401,$AH68)="","",INDEX('Per Invoice'!F$2:F$401,$AH68)))</f>
        <v/>
      </c>
      <c r="G68">
        <f>IF($AH68="","",IF(INDEX('Per Invoice'!G$2:G$401,$AH68)="","",INDEX('Per Invoice'!G$2:G$401,$AH68)))</f>
        <v/>
      </c>
      <c r="H68">
        <f>IF($AH68="","",IF(INDEX('Per Invoice'!H$2:H$401,$AH68)="","",INDEX('Per Invoice'!H$2:H$401,$AH68)))</f>
        <v/>
      </c>
      <c r="I68" s="14">
        <f>IF($AH68="","",IF(INDEX('Per Invoice'!I$2:I$401,$AH68)="","",INDEX('Per Invoice'!I$2:I$401,$AH68)))</f>
        <v/>
      </c>
      <c r="J68">
        <f>IF($AH68="","",IF(INDEX('Per Invoice'!J$2:J$401,$AH68)="","",INDEX('Per Invoice'!J$2:J$401,$AH68)))</f>
        <v/>
      </c>
      <c r="K68">
        <f>IF($AH68="","",IF(INDEX('Per Invoice'!K$2:K$401,$AH68)="","",INDEX('Per Invoice'!K$2:K$401,$AH68)))</f>
        <v/>
      </c>
      <c r="L68">
        <f>IF($AH68="","",IF(INDEX('Per Invoice'!L$2:L$401,$AH68)="","",INDEX('Per Invoice'!L$2:L$401,$AH68)))</f>
        <v/>
      </c>
      <c r="M68">
        <f>IF($AH68="","",IF(INDEX('Per Invoice'!M$2:M$401,$AH68)="","",INDEX('Per Invoice'!M$2:M$401,$AH68)))</f>
        <v/>
      </c>
      <c r="N68">
        <f>IF($AH68="","",IF(INDEX('Per Invoice'!N$2:N$401,$AH68)="","",INDEX('Per Invoice'!N$2:N$401,$AH68)))</f>
        <v/>
      </c>
      <c r="O68">
        <f>IF($AH68="","",IF(INDEX('Per Invoice'!O$2:O$401,$AH68)="","",INDEX('Per Invoice'!O$2:O$401,$AH68)))</f>
        <v/>
      </c>
      <c r="P68" s="7">
        <f>IF($AH68="","",IF(INDEX('Per Invoice'!P$2:P$401,$AH68)="","",INDEX('Per Invoice'!P$2:P$401,$AH68)))</f>
        <v/>
      </c>
      <c r="Q68">
        <f>IF($AH68="","",IF(INDEX('Per Invoice'!Q$2:Q$401,$AH68)="","",INDEX('Per Invoice'!Q$2:Q$401,$AH68)))</f>
        <v/>
      </c>
      <c r="R68">
        <f>IF($AH68="","",IF(INDEX('Per Invoice'!R$2:R$401,$AH68)="","",INDEX('Per Invoice'!R$2:R$401,$AH68)))</f>
        <v/>
      </c>
      <c r="S68">
        <f>IF($AH68="","",IF(INDEX('Per Invoice'!S$2:S$401,$AH68)="","",INDEX('Per Invoice'!S$2:S$401,$AH68)))</f>
        <v/>
      </c>
      <c r="T68" s="7">
        <f>IF($AH68="","",IF(INDEX('Per Invoice'!T$2:T$401,$AH68)="","",INDEX('Per Invoice'!T$2:T$401,$AH68)))</f>
        <v/>
      </c>
      <c r="U68" s="7">
        <f>IF($AH68="","",IF(INDEX('Per Invoice'!U$2:U$401,$AH68)="","",INDEX('Per Invoice'!U$2:U$401,$AH68)))</f>
        <v/>
      </c>
      <c r="V68">
        <f>IF($AH68="","",IF(INDEX('Per Invoice'!V$2:V$401,$AH68)="","",INDEX('Per Invoice'!V$2:V$401,$AH68)))</f>
        <v/>
      </c>
      <c r="W68" s="7">
        <f>IF($AH68="","",IF(INDEX('Per Invoice'!W$2:W$401,$AH68)="","",INDEX('Per Invoice'!W$2:W$401,$AH68)))</f>
        <v/>
      </c>
      <c r="X68" s="7">
        <f>IF($AH68="","",IF(INDEX('Per Invoice'!X$2:X$401,$AH68)="","",INDEX('Per Invoice'!X$2:X$401,$AH68)))</f>
        <v/>
      </c>
      <c r="Y68">
        <f>IF($AH68="","",IF(INDEX('Per Invoice'!Y$2:Y$401,$AH68)="","",INDEX('Per Invoice'!Y$2:Y$401,$AH68)))</f>
        <v/>
      </c>
      <c r="Z68" s="7">
        <f>IF($AH68="","",IF(INDEX('Per Invoice'!Z$2:Z$401,$AH68)="","",INDEX('Per Invoice'!Z$2:Z$401,$AH68)))</f>
        <v/>
      </c>
      <c r="AA68" s="7">
        <f>IF($AH68="","",IF(INDEX('Per Invoice'!AA$2:AA$401,$AH68)="","",INDEX('Per Invoice'!AA$2:AA$401,$AH68)))</f>
        <v/>
      </c>
      <c r="AB68" s="7">
        <f>IF($AH68="","",IF(INDEX('Per Invoice'!AB$2:AB$401,$AH68)="","",INDEX('Per Invoice'!AB$2:AB$401,$AH68)))</f>
        <v/>
      </c>
      <c r="AC68" s="7">
        <f>IF($AH68="","",IF(INDEX('Per Invoice'!AC$2:AC$401,$AH68)="","",INDEX('Per Invoice'!AC$2:AC$401,$AH68)))</f>
        <v/>
      </c>
      <c r="AD68" s="7">
        <f>IF($AH68="","",IF(INDEX('Per Invoice'!AD$2:AD$401,$AH68)="","",INDEX('Per Invoice'!AD$2:AD$401,$AH68)))</f>
        <v/>
      </c>
      <c r="AE68" s="7">
        <f>IF($AH68="","",IF(INDEX('Per Invoice'!AE$2:AE$401,$AH68)="","",INDEX('Per Invoice'!AE$2:AE$401,$AH68)))</f>
        <v/>
      </c>
      <c r="AF68">
        <f>IF($AH68="","",IF(INDEX('Per Invoice'!AF$2:AF$401,$AH68)="","",INDEX('Per Invoice'!AF$2:AF$401,$AH68)))</f>
        <v/>
      </c>
      <c r="AG68" s="7">
        <f>IF($AH68="","",IF(INDEX('Per Invoice'!AG$2:AG$401,$AH68)="","",INDEX('Per Invoice'!AG$2:AG$401,$AH68)))</f>
        <v/>
      </c>
      <c r="AH68" s="16">
        <f>IFERROR(MATCH(Settings!$C$26&amp;"|"&amp;ROWS($AH$2:$AH68),'Per Invoice'!$AI$2:$AI$401,0),"")</f>
        <v/>
      </c>
    </row>
    <row r="69">
      <c r="A69">
        <f>IF($AH69="","",IF(INDEX('Per Invoice'!A$2:A$401,$AH69)="","",INDEX('Per Invoice'!A$2:A$401,$AH69)))</f>
        <v/>
      </c>
      <c r="B69">
        <f>IF($AH69="","",IF(INDEX('Per Invoice'!B$2:B$401,$AH69)="","",INDEX('Per Invoice'!B$2:B$401,$AH69)))</f>
        <v/>
      </c>
      <c r="C69">
        <f>IF($AH69="","",IF(INDEX('Per Invoice'!C$2:C$401,$AH69)="","",INDEX('Per Invoice'!C$2:C$401,$AH69)))</f>
        <v/>
      </c>
      <c r="D69">
        <f>IF($AH69="","",IF(INDEX('Per Invoice'!D$2:D$401,$AH69)="","",INDEX('Per Invoice'!D$2:D$401,$AH69)))</f>
        <v/>
      </c>
      <c r="E69">
        <f>IF($AH69="","",IF(INDEX('Per Invoice'!E$2:E$401,$AH69)="","",INDEX('Per Invoice'!E$2:E$401,$AH69)))</f>
        <v/>
      </c>
      <c r="F69">
        <f>IF($AH69="","",IF(INDEX('Per Invoice'!F$2:F$401,$AH69)="","",INDEX('Per Invoice'!F$2:F$401,$AH69)))</f>
        <v/>
      </c>
      <c r="G69">
        <f>IF($AH69="","",IF(INDEX('Per Invoice'!G$2:G$401,$AH69)="","",INDEX('Per Invoice'!G$2:G$401,$AH69)))</f>
        <v/>
      </c>
      <c r="H69">
        <f>IF($AH69="","",IF(INDEX('Per Invoice'!H$2:H$401,$AH69)="","",INDEX('Per Invoice'!H$2:H$401,$AH69)))</f>
        <v/>
      </c>
      <c r="I69" s="14">
        <f>IF($AH69="","",IF(INDEX('Per Invoice'!I$2:I$401,$AH69)="","",INDEX('Per Invoice'!I$2:I$401,$AH69)))</f>
        <v/>
      </c>
      <c r="J69">
        <f>IF($AH69="","",IF(INDEX('Per Invoice'!J$2:J$401,$AH69)="","",INDEX('Per Invoice'!J$2:J$401,$AH69)))</f>
        <v/>
      </c>
      <c r="K69">
        <f>IF($AH69="","",IF(INDEX('Per Invoice'!K$2:K$401,$AH69)="","",INDEX('Per Invoice'!K$2:K$401,$AH69)))</f>
        <v/>
      </c>
      <c r="L69">
        <f>IF($AH69="","",IF(INDEX('Per Invoice'!L$2:L$401,$AH69)="","",INDEX('Per Invoice'!L$2:L$401,$AH69)))</f>
        <v/>
      </c>
      <c r="M69">
        <f>IF($AH69="","",IF(INDEX('Per Invoice'!M$2:M$401,$AH69)="","",INDEX('Per Invoice'!M$2:M$401,$AH69)))</f>
        <v/>
      </c>
      <c r="N69">
        <f>IF($AH69="","",IF(INDEX('Per Invoice'!N$2:N$401,$AH69)="","",INDEX('Per Invoice'!N$2:N$401,$AH69)))</f>
        <v/>
      </c>
      <c r="O69">
        <f>IF($AH69="","",IF(INDEX('Per Invoice'!O$2:O$401,$AH69)="","",INDEX('Per Invoice'!O$2:O$401,$AH69)))</f>
        <v/>
      </c>
      <c r="P69" s="7">
        <f>IF($AH69="","",IF(INDEX('Per Invoice'!P$2:P$401,$AH69)="","",INDEX('Per Invoice'!P$2:P$401,$AH69)))</f>
        <v/>
      </c>
      <c r="Q69">
        <f>IF($AH69="","",IF(INDEX('Per Invoice'!Q$2:Q$401,$AH69)="","",INDEX('Per Invoice'!Q$2:Q$401,$AH69)))</f>
        <v/>
      </c>
      <c r="R69">
        <f>IF($AH69="","",IF(INDEX('Per Invoice'!R$2:R$401,$AH69)="","",INDEX('Per Invoice'!R$2:R$401,$AH69)))</f>
        <v/>
      </c>
      <c r="S69">
        <f>IF($AH69="","",IF(INDEX('Per Invoice'!S$2:S$401,$AH69)="","",INDEX('Per Invoice'!S$2:S$401,$AH69)))</f>
        <v/>
      </c>
      <c r="T69" s="7">
        <f>IF($AH69="","",IF(INDEX('Per Invoice'!T$2:T$401,$AH69)="","",INDEX('Per Invoice'!T$2:T$401,$AH69)))</f>
        <v/>
      </c>
      <c r="U69" s="7">
        <f>IF($AH69="","",IF(INDEX('Per Invoice'!U$2:U$401,$AH69)="","",INDEX('Per Invoice'!U$2:U$401,$AH69)))</f>
        <v/>
      </c>
      <c r="V69">
        <f>IF($AH69="","",IF(INDEX('Per Invoice'!V$2:V$401,$AH69)="","",INDEX('Per Invoice'!V$2:V$401,$AH69)))</f>
        <v/>
      </c>
      <c r="W69" s="7">
        <f>IF($AH69="","",IF(INDEX('Per Invoice'!W$2:W$401,$AH69)="","",INDEX('Per Invoice'!W$2:W$401,$AH69)))</f>
        <v/>
      </c>
      <c r="X69" s="7">
        <f>IF($AH69="","",IF(INDEX('Per Invoice'!X$2:X$401,$AH69)="","",INDEX('Per Invoice'!X$2:X$401,$AH69)))</f>
        <v/>
      </c>
      <c r="Y69">
        <f>IF($AH69="","",IF(INDEX('Per Invoice'!Y$2:Y$401,$AH69)="","",INDEX('Per Invoice'!Y$2:Y$401,$AH69)))</f>
        <v/>
      </c>
      <c r="Z69" s="7">
        <f>IF($AH69="","",IF(INDEX('Per Invoice'!Z$2:Z$401,$AH69)="","",INDEX('Per Invoice'!Z$2:Z$401,$AH69)))</f>
        <v/>
      </c>
      <c r="AA69" s="7">
        <f>IF($AH69="","",IF(INDEX('Per Invoice'!AA$2:AA$401,$AH69)="","",INDEX('Per Invoice'!AA$2:AA$401,$AH69)))</f>
        <v/>
      </c>
      <c r="AB69" s="7">
        <f>IF($AH69="","",IF(INDEX('Per Invoice'!AB$2:AB$401,$AH69)="","",INDEX('Per Invoice'!AB$2:AB$401,$AH69)))</f>
        <v/>
      </c>
      <c r="AC69" s="7">
        <f>IF($AH69="","",IF(INDEX('Per Invoice'!AC$2:AC$401,$AH69)="","",INDEX('Per Invoice'!AC$2:AC$401,$AH69)))</f>
        <v/>
      </c>
      <c r="AD69" s="7">
        <f>IF($AH69="","",IF(INDEX('Per Invoice'!AD$2:AD$401,$AH69)="","",INDEX('Per Invoice'!AD$2:AD$401,$AH69)))</f>
        <v/>
      </c>
      <c r="AE69" s="7">
        <f>IF($AH69="","",IF(INDEX('Per Invoice'!AE$2:AE$401,$AH69)="","",INDEX('Per Invoice'!AE$2:AE$401,$AH69)))</f>
        <v/>
      </c>
      <c r="AF69">
        <f>IF($AH69="","",IF(INDEX('Per Invoice'!AF$2:AF$401,$AH69)="","",INDEX('Per Invoice'!AF$2:AF$401,$AH69)))</f>
        <v/>
      </c>
      <c r="AG69" s="7">
        <f>IF($AH69="","",IF(INDEX('Per Invoice'!AG$2:AG$401,$AH69)="","",INDEX('Per Invoice'!AG$2:AG$401,$AH69)))</f>
        <v/>
      </c>
      <c r="AH69" s="16">
        <f>IFERROR(MATCH(Settings!$C$26&amp;"|"&amp;ROWS($AH$2:$AH69),'Per Invoice'!$AI$2:$AI$401,0),"")</f>
        <v/>
      </c>
    </row>
    <row r="70">
      <c r="A70">
        <f>IF($AH70="","",IF(INDEX('Per Invoice'!A$2:A$401,$AH70)="","",INDEX('Per Invoice'!A$2:A$401,$AH70)))</f>
        <v/>
      </c>
      <c r="B70">
        <f>IF($AH70="","",IF(INDEX('Per Invoice'!B$2:B$401,$AH70)="","",INDEX('Per Invoice'!B$2:B$401,$AH70)))</f>
        <v/>
      </c>
      <c r="C70">
        <f>IF($AH70="","",IF(INDEX('Per Invoice'!C$2:C$401,$AH70)="","",INDEX('Per Invoice'!C$2:C$401,$AH70)))</f>
        <v/>
      </c>
      <c r="D70">
        <f>IF($AH70="","",IF(INDEX('Per Invoice'!D$2:D$401,$AH70)="","",INDEX('Per Invoice'!D$2:D$401,$AH70)))</f>
        <v/>
      </c>
      <c r="E70">
        <f>IF($AH70="","",IF(INDEX('Per Invoice'!E$2:E$401,$AH70)="","",INDEX('Per Invoice'!E$2:E$401,$AH70)))</f>
        <v/>
      </c>
      <c r="F70">
        <f>IF($AH70="","",IF(INDEX('Per Invoice'!F$2:F$401,$AH70)="","",INDEX('Per Invoice'!F$2:F$401,$AH70)))</f>
        <v/>
      </c>
      <c r="G70">
        <f>IF($AH70="","",IF(INDEX('Per Invoice'!G$2:G$401,$AH70)="","",INDEX('Per Invoice'!G$2:G$401,$AH70)))</f>
        <v/>
      </c>
      <c r="H70">
        <f>IF($AH70="","",IF(INDEX('Per Invoice'!H$2:H$401,$AH70)="","",INDEX('Per Invoice'!H$2:H$401,$AH70)))</f>
        <v/>
      </c>
      <c r="I70" s="14">
        <f>IF($AH70="","",IF(INDEX('Per Invoice'!I$2:I$401,$AH70)="","",INDEX('Per Invoice'!I$2:I$401,$AH70)))</f>
        <v/>
      </c>
      <c r="J70">
        <f>IF($AH70="","",IF(INDEX('Per Invoice'!J$2:J$401,$AH70)="","",INDEX('Per Invoice'!J$2:J$401,$AH70)))</f>
        <v/>
      </c>
      <c r="K70">
        <f>IF($AH70="","",IF(INDEX('Per Invoice'!K$2:K$401,$AH70)="","",INDEX('Per Invoice'!K$2:K$401,$AH70)))</f>
        <v/>
      </c>
      <c r="L70">
        <f>IF($AH70="","",IF(INDEX('Per Invoice'!L$2:L$401,$AH70)="","",INDEX('Per Invoice'!L$2:L$401,$AH70)))</f>
        <v/>
      </c>
      <c r="M70">
        <f>IF($AH70="","",IF(INDEX('Per Invoice'!M$2:M$401,$AH70)="","",INDEX('Per Invoice'!M$2:M$401,$AH70)))</f>
        <v/>
      </c>
      <c r="N70">
        <f>IF($AH70="","",IF(INDEX('Per Invoice'!N$2:N$401,$AH70)="","",INDEX('Per Invoice'!N$2:N$401,$AH70)))</f>
        <v/>
      </c>
      <c r="O70">
        <f>IF($AH70="","",IF(INDEX('Per Invoice'!O$2:O$401,$AH70)="","",INDEX('Per Invoice'!O$2:O$401,$AH70)))</f>
        <v/>
      </c>
      <c r="P70" s="7">
        <f>IF($AH70="","",IF(INDEX('Per Invoice'!P$2:P$401,$AH70)="","",INDEX('Per Invoice'!P$2:P$401,$AH70)))</f>
        <v/>
      </c>
      <c r="Q70">
        <f>IF($AH70="","",IF(INDEX('Per Invoice'!Q$2:Q$401,$AH70)="","",INDEX('Per Invoice'!Q$2:Q$401,$AH70)))</f>
        <v/>
      </c>
      <c r="R70">
        <f>IF($AH70="","",IF(INDEX('Per Invoice'!R$2:R$401,$AH70)="","",INDEX('Per Invoice'!R$2:R$401,$AH70)))</f>
        <v/>
      </c>
      <c r="S70">
        <f>IF($AH70="","",IF(INDEX('Per Invoice'!S$2:S$401,$AH70)="","",INDEX('Per Invoice'!S$2:S$401,$AH70)))</f>
        <v/>
      </c>
      <c r="T70" s="7">
        <f>IF($AH70="","",IF(INDEX('Per Invoice'!T$2:T$401,$AH70)="","",INDEX('Per Invoice'!T$2:T$401,$AH70)))</f>
        <v/>
      </c>
      <c r="U70" s="7">
        <f>IF($AH70="","",IF(INDEX('Per Invoice'!U$2:U$401,$AH70)="","",INDEX('Per Invoice'!U$2:U$401,$AH70)))</f>
        <v/>
      </c>
      <c r="V70">
        <f>IF($AH70="","",IF(INDEX('Per Invoice'!V$2:V$401,$AH70)="","",INDEX('Per Invoice'!V$2:V$401,$AH70)))</f>
        <v/>
      </c>
      <c r="W70" s="7">
        <f>IF($AH70="","",IF(INDEX('Per Invoice'!W$2:W$401,$AH70)="","",INDEX('Per Invoice'!W$2:W$401,$AH70)))</f>
        <v/>
      </c>
      <c r="X70" s="7">
        <f>IF($AH70="","",IF(INDEX('Per Invoice'!X$2:X$401,$AH70)="","",INDEX('Per Invoice'!X$2:X$401,$AH70)))</f>
        <v/>
      </c>
      <c r="Y70">
        <f>IF($AH70="","",IF(INDEX('Per Invoice'!Y$2:Y$401,$AH70)="","",INDEX('Per Invoice'!Y$2:Y$401,$AH70)))</f>
        <v/>
      </c>
      <c r="Z70" s="7">
        <f>IF($AH70="","",IF(INDEX('Per Invoice'!Z$2:Z$401,$AH70)="","",INDEX('Per Invoice'!Z$2:Z$401,$AH70)))</f>
        <v/>
      </c>
      <c r="AA70" s="7">
        <f>IF($AH70="","",IF(INDEX('Per Invoice'!AA$2:AA$401,$AH70)="","",INDEX('Per Invoice'!AA$2:AA$401,$AH70)))</f>
        <v/>
      </c>
      <c r="AB70" s="7">
        <f>IF($AH70="","",IF(INDEX('Per Invoice'!AB$2:AB$401,$AH70)="","",INDEX('Per Invoice'!AB$2:AB$401,$AH70)))</f>
        <v/>
      </c>
      <c r="AC70" s="7">
        <f>IF($AH70="","",IF(INDEX('Per Invoice'!AC$2:AC$401,$AH70)="","",INDEX('Per Invoice'!AC$2:AC$401,$AH70)))</f>
        <v/>
      </c>
      <c r="AD70" s="7">
        <f>IF($AH70="","",IF(INDEX('Per Invoice'!AD$2:AD$401,$AH70)="","",INDEX('Per Invoice'!AD$2:AD$401,$AH70)))</f>
        <v/>
      </c>
      <c r="AE70" s="7">
        <f>IF($AH70="","",IF(INDEX('Per Invoice'!AE$2:AE$401,$AH70)="","",INDEX('Per Invoice'!AE$2:AE$401,$AH70)))</f>
        <v/>
      </c>
      <c r="AF70">
        <f>IF($AH70="","",IF(INDEX('Per Invoice'!AF$2:AF$401,$AH70)="","",INDEX('Per Invoice'!AF$2:AF$401,$AH70)))</f>
        <v/>
      </c>
      <c r="AG70" s="7">
        <f>IF($AH70="","",IF(INDEX('Per Invoice'!AG$2:AG$401,$AH70)="","",INDEX('Per Invoice'!AG$2:AG$401,$AH70)))</f>
        <v/>
      </c>
      <c r="AH70" s="16">
        <f>IFERROR(MATCH(Settings!$C$26&amp;"|"&amp;ROWS($AH$2:$AH70),'Per Invoice'!$AI$2:$AI$401,0),"")</f>
        <v/>
      </c>
    </row>
    <row r="71">
      <c r="A71">
        <f>IF($AH71="","",IF(INDEX('Per Invoice'!A$2:A$401,$AH71)="","",INDEX('Per Invoice'!A$2:A$401,$AH71)))</f>
        <v/>
      </c>
      <c r="B71">
        <f>IF($AH71="","",IF(INDEX('Per Invoice'!B$2:B$401,$AH71)="","",INDEX('Per Invoice'!B$2:B$401,$AH71)))</f>
        <v/>
      </c>
      <c r="C71">
        <f>IF($AH71="","",IF(INDEX('Per Invoice'!C$2:C$401,$AH71)="","",INDEX('Per Invoice'!C$2:C$401,$AH71)))</f>
        <v/>
      </c>
      <c r="D71">
        <f>IF($AH71="","",IF(INDEX('Per Invoice'!D$2:D$401,$AH71)="","",INDEX('Per Invoice'!D$2:D$401,$AH71)))</f>
        <v/>
      </c>
      <c r="E71">
        <f>IF($AH71="","",IF(INDEX('Per Invoice'!E$2:E$401,$AH71)="","",INDEX('Per Invoice'!E$2:E$401,$AH71)))</f>
        <v/>
      </c>
      <c r="F71">
        <f>IF($AH71="","",IF(INDEX('Per Invoice'!F$2:F$401,$AH71)="","",INDEX('Per Invoice'!F$2:F$401,$AH71)))</f>
        <v/>
      </c>
      <c r="G71">
        <f>IF($AH71="","",IF(INDEX('Per Invoice'!G$2:G$401,$AH71)="","",INDEX('Per Invoice'!G$2:G$401,$AH71)))</f>
        <v/>
      </c>
      <c r="H71">
        <f>IF($AH71="","",IF(INDEX('Per Invoice'!H$2:H$401,$AH71)="","",INDEX('Per Invoice'!H$2:H$401,$AH71)))</f>
        <v/>
      </c>
      <c r="I71" s="14">
        <f>IF($AH71="","",IF(INDEX('Per Invoice'!I$2:I$401,$AH71)="","",INDEX('Per Invoice'!I$2:I$401,$AH71)))</f>
        <v/>
      </c>
      <c r="J71">
        <f>IF($AH71="","",IF(INDEX('Per Invoice'!J$2:J$401,$AH71)="","",INDEX('Per Invoice'!J$2:J$401,$AH71)))</f>
        <v/>
      </c>
      <c r="K71">
        <f>IF($AH71="","",IF(INDEX('Per Invoice'!K$2:K$401,$AH71)="","",INDEX('Per Invoice'!K$2:K$401,$AH71)))</f>
        <v/>
      </c>
      <c r="L71">
        <f>IF($AH71="","",IF(INDEX('Per Invoice'!L$2:L$401,$AH71)="","",INDEX('Per Invoice'!L$2:L$401,$AH71)))</f>
        <v/>
      </c>
      <c r="M71">
        <f>IF($AH71="","",IF(INDEX('Per Invoice'!M$2:M$401,$AH71)="","",INDEX('Per Invoice'!M$2:M$401,$AH71)))</f>
        <v/>
      </c>
      <c r="N71">
        <f>IF($AH71="","",IF(INDEX('Per Invoice'!N$2:N$401,$AH71)="","",INDEX('Per Invoice'!N$2:N$401,$AH71)))</f>
        <v/>
      </c>
      <c r="O71">
        <f>IF($AH71="","",IF(INDEX('Per Invoice'!O$2:O$401,$AH71)="","",INDEX('Per Invoice'!O$2:O$401,$AH71)))</f>
        <v/>
      </c>
      <c r="P71" s="7">
        <f>IF($AH71="","",IF(INDEX('Per Invoice'!P$2:P$401,$AH71)="","",INDEX('Per Invoice'!P$2:P$401,$AH71)))</f>
        <v/>
      </c>
      <c r="Q71">
        <f>IF($AH71="","",IF(INDEX('Per Invoice'!Q$2:Q$401,$AH71)="","",INDEX('Per Invoice'!Q$2:Q$401,$AH71)))</f>
        <v/>
      </c>
      <c r="R71">
        <f>IF($AH71="","",IF(INDEX('Per Invoice'!R$2:R$401,$AH71)="","",INDEX('Per Invoice'!R$2:R$401,$AH71)))</f>
        <v/>
      </c>
      <c r="S71">
        <f>IF($AH71="","",IF(INDEX('Per Invoice'!S$2:S$401,$AH71)="","",INDEX('Per Invoice'!S$2:S$401,$AH71)))</f>
        <v/>
      </c>
      <c r="T71" s="7">
        <f>IF($AH71="","",IF(INDEX('Per Invoice'!T$2:T$401,$AH71)="","",INDEX('Per Invoice'!T$2:T$401,$AH71)))</f>
        <v/>
      </c>
      <c r="U71" s="7">
        <f>IF($AH71="","",IF(INDEX('Per Invoice'!U$2:U$401,$AH71)="","",INDEX('Per Invoice'!U$2:U$401,$AH71)))</f>
        <v/>
      </c>
      <c r="V71">
        <f>IF($AH71="","",IF(INDEX('Per Invoice'!V$2:V$401,$AH71)="","",INDEX('Per Invoice'!V$2:V$401,$AH71)))</f>
        <v/>
      </c>
      <c r="W71" s="7">
        <f>IF($AH71="","",IF(INDEX('Per Invoice'!W$2:W$401,$AH71)="","",INDEX('Per Invoice'!W$2:W$401,$AH71)))</f>
        <v/>
      </c>
      <c r="X71" s="7">
        <f>IF($AH71="","",IF(INDEX('Per Invoice'!X$2:X$401,$AH71)="","",INDEX('Per Invoice'!X$2:X$401,$AH71)))</f>
        <v/>
      </c>
      <c r="Y71">
        <f>IF($AH71="","",IF(INDEX('Per Invoice'!Y$2:Y$401,$AH71)="","",INDEX('Per Invoice'!Y$2:Y$401,$AH71)))</f>
        <v/>
      </c>
      <c r="Z71" s="7">
        <f>IF($AH71="","",IF(INDEX('Per Invoice'!Z$2:Z$401,$AH71)="","",INDEX('Per Invoice'!Z$2:Z$401,$AH71)))</f>
        <v/>
      </c>
      <c r="AA71" s="7">
        <f>IF($AH71="","",IF(INDEX('Per Invoice'!AA$2:AA$401,$AH71)="","",INDEX('Per Invoice'!AA$2:AA$401,$AH71)))</f>
        <v/>
      </c>
      <c r="AB71" s="7">
        <f>IF($AH71="","",IF(INDEX('Per Invoice'!AB$2:AB$401,$AH71)="","",INDEX('Per Invoice'!AB$2:AB$401,$AH71)))</f>
        <v/>
      </c>
      <c r="AC71" s="7">
        <f>IF($AH71="","",IF(INDEX('Per Invoice'!AC$2:AC$401,$AH71)="","",INDEX('Per Invoice'!AC$2:AC$401,$AH71)))</f>
        <v/>
      </c>
      <c r="AD71" s="7">
        <f>IF($AH71="","",IF(INDEX('Per Invoice'!AD$2:AD$401,$AH71)="","",INDEX('Per Invoice'!AD$2:AD$401,$AH71)))</f>
        <v/>
      </c>
      <c r="AE71" s="7">
        <f>IF($AH71="","",IF(INDEX('Per Invoice'!AE$2:AE$401,$AH71)="","",INDEX('Per Invoice'!AE$2:AE$401,$AH71)))</f>
        <v/>
      </c>
      <c r="AF71">
        <f>IF($AH71="","",IF(INDEX('Per Invoice'!AF$2:AF$401,$AH71)="","",INDEX('Per Invoice'!AF$2:AF$401,$AH71)))</f>
        <v/>
      </c>
      <c r="AG71" s="7">
        <f>IF($AH71="","",IF(INDEX('Per Invoice'!AG$2:AG$401,$AH71)="","",INDEX('Per Invoice'!AG$2:AG$401,$AH71)))</f>
        <v/>
      </c>
      <c r="AH71" s="16">
        <f>IFERROR(MATCH(Settings!$C$26&amp;"|"&amp;ROWS($AH$2:$AH71),'Per Invoice'!$AI$2:$AI$401,0),"")</f>
        <v/>
      </c>
    </row>
    <row r="72">
      <c r="A72">
        <f>IF($AH72="","",IF(INDEX('Per Invoice'!A$2:A$401,$AH72)="","",INDEX('Per Invoice'!A$2:A$401,$AH72)))</f>
        <v/>
      </c>
      <c r="B72">
        <f>IF($AH72="","",IF(INDEX('Per Invoice'!B$2:B$401,$AH72)="","",INDEX('Per Invoice'!B$2:B$401,$AH72)))</f>
        <v/>
      </c>
      <c r="C72">
        <f>IF($AH72="","",IF(INDEX('Per Invoice'!C$2:C$401,$AH72)="","",INDEX('Per Invoice'!C$2:C$401,$AH72)))</f>
        <v/>
      </c>
      <c r="D72">
        <f>IF($AH72="","",IF(INDEX('Per Invoice'!D$2:D$401,$AH72)="","",INDEX('Per Invoice'!D$2:D$401,$AH72)))</f>
        <v/>
      </c>
      <c r="E72">
        <f>IF($AH72="","",IF(INDEX('Per Invoice'!E$2:E$401,$AH72)="","",INDEX('Per Invoice'!E$2:E$401,$AH72)))</f>
        <v/>
      </c>
      <c r="F72">
        <f>IF($AH72="","",IF(INDEX('Per Invoice'!F$2:F$401,$AH72)="","",INDEX('Per Invoice'!F$2:F$401,$AH72)))</f>
        <v/>
      </c>
      <c r="G72">
        <f>IF($AH72="","",IF(INDEX('Per Invoice'!G$2:G$401,$AH72)="","",INDEX('Per Invoice'!G$2:G$401,$AH72)))</f>
        <v/>
      </c>
      <c r="H72">
        <f>IF($AH72="","",IF(INDEX('Per Invoice'!H$2:H$401,$AH72)="","",INDEX('Per Invoice'!H$2:H$401,$AH72)))</f>
        <v/>
      </c>
      <c r="I72" s="14">
        <f>IF($AH72="","",IF(INDEX('Per Invoice'!I$2:I$401,$AH72)="","",INDEX('Per Invoice'!I$2:I$401,$AH72)))</f>
        <v/>
      </c>
      <c r="J72">
        <f>IF($AH72="","",IF(INDEX('Per Invoice'!J$2:J$401,$AH72)="","",INDEX('Per Invoice'!J$2:J$401,$AH72)))</f>
        <v/>
      </c>
      <c r="K72">
        <f>IF($AH72="","",IF(INDEX('Per Invoice'!K$2:K$401,$AH72)="","",INDEX('Per Invoice'!K$2:K$401,$AH72)))</f>
        <v/>
      </c>
      <c r="L72">
        <f>IF($AH72="","",IF(INDEX('Per Invoice'!L$2:L$401,$AH72)="","",INDEX('Per Invoice'!L$2:L$401,$AH72)))</f>
        <v/>
      </c>
      <c r="M72">
        <f>IF($AH72="","",IF(INDEX('Per Invoice'!M$2:M$401,$AH72)="","",INDEX('Per Invoice'!M$2:M$401,$AH72)))</f>
        <v/>
      </c>
      <c r="N72">
        <f>IF($AH72="","",IF(INDEX('Per Invoice'!N$2:N$401,$AH72)="","",INDEX('Per Invoice'!N$2:N$401,$AH72)))</f>
        <v/>
      </c>
      <c r="O72">
        <f>IF($AH72="","",IF(INDEX('Per Invoice'!O$2:O$401,$AH72)="","",INDEX('Per Invoice'!O$2:O$401,$AH72)))</f>
        <v/>
      </c>
      <c r="P72" s="7">
        <f>IF($AH72="","",IF(INDEX('Per Invoice'!P$2:P$401,$AH72)="","",INDEX('Per Invoice'!P$2:P$401,$AH72)))</f>
        <v/>
      </c>
      <c r="Q72">
        <f>IF($AH72="","",IF(INDEX('Per Invoice'!Q$2:Q$401,$AH72)="","",INDEX('Per Invoice'!Q$2:Q$401,$AH72)))</f>
        <v/>
      </c>
      <c r="R72">
        <f>IF($AH72="","",IF(INDEX('Per Invoice'!R$2:R$401,$AH72)="","",INDEX('Per Invoice'!R$2:R$401,$AH72)))</f>
        <v/>
      </c>
      <c r="S72">
        <f>IF($AH72="","",IF(INDEX('Per Invoice'!S$2:S$401,$AH72)="","",INDEX('Per Invoice'!S$2:S$401,$AH72)))</f>
        <v/>
      </c>
      <c r="T72" s="7">
        <f>IF($AH72="","",IF(INDEX('Per Invoice'!T$2:T$401,$AH72)="","",INDEX('Per Invoice'!T$2:T$401,$AH72)))</f>
        <v/>
      </c>
      <c r="U72" s="7">
        <f>IF($AH72="","",IF(INDEX('Per Invoice'!U$2:U$401,$AH72)="","",INDEX('Per Invoice'!U$2:U$401,$AH72)))</f>
        <v/>
      </c>
      <c r="V72">
        <f>IF($AH72="","",IF(INDEX('Per Invoice'!V$2:V$401,$AH72)="","",INDEX('Per Invoice'!V$2:V$401,$AH72)))</f>
        <v/>
      </c>
      <c r="W72" s="7">
        <f>IF($AH72="","",IF(INDEX('Per Invoice'!W$2:W$401,$AH72)="","",INDEX('Per Invoice'!W$2:W$401,$AH72)))</f>
        <v/>
      </c>
      <c r="X72" s="7">
        <f>IF($AH72="","",IF(INDEX('Per Invoice'!X$2:X$401,$AH72)="","",INDEX('Per Invoice'!X$2:X$401,$AH72)))</f>
        <v/>
      </c>
      <c r="Y72">
        <f>IF($AH72="","",IF(INDEX('Per Invoice'!Y$2:Y$401,$AH72)="","",INDEX('Per Invoice'!Y$2:Y$401,$AH72)))</f>
        <v/>
      </c>
      <c r="Z72" s="7">
        <f>IF($AH72="","",IF(INDEX('Per Invoice'!Z$2:Z$401,$AH72)="","",INDEX('Per Invoice'!Z$2:Z$401,$AH72)))</f>
        <v/>
      </c>
      <c r="AA72" s="7">
        <f>IF($AH72="","",IF(INDEX('Per Invoice'!AA$2:AA$401,$AH72)="","",INDEX('Per Invoice'!AA$2:AA$401,$AH72)))</f>
        <v/>
      </c>
      <c r="AB72" s="7">
        <f>IF($AH72="","",IF(INDEX('Per Invoice'!AB$2:AB$401,$AH72)="","",INDEX('Per Invoice'!AB$2:AB$401,$AH72)))</f>
        <v/>
      </c>
      <c r="AC72" s="7">
        <f>IF($AH72="","",IF(INDEX('Per Invoice'!AC$2:AC$401,$AH72)="","",INDEX('Per Invoice'!AC$2:AC$401,$AH72)))</f>
        <v/>
      </c>
      <c r="AD72" s="7">
        <f>IF($AH72="","",IF(INDEX('Per Invoice'!AD$2:AD$401,$AH72)="","",INDEX('Per Invoice'!AD$2:AD$401,$AH72)))</f>
        <v/>
      </c>
      <c r="AE72" s="7">
        <f>IF($AH72="","",IF(INDEX('Per Invoice'!AE$2:AE$401,$AH72)="","",INDEX('Per Invoice'!AE$2:AE$401,$AH72)))</f>
        <v/>
      </c>
      <c r="AF72">
        <f>IF($AH72="","",IF(INDEX('Per Invoice'!AF$2:AF$401,$AH72)="","",INDEX('Per Invoice'!AF$2:AF$401,$AH72)))</f>
        <v/>
      </c>
      <c r="AG72" s="7">
        <f>IF($AH72="","",IF(INDEX('Per Invoice'!AG$2:AG$401,$AH72)="","",INDEX('Per Invoice'!AG$2:AG$401,$AH72)))</f>
        <v/>
      </c>
      <c r="AH72" s="16">
        <f>IFERROR(MATCH(Settings!$C$26&amp;"|"&amp;ROWS($AH$2:$AH72),'Per Invoice'!$AI$2:$AI$401,0),"")</f>
        <v/>
      </c>
    </row>
    <row r="73">
      <c r="A73">
        <f>IF($AH73="","",IF(INDEX('Per Invoice'!A$2:A$401,$AH73)="","",INDEX('Per Invoice'!A$2:A$401,$AH73)))</f>
        <v/>
      </c>
      <c r="B73">
        <f>IF($AH73="","",IF(INDEX('Per Invoice'!B$2:B$401,$AH73)="","",INDEX('Per Invoice'!B$2:B$401,$AH73)))</f>
        <v/>
      </c>
      <c r="C73">
        <f>IF($AH73="","",IF(INDEX('Per Invoice'!C$2:C$401,$AH73)="","",INDEX('Per Invoice'!C$2:C$401,$AH73)))</f>
        <v/>
      </c>
      <c r="D73">
        <f>IF($AH73="","",IF(INDEX('Per Invoice'!D$2:D$401,$AH73)="","",INDEX('Per Invoice'!D$2:D$401,$AH73)))</f>
        <v/>
      </c>
      <c r="E73">
        <f>IF($AH73="","",IF(INDEX('Per Invoice'!E$2:E$401,$AH73)="","",INDEX('Per Invoice'!E$2:E$401,$AH73)))</f>
        <v/>
      </c>
      <c r="F73">
        <f>IF($AH73="","",IF(INDEX('Per Invoice'!F$2:F$401,$AH73)="","",INDEX('Per Invoice'!F$2:F$401,$AH73)))</f>
        <v/>
      </c>
      <c r="G73">
        <f>IF($AH73="","",IF(INDEX('Per Invoice'!G$2:G$401,$AH73)="","",INDEX('Per Invoice'!G$2:G$401,$AH73)))</f>
        <v/>
      </c>
      <c r="H73">
        <f>IF($AH73="","",IF(INDEX('Per Invoice'!H$2:H$401,$AH73)="","",INDEX('Per Invoice'!H$2:H$401,$AH73)))</f>
        <v/>
      </c>
      <c r="I73" s="14">
        <f>IF($AH73="","",IF(INDEX('Per Invoice'!I$2:I$401,$AH73)="","",INDEX('Per Invoice'!I$2:I$401,$AH73)))</f>
        <v/>
      </c>
      <c r="J73">
        <f>IF($AH73="","",IF(INDEX('Per Invoice'!J$2:J$401,$AH73)="","",INDEX('Per Invoice'!J$2:J$401,$AH73)))</f>
        <v/>
      </c>
      <c r="K73">
        <f>IF($AH73="","",IF(INDEX('Per Invoice'!K$2:K$401,$AH73)="","",INDEX('Per Invoice'!K$2:K$401,$AH73)))</f>
        <v/>
      </c>
      <c r="L73">
        <f>IF($AH73="","",IF(INDEX('Per Invoice'!L$2:L$401,$AH73)="","",INDEX('Per Invoice'!L$2:L$401,$AH73)))</f>
        <v/>
      </c>
      <c r="M73">
        <f>IF($AH73="","",IF(INDEX('Per Invoice'!M$2:M$401,$AH73)="","",INDEX('Per Invoice'!M$2:M$401,$AH73)))</f>
        <v/>
      </c>
      <c r="N73">
        <f>IF($AH73="","",IF(INDEX('Per Invoice'!N$2:N$401,$AH73)="","",INDEX('Per Invoice'!N$2:N$401,$AH73)))</f>
        <v/>
      </c>
      <c r="O73">
        <f>IF($AH73="","",IF(INDEX('Per Invoice'!O$2:O$401,$AH73)="","",INDEX('Per Invoice'!O$2:O$401,$AH73)))</f>
        <v/>
      </c>
      <c r="P73" s="7">
        <f>IF($AH73="","",IF(INDEX('Per Invoice'!P$2:P$401,$AH73)="","",INDEX('Per Invoice'!P$2:P$401,$AH73)))</f>
        <v/>
      </c>
      <c r="Q73">
        <f>IF($AH73="","",IF(INDEX('Per Invoice'!Q$2:Q$401,$AH73)="","",INDEX('Per Invoice'!Q$2:Q$401,$AH73)))</f>
        <v/>
      </c>
      <c r="R73">
        <f>IF($AH73="","",IF(INDEX('Per Invoice'!R$2:R$401,$AH73)="","",INDEX('Per Invoice'!R$2:R$401,$AH73)))</f>
        <v/>
      </c>
      <c r="S73">
        <f>IF($AH73="","",IF(INDEX('Per Invoice'!S$2:S$401,$AH73)="","",INDEX('Per Invoice'!S$2:S$401,$AH73)))</f>
        <v/>
      </c>
      <c r="T73" s="7">
        <f>IF($AH73="","",IF(INDEX('Per Invoice'!T$2:T$401,$AH73)="","",INDEX('Per Invoice'!T$2:T$401,$AH73)))</f>
        <v/>
      </c>
      <c r="U73" s="7">
        <f>IF($AH73="","",IF(INDEX('Per Invoice'!U$2:U$401,$AH73)="","",INDEX('Per Invoice'!U$2:U$401,$AH73)))</f>
        <v/>
      </c>
      <c r="V73">
        <f>IF($AH73="","",IF(INDEX('Per Invoice'!V$2:V$401,$AH73)="","",INDEX('Per Invoice'!V$2:V$401,$AH73)))</f>
        <v/>
      </c>
      <c r="W73" s="7">
        <f>IF($AH73="","",IF(INDEX('Per Invoice'!W$2:W$401,$AH73)="","",INDEX('Per Invoice'!W$2:W$401,$AH73)))</f>
        <v/>
      </c>
      <c r="X73" s="7">
        <f>IF($AH73="","",IF(INDEX('Per Invoice'!X$2:X$401,$AH73)="","",INDEX('Per Invoice'!X$2:X$401,$AH73)))</f>
        <v/>
      </c>
      <c r="Y73">
        <f>IF($AH73="","",IF(INDEX('Per Invoice'!Y$2:Y$401,$AH73)="","",INDEX('Per Invoice'!Y$2:Y$401,$AH73)))</f>
        <v/>
      </c>
      <c r="Z73" s="7">
        <f>IF($AH73="","",IF(INDEX('Per Invoice'!Z$2:Z$401,$AH73)="","",INDEX('Per Invoice'!Z$2:Z$401,$AH73)))</f>
        <v/>
      </c>
      <c r="AA73" s="7">
        <f>IF($AH73="","",IF(INDEX('Per Invoice'!AA$2:AA$401,$AH73)="","",INDEX('Per Invoice'!AA$2:AA$401,$AH73)))</f>
        <v/>
      </c>
      <c r="AB73" s="7">
        <f>IF($AH73="","",IF(INDEX('Per Invoice'!AB$2:AB$401,$AH73)="","",INDEX('Per Invoice'!AB$2:AB$401,$AH73)))</f>
        <v/>
      </c>
      <c r="AC73" s="7">
        <f>IF($AH73="","",IF(INDEX('Per Invoice'!AC$2:AC$401,$AH73)="","",INDEX('Per Invoice'!AC$2:AC$401,$AH73)))</f>
        <v/>
      </c>
      <c r="AD73" s="7">
        <f>IF($AH73="","",IF(INDEX('Per Invoice'!AD$2:AD$401,$AH73)="","",INDEX('Per Invoice'!AD$2:AD$401,$AH73)))</f>
        <v/>
      </c>
      <c r="AE73" s="7">
        <f>IF($AH73="","",IF(INDEX('Per Invoice'!AE$2:AE$401,$AH73)="","",INDEX('Per Invoice'!AE$2:AE$401,$AH73)))</f>
        <v/>
      </c>
      <c r="AF73">
        <f>IF($AH73="","",IF(INDEX('Per Invoice'!AF$2:AF$401,$AH73)="","",INDEX('Per Invoice'!AF$2:AF$401,$AH73)))</f>
        <v/>
      </c>
      <c r="AG73" s="7">
        <f>IF($AH73="","",IF(INDEX('Per Invoice'!AG$2:AG$401,$AH73)="","",INDEX('Per Invoice'!AG$2:AG$401,$AH73)))</f>
        <v/>
      </c>
      <c r="AH73" s="16">
        <f>IFERROR(MATCH(Settings!$C$26&amp;"|"&amp;ROWS($AH$2:$AH73),'Per Invoice'!$AI$2:$AI$401,0),"")</f>
        <v/>
      </c>
    </row>
    <row r="74">
      <c r="A74">
        <f>IF($AH74="","",IF(INDEX('Per Invoice'!A$2:A$401,$AH74)="","",INDEX('Per Invoice'!A$2:A$401,$AH74)))</f>
        <v/>
      </c>
      <c r="B74">
        <f>IF($AH74="","",IF(INDEX('Per Invoice'!B$2:B$401,$AH74)="","",INDEX('Per Invoice'!B$2:B$401,$AH74)))</f>
        <v/>
      </c>
      <c r="C74">
        <f>IF($AH74="","",IF(INDEX('Per Invoice'!C$2:C$401,$AH74)="","",INDEX('Per Invoice'!C$2:C$401,$AH74)))</f>
        <v/>
      </c>
      <c r="D74">
        <f>IF($AH74="","",IF(INDEX('Per Invoice'!D$2:D$401,$AH74)="","",INDEX('Per Invoice'!D$2:D$401,$AH74)))</f>
        <v/>
      </c>
      <c r="E74">
        <f>IF($AH74="","",IF(INDEX('Per Invoice'!E$2:E$401,$AH74)="","",INDEX('Per Invoice'!E$2:E$401,$AH74)))</f>
        <v/>
      </c>
      <c r="F74">
        <f>IF($AH74="","",IF(INDEX('Per Invoice'!F$2:F$401,$AH74)="","",INDEX('Per Invoice'!F$2:F$401,$AH74)))</f>
        <v/>
      </c>
      <c r="G74">
        <f>IF($AH74="","",IF(INDEX('Per Invoice'!G$2:G$401,$AH74)="","",INDEX('Per Invoice'!G$2:G$401,$AH74)))</f>
        <v/>
      </c>
      <c r="H74">
        <f>IF($AH74="","",IF(INDEX('Per Invoice'!H$2:H$401,$AH74)="","",INDEX('Per Invoice'!H$2:H$401,$AH74)))</f>
        <v/>
      </c>
      <c r="I74" s="14">
        <f>IF($AH74="","",IF(INDEX('Per Invoice'!I$2:I$401,$AH74)="","",INDEX('Per Invoice'!I$2:I$401,$AH74)))</f>
        <v/>
      </c>
      <c r="J74">
        <f>IF($AH74="","",IF(INDEX('Per Invoice'!J$2:J$401,$AH74)="","",INDEX('Per Invoice'!J$2:J$401,$AH74)))</f>
        <v/>
      </c>
      <c r="K74">
        <f>IF($AH74="","",IF(INDEX('Per Invoice'!K$2:K$401,$AH74)="","",INDEX('Per Invoice'!K$2:K$401,$AH74)))</f>
        <v/>
      </c>
      <c r="L74">
        <f>IF($AH74="","",IF(INDEX('Per Invoice'!L$2:L$401,$AH74)="","",INDEX('Per Invoice'!L$2:L$401,$AH74)))</f>
        <v/>
      </c>
      <c r="M74">
        <f>IF($AH74="","",IF(INDEX('Per Invoice'!M$2:M$401,$AH74)="","",INDEX('Per Invoice'!M$2:M$401,$AH74)))</f>
        <v/>
      </c>
      <c r="N74">
        <f>IF($AH74="","",IF(INDEX('Per Invoice'!N$2:N$401,$AH74)="","",INDEX('Per Invoice'!N$2:N$401,$AH74)))</f>
        <v/>
      </c>
      <c r="O74">
        <f>IF($AH74="","",IF(INDEX('Per Invoice'!O$2:O$401,$AH74)="","",INDEX('Per Invoice'!O$2:O$401,$AH74)))</f>
        <v/>
      </c>
      <c r="P74" s="7">
        <f>IF($AH74="","",IF(INDEX('Per Invoice'!P$2:P$401,$AH74)="","",INDEX('Per Invoice'!P$2:P$401,$AH74)))</f>
        <v/>
      </c>
      <c r="Q74">
        <f>IF($AH74="","",IF(INDEX('Per Invoice'!Q$2:Q$401,$AH74)="","",INDEX('Per Invoice'!Q$2:Q$401,$AH74)))</f>
        <v/>
      </c>
      <c r="R74">
        <f>IF($AH74="","",IF(INDEX('Per Invoice'!R$2:R$401,$AH74)="","",INDEX('Per Invoice'!R$2:R$401,$AH74)))</f>
        <v/>
      </c>
      <c r="S74">
        <f>IF($AH74="","",IF(INDEX('Per Invoice'!S$2:S$401,$AH74)="","",INDEX('Per Invoice'!S$2:S$401,$AH74)))</f>
        <v/>
      </c>
      <c r="T74" s="7">
        <f>IF($AH74="","",IF(INDEX('Per Invoice'!T$2:T$401,$AH74)="","",INDEX('Per Invoice'!T$2:T$401,$AH74)))</f>
        <v/>
      </c>
      <c r="U74" s="7">
        <f>IF($AH74="","",IF(INDEX('Per Invoice'!U$2:U$401,$AH74)="","",INDEX('Per Invoice'!U$2:U$401,$AH74)))</f>
        <v/>
      </c>
      <c r="V74">
        <f>IF($AH74="","",IF(INDEX('Per Invoice'!V$2:V$401,$AH74)="","",INDEX('Per Invoice'!V$2:V$401,$AH74)))</f>
        <v/>
      </c>
      <c r="W74" s="7">
        <f>IF($AH74="","",IF(INDEX('Per Invoice'!W$2:W$401,$AH74)="","",INDEX('Per Invoice'!W$2:W$401,$AH74)))</f>
        <v/>
      </c>
      <c r="X74" s="7">
        <f>IF($AH74="","",IF(INDEX('Per Invoice'!X$2:X$401,$AH74)="","",INDEX('Per Invoice'!X$2:X$401,$AH74)))</f>
        <v/>
      </c>
      <c r="Y74">
        <f>IF($AH74="","",IF(INDEX('Per Invoice'!Y$2:Y$401,$AH74)="","",INDEX('Per Invoice'!Y$2:Y$401,$AH74)))</f>
        <v/>
      </c>
      <c r="Z74" s="7">
        <f>IF($AH74="","",IF(INDEX('Per Invoice'!Z$2:Z$401,$AH74)="","",INDEX('Per Invoice'!Z$2:Z$401,$AH74)))</f>
        <v/>
      </c>
      <c r="AA74" s="7">
        <f>IF($AH74="","",IF(INDEX('Per Invoice'!AA$2:AA$401,$AH74)="","",INDEX('Per Invoice'!AA$2:AA$401,$AH74)))</f>
        <v/>
      </c>
      <c r="AB74" s="7">
        <f>IF($AH74="","",IF(INDEX('Per Invoice'!AB$2:AB$401,$AH74)="","",INDEX('Per Invoice'!AB$2:AB$401,$AH74)))</f>
        <v/>
      </c>
      <c r="AC74" s="7">
        <f>IF($AH74="","",IF(INDEX('Per Invoice'!AC$2:AC$401,$AH74)="","",INDEX('Per Invoice'!AC$2:AC$401,$AH74)))</f>
        <v/>
      </c>
      <c r="AD74" s="7">
        <f>IF($AH74="","",IF(INDEX('Per Invoice'!AD$2:AD$401,$AH74)="","",INDEX('Per Invoice'!AD$2:AD$401,$AH74)))</f>
        <v/>
      </c>
      <c r="AE74" s="7">
        <f>IF($AH74="","",IF(INDEX('Per Invoice'!AE$2:AE$401,$AH74)="","",INDEX('Per Invoice'!AE$2:AE$401,$AH74)))</f>
        <v/>
      </c>
      <c r="AF74">
        <f>IF($AH74="","",IF(INDEX('Per Invoice'!AF$2:AF$401,$AH74)="","",INDEX('Per Invoice'!AF$2:AF$401,$AH74)))</f>
        <v/>
      </c>
      <c r="AG74" s="7">
        <f>IF($AH74="","",IF(INDEX('Per Invoice'!AG$2:AG$401,$AH74)="","",INDEX('Per Invoice'!AG$2:AG$401,$AH74)))</f>
        <v/>
      </c>
      <c r="AH74" s="16">
        <f>IFERROR(MATCH(Settings!$C$26&amp;"|"&amp;ROWS($AH$2:$AH74),'Per Invoice'!$AI$2:$AI$401,0),"")</f>
        <v/>
      </c>
    </row>
    <row r="75">
      <c r="A75">
        <f>IF($AH75="","",IF(INDEX('Per Invoice'!A$2:A$401,$AH75)="","",INDEX('Per Invoice'!A$2:A$401,$AH75)))</f>
        <v/>
      </c>
      <c r="B75">
        <f>IF($AH75="","",IF(INDEX('Per Invoice'!B$2:B$401,$AH75)="","",INDEX('Per Invoice'!B$2:B$401,$AH75)))</f>
        <v/>
      </c>
      <c r="C75">
        <f>IF($AH75="","",IF(INDEX('Per Invoice'!C$2:C$401,$AH75)="","",INDEX('Per Invoice'!C$2:C$401,$AH75)))</f>
        <v/>
      </c>
      <c r="D75">
        <f>IF($AH75="","",IF(INDEX('Per Invoice'!D$2:D$401,$AH75)="","",INDEX('Per Invoice'!D$2:D$401,$AH75)))</f>
        <v/>
      </c>
      <c r="E75">
        <f>IF($AH75="","",IF(INDEX('Per Invoice'!E$2:E$401,$AH75)="","",INDEX('Per Invoice'!E$2:E$401,$AH75)))</f>
        <v/>
      </c>
      <c r="F75">
        <f>IF($AH75="","",IF(INDEX('Per Invoice'!F$2:F$401,$AH75)="","",INDEX('Per Invoice'!F$2:F$401,$AH75)))</f>
        <v/>
      </c>
      <c r="G75">
        <f>IF($AH75="","",IF(INDEX('Per Invoice'!G$2:G$401,$AH75)="","",INDEX('Per Invoice'!G$2:G$401,$AH75)))</f>
        <v/>
      </c>
      <c r="H75">
        <f>IF($AH75="","",IF(INDEX('Per Invoice'!H$2:H$401,$AH75)="","",INDEX('Per Invoice'!H$2:H$401,$AH75)))</f>
        <v/>
      </c>
      <c r="I75" s="14">
        <f>IF($AH75="","",IF(INDEX('Per Invoice'!I$2:I$401,$AH75)="","",INDEX('Per Invoice'!I$2:I$401,$AH75)))</f>
        <v/>
      </c>
      <c r="J75">
        <f>IF($AH75="","",IF(INDEX('Per Invoice'!J$2:J$401,$AH75)="","",INDEX('Per Invoice'!J$2:J$401,$AH75)))</f>
        <v/>
      </c>
      <c r="K75">
        <f>IF($AH75="","",IF(INDEX('Per Invoice'!K$2:K$401,$AH75)="","",INDEX('Per Invoice'!K$2:K$401,$AH75)))</f>
        <v/>
      </c>
      <c r="L75">
        <f>IF($AH75="","",IF(INDEX('Per Invoice'!L$2:L$401,$AH75)="","",INDEX('Per Invoice'!L$2:L$401,$AH75)))</f>
        <v/>
      </c>
      <c r="M75">
        <f>IF($AH75="","",IF(INDEX('Per Invoice'!M$2:M$401,$AH75)="","",INDEX('Per Invoice'!M$2:M$401,$AH75)))</f>
        <v/>
      </c>
      <c r="N75">
        <f>IF($AH75="","",IF(INDEX('Per Invoice'!N$2:N$401,$AH75)="","",INDEX('Per Invoice'!N$2:N$401,$AH75)))</f>
        <v/>
      </c>
      <c r="O75">
        <f>IF($AH75="","",IF(INDEX('Per Invoice'!O$2:O$401,$AH75)="","",INDEX('Per Invoice'!O$2:O$401,$AH75)))</f>
        <v/>
      </c>
      <c r="P75" s="7">
        <f>IF($AH75="","",IF(INDEX('Per Invoice'!P$2:P$401,$AH75)="","",INDEX('Per Invoice'!P$2:P$401,$AH75)))</f>
        <v/>
      </c>
      <c r="Q75">
        <f>IF($AH75="","",IF(INDEX('Per Invoice'!Q$2:Q$401,$AH75)="","",INDEX('Per Invoice'!Q$2:Q$401,$AH75)))</f>
        <v/>
      </c>
      <c r="R75">
        <f>IF($AH75="","",IF(INDEX('Per Invoice'!R$2:R$401,$AH75)="","",INDEX('Per Invoice'!R$2:R$401,$AH75)))</f>
        <v/>
      </c>
      <c r="S75">
        <f>IF($AH75="","",IF(INDEX('Per Invoice'!S$2:S$401,$AH75)="","",INDEX('Per Invoice'!S$2:S$401,$AH75)))</f>
        <v/>
      </c>
      <c r="T75" s="7">
        <f>IF($AH75="","",IF(INDEX('Per Invoice'!T$2:T$401,$AH75)="","",INDEX('Per Invoice'!T$2:T$401,$AH75)))</f>
        <v/>
      </c>
      <c r="U75" s="7">
        <f>IF($AH75="","",IF(INDEX('Per Invoice'!U$2:U$401,$AH75)="","",INDEX('Per Invoice'!U$2:U$401,$AH75)))</f>
        <v/>
      </c>
      <c r="V75">
        <f>IF($AH75="","",IF(INDEX('Per Invoice'!V$2:V$401,$AH75)="","",INDEX('Per Invoice'!V$2:V$401,$AH75)))</f>
        <v/>
      </c>
      <c r="W75" s="7">
        <f>IF($AH75="","",IF(INDEX('Per Invoice'!W$2:W$401,$AH75)="","",INDEX('Per Invoice'!W$2:W$401,$AH75)))</f>
        <v/>
      </c>
      <c r="X75" s="7">
        <f>IF($AH75="","",IF(INDEX('Per Invoice'!X$2:X$401,$AH75)="","",INDEX('Per Invoice'!X$2:X$401,$AH75)))</f>
        <v/>
      </c>
      <c r="Y75">
        <f>IF($AH75="","",IF(INDEX('Per Invoice'!Y$2:Y$401,$AH75)="","",INDEX('Per Invoice'!Y$2:Y$401,$AH75)))</f>
        <v/>
      </c>
      <c r="Z75" s="7">
        <f>IF($AH75="","",IF(INDEX('Per Invoice'!Z$2:Z$401,$AH75)="","",INDEX('Per Invoice'!Z$2:Z$401,$AH75)))</f>
        <v/>
      </c>
      <c r="AA75" s="7">
        <f>IF($AH75="","",IF(INDEX('Per Invoice'!AA$2:AA$401,$AH75)="","",INDEX('Per Invoice'!AA$2:AA$401,$AH75)))</f>
        <v/>
      </c>
      <c r="AB75" s="7">
        <f>IF($AH75="","",IF(INDEX('Per Invoice'!AB$2:AB$401,$AH75)="","",INDEX('Per Invoice'!AB$2:AB$401,$AH75)))</f>
        <v/>
      </c>
      <c r="AC75" s="7">
        <f>IF($AH75="","",IF(INDEX('Per Invoice'!AC$2:AC$401,$AH75)="","",INDEX('Per Invoice'!AC$2:AC$401,$AH75)))</f>
        <v/>
      </c>
      <c r="AD75" s="7">
        <f>IF($AH75="","",IF(INDEX('Per Invoice'!AD$2:AD$401,$AH75)="","",INDEX('Per Invoice'!AD$2:AD$401,$AH75)))</f>
        <v/>
      </c>
      <c r="AE75" s="7">
        <f>IF($AH75="","",IF(INDEX('Per Invoice'!AE$2:AE$401,$AH75)="","",INDEX('Per Invoice'!AE$2:AE$401,$AH75)))</f>
        <v/>
      </c>
      <c r="AF75">
        <f>IF($AH75="","",IF(INDEX('Per Invoice'!AF$2:AF$401,$AH75)="","",INDEX('Per Invoice'!AF$2:AF$401,$AH75)))</f>
        <v/>
      </c>
      <c r="AG75" s="7">
        <f>IF($AH75="","",IF(INDEX('Per Invoice'!AG$2:AG$401,$AH75)="","",INDEX('Per Invoice'!AG$2:AG$401,$AH75)))</f>
        <v/>
      </c>
      <c r="AH75" s="16">
        <f>IFERROR(MATCH(Settings!$C$26&amp;"|"&amp;ROWS($AH$2:$AH75),'Per Invoice'!$AI$2:$AI$401,0),"")</f>
        <v/>
      </c>
    </row>
    <row r="76">
      <c r="A76">
        <f>IF($AH76="","",IF(INDEX('Per Invoice'!A$2:A$401,$AH76)="","",INDEX('Per Invoice'!A$2:A$401,$AH76)))</f>
        <v/>
      </c>
      <c r="B76">
        <f>IF($AH76="","",IF(INDEX('Per Invoice'!B$2:B$401,$AH76)="","",INDEX('Per Invoice'!B$2:B$401,$AH76)))</f>
        <v/>
      </c>
      <c r="C76">
        <f>IF($AH76="","",IF(INDEX('Per Invoice'!C$2:C$401,$AH76)="","",INDEX('Per Invoice'!C$2:C$401,$AH76)))</f>
        <v/>
      </c>
      <c r="D76">
        <f>IF($AH76="","",IF(INDEX('Per Invoice'!D$2:D$401,$AH76)="","",INDEX('Per Invoice'!D$2:D$401,$AH76)))</f>
        <v/>
      </c>
      <c r="E76">
        <f>IF($AH76="","",IF(INDEX('Per Invoice'!E$2:E$401,$AH76)="","",INDEX('Per Invoice'!E$2:E$401,$AH76)))</f>
        <v/>
      </c>
      <c r="F76">
        <f>IF($AH76="","",IF(INDEX('Per Invoice'!F$2:F$401,$AH76)="","",INDEX('Per Invoice'!F$2:F$401,$AH76)))</f>
        <v/>
      </c>
      <c r="G76">
        <f>IF($AH76="","",IF(INDEX('Per Invoice'!G$2:G$401,$AH76)="","",INDEX('Per Invoice'!G$2:G$401,$AH76)))</f>
        <v/>
      </c>
      <c r="H76">
        <f>IF($AH76="","",IF(INDEX('Per Invoice'!H$2:H$401,$AH76)="","",INDEX('Per Invoice'!H$2:H$401,$AH76)))</f>
        <v/>
      </c>
      <c r="I76" s="14">
        <f>IF($AH76="","",IF(INDEX('Per Invoice'!I$2:I$401,$AH76)="","",INDEX('Per Invoice'!I$2:I$401,$AH76)))</f>
        <v/>
      </c>
      <c r="J76">
        <f>IF($AH76="","",IF(INDEX('Per Invoice'!J$2:J$401,$AH76)="","",INDEX('Per Invoice'!J$2:J$401,$AH76)))</f>
        <v/>
      </c>
      <c r="K76">
        <f>IF($AH76="","",IF(INDEX('Per Invoice'!K$2:K$401,$AH76)="","",INDEX('Per Invoice'!K$2:K$401,$AH76)))</f>
        <v/>
      </c>
      <c r="L76">
        <f>IF($AH76="","",IF(INDEX('Per Invoice'!L$2:L$401,$AH76)="","",INDEX('Per Invoice'!L$2:L$401,$AH76)))</f>
        <v/>
      </c>
      <c r="M76">
        <f>IF($AH76="","",IF(INDEX('Per Invoice'!M$2:M$401,$AH76)="","",INDEX('Per Invoice'!M$2:M$401,$AH76)))</f>
        <v/>
      </c>
      <c r="N76">
        <f>IF($AH76="","",IF(INDEX('Per Invoice'!N$2:N$401,$AH76)="","",INDEX('Per Invoice'!N$2:N$401,$AH76)))</f>
        <v/>
      </c>
      <c r="O76">
        <f>IF($AH76="","",IF(INDEX('Per Invoice'!O$2:O$401,$AH76)="","",INDEX('Per Invoice'!O$2:O$401,$AH76)))</f>
        <v/>
      </c>
      <c r="P76" s="7">
        <f>IF($AH76="","",IF(INDEX('Per Invoice'!P$2:P$401,$AH76)="","",INDEX('Per Invoice'!P$2:P$401,$AH76)))</f>
        <v/>
      </c>
      <c r="Q76">
        <f>IF($AH76="","",IF(INDEX('Per Invoice'!Q$2:Q$401,$AH76)="","",INDEX('Per Invoice'!Q$2:Q$401,$AH76)))</f>
        <v/>
      </c>
      <c r="R76">
        <f>IF($AH76="","",IF(INDEX('Per Invoice'!R$2:R$401,$AH76)="","",INDEX('Per Invoice'!R$2:R$401,$AH76)))</f>
        <v/>
      </c>
      <c r="S76">
        <f>IF($AH76="","",IF(INDEX('Per Invoice'!S$2:S$401,$AH76)="","",INDEX('Per Invoice'!S$2:S$401,$AH76)))</f>
        <v/>
      </c>
      <c r="T76" s="7">
        <f>IF($AH76="","",IF(INDEX('Per Invoice'!T$2:T$401,$AH76)="","",INDEX('Per Invoice'!T$2:T$401,$AH76)))</f>
        <v/>
      </c>
      <c r="U76" s="7">
        <f>IF($AH76="","",IF(INDEX('Per Invoice'!U$2:U$401,$AH76)="","",INDEX('Per Invoice'!U$2:U$401,$AH76)))</f>
        <v/>
      </c>
      <c r="V76">
        <f>IF($AH76="","",IF(INDEX('Per Invoice'!V$2:V$401,$AH76)="","",INDEX('Per Invoice'!V$2:V$401,$AH76)))</f>
        <v/>
      </c>
      <c r="W76" s="7">
        <f>IF($AH76="","",IF(INDEX('Per Invoice'!W$2:W$401,$AH76)="","",INDEX('Per Invoice'!W$2:W$401,$AH76)))</f>
        <v/>
      </c>
      <c r="X76" s="7">
        <f>IF($AH76="","",IF(INDEX('Per Invoice'!X$2:X$401,$AH76)="","",INDEX('Per Invoice'!X$2:X$401,$AH76)))</f>
        <v/>
      </c>
      <c r="Y76">
        <f>IF($AH76="","",IF(INDEX('Per Invoice'!Y$2:Y$401,$AH76)="","",INDEX('Per Invoice'!Y$2:Y$401,$AH76)))</f>
        <v/>
      </c>
      <c r="Z76" s="7">
        <f>IF($AH76="","",IF(INDEX('Per Invoice'!Z$2:Z$401,$AH76)="","",INDEX('Per Invoice'!Z$2:Z$401,$AH76)))</f>
        <v/>
      </c>
      <c r="AA76" s="7">
        <f>IF($AH76="","",IF(INDEX('Per Invoice'!AA$2:AA$401,$AH76)="","",INDEX('Per Invoice'!AA$2:AA$401,$AH76)))</f>
        <v/>
      </c>
      <c r="AB76" s="7">
        <f>IF($AH76="","",IF(INDEX('Per Invoice'!AB$2:AB$401,$AH76)="","",INDEX('Per Invoice'!AB$2:AB$401,$AH76)))</f>
        <v/>
      </c>
      <c r="AC76" s="7">
        <f>IF($AH76="","",IF(INDEX('Per Invoice'!AC$2:AC$401,$AH76)="","",INDEX('Per Invoice'!AC$2:AC$401,$AH76)))</f>
        <v/>
      </c>
      <c r="AD76" s="7">
        <f>IF($AH76="","",IF(INDEX('Per Invoice'!AD$2:AD$401,$AH76)="","",INDEX('Per Invoice'!AD$2:AD$401,$AH76)))</f>
        <v/>
      </c>
      <c r="AE76" s="7">
        <f>IF($AH76="","",IF(INDEX('Per Invoice'!AE$2:AE$401,$AH76)="","",INDEX('Per Invoice'!AE$2:AE$401,$AH76)))</f>
        <v/>
      </c>
      <c r="AF76">
        <f>IF($AH76="","",IF(INDEX('Per Invoice'!AF$2:AF$401,$AH76)="","",INDEX('Per Invoice'!AF$2:AF$401,$AH76)))</f>
        <v/>
      </c>
      <c r="AG76" s="7">
        <f>IF($AH76="","",IF(INDEX('Per Invoice'!AG$2:AG$401,$AH76)="","",INDEX('Per Invoice'!AG$2:AG$401,$AH76)))</f>
        <v/>
      </c>
      <c r="AH76" s="16">
        <f>IFERROR(MATCH(Settings!$C$26&amp;"|"&amp;ROWS($AH$2:$AH76),'Per Invoice'!$AI$2:$AI$401,0),"")</f>
        <v/>
      </c>
    </row>
    <row r="77">
      <c r="A77">
        <f>IF($AH77="","",IF(INDEX('Per Invoice'!A$2:A$401,$AH77)="","",INDEX('Per Invoice'!A$2:A$401,$AH77)))</f>
        <v/>
      </c>
      <c r="B77">
        <f>IF($AH77="","",IF(INDEX('Per Invoice'!B$2:B$401,$AH77)="","",INDEX('Per Invoice'!B$2:B$401,$AH77)))</f>
        <v/>
      </c>
      <c r="C77">
        <f>IF($AH77="","",IF(INDEX('Per Invoice'!C$2:C$401,$AH77)="","",INDEX('Per Invoice'!C$2:C$401,$AH77)))</f>
        <v/>
      </c>
      <c r="D77">
        <f>IF($AH77="","",IF(INDEX('Per Invoice'!D$2:D$401,$AH77)="","",INDEX('Per Invoice'!D$2:D$401,$AH77)))</f>
        <v/>
      </c>
      <c r="E77">
        <f>IF($AH77="","",IF(INDEX('Per Invoice'!E$2:E$401,$AH77)="","",INDEX('Per Invoice'!E$2:E$401,$AH77)))</f>
        <v/>
      </c>
      <c r="F77">
        <f>IF($AH77="","",IF(INDEX('Per Invoice'!F$2:F$401,$AH77)="","",INDEX('Per Invoice'!F$2:F$401,$AH77)))</f>
        <v/>
      </c>
      <c r="G77">
        <f>IF($AH77="","",IF(INDEX('Per Invoice'!G$2:G$401,$AH77)="","",INDEX('Per Invoice'!G$2:G$401,$AH77)))</f>
        <v/>
      </c>
      <c r="H77">
        <f>IF($AH77="","",IF(INDEX('Per Invoice'!H$2:H$401,$AH77)="","",INDEX('Per Invoice'!H$2:H$401,$AH77)))</f>
        <v/>
      </c>
      <c r="I77" s="14">
        <f>IF($AH77="","",IF(INDEX('Per Invoice'!I$2:I$401,$AH77)="","",INDEX('Per Invoice'!I$2:I$401,$AH77)))</f>
        <v/>
      </c>
      <c r="J77">
        <f>IF($AH77="","",IF(INDEX('Per Invoice'!J$2:J$401,$AH77)="","",INDEX('Per Invoice'!J$2:J$401,$AH77)))</f>
        <v/>
      </c>
      <c r="K77">
        <f>IF($AH77="","",IF(INDEX('Per Invoice'!K$2:K$401,$AH77)="","",INDEX('Per Invoice'!K$2:K$401,$AH77)))</f>
        <v/>
      </c>
      <c r="L77">
        <f>IF($AH77="","",IF(INDEX('Per Invoice'!L$2:L$401,$AH77)="","",INDEX('Per Invoice'!L$2:L$401,$AH77)))</f>
        <v/>
      </c>
      <c r="M77">
        <f>IF($AH77="","",IF(INDEX('Per Invoice'!M$2:M$401,$AH77)="","",INDEX('Per Invoice'!M$2:M$401,$AH77)))</f>
        <v/>
      </c>
      <c r="N77">
        <f>IF($AH77="","",IF(INDEX('Per Invoice'!N$2:N$401,$AH77)="","",INDEX('Per Invoice'!N$2:N$401,$AH77)))</f>
        <v/>
      </c>
      <c r="O77">
        <f>IF($AH77="","",IF(INDEX('Per Invoice'!O$2:O$401,$AH77)="","",INDEX('Per Invoice'!O$2:O$401,$AH77)))</f>
        <v/>
      </c>
      <c r="P77" s="7">
        <f>IF($AH77="","",IF(INDEX('Per Invoice'!P$2:P$401,$AH77)="","",INDEX('Per Invoice'!P$2:P$401,$AH77)))</f>
        <v/>
      </c>
      <c r="Q77">
        <f>IF($AH77="","",IF(INDEX('Per Invoice'!Q$2:Q$401,$AH77)="","",INDEX('Per Invoice'!Q$2:Q$401,$AH77)))</f>
        <v/>
      </c>
      <c r="R77">
        <f>IF($AH77="","",IF(INDEX('Per Invoice'!R$2:R$401,$AH77)="","",INDEX('Per Invoice'!R$2:R$401,$AH77)))</f>
        <v/>
      </c>
      <c r="S77">
        <f>IF($AH77="","",IF(INDEX('Per Invoice'!S$2:S$401,$AH77)="","",INDEX('Per Invoice'!S$2:S$401,$AH77)))</f>
        <v/>
      </c>
      <c r="T77" s="7">
        <f>IF($AH77="","",IF(INDEX('Per Invoice'!T$2:T$401,$AH77)="","",INDEX('Per Invoice'!T$2:T$401,$AH77)))</f>
        <v/>
      </c>
      <c r="U77" s="7">
        <f>IF($AH77="","",IF(INDEX('Per Invoice'!U$2:U$401,$AH77)="","",INDEX('Per Invoice'!U$2:U$401,$AH77)))</f>
        <v/>
      </c>
      <c r="V77">
        <f>IF($AH77="","",IF(INDEX('Per Invoice'!V$2:V$401,$AH77)="","",INDEX('Per Invoice'!V$2:V$401,$AH77)))</f>
        <v/>
      </c>
      <c r="W77" s="7">
        <f>IF($AH77="","",IF(INDEX('Per Invoice'!W$2:W$401,$AH77)="","",INDEX('Per Invoice'!W$2:W$401,$AH77)))</f>
        <v/>
      </c>
      <c r="X77" s="7">
        <f>IF($AH77="","",IF(INDEX('Per Invoice'!X$2:X$401,$AH77)="","",INDEX('Per Invoice'!X$2:X$401,$AH77)))</f>
        <v/>
      </c>
      <c r="Y77">
        <f>IF($AH77="","",IF(INDEX('Per Invoice'!Y$2:Y$401,$AH77)="","",INDEX('Per Invoice'!Y$2:Y$401,$AH77)))</f>
        <v/>
      </c>
      <c r="Z77" s="7">
        <f>IF($AH77="","",IF(INDEX('Per Invoice'!Z$2:Z$401,$AH77)="","",INDEX('Per Invoice'!Z$2:Z$401,$AH77)))</f>
        <v/>
      </c>
      <c r="AA77" s="7">
        <f>IF($AH77="","",IF(INDEX('Per Invoice'!AA$2:AA$401,$AH77)="","",INDEX('Per Invoice'!AA$2:AA$401,$AH77)))</f>
        <v/>
      </c>
      <c r="AB77" s="7">
        <f>IF($AH77="","",IF(INDEX('Per Invoice'!AB$2:AB$401,$AH77)="","",INDEX('Per Invoice'!AB$2:AB$401,$AH77)))</f>
        <v/>
      </c>
      <c r="AC77" s="7">
        <f>IF($AH77="","",IF(INDEX('Per Invoice'!AC$2:AC$401,$AH77)="","",INDEX('Per Invoice'!AC$2:AC$401,$AH77)))</f>
        <v/>
      </c>
      <c r="AD77" s="7">
        <f>IF($AH77="","",IF(INDEX('Per Invoice'!AD$2:AD$401,$AH77)="","",INDEX('Per Invoice'!AD$2:AD$401,$AH77)))</f>
        <v/>
      </c>
      <c r="AE77" s="7">
        <f>IF($AH77="","",IF(INDEX('Per Invoice'!AE$2:AE$401,$AH77)="","",INDEX('Per Invoice'!AE$2:AE$401,$AH77)))</f>
        <v/>
      </c>
      <c r="AF77">
        <f>IF($AH77="","",IF(INDEX('Per Invoice'!AF$2:AF$401,$AH77)="","",INDEX('Per Invoice'!AF$2:AF$401,$AH77)))</f>
        <v/>
      </c>
      <c r="AG77" s="7">
        <f>IF($AH77="","",IF(INDEX('Per Invoice'!AG$2:AG$401,$AH77)="","",INDEX('Per Invoice'!AG$2:AG$401,$AH77)))</f>
        <v/>
      </c>
      <c r="AH77" s="16">
        <f>IFERROR(MATCH(Settings!$C$26&amp;"|"&amp;ROWS($AH$2:$AH77),'Per Invoice'!$AI$2:$AI$401,0),"")</f>
        <v/>
      </c>
    </row>
    <row r="78">
      <c r="A78">
        <f>IF($AH78="","",IF(INDEX('Per Invoice'!A$2:A$401,$AH78)="","",INDEX('Per Invoice'!A$2:A$401,$AH78)))</f>
        <v/>
      </c>
      <c r="B78">
        <f>IF($AH78="","",IF(INDEX('Per Invoice'!B$2:B$401,$AH78)="","",INDEX('Per Invoice'!B$2:B$401,$AH78)))</f>
        <v/>
      </c>
      <c r="C78">
        <f>IF($AH78="","",IF(INDEX('Per Invoice'!C$2:C$401,$AH78)="","",INDEX('Per Invoice'!C$2:C$401,$AH78)))</f>
        <v/>
      </c>
      <c r="D78">
        <f>IF($AH78="","",IF(INDEX('Per Invoice'!D$2:D$401,$AH78)="","",INDEX('Per Invoice'!D$2:D$401,$AH78)))</f>
        <v/>
      </c>
      <c r="E78">
        <f>IF($AH78="","",IF(INDEX('Per Invoice'!E$2:E$401,$AH78)="","",INDEX('Per Invoice'!E$2:E$401,$AH78)))</f>
        <v/>
      </c>
      <c r="F78">
        <f>IF($AH78="","",IF(INDEX('Per Invoice'!F$2:F$401,$AH78)="","",INDEX('Per Invoice'!F$2:F$401,$AH78)))</f>
        <v/>
      </c>
      <c r="G78">
        <f>IF($AH78="","",IF(INDEX('Per Invoice'!G$2:G$401,$AH78)="","",INDEX('Per Invoice'!G$2:G$401,$AH78)))</f>
        <v/>
      </c>
      <c r="H78">
        <f>IF($AH78="","",IF(INDEX('Per Invoice'!H$2:H$401,$AH78)="","",INDEX('Per Invoice'!H$2:H$401,$AH78)))</f>
        <v/>
      </c>
      <c r="I78" s="14">
        <f>IF($AH78="","",IF(INDEX('Per Invoice'!I$2:I$401,$AH78)="","",INDEX('Per Invoice'!I$2:I$401,$AH78)))</f>
        <v/>
      </c>
      <c r="J78">
        <f>IF($AH78="","",IF(INDEX('Per Invoice'!J$2:J$401,$AH78)="","",INDEX('Per Invoice'!J$2:J$401,$AH78)))</f>
        <v/>
      </c>
      <c r="K78">
        <f>IF($AH78="","",IF(INDEX('Per Invoice'!K$2:K$401,$AH78)="","",INDEX('Per Invoice'!K$2:K$401,$AH78)))</f>
        <v/>
      </c>
      <c r="L78">
        <f>IF($AH78="","",IF(INDEX('Per Invoice'!L$2:L$401,$AH78)="","",INDEX('Per Invoice'!L$2:L$401,$AH78)))</f>
        <v/>
      </c>
      <c r="M78">
        <f>IF($AH78="","",IF(INDEX('Per Invoice'!M$2:M$401,$AH78)="","",INDEX('Per Invoice'!M$2:M$401,$AH78)))</f>
        <v/>
      </c>
      <c r="N78">
        <f>IF($AH78="","",IF(INDEX('Per Invoice'!N$2:N$401,$AH78)="","",INDEX('Per Invoice'!N$2:N$401,$AH78)))</f>
        <v/>
      </c>
      <c r="O78">
        <f>IF($AH78="","",IF(INDEX('Per Invoice'!O$2:O$401,$AH78)="","",INDEX('Per Invoice'!O$2:O$401,$AH78)))</f>
        <v/>
      </c>
      <c r="P78" s="7">
        <f>IF($AH78="","",IF(INDEX('Per Invoice'!P$2:P$401,$AH78)="","",INDEX('Per Invoice'!P$2:P$401,$AH78)))</f>
        <v/>
      </c>
      <c r="Q78">
        <f>IF($AH78="","",IF(INDEX('Per Invoice'!Q$2:Q$401,$AH78)="","",INDEX('Per Invoice'!Q$2:Q$401,$AH78)))</f>
        <v/>
      </c>
      <c r="R78">
        <f>IF($AH78="","",IF(INDEX('Per Invoice'!R$2:R$401,$AH78)="","",INDEX('Per Invoice'!R$2:R$401,$AH78)))</f>
        <v/>
      </c>
      <c r="S78">
        <f>IF($AH78="","",IF(INDEX('Per Invoice'!S$2:S$401,$AH78)="","",INDEX('Per Invoice'!S$2:S$401,$AH78)))</f>
        <v/>
      </c>
      <c r="T78" s="7">
        <f>IF($AH78="","",IF(INDEX('Per Invoice'!T$2:T$401,$AH78)="","",INDEX('Per Invoice'!T$2:T$401,$AH78)))</f>
        <v/>
      </c>
      <c r="U78" s="7">
        <f>IF($AH78="","",IF(INDEX('Per Invoice'!U$2:U$401,$AH78)="","",INDEX('Per Invoice'!U$2:U$401,$AH78)))</f>
        <v/>
      </c>
      <c r="V78">
        <f>IF($AH78="","",IF(INDEX('Per Invoice'!V$2:V$401,$AH78)="","",INDEX('Per Invoice'!V$2:V$401,$AH78)))</f>
        <v/>
      </c>
      <c r="W78" s="7">
        <f>IF($AH78="","",IF(INDEX('Per Invoice'!W$2:W$401,$AH78)="","",INDEX('Per Invoice'!W$2:W$401,$AH78)))</f>
        <v/>
      </c>
      <c r="X78" s="7">
        <f>IF($AH78="","",IF(INDEX('Per Invoice'!X$2:X$401,$AH78)="","",INDEX('Per Invoice'!X$2:X$401,$AH78)))</f>
        <v/>
      </c>
      <c r="Y78">
        <f>IF($AH78="","",IF(INDEX('Per Invoice'!Y$2:Y$401,$AH78)="","",INDEX('Per Invoice'!Y$2:Y$401,$AH78)))</f>
        <v/>
      </c>
      <c r="Z78" s="7">
        <f>IF($AH78="","",IF(INDEX('Per Invoice'!Z$2:Z$401,$AH78)="","",INDEX('Per Invoice'!Z$2:Z$401,$AH78)))</f>
        <v/>
      </c>
      <c r="AA78" s="7">
        <f>IF($AH78="","",IF(INDEX('Per Invoice'!AA$2:AA$401,$AH78)="","",INDEX('Per Invoice'!AA$2:AA$401,$AH78)))</f>
        <v/>
      </c>
      <c r="AB78" s="7">
        <f>IF($AH78="","",IF(INDEX('Per Invoice'!AB$2:AB$401,$AH78)="","",INDEX('Per Invoice'!AB$2:AB$401,$AH78)))</f>
        <v/>
      </c>
      <c r="AC78" s="7">
        <f>IF($AH78="","",IF(INDEX('Per Invoice'!AC$2:AC$401,$AH78)="","",INDEX('Per Invoice'!AC$2:AC$401,$AH78)))</f>
        <v/>
      </c>
      <c r="AD78" s="7">
        <f>IF($AH78="","",IF(INDEX('Per Invoice'!AD$2:AD$401,$AH78)="","",INDEX('Per Invoice'!AD$2:AD$401,$AH78)))</f>
        <v/>
      </c>
      <c r="AE78" s="7">
        <f>IF($AH78="","",IF(INDEX('Per Invoice'!AE$2:AE$401,$AH78)="","",INDEX('Per Invoice'!AE$2:AE$401,$AH78)))</f>
        <v/>
      </c>
      <c r="AF78">
        <f>IF($AH78="","",IF(INDEX('Per Invoice'!AF$2:AF$401,$AH78)="","",INDEX('Per Invoice'!AF$2:AF$401,$AH78)))</f>
        <v/>
      </c>
      <c r="AG78" s="7">
        <f>IF($AH78="","",IF(INDEX('Per Invoice'!AG$2:AG$401,$AH78)="","",INDEX('Per Invoice'!AG$2:AG$401,$AH78)))</f>
        <v/>
      </c>
      <c r="AH78" s="16">
        <f>IFERROR(MATCH(Settings!$C$26&amp;"|"&amp;ROWS($AH$2:$AH78),'Per Invoice'!$AI$2:$AI$401,0),"")</f>
        <v/>
      </c>
    </row>
    <row r="79">
      <c r="A79">
        <f>IF($AH79="","",IF(INDEX('Per Invoice'!A$2:A$401,$AH79)="","",INDEX('Per Invoice'!A$2:A$401,$AH79)))</f>
        <v/>
      </c>
      <c r="B79">
        <f>IF($AH79="","",IF(INDEX('Per Invoice'!B$2:B$401,$AH79)="","",INDEX('Per Invoice'!B$2:B$401,$AH79)))</f>
        <v/>
      </c>
      <c r="C79">
        <f>IF($AH79="","",IF(INDEX('Per Invoice'!C$2:C$401,$AH79)="","",INDEX('Per Invoice'!C$2:C$401,$AH79)))</f>
        <v/>
      </c>
      <c r="D79">
        <f>IF($AH79="","",IF(INDEX('Per Invoice'!D$2:D$401,$AH79)="","",INDEX('Per Invoice'!D$2:D$401,$AH79)))</f>
        <v/>
      </c>
      <c r="E79">
        <f>IF($AH79="","",IF(INDEX('Per Invoice'!E$2:E$401,$AH79)="","",INDEX('Per Invoice'!E$2:E$401,$AH79)))</f>
        <v/>
      </c>
      <c r="F79">
        <f>IF($AH79="","",IF(INDEX('Per Invoice'!F$2:F$401,$AH79)="","",INDEX('Per Invoice'!F$2:F$401,$AH79)))</f>
        <v/>
      </c>
      <c r="G79">
        <f>IF($AH79="","",IF(INDEX('Per Invoice'!G$2:G$401,$AH79)="","",INDEX('Per Invoice'!G$2:G$401,$AH79)))</f>
        <v/>
      </c>
      <c r="H79">
        <f>IF($AH79="","",IF(INDEX('Per Invoice'!H$2:H$401,$AH79)="","",INDEX('Per Invoice'!H$2:H$401,$AH79)))</f>
        <v/>
      </c>
      <c r="I79" s="14">
        <f>IF($AH79="","",IF(INDEX('Per Invoice'!I$2:I$401,$AH79)="","",INDEX('Per Invoice'!I$2:I$401,$AH79)))</f>
        <v/>
      </c>
      <c r="J79">
        <f>IF($AH79="","",IF(INDEX('Per Invoice'!J$2:J$401,$AH79)="","",INDEX('Per Invoice'!J$2:J$401,$AH79)))</f>
        <v/>
      </c>
      <c r="K79">
        <f>IF($AH79="","",IF(INDEX('Per Invoice'!K$2:K$401,$AH79)="","",INDEX('Per Invoice'!K$2:K$401,$AH79)))</f>
        <v/>
      </c>
      <c r="L79">
        <f>IF($AH79="","",IF(INDEX('Per Invoice'!L$2:L$401,$AH79)="","",INDEX('Per Invoice'!L$2:L$401,$AH79)))</f>
        <v/>
      </c>
      <c r="M79">
        <f>IF($AH79="","",IF(INDEX('Per Invoice'!M$2:M$401,$AH79)="","",INDEX('Per Invoice'!M$2:M$401,$AH79)))</f>
        <v/>
      </c>
      <c r="N79">
        <f>IF($AH79="","",IF(INDEX('Per Invoice'!N$2:N$401,$AH79)="","",INDEX('Per Invoice'!N$2:N$401,$AH79)))</f>
        <v/>
      </c>
      <c r="O79">
        <f>IF($AH79="","",IF(INDEX('Per Invoice'!O$2:O$401,$AH79)="","",INDEX('Per Invoice'!O$2:O$401,$AH79)))</f>
        <v/>
      </c>
      <c r="P79" s="7">
        <f>IF($AH79="","",IF(INDEX('Per Invoice'!P$2:P$401,$AH79)="","",INDEX('Per Invoice'!P$2:P$401,$AH79)))</f>
        <v/>
      </c>
      <c r="Q79">
        <f>IF($AH79="","",IF(INDEX('Per Invoice'!Q$2:Q$401,$AH79)="","",INDEX('Per Invoice'!Q$2:Q$401,$AH79)))</f>
        <v/>
      </c>
      <c r="R79">
        <f>IF($AH79="","",IF(INDEX('Per Invoice'!R$2:R$401,$AH79)="","",INDEX('Per Invoice'!R$2:R$401,$AH79)))</f>
        <v/>
      </c>
      <c r="S79">
        <f>IF($AH79="","",IF(INDEX('Per Invoice'!S$2:S$401,$AH79)="","",INDEX('Per Invoice'!S$2:S$401,$AH79)))</f>
        <v/>
      </c>
      <c r="T79" s="7">
        <f>IF($AH79="","",IF(INDEX('Per Invoice'!T$2:T$401,$AH79)="","",INDEX('Per Invoice'!T$2:T$401,$AH79)))</f>
        <v/>
      </c>
      <c r="U79" s="7">
        <f>IF($AH79="","",IF(INDEX('Per Invoice'!U$2:U$401,$AH79)="","",INDEX('Per Invoice'!U$2:U$401,$AH79)))</f>
        <v/>
      </c>
      <c r="V79">
        <f>IF($AH79="","",IF(INDEX('Per Invoice'!V$2:V$401,$AH79)="","",INDEX('Per Invoice'!V$2:V$401,$AH79)))</f>
        <v/>
      </c>
      <c r="W79" s="7">
        <f>IF($AH79="","",IF(INDEX('Per Invoice'!W$2:W$401,$AH79)="","",INDEX('Per Invoice'!W$2:W$401,$AH79)))</f>
        <v/>
      </c>
      <c r="X79" s="7">
        <f>IF($AH79="","",IF(INDEX('Per Invoice'!X$2:X$401,$AH79)="","",INDEX('Per Invoice'!X$2:X$401,$AH79)))</f>
        <v/>
      </c>
      <c r="Y79">
        <f>IF($AH79="","",IF(INDEX('Per Invoice'!Y$2:Y$401,$AH79)="","",INDEX('Per Invoice'!Y$2:Y$401,$AH79)))</f>
        <v/>
      </c>
      <c r="Z79" s="7">
        <f>IF($AH79="","",IF(INDEX('Per Invoice'!Z$2:Z$401,$AH79)="","",INDEX('Per Invoice'!Z$2:Z$401,$AH79)))</f>
        <v/>
      </c>
      <c r="AA79" s="7">
        <f>IF($AH79="","",IF(INDEX('Per Invoice'!AA$2:AA$401,$AH79)="","",INDEX('Per Invoice'!AA$2:AA$401,$AH79)))</f>
        <v/>
      </c>
      <c r="AB79" s="7">
        <f>IF($AH79="","",IF(INDEX('Per Invoice'!AB$2:AB$401,$AH79)="","",INDEX('Per Invoice'!AB$2:AB$401,$AH79)))</f>
        <v/>
      </c>
      <c r="AC79" s="7">
        <f>IF($AH79="","",IF(INDEX('Per Invoice'!AC$2:AC$401,$AH79)="","",INDEX('Per Invoice'!AC$2:AC$401,$AH79)))</f>
        <v/>
      </c>
      <c r="AD79" s="7">
        <f>IF($AH79="","",IF(INDEX('Per Invoice'!AD$2:AD$401,$AH79)="","",INDEX('Per Invoice'!AD$2:AD$401,$AH79)))</f>
        <v/>
      </c>
      <c r="AE79" s="7">
        <f>IF($AH79="","",IF(INDEX('Per Invoice'!AE$2:AE$401,$AH79)="","",INDEX('Per Invoice'!AE$2:AE$401,$AH79)))</f>
        <v/>
      </c>
      <c r="AF79">
        <f>IF($AH79="","",IF(INDEX('Per Invoice'!AF$2:AF$401,$AH79)="","",INDEX('Per Invoice'!AF$2:AF$401,$AH79)))</f>
        <v/>
      </c>
      <c r="AG79" s="7">
        <f>IF($AH79="","",IF(INDEX('Per Invoice'!AG$2:AG$401,$AH79)="","",INDEX('Per Invoice'!AG$2:AG$401,$AH79)))</f>
        <v/>
      </c>
      <c r="AH79" s="16">
        <f>IFERROR(MATCH(Settings!$C$26&amp;"|"&amp;ROWS($AH$2:$AH79),'Per Invoice'!$AI$2:$AI$401,0),"")</f>
        <v/>
      </c>
    </row>
    <row r="80">
      <c r="A80">
        <f>IF($AH80="","",IF(INDEX('Per Invoice'!A$2:A$401,$AH80)="","",INDEX('Per Invoice'!A$2:A$401,$AH80)))</f>
        <v/>
      </c>
      <c r="B80">
        <f>IF($AH80="","",IF(INDEX('Per Invoice'!B$2:B$401,$AH80)="","",INDEX('Per Invoice'!B$2:B$401,$AH80)))</f>
        <v/>
      </c>
      <c r="C80">
        <f>IF($AH80="","",IF(INDEX('Per Invoice'!C$2:C$401,$AH80)="","",INDEX('Per Invoice'!C$2:C$401,$AH80)))</f>
        <v/>
      </c>
      <c r="D80">
        <f>IF($AH80="","",IF(INDEX('Per Invoice'!D$2:D$401,$AH80)="","",INDEX('Per Invoice'!D$2:D$401,$AH80)))</f>
        <v/>
      </c>
      <c r="E80">
        <f>IF($AH80="","",IF(INDEX('Per Invoice'!E$2:E$401,$AH80)="","",INDEX('Per Invoice'!E$2:E$401,$AH80)))</f>
        <v/>
      </c>
      <c r="F80">
        <f>IF($AH80="","",IF(INDEX('Per Invoice'!F$2:F$401,$AH80)="","",INDEX('Per Invoice'!F$2:F$401,$AH80)))</f>
        <v/>
      </c>
      <c r="G80">
        <f>IF($AH80="","",IF(INDEX('Per Invoice'!G$2:G$401,$AH80)="","",INDEX('Per Invoice'!G$2:G$401,$AH80)))</f>
        <v/>
      </c>
      <c r="H80">
        <f>IF($AH80="","",IF(INDEX('Per Invoice'!H$2:H$401,$AH80)="","",INDEX('Per Invoice'!H$2:H$401,$AH80)))</f>
        <v/>
      </c>
      <c r="I80" s="14">
        <f>IF($AH80="","",IF(INDEX('Per Invoice'!I$2:I$401,$AH80)="","",INDEX('Per Invoice'!I$2:I$401,$AH80)))</f>
        <v/>
      </c>
      <c r="J80">
        <f>IF($AH80="","",IF(INDEX('Per Invoice'!J$2:J$401,$AH80)="","",INDEX('Per Invoice'!J$2:J$401,$AH80)))</f>
        <v/>
      </c>
      <c r="K80">
        <f>IF($AH80="","",IF(INDEX('Per Invoice'!K$2:K$401,$AH80)="","",INDEX('Per Invoice'!K$2:K$401,$AH80)))</f>
        <v/>
      </c>
      <c r="L80">
        <f>IF($AH80="","",IF(INDEX('Per Invoice'!L$2:L$401,$AH80)="","",INDEX('Per Invoice'!L$2:L$401,$AH80)))</f>
        <v/>
      </c>
      <c r="M80">
        <f>IF($AH80="","",IF(INDEX('Per Invoice'!M$2:M$401,$AH80)="","",INDEX('Per Invoice'!M$2:M$401,$AH80)))</f>
        <v/>
      </c>
      <c r="N80">
        <f>IF($AH80="","",IF(INDEX('Per Invoice'!N$2:N$401,$AH80)="","",INDEX('Per Invoice'!N$2:N$401,$AH80)))</f>
        <v/>
      </c>
      <c r="O80">
        <f>IF($AH80="","",IF(INDEX('Per Invoice'!O$2:O$401,$AH80)="","",INDEX('Per Invoice'!O$2:O$401,$AH80)))</f>
        <v/>
      </c>
      <c r="P80" s="7">
        <f>IF($AH80="","",IF(INDEX('Per Invoice'!P$2:P$401,$AH80)="","",INDEX('Per Invoice'!P$2:P$401,$AH80)))</f>
        <v/>
      </c>
      <c r="Q80">
        <f>IF($AH80="","",IF(INDEX('Per Invoice'!Q$2:Q$401,$AH80)="","",INDEX('Per Invoice'!Q$2:Q$401,$AH80)))</f>
        <v/>
      </c>
      <c r="R80">
        <f>IF($AH80="","",IF(INDEX('Per Invoice'!R$2:R$401,$AH80)="","",INDEX('Per Invoice'!R$2:R$401,$AH80)))</f>
        <v/>
      </c>
      <c r="S80">
        <f>IF($AH80="","",IF(INDEX('Per Invoice'!S$2:S$401,$AH80)="","",INDEX('Per Invoice'!S$2:S$401,$AH80)))</f>
        <v/>
      </c>
      <c r="T80" s="7">
        <f>IF($AH80="","",IF(INDEX('Per Invoice'!T$2:T$401,$AH80)="","",INDEX('Per Invoice'!T$2:T$401,$AH80)))</f>
        <v/>
      </c>
      <c r="U80" s="7">
        <f>IF($AH80="","",IF(INDEX('Per Invoice'!U$2:U$401,$AH80)="","",INDEX('Per Invoice'!U$2:U$401,$AH80)))</f>
        <v/>
      </c>
      <c r="V80">
        <f>IF($AH80="","",IF(INDEX('Per Invoice'!V$2:V$401,$AH80)="","",INDEX('Per Invoice'!V$2:V$401,$AH80)))</f>
        <v/>
      </c>
      <c r="W80" s="7">
        <f>IF($AH80="","",IF(INDEX('Per Invoice'!W$2:W$401,$AH80)="","",INDEX('Per Invoice'!W$2:W$401,$AH80)))</f>
        <v/>
      </c>
      <c r="X80" s="7">
        <f>IF($AH80="","",IF(INDEX('Per Invoice'!X$2:X$401,$AH80)="","",INDEX('Per Invoice'!X$2:X$401,$AH80)))</f>
        <v/>
      </c>
      <c r="Y80">
        <f>IF($AH80="","",IF(INDEX('Per Invoice'!Y$2:Y$401,$AH80)="","",INDEX('Per Invoice'!Y$2:Y$401,$AH80)))</f>
        <v/>
      </c>
      <c r="Z80" s="7">
        <f>IF($AH80="","",IF(INDEX('Per Invoice'!Z$2:Z$401,$AH80)="","",INDEX('Per Invoice'!Z$2:Z$401,$AH80)))</f>
        <v/>
      </c>
      <c r="AA80" s="7">
        <f>IF($AH80="","",IF(INDEX('Per Invoice'!AA$2:AA$401,$AH80)="","",INDEX('Per Invoice'!AA$2:AA$401,$AH80)))</f>
        <v/>
      </c>
      <c r="AB80" s="7">
        <f>IF($AH80="","",IF(INDEX('Per Invoice'!AB$2:AB$401,$AH80)="","",INDEX('Per Invoice'!AB$2:AB$401,$AH80)))</f>
        <v/>
      </c>
      <c r="AC80" s="7">
        <f>IF($AH80="","",IF(INDEX('Per Invoice'!AC$2:AC$401,$AH80)="","",INDEX('Per Invoice'!AC$2:AC$401,$AH80)))</f>
        <v/>
      </c>
      <c r="AD80" s="7">
        <f>IF($AH80="","",IF(INDEX('Per Invoice'!AD$2:AD$401,$AH80)="","",INDEX('Per Invoice'!AD$2:AD$401,$AH80)))</f>
        <v/>
      </c>
      <c r="AE80" s="7">
        <f>IF($AH80="","",IF(INDEX('Per Invoice'!AE$2:AE$401,$AH80)="","",INDEX('Per Invoice'!AE$2:AE$401,$AH80)))</f>
        <v/>
      </c>
      <c r="AF80">
        <f>IF($AH80="","",IF(INDEX('Per Invoice'!AF$2:AF$401,$AH80)="","",INDEX('Per Invoice'!AF$2:AF$401,$AH80)))</f>
        <v/>
      </c>
      <c r="AG80" s="7">
        <f>IF($AH80="","",IF(INDEX('Per Invoice'!AG$2:AG$401,$AH80)="","",INDEX('Per Invoice'!AG$2:AG$401,$AH80)))</f>
        <v/>
      </c>
      <c r="AH80" s="16">
        <f>IFERROR(MATCH(Settings!$C$26&amp;"|"&amp;ROWS($AH$2:$AH80),'Per Invoice'!$AI$2:$AI$401,0),"")</f>
        <v/>
      </c>
    </row>
    <row r="81">
      <c r="A81">
        <f>IF($AH81="","",IF(INDEX('Per Invoice'!A$2:A$401,$AH81)="","",INDEX('Per Invoice'!A$2:A$401,$AH81)))</f>
        <v/>
      </c>
      <c r="B81">
        <f>IF($AH81="","",IF(INDEX('Per Invoice'!B$2:B$401,$AH81)="","",INDEX('Per Invoice'!B$2:B$401,$AH81)))</f>
        <v/>
      </c>
      <c r="C81">
        <f>IF($AH81="","",IF(INDEX('Per Invoice'!C$2:C$401,$AH81)="","",INDEX('Per Invoice'!C$2:C$401,$AH81)))</f>
        <v/>
      </c>
      <c r="D81">
        <f>IF($AH81="","",IF(INDEX('Per Invoice'!D$2:D$401,$AH81)="","",INDEX('Per Invoice'!D$2:D$401,$AH81)))</f>
        <v/>
      </c>
      <c r="E81">
        <f>IF($AH81="","",IF(INDEX('Per Invoice'!E$2:E$401,$AH81)="","",INDEX('Per Invoice'!E$2:E$401,$AH81)))</f>
        <v/>
      </c>
      <c r="F81">
        <f>IF($AH81="","",IF(INDEX('Per Invoice'!F$2:F$401,$AH81)="","",INDEX('Per Invoice'!F$2:F$401,$AH81)))</f>
        <v/>
      </c>
      <c r="G81">
        <f>IF($AH81="","",IF(INDEX('Per Invoice'!G$2:G$401,$AH81)="","",INDEX('Per Invoice'!G$2:G$401,$AH81)))</f>
        <v/>
      </c>
      <c r="H81">
        <f>IF($AH81="","",IF(INDEX('Per Invoice'!H$2:H$401,$AH81)="","",INDEX('Per Invoice'!H$2:H$401,$AH81)))</f>
        <v/>
      </c>
      <c r="I81" s="14">
        <f>IF($AH81="","",IF(INDEX('Per Invoice'!I$2:I$401,$AH81)="","",INDEX('Per Invoice'!I$2:I$401,$AH81)))</f>
        <v/>
      </c>
      <c r="J81">
        <f>IF($AH81="","",IF(INDEX('Per Invoice'!J$2:J$401,$AH81)="","",INDEX('Per Invoice'!J$2:J$401,$AH81)))</f>
        <v/>
      </c>
      <c r="K81">
        <f>IF($AH81="","",IF(INDEX('Per Invoice'!K$2:K$401,$AH81)="","",INDEX('Per Invoice'!K$2:K$401,$AH81)))</f>
        <v/>
      </c>
      <c r="L81">
        <f>IF($AH81="","",IF(INDEX('Per Invoice'!L$2:L$401,$AH81)="","",INDEX('Per Invoice'!L$2:L$401,$AH81)))</f>
        <v/>
      </c>
      <c r="M81">
        <f>IF($AH81="","",IF(INDEX('Per Invoice'!M$2:M$401,$AH81)="","",INDEX('Per Invoice'!M$2:M$401,$AH81)))</f>
        <v/>
      </c>
      <c r="N81">
        <f>IF($AH81="","",IF(INDEX('Per Invoice'!N$2:N$401,$AH81)="","",INDEX('Per Invoice'!N$2:N$401,$AH81)))</f>
        <v/>
      </c>
      <c r="O81">
        <f>IF($AH81="","",IF(INDEX('Per Invoice'!O$2:O$401,$AH81)="","",INDEX('Per Invoice'!O$2:O$401,$AH81)))</f>
        <v/>
      </c>
      <c r="P81" s="7">
        <f>IF($AH81="","",IF(INDEX('Per Invoice'!P$2:P$401,$AH81)="","",INDEX('Per Invoice'!P$2:P$401,$AH81)))</f>
        <v/>
      </c>
      <c r="Q81">
        <f>IF($AH81="","",IF(INDEX('Per Invoice'!Q$2:Q$401,$AH81)="","",INDEX('Per Invoice'!Q$2:Q$401,$AH81)))</f>
        <v/>
      </c>
      <c r="R81">
        <f>IF($AH81="","",IF(INDEX('Per Invoice'!R$2:R$401,$AH81)="","",INDEX('Per Invoice'!R$2:R$401,$AH81)))</f>
        <v/>
      </c>
      <c r="S81">
        <f>IF($AH81="","",IF(INDEX('Per Invoice'!S$2:S$401,$AH81)="","",INDEX('Per Invoice'!S$2:S$401,$AH81)))</f>
        <v/>
      </c>
      <c r="T81" s="7">
        <f>IF($AH81="","",IF(INDEX('Per Invoice'!T$2:T$401,$AH81)="","",INDEX('Per Invoice'!T$2:T$401,$AH81)))</f>
        <v/>
      </c>
      <c r="U81" s="7">
        <f>IF($AH81="","",IF(INDEX('Per Invoice'!U$2:U$401,$AH81)="","",INDEX('Per Invoice'!U$2:U$401,$AH81)))</f>
        <v/>
      </c>
      <c r="V81">
        <f>IF($AH81="","",IF(INDEX('Per Invoice'!V$2:V$401,$AH81)="","",INDEX('Per Invoice'!V$2:V$401,$AH81)))</f>
        <v/>
      </c>
      <c r="W81" s="7">
        <f>IF($AH81="","",IF(INDEX('Per Invoice'!W$2:W$401,$AH81)="","",INDEX('Per Invoice'!W$2:W$401,$AH81)))</f>
        <v/>
      </c>
      <c r="X81" s="7">
        <f>IF($AH81="","",IF(INDEX('Per Invoice'!X$2:X$401,$AH81)="","",INDEX('Per Invoice'!X$2:X$401,$AH81)))</f>
        <v/>
      </c>
      <c r="Y81">
        <f>IF($AH81="","",IF(INDEX('Per Invoice'!Y$2:Y$401,$AH81)="","",INDEX('Per Invoice'!Y$2:Y$401,$AH81)))</f>
        <v/>
      </c>
      <c r="Z81" s="7">
        <f>IF($AH81="","",IF(INDEX('Per Invoice'!Z$2:Z$401,$AH81)="","",INDEX('Per Invoice'!Z$2:Z$401,$AH81)))</f>
        <v/>
      </c>
      <c r="AA81" s="7">
        <f>IF($AH81="","",IF(INDEX('Per Invoice'!AA$2:AA$401,$AH81)="","",INDEX('Per Invoice'!AA$2:AA$401,$AH81)))</f>
        <v/>
      </c>
      <c r="AB81" s="7">
        <f>IF($AH81="","",IF(INDEX('Per Invoice'!AB$2:AB$401,$AH81)="","",INDEX('Per Invoice'!AB$2:AB$401,$AH81)))</f>
        <v/>
      </c>
      <c r="AC81" s="7">
        <f>IF($AH81="","",IF(INDEX('Per Invoice'!AC$2:AC$401,$AH81)="","",INDEX('Per Invoice'!AC$2:AC$401,$AH81)))</f>
        <v/>
      </c>
      <c r="AD81" s="7">
        <f>IF($AH81="","",IF(INDEX('Per Invoice'!AD$2:AD$401,$AH81)="","",INDEX('Per Invoice'!AD$2:AD$401,$AH81)))</f>
        <v/>
      </c>
      <c r="AE81" s="7">
        <f>IF($AH81="","",IF(INDEX('Per Invoice'!AE$2:AE$401,$AH81)="","",INDEX('Per Invoice'!AE$2:AE$401,$AH81)))</f>
        <v/>
      </c>
      <c r="AF81">
        <f>IF($AH81="","",IF(INDEX('Per Invoice'!AF$2:AF$401,$AH81)="","",INDEX('Per Invoice'!AF$2:AF$401,$AH81)))</f>
        <v/>
      </c>
      <c r="AG81" s="7">
        <f>IF($AH81="","",IF(INDEX('Per Invoice'!AG$2:AG$401,$AH81)="","",INDEX('Per Invoice'!AG$2:AG$401,$AH81)))</f>
        <v/>
      </c>
      <c r="AH81" s="16">
        <f>IFERROR(MATCH(Settings!$C$26&amp;"|"&amp;ROWS($AH$2:$AH81),'Per Invoice'!$AI$2:$AI$401,0),"")</f>
        <v/>
      </c>
    </row>
    <row r="82">
      <c r="A82">
        <f>IF($AH82="","",IF(INDEX('Per Invoice'!A$2:A$401,$AH82)="","",INDEX('Per Invoice'!A$2:A$401,$AH82)))</f>
        <v/>
      </c>
      <c r="B82">
        <f>IF($AH82="","",IF(INDEX('Per Invoice'!B$2:B$401,$AH82)="","",INDEX('Per Invoice'!B$2:B$401,$AH82)))</f>
        <v/>
      </c>
      <c r="C82">
        <f>IF($AH82="","",IF(INDEX('Per Invoice'!C$2:C$401,$AH82)="","",INDEX('Per Invoice'!C$2:C$401,$AH82)))</f>
        <v/>
      </c>
      <c r="D82">
        <f>IF($AH82="","",IF(INDEX('Per Invoice'!D$2:D$401,$AH82)="","",INDEX('Per Invoice'!D$2:D$401,$AH82)))</f>
        <v/>
      </c>
      <c r="E82">
        <f>IF($AH82="","",IF(INDEX('Per Invoice'!E$2:E$401,$AH82)="","",INDEX('Per Invoice'!E$2:E$401,$AH82)))</f>
        <v/>
      </c>
      <c r="F82">
        <f>IF($AH82="","",IF(INDEX('Per Invoice'!F$2:F$401,$AH82)="","",INDEX('Per Invoice'!F$2:F$401,$AH82)))</f>
        <v/>
      </c>
      <c r="G82">
        <f>IF($AH82="","",IF(INDEX('Per Invoice'!G$2:G$401,$AH82)="","",INDEX('Per Invoice'!G$2:G$401,$AH82)))</f>
        <v/>
      </c>
      <c r="H82">
        <f>IF($AH82="","",IF(INDEX('Per Invoice'!H$2:H$401,$AH82)="","",INDEX('Per Invoice'!H$2:H$401,$AH82)))</f>
        <v/>
      </c>
      <c r="I82" s="14">
        <f>IF($AH82="","",IF(INDEX('Per Invoice'!I$2:I$401,$AH82)="","",INDEX('Per Invoice'!I$2:I$401,$AH82)))</f>
        <v/>
      </c>
      <c r="J82">
        <f>IF($AH82="","",IF(INDEX('Per Invoice'!J$2:J$401,$AH82)="","",INDEX('Per Invoice'!J$2:J$401,$AH82)))</f>
        <v/>
      </c>
      <c r="K82">
        <f>IF($AH82="","",IF(INDEX('Per Invoice'!K$2:K$401,$AH82)="","",INDEX('Per Invoice'!K$2:K$401,$AH82)))</f>
        <v/>
      </c>
      <c r="L82">
        <f>IF($AH82="","",IF(INDEX('Per Invoice'!L$2:L$401,$AH82)="","",INDEX('Per Invoice'!L$2:L$401,$AH82)))</f>
        <v/>
      </c>
      <c r="M82">
        <f>IF($AH82="","",IF(INDEX('Per Invoice'!M$2:M$401,$AH82)="","",INDEX('Per Invoice'!M$2:M$401,$AH82)))</f>
        <v/>
      </c>
      <c r="N82">
        <f>IF($AH82="","",IF(INDEX('Per Invoice'!N$2:N$401,$AH82)="","",INDEX('Per Invoice'!N$2:N$401,$AH82)))</f>
        <v/>
      </c>
      <c r="O82">
        <f>IF($AH82="","",IF(INDEX('Per Invoice'!O$2:O$401,$AH82)="","",INDEX('Per Invoice'!O$2:O$401,$AH82)))</f>
        <v/>
      </c>
      <c r="P82" s="7">
        <f>IF($AH82="","",IF(INDEX('Per Invoice'!P$2:P$401,$AH82)="","",INDEX('Per Invoice'!P$2:P$401,$AH82)))</f>
        <v/>
      </c>
      <c r="Q82">
        <f>IF($AH82="","",IF(INDEX('Per Invoice'!Q$2:Q$401,$AH82)="","",INDEX('Per Invoice'!Q$2:Q$401,$AH82)))</f>
        <v/>
      </c>
      <c r="R82">
        <f>IF($AH82="","",IF(INDEX('Per Invoice'!R$2:R$401,$AH82)="","",INDEX('Per Invoice'!R$2:R$401,$AH82)))</f>
        <v/>
      </c>
      <c r="S82">
        <f>IF($AH82="","",IF(INDEX('Per Invoice'!S$2:S$401,$AH82)="","",INDEX('Per Invoice'!S$2:S$401,$AH82)))</f>
        <v/>
      </c>
      <c r="T82" s="7">
        <f>IF($AH82="","",IF(INDEX('Per Invoice'!T$2:T$401,$AH82)="","",INDEX('Per Invoice'!T$2:T$401,$AH82)))</f>
        <v/>
      </c>
      <c r="U82" s="7">
        <f>IF($AH82="","",IF(INDEX('Per Invoice'!U$2:U$401,$AH82)="","",INDEX('Per Invoice'!U$2:U$401,$AH82)))</f>
        <v/>
      </c>
      <c r="V82">
        <f>IF($AH82="","",IF(INDEX('Per Invoice'!V$2:V$401,$AH82)="","",INDEX('Per Invoice'!V$2:V$401,$AH82)))</f>
        <v/>
      </c>
      <c r="W82" s="7">
        <f>IF($AH82="","",IF(INDEX('Per Invoice'!W$2:W$401,$AH82)="","",INDEX('Per Invoice'!W$2:W$401,$AH82)))</f>
        <v/>
      </c>
      <c r="X82" s="7">
        <f>IF($AH82="","",IF(INDEX('Per Invoice'!X$2:X$401,$AH82)="","",INDEX('Per Invoice'!X$2:X$401,$AH82)))</f>
        <v/>
      </c>
      <c r="Y82">
        <f>IF($AH82="","",IF(INDEX('Per Invoice'!Y$2:Y$401,$AH82)="","",INDEX('Per Invoice'!Y$2:Y$401,$AH82)))</f>
        <v/>
      </c>
      <c r="Z82" s="7">
        <f>IF($AH82="","",IF(INDEX('Per Invoice'!Z$2:Z$401,$AH82)="","",INDEX('Per Invoice'!Z$2:Z$401,$AH82)))</f>
        <v/>
      </c>
      <c r="AA82" s="7">
        <f>IF($AH82="","",IF(INDEX('Per Invoice'!AA$2:AA$401,$AH82)="","",INDEX('Per Invoice'!AA$2:AA$401,$AH82)))</f>
        <v/>
      </c>
      <c r="AB82" s="7">
        <f>IF($AH82="","",IF(INDEX('Per Invoice'!AB$2:AB$401,$AH82)="","",INDEX('Per Invoice'!AB$2:AB$401,$AH82)))</f>
        <v/>
      </c>
      <c r="AC82" s="7">
        <f>IF($AH82="","",IF(INDEX('Per Invoice'!AC$2:AC$401,$AH82)="","",INDEX('Per Invoice'!AC$2:AC$401,$AH82)))</f>
        <v/>
      </c>
      <c r="AD82" s="7">
        <f>IF($AH82="","",IF(INDEX('Per Invoice'!AD$2:AD$401,$AH82)="","",INDEX('Per Invoice'!AD$2:AD$401,$AH82)))</f>
        <v/>
      </c>
      <c r="AE82" s="7">
        <f>IF($AH82="","",IF(INDEX('Per Invoice'!AE$2:AE$401,$AH82)="","",INDEX('Per Invoice'!AE$2:AE$401,$AH82)))</f>
        <v/>
      </c>
      <c r="AF82">
        <f>IF($AH82="","",IF(INDEX('Per Invoice'!AF$2:AF$401,$AH82)="","",INDEX('Per Invoice'!AF$2:AF$401,$AH82)))</f>
        <v/>
      </c>
      <c r="AG82" s="7">
        <f>IF($AH82="","",IF(INDEX('Per Invoice'!AG$2:AG$401,$AH82)="","",INDEX('Per Invoice'!AG$2:AG$401,$AH82)))</f>
        <v/>
      </c>
      <c r="AH82" s="16">
        <f>IFERROR(MATCH(Settings!$C$26&amp;"|"&amp;ROWS($AH$2:$AH82),'Per Invoice'!$AI$2:$AI$401,0),"")</f>
        <v/>
      </c>
    </row>
    <row r="83">
      <c r="A83">
        <f>IF($AH83="","",IF(INDEX('Per Invoice'!A$2:A$401,$AH83)="","",INDEX('Per Invoice'!A$2:A$401,$AH83)))</f>
        <v/>
      </c>
      <c r="B83">
        <f>IF($AH83="","",IF(INDEX('Per Invoice'!B$2:B$401,$AH83)="","",INDEX('Per Invoice'!B$2:B$401,$AH83)))</f>
        <v/>
      </c>
      <c r="C83">
        <f>IF($AH83="","",IF(INDEX('Per Invoice'!C$2:C$401,$AH83)="","",INDEX('Per Invoice'!C$2:C$401,$AH83)))</f>
        <v/>
      </c>
      <c r="D83">
        <f>IF($AH83="","",IF(INDEX('Per Invoice'!D$2:D$401,$AH83)="","",INDEX('Per Invoice'!D$2:D$401,$AH83)))</f>
        <v/>
      </c>
      <c r="E83">
        <f>IF($AH83="","",IF(INDEX('Per Invoice'!E$2:E$401,$AH83)="","",INDEX('Per Invoice'!E$2:E$401,$AH83)))</f>
        <v/>
      </c>
      <c r="F83">
        <f>IF($AH83="","",IF(INDEX('Per Invoice'!F$2:F$401,$AH83)="","",INDEX('Per Invoice'!F$2:F$401,$AH83)))</f>
        <v/>
      </c>
      <c r="G83">
        <f>IF($AH83="","",IF(INDEX('Per Invoice'!G$2:G$401,$AH83)="","",INDEX('Per Invoice'!G$2:G$401,$AH83)))</f>
        <v/>
      </c>
      <c r="H83">
        <f>IF($AH83="","",IF(INDEX('Per Invoice'!H$2:H$401,$AH83)="","",INDEX('Per Invoice'!H$2:H$401,$AH83)))</f>
        <v/>
      </c>
      <c r="I83" s="14">
        <f>IF($AH83="","",IF(INDEX('Per Invoice'!I$2:I$401,$AH83)="","",INDEX('Per Invoice'!I$2:I$401,$AH83)))</f>
        <v/>
      </c>
      <c r="J83">
        <f>IF($AH83="","",IF(INDEX('Per Invoice'!J$2:J$401,$AH83)="","",INDEX('Per Invoice'!J$2:J$401,$AH83)))</f>
        <v/>
      </c>
      <c r="K83">
        <f>IF($AH83="","",IF(INDEX('Per Invoice'!K$2:K$401,$AH83)="","",INDEX('Per Invoice'!K$2:K$401,$AH83)))</f>
        <v/>
      </c>
      <c r="L83">
        <f>IF($AH83="","",IF(INDEX('Per Invoice'!L$2:L$401,$AH83)="","",INDEX('Per Invoice'!L$2:L$401,$AH83)))</f>
        <v/>
      </c>
      <c r="M83">
        <f>IF($AH83="","",IF(INDEX('Per Invoice'!M$2:M$401,$AH83)="","",INDEX('Per Invoice'!M$2:M$401,$AH83)))</f>
        <v/>
      </c>
      <c r="N83">
        <f>IF($AH83="","",IF(INDEX('Per Invoice'!N$2:N$401,$AH83)="","",INDEX('Per Invoice'!N$2:N$401,$AH83)))</f>
        <v/>
      </c>
      <c r="O83">
        <f>IF($AH83="","",IF(INDEX('Per Invoice'!O$2:O$401,$AH83)="","",INDEX('Per Invoice'!O$2:O$401,$AH83)))</f>
        <v/>
      </c>
      <c r="P83" s="7">
        <f>IF($AH83="","",IF(INDEX('Per Invoice'!P$2:P$401,$AH83)="","",INDEX('Per Invoice'!P$2:P$401,$AH83)))</f>
        <v/>
      </c>
      <c r="Q83">
        <f>IF($AH83="","",IF(INDEX('Per Invoice'!Q$2:Q$401,$AH83)="","",INDEX('Per Invoice'!Q$2:Q$401,$AH83)))</f>
        <v/>
      </c>
      <c r="R83">
        <f>IF($AH83="","",IF(INDEX('Per Invoice'!R$2:R$401,$AH83)="","",INDEX('Per Invoice'!R$2:R$401,$AH83)))</f>
        <v/>
      </c>
      <c r="S83">
        <f>IF($AH83="","",IF(INDEX('Per Invoice'!S$2:S$401,$AH83)="","",INDEX('Per Invoice'!S$2:S$401,$AH83)))</f>
        <v/>
      </c>
      <c r="T83" s="7">
        <f>IF($AH83="","",IF(INDEX('Per Invoice'!T$2:T$401,$AH83)="","",INDEX('Per Invoice'!T$2:T$401,$AH83)))</f>
        <v/>
      </c>
      <c r="U83" s="7">
        <f>IF($AH83="","",IF(INDEX('Per Invoice'!U$2:U$401,$AH83)="","",INDEX('Per Invoice'!U$2:U$401,$AH83)))</f>
        <v/>
      </c>
      <c r="V83">
        <f>IF($AH83="","",IF(INDEX('Per Invoice'!V$2:V$401,$AH83)="","",INDEX('Per Invoice'!V$2:V$401,$AH83)))</f>
        <v/>
      </c>
      <c r="W83" s="7">
        <f>IF($AH83="","",IF(INDEX('Per Invoice'!W$2:W$401,$AH83)="","",INDEX('Per Invoice'!W$2:W$401,$AH83)))</f>
        <v/>
      </c>
      <c r="X83" s="7">
        <f>IF($AH83="","",IF(INDEX('Per Invoice'!X$2:X$401,$AH83)="","",INDEX('Per Invoice'!X$2:X$401,$AH83)))</f>
        <v/>
      </c>
      <c r="Y83">
        <f>IF($AH83="","",IF(INDEX('Per Invoice'!Y$2:Y$401,$AH83)="","",INDEX('Per Invoice'!Y$2:Y$401,$AH83)))</f>
        <v/>
      </c>
      <c r="Z83" s="7">
        <f>IF($AH83="","",IF(INDEX('Per Invoice'!Z$2:Z$401,$AH83)="","",INDEX('Per Invoice'!Z$2:Z$401,$AH83)))</f>
        <v/>
      </c>
      <c r="AA83" s="7">
        <f>IF($AH83="","",IF(INDEX('Per Invoice'!AA$2:AA$401,$AH83)="","",INDEX('Per Invoice'!AA$2:AA$401,$AH83)))</f>
        <v/>
      </c>
      <c r="AB83" s="7">
        <f>IF($AH83="","",IF(INDEX('Per Invoice'!AB$2:AB$401,$AH83)="","",INDEX('Per Invoice'!AB$2:AB$401,$AH83)))</f>
        <v/>
      </c>
      <c r="AC83" s="7">
        <f>IF($AH83="","",IF(INDEX('Per Invoice'!AC$2:AC$401,$AH83)="","",INDEX('Per Invoice'!AC$2:AC$401,$AH83)))</f>
        <v/>
      </c>
      <c r="AD83" s="7">
        <f>IF($AH83="","",IF(INDEX('Per Invoice'!AD$2:AD$401,$AH83)="","",INDEX('Per Invoice'!AD$2:AD$401,$AH83)))</f>
        <v/>
      </c>
      <c r="AE83" s="7">
        <f>IF($AH83="","",IF(INDEX('Per Invoice'!AE$2:AE$401,$AH83)="","",INDEX('Per Invoice'!AE$2:AE$401,$AH83)))</f>
        <v/>
      </c>
      <c r="AF83">
        <f>IF($AH83="","",IF(INDEX('Per Invoice'!AF$2:AF$401,$AH83)="","",INDEX('Per Invoice'!AF$2:AF$401,$AH83)))</f>
        <v/>
      </c>
      <c r="AG83" s="7">
        <f>IF($AH83="","",IF(INDEX('Per Invoice'!AG$2:AG$401,$AH83)="","",INDEX('Per Invoice'!AG$2:AG$401,$AH83)))</f>
        <v/>
      </c>
      <c r="AH83" s="16">
        <f>IFERROR(MATCH(Settings!$C$26&amp;"|"&amp;ROWS($AH$2:$AH83),'Per Invoice'!$AI$2:$AI$401,0),"")</f>
        <v/>
      </c>
    </row>
    <row r="84">
      <c r="A84">
        <f>IF($AH84="","",IF(INDEX('Per Invoice'!A$2:A$401,$AH84)="","",INDEX('Per Invoice'!A$2:A$401,$AH84)))</f>
        <v/>
      </c>
      <c r="B84">
        <f>IF($AH84="","",IF(INDEX('Per Invoice'!B$2:B$401,$AH84)="","",INDEX('Per Invoice'!B$2:B$401,$AH84)))</f>
        <v/>
      </c>
      <c r="C84">
        <f>IF($AH84="","",IF(INDEX('Per Invoice'!C$2:C$401,$AH84)="","",INDEX('Per Invoice'!C$2:C$401,$AH84)))</f>
        <v/>
      </c>
      <c r="D84">
        <f>IF($AH84="","",IF(INDEX('Per Invoice'!D$2:D$401,$AH84)="","",INDEX('Per Invoice'!D$2:D$401,$AH84)))</f>
        <v/>
      </c>
      <c r="E84">
        <f>IF($AH84="","",IF(INDEX('Per Invoice'!E$2:E$401,$AH84)="","",INDEX('Per Invoice'!E$2:E$401,$AH84)))</f>
        <v/>
      </c>
      <c r="F84">
        <f>IF($AH84="","",IF(INDEX('Per Invoice'!F$2:F$401,$AH84)="","",INDEX('Per Invoice'!F$2:F$401,$AH84)))</f>
        <v/>
      </c>
      <c r="G84">
        <f>IF($AH84="","",IF(INDEX('Per Invoice'!G$2:G$401,$AH84)="","",INDEX('Per Invoice'!G$2:G$401,$AH84)))</f>
        <v/>
      </c>
      <c r="H84">
        <f>IF($AH84="","",IF(INDEX('Per Invoice'!H$2:H$401,$AH84)="","",INDEX('Per Invoice'!H$2:H$401,$AH84)))</f>
        <v/>
      </c>
      <c r="I84" s="14">
        <f>IF($AH84="","",IF(INDEX('Per Invoice'!I$2:I$401,$AH84)="","",INDEX('Per Invoice'!I$2:I$401,$AH84)))</f>
        <v/>
      </c>
      <c r="J84">
        <f>IF($AH84="","",IF(INDEX('Per Invoice'!J$2:J$401,$AH84)="","",INDEX('Per Invoice'!J$2:J$401,$AH84)))</f>
        <v/>
      </c>
      <c r="K84">
        <f>IF($AH84="","",IF(INDEX('Per Invoice'!K$2:K$401,$AH84)="","",INDEX('Per Invoice'!K$2:K$401,$AH84)))</f>
        <v/>
      </c>
      <c r="L84">
        <f>IF($AH84="","",IF(INDEX('Per Invoice'!L$2:L$401,$AH84)="","",INDEX('Per Invoice'!L$2:L$401,$AH84)))</f>
        <v/>
      </c>
      <c r="M84">
        <f>IF($AH84="","",IF(INDEX('Per Invoice'!M$2:M$401,$AH84)="","",INDEX('Per Invoice'!M$2:M$401,$AH84)))</f>
        <v/>
      </c>
      <c r="N84">
        <f>IF($AH84="","",IF(INDEX('Per Invoice'!N$2:N$401,$AH84)="","",INDEX('Per Invoice'!N$2:N$401,$AH84)))</f>
        <v/>
      </c>
      <c r="O84">
        <f>IF($AH84="","",IF(INDEX('Per Invoice'!O$2:O$401,$AH84)="","",INDEX('Per Invoice'!O$2:O$401,$AH84)))</f>
        <v/>
      </c>
      <c r="P84" s="7">
        <f>IF($AH84="","",IF(INDEX('Per Invoice'!P$2:P$401,$AH84)="","",INDEX('Per Invoice'!P$2:P$401,$AH84)))</f>
        <v/>
      </c>
      <c r="Q84">
        <f>IF($AH84="","",IF(INDEX('Per Invoice'!Q$2:Q$401,$AH84)="","",INDEX('Per Invoice'!Q$2:Q$401,$AH84)))</f>
        <v/>
      </c>
      <c r="R84">
        <f>IF($AH84="","",IF(INDEX('Per Invoice'!R$2:R$401,$AH84)="","",INDEX('Per Invoice'!R$2:R$401,$AH84)))</f>
        <v/>
      </c>
      <c r="S84">
        <f>IF($AH84="","",IF(INDEX('Per Invoice'!S$2:S$401,$AH84)="","",INDEX('Per Invoice'!S$2:S$401,$AH84)))</f>
        <v/>
      </c>
      <c r="T84" s="7">
        <f>IF($AH84="","",IF(INDEX('Per Invoice'!T$2:T$401,$AH84)="","",INDEX('Per Invoice'!T$2:T$401,$AH84)))</f>
        <v/>
      </c>
      <c r="U84" s="7">
        <f>IF($AH84="","",IF(INDEX('Per Invoice'!U$2:U$401,$AH84)="","",INDEX('Per Invoice'!U$2:U$401,$AH84)))</f>
        <v/>
      </c>
      <c r="V84">
        <f>IF($AH84="","",IF(INDEX('Per Invoice'!V$2:V$401,$AH84)="","",INDEX('Per Invoice'!V$2:V$401,$AH84)))</f>
        <v/>
      </c>
      <c r="W84" s="7">
        <f>IF($AH84="","",IF(INDEX('Per Invoice'!W$2:W$401,$AH84)="","",INDEX('Per Invoice'!W$2:W$401,$AH84)))</f>
        <v/>
      </c>
      <c r="X84" s="7">
        <f>IF($AH84="","",IF(INDEX('Per Invoice'!X$2:X$401,$AH84)="","",INDEX('Per Invoice'!X$2:X$401,$AH84)))</f>
        <v/>
      </c>
      <c r="Y84">
        <f>IF($AH84="","",IF(INDEX('Per Invoice'!Y$2:Y$401,$AH84)="","",INDEX('Per Invoice'!Y$2:Y$401,$AH84)))</f>
        <v/>
      </c>
      <c r="Z84" s="7">
        <f>IF($AH84="","",IF(INDEX('Per Invoice'!Z$2:Z$401,$AH84)="","",INDEX('Per Invoice'!Z$2:Z$401,$AH84)))</f>
        <v/>
      </c>
      <c r="AA84" s="7">
        <f>IF($AH84="","",IF(INDEX('Per Invoice'!AA$2:AA$401,$AH84)="","",INDEX('Per Invoice'!AA$2:AA$401,$AH84)))</f>
        <v/>
      </c>
      <c r="AB84" s="7">
        <f>IF($AH84="","",IF(INDEX('Per Invoice'!AB$2:AB$401,$AH84)="","",INDEX('Per Invoice'!AB$2:AB$401,$AH84)))</f>
        <v/>
      </c>
      <c r="AC84" s="7">
        <f>IF($AH84="","",IF(INDEX('Per Invoice'!AC$2:AC$401,$AH84)="","",INDEX('Per Invoice'!AC$2:AC$401,$AH84)))</f>
        <v/>
      </c>
      <c r="AD84" s="7">
        <f>IF($AH84="","",IF(INDEX('Per Invoice'!AD$2:AD$401,$AH84)="","",INDEX('Per Invoice'!AD$2:AD$401,$AH84)))</f>
        <v/>
      </c>
      <c r="AE84" s="7">
        <f>IF($AH84="","",IF(INDEX('Per Invoice'!AE$2:AE$401,$AH84)="","",INDEX('Per Invoice'!AE$2:AE$401,$AH84)))</f>
        <v/>
      </c>
      <c r="AF84">
        <f>IF($AH84="","",IF(INDEX('Per Invoice'!AF$2:AF$401,$AH84)="","",INDEX('Per Invoice'!AF$2:AF$401,$AH84)))</f>
        <v/>
      </c>
      <c r="AG84" s="7">
        <f>IF($AH84="","",IF(INDEX('Per Invoice'!AG$2:AG$401,$AH84)="","",INDEX('Per Invoice'!AG$2:AG$401,$AH84)))</f>
        <v/>
      </c>
      <c r="AH84" s="16">
        <f>IFERROR(MATCH(Settings!$C$26&amp;"|"&amp;ROWS($AH$2:$AH84),'Per Invoice'!$AI$2:$AI$401,0),"")</f>
        <v/>
      </c>
    </row>
    <row r="85">
      <c r="A85">
        <f>IF($AH85="","",IF(INDEX('Per Invoice'!A$2:A$401,$AH85)="","",INDEX('Per Invoice'!A$2:A$401,$AH85)))</f>
        <v/>
      </c>
      <c r="B85">
        <f>IF($AH85="","",IF(INDEX('Per Invoice'!B$2:B$401,$AH85)="","",INDEX('Per Invoice'!B$2:B$401,$AH85)))</f>
        <v/>
      </c>
      <c r="C85">
        <f>IF($AH85="","",IF(INDEX('Per Invoice'!C$2:C$401,$AH85)="","",INDEX('Per Invoice'!C$2:C$401,$AH85)))</f>
        <v/>
      </c>
      <c r="D85">
        <f>IF($AH85="","",IF(INDEX('Per Invoice'!D$2:D$401,$AH85)="","",INDEX('Per Invoice'!D$2:D$401,$AH85)))</f>
        <v/>
      </c>
      <c r="E85">
        <f>IF($AH85="","",IF(INDEX('Per Invoice'!E$2:E$401,$AH85)="","",INDEX('Per Invoice'!E$2:E$401,$AH85)))</f>
        <v/>
      </c>
      <c r="F85">
        <f>IF($AH85="","",IF(INDEX('Per Invoice'!F$2:F$401,$AH85)="","",INDEX('Per Invoice'!F$2:F$401,$AH85)))</f>
        <v/>
      </c>
      <c r="G85">
        <f>IF($AH85="","",IF(INDEX('Per Invoice'!G$2:G$401,$AH85)="","",INDEX('Per Invoice'!G$2:G$401,$AH85)))</f>
        <v/>
      </c>
      <c r="H85">
        <f>IF($AH85="","",IF(INDEX('Per Invoice'!H$2:H$401,$AH85)="","",INDEX('Per Invoice'!H$2:H$401,$AH85)))</f>
        <v/>
      </c>
      <c r="I85" s="14">
        <f>IF($AH85="","",IF(INDEX('Per Invoice'!I$2:I$401,$AH85)="","",INDEX('Per Invoice'!I$2:I$401,$AH85)))</f>
        <v/>
      </c>
      <c r="J85">
        <f>IF($AH85="","",IF(INDEX('Per Invoice'!J$2:J$401,$AH85)="","",INDEX('Per Invoice'!J$2:J$401,$AH85)))</f>
        <v/>
      </c>
      <c r="K85">
        <f>IF($AH85="","",IF(INDEX('Per Invoice'!K$2:K$401,$AH85)="","",INDEX('Per Invoice'!K$2:K$401,$AH85)))</f>
        <v/>
      </c>
      <c r="L85">
        <f>IF($AH85="","",IF(INDEX('Per Invoice'!L$2:L$401,$AH85)="","",INDEX('Per Invoice'!L$2:L$401,$AH85)))</f>
        <v/>
      </c>
      <c r="M85">
        <f>IF($AH85="","",IF(INDEX('Per Invoice'!M$2:M$401,$AH85)="","",INDEX('Per Invoice'!M$2:M$401,$AH85)))</f>
        <v/>
      </c>
      <c r="N85">
        <f>IF($AH85="","",IF(INDEX('Per Invoice'!N$2:N$401,$AH85)="","",INDEX('Per Invoice'!N$2:N$401,$AH85)))</f>
        <v/>
      </c>
      <c r="O85">
        <f>IF($AH85="","",IF(INDEX('Per Invoice'!O$2:O$401,$AH85)="","",INDEX('Per Invoice'!O$2:O$401,$AH85)))</f>
        <v/>
      </c>
      <c r="P85" s="7">
        <f>IF($AH85="","",IF(INDEX('Per Invoice'!P$2:P$401,$AH85)="","",INDEX('Per Invoice'!P$2:P$401,$AH85)))</f>
        <v/>
      </c>
      <c r="Q85">
        <f>IF($AH85="","",IF(INDEX('Per Invoice'!Q$2:Q$401,$AH85)="","",INDEX('Per Invoice'!Q$2:Q$401,$AH85)))</f>
        <v/>
      </c>
      <c r="R85">
        <f>IF($AH85="","",IF(INDEX('Per Invoice'!R$2:R$401,$AH85)="","",INDEX('Per Invoice'!R$2:R$401,$AH85)))</f>
        <v/>
      </c>
      <c r="S85">
        <f>IF($AH85="","",IF(INDEX('Per Invoice'!S$2:S$401,$AH85)="","",INDEX('Per Invoice'!S$2:S$401,$AH85)))</f>
        <v/>
      </c>
      <c r="T85" s="7">
        <f>IF($AH85="","",IF(INDEX('Per Invoice'!T$2:T$401,$AH85)="","",INDEX('Per Invoice'!T$2:T$401,$AH85)))</f>
        <v/>
      </c>
      <c r="U85" s="7">
        <f>IF($AH85="","",IF(INDEX('Per Invoice'!U$2:U$401,$AH85)="","",INDEX('Per Invoice'!U$2:U$401,$AH85)))</f>
        <v/>
      </c>
      <c r="V85">
        <f>IF($AH85="","",IF(INDEX('Per Invoice'!V$2:V$401,$AH85)="","",INDEX('Per Invoice'!V$2:V$401,$AH85)))</f>
        <v/>
      </c>
      <c r="W85" s="7">
        <f>IF($AH85="","",IF(INDEX('Per Invoice'!W$2:W$401,$AH85)="","",INDEX('Per Invoice'!W$2:W$401,$AH85)))</f>
        <v/>
      </c>
      <c r="X85" s="7">
        <f>IF($AH85="","",IF(INDEX('Per Invoice'!X$2:X$401,$AH85)="","",INDEX('Per Invoice'!X$2:X$401,$AH85)))</f>
        <v/>
      </c>
      <c r="Y85">
        <f>IF($AH85="","",IF(INDEX('Per Invoice'!Y$2:Y$401,$AH85)="","",INDEX('Per Invoice'!Y$2:Y$401,$AH85)))</f>
        <v/>
      </c>
      <c r="Z85" s="7">
        <f>IF($AH85="","",IF(INDEX('Per Invoice'!Z$2:Z$401,$AH85)="","",INDEX('Per Invoice'!Z$2:Z$401,$AH85)))</f>
        <v/>
      </c>
      <c r="AA85" s="7">
        <f>IF($AH85="","",IF(INDEX('Per Invoice'!AA$2:AA$401,$AH85)="","",INDEX('Per Invoice'!AA$2:AA$401,$AH85)))</f>
        <v/>
      </c>
      <c r="AB85" s="7">
        <f>IF($AH85="","",IF(INDEX('Per Invoice'!AB$2:AB$401,$AH85)="","",INDEX('Per Invoice'!AB$2:AB$401,$AH85)))</f>
        <v/>
      </c>
      <c r="AC85" s="7">
        <f>IF($AH85="","",IF(INDEX('Per Invoice'!AC$2:AC$401,$AH85)="","",INDEX('Per Invoice'!AC$2:AC$401,$AH85)))</f>
        <v/>
      </c>
      <c r="AD85" s="7">
        <f>IF($AH85="","",IF(INDEX('Per Invoice'!AD$2:AD$401,$AH85)="","",INDEX('Per Invoice'!AD$2:AD$401,$AH85)))</f>
        <v/>
      </c>
      <c r="AE85" s="7">
        <f>IF($AH85="","",IF(INDEX('Per Invoice'!AE$2:AE$401,$AH85)="","",INDEX('Per Invoice'!AE$2:AE$401,$AH85)))</f>
        <v/>
      </c>
      <c r="AF85">
        <f>IF($AH85="","",IF(INDEX('Per Invoice'!AF$2:AF$401,$AH85)="","",INDEX('Per Invoice'!AF$2:AF$401,$AH85)))</f>
        <v/>
      </c>
      <c r="AG85" s="7">
        <f>IF($AH85="","",IF(INDEX('Per Invoice'!AG$2:AG$401,$AH85)="","",INDEX('Per Invoice'!AG$2:AG$401,$AH85)))</f>
        <v/>
      </c>
      <c r="AH85" s="16">
        <f>IFERROR(MATCH(Settings!$C$26&amp;"|"&amp;ROWS($AH$2:$AH85),'Per Invoice'!$AI$2:$AI$401,0),"")</f>
        <v/>
      </c>
    </row>
    <row r="86">
      <c r="A86">
        <f>IF($AH86="","",IF(INDEX('Per Invoice'!A$2:A$401,$AH86)="","",INDEX('Per Invoice'!A$2:A$401,$AH86)))</f>
        <v/>
      </c>
      <c r="B86">
        <f>IF($AH86="","",IF(INDEX('Per Invoice'!B$2:B$401,$AH86)="","",INDEX('Per Invoice'!B$2:B$401,$AH86)))</f>
        <v/>
      </c>
      <c r="C86">
        <f>IF($AH86="","",IF(INDEX('Per Invoice'!C$2:C$401,$AH86)="","",INDEX('Per Invoice'!C$2:C$401,$AH86)))</f>
        <v/>
      </c>
      <c r="D86">
        <f>IF($AH86="","",IF(INDEX('Per Invoice'!D$2:D$401,$AH86)="","",INDEX('Per Invoice'!D$2:D$401,$AH86)))</f>
        <v/>
      </c>
      <c r="E86">
        <f>IF($AH86="","",IF(INDEX('Per Invoice'!E$2:E$401,$AH86)="","",INDEX('Per Invoice'!E$2:E$401,$AH86)))</f>
        <v/>
      </c>
      <c r="F86">
        <f>IF($AH86="","",IF(INDEX('Per Invoice'!F$2:F$401,$AH86)="","",INDEX('Per Invoice'!F$2:F$401,$AH86)))</f>
        <v/>
      </c>
      <c r="G86">
        <f>IF($AH86="","",IF(INDEX('Per Invoice'!G$2:G$401,$AH86)="","",INDEX('Per Invoice'!G$2:G$401,$AH86)))</f>
        <v/>
      </c>
      <c r="H86">
        <f>IF($AH86="","",IF(INDEX('Per Invoice'!H$2:H$401,$AH86)="","",INDEX('Per Invoice'!H$2:H$401,$AH86)))</f>
        <v/>
      </c>
      <c r="I86" s="14">
        <f>IF($AH86="","",IF(INDEX('Per Invoice'!I$2:I$401,$AH86)="","",INDEX('Per Invoice'!I$2:I$401,$AH86)))</f>
        <v/>
      </c>
      <c r="J86">
        <f>IF($AH86="","",IF(INDEX('Per Invoice'!J$2:J$401,$AH86)="","",INDEX('Per Invoice'!J$2:J$401,$AH86)))</f>
        <v/>
      </c>
      <c r="K86">
        <f>IF($AH86="","",IF(INDEX('Per Invoice'!K$2:K$401,$AH86)="","",INDEX('Per Invoice'!K$2:K$401,$AH86)))</f>
        <v/>
      </c>
      <c r="L86">
        <f>IF($AH86="","",IF(INDEX('Per Invoice'!L$2:L$401,$AH86)="","",INDEX('Per Invoice'!L$2:L$401,$AH86)))</f>
        <v/>
      </c>
      <c r="M86">
        <f>IF($AH86="","",IF(INDEX('Per Invoice'!M$2:M$401,$AH86)="","",INDEX('Per Invoice'!M$2:M$401,$AH86)))</f>
        <v/>
      </c>
      <c r="N86">
        <f>IF($AH86="","",IF(INDEX('Per Invoice'!N$2:N$401,$AH86)="","",INDEX('Per Invoice'!N$2:N$401,$AH86)))</f>
        <v/>
      </c>
      <c r="O86">
        <f>IF($AH86="","",IF(INDEX('Per Invoice'!O$2:O$401,$AH86)="","",INDEX('Per Invoice'!O$2:O$401,$AH86)))</f>
        <v/>
      </c>
      <c r="P86" s="7">
        <f>IF($AH86="","",IF(INDEX('Per Invoice'!P$2:P$401,$AH86)="","",INDEX('Per Invoice'!P$2:P$401,$AH86)))</f>
        <v/>
      </c>
      <c r="Q86">
        <f>IF($AH86="","",IF(INDEX('Per Invoice'!Q$2:Q$401,$AH86)="","",INDEX('Per Invoice'!Q$2:Q$401,$AH86)))</f>
        <v/>
      </c>
      <c r="R86">
        <f>IF($AH86="","",IF(INDEX('Per Invoice'!R$2:R$401,$AH86)="","",INDEX('Per Invoice'!R$2:R$401,$AH86)))</f>
        <v/>
      </c>
      <c r="S86">
        <f>IF($AH86="","",IF(INDEX('Per Invoice'!S$2:S$401,$AH86)="","",INDEX('Per Invoice'!S$2:S$401,$AH86)))</f>
        <v/>
      </c>
      <c r="T86" s="7">
        <f>IF($AH86="","",IF(INDEX('Per Invoice'!T$2:T$401,$AH86)="","",INDEX('Per Invoice'!T$2:T$401,$AH86)))</f>
        <v/>
      </c>
      <c r="U86" s="7">
        <f>IF($AH86="","",IF(INDEX('Per Invoice'!U$2:U$401,$AH86)="","",INDEX('Per Invoice'!U$2:U$401,$AH86)))</f>
        <v/>
      </c>
      <c r="V86">
        <f>IF($AH86="","",IF(INDEX('Per Invoice'!V$2:V$401,$AH86)="","",INDEX('Per Invoice'!V$2:V$401,$AH86)))</f>
        <v/>
      </c>
      <c r="W86" s="7">
        <f>IF($AH86="","",IF(INDEX('Per Invoice'!W$2:W$401,$AH86)="","",INDEX('Per Invoice'!W$2:W$401,$AH86)))</f>
        <v/>
      </c>
      <c r="X86" s="7">
        <f>IF($AH86="","",IF(INDEX('Per Invoice'!X$2:X$401,$AH86)="","",INDEX('Per Invoice'!X$2:X$401,$AH86)))</f>
        <v/>
      </c>
      <c r="Y86">
        <f>IF($AH86="","",IF(INDEX('Per Invoice'!Y$2:Y$401,$AH86)="","",INDEX('Per Invoice'!Y$2:Y$401,$AH86)))</f>
        <v/>
      </c>
      <c r="Z86" s="7">
        <f>IF($AH86="","",IF(INDEX('Per Invoice'!Z$2:Z$401,$AH86)="","",INDEX('Per Invoice'!Z$2:Z$401,$AH86)))</f>
        <v/>
      </c>
      <c r="AA86" s="7">
        <f>IF($AH86="","",IF(INDEX('Per Invoice'!AA$2:AA$401,$AH86)="","",INDEX('Per Invoice'!AA$2:AA$401,$AH86)))</f>
        <v/>
      </c>
      <c r="AB86" s="7">
        <f>IF($AH86="","",IF(INDEX('Per Invoice'!AB$2:AB$401,$AH86)="","",INDEX('Per Invoice'!AB$2:AB$401,$AH86)))</f>
        <v/>
      </c>
      <c r="AC86" s="7">
        <f>IF($AH86="","",IF(INDEX('Per Invoice'!AC$2:AC$401,$AH86)="","",INDEX('Per Invoice'!AC$2:AC$401,$AH86)))</f>
        <v/>
      </c>
      <c r="AD86" s="7">
        <f>IF($AH86="","",IF(INDEX('Per Invoice'!AD$2:AD$401,$AH86)="","",INDEX('Per Invoice'!AD$2:AD$401,$AH86)))</f>
        <v/>
      </c>
      <c r="AE86" s="7">
        <f>IF($AH86="","",IF(INDEX('Per Invoice'!AE$2:AE$401,$AH86)="","",INDEX('Per Invoice'!AE$2:AE$401,$AH86)))</f>
        <v/>
      </c>
      <c r="AF86">
        <f>IF($AH86="","",IF(INDEX('Per Invoice'!AF$2:AF$401,$AH86)="","",INDEX('Per Invoice'!AF$2:AF$401,$AH86)))</f>
        <v/>
      </c>
      <c r="AG86" s="7">
        <f>IF($AH86="","",IF(INDEX('Per Invoice'!AG$2:AG$401,$AH86)="","",INDEX('Per Invoice'!AG$2:AG$401,$AH86)))</f>
        <v/>
      </c>
      <c r="AH86" s="16">
        <f>IFERROR(MATCH(Settings!$C$26&amp;"|"&amp;ROWS($AH$2:$AH86),'Per Invoice'!$AI$2:$AI$401,0),"")</f>
        <v/>
      </c>
    </row>
    <row r="87">
      <c r="A87">
        <f>IF($AH87="","",IF(INDEX('Per Invoice'!A$2:A$401,$AH87)="","",INDEX('Per Invoice'!A$2:A$401,$AH87)))</f>
        <v/>
      </c>
      <c r="B87">
        <f>IF($AH87="","",IF(INDEX('Per Invoice'!B$2:B$401,$AH87)="","",INDEX('Per Invoice'!B$2:B$401,$AH87)))</f>
        <v/>
      </c>
      <c r="C87">
        <f>IF($AH87="","",IF(INDEX('Per Invoice'!C$2:C$401,$AH87)="","",INDEX('Per Invoice'!C$2:C$401,$AH87)))</f>
        <v/>
      </c>
      <c r="D87">
        <f>IF($AH87="","",IF(INDEX('Per Invoice'!D$2:D$401,$AH87)="","",INDEX('Per Invoice'!D$2:D$401,$AH87)))</f>
        <v/>
      </c>
      <c r="E87">
        <f>IF($AH87="","",IF(INDEX('Per Invoice'!E$2:E$401,$AH87)="","",INDEX('Per Invoice'!E$2:E$401,$AH87)))</f>
        <v/>
      </c>
      <c r="F87">
        <f>IF($AH87="","",IF(INDEX('Per Invoice'!F$2:F$401,$AH87)="","",INDEX('Per Invoice'!F$2:F$401,$AH87)))</f>
        <v/>
      </c>
      <c r="G87">
        <f>IF($AH87="","",IF(INDEX('Per Invoice'!G$2:G$401,$AH87)="","",INDEX('Per Invoice'!G$2:G$401,$AH87)))</f>
        <v/>
      </c>
      <c r="H87">
        <f>IF($AH87="","",IF(INDEX('Per Invoice'!H$2:H$401,$AH87)="","",INDEX('Per Invoice'!H$2:H$401,$AH87)))</f>
        <v/>
      </c>
      <c r="I87" s="14">
        <f>IF($AH87="","",IF(INDEX('Per Invoice'!I$2:I$401,$AH87)="","",INDEX('Per Invoice'!I$2:I$401,$AH87)))</f>
        <v/>
      </c>
      <c r="J87">
        <f>IF($AH87="","",IF(INDEX('Per Invoice'!J$2:J$401,$AH87)="","",INDEX('Per Invoice'!J$2:J$401,$AH87)))</f>
        <v/>
      </c>
      <c r="K87">
        <f>IF($AH87="","",IF(INDEX('Per Invoice'!K$2:K$401,$AH87)="","",INDEX('Per Invoice'!K$2:K$401,$AH87)))</f>
        <v/>
      </c>
      <c r="L87">
        <f>IF($AH87="","",IF(INDEX('Per Invoice'!L$2:L$401,$AH87)="","",INDEX('Per Invoice'!L$2:L$401,$AH87)))</f>
        <v/>
      </c>
      <c r="M87">
        <f>IF($AH87="","",IF(INDEX('Per Invoice'!M$2:M$401,$AH87)="","",INDEX('Per Invoice'!M$2:M$401,$AH87)))</f>
        <v/>
      </c>
      <c r="N87">
        <f>IF($AH87="","",IF(INDEX('Per Invoice'!N$2:N$401,$AH87)="","",INDEX('Per Invoice'!N$2:N$401,$AH87)))</f>
        <v/>
      </c>
      <c r="O87">
        <f>IF($AH87="","",IF(INDEX('Per Invoice'!O$2:O$401,$AH87)="","",INDEX('Per Invoice'!O$2:O$401,$AH87)))</f>
        <v/>
      </c>
      <c r="P87" s="7">
        <f>IF($AH87="","",IF(INDEX('Per Invoice'!P$2:P$401,$AH87)="","",INDEX('Per Invoice'!P$2:P$401,$AH87)))</f>
        <v/>
      </c>
      <c r="Q87">
        <f>IF($AH87="","",IF(INDEX('Per Invoice'!Q$2:Q$401,$AH87)="","",INDEX('Per Invoice'!Q$2:Q$401,$AH87)))</f>
        <v/>
      </c>
      <c r="R87">
        <f>IF($AH87="","",IF(INDEX('Per Invoice'!R$2:R$401,$AH87)="","",INDEX('Per Invoice'!R$2:R$401,$AH87)))</f>
        <v/>
      </c>
      <c r="S87">
        <f>IF($AH87="","",IF(INDEX('Per Invoice'!S$2:S$401,$AH87)="","",INDEX('Per Invoice'!S$2:S$401,$AH87)))</f>
        <v/>
      </c>
      <c r="T87" s="7">
        <f>IF($AH87="","",IF(INDEX('Per Invoice'!T$2:T$401,$AH87)="","",INDEX('Per Invoice'!T$2:T$401,$AH87)))</f>
        <v/>
      </c>
      <c r="U87" s="7">
        <f>IF($AH87="","",IF(INDEX('Per Invoice'!U$2:U$401,$AH87)="","",INDEX('Per Invoice'!U$2:U$401,$AH87)))</f>
        <v/>
      </c>
      <c r="V87">
        <f>IF($AH87="","",IF(INDEX('Per Invoice'!V$2:V$401,$AH87)="","",INDEX('Per Invoice'!V$2:V$401,$AH87)))</f>
        <v/>
      </c>
      <c r="W87" s="7">
        <f>IF($AH87="","",IF(INDEX('Per Invoice'!W$2:W$401,$AH87)="","",INDEX('Per Invoice'!W$2:W$401,$AH87)))</f>
        <v/>
      </c>
      <c r="X87" s="7">
        <f>IF($AH87="","",IF(INDEX('Per Invoice'!X$2:X$401,$AH87)="","",INDEX('Per Invoice'!X$2:X$401,$AH87)))</f>
        <v/>
      </c>
      <c r="Y87">
        <f>IF($AH87="","",IF(INDEX('Per Invoice'!Y$2:Y$401,$AH87)="","",INDEX('Per Invoice'!Y$2:Y$401,$AH87)))</f>
        <v/>
      </c>
      <c r="Z87" s="7">
        <f>IF($AH87="","",IF(INDEX('Per Invoice'!Z$2:Z$401,$AH87)="","",INDEX('Per Invoice'!Z$2:Z$401,$AH87)))</f>
        <v/>
      </c>
      <c r="AA87" s="7">
        <f>IF($AH87="","",IF(INDEX('Per Invoice'!AA$2:AA$401,$AH87)="","",INDEX('Per Invoice'!AA$2:AA$401,$AH87)))</f>
        <v/>
      </c>
      <c r="AB87" s="7">
        <f>IF($AH87="","",IF(INDEX('Per Invoice'!AB$2:AB$401,$AH87)="","",INDEX('Per Invoice'!AB$2:AB$401,$AH87)))</f>
        <v/>
      </c>
      <c r="AC87" s="7">
        <f>IF($AH87="","",IF(INDEX('Per Invoice'!AC$2:AC$401,$AH87)="","",INDEX('Per Invoice'!AC$2:AC$401,$AH87)))</f>
        <v/>
      </c>
      <c r="AD87" s="7">
        <f>IF($AH87="","",IF(INDEX('Per Invoice'!AD$2:AD$401,$AH87)="","",INDEX('Per Invoice'!AD$2:AD$401,$AH87)))</f>
        <v/>
      </c>
      <c r="AE87" s="7">
        <f>IF($AH87="","",IF(INDEX('Per Invoice'!AE$2:AE$401,$AH87)="","",INDEX('Per Invoice'!AE$2:AE$401,$AH87)))</f>
        <v/>
      </c>
      <c r="AF87">
        <f>IF($AH87="","",IF(INDEX('Per Invoice'!AF$2:AF$401,$AH87)="","",INDEX('Per Invoice'!AF$2:AF$401,$AH87)))</f>
        <v/>
      </c>
      <c r="AG87" s="7">
        <f>IF($AH87="","",IF(INDEX('Per Invoice'!AG$2:AG$401,$AH87)="","",INDEX('Per Invoice'!AG$2:AG$401,$AH87)))</f>
        <v/>
      </c>
      <c r="AH87" s="16">
        <f>IFERROR(MATCH(Settings!$C$26&amp;"|"&amp;ROWS($AH$2:$AH87),'Per Invoice'!$AI$2:$AI$401,0),"")</f>
        <v/>
      </c>
    </row>
    <row r="88">
      <c r="A88">
        <f>IF($AH88="","",IF(INDEX('Per Invoice'!A$2:A$401,$AH88)="","",INDEX('Per Invoice'!A$2:A$401,$AH88)))</f>
        <v/>
      </c>
      <c r="B88">
        <f>IF($AH88="","",IF(INDEX('Per Invoice'!B$2:B$401,$AH88)="","",INDEX('Per Invoice'!B$2:B$401,$AH88)))</f>
        <v/>
      </c>
      <c r="C88">
        <f>IF($AH88="","",IF(INDEX('Per Invoice'!C$2:C$401,$AH88)="","",INDEX('Per Invoice'!C$2:C$401,$AH88)))</f>
        <v/>
      </c>
      <c r="D88">
        <f>IF($AH88="","",IF(INDEX('Per Invoice'!D$2:D$401,$AH88)="","",INDEX('Per Invoice'!D$2:D$401,$AH88)))</f>
        <v/>
      </c>
      <c r="E88">
        <f>IF($AH88="","",IF(INDEX('Per Invoice'!E$2:E$401,$AH88)="","",INDEX('Per Invoice'!E$2:E$401,$AH88)))</f>
        <v/>
      </c>
      <c r="F88">
        <f>IF($AH88="","",IF(INDEX('Per Invoice'!F$2:F$401,$AH88)="","",INDEX('Per Invoice'!F$2:F$401,$AH88)))</f>
        <v/>
      </c>
      <c r="G88">
        <f>IF($AH88="","",IF(INDEX('Per Invoice'!G$2:G$401,$AH88)="","",INDEX('Per Invoice'!G$2:G$401,$AH88)))</f>
        <v/>
      </c>
      <c r="H88">
        <f>IF($AH88="","",IF(INDEX('Per Invoice'!H$2:H$401,$AH88)="","",INDEX('Per Invoice'!H$2:H$401,$AH88)))</f>
        <v/>
      </c>
      <c r="I88" s="14">
        <f>IF($AH88="","",IF(INDEX('Per Invoice'!I$2:I$401,$AH88)="","",INDEX('Per Invoice'!I$2:I$401,$AH88)))</f>
        <v/>
      </c>
      <c r="J88">
        <f>IF($AH88="","",IF(INDEX('Per Invoice'!J$2:J$401,$AH88)="","",INDEX('Per Invoice'!J$2:J$401,$AH88)))</f>
        <v/>
      </c>
      <c r="K88">
        <f>IF($AH88="","",IF(INDEX('Per Invoice'!K$2:K$401,$AH88)="","",INDEX('Per Invoice'!K$2:K$401,$AH88)))</f>
        <v/>
      </c>
      <c r="L88">
        <f>IF($AH88="","",IF(INDEX('Per Invoice'!L$2:L$401,$AH88)="","",INDEX('Per Invoice'!L$2:L$401,$AH88)))</f>
        <v/>
      </c>
      <c r="M88">
        <f>IF($AH88="","",IF(INDEX('Per Invoice'!M$2:M$401,$AH88)="","",INDEX('Per Invoice'!M$2:M$401,$AH88)))</f>
        <v/>
      </c>
      <c r="N88">
        <f>IF($AH88="","",IF(INDEX('Per Invoice'!N$2:N$401,$AH88)="","",INDEX('Per Invoice'!N$2:N$401,$AH88)))</f>
        <v/>
      </c>
      <c r="O88">
        <f>IF($AH88="","",IF(INDEX('Per Invoice'!O$2:O$401,$AH88)="","",INDEX('Per Invoice'!O$2:O$401,$AH88)))</f>
        <v/>
      </c>
      <c r="P88" s="7">
        <f>IF($AH88="","",IF(INDEX('Per Invoice'!P$2:P$401,$AH88)="","",INDEX('Per Invoice'!P$2:P$401,$AH88)))</f>
        <v/>
      </c>
      <c r="Q88">
        <f>IF($AH88="","",IF(INDEX('Per Invoice'!Q$2:Q$401,$AH88)="","",INDEX('Per Invoice'!Q$2:Q$401,$AH88)))</f>
        <v/>
      </c>
      <c r="R88">
        <f>IF($AH88="","",IF(INDEX('Per Invoice'!R$2:R$401,$AH88)="","",INDEX('Per Invoice'!R$2:R$401,$AH88)))</f>
        <v/>
      </c>
      <c r="S88">
        <f>IF($AH88="","",IF(INDEX('Per Invoice'!S$2:S$401,$AH88)="","",INDEX('Per Invoice'!S$2:S$401,$AH88)))</f>
        <v/>
      </c>
      <c r="T88" s="7">
        <f>IF($AH88="","",IF(INDEX('Per Invoice'!T$2:T$401,$AH88)="","",INDEX('Per Invoice'!T$2:T$401,$AH88)))</f>
        <v/>
      </c>
      <c r="U88" s="7">
        <f>IF($AH88="","",IF(INDEX('Per Invoice'!U$2:U$401,$AH88)="","",INDEX('Per Invoice'!U$2:U$401,$AH88)))</f>
        <v/>
      </c>
      <c r="V88">
        <f>IF($AH88="","",IF(INDEX('Per Invoice'!V$2:V$401,$AH88)="","",INDEX('Per Invoice'!V$2:V$401,$AH88)))</f>
        <v/>
      </c>
      <c r="W88" s="7">
        <f>IF($AH88="","",IF(INDEX('Per Invoice'!W$2:W$401,$AH88)="","",INDEX('Per Invoice'!W$2:W$401,$AH88)))</f>
        <v/>
      </c>
      <c r="X88" s="7">
        <f>IF($AH88="","",IF(INDEX('Per Invoice'!X$2:X$401,$AH88)="","",INDEX('Per Invoice'!X$2:X$401,$AH88)))</f>
        <v/>
      </c>
      <c r="Y88">
        <f>IF($AH88="","",IF(INDEX('Per Invoice'!Y$2:Y$401,$AH88)="","",INDEX('Per Invoice'!Y$2:Y$401,$AH88)))</f>
        <v/>
      </c>
      <c r="Z88" s="7">
        <f>IF($AH88="","",IF(INDEX('Per Invoice'!Z$2:Z$401,$AH88)="","",INDEX('Per Invoice'!Z$2:Z$401,$AH88)))</f>
        <v/>
      </c>
      <c r="AA88" s="7">
        <f>IF($AH88="","",IF(INDEX('Per Invoice'!AA$2:AA$401,$AH88)="","",INDEX('Per Invoice'!AA$2:AA$401,$AH88)))</f>
        <v/>
      </c>
      <c r="AB88" s="7">
        <f>IF($AH88="","",IF(INDEX('Per Invoice'!AB$2:AB$401,$AH88)="","",INDEX('Per Invoice'!AB$2:AB$401,$AH88)))</f>
        <v/>
      </c>
      <c r="AC88" s="7">
        <f>IF($AH88="","",IF(INDEX('Per Invoice'!AC$2:AC$401,$AH88)="","",INDEX('Per Invoice'!AC$2:AC$401,$AH88)))</f>
        <v/>
      </c>
      <c r="AD88" s="7">
        <f>IF($AH88="","",IF(INDEX('Per Invoice'!AD$2:AD$401,$AH88)="","",INDEX('Per Invoice'!AD$2:AD$401,$AH88)))</f>
        <v/>
      </c>
      <c r="AE88" s="7">
        <f>IF($AH88="","",IF(INDEX('Per Invoice'!AE$2:AE$401,$AH88)="","",INDEX('Per Invoice'!AE$2:AE$401,$AH88)))</f>
        <v/>
      </c>
      <c r="AF88">
        <f>IF($AH88="","",IF(INDEX('Per Invoice'!AF$2:AF$401,$AH88)="","",INDEX('Per Invoice'!AF$2:AF$401,$AH88)))</f>
        <v/>
      </c>
      <c r="AG88" s="7">
        <f>IF($AH88="","",IF(INDEX('Per Invoice'!AG$2:AG$401,$AH88)="","",INDEX('Per Invoice'!AG$2:AG$401,$AH88)))</f>
        <v/>
      </c>
      <c r="AH88" s="16">
        <f>IFERROR(MATCH(Settings!$C$26&amp;"|"&amp;ROWS($AH$2:$AH88),'Per Invoice'!$AI$2:$AI$401,0),"")</f>
        <v/>
      </c>
    </row>
    <row r="89">
      <c r="A89">
        <f>IF($AH89="","",IF(INDEX('Per Invoice'!A$2:A$401,$AH89)="","",INDEX('Per Invoice'!A$2:A$401,$AH89)))</f>
        <v/>
      </c>
      <c r="B89">
        <f>IF($AH89="","",IF(INDEX('Per Invoice'!B$2:B$401,$AH89)="","",INDEX('Per Invoice'!B$2:B$401,$AH89)))</f>
        <v/>
      </c>
      <c r="C89">
        <f>IF($AH89="","",IF(INDEX('Per Invoice'!C$2:C$401,$AH89)="","",INDEX('Per Invoice'!C$2:C$401,$AH89)))</f>
        <v/>
      </c>
      <c r="D89">
        <f>IF($AH89="","",IF(INDEX('Per Invoice'!D$2:D$401,$AH89)="","",INDEX('Per Invoice'!D$2:D$401,$AH89)))</f>
        <v/>
      </c>
      <c r="E89">
        <f>IF($AH89="","",IF(INDEX('Per Invoice'!E$2:E$401,$AH89)="","",INDEX('Per Invoice'!E$2:E$401,$AH89)))</f>
        <v/>
      </c>
      <c r="F89">
        <f>IF($AH89="","",IF(INDEX('Per Invoice'!F$2:F$401,$AH89)="","",INDEX('Per Invoice'!F$2:F$401,$AH89)))</f>
        <v/>
      </c>
      <c r="G89">
        <f>IF($AH89="","",IF(INDEX('Per Invoice'!G$2:G$401,$AH89)="","",INDEX('Per Invoice'!G$2:G$401,$AH89)))</f>
        <v/>
      </c>
      <c r="H89">
        <f>IF($AH89="","",IF(INDEX('Per Invoice'!H$2:H$401,$AH89)="","",INDEX('Per Invoice'!H$2:H$401,$AH89)))</f>
        <v/>
      </c>
      <c r="I89" s="14">
        <f>IF($AH89="","",IF(INDEX('Per Invoice'!I$2:I$401,$AH89)="","",INDEX('Per Invoice'!I$2:I$401,$AH89)))</f>
        <v/>
      </c>
      <c r="J89">
        <f>IF($AH89="","",IF(INDEX('Per Invoice'!J$2:J$401,$AH89)="","",INDEX('Per Invoice'!J$2:J$401,$AH89)))</f>
        <v/>
      </c>
      <c r="K89">
        <f>IF($AH89="","",IF(INDEX('Per Invoice'!K$2:K$401,$AH89)="","",INDEX('Per Invoice'!K$2:K$401,$AH89)))</f>
        <v/>
      </c>
      <c r="L89">
        <f>IF($AH89="","",IF(INDEX('Per Invoice'!L$2:L$401,$AH89)="","",INDEX('Per Invoice'!L$2:L$401,$AH89)))</f>
        <v/>
      </c>
      <c r="M89">
        <f>IF($AH89="","",IF(INDEX('Per Invoice'!M$2:M$401,$AH89)="","",INDEX('Per Invoice'!M$2:M$401,$AH89)))</f>
        <v/>
      </c>
      <c r="N89">
        <f>IF($AH89="","",IF(INDEX('Per Invoice'!N$2:N$401,$AH89)="","",INDEX('Per Invoice'!N$2:N$401,$AH89)))</f>
        <v/>
      </c>
      <c r="O89">
        <f>IF($AH89="","",IF(INDEX('Per Invoice'!O$2:O$401,$AH89)="","",INDEX('Per Invoice'!O$2:O$401,$AH89)))</f>
        <v/>
      </c>
      <c r="P89" s="7">
        <f>IF($AH89="","",IF(INDEX('Per Invoice'!P$2:P$401,$AH89)="","",INDEX('Per Invoice'!P$2:P$401,$AH89)))</f>
        <v/>
      </c>
      <c r="Q89">
        <f>IF($AH89="","",IF(INDEX('Per Invoice'!Q$2:Q$401,$AH89)="","",INDEX('Per Invoice'!Q$2:Q$401,$AH89)))</f>
        <v/>
      </c>
      <c r="R89">
        <f>IF($AH89="","",IF(INDEX('Per Invoice'!R$2:R$401,$AH89)="","",INDEX('Per Invoice'!R$2:R$401,$AH89)))</f>
        <v/>
      </c>
      <c r="S89">
        <f>IF($AH89="","",IF(INDEX('Per Invoice'!S$2:S$401,$AH89)="","",INDEX('Per Invoice'!S$2:S$401,$AH89)))</f>
        <v/>
      </c>
      <c r="T89" s="7">
        <f>IF($AH89="","",IF(INDEX('Per Invoice'!T$2:T$401,$AH89)="","",INDEX('Per Invoice'!T$2:T$401,$AH89)))</f>
        <v/>
      </c>
      <c r="U89" s="7">
        <f>IF($AH89="","",IF(INDEX('Per Invoice'!U$2:U$401,$AH89)="","",INDEX('Per Invoice'!U$2:U$401,$AH89)))</f>
        <v/>
      </c>
      <c r="V89">
        <f>IF($AH89="","",IF(INDEX('Per Invoice'!V$2:V$401,$AH89)="","",INDEX('Per Invoice'!V$2:V$401,$AH89)))</f>
        <v/>
      </c>
      <c r="W89" s="7">
        <f>IF($AH89="","",IF(INDEX('Per Invoice'!W$2:W$401,$AH89)="","",INDEX('Per Invoice'!W$2:W$401,$AH89)))</f>
        <v/>
      </c>
      <c r="X89" s="7">
        <f>IF($AH89="","",IF(INDEX('Per Invoice'!X$2:X$401,$AH89)="","",INDEX('Per Invoice'!X$2:X$401,$AH89)))</f>
        <v/>
      </c>
      <c r="Y89">
        <f>IF($AH89="","",IF(INDEX('Per Invoice'!Y$2:Y$401,$AH89)="","",INDEX('Per Invoice'!Y$2:Y$401,$AH89)))</f>
        <v/>
      </c>
      <c r="Z89" s="7">
        <f>IF($AH89="","",IF(INDEX('Per Invoice'!Z$2:Z$401,$AH89)="","",INDEX('Per Invoice'!Z$2:Z$401,$AH89)))</f>
        <v/>
      </c>
      <c r="AA89" s="7">
        <f>IF($AH89="","",IF(INDEX('Per Invoice'!AA$2:AA$401,$AH89)="","",INDEX('Per Invoice'!AA$2:AA$401,$AH89)))</f>
        <v/>
      </c>
      <c r="AB89" s="7">
        <f>IF($AH89="","",IF(INDEX('Per Invoice'!AB$2:AB$401,$AH89)="","",INDEX('Per Invoice'!AB$2:AB$401,$AH89)))</f>
        <v/>
      </c>
      <c r="AC89" s="7">
        <f>IF($AH89="","",IF(INDEX('Per Invoice'!AC$2:AC$401,$AH89)="","",INDEX('Per Invoice'!AC$2:AC$401,$AH89)))</f>
        <v/>
      </c>
      <c r="AD89" s="7">
        <f>IF($AH89="","",IF(INDEX('Per Invoice'!AD$2:AD$401,$AH89)="","",INDEX('Per Invoice'!AD$2:AD$401,$AH89)))</f>
        <v/>
      </c>
      <c r="AE89" s="7">
        <f>IF($AH89="","",IF(INDEX('Per Invoice'!AE$2:AE$401,$AH89)="","",INDEX('Per Invoice'!AE$2:AE$401,$AH89)))</f>
        <v/>
      </c>
      <c r="AF89">
        <f>IF($AH89="","",IF(INDEX('Per Invoice'!AF$2:AF$401,$AH89)="","",INDEX('Per Invoice'!AF$2:AF$401,$AH89)))</f>
        <v/>
      </c>
      <c r="AG89" s="7">
        <f>IF($AH89="","",IF(INDEX('Per Invoice'!AG$2:AG$401,$AH89)="","",INDEX('Per Invoice'!AG$2:AG$401,$AH89)))</f>
        <v/>
      </c>
      <c r="AH89" s="16">
        <f>IFERROR(MATCH(Settings!$C$26&amp;"|"&amp;ROWS($AH$2:$AH89),'Per Invoice'!$AI$2:$AI$401,0),"")</f>
        <v/>
      </c>
    </row>
    <row r="90">
      <c r="A90">
        <f>IF($AH90="","",IF(INDEX('Per Invoice'!A$2:A$401,$AH90)="","",INDEX('Per Invoice'!A$2:A$401,$AH90)))</f>
        <v/>
      </c>
      <c r="B90">
        <f>IF($AH90="","",IF(INDEX('Per Invoice'!B$2:B$401,$AH90)="","",INDEX('Per Invoice'!B$2:B$401,$AH90)))</f>
        <v/>
      </c>
      <c r="C90">
        <f>IF($AH90="","",IF(INDEX('Per Invoice'!C$2:C$401,$AH90)="","",INDEX('Per Invoice'!C$2:C$401,$AH90)))</f>
        <v/>
      </c>
      <c r="D90">
        <f>IF($AH90="","",IF(INDEX('Per Invoice'!D$2:D$401,$AH90)="","",INDEX('Per Invoice'!D$2:D$401,$AH90)))</f>
        <v/>
      </c>
      <c r="E90">
        <f>IF($AH90="","",IF(INDEX('Per Invoice'!E$2:E$401,$AH90)="","",INDEX('Per Invoice'!E$2:E$401,$AH90)))</f>
        <v/>
      </c>
      <c r="F90">
        <f>IF($AH90="","",IF(INDEX('Per Invoice'!F$2:F$401,$AH90)="","",INDEX('Per Invoice'!F$2:F$401,$AH90)))</f>
        <v/>
      </c>
      <c r="G90">
        <f>IF($AH90="","",IF(INDEX('Per Invoice'!G$2:G$401,$AH90)="","",INDEX('Per Invoice'!G$2:G$401,$AH90)))</f>
        <v/>
      </c>
      <c r="H90">
        <f>IF($AH90="","",IF(INDEX('Per Invoice'!H$2:H$401,$AH90)="","",INDEX('Per Invoice'!H$2:H$401,$AH90)))</f>
        <v/>
      </c>
      <c r="I90" s="14">
        <f>IF($AH90="","",IF(INDEX('Per Invoice'!I$2:I$401,$AH90)="","",INDEX('Per Invoice'!I$2:I$401,$AH90)))</f>
        <v/>
      </c>
      <c r="J90">
        <f>IF($AH90="","",IF(INDEX('Per Invoice'!J$2:J$401,$AH90)="","",INDEX('Per Invoice'!J$2:J$401,$AH90)))</f>
        <v/>
      </c>
      <c r="K90">
        <f>IF($AH90="","",IF(INDEX('Per Invoice'!K$2:K$401,$AH90)="","",INDEX('Per Invoice'!K$2:K$401,$AH90)))</f>
        <v/>
      </c>
      <c r="L90">
        <f>IF($AH90="","",IF(INDEX('Per Invoice'!L$2:L$401,$AH90)="","",INDEX('Per Invoice'!L$2:L$401,$AH90)))</f>
        <v/>
      </c>
      <c r="M90">
        <f>IF($AH90="","",IF(INDEX('Per Invoice'!M$2:M$401,$AH90)="","",INDEX('Per Invoice'!M$2:M$401,$AH90)))</f>
        <v/>
      </c>
      <c r="N90">
        <f>IF($AH90="","",IF(INDEX('Per Invoice'!N$2:N$401,$AH90)="","",INDEX('Per Invoice'!N$2:N$401,$AH90)))</f>
        <v/>
      </c>
      <c r="O90">
        <f>IF($AH90="","",IF(INDEX('Per Invoice'!O$2:O$401,$AH90)="","",INDEX('Per Invoice'!O$2:O$401,$AH90)))</f>
        <v/>
      </c>
      <c r="P90" s="7">
        <f>IF($AH90="","",IF(INDEX('Per Invoice'!P$2:P$401,$AH90)="","",INDEX('Per Invoice'!P$2:P$401,$AH90)))</f>
        <v/>
      </c>
      <c r="Q90">
        <f>IF($AH90="","",IF(INDEX('Per Invoice'!Q$2:Q$401,$AH90)="","",INDEX('Per Invoice'!Q$2:Q$401,$AH90)))</f>
        <v/>
      </c>
      <c r="R90">
        <f>IF($AH90="","",IF(INDEX('Per Invoice'!R$2:R$401,$AH90)="","",INDEX('Per Invoice'!R$2:R$401,$AH90)))</f>
        <v/>
      </c>
      <c r="S90">
        <f>IF($AH90="","",IF(INDEX('Per Invoice'!S$2:S$401,$AH90)="","",INDEX('Per Invoice'!S$2:S$401,$AH90)))</f>
        <v/>
      </c>
      <c r="T90" s="7">
        <f>IF($AH90="","",IF(INDEX('Per Invoice'!T$2:T$401,$AH90)="","",INDEX('Per Invoice'!T$2:T$401,$AH90)))</f>
        <v/>
      </c>
      <c r="U90" s="7">
        <f>IF($AH90="","",IF(INDEX('Per Invoice'!U$2:U$401,$AH90)="","",INDEX('Per Invoice'!U$2:U$401,$AH90)))</f>
        <v/>
      </c>
      <c r="V90">
        <f>IF($AH90="","",IF(INDEX('Per Invoice'!V$2:V$401,$AH90)="","",INDEX('Per Invoice'!V$2:V$401,$AH90)))</f>
        <v/>
      </c>
      <c r="W90" s="7">
        <f>IF($AH90="","",IF(INDEX('Per Invoice'!W$2:W$401,$AH90)="","",INDEX('Per Invoice'!W$2:W$401,$AH90)))</f>
        <v/>
      </c>
      <c r="X90" s="7">
        <f>IF($AH90="","",IF(INDEX('Per Invoice'!X$2:X$401,$AH90)="","",INDEX('Per Invoice'!X$2:X$401,$AH90)))</f>
        <v/>
      </c>
      <c r="Y90">
        <f>IF($AH90="","",IF(INDEX('Per Invoice'!Y$2:Y$401,$AH90)="","",INDEX('Per Invoice'!Y$2:Y$401,$AH90)))</f>
        <v/>
      </c>
      <c r="Z90" s="7">
        <f>IF($AH90="","",IF(INDEX('Per Invoice'!Z$2:Z$401,$AH90)="","",INDEX('Per Invoice'!Z$2:Z$401,$AH90)))</f>
        <v/>
      </c>
      <c r="AA90" s="7">
        <f>IF($AH90="","",IF(INDEX('Per Invoice'!AA$2:AA$401,$AH90)="","",INDEX('Per Invoice'!AA$2:AA$401,$AH90)))</f>
        <v/>
      </c>
      <c r="AB90" s="7">
        <f>IF($AH90="","",IF(INDEX('Per Invoice'!AB$2:AB$401,$AH90)="","",INDEX('Per Invoice'!AB$2:AB$401,$AH90)))</f>
        <v/>
      </c>
      <c r="AC90" s="7">
        <f>IF($AH90="","",IF(INDEX('Per Invoice'!AC$2:AC$401,$AH90)="","",INDEX('Per Invoice'!AC$2:AC$401,$AH90)))</f>
        <v/>
      </c>
      <c r="AD90" s="7">
        <f>IF($AH90="","",IF(INDEX('Per Invoice'!AD$2:AD$401,$AH90)="","",INDEX('Per Invoice'!AD$2:AD$401,$AH90)))</f>
        <v/>
      </c>
      <c r="AE90" s="7">
        <f>IF($AH90="","",IF(INDEX('Per Invoice'!AE$2:AE$401,$AH90)="","",INDEX('Per Invoice'!AE$2:AE$401,$AH90)))</f>
        <v/>
      </c>
      <c r="AF90">
        <f>IF($AH90="","",IF(INDEX('Per Invoice'!AF$2:AF$401,$AH90)="","",INDEX('Per Invoice'!AF$2:AF$401,$AH90)))</f>
        <v/>
      </c>
      <c r="AG90" s="7">
        <f>IF($AH90="","",IF(INDEX('Per Invoice'!AG$2:AG$401,$AH90)="","",INDEX('Per Invoice'!AG$2:AG$401,$AH90)))</f>
        <v/>
      </c>
      <c r="AH90" s="16">
        <f>IFERROR(MATCH(Settings!$C$26&amp;"|"&amp;ROWS($AH$2:$AH90),'Per Invoice'!$AI$2:$AI$401,0),"")</f>
        <v/>
      </c>
    </row>
    <row r="91">
      <c r="A91">
        <f>IF($AH91="","",IF(INDEX('Per Invoice'!A$2:A$401,$AH91)="","",INDEX('Per Invoice'!A$2:A$401,$AH91)))</f>
        <v/>
      </c>
      <c r="B91">
        <f>IF($AH91="","",IF(INDEX('Per Invoice'!B$2:B$401,$AH91)="","",INDEX('Per Invoice'!B$2:B$401,$AH91)))</f>
        <v/>
      </c>
      <c r="C91">
        <f>IF($AH91="","",IF(INDEX('Per Invoice'!C$2:C$401,$AH91)="","",INDEX('Per Invoice'!C$2:C$401,$AH91)))</f>
        <v/>
      </c>
      <c r="D91">
        <f>IF($AH91="","",IF(INDEX('Per Invoice'!D$2:D$401,$AH91)="","",INDEX('Per Invoice'!D$2:D$401,$AH91)))</f>
        <v/>
      </c>
      <c r="E91">
        <f>IF($AH91="","",IF(INDEX('Per Invoice'!E$2:E$401,$AH91)="","",INDEX('Per Invoice'!E$2:E$401,$AH91)))</f>
        <v/>
      </c>
      <c r="F91">
        <f>IF($AH91="","",IF(INDEX('Per Invoice'!F$2:F$401,$AH91)="","",INDEX('Per Invoice'!F$2:F$401,$AH91)))</f>
        <v/>
      </c>
      <c r="G91">
        <f>IF($AH91="","",IF(INDEX('Per Invoice'!G$2:G$401,$AH91)="","",INDEX('Per Invoice'!G$2:G$401,$AH91)))</f>
        <v/>
      </c>
      <c r="H91">
        <f>IF($AH91="","",IF(INDEX('Per Invoice'!H$2:H$401,$AH91)="","",INDEX('Per Invoice'!H$2:H$401,$AH91)))</f>
        <v/>
      </c>
      <c r="I91" s="14">
        <f>IF($AH91="","",IF(INDEX('Per Invoice'!I$2:I$401,$AH91)="","",INDEX('Per Invoice'!I$2:I$401,$AH91)))</f>
        <v/>
      </c>
      <c r="J91">
        <f>IF($AH91="","",IF(INDEX('Per Invoice'!J$2:J$401,$AH91)="","",INDEX('Per Invoice'!J$2:J$401,$AH91)))</f>
        <v/>
      </c>
      <c r="K91">
        <f>IF($AH91="","",IF(INDEX('Per Invoice'!K$2:K$401,$AH91)="","",INDEX('Per Invoice'!K$2:K$401,$AH91)))</f>
        <v/>
      </c>
      <c r="L91">
        <f>IF($AH91="","",IF(INDEX('Per Invoice'!L$2:L$401,$AH91)="","",INDEX('Per Invoice'!L$2:L$401,$AH91)))</f>
        <v/>
      </c>
      <c r="M91">
        <f>IF($AH91="","",IF(INDEX('Per Invoice'!M$2:M$401,$AH91)="","",INDEX('Per Invoice'!M$2:M$401,$AH91)))</f>
        <v/>
      </c>
      <c r="N91">
        <f>IF($AH91="","",IF(INDEX('Per Invoice'!N$2:N$401,$AH91)="","",INDEX('Per Invoice'!N$2:N$401,$AH91)))</f>
        <v/>
      </c>
      <c r="O91">
        <f>IF($AH91="","",IF(INDEX('Per Invoice'!O$2:O$401,$AH91)="","",INDEX('Per Invoice'!O$2:O$401,$AH91)))</f>
        <v/>
      </c>
      <c r="P91" s="7">
        <f>IF($AH91="","",IF(INDEX('Per Invoice'!P$2:P$401,$AH91)="","",INDEX('Per Invoice'!P$2:P$401,$AH91)))</f>
        <v/>
      </c>
      <c r="Q91">
        <f>IF($AH91="","",IF(INDEX('Per Invoice'!Q$2:Q$401,$AH91)="","",INDEX('Per Invoice'!Q$2:Q$401,$AH91)))</f>
        <v/>
      </c>
      <c r="R91">
        <f>IF($AH91="","",IF(INDEX('Per Invoice'!R$2:R$401,$AH91)="","",INDEX('Per Invoice'!R$2:R$401,$AH91)))</f>
        <v/>
      </c>
      <c r="S91">
        <f>IF($AH91="","",IF(INDEX('Per Invoice'!S$2:S$401,$AH91)="","",INDEX('Per Invoice'!S$2:S$401,$AH91)))</f>
        <v/>
      </c>
      <c r="T91" s="7">
        <f>IF($AH91="","",IF(INDEX('Per Invoice'!T$2:T$401,$AH91)="","",INDEX('Per Invoice'!T$2:T$401,$AH91)))</f>
        <v/>
      </c>
      <c r="U91" s="7">
        <f>IF($AH91="","",IF(INDEX('Per Invoice'!U$2:U$401,$AH91)="","",INDEX('Per Invoice'!U$2:U$401,$AH91)))</f>
        <v/>
      </c>
      <c r="V91">
        <f>IF($AH91="","",IF(INDEX('Per Invoice'!V$2:V$401,$AH91)="","",INDEX('Per Invoice'!V$2:V$401,$AH91)))</f>
        <v/>
      </c>
      <c r="W91" s="7">
        <f>IF($AH91="","",IF(INDEX('Per Invoice'!W$2:W$401,$AH91)="","",INDEX('Per Invoice'!W$2:W$401,$AH91)))</f>
        <v/>
      </c>
      <c r="X91" s="7">
        <f>IF($AH91="","",IF(INDEX('Per Invoice'!X$2:X$401,$AH91)="","",INDEX('Per Invoice'!X$2:X$401,$AH91)))</f>
        <v/>
      </c>
      <c r="Y91">
        <f>IF($AH91="","",IF(INDEX('Per Invoice'!Y$2:Y$401,$AH91)="","",INDEX('Per Invoice'!Y$2:Y$401,$AH91)))</f>
        <v/>
      </c>
      <c r="Z91" s="7">
        <f>IF($AH91="","",IF(INDEX('Per Invoice'!Z$2:Z$401,$AH91)="","",INDEX('Per Invoice'!Z$2:Z$401,$AH91)))</f>
        <v/>
      </c>
      <c r="AA91" s="7">
        <f>IF($AH91="","",IF(INDEX('Per Invoice'!AA$2:AA$401,$AH91)="","",INDEX('Per Invoice'!AA$2:AA$401,$AH91)))</f>
        <v/>
      </c>
      <c r="AB91" s="7">
        <f>IF($AH91="","",IF(INDEX('Per Invoice'!AB$2:AB$401,$AH91)="","",INDEX('Per Invoice'!AB$2:AB$401,$AH91)))</f>
        <v/>
      </c>
      <c r="AC91" s="7">
        <f>IF($AH91="","",IF(INDEX('Per Invoice'!AC$2:AC$401,$AH91)="","",INDEX('Per Invoice'!AC$2:AC$401,$AH91)))</f>
        <v/>
      </c>
      <c r="AD91" s="7">
        <f>IF($AH91="","",IF(INDEX('Per Invoice'!AD$2:AD$401,$AH91)="","",INDEX('Per Invoice'!AD$2:AD$401,$AH91)))</f>
        <v/>
      </c>
      <c r="AE91" s="7">
        <f>IF($AH91="","",IF(INDEX('Per Invoice'!AE$2:AE$401,$AH91)="","",INDEX('Per Invoice'!AE$2:AE$401,$AH91)))</f>
        <v/>
      </c>
      <c r="AF91">
        <f>IF($AH91="","",IF(INDEX('Per Invoice'!AF$2:AF$401,$AH91)="","",INDEX('Per Invoice'!AF$2:AF$401,$AH91)))</f>
        <v/>
      </c>
      <c r="AG91" s="7">
        <f>IF($AH91="","",IF(INDEX('Per Invoice'!AG$2:AG$401,$AH91)="","",INDEX('Per Invoice'!AG$2:AG$401,$AH91)))</f>
        <v/>
      </c>
      <c r="AH91" s="16">
        <f>IFERROR(MATCH(Settings!$C$26&amp;"|"&amp;ROWS($AH$2:$AH91),'Per Invoice'!$AI$2:$AI$401,0),"")</f>
        <v/>
      </c>
    </row>
    <row r="92">
      <c r="A92">
        <f>IF($AH92="","",IF(INDEX('Per Invoice'!A$2:A$401,$AH92)="","",INDEX('Per Invoice'!A$2:A$401,$AH92)))</f>
        <v/>
      </c>
      <c r="B92">
        <f>IF($AH92="","",IF(INDEX('Per Invoice'!B$2:B$401,$AH92)="","",INDEX('Per Invoice'!B$2:B$401,$AH92)))</f>
        <v/>
      </c>
      <c r="C92">
        <f>IF($AH92="","",IF(INDEX('Per Invoice'!C$2:C$401,$AH92)="","",INDEX('Per Invoice'!C$2:C$401,$AH92)))</f>
        <v/>
      </c>
      <c r="D92">
        <f>IF($AH92="","",IF(INDEX('Per Invoice'!D$2:D$401,$AH92)="","",INDEX('Per Invoice'!D$2:D$401,$AH92)))</f>
        <v/>
      </c>
      <c r="E92">
        <f>IF($AH92="","",IF(INDEX('Per Invoice'!E$2:E$401,$AH92)="","",INDEX('Per Invoice'!E$2:E$401,$AH92)))</f>
        <v/>
      </c>
      <c r="F92">
        <f>IF($AH92="","",IF(INDEX('Per Invoice'!F$2:F$401,$AH92)="","",INDEX('Per Invoice'!F$2:F$401,$AH92)))</f>
        <v/>
      </c>
      <c r="G92">
        <f>IF($AH92="","",IF(INDEX('Per Invoice'!G$2:G$401,$AH92)="","",INDEX('Per Invoice'!G$2:G$401,$AH92)))</f>
        <v/>
      </c>
      <c r="H92">
        <f>IF($AH92="","",IF(INDEX('Per Invoice'!H$2:H$401,$AH92)="","",INDEX('Per Invoice'!H$2:H$401,$AH92)))</f>
        <v/>
      </c>
      <c r="I92" s="14">
        <f>IF($AH92="","",IF(INDEX('Per Invoice'!I$2:I$401,$AH92)="","",INDEX('Per Invoice'!I$2:I$401,$AH92)))</f>
        <v/>
      </c>
      <c r="J92">
        <f>IF($AH92="","",IF(INDEX('Per Invoice'!J$2:J$401,$AH92)="","",INDEX('Per Invoice'!J$2:J$401,$AH92)))</f>
        <v/>
      </c>
      <c r="K92">
        <f>IF($AH92="","",IF(INDEX('Per Invoice'!K$2:K$401,$AH92)="","",INDEX('Per Invoice'!K$2:K$401,$AH92)))</f>
        <v/>
      </c>
      <c r="L92">
        <f>IF($AH92="","",IF(INDEX('Per Invoice'!L$2:L$401,$AH92)="","",INDEX('Per Invoice'!L$2:L$401,$AH92)))</f>
        <v/>
      </c>
      <c r="M92">
        <f>IF($AH92="","",IF(INDEX('Per Invoice'!M$2:M$401,$AH92)="","",INDEX('Per Invoice'!M$2:M$401,$AH92)))</f>
        <v/>
      </c>
      <c r="N92">
        <f>IF($AH92="","",IF(INDEX('Per Invoice'!N$2:N$401,$AH92)="","",INDEX('Per Invoice'!N$2:N$401,$AH92)))</f>
        <v/>
      </c>
      <c r="O92">
        <f>IF($AH92="","",IF(INDEX('Per Invoice'!O$2:O$401,$AH92)="","",INDEX('Per Invoice'!O$2:O$401,$AH92)))</f>
        <v/>
      </c>
      <c r="P92" s="7">
        <f>IF($AH92="","",IF(INDEX('Per Invoice'!P$2:P$401,$AH92)="","",INDEX('Per Invoice'!P$2:P$401,$AH92)))</f>
        <v/>
      </c>
      <c r="Q92">
        <f>IF($AH92="","",IF(INDEX('Per Invoice'!Q$2:Q$401,$AH92)="","",INDEX('Per Invoice'!Q$2:Q$401,$AH92)))</f>
        <v/>
      </c>
      <c r="R92">
        <f>IF($AH92="","",IF(INDEX('Per Invoice'!R$2:R$401,$AH92)="","",INDEX('Per Invoice'!R$2:R$401,$AH92)))</f>
        <v/>
      </c>
      <c r="S92">
        <f>IF($AH92="","",IF(INDEX('Per Invoice'!S$2:S$401,$AH92)="","",INDEX('Per Invoice'!S$2:S$401,$AH92)))</f>
        <v/>
      </c>
      <c r="T92" s="7">
        <f>IF($AH92="","",IF(INDEX('Per Invoice'!T$2:T$401,$AH92)="","",INDEX('Per Invoice'!T$2:T$401,$AH92)))</f>
        <v/>
      </c>
      <c r="U92" s="7">
        <f>IF($AH92="","",IF(INDEX('Per Invoice'!U$2:U$401,$AH92)="","",INDEX('Per Invoice'!U$2:U$401,$AH92)))</f>
        <v/>
      </c>
      <c r="V92">
        <f>IF($AH92="","",IF(INDEX('Per Invoice'!V$2:V$401,$AH92)="","",INDEX('Per Invoice'!V$2:V$401,$AH92)))</f>
        <v/>
      </c>
      <c r="W92" s="7">
        <f>IF($AH92="","",IF(INDEX('Per Invoice'!W$2:W$401,$AH92)="","",INDEX('Per Invoice'!W$2:W$401,$AH92)))</f>
        <v/>
      </c>
      <c r="X92" s="7">
        <f>IF($AH92="","",IF(INDEX('Per Invoice'!X$2:X$401,$AH92)="","",INDEX('Per Invoice'!X$2:X$401,$AH92)))</f>
        <v/>
      </c>
      <c r="Y92">
        <f>IF($AH92="","",IF(INDEX('Per Invoice'!Y$2:Y$401,$AH92)="","",INDEX('Per Invoice'!Y$2:Y$401,$AH92)))</f>
        <v/>
      </c>
      <c r="Z92" s="7">
        <f>IF($AH92="","",IF(INDEX('Per Invoice'!Z$2:Z$401,$AH92)="","",INDEX('Per Invoice'!Z$2:Z$401,$AH92)))</f>
        <v/>
      </c>
      <c r="AA92" s="7">
        <f>IF($AH92="","",IF(INDEX('Per Invoice'!AA$2:AA$401,$AH92)="","",INDEX('Per Invoice'!AA$2:AA$401,$AH92)))</f>
        <v/>
      </c>
      <c r="AB92" s="7">
        <f>IF($AH92="","",IF(INDEX('Per Invoice'!AB$2:AB$401,$AH92)="","",INDEX('Per Invoice'!AB$2:AB$401,$AH92)))</f>
        <v/>
      </c>
      <c r="AC92" s="7">
        <f>IF($AH92="","",IF(INDEX('Per Invoice'!AC$2:AC$401,$AH92)="","",INDEX('Per Invoice'!AC$2:AC$401,$AH92)))</f>
        <v/>
      </c>
      <c r="AD92" s="7">
        <f>IF($AH92="","",IF(INDEX('Per Invoice'!AD$2:AD$401,$AH92)="","",INDEX('Per Invoice'!AD$2:AD$401,$AH92)))</f>
        <v/>
      </c>
      <c r="AE92" s="7">
        <f>IF($AH92="","",IF(INDEX('Per Invoice'!AE$2:AE$401,$AH92)="","",INDEX('Per Invoice'!AE$2:AE$401,$AH92)))</f>
        <v/>
      </c>
      <c r="AF92">
        <f>IF($AH92="","",IF(INDEX('Per Invoice'!AF$2:AF$401,$AH92)="","",INDEX('Per Invoice'!AF$2:AF$401,$AH92)))</f>
        <v/>
      </c>
      <c r="AG92" s="7">
        <f>IF($AH92="","",IF(INDEX('Per Invoice'!AG$2:AG$401,$AH92)="","",INDEX('Per Invoice'!AG$2:AG$401,$AH92)))</f>
        <v/>
      </c>
      <c r="AH92" s="16">
        <f>IFERROR(MATCH(Settings!$C$26&amp;"|"&amp;ROWS($AH$2:$AH92),'Per Invoice'!$AI$2:$AI$401,0),"")</f>
        <v/>
      </c>
    </row>
    <row r="93">
      <c r="A93">
        <f>IF($AH93="","",IF(INDEX('Per Invoice'!A$2:A$401,$AH93)="","",INDEX('Per Invoice'!A$2:A$401,$AH93)))</f>
        <v/>
      </c>
      <c r="B93">
        <f>IF($AH93="","",IF(INDEX('Per Invoice'!B$2:B$401,$AH93)="","",INDEX('Per Invoice'!B$2:B$401,$AH93)))</f>
        <v/>
      </c>
      <c r="C93">
        <f>IF($AH93="","",IF(INDEX('Per Invoice'!C$2:C$401,$AH93)="","",INDEX('Per Invoice'!C$2:C$401,$AH93)))</f>
        <v/>
      </c>
      <c r="D93">
        <f>IF($AH93="","",IF(INDEX('Per Invoice'!D$2:D$401,$AH93)="","",INDEX('Per Invoice'!D$2:D$401,$AH93)))</f>
        <v/>
      </c>
      <c r="E93">
        <f>IF($AH93="","",IF(INDEX('Per Invoice'!E$2:E$401,$AH93)="","",INDEX('Per Invoice'!E$2:E$401,$AH93)))</f>
        <v/>
      </c>
      <c r="F93">
        <f>IF($AH93="","",IF(INDEX('Per Invoice'!F$2:F$401,$AH93)="","",INDEX('Per Invoice'!F$2:F$401,$AH93)))</f>
        <v/>
      </c>
      <c r="G93">
        <f>IF($AH93="","",IF(INDEX('Per Invoice'!G$2:G$401,$AH93)="","",INDEX('Per Invoice'!G$2:G$401,$AH93)))</f>
        <v/>
      </c>
      <c r="H93">
        <f>IF($AH93="","",IF(INDEX('Per Invoice'!H$2:H$401,$AH93)="","",INDEX('Per Invoice'!H$2:H$401,$AH93)))</f>
        <v/>
      </c>
      <c r="I93" s="14">
        <f>IF($AH93="","",IF(INDEX('Per Invoice'!I$2:I$401,$AH93)="","",INDEX('Per Invoice'!I$2:I$401,$AH93)))</f>
        <v/>
      </c>
      <c r="J93">
        <f>IF($AH93="","",IF(INDEX('Per Invoice'!J$2:J$401,$AH93)="","",INDEX('Per Invoice'!J$2:J$401,$AH93)))</f>
        <v/>
      </c>
      <c r="K93">
        <f>IF($AH93="","",IF(INDEX('Per Invoice'!K$2:K$401,$AH93)="","",INDEX('Per Invoice'!K$2:K$401,$AH93)))</f>
        <v/>
      </c>
      <c r="L93">
        <f>IF($AH93="","",IF(INDEX('Per Invoice'!L$2:L$401,$AH93)="","",INDEX('Per Invoice'!L$2:L$401,$AH93)))</f>
        <v/>
      </c>
      <c r="M93">
        <f>IF($AH93="","",IF(INDEX('Per Invoice'!M$2:M$401,$AH93)="","",INDEX('Per Invoice'!M$2:M$401,$AH93)))</f>
        <v/>
      </c>
      <c r="N93">
        <f>IF($AH93="","",IF(INDEX('Per Invoice'!N$2:N$401,$AH93)="","",INDEX('Per Invoice'!N$2:N$401,$AH93)))</f>
        <v/>
      </c>
      <c r="O93">
        <f>IF($AH93="","",IF(INDEX('Per Invoice'!O$2:O$401,$AH93)="","",INDEX('Per Invoice'!O$2:O$401,$AH93)))</f>
        <v/>
      </c>
      <c r="P93" s="7">
        <f>IF($AH93="","",IF(INDEX('Per Invoice'!P$2:P$401,$AH93)="","",INDEX('Per Invoice'!P$2:P$401,$AH93)))</f>
        <v/>
      </c>
      <c r="Q93">
        <f>IF($AH93="","",IF(INDEX('Per Invoice'!Q$2:Q$401,$AH93)="","",INDEX('Per Invoice'!Q$2:Q$401,$AH93)))</f>
        <v/>
      </c>
      <c r="R93">
        <f>IF($AH93="","",IF(INDEX('Per Invoice'!R$2:R$401,$AH93)="","",INDEX('Per Invoice'!R$2:R$401,$AH93)))</f>
        <v/>
      </c>
      <c r="S93">
        <f>IF($AH93="","",IF(INDEX('Per Invoice'!S$2:S$401,$AH93)="","",INDEX('Per Invoice'!S$2:S$401,$AH93)))</f>
        <v/>
      </c>
      <c r="T93" s="7">
        <f>IF($AH93="","",IF(INDEX('Per Invoice'!T$2:T$401,$AH93)="","",INDEX('Per Invoice'!T$2:T$401,$AH93)))</f>
        <v/>
      </c>
      <c r="U93" s="7">
        <f>IF($AH93="","",IF(INDEX('Per Invoice'!U$2:U$401,$AH93)="","",INDEX('Per Invoice'!U$2:U$401,$AH93)))</f>
        <v/>
      </c>
      <c r="V93">
        <f>IF($AH93="","",IF(INDEX('Per Invoice'!V$2:V$401,$AH93)="","",INDEX('Per Invoice'!V$2:V$401,$AH93)))</f>
        <v/>
      </c>
      <c r="W93" s="7">
        <f>IF($AH93="","",IF(INDEX('Per Invoice'!W$2:W$401,$AH93)="","",INDEX('Per Invoice'!W$2:W$401,$AH93)))</f>
        <v/>
      </c>
      <c r="X93" s="7">
        <f>IF($AH93="","",IF(INDEX('Per Invoice'!X$2:X$401,$AH93)="","",INDEX('Per Invoice'!X$2:X$401,$AH93)))</f>
        <v/>
      </c>
      <c r="Y93">
        <f>IF($AH93="","",IF(INDEX('Per Invoice'!Y$2:Y$401,$AH93)="","",INDEX('Per Invoice'!Y$2:Y$401,$AH93)))</f>
        <v/>
      </c>
      <c r="Z93" s="7">
        <f>IF($AH93="","",IF(INDEX('Per Invoice'!Z$2:Z$401,$AH93)="","",INDEX('Per Invoice'!Z$2:Z$401,$AH93)))</f>
        <v/>
      </c>
      <c r="AA93" s="7">
        <f>IF($AH93="","",IF(INDEX('Per Invoice'!AA$2:AA$401,$AH93)="","",INDEX('Per Invoice'!AA$2:AA$401,$AH93)))</f>
        <v/>
      </c>
      <c r="AB93" s="7">
        <f>IF($AH93="","",IF(INDEX('Per Invoice'!AB$2:AB$401,$AH93)="","",INDEX('Per Invoice'!AB$2:AB$401,$AH93)))</f>
        <v/>
      </c>
      <c r="AC93" s="7">
        <f>IF($AH93="","",IF(INDEX('Per Invoice'!AC$2:AC$401,$AH93)="","",INDEX('Per Invoice'!AC$2:AC$401,$AH93)))</f>
        <v/>
      </c>
      <c r="AD93" s="7">
        <f>IF($AH93="","",IF(INDEX('Per Invoice'!AD$2:AD$401,$AH93)="","",INDEX('Per Invoice'!AD$2:AD$401,$AH93)))</f>
        <v/>
      </c>
      <c r="AE93" s="7">
        <f>IF($AH93="","",IF(INDEX('Per Invoice'!AE$2:AE$401,$AH93)="","",INDEX('Per Invoice'!AE$2:AE$401,$AH93)))</f>
        <v/>
      </c>
      <c r="AF93">
        <f>IF($AH93="","",IF(INDEX('Per Invoice'!AF$2:AF$401,$AH93)="","",INDEX('Per Invoice'!AF$2:AF$401,$AH93)))</f>
        <v/>
      </c>
      <c r="AG93" s="7">
        <f>IF($AH93="","",IF(INDEX('Per Invoice'!AG$2:AG$401,$AH93)="","",INDEX('Per Invoice'!AG$2:AG$401,$AH93)))</f>
        <v/>
      </c>
      <c r="AH93" s="16">
        <f>IFERROR(MATCH(Settings!$C$26&amp;"|"&amp;ROWS($AH$2:$AH93),'Per Invoice'!$AI$2:$AI$401,0),"")</f>
        <v/>
      </c>
    </row>
    <row r="94">
      <c r="A94">
        <f>IF($AH94="","",IF(INDEX('Per Invoice'!A$2:A$401,$AH94)="","",INDEX('Per Invoice'!A$2:A$401,$AH94)))</f>
        <v/>
      </c>
      <c r="B94">
        <f>IF($AH94="","",IF(INDEX('Per Invoice'!B$2:B$401,$AH94)="","",INDEX('Per Invoice'!B$2:B$401,$AH94)))</f>
        <v/>
      </c>
      <c r="C94">
        <f>IF($AH94="","",IF(INDEX('Per Invoice'!C$2:C$401,$AH94)="","",INDEX('Per Invoice'!C$2:C$401,$AH94)))</f>
        <v/>
      </c>
      <c r="D94">
        <f>IF($AH94="","",IF(INDEX('Per Invoice'!D$2:D$401,$AH94)="","",INDEX('Per Invoice'!D$2:D$401,$AH94)))</f>
        <v/>
      </c>
      <c r="E94">
        <f>IF($AH94="","",IF(INDEX('Per Invoice'!E$2:E$401,$AH94)="","",INDEX('Per Invoice'!E$2:E$401,$AH94)))</f>
        <v/>
      </c>
      <c r="F94">
        <f>IF($AH94="","",IF(INDEX('Per Invoice'!F$2:F$401,$AH94)="","",INDEX('Per Invoice'!F$2:F$401,$AH94)))</f>
        <v/>
      </c>
      <c r="G94">
        <f>IF($AH94="","",IF(INDEX('Per Invoice'!G$2:G$401,$AH94)="","",INDEX('Per Invoice'!G$2:G$401,$AH94)))</f>
        <v/>
      </c>
      <c r="H94">
        <f>IF($AH94="","",IF(INDEX('Per Invoice'!H$2:H$401,$AH94)="","",INDEX('Per Invoice'!H$2:H$401,$AH94)))</f>
        <v/>
      </c>
      <c r="I94" s="14">
        <f>IF($AH94="","",IF(INDEX('Per Invoice'!I$2:I$401,$AH94)="","",INDEX('Per Invoice'!I$2:I$401,$AH94)))</f>
        <v/>
      </c>
      <c r="J94">
        <f>IF($AH94="","",IF(INDEX('Per Invoice'!J$2:J$401,$AH94)="","",INDEX('Per Invoice'!J$2:J$401,$AH94)))</f>
        <v/>
      </c>
      <c r="K94">
        <f>IF($AH94="","",IF(INDEX('Per Invoice'!K$2:K$401,$AH94)="","",INDEX('Per Invoice'!K$2:K$401,$AH94)))</f>
        <v/>
      </c>
      <c r="L94">
        <f>IF($AH94="","",IF(INDEX('Per Invoice'!L$2:L$401,$AH94)="","",INDEX('Per Invoice'!L$2:L$401,$AH94)))</f>
        <v/>
      </c>
      <c r="M94">
        <f>IF($AH94="","",IF(INDEX('Per Invoice'!M$2:M$401,$AH94)="","",INDEX('Per Invoice'!M$2:M$401,$AH94)))</f>
        <v/>
      </c>
      <c r="N94">
        <f>IF($AH94="","",IF(INDEX('Per Invoice'!N$2:N$401,$AH94)="","",INDEX('Per Invoice'!N$2:N$401,$AH94)))</f>
        <v/>
      </c>
      <c r="O94">
        <f>IF($AH94="","",IF(INDEX('Per Invoice'!O$2:O$401,$AH94)="","",INDEX('Per Invoice'!O$2:O$401,$AH94)))</f>
        <v/>
      </c>
      <c r="P94" s="7">
        <f>IF($AH94="","",IF(INDEX('Per Invoice'!P$2:P$401,$AH94)="","",INDEX('Per Invoice'!P$2:P$401,$AH94)))</f>
        <v/>
      </c>
      <c r="Q94">
        <f>IF($AH94="","",IF(INDEX('Per Invoice'!Q$2:Q$401,$AH94)="","",INDEX('Per Invoice'!Q$2:Q$401,$AH94)))</f>
        <v/>
      </c>
      <c r="R94">
        <f>IF($AH94="","",IF(INDEX('Per Invoice'!R$2:R$401,$AH94)="","",INDEX('Per Invoice'!R$2:R$401,$AH94)))</f>
        <v/>
      </c>
      <c r="S94">
        <f>IF($AH94="","",IF(INDEX('Per Invoice'!S$2:S$401,$AH94)="","",INDEX('Per Invoice'!S$2:S$401,$AH94)))</f>
        <v/>
      </c>
      <c r="T94" s="7">
        <f>IF($AH94="","",IF(INDEX('Per Invoice'!T$2:T$401,$AH94)="","",INDEX('Per Invoice'!T$2:T$401,$AH94)))</f>
        <v/>
      </c>
      <c r="U94" s="7">
        <f>IF($AH94="","",IF(INDEX('Per Invoice'!U$2:U$401,$AH94)="","",INDEX('Per Invoice'!U$2:U$401,$AH94)))</f>
        <v/>
      </c>
      <c r="V94">
        <f>IF($AH94="","",IF(INDEX('Per Invoice'!V$2:V$401,$AH94)="","",INDEX('Per Invoice'!V$2:V$401,$AH94)))</f>
        <v/>
      </c>
      <c r="W94" s="7">
        <f>IF($AH94="","",IF(INDEX('Per Invoice'!W$2:W$401,$AH94)="","",INDEX('Per Invoice'!W$2:W$401,$AH94)))</f>
        <v/>
      </c>
      <c r="X94" s="7">
        <f>IF($AH94="","",IF(INDEX('Per Invoice'!X$2:X$401,$AH94)="","",INDEX('Per Invoice'!X$2:X$401,$AH94)))</f>
        <v/>
      </c>
      <c r="Y94">
        <f>IF($AH94="","",IF(INDEX('Per Invoice'!Y$2:Y$401,$AH94)="","",INDEX('Per Invoice'!Y$2:Y$401,$AH94)))</f>
        <v/>
      </c>
      <c r="Z94" s="7">
        <f>IF($AH94="","",IF(INDEX('Per Invoice'!Z$2:Z$401,$AH94)="","",INDEX('Per Invoice'!Z$2:Z$401,$AH94)))</f>
        <v/>
      </c>
      <c r="AA94" s="7">
        <f>IF($AH94="","",IF(INDEX('Per Invoice'!AA$2:AA$401,$AH94)="","",INDEX('Per Invoice'!AA$2:AA$401,$AH94)))</f>
        <v/>
      </c>
      <c r="AB94" s="7">
        <f>IF($AH94="","",IF(INDEX('Per Invoice'!AB$2:AB$401,$AH94)="","",INDEX('Per Invoice'!AB$2:AB$401,$AH94)))</f>
        <v/>
      </c>
      <c r="AC94" s="7">
        <f>IF($AH94="","",IF(INDEX('Per Invoice'!AC$2:AC$401,$AH94)="","",INDEX('Per Invoice'!AC$2:AC$401,$AH94)))</f>
        <v/>
      </c>
      <c r="AD94" s="7">
        <f>IF($AH94="","",IF(INDEX('Per Invoice'!AD$2:AD$401,$AH94)="","",INDEX('Per Invoice'!AD$2:AD$401,$AH94)))</f>
        <v/>
      </c>
      <c r="AE94" s="7">
        <f>IF($AH94="","",IF(INDEX('Per Invoice'!AE$2:AE$401,$AH94)="","",INDEX('Per Invoice'!AE$2:AE$401,$AH94)))</f>
        <v/>
      </c>
      <c r="AF94">
        <f>IF($AH94="","",IF(INDEX('Per Invoice'!AF$2:AF$401,$AH94)="","",INDEX('Per Invoice'!AF$2:AF$401,$AH94)))</f>
        <v/>
      </c>
      <c r="AG94" s="7">
        <f>IF($AH94="","",IF(INDEX('Per Invoice'!AG$2:AG$401,$AH94)="","",INDEX('Per Invoice'!AG$2:AG$401,$AH94)))</f>
        <v/>
      </c>
      <c r="AH94" s="16">
        <f>IFERROR(MATCH(Settings!$C$26&amp;"|"&amp;ROWS($AH$2:$AH94),'Per Invoice'!$AI$2:$AI$401,0),"")</f>
        <v/>
      </c>
    </row>
    <row r="95">
      <c r="A95">
        <f>IF($AH95="","",IF(INDEX('Per Invoice'!A$2:A$401,$AH95)="","",INDEX('Per Invoice'!A$2:A$401,$AH95)))</f>
        <v/>
      </c>
      <c r="B95">
        <f>IF($AH95="","",IF(INDEX('Per Invoice'!B$2:B$401,$AH95)="","",INDEX('Per Invoice'!B$2:B$401,$AH95)))</f>
        <v/>
      </c>
      <c r="C95">
        <f>IF($AH95="","",IF(INDEX('Per Invoice'!C$2:C$401,$AH95)="","",INDEX('Per Invoice'!C$2:C$401,$AH95)))</f>
        <v/>
      </c>
      <c r="D95">
        <f>IF($AH95="","",IF(INDEX('Per Invoice'!D$2:D$401,$AH95)="","",INDEX('Per Invoice'!D$2:D$401,$AH95)))</f>
        <v/>
      </c>
      <c r="E95">
        <f>IF($AH95="","",IF(INDEX('Per Invoice'!E$2:E$401,$AH95)="","",INDEX('Per Invoice'!E$2:E$401,$AH95)))</f>
        <v/>
      </c>
      <c r="F95">
        <f>IF($AH95="","",IF(INDEX('Per Invoice'!F$2:F$401,$AH95)="","",INDEX('Per Invoice'!F$2:F$401,$AH95)))</f>
        <v/>
      </c>
      <c r="G95">
        <f>IF($AH95="","",IF(INDEX('Per Invoice'!G$2:G$401,$AH95)="","",INDEX('Per Invoice'!G$2:G$401,$AH95)))</f>
        <v/>
      </c>
      <c r="H95">
        <f>IF($AH95="","",IF(INDEX('Per Invoice'!H$2:H$401,$AH95)="","",INDEX('Per Invoice'!H$2:H$401,$AH95)))</f>
        <v/>
      </c>
      <c r="I95" s="14">
        <f>IF($AH95="","",IF(INDEX('Per Invoice'!I$2:I$401,$AH95)="","",INDEX('Per Invoice'!I$2:I$401,$AH95)))</f>
        <v/>
      </c>
      <c r="J95">
        <f>IF($AH95="","",IF(INDEX('Per Invoice'!J$2:J$401,$AH95)="","",INDEX('Per Invoice'!J$2:J$401,$AH95)))</f>
        <v/>
      </c>
      <c r="K95">
        <f>IF($AH95="","",IF(INDEX('Per Invoice'!K$2:K$401,$AH95)="","",INDEX('Per Invoice'!K$2:K$401,$AH95)))</f>
        <v/>
      </c>
      <c r="L95">
        <f>IF($AH95="","",IF(INDEX('Per Invoice'!L$2:L$401,$AH95)="","",INDEX('Per Invoice'!L$2:L$401,$AH95)))</f>
        <v/>
      </c>
      <c r="M95">
        <f>IF($AH95="","",IF(INDEX('Per Invoice'!M$2:M$401,$AH95)="","",INDEX('Per Invoice'!M$2:M$401,$AH95)))</f>
        <v/>
      </c>
      <c r="N95">
        <f>IF($AH95="","",IF(INDEX('Per Invoice'!N$2:N$401,$AH95)="","",INDEX('Per Invoice'!N$2:N$401,$AH95)))</f>
        <v/>
      </c>
      <c r="O95">
        <f>IF($AH95="","",IF(INDEX('Per Invoice'!O$2:O$401,$AH95)="","",INDEX('Per Invoice'!O$2:O$401,$AH95)))</f>
        <v/>
      </c>
      <c r="P95" s="7">
        <f>IF($AH95="","",IF(INDEX('Per Invoice'!P$2:P$401,$AH95)="","",INDEX('Per Invoice'!P$2:P$401,$AH95)))</f>
        <v/>
      </c>
      <c r="Q95">
        <f>IF($AH95="","",IF(INDEX('Per Invoice'!Q$2:Q$401,$AH95)="","",INDEX('Per Invoice'!Q$2:Q$401,$AH95)))</f>
        <v/>
      </c>
      <c r="R95">
        <f>IF($AH95="","",IF(INDEX('Per Invoice'!R$2:R$401,$AH95)="","",INDEX('Per Invoice'!R$2:R$401,$AH95)))</f>
        <v/>
      </c>
      <c r="S95">
        <f>IF($AH95="","",IF(INDEX('Per Invoice'!S$2:S$401,$AH95)="","",INDEX('Per Invoice'!S$2:S$401,$AH95)))</f>
        <v/>
      </c>
      <c r="T95" s="7">
        <f>IF($AH95="","",IF(INDEX('Per Invoice'!T$2:T$401,$AH95)="","",INDEX('Per Invoice'!T$2:T$401,$AH95)))</f>
        <v/>
      </c>
      <c r="U95" s="7">
        <f>IF($AH95="","",IF(INDEX('Per Invoice'!U$2:U$401,$AH95)="","",INDEX('Per Invoice'!U$2:U$401,$AH95)))</f>
        <v/>
      </c>
      <c r="V95">
        <f>IF($AH95="","",IF(INDEX('Per Invoice'!V$2:V$401,$AH95)="","",INDEX('Per Invoice'!V$2:V$401,$AH95)))</f>
        <v/>
      </c>
      <c r="W95" s="7">
        <f>IF($AH95="","",IF(INDEX('Per Invoice'!W$2:W$401,$AH95)="","",INDEX('Per Invoice'!W$2:W$401,$AH95)))</f>
        <v/>
      </c>
      <c r="X95" s="7">
        <f>IF($AH95="","",IF(INDEX('Per Invoice'!X$2:X$401,$AH95)="","",INDEX('Per Invoice'!X$2:X$401,$AH95)))</f>
        <v/>
      </c>
      <c r="Y95">
        <f>IF($AH95="","",IF(INDEX('Per Invoice'!Y$2:Y$401,$AH95)="","",INDEX('Per Invoice'!Y$2:Y$401,$AH95)))</f>
        <v/>
      </c>
      <c r="Z95" s="7">
        <f>IF($AH95="","",IF(INDEX('Per Invoice'!Z$2:Z$401,$AH95)="","",INDEX('Per Invoice'!Z$2:Z$401,$AH95)))</f>
        <v/>
      </c>
      <c r="AA95" s="7">
        <f>IF($AH95="","",IF(INDEX('Per Invoice'!AA$2:AA$401,$AH95)="","",INDEX('Per Invoice'!AA$2:AA$401,$AH95)))</f>
        <v/>
      </c>
      <c r="AB95" s="7">
        <f>IF($AH95="","",IF(INDEX('Per Invoice'!AB$2:AB$401,$AH95)="","",INDEX('Per Invoice'!AB$2:AB$401,$AH95)))</f>
        <v/>
      </c>
      <c r="AC95" s="7">
        <f>IF($AH95="","",IF(INDEX('Per Invoice'!AC$2:AC$401,$AH95)="","",INDEX('Per Invoice'!AC$2:AC$401,$AH95)))</f>
        <v/>
      </c>
      <c r="AD95" s="7">
        <f>IF($AH95="","",IF(INDEX('Per Invoice'!AD$2:AD$401,$AH95)="","",INDEX('Per Invoice'!AD$2:AD$401,$AH95)))</f>
        <v/>
      </c>
      <c r="AE95" s="7">
        <f>IF($AH95="","",IF(INDEX('Per Invoice'!AE$2:AE$401,$AH95)="","",INDEX('Per Invoice'!AE$2:AE$401,$AH95)))</f>
        <v/>
      </c>
      <c r="AF95">
        <f>IF($AH95="","",IF(INDEX('Per Invoice'!AF$2:AF$401,$AH95)="","",INDEX('Per Invoice'!AF$2:AF$401,$AH95)))</f>
        <v/>
      </c>
      <c r="AG95" s="7">
        <f>IF($AH95="","",IF(INDEX('Per Invoice'!AG$2:AG$401,$AH95)="","",INDEX('Per Invoice'!AG$2:AG$401,$AH95)))</f>
        <v/>
      </c>
      <c r="AH95" s="16">
        <f>IFERROR(MATCH(Settings!$C$26&amp;"|"&amp;ROWS($AH$2:$AH95),'Per Invoice'!$AI$2:$AI$401,0),"")</f>
        <v/>
      </c>
    </row>
    <row r="96">
      <c r="A96">
        <f>IF($AH96="","",IF(INDEX('Per Invoice'!A$2:A$401,$AH96)="","",INDEX('Per Invoice'!A$2:A$401,$AH96)))</f>
        <v/>
      </c>
      <c r="B96">
        <f>IF($AH96="","",IF(INDEX('Per Invoice'!B$2:B$401,$AH96)="","",INDEX('Per Invoice'!B$2:B$401,$AH96)))</f>
        <v/>
      </c>
      <c r="C96">
        <f>IF($AH96="","",IF(INDEX('Per Invoice'!C$2:C$401,$AH96)="","",INDEX('Per Invoice'!C$2:C$401,$AH96)))</f>
        <v/>
      </c>
      <c r="D96">
        <f>IF($AH96="","",IF(INDEX('Per Invoice'!D$2:D$401,$AH96)="","",INDEX('Per Invoice'!D$2:D$401,$AH96)))</f>
        <v/>
      </c>
      <c r="E96">
        <f>IF($AH96="","",IF(INDEX('Per Invoice'!E$2:E$401,$AH96)="","",INDEX('Per Invoice'!E$2:E$401,$AH96)))</f>
        <v/>
      </c>
      <c r="F96">
        <f>IF($AH96="","",IF(INDEX('Per Invoice'!F$2:F$401,$AH96)="","",INDEX('Per Invoice'!F$2:F$401,$AH96)))</f>
        <v/>
      </c>
      <c r="G96">
        <f>IF($AH96="","",IF(INDEX('Per Invoice'!G$2:G$401,$AH96)="","",INDEX('Per Invoice'!G$2:G$401,$AH96)))</f>
        <v/>
      </c>
      <c r="H96">
        <f>IF($AH96="","",IF(INDEX('Per Invoice'!H$2:H$401,$AH96)="","",INDEX('Per Invoice'!H$2:H$401,$AH96)))</f>
        <v/>
      </c>
      <c r="I96" s="14">
        <f>IF($AH96="","",IF(INDEX('Per Invoice'!I$2:I$401,$AH96)="","",INDEX('Per Invoice'!I$2:I$401,$AH96)))</f>
        <v/>
      </c>
      <c r="J96">
        <f>IF($AH96="","",IF(INDEX('Per Invoice'!J$2:J$401,$AH96)="","",INDEX('Per Invoice'!J$2:J$401,$AH96)))</f>
        <v/>
      </c>
      <c r="K96">
        <f>IF($AH96="","",IF(INDEX('Per Invoice'!K$2:K$401,$AH96)="","",INDEX('Per Invoice'!K$2:K$401,$AH96)))</f>
        <v/>
      </c>
      <c r="L96">
        <f>IF($AH96="","",IF(INDEX('Per Invoice'!L$2:L$401,$AH96)="","",INDEX('Per Invoice'!L$2:L$401,$AH96)))</f>
        <v/>
      </c>
      <c r="M96">
        <f>IF($AH96="","",IF(INDEX('Per Invoice'!M$2:M$401,$AH96)="","",INDEX('Per Invoice'!M$2:M$401,$AH96)))</f>
        <v/>
      </c>
      <c r="N96">
        <f>IF($AH96="","",IF(INDEX('Per Invoice'!N$2:N$401,$AH96)="","",INDEX('Per Invoice'!N$2:N$401,$AH96)))</f>
        <v/>
      </c>
      <c r="O96">
        <f>IF($AH96="","",IF(INDEX('Per Invoice'!O$2:O$401,$AH96)="","",INDEX('Per Invoice'!O$2:O$401,$AH96)))</f>
        <v/>
      </c>
      <c r="P96" s="7">
        <f>IF($AH96="","",IF(INDEX('Per Invoice'!P$2:P$401,$AH96)="","",INDEX('Per Invoice'!P$2:P$401,$AH96)))</f>
        <v/>
      </c>
      <c r="Q96">
        <f>IF($AH96="","",IF(INDEX('Per Invoice'!Q$2:Q$401,$AH96)="","",INDEX('Per Invoice'!Q$2:Q$401,$AH96)))</f>
        <v/>
      </c>
      <c r="R96">
        <f>IF($AH96="","",IF(INDEX('Per Invoice'!R$2:R$401,$AH96)="","",INDEX('Per Invoice'!R$2:R$401,$AH96)))</f>
        <v/>
      </c>
      <c r="S96">
        <f>IF($AH96="","",IF(INDEX('Per Invoice'!S$2:S$401,$AH96)="","",INDEX('Per Invoice'!S$2:S$401,$AH96)))</f>
        <v/>
      </c>
      <c r="T96" s="7">
        <f>IF($AH96="","",IF(INDEX('Per Invoice'!T$2:T$401,$AH96)="","",INDEX('Per Invoice'!T$2:T$401,$AH96)))</f>
        <v/>
      </c>
      <c r="U96" s="7">
        <f>IF($AH96="","",IF(INDEX('Per Invoice'!U$2:U$401,$AH96)="","",INDEX('Per Invoice'!U$2:U$401,$AH96)))</f>
        <v/>
      </c>
      <c r="V96">
        <f>IF($AH96="","",IF(INDEX('Per Invoice'!V$2:V$401,$AH96)="","",INDEX('Per Invoice'!V$2:V$401,$AH96)))</f>
        <v/>
      </c>
      <c r="W96" s="7">
        <f>IF($AH96="","",IF(INDEX('Per Invoice'!W$2:W$401,$AH96)="","",INDEX('Per Invoice'!W$2:W$401,$AH96)))</f>
        <v/>
      </c>
      <c r="X96" s="7">
        <f>IF($AH96="","",IF(INDEX('Per Invoice'!X$2:X$401,$AH96)="","",INDEX('Per Invoice'!X$2:X$401,$AH96)))</f>
        <v/>
      </c>
      <c r="Y96">
        <f>IF($AH96="","",IF(INDEX('Per Invoice'!Y$2:Y$401,$AH96)="","",INDEX('Per Invoice'!Y$2:Y$401,$AH96)))</f>
        <v/>
      </c>
      <c r="Z96" s="7">
        <f>IF($AH96="","",IF(INDEX('Per Invoice'!Z$2:Z$401,$AH96)="","",INDEX('Per Invoice'!Z$2:Z$401,$AH96)))</f>
        <v/>
      </c>
      <c r="AA96" s="7">
        <f>IF($AH96="","",IF(INDEX('Per Invoice'!AA$2:AA$401,$AH96)="","",INDEX('Per Invoice'!AA$2:AA$401,$AH96)))</f>
        <v/>
      </c>
      <c r="AB96" s="7">
        <f>IF($AH96="","",IF(INDEX('Per Invoice'!AB$2:AB$401,$AH96)="","",INDEX('Per Invoice'!AB$2:AB$401,$AH96)))</f>
        <v/>
      </c>
      <c r="AC96" s="7">
        <f>IF($AH96="","",IF(INDEX('Per Invoice'!AC$2:AC$401,$AH96)="","",INDEX('Per Invoice'!AC$2:AC$401,$AH96)))</f>
        <v/>
      </c>
      <c r="AD96" s="7">
        <f>IF($AH96="","",IF(INDEX('Per Invoice'!AD$2:AD$401,$AH96)="","",INDEX('Per Invoice'!AD$2:AD$401,$AH96)))</f>
        <v/>
      </c>
      <c r="AE96" s="7">
        <f>IF($AH96="","",IF(INDEX('Per Invoice'!AE$2:AE$401,$AH96)="","",INDEX('Per Invoice'!AE$2:AE$401,$AH96)))</f>
        <v/>
      </c>
      <c r="AF96">
        <f>IF($AH96="","",IF(INDEX('Per Invoice'!AF$2:AF$401,$AH96)="","",INDEX('Per Invoice'!AF$2:AF$401,$AH96)))</f>
        <v/>
      </c>
      <c r="AG96" s="7">
        <f>IF($AH96="","",IF(INDEX('Per Invoice'!AG$2:AG$401,$AH96)="","",INDEX('Per Invoice'!AG$2:AG$401,$AH96)))</f>
        <v/>
      </c>
      <c r="AH96" s="16">
        <f>IFERROR(MATCH(Settings!$C$26&amp;"|"&amp;ROWS($AH$2:$AH96),'Per Invoice'!$AI$2:$AI$401,0),"")</f>
        <v/>
      </c>
    </row>
    <row r="97">
      <c r="A97">
        <f>IF($AH97="","",IF(INDEX('Per Invoice'!A$2:A$401,$AH97)="","",INDEX('Per Invoice'!A$2:A$401,$AH97)))</f>
        <v/>
      </c>
      <c r="B97">
        <f>IF($AH97="","",IF(INDEX('Per Invoice'!B$2:B$401,$AH97)="","",INDEX('Per Invoice'!B$2:B$401,$AH97)))</f>
        <v/>
      </c>
      <c r="C97">
        <f>IF($AH97="","",IF(INDEX('Per Invoice'!C$2:C$401,$AH97)="","",INDEX('Per Invoice'!C$2:C$401,$AH97)))</f>
        <v/>
      </c>
      <c r="D97">
        <f>IF($AH97="","",IF(INDEX('Per Invoice'!D$2:D$401,$AH97)="","",INDEX('Per Invoice'!D$2:D$401,$AH97)))</f>
        <v/>
      </c>
      <c r="E97">
        <f>IF($AH97="","",IF(INDEX('Per Invoice'!E$2:E$401,$AH97)="","",INDEX('Per Invoice'!E$2:E$401,$AH97)))</f>
        <v/>
      </c>
      <c r="F97">
        <f>IF($AH97="","",IF(INDEX('Per Invoice'!F$2:F$401,$AH97)="","",INDEX('Per Invoice'!F$2:F$401,$AH97)))</f>
        <v/>
      </c>
      <c r="G97">
        <f>IF($AH97="","",IF(INDEX('Per Invoice'!G$2:G$401,$AH97)="","",INDEX('Per Invoice'!G$2:G$401,$AH97)))</f>
        <v/>
      </c>
      <c r="H97">
        <f>IF($AH97="","",IF(INDEX('Per Invoice'!H$2:H$401,$AH97)="","",INDEX('Per Invoice'!H$2:H$401,$AH97)))</f>
        <v/>
      </c>
      <c r="I97" s="14">
        <f>IF($AH97="","",IF(INDEX('Per Invoice'!I$2:I$401,$AH97)="","",INDEX('Per Invoice'!I$2:I$401,$AH97)))</f>
        <v/>
      </c>
      <c r="J97">
        <f>IF($AH97="","",IF(INDEX('Per Invoice'!J$2:J$401,$AH97)="","",INDEX('Per Invoice'!J$2:J$401,$AH97)))</f>
        <v/>
      </c>
      <c r="K97">
        <f>IF($AH97="","",IF(INDEX('Per Invoice'!K$2:K$401,$AH97)="","",INDEX('Per Invoice'!K$2:K$401,$AH97)))</f>
        <v/>
      </c>
      <c r="L97">
        <f>IF($AH97="","",IF(INDEX('Per Invoice'!L$2:L$401,$AH97)="","",INDEX('Per Invoice'!L$2:L$401,$AH97)))</f>
        <v/>
      </c>
      <c r="M97">
        <f>IF($AH97="","",IF(INDEX('Per Invoice'!M$2:M$401,$AH97)="","",INDEX('Per Invoice'!M$2:M$401,$AH97)))</f>
        <v/>
      </c>
      <c r="N97">
        <f>IF($AH97="","",IF(INDEX('Per Invoice'!N$2:N$401,$AH97)="","",INDEX('Per Invoice'!N$2:N$401,$AH97)))</f>
        <v/>
      </c>
      <c r="O97">
        <f>IF($AH97="","",IF(INDEX('Per Invoice'!O$2:O$401,$AH97)="","",INDEX('Per Invoice'!O$2:O$401,$AH97)))</f>
        <v/>
      </c>
      <c r="P97" s="7">
        <f>IF($AH97="","",IF(INDEX('Per Invoice'!P$2:P$401,$AH97)="","",INDEX('Per Invoice'!P$2:P$401,$AH97)))</f>
        <v/>
      </c>
      <c r="Q97">
        <f>IF($AH97="","",IF(INDEX('Per Invoice'!Q$2:Q$401,$AH97)="","",INDEX('Per Invoice'!Q$2:Q$401,$AH97)))</f>
        <v/>
      </c>
      <c r="R97">
        <f>IF($AH97="","",IF(INDEX('Per Invoice'!R$2:R$401,$AH97)="","",INDEX('Per Invoice'!R$2:R$401,$AH97)))</f>
        <v/>
      </c>
      <c r="S97">
        <f>IF($AH97="","",IF(INDEX('Per Invoice'!S$2:S$401,$AH97)="","",INDEX('Per Invoice'!S$2:S$401,$AH97)))</f>
        <v/>
      </c>
      <c r="T97" s="7">
        <f>IF($AH97="","",IF(INDEX('Per Invoice'!T$2:T$401,$AH97)="","",INDEX('Per Invoice'!T$2:T$401,$AH97)))</f>
        <v/>
      </c>
      <c r="U97" s="7">
        <f>IF($AH97="","",IF(INDEX('Per Invoice'!U$2:U$401,$AH97)="","",INDEX('Per Invoice'!U$2:U$401,$AH97)))</f>
        <v/>
      </c>
      <c r="V97">
        <f>IF($AH97="","",IF(INDEX('Per Invoice'!V$2:V$401,$AH97)="","",INDEX('Per Invoice'!V$2:V$401,$AH97)))</f>
        <v/>
      </c>
      <c r="W97" s="7">
        <f>IF($AH97="","",IF(INDEX('Per Invoice'!W$2:W$401,$AH97)="","",INDEX('Per Invoice'!W$2:W$401,$AH97)))</f>
        <v/>
      </c>
      <c r="X97" s="7">
        <f>IF($AH97="","",IF(INDEX('Per Invoice'!X$2:X$401,$AH97)="","",INDEX('Per Invoice'!X$2:X$401,$AH97)))</f>
        <v/>
      </c>
      <c r="Y97">
        <f>IF($AH97="","",IF(INDEX('Per Invoice'!Y$2:Y$401,$AH97)="","",INDEX('Per Invoice'!Y$2:Y$401,$AH97)))</f>
        <v/>
      </c>
      <c r="Z97" s="7">
        <f>IF($AH97="","",IF(INDEX('Per Invoice'!Z$2:Z$401,$AH97)="","",INDEX('Per Invoice'!Z$2:Z$401,$AH97)))</f>
        <v/>
      </c>
      <c r="AA97" s="7">
        <f>IF($AH97="","",IF(INDEX('Per Invoice'!AA$2:AA$401,$AH97)="","",INDEX('Per Invoice'!AA$2:AA$401,$AH97)))</f>
        <v/>
      </c>
      <c r="AB97" s="7">
        <f>IF($AH97="","",IF(INDEX('Per Invoice'!AB$2:AB$401,$AH97)="","",INDEX('Per Invoice'!AB$2:AB$401,$AH97)))</f>
        <v/>
      </c>
      <c r="AC97" s="7">
        <f>IF($AH97="","",IF(INDEX('Per Invoice'!AC$2:AC$401,$AH97)="","",INDEX('Per Invoice'!AC$2:AC$401,$AH97)))</f>
        <v/>
      </c>
      <c r="AD97" s="7">
        <f>IF($AH97="","",IF(INDEX('Per Invoice'!AD$2:AD$401,$AH97)="","",INDEX('Per Invoice'!AD$2:AD$401,$AH97)))</f>
        <v/>
      </c>
      <c r="AE97" s="7">
        <f>IF($AH97="","",IF(INDEX('Per Invoice'!AE$2:AE$401,$AH97)="","",INDEX('Per Invoice'!AE$2:AE$401,$AH97)))</f>
        <v/>
      </c>
      <c r="AF97">
        <f>IF($AH97="","",IF(INDEX('Per Invoice'!AF$2:AF$401,$AH97)="","",INDEX('Per Invoice'!AF$2:AF$401,$AH97)))</f>
        <v/>
      </c>
      <c r="AG97" s="7">
        <f>IF($AH97="","",IF(INDEX('Per Invoice'!AG$2:AG$401,$AH97)="","",INDEX('Per Invoice'!AG$2:AG$401,$AH97)))</f>
        <v/>
      </c>
      <c r="AH97" s="16">
        <f>IFERROR(MATCH(Settings!$C$26&amp;"|"&amp;ROWS($AH$2:$AH97),'Per Invoice'!$AI$2:$AI$401,0),"")</f>
        <v/>
      </c>
    </row>
    <row r="98">
      <c r="A98">
        <f>IF($AH98="","",IF(INDEX('Per Invoice'!A$2:A$401,$AH98)="","",INDEX('Per Invoice'!A$2:A$401,$AH98)))</f>
        <v/>
      </c>
      <c r="B98">
        <f>IF($AH98="","",IF(INDEX('Per Invoice'!B$2:B$401,$AH98)="","",INDEX('Per Invoice'!B$2:B$401,$AH98)))</f>
        <v/>
      </c>
      <c r="C98">
        <f>IF($AH98="","",IF(INDEX('Per Invoice'!C$2:C$401,$AH98)="","",INDEX('Per Invoice'!C$2:C$401,$AH98)))</f>
        <v/>
      </c>
      <c r="D98">
        <f>IF($AH98="","",IF(INDEX('Per Invoice'!D$2:D$401,$AH98)="","",INDEX('Per Invoice'!D$2:D$401,$AH98)))</f>
        <v/>
      </c>
      <c r="E98">
        <f>IF($AH98="","",IF(INDEX('Per Invoice'!E$2:E$401,$AH98)="","",INDEX('Per Invoice'!E$2:E$401,$AH98)))</f>
        <v/>
      </c>
      <c r="F98">
        <f>IF($AH98="","",IF(INDEX('Per Invoice'!F$2:F$401,$AH98)="","",INDEX('Per Invoice'!F$2:F$401,$AH98)))</f>
        <v/>
      </c>
      <c r="G98">
        <f>IF($AH98="","",IF(INDEX('Per Invoice'!G$2:G$401,$AH98)="","",INDEX('Per Invoice'!G$2:G$401,$AH98)))</f>
        <v/>
      </c>
      <c r="H98">
        <f>IF($AH98="","",IF(INDEX('Per Invoice'!H$2:H$401,$AH98)="","",INDEX('Per Invoice'!H$2:H$401,$AH98)))</f>
        <v/>
      </c>
      <c r="I98" s="14">
        <f>IF($AH98="","",IF(INDEX('Per Invoice'!I$2:I$401,$AH98)="","",INDEX('Per Invoice'!I$2:I$401,$AH98)))</f>
        <v/>
      </c>
      <c r="J98">
        <f>IF($AH98="","",IF(INDEX('Per Invoice'!J$2:J$401,$AH98)="","",INDEX('Per Invoice'!J$2:J$401,$AH98)))</f>
        <v/>
      </c>
      <c r="K98">
        <f>IF($AH98="","",IF(INDEX('Per Invoice'!K$2:K$401,$AH98)="","",INDEX('Per Invoice'!K$2:K$401,$AH98)))</f>
        <v/>
      </c>
      <c r="L98">
        <f>IF($AH98="","",IF(INDEX('Per Invoice'!L$2:L$401,$AH98)="","",INDEX('Per Invoice'!L$2:L$401,$AH98)))</f>
        <v/>
      </c>
      <c r="M98">
        <f>IF($AH98="","",IF(INDEX('Per Invoice'!M$2:M$401,$AH98)="","",INDEX('Per Invoice'!M$2:M$401,$AH98)))</f>
        <v/>
      </c>
      <c r="N98">
        <f>IF($AH98="","",IF(INDEX('Per Invoice'!N$2:N$401,$AH98)="","",INDEX('Per Invoice'!N$2:N$401,$AH98)))</f>
        <v/>
      </c>
      <c r="O98">
        <f>IF($AH98="","",IF(INDEX('Per Invoice'!O$2:O$401,$AH98)="","",INDEX('Per Invoice'!O$2:O$401,$AH98)))</f>
        <v/>
      </c>
      <c r="P98" s="7">
        <f>IF($AH98="","",IF(INDEX('Per Invoice'!P$2:P$401,$AH98)="","",INDEX('Per Invoice'!P$2:P$401,$AH98)))</f>
        <v/>
      </c>
      <c r="Q98">
        <f>IF($AH98="","",IF(INDEX('Per Invoice'!Q$2:Q$401,$AH98)="","",INDEX('Per Invoice'!Q$2:Q$401,$AH98)))</f>
        <v/>
      </c>
      <c r="R98">
        <f>IF($AH98="","",IF(INDEX('Per Invoice'!R$2:R$401,$AH98)="","",INDEX('Per Invoice'!R$2:R$401,$AH98)))</f>
        <v/>
      </c>
      <c r="S98">
        <f>IF($AH98="","",IF(INDEX('Per Invoice'!S$2:S$401,$AH98)="","",INDEX('Per Invoice'!S$2:S$401,$AH98)))</f>
        <v/>
      </c>
      <c r="T98" s="7">
        <f>IF($AH98="","",IF(INDEX('Per Invoice'!T$2:T$401,$AH98)="","",INDEX('Per Invoice'!T$2:T$401,$AH98)))</f>
        <v/>
      </c>
      <c r="U98" s="7">
        <f>IF($AH98="","",IF(INDEX('Per Invoice'!U$2:U$401,$AH98)="","",INDEX('Per Invoice'!U$2:U$401,$AH98)))</f>
        <v/>
      </c>
      <c r="V98">
        <f>IF($AH98="","",IF(INDEX('Per Invoice'!V$2:V$401,$AH98)="","",INDEX('Per Invoice'!V$2:V$401,$AH98)))</f>
        <v/>
      </c>
      <c r="W98" s="7">
        <f>IF($AH98="","",IF(INDEX('Per Invoice'!W$2:W$401,$AH98)="","",INDEX('Per Invoice'!W$2:W$401,$AH98)))</f>
        <v/>
      </c>
      <c r="X98" s="7">
        <f>IF($AH98="","",IF(INDEX('Per Invoice'!X$2:X$401,$AH98)="","",INDEX('Per Invoice'!X$2:X$401,$AH98)))</f>
        <v/>
      </c>
      <c r="Y98">
        <f>IF($AH98="","",IF(INDEX('Per Invoice'!Y$2:Y$401,$AH98)="","",INDEX('Per Invoice'!Y$2:Y$401,$AH98)))</f>
        <v/>
      </c>
      <c r="Z98" s="7">
        <f>IF($AH98="","",IF(INDEX('Per Invoice'!Z$2:Z$401,$AH98)="","",INDEX('Per Invoice'!Z$2:Z$401,$AH98)))</f>
        <v/>
      </c>
      <c r="AA98" s="7">
        <f>IF($AH98="","",IF(INDEX('Per Invoice'!AA$2:AA$401,$AH98)="","",INDEX('Per Invoice'!AA$2:AA$401,$AH98)))</f>
        <v/>
      </c>
      <c r="AB98" s="7">
        <f>IF($AH98="","",IF(INDEX('Per Invoice'!AB$2:AB$401,$AH98)="","",INDEX('Per Invoice'!AB$2:AB$401,$AH98)))</f>
        <v/>
      </c>
      <c r="AC98" s="7">
        <f>IF($AH98="","",IF(INDEX('Per Invoice'!AC$2:AC$401,$AH98)="","",INDEX('Per Invoice'!AC$2:AC$401,$AH98)))</f>
        <v/>
      </c>
      <c r="AD98" s="7">
        <f>IF($AH98="","",IF(INDEX('Per Invoice'!AD$2:AD$401,$AH98)="","",INDEX('Per Invoice'!AD$2:AD$401,$AH98)))</f>
        <v/>
      </c>
      <c r="AE98" s="7">
        <f>IF($AH98="","",IF(INDEX('Per Invoice'!AE$2:AE$401,$AH98)="","",INDEX('Per Invoice'!AE$2:AE$401,$AH98)))</f>
        <v/>
      </c>
      <c r="AF98">
        <f>IF($AH98="","",IF(INDEX('Per Invoice'!AF$2:AF$401,$AH98)="","",INDEX('Per Invoice'!AF$2:AF$401,$AH98)))</f>
        <v/>
      </c>
      <c r="AG98" s="7">
        <f>IF($AH98="","",IF(INDEX('Per Invoice'!AG$2:AG$401,$AH98)="","",INDEX('Per Invoice'!AG$2:AG$401,$AH98)))</f>
        <v/>
      </c>
      <c r="AH98" s="16">
        <f>IFERROR(MATCH(Settings!$C$26&amp;"|"&amp;ROWS($AH$2:$AH98),'Per Invoice'!$AI$2:$AI$401,0),"")</f>
        <v/>
      </c>
    </row>
    <row r="99">
      <c r="A99">
        <f>IF($AH99="","",IF(INDEX('Per Invoice'!A$2:A$401,$AH99)="","",INDEX('Per Invoice'!A$2:A$401,$AH99)))</f>
        <v/>
      </c>
      <c r="B99">
        <f>IF($AH99="","",IF(INDEX('Per Invoice'!B$2:B$401,$AH99)="","",INDEX('Per Invoice'!B$2:B$401,$AH99)))</f>
        <v/>
      </c>
      <c r="C99">
        <f>IF($AH99="","",IF(INDEX('Per Invoice'!C$2:C$401,$AH99)="","",INDEX('Per Invoice'!C$2:C$401,$AH99)))</f>
        <v/>
      </c>
      <c r="D99">
        <f>IF($AH99="","",IF(INDEX('Per Invoice'!D$2:D$401,$AH99)="","",INDEX('Per Invoice'!D$2:D$401,$AH99)))</f>
        <v/>
      </c>
      <c r="E99">
        <f>IF($AH99="","",IF(INDEX('Per Invoice'!E$2:E$401,$AH99)="","",INDEX('Per Invoice'!E$2:E$401,$AH99)))</f>
        <v/>
      </c>
      <c r="F99">
        <f>IF($AH99="","",IF(INDEX('Per Invoice'!F$2:F$401,$AH99)="","",INDEX('Per Invoice'!F$2:F$401,$AH99)))</f>
        <v/>
      </c>
      <c r="G99">
        <f>IF($AH99="","",IF(INDEX('Per Invoice'!G$2:G$401,$AH99)="","",INDEX('Per Invoice'!G$2:G$401,$AH99)))</f>
        <v/>
      </c>
      <c r="H99">
        <f>IF($AH99="","",IF(INDEX('Per Invoice'!H$2:H$401,$AH99)="","",INDEX('Per Invoice'!H$2:H$401,$AH99)))</f>
        <v/>
      </c>
      <c r="I99" s="14">
        <f>IF($AH99="","",IF(INDEX('Per Invoice'!I$2:I$401,$AH99)="","",INDEX('Per Invoice'!I$2:I$401,$AH99)))</f>
        <v/>
      </c>
      <c r="J99">
        <f>IF($AH99="","",IF(INDEX('Per Invoice'!J$2:J$401,$AH99)="","",INDEX('Per Invoice'!J$2:J$401,$AH99)))</f>
        <v/>
      </c>
      <c r="K99">
        <f>IF($AH99="","",IF(INDEX('Per Invoice'!K$2:K$401,$AH99)="","",INDEX('Per Invoice'!K$2:K$401,$AH99)))</f>
        <v/>
      </c>
      <c r="L99">
        <f>IF($AH99="","",IF(INDEX('Per Invoice'!L$2:L$401,$AH99)="","",INDEX('Per Invoice'!L$2:L$401,$AH99)))</f>
        <v/>
      </c>
      <c r="M99">
        <f>IF($AH99="","",IF(INDEX('Per Invoice'!M$2:M$401,$AH99)="","",INDEX('Per Invoice'!M$2:M$401,$AH99)))</f>
        <v/>
      </c>
      <c r="N99">
        <f>IF($AH99="","",IF(INDEX('Per Invoice'!N$2:N$401,$AH99)="","",INDEX('Per Invoice'!N$2:N$401,$AH99)))</f>
        <v/>
      </c>
      <c r="O99">
        <f>IF($AH99="","",IF(INDEX('Per Invoice'!O$2:O$401,$AH99)="","",INDEX('Per Invoice'!O$2:O$401,$AH99)))</f>
        <v/>
      </c>
      <c r="P99" s="7">
        <f>IF($AH99="","",IF(INDEX('Per Invoice'!P$2:P$401,$AH99)="","",INDEX('Per Invoice'!P$2:P$401,$AH99)))</f>
        <v/>
      </c>
      <c r="Q99">
        <f>IF($AH99="","",IF(INDEX('Per Invoice'!Q$2:Q$401,$AH99)="","",INDEX('Per Invoice'!Q$2:Q$401,$AH99)))</f>
        <v/>
      </c>
      <c r="R99">
        <f>IF($AH99="","",IF(INDEX('Per Invoice'!R$2:R$401,$AH99)="","",INDEX('Per Invoice'!R$2:R$401,$AH99)))</f>
        <v/>
      </c>
      <c r="S99">
        <f>IF($AH99="","",IF(INDEX('Per Invoice'!S$2:S$401,$AH99)="","",INDEX('Per Invoice'!S$2:S$401,$AH99)))</f>
        <v/>
      </c>
      <c r="T99" s="7">
        <f>IF($AH99="","",IF(INDEX('Per Invoice'!T$2:T$401,$AH99)="","",INDEX('Per Invoice'!T$2:T$401,$AH99)))</f>
        <v/>
      </c>
      <c r="U99" s="7">
        <f>IF($AH99="","",IF(INDEX('Per Invoice'!U$2:U$401,$AH99)="","",INDEX('Per Invoice'!U$2:U$401,$AH99)))</f>
        <v/>
      </c>
      <c r="V99">
        <f>IF($AH99="","",IF(INDEX('Per Invoice'!V$2:V$401,$AH99)="","",INDEX('Per Invoice'!V$2:V$401,$AH99)))</f>
        <v/>
      </c>
      <c r="W99" s="7">
        <f>IF($AH99="","",IF(INDEX('Per Invoice'!W$2:W$401,$AH99)="","",INDEX('Per Invoice'!W$2:W$401,$AH99)))</f>
        <v/>
      </c>
      <c r="X99" s="7">
        <f>IF($AH99="","",IF(INDEX('Per Invoice'!X$2:X$401,$AH99)="","",INDEX('Per Invoice'!X$2:X$401,$AH99)))</f>
        <v/>
      </c>
      <c r="Y99">
        <f>IF($AH99="","",IF(INDEX('Per Invoice'!Y$2:Y$401,$AH99)="","",INDEX('Per Invoice'!Y$2:Y$401,$AH99)))</f>
        <v/>
      </c>
      <c r="Z99" s="7">
        <f>IF($AH99="","",IF(INDEX('Per Invoice'!Z$2:Z$401,$AH99)="","",INDEX('Per Invoice'!Z$2:Z$401,$AH99)))</f>
        <v/>
      </c>
      <c r="AA99" s="7">
        <f>IF($AH99="","",IF(INDEX('Per Invoice'!AA$2:AA$401,$AH99)="","",INDEX('Per Invoice'!AA$2:AA$401,$AH99)))</f>
        <v/>
      </c>
      <c r="AB99" s="7">
        <f>IF($AH99="","",IF(INDEX('Per Invoice'!AB$2:AB$401,$AH99)="","",INDEX('Per Invoice'!AB$2:AB$401,$AH99)))</f>
        <v/>
      </c>
      <c r="AC99" s="7">
        <f>IF($AH99="","",IF(INDEX('Per Invoice'!AC$2:AC$401,$AH99)="","",INDEX('Per Invoice'!AC$2:AC$401,$AH99)))</f>
        <v/>
      </c>
      <c r="AD99" s="7">
        <f>IF($AH99="","",IF(INDEX('Per Invoice'!AD$2:AD$401,$AH99)="","",INDEX('Per Invoice'!AD$2:AD$401,$AH99)))</f>
        <v/>
      </c>
      <c r="AE99" s="7">
        <f>IF($AH99="","",IF(INDEX('Per Invoice'!AE$2:AE$401,$AH99)="","",INDEX('Per Invoice'!AE$2:AE$401,$AH99)))</f>
        <v/>
      </c>
      <c r="AF99">
        <f>IF($AH99="","",IF(INDEX('Per Invoice'!AF$2:AF$401,$AH99)="","",INDEX('Per Invoice'!AF$2:AF$401,$AH99)))</f>
        <v/>
      </c>
      <c r="AG99" s="7">
        <f>IF($AH99="","",IF(INDEX('Per Invoice'!AG$2:AG$401,$AH99)="","",INDEX('Per Invoice'!AG$2:AG$401,$AH99)))</f>
        <v/>
      </c>
      <c r="AH99" s="16">
        <f>IFERROR(MATCH(Settings!$C$26&amp;"|"&amp;ROWS($AH$2:$AH99),'Per Invoice'!$AI$2:$AI$401,0),"")</f>
        <v/>
      </c>
    </row>
    <row r="100">
      <c r="A100">
        <f>IF($AH100="","",IF(INDEX('Per Invoice'!A$2:A$401,$AH100)="","",INDEX('Per Invoice'!A$2:A$401,$AH100)))</f>
        <v/>
      </c>
      <c r="B100">
        <f>IF($AH100="","",IF(INDEX('Per Invoice'!B$2:B$401,$AH100)="","",INDEX('Per Invoice'!B$2:B$401,$AH100)))</f>
        <v/>
      </c>
      <c r="C100">
        <f>IF($AH100="","",IF(INDEX('Per Invoice'!C$2:C$401,$AH100)="","",INDEX('Per Invoice'!C$2:C$401,$AH100)))</f>
        <v/>
      </c>
      <c r="D100">
        <f>IF($AH100="","",IF(INDEX('Per Invoice'!D$2:D$401,$AH100)="","",INDEX('Per Invoice'!D$2:D$401,$AH100)))</f>
        <v/>
      </c>
      <c r="E100">
        <f>IF($AH100="","",IF(INDEX('Per Invoice'!E$2:E$401,$AH100)="","",INDEX('Per Invoice'!E$2:E$401,$AH100)))</f>
        <v/>
      </c>
      <c r="F100">
        <f>IF($AH100="","",IF(INDEX('Per Invoice'!F$2:F$401,$AH100)="","",INDEX('Per Invoice'!F$2:F$401,$AH100)))</f>
        <v/>
      </c>
      <c r="G100">
        <f>IF($AH100="","",IF(INDEX('Per Invoice'!G$2:G$401,$AH100)="","",INDEX('Per Invoice'!G$2:G$401,$AH100)))</f>
        <v/>
      </c>
      <c r="H100">
        <f>IF($AH100="","",IF(INDEX('Per Invoice'!H$2:H$401,$AH100)="","",INDEX('Per Invoice'!H$2:H$401,$AH100)))</f>
        <v/>
      </c>
      <c r="I100" s="14">
        <f>IF($AH100="","",IF(INDEX('Per Invoice'!I$2:I$401,$AH100)="","",INDEX('Per Invoice'!I$2:I$401,$AH100)))</f>
        <v/>
      </c>
      <c r="J100">
        <f>IF($AH100="","",IF(INDEX('Per Invoice'!J$2:J$401,$AH100)="","",INDEX('Per Invoice'!J$2:J$401,$AH100)))</f>
        <v/>
      </c>
      <c r="K100">
        <f>IF($AH100="","",IF(INDEX('Per Invoice'!K$2:K$401,$AH100)="","",INDEX('Per Invoice'!K$2:K$401,$AH100)))</f>
        <v/>
      </c>
      <c r="L100">
        <f>IF($AH100="","",IF(INDEX('Per Invoice'!L$2:L$401,$AH100)="","",INDEX('Per Invoice'!L$2:L$401,$AH100)))</f>
        <v/>
      </c>
      <c r="M100">
        <f>IF($AH100="","",IF(INDEX('Per Invoice'!M$2:M$401,$AH100)="","",INDEX('Per Invoice'!M$2:M$401,$AH100)))</f>
        <v/>
      </c>
      <c r="N100">
        <f>IF($AH100="","",IF(INDEX('Per Invoice'!N$2:N$401,$AH100)="","",INDEX('Per Invoice'!N$2:N$401,$AH100)))</f>
        <v/>
      </c>
      <c r="O100">
        <f>IF($AH100="","",IF(INDEX('Per Invoice'!O$2:O$401,$AH100)="","",INDEX('Per Invoice'!O$2:O$401,$AH100)))</f>
        <v/>
      </c>
      <c r="P100" s="7">
        <f>IF($AH100="","",IF(INDEX('Per Invoice'!P$2:P$401,$AH100)="","",INDEX('Per Invoice'!P$2:P$401,$AH100)))</f>
        <v/>
      </c>
      <c r="Q100">
        <f>IF($AH100="","",IF(INDEX('Per Invoice'!Q$2:Q$401,$AH100)="","",INDEX('Per Invoice'!Q$2:Q$401,$AH100)))</f>
        <v/>
      </c>
      <c r="R100">
        <f>IF($AH100="","",IF(INDEX('Per Invoice'!R$2:R$401,$AH100)="","",INDEX('Per Invoice'!R$2:R$401,$AH100)))</f>
        <v/>
      </c>
      <c r="S100">
        <f>IF($AH100="","",IF(INDEX('Per Invoice'!S$2:S$401,$AH100)="","",INDEX('Per Invoice'!S$2:S$401,$AH100)))</f>
        <v/>
      </c>
      <c r="T100" s="7">
        <f>IF($AH100="","",IF(INDEX('Per Invoice'!T$2:T$401,$AH100)="","",INDEX('Per Invoice'!T$2:T$401,$AH100)))</f>
        <v/>
      </c>
      <c r="U100" s="7">
        <f>IF($AH100="","",IF(INDEX('Per Invoice'!U$2:U$401,$AH100)="","",INDEX('Per Invoice'!U$2:U$401,$AH100)))</f>
        <v/>
      </c>
      <c r="V100">
        <f>IF($AH100="","",IF(INDEX('Per Invoice'!V$2:V$401,$AH100)="","",INDEX('Per Invoice'!V$2:V$401,$AH100)))</f>
        <v/>
      </c>
      <c r="W100" s="7">
        <f>IF($AH100="","",IF(INDEX('Per Invoice'!W$2:W$401,$AH100)="","",INDEX('Per Invoice'!W$2:W$401,$AH100)))</f>
        <v/>
      </c>
      <c r="X100" s="7">
        <f>IF($AH100="","",IF(INDEX('Per Invoice'!X$2:X$401,$AH100)="","",INDEX('Per Invoice'!X$2:X$401,$AH100)))</f>
        <v/>
      </c>
      <c r="Y100">
        <f>IF($AH100="","",IF(INDEX('Per Invoice'!Y$2:Y$401,$AH100)="","",INDEX('Per Invoice'!Y$2:Y$401,$AH100)))</f>
        <v/>
      </c>
      <c r="Z100" s="7">
        <f>IF($AH100="","",IF(INDEX('Per Invoice'!Z$2:Z$401,$AH100)="","",INDEX('Per Invoice'!Z$2:Z$401,$AH100)))</f>
        <v/>
      </c>
      <c r="AA100" s="7">
        <f>IF($AH100="","",IF(INDEX('Per Invoice'!AA$2:AA$401,$AH100)="","",INDEX('Per Invoice'!AA$2:AA$401,$AH100)))</f>
        <v/>
      </c>
      <c r="AB100" s="7">
        <f>IF($AH100="","",IF(INDEX('Per Invoice'!AB$2:AB$401,$AH100)="","",INDEX('Per Invoice'!AB$2:AB$401,$AH100)))</f>
        <v/>
      </c>
      <c r="AC100" s="7">
        <f>IF($AH100="","",IF(INDEX('Per Invoice'!AC$2:AC$401,$AH100)="","",INDEX('Per Invoice'!AC$2:AC$401,$AH100)))</f>
        <v/>
      </c>
      <c r="AD100" s="7">
        <f>IF($AH100="","",IF(INDEX('Per Invoice'!AD$2:AD$401,$AH100)="","",INDEX('Per Invoice'!AD$2:AD$401,$AH100)))</f>
        <v/>
      </c>
      <c r="AE100" s="7">
        <f>IF($AH100="","",IF(INDEX('Per Invoice'!AE$2:AE$401,$AH100)="","",INDEX('Per Invoice'!AE$2:AE$401,$AH100)))</f>
        <v/>
      </c>
      <c r="AF100">
        <f>IF($AH100="","",IF(INDEX('Per Invoice'!AF$2:AF$401,$AH100)="","",INDEX('Per Invoice'!AF$2:AF$401,$AH100)))</f>
        <v/>
      </c>
      <c r="AG100" s="7">
        <f>IF($AH100="","",IF(INDEX('Per Invoice'!AG$2:AG$401,$AH100)="","",INDEX('Per Invoice'!AG$2:AG$401,$AH100)))</f>
        <v/>
      </c>
      <c r="AH100" s="16">
        <f>IFERROR(MATCH(Settings!$C$26&amp;"|"&amp;ROWS($AH$2:$AH100),'Per Invoice'!$AI$2:$AI$401,0),"")</f>
        <v/>
      </c>
    </row>
    <row r="101">
      <c r="A101">
        <f>IF($AH101="","",IF(INDEX('Per Invoice'!A$2:A$401,$AH101)="","",INDEX('Per Invoice'!A$2:A$401,$AH101)))</f>
        <v/>
      </c>
      <c r="B101">
        <f>IF($AH101="","",IF(INDEX('Per Invoice'!B$2:B$401,$AH101)="","",INDEX('Per Invoice'!B$2:B$401,$AH101)))</f>
        <v/>
      </c>
      <c r="C101">
        <f>IF($AH101="","",IF(INDEX('Per Invoice'!C$2:C$401,$AH101)="","",INDEX('Per Invoice'!C$2:C$401,$AH101)))</f>
        <v/>
      </c>
      <c r="D101">
        <f>IF($AH101="","",IF(INDEX('Per Invoice'!D$2:D$401,$AH101)="","",INDEX('Per Invoice'!D$2:D$401,$AH101)))</f>
        <v/>
      </c>
      <c r="E101">
        <f>IF($AH101="","",IF(INDEX('Per Invoice'!E$2:E$401,$AH101)="","",INDEX('Per Invoice'!E$2:E$401,$AH101)))</f>
        <v/>
      </c>
      <c r="F101">
        <f>IF($AH101="","",IF(INDEX('Per Invoice'!F$2:F$401,$AH101)="","",INDEX('Per Invoice'!F$2:F$401,$AH101)))</f>
        <v/>
      </c>
      <c r="G101">
        <f>IF($AH101="","",IF(INDEX('Per Invoice'!G$2:G$401,$AH101)="","",INDEX('Per Invoice'!G$2:G$401,$AH101)))</f>
        <v/>
      </c>
      <c r="H101">
        <f>IF($AH101="","",IF(INDEX('Per Invoice'!H$2:H$401,$AH101)="","",INDEX('Per Invoice'!H$2:H$401,$AH101)))</f>
        <v/>
      </c>
      <c r="I101" s="14">
        <f>IF($AH101="","",IF(INDEX('Per Invoice'!I$2:I$401,$AH101)="","",INDEX('Per Invoice'!I$2:I$401,$AH101)))</f>
        <v/>
      </c>
      <c r="J101">
        <f>IF($AH101="","",IF(INDEX('Per Invoice'!J$2:J$401,$AH101)="","",INDEX('Per Invoice'!J$2:J$401,$AH101)))</f>
        <v/>
      </c>
      <c r="K101">
        <f>IF($AH101="","",IF(INDEX('Per Invoice'!K$2:K$401,$AH101)="","",INDEX('Per Invoice'!K$2:K$401,$AH101)))</f>
        <v/>
      </c>
      <c r="L101">
        <f>IF($AH101="","",IF(INDEX('Per Invoice'!L$2:L$401,$AH101)="","",INDEX('Per Invoice'!L$2:L$401,$AH101)))</f>
        <v/>
      </c>
      <c r="M101">
        <f>IF($AH101="","",IF(INDEX('Per Invoice'!M$2:M$401,$AH101)="","",INDEX('Per Invoice'!M$2:M$401,$AH101)))</f>
        <v/>
      </c>
      <c r="N101">
        <f>IF($AH101="","",IF(INDEX('Per Invoice'!N$2:N$401,$AH101)="","",INDEX('Per Invoice'!N$2:N$401,$AH101)))</f>
        <v/>
      </c>
      <c r="O101">
        <f>IF($AH101="","",IF(INDEX('Per Invoice'!O$2:O$401,$AH101)="","",INDEX('Per Invoice'!O$2:O$401,$AH101)))</f>
        <v/>
      </c>
      <c r="P101" s="7">
        <f>IF($AH101="","",IF(INDEX('Per Invoice'!P$2:P$401,$AH101)="","",INDEX('Per Invoice'!P$2:P$401,$AH101)))</f>
        <v/>
      </c>
      <c r="Q101">
        <f>IF($AH101="","",IF(INDEX('Per Invoice'!Q$2:Q$401,$AH101)="","",INDEX('Per Invoice'!Q$2:Q$401,$AH101)))</f>
        <v/>
      </c>
      <c r="R101">
        <f>IF($AH101="","",IF(INDEX('Per Invoice'!R$2:R$401,$AH101)="","",INDEX('Per Invoice'!R$2:R$401,$AH101)))</f>
        <v/>
      </c>
      <c r="S101">
        <f>IF($AH101="","",IF(INDEX('Per Invoice'!S$2:S$401,$AH101)="","",INDEX('Per Invoice'!S$2:S$401,$AH101)))</f>
        <v/>
      </c>
      <c r="T101" s="7">
        <f>IF($AH101="","",IF(INDEX('Per Invoice'!T$2:T$401,$AH101)="","",INDEX('Per Invoice'!T$2:T$401,$AH101)))</f>
        <v/>
      </c>
      <c r="U101" s="7">
        <f>IF($AH101="","",IF(INDEX('Per Invoice'!U$2:U$401,$AH101)="","",INDEX('Per Invoice'!U$2:U$401,$AH101)))</f>
        <v/>
      </c>
      <c r="V101">
        <f>IF($AH101="","",IF(INDEX('Per Invoice'!V$2:V$401,$AH101)="","",INDEX('Per Invoice'!V$2:V$401,$AH101)))</f>
        <v/>
      </c>
      <c r="W101" s="7">
        <f>IF($AH101="","",IF(INDEX('Per Invoice'!W$2:W$401,$AH101)="","",INDEX('Per Invoice'!W$2:W$401,$AH101)))</f>
        <v/>
      </c>
      <c r="X101" s="7">
        <f>IF($AH101="","",IF(INDEX('Per Invoice'!X$2:X$401,$AH101)="","",INDEX('Per Invoice'!X$2:X$401,$AH101)))</f>
        <v/>
      </c>
      <c r="Y101">
        <f>IF($AH101="","",IF(INDEX('Per Invoice'!Y$2:Y$401,$AH101)="","",INDEX('Per Invoice'!Y$2:Y$401,$AH101)))</f>
        <v/>
      </c>
      <c r="Z101" s="7">
        <f>IF($AH101="","",IF(INDEX('Per Invoice'!Z$2:Z$401,$AH101)="","",INDEX('Per Invoice'!Z$2:Z$401,$AH101)))</f>
        <v/>
      </c>
      <c r="AA101" s="7">
        <f>IF($AH101="","",IF(INDEX('Per Invoice'!AA$2:AA$401,$AH101)="","",INDEX('Per Invoice'!AA$2:AA$401,$AH101)))</f>
        <v/>
      </c>
      <c r="AB101" s="7">
        <f>IF($AH101="","",IF(INDEX('Per Invoice'!AB$2:AB$401,$AH101)="","",INDEX('Per Invoice'!AB$2:AB$401,$AH101)))</f>
        <v/>
      </c>
      <c r="AC101" s="7">
        <f>IF($AH101="","",IF(INDEX('Per Invoice'!AC$2:AC$401,$AH101)="","",INDEX('Per Invoice'!AC$2:AC$401,$AH101)))</f>
        <v/>
      </c>
      <c r="AD101" s="7">
        <f>IF($AH101="","",IF(INDEX('Per Invoice'!AD$2:AD$401,$AH101)="","",INDEX('Per Invoice'!AD$2:AD$401,$AH101)))</f>
        <v/>
      </c>
      <c r="AE101" s="7">
        <f>IF($AH101="","",IF(INDEX('Per Invoice'!AE$2:AE$401,$AH101)="","",INDEX('Per Invoice'!AE$2:AE$401,$AH101)))</f>
        <v/>
      </c>
      <c r="AF101">
        <f>IF($AH101="","",IF(INDEX('Per Invoice'!AF$2:AF$401,$AH101)="","",INDEX('Per Invoice'!AF$2:AF$401,$AH101)))</f>
        <v/>
      </c>
      <c r="AG101" s="7">
        <f>IF($AH101="","",IF(INDEX('Per Invoice'!AG$2:AG$401,$AH101)="","",INDEX('Per Invoice'!AG$2:AG$401,$AH101)))</f>
        <v/>
      </c>
      <c r="AH101" s="16">
        <f>IFERROR(MATCH(Settings!$C$26&amp;"|"&amp;ROWS($AH$2:$AH101),'Per Invoice'!$AI$2:$AI$401,0),"")</f>
        <v/>
      </c>
    </row>
    <row r="102">
      <c r="A102">
        <f>IF($AH102="","",IF(INDEX('Per Invoice'!A$2:A$401,$AH102)="","",INDEX('Per Invoice'!A$2:A$401,$AH102)))</f>
        <v/>
      </c>
      <c r="B102">
        <f>IF($AH102="","",IF(INDEX('Per Invoice'!B$2:B$401,$AH102)="","",INDEX('Per Invoice'!B$2:B$401,$AH102)))</f>
        <v/>
      </c>
      <c r="C102">
        <f>IF($AH102="","",IF(INDEX('Per Invoice'!C$2:C$401,$AH102)="","",INDEX('Per Invoice'!C$2:C$401,$AH102)))</f>
        <v/>
      </c>
      <c r="D102">
        <f>IF($AH102="","",IF(INDEX('Per Invoice'!D$2:D$401,$AH102)="","",INDEX('Per Invoice'!D$2:D$401,$AH102)))</f>
        <v/>
      </c>
      <c r="E102">
        <f>IF($AH102="","",IF(INDEX('Per Invoice'!E$2:E$401,$AH102)="","",INDEX('Per Invoice'!E$2:E$401,$AH102)))</f>
        <v/>
      </c>
      <c r="F102">
        <f>IF($AH102="","",IF(INDEX('Per Invoice'!F$2:F$401,$AH102)="","",INDEX('Per Invoice'!F$2:F$401,$AH102)))</f>
        <v/>
      </c>
      <c r="G102">
        <f>IF($AH102="","",IF(INDEX('Per Invoice'!G$2:G$401,$AH102)="","",INDEX('Per Invoice'!G$2:G$401,$AH102)))</f>
        <v/>
      </c>
      <c r="H102">
        <f>IF($AH102="","",IF(INDEX('Per Invoice'!H$2:H$401,$AH102)="","",INDEX('Per Invoice'!H$2:H$401,$AH102)))</f>
        <v/>
      </c>
      <c r="I102" s="14">
        <f>IF($AH102="","",IF(INDEX('Per Invoice'!I$2:I$401,$AH102)="","",INDEX('Per Invoice'!I$2:I$401,$AH102)))</f>
        <v/>
      </c>
      <c r="J102">
        <f>IF($AH102="","",IF(INDEX('Per Invoice'!J$2:J$401,$AH102)="","",INDEX('Per Invoice'!J$2:J$401,$AH102)))</f>
        <v/>
      </c>
      <c r="K102">
        <f>IF($AH102="","",IF(INDEX('Per Invoice'!K$2:K$401,$AH102)="","",INDEX('Per Invoice'!K$2:K$401,$AH102)))</f>
        <v/>
      </c>
      <c r="L102">
        <f>IF($AH102="","",IF(INDEX('Per Invoice'!L$2:L$401,$AH102)="","",INDEX('Per Invoice'!L$2:L$401,$AH102)))</f>
        <v/>
      </c>
      <c r="M102">
        <f>IF($AH102="","",IF(INDEX('Per Invoice'!M$2:M$401,$AH102)="","",INDEX('Per Invoice'!M$2:M$401,$AH102)))</f>
        <v/>
      </c>
      <c r="N102">
        <f>IF($AH102="","",IF(INDEX('Per Invoice'!N$2:N$401,$AH102)="","",INDEX('Per Invoice'!N$2:N$401,$AH102)))</f>
        <v/>
      </c>
      <c r="O102">
        <f>IF($AH102="","",IF(INDEX('Per Invoice'!O$2:O$401,$AH102)="","",INDEX('Per Invoice'!O$2:O$401,$AH102)))</f>
        <v/>
      </c>
      <c r="P102" s="7">
        <f>IF($AH102="","",IF(INDEX('Per Invoice'!P$2:P$401,$AH102)="","",INDEX('Per Invoice'!P$2:P$401,$AH102)))</f>
        <v/>
      </c>
      <c r="Q102">
        <f>IF($AH102="","",IF(INDEX('Per Invoice'!Q$2:Q$401,$AH102)="","",INDEX('Per Invoice'!Q$2:Q$401,$AH102)))</f>
        <v/>
      </c>
      <c r="R102">
        <f>IF($AH102="","",IF(INDEX('Per Invoice'!R$2:R$401,$AH102)="","",INDEX('Per Invoice'!R$2:R$401,$AH102)))</f>
        <v/>
      </c>
      <c r="S102">
        <f>IF($AH102="","",IF(INDEX('Per Invoice'!S$2:S$401,$AH102)="","",INDEX('Per Invoice'!S$2:S$401,$AH102)))</f>
        <v/>
      </c>
      <c r="T102" s="7">
        <f>IF($AH102="","",IF(INDEX('Per Invoice'!T$2:T$401,$AH102)="","",INDEX('Per Invoice'!T$2:T$401,$AH102)))</f>
        <v/>
      </c>
      <c r="U102" s="7">
        <f>IF($AH102="","",IF(INDEX('Per Invoice'!U$2:U$401,$AH102)="","",INDEX('Per Invoice'!U$2:U$401,$AH102)))</f>
        <v/>
      </c>
      <c r="V102">
        <f>IF($AH102="","",IF(INDEX('Per Invoice'!V$2:V$401,$AH102)="","",INDEX('Per Invoice'!V$2:V$401,$AH102)))</f>
        <v/>
      </c>
      <c r="W102" s="7">
        <f>IF($AH102="","",IF(INDEX('Per Invoice'!W$2:W$401,$AH102)="","",INDEX('Per Invoice'!W$2:W$401,$AH102)))</f>
        <v/>
      </c>
      <c r="X102" s="7">
        <f>IF($AH102="","",IF(INDEX('Per Invoice'!X$2:X$401,$AH102)="","",INDEX('Per Invoice'!X$2:X$401,$AH102)))</f>
        <v/>
      </c>
      <c r="Y102">
        <f>IF($AH102="","",IF(INDEX('Per Invoice'!Y$2:Y$401,$AH102)="","",INDEX('Per Invoice'!Y$2:Y$401,$AH102)))</f>
        <v/>
      </c>
      <c r="Z102" s="7">
        <f>IF($AH102="","",IF(INDEX('Per Invoice'!Z$2:Z$401,$AH102)="","",INDEX('Per Invoice'!Z$2:Z$401,$AH102)))</f>
        <v/>
      </c>
      <c r="AA102" s="7">
        <f>IF($AH102="","",IF(INDEX('Per Invoice'!AA$2:AA$401,$AH102)="","",INDEX('Per Invoice'!AA$2:AA$401,$AH102)))</f>
        <v/>
      </c>
      <c r="AB102" s="7">
        <f>IF($AH102="","",IF(INDEX('Per Invoice'!AB$2:AB$401,$AH102)="","",INDEX('Per Invoice'!AB$2:AB$401,$AH102)))</f>
        <v/>
      </c>
      <c r="AC102" s="7">
        <f>IF($AH102="","",IF(INDEX('Per Invoice'!AC$2:AC$401,$AH102)="","",INDEX('Per Invoice'!AC$2:AC$401,$AH102)))</f>
        <v/>
      </c>
      <c r="AD102" s="7">
        <f>IF($AH102="","",IF(INDEX('Per Invoice'!AD$2:AD$401,$AH102)="","",INDEX('Per Invoice'!AD$2:AD$401,$AH102)))</f>
        <v/>
      </c>
      <c r="AE102" s="7">
        <f>IF($AH102="","",IF(INDEX('Per Invoice'!AE$2:AE$401,$AH102)="","",INDEX('Per Invoice'!AE$2:AE$401,$AH102)))</f>
        <v/>
      </c>
      <c r="AF102">
        <f>IF($AH102="","",IF(INDEX('Per Invoice'!AF$2:AF$401,$AH102)="","",INDEX('Per Invoice'!AF$2:AF$401,$AH102)))</f>
        <v/>
      </c>
      <c r="AG102" s="7">
        <f>IF($AH102="","",IF(INDEX('Per Invoice'!AG$2:AG$401,$AH102)="","",INDEX('Per Invoice'!AG$2:AG$401,$AH102)))</f>
        <v/>
      </c>
      <c r="AH102" s="16">
        <f>IFERROR(MATCH(Settings!$C$26&amp;"|"&amp;ROWS($AH$2:$AH102),'Per Invoice'!$AI$2:$AI$401,0),"")</f>
        <v/>
      </c>
    </row>
    <row r="103">
      <c r="A103">
        <f>IF($AH103="","",IF(INDEX('Per Invoice'!A$2:A$401,$AH103)="","",INDEX('Per Invoice'!A$2:A$401,$AH103)))</f>
        <v/>
      </c>
      <c r="B103">
        <f>IF($AH103="","",IF(INDEX('Per Invoice'!B$2:B$401,$AH103)="","",INDEX('Per Invoice'!B$2:B$401,$AH103)))</f>
        <v/>
      </c>
      <c r="C103">
        <f>IF($AH103="","",IF(INDEX('Per Invoice'!C$2:C$401,$AH103)="","",INDEX('Per Invoice'!C$2:C$401,$AH103)))</f>
        <v/>
      </c>
      <c r="D103">
        <f>IF($AH103="","",IF(INDEX('Per Invoice'!D$2:D$401,$AH103)="","",INDEX('Per Invoice'!D$2:D$401,$AH103)))</f>
        <v/>
      </c>
      <c r="E103">
        <f>IF($AH103="","",IF(INDEX('Per Invoice'!E$2:E$401,$AH103)="","",INDEX('Per Invoice'!E$2:E$401,$AH103)))</f>
        <v/>
      </c>
      <c r="F103">
        <f>IF($AH103="","",IF(INDEX('Per Invoice'!F$2:F$401,$AH103)="","",INDEX('Per Invoice'!F$2:F$401,$AH103)))</f>
        <v/>
      </c>
      <c r="G103">
        <f>IF($AH103="","",IF(INDEX('Per Invoice'!G$2:G$401,$AH103)="","",INDEX('Per Invoice'!G$2:G$401,$AH103)))</f>
        <v/>
      </c>
      <c r="H103">
        <f>IF($AH103="","",IF(INDEX('Per Invoice'!H$2:H$401,$AH103)="","",INDEX('Per Invoice'!H$2:H$401,$AH103)))</f>
        <v/>
      </c>
      <c r="I103" s="14">
        <f>IF($AH103="","",IF(INDEX('Per Invoice'!I$2:I$401,$AH103)="","",INDEX('Per Invoice'!I$2:I$401,$AH103)))</f>
        <v/>
      </c>
      <c r="J103">
        <f>IF($AH103="","",IF(INDEX('Per Invoice'!J$2:J$401,$AH103)="","",INDEX('Per Invoice'!J$2:J$401,$AH103)))</f>
        <v/>
      </c>
      <c r="K103">
        <f>IF($AH103="","",IF(INDEX('Per Invoice'!K$2:K$401,$AH103)="","",INDEX('Per Invoice'!K$2:K$401,$AH103)))</f>
        <v/>
      </c>
      <c r="L103">
        <f>IF($AH103="","",IF(INDEX('Per Invoice'!L$2:L$401,$AH103)="","",INDEX('Per Invoice'!L$2:L$401,$AH103)))</f>
        <v/>
      </c>
      <c r="M103">
        <f>IF($AH103="","",IF(INDEX('Per Invoice'!M$2:M$401,$AH103)="","",INDEX('Per Invoice'!M$2:M$401,$AH103)))</f>
        <v/>
      </c>
      <c r="N103">
        <f>IF($AH103="","",IF(INDEX('Per Invoice'!N$2:N$401,$AH103)="","",INDEX('Per Invoice'!N$2:N$401,$AH103)))</f>
        <v/>
      </c>
      <c r="O103">
        <f>IF($AH103="","",IF(INDEX('Per Invoice'!O$2:O$401,$AH103)="","",INDEX('Per Invoice'!O$2:O$401,$AH103)))</f>
        <v/>
      </c>
      <c r="P103" s="7">
        <f>IF($AH103="","",IF(INDEX('Per Invoice'!P$2:P$401,$AH103)="","",INDEX('Per Invoice'!P$2:P$401,$AH103)))</f>
        <v/>
      </c>
      <c r="Q103">
        <f>IF($AH103="","",IF(INDEX('Per Invoice'!Q$2:Q$401,$AH103)="","",INDEX('Per Invoice'!Q$2:Q$401,$AH103)))</f>
        <v/>
      </c>
      <c r="R103">
        <f>IF($AH103="","",IF(INDEX('Per Invoice'!R$2:R$401,$AH103)="","",INDEX('Per Invoice'!R$2:R$401,$AH103)))</f>
        <v/>
      </c>
      <c r="S103">
        <f>IF($AH103="","",IF(INDEX('Per Invoice'!S$2:S$401,$AH103)="","",INDEX('Per Invoice'!S$2:S$401,$AH103)))</f>
        <v/>
      </c>
      <c r="T103" s="7">
        <f>IF($AH103="","",IF(INDEX('Per Invoice'!T$2:T$401,$AH103)="","",INDEX('Per Invoice'!T$2:T$401,$AH103)))</f>
        <v/>
      </c>
      <c r="U103" s="7">
        <f>IF($AH103="","",IF(INDEX('Per Invoice'!U$2:U$401,$AH103)="","",INDEX('Per Invoice'!U$2:U$401,$AH103)))</f>
        <v/>
      </c>
      <c r="V103">
        <f>IF($AH103="","",IF(INDEX('Per Invoice'!V$2:V$401,$AH103)="","",INDEX('Per Invoice'!V$2:V$401,$AH103)))</f>
        <v/>
      </c>
      <c r="W103" s="7">
        <f>IF($AH103="","",IF(INDEX('Per Invoice'!W$2:W$401,$AH103)="","",INDEX('Per Invoice'!W$2:W$401,$AH103)))</f>
        <v/>
      </c>
      <c r="X103" s="7">
        <f>IF($AH103="","",IF(INDEX('Per Invoice'!X$2:X$401,$AH103)="","",INDEX('Per Invoice'!X$2:X$401,$AH103)))</f>
        <v/>
      </c>
      <c r="Y103">
        <f>IF($AH103="","",IF(INDEX('Per Invoice'!Y$2:Y$401,$AH103)="","",INDEX('Per Invoice'!Y$2:Y$401,$AH103)))</f>
        <v/>
      </c>
      <c r="Z103" s="7">
        <f>IF($AH103="","",IF(INDEX('Per Invoice'!Z$2:Z$401,$AH103)="","",INDEX('Per Invoice'!Z$2:Z$401,$AH103)))</f>
        <v/>
      </c>
      <c r="AA103" s="7">
        <f>IF($AH103="","",IF(INDEX('Per Invoice'!AA$2:AA$401,$AH103)="","",INDEX('Per Invoice'!AA$2:AA$401,$AH103)))</f>
        <v/>
      </c>
      <c r="AB103" s="7">
        <f>IF($AH103="","",IF(INDEX('Per Invoice'!AB$2:AB$401,$AH103)="","",INDEX('Per Invoice'!AB$2:AB$401,$AH103)))</f>
        <v/>
      </c>
      <c r="AC103" s="7">
        <f>IF($AH103="","",IF(INDEX('Per Invoice'!AC$2:AC$401,$AH103)="","",INDEX('Per Invoice'!AC$2:AC$401,$AH103)))</f>
        <v/>
      </c>
      <c r="AD103" s="7">
        <f>IF($AH103="","",IF(INDEX('Per Invoice'!AD$2:AD$401,$AH103)="","",INDEX('Per Invoice'!AD$2:AD$401,$AH103)))</f>
        <v/>
      </c>
      <c r="AE103" s="7">
        <f>IF($AH103="","",IF(INDEX('Per Invoice'!AE$2:AE$401,$AH103)="","",INDEX('Per Invoice'!AE$2:AE$401,$AH103)))</f>
        <v/>
      </c>
      <c r="AF103">
        <f>IF($AH103="","",IF(INDEX('Per Invoice'!AF$2:AF$401,$AH103)="","",INDEX('Per Invoice'!AF$2:AF$401,$AH103)))</f>
        <v/>
      </c>
      <c r="AG103" s="7">
        <f>IF($AH103="","",IF(INDEX('Per Invoice'!AG$2:AG$401,$AH103)="","",INDEX('Per Invoice'!AG$2:AG$401,$AH103)))</f>
        <v/>
      </c>
      <c r="AH103" s="16">
        <f>IFERROR(MATCH(Settings!$C$26&amp;"|"&amp;ROWS($AH$2:$AH103),'Per Invoice'!$AI$2:$AI$401,0),"")</f>
        <v/>
      </c>
    </row>
    <row r="104">
      <c r="A104">
        <f>IF($AH104="","",IF(INDEX('Per Invoice'!A$2:A$401,$AH104)="","",INDEX('Per Invoice'!A$2:A$401,$AH104)))</f>
        <v/>
      </c>
      <c r="B104">
        <f>IF($AH104="","",IF(INDEX('Per Invoice'!B$2:B$401,$AH104)="","",INDEX('Per Invoice'!B$2:B$401,$AH104)))</f>
        <v/>
      </c>
      <c r="C104">
        <f>IF($AH104="","",IF(INDEX('Per Invoice'!C$2:C$401,$AH104)="","",INDEX('Per Invoice'!C$2:C$401,$AH104)))</f>
        <v/>
      </c>
      <c r="D104">
        <f>IF($AH104="","",IF(INDEX('Per Invoice'!D$2:D$401,$AH104)="","",INDEX('Per Invoice'!D$2:D$401,$AH104)))</f>
        <v/>
      </c>
      <c r="E104">
        <f>IF($AH104="","",IF(INDEX('Per Invoice'!E$2:E$401,$AH104)="","",INDEX('Per Invoice'!E$2:E$401,$AH104)))</f>
        <v/>
      </c>
      <c r="F104">
        <f>IF($AH104="","",IF(INDEX('Per Invoice'!F$2:F$401,$AH104)="","",INDEX('Per Invoice'!F$2:F$401,$AH104)))</f>
        <v/>
      </c>
      <c r="G104">
        <f>IF($AH104="","",IF(INDEX('Per Invoice'!G$2:G$401,$AH104)="","",INDEX('Per Invoice'!G$2:G$401,$AH104)))</f>
        <v/>
      </c>
      <c r="H104">
        <f>IF($AH104="","",IF(INDEX('Per Invoice'!H$2:H$401,$AH104)="","",INDEX('Per Invoice'!H$2:H$401,$AH104)))</f>
        <v/>
      </c>
      <c r="I104" s="14">
        <f>IF($AH104="","",IF(INDEX('Per Invoice'!I$2:I$401,$AH104)="","",INDEX('Per Invoice'!I$2:I$401,$AH104)))</f>
        <v/>
      </c>
      <c r="J104">
        <f>IF($AH104="","",IF(INDEX('Per Invoice'!J$2:J$401,$AH104)="","",INDEX('Per Invoice'!J$2:J$401,$AH104)))</f>
        <v/>
      </c>
      <c r="K104">
        <f>IF($AH104="","",IF(INDEX('Per Invoice'!K$2:K$401,$AH104)="","",INDEX('Per Invoice'!K$2:K$401,$AH104)))</f>
        <v/>
      </c>
      <c r="L104">
        <f>IF($AH104="","",IF(INDEX('Per Invoice'!L$2:L$401,$AH104)="","",INDEX('Per Invoice'!L$2:L$401,$AH104)))</f>
        <v/>
      </c>
      <c r="M104">
        <f>IF($AH104="","",IF(INDEX('Per Invoice'!M$2:M$401,$AH104)="","",INDEX('Per Invoice'!M$2:M$401,$AH104)))</f>
        <v/>
      </c>
      <c r="N104">
        <f>IF($AH104="","",IF(INDEX('Per Invoice'!N$2:N$401,$AH104)="","",INDEX('Per Invoice'!N$2:N$401,$AH104)))</f>
        <v/>
      </c>
      <c r="O104">
        <f>IF($AH104="","",IF(INDEX('Per Invoice'!O$2:O$401,$AH104)="","",INDEX('Per Invoice'!O$2:O$401,$AH104)))</f>
        <v/>
      </c>
      <c r="P104" s="7">
        <f>IF($AH104="","",IF(INDEX('Per Invoice'!P$2:P$401,$AH104)="","",INDEX('Per Invoice'!P$2:P$401,$AH104)))</f>
        <v/>
      </c>
      <c r="Q104">
        <f>IF($AH104="","",IF(INDEX('Per Invoice'!Q$2:Q$401,$AH104)="","",INDEX('Per Invoice'!Q$2:Q$401,$AH104)))</f>
        <v/>
      </c>
      <c r="R104">
        <f>IF($AH104="","",IF(INDEX('Per Invoice'!R$2:R$401,$AH104)="","",INDEX('Per Invoice'!R$2:R$401,$AH104)))</f>
        <v/>
      </c>
      <c r="S104">
        <f>IF($AH104="","",IF(INDEX('Per Invoice'!S$2:S$401,$AH104)="","",INDEX('Per Invoice'!S$2:S$401,$AH104)))</f>
        <v/>
      </c>
      <c r="T104" s="7">
        <f>IF($AH104="","",IF(INDEX('Per Invoice'!T$2:T$401,$AH104)="","",INDEX('Per Invoice'!T$2:T$401,$AH104)))</f>
        <v/>
      </c>
      <c r="U104" s="7">
        <f>IF($AH104="","",IF(INDEX('Per Invoice'!U$2:U$401,$AH104)="","",INDEX('Per Invoice'!U$2:U$401,$AH104)))</f>
        <v/>
      </c>
      <c r="V104">
        <f>IF($AH104="","",IF(INDEX('Per Invoice'!V$2:V$401,$AH104)="","",INDEX('Per Invoice'!V$2:V$401,$AH104)))</f>
        <v/>
      </c>
      <c r="W104" s="7">
        <f>IF($AH104="","",IF(INDEX('Per Invoice'!W$2:W$401,$AH104)="","",INDEX('Per Invoice'!W$2:W$401,$AH104)))</f>
        <v/>
      </c>
      <c r="X104" s="7">
        <f>IF($AH104="","",IF(INDEX('Per Invoice'!X$2:X$401,$AH104)="","",INDEX('Per Invoice'!X$2:X$401,$AH104)))</f>
        <v/>
      </c>
      <c r="Y104">
        <f>IF($AH104="","",IF(INDEX('Per Invoice'!Y$2:Y$401,$AH104)="","",INDEX('Per Invoice'!Y$2:Y$401,$AH104)))</f>
        <v/>
      </c>
      <c r="Z104" s="7">
        <f>IF($AH104="","",IF(INDEX('Per Invoice'!Z$2:Z$401,$AH104)="","",INDEX('Per Invoice'!Z$2:Z$401,$AH104)))</f>
        <v/>
      </c>
      <c r="AA104" s="7">
        <f>IF($AH104="","",IF(INDEX('Per Invoice'!AA$2:AA$401,$AH104)="","",INDEX('Per Invoice'!AA$2:AA$401,$AH104)))</f>
        <v/>
      </c>
      <c r="AB104" s="7">
        <f>IF($AH104="","",IF(INDEX('Per Invoice'!AB$2:AB$401,$AH104)="","",INDEX('Per Invoice'!AB$2:AB$401,$AH104)))</f>
        <v/>
      </c>
      <c r="AC104" s="7">
        <f>IF($AH104="","",IF(INDEX('Per Invoice'!AC$2:AC$401,$AH104)="","",INDEX('Per Invoice'!AC$2:AC$401,$AH104)))</f>
        <v/>
      </c>
      <c r="AD104" s="7">
        <f>IF($AH104="","",IF(INDEX('Per Invoice'!AD$2:AD$401,$AH104)="","",INDEX('Per Invoice'!AD$2:AD$401,$AH104)))</f>
        <v/>
      </c>
      <c r="AE104" s="7">
        <f>IF($AH104="","",IF(INDEX('Per Invoice'!AE$2:AE$401,$AH104)="","",INDEX('Per Invoice'!AE$2:AE$401,$AH104)))</f>
        <v/>
      </c>
      <c r="AF104">
        <f>IF($AH104="","",IF(INDEX('Per Invoice'!AF$2:AF$401,$AH104)="","",INDEX('Per Invoice'!AF$2:AF$401,$AH104)))</f>
        <v/>
      </c>
      <c r="AG104" s="7">
        <f>IF($AH104="","",IF(INDEX('Per Invoice'!AG$2:AG$401,$AH104)="","",INDEX('Per Invoice'!AG$2:AG$401,$AH104)))</f>
        <v/>
      </c>
      <c r="AH104" s="16">
        <f>IFERROR(MATCH(Settings!$C$26&amp;"|"&amp;ROWS($AH$2:$AH104),'Per Invoice'!$AI$2:$AI$401,0),"")</f>
        <v/>
      </c>
    </row>
    <row r="105">
      <c r="A105">
        <f>IF($AH105="","",IF(INDEX('Per Invoice'!A$2:A$401,$AH105)="","",INDEX('Per Invoice'!A$2:A$401,$AH105)))</f>
        <v/>
      </c>
      <c r="B105">
        <f>IF($AH105="","",IF(INDEX('Per Invoice'!B$2:B$401,$AH105)="","",INDEX('Per Invoice'!B$2:B$401,$AH105)))</f>
        <v/>
      </c>
      <c r="C105">
        <f>IF($AH105="","",IF(INDEX('Per Invoice'!C$2:C$401,$AH105)="","",INDEX('Per Invoice'!C$2:C$401,$AH105)))</f>
        <v/>
      </c>
      <c r="D105">
        <f>IF($AH105="","",IF(INDEX('Per Invoice'!D$2:D$401,$AH105)="","",INDEX('Per Invoice'!D$2:D$401,$AH105)))</f>
        <v/>
      </c>
      <c r="E105">
        <f>IF($AH105="","",IF(INDEX('Per Invoice'!E$2:E$401,$AH105)="","",INDEX('Per Invoice'!E$2:E$401,$AH105)))</f>
        <v/>
      </c>
      <c r="F105">
        <f>IF($AH105="","",IF(INDEX('Per Invoice'!F$2:F$401,$AH105)="","",INDEX('Per Invoice'!F$2:F$401,$AH105)))</f>
        <v/>
      </c>
      <c r="G105">
        <f>IF($AH105="","",IF(INDEX('Per Invoice'!G$2:G$401,$AH105)="","",INDEX('Per Invoice'!G$2:G$401,$AH105)))</f>
        <v/>
      </c>
      <c r="H105">
        <f>IF($AH105="","",IF(INDEX('Per Invoice'!H$2:H$401,$AH105)="","",INDEX('Per Invoice'!H$2:H$401,$AH105)))</f>
        <v/>
      </c>
      <c r="I105" s="14">
        <f>IF($AH105="","",IF(INDEX('Per Invoice'!I$2:I$401,$AH105)="","",INDEX('Per Invoice'!I$2:I$401,$AH105)))</f>
        <v/>
      </c>
      <c r="J105">
        <f>IF($AH105="","",IF(INDEX('Per Invoice'!J$2:J$401,$AH105)="","",INDEX('Per Invoice'!J$2:J$401,$AH105)))</f>
        <v/>
      </c>
      <c r="K105">
        <f>IF($AH105="","",IF(INDEX('Per Invoice'!K$2:K$401,$AH105)="","",INDEX('Per Invoice'!K$2:K$401,$AH105)))</f>
        <v/>
      </c>
      <c r="L105">
        <f>IF($AH105="","",IF(INDEX('Per Invoice'!L$2:L$401,$AH105)="","",INDEX('Per Invoice'!L$2:L$401,$AH105)))</f>
        <v/>
      </c>
      <c r="M105">
        <f>IF($AH105="","",IF(INDEX('Per Invoice'!M$2:M$401,$AH105)="","",INDEX('Per Invoice'!M$2:M$401,$AH105)))</f>
        <v/>
      </c>
      <c r="N105">
        <f>IF($AH105="","",IF(INDEX('Per Invoice'!N$2:N$401,$AH105)="","",INDEX('Per Invoice'!N$2:N$401,$AH105)))</f>
        <v/>
      </c>
      <c r="O105">
        <f>IF($AH105="","",IF(INDEX('Per Invoice'!O$2:O$401,$AH105)="","",INDEX('Per Invoice'!O$2:O$401,$AH105)))</f>
        <v/>
      </c>
      <c r="P105" s="7">
        <f>IF($AH105="","",IF(INDEX('Per Invoice'!P$2:P$401,$AH105)="","",INDEX('Per Invoice'!P$2:P$401,$AH105)))</f>
        <v/>
      </c>
      <c r="Q105">
        <f>IF($AH105="","",IF(INDEX('Per Invoice'!Q$2:Q$401,$AH105)="","",INDEX('Per Invoice'!Q$2:Q$401,$AH105)))</f>
        <v/>
      </c>
      <c r="R105">
        <f>IF($AH105="","",IF(INDEX('Per Invoice'!R$2:R$401,$AH105)="","",INDEX('Per Invoice'!R$2:R$401,$AH105)))</f>
        <v/>
      </c>
      <c r="S105">
        <f>IF($AH105="","",IF(INDEX('Per Invoice'!S$2:S$401,$AH105)="","",INDEX('Per Invoice'!S$2:S$401,$AH105)))</f>
        <v/>
      </c>
      <c r="T105" s="7">
        <f>IF($AH105="","",IF(INDEX('Per Invoice'!T$2:T$401,$AH105)="","",INDEX('Per Invoice'!T$2:T$401,$AH105)))</f>
        <v/>
      </c>
      <c r="U105" s="7">
        <f>IF($AH105="","",IF(INDEX('Per Invoice'!U$2:U$401,$AH105)="","",INDEX('Per Invoice'!U$2:U$401,$AH105)))</f>
        <v/>
      </c>
      <c r="V105">
        <f>IF($AH105="","",IF(INDEX('Per Invoice'!V$2:V$401,$AH105)="","",INDEX('Per Invoice'!V$2:V$401,$AH105)))</f>
        <v/>
      </c>
      <c r="W105" s="7">
        <f>IF($AH105="","",IF(INDEX('Per Invoice'!W$2:W$401,$AH105)="","",INDEX('Per Invoice'!W$2:W$401,$AH105)))</f>
        <v/>
      </c>
      <c r="X105" s="7">
        <f>IF($AH105="","",IF(INDEX('Per Invoice'!X$2:X$401,$AH105)="","",INDEX('Per Invoice'!X$2:X$401,$AH105)))</f>
        <v/>
      </c>
      <c r="Y105">
        <f>IF($AH105="","",IF(INDEX('Per Invoice'!Y$2:Y$401,$AH105)="","",INDEX('Per Invoice'!Y$2:Y$401,$AH105)))</f>
        <v/>
      </c>
      <c r="Z105" s="7">
        <f>IF($AH105="","",IF(INDEX('Per Invoice'!Z$2:Z$401,$AH105)="","",INDEX('Per Invoice'!Z$2:Z$401,$AH105)))</f>
        <v/>
      </c>
      <c r="AA105" s="7">
        <f>IF($AH105="","",IF(INDEX('Per Invoice'!AA$2:AA$401,$AH105)="","",INDEX('Per Invoice'!AA$2:AA$401,$AH105)))</f>
        <v/>
      </c>
      <c r="AB105" s="7">
        <f>IF($AH105="","",IF(INDEX('Per Invoice'!AB$2:AB$401,$AH105)="","",INDEX('Per Invoice'!AB$2:AB$401,$AH105)))</f>
        <v/>
      </c>
      <c r="AC105" s="7">
        <f>IF($AH105="","",IF(INDEX('Per Invoice'!AC$2:AC$401,$AH105)="","",INDEX('Per Invoice'!AC$2:AC$401,$AH105)))</f>
        <v/>
      </c>
      <c r="AD105" s="7">
        <f>IF($AH105="","",IF(INDEX('Per Invoice'!AD$2:AD$401,$AH105)="","",INDEX('Per Invoice'!AD$2:AD$401,$AH105)))</f>
        <v/>
      </c>
      <c r="AE105" s="7">
        <f>IF($AH105="","",IF(INDEX('Per Invoice'!AE$2:AE$401,$AH105)="","",INDEX('Per Invoice'!AE$2:AE$401,$AH105)))</f>
        <v/>
      </c>
      <c r="AF105">
        <f>IF($AH105="","",IF(INDEX('Per Invoice'!AF$2:AF$401,$AH105)="","",INDEX('Per Invoice'!AF$2:AF$401,$AH105)))</f>
        <v/>
      </c>
      <c r="AG105" s="7">
        <f>IF($AH105="","",IF(INDEX('Per Invoice'!AG$2:AG$401,$AH105)="","",INDEX('Per Invoice'!AG$2:AG$401,$AH105)))</f>
        <v/>
      </c>
      <c r="AH105" s="16">
        <f>IFERROR(MATCH(Settings!$C$26&amp;"|"&amp;ROWS($AH$2:$AH105),'Per Invoice'!$AI$2:$AI$401,0),"")</f>
        <v/>
      </c>
    </row>
    <row r="106">
      <c r="A106">
        <f>IF($AH106="","",IF(INDEX('Per Invoice'!A$2:A$401,$AH106)="","",INDEX('Per Invoice'!A$2:A$401,$AH106)))</f>
        <v/>
      </c>
      <c r="B106">
        <f>IF($AH106="","",IF(INDEX('Per Invoice'!B$2:B$401,$AH106)="","",INDEX('Per Invoice'!B$2:B$401,$AH106)))</f>
        <v/>
      </c>
      <c r="C106">
        <f>IF($AH106="","",IF(INDEX('Per Invoice'!C$2:C$401,$AH106)="","",INDEX('Per Invoice'!C$2:C$401,$AH106)))</f>
        <v/>
      </c>
      <c r="D106">
        <f>IF($AH106="","",IF(INDEX('Per Invoice'!D$2:D$401,$AH106)="","",INDEX('Per Invoice'!D$2:D$401,$AH106)))</f>
        <v/>
      </c>
      <c r="E106">
        <f>IF($AH106="","",IF(INDEX('Per Invoice'!E$2:E$401,$AH106)="","",INDEX('Per Invoice'!E$2:E$401,$AH106)))</f>
        <v/>
      </c>
      <c r="F106">
        <f>IF($AH106="","",IF(INDEX('Per Invoice'!F$2:F$401,$AH106)="","",INDEX('Per Invoice'!F$2:F$401,$AH106)))</f>
        <v/>
      </c>
      <c r="G106">
        <f>IF($AH106="","",IF(INDEX('Per Invoice'!G$2:G$401,$AH106)="","",INDEX('Per Invoice'!G$2:G$401,$AH106)))</f>
        <v/>
      </c>
      <c r="H106">
        <f>IF($AH106="","",IF(INDEX('Per Invoice'!H$2:H$401,$AH106)="","",INDEX('Per Invoice'!H$2:H$401,$AH106)))</f>
        <v/>
      </c>
      <c r="I106" s="14">
        <f>IF($AH106="","",IF(INDEX('Per Invoice'!I$2:I$401,$AH106)="","",INDEX('Per Invoice'!I$2:I$401,$AH106)))</f>
        <v/>
      </c>
      <c r="J106">
        <f>IF($AH106="","",IF(INDEX('Per Invoice'!J$2:J$401,$AH106)="","",INDEX('Per Invoice'!J$2:J$401,$AH106)))</f>
        <v/>
      </c>
      <c r="K106">
        <f>IF($AH106="","",IF(INDEX('Per Invoice'!K$2:K$401,$AH106)="","",INDEX('Per Invoice'!K$2:K$401,$AH106)))</f>
        <v/>
      </c>
      <c r="L106">
        <f>IF($AH106="","",IF(INDEX('Per Invoice'!L$2:L$401,$AH106)="","",INDEX('Per Invoice'!L$2:L$401,$AH106)))</f>
        <v/>
      </c>
      <c r="M106">
        <f>IF($AH106="","",IF(INDEX('Per Invoice'!M$2:M$401,$AH106)="","",INDEX('Per Invoice'!M$2:M$401,$AH106)))</f>
        <v/>
      </c>
      <c r="N106">
        <f>IF($AH106="","",IF(INDEX('Per Invoice'!N$2:N$401,$AH106)="","",INDEX('Per Invoice'!N$2:N$401,$AH106)))</f>
        <v/>
      </c>
      <c r="O106">
        <f>IF($AH106="","",IF(INDEX('Per Invoice'!O$2:O$401,$AH106)="","",INDEX('Per Invoice'!O$2:O$401,$AH106)))</f>
        <v/>
      </c>
      <c r="P106" s="7">
        <f>IF($AH106="","",IF(INDEX('Per Invoice'!P$2:P$401,$AH106)="","",INDEX('Per Invoice'!P$2:P$401,$AH106)))</f>
        <v/>
      </c>
      <c r="Q106">
        <f>IF($AH106="","",IF(INDEX('Per Invoice'!Q$2:Q$401,$AH106)="","",INDEX('Per Invoice'!Q$2:Q$401,$AH106)))</f>
        <v/>
      </c>
      <c r="R106">
        <f>IF($AH106="","",IF(INDEX('Per Invoice'!R$2:R$401,$AH106)="","",INDEX('Per Invoice'!R$2:R$401,$AH106)))</f>
        <v/>
      </c>
      <c r="S106">
        <f>IF($AH106="","",IF(INDEX('Per Invoice'!S$2:S$401,$AH106)="","",INDEX('Per Invoice'!S$2:S$401,$AH106)))</f>
        <v/>
      </c>
      <c r="T106" s="7">
        <f>IF($AH106="","",IF(INDEX('Per Invoice'!T$2:T$401,$AH106)="","",INDEX('Per Invoice'!T$2:T$401,$AH106)))</f>
        <v/>
      </c>
      <c r="U106" s="7">
        <f>IF($AH106="","",IF(INDEX('Per Invoice'!U$2:U$401,$AH106)="","",INDEX('Per Invoice'!U$2:U$401,$AH106)))</f>
        <v/>
      </c>
      <c r="V106">
        <f>IF($AH106="","",IF(INDEX('Per Invoice'!V$2:V$401,$AH106)="","",INDEX('Per Invoice'!V$2:V$401,$AH106)))</f>
        <v/>
      </c>
      <c r="W106" s="7">
        <f>IF($AH106="","",IF(INDEX('Per Invoice'!W$2:W$401,$AH106)="","",INDEX('Per Invoice'!W$2:W$401,$AH106)))</f>
        <v/>
      </c>
      <c r="X106" s="7">
        <f>IF($AH106="","",IF(INDEX('Per Invoice'!X$2:X$401,$AH106)="","",INDEX('Per Invoice'!X$2:X$401,$AH106)))</f>
        <v/>
      </c>
      <c r="Y106">
        <f>IF($AH106="","",IF(INDEX('Per Invoice'!Y$2:Y$401,$AH106)="","",INDEX('Per Invoice'!Y$2:Y$401,$AH106)))</f>
        <v/>
      </c>
      <c r="Z106" s="7">
        <f>IF($AH106="","",IF(INDEX('Per Invoice'!Z$2:Z$401,$AH106)="","",INDEX('Per Invoice'!Z$2:Z$401,$AH106)))</f>
        <v/>
      </c>
      <c r="AA106" s="7">
        <f>IF($AH106="","",IF(INDEX('Per Invoice'!AA$2:AA$401,$AH106)="","",INDEX('Per Invoice'!AA$2:AA$401,$AH106)))</f>
        <v/>
      </c>
      <c r="AB106" s="7">
        <f>IF($AH106="","",IF(INDEX('Per Invoice'!AB$2:AB$401,$AH106)="","",INDEX('Per Invoice'!AB$2:AB$401,$AH106)))</f>
        <v/>
      </c>
      <c r="AC106" s="7">
        <f>IF($AH106="","",IF(INDEX('Per Invoice'!AC$2:AC$401,$AH106)="","",INDEX('Per Invoice'!AC$2:AC$401,$AH106)))</f>
        <v/>
      </c>
      <c r="AD106" s="7">
        <f>IF($AH106="","",IF(INDEX('Per Invoice'!AD$2:AD$401,$AH106)="","",INDEX('Per Invoice'!AD$2:AD$401,$AH106)))</f>
        <v/>
      </c>
      <c r="AE106" s="7">
        <f>IF($AH106="","",IF(INDEX('Per Invoice'!AE$2:AE$401,$AH106)="","",INDEX('Per Invoice'!AE$2:AE$401,$AH106)))</f>
        <v/>
      </c>
      <c r="AF106">
        <f>IF($AH106="","",IF(INDEX('Per Invoice'!AF$2:AF$401,$AH106)="","",INDEX('Per Invoice'!AF$2:AF$401,$AH106)))</f>
        <v/>
      </c>
      <c r="AG106" s="7">
        <f>IF($AH106="","",IF(INDEX('Per Invoice'!AG$2:AG$401,$AH106)="","",INDEX('Per Invoice'!AG$2:AG$401,$AH106)))</f>
        <v/>
      </c>
      <c r="AH106" s="16">
        <f>IFERROR(MATCH(Settings!$C$26&amp;"|"&amp;ROWS($AH$2:$AH106),'Per Invoice'!$AI$2:$AI$401,0),"")</f>
        <v/>
      </c>
    </row>
    <row r="107">
      <c r="A107">
        <f>IF($AH107="","",IF(INDEX('Per Invoice'!A$2:A$401,$AH107)="","",INDEX('Per Invoice'!A$2:A$401,$AH107)))</f>
        <v/>
      </c>
      <c r="B107">
        <f>IF($AH107="","",IF(INDEX('Per Invoice'!B$2:B$401,$AH107)="","",INDEX('Per Invoice'!B$2:B$401,$AH107)))</f>
        <v/>
      </c>
      <c r="C107">
        <f>IF($AH107="","",IF(INDEX('Per Invoice'!C$2:C$401,$AH107)="","",INDEX('Per Invoice'!C$2:C$401,$AH107)))</f>
        <v/>
      </c>
      <c r="D107">
        <f>IF($AH107="","",IF(INDEX('Per Invoice'!D$2:D$401,$AH107)="","",INDEX('Per Invoice'!D$2:D$401,$AH107)))</f>
        <v/>
      </c>
      <c r="E107">
        <f>IF($AH107="","",IF(INDEX('Per Invoice'!E$2:E$401,$AH107)="","",INDEX('Per Invoice'!E$2:E$401,$AH107)))</f>
        <v/>
      </c>
      <c r="F107">
        <f>IF($AH107="","",IF(INDEX('Per Invoice'!F$2:F$401,$AH107)="","",INDEX('Per Invoice'!F$2:F$401,$AH107)))</f>
        <v/>
      </c>
      <c r="G107">
        <f>IF($AH107="","",IF(INDEX('Per Invoice'!G$2:G$401,$AH107)="","",INDEX('Per Invoice'!G$2:G$401,$AH107)))</f>
        <v/>
      </c>
      <c r="H107">
        <f>IF($AH107="","",IF(INDEX('Per Invoice'!H$2:H$401,$AH107)="","",INDEX('Per Invoice'!H$2:H$401,$AH107)))</f>
        <v/>
      </c>
      <c r="I107" s="14">
        <f>IF($AH107="","",IF(INDEX('Per Invoice'!I$2:I$401,$AH107)="","",INDEX('Per Invoice'!I$2:I$401,$AH107)))</f>
        <v/>
      </c>
      <c r="J107">
        <f>IF($AH107="","",IF(INDEX('Per Invoice'!J$2:J$401,$AH107)="","",INDEX('Per Invoice'!J$2:J$401,$AH107)))</f>
        <v/>
      </c>
      <c r="K107">
        <f>IF($AH107="","",IF(INDEX('Per Invoice'!K$2:K$401,$AH107)="","",INDEX('Per Invoice'!K$2:K$401,$AH107)))</f>
        <v/>
      </c>
      <c r="L107">
        <f>IF($AH107="","",IF(INDEX('Per Invoice'!L$2:L$401,$AH107)="","",INDEX('Per Invoice'!L$2:L$401,$AH107)))</f>
        <v/>
      </c>
      <c r="M107">
        <f>IF($AH107="","",IF(INDEX('Per Invoice'!M$2:M$401,$AH107)="","",INDEX('Per Invoice'!M$2:M$401,$AH107)))</f>
        <v/>
      </c>
      <c r="N107">
        <f>IF($AH107="","",IF(INDEX('Per Invoice'!N$2:N$401,$AH107)="","",INDEX('Per Invoice'!N$2:N$401,$AH107)))</f>
        <v/>
      </c>
      <c r="O107">
        <f>IF($AH107="","",IF(INDEX('Per Invoice'!O$2:O$401,$AH107)="","",INDEX('Per Invoice'!O$2:O$401,$AH107)))</f>
        <v/>
      </c>
      <c r="P107" s="7">
        <f>IF($AH107="","",IF(INDEX('Per Invoice'!P$2:P$401,$AH107)="","",INDEX('Per Invoice'!P$2:P$401,$AH107)))</f>
        <v/>
      </c>
      <c r="Q107">
        <f>IF($AH107="","",IF(INDEX('Per Invoice'!Q$2:Q$401,$AH107)="","",INDEX('Per Invoice'!Q$2:Q$401,$AH107)))</f>
        <v/>
      </c>
      <c r="R107">
        <f>IF($AH107="","",IF(INDEX('Per Invoice'!R$2:R$401,$AH107)="","",INDEX('Per Invoice'!R$2:R$401,$AH107)))</f>
        <v/>
      </c>
      <c r="S107">
        <f>IF($AH107="","",IF(INDEX('Per Invoice'!S$2:S$401,$AH107)="","",INDEX('Per Invoice'!S$2:S$401,$AH107)))</f>
        <v/>
      </c>
      <c r="T107" s="7">
        <f>IF($AH107="","",IF(INDEX('Per Invoice'!T$2:T$401,$AH107)="","",INDEX('Per Invoice'!T$2:T$401,$AH107)))</f>
        <v/>
      </c>
      <c r="U107" s="7">
        <f>IF($AH107="","",IF(INDEX('Per Invoice'!U$2:U$401,$AH107)="","",INDEX('Per Invoice'!U$2:U$401,$AH107)))</f>
        <v/>
      </c>
      <c r="V107">
        <f>IF($AH107="","",IF(INDEX('Per Invoice'!V$2:V$401,$AH107)="","",INDEX('Per Invoice'!V$2:V$401,$AH107)))</f>
        <v/>
      </c>
      <c r="W107" s="7">
        <f>IF($AH107="","",IF(INDEX('Per Invoice'!W$2:W$401,$AH107)="","",INDEX('Per Invoice'!W$2:W$401,$AH107)))</f>
        <v/>
      </c>
      <c r="X107" s="7">
        <f>IF($AH107="","",IF(INDEX('Per Invoice'!X$2:X$401,$AH107)="","",INDEX('Per Invoice'!X$2:X$401,$AH107)))</f>
        <v/>
      </c>
      <c r="Y107">
        <f>IF($AH107="","",IF(INDEX('Per Invoice'!Y$2:Y$401,$AH107)="","",INDEX('Per Invoice'!Y$2:Y$401,$AH107)))</f>
        <v/>
      </c>
      <c r="Z107" s="7">
        <f>IF($AH107="","",IF(INDEX('Per Invoice'!Z$2:Z$401,$AH107)="","",INDEX('Per Invoice'!Z$2:Z$401,$AH107)))</f>
        <v/>
      </c>
      <c r="AA107" s="7">
        <f>IF($AH107="","",IF(INDEX('Per Invoice'!AA$2:AA$401,$AH107)="","",INDEX('Per Invoice'!AA$2:AA$401,$AH107)))</f>
        <v/>
      </c>
      <c r="AB107" s="7">
        <f>IF($AH107="","",IF(INDEX('Per Invoice'!AB$2:AB$401,$AH107)="","",INDEX('Per Invoice'!AB$2:AB$401,$AH107)))</f>
        <v/>
      </c>
      <c r="AC107" s="7">
        <f>IF($AH107="","",IF(INDEX('Per Invoice'!AC$2:AC$401,$AH107)="","",INDEX('Per Invoice'!AC$2:AC$401,$AH107)))</f>
        <v/>
      </c>
      <c r="AD107" s="7">
        <f>IF($AH107="","",IF(INDEX('Per Invoice'!AD$2:AD$401,$AH107)="","",INDEX('Per Invoice'!AD$2:AD$401,$AH107)))</f>
        <v/>
      </c>
      <c r="AE107" s="7">
        <f>IF($AH107="","",IF(INDEX('Per Invoice'!AE$2:AE$401,$AH107)="","",INDEX('Per Invoice'!AE$2:AE$401,$AH107)))</f>
        <v/>
      </c>
      <c r="AF107">
        <f>IF($AH107="","",IF(INDEX('Per Invoice'!AF$2:AF$401,$AH107)="","",INDEX('Per Invoice'!AF$2:AF$401,$AH107)))</f>
        <v/>
      </c>
      <c r="AG107" s="7">
        <f>IF($AH107="","",IF(INDEX('Per Invoice'!AG$2:AG$401,$AH107)="","",INDEX('Per Invoice'!AG$2:AG$401,$AH107)))</f>
        <v/>
      </c>
      <c r="AH107" s="16">
        <f>IFERROR(MATCH(Settings!$C$26&amp;"|"&amp;ROWS($AH$2:$AH107),'Per Invoice'!$AI$2:$AI$401,0),"")</f>
        <v/>
      </c>
    </row>
    <row r="108">
      <c r="A108">
        <f>IF($AH108="","",IF(INDEX('Per Invoice'!A$2:A$401,$AH108)="","",INDEX('Per Invoice'!A$2:A$401,$AH108)))</f>
        <v/>
      </c>
      <c r="B108">
        <f>IF($AH108="","",IF(INDEX('Per Invoice'!B$2:B$401,$AH108)="","",INDEX('Per Invoice'!B$2:B$401,$AH108)))</f>
        <v/>
      </c>
      <c r="C108">
        <f>IF($AH108="","",IF(INDEX('Per Invoice'!C$2:C$401,$AH108)="","",INDEX('Per Invoice'!C$2:C$401,$AH108)))</f>
        <v/>
      </c>
      <c r="D108">
        <f>IF($AH108="","",IF(INDEX('Per Invoice'!D$2:D$401,$AH108)="","",INDEX('Per Invoice'!D$2:D$401,$AH108)))</f>
        <v/>
      </c>
      <c r="E108">
        <f>IF($AH108="","",IF(INDEX('Per Invoice'!E$2:E$401,$AH108)="","",INDEX('Per Invoice'!E$2:E$401,$AH108)))</f>
        <v/>
      </c>
      <c r="F108">
        <f>IF($AH108="","",IF(INDEX('Per Invoice'!F$2:F$401,$AH108)="","",INDEX('Per Invoice'!F$2:F$401,$AH108)))</f>
        <v/>
      </c>
      <c r="G108">
        <f>IF($AH108="","",IF(INDEX('Per Invoice'!G$2:G$401,$AH108)="","",INDEX('Per Invoice'!G$2:G$401,$AH108)))</f>
        <v/>
      </c>
      <c r="H108">
        <f>IF($AH108="","",IF(INDEX('Per Invoice'!H$2:H$401,$AH108)="","",INDEX('Per Invoice'!H$2:H$401,$AH108)))</f>
        <v/>
      </c>
      <c r="I108" s="14">
        <f>IF($AH108="","",IF(INDEX('Per Invoice'!I$2:I$401,$AH108)="","",INDEX('Per Invoice'!I$2:I$401,$AH108)))</f>
        <v/>
      </c>
      <c r="J108">
        <f>IF($AH108="","",IF(INDEX('Per Invoice'!J$2:J$401,$AH108)="","",INDEX('Per Invoice'!J$2:J$401,$AH108)))</f>
        <v/>
      </c>
      <c r="K108">
        <f>IF($AH108="","",IF(INDEX('Per Invoice'!K$2:K$401,$AH108)="","",INDEX('Per Invoice'!K$2:K$401,$AH108)))</f>
        <v/>
      </c>
      <c r="L108">
        <f>IF($AH108="","",IF(INDEX('Per Invoice'!L$2:L$401,$AH108)="","",INDEX('Per Invoice'!L$2:L$401,$AH108)))</f>
        <v/>
      </c>
      <c r="M108">
        <f>IF($AH108="","",IF(INDEX('Per Invoice'!M$2:M$401,$AH108)="","",INDEX('Per Invoice'!M$2:M$401,$AH108)))</f>
        <v/>
      </c>
      <c r="N108">
        <f>IF($AH108="","",IF(INDEX('Per Invoice'!N$2:N$401,$AH108)="","",INDEX('Per Invoice'!N$2:N$401,$AH108)))</f>
        <v/>
      </c>
      <c r="O108">
        <f>IF($AH108="","",IF(INDEX('Per Invoice'!O$2:O$401,$AH108)="","",INDEX('Per Invoice'!O$2:O$401,$AH108)))</f>
        <v/>
      </c>
      <c r="P108" s="7">
        <f>IF($AH108="","",IF(INDEX('Per Invoice'!P$2:P$401,$AH108)="","",INDEX('Per Invoice'!P$2:P$401,$AH108)))</f>
        <v/>
      </c>
      <c r="Q108">
        <f>IF($AH108="","",IF(INDEX('Per Invoice'!Q$2:Q$401,$AH108)="","",INDEX('Per Invoice'!Q$2:Q$401,$AH108)))</f>
        <v/>
      </c>
      <c r="R108">
        <f>IF($AH108="","",IF(INDEX('Per Invoice'!R$2:R$401,$AH108)="","",INDEX('Per Invoice'!R$2:R$401,$AH108)))</f>
        <v/>
      </c>
      <c r="S108">
        <f>IF($AH108="","",IF(INDEX('Per Invoice'!S$2:S$401,$AH108)="","",INDEX('Per Invoice'!S$2:S$401,$AH108)))</f>
        <v/>
      </c>
      <c r="T108" s="7">
        <f>IF($AH108="","",IF(INDEX('Per Invoice'!T$2:T$401,$AH108)="","",INDEX('Per Invoice'!T$2:T$401,$AH108)))</f>
        <v/>
      </c>
      <c r="U108" s="7">
        <f>IF($AH108="","",IF(INDEX('Per Invoice'!U$2:U$401,$AH108)="","",INDEX('Per Invoice'!U$2:U$401,$AH108)))</f>
        <v/>
      </c>
      <c r="V108">
        <f>IF($AH108="","",IF(INDEX('Per Invoice'!V$2:V$401,$AH108)="","",INDEX('Per Invoice'!V$2:V$401,$AH108)))</f>
        <v/>
      </c>
      <c r="W108" s="7">
        <f>IF($AH108="","",IF(INDEX('Per Invoice'!W$2:W$401,$AH108)="","",INDEX('Per Invoice'!W$2:W$401,$AH108)))</f>
        <v/>
      </c>
      <c r="X108" s="7">
        <f>IF($AH108="","",IF(INDEX('Per Invoice'!X$2:X$401,$AH108)="","",INDEX('Per Invoice'!X$2:X$401,$AH108)))</f>
        <v/>
      </c>
      <c r="Y108">
        <f>IF($AH108="","",IF(INDEX('Per Invoice'!Y$2:Y$401,$AH108)="","",INDEX('Per Invoice'!Y$2:Y$401,$AH108)))</f>
        <v/>
      </c>
      <c r="Z108" s="7">
        <f>IF($AH108="","",IF(INDEX('Per Invoice'!Z$2:Z$401,$AH108)="","",INDEX('Per Invoice'!Z$2:Z$401,$AH108)))</f>
        <v/>
      </c>
      <c r="AA108" s="7">
        <f>IF($AH108="","",IF(INDEX('Per Invoice'!AA$2:AA$401,$AH108)="","",INDEX('Per Invoice'!AA$2:AA$401,$AH108)))</f>
        <v/>
      </c>
      <c r="AB108" s="7">
        <f>IF($AH108="","",IF(INDEX('Per Invoice'!AB$2:AB$401,$AH108)="","",INDEX('Per Invoice'!AB$2:AB$401,$AH108)))</f>
        <v/>
      </c>
      <c r="AC108" s="7">
        <f>IF($AH108="","",IF(INDEX('Per Invoice'!AC$2:AC$401,$AH108)="","",INDEX('Per Invoice'!AC$2:AC$401,$AH108)))</f>
        <v/>
      </c>
      <c r="AD108" s="7">
        <f>IF($AH108="","",IF(INDEX('Per Invoice'!AD$2:AD$401,$AH108)="","",INDEX('Per Invoice'!AD$2:AD$401,$AH108)))</f>
        <v/>
      </c>
      <c r="AE108" s="7">
        <f>IF($AH108="","",IF(INDEX('Per Invoice'!AE$2:AE$401,$AH108)="","",INDEX('Per Invoice'!AE$2:AE$401,$AH108)))</f>
        <v/>
      </c>
      <c r="AF108">
        <f>IF($AH108="","",IF(INDEX('Per Invoice'!AF$2:AF$401,$AH108)="","",INDEX('Per Invoice'!AF$2:AF$401,$AH108)))</f>
        <v/>
      </c>
      <c r="AG108" s="7">
        <f>IF($AH108="","",IF(INDEX('Per Invoice'!AG$2:AG$401,$AH108)="","",INDEX('Per Invoice'!AG$2:AG$401,$AH108)))</f>
        <v/>
      </c>
      <c r="AH108" s="16">
        <f>IFERROR(MATCH(Settings!$C$26&amp;"|"&amp;ROWS($AH$2:$AH108),'Per Invoice'!$AI$2:$AI$401,0),"")</f>
        <v/>
      </c>
    </row>
    <row r="109">
      <c r="A109">
        <f>IF($AH109="","",IF(INDEX('Per Invoice'!A$2:A$401,$AH109)="","",INDEX('Per Invoice'!A$2:A$401,$AH109)))</f>
        <v/>
      </c>
      <c r="B109">
        <f>IF($AH109="","",IF(INDEX('Per Invoice'!B$2:B$401,$AH109)="","",INDEX('Per Invoice'!B$2:B$401,$AH109)))</f>
        <v/>
      </c>
      <c r="C109">
        <f>IF($AH109="","",IF(INDEX('Per Invoice'!C$2:C$401,$AH109)="","",INDEX('Per Invoice'!C$2:C$401,$AH109)))</f>
        <v/>
      </c>
      <c r="D109">
        <f>IF($AH109="","",IF(INDEX('Per Invoice'!D$2:D$401,$AH109)="","",INDEX('Per Invoice'!D$2:D$401,$AH109)))</f>
        <v/>
      </c>
      <c r="E109">
        <f>IF($AH109="","",IF(INDEX('Per Invoice'!E$2:E$401,$AH109)="","",INDEX('Per Invoice'!E$2:E$401,$AH109)))</f>
        <v/>
      </c>
      <c r="F109">
        <f>IF($AH109="","",IF(INDEX('Per Invoice'!F$2:F$401,$AH109)="","",INDEX('Per Invoice'!F$2:F$401,$AH109)))</f>
        <v/>
      </c>
      <c r="G109">
        <f>IF($AH109="","",IF(INDEX('Per Invoice'!G$2:G$401,$AH109)="","",INDEX('Per Invoice'!G$2:G$401,$AH109)))</f>
        <v/>
      </c>
      <c r="H109">
        <f>IF($AH109="","",IF(INDEX('Per Invoice'!H$2:H$401,$AH109)="","",INDEX('Per Invoice'!H$2:H$401,$AH109)))</f>
        <v/>
      </c>
      <c r="I109" s="14">
        <f>IF($AH109="","",IF(INDEX('Per Invoice'!I$2:I$401,$AH109)="","",INDEX('Per Invoice'!I$2:I$401,$AH109)))</f>
        <v/>
      </c>
      <c r="J109">
        <f>IF($AH109="","",IF(INDEX('Per Invoice'!J$2:J$401,$AH109)="","",INDEX('Per Invoice'!J$2:J$401,$AH109)))</f>
        <v/>
      </c>
      <c r="K109">
        <f>IF($AH109="","",IF(INDEX('Per Invoice'!K$2:K$401,$AH109)="","",INDEX('Per Invoice'!K$2:K$401,$AH109)))</f>
        <v/>
      </c>
      <c r="L109">
        <f>IF($AH109="","",IF(INDEX('Per Invoice'!L$2:L$401,$AH109)="","",INDEX('Per Invoice'!L$2:L$401,$AH109)))</f>
        <v/>
      </c>
      <c r="M109">
        <f>IF($AH109="","",IF(INDEX('Per Invoice'!M$2:M$401,$AH109)="","",INDEX('Per Invoice'!M$2:M$401,$AH109)))</f>
        <v/>
      </c>
      <c r="N109">
        <f>IF($AH109="","",IF(INDEX('Per Invoice'!N$2:N$401,$AH109)="","",INDEX('Per Invoice'!N$2:N$401,$AH109)))</f>
        <v/>
      </c>
      <c r="O109">
        <f>IF($AH109="","",IF(INDEX('Per Invoice'!O$2:O$401,$AH109)="","",INDEX('Per Invoice'!O$2:O$401,$AH109)))</f>
        <v/>
      </c>
      <c r="P109" s="7">
        <f>IF($AH109="","",IF(INDEX('Per Invoice'!P$2:P$401,$AH109)="","",INDEX('Per Invoice'!P$2:P$401,$AH109)))</f>
        <v/>
      </c>
      <c r="Q109">
        <f>IF($AH109="","",IF(INDEX('Per Invoice'!Q$2:Q$401,$AH109)="","",INDEX('Per Invoice'!Q$2:Q$401,$AH109)))</f>
        <v/>
      </c>
      <c r="R109">
        <f>IF($AH109="","",IF(INDEX('Per Invoice'!R$2:R$401,$AH109)="","",INDEX('Per Invoice'!R$2:R$401,$AH109)))</f>
        <v/>
      </c>
      <c r="S109">
        <f>IF($AH109="","",IF(INDEX('Per Invoice'!S$2:S$401,$AH109)="","",INDEX('Per Invoice'!S$2:S$401,$AH109)))</f>
        <v/>
      </c>
      <c r="T109" s="7">
        <f>IF($AH109="","",IF(INDEX('Per Invoice'!T$2:T$401,$AH109)="","",INDEX('Per Invoice'!T$2:T$401,$AH109)))</f>
        <v/>
      </c>
      <c r="U109" s="7">
        <f>IF($AH109="","",IF(INDEX('Per Invoice'!U$2:U$401,$AH109)="","",INDEX('Per Invoice'!U$2:U$401,$AH109)))</f>
        <v/>
      </c>
      <c r="V109">
        <f>IF($AH109="","",IF(INDEX('Per Invoice'!V$2:V$401,$AH109)="","",INDEX('Per Invoice'!V$2:V$401,$AH109)))</f>
        <v/>
      </c>
      <c r="W109" s="7">
        <f>IF($AH109="","",IF(INDEX('Per Invoice'!W$2:W$401,$AH109)="","",INDEX('Per Invoice'!W$2:W$401,$AH109)))</f>
        <v/>
      </c>
      <c r="X109" s="7">
        <f>IF($AH109="","",IF(INDEX('Per Invoice'!X$2:X$401,$AH109)="","",INDEX('Per Invoice'!X$2:X$401,$AH109)))</f>
        <v/>
      </c>
      <c r="Y109">
        <f>IF($AH109="","",IF(INDEX('Per Invoice'!Y$2:Y$401,$AH109)="","",INDEX('Per Invoice'!Y$2:Y$401,$AH109)))</f>
        <v/>
      </c>
      <c r="Z109" s="7">
        <f>IF($AH109="","",IF(INDEX('Per Invoice'!Z$2:Z$401,$AH109)="","",INDEX('Per Invoice'!Z$2:Z$401,$AH109)))</f>
        <v/>
      </c>
      <c r="AA109" s="7">
        <f>IF($AH109="","",IF(INDEX('Per Invoice'!AA$2:AA$401,$AH109)="","",INDEX('Per Invoice'!AA$2:AA$401,$AH109)))</f>
        <v/>
      </c>
      <c r="AB109" s="7">
        <f>IF($AH109="","",IF(INDEX('Per Invoice'!AB$2:AB$401,$AH109)="","",INDEX('Per Invoice'!AB$2:AB$401,$AH109)))</f>
        <v/>
      </c>
      <c r="AC109" s="7">
        <f>IF($AH109="","",IF(INDEX('Per Invoice'!AC$2:AC$401,$AH109)="","",INDEX('Per Invoice'!AC$2:AC$401,$AH109)))</f>
        <v/>
      </c>
      <c r="AD109" s="7">
        <f>IF($AH109="","",IF(INDEX('Per Invoice'!AD$2:AD$401,$AH109)="","",INDEX('Per Invoice'!AD$2:AD$401,$AH109)))</f>
        <v/>
      </c>
      <c r="AE109" s="7">
        <f>IF($AH109="","",IF(INDEX('Per Invoice'!AE$2:AE$401,$AH109)="","",INDEX('Per Invoice'!AE$2:AE$401,$AH109)))</f>
        <v/>
      </c>
      <c r="AF109">
        <f>IF($AH109="","",IF(INDEX('Per Invoice'!AF$2:AF$401,$AH109)="","",INDEX('Per Invoice'!AF$2:AF$401,$AH109)))</f>
        <v/>
      </c>
      <c r="AG109" s="7">
        <f>IF($AH109="","",IF(INDEX('Per Invoice'!AG$2:AG$401,$AH109)="","",INDEX('Per Invoice'!AG$2:AG$401,$AH109)))</f>
        <v/>
      </c>
      <c r="AH109" s="16">
        <f>IFERROR(MATCH(Settings!$C$26&amp;"|"&amp;ROWS($AH$2:$AH109),'Per Invoice'!$AI$2:$AI$401,0),"")</f>
        <v/>
      </c>
    </row>
    <row r="110">
      <c r="A110">
        <f>IF($AH110="","",IF(INDEX('Per Invoice'!A$2:A$401,$AH110)="","",INDEX('Per Invoice'!A$2:A$401,$AH110)))</f>
        <v/>
      </c>
      <c r="B110">
        <f>IF($AH110="","",IF(INDEX('Per Invoice'!B$2:B$401,$AH110)="","",INDEX('Per Invoice'!B$2:B$401,$AH110)))</f>
        <v/>
      </c>
      <c r="C110">
        <f>IF($AH110="","",IF(INDEX('Per Invoice'!C$2:C$401,$AH110)="","",INDEX('Per Invoice'!C$2:C$401,$AH110)))</f>
        <v/>
      </c>
      <c r="D110">
        <f>IF($AH110="","",IF(INDEX('Per Invoice'!D$2:D$401,$AH110)="","",INDEX('Per Invoice'!D$2:D$401,$AH110)))</f>
        <v/>
      </c>
      <c r="E110">
        <f>IF($AH110="","",IF(INDEX('Per Invoice'!E$2:E$401,$AH110)="","",INDEX('Per Invoice'!E$2:E$401,$AH110)))</f>
        <v/>
      </c>
      <c r="F110">
        <f>IF($AH110="","",IF(INDEX('Per Invoice'!F$2:F$401,$AH110)="","",INDEX('Per Invoice'!F$2:F$401,$AH110)))</f>
        <v/>
      </c>
      <c r="G110">
        <f>IF($AH110="","",IF(INDEX('Per Invoice'!G$2:G$401,$AH110)="","",INDEX('Per Invoice'!G$2:G$401,$AH110)))</f>
        <v/>
      </c>
      <c r="H110">
        <f>IF($AH110="","",IF(INDEX('Per Invoice'!H$2:H$401,$AH110)="","",INDEX('Per Invoice'!H$2:H$401,$AH110)))</f>
        <v/>
      </c>
      <c r="I110" s="14">
        <f>IF($AH110="","",IF(INDEX('Per Invoice'!I$2:I$401,$AH110)="","",INDEX('Per Invoice'!I$2:I$401,$AH110)))</f>
        <v/>
      </c>
      <c r="J110">
        <f>IF($AH110="","",IF(INDEX('Per Invoice'!J$2:J$401,$AH110)="","",INDEX('Per Invoice'!J$2:J$401,$AH110)))</f>
        <v/>
      </c>
      <c r="K110">
        <f>IF($AH110="","",IF(INDEX('Per Invoice'!K$2:K$401,$AH110)="","",INDEX('Per Invoice'!K$2:K$401,$AH110)))</f>
        <v/>
      </c>
      <c r="L110">
        <f>IF($AH110="","",IF(INDEX('Per Invoice'!L$2:L$401,$AH110)="","",INDEX('Per Invoice'!L$2:L$401,$AH110)))</f>
        <v/>
      </c>
      <c r="M110">
        <f>IF($AH110="","",IF(INDEX('Per Invoice'!M$2:M$401,$AH110)="","",INDEX('Per Invoice'!M$2:M$401,$AH110)))</f>
        <v/>
      </c>
      <c r="N110">
        <f>IF($AH110="","",IF(INDEX('Per Invoice'!N$2:N$401,$AH110)="","",INDEX('Per Invoice'!N$2:N$401,$AH110)))</f>
        <v/>
      </c>
      <c r="O110">
        <f>IF($AH110="","",IF(INDEX('Per Invoice'!O$2:O$401,$AH110)="","",INDEX('Per Invoice'!O$2:O$401,$AH110)))</f>
        <v/>
      </c>
      <c r="P110" s="7">
        <f>IF($AH110="","",IF(INDEX('Per Invoice'!P$2:P$401,$AH110)="","",INDEX('Per Invoice'!P$2:P$401,$AH110)))</f>
        <v/>
      </c>
      <c r="Q110">
        <f>IF($AH110="","",IF(INDEX('Per Invoice'!Q$2:Q$401,$AH110)="","",INDEX('Per Invoice'!Q$2:Q$401,$AH110)))</f>
        <v/>
      </c>
      <c r="R110">
        <f>IF($AH110="","",IF(INDEX('Per Invoice'!R$2:R$401,$AH110)="","",INDEX('Per Invoice'!R$2:R$401,$AH110)))</f>
        <v/>
      </c>
      <c r="S110">
        <f>IF($AH110="","",IF(INDEX('Per Invoice'!S$2:S$401,$AH110)="","",INDEX('Per Invoice'!S$2:S$401,$AH110)))</f>
        <v/>
      </c>
      <c r="T110" s="7">
        <f>IF($AH110="","",IF(INDEX('Per Invoice'!T$2:T$401,$AH110)="","",INDEX('Per Invoice'!T$2:T$401,$AH110)))</f>
        <v/>
      </c>
      <c r="U110" s="7">
        <f>IF($AH110="","",IF(INDEX('Per Invoice'!U$2:U$401,$AH110)="","",INDEX('Per Invoice'!U$2:U$401,$AH110)))</f>
        <v/>
      </c>
      <c r="V110">
        <f>IF($AH110="","",IF(INDEX('Per Invoice'!V$2:V$401,$AH110)="","",INDEX('Per Invoice'!V$2:V$401,$AH110)))</f>
        <v/>
      </c>
      <c r="W110" s="7">
        <f>IF($AH110="","",IF(INDEX('Per Invoice'!W$2:W$401,$AH110)="","",INDEX('Per Invoice'!W$2:W$401,$AH110)))</f>
        <v/>
      </c>
      <c r="X110" s="7">
        <f>IF($AH110="","",IF(INDEX('Per Invoice'!X$2:X$401,$AH110)="","",INDEX('Per Invoice'!X$2:X$401,$AH110)))</f>
        <v/>
      </c>
      <c r="Y110">
        <f>IF($AH110="","",IF(INDEX('Per Invoice'!Y$2:Y$401,$AH110)="","",INDEX('Per Invoice'!Y$2:Y$401,$AH110)))</f>
        <v/>
      </c>
      <c r="Z110" s="7">
        <f>IF($AH110="","",IF(INDEX('Per Invoice'!Z$2:Z$401,$AH110)="","",INDEX('Per Invoice'!Z$2:Z$401,$AH110)))</f>
        <v/>
      </c>
      <c r="AA110" s="7">
        <f>IF($AH110="","",IF(INDEX('Per Invoice'!AA$2:AA$401,$AH110)="","",INDEX('Per Invoice'!AA$2:AA$401,$AH110)))</f>
        <v/>
      </c>
      <c r="AB110" s="7">
        <f>IF($AH110="","",IF(INDEX('Per Invoice'!AB$2:AB$401,$AH110)="","",INDEX('Per Invoice'!AB$2:AB$401,$AH110)))</f>
        <v/>
      </c>
      <c r="AC110" s="7">
        <f>IF($AH110="","",IF(INDEX('Per Invoice'!AC$2:AC$401,$AH110)="","",INDEX('Per Invoice'!AC$2:AC$401,$AH110)))</f>
        <v/>
      </c>
      <c r="AD110" s="7">
        <f>IF($AH110="","",IF(INDEX('Per Invoice'!AD$2:AD$401,$AH110)="","",INDEX('Per Invoice'!AD$2:AD$401,$AH110)))</f>
        <v/>
      </c>
      <c r="AE110" s="7">
        <f>IF($AH110="","",IF(INDEX('Per Invoice'!AE$2:AE$401,$AH110)="","",INDEX('Per Invoice'!AE$2:AE$401,$AH110)))</f>
        <v/>
      </c>
      <c r="AF110">
        <f>IF($AH110="","",IF(INDEX('Per Invoice'!AF$2:AF$401,$AH110)="","",INDEX('Per Invoice'!AF$2:AF$401,$AH110)))</f>
        <v/>
      </c>
      <c r="AG110" s="7">
        <f>IF($AH110="","",IF(INDEX('Per Invoice'!AG$2:AG$401,$AH110)="","",INDEX('Per Invoice'!AG$2:AG$401,$AH110)))</f>
        <v/>
      </c>
      <c r="AH110" s="16">
        <f>IFERROR(MATCH(Settings!$C$26&amp;"|"&amp;ROWS($AH$2:$AH110),'Per Invoice'!$AI$2:$AI$401,0),"")</f>
        <v/>
      </c>
    </row>
    <row r="111">
      <c r="A111">
        <f>IF($AH111="","",IF(INDEX('Per Invoice'!A$2:A$401,$AH111)="","",INDEX('Per Invoice'!A$2:A$401,$AH111)))</f>
        <v/>
      </c>
      <c r="B111">
        <f>IF($AH111="","",IF(INDEX('Per Invoice'!B$2:B$401,$AH111)="","",INDEX('Per Invoice'!B$2:B$401,$AH111)))</f>
        <v/>
      </c>
      <c r="C111">
        <f>IF($AH111="","",IF(INDEX('Per Invoice'!C$2:C$401,$AH111)="","",INDEX('Per Invoice'!C$2:C$401,$AH111)))</f>
        <v/>
      </c>
      <c r="D111">
        <f>IF($AH111="","",IF(INDEX('Per Invoice'!D$2:D$401,$AH111)="","",INDEX('Per Invoice'!D$2:D$401,$AH111)))</f>
        <v/>
      </c>
      <c r="E111">
        <f>IF($AH111="","",IF(INDEX('Per Invoice'!E$2:E$401,$AH111)="","",INDEX('Per Invoice'!E$2:E$401,$AH111)))</f>
        <v/>
      </c>
      <c r="F111">
        <f>IF($AH111="","",IF(INDEX('Per Invoice'!F$2:F$401,$AH111)="","",INDEX('Per Invoice'!F$2:F$401,$AH111)))</f>
        <v/>
      </c>
      <c r="G111">
        <f>IF($AH111="","",IF(INDEX('Per Invoice'!G$2:G$401,$AH111)="","",INDEX('Per Invoice'!G$2:G$401,$AH111)))</f>
        <v/>
      </c>
      <c r="H111">
        <f>IF($AH111="","",IF(INDEX('Per Invoice'!H$2:H$401,$AH111)="","",INDEX('Per Invoice'!H$2:H$401,$AH111)))</f>
        <v/>
      </c>
      <c r="I111" s="14">
        <f>IF($AH111="","",IF(INDEX('Per Invoice'!I$2:I$401,$AH111)="","",INDEX('Per Invoice'!I$2:I$401,$AH111)))</f>
        <v/>
      </c>
      <c r="J111">
        <f>IF($AH111="","",IF(INDEX('Per Invoice'!J$2:J$401,$AH111)="","",INDEX('Per Invoice'!J$2:J$401,$AH111)))</f>
        <v/>
      </c>
      <c r="K111">
        <f>IF($AH111="","",IF(INDEX('Per Invoice'!K$2:K$401,$AH111)="","",INDEX('Per Invoice'!K$2:K$401,$AH111)))</f>
        <v/>
      </c>
      <c r="L111">
        <f>IF($AH111="","",IF(INDEX('Per Invoice'!L$2:L$401,$AH111)="","",INDEX('Per Invoice'!L$2:L$401,$AH111)))</f>
        <v/>
      </c>
      <c r="M111">
        <f>IF($AH111="","",IF(INDEX('Per Invoice'!M$2:M$401,$AH111)="","",INDEX('Per Invoice'!M$2:M$401,$AH111)))</f>
        <v/>
      </c>
      <c r="N111">
        <f>IF($AH111="","",IF(INDEX('Per Invoice'!N$2:N$401,$AH111)="","",INDEX('Per Invoice'!N$2:N$401,$AH111)))</f>
        <v/>
      </c>
      <c r="O111">
        <f>IF($AH111="","",IF(INDEX('Per Invoice'!O$2:O$401,$AH111)="","",INDEX('Per Invoice'!O$2:O$401,$AH111)))</f>
        <v/>
      </c>
      <c r="P111" s="7">
        <f>IF($AH111="","",IF(INDEX('Per Invoice'!P$2:P$401,$AH111)="","",INDEX('Per Invoice'!P$2:P$401,$AH111)))</f>
        <v/>
      </c>
      <c r="Q111">
        <f>IF($AH111="","",IF(INDEX('Per Invoice'!Q$2:Q$401,$AH111)="","",INDEX('Per Invoice'!Q$2:Q$401,$AH111)))</f>
        <v/>
      </c>
      <c r="R111">
        <f>IF($AH111="","",IF(INDEX('Per Invoice'!R$2:R$401,$AH111)="","",INDEX('Per Invoice'!R$2:R$401,$AH111)))</f>
        <v/>
      </c>
      <c r="S111">
        <f>IF($AH111="","",IF(INDEX('Per Invoice'!S$2:S$401,$AH111)="","",INDEX('Per Invoice'!S$2:S$401,$AH111)))</f>
        <v/>
      </c>
      <c r="T111" s="7">
        <f>IF($AH111="","",IF(INDEX('Per Invoice'!T$2:T$401,$AH111)="","",INDEX('Per Invoice'!T$2:T$401,$AH111)))</f>
        <v/>
      </c>
      <c r="U111" s="7">
        <f>IF($AH111="","",IF(INDEX('Per Invoice'!U$2:U$401,$AH111)="","",INDEX('Per Invoice'!U$2:U$401,$AH111)))</f>
        <v/>
      </c>
      <c r="V111">
        <f>IF($AH111="","",IF(INDEX('Per Invoice'!V$2:V$401,$AH111)="","",INDEX('Per Invoice'!V$2:V$401,$AH111)))</f>
        <v/>
      </c>
      <c r="W111" s="7">
        <f>IF($AH111="","",IF(INDEX('Per Invoice'!W$2:W$401,$AH111)="","",INDEX('Per Invoice'!W$2:W$401,$AH111)))</f>
        <v/>
      </c>
      <c r="X111" s="7">
        <f>IF($AH111="","",IF(INDEX('Per Invoice'!X$2:X$401,$AH111)="","",INDEX('Per Invoice'!X$2:X$401,$AH111)))</f>
        <v/>
      </c>
      <c r="Y111">
        <f>IF($AH111="","",IF(INDEX('Per Invoice'!Y$2:Y$401,$AH111)="","",INDEX('Per Invoice'!Y$2:Y$401,$AH111)))</f>
        <v/>
      </c>
      <c r="Z111" s="7">
        <f>IF($AH111="","",IF(INDEX('Per Invoice'!Z$2:Z$401,$AH111)="","",INDEX('Per Invoice'!Z$2:Z$401,$AH111)))</f>
        <v/>
      </c>
      <c r="AA111" s="7">
        <f>IF($AH111="","",IF(INDEX('Per Invoice'!AA$2:AA$401,$AH111)="","",INDEX('Per Invoice'!AA$2:AA$401,$AH111)))</f>
        <v/>
      </c>
      <c r="AB111" s="7">
        <f>IF($AH111="","",IF(INDEX('Per Invoice'!AB$2:AB$401,$AH111)="","",INDEX('Per Invoice'!AB$2:AB$401,$AH111)))</f>
        <v/>
      </c>
      <c r="AC111" s="7">
        <f>IF($AH111="","",IF(INDEX('Per Invoice'!AC$2:AC$401,$AH111)="","",INDEX('Per Invoice'!AC$2:AC$401,$AH111)))</f>
        <v/>
      </c>
      <c r="AD111" s="7">
        <f>IF($AH111="","",IF(INDEX('Per Invoice'!AD$2:AD$401,$AH111)="","",INDEX('Per Invoice'!AD$2:AD$401,$AH111)))</f>
        <v/>
      </c>
      <c r="AE111" s="7">
        <f>IF($AH111="","",IF(INDEX('Per Invoice'!AE$2:AE$401,$AH111)="","",INDEX('Per Invoice'!AE$2:AE$401,$AH111)))</f>
        <v/>
      </c>
      <c r="AF111">
        <f>IF($AH111="","",IF(INDEX('Per Invoice'!AF$2:AF$401,$AH111)="","",INDEX('Per Invoice'!AF$2:AF$401,$AH111)))</f>
        <v/>
      </c>
      <c r="AG111" s="7">
        <f>IF($AH111="","",IF(INDEX('Per Invoice'!AG$2:AG$401,$AH111)="","",INDEX('Per Invoice'!AG$2:AG$401,$AH111)))</f>
        <v/>
      </c>
      <c r="AH111" s="16">
        <f>IFERROR(MATCH(Settings!$C$26&amp;"|"&amp;ROWS($AH$2:$AH111),'Per Invoice'!$AI$2:$AI$401,0),"")</f>
        <v/>
      </c>
    </row>
    <row r="112">
      <c r="A112">
        <f>IF($AH112="","",IF(INDEX('Per Invoice'!A$2:A$401,$AH112)="","",INDEX('Per Invoice'!A$2:A$401,$AH112)))</f>
        <v/>
      </c>
      <c r="B112">
        <f>IF($AH112="","",IF(INDEX('Per Invoice'!B$2:B$401,$AH112)="","",INDEX('Per Invoice'!B$2:B$401,$AH112)))</f>
        <v/>
      </c>
      <c r="C112">
        <f>IF($AH112="","",IF(INDEX('Per Invoice'!C$2:C$401,$AH112)="","",INDEX('Per Invoice'!C$2:C$401,$AH112)))</f>
        <v/>
      </c>
      <c r="D112">
        <f>IF($AH112="","",IF(INDEX('Per Invoice'!D$2:D$401,$AH112)="","",INDEX('Per Invoice'!D$2:D$401,$AH112)))</f>
        <v/>
      </c>
      <c r="E112">
        <f>IF($AH112="","",IF(INDEX('Per Invoice'!E$2:E$401,$AH112)="","",INDEX('Per Invoice'!E$2:E$401,$AH112)))</f>
        <v/>
      </c>
      <c r="F112">
        <f>IF($AH112="","",IF(INDEX('Per Invoice'!F$2:F$401,$AH112)="","",INDEX('Per Invoice'!F$2:F$401,$AH112)))</f>
        <v/>
      </c>
      <c r="G112">
        <f>IF($AH112="","",IF(INDEX('Per Invoice'!G$2:G$401,$AH112)="","",INDEX('Per Invoice'!G$2:G$401,$AH112)))</f>
        <v/>
      </c>
      <c r="H112">
        <f>IF($AH112="","",IF(INDEX('Per Invoice'!H$2:H$401,$AH112)="","",INDEX('Per Invoice'!H$2:H$401,$AH112)))</f>
        <v/>
      </c>
      <c r="I112" s="14">
        <f>IF($AH112="","",IF(INDEX('Per Invoice'!I$2:I$401,$AH112)="","",INDEX('Per Invoice'!I$2:I$401,$AH112)))</f>
        <v/>
      </c>
      <c r="J112">
        <f>IF($AH112="","",IF(INDEX('Per Invoice'!J$2:J$401,$AH112)="","",INDEX('Per Invoice'!J$2:J$401,$AH112)))</f>
        <v/>
      </c>
      <c r="K112">
        <f>IF($AH112="","",IF(INDEX('Per Invoice'!K$2:K$401,$AH112)="","",INDEX('Per Invoice'!K$2:K$401,$AH112)))</f>
        <v/>
      </c>
      <c r="L112">
        <f>IF($AH112="","",IF(INDEX('Per Invoice'!L$2:L$401,$AH112)="","",INDEX('Per Invoice'!L$2:L$401,$AH112)))</f>
        <v/>
      </c>
      <c r="M112">
        <f>IF($AH112="","",IF(INDEX('Per Invoice'!M$2:M$401,$AH112)="","",INDEX('Per Invoice'!M$2:M$401,$AH112)))</f>
        <v/>
      </c>
      <c r="N112">
        <f>IF($AH112="","",IF(INDEX('Per Invoice'!N$2:N$401,$AH112)="","",INDEX('Per Invoice'!N$2:N$401,$AH112)))</f>
        <v/>
      </c>
      <c r="O112">
        <f>IF($AH112="","",IF(INDEX('Per Invoice'!O$2:O$401,$AH112)="","",INDEX('Per Invoice'!O$2:O$401,$AH112)))</f>
        <v/>
      </c>
      <c r="P112" s="7">
        <f>IF($AH112="","",IF(INDEX('Per Invoice'!P$2:P$401,$AH112)="","",INDEX('Per Invoice'!P$2:P$401,$AH112)))</f>
        <v/>
      </c>
      <c r="Q112">
        <f>IF($AH112="","",IF(INDEX('Per Invoice'!Q$2:Q$401,$AH112)="","",INDEX('Per Invoice'!Q$2:Q$401,$AH112)))</f>
        <v/>
      </c>
      <c r="R112">
        <f>IF($AH112="","",IF(INDEX('Per Invoice'!R$2:R$401,$AH112)="","",INDEX('Per Invoice'!R$2:R$401,$AH112)))</f>
        <v/>
      </c>
      <c r="S112">
        <f>IF($AH112="","",IF(INDEX('Per Invoice'!S$2:S$401,$AH112)="","",INDEX('Per Invoice'!S$2:S$401,$AH112)))</f>
        <v/>
      </c>
      <c r="T112" s="7">
        <f>IF($AH112="","",IF(INDEX('Per Invoice'!T$2:T$401,$AH112)="","",INDEX('Per Invoice'!T$2:T$401,$AH112)))</f>
        <v/>
      </c>
      <c r="U112" s="7">
        <f>IF($AH112="","",IF(INDEX('Per Invoice'!U$2:U$401,$AH112)="","",INDEX('Per Invoice'!U$2:U$401,$AH112)))</f>
        <v/>
      </c>
      <c r="V112">
        <f>IF($AH112="","",IF(INDEX('Per Invoice'!V$2:V$401,$AH112)="","",INDEX('Per Invoice'!V$2:V$401,$AH112)))</f>
        <v/>
      </c>
      <c r="W112" s="7">
        <f>IF($AH112="","",IF(INDEX('Per Invoice'!W$2:W$401,$AH112)="","",INDEX('Per Invoice'!W$2:W$401,$AH112)))</f>
        <v/>
      </c>
      <c r="X112" s="7">
        <f>IF($AH112="","",IF(INDEX('Per Invoice'!X$2:X$401,$AH112)="","",INDEX('Per Invoice'!X$2:X$401,$AH112)))</f>
        <v/>
      </c>
      <c r="Y112">
        <f>IF($AH112="","",IF(INDEX('Per Invoice'!Y$2:Y$401,$AH112)="","",INDEX('Per Invoice'!Y$2:Y$401,$AH112)))</f>
        <v/>
      </c>
      <c r="Z112" s="7">
        <f>IF($AH112="","",IF(INDEX('Per Invoice'!Z$2:Z$401,$AH112)="","",INDEX('Per Invoice'!Z$2:Z$401,$AH112)))</f>
        <v/>
      </c>
      <c r="AA112" s="7">
        <f>IF($AH112="","",IF(INDEX('Per Invoice'!AA$2:AA$401,$AH112)="","",INDEX('Per Invoice'!AA$2:AA$401,$AH112)))</f>
        <v/>
      </c>
      <c r="AB112" s="7">
        <f>IF($AH112="","",IF(INDEX('Per Invoice'!AB$2:AB$401,$AH112)="","",INDEX('Per Invoice'!AB$2:AB$401,$AH112)))</f>
        <v/>
      </c>
      <c r="AC112" s="7">
        <f>IF($AH112="","",IF(INDEX('Per Invoice'!AC$2:AC$401,$AH112)="","",INDEX('Per Invoice'!AC$2:AC$401,$AH112)))</f>
        <v/>
      </c>
      <c r="AD112" s="7">
        <f>IF($AH112="","",IF(INDEX('Per Invoice'!AD$2:AD$401,$AH112)="","",INDEX('Per Invoice'!AD$2:AD$401,$AH112)))</f>
        <v/>
      </c>
      <c r="AE112" s="7">
        <f>IF($AH112="","",IF(INDEX('Per Invoice'!AE$2:AE$401,$AH112)="","",INDEX('Per Invoice'!AE$2:AE$401,$AH112)))</f>
        <v/>
      </c>
      <c r="AF112">
        <f>IF($AH112="","",IF(INDEX('Per Invoice'!AF$2:AF$401,$AH112)="","",INDEX('Per Invoice'!AF$2:AF$401,$AH112)))</f>
        <v/>
      </c>
      <c r="AG112" s="7">
        <f>IF($AH112="","",IF(INDEX('Per Invoice'!AG$2:AG$401,$AH112)="","",INDEX('Per Invoice'!AG$2:AG$401,$AH112)))</f>
        <v/>
      </c>
      <c r="AH112" s="16">
        <f>IFERROR(MATCH(Settings!$C$26&amp;"|"&amp;ROWS($AH$2:$AH112),'Per Invoice'!$AI$2:$AI$401,0),"")</f>
        <v/>
      </c>
    </row>
    <row r="113">
      <c r="A113">
        <f>IF($AH113="","",IF(INDEX('Per Invoice'!A$2:A$401,$AH113)="","",INDEX('Per Invoice'!A$2:A$401,$AH113)))</f>
        <v/>
      </c>
      <c r="B113">
        <f>IF($AH113="","",IF(INDEX('Per Invoice'!B$2:B$401,$AH113)="","",INDEX('Per Invoice'!B$2:B$401,$AH113)))</f>
        <v/>
      </c>
      <c r="C113">
        <f>IF($AH113="","",IF(INDEX('Per Invoice'!C$2:C$401,$AH113)="","",INDEX('Per Invoice'!C$2:C$401,$AH113)))</f>
        <v/>
      </c>
      <c r="D113">
        <f>IF($AH113="","",IF(INDEX('Per Invoice'!D$2:D$401,$AH113)="","",INDEX('Per Invoice'!D$2:D$401,$AH113)))</f>
        <v/>
      </c>
      <c r="E113">
        <f>IF($AH113="","",IF(INDEX('Per Invoice'!E$2:E$401,$AH113)="","",INDEX('Per Invoice'!E$2:E$401,$AH113)))</f>
        <v/>
      </c>
      <c r="F113">
        <f>IF($AH113="","",IF(INDEX('Per Invoice'!F$2:F$401,$AH113)="","",INDEX('Per Invoice'!F$2:F$401,$AH113)))</f>
        <v/>
      </c>
      <c r="G113">
        <f>IF($AH113="","",IF(INDEX('Per Invoice'!G$2:G$401,$AH113)="","",INDEX('Per Invoice'!G$2:G$401,$AH113)))</f>
        <v/>
      </c>
      <c r="H113">
        <f>IF($AH113="","",IF(INDEX('Per Invoice'!H$2:H$401,$AH113)="","",INDEX('Per Invoice'!H$2:H$401,$AH113)))</f>
        <v/>
      </c>
      <c r="I113" s="14">
        <f>IF($AH113="","",IF(INDEX('Per Invoice'!I$2:I$401,$AH113)="","",INDEX('Per Invoice'!I$2:I$401,$AH113)))</f>
        <v/>
      </c>
      <c r="J113">
        <f>IF($AH113="","",IF(INDEX('Per Invoice'!J$2:J$401,$AH113)="","",INDEX('Per Invoice'!J$2:J$401,$AH113)))</f>
        <v/>
      </c>
      <c r="K113">
        <f>IF($AH113="","",IF(INDEX('Per Invoice'!K$2:K$401,$AH113)="","",INDEX('Per Invoice'!K$2:K$401,$AH113)))</f>
        <v/>
      </c>
      <c r="L113">
        <f>IF($AH113="","",IF(INDEX('Per Invoice'!L$2:L$401,$AH113)="","",INDEX('Per Invoice'!L$2:L$401,$AH113)))</f>
        <v/>
      </c>
      <c r="M113">
        <f>IF($AH113="","",IF(INDEX('Per Invoice'!M$2:M$401,$AH113)="","",INDEX('Per Invoice'!M$2:M$401,$AH113)))</f>
        <v/>
      </c>
      <c r="N113">
        <f>IF($AH113="","",IF(INDEX('Per Invoice'!N$2:N$401,$AH113)="","",INDEX('Per Invoice'!N$2:N$401,$AH113)))</f>
        <v/>
      </c>
      <c r="O113">
        <f>IF($AH113="","",IF(INDEX('Per Invoice'!O$2:O$401,$AH113)="","",INDEX('Per Invoice'!O$2:O$401,$AH113)))</f>
        <v/>
      </c>
      <c r="P113" s="7">
        <f>IF($AH113="","",IF(INDEX('Per Invoice'!P$2:P$401,$AH113)="","",INDEX('Per Invoice'!P$2:P$401,$AH113)))</f>
        <v/>
      </c>
      <c r="Q113">
        <f>IF($AH113="","",IF(INDEX('Per Invoice'!Q$2:Q$401,$AH113)="","",INDEX('Per Invoice'!Q$2:Q$401,$AH113)))</f>
        <v/>
      </c>
      <c r="R113">
        <f>IF($AH113="","",IF(INDEX('Per Invoice'!R$2:R$401,$AH113)="","",INDEX('Per Invoice'!R$2:R$401,$AH113)))</f>
        <v/>
      </c>
      <c r="S113">
        <f>IF($AH113="","",IF(INDEX('Per Invoice'!S$2:S$401,$AH113)="","",INDEX('Per Invoice'!S$2:S$401,$AH113)))</f>
        <v/>
      </c>
      <c r="T113" s="7">
        <f>IF($AH113="","",IF(INDEX('Per Invoice'!T$2:T$401,$AH113)="","",INDEX('Per Invoice'!T$2:T$401,$AH113)))</f>
        <v/>
      </c>
      <c r="U113" s="7">
        <f>IF($AH113="","",IF(INDEX('Per Invoice'!U$2:U$401,$AH113)="","",INDEX('Per Invoice'!U$2:U$401,$AH113)))</f>
        <v/>
      </c>
      <c r="V113">
        <f>IF($AH113="","",IF(INDEX('Per Invoice'!V$2:V$401,$AH113)="","",INDEX('Per Invoice'!V$2:V$401,$AH113)))</f>
        <v/>
      </c>
      <c r="W113" s="7">
        <f>IF($AH113="","",IF(INDEX('Per Invoice'!W$2:W$401,$AH113)="","",INDEX('Per Invoice'!W$2:W$401,$AH113)))</f>
        <v/>
      </c>
      <c r="X113" s="7">
        <f>IF($AH113="","",IF(INDEX('Per Invoice'!X$2:X$401,$AH113)="","",INDEX('Per Invoice'!X$2:X$401,$AH113)))</f>
        <v/>
      </c>
      <c r="Y113">
        <f>IF($AH113="","",IF(INDEX('Per Invoice'!Y$2:Y$401,$AH113)="","",INDEX('Per Invoice'!Y$2:Y$401,$AH113)))</f>
        <v/>
      </c>
      <c r="Z113" s="7">
        <f>IF($AH113="","",IF(INDEX('Per Invoice'!Z$2:Z$401,$AH113)="","",INDEX('Per Invoice'!Z$2:Z$401,$AH113)))</f>
        <v/>
      </c>
      <c r="AA113" s="7">
        <f>IF($AH113="","",IF(INDEX('Per Invoice'!AA$2:AA$401,$AH113)="","",INDEX('Per Invoice'!AA$2:AA$401,$AH113)))</f>
        <v/>
      </c>
      <c r="AB113" s="7">
        <f>IF($AH113="","",IF(INDEX('Per Invoice'!AB$2:AB$401,$AH113)="","",INDEX('Per Invoice'!AB$2:AB$401,$AH113)))</f>
        <v/>
      </c>
      <c r="AC113" s="7">
        <f>IF($AH113="","",IF(INDEX('Per Invoice'!AC$2:AC$401,$AH113)="","",INDEX('Per Invoice'!AC$2:AC$401,$AH113)))</f>
        <v/>
      </c>
      <c r="AD113" s="7">
        <f>IF($AH113="","",IF(INDEX('Per Invoice'!AD$2:AD$401,$AH113)="","",INDEX('Per Invoice'!AD$2:AD$401,$AH113)))</f>
        <v/>
      </c>
      <c r="AE113" s="7">
        <f>IF($AH113="","",IF(INDEX('Per Invoice'!AE$2:AE$401,$AH113)="","",INDEX('Per Invoice'!AE$2:AE$401,$AH113)))</f>
        <v/>
      </c>
      <c r="AF113">
        <f>IF($AH113="","",IF(INDEX('Per Invoice'!AF$2:AF$401,$AH113)="","",INDEX('Per Invoice'!AF$2:AF$401,$AH113)))</f>
        <v/>
      </c>
      <c r="AG113" s="7">
        <f>IF($AH113="","",IF(INDEX('Per Invoice'!AG$2:AG$401,$AH113)="","",INDEX('Per Invoice'!AG$2:AG$401,$AH113)))</f>
        <v/>
      </c>
      <c r="AH113" s="16">
        <f>IFERROR(MATCH(Settings!$C$26&amp;"|"&amp;ROWS($AH$2:$AH113),'Per Invoice'!$AI$2:$AI$401,0),"")</f>
        <v/>
      </c>
    </row>
    <row r="114">
      <c r="A114">
        <f>IF($AH114="","",IF(INDEX('Per Invoice'!A$2:A$401,$AH114)="","",INDEX('Per Invoice'!A$2:A$401,$AH114)))</f>
        <v/>
      </c>
      <c r="B114">
        <f>IF($AH114="","",IF(INDEX('Per Invoice'!B$2:B$401,$AH114)="","",INDEX('Per Invoice'!B$2:B$401,$AH114)))</f>
        <v/>
      </c>
      <c r="C114">
        <f>IF($AH114="","",IF(INDEX('Per Invoice'!C$2:C$401,$AH114)="","",INDEX('Per Invoice'!C$2:C$401,$AH114)))</f>
        <v/>
      </c>
      <c r="D114">
        <f>IF($AH114="","",IF(INDEX('Per Invoice'!D$2:D$401,$AH114)="","",INDEX('Per Invoice'!D$2:D$401,$AH114)))</f>
        <v/>
      </c>
      <c r="E114">
        <f>IF($AH114="","",IF(INDEX('Per Invoice'!E$2:E$401,$AH114)="","",INDEX('Per Invoice'!E$2:E$401,$AH114)))</f>
        <v/>
      </c>
      <c r="F114">
        <f>IF($AH114="","",IF(INDEX('Per Invoice'!F$2:F$401,$AH114)="","",INDEX('Per Invoice'!F$2:F$401,$AH114)))</f>
        <v/>
      </c>
      <c r="G114">
        <f>IF($AH114="","",IF(INDEX('Per Invoice'!G$2:G$401,$AH114)="","",INDEX('Per Invoice'!G$2:G$401,$AH114)))</f>
        <v/>
      </c>
      <c r="H114">
        <f>IF($AH114="","",IF(INDEX('Per Invoice'!H$2:H$401,$AH114)="","",INDEX('Per Invoice'!H$2:H$401,$AH114)))</f>
        <v/>
      </c>
      <c r="I114" s="14">
        <f>IF($AH114="","",IF(INDEX('Per Invoice'!I$2:I$401,$AH114)="","",INDEX('Per Invoice'!I$2:I$401,$AH114)))</f>
        <v/>
      </c>
      <c r="J114">
        <f>IF($AH114="","",IF(INDEX('Per Invoice'!J$2:J$401,$AH114)="","",INDEX('Per Invoice'!J$2:J$401,$AH114)))</f>
        <v/>
      </c>
      <c r="K114">
        <f>IF($AH114="","",IF(INDEX('Per Invoice'!K$2:K$401,$AH114)="","",INDEX('Per Invoice'!K$2:K$401,$AH114)))</f>
        <v/>
      </c>
      <c r="L114">
        <f>IF($AH114="","",IF(INDEX('Per Invoice'!L$2:L$401,$AH114)="","",INDEX('Per Invoice'!L$2:L$401,$AH114)))</f>
        <v/>
      </c>
      <c r="M114">
        <f>IF($AH114="","",IF(INDEX('Per Invoice'!M$2:M$401,$AH114)="","",INDEX('Per Invoice'!M$2:M$401,$AH114)))</f>
        <v/>
      </c>
      <c r="N114">
        <f>IF($AH114="","",IF(INDEX('Per Invoice'!N$2:N$401,$AH114)="","",INDEX('Per Invoice'!N$2:N$401,$AH114)))</f>
        <v/>
      </c>
      <c r="O114">
        <f>IF($AH114="","",IF(INDEX('Per Invoice'!O$2:O$401,$AH114)="","",INDEX('Per Invoice'!O$2:O$401,$AH114)))</f>
        <v/>
      </c>
      <c r="P114" s="7">
        <f>IF($AH114="","",IF(INDEX('Per Invoice'!P$2:P$401,$AH114)="","",INDEX('Per Invoice'!P$2:P$401,$AH114)))</f>
        <v/>
      </c>
      <c r="Q114">
        <f>IF($AH114="","",IF(INDEX('Per Invoice'!Q$2:Q$401,$AH114)="","",INDEX('Per Invoice'!Q$2:Q$401,$AH114)))</f>
        <v/>
      </c>
      <c r="R114">
        <f>IF($AH114="","",IF(INDEX('Per Invoice'!R$2:R$401,$AH114)="","",INDEX('Per Invoice'!R$2:R$401,$AH114)))</f>
        <v/>
      </c>
      <c r="S114">
        <f>IF($AH114="","",IF(INDEX('Per Invoice'!S$2:S$401,$AH114)="","",INDEX('Per Invoice'!S$2:S$401,$AH114)))</f>
        <v/>
      </c>
      <c r="T114" s="7">
        <f>IF($AH114="","",IF(INDEX('Per Invoice'!T$2:T$401,$AH114)="","",INDEX('Per Invoice'!T$2:T$401,$AH114)))</f>
        <v/>
      </c>
      <c r="U114" s="7">
        <f>IF($AH114="","",IF(INDEX('Per Invoice'!U$2:U$401,$AH114)="","",INDEX('Per Invoice'!U$2:U$401,$AH114)))</f>
        <v/>
      </c>
      <c r="V114">
        <f>IF($AH114="","",IF(INDEX('Per Invoice'!V$2:V$401,$AH114)="","",INDEX('Per Invoice'!V$2:V$401,$AH114)))</f>
        <v/>
      </c>
      <c r="W114" s="7">
        <f>IF($AH114="","",IF(INDEX('Per Invoice'!W$2:W$401,$AH114)="","",INDEX('Per Invoice'!W$2:W$401,$AH114)))</f>
        <v/>
      </c>
      <c r="X114" s="7">
        <f>IF($AH114="","",IF(INDEX('Per Invoice'!X$2:X$401,$AH114)="","",INDEX('Per Invoice'!X$2:X$401,$AH114)))</f>
        <v/>
      </c>
      <c r="Y114">
        <f>IF($AH114="","",IF(INDEX('Per Invoice'!Y$2:Y$401,$AH114)="","",INDEX('Per Invoice'!Y$2:Y$401,$AH114)))</f>
        <v/>
      </c>
      <c r="Z114" s="7">
        <f>IF($AH114="","",IF(INDEX('Per Invoice'!Z$2:Z$401,$AH114)="","",INDEX('Per Invoice'!Z$2:Z$401,$AH114)))</f>
        <v/>
      </c>
      <c r="AA114" s="7">
        <f>IF($AH114="","",IF(INDEX('Per Invoice'!AA$2:AA$401,$AH114)="","",INDEX('Per Invoice'!AA$2:AA$401,$AH114)))</f>
        <v/>
      </c>
      <c r="AB114" s="7">
        <f>IF($AH114="","",IF(INDEX('Per Invoice'!AB$2:AB$401,$AH114)="","",INDEX('Per Invoice'!AB$2:AB$401,$AH114)))</f>
        <v/>
      </c>
      <c r="AC114" s="7">
        <f>IF($AH114="","",IF(INDEX('Per Invoice'!AC$2:AC$401,$AH114)="","",INDEX('Per Invoice'!AC$2:AC$401,$AH114)))</f>
        <v/>
      </c>
      <c r="AD114" s="7">
        <f>IF($AH114="","",IF(INDEX('Per Invoice'!AD$2:AD$401,$AH114)="","",INDEX('Per Invoice'!AD$2:AD$401,$AH114)))</f>
        <v/>
      </c>
      <c r="AE114" s="7">
        <f>IF($AH114="","",IF(INDEX('Per Invoice'!AE$2:AE$401,$AH114)="","",INDEX('Per Invoice'!AE$2:AE$401,$AH114)))</f>
        <v/>
      </c>
      <c r="AF114">
        <f>IF($AH114="","",IF(INDEX('Per Invoice'!AF$2:AF$401,$AH114)="","",INDEX('Per Invoice'!AF$2:AF$401,$AH114)))</f>
        <v/>
      </c>
      <c r="AG114" s="7">
        <f>IF($AH114="","",IF(INDEX('Per Invoice'!AG$2:AG$401,$AH114)="","",INDEX('Per Invoice'!AG$2:AG$401,$AH114)))</f>
        <v/>
      </c>
      <c r="AH114" s="16">
        <f>IFERROR(MATCH(Settings!$C$26&amp;"|"&amp;ROWS($AH$2:$AH114),'Per Invoice'!$AI$2:$AI$401,0),"")</f>
        <v/>
      </c>
    </row>
    <row r="115">
      <c r="A115">
        <f>IF($AH115="","",IF(INDEX('Per Invoice'!A$2:A$401,$AH115)="","",INDEX('Per Invoice'!A$2:A$401,$AH115)))</f>
        <v/>
      </c>
      <c r="B115">
        <f>IF($AH115="","",IF(INDEX('Per Invoice'!B$2:B$401,$AH115)="","",INDEX('Per Invoice'!B$2:B$401,$AH115)))</f>
        <v/>
      </c>
      <c r="C115">
        <f>IF($AH115="","",IF(INDEX('Per Invoice'!C$2:C$401,$AH115)="","",INDEX('Per Invoice'!C$2:C$401,$AH115)))</f>
        <v/>
      </c>
      <c r="D115">
        <f>IF($AH115="","",IF(INDEX('Per Invoice'!D$2:D$401,$AH115)="","",INDEX('Per Invoice'!D$2:D$401,$AH115)))</f>
        <v/>
      </c>
      <c r="E115">
        <f>IF($AH115="","",IF(INDEX('Per Invoice'!E$2:E$401,$AH115)="","",INDEX('Per Invoice'!E$2:E$401,$AH115)))</f>
        <v/>
      </c>
      <c r="F115">
        <f>IF($AH115="","",IF(INDEX('Per Invoice'!F$2:F$401,$AH115)="","",INDEX('Per Invoice'!F$2:F$401,$AH115)))</f>
        <v/>
      </c>
      <c r="G115">
        <f>IF($AH115="","",IF(INDEX('Per Invoice'!G$2:G$401,$AH115)="","",INDEX('Per Invoice'!G$2:G$401,$AH115)))</f>
        <v/>
      </c>
      <c r="H115">
        <f>IF($AH115="","",IF(INDEX('Per Invoice'!H$2:H$401,$AH115)="","",INDEX('Per Invoice'!H$2:H$401,$AH115)))</f>
        <v/>
      </c>
      <c r="I115" s="14">
        <f>IF($AH115="","",IF(INDEX('Per Invoice'!I$2:I$401,$AH115)="","",INDEX('Per Invoice'!I$2:I$401,$AH115)))</f>
        <v/>
      </c>
      <c r="J115">
        <f>IF($AH115="","",IF(INDEX('Per Invoice'!J$2:J$401,$AH115)="","",INDEX('Per Invoice'!J$2:J$401,$AH115)))</f>
        <v/>
      </c>
      <c r="K115">
        <f>IF($AH115="","",IF(INDEX('Per Invoice'!K$2:K$401,$AH115)="","",INDEX('Per Invoice'!K$2:K$401,$AH115)))</f>
        <v/>
      </c>
      <c r="L115">
        <f>IF($AH115="","",IF(INDEX('Per Invoice'!L$2:L$401,$AH115)="","",INDEX('Per Invoice'!L$2:L$401,$AH115)))</f>
        <v/>
      </c>
      <c r="M115">
        <f>IF($AH115="","",IF(INDEX('Per Invoice'!M$2:M$401,$AH115)="","",INDEX('Per Invoice'!M$2:M$401,$AH115)))</f>
        <v/>
      </c>
      <c r="N115">
        <f>IF($AH115="","",IF(INDEX('Per Invoice'!N$2:N$401,$AH115)="","",INDEX('Per Invoice'!N$2:N$401,$AH115)))</f>
        <v/>
      </c>
      <c r="O115">
        <f>IF($AH115="","",IF(INDEX('Per Invoice'!O$2:O$401,$AH115)="","",INDEX('Per Invoice'!O$2:O$401,$AH115)))</f>
        <v/>
      </c>
      <c r="P115" s="7">
        <f>IF($AH115="","",IF(INDEX('Per Invoice'!P$2:P$401,$AH115)="","",INDEX('Per Invoice'!P$2:P$401,$AH115)))</f>
        <v/>
      </c>
      <c r="Q115">
        <f>IF($AH115="","",IF(INDEX('Per Invoice'!Q$2:Q$401,$AH115)="","",INDEX('Per Invoice'!Q$2:Q$401,$AH115)))</f>
        <v/>
      </c>
      <c r="R115">
        <f>IF($AH115="","",IF(INDEX('Per Invoice'!R$2:R$401,$AH115)="","",INDEX('Per Invoice'!R$2:R$401,$AH115)))</f>
        <v/>
      </c>
      <c r="S115">
        <f>IF($AH115="","",IF(INDEX('Per Invoice'!S$2:S$401,$AH115)="","",INDEX('Per Invoice'!S$2:S$401,$AH115)))</f>
        <v/>
      </c>
      <c r="T115" s="7">
        <f>IF($AH115="","",IF(INDEX('Per Invoice'!T$2:T$401,$AH115)="","",INDEX('Per Invoice'!T$2:T$401,$AH115)))</f>
        <v/>
      </c>
      <c r="U115" s="7">
        <f>IF($AH115="","",IF(INDEX('Per Invoice'!U$2:U$401,$AH115)="","",INDEX('Per Invoice'!U$2:U$401,$AH115)))</f>
        <v/>
      </c>
      <c r="V115">
        <f>IF($AH115="","",IF(INDEX('Per Invoice'!V$2:V$401,$AH115)="","",INDEX('Per Invoice'!V$2:V$401,$AH115)))</f>
        <v/>
      </c>
      <c r="W115" s="7">
        <f>IF($AH115="","",IF(INDEX('Per Invoice'!W$2:W$401,$AH115)="","",INDEX('Per Invoice'!W$2:W$401,$AH115)))</f>
        <v/>
      </c>
      <c r="X115" s="7">
        <f>IF($AH115="","",IF(INDEX('Per Invoice'!X$2:X$401,$AH115)="","",INDEX('Per Invoice'!X$2:X$401,$AH115)))</f>
        <v/>
      </c>
      <c r="Y115">
        <f>IF($AH115="","",IF(INDEX('Per Invoice'!Y$2:Y$401,$AH115)="","",INDEX('Per Invoice'!Y$2:Y$401,$AH115)))</f>
        <v/>
      </c>
      <c r="Z115" s="7">
        <f>IF($AH115="","",IF(INDEX('Per Invoice'!Z$2:Z$401,$AH115)="","",INDEX('Per Invoice'!Z$2:Z$401,$AH115)))</f>
        <v/>
      </c>
      <c r="AA115" s="7">
        <f>IF($AH115="","",IF(INDEX('Per Invoice'!AA$2:AA$401,$AH115)="","",INDEX('Per Invoice'!AA$2:AA$401,$AH115)))</f>
        <v/>
      </c>
      <c r="AB115" s="7">
        <f>IF($AH115="","",IF(INDEX('Per Invoice'!AB$2:AB$401,$AH115)="","",INDEX('Per Invoice'!AB$2:AB$401,$AH115)))</f>
        <v/>
      </c>
      <c r="AC115" s="7">
        <f>IF($AH115="","",IF(INDEX('Per Invoice'!AC$2:AC$401,$AH115)="","",INDEX('Per Invoice'!AC$2:AC$401,$AH115)))</f>
        <v/>
      </c>
      <c r="AD115" s="7">
        <f>IF($AH115="","",IF(INDEX('Per Invoice'!AD$2:AD$401,$AH115)="","",INDEX('Per Invoice'!AD$2:AD$401,$AH115)))</f>
        <v/>
      </c>
      <c r="AE115" s="7">
        <f>IF($AH115="","",IF(INDEX('Per Invoice'!AE$2:AE$401,$AH115)="","",INDEX('Per Invoice'!AE$2:AE$401,$AH115)))</f>
        <v/>
      </c>
      <c r="AF115">
        <f>IF($AH115="","",IF(INDEX('Per Invoice'!AF$2:AF$401,$AH115)="","",INDEX('Per Invoice'!AF$2:AF$401,$AH115)))</f>
        <v/>
      </c>
      <c r="AG115" s="7">
        <f>IF($AH115="","",IF(INDEX('Per Invoice'!AG$2:AG$401,$AH115)="","",INDEX('Per Invoice'!AG$2:AG$401,$AH115)))</f>
        <v/>
      </c>
      <c r="AH115" s="16">
        <f>IFERROR(MATCH(Settings!$C$26&amp;"|"&amp;ROWS($AH$2:$AH115),'Per Invoice'!$AI$2:$AI$401,0),"")</f>
        <v/>
      </c>
    </row>
    <row r="116">
      <c r="A116">
        <f>IF($AH116="","",IF(INDEX('Per Invoice'!A$2:A$401,$AH116)="","",INDEX('Per Invoice'!A$2:A$401,$AH116)))</f>
        <v/>
      </c>
      <c r="B116">
        <f>IF($AH116="","",IF(INDEX('Per Invoice'!B$2:B$401,$AH116)="","",INDEX('Per Invoice'!B$2:B$401,$AH116)))</f>
        <v/>
      </c>
      <c r="C116">
        <f>IF($AH116="","",IF(INDEX('Per Invoice'!C$2:C$401,$AH116)="","",INDEX('Per Invoice'!C$2:C$401,$AH116)))</f>
        <v/>
      </c>
      <c r="D116">
        <f>IF($AH116="","",IF(INDEX('Per Invoice'!D$2:D$401,$AH116)="","",INDEX('Per Invoice'!D$2:D$401,$AH116)))</f>
        <v/>
      </c>
      <c r="E116">
        <f>IF($AH116="","",IF(INDEX('Per Invoice'!E$2:E$401,$AH116)="","",INDEX('Per Invoice'!E$2:E$401,$AH116)))</f>
        <v/>
      </c>
      <c r="F116">
        <f>IF($AH116="","",IF(INDEX('Per Invoice'!F$2:F$401,$AH116)="","",INDEX('Per Invoice'!F$2:F$401,$AH116)))</f>
        <v/>
      </c>
      <c r="G116">
        <f>IF($AH116="","",IF(INDEX('Per Invoice'!G$2:G$401,$AH116)="","",INDEX('Per Invoice'!G$2:G$401,$AH116)))</f>
        <v/>
      </c>
      <c r="H116">
        <f>IF($AH116="","",IF(INDEX('Per Invoice'!H$2:H$401,$AH116)="","",INDEX('Per Invoice'!H$2:H$401,$AH116)))</f>
        <v/>
      </c>
      <c r="I116" s="14">
        <f>IF($AH116="","",IF(INDEX('Per Invoice'!I$2:I$401,$AH116)="","",INDEX('Per Invoice'!I$2:I$401,$AH116)))</f>
        <v/>
      </c>
      <c r="J116">
        <f>IF($AH116="","",IF(INDEX('Per Invoice'!J$2:J$401,$AH116)="","",INDEX('Per Invoice'!J$2:J$401,$AH116)))</f>
        <v/>
      </c>
      <c r="K116">
        <f>IF($AH116="","",IF(INDEX('Per Invoice'!K$2:K$401,$AH116)="","",INDEX('Per Invoice'!K$2:K$401,$AH116)))</f>
        <v/>
      </c>
      <c r="L116">
        <f>IF($AH116="","",IF(INDEX('Per Invoice'!L$2:L$401,$AH116)="","",INDEX('Per Invoice'!L$2:L$401,$AH116)))</f>
        <v/>
      </c>
      <c r="M116">
        <f>IF($AH116="","",IF(INDEX('Per Invoice'!M$2:M$401,$AH116)="","",INDEX('Per Invoice'!M$2:M$401,$AH116)))</f>
        <v/>
      </c>
      <c r="N116">
        <f>IF($AH116="","",IF(INDEX('Per Invoice'!N$2:N$401,$AH116)="","",INDEX('Per Invoice'!N$2:N$401,$AH116)))</f>
        <v/>
      </c>
      <c r="O116">
        <f>IF($AH116="","",IF(INDEX('Per Invoice'!O$2:O$401,$AH116)="","",INDEX('Per Invoice'!O$2:O$401,$AH116)))</f>
        <v/>
      </c>
      <c r="P116" s="7">
        <f>IF($AH116="","",IF(INDEX('Per Invoice'!P$2:P$401,$AH116)="","",INDEX('Per Invoice'!P$2:P$401,$AH116)))</f>
        <v/>
      </c>
      <c r="Q116">
        <f>IF($AH116="","",IF(INDEX('Per Invoice'!Q$2:Q$401,$AH116)="","",INDEX('Per Invoice'!Q$2:Q$401,$AH116)))</f>
        <v/>
      </c>
      <c r="R116">
        <f>IF($AH116="","",IF(INDEX('Per Invoice'!R$2:R$401,$AH116)="","",INDEX('Per Invoice'!R$2:R$401,$AH116)))</f>
        <v/>
      </c>
      <c r="S116">
        <f>IF($AH116="","",IF(INDEX('Per Invoice'!S$2:S$401,$AH116)="","",INDEX('Per Invoice'!S$2:S$401,$AH116)))</f>
        <v/>
      </c>
      <c r="T116" s="7">
        <f>IF($AH116="","",IF(INDEX('Per Invoice'!T$2:T$401,$AH116)="","",INDEX('Per Invoice'!T$2:T$401,$AH116)))</f>
        <v/>
      </c>
      <c r="U116" s="7">
        <f>IF($AH116="","",IF(INDEX('Per Invoice'!U$2:U$401,$AH116)="","",INDEX('Per Invoice'!U$2:U$401,$AH116)))</f>
        <v/>
      </c>
      <c r="V116">
        <f>IF($AH116="","",IF(INDEX('Per Invoice'!V$2:V$401,$AH116)="","",INDEX('Per Invoice'!V$2:V$401,$AH116)))</f>
        <v/>
      </c>
      <c r="W116" s="7">
        <f>IF($AH116="","",IF(INDEX('Per Invoice'!W$2:W$401,$AH116)="","",INDEX('Per Invoice'!W$2:W$401,$AH116)))</f>
        <v/>
      </c>
      <c r="X116" s="7">
        <f>IF($AH116="","",IF(INDEX('Per Invoice'!X$2:X$401,$AH116)="","",INDEX('Per Invoice'!X$2:X$401,$AH116)))</f>
        <v/>
      </c>
      <c r="Y116">
        <f>IF($AH116="","",IF(INDEX('Per Invoice'!Y$2:Y$401,$AH116)="","",INDEX('Per Invoice'!Y$2:Y$401,$AH116)))</f>
        <v/>
      </c>
      <c r="Z116" s="7">
        <f>IF($AH116="","",IF(INDEX('Per Invoice'!Z$2:Z$401,$AH116)="","",INDEX('Per Invoice'!Z$2:Z$401,$AH116)))</f>
        <v/>
      </c>
      <c r="AA116" s="7">
        <f>IF($AH116="","",IF(INDEX('Per Invoice'!AA$2:AA$401,$AH116)="","",INDEX('Per Invoice'!AA$2:AA$401,$AH116)))</f>
        <v/>
      </c>
      <c r="AB116" s="7">
        <f>IF($AH116="","",IF(INDEX('Per Invoice'!AB$2:AB$401,$AH116)="","",INDEX('Per Invoice'!AB$2:AB$401,$AH116)))</f>
        <v/>
      </c>
      <c r="AC116" s="7">
        <f>IF($AH116="","",IF(INDEX('Per Invoice'!AC$2:AC$401,$AH116)="","",INDEX('Per Invoice'!AC$2:AC$401,$AH116)))</f>
        <v/>
      </c>
      <c r="AD116" s="7">
        <f>IF($AH116="","",IF(INDEX('Per Invoice'!AD$2:AD$401,$AH116)="","",INDEX('Per Invoice'!AD$2:AD$401,$AH116)))</f>
        <v/>
      </c>
      <c r="AE116" s="7">
        <f>IF($AH116="","",IF(INDEX('Per Invoice'!AE$2:AE$401,$AH116)="","",INDEX('Per Invoice'!AE$2:AE$401,$AH116)))</f>
        <v/>
      </c>
      <c r="AF116">
        <f>IF($AH116="","",IF(INDEX('Per Invoice'!AF$2:AF$401,$AH116)="","",INDEX('Per Invoice'!AF$2:AF$401,$AH116)))</f>
        <v/>
      </c>
      <c r="AG116" s="7">
        <f>IF($AH116="","",IF(INDEX('Per Invoice'!AG$2:AG$401,$AH116)="","",INDEX('Per Invoice'!AG$2:AG$401,$AH116)))</f>
        <v/>
      </c>
      <c r="AH116" s="16">
        <f>IFERROR(MATCH(Settings!$C$26&amp;"|"&amp;ROWS($AH$2:$AH116),'Per Invoice'!$AI$2:$AI$401,0),"")</f>
        <v/>
      </c>
    </row>
    <row r="117">
      <c r="A117">
        <f>IF($AH117="","",IF(INDEX('Per Invoice'!A$2:A$401,$AH117)="","",INDEX('Per Invoice'!A$2:A$401,$AH117)))</f>
        <v/>
      </c>
      <c r="B117">
        <f>IF($AH117="","",IF(INDEX('Per Invoice'!B$2:B$401,$AH117)="","",INDEX('Per Invoice'!B$2:B$401,$AH117)))</f>
        <v/>
      </c>
      <c r="C117">
        <f>IF($AH117="","",IF(INDEX('Per Invoice'!C$2:C$401,$AH117)="","",INDEX('Per Invoice'!C$2:C$401,$AH117)))</f>
        <v/>
      </c>
      <c r="D117">
        <f>IF($AH117="","",IF(INDEX('Per Invoice'!D$2:D$401,$AH117)="","",INDEX('Per Invoice'!D$2:D$401,$AH117)))</f>
        <v/>
      </c>
      <c r="E117">
        <f>IF($AH117="","",IF(INDEX('Per Invoice'!E$2:E$401,$AH117)="","",INDEX('Per Invoice'!E$2:E$401,$AH117)))</f>
        <v/>
      </c>
      <c r="F117">
        <f>IF($AH117="","",IF(INDEX('Per Invoice'!F$2:F$401,$AH117)="","",INDEX('Per Invoice'!F$2:F$401,$AH117)))</f>
        <v/>
      </c>
      <c r="G117">
        <f>IF($AH117="","",IF(INDEX('Per Invoice'!G$2:G$401,$AH117)="","",INDEX('Per Invoice'!G$2:G$401,$AH117)))</f>
        <v/>
      </c>
      <c r="H117">
        <f>IF($AH117="","",IF(INDEX('Per Invoice'!H$2:H$401,$AH117)="","",INDEX('Per Invoice'!H$2:H$401,$AH117)))</f>
        <v/>
      </c>
      <c r="I117" s="14">
        <f>IF($AH117="","",IF(INDEX('Per Invoice'!I$2:I$401,$AH117)="","",INDEX('Per Invoice'!I$2:I$401,$AH117)))</f>
        <v/>
      </c>
      <c r="J117">
        <f>IF($AH117="","",IF(INDEX('Per Invoice'!J$2:J$401,$AH117)="","",INDEX('Per Invoice'!J$2:J$401,$AH117)))</f>
        <v/>
      </c>
      <c r="K117">
        <f>IF($AH117="","",IF(INDEX('Per Invoice'!K$2:K$401,$AH117)="","",INDEX('Per Invoice'!K$2:K$401,$AH117)))</f>
        <v/>
      </c>
      <c r="L117">
        <f>IF($AH117="","",IF(INDEX('Per Invoice'!L$2:L$401,$AH117)="","",INDEX('Per Invoice'!L$2:L$401,$AH117)))</f>
        <v/>
      </c>
      <c r="M117">
        <f>IF($AH117="","",IF(INDEX('Per Invoice'!M$2:M$401,$AH117)="","",INDEX('Per Invoice'!M$2:M$401,$AH117)))</f>
        <v/>
      </c>
      <c r="N117">
        <f>IF($AH117="","",IF(INDEX('Per Invoice'!N$2:N$401,$AH117)="","",INDEX('Per Invoice'!N$2:N$401,$AH117)))</f>
        <v/>
      </c>
      <c r="O117">
        <f>IF($AH117="","",IF(INDEX('Per Invoice'!O$2:O$401,$AH117)="","",INDEX('Per Invoice'!O$2:O$401,$AH117)))</f>
        <v/>
      </c>
      <c r="P117" s="7">
        <f>IF($AH117="","",IF(INDEX('Per Invoice'!P$2:P$401,$AH117)="","",INDEX('Per Invoice'!P$2:P$401,$AH117)))</f>
        <v/>
      </c>
      <c r="Q117">
        <f>IF($AH117="","",IF(INDEX('Per Invoice'!Q$2:Q$401,$AH117)="","",INDEX('Per Invoice'!Q$2:Q$401,$AH117)))</f>
        <v/>
      </c>
      <c r="R117">
        <f>IF($AH117="","",IF(INDEX('Per Invoice'!R$2:R$401,$AH117)="","",INDEX('Per Invoice'!R$2:R$401,$AH117)))</f>
        <v/>
      </c>
      <c r="S117">
        <f>IF($AH117="","",IF(INDEX('Per Invoice'!S$2:S$401,$AH117)="","",INDEX('Per Invoice'!S$2:S$401,$AH117)))</f>
        <v/>
      </c>
      <c r="T117" s="7">
        <f>IF($AH117="","",IF(INDEX('Per Invoice'!T$2:T$401,$AH117)="","",INDEX('Per Invoice'!T$2:T$401,$AH117)))</f>
        <v/>
      </c>
      <c r="U117" s="7">
        <f>IF($AH117="","",IF(INDEX('Per Invoice'!U$2:U$401,$AH117)="","",INDEX('Per Invoice'!U$2:U$401,$AH117)))</f>
        <v/>
      </c>
      <c r="V117">
        <f>IF($AH117="","",IF(INDEX('Per Invoice'!V$2:V$401,$AH117)="","",INDEX('Per Invoice'!V$2:V$401,$AH117)))</f>
        <v/>
      </c>
      <c r="W117" s="7">
        <f>IF($AH117="","",IF(INDEX('Per Invoice'!W$2:W$401,$AH117)="","",INDEX('Per Invoice'!W$2:W$401,$AH117)))</f>
        <v/>
      </c>
      <c r="X117" s="7">
        <f>IF($AH117="","",IF(INDEX('Per Invoice'!X$2:X$401,$AH117)="","",INDEX('Per Invoice'!X$2:X$401,$AH117)))</f>
        <v/>
      </c>
      <c r="Y117">
        <f>IF($AH117="","",IF(INDEX('Per Invoice'!Y$2:Y$401,$AH117)="","",INDEX('Per Invoice'!Y$2:Y$401,$AH117)))</f>
        <v/>
      </c>
      <c r="Z117" s="7">
        <f>IF($AH117="","",IF(INDEX('Per Invoice'!Z$2:Z$401,$AH117)="","",INDEX('Per Invoice'!Z$2:Z$401,$AH117)))</f>
        <v/>
      </c>
      <c r="AA117" s="7">
        <f>IF($AH117="","",IF(INDEX('Per Invoice'!AA$2:AA$401,$AH117)="","",INDEX('Per Invoice'!AA$2:AA$401,$AH117)))</f>
        <v/>
      </c>
      <c r="AB117" s="7">
        <f>IF($AH117="","",IF(INDEX('Per Invoice'!AB$2:AB$401,$AH117)="","",INDEX('Per Invoice'!AB$2:AB$401,$AH117)))</f>
        <v/>
      </c>
      <c r="AC117" s="7">
        <f>IF($AH117="","",IF(INDEX('Per Invoice'!AC$2:AC$401,$AH117)="","",INDEX('Per Invoice'!AC$2:AC$401,$AH117)))</f>
        <v/>
      </c>
      <c r="AD117" s="7">
        <f>IF($AH117="","",IF(INDEX('Per Invoice'!AD$2:AD$401,$AH117)="","",INDEX('Per Invoice'!AD$2:AD$401,$AH117)))</f>
        <v/>
      </c>
      <c r="AE117" s="7">
        <f>IF($AH117="","",IF(INDEX('Per Invoice'!AE$2:AE$401,$AH117)="","",INDEX('Per Invoice'!AE$2:AE$401,$AH117)))</f>
        <v/>
      </c>
      <c r="AF117">
        <f>IF($AH117="","",IF(INDEX('Per Invoice'!AF$2:AF$401,$AH117)="","",INDEX('Per Invoice'!AF$2:AF$401,$AH117)))</f>
        <v/>
      </c>
      <c r="AG117" s="7">
        <f>IF($AH117="","",IF(INDEX('Per Invoice'!AG$2:AG$401,$AH117)="","",INDEX('Per Invoice'!AG$2:AG$401,$AH117)))</f>
        <v/>
      </c>
      <c r="AH117" s="16">
        <f>IFERROR(MATCH(Settings!$C$26&amp;"|"&amp;ROWS($AH$2:$AH117),'Per Invoice'!$AI$2:$AI$401,0),"")</f>
        <v/>
      </c>
    </row>
    <row r="118">
      <c r="A118">
        <f>IF($AH118="","",IF(INDEX('Per Invoice'!A$2:A$401,$AH118)="","",INDEX('Per Invoice'!A$2:A$401,$AH118)))</f>
        <v/>
      </c>
      <c r="B118">
        <f>IF($AH118="","",IF(INDEX('Per Invoice'!B$2:B$401,$AH118)="","",INDEX('Per Invoice'!B$2:B$401,$AH118)))</f>
        <v/>
      </c>
      <c r="C118">
        <f>IF($AH118="","",IF(INDEX('Per Invoice'!C$2:C$401,$AH118)="","",INDEX('Per Invoice'!C$2:C$401,$AH118)))</f>
        <v/>
      </c>
      <c r="D118">
        <f>IF($AH118="","",IF(INDEX('Per Invoice'!D$2:D$401,$AH118)="","",INDEX('Per Invoice'!D$2:D$401,$AH118)))</f>
        <v/>
      </c>
      <c r="E118">
        <f>IF($AH118="","",IF(INDEX('Per Invoice'!E$2:E$401,$AH118)="","",INDEX('Per Invoice'!E$2:E$401,$AH118)))</f>
        <v/>
      </c>
      <c r="F118">
        <f>IF($AH118="","",IF(INDEX('Per Invoice'!F$2:F$401,$AH118)="","",INDEX('Per Invoice'!F$2:F$401,$AH118)))</f>
        <v/>
      </c>
      <c r="G118">
        <f>IF($AH118="","",IF(INDEX('Per Invoice'!G$2:G$401,$AH118)="","",INDEX('Per Invoice'!G$2:G$401,$AH118)))</f>
        <v/>
      </c>
      <c r="H118">
        <f>IF($AH118="","",IF(INDEX('Per Invoice'!H$2:H$401,$AH118)="","",INDEX('Per Invoice'!H$2:H$401,$AH118)))</f>
        <v/>
      </c>
      <c r="I118" s="14">
        <f>IF($AH118="","",IF(INDEX('Per Invoice'!I$2:I$401,$AH118)="","",INDEX('Per Invoice'!I$2:I$401,$AH118)))</f>
        <v/>
      </c>
      <c r="J118">
        <f>IF($AH118="","",IF(INDEX('Per Invoice'!J$2:J$401,$AH118)="","",INDEX('Per Invoice'!J$2:J$401,$AH118)))</f>
        <v/>
      </c>
      <c r="K118">
        <f>IF($AH118="","",IF(INDEX('Per Invoice'!K$2:K$401,$AH118)="","",INDEX('Per Invoice'!K$2:K$401,$AH118)))</f>
        <v/>
      </c>
      <c r="L118">
        <f>IF($AH118="","",IF(INDEX('Per Invoice'!L$2:L$401,$AH118)="","",INDEX('Per Invoice'!L$2:L$401,$AH118)))</f>
        <v/>
      </c>
      <c r="M118">
        <f>IF($AH118="","",IF(INDEX('Per Invoice'!M$2:M$401,$AH118)="","",INDEX('Per Invoice'!M$2:M$401,$AH118)))</f>
        <v/>
      </c>
      <c r="N118">
        <f>IF($AH118="","",IF(INDEX('Per Invoice'!N$2:N$401,$AH118)="","",INDEX('Per Invoice'!N$2:N$401,$AH118)))</f>
        <v/>
      </c>
      <c r="O118">
        <f>IF($AH118="","",IF(INDEX('Per Invoice'!O$2:O$401,$AH118)="","",INDEX('Per Invoice'!O$2:O$401,$AH118)))</f>
        <v/>
      </c>
      <c r="P118" s="7">
        <f>IF($AH118="","",IF(INDEX('Per Invoice'!P$2:P$401,$AH118)="","",INDEX('Per Invoice'!P$2:P$401,$AH118)))</f>
        <v/>
      </c>
      <c r="Q118">
        <f>IF($AH118="","",IF(INDEX('Per Invoice'!Q$2:Q$401,$AH118)="","",INDEX('Per Invoice'!Q$2:Q$401,$AH118)))</f>
        <v/>
      </c>
      <c r="R118">
        <f>IF($AH118="","",IF(INDEX('Per Invoice'!R$2:R$401,$AH118)="","",INDEX('Per Invoice'!R$2:R$401,$AH118)))</f>
        <v/>
      </c>
      <c r="S118">
        <f>IF($AH118="","",IF(INDEX('Per Invoice'!S$2:S$401,$AH118)="","",INDEX('Per Invoice'!S$2:S$401,$AH118)))</f>
        <v/>
      </c>
      <c r="T118" s="7">
        <f>IF($AH118="","",IF(INDEX('Per Invoice'!T$2:T$401,$AH118)="","",INDEX('Per Invoice'!T$2:T$401,$AH118)))</f>
        <v/>
      </c>
      <c r="U118" s="7">
        <f>IF($AH118="","",IF(INDEX('Per Invoice'!U$2:U$401,$AH118)="","",INDEX('Per Invoice'!U$2:U$401,$AH118)))</f>
        <v/>
      </c>
      <c r="V118">
        <f>IF($AH118="","",IF(INDEX('Per Invoice'!V$2:V$401,$AH118)="","",INDEX('Per Invoice'!V$2:V$401,$AH118)))</f>
        <v/>
      </c>
      <c r="W118" s="7">
        <f>IF($AH118="","",IF(INDEX('Per Invoice'!W$2:W$401,$AH118)="","",INDEX('Per Invoice'!W$2:W$401,$AH118)))</f>
        <v/>
      </c>
      <c r="X118" s="7">
        <f>IF($AH118="","",IF(INDEX('Per Invoice'!X$2:X$401,$AH118)="","",INDEX('Per Invoice'!X$2:X$401,$AH118)))</f>
        <v/>
      </c>
      <c r="Y118">
        <f>IF($AH118="","",IF(INDEX('Per Invoice'!Y$2:Y$401,$AH118)="","",INDEX('Per Invoice'!Y$2:Y$401,$AH118)))</f>
        <v/>
      </c>
      <c r="Z118" s="7">
        <f>IF($AH118="","",IF(INDEX('Per Invoice'!Z$2:Z$401,$AH118)="","",INDEX('Per Invoice'!Z$2:Z$401,$AH118)))</f>
        <v/>
      </c>
      <c r="AA118" s="7">
        <f>IF($AH118="","",IF(INDEX('Per Invoice'!AA$2:AA$401,$AH118)="","",INDEX('Per Invoice'!AA$2:AA$401,$AH118)))</f>
        <v/>
      </c>
      <c r="AB118" s="7">
        <f>IF($AH118="","",IF(INDEX('Per Invoice'!AB$2:AB$401,$AH118)="","",INDEX('Per Invoice'!AB$2:AB$401,$AH118)))</f>
        <v/>
      </c>
      <c r="AC118" s="7">
        <f>IF($AH118="","",IF(INDEX('Per Invoice'!AC$2:AC$401,$AH118)="","",INDEX('Per Invoice'!AC$2:AC$401,$AH118)))</f>
        <v/>
      </c>
      <c r="AD118" s="7">
        <f>IF($AH118="","",IF(INDEX('Per Invoice'!AD$2:AD$401,$AH118)="","",INDEX('Per Invoice'!AD$2:AD$401,$AH118)))</f>
        <v/>
      </c>
      <c r="AE118" s="7">
        <f>IF($AH118="","",IF(INDEX('Per Invoice'!AE$2:AE$401,$AH118)="","",INDEX('Per Invoice'!AE$2:AE$401,$AH118)))</f>
        <v/>
      </c>
      <c r="AF118">
        <f>IF($AH118="","",IF(INDEX('Per Invoice'!AF$2:AF$401,$AH118)="","",INDEX('Per Invoice'!AF$2:AF$401,$AH118)))</f>
        <v/>
      </c>
      <c r="AG118" s="7">
        <f>IF($AH118="","",IF(INDEX('Per Invoice'!AG$2:AG$401,$AH118)="","",INDEX('Per Invoice'!AG$2:AG$401,$AH118)))</f>
        <v/>
      </c>
      <c r="AH118" s="16">
        <f>IFERROR(MATCH(Settings!$C$26&amp;"|"&amp;ROWS($AH$2:$AH118),'Per Invoice'!$AI$2:$AI$401,0),"")</f>
        <v/>
      </c>
    </row>
    <row r="119">
      <c r="A119">
        <f>IF($AH119="","",IF(INDEX('Per Invoice'!A$2:A$401,$AH119)="","",INDEX('Per Invoice'!A$2:A$401,$AH119)))</f>
        <v/>
      </c>
      <c r="B119">
        <f>IF($AH119="","",IF(INDEX('Per Invoice'!B$2:B$401,$AH119)="","",INDEX('Per Invoice'!B$2:B$401,$AH119)))</f>
        <v/>
      </c>
      <c r="C119">
        <f>IF($AH119="","",IF(INDEX('Per Invoice'!C$2:C$401,$AH119)="","",INDEX('Per Invoice'!C$2:C$401,$AH119)))</f>
        <v/>
      </c>
      <c r="D119">
        <f>IF($AH119="","",IF(INDEX('Per Invoice'!D$2:D$401,$AH119)="","",INDEX('Per Invoice'!D$2:D$401,$AH119)))</f>
        <v/>
      </c>
      <c r="E119">
        <f>IF($AH119="","",IF(INDEX('Per Invoice'!E$2:E$401,$AH119)="","",INDEX('Per Invoice'!E$2:E$401,$AH119)))</f>
        <v/>
      </c>
      <c r="F119">
        <f>IF($AH119="","",IF(INDEX('Per Invoice'!F$2:F$401,$AH119)="","",INDEX('Per Invoice'!F$2:F$401,$AH119)))</f>
        <v/>
      </c>
      <c r="G119">
        <f>IF($AH119="","",IF(INDEX('Per Invoice'!G$2:G$401,$AH119)="","",INDEX('Per Invoice'!G$2:G$401,$AH119)))</f>
        <v/>
      </c>
      <c r="H119">
        <f>IF($AH119="","",IF(INDEX('Per Invoice'!H$2:H$401,$AH119)="","",INDEX('Per Invoice'!H$2:H$401,$AH119)))</f>
        <v/>
      </c>
      <c r="I119" s="14">
        <f>IF($AH119="","",IF(INDEX('Per Invoice'!I$2:I$401,$AH119)="","",INDEX('Per Invoice'!I$2:I$401,$AH119)))</f>
        <v/>
      </c>
      <c r="J119">
        <f>IF($AH119="","",IF(INDEX('Per Invoice'!J$2:J$401,$AH119)="","",INDEX('Per Invoice'!J$2:J$401,$AH119)))</f>
        <v/>
      </c>
      <c r="K119">
        <f>IF($AH119="","",IF(INDEX('Per Invoice'!K$2:K$401,$AH119)="","",INDEX('Per Invoice'!K$2:K$401,$AH119)))</f>
        <v/>
      </c>
      <c r="L119">
        <f>IF($AH119="","",IF(INDEX('Per Invoice'!L$2:L$401,$AH119)="","",INDEX('Per Invoice'!L$2:L$401,$AH119)))</f>
        <v/>
      </c>
      <c r="M119">
        <f>IF($AH119="","",IF(INDEX('Per Invoice'!M$2:M$401,$AH119)="","",INDEX('Per Invoice'!M$2:M$401,$AH119)))</f>
        <v/>
      </c>
      <c r="N119">
        <f>IF($AH119="","",IF(INDEX('Per Invoice'!N$2:N$401,$AH119)="","",INDEX('Per Invoice'!N$2:N$401,$AH119)))</f>
        <v/>
      </c>
      <c r="O119">
        <f>IF($AH119="","",IF(INDEX('Per Invoice'!O$2:O$401,$AH119)="","",INDEX('Per Invoice'!O$2:O$401,$AH119)))</f>
        <v/>
      </c>
      <c r="P119" s="7">
        <f>IF($AH119="","",IF(INDEX('Per Invoice'!P$2:P$401,$AH119)="","",INDEX('Per Invoice'!P$2:P$401,$AH119)))</f>
        <v/>
      </c>
      <c r="Q119">
        <f>IF($AH119="","",IF(INDEX('Per Invoice'!Q$2:Q$401,$AH119)="","",INDEX('Per Invoice'!Q$2:Q$401,$AH119)))</f>
        <v/>
      </c>
      <c r="R119">
        <f>IF($AH119="","",IF(INDEX('Per Invoice'!R$2:R$401,$AH119)="","",INDEX('Per Invoice'!R$2:R$401,$AH119)))</f>
        <v/>
      </c>
      <c r="S119">
        <f>IF($AH119="","",IF(INDEX('Per Invoice'!S$2:S$401,$AH119)="","",INDEX('Per Invoice'!S$2:S$401,$AH119)))</f>
        <v/>
      </c>
      <c r="T119" s="7">
        <f>IF($AH119="","",IF(INDEX('Per Invoice'!T$2:T$401,$AH119)="","",INDEX('Per Invoice'!T$2:T$401,$AH119)))</f>
        <v/>
      </c>
      <c r="U119" s="7">
        <f>IF($AH119="","",IF(INDEX('Per Invoice'!U$2:U$401,$AH119)="","",INDEX('Per Invoice'!U$2:U$401,$AH119)))</f>
        <v/>
      </c>
      <c r="V119">
        <f>IF($AH119="","",IF(INDEX('Per Invoice'!V$2:V$401,$AH119)="","",INDEX('Per Invoice'!V$2:V$401,$AH119)))</f>
        <v/>
      </c>
      <c r="W119" s="7">
        <f>IF($AH119="","",IF(INDEX('Per Invoice'!W$2:W$401,$AH119)="","",INDEX('Per Invoice'!W$2:W$401,$AH119)))</f>
        <v/>
      </c>
      <c r="X119" s="7">
        <f>IF($AH119="","",IF(INDEX('Per Invoice'!X$2:X$401,$AH119)="","",INDEX('Per Invoice'!X$2:X$401,$AH119)))</f>
        <v/>
      </c>
      <c r="Y119">
        <f>IF($AH119="","",IF(INDEX('Per Invoice'!Y$2:Y$401,$AH119)="","",INDEX('Per Invoice'!Y$2:Y$401,$AH119)))</f>
        <v/>
      </c>
      <c r="Z119" s="7">
        <f>IF($AH119="","",IF(INDEX('Per Invoice'!Z$2:Z$401,$AH119)="","",INDEX('Per Invoice'!Z$2:Z$401,$AH119)))</f>
        <v/>
      </c>
      <c r="AA119" s="7">
        <f>IF($AH119="","",IF(INDEX('Per Invoice'!AA$2:AA$401,$AH119)="","",INDEX('Per Invoice'!AA$2:AA$401,$AH119)))</f>
        <v/>
      </c>
      <c r="AB119" s="7">
        <f>IF($AH119="","",IF(INDEX('Per Invoice'!AB$2:AB$401,$AH119)="","",INDEX('Per Invoice'!AB$2:AB$401,$AH119)))</f>
        <v/>
      </c>
      <c r="AC119" s="7">
        <f>IF($AH119="","",IF(INDEX('Per Invoice'!AC$2:AC$401,$AH119)="","",INDEX('Per Invoice'!AC$2:AC$401,$AH119)))</f>
        <v/>
      </c>
      <c r="AD119" s="7">
        <f>IF($AH119="","",IF(INDEX('Per Invoice'!AD$2:AD$401,$AH119)="","",INDEX('Per Invoice'!AD$2:AD$401,$AH119)))</f>
        <v/>
      </c>
      <c r="AE119" s="7">
        <f>IF($AH119="","",IF(INDEX('Per Invoice'!AE$2:AE$401,$AH119)="","",INDEX('Per Invoice'!AE$2:AE$401,$AH119)))</f>
        <v/>
      </c>
      <c r="AF119">
        <f>IF($AH119="","",IF(INDEX('Per Invoice'!AF$2:AF$401,$AH119)="","",INDEX('Per Invoice'!AF$2:AF$401,$AH119)))</f>
        <v/>
      </c>
      <c r="AG119" s="7">
        <f>IF($AH119="","",IF(INDEX('Per Invoice'!AG$2:AG$401,$AH119)="","",INDEX('Per Invoice'!AG$2:AG$401,$AH119)))</f>
        <v/>
      </c>
      <c r="AH119" s="16">
        <f>IFERROR(MATCH(Settings!$C$26&amp;"|"&amp;ROWS($AH$2:$AH119),'Per Invoice'!$AI$2:$AI$401,0),"")</f>
        <v/>
      </c>
    </row>
    <row r="120">
      <c r="A120">
        <f>IF($AH120="","",IF(INDEX('Per Invoice'!A$2:A$401,$AH120)="","",INDEX('Per Invoice'!A$2:A$401,$AH120)))</f>
        <v/>
      </c>
      <c r="B120">
        <f>IF($AH120="","",IF(INDEX('Per Invoice'!B$2:B$401,$AH120)="","",INDEX('Per Invoice'!B$2:B$401,$AH120)))</f>
        <v/>
      </c>
      <c r="C120">
        <f>IF($AH120="","",IF(INDEX('Per Invoice'!C$2:C$401,$AH120)="","",INDEX('Per Invoice'!C$2:C$401,$AH120)))</f>
        <v/>
      </c>
      <c r="D120">
        <f>IF($AH120="","",IF(INDEX('Per Invoice'!D$2:D$401,$AH120)="","",INDEX('Per Invoice'!D$2:D$401,$AH120)))</f>
        <v/>
      </c>
      <c r="E120">
        <f>IF($AH120="","",IF(INDEX('Per Invoice'!E$2:E$401,$AH120)="","",INDEX('Per Invoice'!E$2:E$401,$AH120)))</f>
        <v/>
      </c>
      <c r="F120">
        <f>IF($AH120="","",IF(INDEX('Per Invoice'!F$2:F$401,$AH120)="","",INDEX('Per Invoice'!F$2:F$401,$AH120)))</f>
        <v/>
      </c>
      <c r="G120">
        <f>IF($AH120="","",IF(INDEX('Per Invoice'!G$2:G$401,$AH120)="","",INDEX('Per Invoice'!G$2:G$401,$AH120)))</f>
        <v/>
      </c>
      <c r="H120">
        <f>IF($AH120="","",IF(INDEX('Per Invoice'!H$2:H$401,$AH120)="","",INDEX('Per Invoice'!H$2:H$401,$AH120)))</f>
        <v/>
      </c>
      <c r="I120" s="14">
        <f>IF($AH120="","",IF(INDEX('Per Invoice'!I$2:I$401,$AH120)="","",INDEX('Per Invoice'!I$2:I$401,$AH120)))</f>
        <v/>
      </c>
      <c r="J120">
        <f>IF($AH120="","",IF(INDEX('Per Invoice'!J$2:J$401,$AH120)="","",INDEX('Per Invoice'!J$2:J$401,$AH120)))</f>
        <v/>
      </c>
      <c r="K120">
        <f>IF($AH120="","",IF(INDEX('Per Invoice'!K$2:K$401,$AH120)="","",INDEX('Per Invoice'!K$2:K$401,$AH120)))</f>
        <v/>
      </c>
      <c r="L120">
        <f>IF($AH120="","",IF(INDEX('Per Invoice'!L$2:L$401,$AH120)="","",INDEX('Per Invoice'!L$2:L$401,$AH120)))</f>
        <v/>
      </c>
      <c r="M120">
        <f>IF($AH120="","",IF(INDEX('Per Invoice'!M$2:M$401,$AH120)="","",INDEX('Per Invoice'!M$2:M$401,$AH120)))</f>
        <v/>
      </c>
      <c r="N120">
        <f>IF($AH120="","",IF(INDEX('Per Invoice'!N$2:N$401,$AH120)="","",INDEX('Per Invoice'!N$2:N$401,$AH120)))</f>
        <v/>
      </c>
      <c r="O120">
        <f>IF($AH120="","",IF(INDEX('Per Invoice'!O$2:O$401,$AH120)="","",INDEX('Per Invoice'!O$2:O$401,$AH120)))</f>
        <v/>
      </c>
      <c r="P120" s="7">
        <f>IF($AH120="","",IF(INDEX('Per Invoice'!P$2:P$401,$AH120)="","",INDEX('Per Invoice'!P$2:P$401,$AH120)))</f>
        <v/>
      </c>
      <c r="Q120">
        <f>IF($AH120="","",IF(INDEX('Per Invoice'!Q$2:Q$401,$AH120)="","",INDEX('Per Invoice'!Q$2:Q$401,$AH120)))</f>
        <v/>
      </c>
      <c r="R120">
        <f>IF($AH120="","",IF(INDEX('Per Invoice'!R$2:R$401,$AH120)="","",INDEX('Per Invoice'!R$2:R$401,$AH120)))</f>
        <v/>
      </c>
      <c r="S120">
        <f>IF($AH120="","",IF(INDEX('Per Invoice'!S$2:S$401,$AH120)="","",INDEX('Per Invoice'!S$2:S$401,$AH120)))</f>
        <v/>
      </c>
      <c r="T120" s="7">
        <f>IF($AH120="","",IF(INDEX('Per Invoice'!T$2:T$401,$AH120)="","",INDEX('Per Invoice'!T$2:T$401,$AH120)))</f>
        <v/>
      </c>
      <c r="U120" s="7">
        <f>IF($AH120="","",IF(INDEX('Per Invoice'!U$2:U$401,$AH120)="","",INDEX('Per Invoice'!U$2:U$401,$AH120)))</f>
        <v/>
      </c>
      <c r="V120">
        <f>IF($AH120="","",IF(INDEX('Per Invoice'!V$2:V$401,$AH120)="","",INDEX('Per Invoice'!V$2:V$401,$AH120)))</f>
        <v/>
      </c>
      <c r="W120" s="7">
        <f>IF($AH120="","",IF(INDEX('Per Invoice'!W$2:W$401,$AH120)="","",INDEX('Per Invoice'!W$2:W$401,$AH120)))</f>
        <v/>
      </c>
      <c r="X120" s="7">
        <f>IF($AH120="","",IF(INDEX('Per Invoice'!X$2:X$401,$AH120)="","",INDEX('Per Invoice'!X$2:X$401,$AH120)))</f>
        <v/>
      </c>
      <c r="Y120">
        <f>IF($AH120="","",IF(INDEX('Per Invoice'!Y$2:Y$401,$AH120)="","",INDEX('Per Invoice'!Y$2:Y$401,$AH120)))</f>
        <v/>
      </c>
      <c r="Z120" s="7">
        <f>IF($AH120="","",IF(INDEX('Per Invoice'!Z$2:Z$401,$AH120)="","",INDEX('Per Invoice'!Z$2:Z$401,$AH120)))</f>
        <v/>
      </c>
      <c r="AA120" s="7">
        <f>IF($AH120="","",IF(INDEX('Per Invoice'!AA$2:AA$401,$AH120)="","",INDEX('Per Invoice'!AA$2:AA$401,$AH120)))</f>
        <v/>
      </c>
      <c r="AB120" s="7">
        <f>IF($AH120="","",IF(INDEX('Per Invoice'!AB$2:AB$401,$AH120)="","",INDEX('Per Invoice'!AB$2:AB$401,$AH120)))</f>
        <v/>
      </c>
      <c r="AC120" s="7">
        <f>IF($AH120="","",IF(INDEX('Per Invoice'!AC$2:AC$401,$AH120)="","",INDEX('Per Invoice'!AC$2:AC$401,$AH120)))</f>
        <v/>
      </c>
      <c r="AD120" s="7">
        <f>IF($AH120="","",IF(INDEX('Per Invoice'!AD$2:AD$401,$AH120)="","",INDEX('Per Invoice'!AD$2:AD$401,$AH120)))</f>
        <v/>
      </c>
      <c r="AE120" s="7">
        <f>IF($AH120="","",IF(INDEX('Per Invoice'!AE$2:AE$401,$AH120)="","",INDEX('Per Invoice'!AE$2:AE$401,$AH120)))</f>
        <v/>
      </c>
      <c r="AF120">
        <f>IF($AH120="","",IF(INDEX('Per Invoice'!AF$2:AF$401,$AH120)="","",INDEX('Per Invoice'!AF$2:AF$401,$AH120)))</f>
        <v/>
      </c>
      <c r="AG120" s="7">
        <f>IF($AH120="","",IF(INDEX('Per Invoice'!AG$2:AG$401,$AH120)="","",INDEX('Per Invoice'!AG$2:AG$401,$AH120)))</f>
        <v/>
      </c>
      <c r="AH120" s="16">
        <f>IFERROR(MATCH(Settings!$C$26&amp;"|"&amp;ROWS($AH$2:$AH120),'Per Invoice'!$AI$2:$AI$401,0),"")</f>
        <v/>
      </c>
    </row>
    <row r="121">
      <c r="A121">
        <f>IF($AH121="","",IF(INDEX('Per Invoice'!A$2:A$401,$AH121)="","",INDEX('Per Invoice'!A$2:A$401,$AH121)))</f>
        <v/>
      </c>
      <c r="B121">
        <f>IF($AH121="","",IF(INDEX('Per Invoice'!B$2:B$401,$AH121)="","",INDEX('Per Invoice'!B$2:B$401,$AH121)))</f>
        <v/>
      </c>
      <c r="C121">
        <f>IF($AH121="","",IF(INDEX('Per Invoice'!C$2:C$401,$AH121)="","",INDEX('Per Invoice'!C$2:C$401,$AH121)))</f>
        <v/>
      </c>
      <c r="D121">
        <f>IF($AH121="","",IF(INDEX('Per Invoice'!D$2:D$401,$AH121)="","",INDEX('Per Invoice'!D$2:D$401,$AH121)))</f>
        <v/>
      </c>
      <c r="E121">
        <f>IF($AH121="","",IF(INDEX('Per Invoice'!E$2:E$401,$AH121)="","",INDEX('Per Invoice'!E$2:E$401,$AH121)))</f>
        <v/>
      </c>
      <c r="F121">
        <f>IF($AH121="","",IF(INDEX('Per Invoice'!F$2:F$401,$AH121)="","",INDEX('Per Invoice'!F$2:F$401,$AH121)))</f>
        <v/>
      </c>
      <c r="G121">
        <f>IF($AH121="","",IF(INDEX('Per Invoice'!G$2:G$401,$AH121)="","",INDEX('Per Invoice'!G$2:G$401,$AH121)))</f>
        <v/>
      </c>
      <c r="H121">
        <f>IF($AH121="","",IF(INDEX('Per Invoice'!H$2:H$401,$AH121)="","",INDEX('Per Invoice'!H$2:H$401,$AH121)))</f>
        <v/>
      </c>
      <c r="I121" s="14">
        <f>IF($AH121="","",IF(INDEX('Per Invoice'!I$2:I$401,$AH121)="","",INDEX('Per Invoice'!I$2:I$401,$AH121)))</f>
        <v/>
      </c>
      <c r="J121">
        <f>IF($AH121="","",IF(INDEX('Per Invoice'!J$2:J$401,$AH121)="","",INDEX('Per Invoice'!J$2:J$401,$AH121)))</f>
        <v/>
      </c>
      <c r="K121">
        <f>IF($AH121="","",IF(INDEX('Per Invoice'!K$2:K$401,$AH121)="","",INDEX('Per Invoice'!K$2:K$401,$AH121)))</f>
        <v/>
      </c>
      <c r="L121">
        <f>IF($AH121="","",IF(INDEX('Per Invoice'!L$2:L$401,$AH121)="","",INDEX('Per Invoice'!L$2:L$401,$AH121)))</f>
        <v/>
      </c>
      <c r="M121">
        <f>IF($AH121="","",IF(INDEX('Per Invoice'!M$2:M$401,$AH121)="","",INDEX('Per Invoice'!M$2:M$401,$AH121)))</f>
        <v/>
      </c>
      <c r="N121">
        <f>IF($AH121="","",IF(INDEX('Per Invoice'!N$2:N$401,$AH121)="","",INDEX('Per Invoice'!N$2:N$401,$AH121)))</f>
        <v/>
      </c>
      <c r="O121">
        <f>IF($AH121="","",IF(INDEX('Per Invoice'!O$2:O$401,$AH121)="","",INDEX('Per Invoice'!O$2:O$401,$AH121)))</f>
        <v/>
      </c>
      <c r="P121" s="7">
        <f>IF($AH121="","",IF(INDEX('Per Invoice'!P$2:P$401,$AH121)="","",INDEX('Per Invoice'!P$2:P$401,$AH121)))</f>
        <v/>
      </c>
      <c r="Q121">
        <f>IF($AH121="","",IF(INDEX('Per Invoice'!Q$2:Q$401,$AH121)="","",INDEX('Per Invoice'!Q$2:Q$401,$AH121)))</f>
        <v/>
      </c>
      <c r="R121">
        <f>IF($AH121="","",IF(INDEX('Per Invoice'!R$2:R$401,$AH121)="","",INDEX('Per Invoice'!R$2:R$401,$AH121)))</f>
        <v/>
      </c>
      <c r="S121">
        <f>IF($AH121="","",IF(INDEX('Per Invoice'!S$2:S$401,$AH121)="","",INDEX('Per Invoice'!S$2:S$401,$AH121)))</f>
        <v/>
      </c>
      <c r="T121" s="7">
        <f>IF($AH121="","",IF(INDEX('Per Invoice'!T$2:T$401,$AH121)="","",INDEX('Per Invoice'!T$2:T$401,$AH121)))</f>
        <v/>
      </c>
      <c r="U121" s="7">
        <f>IF($AH121="","",IF(INDEX('Per Invoice'!U$2:U$401,$AH121)="","",INDEX('Per Invoice'!U$2:U$401,$AH121)))</f>
        <v/>
      </c>
      <c r="V121">
        <f>IF($AH121="","",IF(INDEX('Per Invoice'!V$2:V$401,$AH121)="","",INDEX('Per Invoice'!V$2:V$401,$AH121)))</f>
        <v/>
      </c>
      <c r="W121" s="7">
        <f>IF($AH121="","",IF(INDEX('Per Invoice'!W$2:W$401,$AH121)="","",INDEX('Per Invoice'!W$2:W$401,$AH121)))</f>
        <v/>
      </c>
      <c r="X121" s="7">
        <f>IF($AH121="","",IF(INDEX('Per Invoice'!X$2:X$401,$AH121)="","",INDEX('Per Invoice'!X$2:X$401,$AH121)))</f>
        <v/>
      </c>
      <c r="Y121">
        <f>IF($AH121="","",IF(INDEX('Per Invoice'!Y$2:Y$401,$AH121)="","",INDEX('Per Invoice'!Y$2:Y$401,$AH121)))</f>
        <v/>
      </c>
      <c r="Z121" s="7">
        <f>IF($AH121="","",IF(INDEX('Per Invoice'!Z$2:Z$401,$AH121)="","",INDEX('Per Invoice'!Z$2:Z$401,$AH121)))</f>
        <v/>
      </c>
      <c r="AA121" s="7">
        <f>IF($AH121="","",IF(INDEX('Per Invoice'!AA$2:AA$401,$AH121)="","",INDEX('Per Invoice'!AA$2:AA$401,$AH121)))</f>
        <v/>
      </c>
      <c r="AB121" s="7">
        <f>IF($AH121="","",IF(INDEX('Per Invoice'!AB$2:AB$401,$AH121)="","",INDEX('Per Invoice'!AB$2:AB$401,$AH121)))</f>
        <v/>
      </c>
      <c r="AC121" s="7">
        <f>IF($AH121="","",IF(INDEX('Per Invoice'!AC$2:AC$401,$AH121)="","",INDEX('Per Invoice'!AC$2:AC$401,$AH121)))</f>
        <v/>
      </c>
      <c r="AD121" s="7">
        <f>IF($AH121="","",IF(INDEX('Per Invoice'!AD$2:AD$401,$AH121)="","",INDEX('Per Invoice'!AD$2:AD$401,$AH121)))</f>
        <v/>
      </c>
      <c r="AE121" s="7">
        <f>IF($AH121="","",IF(INDEX('Per Invoice'!AE$2:AE$401,$AH121)="","",INDEX('Per Invoice'!AE$2:AE$401,$AH121)))</f>
        <v/>
      </c>
      <c r="AF121">
        <f>IF($AH121="","",IF(INDEX('Per Invoice'!AF$2:AF$401,$AH121)="","",INDEX('Per Invoice'!AF$2:AF$401,$AH121)))</f>
        <v/>
      </c>
      <c r="AG121" s="7">
        <f>IF($AH121="","",IF(INDEX('Per Invoice'!AG$2:AG$401,$AH121)="","",INDEX('Per Invoice'!AG$2:AG$401,$AH121)))</f>
        <v/>
      </c>
      <c r="AH121" s="16">
        <f>IFERROR(MATCH(Settings!$C$26&amp;"|"&amp;ROWS($AH$2:$AH121),'Per Invoice'!$AI$2:$AI$401,0),"")</f>
        <v/>
      </c>
    </row>
    <row r="122">
      <c r="A122">
        <f>IF($AH122="","",IF(INDEX('Per Invoice'!A$2:A$401,$AH122)="","",INDEX('Per Invoice'!A$2:A$401,$AH122)))</f>
        <v/>
      </c>
      <c r="B122">
        <f>IF($AH122="","",IF(INDEX('Per Invoice'!B$2:B$401,$AH122)="","",INDEX('Per Invoice'!B$2:B$401,$AH122)))</f>
        <v/>
      </c>
      <c r="C122">
        <f>IF($AH122="","",IF(INDEX('Per Invoice'!C$2:C$401,$AH122)="","",INDEX('Per Invoice'!C$2:C$401,$AH122)))</f>
        <v/>
      </c>
      <c r="D122">
        <f>IF($AH122="","",IF(INDEX('Per Invoice'!D$2:D$401,$AH122)="","",INDEX('Per Invoice'!D$2:D$401,$AH122)))</f>
        <v/>
      </c>
      <c r="E122">
        <f>IF($AH122="","",IF(INDEX('Per Invoice'!E$2:E$401,$AH122)="","",INDEX('Per Invoice'!E$2:E$401,$AH122)))</f>
        <v/>
      </c>
      <c r="F122">
        <f>IF($AH122="","",IF(INDEX('Per Invoice'!F$2:F$401,$AH122)="","",INDEX('Per Invoice'!F$2:F$401,$AH122)))</f>
        <v/>
      </c>
      <c r="G122">
        <f>IF($AH122="","",IF(INDEX('Per Invoice'!G$2:G$401,$AH122)="","",INDEX('Per Invoice'!G$2:G$401,$AH122)))</f>
        <v/>
      </c>
      <c r="H122">
        <f>IF($AH122="","",IF(INDEX('Per Invoice'!H$2:H$401,$AH122)="","",INDEX('Per Invoice'!H$2:H$401,$AH122)))</f>
        <v/>
      </c>
      <c r="I122" s="14">
        <f>IF($AH122="","",IF(INDEX('Per Invoice'!I$2:I$401,$AH122)="","",INDEX('Per Invoice'!I$2:I$401,$AH122)))</f>
        <v/>
      </c>
      <c r="J122">
        <f>IF($AH122="","",IF(INDEX('Per Invoice'!J$2:J$401,$AH122)="","",INDEX('Per Invoice'!J$2:J$401,$AH122)))</f>
        <v/>
      </c>
      <c r="K122">
        <f>IF($AH122="","",IF(INDEX('Per Invoice'!K$2:K$401,$AH122)="","",INDEX('Per Invoice'!K$2:K$401,$AH122)))</f>
        <v/>
      </c>
      <c r="L122">
        <f>IF($AH122="","",IF(INDEX('Per Invoice'!L$2:L$401,$AH122)="","",INDEX('Per Invoice'!L$2:L$401,$AH122)))</f>
        <v/>
      </c>
      <c r="M122">
        <f>IF($AH122="","",IF(INDEX('Per Invoice'!M$2:M$401,$AH122)="","",INDEX('Per Invoice'!M$2:M$401,$AH122)))</f>
        <v/>
      </c>
      <c r="N122">
        <f>IF($AH122="","",IF(INDEX('Per Invoice'!N$2:N$401,$AH122)="","",INDEX('Per Invoice'!N$2:N$401,$AH122)))</f>
        <v/>
      </c>
      <c r="O122">
        <f>IF($AH122="","",IF(INDEX('Per Invoice'!O$2:O$401,$AH122)="","",INDEX('Per Invoice'!O$2:O$401,$AH122)))</f>
        <v/>
      </c>
      <c r="P122" s="7">
        <f>IF($AH122="","",IF(INDEX('Per Invoice'!P$2:P$401,$AH122)="","",INDEX('Per Invoice'!P$2:P$401,$AH122)))</f>
        <v/>
      </c>
      <c r="Q122">
        <f>IF($AH122="","",IF(INDEX('Per Invoice'!Q$2:Q$401,$AH122)="","",INDEX('Per Invoice'!Q$2:Q$401,$AH122)))</f>
        <v/>
      </c>
      <c r="R122">
        <f>IF($AH122="","",IF(INDEX('Per Invoice'!R$2:R$401,$AH122)="","",INDEX('Per Invoice'!R$2:R$401,$AH122)))</f>
        <v/>
      </c>
      <c r="S122">
        <f>IF($AH122="","",IF(INDEX('Per Invoice'!S$2:S$401,$AH122)="","",INDEX('Per Invoice'!S$2:S$401,$AH122)))</f>
        <v/>
      </c>
      <c r="T122" s="7">
        <f>IF($AH122="","",IF(INDEX('Per Invoice'!T$2:T$401,$AH122)="","",INDEX('Per Invoice'!T$2:T$401,$AH122)))</f>
        <v/>
      </c>
      <c r="U122" s="7">
        <f>IF($AH122="","",IF(INDEX('Per Invoice'!U$2:U$401,$AH122)="","",INDEX('Per Invoice'!U$2:U$401,$AH122)))</f>
        <v/>
      </c>
      <c r="V122">
        <f>IF($AH122="","",IF(INDEX('Per Invoice'!V$2:V$401,$AH122)="","",INDEX('Per Invoice'!V$2:V$401,$AH122)))</f>
        <v/>
      </c>
      <c r="W122" s="7">
        <f>IF($AH122="","",IF(INDEX('Per Invoice'!W$2:W$401,$AH122)="","",INDEX('Per Invoice'!W$2:W$401,$AH122)))</f>
        <v/>
      </c>
      <c r="X122" s="7">
        <f>IF($AH122="","",IF(INDEX('Per Invoice'!X$2:X$401,$AH122)="","",INDEX('Per Invoice'!X$2:X$401,$AH122)))</f>
        <v/>
      </c>
      <c r="Y122">
        <f>IF($AH122="","",IF(INDEX('Per Invoice'!Y$2:Y$401,$AH122)="","",INDEX('Per Invoice'!Y$2:Y$401,$AH122)))</f>
        <v/>
      </c>
      <c r="Z122" s="7">
        <f>IF($AH122="","",IF(INDEX('Per Invoice'!Z$2:Z$401,$AH122)="","",INDEX('Per Invoice'!Z$2:Z$401,$AH122)))</f>
        <v/>
      </c>
      <c r="AA122" s="7">
        <f>IF($AH122="","",IF(INDEX('Per Invoice'!AA$2:AA$401,$AH122)="","",INDEX('Per Invoice'!AA$2:AA$401,$AH122)))</f>
        <v/>
      </c>
      <c r="AB122" s="7">
        <f>IF($AH122="","",IF(INDEX('Per Invoice'!AB$2:AB$401,$AH122)="","",INDEX('Per Invoice'!AB$2:AB$401,$AH122)))</f>
        <v/>
      </c>
      <c r="AC122" s="7">
        <f>IF($AH122="","",IF(INDEX('Per Invoice'!AC$2:AC$401,$AH122)="","",INDEX('Per Invoice'!AC$2:AC$401,$AH122)))</f>
        <v/>
      </c>
      <c r="AD122" s="7">
        <f>IF($AH122="","",IF(INDEX('Per Invoice'!AD$2:AD$401,$AH122)="","",INDEX('Per Invoice'!AD$2:AD$401,$AH122)))</f>
        <v/>
      </c>
      <c r="AE122" s="7">
        <f>IF($AH122="","",IF(INDEX('Per Invoice'!AE$2:AE$401,$AH122)="","",INDEX('Per Invoice'!AE$2:AE$401,$AH122)))</f>
        <v/>
      </c>
      <c r="AF122">
        <f>IF($AH122="","",IF(INDEX('Per Invoice'!AF$2:AF$401,$AH122)="","",INDEX('Per Invoice'!AF$2:AF$401,$AH122)))</f>
        <v/>
      </c>
      <c r="AG122" s="7">
        <f>IF($AH122="","",IF(INDEX('Per Invoice'!AG$2:AG$401,$AH122)="","",INDEX('Per Invoice'!AG$2:AG$401,$AH122)))</f>
        <v/>
      </c>
      <c r="AH122" s="16">
        <f>IFERROR(MATCH(Settings!$C$26&amp;"|"&amp;ROWS($AH$2:$AH122),'Per Invoice'!$AI$2:$AI$401,0),"")</f>
        <v/>
      </c>
    </row>
    <row r="123">
      <c r="A123">
        <f>IF($AH123="","",IF(INDEX('Per Invoice'!A$2:A$401,$AH123)="","",INDEX('Per Invoice'!A$2:A$401,$AH123)))</f>
        <v/>
      </c>
      <c r="B123">
        <f>IF($AH123="","",IF(INDEX('Per Invoice'!B$2:B$401,$AH123)="","",INDEX('Per Invoice'!B$2:B$401,$AH123)))</f>
        <v/>
      </c>
      <c r="C123">
        <f>IF($AH123="","",IF(INDEX('Per Invoice'!C$2:C$401,$AH123)="","",INDEX('Per Invoice'!C$2:C$401,$AH123)))</f>
        <v/>
      </c>
      <c r="D123">
        <f>IF($AH123="","",IF(INDEX('Per Invoice'!D$2:D$401,$AH123)="","",INDEX('Per Invoice'!D$2:D$401,$AH123)))</f>
        <v/>
      </c>
      <c r="E123">
        <f>IF($AH123="","",IF(INDEX('Per Invoice'!E$2:E$401,$AH123)="","",INDEX('Per Invoice'!E$2:E$401,$AH123)))</f>
        <v/>
      </c>
      <c r="F123">
        <f>IF($AH123="","",IF(INDEX('Per Invoice'!F$2:F$401,$AH123)="","",INDEX('Per Invoice'!F$2:F$401,$AH123)))</f>
        <v/>
      </c>
      <c r="G123">
        <f>IF($AH123="","",IF(INDEX('Per Invoice'!G$2:G$401,$AH123)="","",INDEX('Per Invoice'!G$2:G$401,$AH123)))</f>
        <v/>
      </c>
      <c r="H123">
        <f>IF($AH123="","",IF(INDEX('Per Invoice'!H$2:H$401,$AH123)="","",INDEX('Per Invoice'!H$2:H$401,$AH123)))</f>
        <v/>
      </c>
      <c r="I123" s="14">
        <f>IF($AH123="","",IF(INDEX('Per Invoice'!I$2:I$401,$AH123)="","",INDEX('Per Invoice'!I$2:I$401,$AH123)))</f>
        <v/>
      </c>
      <c r="J123">
        <f>IF($AH123="","",IF(INDEX('Per Invoice'!J$2:J$401,$AH123)="","",INDEX('Per Invoice'!J$2:J$401,$AH123)))</f>
        <v/>
      </c>
      <c r="K123">
        <f>IF($AH123="","",IF(INDEX('Per Invoice'!K$2:K$401,$AH123)="","",INDEX('Per Invoice'!K$2:K$401,$AH123)))</f>
        <v/>
      </c>
      <c r="L123">
        <f>IF($AH123="","",IF(INDEX('Per Invoice'!L$2:L$401,$AH123)="","",INDEX('Per Invoice'!L$2:L$401,$AH123)))</f>
        <v/>
      </c>
      <c r="M123">
        <f>IF($AH123="","",IF(INDEX('Per Invoice'!M$2:M$401,$AH123)="","",INDEX('Per Invoice'!M$2:M$401,$AH123)))</f>
        <v/>
      </c>
      <c r="N123">
        <f>IF($AH123="","",IF(INDEX('Per Invoice'!N$2:N$401,$AH123)="","",INDEX('Per Invoice'!N$2:N$401,$AH123)))</f>
        <v/>
      </c>
      <c r="O123">
        <f>IF($AH123="","",IF(INDEX('Per Invoice'!O$2:O$401,$AH123)="","",INDEX('Per Invoice'!O$2:O$401,$AH123)))</f>
        <v/>
      </c>
      <c r="P123" s="7">
        <f>IF($AH123="","",IF(INDEX('Per Invoice'!P$2:P$401,$AH123)="","",INDEX('Per Invoice'!P$2:P$401,$AH123)))</f>
        <v/>
      </c>
      <c r="Q123">
        <f>IF($AH123="","",IF(INDEX('Per Invoice'!Q$2:Q$401,$AH123)="","",INDEX('Per Invoice'!Q$2:Q$401,$AH123)))</f>
        <v/>
      </c>
      <c r="R123">
        <f>IF($AH123="","",IF(INDEX('Per Invoice'!R$2:R$401,$AH123)="","",INDEX('Per Invoice'!R$2:R$401,$AH123)))</f>
        <v/>
      </c>
      <c r="S123">
        <f>IF($AH123="","",IF(INDEX('Per Invoice'!S$2:S$401,$AH123)="","",INDEX('Per Invoice'!S$2:S$401,$AH123)))</f>
        <v/>
      </c>
      <c r="T123" s="7">
        <f>IF($AH123="","",IF(INDEX('Per Invoice'!T$2:T$401,$AH123)="","",INDEX('Per Invoice'!T$2:T$401,$AH123)))</f>
        <v/>
      </c>
      <c r="U123" s="7">
        <f>IF($AH123="","",IF(INDEX('Per Invoice'!U$2:U$401,$AH123)="","",INDEX('Per Invoice'!U$2:U$401,$AH123)))</f>
        <v/>
      </c>
      <c r="V123">
        <f>IF($AH123="","",IF(INDEX('Per Invoice'!V$2:V$401,$AH123)="","",INDEX('Per Invoice'!V$2:V$401,$AH123)))</f>
        <v/>
      </c>
      <c r="W123" s="7">
        <f>IF($AH123="","",IF(INDEX('Per Invoice'!W$2:W$401,$AH123)="","",INDEX('Per Invoice'!W$2:W$401,$AH123)))</f>
        <v/>
      </c>
      <c r="X123" s="7">
        <f>IF($AH123="","",IF(INDEX('Per Invoice'!X$2:X$401,$AH123)="","",INDEX('Per Invoice'!X$2:X$401,$AH123)))</f>
        <v/>
      </c>
      <c r="Y123">
        <f>IF($AH123="","",IF(INDEX('Per Invoice'!Y$2:Y$401,$AH123)="","",INDEX('Per Invoice'!Y$2:Y$401,$AH123)))</f>
        <v/>
      </c>
      <c r="Z123" s="7">
        <f>IF($AH123="","",IF(INDEX('Per Invoice'!Z$2:Z$401,$AH123)="","",INDEX('Per Invoice'!Z$2:Z$401,$AH123)))</f>
        <v/>
      </c>
      <c r="AA123" s="7">
        <f>IF($AH123="","",IF(INDEX('Per Invoice'!AA$2:AA$401,$AH123)="","",INDEX('Per Invoice'!AA$2:AA$401,$AH123)))</f>
        <v/>
      </c>
      <c r="AB123" s="7">
        <f>IF($AH123="","",IF(INDEX('Per Invoice'!AB$2:AB$401,$AH123)="","",INDEX('Per Invoice'!AB$2:AB$401,$AH123)))</f>
        <v/>
      </c>
      <c r="AC123" s="7">
        <f>IF($AH123="","",IF(INDEX('Per Invoice'!AC$2:AC$401,$AH123)="","",INDEX('Per Invoice'!AC$2:AC$401,$AH123)))</f>
        <v/>
      </c>
      <c r="AD123" s="7">
        <f>IF($AH123="","",IF(INDEX('Per Invoice'!AD$2:AD$401,$AH123)="","",INDEX('Per Invoice'!AD$2:AD$401,$AH123)))</f>
        <v/>
      </c>
      <c r="AE123" s="7">
        <f>IF($AH123="","",IF(INDEX('Per Invoice'!AE$2:AE$401,$AH123)="","",INDEX('Per Invoice'!AE$2:AE$401,$AH123)))</f>
        <v/>
      </c>
      <c r="AF123">
        <f>IF($AH123="","",IF(INDEX('Per Invoice'!AF$2:AF$401,$AH123)="","",INDEX('Per Invoice'!AF$2:AF$401,$AH123)))</f>
        <v/>
      </c>
      <c r="AG123" s="7">
        <f>IF($AH123="","",IF(INDEX('Per Invoice'!AG$2:AG$401,$AH123)="","",INDEX('Per Invoice'!AG$2:AG$401,$AH123)))</f>
        <v/>
      </c>
      <c r="AH123" s="16">
        <f>IFERROR(MATCH(Settings!$C$26&amp;"|"&amp;ROWS($AH$2:$AH123),'Per Invoice'!$AI$2:$AI$401,0),"")</f>
        <v/>
      </c>
    </row>
    <row r="124">
      <c r="A124">
        <f>IF($AH124="","",IF(INDEX('Per Invoice'!A$2:A$401,$AH124)="","",INDEX('Per Invoice'!A$2:A$401,$AH124)))</f>
        <v/>
      </c>
      <c r="B124">
        <f>IF($AH124="","",IF(INDEX('Per Invoice'!B$2:B$401,$AH124)="","",INDEX('Per Invoice'!B$2:B$401,$AH124)))</f>
        <v/>
      </c>
      <c r="C124">
        <f>IF($AH124="","",IF(INDEX('Per Invoice'!C$2:C$401,$AH124)="","",INDEX('Per Invoice'!C$2:C$401,$AH124)))</f>
        <v/>
      </c>
      <c r="D124">
        <f>IF($AH124="","",IF(INDEX('Per Invoice'!D$2:D$401,$AH124)="","",INDEX('Per Invoice'!D$2:D$401,$AH124)))</f>
        <v/>
      </c>
      <c r="E124">
        <f>IF($AH124="","",IF(INDEX('Per Invoice'!E$2:E$401,$AH124)="","",INDEX('Per Invoice'!E$2:E$401,$AH124)))</f>
        <v/>
      </c>
      <c r="F124">
        <f>IF($AH124="","",IF(INDEX('Per Invoice'!F$2:F$401,$AH124)="","",INDEX('Per Invoice'!F$2:F$401,$AH124)))</f>
        <v/>
      </c>
      <c r="G124">
        <f>IF($AH124="","",IF(INDEX('Per Invoice'!G$2:G$401,$AH124)="","",INDEX('Per Invoice'!G$2:G$401,$AH124)))</f>
        <v/>
      </c>
      <c r="H124">
        <f>IF($AH124="","",IF(INDEX('Per Invoice'!H$2:H$401,$AH124)="","",INDEX('Per Invoice'!H$2:H$401,$AH124)))</f>
        <v/>
      </c>
      <c r="I124" s="14">
        <f>IF($AH124="","",IF(INDEX('Per Invoice'!I$2:I$401,$AH124)="","",INDEX('Per Invoice'!I$2:I$401,$AH124)))</f>
        <v/>
      </c>
      <c r="J124">
        <f>IF($AH124="","",IF(INDEX('Per Invoice'!J$2:J$401,$AH124)="","",INDEX('Per Invoice'!J$2:J$401,$AH124)))</f>
        <v/>
      </c>
      <c r="K124">
        <f>IF($AH124="","",IF(INDEX('Per Invoice'!K$2:K$401,$AH124)="","",INDEX('Per Invoice'!K$2:K$401,$AH124)))</f>
        <v/>
      </c>
      <c r="L124">
        <f>IF($AH124="","",IF(INDEX('Per Invoice'!L$2:L$401,$AH124)="","",INDEX('Per Invoice'!L$2:L$401,$AH124)))</f>
        <v/>
      </c>
      <c r="M124">
        <f>IF($AH124="","",IF(INDEX('Per Invoice'!M$2:M$401,$AH124)="","",INDEX('Per Invoice'!M$2:M$401,$AH124)))</f>
        <v/>
      </c>
      <c r="N124">
        <f>IF($AH124="","",IF(INDEX('Per Invoice'!N$2:N$401,$AH124)="","",INDEX('Per Invoice'!N$2:N$401,$AH124)))</f>
        <v/>
      </c>
      <c r="O124">
        <f>IF($AH124="","",IF(INDEX('Per Invoice'!O$2:O$401,$AH124)="","",INDEX('Per Invoice'!O$2:O$401,$AH124)))</f>
        <v/>
      </c>
      <c r="P124" s="7">
        <f>IF($AH124="","",IF(INDEX('Per Invoice'!P$2:P$401,$AH124)="","",INDEX('Per Invoice'!P$2:P$401,$AH124)))</f>
        <v/>
      </c>
      <c r="Q124">
        <f>IF($AH124="","",IF(INDEX('Per Invoice'!Q$2:Q$401,$AH124)="","",INDEX('Per Invoice'!Q$2:Q$401,$AH124)))</f>
        <v/>
      </c>
      <c r="R124">
        <f>IF($AH124="","",IF(INDEX('Per Invoice'!R$2:R$401,$AH124)="","",INDEX('Per Invoice'!R$2:R$401,$AH124)))</f>
        <v/>
      </c>
      <c r="S124">
        <f>IF($AH124="","",IF(INDEX('Per Invoice'!S$2:S$401,$AH124)="","",INDEX('Per Invoice'!S$2:S$401,$AH124)))</f>
        <v/>
      </c>
      <c r="T124" s="7">
        <f>IF($AH124="","",IF(INDEX('Per Invoice'!T$2:T$401,$AH124)="","",INDEX('Per Invoice'!T$2:T$401,$AH124)))</f>
        <v/>
      </c>
      <c r="U124" s="7">
        <f>IF($AH124="","",IF(INDEX('Per Invoice'!U$2:U$401,$AH124)="","",INDEX('Per Invoice'!U$2:U$401,$AH124)))</f>
        <v/>
      </c>
      <c r="V124">
        <f>IF($AH124="","",IF(INDEX('Per Invoice'!V$2:V$401,$AH124)="","",INDEX('Per Invoice'!V$2:V$401,$AH124)))</f>
        <v/>
      </c>
      <c r="W124" s="7">
        <f>IF($AH124="","",IF(INDEX('Per Invoice'!W$2:W$401,$AH124)="","",INDEX('Per Invoice'!W$2:W$401,$AH124)))</f>
        <v/>
      </c>
      <c r="X124" s="7">
        <f>IF($AH124="","",IF(INDEX('Per Invoice'!X$2:X$401,$AH124)="","",INDEX('Per Invoice'!X$2:X$401,$AH124)))</f>
        <v/>
      </c>
      <c r="Y124">
        <f>IF($AH124="","",IF(INDEX('Per Invoice'!Y$2:Y$401,$AH124)="","",INDEX('Per Invoice'!Y$2:Y$401,$AH124)))</f>
        <v/>
      </c>
      <c r="Z124" s="7">
        <f>IF($AH124="","",IF(INDEX('Per Invoice'!Z$2:Z$401,$AH124)="","",INDEX('Per Invoice'!Z$2:Z$401,$AH124)))</f>
        <v/>
      </c>
      <c r="AA124" s="7">
        <f>IF($AH124="","",IF(INDEX('Per Invoice'!AA$2:AA$401,$AH124)="","",INDEX('Per Invoice'!AA$2:AA$401,$AH124)))</f>
        <v/>
      </c>
      <c r="AB124" s="7">
        <f>IF($AH124="","",IF(INDEX('Per Invoice'!AB$2:AB$401,$AH124)="","",INDEX('Per Invoice'!AB$2:AB$401,$AH124)))</f>
        <v/>
      </c>
      <c r="AC124" s="7">
        <f>IF($AH124="","",IF(INDEX('Per Invoice'!AC$2:AC$401,$AH124)="","",INDEX('Per Invoice'!AC$2:AC$401,$AH124)))</f>
        <v/>
      </c>
      <c r="AD124" s="7">
        <f>IF($AH124="","",IF(INDEX('Per Invoice'!AD$2:AD$401,$AH124)="","",INDEX('Per Invoice'!AD$2:AD$401,$AH124)))</f>
        <v/>
      </c>
      <c r="AE124" s="7">
        <f>IF($AH124="","",IF(INDEX('Per Invoice'!AE$2:AE$401,$AH124)="","",INDEX('Per Invoice'!AE$2:AE$401,$AH124)))</f>
        <v/>
      </c>
      <c r="AF124">
        <f>IF($AH124="","",IF(INDEX('Per Invoice'!AF$2:AF$401,$AH124)="","",INDEX('Per Invoice'!AF$2:AF$401,$AH124)))</f>
        <v/>
      </c>
      <c r="AG124" s="7">
        <f>IF($AH124="","",IF(INDEX('Per Invoice'!AG$2:AG$401,$AH124)="","",INDEX('Per Invoice'!AG$2:AG$401,$AH124)))</f>
        <v/>
      </c>
      <c r="AH124" s="16">
        <f>IFERROR(MATCH(Settings!$C$26&amp;"|"&amp;ROWS($AH$2:$AH124),'Per Invoice'!$AI$2:$AI$401,0),"")</f>
        <v/>
      </c>
    </row>
    <row r="125">
      <c r="A125">
        <f>IF($AH125="","",IF(INDEX('Per Invoice'!A$2:A$401,$AH125)="","",INDEX('Per Invoice'!A$2:A$401,$AH125)))</f>
        <v/>
      </c>
      <c r="B125">
        <f>IF($AH125="","",IF(INDEX('Per Invoice'!B$2:B$401,$AH125)="","",INDEX('Per Invoice'!B$2:B$401,$AH125)))</f>
        <v/>
      </c>
      <c r="C125">
        <f>IF($AH125="","",IF(INDEX('Per Invoice'!C$2:C$401,$AH125)="","",INDEX('Per Invoice'!C$2:C$401,$AH125)))</f>
        <v/>
      </c>
      <c r="D125">
        <f>IF($AH125="","",IF(INDEX('Per Invoice'!D$2:D$401,$AH125)="","",INDEX('Per Invoice'!D$2:D$401,$AH125)))</f>
        <v/>
      </c>
      <c r="E125">
        <f>IF($AH125="","",IF(INDEX('Per Invoice'!E$2:E$401,$AH125)="","",INDEX('Per Invoice'!E$2:E$401,$AH125)))</f>
        <v/>
      </c>
      <c r="F125">
        <f>IF($AH125="","",IF(INDEX('Per Invoice'!F$2:F$401,$AH125)="","",INDEX('Per Invoice'!F$2:F$401,$AH125)))</f>
        <v/>
      </c>
      <c r="G125">
        <f>IF($AH125="","",IF(INDEX('Per Invoice'!G$2:G$401,$AH125)="","",INDEX('Per Invoice'!G$2:G$401,$AH125)))</f>
        <v/>
      </c>
      <c r="H125">
        <f>IF($AH125="","",IF(INDEX('Per Invoice'!H$2:H$401,$AH125)="","",INDEX('Per Invoice'!H$2:H$401,$AH125)))</f>
        <v/>
      </c>
      <c r="I125" s="14">
        <f>IF($AH125="","",IF(INDEX('Per Invoice'!I$2:I$401,$AH125)="","",INDEX('Per Invoice'!I$2:I$401,$AH125)))</f>
        <v/>
      </c>
      <c r="J125">
        <f>IF($AH125="","",IF(INDEX('Per Invoice'!J$2:J$401,$AH125)="","",INDEX('Per Invoice'!J$2:J$401,$AH125)))</f>
        <v/>
      </c>
      <c r="K125">
        <f>IF($AH125="","",IF(INDEX('Per Invoice'!K$2:K$401,$AH125)="","",INDEX('Per Invoice'!K$2:K$401,$AH125)))</f>
        <v/>
      </c>
      <c r="L125">
        <f>IF($AH125="","",IF(INDEX('Per Invoice'!L$2:L$401,$AH125)="","",INDEX('Per Invoice'!L$2:L$401,$AH125)))</f>
        <v/>
      </c>
      <c r="M125">
        <f>IF($AH125="","",IF(INDEX('Per Invoice'!M$2:M$401,$AH125)="","",INDEX('Per Invoice'!M$2:M$401,$AH125)))</f>
        <v/>
      </c>
      <c r="N125">
        <f>IF($AH125="","",IF(INDEX('Per Invoice'!N$2:N$401,$AH125)="","",INDEX('Per Invoice'!N$2:N$401,$AH125)))</f>
        <v/>
      </c>
      <c r="O125">
        <f>IF($AH125="","",IF(INDEX('Per Invoice'!O$2:O$401,$AH125)="","",INDEX('Per Invoice'!O$2:O$401,$AH125)))</f>
        <v/>
      </c>
      <c r="P125" s="7">
        <f>IF($AH125="","",IF(INDEX('Per Invoice'!P$2:P$401,$AH125)="","",INDEX('Per Invoice'!P$2:P$401,$AH125)))</f>
        <v/>
      </c>
      <c r="Q125">
        <f>IF($AH125="","",IF(INDEX('Per Invoice'!Q$2:Q$401,$AH125)="","",INDEX('Per Invoice'!Q$2:Q$401,$AH125)))</f>
        <v/>
      </c>
      <c r="R125">
        <f>IF($AH125="","",IF(INDEX('Per Invoice'!R$2:R$401,$AH125)="","",INDEX('Per Invoice'!R$2:R$401,$AH125)))</f>
        <v/>
      </c>
      <c r="S125">
        <f>IF($AH125="","",IF(INDEX('Per Invoice'!S$2:S$401,$AH125)="","",INDEX('Per Invoice'!S$2:S$401,$AH125)))</f>
        <v/>
      </c>
      <c r="T125" s="7">
        <f>IF($AH125="","",IF(INDEX('Per Invoice'!T$2:T$401,$AH125)="","",INDEX('Per Invoice'!T$2:T$401,$AH125)))</f>
        <v/>
      </c>
      <c r="U125" s="7">
        <f>IF($AH125="","",IF(INDEX('Per Invoice'!U$2:U$401,$AH125)="","",INDEX('Per Invoice'!U$2:U$401,$AH125)))</f>
        <v/>
      </c>
      <c r="V125">
        <f>IF($AH125="","",IF(INDEX('Per Invoice'!V$2:V$401,$AH125)="","",INDEX('Per Invoice'!V$2:V$401,$AH125)))</f>
        <v/>
      </c>
      <c r="W125" s="7">
        <f>IF($AH125="","",IF(INDEX('Per Invoice'!W$2:W$401,$AH125)="","",INDEX('Per Invoice'!W$2:W$401,$AH125)))</f>
        <v/>
      </c>
      <c r="X125" s="7">
        <f>IF($AH125="","",IF(INDEX('Per Invoice'!X$2:X$401,$AH125)="","",INDEX('Per Invoice'!X$2:X$401,$AH125)))</f>
        <v/>
      </c>
      <c r="Y125">
        <f>IF($AH125="","",IF(INDEX('Per Invoice'!Y$2:Y$401,$AH125)="","",INDEX('Per Invoice'!Y$2:Y$401,$AH125)))</f>
        <v/>
      </c>
      <c r="Z125" s="7">
        <f>IF($AH125="","",IF(INDEX('Per Invoice'!Z$2:Z$401,$AH125)="","",INDEX('Per Invoice'!Z$2:Z$401,$AH125)))</f>
        <v/>
      </c>
      <c r="AA125" s="7">
        <f>IF($AH125="","",IF(INDEX('Per Invoice'!AA$2:AA$401,$AH125)="","",INDEX('Per Invoice'!AA$2:AA$401,$AH125)))</f>
        <v/>
      </c>
      <c r="AB125" s="7">
        <f>IF($AH125="","",IF(INDEX('Per Invoice'!AB$2:AB$401,$AH125)="","",INDEX('Per Invoice'!AB$2:AB$401,$AH125)))</f>
        <v/>
      </c>
      <c r="AC125" s="7">
        <f>IF($AH125="","",IF(INDEX('Per Invoice'!AC$2:AC$401,$AH125)="","",INDEX('Per Invoice'!AC$2:AC$401,$AH125)))</f>
        <v/>
      </c>
      <c r="AD125" s="7">
        <f>IF($AH125="","",IF(INDEX('Per Invoice'!AD$2:AD$401,$AH125)="","",INDEX('Per Invoice'!AD$2:AD$401,$AH125)))</f>
        <v/>
      </c>
      <c r="AE125" s="7">
        <f>IF($AH125="","",IF(INDEX('Per Invoice'!AE$2:AE$401,$AH125)="","",INDEX('Per Invoice'!AE$2:AE$401,$AH125)))</f>
        <v/>
      </c>
      <c r="AF125">
        <f>IF($AH125="","",IF(INDEX('Per Invoice'!AF$2:AF$401,$AH125)="","",INDEX('Per Invoice'!AF$2:AF$401,$AH125)))</f>
        <v/>
      </c>
      <c r="AG125" s="7">
        <f>IF($AH125="","",IF(INDEX('Per Invoice'!AG$2:AG$401,$AH125)="","",INDEX('Per Invoice'!AG$2:AG$401,$AH125)))</f>
        <v/>
      </c>
      <c r="AH125" s="16">
        <f>IFERROR(MATCH(Settings!$C$26&amp;"|"&amp;ROWS($AH$2:$AH125),'Per Invoice'!$AI$2:$AI$401,0),"")</f>
        <v/>
      </c>
    </row>
    <row r="126">
      <c r="A126">
        <f>IF($AH126="","",IF(INDEX('Per Invoice'!A$2:A$401,$AH126)="","",INDEX('Per Invoice'!A$2:A$401,$AH126)))</f>
        <v/>
      </c>
      <c r="B126">
        <f>IF($AH126="","",IF(INDEX('Per Invoice'!B$2:B$401,$AH126)="","",INDEX('Per Invoice'!B$2:B$401,$AH126)))</f>
        <v/>
      </c>
      <c r="C126">
        <f>IF($AH126="","",IF(INDEX('Per Invoice'!C$2:C$401,$AH126)="","",INDEX('Per Invoice'!C$2:C$401,$AH126)))</f>
        <v/>
      </c>
      <c r="D126">
        <f>IF($AH126="","",IF(INDEX('Per Invoice'!D$2:D$401,$AH126)="","",INDEX('Per Invoice'!D$2:D$401,$AH126)))</f>
        <v/>
      </c>
      <c r="E126">
        <f>IF($AH126="","",IF(INDEX('Per Invoice'!E$2:E$401,$AH126)="","",INDEX('Per Invoice'!E$2:E$401,$AH126)))</f>
        <v/>
      </c>
      <c r="F126">
        <f>IF($AH126="","",IF(INDEX('Per Invoice'!F$2:F$401,$AH126)="","",INDEX('Per Invoice'!F$2:F$401,$AH126)))</f>
        <v/>
      </c>
      <c r="G126">
        <f>IF($AH126="","",IF(INDEX('Per Invoice'!G$2:G$401,$AH126)="","",INDEX('Per Invoice'!G$2:G$401,$AH126)))</f>
        <v/>
      </c>
      <c r="H126">
        <f>IF($AH126="","",IF(INDEX('Per Invoice'!H$2:H$401,$AH126)="","",INDEX('Per Invoice'!H$2:H$401,$AH126)))</f>
        <v/>
      </c>
      <c r="I126" s="14">
        <f>IF($AH126="","",IF(INDEX('Per Invoice'!I$2:I$401,$AH126)="","",INDEX('Per Invoice'!I$2:I$401,$AH126)))</f>
        <v/>
      </c>
      <c r="J126">
        <f>IF($AH126="","",IF(INDEX('Per Invoice'!J$2:J$401,$AH126)="","",INDEX('Per Invoice'!J$2:J$401,$AH126)))</f>
        <v/>
      </c>
      <c r="K126">
        <f>IF($AH126="","",IF(INDEX('Per Invoice'!K$2:K$401,$AH126)="","",INDEX('Per Invoice'!K$2:K$401,$AH126)))</f>
        <v/>
      </c>
      <c r="L126">
        <f>IF($AH126="","",IF(INDEX('Per Invoice'!L$2:L$401,$AH126)="","",INDEX('Per Invoice'!L$2:L$401,$AH126)))</f>
        <v/>
      </c>
      <c r="M126">
        <f>IF($AH126="","",IF(INDEX('Per Invoice'!M$2:M$401,$AH126)="","",INDEX('Per Invoice'!M$2:M$401,$AH126)))</f>
        <v/>
      </c>
      <c r="N126">
        <f>IF($AH126="","",IF(INDEX('Per Invoice'!N$2:N$401,$AH126)="","",INDEX('Per Invoice'!N$2:N$401,$AH126)))</f>
        <v/>
      </c>
      <c r="O126">
        <f>IF($AH126="","",IF(INDEX('Per Invoice'!O$2:O$401,$AH126)="","",INDEX('Per Invoice'!O$2:O$401,$AH126)))</f>
        <v/>
      </c>
      <c r="P126" s="7">
        <f>IF($AH126="","",IF(INDEX('Per Invoice'!P$2:P$401,$AH126)="","",INDEX('Per Invoice'!P$2:P$401,$AH126)))</f>
        <v/>
      </c>
      <c r="Q126">
        <f>IF($AH126="","",IF(INDEX('Per Invoice'!Q$2:Q$401,$AH126)="","",INDEX('Per Invoice'!Q$2:Q$401,$AH126)))</f>
        <v/>
      </c>
      <c r="R126">
        <f>IF($AH126="","",IF(INDEX('Per Invoice'!R$2:R$401,$AH126)="","",INDEX('Per Invoice'!R$2:R$401,$AH126)))</f>
        <v/>
      </c>
      <c r="S126">
        <f>IF($AH126="","",IF(INDEX('Per Invoice'!S$2:S$401,$AH126)="","",INDEX('Per Invoice'!S$2:S$401,$AH126)))</f>
        <v/>
      </c>
      <c r="T126" s="7">
        <f>IF($AH126="","",IF(INDEX('Per Invoice'!T$2:T$401,$AH126)="","",INDEX('Per Invoice'!T$2:T$401,$AH126)))</f>
        <v/>
      </c>
      <c r="U126" s="7">
        <f>IF($AH126="","",IF(INDEX('Per Invoice'!U$2:U$401,$AH126)="","",INDEX('Per Invoice'!U$2:U$401,$AH126)))</f>
        <v/>
      </c>
      <c r="V126">
        <f>IF($AH126="","",IF(INDEX('Per Invoice'!V$2:V$401,$AH126)="","",INDEX('Per Invoice'!V$2:V$401,$AH126)))</f>
        <v/>
      </c>
      <c r="W126" s="7">
        <f>IF($AH126="","",IF(INDEX('Per Invoice'!W$2:W$401,$AH126)="","",INDEX('Per Invoice'!W$2:W$401,$AH126)))</f>
        <v/>
      </c>
      <c r="X126" s="7">
        <f>IF($AH126="","",IF(INDEX('Per Invoice'!X$2:X$401,$AH126)="","",INDEX('Per Invoice'!X$2:X$401,$AH126)))</f>
        <v/>
      </c>
      <c r="Y126">
        <f>IF($AH126="","",IF(INDEX('Per Invoice'!Y$2:Y$401,$AH126)="","",INDEX('Per Invoice'!Y$2:Y$401,$AH126)))</f>
        <v/>
      </c>
      <c r="Z126" s="7">
        <f>IF($AH126="","",IF(INDEX('Per Invoice'!Z$2:Z$401,$AH126)="","",INDEX('Per Invoice'!Z$2:Z$401,$AH126)))</f>
        <v/>
      </c>
      <c r="AA126" s="7">
        <f>IF($AH126="","",IF(INDEX('Per Invoice'!AA$2:AA$401,$AH126)="","",INDEX('Per Invoice'!AA$2:AA$401,$AH126)))</f>
        <v/>
      </c>
      <c r="AB126" s="7">
        <f>IF($AH126="","",IF(INDEX('Per Invoice'!AB$2:AB$401,$AH126)="","",INDEX('Per Invoice'!AB$2:AB$401,$AH126)))</f>
        <v/>
      </c>
      <c r="AC126" s="7">
        <f>IF($AH126="","",IF(INDEX('Per Invoice'!AC$2:AC$401,$AH126)="","",INDEX('Per Invoice'!AC$2:AC$401,$AH126)))</f>
        <v/>
      </c>
      <c r="AD126" s="7">
        <f>IF($AH126="","",IF(INDEX('Per Invoice'!AD$2:AD$401,$AH126)="","",INDEX('Per Invoice'!AD$2:AD$401,$AH126)))</f>
        <v/>
      </c>
      <c r="AE126" s="7">
        <f>IF($AH126="","",IF(INDEX('Per Invoice'!AE$2:AE$401,$AH126)="","",INDEX('Per Invoice'!AE$2:AE$401,$AH126)))</f>
        <v/>
      </c>
      <c r="AF126">
        <f>IF($AH126="","",IF(INDEX('Per Invoice'!AF$2:AF$401,$AH126)="","",INDEX('Per Invoice'!AF$2:AF$401,$AH126)))</f>
        <v/>
      </c>
      <c r="AG126" s="7">
        <f>IF($AH126="","",IF(INDEX('Per Invoice'!AG$2:AG$401,$AH126)="","",INDEX('Per Invoice'!AG$2:AG$401,$AH126)))</f>
        <v/>
      </c>
      <c r="AH126" s="16">
        <f>IFERROR(MATCH(Settings!$C$26&amp;"|"&amp;ROWS($AH$2:$AH126),'Per Invoice'!$AI$2:$AI$401,0),"")</f>
        <v/>
      </c>
    </row>
    <row r="127">
      <c r="A127">
        <f>IF($AH127="","",IF(INDEX('Per Invoice'!A$2:A$401,$AH127)="","",INDEX('Per Invoice'!A$2:A$401,$AH127)))</f>
        <v/>
      </c>
      <c r="B127">
        <f>IF($AH127="","",IF(INDEX('Per Invoice'!B$2:B$401,$AH127)="","",INDEX('Per Invoice'!B$2:B$401,$AH127)))</f>
        <v/>
      </c>
      <c r="C127">
        <f>IF($AH127="","",IF(INDEX('Per Invoice'!C$2:C$401,$AH127)="","",INDEX('Per Invoice'!C$2:C$401,$AH127)))</f>
        <v/>
      </c>
      <c r="D127">
        <f>IF($AH127="","",IF(INDEX('Per Invoice'!D$2:D$401,$AH127)="","",INDEX('Per Invoice'!D$2:D$401,$AH127)))</f>
        <v/>
      </c>
      <c r="E127">
        <f>IF($AH127="","",IF(INDEX('Per Invoice'!E$2:E$401,$AH127)="","",INDEX('Per Invoice'!E$2:E$401,$AH127)))</f>
        <v/>
      </c>
      <c r="F127">
        <f>IF($AH127="","",IF(INDEX('Per Invoice'!F$2:F$401,$AH127)="","",INDEX('Per Invoice'!F$2:F$401,$AH127)))</f>
        <v/>
      </c>
      <c r="G127">
        <f>IF($AH127="","",IF(INDEX('Per Invoice'!G$2:G$401,$AH127)="","",INDEX('Per Invoice'!G$2:G$401,$AH127)))</f>
        <v/>
      </c>
      <c r="H127">
        <f>IF($AH127="","",IF(INDEX('Per Invoice'!H$2:H$401,$AH127)="","",INDEX('Per Invoice'!H$2:H$401,$AH127)))</f>
        <v/>
      </c>
      <c r="I127" s="14">
        <f>IF($AH127="","",IF(INDEX('Per Invoice'!I$2:I$401,$AH127)="","",INDEX('Per Invoice'!I$2:I$401,$AH127)))</f>
        <v/>
      </c>
      <c r="J127">
        <f>IF($AH127="","",IF(INDEX('Per Invoice'!J$2:J$401,$AH127)="","",INDEX('Per Invoice'!J$2:J$401,$AH127)))</f>
        <v/>
      </c>
      <c r="K127">
        <f>IF($AH127="","",IF(INDEX('Per Invoice'!K$2:K$401,$AH127)="","",INDEX('Per Invoice'!K$2:K$401,$AH127)))</f>
        <v/>
      </c>
      <c r="L127">
        <f>IF($AH127="","",IF(INDEX('Per Invoice'!L$2:L$401,$AH127)="","",INDEX('Per Invoice'!L$2:L$401,$AH127)))</f>
        <v/>
      </c>
      <c r="M127">
        <f>IF($AH127="","",IF(INDEX('Per Invoice'!M$2:M$401,$AH127)="","",INDEX('Per Invoice'!M$2:M$401,$AH127)))</f>
        <v/>
      </c>
      <c r="N127">
        <f>IF($AH127="","",IF(INDEX('Per Invoice'!N$2:N$401,$AH127)="","",INDEX('Per Invoice'!N$2:N$401,$AH127)))</f>
        <v/>
      </c>
      <c r="O127">
        <f>IF($AH127="","",IF(INDEX('Per Invoice'!O$2:O$401,$AH127)="","",INDEX('Per Invoice'!O$2:O$401,$AH127)))</f>
        <v/>
      </c>
      <c r="P127" s="7">
        <f>IF($AH127="","",IF(INDEX('Per Invoice'!P$2:P$401,$AH127)="","",INDEX('Per Invoice'!P$2:P$401,$AH127)))</f>
        <v/>
      </c>
      <c r="Q127">
        <f>IF($AH127="","",IF(INDEX('Per Invoice'!Q$2:Q$401,$AH127)="","",INDEX('Per Invoice'!Q$2:Q$401,$AH127)))</f>
        <v/>
      </c>
      <c r="R127">
        <f>IF($AH127="","",IF(INDEX('Per Invoice'!R$2:R$401,$AH127)="","",INDEX('Per Invoice'!R$2:R$401,$AH127)))</f>
        <v/>
      </c>
      <c r="S127">
        <f>IF($AH127="","",IF(INDEX('Per Invoice'!S$2:S$401,$AH127)="","",INDEX('Per Invoice'!S$2:S$401,$AH127)))</f>
        <v/>
      </c>
      <c r="T127" s="7">
        <f>IF($AH127="","",IF(INDEX('Per Invoice'!T$2:T$401,$AH127)="","",INDEX('Per Invoice'!T$2:T$401,$AH127)))</f>
        <v/>
      </c>
      <c r="U127" s="7">
        <f>IF($AH127="","",IF(INDEX('Per Invoice'!U$2:U$401,$AH127)="","",INDEX('Per Invoice'!U$2:U$401,$AH127)))</f>
        <v/>
      </c>
      <c r="V127">
        <f>IF($AH127="","",IF(INDEX('Per Invoice'!V$2:V$401,$AH127)="","",INDEX('Per Invoice'!V$2:V$401,$AH127)))</f>
        <v/>
      </c>
      <c r="W127" s="7">
        <f>IF($AH127="","",IF(INDEX('Per Invoice'!W$2:W$401,$AH127)="","",INDEX('Per Invoice'!W$2:W$401,$AH127)))</f>
        <v/>
      </c>
      <c r="X127" s="7">
        <f>IF($AH127="","",IF(INDEX('Per Invoice'!X$2:X$401,$AH127)="","",INDEX('Per Invoice'!X$2:X$401,$AH127)))</f>
        <v/>
      </c>
      <c r="Y127">
        <f>IF($AH127="","",IF(INDEX('Per Invoice'!Y$2:Y$401,$AH127)="","",INDEX('Per Invoice'!Y$2:Y$401,$AH127)))</f>
        <v/>
      </c>
      <c r="Z127" s="7">
        <f>IF($AH127="","",IF(INDEX('Per Invoice'!Z$2:Z$401,$AH127)="","",INDEX('Per Invoice'!Z$2:Z$401,$AH127)))</f>
        <v/>
      </c>
      <c r="AA127" s="7">
        <f>IF($AH127="","",IF(INDEX('Per Invoice'!AA$2:AA$401,$AH127)="","",INDEX('Per Invoice'!AA$2:AA$401,$AH127)))</f>
        <v/>
      </c>
      <c r="AB127" s="7">
        <f>IF($AH127="","",IF(INDEX('Per Invoice'!AB$2:AB$401,$AH127)="","",INDEX('Per Invoice'!AB$2:AB$401,$AH127)))</f>
        <v/>
      </c>
      <c r="AC127" s="7">
        <f>IF($AH127="","",IF(INDEX('Per Invoice'!AC$2:AC$401,$AH127)="","",INDEX('Per Invoice'!AC$2:AC$401,$AH127)))</f>
        <v/>
      </c>
      <c r="AD127" s="7">
        <f>IF($AH127="","",IF(INDEX('Per Invoice'!AD$2:AD$401,$AH127)="","",INDEX('Per Invoice'!AD$2:AD$401,$AH127)))</f>
        <v/>
      </c>
      <c r="AE127" s="7">
        <f>IF($AH127="","",IF(INDEX('Per Invoice'!AE$2:AE$401,$AH127)="","",INDEX('Per Invoice'!AE$2:AE$401,$AH127)))</f>
        <v/>
      </c>
      <c r="AF127">
        <f>IF($AH127="","",IF(INDEX('Per Invoice'!AF$2:AF$401,$AH127)="","",INDEX('Per Invoice'!AF$2:AF$401,$AH127)))</f>
        <v/>
      </c>
      <c r="AG127" s="7">
        <f>IF($AH127="","",IF(INDEX('Per Invoice'!AG$2:AG$401,$AH127)="","",INDEX('Per Invoice'!AG$2:AG$401,$AH127)))</f>
        <v/>
      </c>
      <c r="AH127" s="16">
        <f>IFERROR(MATCH(Settings!$C$26&amp;"|"&amp;ROWS($AH$2:$AH127),'Per Invoice'!$AI$2:$AI$401,0),"")</f>
        <v/>
      </c>
    </row>
    <row r="128">
      <c r="A128">
        <f>IF($AH128="","",IF(INDEX('Per Invoice'!A$2:A$401,$AH128)="","",INDEX('Per Invoice'!A$2:A$401,$AH128)))</f>
        <v/>
      </c>
      <c r="B128">
        <f>IF($AH128="","",IF(INDEX('Per Invoice'!B$2:B$401,$AH128)="","",INDEX('Per Invoice'!B$2:B$401,$AH128)))</f>
        <v/>
      </c>
      <c r="C128">
        <f>IF($AH128="","",IF(INDEX('Per Invoice'!C$2:C$401,$AH128)="","",INDEX('Per Invoice'!C$2:C$401,$AH128)))</f>
        <v/>
      </c>
      <c r="D128">
        <f>IF($AH128="","",IF(INDEX('Per Invoice'!D$2:D$401,$AH128)="","",INDEX('Per Invoice'!D$2:D$401,$AH128)))</f>
        <v/>
      </c>
      <c r="E128">
        <f>IF($AH128="","",IF(INDEX('Per Invoice'!E$2:E$401,$AH128)="","",INDEX('Per Invoice'!E$2:E$401,$AH128)))</f>
        <v/>
      </c>
      <c r="F128">
        <f>IF($AH128="","",IF(INDEX('Per Invoice'!F$2:F$401,$AH128)="","",INDEX('Per Invoice'!F$2:F$401,$AH128)))</f>
        <v/>
      </c>
      <c r="G128">
        <f>IF($AH128="","",IF(INDEX('Per Invoice'!G$2:G$401,$AH128)="","",INDEX('Per Invoice'!G$2:G$401,$AH128)))</f>
        <v/>
      </c>
      <c r="H128">
        <f>IF($AH128="","",IF(INDEX('Per Invoice'!H$2:H$401,$AH128)="","",INDEX('Per Invoice'!H$2:H$401,$AH128)))</f>
        <v/>
      </c>
      <c r="I128" s="14">
        <f>IF($AH128="","",IF(INDEX('Per Invoice'!I$2:I$401,$AH128)="","",INDEX('Per Invoice'!I$2:I$401,$AH128)))</f>
        <v/>
      </c>
      <c r="J128">
        <f>IF($AH128="","",IF(INDEX('Per Invoice'!J$2:J$401,$AH128)="","",INDEX('Per Invoice'!J$2:J$401,$AH128)))</f>
        <v/>
      </c>
      <c r="K128">
        <f>IF($AH128="","",IF(INDEX('Per Invoice'!K$2:K$401,$AH128)="","",INDEX('Per Invoice'!K$2:K$401,$AH128)))</f>
        <v/>
      </c>
      <c r="L128">
        <f>IF($AH128="","",IF(INDEX('Per Invoice'!L$2:L$401,$AH128)="","",INDEX('Per Invoice'!L$2:L$401,$AH128)))</f>
        <v/>
      </c>
      <c r="M128">
        <f>IF($AH128="","",IF(INDEX('Per Invoice'!M$2:M$401,$AH128)="","",INDEX('Per Invoice'!M$2:M$401,$AH128)))</f>
        <v/>
      </c>
      <c r="N128">
        <f>IF($AH128="","",IF(INDEX('Per Invoice'!N$2:N$401,$AH128)="","",INDEX('Per Invoice'!N$2:N$401,$AH128)))</f>
        <v/>
      </c>
      <c r="O128">
        <f>IF($AH128="","",IF(INDEX('Per Invoice'!O$2:O$401,$AH128)="","",INDEX('Per Invoice'!O$2:O$401,$AH128)))</f>
        <v/>
      </c>
      <c r="P128" s="7">
        <f>IF($AH128="","",IF(INDEX('Per Invoice'!P$2:P$401,$AH128)="","",INDEX('Per Invoice'!P$2:P$401,$AH128)))</f>
        <v/>
      </c>
      <c r="Q128">
        <f>IF($AH128="","",IF(INDEX('Per Invoice'!Q$2:Q$401,$AH128)="","",INDEX('Per Invoice'!Q$2:Q$401,$AH128)))</f>
        <v/>
      </c>
      <c r="R128">
        <f>IF($AH128="","",IF(INDEX('Per Invoice'!R$2:R$401,$AH128)="","",INDEX('Per Invoice'!R$2:R$401,$AH128)))</f>
        <v/>
      </c>
      <c r="S128">
        <f>IF($AH128="","",IF(INDEX('Per Invoice'!S$2:S$401,$AH128)="","",INDEX('Per Invoice'!S$2:S$401,$AH128)))</f>
        <v/>
      </c>
      <c r="T128" s="7">
        <f>IF($AH128="","",IF(INDEX('Per Invoice'!T$2:T$401,$AH128)="","",INDEX('Per Invoice'!T$2:T$401,$AH128)))</f>
        <v/>
      </c>
      <c r="U128" s="7">
        <f>IF($AH128="","",IF(INDEX('Per Invoice'!U$2:U$401,$AH128)="","",INDEX('Per Invoice'!U$2:U$401,$AH128)))</f>
        <v/>
      </c>
      <c r="V128">
        <f>IF($AH128="","",IF(INDEX('Per Invoice'!V$2:V$401,$AH128)="","",INDEX('Per Invoice'!V$2:V$401,$AH128)))</f>
        <v/>
      </c>
      <c r="W128" s="7">
        <f>IF($AH128="","",IF(INDEX('Per Invoice'!W$2:W$401,$AH128)="","",INDEX('Per Invoice'!W$2:W$401,$AH128)))</f>
        <v/>
      </c>
      <c r="X128" s="7">
        <f>IF($AH128="","",IF(INDEX('Per Invoice'!X$2:X$401,$AH128)="","",INDEX('Per Invoice'!X$2:X$401,$AH128)))</f>
        <v/>
      </c>
      <c r="Y128">
        <f>IF($AH128="","",IF(INDEX('Per Invoice'!Y$2:Y$401,$AH128)="","",INDEX('Per Invoice'!Y$2:Y$401,$AH128)))</f>
        <v/>
      </c>
      <c r="Z128" s="7">
        <f>IF($AH128="","",IF(INDEX('Per Invoice'!Z$2:Z$401,$AH128)="","",INDEX('Per Invoice'!Z$2:Z$401,$AH128)))</f>
        <v/>
      </c>
      <c r="AA128" s="7">
        <f>IF($AH128="","",IF(INDEX('Per Invoice'!AA$2:AA$401,$AH128)="","",INDEX('Per Invoice'!AA$2:AA$401,$AH128)))</f>
        <v/>
      </c>
      <c r="AB128" s="7">
        <f>IF($AH128="","",IF(INDEX('Per Invoice'!AB$2:AB$401,$AH128)="","",INDEX('Per Invoice'!AB$2:AB$401,$AH128)))</f>
        <v/>
      </c>
      <c r="AC128" s="7">
        <f>IF($AH128="","",IF(INDEX('Per Invoice'!AC$2:AC$401,$AH128)="","",INDEX('Per Invoice'!AC$2:AC$401,$AH128)))</f>
        <v/>
      </c>
      <c r="AD128" s="7">
        <f>IF($AH128="","",IF(INDEX('Per Invoice'!AD$2:AD$401,$AH128)="","",INDEX('Per Invoice'!AD$2:AD$401,$AH128)))</f>
        <v/>
      </c>
      <c r="AE128" s="7">
        <f>IF($AH128="","",IF(INDEX('Per Invoice'!AE$2:AE$401,$AH128)="","",INDEX('Per Invoice'!AE$2:AE$401,$AH128)))</f>
        <v/>
      </c>
      <c r="AF128">
        <f>IF($AH128="","",IF(INDEX('Per Invoice'!AF$2:AF$401,$AH128)="","",INDEX('Per Invoice'!AF$2:AF$401,$AH128)))</f>
        <v/>
      </c>
      <c r="AG128" s="7">
        <f>IF($AH128="","",IF(INDEX('Per Invoice'!AG$2:AG$401,$AH128)="","",INDEX('Per Invoice'!AG$2:AG$401,$AH128)))</f>
        <v/>
      </c>
      <c r="AH128" s="16">
        <f>IFERROR(MATCH(Settings!$C$26&amp;"|"&amp;ROWS($AH$2:$AH128),'Per Invoice'!$AI$2:$AI$401,0),"")</f>
        <v/>
      </c>
    </row>
    <row r="129">
      <c r="A129">
        <f>IF($AH129="","",IF(INDEX('Per Invoice'!A$2:A$401,$AH129)="","",INDEX('Per Invoice'!A$2:A$401,$AH129)))</f>
        <v/>
      </c>
      <c r="B129">
        <f>IF($AH129="","",IF(INDEX('Per Invoice'!B$2:B$401,$AH129)="","",INDEX('Per Invoice'!B$2:B$401,$AH129)))</f>
        <v/>
      </c>
      <c r="C129">
        <f>IF($AH129="","",IF(INDEX('Per Invoice'!C$2:C$401,$AH129)="","",INDEX('Per Invoice'!C$2:C$401,$AH129)))</f>
        <v/>
      </c>
      <c r="D129">
        <f>IF($AH129="","",IF(INDEX('Per Invoice'!D$2:D$401,$AH129)="","",INDEX('Per Invoice'!D$2:D$401,$AH129)))</f>
        <v/>
      </c>
      <c r="E129">
        <f>IF($AH129="","",IF(INDEX('Per Invoice'!E$2:E$401,$AH129)="","",INDEX('Per Invoice'!E$2:E$401,$AH129)))</f>
        <v/>
      </c>
      <c r="F129">
        <f>IF($AH129="","",IF(INDEX('Per Invoice'!F$2:F$401,$AH129)="","",INDEX('Per Invoice'!F$2:F$401,$AH129)))</f>
        <v/>
      </c>
      <c r="G129">
        <f>IF($AH129="","",IF(INDEX('Per Invoice'!G$2:G$401,$AH129)="","",INDEX('Per Invoice'!G$2:G$401,$AH129)))</f>
        <v/>
      </c>
      <c r="H129">
        <f>IF($AH129="","",IF(INDEX('Per Invoice'!H$2:H$401,$AH129)="","",INDEX('Per Invoice'!H$2:H$401,$AH129)))</f>
        <v/>
      </c>
      <c r="I129" s="14">
        <f>IF($AH129="","",IF(INDEX('Per Invoice'!I$2:I$401,$AH129)="","",INDEX('Per Invoice'!I$2:I$401,$AH129)))</f>
        <v/>
      </c>
      <c r="J129">
        <f>IF($AH129="","",IF(INDEX('Per Invoice'!J$2:J$401,$AH129)="","",INDEX('Per Invoice'!J$2:J$401,$AH129)))</f>
        <v/>
      </c>
      <c r="K129">
        <f>IF($AH129="","",IF(INDEX('Per Invoice'!K$2:K$401,$AH129)="","",INDEX('Per Invoice'!K$2:K$401,$AH129)))</f>
        <v/>
      </c>
      <c r="L129">
        <f>IF($AH129="","",IF(INDEX('Per Invoice'!L$2:L$401,$AH129)="","",INDEX('Per Invoice'!L$2:L$401,$AH129)))</f>
        <v/>
      </c>
      <c r="M129">
        <f>IF($AH129="","",IF(INDEX('Per Invoice'!M$2:M$401,$AH129)="","",INDEX('Per Invoice'!M$2:M$401,$AH129)))</f>
        <v/>
      </c>
      <c r="N129">
        <f>IF($AH129="","",IF(INDEX('Per Invoice'!N$2:N$401,$AH129)="","",INDEX('Per Invoice'!N$2:N$401,$AH129)))</f>
        <v/>
      </c>
      <c r="O129">
        <f>IF($AH129="","",IF(INDEX('Per Invoice'!O$2:O$401,$AH129)="","",INDEX('Per Invoice'!O$2:O$401,$AH129)))</f>
        <v/>
      </c>
      <c r="P129" s="7">
        <f>IF($AH129="","",IF(INDEX('Per Invoice'!P$2:P$401,$AH129)="","",INDEX('Per Invoice'!P$2:P$401,$AH129)))</f>
        <v/>
      </c>
      <c r="Q129">
        <f>IF($AH129="","",IF(INDEX('Per Invoice'!Q$2:Q$401,$AH129)="","",INDEX('Per Invoice'!Q$2:Q$401,$AH129)))</f>
        <v/>
      </c>
      <c r="R129">
        <f>IF($AH129="","",IF(INDEX('Per Invoice'!R$2:R$401,$AH129)="","",INDEX('Per Invoice'!R$2:R$401,$AH129)))</f>
        <v/>
      </c>
      <c r="S129">
        <f>IF($AH129="","",IF(INDEX('Per Invoice'!S$2:S$401,$AH129)="","",INDEX('Per Invoice'!S$2:S$401,$AH129)))</f>
        <v/>
      </c>
      <c r="T129" s="7">
        <f>IF($AH129="","",IF(INDEX('Per Invoice'!T$2:T$401,$AH129)="","",INDEX('Per Invoice'!T$2:T$401,$AH129)))</f>
        <v/>
      </c>
      <c r="U129" s="7">
        <f>IF($AH129="","",IF(INDEX('Per Invoice'!U$2:U$401,$AH129)="","",INDEX('Per Invoice'!U$2:U$401,$AH129)))</f>
        <v/>
      </c>
      <c r="V129">
        <f>IF($AH129="","",IF(INDEX('Per Invoice'!V$2:V$401,$AH129)="","",INDEX('Per Invoice'!V$2:V$401,$AH129)))</f>
        <v/>
      </c>
      <c r="W129" s="7">
        <f>IF($AH129="","",IF(INDEX('Per Invoice'!W$2:W$401,$AH129)="","",INDEX('Per Invoice'!W$2:W$401,$AH129)))</f>
        <v/>
      </c>
      <c r="X129" s="7">
        <f>IF($AH129="","",IF(INDEX('Per Invoice'!X$2:X$401,$AH129)="","",INDEX('Per Invoice'!X$2:X$401,$AH129)))</f>
        <v/>
      </c>
      <c r="Y129">
        <f>IF($AH129="","",IF(INDEX('Per Invoice'!Y$2:Y$401,$AH129)="","",INDEX('Per Invoice'!Y$2:Y$401,$AH129)))</f>
        <v/>
      </c>
      <c r="Z129" s="7">
        <f>IF($AH129="","",IF(INDEX('Per Invoice'!Z$2:Z$401,$AH129)="","",INDEX('Per Invoice'!Z$2:Z$401,$AH129)))</f>
        <v/>
      </c>
      <c r="AA129" s="7">
        <f>IF($AH129="","",IF(INDEX('Per Invoice'!AA$2:AA$401,$AH129)="","",INDEX('Per Invoice'!AA$2:AA$401,$AH129)))</f>
        <v/>
      </c>
      <c r="AB129" s="7">
        <f>IF($AH129="","",IF(INDEX('Per Invoice'!AB$2:AB$401,$AH129)="","",INDEX('Per Invoice'!AB$2:AB$401,$AH129)))</f>
        <v/>
      </c>
      <c r="AC129" s="7">
        <f>IF($AH129="","",IF(INDEX('Per Invoice'!AC$2:AC$401,$AH129)="","",INDEX('Per Invoice'!AC$2:AC$401,$AH129)))</f>
        <v/>
      </c>
      <c r="AD129" s="7">
        <f>IF($AH129="","",IF(INDEX('Per Invoice'!AD$2:AD$401,$AH129)="","",INDEX('Per Invoice'!AD$2:AD$401,$AH129)))</f>
        <v/>
      </c>
      <c r="AE129" s="7">
        <f>IF($AH129="","",IF(INDEX('Per Invoice'!AE$2:AE$401,$AH129)="","",INDEX('Per Invoice'!AE$2:AE$401,$AH129)))</f>
        <v/>
      </c>
      <c r="AF129">
        <f>IF($AH129="","",IF(INDEX('Per Invoice'!AF$2:AF$401,$AH129)="","",INDEX('Per Invoice'!AF$2:AF$401,$AH129)))</f>
        <v/>
      </c>
      <c r="AG129" s="7">
        <f>IF($AH129="","",IF(INDEX('Per Invoice'!AG$2:AG$401,$AH129)="","",INDEX('Per Invoice'!AG$2:AG$401,$AH129)))</f>
        <v/>
      </c>
      <c r="AH129" s="16">
        <f>IFERROR(MATCH(Settings!$C$26&amp;"|"&amp;ROWS($AH$2:$AH129),'Per Invoice'!$AI$2:$AI$401,0),"")</f>
        <v/>
      </c>
    </row>
    <row r="130">
      <c r="A130">
        <f>IF($AH130="","",IF(INDEX('Per Invoice'!A$2:A$401,$AH130)="","",INDEX('Per Invoice'!A$2:A$401,$AH130)))</f>
        <v/>
      </c>
      <c r="B130">
        <f>IF($AH130="","",IF(INDEX('Per Invoice'!B$2:B$401,$AH130)="","",INDEX('Per Invoice'!B$2:B$401,$AH130)))</f>
        <v/>
      </c>
      <c r="C130">
        <f>IF($AH130="","",IF(INDEX('Per Invoice'!C$2:C$401,$AH130)="","",INDEX('Per Invoice'!C$2:C$401,$AH130)))</f>
        <v/>
      </c>
      <c r="D130">
        <f>IF($AH130="","",IF(INDEX('Per Invoice'!D$2:D$401,$AH130)="","",INDEX('Per Invoice'!D$2:D$401,$AH130)))</f>
        <v/>
      </c>
      <c r="E130">
        <f>IF($AH130="","",IF(INDEX('Per Invoice'!E$2:E$401,$AH130)="","",INDEX('Per Invoice'!E$2:E$401,$AH130)))</f>
        <v/>
      </c>
      <c r="F130">
        <f>IF($AH130="","",IF(INDEX('Per Invoice'!F$2:F$401,$AH130)="","",INDEX('Per Invoice'!F$2:F$401,$AH130)))</f>
        <v/>
      </c>
      <c r="G130">
        <f>IF($AH130="","",IF(INDEX('Per Invoice'!G$2:G$401,$AH130)="","",INDEX('Per Invoice'!G$2:G$401,$AH130)))</f>
        <v/>
      </c>
      <c r="H130">
        <f>IF($AH130="","",IF(INDEX('Per Invoice'!H$2:H$401,$AH130)="","",INDEX('Per Invoice'!H$2:H$401,$AH130)))</f>
        <v/>
      </c>
      <c r="I130" s="14">
        <f>IF($AH130="","",IF(INDEX('Per Invoice'!I$2:I$401,$AH130)="","",INDEX('Per Invoice'!I$2:I$401,$AH130)))</f>
        <v/>
      </c>
      <c r="J130">
        <f>IF($AH130="","",IF(INDEX('Per Invoice'!J$2:J$401,$AH130)="","",INDEX('Per Invoice'!J$2:J$401,$AH130)))</f>
        <v/>
      </c>
      <c r="K130">
        <f>IF($AH130="","",IF(INDEX('Per Invoice'!K$2:K$401,$AH130)="","",INDEX('Per Invoice'!K$2:K$401,$AH130)))</f>
        <v/>
      </c>
      <c r="L130">
        <f>IF($AH130="","",IF(INDEX('Per Invoice'!L$2:L$401,$AH130)="","",INDEX('Per Invoice'!L$2:L$401,$AH130)))</f>
        <v/>
      </c>
      <c r="M130">
        <f>IF($AH130="","",IF(INDEX('Per Invoice'!M$2:M$401,$AH130)="","",INDEX('Per Invoice'!M$2:M$401,$AH130)))</f>
        <v/>
      </c>
      <c r="N130">
        <f>IF($AH130="","",IF(INDEX('Per Invoice'!N$2:N$401,$AH130)="","",INDEX('Per Invoice'!N$2:N$401,$AH130)))</f>
        <v/>
      </c>
      <c r="O130">
        <f>IF($AH130="","",IF(INDEX('Per Invoice'!O$2:O$401,$AH130)="","",INDEX('Per Invoice'!O$2:O$401,$AH130)))</f>
        <v/>
      </c>
      <c r="P130" s="7">
        <f>IF($AH130="","",IF(INDEX('Per Invoice'!P$2:P$401,$AH130)="","",INDEX('Per Invoice'!P$2:P$401,$AH130)))</f>
        <v/>
      </c>
      <c r="Q130">
        <f>IF($AH130="","",IF(INDEX('Per Invoice'!Q$2:Q$401,$AH130)="","",INDEX('Per Invoice'!Q$2:Q$401,$AH130)))</f>
        <v/>
      </c>
      <c r="R130">
        <f>IF($AH130="","",IF(INDEX('Per Invoice'!R$2:R$401,$AH130)="","",INDEX('Per Invoice'!R$2:R$401,$AH130)))</f>
        <v/>
      </c>
      <c r="S130">
        <f>IF($AH130="","",IF(INDEX('Per Invoice'!S$2:S$401,$AH130)="","",INDEX('Per Invoice'!S$2:S$401,$AH130)))</f>
        <v/>
      </c>
      <c r="T130" s="7">
        <f>IF($AH130="","",IF(INDEX('Per Invoice'!T$2:T$401,$AH130)="","",INDEX('Per Invoice'!T$2:T$401,$AH130)))</f>
        <v/>
      </c>
      <c r="U130" s="7">
        <f>IF($AH130="","",IF(INDEX('Per Invoice'!U$2:U$401,$AH130)="","",INDEX('Per Invoice'!U$2:U$401,$AH130)))</f>
        <v/>
      </c>
      <c r="V130">
        <f>IF($AH130="","",IF(INDEX('Per Invoice'!V$2:V$401,$AH130)="","",INDEX('Per Invoice'!V$2:V$401,$AH130)))</f>
        <v/>
      </c>
      <c r="W130" s="7">
        <f>IF($AH130="","",IF(INDEX('Per Invoice'!W$2:W$401,$AH130)="","",INDEX('Per Invoice'!W$2:W$401,$AH130)))</f>
        <v/>
      </c>
      <c r="X130" s="7">
        <f>IF($AH130="","",IF(INDEX('Per Invoice'!X$2:X$401,$AH130)="","",INDEX('Per Invoice'!X$2:X$401,$AH130)))</f>
        <v/>
      </c>
      <c r="Y130">
        <f>IF($AH130="","",IF(INDEX('Per Invoice'!Y$2:Y$401,$AH130)="","",INDEX('Per Invoice'!Y$2:Y$401,$AH130)))</f>
        <v/>
      </c>
      <c r="Z130" s="7">
        <f>IF($AH130="","",IF(INDEX('Per Invoice'!Z$2:Z$401,$AH130)="","",INDEX('Per Invoice'!Z$2:Z$401,$AH130)))</f>
        <v/>
      </c>
      <c r="AA130" s="7">
        <f>IF($AH130="","",IF(INDEX('Per Invoice'!AA$2:AA$401,$AH130)="","",INDEX('Per Invoice'!AA$2:AA$401,$AH130)))</f>
        <v/>
      </c>
      <c r="AB130" s="7">
        <f>IF($AH130="","",IF(INDEX('Per Invoice'!AB$2:AB$401,$AH130)="","",INDEX('Per Invoice'!AB$2:AB$401,$AH130)))</f>
        <v/>
      </c>
      <c r="AC130" s="7">
        <f>IF($AH130="","",IF(INDEX('Per Invoice'!AC$2:AC$401,$AH130)="","",INDEX('Per Invoice'!AC$2:AC$401,$AH130)))</f>
        <v/>
      </c>
      <c r="AD130" s="7">
        <f>IF($AH130="","",IF(INDEX('Per Invoice'!AD$2:AD$401,$AH130)="","",INDEX('Per Invoice'!AD$2:AD$401,$AH130)))</f>
        <v/>
      </c>
      <c r="AE130" s="7">
        <f>IF($AH130="","",IF(INDEX('Per Invoice'!AE$2:AE$401,$AH130)="","",INDEX('Per Invoice'!AE$2:AE$401,$AH130)))</f>
        <v/>
      </c>
      <c r="AF130">
        <f>IF($AH130="","",IF(INDEX('Per Invoice'!AF$2:AF$401,$AH130)="","",INDEX('Per Invoice'!AF$2:AF$401,$AH130)))</f>
        <v/>
      </c>
      <c r="AG130" s="7">
        <f>IF($AH130="","",IF(INDEX('Per Invoice'!AG$2:AG$401,$AH130)="","",INDEX('Per Invoice'!AG$2:AG$401,$AH130)))</f>
        <v/>
      </c>
      <c r="AH130" s="16">
        <f>IFERROR(MATCH(Settings!$C$26&amp;"|"&amp;ROWS($AH$2:$AH130),'Per Invoice'!$AI$2:$AI$401,0),"")</f>
        <v/>
      </c>
    </row>
    <row r="131">
      <c r="A131">
        <f>IF($AH131="","",IF(INDEX('Per Invoice'!A$2:A$401,$AH131)="","",INDEX('Per Invoice'!A$2:A$401,$AH131)))</f>
        <v/>
      </c>
      <c r="B131">
        <f>IF($AH131="","",IF(INDEX('Per Invoice'!B$2:B$401,$AH131)="","",INDEX('Per Invoice'!B$2:B$401,$AH131)))</f>
        <v/>
      </c>
      <c r="C131">
        <f>IF($AH131="","",IF(INDEX('Per Invoice'!C$2:C$401,$AH131)="","",INDEX('Per Invoice'!C$2:C$401,$AH131)))</f>
        <v/>
      </c>
      <c r="D131">
        <f>IF($AH131="","",IF(INDEX('Per Invoice'!D$2:D$401,$AH131)="","",INDEX('Per Invoice'!D$2:D$401,$AH131)))</f>
        <v/>
      </c>
      <c r="E131">
        <f>IF($AH131="","",IF(INDEX('Per Invoice'!E$2:E$401,$AH131)="","",INDEX('Per Invoice'!E$2:E$401,$AH131)))</f>
        <v/>
      </c>
      <c r="F131">
        <f>IF($AH131="","",IF(INDEX('Per Invoice'!F$2:F$401,$AH131)="","",INDEX('Per Invoice'!F$2:F$401,$AH131)))</f>
        <v/>
      </c>
      <c r="G131">
        <f>IF($AH131="","",IF(INDEX('Per Invoice'!G$2:G$401,$AH131)="","",INDEX('Per Invoice'!G$2:G$401,$AH131)))</f>
        <v/>
      </c>
      <c r="H131">
        <f>IF($AH131="","",IF(INDEX('Per Invoice'!H$2:H$401,$AH131)="","",INDEX('Per Invoice'!H$2:H$401,$AH131)))</f>
        <v/>
      </c>
      <c r="I131" s="14">
        <f>IF($AH131="","",IF(INDEX('Per Invoice'!I$2:I$401,$AH131)="","",INDEX('Per Invoice'!I$2:I$401,$AH131)))</f>
        <v/>
      </c>
      <c r="J131">
        <f>IF($AH131="","",IF(INDEX('Per Invoice'!J$2:J$401,$AH131)="","",INDEX('Per Invoice'!J$2:J$401,$AH131)))</f>
        <v/>
      </c>
      <c r="K131">
        <f>IF($AH131="","",IF(INDEX('Per Invoice'!K$2:K$401,$AH131)="","",INDEX('Per Invoice'!K$2:K$401,$AH131)))</f>
        <v/>
      </c>
      <c r="L131">
        <f>IF($AH131="","",IF(INDEX('Per Invoice'!L$2:L$401,$AH131)="","",INDEX('Per Invoice'!L$2:L$401,$AH131)))</f>
        <v/>
      </c>
      <c r="M131">
        <f>IF($AH131="","",IF(INDEX('Per Invoice'!M$2:M$401,$AH131)="","",INDEX('Per Invoice'!M$2:M$401,$AH131)))</f>
        <v/>
      </c>
      <c r="N131">
        <f>IF($AH131="","",IF(INDEX('Per Invoice'!N$2:N$401,$AH131)="","",INDEX('Per Invoice'!N$2:N$401,$AH131)))</f>
        <v/>
      </c>
      <c r="O131">
        <f>IF($AH131="","",IF(INDEX('Per Invoice'!O$2:O$401,$AH131)="","",INDEX('Per Invoice'!O$2:O$401,$AH131)))</f>
        <v/>
      </c>
      <c r="P131" s="7">
        <f>IF($AH131="","",IF(INDEX('Per Invoice'!P$2:P$401,$AH131)="","",INDEX('Per Invoice'!P$2:P$401,$AH131)))</f>
        <v/>
      </c>
      <c r="Q131">
        <f>IF($AH131="","",IF(INDEX('Per Invoice'!Q$2:Q$401,$AH131)="","",INDEX('Per Invoice'!Q$2:Q$401,$AH131)))</f>
        <v/>
      </c>
      <c r="R131">
        <f>IF($AH131="","",IF(INDEX('Per Invoice'!R$2:R$401,$AH131)="","",INDEX('Per Invoice'!R$2:R$401,$AH131)))</f>
        <v/>
      </c>
      <c r="S131">
        <f>IF($AH131="","",IF(INDEX('Per Invoice'!S$2:S$401,$AH131)="","",INDEX('Per Invoice'!S$2:S$401,$AH131)))</f>
        <v/>
      </c>
      <c r="T131" s="7">
        <f>IF($AH131="","",IF(INDEX('Per Invoice'!T$2:T$401,$AH131)="","",INDEX('Per Invoice'!T$2:T$401,$AH131)))</f>
        <v/>
      </c>
      <c r="U131" s="7">
        <f>IF($AH131="","",IF(INDEX('Per Invoice'!U$2:U$401,$AH131)="","",INDEX('Per Invoice'!U$2:U$401,$AH131)))</f>
        <v/>
      </c>
      <c r="V131">
        <f>IF($AH131="","",IF(INDEX('Per Invoice'!V$2:V$401,$AH131)="","",INDEX('Per Invoice'!V$2:V$401,$AH131)))</f>
        <v/>
      </c>
      <c r="W131" s="7">
        <f>IF($AH131="","",IF(INDEX('Per Invoice'!W$2:W$401,$AH131)="","",INDEX('Per Invoice'!W$2:W$401,$AH131)))</f>
        <v/>
      </c>
      <c r="X131" s="7">
        <f>IF($AH131="","",IF(INDEX('Per Invoice'!X$2:X$401,$AH131)="","",INDEX('Per Invoice'!X$2:X$401,$AH131)))</f>
        <v/>
      </c>
      <c r="Y131">
        <f>IF($AH131="","",IF(INDEX('Per Invoice'!Y$2:Y$401,$AH131)="","",INDEX('Per Invoice'!Y$2:Y$401,$AH131)))</f>
        <v/>
      </c>
      <c r="Z131" s="7">
        <f>IF($AH131="","",IF(INDEX('Per Invoice'!Z$2:Z$401,$AH131)="","",INDEX('Per Invoice'!Z$2:Z$401,$AH131)))</f>
        <v/>
      </c>
      <c r="AA131" s="7">
        <f>IF($AH131="","",IF(INDEX('Per Invoice'!AA$2:AA$401,$AH131)="","",INDEX('Per Invoice'!AA$2:AA$401,$AH131)))</f>
        <v/>
      </c>
      <c r="AB131" s="7">
        <f>IF($AH131="","",IF(INDEX('Per Invoice'!AB$2:AB$401,$AH131)="","",INDEX('Per Invoice'!AB$2:AB$401,$AH131)))</f>
        <v/>
      </c>
      <c r="AC131" s="7">
        <f>IF($AH131="","",IF(INDEX('Per Invoice'!AC$2:AC$401,$AH131)="","",INDEX('Per Invoice'!AC$2:AC$401,$AH131)))</f>
        <v/>
      </c>
      <c r="AD131" s="7">
        <f>IF($AH131="","",IF(INDEX('Per Invoice'!AD$2:AD$401,$AH131)="","",INDEX('Per Invoice'!AD$2:AD$401,$AH131)))</f>
        <v/>
      </c>
      <c r="AE131" s="7">
        <f>IF($AH131="","",IF(INDEX('Per Invoice'!AE$2:AE$401,$AH131)="","",INDEX('Per Invoice'!AE$2:AE$401,$AH131)))</f>
        <v/>
      </c>
      <c r="AF131">
        <f>IF($AH131="","",IF(INDEX('Per Invoice'!AF$2:AF$401,$AH131)="","",INDEX('Per Invoice'!AF$2:AF$401,$AH131)))</f>
        <v/>
      </c>
      <c r="AG131" s="7">
        <f>IF($AH131="","",IF(INDEX('Per Invoice'!AG$2:AG$401,$AH131)="","",INDEX('Per Invoice'!AG$2:AG$401,$AH131)))</f>
        <v/>
      </c>
      <c r="AH131" s="16">
        <f>IFERROR(MATCH(Settings!$C$26&amp;"|"&amp;ROWS($AH$2:$AH131),'Per Invoice'!$AI$2:$AI$401,0),"")</f>
        <v/>
      </c>
    </row>
    <row r="132">
      <c r="A132">
        <f>IF($AH132="","",IF(INDEX('Per Invoice'!A$2:A$401,$AH132)="","",INDEX('Per Invoice'!A$2:A$401,$AH132)))</f>
        <v/>
      </c>
      <c r="B132">
        <f>IF($AH132="","",IF(INDEX('Per Invoice'!B$2:B$401,$AH132)="","",INDEX('Per Invoice'!B$2:B$401,$AH132)))</f>
        <v/>
      </c>
      <c r="C132">
        <f>IF($AH132="","",IF(INDEX('Per Invoice'!C$2:C$401,$AH132)="","",INDEX('Per Invoice'!C$2:C$401,$AH132)))</f>
        <v/>
      </c>
      <c r="D132">
        <f>IF($AH132="","",IF(INDEX('Per Invoice'!D$2:D$401,$AH132)="","",INDEX('Per Invoice'!D$2:D$401,$AH132)))</f>
        <v/>
      </c>
      <c r="E132">
        <f>IF($AH132="","",IF(INDEX('Per Invoice'!E$2:E$401,$AH132)="","",INDEX('Per Invoice'!E$2:E$401,$AH132)))</f>
        <v/>
      </c>
      <c r="F132">
        <f>IF($AH132="","",IF(INDEX('Per Invoice'!F$2:F$401,$AH132)="","",INDEX('Per Invoice'!F$2:F$401,$AH132)))</f>
        <v/>
      </c>
      <c r="G132">
        <f>IF($AH132="","",IF(INDEX('Per Invoice'!G$2:G$401,$AH132)="","",INDEX('Per Invoice'!G$2:G$401,$AH132)))</f>
        <v/>
      </c>
      <c r="H132">
        <f>IF($AH132="","",IF(INDEX('Per Invoice'!H$2:H$401,$AH132)="","",INDEX('Per Invoice'!H$2:H$401,$AH132)))</f>
        <v/>
      </c>
      <c r="I132" s="14">
        <f>IF($AH132="","",IF(INDEX('Per Invoice'!I$2:I$401,$AH132)="","",INDEX('Per Invoice'!I$2:I$401,$AH132)))</f>
        <v/>
      </c>
      <c r="J132">
        <f>IF($AH132="","",IF(INDEX('Per Invoice'!J$2:J$401,$AH132)="","",INDEX('Per Invoice'!J$2:J$401,$AH132)))</f>
        <v/>
      </c>
      <c r="K132">
        <f>IF($AH132="","",IF(INDEX('Per Invoice'!K$2:K$401,$AH132)="","",INDEX('Per Invoice'!K$2:K$401,$AH132)))</f>
        <v/>
      </c>
      <c r="L132">
        <f>IF($AH132="","",IF(INDEX('Per Invoice'!L$2:L$401,$AH132)="","",INDEX('Per Invoice'!L$2:L$401,$AH132)))</f>
        <v/>
      </c>
      <c r="M132">
        <f>IF($AH132="","",IF(INDEX('Per Invoice'!M$2:M$401,$AH132)="","",INDEX('Per Invoice'!M$2:M$401,$AH132)))</f>
        <v/>
      </c>
      <c r="N132">
        <f>IF($AH132="","",IF(INDEX('Per Invoice'!N$2:N$401,$AH132)="","",INDEX('Per Invoice'!N$2:N$401,$AH132)))</f>
        <v/>
      </c>
      <c r="O132">
        <f>IF($AH132="","",IF(INDEX('Per Invoice'!O$2:O$401,$AH132)="","",INDEX('Per Invoice'!O$2:O$401,$AH132)))</f>
        <v/>
      </c>
      <c r="P132" s="7">
        <f>IF($AH132="","",IF(INDEX('Per Invoice'!P$2:P$401,$AH132)="","",INDEX('Per Invoice'!P$2:P$401,$AH132)))</f>
        <v/>
      </c>
      <c r="Q132">
        <f>IF($AH132="","",IF(INDEX('Per Invoice'!Q$2:Q$401,$AH132)="","",INDEX('Per Invoice'!Q$2:Q$401,$AH132)))</f>
        <v/>
      </c>
      <c r="R132">
        <f>IF($AH132="","",IF(INDEX('Per Invoice'!R$2:R$401,$AH132)="","",INDEX('Per Invoice'!R$2:R$401,$AH132)))</f>
        <v/>
      </c>
      <c r="S132">
        <f>IF($AH132="","",IF(INDEX('Per Invoice'!S$2:S$401,$AH132)="","",INDEX('Per Invoice'!S$2:S$401,$AH132)))</f>
        <v/>
      </c>
      <c r="T132" s="7">
        <f>IF($AH132="","",IF(INDEX('Per Invoice'!T$2:T$401,$AH132)="","",INDEX('Per Invoice'!T$2:T$401,$AH132)))</f>
        <v/>
      </c>
      <c r="U132" s="7">
        <f>IF($AH132="","",IF(INDEX('Per Invoice'!U$2:U$401,$AH132)="","",INDEX('Per Invoice'!U$2:U$401,$AH132)))</f>
        <v/>
      </c>
      <c r="V132">
        <f>IF($AH132="","",IF(INDEX('Per Invoice'!V$2:V$401,$AH132)="","",INDEX('Per Invoice'!V$2:V$401,$AH132)))</f>
        <v/>
      </c>
      <c r="W132" s="7">
        <f>IF($AH132="","",IF(INDEX('Per Invoice'!W$2:W$401,$AH132)="","",INDEX('Per Invoice'!W$2:W$401,$AH132)))</f>
        <v/>
      </c>
      <c r="X132" s="7">
        <f>IF($AH132="","",IF(INDEX('Per Invoice'!X$2:X$401,$AH132)="","",INDEX('Per Invoice'!X$2:X$401,$AH132)))</f>
        <v/>
      </c>
      <c r="Y132">
        <f>IF($AH132="","",IF(INDEX('Per Invoice'!Y$2:Y$401,$AH132)="","",INDEX('Per Invoice'!Y$2:Y$401,$AH132)))</f>
        <v/>
      </c>
      <c r="Z132" s="7">
        <f>IF($AH132="","",IF(INDEX('Per Invoice'!Z$2:Z$401,$AH132)="","",INDEX('Per Invoice'!Z$2:Z$401,$AH132)))</f>
        <v/>
      </c>
      <c r="AA132" s="7">
        <f>IF($AH132="","",IF(INDEX('Per Invoice'!AA$2:AA$401,$AH132)="","",INDEX('Per Invoice'!AA$2:AA$401,$AH132)))</f>
        <v/>
      </c>
      <c r="AB132" s="7">
        <f>IF($AH132="","",IF(INDEX('Per Invoice'!AB$2:AB$401,$AH132)="","",INDEX('Per Invoice'!AB$2:AB$401,$AH132)))</f>
        <v/>
      </c>
      <c r="AC132" s="7">
        <f>IF($AH132="","",IF(INDEX('Per Invoice'!AC$2:AC$401,$AH132)="","",INDEX('Per Invoice'!AC$2:AC$401,$AH132)))</f>
        <v/>
      </c>
      <c r="AD132" s="7">
        <f>IF($AH132="","",IF(INDEX('Per Invoice'!AD$2:AD$401,$AH132)="","",INDEX('Per Invoice'!AD$2:AD$401,$AH132)))</f>
        <v/>
      </c>
      <c r="AE132" s="7">
        <f>IF($AH132="","",IF(INDEX('Per Invoice'!AE$2:AE$401,$AH132)="","",INDEX('Per Invoice'!AE$2:AE$401,$AH132)))</f>
        <v/>
      </c>
      <c r="AF132">
        <f>IF($AH132="","",IF(INDEX('Per Invoice'!AF$2:AF$401,$AH132)="","",INDEX('Per Invoice'!AF$2:AF$401,$AH132)))</f>
        <v/>
      </c>
      <c r="AG132" s="7">
        <f>IF($AH132="","",IF(INDEX('Per Invoice'!AG$2:AG$401,$AH132)="","",INDEX('Per Invoice'!AG$2:AG$401,$AH132)))</f>
        <v/>
      </c>
      <c r="AH132" s="16">
        <f>IFERROR(MATCH(Settings!$C$26&amp;"|"&amp;ROWS($AH$2:$AH132),'Per Invoice'!$AI$2:$AI$401,0),"")</f>
        <v/>
      </c>
    </row>
    <row r="133">
      <c r="A133">
        <f>IF($AH133="","",IF(INDEX('Per Invoice'!A$2:A$401,$AH133)="","",INDEX('Per Invoice'!A$2:A$401,$AH133)))</f>
        <v/>
      </c>
      <c r="B133">
        <f>IF($AH133="","",IF(INDEX('Per Invoice'!B$2:B$401,$AH133)="","",INDEX('Per Invoice'!B$2:B$401,$AH133)))</f>
        <v/>
      </c>
      <c r="C133">
        <f>IF($AH133="","",IF(INDEX('Per Invoice'!C$2:C$401,$AH133)="","",INDEX('Per Invoice'!C$2:C$401,$AH133)))</f>
        <v/>
      </c>
      <c r="D133">
        <f>IF($AH133="","",IF(INDEX('Per Invoice'!D$2:D$401,$AH133)="","",INDEX('Per Invoice'!D$2:D$401,$AH133)))</f>
        <v/>
      </c>
      <c r="E133">
        <f>IF($AH133="","",IF(INDEX('Per Invoice'!E$2:E$401,$AH133)="","",INDEX('Per Invoice'!E$2:E$401,$AH133)))</f>
        <v/>
      </c>
      <c r="F133">
        <f>IF($AH133="","",IF(INDEX('Per Invoice'!F$2:F$401,$AH133)="","",INDEX('Per Invoice'!F$2:F$401,$AH133)))</f>
        <v/>
      </c>
      <c r="G133">
        <f>IF($AH133="","",IF(INDEX('Per Invoice'!G$2:G$401,$AH133)="","",INDEX('Per Invoice'!G$2:G$401,$AH133)))</f>
        <v/>
      </c>
      <c r="H133">
        <f>IF($AH133="","",IF(INDEX('Per Invoice'!H$2:H$401,$AH133)="","",INDEX('Per Invoice'!H$2:H$401,$AH133)))</f>
        <v/>
      </c>
      <c r="I133" s="14">
        <f>IF($AH133="","",IF(INDEX('Per Invoice'!I$2:I$401,$AH133)="","",INDEX('Per Invoice'!I$2:I$401,$AH133)))</f>
        <v/>
      </c>
      <c r="J133">
        <f>IF($AH133="","",IF(INDEX('Per Invoice'!J$2:J$401,$AH133)="","",INDEX('Per Invoice'!J$2:J$401,$AH133)))</f>
        <v/>
      </c>
      <c r="K133">
        <f>IF($AH133="","",IF(INDEX('Per Invoice'!K$2:K$401,$AH133)="","",INDEX('Per Invoice'!K$2:K$401,$AH133)))</f>
        <v/>
      </c>
      <c r="L133">
        <f>IF($AH133="","",IF(INDEX('Per Invoice'!L$2:L$401,$AH133)="","",INDEX('Per Invoice'!L$2:L$401,$AH133)))</f>
        <v/>
      </c>
      <c r="M133">
        <f>IF($AH133="","",IF(INDEX('Per Invoice'!M$2:M$401,$AH133)="","",INDEX('Per Invoice'!M$2:M$401,$AH133)))</f>
        <v/>
      </c>
      <c r="N133">
        <f>IF($AH133="","",IF(INDEX('Per Invoice'!N$2:N$401,$AH133)="","",INDEX('Per Invoice'!N$2:N$401,$AH133)))</f>
        <v/>
      </c>
      <c r="O133">
        <f>IF($AH133="","",IF(INDEX('Per Invoice'!O$2:O$401,$AH133)="","",INDEX('Per Invoice'!O$2:O$401,$AH133)))</f>
        <v/>
      </c>
      <c r="P133" s="7">
        <f>IF($AH133="","",IF(INDEX('Per Invoice'!P$2:P$401,$AH133)="","",INDEX('Per Invoice'!P$2:P$401,$AH133)))</f>
        <v/>
      </c>
      <c r="Q133">
        <f>IF($AH133="","",IF(INDEX('Per Invoice'!Q$2:Q$401,$AH133)="","",INDEX('Per Invoice'!Q$2:Q$401,$AH133)))</f>
        <v/>
      </c>
      <c r="R133">
        <f>IF($AH133="","",IF(INDEX('Per Invoice'!R$2:R$401,$AH133)="","",INDEX('Per Invoice'!R$2:R$401,$AH133)))</f>
        <v/>
      </c>
      <c r="S133">
        <f>IF($AH133="","",IF(INDEX('Per Invoice'!S$2:S$401,$AH133)="","",INDEX('Per Invoice'!S$2:S$401,$AH133)))</f>
        <v/>
      </c>
      <c r="T133" s="7">
        <f>IF($AH133="","",IF(INDEX('Per Invoice'!T$2:T$401,$AH133)="","",INDEX('Per Invoice'!T$2:T$401,$AH133)))</f>
        <v/>
      </c>
      <c r="U133" s="7">
        <f>IF($AH133="","",IF(INDEX('Per Invoice'!U$2:U$401,$AH133)="","",INDEX('Per Invoice'!U$2:U$401,$AH133)))</f>
        <v/>
      </c>
      <c r="V133">
        <f>IF($AH133="","",IF(INDEX('Per Invoice'!V$2:V$401,$AH133)="","",INDEX('Per Invoice'!V$2:V$401,$AH133)))</f>
        <v/>
      </c>
      <c r="W133" s="7">
        <f>IF($AH133="","",IF(INDEX('Per Invoice'!W$2:W$401,$AH133)="","",INDEX('Per Invoice'!W$2:W$401,$AH133)))</f>
        <v/>
      </c>
      <c r="X133" s="7">
        <f>IF($AH133="","",IF(INDEX('Per Invoice'!X$2:X$401,$AH133)="","",INDEX('Per Invoice'!X$2:X$401,$AH133)))</f>
        <v/>
      </c>
      <c r="Y133">
        <f>IF($AH133="","",IF(INDEX('Per Invoice'!Y$2:Y$401,$AH133)="","",INDEX('Per Invoice'!Y$2:Y$401,$AH133)))</f>
        <v/>
      </c>
      <c r="Z133" s="7">
        <f>IF($AH133="","",IF(INDEX('Per Invoice'!Z$2:Z$401,$AH133)="","",INDEX('Per Invoice'!Z$2:Z$401,$AH133)))</f>
        <v/>
      </c>
      <c r="AA133" s="7">
        <f>IF($AH133="","",IF(INDEX('Per Invoice'!AA$2:AA$401,$AH133)="","",INDEX('Per Invoice'!AA$2:AA$401,$AH133)))</f>
        <v/>
      </c>
      <c r="AB133" s="7">
        <f>IF($AH133="","",IF(INDEX('Per Invoice'!AB$2:AB$401,$AH133)="","",INDEX('Per Invoice'!AB$2:AB$401,$AH133)))</f>
        <v/>
      </c>
      <c r="AC133" s="7">
        <f>IF($AH133="","",IF(INDEX('Per Invoice'!AC$2:AC$401,$AH133)="","",INDEX('Per Invoice'!AC$2:AC$401,$AH133)))</f>
        <v/>
      </c>
      <c r="AD133" s="7">
        <f>IF($AH133="","",IF(INDEX('Per Invoice'!AD$2:AD$401,$AH133)="","",INDEX('Per Invoice'!AD$2:AD$401,$AH133)))</f>
        <v/>
      </c>
      <c r="AE133" s="7">
        <f>IF($AH133="","",IF(INDEX('Per Invoice'!AE$2:AE$401,$AH133)="","",INDEX('Per Invoice'!AE$2:AE$401,$AH133)))</f>
        <v/>
      </c>
      <c r="AF133">
        <f>IF($AH133="","",IF(INDEX('Per Invoice'!AF$2:AF$401,$AH133)="","",INDEX('Per Invoice'!AF$2:AF$401,$AH133)))</f>
        <v/>
      </c>
      <c r="AG133" s="7">
        <f>IF($AH133="","",IF(INDEX('Per Invoice'!AG$2:AG$401,$AH133)="","",INDEX('Per Invoice'!AG$2:AG$401,$AH133)))</f>
        <v/>
      </c>
      <c r="AH133" s="16">
        <f>IFERROR(MATCH(Settings!$C$26&amp;"|"&amp;ROWS($AH$2:$AH133),'Per Invoice'!$AI$2:$AI$401,0),"")</f>
        <v/>
      </c>
    </row>
    <row r="134">
      <c r="A134">
        <f>IF($AH134="","",IF(INDEX('Per Invoice'!A$2:A$401,$AH134)="","",INDEX('Per Invoice'!A$2:A$401,$AH134)))</f>
        <v/>
      </c>
      <c r="B134">
        <f>IF($AH134="","",IF(INDEX('Per Invoice'!B$2:B$401,$AH134)="","",INDEX('Per Invoice'!B$2:B$401,$AH134)))</f>
        <v/>
      </c>
      <c r="C134">
        <f>IF($AH134="","",IF(INDEX('Per Invoice'!C$2:C$401,$AH134)="","",INDEX('Per Invoice'!C$2:C$401,$AH134)))</f>
        <v/>
      </c>
      <c r="D134">
        <f>IF($AH134="","",IF(INDEX('Per Invoice'!D$2:D$401,$AH134)="","",INDEX('Per Invoice'!D$2:D$401,$AH134)))</f>
        <v/>
      </c>
      <c r="E134">
        <f>IF($AH134="","",IF(INDEX('Per Invoice'!E$2:E$401,$AH134)="","",INDEX('Per Invoice'!E$2:E$401,$AH134)))</f>
        <v/>
      </c>
      <c r="F134">
        <f>IF($AH134="","",IF(INDEX('Per Invoice'!F$2:F$401,$AH134)="","",INDEX('Per Invoice'!F$2:F$401,$AH134)))</f>
        <v/>
      </c>
      <c r="G134">
        <f>IF($AH134="","",IF(INDEX('Per Invoice'!G$2:G$401,$AH134)="","",INDEX('Per Invoice'!G$2:G$401,$AH134)))</f>
        <v/>
      </c>
      <c r="H134">
        <f>IF($AH134="","",IF(INDEX('Per Invoice'!H$2:H$401,$AH134)="","",INDEX('Per Invoice'!H$2:H$401,$AH134)))</f>
        <v/>
      </c>
      <c r="I134" s="14">
        <f>IF($AH134="","",IF(INDEX('Per Invoice'!I$2:I$401,$AH134)="","",INDEX('Per Invoice'!I$2:I$401,$AH134)))</f>
        <v/>
      </c>
      <c r="J134">
        <f>IF($AH134="","",IF(INDEX('Per Invoice'!J$2:J$401,$AH134)="","",INDEX('Per Invoice'!J$2:J$401,$AH134)))</f>
        <v/>
      </c>
      <c r="K134">
        <f>IF($AH134="","",IF(INDEX('Per Invoice'!K$2:K$401,$AH134)="","",INDEX('Per Invoice'!K$2:K$401,$AH134)))</f>
        <v/>
      </c>
      <c r="L134">
        <f>IF($AH134="","",IF(INDEX('Per Invoice'!L$2:L$401,$AH134)="","",INDEX('Per Invoice'!L$2:L$401,$AH134)))</f>
        <v/>
      </c>
      <c r="M134">
        <f>IF($AH134="","",IF(INDEX('Per Invoice'!M$2:M$401,$AH134)="","",INDEX('Per Invoice'!M$2:M$401,$AH134)))</f>
        <v/>
      </c>
      <c r="N134">
        <f>IF($AH134="","",IF(INDEX('Per Invoice'!N$2:N$401,$AH134)="","",INDEX('Per Invoice'!N$2:N$401,$AH134)))</f>
        <v/>
      </c>
      <c r="O134">
        <f>IF($AH134="","",IF(INDEX('Per Invoice'!O$2:O$401,$AH134)="","",INDEX('Per Invoice'!O$2:O$401,$AH134)))</f>
        <v/>
      </c>
      <c r="P134" s="7">
        <f>IF($AH134="","",IF(INDEX('Per Invoice'!P$2:P$401,$AH134)="","",INDEX('Per Invoice'!P$2:P$401,$AH134)))</f>
        <v/>
      </c>
      <c r="Q134">
        <f>IF($AH134="","",IF(INDEX('Per Invoice'!Q$2:Q$401,$AH134)="","",INDEX('Per Invoice'!Q$2:Q$401,$AH134)))</f>
        <v/>
      </c>
      <c r="R134">
        <f>IF($AH134="","",IF(INDEX('Per Invoice'!R$2:R$401,$AH134)="","",INDEX('Per Invoice'!R$2:R$401,$AH134)))</f>
        <v/>
      </c>
      <c r="S134">
        <f>IF($AH134="","",IF(INDEX('Per Invoice'!S$2:S$401,$AH134)="","",INDEX('Per Invoice'!S$2:S$401,$AH134)))</f>
        <v/>
      </c>
      <c r="T134" s="7">
        <f>IF($AH134="","",IF(INDEX('Per Invoice'!T$2:T$401,$AH134)="","",INDEX('Per Invoice'!T$2:T$401,$AH134)))</f>
        <v/>
      </c>
      <c r="U134" s="7">
        <f>IF($AH134="","",IF(INDEX('Per Invoice'!U$2:U$401,$AH134)="","",INDEX('Per Invoice'!U$2:U$401,$AH134)))</f>
        <v/>
      </c>
      <c r="V134">
        <f>IF($AH134="","",IF(INDEX('Per Invoice'!V$2:V$401,$AH134)="","",INDEX('Per Invoice'!V$2:V$401,$AH134)))</f>
        <v/>
      </c>
      <c r="W134" s="7">
        <f>IF($AH134="","",IF(INDEX('Per Invoice'!W$2:W$401,$AH134)="","",INDEX('Per Invoice'!W$2:W$401,$AH134)))</f>
        <v/>
      </c>
      <c r="X134" s="7">
        <f>IF($AH134="","",IF(INDEX('Per Invoice'!X$2:X$401,$AH134)="","",INDEX('Per Invoice'!X$2:X$401,$AH134)))</f>
        <v/>
      </c>
      <c r="Y134">
        <f>IF($AH134="","",IF(INDEX('Per Invoice'!Y$2:Y$401,$AH134)="","",INDEX('Per Invoice'!Y$2:Y$401,$AH134)))</f>
        <v/>
      </c>
      <c r="Z134" s="7">
        <f>IF($AH134="","",IF(INDEX('Per Invoice'!Z$2:Z$401,$AH134)="","",INDEX('Per Invoice'!Z$2:Z$401,$AH134)))</f>
        <v/>
      </c>
      <c r="AA134" s="7">
        <f>IF($AH134="","",IF(INDEX('Per Invoice'!AA$2:AA$401,$AH134)="","",INDEX('Per Invoice'!AA$2:AA$401,$AH134)))</f>
        <v/>
      </c>
      <c r="AB134" s="7">
        <f>IF($AH134="","",IF(INDEX('Per Invoice'!AB$2:AB$401,$AH134)="","",INDEX('Per Invoice'!AB$2:AB$401,$AH134)))</f>
        <v/>
      </c>
      <c r="AC134" s="7">
        <f>IF($AH134="","",IF(INDEX('Per Invoice'!AC$2:AC$401,$AH134)="","",INDEX('Per Invoice'!AC$2:AC$401,$AH134)))</f>
        <v/>
      </c>
      <c r="AD134" s="7">
        <f>IF($AH134="","",IF(INDEX('Per Invoice'!AD$2:AD$401,$AH134)="","",INDEX('Per Invoice'!AD$2:AD$401,$AH134)))</f>
        <v/>
      </c>
      <c r="AE134" s="7">
        <f>IF($AH134="","",IF(INDEX('Per Invoice'!AE$2:AE$401,$AH134)="","",INDEX('Per Invoice'!AE$2:AE$401,$AH134)))</f>
        <v/>
      </c>
      <c r="AF134">
        <f>IF($AH134="","",IF(INDEX('Per Invoice'!AF$2:AF$401,$AH134)="","",INDEX('Per Invoice'!AF$2:AF$401,$AH134)))</f>
        <v/>
      </c>
      <c r="AG134" s="7">
        <f>IF($AH134="","",IF(INDEX('Per Invoice'!AG$2:AG$401,$AH134)="","",INDEX('Per Invoice'!AG$2:AG$401,$AH134)))</f>
        <v/>
      </c>
      <c r="AH134" s="16">
        <f>IFERROR(MATCH(Settings!$C$26&amp;"|"&amp;ROWS($AH$2:$AH134),'Per Invoice'!$AI$2:$AI$401,0),"")</f>
        <v/>
      </c>
    </row>
    <row r="135">
      <c r="A135">
        <f>IF($AH135="","",IF(INDEX('Per Invoice'!A$2:A$401,$AH135)="","",INDEX('Per Invoice'!A$2:A$401,$AH135)))</f>
        <v/>
      </c>
      <c r="B135">
        <f>IF($AH135="","",IF(INDEX('Per Invoice'!B$2:B$401,$AH135)="","",INDEX('Per Invoice'!B$2:B$401,$AH135)))</f>
        <v/>
      </c>
      <c r="C135">
        <f>IF($AH135="","",IF(INDEX('Per Invoice'!C$2:C$401,$AH135)="","",INDEX('Per Invoice'!C$2:C$401,$AH135)))</f>
        <v/>
      </c>
      <c r="D135">
        <f>IF($AH135="","",IF(INDEX('Per Invoice'!D$2:D$401,$AH135)="","",INDEX('Per Invoice'!D$2:D$401,$AH135)))</f>
        <v/>
      </c>
      <c r="E135">
        <f>IF($AH135="","",IF(INDEX('Per Invoice'!E$2:E$401,$AH135)="","",INDEX('Per Invoice'!E$2:E$401,$AH135)))</f>
        <v/>
      </c>
      <c r="F135">
        <f>IF($AH135="","",IF(INDEX('Per Invoice'!F$2:F$401,$AH135)="","",INDEX('Per Invoice'!F$2:F$401,$AH135)))</f>
        <v/>
      </c>
      <c r="G135">
        <f>IF($AH135="","",IF(INDEX('Per Invoice'!G$2:G$401,$AH135)="","",INDEX('Per Invoice'!G$2:G$401,$AH135)))</f>
        <v/>
      </c>
      <c r="H135">
        <f>IF($AH135="","",IF(INDEX('Per Invoice'!H$2:H$401,$AH135)="","",INDEX('Per Invoice'!H$2:H$401,$AH135)))</f>
        <v/>
      </c>
      <c r="I135" s="14">
        <f>IF($AH135="","",IF(INDEX('Per Invoice'!I$2:I$401,$AH135)="","",INDEX('Per Invoice'!I$2:I$401,$AH135)))</f>
        <v/>
      </c>
      <c r="J135">
        <f>IF($AH135="","",IF(INDEX('Per Invoice'!J$2:J$401,$AH135)="","",INDEX('Per Invoice'!J$2:J$401,$AH135)))</f>
        <v/>
      </c>
      <c r="K135">
        <f>IF($AH135="","",IF(INDEX('Per Invoice'!K$2:K$401,$AH135)="","",INDEX('Per Invoice'!K$2:K$401,$AH135)))</f>
        <v/>
      </c>
      <c r="L135">
        <f>IF($AH135="","",IF(INDEX('Per Invoice'!L$2:L$401,$AH135)="","",INDEX('Per Invoice'!L$2:L$401,$AH135)))</f>
        <v/>
      </c>
      <c r="M135">
        <f>IF($AH135="","",IF(INDEX('Per Invoice'!M$2:M$401,$AH135)="","",INDEX('Per Invoice'!M$2:M$401,$AH135)))</f>
        <v/>
      </c>
      <c r="N135">
        <f>IF($AH135="","",IF(INDEX('Per Invoice'!N$2:N$401,$AH135)="","",INDEX('Per Invoice'!N$2:N$401,$AH135)))</f>
        <v/>
      </c>
      <c r="O135">
        <f>IF($AH135="","",IF(INDEX('Per Invoice'!O$2:O$401,$AH135)="","",INDEX('Per Invoice'!O$2:O$401,$AH135)))</f>
        <v/>
      </c>
      <c r="P135" s="7">
        <f>IF($AH135="","",IF(INDEX('Per Invoice'!P$2:P$401,$AH135)="","",INDEX('Per Invoice'!P$2:P$401,$AH135)))</f>
        <v/>
      </c>
      <c r="Q135">
        <f>IF($AH135="","",IF(INDEX('Per Invoice'!Q$2:Q$401,$AH135)="","",INDEX('Per Invoice'!Q$2:Q$401,$AH135)))</f>
        <v/>
      </c>
      <c r="R135">
        <f>IF($AH135="","",IF(INDEX('Per Invoice'!R$2:R$401,$AH135)="","",INDEX('Per Invoice'!R$2:R$401,$AH135)))</f>
        <v/>
      </c>
      <c r="S135">
        <f>IF($AH135="","",IF(INDEX('Per Invoice'!S$2:S$401,$AH135)="","",INDEX('Per Invoice'!S$2:S$401,$AH135)))</f>
        <v/>
      </c>
      <c r="T135" s="7">
        <f>IF($AH135="","",IF(INDEX('Per Invoice'!T$2:T$401,$AH135)="","",INDEX('Per Invoice'!T$2:T$401,$AH135)))</f>
        <v/>
      </c>
      <c r="U135" s="7">
        <f>IF($AH135="","",IF(INDEX('Per Invoice'!U$2:U$401,$AH135)="","",INDEX('Per Invoice'!U$2:U$401,$AH135)))</f>
        <v/>
      </c>
      <c r="V135">
        <f>IF($AH135="","",IF(INDEX('Per Invoice'!V$2:V$401,$AH135)="","",INDEX('Per Invoice'!V$2:V$401,$AH135)))</f>
        <v/>
      </c>
      <c r="W135" s="7">
        <f>IF($AH135="","",IF(INDEX('Per Invoice'!W$2:W$401,$AH135)="","",INDEX('Per Invoice'!W$2:W$401,$AH135)))</f>
        <v/>
      </c>
      <c r="X135" s="7">
        <f>IF($AH135="","",IF(INDEX('Per Invoice'!X$2:X$401,$AH135)="","",INDEX('Per Invoice'!X$2:X$401,$AH135)))</f>
        <v/>
      </c>
      <c r="Y135">
        <f>IF($AH135="","",IF(INDEX('Per Invoice'!Y$2:Y$401,$AH135)="","",INDEX('Per Invoice'!Y$2:Y$401,$AH135)))</f>
        <v/>
      </c>
      <c r="Z135" s="7">
        <f>IF($AH135="","",IF(INDEX('Per Invoice'!Z$2:Z$401,$AH135)="","",INDEX('Per Invoice'!Z$2:Z$401,$AH135)))</f>
        <v/>
      </c>
      <c r="AA135" s="7">
        <f>IF($AH135="","",IF(INDEX('Per Invoice'!AA$2:AA$401,$AH135)="","",INDEX('Per Invoice'!AA$2:AA$401,$AH135)))</f>
        <v/>
      </c>
      <c r="AB135" s="7">
        <f>IF($AH135="","",IF(INDEX('Per Invoice'!AB$2:AB$401,$AH135)="","",INDEX('Per Invoice'!AB$2:AB$401,$AH135)))</f>
        <v/>
      </c>
      <c r="AC135" s="7">
        <f>IF($AH135="","",IF(INDEX('Per Invoice'!AC$2:AC$401,$AH135)="","",INDEX('Per Invoice'!AC$2:AC$401,$AH135)))</f>
        <v/>
      </c>
      <c r="AD135" s="7">
        <f>IF($AH135="","",IF(INDEX('Per Invoice'!AD$2:AD$401,$AH135)="","",INDEX('Per Invoice'!AD$2:AD$401,$AH135)))</f>
        <v/>
      </c>
      <c r="AE135" s="7">
        <f>IF($AH135="","",IF(INDEX('Per Invoice'!AE$2:AE$401,$AH135)="","",INDEX('Per Invoice'!AE$2:AE$401,$AH135)))</f>
        <v/>
      </c>
      <c r="AF135">
        <f>IF($AH135="","",IF(INDEX('Per Invoice'!AF$2:AF$401,$AH135)="","",INDEX('Per Invoice'!AF$2:AF$401,$AH135)))</f>
        <v/>
      </c>
      <c r="AG135" s="7">
        <f>IF($AH135="","",IF(INDEX('Per Invoice'!AG$2:AG$401,$AH135)="","",INDEX('Per Invoice'!AG$2:AG$401,$AH135)))</f>
        <v/>
      </c>
      <c r="AH135" s="16">
        <f>IFERROR(MATCH(Settings!$C$26&amp;"|"&amp;ROWS($AH$2:$AH135),'Per Invoice'!$AI$2:$AI$401,0),"")</f>
        <v/>
      </c>
    </row>
    <row r="136">
      <c r="A136">
        <f>IF($AH136="","",IF(INDEX('Per Invoice'!A$2:A$401,$AH136)="","",INDEX('Per Invoice'!A$2:A$401,$AH136)))</f>
        <v/>
      </c>
      <c r="B136">
        <f>IF($AH136="","",IF(INDEX('Per Invoice'!B$2:B$401,$AH136)="","",INDEX('Per Invoice'!B$2:B$401,$AH136)))</f>
        <v/>
      </c>
      <c r="C136">
        <f>IF($AH136="","",IF(INDEX('Per Invoice'!C$2:C$401,$AH136)="","",INDEX('Per Invoice'!C$2:C$401,$AH136)))</f>
        <v/>
      </c>
      <c r="D136">
        <f>IF($AH136="","",IF(INDEX('Per Invoice'!D$2:D$401,$AH136)="","",INDEX('Per Invoice'!D$2:D$401,$AH136)))</f>
        <v/>
      </c>
      <c r="E136">
        <f>IF($AH136="","",IF(INDEX('Per Invoice'!E$2:E$401,$AH136)="","",INDEX('Per Invoice'!E$2:E$401,$AH136)))</f>
        <v/>
      </c>
      <c r="F136">
        <f>IF($AH136="","",IF(INDEX('Per Invoice'!F$2:F$401,$AH136)="","",INDEX('Per Invoice'!F$2:F$401,$AH136)))</f>
        <v/>
      </c>
      <c r="G136">
        <f>IF($AH136="","",IF(INDEX('Per Invoice'!G$2:G$401,$AH136)="","",INDEX('Per Invoice'!G$2:G$401,$AH136)))</f>
        <v/>
      </c>
      <c r="H136">
        <f>IF($AH136="","",IF(INDEX('Per Invoice'!H$2:H$401,$AH136)="","",INDEX('Per Invoice'!H$2:H$401,$AH136)))</f>
        <v/>
      </c>
      <c r="I136" s="14">
        <f>IF($AH136="","",IF(INDEX('Per Invoice'!I$2:I$401,$AH136)="","",INDEX('Per Invoice'!I$2:I$401,$AH136)))</f>
        <v/>
      </c>
      <c r="J136">
        <f>IF($AH136="","",IF(INDEX('Per Invoice'!J$2:J$401,$AH136)="","",INDEX('Per Invoice'!J$2:J$401,$AH136)))</f>
        <v/>
      </c>
      <c r="K136">
        <f>IF($AH136="","",IF(INDEX('Per Invoice'!K$2:K$401,$AH136)="","",INDEX('Per Invoice'!K$2:K$401,$AH136)))</f>
        <v/>
      </c>
      <c r="L136">
        <f>IF($AH136="","",IF(INDEX('Per Invoice'!L$2:L$401,$AH136)="","",INDEX('Per Invoice'!L$2:L$401,$AH136)))</f>
        <v/>
      </c>
      <c r="M136">
        <f>IF($AH136="","",IF(INDEX('Per Invoice'!M$2:M$401,$AH136)="","",INDEX('Per Invoice'!M$2:M$401,$AH136)))</f>
        <v/>
      </c>
      <c r="N136">
        <f>IF($AH136="","",IF(INDEX('Per Invoice'!N$2:N$401,$AH136)="","",INDEX('Per Invoice'!N$2:N$401,$AH136)))</f>
        <v/>
      </c>
      <c r="O136">
        <f>IF($AH136="","",IF(INDEX('Per Invoice'!O$2:O$401,$AH136)="","",INDEX('Per Invoice'!O$2:O$401,$AH136)))</f>
        <v/>
      </c>
      <c r="P136" s="7">
        <f>IF($AH136="","",IF(INDEX('Per Invoice'!P$2:P$401,$AH136)="","",INDEX('Per Invoice'!P$2:P$401,$AH136)))</f>
        <v/>
      </c>
      <c r="Q136">
        <f>IF($AH136="","",IF(INDEX('Per Invoice'!Q$2:Q$401,$AH136)="","",INDEX('Per Invoice'!Q$2:Q$401,$AH136)))</f>
        <v/>
      </c>
      <c r="R136">
        <f>IF($AH136="","",IF(INDEX('Per Invoice'!R$2:R$401,$AH136)="","",INDEX('Per Invoice'!R$2:R$401,$AH136)))</f>
        <v/>
      </c>
      <c r="S136">
        <f>IF($AH136="","",IF(INDEX('Per Invoice'!S$2:S$401,$AH136)="","",INDEX('Per Invoice'!S$2:S$401,$AH136)))</f>
        <v/>
      </c>
      <c r="T136" s="7">
        <f>IF($AH136="","",IF(INDEX('Per Invoice'!T$2:T$401,$AH136)="","",INDEX('Per Invoice'!T$2:T$401,$AH136)))</f>
        <v/>
      </c>
      <c r="U136" s="7">
        <f>IF($AH136="","",IF(INDEX('Per Invoice'!U$2:U$401,$AH136)="","",INDEX('Per Invoice'!U$2:U$401,$AH136)))</f>
        <v/>
      </c>
      <c r="V136">
        <f>IF($AH136="","",IF(INDEX('Per Invoice'!V$2:V$401,$AH136)="","",INDEX('Per Invoice'!V$2:V$401,$AH136)))</f>
        <v/>
      </c>
      <c r="W136" s="7">
        <f>IF($AH136="","",IF(INDEX('Per Invoice'!W$2:W$401,$AH136)="","",INDEX('Per Invoice'!W$2:W$401,$AH136)))</f>
        <v/>
      </c>
      <c r="X136" s="7">
        <f>IF($AH136="","",IF(INDEX('Per Invoice'!X$2:X$401,$AH136)="","",INDEX('Per Invoice'!X$2:X$401,$AH136)))</f>
        <v/>
      </c>
      <c r="Y136">
        <f>IF($AH136="","",IF(INDEX('Per Invoice'!Y$2:Y$401,$AH136)="","",INDEX('Per Invoice'!Y$2:Y$401,$AH136)))</f>
        <v/>
      </c>
      <c r="Z136" s="7">
        <f>IF($AH136="","",IF(INDEX('Per Invoice'!Z$2:Z$401,$AH136)="","",INDEX('Per Invoice'!Z$2:Z$401,$AH136)))</f>
        <v/>
      </c>
      <c r="AA136" s="7">
        <f>IF($AH136="","",IF(INDEX('Per Invoice'!AA$2:AA$401,$AH136)="","",INDEX('Per Invoice'!AA$2:AA$401,$AH136)))</f>
        <v/>
      </c>
      <c r="AB136" s="7">
        <f>IF($AH136="","",IF(INDEX('Per Invoice'!AB$2:AB$401,$AH136)="","",INDEX('Per Invoice'!AB$2:AB$401,$AH136)))</f>
        <v/>
      </c>
      <c r="AC136" s="7">
        <f>IF($AH136="","",IF(INDEX('Per Invoice'!AC$2:AC$401,$AH136)="","",INDEX('Per Invoice'!AC$2:AC$401,$AH136)))</f>
        <v/>
      </c>
      <c r="AD136" s="7">
        <f>IF($AH136="","",IF(INDEX('Per Invoice'!AD$2:AD$401,$AH136)="","",INDEX('Per Invoice'!AD$2:AD$401,$AH136)))</f>
        <v/>
      </c>
      <c r="AE136" s="7">
        <f>IF($AH136="","",IF(INDEX('Per Invoice'!AE$2:AE$401,$AH136)="","",INDEX('Per Invoice'!AE$2:AE$401,$AH136)))</f>
        <v/>
      </c>
      <c r="AF136">
        <f>IF($AH136="","",IF(INDEX('Per Invoice'!AF$2:AF$401,$AH136)="","",INDEX('Per Invoice'!AF$2:AF$401,$AH136)))</f>
        <v/>
      </c>
      <c r="AG136" s="7">
        <f>IF($AH136="","",IF(INDEX('Per Invoice'!AG$2:AG$401,$AH136)="","",INDEX('Per Invoice'!AG$2:AG$401,$AH136)))</f>
        <v/>
      </c>
      <c r="AH136" s="16">
        <f>IFERROR(MATCH(Settings!$C$26&amp;"|"&amp;ROWS($AH$2:$AH136),'Per Invoice'!$AI$2:$AI$401,0),"")</f>
        <v/>
      </c>
    </row>
    <row r="137">
      <c r="A137">
        <f>IF($AH137="","",IF(INDEX('Per Invoice'!A$2:A$401,$AH137)="","",INDEX('Per Invoice'!A$2:A$401,$AH137)))</f>
        <v/>
      </c>
      <c r="B137">
        <f>IF($AH137="","",IF(INDEX('Per Invoice'!B$2:B$401,$AH137)="","",INDEX('Per Invoice'!B$2:B$401,$AH137)))</f>
        <v/>
      </c>
      <c r="C137">
        <f>IF($AH137="","",IF(INDEX('Per Invoice'!C$2:C$401,$AH137)="","",INDEX('Per Invoice'!C$2:C$401,$AH137)))</f>
        <v/>
      </c>
      <c r="D137">
        <f>IF($AH137="","",IF(INDEX('Per Invoice'!D$2:D$401,$AH137)="","",INDEX('Per Invoice'!D$2:D$401,$AH137)))</f>
        <v/>
      </c>
      <c r="E137">
        <f>IF($AH137="","",IF(INDEX('Per Invoice'!E$2:E$401,$AH137)="","",INDEX('Per Invoice'!E$2:E$401,$AH137)))</f>
        <v/>
      </c>
      <c r="F137">
        <f>IF($AH137="","",IF(INDEX('Per Invoice'!F$2:F$401,$AH137)="","",INDEX('Per Invoice'!F$2:F$401,$AH137)))</f>
        <v/>
      </c>
      <c r="G137">
        <f>IF($AH137="","",IF(INDEX('Per Invoice'!G$2:G$401,$AH137)="","",INDEX('Per Invoice'!G$2:G$401,$AH137)))</f>
        <v/>
      </c>
      <c r="H137">
        <f>IF($AH137="","",IF(INDEX('Per Invoice'!H$2:H$401,$AH137)="","",INDEX('Per Invoice'!H$2:H$401,$AH137)))</f>
        <v/>
      </c>
      <c r="I137" s="14">
        <f>IF($AH137="","",IF(INDEX('Per Invoice'!I$2:I$401,$AH137)="","",INDEX('Per Invoice'!I$2:I$401,$AH137)))</f>
        <v/>
      </c>
      <c r="J137">
        <f>IF($AH137="","",IF(INDEX('Per Invoice'!J$2:J$401,$AH137)="","",INDEX('Per Invoice'!J$2:J$401,$AH137)))</f>
        <v/>
      </c>
      <c r="K137">
        <f>IF($AH137="","",IF(INDEX('Per Invoice'!K$2:K$401,$AH137)="","",INDEX('Per Invoice'!K$2:K$401,$AH137)))</f>
        <v/>
      </c>
      <c r="L137">
        <f>IF($AH137="","",IF(INDEX('Per Invoice'!L$2:L$401,$AH137)="","",INDEX('Per Invoice'!L$2:L$401,$AH137)))</f>
        <v/>
      </c>
      <c r="M137">
        <f>IF($AH137="","",IF(INDEX('Per Invoice'!M$2:M$401,$AH137)="","",INDEX('Per Invoice'!M$2:M$401,$AH137)))</f>
        <v/>
      </c>
      <c r="N137">
        <f>IF($AH137="","",IF(INDEX('Per Invoice'!N$2:N$401,$AH137)="","",INDEX('Per Invoice'!N$2:N$401,$AH137)))</f>
        <v/>
      </c>
      <c r="O137">
        <f>IF($AH137="","",IF(INDEX('Per Invoice'!O$2:O$401,$AH137)="","",INDEX('Per Invoice'!O$2:O$401,$AH137)))</f>
        <v/>
      </c>
      <c r="P137" s="7">
        <f>IF($AH137="","",IF(INDEX('Per Invoice'!P$2:P$401,$AH137)="","",INDEX('Per Invoice'!P$2:P$401,$AH137)))</f>
        <v/>
      </c>
      <c r="Q137">
        <f>IF($AH137="","",IF(INDEX('Per Invoice'!Q$2:Q$401,$AH137)="","",INDEX('Per Invoice'!Q$2:Q$401,$AH137)))</f>
        <v/>
      </c>
      <c r="R137">
        <f>IF($AH137="","",IF(INDEX('Per Invoice'!R$2:R$401,$AH137)="","",INDEX('Per Invoice'!R$2:R$401,$AH137)))</f>
        <v/>
      </c>
      <c r="S137">
        <f>IF($AH137="","",IF(INDEX('Per Invoice'!S$2:S$401,$AH137)="","",INDEX('Per Invoice'!S$2:S$401,$AH137)))</f>
        <v/>
      </c>
      <c r="T137" s="7">
        <f>IF($AH137="","",IF(INDEX('Per Invoice'!T$2:T$401,$AH137)="","",INDEX('Per Invoice'!T$2:T$401,$AH137)))</f>
        <v/>
      </c>
      <c r="U137" s="7">
        <f>IF($AH137="","",IF(INDEX('Per Invoice'!U$2:U$401,$AH137)="","",INDEX('Per Invoice'!U$2:U$401,$AH137)))</f>
        <v/>
      </c>
      <c r="V137">
        <f>IF($AH137="","",IF(INDEX('Per Invoice'!V$2:V$401,$AH137)="","",INDEX('Per Invoice'!V$2:V$401,$AH137)))</f>
        <v/>
      </c>
      <c r="W137" s="7">
        <f>IF($AH137="","",IF(INDEX('Per Invoice'!W$2:W$401,$AH137)="","",INDEX('Per Invoice'!W$2:W$401,$AH137)))</f>
        <v/>
      </c>
      <c r="X137" s="7">
        <f>IF($AH137="","",IF(INDEX('Per Invoice'!X$2:X$401,$AH137)="","",INDEX('Per Invoice'!X$2:X$401,$AH137)))</f>
        <v/>
      </c>
      <c r="Y137">
        <f>IF($AH137="","",IF(INDEX('Per Invoice'!Y$2:Y$401,$AH137)="","",INDEX('Per Invoice'!Y$2:Y$401,$AH137)))</f>
        <v/>
      </c>
      <c r="Z137" s="7">
        <f>IF($AH137="","",IF(INDEX('Per Invoice'!Z$2:Z$401,$AH137)="","",INDEX('Per Invoice'!Z$2:Z$401,$AH137)))</f>
        <v/>
      </c>
      <c r="AA137" s="7">
        <f>IF($AH137="","",IF(INDEX('Per Invoice'!AA$2:AA$401,$AH137)="","",INDEX('Per Invoice'!AA$2:AA$401,$AH137)))</f>
        <v/>
      </c>
      <c r="AB137" s="7">
        <f>IF($AH137="","",IF(INDEX('Per Invoice'!AB$2:AB$401,$AH137)="","",INDEX('Per Invoice'!AB$2:AB$401,$AH137)))</f>
        <v/>
      </c>
      <c r="AC137" s="7">
        <f>IF($AH137="","",IF(INDEX('Per Invoice'!AC$2:AC$401,$AH137)="","",INDEX('Per Invoice'!AC$2:AC$401,$AH137)))</f>
        <v/>
      </c>
      <c r="AD137" s="7">
        <f>IF($AH137="","",IF(INDEX('Per Invoice'!AD$2:AD$401,$AH137)="","",INDEX('Per Invoice'!AD$2:AD$401,$AH137)))</f>
        <v/>
      </c>
      <c r="AE137" s="7">
        <f>IF($AH137="","",IF(INDEX('Per Invoice'!AE$2:AE$401,$AH137)="","",INDEX('Per Invoice'!AE$2:AE$401,$AH137)))</f>
        <v/>
      </c>
      <c r="AF137">
        <f>IF($AH137="","",IF(INDEX('Per Invoice'!AF$2:AF$401,$AH137)="","",INDEX('Per Invoice'!AF$2:AF$401,$AH137)))</f>
        <v/>
      </c>
      <c r="AG137" s="7">
        <f>IF($AH137="","",IF(INDEX('Per Invoice'!AG$2:AG$401,$AH137)="","",INDEX('Per Invoice'!AG$2:AG$401,$AH137)))</f>
        <v/>
      </c>
      <c r="AH137" s="16">
        <f>IFERROR(MATCH(Settings!$C$26&amp;"|"&amp;ROWS($AH$2:$AH137),'Per Invoice'!$AI$2:$AI$401,0),"")</f>
        <v/>
      </c>
    </row>
    <row r="138">
      <c r="A138">
        <f>IF($AH138="","",IF(INDEX('Per Invoice'!A$2:A$401,$AH138)="","",INDEX('Per Invoice'!A$2:A$401,$AH138)))</f>
        <v/>
      </c>
      <c r="B138">
        <f>IF($AH138="","",IF(INDEX('Per Invoice'!B$2:B$401,$AH138)="","",INDEX('Per Invoice'!B$2:B$401,$AH138)))</f>
        <v/>
      </c>
      <c r="C138">
        <f>IF($AH138="","",IF(INDEX('Per Invoice'!C$2:C$401,$AH138)="","",INDEX('Per Invoice'!C$2:C$401,$AH138)))</f>
        <v/>
      </c>
      <c r="D138">
        <f>IF($AH138="","",IF(INDEX('Per Invoice'!D$2:D$401,$AH138)="","",INDEX('Per Invoice'!D$2:D$401,$AH138)))</f>
        <v/>
      </c>
      <c r="E138">
        <f>IF($AH138="","",IF(INDEX('Per Invoice'!E$2:E$401,$AH138)="","",INDEX('Per Invoice'!E$2:E$401,$AH138)))</f>
        <v/>
      </c>
      <c r="F138">
        <f>IF($AH138="","",IF(INDEX('Per Invoice'!F$2:F$401,$AH138)="","",INDEX('Per Invoice'!F$2:F$401,$AH138)))</f>
        <v/>
      </c>
      <c r="G138">
        <f>IF($AH138="","",IF(INDEX('Per Invoice'!G$2:G$401,$AH138)="","",INDEX('Per Invoice'!G$2:G$401,$AH138)))</f>
        <v/>
      </c>
      <c r="H138">
        <f>IF($AH138="","",IF(INDEX('Per Invoice'!H$2:H$401,$AH138)="","",INDEX('Per Invoice'!H$2:H$401,$AH138)))</f>
        <v/>
      </c>
      <c r="I138" s="14">
        <f>IF($AH138="","",IF(INDEX('Per Invoice'!I$2:I$401,$AH138)="","",INDEX('Per Invoice'!I$2:I$401,$AH138)))</f>
        <v/>
      </c>
      <c r="J138">
        <f>IF($AH138="","",IF(INDEX('Per Invoice'!J$2:J$401,$AH138)="","",INDEX('Per Invoice'!J$2:J$401,$AH138)))</f>
        <v/>
      </c>
      <c r="K138">
        <f>IF($AH138="","",IF(INDEX('Per Invoice'!K$2:K$401,$AH138)="","",INDEX('Per Invoice'!K$2:K$401,$AH138)))</f>
        <v/>
      </c>
      <c r="L138">
        <f>IF($AH138="","",IF(INDEX('Per Invoice'!L$2:L$401,$AH138)="","",INDEX('Per Invoice'!L$2:L$401,$AH138)))</f>
        <v/>
      </c>
      <c r="M138">
        <f>IF($AH138="","",IF(INDEX('Per Invoice'!M$2:M$401,$AH138)="","",INDEX('Per Invoice'!M$2:M$401,$AH138)))</f>
        <v/>
      </c>
      <c r="N138">
        <f>IF($AH138="","",IF(INDEX('Per Invoice'!N$2:N$401,$AH138)="","",INDEX('Per Invoice'!N$2:N$401,$AH138)))</f>
        <v/>
      </c>
      <c r="O138">
        <f>IF($AH138="","",IF(INDEX('Per Invoice'!O$2:O$401,$AH138)="","",INDEX('Per Invoice'!O$2:O$401,$AH138)))</f>
        <v/>
      </c>
      <c r="P138" s="7">
        <f>IF($AH138="","",IF(INDEX('Per Invoice'!P$2:P$401,$AH138)="","",INDEX('Per Invoice'!P$2:P$401,$AH138)))</f>
        <v/>
      </c>
      <c r="Q138">
        <f>IF($AH138="","",IF(INDEX('Per Invoice'!Q$2:Q$401,$AH138)="","",INDEX('Per Invoice'!Q$2:Q$401,$AH138)))</f>
        <v/>
      </c>
      <c r="R138">
        <f>IF($AH138="","",IF(INDEX('Per Invoice'!R$2:R$401,$AH138)="","",INDEX('Per Invoice'!R$2:R$401,$AH138)))</f>
        <v/>
      </c>
      <c r="S138">
        <f>IF($AH138="","",IF(INDEX('Per Invoice'!S$2:S$401,$AH138)="","",INDEX('Per Invoice'!S$2:S$401,$AH138)))</f>
        <v/>
      </c>
      <c r="T138" s="7">
        <f>IF($AH138="","",IF(INDEX('Per Invoice'!T$2:T$401,$AH138)="","",INDEX('Per Invoice'!T$2:T$401,$AH138)))</f>
        <v/>
      </c>
      <c r="U138" s="7">
        <f>IF($AH138="","",IF(INDEX('Per Invoice'!U$2:U$401,$AH138)="","",INDEX('Per Invoice'!U$2:U$401,$AH138)))</f>
        <v/>
      </c>
      <c r="V138">
        <f>IF($AH138="","",IF(INDEX('Per Invoice'!V$2:V$401,$AH138)="","",INDEX('Per Invoice'!V$2:V$401,$AH138)))</f>
        <v/>
      </c>
      <c r="W138" s="7">
        <f>IF($AH138="","",IF(INDEX('Per Invoice'!W$2:W$401,$AH138)="","",INDEX('Per Invoice'!W$2:W$401,$AH138)))</f>
        <v/>
      </c>
      <c r="X138" s="7">
        <f>IF($AH138="","",IF(INDEX('Per Invoice'!X$2:X$401,$AH138)="","",INDEX('Per Invoice'!X$2:X$401,$AH138)))</f>
        <v/>
      </c>
      <c r="Y138">
        <f>IF($AH138="","",IF(INDEX('Per Invoice'!Y$2:Y$401,$AH138)="","",INDEX('Per Invoice'!Y$2:Y$401,$AH138)))</f>
        <v/>
      </c>
      <c r="Z138" s="7">
        <f>IF($AH138="","",IF(INDEX('Per Invoice'!Z$2:Z$401,$AH138)="","",INDEX('Per Invoice'!Z$2:Z$401,$AH138)))</f>
        <v/>
      </c>
      <c r="AA138" s="7">
        <f>IF($AH138="","",IF(INDEX('Per Invoice'!AA$2:AA$401,$AH138)="","",INDEX('Per Invoice'!AA$2:AA$401,$AH138)))</f>
        <v/>
      </c>
      <c r="AB138" s="7">
        <f>IF($AH138="","",IF(INDEX('Per Invoice'!AB$2:AB$401,$AH138)="","",INDEX('Per Invoice'!AB$2:AB$401,$AH138)))</f>
        <v/>
      </c>
      <c r="AC138" s="7">
        <f>IF($AH138="","",IF(INDEX('Per Invoice'!AC$2:AC$401,$AH138)="","",INDEX('Per Invoice'!AC$2:AC$401,$AH138)))</f>
        <v/>
      </c>
      <c r="AD138" s="7">
        <f>IF($AH138="","",IF(INDEX('Per Invoice'!AD$2:AD$401,$AH138)="","",INDEX('Per Invoice'!AD$2:AD$401,$AH138)))</f>
        <v/>
      </c>
      <c r="AE138" s="7">
        <f>IF($AH138="","",IF(INDEX('Per Invoice'!AE$2:AE$401,$AH138)="","",INDEX('Per Invoice'!AE$2:AE$401,$AH138)))</f>
        <v/>
      </c>
      <c r="AF138">
        <f>IF($AH138="","",IF(INDEX('Per Invoice'!AF$2:AF$401,$AH138)="","",INDEX('Per Invoice'!AF$2:AF$401,$AH138)))</f>
        <v/>
      </c>
      <c r="AG138" s="7">
        <f>IF($AH138="","",IF(INDEX('Per Invoice'!AG$2:AG$401,$AH138)="","",INDEX('Per Invoice'!AG$2:AG$401,$AH138)))</f>
        <v/>
      </c>
      <c r="AH138" s="16">
        <f>IFERROR(MATCH(Settings!$C$26&amp;"|"&amp;ROWS($AH$2:$AH138),'Per Invoice'!$AI$2:$AI$401,0),"")</f>
        <v/>
      </c>
    </row>
    <row r="139">
      <c r="A139">
        <f>IF($AH139="","",IF(INDEX('Per Invoice'!A$2:A$401,$AH139)="","",INDEX('Per Invoice'!A$2:A$401,$AH139)))</f>
        <v/>
      </c>
      <c r="B139">
        <f>IF($AH139="","",IF(INDEX('Per Invoice'!B$2:B$401,$AH139)="","",INDEX('Per Invoice'!B$2:B$401,$AH139)))</f>
        <v/>
      </c>
      <c r="C139">
        <f>IF($AH139="","",IF(INDEX('Per Invoice'!C$2:C$401,$AH139)="","",INDEX('Per Invoice'!C$2:C$401,$AH139)))</f>
        <v/>
      </c>
      <c r="D139">
        <f>IF($AH139="","",IF(INDEX('Per Invoice'!D$2:D$401,$AH139)="","",INDEX('Per Invoice'!D$2:D$401,$AH139)))</f>
        <v/>
      </c>
      <c r="E139">
        <f>IF($AH139="","",IF(INDEX('Per Invoice'!E$2:E$401,$AH139)="","",INDEX('Per Invoice'!E$2:E$401,$AH139)))</f>
        <v/>
      </c>
      <c r="F139">
        <f>IF($AH139="","",IF(INDEX('Per Invoice'!F$2:F$401,$AH139)="","",INDEX('Per Invoice'!F$2:F$401,$AH139)))</f>
        <v/>
      </c>
      <c r="G139">
        <f>IF($AH139="","",IF(INDEX('Per Invoice'!G$2:G$401,$AH139)="","",INDEX('Per Invoice'!G$2:G$401,$AH139)))</f>
        <v/>
      </c>
      <c r="H139">
        <f>IF($AH139="","",IF(INDEX('Per Invoice'!H$2:H$401,$AH139)="","",INDEX('Per Invoice'!H$2:H$401,$AH139)))</f>
        <v/>
      </c>
      <c r="I139" s="14">
        <f>IF($AH139="","",IF(INDEX('Per Invoice'!I$2:I$401,$AH139)="","",INDEX('Per Invoice'!I$2:I$401,$AH139)))</f>
        <v/>
      </c>
      <c r="J139">
        <f>IF($AH139="","",IF(INDEX('Per Invoice'!J$2:J$401,$AH139)="","",INDEX('Per Invoice'!J$2:J$401,$AH139)))</f>
        <v/>
      </c>
      <c r="K139">
        <f>IF($AH139="","",IF(INDEX('Per Invoice'!K$2:K$401,$AH139)="","",INDEX('Per Invoice'!K$2:K$401,$AH139)))</f>
        <v/>
      </c>
      <c r="L139">
        <f>IF($AH139="","",IF(INDEX('Per Invoice'!L$2:L$401,$AH139)="","",INDEX('Per Invoice'!L$2:L$401,$AH139)))</f>
        <v/>
      </c>
      <c r="M139">
        <f>IF($AH139="","",IF(INDEX('Per Invoice'!M$2:M$401,$AH139)="","",INDEX('Per Invoice'!M$2:M$401,$AH139)))</f>
        <v/>
      </c>
      <c r="N139">
        <f>IF($AH139="","",IF(INDEX('Per Invoice'!N$2:N$401,$AH139)="","",INDEX('Per Invoice'!N$2:N$401,$AH139)))</f>
        <v/>
      </c>
      <c r="O139">
        <f>IF($AH139="","",IF(INDEX('Per Invoice'!O$2:O$401,$AH139)="","",INDEX('Per Invoice'!O$2:O$401,$AH139)))</f>
        <v/>
      </c>
      <c r="P139" s="7">
        <f>IF($AH139="","",IF(INDEX('Per Invoice'!P$2:P$401,$AH139)="","",INDEX('Per Invoice'!P$2:P$401,$AH139)))</f>
        <v/>
      </c>
      <c r="Q139">
        <f>IF($AH139="","",IF(INDEX('Per Invoice'!Q$2:Q$401,$AH139)="","",INDEX('Per Invoice'!Q$2:Q$401,$AH139)))</f>
        <v/>
      </c>
      <c r="R139">
        <f>IF($AH139="","",IF(INDEX('Per Invoice'!R$2:R$401,$AH139)="","",INDEX('Per Invoice'!R$2:R$401,$AH139)))</f>
        <v/>
      </c>
      <c r="S139">
        <f>IF($AH139="","",IF(INDEX('Per Invoice'!S$2:S$401,$AH139)="","",INDEX('Per Invoice'!S$2:S$401,$AH139)))</f>
        <v/>
      </c>
      <c r="T139" s="7">
        <f>IF($AH139="","",IF(INDEX('Per Invoice'!T$2:T$401,$AH139)="","",INDEX('Per Invoice'!T$2:T$401,$AH139)))</f>
        <v/>
      </c>
      <c r="U139" s="7">
        <f>IF($AH139="","",IF(INDEX('Per Invoice'!U$2:U$401,$AH139)="","",INDEX('Per Invoice'!U$2:U$401,$AH139)))</f>
        <v/>
      </c>
      <c r="V139">
        <f>IF($AH139="","",IF(INDEX('Per Invoice'!V$2:V$401,$AH139)="","",INDEX('Per Invoice'!V$2:V$401,$AH139)))</f>
        <v/>
      </c>
      <c r="W139" s="7">
        <f>IF($AH139="","",IF(INDEX('Per Invoice'!W$2:W$401,$AH139)="","",INDEX('Per Invoice'!W$2:W$401,$AH139)))</f>
        <v/>
      </c>
      <c r="X139" s="7">
        <f>IF($AH139="","",IF(INDEX('Per Invoice'!X$2:X$401,$AH139)="","",INDEX('Per Invoice'!X$2:X$401,$AH139)))</f>
        <v/>
      </c>
      <c r="Y139">
        <f>IF($AH139="","",IF(INDEX('Per Invoice'!Y$2:Y$401,$AH139)="","",INDEX('Per Invoice'!Y$2:Y$401,$AH139)))</f>
        <v/>
      </c>
      <c r="Z139" s="7">
        <f>IF($AH139="","",IF(INDEX('Per Invoice'!Z$2:Z$401,$AH139)="","",INDEX('Per Invoice'!Z$2:Z$401,$AH139)))</f>
        <v/>
      </c>
      <c r="AA139" s="7">
        <f>IF($AH139="","",IF(INDEX('Per Invoice'!AA$2:AA$401,$AH139)="","",INDEX('Per Invoice'!AA$2:AA$401,$AH139)))</f>
        <v/>
      </c>
      <c r="AB139" s="7">
        <f>IF($AH139="","",IF(INDEX('Per Invoice'!AB$2:AB$401,$AH139)="","",INDEX('Per Invoice'!AB$2:AB$401,$AH139)))</f>
        <v/>
      </c>
      <c r="AC139" s="7">
        <f>IF($AH139="","",IF(INDEX('Per Invoice'!AC$2:AC$401,$AH139)="","",INDEX('Per Invoice'!AC$2:AC$401,$AH139)))</f>
        <v/>
      </c>
      <c r="AD139" s="7">
        <f>IF($AH139="","",IF(INDEX('Per Invoice'!AD$2:AD$401,$AH139)="","",INDEX('Per Invoice'!AD$2:AD$401,$AH139)))</f>
        <v/>
      </c>
      <c r="AE139" s="7">
        <f>IF($AH139="","",IF(INDEX('Per Invoice'!AE$2:AE$401,$AH139)="","",INDEX('Per Invoice'!AE$2:AE$401,$AH139)))</f>
        <v/>
      </c>
      <c r="AF139">
        <f>IF($AH139="","",IF(INDEX('Per Invoice'!AF$2:AF$401,$AH139)="","",INDEX('Per Invoice'!AF$2:AF$401,$AH139)))</f>
        <v/>
      </c>
      <c r="AG139" s="7">
        <f>IF($AH139="","",IF(INDEX('Per Invoice'!AG$2:AG$401,$AH139)="","",INDEX('Per Invoice'!AG$2:AG$401,$AH139)))</f>
        <v/>
      </c>
      <c r="AH139" s="16">
        <f>IFERROR(MATCH(Settings!$C$26&amp;"|"&amp;ROWS($AH$2:$AH139),'Per Invoice'!$AI$2:$AI$401,0),"")</f>
        <v/>
      </c>
    </row>
    <row r="140">
      <c r="A140">
        <f>IF($AH140="","",IF(INDEX('Per Invoice'!A$2:A$401,$AH140)="","",INDEX('Per Invoice'!A$2:A$401,$AH140)))</f>
        <v/>
      </c>
      <c r="B140">
        <f>IF($AH140="","",IF(INDEX('Per Invoice'!B$2:B$401,$AH140)="","",INDEX('Per Invoice'!B$2:B$401,$AH140)))</f>
        <v/>
      </c>
      <c r="C140">
        <f>IF($AH140="","",IF(INDEX('Per Invoice'!C$2:C$401,$AH140)="","",INDEX('Per Invoice'!C$2:C$401,$AH140)))</f>
        <v/>
      </c>
      <c r="D140">
        <f>IF($AH140="","",IF(INDEX('Per Invoice'!D$2:D$401,$AH140)="","",INDEX('Per Invoice'!D$2:D$401,$AH140)))</f>
        <v/>
      </c>
      <c r="E140">
        <f>IF($AH140="","",IF(INDEX('Per Invoice'!E$2:E$401,$AH140)="","",INDEX('Per Invoice'!E$2:E$401,$AH140)))</f>
        <v/>
      </c>
      <c r="F140">
        <f>IF($AH140="","",IF(INDEX('Per Invoice'!F$2:F$401,$AH140)="","",INDEX('Per Invoice'!F$2:F$401,$AH140)))</f>
        <v/>
      </c>
      <c r="G140">
        <f>IF($AH140="","",IF(INDEX('Per Invoice'!G$2:G$401,$AH140)="","",INDEX('Per Invoice'!G$2:G$401,$AH140)))</f>
        <v/>
      </c>
      <c r="H140">
        <f>IF($AH140="","",IF(INDEX('Per Invoice'!H$2:H$401,$AH140)="","",INDEX('Per Invoice'!H$2:H$401,$AH140)))</f>
        <v/>
      </c>
      <c r="I140" s="14">
        <f>IF($AH140="","",IF(INDEX('Per Invoice'!I$2:I$401,$AH140)="","",INDEX('Per Invoice'!I$2:I$401,$AH140)))</f>
        <v/>
      </c>
      <c r="J140">
        <f>IF($AH140="","",IF(INDEX('Per Invoice'!J$2:J$401,$AH140)="","",INDEX('Per Invoice'!J$2:J$401,$AH140)))</f>
        <v/>
      </c>
      <c r="K140">
        <f>IF($AH140="","",IF(INDEX('Per Invoice'!K$2:K$401,$AH140)="","",INDEX('Per Invoice'!K$2:K$401,$AH140)))</f>
        <v/>
      </c>
      <c r="L140">
        <f>IF($AH140="","",IF(INDEX('Per Invoice'!L$2:L$401,$AH140)="","",INDEX('Per Invoice'!L$2:L$401,$AH140)))</f>
        <v/>
      </c>
      <c r="M140">
        <f>IF($AH140="","",IF(INDEX('Per Invoice'!M$2:M$401,$AH140)="","",INDEX('Per Invoice'!M$2:M$401,$AH140)))</f>
        <v/>
      </c>
      <c r="N140">
        <f>IF($AH140="","",IF(INDEX('Per Invoice'!N$2:N$401,$AH140)="","",INDEX('Per Invoice'!N$2:N$401,$AH140)))</f>
        <v/>
      </c>
      <c r="O140">
        <f>IF($AH140="","",IF(INDEX('Per Invoice'!O$2:O$401,$AH140)="","",INDEX('Per Invoice'!O$2:O$401,$AH140)))</f>
        <v/>
      </c>
      <c r="P140" s="7">
        <f>IF($AH140="","",IF(INDEX('Per Invoice'!P$2:P$401,$AH140)="","",INDEX('Per Invoice'!P$2:P$401,$AH140)))</f>
        <v/>
      </c>
      <c r="Q140">
        <f>IF($AH140="","",IF(INDEX('Per Invoice'!Q$2:Q$401,$AH140)="","",INDEX('Per Invoice'!Q$2:Q$401,$AH140)))</f>
        <v/>
      </c>
      <c r="R140">
        <f>IF($AH140="","",IF(INDEX('Per Invoice'!R$2:R$401,$AH140)="","",INDEX('Per Invoice'!R$2:R$401,$AH140)))</f>
        <v/>
      </c>
      <c r="S140">
        <f>IF($AH140="","",IF(INDEX('Per Invoice'!S$2:S$401,$AH140)="","",INDEX('Per Invoice'!S$2:S$401,$AH140)))</f>
        <v/>
      </c>
      <c r="T140" s="7">
        <f>IF($AH140="","",IF(INDEX('Per Invoice'!T$2:T$401,$AH140)="","",INDEX('Per Invoice'!T$2:T$401,$AH140)))</f>
        <v/>
      </c>
      <c r="U140" s="7">
        <f>IF($AH140="","",IF(INDEX('Per Invoice'!U$2:U$401,$AH140)="","",INDEX('Per Invoice'!U$2:U$401,$AH140)))</f>
        <v/>
      </c>
      <c r="V140">
        <f>IF($AH140="","",IF(INDEX('Per Invoice'!V$2:V$401,$AH140)="","",INDEX('Per Invoice'!V$2:V$401,$AH140)))</f>
        <v/>
      </c>
      <c r="W140" s="7">
        <f>IF($AH140="","",IF(INDEX('Per Invoice'!W$2:W$401,$AH140)="","",INDEX('Per Invoice'!W$2:W$401,$AH140)))</f>
        <v/>
      </c>
      <c r="X140" s="7">
        <f>IF($AH140="","",IF(INDEX('Per Invoice'!X$2:X$401,$AH140)="","",INDEX('Per Invoice'!X$2:X$401,$AH140)))</f>
        <v/>
      </c>
      <c r="Y140">
        <f>IF($AH140="","",IF(INDEX('Per Invoice'!Y$2:Y$401,$AH140)="","",INDEX('Per Invoice'!Y$2:Y$401,$AH140)))</f>
        <v/>
      </c>
      <c r="Z140" s="7">
        <f>IF($AH140="","",IF(INDEX('Per Invoice'!Z$2:Z$401,$AH140)="","",INDEX('Per Invoice'!Z$2:Z$401,$AH140)))</f>
        <v/>
      </c>
      <c r="AA140" s="7">
        <f>IF($AH140="","",IF(INDEX('Per Invoice'!AA$2:AA$401,$AH140)="","",INDEX('Per Invoice'!AA$2:AA$401,$AH140)))</f>
        <v/>
      </c>
      <c r="AB140" s="7">
        <f>IF($AH140="","",IF(INDEX('Per Invoice'!AB$2:AB$401,$AH140)="","",INDEX('Per Invoice'!AB$2:AB$401,$AH140)))</f>
        <v/>
      </c>
      <c r="AC140" s="7">
        <f>IF($AH140="","",IF(INDEX('Per Invoice'!AC$2:AC$401,$AH140)="","",INDEX('Per Invoice'!AC$2:AC$401,$AH140)))</f>
        <v/>
      </c>
      <c r="AD140" s="7">
        <f>IF($AH140="","",IF(INDEX('Per Invoice'!AD$2:AD$401,$AH140)="","",INDEX('Per Invoice'!AD$2:AD$401,$AH140)))</f>
        <v/>
      </c>
      <c r="AE140" s="7">
        <f>IF($AH140="","",IF(INDEX('Per Invoice'!AE$2:AE$401,$AH140)="","",INDEX('Per Invoice'!AE$2:AE$401,$AH140)))</f>
        <v/>
      </c>
      <c r="AF140">
        <f>IF($AH140="","",IF(INDEX('Per Invoice'!AF$2:AF$401,$AH140)="","",INDEX('Per Invoice'!AF$2:AF$401,$AH140)))</f>
        <v/>
      </c>
      <c r="AG140" s="7">
        <f>IF($AH140="","",IF(INDEX('Per Invoice'!AG$2:AG$401,$AH140)="","",INDEX('Per Invoice'!AG$2:AG$401,$AH140)))</f>
        <v/>
      </c>
      <c r="AH140" s="16">
        <f>IFERROR(MATCH(Settings!$C$26&amp;"|"&amp;ROWS($AH$2:$AH140),'Per Invoice'!$AI$2:$AI$401,0),"")</f>
        <v/>
      </c>
    </row>
    <row r="141">
      <c r="A141">
        <f>IF($AH141="","",IF(INDEX('Per Invoice'!A$2:A$401,$AH141)="","",INDEX('Per Invoice'!A$2:A$401,$AH141)))</f>
        <v/>
      </c>
      <c r="B141">
        <f>IF($AH141="","",IF(INDEX('Per Invoice'!B$2:B$401,$AH141)="","",INDEX('Per Invoice'!B$2:B$401,$AH141)))</f>
        <v/>
      </c>
      <c r="C141">
        <f>IF($AH141="","",IF(INDEX('Per Invoice'!C$2:C$401,$AH141)="","",INDEX('Per Invoice'!C$2:C$401,$AH141)))</f>
        <v/>
      </c>
      <c r="D141">
        <f>IF($AH141="","",IF(INDEX('Per Invoice'!D$2:D$401,$AH141)="","",INDEX('Per Invoice'!D$2:D$401,$AH141)))</f>
        <v/>
      </c>
      <c r="E141">
        <f>IF($AH141="","",IF(INDEX('Per Invoice'!E$2:E$401,$AH141)="","",INDEX('Per Invoice'!E$2:E$401,$AH141)))</f>
        <v/>
      </c>
      <c r="F141">
        <f>IF($AH141="","",IF(INDEX('Per Invoice'!F$2:F$401,$AH141)="","",INDEX('Per Invoice'!F$2:F$401,$AH141)))</f>
        <v/>
      </c>
      <c r="G141">
        <f>IF($AH141="","",IF(INDEX('Per Invoice'!G$2:G$401,$AH141)="","",INDEX('Per Invoice'!G$2:G$401,$AH141)))</f>
        <v/>
      </c>
      <c r="H141">
        <f>IF($AH141="","",IF(INDEX('Per Invoice'!H$2:H$401,$AH141)="","",INDEX('Per Invoice'!H$2:H$401,$AH141)))</f>
        <v/>
      </c>
      <c r="I141" s="14">
        <f>IF($AH141="","",IF(INDEX('Per Invoice'!I$2:I$401,$AH141)="","",INDEX('Per Invoice'!I$2:I$401,$AH141)))</f>
        <v/>
      </c>
      <c r="J141">
        <f>IF($AH141="","",IF(INDEX('Per Invoice'!J$2:J$401,$AH141)="","",INDEX('Per Invoice'!J$2:J$401,$AH141)))</f>
        <v/>
      </c>
      <c r="K141">
        <f>IF($AH141="","",IF(INDEX('Per Invoice'!K$2:K$401,$AH141)="","",INDEX('Per Invoice'!K$2:K$401,$AH141)))</f>
        <v/>
      </c>
      <c r="L141">
        <f>IF($AH141="","",IF(INDEX('Per Invoice'!L$2:L$401,$AH141)="","",INDEX('Per Invoice'!L$2:L$401,$AH141)))</f>
        <v/>
      </c>
      <c r="M141">
        <f>IF($AH141="","",IF(INDEX('Per Invoice'!M$2:M$401,$AH141)="","",INDEX('Per Invoice'!M$2:M$401,$AH141)))</f>
        <v/>
      </c>
      <c r="N141">
        <f>IF($AH141="","",IF(INDEX('Per Invoice'!N$2:N$401,$AH141)="","",INDEX('Per Invoice'!N$2:N$401,$AH141)))</f>
        <v/>
      </c>
      <c r="O141">
        <f>IF($AH141="","",IF(INDEX('Per Invoice'!O$2:O$401,$AH141)="","",INDEX('Per Invoice'!O$2:O$401,$AH141)))</f>
        <v/>
      </c>
      <c r="P141" s="7">
        <f>IF($AH141="","",IF(INDEX('Per Invoice'!P$2:P$401,$AH141)="","",INDEX('Per Invoice'!P$2:P$401,$AH141)))</f>
        <v/>
      </c>
      <c r="Q141">
        <f>IF($AH141="","",IF(INDEX('Per Invoice'!Q$2:Q$401,$AH141)="","",INDEX('Per Invoice'!Q$2:Q$401,$AH141)))</f>
        <v/>
      </c>
      <c r="R141">
        <f>IF($AH141="","",IF(INDEX('Per Invoice'!R$2:R$401,$AH141)="","",INDEX('Per Invoice'!R$2:R$401,$AH141)))</f>
        <v/>
      </c>
      <c r="S141">
        <f>IF($AH141="","",IF(INDEX('Per Invoice'!S$2:S$401,$AH141)="","",INDEX('Per Invoice'!S$2:S$401,$AH141)))</f>
        <v/>
      </c>
      <c r="T141" s="7">
        <f>IF($AH141="","",IF(INDEX('Per Invoice'!T$2:T$401,$AH141)="","",INDEX('Per Invoice'!T$2:T$401,$AH141)))</f>
        <v/>
      </c>
      <c r="U141" s="7">
        <f>IF($AH141="","",IF(INDEX('Per Invoice'!U$2:U$401,$AH141)="","",INDEX('Per Invoice'!U$2:U$401,$AH141)))</f>
        <v/>
      </c>
      <c r="V141">
        <f>IF($AH141="","",IF(INDEX('Per Invoice'!V$2:V$401,$AH141)="","",INDEX('Per Invoice'!V$2:V$401,$AH141)))</f>
        <v/>
      </c>
      <c r="W141" s="7">
        <f>IF($AH141="","",IF(INDEX('Per Invoice'!W$2:W$401,$AH141)="","",INDEX('Per Invoice'!W$2:W$401,$AH141)))</f>
        <v/>
      </c>
      <c r="X141" s="7">
        <f>IF($AH141="","",IF(INDEX('Per Invoice'!X$2:X$401,$AH141)="","",INDEX('Per Invoice'!X$2:X$401,$AH141)))</f>
        <v/>
      </c>
      <c r="Y141">
        <f>IF($AH141="","",IF(INDEX('Per Invoice'!Y$2:Y$401,$AH141)="","",INDEX('Per Invoice'!Y$2:Y$401,$AH141)))</f>
        <v/>
      </c>
      <c r="Z141" s="7">
        <f>IF($AH141="","",IF(INDEX('Per Invoice'!Z$2:Z$401,$AH141)="","",INDEX('Per Invoice'!Z$2:Z$401,$AH141)))</f>
        <v/>
      </c>
      <c r="AA141" s="7">
        <f>IF($AH141="","",IF(INDEX('Per Invoice'!AA$2:AA$401,$AH141)="","",INDEX('Per Invoice'!AA$2:AA$401,$AH141)))</f>
        <v/>
      </c>
      <c r="AB141" s="7">
        <f>IF($AH141="","",IF(INDEX('Per Invoice'!AB$2:AB$401,$AH141)="","",INDEX('Per Invoice'!AB$2:AB$401,$AH141)))</f>
        <v/>
      </c>
      <c r="AC141" s="7">
        <f>IF($AH141="","",IF(INDEX('Per Invoice'!AC$2:AC$401,$AH141)="","",INDEX('Per Invoice'!AC$2:AC$401,$AH141)))</f>
        <v/>
      </c>
      <c r="AD141" s="7">
        <f>IF($AH141="","",IF(INDEX('Per Invoice'!AD$2:AD$401,$AH141)="","",INDEX('Per Invoice'!AD$2:AD$401,$AH141)))</f>
        <v/>
      </c>
      <c r="AE141" s="7">
        <f>IF($AH141="","",IF(INDEX('Per Invoice'!AE$2:AE$401,$AH141)="","",INDEX('Per Invoice'!AE$2:AE$401,$AH141)))</f>
        <v/>
      </c>
      <c r="AF141">
        <f>IF($AH141="","",IF(INDEX('Per Invoice'!AF$2:AF$401,$AH141)="","",INDEX('Per Invoice'!AF$2:AF$401,$AH141)))</f>
        <v/>
      </c>
      <c r="AG141" s="7">
        <f>IF($AH141="","",IF(INDEX('Per Invoice'!AG$2:AG$401,$AH141)="","",INDEX('Per Invoice'!AG$2:AG$401,$AH141)))</f>
        <v/>
      </c>
      <c r="AH141" s="16">
        <f>IFERROR(MATCH(Settings!$C$26&amp;"|"&amp;ROWS($AH$2:$AH141),'Per Invoice'!$AI$2:$AI$401,0),"")</f>
        <v/>
      </c>
    </row>
    <row r="142">
      <c r="A142">
        <f>IF($AH142="","",IF(INDEX('Per Invoice'!A$2:A$401,$AH142)="","",INDEX('Per Invoice'!A$2:A$401,$AH142)))</f>
        <v/>
      </c>
      <c r="B142">
        <f>IF($AH142="","",IF(INDEX('Per Invoice'!B$2:B$401,$AH142)="","",INDEX('Per Invoice'!B$2:B$401,$AH142)))</f>
        <v/>
      </c>
      <c r="C142">
        <f>IF($AH142="","",IF(INDEX('Per Invoice'!C$2:C$401,$AH142)="","",INDEX('Per Invoice'!C$2:C$401,$AH142)))</f>
        <v/>
      </c>
      <c r="D142">
        <f>IF($AH142="","",IF(INDEX('Per Invoice'!D$2:D$401,$AH142)="","",INDEX('Per Invoice'!D$2:D$401,$AH142)))</f>
        <v/>
      </c>
      <c r="E142">
        <f>IF($AH142="","",IF(INDEX('Per Invoice'!E$2:E$401,$AH142)="","",INDEX('Per Invoice'!E$2:E$401,$AH142)))</f>
        <v/>
      </c>
      <c r="F142">
        <f>IF($AH142="","",IF(INDEX('Per Invoice'!F$2:F$401,$AH142)="","",INDEX('Per Invoice'!F$2:F$401,$AH142)))</f>
        <v/>
      </c>
      <c r="G142">
        <f>IF($AH142="","",IF(INDEX('Per Invoice'!G$2:G$401,$AH142)="","",INDEX('Per Invoice'!G$2:G$401,$AH142)))</f>
        <v/>
      </c>
      <c r="H142">
        <f>IF($AH142="","",IF(INDEX('Per Invoice'!H$2:H$401,$AH142)="","",INDEX('Per Invoice'!H$2:H$401,$AH142)))</f>
        <v/>
      </c>
      <c r="I142" s="14">
        <f>IF($AH142="","",IF(INDEX('Per Invoice'!I$2:I$401,$AH142)="","",INDEX('Per Invoice'!I$2:I$401,$AH142)))</f>
        <v/>
      </c>
      <c r="J142">
        <f>IF($AH142="","",IF(INDEX('Per Invoice'!J$2:J$401,$AH142)="","",INDEX('Per Invoice'!J$2:J$401,$AH142)))</f>
        <v/>
      </c>
      <c r="K142">
        <f>IF($AH142="","",IF(INDEX('Per Invoice'!K$2:K$401,$AH142)="","",INDEX('Per Invoice'!K$2:K$401,$AH142)))</f>
        <v/>
      </c>
      <c r="L142">
        <f>IF($AH142="","",IF(INDEX('Per Invoice'!L$2:L$401,$AH142)="","",INDEX('Per Invoice'!L$2:L$401,$AH142)))</f>
        <v/>
      </c>
      <c r="M142">
        <f>IF($AH142="","",IF(INDEX('Per Invoice'!M$2:M$401,$AH142)="","",INDEX('Per Invoice'!M$2:M$401,$AH142)))</f>
        <v/>
      </c>
      <c r="N142">
        <f>IF($AH142="","",IF(INDEX('Per Invoice'!N$2:N$401,$AH142)="","",INDEX('Per Invoice'!N$2:N$401,$AH142)))</f>
        <v/>
      </c>
      <c r="O142">
        <f>IF($AH142="","",IF(INDEX('Per Invoice'!O$2:O$401,$AH142)="","",INDEX('Per Invoice'!O$2:O$401,$AH142)))</f>
        <v/>
      </c>
      <c r="P142" s="7">
        <f>IF($AH142="","",IF(INDEX('Per Invoice'!P$2:P$401,$AH142)="","",INDEX('Per Invoice'!P$2:P$401,$AH142)))</f>
        <v/>
      </c>
      <c r="Q142">
        <f>IF($AH142="","",IF(INDEX('Per Invoice'!Q$2:Q$401,$AH142)="","",INDEX('Per Invoice'!Q$2:Q$401,$AH142)))</f>
        <v/>
      </c>
      <c r="R142">
        <f>IF($AH142="","",IF(INDEX('Per Invoice'!R$2:R$401,$AH142)="","",INDEX('Per Invoice'!R$2:R$401,$AH142)))</f>
        <v/>
      </c>
      <c r="S142">
        <f>IF($AH142="","",IF(INDEX('Per Invoice'!S$2:S$401,$AH142)="","",INDEX('Per Invoice'!S$2:S$401,$AH142)))</f>
        <v/>
      </c>
      <c r="T142" s="7">
        <f>IF($AH142="","",IF(INDEX('Per Invoice'!T$2:T$401,$AH142)="","",INDEX('Per Invoice'!T$2:T$401,$AH142)))</f>
        <v/>
      </c>
      <c r="U142" s="7">
        <f>IF($AH142="","",IF(INDEX('Per Invoice'!U$2:U$401,$AH142)="","",INDEX('Per Invoice'!U$2:U$401,$AH142)))</f>
        <v/>
      </c>
      <c r="V142">
        <f>IF($AH142="","",IF(INDEX('Per Invoice'!V$2:V$401,$AH142)="","",INDEX('Per Invoice'!V$2:V$401,$AH142)))</f>
        <v/>
      </c>
      <c r="W142" s="7">
        <f>IF($AH142="","",IF(INDEX('Per Invoice'!W$2:W$401,$AH142)="","",INDEX('Per Invoice'!W$2:W$401,$AH142)))</f>
        <v/>
      </c>
      <c r="X142" s="7">
        <f>IF($AH142="","",IF(INDEX('Per Invoice'!X$2:X$401,$AH142)="","",INDEX('Per Invoice'!X$2:X$401,$AH142)))</f>
        <v/>
      </c>
      <c r="Y142">
        <f>IF($AH142="","",IF(INDEX('Per Invoice'!Y$2:Y$401,$AH142)="","",INDEX('Per Invoice'!Y$2:Y$401,$AH142)))</f>
        <v/>
      </c>
      <c r="Z142" s="7">
        <f>IF($AH142="","",IF(INDEX('Per Invoice'!Z$2:Z$401,$AH142)="","",INDEX('Per Invoice'!Z$2:Z$401,$AH142)))</f>
        <v/>
      </c>
      <c r="AA142" s="7">
        <f>IF($AH142="","",IF(INDEX('Per Invoice'!AA$2:AA$401,$AH142)="","",INDEX('Per Invoice'!AA$2:AA$401,$AH142)))</f>
        <v/>
      </c>
      <c r="AB142" s="7">
        <f>IF($AH142="","",IF(INDEX('Per Invoice'!AB$2:AB$401,$AH142)="","",INDEX('Per Invoice'!AB$2:AB$401,$AH142)))</f>
        <v/>
      </c>
      <c r="AC142" s="7">
        <f>IF($AH142="","",IF(INDEX('Per Invoice'!AC$2:AC$401,$AH142)="","",INDEX('Per Invoice'!AC$2:AC$401,$AH142)))</f>
        <v/>
      </c>
      <c r="AD142" s="7">
        <f>IF($AH142="","",IF(INDEX('Per Invoice'!AD$2:AD$401,$AH142)="","",INDEX('Per Invoice'!AD$2:AD$401,$AH142)))</f>
        <v/>
      </c>
      <c r="AE142" s="7">
        <f>IF($AH142="","",IF(INDEX('Per Invoice'!AE$2:AE$401,$AH142)="","",INDEX('Per Invoice'!AE$2:AE$401,$AH142)))</f>
        <v/>
      </c>
      <c r="AF142">
        <f>IF($AH142="","",IF(INDEX('Per Invoice'!AF$2:AF$401,$AH142)="","",INDEX('Per Invoice'!AF$2:AF$401,$AH142)))</f>
        <v/>
      </c>
      <c r="AG142" s="7">
        <f>IF($AH142="","",IF(INDEX('Per Invoice'!AG$2:AG$401,$AH142)="","",INDEX('Per Invoice'!AG$2:AG$401,$AH142)))</f>
        <v/>
      </c>
      <c r="AH142" s="16">
        <f>IFERROR(MATCH(Settings!$C$26&amp;"|"&amp;ROWS($AH$2:$AH142),'Per Invoice'!$AI$2:$AI$401,0),"")</f>
        <v/>
      </c>
    </row>
    <row r="143">
      <c r="A143">
        <f>IF($AH143="","",IF(INDEX('Per Invoice'!A$2:A$401,$AH143)="","",INDEX('Per Invoice'!A$2:A$401,$AH143)))</f>
        <v/>
      </c>
      <c r="B143">
        <f>IF($AH143="","",IF(INDEX('Per Invoice'!B$2:B$401,$AH143)="","",INDEX('Per Invoice'!B$2:B$401,$AH143)))</f>
        <v/>
      </c>
      <c r="C143">
        <f>IF($AH143="","",IF(INDEX('Per Invoice'!C$2:C$401,$AH143)="","",INDEX('Per Invoice'!C$2:C$401,$AH143)))</f>
        <v/>
      </c>
      <c r="D143">
        <f>IF($AH143="","",IF(INDEX('Per Invoice'!D$2:D$401,$AH143)="","",INDEX('Per Invoice'!D$2:D$401,$AH143)))</f>
        <v/>
      </c>
      <c r="E143">
        <f>IF($AH143="","",IF(INDEX('Per Invoice'!E$2:E$401,$AH143)="","",INDEX('Per Invoice'!E$2:E$401,$AH143)))</f>
        <v/>
      </c>
      <c r="F143">
        <f>IF($AH143="","",IF(INDEX('Per Invoice'!F$2:F$401,$AH143)="","",INDEX('Per Invoice'!F$2:F$401,$AH143)))</f>
        <v/>
      </c>
      <c r="G143">
        <f>IF($AH143="","",IF(INDEX('Per Invoice'!G$2:G$401,$AH143)="","",INDEX('Per Invoice'!G$2:G$401,$AH143)))</f>
        <v/>
      </c>
      <c r="H143">
        <f>IF($AH143="","",IF(INDEX('Per Invoice'!H$2:H$401,$AH143)="","",INDEX('Per Invoice'!H$2:H$401,$AH143)))</f>
        <v/>
      </c>
      <c r="I143" s="14">
        <f>IF($AH143="","",IF(INDEX('Per Invoice'!I$2:I$401,$AH143)="","",INDEX('Per Invoice'!I$2:I$401,$AH143)))</f>
        <v/>
      </c>
      <c r="J143">
        <f>IF($AH143="","",IF(INDEX('Per Invoice'!J$2:J$401,$AH143)="","",INDEX('Per Invoice'!J$2:J$401,$AH143)))</f>
        <v/>
      </c>
      <c r="K143">
        <f>IF($AH143="","",IF(INDEX('Per Invoice'!K$2:K$401,$AH143)="","",INDEX('Per Invoice'!K$2:K$401,$AH143)))</f>
        <v/>
      </c>
      <c r="L143">
        <f>IF($AH143="","",IF(INDEX('Per Invoice'!L$2:L$401,$AH143)="","",INDEX('Per Invoice'!L$2:L$401,$AH143)))</f>
        <v/>
      </c>
      <c r="M143">
        <f>IF($AH143="","",IF(INDEX('Per Invoice'!M$2:M$401,$AH143)="","",INDEX('Per Invoice'!M$2:M$401,$AH143)))</f>
        <v/>
      </c>
      <c r="N143">
        <f>IF($AH143="","",IF(INDEX('Per Invoice'!N$2:N$401,$AH143)="","",INDEX('Per Invoice'!N$2:N$401,$AH143)))</f>
        <v/>
      </c>
      <c r="O143">
        <f>IF($AH143="","",IF(INDEX('Per Invoice'!O$2:O$401,$AH143)="","",INDEX('Per Invoice'!O$2:O$401,$AH143)))</f>
        <v/>
      </c>
      <c r="P143" s="7">
        <f>IF($AH143="","",IF(INDEX('Per Invoice'!P$2:P$401,$AH143)="","",INDEX('Per Invoice'!P$2:P$401,$AH143)))</f>
        <v/>
      </c>
      <c r="Q143">
        <f>IF($AH143="","",IF(INDEX('Per Invoice'!Q$2:Q$401,$AH143)="","",INDEX('Per Invoice'!Q$2:Q$401,$AH143)))</f>
        <v/>
      </c>
      <c r="R143">
        <f>IF($AH143="","",IF(INDEX('Per Invoice'!R$2:R$401,$AH143)="","",INDEX('Per Invoice'!R$2:R$401,$AH143)))</f>
        <v/>
      </c>
      <c r="S143">
        <f>IF($AH143="","",IF(INDEX('Per Invoice'!S$2:S$401,$AH143)="","",INDEX('Per Invoice'!S$2:S$401,$AH143)))</f>
        <v/>
      </c>
      <c r="T143" s="7">
        <f>IF($AH143="","",IF(INDEX('Per Invoice'!T$2:T$401,$AH143)="","",INDEX('Per Invoice'!T$2:T$401,$AH143)))</f>
        <v/>
      </c>
      <c r="U143" s="7">
        <f>IF($AH143="","",IF(INDEX('Per Invoice'!U$2:U$401,$AH143)="","",INDEX('Per Invoice'!U$2:U$401,$AH143)))</f>
        <v/>
      </c>
      <c r="V143">
        <f>IF($AH143="","",IF(INDEX('Per Invoice'!V$2:V$401,$AH143)="","",INDEX('Per Invoice'!V$2:V$401,$AH143)))</f>
        <v/>
      </c>
      <c r="W143" s="7">
        <f>IF($AH143="","",IF(INDEX('Per Invoice'!W$2:W$401,$AH143)="","",INDEX('Per Invoice'!W$2:W$401,$AH143)))</f>
        <v/>
      </c>
      <c r="X143" s="7">
        <f>IF($AH143="","",IF(INDEX('Per Invoice'!X$2:X$401,$AH143)="","",INDEX('Per Invoice'!X$2:X$401,$AH143)))</f>
        <v/>
      </c>
      <c r="Y143">
        <f>IF($AH143="","",IF(INDEX('Per Invoice'!Y$2:Y$401,$AH143)="","",INDEX('Per Invoice'!Y$2:Y$401,$AH143)))</f>
        <v/>
      </c>
      <c r="Z143" s="7">
        <f>IF($AH143="","",IF(INDEX('Per Invoice'!Z$2:Z$401,$AH143)="","",INDEX('Per Invoice'!Z$2:Z$401,$AH143)))</f>
        <v/>
      </c>
      <c r="AA143" s="7">
        <f>IF($AH143="","",IF(INDEX('Per Invoice'!AA$2:AA$401,$AH143)="","",INDEX('Per Invoice'!AA$2:AA$401,$AH143)))</f>
        <v/>
      </c>
      <c r="AB143" s="7">
        <f>IF($AH143="","",IF(INDEX('Per Invoice'!AB$2:AB$401,$AH143)="","",INDEX('Per Invoice'!AB$2:AB$401,$AH143)))</f>
        <v/>
      </c>
      <c r="AC143" s="7">
        <f>IF($AH143="","",IF(INDEX('Per Invoice'!AC$2:AC$401,$AH143)="","",INDEX('Per Invoice'!AC$2:AC$401,$AH143)))</f>
        <v/>
      </c>
      <c r="AD143" s="7">
        <f>IF($AH143="","",IF(INDEX('Per Invoice'!AD$2:AD$401,$AH143)="","",INDEX('Per Invoice'!AD$2:AD$401,$AH143)))</f>
        <v/>
      </c>
      <c r="AE143" s="7">
        <f>IF($AH143="","",IF(INDEX('Per Invoice'!AE$2:AE$401,$AH143)="","",INDEX('Per Invoice'!AE$2:AE$401,$AH143)))</f>
        <v/>
      </c>
      <c r="AF143">
        <f>IF($AH143="","",IF(INDEX('Per Invoice'!AF$2:AF$401,$AH143)="","",INDEX('Per Invoice'!AF$2:AF$401,$AH143)))</f>
        <v/>
      </c>
      <c r="AG143" s="7">
        <f>IF($AH143="","",IF(INDEX('Per Invoice'!AG$2:AG$401,$AH143)="","",INDEX('Per Invoice'!AG$2:AG$401,$AH143)))</f>
        <v/>
      </c>
      <c r="AH143" s="16">
        <f>IFERROR(MATCH(Settings!$C$26&amp;"|"&amp;ROWS($AH$2:$AH143),'Per Invoice'!$AI$2:$AI$401,0),"")</f>
        <v/>
      </c>
    </row>
    <row r="144">
      <c r="A144">
        <f>IF($AH144="","",IF(INDEX('Per Invoice'!A$2:A$401,$AH144)="","",INDEX('Per Invoice'!A$2:A$401,$AH144)))</f>
        <v/>
      </c>
      <c r="B144">
        <f>IF($AH144="","",IF(INDEX('Per Invoice'!B$2:B$401,$AH144)="","",INDEX('Per Invoice'!B$2:B$401,$AH144)))</f>
        <v/>
      </c>
      <c r="C144">
        <f>IF($AH144="","",IF(INDEX('Per Invoice'!C$2:C$401,$AH144)="","",INDEX('Per Invoice'!C$2:C$401,$AH144)))</f>
        <v/>
      </c>
      <c r="D144">
        <f>IF($AH144="","",IF(INDEX('Per Invoice'!D$2:D$401,$AH144)="","",INDEX('Per Invoice'!D$2:D$401,$AH144)))</f>
        <v/>
      </c>
      <c r="E144">
        <f>IF($AH144="","",IF(INDEX('Per Invoice'!E$2:E$401,$AH144)="","",INDEX('Per Invoice'!E$2:E$401,$AH144)))</f>
        <v/>
      </c>
      <c r="F144">
        <f>IF($AH144="","",IF(INDEX('Per Invoice'!F$2:F$401,$AH144)="","",INDEX('Per Invoice'!F$2:F$401,$AH144)))</f>
        <v/>
      </c>
      <c r="G144">
        <f>IF($AH144="","",IF(INDEX('Per Invoice'!G$2:G$401,$AH144)="","",INDEX('Per Invoice'!G$2:G$401,$AH144)))</f>
        <v/>
      </c>
      <c r="H144">
        <f>IF($AH144="","",IF(INDEX('Per Invoice'!H$2:H$401,$AH144)="","",INDEX('Per Invoice'!H$2:H$401,$AH144)))</f>
        <v/>
      </c>
      <c r="I144" s="14">
        <f>IF($AH144="","",IF(INDEX('Per Invoice'!I$2:I$401,$AH144)="","",INDEX('Per Invoice'!I$2:I$401,$AH144)))</f>
        <v/>
      </c>
      <c r="J144">
        <f>IF($AH144="","",IF(INDEX('Per Invoice'!J$2:J$401,$AH144)="","",INDEX('Per Invoice'!J$2:J$401,$AH144)))</f>
        <v/>
      </c>
      <c r="K144">
        <f>IF($AH144="","",IF(INDEX('Per Invoice'!K$2:K$401,$AH144)="","",INDEX('Per Invoice'!K$2:K$401,$AH144)))</f>
        <v/>
      </c>
      <c r="L144">
        <f>IF($AH144="","",IF(INDEX('Per Invoice'!L$2:L$401,$AH144)="","",INDEX('Per Invoice'!L$2:L$401,$AH144)))</f>
        <v/>
      </c>
      <c r="M144">
        <f>IF($AH144="","",IF(INDEX('Per Invoice'!M$2:M$401,$AH144)="","",INDEX('Per Invoice'!M$2:M$401,$AH144)))</f>
        <v/>
      </c>
      <c r="N144">
        <f>IF($AH144="","",IF(INDEX('Per Invoice'!N$2:N$401,$AH144)="","",INDEX('Per Invoice'!N$2:N$401,$AH144)))</f>
        <v/>
      </c>
      <c r="O144">
        <f>IF($AH144="","",IF(INDEX('Per Invoice'!O$2:O$401,$AH144)="","",INDEX('Per Invoice'!O$2:O$401,$AH144)))</f>
        <v/>
      </c>
      <c r="P144" s="7">
        <f>IF($AH144="","",IF(INDEX('Per Invoice'!P$2:P$401,$AH144)="","",INDEX('Per Invoice'!P$2:P$401,$AH144)))</f>
        <v/>
      </c>
      <c r="Q144">
        <f>IF($AH144="","",IF(INDEX('Per Invoice'!Q$2:Q$401,$AH144)="","",INDEX('Per Invoice'!Q$2:Q$401,$AH144)))</f>
        <v/>
      </c>
      <c r="R144">
        <f>IF($AH144="","",IF(INDEX('Per Invoice'!R$2:R$401,$AH144)="","",INDEX('Per Invoice'!R$2:R$401,$AH144)))</f>
        <v/>
      </c>
      <c r="S144">
        <f>IF($AH144="","",IF(INDEX('Per Invoice'!S$2:S$401,$AH144)="","",INDEX('Per Invoice'!S$2:S$401,$AH144)))</f>
        <v/>
      </c>
      <c r="T144" s="7">
        <f>IF($AH144="","",IF(INDEX('Per Invoice'!T$2:T$401,$AH144)="","",INDEX('Per Invoice'!T$2:T$401,$AH144)))</f>
        <v/>
      </c>
      <c r="U144" s="7">
        <f>IF($AH144="","",IF(INDEX('Per Invoice'!U$2:U$401,$AH144)="","",INDEX('Per Invoice'!U$2:U$401,$AH144)))</f>
        <v/>
      </c>
      <c r="V144">
        <f>IF($AH144="","",IF(INDEX('Per Invoice'!V$2:V$401,$AH144)="","",INDEX('Per Invoice'!V$2:V$401,$AH144)))</f>
        <v/>
      </c>
      <c r="W144" s="7">
        <f>IF($AH144="","",IF(INDEX('Per Invoice'!W$2:W$401,$AH144)="","",INDEX('Per Invoice'!W$2:W$401,$AH144)))</f>
        <v/>
      </c>
      <c r="X144" s="7">
        <f>IF($AH144="","",IF(INDEX('Per Invoice'!X$2:X$401,$AH144)="","",INDEX('Per Invoice'!X$2:X$401,$AH144)))</f>
        <v/>
      </c>
      <c r="Y144">
        <f>IF($AH144="","",IF(INDEX('Per Invoice'!Y$2:Y$401,$AH144)="","",INDEX('Per Invoice'!Y$2:Y$401,$AH144)))</f>
        <v/>
      </c>
      <c r="Z144" s="7">
        <f>IF($AH144="","",IF(INDEX('Per Invoice'!Z$2:Z$401,$AH144)="","",INDEX('Per Invoice'!Z$2:Z$401,$AH144)))</f>
        <v/>
      </c>
      <c r="AA144" s="7">
        <f>IF($AH144="","",IF(INDEX('Per Invoice'!AA$2:AA$401,$AH144)="","",INDEX('Per Invoice'!AA$2:AA$401,$AH144)))</f>
        <v/>
      </c>
      <c r="AB144" s="7">
        <f>IF($AH144="","",IF(INDEX('Per Invoice'!AB$2:AB$401,$AH144)="","",INDEX('Per Invoice'!AB$2:AB$401,$AH144)))</f>
        <v/>
      </c>
      <c r="AC144" s="7">
        <f>IF($AH144="","",IF(INDEX('Per Invoice'!AC$2:AC$401,$AH144)="","",INDEX('Per Invoice'!AC$2:AC$401,$AH144)))</f>
        <v/>
      </c>
      <c r="AD144" s="7">
        <f>IF($AH144="","",IF(INDEX('Per Invoice'!AD$2:AD$401,$AH144)="","",INDEX('Per Invoice'!AD$2:AD$401,$AH144)))</f>
        <v/>
      </c>
      <c r="AE144" s="7">
        <f>IF($AH144="","",IF(INDEX('Per Invoice'!AE$2:AE$401,$AH144)="","",INDEX('Per Invoice'!AE$2:AE$401,$AH144)))</f>
        <v/>
      </c>
      <c r="AF144">
        <f>IF($AH144="","",IF(INDEX('Per Invoice'!AF$2:AF$401,$AH144)="","",INDEX('Per Invoice'!AF$2:AF$401,$AH144)))</f>
        <v/>
      </c>
      <c r="AG144" s="7">
        <f>IF($AH144="","",IF(INDEX('Per Invoice'!AG$2:AG$401,$AH144)="","",INDEX('Per Invoice'!AG$2:AG$401,$AH144)))</f>
        <v/>
      </c>
      <c r="AH144" s="16">
        <f>IFERROR(MATCH(Settings!$C$26&amp;"|"&amp;ROWS($AH$2:$AH144),'Per Invoice'!$AI$2:$AI$401,0),"")</f>
        <v/>
      </c>
    </row>
    <row r="145">
      <c r="A145">
        <f>IF($AH145="","",IF(INDEX('Per Invoice'!A$2:A$401,$AH145)="","",INDEX('Per Invoice'!A$2:A$401,$AH145)))</f>
        <v/>
      </c>
      <c r="B145">
        <f>IF($AH145="","",IF(INDEX('Per Invoice'!B$2:B$401,$AH145)="","",INDEX('Per Invoice'!B$2:B$401,$AH145)))</f>
        <v/>
      </c>
      <c r="C145">
        <f>IF($AH145="","",IF(INDEX('Per Invoice'!C$2:C$401,$AH145)="","",INDEX('Per Invoice'!C$2:C$401,$AH145)))</f>
        <v/>
      </c>
      <c r="D145">
        <f>IF($AH145="","",IF(INDEX('Per Invoice'!D$2:D$401,$AH145)="","",INDEX('Per Invoice'!D$2:D$401,$AH145)))</f>
        <v/>
      </c>
      <c r="E145">
        <f>IF($AH145="","",IF(INDEX('Per Invoice'!E$2:E$401,$AH145)="","",INDEX('Per Invoice'!E$2:E$401,$AH145)))</f>
        <v/>
      </c>
      <c r="F145">
        <f>IF($AH145="","",IF(INDEX('Per Invoice'!F$2:F$401,$AH145)="","",INDEX('Per Invoice'!F$2:F$401,$AH145)))</f>
        <v/>
      </c>
      <c r="G145">
        <f>IF($AH145="","",IF(INDEX('Per Invoice'!G$2:G$401,$AH145)="","",INDEX('Per Invoice'!G$2:G$401,$AH145)))</f>
        <v/>
      </c>
      <c r="H145">
        <f>IF($AH145="","",IF(INDEX('Per Invoice'!H$2:H$401,$AH145)="","",INDEX('Per Invoice'!H$2:H$401,$AH145)))</f>
        <v/>
      </c>
      <c r="I145" s="14">
        <f>IF($AH145="","",IF(INDEX('Per Invoice'!I$2:I$401,$AH145)="","",INDEX('Per Invoice'!I$2:I$401,$AH145)))</f>
        <v/>
      </c>
      <c r="J145">
        <f>IF($AH145="","",IF(INDEX('Per Invoice'!J$2:J$401,$AH145)="","",INDEX('Per Invoice'!J$2:J$401,$AH145)))</f>
        <v/>
      </c>
      <c r="K145">
        <f>IF($AH145="","",IF(INDEX('Per Invoice'!K$2:K$401,$AH145)="","",INDEX('Per Invoice'!K$2:K$401,$AH145)))</f>
        <v/>
      </c>
      <c r="L145">
        <f>IF($AH145="","",IF(INDEX('Per Invoice'!L$2:L$401,$AH145)="","",INDEX('Per Invoice'!L$2:L$401,$AH145)))</f>
        <v/>
      </c>
      <c r="M145">
        <f>IF($AH145="","",IF(INDEX('Per Invoice'!M$2:M$401,$AH145)="","",INDEX('Per Invoice'!M$2:M$401,$AH145)))</f>
        <v/>
      </c>
      <c r="N145">
        <f>IF($AH145="","",IF(INDEX('Per Invoice'!N$2:N$401,$AH145)="","",INDEX('Per Invoice'!N$2:N$401,$AH145)))</f>
        <v/>
      </c>
      <c r="O145">
        <f>IF($AH145="","",IF(INDEX('Per Invoice'!O$2:O$401,$AH145)="","",INDEX('Per Invoice'!O$2:O$401,$AH145)))</f>
        <v/>
      </c>
      <c r="P145" s="7">
        <f>IF($AH145="","",IF(INDEX('Per Invoice'!P$2:P$401,$AH145)="","",INDEX('Per Invoice'!P$2:P$401,$AH145)))</f>
        <v/>
      </c>
      <c r="Q145">
        <f>IF($AH145="","",IF(INDEX('Per Invoice'!Q$2:Q$401,$AH145)="","",INDEX('Per Invoice'!Q$2:Q$401,$AH145)))</f>
        <v/>
      </c>
      <c r="R145">
        <f>IF($AH145="","",IF(INDEX('Per Invoice'!R$2:R$401,$AH145)="","",INDEX('Per Invoice'!R$2:R$401,$AH145)))</f>
        <v/>
      </c>
      <c r="S145">
        <f>IF($AH145="","",IF(INDEX('Per Invoice'!S$2:S$401,$AH145)="","",INDEX('Per Invoice'!S$2:S$401,$AH145)))</f>
        <v/>
      </c>
      <c r="T145" s="7">
        <f>IF($AH145="","",IF(INDEX('Per Invoice'!T$2:T$401,$AH145)="","",INDEX('Per Invoice'!T$2:T$401,$AH145)))</f>
        <v/>
      </c>
      <c r="U145" s="7">
        <f>IF($AH145="","",IF(INDEX('Per Invoice'!U$2:U$401,$AH145)="","",INDEX('Per Invoice'!U$2:U$401,$AH145)))</f>
        <v/>
      </c>
      <c r="V145">
        <f>IF($AH145="","",IF(INDEX('Per Invoice'!V$2:V$401,$AH145)="","",INDEX('Per Invoice'!V$2:V$401,$AH145)))</f>
        <v/>
      </c>
      <c r="W145" s="7">
        <f>IF($AH145="","",IF(INDEX('Per Invoice'!W$2:W$401,$AH145)="","",INDEX('Per Invoice'!W$2:W$401,$AH145)))</f>
        <v/>
      </c>
      <c r="X145" s="7">
        <f>IF($AH145="","",IF(INDEX('Per Invoice'!X$2:X$401,$AH145)="","",INDEX('Per Invoice'!X$2:X$401,$AH145)))</f>
        <v/>
      </c>
      <c r="Y145">
        <f>IF($AH145="","",IF(INDEX('Per Invoice'!Y$2:Y$401,$AH145)="","",INDEX('Per Invoice'!Y$2:Y$401,$AH145)))</f>
        <v/>
      </c>
      <c r="Z145" s="7">
        <f>IF($AH145="","",IF(INDEX('Per Invoice'!Z$2:Z$401,$AH145)="","",INDEX('Per Invoice'!Z$2:Z$401,$AH145)))</f>
        <v/>
      </c>
      <c r="AA145" s="7">
        <f>IF($AH145="","",IF(INDEX('Per Invoice'!AA$2:AA$401,$AH145)="","",INDEX('Per Invoice'!AA$2:AA$401,$AH145)))</f>
        <v/>
      </c>
      <c r="AB145" s="7">
        <f>IF($AH145="","",IF(INDEX('Per Invoice'!AB$2:AB$401,$AH145)="","",INDEX('Per Invoice'!AB$2:AB$401,$AH145)))</f>
        <v/>
      </c>
      <c r="AC145" s="7">
        <f>IF($AH145="","",IF(INDEX('Per Invoice'!AC$2:AC$401,$AH145)="","",INDEX('Per Invoice'!AC$2:AC$401,$AH145)))</f>
        <v/>
      </c>
      <c r="AD145" s="7">
        <f>IF($AH145="","",IF(INDEX('Per Invoice'!AD$2:AD$401,$AH145)="","",INDEX('Per Invoice'!AD$2:AD$401,$AH145)))</f>
        <v/>
      </c>
      <c r="AE145" s="7">
        <f>IF($AH145="","",IF(INDEX('Per Invoice'!AE$2:AE$401,$AH145)="","",INDEX('Per Invoice'!AE$2:AE$401,$AH145)))</f>
        <v/>
      </c>
      <c r="AF145">
        <f>IF($AH145="","",IF(INDEX('Per Invoice'!AF$2:AF$401,$AH145)="","",INDEX('Per Invoice'!AF$2:AF$401,$AH145)))</f>
        <v/>
      </c>
      <c r="AG145" s="7">
        <f>IF($AH145="","",IF(INDEX('Per Invoice'!AG$2:AG$401,$AH145)="","",INDEX('Per Invoice'!AG$2:AG$401,$AH145)))</f>
        <v/>
      </c>
      <c r="AH145" s="16">
        <f>IFERROR(MATCH(Settings!$C$26&amp;"|"&amp;ROWS($AH$2:$AH145),'Per Invoice'!$AI$2:$AI$401,0),"")</f>
        <v/>
      </c>
    </row>
    <row r="146">
      <c r="A146">
        <f>IF($AH146="","",IF(INDEX('Per Invoice'!A$2:A$401,$AH146)="","",INDEX('Per Invoice'!A$2:A$401,$AH146)))</f>
        <v/>
      </c>
      <c r="B146">
        <f>IF($AH146="","",IF(INDEX('Per Invoice'!B$2:B$401,$AH146)="","",INDEX('Per Invoice'!B$2:B$401,$AH146)))</f>
        <v/>
      </c>
      <c r="C146">
        <f>IF($AH146="","",IF(INDEX('Per Invoice'!C$2:C$401,$AH146)="","",INDEX('Per Invoice'!C$2:C$401,$AH146)))</f>
        <v/>
      </c>
      <c r="D146">
        <f>IF($AH146="","",IF(INDEX('Per Invoice'!D$2:D$401,$AH146)="","",INDEX('Per Invoice'!D$2:D$401,$AH146)))</f>
        <v/>
      </c>
      <c r="E146">
        <f>IF($AH146="","",IF(INDEX('Per Invoice'!E$2:E$401,$AH146)="","",INDEX('Per Invoice'!E$2:E$401,$AH146)))</f>
        <v/>
      </c>
      <c r="F146">
        <f>IF($AH146="","",IF(INDEX('Per Invoice'!F$2:F$401,$AH146)="","",INDEX('Per Invoice'!F$2:F$401,$AH146)))</f>
        <v/>
      </c>
      <c r="G146">
        <f>IF($AH146="","",IF(INDEX('Per Invoice'!G$2:G$401,$AH146)="","",INDEX('Per Invoice'!G$2:G$401,$AH146)))</f>
        <v/>
      </c>
      <c r="H146">
        <f>IF($AH146="","",IF(INDEX('Per Invoice'!H$2:H$401,$AH146)="","",INDEX('Per Invoice'!H$2:H$401,$AH146)))</f>
        <v/>
      </c>
      <c r="I146" s="14">
        <f>IF($AH146="","",IF(INDEX('Per Invoice'!I$2:I$401,$AH146)="","",INDEX('Per Invoice'!I$2:I$401,$AH146)))</f>
        <v/>
      </c>
      <c r="J146">
        <f>IF($AH146="","",IF(INDEX('Per Invoice'!J$2:J$401,$AH146)="","",INDEX('Per Invoice'!J$2:J$401,$AH146)))</f>
        <v/>
      </c>
      <c r="K146">
        <f>IF($AH146="","",IF(INDEX('Per Invoice'!K$2:K$401,$AH146)="","",INDEX('Per Invoice'!K$2:K$401,$AH146)))</f>
        <v/>
      </c>
      <c r="L146">
        <f>IF($AH146="","",IF(INDEX('Per Invoice'!L$2:L$401,$AH146)="","",INDEX('Per Invoice'!L$2:L$401,$AH146)))</f>
        <v/>
      </c>
      <c r="M146">
        <f>IF($AH146="","",IF(INDEX('Per Invoice'!M$2:M$401,$AH146)="","",INDEX('Per Invoice'!M$2:M$401,$AH146)))</f>
        <v/>
      </c>
      <c r="N146">
        <f>IF($AH146="","",IF(INDEX('Per Invoice'!N$2:N$401,$AH146)="","",INDEX('Per Invoice'!N$2:N$401,$AH146)))</f>
        <v/>
      </c>
      <c r="O146">
        <f>IF($AH146="","",IF(INDEX('Per Invoice'!O$2:O$401,$AH146)="","",INDEX('Per Invoice'!O$2:O$401,$AH146)))</f>
        <v/>
      </c>
      <c r="P146" s="7">
        <f>IF($AH146="","",IF(INDEX('Per Invoice'!P$2:P$401,$AH146)="","",INDEX('Per Invoice'!P$2:P$401,$AH146)))</f>
        <v/>
      </c>
      <c r="Q146">
        <f>IF($AH146="","",IF(INDEX('Per Invoice'!Q$2:Q$401,$AH146)="","",INDEX('Per Invoice'!Q$2:Q$401,$AH146)))</f>
        <v/>
      </c>
      <c r="R146">
        <f>IF($AH146="","",IF(INDEX('Per Invoice'!R$2:R$401,$AH146)="","",INDEX('Per Invoice'!R$2:R$401,$AH146)))</f>
        <v/>
      </c>
      <c r="S146">
        <f>IF($AH146="","",IF(INDEX('Per Invoice'!S$2:S$401,$AH146)="","",INDEX('Per Invoice'!S$2:S$401,$AH146)))</f>
        <v/>
      </c>
      <c r="T146" s="7">
        <f>IF($AH146="","",IF(INDEX('Per Invoice'!T$2:T$401,$AH146)="","",INDEX('Per Invoice'!T$2:T$401,$AH146)))</f>
        <v/>
      </c>
      <c r="U146" s="7">
        <f>IF($AH146="","",IF(INDEX('Per Invoice'!U$2:U$401,$AH146)="","",INDEX('Per Invoice'!U$2:U$401,$AH146)))</f>
        <v/>
      </c>
      <c r="V146">
        <f>IF($AH146="","",IF(INDEX('Per Invoice'!V$2:V$401,$AH146)="","",INDEX('Per Invoice'!V$2:V$401,$AH146)))</f>
        <v/>
      </c>
      <c r="W146" s="7">
        <f>IF($AH146="","",IF(INDEX('Per Invoice'!W$2:W$401,$AH146)="","",INDEX('Per Invoice'!W$2:W$401,$AH146)))</f>
        <v/>
      </c>
      <c r="X146" s="7">
        <f>IF($AH146="","",IF(INDEX('Per Invoice'!X$2:X$401,$AH146)="","",INDEX('Per Invoice'!X$2:X$401,$AH146)))</f>
        <v/>
      </c>
      <c r="Y146">
        <f>IF($AH146="","",IF(INDEX('Per Invoice'!Y$2:Y$401,$AH146)="","",INDEX('Per Invoice'!Y$2:Y$401,$AH146)))</f>
        <v/>
      </c>
      <c r="Z146" s="7">
        <f>IF($AH146="","",IF(INDEX('Per Invoice'!Z$2:Z$401,$AH146)="","",INDEX('Per Invoice'!Z$2:Z$401,$AH146)))</f>
        <v/>
      </c>
      <c r="AA146" s="7">
        <f>IF($AH146="","",IF(INDEX('Per Invoice'!AA$2:AA$401,$AH146)="","",INDEX('Per Invoice'!AA$2:AA$401,$AH146)))</f>
        <v/>
      </c>
      <c r="AB146" s="7">
        <f>IF($AH146="","",IF(INDEX('Per Invoice'!AB$2:AB$401,$AH146)="","",INDEX('Per Invoice'!AB$2:AB$401,$AH146)))</f>
        <v/>
      </c>
      <c r="AC146" s="7">
        <f>IF($AH146="","",IF(INDEX('Per Invoice'!AC$2:AC$401,$AH146)="","",INDEX('Per Invoice'!AC$2:AC$401,$AH146)))</f>
        <v/>
      </c>
      <c r="AD146" s="7">
        <f>IF($AH146="","",IF(INDEX('Per Invoice'!AD$2:AD$401,$AH146)="","",INDEX('Per Invoice'!AD$2:AD$401,$AH146)))</f>
        <v/>
      </c>
      <c r="AE146" s="7">
        <f>IF($AH146="","",IF(INDEX('Per Invoice'!AE$2:AE$401,$AH146)="","",INDEX('Per Invoice'!AE$2:AE$401,$AH146)))</f>
        <v/>
      </c>
      <c r="AF146">
        <f>IF($AH146="","",IF(INDEX('Per Invoice'!AF$2:AF$401,$AH146)="","",INDEX('Per Invoice'!AF$2:AF$401,$AH146)))</f>
        <v/>
      </c>
      <c r="AG146" s="7">
        <f>IF($AH146="","",IF(INDEX('Per Invoice'!AG$2:AG$401,$AH146)="","",INDEX('Per Invoice'!AG$2:AG$401,$AH146)))</f>
        <v/>
      </c>
      <c r="AH146" s="16">
        <f>IFERROR(MATCH(Settings!$C$26&amp;"|"&amp;ROWS($AH$2:$AH146),'Per Invoice'!$AI$2:$AI$401,0),"")</f>
        <v/>
      </c>
    </row>
    <row r="147">
      <c r="A147">
        <f>IF($AH147="","",IF(INDEX('Per Invoice'!A$2:A$401,$AH147)="","",INDEX('Per Invoice'!A$2:A$401,$AH147)))</f>
        <v/>
      </c>
      <c r="B147">
        <f>IF($AH147="","",IF(INDEX('Per Invoice'!B$2:B$401,$AH147)="","",INDEX('Per Invoice'!B$2:B$401,$AH147)))</f>
        <v/>
      </c>
      <c r="C147">
        <f>IF($AH147="","",IF(INDEX('Per Invoice'!C$2:C$401,$AH147)="","",INDEX('Per Invoice'!C$2:C$401,$AH147)))</f>
        <v/>
      </c>
      <c r="D147">
        <f>IF($AH147="","",IF(INDEX('Per Invoice'!D$2:D$401,$AH147)="","",INDEX('Per Invoice'!D$2:D$401,$AH147)))</f>
        <v/>
      </c>
      <c r="E147">
        <f>IF($AH147="","",IF(INDEX('Per Invoice'!E$2:E$401,$AH147)="","",INDEX('Per Invoice'!E$2:E$401,$AH147)))</f>
        <v/>
      </c>
      <c r="F147">
        <f>IF($AH147="","",IF(INDEX('Per Invoice'!F$2:F$401,$AH147)="","",INDEX('Per Invoice'!F$2:F$401,$AH147)))</f>
        <v/>
      </c>
      <c r="G147">
        <f>IF($AH147="","",IF(INDEX('Per Invoice'!G$2:G$401,$AH147)="","",INDEX('Per Invoice'!G$2:G$401,$AH147)))</f>
        <v/>
      </c>
      <c r="H147">
        <f>IF($AH147="","",IF(INDEX('Per Invoice'!H$2:H$401,$AH147)="","",INDEX('Per Invoice'!H$2:H$401,$AH147)))</f>
        <v/>
      </c>
      <c r="I147" s="14">
        <f>IF($AH147="","",IF(INDEX('Per Invoice'!I$2:I$401,$AH147)="","",INDEX('Per Invoice'!I$2:I$401,$AH147)))</f>
        <v/>
      </c>
      <c r="J147">
        <f>IF($AH147="","",IF(INDEX('Per Invoice'!J$2:J$401,$AH147)="","",INDEX('Per Invoice'!J$2:J$401,$AH147)))</f>
        <v/>
      </c>
      <c r="K147">
        <f>IF($AH147="","",IF(INDEX('Per Invoice'!K$2:K$401,$AH147)="","",INDEX('Per Invoice'!K$2:K$401,$AH147)))</f>
        <v/>
      </c>
      <c r="L147">
        <f>IF($AH147="","",IF(INDEX('Per Invoice'!L$2:L$401,$AH147)="","",INDEX('Per Invoice'!L$2:L$401,$AH147)))</f>
        <v/>
      </c>
      <c r="M147">
        <f>IF($AH147="","",IF(INDEX('Per Invoice'!M$2:M$401,$AH147)="","",INDEX('Per Invoice'!M$2:M$401,$AH147)))</f>
        <v/>
      </c>
      <c r="N147">
        <f>IF($AH147="","",IF(INDEX('Per Invoice'!N$2:N$401,$AH147)="","",INDEX('Per Invoice'!N$2:N$401,$AH147)))</f>
        <v/>
      </c>
      <c r="O147">
        <f>IF($AH147="","",IF(INDEX('Per Invoice'!O$2:O$401,$AH147)="","",INDEX('Per Invoice'!O$2:O$401,$AH147)))</f>
        <v/>
      </c>
      <c r="P147" s="7">
        <f>IF($AH147="","",IF(INDEX('Per Invoice'!P$2:P$401,$AH147)="","",INDEX('Per Invoice'!P$2:P$401,$AH147)))</f>
        <v/>
      </c>
      <c r="Q147">
        <f>IF($AH147="","",IF(INDEX('Per Invoice'!Q$2:Q$401,$AH147)="","",INDEX('Per Invoice'!Q$2:Q$401,$AH147)))</f>
        <v/>
      </c>
      <c r="R147">
        <f>IF($AH147="","",IF(INDEX('Per Invoice'!R$2:R$401,$AH147)="","",INDEX('Per Invoice'!R$2:R$401,$AH147)))</f>
        <v/>
      </c>
      <c r="S147">
        <f>IF($AH147="","",IF(INDEX('Per Invoice'!S$2:S$401,$AH147)="","",INDEX('Per Invoice'!S$2:S$401,$AH147)))</f>
        <v/>
      </c>
      <c r="T147" s="7">
        <f>IF($AH147="","",IF(INDEX('Per Invoice'!T$2:T$401,$AH147)="","",INDEX('Per Invoice'!T$2:T$401,$AH147)))</f>
        <v/>
      </c>
      <c r="U147" s="7">
        <f>IF($AH147="","",IF(INDEX('Per Invoice'!U$2:U$401,$AH147)="","",INDEX('Per Invoice'!U$2:U$401,$AH147)))</f>
        <v/>
      </c>
      <c r="V147">
        <f>IF($AH147="","",IF(INDEX('Per Invoice'!V$2:V$401,$AH147)="","",INDEX('Per Invoice'!V$2:V$401,$AH147)))</f>
        <v/>
      </c>
      <c r="W147" s="7">
        <f>IF($AH147="","",IF(INDEX('Per Invoice'!W$2:W$401,$AH147)="","",INDEX('Per Invoice'!W$2:W$401,$AH147)))</f>
        <v/>
      </c>
      <c r="X147" s="7">
        <f>IF($AH147="","",IF(INDEX('Per Invoice'!X$2:X$401,$AH147)="","",INDEX('Per Invoice'!X$2:X$401,$AH147)))</f>
        <v/>
      </c>
      <c r="Y147">
        <f>IF($AH147="","",IF(INDEX('Per Invoice'!Y$2:Y$401,$AH147)="","",INDEX('Per Invoice'!Y$2:Y$401,$AH147)))</f>
        <v/>
      </c>
      <c r="Z147" s="7">
        <f>IF($AH147="","",IF(INDEX('Per Invoice'!Z$2:Z$401,$AH147)="","",INDEX('Per Invoice'!Z$2:Z$401,$AH147)))</f>
        <v/>
      </c>
      <c r="AA147" s="7">
        <f>IF($AH147="","",IF(INDEX('Per Invoice'!AA$2:AA$401,$AH147)="","",INDEX('Per Invoice'!AA$2:AA$401,$AH147)))</f>
        <v/>
      </c>
      <c r="AB147" s="7">
        <f>IF($AH147="","",IF(INDEX('Per Invoice'!AB$2:AB$401,$AH147)="","",INDEX('Per Invoice'!AB$2:AB$401,$AH147)))</f>
        <v/>
      </c>
      <c r="AC147" s="7">
        <f>IF($AH147="","",IF(INDEX('Per Invoice'!AC$2:AC$401,$AH147)="","",INDEX('Per Invoice'!AC$2:AC$401,$AH147)))</f>
        <v/>
      </c>
      <c r="AD147" s="7">
        <f>IF($AH147="","",IF(INDEX('Per Invoice'!AD$2:AD$401,$AH147)="","",INDEX('Per Invoice'!AD$2:AD$401,$AH147)))</f>
        <v/>
      </c>
      <c r="AE147" s="7">
        <f>IF($AH147="","",IF(INDEX('Per Invoice'!AE$2:AE$401,$AH147)="","",INDEX('Per Invoice'!AE$2:AE$401,$AH147)))</f>
        <v/>
      </c>
      <c r="AF147">
        <f>IF($AH147="","",IF(INDEX('Per Invoice'!AF$2:AF$401,$AH147)="","",INDEX('Per Invoice'!AF$2:AF$401,$AH147)))</f>
        <v/>
      </c>
      <c r="AG147" s="7">
        <f>IF($AH147="","",IF(INDEX('Per Invoice'!AG$2:AG$401,$AH147)="","",INDEX('Per Invoice'!AG$2:AG$401,$AH147)))</f>
        <v/>
      </c>
      <c r="AH147" s="16">
        <f>IFERROR(MATCH(Settings!$C$26&amp;"|"&amp;ROWS($AH$2:$AH147),'Per Invoice'!$AI$2:$AI$401,0),"")</f>
        <v/>
      </c>
    </row>
    <row r="148">
      <c r="A148">
        <f>IF($AH148="","",IF(INDEX('Per Invoice'!A$2:A$401,$AH148)="","",INDEX('Per Invoice'!A$2:A$401,$AH148)))</f>
        <v/>
      </c>
      <c r="B148">
        <f>IF($AH148="","",IF(INDEX('Per Invoice'!B$2:B$401,$AH148)="","",INDEX('Per Invoice'!B$2:B$401,$AH148)))</f>
        <v/>
      </c>
      <c r="C148">
        <f>IF($AH148="","",IF(INDEX('Per Invoice'!C$2:C$401,$AH148)="","",INDEX('Per Invoice'!C$2:C$401,$AH148)))</f>
        <v/>
      </c>
      <c r="D148">
        <f>IF($AH148="","",IF(INDEX('Per Invoice'!D$2:D$401,$AH148)="","",INDEX('Per Invoice'!D$2:D$401,$AH148)))</f>
        <v/>
      </c>
      <c r="E148">
        <f>IF($AH148="","",IF(INDEX('Per Invoice'!E$2:E$401,$AH148)="","",INDEX('Per Invoice'!E$2:E$401,$AH148)))</f>
        <v/>
      </c>
      <c r="F148">
        <f>IF($AH148="","",IF(INDEX('Per Invoice'!F$2:F$401,$AH148)="","",INDEX('Per Invoice'!F$2:F$401,$AH148)))</f>
        <v/>
      </c>
      <c r="G148">
        <f>IF($AH148="","",IF(INDEX('Per Invoice'!G$2:G$401,$AH148)="","",INDEX('Per Invoice'!G$2:G$401,$AH148)))</f>
        <v/>
      </c>
      <c r="H148">
        <f>IF($AH148="","",IF(INDEX('Per Invoice'!H$2:H$401,$AH148)="","",INDEX('Per Invoice'!H$2:H$401,$AH148)))</f>
        <v/>
      </c>
      <c r="I148" s="14">
        <f>IF($AH148="","",IF(INDEX('Per Invoice'!I$2:I$401,$AH148)="","",INDEX('Per Invoice'!I$2:I$401,$AH148)))</f>
        <v/>
      </c>
      <c r="J148">
        <f>IF($AH148="","",IF(INDEX('Per Invoice'!J$2:J$401,$AH148)="","",INDEX('Per Invoice'!J$2:J$401,$AH148)))</f>
        <v/>
      </c>
      <c r="K148">
        <f>IF($AH148="","",IF(INDEX('Per Invoice'!K$2:K$401,$AH148)="","",INDEX('Per Invoice'!K$2:K$401,$AH148)))</f>
        <v/>
      </c>
      <c r="L148">
        <f>IF($AH148="","",IF(INDEX('Per Invoice'!L$2:L$401,$AH148)="","",INDEX('Per Invoice'!L$2:L$401,$AH148)))</f>
        <v/>
      </c>
      <c r="M148">
        <f>IF($AH148="","",IF(INDEX('Per Invoice'!M$2:M$401,$AH148)="","",INDEX('Per Invoice'!M$2:M$401,$AH148)))</f>
        <v/>
      </c>
      <c r="N148">
        <f>IF($AH148="","",IF(INDEX('Per Invoice'!N$2:N$401,$AH148)="","",INDEX('Per Invoice'!N$2:N$401,$AH148)))</f>
        <v/>
      </c>
      <c r="O148">
        <f>IF($AH148="","",IF(INDEX('Per Invoice'!O$2:O$401,$AH148)="","",INDEX('Per Invoice'!O$2:O$401,$AH148)))</f>
        <v/>
      </c>
      <c r="P148" s="7">
        <f>IF($AH148="","",IF(INDEX('Per Invoice'!P$2:P$401,$AH148)="","",INDEX('Per Invoice'!P$2:P$401,$AH148)))</f>
        <v/>
      </c>
      <c r="Q148">
        <f>IF($AH148="","",IF(INDEX('Per Invoice'!Q$2:Q$401,$AH148)="","",INDEX('Per Invoice'!Q$2:Q$401,$AH148)))</f>
        <v/>
      </c>
      <c r="R148">
        <f>IF($AH148="","",IF(INDEX('Per Invoice'!R$2:R$401,$AH148)="","",INDEX('Per Invoice'!R$2:R$401,$AH148)))</f>
        <v/>
      </c>
      <c r="S148">
        <f>IF($AH148="","",IF(INDEX('Per Invoice'!S$2:S$401,$AH148)="","",INDEX('Per Invoice'!S$2:S$401,$AH148)))</f>
        <v/>
      </c>
      <c r="T148" s="7">
        <f>IF($AH148="","",IF(INDEX('Per Invoice'!T$2:T$401,$AH148)="","",INDEX('Per Invoice'!T$2:T$401,$AH148)))</f>
        <v/>
      </c>
      <c r="U148" s="7">
        <f>IF($AH148="","",IF(INDEX('Per Invoice'!U$2:U$401,$AH148)="","",INDEX('Per Invoice'!U$2:U$401,$AH148)))</f>
        <v/>
      </c>
      <c r="V148">
        <f>IF($AH148="","",IF(INDEX('Per Invoice'!V$2:V$401,$AH148)="","",INDEX('Per Invoice'!V$2:V$401,$AH148)))</f>
        <v/>
      </c>
      <c r="W148" s="7">
        <f>IF($AH148="","",IF(INDEX('Per Invoice'!W$2:W$401,$AH148)="","",INDEX('Per Invoice'!W$2:W$401,$AH148)))</f>
        <v/>
      </c>
      <c r="X148" s="7">
        <f>IF($AH148="","",IF(INDEX('Per Invoice'!X$2:X$401,$AH148)="","",INDEX('Per Invoice'!X$2:X$401,$AH148)))</f>
        <v/>
      </c>
      <c r="Y148">
        <f>IF($AH148="","",IF(INDEX('Per Invoice'!Y$2:Y$401,$AH148)="","",INDEX('Per Invoice'!Y$2:Y$401,$AH148)))</f>
        <v/>
      </c>
      <c r="Z148" s="7">
        <f>IF($AH148="","",IF(INDEX('Per Invoice'!Z$2:Z$401,$AH148)="","",INDEX('Per Invoice'!Z$2:Z$401,$AH148)))</f>
        <v/>
      </c>
      <c r="AA148" s="7">
        <f>IF($AH148="","",IF(INDEX('Per Invoice'!AA$2:AA$401,$AH148)="","",INDEX('Per Invoice'!AA$2:AA$401,$AH148)))</f>
        <v/>
      </c>
      <c r="AB148" s="7">
        <f>IF($AH148="","",IF(INDEX('Per Invoice'!AB$2:AB$401,$AH148)="","",INDEX('Per Invoice'!AB$2:AB$401,$AH148)))</f>
        <v/>
      </c>
      <c r="AC148" s="7">
        <f>IF($AH148="","",IF(INDEX('Per Invoice'!AC$2:AC$401,$AH148)="","",INDEX('Per Invoice'!AC$2:AC$401,$AH148)))</f>
        <v/>
      </c>
      <c r="AD148" s="7">
        <f>IF($AH148="","",IF(INDEX('Per Invoice'!AD$2:AD$401,$AH148)="","",INDEX('Per Invoice'!AD$2:AD$401,$AH148)))</f>
        <v/>
      </c>
      <c r="AE148" s="7">
        <f>IF($AH148="","",IF(INDEX('Per Invoice'!AE$2:AE$401,$AH148)="","",INDEX('Per Invoice'!AE$2:AE$401,$AH148)))</f>
        <v/>
      </c>
      <c r="AF148">
        <f>IF($AH148="","",IF(INDEX('Per Invoice'!AF$2:AF$401,$AH148)="","",INDEX('Per Invoice'!AF$2:AF$401,$AH148)))</f>
        <v/>
      </c>
      <c r="AG148" s="7">
        <f>IF($AH148="","",IF(INDEX('Per Invoice'!AG$2:AG$401,$AH148)="","",INDEX('Per Invoice'!AG$2:AG$401,$AH148)))</f>
        <v/>
      </c>
      <c r="AH148" s="16">
        <f>IFERROR(MATCH(Settings!$C$26&amp;"|"&amp;ROWS($AH$2:$AH148),'Per Invoice'!$AI$2:$AI$401,0),"")</f>
        <v/>
      </c>
    </row>
    <row r="149">
      <c r="A149">
        <f>IF($AH149="","",IF(INDEX('Per Invoice'!A$2:A$401,$AH149)="","",INDEX('Per Invoice'!A$2:A$401,$AH149)))</f>
        <v/>
      </c>
      <c r="B149">
        <f>IF($AH149="","",IF(INDEX('Per Invoice'!B$2:B$401,$AH149)="","",INDEX('Per Invoice'!B$2:B$401,$AH149)))</f>
        <v/>
      </c>
      <c r="C149">
        <f>IF($AH149="","",IF(INDEX('Per Invoice'!C$2:C$401,$AH149)="","",INDEX('Per Invoice'!C$2:C$401,$AH149)))</f>
        <v/>
      </c>
      <c r="D149">
        <f>IF($AH149="","",IF(INDEX('Per Invoice'!D$2:D$401,$AH149)="","",INDEX('Per Invoice'!D$2:D$401,$AH149)))</f>
        <v/>
      </c>
      <c r="E149">
        <f>IF($AH149="","",IF(INDEX('Per Invoice'!E$2:E$401,$AH149)="","",INDEX('Per Invoice'!E$2:E$401,$AH149)))</f>
        <v/>
      </c>
      <c r="F149">
        <f>IF($AH149="","",IF(INDEX('Per Invoice'!F$2:F$401,$AH149)="","",INDEX('Per Invoice'!F$2:F$401,$AH149)))</f>
        <v/>
      </c>
      <c r="G149">
        <f>IF($AH149="","",IF(INDEX('Per Invoice'!G$2:G$401,$AH149)="","",INDEX('Per Invoice'!G$2:G$401,$AH149)))</f>
        <v/>
      </c>
      <c r="H149">
        <f>IF($AH149="","",IF(INDEX('Per Invoice'!H$2:H$401,$AH149)="","",INDEX('Per Invoice'!H$2:H$401,$AH149)))</f>
        <v/>
      </c>
      <c r="I149" s="14">
        <f>IF($AH149="","",IF(INDEX('Per Invoice'!I$2:I$401,$AH149)="","",INDEX('Per Invoice'!I$2:I$401,$AH149)))</f>
        <v/>
      </c>
      <c r="J149">
        <f>IF($AH149="","",IF(INDEX('Per Invoice'!J$2:J$401,$AH149)="","",INDEX('Per Invoice'!J$2:J$401,$AH149)))</f>
        <v/>
      </c>
      <c r="K149">
        <f>IF($AH149="","",IF(INDEX('Per Invoice'!K$2:K$401,$AH149)="","",INDEX('Per Invoice'!K$2:K$401,$AH149)))</f>
        <v/>
      </c>
      <c r="L149">
        <f>IF($AH149="","",IF(INDEX('Per Invoice'!L$2:L$401,$AH149)="","",INDEX('Per Invoice'!L$2:L$401,$AH149)))</f>
        <v/>
      </c>
      <c r="M149">
        <f>IF($AH149="","",IF(INDEX('Per Invoice'!M$2:M$401,$AH149)="","",INDEX('Per Invoice'!M$2:M$401,$AH149)))</f>
        <v/>
      </c>
      <c r="N149">
        <f>IF($AH149="","",IF(INDEX('Per Invoice'!N$2:N$401,$AH149)="","",INDEX('Per Invoice'!N$2:N$401,$AH149)))</f>
        <v/>
      </c>
      <c r="O149">
        <f>IF($AH149="","",IF(INDEX('Per Invoice'!O$2:O$401,$AH149)="","",INDEX('Per Invoice'!O$2:O$401,$AH149)))</f>
        <v/>
      </c>
      <c r="P149" s="7">
        <f>IF($AH149="","",IF(INDEX('Per Invoice'!P$2:P$401,$AH149)="","",INDEX('Per Invoice'!P$2:P$401,$AH149)))</f>
        <v/>
      </c>
      <c r="Q149">
        <f>IF($AH149="","",IF(INDEX('Per Invoice'!Q$2:Q$401,$AH149)="","",INDEX('Per Invoice'!Q$2:Q$401,$AH149)))</f>
        <v/>
      </c>
      <c r="R149">
        <f>IF($AH149="","",IF(INDEX('Per Invoice'!R$2:R$401,$AH149)="","",INDEX('Per Invoice'!R$2:R$401,$AH149)))</f>
        <v/>
      </c>
      <c r="S149">
        <f>IF($AH149="","",IF(INDEX('Per Invoice'!S$2:S$401,$AH149)="","",INDEX('Per Invoice'!S$2:S$401,$AH149)))</f>
        <v/>
      </c>
      <c r="T149" s="7">
        <f>IF($AH149="","",IF(INDEX('Per Invoice'!T$2:T$401,$AH149)="","",INDEX('Per Invoice'!T$2:T$401,$AH149)))</f>
        <v/>
      </c>
      <c r="U149" s="7">
        <f>IF($AH149="","",IF(INDEX('Per Invoice'!U$2:U$401,$AH149)="","",INDEX('Per Invoice'!U$2:U$401,$AH149)))</f>
        <v/>
      </c>
      <c r="V149">
        <f>IF($AH149="","",IF(INDEX('Per Invoice'!V$2:V$401,$AH149)="","",INDEX('Per Invoice'!V$2:V$401,$AH149)))</f>
        <v/>
      </c>
      <c r="W149" s="7">
        <f>IF($AH149="","",IF(INDEX('Per Invoice'!W$2:W$401,$AH149)="","",INDEX('Per Invoice'!W$2:W$401,$AH149)))</f>
        <v/>
      </c>
      <c r="X149" s="7">
        <f>IF($AH149="","",IF(INDEX('Per Invoice'!X$2:X$401,$AH149)="","",INDEX('Per Invoice'!X$2:X$401,$AH149)))</f>
        <v/>
      </c>
      <c r="Y149">
        <f>IF($AH149="","",IF(INDEX('Per Invoice'!Y$2:Y$401,$AH149)="","",INDEX('Per Invoice'!Y$2:Y$401,$AH149)))</f>
        <v/>
      </c>
      <c r="Z149" s="7">
        <f>IF($AH149="","",IF(INDEX('Per Invoice'!Z$2:Z$401,$AH149)="","",INDEX('Per Invoice'!Z$2:Z$401,$AH149)))</f>
        <v/>
      </c>
      <c r="AA149" s="7">
        <f>IF($AH149="","",IF(INDEX('Per Invoice'!AA$2:AA$401,$AH149)="","",INDEX('Per Invoice'!AA$2:AA$401,$AH149)))</f>
        <v/>
      </c>
      <c r="AB149" s="7">
        <f>IF($AH149="","",IF(INDEX('Per Invoice'!AB$2:AB$401,$AH149)="","",INDEX('Per Invoice'!AB$2:AB$401,$AH149)))</f>
        <v/>
      </c>
      <c r="AC149" s="7">
        <f>IF($AH149="","",IF(INDEX('Per Invoice'!AC$2:AC$401,$AH149)="","",INDEX('Per Invoice'!AC$2:AC$401,$AH149)))</f>
        <v/>
      </c>
      <c r="AD149" s="7">
        <f>IF($AH149="","",IF(INDEX('Per Invoice'!AD$2:AD$401,$AH149)="","",INDEX('Per Invoice'!AD$2:AD$401,$AH149)))</f>
        <v/>
      </c>
      <c r="AE149" s="7">
        <f>IF($AH149="","",IF(INDEX('Per Invoice'!AE$2:AE$401,$AH149)="","",INDEX('Per Invoice'!AE$2:AE$401,$AH149)))</f>
        <v/>
      </c>
      <c r="AF149">
        <f>IF($AH149="","",IF(INDEX('Per Invoice'!AF$2:AF$401,$AH149)="","",INDEX('Per Invoice'!AF$2:AF$401,$AH149)))</f>
        <v/>
      </c>
      <c r="AG149" s="7">
        <f>IF($AH149="","",IF(INDEX('Per Invoice'!AG$2:AG$401,$AH149)="","",INDEX('Per Invoice'!AG$2:AG$401,$AH149)))</f>
        <v/>
      </c>
      <c r="AH149" s="16">
        <f>IFERROR(MATCH(Settings!$C$26&amp;"|"&amp;ROWS($AH$2:$AH149),'Per Invoice'!$AI$2:$AI$401,0),"")</f>
        <v/>
      </c>
    </row>
    <row r="150">
      <c r="A150">
        <f>IF($AH150="","",IF(INDEX('Per Invoice'!A$2:A$401,$AH150)="","",INDEX('Per Invoice'!A$2:A$401,$AH150)))</f>
        <v/>
      </c>
      <c r="B150">
        <f>IF($AH150="","",IF(INDEX('Per Invoice'!B$2:B$401,$AH150)="","",INDEX('Per Invoice'!B$2:B$401,$AH150)))</f>
        <v/>
      </c>
      <c r="C150">
        <f>IF($AH150="","",IF(INDEX('Per Invoice'!C$2:C$401,$AH150)="","",INDEX('Per Invoice'!C$2:C$401,$AH150)))</f>
        <v/>
      </c>
      <c r="D150">
        <f>IF($AH150="","",IF(INDEX('Per Invoice'!D$2:D$401,$AH150)="","",INDEX('Per Invoice'!D$2:D$401,$AH150)))</f>
        <v/>
      </c>
      <c r="E150">
        <f>IF($AH150="","",IF(INDEX('Per Invoice'!E$2:E$401,$AH150)="","",INDEX('Per Invoice'!E$2:E$401,$AH150)))</f>
        <v/>
      </c>
      <c r="F150">
        <f>IF($AH150="","",IF(INDEX('Per Invoice'!F$2:F$401,$AH150)="","",INDEX('Per Invoice'!F$2:F$401,$AH150)))</f>
        <v/>
      </c>
      <c r="G150">
        <f>IF($AH150="","",IF(INDEX('Per Invoice'!G$2:G$401,$AH150)="","",INDEX('Per Invoice'!G$2:G$401,$AH150)))</f>
        <v/>
      </c>
      <c r="H150">
        <f>IF($AH150="","",IF(INDEX('Per Invoice'!H$2:H$401,$AH150)="","",INDEX('Per Invoice'!H$2:H$401,$AH150)))</f>
        <v/>
      </c>
      <c r="I150" s="14">
        <f>IF($AH150="","",IF(INDEX('Per Invoice'!I$2:I$401,$AH150)="","",INDEX('Per Invoice'!I$2:I$401,$AH150)))</f>
        <v/>
      </c>
      <c r="J150">
        <f>IF($AH150="","",IF(INDEX('Per Invoice'!J$2:J$401,$AH150)="","",INDEX('Per Invoice'!J$2:J$401,$AH150)))</f>
        <v/>
      </c>
      <c r="K150">
        <f>IF($AH150="","",IF(INDEX('Per Invoice'!K$2:K$401,$AH150)="","",INDEX('Per Invoice'!K$2:K$401,$AH150)))</f>
        <v/>
      </c>
      <c r="L150">
        <f>IF($AH150="","",IF(INDEX('Per Invoice'!L$2:L$401,$AH150)="","",INDEX('Per Invoice'!L$2:L$401,$AH150)))</f>
        <v/>
      </c>
      <c r="M150">
        <f>IF($AH150="","",IF(INDEX('Per Invoice'!M$2:M$401,$AH150)="","",INDEX('Per Invoice'!M$2:M$401,$AH150)))</f>
        <v/>
      </c>
      <c r="N150">
        <f>IF($AH150="","",IF(INDEX('Per Invoice'!N$2:N$401,$AH150)="","",INDEX('Per Invoice'!N$2:N$401,$AH150)))</f>
        <v/>
      </c>
      <c r="O150">
        <f>IF($AH150="","",IF(INDEX('Per Invoice'!O$2:O$401,$AH150)="","",INDEX('Per Invoice'!O$2:O$401,$AH150)))</f>
        <v/>
      </c>
      <c r="P150" s="7">
        <f>IF($AH150="","",IF(INDEX('Per Invoice'!P$2:P$401,$AH150)="","",INDEX('Per Invoice'!P$2:P$401,$AH150)))</f>
        <v/>
      </c>
      <c r="Q150">
        <f>IF($AH150="","",IF(INDEX('Per Invoice'!Q$2:Q$401,$AH150)="","",INDEX('Per Invoice'!Q$2:Q$401,$AH150)))</f>
        <v/>
      </c>
      <c r="R150">
        <f>IF($AH150="","",IF(INDEX('Per Invoice'!R$2:R$401,$AH150)="","",INDEX('Per Invoice'!R$2:R$401,$AH150)))</f>
        <v/>
      </c>
      <c r="S150">
        <f>IF($AH150="","",IF(INDEX('Per Invoice'!S$2:S$401,$AH150)="","",INDEX('Per Invoice'!S$2:S$401,$AH150)))</f>
        <v/>
      </c>
      <c r="T150" s="7">
        <f>IF($AH150="","",IF(INDEX('Per Invoice'!T$2:T$401,$AH150)="","",INDEX('Per Invoice'!T$2:T$401,$AH150)))</f>
        <v/>
      </c>
      <c r="U150" s="7">
        <f>IF($AH150="","",IF(INDEX('Per Invoice'!U$2:U$401,$AH150)="","",INDEX('Per Invoice'!U$2:U$401,$AH150)))</f>
        <v/>
      </c>
      <c r="V150">
        <f>IF($AH150="","",IF(INDEX('Per Invoice'!V$2:V$401,$AH150)="","",INDEX('Per Invoice'!V$2:V$401,$AH150)))</f>
        <v/>
      </c>
      <c r="W150" s="7">
        <f>IF($AH150="","",IF(INDEX('Per Invoice'!W$2:W$401,$AH150)="","",INDEX('Per Invoice'!W$2:W$401,$AH150)))</f>
        <v/>
      </c>
      <c r="X150" s="7">
        <f>IF($AH150="","",IF(INDEX('Per Invoice'!X$2:X$401,$AH150)="","",INDEX('Per Invoice'!X$2:X$401,$AH150)))</f>
        <v/>
      </c>
      <c r="Y150">
        <f>IF($AH150="","",IF(INDEX('Per Invoice'!Y$2:Y$401,$AH150)="","",INDEX('Per Invoice'!Y$2:Y$401,$AH150)))</f>
        <v/>
      </c>
      <c r="Z150" s="7">
        <f>IF($AH150="","",IF(INDEX('Per Invoice'!Z$2:Z$401,$AH150)="","",INDEX('Per Invoice'!Z$2:Z$401,$AH150)))</f>
        <v/>
      </c>
      <c r="AA150" s="7">
        <f>IF($AH150="","",IF(INDEX('Per Invoice'!AA$2:AA$401,$AH150)="","",INDEX('Per Invoice'!AA$2:AA$401,$AH150)))</f>
        <v/>
      </c>
      <c r="AB150" s="7">
        <f>IF($AH150="","",IF(INDEX('Per Invoice'!AB$2:AB$401,$AH150)="","",INDEX('Per Invoice'!AB$2:AB$401,$AH150)))</f>
        <v/>
      </c>
      <c r="AC150" s="7">
        <f>IF($AH150="","",IF(INDEX('Per Invoice'!AC$2:AC$401,$AH150)="","",INDEX('Per Invoice'!AC$2:AC$401,$AH150)))</f>
        <v/>
      </c>
      <c r="AD150" s="7">
        <f>IF($AH150="","",IF(INDEX('Per Invoice'!AD$2:AD$401,$AH150)="","",INDEX('Per Invoice'!AD$2:AD$401,$AH150)))</f>
        <v/>
      </c>
      <c r="AE150" s="7">
        <f>IF($AH150="","",IF(INDEX('Per Invoice'!AE$2:AE$401,$AH150)="","",INDEX('Per Invoice'!AE$2:AE$401,$AH150)))</f>
        <v/>
      </c>
      <c r="AF150">
        <f>IF($AH150="","",IF(INDEX('Per Invoice'!AF$2:AF$401,$AH150)="","",INDEX('Per Invoice'!AF$2:AF$401,$AH150)))</f>
        <v/>
      </c>
      <c r="AG150" s="7">
        <f>IF($AH150="","",IF(INDEX('Per Invoice'!AG$2:AG$401,$AH150)="","",INDEX('Per Invoice'!AG$2:AG$401,$AH150)))</f>
        <v/>
      </c>
      <c r="AH150" s="16">
        <f>IFERROR(MATCH(Settings!$C$26&amp;"|"&amp;ROWS($AH$2:$AH150),'Per Invoice'!$AI$2:$AI$401,0),"")</f>
        <v/>
      </c>
    </row>
    <row r="151">
      <c r="A151">
        <f>IF($AH151="","",IF(INDEX('Per Invoice'!A$2:A$401,$AH151)="","",INDEX('Per Invoice'!A$2:A$401,$AH151)))</f>
        <v/>
      </c>
      <c r="B151">
        <f>IF($AH151="","",IF(INDEX('Per Invoice'!B$2:B$401,$AH151)="","",INDEX('Per Invoice'!B$2:B$401,$AH151)))</f>
        <v/>
      </c>
      <c r="C151">
        <f>IF($AH151="","",IF(INDEX('Per Invoice'!C$2:C$401,$AH151)="","",INDEX('Per Invoice'!C$2:C$401,$AH151)))</f>
        <v/>
      </c>
      <c r="D151">
        <f>IF($AH151="","",IF(INDEX('Per Invoice'!D$2:D$401,$AH151)="","",INDEX('Per Invoice'!D$2:D$401,$AH151)))</f>
        <v/>
      </c>
      <c r="E151">
        <f>IF($AH151="","",IF(INDEX('Per Invoice'!E$2:E$401,$AH151)="","",INDEX('Per Invoice'!E$2:E$401,$AH151)))</f>
        <v/>
      </c>
      <c r="F151">
        <f>IF($AH151="","",IF(INDEX('Per Invoice'!F$2:F$401,$AH151)="","",INDEX('Per Invoice'!F$2:F$401,$AH151)))</f>
        <v/>
      </c>
      <c r="G151">
        <f>IF($AH151="","",IF(INDEX('Per Invoice'!G$2:G$401,$AH151)="","",INDEX('Per Invoice'!G$2:G$401,$AH151)))</f>
        <v/>
      </c>
      <c r="H151">
        <f>IF($AH151="","",IF(INDEX('Per Invoice'!H$2:H$401,$AH151)="","",INDEX('Per Invoice'!H$2:H$401,$AH151)))</f>
        <v/>
      </c>
      <c r="I151" s="14">
        <f>IF($AH151="","",IF(INDEX('Per Invoice'!I$2:I$401,$AH151)="","",INDEX('Per Invoice'!I$2:I$401,$AH151)))</f>
        <v/>
      </c>
      <c r="J151">
        <f>IF($AH151="","",IF(INDEX('Per Invoice'!J$2:J$401,$AH151)="","",INDEX('Per Invoice'!J$2:J$401,$AH151)))</f>
        <v/>
      </c>
      <c r="K151">
        <f>IF($AH151="","",IF(INDEX('Per Invoice'!K$2:K$401,$AH151)="","",INDEX('Per Invoice'!K$2:K$401,$AH151)))</f>
        <v/>
      </c>
      <c r="L151">
        <f>IF($AH151="","",IF(INDEX('Per Invoice'!L$2:L$401,$AH151)="","",INDEX('Per Invoice'!L$2:L$401,$AH151)))</f>
        <v/>
      </c>
      <c r="M151">
        <f>IF($AH151="","",IF(INDEX('Per Invoice'!M$2:M$401,$AH151)="","",INDEX('Per Invoice'!M$2:M$401,$AH151)))</f>
        <v/>
      </c>
      <c r="N151">
        <f>IF($AH151="","",IF(INDEX('Per Invoice'!N$2:N$401,$AH151)="","",INDEX('Per Invoice'!N$2:N$401,$AH151)))</f>
        <v/>
      </c>
      <c r="O151">
        <f>IF($AH151="","",IF(INDEX('Per Invoice'!O$2:O$401,$AH151)="","",INDEX('Per Invoice'!O$2:O$401,$AH151)))</f>
        <v/>
      </c>
      <c r="P151" s="7">
        <f>IF($AH151="","",IF(INDEX('Per Invoice'!P$2:P$401,$AH151)="","",INDEX('Per Invoice'!P$2:P$401,$AH151)))</f>
        <v/>
      </c>
      <c r="Q151">
        <f>IF($AH151="","",IF(INDEX('Per Invoice'!Q$2:Q$401,$AH151)="","",INDEX('Per Invoice'!Q$2:Q$401,$AH151)))</f>
        <v/>
      </c>
      <c r="R151">
        <f>IF($AH151="","",IF(INDEX('Per Invoice'!R$2:R$401,$AH151)="","",INDEX('Per Invoice'!R$2:R$401,$AH151)))</f>
        <v/>
      </c>
      <c r="S151">
        <f>IF($AH151="","",IF(INDEX('Per Invoice'!S$2:S$401,$AH151)="","",INDEX('Per Invoice'!S$2:S$401,$AH151)))</f>
        <v/>
      </c>
      <c r="T151" s="7">
        <f>IF($AH151="","",IF(INDEX('Per Invoice'!T$2:T$401,$AH151)="","",INDEX('Per Invoice'!T$2:T$401,$AH151)))</f>
        <v/>
      </c>
      <c r="U151" s="7">
        <f>IF($AH151="","",IF(INDEX('Per Invoice'!U$2:U$401,$AH151)="","",INDEX('Per Invoice'!U$2:U$401,$AH151)))</f>
        <v/>
      </c>
      <c r="V151">
        <f>IF($AH151="","",IF(INDEX('Per Invoice'!V$2:V$401,$AH151)="","",INDEX('Per Invoice'!V$2:V$401,$AH151)))</f>
        <v/>
      </c>
      <c r="W151" s="7">
        <f>IF($AH151="","",IF(INDEX('Per Invoice'!W$2:W$401,$AH151)="","",INDEX('Per Invoice'!W$2:W$401,$AH151)))</f>
        <v/>
      </c>
      <c r="X151" s="7">
        <f>IF($AH151="","",IF(INDEX('Per Invoice'!X$2:X$401,$AH151)="","",INDEX('Per Invoice'!X$2:X$401,$AH151)))</f>
        <v/>
      </c>
      <c r="Y151">
        <f>IF($AH151="","",IF(INDEX('Per Invoice'!Y$2:Y$401,$AH151)="","",INDEX('Per Invoice'!Y$2:Y$401,$AH151)))</f>
        <v/>
      </c>
      <c r="Z151" s="7">
        <f>IF($AH151="","",IF(INDEX('Per Invoice'!Z$2:Z$401,$AH151)="","",INDEX('Per Invoice'!Z$2:Z$401,$AH151)))</f>
        <v/>
      </c>
      <c r="AA151" s="7">
        <f>IF($AH151="","",IF(INDEX('Per Invoice'!AA$2:AA$401,$AH151)="","",INDEX('Per Invoice'!AA$2:AA$401,$AH151)))</f>
        <v/>
      </c>
      <c r="AB151" s="7">
        <f>IF($AH151="","",IF(INDEX('Per Invoice'!AB$2:AB$401,$AH151)="","",INDEX('Per Invoice'!AB$2:AB$401,$AH151)))</f>
        <v/>
      </c>
      <c r="AC151" s="7">
        <f>IF($AH151="","",IF(INDEX('Per Invoice'!AC$2:AC$401,$AH151)="","",INDEX('Per Invoice'!AC$2:AC$401,$AH151)))</f>
        <v/>
      </c>
      <c r="AD151" s="7">
        <f>IF($AH151="","",IF(INDEX('Per Invoice'!AD$2:AD$401,$AH151)="","",INDEX('Per Invoice'!AD$2:AD$401,$AH151)))</f>
        <v/>
      </c>
      <c r="AE151" s="7">
        <f>IF($AH151="","",IF(INDEX('Per Invoice'!AE$2:AE$401,$AH151)="","",INDEX('Per Invoice'!AE$2:AE$401,$AH151)))</f>
        <v/>
      </c>
      <c r="AF151">
        <f>IF($AH151="","",IF(INDEX('Per Invoice'!AF$2:AF$401,$AH151)="","",INDEX('Per Invoice'!AF$2:AF$401,$AH151)))</f>
        <v/>
      </c>
      <c r="AG151" s="7">
        <f>IF($AH151="","",IF(INDEX('Per Invoice'!AG$2:AG$401,$AH151)="","",INDEX('Per Invoice'!AG$2:AG$401,$AH151)))</f>
        <v/>
      </c>
      <c r="AH151" s="16">
        <f>IFERROR(MATCH(Settings!$C$26&amp;"|"&amp;ROWS($AH$2:$AH151),'Per Invoice'!$AI$2:$AI$401,0),"")</f>
        <v/>
      </c>
    </row>
    <row r="152">
      <c r="A152">
        <f>IF($AH152="","",IF(INDEX('Per Invoice'!A$2:A$401,$AH152)="","",INDEX('Per Invoice'!A$2:A$401,$AH152)))</f>
        <v/>
      </c>
      <c r="B152">
        <f>IF($AH152="","",IF(INDEX('Per Invoice'!B$2:B$401,$AH152)="","",INDEX('Per Invoice'!B$2:B$401,$AH152)))</f>
        <v/>
      </c>
      <c r="C152">
        <f>IF($AH152="","",IF(INDEX('Per Invoice'!C$2:C$401,$AH152)="","",INDEX('Per Invoice'!C$2:C$401,$AH152)))</f>
        <v/>
      </c>
      <c r="D152">
        <f>IF($AH152="","",IF(INDEX('Per Invoice'!D$2:D$401,$AH152)="","",INDEX('Per Invoice'!D$2:D$401,$AH152)))</f>
        <v/>
      </c>
      <c r="E152">
        <f>IF($AH152="","",IF(INDEX('Per Invoice'!E$2:E$401,$AH152)="","",INDEX('Per Invoice'!E$2:E$401,$AH152)))</f>
        <v/>
      </c>
      <c r="F152">
        <f>IF($AH152="","",IF(INDEX('Per Invoice'!F$2:F$401,$AH152)="","",INDEX('Per Invoice'!F$2:F$401,$AH152)))</f>
        <v/>
      </c>
      <c r="G152">
        <f>IF($AH152="","",IF(INDEX('Per Invoice'!G$2:G$401,$AH152)="","",INDEX('Per Invoice'!G$2:G$401,$AH152)))</f>
        <v/>
      </c>
      <c r="H152">
        <f>IF($AH152="","",IF(INDEX('Per Invoice'!H$2:H$401,$AH152)="","",INDEX('Per Invoice'!H$2:H$401,$AH152)))</f>
        <v/>
      </c>
      <c r="I152" s="14">
        <f>IF($AH152="","",IF(INDEX('Per Invoice'!I$2:I$401,$AH152)="","",INDEX('Per Invoice'!I$2:I$401,$AH152)))</f>
        <v/>
      </c>
      <c r="J152">
        <f>IF($AH152="","",IF(INDEX('Per Invoice'!J$2:J$401,$AH152)="","",INDEX('Per Invoice'!J$2:J$401,$AH152)))</f>
        <v/>
      </c>
      <c r="K152">
        <f>IF($AH152="","",IF(INDEX('Per Invoice'!K$2:K$401,$AH152)="","",INDEX('Per Invoice'!K$2:K$401,$AH152)))</f>
        <v/>
      </c>
      <c r="L152">
        <f>IF($AH152="","",IF(INDEX('Per Invoice'!L$2:L$401,$AH152)="","",INDEX('Per Invoice'!L$2:L$401,$AH152)))</f>
        <v/>
      </c>
      <c r="M152">
        <f>IF($AH152="","",IF(INDEX('Per Invoice'!M$2:M$401,$AH152)="","",INDEX('Per Invoice'!M$2:M$401,$AH152)))</f>
        <v/>
      </c>
      <c r="N152">
        <f>IF($AH152="","",IF(INDEX('Per Invoice'!N$2:N$401,$AH152)="","",INDEX('Per Invoice'!N$2:N$401,$AH152)))</f>
        <v/>
      </c>
      <c r="O152">
        <f>IF($AH152="","",IF(INDEX('Per Invoice'!O$2:O$401,$AH152)="","",INDEX('Per Invoice'!O$2:O$401,$AH152)))</f>
        <v/>
      </c>
      <c r="P152" s="7">
        <f>IF($AH152="","",IF(INDEX('Per Invoice'!P$2:P$401,$AH152)="","",INDEX('Per Invoice'!P$2:P$401,$AH152)))</f>
        <v/>
      </c>
      <c r="Q152">
        <f>IF($AH152="","",IF(INDEX('Per Invoice'!Q$2:Q$401,$AH152)="","",INDEX('Per Invoice'!Q$2:Q$401,$AH152)))</f>
        <v/>
      </c>
      <c r="R152">
        <f>IF($AH152="","",IF(INDEX('Per Invoice'!R$2:R$401,$AH152)="","",INDEX('Per Invoice'!R$2:R$401,$AH152)))</f>
        <v/>
      </c>
      <c r="S152">
        <f>IF($AH152="","",IF(INDEX('Per Invoice'!S$2:S$401,$AH152)="","",INDEX('Per Invoice'!S$2:S$401,$AH152)))</f>
        <v/>
      </c>
      <c r="T152" s="7">
        <f>IF($AH152="","",IF(INDEX('Per Invoice'!T$2:T$401,$AH152)="","",INDEX('Per Invoice'!T$2:T$401,$AH152)))</f>
        <v/>
      </c>
      <c r="U152" s="7">
        <f>IF($AH152="","",IF(INDEX('Per Invoice'!U$2:U$401,$AH152)="","",INDEX('Per Invoice'!U$2:U$401,$AH152)))</f>
        <v/>
      </c>
      <c r="V152">
        <f>IF($AH152="","",IF(INDEX('Per Invoice'!V$2:V$401,$AH152)="","",INDEX('Per Invoice'!V$2:V$401,$AH152)))</f>
        <v/>
      </c>
      <c r="W152" s="7">
        <f>IF($AH152="","",IF(INDEX('Per Invoice'!W$2:W$401,$AH152)="","",INDEX('Per Invoice'!W$2:W$401,$AH152)))</f>
        <v/>
      </c>
      <c r="X152" s="7">
        <f>IF($AH152="","",IF(INDEX('Per Invoice'!X$2:X$401,$AH152)="","",INDEX('Per Invoice'!X$2:X$401,$AH152)))</f>
        <v/>
      </c>
      <c r="Y152">
        <f>IF($AH152="","",IF(INDEX('Per Invoice'!Y$2:Y$401,$AH152)="","",INDEX('Per Invoice'!Y$2:Y$401,$AH152)))</f>
        <v/>
      </c>
      <c r="Z152" s="7">
        <f>IF($AH152="","",IF(INDEX('Per Invoice'!Z$2:Z$401,$AH152)="","",INDEX('Per Invoice'!Z$2:Z$401,$AH152)))</f>
        <v/>
      </c>
      <c r="AA152" s="7">
        <f>IF($AH152="","",IF(INDEX('Per Invoice'!AA$2:AA$401,$AH152)="","",INDEX('Per Invoice'!AA$2:AA$401,$AH152)))</f>
        <v/>
      </c>
      <c r="AB152" s="7">
        <f>IF($AH152="","",IF(INDEX('Per Invoice'!AB$2:AB$401,$AH152)="","",INDEX('Per Invoice'!AB$2:AB$401,$AH152)))</f>
        <v/>
      </c>
      <c r="AC152" s="7">
        <f>IF($AH152="","",IF(INDEX('Per Invoice'!AC$2:AC$401,$AH152)="","",INDEX('Per Invoice'!AC$2:AC$401,$AH152)))</f>
        <v/>
      </c>
      <c r="AD152" s="7">
        <f>IF($AH152="","",IF(INDEX('Per Invoice'!AD$2:AD$401,$AH152)="","",INDEX('Per Invoice'!AD$2:AD$401,$AH152)))</f>
        <v/>
      </c>
      <c r="AE152" s="7">
        <f>IF($AH152="","",IF(INDEX('Per Invoice'!AE$2:AE$401,$AH152)="","",INDEX('Per Invoice'!AE$2:AE$401,$AH152)))</f>
        <v/>
      </c>
      <c r="AF152">
        <f>IF($AH152="","",IF(INDEX('Per Invoice'!AF$2:AF$401,$AH152)="","",INDEX('Per Invoice'!AF$2:AF$401,$AH152)))</f>
        <v/>
      </c>
      <c r="AG152" s="7">
        <f>IF($AH152="","",IF(INDEX('Per Invoice'!AG$2:AG$401,$AH152)="","",INDEX('Per Invoice'!AG$2:AG$401,$AH152)))</f>
        <v/>
      </c>
      <c r="AH152" s="16">
        <f>IFERROR(MATCH(Settings!$C$26&amp;"|"&amp;ROWS($AH$2:$AH152),'Per Invoice'!$AI$2:$AI$401,0),"")</f>
        <v/>
      </c>
    </row>
    <row r="153">
      <c r="A153">
        <f>IF($AH153="","",IF(INDEX('Per Invoice'!A$2:A$401,$AH153)="","",INDEX('Per Invoice'!A$2:A$401,$AH153)))</f>
        <v/>
      </c>
      <c r="B153">
        <f>IF($AH153="","",IF(INDEX('Per Invoice'!B$2:B$401,$AH153)="","",INDEX('Per Invoice'!B$2:B$401,$AH153)))</f>
        <v/>
      </c>
      <c r="C153">
        <f>IF($AH153="","",IF(INDEX('Per Invoice'!C$2:C$401,$AH153)="","",INDEX('Per Invoice'!C$2:C$401,$AH153)))</f>
        <v/>
      </c>
      <c r="D153">
        <f>IF($AH153="","",IF(INDEX('Per Invoice'!D$2:D$401,$AH153)="","",INDEX('Per Invoice'!D$2:D$401,$AH153)))</f>
        <v/>
      </c>
      <c r="E153">
        <f>IF($AH153="","",IF(INDEX('Per Invoice'!E$2:E$401,$AH153)="","",INDEX('Per Invoice'!E$2:E$401,$AH153)))</f>
        <v/>
      </c>
      <c r="F153">
        <f>IF($AH153="","",IF(INDEX('Per Invoice'!F$2:F$401,$AH153)="","",INDEX('Per Invoice'!F$2:F$401,$AH153)))</f>
        <v/>
      </c>
      <c r="G153">
        <f>IF($AH153="","",IF(INDEX('Per Invoice'!G$2:G$401,$AH153)="","",INDEX('Per Invoice'!G$2:G$401,$AH153)))</f>
        <v/>
      </c>
      <c r="H153">
        <f>IF($AH153="","",IF(INDEX('Per Invoice'!H$2:H$401,$AH153)="","",INDEX('Per Invoice'!H$2:H$401,$AH153)))</f>
        <v/>
      </c>
      <c r="I153" s="14">
        <f>IF($AH153="","",IF(INDEX('Per Invoice'!I$2:I$401,$AH153)="","",INDEX('Per Invoice'!I$2:I$401,$AH153)))</f>
        <v/>
      </c>
      <c r="J153">
        <f>IF($AH153="","",IF(INDEX('Per Invoice'!J$2:J$401,$AH153)="","",INDEX('Per Invoice'!J$2:J$401,$AH153)))</f>
        <v/>
      </c>
      <c r="K153">
        <f>IF($AH153="","",IF(INDEX('Per Invoice'!K$2:K$401,$AH153)="","",INDEX('Per Invoice'!K$2:K$401,$AH153)))</f>
        <v/>
      </c>
      <c r="L153">
        <f>IF($AH153="","",IF(INDEX('Per Invoice'!L$2:L$401,$AH153)="","",INDEX('Per Invoice'!L$2:L$401,$AH153)))</f>
        <v/>
      </c>
      <c r="M153">
        <f>IF($AH153="","",IF(INDEX('Per Invoice'!M$2:M$401,$AH153)="","",INDEX('Per Invoice'!M$2:M$401,$AH153)))</f>
        <v/>
      </c>
      <c r="N153">
        <f>IF($AH153="","",IF(INDEX('Per Invoice'!N$2:N$401,$AH153)="","",INDEX('Per Invoice'!N$2:N$401,$AH153)))</f>
        <v/>
      </c>
      <c r="O153">
        <f>IF($AH153="","",IF(INDEX('Per Invoice'!O$2:O$401,$AH153)="","",INDEX('Per Invoice'!O$2:O$401,$AH153)))</f>
        <v/>
      </c>
      <c r="P153" s="7">
        <f>IF($AH153="","",IF(INDEX('Per Invoice'!P$2:P$401,$AH153)="","",INDEX('Per Invoice'!P$2:P$401,$AH153)))</f>
        <v/>
      </c>
      <c r="Q153">
        <f>IF($AH153="","",IF(INDEX('Per Invoice'!Q$2:Q$401,$AH153)="","",INDEX('Per Invoice'!Q$2:Q$401,$AH153)))</f>
        <v/>
      </c>
      <c r="R153">
        <f>IF($AH153="","",IF(INDEX('Per Invoice'!R$2:R$401,$AH153)="","",INDEX('Per Invoice'!R$2:R$401,$AH153)))</f>
        <v/>
      </c>
      <c r="S153">
        <f>IF($AH153="","",IF(INDEX('Per Invoice'!S$2:S$401,$AH153)="","",INDEX('Per Invoice'!S$2:S$401,$AH153)))</f>
        <v/>
      </c>
      <c r="T153" s="7">
        <f>IF($AH153="","",IF(INDEX('Per Invoice'!T$2:T$401,$AH153)="","",INDEX('Per Invoice'!T$2:T$401,$AH153)))</f>
        <v/>
      </c>
      <c r="U153" s="7">
        <f>IF($AH153="","",IF(INDEX('Per Invoice'!U$2:U$401,$AH153)="","",INDEX('Per Invoice'!U$2:U$401,$AH153)))</f>
        <v/>
      </c>
      <c r="V153">
        <f>IF($AH153="","",IF(INDEX('Per Invoice'!V$2:V$401,$AH153)="","",INDEX('Per Invoice'!V$2:V$401,$AH153)))</f>
        <v/>
      </c>
      <c r="W153" s="7">
        <f>IF($AH153="","",IF(INDEX('Per Invoice'!W$2:W$401,$AH153)="","",INDEX('Per Invoice'!W$2:W$401,$AH153)))</f>
        <v/>
      </c>
      <c r="X153" s="7">
        <f>IF($AH153="","",IF(INDEX('Per Invoice'!X$2:X$401,$AH153)="","",INDEX('Per Invoice'!X$2:X$401,$AH153)))</f>
        <v/>
      </c>
      <c r="Y153">
        <f>IF($AH153="","",IF(INDEX('Per Invoice'!Y$2:Y$401,$AH153)="","",INDEX('Per Invoice'!Y$2:Y$401,$AH153)))</f>
        <v/>
      </c>
      <c r="Z153" s="7">
        <f>IF($AH153="","",IF(INDEX('Per Invoice'!Z$2:Z$401,$AH153)="","",INDEX('Per Invoice'!Z$2:Z$401,$AH153)))</f>
        <v/>
      </c>
      <c r="AA153" s="7">
        <f>IF($AH153="","",IF(INDEX('Per Invoice'!AA$2:AA$401,$AH153)="","",INDEX('Per Invoice'!AA$2:AA$401,$AH153)))</f>
        <v/>
      </c>
      <c r="AB153" s="7">
        <f>IF($AH153="","",IF(INDEX('Per Invoice'!AB$2:AB$401,$AH153)="","",INDEX('Per Invoice'!AB$2:AB$401,$AH153)))</f>
        <v/>
      </c>
      <c r="AC153" s="7">
        <f>IF($AH153="","",IF(INDEX('Per Invoice'!AC$2:AC$401,$AH153)="","",INDEX('Per Invoice'!AC$2:AC$401,$AH153)))</f>
        <v/>
      </c>
      <c r="AD153" s="7">
        <f>IF($AH153="","",IF(INDEX('Per Invoice'!AD$2:AD$401,$AH153)="","",INDEX('Per Invoice'!AD$2:AD$401,$AH153)))</f>
        <v/>
      </c>
      <c r="AE153" s="7">
        <f>IF($AH153="","",IF(INDEX('Per Invoice'!AE$2:AE$401,$AH153)="","",INDEX('Per Invoice'!AE$2:AE$401,$AH153)))</f>
        <v/>
      </c>
      <c r="AF153">
        <f>IF($AH153="","",IF(INDEX('Per Invoice'!AF$2:AF$401,$AH153)="","",INDEX('Per Invoice'!AF$2:AF$401,$AH153)))</f>
        <v/>
      </c>
      <c r="AG153" s="7">
        <f>IF($AH153="","",IF(INDEX('Per Invoice'!AG$2:AG$401,$AH153)="","",INDEX('Per Invoice'!AG$2:AG$401,$AH153)))</f>
        <v/>
      </c>
      <c r="AH153" s="16">
        <f>IFERROR(MATCH(Settings!$C$26&amp;"|"&amp;ROWS($AH$2:$AH153),'Per Invoice'!$AI$2:$AI$401,0),"")</f>
        <v/>
      </c>
    </row>
    <row r="154">
      <c r="A154">
        <f>IF($AH154="","",IF(INDEX('Per Invoice'!A$2:A$401,$AH154)="","",INDEX('Per Invoice'!A$2:A$401,$AH154)))</f>
        <v/>
      </c>
      <c r="B154">
        <f>IF($AH154="","",IF(INDEX('Per Invoice'!B$2:B$401,$AH154)="","",INDEX('Per Invoice'!B$2:B$401,$AH154)))</f>
        <v/>
      </c>
      <c r="C154">
        <f>IF($AH154="","",IF(INDEX('Per Invoice'!C$2:C$401,$AH154)="","",INDEX('Per Invoice'!C$2:C$401,$AH154)))</f>
        <v/>
      </c>
      <c r="D154">
        <f>IF($AH154="","",IF(INDEX('Per Invoice'!D$2:D$401,$AH154)="","",INDEX('Per Invoice'!D$2:D$401,$AH154)))</f>
        <v/>
      </c>
      <c r="E154">
        <f>IF($AH154="","",IF(INDEX('Per Invoice'!E$2:E$401,$AH154)="","",INDEX('Per Invoice'!E$2:E$401,$AH154)))</f>
        <v/>
      </c>
      <c r="F154">
        <f>IF($AH154="","",IF(INDEX('Per Invoice'!F$2:F$401,$AH154)="","",INDEX('Per Invoice'!F$2:F$401,$AH154)))</f>
        <v/>
      </c>
      <c r="G154">
        <f>IF($AH154="","",IF(INDEX('Per Invoice'!G$2:G$401,$AH154)="","",INDEX('Per Invoice'!G$2:G$401,$AH154)))</f>
        <v/>
      </c>
      <c r="H154">
        <f>IF($AH154="","",IF(INDEX('Per Invoice'!H$2:H$401,$AH154)="","",INDEX('Per Invoice'!H$2:H$401,$AH154)))</f>
        <v/>
      </c>
      <c r="I154" s="14">
        <f>IF($AH154="","",IF(INDEX('Per Invoice'!I$2:I$401,$AH154)="","",INDEX('Per Invoice'!I$2:I$401,$AH154)))</f>
        <v/>
      </c>
      <c r="J154">
        <f>IF($AH154="","",IF(INDEX('Per Invoice'!J$2:J$401,$AH154)="","",INDEX('Per Invoice'!J$2:J$401,$AH154)))</f>
        <v/>
      </c>
      <c r="K154">
        <f>IF($AH154="","",IF(INDEX('Per Invoice'!K$2:K$401,$AH154)="","",INDEX('Per Invoice'!K$2:K$401,$AH154)))</f>
        <v/>
      </c>
      <c r="L154">
        <f>IF($AH154="","",IF(INDEX('Per Invoice'!L$2:L$401,$AH154)="","",INDEX('Per Invoice'!L$2:L$401,$AH154)))</f>
        <v/>
      </c>
      <c r="M154">
        <f>IF($AH154="","",IF(INDEX('Per Invoice'!M$2:M$401,$AH154)="","",INDEX('Per Invoice'!M$2:M$401,$AH154)))</f>
        <v/>
      </c>
      <c r="N154">
        <f>IF($AH154="","",IF(INDEX('Per Invoice'!N$2:N$401,$AH154)="","",INDEX('Per Invoice'!N$2:N$401,$AH154)))</f>
        <v/>
      </c>
      <c r="O154">
        <f>IF($AH154="","",IF(INDEX('Per Invoice'!O$2:O$401,$AH154)="","",INDEX('Per Invoice'!O$2:O$401,$AH154)))</f>
        <v/>
      </c>
      <c r="P154" s="7">
        <f>IF($AH154="","",IF(INDEX('Per Invoice'!P$2:P$401,$AH154)="","",INDEX('Per Invoice'!P$2:P$401,$AH154)))</f>
        <v/>
      </c>
      <c r="Q154">
        <f>IF($AH154="","",IF(INDEX('Per Invoice'!Q$2:Q$401,$AH154)="","",INDEX('Per Invoice'!Q$2:Q$401,$AH154)))</f>
        <v/>
      </c>
      <c r="R154">
        <f>IF($AH154="","",IF(INDEX('Per Invoice'!R$2:R$401,$AH154)="","",INDEX('Per Invoice'!R$2:R$401,$AH154)))</f>
        <v/>
      </c>
      <c r="S154">
        <f>IF($AH154="","",IF(INDEX('Per Invoice'!S$2:S$401,$AH154)="","",INDEX('Per Invoice'!S$2:S$401,$AH154)))</f>
        <v/>
      </c>
      <c r="T154" s="7">
        <f>IF($AH154="","",IF(INDEX('Per Invoice'!T$2:T$401,$AH154)="","",INDEX('Per Invoice'!T$2:T$401,$AH154)))</f>
        <v/>
      </c>
      <c r="U154" s="7">
        <f>IF($AH154="","",IF(INDEX('Per Invoice'!U$2:U$401,$AH154)="","",INDEX('Per Invoice'!U$2:U$401,$AH154)))</f>
        <v/>
      </c>
      <c r="V154">
        <f>IF($AH154="","",IF(INDEX('Per Invoice'!V$2:V$401,$AH154)="","",INDEX('Per Invoice'!V$2:V$401,$AH154)))</f>
        <v/>
      </c>
      <c r="W154" s="7">
        <f>IF($AH154="","",IF(INDEX('Per Invoice'!W$2:W$401,$AH154)="","",INDEX('Per Invoice'!W$2:W$401,$AH154)))</f>
        <v/>
      </c>
      <c r="X154" s="7">
        <f>IF($AH154="","",IF(INDEX('Per Invoice'!X$2:X$401,$AH154)="","",INDEX('Per Invoice'!X$2:X$401,$AH154)))</f>
        <v/>
      </c>
      <c r="Y154">
        <f>IF($AH154="","",IF(INDEX('Per Invoice'!Y$2:Y$401,$AH154)="","",INDEX('Per Invoice'!Y$2:Y$401,$AH154)))</f>
        <v/>
      </c>
      <c r="Z154" s="7">
        <f>IF($AH154="","",IF(INDEX('Per Invoice'!Z$2:Z$401,$AH154)="","",INDEX('Per Invoice'!Z$2:Z$401,$AH154)))</f>
        <v/>
      </c>
      <c r="AA154" s="7">
        <f>IF($AH154="","",IF(INDEX('Per Invoice'!AA$2:AA$401,$AH154)="","",INDEX('Per Invoice'!AA$2:AA$401,$AH154)))</f>
        <v/>
      </c>
      <c r="AB154" s="7">
        <f>IF($AH154="","",IF(INDEX('Per Invoice'!AB$2:AB$401,$AH154)="","",INDEX('Per Invoice'!AB$2:AB$401,$AH154)))</f>
        <v/>
      </c>
      <c r="AC154" s="7">
        <f>IF($AH154="","",IF(INDEX('Per Invoice'!AC$2:AC$401,$AH154)="","",INDEX('Per Invoice'!AC$2:AC$401,$AH154)))</f>
        <v/>
      </c>
      <c r="AD154" s="7">
        <f>IF($AH154="","",IF(INDEX('Per Invoice'!AD$2:AD$401,$AH154)="","",INDEX('Per Invoice'!AD$2:AD$401,$AH154)))</f>
        <v/>
      </c>
      <c r="AE154" s="7">
        <f>IF($AH154="","",IF(INDEX('Per Invoice'!AE$2:AE$401,$AH154)="","",INDEX('Per Invoice'!AE$2:AE$401,$AH154)))</f>
        <v/>
      </c>
      <c r="AF154">
        <f>IF($AH154="","",IF(INDEX('Per Invoice'!AF$2:AF$401,$AH154)="","",INDEX('Per Invoice'!AF$2:AF$401,$AH154)))</f>
        <v/>
      </c>
      <c r="AG154" s="7">
        <f>IF($AH154="","",IF(INDEX('Per Invoice'!AG$2:AG$401,$AH154)="","",INDEX('Per Invoice'!AG$2:AG$401,$AH154)))</f>
        <v/>
      </c>
      <c r="AH154" s="16">
        <f>IFERROR(MATCH(Settings!$C$26&amp;"|"&amp;ROWS($AH$2:$AH154),'Per Invoice'!$AI$2:$AI$401,0),"")</f>
        <v/>
      </c>
    </row>
    <row r="155">
      <c r="A155">
        <f>IF($AH155="","",IF(INDEX('Per Invoice'!A$2:A$401,$AH155)="","",INDEX('Per Invoice'!A$2:A$401,$AH155)))</f>
        <v/>
      </c>
      <c r="B155">
        <f>IF($AH155="","",IF(INDEX('Per Invoice'!B$2:B$401,$AH155)="","",INDEX('Per Invoice'!B$2:B$401,$AH155)))</f>
        <v/>
      </c>
      <c r="C155">
        <f>IF($AH155="","",IF(INDEX('Per Invoice'!C$2:C$401,$AH155)="","",INDEX('Per Invoice'!C$2:C$401,$AH155)))</f>
        <v/>
      </c>
      <c r="D155">
        <f>IF($AH155="","",IF(INDEX('Per Invoice'!D$2:D$401,$AH155)="","",INDEX('Per Invoice'!D$2:D$401,$AH155)))</f>
        <v/>
      </c>
      <c r="E155">
        <f>IF($AH155="","",IF(INDEX('Per Invoice'!E$2:E$401,$AH155)="","",INDEX('Per Invoice'!E$2:E$401,$AH155)))</f>
        <v/>
      </c>
      <c r="F155">
        <f>IF($AH155="","",IF(INDEX('Per Invoice'!F$2:F$401,$AH155)="","",INDEX('Per Invoice'!F$2:F$401,$AH155)))</f>
        <v/>
      </c>
      <c r="G155">
        <f>IF($AH155="","",IF(INDEX('Per Invoice'!G$2:G$401,$AH155)="","",INDEX('Per Invoice'!G$2:G$401,$AH155)))</f>
        <v/>
      </c>
      <c r="H155">
        <f>IF($AH155="","",IF(INDEX('Per Invoice'!H$2:H$401,$AH155)="","",INDEX('Per Invoice'!H$2:H$401,$AH155)))</f>
        <v/>
      </c>
      <c r="I155" s="14">
        <f>IF($AH155="","",IF(INDEX('Per Invoice'!I$2:I$401,$AH155)="","",INDEX('Per Invoice'!I$2:I$401,$AH155)))</f>
        <v/>
      </c>
      <c r="J155">
        <f>IF($AH155="","",IF(INDEX('Per Invoice'!J$2:J$401,$AH155)="","",INDEX('Per Invoice'!J$2:J$401,$AH155)))</f>
        <v/>
      </c>
      <c r="K155">
        <f>IF($AH155="","",IF(INDEX('Per Invoice'!K$2:K$401,$AH155)="","",INDEX('Per Invoice'!K$2:K$401,$AH155)))</f>
        <v/>
      </c>
      <c r="L155">
        <f>IF($AH155="","",IF(INDEX('Per Invoice'!L$2:L$401,$AH155)="","",INDEX('Per Invoice'!L$2:L$401,$AH155)))</f>
        <v/>
      </c>
      <c r="M155">
        <f>IF($AH155="","",IF(INDEX('Per Invoice'!M$2:M$401,$AH155)="","",INDEX('Per Invoice'!M$2:M$401,$AH155)))</f>
        <v/>
      </c>
      <c r="N155">
        <f>IF($AH155="","",IF(INDEX('Per Invoice'!N$2:N$401,$AH155)="","",INDEX('Per Invoice'!N$2:N$401,$AH155)))</f>
        <v/>
      </c>
      <c r="O155">
        <f>IF($AH155="","",IF(INDEX('Per Invoice'!O$2:O$401,$AH155)="","",INDEX('Per Invoice'!O$2:O$401,$AH155)))</f>
        <v/>
      </c>
      <c r="P155" s="7">
        <f>IF($AH155="","",IF(INDEX('Per Invoice'!P$2:P$401,$AH155)="","",INDEX('Per Invoice'!P$2:P$401,$AH155)))</f>
        <v/>
      </c>
      <c r="Q155">
        <f>IF($AH155="","",IF(INDEX('Per Invoice'!Q$2:Q$401,$AH155)="","",INDEX('Per Invoice'!Q$2:Q$401,$AH155)))</f>
        <v/>
      </c>
      <c r="R155">
        <f>IF($AH155="","",IF(INDEX('Per Invoice'!R$2:R$401,$AH155)="","",INDEX('Per Invoice'!R$2:R$401,$AH155)))</f>
        <v/>
      </c>
      <c r="S155">
        <f>IF($AH155="","",IF(INDEX('Per Invoice'!S$2:S$401,$AH155)="","",INDEX('Per Invoice'!S$2:S$401,$AH155)))</f>
        <v/>
      </c>
      <c r="T155" s="7">
        <f>IF($AH155="","",IF(INDEX('Per Invoice'!T$2:T$401,$AH155)="","",INDEX('Per Invoice'!T$2:T$401,$AH155)))</f>
        <v/>
      </c>
      <c r="U155" s="7">
        <f>IF($AH155="","",IF(INDEX('Per Invoice'!U$2:U$401,$AH155)="","",INDEX('Per Invoice'!U$2:U$401,$AH155)))</f>
        <v/>
      </c>
      <c r="V155">
        <f>IF($AH155="","",IF(INDEX('Per Invoice'!V$2:V$401,$AH155)="","",INDEX('Per Invoice'!V$2:V$401,$AH155)))</f>
        <v/>
      </c>
      <c r="W155" s="7">
        <f>IF($AH155="","",IF(INDEX('Per Invoice'!W$2:W$401,$AH155)="","",INDEX('Per Invoice'!W$2:W$401,$AH155)))</f>
        <v/>
      </c>
      <c r="X155" s="7">
        <f>IF($AH155="","",IF(INDEX('Per Invoice'!X$2:X$401,$AH155)="","",INDEX('Per Invoice'!X$2:X$401,$AH155)))</f>
        <v/>
      </c>
      <c r="Y155">
        <f>IF($AH155="","",IF(INDEX('Per Invoice'!Y$2:Y$401,$AH155)="","",INDEX('Per Invoice'!Y$2:Y$401,$AH155)))</f>
        <v/>
      </c>
      <c r="Z155" s="7">
        <f>IF($AH155="","",IF(INDEX('Per Invoice'!Z$2:Z$401,$AH155)="","",INDEX('Per Invoice'!Z$2:Z$401,$AH155)))</f>
        <v/>
      </c>
      <c r="AA155" s="7">
        <f>IF($AH155="","",IF(INDEX('Per Invoice'!AA$2:AA$401,$AH155)="","",INDEX('Per Invoice'!AA$2:AA$401,$AH155)))</f>
        <v/>
      </c>
      <c r="AB155" s="7">
        <f>IF($AH155="","",IF(INDEX('Per Invoice'!AB$2:AB$401,$AH155)="","",INDEX('Per Invoice'!AB$2:AB$401,$AH155)))</f>
        <v/>
      </c>
      <c r="AC155" s="7">
        <f>IF($AH155="","",IF(INDEX('Per Invoice'!AC$2:AC$401,$AH155)="","",INDEX('Per Invoice'!AC$2:AC$401,$AH155)))</f>
        <v/>
      </c>
      <c r="AD155" s="7">
        <f>IF($AH155="","",IF(INDEX('Per Invoice'!AD$2:AD$401,$AH155)="","",INDEX('Per Invoice'!AD$2:AD$401,$AH155)))</f>
        <v/>
      </c>
      <c r="AE155" s="7">
        <f>IF($AH155="","",IF(INDEX('Per Invoice'!AE$2:AE$401,$AH155)="","",INDEX('Per Invoice'!AE$2:AE$401,$AH155)))</f>
        <v/>
      </c>
      <c r="AF155">
        <f>IF($AH155="","",IF(INDEX('Per Invoice'!AF$2:AF$401,$AH155)="","",INDEX('Per Invoice'!AF$2:AF$401,$AH155)))</f>
        <v/>
      </c>
      <c r="AG155" s="7">
        <f>IF($AH155="","",IF(INDEX('Per Invoice'!AG$2:AG$401,$AH155)="","",INDEX('Per Invoice'!AG$2:AG$401,$AH155)))</f>
        <v/>
      </c>
      <c r="AH155" s="16">
        <f>IFERROR(MATCH(Settings!$C$26&amp;"|"&amp;ROWS($AH$2:$AH155),'Per Invoice'!$AI$2:$AI$401,0),"")</f>
        <v/>
      </c>
    </row>
    <row r="156">
      <c r="A156">
        <f>IF($AH156="","",IF(INDEX('Per Invoice'!A$2:A$401,$AH156)="","",INDEX('Per Invoice'!A$2:A$401,$AH156)))</f>
        <v/>
      </c>
      <c r="B156">
        <f>IF($AH156="","",IF(INDEX('Per Invoice'!B$2:B$401,$AH156)="","",INDEX('Per Invoice'!B$2:B$401,$AH156)))</f>
        <v/>
      </c>
      <c r="C156">
        <f>IF($AH156="","",IF(INDEX('Per Invoice'!C$2:C$401,$AH156)="","",INDEX('Per Invoice'!C$2:C$401,$AH156)))</f>
        <v/>
      </c>
      <c r="D156">
        <f>IF($AH156="","",IF(INDEX('Per Invoice'!D$2:D$401,$AH156)="","",INDEX('Per Invoice'!D$2:D$401,$AH156)))</f>
        <v/>
      </c>
      <c r="E156">
        <f>IF($AH156="","",IF(INDEX('Per Invoice'!E$2:E$401,$AH156)="","",INDEX('Per Invoice'!E$2:E$401,$AH156)))</f>
        <v/>
      </c>
      <c r="F156">
        <f>IF($AH156="","",IF(INDEX('Per Invoice'!F$2:F$401,$AH156)="","",INDEX('Per Invoice'!F$2:F$401,$AH156)))</f>
        <v/>
      </c>
      <c r="G156">
        <f>IF($AH156="","",IF(INDEX('Per Invoice'!G$2:G$401,$AH156)="","",INDEX('Per Invoice'!G$2:G$401,$AH156)))</f>
        <v/>
      </c>
      <c r="H156">
        <f>IF($AH156="","",IF(INDEX('Per Invoice'!H$2:H$401,$AH156)="","",INDEX('Per Invoice'!H$2:H$401,$AH156)))</f>
        <v/>
      </c>
      <c r="I156" s="14">
        <f>IF($AH156="","",IF(INDEX('Per Invoice'!I$2:I$401,$AH156)="","",INDEX('Per Invoice'!I$2:I$401,$AH156)))</f>
        <v/>
      </c>
      <c r="J156">
        <f>IF($AH156="","",IF(INDEX('Per Invoice'!J$2:J$401,$AH156)="","",INDEX('Per Invoice'!J$2:J$401,$AH156)))</f>
        <v/>
      </c>
      <c r="K156">
        <f>IF($AH156="","",IF(INDEX('Per Invoice'!K$2:K$401,$AH156)="","",INDEX('Per Invoice'!K$2:K$401,$AH156)))</f>
        <v/>
      </c>
      <c r="L156">
        <f>IF($AH156="","",IF(INDEX('Per Invoice'!L$2:L$401,$AH156)="","",INDEX('Per Invoice'!L$2:L$401,$AH156)))</f>
        <v/>
      </c>
      <c r="M156">
        <f>IF($AH156="","",IF(INDEX('Per Invoice'!M$2:M$401,$AH156)="","",INDEX('Per Invoice'!M$2:M$401,$AH156)))</f>
        <v/>
      </c>
      <c r="N156">
        <f>IF($AH156="","",IF(INDEX('Per Invoice'!N$2:N$401,$AH156)="","",INDEX('Per Invoice'!N$2:N$401,$AH156)))</f>
        <v/>
      </c>
      <c r="O156">
        <f>IF($AH156="","",IF(INDEX('Per Invoice'!O$2:O$401,$AH156)="","",INDEX('Per Invoice'!O$2:O$401,$AH156)))</f>
        <v/>
      </c>
      <c r="P156" s="7">
        <f>IF($AH156="","",IF(INDEX('Per Invoice'!P$2:P$401,$AH156)="","",INDEX('Per Invoice'!P$2:P$401,$AH156)))</f>
        <v/>
      </c>
      <c r="Q156">
        <f>IF($AH156="","",IF(INDEX('Per Invoice'!Q$2:Q$401,$AH156)="","",INDEX('Per Invoice'!Q$2:Q$401,$AH156)))</f>
        <v/>
      </c>
      <c r="R156">
        <f>IF($AH156="","",IF(INDEX('Per Invoice'!R$2:R$401,$AH156)="","",INDEX('Per Invoice'!R$2:R$401,$AH156)))</f>
        <v/>
      </c>
      <c r="S156">
        <f>IF($AH156="","",IF(INDEX('Per Invoice'!S$2:S$401,$AH156)="","",INDEX('Per Invoice'!S$2:S$401,$AH156)))</f>
        <v/>
      </c>
      <c r="T156" s="7">
        <f>IF($AH156="","",IF(INDEX('Per Invoice'!T$2:T$401,$AH156)="","",INDEX('Per Invoice'!T$2:T$401,$AH156)))</f>
        <v/>
      </c>
      <c r="U156" s="7">
        <f>IF($AH156="","",IF(INDEX('Per Invoice'!U$2:U$401,$AH156)="","",INDEX('Per Invoice'!U$2:U$401,$AH156)))</f>
        <v/>
      </c>
      <c r="V156">
        <f>IF($AH156="","",IF(INDEX('Per Invoice'!V$2:V$401,$AH156)="","",INDEX('Per Invoice'!V$2:V$401,$AH156)))</f>
        <v/>
      </c>
      <c r="W156" s="7">
        <f>IF($AH156="","",IF(INDEX('Per Invoice'!W$2:W$401,$AH156)="","",INDEX('Per Invoice'!W$2:W$401,$AH156)))</f>
        <v/>
      </c>
      <c r="X156" s="7">
        <f>IF($AH156="","",IF(INDEX('Per Invoice'!X$2:X$401,$AH156)="","",INDEX('Per Invoice'!X$2:X$401,$AH156)))</f>
        <v/>
      </c>
      <c r="Y156">
        <f>IF($AH156="","",IF(INDEX('Per Invoice'!Y$2:Y$401,$AH156)="","",INDEX('Per Invoice'!Y$2:Y$401,$AH156)))</f>
        <v/>
      </c>
      <c r="Z156" s="7">
        <f>IF($AH156="","",IF(INDEX('Per Invoice'!Z$2:Z$401,$AH156)="","",INDEX('Per Invoice'!Z$2:Z$401,$AH156)))</f>
        <v/>
      </c>
      <c r="AA156" s="7">
        <f>IF($AH156="","",IF(INDEX('Per Invoice'!AA$2:AA$401,$AH156)="","",INDEX('Per Invoice'!AA$2:AA$401,$AH156)))</f>
        <v/>
      </c>
      <c r="AB156" s="7">
        <f>IF($AH156="","",IF(INDEX('Per Invoice'!AB$2:AB$401,$AH156)="","",INDEX('Per Invoice'!AB$2:AB$401,$AH156)))</f>
        <v/>
      </c>
      <c r="AC156" s="7">
        <f>IF($AH156="","",IF(INDEX('Per Invoice'!AC$2:AC$401,$AH156)="","",INDEX('Per Invoice'!AC$2:AC$401,$AH156)))</f>
        <v/>
      </c>
      <c r="AD156" s="7">
        <f>IF($AH156="","",IF(INDEX('Per Invoice'!AD$2:AD$401,$AH156)="","",INDEX('Per Invoice'!AD$2:AD$401,$AH156)))</f>
        <v/>
      </c>
      <c r="AE156" s="7">
        <f>IF($AH156="","",IF(INDEX('Per Invoice'!AE$2:AE$401,$AH156)="","",INDEX('Per Invoice'!AE$2:AE$401,$AH156)))</f>
        <v/>
      </c>
      <c r="AF156">
        <f>IF($AH156="","",IF(INDEX('Per Invoice'!AF$2:AF$401,$AH156)="","",INDEX('Per Invoice'!AF$2:AF$401,$AH156)))</f>
        <v/>
      </c>
      <c r="AG156" s="7">
        <f>IF($AH156="","",IF(INDEX('Per Invoice'!AG$2:AG$401,$AH156)="","",INDEX('Per Invoice'!AG$2:AG$401,$AH156)))</f>
        <v/>
      </c>
      <c r="AH156" s="16">
        <f>IFERROR(MATCH(Settings!$C$26&amp;"|"&amp;ROWS($AH$2:$AH156),'Per Invoice'!$AI$2:$AI$401,0),"")</f>
        <v/>
      </c>
    </row>
    <row r="157">
      <c r="A157">
        <f>IF($AH157="","",IF(INDEX('Per Invoice'!A$2:A$401,$AH157)="","",INDEX('Per Invoice'!A$2:A$401,$AH157)))</f>
        <v/>
      </c>
      <c r="B157">
        <f>IF($AH157="","",IF(INDEX('Per Invoice'!B$2:B$401,$AH157)="","",INDEX('Per Invoice'!B$2:B$401,$AH157)))</f>
        <v/>
      </c>
      <c r="C157">
        <f>IF($AH157="","",IF(INDEX('Per Invoice'!C$2:C$401,$AH157)="","",INDEX('Per Invoice'!C$2:C$401,$AH157)))</f>
        <v/>
      </c>
      <c r="D157">
        <f>IF($AH157="","",IF(INDEX('Per Invoice'!D$2:D$401,$AH157)="","",INDEX('Per Invoice'!D$2:D$401,$AH157)))</f>
        <v/>
      </c>
      <c r="E157">
        <f>IF($AH157="","",IF(INDEX('Per Invoice'!E$2:E$401,$AH157)="","",INDEX('Per Invoice'!E$2:E$401,$AH157)))</f>
        <v/>
      </c>
      <c r="F157">
        <f>IF($AH157="","",IF(INDEX('Per Invoice'!F$2:F$401,$AH157)="","",INDEX('Per Invoice'!F$2:F$401,$AH157)))</f>
        <v/>
      </c>
      <c r="G157">
        <f>IF($AH157="","",IF(INDEX('Per Invoice'!G$2:G$401,$AH157)="","",INDEX('Per Invoice'!G$2:G$401,$AH157)))</f>
        <v/>
      </c>
      <c r="H157">
        <f>IF($AH157="","",IF(INDEX('Per Invoice'!H$2:H$401,$AH157)="","",INDEX('Per Invoice'!H$2:H$401,$AH157)))</f>
        <v/>
      </c>
      <c r="I157" s="14">
        <f>IF($AH157="","",IF(INDEX('Per Invoice'!I$2:I$401,$AH157)="","",INDEX('Per Invoice'!I$2:I$401,$AH157)))</f>
        <v/>
      </c>
      <c r="J157">
        <f>IF($AH157="","",IF(INDEX('Per Invoice'!J$2:J$401,$AH157)="","",INDEX('Per Invoice'!J$2:J$401,$AH157)))</f>
        <v/>
      </c>
      <c r="K157">
        <f>IF($AH157="","",IF(INDEX('Per Invoice'!K$2:K$401,$AH157)="","",INDEX('Per Invoice'!K$2:K$401,$AH157)))</f>
        <v/>
      </c>
      <c r="L157">
        <f>IF($AH157="","",IF(INDEX('Per Invoice'!L$2:L$401,$AH157)="","",INDEX('Per Invoice'!L$2:L$401,$AH157)))</f>
        <v/>
      </c>
      <c r="M157">
        <f>IF($AH157="","",IF(INDEX('Per Invoice'!M$2:M$401,$AH157)="","",INDEX('Per Invoice'!M$2:M$401,$AH157)))</f>
        <v/>
      </c>
      <c r="N157">
        <f>IF($AH157="","",IF(INDEX('Per Invoice'!N$2:N$401,$AH157)="","",INDEX('Per Invoice'!N$2:N$401,$AH157)))</f>
        <v/>
      </c>
      <c r="O157">
        <f>IF($AH157="","",IF(INDEX('Per Invoice'!O$2:O$401,$AH157)="","",INDEX('Per Invoice'!O$2:O$401,$AH157)))</f>
        <v/>
      </c>
      <c r="P157" s="7">
        <f>IF($AH157="","",IF(INDEX('Per Invoice'!P$2:P$401,$AH157)="","",INDEX('Per Invoice'!P$2:P$401,$AH157)))</f>
        <v/>
      </c>
      <c r="Q157">
        <f>IF($AH157="","",IF(INDEX('Per Invoice'!Q$2:Q$401,$AH157)="","",INDEX('Per Invoice'!Q$2:Q$401,$AH157)))</f>
        <v/>
      </c>
      <c r="R157">
        <f>IF($AH157="","",IF(INDEX('Per Invoice'!R$2:R$401,$AH157)="","",INDEX('Per Invoice'!R$2:R$401,$AH157)))</f>
        <v/>
      </c>
      <c r="S157">
        <f>IF($AH157="","",IF(INDEX('Per Invoice'!S$2:S$401,$AH157)="","",INDEX('Per Invoice'!S$2:S$401,$AH157)))</f>
        <v/>
      </c>
      <c r="T157" s="7">
        <f>IF($AH157="","",IF(INDEX('Per Invoice'!T$2:T$401,$AH157)="","",INDEX('Per Invoice'!T$2:T$401,$AH157)))</f>
        <v/>
      </c>
      <c r="U157" s="7">
        <f>IF($AH157="","",IF(INDEX('Per Invoice'!U$2:U$401,$AH157)="","",INDEX('Per Invoice'!U$2:U$401,$AH157)))</f>
        <v/>
      </c>
      <c r="V157">
        <f>IF($AH157="","",IF(INDEX('Per Invoice'!V$2:V$401,$AH157)="","",INDEX('Per Invoice'!V$2:V$401,$AH157)))</f>
        <v/>
      </c>
      <c r="W157" s="7">
        <f>IF($AH157="","",IF(INDEX('Per Invoice'!W$2:W$401,$AH157)="","",INDEX('Per Invoice'!W$2:W$401,$AH157)))</f>
        <v/>
      </c>
      <c r="X157" s="7">
        <f>IF($AH157="","",IF(INDEX('Per Invoice'!X$2:X$401,$AH157)="","",INDEX('Per Invoice'!X$2:X$401,$AH157)))</f>
        <v/>
      </c>
      <c r="Y157">
        <f>IF($AH157="","",IF(INDEX('Per Invoice'!Y$2:Y$401,$AH157)="","",INDEX('Per Invoice'!Y$2:Y$401,$AH157)))</f>
        <v/>
      </c>
      <c r="Z157" s="7">
        <f>IF($AH157="","",IF(INDEX('Per Invoice'!Z$2:Z$401,$AH157)="","",INDEX('Per Invoice'!Z$2:Z$401,$AH157)))</f>
        <v/>
      </c>
      <c r="AA157" s="7">
        <f>IF($AH157="","",IF(INDEX('Per Invoice'!AA$2:AA$401,$AH157)="","",INDEX('Per Invoice'!AA$2:AA$401,$AH157)))</f>
        <v/>
      </c>
      <c r="AB157" s="7">
        <f>IF($AH157="","",IF(INDEX('Per Invoice'!AB$2:AB$401,$AH157)="","",INDEX('Per Invoice'!AB$2:AB$401,$AH157)))</f>
        <v/>
      </c>
      <c r="AC157" s="7">
        <f>IF($AH157="","",IF(INDEX('Per Invoice'!AC$2:AC$401,$AH157)="","",INDEX('Per Invoice'!AC$2:AC$401,$AH157)))</f>
        <v/>
      </c>
      <c r="AD157" s="7">
        <f>IF($AH157="","",IF(INDEX('Per Invoice'!AD$2:AD$401,$AH157)="","",INDEX('Per Invoice'!AD$2:AD$401,$AH157)))</f>
        <v/>
      </c>
      <c r="AE157" s="7">
        <f>IF($AH157="","",IF(INDEX('Per Invoice'!AE$2:AE$401,$AH157)="","",INDEX('Per Invoice'!AE$2:AE$401,$AH157)))</f>
        <v/>
      </c>
      <c r="AF157">
        <f>IF($AH157="","",IF(INDEX('Per Invoice'!AF$2:AF$401,$AH157)="","",INDEX('Per Invoice'!AF$2:AF$401,$AH157)))</f>
        <v/>
      </c>
      <c r="AG157" s="7">
        <f>IF($AH157="","",IF(INDEX('Per Invoice'!AG$2:AG$401,$AH157)="","",INDEX('Per Invoice'!AG$2:AG$401,$AH157)))</f>
        <v/>
      </c>
      <c r="AH157" s="16">
        <f>IFERROR(MATCH(Settings!$C$26&amp;"|"&amp;ROWS($AH$2:$AH157),'Per Invoice'!$AI$2:$AI$401,0),"")</f>
        <v/>
      </c>
    </row>
    <row r="158">
      <c r="A158">
        <f>IF($AH158="","",IF(INDEX('Per Invoice'!A$2:A$401,$AH158)="","",INDEX('Per Invoice'!A$2:A$401,$AH158)))</f>
        <v/>
      </c>
      <c r="B158">
        <f>IF($AH158="","",IF(INDEX('Per Invoice'!B$2:B$401,$AH158)="","",INDEX('Per Invoice'!B$2:B$401,$AH158)))</f>
        <v/>
      </c>
      <c r="C158">
        <f>IF($AH158="","",IF(INDEX('Per Invoice'!C$2:C$401,$AH158)="","",INDEX('Per Invoice'!C$2:C$401,$AH158)))</f>
        <v/>
      </c>
      <c r="D158">
        <f>IF($AH158="","",IF(INDEX('Per Invoice'!D$2:D$401,$AH158)="","",INDEX('Per Invoice'!D$2:D$401,$AH158)))</f>
        <v/>
      </c>
      <c r="E158">
        <f>IF($AH158="","",IF(INDEX('Per Invoice'!E$2:E$401,$AH158)="","",INDEX('Per Invoice'!E$2:E$401,$AH158)))</f>
        <v/>
      </c>
      <c r="F158">
        <f>IF($AH158="","",IF(INDEX('Per Invoice'!F$2:F$401,$AH158)="","",INDEX('Per Invoice'!F$2:F$401,$AH158)))</f>
        <v/>
      </c>
      <c r="G158">
        <f>IF($AH158="","",IF(INDEX('Per Invoice'!G$2:G$401,$AH158)="","",INDEX('Per Invoice'!G$2:G$401,$AH158)))</f>
        <v/>
      </c>
      <c r="H158">
        <f>IF($AH158="","",IF(INDEX('Per Invoice'!H$2:H$401,$AH158)="","",INDEX('Per Invoice'!H$2:H$401,$AH158)))</f>
        <v/>
      </c>
      <c r="I158" s="14">
        <f>IF($AH158="","",IF(INDEX('Per Invoice'!I$2:I$401,$AH158)="","",INDEX('Per Invoice'!I$2:I$401,$AH158)))</f>
        <v/>
      </c>
      <c r="J158">
        <f>IF($AH158="","",IF(INDEX('Per Invoice'!J$2:J$401,$AH158)="","",INDEX('Per Invoice'!J$2:J$401,$AH158)))</f>
        <v/>
      </c>
      <c r="K158">
        <f>IF($AH158="","",IF(INDEX('Per Invoice'!K$2:K$401,$AH158)="","",INDEX('Per Invoice'!K$2:K$401,$AH158)))</f>
        <v/>
      </c>
      <c r="L158">
        <f>IF($AH158="","",IF(INDEX('Per Invoice'!L$2:L$401,$AH158)="","",INDEX('Per Invoice'!L$2:L$401,$AH158)))</f>
        <v/>
      </c>
      <c r="M158">
        <f>IF($AH158="","",IF(INDEX('Per Invoice'!M$2:M$401,$AH158)="","",INDEX('Per Invoice'!M$2:M$401,$AH158)))</f>
        <v/>
      </c>
      <c r="N158">
        <f>IF($AH158="","",IF(INDEX('Per Invoice'!N$2:N$401,$AH158)="","",INDEX('Per Invoice'!N$2:N$401,$AH158)))</f>
        <v/>
      </c>
      <c r="O158">
        <f>IF($AH158="","",IF(INDEX('Per Invoice'!O$2:O$401,$AH158)="","",INDEX('Per Invoice'!O$2:O$401,$AH158)))</f>
        <v/>
      </c>
      <c r="P158" s="7">
        <f>IF($AH158="","",IF(INDEX('Per Invoice'!P$2:P$401,$AH158)="","",INDEX('Per Invoice'!P$2:P$401,$AH158)))</f>
        <v/>
      </c>
      <c r="Q158">
        <f>IF($AH158="","",IF(INDEX('Per Invoice'!Q$2:Q$401,$AH158)="","",INDEX('Per Invoice'!Q$2:Q$401,$AH158)))</f>
        <v/>
      </c>
      <c r="R158">
        <f>IF($AH158="","",IF(INDEX('Per Invoice'!R$2:R$401,$AH158)="","",INDEX('Per Invoice'!R$2:R$401,$AH158)))</f>
        <v/>
      </c>
      <c r="S158">
        <f>IF($AH158="","",IF(INDEX('Per Invoice'!S$2:S$401,$AH158)="","",INDEX('Per Invoice'!S$2:S$401,$AH158)))</f>
        <v/>
      </c>
      <c r="T158" s="7">
        <f>IF($AH158="","",IF(INDEX('Per Invoice'!T$2:T$401,$AH158)="","",INDEX('Per Invoice'!T$2:T$401,$AH158)))</f>
        <v/>
      </c>
      <c r="U158" s="7">
        <f>IF($AH158="","",IF(INDEX('Per Invoice'!U$2:U$401,$AH158)="","",INDEX('Per Invoice'!U$2:U$401,$AH158)))</f>
        <v/>
      </c>
      <c r="V158">
        <f>IF($AH158="","",IF(INDEX('Per Invoice'!V$2:V$401,$AH158)="","",INDEX('Per Invoice'!V$2:V$401,$AH158)))</f>
        <v/>
      </c>
      <c r="W158" s="7">
        <f>IF($AH158="","",IF(INDEX('Per Invoice'!W$2:W$401,$AH158)="","",INDEX('Per Invoice'!W$2:W$401,$AH158)))</f>
        <v/>
      </c>
      <c r="X158" s="7">
        <f>IF($AH158="","",IF(INDEX('Per Invoice'!X$2:X$401,$AH158)="","",INDEX('Per Invoice'!X$2:X$401,$AH158)))</f>
        <v/>
      </c>
      <c r="Y158">
        <f>IF($AH158="","",IF(INDEX('Per Invoice'!Y$2:Y$401,$AH158)="","",INDEX('Per Invoice'!Y$2:Y$401,$AH158)))</f>
        <v/>
      </c>
      <c r="Z158" s="7">
        <f>IF($AH158="","",IF(INDEX('Per Invoice'!Z$2:Z$401,$AH158)="","",INDEX('Per Invoice'!Z$2:Z$401,$AH158)))</f>
        <v/>
      </c>
      <c r="AA158" s="7">
        <f>IF($AH158="","",IF(INDEX('Per Invoice'!AA$2:AA$401,$AH158)="","",INDEX('Per Invoice'!AA$2:AA$401,$AH158)))</f>
        <v/>
      </c>
      <c r="AB158" s="7">
        <f>IF($AH158="","",IF(INDEX('Per Invoice'!AB$2:AB$401,$AH158)="","",INDEX('Per Invoice'!AB$2:AB$401,$AH158)))</f>
        <v/>
      </c>
      <c r="AC158" s="7">
        <f>IF($AH158="","",IF(INDEX('Per Invoice'!AC$2:AC$401,$AH158)="","",INDEX('Per Invoice'!AC$2:AC$401,$AH158)))</f>
        <v/>
      </c>
      <c r="AD158" s="7">
        <f>IF($AH158="","",IF(INDEX('Per Invoice'!AD$2:AD$401,$AH158)="","",INDEX('Per Invoice'!AD$2:AD$401,$AH158)))</f>
        <v/>
      </c>
      <c r="AE158" s="7">
        <f>IF($AH158="","",IF(INDEX('Per Invoice'!AE$2:AE$401,$AH158)="","",INDEX('Per Invoice'!AE$2:AE$401,$AH158)))</f>
        <v/>
      </c>
      <c r="AF158">
        <f>IF($AH158="","",IF(INDEX('Per Invoice'!AF$2:AF$401,$AH158)="","",INDEX('Per Invoice'!AF$2:AF$401,$AH158)))</f>
        <v/>
      </c>
      <c r="AG158" s="7">
        <f>IF($AH158="","",IF(INDEX('Per Invoice'!AG$2:AG$401,$AH158)="","",INDEX('Per Invoice'!AG$2:AG$401,$AH158)))</f>
        <v/>
      </c>
      <c r="AH158" s="16">
        <f>IFERROR(MATCH(Settings!$C$26&amp;"|"&amp;ROWS($AH$2:$AH158),'Per Invoice'!$AI$2:$AI$401,0),"")</f>
        <v/>
      </c>
    </row>
    <row r="159">
      <c r="A159">
        <f>IF($AH159="","",IF(INDEX('Per Invoice'!A$2:A$401,$AH159)="","",INDEX('Per Invoice'!A$2:A$401,$AH159)))</f>
        <v/>
      </c>
      <c r="B159">
        <f>IF($AH159="","",IF(INDEX('Per Invoice'!B$2:B$401,$AH159)="","",INDEX('Per Invoice'!B$2:B$401,$AH159)))</f>
        <v/>
      </c>
      <c r="C159">
        <f>IF($AH159="","",IF(INDEX('Per Invoice'!C$2:C$401,$AH159)="","",INDEX('Per Invoice'!C$2:C$401,$AH159)))</f>
        <v/>
      </c>
      <c r="D159">
        <f>IF($AH159="","",IF(INDEX('Per Invoice'!D$2:D$401,$AH159)="","",INDEX('Per Invoice'!D$2:D$401,$AH159)))</f>
        <v/>
      </c>
      <c r="E159">
        <f>IF($AH159="","",IF(INDEX('Per Invoice'!E$2:E$401,$AH159)="","",INDEX('Per Invoice'!E$2:E$401,$AH159)))</f>
        <v/>
      </c>
      <c r="F159">
        <f>IF($AH159="","",IF(INDEX('Per Invoice'!F$2:F$401,$AH159)="","",INDEX('Per Invoice'!F$2:F$401,$AH159)))</f>
        <v/>
      </c>
      <c r="G159">
        <f>IF($AH159="","",IF(INDEX('Per Invoice'!G$2:G$401,$AH159)="","",INDEX('Per Invoice'!G$2:G$401,$AH159)))</f>
        <v/>
      </c>
      <c r="H159">
        <f>IF($AH159="","",IF(INDEX('Per Invoice'!H$2:H$401,$AH159)="","",INDEX('Per Invoice'!H$2:H$401,$AH159)))</f>
        <v/>
      </c>
      <c r="I159" s="14">
        <f>IF($AH159="","",IF(INDEX('Per Invoice'!I$2:I$401,$AH159)="","",INDEX('Per Invoice'!I$2:I$401,$AH159)))</f>
        <v/>
      </c>
      <c r="J159">
        <f>IF($AH159="","",IF(INDEX('Per Invoice'!J$2:J$401,$AH159)="","",INDEX('Per Invoice'!J$2:J$401,$AH159)))</f>
        <v/>
      </c>
      <c r="K159">
        <f>IF($AH159="","",IF(INDEX('Per Invoice'!K$2:K$401,$AH159)="","",INDEX('Per Invoice'!K$2:K$401,$AH159)))</f>
        <v/>
      </c>
      <c r="L159">
        <f>IF($AH159="","",IF(INDEX('Per Invoice'!L$2:L$401,$AH159)="","",INDEX('Per Invoice'!L$2:L$401,$AH159)))</f>
        <v/>
      </c>
      <c r="M159">
        <f>IF($AH159="","",IF(INDEX('Per Invoice'!M$2:M$401,$AH159)="","",INDEX('Per Invoice'!M$2:M$401,$AH159)))</f>
        <v/>
      </c>
      <c r="N159">
        <f>IF($AH159="","",IF(INDEX('Per Invoice'!N$2:N$401,$AH159)="","",INDEX('Per Invoice'!N$2:N$401,$AH159)))</f>
        <v/>
      </c>
      <c r="O159">
        <f>IF($AH159="","",IF(INDEX('Per Invoice'!O$2:O$401,$AH159)="","",INDEX('Per Invoice'!O$2:O$401,$AH159)))</f>
        <v/>
      </c>
      <c r="P159" s="7">
        <f>IF($AH159="","",IF(INDEX('Per Invoice'!P$2:P$401,$AH159)="","",INDEX('Per Invoice'!P$2:P$401,$AH159)))</f>
        <v/>
      </c>
      <c r="Q159">
        <f>IF($AH159="","",IF(INDEX('Per Invoice'!Q$2:Q$401,$AH159)="","",INDEX('Per Invoice'!Q$2:Q$401,$AH159)))</f>
        <v/>
      </c>
      <c r="R159">
        <f>IF($AH159="","",IF(INDEX('Per Invoice'!R$2:R$401,$AH159)="","",INDEX('Per Invoice'!R$2:R$401,$AH159)))</f>
        <v/>
      </c>
      <c r="S159">
        <f>IF($AH159="","",IF(INDEX('Per Invoice'!S$2:S$401,$AH159)="","",INDEX('Per Invoice'!S$2:S$401,$AH159)))</f>
        <v/>
      </c>
      <c r="T159" s="7">
        <f>IF($AH159="","",IF(INDEX('Per Invoice'!T$2:T$401,$AH159)="","",INDEX('Per Invoice'!T$2:T$401,$AH159)))</f>
        <v/>
      </c>
      <c r="U159" s="7">
        <f>IF($AH159="","",IF(INDEX('Per Invoice'!U$2:U$401,$AH159)="","",INDEX('Per Invoice'!U$2:U$401,$AH159)))</f>
        <v/>
      </c>
      <c r="V159">
        <f>IF($AH159="","",IF(INDEX('Per Invoice'!V$2:V$401,$AH159)="","",INDEX('Per Invoice'!V$2:V$401,$AH159)))</f>
        <v/>
      </c>
      <c r="W159" s="7">
        <f>IF($AH159="","",IF(INDEX('Per Invoice'!W$2:W$401,$AH159)="","",INDEX('Per Invoice'!W$2:W$401,$AH159)))</f>
        <v/>
      </c>
      <c r="X159" s="7">
        <f>IF($AH159="","",IF(INDEX('Per Invoice'!X$2:X$401,$AH159)="","",INDEX('Per Invoice'!X$2:X$401,$AH159)))</f>
        <v/>
      </c>
      <c r="Y159">
        <f>IF($AH159="","",IF(INDEX('Per Invoice'!Y$2:Y$401,$AH159)="","",INDEX('Per Invoice'!Y$2:Y$401,$AH159)))</f>
        <v/>
      </c>
      <c r="Z159" s="7">
        <f>IF($AH159="","",IF(INDEX('Per Invoice'!Z$2:Z$401,$AH159)="","",INDEX('Per Invoice'!Z$2:Z$401,$AH159)))</f>
        <v/>
      </c>
      <c r="AA159" s="7">
        <f>IF($AH159="","",IF(INDEX('Per Invoice'!AA$2:AA$401,$AH159)="","",INDEX('Per Invoice'!AA$2:AA$401,$AH159)))</f>
        <v/>
      </c>
      <c r="AB159" s="7">
        <f>IF($AH159="","",IF(INDEX('Per Invoice'!AB$2:AB$401,$AH159)="","",INDEX('Per Invoice'!AB$2:AB$401,$AH159)))</f>
        <v/>
      </c>
      <c r="AC159" s="7">
        <f>IF($AH159="","",IF(INDEX('Per Invoice'!AC$2:AC$401,$AH159)="","",INDEX('Per Invoice'!AC$2:AC$401,$AH159)))</f>
        <v/>
      </c>
      <c r="AD159" s="7">
        <f>IF($AH159="","",IF(INDEX('Per Invoice'!AD$2:AD$401,$AH159)="","",INDEX('Per Invoice'!AD$2:AD$401,$AH159)))</f>
        <v/>
      </c>
      <c r="AE159" s="7">
        <f>IF($AH159="","",IF(INDEX('Per Invoice'!AE$2:AE$401,$AH159)="","",INDEX('Per Invoice'!AE$2:AE$401,$AH159)))</f>
        <v/>
      </c>
      <c r="AF159">
        <f>IF($AH159="","",IF(INDEX('Per Invoice'!AF$2:AF$401,$AH159)="","",INDEX('Per Invoice'!AF$2:AF$401,$AH159)))</f>
        <v/>
      </c>
      <c r="AG159" s="7">
        <f>IF($AH159="","",IF(INDEX('Per Invoice'!AG$2:AG$401,$AH159)="","",INDEX('Per Invoice'!AG$2:AG$401,$AH159)))</f>
        <v/>
      </c>
      <c r="AH159" s="16">
        <f>IFERROR(MATCH(Settings!$C$26&amp;"|"&amp;ROWS($AH$2:$AH159),'Per Invoice'!$AI$2:$AI$401,0),"")</f>
        <v/>
      </c>
    </row>
    <row r="160">
      <c r="A160">
        <f>IF($AH160="","",IF(INDEX('Per Invoice'!A$2:A$401,$AH160)="","",INDEX('Per Invoice'!A$2:A$401,$AH160)))</f>
        <v/>
      </c>
      <c r="B160">
        <f>IF($AH160="","",IF(INDEX('Per Invoice'!B$2:B$401,$AH160)="","",INDEX('Per Invoice'!B$2:B$401,$AH160)))</f>
        <v/>
      </c>
      <c r="C160">
        <f>IF($AH160="","",IF(INDEX('Per Invoice'!C$2:C$401,$AH160)="","",INDEX('Per Invoice'!C$2:C$401,$AH160)))</f>
        <v/>
      </c>
      <c r="D160">
        <f>IF($AH160="","",IF(INDEX('Per Invoice'!D$2:D$401,$AH160)="","",INDEX('Per Invoice'!D$2:D$401,$AH160)))</f>
        <v/>
      </c>
      <c r="E160">
        <f>IF($AH160="","",IF(INDEX('Per Invoice'!E$2:E$401,$AH160)="","",INDEX('Per Invoice'!E$2:E$401,$AH160)))</f>
        <v/>
      </c>
      <c r="F160">
        <f>IF($AH160="","",IF(INDEX('Per Invoice'!F$2:F$401,$AH160)="","",INDEX('Per Invoice'!F$2:F$401,$AH160)))</f>
        <v/>
      </c>
      <c r="G160">
        <f>IF($AH160="","",IF(INDEX('Per Invoice'!G$2:G$401,$AH160)="","",INDEX('Per Invoice'!G$2:G$401,$AH160)))</f>
        <v/>
      </c>
      <c r="H160">
        <f>IF($AH160="","",IF(INDEX('Per Invoice'!H$2:H$401,$AH160)="","",INDEX('Per Invoice'!H$2:H$401,$AH160)))</f>
        <v/>
      </c>
      <c r="I160" s="14">
        <f>IF($AH160="","",IF(INDEX('Per Invoice'!I$2:I$401,$AH160)="","",INDEX('Per Invoice'!I$2:I$401,$AH160)))</f>
        <v/>
      </c>
      <c r="J160">
        <f>IF($AH160="","",IF(INDEX('Per Invoice'!J$2:J$401,$AH160)="","",INDEX('Per Invoice'!J$2:J$401,$AH160)))</f>
        <v/>
      </c>
      <c r="K160">
        <f>IF($AH160="","",IF(INDEX('Per Invoice'!K$2:K$401,$AH160)="","",INDEX('Per Invoice'!K$2:K$401,$AH160)))</f>
        <v/>
      </c>
      <c r="L160">
        <f>IF($AH160="","",IF(INDEX('Per Invoice'!L$2:L$401,$AH160)="","",INDEX('Per Invoice'!L$2:L$401,$AH160)))</f>
        <v/>
      </c>
      <c r="M160">
        <f>IF($AH160="","",IF(INDEX('Per Invoice'!M$2:M$401,$AH160)="","",INDEX('Per Invoice'!M$2:M$401,$AH160)))</f>
        <v/>
      </c>
      <c r="N160">
        <f>IF($AH160="","",IF(INDEX('Per Invoice'!N$2:N$401,$AH160)="","",INDEX('Per Invoice'!N$2:N$401,$AH160)))</f>
        <v/>
      </c>
      <c r="O160">
        <f>IF($AH160="","",IF(INDEX('Per Invoice'!O$2:O$401,$AH160)="","",INDEX('Per Invoice'!O$2:O$401,$AH160)))</f>
        <v/>
      </c>
      <c r="P160" s="7">
        <f>IF($AH160="","",IF(INDEX('Per Invoice'!P$2:P$401,$AH160)="","",INDEX('Per Invoice'!P$2:P$401,$AH160)))</f>
        <v/>
      </c>
      <c r="Q160">
        <f>IF($AH160="","",IF(INDEX('Per Invoice'!Q$2:Q$401,$AH160)="","",INDEX('Per Invoice'!Q$2:Q$401,$AH160)))</f>
        <v/>
      </c>
      <c r="R160">
        <f>IF($AH160="","",IF(INDEX('Per Invoice'!R$2:R$401,$AH160)="","",INDEX('Per Invoice'!R$2:R$401,$AH160)))</f>
        <v/>
      </c>
      <c r="S160">
        <f>IF($AH160="","",IF(INDEX('Per Invoice'!S$2:S$401,$AH160)="","",INDEX('Per Invoice'!S$2:S$401,$AH160)))</f>
        <v/>
      </c>
      <c r="T160" s="7">
        <f>IF($AH160="","",IF(INDEX('Per Invoice'!T$2:T$401,$AH160)="","",INDEX('Per Invoice'!T$2:T$401,$AH160)))</f>
        <v/>
      </c>
      <c r="U160" s="7">
        <f>IF($AH160="","",IF(INDEX('Per Invoice'!U$2:U$401,$AH160)="","",INDEX('Per Invoice'!U$2:U$401,$AH160)))</f>
        <v/>
      </c>
      <c r="V160">
        <f>IF($AH160="","",IF(INDEX('Per Invoice'!V$2:V$401,$AH160)="","",INDEX('Per Invoice'!V$2:V$401,$AH160)))</f>
        <v/>
      </c>
      <c r="W160" s="7">
        <f>IF($AH160="","",IF(INDEX('Per Invoice'!W$2:W$401,$AH160)="","",INDEX('Per Invoice'!W$2:W$401,$AH160)))</f>
        <v/>
      </c>
      <c r="X160" s="7">
        <f>IF($AH160="","",IF(INDEX('Per Invoice'!X$2:X$401,$AH160)="","",INDEX('Per Invoice'!X$2:X$401,$AH160)))</f>
        <v/>
      </c>
      <c r="Y160">
        <f>IF($AH160="","",IF(INDEX('Per Invoice'!Y$2:Y$401,$AH160)="","",INDEX('Per Invoice'!Y$2:Y$401,$AH160)))</f>
        <v/>
      </c>
      <c r="Z160" s="7">
        <f>IF($AH160="","",IF(INDEX('Per Invoice'!Z$2:Z$401,$AH160)="","",INDEX('Per Invoice'!Z$2:Z$401,$AH160)))</f>
        <v/>
      </c>
      <c r="AA160" s="7">
        <f>IF($AH160="","",IF(INDEX('Per Invoice'!AA$2:AA$401,$AH160)="","",INDEX('Per Invoice'!AA$2:AA$401,$AH160)))</f>
        <v/>
      </c>
      <c r="AB160" s="7">
        <f>IF($AH160="","",IF(INDEX('Per Invoice'!AB$2:AB$401,$AH160)="","",INDEX('Per Invoice'!AB$2:AB$401,$AH160)))</f>
        <v/>
      </c>
      <c r="AC160" s="7">
        <f>IF($AH160="","",IF(INDEX('Per Invoice'!AC$2:AC$401,$AH160)="","",INDEX('Per Invoice'!AC$2:AC$401,$AH160)))</f>
        <v/>
      </c>
      <c r="AD160" s="7">
        <f>IF($AH160="","",IF(INDEX('Per Invoice'!AD$2:AD$401,$AH160)="","",INDEX('Per Invoice'!AD$2:AD$401,$AH160)))</f>
        <v/>
      </c>
      <c r="AE160" s="7">
        <f>IF($AH160="","",IF(INDEX('Per Invoice'!AE$2:AE$401,$AH160)="","",INDEX('Per Invoice'!AE$2:AE$401,$AH160)))</f>
        <v/>
      </c>
      <c r="AF160">
        <f>IF($AH160="","",IF(INDEX('Per Invoice'!AF$2:AF$401,$AH160)="","",INDEX('Per Invoice'!AF$2:AF$401,$AH160)))</f>
        <v/>
      </c>
      <c r="AG160" s="7">
        <f>IF($AH160="","",IF(INDEX('Per Invoice'!AG$2:AG$401,$AH160)="","",INDEX('Per Invoice'!AG$2:AG$401,$AH160)))</f>
        <v/>
      </c>
      <c r="AH160" s="16">
        <f>IFERROR(MATCH(Settings!$C$26&amp;"|"&amp;ROWS($AH$2:$AH160),'Per Invoice'!$AI$2:$AI$401,0),"")</f>
        <v/>
      </c>
    </row>
    <row r="161">
      <c r="A161">
        <f>IF($AH161="","",IF(INDEX('Per Invoice'!A$2:A$401,$AH161)="","",INDEX('Per Invoice'!A$2:A$401,$AH161)))</f>
        <v/>
      </c>
      <c r="B161">
        <f>IF($AH161="","",IF(INDEX('Per Invoice'!B$2:B$401,$AH161)="","",INDEX('Per Invoice'!B$2:B$401,$AH161)))</f>
        <v/>
      </c>
      <c r="C161">
        <f>IF($AH161="","",IF(INDEX('Per Invoice'!C$2:C$401,$AH161)="","",INDEX('Per Invoice'!C$2:C$401,$AH161)))</f>
        <v/>
      </c>
      <c r="D161">
        <f>IF($AH161="","",IF(INDEX('Per Invoice'!D$2:D$401,$AH161)="","",INDEX('Per Invoice'!D$2:D$401,$AH161)))</f>
        <v/>
      </c>
      <c r="E161">
        <f>IF($AH161="","",IF(INDEX('Per Invoice'!E$2:E$401,$AH161)="","",INDEX('Per Invoice'!E$2:E$401,$AH161)))</f>
        <v/>
      </c>
      <c r="F161">
        <f>IF($AH161="","",IF(INDEX('Per Invoice'!F$2:F$401,$AH161)="","",INDEX('Per Invoice'!F$2:F$401,$AH161)))</f>
        <v/>
      </c>
      <c r="G161">
        <f>IF($AH161="","",IF(INDEX('Per Invoice'!G$2:G$401,$AH161)="","",INDEX('Per Invoice'!G$2:G$401,$AH161)))</f>
        <v/>
      </c>
      <c r="H161">
        <f>IF($AH161="","",IF(INDEX('Per Invoice'!H$2:H$401,$AH161)="","",INDEX('Per Invoice'!H$2:H$401,$AH161)))</f>
        <v/>
      </c>
      <c r="I161" s="14">
        <f>IF($AH161="","",IF(INDEX('Per Invoice'!I$2:I$401,$AH161)="","",INDEX('Per Invoice'!I$2:I$401,$AH161)))</f>
        <v/>
      </c>
      <c r="J161">
        <f>IF($AH161="","",IF(INDEX('Per Invoice'!J$2:J$401,$AH161)="","",INDEX('Per Invoice'!J$2:J$401,$AH161)))</f>
        <v/>
      </c>
      <c r="K161">
        <f>IF($AH161="","",IF(INDEX('Per Invoice'!K$2:K$401,$AH161)="","",INDEX('Per Invoice'!K$2:K$401,$AH161)))</f>
        <v/>
      </c>
      <c r="L161">
        <f>IF($AH161="","",IF(INDEX('Per Invoice'!L$2:L$401,$AH161)="","",INDEX('Per Invoice'!L$2:L$401,$AH161)))</f>
        <v/>
      </c>
      <c r="M161">
        <f>IF($AH161="","",IF(INDEX('Per Invoice'!M$2:M$401,$AH161)="","",INDEX('Per Invoice'!M$2:M$401,$AH161)))</f>
        <v/>
      </c>
      <c r="N161">
        <f>IF($AH161="","",IF(INDEX('Per Invoice'!N$2:N$401,$AH161)="","",INDEX('Per Invoice'!N$2:N$401,$AH161)))</f>
        <v/>
      </c>
      <c r="O161">
        <f>IF($AH161="","",IF(INDEX('Per Invoice'!O$2:O$401,$AH161)="","",INDEX('Per Invoice'!O$2:O$401,$AH161)))</f>
        <v/>
      </c>
      <c r="P161" s="7">
        <f>IF($AH161="","",IF(INDEX('Per Invoice'!P$2:P$401,$AH161)="","",INDEX('Per Invoice'!P$2:P$401,$AH161)))</f>
        <v/>
      </c>
      <c r="Q161">
        <f>IF($AH161="","",IF(INDEX('Per Invoice'!Q$2:Q$401,$AH161)="","",INDEX('Per Invoice'!Q$2:Q$401,$AH161)))</f>
        <v/>
      </c>
      <c r="R161">
        <f>IF($AH161="","",IF(INDEX('Per Invoice'!R$2:R$401,$AH161)="","",INDEX('Per Invoice'!R$2:R$401,$AH161)))</f>
        <v/>
      </c>
      <c r="S161">
        <f>IF($AH161="","",IF(INDEX('Per Invoice'!S$2:S$401,$AH161)="","",INDEX('Per Invoice'!S$2:S$401,$AH161)))</f>
        <v/>
      </c>
      <c r="T161" s="7">
        <f>IF($AH161="","",IF(INDEX('Per Invoice'!T$2:T$401,$AH161)="","",INDEX('Per Invoice'!T$2:T$401,$AH161)))</f>
        <v/>
      </c>
      <c r="U161" s="7">
        <f>IF($AH161="","",IF(INDEX('Per Invoice'!U$2:U$401,$AH161)="","",INDEX('Per Invoice'!U$2:U$401,$AH161)))</f>
        <v/>
      </c>
      <c r="V161">
        <f>IF($AH161="","",IF(INDEX('Per Invoice'!V$2:V$401,$AH161)="","",INDEX('Per Invoice'!V$2:V$401,$AH161)))</f>
        <v/>
      </c>
      <c r="W161" s="7">
        <f>IF($AH161="","",IF(INDEX('Per Invoice'!W$2:W$401,$AH161)="","",INDEX('Per Invoice'!W$2:W$401,$AH161)))</f>
        <v/>
      </c>
      <c r="X161" s="7">
        <f>IF($AH161="","",IF(INDEX('Per Invoice'!X$2:X$401,$AH161)="","",INDEX('Per Invoice'!X$2:X$401,$AH161)))</f>
        <v/>
      </c>
      <c r="Y161">
        <f>IF($AH161="","",IF(INDEX('Per Invoice'!Y$2:Y$401,$AH161)="","",INDEX('Per Invoice'!Y$2:Y$401,$AH161)))</f>
        <v/>
      </c>
      <c r="Z161" s="7">
        <f>IF($AH161="","",IF(INDEX('Per Invoice'!Z$2:Z$401,$AH161)="","",INDEX('Per Invoice'!Z$2:Z$401,$AH161)))</f>
        <v/>
      </c>
      <c r="AA161" s="7">
        <f>IF($AH161="","",IF(INDEX('Per Invoice'!AA$2:AA$401,$AH161)="","",INDEX('Per Invoice'!AA$2:AA$401,$AH161)))</f>
        <v/>
      </c>
      <c r="AB161" s="7">
        <f>IF($AH161="","",IF(INDEX('Per Invoice'!AB$2:AB$401,$AH161)="","",INDEX('Per Invoice'!AB$2:AB$401,$AH161)))</f>
        <v/>
      </c>
      <c r="AC161" s="7">
        <f>IF($AH161="","",IF(INDEX('Per Invoice'!AC$2:AC$401,$AH161)="","",INDEX('Per Invoice'!AC$2:AC$401,$AH161)))</f>
        <v/>
      </c>
      <c r="AD161" s="7">
        <f>IF($AH161="","",IF(INDEX('Per Invoice'!AD$2:AD$401,$AH161)="","",INDEX('Per Invoice'!AD$2:AD$401,$AH161)))</f>
        <v/>
      </c>
      <c r="AE161" s="7">
        <f>IF($AH161="","",IF(INDEX('Per Invoice'!AE$2:AE$401,$AH161)="","",INDEX('Per Invoice'!AE$2:AE$401,$AH161)))</f>
        <v/>
      </c>
      <c r="AF161">
        <f>IF($AH161="","",IF(INDEX('Per Invoice'!AF$2:AF$401,$AH161)="","",INDEX('Per Invoice'!AF$2:AF$401,$AH161)))</f>
        <v/>
      </c>
      <c r="AG161" s="7">
        <f>IF($AH161="","",IF(INDEX('Per Invoice'!AG$2:AG$401,$AH161)="","",INDEX('Per Invoice'!AG$2:AG$401,$AH161)))</f>
        <v/>
      </c>
      <c r="AH161" s="16">
        <f>IFERROR(MATCH(Settings!$C$26&amp;"|"&amp;ROWS($AH$2:$AH161),'Per Invoice'!$AI$2:$AI$401,0),"")</f>
        <v/>
      </c>
    </row>
    <row r="162">
      <c r="A162">
        <f>IF($AH162="","",IF(INDEX('Per Invoice'!A$2:A$401,$AH162)="","",INDEX('Per Invoice'!A$2:A$401,$AH162)))</f>
        <v/>
      </c>
      <c r="B162">
        <f>IF($AH162="","",IF(INDEX('Per Invoice'!B$2:B$401,$AH162)="","",INDEX('Per Invoice'!B$2:B$401,$AH162)))</f>
        <v/>
      </c>
      <c r="C162">
        <f>IF($AH162="","",IF(INDEX('Per Invoice'!C$2:C$401,$AH162)="","",INDEX('Per Invoice'!C$2:C$401,$AH162)))</f>
        <v/>
      </c>
      <c r="D162">
        <f>IF($AH162="","",IF(INDEX('Per Invoice'!D$2:D$401,$AH162)="","",INDEX('Per Invoice'!D$2:D$401,$AH162)))</f>
        <v/>
      </c>
      <c r="E162">
        <f>IF($AH162="","",IF(INDEX('Per Invoice'!E$2:E$401,$AH162)="","",INDEX('Per Invoice'!E$2:E$401,$AH162)))</f>
        <v/>
      </c>
      <c r="F162">
        <f>IF($AH162="","",IF(INDEX('Per Invoice'!F$2:F$401,$AH162)="","",INDEX('Per Invoice'!F$2:F$401,$AH162)))</f>
        <v/>
      </c>
      <c r="G162">
        <f>IF($AH162="","",IF(INDEX('Per Invoice'!G$2:G$401,$AH162)="","",INDEX('Per Invoice'!G$2:G$401,$AH162)))</f>
        <v/>
      </c>
      <c r="H162">
        <f>IF($AH162="","",IF(INDEX('Per Invoice'!H$2:H$401,$AH162)="","",INDEX('Per Invoice'!H$2:H$401,$AH162)))</f>
        <v/>
      </c>
      <c r="I162" s="14">
        <f>IF($AH162="","",IF(INDEX('Per Invoice'!I$2:I$401,$AH162)="","",INDEX('Per Invoice'!I$2:I$401,$AH162)))</f>
        <v/>
      </c>
      <c r="J162">
        <f>IF($AH162="","",IF(INDEX('Per Invoice'!J$2:J$401,$AH162)="","",INDEX('Per Invoice'!J$2:J$401,$AH162)))</f>
        <v/>
      </c>
      <c r="K162">
        <f>IF($AH162="","",IF(INDEX('Per Invoice'!K$2:K$401,$AH162)="","",INDEX('Per Invoice'!K$2:K$401,$AH162)))</f>
        <v/>
      </c>
      <c r="L162">
        <f>IF($AH162="","",IF(INDEX('Per Invoice'!L$2:L$401,$AH162)="","",INDEX('Per Invoice'!L$2:L$401,$AH162)))</f>
        <v/>
      </c>
      <c r="M162">
        <f>IF($AH162="","",IF(INDEX('Per Invoice'!M$2:M$401,$AH162)="","",INDEX('Per Invoice'!M$2:M$401,$AH162)))</f>
        <v/>
      </c>
      <c r="N162">
        <f>IF($AH162="","",IF(INDEX('Per Invoice'!N$2:N$401,$AH162)="","",INDEX('Per Invoice'!N$2:N$401,$AH162)))</f>
        <v/>
      </c>
      <c r="O162">
        <f>IF($AH162="","",IF(INDEX('Per Invoice'!O$2:O$401,$AH162)="","",INDEX('Per Invoice'!O$2:O$401,$AH162)))</f>
        <v/>
      </c>
      <c r="P162" s="7">
        <f>IF($AH162="","",IF(INDEX('Per Invoice'!P$2:P$401,$AH162)="","",INDEX('Per Invoice'!P$2:P$401,$AH162)))</f>
        <v/>
      </c>
      <c r="Q162">
        <f>IF($AH162="","",IF(INDEX('Per Invoice'!Q$2:Q$401,$AH162)="","",INDEX('Per Invoice'!Q$2:Q$401,$AH162)))</f>
        <v/>
      </c>
      <c r="R162">
        <f>IF($AH162="","",IF(INDEX('Per Invoice'!R$2:R$401,$AH162)="","",INDEX('Per Invoice'!R$2:R$401,$AH162)))</f>
        <v/>
      </c>
      <c r="S162">
        <f>IF($AH162="","",IF(INDEX('Per Invoice'!S$2:S$401,$AH162)="","",INDEX('Per Invoice'!S$2:S$401,$AH162)))</f>
        <v/>
      </c>
      <c r="T162" s="7">
        <f>IF($AH162="","",IF(INDEX('Per Invoice'!T$2:T$401,$AH162)="","",INDEX('Per Invoice'!T$2:T$401,$AH162)))</f>
        <v/>
      </c>
      <c r="U162" s="7">
        <f>IF($AH162="","",IF(INDEX('Per Invoice'!U$2:U$401,$AH162)="","",INDEX('Per Invoice'!U$2:U$401,$AH162)))</f>
        <v/>
      </c>
      <c r="V162">
        <f>IF($AH162="","",IF(INDEX('Per Invoice'!V$2:V$401,$AH162)="","",INDEX('Per Invoice'!V$2:V$401,$AH162)))</f>
        <v/>
      </c>
      <c r="W162" s="7">
        <f>IF($AH162="","",IF(INDEX('Per Invoice'!W$2:W$401,$AH162)="","",INDEX('Per Invoice'!W$2:W$401,$AH162)))</f>
        <v/>
      </c>
      <c r="X162" s="7">
        <f>IF($AH162="","",IF(INDEX('Per Invoice'!X$2:X$401,$AH162)="","",INDEX('Per Invoice'!X$2:X$401,$AH162)))</f>
        <v/>
      </c>
      <c r="Y162">
        <f>IF($AH162="","",IF(INDEX('Per Invoice'!Y$2:Y$401,$AH162)="","",INDEX('Per Invoice'!Y$2:Y$401,$AH162)))</f>
        <v/>
      </c>
      <c r="Z162" s="7">
        <f>IF($AH162="","",IF(INDEX('Per Invoice'!Z$2:Z$401,$AH162)="","",INDEX('Per Invoice'!Z$2:Z$401,$AH162)))</f>
        <v/>
      </c>
      <c r="AA162" s="7">
        <f>IF($AH162="","",IF(INDEX('Per Invoice'!AA$2:AA$401,$AH162)="","",INDEX('Per Invoice'!AA$2:AA$401,$AH162)))</f>
        <v/>
      </c>
      <c r="AB162" s="7">
        <f>IF($AH162="","",IF(INDEX('Per Invoice'!AB$2:AB$401,$AH162)="","",INDEX('Per Invoice'!AB$2:AB$401,$AH162)))</f>
        <v/>
      </c>
      <c r="AC162" s="7">
        <f>IF($AH162="","",IF(INDEX('Per Invoice'!AC$2:AC$401,$AH162)="","",INDEX('Per Invoice'!AC$2:AC$401,$AH162)))</f>
        <v/>
      </c>
      <c r="AD162" s="7">
        <f>IF($AH162="","",IF(INDEX('Per Invoice'!AD$2:AD$401,$AH162)="","",INDEX('Per Invoice'!AD$2:AD$401,$AH162)))</f>
        <v/>
      </c>
      <c r="AE162" s="7">
        <f>IF($AH162="","",IF(INDEX('Per Invoice'!AE$2:AE$401,$AH162)="","",INDEX('Per Invoice'!AE$2:AE$401,$AH162)))</f>
        <v/>
      </c>
      <c r="AF162">
        <f>IF($AH162="","",IF(INDEX('Per Invoice'!AF$2:AF$401,$AH162)="","",INDEX('Per Invoice'!AF$2:AF$401,$AH162)))</f>
        <v/>
      </c>
      <c r="AG162" s="7">
        <f>IF($AH162="","",IF(INDEX('Per Invoice'!AG$2:AG$401,$AH162)="","",INDEX('Per Invoice'!AG$2:AG$401,$AH162)))</f>
        <v/>
      </c>
      <c r="AH162" s="16">
        <f>IFERROR(MATCH(Settings!$C$26&amp;"|"&amp;ROWS($AH$2:$AH162),'Per Invoice'!$AI$2:$AI$401,0),"")</f>
        <v/>
      </c>
    </row>
    <row r="163">
      <c r="A163">
        <f>IF($AH163="","",IF(INDEX('Per Invoice'!A$2:A$401,$AH163)="","",INDEX('Per Invoice'!A$2:A$401,$AH163)))</f>
        <v/>
      </c>
      <c r="B163">
        <f>IF($AH163="","",IF(INDEX('Per Invoice'!B$2:B$401,$AH163)="","",INDEX('Per Invoice'!B$2:B$401,$AH163)))</f>
        <v/>
      </c>
      <c r="C163">
        <f>IF($AH163="","",IF(INDEX('Per Invoice'!C$2:C$401,$AH163)="","",INDEX('Per Invoice'!C$2:C$401,$AH163)))</f>
        <v/>
      </c>
      <c r="D163">
        <f>IF($AH163="","",IF(INDEX('Per Invoice'!D$2:D$401,$AH163)="","",INDEX('Per Invoice'!D$2:D$401,$AH163)))</f>
        <v/>
      </c>
      <c r="E163">
        <f>IF($AH163="","",IF(INDEX('Per Invoice'!E$2:E$401,$AH163)="","",INDEX('Per Invoice'!E$2:E$401,$AH163)))</f>
        <v/>
      </c>
      <c r="F163">
        <f>IF($AH163="","",IF(INDEX('Per Invoice'!F$2:F$401,$AH163)="","",INDEX('Per Invoice'!F$2:F$401,$AH163)))</f>
        <v/>
      </c>
      <c r="G163">
        <f>IF($AH163="","",IF(INDEX('Per Invoice'!G$2:G$401,$AH163)="","",INDEX('Per Invoice'!G$2:G$401,$AH163)))</f>
        <v/>
      </c>
      <c r="H163">
        <f>IF($AH163="","",IF(INDEX('Per Invoice'!H$2:H$401,$AH163)="","",INDEX('Per Invoice'!H$2:H$401,$AH163)))</f>
        <v/>
      </c>
      <c r="I163" s="14">
        <f>IF($AH163="","",IF(INDEX('Per Invoice'!I$2:I$401,$AH163)="","",INDEX('Per Invoice'!I$2:I$401,$AH163)))</f>
        <v/>
      </c>
      <c r="J163">
        <f>IF($AH163="","",IF(INDEX('Per Invoice'!J$2:J$401,$AH163)="","",INDEX('Per Invoice'!J$2:J$401,$AH163)))</f>
        <v/>
      </c>
      <c r="K163">
        <f>IF($AH163="","",IF(INDEX('Per Invoice'!K$2:K$401,$AH163)="","",INDEX('Per Invoice'!K$2:K$401,$AH163)))</f>
        <v/>
      </c>
      <c r="L163">
        <f>IF($AH163="","",IF(INDEX('Per Invoice'!L$2:L$401,$AH163)="","",INDEX('Per Invoice'!L$2:L$401,$AH163)))</f>
        <v/>
      </c>
      <c r="M163">
        <f>IF($AH163="","",IF(INDEX('Per Invoice'!M$2:M$401,$AH163)="","",INDEX('Per Invoice'!M$2:M$401,$AH163)))</f>
        <v/>
      </c>
      <c r="N163">
        <f>IF($AH163="","",IF(INDEX('Per Invoice'!N$2:N$401,$AH163)="","",INDEX('Per Invoice'!N$2:N$401,$AH163)))</f>
        <v/>
      </c>
      <c r="O163">
        <f>IF($AH163="","",IF(INDEX('Per Invoice'!O$2:O$401,$AH163)="","",INDEX('Per Invoice'!O$2:O$401,$AH163)))</f>
        <v/>
      </c>
      <c r="P163" s="7">
        <f>IF($AH163="","",IF(INDEX('Per Invoice'!P$2:P$401,$AH163)="","",INDEX('Per Invoice'!P$2:P$401,$AH163)))</f>
        <v/>
      </c>
      <c r="Q163">
        <f>IF($AH163="","",IF(INDEX('Per Invoice'!Q$2:Q$401,$AH163)="","",INDEX('Per Invoice'!Q$2:Q$401,$AH163)))</f>
        <v/>
      </c>
      <c r="R163">
        <f>IF($AH163="","",IF(INDEX('Per Invoice'!R$2:R$401,$AH163)="","",INDEX('Per Invoice'!R$2:R$401,$AH163)))</f>
        <v/>
      </c>
      <c r="S163">
        <f>IF($AH163="","",IF(INDEX('Per Invoice'!S$2:S$401,$AH163)="","",INDEX('Per Invoice'!S$2:S$401,$AH163)))</f>
        <v/>
      </c>
      <c r="T163" s="7">
        <f>IF($AH163="","",IF(INDEX('Per Invoice'!T$2:T$401,$AH163)="","",INDEX('Per Invoice'!T$2:T$401,$AH163)))</f>
        <v/>
      </c>
      <c r="U163" s="7">
        <f>IF($AH163="","",IF(INDEX('Per Invoice'!U$2:U$401,$AH163)="","",INDEX('Per Invoice'!U$2:U$401,$AH163)))</f>
        <v/>
      </c>
      <c r="V163">
        <f>IF($AH163="","",IF(INDEX('Per Invoice'!V$2:V$401,$AH163)="","",INDEX('Per Invoice'!V$2:V$401,$AH163)))</f>
        <v/>
      </c>
      <c r="W163" s="7">
        <f>IF($AH163="","",IF(INDEX('Per Invoice'!W$2:W$401,$AH163)="","",INDEX('Per Invoice'!W$2:W$401,$AH163)))</f>
        <v/>
      </c>
      <c r="X163" s="7">
        <f>IF($AH163="","",IF(INDEX('Per Invoice'!X$2:X$401,$AH163)="","",INDEX('Per Invoice'!X$2:X$401,$AH163)))</f>
        <v/>
      </c>
      <c r="Y163">
        <f>IF($AH163="","",IF(INDEX('Per Invoice'!Y$2:Y$401,$AH163)="","",INDEX('Per Invoice'!Y$2:Y$401,$AH163)))</f>
        <v/>
      </c>
      <c r="Z163" s="7">
        <f>IF($AH163="","",IF(INDEX('Per Invoice'!Z$2:Z$401,$AH163)="","",INDEX('Per Invoice'!Z$2:Z$401,$AH163)))</f>
        <v/>
      </c>
      <c r="AA163" s="7">
        <f>IF($AH163="","",IF(INDEX('Per Invoice'!AA$2:AA$401,$AH163)="","",INDEX('Per Invoice'!AA$2:AA$401,$AH163)))</f>
        <v/>
      </c>
      <c r="AB163" s="7">
        <f>IF($AH163="","",IF(INDEX('Per Invoice'!AB$2:AB$401,$AH163)="","",INDEX('Per Invoice'!AB$2:AB$401,$AH163)))</f>
        <v/>
      </c>
      <c r="AC163" s="7">
        <f>IF($AH163="","",IF(INDEX('Per Invoice'!AC$2:AC$401,$AH163)="","",INDEX('Per Invoice'!AC$2:AC$401,$AH163)))</f>
        <v/>
      </c>
      <c r="AD163" s="7">
        <f>IF($AH163="","",IF(INDEX('Per Invoice'!AD$2:AD$401,$AH163)="","",INDEX('Per Invoice'!AD$2:AD$401,$AH163)))</f>
        <v/>
      </c>
      <c r="AE163" s="7">
        <f>IF($AH163="","",IF(INDEX('Per Invoice'!AE$2:AE$401,$AH163)="","",INDEX('Per Invoice'!AE$2:AE$401,$AH163)))</f>
        <v/>
      </c>
      <c r="AF163">
        <f>IF($AH163="","",IF(INDEX('Per Invoice'!AF$2:AF$401,$AH163)="","",INDEX('Per Invoice'!AF$2:AF$401,$AH163)))</f>
        <v/>
      </c>
      <c r="AG163" s="7">
        <f>IF($AH163="","",IF(INDEX('Per Invoice'!AG$2:AG$401,$AH163)="","",INDEX('Per Invoice'!AG$2:AG$401,$AH163)))</f>
        <v/>
      </c>
      <c r="AH163" s="16">
        <f>IFERROR(MATCH(Settings!$C$26&amp;"|"&amp;ROWS($AH$2:$AH163),'Per Invoice'!$AI$2:$AI$401,0),"")</f>
        <v/>
      </c>
    </row>
    <row r="164">
      <c r="A164">
        <f>IF($AH164="","",IF(INDEX('Per Invoice'!A$2:A$401,$AH164)="","",INDEX('Per Invoice'!A$2:A$401,$AH164)))</f>
        <v/>
      </c>
      <c r="B164">
        <f>IF($AH164="","",IF(INDEX('Per Invoice'!B$2:B$401,$AH164)="","",INDEX('Per Invoice'!B$2:B$401,$AH164)))</f>
        <v/>
      </c>
      <c r="C164">
        <f>IF($AH164="","",IF(INDEX('Per Invoice'!C$2:C$401,$AH164)="","",INDEX('Per Invoice'!C$2:C$401,$AH164)))</f>
        <v/>
      </c>
      <c r="D164">
        <f>IF($AH164="","",IF(INDEX('Per Invoice'!D$2:D$401,$AH164)="","",INDEX('Per Invoice'!D$2:D$401,$AH164)))</f>
        <v/>
      </c>
      <c r="E164">
        <f>IF($AH164="","",IF(INDEX('Per Invoice'!E$2:E$401,$AH164)="","",INDEX('Per Invoice'!E$2:E$401,$AH164)))</f>
        <v/>
      </c>
      <c r="F164">
        <f>IF($AH164="","",IF(INDEX('Per Invoice'!F$2:F$401,$AH164)="","",INDEX('Per Invoice'!F$2:F$401,$AH164)))</f>
        <v/>
      </c>
      <c r="G164">
        <f>IF($AH164="","",IF(INDEX('Per Invoice'!G$2:G$401,$AH164)="","",INDEX('Per Invoice'!G$2:G$401,$AH164)))</f>
        <v/>
      </c>
      <c r="H164">
        <f>IF($AH164="","",IF(INDEX('Per Invoice'!H$2:H$401,$AH164)="","",INDEX('Per Invoice'!H$2:H$401,$AH164)))</f>
        <v/>
      </c>
      <c r="I164" s="14">
        <f>IF($AH164="","",IF(INDEX('Per Invoice'!I$2:I$401,$AH164)="","",INDEX('Per Invoice'!I$2:I$401,$AH164)))</f>
        <v/>
      </c>
      <c r="J164">
        <f>IF($AH164="","",IF(INDEX('Per Invoice'!J$2:J$401,$AH164)="","",INDEX('Per Invoice'!J$2:J$401,$AH164)))</f>
        <v/>
      </c>
      <c r="K164">
        <f>IF($AH164="","",IF(INDEX('Per Invoice'!K$2:K$401,$AH164)="","",INDEX('Per Invoice'!K$2:K$401,$AH164)))</f>
        <v/>
      </c>
      <c r="L164">
        <f>IF($AH164="","",IF(INDEX('Per Invoice'!L$2:L$401,$AH164)="","",INDEX('Per Invoice'!L$2:L$401,$AH164)))</f>
        <v/>
      </c>
      <c r="M164">
        <f>IF($AH164="","",IF(INDEX('Per Invoice'!M$2:M$401,$AH164)="","",INDEX('Per Invoice'!M$2:M$401,$AH164)))</f>
        <v/>
      </c>
      <c r="N164">
        <f>IF($AH164="","",IF(INDEX('Per Invoice'!N$2:N$401,$AH164)="","",INDEX('Per Invoice'!N$2:N$401,$AH164)))</f>
        <v/>
      </c>
      <c r="O164">
        <f>IF($AH164="","",IF(INDEX('Per Invoice'!O$2:O$401,$AH164)="","",INDEX('Per Invoice'!O$2:O$401,$AH164)))</f>
        <v/>
      </c>
      <c r="P164" s="7">
        <f>IF($AH164="","",IF(INDEX('Per Invoice'!P$2:P$401,$AH164)="","",INDEX('Per Invoice'!P$2:P$401,$AH164)))</f>
        <v/>
      </c>
      <c r="Q164">
        <f>IF($AH164="","",IF(INDEX('Per Invoice'!Q$2:Q$401,$AH164)="","",INDEX('Per Invoice'!Q$2:Q$401,$AH164)))</f>
        <v/>
      </c>
      <c r="R164">
        <f>IF($AH164="","",IF(INDEX('Per Invoice'!R$2:R$401,$AH164)="","",INDEX('Per Invoice'!R$2:R$401,$AH164)))</f>
        <v/>
      </c>
      <c r="S164">
        <f>IF($AH164="","",IF(INDEX('Per Invoice'!S$2:S$401,$AH164)="","",INDEX('Per Invoice'!S$2:S$401,$AH164)))</f>
        <v/>
      </c>
      <c r="T164" s="7">
        <f>IF($AH164="","",IF(INDEX('Per Invoice'!T$2:T$401,$AH164)="","",INDEX('Per Invoice'!T$2:T$401,$AH164)))</f>
        <v/>
      </c>
      <c r="U164" s="7">
        <f>IF($AH164="","",IF(INDEX('Per Invoice'!U$2:U$401,$AH164)="","",INDEX('Per Invoice'!U$2:U$401,$AH164)))</f>
        <v/>
      </c>
      <c r="V164">
        <f>IF($AH164="","",IF(INDEX('Per Invoice'!V$2:V$401,$AH164)="","",INDEX('Per Invoice'!V$2:V$401,$AH164)))</f>
        <v/>
      </c>
      <c r="W164" s="7">
        <f>IF($AH164="","",IF(INDEX('Per Invoice'!W$2:W$401,$AH164)="","",INDEX('Per Invoice'!W$2:W$401,$AH164)))</f>
        <v/>
      </c>
      <c r="X164" s="7">
        <f>IF($AH164="","",IF(INDEX('Per Invoice'!X$2:X$401,$AH164)="","",INDEX('Per Invoice'!X$2:X$401,$AH164)))</f>
        <v/>
      </c>
      <c r="Y164">
        <f>IF($AH164="","",IF(INDEX('Per Invoice'!Y$2:Y$401,$AH164)="","",INDEX('Per Invoice'!Y$2:Y$401,$AH164)))</f>
        <v/>
      </c>
      <c r="Z164" s="7">
        <f>IF($AH164="","",IF(INDEX('Per Invoice'!Z$2:Z$401,$AH164)="","",INDEX('Per Invoice'!Z$2:Z$401,$AH164)))</f>
        <v/>
      </c>
      <c r="AA164" s="7">
        <f>IF($AH164="","",IF(INDEX('Per Invoice'!AA$2:AA$401,$AH164)="","",INDEX('Per Invoice'!AA$2:AA$401,$AH164)))</f>
        <v/>
      </c>
      <c r="AB164" s="7">
        <f>IF($AH164="","",IF(INDEX('Per Invoice'!AB$2:AB$401,$AH164)="","",INDEX('Per Invoice'!AB$2:AB$401,$AH164)))</f>
        <v/>
      </c>
      <c r="AC164" s="7">
        <f>IF($AH164="","",IF(INDEX('Per Invoice'!AC$2:AC$401,$AH164)="","",INDEX('Per Invoice'!AC$2:AC$401,$AH164)))</f>
        <v/>
      </c>
      <c r="AD164" s="7">
        <f>IF($AH164="","",IF(INDEX('Per Invoice'!AD$2:AD$401,$AH164)="","",INDEX('Per Invoice'!AD$2:AD$401,$AH164)))</f>
        <v/>
      </c>
      <c r="AE164" s="7">
        <f>IF($AH164="","",IF(INDEX('Per Invoice'!AE$2:AE$401,$AH164)="","",INDEX('Per Invoice'!AE$2:AE$401,$AH164)))</f>
        <v/>
      </c>
      <c r="AF164">
        <f>IF($AH164="","",IF(INDEX('Per Invoice'!AF$2:AF$401,$AH164)="","",INDEX('Per Invoice'!AF$2:AF$401,$AH164)))</f>
        <v/>
      </c>
      <c r="AG164" s="7">
        <f>IF($AH164="","",IF(INDEX('Per Invoice'!AG$2:AG$401,$AH164)="","",INDEX('Per Invoice'!AG$2:AG$401,$AH164)))</f>
        <v/>
      </c>
      <c r="AH164" s="16">
        <f>IFERROR(MATCH(Settings!$C$26&amp;"|"&amp;ROWS($AH$2:$AH164),'Per Invoice'!$AI$2:$AI$401,0),"")</f>
        <v/>
      </c>
    </row>
    <row r="165">
      <c r="A165">
        <f>IF($AH165="","",IF(INDEX('Per Invoice'!A$2:A$401,$AH165)="","",INDEX('Per Invoice'!A$2:A$401,$AH165)))</f>
        <v/>
      </c>
      <c r="B165">
        <f>IF($AH165="","",IF(INDEX('Per Invoice'!B$2:B$401,$AH165)="","",INDEX('Per Invoice'!B$2:B$401,$AH165)))</f>
        <v/>
      </c>
      <c r="C165">
        <f>IF($AH165="","",IF(INDEX('Per Invoice'!C$2:C$401,$AH165)="","",INDEX('Per Invoice'!C$2:C$401,$AH165)))</f>
        <v/>
      </c>
      <c r="D165">
        <f>IF($AH165="","",IF(INDEX('Per Invoice'!D$2:D$401,$AH165)="","",INDEX('Per Invoice'!D$2:D$401,$AH165)))</f>
        <v/>
      </c>
      <c r="E165">
        <f>IF($AH165="","",IF(INDEX('Per Invoice'!E$2:E$401,$AH165)="","",INDEX('Per Invoice'!E$2:E$401,$AH165)))</f>
        <v/>
      </c>
      <c r="F165">
        <f>IF($AH165="","",IF(INDEX('Per Invoice'!F$2:F$401,$AH165)="","",INDEX('Per Invoice'!F$2:F$401,$AH165)))</f>
        <v/>
      </c>
      <c r="G165">
        <f>IF($AH165="","",IF(INDEX('Per Invoice'!G$2:G$401,$AH165)="","",INDEX('Per Invoice'!G$2:G$401,$AH165)))</f>
        <v/>
      </c>
      <c r="H165">
        <f>IF($AH165="","",IF(INDEX('Per Invoice'!H$2:H$401,$AH165)="","",INDEX('Per Invoice'!H$2:H$401,$AH165)))</f>
        <v/>
      </c>
      <c r="I165" s="14">
        <f>IF($AH165="","",IF(INDEX('Per Invoice'!I$2:I$401,$AH165)="","",INDEX('Per Invoice'!I$2:I$401,$AH165)))</f>
        <v/>
      </c>
      <c r="J165">
        <f>IF($AH165="","",IF(INDEX('Per Invoice'!J$2:J$401,$AH165)="","",INDEX('Per Invoice'!J$2:J$401,$AH165)))</f>
        <v/>
      </c>
      <c r="K165">
        <f>IF($AH165="","",IF(INDEX('Per Invoice'!K$2:K$401,$AH165)="","",INDEX('Per Invoice'!K$2:K$401,$AH165)))</f>
        <v/>
      </c>
      <c r="L165">
        <f>IF($AH165="","",IF(INDEX('Per Invoice'!L$2:L$401,$AH165)="","",INDEX('Per Invoice'!L$2:L$401,$AH165)))</f>
        <v/>
      </c>
      <c r="M165">
        <f>IF($AH165="","",IF(INDEX('Per Invoice'!M$2:M$401,$AH165)="","",INDEX('Per Invoice'!M$2:M$401,$AH165)))</f>
        <v/>
      </c>
      <c r="N165">
        <f>IF($AH165="","",IF(INDEX('Per Invoice'!N$2:N$401,$AH165)="","",INDEX('Per Invoice'!N$2:N$401,$AH165)))</f>
        <v/>
      </c>
      <c r="O165">
        <f>IF($AH165="","",IF(INDEX('Per Invoice'!O$2:O$401,$AH165)="","",INDEX('Per Invoice'!O$2:O$401,$AH165)))</f>
        <v/>
      </c>
      <c r="P165" s="7">
        <f>IF($AH165="","",IF(INDEX('Per Invoice'!P$2:P$401,$AH165)="","",INDEX('Per Invoice'!P$2:P$401,$AH165)))</f>
        <v/>
      </c>
      <c r="Q165">
        <f>IF($AH165="","",IF(INDEX('Per Invoice'!Q$2:Q$401,$AH165)="","",INDEX('Per Invoice'!Q$2:Q$401,$AH165)))</f>
        <v/>
      </c>
      <c r="R165">
        <f>IF($AH165="","",IF(INDEX('Per Invoice'!R$2:R$401,$AH165)="","",INDEX('Per Invoice'!R$2:R$401,$AH165)))</f>
        <v/>
      </c>
      <c r="S165">
        <f>IF($AH165="","",IF(INDEX('Per Invoice'!S$2:S$401,$AH165)="","",INDEX('Per Invoice'!S$2:S$401,$AH165)))</f>
        <v/>
      </c>
      <c r="T165" s="7">
        <f>IF($AH165="","",IF(INDEX('Per Invoice'!T$2:T$401,$AH165)="","",INDEX('Per Invoice'!T$2:T$401,$AH165)))</f>
        <v/>
      </c>
      <c r="U165" s="7">
        <f>IF($AH165="","",IF(INDEX('Per Invoice'!U$2:U$401,$AH165)="","",INDEX('Per Invoice'!U$2:U$401,$AH165)))</f>
        <v/>
      </c>
      <c r="V165">
        <f>IF($AH165="","",IF(INDEX('Per Invoice'!V$2:V$401,$AH165)="","",INDEX('Per Invoice'!V$2:V$401,$AH165)))</f>
        <v/>
      </c>
      <c r="W165" s="7">
        <f>IF($AH165="","",IF(INDEX('Per Invoice'!W$2:W$401,$AH165)="","",INDEX('Per Invoice'!W$2:W$401,$AH165)))</f>
        <v/>
      </c>
      <c r="X165" s="7">
        <f>IF($AH165="","",IF(INDEX('Per Invoice'!X$2:X$401,$AH165)="","",INDEX('Per Invoice'!X$2:X$401,$AH165)))</f>
        <v/>
      </c>
      <c r="Y165">
        <f>IF($AH165="","",IF(INDEX('Per Invoice'!Y$2:Y$401,$AH165)="","",INDEX('Per Invoice'!Y$2:Y$401,$AH165)))</f>
        <v/>
      </c>
      <c r="Z165" s="7">
        <f>IF($AH165="","",IF(INDEX('Per Invoice'!Z$2:Z$401,$AH165)="","",INDEX('Per Invoice'!Z$2:Z$401,$AH165)))</f>
        <v/>
      </c>
      <c r="AA165" s="7">
        <f>IF($AH165="","",IF(INDEX('Per Invoice'!AA$2:AA$401,$AH165)="","",INDEX('Per Invoice'!AA$2:AA$401,$AH165)))</f>
        <v/>
      </c>
      <c r="AB165" s="7">
        <f>IF($AH165="","",IF(INDEX('Per Invoice'!AB$2:AB$401,$AH165)="","",INDEX('Per Invoice'!AB$2:AB$401,$AH165)))</f>
        <v/>
      </c>
      <c r="AC165" s="7">
        <f>IF($AH165="","",IF(INDEX('Per Invoice'!AC$2:AC$401,$AH165)="","",INDEX('Per Invoice'!AC$2:AC$401,$AH165)))</f>
        <v/>
      </c>
      <c r="AD165" s="7">
        <f>IF($AH165="","",IF(INDEX('Per Invoice'!AD$2:AD$401,$AH165)="","",INDEX('Per Invoice'!AD$2:AD$401,$AH165)))</f>
        <v/>
      </c>
      <c r="AE165" s="7">
        <f>IF($AH165="","",IF(INDEX('Per Invoice'!AE$2:AE$401,$AH165)="","",INDEX('Per Invoice'!AE$2:AE$401,$AH165)))</f>
        <v/>
      </c>
      <c r="AF165">
        <f>IF($AH165="","",IF(INDEX('Per Invoice'!AF$2:AF$401,$AH165)="","",INDEX('Per Invoice'!AF$2:AF$401,$AH165)))</f>
        <v/>
      </c>
      <c r="AG165" s="7">
        <f>IF($AH165="","",IF(INDEX('Per Invoice'!AG$2:AG$401,$AH165)="","",INDEX('Per Invoice'!AG$2:AG$401,$AH165)))</f>
        <v/>
      </c>
      <c r="AH165" s="16">
        <f>IFERROR(MATCH(Settings!$C$26&amp;"|"&amp;ROWS($AH$2:$AH165),'Per Invoice'!$AI$2:$AI$401,0),"")</f>
        <v/>
      </c>
    </row>
    <row r="166">
      <c r="A166">
        <f>IF($AH166="","",IF(INDEX('Per Invoice'!A$2:A$401,$AH166)="","",INDEX('Per Invoice'!A$2:A$401,$AH166)))</f>
        <v/>
      </c>
      <c r="B166">
        <f>IF($AH166="","",IF(INDEX('Per Invoice'!B$2:B$401,$AH166)="","",INDEX('Per Invoice'!B$2:B$401,$AH166)))</f>
        <v/>
      </c>
      <c r="C166">
        <f>IF($AH166="","",IF(INDEX('Per Invoice'!C$2:C$401,$AH166)="","",INDEX('Per Invoice'!C$2:C$401,$AH166)))</f>
        <v/>
      </c>
      <c r="D166">
        <f>IF($AH166="","",IF(INDEX('Per Invoice'!D$2:D$401,$AH166)="","",INDEX('Per Invoice'!D$2:D$401,$AH166)))</f>
        <v/>
      </c>
      <c r="E166">
        <f>IF($AH166="","",IF(INDEX('Per Invoice'!E$2:E$401,$AH166)="","",INDEX('Per Invoice'!E$2:E$401,$AH166)))</f>
        <v/>
      </c>
      <c r="F166">
        <f>IF($AH166="","",IF(INDEX('Per Invoice'!F$2:F$401,$AH166)="","",INDEX('Per Invoice'!F$2:F$401,$AH166)))</f>
        <v/>
      </c>
      <c r="G166">
        <f>IF($AH166="","",IF(INDEX('Per Invoice'!G$2:G$401,$AH166)="","",INDEX('Per Invoice'!G$2:G$401,$AH166)))</f>
        <v/>
      </c>
      <c r="H166">
        <f>IF($AH166="","",IF(INDEX('Per Invoice'!H$2:H$401,$AH166)="","",INDEX('Per Invoice'!H$2:H$401,$AH166)))</f>
        <v/>
      </c>
      <c r="I166" s="14">
        <f>IF($AH166="","",IF(INDEX('Per Invoice'!I$2:I$401,$AH166)="","",INDEX('Per Invoice'!I$2:I$401,$AH166)))</f>
        <v/>
      </c>
      <c r="J166">
        <f>IF($AH166="","",IF(INDEX('Per Invoice'!J$2:J$401,$AH166)="","",INDEX('Per Invoice'!J$2:J$401,$AH166)))</f>
        <v/>
      </c>
      <c r="K166">
        <f>IF($AH166="","",IF(INDEX('Per Invoice'!K$2:K$401,$AH166)="","",INDEX('Per Invoice'!K$2:K$401,$AH166)))</f>
        <v/>
      </c>
      <c r="L166">
        <f>IF($AH166="","",IF(INDEX('Per Invoice'!L$2:L$401,$AH166)="","",INDEX('Per Invoice'!L$2:L$401,$AH166)))</f>
        <v/>
      </c>
      <c r="M166">
        <f>IF($AH166="","",IF(INDEX('Per Invoice'!M$2:M$401,$AH166)="","",INDEX('Per Invoice'!M$2:M$401,$AH166)))</f>
        <v/>
      </c>
      <c r="N166">
        <f>IF($AH166="","",IF(INDEX('Per Invoice'!N$2:N$401,$AH166)="","",INDEX('Per Invoice'!N$2:N$401,$AH166)))</f>
        <v/>
      </c>
      <c r="O166">
        <f>IF($AH166="","",IF(INDEX('Per Invoice'!O$2:O$401,$AH166)="","",INDEX('Per Invoice'!O$2:O$401,$AH166)))</f>
        <v/>
      </c>
      <c r="P166" s="7">
        <f>IF($AH166="","",IF(INDEX('Per Invoice'!P$2:P$401,$AH166)="","",INDEX('Per Invoice'!P$2:P$401,$AH166)))</f>
        <v/>
      </c>
      <c r="Q166">
        <f>IF($AH166="","",IF(INDEX('Per Invoice'!Q$2:Q$401,$AH166)="","",INDEX('Per Invoice'!Q$2:Q$401,$AH166)))</f>
        <v/>
      </c>
      <c r="R166">
        <f>IF($AH166="","",IF(INDEX('Per Invoice'!R$2:R$401,$AH166)="","",INDEX('Per Invoice'!R$2:R$401,$AH166)))</f>
        <v/>
      </c>
      <c r="S166">
        <f>IF($AH166="","",IF(INDEX('Per Invoice'!S$2:S$401,$AH166)="","",INDEX('Per Invoice'!S$2:S$401,$AH166)))</f>
        <v/>
      </c>
      <c r="T166" s="7">
        <f>IF($AH166="","",IF(INDEX('Per Invoice'!T$2:T$401,$AH166)="","",INDEX('Per Invoice'!T$2:T$401,$AH166)))</f>
        <v/>
      </c>
      <c r="U166" s="7">
        <f>IF($AH166="","",IF(INDEX('Per Invoice'!U$2:U$401,$AH166)="","",INDEX('Per Invoice'!U$2:U$401,$AH166)))</f>
        <v/>
      </c>
      <c r="V166">
        <f>IF($AH166="","",IF(INDEX('Per Invoice'!V$2:V$401,$AH166)="","",INDEX('Per Invoice'!V$2:V$401,$AH166)))</f>
        <v/>
      </c>
      <c r="W166" s="7">
        <f>IF($AH166="","",IF(INDEX('Per Invoice'!W$2:W$401,$AH166)="","",INDEX('Per Invoice'!W$2:W$401,$AH166)))</f>
        <v/>
      </c>
      <c r="X166" s="7">
        <f>IF($AH166="","",IF(INDEX('Per Invoice'!X$2:X$401,$AH166)="","",INDEX('Per Invoice'!X$2:X$401,$AH166)))</f>
        <v/>
      </c>
      <c r="Y166">
        <f>IF($AH166="","",IF(INDEX('Per Invoice'!Y$2:Y$401,$AH166)="","",INDEX('Per Invoice'!Y$2:Y$401,$AH166)))</f>
        <v/>
      </c>
      <c r="Z166" s="7">
        <f>IF($AH166="","",IF(INDEX('Per Invoice'!Z$2:Z$401,$AH166)="","",INDEX('Per Invoice'!Z$2:Z$401,$AH166)))</f>
        <v/>
      </c>
      <c r="AA166" s="7">
        <f>IF($AH166="","",IF(INDEX('Per Invoice'!AA$2:AA$401,$AH166)="","",INDEX('Per Invoice'!AA$2:AA$401,$AH166)))</f>
        <v/>
      </c>
      <c r="AB166" s="7">
        <f>IF($AH166="","",IF(INDEX('Per Invoice'!AB$2:AB$401,$AH166)="","",INDEX('Per Invoice'!AB$2:AB$401,$AH166)))</f>
        <v/>
      </c>
      <c r="AC166" s="7">
        <f>IF($AH166="","",IF(INDEX('Per Invoice'!AC$2:AC$401,$AH166)="","",INDEX('Per Invoice'!AC$2:AC$401,$AH166)))</f>
        <v/>
      </c>
      <c r="AD166" s="7">
        <f>IF($AH166="","",IF(INDEX('Per Invoice'!AD$2:AD$401,$AH166)="","",INDEX('Per Invoice'!AD$2:AD$401,$AH166)))</f>
        <v/>
      </c>
      <c r="AE166" s="7">
        <f>IF($AH166="","",IF(INDEX('Per Invoice'!AE$2:AE$401,$AH166)="","",INDEX('Per Invoice'!AE$2:AE$401,$AH166)))</f>
        <v/>
      </c>
      <c r="AF166">
        <f>IF($AH166="","",IF(INDEX('Per Invoice'!AF$2:AF$401,$AH166)="","",INDEX('Per Invoice'!AF$2:AF$401,$AH166)))</f>
        <v/>
      </c>
      <c r="AG166" s="7">
        <f>IF($AH166="","",IF(INDEX('Per Invoice'!AG$2:AG$401,$AH166)="","",INDEX('Per Invoice'!AG$2:AG$401,$AH166)))</f>
        <v/>
      </c>
      <c r="AH166" s="16">
        <f>IFERROR(MATCH(Settings!$C$26&amp;"|"&amp;ROWS($AH$2:$AH166),'Per Invoice'!$AI$2:$AI$401,0),"")</f>
        <v/>
      </c>
    </row>
    <row r="167">
      <c r="A167">
        <f>IF($AH167="","",IF(INDEX('Per Invoice'!A$2:A$401,$AH167)="","",INDEX('Per Invoice'!A$2:A$401,$AH167)))</f>
        <v/>
      </c>
      <c r="B167">
        <f>IF($AH167="","",IF(INDEX('Per Invoice'!B$2:B$401,$AH167)="","",INDEX('Per Invoice'!B$2:B$401,$AH167)))</f>
        <v/>
      </c>
      <c r="C167">
        <f>IF($AH167="","",IF(INDEX('Per Invoice'!C$2:C$401,$AH167)="","",INDEX('Per Invoice'!C$2:C$401,$AH167)))</f>
        <v/>
      </c>
      <c r="D167">
        <f>IF($AH167="","",IF(INDEX('Per Invoice'!D$2:D$401,$AH167)="","",INDEX('Per Invoice'!D$2:D$401,$AH167)))</f>
        <v/>
      </c>
      <c r="E167">
        <f>IF($AH167="","",IF(INDEX('Per Invoice'!E$2:E$401,$AH167)="","",INDEX('Per Invoice'!E$2:E$401,$AH167)))</f>
        <v/>
      </c>
      <c r="F167">
        <f>IF($AH167="","",IF(INDEX('Per Invoice'!F$2:F$401,$AH167)="","",INDEX('Per Invoice'!F$2:F$401,$AH167)))</f>
        <v/>
      </c>
      <c r="G167">
        <f>IF($AH167="","",IF(INDEX('Per Invoice'!G$2:G$401,$AH167)="","",INDEX('Per Invoice'!G$2:G$401,$AH167)))</f>
        <v/>
      </c>
      <c r="H167">
        <f>IF($AH167="","",IF(INDEX('Per Invoice'!H$2:H$401,$AH167)="","",INDEX('Per Invoice'!H$2:H$401,$AH167)))</f>
        <v/>
      </c>
      <c r="I167" s="14">
        <f>IF($AH167="","",IF(INDEX('Per Invoice'!I$2:I$401,$AH167)="","",INDEX('Per Invoice'!I$2:I$401,$AH167)))</f>
        <v/>
      </c>
      <c r="J167">
        <f>IF($AH167="","",IF(INDEX('Per Invoice'!J$2:J$401,$AH167)="","",INDEX('Per Invoice'!J$2:J$401,$AH167)))</f>
        <v/>
      </c>
      <c r="K167">
        <f>IF($AH167="","",IF(INDEX('Per Invoice'!K$2:K$401,$AH167)="","",INDEX('Per Invoice'!K$2:K$401,$AH167)))</f>
        <v/>
      </c>
      <c r="L167">
        <f>IF($AH167="","",IF(INDEX('Per Invoice'!L$2:L$401,$AH167)="","",INDEX('Per Invoice'!L$2:L$401,$AH167)))</f>
        <v/>
      </c>
      <c r="M167">
        <f>IF($AH167="","",IF(INDEX('Per Invoice'!M$2:M$401,$AH167)="","",INDEX('Per Invoice'!M$2:M$401,$AH167)))</f>
        <v/>
      </c>
      <c r="N167">
        <f>IF($AH167="","",IF(INDEX('Per Invoice'!N$2:N$401,$AH167)="","",INDEX('Per Invoice'!N$2:N$401,$AH167)))</f>
        <v/>
      </c>
      <c r="O167">
        <f>IF($AH167="","",IF(INDEX('Per Invoice'!O$2:O$401,$AH167)="","",INDEX('Per Invoice'!O$2:O$401,$AH167)))</f>
        <v/>
      </c>
      <c r="P167" s="7">
        <f>IF($AH167="","",IF(INDEX('Per Invoice'!P$2:P$401,$AH167)="","",INDEX('Per Invoice'!P$2:P$401,$AH167)))</f>
        <v/>
      </c>
      <c r="Q167">
        <f>IF($AH167="","",IF(INDEX('Per Invoice'!Q$2:Q$401,$AH167)="","",INDEX('Per Invoice'!Q$2:Q$401,$AH167)))</f>
        <v/>
      </c>
      <c r="R167">
        <f>IF($AH167="","",IF(INDEX('Per Invoice'!R$2:R$401,$AH167)="","",INDEX('Per Invoice'!R$2:R$401,$AH167)))</f>
        <v/>
      </c>
      <c r="S167">
        <f>IF($AH167="","",IF(INDEX('Per Invoice'!S$2:S$401,$AH167)="","",INDEX('Per Invoice'!S$2:S$401,$AH167)))</f>
        <v/>
      </c>
      <c r="T167" s="7">
        <f>IF($AH167="","",IF(INDEX('Per Invoice'!T$2:T$401,$AH167)="","",INDEX('Per Invoice'!T$2:T$401,$AH167)))</f>
        <v/>
      </c>
      <c r="U167" s="7">
        <f>IF($AH167="","",IF(INDEX('Per Invoice'!U$2:U$401,$AH167)="","",INDEX('Per Invoice'!U$2:U$401,$AH167)))</f>
        <v/>
      </c>
      <c r="V167">
        <f>IF($AH167="","",IF(INDEX('Per Invoice'!V$2:V$401,$AH167)="","",INDEX('Per Invoice'!V$2:V$401,$AH167)))</f>
        <v/>
      </c>
      <c r="W167" s="7">
        <f>IF($AH167="","",IF(INDEX('Per Invoice'!W$2:W$401,$AH167)="","",INDEX('Per Invoice'!W$2:W$401,$AH167)))</f>
        <v/>
      </c>
      <c r="X167" s="7">
        <f>IF($AH167="","",IF(INDEX('Per Invoice'!X$2:X$401,$AH167)="","",INDEX('Per Invoice'!X$2:X$401,$AH167)))</f>
        <v/>
      </c>
      <c r="Y167">
        <f>IF($AH167="","",IF(INDEX('Per Invoice'!Y$2:Y$401,$AH167)="","",INDEX('Per Invoice'!Y$2:Y$401,$AH167)))</f>
        <v/>
      </c>
      <c r="Z167" s="7">
        <f>IF($AH167="","",IF(INDEX('Per Invoice'!Z$2:Z$401,$AH167)="","",INDEX('Per Invoice'!Z$2:Z$401,$AH167)))</f>
        <v/>
      </c>
      <c r="AA167" s="7">
        <f>IF($AH167="","",IF(INDEX('Per Invoice'!AA$2:AA$401,$AH167)="","",INDEX('Per Invoice'!AA$2:AA$401,$AH167)))</f>
        <v/>
      </c>
      <c r="AB167" s="7">
        <f>IF($AH167="","",IF(INDEX('Per Invoice'!AB$2:AB$401,$AH167)="","",INDEX('Per Invoice'!AB$2:AB$401,$AH167)))</f>
        <v/>
      </c>
      <c r="AC167" s="7">
        <f>IF($AH167="","",IF(INDEX('Per Invoice'!AC$2:AC$401,$AH167)="","",INDEX('Per Invoice'!AC$2:AC$401,$AH167)))</f>
        <v/>
      </c>
      <c r="AD167" s="7">
        <f>IF($AH167="","",IF(INDEX('Per Invoice'!AD$2:AD$401,$AH167)="","",INDEX('Per Invoice'!AD$2:AD$401,$AH167)))</f>
        <v/>
      </c>
      <c r="AE167" s="7">
        <f>IF($AH167="","",IF(INDEX('Per Invoice'!AE$2:AE$401,$AH167)="","",INDEX('Per Invoice'!AE$2:AE$401,$AH167)))</f>
        <v/>
      </c>
      <c r="AF167">
        <f>IF($AH167="","",IF(INDEX('Per Invoice'!AF$2:AF$401,$AH167)="","",INDEX('Per Invoice'!AF$2:AF$401,$AH167)))</f>
        <v/>
      </c>
      <c r="AG167" s="7">
        <f>IF($AH167="","",IF(INDEX('Per Invoice'!AG$2:AG$401,$AH167)="","",INDEX('Per Invoice'!AG$2:AG$401,$AH167)))</f>
        <v/>
      </c>
      <c r="AH167" s="16">
        <f>IFERROR(MATCH(Settings!$C$26&amp;"|"&amp;ROWS($AH$2:$AH167),'Per Invoice'!$AI$2:$AI$401,0),"")</f>
        <v/>
      </c>
    </row>
    <row r="168">
      <c r="A168">
        <f>IF($AH168="","",IF(INDEX('Per Invoice'!A$2:A$401,$AH168)="","",INDEX('Per Invoice'!A$2:A$401,$AH168)))</f>
        <v/>
      </c>
      <c r="B168">
        <f>IF($AH168="","",IF(INDEX('Per Invoice'!B$2:B$401,$AH168)="","",INDEX('Per Invoice'!B$2:B$401,$AH168)))</f>
        <v/>
      </c>
      <c r="C168">
        <f>IF($AH168="","",IF(INDEX('Per Invoice'!C$2:C$401,$AH168)="","",INDEX('Per Invoice'!C$2:C$401,$AH168)))</f>
        <v/>
      </c>
      <c r="D168">
        <f>IF($AH168="","",IF(INDEX('Per Invoice'!D$2:D$401,$AH168)="","",INDEX('Per Invoice'!D$2:D$401,$AH168)))</f>
        <v/>
      </c>
      <c r="E168">
        <f>IF($AH168="","",IF(INDEX('Per Invoice'!E$2:E$401,$AH168)="","",INDEX('Per Invoice'!E$2:E$401,$AH168)))</f>
        <v/>
      </c>
      <c r="F168">
        <f>IF($AH168="","",IF(INDEX('Per Invoice'!F$2:F$401,$AH168)="","",INDEX('Per Invoice'!F$2:F$401,$AH168)))</f>
        <v/>
      </c>
      <c r="G168">
        <f>IF($AH168="","",IF(INDEX('Per Invoice'!G$2:G$401,$AH168)="","",INDEX('Per Invoice'!G$2:G$401,$AH168)))</f>
        <v/>
      </c>
      <c r="H168">
        <f>IF($AH168="","",IF(INDEX('Per Invoice'!H$2:H$401,$AH168)="","",INDEX('Per Invoice'!H$2:H$401,$AH168)))</f>
        <v/>
      </c>
      <c r="I168" s="14">
        <f>IF($AH168="","",IF(INDEX('Per Invoice'!I$2:I$401,$AH168)="","",INDEX('Per Invoice'!I$2:I$401,$AH168)))</f>
        <v/>
      </c>
      <c r="J168">
        <f>IF($AH168="","",IF(INDEX('Per Invoice'!J$2:J$401,$AH168)="","",INDEX('Per Invoice'!J$2:J$401,$AH168)))</f>
        <v/>
      </c>
      <c r="K168">
        <f>IF($AH168="","",IF(INDEX('Per Invoice'!K$2:K$401,$AH168)="","",INDEX('Per Invoice'!K$2:K$401,$AH168)))</f>
        <v/>
      </c>
      <c r="L168">
        <f>IF($AH168="","",IF(INDEX('Per Invoice'!L$2:L$401,$AH168)="","",INDEX('Per Invoice'!L$2:L$401,$AH168)))</f>
        <v/>
      </c>
      <c r="M168">
        <f>IF($AH168="","",IF(INDEX('Per Invoice'!M$2:M$401,$AH168)="","",INDEX('Per Invoice'!M$2:M$401,$AH168)))</f>
        <v/>
      </c>
      <c r="N168">
        <f>IF($AH168="","",IF(INDEX('Per Invoice'!N$2:N$401,$AH168)="","",INDEX('Per Invoice'!N$2:N$401,$AH168)))</f>
        <v/>
      </c>
      <c r="O168">
        <f>IF($AH168="","",IF(INDEX('Per Invoice'!O$2:O$401,$AH168)="","",INDEX('Per Invoice'!O$2:O$401,$AH168)))</f>
        <v/>
      </c>
      <c r="P168" s="7">
        <f>IF($AH168="","",IF(INDEX('Per Invoice'!P$2:P$401,$AH168)="","",INDEX('Per Invoice'!P$2:P$401,$AH168)))</f>
        <v/>
      </c>
      <c r="Q168">
        <f>IF($AH168="","",IF(INDEX('Per Invoice'!Q$2:Q$401,$AH168)="","",INDEX('Per Invoice'!Q$2:Q$401,$AH168)))</f>
        <v/>
      </c>
      <c r="R168">
        <f>IF($AH168="","",IF(INDEX('Per Invoice'!R$2:R$401,$AH168)="","",INDEX('Per Invoice'!R$2:R$401,$AH168)))</f>
        <v/>
      </c>
      <c r="S168">
        <f>IF($AH168="","",IF(INDEX('Per Invoice'!S$2:S$401,$AH168)="","",INDEX('Per Invoice'!S$2:S$401,$AH168)))</f>
        <v/>
      </c>
      <c r="T168" s="7">
        <f>IF($AH168="","",IF(INDEX('Per Invoice'!T$2:T$401,$AH168)="","",INDEX('Per Invoice'!T$2:T$401,$AH168)))</f>
        <v/>
      </c>
      <c r="U168" s="7">
        <f>IF($AH168="","",IF(INDEX('Per Invoice'!U$2:U$401,$AH168)="","",INDEX('Per Invoice'!U$2:U$401,$AH168)))</f>
        <v/>
      </c>
      <c r="V168">
        <f>IF($AH168="","",IF(INDEX('Per Invoice'!V$2:V$401,$AH168)="","",INDEX('Per Invoice'!V$2:V$401,$AH168)))</f>
        <v/>
      </c>
      <c r="W168" s="7">
        <f>IF($AH168="","",IF(INDEX('Per Invoice'!W$2:W$401,$AH168)="","",INDEX('Per Invoice'!W$2:W$401,$AH168)))</f>
        <v/>
      </c>
      <c r="X168" s="7">
        <f>IF($AH168="","",IF(INDEX('Per Invoice'!X$2:X$401,$AH168)="","",INDEX('Per Invoice'!X$2:X$401,$AH168)))</f>
        <v/>
      </c>
      <c r="Y168">
        <f>IF($AH168="","",IF(INDEX('Per Invoice'!Y$2:Y$401,$AH168)="","",INDEX('Per Invoice'!Y$2:Y$401,$AH168)))</f>
        <v/>
      </c>
      <c r="Z168" s="7">
        <f>IF($AH168="","",IF(INDEX('Per Invoice'!Z$2:Z$401,$AH168)="","",INDEX('Per Invoice'!Z$2:Z$401,$AH168)))</f>
        <v/>
      </c>
      <c r="AA168" s="7">
        <f>IF($AH168="","",IF(INDEX('Per Invoice'!AA$2:AA$401,$AH168)="","",INDEX('Per Invoice'!AA$2:AA$401,$AH168)))</f>
        <v/>
      </c>
      <c r="AB168" s="7">
        <f>IF($AH168="","",IF(INDEX('Per Invoice'!AB$2:AB$401,$AH168)="","",INDEX('Per Invoice'!AB$2:AB$401,$AH168)))</f>
        <v/>
      </c>
      <c r="AC168" s="7">
        <f>IF($AH168="","",IF(INDEX('Per Invoice'!AC$2:AC$401,$AH168)="","",INDEX('Per Invoice'!AC$2:AC$401,$AH168)))</f>
        <v/>
      </c>
      <c r="AD168" s="7">
        <f>IF($AH168="","",IF(INDEX('Per Invoice'!AD$2:AD$401,$AH168)="","",INDEX('Per Invoice'!AD$2:AD$401,$AH168)))</f>
        <v/>
      </c>
      <c r="AE168" s="7">
        <f>IF($AH168="","",IF(INDEX('Per Invoice'!AE$2:AE$401,$AH168)="","",INDEX('Per Invoice'!AE$2:AE$401,$AH168)))</f>
        <v/>
      </c>
      <c r="AF168">
        <f>IF($AH168="","",IF(INDEX('Per Invoice'!AF$2:AF$401,$AH168)="","",INDEX('Per Invoice'!AF$2:AF$401,$AH168)))</f>
        <v/>
      </c>
      <c r="AG168" s="7">
        <f>IF($AH168="","",IF(INDEX('Per Invoice'!AG$2:AG$401,$AH168)="","",INDEX('Per Invoice'!AG$2:AG$401,$AH168)))</f>
        <v/>
      </c>
      <c r="AH168" s="16">
        <f>IFERROR(MATCH(Settings!$C$26&amp;"|"&amp;ROWS($AH$2:$AH168),'Per Invoice'!$AI$2:$AI$401,0),"")</f>
        <v/>
      </c>
    </row>
    <row r="169">
      <c r="A169">
        <f>IF($AH169="","",IF(INDEX('Per Invoice'!A$2:A$401,$AH169)="","",INDEX('Per Invoice'!A$2:A$401,$AH169)))</f>
        <v/>
      </c>
      <c r="B169">
        <f>IF($AH169="","",IF(INDEX('Per Invoice'!B$2:B$401,$AH169)="","",INDEX('Per Invoice'!B$2:B$401,$AH169)))</f>
        <v/>
      </c>
      <c r="C169">
        <f>IF($AH169="","",IF(INDEX('Per Invoice'!C$2:C$401,$AH169)="","",INDEX('Per Invoice'!C$2:C$401,$AH169)))</f>
        <v/>
      </c>
      <c r="D169">
        <f>IF($AH169="","",IF(INDEX('Per Invoice'!D$2:D$401,$AH169)="","",INDEX('Per Invoice'!D$2:D$401,$AH169)))</f>
        <v/>
      </c>
      <c r="E169">
        <f>IF($AH169="","",IF(INDEX('Per Invoice'!E$2:E$401,$AH169)="","",INDEX('Per Invoice'!E$2:E$401,$AH169)))</f>
        <v/>
      </c>
      <c r="F169">
        <f>IF($AH169="","",IF(INDEX('Per Invoice'!F$2:F$401,$AH169)="","",INDEX('Per Invoice'!F$2:F$401,$AH169)))</f>
        <v/>
      </c>
      <c r="G169">
        <f>IF($AH169="","",IF(INDEX('Per Invoice'!G$2:G$401,$AH169)="","",INDEX('Per Invoice'!G$2:G$401,$AH169)))</f>
        <v/>
      </c>
      <c r="H169">
        <f>IF($AH169="","",IF(INDEX('Per Invoice'!H$2:H$401,$AH169)="","",INDEX('Per Invoice'!H$2:H$401,$AH169)))</f>
        <v/>
      </c>
      <c r="I169" s="14">
        <f>IF($AH169="","",IF(INDEX('Per Invoice'!I$2:I$401,$AH169)="","",INDEX('Per Invoice'!I$2:I$401,$AH169)))</f>
        <v/>
      </c>
      <c r="J169">
        <f>IF($AH169="","",IF(INDEX('Per Invoice'!J$2:J$401,$AH169)="","",INDEX('Per Invoice'!J$2:J$401,$AH169)))</f>
        <v/>
      </c>
      <c r="K169">
        <f>IF($AH169="","",IF(INDEX('Per Invoice'!K$2:K$401,$AH169)="","",INDEX('Per Invoice'!K$2:K$401,$AH169)))</f>
        <v/>
      </c>
      <c r="L169">
        <f>IF($AH169="","",IF(INDEX('Per Invoice'!L$2:L$401,$AH169)="","",INDEX('Per Invoice'!L$2:L$401,$AH169)))</f>
        <v/>
      </c>
      <c r="M169">
        <f>IF($AH169="","",IF(INDEX('Per Invoice'!M$2:M$401,$AH169)="","",INDEX('Per Invoice'!M$2:M$401,$AH169)))</f>
        <v/>
      </c>
      <c r="N169">
        <f>IF($AH169="","",IF(INDEX('Per Invoice'!N$2:N$401,$AH169)="","",INDEX('Per Invoice'!N$2:N$401,$AH169)))</f>
        <v/>
      </c>
      <c r="O169">
        <f>IF($AH169="","",IF(INDEX('Per Invoice'!O$2:O$401,$AH169)="","",INDEX('Per Invoice'!O$2:O$401,$AH169)))</f>
        <v/>
      </c>
      <c r="P169" s="7">
        <f>IF($AH169="","",IF(INDEX('Per Invoice'!P$2:P$401,$AH169)="","",INDEX('Per Invoice'!P$2:P$401,$AH169)))</f>
        <v/>
      </c>
      <c r="Q169">
        <f>IF($AH169="","",IF(INDEX('Per Invoice'!Q$2:Q$401,$AH169)="","",INDEX('Per Invoice'!Q$2:Q$401,$AH169)))</f>
        <v/>
      </c>
      <c r="R169">
        <f>IF($AH169="","",IF(INDEX('Per Invoice'!R$2:R$401,$AH169)="","",INDEX('Per Invoice'!R$2:R$401,$AH169)))</f>
        <v/>
      </c>
      <c r="S169">
        <f>IF($AH169="","",IF(INDEX('Per Invoice'!S$2:S$401,$AH169)="","",INDEX('Per Invoice'!S$2:S$401,$AH169)))</f>
        <v/>
      </c>
      <c r="T169" s="7">
        <f>IF($AH169="","",IF(INDEX('Per Invoice'!T$2:T$401,$AH169)="","",INDEX('Per Invoice'!T$2:T$401,$AH169)))</f>
        <v/>
      </c>
      <c r="U169" s="7">
        <f>IF($AH169="","",IF(INDEX('Per Invoice'!U$2:U$401,$AH169)="","",INDEX('Per Invoice'!U$2:U$401,$AH169)))</f>
        <v/>
      </c>
      <c r="V169">
        <f>IF($AH169="","",IF(INDEX('Per Invoice'!V$2:V$401,$AH169)="","",INDEX('Per Invoice'!V$2:V$401,$AH169)))</f>
        <v/>
      </c>
      <c r="W169" s="7">
        <f>IF($AH169="","",IF(INDEX('Per Invoice'!W$2:W$401,$AH169)="","",INDEX('Per Invoice'!W$2:W$401,$AH169)))</f>
        <v/>
      </c>
      <c r="X169" s="7">
        <f>IF($AH169="","",IF(INDEX('Per Invoice'!X$2:X$401,$AH169)="","",INDEX('Per Invoice'!X$2:X$401,$AH169)))</f>
        <v/>
      </c>
      <c r="Y169">
        <f>IF($AH169="","",IF(INDEX('Per Invoice'!Y$2:Y$401,$AH169)="","",INDEX('Per Invoice'!Y$2:Y$401,$AH169)))</f>
        <v/>
      </c>
      <c r="Z169" s="7">
        <f>IF($AH169="","",IF(INDEX('Per Invoice'!Z$2:Z$401,$AH169)="","",INDEX('Per Invoice'!Z$2:Z$401,$AH169)))</f>
        <v/>
      </c>
      <c r="AA169" s="7">
        <f>IF($AH169="","",IF(INDEX('Per Invoice'!AA$2:AA$401,$AH169)="","",INDEX('Per Invoice'!AA$2:AA$401,$AH169)))</f>
        <v/>
      </c>
      <c r="AB169" s="7">
        <f>IF($AH169="","",IF(INDEX('Per Invoice'!AB$2:AB$401,$AH169)="","",INDEX('Per Invoice'!AB$2:AB$401,$AH169)))</f>
        <v/>
      </c>
      <c r="AC169" s="7">
        <f>IF($AH169="","",IF(INDEX('Per Invoice'!AC$2:AC$401,$AH169)="","",INDEX('Per Invoice'!AC$2:AC$401,$AH169)))</f>
        <v/>
      </c>
      <c r="AD169" s="7">
        <f>IF($AH169="","",IF(INDEX('Per Invoice'!AD$2:AD$401,$AH169)="","",INDEX('Per Invoice'!AD$2:AD$401,$AH169)))</f>
        <v/>
      </c>
      <c r="AE169" s="7">
        <f>IF($AH169="","",IF(INDEX('Per Invoice'!AE$2:AE$401,$AH169)="","",INDEX('Per Invoice'!AE$2:AE$401,$AH169)))</f>
        <v/>
      </c>
      <c r="AF169">
        <f>IF($AH169="","",IF(INDEX('Per Invoice'!AF$2:AF$401,$AH169)="","",INDEX('Per Invoice'!AF$2:AF$401,$AH169)))</f>
        <v/>
      </c>
      <c r="AG169" s="7">
        <f>IF($AH169="","",IF(INDEX('Per Invoice'!AG$2:AG$401,$AH169)="","",INDEX('Per Invoice'!AG$2:AG$401,$AH169)))</f>
        <v/>
      </c>
      <c r="AH169" s="16">
        <f>IFERROR(MATCH(Settings!$C$26&amp;"|"&amp;ROWS($AH$2:$AH169),'Per Invoice'!$AI$2:$AI$401,0),"")</f>
        <v/>
      </c>
    </row>
    <row r="170">
      <c r="A170">
        <f>IF($AH170="","",IF(INDEX('Per Invoice'!A$2:A$401,$AH170)="","",INDEX('Per Invoice'!A$2:A$401,$AH170)))</f>
        <v/>
      </c>
      <c r="B170">
        <f>IF($AH170="","",IF(INDEX('Per Invoice'!B$2:B$401,$AH170)="","",INDEX('Per Invoice'!B$2:B$401,$AH170)))</f>
        <v/>
      </c>
      <c r="C170">
        <f>IF($AH170="","",IF(INDEX('Per Invoice'!C$2:C$401,$AH170)="","",INDEX('Per Invoice'!C$2:C$401,$AH170)))</f>
        <v/>
      </c>
      <c r="D170">
        <f>IF($AH170="","",IF(INDEX('Per Invoice'!D$2:D$401,$AH170)="","",INDEX('Per Invoice'!D$2:D$401,$AH170)))</f>
        <v/>
      </c>
      <c r="E170">
        <f>IF($AH170="","",IF(INDEX('Per Invoice'!E$2:E$401,$AH170)="","",INDEX('Per Invoice'!E$2:E$401,$AH170)))</f>
        <v/>
      </c>
      <c r="F170">
        <f>IF($AH170="","",IF(INDEX('Per Invoice'!F$2:F$401,$AH170)="","",INDEX('Per Invoice'!F$2:F$401,$AH170)))</f>
        <v/>
      </c>
      <c r="G170">
        <f>IF($AH170="","",IF(INDEX('Per Invoice'!G$2:G$401,$AH170)="","",INDEX('Per Invoice'!G$2:G$401,$AH170)))</f>
        <v/>
      </c>
      <c r="H170">
        <f>IF($AH170="","",IF(INDEX('Per Invoice'!H$2:H$401,$AH170)="","",INDEX('Per Invoice'!H$2:H$401,$AH170)))</f>
        <v/>
      </c>
      <c r="I170" s="14">
        <f>IF($AH170="","",IF(INDEX('Per Invoice'!I$2:I$401,$AH170)="","",INDEX('Per Invoice'!I$2:I$401,$AH170)))</f>
        <v/>
      </c>
      <c r="J170">
        <f>IF($AH170="","",IF(INDEX('Per Invoice'!J$2:J$401,$AH170)="","",INDEX('Per Invoice'!J$2:J$401,$AH170)))</f>
        <v/>
      </c>
      <c r="K170">
        <f>IF($AH170="","",IF(INDEX('Per Invoice'!K$2:K$401,$AH170)="","",INDEX('Per Invoice'!K$2:K$401,$AH170)))</f>
        <v/>
      </c>
      <c r="L170">
        <f>IF($AH170="","",IF(INDEX('Per Invoice'!L$2:L$401,$AH170)="","",INDEX('Per Invoice'!L$2:L$401,$AH170)))</f>
        <v/>
      </c>
      <c r="M170">
        <f>IF($AH170="","",IF(INDEX('Per Invoice'!M$2:M$401,$AH170)="","",INDEX('Per Invoice'!M$2:M$401,$AH170)))</f>
        <v/>
      </c>
      <c r="N170">
        <f>IF($AH170="","",IF(INDEX('Per Invoice'!N$2:N$401,$AH170)="","",INDEX('Per Invoice'!N$2:N$401,$AH170)))</f>
        <v/>
      </c>
      <c r="O170">
        <f>IF($AH170="","",IF(INDEX('Per Invoice'!O$2:O$401,$AH170)="","",INDEX('Per Invoice'!O$2:O$401,$AH170)))</f>
        <v/>
      </c>
      <c r="P170" s="7">
        <f>IF($AH170="","",IF(INDEX('Per Invoice'!P$2:P$401,$AH170)="","",INDEX('Per Invoice'!P$2:P$401,$AH170)))</f>
        <v/>
      </c>
      <c r="Q170">
        <f>IF($AH170="","",IF(INDEX('Per Invoice'!Q$2:Q$401,$AH170)="","",INDEX('Per Invoice'!Q$2:Q$401,$AH170)))</f>
        <v/>
      </c>
      <c r="R170">
        <f>IF($AH170="","",IF(INDEX('Per Invoice'!R$2:R$401,$AH170)="","",INDEX('Per Invoice'!R$2:R$401,$AH170)))</f>
        <v/>
      </c>
      <c r="S170">
        <f>IF($AH170="","",IF(INDEX('Per Invoice'!S$2:S$401,$AH170)="","",INDEX('Per Invoice'!S$2:S$401,$AH170)))</f>
        <v/>
      </c>
      <c r="T170" s="7">
        <f>IF($AH170="","",IF(INDEX('Per Invoice'!T$2:T$401,$AH170)="","",INDEX('Per Invoice'!T$2:T$401,$AH170)))</f>
        <v/>
      </c>
      <c r="U170" s="7">
        <f>IF($AH170="","",IF(INDEX('Per Invoice'!U$2:U$401,$AH170)="","",INDEX('Per Invoice'!U$2:U$401,$AH170)))</f>
        <v/>
      </c>
      <c r="V170">
        <f>IF($AH170="","",IF(INDEX('Per Invoice'!V$2:V$401,$AH170)="","",INDEX('Per Invoice'!V$2:V$401,$AH170)))</f>
        <v/>
      </c>
      <c r="W170" s="7">
        <f>IF($AH170="","",IF(INDEX('Per Invoice'!W$2:W$401,$AH170)="","",INDEX('Per Invoice'!W$2:W$401,$AH170)))</f>
        <v/>
      </c>
      <c r="X170" s="7">
        <f>IF($AH170="","",IF(INDEX('Per Invoice'!X$2:X$401,$AH170)="","",INDEX('Per Invoice'!X$2:X$401,$AH170)))</f>
        <v/>
      </c>
      <c r="Y170">
        <f>IF($AH170="","",IF(INDEX('Per Invoice'!Y$2:Y$401,$AH170)="","",INDEX('Per Invoice'!Y$2:Y$401,$AH170)))</f>
        <v/>
      </c>
      <c r="Z170" s="7">
        <f>IF($AH170="","",IF(INDEX('Per Invoice'!Z$2:Z$401,$AH170)="","",INDEX('Per Invoice'!Z$2:Z$401,$AH170)))</f>
        <v/>
      </c>
      <c r="AA170" s="7">
        <f>IF($AH170="","",IF(INDEX('Per Invoice'!AA$2:AA$401,$AH170)="","",INDEX('Per Invoice'!AA$2:AA$401,$AH170)))</f>
        <v/>
      </c>
      <c r="AB170" s="7">
        <f>IF($AH170="","",IF(INDEX('Per Invoice'!AB$2:AB$401,$AH170)="","",INDEX('Per Invoice'!AB$2:AB$401,$AH170)))</f>
        <v/>
      </c>
      <c r="AC170" s="7">
        <f>IF($AH170="","",IF(INDEX('Per Invoice'!AC$2:AC$401,$AH170)="","",INDEX('Per Invoice'!AC$2:AC$401,$AH170)))</f>
        <v/>
      </c>
      <c r="AD170" s="7">
        <f>IF($AH170="","",IF(INDEX('Per Invoice'!AD$2:AD$401,$AH170)="","",INDEX('Per Invoice'!AD$2:AD$401,$AH170)))</f>
        <v/>
      </c>
      <c r="AE170" s="7">
        <f>IF($AH170="","",IF(INDEX('Per Invoice'!AE$2:AE$401,$AH170)="","",INDEX('Per Invoice'!AE$2:AE$401,$AH170)))</f>
        <v/>
      </c>
      <c r="AF170">
        <f>IF($AH170="","",IF(INDEX('Per Invoice'!AF$2:AF$401,$AH170)="","",INDEX('Per Invoice'!AF$2:AF$401,$AH170)))</f>
        <v/>
      </c>
      <c r="AG170" s="7">
        <f>IF($AH170="","",IF(INDEX('Per Invoice'!AG$2:AG$401,$AH170)="","",INDEX('Per Invoice'!AG$2:AG$401,$AH170)))</f>
        <v/>
      </c>
      <c r="AH170" s="16">
        <f>IFERROR(MATCH(Settings!$C$26&amp;"|"&amp;ROWS($AH$2:$AH170),'Per Invoice'!$AI$2:$AI$401,0),"")</f>
        <v/>
      </c>
    </row>
    <row r="171">
      <c r="A171">
        <f>IF($AH171="","",IF(INDEX('Per Invoice'!A$2:A$401,$AH171)="","",INDEX('Per Invoice'!A$2:A$401,$AH171)))</f>
        <v/>
      </c>
      <c r="B171">
        <f>IF($AH171="","",IF(INDEX('Per Invoice'!B$2:B$401,$AH171)="","",INDEX('Per Invoice'!B$2:B$401,$AH171)))</f>
        <v/>
      </c>
      <c r="C171">
        <f>IF($AH171="","",IF(INDEX('Per Invoice'!C$2:C$401,$AH171)="","",INDEX('Per Invoice'!C$2:C$401,$AH171)))</f>
        <v/>
      </c>
      <c r="D171">
        <f>IF($AH171="","",IF(INDEX('Per Invoice'!D$2:D$401,$AH171)="","",INDEX('Per Invoice'!D$2:D$401,$AH171)))</f>
        <v/>
      </c>
      <c r="E171">
        <f>IF($AH171="","",IF(INDEX('Per Invoice'!E$2:E$401,$AH171)="","",INDEX('Per Invoice'!E$2:E$401,$AH171)))</f>
        <v/>
      </c>
      <c r="F171">
        <f>IF($AH171="","",IF(INDEX('Per Invoice'!F$2:F$401,$AH171)="","",INDEX('Per Invoice'!F$2:F$401,$AH171)))</f>
        <v/>
      </c>
      <c r="G171">
        <f>IF($AH171="","",IF(INDEX('Per Invoice'!G$2:G$401,$AH171)="","",INDEX('Per Invoice'!G$2:G$401,$AH171)))</f>
        <v/>
      </c>
      <c r="H171">
        <f>IF($AH171="","",IF(INDEX('Per Invoice'!H$2:H$401,$AH171)="","",INDEX('Per Invoice'!H$2:H$401,$AH171)))</f>
        <v/>
      </c>
      <c r="I171" s="14">
        <f>IF($AH171="","",IF(INDEX('Per Invoice'!I$2:I$401,$AH171)="","",INDEX('Per Invoice'!I$2:I$401,$AH171)))</f>
        <v/>
      </c>
      <c r="J171">
        <f>IF($AH171="","",IF(INDEX('Per Invoice'!J$2:J$401,$AH171)="","",INDEX('Per Invoice'!J$2:J$401,$AH171)))</f>
        <v/>
      </c>
      <c r="K171">
        <f>IF($AH171="","",IF(INDEX('Per Invoice'!K$2:K$401,$AH171)="","",INDEX('Per Invoice'!K$2:K$401,$AH171)))</f>
        <v/>
      </c>
      <c r="L171">
        <f>IF($AH171="","",IF(INDEX('Per Invoice'!L$2:L$401,$AH171)="","",INDEX('Per Invoice'!L$2:L$401,$AH171)))</f>
        <v/>
      </c>
      <c r="M171">
        <f>IF($AH171="","",IF(INDEX('Per Invoice'!M$2:M$401,$AH171)="","",INDEX('Per Invoice'!M$2:M$401,$AH171)))</f>
        <v/>
      </c>
      <c r="N171">
        <f>IF($AH171="","",IF(INDEX('Per Invoice'!N$2:N$401,$AH171)="","",INDEX('Per Invoice'!N$2:N$401,$AH171)))</f>
        <v/>
      </c>
      <c r="O171">
        <f>IF($AH171="","",IF(INDEX('Per Invoice'!O$2:O$401,$AH171)="","",INDEX('Per Invoice'!O$2:O$401,$AH171)))</f>
        <v/>
      </c>
      <c r="P171" s="7">
        <f>IF($AH171="","",IF(INDEX('Per Invoice'!P$2:P$401,$AH171)="","",INDEX('Per Invoice'!P$2:P$401,$AH171)))</f>
        <v/>
      </c>
      <c r="Q171">
        <f>IF($AH171="","",IF(INDEX('Per Invoice'!Q$2:Q$401,$AH171)="","",INDEX('Per Invoice'!Q$2:Q$401,$AH171)))</f>
        <v/>
      </c>
      <c r="R171">
        <f>IF($AH171="","",IF(INDEX('Per Invoice'!R$2:R$401,$AH171)="","",INDEX('Per Invoice'!R$2:R$401,$AH171)))</f>
        <v/>
      </c>
      <c r="S171">
        <f>IF($AH171="","",IF(INDEX('Per Invoice'!S$2:S$401,$AH171)="","",INDEX('Per Invoice'!S$2:S$401,$AH171)))</f>
        <v/>
      </c>
      <c r="T171" s="7">
        <f>IF($AH171="","",IF(INDEX('Per Invoice'!T$2:T$401,$AH171)="","",INDEX('Per Invoice'!T$2:T$401,$AH171)))</f>
        <v/>
      </c>
      <c r="U171" s="7">
        <f>IF($AH171="","",IF(INDEX('Per Invoice'!U$2:U$401,$AH171)="","",INDEX('Per Invoice'!U$2:U$401,$AH171)))</f>
        <v/>
      </c>
      <c r="V171">
        <f>IF($AH171="","",IF(INDEX('Per Invoice'!V$2:V$401,$AH171)="","",INDEX('Per Invoice'!V$2:V$401,$AH171)))</f>
        <v/>
      </c>
      <c r="W171" s="7">
        <f>IF($AH171="","",IF(INDEX('Per Invoice'!W$2:W$401,$AH171)="","",INDEX('Per Invoice'!W$2:W$401,$AH171)))</f>
        <v/>
      </c>
      <c r="X171" s="7">
        <f>IF($AH171="","",IF(INDEX('Per Invoice'!X$2:X$401,$AH171)="","",INDEX('Per Invoice'!X$2:X$401,$AH171)))</f>
        <v/>
      </c>
      <c r="Y171">
        <f>IF($AH171="","",IF(INDEX('Per Invoice'!Y$2:Y$401,$AH171)="","",INDEX('Per Invoice'!Y$2:Y$401,$AH171)))</f>
        <v/>
      </c>
      <c r="Z171" s="7">
        <f>IF($AH171="","",IF(INDEX('Per Invoice'!Z$2:Z$401,$AH171)="","",INDEX('Per Invoice'!Z$2:Z$401,$AH171)))</f>
        <v/>
      </c>
      <c r="AA171" s="7">
        <f>IF($AH171="","",IF(INDEX('Per Invoice'!AA$2:AA$401,$AH171)="","",INDEX('Per Invoice'!AA$2:AA$401,$AH171)))</f>
        <v/>
      </c>
      <c r="AB171" s="7">
        <f>IF($AH171="","",IF(INDEX('Per Invoice'!AB$2:AB$401,$AH171)="","",INDEX('Per Invoice'!AB$2:AB$401,$AH171)))</f>
        <v/>
      </c>
      <c r="AC171" s="7">
        <f>IF($AH171="","",IF(INDEX('Per Invoice'!AC$2:AC$401,$AH171)="","",INDEX('Per Invoice'!AC$2:AC$401,$AH171)))</f>
        <v/>
      </c>
      <c r="AD171" s="7">
        <f>IF($AH171="","",IF(INDEX('Per Invoice'!AD$2:AD$401,$AH171)="","",INDEX('Per Invoice'!AD$2:AD$401,$AH171)))</f>
        <v/>
      </c>
      <c r="AE171" s="7">
        <f>IF($AH171="","",IF(INDEX('Per Invoice'!AE$2:AE$401,$AH171)="","",INDEX('Per Invoice'!AE$2:AE$401,$AH171)))</f>
        <v/>
      </c>
      <c r="AF171">
        <f>IF($AH171="","",IF(INDEX('Per Invoice'!AF$2:AF$401,$AH171)="","",INDEX('Per Invoice'!AF$2:AF$401,$AH171)))</f>
        <v/>
      </c>
      <c r="AG171" s="7">
        <f>IF($AH171="","",IF(INDEX('Per Invoice'!AG$2:AG$401,$AH171)="","",INDEX('Per Invoice'!AG$2:AG$401,$AH171)))</f>
        <v/>
      </c>
      <c r="AH171" s="16">
        <f>IFERROR(MATCH(Settings!$C$26&amp;"|"&amp;ROWS($AH$2:$AH171),'Per Invoice'!$AI$2:$AI$401,0),"")</f>
        <v/>
      </c>
    </row>
    <row r="172">
      <c r="A172">
        <f>IF($AH172="","",IF(INDEX('Per Invoice'!A$2:A$401,$AH172)="","",INDEX('Per Invoice'!A$2:A$401,$AH172)))</f>
        <v/>
      </c>
      <c r="B172">
        <f>IF($AH172="","",IF(INDEX('Per Invoice'!B$2:B$401,$AH172)="","",INDEX('Per Invoice'!B$2:B$401,$AH172)))</f>
        <v/>
      </c>
      <c r="C172">
        <f>IF($AH172="","",IF(INDEX('Per Invoice'!C$2:C$401,$AH172)="","",INDEX('Per Invoice'!C$2:C$401,$AH172)))</f>
        <v/>
      </c>
      <c r="D172">
        <f>IF($AH172="","",IF(INDEX('Per Invoice'!D$2:D$401,$AH172)="","",INDEX('Per Invoice'!D$2:D$401,$AH172)))</f>
        <v/>
      </c>
      <c r="E172">
        <f>IF($AH172="","",IF(INDEX('Per Invoice'!E$2:E$401,$AH172)="","",INDEX('Per Invoice'!E$2:E$401,$AH172)))</f>
        <v/>
      </c>
      <c r="F172">
        <f>IF($AH172="","",IF(INDEX('Per Invoice'!F$2:F$401,$AH172)="","",INDEX('Per Invoice'!F$2:F$401,$AH172)))</f>
        <v/>
      </c>
      <c r="G172">
        <f>IF($AH172="","",IF(INDEX('Per Invoice'!G$2:G$401,$AH172)="","",INDEX('Per Invoice'!G$2:G$401,$AH172)))</f>
        <v/>
      </c>
      <c r="H172">
        <f>IF($AH172="","",IF(INDEX('Per Invoice'!H$2:H$401,$AH172)="","",INDEX('Per Invoice'!H$2:H$401,$AH172)))</f>
        <v/>
      </c>
      <c r="I172" s="14">
        <f>IF($AH172="","",IF(INDEX('Per Invoice'!I$2:I$401,$AH172)="","",INDEX('Per Invoice'!I$2:I$401,$AH172)))</f>
        <v/>
      </c>
      <c r="J172">
        <f>IF($AH172="","",IF(INDEX('Per Invoice'!J$2:J$401,$AH172)="","",INDEX('Per Invoice'!J$2:J$401,$AH172)))</f>
        <v/>
      </c>
      <c r="K172">
        <f>IF($AH172="","",IF(INDEX('Per Invoice'!K$2:K$401,$AH172)="","",INDEX('Per Invoice'!K$2:K$401,$AH172)))</f>
        <v/>
      </c>
      <c r="L172">
        <f>IF($AH172="","",IF(INDEX('Per Invoice'!L$2:L$401,$AH172)="","",INDEX('Per Invoice'!L$2:L$401,$AH172)))</f>
        <v/>
      </c>
      <c r="M172">
        <f>IF($AH172="","",IF(INDEX('Per Invoice'!M$2:M$401,$AH172)="","",INDEX('Per Invoice'!M$2:M$401,$AH172)))</f>
        <v/>
      </c>
      <c r="N172">
        <f>IF($AH172="","",IF(INDEX('Per Invoice'!N$2:N$401,$AH172)="","",INDEX('Per Invoice'!N$2:N$401,$AH172)))</f>
        <v/>
      </c>
      <c r="O172">
        <f>IF($AH172="","",IF(INDEX('Per Invoice'!O$2:O$401,$AH172)="","",INDEX('Per Invoice'!O$2:O$401,$AH172)))</f>
        <v/>
      </c>
      <c r="P172" s="7">
        <f>IF($AH172="","",IF(INDEX('Per Invoice'!P$2:P$401,$AH172)="","",INDEX('Per Invoice'!P$2:P$401,$AH172)))</f>
        <v/>
      </c>
      <c r="Q172">
        <f>IF($AH172="","",IF(INDEX('Per Invoice'!Q$2:Q$401,$AH172)="","",INDEX('Per Invoice'!Q$2:Q$401,$AH172)))</f>
        <v/>
      </c>
      <c r="R172">
        <f>IF($AH172="","",IF(INDEX('Per Invoice'!R$2:R$401,$AH172)="","",INDEX('Per Invoice'!R$2:R$401,$AH172)))</f>
        <v/>
      </c>
      <c r="S172">
        <f>IF($AH172="","",IF(INDEX('Per Invoice'!S$2:S$401,$AH172)="","",INDEX('Per Invoice'!S$2:S$401,$AH172)))</f>
        <v/>
      </c>
      <c r="T172" s="7">
        <f>IF($AH172="","",IF(INDEX('Per Invoice'!T$2:T$401,$AH172)="","",INDEX('Per Invoice'!T$2:T$401,$AH172)))</f>
        <v/>
      </c>
      <c r="U172" s="7">
        <f>IF($AH172="","",IF(INDEX('Per Invoice'!U$2:U$401,$AH172)="","",INDEX('Per Invoice'!U$2:U$401,$AH172)))</f>
        <v/>
      </c>
      <c r="V172">
        <f>IF($AH172="","",IF(INDEX('Per Invoice'!V$2:V$401,$AH172)="","",INDEX('Per Invoice'!V$2:V$401,$AH172)))</f>
        <v/>
      </c>
      <c r="W172" s="7">
        <f>IF($AH172="","",IF(INDEX('Per Invoice'!W$2:W$401,$AH172)="","",INDEX('Per Invoice'!W$2:W$401,$AH172)))</f>
        <v/>
      </c>
      <c r="X172" s="7">
        <f>IF($AH172="","",IF(INDEX('Per Invoice'!X$2:X$401,$AH172)="","",INDEX('Per Invoice'!X$2:X$401,$AH172)))</f>
        <v/>
      </c>
      <c r="Y172">
        <f>IF($AH172="","",IF(INDEX('Per Invoice'!Y$2:Y$401,$AH172)="","",INDEX('Per Invoice'!Y$2:Y$401,$AH172)))</f>
        <v/>
      </c>
      <c r="Z172" s="7">
        <f>IF($AH172="","",IF(INDEX('Per Invoice'!Z$2:Z$401,$AH172)="","",INDEX('Per Invoice'!Z$2:Z$401,$AH172)))</f>
        <v/>
      </c>
      <c r="AA172" s="7">
        <f>IF($AH172="","",IF(INDEX('Per Invoice'!AA$2:AA$401,$AH172)="","",INDEX('Per Invoice'!AA$2:AA$401,$AH172)))</f>
        <v/>
      </c>
      <c r="AB172" s="7">
        <f>IF($AH172="","",IF(INDEX('Per Invoice'!AB$2:AB$401,$AH172)="","",INDEX('Per Invoice'!AB$2:AB$401,$AH172)))</f>
        <v/>
      </c>
      <c r="AC172" s="7">
        <f>IF($AH172="","",IF(INDEX('Per Invoice'!AC$2:AC$401,$AH172)="","",INDEX('Per Invoice'!AC$2:AC$401,$AH172)))</f>
        <v/>
      </c>
      <c r="AD172" s="7">
        <f>IF($AH172="","",IF(INDEX('Per Invoice'!AD$2:AD$401,$AH172)="","",INDEX('Per Invoice'!AD$2:AD$401,$AH172)))</f>
        <v/>
      </c>
      <c r="AE172" s="7">
        <f>IF($AH172="","",IF(INDEX('Per Invoice'!AE$2:AE$401,$AH172)="","",INDEX('Per Invoice'!AE$2:AE$401,$AH172)))</f>
        <v/>
      </c>
      <c r="AF172">
        <f>IF($AH172="","",IF(INDEX('Per Invoice'!AF$2:AF$401,$AH172)="","",INDEX('Per Invoice'!AF$2:AF$401,$AH172)))</f>
        <v/>
      </c>
      <c r="AG172" s="7">
        <f>IF($AH172="","",IF(INDEX('Per Invoice'!AG$2:AG$401,$AH172)="","",INDEX('Per Invoice'!AG$2:AG$401,$AH172)))</f>
        <v/>
      </c>
      <c r="AH172" s="16">
        <f>IFERROR(MATCH(Settings!$C$26&amp;"|"&amp;ROWS($AH$2:$AH172),'Per Invoice'!$AI$2:$AI$401,0),"")</f>
        <v/>
      </c>
    </row>
    <row r="173">
      <c r="A173">
        <f>IF($AH173="","",IF(INDEX('Per Invoice'!A$2:A$401,$AH173)="","",INDEX('Per Invoice'!A$2:A$401,$AH173)))</f>
        <v/>
      </c>
      <c r="B173">
        <f>IF($AH173="","",IF(INDEX('Per Invoice'!B$2:B$401,$AH173)="","",INDEX('Per Invoice'!B$2:B$401,$AH173)))</f>
        <v/>
      </c>
      <c r="C173">
        <f>IF($AH173="","",IF(INDEX('Per Invoice'!C$2:C$401,$AH173)="","",INDEX('Per Invoice'!C$2:C$401,$AH173)))</f>
        <v/>
      </c>
      <c r="D173">
        <f>IF($AH173="","",IF(INDEX('Per Invoice'!D$2:D$401,$AH173)="","",INDEX('Per Invoice'!D$2:D$401,$AH173)))</f>
        <v/>
      </c>
      <c r="E173">
        <f>IF($AH173="","",IF(INDEX('Per Invoice'!E$2:E$401,$AH173)="","",INDEX('Per Invoice'!E$2:E$401,$AH173)))</f>
        <v/>
      </c>
      <c r="F173">
        <f>IF($AH173="","",IF(INDEX('Per Invoice'!F$2:F$401,$AH173)="","",INDEX('Per Invoice'!F$2:F$401,$AH173)))</f>
        <v/>
      </c>
      <c r="G173">
        <f>IF($AH173="","",IF(INDEX('Per Invoice'!G$2:G$401,$AH173)="","",INDEX('Per Invoice'!G$2:G$401,$AH173)))</f>
        <v/>
      </c>
      <c r="H173">
        <f>IF($AH173="","",IF(INDEX('Per Invoice'!H$2:H$401,$AH173)="","",INDEX('Per Invoice'!H$2:H$401,$AH173)))</f>
        <v/>
      </c>
      <c r="I173" s="14">
        <f>IF($AH173="","",IF(INDEX('Per Invoice'!I$2:I$401,$AH173)="","",INDEX('Per Invoice'!I$2:I$401,$AH173)))</f>
        <v/>
      </c>
      <c r="J173">
        <f>IF($AH173="","",IF(INDEX('Per Invoice'!J$2:J$401,$AH173)="","",INDEX('Per Invoice'!J$2:J$401,$AH173)))</f>
        <v/>
      </c>
      <c r="K173">
        <f>IF($AH173="","",IF(INDEX('Per Invoice'!K$2:K$401,$AH173)="","",INDEX('Per Invoice'!K$2:K$401,$AH173)))</f>
        <v/>
      </c>
      <c r="L173">
        <f>IF($AH173="","",IF(INDEX('Per Invoice'!L$2:L$401,$AH173)="","",INDEX('Per Invoice'!L$2:L$401,$AH173)))</f>
        <v/>
      </c>
      <c r="M173">
        <f>IF($AH173="","",IF(INDEX('Per Invoice'!M$2:M$401,$AH173)="","",INDEX('Per Invoice'!M$2:M$401,$AH173)))</f>
        <v/>
      </c>
      <c r="N173">
        <f>IF($AH173="","",IF(INDEX('Per Invoice'!N$2:N$401,$AH173)="","",INDEX('Per Invoice'!N$2:N$401,$AH173)))</f>
        <v/>
      </c>
      <c r="O173">
        <f>IF($AH173="","",IF(INDEX('Per Invoice'!O$2:O$401,$AH173)="","",INDEX('Per Invoice'!O$2:O$401,$AH173)))</f>
        <v/>
      </c>
      <c r="P173" s="7">
        <f>IF($AH173="","",IF(INDEX('Per Invoice'!P$2:P$401,$AH173)="","",INDEX('Per Invoice'!P$2:P$401,$AH173)))</f>
        <v/>
      </c>
      <c r="Q173">
        <f>IF($AH173="","",IF(INDEX('Per Invoice'!Q$2:Q$401,$AH173)="","",INDEX('Per Invoice'!Q$2:Q$401,$AH173)))</f>
        <v/>
      </c>
      <c r="R173">
        <f>IF($AH173="","",IF(INDEX('Per Invoice'!R$2:R$401,$AH173)="","",INDEX('Per Invoice'!R$2:R$401,$AH173)))</f>
        <v/>
      </c>
      <c r="S173">
        <f>IF($AH173="","",IF(INDEX('Per Invoice'!S$2:S$401,$AH173)="","",INDEX('Per Invoice'!S$2:S$401,$AH173)))</f>
        <v/>
      </c>
      <c r="T173" s="7">
        <f>IF($AH173="","",IF(INDEX('Per Invoice'!T$2:T$401,$AH173)="","",INDEX('Per Invoice'!T$2:T$401,$AH173)))</f>
        <v/>
      </c>
      <c r="U173" s="7">
        <f>IF($AH173="","",IF(INDEX('Per Invoice'!U$2:U$401,$AH173)="","",INDEX('Per Invoice'!U$2:U$401,$AH173)))</f>
        <v/>
      </c>
      <c r="V173">
        <f>IF($AH173="","",IF(INDEX('Per Invoice'!V$2:V$401,$AH173)="","",INDEX('Per Invoice'!V$2:V$401,$AH173)))</f>
        <v/>
      </c>
      <c r="W173" s="7">
        <f>IF($AH173="","",IF(INDEX('Per Invoice'!W$2:W$401,$AH173)="","",INDEX('Per Invoice'!W$2:W$401,$AH173)))</f>
        <v/>
      </c>
      <c r="X173" s="7">
        <f>IF($AH173="","",IF(INDEX('Per Invoice'!X$2:X$401,$AH173)="","",INDEX('Per Invoice'!X$2:X$401,$AH173)))</f>
        <v/>
      </c>
      <c r="Y173">
        <f>IF($AH173="","",IF(INDEX('Per Invoice'!Y$2:Y$401,$AH173)="","",INDEX('Per Invoice'!Y$2:Y$401,$AH173)))</f>
        <v/>
      </c>
      <c r="Z173" s="7">
        <f>IF($AH173="","",IF(INDEX('Per Invoice'!Z$2:Z$401,$AH173)="","",INDEX('Per Invoice'!Z$2:Z$401,$AH173)))</f>
        <v/>
      </c>
      <c r="AA173" s="7">
        <f>IF($AH173="","",IF(INDEX('Per Invoice'!AA$2:AA$401,$AH173)="","",INDEX('Per Invoice'!AA$2:AA$401,$AH173)))</f>
        <v/>
      </c>
      <c r="AB173" s="7">
        <f>IF($AH173="","",IF(INDEX('Per Invoice'!AB$2:AB$401,$AH173)="","",INDEX('Per Invoice'!AB$2:AB$401,$AH173)))</f>
        <v/>
      </c>
      <c r="AC173" s="7">
        <f>IF($AH173="","",IF(INDEX('Per Invoice'!AC$2:AC$401,$AH173)="","",INDEX('Per Invoice'!AC$2:AC$401,$AH173)))</f>
        <v/>
      </c>
      <c r="AD173" s="7">
        <f>IF($AH173="","",IF(INDEX('Per Invoice'!AD$2:AD$401,$AH173)="","",INDEX('Per Invoice'!AD$2:AD$401,$AH173)))</f>
        <v/>
      </c>
      <c r="AE173" s="7">
        <f>IF($AH173="","",IF(INDEX('Per Invoice'!AE$2:AE$401,$AH173)="","",INDEX('Per Invoice'!AE$2:AE$401,$AH173)))</f>
        <v/>
      </c>
      <c r="AF173">
        <f>IF($AH173="","",IF(INDEX('Per Invoice'!AF$2:AF$401,$AH173)="","",INDEX('Per Invoice'!AF$2:AF$401,$AH173)))</f>
        <v/>
      </c>
      <c r="AG173" s="7">
        <f>IF($AH173="","",IF(INDEX('Per Invoice'!AG$2:AG$401,$AH173)="","",INDEX('Per Invoice'!AG$2:AG$401,$AH173)))</f>
        <v/>
      </c>
      <c r="AH173" s="16">
        <f>IFERROR(MATCH(Settings!$C$26&amp;"|"&amp;ROWS($AH$2:$AH173),'Per Invoice'!$AI$2:$AI$401,0),"")</f>
        <v/>
      </c>
    </row>
    <row r="174">
      <c r="A174">
        <f>IF($AH174="","",IF(INDEX('Per Invoice'!A$2:A$401,$AH174)="","",INDEX('Per Invoice'!A$2:A$401,$AH174)))</f>
        <v/>
      </c>
      <c r="B174">
        <f>IF($AH174="","",IF(INDEX('Per Invoice'!B$2:B$401,$AH174)="","",INDEX('Per Invoice'!B$2:B$401,$AH174)))</f>
        <v/>
      </c>
      <c r="C174">
        <f>IF($AH174="","",IF(INDEX('Per Invoice'!C$2:C$401,$AH174)="","",INDEX('Per Invoice'!C$2:C$401,$AH174)))</f>
        <v/>
      </c>
      <c r="D174">
        <f>IF($AH174="","",IF(INDEX('Per Invoice'!D$2:D$401,$AH174)="","",INDEX('Per Invoice'!D$2:D$401,$AH174)))</f>
        <v/>
      </c>
      <c r="E174">
        <f>IF($AH174="","",IF(INDEX('Per Invoice'!E$2:E$401,$AH174)="","",INDEX('Per Invoice'!E$2:E$401,$AH174)))</f>
        <v/>
      </c>
      <c r="F174">
        <f>IF($AH174="","",IF(INDEX('Per Invoice'!F$2:F$401,$AH174)="","",INDEX('Per Invoice'!F$2:F$401,$AH174)))</f>
        <v/>
      </c>
      <c r="G174">
        <f>IF($AH174="","",IF(INDEX('Per Invoice'!G$2:G$401,$AH174)="","",INDEX('Per Invoice'!G$2:G$401,$AH174)))</f>
        <v/>
      </c>
      <c r="H174">
        <f>IF($AH174="","",IF(INDEX('Per Invoice'!H$2:H$401,$AH174)="","",INDEX('Per Invoice'!H$2:H$401,$AH174)))</f>
        <v/>
      </c>
      <c r="I174" s="14">
        <f>IF($AH174="","",IF(INDEX('Per Invoice'!I$2:I$401,$AH174)="","",INDEX('Per Invoice'!I$2:I$401,$AH174)))</f>
        <v/>
      </c>
      <c r="J174">
        <f>IF($AH174="","",IF(INDEX('Per Invoice'!J$2:J$401,$AH174)="","",INDEX('Per Invoice'!J$2:J$401,$AH174)))</f>
        <v/>
      </c>
      <c r="K174">
        <f>IF($AH174="","",IF(INDEX('Per Invoice'!K$2:K$401,$AH174)="","",INDEX('Per Invoice'!K$2:K$401,$AH174)))</f>
        <v/>
      </c>
      <c r="L174">
        <f>IF($AH174="","",IF(INDEX('Per Invoice'!L$2:L$401,$AH174)="","",INDEX('Per Invoice'!L$2:L$401,$AH174)))</f>
        <v/>
      </c>
      <c r="M174">
        <f>IF($AH174="","",IF(INDEX('Per Invoice'!M$2:M$401,$AH174)="","",INDEX('Per Invoice'!M$2:M$401,$AH174)))</f>
        <v/>
      </c>
      <c r="N174">
        <f>IF($AH174="","",IF(INDEX('Per Invoice'!N$2:N$401,$AH174)="","",INDEX('Per Invoice'!N$2:N$401,$AH174)))</f>
        <v/>
      </c>
      <c r="O174">
        <f>IF($AH174="","",IF(INDEX('Per Invoice'!O$2:O$401,$AH174)="","",INDEX('Per Invoice'!O$2:O$401,$AH174)))</f>
        <v/>
      </c>
      <c r="P174" s="7">
        <f>IF($AH174="","",IF(INDEX('Per Invoice'!P$2:P$401,$AH174)="","",INDEX('Per Invoice'!P$2:P$401,$AH174)))</f>
        <v/>
      </c>
      <c r="Q174">
        <f>IF($AH174="","",IF(INDEX('Per Invoice'!Q$2:Q$401,$AH174)="","",INDEX('Per Invoice'!Q$2:Q$401,$AH174)))</f>
        <v/>
      </c>
      <c r="R174">
        <f>IF($AH174="","",IF(INDEX('Per Invoice'!R$2:R$401,$AH174)="","",INDEX('Per Invoice'!R$2:R$401,$AH174)))</f>
        <v/>
      </c>
      <c r="S174">
        <f>IF($AH174="","",IF(INDEX('Per Invoice'!S$2:S$401,$AH174)="","",INDEX('Per Invoice'!S$2:S$401,$AH174)))</f>
        <v/>
      </c>
      <c r="T174" s="7">
        <f>IF($AH174="","",IF(INDEX('Per Invoice'!T$2:T$401,$AH174)="","",INDEX('Per Invoice'!T$2:T$401,$AH174)))</f>
        <v/>
      </c>
      <c r="U174" s="7">
        <f>IF($AH174="","",IF(INDEX('Per Invoice'!U$2:U$401,$AH174)="","",INDEX('Per Invoice'!U$2:U$401,$AH174)))</f>
        <v/>
      </c>
      <c r="V174">
        <f>IF($AH174="","",IF(INDEX('Per Invoice'!V$2:V$401,$AH174)="","",INDEX('Per Invoice'!V$2:V$401,$AH174)))</f>
        <v/>
      </c>
      <c r="W174" s="7">
        <f>IF($AH174="","",IF(INDEX('Per Invoice'!W$2:W$401,$AH174)="","",INDEX('Per Invoice'!W$2:W$401,$AH174)))</f>
        <v/>
      </c>
      <c r="X174" s="7">
        <f>IF($AH174="","",IF(INDEX('Per Invoice'!X$2:X$401,$AH174)="","",INDEX('Per Invoice'!X$2:X$401,$AH174)))</f>
        <v/>
      </c>
      <c r="Y174">
        <f>IF($AH174="","",IF(INDEX('Per Invoice'!Y$2:Y$401,$AH174)="","",INDEX('Per Invoice'!Y$2:Y$401,$AH174)))</f>
        <v/>
      </c>
      <c r="Z174" s="7">
        <f>IF($AH174="","",IF(INDEX('Per Invoice'!Z$2:Z$401,$AH174)="","",INDEX('Per Invoice'!Z$2:Z$401,$AH174)))</f>
        <v/>
      </c>
      <c r="AA174" s="7">
        <f>IF($AH174="","",IF(INDEX('Per Invoice'!AA$2:AA$401,$AH174)="","",INDEX('Per Invoice'!AA$2:AA$401,$AH174)))</f>
        <v/>
      </c>
      <c r="AB174" s="7">
        <f>IF($AH174="","",IF(INDEX('Per Invoice'!AB$2:AB$401,$AH174)="","",INDEX('Per Invoice'!AB$2:AB$401,$AH174)))</f>
        <v/>
      </c>
      <c r="AC174" s="7">
        <f>IF($AH174="","",IF(INDEX('Per Invoice'!AC$2:AC$401,$AH174)="","",INDEX('Per Invoice'!AC$2:AC$401,$AH174)))</f>
        <v/>
      </c>
      <c r="AD174" s="7">
        <f>IF($AH174="","",IF(INDEX('Per Invoice'!AD$2:AD$401,$AH174)="","",INDEX('Per Invoice'!AD$2:AD$401,$AH174)))</f>
        <v/>
      </c>
      <c r="AE174" s="7">
        <f>IF($AH174="","",IF(INDEX('Per Invoice'!AE$2:AE$401,$AH174)="","",INDEX('Per Invoice'!AE$2:AE$401,$AH174)))</f>
        <v/>
      </c>
      <c r="AF174">
        <f>IF($AH174="","",IF(INDEX('Per Invoice'!AF$2:AF$401,$AH174)="","",INDEX('Per Invoice'!AF$2:AF$401,$AH174)))</f>
        <v/>
      </c>
      <c r="AG174" s="7">
        <f>IF($AH174="","",IF(INDEX('Per Invoice'!AG$2:AG$401,$AH174)="","",INDEX('Per Invoice'!AG$2:AG$401,$AH174)))</f>
        <v/>
      </c>
      <c r="AH174" s="16">
        <f>IFERROR(MATCH(Settings!$C$26&amp;"|"&amp;ROWS($AH$2:$AH174),'Per Invoice'!$AI$2:$AI$401,0),"")</f>
        <v/>
      </c>
    </row>
    <row r="175">
      <c r="A175">
        <f>IF($AH175="","",IF(INDEX('Per Invoice'!A$2:A$401,$AH175)="","",INDEX('Per Invoice'!A$2:A$401,$AH175)))</f>
        <v/>
      </c>
      <c r="B175">
        <f>IF($AH175="","",IF(INDEX('Per Invoice'!B$2:B$401,$AH175)="","",INDEX('Per Invoice'!B$2:B$401,$AH175)))</f>
        <v/>
      </c>
      <c r="C175">
        <f>IF($AH175="","",IF(INDEX('Per Invoice'!C$2:C$401,$AH175)="","",INDEX('Per Invoice'!C$2:C$401,$AH175)))</f>
        <v/>
      </c>
      <c r="D175">
        <f>IF($AH175="","",IF(INDEX('Per Invoice'!D$2:D$401,$AH175)="","",INDEX('Per Invoice'!D$2:D$401,$AH175)))</f>
        <v/>
      </c>
      <c r="E175">
        <f>IF($AH175="","",IF(INDEX('Per Invoice'!E$2:E$401,$AH175)="","",INDEX('Per Invoice'!E$2:E$401,$AH175)))</f>
        <v/>
      </c>
      <c r="F175">
        <f>IF($AH175="","",IF(INDEX('Per Invoice'!F$2:F$401,$AH175)="","",INDEX('Per Invoice'!F$2:F$401,$AH175)))</f>
        <v/>
      </c>
      <c r="G175">
        <f>IF($AH175="","",IF(INDEX('Per Invoice'!G$2:G$401,$AH175)="","",INDEX('Per Invoice'!G$2:G$401,$AH175)))</f>
        <v/>
      </c>
      <c r="H175">
        <f>IF($AH175="","",IF(INDEX('Per Invoice'!H$2:H$401,$AH175)="","",INDEX('Per Invoice'!H$2:H$401,$AH175)))</f>
        <v/>
      </c>
      <c r="I175" s="14">
        <f>IF($AH175="","",IF(INDEX('Per Invoice'!I$2:I$401,$AH175)="","",INDEX('Per Invoice'!I$2:I$401,$AH175)))</f>
        <v/>
      </c>
      <c r="J175">
        <f>IF($AH175="","",IF(INDEX('Per Invoice'!J$2:J$401,$AH175)="","",INDEX('Per Invoice'!J$2:J$401,$AH175)))</f>
        <v/>
      </c>
      <c r="K175">
        <f>IF($AH175="","",IF(INDEX('Per Invoice'!K$2:K$401,$AH175)="","",INDEX('Per Invoice'!K$2:K$401,$AH175)))</f>
        <v/>
      </c>
      <c r="L175">
        <f>IF($AH175="","",IF(INDEX('Per Invoice'!L$2:L$401,$AH175)="","",INDEX('Per Invoice'!L$2:L$401,$AH175)))</f>
        <v/>
      </c>
      <c r="M175">
        <f>IF($AH175="","",IF(INDEX('Per Invoice'!M$2:M$401,$AH175)="","",INDEX('Per Invoice'!M$2:M$401,$AH175)))</f>
        <v/>
      </c>
      <c r="N175">
        <f>IF($AH175="","",IF(INDEX('Per Invoice'!N$2:N$401,$AH175)="","",INDEX('Per Invoice'!N$2:N$401,$AH175)))</f>
        <v/>
      </c>
      <c r="O175">
        <f>IF($AH175="","",IF(INDEX('Per Invoice'!O$2:O$401,$AH175)="","",INDEX('Per Invoice'!O$2:O$401,$AH175)))</f>
        <v/>
      </c>
      <c r="P175" s="7">
        <f>IF($AH175="","",IF(INDEX('Per Invoice'!P$2:P$401,$AH175)="","",INDEX('Per Invoice'!P$2:P$401,$AH175)))</f>
        <v/>
      </c>
      <c r="Q175">
        <f>IF($AH175="","",IF(INDEX('Per Invoice'!Q$2:Q$401,$AH175)="","",INDEX('Per Invoice'!Q$2:Q$401,$AH175)))</f>
        <v/>
      </c>
      <c r="R175">
        <f>IF($AH175="","",IF(INDEX('Per Invoice'!R$2:R$401,$AH175)="","",INDEX('Per Invoice'!R$2:R$401,$AH175)))</f>
        <v/>
      </c>
      <c r="S175">
        <f>IF($AH175="","",IF(INDEX('Per Invoice'!S$2:S$401,$AH175)="","",INDEX('Per Invoice'!S$2:S$401,$AH175)))</f>
        <v/>
      </c>
      <c r="T175" s="7">
        <f>IF($AH175="","",IF(INDEX('Per Invoice'!T$2:T$401,$AH175)="","",INDEX('Per Invoice'!T$2:T$401,$AH175)))</f>
        <v/>
      </c>
      <c r="U175" s="7">
        <f>IF($AH175="","",IF(INDEX('Per Invoice'!U$2:U$401,$AH175)="","",INDEX('Per Invoice'!U$2:U$401,$AH175)))</f>
        <v/>
      </c>
      <c r="V175">
        <f>IF($AH175="","",IF(INDEX('Per Invoice'!V$2:V$401,$AH175)="","",INDEX('Per Invoice'!V$2:V$401,$AH175)))</f>
        <v/>
      </c>
      <c r="W175" s="7">
        <f>IF($AH175="","",IF(INDEX('Per Invoice'!W$2:W$401,$AH175)="","",INDEX('Per Invoice'!W$2:W$401,$AH175)))</f>
        <v/>
      </c>
      <c r="X175" s="7">
        <f>IF($AH175="","",IF(INDEX('Per Invoice'!X$2:X$401,$AH175)="","",INDEX('Per Invoice'!X$2:X$401,$AH175)))</f>
        <v/>
      </c>
      <c r="Y175">
        <f>IF($AH175="","",IF(INDEX('Per Invoice'!Y$2:Y$401,$AH175)="","",INDEX('Per Invoice'!Y$2:Y$401,$AH175)))</f>
        <v/>
      </c>
      <c r="Z175" s="7">
        <f>IF($AH175="","",IF(INDEX('Per Invoice'!Z$2:Z$401,$AH175)="","",INDEX('Per Invoice'!Z$2:Z$401,$AH175)))</f>
        <v/>
      </c>
      <c r="AA175" s="7">
        <f>IF($AH175="","",IF(INDEX('Per Invoice'!AA$2:AA$401,$AH175)="","",INDEX('Per Invoice'!AA$2:AA$401,$AH175)))</f>
        <v/>
      </c>
      <c r="AB175" s="7">
        <f>IF($AH175="","",IF(INDEX('Per Invoice'!AB$2:AB$401,$AH175)="","",INDEX('Per Invoice'!AB$2:AB$401,$AH175)))</f>
        <v/>
      </c>
      <c r="AC175" s="7">
        <f>IF($AH175="","",IF(INDEX('Per Invoice'!AC$2:AC$401,$AH175)="","",INDEX('Per Invoice'!AC$2:AC$401,$AH175)))</f>
        <v/>
      </c>
      <c r="AD175" s="7">
        <f>IF($AH175="","",IF(INDEX('Per Invoice'!AD$2:AD$401,$AH175)="","",INDEX('Per Invoice'!AD$2:AD$401,$AH175)))</f>
        <v/>
      </c>
      <c r="AE175" s="7">
        <f>IF($AH175="","",IF(INDEX('Per Invoice'!AE$2:AE$401,$AH175)="","",INDEX('Per Invoice'!AE$2:AE$401,$AH175)))</f>
        <v/>
      </c>
      <c r="AF175">
        <f>IF($AH175="","",IF(INDEX('Per Invoice'!AF$2:AF$401,$AH175)="","",INDEX('Per Invoice'!AF$2:AF$401,$AH175)))</f>
        <v/>
      </c>
      <c r="AG175" s="7">
        <f>IF($AH175="","",IF(INDEX('Per Invoice'!AG$2:AG$401,$AH175)="","",INDEX('Per Invoice'!AG$2:AG$401,$AH175)))</f>
        <v/>
      </c>
      <c r="AH175" s="16">
        <f>IFERROR(MATCH(Settings!$C$26&amp;"|"&amp;ROWS($AH$2:$AH175),'Per Invoice'!$AI$2:$AI$401,0),"")</f>
        <v/>
      </c>
    </row>
    <row r="176">
      <c r="A176">
        <f>IF($AH176="","",IF(INDEX('Per Invoice'!A$2:A$401,$AH176)="","",INDEX('Per Invoice'!A$2:A$401,$AH176)))</f>
        <v/>
      </c>
      <c r="B176">
        <f>IF($AH176="","",IF(INDEX('Per Invoice'!B$2:B$401,$AH176)="","",INDEX('Per Invoice'!B$2:B$401,$AH176)))</f>
        <v/>
      </c>
      <c r="C176">
        <f>IF($AH176="","",IF(INDEX('Per Invoice'!C$2:C$401,$AH176)="","",INDEX('Per Invoice'!C$2:C$401,$AH176)))</f>
        <v/>
      </c>
      <c r="D176">
        <f>IF($AH176="","",IF(INDEX('Per Invoice'!D$2:D$401,$AH176)="","",INDEX('Per Invoice'!D$2:D$401,$AH176)))</f>
        <v/>
      </c>
      <c r="E176">
        <f>IF($AH176="","",IF(INDEX('Per Invoice'!E$2:E$401,$AH176)="","",INDEX('Per Invoice'!E$2:E$401,$AH176)))</f>
        <v/>
      </c>
      <c r="F176">
        <f>IF($AH176="","",IF(INDEX('Per Invoice'!F$2:F$401,$AH176)="","",INDEX('Per Invoice'!F$2:F$401,$AH176)))</f>
        <v/>
      </c>
      <c r="G176">
        <f>IF($AH176="","",IF(INDEX('Per Invoice'!G$2:G$401,$AH176)="","",INDEX('Per Invoice'!G$2:G$401,$AH176)))</f>
        <v/>
      </c>
      <c r="H176">
        <f>IF($AH176="","",IF(INDEX('Per Invoice'!H$2:H$401,$AH176)="","",INDEX('Per Invoice'!H$2:H$401,$AH176)))</f>
        <v/>
      </c>
      <c r="I176" s="14">
        <f>IF($AH176="","",IF(INDEX('Per Invoice'!I$2:I$401,$AH176)="","",INDEX('Per Invoice'!I$2:I$401,$AH176)))</f>
        <v/>
      </c>
      <c r="J176">
        <f>IF($AH176="","",IF(INDEX('Per Invoice'!J$2:J$401,$AH176)="","",INDEX('Per Invoice'!J$2:J$401,$AH176)))</f>
        <v/>
      </c>
      <c r="K176">
        <f>IF($AH176="","",IF(INDEX('Per Invoice'!K$2:K$401,$AH176)="","",INDEX('Per Invoice'!K$2:K$401,$AH176)))</f>
        <v/>
      </c>
      <c r="L176">
        <f>IF($AH176="","",IF(INDEX('Per Invoice'!L$2:L$401,$AH176)="","",INDEX('Per Invoice'!L$2:L$401,$AH176)))</f>
        <v/>
      </c>
      <c r="M176">
        <f>IF($AH176="","",IF(INDEX('Per Invoice'!M$2:M$401,$AH176)="","",INDEX('Per Invoice'!M$2:M$401,$AH176)))</f>
        <v/>
      </c>
      <c r="N176">
        <f>IF($AH176="","",IF(INDEX('Per Invoice'!N$2:N$401,$AH176)="","",INDEX('Per Invoice'!N$2:N$401,$AH176)))</f>
        <v/>
      </c>
      <c r="O176">
        <f>IF($AH176="","",IF(INDEX('Per Invoice'!O$2:O$401,$AH176)="","",INDEX('Per Invoice'!O$2:O$401,$AH176)))</f>
        <v/>
      </c>
      <c r="P176" s="7">
        <f>IF($AH176="","",IF(INDEX('Per Invoice'!P$2:P$401,$AH176)="","",INDEX('Per Invoice'!P$2:P$401,$AH176)))</f>
        <v/>
      </c>
      <c r="Q176">
        <f>IF($AH176="","",IF(INDEX('Per Invoice'!Q$2:Q$401,$AH176)="","",INDEX('Per Invoice'!Q$2:Q$401,$AH176)))</f>
        <v/>
      </c>
      <c r="R176">
        <f>IF($AH176="","",IF(INDEX('Per Invoice'!R$2:R$401,$AH176)="","",INDEX('Per Invoice'!R$2:R$401,$AH176)))</f>
        <v/>
      </c>
      <c r="S176">
        <f>IF($AH176="","",IF(INDEX('Per Invoice'!S$2:S$401,$AH176)="","",INDEX('Per Invoice'!S$2:S$401,$AH176)))</f>
        <v/>
      </c>
      <c r="T176" s="7">
        <f>IF($AH176="","",IF(INDEX('Per Invoice'!T$2:T$401,$AH176)="","",INDEX('Per Invoice'!T$2:T$401,$AH176)))</f>
        <v/>
      </c>
      <c r="U176" s="7">
        <f>IF($AH176="","",IF(INDEX('Per Invoice'!U$2:U$401,$AH176)="","",INDEX('Per Invoice'!U$2:U$401,$AH176)))</f>
        <v/>
      </c>
      <c r="V176">
        <f>IF($AH176="","",IF(INDEX('Per Invoice'!V$2:V$401,$AH176)="","",INDEX('Per Invoice'!V$2:V$401,$AH176)))</f>
        <v/>
      </c>
      <c r="W176" s="7">
        <f>IF($AH176="","",IF(INDEX('Per Invoice'!W$2:W$401,$AH176)="","",INDEX('Per Invoice'!W$2:W$401,$AH176)))</f>
        <v/>
      </c>
      <c r="X176" s="7">
        <f>IF($AH176="","",IF(INDEX('Per Invoice'!X$2:X$401,$AH176)="","",INDEX('Per Invoice'!X$2:X$401,$AH176)))</f>
        <v/>
      </c>
      <c r="Y176">
        <f>IF($AH176="","",IF(INDEX('Per Invoice'!Y$2:Y$401,$AH176)="","",INDEX('Per Invoice'!Y$2:Y$401,$AH176)))</f>
        <v/>
      </c>
      <c r="Z176" s="7">
        <f>IF($AH176="","",IF(INDEX('Per Invoice'!Z$2:Z$401,$AH176)="","",INDEX('Per Invoice'!Z$2:Z$401,$AH176)))</f>
        <v/>
      </c>
      <c r="AA176" s="7">
        <f>IF($AH176="","",IF(INDEX('Per Invoice'!AA$2:AA$401,$AH176)="","",INDEX('Per Invoice'!AA$2:AA$401,$AH176)))</f>
        <v/>
      </c>
      <c r="AB176" s="7">
        <f>IF($AH176="","",IF(INDEX('Per Invoice'!AB$2:AB$401,$AH176)="","",INDEX('Per Invoice'!AB$2:AB$401,$AH176)))</f>
        <v/>
      </c>
      <c r="AC176" s="7">
        <f>IF($AH176="","",IF(INDEX('Per Invoice'!AC$2:AC$401,$AH176)="","",INDEX('Per Invoice'!AC$2:AC$401,$AH176)))</f>
        <v/>
      </c>
      <c r="AD176" s="7">
        <f>IF($AH176="","",IF(INDEX('Per Invoice'!AD$2:AD$401,$AH176)="","",INDEX('Per Invoice'!AD$2:AD$401,$AH176)))</f>
        <v/>
      </c>
      <c r="AE176" s="7">
        <f>IF($AH176="","",IF(INDEX('Per Invoice'!AE$2:AE$401,$AH176)="","",INDEX('Per Invoice'!AE$2:AE$401,$AH176)))</f>
        <v/>
      </c>
      <c r="AF176">
        <f>IF($AH176="","",IF(INDEX('Per Invoice'!AF$2:AF$401,$AH176)="","",INDEX('Per Invoice'!AF$2:AF$401,$AH176)))</f>
        <v/>
      </c>
      <c r="AG176" s="7">
        <f>IF($AH176="","",IF(INDEX('Per Invoice'!AG$2:AG$401,$AH176)="","",INDEX('Per Invoice'!AG$2:AG$401,$AH176)))</f>
        <v/>
      </c>
      <c r="AH176" s="16">
        <f>IFERROR(MATCH(Settings!$C$26&amp;"|"&amp;ROWS($AH$2:$AH176),'Per Invoice'!$AI$2:$AI$401,0),"")</f>
        <v/>
      </c>
    </row>
    <row r="177">
      <c r="A177">
        <f>IF($AH177="","",IF(INDEX('Per Invoice'!A$2:A$401,$AH177)="","",INDEX('Per Invoice'!A$2:A$401,$AH177)))</f>
        <v/>
      </c>
      <c r="B177">
        <f>IF($AH177="","",IF(INDEX('Per Invoice'!B$2:B$401,$AH177)="","",INDEX('Per Invoice'!B$2:B$401,$AH177)))</f>
        <v/>
      </c>
      <c r="C177">
        <f>IF($AH177="","",IF(INDEX('Per Invoice'!C$2:C$401,$AH177)="","",INDEX('Per Invoice'!C$2:C$401,$AH177)))</f>
        <v/>
      </c>
      <c r="D177">
        <f>IF($AH177="","",IF(INDEX('Per Invoice'!D$2:D$401,$AH177)="","",INDEX('Per Invoice'!D$2:D$401,$AH177)))</f>
        <v/>
      </c>
      <c r="E177">
        <f>IF($AH177="","",IF(INDEX('Per Invoice'!E$2:E$401,$AH177)="","",INDEX('Per Invoice'!E$2:E$401,$AH177)))</f>
        <v/>
      </c>
      <c r="F177">
        <f>IF($AH177="","",IF(INDEX('Per Invoice'!F$2:F$401,$AH177)="","",INDEX('Per Invoice'!F$2:F$401,$AH177)))</f>
        <v/>
      </c>
      <c r="G177">
        <f>IF($AH177="","",IF(INDEX('Per Invoice'!G$2:G$401,$AH177)="","",INDEX('Per Invoice'!G$2:G$401,$AH177)))</f>
        <v/>
      </c>
      <c r="H177">
        <f>IF($AH177="","",IF(INDEX('Per Invoice'!H$2:H$401,$AH177)="","",INDEX('Per Invoice'!H$2:H$401,$AH177)))</f>
        <v/>
      </c>
      <c r="I177" s="14">
        <f>IF($AH177="","",IF(INDEX('Per Invoice'!I$2:I$401,$AH177)="","",INDEX('Per Invoice'!I$2:I$401,$AH177)))</f>
        <v/>
      </c>
      <c r="J177">
        <f>IF($AH177="","",IF(INDEX('Per Invoice'!J$2:J$401,$AH177)="","",INDEX('Per Invoice'!J$2:J$401,$AH177)))</f>
        <v/>
      </c>
      <c r="K177">
        <f>IF($AH177="","",IF(INDEX('Per Invoice'!K$2:K$401,$AH177)="","",INDEX('Per Invoice'!K$2:K$401,$AH177)))</f>
        <v/>
      </c>
      <c r="L177">
        <f>IF($AH177="","",IF(INDEX('Per Invoice'!L$2:L$401,$AH177)="","",INDEX('Per Invoice'!L$2:L$401,$AH177)))</f>
        <v/>
      </c>
      <c r="M177">
        <f>IF($AH177="","",IF(INDEX('Per Invoice'!M$2:M$401,$AH177)="","",INDEX('Per Invoice'!M$2:M$401,$AH177)))</f>
        <v/>
      </c>
      <c r="N177">
        <f>IF($AH177="","",IF(INDEX('Per Invoice'!N$2:N$401,$AH177)="","",INDEX('Per Invoice'!N$2:N$401,$AH177)))</f>
        <v/>
      </c>
      <c r="O177">
        <f>IF($AH177="","",IF(INDEX('Per Invoice'!O$2:O$401,$AH177)="","",INDEX('Per Invoice'!O$2:O$401,$AH177)))</f>
        <v/>
      </c>
      <c r="P177" s="7">
        <f>IF($AH177="","",IF(INDEX('Per Invoice'!P$2:P$401,$AH177)="","",INDEX('Per Invoice'!P$2:P$401,$AH177)))</f>
        <v/>
      </c>
      <c r="Q177">
        <f>IF($AH177="","",IF(INDEX('Per Invoice'!Q$2:Q$401,$AH177)="","",INDEX('Per Invoice'!Q$2:Q$401,$AH177)))</f>
        <v/>
      </c>
      <c r="R177">
        <f>IF($AH177="","",IF(INDEX('Per Invoice'!R$2:R$401,$AH177)="","",INDEX('Per Invoice'!R$2:R$401,$AH177)))</f>
        <v/>
      </c>
      <c r="S177">
        <f>IF($AH177="","",IF(INDEX('Per Invoice'!S$2:S$401,$AH177)="","",INDEX('Per Invoice'!S$2:S$401,$AH177)))</f>
        <v/>
      </c>
      <c r="T177" s="7">
        <f>IF($AH177="","",IF(INDEX('Per Invoice'!T$2:T$401,$AH177)="","",INDEX('Per Invoice'!T$2:T$401,$AH177)))</f>
        <v/>
      </c>
      <c r="U177" s="7">
        <f>IF($AH177="","",IF(INDEX('Per Invoice'!U$2:U$401,$AH177)="","",INDEX('Per Invoice'!U$2:U$401,$AH177)))</f>
        <v/>
      </c>
      <c r="V177">
        <f>IF($AH177="","",IF(INDEX('Per Invoice'!V$2:V$401,$AH177)="","",INDEX('Per Invoice'!V$2:V$401,$AH177)))</f>
        <v/>
      </c>
      <c r="W177" s="7">
        <f>IF($AH177="","",IF(INDEX('Per Invoice'!W$2:W$401,$AH177)="","",INDEX('Per Invoice'!W$2:W$401,$AH177)))</f>
        <v/>
      </c>
      <c r="X177" s="7">
        <f>IF($AH177="","",IF(INDEX('Per Invoice'!X$2:X$401,$AH177)="","",INDEX('Per Invoice'!X$2:X$401,$AH177)))</f>
        <v/>
      </c>
      <c r="Y177">
        <f>IF($AH177="","",IF(INDEX('Per Invoice'!Y$2:Y$401,$AH177)="","",INDEX('Per Invoice'!Y$2:Y$401,$AH177)))</f>
        <v/>
      </c>
      <c r="Z177" s="7">
        <f>IF($AH177="","",IF(INDEX('Per Invoice'!Z$2:Z$401,$AH177)="","",INDEX('Per Invoice'!Z$2:Z$401,$AH177)))</f>
        <v/>
      </c>
      <c r="AA177" s="7">
        <f>IF($AH177="","",IF(INDEX('Per Invoice'!AA$2:AA$401,$AH177)="","",INDEX('Per Invoice'!AA$2:AA$401,$AH177)))</f>
        <v/>
      </c>
      <c r="AB177" s="7">
        <f>IF($AH177="","",IF(INDEX('Per Invoice'!AB$2:AB$401,$AH177)="","",INDEX('Per Invoice'!AB$2:AB$401,$AH177)))</f>
        <v/>
      </c>
      <c r="AC177" s="7">
        <f>IF($AH177="","",IF(INDEX('Per Invoice'!AC$2:AC$401,$AH177)="","",INDEX('Per Invoice'!AC$2:AC$401,$AH177)))</f>
        <v/>
      </c>
      <c r="AD177" s="7">
        <f>IF($AH177="","",IF(INDEX('Per Invoice'!AD$2:AD$401,$AH177)="","",INDEX('Per Invoice'!AD$2:AD$401,$AH177)))</f>
        <v/>
      </c>
      <c r="AE177" s="7">
        <f>IF($AH177="","",IF(INDEX('Per Invoice'!AE$2:AE$401,$AH177)="","",INDEX('Per Invoice'!AE$2:AE$401,$AH177)))</f>
        <v/>
      </c>
      <c r="AF177">
        <f>IF($AH177="","",IF(INDEX('Per Invoice'!AF$2:AF$401,$AH177)="","",INDEX('Per Invoice'!AF$2:AF$401,$AH177)))</f>
        <v/>
      </c>
      <c r="AG177" s="7">
        <f>IF($AH177="","",IF(INDEX('Per Invoice'!AG$2:AG$401,$AH177)="","",INDEX('Per Invoice'!AG$2:AG$401,$AH177)))</f>
        <v/>
      </c>
      <c r="AH177" s="16">
        <f>IFERROR(MATCH(Settings!$C$26&amp;"|"&amp;ROWS($AH$2:$AH177),'Per Invoice'!$AI$2:$AI$401,0),"")</f>
        <v/>
      </c>
    </row>
    <row r="178">
      <c r="A178">
        <f>IF($AH178="","",IF(INDEX('Per Invoice'!A$2:A$401,$AH178)="","",INDEX('Per Invoice'!A$2:A$401,$AH178)))</f>
        <v/>
      </c>
      <c r="B178">
        <f>IF($AH178="","",IF(INDEX('Per Invoice'!B$2:B$401,$AH178)="","",INDEX('Per Invoice'!B$2:B$401,$AH178)))</f>
        <v/>
      </c>
      <c r="C178">
        <f>IF($AH178="","",IF(INDEX('Per Invoice'!C$2:C$401,$AH178)="","",INDEX('Per Invoice'!C$2:C$401,$AH178)))</f>
        <v/>
      </c>
      <c r="D178">
        <f>IF($AH178="","",IF(INDEX('Per Invoice'!D$2:D$401,$AH178)="","",INDEX('Per Invoice'!D$2:D$401,$AH178)))</f>
        <v/>
      </c>
      <c r="E178">
        <f>IF($AH178="","",IF(INDEX('Per Invoice'!E$2:E$401,$AH178)="","",INDEX('Per Invoice'!E$2:E$401,$AH178)))</f>
        <v/>
      </c>
      <c r="F178">
        <f>IF($AH178="","",IF(INDEX('Per Invoice'!F$2:F$401,$AH178)="","",INDEX('Per Invoice'!F$2:F$401,$AH178)))</f>
        <v/>
      </c>
      <c r="G178">
        <f>IF($AH178="","",IF(INDEX('Per Invoice'!G$2:G$401,$AH178)="","",INDEX('Per Invoice'!G$2:G$401,$AH178)))</f>
        <v/>
      </c>
      <c r="H178">
        <f>IF($AH178="","",IF(INDEX('Per Invoice'!H$2:H$401,$AH178)="","",INDEX('Per Invoice'!H$2:H$401,$AH178)))</f>
        <v/>
      </c>
      <c r="I178" s="14">
        <f>IF($AH178="","",IF(INDEX('Per Invoice'!I$2:I$401,$AH178)="","",INDEX('Per Invoice'!I$2:I$401,$AH178)))</f>
        <v/>
      </c>
      <c r="J178">
        <f>IF($AH178="","",IF(INDEX('Per Invoice'!J$2:J$401,$AH178)="","",INDEX('Per Invoice'!J$2:J$401,$AH178)))</f>
        <v/>
      </c>
      <c r="K178">
        <f>IF($AH178="","",IF(INDEX('Per Invoice'!K$2:K$401,$AH178)="","",INDEX('Per Invoice'!K$2:K$401,$AH178)))</f>
        <v/>
      </c>
      <c r="L178">
        <f>IF($AH178="","",IF(INDEX('Per Invoice'!L$2:L$401,$AH178)="","",INDEX('Per Invoice'!L$2:L$401,$AH178)))</f>
        <v/>
      </c>
      <c r="M178">
        <f>IF($AH178="","",IF(INDEX('Per Invoice'!M$2:M$401,$AH178)="","",INDEX('Per Invoice'!M$2:M$401,$AH178)))</f>
        <v/>
      </c>
      <c r="N178">
        <f>IF($AH178="","",IF(INDEX('Per Invoice'!N$2:N$401,$AH178)="","",INDEX('Per Invoice'!N$2:N$401,$AH178)))</f>
        <v/>
      </c>
      <c r="O178">
        <f>IF($AH178="","",IF(INDEX('Per Invoice'!O$2:O$401,$AH178)="","",INDEX('Per Invoice'!O$2:O$401,$AH178)))</f>
        <v/>
      </c>
      <c r="P178" s="7">
        <f>IF($AH178="","",IF(INDEX('Per Invoice'!P$2:P$401,$AH178)="","",INDEX('Per Invoice'!P$2:P$401,$AH178)))</f>
        <v/>
      </c>
      <c r="Q178">
        <f>IF($AH178="","",IF(INDEX('Per Invoice'!Q$2:Q$401,$AH178)="","",INDEX('Per Invoice'!Q$2:Q$401,$AH178)))</f>
        <v/>
      </c>
      <c r="R178">
        <f>IF($AH178="","",IF(INDEX('Per Invoice'!R$2:R$401,$AH178)="","",INDEX('Per Invoice'!R$2:R$401,$AH178)))</f>
        <v/>
      </c>
      <c r="S178">
        <f>IF($AH178="","",IF(INDEX('Per Invoice'!S$2:S$401,$AH178)="","",INDEX('Per Invoice'!S$2:S$401,$AH178)))</f>
        <v/>
      </c>
      <c r="T178" s="7">
        <f>IF($AH178="","",IF(INDEX('Per Invoice'!T$2:T$401,$AH178)="","",INDEX('Per Invoice'!T$2:T$401,$AH178)))</f>
        <v/>
      </c>
      <c r="U178" s="7">
        <f>IF($AH178="","",IF(INDEX('Per Invoice'!U$2:U$401,$AH178)="","",INDEX('Per Invoice'!U$2:U$401,$AH178)))</f>
        <v/>
      </c>
      <c r="V178">
        <f>IF($AH178="","",IF(INDEX('Per Invoice'!V$2:V$401,$AH178)="","",INDEX('Per Invoice'!V$2:V$401,$AH178)))</f>
        <v/>
      </c>
      <c r="W178" s="7">
        <f>IF($AH178="","",IF(INDEX('Per Invoice'!W$2:W$401,$AH178)="","",INDEX('Per Invoice'!W$2:W$401,$AH178)))</f>
        <v/>
      </c>
      <c r="X178" s="7">
        <f>IF($AH178="","",IF(INDEX('Per Invoice'!X$2:X$401,$AH178)="","",INDEX('Per Invoice'!X$2:X$401,$AH178)))</f>
        <v/>
      </c>
      <c r="Y178">
        <f>IF($AH178="","",IF(INDEX('Per Invoice'!Y$2:Y$401,$AH178)="","",INDEX('Per Invoice'!Y$2:Y$401,$AH178)))</f>
        <v/>
      </c>
      <c r="Z178" s="7">
        <f>IF($AH178="","",IF(INDEX('Per Invoice'!Z$2:Z$401,$AH178)="","",INDEX('Per Invoice'!Z$2:Z$401,$AH178)))</f>
        <v/>
      </c>
      <c r="AA178" s="7">
        <f>IF($AH178="","",IF(INDEX('Per Invoice'!AA$2:AA$401,$AH178)="","",INDEX('Per Invoice'!AA$2:AA$401,$AH178)))</f>
        <v/>
      </c>
      <c r="AB178" s="7">
        <f>IF($AH178="","",IF(INDEX('Per Invoice'!AB$2:AB$401,$AH178)="","",INDEX('Per Invoice'!AB$2:AB$401,$AH178)))</f>
        <v/>
      </c>
      <c r="AC178" s="7">
        <f>IF($AH178="","",IF(INDEX('Per Invoice'!AC$2:AC$401,$AH178)="","",INDEX('Per Invoice'!AC$2:AC$401,$AH178)))</f>
        <v/>
      </c>
      <c r="AD178" s="7">
        <f>IF($AH178="","",IF(INDEX('Per Invoice'!AD$2:AD$401,$AH178)="","",INDEX('Per Invoice'!AD$2:AD$401,$AH178)))</f>
        <v/>
      </c>
      <c r="AE178" s="7">
        <f>IF($AH178="","",IF(INDEX('Per Invoice'!AE$2:AE$401,$AH178)="","",INDEX('Per Invoice'!AE$2:AE$401,$AH178)))</f>
        <v/>
      </c>
      <c r="AF178">
        <f>IF($AH178="","",IF(INDEX('Per Invoice'!AF$2:AF$401,$AH178)="","",INDEX('Per Invoice'!AF$2:AF$401,$AH178)))</f>
        <v/>
      </c>
      <c r="AG178" s="7">
        <f>IF($AH178="","",IF(INDEX('Per Invoice'!AG$2:AG$401,$AH178)="","",INDEX('Per Invoice'!AG$2:AG$401,$AH178)))</f>
        <v/>
      </c>
      <c r="AH178" s="16">
        <f>IFERROR(MATCH(Settings!$C$26&amp;"|"&amp;ROWS($AH$2:$AH178),'Per Invoice'!$AI$2:$AI$401,0),"")</f>
        <v/>
      </c>
    </row>
    <row r="179">
      <c r="A179">
        <f>IF($AH179="","",IF(INDEX('Per Invoice'!A$2:A$401,$AH179)="","",INDEX('Per Invoice'!A$2:A$401,$AH179)))</f>
        <v/>
      </c>
      <c r="B179">
        <f>IF($AH179="","",IF(INDEX('Per Invoice'!B$2:B$401,$AH179)="","",INDEX('Per Invoice'!B$2:B$401,$AH179)))</f>
        <v/>
      </c>
      <c r="C179">
        <f>IF($AH179="","",IF(INDEX('Per Invoice'!C$2:C$401,$AH179)="","",INDEX('Per Invoice'!C$2:C$401,$AH179)))</f>
        <v/>
      </c>
      <c r="D179">
        <f>IF($AH179="","",IF(INDEX('Per Invoice'!D$2:D$401,$AH179)="","",INDEX('Per Invoice'!D$2:D$401,$AH179)))</f>
        <v/>
      </c>
      <c r="E179">
        <f>IF($AH179="","",IF(INDEX('Per Invoice'!E$2:E$401,$AH179)="","",INDEX('Per Invoice'!E$2:E$401,$AH179)))</f>
        <v/>
      </c>
      <c r="F179">
        <f>IF($AH179="","",IF(INDEX('Per Invoice'!F$2:F$401,$AH179)="","",INDEX('Per Invoice'!F$2:F$401,$AH179)))</f>
        <v/>
      </c>
      <c r="G179">
        <f>IF($AH179="","",IF(INDEX('Per Invoice'!G$2:G$401,$AH179)="","",INDEX('Per Invoice'!G$2:G$401,$AH179)))</f>
        <v/>
      </c>
      <c r="H179">
        <f>IF($AH179="","",IF(INDEX('Per Invoice'!H$2:H$401,$AH179)="","",INDEX('Per Invoice'!H$2:H$401,$AH179)))</f>
        <v/>
      </c>
      <c r="I179" s="14">
        <f>IF($AH179="","",IF(INDEX('Per Invoice'!I$2:I$401,$AH179)="","",INDEX('Per Invoice'!I$2:I$401,$AH179)))</f>
        <v/>
      </c>
      <c r="J179">
        <f>IF($AH179="","",IF(INDEX('Per Invoice'!J$2:J$401,$AH179)="","",INDEX('Per Invoice'!J$2:J$401,$AH179)))</f>
        <v/>
      </c>
      <c r="K179">
        <f>IF($AH179="","",IF(INDEX('Per Invoice'!K$2:K$401,$AH179)="","",INDEX('Per Invoice'!K$2:K$401,$AH179)))</f>
        <v/>
      </c>
      <c r="L179">
        <f>IF($AH179="","",IF(INDEX('Per Invoice'!L$2:L$401,$AH179)="","",INDEX('Per Invoice'!L$2:L$401,$AH179)))</f>
        <v/>
      </c>
      <c r="M179">
        <f>IF($AH179="","",IF(INDEX('Per Invoice'!M$2:M$401,$AH179)="","",INDEX('Per Invoice'!M$2:M$401,$AH179)))</f>
        <v/>
      </c>
      <c r="N179">
        <f>IF($AH179="","",IF(INDEX('Per Invoice'!N$2:N$401,$AH179)="","",INDEX('Per Invoice'!N$2:N$401,$AH179)))</f>
        <v/>
      </c>
      <c r="O179">
        <f>IF($AH179="","",IF(INDEX('Per Invoice'!O$2:O$401,$AH179)="","",INDEX('Per Invoice'!O$2:O$401,$AH179)))</f>
        <v/>
      </c>
      <c r="P179" s="7">
        <f>IF($AH179="","",IF(INDEX('Per Invoice'!P$2:P$401,$AH179)="","",INDEX('Per Invoice'!P$2:P$401,$AH179)))</f>
        <v/>
      </c>
      <c r="Q179">
        <f>IF($AH179="","",IF(INDEX('Per Invoice'!Q$2:Q$401,$AH179)="","",INDEX('Per Invoice'!Q$2:Q$401,$AH179)))</f>
        <v/>
      </c>
      <c r="R179">
        <f>IF($AH179="","",IF(INDEX('Per Invoice'!R$2:R$401,$AH179)="","",INDEX('Per Invoice'!R$2:R$401,$AH179)))</f>
        <v/>
      </c>
      <c r="S179">
        <f>IF($AH179="","",IF(INDEX('Per Invoice'!S$2:S$401,$AH179)="","",INDEX('Per Invoice'!S$2:S$401,$AH179)))</f>
        <v/>
      </c>
      <c r="T179" s="7">
        <f>IF($AH179="","",IF(INDEX('Per Invoice'!T$2:T$401,$AH179)="","",INDEX('Per Invoice'!T$2:T$401,$AH179)))</f>
        <v/>
      </c>
      <c r="U179" s="7">
        <f>IF($AH179="","",IF(INDEX('Per Invoice'!U$2:U$401,$AH179)="","",INDEX('Per Invoice'!U$2:U$401,$AH179)))</f>
        <v/>
      </c>
      <c r="V179">
        <f>IF($AH179="","",IF(INDEX('Per Invoice'!V$2:V$401,$AH179)="","",INDEX('Per Invoice'!V$2:V$401,$AH179)))</f>
        <v/>
      </c>
      <c r="W179" s="7">
        <f>IF($AH179="","",IF(INDEX('Per Invoice'!W$2:W$401,$AH179)="","",INDEX('Per Invoice'!W$2:W$401,$AH179)))</f>
        <v/>
      </c>
      <c r="X179" s="7">
        <f>IF($AH179="","",IF(INDEX('Per Invoice'!X$2:X$401,$AH179)="","",INDEX('Per Invoice'!X$2:X$401,$AH179)))</f>
        <v/>
      </c>
      <c r="Y179">
        <f>IF($AH179="","",IF(INDEX('Per Invoice'!Y$2:Y$401,$AH179)="","",INDEX('Per Invoice'!Y$2:Y$401,$AH179)))</f>
        <v/>
      </c>
      <c r="Z179" s="7">
        <f>IF($AH179="","",IF(INDEX('Per Invoice'!Z$2:Z$401,$AH179)="","",INDEX('Per Invoice'!Z$2:Z$401,$AH179)))</f>
        <v/>
      </c>
      <c r="AA179" s="7">
        <f>IF($AH179="","",IF(INDEX('Per Invoice'!AA$2:AA$401,$AH179)="","",INDEX('Per Invoice'!AA$2:AA$401,$AH179)))</f>
        <v/>
      </c>
      <c r="AB179" s="7">
        <f>IF($AH179="","",IF(INDEX('Per Invoice'!AB$2:AB$401,$AH179)="","",INDEX('Per Invoice'!AB$2:AB$401,$AH179)))</f>
        <v/>
      </c>
      <c r="AC179" s="7">
        <f>IF($AH179="","",IF(INDEX('Per Invoice'!AC$2:AC$401,$AH179)="","",INDEX('Per Invoice'!AC$2:AC$401,$AH179)))</f>
        <v/>
      </c>
      <c r="AD179" s="7">
        <f>IF($AH179="","",IF(INDEX('Per Invoice'!AD$2:AD$401,$AH179)="","",INDEX('Per Invoice'!AD$2:AD$401,$AH179)))</f>
        <v/>
      </c>
      <c r="AE179" s="7">
        <f>IF($AH179="","",IF(INDEX('Per Invoice'!AE$2:AE$401,$AH179)="","",INDEX('Per Invoice'!AE$2:AE$401,$AH179)))</f>
        <v/>
      </c>
      <c r="AF179">
        <f>IF($AH179="","",IF(INDEX('Per Invoice'!AF$2:AF$401,$AH179)="","",INDEX('Per Invoice'!AF$2:AF$401,$AH179)))</f>
        <v/>
      </c>
      <c r="AG179" s="7">
        <f>IF($AH179="","",IF(INDEX('Per Invoice'!AG$2:AG$401,$AH179)="","",INDEX('Per Invoice'!AG$2:AG$401,$AH179)))</f>
        <v/>
      </c>
      <c r="AH179" s="16">
        <f>IFERROR(MATCH(Settings!$C$26&amp;"|"&amp;ROWS($AH$2:$AH179),'Per Invoice'!$AI$2:$AI$401,0),"")</f>
        <v/>
      </c>
    </row>
    <row r="180">
      <c r="A180">
        <f>IF($AH180="","",IF(INDEX('Per Invoice'!A$2:A$401,$AH180)="","",INDEX('Per Invoice'!A$2:A$401,$AH180)))</f>
        <v/>
      </c>
      <c r="B180">
        <f>IF($AH180="","",IF(INDEX('Per Invoice'!B$2:B$401,$AH180)="","",INDEX('Per Invoice'!B$2:B$401,$AH180)))</f>
        <v/>
      </c>
      <c r="C180">
        <f>IF($AH180="","",IF(INDEX('Per Invoice'!C$2:C$401,$AH180)="","",INDEX('Per Invoice'!C$2:C$401,$AH180)))</f>
        <v/>
      </c>
      <c r="D180">
        <f>IF($AH180="","",IF(INDEX('Per Invoice'!D$2:D$401,$AH180)="","",INDEX('Per Invoice'!D$2:D$401,$AH180)))</f>
        <v/>
      </c>
      <c r="E180">
        <f>IF($AH180="","",IF(INDEX('Per Invoice'!E$2:E$401,$AH180)="","",INDEX('Per Invoice'!E$2:E$401,$AH180)))</f>
        <v/>
      </c>
      <c r="F180">
        <f>IF($AH180="","",IF(INDEX('Per Invoice'!F$2:F$401,$AH180)="","",INDEX('Per Invoice'!F$2:F$401,$AH180)))</f>
        <v/>
      </c>
      <c r="G180">
        <f>IF($AH180="","",IF(INDEX('Per Invoice'!G$2:G$401,$AH180)="","",INDEX('Per Invoice'!G$2:G$401,$AH180)))</f>
        <v/>
      </c>
      <c r="H180">
        <f>IF($AH180="","",IF(INDEX('Per Invoice'!H$2:H$401,$AH180)="","",INDEX('Per Invoice'!H$2:H$401,$AH180)))</f>
        <v/>
      </c>
      <c r="I180" s="14">
        <f>IF($AH180="","",IF(INDEX('Per Invoice'!I$2:I$401,$AH180)="","",INDEX('Per Invoice'!I$2:I$401,$AH180)))</f>
        <v/>
      </c>
      <c r="J180">
        <f>IF($AH180="","",IF(INDEX('Per Invoice'!J$2:J$401,$AH180)="","",INDEX('Per Invoice'!J$2:J$401,$AH180)))</f>
        <v/>
      </c>
      <c r="K180">
        <f>IF($AH180="","",IF(INDEX('Per Invoice'!K$2:K$401,$AH180)="","",INDEX('Per Invoice'!K$2:K$401,$AH180)))</f>
        <v/>
      </c>
      <c r="L180">
        <f>IF($AH180="","",IF(INDEX('Per Invoice'!L$2:L$401,$AH180)="","",INDEX('Per Invoice'!L$2:L$401,$AH180)))</f>
        <v/>
      </c>
      <c r="M180">
        <f>IF($AH180="","",IF(INDEX('Per Invoice'!M$2:M$401,$AH180)="","",INDEX('Per Invoice'!M$2:M$401,$AH180)))</f>
        <v/>
      </c>
      <c r="N180">
        <f>IF($AH180="","",IF(INDEX('Per Invoice'!N$2:N$401,$AH180)="","",INDEX('Per Invoice'!N$2:N$401,$AH180)))</f>
        <v/>
      </c>
      <c r="O180">
        <f>IF($AH180="","",IF(INDEX('Per Invoice'!O$2:O$401,$AH180)="","",INDEX('Per Invoice'!O$2:O$401,$AH180)))</f>
        <v/>
      </c>
      <c r="P180" s="7">
        <f>IF($AH180="","",IF(INDEX('Per Invoice'!P$2:P$401,$AH180)="","",INDEX('Per Invoice'!P$2:P$401,$AH180)))</f>
        <v/>
      </c>
      <c r="Q180">
        <f>IF($AH180="","",IF(INDEX('Per Invoice'!Q$2:Q$401,$AH180)="","",INDEX('Per Invoice'!Q$2:Q$401,$AH180)))</f>
        <v/>
      </c>
      <c r="R180">
        <f>IF($AH180="","",IF(INDEX('Per Invoice'!R$2:R$401,$AH180)="","",INDEX('Per Invoice'!R$2:R$401,$AH180)))</f>
        <v/>
      </c>
      <c r="S180">
        <f>IF($AH180="","",IF(INDEX('Per Invoice'!S$2:S$401,$AH180)="","",INDEX('Per Invoice'!S$2:S$401,$AH180)))</f>
        <v/>
      </c>
      <c r="T180" s="7">
        <f>IF($AH180="","",IF(INDEX('Per Invoice'!T$2:T$401,$AH180)="","",INDEX('Per Invoice'!T$2:T$401,$AH180)))</f>
        <v/>
      </c>
      <c r="U180" s="7">
        <f>IF($AH180="","",IF(INDEX('Per Invoice'!U$2:U$401,$AH180)="","",INDEX('Per Invoice'!U$2:U$401,$AH180)))</f>
        <v/>
      </c>
      <c r="V180">
        <f>IF($AH180="","",IF(INDEX('Per Invoice'!V$2:V$401,$AH180)="","",INDEX('Per Invoice'!V$2:V$401,$AH180)))</f>
        <v/>
      </c>
      <c r="W180" s="7">
        <f>IF($AH180="","",IF(INDEX('Per Invoice'!W$2:W$401,$AH180)="","",INDEX('Per Invoice'!W$2:W$401,$AH180)))</f>
        <v/>
      </c>
      <c r="X180" s="7">
        <f>IF($AH180="","",IF(INDEX('Per Invoice'!X$2:X$401,$AH180)="","",INDEX('Per Invoice'!X$2:X$401,$AH180)))</f>
        <v/>
      </c>
      <c r="Y180">
        <f>IF($AH180="","",IF(INDEX('Per Invoice'!Y$2:Y$401,$AH180)="","",INDEX('Per Invoice'!Y$2:Y$401,$AH180)))</f>
        <v/>
      </c>
      <c r="Z180" s="7">
        <f>IF($AH180="","",IF(INDEX('Per Invoice'!Z$2:Z$401,$AH180)="","",INDEX('Per Invoice'!Z$2:Z$401,$AH180)))</f>
        <v/>
      </c>
      <c r="AA180" s="7">
        <f>IF($AH180="","",IF(INDEX('Per Invoice'!AA$2:AA$401,$AH180)="","",INDEX('Per Invoice'!AA$2:AA$401,$AH180)))</f>
        <v/>
      </c>
      <c r="AB180" s="7">
        <f>IF($AH180="","",IF(INDEX('Per Invoice'!AB$2:AB$401,$AH180)="","",INDEX('Per Invoice'!AB$2:AB$401,$AH180)))</f>
        <v/>
      </c>
      <c r="AC180" s="7">
        <f>IF($AH180="","",IF(INDEX('Per Invoice'!AC$2:AC$401,$AH180)="","",INDEX('Per Invoice'!AC$2:AC$401,$AH180)))</f>
        <v/>
      </c>
      <c r="AD180" s="7">
        <f>IF($AH180="","",IF(INDEX('Per Invoice'!AD$2:AD$401,$AH180)="","",INDEX('Per Invoice'!AD$2:AD$401,$AH180)))</f>
        <v/>
      </c>
      <c r="AE180" s="7">
        <f>IF($AH180="","",IF(INDEX('Per Invoice'!AE$2:AE$401,$AH180)="","",INDEX('Per Invoice'!AE$2:AE$401,$AH180)))</f>
        <v/>
      </c>
      <c r="AF180">
        <f>IF($AH180="","",IF(INDEX('Per Invoice'!AF$2:AF$401,$AH180)="","",INDEX('Per Invoice'!AF$2:AF$401,$AH180)))</f>
        <v/>
      </c>
      <c r="AG180" s="7">
        <f>IF($AH180="","",IF(INDEX('Per Invoice'!AG$2:AG$401,$AH180)="","",INDEX('Per Invoice'!AG$2:AG$401,$AH180)))</f>
        <v/>
      </c>
      <c r="AH180" s="16">
        <f>IFERROR(MATCH(Settings!$C$26&amp;"|"&amp;ROWS($AH$2:$AH180),'Per Invoice'!$AI$2:$AI$401,0),"")</f>
        <v/>
      </c>
    </row>
    <row r="181">
      <c r="A181">
        <f>IF($AH181="","",IF(INDEX('Per Invoice'!A$2:A$401,$AH181)="","",INDEX('Per Invoice'!A$2:A$401,$AH181)))</f>
        <v/>
      </c>
      <c r="B181">
        <f>IF($AH181="","",IF(INDEX('Per Invoice'!B$2:B$401,$AH181)="","",INDEX('Per Invoice'!B$2:B$401,$AH181)))</f>
        <v/>
      </c>
      <c r="C181">
        <f>IF($AH181="","",IF(INDEX('Per Invoice'!C$2:C$401,$AH181)="","",INDEX('Per Invoice'!C$2:C$401,$AH181)))</f>
        <v/>
      </c>
      <c r="D181">
        <f>IF($AH181="","",IF(INDEX('Per Invoice'!D$2:D$401,$AH181)="","",INDEX('Per Invoice'!D$2:D$401,$AH181)))</f>
        <v/>
      </c>
      <c r="E181">
        <f>IF($AH181="","",IF(INDEX('Per Invoice'!E$2:E$401,$AH181)="","",INDEX('Per Invoice'!E$2:E$401,$AH181)))</f>
        <v/>
      </c>
      <c r="F181">
        <f>IF($AH181="","",IF(INDEX('Per Invoice'!F$2:F$401,$AH181)="","",INDEX('Per Invoice'!F$2:F$401,$AH181)))</f>
        <v/>
      </c>
      <c r="G181">
        <f>IF($AH181="","",IF(INDEX('Per Invoice'!G$2:G$401,$AH181)="","",INDEX('Per Invoice'!G$2:G$401,$AH181)))</f>
        <v/>
      </c>
      <c r="H181">
        <f>IF($AH181="","",IF(INDEX('Per Invoice'!H$2:H$401,$AH181)="","",INDEX('Per Invoice'!H$2:H$401,$AH181)))</f>
        <v/>
      </c>
      <c r="I181" s="14">
        <f>IF($AH181="","",IF(INDEX('Per Invoice'!I$2:I$401,$AH181)="","",INDEX('Per Invoice'!I$2:I$401,$AH181)))</f>
        <v/>
      </c>
      <c r="J181">
        <f>IF($AH181="","",IF(INDEX('Per Invoice'!J$2:J$401,$AH181)="","",INDEX('Per Invoice'!J$2:J$401,$AH181)))</f>
        <v/>
      </c>
      <c r="K181">
        <f>IF($AH181="","",IF(INDEX('Per Invoice'!K$2:K$401,$AH181)="","",INDEX('Per Invoice'!K$2:K$401,$AH181)))</f>
        <v/>
      </c>
      <c r="L181">
        <f>IF($AH181="","",IF(INDEX('Per Invoice'!L$2:L$401,$AH181)="","",INDEX('Per Invoice'!L$2:L$401,$AH181)))</f>
        <v/>
      </c>
      <c r="M181">
        <f>IF($AH181="","",IF(INDEX('Per Invoice'!M$2:M$401,$AH181)="","",INDEX('Per Invoice'!M$2:M$401,$AH181)))</f>
        <v/>
      </c>
      <c r="N181">
        <f>IF($AH181="","",IF(INDEX('Per Invoice'!N$2:N$401,$AH181)="","",INDEX('Per Invoice'!N$2:N$401,$AH181)))</f>
        <v/>
      </c>
      <c r="O181">
        <f>IF($AH181="","",IF(INDEX('Per Invoice'!O$2:O$401,$AH181)="","",INDEX('Per Invoice'!O$2:O$401,$AH181)))</f>
        <v/>
      </c>
      <c r="P181" s="7">
        <f>IF($AH181="","",IF(INDEX('Per Invoice'!P$2:P$401,$AH181)="","",INDEX('Per Invoice'!P$2:P$401,$AH181)))</f>
        <v/>
      </c>
      <c r="Q181">
        <f>IF($AH181="","",IF(INDEX('Per Invoice'!Q$2:Q$401,$AH181)="","",INDEX('Per Invoice'!Q$2:Q$401,$AH181)))</f>
        <v/>
      </c>
      <c r="R181">
        <f>IF($AH181="","",IF(INDEX('Per Invoice'!R$2:R$401,$AH181)="","",INDEX('Per Invoice'!R$2:R$401,$AH181)))</f>
        <v/>
      </c>
      <c r="S181">
        <f>IF($AH181="","",IF(INDEX('Per Invoice'!S$2:S$401,$AH181)="","",INDEX('Per Invoice'!S$2:S$401,$AH181)))</f>
        <v/>
      </c>
      <c r="T181" s="7">
        <f>IF($AH181="","",IF(INDEX('Per Invoice'!T$2:T$401,$AH181)="","",INDEX('Per Invoice'!T$2:T$401,$AH181)))</f>
        <v/>
      </c>
      <c r="U181" s="7">
        <f>IF($AH181="","",IF(INDEX('Per Invoice'!U$2:U$401,$AH181)="","",INDEX('Per Invoice'!U$2:U$401,$AH181)))</f>
        <v/>
      </c>
      <c r="V181">
        <f>IF($AH181="","",IF(INDEX('Per Invoice'!V$2:V$401,$AH181)="","",INDEX('Per Invoice'!V$2:V$401,$AH181)))</f>
        <v/>
      </c>
      <c r="W181" s="7">
        <f>IF($AH181="","",IF(INDEX('Per Invoice'!W$2:W$401,$AH181)="","",INDEX('Per Invoice'!W$2:W$401,$AH181)))</f>
        <v/>
      </c>
      <c r="X181" s="7">
        <f>IF($AH181="","",IF(INDEX('Per Invoice'!X$2:X$401,$AH181)="","",INDEX('Per Invoice'!X$2:X$401,$AH181)))</f>
        <v/>
      </c>
      <c r="Y181">
        <f>IF($AH181="","",IF(INDEX('Per Invoice'!Y$2:Y$401,$AH181)="","",INDEX('Per Invoice'!Y$2:Y$401,$AH181)))</f>
        <v/>
      </c>
      <c r="Z181" s="7">
        <f>IF($AH181="","",IF(INDEX('Per Invoice'!Z$2:Z$401,$AH181)="","",INDEX('Per Invoice'!Z$2:Z$401,$AH181)))</f>
        <v/>
      </c>
      <c r="AA181" s="7">
        <f>IF($AH181="","",IF(INDEX('Per Invoice'!AA$2:AA$401,$AH181)="","",INDEX('Per Invoice'!AA$2:AA$401,$AH181)))</f>
        <v/>
      </c>
      <c r="AB181" s="7">
        <f>IF($AH181="","",IF(INDEX('Per Invoice'!AB$2:AB$401,$AH181)="","",INDEX('Per Invoice'!AB$2:AB$401,$AH181)))</f>
        <v/>
      </c>
      <c r="AC181" s="7">
        <f>IF($AH181="","",IF(INDEX('Per Invoice'!AC$2:AC$401,$AH181)="","",INDEX('Per Invoice'!AC$2:AC$401,$AH181)))</f>
        <v/>
      </c>
      <c r="AD181" s="7">
        <f>IF($AH181="","",IF(INDEX('Per Invoice'!AD$2:AD$401,$AH181)="","",INDEX('Per Invoice'!AD$2:AD$401,$AH181)))</f>
        <v/>
      </c>
      <c r="AE181" s="7">
        <f>IF($AH181="","",IF(INDEX('Per Invoice'!AE$2:AE$401,$AH181)="","",INDEX('Per Invoice'!AE$2:AE$401,$AH181)))</f>
        <v/>
      </c>
      <c r="AF181">
        <f>IF($AH181="","",IF(INDEX('Per Invoice'!AF$2:AF$401,$AH181)="","",INDEX('Per Invoice'!AF$2:AF$401,$AH181)))</f>
        <v/>
      </c>
      <c r="AG181" s="7">
        <f>IF($AH181="","",IF(INDEX('Per Invoice'!AG$2:AG$401,$AH181)="","",INDEX('Per Invoice'!AG$2:AG$401,$AH181)))</f>
        <v/>
      </c>
      <c r="AH181" s="16">
        <f>IFERROR(MATCH(Settings!$C$26&amp;"|"&amp;ROWS($AH$2:$AH181),'Per Invoice'!$AI$2:$AI$401,0),"")</f>
        <v/>
      </c>
    </row>
    <row r="182">
      <c r="A182">
        <f>IF($AH182="","",IF(INDEX('Per Invoice'!A$2:A$401,$AH182)="","",INDEX('Per Invoice'!A$2:A$401,$AH182)))</f>
        <v/>
      </c>
      <c r="B182">
        <f>IF($AH182="","",IF(INDEX('Per Invoice'!B$2:B$401,$AH182)="","",INDEX('Per Invoice'!B$2:B$401,$AH182)))</f>
        <v/>
      </c>
      <c r="C182">
        <f>IF($AH182="","",IF(INDEX('Per Invoice'!C$2:C$401,$AH182)="","",INDEX('Per Invoice'!C$2:C$401,$AH182)))</f>
        <v/>
      </c>
      <c r="D182">
        <f>IF($AH182="","",IF(INDEX('Per Invoice'!D$2:D$401,$AH182)="","",INDEX('Per Invoice'!D$2:D$401,$AH182)))</f>
        <v/>
      </c>
      <c r="E182">
        <f>IF($AH182="","",IF(INDEX('Per Invoice'!E$2:E$401,$AH182)="","",INDEX('Per Invoice'!E$2:E$401,$AH182)))</f>
        <v/>
      </c>
      <c r="F182">
        <f>IF($AH182="","",IF(INDEX('Per Invoice'!F$2:F$401,$AH182)="","",INDEX('Per Invoice'!F$2:F$401,$AH182)))</f>
        <v/>
      </c>
      <c r="G182">
        <f>IF($AH182="","",IF(INDEX('Per Invoice'!G$2:G$401,$AH182)="","",INDEX('Per Invoice'!G$2:G$401,$AH182)))</f>
        <v/>
      </c>
      <c r="H182">
        <f>IF($AH182="","",IF(INDEX('Per Invoice'!H$2:H$401,$AH182)="","",INDEX('Per Invoice'!H$2:H$401,$AH182)))</f>
        <v/>
      </c>
      <c r="I182" s="14">
        <f>IF($AH182="","",IF(INDEX('Per Invoice'!I$2:I$401,$AH182)="","",INDEX('Per Invoice'!I$2:I$401,$AH182)))</f>
        <v/>
      </c>
      <c r="J182">
        <f>IF($AH182="","",IF(INDEX('Per Invoice'!J$2:J$401,$AH182)="","",INDEX('Per Invoice'!J$2:J$401,$AH182)))</f>
        <v/>
      </c>
      <c r="K182">
        <f>IF($AH182="","",IF(INDEX('Per Invoice'!K$2:K$401,$AH182)="","",INDEX('Per Invoice'!K$2:K$401,$AH182)))</f>
        <v/>
      </c>
      <c r="L182">
        <f>IF($AH182="","",IF(INDEX('Per Invoice'!L$2:L$401,$AH182)="","",INDEX('Per Invoice'!L$2:L$401,$AH182)))</f>
        <v/>
      </c>
      <c r="M182">
        <f>IF($AH182="","",IF(INDEX('Per Invoice'!M$2:M$401,$AH182)="","",INDEX('Per Invoice'!M$2:M$401,$AH182)))</f>
        <v/>
      </c>
      <c r="N182">
        <f>IF($AH182="","",IF(INDEX('Per Invoice'!N$2:N$401,$AH182)="","",INDEX('Per Invoice'!N$2:N$401,$AH182)))</f>
        <v/>
      </c>
      <c r="O182">
        <f>IF($AH182="","",IF(INDEX('Per Invoice'!O$2:O$401,$AH182)="","",INDEX('Per Invoice'!O$2:O$401,$AH182)))</f>
        <v/>
      </c>
      <c r="P182" s="7">
        <f>IF($AH182="","",IF(INDEX('Per Invoice'!P$2:P$401,$AH182)="","",INDEX('Per Invoice'!P$2:P$401,$AH182)))</f>
        <v/>
      </c>
      <c r="Q182">
        <f>IF($AH182="","",IF(INDEX('Per Invoice'!Q$2:Q$401,$AH182)="","",INDEX('Per Invoice'!Q$2:Q$401,$AH182)))</f>
        <v/>
      </c>
      <c r="R182">
        <f>IF($AH182="","",IF(INDEX('Per Invoice'!R$2:R$401,$AH182)="","",INDEX('Per Invoice'!R$2:R$401,$AH182)))</f>
        <v/>
      </c>
      <c r="S182">
        <f>IF($AH182="","",IF(INDEX('Per Invoice'!S$2:S$401,$AH182)="","",INDEX('Per Invoice'!S$2:S$401,$AH182)))</f>
        <v/>
      </c>
      <c r="T182" s="7">
        <f>IF($AH182="","",IF(INDEX('Per Invoice'!T$2:T$401,$AH182)="","",INDEX('Per Invoice'!T$2:T$401,$AH182)))</f>
        <v/>
      </c>
      <c r="U182" s="7">
        <f>IF($AH182="","",IF(INDEX('Per Invoice'!U$2:U$401,$AH182)="","",INDEX('Per Invoice'!U$2:U$401,$AH182)))</f>
        <v/>
      </c>
      <c r="V182">
        <f>IF($AH182="","",IF(INDEX('Per Invoice'!V$2:V$401,$AH182)="","",INDEX('Per Invoice'!V$2:V$401,$AH182)))</f>
        <v/>
      </c>
      <c r="W182" s="7">
        <f>IF($AH182="","",IF(INDEX('Per Invoice'!W$2:W$401,$AH182)="","",INDEX('Per Invoice'!W$2:W$401,$AH182)))</f>
        <v/>
      </c>
      <c r="X182" s="7">
        <f>IF($AH182="","",IF(INDEX('Per Invoice'!X$2:X$401,$AH182)="","",INDEX('Per Invoice'!X$2:X$401,$AH182)))</f>
        <v/>
      </c>
      <c r="Y182">
        <f>IF($AH182="","",IF(INDEX('Per Invoice'!Y$2:Y$401,$AH182)="","",INDEX('Per Invoice'!Y$2:Y$401,$AH182)))</f>
        <v/>
      </c>
      <c r="Z182" s="7">
        <f>IF($AH182="","",IF(INDEX('Per Invoice'!Z$2:Z$401,$AH182)="","",INDEX('Per Invoice'!Z$2:Z$401,$AH182)))</f>
        <v/>
      </c>
      <c r="AA182" s="7">
        <f>IF($AH182="","",IF(INDEX('Per Invoice'!AA$2:AA$401,$AH182)="","",INDEX('Per Invoice'!AA$2:AA$401,$AH182)))</f>
        <v/>
      </c>
      <c r="AB182" s="7">
        <f>IF($AH182="","",IF(INDEX('Per Invoice'!AB$2:AB$401,$AH182)="","",INDEX('Per Invoice'!AB$2:AB$401,$AH182)))</f>
        <v/>
      </c>
      <c r="AC182" s="7">
        <f>IF($AH182="","",IF(INDEX('Per Invoice'!AC$2:AC$401,$AH182)="","",INDEX('Per Invoice'!AC$2:AC$401,$AH182)))</f>
        <v/>
      </c>
      <c r="AD182" s="7">
        <f>IF($AH182="","",IF(INDEX('Per Invoice'!AD$2:AD$401,$AH182)="","",INDEX('Per Invoice'!AD$2:AD$401,$AH182)))</f>
        <v/>
      </c>
      <c r="AE182" s="7">
        <f>IF($AH182="","",IF(INDEX('Per Invoice'!AE$2:AE$401,$AH182)="","",INDEX('Per Invoice'!AE$2:AE$401,$AH182)))</f>
        <v/>
      </c>
      <c r="AF182">
        <f>IF($AH182="","",IF(INDEX('Per Invoice'!AF$2:AF$401,$AH182)="","",INDEX('Per Invoice'!AF$2:AF$401,$AH182)))</f>
        <v/>
      </c>
      <c r="AG182" s="7">
        <f>IF($AH182="","",IF(INDEX('Per Invoice'!AG$2:AG$401,$AH182)="","",INDEX('Per Invoice'!AG$2:AG$401,$AH182)))</f>
        <v/>
      </c>
      <c r="AH182" s="16">
        <f>IFERROR(MATCH(Settings!$C$26&amp;"|"&amp;ROWS($AH$2:$AH182),'Per Invoice'!$AI$2:$AI$401,0),"")</f>
        <v/>
      </c>
    </row>
    <row r="183">
      <c r="A183">
        <f>IF($AH183="","",IF(INDEX('Per Invoice'!A$2:A$401,$AH183)="","",INDEX('Per Invoice'!A$2:A$401,$AH183)))</f>
        <v/>
      </c>
      <c r="B183">
        <f>IF($AH183="","",IF(INDEX('Per Invoice'!B$2:B$401,$AH183)="","",INDEX('Per Invoice'!B$2:B$401,$AH183)))</f>
        <v/>
      </c>
      <c r="C183">
        <f>IF($AH183="","",IF(INDEX('Per Invoice'!C$2:C$401,$AH183)="","",INDEX('Per Invoice'!C$2:C$401,$AH183)))</f>
        <v/>
      </c>
      <c r="D183">
        <f>IF($AH183="","",IF(INDEX('Per Invoice'!D$2:D$401,$AH183)="","",INDEX('Per Invoice'!D$2:D$401,$AH183)))</f>
        <v/>
      </c>
      <c r="E183">
        <f>IF($AH183="","",IF(INDEX('Per Invoice'!E$2:E$401,$AH183)="","",INDEX('Per Invoice'!E$2:E$401,$AH183)))</f>
        <v/>
      </c>
      <c r="F183">
        <f>IF($AH183="","",IF(INDEX('Per Invoice'!F$2:F$401,$AH183)="","",INDEX('Per Invoice'!F$2:F$401,$AH183)))</f>
        <v/>
      </c>
      <c r="G183">
        <f>IF($AH183="","",IF(INDEX('Per Invoice'!G$2:G$401,$AH183)="","",INDEX('Per Invoice'!G$2:G$401,$AH183)))</f>
        <v/>
      </c>
      <c r="H183">
        <f>IF($AH183="","",IF(INDEX('Per Invoice'!H$2:H$401,$AH183)="","",INDEX('Per Invoice'!H$2:H$401,$AH183)))</f>
        <v/>
      </c>
      <c r="I183" s="14">
        <f>IF($AH183="","",IF(INDEX('Per Invoice'!I$2:I$401,$AH183)="","",INDEX('Per Invoice'!I$2:I$401,$AH183)))</f>
        <v/>
      </c>
      <c r="J183">
        <f>IF($AH183="","",IF(INDEX('Per Invoice'!J$2:J$401,$AH183)="","",INDEX('Per Invoice'!J$2:J$401,$AH183)))</f>
        <v/>
      </c>
      <c r="K183">
        <f>IF($AH183="","",IF(INDEX('Per Invoice'!K$2:K$401,$AH183)="","",INDEX('Per Invoice'!K$2:K$401,$AH183)))</f>
        <v/>
      </c>
      <c r="L183">
        <f>IF($AH183="","",IF(INDEX('Per Invoice'!L$2:L$401,$AH183)="","",INDEX('Per Invoice'!L$2:L$401,$AH183)))</f>
        <v/>
      </c>
      <c r="M183">
        <f>IF($AH183="","",IF(INDEX('Per Invoice'!M$2:M$401,$AH183)="","",INDEX('Per Invoice'!M$2:M$401,$AH183)))</f>
        <v/>
      </c>
      <c r="N183">
        <f>IF($AH183="","",IF(INDEX('Per Invoice'!N$2:N$401,$AH183)="","",INDEX('Per Invoice'!N$2:N$401,$AH183)))</f>
        <v/>
      </c>
      <c r="O183">
        <f>IF($AH183="","",IF(INDEX('Per Invoice'!O$2:O$401,$AH183)="","",INDEX('Per Invoice'!O$2:O$401,$AH183)))</f>
        <v/>
      </c>
      <c r="P183" s="7">
        <f>IF($AH183="","",IF(INDEX('Per Invoice'!P$2:P$401,$AH183)="","",INDEX('Per Invoice'!P$2:P$401,$AH183)))</f>
        <v/>
      </c>
      <c r="Q183">
        <f>IF($AH183="","",IF(INDEX('Per Invoice'!Q$2:Q$401,$AH183)="","",INDEX('Per Invoice'!Q$2:Q$401,$AH183)))</f>
        <v/>
      </c>
      <c r="R183">
        <f>IF($AH183="","",IF(INDEX('Per Invoice'!R$2:R$401,$AH183)="","",INDEX('Per Invoice'!R$2:R$401,$AH183)))</f>
        <v/>
      </c>
      <c r="S183">
        <f>IF($AH183="","",IF(INDEX('Per Invoice'!S$2:S$401,$AH183)="","",INDEX('Per Invoice'!S$2:S$401,$AH183)))</f>
        <v/>
      </c>
      <c r="T183" s="7">
        <f>IF($AH183="","",IF(INDEX('Per Invoice'!T$2:T$401,$AH183)="","",INDEX('Per Invoice'!T$2:T$401,$AH183)))</f>
        <v/>
      </c>
      <c r="U183" s="7">
        <f>IF($AH183="","",IF(INDEX('Per Invoice'!U$2:U$401,$AH183)="","",INDEX('Per Invoice'!U$2:U$401,$AH183)))</f>
        <v/>
      </c>
      <c r="V183">
        <f>IF($AH183="","",IF(INDEX('Per Invoice'!V$2:V$401,$AH183)="","",INDEX('Per Invoice'!V$2:V$401,$AH183)))</f>
        <v/>
      </c>
      <c r="W183" s="7">
        <f>IF($AH183="","",IF(INDEX('Per Invoice'!W$2:W$401,$AH183)="","",INDEX('Per Invoice'!W$2:W$401,$AH183)))</f>
        <v/>
      </c>
      <c r="X183" s="7">
        <f>IF($AH183="","",IF(INDEX('Per Invoice'!X$2:X$401,$AH183)="","",INDEX('Per Invoice'!X$2:X$401,$AH183)))</f>
        <v/>
      </c>
      <c r="Y183">
        <f>IF($AH183="","",IF(INDEX('Per Invoice'!Y$2:Y$401,$AH183)="","",INDEX('Per Invoice'!Y$2:Y$401,$AH183)))</f>
        <v/>
      </c>
      <c r="Z183" s="7">
        <f>IF($AH183="","",IF(INDEX('Per Invoice'!Z$2:Z$401,$AH183)="","",INDEX('Per Invoice'!Z$2:Z$401,$AH183)))</f>
        <v/>
      </c>
      <c r="AA183" s="7">
        <f>IF($AH183="","",IF(INDEX('Per Invoice'!AA$2:AA$401,$AH183)="","",INDEX('Per Invoice'!AA$2:AA$401,$AH183)))</f>
        <v/>
      </c>
      <c r="AB183" s="7">
        <f>IF($AH183="","",IF(INDEX('Per Invoice'!AB$2:AB$401,$AH183)="","",INDEX('Per Invoice'!AB$2:AB$401,$AH183)))</f>
        <v/>
      </c>
      <c r="AC183" s="7">
        <f>IF($AH183="","",IF(INDEX('Per Invoice'!AC$2:AC$401,$AH183)="","",INDEX('Per Invoice'!AC$2:AC$401,$AH183)))</f>
        <v/>
      </c>
      <c r="AD183" s="7">
        <f>IF($AH183="","",IF(INDEX('Per Invoice'!AD$2:AD$401,$AH183)="","",INDEX('Per Invoice'!AD$2:AD$401,$AH183)))</f>
        <v/>
      </c>
      <c r="AE183" s="7">
        <f>IF($AH183="","",IF(INDEX('Per Invoice'!AE$2:AE$401,$AH183)="","",INDEX('Per Invoice'!AE$2:AE$401,$AH183)))</f>
        <v/>
      </c>
      <c r="AF183">
        <f>IF($AH183="","",IF(INDEX('Per Invoice'!AF$2:AF$401,$AH183)="","",INDEX('Per Invoice'!AF$2:AF$401,$AH183)))</f>
        <v/>
      </c>
      <c r="AG183" s="7">
        <f>IF($AH183="","",IF(INDEX('Per Invoice'!AG$2:AG$401,$AH183)="","",INDEX('Per Invoice'!AG$2:AG$401,$AH183)))</f>
        <v/>
      </c>
      <c r="AH183" s="16">
        <f>IFERROR(MATCH(Settings!$C$26&amp;"|"&amp;ROWS($AH$2:$AH183),'Per Invoice'!$AI$2:$AI$401,0),"")</f>
        <v/>
      </c>
    </row>
    <row r="184">
      <c r="A184">
        <f>IF($AH184="","",IF(INDEX('Per Invoice'!A$2:A$401,$AH184)="","",INDEX('Per Invoice'!A$2:A$401,$AH184)))</f>
        <v/>
      </c>
      <c r="B184">
        <f>IF($AH184="","",IF(INDEX('Per Invoice'!B$2:B$401,$AH184)="","",INDEX('Per Invoice'!B$2:B$401,$AH184)))</f>
        <v/>
      </c>
      <c r="C184">
        <f>IF($AH184="","",IF(INDEX('Per Invoice'!C$2:C$401,$AH184)="","",INDEX('Per Invoice'!C$2:C$401,$AH184)))</f>
        <v/>
      </c>
      <c r="D184">
        <f>IF($AH184="","",IF(INDEX('Per Invoice'!D$2:D$401,$AH184)="","",INDEX('Per Invoice'!D$2:D$401,$AH184)))</f>
        <v/>
      </c>
      <c r="E184">
        <f>IF($AH184="","",IF(INDEX('Per Invoice'!E$2:E$401,$AH184)="","",INDEX('Per Invoice'!E$2:E$401,$AH184)))</f>
        <v/>
      </c>
      <c r="F184">
        <f>IF($AH184="","",IF(INDEX('Per Invoice'!F$2:F$401,$AH184)="","",INDEX('Per Invoice'!F$2:F$401,$AH184)))</f>
        <v/>
      </c>
      <c r="G184">
        <f>IF($AH184="","",IF(INDEX('Per Invoice'!G$2:G$401,$AH184)="","",INDEX('Per Invoice'!G$2:G$401,$AH184)))</f>
        <v/>
      </c>
      <c r="H184">
        <f>IF($AH184="","",IF(INDEX('Per Invoice'!H$2:H$401,$AH184)="","",INDEX('Per Invoice'!H$2:H$401,$AH184)))</f>
        <v/>
      </c>
      <c r="I184" s="14">
        <f>IF($AH184="","",IF(INDEX('Per Invoice'!I$2:I$401,$AH184)="","",INDEX('Per Invoice'!I$2:I$401,$AH184)))</f>
        <v/>
      </c>
      <c r="J184">
        <f>IF($AH184="","",IF(INDEX('Per Invoice'!J$2:J$401,$AH184)="","",INDEX('Per Invoice'!J$2:J$401,$AH184)))</f>
        <v/>
      </c>
      <c r="K184">
        <f>IF($AH184="","",IF(INDEX('Per Invoice'!K$2:K$401,$AH184)="","",INDEX('Per Invoice'!K$2:K$401,$AH184)))</f>
        <v/>
      </c>
      <c r="L184">
        <f>IF($AH184="","",IF(INDEX('Per Invoice'!L$2:L$401,$AH184)="","",INDEX('Per Invoice'!L$2:L$401,$AH184)))</f>
        <v/>
      </c>
      <c r="M184">
        <f>IF($AH184="","",IF(INDEX('Per Invoice'!M$2:M$401,$AH184)="","",INDEX('Per Invoice'!M$2:M$401,$AH184)))</f>
        <v/>
      </c>
      <c r="N184">
        <f>IF($AH184="","",IF(INDEX('Per Invoice'!N$2:N$401,$AH184)="","",INDEX('Per Invoice'!N$2:N$401,$AH184)))</f>
        <v/>
      </c>
      <c r="O184">
        <f>IF($AH184="","",IF(INDEX('Per Invoice'!O$2:O$401,$AH184)="","",INDEX('Per Invoice'!O$2:O$401,$AH184)))</f>
        <v/>
      </c>
      <c r="P184" s="7">
        <f>IF($AH184="","",IF(INDEX('Per Invoice'!P$2:P$401,$AH184)="","",INDEX('Per Invoice'!P$2:P$401,$AH184)))</f>
        <v/>
      </c>
      <c r="Q184">
        <f>IF($AH184="","",IF(INDEX('Per Invoice'!Q$2:Q$401,$AH184)="","",INDEX('Per Invoice'!Q$2:Q$401,$AH184)))</f>
        <v/>
      </c>
      <c r="R184">
        <f>IF($AH184="","",IF(INDEX('Per Invoice'!R$2:R$401,$AH184)="","",INDEX('Per Invoice'!R$2:R$401,$AH184)))</f>
        <v/>
      </c>
      <c r="S184">
        <f>IF($AH184="","",IF(INDEX('Per Invoice'!S$2:S$401,$AH184)="","",INDEX('Per Invoice'!S$2:S$401,$AH184)))</f>
        <v/>
      </c>
      <c r="T184" s="7">
        <f>IF($AH184="","",IF(INDEX('Per Invoice'!T$2:T$401,$AH184)="","",INDEX('Per Invoice'!T$2:T$401,$AH184)))</f>
        <v/>
      </c>
      <c r="U184" s="7">
        <f>IF($AH184="","",IF(INDEX('Per Invoice'!U$2:U$401,$AH184)="","",INDEX('Per Invoice'!U$2:U$401,$AH184)))</f>
        <v/>
      </c>
      <c r="V184">
        <f>IF($AH184="","",IF(INDEX('Per Invoice'!V$2:V$401,$AH184)="","",INDEX('Per Invoice'!V$2:V$401,$AH184)))</f>
        <v/>
      </c>
      <c r="W184" s="7">
        <f>IF($AH184="","",IF(INDEX('Per Invoice'!W$2:W$401,$AH184)="","",INDEX('Per Invoice'!W$2:W$401,$AH184)))</f>
        <v/>
      </c>
      <c r="X184" s="7">
        <f>IF($AH184="","",IF(INDEX('Per Invoice'!X$2:X$401,$AH184)="","",INDEX('Per Invoice'!X$2:X$401,$AH184)))</f>
        <v/>
      </c>
      <c r="Y184">
        <f>IF($AH184="","",IF(INDEX('Per Invoice'!Y$2:Y$401,$AH184)="","",INDEX('Per Invoice'!Y$2:Y$401,$AH184)))</f>
        <v/>
      </c>
      <c r="Z184" s="7">
        <f>IF($AH184="","",IF(INDEX('Per Invoice'!Z$2:Z$401,$AH184)="","",INDEX('Per Invoice'!Z$2:Z$401,$AH184)))</f>
        <v/>
      </c>
      <c r="AA184" s="7">
        <f>IF($AH184="","",IF(INDEX('Per Invoice'!AA$2:AA$401,$AH184)="","",INDEX('Per Invoice'!AA$2:AA$401,$AH184)))</f>
        <v/>
      </c>
      <c r="AB184" s="7">
        <f>IF($AH184="","",IF(INDEX('Per Invoice'!AB$2:AB$401,$AH184)="","",INDEX('Per Invoice'!AB$2:AB$401,$AH184)))</f>
        <v/>
      </c>
      <c r="AC184" s="7">
        <f>IF($AH184="","",IF(INDEX('Per Invoice'!AC$2:AC$401,$AH184)="","",INDEX('Per Invoice'!AC$2:AC$401,$AH184)))</f>
        <v/>
      </c>
      <c r="AD184" s="7">
        <f>IF($AH184="","",IF(INDEX('Per Invoice'!AD$2:AD$401,$AH184)="","",INDEX('Per Invoice'!AD$2:AD$401,$AH184)))</f>
        <v/>
      </c>
      <c r="AE184" s="7">
        <f>IF($AH184="","",IF(INDEX('Per Invoice'!AE$2:AE$401,$AH184)="","",INDEX('Per Invoice'!AE$2:AE$401,$AH184)))</f>
        <v/>
      </c>
      <c r="AF184">
        <f>IF($AH184="","",IF(INDEX('Per Invoice'!AF$2:AF$401,$AH184)="","",INDEX('Per Invoice'!AF$2:AF$401,$AH184)))</f>
        <v/>
      </c>
      <c r="AG184" s="7">
        <f>IF($AH184="","",IF(INDEX('Per Invoice'!AG$2:AG$401,$AH184)="","",INDEX('Per Invoice'!AG$2:AG$401,$AH184)))</f>
        <v/>
      </c>
      <c r="AH184" s="16">
        <f>IFERROR(MATCH(Settings!$C$26&amp;"|"&amp;ROWS($AH$2:$AH184),'Per Invoice'!$AI$2:$AI$401,0),"")</f>
        <v/>
      </c>
    </row>
    <row r="185">
      <c r="A185">
        <f>IF($AH185="","",IF(INDEX('Per Invoice'!A$2:A$401,$AH185)="","",INDEX('Per Invoice'!A$2:A$401,$AH185)))</f>
        <v/>
      </c>
      <c r="B185">
        <f>IF($AH185="","",IF(INDEX('Per Invoice'!B$2:B$401,$AH185)="","",INDEX('Per Invoice'!B$2:B$401,$AH185)))</f>
        <v/>
      </c>
      <c r="C185">
        <f>IF($AH185="","",IF(INDEX('Per Invoice'!C$2:C$401,$AH185)="","",INDEX('Per Invoice'!C$2:C$401,$AH185)))</f>
        <v/>
      </c>
      <c r="D185">
        <f>IF($AH185="","",IF(INDEX('Per Invoice'!D$2:D$401,$AH185)="","",INDEX('Per Invoice'!D$2:D$401,$AH185)))</f>
        <v/>
      </c>
      <c r="E185">
        <f>IF($AH185="","",IF(INDEX('Per Invoice'!E$2:E$401,$AH185)="","",INDEX('Per Invoice'!E$2:E$401,$AH185)))</f>
        <v/>
      </c>
      <c r="F185">
        <f>IF($AH185="","",IF(INDEX('Per Invoice'!F$2:F$401,$AH185)="","",INDEX('Per Invoice'!F$2:F$401,$AH185)))</f>
        <v/>
      </c>
      <c r="G185">
        <f>IF($AH185="","",IF(INDEX('Per Invoice'!G$2:G$401,$AH185)="","",INDEX('Per Invoice'!G$2:G$401,$AH185)))</f>
        <v/>
      </c>
      <c r="H185">
        <f>IF($AH185="","",IF(INDEX('Per Invoice'!H$2:H$401,$AH185)="","",INDEX('Per Invoice'!H$2:H$401,$AH185)))</f>
        <v/>
      </c>
      <c r="I185" s="14">
        <f>IF($AH185="","",IF(INDEX('Per Invoice'!I$2:I$401,$AH185)="","",INDEX('Per Invoice'!I$2:I$401,$AH185)))</f>
        <v/>
      </c>
      <c r="J185">
        <f>IF($AH185="","",IF(INDEX('Per Invoice'!J$2:J$401,$AH185)="","",INDEX('Per Invoice'!J$2:J$401,$AH185)))</f>
        <v/>
      </c>
      <c r="K185">
        <f>IF($AH185="","",IF(INDEX('Per Invoice'!K$2:K$401,$AH185)="","",INDEX('Per Invoice'!K$2:K$401,$AH185)))</f>
        <v/>
      </c>
      <c r="L185">
        <f>IF($AH185="","",IF(INDEX('Per Invoice'!L$2:L$401,$AH185)="","",INDEX('Per Invoice'!L$2:L$401,$AH185)))</f>
        <v/>
      </c>
      <c r="M185">
        <f>IF($AH185="","",IF(INDEX('Per Invoice'!M$2:M$401,$AH185)="","",INDEX('Per Invoice'!M$2:M$401,$AH185)))</f>
        <v/>
      </c>
      <c r="N185">
        <f>IF($AH185="","",IF(INDEX('Per Invoice'!N$2:N$401,$AH185)="","",INDEX('Per Invoice'!N$2:N$401,$AH185)))</f>
        <v/>
      </c>
      <c r="O185">
        <f>IF($AH185="","",IF(INDEX('Per Invoice'!O$2:O$401,$AH185)="","",INDEX('Per Invoice'!O$2:O$401,$AH185)))</f>
        <v/>
      </c>
      <c r="P185" s="7">
        <f>IF($AH185="","",IF(INDEX('Per Invoice'!P$2:P$401,$AH185)="","",INDEX('Per Invoice'!P$2:P$401,$AH185)))</f>
        <v/>
      </c>
      <c r="Q185">
        <f>IF($AH185="","",IF(INDEX('Per Invoice'!Q$2:Q$401,$AH185)="","",INDEX('Per Invoice'!Q$2:Q$401,$AH185)))</f>
        <v/>
      </c>
      <c r="R185">
        <f>IF($AH185="","",IF(INDEX('Per Invoice'!R$2:R$401,$AH185)="","",INDEX('Per Invoice'!R$2:R$401,$AH185)))</f>
        <v/>
      </c>
      <c r="S185">
        <f>IF($AH185="","",IF(INDEX('Per Invoice'!S$2:S$401,$AH185)="","",INDEX('Per Invoice'!S$2:S$401,$AH185)))</f>
        <v/>
      </c>
      <c r="T185" s="7">
        <f>IF($AH185="","",IF(INDEX('Per Invoice'!T$2:T$401,$AH185)="","",INDEX('Per Invoice'!T$2:T$401,$AH185)))</f>
        <v/>
      </c>
      <c r="U185" s="7">
        <f>IF($AH185="","",IF(INDEX('Per Invoice'!U$2:U$401,$AH185)="","",INDEX('Per Invoice'!U$2:U$401,$AH185)))</f>
        <v/>
      </c>
      <c r="V185">
        <f>IF($AH185="","",IF(INDEX('Per Invoice'!V$2:V$401,$AH185)="","",INDEX('Per Invoice'!V$2:V$401,$AH185)))</f>
        <v/>
      </c>
      <c r="W185" s="7">
        <f>IF($AH185="","",IF(INDEX('Per Invoice'!W$2:W$401,$AH185)="","",INDEX('Per Invoice'!W$2:W$401,$AH185)))</f>
        <v/>
      </c>
      <c r="X185" s="7">
        <f>IF($AH185="","",IF(INDEX('Per Invoice'!X$2:X$401,$AH185)="","",INDEX('Per Invoice'!X$2:X$401,$AH185)))</f>
        <v/>
      </c>
      <c r="Y185">
        <f>IF($AH185="","",IF(INDEX('Per Invoice'!Y$2:Y$401,$AH185)="","",INDEX('Per Invoice'!Y$2:Y$401,$AH185)))</f>
        <v/>
      </c>
      <c r="Z185" s="7">
        <f>IF($AH185="","",IF(INDEX('Per Invoice'!Z$2:Z$401,$AH185)="","",INDEX('Per Invoice'!Z$2:Z$401,$AH185)))</f>
        <v/>
      </c>
      <c r="AA185" s="7">
        <f>IF($AH185="","",IF(INDEX('Per Invoice'!AA$2:AA$401,$AH185)="","",INDEX('Per Invoice'!AA$2:AA$401,$AH185)))</f>
        <v/>
      </c>
      <c r="AB185" s="7">
        <f>IF($AH185="","",IF(INDEX('Per Invoice'!AB$2:AB$401,$AH185)="","",INDEX('Per Invoice'!AB$2:AB$401,$AH185)))</f>
        <v/>
      </c>
      <c r="AC185" s="7">
        <f>IF($AH185="","",IF(INDEX('Per Invoice'!AC$2:AC$401,$AH185)="","",INDEX('Per Invoice'!AC$2:AC$401,$AH185)))</f>
        <v/>
      </c>
      <c r="AD185" s="7">
        <f>IF($AH185="","",IF(INDEX('Per Invoice'!AD$2:AD$401,$AH185)="","",INDEX('Per Invoice'!AD$2:AD$401,$AH185)))</f>
        <v/>
      </c>
      <c r="AE185" s="7">
        <f>IF($AH185="","",IF(INDEX('Per Invoice'!AE$2:AE$401,$AH185)="","",INDEX('Per Invoice'!AE$2:AE$401,$AH185)))</f>
        <v/>
      </c>
      <c r="AF185">
        <f>IF($AH185="","",IF(INDEX('Per Invoice'!AF$2:AF$401,$AH185)="","",INDEX('Per Invoice'!AF$2:AF$401,$AH185)))</f>
        <v/>
      </c>
      <c r="AG185" s="7">
        <f>IF($AH185="","",IF(INDEX('Per Invoice'!AG$2:AG$401,$AH185)="","",INDEX('Per Invoice'!AG$2:AG$401,$AH185)))</f>
        <v/>
      </c>
      <c r="AH185" s="16">
        <f>IFERROR(MATCH(Settings!$C$26&amp;"|"&amp;ROWS($AH$2:$AH185),'Per Invoice'!$AI$2:$AI$401,0),"")</f>
        <v/>
      </c>
    </row>
    <row r="186">
      <c r="A186">
        <f>IF($AH186="","",IF(INDEX('Per Invoice'!A$2:A$401,$AH186)="","",INDEX('Per Invoice'!A$2:A$401,$AH186)))</f>
        <v/>
      </c>
      <c r="B186">
        <f>IF($AH186="","",IF(INDEX('Per Invoice'!B$2:B$401,$AH186)="","",INDEX('Per Invoice'!B$2:B$401,$AH186)))</f>
        <v/>
      </c>
      <c r="C186">
        <f>IF($AH186="","",IF(INDEX('Per Invoice'!C$2:C$401,$AH186)="","",INDEX('Per Invoice'!C$2:C$401,$AH186)))</f>
        <v/>
      </c>
      <c r="D186">
        <f>IF($AH186="","",IF(INDEX('Per Invoice'!D$2:D$401,$AH186)="","",INDEX('Per Invoice'!D$2:D$401,$AH186)))</f>
        <v/>
      </c>
      <c r="E186">
        <f>IF($AH186="","",IF(INDEX('Per Invoice'!E$2:E$401,$AH186)="","",INDEX('Per Invoice'!E$2:E$401,$AH186)))</f>
        <v/>
      </c>
      <c r="F186">
        <f>IF($AH186="","",IF(INDEX('Per Invoice'!F$2:F$401,$AH186)="","",INDEX('Per Invoice'!F$2:F$401,$AH186)))</f>
        <v/>
      </c>
      <c r="G186">
        <f>IF($AH186="","",IF(INDEX('Per Invoice'!G$2:G$401,$AH186)="","",INDEX('Per Invoice'!G$2:G$401,$AH186)))</f>
        <v/>
      </c>
      <c r="H186">
        <f>IF($AH186="","",IF(INDEX('Per Invoice'!H$2:H$401,$AH186)="","",INDEX('Per Invoice'!H$2:H$401,$AH186)))</f>
        <v/>
      </c>
      <c r="I186" s="14">
        <f>IF($AH186="","",IF(INDEX('Per Invoice'!I$2:I$401,$AH186)="","",INDEX('Per Invoice'!I$2:I$401,$AH186)))</f>
        <v/>
      </c>
      <c r="J186">
        <f>IF($AH186="","",IF(INDEX('Per Invoice'!J$2:J$401,$AH186)="","",INDEX('Per Invoice'!J$2:J$401,$AH186)))</f>
        <v/>
      </c>
      <c r="K186">
        <f>IF($AH186="","",IF(INDEX('Per Invoice'!K$2:K$401,$AH186)="","",INDEX('Per Invoice'!K$2:K$401,$AH186)))</f>
        <v/>
      </c>
      <c r="L186">
        <f>IF($AH186="","",IF(INDEX('Per Invoice'!L$2:L$401,$AH186)="","",INDEX('Per Invoice'!L$2:L$401,$AH186)))</f>
        <v/>
      </c>
      <c r="M186">
        <f>IF($AH186="","",IF(INDEX('Per Invoice'!M$2:M$401,$AH186)="","",INDEX('Per Invoice'!M$2:M$401,$AH186)))</f>
        <v/>
      </c>
      <c r="N186">
        <f>IF($AH186="","",IF(INDEX('Per Invoice'!N$2:N$401,$AH186)="","",INDEX('Per Invoice'!N$2:N$401,$AH186)))</f>
        <v/>
      </c>
      <c r="O186">
        <f>IF($AH186="","",IF(INDEX('Per Invoice'!O$2:O$401,$AH186)="","",INDEX('Per Invoice'!O$2:O$401,$AH186)))</f>
        <v/>
      </c>
      <c r="P186" s="7">
        <f>IF($AH186="","",IF(INDEX('Per Invoice'!P$2:P$401,$AH186)="","",INDEX('Per Invoice'!P$2:P$401,$AH186)))</f>
        <v/>
      </c>
      <c r="Q186">
        <f>IF($AH186="","",IF(INDEX('Per Invoice'!Q$2:Q$401,$AH186)="","",INDEX('Per Invoice'!Q$2:Q$401,$AH186)))</f>
        <v/>
      </c>
      <c r="R186">
        <f>IF($AH186="","",IF(INDEX('Per Invoice'!R$2:R$401,$AH186)="","",INDEX('Per Invoice'!R$2:R$401,$AH186)))</f>
        <v/>
      </c>
      <c r="S186">
        <f>IF($AH186="","",IF(INDEX('Per Invoice'!S$2:S$401,$AH186)="","",INDEX('Per Invoice'!S$2:S$401,$AH186)))</f>
        <v/>
      </c>
      <c r="T186" s="7">
        <f>IF($AH186="","",IF(INDEX('Per Invoice'!T$2:T$401,$AH186)="","",INDEX('Per Invoice'!T$2:T$401,$AH186)))</f>
        <v/>
      </c>
      <c r="U186" s="7">
        <f>IF($AH186="","",IF(INDEX('Per Invoice'!U$2:U$401,$AH186)="","",INDEX('Per Invoice'!U$2:U$401,$AH186)))</f>
        <v/>
      </c>
      <c r="V186">
        <f>IF($AH186="","",IF(INDEX('Per Invoice'!V$2:V$401,$AH186)="","",INDEX('Per Invoice'!V$2:V$401,$AH186)))</f>
        <v/>
      </c>
      <c r="W186" s="7">
        <f>IF($AH186="","",IF(INDEX('Per Invoice'!W$2:W$401,$AH186)="","",INDEX('Per Invoice'!W$2:W$401,$AH186)))</f>
        <v/>
      </c>
      <c r="X186" s="7">
        <f>IF($AH186="","",IF(INDEX('Per Invoice'!X$2:X$401,$AH186)="","",INDEX('Per Invoice'!X$2:X$401,$AH186)))</f>
        <v/>
      </c>
      <c r="Y186">
        <f>IF($AH186="","",IF(INDEX('Per Invoice'!Y$2:Y$401,$AH186)="","",INDEX('Per Invoice'!Y$2:Y$401,$AH186)))</f>
        <v/>
      </c>
      <c r="Z186" s="7">
        <f>IF($AH186="","",IF(INDEX('Per Invoice'!Z$2:Z$401,$AH186)="","",INDEX('Per Invoice'!Z$2:Z$401,$AH186)))</f>
        <v/>
      </c>
      <c r="AA186" s="7">
        <f>IF($AH186="","",IF(INDEX('Per Invoice'!AA$2:AA$401,$AH186)="","",INDEX('Per Invoice'!AA$2:AA$401,$AH186)))</f>
        <v/>
      </c>
      <c r="AB186" s="7">
        <f>IF($AH186="","",IF(INDEX('Per Invoice'!AB$2:AB$401,$AH186)="","",INDEX('Per Invoice'!AB$2:AB$401,$AH186)))</f>
        <v/>
      </c>
      <c r="AC186" s="7">
        <f>IF($AH186="","",IF(INDEX('Per Invoice'!AC$2:AC$401,$AH186)="","",INDEX('Per Invoice'!AC$2:AC$401,$AH186)))</f>
        <v/>
      </c>
      <c r="AD186" s="7">
        <f>IF($AH186="","",IF(INDEX('Per Invoice'!AD$2:AD$401,$AH186)="","",INDEX('Per Invoice'!AD$2:AD$401,$AH186)))</f>
        <v/>
      </c>
      <c r="AE186" s="7">
        <f>IF($AH186="","",IF(INDEX('Per Invoice'!AE$2:AE$401,$AH186)="","",INDEX('Per Invoice'!AE$2:AE$401,$AH186)))</f>
        <v/>
      </c>
      <c r="AF186">
        <f>IF($AH186="","",IF(INDEX('Per Invoice'!AF$2:AF$401,$AH186)="","",INDEX('Per Invoice'!AF$2:AF$401,$AH186)))</f>
        <v/>
      </c>
      <c r="AG186" s="7">
        <f>IF($AH186="","",IF(INDEX('Per Invoice'!AG$2:AG$401,$AH186)="","",INDEX('Per Invoice'!AG$2:AG$401,$AH186)))</f>
        <v/>
      </c>
      <c r="AH186" s="16">
        <f>IFERROR(MATCH(Settings!$C$26&amp;"|"&amp;ROWS($AH$2:$AH186),'Per Invoice'!$AI$2:$AI$401,0),"")</f>
        <v/>
      </c>
    </row>
    <row r="187">
      <c r="A187">
        <f>IF($AH187="","",IF(INDEX('Per Invoice'!A$2:A$401,$AH187)="","",INDEX('Per Invoice'!A$2:A$401,$AH187)))</f>
        <v/>
      </c>
      <c r="B187">
        <f>IF($AH187="","",IF(INDEX('Per Invoice'!B$2:B$401,$AH187)="","",INDEX('Per Invoice'!B$2:B$401,$AH187)))</f>
        <v/>
      </c>
      <c r="C187">
        <f>IF($AH187="","",IF(INDEX('Per Invoice'!C$2:C$401,$AH187)="","",INDEX('Per Invoice'!C$2:C$401,$AH187)))</f>
        <v/>
      </c>
      <c r="D187">
        <f>IF($AH187="","",IF(INDEX('Per Invoice'!D$2:D$401,$AH187)="","",INDEX('Per Invoice'!D$2:D$401,$AH187)))</f>
        <v/>
      </c>
      <c r="E187">
        <f>IF($AH187="","",IF(INDEX('Per Invoice'!E$2:E$401,$AH187)="","",INDEX('Per Invoice'!E$2:E$401,$AH187)))</f>
        <v/>
      </c>
      <c r="F187">
        <f>IF($AH187="","",IF(INDEX('Per Invoice'!F$2:F$401,$AH187)="","",INDEX('Per Invoice'!F$2:F$401,$AH187)))</f>
        <v/>
      </c>
      <c r="G187">
        <f>IF($AH187="","",IF(INDEX('Per Invoice'!G$2:G$401,$AH187)="","",INDEX('Per Invoice'!G$2:G$401,$AH187)))</f>
        <v/>
      </c>
      <c r="H187">
        <f>IF($AH187="","",IF(INDEX('Per Invoice'!H$2:H$401,$AH187)="","",INDEX('Per Invoice'!H$2:H$401,$AH187)))</f>
        <v/>
      </c>
      <c r="I187" s="14">
        <f>IF($AH187="","",IF(INDEX('Per Invoice'!I$2:I$401,$AH187)="","",INDEX('Per Invoice'!I$2:I$401,$AH187)))</f>
        <v/>
      </c>
      <c r="J187">
        <f>IF($AH187="","",IF(INDEX('Per Invoice'!J$2:J$401,$AH187)="","",INDEX('Per Invoice'!J$2:J$401,$AH187)))</f>
        <v/>
      </c>
      <c r="K187">
        <f>IF($AH187="","",IF(INDEX('Per Invoice'!K$2:K$401,$AH187)="","",INDEX('Per Invoice'!K$2:K$401,$AH187)))</f>
        <v/>
      </c>
      <c r="L187">
        <f>IF($AH187="","",IF(INDEX('Per Invoice'!L$2:L$401,$AH187)="","",INDEX('Per Invoice'!L$2:L$401,$AH187)))</f>
        <v/>
      </c>
      <c r="M187">
        <f>IF($AH187="","",IF(INDEX('Per Invoice'!M$2:M$401,$AH187)="","",INDEX('Per Invoice'!M$2:M$401,$AH187)))</f>
        <v/>
      </c>
      <c r="N187">
        <f>IF($AH187="","",IF(INDEX('Per Invoice'!N$2:N$401,$AH187)="","",INDEX('Per Invoice'!N$2:N$401,$AH187)))</f>
        <v/>
      </c>
      <c r="O187">
        <f>IF($AH187="","",IF(INDEX('Per Invoice'!O$2:O$401,$AH187)="","",INDEX('Per Invoice'!O$2:O$401,$AH187)))</f>
        <v/>
      </c>
      <c r="P187" s="7">
        <f>IF($AH187="","",IF(INDEX('Per Invoice'!P$2:P$401,$AH187)="","",INDEX('Per Invoice'!P$2:P$401,$AH187)))</f>
        <v/>
      </c>
      <c r="Q187">
        <f>IF($AH187="","",IF(INDEX('Per Invoice'!Q$2:Q$401,$AH187)="","",INDEX('Per Invoice'!Q$2:Q$401,$AH187)))</f>
        <v/>
      </c>
      <c r="R187">
        <f>IF($AH187="","",IF(INDEX('Per Invoice'!R$2:R$401,$AH187)="","",INDEX('Per Invoice'!R$2:R$401,$AH187)))</f>
        <v/>
      </c>
      <c r="S187">
        <f>IF($AH187="","",IF(INDEX('Per Invoice'!S$2:S$401,$AH187)="","",INDEX('Per Invoice'!S$2:S$401,$AH187)))</f>
        <v/>
      </c>
      <c r="T187" s="7">
        <f>IF($AH187="","",IF(INDEX('Per Invoice'!T$2:T$401,$AH187)="","",INDEX('Per Invoice'!T$2:T$401,$AH187)))</f>
        <v/>
      </c>
      <c r="U187" s="7">
        <f>IF($AH187="","",IF(INDEX('Per Invoice'!U$2:U$401,$AH187)="","",INDEX('Per Invoice'!U$2:U$401,$AH187)))</f>
        <v/>
      </c>
      <c r="V187">
        <f>IF($AH187="","",IF(INDEX('Per Invoice'!V$2:V$401,$AH187)="","",INDEX('Per Invoice'!V$2:V$401,$AH187)))</f>
        <v/>
      </c>
      <c r="W187" s="7">
        <f>IF($AH187="","",IF(INDEX('Per Invoice'!W$2:W$401,$AH187)="","",INDEX('Per Invoice'!W$2:W$401,$AH187)))</f>
        <v/>
      </c>
      <c r="X187" s="7">
        <f>IF($AH187="","",IF(INDEX('Per Invoice'!X$2:X$401,$AH187)="","",INDEX('Per Invoice'!X$2:X$401,$AH187)))</f>
        <v/>
      </c>
      <c r="Y187">
        <f>IF($AH187="","",IF(INDEX('Per Invoice'!Y$2:Y$401,$AH187)="","",INDEX('Per Invoice'!Y$2:Y$401,$AH187)))</f>
        <v/>
      </c>
      <c r="Z187" s="7">
        <f>IF($AH187="","",IF(INDEX('Per Invoice'!Z$2:Z$401,$AH187)="","",INDEX('Per Invoice'!Z$2:Z$401,$AH187)))</f>
        <v/>
      </c>
      <c r="AA187" s="7">
        <f>IF($AH187="","",IF(INDEX('Per Invoice'!AA$2:AA$401,$AH187)="","",INDEX('Per Invoice'!AA$2:AA$401,$AH187)))</f>
        <v/>
      </c>
      <c r="AB187" s="7">
        <f>IF($AH187="","",IF(INDEX('Per Invoice'!AB$2:AB$401,$AH187)="","",INDEX('Per Invoice'!AB$2:AB$401,$AH187)))</f>
        <v/>
      </c>
      <c r="AC187" s="7">
        <f>IF($AH187="","",IF(INDEX('Per Invoice'!AC$2:AC$401,$AH187)="","",INDEX('Per Invoice'!AC$2:AC$401,$AH187)))</f>
        <v/>
      </c>
      <c r="AD187" s="7">
        <f>IF($AH187="","",IF(INDEX('Per Invoice'!AD$2:AD$401,$AH187)="","",INDEX('Per Invoice'!AD$2:AD$401,$AH187)))</f>
        <v/>
      </c>
      <c r="AE187" s="7">
        <f>IF($AH187="","",IF(INDEX('Per Invoice'!AE$2:AE$401,$AH187)="","",INDEX('Per Invoice'!AE$2:AE$401,$AH187)))</f>
        <v/>
      </c>
      <c r="AF187">
        <f>IF($AH187="","",IF(INDEX('Per Invoice'!AF$2:AF$401,$AH187)="","",INDEX('Per Invoice'!AF$2:AF$401,$AH187)))</f>
        <v/>
      </c>
      <c r="AG187" s="7">
        <f>IF($AH187="","",IF(INDEX('Per Invoice'!AG$2:AG$401,$AH187)="","",INDEX('Per Invoice'!AG$2:AG$401,$AH187)))</f>
        <v/>
      </c>
      <c r="AH187" s="16">
        <f>IFERROR(MATCH(Settings!$C$26&amp;"|"&amp;ROWS($AH$2:$AH187),'Per Invoice'!$AI$2:$AI$401,0),"")</f>
        <v/>
      </c>
    </row>
    <row r="188">
      <c r="A188">
        <f>IF($AH188="","",IF(INDEX('Per Invoice'!A$2:A$401,$AH188)="","",INDEX('Per Invoice'!A$2:A$401,$AH188)))</f>
        <v/>
      </c>
      <c r="B188">
        <f>IF($AH188="","",IF(INDEX('Per Invoice'!B$2:B$401,$AH188)="","",INDEX('Per Invoice'!B$2:B$401,$AH188)))</f>
        <v/>
      </c>
      <c r="C188">
        <f>IF($AH188="","",IF(INDEX('Per Invoice'!C$2:C$401,$AH188)="","",INDEX('Per Invoice'!C$2:C$401,$AH188)))</f>
        <v/>
      </c>
      <c r="D188">
        <f>IF($AH188="","",IF(INDEX('Per Invoice'!D$2:D$401,$AH188)="","",INDEX('Per Invoice'!D$2:D$401,$AH188)))</f>
        <v/>
      </c>
      <c r="E188">
        <f>IF($AH188="","",IF(INDEX('Per Invoice'!E$2:E$401,$AH188)="","",INDEX('Per Invoice'!E$2:E$401,$AH188)))</f>
        <v/>
      </c>
      <c r="F188">
        <f>IF($AH188="","",IF(INDEX('Per Invoice'!F$2:F$401,$AH188)="","",INDEX('Per Invoice'!F$2:F$401,$AH188)))</f>
        <v/>
      </c>
      <c r="G188">
        <f>IF($AH188="","",IF(INDEX('Per Invoice'!G$2:G$401,$AH188)="","",INDEX('Per Invoice'!G$2:G$401,$AH188)))</f>
        <v/>
      </c>
      <c r="H188">
        <f>IF($AH188="","",IF(INDEX('Per Invoice'!H$2:H$401,$AH188)="","",INDEX('Per Invoice'!H$2:H$401,$AH188)))</f>
        <v/>
      </c>
      <c r="I188" s="14">
        <f>IF($AH188="","",IF(INDEX('Per Invoice'!I$2:I$401,$AH188)="","",INDEX('Per Invoice'!I$2:I$401,$AH188)))</f>
        <v/>
      </c>
      <c r="J188">
        <f>IF($AH188="","",IF(INDEX('Per Invoice'!J$2:J$401,$AH188)="","",INDEX('Per Invoice'!J$2:J$401,$AH188)))</f>
        <v/>
      </c>
      <c r="K188">
        <f>IF($AH188="","",IF(INDEX('Per Invoice'!K$2:K$401,$AH188)="","",INDEX('Per Invoice'!K$2:K$401,$AH188)))</f>
        <v/>
      </c>
      <c r="L188">
        <f>IF($AH188="","",IF(INDEX('Per Invoice'!L$2:L$401,$AH188)="","",INDEX('Per Invoice'!L$2:L$401,$AH188)))</f>
        <v/>
      </c>
      <c r="M188">
        <f>IF($AH188="","",IF(INDEX('Per Invoice'!M$2:M$401,$AH188)="","",INDEX('Per Invoice'!M$2:M$401,$AH188)))</f>
        <v/>
      </c>
      <c r="N188">
        <f>IF($AH188="","",IF(INDEX('Per Invoice'!N$2:N$401,$AH188)="","",INDEX('Per Invoice'!N$2:N$401,$AH188)))</f>
        <v/>
      </c>
      <c r="O188">
        <f>IF($AH188="","",IF(INDEX('Per Invoice'!O$2:O$401,$AH188)="","",INDEX('Per Invoice'!O$2:O$401,$AH188)))</f>
        <v/>
      </c>
      <c r="P188" s="7">
        <f>IF($AH188="","",IF(INDEX('Per Invoice'!P$2:P$401,$AH188)="","",INDEX('Per Invoice'!P$2:P$401,$AH188)))</f>
        <v/>
      </c>
      <c r="Q188">
        <f>IF($AH188="","",IF(INDEX('Per Invoice'!Q$2:Q$401,$AH188)="","",INDEX('Per Invoice'!Q$2:Q$401,$AH188)))</f>
        <v/>
      </c>
      <c r="R188">
        <f>IF($AH188="","",IF(INDEX('Per Invoice'!R$2:R$401,$AH188)="","",INDEX('Per Invoice'!R$2:R$401,$AH188)))</f>
        <v/>
      </c>
      <c r="S188">
        <f>IF($AH188="","",IF(INDEX('Per Invoice'!S$2:S$401,$AH188)="","",INDEX('Per Invoice'!S$2:S$401,$AH188)))</f>
        <v/>
      </c>
      <c r="T188" s="7">
        <f>IF($AH188="","",IF(INDEX('Per Invoice'!T$2:T$401,$AH188)="","",INDEX('Per Invoice'!T$2:T$401,$AH188)))</f>
        <v/>
      </c>
      <c r="U188" s="7">
        <f>IF($AH188="","",IF(INDEX('Per Invoice'!U$2:U$401,$AH188)="","",INDEX('Per Invoice'!U$2:U$401,$AH188)))</f>
        <v/>
      </c>
      <c r="V188">
        <f>IF($AH188="","",IF(INDEX('Per Invoice'!V$2:V$401,$AH188)="","",INDEX('Per Invoice'!V$2:V$401,$AH188)))</f>
        <v/>
      </c>
      <c r="W188" s="7">
        <f>IF($AH188="","",IF(INDEX('Per Invoice'!W$2:W$401,$AH188)="","",INDEX('Per Invoice'!W$2:W$401,$AH188)))</f>
        <v/>
      </c>
      <c r="X188" s="7">
        <f>IF($AH188="","",IF(INDEX('Per Invoice'!X$2:X$401,$AH188)="","",INDEX('Per Invoice'!X$2:X$401,$AH188)))</f>
        <v/>
      </c>
      <c r="Y188">
        <f>IF($AH188="","",IF(INDEX('Per Invoice'!Y$2:Y$401,$AH188)="","",INDEX('Per Invoice'!Y$2:Y$401,$AH188)))</f>
        <v/>
      </c>
      <c r="Z188" s="7">
        <f>IF($AH188="","",IF(INDEX('Per Invoice'!Z$2:Z$401,$AH188)="","",INDEX('Per Invoice'!Z$2:Z$401,$AH188)))</f>
        <v/>
      </c>
      <c r="AA188" s="7">
        <f>IF($AH188="","",IF(INDEX('Per Invoice'!AA$2:AA$401,$AH188)="","",INDEX('Per Invoice'!AA$2:AA$401,$AH188)))</f>
        <v/>
      </c>
      <c r="AB188" s="7">
        <f>IF($AH188="","",IF(INDEX('Per Invoice'!AB$2:AB$401,$AH188)="","",INDEX('Per Invoice'!AB$2:AB$401,$AH188)))</f>
        <v/>
      </c>
      <c r="AC188" s="7">
        <f>IF($AH188="","",IF(INDEX('Per Invoice'!AC$2:AC$401,$AH188)="","",INDEX('Per Invoice'!AC$2:AC$401,$AH188)))</f>
        <v/>
      </c>
      <c r="AD188" s="7">
        <f>IF($AH188="","",IF(INDEX('Per Invoice'!AD$2:AD$401,$AH188)="","",INDEX('Per Invoice'!AD$2:AD$401,$AH188)))</f>
        <v/>
      </c>
      <c r="AE188" s="7">
        <f>IF($AH188="","",IF(INDEX('Per Invoice'!AE$2:AE$401,$AH188)="","",INDEX('Per Invoice'!AE$2:AE$401,$AH188)))</f>
        <v/>
      </c>
      <c r="AF188">
        <f>IF($AH188="","",IF(INDEX('Per Invoice'!AF$2:AF$401,$AH188)="","",INDEX('Per Invoice'!AF$2:AF$401,$AH188)))</f>
        <v/>
      </c>
      <c r="AG188" s="7">
        <f>IF($AH188="","",IF(INDEX('Per Invoice'!AG$2:AG$401,$AH188)="","",INDEX('Per Invoice'!AG$2:AG$401,$AH188)))</f>
        <v/>
      </c>
      <c r="AH188" s="16">
        <f>IFERROR(MATCH(Settings!$C$26&amp;"|"&amp;ROWS($AH$2:$AH188),'Per Invoice'!$AI$2:$AI$401,0),"")</f>
        <v/>
      </c>
    </row>
    <row r="189">
      <c r="A189">
        <f>IF($AH189="","",IF(INDEX('Per Invoice'!A$2:A$401,$AH189)="","",INDEX('Per Invoice'!A$2:A$401,$AH189)))</f>
        <v/>
      </c>
      <c r="B189">
        <f>IF($AH189="","",IF(INDEX('Per Invoice'!B$2:B$401,$AH189)="","",INDEX('Per Invoice'!B$2:B$401,$AH189)))</f>
        <v/>
      </c>
      <c r="C189">
        <f>IF($AH189="","",IF(INDEX('Per Invoice'!C$2:C$401,$AH189)="","",INDEX('Per Invoice'!C$2:C$401,$AH189)))</f>
        <v/>
      </c>
      <c r="D189">
        <f>IF($AH189="","",IF(INDEX('Per Invoice'!D$2:D$401,$AH189)="","",INDEX('Per Invoice'!D$2:D$401,$AH189)))</f>
        <v/>
      </c>
      <c r="E189">
        <f>IF($AH189="","",IF(INDEX('Per Invoice'!E$2:E$401,$AH189)="","",INDEX('Per Invoice'!E$2:E$401,$AH189)))</f>
        <v/>
      </c>
      <c r="F189">
        <f>IF($AH189="","",IF(INDEX('Per Invoice'!F$2:F$401,$AH189)="","",INDEX('Per Invoice'!F$2:F$401,$AH189)))</f>
        <v/>
      </c>
      <c r="G189">
        <f>IF($AH189="","",IF(INDEX('Per Invoice'!G$2:G$401,$AH189)="","",INDEX('Per Invoice'!G$2:G$401,$AH189)))</f>
        <v/>
      </c>
      <c r="H189">
        <f>IF($AH189="","",IF(INDEX('Per Invoice'!H$2:H$401,$AH189)="","",INDEX('Per Invoice'!H$2:H$401,$AH189)))</f>
        <v/>
      </c>
      <c r="I189" s="14">
        <f>IF($AH189="","",IF(INDEX('Per Invoice'!I$2:I$401,$AH189)="","",INDEX('Per Invoice'!I$2:I$401,$AH189)))</f>
        <v/>
      </c>
      <c r="J189">
        <f>IF($AH189="","",IF(INDEX('Per Invoice'!J$2:J$401,$AH189)="","",INDEX('Per Invoice'!J$2:J$401,$AH189)))</f>
        <v/>
      </c>
      <c r="K189">
        <f>IF($AH189="","",IF(INDEX('Per Invoice'!K$2:K$401,$AH189)="","",INDEX('Per Invoice'!K$2:K$401,$AH189)))</f>
        <v/>
      </c>
      <c r="L189">
        <f>IF($AH189="","",IF(INDEX('Per Invoice'!L$2:L$401,$AH189)="","",INDEX('Per Invoice'!L$2:L$401,$AH189)))</f>
        <v/>
      </c>
      <c r="M189">
        <f>IF($AH189="","",IF(INDEX('Per Invoice'!M$2:M$401,$AH189)="","",INDEX('Per Invoice'!M$2:M$401,$AH189)))</f>
        <v/>
      </c>
      <c r="N189">
        <f>IF($AH189="","",IF(INDEX('Per Invoice'!N$2:N$401,$AH189)="","",INDEX('Per Invoice'!N$2:N$401,$AH189)))</f>
        <v/>
      </c>
      <c r="O189">
        <f>IF($AH189="","",IF(INDEX('Per Invoice'!O$2:O$401,$AH189)="","",INDEX('Per Invoice'!O$2:O$401,$AH189)))</f>
        <v/>
      </c>
      <c r="P189" s="7">
        <f>IF($AH189="","",IF(INDEX('Per Invoice'!P$2:P$401,$AH189)="","",INDEX('Per Invoice'!P$2:P$401,$AH189)))</f>
        <v/>
      </c>
      <c r="Q189">
        <f>IF($AH189="","",IF(INDEX('Per Invoice'!Q$2:Q$401,$AH189)="","",INDEX('Per Invoice'!Q$2:Q$401,$AH189)))</f>
        <v/>
      </c>
      <c r="R189">
        <f>IF($AH189="","",IF(INDEX('Per Invoice'!R$2:R$401,$AH189)="","",INDEX('Per Invoice'!R$2:R$401,$AH189)))</f>
        <v/>
      </c>
      <c r="S189">
        <f>IF($AH189="","",IF(INDEX('Per Invoice'!S$2:S$401,$AH189)="","",INDEX('Per Invoice'!S$2:S$401,$AH189)))</f>
        <v/>
      </c>
      <c r="T189" s="7">
        <f>IF($AH189="","",IF(INDEX('Per Invoice'!T$2:T$401,$AH189)="","",INDEX('Per Invoice'!T$2:T$401,$AH189)))</f>
        <v/>
      </c>
      <c r="U189" s="7">
        <f>IF($AH189="","",IF(INDEX('Per Invoice'!U$2:U$401,$AH189)="","",INDEX('Per Invoice'!U$2:U$401,$AH189)))</f>
        <v/>
      </c>
      <c r="V189">
        <f>IF($AH189="","",IF(INDEX('Per Invoice'!V$2:V$401,$AH189)="","",INDEX('Per Invoice'!V$2:V$401,$AH189)))</f>
        <v/>
      </c>
      <c r="W189" s="7">
        <f>IF($AH189="","",IF(INDEX('Per Invoice'!W$2:W$401,$AH189)="","",INDEX('Per Invoice'!W$2:W$401,$AH189)))</f>
        <v/>
      </c>
      <c r="X189" s="7">
        <f>IF($AH189="","",IF(INDEX('Per Invoice'!X$2:X$401,$AH189)="","",INDEX('Per Invoice'!X$2:X$401,$AH189)))</f>
        <v/>
      </c>
      <c r="Y189">
        <f>IF($AH189="","",IF(INDEX('Per Invoice'!Y$2:Y$401,$AH189)="","",INDEX('Per Invoice'!Y$2:Y$401,$AH189)))</f>
        <v/>
      </c>
      <c r="Z189" s="7">
        <f>IF($AH189="","",IF(INDEX('Per Invoice'!Z$2:Z$401,$AH189)="","",INDEX('Per Invoice'!Z$2:Z$401,$AH189)))</f>
        <v/>
      </c>
      <c r="AA189" s="7">
        <f>IF($AH189="","",IF(INDEX('Per Invoice'!AA$2:AA$401,$AH189)="","",INDEX('Per Invoice'!AA$2:AA$401,$AH189)))</f>
        <v/>
      </c>
      <c r="AB189" s="7">
        <f>IF($AH189="","",IF(INDEX('Per Invoice'!AB$2:AB$401,$AH189)="","",INDEX('Per Invoice'!AB$2:AB$401,$AH189)))</f>
        <v/>
      </c>
      <c r="AC189" s="7">
        <f>IF($AH189="","",IF(INDEX('Per Invoice'!AC$2:AC$401,$AH189)="","",INDEX('Per Invoice'!AC$2:AC$401,$AH189)))</f>
        <v/>
      </c>
      <c r="AD189" s="7">
        <f>IF($AH189="","",IF(INDEX('Per Invoice'!AD$2:AD$401,$AH189)="","",INDEX('Per Invoice'!AD$2:AD$401,$AH189)))</f>
        <v/>
      </c>
      <c r="AE189" s="7">
        <f>IF($AH189="","",IF(INDEX('Per Invoice'!AE$2:AE$401,$AH189)="","",INDEX('Per Invoice'!AE$2:AE$401,$AH189)))</f>
        <v/>
      </c>
      <c r="AF189">
        <f>IF($AH189="","",IF(INDEX('Per Invoice'!AF$2:AF$401,$AH189)="","",INDEX('Per Invoice'!AF$2:AF$401,$AH189)))</f>
        <v/>
      </c>
      <c r="AG189" s="7">
        <f>IF($AH189="","",IF(INDEX('Per Invoice'!AG$2:AG$401,$AH189)="","",INDEX('Per Invoice'!AG$2:AG$401,$AH189)))</f>
        <v/>
      </c>
      <c r="AH189" s="16">
        <f>IFERROR(MATCH(Settings!$C$26&amp;"|"&amp;ROWS($AH$2:$AH189),'Per Invoice'!$AI$2:$AI$401,0),"")</f>
        <v/>
      </c>
    </row>
    <row r="190">
      <c r="A190">
        <f>IF($AH190="","",IF(INDEX('Per Invoice'!A$2:A$401,$AH190)="","",INDEX('Per Invoice'!A$2:A$401,$AH190)))</f>
        <v/>
      </c>
      <c r="B190">
        <f>IF($AH190="","",IF(INDEX('Per Invoice'!B$2:B$401,$AH190)="","",INDEX('Per Invoice'!B$2:B$401,$AH190)))</f>
        <v/>
      </c>
      <c r="C190">
        <f>IF($AH190="","",IF(INDEX('Per Invoice'!C$2:C$401,$AH190)="","",INDEX('Per Invoice'!C$2:C$401,$AH190)))</f>
        <v/>
      </c>
      <c r="D190">
        <f>IF($AH190="","",IF(INDEX('Per Invoice'!D$2:D$401,$AH190)="","",INDEX('Per Invoice'!D$2:D$401,$AH190)))</f>
        <v/>
      </c>
      <c r="E190">
        <f>IF($AH190="","",IF(INDEX('Per Invoice'!E$2:E$401,$AH190)="","",INDEX('Per Invoice'!E$2:E$401,$AH190)))</f>
        <v/>
      </c>
      <c r="F190">
        <f>IF($AH190="","",IF(INDEX('Per Invoice'!F$2:F$401,$AH190)="","",INDEX('Per Invoice'!F$2:F$401,$AH190)))</f>
        <v/>
      </c>
      <c r="G190">
        <f>IF($AH190="","",IF(INDEX('Per Invoice'!G$2:G$401,$AH190)="","",INDEX('Per Invoice'!G$2:G$401,$AH190)))</f>
        <v/>
      </c>
      <c r="H190">
        <f>IF($AH190="","",IF(INDEX('Per Invoice'!H$2:H$401,$AH190)="","",INDEX('Per Invoice'!H$2:H$401,$AH190)))</f>
        <v/>
      </c>
      <c r="I190" s="14">
        <f>IF($AH190="","",IF(INDEX('Per Invoice'!I$2:I$401,$AH190)="","",INDEX('Per Invoice'!I$2:I$401,$AH190)))</f>
        <v/>
      </c>
      <c r="J190">
        <f>IF($AH190="","",IF(INDEX('Per Invoice'!J$2:J$401,$AH190)="","",INDEX('Per Invoice'!J$2:J$401,$AH190)))</f>
        <v/>
      </c>
      <c r="K190">
        <f>IF($AH190="","",IF(INDEX('Per Invoice'!K$2:K$401,$AH190)="","",INDEX('Per Invoice'!K$2:K$401,$AH190)))</f>
        <v/>
      </c>
      <c r="L190">
        <f>IF($AH190="","",IF(INDEX('Per Invoice'!L$2:L$401,$AH190)="","",INDEX('Per Invoice'!L$2:L$401,$AH190)))</f>
        <v/>
      </c>
      <c r="M190">
        <f>IF($AH190="","",IF(INDEX('Per Invoice'!M$2:M$401,$AH190)="","",INDEX('Per Invoice'!M$2:M$401,$AH190)))</f>
        <v/>
      </c>
      <c r="N190">
        <f>IF($AH190="","",IF(INDEX('Per Invoice'!N$2:N$401,$AH190)="","",INDEX('Per Invoice'!N$2:N$401,$AH190)))</f>
        <v/>
      </c>
      <c r="O190">
        <f>IF($AH190="","",IF(INDEX('Per Invoice'!O$2:O$401,$AH190)="","",INDEX('Per Invoice'!O$2:O$401,$AH190)))</f>
        <v/>
      </c>
      <c r="P190" s="7">
        <f>IF($AH190="","",IF(INDEX('Per Invoice'!P$2:P$401,$AH190)="","",INDEX('Per Invoice'!P$2:P$401,$AH190)))</f>
        <v/>
      </c>
      <c r="Q190">
        <f>IF($AH190="","",IF(INDEX('Per Invoice'!Q$2:Q$401,$AH190)="","",INDEX('Per Invoice'!Q$2:Q$401,$AH190)))</f>
        <v/>
      </c>
      <c r="R190">
        <f>IF($AH190="","",IF(INDEX('Per Invoice'!R$2:R$401,$AH190)="","",INDEX('Per Invoice'!R$2:R$401,$AH190)))</f>
        <v/>
      </c>
      <c r="S190">
        <f>IF($AH190="","",IF(INDEX('Per Invoice'!S$2:S$401,$AH190)="","",INDEX('Per Invoice'!S$2:S$401,$AH190)))</f>
        <v/>
      </c>
      <c r="T190" s="7">
        <f>IF($AH190="","",IF(INDEX('Per Invoice'!T$2:T$401,$AH190)="","",INDEX('Per Invoice'!T$2:T$401,$AH190)))</f>
        <v/>
      </c>
      <c r="U190" s="7">
        <f>IF($AH190="","",IF(INDEX('Per Invoice'!U$2:U$401,$AH190)="","",INDEX('Per Invoice'!U$2:U$401,$AH190)))</f>
        <v/>
      </c>
      <c r="V190">
        <f>IF($AH190="","",IF(INDEX('Per Invoice'!V$2:V$401,$AH190)="","",INDEX('Per Invoice'!V$2:V$401,$AH190)))</f>
        <v/>
      </c>
      <c r="W190" s="7">
        <f>IF($AH190="","",IF(INDEX('Per Invoice'!W$2:W$401,$AH190)="","",INDEX('Per Invoice'!W$2:W$401,$AH190)))</f>
        <v/>
      </c>
      <c r="X190" s="7">
        <f>IF($AH190="","",IF(INDEX('Per Invoice'!X$2:X$401,$AH190)="","",INDEX('Per Invoice'!X$2:X$401,$AH190)))</f>
        <v/>
      </c>
      <c r="Y190">
        <f>IF($AH190="","",IF(INDEX('Per Invoice'!Y$2:Y$401,$AH190)="","",INDEX('Per Invoice'!Y$2:Y$401,$AH190)))</f>
        <v/>
      </c>
      <c r="Z190" s="7">
        <f>IF($AH190="","",IF(INDEX('Per Invoice'!Z$2:Z$401,$AH190)="","",INDEX('Per Invoice'!Z$2:Z$401,$AH190)))</f>
        <v/>
      </c>
      <c r="AA190" s="7">
        <f>IF($AH190="","",IF(INDEX('Per Invoice'!AA$2:AA$401,$AH190)="","",INDEX('Per Invoice'!AA$2:AA$401,$AH190)))</f>
        <v/>
      </c>
      <c r="AB190" s="7">
        <f>IF($AH190="","",IF(INDEX('Per Invoice'!AB$2:AB$401,$AH190)="","",INDEX('Per Invoice'!AB$2:AB$401,$AH190)))</f>
        <v/>
      </c>
      <c r="AC190" s="7">
        <f>IF($AH190="","",IF(INDEX('Per Invoice'!AC$2:AC$401,$AH190)="","",INDEX('Per Invoice'!AC$2:AC$401,$AH190)))</f>
        <v/>
      </c>
      <c r="AD190" s="7">
        <f>IF($AH190="","",IF(INDEX('Per Invoice'!AD$2:AD$401,$AH190)="","",INDEX('Per Invoice'!AD$2:AD$401,$AH190)))</f>
        <v/>
      </c>
      <c r="AE190" s="7">
        <f>IF($AH190="","",IF(INDEX('Per Invoice'!AE$2:AE$401,$AH190)="","",INDEX('Per Invoice'!AE$2:AE$401,$AH190)))</f>
        <v/>
      </c>
      <c r="AF190">
        <f>IF($AH190="","",IF(INDEX('Per Invoice'!AF$2:AF$401,$AH190)="","",INDEX('Per Invoice'!AF$2:AF$401,$AH190)))</f>
        <v/>
      </c>
      <c r="AG190" s="7">
        <f>IF($AH190="","",IF(INDEX('Per Invoice'!AG$2:AG$401,$AH190)="","",INDEX('Per Invoice'!AG$2:AG$401,$AH190)))</f>
        <v/>
      </c>
      <c r="AH190" s="16">
        <f>IFERROR(MATCH(Settings!$C$26&amp;"|"&amp;ROWS($AH$2:$AH190),'Per Invoice'!$AI$2:$AI$401,0),"")</f>
        <v/>
      </c>
    </row>
    <row r="191">
      <c r="A191">
        <f>IF($AH191="","",IF(INDEX('Per Invoice'!A$2:A$401,$AH191)="","",INDEX('Per Invoice'!A$2:A$401,$AH191)))</f>
        <v/>
      </c>
      <c r="B191">
        <f>IF($AH191="","",IF(INDEX('Per Invoice'!B$2:B$401,$AH191)="","",INDEX('Per Invoice'!B$2:B$401,$AH191)))</f>
        <v/>
      </c>
      <c r="C191">
        <f>IF($AH191="","",IF(INDEX('Per Invoice'!C$2:C$401,$AH191)="","",INDEX('Per Invoice'!C$2:C$401,$AH191)))</f>
        <v/>
      </c>
      <c r="D191">
        <f>IF($AH191="","",IF(INDEX('Per Invoice'!D$2:D$401,$AH191)="","",INDEX('Per Invoice'!D$2:D$401,$AH191)))</f>
        <v/>
      </c>
      <c r="E191">
        <f>IF($AH191="","",IF(INDEX('Per Invoice'!E$2:E$401,$AH191)="","",INDEX('Per Invoice'!E$2:E$401,$AH191)))</f>
        <v/>
      </c>
      <c r="F191">
        <f>IF($AH191="","",IF(INDEX('Per Invoice'!F$2:F$401,$AH191)="","",INDEX('Per Invoice'!F$2:F$401,$AH191)))</f>
        <v/>
      </c>
      <c r="G191">
        <f>IF($AH191="","",IF(INDEX('Per Invoice'!G$2:G$401,$AH191)="","",INDEX('Per Invoice'!G$2:G$401,$AH191)))</f>
        <v/>
      </c>
      <c r="H191">
        <f>IF($AH191="","",IF(INDEX('Per Invoice'!H$2:H$401,$AH191)="","",INDEX('Per Invoice'!H$2:H$401,$AH191)))</f>
        <v/>
      </c>
      <c r="I191" s="14">
        <f>IF($AH191="","",IF(INDEX('Per Invoice'!I$2:I$401,$AH191)="","",INDEX('Per Invoice'!I$2:I$401,$AH191)))</f>
        <v/>
      </c>
      <c r="J191">
        <f>IF($AH191="","",IF(INDEX('Per Invoice'!J$2:J$401,$AH191)="","",INDEX('Per Invoice'!J$2:J$401,$AH191)))</f>
        <v/>
      </c>
      <c r="K191">
        <f>IF($AH191="","",IF(INDEX('Per Invoice'!K$2:K$401,$AH191)="","",INDEX('Per Invoice'!K$2:K$401,$AH191)))</f>
        <v/>
      </c>
      <c r="L191">
        <f>IF($AH191="","",IF(INDEX('Per Invoice'!L$2:L$401,$AH191)="","",INDEX('Per Invoice'!L$2:L$401,$AH191)))</f>
        <v/>
      </c>
      <c r="M191">
        <f>IF($AH191="","",IF(INDEX('Per Invoice'!M$2:M$401,$AH191)="","",INDEX('Per Invoice'!M$2:M$401,$AH191)))</f>
        <v/>
      </c>
      <c r="N191">
        <f>IF($AH191="","",IF(INDEX('Per Invoice'!N$2:N$401,$AH191)="","",INDEX('Per Invoice'!N$2:N$401,$AH191)))</f>
        <v/>
      </c>
      <c r="O191">
        <f>IF($AH191="","",IF(INDEX('Per Invoice'!O$2:O$401,$AH191)="","",INDEX('Per Invoice'!O$2:O$401,$AH191)))</f>
        <v/>
      </c>
      <c r="P191" s="7">
        <f>IF($AH191="","",IF(INDEX('Per Invoice'!P$2:P$401,$AH191)="","",INDEX('Per Invoice'!P$2:P$401,$AH191)))</f>
        <v/>
      </c>
      <c r="Q191">
        <f>IF($AH191="","",IF(INDEX('Per Invoice'!Q$2:Q$401,$AH191)="","",INDEX('Per Invoice'!Q$2:Q$401,$AH191)))</f>
        <v/>
      </c>
      <c r="R191">
        <f>IF($AH191="","",IF(INDEX('Per Invoice'!R$2:R$401,$AH191)="","",INDEX('Per Invoice'!R$2:R$401,$AH191)))</f>
        <v/>
      </c>
      <c r="S191">
        <f>IF($AH191="","",IF(INDEX('Per Invoice'!S$2:S$401,$AH191)="","",INDEX('Per Invoice'!S$2:S$401,$AH191)))</f>
        <v/>
      </c>
      <c r="T191" s="7">
        <f>IF($AH191="","",IF(INDEX('Per Invoice'!T$2:T$401,$AH191)="","",INDEX('Per Invoice'!T$2:T$401,$AH191)))</f>
        <v/>
      </c>
      <c r="U191" s="7">
        <f>IF($AH191="","",IF(INDEX('Per Invoice'!U$2:U$401,$AH191)="","",INDEX('Per Invoice'!U$2:U$401,$AH191)))</f>
        <v/>
      </c>
      <c r="V191">
        <f>IF($AH191="","",IF(INDEX('Per Invoice'!V$2:V$401,$AH191)="","",INDEX('Per Invoice'!V$2:V$401,$AH191)))</f>
        <v/>
      </c>
      <c r="W191" s="7">
        <f>IF($AH191="","",IF(INDEX('Per Invoice'!W$2:W$401,$AH191)="","",INDEX('Per Invoice'!W$2:W$401,$AH191)))</f>
        <v/>
      </c>
      <c r="X191" s="7">
        <f>IF($AH191="","",IF(INDEX('Per Invoice'!X$2:X$401,$AH191)="","",INDEX('Per Invoice'!X$2:X$401,$AH191)))</f>
        <v/>
      </c>
      <c r="Y191">
        <f>IF($AH191="","",IF(INDEX('Per Invoice'!Y$2:Y$401,$AH191)="","",INDEX('Per Invoice'!Y$2:Y$401,$AH191)))</f>
        <v/>
      </c>
      <c r="Z191" s="7">
        <f>IF($AH191="","",IF(INDEX('Per Invoice'!Z$2:Z$401,$AH191)="","",INDEX('Per Invoice'!Z$2:Z$401,$AH191)))</f>
        <v/>
      </c>
      <c r="AA191" s="7">
        <f>IF($AH191="","",IF(INDEX('Per Invoice'!AA$2:AA$401,$AH191)="","",INDEX('Per Invoice'!AA$2:AA$401,$AH191)))</f>
        <v/>
      </c>
      <c r="AB191" s="7">
        <f>IF($AH191="","",IF(INDEX('Per Invoice'!AB$2:AB$401,$AH191)="","",INDEX('Per Invoice'!AB$2:AB$401,$AH191)))</f>
        <v/>
      </c>
      <c r="AC191" s="7">
        <f>IF($AH191="","",IF(INDEX('Per Invoice'!AC$2:AC$401,$AH191)="","",INDEX('Per Invoice'!AC$2:AC$401,$AH191)))</f>
        <v/>
      </c>
      <c r="AD191" s="7">
        <f>IF($AH191="","",IF(INDEX('Per Invoice'!AD$2:AD$401,$AH191)="","",INDEX('Per Invoice'!AD$2:AD$401,$AH191)))</f>
        <v/>
      </c>
      <c r="AE191" s="7">
        <f>IF($AH191="","",IF(INDEX('Per Invoice'!AE$2:AE$401,$AH191)="","",INDEX('Per Invoice'!AE$2:AE$401,$AH191)))</f>
        <v/>
      </c>
      <c r="AF191">
        <f>IF($AH191="","",IF(INDEX('Per Invoice'!AF$2:AF$401,$AH191)="","",INDEX('Per Invoice'!AF$2:AF$401,$AH191)))</f>
        <v/>
      </c>
      <c r="AG191" s="7">
        <f>IF($AH191="","",IF(INDEX('Per Invoice'!AG$2:AG$401,$AH191)="","",INDEX('Per Invoice'!AG$2:AG$401,$AH191)))</f>
        <v/>
      </c>
      <c r="AH191" s="16">
        <f>IFERROR(MATCH(Settings!$C$26&amp;"|"&amp;ROWS($AH$2:$AH191),'Per Invoice'!$AI$2:$AI$401,0),"")</f>
        <v/>
      </c>
    </row>
    <row r="192">
      <c r="A192">
        <f>IF($AH192="","",IF(INDEX('Per Invoice'!A$2:A$401,$AH192)="","",INDEX('Per Invoice'!A$2:A$401,$AH192)))</f>
        <v/>
      </c>
      <c r="B192">
        <f>IF($AH192="","",IF(INDEX('Per Invoice'!B$2:B$401,$AH192)="","",INDEX('Per Invoice'!B$2:B$401,$AH192)))</f>
        <v/>
      </c>
      <c r="C192">
        <f>IF($AH192="","",IF(INDEX('Per Invoice'!C$2:C$401,$AH192)="","",INDEX('Per Invoice'!C$2:C$401,$AH192)))</f>
        <v/>
      </c>
      <c r="D192">
        <f>IF($AH192="","",IF(INDEX('Per Invoice'!D$2:D$401,$AH192)="","",INDEX('Per Invoice'!D$2:D$401,$AH192)))</f>
        <v/>
      </c>
      <c r="E192">
        <f>IF($AH192="","",IF(INDEX('Per Invoice'!E$2:E$401,$AH192)="","",INDEX('Per Invoice'!E$2:E$401,$AH192)))</f>
        <v/>
      </c>
      <c r="F192">
        <f>IF($AH192="","",IF(INDEX('Per Invoice'!F$2:F$401,$AH192)="","",INDEX('Per Invoice'!F$2:F$401,$AH192)))</f>
        <v/>
      </c>
      <c r="G192">
        <f>IF($AH192="","",IF(INDEX('Per Invoice'!G$2:G$401,$AH192)="","",INDEX('Per Invoice'!G$2:G$401,$AH192)))</f>
        <v/>
      </c>
      <c r="H192">
        <f>IF($AH192="","",IF(INDEX('Per Invoice'!H$2:H$401,$AH192)="","",INDEX('Per Invoice'!H$2:H$401,$AH192)))</f>
        <v/>
      </c>
      <c r="I192" s="14">
        <f>IF($AH192="","",IF(INDEX('Per Invoice'!I$2:I$401,$AH192)="","",INDEX('Per Invoice'!I$2:I$401,$AH192)))</f>
        <v/>
      </c>
      <c r="J192">
        <f>IF($AH192="","",IF(INDEX('Per Invoice'!J$2:J$401,$AH192)="","",INDEX('Per Invoice'!J$2:J$401,$AH192)))</f>
        <v/>
      </c>
      <c r="K192">
        <f>IF($AH192="","",IF(INDEX('Per Invoice'!K$2:K$401,$AH192)="","",INDEX('Per Invoice'!K$2:K$401,$AH192)))</f>
        <v/>
      </c>
      <c r="L192">
        <f>IF($AH192="","",IF(INDEX('Per Invoice'!L$2:L$401,$AH192)="","",INDEX('Per Invoice'!L$2:L$401,$AH192)))</f>
        <v/>
      </c>
      <c r="M192">
        <f>IF($AH192="","",IF(INDEX('Per Invoice'!M$2:M$401,$AH192)="","",INDEX('Per Invoice'!M$2:M$401,$AH192)))</f>
        <v/>
      </c>
      <c r="N192">
        <f>IF($AH192="","",IF(INDEX('Per Invoice'!N$2:N$401,$AH192)="","",INDEX('Per Invoice'!N$2:N$401,$AH192)))</f>
        <v/>
      </c>
      <c r="O192">
        <f>IF($AH192="","",IF(INDEX('Per Invoice'!O$2:O$401,$AH192)="","",INDEX('Per Invoice'!O$2:O$401,$AH192)))</f>
        <v/>
      </c>
      <c r="P192" s="7">
        <f>IF($AH192="","",IF(INDEX('Per Invoice'!P$2:P$401,$AH192)="","",INDEX('Per Invoice'!P$2:P$401,$AH192)))</f>
        <v/>
      </c>
      <c r="Q192">
        <f>IF($AH192="","",IF(INDEX('Per Invoice'!Q$2:Q$401,$AH192)="","",INDEX('Per Invoice'!Q$2:Q$401,$AH192)))</f>
        <v/>
      </c>
      <c r="R192">
        <f>IF($AH192="","",IF(INDEX('Per Invoice'!R$2:R$401,$AH192)="","",INDEX('Per Invoice'!R$2:R$401,$AH192)))</f>
        <v/>
      </c>
      <c r="S192">
        <f>IF($AH192="","",IF(INDEX('Per Invoice'!S$2:S$401,$AH192)="","",INDEX('Per Invoice'!S$2:S$401,$AH192)))</f>
        <v/>
      </c>
      <c r="T192" s="7">
        <f>IF($AH192="","",IF(INDEX('Per Invoice'!T$2:T$401,$AH192)="","",INDEX('Per Invoice'!T$2:T$401,$AH192)))</f>
        <v/>
      </c>
      <c r="U192" s="7">
        <f>IF($AH192="","",IF(INDEX('Per Invoice'!U$2:U$401,$AH192)="","",INDEX('Per Invoice'!U$2:U$401,$AH192)))</f>
        <v/>
      </c>
      <c r="V192">
        <f>IF($AH192="","",IF(INDEX('Per Invoice'!V$2:V$401,$AH192)="","",INDEX('Per Invoice'!V$2:V$401,$AH192)))</f>
        <v/>
      </c>
      <c r="W192" s="7">
        <f>IF($AH192="","",IF(INDEX('Per Invoice'!W$2:W$401,$AH192)="","",INDEX('Per Invoice'!W$2:W$401,$AH192)))</f>
        <v/>
      </c>
      <c r="X192" s="7">
        <f>IF($AH192="","",IF(INDEX('Per Invoice'!X$2:X$401,$AH192)="","",INDEX('Per Invoice'!X$2:X$401,$AH192)))</f>
        <v/>
      </c>
      <c r="Y192">
        <f>IF($AH192="","",IF(INDEX('Per Invoice'!Y$2:Y$401,$AH192)="","",INDEX('Per Invoice'!Y$2:Y$401,$AH192)))</f>
        <v/>
      </c>
      <c r="Z192" s="7">
        <f>IF($AH192="","",IF(INDEX('Per Invoice'!Z$2:Z$401,$AH192)="","",INDEX('Per Invoice'!Z$2:Z$401,$AH192)))</f>
        <v/>
      </c>
      <c r="AA192" s="7">
        <f>IF($AH192="","",IF(INDEX('Per Invoice'!AA$2:AA$401,$AH192)="","",INDEX('Per Invoice'!AA$2:AA$401,$AH192)))</f>
        <v/>
      </c>
      <c r="AB192" s="7">
        <f>IF($AH192="","",IF(INDEX('Per Invoice'!AB$2:AB$401,$AH192)="","",INDEX('Per Invoice'!AB$2:AB$401,$AH192)))</f>
        <v/>
      </c>
      <c r="AC192" s="7">
        <f>IF($AH192="","",IF(INDEX('Per Invoice'!AC$2:AC$401,$AH192)="","",INDEX('Per Invoice'!AC$2:AC$401,$AH192)))</f>
        <v/>
      </c>
      <c r="AD192" s="7">
        <f>IF($AH192="","",IF(INDEX('Per Invoice'!AD$2:AD$401,$AH192)="","",INDEX('Per Invoice'!AD$2:AD$401,$AH192)))</f>
        <v/>
      </c>
      <c r="AE192" s="7">
        <f>IF($AH192="","",IF(INDEX('Per Invoice'!AE$2:AE$401,$AH192)="","",INDEX('Per Invoice'!AE$2:AE$401,$AH192)))</f>
        <v/>
      </c>
      <c r="AF192">
        <f>IF($AH192="","",IF(INDEX('Per Invoice'!AF$2:AF$401,$AH192)="","",INDEX('Per Invoice'!AF$2:AF$401,$AH192)))</f>
        <v/>
      </c>
      <c r="AG192" s="7">
        <f>IF($AH192="","",IF(INDEX('Per Invoice'!AG$2:AG$401,$AH192)="","",INDEX('Per Invoice'!AG$2:AG$401,$AH192)))</f>
        <v/>
      </c>
      <c r="AH192" s="16">
        <f>IFERROR(MATCH(Settings!$C$26&amp;"|"&amp;ROWS($AH$2:$AH192),'Per Invoice'!$AI$2:$AI$401,0),"")</f>
        <v/>
      </c>
    </row>
    <row r="193">
      <c r="A193">
        <f>IF($AH193="","",IF(INDEX('Per Invoice'!A$2:A$401,$AH193)="","",INDEX('Per Invoice'!A$2:A$401,$AH193)))</f>
        <v/>
      </c>
      <c r="B193">
        <f>IF($AH193="","",IF(INDEX('Per Invoice'!B$2:B$401,$AH193)="","",INDEX('Per Invoice'!B$2:B$401,$AH193)))</f>
        <v/>
      </c>
      <c r="C193">
        <f>IF($AH193="","",IF(INDEX('Per Invoice'!C$2:C$401,$AH193)="","",INDEX('Per Invoice'!C$2:C$401,$AH193)))</f>
        <v/>
      </c>
      <c r="D193">
        <f>IF($AH193="","",IF(INDEX('Per Invoice'!D$2:D$401,$AH193)="","",INDEX('Per Invoice'!D$2:D$401,$AH193)))</f>
        <v/>
      </c>
      <c r="E193">
        <f>IF($AH193="","",IF(INDEX('Per Invoice'!E$2:E$401,$AH193)="","",INDEX('Per Invoice'!E$2:E$401,$AH193)))</f>
        <v/>
      </c>
      <c r="F193">
        <f>IF($AH193="","",IF(INDEX('Per Invoice'!F$2:F$401,$AH193)="","",INDEX('Per Invoice'!F$2:F$401,$AH193)))</f>
        <v/>
      </c>
      <c r="G193">
        <f>IF($AH193="","",IF(INDEX('Per Invoice'!G$2:G$401,$AH193)="","",INDEX('Per Invoice'!G$2:G$401,$AH193)))</f>
        <v/>
      </c>
      <c r="H193">
        <f>IF($AH193="","",IF(INDEX('Per Invoice'!H$2:H$401,$AH193)="","",INDEX('Per Invoice'!H$2:H$401,$AH193)))</f>
        <v/>
      </c>
      <c r="I193" s="14">
        <f>IF($AH193="","",IF(INDEX('Per Invoice'!I$2:I$401,$AH193)="","",INDEX('Per Invoice'!I$2:I$401,$AH193)))</f>
        <v/>
      </c>
      <c r="J193">
        <f>IF($AH193="","",IF(INDEX('Per Invoice'!J$2:J$401,$AH193)="","",INDEX('Per Invoice'!J$2:J$401,$AH193)))</f>
        <v/>
      </c>
      <c r="K193">
        <f>IF($AH193="","",IF(INDEX('Per Invoice'!K$2:K$401,$AH193)="","",INDEX('Per Invoice'!K$2:K$401,$AH193)))</f>
        <v/>
      </c>
      <c r="L193">
        <f>IF($AH193="","",IF(INDEX('Per Invoice'!L$2:L$401,$AH193)="","",INDEX('Per Invoice'!L$2:L$401,$AH193)))</f>
        <v/>
      </c>
      <c r="M193">
        <f>IF($AH193="","",IF(INDEX('Per Invoice'!M$2:M$401,$AH193)="","",INDEX('Per Invoice'!M$2:M$401,$AH193)))</f>
        <v/>
      </c>
      <c r="N193">
        <f>IF($AH193="","",IF(INDEX('Per Invoice'!N$2:N$401,$AH193)="","",INDEX('Per Invoice'!N$2:N$401,$AH193)))</f>
        <v/>
      </c>
      <c r="O193">
        <f>IF($AH193="","",IF(INDEX('Per Invoice'!O$2:O$401,$AH193)="","",INDEX('Per Invoice'!O$2:O$401,$AH193)))</f>
        <v/>
      </c>
      <c r="P193" s="7">
        <f>IF($AH193="","",IF(INDEX('Per Invoice'!P$2:P$401,$AH193)="","",INDEX('Per Invoice'!P$2:P$401,$AH193)))</f>
        <v/>
      </c>
      <c r="Q193">
        <f>IF($AH193="","",IF(INDEX('Per Invoice'!Q$2:Q$401,$AH193)="","",INDEX('Per Invoice'!Q$2:Q$401,$AH193)))</f>
        <v/>
      </c>
      <c r="R193">
        <f>IF($AH193="","",IF(INDEX('Per Invoice'!R$2:R$401,$AH193)="","",INDEX('Per Invoice'!R$2:R$401,$AH193)))</f>
        <v/>
      </c>
      <c r="S193">
        <f>IF($AH193="","",IF(INDEX('Per Invoice'!S$2:S$401,$AH193)="","",INDEX('Per Invoice'!S$2:S$401,$AH193)))</f>
        <v/>
      </c>
      <c r="T193" s="7">
        <f>IF($AH193="","",IF(INDEX('Per Invoice'!T$2:T$401,$AH193)="","",INDEX('Per Invoice'!T$2:T$401,$AH193)))</f>
        <v/>
      </c>
      <c r="U193" s="7">
        <f>IF($AH193="","",IF(INDEX('Per Invoice'!U$2:U$401,$AH193)="","",INDEX('Per Invoice'!U$2:U$401,$AH193)))</f>
        <v/>
      </c>
      <c r="V193">
        <f>IF($AH193="","",IF(INDEX('Per Invoice'!V$2:V$401,$AH193)="","",INDEX('Per Invoice'!V$2:V$401,$AH193)))</f>
        <v/>
      </c>
      <c r="W193" s="7">
        <f>IF($AH193="","",IF(INDEX('Per Invoice'!W$2:W$401,$AH193)="","",INDEX('Per Invoice'!W$2:W$401,$AH193)))</f>
        <v/>
      </c>
      <c r="X193" s="7">
        <f>IF($AH193="","",IF(INDEX('Per Invoice'!X$2:X$401,$AH193)="","",INDEX('Per Invoice'!X$2:X$401,$AH193)))</f>
        <v/>
      </c>
      <c r="Y193">
        <f>IF($AH193="","",IF(INDEX('Per Invoice'!Y$2:Y$401,$AH193)="","",INDEX('Per Invoice'!Y$2:Y$401,$AH193)))</f>
        <v/>
      </c>
      <c r="Z193" s="7">
        <f>IF($AH193="","",IF(INDEX('Per Invoice'!Z$2:Z$401,$AH193)="","",INDEX('Per Invoice'!Z$2:Z$401,$AH193)))</f>
        <v/>
      </c>
      <c r="AA193" s="7">
        <f>IF($AH193="","",IF(INDEX('Per Invoice'!AA$2:AA$401,$AH193)="","",INDEX('Per Invoice'!AA$2:AA$401,$AH193)))</f>
        <v/>
      </c>
      <c r="AB193" s="7">
        <f>IF($AH193="","",IF(INDEX('Per Invoice'!AB$2:AB$401,$AH193)="","",INDEX('Per Invoice'!AB$2:AB$401,$AH193)))</f>
        <v/>
      </c>
      <c r="AC193" s="7">
        <f>IF($AH193="","",IF(INDEX('Per Invoice'!AC$2:AC$401,$AH193)="","",INDEX('Per Invoice'!AC$2:AC$401,$AH193)))</f>
        <v/>
      </c>
      <c r="AD193" s="7">
        <f>IF($AH193="","",IF(INDEX('Per Invoice'!AD$2:AD$401,$AH193)="","",INDEX('Per Invoice'!AD$2:AD$401,$AH193)))</f>
        <v/>
      </c>
      <c r="AE193" s="7">
        <f>IF($AH193="","",IF(INDEX('Per Invoice'!AE$2:AE$401,$AH193)="","",INDEX('Per Invoice'!AE$2:AE$401,$AH193)))</f>
        <v/>
      </c>
      <c r="AF193">
        <f>IF($AH193="","",IF(INDEX('Per Invoice'!AF$2:AF$401,$AH193)="","",INDEX('Per Invoice'!AF$2:AF$401,$AH193)))</f>
        <v/>
      </c>
      <c r="AG193" s="7">
        <f>IF($AH193="","",IF(INDEX('Per Invoice'!AG$2:AG$401,$AH193)="","",INDEX('Per Invoice'!AG$2:AG$401,$AH193)))</f>
        <v/>
      </c>
      <c r="AH193" s="16">
        <f>IFERROR(MATCH(Settings!$C$26&amp;"|"&amp;ROWS($AH$2:$AH193),'Per Invoice'!$AI$2:$AI$401,0),"")</f>
        <v/>
      </c>
    </row>
    <row r="194">
      <c r="A194">
        <f>IF($AH194="","",IF(INDEX('Per Invoice'!A$2:A$401,$AH194)="","",INDEX('Per Invoice'!A$2:A$401,$AH194)))</f>
        <v/>
      </c>
      <c r="B194">
        <f>IF($AH194="","",IF(INDEX('Per Invoice'!B$2:B$401,$AH194)="","",INDEX('Per Invoice'!B$2:B$401,$AH194)))</f>
        <v/>
      </c>
      <c r="C194">
        <f>IF($AH194="","",IF(INDEX('Per Invoice'!C$2:C$401,$AH194)="","",INDEX('Per Invoice'!C$2:C$401,$AH194)))</f>
        <v/>
      </c>
      <c r="D194">
        <f>IF($AH194="","",IF(INDEX('Per Invoice'!D$2:D$401,$AH194)="","",INDEX('Per Invoice'!D$2:D$401,$AH194)))</f>
        <v/>
      </c>
      <c r="E194">
        <f>IF($AH194="","",IF(INDEX('Per Invoice'!E$2:E$401,$AH194)="","",INDEX('Per Invoice'!E$2:E$401,$AH194)))</f>
        <v/>
      </c>
      <c r="F194">
        <f>IF($AH194="","",IF(INDEX('Per Invoice'!F$2:F$401,$AH194)="","",INDEX('Per Invoice'!F$2:F$401,$AH194)))</f>
        <v/>
      </c>
      <c r="G194">
        <f>IF($AH194="","",IF(INDEX('Per Invoice'!G$2:G$401,$AH194)="","",INDEX('Per Invoice'!G$2:G$401,$AH194)))</f>
        <v/>
      </c>
      <c r="H194">
        <f>IF($AH194="","",IF(INDEX('Per Invoice'!H$2:H$401,$AH194)="","",INDEX('Per Invoice'!H$2:H$401,$AH194)))</f>
        <v/>
      </c>
      <c r="I194" s="14">
        <f>IF($AH194="","",IF(INDEX('Per Invoice'!I$2:I$401,$AH194)="","",INDEX('Per Invoice'!I$2:I$401,$AH194)))</f>
        <v/>
      </c>
      <c r="J194">
        <f>IF($AH194="","",IF(INDEX('Per Invoice'!J$2:J$401,$AH194)="","",INDEX('Per Invoice'!J$2:J$401,$AH194)))</f>
        <v/>
      </c>
      <c r="K194">
        <f>IF($AH194="","",IF(INDEX('Per Invoice'!K$2:K$401,$AH194)="","",INDEX('Per Invoice'!K$2:K$401,$AH194)))</f>
        <v/>
      </c>
      <c r="L194">
        <f>IF($AH194="","",IF(INDEX('Per Invoice'!L$2:L$401,$AH194)="","",INDEX('Per Invoice'!L$2:L$401,$AH194)))</f>
        <v/>
      </c>
      <c r="M194">
        <f>IF($AH194="","",IF(INDEX('Per Invoice'!M$2:M$401,$AH194)="","",INDEX('Per Invoice'!M$2:M$401,$AH194)))</f>
        <v/>
      </c>
      <c r="N194">
        <f>IF($AH194="","",IF(INDEX('Per Invoice'!N$2:N$401,$AH194)="","",INDEX('Per Invoice'!N$2:N$401,$AH194)))</f>
        <v/>
      </c>
      <c r="O194">
        <f>IF($AH194="","",IF(INDEX('Per Invoice'!O$2:O$401,$AH194)="","",INDEX('Per Invoice'!O$2:O$401,$AH194)))</f>
        <v/>
      </c>
      <c r="P194" s="7">
        <f>IF($AH194="","",IF(INDEX('Per Invoice'!P$2:P$401,$AH194)="","",INDEX('Per Invoice'!P$2:P$401,$AH194)))</f>
        <v/>
      </c>
      <c r="Q194">
        <f>IF($AH194="","",IF(INDEX('Per Invoice'!Q$2:Q$401,$AH194)="","",INDEX('Per Invoice'!Q$2:Q$401,$AH194)))</f>
        <v/>
      </c>
      <c r="R194">
        <f>IF($AH194="","",IF(INDEX('Per Invoice'!R$2:R$401,$AH194)="","",INDEX('Per Invoice'!R$2:R$401,$AH194)))</f>
        <v/>
      </c>
      <c r="S194">
        <f>IF($AH194="","",IF(INDEX('Per Invoice'!S$2:S$401,$AH194)="","",INDEX('Per Invoice'!S$2:S$401,$AH194)))</f>
        <v/>
      </c>
      <c r="T194" s="7">
        <f>IF($AH194="","",IF(INDEX('Per Invoice'!T$2:T$401,$AH194)="","",INDEX('Per Invoice'!T$2:T$401,$AH194)))</f>
        <v/>
      </c>
      <c r="U194" s="7">
        <f>IF($AH194="","",IF(INDEX('Per Invoice'!U$2:U$401,$AH194)="","",INDEX('Per Invoice'!U$2:U$401,$AH194)))</f>
        <v/>
      </c>
      <c r="V194">
        <f>IF($AH194="","",IF(INDEX('Per Invoice'!V$2:V$401,$AH194)="","",INDEX('Per Invoice'!V$2:V$401,$AH194)))</f>
        <v/>
      </c>
      <c r="W194" s="7">
        <f>IF($AH194="","",IF(INDEX('Per Invoice'!W$2:W$401,$AH194)="","",INDEX('Per Invoice'!W$2:W$401,$AH194)))</f>
        <v/>
      </c>
      <c r="X194" s="7">
        <f>IF($AH194="","",IF(INDEX('Per Invoice'!X$2:X$401,$AH194)="","",INDEX('Per Invoice'!X$2:X$401,$AH194)))</f>
        <v/>
      </c>
      <c r="Y194">
        <f>IF($AH194="","",IF(INDEX('Per Invoice'!Y$2:Y$401,$AH194)="","",INDEX('Per Invoice'!Y$2:Y$401,$AH194)))</f>
        <v/>
      </c>
      <c r="Z194" s="7">
        <f>IF($AH194="","",IF(INDEX('Per Invoice'!Z$2:Z$401,$AH194)="","",INDEX('Per Invoice'!Z$2:Z$401,$AH194)))</f>
        <v/>
      </c>
      <c r="AA194" s="7">
        <f>IF($AH194="","",IF(INDEX('Per Invoice'!AA$2:AA$401,$AH194)="","",INDEX('Per Invoice'!AA$2:AA$401,$AH194)))</f>
        <v/>
      </c>
      <c r="AB194" s="7">
        <f>IF($AH194="","",IF(INDEX('Per Invoice'!AB$2:AB$401,$AH194)="","",INDEX('Per Invoice'!AB$2:AB$401,$AH194)))</f>
        <v/>
      </c>
      <c r="AC194" s="7">
        <f>IF($AH194="","",IF(INDEX('Per Invoice'!AC$2:AC$401,$AH194)="","",INDEX('Per Invoice'!AC$2:AC$401,$AH194)))</f>
        <v/>
      </c>
      <c r="AD194" s="7">
        <f>IF($AH194="","",IF(INDEX('Per Invoice'!AD$2:AD$401,$AH194)="","",INDEX('Per Invoice'!AD$2:AD$401,$AH194)))</f>
        <v/>
      </c>
      <c r="AE194" s="7">
        <f>IF($AH194="","",IF(INDEX('Per Invoice'!AE$2:AE$401,$AH194)="","",INDEX('Per Invoice'!AE$2:AE$401,$AH194)))</f>
        <v/>
      </c>
      <c r="AF194">
        <f>IF($AH194="","",IF(INDEX('Per Invoice'!AF$2:AF$401,$AH194)="","",INDEX('Per Invoice'!AF$2:AF$401,$AH194)))</f>
        <v/>
      </c>
      <c r="AG194" s="7">
        <f>IF($AH194="","",IF(INDEX('Per Invoice'!AG$2:AG$401,$AH194)="","",INDEX('Per Invoice'!AG$2:AG$401,$AH194)))</f>
        <v/>
      </c>
      <c r="AH194" s="16">
        <f>IFERROR(MATCH(Settings!$C$26&amp;"|"&amp;ROWS($AH$2:$AH194),'Per Invoice'!$AI$2:$AI$401,0),"")</f>
        <v/>
      </c>
    </row>
    <row r="195">
      <c r="A195">
        <f>IF($AH195="","",IF(INDEX('Per Invoice'!A$2:A$401,$AH195)="","",INDEX('Per Invoice'!A$2:A$401,$AH195)))</f>
        <v/>
      </c>
      <c r="B195">
        <f>IF($AH195="","",IF(INDEX('Per Invoice'!B$2:B$401,$AH195)="","",INDEX('Per Invoice'!B$2:B$401,$AH195)))</f>
        <v/>
      </c>
      <c r="C195">
        <f>IF($AH195="","",IF(INDEX('Per Invoice'!C$2:C$401,$AH195)="","",INDEX('Per Invoice'!C$2:C$401,$AH195)))</f>
        <v/>
      </c>
      <c r="D195">
        <f>IF($AH195="","",IF(INDEX('Per Invoice'!D$2:D$401,$AH195)="","",INDEX('Per Invoice'!D$2:D$401,$AH195)))</f>
        <v/>
      </c>
      <c r="E195">
        <f>IF($AH195="","",IF(INDEX('Per Invoice'!E$2:E$401,$AH195)="","",INDEX('Per Invoice'!E$2:E$401,$AH195)))</f>
        <v/>
      </c>
      <c r="F195">
        <f>IF($AH195="","",IF(INDEX('Per Invoice'!F$2:F$401,$AH195)="","",INDEX('Per Invoice'!F$2:F$401,$AH195)))</f>
        <v/>
      </c>
      <c r="G195">
        <f>IF($AH195="","",IF(INDEX('Per Invoice'!G$2:G$401,$AH195)="","",INDEX('Per Invoice'!G$2:G$401,$AH195)))</f>
        <v/>
      </c>
      <c r="H195">
        <f>IF($AH195="","",IF(INDEX('Per Invoice'!H$2:H$401,$AH195)="","",INDEX('Per Invoice'!H$2:H$401,$AH195)))</f>
        <v/>
      </c>
      <c r="I195" s="14">
        <f>IF($AH195="","",IF(INDEX('Per Invoice'!I$2:I$401,$AH195)="","",INDEX('Per Invoice'!I$2:I$401,$AH195)))</f>
        <v/>
      </c>
      <c r="J195">
        <f>IF($AH195="","",IF(INDEX('Per Invoice'!J$2:J$401,$AH195)="","",INDEX('Per Invoice'!J$2:J$401,$AH195)))</f>
        <v/>
      </c>
      <c r="K195">
        <f>IF($AH195="","",IF(INDEX('Per Invoice'!K$2:K$401,$AH195)="","",INDEX('Per Invoice'!K$2:K$401,$AH195)))</f>
        <v/>
      </c>
      <c r="L195">
        <f>IF($AH195="","",IF(INDEX('Per Invoice'!L$2:L$401,$AH195)="","",INDEX('Per Invoice'!L$2:L$401,$AH195)))</f>
        <v/>
      </c>
      <c r="M195">
        <f>IF($AH195="","",IF(INDEX('Per Invoice'!M$2:M$401,$AH195)="","",INDEX('Per Invoice'!M$2:M$401,$AH195)))</f>
        <v/>
      </c>
      <c r="N195">
        <f>IF($AH195="","",IF(INDEX('Per Invoice'!N$2:N$401,$AH195)="","",INDEX('Per Invoice'!N$2:N$401,$AH195)))</f>
        <v/>
      </c>
      <c r="O195">
        <f>IF($AH195="","",IF(INDEX('Per Invoice'!O$2:O$401,$AH195)="","",INDEX('Per Invoice'!O$2:O$401,$AH195)))</f>
        <v/>
      </c>
      <c r="P195" s="7">
        <f>IF($AH195="","",IF(INDEX('Per Invoice'!P$2:P$401,$AH195)="","",INDEX('Per Invoice'!P$2:P$401,$AH195)))</f>
        <v/>
      </c>
      <c r="Q195">
        <f>IF($AH195="","",IF(INDEX('Per Invoice'!Q$2:Q$401,$AH195)="","",INDEX('Per Invoice'!Q$2:Q$401,$AH195)))</f>
        <v/>
      </c>
      <c r="R195">
        <f>IF($AH195="","",IF(INDEX('Per Invoice'!R$2:R$401,$AH195)="","",INDEX('Per Invoice'!R$2:R$401,$AH195)))</f>
        <v/>
      </c>
      <c r="S195">
        <f>IF($AH195="","",IF(INDEX('Per Invoice'!S$2:S$401,$AH195)="","",INDEX('Per Invoice'!S$2:S$401,$AH195)))</f>
        <v/>
      </c>
      <c r="T195" s="7">
        <f>IF($AH195="","",IF(INDEX('Per Invoice'!T$2:T$401,$AH195)="","",INDEX('Per Invoice'!T$2:T$401,$AH195)))</f>
        <v/>
      </c>
      <c r="U195" s="7">
        <f>IF($AH195="","",IF(INDEX('Per Invoice'!U$2:U$401,$AH195)="","",INDEX('Per Invoice'!U$2:U$401,$AH195)))</f>
        <v/>
      </c>
      <c r="V195">
        <f>IF($AH195="","",IF(INDEX('Per Invoice'!V$2:V$401,$AH195)="","",INDEX('Per Invoice'!V$2:V$401,$AH195)))</f>
        <v/>
      </c>
      <c r="W195" s="7">
        <f>IF($AH195="","",IF(INDEX('Per Invoice'!W$2:W$401,$AH195)="","",INDEX('Per Invoice'!W$2:W$401,$AH195)))</f>
        <v/>
      </c>
      <c r="X195" s="7">
        <f>IF($AH195="","",IF(INDEX('Per Invoice'!X$2:X$401,$AH195)="","",INDEX('Per Invoice'!X$2:X$401,$AH195)))</f>
        <v/>
      </c>
      <c r="Y195">
        <f>IF($AH195="","",IF(INDEX('Per Invoice'!Y$2:Y$401,$AH195)="","",INDEX('Per Invoice'!Y$2:Y$401,$AH195)))</f>
        <v/>
      </c>
      <c r="Z195" s="7">
        <f>IF($AH195="","",IF(INDEX('Per Invoice'!Z$2:Z$401,$AH195)="","",INDEX('Per Invoice'!Z$2:Z$401,$AH195)))</f>
        <v/>
      </c>
      <c r="AA195" s="7">
        <f>IF($AH195="","",IF(INDEX('Per Invoice'!AA$2:AA$401,$AH195)="","",INDEX('Per Invoice'!AA$2:AA$401,$AH195)))</f>
        <v/>
      </c>
      <c r="AB195" s="7">
        <f>IF($AH195="","",IF(INDEX('Per Invoice'!AB$2:AB$401,$AH195)="","",INDEX('Per Invoice'!AB$2:AB$401,$AH195)))</f>
        <v/>
      </c>
      <c r="AC195" s="7">
        <f>IF($AH195="","",IF(INDEX('Per Invoice'!AC$2:AC$401,$AH195)="","",INDEX('Per Invoice'!AC$2:AC$401,$AH195)))</f>
        <v/>
      </c>
      <c r="AD195" s="7">
        <f>IF($AH195="","",IF(INDEX('Per Invoice'!AD$2:AD$401,$AH195)="","",INDEX('Per Invoice'!AD$2:AD$401,$AH195)))</f>
        <v/>
      </c>
      <c r="AE195" s="7">
        <f>IF($AH195="","",IF(INDEX('Per Invoice'!AE$2:AE$401,$AH195)="","",INDEX('Per Invoice'!AE$2:AE$401,$AH195)))</f>
        <v/>
      </c>
      <c r="AF195">
        <f>IF($AH195="","",IF(INDEX('Per Invoice'!AF$2:AF$401,$AH195)="","",INDEX('Per Invoice'!AF$2:AF$401,$AH195)))</f>
        <v/>
      </c>
      <c r="AG195" s="7">
        <f>IF($AH195="","",IF(INDEX('Per Invoice'!AG$2:AG$401,$AH195)="","",INDEX('Per Invoice'!AG$2:AG$401,$AH195)))</f>
        <v/>
      </c>
      <c r="AH195" s="16">
        <f>IFERROR(MATCH(Settings!$C$26&amp;"|"&amp;ROWS($AH$2:$AH195),'Per Invoice'!$AI$2:$AI$401,0),"")</f>
        <v/>
      </c>
    </row>
    <row r="196">
      <c r="A196">
        <f>IF($AH196="","",IF(INDEX('Per Invoice'!A$2:A$401,$AH196)="","",INDEX('Per Invoice'!A$2:A$401,$AH196)))</f>
        <v/>
      </c>
      <c r="B196">
        <f>IF($AH196="","",IF(INDEX('Per Invoice'!B$2:B$401,$AH196)="","",INDEX('Per Invoice'!B$2:B$401,$AH196)))</f>
        <v/>
      </c>
      <c r="C196">
        <f>IF($AH196="","",IF(INDEX('Per Invoice'!C$2:C$401,$AH196)="","",INDEX('Per Invoice'!C$2:C$401,$AH196)))</f>
        <v/>
      </c>
      <c r="D196">
        <f>IF($AH196="","",IF(INDEX('Per Invoice'!D$2:D$401,$AH196)="","",INDEX('Per Invoice'!D$2:D$401,$AH196)))</f>
        <v/>
      </c>
      <c r="E196">
        <f>IF($AH196="","",IF(INDEX('Per Invoice'!E$2:E$401,$AH196)="","",INDEX('Per Invoice'!E$2:E$401,$AH196)))</f>
        <v/>
      </c>
      <c r="F196">
        <f>IF($AH196="","",IF(INDEX('Per Invoice'!F$2:F$401,$AH196)="","",INDEX('Per Invoice'!F$2:F$401,$AH196)))</f>
        <v/>
      </c>
      <c r="G196">
        <f>IF($AH196="","",IF(INDEX('Per Invoice'!G$2:G$401,$AH196)="","",INDEX('Per Invoice'!G$2:G$401,$AH196)))</f>
        <v/>
      </c>
      <c r="H196">
        <f>IF($AH196="","",IF(INDEX('Per Invoice'!H$2:H$401,$AH196)="","",INDEX('Per Invoice'!H$2:H$401,$AH196)))</f>
        <v/>
      </c>
      <c r="I196" s="14">
        <f>IF($AH196="","",IF(INDEX('Per Invoice'!I$2:I$401,$AH196)="","",INDEX('Per Invoice'!I$2:I$401,$AH196)))</f>
        <v/>
      </c>
      <c r="J196">
        <f>IF($AH196="","",IF(INDEX('Per Invoice'!J$2:J$401,$AH196)="","",INDEX('Per Invoice'!J$2:J$401,$AH196)))</f>
        <v/>
      </c>
      <c r="K196">
        <f>IF($AH196="","",IF(INDEX('Per Invoice'!K$2:K$401,$AH196)="","",INDEX('Per Invoice'!K$2:K$401,$AH196)))</f>
        <v/>
      </c>
      <c r="L196">
        <f>IF($AH196="","",IF(INDEX('Per Invoice'!L$2:L$401,$AH196)="","",INDEX('Per Invoice'!L$2:L$401,$AH196)))</f>
        <v/>
      </c>
      <c r="M196">
        <f>IF($AH196="","",IF(INDEX('Per Invoice'!M$2:M$401,$AH196)="","",INDEX('Per Invoice'!M$2:M$401,$AH196)))</f>
        <v/>
      </c>
      <c r="N196">
        <f>IF($AH196="","",IF(INDEX('Per Invoice'!N$2:N$401,$AH196)="","",INDEX('Per Invoice'!N$2:N$401,$AH196)))</f>
        <v/>
      </c>
      <c r="O196">
        <f>IF($AH196="","",IF(INDEX('Per Invoice'!O$2:O$401,$AH196)="","",INDEX('Per Invoice'!O$2:O$401,$AH196)))</f>
        <v/>
      </c>
      <c r="P196" s="7">
        <f>IF($AH196="","",IF(INDEX('Per Invoice'!P$2:P$401,$AH196)="","",INDEX('Per Invoice'!P$2:P$401,$AH196)))</f>
        <v/>
      </c>
      <c r="Q196">
        <f>IF($AH196="","",IF(INDEX('Per Invoice'!Q$2:Q$401,$AH196)="","",INDEX('Per Invoice'!Q$2:Q$401,$AH196)))</f>
        <v/>
      </c>
      <c r="R196">
        <f>IF($AH196="","",IF(INDEX('Per Invoice'!R$2:R$401,$AH196)="","",INDEX('Per Invoice'!R$2:R$401,$AH196)))</f>
        <v/>
      </c>
      <c r="S196">
        <f>IF($AH196="","",IF(INDEX('Per Invoice'!S$2:S$401,$AH196)="","",INDEX('Per Invoice'!S$2:S$401,$AH196)))</f>
        <v/>
      </c>
      <c r="T196" s="7">
        <f>IF($AH196="","",IF(INDEX('Per Invoice'!T$2:T$401,$AH196)="","",INDEX('Per Invoice'!T$2:T$401,$AH196)))</f>
        <v/>
      </c>
      <c r="U196" s="7">
        <f>IF($AH196="","",IF(INDEX('Per Invoice'!U$2:U$401,$AH196)="","",INDEX('Per Invoice'!U$2:U$401,$AH196)))</f>
        <v/>
      </c>
      <c r="V196">
        <f>IF($AH196="","",IF(INDEX('Per Invoice'!V$2:V$401,$AH196)="","",INDEX('Per Invoice'!V$2:V$401,$AH196)))</f>
        <v/>
      </c>
      <c r="W196" s="7">
        <f>IF($AH196="","",IF(INDEX('Per Invoice'!W$2:W$401,$AH196)="","",INDEX('Per Invoice'!W$2:W$401,$AH196)))</f>
        <v/>
      </c>
      <c r="X196" s="7">
        <f>IF($AH196="","",IF(INDEX('Per Invoice'!X$2:X$401,$AH196)="","",INDEX('Per Invoice'!X$2:X$401,$AH196)))</f>
        <v/>
      </c>
      <c r="Y196">
        <f>IF($AH196="","",IF(INDEX('Per Invoice'!Y$2:Y$401,$AH196)="","",INDEX('Per Invoice'!Y$2:Y$401,$AH196)))</f>
        <v/>
      </c>
      <c r="Z196" s="7">
        <f>IF($AH196="","",IF(INDEX('Per Invoice'!Z$2:Z$401,$AH196)="","",INDEX('Per Invoice'!Z$2:Z$401,$AH196)))</f>
        <v/>
      </c>
      <c r="AA196" s="7">
        <f>IF($AH196="","",IF(INDEX('Per Invoice'!AA$2:AA$401,$AH196)="","",INDEX('Per Invoice'!AA$2:AA$401,$AH196)))</f>
        <v/>
      </c>
      <c r="AB196" s="7">
        <f>IF($AH196="","",IF(INDEX('Per Invoice'!AB$2:AB$401,$AH196)="","",INDEX('Per Invoice'!AB$2:AB$401,$AH196)))</f>
        <v/>
      </c>
      <c r="AC196" s="7">
        <f>IF($AH196="","",IF(INDEX('Per Invoice'!AC$2:AC$401,$AH196)="","",INDEX('Per Invoice'!AC$2:AC$401,$AH196)))</f>
        <v/>
      </c>
      <c r="AD196" s="7">
        <f>IF($AH196="","",IF(INDEX('Per Invoice'!AD$2:AD$401,$AH196)="","",INDEX('Per Invoice'!AD$2:AD$401,$AH196)))</f>
        <v/>
      </c>
      <c r="AE196" s="7">
        <f>IF($AH196="","",IF(INDEX('Per Invoice'!AE$2:AE$401,$AH196)="","",INDEX('Per Invoice'!AE$2:AE$401,$AH196)))</f>
        <v/>
      </c>
      <c r="AF196">
        <f>IF($AH196="","",IF(INDEX('Per Invoice'!AF$2:AF$401,$AH196)="","",INDEX('Per Invoice'!AF$2:AF$401,$AH196)))</f>
        <v/>
      </c>
      <c r="AG196" s="7">
        <f>IF($AH196="","",IF(INDEX('Per Invoice'!AG$2:AG$401,$AH196)="","",INDEX('Per Invoice'!AG$2:AG$401,$AH196)))</f>
        <v/>
      </c>
      <c r="AH196" s="16">
        <f>IFERROR(MATCH(Settings!$C$26&amp;"|"&amp;ROWS($AH$2:$AH196),'Per Invoice'!$AI$2:$AI$401,0),"")</f>
        <v/>
      </c>
    </row>
    <row r="197">
      <c r="A197">
        <f>IF($AH197="","",IF(INDEX('Per Invoice'!A$2:A$401,$AH197)="","",INDEX('Per Invoice'!A$2:A$401,$AH197)))</f>
        <v/>
      </c>
      <c r="B197">
        <f>IF($AH197="","",IF(INDEX('Per Invoice'!B$2:B$401,$AH197)="","",INDEX('Per Invoice'!B$2:B$401,$AH197)))</f>
        <v/>
      </c>
      <c r="C197">
        <f>IF($AH197="","",IF(INDEX('Per Invoice'!C$2:C$401,$AH197)="","",INDEX('Per Invoice'!C$2:C$401,$AH197)))</f>
        <v/>
      </c>
      <c r="D197">
        <f>IF($AH197="","",IF(INDEX('Per Invoice'!D$2:D$401,$AH197)="","",INDEX('Per Invoice'!D$2:D$401,$AH197)))</f>
        <v/>
      </c>
      <c r="E197">
        <f>IF($AH197="","",IF(INDEX('Per Invoice'!E$2:E$401,$AH197)="","",INDEX('Per Invoice'!E$2:E$401,$AH197)))</f>
        <v/>
      </c>
      <c r="F197">
        <f>IF($AH197="","",IF(INDEX('Per Invoice'!F$2:F$401,$AH197)="","",INDEX('Per Invoice'!F$2:F$401,$AH197)))</f>
        <v/>
      </c>
      <c r="G197">
        <f>IF($AH197="","",IF(INDEX('Per Invoice'!G$2:G$401,$AH197)="","",INDEX('Per Invoice'!G$2:G$401,$AH197)))</f>
        <v/>
      </c>
      <c r="H197">
        <f>IF($AH197="","",IF(INDEX('Per Invoice'!H$2:H$401,$AH197)="","",INDEX('Per Invoice'!H$2:H$401,$AH197)))</f>
        <v/>
      </c>
      <c r="I197" s="14">
        <f>IF($AH197="","",IF(INDEX('Per Invoice'!I$2:I$401,$AH197)="","",INDEX('Per Invoice'!I$2:I$401,$AH197)))</f>
        <v/>
      </c>
      <c r="J197">
        <f>IF($AH197="","",IF(INDEX('Per Invoice'!J$2:J$401,$AH197)="","",INDEX('Per Invoice'!J$2:J$401,$AH197)))</f>
        <v/>
      </c>
      <c r="K197">
        <f>IF($AH197="","",IF(INDEX('Per Invoice'!K$2:K$401,$AH197)="","",INDEX('Per Invoice'!K$2:K$401,$AH197)))</f>
        <v/>
      </c>
      <c r="L197">
        <f>IF($AH197="","",IF(INDEX('Per Invoice'!L$2:L$401,$AH197)="","",INDEX('Per Invoice'!L$2:L$401,$AH197)))</f>
        <v/>
      </c>
      <c r="M197">
        <f>IF($AH197="","",IF(INDEX('Per Invoice'!M$2:M$401,$AH197)="","",INDEX('Per Invoice'!M$2:M$401,$AH197)))</f>
        <v/>
      </c>
      <c r="N197">
        <f>IF($AH197="","",IF(INDEX('Per Invoice'!N$2:N$401,$AH197)="","",INDEX('Per Invoice'!N$2:N$401,$AH197)))</f>
        <v/>
      </c>
      <c r="O197">
        <f>IF($AH197="","",IF(INDEX('Per Invoice'!O$2:O$401,$AH197)="","",INDEX('Per Invoice'!O$2:O$401,$AH197)))</f>
        <v/>
      </c>
      <c r="P197" s="7">
        <f>IF($AH197="","",IF(INDEX('Per Invoice'!P$2:P$401,$AH197)="","",INDEX('Per Invoice'!P$2:P$401,$AH197)))</f>
        <v/>
      </c>
      <c r="Q197">
        <f>IF($AH197="","",IF(INDEX('Per Invoice'!Q$2:Q$401,$AH197)="","",INDEX('Per Invoice'!Q$2:Q$401,$AH197)))</f>
        <v/>
      </c>
      <c r="R197">
        <f>IF($AH197="","",IF(INDEX('Per Invoice'!R$2:R$401,$AH197)="","",INDEX('Per Invoice'!R$2:R$401,$AH197)))</f>
        <v/>
      </c>
      <c r="S197">
        <f>IF($AH197="","",IF(INDEX('Per Invoice'!S$2:S$401,$AH197)="","",INDEX('Per Invoice'!S$2:S$401,$AH197)))</f>
        <v/>
      </c>
      <c r="T197" s="7">
        <f>IF($AH197="","",IF(INDEX('Per Invoice'!T$2:T$401,$AH197)="","",INDEX('Per Invoice'!T$2:T$401,$AH197)))</f>
        <v/>
      </c>
      <c r="U197" s="7">
        <f>IF($AH197="","",IF(INDEX('Per Invoice'!U$2:U$401,$AH197)="","",INDEX('Per Invoice'!U$2:U$401,$AH197)))</f>
        <v/>
      </c>
      <c r="V197">
        <f>IF($AH197="","",IF(INDEX('Per Invoice'!V$2:V$401,$AH197)="","",INDEX('Per Invoice'!V$2:V$401,$AH197)))</f>
        <v/>
      </c>
      <c r="W197" s="7">
        <f>IF($AH197="","",IF(INDEX('Per Invoice'!W$2:W$401,$AH197)="","",INDEX('Per Invoice'!W$2:W$401,$AH197)))</f>
        <v/>
      </c>
      <c r="X197" s="7">
        <f>IF($AH197="","",IF(INDEX('Per Invoice'!X$2:X$401,$AH197)="","",INDEX('Per Invoice'!X$2:X$401,$AH197)))</f>
        <v/>
      </c>
      <c r="Y197">
        <f>IF($AH197="","",IF(INDEX('Per Invoice'!Y$2:Y$401,$AH197)="","",INDEX('Per Invoice'!Y$2:Y$401,$AH197)))</f>
        <v/>
      </c>
      <c r="Z197" s="7">
        <f>IF($AH197="","",IF(INDEX('Per Invoice'!Z$2:Z$401,$AH197)="","",INDEX('Per Invoice'!Z$2:Z$401,$AH197)))</f>
        <v/>
      </c>
      <c r="AA197" s="7">
        <f>IF($AH197="","",IF(INDEX('Per Invoice'!AA$2:AA$401,$AH197)="","",INDEX('Per Invoice'!AA$2:AA$401,$AH197)))</f>
        <v/>
      </c>
      <c r="AB197" s="7">
        <f>IF($AH197="","",IF(INDEX('Per Invoice'!AB$2:AB$401,$AH197)="","",INDEX('Per Invoice'!AB$2:AB$401,$AH197)))</f>
        <v/>
      </c>
      <c r="AC197" s="7">
        <f>IF($AH197="","",IF(INDEX('Per Invoice'!AC$2:AC$401,$AH197)="","",INDEX('Per Invoice'!AC$2:AC$401,$AH197)))</f>
        <v/>
      </c>
      <c r="AD197" s="7">
        <f>IF($AH197="","",IF(INDEX('Per Invoice'!AD$2:AD$401,$AH197)="","",INDEX('Per Invoice'!AD$2:AD$401,$AH197)))</f>
        <v/>
      </c>
      <c r="AE197" s="7">
        <f>IF($AH197="","",IF(INDEX('Per Invoice'!AE$2:AE$401,$AH197)="","",INDEX('Per Invoice'!AE$2:AE$401,$AH197)))</f>
        <v/>
      </c>
      <c r="AF197">
        <f>IF($AH197="","",IF(INDEX('Per Invoice'!AF$2:AF$401,$AH197)="","",INDEX('Per Invoice'!AF$2:AF$401,$AH197)))</f>
        <v/>
      </c>
      <c r="AG197" s="7">
        <f>IF($AH197="","",IF(INDEX('Per Invoice'!AG$2:AG$401,$AH197)="","",INDEX('Per Invoice'!AG$2:AG$401,$AH197)))</f>
        <v/>
      </c>
      <c r="AH197" s="16">
        <f>IFERROR(MATCH(Settings!$C$26&amp;"|"&amp;ROWS($AH$2:$AH197),'Per Invoice'!$AI$2:$AI$401,0),"")</f>
        <v/>
      </c>
    </row>
    <row r="198">
      <c r="A198">
        <f>IF($AH198="","",IF(INDEX('Per Invoice'!A$2:A$401,$AH198)="","",INDEX('Per Invoice'!A$2:A$401,$AH198)))</f>
        <v/>
      </c>
      <c r="B198">
        <f>IF($AH198="","",IF(INDEX('Per Invoice'!B$2:B$401,$AH198)="","",INDEX('Per Invoice'!B$2:B$401,$AH198)))</f>
        <v/>
      </c>
      <c r="C198">
        <f>IF($AH198="","",IF(INDEX('Per Invoice'!C$2:C$401,$AH198)="","",INDEX('Per Invoice'!C$2:C$401,$AH198)))</f>
        <v/>
      </c>
      <c r="D198">
        <f>IF($AH198="","",IF(INDEX('Per Invoice'!D$2:D$401,$AH198)="","",INDEX('Per Invoice'!D$2:D$401,$AH198)))</f>
        <v/>
      </c>
      <c r="E198">
        <f>IF($AH198="","",IF(INDEX('Per Invoice'!E$2:E$401,$AH198)="","",INDEX('Per Invoice'!E$2:E$401,$AH198)))</f>
        <v/>
      </c>
      <c r="F198">
        <f>IF($AH198="","",IF(INDEX('Per Invoice'!F$2:F$401,$AH198)="","",INDEX('Per Invoice'!F$2:F$401,$AH198)))</f>
        <v/>
      </c>
      <c r="G198">
        <f>IF($AH198="","",IF(INDEX('Per Invoice'!G$2:G$401,$AH198)="","",INDEX('Per Invoice'!G$2:G$401,$AH198)))</f>
        <v/>
      </c>
      <c r="H198">
        <f>IF($AH198="","",IF(INDEX('Per Invoice'!H$2:H$401,$AH198)="","",INDEX('Per Invoice'!H$2:H$401,$AH198)))</f>
        <v/>
      </c>
      <c r="I198" s="14">
        <f>IF($AH198="","",IF(INDEX('Per Invoice'!I$2:I$401,$AH198)="","",INDEX('Per Invoice'!I$2:I$401,$AH198)))</f>
        <v/>
      </c>
      <c r="J198">
        <f>IF($AH198="","",IF(INDEX('Per Invoice'!J$2:J$401,$AH198)="","",INDEX('Per Invoice'!J$2:J$401,$AH198)))</f>
        <v/>
      </c>
      <c r="K198">
        <f>IF($AH198="","",IF(INDEX('Per Invoice'!K$2:K$401,$AH198)="","",INDEX('Per Invoice'!K$2:K$401,$AH198)))</f>
        <v/>
      </c>
      <c r="L198">
        <f>IF($AH198="","",IF(INDEX('Per Invoice'!L$2:L$401,$AH198)="","",INDEX('Per Invoice'!L$2:L$401,$AH198)))</f>
        <v/>
      </c>
      <c r="M198">
        <f>IF($AH198="","",IF(INDEX('Per Invoice'!M$2:M$401,$AH198)="","",INDEX('Per Invoice'!M$2:M$401,$AH198)))</f>
        <v/>
      </c>
      <c r="N198">
        <f>IF($AH198="","",IF(INDEX('Per Invoice'!N$2:N$401,$AH198)="","",INDEX('Per Invoice'!N$2:N$401,$AH198)))</f>
        <v/>
      </c>
      <c r="O198">
        <f>IF($AH198="","",IF(INDEX('Per Invoice'!O$2:O$401,$AH198)="","",INDEX('Per Invoice'!O$2:O$401,$AH198)))</f>
        <v/>
      </c>
      <c r="P198" s="7">
        <f>IF($AH198="","",IF(INDEX('Per Invoice'!P$2:P$401,$AH198)="","",INDEX('Per Invoice'!P$2:P$401,$AH198)))</f>
        <v/>
      </c>
      <c r="Q198">
        <f>IF($AH198="","",IF(INDEX('Per Invoice'!Q$2:Q$401,$AH198)="","",INDEX('Per Invoice'!Q$2:Q$401,$AH198)))</f>
        <v/>
      </c>
      <c r="R198">
        <f>IF($AH198="","",IF(INDEX('Per Invoice'!R$2:R$401,$AH198)="","",INDEX('Per Invoice'!R$2:R$401,$AH198)))</f>
        <v/>
      </c>
      <c r="S198">
        <f>IF($AH198="","",IF(INDEX('Per Invoice'!S$2:S$401,$AH198)="","",INDEX('Per Invoice'!S$2:S$401,$AH198)))</f>
        <v/>
      </c>
      <c r="T198" s="7">
        <f>IF($AH198="","",IF(INDEX('Per Invoice'!T$2:T$401,$AH198)="","",INDEX('Per Invoice'!T$2:T$401,$AH198)))</f>
        <v/>
      </c>
      <c r="U198" s="7">
        <f>IF($AH198="","",IF(INDEX('Per Invoice'!U$2:U$401,$AH198)="","",INDEX('Per Invoice'!U$2:U$401,$AH198)))</f>
        <v/>
      </c>
      <c r="V198">
        <f>IF($AH198="","",IF(INDEX('Per Invoice'!V$2:V$401,$AH198)="","",INDEX('Per Invoice'!V$2:V$401,$AH198)))</f>
        <v/>
      </c>
      <c r="W198" s="7">
        <f>IF($AH198="","",IF(INDEX('Per Invoice'!W$2:W$401,$AH198)="","",INDEX('Per Invoice'!W$2:W$401,$AH198)))</f>
        <v/>
      </c>
      <c r="X198" s="7">
        <f>IF($AH198="","",IF(INDEX('Per Invoice'!X$2:X$401,$AH198)="","",INDEX('Per Invoice'!X$2:X$401,$AH198)))</f>
        <v/>
      </c>
      <c r="Y198">
        <f>IF($AH198="","",IF(INDEX('Per Invoice'!Y$2:Y$401,$AH198)="","",INDEX('Per Invoice'!Y$2:Y$401,$AH198)))</f>
        <v/>
      </c>
      <c r="Z198" s="7">
        <f>IF($AH198="","",IF(INDEX('Per Invoice'!Z$2:Z$401,$AH198)="","",INDEX('Per Invoice'!Z$2:Z$401,$AH198)))</f>
        <v/>
      </c>
      <c r="AA198" s="7">
        <f>IF($AH198="","",IF(INDEX('Per Invoice'!AA$2:AA$401,$AH198)="","",INDEX('Per Invoice'!AA$2:AA$401,$AH198)))</f>
        <v/>
      </c>
      <c r="AB198" s="7">
        <f>IF($AH198="","",IF(INDEX('Per Invoice'!AB$2:AB$401,$AH198)="","",INDEX('Per Invoice'!AB$2:AB$401,$AH198)))</f>
        <v/>
      </c>
      <c r="AC198" s="7">
        <f>IF($AH198="","",IF(INDEX('Per Invoice'!AC$2:AC$401,$AH198)="","",INDEX('Per Invoice'!AC$2:AC$401,$AH198)))</f>
        <v/>
      </c>
      <c r="AD198" s="7">
        <f>IF($AH198="","",IF(INDEX('Per Invoice'!AD$2:AD$401,$AH198)="","",INDEX('Per Invoice'!AD$2:AD$401,$AH198)))</f>
        <v/>
      </c>
      <c r="AE198" s="7">
        <f>IF($AH198="","",IF(INDEX('Per Invoice'!AE$2:AE$401,$AH198)="","",INDEX('Per Invoice'!AE$2:AE$401,$AH198)))</f>
        <v/>
      </c>
      <c r="AF198">
        <f>IF($AH198="","",IF(INDEX('Per Invoice'!AF$2:AF$401,$AH198)="","",INDEX('Per Invoice'!AF$2:AF$401,$AH198)))</f>
        <v/>
      </c>
      <c r="AG198" s="7">
        <f>IF($AH198="","",IF(INDEX('Per Invoice'!AG$2:AG$401,$AH198)="","",INDEX('Per Invoice'!AG$2:AG$401,$AH198)))</f>
        <v/>
      </c>
      <c r="AH198" s="16">
        <f>IFERROR(MATCH(Settings!$C$26&amp;"|"&amp;ROWS($AH$2:$AH198),'Per Invoice'!$AI$2:$AI$401,0),"")</f>
        <v/>
      </c>
    </row>
    <row r="199">
      <c r="A199">
        <f>IF($AH199="","",IF(INDEX('Per Invoice'!A$2:A$401,$AH199)="","",INDEX('Per Invoice'!A$2:A$401,$AH199)))</f>
        <v/>
      </c>
      <c r="B199">
        <f>IF($AH199="","",IF(INDEX('Per Invoice'!B$2:B$401,$AH199)="","",INDEX('Per Invoice'!B$2:B$401,$AH199)))</f>
        <v/>
      </c>
      <c r="C199">
        <f>IF($AH199="","",IF(INDEX('Per Invoice'!C$2:C$401,$AH199)="","",INDEX('Per Invoice'!C$2:C$401,$AH199)))</f>
        <v/>
      </c>
      <c r="D199">
        <f>IF($AH199="","",IF(INDEX('Per Invoice'!D$2:D$401,$AH199)="","",INDEX('Per Invoice'!D$2:D$401,$AH199)))</f>
        <v/>
      </c>
      <c r="E199">
        <f>IF($AH199="","",IF(INDEX('Per Invoice'!E$2:E$401,$AH199)="","",INDEX('Per Invoice'!E$2:E$401,$AH199)))</f>
        <v/>
      </c>
      <c r="F199">
        <f>IF($AH199="","",IF(INDEX('Per Invoice'!F$2:F$401,$AH199)="","",INDEX('Per Invoice'!F$2:F$401,$AH199)))</f>
        <v/>
      </c>
      <c r="G199">
        <f>IF($AH199="","",IF(INDEX('Per Invoice'!G$2:G$401,$AH199)="","",INDEX('Per Invoice'!G$2:G$401,$AH199)))</f>
        <v/>
      </c>
      <c r="H199">
        <f>IF($AH199="","",IF(INDEX('Per Invoice'!H$2:H$401,$AH199)="","",INDEX('Per Invoice'!H$2:H$401,$AH199)))</f>
        <v/>
      </c>
      <c r="I199" s="14">
        <f>IF($AH199="","",IF(INDEX('Per Invoice'!I$2:I$401,$AH199)="","",INDEX('Per Invoice'!I$2:I$401,$AH199)))</f>
        <v/>
      </c>
      <c r="J199">
        <f>IF($AH199="","",IF(INDEX('Per Invoice'!J$2:J$401,$AH199)="","",INDEX('Per Invoice'!J$2:J$401,$AH199)))</f>
        <v/>
      </c>
      <c r="K199">
        <f>IF($AH199="","",IF(INDEX('Per Invoice'!K$2:K$401,$AH199)="","",INDEX('Per Invoice'!K$2:K$401,$AH199)))</f>
        <v/>
      </c>
      <c r="L199">
        <f>IF($AH199="","",IF(INDEX('Per Invoice'!L$2:L$401,$AH199)="","",INDEX('Per Invoice'!L$2:L$401,$AH199)))</f>
        <v/>
      </c>
      <c r="M199">
        <f>IF($AH199="","",IF(INDEX('Per Invoice'!M$2:M$401,$AH199)="","",INDEX('Per Invoice'!M$2:M$401,$AH199)))</f>
        <v/>
      </c>
      <c r="N199">
        <f>IF($AH199="","",IF(INDEX('Per Invoice'!N$2:N$401,$AH199)="","",INDEX('Per Invoice'!N$2:N$401,$AH199)))</f>
        <v/>
      </c>
      <c r="O199">
        <f>IF($AH199="","",IF(INDEX('Per Invoice'!O$2:O$401,$AH199)="","",INDEX('Per Invoice'!O$2:O$401,$AH199)))</f>
        <v/>
      </c>
      <c r="P199" s="7">
        <f>IF($AH199="","",IF(INDEX('Per Invoice'!P$2:P$401,$AH199)="","",INDEX('Per Invoice'!P$2:P$401,$AH199)))</f>
        <v/>
      </c>
      <c r="Q199">
        <f>IF($AH199="","",IF(INDEX('Per Invoice'!Q$2:Q$401,$AH199)="","",INDEX('Per Invoice'!Q$2:Q$401,$AH199)))</f>
        <v/>
      </c>
      <c r="R199">
        <f>IF($AH199="","",IF(INDEX('Per Invoice'!R$2:R$401,$AH199)="","",INDEX('Per Invoice'!R$2:R$401,$AH199)))</f>
        <v/>
      </c>
      <c r="S199">
        <f>IF($AH199="","",IF(INDEX('Per Invoice'!S$2:S$401,$AH199)="","",INDEX('Per Invoice'!S$2:S$401,$AH199)))</f>
        <v/>
      </c>
      <c r="T199" s="7">
        <f>IF($AH199="","",IF(INDEX('Per Invoice'!T$2:T$401,$AH199)="","",INDEX('Per Invoice'!T$2:T$401,$AH199)))</f>
        <v/>
      </c>
      <c r="U199" s="7">
        <f>IF($AH199="","",IF(INDEX('Per Invoice'!U$2:U$401,$AH199)="","",INDEX('Per Invoice'!U$2:U$401,$AH199)))</f>
        <v/>
      </c>
      <c r="V199">
        <f>IF($AH199="","",IF(INDEX('Per Invoice'!V$2:V$401,$AH199)="","",INDEX('Per Invoice'!V$2:V$401,$AH199)))</f>
        <v/>
      </c>
      <c r="W199" s="7">
        <f>IF($AH199="","",IF(INDEX('Per Invoice'!W$2:W$401,$AH199)="","",INDEX('Per Invoice'!W$2:W$401,$AH199)))</f>
        <v/>
      </c>
      <c r="X199" s="7">
        <f>IF($AH199="","",IF(INDEX('Per Invoice'!X$2:X$401,$AH199)="","",INDEX('Per Invoice'!X$2:X$401,$AH199)))</f>
        <v/>
      </c>
      <c r="Y199">
        <f>IF($AH199="","",IF(INDEX('Per Invoice'!Y$2:Y$401,$AH199)="","",INDEX('Per Invoice'!Y$2:Y$401,$AH199)))</f>
        <v/>
      </c>
      <c r="Z199" s="7">
        <f>IF($AH199="","",IF(INDEX('Per Invoice'!Z$2:Z$401,$AH199)="","",INDEX('Per Invoice'!Z$2:Z$401,$AH199)))</f>
        <v/>
      </c>
      <c r="AA199" s="7">
        <f>IF($AH199="","",IF(INDEX('Per Invoice'!AA$2:AA$401,$AH199)="","",INDEX('Per Invoice'!AA$2:AA$401,$AH199)))</f>
        <v/>
      </c>
      <c r="AB199" s="7">
        <f>IF($AH199="","",IF(INDEX('Per Invoice'!AB$2:AB$401,$AH199)="","",INDEX('Per Invoice'!AB$2:AB$401,$AH199)))</f>
        <v/>
      </c>
      <c r="AC199" s="7">
        <f>IF($AH199="","",IF(INDEX('Per Invoice'!AC$2:AC$401,$AH199)="","",INDEX('Per Invoice'!AC$2:AC$401,$AH199)))</f>
        <v/>
      </c>
      <c r="AD199" s="7">
        <f>IF($AH199="","",IF(INDEX('Per Invoice'!AD$2:AD$401,$AH199)="","",INDEX('Per Invoice'!AD$2:AD$401,$AH199)))</f>
        <v/>
      </c>
      <c r="AE199" s="7">
        <f>IF($AH199="","",IF(INDEX('Per Invoice'!AE$2:AE$401,$AH199)="","",INDEX('Per Invoice'!AE$2:AE$401,$AH199)))</f>
        <v/>
      </c>
      <c r="AF199">
        <f>IF($AH199="","",IF(INDEX('Per Invoice'!AF$2:AF$401,$AH199)="","",INDEX('Per Invoice'!AF$2:AF$401,$AH199)))</f>
        <v/>
      </c>
      <c r="AG199" s="7">
        <f>IF($AH199="","",IF(INDEX('Per Invoice'!AG$2:AG$401,$AH199)="","",INDEX('Per Invoice'!AG$2:AG$401,$AH199)))</f>
        <v/>
      </c>
      <c r="AH199" s="16">
        <f>IFERROR(MATCH(Settings!$C$26&amp;"|"&amp;ROWS($AH$2:$AH199),'Per Invoice'!$AI$2:$AI$401,0),"")</f>
        <v/>
      </c>
    </row>
    <row r="200">
      <c r="A200">
        <f>IF($AH200="","",IF(INDEX('Per Invoice'!A$2:A$401,$AH200)="","",INDEX('Per Invoice'!A$2:A$401,$AH200)))</f>
        <v/>
      </c>
      <c r="B200">
        <f>IF($AH200="","",IF(INDEX('Per Invoice'!B$2:B$401,$AH200)="","",INDEX('Per Invoice'!B$2:B$401,$AH200)))</f>
        <v/>
      </c>
      <c r="C200">
        <f>IF($AH200="","",IF(INDEX('Per Invoice'!C$2:C$401,$AH200)="","",INDEX('Per Invoice'!C$2:C$401,$AH200)))</f>
        <v/>
      </c>
      <c r="D200">
        <f>IF($AH200="","",IF(INDEX('Per Invoice'!D$2:D$401,$AH200)="","",INDEX('Per Invoice'!D$2:D$401,$AH200)))</f>
        <v/>
      </c>
      <c r="E200">
        <f>IF($AH200="","",IF(INDEX('Per Invoice'!E$2:E$401,$AH200)="","",INDEX('Per Invoice'!E$2:E$401,$AH200)))</f>
        <v/>
      </c>
      <c r="F200">
        <f>IF($AH200="","",IF(INDEX('Per Invoice'!F$2:F$401,$AH200)="","",INDEX('Per Invoice'!F$2:F$401,$AH200)))</f>
        <v/>
      </c>
      <c r="G200">
        <f>IF($AH200="","",IF(INDEX('Per Invoice'!G$2:G$401,$AH200)="","",INDEX('Per Invoice'!G$2:G$401,$AH200)))</f>
        <v/>
      </c>
      <c r="H200">
        <f>IF($AH200="","",IF(INDEX('Per Invoice'!H$2:H$401,$AH200)="","",INDEX('Per Invoice'!H$2:H$401,$AH200)))</f>
        <v/>
      </c>
      <c r="I200" s="14">
        <f>IF($AH200="","",IF(INDEX('Per Invoice'!I$2:I$401,$AH200)="","",INDEX('Per Invoice'!I$2:I$401,$AH200)))</f>
        <v/>
      </c>
      <c r="J200">
        <f>IF($AH200="","",IF(INDEX('Per Invoice'!J$2:J$401,$AH200)="","",INDEX('Per Invoice'!J$2:J$401,$AH200)))</f>
        <v/>
      </c>
      <c r="K200">
        <f>IF($AH200="","",IF(INDEX('Per Invoice'!K$2:K$401,$AH200)="","",INDEX('Per Invoice'!K$2:K$401,$AH200)))</f>
        <v/>
      </c>
      <c r="L200">
        <f>IF($AH200="","",IF(INDEX('Per Invoice'!L$2:L$401,$AH200)="","",INDEX('Per Invoice'!L$2:L$401,$AH200)))</f>
        <v/>
      </c>
      <c r="M200">
        <f>IF($AH200="","",IF(INDEX('Per Invoice'!M$2:M$401,$AH200)="","",INDEX('Per Invoice'!M$2:M$401,$AH200)))</f>
        <v/>
      </c>
      <c r="N200">
        <f>IF($AH200="","",IF(INDEX('Per Invoice'!N$2:N$401,$AH200)="","",INDEX('Per Invoice'!N$2:N$401,$AH200)))</f>
        <v/>
      </c>
      <c r="O200">
        <f>IF($AH200="","",IF(INDEX('Per Invoice'!O$2:O$401,$AH200)="","",INDEX('Per Invoice'!O$2:O$401,$AH200)))</f>
        <v/>
      </c>
      <c r="P200" s="7">
        <f>IF($AH200="","",IF(INDEX('Per Invoice'!P$2:P$401,$AH200)="","",INDEX('Per Invoice'!P$2:P$401,$AH200)))</f>
        <v/>
      </c>
      <c r="Q200">
        <f>IF($AH200="","",IF(INDEX('Per Invoice'!Q$2:Q$401,$AH200)="","",INDEX('Per Invoice'!Q$2:Q$401,$AH200)))</f>
        <v/>
      </c>
      <c r="R200">
        <f>IF($AH200="","",IF(INDEX('Per Invoice'!R$2:R$401,$AH200)="","",INDEX('Per Invoice'!R$2:R$401,$AH200)))</f>
        <v/>
      </c>
      <c r="S200">
        <f>IF($AH200="","",IF(INDEX('Per Invoice'!S$2:S$401,$AH200)="","",INDEX('Per Invoice'!S$2:S$401,$AH200)))</f>
        <v/>
      </c>
      <c r="T200" s="7">
        <f>IF($AH200="","",IF(INDEX('Per Invoice'!T$2:T$401,$AH200)="","",INDEX('Per Invoice'!T$2:T$401,$AH200)))</f>
        <v/>
      </c>
      <c r="U200" s="7">
        <f>IF($AH200="","",IF(INDEX('Per Invoice'!U$2:U$401,$AH200)="","",INDEX('Per Invoice'!U$2:U$401,$AH200)))</f>
        <v/>
      </c>
      <c r="V200">
        <f>IF($AH200="","",IF(INDEX('Per Invoice'!V$2:V$401,$AH200)="","",INDEX('Per Invoice'!V$2:V$401,$AH200)))</f>
        <v/>
      </c>
      <c r="W200" s="7">
        <f>IF($AH200="","",IF(INDEX('Per Invoice'!W$2:W$401,$AH200)="","",INDEX('Per Invoice'!W$2:W$401,$AH200)))</f>
        <v/>
      </c>
      <c r="X200" s="7">
        <f>IF($AH200="","",IF(INDEX('Per Invoice'!X$2:X$401,$AH200)="","",INDEX('Per Invoice'!X$2:X$401,$AH200)))</f>
        <v/>
      </c>
      <c r="Y200">
        <f>IF($AH200="","",IF(INDEX('Per Invoice'!Y$2:Y$401,$AH200)="","",INDEX('Per Invoice'!Y$2:Y$401,$AH200)))</f>
        <v/>
      </c>
      <c r="Z200" s="7">
        <f>IF($AH200="","",IF(INDEX('Per Invoice'!Z$2:Z$401,$AH200)="","",INDEX('Per Invoice'!Z$2:Z$401,$AH200)))</f>
        <v/>
      </c>
      <c r="AA200" s="7">
        <f>IF($AH200="","",IF(INDEX('Per Invoice'!AA$2:AA$401,$AH200)="","",INDEX('Per Invoice'!AA$2:AA$401,$AH200)))</f>
        <v/>
      </c>
      <c r="AB200" s="7">
        <f>IF($AH200="","",IF(INDEX('Per Invoice'!AB$2:AB$401,$AH200)="","",INDEX('Per Invoice'!AB$2:AB$401,$AH200)))</f>
        <v/>
      </c>
      <c r="AC200" s="7">
        <f>IF($AH200="","",IF(INDEX('Per Invoice'!AC$2:AC$401,$AH200)="","",INDEX('Per Invoice'!AC$2:AC$401,$AH200)))</f>
        <v/>
      </c>
      <c r="AD200" s="7">
        <f>IF($AH200="","",IF(INDEX('Per Invoice'!AD$2:AD$401,$AH200)="","",INDEX('Per Invoice'!AD$2:AD$401,$AH200)))</f>
        <v/>
      </c>
      <c r="AE200" s="7">
        <f>IF($AH200="","",IF(INDEX('Per Invoice'!AE$2:AE$401,$AH200)="","",INDEX('Per Invoice'!AE$2:AE$401,$AH200)))</f>
        <v/>
      </c>
      <c r="AF200">
        <f>IF($AH200="","",IF(INDEX('Per Invoice'!AF$2:AF$401,$AH200)="","",INDEX('Per Invoice'!AF$2:AF$401,$AH200)))</f>
        <v/>
      </c>
      <c r="AG200" s="7">
        <f>IF($AH200="","",IF(INDEX('Per Invoice'!AG$2:AG$401,$AH200)="","",INDEX('Per Invoice'!AG$2:AG$401,$AH200)))</f>
        <v/>
      </c>
      <c r="AH200" s="16">
        <f>IFERROR(MATCH(Settings!$C$26&amp;"|"&amp;ROWS($AH$2:$AH200),'Per Invoice'!$AI$2:$AI$401,0),"")</f>
        <v/>
      </c>
    </row>
    <row r="201">
      <c r="A201">
        <f>IF($AH201="","",IF(INDEX('Per Invoice'!A$2:A$401,$AH201)="","",INDEX('Per Invoice'!A$2:A$401,$AH201)))</f>
        <v/>
      </c>
      <c r="B201">
        <f>IF($AH201="","",IF(INDEX('Per Invoice'!B$2:B$401,$AH201)="","",INDEX('Per Invoice'!B$2:B$401,$AH201)))</f>
        <v/>
      </c>
      <c r="C201">
        <f>IF($AH201="","",IF(INDEX('Per Invoice'!C$2:C$401,$AH201)="","",INDEX('Per Invoice'!C$2:C$401,$AH201)))</f>
        <v/>
      </c>
      <c r="D201">
        <f>IF($AH201="","",IF(INDEX('Per Invoice'!D$2:D$401,$AH201)="","",INDEX('Per Invoice'!D$2:D$401,$AH201)))</f>
        <v/>
      </c>
      <c r="E201">
        <f>IF($AH201="","",IF(INDEX('Per Invoice'!E$2:E$401,$AH201)="","",INDEX('Per Invoice'!E$2:E$401,$AH201)))</f>
        <v/>
      </c>
      <c r="F201">
        <f>IF($AH201="","",IF(INDEX('Per Invoice'!F$2:F$401,$AH201)="","",INDEX('Per Invoice'!F$2:F$401,$AH201)))</f>
        <v/>
      </c>
      <c r="G201">
        <f>IF($AH201="","",IF(INDEX('Per Invoice'!G$2:G$401,$AH201)="","",INDEX('Per Invoice'!G$2:G$401,$AH201)))</f>
        <v/>
      </c>
      <c r="H201">
        <f>IF($AH201="","",IF(INDEX('Per Invoice'!H$2:H$401,$AH201)="","",INDEX('Per Invoice'!H$2:H$401,$AH201)))</f>
        <v/>
      </c>
      <c r="I201" s="14">
        <f>IF($AH201="","",IF(INDEX('Per Invoice'!I$2:I$401,$AH201)="","",INDEX('Per Invoice'!I$2:I$401,$AH201)))</f>
        <v/>
      </c>
      <c r="J201">
        <f>IF($AH201="","",IF(INDEX('Per Invoice'!J$2:J$401,$AH201)="","",INDEX('Per Invoice'!J$2:J$401,$AH201)))</f>
        <v/>
      </c>
      <c r="K201">
        <f>IF($AH201="","",IF(INDEX('Per Invoice'!K$2:K$401,$AH201)="","",INDEX('Per Invoice'!K$2:K$401,$AH201)))</f>
        <v/>
      </c>
      <c r="L201">
        <f>IF($AH201="","",IF(INDEX('Per Invoice'!L$2:L$401,$AH201)="","",INDEX('Per Invoice'!L$2:L$401,$AH201)))</f>
        <v/>
      </c>
      <c r="M201">
        <f>IF($AH201="","",IF(INDEX('Per Invoice'!M$2:M$401,$AH201)="","",INDEX('Per Invoice'!M$2:M$401,$AH201)))</f>
        <v/>
      </c>
      <c r="N201">
        <f>IF($AH201="","",IF(INDEX('Per Invoice'!N$2:N$401,$AH201)="","",INDEX('Per Invoice'!N$2:N$401,$AH201)))</f>
        <v/>
      </c>
      <c r="O201">
        <f>IF($AH201="","",IF(INDEX('Per Invoice'!O$2:O$401,$AH201)="","",INDEX('Per Invoice'!O$2:O$401,$AH201)))</f>
        <v/>
      </c>
      <c r="P201" s="7">
        <f>IF($AH201="","",IF(INDEX('Per Invoice'!P$2:P$401,$AH201)="","",INDEX('Per Invoice'!P$2:P$401,$AH201)))</f>
        <v/>
      </c>
      <c r="Q201">
        <f>IF($AH201="","",IF(INDEX('Per Invoice'!Q$2:Q$401,$AH201)="","",INDEX('Per Invoice'!Q$2:Q$401,$AH201)))</f>
        <v/>
      </c>
      <c r="R201">
        <f>IF($AH201="","",IF(INDEX('Per Invoice'!R$2:R$401,$AH201)="","",INDEX('Per Invoice'!R$2:R$401,$AH201)))</f>
        <v/>
      </c>
      <c r="S201">
        <f>IF($AH201="","",IF(INDEX('Per Invoice'!S$2:S$401,$AH201)="","",INDEX('Per Invoice'!S$2:S$401,$AH201)))</f>
        <v/>
      </c>
      <c r="T201" s="7">
        <f>IF($AH201="","",IF(INDEX('Per Invoice'!T$2:T$401,$AH201)="","",INDEX('Per Invoice'!T$2:T$401,$AH201)))</f>
        <v/>
      </c>
      <c r="U201" s="7">
        <f>IF($AH201="","",IF(INDEX('Per Invoice'!U$2:U$401,$AH201)="","",INDEX('Per Invoice'!U$2:U$401,$AH201)))</f>
        <v/>
      </c>
      <c r="V201">
        <f>IF($AH201="","",IF(INDEX('Per Invoice'!V$2:V$401,$AH201)="","",INDEX('Per Invoice'!V$2:V$401,$AH201)))</f>
        <v/>
      </c>
      <c r="W201" s="7">
        <f>IF($AH201="","",IF(INDEX('Per Invoice'!W$2:W$401,$AH201)="","",INDEX('Per Invoice'!W$2:W$401,$AH201)))</f>
        <v/>
      </c>
      <c r="X201" s="7">
        <f>IF($AH201="","",IF(INDEX('Per Invoice'!X$2:X$401,$AH201)="","",INDEX('Per Invoice'!X$2:X$401,$AH201)))</f>
        <v/>
      </c>
      <c r="Y201">
        <f>IF($AH201="","",IF(INDEX('Per Invoice'!Y$2:Y$401,$AH201)="","",INDEX('Per Invoice'!Y$2:Y$401,$AH201)))</f>
        <v/>
      </c>
      <c r="Z201" s="7">
        <f>IF($AH201="","",IF(INDEX('Per Invoice'!Z$2:Z$401,$AH201)="","",INDEX('Per Invoice'!Z$2:Z$401,$AH201)))</f>
        <v/>
      </c>
      <c r="AA201" s="7">
        <f>IF($AH201="","",IF(INDEX('Per Invoice'!AA$2:AA$401,$AH201)="","",INDEX('Per Invoice'!AA$2:AA$401,$AH201)))</f>
        <v/>
      </c>
      <c r="AB201" s="7">
        <f>IF($AH201="","",IF(INDEX('Per Invoice'!AB$2:AB$401,$AH201)="","",INDEX('Per Invoice'!AB$2:AB$401,$AH201)))</f>
        <v/>
      </c>
      <c r="AC201" s="7">
        <f>IF($AH201="","",IF(INDEX('Per Invoice'!AC$2:AC$401,$AH201)="","",INDEX('Per Invoice'!AC$2:AC$401,$AH201)))</f>
        <v/>
      </c>
      <c r="AD201" s="7">
        <f>IF($AH201="","",IF(INDEX('Per Invoice'!AD$2:AD$401,$AH201)="","",INDEX('Per Invoice'!AD$2:AD$401,$AH201)))</f>
        <v/>
      </c>
      <c r="AE201" s="7">
        <f>IF($AH201="","",IF(INDEX('Per Invoice'!AE$2:AE$401,$AH201)="","",INDEX('Per Invoice'!AE$2:AE$401,$AH201)))</f>
        <v/>
      </c>
      <c r="AF201">
        <f>IF($AH201="","",IF(INDEX('Per Invoice'!AF$2:AF$401,$AH201)="","",INDEX('Per Invoice'!AF$2:AF$401,$AH201)))</f>
        <v/>
      </c>
      <c r="AG201" s="7">
        <f>IF($AH201="","",IF(INDEX('Per Invoice'!AG$2:AG$401,$AH201)="","",INDEX('Per Invoice'!AG$2:AG$401,$AH201)))</f>
        <v/>
      </c>
      <c r="AH201" s="16">
        <f>IFERROR(MATCH(Settings!$C$26&amp;"|"&amp;ROWS($AH$2:$AH201),'Per Invoice'!$AI$2:$AI$401,0),"")</f>
        <v/>
      </c>
    </row>
    <row r="202">
      <c r="A202">
        <f>IF($AH202="","",IF(INDEX('Per Invoice'!A$2:A$401,$AH202)="","",INDEX('Per Invoice'!A$2:A$401,$AH202)))</f>
        <v/>
      </c>
      <c r="B202">
        <f>IF($AH202="","",IF(INDEX('Per Invoice'!B$2:B$401,$AH202)="","",INDEX('Per Invoice'!B$2:B$401,$AH202)))</f>
        <v/>
      </c>
      <c r="C202">
        <f>IF($AH202="","",IF(INDEX('Per Invoice'!C$2:C$401,$AH202)="","",INDEX('Per Invoice'!C$2:C$401,$AH202)))</f>
        <v/>
      </c>
      <c r="D202">
        <f>IF($AH202="","",IF(INDEX('Per Invoice'!D$2:D$401,$AH202)="","",INDEX('Per Invoice'!D$2:D$401,$AH202)))</f>
        <v/>
      </c>
      <c r="E202">
        <f>IF($AH202="","",IF(INDEX('Per Invoice'!E$2:E$401,$AH202)="","",INDEX('Per Invoice'!E$2:E$401,$AH202)))</f>
        <v/>
      </c>
      <c r="F202">
        <f>IF($AH202="","",IF(INDEX('Per Invoice'!F$2:F$401,$AH202)="","",INDEX('Per Invoice'!F$2:F$401,$AH202)))</f>
        <v/>
      </c>
      <c r="G202">
        <f>IF($AH202="","",IF(INDEX('Per Invoice'!G$2:G$401,$AH202)="","",INDEX('Per Invoice'!G$2:G$401,$AH202)))</f>
        <v/>
      </c>
      <c r="H202">
        <f>IF($AH202="","",IF(INDEX('Per Invoice'!H$2:H$401,$AH202)="","",INDEX('Per Invoice'!H$2:H$401,$AH202)))</f>
        <v/>
      </c>
      <c r="I202" s="14">
        <f>IF($AH202="","",IF(INDEX('Per Invoice'!I$2:I$401,$AH202)="","",INDEX('Per Invoice'!I$2:I$401,$AH202)))</f>
        <v/>
      </c>
      <c r="J202">
        <f>IF($AH202="","",IF(INDEX('Per Invoice'!J$2:J$401,$AH202)="","",INDEX('Per Invoice'!J$2:J$401,$AH202)))</f>
        <v/>
      </c>
      <c r="K202">
        <f>IF($AH202="","",IF(INDEX('Per Invoice'!K$2:K$401,$AH202)="","",INDEX('Per Invoice'!K$2:K$401,$AH202)))</f>
        <v/>
      </c>
      <c r="L202">
        <f>IF($AH202="","",IF(INDEX('Per Invoice'!L$2:L$401,$AH202)="","",INDEX('Per Invoice'!L$2:L$401,$AH202)))</f>
        <v/>
      </c>
      <c r="M202">
        <f>IF($AH202="","",IF(INDEX('Per Invoice'!M$2:M$401,$AH202)="","",INDEX('Per Invoice'!M$2:M$401,$AH202)))</f>
        <v/>
      </c>
      <c r="N202">
        <f>IF($AH202="","",IF(INDEX('Per Invoice'!N$2:N$401,$AH202)="","",INDEX('Per Invoice'!N$2:N$401,$AH202)))</f>
        <v/>
      </c>
      <c r="O202">
        <f>IF($AH202="","",IF(INDEX('Per Invoice'!O$2:O$401,$AH202)="","",INDEX('Per Invoice'!O$2:O$401,$AH202)))</f>
        <v/>
      </c>
      <c r="P202" s="7">
        <f>IF($AH202="","",IF(INDEX('Per Invoice'!P$2:P$401,$AH202)="","",INDEX('Per Invoice'!P$2:P$401,$AH202)))</f>
        <v/>
      </c>
      <c r="Q202">
        <f>IF($AH202="","",IF(INDEX('Per Invoice'!Q$2:Q$401,$AH202)="","",INDEX('Per Invoice'!Q$2:Q$401,$AH202)))</f>
        <v/>
      </c>
      <c r="R202">
        <f>IF($AH202="","",IF(INDEX('Per Invoice'!R$2:R$401,$AH202)="","",INDEX('Per Invoice'!R$2:R$401,$AH202)))</f>
        <v/>
      </c>
      <c r="S202">
        <f>IF($AH202="","",IF(INDEX('Per Invoice'!S$2:S$401,$AH202)="","",INDEX('Per Invoice'!S$2:S$401,$AH202)))</f>
        <v/>
      </c>
      <c r="T202" s="7">
        <f>IF($AH202="","",IF(INDEX('Per Invoice'!T$2:T$401,$AH202)="","",INDEX('Per Invoice'!T$2:T$401,$AH202)))</f>
        <v/>
      </c>
      <c r="U202" s="7">
        <f>IF($AH202="","",IF(INDEX('Per Invoice'!U$2:U$401,$AH202)="","",INDEX('Per Invoice'!U$2:U$401,$AH202)))</f>
        <v/>
      </c>
      <c r="V202">
        <f>IF($AH202="","",IF(INDEX('Per Invoice'!V$2:V$401,$AH202)="","",INDEX('Per Invoice'!V$2:V$401,$AH202)))</f>
        <v/>
      </c>
      <c r="W202" s="7">
        <f>IF($AH202="","",IF(INDEX('Per Invoice'!W$2:W$401,$AH202)="","",INDEX('Per Invoice'!W$2:W$401,$AH202)))</f>
        <v/>
      </c>
      <c r="X202" s="7">
        <f>IF($AH202="","",IF(INDEX('Per Invoice'!X$2:X$401,$AH202)="","",INDEX('Per Invoice'!X$2:X$401,$AH202)))</f>
        <v/>
      </c>
      <c r="Y202">
        <f>IF($AH202="","",IF(INDEX('Per Invoice'!Y$2:Y$401,$AH202)="","",INDEX('Per Invoice'!Y$2:Y$401,$AH202)))</f>
        <v/>
      </c>
      <c r="Z202" s="7">
        <f>IF($AH202="","",IF(INDEX('Per Invoice'!Z$2:Z$401,$AH202)="","",INDEX('Per Invoice'!Z$2:Z$401,$AH202)))</f>
        <v/>
      </c>
      <c r="AA202" s="7">
        <f>IF($AH202="","",IF(INDEX('Per Invoice'!AA$2:AA$401,$AH202)="","",INDEX('Per Invoice'!AA$2:AA$401,$AH202)))</f>
        <v/>
      </c>
      <c r="AB202" s="7">
        <f>IF($AH202="","",IF(INDEX('Per Invoice'!AB$2:AB$401,$AH202)="","",INDEX('Per Invoice'!AB$2:AB$401,$AH202)))</f>
        <v/>
      </c>
      <c r="AC202" s="7">
        <f>IF($AH202="","",IF(INDEX('Per Invoice'!AC$2:AC$401,$AH202)="","",INDEX('Per Invoice'!AC$2:AC$401,$AH202)))</f>
        <v/>
      </c>
      <c r="AD202" s="7">
        <f>IF($AH202="","",IF(INDEX('Per Invoice'!AD$2:AD$401,$AH202)="","",INDEX('Per Invoice'!AD$2:AD$401,$AH202)))</f>
        <v/>
      </c>
      <c r="AE202" s="7">
        <f>IF($AH202="","",IF(INDEX('Per Invoice'!AE$2:AE$401,$AH202)="","",INDEX('Per Invoice'!AE$2:AE$401,$AH202)))</f>
        <v/>
      </c>
      <c r="AF202">
        <f>IF($AH202="","",IF(INDEX('Per Invoice'!AF$2:AF$401,$AH202)="","",INDEX('Per Invoice'!AF$2:AF$401,$AH202)))</f>
        <v/>
      </c>
      <c r="AG202" s="7">
        <f>IF($AH202="","",IF(INDEX('Per Invoice'!AG$2:AG$401,$AH202)="","",INDEX('Per Invoice'!AG$2:AG$401,$AH202)))</f>
        <v/>
      </c>
      <c r="AH202" s="16">
        <f>IFERROR(MATCH(Settings!$C$26&amp;"|"&amp;ROWS($AH$2:$AH202),'Per Invoice'!$AI$2:$AI$401,0),"")</f>
        <v/>
      </c>
    </row>
    <row r="203">
      <c r="A203">
        <f>IF($AH203="","",IF(INDEX('Per Invoice'!A$2:A$401,$AH203)="","",INDEX('Per Invoice'!A$2:A$401,$AH203)))</f>
        <v/>
      </c>
      <c r="B203">
        <f>IF($AH203="","",IF(INDEX('Per Invoice'!B$2:B$401,$AH203)="","",INDEX('Per Invoice'!B$2:B$401,$AH203)))</f>
        <v/>
      </c>
      <c r="C203">
        <f>IF($AH203="","",IF(INDEX('Per Invoice'!C$2:C$401,$AH203)="","",INDEX('Per Invoice'!C$2:C$401,$AH203)))</f>
        <v/>
      </c>
      <c r="D203">
        <f>IF($AH203="","",IF(INDEX('Per Invoice'!D$2:D$401,$AH203)="","",INDEX('Per Invoice'!D$2:D$401,$AH203)))</f>
        <v/>
      </c>
      <c r="E203">
        <f>IF($AH203="","",IF(INDEX('Per Invoice'!E$2:E$401,$AH203)="","",INDEX('Per Invoice'!E$2:E$401,$AH203)))</f>
        <v/>
      </c>
      <c r="F203">
        <f>IF($AH203="","",IF(INDEX('Per Invoice'!F$2:F$401,$AH203)="","",INDEX('Per Invoice'!F$2:F$401,$AH203)))</f>
        <v/>
      </c>
      <c r="G203">
        <f>IF($AH203="","",IF(INDEX('Per Invoice'!G$2:G$401,$AH203)="","",INDEX('Per Invoice'!G$2:G$401,$AH203)))</f>
        <v/>
      </c>
      <c r="H203">
        <f>IF($AH203="","",IF(INDEX('Per Invoice'!H$2:H$401,$AH203)="","",INDEX('Per Invoice'!H$2:H$401,$AH203)))</f>
        <v/>
      </c>
      <c r="I203" s="14">
        <f>IF($AH203="","",IF(INDEX('Per Invoice'!I$2:I$401,$AH203)="","",INDEX('Per Invoice'!I$2:I$401,$AH203)))</f>
        <v/>
      </c>
      <c r="J203">
        <f>IF($AH203="","",IF(INDEX('Per Invoice'!J$2:J$401,$AH203)="","",INDEX('Per Invoice'!J$2:J$401,$AH203)))</f>
        <v/>
      </c>
      <c r="K203">
        <f>IF($AH203="","",IF(INDEX('Per Invoice'!K$2:K$401,$AH203)="","",INDEX('Per Invoice'!K$2:K$401,$AH203)))</f>
        <v/>
      </c>
      <c r="L203">
        <f>IF($AH203="","",IF(INDEX('Per Invoice'!L$2:L$401,$AH203)="","",INDEX('Per Invoice'!L$2:L$401,$AH203)))</f>
        <v/>
      </c>
      <c r="M203">
        <f>IF($AH203="","",IF(INDEX('Per Invoice'!M$2:M$401,$AH203)="","",INDEX('Per Invoice'!M$2:M$401,$AH203)))</f>
        <v/>
      </c>
      <c r="N203">
        <f>IF($AH203="","",IF(INDEX('Per Invoice'!N$2:N$401,$AH203)="","",INDEX('Per Invoice'!N$2:N$401,$AH203)))</f>
        <v/>
      </c>
      <c r="O203">
        <f>IF($AH203="","",IF(INDEX('Per Invoice'!O$2:O$401,$AH203)="","",INDEX('Per Invoice'!O$2:O$401,$AH203)))</f>
        <v/>
      </c>
      <c r="P203" s="7">
        <f>IF($AH203="","",IF(INDEX('Per Invoice'!P$2:P$401,$AH203)="","",INDEX('Per Invoice'!P$2:P$401,$AH203)))</f>
        <v/>
      </c>
      <c r="Q203">
        <f>IF($AH203="","",IF(INDEX('Per Invoice'!Q$2:Q$401,$AH203)="","",INDEX('Per Invoice'!Q$2:Q$401,$AH203)))</f>
        <v/>
      </c>
      <c r="R203">
        <f>IF($AH203="","",IF(INDEX('Per Invoice'!R$2:R$401,$AH203)="","",INDEX('Per Invoice'!R$2:R$401,$AH203)))</f>
        <v/>
      </c>
      <c r="S203">
        <f>IF($AH203="","",IF(INDEX('Per Invoice'!S$2:S$401,$AH203)="","",INDEX('Per Invoice'!S$2:S$401,$AH203)))</f>
        <v/>
      </c>
      <c r="T203" s="7">
        <f>IF($AH203="","",IF(INDEX('Per Invoice'!T$2:T$401,$AH203)="","",INDEX('Per Invoice'!T$2:T$401,$AH203)))</f>
        <v/>
      </c>
      <c r="U203" s="7">
        <f>IF($AH203="","",IF(INDEX('Per Invoice'!U$2:U$401,$AH203)="","",INDEX('Per Invoice'!U$2:U$401,$AH203)))</f>
        <v/>
      </c>
      <c r="V203">
        <f>IF($AH203="","",IF(INDEX('Per Invoice'!V$2:V$401,$AH203)="","",INDEX('Per Invoice'!V$2:V$401,$AH203)))</f>
        <v/>
      </c>
      <c r="W203" s="7">
        <f>IF($AH203="","",IF(INDEX('Per Invoice'!W$2:W$401,$AH203)="","",INDEX('Per Invoice'!W$2:W$401,$AH203)))</f>
        <v/>
      </c>
      <c r="X203" s="7">
        <f>IF($AH203="","",IF(INDEX('Per Invoice'!X$2:X$401,$AH203)="","",INDEX('Per Invoice'!X$2:X$401,$AH203)))</f>
        <v/>
      </c>
      <c r="Y203">
        <f>IF($AH203="","",IF(INDEX('Per Invoice'!Y$2:Y$401,$AH203)="","",INDEX('Per Invoice'!Y$2:Y$401,$AH203)))</f>
        <v/>
      </c>
      <c r="Z203" s="7">
        <f>IF($AH203="","",IF(INDEX('Per Invoice'!Z$2:Z$401,$AH203)="","",INDEX('Per Invoice'!Z$2:Z$401,$AH203)))</f>
        <v/>
      </c>
      <c r="AA203" s="7">
        <f>IF($AH203="","",IF(INDEX('Per Invoice'!AA$2:AA$401,$AH203)="","",INDEX('Per Invoice'!AA$2:AA$401,$AH203)))</f>
        <v/>
      </c>
      <c r="AB203" s="7">
        <f>IF($AH203="","",IF(INDEX('Per Invoice'!AB$2:AB$401,$AH203)="","",INDEX('Per Invoice'!AB$2:AB$401,$AH203)))</f>
        <v/>
      </c>
      <c r="AC203" s="7">
        <f>IF($AH203="","",IF(INDEX('Per Invoice'!AC$2:AC$401,$AH203)="","",INDEX('Per Invoice'!AC$2:AC$401,$AH203)))</f>
        <v/>
      </c>
      <c r="AD203" s="7">
        <f>IF($AH203="","",IF(INDEX('Per Invoice'!AD$2:AD$401,$AH203)="","",INDEX('Per Invoice'!AD$2:AD$401,$AH203)))</f>
        <v/>
      </c>
      <c r="AE203" s="7">
        <f>IF($AH203="","",IF(INDEX('Per Invoice'!AE$2:AE$401,$AH203)="","",INDEX('Per Invoice'!AE$2:AE$401,$AH203)))</f>
        <v/>
      </c>
      <c r="AF203">
        <f>IF($AH203="","",IF(INDEX('Per Invoice'!AF$2:AF$401,$AH203)="","",INDEX('Per Invoice'!AF$2:AF$401,$AH203)))</f>
        <v/>
      </c>
      <c r="AG203" s="7">
        <f>IF($AH203="","",IF(INDEX('Per Invoice'!AG$2:AG$401,$AH203)="","",INDEX('Per Invoice'!AG$2:AG$401,$AH203)))</f>
        <v/>
      </c>
      <c r="AH203" s="16">
        <f>IFERROR(MATCH(Settings!$C$26&amp;"|"&amp;ROWS($AH$2:$AH203),'Per Invoice'!$AI$2:$AI$401,0),"")</f>
        <v/>
      </c>
    </row>
    <row r="204">
      <c r="A204">
        <f>IF($AH204="","",IF(INDEX('Per Invoice'!A$2:A$401,$AH204)="","",INDEX('Per Invoice'!A$2:A$401,$AH204)))</f>
        <v/>
      </c>
      <c r="B204">
        <f>IF($AH204="","",IF(INDEX('Per Invoice'!B$2:B$401,$AH204)="","",INDEX('Per Invoice'!B$2:B$401,$AH204)))</f>
        <v/>
      </c>
      <c r="C204">
        <f>IF($AH204="","",IF(INDEX('Per Invoice'!C$2:C$401,$AH204)="","",INDEX('Per Invoice'!C$2:C$401,$AH204)))</f>
        <v/>
      </c>
      <c r="D204">
        <f>IF($AH204="","",IF(INDEX('Per Invoice'!D$2:D$401,$AH204)="","",INDEX('Per Invoice'!D$2:D$401,$AH204)))</f>
        <v/>
      </c>
      <c r="E204">
        <f>IF($AH204="","",IF(INDEX('Per Invoice'!E$2:E$401,$AH204)="","",INDEX('Per Invoice'!E$2:E$401,$AH204)))</f>
        <v/>
      </c>
      <c r="F204">
        <f>IF($AH204="","",IF(INDEX('Per Invoice'!F$2:F$401,$AH204)="","",INDEX('Per Invoice'!F$2:F$401,$AH204)))</f>
        <v/>
      </c>
      <c r="G204">
        <f>IF($AH204="","",IF(INDEX('Per Invoice'!G$2:G$401,$AH204)="","",INDEX('Per Invoice'!G$2:G$401,$AH204)))</f>
        <v/>
      </c>
      <c r="H204">
        <f>IF($AH204="","",IF(INDEX('Per Invoice'!H$2:H$401,$AH204)="","",INDEX('Per Invoice'!H$2:H$401,$AH204)))</f>
        <v/>
      </c>
      <c r="I204" s="14">
        <f>IF($AH204="","",IF(INDEX('Per Invoice'!I$2:I$401,$AH204)="","",INDEX('Per Invoice'!I$2:I$401,$AH204)))</f>
        <v/>
      </c>
      <c r="J204">
        <f>IF($AH204="","",IF(INDEX('Per Invoice'!J$2:J$401,$AH204)="","",INDEX('Per Invoice'!J$2:J$401,$AH204)))</f>
        <v/>
      </c>
      <c r="K204">
        <f>IF($AH204="","",IF(INDEX('Per Invoice'!K$2:K$401,$AH204)="","",INDEX('Per Invoice'!K$2:K$401,$AH204)))</f>
        <v/>
      </c>
      <c r="L204">
        <f>IF($AH204="","",IF(INDEX('Per Invoice'!L$2:L$401,$AH204)="","",INDEX('Per Invoice'!L$2:L$401,$AH204)))</f>
        <v/>
      </c>
      <c r="M204">
        <f>IF($AH204="","",IF(INDEX('Per Invoice'!M$2:M$401,$AH204)="","",INDEX('Per Invoice'!M$2:M$401,$AH204)))</f>
        <v/>
      </c>
      <c r="N204">
        <f>IF($AH204="","",IF(INDEX('Per Invoice'!N$2:N$401,$AH204)="","",INDEX('Per Invoice'!N$2:N$401,$AH204)))</f>
        <v/>
      </c>
      <c r="O204">
        <f>IF($AH204="","",IF(INDEX('Per Invoice'!O$2:O$401,$AH204)="","",INDEX('Per Invoice'!O$2:O$401,$AH204)))</f>
        <v/>
      </c>
      <c r="P204" s="7">
        <f>IF($AH204="","",IF(INDEX('Per Invoice'!P$2:P$401,$AH204)="","",INDEX('Per Invoice'!P$2:P$401,$AH204)))</f>
        <v/>
      </c>
      <c r="Q204">
        <f>IF($AH204="","",IF(INDEX('Per Invoice'!Q$2:Q$401,$AH204)="","",INDEX('Per Invoice'!Q$2:Q$401,$AH204)))</f>
        <v/>
      </c>
      <c r="R204">
        <f>IF($AH204="","",IF(INDEX('Per Invoice'!R$2:R$401,$AH204)="","",INDEX('Per Invoice'!R$2:R$401,$AH204)))</f>
        <v/>
      </c>
      <c r="S204">
        <f>IF($AH204="","",IF(INDEX('Per Invoice'!S$2:S$401,$AH204)="","",INDEX('Per Invoice'!S$2:S$401,$AH204)))</f>
        <v/>
      </c>
      <c r="T204" s="7">
        <f>IF($AH204="","",IF(INDEX('Per Invoice'!T$2:T$401,$AH204)="","",INDEX('Per Invoice'!T$2:T$401,$AH204)))</f>
        <v/>
      </c>
      <c r="U204" s="7">
        <f>IF($AH204="","",IF(INDEX('Per Invoice'!U$2:U$401,$AH204)="","",INDEX('Per Invoice'!U$2:U$401,$AH204)))</f>
        <v/>
      </c>
      <c r="V204">
        <f>IF($AH204="","",IF(INDEX('Per Invoice'!V$2:V$401,$AH204)="","",INDEX('Per Invoice'!V$2:V$401,$AH204)))</f>
        <v/>
      </c>
      <c r="W204" s="7">
        <f>IF($AH204="","",IF(INDEX('Per Invoice'!W$2:W$401,$AH204)="","",INDEX('Per Invoice'!W$2:W$401,$AH204)))</f>
        <v/>
      </c>
      <c r="X204" s="7">
        <f>IF($AH204="","",IF(INDEX('Per Invoice'!X$2:X$401,$AH204)="","",INDEX('Per Invoice'!X$2:X$401,$AH204)))</f>
        <v/>
      </c>
      <c r="Y204">
        <f>IF($AH204="","",IF(INDEX('Per Invoice'!Y$2:Y$401,$AH204)="","",INDEX('Per Invoice'!Y$2:Y$401,$AH204)))</f>
        <v/>
      </c>
      <c r="Z204" s="7">
        <f>IF($AH204="","",IF(INDEX('Per Invoice'!Z$2:Z$401,$AH204)="","",INDEX('Per Invoice'!Z$2:Z$401,$AH204)))</f>
        <v/>
      </c>
      <c r="AA204" s="7">
        <f>IF($AH204="","",IF(INDEX('Per Invoice'!AA$2:AA$401,$AH204)="","",INDEX('Per Invoice'!AA$2:AA$401,$AH204)))</f>
        <v/>
      </c>
      <c r="AB204" s="7">
        <f>IF($AH204="","",IF(INDEX('Per Invoice'!AB$2:AB$401,$AH204)="","",INDEX('Per Invoice'!AB$2:AB$401,$AH204)))</f>
        <v/>
      </c>
      <c r="AC204" s="7">
        <f>IF($AH204="","",IF(INDEX('Per Invoice'!AC$2:AC$401,$AH204)="","",INDEX('Per Invoice'!AC$2:AC$401,$AH204)))</f>
        <v/>
      </c>
      <c r="AD204" s="7">
        <f>IF($AH204="","",IF(INDEX('Per Invoice'!AD$2:AD$401,$AH204)="","",INDEX('Per Invoice'!AD$2:AD$401,$AH204)))</f>
        <v/>
      </c>
      <c r="AE204" s="7">
        <f>IF($AH204="","",IF(INDEX('Per Invoice'!AE$2:AE$401,$AH204)="","",INDEX('Per Invoice'!AE$2:AE$401,$AH204)))</f>
        <v/>
      </c>
      <c r="AF204">
        <f>IF($AH204="","",IF(INDEX('Per Invoice'!AF$2:AF$401,$AH204)="","",INDEX('Per Invoice'!AF$2:AF$401,$AH204)))</f>
        <v/>
      </c>
      <c r="AG204" s="7">
        <f>IF($AH204="","",IF(INDEX('Per Invoice'!AG$2:AG$401,$AH204)="","",INDEX('Per Invoice'!AG$2:AG$401,$AH204)))</f>
        <v/>
      </c>
      <c r="AH204" s="16">
        <f>IFERROR(MATCH(Settings!$C$26&amp;"|"&amp;ROWS($AH$2:$AH204),'Per Invoice'!$AI$2:$AI$401,0),"")</f>
        <v/>
      </c>
    </row>
    <row r="205">
      <c r="A205">
        <f>IF($AH205="","",IF(INDEX('Per Invoice'!A$2:A$401,$AH205)="","",INDEX('Per Invoice'!A$2:A$401,$AH205)))</f>
        <v/>
      </c>
      <c r="B205">
        <f>IF($AH205="","",IF(INDEX('Per Invoice'!B$2:B$401,$AH205)="","",INDEX('Per Invoice'!B$2:B$401,$AH205)))</f>
        <v/>
      </c>
      <c r="C205">
        <f>IF($AH205="","",IF(INDEX('Per Invoice'!C$2:C$401,$AH205)="","",INDEX('Per Invoice'!C$2:C$401,$AH205)))</f>
        <v/>
      </c>
      <c r="D205">
        <f>IF($AH205="","",IF(INDEX('Per Invoice'!D$2:D$401,$AH205)="","",INDEX('Per Invoice'!D$2:D$401,$AH205)))</f>
        <v/>
      </c>
      <c r="E205">
        <f>IF($AH205="","",IF(INDEX('Per Invoice'!E$2:E$401,$AH205)="","",INDEX('Per Invoice'!E$2:E$401,$AH205)))</f>
        <v/>
      </c>
      <c r="F205">
        <f>IF($AH205="","",IF(INDEX('Per Invoice'!F$2:F$401,$AH205)="","",INDEX('Per Invoice'!F$2:F$401,$AH205)))</f>
        <v/>
      </c>
      <c r="G205">
        <f>IF($AH205="","",IF(INDEX('Per Invoice'!G$2:G$401,$AH205)="","",INDEX('Per Invoice'!G$2:G$401,$AH205)))</f>
        <v/>
      </c>
      <c r="H205">
        <f>IF($AH205="","",IF(INDEX('Per Invoice'!H$2:H$401,$AH205)="","",INDEX('Per Invoice'!H$2:H$401,$AH205)))</f>
        <v/>
      </c>
      <c r="I205" s="14">
        <f>IF($AH205="","",IF(INDEX('Per Invoice'!I$2:I$401,$AH205)="","",INDEX('Per Invoice'!I$2:I$401,$AH205)))</f>
        <v/>
      </c>
      <c r="J205">
        <f>IF($AH205="","",IF(INDEX('Per Invoice'!J$2:J$401,$AH205)="","",INDEX('Per Invoice'!J$2:J$401,$AH205)))</f>
        <v/>
      </c>
      <c r="K205">
        <f>IF($AH205="","",IF(INDEX('Per Invoice'!K$2:K$401,$AH205)="","",INDEX('Per Invoice'!K$2:K$401,$AH205)))</f>
        <v/>
      </c>
      <c r="L205">
        <f>IF($AH205="","",IF(INDEX('Per Invoice'!L$2:L$401,$AH205)="","",INDEX('Per Invoice'!L$2:L$401,$AH205)))</f>
        <v/>
      </c>
      <c r="M205">
        <f>IF($AH205="","",IF(INDEX('Per Invoice'!M$2:M$401,$AH205)="","",INDEX('Per Invoice'!M$2:M$401,$AH205)))</f>
        <v/>
      </c>
      <c r="N205">
        <f>IF($AH205="","",IF(INDEX('Per Invoice'!N$2:N$401,$AH205)="","",INDEX('Per Invoice'!N$2:N$401,$AH205)))</f>
        <v/>
      </c>
      <c r="O205">
        <f>IF($AH205="","",IF(INDEX('Per Invoice'!O$2:O$401,$AH205)="","",INDEX('Per Invoice'!O$2:O$401,$AH205)))</f>
        <v/>
      </c>
      <c r="P205" s="7">
        <f>IF($AH205="","",IF(INDEX('Per Invoice'!P$2:P$401,$AH205)="","",INDEX('Per Invoice'!P$2:P$401,$AH205)))</f>
        <v/>
      </c>
      <c r="Q205">
        <f>IF($AH205="","",IF(INDEX('Per Invoice'!Q$2:Q$401,$AH205)="","",INDEX('Per Invoice'!Q$2:Q$401,$AH205)))</f>
        <v/>
      </c>
      <c r="R205">
        <f>IF($AH205="","",IF(INDEX('Per Invoice'!R$2:R$401,$AH205)="","",INDEX('Per Invoice'!R$2:R$401,$AH205)))</f>
        <v/>
      </c>
      <c r="S205">
        <f>IF($AH205="","",IF(INDEX('Per Invoice'!S$2:S$401,$AH205)="","",INDEX('Per Invoice'!S$2:S$401,$AH205)))</f>
        <v/>
      </c>
      <c r="T205" s="7">
        <f>IF($AH205="","",IF(INDEX('Per Invoice'!T$2:T$401,$AH205)="","",INDEX('Per Invoice'!T$2:T$401,$AH205)))</f>
        <v/>
      </c>
      <c r="U205" s="7">
        <f>IF($AH205="","",IF(INDEX('Per Invoice'!U$2:U$401,$AH205)="","",INDEX('Per Invoice'!U$2:U$401,$AH205)))</f>
        <v/>
      </c>
      <c r="V205">
        <f>IF($AH205="","",IF(INDEX('Per Invoice'!V$2:V$401,$AH205)="","",INDEX('Per Invoice'!V$2:V$401,$AH205)))</f>
        <v/>
      </c>
      <c r="W205" s="7">
        <f>IF($AH205="","",IF(INDEX('Per Invoice'!W$2:W$401,$AH205)="","",INDEX('Per Invoice'!W$2:W$401,$AH205)))</f>
        <v/>
      </c>
      <c r="X205" s="7">
        <f>IF($AH205="","",IF(INDEX('Per Invoice'!X$2:X$401,$AH205)="","",INDEX('Per Invoice'!X$2:X$401,$AH205)))</f>
        <v/>
      </c>
      <c r="Y205">
        <f>IF($AH205="","",IF(INDEX('Per Invoice'!Y$2:Y$401,$AH205)="","",INDEX('Per Invoice'!Y$2:Y$401,$AH205)))</f>
        <v/>
      </c>
      <c r="Z205" s="7">
        <f>IF($AH205="","",IF(INDEX('Per Invoice'!Z$2:Z$401,$AH205)="","",INDEX('Per Invoice'!Z$2:Z$401,$AH205)))</f>
        <v/>
      </c>
      <c r="AA205" s="7">
        <f>IF($AH205="","",IF(INDEX('Per Invoice'!AA$2:AA$401,$AH205)="","",INDEX('Per Invoice'!AA$2:AA$401,$AH205)))</f>
        <v/>
      </c>
      <c r="AB205" s="7">
        <f>IF($AH205="","",IF(INDEX('Per Invoice'!AB$2:AB$401,$AH205)="","",INDEX('Per Invoice'!AB$2:AB$401,$AH205)))</f>
        <v/>
      </c>
      <c r="AC205" s="7">
        <f>IF($AH205="","",IF(INDEX('Per Invoice'!AC$2:AC$401,$AH205)="","",INDEX('Per Invoice'!AC$2:AC$401,$AH205)))</f>
        <v/>
      </c>
      <c r="AD205" s="7">
        <f>IF($AH205="","",IF(INDEX('Per Invoice'!AD$2:AD$401,$AH205)="","",INDEX('Per Invoice'!AD$2:AD$401,$AH205)))</f>
        <v/>
      </c>
      <c r="AE205" s="7">
        <f>IF($AH205="","",IF(INDEX('Per Invoice'!AE$2:AE$401,$AH205)="","",INDEX('Per Invoice'!AE$2:AE$401,$AH205)))</f>
        <v/>
      </c>
      <c r="AF205">
        <f>IF($AH205="","",IF(INDEX('Per Invoice'!AF$2:AF$401,$AH205)="","",INDEX('Per Invoice'!AF$2:AF$401,$AH205)))</f>
        <v/>
      </c>
      <c r="AG205" s="7">
        <f>IF($AH205="","",IF(INDEX('Per Invoice'!AG$2:AG$401,$AH205)="","",INDEX('Per Invoice'!AG$2:AG$401,$AH205)))</f>
        <v/>
      </c>
      <c r="AH205" s="16">
        <f>IFERROR(MATCH(Settings!$C$26&amp;"|"&amp;ROWS($AH$2:$AH205),'Per Invoice'!$AI$2:$AI$401,0),"")</f>
        <v/>
      </c>
    </row>
    <row r="206">
      <c r="A206">
        <f>IF($AH206="","",IF(INDEX('Per Invoice'!A$2:A$401,$AH206)="","",INDEX('Per Invoice'!A$2:A$401,$AH206)))</f>
        <v/>
      </c>
      <c r="B206">
        <f>IF($AH206="","",IF(INDEX('Per Invoice'!B$2:B$401,$AH206)="","",INDEX('Per Invoice'!B$2:B$401,$AH206)))</f>
        <v/>
      </c>
      <c r="C206">
        <f>IF($AH206="","",IF(INDEX('Per Invoice'!C$2:C$401,$AH206)="","",INDEX('Per Invoice'!C$2:C$401,$AH206)))</f>
        <v/>
      </c>
      <c r="D206">
        <f>IF($AH206="","",IF(INDEX('Per Invoice'!D$2:D$401,$AH206)="","",INDEX('Per Invoice'!D$2:D$401,$AH206)))</f>
        <v/>
      </c>
      <c r="E206">
        <f>IF($AH206="","",IF(INDEX('Per Invoice'!E$2:E$401,$AH206)="","",INDEX('Per Invoice'!E$2:E$401,$AH206)))</f>
        <v/>
      </c>
      <c r="F206">
        <f>IF($AH206="","",IF(INDEX('Per Invoice'!F$2:F$401,$AH206)="","",INDEX('Per Invoice'!F$2:F$401,$AH206)))</f>
        <v/>
      </c>
      <c r="G206">
        <f>IF($AH206="","",IF(INDEX('Per Invoice'!G$2:G$401,$AH206)="","",INDEX('Per Invoice'!G$2:G$401,$AH206)))</f>
        <v/>
      </c>
      <c r="H206">
        <f>IF($AH206="","",IF(INDEX('Per Invoice'!H$2:H$401,$AH206)="","",INDEX('Per Invoice'!H$2:H$401,$AH206)))</f>
        <v/>
      </c>
      <c r="I206" s="14">
        <f>IF($AH206="","",IF(INDEX('Per Invoice'!I$2:I$401,$AH206)="","",INDEX('Per Invoice'!I$2:I$401,$AH206)))</f>
        <v/>
      </c>
      <c r="J206">
        <f>IF($AH206="","",IF(INDEX('Per Invoice'!J$2:J$401,$AH206)="","",INDEX('Per Invoice'!J$2:J$401,$AH206)))</f>
        <v/>
      </c>
      <c r="K206">
        <f>IF($AH206="","",IF(INDEX('Per Invoice'!K$2:K$401,$AH206)="","",INDEX('Per Invoice'!K$2:K$401,$AH206)))</f>
        <v/>
      </c>
      <c r="L206">
        <f>IF($AH206="","",IF(INDEX('Per Invoice'!L$2:L$401,$AH206)="","",INDEX('Per Invoice'!L$2:L$401,$AH206)))</f>
        <v/>
      </c>
      <c r="M206">
        <f>IF($AH206="","",IF(INDEX('Per Invoice'!M$2:M$401,$AH206)="","",INDEX('Per Invoice'!M$2:M$401,$AH206)))</f>
        <v/>
      </c>
      <c r="N206">
        <f>IF($AH206="","",IF(INDEX('Per Invoice'!N$2:N$401,$AH206)="","",INDEX('Per Invoice'!N$2:N$401,$AH206)))</f>
        <v/>
      </c>
      <c r="O206">
        <f>IF($AH206="","",IF(INDEX('Per Invoice'!O$2:O$401,$AH206)="","",INDEX('Per Invoice'!O$2:O$401,$AH206)))</f>
        <v/>
      </c>
      <c r="P206" s="7">
        <f>IF($AH206="","",IF(INDEX('Per Invoice'!P$2:P$401,$AH206)="","",INDEX('Per Invoice'!P$2:P$401,$AH206)))</f>
        <v/>
      </c>
      <c r="Q206">
        <f>IF($AH206="","",IF(INDEX('Per Invoice'!Q$2:Q$401,$AH206)="","",INDEX('Per Invoice'!Q$2:Q$401,$AH206)))</f>
        <v/>
      </c>
      <c r="R206">
        <f>IF($AH206="","",IF(INDEX('Per Invoice'!R$2:R$401,$AH206)="","",INDEX('Per Invoice'!R$2:R$401,$AH206)))</f>
        <v/>
      </c>
      <c r="S206">
        <f>IF($AH206="","",IF(INDEX('Per Invoice'!S$2:S$401,$AH206)="","",INDEX('Per Invoice'!S$2:S$401,$AH206)))</f>
        <v/>
      </c>
      <c r="T206" s="7">
        <f>IF($AH206="","",IF(INDEX('Per Invoice'!T$2:T$401,$AH206)="","",INDEX('Per Invoice'!T$2:T$401,$AH206)))</f>
        <v/>
      </c>
      <c r="U206" s="7">
        <f>IF($AH206="","",IF(INDEX('Per Invoice'!U$2:U$401,$AH206)="","",INDEX('Per Invoice'!U$2:U$401,$AH206)))</f>
        <v/>
      </c>
      <c r="V206">
        <f>IF($AH206="","",IF(INDEX('Per Invoice'!V$2:V$401,$AH206)="","",INDEX('Per Invoice'!V$2:V$401,$AH206)))</f>
        <v/>
      </c>
      <c r="W206" s="7">
        <f>IF($AH206="","",IF(INDEX('Per Invoice'!W$2:W$401,$AH206)="","",INDEX('Per Invoice'!W$2:W$401,$AH206)))</f>
        <v/>
      </c>
      <c r="X206" s="7">
        <f>IF($AH206="","",IF(INDEX('Per Invoice'!X$2:X$401,$AH206)="","",INDEX('Per Invoice'!X$2:X$401,$AH206)))</f>
        <v/>
      </c>
      <c r="Y206">
        <f>IF($AH206="","",IF(INDEX('Per Invoice'!Y$2:Y$401,$AH206)="","",INDEX('Per Invoice'!Y$2:Y$401,$AH206)))</f>
        <v/>
      </c>
      <c r="Z206" s="7">
        <f>IF($AH206="","",IF(INDEX('Per Invoice'!Z$2:Z$401,$AH206)="","",INDEX('Per Invoice'!Z$2:Z$401,$AH206)))</f>
        <v/>
      </c>
      <c r="AA206" s="7">
        <f>IF($AH206="","",IF(INDEX('Per Invoice'!AA$2:AA$401,$AH206)="","",INDEX('Per Invoice'!AA$2:AA$401,$AH206)))</f>
        <v/>
      </c>
      <c r="AB206" s="7">
        <f>IF($AH206="","",IF(INDEX('Per Invoice'!AB$2:AB$401,$AH206)="","",INDEX('Per Invoice'!AB$2:AB$401,$AH206)))</f>
        <v/>
      </c>
      <c r="AC206" s="7">
        <f>IF($AH206="","",IF(INDEX('Per Invoice'!AC$2:AC$401,$AH206)="","",INDEX('Per Invoice'!AC$2:AC$401,$AH206)))</f>
        <v/>
      </c>
      <c r="AD206" s="7">
        <f>IF($AH206="","",IF(INDEX('Per Invoice'!AD$2:AD$401,$AH206)="","",INDEX('Per Invoice'!AD$2:AD$401,$AH206)))</f>
        <v/>
      </c>
      <c r="AE206" s="7">
        <f>IF($AH206="","",IF(INDEX('Per Invoice'!AE$2:AE$401,$AH206)="","",INDEX('Per Invoice'!AE$2:AE$401,$AH206)))</f>
        <v/>
      </c>
      <c r="AF206">
        <f>IF($AH206="","",IF(INDEX('Per Invoice'!AF$2:AF$401,$AH206)="","",INDEX('Per Invoice'!AF$2:AF$401,$AH206)))</f>
        <v/>
      </c>
      <c r="AG206" s="7">
        <f>IF($AH206="","",IF(INDEX('Per Invoice'!AG$2:AG$401,$AH206)="","",INDEX('Per Invoice'!AG$2:AG$401,$AH206)))</f>
        <v/>
      </c>
      <c r="AH206" s="16">
        <f>IFERROR(MATCH(Settings!$C$26&amp;"|"&amp;ROWS($AH$2:$AH206),'Per Invoice'!$AI$2:$AI$401,0),"")</f>
        <v/>
      </c>
    </row>
    <row r="207">
      <c r="A207">
        <f>IF($AH207="","",IF(INDEX('Per Invoice'!A$2:A$401,$AH207)="","",INDEX('Per Invoice'!A$2:A$401,$AH207)))</f>
        <v/>
      </c>
      <c r="B207">
        <f>IF($AH207="","",IF(INDEX('Per Invoice'!B$2:B$401,$AH207)="","",INDEX('Per Invoice'!B$2:B$401,$AH207)))</f>
        <v/>
      </c>
      <c r="C207">
        <f>IF($AH207="","",IF(INDEX('Per Invoice'!C$2:C$401,$AH207)="","",INDEX('Per Invoice'!C$2:C$401,$AH207)))</f>
        <v/>
      </c>
      <c r="D207">
        <f>IF($AH207="","",IF(INDEX('Per Invoice'!D$2:D$401,$AH207)="","",INDEX('Per Invoice'!D$2:D$401,$AH207)))</f>
        <v/>
      </c>
      <c r="E207">
        <f>IF($AH207="","",IF(INDEX('Per Invoice'!E$2:E$401,$AH207)="","",INDEX('Per Invoice'!E$2:E$401,$AH207)))</f>
        <v/>
      </c>
      <c r="F207">
        <f>IF($AH207="","",IF(INDEX('Per Invoice'!F$2:F$401,$AH207)="","",INDEX('Per Invoice'!F$2:F$401,$AH207)))</f>
        <v/>
      </c>
      <c r="G207">
        <f>IF($AH207="","",IF(INDEX('Per Invoice'!G$2:G$401,$AH207)="","",INDEX('Per Invoice'!G$2:G$401,$AH207)))</f>
        <v/>
      </c>
      <c r="H207">
        <f>IF($AH207="","",IF(INDEX('Per Invoice'!H$2:H$401,$AH207)="","",INDEX('Per Invoice'!H$2:H$401,$AH207)))</f>
        <v/>
      </c>
      <c r="I207" s="14">
        <f>IF($AH207="","",IF(INDEX('Per Invoice'!I$2:I$401,$AH207)="","",INDEX('Per Invoice'!I$2:I$401,$AH207)))</f>
        <v/>
      </c>
      <c r="J207">
        <f>IF($AH207="","",IF(INDEX('Per Invoice'!J$2:J$401,$AH207)="","",INDEX('Per Invoice'!J$2:J$401,$AH207)))</f>
        <v/>
      </c>
      <c r="K207">
        <f>IF($AH207="","",IF(INDEX('Per Invoice'!K$2:K$401,$AH207)="","",INDEX('Per Invoice'!K$2:K$401,$AH207)))</f>
        <v/>
      </c>
      <c r="L207">
        <f>IF($AH207="","",IF(INDEX('Per Invoice'!L$2:L$401,$AH207)="","",INDEX('Per Invoice'!L$2:L$401,$AH207)))</f>
        <v/>
      </c>
      <c r="M207">
        <f>IF($AH207="","",IF(INDEX('Per Invoice'!M$2:M$401,$AH207)="","",INDEX('Per Invoice'!M$2:M$401,$AH207)))</f>
        <v/>
      </c>
      <c r="N207">
        <f>IF($AH207="","",IF(INDEX('Per Invoice'!N$2:N$401,$AH207)="","",INDEX('Per Invoice'!N$2:N$401,$AH207)))</f>
        <v/>
      </c>
      <c r="O207">
        <f>IF($AH207="","",IF(INDEX('Per Invoice'!O$2:O$401,$AH207)="","",INDEX('Per Invoice'!O$2:O$401,$AH207)))</f>
        <v/>
      </c>
      <c r="P207" s="7">
        <f>IF($AH207="","",IF(INDEX('Per Invoice'!P$2:P$401,$AH207)="","",INDEX('Per Invoice'!P$2:P$401,$AH207)))</f>
        <v/>
      </c>
      <c r="Q207">
        <f>IF($AH207="","",IF(INDEX('Per Invoice'!Q$2:Q$401,$AH207)="","",INDEX('Per Invoice'!Q$2:Q$401,$AH207)))</f>
        <v/>
      </c>
      <c r="R207">
        <f>IF($AH207="","",IF(INDEX('Per Invoice'!R$2:R$401,$AH207)="","",INDEX('Per Invoice'!R$2:R$401,$AH207)))</f>
        <v/>
      </c>
      <c r="S207">
        <f>IF($AH207="","",IF(INDEX('Per Invoice'!S$2:S$401,$AH207)="","",INDEX('Per Invoice'!S$2:S$401,$AH207)))</f>
        <v/>
      </c>
      <c r="T207" s="7">
        <f>IF($AH207="","",IF(INDEX('Per Invoice'!T$2:T$401,$AH207)="","",INDEX('Per Invoice'!T$2:T$401,$AH207)))</f>
        <v/>
      </c>
      <c r="U207" s="7">
        <f>IF($AH207="","",IF(INDEX('Per Invoice'!U$2:U$401,$AH207)="","",INDEX('Per Invoice'!U$2:U$401,$AH207)))</f>
        <v/>
      </c>
      <c r="V207">
        <f>IF($AH207="","",IF(INDEX('Per Invoice'!V$2:V$401,$AH207)="","",INDEX('Per Invoice'!V$2:V$401,$AH207)))</f>
        <v/>
      </c>
      <c r="W207" s="7">
        <f>IF($AH207="","",IF(INDEX('Per Invoice'!W$2:W$401,$AH207)="","",INDEX('Per Invoice'!W$2:W$401,$AH207)))</f>
        <v/>
      </c>
      <c r="X207" s="7">
        <f>IF($AH207="","",IF(INDEX('Per Invoice'!X$2:X$401,$AH207)="","",INDEX('Per Invoice'!X$2:X$401,$AH207)))</f>
        <v/>
      </c>
      <c r="Y207">
        <f>IF($AH207="","",IF(INDEX('Per Invoice'!Y$2:Y$401,$AH207)="","",INDEX('Per Invoice'!Y$2:Y$401,$AH207)))</f>
        <v/>
      </c>
      <c r="Z207" s="7">
        <f>IF($AH207="","",IF(INDEX('Per Invoice'!Z$2:Z$401,$AH207)="","",INDEX('Per Invoice'!Z$2:Z$401,$AH207)))</f>
        <v/>
      </c>
      <c r="AA207" s="7">
        <f>IF($AH207="","",IF(INDEX('Per Invoice'!AA$2:AA$401,$AH207)="","",INDEX('Per Invoice'!AA$2:AA$401,$AH207)))</f>
        <v/>
      </c>
      <c r="AB207" s="7">
        <f>IF($AH207="","",IF(INDEX('Per Invoice'!AB$2:AB$401,$AH207)="","",INDEX('Per Invoice'!AB$2:AB$401,$AH207)))</f>
        <v/>
      </c>
      <c r="AC207" s="7">
        <f>IF($AH207="","",IF(INDEX('Per Invoice'!AC$2:AC$401,$AH207)="","",INDEX('Per Invoice'!AC$2:AC$401,$AH207)))</f>
        <v/>
      </c>
      <c r="AD207" s="7">
        <f>IF($AH207="","",IF(INDEX('Per Invoice'!AD$2:AD$401,$AH207)="","",INDEX('Per Invoice'!AD$2:AD$401,$AH207)))</f>
        <v/>
      </c>
      <c r="AE207" s="7">
        <f>IF($AH207="","",IF(INDEX('Per Invoice'!AE$2:AE$401,$AH207)="","",INDEX('Per Invoice'!AE$2:AE$401,$AH207)))</f>
        <v/>
      </c>
      <c r="AF207">
        <f>IF($AH207="","",IF(INDEX('Per Invoice'!AF$2:AF$401,$AH207)="","",INDEX('Per Invoice'!AF$2:AF$401,$AH207)))</f>
        <v/>
      </c>
      <c r="AG207" s="7">
        <f>IF($AH207="","",IF(INDEX('Per Invoice'!AG$2:AG$401,$AH207)="","",INDEX('Per Invoice'!AG$2:AG$401,$AH207)))</f>
        <v/>
      </c>
      <c r="AH207" s="16">
        <f>IFERROR(MATCH(Settings!$C$26&amp;"|"&amp;ROWS($AH$2:$AH207),'Per Invoice'!$AI$2:$AI$401,0),"")</f>
        <v/>
      </c>
    </row>
    <row r="208">
      <c r="A208">
        <f>IF($AH208="","",IF(INDEX('Per Invoice'!A$2:A$401,$AH208)="","",INDEX('Per Invoice'!A$2:A$401,$AH208)))</f>
        <v/>
      </c>
      <c r="B208">
        <f>IF($AH208="","",IF(INDEX('Per Invoice'!B$2:B$401,$AH208)="","",INDEX('Per Invoice'!B$2:B$401,$AH208)))</f>
        <v/>
      </c>
      <c r="C208">
        <f>IF($AH208="","",IF(INDEX('Per Invoice'!C$2:C$401,$AH208)="","",INDEX('Per Invoice'!C$2:C$401,$AH208)))</f>
        <v/>
      </c>
      <c r="D208">
        <f>IF($AH208="","",IF(INDEX('Per Invoice'!D$2:D$401,$AH208)="","",INDEX('Per Invoice'!D$2:D$401,$AH208)))</f>
        <v/>
      </c>
      <c r="E208">
        <f>IF($AH208="","",IF(INDEX('Per Invoice'!E$2:E$401,$AH208)="","",INDEX('Per Invoice'!E$2:E$401,$AH208)))</f>
        <v/>
      </c>
      <c r="F208">
        <f>IF($AH208="","",IF(INDEX('Per Invoice'!F$2:F$401,$AH208)="","",INDEX('Per Invoice'!F$2:F$401,$AH208)))</f>
        <v/>
      </c>
      <c r="G208">
        <f>IF($AH208="","",IF(INDEX('Per Invoice'!G$2:G$401,$AH208)="","",INDEX('Per Invoice'!G$2:G$401,$AH208)))</f>
        <v/>
      </c>
      <c r="H208">
        <f>IF($AH208="","",IF(INDEX('Per Invoice'!H$2:H$401,$AH208)="","",INDEX('Per Invoice'!H$2:H$401,$AH208)))</f>
        <v/>
      </c>
      <c r="I208" s="14">
        <f>IF($AH208="","",IF(INDEX('Per Invoice'!I$2:I$401,$AH208)="","",INDEX('Per Invoice'!I$2:I$401,$AH208)))</f>
        <v/>
      </c>
      <c r="J208">
        <f>IF($AH208="","",IF(INDEX('Per Invoice'!J$2:J$401,$AH208)="","",INDEX('Per Invoice'!J$2:J$401,$AH208)))</f>
        <v/>
      </c>
      <c r="K208">
        <f>IF($AH208="","",IF(INDEX('Per Invoice'!K$2:K$401,$AH208)="","",INDEX('Per Invoice'!K$2:K$401,$AH208)))</f>
        <v/>
      </c>
      <c r="L208">
        <f>IF($AH208="","",IF(INDEX('Per Invoice'!L$2:L$401,$AH208)="","",INDEX('Per Invoice'!L$2:L$401,$AH208)))</f>
        <v/>
      </c>
      <c r="M208">
        <f>IF($AH208="","",IF(INDEX('Per Invoice'!M$2:M$401,$AH208)="","",INDEX('Per Invoice'!M$2:M$401,$AH208)))</f>
        <v/>
      </c>
      <c r="N208">
        <f>IF($AH208="","",IF(INDEX('Per Invoice'!N$2:N$401,$AH208)="","",INDEX('Per Invoice'!N$2:N$401,$AH208)))</f>
        <v/>
      </c>
      <c r="O208">
        <f>IF($AH208="","",IF(INDEX('Per Invoice'!O$2:O$401,$AH208)="","",INDEX('Per Invoice'!O$2:O$401,$AH208)))</f>
        <v/>
      </c>
      <c r="P208" s="7">
        <f>IF($AH208="","",IF(INDEX('Per Invoice'!P$2:P$401,$AH208)="","",INDEX('Per Invoice'!P$2:P$401,$AH208)))</f>
        <v/>
      </c>
      <c r="Q208">
        <f>IF($AH208="","",IF(INDEX('Per Invoice'!Q$2:Q$401,$AH208)="","",INDEX('Per Invoice'!Q$2:Q$401,$AH208)))</f>
        <v/>
      </c>
      <c r="R208">
        <f>IF($AH208="","",IF(INDEX('Per Invoice'!R$2:R$401,$AH208)="","",INDEX('Per Invoice'!R$2:R$401,$AH208)))</f>
        <v/>
      </c>
      <c r="S208">
        <f>IF($AH208="","",IF(INDEX('Per Invoice'!S$2:S$401,$AH208)="","",INDEX('Per Invoice'!S$2:S$401,$AH208)))</f>
        <v/>
      </c>
      <c r="T208" s="7">
        <f>IF($AH208="","",IF(INDEX('Per Invoice'!T$2:T$401,$AH208)="","",INDEX('Per Invoice'!T$2:T$401,$AH208)))</f>
        <v/>
      </c>
      <c r="U208" s="7">
        <f>IF($AH208="","",IF(INDEX('Per Invoice'!U$2:U$401,$AH208)="","",INDEX('Per Invoice'!U$2:U$401,$AH208)))</f>
        <v/>
      </c>
      <c r="V208">
        <f>IF($AH208="","",IF(INDEX('Per Invoice'!V$2:V$401,$AH208)="","",INDEX('Per Invoice'!V$2:V$401,$AH208)))</f>
        <v/>
      </c>
      <c r="W208" s="7">
        <f>IF($AH208="","",IF(INDEX('Per Invoice'!W$2:W$401,$AH208)="","",INDEX('Per Invoice'!W$2:W$401,$AH208)))</f>
        <v/>
      </c>
      <c r="X208" s="7">
        <f>IF($AH208="","",IF(INDEX('Per Invoice'!X$2:X$401,$AH208)="","",INDEX('Per Invoice'!X$2:X$401,$AH208)))</f>
        <v/>
      </c>
      <c r="Y208">
        <f>IF($AH208="","",IF(INDEX('Per Invoice'!Y$2:Y$401,$AH208)="","",INDEX('Per Invoice'!Y$2:Y$401,$AH208)))</f>
        <v/>
      </c>
      <c r="Z208" s="7">
        <f>IF($AH208="","",IF(INDEX('Per Invoice'!Z$2:Z$401,$AH208)="","",INDEX('Per Invoice'!Z$2:Z$401,$AH208)))</f>
        <v/>
      </c>
      <c r="AA208" s="7">
        <f>IF($AH208="","",IF(INDEX('Per Invoice'!AA$2:AA$401,$AH208)="","",INDEX('Per Invoice'!AA$2:AA$401,$AH208)))</f>
        <v/>
      </c>
      <c r="AB208" s="7">
        <f>IF($AH208="","",IF(INDEX('Per Invoice'!AB$2:AB$401,$AH208)="","",INDEX('Per Invoice'!AB$2:AB$401,$AH208)))</f>
        <v/>
      </c>
      <c r="AC208" s="7">
        <f>IF($AH208="","",IF(INDEX('Per Invoice'!AC$2:AC$401,$AH208)="","",INDEX('Per Invoice'!AC$2:AC$401,$AH208)))</f>
        <v/>
      </c>
      <c r="AD208" s="7">
        <f>IF($AH208="","",IF(INDEX('Per Invoice'!AD$2:AD$401,$AH208)="","",INDEX('Per Invoice'!AD$2:AD$401,$AH208)))</f>
        <v/>
      </c>
      <c r="AE208" s="7">
        <f>IF($AH208="","",IF(INDEX('Per Invoice'!AE$2:AE$401,$AH208)="","",INDEX('Per Invoice'!AE$2:AE$401,$AH208)))</f>
        <v/>
      </c>
      <c r="AF208">
        <f>IF($AH208="","",IF(INDEX('Per Invoice'!AF$2:AF$401,$AH208)="","",INDEX('Per Invoice'!AF$2:AF$401,$AH208)))</f>
        <v/>
      </c>
      <c r="AG208" s="7">
        <f>IF($AH208="","",IF(INDEX('Per Invoice'!AG$2:AG$401,$AH208)="","",INDEX('Per Invoice'!AG$2:AG$401,$AH208)))</f>
        <v/>
      </c>
      <c r="AH208" s="16">
        <f>IFERROR(MATCH(Settings!$C$26&amp;"|"&amp;ROWS($AH$2:$AH208),'Per Invoice'!$AI$2:$AI$401,0),"")</f>
        <v/>
      </c>
    </row>
    <row r="209">
      <c r="A209">
        <f>IF($AH209="","",IF(INDEX('Per Invoice'!A$2:A$401,$AH209)="","",INDEX('Per Invoice'!A$2:A$401,$AH209)))</f>
        <v/>
      </c>
      <c r="B209">
        <f>IF($AH209="","",IF(INDEX('Per Invoice'!B$2:B$401,$AH209)="","",INDEX('Per Invoice'!B$2:B$401,$AH209)))</f>
        <v/>
      </c>
      <c r="C209">
        <f>IF($AH209="","",IF(INDEX('Per Invoice'!C$2:C$401,$AH209)="","",INDEX('Per Invoice'!C$2:C$401,$AH209)))</f>
        <v/>
      </c>
      <c r="D209">
        <f>IF($AH209="","",IF(INDEX('Per Invoice'!D$2:D$401,$AH209)="","",INDEX('Per Invoice'!D$2:D$401,$AH209)))</f>
        <v/>
      </c>
      <c r="E209">
        <f>IF($AH209="","",IF(INDEX('Per Invoice'!E$2:E$401,$AH209)="","",INDEX('Per Invoice'!E$2:E$401,$AH209)))</f>
        <v/>
      </c>
      <c r="F209">
        <f>IF($AH209="","",IF(INDEX('Per Invoice'!F$2:F$401,$AH209)="","",INDEX('Per Invoice'!F$2:F$401,$AH209)))</f>
        <v/>
      </c>
      <c r="G209">
        <f>IF($AH209="","",IF(INDEX('Per Invoice'!G$2:G$401,$AH209)="","",INDEX('Per Invoice'!G$2:G$401,$AH209)))</f>
        <v/>
      </c>
      <c r="H209">
        <f>IF($AH209="","",IF(INDEX('Per Invoice'!H$2:H$401,$AH209)="","",INDEX('Per Invoice'!H$2:H$401,$AH209)))</f>
        <v/>
      </c>
      <c r="I209" s="14">
        <f>IF($AH209="","",IF(INDEX('Per Invoice'!I$2:I$401,$AH209)="","",INDEX('Per Invoice'!I$2:I$401,$AH209)))</f>
        <v/>
      </c>
      <c r="J209">
        <f>IF($AH209="","",IF(INDEX('Per Invoice'!J$2:J$401,$AH209)="","",INDEX('Per Invoice'!J$2:J$401,$AH209)))</f>
        <v/>
      </c>
      <c r="K209">
        <f>IF($AH209="","",IF(INDEX('Per Invoice'!K$2:K$401,$AH209)="","",INDEX('Per Invoice'!K$2:K$401,$AH209)))</f>
        <v/>
      </c>
      <c r="L209">
        <f>IF($AH209="","",IF(INDEX('Per Invoice'!L$2:L$401,$AH209)="","",INDEX('Per Invoice'!L$2:L$401,$AH209)))</f>
        <v/>
      </c>
      <c r="M209">
        <f>IF($AH209="","",IF(INDEX('Per Invoice'!M$2:M$401,$AH209)="","",INDEX('Per Invoice'!M$2:M$401,$AH209)))</f>
        <v/>
      </c>
      <c r="N209">
        <f>IF($AH209="","",IF(INDEX('Per Invoice'!N$2:N$401,$AH209)="","",INDEX('Per Invoice'!N$2:N$401,$AH209)))</f>
        <v/>
      </c>
      <c r="O209">
        <f>IF($AH209="","",IF(INDEX('Per Invoice'!O$2:O$401,$AH209)="","",INDEX('Per Invoice'!O$2:O$401,$AH209)))</f>
        <v/>
      </c>
      <c r="P209" s="7">
        <f>IF($AH209="","",IF(INDEX('Per Invoice'!P$2:P$401,$AH209)="","",INDEX('Per Invoice'!P$2:P$401,$AH209)))</f>
        <v/>
      </c>
      <c r="Q209">
        <f>IF($AH209="","",IF(INDEX('Per Invoice'!Q$2:Q$401,$AH209)="","",INDEX('Per Invoice'!Q$2:Q$401,$AH209)))</f>
        <v/>
      </c>
      <c r="R209">
        <f>IF($AH209="","",IF(INDEX('Per Invoice'!R$2:R$401,$AH209)="","",INDEX('Per Invoice'!R$2:R$401,$AH209)))</f>
        <v/>
      </c>
      <c r="S209">
        <f>IF($AH209="","",IF(INDEX('Per Invoice'!S$2:S$401,$AH209)="","",INDEX('Per Invoice'!S$2:S$401,$AH209)))</f>
        <v/>
      </c>
      <c r="T209" s="7">
        <f>IF($AH209="","",IF(INDEX('Per Invoice'!T$2:T$401,$AH209)="","",INDEX('Per Invoice'!T$2:T$401,$AH209)))</f>
        <v/>
      </c>
      <c r="U209" s="7">
        <f>IF($AH209="","",IF(INDEX('Per Invoice'!U$2:U$401,$AH209)="","",INDEX('Per Invoice'!U$2:U$401,$AH209)))</f>
        <v/>
      </c>
      <c r="V209">
        <f>IF($AH209="","",IF(INDEX('Per Invoice'!V$2:V$401,$AH209)="","",INDEX('Per Invoice'!V$2:V$401,$AH209)))</f>
        <v/>
      </c>
      <c r="W209" s="7">
        <f>IF($AH209="","",IF(INDEX('Per Invoice'!W$2:W$401,$AH209)="","",INDEX('Per Invoice'!W$2:W$401,$AH209)))</f>
        <v/>
      </c>
      <c r="X209" s="7">
        <f>IF($AH209="","",IF(INDEX('Per Invoice'!X$2:X$401,$AH209)="","",INDEX('Per Invoice'!X$2:X$401,$AH209)))</f>
        <v/>
      </c>
      <c r="Y209">
        <f>IF($AH209="","",IF(INDEX('Per Invoice'!Y$2:Y$401,$AH209)="","",INDEX('Per Invoice'!Y$2:Y$401,$AH209)))</f>
        <v/>
      </c>
      <c r="Z209" s="7">
        <f>IF($AH209="","",IF(INDEX('Per Invoice'!Z$2:Z$401,$AH209)="","",INDEX('Per Invoice'!Z$2:Z$401,$AH209)))</f>
        <v/>
      </c>
      <c r="AA209" s="7">
        <f>IF($AH209="","",IF(INDEX('Per Invoice'!AA$2:AA$401,$AH209)="","",INDEX('Per Invoice'!AA$2:AA$401,$AH209)))</f>
        <v/>
      </c>
      <c r="AB209" s="7">
        <f>IF($AH209="","",IF(INDEX('Per Invoice'!AB$2:AB$401,$AH209)="","",INDEX('Per Invoice'!AB$2:AB$401,$AH209)))</f>
        <v/>
      </c>
      <c r="AC209" s="7">
        <f>IF($AH209="","",IF(INDEX('Per Invoice'!AC$2:AC$401,$AH209)="","",INDEX('Per Invoice'!AC$2:AC$401,$AH209)))</f>
        <v/>
      </c>
      <c r="AD209" s="7">
        <f>IF($AH209="","",IF(INDEX('Per Invoice'!AD$2:AD$401,$AH209)="","",INDEX('Per Invoice'!AD$2:AD$401,$AH209)))</f>
        <v/>
      </c>
      <c r="AE209" s="7">
        <f>IF($AH209="","",IF(INDEX('Per Invoice'!AE$2:AE$401,$AH209)="","",INDEX('Per Invoice'!AE$2:AE$401,$AH209)))</f>
        <v/>
      </c>
      <c r="AF209">
        <f>IF($AH209="","",IF(INDEX('Per Invoice'!AF$2:AF$401,$AH209)="","",INDEX('Per Invoice'!AF$2:AF$401,$AH209)))</f>
        <v/>
      </c>
      <c r="AG209" s="7">
        <f>IF($AH209="","",IF(INDEX('Per Invoice'!AG$2:AG$401,$AH209)="","",INDEX('Per Invoice'!AG$2:AG$401,$AH209)))</f>
        <v/>
      </c>
      <c r="AH209" s="16">
        <f>IFERROR(MATCH(Settings!$C$26&amp;"|"&amp;ROWS($AH$2:$AH209),'Per Invoice'!$AI$2:$AI$401,0),"")</f>
        <v/>
      </c>
    </row>
    <row r="210">
      <c r="A210">
        <f>IF($AH210="","",IF(INDEX('Per Invoice'!A$2:A$401,$AH210)="","",INDEX('Per Invoice'!A$2:A$401,$AH210)))</f>
        <v/>
      </c>
      <c r="B210">
        <f>IF($AH210="","",IF(INDEX('Per Invoice'!B$2:B$401,$AH210)="","",INDEX('Per Invoice'!B$2:B$401,$AH210)))</f>
        <v/>
      </c>
      <c r="C210">
        <f>IF($AH210="","",IF(INDEX('Per Invoice'!C$2:C$401,$AH210)="","",INDEX('Per Invoice'!C$2:C$401,$AH210)))</f>
        <v/>
      </c>
      <c r="D210">
        <f>IF($AH210="","",IF(INDEX('Per Invoice'!D$2:D$401,$AH210)="","",INDEX('Per Invoice'!D$2:D$401,$AH210)))</f>
        <v/>
      </c>
      <c r="E210">
        <f>IF($AH210="","",IF(INDEX('Per Invoice'!E$2:E$401,$AH210)="","",INDEX('Per Invoice'!E$2:E$401,$AH210)))</f>
        <v/>
      </c>
      <c r="F210">
        <f>IF($AH210="","",IF(INDEX('Per Invoice'!F$2:F$401,$AH210)="","",INDEX('Per Invoice'!F$2:F$401,$AH210)))</f>
        <v/>
      </c>
      <c r="G210">
        <f>IF($AH210="","",IF(INDEX('Per Invoice'!G$2:G$401,$AH210)="","",INDEX('Per Invoice'!G$2:G$401,$AH210)))</f>
        <v/>
      </c>
      <c r="H210">
        <f>IF($AH210="","",IF(INDEX('Per Invoice'!H$2:H$401,$AH210)="","",INDEX('Per Invoice'!H$2:H$401,$AH210)))</f>
        <v/>
      </c>
      <c r="I210" s="14">
        <f>IF($AH210="","",IF(INDEX('Per Invoice'!I$2:I$401,$AH210)="","",INDEX('Per Invoice'!I$2:I$401,$AH210)))</f>
        <v/>
      </c>
      <c r="J210">
        <f>IF($AH210="","",IF(INDEX('Per Invoice'!J$2:J$401,$AH210)="","",INDEX('Per Invoice'!J$2:J$401,$AH210)))</f>
        <v/>
      </c>
      <c r="K210">
        <f>IF($AH210="","",IF(INDEX('Per Invoice'!K$2:K$401,$AH210)="","",INDEX('Per Invoice'!K$2:K$401,$AH210)))</f>
        <v/>
      </c>
      <c r="L210">
        <f>IF($AH210="","",IF(INDEX('Per Invoice'!L$2:L$401,$AH210)="","",INDEX('Per Invoice'!L$2:L$401,$AH210)))</f>
        <v/>
      </c>
      <c r="M210">
        <f>IF($AH210="","",IF(INDEX('Per Invoice'!M$2:M$401,$AH210)="","",INDEX('Per Invoice'!M$2:M$401,$AH210)))</f>
        <v/>
      </c>
      <c r="N210">
        <f>IF($AH210="","",IF(INDEX('Per Invoice'!N$2:N$401,$AH210)="","",INDEX('Per Invoice'!N$2:N$401,$AH210)))</f>
        <v/>
      </c>
      <c r="O210">
        <f>IF($AH210="","",IF(INDEX('Per Invoice'!O$2:O$401,$AH210)="","",INDEX('Per Invoice'!O$2:O$401,$AH210)))</f>
        <v/>
      </c>
      <c r="P210" s="7">
        <f>IF($AH210="","",IF(INDEX('Per Invoice'!P$2:P$401,$AH210)="","",INDEX('Per Invoice'!P$2:P$401,$AH210)))</f>
        <v/>
      </c>
      <c r="Q210">
        <f>IF($AH210="","",IF(INDEX('Per Invoice'!Q$2:Q$401,$AH210)="","",INDEX('Per Invoice'!Q$2:Q$401,$AH210)))</f>
        <v/>
      </c>
      <c r="R210">
        <f>IF($AH210="","",IF(INDEX('Per Invoice'!R$2:R$401,$AH210)="","",INDEX('Per Invoice'!R$2:R$401,$AH210)))</f>
        <v/>
      </c>
      <c r="S210">
        <f>IF($AH210="","",IF(INDEX('Per Invoice'!S$2:S$401,$AH210)="","",INDEX('Per Invoice'!S$2:S$401,$AH210)))</f>
        <v/>
      </c>
      <c r="T210" s="7">
        <f>IF($AH210="","",IF(INDEX('Per Invoice'!T$2:T$401,$AH210)="","",INDEX('Per Invoice'!T$2:T$401,$AH210)))</f>
        <v/>
      </c>
      <c r="U210" s="7">
        <f>IF($AH210="","",IF(INDEX('Per Invoice'!U$2:U$401,$AH210)="","",INDEX('Per Invoice'!U$2:U$401,$AH210)))</f>
        <v/>
      </c>
      <c r="V210">
        <f>IF($AH210="","",IF(INDEX('Per Invoice'!V$2:V$401,$AH210)="","",INDEX('Per Invoice'!V$2:V$401,$AH210)))</f>
        <v/>
      </c>
      <c r="W210" s="7">
        <f>IF($AH210="","",IF(INDEX('Per Invoice'!W$2:W$401,$AH210)="","",INDEX('Per Invoice'!W$2:W$401,$AH210)))</f>
        <v/>
      </c>
      <c r="X210" s="7">
        <f>IF($AH210="","",IF(INDEX('Per Invoice'!X$2:X$401,$AH210)="","",INDEX('Per Invoice'!X$2:X$401,$AH210)))</f>
        <v/>
      </c>
      <c r="Y210">
        <f>IF($AH210="","",IF(INDEX('Per Invoice'!Y$2:Y$401,$AH210)="","",INDEX('Per Invoice'!Y$2:Y$401,$AH210)))</f>
        <v/>
      </c>
      <c r="Z210" s="7">
        <f>IF($AH210="","",IF(INDEX('Per Invoice'!Z$2:Z$401,$AH210)="","",INDEX('Per Invoice'!Z$2:Z$401,$AH210)))</f>
        <v/>
      </c>
      <c r="AA210" s="7">
        <f>IF($AH210="","",IF(INDEX('Per Invoice'!AA$2:AA$401,$AH210)="","",INDEX('Per Invoice'!AA$2:AA$401,$AH210)))</f>
        <v/>
      </c>
      <c r="AB210" s="7">
        <f>IF($AH210="","",IF(INDEX('Per Invoice'!AB$2:AB$401,$AH210)="","",INDEX('Per Invoice'!AB$2:AB$401,$AH210)))</f>
        <v/>
      </c>
      <c r="AC210" s="7">
        <f>IF($AH210="","",IF(INDEX('Per Invoice'!AC$2:AC$401,$AH210)="","",INDEX('Per Invoice'!AC$2:AC$401,$AH210)))</f>
        <v/>
      </c>
      <c r="AD210" s="7">
        <f>IF($AH210="","",IF(INDEX('Per Invoice'!AD$2:AD$401,$AH210)="","",INDEX('Per Invoice'!AD$2:AD$401,$AH210)))</f>
        <v/>
      </c>
      <c r="AE210" s="7">
        <f>IF($AH210="","",IF(INDEX('Per Invoice'!AE$2:AE$401,$AH210)="","",INDEX('Per Invoice'!AE$2:AE$401,$AH210)))</f>
        <v/>
      </c>
      <c r="AF210">
        <f>IF($AH210="","",IF(INDEX('Per Invoice'!AF$2:AF$401,$AH210)="","",INDEX('Per Invoice'!AF$2:AF$401,$AH210)))</f>
        <v/>
      </c>
      <c r="AG210" s="7">
        <f>IF($AH210="","",IF(INDEX('Per Invoice'!AG$2:AG$401,$AH210)="","",INDEX('Per Invoice'!AG$2:AG$401,$AH210)))</f>
        <v/>
      </c>
      <c r="AH210" s="16">
        <f>IFERROR(MATCH(Settings!$C$26&amp;"|"&amp;ROWS($AH$2:$AH210),'Per Invoice'!$AI$2:$AI$401,0),"")</f>
        <v/>
      </c>
    </row>
    <row r="211">
      <c r="A211">
        <f>IF($AH211="","",IF(INDEX('Per Invoice'!A$2:A$401,$AH211)="","",INDEX('Per Invoice'!A$2:A$401,$AH211)))</f>
        <v/>
      </c>
      <c r="B211">
        <f>IF($AH211="","",IF(INDEX('Per Invoice'!B$2:B$401,$AH211)="","",INDEX('Per Invoice'!B$2:B$401,$AH211)))</f>
        <v/>
      </c>
      <c r="C211">
        <f>IF($AH211="","",IF(INDEX('Per Invoice'!C$2:C$401,$AH211)="","",INDEX('Per Invoice'!C$2:C$401,$AH211)))</f>
        <v/>
      </c>
      <c r="D211">
        <f>IF($AH211="","",IF(INDEX('Per Invoice'!D$2:D$401,$AH211)="","",INDEX('Per Invoice'!D$2:D$401,$AH211)))</f>
        <v/>
      </c>
      <c r="E211">
        <f>IF($AH211="","",IF(INDEX('Per Invoice'!E$2:E$401,$AH211)="","",INDEX('Per Invoice'!E$2:E$401,$AH211)))</f>
        <v/>
      </c>
      <c r="F211">
        <f>IF($AH211="","",IF(INDEX('Per Invoice'!F$2:F$401,$AH211)="","",INDEX('Per Invoice'!F$2:F$401,$AH211)))</f>
        <v/>
      </c>
      <c r="G211">
        <f>IF($AH211="","",IF(INDEX('Per Invoice'!G$2:G$401,$AH211)="","",INDEX('Per Invoice'!G$2:G$401,$AH211)))</f>
        <v/>
      </c>
      <c r="H211">
        <f>IF($AH211="","",IF(INDEX('Per Invoice'!H$2:H$401,$AH211)="","",INDEX('Per Invoice'!H$2:H$401,$AH211)))</f>
        <v/>
      </c>
      <c r="I211" s="14">
        <f>IF($AH211="","",IF(INDEX('Per Invoice'!I$2:I$401,$AH211)="","",INDEX('Per Invoice'!I$2:I$401,$AH211)))</f>
        <v/>
      </c>
      <c r="J211">
        <f>IF($AH211="","",IF(INDEX('Per Invoice'!J$2:J$401,$AH211)="","",INDEX('Per Invoice'!J$2:J$401,$AH211)))</f>
        <v/>
      </c>
      <c r="K211">
        <f>IF($AH211="","",IF(INDEX('Per Invoice'!K$2:K$401,$AH211)="","",INDEX('Per Invoice'!K$2:K$401,$AH211)))</f>
        <v/>
      </c>
      <c r="L211">
        <f>IF($AH211="","",IF(INDEX('Per Invoice'!L$2:L$401,$AH211)="","",INDEX('Per Invoice'!L$2:L$401,$AH211)))</f>
        <v/>
      </c>
      <c r="M211">
        <f>IF($AH211="","",IF(INDEX('Per Invoice'!M$2:M$401,$AH211)="","",INDEX('Per Invoice'!M$2:M$401,$AH211)))</f>
        <v/>
      </c>
      <c r="N211">
        <f>IF($AH211="","",IF(INDEX('Per Invoice'!N$2:N$401,$AH211)="","",INDEX('Per Invoice'!N$2:N$401,$AH211)))</f>
        <v/>
      </c>
      <c r="O211">
        <f>IF($AH211="","",IF(INDEX('Per Invoice'!O$2:O$401,$AH211)="","",INDEX('Per Invoice'!O$2:O$401,$AH211)))</f>
        <v/>
      </c>
      <c r="P211" s="7">
        <f>IF($AH211="","",IF(INDEX('Per Invoice'!P$2:P$401,$AH211)="","",INDEX('Per Invoice'!P$2:P$401,$AH211)))</f>
        <v/>
      </c>
      <c r="Q211">
        <f>IF($AH211="","",IF(INDEX('Per Invoice'!Q$2:Q$401,$AH211)="","",INDEX('Per Invoice'!Q$2:Q$401,$AH211)))</f>
        <v/>
      </c>
      <c r="R211">
        <f>IF($AH211="","",IF(INDEX('Per Invoice'!R$2:R$401,$AH211)="","",INDEX('Per Invoice'!R$2:R$401,$AH211)))</f>
        <v/>
      </c>
      <c r="S211">
        <f>IF($AH211="","",IF(INDEX('Per Invoice'!S$2:S$401,$AH211)="","",INDEX('Per Invoice'!S$2:S$401,$AH211)))</f>
        <v/>
      </c>
      <c r="T211" s="7">
        <f>IF($AH211="","",IF(INDEX('Per Invoice'!T$2:T$401,$AH211)="","",INDEX('Per Invoice'!T$2:T$401,$AH211)))</f>
        <v/>
      </c>
      <c r="U211" s="7">
        <f>IF($AH211="","",IF(INDEX('Per Invoice'!U$2:U$401,$AH211)="","",INDEX('Per Invoice'!U$2:U$401,$AH211)))</f>
        <v/>
      </c>
      <c r="V211">
        <f>IF($AH211="","",IF(INDEX('Per Invoice'!V$2:V$401,$AH211)="","",INDEX('Per Invoice'!V$2:V$401,$AH211)))</f>
        <v/>
      </c>
      <c r="W211" s="7">
        <f>IF($AH211="","",IF(INDEX('Per Invoice'!W$2:W$401,$AH211)="","",INDEX('Per Invoice'!W$2:W$401,$AH211)))</f>
        <v/>
      </c>
      <c r="X211" s="7">
        <f>IF($AH211="","",IF(INDEX('Per Invoice'!X$2:X$401,$AH211)="","",INDEX('Per Invoice'!X$2:X$401,$AH211)))</f>
        <v/>
      </c>
      <c r="Y211">
        <f>IF($AH211="","",IF(INDEX('Per Invoice'!Y$2:Y$401,$AH211)="","",INDEX('Per Invoice'!Y$2:Y$401,$AH211)))</f>
        <v/>
      </c>
      <c r="Z211" s="7">
        <f>IF($AH211="","",IF(INDEX('Per Invoice'!Z$2:Z$401,$AH211)="","",INDEX('Per Invoice'!Z$2:Z$401,$AH211)))</f>
        <v/>
      </c>
      <c r="AA211" s="7">
        <f>IF($AH211="","",IF(INDEX('Per Invoice'!AA$2:AA$401,$AH211)="","",INDEX('Per Invoice'!AA$2:AA$401,$AH211)))</f>
        <v/>
      </c>
      <c r="AB211" s="7">
        <f>IF($AH211="","",IF(INDEX('Per Invoice'!AB$2:AB$401,$AH211)="","",INDEX('Per Invoice'!AB$2:AB$401,$AH211)))</f>
        <v/>
      </c>
      <c r="AC211" s="7">
        <f>IF($AH211="","",IF(INDEX('Per Invoice'!AC$2:AC$401,$AH211)="","",INDEX('Per Invoice'!AC$2:AC$401,$AH211)))</f>
        <v/>
      </c>
      <c r="AD211" s="7">
        <f>IF($AH211="","",IF(INDEX('Per Invoice'!AD$2:AD$401,$AH211)="","",INDEX('Per Invoice'!AD$2:AD$401,$AH211)))</f>
        <v/>
      </c>
      <c r="AE211" s="7">
        <f>IF($AH211="","",IF(INDEX('Per Invoice'!AE$2:AE$401,$AH211)="","",INDEX('Per Invoice'!AE$2:AE$401,$AH211)))</f>
        <v/>
      </c>
      <c r="AF211">
        <f>IF($AH211="","",IF(INDEX('Per Invoice'!AF$2:AF$401,$AH211)="","",INDEX('Per Invoice'!AF$2:AF$401,$AH211)))</f>
        <v/>
      </c>
      <c r="AG211" s="7">
        <f>IF($AH211="","",IF(INDEX('Per Invoice'!AG$2:AG$401,$AH211)="","",INDEX('Per Invoice'!AG$2:AG$401,$AH211)))</f>
        <v/>
      </c>
      <c r="AH211" s="16">
        <f>IFERROR(MATCH(Settings!$C$26&amp;"|"&amp;ROWS($AH$2:$AH211),'Per Invoice'!$AI$2:$AI$401,0),"")</f>
        <v/>
      </c>
    </row>
    <row r="212">
      <c r="A212">
        <f>IF($AH212="","",IF(INDEX('Per Invoice'!A$2:A$401,$AH212)="","",INDEX('Per Invoice'!A$2:A$401,$AH212)))</f>
        <v/>
      </c>
      <c r="B212">
        <f>IF($AH212="","",IF(INDEX('Per Invoice'!B$2:B$401,$AH212)="","",INDEX('Per Invoice'!B$2:B$401,$AH212)))</f>
        <v/>
      </c>
      <c r="C212">
        <f>IF($AH212="","",IF(INDEX('Per Invoice'!C$2:C$401,$AH212)="","",INDEX('Per Invoice'!C$2:C$401,$AH212)))</f>
        <v/>
      </c>
      <c r="D212">
        <f>IF($AH212="","",IF(INDEX('Per Invoice'!D$2:D$401,$AH212)="","",INDEX('Per Invoice'!D$2:D$401,$AH212)))</f>
        <v/>
      </c>
      <c r="E212">
        <f>IF($AH212="","",IF(INDEX('Per Invoice'!E$2:E$401,$AH212)="","",INDEX('Per Invoice'!E$2:E$401,$AH212)))</f>
        <v/>
      </c>
      <c r="F212">
        <f>IF($AH212="","",IF(INDEX('Per Invoice'!F$2:F$401,$AH212)="","",INDEX('Per Invoice'!F$2:F$401,$AH212)))</f>
        <v/>
      </c>
      <c r="G212">
        <f>IF($AH212="","",IF(INDEX('Per Invoice'!G$2:G$401,$AH212)="","",INDEX('Per Invoice'!G$2:G$401,$AH212)))</f>
        <v/>
      </c>
      <c r="H212">
        <f>IF($AH212="","",IF(INDEX('Per Invoice'!H$2:H$401,$AH212)="","",INDEX('Per Invoice'!H$2:H$401,$AH212)))</f>
        <v/>
      </c>
      <c r="I212" s="14">
        <f>IF($AH212="","",IF(INDEX('Per Invoice'!I$2:I$401,$AH212)="","",INDEX('Per Invoice'!I$2:I$401,$AH212)))</f>
        <v/>
      </c>
      <c r="J212">
        <f>IF($AH212="","",IF(INDEX('Per Invoice'!J$2:J$401,$AH212)="","",INDEX('Per Invoice'!J$2:J$401,$AH212)))</f>
        <v/>
      </c>
      <c r="K212">
        <f>IF($AH212="","",IF(INDEX('Per Invoice'!K$2:K$401,$AH212)="","",INDEX('Per Invoice'!K$2:K$401,$AH212)))</f>
        <v/>
      </c>
      <c r="L212">
        <f>IF($AH212="","",IF(INDEX('Per Invoice'!L$2:L$401,$AH212)="","",INDEX('Per Invoice'!L$2:L$401,$AH212)))</f>
        <v/>
      </c>
      <c r="M212">
        <f>IF($AH212="","",IF(INDEX('Per Invoice'!M$2:M$401,$AH212)="","",INDEX('Per Invoice'!M$2:M$401,$AH212)))</f>
        <v/>
      </c>
      <c r="N212">
        <f>IF($AH212="","",IF(INDEX('Per Invoice'!N$2:N$401,$AH212)="","",INDEX('Per Invoice'!N$2:N$401,$AH212)))</f>
        <v/>
      </c>
      <c r="O212">
        <f>IF($AH212="","",IF(INDEX('Per Invoice'!O$2:O$401,$AH212)="","",INDEX('Per Invoice'!O$2:O$401,$AH212)))</f>
        <v/>
      </c>
      <c r="P212" s="7">
        <f>IF($AH212="","",IF(INDEX('Per Invoice'!P$2:P$401,$AH212)="","",INDEX('Per Invoice'!P$2:P$401,$AH212)))</f>
        <v/>
      </c>
      <c r="Q212">
        <f>IF($AH212="","",IF(INDEX('Per Invoice'!Q$2:Q$401,$AH212)="","",INDEX('Per Invoice'!Q$2:Q$401,$AH212)))</f>
        <v/>
      </c>
      <c r="R212">
        <f>IF($AH212="","",IF(INDEX('Per Invoice'!R$2:R$401,$AH212)="","",INDEX('Per Invoice'!R$2:R$401,$AH212)))</f>
        <v/>
      </c>
      <c r="S212">
        <f>IF($AH212="","",IF(INDEX('Per Invoice'!S$2:S$401,$AH212)="","",INDEX('Per Invoice'!S$2:S$401,$AH212)))</f>
        <v/>
      </c>
      <c r="T212" s="7">
        <f>IF($AH212="","",IF(INDEX('Per Invoice'!T$2:T$401,$AH212)="","",INDEX('Per Invoice'!T$2:T$401,$AH212)))</f>
        <v/>
      </c>
      <c r="U212" s="7">
        <f>IF($AH212="","",IF(INDEX('Per Invoice'!U$2:U$401,$AH212)="","",INDEX('Per Invoice'!U$2:U$401,$AH212)))</f>
        <v/>
      </c>
      <c r="V212">
        <f>IF($AH212="","",IF(INDEX('Per Invoice'!V$2:V$401,$AH212)="","",INDEX('Per Invoice'!V$2:V$401,$AH212)))</f>
        <v/>
      </c>
      <c r="W212" s="7">
        <f>IF($AH212="","",IF(INDEX('Per Invoice'!W$2:W$401,$AH212)="","",INDEX('Per Invoice'!W$2:W$401,$AH212)))</f>
        <v/>
      </c>
      <c r="X212" s="7">
        <f>IF($AH212="","",IF(INDEX('Per Invoice'!X$2:X$401,$AH212)="","",INDEX('Per Invoice'!X$2:X$401,$AH212)))</f>
        <v/>
      </c>
      <c r="Y212">
        <f>IF($AH212="","",IF(INDEX('Per Invoice'!Y$2:Y$401,$AH212)="","",INDEX('Per Invoice'!Y$2:Y$401,$AH212)))</f>
        <v/>
      </c>
      <c r="Z212" s="7">
        <f>IF($AH212="","",IF(INDEX('Per Invoice'!Z$2:Z$401,$AH212)="","",INDEX('Per Invoice'!Z$2:Z$401,$AH212)))</f>
        <v/>
      </c>
      <c r="AA212" s="7">
        <f>IF($AH212="","",IF(INDEX('Per Invoice'!AA$2:AA$401,$AH212)="","",INDEX('Per Invoice'!AA$2:AA$401,$AH212)))</f>
        <v/>
      </c>
      <c r="AB212" s="7">
        <f>IF($AH212="","",IF(INDEX('Per Invoice'!AB$2:AB$401,$AH212)="","",INDEX('Per Invoice'!AB$2:AB$401,$AH212)))</f>
        <v/>
      </c>
      <c r="AC212" s="7">
        <f>IF($AH212="","",IF(INDEX('Per Invoice'!AC$2:AC$401,$AH212)="","",INDEX('Per Invoice'!AC$2:AC$401,$AH212)))</f>
        <v/>
      </c>
      <c r="AD212" s="7">
        <f>IF($AH212="","",IF(INDEX('Per Invoice'!AD$2:AD$401,$AH212)="","",INDEX('Per Invoice'!AD$2:AD$401,$AH212)))</f>
        <v/>
      </c>
      <c r="AE212" s="7">
        <f>IF($AH212="","",IF(INDEX('Per Invoice'!AE$2:AE$401,$AH212)="","",INDEX('Per Invoice'!AE$2:AE$401,$AH212)))</f>
        <v/>
      </c>
      <c r="AF212">
        <f>IF($AH212="","",IF(INDEX('Per Invoice'!AF$2:AF$401,$AH212)="","",INDEX('Per Invoice'!AF$2:AF$401,$AH212)))</f>
        <v/>
      </c>
      <c r="AG212" s="7">
        <f>IF($AH212="","",IF(INDEX('Per Invoice'!AG$2:AG$401,$AH212)="","",INDEX('Per Invoice'!AG$2:AG$401,$AH212)))</f>
        <v/>
      </c>
      <c r="AH212" s="16">
        <f>IFERROR(MATCH(Settings!$C$26&amp;"|"&amp;ROWS($AH$2:$AH212),'Per Invoice'!$AI$2:$AI$401,0),"")</f>
        <v/>
      </c>
    </row>
    <row r="213">
      <c r="A213">
        <f>IF($AH213="","",IF(INDEX('Per Invoice'!A$2:A$401,$AH213)="","",INDEX('Per Invoice'!A$2:A$401,$AH213)))</f>
        <v/>
      </c>
      <c r="B213">
        <f>IF($AH213="","",IF(INDEX('Per Invoice'!B$2:B$401,$AH213)="","",INDEX('Per Invoice'!B$2:B$401,$AH213)))</f>
        <v/>
      </c>
      <c r="C213">
        <f>IF($AH213="","",IF(INDEX('Per Invoice'!C$2:C$401,$AH213)="","",INDEX('Per Invoice'!C$2:C$401,$AH213)))</f>
        <v/>
      </c>
      <c r="D213">
        <f>IF($AH213="","",IF(INDEX('Per Invoice'!D$2:D$401,$AH213)="","",INDEX('Per Invoice'!D$2:D$401,$AH213)))</f>
        <v/>
      </c>
      <c r="E213">
        <f>IF($AH213="","",IF(INDEX('Per Invoice'!E$2:E$401,$AH213)="","",INDEX('Per Invoice'!E$2:E$401,$AH213)))</f>
        <v/>
      </c>
      <c r="F213">
        <f>IF($AH213="","",IF(INDEX('Per Invoice'!F$2:F$401,$AH213)="","",INDEX('Per Invoice'!F$2:F$401,$AH213)))</f>
        <v/>
      </c>
      <c r="G213">
        <f>IF($AH213="","",IF(INDEX('Per Invoice'!G$2:G$401,$AH213)="","",INDEX('Per Invoice'!G$2:G$401,$AH213)))</f>
        <v/>
      </c>
      <c r="H213">
        <f>IF($AH213="","",IF(INDEX('Per Invoice'!H$2:H$401,$AH213)="","",INDEX('Per Invoice'!H$2:H$401,$AH213)))</f>
        <v/>
      </c>
      <c r="I213" s="14">
        <f>IF($AH213="","",IF(INDEX('Per Invoice'!I$2:I$401,$AH213)="","",INDEX('Per Invoice'!I$2:I$401,$AH213)))</f>
        <v/>
      </c>
      <c r="J213">
        <f>IF($AH213="","",IF(INDEX('Per Invoice'!J$2:J$401,$AH213)="","",INDEX('Per Invoice'!J$2:J$401,$AH213)))</f>
        <v/>
      </c>
      <c r="K213">
        <f>IF($AH213="","",IF(INDEX('Per Invoice'!K$2:K$401,$AH213)="","",INDEX('Per Invoice'!K$2:K$401,$AH213)))</f>
        <v/>
      </c>
      <c r="L213">
        <f>IF($AH213="","",IF(INDEX('Per Invoice'!L$2:L$401,$AH213)="","",INDEX('Per Invoice'!L$2:L$401,$AH213)))</f>
        <v/>
      </c>
      <c r="M213">
        <f>IF($AH213="","",IF(INDEX('Per Invoice'!M$2:M$401,$AH213)="","",INDEX('Per Invoice'!M$2:M$401,$AH213)))</f>
        <v/>
      </c>
      <c r="N213">
        <f>IF($AH213="","",IF(INDEX('Per Invoice'!N$2:N$401,$AH213)="","",INDEX('Per Invoice'!N$2:N$401,$AH213)))</f>
        <v/>
      </c>
      <c r="O213">
        <f>IF($AH213="","",IF(INDEX('Per Invoice'!O$2:O$401,$AH213)="","",INDEX('Per Invoice'!O$2:O$401,$AH213)))</f>
        <v/>
      </c>
      <c r="P213" s="7">
        <f>IF($AH213="","",IF(INDEX('Per Invoice'!P$2:P$401,$AH213)="","",INDEX('Per Invoice'!P$2:P$401,$AH213)))</f>
        <v/>
      </c>
      <c r="Q213">
        <f>IF($AH213="","",IF(INDEX('Per Invoice'!Q$2:Q$401,$AH213)="","",INDEX('Per Invoice'!Q$2:Q$401,$AH213)))</f>
        <v/>
      </c>
      <c r="R213">
        <f>IF($AH213="","",IF(INDEX('Per Invoice'!R$2:R$401,$AH213)="","",INDEX('Per Invoice'!R$2:R$401,$AH213)))</f>
        <v/>
      </c>
      <c r="S213">
        <f>IF($AH213="","",IF(INDEX('Per Invoice'!S$2:S$401,$AH213)="","",INDEX('Per Invoice'!S$2:S$401,$AH213)))</f>
        <v/>
      </c>
      <c r="T213" s="7">
        <f>IF($AH213="","",IF(INDEX('Per Invoice'!T$2:T$401,$AH213)="","",INDEX('Per Invoice'!T$2:T$401,$AH213)))</f>
        <v/>
      </c>
      <c r="U213" s="7">
        <f>IF($AH213="","",IF(INDEX('Per Invoice'!U$2:U$401,$AH213)="","",INDEX('Per Invoice'!U$2:U$401,$AH213)))</f>
        <v/>
      </c>
      <c r="V213">
        <f>IF($AH213="","",IF(INDEX('Per Invoice'!V$2:V$401,$AH213)="","",INDEX('Per Invoice'!V$2:V$401,$AH213)))</f>
        <v/>
      </c>
      <c r="W213" s="7">
        <f>IF($AH213="","",IF(INDEX('Per Invoice'!W$2:W$401,$AH213)="","",INDEX('Per Invoice'!W$2:W$401,$AH213)))</f>
        <v/>
      </c>
      <c r="X213" s="7">
        <f>IF($AH213="","",IF(INDEX('Per Invoice'!X$2:X$401,$AH213)="","",INDEX('Per Invoice'!X$2:X$401,$AH213)))</f>
        <v/>
      </c>
      <c r="Y213">
        <f>IF($AH213="","",IF(INDEX('Per Invoice'!Y$2:Y$401,$AH213)="","",INDEX('Per Invoice'!Y$2:Y$401,$AH213)))</f>
        <v/>
      </c>
      <c r="Z213" s="7">
        <f>IF($AH213="","",IF(INDEX('Per Invoice'!Z$2:Z$401,$AH213)="","",INDEX('Per Invoice'!Z$2:Z$401,$AH213)))</f>
        <v/>
      </c>
      <c r="AA213" s="7">
        <f>IF($AH213="","",IF(INDEX('Per Invoice'!AA$2:AA$401,$AH213)="","",INDEX('Per Invoice'!AA$2:AA$401,$AH213)))</f>
        <v/>
      </c>
      <c r="AB213" s="7">
        <f>IF($AH213="","",IF(INDEX('Per Invoice'!AB$2:AB$401,$AH213)="","",INDEX('Per Invoice'!AB$2:AB$401,$AH213)))</f>
        <v/>
      </c>
      <c r="AC213" s="7">
        <f>IF($AH213="","",IF(INDEX('Per Invoice'!AC$2:AC$401,$AH213)="","",INDEX('Per Invoice'!AC$2:AC$401,$AH213)))</f>
        <v/>
      </c>
      <c r="AD213" s="7">
        <f>IF($AH213="","",IF(INDEX('Per Invoice'!AD$2:AD$401,$AH213)="","",INDEX('Per Invoice'!AD$2:AD$401,$AH213)))</f>
        <v/>
      </c>
      <c r="AE213" s="7">
        <f>IF($AH213="","",IF(INDEX('Per Invoice'!AE$2:AE$401,$AH213)="","",INDEX('Per Invoice'!AE$2:AE$401,$AH213)))</f>
        <v/>
      </c>
      <c r="AF213">
        <f>IF($AH213="","",IF(INDEX('Per Invoice'!AF$2:AF$401,$AH213)="","",INDEX('Per Invoice'!AF$2:AF$401,$AH213)))</f>
        <v/>
      </c>
      <c r="AG213" s="7">
        <f>IF($AH213="","",IF(INDEX('Per Invoice'!AG$2:AG$401,$AH213)="","",INDEX('Per Invoice'!AG$2:AG$401,$AH213)))</f>
        <v/>
      </c>
      <c r="AH213" s="16">
        <f>IFERROR(MATCH(Settings!$C$26&amp;"|"&amp;ROWS($AH$2:$AH213),'Per Invoice'!$AI$2:$AI$401,0),"")</f>
        <v/>
      </c>
    </row>
    <row r="214">
      <c r="A214">
        <f>IF($AH214="","",IF(INDEX('Per Invoice'!A$2:A$401,$AH214)="","",INDEX('Per Invoice'!A$2:A$401,$AH214)))</f>
        <v/>
      </c>
      <c r="B214">
        <f>IF($AH214="","",IF(INDEX('Per Invoice'!B$2:B$401,$AH214)="","",INDEX('Per Invoice'!B$2:B$401,$AH214)))</f>
        <v/>
      </c>
      <c r="C214">
        <f>IF($AH214="","",IF(INDEX('Per Invoice'!C$2:C$401,$AH214)="","",INDEX('Per Invoice'!C$2:C$401,$AH214)))</f>
        <v/>
      </c>
      <c r="D214">
        <f>IF($AH214="","",IF(INDEX('Per Invoice'!D$2:D$401,$AH214)="","",INDEX('Per Invoice'!D$2:D$401,$AH214)))</f>
        <v/>
      </c>
      <c r="E214">
        <f>IF($AH214="","",IF(INDEX('Per Invoice'!E$2:E$401,$AH214)="","",INDEX('Per Invoice'!E$2:E$401,$AH214)))</f>
        <v/>
      </c>
      <c r="F214">
        <f>IF($AH214="","",IF(INDEX('Per Invoice'!F$2:F$401,$AH214)="","",INDEX('Per Invoice'!F$2:F$401,$AH214)))</f>
        <v/>
      </c>
      <c r="G214">
        <f>IF($AH214="","",IF(INDEX('Per Invoice'!G$2:G$401,$AH214)="","",INDEX('Per Invoice'!G$2:G$401,$AH214)))</f>
        <v/>
      </c>
      <c r="H214">
        <f>IF($AH214="","",IF(INDEX('Per Invoice'!H$2:H$401,$AH214)="","",INDEX('Per Invoice'!H$2:H$401,$AH214)))</f>
        <v/>
      </c>
      <c r="I214" s="14">
        <f>IF($AH214="","",IF(INDEX('Per Invoice'!I$2:I$401,$AH214)="","",INDEX('Per Invoice'!I$2:I$401,$AH214)))</f>
        <v/>
      </c>
      <c r="J214">
        <f>IF($AH214="","",IF(INDEX('Per Invoice'!J$2:J$401,$AH214)="","",INDEX('Per Invoice'!J$2:J$401,$AH214)))</f>
        <v/>
      </c>
      <c r="K214">
        <f>IF($AH214="","",IF(INDEX('Per Invoice'!K$2:K$401,$AH214)="","",INDEX('Per Invoice'!K$2:K$401,$AH214)))</f>
        <v/>
      </c>
      <c r="L214">
        <f>IF($AH214="","",IF(INDEX('Per Invoice'!L$2:L$401,$AH214)="","",INDEX('Per Invoice'!L$2:L$401,$AH214)))</f>
        <v/>
      </c>
      <c r="M214">
        <f>IF($AH214="","",IF(INDEX('Per Invoice'!M$2:M$401,$AH214)="","",INDEX('Per Invoice'!M$2:M$401,$AH214)))</f>
        <v/>
      </c>
      <c r="N214">
        <f>IF($AH214="","",IF(INDEX('Per Invoice'!N$2:N$401,$AH214)="","",INDEX('Per Invoice'!N$2:N$401,$AH214)))</f>
        <v/>
      </c>
      <c r="O214">
        <f>IF($AH214="","",IF(INDEX('Per Invoice'!O$2:O$401,$AH214)="","",INDEX('Per Invoice'!O$2:O$401,$AH214)))</f>
        <v/>
      </c>
      <c r="P214" s="7">
        <f>IF($AH214="","",IF(INDEX('Per Invoice'!P$2:P$401,$AH214)="","",INDEX('Per Invoice'!P$2:P$401,$AH214)))</f>
        <v/>
      </c>
      <c r="Q214">
        <f>IF($AH214="","",IF(INDEX('Per Invoice'!Q$2:Q$401,$AH214)="","",INDEX('Per Invoice'!Q$2:Q$401,$AH214)))</f>
        <v/>
      </c>
      <c r="R214">
        <f>IF($AH214="","",IF(INDEX('Per Invoice'!R$2:R$401,$AH214)="","",INDEX('Per Invoice'!R$2:R$401,$AH214)))</f>
        <v/>
      </c>
      <c r="S214">
        <f>IF($AH214="","",IF(INDEX('Per Invoice'!S$2:S$401,$AH214)="","",INDEX('Per Invoice'!S$2:S$401,$AH214)))</f>
        <v/>
      </c>
      <c r="T214" s="7">
        <f>IF($AH214="","",IF(INDEX('Per Invoice'!T$2:T$401,$AH214)="","",INDEX('Per Invoice'!T$2:T$401,$AH214)))</f>
        <v/>
      </c>
      <c r="U214" s="7">
        <f>IF($AH214="","",IF(INDEX('Per Invoice'!U$2:U$401,$AH214)="","",INDEX('Per Invoice'!U$2:U$401,$AH214)))</f>
        <v/>
      </c>
      <c r="V214">
        <f>IF($AH214="","",IF(INDEX('Per Invoice'!V$2:V$401,$AH214)="","",INDEX('Per Invoice'!V$2:V$401,$AH214)))</f>
        <v/>
      </c>
      <c r="W214" s="7">
        <f>IF($AH214="","",IF(INDEX('Per Invoice'!W$2:W$401,$AH214)="","",INDEX('Per Invoice'!W$2:W$401,$AH214)))</f>
        <v/>
      </c>
      <c r="X214" s="7">
        <f>IF($AH214="","",IF(INDEX('Per Invoice'!X$2:X$401,$AH214)="","",INDEX('Per Invoice'!X$2:X$401,$AH214)))</f>
        <v/>
      </c>
      <c r="Y214">
        <f>IF($AH214="","",IF(INDEX('Per Invoice'!Y$2:Y$401,$AH214)="","",INDEX('Per Invoice'!Y$2:Y$401,$AH214)))</f>
        <v/>
      </c>
      <c r="Z214" s="7">
        <f>IF($AH214="","",IF(INDEX('Per Invoice'!Z$2:Z$401,$AH214)="","",INDEX('Per Invoice'!Z$2:Z$401,$AH214)))</f>
        <v/>
      </c>
      <c r="AA214" s="7">
        <f>IF($AH214="","",IF(INDEX('Per Invoice'!AA$2:AA$401,$AH214)="","",INDEX('Per Invoice'!AA$2:AA$401,$AH214)))</f>
        <v/>
      </c>
      <c r="AB214" s="7">
        <f>IF($AH214="","",IF(INDEX('Per Invoice'!AB$2:AB$401,$AH214)="","",INDEX('Per Invoice'!AB$2:AB$401,$AH214)))</f>
        <v/>
      </c>
      <c r="AC214" s="7">
        <f>IF($AH214="","",IF(INDEX('Per Invoice'!AC$2:AC$401,$AH214)="","",INDEX('Per Invoice'!AC$2:AC$401,$AH214)))</f>
        <v/>
      </c>
      <c r="AD214" s="7">
        <f>IF($AH214="","",IF(INDEX('Per Invoice'!AD$2:AD$401,$AH214)="","",INDEX('Per Invoice'!AD$2:AD$401,$AH214)))</f>
        <v/>
      </c>
      <c r="AE214" s="7">
        <f>IF($AH214="","",IF(INDEX('Per Invoice'!AE$2:AE$401,$AH214)="","",INDEX('Per Invoice'!AE$2:AE$401,$AH214)))</f>
        <v/>
      </c>
      <c r="AF214">
        <f>IF($AH214="","",IF(INDEX('Per Invoice'!AF$2:AF$401,$AH214)="","",INDEX('Per Invoice'!AF$2:AF$401,$AH214)))</f>
        <v/>
      </c>
      <c r="AG214" s="7">
        <f>IF($AH214="","",IF(INDEX('Per Invoice'!AG$2:AG$401,$AH214)="","",INDEX('Per Invoice'!AG$2:AG$401,$AH214)))</f>
        <v/>
      </c>
      <c r="AH214" s="16">
        <f>IFERROR(MATCH(Settings!$C$26&amp;"|"&amp;ROWS($AH$2:$AH214),'Per Invoice'!$AI$2:$AI$401,0),"")</f>
        <v/>
      </c>
    </row>
    <row r="215">
      <c r="A215">
        <f>IF($AH215="","",IF(INDEX('Per Invoice'!A$2:A$401,$AH215)="","",INDEX('Per Invoice'!A$2:A$401,$AH215)))</f>
        <v/>
      </c>
      <c r="B215">
        <f>IF($AH215="","",IF(INDEX('Per Invoice'!B$2:B$401,$AH215)="","",INDEX('Per Invoice'!B$2:B$401,$AH215)))</f>
        <v/>
      </c>
      <c r="C215">
        <f>IF($AH215="","",IF(INDEX('Per Invoice'!C$2:C$401,$AH215)="","",INDEX('Per Invoice'!C$2:C$401,$AH215)))</f>
        <v/>
      </c>
      <c r="D215">
        <f>IF($AH215="","",IF(INDEX('Per Invoice'!D$2:D$401,$AH215)="","",INDEX('Per Invoice'!D$2:D$401,$AH215)))</f>
        <v/>
      </c>
      <c r="E215">
        <f>IF($AH215="","",IF(INDEX('Per Invoice'!E$2:E$401,$AH215)="","",INDEX('Per Invoice'!E$2:E$401,$AH215)))</f>
        <v/>
      </c>
      <c r="F215">
        <f>IF($AH215="","",IF(INDEX('Per Invoice'!F$2:F$401,$AH215)="","",INDEX('Per Invoice'!F$2:F$401,$AH215)))</f>
        <v/>
      </c>
      <c r="G215">
        <f>IF($AH215="","",IF(INDEX('Per Invoice'!G$2:G$401,$AH215)="","",INDEX('Per Invoice'!G$2:G$401,$AH215)))</f>
        <v/>
      </c>
      <c r="H215">
        <f>IF($AH215="","",IF(INDEX('Per Invoice'!H$2:H$401,$AH215)="","",INDEX('Per Invoice'!H$2:H$401,$AH215)))</f>
        <v/>
      </c>
      <c r="I215" s="14">
        <f>IF($AH215="","",IF(INDEX('Per Invoice'!I$2:I$401,$AH215)="","",INDEX('Per Invoice'!I$2:I$401,$AH215)))</f>
        <v/>
      </c>
      <c r="J215">
        <f>IF($AH215="","",IF(INDEX('Per Invoice'!J$2:J$401,$AH215)="","",INDEX('Per Invoice'!J$2:J$401,$AH215)))</f>
        <v/>
      </c>
      <c r="K215">
        <f>IF($AH215="","",IF(INDEX('Per Invoice'!K$2:K$401,$AH215)="","",INDEX('Per Invoice'!K$2:K$401,$AH215)))</f>
        <v/>
      </c>
      <c r="L215">
        <f>IF($AH215="","",IF(INDEX('Per Invoice'!L$2:L$401,$AH215)="","",INDEX('Per Invoice'!L$2:L$401,$AH215)))</f>
        <v/>
      </c>
      <c r="M215">
        <f>IF($AH215="","",IF(INDEX('Per Invoice'!M$2:M$401,$AH215)="","",INDEX('Per Invoice'!M$2:M$401,$AH215)))</f>
        <v/>
      </c>
      <c r="N215">
        <f>IF($AH215="","",IF(INDEX('Per Invoice'!N$2:N$401,$AH215)="","",INDEX('Per Invoice'!N$2:N$401,$AH215)))</f>
        <v/>
      </c>
      <c r="O215">
        <f>IF($AH215="","",IF(INDEX('Per Invoice'!O$2:O$401,$AH215)="","",INDEX('Per Invoice'!O$2:O$401,$AH215)))</f>
        <v/>
      </c>
      <c r="P215" s="7">
        <f>IF($AH215="","",IF(INDEX('Per Invoice'!P$2:P$401,$AH215)="","",INDEX('Per Invoice'!P$2:P$401,$AH215)))</f>
        <v/>
      </c>
      <c r="Q215">
        <f>IF($AH215="","",IF(INDEX('Per Invoice'!Q$2:Q$401,$AH215)="","",INDEX('Per Invoice'!Q$2:Q$401,$AH215)))</f>
        <v/>
      </c>
      <c r="R215">
        <f>IF($AH215="","",IF(INDEX('Per Invoice'!R$2:R$401,$AH215)="","",INDEX('Per Invoice'!R$2:R$401,$AH215)))</f>
        <v/>
      </c>
      <c r="S215">
        <f>IF($AH215="","",IF(INDEX('Per Invoice'!S$2:S$401,$AH215)="","",INDEX('Per Invoice'!S$2:S$401,$AH215)))</f>
        <v/>
      </c>
      <c r="T215" s="7">
        <f>IF($AH215="","",IF(INDEX('Per Invoice'!T$2:T$401,$AH215)="","",INDEX('Per Invoice'!T$2:T$401,$AH215)))</f>
        <v/>
      </c>
      <c r="U215" s="7">
        <f>IF($AH215="","",IF(INDEX('Per Invoice'!U$2:U$401,$AH215)="","",INDEX('Per Invoice'!U$2:U$401,$AH215)))</f>
        <v/>
      </c>
      <c r="V215">
        <f>IF($AH215="","",IF(INDEX('Per Invoice'!V$2:V$401,$AH215)="","",INDEX('Per Invoice'!V$2:V$401,$AH215)))</f>
        <v/>
      </c>
      <c r="W215" s="7">
        <f>IF($AH215="","",IF(INDEX('Per Invoice'!W$2:W$401,$AH215)="","",INDEX('Per Invoice'!W$2:W$401,$AH215)))</f>
        <v/>
      </c>
      <c r="X215" s="7">
        <f>IF($AH215="","",IF(INDEX('Per Invoice'!X$2:X$401,$AH215)="","",INDEX('Per Invoice'!X$2:X$401,$AH215)))</f>
        <v/>
      </c>
      <c r="Y215">
        <f>IF($AH215="","",IF(INDEX('Per Invoice'!Y$2:Y$401,$AH215)="","",INDEX('Per Invoice'!Y$2:Y$401,$AH215)))</f>
        <v/>
      </c>
      <c r="Z215" s="7">
        <f>IF($AH215="","",IF(INDEX('Per Invoice'!Z$2:Z$401,$AH215)="","",INDEX('Per Invoice'!Z$2:Z$401,$AH215)))</f>
        <v/>
      </c>
      <c r="AA215" s="7">
        <f>IF($AH215="","",IF(INDEX('Per Invoice'!AA$2:AA$401,$AH215)="","",INDEX('Per Invoice'!AA$2:AA$401,$AH215)))</f>
        <v/>
      </c>
      <c r="AB215" s="7">
        <f>IF($AH215="","",IF(INDEX('Per Invoice'!AB$2:AB$401,$AH215)="","",INDEX('Per Invoice'!AB$2:AB$401,$AH215)))</f>
        <v/>
      </c>
      <c r="AC215" s="7">
        <f>IF($AH215="","",IF(INDEX('Per Invoice'!AC$2:AC$401,$AH215)="","",INDEX('Per Invoice'!AC$2:AC$401,$AH215)))</f>
        <v/>
      </c>
      <c r="AD215" s="7">
        <f>IF($AH215="","",IF(INDEX('Per Invoice'!AD$2:AD$401,$AH215)="","",INDEX('Per Invoice'!AD$2:AD$401,$AH215)))</f>
        <v/>
      </c>
      <c r="AE215" s="7">
        <f>IF($AH215="","",IF(INDEX('Per Invoice'!AE$2:AE$401,$AH215)="","",INDEX('Per Invoice'!AE$2:AE$401,$AH215)))</f>
        <v/>
      </c>
      <c r="AF215">
        <f>IF($AH215="","",IF(INDEX('Per Invoice'!AF$2:AF$401,$AH215)="","",INDEX('Per Invoice'!AF$2:AF$401,$AH215)))</f>
        <v/>
      </c>
      <c r="AG215" s="7">
        <f>IF($AH215="","",IF(INDEX('Per Invoice'!AG$2:AG$401,$AH215)="","",INDEX('Per Invoice'!AG$2:AG$401,$AH215)))</f>
        <v/>
      </c>
      <c r="AH215" s="16">
        <f>IFERROR(MATCH(Settings!$C$26&amp;"|"&amp;ROWS($AH$2:$AH215),'Per Invoice'!$AI$2:$AI$401,0),"")</f>
        <v/>
      </c>
    </row>
    <row r="216">
      <c r="A216">
        <f>IF($AH216="","",IF(INDEX('Per Invoice'!A$2:A$401,$AH216)="","",INDEX('Per Invoice'!A$2:A$401,$AH216)))</f>
        <v/>
      </c>
      <c r="B216">
        <f>IF($AH216="","",IF(INDEX('Per Invoice'!B$2:B$401,$AH216)="","",INDEX('Per Invoice'!B$2:B$401,$AH216)))</f>
        <v/>
      </c>
      <c r="C216">
        <f>IF($AH216="","",IF(INDEX('Per Invoice'!C$2:C$401,$AH216)="","",INDEX('Per Invoice'!C$2:C$401,$AH216)))</f>
        <v/>
      </c>
      <c r="D216">
        <f>IF($AH216="","",IF(INDEX('Per Invoice'!D$2:D$401,$AH216)="","",INDEX('Per Invoice'!D$2:D$401,$AH216)))</f>
        <v/>
      </c>
      <c r="E216">
        <f>IF($AH216="","",IF(INDEX('Per Invoice'!E$2:E$401,$AH216)="","",INDEX('Per Invoice'!E$2:E$401,$AH216)))</f>
        <v/>
      </c>
      <c r="F216">
        <f>IF($AH216="","",IF(INDEX('Per Invoice'!F$2:F$401,$AH216)="","",INDEX('Per Invoice'!F$2:F$401,$AH216)))</f>
        <v/>
      </c>
      <c r="G216">
        <f>IF($AH216="","",IF(INDEX('Per Invoice'!G$2:G$401,$AH216)="","",INDEX('Per Invoice'!G$2:G$401,$AH216)))</f>
        <v/>
      </c>
      <c r="H216">
        <f>IF($AH216="","",IF(INDEX('Per Invoice'!H$2:H$401,$AH216)="","",INDEX('Per Invoice'!H$2:H$401,$AH216)))</f>
        <v/>
      </c>
      <c r="I216" s="14">
        <f>IF($AH216="","",IF(INDEX('Per Invoice'!I$2:I$401,$AH216)="","",INDEX('Per Invoice'!I$2:I$401,$AH216)))</f>
        <v/>
      </c>
      <c r="J216">
        <f>IF($AH216="","",IF(INDEX('Per Invoice'!J$2:J$401,$AH216)="","",INDEX('Per Invoice'!J$2:J$401,$AH216)))</f>
        <v/>
      </c>
      <c r="K216">
        <f>IF($AH216="","",IF(INDEX('Per Invoice'!K$2:K$401,$AH216)="","",INDEX('Per Invoice'!K$2:K$401,$AH216)))</f>
        <v/>
      </c>
      <c r="L216">
        <f>IF($AH216="","",IF(INDEX('Per Invoice'!L$2:L$401,$AH216)="","",INDEX('Per Invoice'!L$2:L$401,$AH216)))</f>
        <v/>
      </c>
      <c r="M216">
        <f>IF($AH216="","",IF(INDEX('Per Invoice'!M$2:M$401,$AH216)="","",INDEX('Per Invoice'!M$2:M$401,$AH216)))</f>
        <v/>
      </c>
      <c r="N216">
        <f>IF($AH216="","",IF(INDEX('Per Invoice'!N$2:N$401,$AH216)="","",INDEX('Per Invoice'!N$2:N$401,$AH216)))</f>
        <v/>
      </c>
      <c r="O216">
        <f>IF($AH216="","",IF(INDEX('Per Invoice'!O$2:O$401,$AH216)="","",INDEX('Per Invoice'!O$2:O$401,$AH216)))</f>
        <v/>
      </c>
      <c r="P216" s="7">
        <f>IF($AH216="","",IF(INDEX('Per Invoice'!P$2:P$401,$AH216)="","",INDEX('Per Invoice'!P$2:P$401,$AH216)))</f>
        <v/>
      </c>
      <c r="Q216">
        <f>IF($AH216="","",IF(INDEX('Per Invoice'!Q$2:Q$401,$AH216)="","",INDEX('Per Invoice'!Q$2:Q$401,$AH216)))</f>
        <v/>
      </c>
      <c r="R216">
        <f>IF($AH216="","",IF(INDEX('Per Invoice'!R$2:R$401,$AH216)="","",INDEX('Per Invoice'!R$2:R$401,$AH216)))</f>
        <v/>
      </c>
      <c r="S216">
        <f>IF($AH216="","",IF(INDEX('Per Invoice'!S$2:S$401,$AH216)="","",INDEX('Per Invoice'!S$2:S$401,$AH216)))</f>
        <v/>
      </c>
      <c r="T216" s="7">
        <f>IF($AH216="","",IF(INDEX('Per Invoice'!T$2:T$401,$AH216)="","",INDEX('Per Invoice'!T$2:T$401,$AH216)))</f>
        <v/>
      </c>
      <c r="U216" s="7">
        <f>IF($AH216="","",IF(INDEX('Per Invoice'!U$2:U$401,$AH216)="","",INDEX('Per Invoice'!U$2:U$401,$AH216)))</f>
        <v/>
      </c>
      <c r="V216">
        <f>IF($AH216="","",IF(INDEX('Per Invoice'!V$2:V$401,$AH216)="","",INDEX('Per Invoice'!V$2:V$401,$AH216)))</f>
        <v/>
      </c>
      <c r="W216" s="7">
        <f>IF($AH216="","",IF(INDEX('Per Invoice'!W$2:W$401,$AH216)="","",INDEX('Per Invoice'!W$2:W$401,$AH216)))</f>
        <v/>
      </c>
      <c r="X216" s="7">
        <f>IF($AH216="","",IF(INDEX('Per Invoice'!X$2:X$401,$AH216)="","",INDEX('Per Invoice'!X$2:X$401,$AH216)))</f>
        <v/>
      </c>
      <c r="Y216">
        <f>IF($AH216="","",IF(INDEX('Per Invoice'!Y$2:Y$401,$AH216)="","",INDEX('Per Invoice'!Y$2:Y$401,$AH216)))</f>
        <v/>
      </c>
      <c r="Z216" s="7">
        <f>IF($AH216="","",IF(INDEX('Per Invoice'!Z$2:Z$401,$AH216)="","",INDEX('Per Invoice'!Z$2:Z$401,$AH216)))</f>
        <v/>
      </c>
      <c r="AA216" s="7">
        <f>IF($AH216="","",IF(INDEX('Per Invoice'!AA$2:AA$401,$AH216)="","",INDEX('Per Invoice'!AA$2:AA$401,$AH216)))</f>
        <v/>
      </c>
      <c r="AB216" s="7">
        <f>IF($AH216="","",IF(INDEX('Per Invoice'!AB$2:AB$401,$AH216)="","",INDEX('Per Invoice'!AB$2:AB$401,$AH216)))</f>
        <v/>
      </c>
      <c r="AC216" s="7">
        <f>IF($AH216="","",IF(INDEX('Per Invoice'!AC$2:AC$401,$AH216)="","",INDEX('Per Invoice'!AC$2:AC$401,$AH216)))</f>
        <v/>
      </c>
      <c r="AD216" s="7">
        <f>IF($AH216="","",IF(INDEX('Per Invoice'!AD$2:AD$401,$AH216)="","",INDEX('Per Invoice'!AD$2:AD$401,$AH216)))</f>
        <v/>
      </c>
      <c r="AE216" s="7">
        <f>IF($AH216="","",IF(INDEX('Per Invoice'!AE$2:AE$401,$AH216)="","",INDEX('Per Invoice'!AE$2:AE$401,$AH216)))</f>
        <v/>
      </c>
      <c r="AF216">
        <f>IF($AH216="","",IF(INDEX('Per Invoice'!AF$2:AF$401,$AH216)="","",INDEX('Per Invoice'!AF$2:AF$401,$AH216)))</f>
        <v/>
      </c>
      <c r="AG216" s="7">
        <f>IF($AH216="","",IF(INDEX('Per Invoice'!AG$2:AG$401,$AH216)="","",INDEX('Per Invoice'!AG$2:AG$401,$AH216)))</f>
        <v/>
      </c>
      <c r="AH216" s="16">
        <f>IFERROR(MATCH(Settings!$C$26&amp;"|"&amp;ROWS($AH$2:$AH216),'Per Invoice'!$AI$2:$AI$401,0),"")</f>
        <v/>
      </c>
    </row>
    <row r="217">
      <c r="A217">
        <f>IF($AH217="","",IF(INDEX('Per Invoice'!A$2:A$401,$AH217)="","",INDEX('Per Invoice'!A$2:A$401,$AH217)))</f>
        <v/>
      </c>
      <c r="B217">
        <f>IF($AH217="","",IF(INDEX('Per Invoice'!B$2:B$401,$AH217)="","",INDEX('Per Invoice'!B$2:B$401,$AH217)))</f>
        <v/>
      </c>
      <c r="C217">
        <f>IF($AH217="","",IF(INDEX('Per Invoice'!C$2:C$401,$AH217)="","",INDEX('Per Invoice'!C$2:C$401,$AH217)))</f>
        <v/>
      </c>
      <c r="D217">
        <f>IF($AH217="","",IF(INDEX('Per Invoice'!D$2:D$401,$AH217)="","",INDEX('Per Invoice'!D$2:D$401,$AH217)))</f>
        <v/>
      </c>
      <c r="E217">
        <f>IF($AH217="","",IF(INDEX('Per Invoice'!E$2:E$401,$AH217)="","",INDEX('Per Invoice'!E$2:E$401,$AH217)))</f>
        <v/>
      </c>
      <c r="F217">
        <f>IF($AH217="","",IF(INDEX('Per Invoice'!F$2:F$401,$AH217)="","",INDEX('Per Invoice'!F$2:F$401,$AH217)))</f>
        <v/>
      </c>
      <c r="G217">
        <f>IF($AH217="","",IF(INDEX('Per Invoice'!G$2:G$401,$AH217)="","",INDEX('Per Invoice'!G$2:G$401,$AH217)))</f>
        <v/>
      </c>
      <c r="H217">
        <f>IF($AH217="","",IF(INDEX('Per Invoice'!H$2:H$401,$AH217)="","",INDEX('Per Invoice'!H$2:H$401,$AH217)))</f>
        <v/>
      </c>
      <c r="I217" s="14">
        <f>IF($AH217="","",IF(INDEX('Per Invoice'!I$2:I$401,$AH217)="","",INDEX('Per Invoice'!I$2:I$401,$AH217)))</f>
        <v/>
      </c>
      <c r="J217">
        <f>IF($AH217="","",IF(INDEX('Per Invoice'!J$2:J$401,$AH217)="","",INDEX('Per Invoice'!J$2:J$401,$AH217)))</f>
        <v/>
      </c>
      <c r="K217">
        <f>IF($AH217="","",IF(INDEX('Per Invoice'!K$2:K$401,$AH217)="","",INDEX('Per Invoice'!K$2:K$401,$AH217)))</f>
        <v/>
      </c>
      <c r="L217">
        <f>IF($AH217="","",IF(INDEX('Per Invoice'!L$2:L$401,$AH217)="","",INDEX('Per Invoice'!L$2:L$401,$AH217)))</f>
        <v/>
      </c>
      <c r="M217">
        <f>IF($AH217="","",IF(INDEX('Per Invoice'!M$2:M$401,$AH217)="","",INDEX('Per Invoice'!M$2:M$401,$AH217)))</f>
        <v/>
      </c>
      <c r="N217">
        <f>IF($AH217="","",IF(INDEX('Per Invoice'!N$2:N$401,$AH217)="","",INDEX('Per Invoice'!N$2:N$401,$AH217)))</f>
        <v/>
      </c>
      <c r="O217">
        <f>IF($AH217="","",IF(INDEX('Per Invoice'!O$2:O$401,$AH217)="","",INDEX('Per Invoice'!O$2:O$401,$AH217)))</f>
        <v/>
      </c>
      <c r="P217" s="7">
        <f>IF($AH217="","",IF(INDEX('Per Invoice'!P$2:P$401,$AH217)="","",INDEX('Per Invoice'!P$2:P$401,$AH217)))</f>
        <v/>
      </c>
      <c r="Q217">
        <f>IF($AH217="","",IF(INDEX('Per Invoice'!Q$2:Q$401,$AH217)="","",INDEX('Per Invoice'!Q$2:Q$401,$AH217)))</f>
        <v/>
      </c>
      <c r="R217">
        <f>IF($AH217="","",IF(INDEX('Per Invoice'!R$2:R$401,$AH217)="","",INDEX('Per Invoice'!R$2:R$401,$AH217)))</f>
        <v/>
      </c>
      <c r="S217">
        <f>IF($AH217="","",IF(INDEX('Per Invoice'!S$2:S$401,$AH217)="","",INDEX('Per Invoice'!S$2:S$401,$AH217)))</f>
        <v/>
      </c>
      <c r="T217" s="7">
        <f>IF($AH217="","",IF(INDEX('Per Invoice'!T$2:T$401,$AH217)="","",INDEX('Per Invoice'!T$2:T$401,$AH217)))</f>
        <v/>
      </c>
      <c r="U217" s="7">
        <f>IF($AH217="","",IF(INDEX('Per Invoice'!U$2:U$401,$AH217)="","",INDEX('Per Invoice'!U$2:U$401,$AH217)))</f>
        <v/>
      </c>
      <c r="V217">
        <f>IF($AH217="","",IF(INDEX('Per Invoice'!V$2:V$401,$AH217)="","",INDEX('Per Invoice'!V$2:V$401,$AH217)))</f>
        <v/>
      </c>
      <c r="W217" s="7">
        <f>IF($AH217="","",IF(INDEX('Per Invoice'!W$2:W$401,$AH217)="","",INDEX('Per Invoice'!W$2:W$401,$AH217)))</f>
        <v/>
      </c>
      <c r="X217" s="7">
        <f>IF($AH217="","",IF(INDEX('Per Invoice'!X$2:X$401,$AH217)="","",INDEX('Per Invoice'!X$2:X$401,$AH217)))</f>
        <v/>
      </c>
      <c r="Y217">
        <f>IF($AH217="","",IF(INDEX('Per Invoice'!Y$2:Y$401,$AH217)="","",INDEX('Per Invoice'!Y$2:Y$401,$AH217)))</f>
        <v/>
      </c>
      <c r="Z217" s="7">
        <f>IF($AH217="","",IF(INDEX('Per Invoice'!Z$2:Z$401,$AH217)="","",INDEX('Per Invoice'!Z$2:Z$401,$AH217)))</f>
        <v/>
      </c>
      <c r="AA217" s="7">
        <f>IF($AH217="","",IF(INDEX('Per Invoice'!AA$2:AA$401,$AH217)="","",INDEX('Per Invoice'!AA$2:AA$401,$AH217)))</f>
        <v/>
      </c>
      <c r="AB217" s="7">
        <f>IF($AH217="","",IF(INDEX('Per Invoice'!AB$2:AB$401,$AH217)="","",INDEX('Per Invoice'!AB$2:AB$401,$AH217)))</f>
        <v/>
      </c>
      <c r="AC217" s="7">
        <f>IF($AH217="","",IF(INDEX('Per Invoice'!AC$2:AC$401,$AH217)="","",INDEX('Per Invoice'!AC$2:AC$401,$AH217)))</f>
        <v/>
      </c>
      <c r="AD217" s="7">
        <f>IF($AH217="","",IF(INDEX('Per Invoice'!AD$2:AD$401,$AH217)="","",INDEX('Per Invoice'!AD$2:AD$401,$AH217)))</f>
        <v/>
      </c>
      <c r="AE217" s="7">
        <f>IF($AH217="","",IF(INDEX('Per Invoice'!AE$2:AE$401,$AH217)="","",INDEX('Per Invoice'!AE$2:AE$401,$AH217)))</f>
        <v/>
      </c>
      <c r="AF217">
        <f>IF($AH217="","",IF(INDEX('Per Invoice'!AF$2:AF$401,$AH217)="","",INDEX('Per Invoice'!AF$2:AF$401,$AH217)))</f>
        <v/>
      </c>
      <c r="AG217" s="7">
        <f>IF($AH217="","",IF(INDEX('Per Invoice'!AG$2:AG$401,$AH217)="","",INDEX('Per Invoice'!AG$2:AG$401,$AH217)))</f>
        <v/>
      </c>
      <c r="AH217" s="16">
        <f>IFERROR(MATCH(Settings!$C$26&amp;"|"&amp;ROWS($AH$2:$AH217),'Per Invoice'!$AI$2:$AI$401,0),"")</f>
        <v/>
      </c>
    </row>
    <row r="218">
      <c r="A218">
        <f>IF($AH218="","",IF(INDEX('Per Invoice'!A$2:A$401,$AH218)="","",INDEX('Per Invoice'!A$2:A$401,$AH218)))</f>
        <v/>
      </c>
      <c r="B218">
        <f>IF($AH218="","",IF(INDEX('Per Invoice'!B$2:B$401,$AH218)="","",INDEX('Per Invoice'!B$2:B$401,$AH218)))</f>
        <v/>
      </c>
      <c r="C218">
        <f>IF($AH218="","",IF(INDEX('Per Invoice'!C$2:C$401,$AH218)="","",INDEX('Per Invoice'!C$2:C$401,$AH218)))</f>
        <v/>
      </c>
      <c r="D218">
        <f>IF($AH218="","",IF(INDEX('Per Invoice'!D$2:D$401,$AH218)="","",INDEX('Per Invoice'!D$2:D$401,$AH218)))</f>
        <v/>
      </c>
      <c r="E218">
        <f>IF($AH218="","",IF(INDEX('Per Invoice'!E$2:E$401,$AH218)="","",INDEX('Per Invoice'!E$2:E$401,$AH218)))</f>
        <v/>
      </c>
      <c r="F218">
        <f>IF($AH218="","",IF(INDEX('Per Invoice'!F$2:F$401,$AH218)="","",INDEX('Per Invoice'!F$2:F$401,$AH218)))</f>
        <v/>
      </c>
      <c r="G218">
        <f>IF($AH218="","",IF(INDEX('Per Invoice'!G$2:G$401,$AH218)="","",INDEX('Per Invoice'!G$2:G$401,$AH218)))</f>
        <v/>
      </c>
      <c r="H218">
        <f>IF($AH218="","",IF(INDEX('Per Invoice'!H$2:H$401,$AH218)="","",INDEX('Per Invoice'!H$2:H$401,$AH218)))</f>
        <v/>
      </c>
      <c r="I218" s="14">
        <f>IF($AH218="","",IF(INDEX('Per Invoice'!I$2:I$401,$AH218)="","",INDEX('Per Invoice'!I$2:I$401,$AH218)))</f>
        <v/>
      </c>
      <c r="J218">
        <f>IF($AH218="","",IF(INDEX('Per Invoice'!J$2:J$401,$AH218)="","",INDEX('Per Invoice'!J$2:J$401,$AH218)))</f>
        <v/>
      </c>
      <c r="K218">
        <f>IF($AH218="","",IF(INDEX('Per Invoice'!K$2:K$401,$AH218)="","",INDEX('Per Invoice'!K$2:K$401,$AH218)))</f>
        <v/>
      </c>
      <c r="L218">
        <f>IF($AH218="","",IF(INDEX('Per Invoice'!L$2:L$401,$AH218)="","",INDEX('Per Invoice'!L$2:L$401,$AH218)))</f>
        <v/>
      </c>
      <c r="M218">
        <f>IF($AH218="","",IF(INDEX('Per Invoice'!M$2:M$401,$AH218)="","",INDEX('Per Invoice'!M$2:M$401,$AH218)))</f>
        <v/>
      </c>
      <c r="N218">
        <f>IF($AH218="","",IF(INDEX('Per Invoice'!N$2:N$401,$AH218)="","",INDEX('Per Invoice'!N$2:N$401,$AH218)))</f>
        <v/>
      </c>
      <c r="O218">
        <f>IF($AH218="","",IF(INDEX('Per Invoice'!O$2:O$401,$AH218)="","",INDEX('Per Invoice'!O$2:O$401,$AH218)))</f>
        <v/>
      </c>
      <c r="P218" s="7">
        <f>IF($AH218="","",IF(INDEX('Per Invoice'!P$2:P$401,$AH218)="","",INDEX('Per Invoice'!P$2:P$401,$AH218)))</f>
        <v/>
      </c>
      <c r="Q218">
        <f>IF($AH218="","",IF(INDEX('Per Invoice'!Q$2:Q$401,$AH218)="","",INDEX('Per Invoice'!Q$2:Q$401,$AH218)))</f>
        <v/>
      </c>
      <c r="R218">
        <f>IF($AH218="","",IF(INDEX('Per Invoice'!R$2:R$401,$AH218)="","",INDEX('Per Invoice'!R$2:R$401,$AH218)))</f>
        <v/>
      </c>
      <c r="S218">
        <f>IF($AH218="","",IF(INDEX('Per Invoice'!S$2:S$401,$AH218)="","",INDEX('Per Invoice'!S$2:S$401,$AH218)))</f>
        <v/>
      </c>
      <c r="T218" s="7">
        <f>IF($AH218="","",IF(INDEX('Per Invoice'!T$2:T$401,$AH218)="","",INDEX('Per Invoice'!T$2:T$401,$AH218)))</f>
        <v/>
      </c>
      <c r="U218" s="7">
        <f>IF($AH218="","",IF(INDEX('Per Invoice'!U$2:U$401,$AH218)="","",INDEX('Per Invoice'!U$2:U$401,$AH218)))</f>
        <v/>
      </c>
      <c r="V218">
        <f>IF($AH218="","",IF(INDEX('Per Invoice'!V$2:V$401,$AH218)="","",INDEX('Per Invoice'!V$2:V$401,$AH218)))</f>
        <v/>
      </c>
      <c r="W218" s="7">
        <f>IF($AH218="","",IF(INDEX('Per Invoice'!W$2:W$401,$AH218)="","",INDEX('Per Invoice'!W$2:W$401,$AH218)))</f>
        <v/>
      </c>
      <c r="X218" s="7">
        <f>IF($AH218="","",IF(INDEX('Per Invoice'!X$2:X$401,$AH218)="","",INDEX('Per Invoice'!X$2:X$401,$AH218)))</f>
        <v/>
      </c>
      <c r="Y218">
        <f>IF($AH218="","",IF(INDEX('Per Invoice'!Y$2:Y$401,$AH218)="","",INDEX('Per Invoice'!Y$2:Y$401,$AH218)))</f>
        <v/>
      </c>
      <c r="Z218" s="7">
        <f>IF($AH218="","",IF(INDEX('Per Invoice'!Z$2:Z$401,$AH218)="","",INDEX('Per Invoice'!Z$2:Z$401,$AH218)))</f>
        <v/>
      </c>
      <c r="AA218" s="7">
        <f>IF($AH218="","",IF(INDEX('Per Invoice'!AA$2:AA$401,$AH218)="","",INDEX('Per Invoice'!AA$2:AA$401,$AH218)))</f>
        <v/>
      </c>
      <c r="AB218" s="7">
        <f>IF($AH218="","",IF(INDEX('Per Invoice'!AB$2:AB$401,$AH218)="","",INDEX('Per Invoice'!AB$2:AB$401,$AH218)))</f>
        <v/>
      </c>
      <c r="AC218" s="7">
        <f>IF($AH218="","",IF(INDEX('Per Invoice'!AC$2:AC$401,$AH218)="","",INDEX('Per Invoice'!AC$2:AC$401,$AH218)))</f>
        <v/>
      </c>
      <c r="AD218" s="7">
        <f>IF($AH218="","",IF(INDEX('Per Invoice'!AD$2:AD$401,$AH218)="","",INDEX('Per Invoice'!AD$2:AD$401,$AH218)))</f>
        <v/>
      </c>
      <c r="AE218" s="7">
        <f>IF($AH218="","",IF(INDEX('Per Invoice'!AE$2:AE$401,$AH218)="","",INDEX('Per Invoice'!AE$2:AE$401,$AH218)))</f>
        <v/>
      </c>
      <c r="AF218">
        <f>IF($AH218="","",IF(INDEX('Per Invoice'!AF$2:AF$401,$AH218)="","",INDEX('Per Invoice'!AF$2:AF$401,$AH218)))</f>
        <v/>
      </c>
      <c r="AG218" s="7">
        <f>IF($AH218="","",IF(INDEX('Per Invoice'!AG$2:AG$401,$AH218)="","",INDEX('Per Invoice'!AG$2:AG$401,$AH218)))</f>
        <v/>
      </c>
      <c r="AH218" s="16">
        <f>IFERROR(MATCH(Settings!$C$26&amp;"|"&amp;ROWS($AH$2:$AH218),'Per Invoice'!$AI$2:$AI$401,0),"")</f>
        <v/>
      </c>
    </row>
    <row r="219">
      <c r="A219">
        <f>IF($AH219="","",IF(INDEX('Per Invoice'!A$2:A$401,$AH219)="","",INDEX('Per Invoice'!A$2:A$401,$AH219)))</f>
        <v/>
      </c>
      <c r="B219">
        <f>IF($AH219="","",IF(INDEX('Per Invoice'!B$2:B$401,$AH219)="","",INDEX('Per Invoice'!B$2:B$401,$AH219)))</f>
        <v/>
      </c>
      <c r="C219">
        <f>IF($AH219="","",IF(INDEX('Per Invoice'!C$2:C$401,$AH219)="","",INDEX('Per Invoice'!C$2:C$401,$AH219)))</f>
        <v/>
      </c>
      <c r="D219">
        <f>IF($AH219="","",IF(INDEX('Per Invoice'!D$2:D$401,$AH219)="","",INDEX('Per Invoice'!D$2:D$401,$AH219)))</f>
        <v/>
      </c>
      <c r="E219">
        <f>IF($AH219="","",IF(INDEX('Per Invoice'!E$2:E$401,$AH219)="","",INDEX('Per Invoice'!E$2:E$401,$AH219)))</f>
        <v/>
      </c>
      <c r="F219">
        <f>IF($AH219="","",IF(INDEX('Per Invoice'!F$2:F$401,$AH219)="","",INDEX('Per Invoice'!F$2:F$401,$AH219)))</f>
        <v/>
      </c>
      <c r="G219">
        <f>IF($AH219="","",IF(INDEX('Per Invoice'!G$2:G$401,$AH219)="","",INDEX('Per Invoice'!G$2:G$401,$AH219)))</f>
        <v/>
      </c>
      <c r="H219">
        <f>IF($AH219="","",IF(INDEX('Per Invoice'!H$2:H$401,$AH219)="","",INDEX('Per Invoice'!H$2:H$401,$AH219)))</f>
        <v/>
      </c>
      <c r="I219" s="14">
        <f>IF($AH219="","",IF(INDEX('Per Invoice'!I$2:I$401,$AH219)="","",INDEX('Per Invoice'!I$2:I$401,$AH219)))</f>
        <v/>
      </c>
      <c r="J219">
        <f>IF($AH219="","",IF(INDEX('Per Invoice'!J$2:J$401,$AH219)="","",INDEX('Per Invoice'!J$2:J$401,$AH219)))</f>
        <v/>
      </c>
      <c r="K219">
        <f>IF($AH219="","",IF(INDEX('Per Invoice'!K$2:K$401,$AH219)="","",INDEX('Per Invoice'!K$2:K$401,$AH219)))</f>
        <v/>
      </c>
      <c r="L219">
        <f>IF($AH219="","",IF(INDEX('Per Invoice'!L$2:L$401,$AH219)="","",INDEX('Per Invoice'!L$2:L$401,$AH219)))</f>
        <v/>
      </c>
      <c r="M219">
        <f>IF($AH219="","",IF(INDEX('Per Invoice'!M$2:M$401,$AH219)="","",INDEX('Per Invoice'!M$2:M$401,$AH219)))</f>
        <v/>
      </c>
      <c r="N219">
        <f>IF($AH219="","",IF(INDEX('Per Invoice'!N$2:N$401,$AH219)="","",INDEX('Per Invoice'!N$2:N$401,$AH219)))</f>
        <v/>
      </c>
      <c r="O219">
        <f>IF($AH219="","",IF(INDEX('Per Invoice'!O$2:O$401,$AH219)="","",INDEX('Per Invoice'!O$2:O$401,$AH219)))</f>
        <v/>
      </c>
      <c r="P219" s="7">
        <f>IF($AH219="","",IF(INDEX('Per Invoice'!P$2:P$401,$AH219)="","",INDEX('Per Invoice'!P$2:P$401,$AH219)))</f>
        <v/>
      </c>
      <c r="Q219">
        <f>IF($AH219="","",IF(INDEX('Per Invoice'!Q$2:Q$401,$AH219)="","",INDEX('Per Invoice'!Q$2:Q$401,$AH219)))</f>
        <v/>
      </c>
      <c r="R219">
        <f>IF($AH219="","",IF(INDEX('Per Invoice'!R$2:R$401,$AH219)="","",INDEX('Per Invoice'!R$2:R$401,$AH219)))</f>
        <v/>
      </c>
      <c r="S219">
        <f>IF($AH219="","",IF(INDEX('Per Invoice'!S$2:S$401,$AH219)="","",INDEX('Per Invoice'!S$2:S$401,$AH219)))</f>
        <v/>
      </c>
      <c r="T219" s="7">
        <f>IF($AH219="","",IF(INDEX('Per Invoice'!T$2:T$401,$AH219)="","",INDEX('Per Invoice'!T$2:T$401,$AH219)))</f>
        <v/>
      </c>
      <c r="U219" s="7">
        <f>IF($AH219="","",IF(INDEX('Per Invoice'!U$2:U$401,$AH219)="","",INDEX('Per Invoice'!U$2:U$401,$AH219)))</f>
        <v/>
      </c>
      <c r="V219">
        <f>IF($AH219="","",IF(INDEX('Per Invoice'!V$2:V$401,$AH219)="","",INDEX('Per Invoice'!V$2:V$401,$AH219)))</f>
        <v/>
      </c>
      <c r="W219" s="7">
        <f>IF($AH219="","",IF(INDEX('Per Invoice'!W$2:W$401,$AH219)="","",INDEX('Per Invoice'!W$2:W$401,$AH219)))</f>
        <v/>
      </c>
      <c r="X219" s="7">
        <f>IF($AH219="","",IF(INDEX('Per Invoice'!X$2:X$401,$AH219)="","",INDEX('Per Invoice'!X$2:X$401,$AH219)))</f>
        <v/>
      </c>
      <c r="Y219">
        <f>IF($AH219="","",IF(INDEX('Per Invoice'!Y$2:Y$401,$AH219)="","",INDEX('Per Invoice'!Y$2:Y$401,$AH219)))</f>
        <v/>
      </c>
      <c r="Z219" s="7">
        <f>IF($AH219="","",IF(INDEX('Per Invoice'!Z$2:Z$401,$AH219)="","",INDEX('Per Invoice'!Z$2:Z$401,$AH219)))</f>
        <v/>
      </c>
      <c r="AA219" s="7">
        <f>IF($AH219="","",IF(INDEX('Per Invoice'!AA$2:AA$401,$AH219)="","",INDEX('Per Invoice'!AA$2:AA$401,$AH219)))</f>
        <v/>
      </c>
      <c r="AB219" s="7">
        <f>IF($AH219="","",IF(INDEX('Per Invoice'!AB$2:AB$401,$AH219)="","",INDEX('Per Invoice'!AB$2:AB$401,$AH219)))</f>
        <v/>
      </c>
      <c r="AC219" s="7">
        <f>IF($AH219="","",IF(INDEX('Per Invoice'!AC$2:AC$401,$AH219)="","",INDEX('Per Invoice'!AC$2:AC$401,$AH219)))</f>
        <v/>
      </c>
      <c r="AD219" s="7">
        <f>IF($AH219="","",IF(INDEX('Per Invoice'!AD$2:AD$401,$AH219)="","",INDEX('Per Invoice'!AD$2:AD$401,$AH219)))</f>
        <v/>
      </c>
      <c r="AE219" s="7">
        <f>IF($AH219="","",IF(INDEX('Per Invoice'!AE$2:AE$401,$AH219)="","",INDEX('Per Invoice'!AE$2:AE$401,$AH219)))</f>
        <v/>
      </c>
      <c r="AF219">
        <f>IF($AH219="","",IF(INDEX('Per Invoice'!AF$2:AF$401,$AH219)="","",INDEX('Per Invoice'!AF$2:AF$401,$AH219)))</f>
        <v/>
      </c>
      <c r="AG219" s="7">
        <f>IF($AH219="","",IF(INDEX('Per Invoice'!AG$2:AG$401,$AH219)="","",INDEX('Per Invoice'!AG$2:AG$401,$AH219)))</f>
        <v/>
      </c>
      <c r="AH219" s="16">
        <f>IFERROR(MATCH(Settings!$C$26&amp;"|"&amp;ROWS($AH$2:$AH219),'Per Invoice'!$AI$2:$AI$401,0),"")</f>
        <v/>
      </c>
    </row>
    <row r="220">
      <c r="A220">
        <f>IF($AH220="","",IF(INDEX('Per Invoice'!A$2:A$401,$AH220)="","",INDEX('Per Invoice'!A$2:A$401,$AH220)))</f>
        <v/>
      </c>
      <c r="B220">
        <f>IF($AH220="","",IF(INDEX('Per Invoice'!B$2:B$401,$AH220)="","",INDEX('Per Invoice'!B$2:B$401,$AH220)))</f>
        <v/>
      </c>
      <c r="C220">
        <f>IF($AH220="","",IF(INDEX('Per Invoice'!C$2:C$401,$AH220)="","",INDEX('Per Invoice'!C$2:C$401,$AH220)))</f>
        <v/>
      </c>
      <c r="D220">
        <f>IF($AH220="","",IF(INDEX('Per Invoice'!D$2:D$401,$AH220)="","",INDEX('Per Invoice'!D$2:D$401,$AH220)))</f>
        <v/>
      </c>
      <c r="E220">
        <f>IF($AH220="","",IF(INDEX('Per Invoice'!E$2:E$401,$AH220)="","",INDEX('Per Invoice'!E$2:E$401,$AH220)))</f>
        <v/>
      </c>
      <c r="F220">
        <f>IF($AH220="","",IF(INDEX('Per Invoice'!F$2:F$401,$AH220)="","",INDEX('Per Invoice'!F$2:F$401,$AH220)))</f>
        <v/>
      </c>
      <c r="G220">
        <f>IF($AH220="","",IF(INDEX('Per Invoice'!G$2:G$401,$AH220)="","",INDEX('Per Invoice'!G$2:G$401,$AH220)))</f>
        <v/>
      </c>
      <c r="H220">
        <f>IF($AH220="","",IF(INDEX('Per Invoice'!H$2:H$401,$AH220)="","",INDEX('Per Invoice'!H$2:H$401,$AH220)))</f>
        <v/>
      </c>
      <c r="I220" s="14">
        <f>IF($AH220="","",IF(INDEX('Per Invoice'!I$2:I$401,$AH220)="","",INDEX('Per Invoice'!I$2:I$401,$AH220)))</f>
        <v/>
      </c>
      <c r="J220">
        <f>IF($AH220="","",IF(INDEX('Per Invoice'!J$2:J$401,$AH220)="","",INDEX('Per Invoice'!J$2:J$401,$AH220)))</f>
        <v/>
      </c>
      <c r="K220">
        <f>IF($AH220="","",IF(INDEX('Per Invoice'!K$2:K$401,$AH220)="","",INDEX('Per Invoice'!K$2:K$401,$AH220)))</f>
        <v/>
      </c>
      <c r="L220">
        <f>IF($AH220="","",IF(INDEX('Per Invoice'!L$2:L$401,$AH220)="","",INDEX('Per Invoice'!L$2:L$401,$AH220)))</f>
        <v/>
      </c>
      <c r="M220">
        <f>IF($AH220="","",IF(INDEX('Per Invoice'!M$2:M$401,$AH220)="","",INDEX('Per Invoice'!M$2:M$401,$AH220)))</f>
        <v/>
      </c>
      <c r="N220">
        <f>IF($AH220="","",IF(INDEX('Per Invoice'!N$2:N$401,$AH220)="","",INDEX('Per Invoice'!N$2:N$401,$AH220)))</f>
        <v/>
      </c>
      <c r="O220">
        <f>IF($AH220="","",IF(INDEX('Per Invoice'!O$2:O$401,$AH220)="","",INDEX('Per Invoice'!O$2:O$401,$AH220)))</f>
        <v/>
      </c>
      <c r="P220" s="7">
        <f>IF($AH220="","",IF(INDEX('Per Invoice'!P$2:P$401,$AH220)="","",INDEX('Per Invoice'!P$2:P$401,$AH220)))</f>
        <v/>
      </c>
      <c r="Q220">
        <f>IF($AH220="","",IF(INDEX('Per Invoice'!Q$2:Q$401,$AH220)="","",INDEX('Per Invoice'!Q$2:Q$401,$AH220)))</f>
        <v/>
      </c>
      <c r="R220">
        <f>IF($AH220="","",IF(INDEX('Per Invoice'!R$2:R$401,$AH220)="","",INDEX('Per Invoice'!R$2:R$401,$AH220)))</f>
        <v/>
      </c>
      <c r="S220">
        <f>IF($AH220="","",IF(INDEX('Per Invoice'!S$2:S$401,$AH220)="","",INDEX('Per Invoice'!S$2:S$401,$AH220)))</f>
        <v/>
      </c>
      <c r="T220" s="7">
        <f>IF($AH220="","",IF(INDEX('Per Invoice'!T$2:T$401,$AH220)="","",INDEX('Per Invoice'!T$2:T$401,$AH220)))</f>
        <v/>
      </c>
      <c r="U220" s="7">
        <f>IF($AH220="","",IF(INDEX('Per Invoice'!U$2:U$401,$AH220)="","",INDEX('Per Invoice'!U$2:U$401,$AH220)))</f>
        <v/>
      </c>
      <c r="V220">
        <f>IF($AH220="","",IF(INDEX('Per Invoice'!V$2:V$401,$AH220)="","",INDEX('Per Invoice'!V$2:V$401,$AH220)))</f>
        <v/>
      </c>
      <c r="W220" s="7">
        <f>IF($AH220="","",IF(INDEX('Per Invoice'!W$2:W$401,$AH220)="","",INDEX('Per Invoice'!W$2:W$401,$AH220)))</f>
        <v/>
      </c>
      <c r="X220" s="7">
        <f>IF($AH220="","",IF(INDEX('Per Invoice'!X$2:X$401,$AH220)="","",INDEX('Per Invoice'!X$2:X$401,$AH220)))</f>
        <v/>
      </c>
      <c r="Y220">
        <f>IF($AH220="","",IF(INDEX('Per Invoice'!Y$2:Y$401,$AH220)="","",INDEX('Per Invoice'!Y$2:Y$401,$AH220)))</f>
        <v/>
      </c>
      <c r="Z220" s="7">
        <f>IF($AH220="","",IF(INDEX('Per Invoice'!Z$2:Z$401,$AH220)="","",INDEX('Per Invoice'!Z$2:Z$401,$AH220)))</f>
        <v/>
      </c>
      <c r="AA220" s="7">
        <f>IF($AH220="","",IF(INDEX('Per Invoice'!AA$2:AA$401,$AH220)="","",INDEX('Per Invoice'!AA$2:AA$401,$AH220)))</f>
        <v/>
      </c>
      <c r="AB220" s="7">
        <f>IF($AH220="","",IF(INDEX('Per Invoice'!AB$2:AB$401,$AH220)="","",INDEX('Per Invoice'!AB$2:AB$401,$AH220)))</f>
        <v/>
      </c>
      <c r="AC220" s="7">
        <f>IF($AH220="","",IF(INDEX('Per Invoice'!AC$2:AC$401,$AH220)="","",INDEX('Per Invoice'!AC$2:AC$401,$AH220)))</f>
        <v/>
      </c>
      <c r="AD220" s="7">
        <f>IF($AH220="","",IF(INDEX('Per Invoice'!AD$2:AD$401,$AH220)="","",INDEX('Per Invoice'!AD$2:AD$401,$AH220)))</f>
        <v/>
      </c>
      <c r="AE220" s="7">
        <f>IF($AH220="","",IF(INDEX('Per Invoice'!AE$2:AE$401,$AH220)="","",INDEX('Per Invoice'!AE$2:AE$401,$AH220)))</f>
        <v/>
      </c>
      <c r="AF220">
        <f>IF($AH220="","",IF(INDEX('Per Invoice'!AF$2:AF$401,$AH220)="","",INDEX('Per Invoice'!AF$2:AF$401,$AH220)))</f>
        <v/>
      </c>
      <c r="AG220" s="7">
        <f>IF($AH220="","",IF(INDEX('Per Invoice'!AG$2:AG$401,$AH220)="","",INDEX('Per Invoice'!AG$2:AG$401,$AH220)))</f>
        <v/>
      </c>
      <c r="AH220" s="16">
        <f>IFERROR(MATCH(Settings!$C$26&amp;"|"&amp;ROWS($AH$2:$AH220),'Per Invoice'!$AI$2:$AI$401,0),"")</f>
        <v/>
      </c>
    </row>
    <row r="221">
      <c r="A221">
        <f>IF($AH221="","",IF(INDEX('Per Invoice'!A$2:A$401,$AH221)="","",INDEX('Per Invoice'!A$2:A$401,$AH221)))</f>
        <v/>
      </c>
      <c r="B221">
        <f>IF($AH221="","",IF(INDEX('Per Invoice'!B$2:B$401,$AH221)="","",INDEX('Per Invoice'!B$2:B$401,$AH221)))</f>
        <v/>
      </c>
      <c r="C221">
        <f>IF($AH221="","",IF(INDEX('Per Invoice'!C$2:C$401,$AH221)="","",INDEX('Per Invoice'!C$2:C$401,$AH221)))</f>
        <v/>
      </c>
      <c r="D221">
        <f>IF($AH221="","",IF(INDEX('Per Invoice'!D$2:D$401,$AH221)="","",INDEX('Per Invoice'!D$2:D$401,$AH221)))</f>
        <v/>
      </c>
      <c r="E221">
        <f>IF($AH221="","",IF(INDEX('Per Invoice'!E$2:E$401,$AH221)="","",INDEX('Per Invoice'!E$2:E$401,$AH221)))</f>
        <v/>
      </c>
      <c r="F221">
        <f>IF($AH221="","",IF(INDEX('Per Invoice'!F$2:F$401,$AH221)="","",INDEX('Per Invoice'!F$2:F$401,$AH221)))</f>
        <v/>
      </c>
      <c r="G221">
        <f>IF($AH221="","",IF(INDEX('Per Invoice'!G$2:G$401,$AH221)="","",INDEX('Per Invoice'!G$2:G$401,$AH221)))</f>
        <v/>
      </c>
      <c r="H221">
        <f>IF($AH221="","",IF(INDEX('Per Invoice'!H$2:H$401,$AH221)="","",INDEX('Per Invoice'!H$2:H$401,$AH221)))</f>
        <v/>
      </c>
      <c r="I221" s="14">
        <f>IF($AH221="","",IF(INDEX('Per Invoice'!I$2:I$401,$AH221)="","",INDEX('Per Invoice'!I$2:I$401,$AH221)))</f>
        <v/>
      </c>
      <c r="J221">
        <f>IF($AH221="","",IF(INDEX('Per Invoice'!J$2:J$401,$AH221)="","",INDEX('Per Invoice'!J$2:J$401,$AH221)))</f>
        <v/>
      </c>
      <c r="K221">
        <f>IF($AH221="","",IF(INDEX('Per Invoice'!K$2:K$401,$AH221)="","",INDEX('Per Invoice'!K$2:K$401,$AH221)))</f>
        <v/>
      </c>
      <c r="L221">
        <f>IF($AH221="","",IF(INDEX('Per Invoice'!L$2:L$401,$AH221)="","",INDEX('Per Invoice'!L$2:L$401,$AH221)))</f>
        <v/>
      </c>
      <c r="M221">
        <f>IF($AH221="","",IF(INDEX('Per Invoice'!M$2:M$401,$AH221)="","",INDEX('Per Invoice'!M$2:M$401,$AH221)))</f>
        <v/>
      </c>
      <c r="N221">
        <f>IF($AH221="","",IF(INDEX('Per Invoice'!N$2:N$401,$AH221)="","",INDEX('Per Invoice'!N$2:N$401,$AH221)))</f>
        <v/>
      </c>
      <c r="O221">
        <f>IF($AH221="","",IF(INDEX('Per Invoice'!O$2:O$401,$AH221)="","",INDEX('Per Invoice'!O$2:O$401,$AH221)))</f>
        <v/>
      </c>
      <c r="P221" s="7">
        <f>IF($AH221="","",IF(INDEX('Per Invoice'!P$2:P$401,$AH221)="","",INDEX('Per Invoice'!P$2:P$401,$AH221)))</f>
        <v/>
      </c>
      <c r="Q221">
        <f>IF($AH221="","",IF(INDEX('Per Invoice'!Q$2:Q$401,$AH221)="","",INDEX('Per Invoice'!Q$2:Q$401,$AH221)))</f>
        <v/>
      </c>
      <c r="R221">
        <f>IF($AH221="","",IF(INDEX('Per Invoice'!R$2:R$401,$AH221)="","",INDEX('Per Invoice'!R$2:R$401,$AH221)))</f>
        <v/>
      </c>
      <c r="S221">
        <f>IF($AH221="","",IF(INDEX('Per Invoice'!S$2:S$401,$AH221)="","",INDEX('Per Invoice'!S$2:S$401,$AH221)))</f>
        <v/>
      </c>
      <c r="T221" s="7">
        <f>IF($AH221="","",IF(INDEX('Per Invoice'!T$2:T$401,$AH221)="","",INDEX('Per Invoice'!T$2:T$401,$AH221)))</f>
        <v/>
      </c>
      <c r="U221" s="7">
        <f>IF($AH221="","",IF(INDEX('Per Invoice'!U$2:U$401,$AH221)="","",INDEX('Per Invoice'!U$2:U$401,$AH221)))</f>
        <v/>
      </c>
      <c r="V221">
        <f>IF($AH221="","",IF(INDEX('Per Invoice'!V$2:V$401,$AH221)="","",INDEX('Per Invoice'!V$2:V$401,$AH221)))</f>
        <v/>
      </c>
      <c r="W221" s="7">
        <f>IF($AH221="","",IF(INDEX('Per Invoice'!W$2:W$401,$AH221)="","",INDEX('Per Invoice'!W$2:W$401,$AH221)))</f>
        <v/>
      </c>
      <c r="X221" s="7">
        <f>IF($AH221="","",IF(INDEX('Per Invoice'!X$2:X$401,$AH221)="","",INDEX('Per Invoice'!X$2:X$401,$AH221)))</f>
        <v/>
      </c>
      <c r="Y221">
        <f>IF($AH221="","",IF(INDEX('Per Invoice'!Y$2:Y$401,$AH221)="","",INDEX('Per Invoice'!Y$2:Y$401,$AH221)))</f>
        <v/>
      </c>
      <c r="Z221" s="7">
        <f>IF($AH221="","",IF(INDEX('Per Invoice'!Z$2:Z$401,$AH221)="","",INDEX('Per Invoice'!Z$2:Z$401,$AH221)))</f>
        <v/>
      </c>
      <c r="AA221" s="7">
        <f>IF($AH221="","",IF(INDEX('Per Invoice'!AA$2:AA$401,$AH221)="","",INDEX('Per Invoice'!AA$2:AA$401,$AH221)))</f>
        <v/>
      </c>
      <c r="AB221" s="7">
        <f>IF($AH221="","",IF(INDEX('Per Invoice'!AB$2:AB$401,$AH221)="","",INDEX('Per Invoice'!AB$2:AB$401,$AH221)))</f>
        <v/>
      </c>
      <c r="AC221" s="7">
        <f>IF($AH221="","",IF(INDEX('Per Invoice'!AC$2:AC$401,$AH221)="","",INDEX('Per Invoice'!AC$2:AC$401,$AH221)))</f>
        <v/>
      </c>
      <c r="AD221" s="7">
        <f>IF($AH221="","",IF(INDEX('Per Invoice'!AD$2:AD$401,$AH221)="","",INDEX('Per Invoice'!AD$2:AD$401,$AH221)))</f>
        <v/>
      </c>
      <c r="AE221" s="7">
        <f>IF($AH221="","",IF(INDEX('Per Invoice'!AE$2:AE$401,$AH221)="","",INDEX('Per Invoice'!AE$2:AE$401,$AH221)))</f>
        <v/>
      </c>
      <c r="AF221">
        <f>IF($AH221="","",IF(INDEX('Per Invoice'!AF$2:AF$401,$AH221)="","",INDEX('Per Invoice'!AF$2:AF$401,$AH221)))</f>
        <v/>
      </c>
      <c r="AG221" s="7">
        <f>IF($AH221="","",IF(INDEX('Per Invoice'!AG$2:AG$401,$AH221)="","",INDEX('Per Invoice'!AG$2:AG$401,$AH221)))</f>
        <v/>
      </c>
      <c r="AH221" s="16">
        <f>IFERROR(MATCH(Settings!$C$26&amp;"|"&amp;ROWS($AH$2:$AH221),'Per Invoice'!$AI$2:$AI$401,0),"")</f>
        <v/>
      </c>
    </row>
    <row r="222">
      <c r="A222">
        <f>IF($AH222="","",IF(INDEX('Per Invoice'!A$2:A$401,$AH222)="","",INDEX('Per Invoice'!A$2:A$401,$AH222)))</f>
        <v/>
      </c>
      <c r="B222">
        <f>IF($AH222="","",IF(INDEX('Per Invoice'!B$2:B$401,$AH222)="","",INDEX('Per Invoice'!B$2:B$401,$AH222)))</f>
        <v/>
      </c>
      <c r="C222">
        <f>IF($AH222="","",IF(INDEX('Per Invoice'!C$2:C$401,$AH222)="","",INDEX('Per Invoice'!C$2:C$401,$AH222)))</f>
        <v/>
      </c>
      <c r="D222">
        <f>IF($AH222="","",IF(INDEX('Per Invoice'!D$2:D$401,$AH222)="","",INDEX('Per Invoice'!D$2:D$401,$AH222)))</f>
        <v/>
      </c>
      <c r="E222">
        <f>IF($AH222="","",IF(INDEX('Per Invoice'!E$2:E$401,$AH222)="","",INDEX('Per Invoice'!E$2:E$401,$AH222)))</f>
        <v/>
      </c>
      <c r="F222">
        <f>IF($AH222="","",IF(INDEX('Per Invoice'!F$2:F$401,$AH222)="","",INDEX('Per Invoice'!F$2:F$401,$AH222)))</f>
        <v/>
      </c>
      <c r="G222">
        <f>IF($AH222="","",IF(INDEX('Per Invoice'!G$2:G$401,$AH222)="","",INDEX('Per Invoice'!G$2:G$401,$AH222)))</f>
        <v/>
      </c>
      <c r="H222">
        <f>IF($AH222="","",IF(INDEX('Per Invoice'!H$2:H$401,$AH222)="","",INDEX('Per Invoice'!H$2:H$401,$AH222)))</f>
        <v/>
      </c>
      <c r="I222" s="14">
        <f>IF($AH222="","",IF(INDEX('Per Invoice'!I$2:I$401,$AH222)="","",INDEX('Per Invoice'!I$2:I$401,$AH222)))</f>
        <v/>
      </c>
      <c r="J222">
        <f>IF($AH222="","",IF(INDEX('Per Invoice'!J$2:J$401,$AH222)="","",INDEX('Per Invoice'!J$2:J$401,$AH222)))</f>
        <v/>
      </c>
      <c r="K222">
        <f>IF($AH222="","",IF(INDEX('Per Invoice'!K$2:K$401,$AH222)="","",INDEX('Per Invoice'!K$2:K$401,$AH222)))</f>
        <v/>
      </c>
      <c r="L222">
        <f>IF($AH222="","",IF(INDEX('Per Invoice'!L$2:L$401,$AH222)="","",INDEX('Per Invoice'!L$2:L$401,$AH222)))</f>
        <v/>
      </c>
      <c r="M222">
        <f>IF($AH222="","",IF(INDEX('Per Invoice'!M$2:M$401,$AH222)="","",INDEX('Per Invoice'!M$2:M$401,$AH222)))</f>
        <v/>
      </c>
      <c r="N222">
        <f>IF($AH222="","",IF(INDEX('Per Invoice'!N$2:N$401,$AH222)="","",INDEX('Per Invoice'!N$2:N$401,$AH222)))</f>
        <v/>
      </c>
      <c r="O222">
        <f>IF($AH222="","",IF(INDEX('Per Invoice'!O$2:O$401,$AH222)="","",INDEX('Per Invoice'!O$2:O$401,$AH222)))</f>
        <v/>
      </c>
      <c r="P222" s="7">
        <f>IF($AH222="","",IF(INDEX('Per Invoice'!P$2:P$401,$AH222)="","",INDEX('Per Invoice'!P$2:P$401,$AH222)))</f>
        <v/>
      </c>
      <c r="Q222">
        <f>IF($AH222="","",IF(INDEX('Per Invoice'!Q$2:Q$401,$AH222)="","",INDEX('Per Invoice'!Q$2:Q$401,$AH222)))</f>
        <v/>
      </c>
      <c r="R222">
        <f>IF($AH222="","",IF(INDEX('Per Invoice'!R$2:R$401,$AH222)="","",INDEX('Per Invoice'!R$2:R$401,$AH222)))</f>
        <v/>
      </c>
      <c r="S222">
        <f>IF($AH222="","",IF(INDEX('Per Invoice'!S$2:S$401,$AH222)="","",INDEX('Per Invoice'!S$2:S$401,$AH222)))</f>
        <v/>
      </c>
      <c r="T222" s="7">
        <f>IF($AH222="","",IF(INDEX('Per Invoice'!T$2:T$401,$AH222)="","",INDEX('Per Invoice'!T$2:T$401,$AH222)))</f>
        <v/>
      </c>
      <c r="U222" s="7">
        <f>IF($AH222="","",IF(INDEX('Per Invoice'!U$2:U$401,$AH222)="","",INDEX('Per Invoice'!U$2:U$401,$AH222)))</f>
        <v/>
      </c>
      <c r="V222">
        <f>IF($AH222="","",IF(INDEX('Per Invoice'!V$2:V$401,$AH222)="","",INDEX('Per Invoice'!V$2:V$401,$AH222)))</f>
        <v/>
      </c>
      <c r="W222" s="7">
        <f>IF($AH222="","",IF(INDEX('Per Invoice'!W$2:W$401,$AH222)="","",INDEX('Per Invoice'!W$2:W$401,$AH222)))</f>
        <v/>
      </c>
      <c r="X222" s="7">
        <f>IF($AH222="","",IF(INDEX('Per Invoice'!X$2:X$401,$AH222)="","",INDEX('Per Invoice'!X$2:X$401,$AH222)))</f>
        <v/>
      </c>
      <c r="Y222">
        <f>IF($AH222="","",IF(INDEX('Per Invoice'!Y$2:Y$401,$AH222)="","",INDEX('Per Invoice'!Y$2:Y$401,$AH222)))</f>
        <v/>
      </c>
      <c r="Z222" s="7">
        <f>IF($AH222="","",IF(INDEX('Per Invoice'!Z$2:Z$401,$AH222)="","",INDEX('Per Invoice'!Z$2:Z$401,$AH222)))</f>
        <v/>
      </c>
      <c r="AA222" s="7">
        <f>IF($AH222="","",IF(INDEX('Per Invoice'!AA$2:AA$401,$AH222)="","",INDEX('Per Invoice'!AA$2:AA$401,$AH222)))</f>
        <v/>
      </c>
      <c r="AB222" s="7">
        <f>IF($AH222="","",IF(INDEX('Per Invoice'!AB$2:AB$401,$AH222)="","",INDEX('Per Invoice'!AB$2:AB$401,$AH222)))</f>
        <v/>
      </c>
      <c r="AC222" s="7">
        <f>IF($AH222="","",IF(INDEX('Per Invoice'!AC$2:AC$401,$AH222)="","",INDEX('Per Invoice'!AC$2:AC$401,$AH222)))</f>
        <v/>
      </c>
      <c r="AD222" s="7">
        <f>IF($AH222="","",IF(INDEX('Per Invoice'!AD$2:AD$401,$AH222)="","",INDEX('Per Invoice'!AD$2:AD$401,$AH222)))</f>
        <v/>
      </c>
      <c r="AE222" s="7">
        <f>IF($AH222="","",IF(INDEX('Per Invoice'!AE$2:AE$401,$AH222)="","",INDEX('Per Invoice'!AE$2:AE$401,$AH222)))</f>
        <v/>
      </c>
      <c r="AF222">
        <f>IF($AH222="","",IF(INDEX('Per Invoice'!AF$2:AF$401,$AH222)="","",INDEX('Per Invoice'!AF$2:AF$401,$AH222)))</f>
        <v/>
      </c>
      <c r="AG222" s="7">
        <f>IF($AH222="","",IF(INDEX('Per Invoice'!AG$2:AG$401,$AH222)="","",INDEX('Per Invoice'!AG$2:AG$401,$AH222)))</f>
        <v/>
      </c>
      <c r="AH222" s="16">
        <f>IFERROR(MATCH(Settings!$C$26&amp;"|"&amp;ROWS($AH$2:$AH222),'Per Invoice'!$AI$2:$AI$401,0),"")</f>
        <v/>
      </c>
    </row>
    <row r="223">
      <c r="A223">
        <f>IF($AH223="","",IF(INDEX('Per Invoice'!A$2:A$401,$AH223)="","",INDEX('Per Invoice'!A$2:A$401,$AH223)))</f>
        <v/>
      </c>
      <c r="B223">
        <f>IF($AH223="","",IF(INDEX('Per Invoice'!B$2:B$401,$AH223)="","",INDEX('Per Invoice'!B$2:B$401,$AH223)))</f>
        <v/>
      </c>
      <c r="C223">
        <f>IF($AH223="","",IF(INDEX('Per Invoice'!C$2:C$401,$AH223)="","",INDEX('Per Invoice'!C$2:C$401,$AH223)))</f>
        <v/>
      </c>
      <c r="D223">
        <f>IF($AH223="","",IF(INDEX('Per Invoice'!D$2:D$401,$AH223)="","",INDEX('Per Invoice'!D$2:D$401,$AH223)))</f>
        <v/>
      </c>
      <c r="E223">
        <f>IF($AH223="","",IF(INDEX('Per Invoice'!E$2:E$401,$AH223)="","",INDEX('Per Invoice'!E$2:E$401,$AH223)))</f>
        <v/>
      </c>
      <c r="F223">
        <f>IF($AH223="","",IF(INDEX('Per Invoice'!F$2:F$401,$AH223)="","",INDEX('Per Invoice'!F$2:F$401,$AH223)))</f>
        <v/>
      </c>
      <c r="G223">
        <f>IF($AH223="","",IF(INDEX('Per Invoice'!G$2:G$401,$AH223)="","",INDEX('Per Invoice'!G$2:G$401,$AH223)))</f>
        <v/>
      </c>
      <c r="H223">
        <f>IF($AH223="","",IF(INDEX('Per Invoice'!H$2:H$401,$AH223)="","",INDEX('Per Invoice'!H$2:H$401,$AH223)))</f>
        <v/>
      </c>
      <c r="I223" s="14">
        <f>IF($AH223="","",IF(INDEX('Per Invoice'!I$2:I$401,$AH223)="","",INDEX('Per Invoice'!I$2:I$401,$AH223)))</f>
        <v/>
      </c>
      <c r="J223">
        <f>IF($AH223="","",IF(INDEX('Per Invoice'!J$2:J$401,$AH223)="","",INDEX('Per Invoice'!J$2:J$401,$AH223)))</f>
        <v/>
      </c>
      <c r="K223">
        <f>IF($AH223="","",IF(INDEX('Per Invoice'!K$2:K$401,$AH223)="","",INDEX('Per Invoice'!K$2:K$401,$AH223)))</f>
        <v/>
      </c>
      <c r="L223">
        <f>IF($AH223="","",IF(INDEX('Per Invoice'!L$2:L$401,$AH223)="","",INDEX('Per Invoice'!L$2:L$401,$AH223)))</f>
        <v/>
      </c>
      <c r="M223">
        <f>IF($AH223="","",IF(INDEX('Per Invoice'!M$2:M$401,$AH223)="","",INDEX('Per Invoice'!M$2:M$401,$AH223)))</f>
        <v/>
      </c>
      <c r="N223">
        <f>IF($AH223="","",IF(INDEX('Per Invoice'!N$2:N$401,$AH223)="","",INDEX('Per Invoice'!N$2:N$401,$AH223)))</f>
        <v/>
      </c>
      <c r="O223">
        <f>IF($AH223="","",IF(INDEX('Per Invoice'!O$2:O$401,$AH223)="","",INDEX('Per Invoice'!O$2:O$401,$AH223)))</f>
        <v/>
      </c>
      <c r="P223" s="7">
        <f>IF($AH223="","",IF(INDEX('Per Invoice'!P$2:P$401,$AH223)="","",INDEX('Per Invoice'!P$2:P$401,$AH223)))</f>
        <v/>
      </c>
      <c r="Q223">
        <f>IF($AH223="","",IF(INDEX('Per Invoice'!Q$2:Q$401,$AH223)="","",INDEX('Per Invoice'!Q$2:Q$401,$AH223)))</f>
        <v/>
      </c>
      <c r="R223">
        <f>IF($AH223="","",IF(INDEX('Per Invoice'!R$2:R$401,$AH223)="","",INDEX('Per Invoice'!R$2:R$401,$AH223)))</f>
        <v/>
      </c>
      <c r="S223">
        <f>IF($AH223="","",IF(INDEX('Per Invoice'!S$2:S$401,$AH223)="","",INDEX('Per Invoice'!S$2:S$401,$AH223)))</f>
        <v/>
      </c>
      <c r="T223" s="7">
        <f>IF($AH223="","",IF(INDEX('Per Invoice'!T$2:T$401,$AH223)="","",INDEX('Per Invoice'!T$2:T$401,$AH223)))</f>
        <v/>
      </c>
      <c r="U223" s="7">
        <f>IF($AH223="","",IF(INDEX('Per Invoice'!U$2:U$401,$AH223)="","",INDEX('Per Invoice'!U$2:U$401,$AH223)))</f>
        <v/>
      </c>
      <c r="V223">
        <f>IF($AH223="","",IF(INDEX('Per Invoice'!V$2:V$401,$AH223)="","",INDEX('Per Invoice'!V$2:V$401,$AH223)))</f>
        <v/>
      </c>
      <c r="W223" s="7">
        <f>IF($AH223="","",IF(INDEX('Per Invoice'!W$2:W$401,$AH223)="","",INDEX('Per Invoice'!W$2:W$401,$AH223)))</f>
        <v/>
      </c>
      <c r="X223" s="7">
        <f>IF($AH223="","",IF(INDEX('Per Invoice'!X$2:X$401,$AH223)="","",INDEX('Per Invoice'!X$2:X$401,$AH223)))</f>
        <v/>
      </c>
      <c r="Y223">
        <f>IF($AH223="","",IF(INDEX('Per Invoice'!Y$2:Y$401,$AH223)="","",INDEX('Per Invoice'!Y$2:Y$401,$AH223)))</f>
        <v/>
      </c>
      <c r="Z223" s="7">
        <f>IF($AH223="","",IF(INDEX('Per Invoice'!Z$2:Z$401,$AH223)="","",INDEX('Per Invoice'!Z$2:Z$401,$AH223)))</f>
        <v/>
      </c>
      <c r="AA223" s="7">
        <f>IF($AH223="","",IF(INDEX('Per Invoice'!AA$2:AA$401,$AH223)="","",INDEX('Per Invoice'!AA$2:AA$401,$AH223)))</f>
        <v/>
      </c>
      <c r="AB223" s="7">
        <f>IF($AH223="","",IF(INDEX('Per Invoice'!AB$2:AB$401,$AH223)="","",INDEX('Per Invoice'!AB$2:AB$401,$AH223)))</f>
        <v/>
      </c>
      <c r="AC223" s="7">
        <f>IF($AH223="","",IF(INDEX('Per Invoice'!AC$2:AC$401,$AH223)="","",INDEX('Per Invoice'!AC$2:AC$401,$AH223)))</f>
        <v/>
      </c>
      <c r="AD223" s="7">
        <f>IF($AH223="","",IF(INDEX('Per Invoice'!AD$2:AD$401,$AH223)="","",INDEX('Per Invoice'!AD$2:AD$401,$AH223)))</f>
        <v/>
      </c>
      <c r="AE223" s="7">
        <f>IF($AH223="","",IF(INDEX('Per Invoice'!AE$2:AE$401,$AH223)="","",INDEX('Per Invoice'!AE$2:AE$401,$AH223)))</f>
        <v/>
      </c>
      <c r="AF223">
        <f>IF($AH223="","",IF(INDEX('Per Invoice'!AF$2:AF$401,$AH223)="","",INDEX('Per Invoice'!AF$2:AF$401,$AH223)))</f>
        <v/>
      </c>
      <c r="AG223" s="7">
        <f>IF($AH223="","",IF(INDEX('Per Invoice'!AG$2:AG$401,$AH223)="","",INDEX('Per Invoice'!AG$2:AG$401,$AH223)))</f>
        <v/>
      </c>
      <c r="AH223" s="16">
        <f>IFERROR(MATCH(Settings!$C$26&amp;"|"&amp;ROWS($AH$2:$AH223),'Per Invoice'!$AI$2:$AI$401,0),"")</f>
        <v/>
      </c>
    </row>
    <row r="224">
      <c r="A224">
        <f>IF($AH224="","",IF(INDEX('Per Invoice'!A$2:A$401,$AH224)="","",INDEX('Per Invoice'!A$2:A$401,$AH224)))</f>
        <v/>
      </c>
      <c r="B224">
        <f>IF($AH224="","",IF(INDEX('Per Invoice'!B$2:B$401,$AH224)="","",INDEX('Per Invoice'!B$2:B$401,$AH224)))</f>
        <v/>
      </c>
      <c r="C224">
        <f>IF($AH224="","",IF(INDEX('Per Invoice'!C$2:C$401,$AH224)="","",INDEX('Per Invoice'!C$2:C$401,$AH224)))</f>
        <v/>
      </c>
      <c r="D224">
        <f>IF($AH224="","",IF(INDEX('Per Invoice'!D$2:D$401,$AH224)="","",INDEX('Per Invoice'!D$2:D$401,$AH224)))</f>
        <v/>
      </c>
      <c r="E224">
        <f>IF($AH224="","",IF(INDEX('Per Invoice'!E$2:E$401,$AH224)="","",INDEX('Per Invoice'!E$2:E$401,$AH224)))</f>
        <v/>
      </c>
      <c r="F224">
        <f>IF($AH224="","",IF(INDEX('Per Invoice'!F$2:F$401,$AH224)="","",INDEX('Per Invoice'!F$2:F$401,$AH224)))</f>
        <v/>
      </c>
      <c r="G224">
        <f>IF($AH224="","",IF(INDEX('Per Invoice'!G$2:G$401,$AH224)="","",INDEX('Per Invoice'!G$2:G$401,$AH224)))</f>
        <v/>
      </c>
      <c r="H224">
        <f>IF($AH224="","",IF(INDEX('Per Invoice'!H$2:H$401,$AH224)="","",INDEX('Per Invoice'!H$2:H$401,$AH224)))</f>
        <v/>
      </c>
      <c r="I224" s="14">
        <f>IF($AH224="","",IF(INDEX('Per Invoice'!I$2:I$401,$AH224)="","",INDEX('Per Invoice'!I$2:I$401,$AH224)))</f>
        <v/>
      </c>
      <c r="J224">
        <f>IF($AH224="","",IF(INDEX('Per Invoice'!J$2:J$401,$AH224)="","",INDEX('Per Invoice'!J$2:J$401,$AH224)))</f>
        <v/>
      </c>
      <c r="K224">
        <f>IF($AH224="","",IF(INDEX('Per Invoice'!K$2:K$401,$AH224)="","",INDEX('Per Invoice'!K$2:K$401,$AH224)))</f>
        <v/>
      </c>
      <c r="L224">
        <f>IF($AH224="","",IF(INDEX('Per Invoice'!L$2:L$401,$AH224)="","",INDEX('Per Invoice'!L$2:L$401,$AH224)))</f>
        <v/>
      </c>
      <c r="M224">
        <f>IF($AH224="","",IF(INDEX('Per Invoice'!M$2:M$401,$AH224)="","",INDEX('Per Invoice'!M$2:M$401,$AH224)))</f>
        <v/>
      </c>
      <c r="N224">
        <f>IF($AH224="","",IF(INDEX('Per Invoice'!N$2:N$401,$AH224)="","",INDEX('Per Invoice'!N$2:N$401,$AH224)))</f>
        <v/>
      </c>
      <c r="O224">
        <f>IF($AH224="","",IF(INDEX('Per Invoice'!O$2:O$401,$AH224)="","",INDEX('Per Invoice'!O$2:O$401,$AH224)))</f>
        <v/>
      </c>
      <c r="P224" s="7">
        <f>IF($AH224="","",IF(INDEX('Per Invoice'!P$2:P$401,$AH224)="","",INDEX('Per Invoice'!P$2:P$401,$AH224)))</f>
        <v/>
      </c>
      <c r="Q224">
        <f>IF($AH224="","",IF(INDEX('Per Invoice'!Q$2:Q$401,$AH224)="","",INDEX('Per Invoice'!Q$2:Q$401,$AH224)))</f>
        <v/>
      </c>
      <c r="R224">
        <f>IF($AH224="","",IF(INDEX('Per Invoice'!R$2:R$401,$AH224)="","",INDEX('Per Invoice'!R$2:R$401,$AH224)))</f>
        <v/>
      </c>
      <c r="S224">
        <f>IF($AH224="","",IF(INDEX('Per Invoice'!S$2:S$401,$AH224)="","",INDEX('Per Invoice'!S$2:S$401,$AH224)))</f>
        <v/>
      </c>
      <c r="T224" s="7">
        <f>IF($AH224="","",IF(INDEX('Per Invoice'!T$2:T$401,$AH224)="","",INDEX('Per Invoice'!T$2:T$401,$AH224)))</f>
        <v/>
      </c>
      <c r="U224" s="7">
        <f>IF($AH224="","",IF(INDEX('Per Invoice'!U$2:U$401,$AH224)="","",INDEX('Per Invoice'!U$2:U$401,$AH224)))</f>
        <v/>
      </c>
      <c r="V224">
        <f>IF($AH224="","",IF(INDEX('Per Invoice'!V$2:V$401,$AH224)="","",INDEX('Per Invoice'!V$2:V$401,$AH224)))</f>
        <v/>
      </c>
      <c r="W224" s="7">
        <f>IF($AH224="","",IF(INDEX('Per Invoice'!W$2:W$401,$AH224)="","",INDEX('Per Invoice'!W$2:W$401,$AH224)))</f>
        <v/>
      </c>
      <c r="X224" s="7">
        <f>IF($AH224="","",IF(INDEX('Per Invoice'!X$2:X$401,$AH224)="","",INDEX('Per Invoice'!X$2:X$401,$AH224)))</f>
        <v/>
      </c>
      <c r="Y224">
        <f>IF($AH224="","",IF(INDEX('Per Invoice'!Y$2:Y$401,$AH224)="","",INDEX('Per Invoice'!Y$2:Y$401,$AH224)))</f>
        <v/>
      </c>
      <c r="Z224" s="7">
        <f>IF($AH224="","",IF(INDEX('Per Invoice'!Z$2:Z$401,$AH224)="","",INDEX('Per Invoice'!Z$2:Z$401,$AH224)))</f>
        <v/>
      </c>
      <c r="AA224" s="7">
        <f>IF($AH224="","",IF(INDEX('Per Invoice'!AA$2:AA$401,$AH224)="","",INDEX('Per Invoice'!AA$2:AA$401,$AH224)))</f>
        <v/>
      </c>
      <c r="AB224" s="7">
        <f>IF($AH224="","",IF(INDEX('Per Invoice'!AB$2:AB$401,$AH224)="","",INDEX('Per Invoice'!AB$2:AB$401,$AH224)))</f>
        <v/>
      </c>
      <c r="AC224" s="7">
        <f>IF($AH224="","",IF(INDEX('Per Invoice'!AC$2:AC$401,$AH224)="","",INDEX('Per Invoice'!AC$2:AC$401,$AH224)))</f>
        <v/>
      </c>
      <c r="AD224" s="7">
        <f>IF($AH224="","",IF(INDEX('Per Invoice'!AD$2:AD$401,$AH224)="","",INDEX('Per Invoice'!AD$2:AD$401,$AH224)))</f>
        <v/>
      </c>
      <c r="AE224" s="7">
        <f>IF($AH224="","",IF(INDEX('Per Invoice'!AE$2:AE$401,$AH224)="","",INDEX('Per Invoice'!AE$2:AE$401,$AH224)))</f>
        <v/>
      </c>
      <c r="AF224">
        <f>IF($AH224="","",IF(INDEX('Per Invoice'!AF$2:AF$401,$AH224)="","",INDEX('Per Invoice'!AF$2:AF$401,$AH224)))</f>
        <v/>
      </c>
      <c r="AG224" s="7">
        <f>IF($AH224="","",IF(INDEX('Per Invoice'!AG$2:AG$401,$AH224)="","",INDEX('Per Invoice'!AG$2:AG$401,$AH224)))</f>
        <v/>
      </c>
      <c r="AH224" s="16">
        <f>IFERROR(MATCH(Settings!$C$26&amp;"|"&amp;ROWS($AH$2:$AH224),'Per Invoice'!$AI$2:$AI$401,0),"")</f>
        <v/>
      </c>
    </row>
    <row r="225">
      <c r="A225">
        <f>IF($AH225="","",IF(INDEX('Per Invoice'!A$2:A$401,$AH225)="","",INDEX('Per Invoice'!A$2:A$401,$AH225)))</f>
        <v/>
      </c>
      <c r="B225">
        <f>IF($AH225="","",IF(INDEX('Per Invoice'!B$2:B$401,$AH225)="","",INDEX('Per Invoice'!B$2:B$401,$AH225)))</f>
        <v/>
      </c>
      <c r="C225">
        <f>IF($AH225="","",IF(INDEX('Per Invoice'!C$2:C$401,$AH225)="","",INDEX('Per Invoice'!C$2:C$401,$AH225)))</f>
        <v/>
      </c>
      <c r="D225">
        <f>IF($AH225="","",IF(INDEX('Per Invoice'!D$2:D$401,$AH225)="","",INDEX('Per Invoice'!D$2:D$401,$AH225)))</f>
        <v/>
      </c>
      <c r="E225">
        <f>IF($AH225="","",IF(INDEX('Per Invoice'!E$2:E$401,$AH225)="","",INDEX('Per Invoice'!E$2:E$401,$AH225)))</f>
        <v/>
      </c>
      <c r="F225">
        <f>IF($AH225="","",IF(INDEX('Per Invoice'!F$2:F$401,$AH225)="","",INDEX('Per Invoice'!F$2:F$401,$AH225)))</f>
        <v/>
      </c>
      <c r="G225">
        <f>IF($AH225="","",IF(INDEX('Per Invoice'!G$2:G$401,$AH225)="","",INDEX('Per Invoice'!G$2:G$401,$AH225)))</f>
        <v/>
      </c>
      <c r="H225">
        <f>IF($AH225="","",IF(INDEX('Per Invoice'!H$2:H$401,$AH225)="","",INDEX('Per Invoice'!H$2:H$401,$AH225)))</f>
        <v/>
      </c>
      <c r="I225" s="14">
        <f>IF($AH225="","",IF(INDEX('Per Invoice'!I$2:I$401,$AH225)="","",INDEX('Per Invoice'!I$2:I$401,$AH225)))</f>
        <v/>
      </c>
      <c r="J225">
        <f>IF($AH225="","",IF(INDEX('Per Invoice'!J$2:J$401,$AH225)="","",INDEX('Per Invoice'!J$2:J$401,$AH225)))</f>
        <v/>
      </c>
      <c r="K225">
        <f>IF($AH225="","",IF(INDEX('Per Invoice'!K$2:K$401,$AH225)="","",INDEX('Per Invoice'!K$2:K$401,$AH225)))</f>
        <v/>
      </c>
      <c r="L225">
        <f>IF($AH225="","",IF(INDEX('Per Invoice'!L$2:L$401,$AH225)="","",INDEX('Per Invoice'!L$2:L$401,$AH225)))</f>
        <v/>
      </c>
      <c r="M225">
        <f>IF($AH225="","",IF(INDEX('Per Invoice'!M$2:M$401,$AH225)="","",INDEX('Per Invoice'!M$2:M$401,$AH225)))</f>
        <v/>
      </c>
      <c r="N225">
        <f>IF($AH225="","",IF(INDEX('Per Invoice'!N$2:N$401,$AH225)="","",INDEX('Per Invoice'!N$2:N$401,$AH225)))</f>
        <v/>
      </c>
      <c r="O225">
        <f>IF($AH225="","",IF(INDEX('Per Invoice'!O$2:O$401,$AH225)="","",INDEX('Per Invoice'!O$2:O$401,$AH225)))</f>
        <v/>
      </c>
      <c r="P225" s="7">
        <f>IF($AH225="","",IF(INDEX('Per Invoice'!P$2:P$401,$AH225)="","",INDEX('Per Invoice'!P$2:P$401,$AH225)))</f>
        <v/>
      </c>
      <c r="Q225">
        <f>IF($AH225="","",IF(INDEX('Per Invoice'!Q$2:Q$401,$AH225)="","",INDEX('Per Invoice'!Q$2:Q$401,$AH225)))</f>
        <v/>
      </c>
      <c r="R225">
        <f>IF($AH225="","",IF(INDEX('Per Invoice'!R$2:R$401,$AH225)="","",INDEX('Per Invoice'!R$2:R$401,$AH225)))</f>
        <v/>
      </c>
      <c r="S225">
        <f>IF($AH225="","",IF(INDEX('Per Invoice'!S$2:S$401,$AH225)="","",INDEX('Per Invoice'!S$2:S$401,$AH225)))</f>
        <v/>
      </c>
      <c r="T225" s="7">
        <f>IF($AH225="","",IF(INDEX('Per Invoice'!T$2:T$401,$AH225)="","",INDEX('Per Invoice'!T$2:T$401,$AH225)))</f>
        <v/>
      </c>
      <c r="U225" s="7">
        <f>IF($AH225="","",IF(INDEX('Per Invoice'!U$2:U$401,$AH225)="","",INDEX('Per Invoice'!U$2:U$401,$AH225)))</f>
        <v/>
      </c>
      <c r="V225">
        <f>IF($AH225="","",IF(INDEX('Per Invoice'!V$2:V$401,$AH225)="","",INDEX('Per Invoice'!V$2:V$401,$AH225)))</f>
        <v/>
      </c>
      <c r="W225" s="7">
        <f>IF($AH225="","",IF(INDEX('Per Invoice'!W$2:W$401,$AH225)="","",INDEX('Per Invoice'!W$2:W$401,$AH225)))</f>
        <v/>
      </c>
      <c r="X225" s="7">
        <f>IF($AH225="","",IF(INDEX('Per Invoice'!X$2:X$401,$AH225)="","",INDEX('Per Invoice'!X$2:X$401,$AH225)))</f>
        <v/>
      </c>
      <c r="Y225">
        <f>IF($AH225="","",IF(INDEX('Per Invoice'!Y$2:Y$401,$AH225)="","",INDEX('Per Invoice'!Y$2:Y$401,$AH225)))</f>
        <v/>
      </c>
      <c r="Z225" s="7">
        <f>IF($AH225="","",IF(INDEX('Per Invoice'!Z$2:Z$401,$AH225)="","",INDEX('Per Invoice'!Z$2:Z$401,$AH225)))</f>
        <v/>
      </c>
      <c r="AA225" s="7">
        <f>IF($AH225="","",IF(INDEX('Per Invoice'!AA$2:AA$401,$AH225)="","",INDEX('Per Invoice'!AA$2:AA$401,$AH225)))</f>
        <v/>
      </c>
      <c r="AB225" s="7">
        <f>IF($AH225="","",IF(INDEX('Per Invoice'!AB$2:AB$401,$AH225)="","",INDEX('Per Invoice'!AB$2:AB$401,$AH225)))</f>
        <v/>
      </c>
      <c r="AC225" s="7">
        <f>IF($AH225="","",IF(INDEX('Per Invoice'!AC$2:AC$401,$AH225)="","",INDEX('Per Invoice'!AC$2:AC$401,$AH225)))</f>
        <v/>
      </c>
      <c r="AD225" s="7">
        <f>IF($AH225="","",IF(INDEX('Per Invoice'!AD$2:AD$401,$AH225)="","",INDEX('Per Invoice'!AD$2:AD$401,$AH225)))</f>
        <v/>
      </c>
      <c r="AE225" s="7">
        <f>IF($AH225="","",IF(INDEX('Per Invoice'!AE$2:AE$401,$AH225)="","",INDEX('Per Invoice'!AE$2:AE$401,$AH225)))</f>
        <v/>
      </c>
      <c r="AF225">
        <f>IF($AH225="","",IF(INDEX('Per Invoice'!AF$2:AF$401,$AH225)="","",INDEX('Per Invoice'!AF$2:AF$401,$AH225)))</f>
        <v/>
      </c>
      <c r="AG225" s="7">
        <f>IF($AH225="","",IF(INDEX('Per Invoice'!AG$2:AG$401,$AH225)="","",INDEX('Per Invoice'!AG$2:AG$401,$AH225)))</f>
        <v/>
      </c>
      <c r="AH225" s="16">
        <f>IFERROR(MATCH(Settings!$C$26&amp;"|"&amp;ROWS($AH$2:$AH225),'Per Invoice'!$AI$2:$AI$401,0),"")</f>
        <v/>
      </c>
    </row>
    <row r="226">
      <c r="A226">
        <f>IF($AH226="","",IF(INDEX('Per Invoice'!A$2:A$401,$AH226)="","",INDEX('Per Invoice'!A$2:A$401,$AH226)))</f>
        <v/>
      </c>
      <c r="B226">
        <f>IF($AH226="","",IF(INDEX('Per Invoice'!B$2:B$401,$AH226)="","",INDEX('Per Invoice'!B$2:B$401,$AH226)))</f>
        <v/>
      </c>
      <c r="C226">
        <f>IF($AH226="","",IF(INDEX('Per Invoice'!C$2:C$401,$AH226)="","",INDEX('Per Invoice'!C$2:C$401,$AH226)))</f>
        <v/>
      </c>
      <c r="D226">
        <f>IF($AH226="","",IF(INDEX('Per Invoice'!D$2:D$401,$AH226)="","",INDEX('Per Invoice'!D$2:D$401,$AH226)))</f>
        <v/>
      </c>
      <c r="E226">
        <f>IF($AH226="","",IF(INDEX('Per Invoice'!E$2:E$401,$AH226)="","",INDEX('Per Invoice'!E$2:E$401,$AH226)))</f>
        <v/>
      </c>
      <c r="F226">
        <f>IF($AH226="","",IF(INDEX('Per Invoice'!F$2:F$401,$AH226)="","",INDEX('Per Invoice'!F$2:F$401,$AH226)))</f>
        <v/>
      </c>
      <c r="G226">
        <f>IF($AH226="","",IF(INDEX('Per Invoice'!G$2:G$401,$AH226)="","",INDEX('Per Invoice'!G$2:G$401,$AH226)))</f>
        <v/>
      </c>
      <c r="H226">
        <f>IF($AH226="","",IF(INDEX('Per Invoice'!H$2:H$401,$AH226)="","",INDEX('Per Invoice'!H$2:H$401,$AH226)))</f>
        <v/>
      </c>
      <c r="I226" s="14">
        <f>IF($AH226="","",IF(INDEX('Per Invoice'!I$2:I$401,$AH226)="","",INDEX('Per Invoice'!I$2:I$401,$AH226)))</f>
        <v/>
      </c>
      <c r="J226">
        <f>IF($AH226="","",IF(INDEX('Per Invoice'!J$2:J$401,$AH226)="","",INDEX('Per Invoice'!J$2:J$401,$AH226)))</f>
        <v/>
      </c>
      <c r="K226">
        <f>IF($AH226="","",IF(INDEX('Per Invoice'!K$2:K$401,$AH226)="","",INDEX('Per Invoice'!K$2:K$401,$AH226)))</f>
        <v/>
      </c>
      <c r="L226">
        <f>IF($AH226="","",IF(INDEX('Per Invoice'!L$2:L$401,$AH226)="","",INDEX('Per Invoice'!L$2:L$401,$AH226)))</f>
        <v/>
      </c>
      <c r="M226">
        <f>IF($AH226="","",IF(INDEX('Per Invoice'!M$2:M$401,$AH226)="","",INDEX('Per Invoice'!M$2:M$401,$AH226)))</f>
        <v/>
      </c>
      <c r="N226">
        <f>IF($AH226="","",IF(INDEX('Per Invoice'!N$2:N$401,$AH226)="","",INDEX('Per Invoice'!N$2:N$401,$AH226)))</f>
        <v/>
      </c>
      <c r="O226">
        <f>IF($AH226="","",IF(INDEX('Per Invoice'!O$2:O$401,$AH226)="","",INDEX('Per Invoice'!O$2:O$401,$AH226)))</f>
        <v/>
      </c>
      <c r="P226" s="7">
        <f>IF($AH226="","",IF(INDEX('Per Invoice'!P$2:P$401,$AH226)="","",INDEX('Per Invoice'!P$2:P$401,$AH226)))</f>
        <v/>
      </c>
      <c r="Q226">
        <f>IF($AH226="","",IF(INDEX('Per Invoice'!Q$2:Q$401,$AH226)="","",INDEX('Per Invoice'!Q$2:Q$401,$AH226)))</f>
        <v/>
      </c>
      <c r="R226">
        <f>IF($AH226="","",IF(INDEX('Per Invoice'!R$2:R$401,$AH226)="","",INDEX('Per Invoice'!R$2:R$401,$AH226)))</f>
        <v/>
      </c>
      <c r="S226">
        <f>IF($AH226="","",IF(INDEX('Per Invoice'!S$2:S$401,$AH226)="","",INDEX('Per Invoice'!S$2:S$401,$AH226)))</f>
        <v/>
      </c>
      <c r="T226" s="7">
        <f>IF($AH226="","",IF(INDEX('Per Invoice'!T$2:T$401,$AH226)="","",INDEX('Per Invoice'!T$2:T$401,$AH226)))</f>
        <v/>
      </c>
      <c r="U226" s="7">
        <f>IF($AH226="","",IF(INDEX('Per Invoice'!U$2:U$401,$AH226)="","",INDEX('Per Invoice'!U$2:U$401,$AH226)))</f>
        <v/>
      </c>
      <c r="V226">
        <f>IF($AH226="","",IF(INDEX('Per Invoice'!V$2:V$401,$AH226)="","",INDEX('Per Invoice'!V$2:V$401,$AH226)))</f>
        <v/>
      </c>
      <c r="W226" s="7">
        <f>IF($AH226="","",IF(INDEX('Per Invoice'!W$2:W$401,$AH226)="","",INDEX('Per Invoice'!W$2:W$401,$AH226)))</f>
        <v/>
      </c>
      <c r="X226" s="7">
        <f>IF($AH226="","",IF(INDEX('Per Invoice'!X$2:X$401,$AH226)="","",INDEX('Per Invoice'!X$2:X$401,$AH226)))</f>
        <v/>
      </c>
      <c r="Y226">
        <f>IF($AH226="","",IF(INDEX('Per Invoice'!Y$2:Y$401,$AH226)="","",INDEX('Per Invoice'!Y$2:Y$401,$AH226)))</f>
        <v/>
      </c>
      <c r="Z226" s="7">
        <f>IF($AH226="","",IF(INDEX('Per Invoice'!Z$2:Z$401,$AH226)="","",INDEX('Per Invoice'!Z$2:Z$401,$AH226)))</f>
        <v/>
      </c>
      <c r="AA226" s="7">
        <f>IF($AH226="","",IF(INDEX('Per Invoice'!AA$2:AA$401,$AH226)="","",INDEX('Per Invoice'!AA$2:AA$401,$AH226)))</f>
        <v/>
      </c>
      <c r="AB226" s="7">
        <f>IF($AH226="","",IF(INDEX('Per Invoice'!AB$2:AB$401,$AH226)="","",INDEX('Per Invoice'!AB$2:AB$401,$AH226)))</f>
        <v/>
      </c>
      <c r="AC226" s="7">
        <f>IF($AH226="","",IF(INDEX('Per Invoice'!AC$2:AC$401,$AH226)="","",INDEX('Per Invoice'!AC$2:AC$401,$AH226)))</f>
        <v/>
      </c>
      <c r="AD226" s="7">
        <f>IF($AH226="","",IF(INDEX('Per Invoice'!AD$2:AD$401,$AH226)="","",INDEX('Per Invoice'!AD$2:AD$401,$AH226)))</f>
        <v/>
      </c>
      <c r="AE226" s="7">
        <f>IF($AH226="","",IF(INDEX('Per Invoice'!AE$2:AE$401,$AH226)="","",INDEX('Per Invoice'!AE$2:AE$401,$AH226)))</f>
        <v/>
      </c>
      <c r="AF226">
        <f>IF($AH226="","",IF(INDEX('Per Invoice'!AF$2:AF$401,$AH226)="","",INDEX('Per Invoice'!AF$2:AF$401,$AH226)))</f>
        <v/>
      </c>
      <c r="AG226" s="7">
        <f>IF($AH226="","",IF(INDEX('Per Invoice'!AG$2:AG$401,$AH226)="","",INDEX('Per Invoice'!AG$2:AG$401,$AH226)))</f>
        <v/>
      </c>
      <c r="AH226" s="16">
        <f>IFERROR(MATCH(Settings!$C$26&amp;"|"&amp;ROWS($AH$2:$AH226),'Per Invoice'!$AI$2:$AI$401,0),"")</f>
        <v/>
      </c>
    </row>
    <row r="227">
      <c r="A227">
        <f>IF($AH227="","",IF(INDEX('Per Invoice'!A$2:A$401,$AH227)="","",INDEX('Per Invoice'!A$2:A$401,$AH227)))</f>
        <v/>
      </c>
      <c r="B227">
        <f>IF($AH227="","",IF(INDEX('Per Invoice'!B$2:B$401,$AH227)="","",INDEX('Per Invoice'!B$2:B$401,$AH227)))</f>
        <v/>
      </c>
      <c r="C227">
        <f>IF($AH227="","",IF(INDEX('Per Invoice'!C$2:C$401,$AH227)="","",INDEX('Per Invoice'!C$2:C$401,$AH227)))</f>
        <v/>
      </c>
      <c r="D227">
        <f>IF($AH227="","",IF(INDEX('Per Invoice'!D$2:D$401,$AH227)="","",INDEX('Per Invoice'!D$2:D$401,$AH227)))</f>
        <v/>
      </c>
      <c r="E227">
        <f>IF($AH227="","",IF(INDEX('Per Invoice'!E$2:E$401,$AH227)="","",INDEX('Per Invoice'!E$2:E$401,$AH227)))</f>
        <v/>
      </c>
      <c r="F227">
        <f>IF($AH227="","",IF(INDEX('Per Invoice'!F$2:F$401,$AH227)="","",INDEX('Per Invoice'!F$2:F$401,$AH227)))</f>
        <v/>
      </c>
      <c r="G227">
        <f>IF($AH227="","",IF(INDEX('Per Invoice'!G$2:G$401,$AH227)="","",INDEX('Per Invoice'!G$2:G$401,$AH227)))</f>
        <v/>
      </c>
      <c r="H227">
        <f>IF($AH227="","",IF(INDEX('Per Invoice'!H$2:H$401,$AH227)="","",INDEX('Per Invoice'!H$2:H$401,$AH227)))</f>
        <v/>
      </c>
      <c r="I227" s="14">
        <f>IF($AH227="","",IF(INDEX('Per Invoice'!I$2:I$401,$AH227)="","",INDEX('Per Invoice'!I$2:I$401,$AH227)))</f>
        <v/>
      </c>
      <c r="J227">
        <f>IF($AH227="","",IF(INDEX('Per Invoice'!J$2:J$401,$AH227)="","",INDEX('Per Invoice'!J$2:J$401,$AH227)))</f>
        <v/>
      </c>
      <c r="K227">
        <f>IF($AH227="","",IF(INDEX('Per Invoice'!K$2:K$401,$AH227)="","",INDEX('Per Invoice'!K$2:K$401,$AH227)))</f>
        <v/>
      </c>
      <c r="L227">
        <f>IF($AH227="","",IF(INDEX('Per Invoice'!L$2:L$401,$AH227)="","",INDEX('Per Invoice'!L$2:L$401,$AH227)))</f>
        <v/>
      </c>
      <c r="M227">
        <f>IF($AH227="","",IF(INDEX('Per Invoice'!M$2:M$401,$AH227)="","",INDEX('Per Invoice'!M$2:M$401,$AH227)))</f>
        <v/>
      </c>
      <c r="N227">
        <f>IF($AH227="","",IF(INDEX('Per Invoice'!N$2:N$401,$AH227)="","",INDEX('Per Invoice'!N$2:N$401,$AH227)))</f>
        <v/>
      </c>
      <c r="O227">
        <f>IF($AH227="","",IF(INDEX('Per Invoice'!O$2:O$401,$AH227)="","",INDEX('Per Invoice'!O$2:O$401,$AH227)))</f>
        <v/>
      </c>
      <c r="P227" s="7">
        <f>IF($AH227="","",IF(INDEX('Per Invoice'!P$2:P$401,$AH227)="","",INDEX('Per Invoice'!P$2:P$401,$AH227)))</f>
        <v/>
      </c>
      <c r="Q227">
        <f>IF($AH227="","",IF(INDEX('Per Invoice'!Q$2:Q$401,$AH227)="","",INDEX('Per Invoice'!Q$2:Q$401,$AH227)))</f>
        <v/>
      </c>
      <c r="R227">
        <f>IF($AH227="","",IF(INDEX('Per Invoice'!R$2:R$401,$AH227)="","",INDEX('Per Invoice'!R$2:R$401,$AH227)))</f>
        <v/>
      </c>
      <c r="S227">
        <f>IF($AH227="","",IF(INDEX('Per Invoice'!S$2:S$401,$AH227)="","",INDEX('Per Invoice'!S$2:S$401,$AH227)))</f>
        <v/>
      </c>
      <c r="T227" s="7">
        <f>IF($AH227="","",IF(INDEX('Per Invoice'!T$2:T$401,$AH227)="","",INDEX('Per Invoice'!T$2:T$401,$AH227)))</f>
        <v/>
      </c>
      <c r="U227" s="7">
        <f>IF($AH227="","",IF(INDEX('Per Invoice'!U$2:U$401,$AH227)="","",INDEX('Per Invoice'!U$2:U$401,$AH227)))</f>
        <v/>
      </c>
      <c r="V227">
        <f>IF($AH227="","",IF(INDEX('Per Invoice'!V$2:V$401,$AH227)="","",INDEX('Per Invoice'!V$2:V$401,$AH227)))</f>
        <v/>
      </c>
      <c r="W227" s="7">
        <f>IF($AH227="","",IF(INDEX('Per Invoice'!W$2:W$401,$AH227)="","",INDEX('Per Invoice'!W$2:W$401,$AH227)))</f>
        <v/>
      </c>
      <c r="X227" s="7">
        <f>IF($AH227="","",IF(INDEX('Per Invoice'!X$2:X$401,$AH227)="","",INDEX('Per Invoice'!X$2:X$401,$AH227)))</f>
        <v/>
      </c>
      <c r="Y227">
        <f>IF($AH227="","",IF(INDEX('Per Invoice'!Y$2:Y$401,$AH227)="","",INDEX('Per Invoice'!Y$2:Y$401,$AH227)))</f>
        <v/>
      </c>
      <c r="Z227" s="7">
        <f>IF($AH227="","",IF(INDEX('Per Invoice'!Z$2:Z$401,$AH227)="","",INDEX('Per Invoice'!Z$2:Z$401,$AH227)))</f>
        <v/>
      </c>
      <c r="AA227" s="7">
        <f>IF($AH227="","",IF(INDEX('Per Invoice'!AA$2:AA$401,$AH227)="","",INDEX('Per Invoice'!AA$2:AA$401,$AH227)))</f>
        <v/>
      </c>
      <c r="AB227" s="7">
        <f>IF($AH227="","",IF(INDEX('Per Invoice'!AB$2:AB$401,$AH227)="","",INDEX('Per Invoice'!AB$2:AB$401,$AH227)))</f>
        <v/>
      </c>
      <c r="AC227" s="7">
        <f>IF($AH227="","",IF(INDEX('Per Invoice'!AC$2:AC$401,$AH227)="","",INDEX('Per Invoice'!AC$2:AC$401,$AH227)))</f>
        <v/>
      </c>
      <c r="AD227" s="7">
        <f>IF($AH227="","",IF(INDEX('Per Invoice'!AD$2:AD$401,$AH227)="","",INDEX('Per Invoice'!AD$2:AD$401,$AH227)))</f>
        <v/>
      </c>
      <c r="AE227" s="7">
        <f>IF($AH227="","",IF(INDEX('Per Invoice'!AE$2:AE$401,$AH227)="","",INDEX('Per Invoice'!AE$2:AE$401,$AH227)))</f>
        <v/>
      </c>
      <c r="AF227">
        <f>IF($AH227="","",IF(INDEX('Per Invoice'!AF$2:AF$401,$AH227)="","",INDEX('Per Invoice'!AF$2:AF$401,$AH227)))</f>
        <v/>
      </c>
      <c r="AG227" s="7">
        <f>IF($AH227="","",IF(INDEX('Per Invoice'!AG$2:AG$401,$AH227)="","",INDEX('Per Invoice'!AG$2:AG$401,$AH227)))</f>
        <v/>
      </c>
      <c r="AH227" s="16">
        <f>IFERROR(MATCH(Settings!$C$26&amp;"|"&amp;ROWS($AH$2:$AH227),'Per Invoice'!$AI$2:$AI$401,0),"")</f>
        <v/>
      </c>
    </row>
    <row r="228">
      <c r="A228">
        <f>IF($AH228="","",IF(INDEX('Per Invoice'!A$2:A$401,$AH228)="","",INDEX('Per Invoice'!A$2:A$401,$AH228)))</f>
        <v/>
      </c>
      <c r="B228">
        <f>IF($AH228="","",IF(INDEX('Per Invoice'!B$2:B$401,$AH228)="","",INDEX('Per Invoice'!B$2:B$401,$AH228)))</f>
        <v/>
      </c>
      <c r="C228">
        <f>IF($AH228="","",IF(INDEX('Per Invoice'!C$2:C$401,$AH228)="","",INDEX('Per Invoice'!C$2:C$401,$AH228)))</f>
        <v/>
      </c>
      <c r="D228">
        <f>IF($AH228="","",IF(INDEX('Per Invoice'!D$2:D$401,$AH228)="","",INDEX('Per Invoice'!D$2:D$401,$AH228)))</f>
        <v/>
      </c>
      <c r="E228">
        <f>IF($AH228="","",IF(INDEX('Per Invoice'!E$2:E$401,$AH228)="","",INDEX('Per Invoice'!E$2:E$401,$AH228)))</f>
        <v/>
      </c>
      <c r="F228">
        <f>IF($AH228="","",IF(INDEX('Per Invoice'!F$2:F$401,$AH228)="","",INDEX('Per Invoice'!F$2:F$401,$AH228)))</f>
        <v/>
      </c>
      <c r="G228">
        <f>IF($AH228="","",IF(INDEX('Per Invoice'!G$2:G$401,$AH228)="","",INDEX('Per Invoice'!G$2:G$401,$AH228)))</f>
        <v/>
      </c>
      <c r="H228">
        <f>IF($AH228="","",IF(INDEX('Per Invoice'!H$2:H$401,$AH228)="","",INDEX('Per Invoice'!H$2:H$401,$AH228)))</f>
        <v/>
      </c>
      <c r="I228" s="14">
        <f>IF($AH228="","",IF(INDEX('Per Invoice'!I$2:I$401,$AH228)="","",INDEX('Per Invoice'!I$2:I$401,$AH228)))</f>
        <v/>
      </c>
      <c r="J228">
        <f>IF($AH228="","",IF(INDEX('Per Invoice'!J$2:J$401,$AH228)="","",INDEX('Per Invoice'!J$2:J$401,$AH228)))</f>
        <v/>
      </c>
      <c r="K228">
        <f>IF($AH228="","",IF(INDEX('Per Invoice'!K$2:K$401,$AH228)="","",INDEX('Per Invoice'!K$2:K$401,$AH228)))</f>
        <v/>
      </c>
      <c r="L228">
        <f>IF($AH228="","",IF(INDEX('Per Invoice'!L$2:L$401,$AH228)="","",INDEX('Per Invoice'!L$2:L$401,$AH228)))</f>
        <v/>
      </c>
      <c r="M228">
        <f>IF($AH228="","",IF(INDEX('Per Invoice'!M$2:M$401,$AH228)="","",INDEX('Per Invoice'!M$2:M$401,$AH228)))</f>
        <v/>
      </c>
      <c r="N228">
        <f>IF($AH228="","",IF(INDEX('Per Invoice'!N$2:N$401,$AH228)="","",INDEX('Per Invoice'!N$2:N$401,$AH228)))</f>
        <v/>
      </c>
      <c r="O228">
        <f>IF($AH228="","",IF(INDEX('Per Invoice'!O$2:O$401,$AH228)="","",INDEX('Per Invoice'!O$2:O$401,$AH228)))</f>
        <v/>
      </c>
      <c r="P228" s="7">
        <f>IF($AH228="","",IF(INDEX('Per Invoice'!P$2:P$401,$AH228)="","",INDEX('Per Invoice'!P$2:P$401,$AH228)))</f>
        <v/>
      </c>
      <c r="Q228">
        <f>IF($AH228="","",IF(INDEX('Per Invoice'!Q$2:Q$401,$AH228)="","",INDEX('Per Invoice'!Q$2:Q$401,$AH228)))</f>
        <v/>
      </c>
      <c r="R228">
        <f>IF($AH228="","",IF(INDEX('Per Invoice'!R$2:R$401,$AH228)="","",INDEX('Per Invoice'!R$2:R$401,$AH228)))</f>
        <v/>
      </c>
      <c r="S228">
        <f>IF($AH228="","",IF(INDEX('Per Invoice'!S$2:S$401,$AH228)="","",INDEX('Per Invoice'!S$2:S$401,$AH228)))</f>
        <v/>
      </c>
      <c r="T228" s="7">
        <f>IF($AH228="","",IF(INDEX('Per Invoice'!T$2:T$401,$AH228)="","",INDEX('Per Invoice'!T$2:T$401,$AH228)))</f>
        <v/>
      </c>
      <c r="U228" s="7">
        <f>IF($AH228="","",IF(INDEX('Per Invoice'!U$2:U$401,$AH228)="","",INDEX('Per Invoice'!U$2:U$401,$AH228)))</f>
        <v/>
      </c>
      <c r="V228">
        <f>IF($AH228="","",IF(INDEX('Per Invoice'!V$2:V$401,$AH228)="","",INDEX('Per Invoice'!V$2:V$401,$AH228)))</f>
        <v/>
      </c>
      <c r="W228" s="7">
        <f>IF($AH228="","",IF(INDEX('Per Invoice'!W$2:W$401,$AH228)="","",INDEX('Per Invoice'!W$2:W$401,$AH228)))</f>
        <v/>
      </c>
      <c r="X228" s="7">
        <f>IF($AH228="","",IF(INDEX('Per Invoice'!X$2:X$401,$AH228)="","",INDEX('Per Invoice'!X$2:X$401,$AH228)))</f>
        <v/>
      </c>
      <c r="Y228">
        <f>IF($AH228="","",IF(INDEX('Per Invoice'!Y$2:Y$401,$AH228)="","",INDEX('Per Invoice'!Y$2:Y$401,$AH228)))</f>
        <v/>
      </c>
      <c r="Z228" s="7">
        <f>IF($AH228="","",IF(INDEX('Per Invoice'!Z$2:Z$401,$AH228)="","",INDEX('Per Invoice'!Z$2:Z$401,$AH228)))</f>
        <v/>
      </c>
      <c r="AA228" s="7">
        <f>IF($AH228="","",IF(INDEX('Per Invoice'!AA$2:AA$401,$AH228)="","",INDEX('Per Invoice'!AA$2:AA$401,$AH228)))</f>
        <v/>
      </c>
      <c r="AB228" s="7">
        <f>IF($AH228="","",IF(INDEX('Per Invoice'!AB$2:AB$401,$AH228)="","",INDEX('Per Invoice'!AB$2:AB$401,$AH228)))</f>
        <v/>
      </c>
      <c r="AC228" s="7">
        <f>IF($AH228="","",IF(INDEX('Per Invoice'!AC$2:AC$401,$AH228)="","",INDEX('Per Invoice'!AC$2:AC$401,$AH228)))</f>
        <v/>
      </c>
      <c r="AD228" s="7">
        <f>IF($AH228="","",IF(INDEX('Per Invoice'!AD$2:AD$401,$AH228)="","",INDEX('Per Invoice'!AD$2:AD$401,$AH228)))</f>
        <v/>
      </c>
      <c r="AE228" s="7">
        <f>IF($AH228="","",IF(INDEX('Per Invoice'!AE$2:AE$401,$AH228)="","",INDEX('Per Invoice'!AE$2:AE$401,$AH228)))</f>
        <v/>
      </c>
      <c r="AF228">
        <f>IF($AH228="","",IF(INDEX('Per Invoice'!AF$2:AF$401,$AH228)="","",INDEX('Per Invoice'!AF$2:AF$401,$AH228)))</f>
        <v/>
      </c>
      <c r="AG228" s="7">
        <f>IF($AH228="","",IF(INDEX('Per Invoice'!AG$2:AG$401,$AH228)="","",INDEX('Per Invoice'!AG$2:AG$401,$AH228)))</f>
        <v/>
      </c>
      <c r="AH228" s="16">
        <f>IFERROR(MATCH(Settings!$C$26&amp;"|"&amp;ROWS($AH$2:$AH228),'Per Invoice'!$AI$2:$AI$401,0),"")</f>
        <v/>
      </c>
    </row>
    <row r="229">
      <c r="A229">
        <f>IF($AH229="","",IF(INDEX('Per Invoice'!A$2:A$401,$AH229)="","",INDEX('Per Invoice'!A$2:A$401,$AH229)))</f>
        <v/>
      </c>
      <c r="B229">
        <f>IF($AH229="","",IF(INDEX('Per Invoice'!B$2:B$401,$AH229)="","",INDEX('Per Invoice'!B$2:B$401,$AH229)))</f>
        <v/>
      </c>
      <c r="C229">
        <f>IF($AH229="","",IF(INDEX('Per Invoice'!C$2:C$401,$AH229)="","",INDEX('Per Invoice'!C$2:C$401,$AH229)))</f>
        <v/>
      </c>
      <c r="D229">
        <f>IF($AH229="","",IF(INDEX('Per Invoice'!D$2:D$401,$AH229)="","",INDEX('Per Invoice'!D$2:D$401,$AH229)))</f>
        <v/>
      </c>
      <c r="E229">
        <f>IF($AH229="","",IF(INDEX('Per Invoice'!E$2:E$401,$AH229)="","",INDEX('Per Invoice'!E$2:E$401,$AH229)))</f>
        <v/>
      </c>
      <c r="F229">
        <f>IF($AH229="","",IF(INDEX('Per Invoice'!F$2:F$401,$AH229)="","",INDEX('Per Invoice'!F$2:F$401,$AH229)))</f>
        <v/>
      </c>
      <c r="G229">
        <f>IF($AH229="","",IF(INDEX('Per Invoice'!G$2:G$401,$AH229)="","",INDEX('Per Invoice'!G$2:G$401,$AH229)))</f>
        <v/>
      </c>
      <c r="H229">
        <f>IF($AH229="","",IF(INDEX('Per Invoice'!H$2:H$401,$AH229)="","",INDEX('Per Invoice'!H$2:H$401,$AH229)))</f>
        <v/>
      </c>
      <c r="I229" s="14">
        <f>IF($AH229="","",IF(INDEX('Per Invoice'!I$2:I$401,$AH229)="","",INDEX('Per Invoice'!I$2:I$401,$AH229)))</f>
        <v/>
      </c>
      <c r="J229">
        <f>IF($AH229="","",IF(INDEX('Per Invoice'!J$2:J$401,$AH229)="","",INDEX('Per Invoice'!J$2:J$401,$AH229)))</f>
        <v/>
      </c>
      <c r="K229">
        <f>IF($AH229="","",IF(INDEX('Per Invoice'!K$2:K$401,$AH229)="","",INDEX('Per Invoice'!K$2:K$401,$AH229)))</f>
        <v/>
      </c>
      <c r="L229">
        <f>IF($AH229="","",IF(INDEX('Per Invoice'!L$2:L$401,$AH229)="","",INDEX('Per Invoice'!L$2:L$401,$AH229)))</f>
        <v/>
      </c>
      <c r="M229">
        <f>IF($AH229="","",IF(INDEX('Per Invoice'!M$2:M$401,$AH229)="","",INDEX('Per Invoice'!M$2:M$401,$AH229)))</f>
        <v/>
      </c>
      <c r="N229">
        <f>IF($AH229="","",IF(INDEX('Per Invoice'!N$2:N$401,$AH229)="","",INDEX('Per Invoice'!N$2:N$401,$AH229)))</f>
        <v/>
      </c>
      <c r="O229">
        <f>IF($AH229="","",IF(INDEX('Per Invoice'!O$2:O$401,$AH229)="","",INDEX('Per Invoice'!O$2:O$401,$AH229)))</f>
        <v/>
      </c>
      <c r="P229" s="7">
        <f>IF($AH229="","",IF(INDEX('Per Invoice'!P$2:P$401,$AH229)="","",INDEX('Per Invoice'!P$2:P$401,$AH229)))</f>
        <v/>
      </c>
      <c r="Q229">
        <f>IF($AH229="","",IF(INDEX('Per Invoice'!Q$2:Q$401,$AH229)="","",INDEX('Per Invoice'!Q$2:Q$401,$AH229)))</f>
        <v/>
      </c>
      <c r="R229">
        <f>IF($AH229="","",IF(INDEX('Per Invoice'!R$2:R$401,$AH229)="","",INDEX('Per Invoice'!R$2:R$401,$AH229)))</f>
        <v/>
      </c>
      <c r="S229">
        <f>IF($AH229="","",IF(INDEX('Per Invoice'!S$2:S$401,$AH229)="","",INDEX('Per Invoice'!S$2:S$401,$AH229)))</f>
        <v/>
      </c>
      <c r="T229" s="7">
        <f>IF($AH229="","",IF(INDEX('Per Invoice'!T$2:T$401,$AH229)="","",INDEX('Per Invoice'!T$2:T$401,$AH229)))</f>
        <v/>
      </c>
      <c r="U229" s="7">
        <f>IF($AH229="","",IF(INDEX('Per Invoice'!U$2:U$401,$AH229)="","",INDEX('Per Invoice'!U$2:U$401,$AH229)))</f>
        <v/>
      </c>
      <c r="V229">
        <f>IF($AH229="","",IF(INDEX('Per Invoice'!V$2:V$401,$AH229)="","",INDEX('Per Invoice'!V$2:V$401,$AH229)))</f>
        <v/>
      </c>
      <c r="W229" s="7">
        <f>IF($AH229="","",IF(INDEX('Per Invoice'!W$2:W$401,$AH229)="","",INDEX('Per Invoice'!W$2:W$401,$AH229)))</f>
        <v/>
      </c>
      <c r="X229" s="7">
        <f>IF($AH229="","",IF(INDEX('Per Invoice'!X$2:X$401,$AH229)="","",INDEX('Per Invoice'!X$2:X$401,$AH229)))</f>
        <v/>
      </c>
      <c r="Y229">
        <f>IF($AH229="","",IF(INDEX('Per Invoice'!Y$2:Y$401,$AH229)="","",INDEX('Per Invoice'!Y$2:Y$401,$AH229)))</f>
        <v/>
      </c>
      <c r="Z229" s="7">
        <f>IF($AH229="","",IF(INDEX('Per Invoice'!Z$2:Z$401,$AH229)="","",INDEX('Per Invoice'!Z$2:Z$401,$AH229)))</f>
        <v/>
      </c>
      <c r="AA229" s="7">
        <f>IF($AH229="","",IF(INDEX('Per Invoice'!AA$2:AA$401,$AH229)="","",INDEX('Per Invoice'!AA$2:AA$401,$AH229)))</f>
        <v/>
      </c>
      <c r="AB229" s="7">
        <f>IF($AH229="","",IF(INDEX('Per Invoice'!AB$2:AB$401,$AH229)="","",INDEX('Per Invoice'!AB$2:AB$401,$AH229)))</f>
        <v/>
      </c>
      <c r="AC229" s="7">
        <f>IF($AH229="","",IF(INDEX('Per Invoice'!AC$2:AC$401,$AH229)="","",INDEX('Per Invoice'!AC$2:AC$401,$AH229)))</f>
        <v/>
      </c>
      <c r="AD229" s="7">
        <f>IF($AH229="","",IF(INDEX('Per Invoice'!AD$2:AD$401,$AH229)="","",INDEX('Per Invoice'!AD$2:AD$401,$AH229)))</f>
        <v/>
      </c>
      <c r="AE229" s="7">
        <f>IF($AH229="","",IF(INDEX('Per Invoice'!AE$2:AE$401,$AH229)="","",INDEX('Per Invoice'!AE$2:AE$401,$AH229)))</f>
        <v/>
      </c>
      <c r="AF229">
        <f>IF($AH229="","",IF(INDEX('Per Invoice'!AF$2:AF$401,$AH229)="","",INDEX('Per Invoice'!AF$2:AF$401,$AH229)))</f>
        <v/>
      </c>
      <c r="AG229" s="7">
        <f>IF($AH229="","",IF(INDEX('Per Invoice'!AG$2:AG$401,$AH229)="","",INDEX('Per Invoice'!AG$2:AG$401,$AH229)))</f>
        <v/>
      </c>
      <c r="AH229" s="16">
        <f>IFERROR(MATCH(Settings!$C$26&amp;"|"&amp;ROWS($AH$2:$AH229),'Per Invoice'!$AI$2:$AI$401,0),"")</f>
        <v/>
      </c>
    </row>
    <row r="230">
      <c r="A230">
        <f>IF($AH230="","",IF(INDEX('Per Invoice'!A$2:A$401,$AH230)="","",INDEX('Per Invoice'!A$2:A$401,$AH230)))</f>
        <v/>
      </c>
      <c r="B230">
        <f>IF($AH230="","",IF(INDEX('Per Invoice'!B$2:B$401,$AH230)="","",INDEX('Per Invoice'!B$2:B$401,$AH230)))</f>
        <v/>
      </c>
      <c r="C230">
        <f>IF($AH230="","",IF(INDEX('Per Invoice'!C$2:C$401,$AH230)="","",INDEX('Per Invoice'!C$2:C$401,$AH230)))</f>
        <v/>
      </c>
      <c r="D230">
        <f>IF($AH230="","",IF(INDEX('Per Invoice'!D$2:D$401,$AH230)="","",INDEX('Per Invoice'!D$2:D$401,$AH230)))</f>
        <v/>
      </c>
      <c r="E230">
        <f>IF($AH230="","",IF(INDEX('Per Invoice'!E$2:E$401,$AH230)="","",INDEX('Per Invoice'!E$2:E$401,$AH230)))</f>
        <v/>
      </c>
      <c r="F230">
        <f>IF($AH230="","",IF(INDEX('Per Invoice'!F$2:F$401,$AH230)="","",INDEX('Per Invoice'!F$2:F$401,$AH230)))</f>
        <v/>
      </c>
      <c r="G230">
        <f>IF($AH230="","",IF(INDEX('Per Invoice'!G$2:G$401,$AH230)="","",INDEX('Per Invoice'!G$2:G$401,$AH230)))</f>
        <v/>
      </c>
      <c r="H230">
        <f>IF($AH230="","",IF(INDEX('Per Invoice'!H$2:H$401,$AH230)="","",INDEX('Per Invoice'!H$2:H$401,$AH230)))</f>
        <v/>
      </c>
      <c r="I230" s="14">
        <f>IF($AH230="","",IF(INDEX('Per Invoice'!I$2:I$401,$AH230)="","",INDEX('Per Invoice'!I$2:I$401,$AH230)))</f>
        <v/>
      </c>
      <c r="J230">
        <f>IF($AH230="","",IF(INDEX('Per Invoice'!J$2:J$401,$AH230)="","",INDEX('Per Invoice'!J$2:J$401,$AH230)))</f>
        <v/>
      </c>
      <c r="K230">
        <f>IF($AH230="","",IF(INDEX('Per Invoice'!K$2:K$401,$AH230)="","",INDEX('Per Invoice'!K$2:K$401,$AH230)))</f>
        <v/>
      </c>
      <c r="L230">
        <f>IF($AH230="","",IF(INDEX('Per Invoice'!L$2:L$401,$AH230)="","",INDEX('Per Invoice'!L$2:L$401,$AH230)))</f>
        <v/>
      </c>
      <c r="M230">
        <f>IF($AH230="","",IF(INDEX('Per Invoice'!M$2:M$401,$AH230)="","",INDEX('Per Invoice'!M$2:M$401,$AH230)))</f>
        <v/>
      </c>
      <c r="N230">
        <f>IF($AH230="","",IF(INDEX('Per Invoice'!N$2:N$401,$AH230)="","",INDEX('Per Invoice'!N$2:N$401,$AH230)))</f>
        <v/>
      </c>
      <c r="O230">
        <f>IF($AH230="","",IF(INDEX('Per Invoice'!O$2:O$401,$AH230)="","",INDEX('Per Invoice'!O$2:O$401,$AH230)))</f>
        <v/>
      </c>
      <c r="P230" s="7">
        <f>IF($AH230="","",IF(INDEX('Per Invoice'!P$2:P$401,$AH230)="","",INDEX('Per Invoice'!P$2:P$401,$AH230)))</f>
        <v/>
      </c>
      <c r="Q230">
        <f>IF($AH230="","",IF(INDEX('Per Invoice'!Q$2:Q$401,$AH230)="","",INDEX('Per Invoice'!Q$2:Q$401,$AH230)))</f>
        <v/>
      </c>
      <c r="R230">
        <f>IF($AH230="","",IF(INDEX('Per Invoice'!R$2:R$401,$AH230)="","",INDEX('Per Invoice'!R$2:R$401,$AH230)))</f>
        <v/>
      </c>
      <c r="S230">
        <f>IF($AH230="","",IF(INDEX('Per Invoice'!S$2:S$401,$AH230)="","",INDEX('Per Invoice'!S$2:S$401,$AH230)))</f>
        <v/>
      </c>
      <c r="T230" s="7">
        <f>IF($AH230="","",IF(INDEX('Per Invoice'!T$2:T$401,$AH230)="","",INDEX('Per Invoice'!T$2:T$401,$AH230)))</f>
        <v/>
      </c>
      <c r="U230" s="7">
        <f>IF($AH230="","",IF(INDEX('Per Invoice'!U$2:U$401,$AH230)="","",INDEX('Per Invoice'!U$2:U$401,$AH230)))</f>
        <v/>
      </c>
      <c r="V230">
        <f>IF($AH230="","",IF(INDEX('Per Invoice'!V$2:V$401,$AH230)="","",INDEX('Per Invoice'!V$2:V$401,$AH230)))</f>
        <v/>
      </c>
      <c r="W230" s="7">
        <f>IF($AH230="","",IF(INDEX('Per Invoice'!W$2:W$401,$AH230)="","",INDEX('Per Invoice'!W$2:W$401,$AH230)))</f>
        <v/>
      </c>
      <c r="X230" s="7">
        <f>IF($AH230="","",IF(INDEX('Per Invoice'!X$2:X$401,$AH230)="","",INDEX('Per Invoice'!X$2:X$401,$AH230)))</f>
        <v/>
      </c>
      <c r="Y230">
        <f>IF($AH230="","",IF(INDEX('Per Invoice'!Y$2:Y$401,$AH230)="","",INDEX('Per Invoice'!Y$2:Y$401,$AH230)))</f>
        <v/>
      </c>
      <c r="Z230" s="7">
        <f>IF($AH230="","",IF(INDEX('Per Invoice'!Z$2:Z$401,$AH230)="","",INDEX('Per Invoice'!Z$2:Z$401,$AH230)))</f>
        <v/>
      </c>
      <c r="AA230" s="7">
        <f>IF($AH230="","",IF(INDEX('Per Invoice'!AA$2:AA$401,$AH230)="","",INDEX('Per Invoice'!AA$2:AA$401,$AH230)))</f>
        <v/>
      </c>
      <c r="AB230" s="7">
        <f>IF($AH230="","",IF(INDEX('Per Invoice'!AB$2:AB$401,$AH230)="","",INDEX('Per Invoice'!AB$2:AB$401,$AH230)))</f>
        <v/>
      </c>
      <c r="AC230" s="7">
        <f>IF($AH230="","",IF(INDEX('Per Invoice'!AC$2:AC$401,$AH230)="","",INDEX('Per Invoice'!AC$2:AC$401,$AH230)))</f>
        <v/>
      </c>
      <c r="AD230" s="7">
        <f>IF($AH230="","",IF(INDEX('Per Invoice'!AD$2:AD$401,$AH230)="","",INDEX('Per Invoice'!AD$2:AD$401,$AH230)))</f>
        <v/>
      </c>
      <c r="AE230" s="7">
        <f>IF($AH230="","",IF(INDEX('Per Invoice'!AE$2:AE$401,$AH230)="","",INDEX('Per Invoice'!AE$2:AE$401,$AH230)))</f>
        <v/>
      </c>
      <c r="AF230">
        <f>IF($AH230="","",IF(INDEX('Per Invoice'!AF$2:AF$401,$AH230)="","",INDEX('Per Invoice'!AF$2:AF$401,$AH230)))</f>
        <v/>
      </c>
      <c r="AG230" s="7">
        <f>IF($AH230="","",IF(INDEX('Per Invoice'!AG$2:AG$401,$AH230)="","",INDEX('Per Invoice'!AG$2:AG$401,$AH230)))</f>
        <v/>
      </c>
      <c r="AH230" s="16">
        <f>IFERROR(MATCH(Settings!$C$26&amp;"|"&amp;ROWS($AH$2:$AH230),'Per Invoice'!$AI$2:$AI$401,0),"")</f>
        <v/>
      </c>
    </row>
    <row r="231">
      <c r="A231">
        <f>IF($AH231="","",IF(INDEX('Per Invoice'!A$2:A$401,$AH231)="","",INDEX('Per Invoice'!A$2:A$401,$AH231)))</f>
        <v/>
      </c>
      <c r="B231">
        <f>IF($AH231="","",IF(INDEX('Per Invoice'!B$2:B$401,$AH231)="","",INDEX('Per Invoice'!B$2:B$401,$AH231)))</f>
        <v/>
      </c>
      <c r="C231">
        <f>IF($AH231="","",IF(INDEX('Per Invoice'!C$2:C$401,$AH231)="","",INDEX('Per Invoice'!C$2:C$401,$AH231)))</f>
        <v/>
      </c>
      <c r="D231">
        <f>IF($AH231="","",IF(INDEX('Per Invoice'!D$2:D$401,$AH231)="","",INDEX('Per Invoice'!D$2:D$401,$AH231)))</f>
        <v/>
      </c>
      <c r="E231">
        <f>IF($AH231="","",IF(INDEX('Per Invoice'!E$2:E$401,$AH231)="","",INDEX('Per Invoice'!E$2:E$401,$AH231)))</f>
        <v/>
      </c>
      <c r="F231">
        <f>IF($AH231="","",IF(INDEX('Per Invoice'!F$2:F$401,$AH231)="","",INDEX('Per Invoice'!F$2:F$401,$AH231)))</f>
        <v/>
      </c>
      <c r="G231">
        <f>IF($AH231="","",IF(INDEX('Per Invoice'!G$2:G$401,$AH231)="","",INDEX('Per Invoice'!G$2:G$401,$AH231)))</f>
        <v/>
      </c>
      <c r="H231">
        <f>IF($AH231="","",IF(INDEX('Per Invoice'!H$2:H$401,$AH231)="","",INDEX('Per Invoice'!H$2:H$401,$AH231)))</f>
        <v/>
      </c>
      <c r="I231" s="14">
        <f>IF($AH231="","",IF(INDEX('Per Invoice'!I$2:I$401,$AH231)="","",INDEX('Per Invoice'!I$2:I$401,$AH231)))</f>
        <v/>
      </c>
      <c r="J231">
        <f>IF($AH231="","",IF(INDEX('Per Invoice'!J$2:J$401,$AH231)="","",INDEX('Per Invoice'!J$2:J$401,$AH231)))</f>
        <v/>
      </c>
      <c r="K231">
        <f>IF($AH231="","",IF(INDEX('Per Invoice'!K$2:K$401,$AH231)="","",INDEX('Per Invoice'!K$2:K$401,$AH231)))</f>
        <v/>
      </c>
      <c r="L231">
        <f>IF($AH231="","",IF(INDEX('Per Invoice'!L$2:L$401,$AH231)="","",INDEX('Per Invoice'!L$2:L$401,$AH231)))</f>
        <v/>
      </c>
      <c r="M231">
        <f>IF($AH231="","",IF(INDEX('Per Invoice'!M$2:M$401,$AH231)="","",INDEX('Per Invoice'!M$2:M$401,$AH231)))</f>
        <v/>
      </c>
      <c r="N231">
        <f>IF($AH231="","",IF(INDEX('Per Invoice'!N$2:N$401,$AH231)="","",INDEX('Per Invoice'!N$2:N$401,$AH231)))</f>
        <v/>
      </c>
      <c r="O231">
        <f>IF($AH231="","",IF(INDEX('Per Invoice'!O$2:O$401,$AH231)="","",INDEX('Per Invoice'!O$2:O$401,$AH231)))</f>
        <v/>
      </c>
      <c r="P231" s="7">
        <f>IF($AH231="","",IF(INDEX('Per Invoice'!P$2:P$401,$AH231)="","",INDEX('Per Invoice'!P$2:P$401,$AH231)))</f>
        <v/>
      </c>
      <c r="Q231">
        <f>IF($AH231="","",IF(INDEX('Per Invoice'!Q$2:Q$401,$AH231)="","",INDEX('Per Invoice'!Q$2:Q$401,$AH231)))</f>
        <v/>
      </c>
      <c r="R231">
        <f>IF($AH231="","",IF(INDEX('Per Invoice'!R$2:R$401,$AH231)="","",INDEX('Per Invoice'!R$2:R$401,$AH231)))</f>
        <v/>
      </c>
      <c r="S231">
        <f>IF($AH231="","",IF(INDEX('Per Invoice'!S$2:S$401,$AH231)="","",INDEX('Per Invoice'!S$2:S$401,$AH231)))</f>
        <v/>
      </c>
      <c r="T231" s="7">
        <f>IF($AH231="","",IF(INDEX('Per Invoice'!T$2:T$401,$AH231)="","",INDEX('Per Invoice'!T$2:T$401,$AH231)))</f>
        <v/>
      </c>
      <c r="U231" s="7">
        <f>IF($AH231="","",IF(INDEX('Per Invoice'!U$2:U$401,$AH231)="","",INDEX('Per Invoice'!U$2:U$401,$AH231)))</f>
        <v/>
      </c>
      <c r="V231">
        <f>IF($AH231="","",IF(INDEX('Per Invoice'!V$2:V$401,$AH231)="","",INDEX('Per Invoice'!V$2:V$401,$AH231)))</f>
        <v/>
      </c>
      <c r="W231" s="7">
        <f>IF($AH231="","",IF(INDEX('Per Invoice'!W$2:W$401,$AH231)="","",INDEX('Per Invoice'!W$2:W$401,$AH231)))</f>
        <v/>
      </c>
      <c r="X231" s="7">
        <f>IF($AH231="","",IF(INDEX('Per Invoice'!X$2:X$401,$AH231)="","",INDEX('Per Invoice'!X$2:X$401,$AH231)))</f>
        <v/>
      </c>
      <c r="Y231">
        <f>IF($AH231="","",IF(INDEX('Per Invoice'!Y$2:Y$401,$AH231)="","",INDEX('Per Invoice'!Y$2:Y$401,$AH231)))</f>
        <v/>
      </c>
      <c r="Z231" s="7">
        <f>IF($AH231="","",IF(INDEX('Per Invoice'!Z$2:Z$401,$AH231)="","",INDEX('Per Invoice'!Z$2:Z$401,$AH231)))</f>
        <v/>
      </c>
      <c r="AA231" s="7">
        <f>IF($AH231="","",IF(INDEX('Per Invoice'!AA$2:AA$401,$AH231)="","",INDEX('Per Invoice'!AA$2:AA$401,$AH231)))</f>
        <v/>
      </c>
      <c r="AB231" s="7">
        <f>IF($AH231="","",IF(INDEX('Per Invoice'!AB$2:AB$401,$AH231)="","",INDEX('Per Invoice'!AB$2:AB$401,$AH231)))</f>
        <v/>
      </c>
      <c r="AC231" s="7">
        <f>IF($AH231="","",IF(INDEX('Per Invoice'!AC$2:AC$401,$AH231)="","",INDEX('Per Invoice'!AC$2:AC$401,$AH231)))</f>
        <v/>
      </c>
      <c r="AD231" s="7">
        <f>IF($AH231="","",IF(INDEX('Per Invoice'!AD$2:AD$401,$AH231)="","",INDEX('Per Invoice'!AD$2:AD$401,$AH231)))</f>
        <v/>
      </c>
      <c r="AE231" s="7">
        <f>IF($AH231="","",IF(INDEX('Per Invoice'!AE$2:AE$401,$AH231)="","",INDEX('Per Invoice'!AE$2:AE$401,$AH231)))</f>
        <v/>
      </c>
      <c r="AF231">
        <f>IF($AH231="","",IF(INDEX('Per Invoice'!AF$2:AF$401,$AH231)="","",INDEX('Per Invoice'!AF$2:AF$401,$AH231)))</f>
        <v/>
      </c>
      <c r="AG231" s="7">
        <f>IF($AH231="","",IF(INDEX('Per Invoice'!AG$2:AG$401,$AH231)="","",INDEX('Per Invoice'!AG$2:AG$401,$AH231)))</f>
        <v/>
      </c>
      <c r="AH231" s="16">
        <f>IFERROR(MATCH(Settings!$C$26&amp;"|"&amp;ROWS($AH$2:$AH231),'Per Invoice'!$AI$2:$AI$401,0),"")</f>
        <v/>
      </c>
    </row>
    <row r="232">
      <c r="A232">
        <f>IF($AH232="","",IF(INDEX('Per Invoice'!A$2:A$401,$AH232)="","",INDEX('Per Invoice'!A$2:A$401,$AH232)))</f>
        <v/>
      </c>
      <c r="B232">
        <f>IF($AH232="","",IF(INDEX('Per Invoice'!B$2:B$401,$AH232)="","",INDEX('Per Invoice'!B$2:B$401,$AH232)))</f>
        <v/>
      </c>
      <c r="C232">
        <f>IF($AH232="","",IF(INDEX('Per Invoice'!C$2:C$401,$AH232)="","",INDEX('Per Invoice'!C$2:C$401,$AH232)))</f>
        <v/>
      </c>
      <c r="D232">
        <f>IF($AH232="","",IF(INDEX('Per Invoice'!D$2:D$401,$AH232)="","",INDEX('Per Invoice'!D$2:D$401,$AH232)))</f>
        <v/>
      </c>
      <c r="E232">
        <f>IF($AH232="","",IF(INDEX('Per Invoice'!E$2:E$401,$AH232)="","",INDEX('Per Invoice'!E$2:E$401,$AH232)))</f>
        <v/>
      </c>
      <c r="F232">
        <f>IF($AH232="","",IF(INDEX('Per Invoice'!F$2:F$401,$AH232)="","",INDEX('Per Invoice'!F$2:F$401,$AH232)))</f>
        <v/>
      </c>
      <c r="G232">
        <f>IF($AH232="","",IF(INDEX('Per Invoice'!G$2:G$401,$AH232)="","",INDEX('Per Invoice'!G$2:G$401,$AH232)))</f>
        <v/>
      </c>
      <c r="H232">
        <f>IF($AH232="","",IF(INDEX('Per Invoice'!H$2:H$401,$AH232)="","",INDEX('Per Invoice'!H$2:H$401,$AH232)))</f>
        <v/>
      </c>
      <c r="I232" s="14">
        <f>IF($AH232="","",IF(INDEX('Per Invoice'!I$2:I$401,$AH232)="","",INDEX('Per Invoice'!I$2:I$401,$AH232)))</f>
        <v/>
      </c>
      <c r="J232">
        <f>IF($AH232="","",IF(INDEX('Per Invoice'!J$2:J$401,$AH232)="","",INDEX('Per Invoice'!J$2:J$401,$AH232)))</f>
        <v/>
      </c>
      <c r="K232">
        <f>IF($AH232="","",IF(INDEX('Per Invoice'!K$2:K$401,$AH232)="","",INDEX('Per Invoice'!K$2:K$401,$AH232)))</f>
        <v/>
      </c>
      <c r="L232">
        <f>IF($AH232="","",IF(INDEX('Per Invoice'!L$2:L$401,$AH232)="","",INDEX('Per Invoice'!L$2:L$401,$AH232)))</f>
        <v/>
      </c>
      <c r="M232">
        <f>IF($AH232="","",IF(INDEX('Per Invoice'!M$2:M$401,$AH232)="","",INDEX('Per Invoice'!M$2:M$401,$AH232)))</f>
        <v/>
      </c>
      <c r="N232">
        <f>IF($AH232="","",IF(INDEX('Per Invoice'!N$2:N$401,$AH232)="","",INDEX('Per Invoice'!N$2:N$401,$AH232)))</f>
        <v/>
      </c>
      <c r="O232">
        <f>IF($AH232="","",IF(INDEX('Per Invoice'!O$2:O$401,$AH232)="","",INDEX('Per Invoice'!O$2:O$401,$AH232)))</f>
        <v/>
      </c>
      <c r="P232" s="7">
        <f>IF($AH232="","",IF(INDEX('Per Invoice'!P$2:P$401,$AH232)="","",INDEX('Per Invoice'!P$2:P$401,$AH232)))</f>
        <v/>
      </c>
      <c r="Q232">
        <f>IF($AH232="","",IF(INDEX('Per Invoice'!Q$2:Q$401,$AH232)="","",INDEX('Per Invoice'!Q$2:Q$401,$AH232)))</f>
        <v/>
      </c>
      <c r="R232">
        <f>IF($AH232="","",IF(INDEX('Per Invoice'!R$2:R$401,$AH232)="","",INDEX('Per Invoice'!R$2:R$401,$AH232)))</f>
        <v/>
      </c>
      <c r="S232">
        <f>IF($AH232="","",IF(INDEX('Per Invoice'!S$2:S$401,$AH232)="","",INDEX('Per Invoice'!S$2:S$401,$AH232)))</f>
        <v/>
      </c>
      <c r="T232" s="7">
        <f>IF($AH232="","",IF(INDEX('Per Invoice'!T$2:T$401,$AH232)="","",INDEX('Per Invoice'!T$2:T$401,$AH232)))</f>
        <v/>
      </c>
      <c r="U232" s="7">
        <f>IF($AH232="","",IF(INDEX('Per Invoice'!U$2:U$401,$AH232)="","",INDEX('Per Invoice'!U$2:U$401,$AH232)))</f>
        <v/>
      </c>
      <c r="V232">
        <f>IF($AH232="","",IF(INDEX('Per Invoice'!V$2:V$401,$AH232)="","",INDEX('Per Invoice'!V$2:V$401,$AH232)))</f>
        <v/>
      </c>
      <c r="W232" s="7">
        <f>IF($AH232="","",IF(INDEX('Per Invoice'!W$2:W$401,$AH232)="","",INDEX('Per Invoice'!W$2:W$401,$AH232)))</f>
        <v/>
      </c>
      <c r="X232" s="7">
        <f>IF($AH232="","",IF(INDEX('Per Invoice'!X$2:X$401,$AH232)="","",INDEX('Per Invoice'!X$2:X$401,$AH232)))</f>
        <v/>
      </c>
      <c r="Y232">
        <f>IF($AH232="","",IF(INDEX('Per Invoice'!Y$2:Y$401,$AH232)="","",INDEX('Per Invoice'!Y$2:Y$401,$AH232)))</f>
        <v/>
      </c>
      <c r="Z232" s="7">
        <f>IF($AH232="","",IF(INDEX('Per Invoice'!Z$2:Z$401,$AH232)="","",INDEX('Per Invoice'!Z$2:Z$401,$AH232)))</f>
        <v/>
      </c>
      <c r="AA232" s="7">
        <f>IF($AH232="","",IF(INDEX('Per Invoice'!AA$2:AA$401,$AH232)="","",INDEX('Per Invoice'!AA$2:AA$401,$AH232)))</f>
        <v/>
      </c>
      <c r="AB232" s="7">
        <f>IF($AH232="","",IF(INDEX('Per Invoice'!AB$2:AB$401,$AH232)="","",INDEX('Per Invoice'!AB$2:AB$401,$AH232)))</f>
        <v/>
      </c>
      <c r="AC232" s="7">
        <f>IF($AH232="","",IF(INDEX('Per Invoice'!AC$2:AC$401,$AH232)="","",INDEX('Per Invoice'!AC$2:AC$401,$AH232)))</f>
        <v/>
      </c>
      <c r="AD232" s="7">
        <f>IF($AH232="","",IF(INDEX('Per Invoice'!AD$2:AD$401,$AH232)="","",INDEX('Per Invoice'!AD$2:AD$401,$AH232)))</f>
        <v/>
      </c>
      <c r="AE232" s="7">
        <f>IF($AH232="","",IF(INDEX('Per Invoice'!AE$2:AE$401,$AH232)="","",INDEX('Per Invoice'!AE$2:AE$401,$AH232)))</f>
        <v/>
      </c>
      <c r="AF232">
        <f>IF($AH232="","",IF(INDEX('Per Invoice'!AF$2:AF$401,$AH232)="","",INDEX('Per Invoice'!AF$2:AF$401,$AH232)))</f>
        <v/>
      </c>
      <c r="AG232" s="7">
        <f>IF($AH232="","",IF(INDEX('Per Invoice'!AG$2:AG$401,$AH232)="","",INDEX('Per Invoice'!AG$2:AG$401,$AH232)))</f>
        <v/>
      </c>
      <c r="AH232" s="16">
        <f>IFERROR(MATCH(Settings!$C$26&amp;"|"&amp;ROWS($AH$2:$AH232),'Per Invoice'!$AI$2:$AI$401,0),"")</f>
        <v/>
      </c>
    </row>
    <row r="233">
      <c r="A233">
        <f>IF($AH233="","",IF(INDEX('Per Invoice'!A$2:A$401,$AH233)="","",INDEX('Per Invoice'!A$2:A$401,$AH233)))</f>
        <v/>
      </c>
      <c r="B233">
        <f>IF($AH233="","",IF(INDEX('Per Invoice'!B$2:B$401,$AH233)="","",INDEX('Per Invoice'!B$2:B$401,$AH233)))</f>
        <v/>
      </c>
      <c r="C233">
        <f>IF($AH233="","",IF(INDEX('Per Invoice'!C$2:C$401,$AH233)="","",INDEX('Per Invoice'!C$2:C$401,$AH233)))</f>
        <v/>
      </c>
      <c r="D233">
        <f>IF($AH233="","",IF(INDEX('Per Invoice'!D$2:D$401,$AH233)="","",INDEX('Per Invoice'!D$2:D$401,$AH233)))</f>
        <v/>
      </c>
      <c r="E233">
        <f>IF($AH233="","",IF(INDEX('Per Invoice'!E$2:E$401,$AH233)="","",INDEX('Per Invoice'!E$2:E$401,$AH233)))</f>
        <v/>
      </c>
      <c r="F233">
        <f>IF($AH233="","",IF(INDEX('Per Invoice'!F$2:F$401,$AH233)="","",INDEX('Per Invoice'!F$2:F$401,$AH233)))</f>
        <v/>
      </c>
      <c r="G233">
        <f>IF($AH233="","",IF(INDEX('Per Invoice'!G$2:G$401,$AH233)="","",INDEX('Per Invoice'!G$2:G$401,$AH233)))</f>
        <v/>
      </c>
      <c r="H233">
        <f>IF($AH233="","",IF(INDEX('Per Invoice'!H$2:H$401,$AH233)="","",INDEX('Per Invoice'!H$2:H$401,$AH233)))</f>
        <v/>
      </c>
      <c r="I233" s="14">
        <f>IF($AH233="","",IF(INDEX('Per Invoice'!I$2:I$401,$AH233)="","",INDEX('Per Invoice'!I$2:I$401,$AH233)))</f>
        <v/>
      </c>
      <c r="J233">
        <f>IF($AH233="","",IF(INDEX('Per Invoice'!J$2:J$401,$AH233)="","",INDEX('Per Invoice'!J$2:J$401,$AH233)))</f>
        <v/>
      </c>
      <c r="K233">
        <f>IF($AH233="","",IF(INDEX('Per Invoice'!K$2:K$401,$AH233)="","",INDEX('Per Invoice'!K$2:K$401,$AH233)))</f>
        <v/>
      </c>
      <c r="L233">
        <f>IF($AH233="","",IF(INDEX('Per Invoice'!L$2:L$401,$AH233)="","",INDEX('Per Invoice'!L$2:L$401,$AH233)))</f>
        <v/>
      </c>
      <c r="M233">
        <f>IF($AH233="","",IF(INDEX('Per Invoice'!M$2:M$401,$AH233)="","",INDEX('Per Invoice'!M$2:M$401,$AH233)))</f>
        <v/>
      </c>
      <c r="N233">
        <f>IF($AH233="","",IF(INDEX('Per Invoice'!N$2:N$401,$AH233)="","",INDEX('Per Invoice'!N$2:N$401,$AH233)))</f>
        <v/>
      </c>
      <c r="O233">
        <f>IF($AH233="","",IF(INDEX('Per Invoice'!O$2:O$401,$AH233)="","",INDEX('Per Invoice'!O$2:O$401,$AH233)))</f>
        <v/>
      </c>
      <c r="P233" s="7">
        <f>IF($AH233="","",IF(INDEX('Per Invoice'!P$2:P$401,$AH233)="","",INDEX('Per Invoice'!P$2:P$401,$AH233)))</f>
        <v/>
      </c>
      <c r="Q233">
        <f>IF($AH233="","",IF(INDEX('Per Invoice'!Q$2:Q$401,$AH233)="","",INDEX('Per Invoice'!Q$2:Q$401,$AH233)))</f>
        <v/>
      </c>
      <c r="R233">
        <f>IF($AH233="","",IF(INDEX('Per Invoice'!R$2:R$401,$AH233)="","",INDEX('Per Invoice'!R$2:R$401,$AH233)))</f>
        <v/>
      </c>
      <c r="S233">
        <f>IF($AH233="","",IF(INDEX('Per Invoice'!S$2:S$401,$AH233)="","",INDEX('Per Invoice'!S$2:S$401,$AH233)))</f>
        <v/>
      </c>
      <c r="T233" s="7">
        <f>IF($AH233="","",IF(INDEX('Per Invoice'!T$2:T$401,$AH233)="","",INDEX('Per Invoice'!T$2:T$401,$AH233)))</f>
        <v/>
      </c>
      <c r="U233" s="7">
        <f>IF($AH233="","",IF(INDEX('Per Invoice'!U$2:U$401,$AH233)="","",INDEX('Per Invoice'!U$2:U$401,$AH233)))</f>
        <v/>
      </c>
      <c r="V233">
        <f>IF($AH233="","",IF(INDEX('Per Invoice'!V$2:V$401,$AH233)="","",INDEX('Per Invoice'!V$2:V$401,$AH233)))</f>
        <v/>
      </c>
      <c r="W233" s="7">
        <f>IF($AH233="","",IF(INDEX('Per Invoice'!W$2:W$401,$AH233)="","",INDEX('Per Invoice'!W$2:W$401,$AH233)))</f>
        <v/>
      </c>
      <c r="X233" s="7">
        <f>IF($AH233="","",IF(INDEX('Per Invoice'!X$2:X$401,$AH233)="","",INDEX('Per Invoice'!X$2:X$401,$AH233)))</f>
        <v/>
      </c>
      <c r="Y233">
        <f>IF($AH233="","",IF(INDEX('Per Invoice'!Y$2:Y$401,$AH233)="","",INDEX('Per Invoice'!Y$2:Y$401,$AH233)))</f>
        <v/>
      </c>
      <c r="Z233" s="7">
        <f>IF($AH233="","",IF(INDEX('Per Invoice'!Z$2:Z$401,$AH233)="","",INDEX('Per Invoice'!Z$2:Z$401,$AH233)))</f>
        <v/>
      </c>
      <c r="AA233" s="7">
        <f>IF($AH233="","",IF(INDEX('Per Invoice'!AA$2:AA$401,$AH233)="","",INDEX('Per Invoice'!AA$2:AA$401,$AH233)))</f>
        <v/>
      </c>
      <c r="AB233" s="7">
        <f>IF($AH233="","",IF(INDEX('Per Invoice'!AB$2:AB$401,$AH233)="","",INDEX('Per Invoice'!AB$2:AB$401,$AH233)))</f>
        <v/>
      </c>
      <c r="AC233" s="7">
        <f>IF($AH233="","",IF(INDEX('Per Invoice'!AC$2:AC$401,$AH233)="","",INDEX('Per Invoice'!AC$2:AC$401,$AH233)))</f>
        <v/>
      </c>
      <c r="AD233" s="7">
        <f>IF($AH233="","",IF(INDEX('Per Invoice'!AD$2:AD$401,$AH233)="","",INDEX('Per Invoice'!AD$2:AD$401,$AH233)))</f>
        <v/>
      </c>
      <c r="AE233" s="7">
        <f>IF($AH233="","",IF(INDEX('Per Invoice'!AE$2:AE$401,$AH233)="","",INDEX('Per Invoice'!AE$2:AE$401,$AH233)))</f>
        <v/>
      </c>
      <c r="AF233">
        <f>IF($AH233="","",IF(INDEX('Per Invoice'!AF$2:AF$401,$AH233)="","",INDEX('Per Invoice'!AF$2:AF$401,$AH233)))</f>
        <v/>
      </c>
      <c r="AG233" s="7">
        <f>IF($AH233="","",IF(INDEX('Per Invoice'!AG$2:AG$401,$AH233)="","",INDEX('Per Invoice'!AG$2:AG$401,$AH233)))</f>
        <v/>
      </c>
      <c r="AH233" s="16">
        <f>IFERROR(MATCH(Settings!$C$26&amp;"|"&amp;ROWS($AH$2:$AH233),'Per Invoice'!$AI$2:$AI$401,0),"")</f>
        <v/>
      </c>
    </row>
    <row r="234">
      <c r="A234">
        <f>IF($AH234="","",IF(INDEX('Per Invoice'!A$2:A$401,$AH234)="","",INDEX('Per Invoice'!A$2:A$401,$AH234)))</f>
        <v/>
      </c>
      <c r="B234">
        <f>IF($AH234="","",IF(INDEX('Per Invoice'!B$2:B$401,$AH234)="","",INDEX('Per Invoice'!B$2:B$401,$AH234)))</f>
        <v/>
      </c>
      <c r="C234">
        <f>IF($AH234="","",IF(INDEX('Per Invoice'!C$2:C$401,$AH234)="","",INDEX('Per Invoice'!C$2:C$401,$AH234)))</f>
        <v/>
      </c>
      <c r="D234">
        <f>IF($AH234="","",IF(INDEX('Per Invoice'!D$2:D$401,$AH234)="","",INDEX('Per Invoice'!D$2:D$401,$AH234)))</f>
        <v/>
      </c>
      <c r="E234">
        <f>IF($AH234="","",IF(INDEX('Per Invoice'!E$2:E$401,$AH234)="","",INDEX('Per Invoice'!E$2:E$401,$AH234)))</f>
        <v/>
      </c>
      <c r="F234">
        <f>IF($AH234="","",IF(INDEX('Per Invoice'!F$2:F$401,$AH234)="","",INDEX('Per Invoice'!F$2:F$401,$AH234)))</f>
        <v/>
      </c>
      <c r="G234">
        <f>IF($AH234="","",IF(INDEX('Per Invoice'!G$2:G$401,$AH234)="","",INDEX('Per Invoice'!G$2:G$401,$AH234)))</f>
        <v/>
      </c>
      <c r="H234">
        <f>IF($AH234="","",IF(INDEX('Per Invoice'!H$2:H$401,$AH234)="","",INDEX('Per Invoice'!H$2:H$401,$AH234)))</f>
        <v/>
      </c>
      <c r="I234" s="14">
        <f>IF($AH234="","",IF(INDEX('Per Invoice'!I$2:I$401,$AH234)="","",INDEX('Per Invoice'!I$2:I$401,$AH234)))</f>
        <v/>
      </c>
      <c r="J234">
        <f>IF($AH234="","",IF(INDEX('Per Invoice'!J$2:J$401,$AH234)="","",INDEX('Per Invoice'!J$2:J$401,$AH234)))</f>
        <v/>
      </c>
      <c r="K234">
        <f>IF($AH234="","",IF(INDEX('Per Invoice'!K$2:K$401,$AH234)="","",INDEX('Per Invoice'!K$2:K$401,$AH234)))</f>
        <v/>
      </c>
      <c r="L234">
        <f>IF($AH234="","",IF(INDEX('Per Invoice'!L$2:L$401,$AH234)="","",INDEX('Per Invoice'!L$2:L$401,$AH234)))</f>
        <v/>
      </c>
      <c r="M234">
        <f>IF($AH234="","",IF(INDEX('Per Invoice'!M$2:M$401,$AH234)="","",INDEX('Per Invoice'!M$2:M$401,$AH234)))</f>
        <v/>
      </c>
      <c r="N234">
        <f>IF($AH234="","",IF(INDEX('Per Invoice'!N$2:N$401,$AH234)="","",INDEX('Per Invoice'!N$2:N$401,$AH234)))</f>
        <v/>
      </c>
      <c r="O234">
        <f>IF($AH234="","",IF(INDEX('Per Invoice'!O$2:O$401,$AH234)="","",INDEX('Per Invoice'!O$2:O$401,$AH234)))</f>
        <v/>
      </c>
      <c r="P234" s="7">
        <f>IF($AH234="","",IF(INDEX('Per Invoice'!P$2:P$401,$AH234)="","",INDEX('Per Invoice'!P$2:P$401,$AH234)))</f>
        <v/>
      </c>
      <c r="Q234">
        <f>IF($AH234="","",IF(INDEX('Per Invoice'!Q$2:Q$401,$AH234)="","",INDEX('Per Invoice'!Q$2:Q$401,$AH234)))</f>
        <v/>
      </c>
      <c r="R234">
        <f>IF($AH234="","",IF(INDEX('Per Invoice'!R$2:R$401,$AH234)="","",INDEX('Per Invoice'!R$2:R$401,$AH234)))</f>
        <v/>
      </c>
      <c r="S234">
        <f>IF($AH234="","",IF(INDEX('Per Invoice'!S$2:S$401,$AH234)="","",INDEX('Per Invoice'!S$2:S$401,$AH234)))</f>
        <v/>
      </c>
      <c r="T234" s="7">
        <f>IF($AH234="","",IF(INDEX('Per Invoice'!T$2:T$401,$AH234)="","",INDEX('Per Invoice'!T$2:T$401,$AH234)))</f>
        <v/>
      </c>
      <c r="U234" s="7">
        <f>IF($AH234="","",IF(INDEX('Per Invoice'!U$2:U$401,$AH234)="","",INDEX('Per Invoice'!U$2:U$401,$AH234)))</f>
        <v/>
      </c>
      <c r="V234">
        <f>IF($AH234="","",IF(INDEX('Per Invoice'!V$2:V$401,$AH234)="","",INDEX('Per Invoice'!V$2:V$401,$AH234)))</f>
        <v/>
      </c>
      <c r="W234" s="7">
        <f>IF($AH234="","",IF(INDEX('Per Invoice'!W$2:W$401,$AH234)="","",INDEX('Per Invoice'!W$2:W$401,$AH234)))</f>
        <v/>
      </c>
      <c r="X234" s="7">
        <f>IF($AH234="","",IF(INDEX('Per Invoice'!X$2:X$401,$AH234)="","",INDEX('Per Invoice'!X$2:X$401,$AH234)))</f>
        <v/>
      </c>
      <c r="Y234">
        <f>IF($AH234="","",IF(INDEX('Per Invoice'!Y$2:Y$401,$AH234)="","",INDEX('Per Invoice'!Y$2:Y$401,$AH234)))</f>
        <v/>
      </c>
      <c r="Z234" s="7">
        <f>IF($AH234="","",IF(INDEX('Per Invoice'!Z$2:Z$401,$AH234)="","",INDEX('Per Invoice'!Z$2:Z$401,$AH234)))</f>
        <v/>
      </c>
      <c r="AA234" s="7">
        <f>IF($AH234="","",IF(INDEX('Per Invoice'!AA$2:AA$401,$AH234)="","",INDEX('Per Invoice'!AA$2:AA$401,$AH234)))</f>
        <v/>
      </c>
      <c r="AB234" s="7">
        <f>IF($AH234="","",IF(INDEX('Per Invoice'!AB$2:AB$401,$AH234)="","",INDEX('Per Invoice'!AB$2:AB$401,$AH234)))</f>
        <v/>
      </c>
      <c r="AC234" s="7">
        <f>IF($AH234="","",IF(INDEX('Per Invoice'!AC$2:AC$401,$AH234)="","",INDEX('Per Invoice'!AC$2:AC$401,$AH234)))</f>
        <v/>
      </c>
      <c r="AD234" s="7">
        <f>IF($AH234="","",IF(INDEX('Per Invoice'!AD$2:AD$401,$AH234)="","",INDEX('Per Invoice'!AD$2:AD$401,$AH234)))</f>
        <v/>
      </c>
      <c r="AE234" s="7">
        <f>IF($AH234="","",IF(INDEX('Per Invoice'!AE$2:AE$401,$AH234)="","",INDEX('Per Invoice'!AE$2:AE$401,$AH234)))</f>
        <v/>
      </c>
      <c r="AF234">
        <f>IF($AH234="","",IF(INDEX('Per Invoice'!AF$2:AF$401,$AH234)="","",INDEX('Per Invoice'!AF$2:AF$401,$AH234)))</f>
        <v/>
      </c>
      <c r="AG234" s="7">
        <f>IF($AH234="","",IF(INDEX('Per Invoice'!AG$2:AG$401,$AH234)="","",INDEX('Per Invoice'!AG$2:AG$401,$AH234)))</f>
        <v/>
      </c>
      <c r="AH234" s="16">
        <f>IFERROR(MATCH(Settings!$C$26&amp;"|"&amp;ROWS($AH$2:$AH234),'Per Invoice'!$AI$2:$AI$401,0),"")</f>
        <v/>
      </c>
    </row>
    <row r="235">
      <c r="A235">
        <f>IF($AH235="","",IF(INDEX('Per Invoice'!A$2:A$401,$AH235)="","",INDEX('Per Invoice'!A$2:A$401,$AH235)))</f>
        <v/>
      </c>
      <c r="B235">
        <f>IF($AH235="","",IF(INDEX('Per Invoice'!B$2:B$401,$AH235)="","",INDEX('Per Invoice'!B$2:B$401,$AH235)))</f>
        <v/>
      </c>
      <c r="C235">
        <f>IF($AH235="","",IF(INDEX('Per Invoice'!C$2:C$401,$AH235)="","",INDEX('Per Invoice'!C$2:C$401,$AH235)))</f>
        <v/>
      </c>
      <c r="D235">
        <f>IF($AH235="","",IF(INDEX('Per Invoice'!D$2:D$401,$AH235)="","",INDEX('Per Invoice'!D$2:D$401,$AH235)))</f>
        <v/>
      </c>
      <c r="E235">
        <f>IF($AH235="","",IF(INDEX('Per Invoice'!E$2:E$401,$AH235)="","",INDEX('Per Invoice'!E$2:E$401,$AH235)))</f>
        <v/>
      </c>
      <c r="F235">
        <f>IF($AH235="","",IF(INDEX('Per Invoice'!F$2:F$401,$AH235)="","",INDEX('Per Invoice'!F$2:F$401,$AH235)))</f>
        <v/>
      </c>
      <c r="G235">
        <f>IF($AH235="","",IF(INDEX('Per Invoice'!G$2:G$401,$AH235)="","",INDEX('Per Invoice'!G$2:G$401,$AH235)))</f>
        <v/>
      </c>
      <c r="H235">
        <f>IF($AH235="","",IF(INDEX('Per Invoice'!H$2:H$401,$AH235)="","",INDEX('Per Invoice'!H$2:H$401,$AH235)))</f>
        <v/>
      </c>
      <c r="I235" s="14">
        <f>IF($AH235="","",IF(INDEX('Per Invoice'!I$2:I$401,$AH235)="","",INDEX('Per Invoice'!I$2:I$401,$AH235)))</f>
        <v/>
      </c>
      <c r="J235">
        <f>IF($AH235="","",IF(INDEX('Per Invoice'!J$2:J$401,$AH235)="","",INDEX('Per Invoice'!J$2:J$401,$AH235)))</f>
        <v/>
      </c>
      <c r="K235">
        <f>IF($AH235="","",IF(INDEX('Per Invoice'!K$2:K$401,$AH235)="","",INDEX('Per Invoice'!K$2:K$401,$AH235)))</f>
        <v/>
      </c>
      <c r="L235">
        <f>IF($AH235="","",IF(INDEX('Per Invoice'!L$2:L$401,$AH235)="","",INDEX('Per Invoice'!L$2:L$401,$AH235)))</f>
        <v/>
      </c>
      <c r="M235">
        <f>IF($AH235="","",IF(INDEX('Per Invoice'!M$2:M$401,$AH235)="","",INDEX('Per Invoice'!M$2:M$401,$AH235)))</f>
        <v/>
      </c>
      <c r="N235">
        <f>IF($AH235="","",IF(INDEX('Per Invoice'!N$2:N$401,$AH235)="","",INDEX('Per Invoice'!N$2:N$401,$AH235)))</f>
        <v/>
      </c>
      <c r="O235">
        <f>IF($AH235="","",IF(INDEX('Per Invoice'!O$2:O$401,$AH235)="","",INDEX('Per Invoice'!O$2:O$401,$AH235)))</f>
        <v/>
      </c>
      <c r="P235" s="7">
        <f>IF($AH235="","",IF(INDEX('Per Invoice'!P$2:P$401,$AH235)="","",INDEX('Per Invoice'!P$2:P$401,$AH235)))</f>
        <v/>
      </c>
      <c r="Q235">
        <f>IF($AH235="","",IF(INDEX('Per Invoice'!Q$2:Q$401,$AH235)="","",INDEX('Per Invoice'!Q$2:Q$401,$AH235)))</f>
        <v/>
      </c>
      <c r="R235">
        <f>IF($AH235="","",IF(INDEX('Per Invoice'!R$2:R$401,$AH235)="","",INDEX('Per Invoice'!R$2:R$401,$AH235)))</f>
        <v/>
      </c>
      <c r="S235">
        <f>IF($AH235="","",IF(INDEX('Per Invoice'!S$2:S$401,$AH235)="","",INDEX('Per Invoice'!S$2:S$401,$AH235)))</f>
        <v/>
      </c>
      <c r="T235" s="7">
        <f>IF($AH235="","",IF(INDEX('Per Invoice'!T$2:T$401,$AH235)="","",INDEX('Per Invoice'!T$2:T$401,$AH235)))</f>
        <v/>
      </c>
      <c r="U235" s="7">
        <f>IF($AH235="","",IF(INDEX('Per Invoice'!U$2:U$401,$AH235)="","",INDEX('Per Invoice'!U$2:U$401,$AH235)))</f>
        <v/>
      </c>
      <c r="V235">
        <f>IF($AH235="","",IF(INDEX('Per Invoice'!V$2:V$401,$AH235)="","",INDEX('Per Invoice'!V$2:V$401,$AH235)))</f>
        <v/>
      </c>
      <c r="W235" s="7">
        <f>IF($AH235="","",IF(INDEX('Per Invoice'!W$2:W$401,$AH235)="","",INDEX('Per Invoice'!W$2:W$401,$AH235)))</f>
        <v/>
      </c>
      <c r="X235" s="7">
        <f>IF($AH235="","",IF(INDEX('Per Invoice'!X$2:X$401,$AH235)="","",INDEX('Per Invoice'!X$2:X$401,$AH235)))</f>
        <v/>
      </c>
      <c r="Y235">
        <f>IF($AH235="","",IF(INDEX('Per Invoice'!Y$2:Y$401,$AH235)="","",INDEX('Per Invoice'!Y$2:Y$401,$AH235)))</f>
        <v/>
      </c>
      <c r="Z235" s="7">
        <f>IF($AH235="","",IF(INDEX('Per Invoice'!Z$2:Z$401,$AH235)="","",INDEX('Per Invoice'!Z$2:Z$401,$AH235)))</f>
        <v/>
      </c>
      <c r="AA235" s="7">
        <f>IF($AH235="","",IF(INDEX('Per Invoice'!AA$2:AA$401,$AH235)="","",INDEX('Per Invoice'!AA$2:AA$401,$AH235)))</f>
        <v/>
      </c>
      <c r="AB235" s="7">
        <f>IF($AH235="","",IF(INDEX('Per Invoice'!AB$2:AB$401,$AH235)="","",INDEX('Per Invoice'!AB$2:AB$401,$AH235)))</f>
        <v/>
      </c>
      <c r="AC235" s="7">
        <f>IF($AH235="","",IF(INDEX('Per Invoice'!AC$2:AC$401,$AH235)="","",INDEX('Per Invoice'!AC$2:AC$401,$AH235)))</f>
        <v/>
      </c>
      <c r="AD235" s="7">
        <f>IF($AH235="","",IF(INDEX('Per Invoice'!AD$2:AD$401,$AH235)="","",INDEX('Per Invoice'!AD$2:AD$401,$AH235)))</f>
        <v/>
      </c>
      <c r="AE235" s="7">
        <f>IF($AH235="","",IF(INDEX('Per Invoice'!AE$2:AE$401,$AH235)="","",INDEX('Per Invoice'!AE$2:AE$401,$AH235)))</f>
        <v/>
      </c>
      <c r="AF235">
        <f>IF($AH235="","",IF(INDEX('Per Invoice'!AF$2:AF$401,$AH235)="","",INDEX('Per Invoice'!AF$2:AF$401,$AH235)))</f>
        <v/>
      </c>
      <c r="AG235" s="7">
        <f>IF($AH235="","",IF(INDEX('Per Invoice'!AG$2:AG$401,$AH235)="","",INDEX('Per Invoice'!AG$2:AG$401,$AH235)))</f>
        <v/>
      </c>
      <c r="AH235" s="16">
        <f>IFERROR(MATCH(Settings!$C$26&amp;"|"&amp;ROWS($AH$2:$AH235),'Per Invoice'!$AI$2:$AI$401,0),"")</f>
        <v/>
      </c>
    </row>
    <row r="236">
      <c r="A236">
        <f>IF($AH236="","",IF(INDEX('Per Invoice'!A$2:A$401,$AH236)="","",INDEX('Per Invoice'!A$2:A$401,$AH236)))</f>
        <v/>
      </c>
      <c r="B236">
        <f>IF($AH236="","",IF(INDEX('Per Invoice'!B$2:B$401,$AH236)="","",INDEX('Per Invoice'!B$2:B$401,$AH236)))</f>
        <v/>
      </c>
      <c r="C236">
        <f>IF($AH236="","",IF(INDEX('Per Invoice'!C$2:C$401,$AH236)="","",INDEX('Per Invoice'!C$2:C$401,$AH236)))</f>
        <v/>
      </c>
      <c r="D236">
        <f>IF($AH236="","",IF(INDEX('Per Invoice'!D$2:D$401,$AH236)="","",INDEX('Per Invoice'!D$2:D$401,$AH236)))</f>
        <v/>
      </c>
      <c r="E236">
        <f>IF($AH236="","",IF(INDEX('Per Invoice'!E$2:E$401,$AH236)="","",INDEX('Per Invoice'!E$2:E$401,$AH236)))</f>
        <v/>
      </c>
      <c r="F236">
        <f>IF($AH236="","",IF(INDEX('Per Invoice'!F$2:F$401,$AH236)="","",INDEX('Per Invoice'!F$2:F$401,$AH236)))</f>
        <v/>
      </c>
      <c r="G236">
        <f>IF($AH236="","",IF(INDEX('Per Invoice'!G$2:G$401,$AH236)="","",INDEX('Per Invoice'!G$2:G$401,$AH236)))</f>
        <v/>
      </c>
      <c r="H236">
        <f>IF($AH236="","",IF(INDEX('Per Invoice'!H$2:H$401,$AH236)="","",INDEX('Per Invoice'!H$2:H$401,$AH236)))</f>
        <v/>
      </c>
      <c r="I236" s="14">
        <f>IF($AH236="","",IF(INDEX('Per Invoice'!I$2:I$401,$AH236)="","",INDEX('Per Invoice'!I$2:I$401,$AH236)))</f>
        <v/>
      </c>
      <c r="J236">
        <f>IF($AH236="","",IF(INDEX('Per Invoice'!J$2:J$401,$AH236)="","",INDEX('Per Invoice'!J$2:J$401,$AH236)))</f>
        <v/>
      </c>
      <c r="K236">
        <f>IF($AH236="","",IF(INDEX('Per Invoice'!K$2:K$401,$AH236)="","",INDEX('Per Invoice'!K$2:K$401,$AH236)))</f>
        <v/>
      </c>
      <c r="L236">
        <f>IF($AH236="","",IF(INDEX('Per Invoice'!L$2:L$401,$AH236)="","",INDEX('Per Invoice'!L$2:L$401,$AH236)))</f>
        <v/>
      </c>
      <c r="M236">
        <f>IF($AH236="","",IF(INDEX('Per Invoice'!M$2:M$401,$AH236)="","",INDEX('Per Invoice'!M$2:M$401,$AH236)))</f>
        <v/>
      </c>
      <c r="N236">
        <f>IF($AH236="","",IF(INDEX('Per Invoice'!N$2:N$401,$AH236)="","",INDEX('Per Invoice'!N$2:N$401,$AH236)))</f>
        <v/>
      </c>
      <c r="O236">
        <f>IF($AH236="","",IF(INDEX('Per Invoice'!O$2:O$401,$AH236)="","",INDEX('Per Invoice'!O$2:O$401,$AH236)))</f>
        <v/>
      </c>
      <c r="P236" s="7">
        <f>IF($AH236="","",IF(INDEX('Per Invoice'!P$2:P$401,$AH236)="","",INDEX('Per Invoice'!P$2:P$401,$AH236)))</f>
        <v/>
      </c>
      <c r="Q236">
        <f>IF($AH236="","",IF(INDEX('Per Invoice'!Q$2:Q$401,$AH236)="","",INDEX('Per Invoice'!Q$2:Q$401,$AH236)))</f>
        <v/>
      </c>
      <c r="R236">
        <f>IF($AH236="","",IF(INDEX('Per Invoice'!R$2:R$401,$AH236)="","",INDEX('Per Invoice'!R$2:R$401,$AH236)))</f>
        <v/>
      </c>
      <c r="S236">
        <f>IF($AH236="","",IF(INDEX('Per Invoice'!S$2:S$401,$AH236)="","",INDEX('Per Invoice'!S$2:S$401,$AH236)))</f>
        <v/>
      </c>
      <c r="T236" s="7">
        <f>IF($AH236="","",IF(INDEX('Per Invoice'!T$2:T$401,$AH236)="","",INDEX('Per Invoice'!T$2:T$401,$AH236)))</f>
        <v/>
      </c>
      <c r="U236" s="7">
        <f>IF($AH236="","",IF(INDEX('Per Invoice'!U$2:U$401,$AH236)="","",INDEX('Per Invoice'!U$2:U$401,$AH236)))</f>
        <v/>
      </c>
      <c r="V236">
        <f>IF($AH236="","",IF(INDEX('Per Invoice'!V$2:V$401,$AH236)="","",INDEX('Per Invoice'!V$2:V$401,$AH236)))</f>
        <v/>
      </c>
      <c r="W236" s="7">
        <f>IF($AH236="","",IF(INDEX('Per Invoice'!W$2:W$401,$AH236)="","",INDEX('Per Invoice'!W$2:W$401,$AH236)))</f>
        <v/>
      </c>
      <c r="X236" s="7">
        <f>IF($AH236="","",IF(INDEX('Per Invoice'!X$2:X$401,$AH236)="","",INDEX('Per Invoice'!X$2:X$401,$AH236)))</f>
        <v/>
      </c>
      <c r="Y236">
        <f>IF($AH236="","",IF(INDEX('Per Invoice'!Y$2:Y$401,$AH236)="","",INDEX('Per Invoice'!Y$2:Y$401,$AH236)))</f>
        <v/>
      </c>
      <c r="Z236" s="7">
        <f>IF($AH236="","",IF(INDEX('Per Invoice'!Z$2:Z$401,$AH236)="","",INDEX('Per Invoice'!Z$2:Z$401,$AH236)))</f>
        <v/>
      </c>
      <c r="AA236" s="7">
        <f>IF($AH236="","",IF(INDEX('Per Invoice'!AA$2:AA$401,$AH236)="","",INDEX('Per Invoice'!AA$2:AA$401,$AH236)))</f>
        <v/>
      </c>
      <c r="AB236" s="7">
        <f>IF($AH236="","",IF(INDEX('Per Invoice'!AB$2:AB$401,$AH236)="","",INDEX('Per Invoice'!AB$2:AB$401,$AH236)))</f>
        <v/>
      </c>
      <c r="AC236" s="7">
        <f>IF($AH236="","",IF(INDEX('Per Invoice'!AC$2:AC$401,$AH236)="","",INDEX('Per Invoice'!AC$2:AC$401,$AH236)))</f>
        <v/>
      </c>
      <c r="AD236" s="7">
        <f>IF($AH236="","",IF(INDEX('Per Invoice'!AD$2:AD$401,$AH236)="","",INDEX('Per Invoice'!AD$2:AD$401,$AH236)))</f>
        <v/>
      </c>
      <c r="AE236" s="7">
        <f>IF($AH236="","",IF(INDEX('Per Invoice'!AE$2:AE$401,$AH236)="","",INDEX('Per Invoice'!AE$2:AE$401,$AH236)))</f>
        <v/>
      </c>
      <c r="AF236">
        <f>IF($AH236="","",IF(INDEX('Per Invoice'!AF$2:AF$401,$AH236)="","",INDEX('Per Invoice'!AF$2:AF$401,$AH236)))</f>
        <v/>
      </c>
      <c r="AG236" s="7">
        <f>IF($AH236="","",IF(INDEX('Per Invoice'!AG$2:AG$401,$AH236)="","",INDEX('Per Invoice'!AG$2:AG$401,$AH236)))</f>
        <v/>
      </c>
      <c r="AH236" s="16">
        <f>IFERROR(MATCH(Settings!$C$26&amp;"|"&amp;ROWS($AH$2:$AH236),'Per Invoice'!$AI$2:$AI$401,0),"")</f>
        <v/>
      </c>
    </row>
    <row r="237">
      <c r="A237">
        <f>IF($AH237="","",IF(INDEX('Per Invoice'!A$2:A$401,$AH237)="","",INDEX('Per Invoice'!A$2:A$401,$AH237)))</f>
        <v/>
      </c>
      <c r="B237">
        <f>IF($AH237="","",IF(INDEX('Per Invoice'!B$2:B$401,$AH237)="","",INDEX('Per Invoice'!B$2:B$401,$AH237)))</f>
        <v/>
      </c>
      <c r="C237">
        <f>IF($AH237="","",IF(INDEX('Per Invoice'!C$2:C$401,$AH237)="","",INDEX('Per Invoice'!C$2:C$401,$AH237)))</f>
        <v/>
      </c>
      <c r="D237">
        <f>IF($AH237="","",IF(INDEX('Per Invoice'!D$2:D$401,$AH237)="","",INDEX('Per Invoice'!D$2:D$401,$AH237)))</f>
        <v/>
      </c>
      <c r="E237">
        <f>IF($AH237="","",IF(INDEX('Per Invoice'!E$2:E$401,$AH237)="","",INDEX('Per Invoice'!E$2:E$401,$AH237)))</f>
        <v/>
      </c>
      <c r="F237">
        <f>IF($AH237="","",IF(INDEX('Per Invoice'!F$2:F$401,$AH237)="","",INDEX('Per Invoice'!F$2:F$401,$AH237)))</f>
        <v/>
      </c>
      <c r="G237">
        <f>IF($AH237="","",IF(INDEX('Per Invoice'!G$2:G$401,$AH237)="","",INDEX('Per Invoice'!G$2:G$401,$AH237)))</f>
        <v/>
      </c>
      <c r="H237">
        <f>IF($AH237="","",IF(INDEX('Per Invoice'!H$2:H$401,$AH237)="","",INDEX('Per Invoice'!H$2:H$401,$AH237)))</f>
        <v/>
      </c>
      <c r="I237" s="14">
        <f>IF($AH237="","",IF(INDEX('Per Invoice'!I$2:I$401,$AH237)="","",INDEX('Per Invoice'!I$2:I$401,$AH237)))</f>
        <v/>
      </c>
      <c r="J237">
        <f>IF($AH237="","",IF(INDEX('Per Invoice'!J$2:J$401,$AH237)="","",INDEX('Per Invoice'!J$2:J$401,$AH237)))</f>
        <v/>
      </c>
      <c r="K237">
        <f>IF($AH237="","",IF(INDEX('Per Invoice'!K$2:K$401,$AH237)="","",INDEX('Per Invoice'!K$2:K$401,$AH237)))</f>
        <v/>
      </c>
      <c r="L237">
        <f>IF($AH237="","",IF(INDEX('Per Invoice'!L$2:L$401,$AH237)="","",INDEX('Per Invoice'!L$2:L$401,$AH237)))</f>
        <v/>
      </c>
      <c r="M237">
        <f>IF($AH237="","",IF(INDEX('Per Invoice'!M$2:M$401,$AH237)="","",INDEX('Per Invoice'!M$2:M$401,$AH237)))</f>
        <v/>
      </c>
      <c r="N237">
        <f>IF($AH237="","",IF(INDEX('Per Invoice'!N$2:N$401,$AH237)="","",INDEX('Per Invoice'!N$2:N$401,$AH237)))</f>
        <v/>
      </c>
      <c r="O237">
        <f>IF($AH237="","",IF(INDEX('Per Invoice'!O$2:O$401,$AH237)="","",INDEX('Per Invoice'!O$2:O$401,$AH237)))</f>
        <v/>
      </c>
      <c r="P237" s="7">
        <f>IF($AH237="","",IF(INDEX('Per Invoice'!P$2:P$401,$AH237)="","",INDEX('Per Invoice'!P$2:P$401,$AH237)))</f>
        <v/>
      </c>
      <c r="Q237">
        <f>IF($AH237="","",IF(INDEX('Per Invoice'!Q$2:Q$401,$AH237)="","",INDEX('Per Invoice'!Q$2:Q$401,$AH237)))</f>
        <v/>
      </c>
      <c r="R237">
        <f>IF($AH237="","",IF(INDEX('Per Invoice'!R$2:R$401,$AH237)="","",INDEX('Per Invoice'!R$2:R$401,$AH237)))</f>
        <v/>
      </c>
      <c r="S237">
        <f>IF($AH237="","",IF(INDEX('Per Invoice'!S$2:S$401,$AH237)="","",INDEX('Per Invoice'!S$2:S$401,$AH237)))</f>
        <v/>
      </c>
      <c r="T237" s="7">
        <f>IF($AH237="","",IF(INDEX('Per Invoice'!T$2:T$401,$AH237)="","",INDEX('Per Invoice'!T$2:T$401,$AH237)))</f>
        <v/>
      </c>
      <c r="U237" s="7">
        <f>IF($AH237="","",IF(INDEX('Per Invoice'!U$2:U$401,$AH237)="","",INDEX('Per Invoice'!U$2:U$401,$AH237)))</f>
        <v/>
      </c>
      <c r="V237">
        <f>IF($AH237="","",IF(INDEX('Per Invoice'!V$2:V$401,$AH237)="","",INDEX('Per Invoice'!V$2:V$401,$AH237)))</f>
        <v/>
      </c>
      <c r="W237" s="7">
        <f>IF($AH237="","",IF(INDEX('Per Invoice'!W$2:W$401,$AH237)="","",INDEX('Per Invoice'!W$2:W$401,$AH237)))</f>
        <v/>
      </c>
      <c r="X237" s="7">
        <f>IF($AH237="","",IF(INDEX('Per Invoice'!X$2:X$401,$AH237)="","",INDEX('Per Invoice'!X$2:X$401,$AH237)))</f>
        <v/>
      </c>
      <c r="Y237">
        <f>IF($AH237="","",IF(INDEX('Per Invoice'!Y$2:Y$401,$AH237)="","",INDEX('Per Invoice'!Y$2:Y$401,$AH237)))</f>
        <v/>
      </c>
      <c r="Z237" s="7">
        <f>IF($AH237="","",IF(INDEX('Per Invoice'!Z$2:Z$401,$AH237)="","",INDEX('Per Invoice'!Z$2:Z$401,$AH237)))</f>
        <v/>
      </c>
      <c r="AA237" s="7">
        <f>IF($AH237="","",IF(INDEX('Per Invoice'!AA$2:AA$401,$AH237)="","",INDEX('Per Invoice'!AA$2:AA$401,$AH237)))</f>
        <v/>
      </c>
      <c r="AB237" s="7">
        <f>IF($AH237="","",IF(INDEX('Per Invoice'!AB$2:AB$401,$AH237)="","",INDEX('Per Invoice'!AB$2:AB$401,$AH237)))</f>
        <v/>
      </c>
      <c r="AC237" s="7">
        <f>IF($AH237="","",IF(INDEX('Per Invoice'!AC$2:AC$401,$AH237)="","",INDEX('Per Invoice'!AC$2:AC$401,$AH237)))</f>
        <v/>
      </c>
      <c r="AD237" s="7">
        <f>IF($AH237="","",IF(INDEX('Per Invoice'!AD$2:AD$401,$AH237)="","",INDEX('Per Invoice'!AD$2:AD$401,$AH237)))</f>
        <v/>
      </c>
      <c r="AE237" s="7">
        <f>IF($AH237="","",IF(INDEX('Per Invoice'!AE$2:AE$401,$AH237)="","",INDEX('Per Invoice'!AE$2:AE$401,$AH237)))</f>
        <v/>
      </c>
      <c r="AF237">
        <f>IF($AH237="","",IF(INDEX('Per Invoice'!AF$2:AF$401,$AH237)="","",INDEX('Per Invoice'!AF$2:AF$401,$AH237)))</f>
        <v/>
      </c>
      <c r="AG237" s="7">
        <f>IF($AH237="","",IF(INDEX('Per Invoice'!AG$2:AG$401,$AH237)="","",INDEX('Per Invoice'!AG$2:AG$401,$AH237)))</f>
        <v/>
      </c>
      <c r="AH237" s="16">
        <f>IFERROR(MATCH(Settings!$C$26&amp;"|"&amp;ROWS($AH$2:$AH237),'Per Invoice'!$AI$2:$AI$401,0),"")</f>
        <v/>
      </c>
    </row>
    <row r="238">
      <c r="A238">
        <f>IF($AH238="","",IF(INDEX('Per Invoice'!A$2:A$401,$AH238)="","",INDEX('Per Invoice'!A$2:A$401,$AH238)))</f>
        <v/>
      </c>
      <c r="B238">
        <f>IF($AH238="","",IF(INDEX('Per Invoice'!B$2:B$401,$AH238)="","",INDEX('Per Invoice'!B$2:B$401,$AH238)))</f>
        <v/>
      </c>
      <c r="C238">
        <f>IF($AH238="","",IF(INDEX('Per Invoice'!C$2:C$401,$AH238)="","",INDEX('Per Invoice'!C$2:C$401,$AH238)))</f>
        <v/>
      </c>
      <c r="D238">
        <f>IF($AH238="","",IF(INDEX('Per Invoice'!D$2:D$401,$AH238)="","",INDEX('Per Invoice'!D$2:D$401,$AH238)))</f>
        <v/>
      </c>
      <c r="E238">
        <f>IF($AH238="","",IF(INDEX('Per Invoice'!E$2:E$401,$AH238)="","",INDEX('Per Invoice'!E$2:E$401,$AH238)))</f>
        <v/>
      </c>
      <c r="F238">
        <f>IF($AH238="","",IF(INDEX('Per Invoice'!F$2:F$401,$AH238)="","",INDEX('Per Invoice'!F$2:F$401,$AH238)))</f>
        <v/>
      </c>
      <c r="G238">
        <f>IF($AH238="","",IF(INDEX('Per Invoice'!G$2:G$401,$AH238)="","",INDEX('Per Invoice'!G$2:G$401,$AH238)))</f>
        <v/>
      </c>
      <c r="H238">
        <f>IF($AH238="","",IF(INDEX('Per Invoice'!H$2:H$401,$AH238)="","",INDEX('Per Invoice'!H$2:H$401,$AH238)))</f>
        <v/>
      </c>
      <c r="I238" s="14">
        <f>IF($AH238="","",IF(INDEX('Per Invoice'!I$2:I$401,$AH238)="","",INDEX('Per Invoice'!I$2:I$401,$AH238)))</f>
        <v/>
      </c>
      <c r="J238">
        <f>IF($AH238="","",IF(INDEX('Per Invoice'!J$2:J$401,$AH238)="","",INDEX('Per Invoice'!J$2:J$401,$AH238)))</f>
        <v/>
      </c>
      <c r="K238">
        <f>IF($AH238="","",IF(INDEX('Per Invoice'!K$2:K$401,$AH238)="","",INDEX('Per Invoice'!K$2:K$401,$AH238)))</f>
        <v/>
      </c>
      <c r="L238">
        <f>IF($AH238="","",IF(INDEX('Per Invoice'!L$2:L$401,$AH238)="","",INDEX('Per Invoice'!L$2:L$401,$AH238)))</f>
        <v/>
      </c>
      <c r="M238">
        <f>IF($AH238="","",IF(INDEX('Per Invoice'!M$2:M$401,$AH238)="","",INDEX('Per Invoice'!M$2:M$401,$AH238)))</f>
        <v/>
      </c>
      <c r="N238">
        <f>IF($AH238="","",IF(INDEX('Per Invoice'!N$2:N$401,$AH238)="","",INDEX('Per Invoice'!N$2:N$401,$AH238)))</f>
        <v/>
      </c>
      <c r="O238">
        <f>IF($AH238="","",IF(INDEX('Per Invoice'!O$2:O$401,$AH238)="","",INDEX('Per Invoice'!O$2:O$401,$AH238)))</f>
        <v/>
      </c>
      <c r="P238" s="7">
        <f>IF($AH238="","",IF(INDEX('Per Invoice'!P$2:P$401,$AH238)="","",INDEX('Per Invoice'!P$2:P$401,$AH238)))</f>
        <v/>
      </c>
      <c r="Q238">
        <f>IF($AH238="","",IF(INDEX('Per Invoice'!Q$2:Q$401,$AH238)="","",INDEX('Per Invoice'!Q$2:Q$401,$AH238)))</f>
        <v/>
      </c>
      <c r="R238">
        <f>IF($AH238="","",IF(INDEX('Per Invoice'!R$2:R$401,$AH238)="","",INDEX('Per Invoice'!R$2:R$401,$AH238)))</f>
        <v/>
      </c>
      <c r="S238">
        <f>IF($AH238="","",IF(INDEX('Per Invoice'!S$2:S$401,$AH238)="","",INDEX('Per Invoice'!S$2:S$401,$AH238)))</f>
        <v/>
      </c>
      <c r="T238" s="7">
        <f>IF($AH238="","",IF(INDEX('Per Invoice'!T$2:T$401,$AH238)="","",INDEX('Per Invoice'!T$2:T$401,$AH238)))</f>
        <v/>
      </c>
      <c r="U238" s="7">
        <f>IF($AH238="","",IF(INDEX('Per Invoice'!U$2:U$401,$AH238)="","",INDEX('Per Invoice'!U$2:U$401,$AH238)))</f>
        <v/>
      </c>
      <c r="V238">
        <f>IF($AH238="","",IF(INDEX('Per Invoice'!V$2:V$401,$AH238)="","",INDEX('Per Invoice'!V$2:V$401,$AH238)))</f>
        <v/>
      </c>
      <c r="W238" s="7">
        <f>IF($AH238="","",IF(INDEX('Per Invoice'!W$2:W$401,$AH238)="","",INDEX('Per Invoice'!W$2:W$401,$AH238)))</f>
        <v/>
      </c>
      <c r="X238" s="7">
        <f>IF($AH238="","",IF(INDEX('Per Invoice'!X$2:X$401,$AH238)="","",INDEX('Per Invoice'!X$2:X$401,$AH238)))</f>
        <v/>
      </c>
      <c r="Y238">
        <f>IF($AH238="","",IF(INDEX('Per Invoice'!Y$2:Y$401,$AH238)="","",INDEX('Per Invoice'!Y$2:Y$401,$AH238)))</f>
        <v/>
      </c>
      <c r="Z238" s="7">
        <f>IF($AH238="","",IF(INDEX('Per Invoice'!Z$2:Z$401,$AH238)="","",INDEX('Per Invoice'!Z$2:Z$401,$AH238)))</f>
        <v/>
      </c>
      <c r="AA238" s="7">
        <f>IF($AH238="","",IF(INDEX('Per Invoice'!AA$2:AA$401,$AH238)="","",INDEX('Per Invoice'!AA$2:AA$401,$AH238)))</f>
        <v/>
      </c>
      <c r="AB238" s="7">
        <f>IF($AH238="","",IF(INDEX('Per Invoice'!AB$2:AB$401,$AH238)="","",INDEX('Per Invoice'!AB$2:AB$401,$AH238)))</f>
        <v/>
      </c>
      <c r="AC238" s="7">
        <f>IF($AH238="","",IF(INDEX('Per Invoice'!AC$2:AC$401,$AH238)="","",INDEX('Per Invoice'!AC$2:AC$401,$AH238)))</f>
        <v/>
      </c>
      <c r="AD238" s="7">
        <f>IF($AH238="","",IF(INDEX('Per Invoice'!AD$2:AD$401,$AH238)="","",INDEX('Per Invoice'!AD$2:AD$401,$AH238)))</f>
        <v/>
      </c>
      <c r="AE238" s="7">
        <f>IF($AH238="","",IF(INDEX('Per Invoice'!AE$2:AE$401,$AH238)="","",INDEX('Per Invoice'!AE$2:AE$401,$AH238)))</f>
        <v/>
      </c>
      <c r="AF238">
        <f>IF($AH238="","",IF(INDEX('Per Invoice'!AF$2:AF$401,$AH238)="","",INDEX('Per Invoice'!AF$2:AF$401,$AH238)))</f>
        <v/>
      </c>
      <c r="AG238" s="7">
        <f>IF($AH238="","",IF(INDEX('Per Invoice'!AG$2:AG$401,$AH238)="","",INDEX('Per Invoice'!AG$2:AG$401,$AH238)))</f>
        <v/>
      </c>
      <c r="AH238" s="16">
        <f>IFERROR(MATCH(Settings!$C$26&amp;"|"&amp;ROWS($AH$2:$AH238),'Per Invoice'!$AI$2:$AI$401,0),"")</f>
        <v/>
      </c>
    </row>
    <row r="239">
      <c r="A239">
        <f>IF($AH239="","",IF(INDEX('Per Invoice'!A$2:A$401,$AH239)="","",INDEX('Per Invoice'!A$2:A$401,$AH239)))</f>
        <v/>
      </c>
      <c r="B239">
        <f>IF($AH239="","",IF(INDEX('Per Invoice'!B$2:B$401,$AH239)="","",INDEX('Per Invoice'!B$2:B$401,$AH239)))</f>
        <v/>
      </c>
      <c r="C239">
        <f>IF($AH239="","",IF(INDEX('Per Invoice'!C$2:C$401,$AH239)="","",INDEX('Per Invoice'!C$2:C$401,$AH239)))</f>
        <v/>
      </c>
      <c r="D239">
        <f>IF($AH239="","",IF(INDEX('Per Invoice'!D$2:D$401,$AH239)="","",INDEX('Per Invoice'!D$2:D$401,$AH239)))</f>
        <v/>
      </c>
      <c r="E239">
        <f>IF($AH239="","",IF(INDEX('Per Invoice'!E$2:E$401,$AH239)="","",INDEX('Per Invoice'!E$2:E$401,$AH239)))</f>
        <v/>
      </c>
      <c r="F239">
        <f>IF($AH239="","",IF(INDEX('Per Invoice'!F$2:F$401,$AH239)="","",INDEX('Per Invoice'!F$2:F$401,$AH239)))</f>
        <v/>
      </c>
      <c r="G239">
        <f>IF($AH239="","",IF(INDEX('Per Invoice'!G$2:G$401,$AH239)="","",INDEX('Per Invoice'!G$2:G$401,$AH239)))</f>
        <v/>
      </c>
      <c r="H239">
        <f>IF($AH239="","",IF(INDEX('Per Invoice'!H$2:H$401,$AH239)="","",INDEX('Per Invoice'!H$2:H$401,$AH239)))</f>
        <v/>
      </c>
      <c r="I239" s="14">
        <f>IF($AH239="","",IF(INDEX('Per Invoice'!I$2:I$401,$AH239)="","",INDEX('Per Invoice'!I$2:I$401,$AH239)))</f>
        <v/>
      </c>
      <c r="J239">
        <f>IF($AH239="","",IF(INDEX('Per Invoice'!J$2:J$401,$AH239)="","",INDEX('Per Invoice'!J$2:J$401,$AH239)))</f>
        <v/>
      </c>
      <c r="K239">
        <f>IF($AH239="","",IF(INDEX('Per Invoice'!K$2:K$401,$AH239)="","",INDEX('Per Invoice'!K$2:K$401,$AH239)))</f>
        <v/>
      </c>
      <c r="L239">
        <f>IF($AH239="","",IF(INDEX('Per Invoice'!L$2:L$401,$AH239)="","",INDEX('Per Invoice'!L$2:L$401,$AH239)))</f>
        <v/>
      </c>
      <c r="M239">
        <f>IF($AH239="","",IF(INDEX('Per Invoice'!M$2:M$401,$AH239)="","",INDEX('Per Invoice'!M$2:M$401,$AH239)))</f>
        <v/>
      </c>
      <c r="N239">
        <f>IF($AH239="","",IF(INDEX('Per Invoice'!N$2:N$401,$AH239)="","",INDEX('Per Invoice'!N$2:N$401,$AH239)))</f>
        <v/>
      </c>
      <c r="O239">
        <f>IF($AH239="","",IF(INDEX('Per Invoice'!O$2:O$401,$AH239)="","",INDEX('Per Invoice'!O$2:O$401,$AH239)))</f>
        <v/>
      </c>
      <c r="P239" s="7">
        <f>IF($AH239="","",IF(INDEX('Per Invoice'!P$2:P$401,$AH239)="","",INDEX('Per Invoice'!P$2:P$401,$AH239)))</f>
        <v/>
      </c>
      <c r="Q239">
        <f>IF($AH239="","",IF(INDEX('Per Invoice'!Q$2:Q$401,$AH239)="","",INDEX('Per Invoice'!Q$2:Q$401,$AH239)))</f>
        <v/>
      </c>
      <c r="R239">
        <f>IF($AH239="","",IF(INDEX('Per Invoice'!R$2:R$401,$AH239)="","",INDEX('Per Invoice'!R$2:R$401,$AH239)))</f>
        <v/>
      </c>
      <c r="S239">
        <f>IF($AH239="","",IF(INDEX('Per Invoice'!S$2:S$401,$AH239)="","",INDEX('Per Invoice'!S$2:S$401,$AH239)))</f>
        <v/>
      </c>
      <c r="T239" s="7">
        <f>IF($AH239="","",IF(INDEX('Per Invoice'!T$2:T$401,$AH239)="","",INDEX('Per Invoice'!T$2:T$401,$AH239)))</f>
        <v/>
      </c>
      <c r="U239" s="7">
        <f>IF($AH239="","",IF(INDEX('Per Invoice'!U$2:U$401,$AH239)="","",INDEX('Per Invoice'!U$2:U$401,$AH239)))</f>
        <v/>
      </c>
      <c r="V239">
        <f>IF($AH239="","",IF(INDEX('Per Invoice'!V$2:V$401,$AH239)="","",INDEX('Per Invoice'!V$2:V$401,$AH239)))</f>
        <v/>
      </c>
      <c r="W239" s="7">
        <f>IF($AH239="","",IF(INDEX('Per Invoice'!W$2:W$401,$AH239)="","",INDEX('Per Invoice'!W$2:W$401,$AH239)))</f>
        <v/>
      </c>
      <c r="X239" s="7">
        <f>IF($AH239="","",IF(INDEX('Per Invoice'!X$2:X$401,$AH239)="","",INDEX('Per Invoice'!X$2:X$401,$AH239)))</f>
        <v/>
      </c>
      <c r="Y239">
        <f>IF($AH239="","",IF(INDEX('Per Invoice'!Y$2:Y$401,$AH239)="","",INDEX('Per Invoice'!Y$2:Y$401,$AH239)))</f>
        <v/>
      </c>
      <c r="Z239" s="7">
        <f>IF($AH239="","",IF(INDEX('Per Invoice'!Z$2:Z$401,$AH239)="","",INDEX('Per Invoice'!Z$2:Z$401,$AH239)))</f>
        <v/>
      </c>
      <c r="AA239" s="7">
        <f>IF($AH239="","",IF(INDEX('Per Invoice'!AA$2:AA$401,$AH239)="","",INDEX('Per Invoice'!AA$2:AA$401,$AH239)))</f>
        <v/>
      </c>
      <c r="AB239" s="7">
        <f>IF($AH239="","",IF(INDEX('Per Invoice'!AB$2:AB$401,$AH239)="","",INDEX('Per Invoice'!AB$2:AB$401,$AH239)))</f>
        <v/>
      </c>
      <c r="AC239" s="7">
        <f>IF($AH239="","",IF(INDEX('Per Invoice'!AC$2:AC$401,$AH239)="","",INDEX('Per Invoice'!AC$2:AC$401,$AH239)))</f>
        <v/>
      </c>
      <c r="AD239" s="7">
        <f>IF($AH239="","",IF(INDEX('Per Invoice'!AD$2:AD$401,$AH239)="","",INDEX('Per Invoice'!AD$2:AD$401,$AH239)))</f>
        <v/>
      </c>
      <c r="AE239" s="7">
        <f>IF($AH239="","",IF(INDEX('Per Invoice'!AE$2:AE$401,$AH239)="","",INDEX('Per Invoice'!AE$2:AE$401,$AH239)))</f>
        <v/>
      </c>
      <c r="AF239">
        <f>IF($AH239="","",IF(INDEX('Per Invoice'!AF$2:AF$401,$AH239)="","",INDEX('Per Invoice'!AF$2:AF$401,$AH239)))</f>
        <v/>
      </c>
      <c r="AG239" s="7">
        <f>IF($AH239="","",IF(INDEX('Per Invoice'!AG$2:AG$401,$AH239)="","",INDEX('Per Invoice'!AG$2:AG$401,$AH239)))</f>
        <v/>
      </c>
      <c r="AH239" s="16">
        <f>IFERROR(MATCH(Settings!$C$26&amp;"|"&amp;ROWS($AH$2:$AH239),'Per Invoice'!$AI$2:$AI$401,0),"")</f>
        <v/>
      </c>
    </row>
    <row r="240">
      <c r="A240">
        <f>IF($AH240="","",IF(INDEX('Per Invoice'!A$2:A$401,$AH240)="","",INDEX('Per Invoice'!A$2:A$401,$AH240)))</f>
        <v/>
      </c>
      <c r="B240">
        <f>IF($AH240="","",IF(INDEX('Per Invoice'!B$2:B$401,$AH240)="","",INDEX('Per Invoice'!B$2:B$401,$AH240)))</f>
        <v/>
      </c>
      <c r="C240">
        <f>IF($AH240="","",IF(INDEX('Per Invoice'!C$2:C$401,$AH240)="","",INDEX('Per Invoice'!C$2:C$401,$AH240)))</f>
        <v/>
      </c>
      <c r="D240">
        <f>IF($AH240="","",IF(INDEX('Per Invoice'!D$2:D$401,$AH240)="","",INDEX('Per Invoice'!D$2:D$401,$AH240)))</f>
        <v/>
      </c>
      <c r="E240">
        <f>IF($AH240="","",IF(INDEX('Per Invoice'!E$2:E$401,$AH240)="","",INDEX('Per Invoice'!E$2:E$401,$AH240)))</f>
        <v/>
      </c>
      <c r="F240">
        <f>IF($AH240="","",IF(INDEX('Per Invoice'!F$2:F$401,$AH240)="","",INDEX('Per Invoice'!F$2:F$401,$AH240)))</f>
        <v/>
      </c>
      <c r="G240">
        <f>IF($AH240="","",IF(INDEX('Per Invoice'!G$2:G$401,$AH240)="","",INDEX('Per Invoice'!G$2:G$401,$AH240)))</f>
        <v/>
      </c>
      <c r="H240">
        <f>IF($AH240="","",IF(INDEX('Per Invoice'!H$2:H$401,$AH240)="","",INDEX('Per Invoice'!H$2:H$401,$AH240)))</f>
        <v/>
      </c>
      <c r="I240" s="14">
        <f>IF($AH240="","",IF(INDEX('Per Invoice'!I$2:I$401,$AH240)="","",INDEX('Per Invoice'!I$2:I$401,$AH240)))</f>
        <v/>
      </c>
      <c r="J240">
        <f>IF($AH240="","",IF(INDEX('Per Invoice'!J$2:J$401,$AH240)="","",INDEX('Per Invoice'!J$2:J$401,$AH240)))</f>
        <v/>
      </c>
      <c r="K240">
        <f>IF($AH240="","",IF(INDEX('Per Invoice'!K$2:K$401,$AH240)="","",INDEX('Per Invoice'!K$2:K$401,$AH240)))</f>
        <v/>
      </c>
      <c r="L240">
        <f>IF($AH240="","",IF(INDEX('Per Invoice'!L$2:L$401,$AH240)="","",INDEX('Per Invoice'!L$2:L$401,$AH240)))</f>
        <v/>
      </c>
      <c r="M240">
        <f>IF($AH240="","",IF(INDEX('Per Invoice'!M$2:M$401,$AH240)="","",INDEX('Per Invoice'!M$2:M$401,$AH240)))</f>
        <v/>
      </c>
      <c r="N240">
        <f>IF($AH240="","",IF(INDEX('Per Invoice'!N$2:N$401,$AH240)="","",INDEX('Per Invoice'!N$2:N$401,$AH240)))</f>
        <v/>
      </c>
      <c r="O240">
        <f>IF($AH240="","",IF(INDEX('Per Invoice'!O$2:O$401,$AH240)="","",INDEX('Per Invoice'!O$2:O$401,$AH240)))</f>
        <v/>
      </c>
      <c r="P240" s="7">
        <f>IF($AH240="","",IF(INDEX('Per Invoice'!P$2:P$401,$AH240)="","",INDEX('Per Invoice'!P$2:P$401,$AH240)))</f>
        <v/>
      </c>
      <c r="Q240">
        <f>IF($AH240="","",IF(INDEX('Per Invoice'!Q$2:Q$401,$AH240)="","",INDEX('Per Invoice'!Q$2:Q$401,$AH240)))</f>
        <v/>
      </c>
      <c r="R240">
        <f>IF($AH240="","",IF(INDEX('Per Invoice'!R$2:R$401,$AH240)="","",INDEX('Per Invoice'!R$2:R$401,$AH240)))</f>
        <v/>
      </c>
      <c r="S240">
        <f>IF($AH240="","",IF(INDEX('Per Invoice'!S$2:S$401,$AH240)="","",INDEX('Per Invoice'!S$2:S$401,$AH240)))</f>
        <v/>
      </c>
      <c r="T240" s="7">
        <f>IF($AH240="","",IF(INDEX('Per Invoice'!T$2:T$401,$AH240)="","",INDEX('Per Invoice'!T$2:T$401,$AH240)))</f>
        <v/>
      </c>
      <c r="U240" s="7">
        <f>IF($AH240="","",IF(INDEX('Per Invoice'!U$2:U$401,$AH240)="","",INDEX('Per Invoice'!U$2:U$401,$AH240)))</f>
        <v/>
      </c>
      <c r="V240">
        <f>IF($AH240="","",IF(INDEX('Per Invoice'!V$2:V$401,$AH240)="","",INDEX('Per Invoice'!V$2:V$401,$AH240)))</f>
        <v/>
      </c>
      <c r="W240" s="7">
        <f>IF($AH240="","",IF(INDEX('Per Invoice'!W$2:W$401,$AH240)="","",INDEX('Per Invoice'!W$2:W$401,$AH240)))</f>
        <v/>
      </c>
      <c r="X240" s="7">
        <f>IF($AH240="","",IF(INDEX('Per Invoice'!X$2:X$401,$AH240)="","",INDEX('Per Invoice'!X$2:X$401,$AH240)))</f>
        <v/>
      </c>
      <c r="Y240">
        <f>IF($AH240="","",IF(INDEX('Per Invoice'!Y$2:Y$401,$AH240)="","",INDEX('Per Invoice'!Y$2:Y$401,$AH240)))</f>
        <v/>
      </c>
      <c r="Z240" s="7">
        <f>IF($AH240="","",IF(INDEX('Per Invoice'!Z$2:Z$401,$AH240)="","",INDEX('Per Invoice'!Z$2:Z$401,$AH240)))</f>
        <v/>
      </c>
      <c r="AA240" s="7">
        <f>IF($AH240="","",IF(INDEX('Per Invoice'!AA$2:AA$401,$AH240)="","",INDEX('Per Invoice'!AA$2:AA$401,$AH240)))</f>
        <v/>
      </c>
      <c r="AB240" s="7">
        <f>IF($AH240="","",IF(INDEX('Per Invoice'!AB$2:AB$401,$AH240)="","",INDEX('Per Invoice'!AB$2:AB$401,$AH240)))</f>
        <v/>
      </c>
      <c r="AC240" s="7">
        <f>IF($AH240="","",IF(INDEX('Per Invoice'!AC$2:AC$401,$AH240)="","",INDEX('Per Invoice'!AC$2:AC$401,$AH240)))</f>
        <v/>
      </c>
      <c r="AD240" s="7">
        <f>IF($AH240="","",IF(INDEX('Per Invoice'!AD$2:AD$401,$AH240)="","",INDEX('Per Invoice'!AD$2:AD$401,$AH240)))</f>
        <v/>
      </c>
      <c r="AE240" s="7">
        <f>IF($AH240="","",IF(INDEX('Per Invoice'!AE$2:AE$401,$AH240)="","",INDEX('Per Invoice'!AE$2:AE$401,$AH240)))</f>
        <v/>
      </c>
      <c r="AF240">
        <f>IF($AH240="","",IF(INDEX('Per Invoice'!AF$2:AF$401,$AH240)="","",INDEX('Per Invoice'!AF$2:AF$401,$AH240)))</f>
        <v/>
      </c>
      <c r="AG240" s="7">
        <f>IF($AH240="","",IF(INDEX('Per Invoice'!AG$2:AG$401,$AH240)="","",INDEX('Per Invoice'!AG$2:AG$401,$AH240)))</f>
        <v/>
      </c>
      <c r="AH240" s="16">
        <f>IFERROR(MATCH(Settings!$C$26&amp;"|"&amp;ROWS($AH$2:$AH240),'Per Invoice'!$AI$2:$AI$401,0),"")</f>
        <v/>
      </c>
    </row>
    <row r="241">
      <c r="A241">
        <f>IF($AH241="","",IF(INDEX('Per Invoice'!A$2:A$401,$AH241)="","",INDEX('Per Invoice'!A$2:A$401,$AH241)))</f>
        <v/>
      </c>
      <c r="B241">
        <f>IF($AH241="","",IF(INDEX('Per Invoice'!B$2:B$401,$AH241)="","",INDEX('Per Invoice'!B$2:B$401,$AH241)))</f>
        <v/>
      </c>
      <c r="C241">
        <f>IF($AH241="","",IF(INDEX('Per Invoice'!C$2:C$401,$AH241)="","",INDEX('Per Invoice'!C$2:C$401,$AH241)))</f>
        <v/>
      </c>
      <c r="D241">
        <f>IF($AH241="","",IF(INDEX('Per Invoice'!D$2:D$401,$AH241)="","",INDEX('Per Invoice'!D$2:D$401,$AH241)))</f>
        <v/>
      </c>
      <c r="E241">
        <f>IF($AH241="","",IF(INDEX('Per Invoice'!E$2:E$401,$AH241)="","",INDEX('Per Invoice'!E$2:E$401,$AH241)))</f>
        <v/>
      </c>
      <c r="F241">
        <f>IF($AH241="","",IF(INDEX('Per Invoice'!F$2:F$401,$AH241)="","",INDEX('Per Invoice'!F$2:F$401,$AH241)))</f>
        <v/>
      </c>
      <c r="G241">
        <f>IF($AH241="","",IF(INDEX('Per Invoice'!G$2:G$401,$AH241)="","",INDEX('Per Invoice'!G$2:G$401,$AH241)))</f>
        <v/>
      </c>
      <c r="H241">
        <f>IF($AH241="","",IF(INDEX('Per Invoice'!H$2:H$401,$AH241)="","",INDEX('Per Invoice'!H$2:H$401,$AH241)))</f>
        <v/>
      </c>
      <c r="I241" s="14">
        <f>IF($AH241="","",IF(INDEX('Per Invoice'!I$2:I$401,$AH241)="","",INDEX('Per Invoice'!I$2:I$401,$AH241)))</f>
        <v/>
      </c>
      <c r="J241">
        <f>IF($AH241="","",IF(INDEX('Per Invoice'!J$2:J$401,$AH241)="","",INDEX('Per Invoice'!J$2:J$401,$AH241)))</f>
        <v/>
      </c>
      <c r="K241">
        <f>IF($AH241="","",IF(INDEX('Per Invoice'!K$2:K$401,$AH241)="","",INDEX('Per Invoice'!K$2:K$401,$AH241)))</f>
        <v/>
      </c>
      <c r="L241">
        <f>IF($AH241="","",IF(INDEX('Per Invoice'!L$2:L$401,$AH241)="","",INDEX('Per Invoice'!L$2:L$401,$AH241)))</f>
        <v/>
      </c>
      <c r="M241">
        <f>IF($AH241="","",IF(INDEX('Per Invoice'!M$2:M$401,$AH241)="","",INDEX('Per Invoice'!M$2:M$401,$AH241)))</f>
        <v/>
      </c>
      <c r="N241">
        <f>IF($AH241="","",IF(INDEX('Per Invoice'!N$2:N$401,$AH241)="","",INDEX('Per Invoice'!N$2:N$401,$AH241)))</f>
        <v/>
      </c>
      <c r="O241">
        <f>IF($AH241="","",IF(INDEX('Per Invoice'!O$2:O$401,$AH241)="","",INDEX('Per Invoice'!O$2:O$401,$AH241)))</f>
        <v/>
      </c>
      <c r="P241" s="7">
        <f>IF($AH241="","",IF(INDEX('Per Invoice'!P$2:P$401,$AH241)="","",INDEX('Per Invoice'!P$2:P$401,$AH241)))</f>
        <v/>
      </c>
      <c r="Q241">
        <f>IF($AH241="","",IF(INDEX('Per Invoice'!Q$2:Q$401,$AH241)="","",INDEX('Per Invoice'!Q$2:Q$401,$AH241)))</f>
        <v/>
      </c>
      <c r="R241">
        <f>IF($AH241="","",IF(INDEX('Per Invoice'!R$2:R$401,$AH241)="","",INDEX('Per Invoice'!R$2:R$401,$AH241)))</f>
        <v/>
      </c>
      <c r="S241">
        <f>IF($AH241="","",IF(INDEX('Per Invoice'!S$2:S$401,$AH241)="","",INDEX('Per Invoice'!S$2:S$401,$AH241)))</f>
        <v/>
      </c>
      <c r="T241" s="7">
        <f>IF($AH241="","",IF(INDEX('Per Invoice'!T$2:T$401,$AH241)="","",INDEX('Per Invoice'!T$2:T$401,$AH241)))</f>
        <v/>
      </c>
      <c r="U241" s="7">
        <f>IF($AH241="","",IF(INDEX('Per Invoice'!U$2:U$401,$AH241)="","",INDEX('Per Invoice'!U$2:U$401,$AH241)))</f>
        <v/>
      </c>
      <c r="V241">
        <f>IF($AH241="","",IF(INDEX('Per Invoice'!V$2:V$401,$AH241)="","",INDEX('Per Invoice'!V$2:V$401,$AH241)))</f>
        <v/>
      </c>
      <c r="W241" s="7">
        <f>IF($AH241="","",IF(INDEX('Per Invoice'!W$2:W$401,$AH241)="","",INDEX('Per Invoice'!W$2:W$401,$AH241)))</f>
        <v/>
      </c>
      <c r="X241" s="7">
        <f>IF($AH241="","",IF(INDEX('Per Invoice'!X$2:X$401,$AH241)="","",INDEX('Per Invoice'!X$2:X$401,$AH241)))</f>
        <v/>
      </c>
      <c r="Y241">
        <f>IF($AH241="","",IF(INDEX('Per Invoice'!Y$2:Y$401,$AH241)="","",INDEX('Per Invoice'!Y$2:Y$401,$AH241)))</f>
        <v/>
      </c>
      <c r="Z241" s="7">
        <f>IF($AH241="","",IF(INDEX('Per Invoice'!Z$2:Z$401,$AH241)="","",INDEX('Per Invoice'!Z$2:Z$401,$AH241)))</f>
        <v/>
      </c>
      <c r="AA241" s="7">
        <f>IF($AH241="","",IF(INDEX('Per Invoice'!AA$2:AA$401,$AH241)="","",INDEX('Per Invoice'!AA$2:AA$401,$AH241)))</f>
        <v/>
      </c>
      <c r="AB241" s="7">
        <f>IF($AH241="","",IF(INDEX('Per Invoice'!AB$2:AB$401,$AH241)="","",INDEX('Per Invoice'!AB$2:AB$401,$AH241)))</f>
        <v/>
      </c>
      <c r="AC241" s="7">
        <f>IF($AH241="","",IF(INDEX('Per Invoice'!AC$2:AC$401,$AH241)="","",INDEX('Per Invoice'!AC$2:AC$401,$AH241)))</f>
        <v/>
      </c>
      <c r="AD241" s="7">
        <f>IF($AH241="","",IF(INDEX('Per Invoice'!AD$2:AD$401,$AH241)="","",INDEX('Per Invoice'!AD$2:AD$401,$AH241)))</f>
        <v/>
      </c>
      <c r="AE241" s="7">
        <f>IF($AH241="","",IF(INDEX('Per Invoice'!AE$2:AE$401,$AH241)="","",INDEX('Per Invoice'!AE$2:AE$401,$AH241)))</f>
        <v/>
      </c>
      <c r="AF241">
        <f>IF($AH241="","",IF(INDEX('Per Invoice'!AF$2:AF$401,$AH241)="","",INDEX('Per Invoice'!AF$2:AF$401,$AH241)))</f>
        <v/>
      </c>
      <c r="AG241" s="7">
        <f>IF($AH241="","",IF(INDEX('Per Invoice'!AG$2:AG$401,$AH241)="","",INDEX('Per Invoice'!AG$2:AG$401,$AH241)))</f>
        <v/>
      </c>
      <c r="AH241" s="16">
        <f>IFERROR(MATCH(Settings!$C$26&amp;"|"&amp;ROWS($AH$2:$AH241),'Per Invoice'!$AI$2:$AI$401,0),"")</f>
        <v/>
      </c>
    </row>
    <row r="242">
      <c r="A242">
        <f>IF($AH242="","",IF(INDEX('Per Invoice'!A$2:A$401,$AH242)="","",INDEX('Per Invoice'!A$2:A$401,$AH242)))</f>
        <v/>
      </c>
      <c r="B242">
        <f>IF($AH242="","",IF(INDEX('Per Invoice'!B$2:B$401,$AH242)="","",INDEX('Per Invoice'!B$2:B$401,$AH242)))</f>
        <v/>
      </c>
      <c r="C242">
        <f>IF($AH242="","",IF(INDEX('Per Invoice'!C$2:C$401,$AH242)="","",INDEX('Per Invoice'!C$2:C$401,$AH242)))</f>
        <v/>
      </c>
      <c r="D242">
        <f>IF($AH242="","",IF(INDEX('Per Invoice'!D$2:D$401,$AH242)="","",INDEX('Per Invoice'!D$2:D$401,$AH242)))</f>
        <v/>
      </c>
      <c r="E242">
        <f>IF($AH242="","",IF(INDEX('Per Invoice'!E$2:E$401,$AH242)="","",INDEX('Per Invoice'!E$2:E$401,$AH242)))</f>
        <v/>
      </c>
      <c r="F242">
        <f>IF($AH242="","",IF(INDEX('Per Invoice'!F$2:F$401,$AH242)="","",INDEX('Per Invoice'!F$2:F$401,$AH242)))</f>
        <v/>
      </c>
      <c r="G242">
        <f>IF($AH242="","",IF(INDEX('Per Invoice'!G$2:G$401,$AH242)="","",INDEX('Per Invoice'!G$2:G$401,$AH242)))</f>
        <v/>
      </c>
      <c r="H242">
        <f>IF($AH242="","",IF(INDEX('Per Invoice'!H$2:H$401,$AH242)="","",INDEX('Per Invoice'!H$2:H$401,$AH242)))</f>
        <v/>
      </c>
      <c r="I242" s="14">
        <f>IF($AH242="","",IF(INDEX('Per Invoice'!I$2:I$401,$AH242)="","",INDEX('Per Invoice'!I$2:I$401,$AH242)))</f>
        <v/>
      </c>
      <c r="J242">
        <f>IF($AH242="","",IF(INDEX('Per Invoice'!J$2:J$401,$AH242)="","",INDEX('Per Invoice'!J$2:J$401,$AH242)))</f>
        <v/>
      </c>
      <c r="K242">
        <f>IF($AH242="","",IF(INDEX('Per Invoice'!K$2:K$401,$AH242)="","",INDEX('Per Invoice'!K$2:K$401,$AH242)))</f>
        <v/>
      </c>
      <c r="L242">
        <f>IF($AH242="","",IF(INDEX('Per Invoice'!L$2:L$401,$AH242)="","",INDEX('Per Invoice'!L$2:L$401,$AH242)))</f>
        <v/>
      </c>
      <c r="M242">
        <f>IF($AH242="","",IF(INDEX('Per Invoice'!M$2:M$401,$AH242)="","",INDEX('Per Invoice'!M$2:M$401,$AH242)))</f>
        <v/>
      </c>
      <c r="N242">
        <f>IF($AH242="","",IF(INDEX('Per Invoice'!N$2:N$401,$AH242)="","",INDEX('Per Invoice'!N$2:N$401,$AH242)))</f>
        <v/>
      </c>
      <c r="O242">
        <f>IF($AH242="","",IF(INDEX('Per Invoice'!O$2:O$401,$AH242)="","",INDEX('Per Invoice'!O$2:O$401,$AH242)))</f>
        <v/>
      </c>
      <c r="P242" s="7">
        <f>IF($AH242="","",IF(INDEX('Per Invoice'!P$2:P$401,$AH242)="","",INDEX('Per Invoice'!P$2:P$401,$AH242)))</f>
        <v/>
      </c>
      <c r="Q242">
        <f>IF($AH242="","",IF(INDEX('Per Invoice'!Q$2:Q$401,$AH242)="","",INDEX('Per Invoice'!Q$2:Q$401,$AH242)))</f>
        <v/>
      </c>
      <c r="R242">
        <f>IF($AH242="","",IF(INDEX('Per Invoice'!R$2:R$401,$AH242)="","",INDEX('Per Invoice'!R$2:R$401,$AH242)))</f>
        <v/>
      </c>
      <c r="S242">
        <f>IF($AH242="","",IF(INDEX('Per Invoice'!S$2:S$401,$AH242)="","",INDEX('Per Invoice'!S$2:S$401,$AH242)))</f>
        <v/>
      </c>
      <c r="T242" s="7">
        <f>IF($AH242="","",IF(INDEX('Per Invoice'!T$2:T$401,$AH242)="","",INDEX('Per Invoice'!T$2:T$401,$AH242)))</f>
        <v/>
      </c>
      <c r="U242" s="7">
        <f>IF($AH242="","",IF(INDEX('Per Invoice'!U$2:U$401,$AH242)="","",INDEX('Per Invoice'!U$2:U$401,$AH242)))</f>
        <v/>
      </c>
      <c r="V242">
        <f>IF($AH242="","",IF(INDEX('Per Invoice'!V$2:V$401,$AH242)="","",INDEX('Per Invoice'!V$2:V$401,$AH242)))</f>
        <v/>
      </c>
      <c r="W242" s="7">
        <f>IF($AH242="","",IF(INDEX('Per Invoice'!W$2:W$401,$AH242)="","",INDEX('Per Invoice'!W$2:W$401,$AH242)))</f>
        <v/>
      </c>
      <c r="X242" s="7">
        <f>IF($AH242="","",IF(INDEX('Per Invoice'!X$2:X$401,$AH242)="","",INDEX('Per Invoice'!X$2:X$401,$AH242)))</f>
        <v/>
      </c>
      <c r="Y242">
        <f>IF($AH242="","",IF(INDEX('Per Invoice'!Y$2:Y$401,$AH242)="","",INDEX('Per Invoice'!Y$2:Y$401,$AH242)))</f>
        <v/>
      </c>
      <c r="Z242" s="7">
        <f>IF($AH242="","",IF(INDEX('Per Invoice'!Z$2:Z$401,$AH242)="","",INDEX('Per Invoice'!Z$2:Z$401,$AH242)))</f>
        <v/>
      </c>
      <c r="AA242" s="7">
        <f>IF($AH242="","",IF(INDEX('Per Invoice'!AA$2:AA$401,$AH242)="","",INDEX('Per Invoice'!AA$2:AA$401,$AH242)))</f>
        <v/>
      </c>
      <c r="AB242" s="7">
        <f>IF($AH242="","",IF(INDEX('Per Invoice'!AB$2:AB$401,$AH242)="","",INDEX('Per Invoice'!AB$2:AB$401,$AH242)))</f>
        <v/>
      </c>
      <c r="AC242" s="7">
        <f>IF($AH242="","",IF(INDEX('Per Invoice'!AC$2:AC$401,$AH242)="","",INDEX('Per Invoice'!AC$2:AC$401,$AH242)))</f>
        <v/>
      </c>
      <c r="AD242" s="7">
        <f>IF($AH242="","",IF(INDEX('Per Invoice'!AD$2:AD$401,$AH242)="","",INDEX('Per Invoice'!AD$2:AD$401,$AH242)))</f>
        <v/>
      </c>
      <c r="AE242" s="7">
        <f>IF($AH242="","",IF(INDEX('Per Invoice'!AE$2:AE$401,$AH242)="","",INDEX('Per Invoice'!AE$2:AE$401,$AH242)))</f>
        <v/>
      </c>
      <c r="AF242">
        <f>IF($AH242="","",IF(INDEX('Per Invoice'!AF$2:AF$401,$AH242)="","",INDEX('Per Invoice'!AF$2:AF$401,$AH242)))</f>
        <v/>
      </c>
      <c r="AG242" s="7">
        <f>IF($AH242="","",IF(INDEX('Per Invoice'!AG$2:AG$401,$AH242)="","",INDEX('Per Invoice'!AG$2:AG$401,$AH242)))</f>
        <v/>
      </c>
      <c r="AH242" s="16">
        <f>IFERROR(MATCH(Settings!$C$26&amp;"|"&amp;ROWS($AH$2:$AH242),'Per Invoice'!$AI$2:$AI$401,0),"")</f>
        <v/>
      </c>
    </row>
    <row r="243">
      <c r="A243">
        <f>IF($AH243="","",IF(INDEX('Per Invoice'!A$2:A$401,$AH243)="","",INDEX('Per Invoice'!A$2:A$401,$AH243)))</f>
        <v/>
      </c>
      <c r="B243">
        <f>IF($AH243="","",IF(INDEX('Per Invoice'!B$2:B$401,$AH243)="","",INDEX('Per Invoice'!B$2:B$401,$AH243)))</f>
        <v/>
      </c>
      <c r="C243">
        <f>IF($AH243="","",IF(INDEX('Per Invoice'!C$2:C$401,$AH243)="","",INDEX('Per Invoice'!C$2:C$401,$AH243)))</f>
        <v/>
      </c>
      <c r="D243">
        <f>IF($AH243="","",IF(INDEX('Per Invoice'!D$2:D$401,$AH243)="","",INDEX('Per Invoice'!D$2:D$401,$AH243)))</f>
        <v/>
      </c>
      <c r="E243">
        <f>IF($AH243="","",IF(INDEX('Per Invoice'!E$2:E$401,$AH243)="","",INDEX('Per Invoice'!E$2:E$401,$AH243)))</f>
        <v/>
      </c>
      <c r="F243">
        <f>IF($AH243="","",IF(INDEX('Per Invoice'!F$2:F$401,$AH243)="","",INDEX('Per Invoice'!F$2:F$401,$AH243)))</f>
        <v/>
      </c>
      <c r="G243">
        <f>IF($AH243="","",IF(INDEX('Per Invoice'!G$2:G$401,$AH243)="","",INDEX('Per Invoice'!G$2:G$401,$AH243)))</f>
        <v/>
      </c>
      <c r="H243">
        <f>IF($AH243="","",IF(INDEX('Per Invoice'!H$2:H$401,$AH243)="","",INDEX('Per Invoice'!H$2:H$401,$AH243)))</f>
        <v/>
      </c>
      <c r="I243" s="14">
        <f>IF($AH243="","",IF(INDEX('Per Invoice'!I$2:I$401,$AH243)="","",INDEX('Per Invoice'!I$2:I$401,$AH243)))</f>
        <v/>
      </c>
      <c r="J243">
        <f>IF($AH243="","",IF(INDEX('Per Invoice'!J$2:J$401,$AH243)="","",INDEX('Per Invoice'!J$2:J$401,$AH243)))</f>
        <v/>
      </c>
      <c r="K243">
        <f>IF($AH243="","",IF(INDEX('Per Invoice'!K$2:K$401,$AH243)="","",INDEX('Per Invoice'!K$2:K$401,$AH243)))</f>
        <v/>
      </c>
      <c r="L243">
        <f>IF($AH243="","",IF(INDEX('Per Invoice'!L$2:L$401,$AH243)="","",INDEX('Per Invoice'!L$2:L$401,$AH243)))</f>
        <v/>
      </c>
      <c r="M243">
        <f>IF($AH243="","",IF(INDEX('Per Invoice'!M$2:M$401,$AH243)="","",INDEX('Per Invoice'!M$2:M$401,$AH243)))</f>
        <v/>
      </c>
      <c r="N243">
        <f>IF($AH243="","",IF(INDEX('Per Invoice'!N$2:N$401,$AH243)="","",INDEX('Per Invoice'!N$2:N$401,$AH243)))</f>
        <v/>
      </c>
      <c r="O243">
        <f>IF($AH243="","",IF(INDEX('Per Invoice'!O$2:O$401,$AH243)="","",INDEX('Per Invoice'!O$2:O$401,$AH243)))</f>
        <v/>
      </c>
      <c r="P243" s="7">
        <f>IF($AH243="","",IF(INDEX('Per Invoice'!P$2:P$401,$AH243)="","",INDEX('Per Invoice'!P$2:P$401,$AH243)))</f>
        <v/>
      </c>
      <c r="Q243">
        <f>IF($AH243="","",IF(INDEX('Per Invoice'!Q$2:Q$401,$AH243)="","",INDEX('Per Invoice'!Q$2:Q$401,$AH243)))</f>
        <v/>
      </c>
      <c r="R243">
        <f>IF($AH243="","",IF(INDEX('Per Invoice'!R$2:R$401,$AH243)="","",INDEX('Per Invoice'!R$2:R$401,$AH243)))</f>
        <v/>
      </c>
      <c r="S243">
        <f>IF($AH243="","",IF(INDEX('Per Invoice'!S$2:S$401,$AH243)="","",INDEX('Per Invoice'!S$2:S$401,$AH243)))</f>
        <v/>
      </c>
      <c r="T243" s="7">
        <f>IF($AH243="","",IF(INDEX('Per Invoice'!T$2:T$401,$AH243)="","",INDEX('Per Invoice'!T$2:T$401,$AH243)))</f>
        <v/>
      </c>
      <c r="U243" s="7">
        <f>IF($AH243="","",IF(INDEX('Per Invoice'!U$2:U$401,$AH243)="","",INDEX('Per Invoice'!U$2:U$401,$AH243)))</f>
        <v/>
      </c>
      <c r="V243">
        <f>IF($AH243="","",IF(INDEX('Per Invoice'!V$2:V$401,$AH243)="","",INDEX('Per Invoice'!V$2:V$401,$AH243)))</f>
        <v/>
      </c>
      <c r="W243" s="7">
        <f>IF($AH243="","",IF(INDEX('Per Invoice'!W$2:W$401,$AH243)="","",INDEX('Per Invoice'!W$2:W$401,$AH243)))</f>
        <v/>
      </c>
      <c r="X243" s="7">
        <f>IF($AH243="","",IF(INDEX('Per Invoice'!X$2:X$401,$AH243)="","",INDEX('Per Invoice'!X$2:X$401,$AH243)))</f>
        <v/>
      </c>
      <c r="Y243">
        <f>IF($AH243="","",IF(INDEX('Per Invoice'!Y$2:Y$401,$AH243)="","",INDEX('Per Invoice'!Y$2:Y$401,$AH243)))</f>
        <v/>
      </c>
      <c r="Z243" s="7">
        <f>IF($AH243="","",IF(INDEX('Per Invoice'!Z$2:Z$401,$AH243)="","",INDEX('Per Invoice'!Z$2:Z$401,$AH243)))</f>
        <v/>
      </c>
      <c r="AA243" s="7">
        <f>IF($AH243="","",IF(INDEX('Per Invoice'!AA$2:AA$401,$AH243)="","",INDEX('Per Invoice'!AA$2:AA$401,$AH243)))</f>
        <v/>
      </c>
      <c r="AB243" s="7">
        <f>IF($AH243="","",IF(INDEX('Per Invoice'!AB$2:AB$401,$AH243)="","",INDEX('Per Invoice'!AB$2:AB$401,$AH243)))</f>
        <v/>
      </c>
      <c r="AC243" s="7">
        <f>IF($AH243="","",IF(INDEX('Per Invoice'!AC$2:AC$401,$AH243)="","",INDEX('Per Invoice'!AC$2:AC$401,$AH243)))</f>
        <v/>
      </c>
      <c r="AD243" s="7">
        <f>IF($AH243="","",IF(INDEX('Per Invoice'!AD$2:AD$401,$AH243)="","",INDEX('Per Invoice'!AD$2:AD$401,$AH243)))</f>
        <v/>
      </c>
      <c r="AE243" s="7">
        <f>IF($AH243="","",IF(INDEX('Per Invoice'!AE$2:AE$401,$AH243)="","",INDEX('Per Invoice'!AE$2:AE$401,$AH243)))</f>
        <v/>
      </c>
      <c r="AF243">
        <f>IF($AH243="","",IF(INDEX('Per Invoice'!AF$2:AF$401,$AH243)="","",INDEX('Per Invoice'!AF$2:AF$401,$AH243)))</f>
        <v/>
      </c>
      <c r="AG243" s="7">
        <f>IF($AH243="","",IF(INDEX('Per Invoice'!AG$2:AG$401,$AH243)="","",INDEX('Per Invoice'!AG$2:AG$401,$AH243)))</f>
        <v/>
      </c>
      <c r="AH243" s="16">
        <f>IFERROR(MATCH(Settings!$C$26&amp;"|"&amp;ROWS($AH$2:$AH243),'Per Invoice'!$AI$2:$AI$401,0),"")</f>
        <v/>
      </c>
    </row>
    <row r="244">
      <c r="A244">
        <f>IF($AH244="","",IF(INDEX('Per Invoice'!A$2:A$401,$AH244)="","",INDEX('Per Invoice'!A$2:A$401,$AH244)))</f>
        <v/>
      </c>
      <c r="B244">
        <f>IF($AH244="","",IF(INDEX('Per Invoice'!B$2:B$401,$AH244)="","",INDEX('Per Invoice'!B$2:B$401,$AH244)))</f>
        <v/>
      </c>
      <c r="C244">
        <f>IF($AH244="","",IF(INDEX('Per Invoice'!C$2:C$401,$AH244)="","",INDEX('Per Invoice'!C$2:C$401,$AH244)))</f>
        <v/>
      </c>
      <c r="D244">
        <f>IF($AH244="","",IF(INDEX('Per Invoice'!D$2:D$401,$AH244)="","",INDEX('Per Invoice'!D$2:D$401,$AH244)))</f>
        <v/>
      </c>
      <c r="E244">
        <f>IF($AH244="","",IF(INDEX('Per Invoice'!E$2:E$401,$AH244)="","",INDEX('Per Invoice'!E$2:E$401,$AH244)))</f>
        <v/>
      </c>
      <c r="F244">
        <f>IF($AH244="","",IF(INDEX('Per Invoice'!F$2:F$401,$AH244)="","",INDEX('Per Invoice'!F$2:F$401,$AH244)))</f>
        <v/>
      </c>
      <c r="G244">
        <f>IF($AH244="","",IF(INDEX('Per Invoice'!G$2:G$401,$AH244)="","",INDEX('Per Invoice'!G$2:G$401,$AH244)))</f>
        <v/>
      </c>
      <c r="H244">
        <f>IF($AH244="","",IF(INDEX('Per Invoice'!H$2:H$401,$AH244)="","",INDEX('Per Invoice'!H$2:H$401,$AH244)))</f>
        <v/>
      </c>
      <c r="I244" s="14">
        <f>IF($AH244="","",IF(INDEX('Per Invoice'!I$2:I$401,$AH244)="","",INDEX('Per Invoice'!I$2:I$401,$AH244)))</f>
        <v/>
      </c>
      <c r="J244">
        <f>IF($AH244="","",IF(INDEX('Per Invoice'!J$2:J$401,$AH244)="","",INDEX('Per Invoice'!J$2:J$401,$AH244)))</f>
        <v/>
      </c>
      <c r="K244">
        <f>IF($AH244="","",IF(INDEX('Per Invoice'!K$2:K$401,$AH244)="","",INDEX('Per Invoice'!K$2:K$401,$AH244)))</f>
        <v/>
      </c>
      <c r="L244">
        <f>IF($AH244="","",IF(INDEX('Per Invoice'!L$2:L$401,$AH244)="","",INDEX('Per Invoice'!L$2:L$401,$AH244)))</f>
        <v/>
      </c>
      <c r="M244">
        <f>IF($AH244="","",IF(INDEX('Per Invoice'!M$2:M$401,$AH244)="","",INDEX('Per Invoice'!M$2:M$401,$AH244)))</f>
        <v/>
      </c>
      <c r="N244">
        <f>IF($AH244="","",IF(INDEX('Per Invoice'!N$2:N$401,$AH244)="","",INDEX('Per Invoice'!N$2:N$401,$AH244)))</f>
        <v/>
      </c>
      <c r="O244">
        <f>IF($AH244="","",IF(INDEX('Per Invoice'!O$2:O$401,$AH244)="","",INDEX('Per Invoice'!O$2:O$401,$AH244)))</f>
        <v/>
      </c>
      <c r="P244" s="7">
        <f>IF($AH244="","",IF(INDEX('Per Invoice'!P$2:P$401,$AH244)="","",INDEX('Per Invoice'!P$2:P$401,$AH244)))</f>
        <v/>
      </c>
      <c r="Q244">
        <f>IF($AH244="","",IF(INDEX('Per Invoice'!Q$2:Q$401,$AH244)="","",INDEX('Per Invoice'!Q$2:Q$401,$AH244)))</f>
        <v/>
      </c>
      <c r="R244">
        <f>IF($AH244="","",IF(INDEX('Per Invoice'!R$2:R$401,$AH244)="","",INDEX('Per Invoice'!R$2:R$401,$AH244)))</f>
        <v/>
      </c>
      <c r="S244">
        <f>IF($AH244="","",IF(INDEX('Per Invoice'!S$2:S$401,$AH244)="","",INDEX('Per Invoice'!S$2:S$401,$AH244)))</f>
        <v/>
      </c>
      <c r="T244" s="7">
        <f>IF($AH244="","",IF(INDEX('Per Invoice'!T$2:T$401,$AH244)="","",INDEX('Per Invoice'!T$2:T$401,$AH244)))</f>
        <v/>
      </c>
      <c r="U244" s="7">
        <f>IF($AH244="","",IF(INDEX('Per Invoice'!U$2:U$401,$AH244)="","",INDEX('Per Invoice'!U$2:U$401,$AH244)))</f>
        <v/>
      </c>
      <c r="V244">
        <f>IF($AH244="","",IF(INDEX('Per Invoice'!V$2:V$401,$AH244)="","",INDEX('Per Invoice'!V$2:V$401,$AH244)))</f>
        <v/>
      </c>
      <c r="W244" s="7">
        <f>IF($AH244="","",IF(INDEX('Per Invoice'!W$2:W$401,$AH244)="","",INDEX('Per Invoice'!W$2:W$401,$AH244)))</f>
        <v/>
      </c>
      <c r="X244" s="7">
        <f>IF($AH244="","",IF(INDEX('Per Invoice'!X$2:X$401,$AH244)="","",INDEX('Per Invoice'!X$2:X$401,$AH244)))</f>
        <v/>
      </c>
      <c r="Y244">
        <f>IF($AH244="","",IF(INDEX('Per Invoice'!Y$2:Y$401,$AH244)="","",INDEX('Per Invoice'!Y$2:Y$401,$AH244)))</f>
        <v/>
      </c>
      <c r="Z244" s="7">
        <f>IF($AH244="","",IF(INDEX('Per Invoice'!Z$2:Z$401,$AH244)="","",INDEX('Per Invoice'!Z$2:Z$401,$AH244)))</f>
        <v/>
      </c>
      <c r="AA244" s="7">
        <f>IF($AH244="","",IF(INDEX('Per Invoice'!AA$2:AA$401,$AH244)="","",INDEX('Per Invoice'!AA$2:AA$401,$AH244)))</f>
        <v/>
      </c>
      <c r="AB244" s="7">
        <f>IF($AH244="","",IF(INDEX('Per Invoice'!AB$2:AB$401,$AH244)="","",INDEX('Per Invoice'!AB$2:AB$401,$AH244)))</f>
        <v/>
      </c>
      <c r="AC244" s="7">
        <f>IF($AH244="","",IF(INDEX('Per Invoice'!AC$2:AC$401,$AH244)="","",INDEX('Per Invoice'!AC$2:AC$401,$AH244)))</f>
        <v/>
      </c>
      <c r="AD244" s="7">
        <f>IF($AH244="","",IF(INDEX('Per Invoice'!AD$2:AD$401,$AH244)="","",INDEX('Per Invoice'!AD$2:AD$401,$AH244)))</f>
        <v/>
      </c>
      <c r="AE244" s="7">
        <f>IF($AH244="","",IF(INDEX('Per Invoice'!AE$2:AE$401,$AH244)="","",INDEX('Per Invoice'!AE$2:AE$401,$AH244)))</f>
        <v/>
      </c>
      <c r="AF244">
        <f>IF($AH244="","",IF(INDEX('Per Invoice'!AF$2:AF$401,$AH244)="","",INDEX('Per Invoice'!AF$2:AF$401,$AH244)))</f>
        <v/>
      </c>
      <c r="AG244" s="7">
        <f>IF($AH244="","",IF(INDEX('Per Invoice'!AG$2:AG$401,$AH244)="","",INDEX('Per Invoice'!AG$2:AG$401,$AH244)))</f>
        <v/>
      </c>
      <c r="AH244" s="16">
        <f>IFERROR(MATCH(Settings!$C$26&amp;"|"&amp;ROWS($AH$2:$AH244),'Per Invoice'!$AI$2:$AI$401,0),"")</f>
        <v/>
      </c>
    </row>
    <row r="245">
      <c r="A245">
        <f>IF($AH245="","",IF(INDEX('Per Invoice'!A$2:A$401,$AH245)="","",INDEX('Per Invoice'!A$2:A$401,$AH245)))</f>
        <v/>
      </c>
      <c r="B245">
        <f>IF($AH245="","",IF(INDEX('Per Invoice'!B$2:B$401,$AH245)="","",INDEX('Per Invoice'!B$2:B$401,$AH245)))</f>
        <v/>
      </c>
      <c r="C245">
        <f>IF($AH245="","",IF(INDEX('Per Invoice'!C$2:C$401,$AH245)="","",INDEX('Per Invoice'!C$2:C$401,$AH245)))</f>
        <v/>
      </c>
      <c r="D245">
        <f>IF($AH245="","",IF(INDEX('Per Invoice'!D$2:D$401,$AH245)="","",INDEX('Per Invoice'!D$2:D$401,$AH245)))</f>
        <v/>
      </c>
      <c r="E245">
        <f>IF($AH245="","",IF(INDEX('Per Invoice'!E$2:E$401,$AH245)="","",INDEX('Per Invoice'!E$2:E$401,$AH245)))</f>
        <v/>
      </c>
      <c r="F245">
        <f>IF($AH245="","",IF(INDEX('Per Invoice'!F$2:F$401,$AH245)="","",INDEX('Per Invoice'!F$2:F$401,$AH245)))</f>
        <v/>
      </c>
      <c r="G245">
        <f>IF($AH245="","",IF(INDEX('Per Invoice'!G$2:G$401,$AH245)="","",INDEX('Per Invoice'!G$2:G$401,$AH245)))</f>
        <v/>
      </c>
      <c r="H245">
        <f>IF($AH245="","",IF(INDEX('Per Invoice'!H$2:H$401,$AH245)="","",INDEX('Per Invoice'!H$2:H$401,$AH245)))</f>
        <v/>
      </c>
      <c r="I245" s="14">
        <f>IF($AH245="","",IF(INDEX('Per Invoice'!I$2:I$401,$AH245)="","",INDEX('Per Invoice'!I$2:I$401,$AH245)))</f>
        <v/>
      </c>
      <c r="J245">
        <f>IF($AH245="","",IF(INDEX('Per Invoice'!J$2:J$401,$AH245)="","",INDEX('Per Invoice'!J$2:J$401,$AH245)))</f>
        <v/>
      </c>
      <c r="K245">
        <f>IF($AH245="","",IF(INDEX('Per Invoice'!K$2:K$401,$AH245)="","",INDEX('Per Invoice'!K$2:K$401,$AH245)))</f>
        <v/>
      </c>
      <c r="L245">
        <f>IF($AH245="","",IF(INDEX('Per Invoice'!L$2:L$401,$AH245)="","",INDEX('Per Invoice'!L$2:L$401,$AH245)))</f>
        <v/>
      </c>
      <c r="M245">
        <f>IF($AH245="","",IF(INDEX('Per Invoice'!M$2:M$401,$AH245)="","",INDEX('Per Invoice'!M$2:M$401,$AH245)))</f>
        <v/>
      </c>
      <c r="N245">
        <f>IF($AH245="","",IF(INDEX('Per Invoice'!N$2:N$401,$AH245)="","",INDEX('Per Invoice'!N$2:N$401,$AH245)))</f>
        <v/>
      </c>
      <c r="O245">
        <f>IF($AH245="","",IF(INDEX('Per Invoice'!O$2:O$401,$AH245)="","",INDEX('Per Invoice'!O$2:O$401,$AH245)))</f>
        <v/>
      </c>
      <c r="P245" s="7">
        <f>IF($AH245="","",IF(INDEX('Per Invoice'!P$2:P$401,$AH245)="","",INDEX('Per Invoice'!P$2:P$401,$AH245)))</f>
        <v/>
      </c>
      <c r="Q245">
        <f>IF($AH245="","",IF(INDEX('Per Invoice'!Q$2:Q$401,$AH245)="","",INDEX('Per Invoice'!Q$2:Q$401,$AH245)))</f>
        <v/>
      </c>
      <c r="R245">
        <f>IF($AH245="","",IF(INDEX('Per Invoice'!R$2:R$401,$AH245)="","",INDEX('Per Invoice'!R$2:R$401,$AH245)))</f>
        <v/>
      </c>
      <c r="S245">
        <f>IF($AH245="","",IF(INDEX('Per Invoice'!S$2:S$401,$AH245)="","",INDEX('Per Invoice'!S$2:S$401,$AH245)))</f>
        <v/>
      </c>
      <c r="T245" s="7">
        <f>IF($AH245="","",IF(INDEX('Per Invoice'!T$2:T$401,$AH245)="","",INDEX('Per Invoice'!T$2:T$401,$AH245)))</f>
        <v/>
      </c>
      <c r="U245" s="7">
        <f>IF($AH245="","",IF(INDEX('Per Invoice'!U$2:U$401,$AH245)="","",INDEX('Per Invoice'!U$2:U$401,$AH245)))</f>
        <v/>
      </c>
      <c r="V245">
        <f>IF($AH245="","",IF(INDEX('Per Invoice'!V$2:V$401,$AH245)="","",INDEX('Per Invoice'!V$2:V$401,$AH245)))</f>
        <v/>
      </c>
      <c r="W245" s="7">
        <f>IF($AH245="","",IF(INDEX('Per Invoice'!W$2:W$401,$AH245)="","",INDEX('Per Invoice'!W$2:W$401,$AH245)))</f>
        <v/>
      </c>
      <c r="X245" s="7">
        <f>IF($AH245="","",IF(INDEX('Per Invoice'!X$2:X$401,$AH245)="","",INDEX('Per Invoice'!X$2:X$401,$AH245)))</f>
        <v/>
      </c>
      <c r="Y245">
        <f>IF($AH245="","",IF(INDEX('Per Invoice'!Y$2:Y$401,$AH245)="","",INDEX('Per Invoice'!Y$2:Y$401,$AH245)))</f>
        <v/>
      </c>
      <c r="Z245" s="7">
        <f>IF($AH245="","",IF(INDEX('Per Invoice'!Z$2:Z$401,$AH245)="","",INDEX('Per Invoice'!Z$2:Z$401,$AH245)))</f>
        <v/>
      </c>
      <c r="AA245" s="7">
        <f>IF($AH245="","",IF(INDEX('Per Invoice'!AA$2:AA$401,$AH245)="","",INDEX('Per Invoice'!AA$2:AA$401,$AH245)))</f>
        <v/>
      </c>
      <c r="AB245" s="7">
        <f>IF($AH245="","",IF(INDEX('Per Invoice'!AB$2:AB$401,$AH245)="","",INDEX('Per Invoice'!AB$2:AB$401,$AH245)))</f>
        <v/>
      </c>
      <c r="AC245" s="7">
        <f>IF($AH245="","",IF(INDEX('Per Invoice'!AC$2:AC$401,$AH245)="","",INDEX('Per Invoice'!AC$2:AC$401,$AH245)))</f>
        <v/>
      </c>
      <c r="AD245" s="7">
        <f>IF($AH245="","",IF(INDEX('Per Invoice'!AD$2:AD$401,$AH245)="","",INDEX('Per Invoice'!AD$2:AD$401,$AH245)))</f>
        <v/>
      </c>
      <c r="AE245" s="7">
        <f>IF($AH245="","",IF(INDEX('Per Invoice'!AE$2:AE$401,$AH245)="","",INDEX('Per Invoice'!AE$2:AE$401,$AH245)))</f>
        <v/>
      </c>
      <c r="AF245">
        <f>IF($AH245="","",IF(INDEX('Per Invoice'!AF$2:AF$401,$AH245)="","",INDEX('Per Invoice'!AF$2:AF$401,$AH245)))</f>
        <v/>
      </c>
      <c r="AG245" s="7">
        <f>IF($AH245="","",IF(INDEX('Per Invoice'!AG$2:AG$401,$AH245)="","",INDEX('Per Invoice'!AG$2:AG$401,$AH245)))</f>
        <v/>
      </c>
      <c r="AH245" s="16">
        <f>IFERROR(MATCH(Settings!$C$26&amp;"|"&amp;ROWS($AH$2:$AH245),'Per Invoice'!$AI$2:$AI$401,0),"")</f>
        <v/>
      </c>
    </row>
    <row r="246">
      <c r="A246">
        <f>IF($AH246="","",IF(INDEX('Per Invoice'!A$2:A$401,$AH246)="","",INDEX('Per Invoice'!A$2:A$401,$AH246)))</f>
        <v/>
      </c>
      <c r="B246">
        <f>IF($AH246="","",IF(INDEX('Per Invoice'!B$2:B$401,$AH246)="","",INDEX('Per Invoice'!B$2:B$401,$AH246)))</f>
        <v/>
      </c>
      <c r="C246">
        <f>IF($AH246="","",IF(INDEX('Per Invoice'!C$2:C$401,$AH246)="","",INDEX('Per Invoice'!C$2:C$401,$AH246)))</f>
        <v/>
      </c>
      <c r="D246">
        <f>IF($AH246="","",IF(INDEX('Per Invoice'!D$2:D$401,$AH246)="","",INDEX('Per Invoice'!D$2:D$401,$AH246)))</f>
        <v/>
      </c>
      <c r="E246">
        <f>IF($AH246="","",IF(INDEX('Per Invoice'!E$2:E$401,$AH246)="","",INDEX('Per Invoice'!E$2:E$401,$AH246)))</f>
        <v/>
      </c>
      <c r="F246">
        <f>IF($AH246="","",IF(INDEX('Per Invoice'!F$2:F$401,$AH246)="","",INDEX('Per Invoice'!F$2:F$401,$AH246)))</f>
        <v/>
      </c>
      <c r="G246">
        <f>IF($AH246="","",IF(INDEX('Per Invoice'!G$2:G$401,$AH246)="","",INDEX('Per Invoice'!G$2:G$401,$AH246)))</f>
        <v/>
      </c>
      <c r="H246">
        <f>IF($AH246="","",IF(INDEX('Per Invoice'!H$2:H$401,$AH246)="","",INDEX('Per Invoice'!H$2:H$401,$AH246)))</f>
        <v/>
      </c>
      <c r="I246" s="14">
        <f>IF($AH246="","",IF(INDEX('Per Invoice'!I$2:I$401,$AH246)="","",INDEX('Per Invoice'!I$2:I$401,$AH246)))</f>
        <v/>
      </c>
      <c r="J246">
        <f>IF($AH246="","",IF(INDEX('Per Invoice'!J$2:J$401,$AH246)="","",INDEX('Per Invoice'!J$2:J$401,$AH246)))</f>
        <v/>
      </c>
      <c r="K246">
        <f>IF($AH246="","",IF(INDEX('Per Invoice'!K$2:K$401,$AH246)="","",INDEX('Per Invoice'!K$2:K$401,$AH246)))</f>
        <v/>
      </c>
      <c r="L246">
        <f>IF($AH246="","",IF(INDEX('Per Invoice'!L$2:L$401,$AH246)="","",INDEX('Per Invoice'!L$2:L$401,$AH246)))</f>
        <v/>
      </c>
      <c r="M246">
        <f>IF($AH246="","",IF(INDEX('Per Invoice'!M$2:M$401,$AH246)="","",INDEX('Per Invoice'!M$2:M$401,$AH246)))</f>
        <v/>
      </c>
      <c r="N246">
        <f>IF($AH246="","",IF(INDEX('Per Invoice'!N$2:N$401,$AH246)="","",INDEX('Per Invoice'!N$2:N$401,$AH246)))</f>
        <v/>
      </c>
      <c r="O246">
        <f>IF($AH246="","",IF(INDEX('Per Invoice'!O$2:O$401,$AH246)="","",INDEX('Per Invoice'!O$2:O$401,$AH246)))</f>
        <v/>
      </c>
      <c r="P246" s="7">
        <f>IF($AH246="","",IF(INDEX('Per Invoice'!P$2:P$401,$AH246)="","",INDEX('Per Invoice'!P$2:P$401,$AH246)))</f>
        <v/>
      </c>
      <c r="Q246">
        <f>IF($AH246="","",IF(INDEX('Per Invoice'!Q$2:Q$401,$AH246)="","",INDEX('Per Invoice'!Q$2:Q$401,$AH246)))</f>
        <v/>
      </c>
      <c r="R246">
        <f>IF($AH246="","",IF(INDEX('Per Invoice'!R$2:R$401,$AH246)="","",INDEX('Per Invoice'!R$2:R$401,$AH246)))</f>
        <v/>
      </c>
      <c r="S246">
        <f>IF($AH246="","",IF(INDEX('Per Invoice'!S$2:S$401,$AH246)="","",INDEX('Per Invoice'!S$2:S$401,$AH246)))</f>
        <v/>
      </c>
      <c r="T246" s="7">
        <f>IF($AH246="","",IF(INDEX('Per Invoice'!T$2:T$401,$AH246)="","",INDEX('Per Invoice'!T$2:T$401,$AH246)))</f>
        <v/>
      </c>
      <c r="U246" s="7">
        <f>IF($AH246="","",IF(INDEX('Per Invoice'!U$2:U$401,$AH246)="","",INDEX('Per Invoice'!U$2:U$401,$AH246)))</f>
        <v/>
      </c>
      <c r="V246">
        <f>IF($AH246="","",IF(INDEX('Per Invoice'!V$2:V$401,$AH246)="","",INDEX('Per Invoice'!V$2:V$401,$AH246)))</f>
        <v/>
      </c>
      <c r="W246" s="7">
        <f>IF($AH246="","",IF(INDEX('Per Invoice'!W$2:W$401,$AH246)="","",INDEX('Per Invoice'!W$2:W$401,$AH246)))</f>
        <v/>
      </c>
      <c r="X246" s="7">
        <f>IF($AH246="","",IF(INDEX('Per Invoice'!X$2:X$401,$AH246)="","",INDEX('Per Invoice'!X$2:X$401,$AH246)))</f>
        <v/>
      </c>
      <c r="Y246">
        <f>IF($AH246="","",IF(INDEX('Per Invoice'!Y$2:Y$401,$AH246)="","",INDEX('Per Invoice'!Y$2:Y$401,$AH246)))</f>
        <v/>
      </c>
      <c r="Z246" s="7">
        <f>IF($AH246="","",IF(INDEX('Per Invoice'!Z$2:Z$401,$AH246)="","",INDEX('Per Invoice'!Z$2:Z$401,$AH246)))</f>
        <v/>
      </c>
      <c r="AA246" s="7">
        <f>IF($AH246="","",IF(INDEX('Per Invoice'!AA$2:AA$401,$AH246)="","",INDEX('Per Invoice'!AA$2:AA$401,$AH246)))</f>
        <v/>
      </c>
      <c r="AB246" s="7">
        <f>IF($AH246="","",IF(INDEX('Per Invoice'!AB$2:AB$401,$AH246)="","",INDEX('Per Invoice'!AB$2:AB$401,$AH246)))</f>
        <v/>
      </c>
      <c r="AC246" s="7">
        <f>IF($AH246="","",IF(INDEX('Per Invoice'!AC$2:AC$401,$AH246)="","",INDEX('Per Invoice'!AC$2:AC$401,$AH246)))</f>
        <v/>
      </c>
      <c r="AD246" s="7">
        <f>IF($AH246="","",IF(INDEX('Per Invoice'!AD$2:AD$401,$AH246)="","",INDEX('Per Invoice'!AD$2:AD$401,$AH246)))</f>
        <v/>
      </c>
      <c r="AE246" s="7">
        <f>IF($AH246="","",IF(INDEX('Per Invoice'!AE$2:AE$401,$AH246)="","",INDEX('Per Invoice'!AE$2:AE$401,$AH246)))</f>
        <v/>
      </c>
      <c r="AF246">
        <f>IF($AH246="","",IF(INDEX('Per Invoice'!AF$2:AF$401,$AH246)="","",INDEX('Per Invoice'!AF$2:AF$401,$AH246)))</f>
        <v/>
      </c>
      <c r="AG246" s="7">
        <f>IF($AH246="","",IF(INDEX('Per Invoice'!AG$2:AG$401,$AH246)="","",INDEX('Per Invoice'!AG$2:AG$401,$AH246)))</f>
        <v/>
      </c>
      <c r="AH246" s="16">
        <f>IFERROR(MATCH(Settings!$C$26&amp;"|"&amp;ROWS($AH$2:$AH246),'Per Invoice'!$AI$2:$AI$401,0),"")</f>
        <v/>
      </c>
    </row>
    <row r="247">
      <c r="A247">
        <f>IF($AH247="","",IF(INDEX('Per Invoice'!A$2:A$401,$AH247)="","",INDEX('Per Invoice'!A$2:A$401,$AH247)))</f>
        <v/>
      </c>
      <c r="B247">
        <f>IF($AH247="","",IF(INDEX('Per Invoice'!B$2:B$401,$AH247)="","",INDEX('Per Invoice'!B$2:B$401,$AH247)))</f>
        <v/>
      </c>
      <c r="C247">
        <f>IF($AH247="","",IF(INDEX('Per Invoice'!C$2:C$401,$AH247)="","",INDEX('Per Invoice'!C$2:C$401,$AH247)))</f>
        <v/>
      </c>
      <c r="D247">
        <f>IF($AH247="","",IF(INDEX('Per Invoice'!D$2:D$401,$AH247)="","",INDEX('Per Invoice'!D$2:D$401,$AH247)))</f>
        <v/>
      </c>
      <c r="E247">
        <f>IF($AH247="","",IF(INDEX('Per Invoice'!E$2:E$401,$AH247)="","",INDEX('Per Invoice'!E$2:E$401,$AH247)))</f>
        <v/>
      </c>
      <c r="F247">
        <f>IF($AH247="","",IF(INDEX('Per Invoice'!F$2:F$401,$AH247)="","",INDEX('Per Invoice'!F$2:F$401,$AH247)))</f>
        <v/>
      </c>
      <c r="G247">
        <f>IF($AH247="","",IF(INDEX('Per Invoice'!G$2:G$401,$AH247)="","",INDEX('Per Invoice'!G$2:G$401,$AH247)))</f>
        <v/>
      </c>
      <c r="H247">
        <f>IF($AH247="","",IF(INDEX('Per Invoice'!H$2:H$401,$AH247)="","",INDEX('Per Invoice'!H$2:H$401,$AH247)))</f>
        <v/>
      </c>
      <c r="I247" s="14">
        <f>IF($AH247="","",IF(INDEX('Per Invoice'!I$2:I$401,$AH247)="","",INDEX('Per Invoice'!I$2:I$401,$AH247)))</f>
        <v/>
      </c>
      <c r="J247">
        <f>IF($AH247="","",IF(INDEX('Per Invoice'!J$2:J$401,$AH247)="","",INDEX('Per Invoice'!J$2:J$401,$AH247)))</f>
        <v/>
      </c>
      <c r="K247">
        <f>IF($AH247="","",IF(INDEX('Per Invoice'!K$2:K$401,$AH247)="","",INDEX('Per Invoice'!K$2:K$401,$AH247)))</f>
        <v/>
      </c>
      <c r="L247">
        <f>IF($AH247="","",IF(INDEX('Per Invoice'!L$2:L$401,$AH247)="","",INDEX('Per Invoice'!L$2:L$401,$AH247)))</f>
        <v/>
      </c>
      <c r="M247">
        <f>IF($AH247="","",IF(INDEX('Per Invoice'!M$2:M$401,$AH247)="","",INDEX('Per Invoice'!M$2:M$401,$AH247)))</f>
        <v/>
      </c>
      <c r="N247">
        <f>IF($AH247="","",IF(INDEX('Per Invoice'!N$2:N$401,$AH247)="","",INDEX('Per Invoice'!N$2:N$401,$AH247)))</f>
        <v/>
      </c>
      <c r="O247">
        <f>IF($AH247="","",IF(INDEX('Per Invoice'!O$2:O$401,$AH247)="","",INDEX('Per Invoice'!O$2:O$401,$AH247)))</f>
        <v/>
      </c>
      <c r="P247" s="7">
        <f>IF($AH247="","",IF(INDEX('Per Invoice'!P$2:P$401,$AH247)="","",INDEX('Per Invoice'!P$2:P$401,$AH247)))</f>
        <v/>
      </c>
      <c r="Q247">
        <f>IF($AH247="","",IF(INDEX('Per Invoice'!Q$2:Q$401,$AH247)="","",INDEX('Per Invoice'!Q$2:Q$401,$AH247)))</f>
        <v/>
      </c>
      <c r="R247">
        <f>IF($AH247="","",IF(INDEX('Per Invoice'!R$2:R$401,$AH247)="","",INDEX('Per Invoice'!R$2:R$401,$AH247)))</f>
        <v/>
      </c>
      <c r="S247">
        <f>IF($AH247="","",IF(INDEX('Per Invoice'!S$2:S$401,$AH247)="","",INDEX('Per Invoice'!S$2:S$401,$AH247)))</f>
        <v/>
      </c>
      <c r="T247" s="7">
        <f>IF($AH247="","",IF(INDEX('Per Invoice'!T$2:T$401,$AH247)="","",INDEX('Per Invoice'!T$2:T$401,$AH247)))</f>
        <v/>
      </c>
      <c r="U247" s="7">
        <f>IF($AH247="","",IF(INDEX('Per Invoice'!U$2:U$401,$AH247)="","",INDEX('Per Invoice'!U$2:U$401,$AH247)))</f>
        <v/>
      </c>
      <c r="V247">
        <f>IF($AH247="","",IF(INDEX('Per Invoice'!V$2:V$401,$AH247)="","",INDEX('Per Invoice'!V$2:V$401,$AH247)))</f>
        <v/>
      </c>
      <c r="W247" s="7">
        <f>IF($AH247="","",IF(INDEX('Per Invoice'!W$2:W$401,$AH247)="","",INDEX('Per Invoice'!W$2:W$401,$AH247)))</f>
        <v/>
      </c>
      <c r="X247" s="7">
        <f>IF($AH247="","",IF(INDEX('Per Invoice'!X$2:X$401,$AH247)="","",INDEX('Per Invoice'!X$2:X$401,$AH247)))</f>
        <v/>
      </c>
      <c r="Y247">
        <f>IF($AH247="","",IF(INDEX('Per Invoice'!Y$2:Y$401,$AH247)="","",INDEX('Per Invoice'!Y$2:Y$401,$AH247)))</f>
        <v/>
      </c>
      <c r="Z247" s="7">
        <f>IF($AH247="","",IF(INDEX('Per Invoice'!Z$2:Z$401,$AH247)="","",INDEX('Per Invoice'!Z$2:Z$401,$AH247)))</f>
        <v/>
      </c>
      <c r="AA247" s="7">
        <f>IF($AH247="","",IF(INDEX('Per Invoice'!AA$2:AA$401,$AH247)="","",INDEX('Per Invoice'!AA$2:AA$401,$AH247)))</f>
        <v/>
      </c>
      <c r="AB247" s="7">
        <f>IF($AH247="","",IF(INDEX('Per Invoice'!AB$2:AB$401,$AH247)="","",INDEX('Per Invoice'!AB$2:AB$401,$AH247)))</f>
        <v/>
      </c>
      <c r="AC247" s="7">
        <f>IF($AH247="","",IF(INDEX('Per Invoice'!AC$2:AC$401,$AH247)="","",INDEX('Per Invoice'!AC$2:AC$401,$AH247)))</f>
        <v/>
      </c>
      <c r="AD247" s="7">
        <f>IF($AH247="","",IF(INDEX('Per Invoice'!AD$2:AD$401,$AH247)="","",INDEX('Per Invoice'!AD$2:AD$401,$AH247)))</f>
        <v/>
      </c>
      <c r="AE247" s="7">
        <f>IF($AH247="","",IF(INDEX('Per Invoice'!AE$2:AE$401,$AH247)="","",INDEX('Per Invoice'!AE$2:AE$401,$AH247)))</f>
        <v/>
      </c>
      <c r="AF247">
        <f>IF($AH247="","",IF(INDEX('Per Invoice'!AF$2:AF$401,$AH247)="","",INDEX('Per Invoice'!AF$2:AF$401,$AH247)))</f>
        <v/>
      </c>
      <c r="AG247" s="7">
        <f>IF($AH247="","",IF(INDEX('Per Invoice'!AG$2:AG$401,$AH247)="","",INDEX('Per Invoice'!AG$2:AG$401,$AH247)))</f>
        <v/>
      </c>
      <c r="AH247" s="16">
        <f>IFERROR(MATCH(Settings!$C$26&amp;"|"&amp;ROWS($AH$2:$AH247),'Per Invoice'!$AI$2:$AI$401,0),"")</f>
        <v/>
      </c>
    </row>
    <row r="248">
      <c r="A248">
        <f>IF($AH248="","",IF(INDEX('Per Invoice'!A$2:A$401,$AH248)="","",INDEX('Per Invoice'!A$2:A$401,$AH248)))</f>
        <v/>
      </c>
      <c r="B248">
        <f>IF($AH248="","",IF(INDEX('Per Invoice'!B$2:B$401,$AH248)="","",INDEX('Per Invoice'!B$2:B$401,$AH248)))</f>
        <v/>
      </c>
      <c r="C248">
        <f>IF($AH248="","",IF(INDEX('Per Invoice'!C$2:C$401,$AH248)="","",INDEX('Per Invoice'!C$2:C$401,$AH248)))</f>
        <v/>
      </c>
      <c r="D248">
        <f>IF($AH248="","",IF(INDEX('Per Invoice'!D$2:D$401,$AH248)="","",INDEX('Per Invoice'!D$2:D$401,$AH248)))</f>
        <v/>
      </c>
      <c r="E248">
        <f>IF($AH248="","",IF(INDEX('Per Invoice'!E$2:E$401,$AH248)="","",INDEX('Per Invoice'!E$2:E$401,$AH248)))</f>
        <v/>
      </c>
      <c r="F248">
        <f>IF($AH248="","",IF(INDEX('Per Invoice'!F$2:F$401,$AH248)="","",INDEX('Per Invoice'!F$2:F$401,$AH248)))</f>
        <v/>
      </c>
      <c r="G248">
        <f>IF($AH248="","",IF(INDEX('Per Invoice'!G$2:G$401,$AH248)="","",INDEX('Per Invoice'!G$2:G$401,$AH248)))</f>
        <v/>
      </c>
      <c r="H248">
        <f>IF($AH248="","",IF(INDEX('Per Invoice'!H$2:H$401,$AH248)="","",INDEX('Per Invoice'!H$2:H$401,$AH248)))</f>
        <v/>
      </c>
      <c r="I248" s="14">
        <f>IF($AH248="","",IF(INDEX('Per Invoice'!I$2:I$401,$AH248)="","",INDEX('Per Invoice'!I$2:I$401,$AH248)))</f>
        <v/>
      </c>
      <c r="J248">
        <f>IF($AH248="","",IF(INDEX('Per Invoice'!J$2:J$401,$AH248)="","",INDEX('Per Invoice'!J$2:J$401,$AH248)))</f>
        <v/>
      </c>
      <c r="K248">
        <f>IF($AH248="","",IF(INDEX('Per Invoice'!K$2:K$401,$AH248)="","",INDEX('Per Invoice'!K$2:K$401,$AH248)))</f>
        <v/>
      </c>
      <c r="L248">
        <f>IF($AH248="","",IF(INDEX('Per Invoice'!L$2:L$401,$AH248)="","",INDEX('Per Invoice'!L$2:L$401,$AH248)))</f>
        <v/>
      </c>
      <c r="M248">
        <f>IF($AH248="","",IF(INDEX('Per Invoice'!M$2:M$401,$AH248)="","",INDEX('Per Invoice'!M$2:M$401,$AH248)))</f>
        <v/>
      </c>
      <c r="N248">
        <f>IF($AH248="","",IF(INDEX('Per Invoice'!N$2:N$401,$AH248)="","",INDEX('Per Invoice'!N$2:N$401,$AH248)))</f>
        <v/>
      </c>
      <c r="O248">
        <f>IF($AH248="","",IF(INDEX('Per Invoice'!O$2:O$401,$AH248)="","",INDEX('Per Invoice'!O$2:O$401,$AH248)))</f>
        <v/>
      </c>
      <c r="P248" s="7">
        <f>IF($AH248="","",IF(INDEX('Per Invoice'!P$2:P$401,$AH248)="","",INDEX('Per Invoice'!P$2:P$401,$AH248)))</f>
        <v/>
      </c>
      <c r="Q248">
        <f>IF($AH248="","",IF(INDEX('Per Invoice'!Q$2:Q$401,$AH248)="","",INDEX('Per Invoice'!Q$2:Q$401,$AH248)))</f>
        <v/>
      </c>
      <c r="R248">
        <f>IF($AH248="","",IF(INDEX('Per Invoice'!R$2:R$401,$AH248)="","",INDEX('Per Invoice'!R$2:R$401,$AH248)))</f>
        <v/>
      </c>
      <c r="S248">
        <f>IF($AH248="","",IF(INDEX('Per Invoice'!S$2:S$401,$AH248)="","",INDEX('Per Invoice'!S$2:S$401,$AH248)))</f>
        <v/>
      </c>
      <c r="T248" s="7">
        <f>IF($AH248="","",IF(INDEX('Per Invoice'!T$2:T$401,$AH248)="","",INDEX('Per Invoice'!T$2:T$401,$AH248)))</f>
        <v/>
      </c>
      <c r="U248" s="7">
        <f>IF($AH248="","",IF(INDEX('Per Invoice'!U$2:U$401,$AH248)="","",INDEX('Per Invoice'!U$2:U$401,$AH248)))</f>
        <v/>
      </c>
      <c r="V248">
        <f>IF($AH248="","",IF(INDEX('Per Invoice'!V$2:V$401,$AH248)="","",INDEX('Per Invoice'!V$2:V$401,$AH248)))</f>
        <v/>
      </c>
      <c r="W248" s="7">
        <f>IF($AH248="","",IF(INDEX('Per Invoice'!W$2:W$401,$AH248)="","",INDEX('Per Invoice'!W$2:W$401,$AH248)))</f>
        <v/>
      </c>
      <c r="X248" s="7">
        <f>IF($AH248="","",IF(INDEX('Per Invoice'!X$2:X$401,$AH248)="","",INDEX('Per Invoice'!X$2:X$401,$AH248)))</f>
        <v/>
      </c>
      <c r="Y248">
        <f>IF($AH248="","",IF(INDEX('Per Invoice'!Y$2:Y$401,$AH248)="","",INDEX('Per Invoice'!Y$2:Y$401,$AH248)))</f>
        <v/>
      </c>
      <c r="Z248" s="7">
        <f>IF($AH248="","",IF(INDEX('Per Invoice'!Z$2:Z$401,$AH248)="","",INDEX('Per Invoice'!Z$2:Z$401,$AH248)))</f>
        <v/>
      </c>
      <c r="AA248" s="7">
        <f>IF($AH248="","",IF(INDEX('Per Invoice'!AA$2:AA$401,$AH248)="","",INDEX('Per Invoice'!AA$2:AA$401,$AH248)))</f>
        <v/>
      </c>
      <c r="AB248" s="7">
        <f>IF($AH248="","",IF(INDEX('Per Invoice'!AB$2:AB$401,$AH248)="","",INDEX('Per Invoice'!AB$2:AB$401,$AH248)))</f>
        <v/>
      </c>
      <c r="AC248" s="7">
        <f>IF($AH248="","",IF(INDEX('Per Invoice'!AC$2:AC$401,$AH248)="","",INDEX('Per Invoice'!AC$2:AC$401,$AH248)))</f>
        <v/>
      </c>
      <c r="AD248" s="7">
        <f>IF($AH248="","",IF(INDEX('Per Invoice'!AD$2:AD$401,$AH248)="","",INDEX('Per Invoice'!AD$2:AD$401,$AH248)))</f>
        <v/>
      </c>
      <c r="AE248" s="7">
        <f>IF($AH248="","",IF(INDEX('Per Invoice'!AE$2:AE$401,$AH248)="","",INDEX('Per Invoice'!AE$2:AE$401,$AH248)))</f>
        <v/>
      </c>
      <c r="AF248">
        <f>IF($AH248="","",IF(INDEX('Per Invoice'!AF$2:AF$401,$AH248)="","",INDEX('Per Invoice'!AF$2:AF$401,$AH248)))</f>
        <v/>
      </c>
      <c r="AG248" s="7">
        <f>IF($AH248="","",IF(INDEX('Per Invoice'!AG$2:AG$401,$AH248)="","",INDEX('Per Invoice'!AG$2:AG$401,$AH248)))</f>
        <v/>
      </c>
      <c r="AH248" s="16">
        <f>IFERROR(MATCH(Settings!$C$26&amp;"|"&amp;ROWS($AH$2:$AH248),'Per Invoice'!$AI$2:$AI$401,0),"")</f>
        <v/>
      </c>
    </row>
    <row r="249">
      <c r="A249">
        <f>IF($AH249="","",IF(INDEX('Per Invoice'!A$2:A$401,$AH249)="","",INDEX('Per Invoice'!A$2:A$401,$AH249)))</f>
        <v/>
      </c>
      <c r="B249">
        <f>IF($AH249="","",IF(INDEX('Per Invoice'!B$2:B$401,$AH249)="","",INDEX('Per Invoice'!B$2:B$401,$AH249)))</f>
        <v/>
      </c>
      <c r="C249">
        <f>IF($AH249="","",IF(INDEX('Per Invoice'!C$2:C$401,$AH249)="","",INDEX('Per Invoice'!C$2:C$401,$AH249)))</f>
        <v/>
      </c>
      <c r="D249">
        <f>IF($AH249="","",IF(INDEX('Per Invoice'!D$2:D$401,$AH249)="","",INDEX('Per Invoice'!D$2:D$401,$AH249)))</f>
        <v/>
      </c>
      <c r="E249">
        <f>IF($AH249="","",IF(INDEX('Per Invoice'!E$2:E$401,$AH249)="","",INDEX('Per Invoice'!E$2:E$401,$AH249)))</f>
        <v/>
      </c>
      <c r="F249">
        <f>IF($AH249="","",IF(INDEX('Per Invoice'!F$2:F$401,$AH249)="","",INDEX('Per Invoice'!F$2:F$401,$AH249)))</f>
        <v/>
      </c>
      <c r="G249">
        <f>IF($AH249="","",IF(INDEX('Per Invoice'!G$2:G$401,$AH249)="","",INDEX('Per Invoice'!G$2:G$401,$AH249)))</f>
        <v/>
      </c>
      <c r="H249">
        <f>IF($AH249="","",IF(INDEX('Per Invoice'!H$2:H$401,$AH249)="","",INDEX('Per Invoice'!H$2:H$401,$AH249)))</f>
        <v/>
      </c>
      <c r="I249" s="14">
        <f>IF($AH249="","",IF(INDEX('Per Invoice'!I$2:I$401,$AH249)="","",INDEX('Per Invoice'!I$2:I$401,$AH249)))</f>
        <v/>
      </c>
      <c r="J249">
        <f>IF($AH249="","",IF(INDEX('Per Invoice'!J$2:J$401,$AH249)="","",INDEX('Per Invoice'!J$2:J$401,$AH249)))</f>
        <v/>
      </c>
      <c r="K249">
        <f>IF($AH249="","",IF(INDEX('Per Invoice'!K$2:K$401,$AH249)="","",INDEX('Per Invoice'!K$2:K$401,$AH249)))</f>
        <v/>
      </c>
      <c r="L249">
        <f>IF($AH249="","",IF(INDEX('Per Invoice'!L$2:L$401,$AH249)="","",INDEX('Per Invoice'!L$2:L$401,$AH249)))</f>
        <v/>
      </c>
      <c r="M249">
        <f>IF($AH249="","",IF(INDEX('Per Invoice'!M$2:M$401,$AH249)="","",INDEX('Per Invoice'!M$2:M$401,$AH249)))</f>
        <v/>
      </c>
      <c r="N249">
        <f>IF($AH249="","",IF(INDEX('Per Invoice'!N$2:N$401,$AH249)="","",INDEX('Per Invoice'!N$2:N$401,$AH249)))</f>
        <v/>
      </c>
      <c r="O249">
        <f>IF($AH249="","",IF(INDEX('Per Invoice'!O$2:O$401,$AH249)="","",INDEX('Per Invoice'!O$2:O$401,$AH249)))</f>
        <v/>
      </c>
      <c r="P249" s="7">
        <f>IF($AH249="","",IF(INDEX('Per Invoice'!P$2:P$401,$AH249)="","",INDEX('Per Invoice'!P$2:P$401,$AH249)))</f>
        <v/>
      </c>
      <c r="Q249">
        <f>IF($AH249="","",IF(INDEX('Per Invoice'!Q$2:Q$401,$AH249)="","",INDEX('Per Invoice'!Q$2:Q$401,$AH249)))</f>
        <v/>
      </c>
      <c r="R249">
        <f>IF($AH249="","",IF(INDEX('Per Invoice'!R$2:R$401,$AH249)="","",INDEX('Per Invoice'!R$2:R$401,$AH249)))</f>
        <v/>
      </c>
      <c r="S249">
        <f>IF($AH249="","",IF(INDEX('Per Invoice'!S$2:S$401,$AH249)="","",INDEX('Per Invoice'!S$2:S$401,$AH249)))</f>
        <v/>
      </c>
      <c r="T249" s="7">
        <f>IF($AH249="","",IF(INDEX('Per Invoice'!T$2:T$401,$AH249)="","",INDEX('Per Invoice'!T$2:T$401,$AH249)))</f>
        <v/>
      </c>
      <c r="U249" s="7">
        <f>IF($AH249="","",IF(INDEX('Per Invoice'!U$2:U$401,$AH249)="","",INDEX('Per Invoice'!U$2:U$401,$AH249)))</f>
        <v/>
      </c>
      <c r="V249">
        <f>IF($AH249="","",IF(INDEX('Per Invoice'!V$2:V$401,$AH249)="","",INDEX('Per Invoice'!V$2:V$401,$AH249)))</f>
        <v/>
      </c>
      <c r="W249" s="7">
        <f>IF($AH249="","",IF(INDEX('Per Invoice'!W$2:W$401,$AH249)="","",INDEX('Per Invoice'!W$2:W$401,$AH249)))</f>
        <v/>
      </c>
      <c r="X249" s="7">
        <f>IF($AH249="","",IF(INDEX('Per Invoice'!X$2:X$401,$AH249)="","",INDEX('Per Invoice'!X$2:X$401,$AH249)))</f>
        <v/>
      </c>
      <c r="Y249">
        <f>IF($AH249="","",IF(INDEX('Per Invoice'!Y$2:Y$401,$AH249)="","",INDEX('Per Invoice'!Y$2:Y$401,$AH249)))</f>
        <v/>
      </c>
      <c r="Z249" s="7">
        <f>IF($AH249="","",IF(INDEX('Per Invoice'!Z$2:Z$401,$AH249)="","",INDEX('Per Invoice'!Z$2:Z$401,$AH249)))</f>
        <v/>
      </c>
      <c r="AA249" s="7">
        <f>IF($AH249="","",IF(INDEX('Per Invoice'!AA$2:AA$401,$AH249)="","",INDEX('Per Invoice'!AA$2:AA$401,$AH249)))</f>
        <v/>
      </c>
      <c r="AB249" s="7">
        <f>IF($AH249="","",IF(INDEX('Per Invoice'!AB$2:AB$401,$AH249)="","",INDEX('Per Invoice'!AB$2:AB$401,$AH249)))</f>
        <v/>
      </c>
      <c r="AC249" s="7">
        <f>IF($AH249="","",IF(INDEX('Per Invoice'!AC$2:AC$401,$AH249)="","",INDEX('Per Invoice'!AC$2:AC$401,$AH249)))</f>
        <v/>
      </c>
      <c r="AD249" s="7">
        <f>IF($AH249="","",IF(INDEX('Per Invoice'!AD$2:AD$401,$AH249)="","",INDEX('Per Invoice'!AD$2:AD$401,$AH249)))</f>
        <v/>
      </c>
      <c r="AE249" s="7">
        <f>IF($AH249="","",IF(INDEX('Per Invoice'!AE$2:AE$401,$AH249)="","",INDEX('Per Invoice'!AE$2:AE$401,$AH249)))</f>
        <v/>
      </c>
      <c r="AF249">
        <f>IF($AH249="","",IF(INDEX('Per Invoice'!AF$2:AF$401,$AH249)="","",INDEX('Per Invoice'!AF$2:AF$401,$AH249)))</f>
        <v/>
      </c>
      <c r="AG249" s="7">
        <f>IF($AH249="","",IF(INDEX('Per Invoice'!AG$2:AG$401,$AH249)="","",INDEX('Per Invoice'!AG$2:AG$401,$AH249)))</f>
        <v/>
      </c>
      <c r="AH249" s="16">
        <f>IFERROR(MATCH(Settings!$C$26&amp;"|"&amp;ROWS($AH$2:$AH249),'Per Invoice'!$AI$2:$AI$401,0),"")</f>
        <v/>
      </c>
    </row>
    <row r="250">
      <c r="A250">
        <f>IF($AH250="","",IF(INDEX('Per Invoice'!A$2:A$401,$AH250)="","",INDEX('Per Invoice'!A$2:A$401,$AH250)))</f>
        <v/>
      </c>
      <c r="B250">
        <f>IF($AH250="","",IF(INDEX('Per Invoice'!B$2:B$401,$AH250)="","",INDEX('Per Invoice'!B$2:B$401,$AH250)))</f>
        <v/>
      </c>
      <c r="C250">
        <f>IF($AH250="","",IF(INDEX('Per Invoice'!C$2:C$401,$AH250)="","",INDEX('Per Invoice'!C$2:C$401,$AH250)))</f>
        <v/>
      </c>
      <c r="D250">
        <f>IF($AH250="","",IF(INDEX('Per Invoice'!D$2:D$401,$AH250)="","",INDEX('Per Invoice'!D$2:D$401,$AH250)))</f>
        <v/>
      </c>
      <c r="E250">
        <f>IF($AH250="","",IF(INDEX('Per Invoice'!E$2:E$401,$AH250)="","",INDEX('Per Invoice'!E$2:E$401,$AH250)))</f>
        <v/>
      </c>
      <c r="F250">
        <f>IF($AH250="","",IF(INDEX('Per Invoice'!F$2:F$401,$AH250)="","",INDEX('Per Invoice'!F$2:F$401,$AH250)))</f>
        <v/>
      </c>
      <c r="G250">
        <f>IF($AH250="","",IF(INDEX('Per Invoice'!G$2:G$401,$AH250)="","",INDEX('Per Invoice'!G$2:G$401,$AH250)))</f>
        <v/>
      </c>
      <c r="H250">
        <f>IF($AH250="","",IF(INDEX('Per Invoice'!H$2:H$401,$AH250)="","",INDEX('Per Invoice'!H$2:H$401,$AH250)))</f>
        <v/>
      </c>
      <c r="I250" s="14">
        <f>IF($AH250="","",IF(INDEX('Per Invoice'!I$2:I$401,$AH250)="","",INDEX('Per Invoice'!I$2:I$401,$AH250)))</f>
        <v/>
      </c>
      <c r="J250">
        <f>IF($AH250="","",IF(INDEX('Per Invoice'!J$2:J$401,$AH250)="","",INDEX('Per Invoice'!J$2:J$401,$AH250)))</f>
        <v/>
      </c>
      <c r="K250">
        <f>IF($AH250="","",IF(INDEX('Per Invoice'!K$2:K$401,$AH250)="","",INDEX('Per Invoice'!K$2:K$401,$AH250)))</f>
        <v/>
      </c>
      <c r="L250">
        <f>IF($AH250="","",IF(INDEX('Per Invoice'!L$2:L$401,$AH250)="","",INDEX('Per Invoice'!L$2:L$401,$AH250)))</f>
        <v/>
      </c>
      <c r="M250">
        <f>IF($AH250="","",IF(INDEX('Per Invoice'!M$2:M$401,$AH250)="","",INDEX('Per Invoice'!M$2:M$401,$AH250)))</f>
        <v/>
      </c>
      <c r="N250">
        <f>IF($AH250="","",IF(INDEX('Per Invoice'!N$2:N$401,$AH250)="","",INDEX('Per Invoice'!N$2:N$401,$AH250)))</f>
        <v/>
      </c>
      <c r="O250">
        <f>IF($AH250="","",IF(INDEX('Per Invoice'!O$2:O$401,$AH250)="","",INDEX('Per Invoice'!O$2:O$401,$AH250)))</f>
        <v/>
      </c>
      <c r="P250" s="7">
        <f>IF($AH250="","",IF(INDEX('Per Invoice'!P$2:P$401,$AH250)="","",INDEX('Per Invoice'!P$2:P$401,$AH250)))</f>
        <v/>
      </c>
      <c r="Q250">
        <f>IF($AH250="","",IF(INDEX('Per Invoice'!Q$2:Q$401,$AH250)="","",INDEX('Per Invoice'!Q$2:Q$401,$AH250)))</f>
        <v/>
      </c>
      <c r="R250">
        <f>IF($AH250="","",IF(INDEX('Per Invoice'!R$2:R$401,$AH250)="","",INDEX('Per Invoice'!R$2:R$401,$AH250)))</f>
        <v/>
      </c>
      <c r="S250">
        <f>IF($AH250="","",IF(INDEX('Per Invoice'!S$2:S$401,$AH250)="","",INDEX('Per Invoice'!S$2:S$401,$AH250)))</f>
        <v/>
      </c>
      <c r="T250" s="7">
        <f>IF($AH250="","",IF(INDEX('Per Invoice'!T$2:T$401,$AH250)="","",INDEX('Per Invoice'!T$2:T$401,$AH250)))</f>
        <v/>
      </c>
      <c r="U250" s="7">
        <f>IF($AH250="","",IF(INDEX('Per Invoice'!U$2:U$401,$AH250)="","",INDEX('Per Invoice'!U$2:U$401,$AH250)))</f>
        <v/>
      </c>
      <c r="V250">
        <f>IF($AH250="","",IF(INDEX('Per Invoice'!V$2:V$401,$AH250)="","",INDEX('Per Invoice'!V$2:V$401,$AH250)))</f>
        <v/>
      </c>
      <c r="W250" s="7">
        <f>IF($AH250="","",IF(INDEX('Per Invoice'!W$2:W$401,$AH250)="","",INDEX('Per Invoice'!W$2:W$401,$AH250)))</f>
        <v/>
      </c>
      <c r="X250" s="7">
        <f>IF($AH250="","",IF(INDEX('Per Invoice'!X$2:X$401,$AH250)="","",INDEX('Per Invoice'!X$2:X$401,$AH250)))</f>
        <v/>
      </c>
      <c r="Y250">
        <f>IF($AH250="","",IF(INDEX('Per Invoice'!Y$2:Y$401,$AH250)="","",INDEX('Per Invoice'!Y$2:Y$401,$AH250)))</f>
        <v/>
      </c>
      <c r="Z250" s="7">
        <f>IF($AH250="","",IF(INDEX('Per Invoice'!Z$2:Z$401,$AH250)="","",INDEX('Per Invoice'!Z$2:Z$401,$AH250)))</f>
        <v/>
      </c>
      <c r="AA250" s="7">
        <f>IF($AH250="","",IF(INDEX('Per Invoice'!AA$2:AA$401,$AH250)="","",INDEX('Per Invoice'!AA$2:AA$401,$AH250)))</f>
        <v/>
      </c>
      <c r="AB250" s="7">
        <f>IF($AH250="","",IF(INDEX('Per Invoice'!AB$2:AB$401,$AH250)="","",INDEX('Per Invoice'!AB$2:AB$401,$AH250)))</f>
        <v/>
      </c>
      <c r="AC250" s="7">
        <f>IF($AH250="","",IF(INDEX('Per Invoice'!AC$2:AC$401,$AH250)="","",INDEX('Per Invoice'!AC$2:AC$401,$AH250)))</f>
        <v/>
      </c>
      <c r="AD250" s="7">
        <f>IF($AH250="","",IF(INDEX('Per Invoice'!AD$2:AD$401,$AH250)="","",INDEX('Per Invoice'!AD$2:AD$401,$AH250)))</f>
        <v/>
      </c>
      <c r="AE250" s="7">
        <f>IF($AH250="","",IF(INDEX('Per Invoice'!AE$2:AE$401,$AH250)="","",INDEX('Per Invoice'!AE$2:AE$401,$AH250)))</f>
        <v/>
      </c>
      <c r="AF250">
        <f>IF($AH250="","",IF(INDEX('Per Invoice'!AF$2:AF$401,$AH250)="","",INDEX('Per Invoice'!AF$2:AF$401,$AH250)))</f>
        <v/>
      </c>
      <c r="AG250" s="7">
        <f>IF($AH250="","",IF(INDEX('Per Invoice'!AG$2:AG$401,$AH250)="","",INDEX('Per Invoice'!AG$2:AG$401,$AH250)))</f>
        <v/>
      </c>
      <c r="AH250" s="16">
        <f>IFERROR(MATCH(Settings!$C$26&amp;"|"&amp;ROWS($AH$2:$AH250),'Per Invoice'!$AI$2:$AI$401,0),"")</f>
        <v/>
      </c>
    </row>
    <row r="251">
      <c r="A251">
        <f>IF($AH251="","",IF(INDEX('Per Invoice'!A$2:A$401,$AH251)="","",INDEX('Per Invoice'!A$2:A$401,$AH251)))</f>
        <v/>
      </c>
      <c r="B251">
        <f>IF($AH251="","",IF(INDEX('Per Invoice'!B$2:B$401,$AH251)="","",INDEX('Per Invoice'!B$2:B$401,$AH251)))</f>
        <v/>
      </c>
      <c r="C251">
        <f>IF($AH251="","",IF(INDEX('Per Invoice'!C$2:C$401,$AH251)="","",INDEX('Per Invoice'!C$2:C$401,$AH251)))</f>
        <v/>
      </c>
      <c r="D251">
        <f>IF($AH251="","",IF(INDEX('Per Invoice'!D$2:D$401,$AH251)="","",INDEX('Per Invoice'!D$2:D$401,$AH251)))</f>
        <v/>
      </c>
      <c r="E251">
        <f>IF($AH251="","",IF(INDEX('Per Invoice'!E$2:E$401,$AH251)="","",INDEX('Per Invoice'!E$2:E$401,$AH251)))</f>
        <v/>
      </c>
      <c r="F251">
        <f>IF($AH251="","",IF(INDEX('Per Invoice'!F$2:F$401,$AH251)="","",INDEX('Per Invoice'!F$2:F$401,$AH251)))</f>
        <v/>
      </c>
      <c r="G251">
        <f>IF($AH251="","",IF(INDEX('Per Invoice'!G$2:G$401,$AH251)="","",INDEX('Per Invoice'!G$2:G$401,$AH251)))</f>
        <v/>
      </c>
      <c r="H251">
        <f>IF($AH251="","",IF(INDEX('Per Invoice'!H$2:H$401,$AH251)="","",INDEX('Per Invoice'!H$2:H$401,$AH251)))</f>
        <v/>
      </c>
      <c r="I251" s="14">
        <f>IF($AH251="","",IF(INDEX('Per Invoice'!I$2:I$401,$AH251)="","",INDEX('Per Invoice'!I$2:I$401,$AH251)))</f>
        <v/>
      </c>
      <c r="J251">
        <f>IF($AH251="","",IF(INDEX('Per Invoice'!J$2:J$401,$AH251)="","",INDEX('Per Invoice'!J$2:J$401,$AH251)))</f>
        <v/>
      </c>
      <c r="K251">
        <f>IF($AH251="","",IF(INDEX('Per Invoice'!K$2:K$401,$AH251)="","",INDEX('Per Invoice'!K$2:K$401,$AH251)))</f>
        <v/>
      </c>
      <c r="L251">
        <f>IF($AH251="","",IF(INDEX('Per Invoice'!L$2:L$401,$AH251)="","",INDEX('Per Invoice'!L$2:L$401,$AH251)))</f>
        <v/>
      </c>
      <c r="M251">
        <f>IF($AH251="","",IF(INDEX('Per Invoice'!M$2:M$401,$AH251)="","",INDEX('Per Invoice'!M$2:M$401,$AH251)))</f>
        <v/>
      </c>
      <c r="N251">
        <f>IF($AH251="","",IF(INDEX('Per Invoice'!N$2:N$401,$AH251)="","",INDEX('Per Invoice'!N$2:N$401,$AH251)))</f>
        <v/>
      </c>
      <c r="O251">
        <f>IF($AH251="","",IF(INDEX('Per Invoice'!O$2:O$401,$AH251)="","",INDEX('Per Invoice'!O$2:O$401,$AH251)))</f>
        <v/>
      </c>
      <c r="P251" s="7">
        <f>IF($AH251="","",IF(INDEX('Per Invoice'!P$2:P$401,$AH251)="","",INDEX('Per Invoice'!P$2:P$401,$AH251)))</f>
        <v/>
      </c>
      <c r="Q251">
        <f>IF($AH251="","",IF(INDEX('Per Invoice'!Q$2:Q$401,$AH251)="","",INDEX('Per Invoice'!Q$2:Q$401,$AH251)))</f>
        <v/>
      </c>
      <c r="R251">
        <f>IF($AH251="","",IF(INDEX('Per Invoice'!R$2:R$401,$AH251)="","",INDEX('Per Invoice'!R$2:R$401,$AH251)))</f>
        <v/>
      </c>
      <c r="S251">
        <f>IF($AH251="","",IF(INDEX('Per Invoice'!S$2:S$401,$AH251)="","",INDEX('Per Invoice'!S$2:S$401,$AH251)))</f>
        <v/>
      </c>
      <c r="T251" s="7">
        <f>IF($AH251="","",IF(INDEX('Per Invoice'!T$2:T$401,$AH251)="","",INDEX('Per Invoice'!T$2:T$401,$AH251)))</f>
        <v/>
      </c>
      <c r="U251" s="7">
        <f>IF($AH251="","",IF(INDEX('Per Invoice'!U$2:U$401,$AH251)="","",INDEX('Per Invoice'!U$2:U$401,$AH251)))</f>
        <v/>
      </c>
      <c r="V251">
        <f>IF($AH251="","",IF(INDEX('Per Invoice'!V$2:V$401,$AH251)="","",INDEX('Per Invoice'!V$2:V$401,$AH251)))</f>
        <v/>
      </c>
      <c r="W251" s="7">
        <f>IF($AH251="","",IF(INDEX('Per Invoice'!W$2:W$401,$AH251)="","",INDEX('Per Invoice'!W$2:W$401,$AH251)))</f>
        <v/>
      </c>
      <c r="X251" s="7">
        <f>IF($AH251="","",IF(INDEX('Per Invoice'!X$2:X$401,$AH251)="","",INDEX('Per Invoice'!X$2:X$401,$AH251)))</f>
        <v/>
      </c>
      <c r="Y251">
        <f>IF($AH251="","",IF(INDEX('Per Invoice'!Y$2:Y$401,$AH251)="","",INDEX('Per Invoice'!Y$2:Y$401,$AH251)))</f>
        <v/>
      </c>
      <c r="Z251" s="7">
        <f>IF($AH251="","",IF(INDEX('Per Invoice'!Z$2:Z$401,$AH251)="","",INDEX('Per Invoice'!Z$2:Z$401,$AH251)))</f>
        <v/>
      </c>
      <c r="AA251" s="7">
        <f>IF($AH251="","",IF(INDEX('Per Invoice'!AA$2:AA$401,$AH251)="","",INDEX('Per Invoice'!AA$2:AA$401,$AH251)))</f>
        <v/>
      </c>
      <c r="AB251" s="7">
        <f>IF($AH251="","",IF(INDEX('Per Invoice'!AB$2:AB$401,$AH251)="","",INDEX('Per Invoice'!AB$2:AB$401,$AH251)))</f>
        <v/>
      </c>
      <c r="AC251" s="7">
        <f>IF($AH251="","",IF(INDEX('Per Invoice'!AC$2:AC$401,$AH251)="","",INDEX('Per Invoice'!AC$2:AC$401,$AH251)))</f>
        <v/>
      </c>
      <c r="AD251" s="7">
        <f>IF($AH251="","",IF(INDEX('Per Invoice'!AD$2:AD$401,$AH251)="","",INDEX('Per Invoice'!AD$2:AD$401,$AH251)))</f>
        <v/>
      </c>
      <c r="AE251" s="7">
        <f>IF($AH251="","",IF(INDEX('Per Invoice'!AE$2:AE$401,$AH251)="","",INDEX('Per Invoice'!AE$2:AE$401,$AH251)))</f>
        <v/>
      </c>
      <c r="AF251">
        <f>IF($AH251="","",IF(INDEX('Per Invoice'!AF$2:AF$401,$AH251)="","",INDEX('Per Invoice'!AF$2:AF$401,$AH251)))</f>
        <v/>
      </c>
      <c r="AG251" s="7">
        <f>IF($AH251="","",IF(INDEX('Per Invoice'!AG$2:AG$401,$AH251)="","",INDEX('Per Invoice'!AG$2:AG$401,$AH251)))</f>
        <v/>
      </c>
      <c r="AH251" s="16">
        <f>IFERROR(MATCH(Settings!$C$26&amp;"|"&amp;ROWS($AH$2:$AH251),'Per Invoice'!$AI$2:$AI$401,0),"")</f>
        <v/>
      </c>
    </row>
    <row r="252">
      <c r="A252">
        <f>IF($AH252="","",IF(INDEX('Per Invoice'!A$2:A$401,$AH252)="","",INDEX('Per Invoice'!A$2:A$401,$AH252)))</f>
        <v/>
      </c>
      <c r="B252">
        <f>IF($AH252="","",IF(INDEX('Per Invoice'!B$2:B$401,$AH252)="","",INDEX('Per Invoice'!B$2:B$401,$AH252)))</f>
        <v/>
      </c>
      <c r="C252">
        <f>IF($AH252="","",IF(INDEX('Per Invoice'!C$2:C$401,$AH252)="","",INDEX('Per Invoice'!C$2:C$401,$AH252)))</f>
        <v/>
      </c>
      <c r="D252">
        <f>IF($AH252="","",IF(INDEX('Per Invoice'!D$2:D$401,$AH252)="","",INDEX('Per Invoice'!D$2:D$401,$AH252)))</f>
        <v/>
      </c>
      <c r="E252">
        <f>IF($AH252="","",IF(INDEX('Per Invoice'!E$2:E$401,$AH252)="","",INDEX('Per Invoice'!E$2:E$401,$AH252)))</f>
        <v/>
      </c>
      <c r="F252">
        <f>IF($AH252="","",IF(INDEX('Per Invoice'!F$2:F$401,$AH252)="","",INDEX('Per Invoice'!F$2:F$401,$AH252)))</f>
        <v/>
      </c>
      <c r="G252">
        <f>IF($AH252="","",IF(INDEX('Per Invoice'!G$2:G$401,$AH252)="","",INDEX('Per Invoice'!G$2:G$401,$AH252)))</f>
        <v/>
      </c>
      <c r="H252">
        <f>IF($AH252="","",IF(INDEX('Per Invoice'!H$2:H$401,$AH252)="","",INDEX('Per Invoice'!H$2:H$401,$AH252)))</f>
        <v/>
      </c>
      <c r="I252" s="14">
        <f>IF($AH252="","",IF(INDEX('Per Invoice'!I$2:I$401,$AH252)="","",INDEX('Per Invoice'!I$2:I$401,$AH252)))</f>
        <v/>
      </c>
      <c r="J252">
        <f>IF($AH252="","",IF(INDEX('Per Invoice'!J$2:J$401,$AH252)="","",INDEX('Per Invoice'!J$2:J$401,$AH252)))</f>
        <v/>
      </c>
      <c r="K252">
        <f>IF($AH252="","",IF(INDEX('Per Invoice'!K$2:K$401,$AH252)="","",INDEX('Per Invoice'!K$2:K$401,$AH252)))</f>
        <v/>
      </c>
      <c r="L252">
        <f>IF($AH252="","",IF(INDEX('Per Invoice'!L$2:L$401,$AH252)="","",INDEX('Per Invoice'!L$2:L$401,$AH252)))</f>
        <v/>
      </c>
      <c r="M252">
        <f>IF($AH252="","",IF(INDEX('Per Invoice'!M$2:M$401,$AH252)="","",INDEX('Per Invoice'!M$2:M$401,$AH252)))</f>
        <v/>
      </c>
      <c r="N252">
        <f>IF($AH252="","",IF(INDEX('Per Invoice'!N$2:N$401,$AH252)="","",INDEX('Per Invoice'!N$2:N$401,$AH252)))</f>
        <v/>
      </c>
      <c r="O252">
        <f>IF($AH252="","",IF(INDEX('Per Invoice'!O$2:O$401,$AH252)="","",INDEX('Per Invoice'!O$2:O$401,$AH252)))</f>
        <v/>
      </c>
      <c r="P252" s="7">
        <f>IF($AH252="","",IF(INDEX('Per Invoice'!P$2:P$401,$AH252)="","",INDEX('Per Invoice'!P$2:P$401,$AH252)))</f>
        <v/>
      </c>
      <c r="Q252">
        <f>IF($AH252="","",IF(INDEX('Per Invoice'!Q$2:Q$401,$AH252)="","",INDEX('Per Invoice'!Q$2:Q$401,$AH252)))</f>
        <v/>
      </c>
      <c r="R252">
        <f>IF($AH252="","",IF(INDEX('Per Invoice'!R$2:R$401,$AH252)="","",INDEX('Per Invoice'!R$2:R$401,$AH252)))</f>
        <v/>
      </c>
      <c r="S252">
        <f>IF($AH252="","",IF(INDEX('Per Invoice'!S$2:S$401,$AH252)="","",INDEX('Per Invoice'!S$2:S$401,$AH252)))</f>
        <v/>
      </c>
      <c r="T252" s="7">
        <f>IF($AH252="","",IF(INDEX('Per Invoice'!T$2:T$401,$AH252)="","",INDEX('Per Invoice'!T$2:T$401,$AH252)))</f>
        <v/>
      </c>
      <c r="U252" s="7">
        <f>IF($AH252="","",IF(INDEX('Per Invoice'!U$2:U$401,$AH252)="","",INDEX('Per Invoice'!U$2:U$401,$AH252)))</f>
        <v/>
      </c>
      <c r="V252">
        <f>IF($AH252="","",IF(INDEX('Per Invoice'!V$2:V$401,$AH252)="","",INDEX('Per Invoice'!V$2:V$401,$AH252)))</f>
        <v/>
      </c>
      <c r="W252" s="7">
        <f>IF($AH252="","",IF(INDEX('Per Invoice'!W$2:W$401,$AH252)="","",INDEX('Per Invoice'!W$2:W$401,$AH252)))</f>
        <v/>
      </c>
      <c r="X252" s="7">
        <f>IF($AH252="","",IF(INDEX('Per Invoice'!X$2:X$401,$AH252)="","",INDEX('Per Invoice'!X$2:X$401,$AH252)))</f>
        <v/>
      </c>
      <c r="Y252">
        <f>IF($AH252="","",IF(INDEX('Per Invoice'!Y$2:Y$401,$AH252)="","",INDEX('Per Invoice'!Y$2:Y$401,$AH252)))</f>
        <v/>
      </c>
      <c r="Z252" s="7">
        <f>IF($AH252="","",IF(INDEX('Per Invoice'!Z$2:Z$401,$AH252)="","",INDEX('Per Invoice'!Z$2:Z$401,$AH252)))</f>
        <v/>
      </c>
      <c r="AA252" s="7">
        <f>IF($AH252="","",IF(INDEX('Per Invoice'!AA$2:AA$401,$AH252)="","",INDEX('Per Invoice'!AA$2:AA$401,$AH252)))</f>
        <v/>
      </c>
      <c r="AB252" s="7">
        <f>IF($AH252="","",IF(INDEX('Per Invoice'!AB$2:AB$401,$AH252)="","",INDEX('Per Invoice'!AB$2:AB$401,$AH252)))</f>
        <v/>
      </c>
      <c r="AC252" s="7">
        <f>IF($AH252="","",IF(INDEX('Per Invoice'!AC$2:AC$401,$AH252)="","",INDEX('Per Invoice'!AC$2:AC$401,$AH252)))</f>
        <v/>
      </c>
      <c r="AD252" s="7">
        <f>IF($AH252="","",IF(INDEX('Per Invoice'!AD$2:AD$401,$AH252)="","",INDEX('Per Invoice'!AD$2:AD$401,$AH252)))</f>
        <v/>
      </c>
      <c r="AE252" s="7">
        <f>IF($AH252="","",IF(INDEX('Per Invoice'!AE$2:AE$401,$AH252)="","",INDEX('Per Invoice'!AE$2:AE$401,$AH252)))</f>
        <v/>
      </c>
      <c r="AF252">
        <f>IF($AH252="","",IF(INDEX('Per Invoice'!AF$2:AF$401,$AH252)="","",INDEX('Per Invoice'!AF$2:AF$401,$AH252)))</f>
        <v/>
      </c>
      <c r="AG252" s="7">
        <f>IF($AH252="","",IF(INDEX('Per Invoice'!AG$2:AG$401,$AH252)="","",INDEX('Per Invoice'!AG$2:AG$401,$AH252)))</f>
        <v/>
      </c>
      <c r="AH252" s="16">
        <f>IFERROR(MATCH(Settings!$C$26&amp;"|"&amp;ROWS($AH$2:$AH252),'Per Invoice'!$AI$2:$AI$401,0),"")</f>
        <v/>
      </c>
    </row>
    <row r="253">
      <c r="A253">
        <f>IF($AH253="","",IF(INDEX('Per Invoice'!A$2:A$401,$AH253)="","",INDEX('Per Invoice'!A$2:A$401,$AH253)))</f>
        <v/>
      </c>
      <c r="B253">
        <f>IF($AH253="","",IF(INDEX('Per Invoice'!B$2:B$401,$AH253)="","",INDEX('Per Invoice'!B$2:B$401,$AH253)))</f>
        <v/>
      </c>
      <c r="C253">
        <f>IF($AH253="","",IF(INDEX('Per Invoice'!C$2:C$401,$AH253)="","",INDEX('Per Invoice'!C$2:C$401,$AH253)))</f>
        <v/>
      </c>
      <c r="D253">
        <f>IF($AH253="","",IF(INDEX('Per Invoice'!D$2:D$401,$AH253)="","",INDEX('Per Invoice'!D$2:D$401,$AH253)))</f>
        <v/>
      </c>
      <c r="E253">
        <f>IF($AH253="","",IF(INDEX('Per Invoice'!E$2:E$401,$AH253)="","",INDEX('Per Invoice'!E$2:E$401,$AH253)))</f>
        <v/>
      </c>
      <c r="F253">
        <f>IF($AH253="","",IF(INDEX('Per Invoice'!F$2:F$401,$AH253)="","",INDEX('Per Invoice'!F$2:F$401,$AH253)))</f>
        <v/>
      </c>
      <c r="G253">
        <f>IF($AH253="","",IF(INDEX('Per Invoice'!G$2:G$401,$AH253)="","",INDEX('Per Invoice'!G$2:G$401,$AH253)))</f>
        <v/>
      </c>
      <c r="H253">
        <f>IF($AH253="","",IF(INDEX('Per Invoice'!H$2:H$401,$AH253)="","",INDEX('Per Invoice'!H$2:H$401,$AH253)))</f>
        <v/>
      </c>
      <c r="I253" s="14">
        <f>IF($AH253="","",IF(INDEX('Per Invoice'!I$2:I$401,$AH253)="","",INDEX('Per Invoice'!I$2:I$401,$AH253)))</f>
        <v/>
      </c>
      <c r="J253">
        <f>IF($AH253="","",IF(INDEX('Per Invoice'!J$2:J$401,$AH253)="","",INDEX('Per Invoice'!J$2:J$401,$AH253)))</f>
        <v/>
      </c>
      <c r="K253">
        <f>IF($AH253="","",IF(INDEX('Per Invoice'!K$2:K$401,$AH253)="","",INDEX('Per Invoice'!K$2:K$401,$AH253)))</f>
        <v/>
      </c>
      <c r="L253">
        <f>IF($AH253="","",IF(INDEX('Per Invoice'!L$2:L$401,$AH253)="","",INDEX('Per Invoice'!L$2:L$401,$AH253)))</f>
        <v/>
      </c>
      <c r="M253">
        <f>IF($AH253="","",IF(INDEX('Per Invoice'!M$2:M$401,$AH253)="","",INDEX('Per Invoice'!M$2:M$401,$AH253)))</f>
        <v/>
      </c>
      <c r="N253">
        <f>IF($AH253="","",IF(INDEX('Per Invoice'!N$2:N$401,$AH253)="","",INDEX('Per Invoice'!N$2:N$401,$AH253)))</f>
        <v/>
      </c>
      <c r="O253">
        <f>IF($AH253="","",IF(INDEX('Per Invoice'!O$2:O$401,$AH253)="","",INDEX('Per Invoice'!O$2:O$401,$AH253)))</f>
        <v/>
      </c>
      <c r="P253" s="7">
        <f>IF($AH253="","",IF(INDEX('Per Invoice'!P$2:P$401,$AH253)="","",INDEX('Per Invoice'!P$2:P$401,$AH253)))</f>
        <v/>
      </c>
      <c r="Q253">
        <f>IF($AH253="","",IF(INDEX('Per Invoice'!Q$2:Q$401,$AH253)="","",INDEX('Per Invoice'!Q$2:Q$401,$AH253)))</f>
        <v/>
      </c>
      <c r="R253">
        <f>IF($AH253="","",IF(INDEX('Per Invoice'!R$2:R$401,$AH253)="","",INDEX('Per Invoice'!R$2:R$401,$AH253)))</f>
        <v/>
      </c>
      <c r="S253">
        <f>IF($AH253="","",IF(INDEX('Per Invoice'!S$2:S$401,$AH253)="","",INDEX('Per Invoice'!S$2:S$401,$AH253)))</f>
        <v/>
      </c>
      <c r="T253" s="7">
        <f>IF($AH253="","",IF(INDEX('Per Invoice'!T$2:T$401,$AH253)="","",INDEX('Per Invoice'!T$2:T$401,$AH253)))</f>
        <v/>
      </c>
      <c r="U253" s="7">
        <f>IF($AH253="","",IF(INDEX('Per Invoice'!U$2:U$401,$AH253)="","",INDEX('Per Invoice'!U$2:U$401,$AH253)))</f>
        <v/>
      </c>
      <c r="V253">
        <f>IF($AH253="","",IF(INDEX('Per Invoice'!V$2:V$401,$AH253)="","",INDEX('Per Invoice'!V$2:V$401,$AH253)))</f>
        <v/>
      </c>
      <c r="W253" s="7">
        <f>IF($AH253="","",IF(INDEX('Per Invoice'!W$2:W$401,$AH253)="","",INDEX('Per Invoice'!W$2:W$401,$AH253)))</f>
        <v/>
      </c>
      <c r="X253" s="7">
        <f>IF($AH253="","",IF(INDEX('Per Invoice'!X$2:X$401,$AH253)="","",INDEX('Per Invoice'!X$2:X$401,$AH253)))</f>
        <v/>
      </c>
      <c r="Y253">
        <f>IF($AH253="","",IF(INDEX('Per Invoice'!Y$2:Y$401,$AH253)="","",INDEX('Per Invoice'!Y$2:Y$401,$AH253)))</f>
        <v/>
      </c>
      <c r="Z253" s="7">
        <f>IF($AH253="","",IF(INDEX('Per Invoice'!Z$2:Z$401,$AH253)="","",INDEX('Per Invoice'!Z$2:Z$401,$AH253)))</f>
        <v/>
      </c>
      <c r="AA253" s="7">
        <f>IF($AH253="","",IF(INDEX('Per Invoice'!AA$2:AA$401,$AH253)="","",INDEX('Per Invoice'!AA$2:AA$401,$AH253)))</f>
        <v/>
      </c>
      <c r="AB253" s="7">
        <f>IF($AH253="","",IF(INDEX('Per Invoice'!AB$2:AB$401,$AH253)="","",INDEX('Per Invoice'!AB$2:AB$401,$AH253)))</f>
        <v/>
      </c>
      <c r="AC253" s="7">
        <f>IF($AH253="","",IF(INDEX('Per Invoice'!AC$2:AC$401,$AH253)="","",INDEX('Per Invoice'!AC$2:AC$401,$AH253)))</f>
        <v/>
      </c>
      <c r="AD253" s="7">
        <f>IF($AH253="","",IF(INDEX('Per Invoice'!AD$2:AD$401,$AH253)="","",INDEX('Per Invoice'!AD$2:AD$401,$AH253)))</f>
        <v/>
      </c>
      <c r="AE253" s="7">
        <f>IF($AH253="","",IF(INDEX('Per Invoice'!AE$2:AE$401,$AH253)="","",INDEX('Per Invoice'!AE$2:AE$401,$AH253)))</f>
        <v/>
      </c>
      <c r="AF253">
        <f>IF($AH253="","",IF(INDEX('Per Invoice'!AF$2:AF$401,$AH253)="","",INDEX('Per Invoice'!AF$2:AF$401,$AH253)))</f>
        <v/>
      </c>
      <c r="AG253" s="7">
        <f>IF($AH253="","",IF(INDEX('Per Invoice'!AG$2:AG$401,$AH253)="","",INDEX('Per Invoice'!AG$2:AG$401,$AH253)))</f>
        <v/>
      </c>
      <c r="AH253" s="16">
        <f>IFERROR(MATCH(Settings!$C$26&amp;"|"&amp;ROWS($AH$2:$AH253),'Per Invoice'!$AI$2:$AI$401,0),"")</f>
        <v/>
      </c>
    </row>
    <row r="254">
      <c r="A254">
        <f>IF($AH254="","",IF(INDEX('Per Invoice'!A$2:A$401,$AH254)="","",INDEX('Per Invoice'!A$2:A$401,$AH254)))</f>
        <v/>
      </c>
      <c r="B254">
        <f>IF($AH254="","",IF(INDEX('Per Invoice'!B$2:B$401,$AH254)="","",INDEX('Per Invoice'!B$2:B$401,$AH254)))</f>
        <v/>
      </c>
      <c r="C254">
        <f>IF($AH254="","",IF(INDEX('Per Invoice'!C$2:C$401,$AH254)="","",INDEX('Per Invoice'!C$2:C$401,$AH254)))</f>
        <v/>
      </c>
      <c r="D254">
        <f>IF($AH254="","",IF(INDEX('Per Invoice'!D$2:D$401,$AH254)="","",INDEX('Per Invoice'!D$2:D$401,$AH254)))</f>
        <v/>
      </c>
      <c r="E254">
        <f>IF($AH254="","",IF(INDEX('Per Invoice'!E$2:E$401,$AH254)="","",INDEX('Per Invoice'!E$2:E$401,$AH254)))</f>
        <v/>
      </c>
      <c r="F254">
        <f>IF($AH254="","",IF(INDEX('Per Invoice'!F$2:F$401,$AH254)="","",INDEX('Per Invoice'!F$2:F$401,$AH254)))</f>
        <v/>
      </c>
      <c r="G254">
        <f>IF($AH254="","",IF(INDEX('Per Invoice'!G$2:G$401,$AH254)="","",INDEX('Per Invoice'!G$2:G$401,$AH254)))</f>
        <v/>
      </c>
      <c r="H254">
        <f>IF($AH254="","",IF(INDEX('Per Invoice'!H$2:H$401,$AH254)="","",INDEX('Per Invoice'!H$2:H$401,$AH254)))</f>
        <v/>
      </c>
      <c r="I254" s="14">
        <f>IF($AH254="","",IF(INDEX('Per Invoice'!I$2:I$401,$AH254)="","",INDEX('Per Invoice'!I$2:I$401,$AH254)))</f>
        <v/>
      </c>
      <c r="J254">
        <f>IF($AH254="","",IF(INDEX('Per Invoice'!J$2:J$401,$AH254)="","",INDEX('Per Invoice'!J$2:J$401,$AH254)))</f>
        <v/>
      </c>
      <c r="K254">
        <f>IF($AH254="","",IF(INDEX('Per Invoice'!K$2:K$401,$AH254)="","",INDEX('Per Invoice'!K$2:K$401,$AH254)))</f>
        <v/>
      </c>
      <c r="L254">
        <f>IF($AH254="","",IF(INDEX('Per Invoice'!L$2:L$401,$AH254)="","",INDEX('Per Invoice'!L$2:L$401,$AH254)))</f>
        <v/>
      </c>
      <c r="M254">
        <f>IF($AH254="","",IF(INDEX('Per Invoice'!M$2:M$401,$AH254)="","",INDEX('Per Invoice'!M$2:M$401,$AH254)))</f>
        <v/>
      </c>
      <c r="N254">
        <f>IF($AH254="","",IF(INDEX('Per Invoice'!N$2:N$401,$AH254)="","",INDEX('Per Invoice'!N$2:N$401,$AH254)))</f>
        <v/>
      </c>
      <c r="O254">
        <f>IF($AH254="","",IF(INDEX('Per Invoice'!O$2:O$401,$AH254)="","",INDEX('Per Invoice'!O$2:O$401,$AH254)))</f>
        <v/>
      </c>
      <c r="P254" s="7">
        <f>IF($AH254="","",IF(INDEX('Per Invoice'!P$2:P$401,$AH254)="","",INDEX('Per Invoice'!P$2:P$401,$AH254)))</f>
        <v/>
      </c>
      <c r="Q254">
        <f>IF($AH254="","",IF(INDEX('Per Invoice'!Q$2:Q$401,$AH254)="","",INDEX('Per Invoice'!Q$2:Q$401,$AH254)))</f>
        <v/>
      </c>
      <c r="R254">
        <f>IF($AH254="","",IF(INDEX('Per Invoice'!R$2:R$401,$AH254)="","",INDEX('Per Invoice'!R$2:R$401,$AH254)))</f>
        <v/>
      </c>
      <c r="S254">
        <f>IF($AH254="","",IF(INDEX('Per Invoice'!S$2:S$401,$AH254)="","",INDEX('Per Invoice'!S$2:S$401,$AH254)))</f>
        <v/>
      </c>
      <c r="T254" s="7">
        <f>IF($AH254="","",IF(INDEX('Per Invoice'!T$2:T$401,$AH254)="","",INDEX('Per Invoice'!T$2:T$401,$AH254)))</f>
        <v/>
      </c>
      <c r="U254" s="7">
        <f>IF($AH254="","",IF(INDEX('Per Invoice'!U$2:U$401,$AH254)="","",INDEX('Per Invoice'!U$2:U$401,$AH254)))</f>
        <v/>
      </c>
      <c r="V254">
        <f>IF($AH254="","",IF(INDEX('Per Invoice'!V$2:V$401,$AH254)="","",INDEX('Per Invoice'!V$2:V$401,$AH254)))</f>
        <v/>
      </c>
      <c r="W254" s="7">
        <f>IF($AH254="","",IF(INDEX('Per Invoice'!W$2:W$401,$AH254)="","",INDEX('Per Invoice'!W$2:W$401,$AH254)))</f>
        <v/>
      </c>
      <c r="X254" s="7">
        <f>IF($AH254="","",IF(INDEX('Per Invoice'!X$2:X$401,$AH254)="","",INDEX('Per Invoice'!X$2:X$401,$AH254)))</f>
        <v/>
      </c>
      <c r="Y254">
        <f>IF($AH254="","",IF(INDEX('Per Invoice'!Y$2:Y$401,$AH254)="","",INDEX('Per Invoice'!Y$2:Y$401,$AH254)))</f>
        <v/>
      </c>
      <c r="Z254" s="7">
        <f>IF($AH254="","",IF(INDEX('Per Invoice'!Z$2:Z$401,$AH254)="","",INDEX('Per Invoice'!Z$2:Z$401,$AH254)))</f>
        <v/>
      </c>
      <c r="AA254" s="7">
        <f>IF($AH254="","",IF(INDEX('Per Invoice'!AA$2:AA$401,$AH254)="","",INDEX('Per Invoice'!AA$2:AA$401,$AH254)))</f>
        <v/>
      </c>
      <c r="AB254" s="7">
        <f>IF($AH254="","",IF(INDEX('Per Invoice'!AB$2:AB$401,$AH254)="","",INDEX('Per Invoice'!AB$2:AB$401,$AH254)))</f>
        <v/>
      </c>
      <c r="AC254" s="7">
        <f>IF($AH254="","",IF(INDEX('Per Invoice'!AC$2:AC$401,$AH254)="","",INDEX('Per Invoice'!AC$2:AC$401,$AH254)))</f>
        <v/>
      </c>
      <c r="AD254" s="7">
        <f>IF($AH254="","",IF(INDEX('Per Invoice'!AD$2:AD$401,$AH254)="","",INDEX('Per Invoice'!AD$2:AD$401,$AH254)))</f>
        <v/>
      </c>
      <c r="AE254" s="7">
        <f>IF($AH254="","",IF(INDEX('Per Invoice'!AE$2:AE$401,$AH254)="","",INDEX('Per Invoice'!AE$2:AE$401,$AH254)))</f>
        <v/>
      </c>
      <c r="AF254">
        <f>IF($AH254="","",IF(INDEX('Per Invoice'!AF$2:AF$401,$AH254)="","",INDEX('Per Invoice'!AF$2:AF$401,$AH254)))</f>
        <v/>
      </c>
      <c r="AG254" s="7">
        <f>IF($AH254="","",IF(INDEX('Per Invoice'!AG$2:AG$401,$AH254)="","",INDEX('Per Invoice'!AG$2:AG$401,$AH254)))</f>
        <v/>
      </c>
      <c r="AH254" s="16">
        <f>IFERROR(MATCH(Settings!$C$26&amp;"|"&amp;ROWS($AH$2:$AH254),'Per Invoice'!$AI$2:$AI$401,0),"")</f>
        <v/>
      </c>
    </row>
    <row r="255">
      <c r="A255">
        <f>IF($AH255="","",IF(INDEX('Per Invoice'!A$2:A$401,$AH255)="","",INDEX('Per Invoice'!A$2:A$401,$AH255)))</f>
        <v/>
      </c>
      <c r="B255">
        <f>IF($AH255="","",IF(INDEX('Per Invoice'!B$2:B$401,$AH255)="","",INDEX('Per Invoice'!B$2:B$401,$AH255)))</f>
        <v/>
      </c>
      <c r="C255">
        <f>IF($AH255="","",IF(INDEX('Per Invoice'!C$2:C$401,$AH255)="","",INDEX('Per Invoice'!C$2:C$401,$AH255)))</f>
        <v/>
      </c>
      <c r="D255">
        <f>IF($AH255="","",IF(INDEX('Per Invoice'!D$2:D$401,$AH255)="","",INDEX('Per Invoice'!D$2:D$401,$AH255)))</f>
        <v/>
      </c>
      <c r="E255">
        <f>IF($AH255="","",IF(INDEX('Per Invoice'!E$2:E$401,$AH255)="","",INDEX('Per Invoice'!E$2:E$401,$AH255)))</f>
        <v/>
      </c>
      <c r="F255">
        <f>IF($AH255="","",IF(INDEX('Per Invoice'!F$2:F$401,$AH255)="","",INDEX('Per Invoice'!F$2:F$401,$AH255)))</f>
        <v/>
      </c>
      <c r="G255">
        <f>IF($AH255="","",IF(INDEX('Per Invoice'!G$2:G$401,$AH255)="","",INDEX('Per Invoice'!G$2:G$401,$AH255)))</f>
        <v/>
      </c>
      <c r="H255">
        <f>IF($AH255="","",IF(INDEX('Per Invoice'!H$2:H$401,$AH255)="","",INDEX('Per Invoice'!H$2:H$401,$AH255)))</f>
        <v/>
      </c>
      <c r="I255" s="14">
        <f>IF($AH255="","",IF(INDEX('Per Invoice'!I$2:I$401,$AH255)="","",INDEX('Per Invoice'!I$2:I$401,$AH255)))</f>
        <v/>
      </c>
      <c r="J255">
        <f>IF($AH255="","",IF(INDEX('Per Invoice'!J$2:J$401,$AH255)="","",INDEX('Per Invoice'!J$2:J$401,$AH255)))</f>
        <v/>
      </c>
      <c r="K255">
        <f>IF($AH255="","",IF(INDEX('Per Invoice'!K$2:K$401,$AH255)="","",INDEX('Per Invoice'!K$2:K$401,$AH255)))</f>
        <v/>
      </c>
      <c r="L255">
        <f>IF($AH255="","",IF(INDEX('Per Invoice'!L$2:L$401,$AH255)="","",INDEX('Per Invoice'!L$2:L$401,$AH255)))</f>
        <v/>
      </c>
      <c r="M255">
        <f>IF($AH255="","",IF(INDEX('Per Invoice'!M$2:M$401,$AH255)="","",INDEX('Per Invoice'!M$2:M$401,$AH255)))</f>
        <v/>
      </c>
      <c r="N255">
        <f>IF($AH255="","",IF(INDEX('Per Invoice'!N$2:N$401,$AH255)="","",INDEX('Per Invoice'!N$2:N$401,$AH255)))</f>
        <v/>
      </c>
      <c r="O255">
        <f>IF($AH255="","",IF(INDEX('Per Invoice'!O$2:O$401,$AH255)="","",INDEX('Per Invoice'!O$2:O$401,$AH255)))</f>
        <v/>
      </c>
      <c r="P255" s="7">
        <f>IF($AH255="","",IF(INDEX('Per Invoice'!P$2:P$401,$AH255)="","",INDEX('Per Invoice'!P$2:P$401,$AH255)))</f>
        <v/>
      </c>
      <c r="Q255">
        <f>IF($AH255="","",IF(INDEX('Per Invoice'!Q$2:Q$401,$AH255)="","",INDEX('Per Invoice'!Q$2:Q$401,$AH255)))</f>
        <v/>
      </c>
      <c r="R255">
        <f>IF($AH255="","",IF(INDEX('Per Invoice'!R$2:R$401,$AH255)="","",INDEX('Per Invoice'!R$2:R$401,$AH255)))</f>
        <v/>
      </c>
      <c r="S255">
        <f>IF($AH255="","",IF(INDEX('Per Invoice'!S$2:S$401,$AH255)="","",INDEX('Per Invoice'!S$2:S$401,$AH255)))</f>
        <v/>
      </c>
      <c r="T255" s="7">
        <f>IF($AH255="","",IF(INDEX('Per Invoice'!T$2:T$401,$AH255)="","",INDEX('Per Invoice'!T$2:T$401,$AH255)))</f>
        <v/>
      </c>
      <c r="U255" s="7">
        <f>IF($AH255="","",IF(INDEX('Per Invoice'!U$2:U$401,$AH255)="","",INDEX('Per Invoice'!U$2:U$401,$AH255)))</f>
        <v/>
      </c>
      <c r="V255">
        <f>IF($AH255="","",IF(INDEX('Per Invoice'!V$2:V$401,$AH255)="","",INDEX('Per Invoice'!V$2:V$401,$AH255)))</f>
        <v/>
      </c>
      <c r="W255" s="7">
        <f>IF($AH255="","",IF(INDEX('Per Invoice'!W$2:W$401,$AH255)="","",INDEX('Per Invoice'!W$2:W$401,$AH255)))</f>
        <v/>
      </c>
      <c r="X255" s="7">
        <f>IF($AH255="","",IF(INDEX('Per Invoice'!X$2:X$401,$AH255)="","",INDEX('Per Invoice'!X$2:X$401,$AH255)))</f>
        <v/>
      </c>
      <c r="Y255">
        <f>IF($AH255="","",IF(INDEX('Per Invoice'!Y$2:Y$401,$AH255)="","",INDEX('Per Invoice'!Y$2:Y$401,$AH255)))</f>
        <v/>
      </c>
      <c r="Z255" s="7">
        <f>IF($AH255="","",IF(INDEX('Per Invoice'!Z$2:Z$401,$AH255)="","",INDEX('Per Invoice'!Z$2:Z$401,$AH255)))</f>
        <v/>
      </c>
      <c r="AA255" s="7">
        <f>IF($AH255="","",IF(INDEX('Per Invoice'!AA$2:AA$401,$AH255)="","",INDEX('Per Invoice'!AA$2:AA$401,$AH255)))</f>
        <v/>
      </c>
      <c r="AB255" s="7">
        <f>IF($AH255="","",IF(INDEX('Per Invoice'!AB$2:AB$401,$AH255)="","",INDEX('Per Invoice'!AB$2:AB$401,$AH255)))</f>
        <v/>
      </c>
      <c r="AC255" s="7">
        <f>IF($AH255="","",IF(INDEX('Per Invoice'!AC$2:AC$401,$AH255)="","",INDEX('Per Invoice'!AC$2:AC$401,$AH255)))</f>
        <v/>
      </c>
      <c r="AD255" s="7">
        <f>IF($AH255="","",IF(INDEX('Per Invoice'!AD$2:AD$401,$AH255)="","",INDEX('Per Invoice'!AD$2:AD$401,$AH255)))</f>
        <v/>
      </c>
      <c r="AE255" s="7">
        <f>IF($AH255="","",IF(INDEX('Per Invoice'!AE$2:AE$401,$AH255)="","",INDEX('Per Invoice'!AE$2:AE$401,$AH255)))</f>
        <v/>
      </c>
      <c r="AF255">
        <f>IF($AH255="","",IF(INDEX('Per Invoice'!AF$2:AF$401,$AH255)="","",INDEX('Per Invoice'!AF$2:AF$401,$AH255)))</f>
        <v/>
      </c>
      <c r="AG255" s="7">
        <f>IF($AH255="","",IF(INDEX('Per Invoice'!AG$2:AG$401,$AH255)="","",INDEX('Per Invoice'!AG$2:AG$401,$AH255)))</f>
        <v/>
      </c>
      <c r="AH255" s="16">
        <f>IFERROR(MATCH(Settings!$C$26&amp;"|"&amp;ROWS($AH$2:$AH255),'Per Invoice'!$AI$2:$AI$401,0),"")</f>
        <v/>
      </c>
    </row>
    <row r="256">
      <c r="A256">
        <f>IF($AH256="","",IF(INDEX('Per Invoice'!A$2:A$401,$AH256)="","",INDEX('Per Invoice'!A$2:A$401,$AH256)))</f>
        <v/>
      </c>
      <c r="B256">
        <f>IF($AH256="","",IF(INDEX('Per Invoice'!B$2:B$401,$AH256)="","",INDEX('Per Invoice'!B$2:B$401,$AH256)))</f>
        <v/>
      </c>
      <c r="C256">
        <f>IF($AH256="","",IF(INDEX('Per Invoice'!C$2:C$401,$AH256)="","",INDEX('Per Invoice'!C$2:C$401,$AH256)))</f>
        <v/>
      </c>
      <c r="D256">
        <f>IF($AH256="","",IF(INDEX('Per Invoice'!D$2:D$401,$AH256)="","",INDEX('Per Invoice'!D$2:D$401,$AH256)))</f>
        <v/>
      </c>
      <c r="E256">
        <f>IF($AH256="","",IF(INDEX('Per Invoice'!E$2:E$401,$AH256)="","",INDEX('Per Invoice'!E$2:E$401,$AH256)))</f>
        <v/>
      </c>
      <c r="F256">
        <f>IF($AH256="","",IF(INDEX('Per Invoice'!F$2:F$401,$AH256)="","",INDEX('Per Invoice'!F$2:F$401,$AH256)))</f>
        <v/>
      </c>
      <c r="G256">
        <f>IF($AH256="","",IF(INDEX('Per Invoice'!G$2:G$401,$AH256)="","",INDEX('Per Invoice'!G$2:G$401,$AH256)))</f>
        <v/>
      </c>
      <c r="H256">
        <f>IF($AH256="","",IF(INDEX('Per Invoice'!H$2:H$401,$AH256)="","",INDEX('Per Invoice'!H$2:H$401,$AH256)))</f>
        <v/>
      </c>
      <c r="I256" s="14">
        <f>IF($AH256="","",IF(INDEX('Per Invoice'!I$2:I$401,$AH256)="","",INDEX('Per Invoice'!I$2:I$401,$AH256)))</f>
        <v/>
      </c>
      <c r="J256">
        <f>IF($AH256="","",IF(INDEX('Per Invoice'!J$2:J$401,$AH256)="","",INDEX('Per Invoice'!J$2:J$401,$AH256)))</f>
        <v/>
      </c>
      <c r="K256">
        <f>IF($AH256="","",IF(INDEX('Per Invoice'!K$2:K$401,$AH256)="","",INDEX('Per Invoice'!K$2:K$401,$AH256)))</f>
        <v/>
      </c>
      <c r="L256">
        <f>IF($AH256="","",IF(INDEX('Per Invoice'!L$2:L$401,$AH256)="","",INDEX('Per Invoice'!L$2:L$401,$AH256)))</f>
        <v/>
      </c>
      <c r="M256">
        <f>IF($AH256="","",IF(INDEX('Per Invoice'!M$2:M$401,$AH256)="","",INDEX('Per Invoice'!M$2:M$401,$AH256)))</f>
        <v/>
      </c>
      <c r="N256">
        <f>IF($AH256="","",IF(INDEX('Per Invoice'!N$2:N$401,$AH256)="","",INDEX('Per Invoice'!N$2:N$401,$AH256)))</f>
        <v/>
      </c>
      <c r="O256">
        <f>IF($AH256="","",IF(INDEX('Per Invoice'!O$2:O$401,$AH256)="","",INDEX('Per Invoice'!O$2:O$401,$AH256)))</f>
        <v/>
      </c>
      <c r="P256" s="7">
        <f>IF($AH256="","",IF(INDEX('Per Invoice'!P$2:P$401,$AH256)="","",INDEX('Per Invoice'!P$2:P$401,$AH256)))</f>
        <v/>
      </c>
      <c r="Q256">
        <f>IF($AH256="","",IF(INDEX('Per Invoice'!Q$2:Q$401,$AH256)="","",INDEX('Per Invoice'!Q$2:Q$401,$AH256)))</f>
        <v/>
      </c>
      <c r="R256">
        <f>IF($AH256="","",IF(INDEX('Per Invoice'!R$2:R$401,$AH256)="","",INDEX('Per Invoice'!R$2:R$401,$AH256)))</f>
        <v/>
      </c>
      <c r="S256">
        <f>IF($AH256="","",IF(INDEX('Per Invoice'!S$2:S$401,$AH256)="","",INDEX('Per Invoice'!S$2:S$401,$AH256)))</f>
        <v/>
      </c>
      <c r="T256" s="7">
        <f>IF($AH256="","",IF(INDEX('Per Invoice'!T$2:T$401,$AH256)="","",INDEX('Per Invoice'!T$2:T$401,$AH256)))</f>
        <v/>
      </c>
      <c r="U256" s="7">
        <f>IF($AH256="","",IF(INDEX('Per Invoice'!U$2:U$401,$AH256)="","",INDEX('Per Invoice'!U$2:U$401,$AH256)))</f>
        <v/>
      </c>
      <c r="V256">
        <f>IF($AH256="","",IF(INDEX('Per Invoice'!V$2:V$401,$AH256)="","",INDEX('Per Invoice'!V$2:V$401,$AH256)))</f>
        <v/>
      </c>
      <c r="W256" s="7">
        <f>IF($AH256="","",IF(INDEX('Per Invoice'!W$2:W$401,$AH256)="","",INDEX('Per Invoice'!W$2:W$401,$AH256)))</f>
        <v/>
      </c>
      <c r="X256" s="7">
        <f>IF($AH256="","",IF(INDEX('Per Invoice'!X$2:X$401,$AH256)="","",INDEX('Per Invoice'!X$2:X$401,$AH256)))</f>
        <v/>
      </c>
      <c r="Y256">
        <f>IF($AH256="","",IF(INDEX('Per Invoice'!Y$2:Y$401,$AH256)="","",INDEX('Per Invoice'!Y$2:Y$401,$AH256)))</f>
        <v/>
      </c>
      <c r="Z256" s="7">
        <f>IF($AH256="","",IF(INDEX('Per Invoice'!Z$2:Z$401,$AH256)="","",INDEX('Per Invoice'!Z$2:Z$401,$AH256)))</f>
        <v/>
      </c>
      <c r="AA256" s="7">
        <f>IF($AH256="","",IF(INDEX('Per Invoice'!AA$2:AA$401,$AH256)="","",INDEX('Per Invoice'!AA$2:AA$401,$AH256)))</f>
        <v/>
      </c>
      <c r="AB256" s="7">
        <f>IF($AH256="","",IF(INDEX('Per Invoice'!AB$2:AB$401,$AH256)="","",INDEX('Per Invoice'!AB$2:AB$401,$AH256)))</f>
        <v/>
      </c>
      <c r="AC256" s="7">
        <f>IF($AH256="","",IF(INDEX('Per Invoice'!AC$2:AC$401,$AH256)="","",INDEX('Per Invoice'!AC$2:AC$401,$AH256)))</f>
        <v/>
      </c>
      <c r="AD256" s="7">
        <f>IF($AH256="","",IF(INDEX('Per Invoice'!AD$2:AD$401,$AH256)="","",INDEX('Per Invoice'!AD$2:AD$401,$AH256)))</f>
        <v/>
      </c>
      <c r="AE256" s="7">
        <f>IF($AH256="","",IF(INDEX('Per Invoice'!AE$2:AE$401,$AH256)="","",INDEX('Per Invoice'!AE$2:AE$401,$AH256)))</f>
        <v/>
      </c>
      <c r="AF256">
        <f>IF($AH256="","",IF(INDEX('Per Invoice'!AF$2:AF$401,$AH256)="","",INDEX('Per Invoice'!AF$2:AF$401,$AH256)))</f>
        <v/>
      </c>
      <c r="AG256" s="7">
        <f>IF($AH256="","",IF(INDEX('Per Invoice'!AG$2:AG$401,$AH256)="","",INDEX('Per Invoice'!AG$2:AG$401,$AH256)))</f>
        <v/>
      </c>
      <c r="AH256" s="16">
        <f>IFERROR(MATCH(Settings!$C$26&amp;"|"&amp;ROWS($AH$2:$AH256),'Per Invoice'!$AI$2:$AI$401,0),"")</f>
        <v/>
      </c>
    </row>
    <row r="257">
      <c r="A257">
        <f>IF($AH257="","",IF(INDEX('Per Invoice'!A$2:A$401,$AH257)="","",INDEX('Per Invoice'!A$2:A$401,$AH257)))</f>
        <v/>
      </c>
      <c r="B257">
        <f>IF($AH257="","",IF(INDEX('Per Invoice'!B$2:B$401,$AH257)="","",INDEX('Per Invoice'!B$2:B$401,$AH257)))</f>
        <v/>
      </c>
      <c r="C257">
        <f>IF($AH257="","",IF(INDEX('Per Invoice'!C$2:C$401,$AH257)="","",INDEX('Per Invoice'!C$2:C$401,$AH257)))</f>
        <v/>
      </c>
      <c r="D257">
        <f>IF($AH257="","",IF(INDEX('Per Invoice'!D$2:D$401,$AH257)="","",INDEX('Per Invoice'!D$2:D$401,$AH257)))</f>
        <v/>
      </c>
      <c r="E257">
        <f>IF($AH257="","",IF(INDEX('Per Invoice'!E$2:E$401,$AH257)="","",INDEX('Per Invoice'!E$2:E$401,$AH257)))</f>
        <v/>
      </c>
      <c r="F257">
        <f>IF($AH257="","",IF(INDEX('Per Invoice'!F$2:F$401,$AH257)="","",INDEX('Per Invoice'!F$2:F$401,$AH257)))</f>
        <v/>
      </c>
      <c r="G257">
        <f>IF($AH257="","",IF(INDEX('Per Invoice'!G$2:G$401,$AH257)="","",INDEX('Per Invoice'!G$2:G$401,$AH257)))</f>
        <v/>
      </c>
      <c r="H257">
        <f>IF($AH257="","",IF(INDEX('Per Invoice'!H$2:H$401,$AH257)="","",INDEX('Per Invoice'!H$2:H$401,$AH257)))</f>
        <v/>
      </c>
      <c r="I257" s="14">
        <f>IF($AH257="","",IF(INDEX('Per Invoice'!I$2:I$401,$AH257)="","",INDEX('Per Invoice'!I$2:I$401,$AH257)))</f>
        <v/>
      </c>
      <c r="J257">
        <f>IF($AH257="","",IF(INDEX('Per Invoice'!J$2:J$401,$AH257)="","",INDEX('Per Invoice'!J$2:J$401,$AH257)))</f>
        <v/>
      </c>
      <c r="K257">
        <f>IF($AH257="","",IF(INDEX('Per Invoice'!K$2:K$401,$AH257)="","",INDEX('Per Invoice'!K$2:K$401,$AH257)))</f>
        <v/>
      </c>
      <c r="L257">
        <f>IF($AH257="","",IF(INDEX('Per Invoice'!L$2:L$401,$AH257)="","",INDEX('Per Invoice'!L$2:L$401,$AH257)))</f>
        <v/>
      </c>
      <c r="M257">
        <f>IF($AH257="","",IF(INDEX('Per Invoice'!M$2:M$401,$AH257)="","",INDEX('Per Invoice'!M$2:M$401,$AH257)))</f>
        <v/>
      </c>
      <c r="N257">
        <f>IF($AH257="","",IF(INDEX('Per Invoice'!N$2:N$401,$AH257)="","",INDEX('Per Invoice'!N$2:N$401,$AH257)))</f>
        <v/>
      </c>
      <c r="O257">
        <f>IF($AH257="","",IF(INDEX('Per Invoice'!O$2:O$401,$AH257)="","",INDEX('Per Invoice'!O$2:O$401,$AH257)))</f>
        <v/>
      </c>
      <c r="P257" s="7">
        <f>IF($AH257="","",IF(INDEX('Per Invoice'!P$2:P$401,$AH257)="","",INDEX('Per Invoice'!P$2:P$401,$AH257)))</f>
        <v/>
      </c>
      <c r="Q257">
        <f>IF($AH257="","",IF(INDEX('Per Invoice'!Q$2:Q$401,$AH257)="","",INDEX('Per Invoice'!Q$2:Q$401,$AH257)))</f>
        <v/>
      </c>
      <c r="R257">
        <f>IF($AH257="","",IF(INDEX('Per Invoice'!R$2:R$401,$AH257)="","",INDEX('Per Invoice'!R$2:R$401,$AH257)))</f>
        <v/>
      </c>
      <c r="S257">
        <f>IF($AH257="","",IF(INDEX('Per Invoice'!S$2:S$401,$AH257)="","",INDEX('Per Invoice'!S$2:S$401,$AH257)))</f>
        <v/>
      </c>
      <c r="T257" s="7">
        <f>IF($AH257="","",IF(INDEX('Per Invoice'!T$2:T$401,$AH257)="","",INDEX('Per Invoice'!T$2:T$401,$AH257)))</f>
        <v/>
      </c>
      <c r="U257" s="7">
        <f>IF($AH257="","",IF(INDEX('Per Invoice'!U$2:U$401,$AH257)="","",INDEX('Per Invoice'!U$2:U$401,$AH257)))</f>
        <v/>
      </c>
      <c r="V257">
        <f>IF($AH257="","",IF(INDEX('Per Invoice'!V$2:V$401,$AH257)="","",INDEX('Per Invoice'!V$2:V$401,$AH257)))</f>
        <v/>
      </c>
      <c r="W257" s="7">
        <f>IF($AH257="","",IF(INDEX('Per Invoice'!W$2:W$401,$AH257)="","",INDEX('Per Invoice'!W$2:W$401,$AH257)))</f>
        <v/>
      </c>
      <c r="X257" s="7">
        <f>IF($AH257="","",IF(INDEX('Per Invoice'!X$2:X$401,$AH257)="","",INDEX('Per Invoice'!X$2:X$401,$AH257)))</f>
        <v/>
      </c>
      <c r="Y257">
        <f>IF($AH257="","",IF(INDEX('Per Invoice'!Y$2:Y$401,$AH257)="","",INDEX('Per Invoice'!Y$2:Y$401,$AH257)))</f>
        <v/>
      </c>
      <c r="Z257" s="7">
        <f>IF($AH257="","",IF(INDEX('Per Invoice'!Z$2:Z$401,$AH257)="","",INDEX('Per Invoice'!Z$2:Z$401,$AH257)))</f>
        <v/>
      </c>
      <c r="AA257" s="7">
        <f>IF($AH257="","",IF(INDEX('Per Invoice'!AA$2:AA$401,$AH257)="","",INDEX('Per Invoice'!AA$2:AA$401,$AH257)))</f>
        <v/>
      </c>
      <c r="AB257" s="7">
        <f>IF($AH257="","",IF(INDEX('Per Invoice'!AB$2:AB$401,$AH257)="","",INDEX('Per Invoice'!AB$2:AB$401,$AH257)))</f>
        <v/>
      </c>
      <c r="AC257" s="7">
        <f>IF($AH257="","",IF(INDEX('Per Invoice'!AC$2:AC$401,$AH257)="","",INDEX('Per Invoice'!AC$2:AC$401,$AH257)))</f>
        <v/>
      </c>
      <c r="AD257" s="7">
        <f>IF($AH257="","",IF(INDEX('Per Invoice'!AD$2:AD$401,$AH257)="","",INDEX('Per Invoice'!AD$2:AD$401,$AH257)))</f>
        <v/>
      </c>
      <c r="AE257" s="7">
        <f>IF($AH257="","",IF(INDEX('Per Invoice'!AE$2:AE$401,$AH257)="","",INDEX('Per Invoice'!AE$2:AE$401,$AH257)))</f>
        <v/>
      </c>
      <c r="AF257">
        <f>IF($AH257="","",IF(INDEX('Per Invoice'!AF$2:AF$401,$AH257)="","",INDEX('Per Invoice'!AF$2:AF$401,$AH257)))</f>
        <v/>
      </c>
      <c r="AG257" s="7">
        <f>IF($AH257="","",IF(INDEX('Per Invoice'!AG$2:AG$401,$AH257)="","",INDEX('Per Invoice'!AG$2:AG$401,$AH257)))</f>
        <v/>
      </c>
      <c r="AH257" s="16">
        <f>IFERROR(MATCH(Settings!$C$26&amp;"|"&amp;ROWS($AH$2:$AH257),'Per Invoice'!$AI$2:$AI$401,0),"")</f>
        <v/>
      </c>
    </row>
    <row r="258">
      <c r="A258">
        <f>IF($AH258="","",IF(INDEX('Per Invoice'!A$2:A$401,$AH258)="","",INDEX('Per Invoice'!A$2:A$401,$AH258)))</f>
        <v/>
      </c>
      <c r="B258">
        <f>IF($AH258="","",IF(INDEX('Per Invoice'!B$2:B$401,$AH258)="","",INDEX('Per Invoice'!B$2:B$401,$AH258)))</f>
        <v/>
      </c>
      <c r="C258">
        <f>IF($AH258="","",IF(INDEX('Per Invoice'!C$2:C$401,$AH258)="","",INDEX('Per Invoice'!C$2:C$401,$AH258)))</f>
        <v/>
      </c>
      <c r="D258">
        <f>IF($AH258="","",IF(INDEX('Per Invoice'!D$2:D$401,$AH258)="","",INDEX('Per Invoice'!D$2:D$401,$AH258)))</f>
        <v/>
      </c>
      <c r="E258">
        <f>IF($AH258="","",IF(INDEX('Per Invoice'!E$2:E$401,$AH258)="","",INDEX('Per Invoice'!E$2:E$401,$AH258)))</f>
        <v/>
      </c>
      <c r="F258">
        <f>IF($AH258="","",IF(INDEX('Per Invoice'!F$2:F$401,$AH258)="","",INDEX('Per Invoice'!F$2:F$401,$AH258)))</f>
        <v/>
      </c>
      <c r="G258">
        <f>IF($AH258="","",IF(INDEX('Per Invoice'!G$2:G$401,$AH258)="","",INDEX('Per Invoice'!G$2:G$401,$AH258)))</f>
        <v/>
      </c>
      <c r="H258">
        <f>IF($AH258="","",IF(INDEX('Per Invoice'!H$2:H$401,$AH258)="","",INDEX('Per Invoice'!H$2:H$401,$AH258)))</f>
        <v/>
      </c>
      <c r="I258" s="14">
        <f>IF($AH258="","",IF(INDEX('Per Invoice'!I$2:I$401,$AH258)="","",INDEX('Per Invoice'!I$2:I$401,$AH258)))</f>
        <v/>
      </c>
      <c r="J258">
        <f>IF($AH258="","",IF(INDEX('Per Invoice'!J$2:J$401,$AH258)="","",INDEX('Per Invoice'!J$2:J$401,$AH258)))</f>
        <v/>
      </c>
      <c r="K258">
        <f>IF($AH258="","",IF(INDEX('Per Invoice'!K$2:K$401,$AH258)="","",INDEX('Per Invoice'!K$2:K$401,$AH258)))</f>
        <v/>
      </c>
      <c r="L258">
        <f>IF($AH258="","",IF(INDEX('Per Invoice'!L$2:L$401,$AH258)="","",INDEX('Per Invoice'!L$2:L$401,$AH258)))</f>
        <v/>
      </c>
      <c r="M258">
        <f>IF($AH258="","",IF(INDEX('Per Invoice'!M$2:M$401,$AH258)="","",INDEX('Per Invoice'!M$2:M$401,$AH258)))</f>
        <v/>
      </c>
      <c r="N258">
        <f>IF($AH258="","",IF(INDEX('Per Invoice'!N$2:N$401,$AH258)="","",INDEX('Per Invoice'!N$2:N$401,$AH258)))</f>
        <v/>
      </c>
      <c r="O258">
        <f>IF($AH258="","",IF(INDEX('Per Invoice'!O$2:O$401,$AH258)="","",INDEX('Per Invoice'!O$2:O$401,$AH258)))</f>
        <v/>
      </c>
      <c r="P258" s="7">
        <f>IF($AH258="","",IF(INDEX('Per Invoice'!P$2:P$401,$AH258)="","",INDEX('Per Invoice'!P$2:P$401,$AH258)))</f>
        <v/>
      </c>
      <c r="Q258">
        <f>IF($AH258="","",IF(INDEX('Per Invoice'!Q$2:Q$401,$AH258)="","",INDEX('Per Invoice'!Q$2:Q$401,$AH258)))</f>
        <v/>
      </c>
      <c r="R258">
        <f>IF($AH258="","",IF(INDEX('Per Invoice'!R$2:R$401,$AH258)="","",INDEX('Per Invoice'!R$2:R$401,$AH258)))</f>
        <v/>
      </c>
      <c r="S258">
        <f>IF($AH258="","",IF(INDEX('Per Invoice'!S$2:S$401,$AH258)="","",INDEX('Per Invoice'!S$2:S$401,$AH258)))</f>
        <v/>
      </c>
      <c r="T258" s="7">
        <f>IF($AH258="","",IF(INDEX('Per Invoice'!T$2:T$401,$AH258)="","",INDEX('Per Invoice'!T$2:T$401,$AH258)))</f>
        <v/>
      </c>
      <c r="U258" s="7">
        <f>IF($AH258="","",IF(INDEX('Per Invoice'!U$2:U$401,$AH258)="","",INDEX('Per Invoice'!U$2:U$401,$AH258)))</f>
        <v/>
      </c>
      <c r="V258">
        <f>IF($AH258="","",IF(INDEX('Per Invoice'!V$2:V$401,$AH258)="","",INDEX('Per Invoice'!V$2:V$401,$AH258)))</f>
        <v/>
      </c>
      <c r="W258" s="7">
        <f>IF($AH258="","",IF(INDEX('Per Invoice'!W$2:W$401,$AH258)="","",INDEX('Per Invoice'!W$2:W$401,$AH258)))</f>
        <v/>
      </c>
      <c r="X258" s="7">
        <f>IF($AH258="","",IF(INDEX('Per Invoice'!X$2:X$401,$AH258)="","",INDEX('Per Invoice'!X$2:X$401,$AH258)))</f>
        <v/>
      </c>
      <c r="Y258">
        <f>IF($AH258="","",IF(INDEX('Per Invoice'!Y$2:Y$401,$AH258)="","",INDEX('Per Invoice'!Y$2:Y$401,$AH258)))</f>
        <v/>
      </c>
      <c r="Z258" s="7">
        <f>IF($AH258="","",IF(INDEX('Per Invoice'!Z$2:Z$401,$AH258)="","",INDEX('Per Invoice'!Z$2:Z$401,$AH258)))</f>
        <v/>
      </c>
      <c r="AA258" s="7">
        <f>IF($AH258="","",IF(INDEX('Per Invoice'!AA$2:AA$401,$AH258)="","",INDEX('Per Invoice'!AA$2:AA$401,$AH258)))</f>
        <v/>
      </c>
      <c r="AB258" s="7">
        <f>IF($AH258="","",IF(INDEX('Per Invoice'!AB$2:AB$401,$AH258)="","",INDEX('Per Invoice'!AB$2:AB$401,$AH258)))</f>
        <v/>
      </c>
      <c r="AC258" s="7">
        <f>IF($AH258="","",IF(INDEX('Per Invoice'!AC$2:AC$401,$AH258)="","",INDEX('Per Invoice'!AC$2:AC$401,$AH258)))</f>
        <v/>
      </c>
      <c r="AD258" s="7">
        <f>IF($AH258="","",IF(INDEX('Per Invoice'!AD$2:AD$401,$AH258)="","",INDEX('Per Invoice'!AD$2:AD$401,$AH258)))</f>
        <v/>
      </c>
      <c r="AE258" s="7">
        <f>IF($AH258="","",IF(INDEX('Per Invoice'!AE$2:AE$401,$AH258)="","",INDEX('Per Invoice'!AE$2:AE$401,$AH258)))</f>
        <v/>
      </c>
      <c r="AF258">
        <f>IF($AH258="","",IF(INDEX('Per Invoice'!AF$2:AF$401,$AH258)="","",INDEX('Per Invoice'!AF$2:AF$401,$AH258)))</f>
        <v/>
      </c>
      <c r="AG258" s="7">
        <f>IF($AH258="","",IF(INDEX('Per Invoice'!AG$2:AG$401,$AH258)="","",INDEX('Per Invoice'!AG$2:AG$401,$AH258)))</f>
        <v/>
      </c>
      <c r="AH258" s="16">
        <f>IFERROR(MATCH(Settings!$C$26&amp;"|"&amp;ROWS($AH$2:$AH258),'Per Invoice'!$AI$2:$AI$401,0),"")</f>
        <v/>
      </c>
    </row>
    <row r="259">
      <c r="A259">
        <f>IF($AH259="","",IF(INDEX('Per Invoice'!A$2:A$401,$AH259)="","",INDEX('Per Invoice'!A$2:A$401,$AH259)))</f>
        <v/>
      </c>
      <c r="B259">
        <f>IF($AH259="","",IF(INDEX('Per Invoice'!B$2:B$401,$AH259)="","",INDEX('Per Invoice'!B$2:B$401,$AH259)))</f>
        <v/>
      </c>
      <c r="C259">
        <f>IF($AH259="","",IF(INDEX('Per Invoice'!C$2:C$401,$AH259)="","",INDEX('Per Invoice'!C$2:C$401,$AH259)))</f>
        <v/>
      </c>
      <c r="D259">
        <f>IF($AH259="","",IF(INDEX('Per Invoice'!D$2:D$401,$AH259)="","",INDEX('Per Invoice'!D$2:D$401,$AH259)))</f>
        <v/>
      </c>
      <c r="E259">
        <f>IF($AH259="","",IF(INDEX('Per Invoice'!E$2:E$401,$AH259)="","",INDEX('Per Invoice'!E$2:E$401,$AH259)))</f>
        <v/>
      </c>
      <c r="F259">
        <f>IF($AH259="","",IF(INDEX('Per Invoice'!F$2:F$401,$AH259)="","",INDEX('Per Invoice'!F$2:F$401,$AH259)))</f>
        <v/>
      </c>
      <c r="G259">
        <f>IF($AH259="","",IF(INDEX('Per Invoice'!G$2:G$401,$AH259)="","",INDEX('Per Invoice'!G$2:G$401,$AH259)))</f>
        <v/>
      </c>
      <c r="H259">
        <f>IF($AH259="","",IF(INDEX('Per Invoice'!H$2:H$401,$AH259)="","",INDEX('Per Invoice'!H$2:H$401,$AH259)))</f>
        <v/>
      </c>
      <c r="I259" s="14">
        <f>IF($AH259="","",IF(INDEX('Per Invoice'!I$2:I$401,$AH259)="","",INDEX('Per Invoice'!I$2:I$401,$AH259)))</f>
        <v/>
      </c>
      <c r="J259">
        <f>IF($AH259="","",IF(INDEX('Per Invoice'!J$2:J$401,$AH259)="","",INDEX('Per Invoice'!J$2:J$401,$AH259)))</f>
        <v/>
      </c>
      <c r="K259">
        <f>IF($AH259="","",IF(INDEX('Per Invoice'!K$2:K$401,$AH259)="","",INDEX('Per Invoice'!K$2:K$401,$AH259)))</f>
        <v/>
      </c>
      <c r="L259">
        <f>IF($AH259="","",IF(INDEX('Per Invoice'!L$2:L$401,$AH259)="","",INDEX('Per Invoice'!L$2:L$401,$AH259)))</f>
        <v/>
      </c>
      <c r="M259">
        <f>IF($AH259="","",IF(INDEX('Per Invoice'!M$2:M$401,$AH259)="","",INDEX('Per Invoice'!M$2:M$401,$AH259)))</f>
        <v/>
      </c>
      <c r="N259">
        <f>IF($AH259="","",IF(INDEX('Per Invoice'!N$2:N$401,$AH259)="","",INDEX('Per Invoice'!N$2:N$401,$AH259)))</f>
        <v/>
      </c>
      <c r="O259">
        <f>IF($AH259="","",IF(INDEX('Per Invoice'!O$2:O$401,$AH259)="","",INDEX('Per Invoice'!O$2:O$401,$AH259)))</f>
        <v/>
      </c>
      <c r="P259" s="7">
        <f>IF($AH259="","",IF(INDEX('Per Invoice'!P$2:P$401,$AH259)="","",INDEX('Per Invoice'!P$2:P$401,$AH259)))</f>
        <v/>
      </c>
      <c r="Q259">
        <f>IF($AH259="","",IF(INDEX('Per Invoice'!Q$2:Q$401,$AH259)="","",INDEX('Per Invoice'!Q$2:Q$401,$AH259)))</f>
        <v/>
      </c>
      <c r="R259">
        <f>IF($AH259="","",IF(INDEX('Per Invoice'!R$2:R$401,$AH259)="","",INDEX('Per Invoice'!R$2:R$401,$AH259)))</f>
        <v/>
      </c>
      <c r="S259">
        <f>IF($AH259="","",IF(INDEX('Per Invoice'!S$2:S$401,$AH259)="","",INDEX('Per Invoice'!S$2:S$401,$AH259)))</f>
        <v/>
      </c>
      <c r="T259" s="7">
        <f>IF($AH259="","",IF(INDEX('Per Invoice'!T$2:T$401,$AH259)="","",INDEX('Per Invoice'!T$2:T$401,$AH259)))</f>
        <v/>
      </c>
      <c r="U259" s="7">
        <f>IF($AH259="","",IF(INDEX('Per Invoice'!U$2:U$401,$AH259)="","",INDEX('Per Invoice'!U$2:U$401,$AH259)))</f>
        <v/>
      </c>
      <c r="V259">
        <f>IF($AH259="","",IF(INDEX('Per Invoice'!V$2:V$401,$AH259)="","",INDEX('Per Invoice'!V$2:V$401,$AH259)))</f>
        <v/>
      </c>
      <c r="W259" s="7">
        <f>IF($AH259="","",IF(INDEX('Per Invoice'!W$2:W$401,$AH259)="","",INDEX('Per Invoice'!W$2:W$401,$AH259)))</f>
        <v/>
      </c>
      <c r="X259" s="7">
        <f>IF($AH259="","",IF(INDEX('Per Invoice'!X$2:X$401,$AH259)="","",INDEX('Per Invoice'!X$2:X$401,$AH259)))</f>
        <v/>
      </c>
      <c r="Y259">
        <f>IF($AH259="","",IF(INDEX('Per Invoice'!Y$2:Y$401,$AH259)="","",INDEX('Per Invoice'!Y$2:Y$401,$AH259)))</f>
        <v/>
      </c>
      <c r="Z259" s="7">
        <f>IF($AH259="","",IF(INDEX('Per Invoice'!Z$2:Z$401,$AH259)="","",INDEX('Per Invoice'!Z$2:Z$401,$AH259)))</f>
        <v/>
      </c>
      <c r="AA259" s="7">
        <f>IF($AH259="","",IF(INDEX('Per Invoice'!AA$2:AA$401,$AH259)="","",INDEX('Per Invoice'!AA$2:AA$401,$AH259)))</f>
        <v/>
      </c>
      <c r="AB259" s="7">
        <f>IF($AH259="","",IF(INDEX('Per Invoice'!AB$2:AB$401,$AH259)="","",INDEX('Per Invoice'!AB$2:AB$401,$AH259)))</f>
        <v/>
      </c>
      <c r="AC259" s="7">
        <f>IF($AH259="","",IF(INDEX('Per Invoice'!AC$2:AC$401,$AH259)="","",INDEX('Per Invoice'!AC$2:AC$401,$AH259)))</f>
        <v/>
      </c>
      <c r="AD259" s="7">
        <f>IF($AH259="","",IF(INDEX('Per Invoice'!AD$2:AD$401,$AH259)="","",INDEX('Per Invoice'!AD$2:AD$401,$AH259)))</f>
        <v/>
      </c>
      <c r="AE259" s="7">
        <f>IF($AH259="","",IF(INDEX('Per Invoice'!AE$2:AE$401,$AH259)="","",INDEX('Per Invoice'!AE$2:AE$401,$AH259)))</f>
        <v/>
      </c>
      <c r="AF259">
        <f>IF($AH259="","",IF(INDEX('Per Invoice'!AF$2:AF$401,$AH259)="","",INDEX('Per Invoice'!AF$2:AF$401,$AH259)))</f>
        <v/>
      </c>
      <c r="AG259" s="7">
        <f>IF($AH259="","",IF(INDEX('Per Invoice'!AG$2:AG$401,$AH259)="","",INDEX('Per Invoice'!AG$2:AG$401,$AH259)))</f>
        <v/>
      </c>
      <c r="AH259" s="16">
        <f>IFERROR(MATCH(Settings!$C$26&amp;"|"&amp;ROWS($AH$2:$AH259),'Per Invoice'!$AI$2:$AI$401,0),"")</f>
        <v/>
      </c>
    </row>
    <row r="260">
      <c r="A260">
        <f>IF($AH260="","",IF(INDEX('Per Invoice'!A$2:A$401,$AH260)="","",INDEX('Per Invoice'!A$2:A$401,$AH260)))</f>
        <v/>
      </c>
      <c r="B260">
        <f>IF($AH260="","",IF(INDEX('Per Invoice'!B$2:B$401,$AH260)="","",INDEX('Per Invoice'!B$2:B$401,$AH260)))</f>
        <v/>
      </c>
      <c r="C260">
        <f>IF($AH260="","",IF(INDEX('Per Invoice'!C$2:C$401,$AH260)="","",INDEX('Per Invoice'!C$2:C$401,$AH260)))</f>
        <v/>
      </c>
      <c r="D260">
        <f>IF($AH260="","",IF(INDEX('Per Invoice'!D$2:D$401,$AH260)="","",INDEX('Per Invoice'!D$2:D$401,$AH260)))</f>
        <v/>
      </c>
      <c r="E260">
        <f>IF($AH260="","",IF(INDEX('Per Invoice'!E$2:E$401,$AH260)="","",INDEX('Per Invoice'!E$2:E$401,$AH260)))</f>
        <v/>
      </c>
      <c r="F260">
        <f>IF($AH260="","",IF(INDEX('Per Invoice'!F$2:F$401,$AH260)="","",INDEX('Per Invoice'!F$2:F$401,$AH260)))</f>
        <v/>
      </c>
      <c r="G260">
        <f>IF($AH260="","",IF(INDEX('Per Invoice'!G$2:G$401,$AH260)="","",INDEX('Per Invoice'!G$2:G$401,$AH260)))</f>
        <v/>
      </c>
      <c r="H260">
        <f>IF($AH260="","",IF(INDEX('Per Invoice'!H$2:H$401,$AH260)="","",INDEX('Per Invoice'!H$2:H$401,$AH260)))</f>
        <v/>
      </c>
      <c r="I260" s="14">
        <f>IF($AH260="","",IF(INDEX('Per Invoice'!I$2:I$401,$AH260)="","",INDEX('Per Invoice'!I$2:I$401,$AH260)))</f>
        <v/>
      </c>
      <c r="J260">
        <f>IF($AH260="","",IF(INDEX('Per Invoice'!J$2:J$401,$AH260)="","",INDEX('Per Invoice'!J$2:J$401,$AH260)))</f>
        <v/>
      </c>
      <c r="K260">
        <f>IF($AH260="","",IF(INDEX('Per Invoice'!K$2:K$401,$AH260)="","",INDEX('Per Invoice'!K$2:K$401,$AH260)))</f>
        <v/>
      </c>
      <c r="L260">
        <f>IF($AH260="","",IF(INDEX('Per Invoice'!L$2:L$401,$AH260)="","",INDEX('Per Invoice'!L$2:L$401,$AH260)))</f>
        <v/>
      </c>
      <c r="M260">
        <f>IF($AH260="","",IF(INDEX('Per Invoice'!M$2:M$401,$AH260)="","",INDEX('Per Invoice'!M$2:M$401,$AH260)))</f>
        <v/>
      </c>
      <c r="N260">
        <f>IF($AH260="","",IF(INDEX('Per Invoice'!N$2:N$401,$AH260)="","",INDEX('Per Invoice'!N$2:N$401,$AH260)))</f>
        <v/>
      </c>
      <c r="O260">
        <f>IF($AH260="","",IF(INDEX('Per Invoice'!O$2:O$401,$AH260)="","",INDEX('Per Invoice'!O$2:O$401,$AH260)))</f>
        <v/>
      </c>
      <c r="P260" s="7">
        <f>IF($AH260="","",IF(INDEX('Per Invoice'!P$2:P$401,$AH260)="","",INDEX('Per Invoice'!P$2:P$401,$AH260)))</f>
        <v/>
      </c>
      <c r="Q260">
        <f>IF($AH260="","",IF(INDEX('Per Invoice'!Q$2:Q$401,$AH260)="","",INDEX('Per Invoice'!Q$2:Q$401,$AH260)))</f>
        <v/>
      </c>
      <c r="R260">
        <f>IF($AH260="","",IF(INDEX('Per Invoice'!R$2:R$401,$AH260)="","",INDEX('Per Invoice'!R$2:R$401,$AH260)))</f>
        <v/>
      </c>
      <c r="S260">
        <f>IF($AH260="","",IF(INDEX('Per Invoice'!S$2:S$401,$AH260)="","",INDEX('Per Invoice'!S$2:S$401,$AH260)))</f>
        <v/>
      </c>
      <c r="T260" s="7">
        <f>IF($AH260="","",IF(INDEX('Per Invoice'!T$2:T$401,$AH260)="","",INDEX('Per Invoice'!T$2:T$401,$AH260)))</f>
        <v/>
      </c>
      <c r="U260" s="7">
        <f>IF($AH260="","",IF(INDEX('Per Invoice'!U$2:U$401,$AH260)="","",INDEX('Per Invoice'!U$2:U$401,$AH260)))</f>
        <v/>
      </c>
      <c r="V260">
        <f>IF($AH260="","",IF(INDEX('Per Invoice'!V$2:V$401,$AH260)="","",INDEX('Per Invoice'!V$2:V$401,$AH260)))</f>
        <v/>
      </c>
      <c r="W260" s="7">
        <f>IF($AH260="","",IF(INDEX('Per Invoice'!W$2:W$401,$AH260)="","",INDEX('Per Invoice'!W$2:W$401,$AH260)))</f>
        <v/>
      </c>
      <c r="X260" s="7">
        <f>IF($AH260="","",IF(INDEX('Per Invoice'!X$2:X$401,$AH260)="","",INDEX('Per Invoice'!X$2:X$401,$AH260)))</f>
        <v/>
      </c>
      <c r="Y260">
        <f>IF($AH260="","",IF(INDEX('Per Invoice'!Y$2:Y$401,$AH260)="","",INDEX('Per Invoice'!Y$2:Y$401,$AH260)))</f>
        <v/>
      </c>
      <c r="Z260" s="7">
        <f>IF($AH260="","",IF(INDEX('Per Invoice'!Z$2:Z$401,$AH260)="","",INDEX('Per Invoice'!Z$2:Z$401,$AH260)))</f>
        <v/>
      </c>
      <c r="AA260" s="7">
        <f>IF($AH260="","",IF(INDEX('Per Invoice'!AA$2:AA$401,$AH260)="","",INDEX('Per Invoice'!AA$2:AA$401,$AH260)))</f>
        <v/>
      </c>
      <c r="AB260" s="7">
        <f>IF($AH260="","",IF(INDEX('Per Invoice'!AB$2:AB$401,$AH260)="","",INDEX('Per Invoice'!AB$2:AB$401,$AH260)))</f>
        <v/>
      </c>
      <c r="AC260" s="7">
        <f>IF($AH260="","",IF(INDEX('Per Invoice'!AC$2:AC$401,$AH260)="","",INDEX('Per Invoice'!AC$2:AC$401,$AH260)))</f>
        <v/>
      </c>
      <c r="AD260" s="7">
        <f>IF($AH260="","",IF(INDEX('Per Invoice'!AD$2:AD$401,$AH260)="","",INDEX('Per Invoice'!AD$2:AD$401,$AH260)))</f>
        <v/>
      </c>
      <c r="AE260" s="7">
        <f>IF($AH260="","",IF(INDEX('Per Invoice'!AE$2:AE$401,$AH260)="","",INDEX('Per Invoice'!AE$2:AE$401,$AH260)))</f>
        <v/>
      </c>
      <c r="AF260">
        <f>IF($AH260="","",IF(INDEX('Per Invoice'!AF$2:AF$401,$AH260)="","",INDEX('Per Invoice'!AF$2:AF$401,$AH260)))</f>
        <v/>
      </c>
      <c r="AG260" s="7">
        <f>IF($AH260="","",IF(INDEX('Per Invoice'!AG$2:AG$401,$AH260)="","",INDEX('Per Invoice'!AG$2:AG$401,$AH260)))</f>
        <v/>
      </c>
      <c r="AH260" s="16">
        <f>IFERROR(MATCH(Settings!$C$26&amp;"|"&amp;ROWS($AH$2:$AH260),'Per Invoice'!$AI$2:$AI$401,0),"")</f>
        <v/>
      </c>
    </row>
    <row r="261">
      <c r="A261">
        <f>IF($AH261="","",IF(INDEX('Per Invoice'!A$2:A$401,$AH261)="","",INDEX('Per Invoice'!A$2:A$401,$AH261)))</f>
        <v/>
      </c>
      <c r="B261">
        <f>IF($AH261="","",IF(INDEX('Per Invoice'!B$2:B$401,$AH261)="","",INDEX('Per Invoice'!B$2:B$401,$AH261)))</f>
        <v/>
      </c>
      <c r="C261">
        <f>IF($AH261="","",IF(INDEX('Per Invoice'!C$2:C$401,$AH261)="","",INDEX('Per Invoice'!C$2:C$401,$AH261)))</f>
        <v/>
      </c>
      <c r="D261">
        <f>IF($AH261="","",IF(INDEX('Per Invoice'!D$2:D$401,$AH261)="","",INDEX('Per Invoice'!D$2:D$401,$AH261)))</f>
        <v/>
      </c>
      <c r="E261">
        <f>IF($AH261="","",IF(INDEX('Per Invoice'!E$2:E$401,$AH261)="","",INDEX('Per Invoice'!E$2:E$401,$AH261)))</f>
        <v/>
      </c>
      <c r="F261">
        <f>IF($AH261="","",IF(INDEX('Per Invoice'!F$2:F$401,$AH261)="","",INDEX('Per Invoice'!F$2:F$401,$AH261)))</f>
        <v/>
      </c>
      <c r="G261">
        <f>IF($AH261="","",IF(INDEX('Per Invoice'!G$2:G$401,$AH261)="","",INDEX('Per Invoice'!G$2:G$401,$AH261)))</f>
        <v/>
      </c>
      <c r="H261">
        <f>IF($AH261="","",IF(INDEX('Per Invoice'!H$2:H$401,$AH261)="","",INDEX('Per Invoice'!H$2:H$401,$AH261)))</f>
        <v/>
      </c>
      <c r="I261" s="14">
        <f>IF($AH261="","",IF(INDEX('Per Invoice'!I$2:I$401,$AH261)="","",INDEX('Per Invoice'!I$2:I$401,$AH261)))</f>
        <v/>
      </c>
      <c r="J261">
        <f>IF($AH261="","",IF(INDEX('Per Invoice'!J$2:J$401,$AH261)="","",INDEX('Per Invoice'!J$2:J$401,$AH261)))</f>
        <v/>
      </c>
      <c r="K261">
        <f>IF($AH261="","",IF(INDEX('Per Invoice'!K$2:K$401,$AH261)="","",INDEX('Per Invoice'!K$2:K$401,$AH261)))</f>
        <v/>
      </c>
      <c r="L261">
        <f>IF($AH261="","",IF(INDEX('Per Invoice'!L$2:L$401,$AH261)="","",INDEX('Per Invoice'!L$2:L$401,$AH261)))</f>
        <v/>
      </c>
      <c r="M261">
        <f>IF($AH261="","",IF(INDEX('Per Invoice'!M$2:M$401,$AH261)="","",INDEX('Per Invoice'!M$2:M$401,$AH261)))</f>
        <v/>
      </c>
      <c r="N261">
        <f>IF($AH261="","",IF(INDEX('Per Invoice'!N$2:N$401,$AH261)="","",INDEX('Per Invoice'!N$2:N$401,$AH261)))</f>
        <v/>
      </c>
      <c r="O261">
        <f>IF($AH261="","",IF(INDEX('Per Invoice'!O$2:O$401,$AH261)="","",INDEX('Per Invoice'!O$2:O$401,$AH261)))</f>
        <v/>
      </c>
      <c r="P261" s="7">
        <f>IF($AH261="","",IF(INDEX('Per Invoice'!P$2:P$401,$AH261)="","",INDEX('Per Invoice'!P$2:P$401,$AH261)))</f>
        <v/>
      </c>
      <c r="Q261">
        <f>IF($AH261="","",IF(INDEX('Per Invoice'!Q$2:Q$401,$AH261)="","",INDEX('Per Invoice'!Q$2:Q$401,$AH261)))</f>
        <v/>
      </c>
      <c r="R261">
        <f>IF($AH261="","",IF(INDEX('Per Invoice'!R$2:R$401,$AH261)="","",INDEX('Per Invoice'!R$2:R$401,$AH261)))</f>
        <v/>
      </c>
      <c r="S261">
        <f>IF($AH261="","",IF(INDEX('Per Invoice'!S$2:S$401,$AH261)="","",INDEX('Per Invoice'!S$2:S$401,$AH261)))</f>
        <v/>
      </c>
      <c r="T261" s="7">
        <f>IF($AH261="","",IF(INDEX('Per Invoice'!T$2:T$401,$AH261)="","",INDEX('Per Invoice'!T$2:T$401,$AH261)))</f>
        <v/>
      </c>
      <c r="U261" s="7">
        <f>IF($AH261="","",IF(INDEX('Per Invoice'!U$2:U$401,$AH261)="","",INDEX('Per Invoice'!U$2:U$401,$AH261)))</f>
        <v/>
      </c>
      <c r="V261">
        <f>IF($AH261="","",IF(INDEX('Per Invoice'!V$2:V$401,$AH261)="","",INDEX('Per Invoice'!V$2:V$401,$AH261)))</f>
        <v/>
      </c>
      <c r="W261" s="7">
        <f>IF($AH261="","",IF(INDEX('Per Invoice'!W$2:W$401,$AH261)="","",INDEX('Per Invoice'!W$2:W$401,$AH261)))</f>
        <v/>
      </c>
      <c r="X261" s="7">
        <f>IF($AH261="","",IF(INDEX('Per Invoice'!X$2:X$401,$AH261)="","",INDEX('Per Invoice'!X$2:X$401,$AH261)))</f>
        <v/>
      </c>
      <c r="Y261">
        <f>IF($AH261="","",IF(INDEX('Per Invoice'!Y$2:Y$401,$AH261)="","",INDEX('Per Invoice'!Y$2:Y$401,$AH261)))</f>
        <v/>
      </c>
      <c r="Z261" s="7">
        <f>IF($AH261="","",IF(INDEX('Per Invoice'!Z$2:Z$401,$AH261)="","",INDEX('Per Invoice'!Z$2:Z$401,$AH261)))</f>
        <v/>
      </c>
      <c r="AA261" s="7">
        <f>IF($AH261="","",IF(INDEX('Per Invoice'!AA$2:AA$401,$AH261)="","",INDEX('Per Invoice'!AA$2:AA$401,$AH261)))</f>
        <v/>
      </c>
      <c r="AB261" s="7">
        <f>IF($AH261="","",IF(INDEX('Per Invoice'!AB$2:AB$401,$AH261)="","",INDEX('Per Invoice'!AB$2:AB$401,$AH261)))</f>
        <v/>
      </c>
      <c r="AC261" s="7">
        <f>IF($AH261="","",IF(INDEX('Per Invoice'!AC$2:AC$401,$AH261)="","",INDEX('Per Invoice'!AC$2:AC$401,$AH261)))</f>
        <v/>
      </c>
      <c r="AD261" s="7">
        <f>IF($AH261="","",IF(INDEX('Per Invoice'!AD$2:AD$401,$AH261)="","",INDEX('Per Invoice'!AD$2:AD$401,$AH261)))</f>
        <v/>
      </c>
      <c r="AE261" s="7">
        <f>IF($AH261="","",IF(INDEX('Per Invoice'!AE$2:AE$401,$AH261)="","",INDEX('Per Invoice'!AE$2:AE$401,$AH261)))</f>
        <v/>
      </c>
      <c r="AF261">
        <f>IF($AH261="","",IF(INDEX('Per Invoice'!AF$2:AF$401,$AH261)="","",INDEX('Per Invoice'!AF$2:AF$401,$AH261)))</f>
        <v/>
      </c>
      <c r="AG261" s="7">
        <f>IF($AH261="","",IF(INDEX('Per Invoice'!AG$2:AG$401,$AH261)="","",INDEX('Per Invoice'!AG$2:AG$401,$AH261)))</f>
        <v/>
      </c>
      <c r="AH261" s="16">
        <f>IFERROR(MATCH(Settings!$C$26&amp;"|"&amp;ROWS($AH$2:$AH261),'Per Invoice'!$AI$2:$AI$401,0),"")</f>
        <v/>
      </c>
    </row>
    <row r="262">
      <c r="A262">
        <f>IF($AH262="","",IF(INDEX('Per Invoice'!A$2:A$401,$AH262)="","",INDEX('Per Invoice'!A$2:A$401,$AH262)))</f>
        <v/>
      </c>
      <c r="B262">
        <f>IF($AH262="","",IF(INDEX('Per Invoice'!B$2:B$401,$AH262)="","",INDEX('Per Invoice'!B$2:B$401,$AH262)))</f>
        <v/>
      </c>
      <c r="C262">
        <f>IF($AH262="","",IF(INDEX('Per Invoice'!C$2:C$401,$AH262)="","",INDEX('Per Invoice'!C$2:C$401,$AH262)))</f>
        <v/>
      </c>
      <c r="D262">
        <f>IF($AH262="","",IF(INDEX('Per Invoice'!D$2:D$401,$AH262)="","",INDEX('Per Invoice'!D$2:D$401,$AH262)))</f>
        <v/>
      </c>
      <c r="E262">
        <f>IF($AH262="","",IF(INDEX('Per Invoice'!E$2:E$401,$AH262)="","",INDEX('Per Invoice'!E$2:E$401,$AH262)))</f>
        <v/>
      </c>
      <c r="F262">
        <f>IF($AH262="","",IF(INDEX('Per Invoice'!F$2:F$401,$AH262)="","",INDEX('Per Invoice'!F$2:F$401,$AH262)))</f>
        <v/>
      </c>
      <c r="G262">
        <f>IF($AH262="","",IF(INDEX('Per Invoice'!G$2:G$401,$AH262)="","",INDEX('Per Invoice'!G$2:G$401,$AH262)))</f>
        <v/>
      </c>
      <c r="H262">
        <f>IF($AH262="","",IF(INDEX('Per Invoice'!H$2:H$401,$AH262)="","",INDEX('Per Invoice'!H$2:H$401,$AH262)))</f>
        <v/>
      </c>
      <c r="I262" s="14">
        <f>IF($AH262="","",IF(INDEX('Per Invoice'!I$2:I$401,$AH262)="","",INDEX('Per Invoice'!I$2:I$401,$AH262)))</f>
        <v/>
      </c>
      <c r="J262">
        <f>IF($AH262="","",IF(INDEX('Per Invoice'!J$2:J$401,$AH262)="","",INDEX('Per Invoice'!J$2:J$401,$AH262)))</f>
        <v/>
      </c>
      <c r="K262">
        <f>IF($AH262="","",IF(INDEX('Per Invoice'!K$2:K$401,$AH262)="","",INDEX('Per Invoice'!K$2:K$401,$AH262)))</f>
        <v/>
      </c>
      <c r="L262">
        <f>IF($AH262="","",IF(INDEX('Per Invoice'!L$2:L$401,$AH262)="","",INDEX('Per Invoice'!L$2:L$401,$AH262)))</f>
        <v/>
      </c>
      <c r="M262">
        <f>IF($AH262="","",IF(INDEX('Per Invoice'!M$2:M$401,$AH262)="","",INDEX('Per Invoice'!M$2:M$401,$AH262)))</f>
        <v/>
      </c>
      <c r="N262">
        <f>IF($AH262="","",IF(INDEX('Per Invoice'!N$2:N$401,$AH262)="","",INDEX('Per Invoice'!N$2:N$401,$AH262)))</f>
        <v/>
      </c>
      <c r="O262">
        <f>IF($AH262="","",IF(INDEX('Per Invoice'!O$2:O$401,$AH262)="","",INDEX('Per Invoice'!O$2:O$401,$AH262)))</f>
        <v/>
      </c>
      <c r="P262" s="7">
        <f>IF($AH262="","",IF(INDEX('Per Invoice'!P$2:P$401,$AH262)="","",INDEX('Per Invoice'!P$2:P$401,$AH262)))</f>
        <v/>
      </c>
      <c r="Q262">
        <f>IF($AH262="","",IF(INDEX('Per Invoice'!Q$2:Q$401,$AH262)="","",INDEX('Per Invoice'!Q$2:Q$401,$AH262)))</f>
        <v/>
      </c>
      <c r="R262">
        <f>IF($AH262="","",IF(INDEX('Per Invoice'!R$2:R$401,$AH262)="","",INDEX('Per Invoice'!R$2:R$401,$AH262)))</f>
        <v/>
      </c>
      <c r="S262">
        <f>IF($AH262="","",IF(INDEX('Per Invoice'!S$2:S$401,$AH262)="","",INDEX('Per Invoice'!S$2:S$401,$AH262)))</f>
        <v/>
      </c>
      <c r="T262" s="7">
        <f>IF($AH262="","",IF(INDEX('Per Invoice'!T$2:T$401,$AH262)="","",INDEX('Per Invoice'!T$2:T$401,$AH262)))</f>
        <v/>
      </c>
      <c r="U262" s="7">
        <f>IF($AH262="","",IF(INDEX('Per Invoice'!U$2:U$401,$AH262)="","",INDEX('Per Invoice'!U$2:U$401,$AH262)))</f>
        <v/>
      </c>
      <c r="V262">
        <f>IF($AH262="","",IF(INDEX('Per Invoice'!V$2:V$401,$AH262)="","",INDEX('Per Invoice'!V$2:V$401,$AH262)))</f>
        <v/>
      </c>
      <c r="W262" s="7">
        <f>IF($AH262="","",IF(INDEX('Per Invoice'!W$2:W$401,$AH262)="","",INDEX('Per Invoice'!W$2:W$401,$AH262)))</f>
        <v/>
      </c>
      <c r="X262" s="7">
        <f>IF($AH262="","",IF(INDEX('Per Invoice'!X$2:X$401,$AH262)="","",INDEX('Per Invoice'!X$2:X$401,$AH262)))</f>
        <v/>
      </c>
      <c r="Y262">
        <f>IF($AH262="","",IF(INDEX('Per Invoice'!Y$2:Y$401,$AH262)="","",INDEX('Per Invoice'!Y$2:Y$401,$AH262)))</f>
        <v/>
      </c>
      <c r="Z262" s="7">
        <f>IF($AH262="","",IF(INDEX('Per Invoice'!Z$2:Z$401,$AH262)="","",INDEX('Per Invoice'!Z$2:Z$401,$AH262)))</f>
        <v/>
      </c>
      <c r="AA262" s="7">
        <f>IF($AH262="","",IF(INDEX('Per Invoice'!AA$2:AA$401,$AH262)="","",INDEX('Per Invoice'!AA$2:AA$401,$AH262)))</f>
        <v/>
      </c>
      <c r="AB262" s="7">
        <f>IF($AH262="","",IF(INDEX('Per Invoice'!AB$2:AB$401,$AH262)="","",INDEX('Per Invoice'!AB$2:AB$401,$AH262)))</f>
        <v/>
      </c>
      <c r="AC262" s="7">
        <f>IF($AH262="","",IF(INDEX('Per Invoice'!AC$2:AC$401,$AH262)="","",INDEX('Per Invoice'!AC$2:AC$401,$AH262)))</f>
        <v/>
      </c>
      <c r="AD262" s="7">
        <f>IF($AH262="","",IF(INDEX('Per Invoice'!AD$2:AD$401,$AH262)="","",INDEX('Per Invoice'!AD$2:AD$401,$AH262)))</f>
        <v/>
      </c>
      <c r="AE262" s="7">
        <f>IF($AH262="","",IF(INDEX('Per Invoice'!AE$2:AE$401,$AH262)="","",INDEX('Per Invoice'!AE$2:AE$401,$AH262)))</f>
        <v/>
      </c>
      <c r="AF262">
        <f>IF($AH262="","",IF(INDEX('Per Invoice'!AF$2:AF$401,$AH262)="","",INDEX('Per Invoice'!AF$2:AF$401,$AH262)))</f>
        <v/>
      </c>
      <c r="AG262" s="7">
        <f>IF($AH262="","",IF(INDEX('Per Invoice'!AG$2:AG$401,$AH262)="","",INDEX('Per Invoice'!AG$2:AG$401,$AH262)))</f>
        <v/>
      </c>
      <c r="AH262" s="16">
        <f>IFERROR(MATCH(Settings!$C$26&amp;"|"&amp;ROWS($AH$2:$AH262),'Per Invoice'!$AI$2:$AI$401,0),"")</f>
        <v/>
      </c>
    </row>
    <row r="263">
      <c r="A263">
        <f>IF($AH263="","",IF(INDEX('Per Invoice'!A$2:A$401,$AH263)="","",INDEX('Per Invoice'!A$2:A$401,$AH263)))</f>
        <v/>
      </c>
      <c r="B263">
        <f>IF($AH263="","",IF(INDEX('Per Invoice'!B$2:B$401,$AH263)="","",INDEX('Per Invoice'!B$2:B$401,$AH263)))</f>
        <v/>
      </c>
      <c r="C263">
        <f>IF($AH263="","",IF(INDEX('Per Invoice'!C$2:C$401,$AH263)="","",INDEX('Per Invoice'!C$2:C$401,$AH263)))</f>
        <v/>
      </c>
      <c r="D263">
        <f>IF($AH263="","",IF(INDEX('Per Invoice'!D$2:D$401,$AH263)="","",INDEX('Per Invoice'!D$2:D$401,$AH263)))</f>
        <v/>
      </c>
      <c r="E263">
        <f>IF($AH263="","",IF(INDEX('Per Invoice'!E$2:E$401,$AH263)="","",INDEX('Per Invoice'!E$2:E$401,$AH263)))</f>
        <v/>
      </c>
      <c r="F263">
        <f>IF($AH263="","",IF(INDEX('Per Invoice'!F$2:F$401,$AH263)="","",INDEX('Per Invoice'!F$2:F$401,$AH263)))</f>
        <v/>
      </c>
      <c r="G263">
        <f>IF($AH263="","",IF(INDEX('Per Invoice'!G$2:G$401,$AH263)="","",INDEX('Per Invoice'!G$2:G$401,$AH263)))</f>
        <v/>
      </c>
      <c r="H263">
        <f>IF($AH263="","",IF(INDEX('Per Invoice'!H$2:H$401,$AH263)="","",INDEX('Per Invoice'!H$2:H$401,$AH263)))</f>
        <v/>
      </c>
      <c r="I263" s="14">
        <f>IF($AH263="","",IF(INDEX('Per Invoice'!I$2:I$401,$AH263)="","",INDEX('Per Invoice'!I$2:I$401,$AH263)))</f>
        <v/>
      </c>
      <c r="J263">
        <f>IF($AH263="","",IF(INDEX('Per Invoice'!J$2:J$401,$AH263)="","",INDEX('Per Invoice'!J$2:J$401,$AH263)))</f>
        <v/>
      </c>
      <c r="K263">
        <f>IF($AH263="","",IF(INDEX('Per Invoice'!K$2:K$401,$AH263)="","",INDEX('Per Invoice'!K$2:K$401,$AH263)))</f>
        <v/>
      </c>
      <c r="L263">
        <f>IF($AH263="","",IF(INDEX('Per Invoice'!L$2:L$401,$AH263)="","",INDEX('Per Invoice'!L$2:L$401,$AH263)))</f>
        <v/>
      </c>
      <c r="M263">
        <f>IF($AH263="","",IF(INDEX('Per Invoice'!M$2:M$401,$AH263)="","",INDEX('Per Invoice'!M$2:M$401,$AH263)))</f>
        <v/>
      </c>
      <c r="N263">
        <f>IF($AH263="","",IF(INDEX('Per Invoice'!N$2:N$401,$AH263)="","",INDEX('Per Invoice'!N$2:N$401,$AH263)))</f>
        <v/>
      </c>
      <c r="O263">
        <f>IF($AH263="","",IF(INDEX('Per Invoice'!O$2:O$401,$AH263)="","",INDEX('Per Invoice'!O$2:O$401,$AH263)))</f>
        <v/>
      </c>
      <c r="P263" s="7">
        <f>IF($AH263="","",IF(INDEX('Per Invoice'!P$2:P$401,$AH263)="","",INDEX('Per Invoice'!P$2:P$401,$AH263)))</f>
        <v/>
      </c>
      <c r="Q263">
        <f>IF($AH263="","",IF(INDEX('Per Invoice'!Q$2:Q$401,$AH263)="","",INDEX('Per Invoice'!Q$2:Q$401,$AH263)))</f>
        <v/>
      </c>
      <c r="R263">
        <f>IF($AH263="","",IF(INDEX('Per Invoice'!R$2:R$401,$AH263)="","",INDEX('Per Invoice'!R$2:R$401,$AH263)))</f>
        <v/>
      </c>
      <c r="S263">
        <f>IF($AH263="","",IF(INDEX('Per Invoice'!S$2:S$401,$AH263)="","",INDEX('Per Invoice'!S$2:S$401,$AH263)))</f>
        <v/>
      </c>
      <c r="T263" s="7">
        <f>IF($AH263="","",IF(INDEX('Per Invoice'!T$2:T$401,$AH263)="","",INDEX('Per Invoice'!T$2:T$401,$AH263)))</f>
        <v/>
      </c>
      <c r="U263" s="7">
        <f>IF($AH263="","",IF(INDEX('Per Invoice'!U$2:U$401,$AH263)="","",INDEX('Per Invoice'!U$2:U$401,$AH263)))</f>
        <v/>
      </c>
      <c r="V263">
        <f>IF($AH263="","",IF(INDEX('Per Invoice'!V$2:V$401,$AH263)="","",INDEX('Per Invoice'!V$2:V$401,$AH263)))</f>
        <v/>
      </c>
      <c r="W263" s="7">
        <f>IF($AH263="","",IF(INDEX('Per Invoice'!W$2:W$401,$AH263)="","",INDEX('Per Invoice'!W$2:W$401,$AH263)))</f>
        <v/>
      </c>
      <c r="X263" s="7">
        <f>IF($AH263="","",IF(INDEX('Per Invoice'!X$2:X$401,$AH263)="","",INDEX('Per Invoice'!X$2:X$401,$AH263)))</f>
        <v/>
      </c>
      <c r="Y263">
        <f>IF($AH263="","",IF(INDEX('Per Invoice'!Y$2:Y$401,$AH263)="","",INDEX('Per Invoice'!Y$2:Y$401,$AH263)))</f>
        <v/>
      </c>
      <c r="Z263" s="7">
        <f>IF($AH263="","",IF(INDEX('Per Invoice'!Z$2:Z$401,$AH263)="","",INDEX('Per Invoice'!Z$2:Z$401,$AH263)))</f>
        <v/>
      </c>
      <c r="AA263" s="7">
        <f>IF($AH263="","",IF(INDEX('Per Invoice'!AA$2:AA$401,$AH263)="","",INDEX('Per Invoice'!AA$2:AA$401,$AH263)))</f>
        <v/>
      </c>
      <c r="AB263" s="7">
        <f>IF($AH263="","",IF(INDEX('Per Invoice'!AB$2:AB$401,$AH263)="","",INDEX('Per Invoice'!AB$2:AB$401,$AH263)))</f>
        <v/>
      </c>
      <c r="AC263" s="7">
        <f>IF($AH263="","",IF(INDEX('Per Invoice'!AC$2:AC$401,$AH263)="","",INDEX('Per Invoice'!AC$2:AC$401,$AH263)))</f>
        <v/>
      </c>
      <c r="AD263" s="7">
        <f>IF($AH263="","",IF(INDEX('Per Invoice'!AD$2:AD$401,$AH263)="","",INDEX('Per Invoice'!AD$2:AD$401,$AH263)))</f>
        <v/>
      </c>
      <c r="AE263" s="7">
        <f>IF($AH263="","",IF(INDEX('Per Invoice'!AE$2:AE$401,$AH263)="","",INDEX('Per Invoice'!AE$2:AE$401,$AH263)))</f>
        <v/>
      </c>
      <c r="AF263">
        <f>IF($AH263="","",IF(INDEX('Per Invoice'!AF$2:AF$401,$AH263)="","",INDEX('Per Invoice'!AF$2:AF$401,$AH263)))</f>
        <v/>
      </c>
      <c r="AG263" s="7">
        <f>IF($AH263="","",IF(INDEX('Per Invoice'!AG$2:AG$401,$AH263)="","",INDEX('Per Invoice'!AG$2:AG$401,$AH263)))</f>
        <v/>
      </c>
      <c r="AH263" s="16">
        <f>IFERROR(MATCH(Settings!$C$26&amp;"|"&amp;ROWS($AH$2:$AH263),'Per Invoice'!$AI$2:$AI$401,0),"")</f>
        <v/>
      </c>
    </row>
    <row r="264">
      <c r="A264">
        <f>IF($AH264="","",IF(INDEX('Per Invoice'!A$2:A$401,$AH264)="","",INDEX('Per Invoice'!A$2:A$401,$AH264)))</f>
        <v/>
      </c>
      <c r="B264">
        <f>IF($AH264="","",IF(INDEX('Per Invoice'!B$2:B$401,$AH264)="","",INDEX('Per Invoice'!B$2:B$401,$AH264)))</f>
        <v/>
      </c>
      <c r="C264">
        <f>IF($AH264="","",IF(INDEX('Per Invoice'!C$2:C$401,$AH264)="","",INDEX('Per Invoice'!C$2:C$401,$AH264)))</f>
        <v/>
      </c>
      <c r="D264">
        <f>IF($AH264="","",IF(INDEX('Per Invoice'!D$2:D$401,$AH264)="","",INDEX('Per Invoice'!D$2:D$401,$AH264)))</f>
        <v/>
      </c>
      <c r="E264">
        <f>IF($AH264="","",IF(INDEX('Per Invoice'!E$2:E$401,$AH264)="","",INDEX('Per Invoice'!E$2:E$401,$AH264)))</f>
        <v/>
      </c>
      <c r="F264">
        <f>IF($AH264="","",IF(INDEX('Per Invoice'!F$2:F$401,$AH264)="","",INDEX('Per Invoice'!F$2:F$401,$AH264)))</f>
        <v/>
      </c>
      <c r="G264">
        <f>IF($AH264="","",IF(INDEX('Per Invoice'!G$2:G$401,$AH264)="","",INDEX('Per Invoice'!G$2:G$401,$AH264)))</f>
        <v/>
      </c>
      <c r="H264">
        <f>IF($AH264="","",IF(INDEX('Per Invoice'!H$2:H$401,$AH264)="","",INDEX('Per Invoice'!H$2:H$401,$AH264)))</f>
        <v/>
      </c>
      <c r="I264" s="14">
        <f>IF($AH264="","",IF(INDEX('Per Invoice'!I$2:I$401,$AH264)="","",INDEX('Per Invoice'!I$2:I$401,$AH264)))</f>
        <v/>
      </c>
      <c r="J264">
        <f>IF($AH264="","",IF(INDEX('Per Invoice'!J$2:J$401,$AH264)="","",INDEX('Per Invoice'!J$2:J$401,$AH264)))</f>
        <v/>
      </c>
      <c r="K264">
        <f>IF($AH264="","",IF(INDEX('Per Invoice'!K$2:K$401,$AH264)="","",INDEX('Per Invoice'!K$2:K$401,$AH264)))</f>
        <v/>
      </c>
      <c r="L264">
        <f>IF($AH264="","",IF(INDEX('Per Invoice'!L$2:L$401,$AH264)="","",INDEX('Per Invoice'!L$2:L$401,$AH264)))</f>
        <v/>
      </c>
      <c r="M264">
        <f>IF($AH264="","",IF(INDEX('Per Invoice'!M$2:M$401,$AH264)="","",INDEX('Per Invoice'!M$2:M$401,$AH264)))</f>
        <v/>
      </c>
      <c r="N264">
        <f>IF($AH264="","",IF(INDEX('Per Invoice'!N$2:N$401,$AH264)="","",INDEX('Per Invoice'!N$2:N$401,$AH264)))</f>
        <v/>
      </c>
      <c r="O264">
        <f>IF($AH264="","",IF(INDEX('Per Invoice'!O$2:O$401,$AH264)="","",INDEX('Per Invoice'!O$2:O$401,$AH264)))</f>
        <v/>
      </c>
      <c r="P264" s="7">
        <f>IF($AH264="","",IF(INDEX('Per Invoice'!P$2:P$401,$AH264)="","",INDEX('Per Invoice'!P$2:P$401,$AH264)))</f>
        <v/>
      </c>
      <c r="Q264">
        <f>IF($AH264="","",IF(INDEX('Per Invoice'!Q$2:Q$401,$AH264)="","",INDEX('Per Invoice'!Q$2:Q$401,$AH264)))</f>
        <v/>
      </c>
      <c r="R264">
        <f>IF($AH264="","",IF(INDEX('Per Invoice'!R$2:R$401,$AH264)="","",INDEX('Per Invoice'!R$2:R$401,$AH264)))</f>
        <v/>
      </c>
      <c r="S264">
        <f>IF($AH264="","",IF(INDEX('Per Invoice'!S$2:S$401,$AH264)="","",INDEX('Per Invoice'!S$2:S$401,$AH264)))</f>
        <v/>
      </c>
      <c r="T264" s="7">
        <f>IF($AH264="","",IF(INDEX('Per Invoice'!T$2:T$401,$AH264)="","",INDEX('Per Invoice'!T$2:T$401,$AH264)))</f>
        <v/>
      </c>
      <c r="U264" s="7">
        <f>IF($AH264="","",IF(INDEX('Per Invoice'!U$2:U$401,$AH264)="","",INDEX('Per Invoice'!U$2:U$401,$AH264)))</f>
        <v/>
      </c>
      <c r="V264">
        <f>IF($AH264="","",IF(INDEX('Per Invoice'!V$2:V$401,$AH264)="","",INDEX('Per Invoice'!V$2:V$401,$AH264)))</f>
        <v/>
      </c>
      <c r="W264" s="7">
        <f>IF($AH264="","",IF(INDEX('Per Invoice'!W$2:W$401,$AH264)="","",INDEX('Per Invoice'!W$2:W$401,$AH264)))</f>
        <v/>
      </c>
      <c r="X264" s="7">
        <f>IF($AH264="","",IF(INDEX('Per Invoice'!X$2:X$401,$AH264)="","",INDEX('Per Invoice'!X$2:X$401,$AH264)))</f>
        <v/>
      </c>
      <c r="Y264">
        <f>IF($AH264="","",IF(INDEX('Per Invoice'!Y$2:Y$401,$AH264)="","",INDEX('Per Invoice'!Y$2:Y$401,$AH264)))</f>
        <v/>
      </c>
      <c r="Z264" s="7">
        <f>IF($AH264="","",IF(INDEX('Per Invoice'!Z$2:Z$401,$AH264)="","",INDEX('Per Invoice'!Z$2:Z$401,$AH264)))</f>
        <v/>
      </c>
      <c r="AA264" s="7">
        <f>IF($AH264="","",IF(INDEX('Per Invoice'!AA$2:AA$401,$AH264)="","",INDEX('Per Invoice'!AA$2:AA$401,$AH264)))</f>
        <v/>
      </c>
      <c r="AB264" s="7">
        <f>IF($AH264="","",IF(INDEX('Per Invoice'!AB$2:AB$401,$AH264)="","",INDEX('Per Invoice'!AB$2:AB$401,$AH264)))</f>
        <v/>
      </c>
      <c r="AC264" s="7">
        <f>IF($AH264="","",IF(INDEX('Per Invoice'!AC$2:AC$401,$AH264)="","",INDEX('Per Invoice'!AC$2:AC$401,$AH264)))</f>
        <v/>
      </c>
      <c r="AD264" s="7">
        <f>IF($AH264="","",IF(INDEX('Per Invoice'!AD$2:AD$401,$AH264)="","",INDEX('Per Invoice'!AD$2:AD$401,$AH264)))</f>
        <v/>
      </c>
      <c r="AE264" s="7">
        <f>IF($AH264="","",IF(INDEX('Per Invoice'!AE$2:AE$401,$AH264)="","",INDEX('Per Invoice'!AE$2:AE$401,$AH264)))</f>
        <v/>
      </c>
      <c r="AF264">
        <f>IF($AH264="","",IF(INDEX('Per Invoice'!AF$2:AF$401,$AH264)="","",INDEX('Per Invoice'!AF$2:AF$401,$AH264)))</f>
        <v/>
      </c>
      <c r="AG264" s="7">
        <f>IF($AH264="","",IF(INDEX('Per Invoice'!AG$2:AG$401,$AH264)="","",INDEX('Per Invoice'!AG$2:AG$401,$AH264)))</f>
        <v/>
      </c>
      <c r="AH264" s="16">
        <f>IFERROR(MATCH(Settings!$C$26&amp;"|"&amp;ROWS($AH$2:$AH264),'Per Invoice'!$AI$2:$AI$401,0),"")</f>
        <v/>
      </c>
    </row>
    <row r="265">
      <c r="A265">
        <f>IF($AH265="","",IF(INDEX('Per Invoice'!A$2:A$401,$AH265)="","",INDEX('Per Invoice'!A$2:A$401,$AH265)))</f>
        <v/>
      </c>
      <c r="B265">
        <f>IF($AH265="","",IF(INDEX('Per Invoice'!B$2:B$401,$AH265)="","",INDEX('Per Invoice'!B$2:B$401,$AH265)))</f>
        <v/>
      </c>
      <c r="C265">
        <f>IF($AH265="","",IF(INDEX('Per Invoice'!C$2:C$401,$AH265)="","",INDEX('Per Invoice'!C$2:C$401,$AH265)))</f>
        <v/>
      </c>
      <c r="D265">
        <f>IF($AH265="","",IF(INDEX('Per Invoice'!D$2:D$401,$AH265)="","",INDEX('Per Invoice'!D$2:D$401,$AH265)))</f>
        <v/>
      </c>
      <c r="E265">
        <f>IF($AH265="","",IF(INDEX('Per Invoice'!E$2:E$401,$AH265)="","",INDEX('Per Invoice'!E$2:E$401,$AH265)))</f>
        <v/>
      </c>
      <c r="F265">
        <f>IF($AH265="","",IF(INDEX('Per Invoice'!F$2:F$401,$AH265)="","",INDEX('Per Invoice'!F$2:F$401,$AH265)))</f>
        <v/>
      </c>
      <c r="G265">
        <f>IF($AH265="","",IF(INDEX('Per Invoice'!G$2:G$401,$AH265)="","",INDEX('Per Invoice'!G$2:G$401,$AH265)))</f>
        <v/>
      </c>
      <c r="H265">
        <f>IF($AH265="","",IF(INDEX('Per Invoice'!H$2:H$401,$AH265)="","",INDEX('Per Invoice'!H$2:H$401,$AH265)))</f>
        <v/>
      </c>
      <c r="I265" s="14">
        <f>IF($AH265="","",IF(INDEX('Per Invoice'!I$2:I$401,$AH265)="","",INDEX('Per Invoice'!I$2:I$401,$AH265)))</f>
        <v/>
      </c>
      <c r="J265">
        <f>IF($AH265="","",IF(INDEX('Per Invoice'!J$2:J$401,$AH265)="","",INDEX('Per Invoice'!J$2:J$401,$AH265)))</f>
        <v/>
      </c>
      <c r="K265">
        <f>IF($AH265="","",IF(INDEX('Per Invoice'!K$2:K$401,$AH265)="","",INDEX('Per Invoice'!K$2:K$401,$AH265)))</f>
        <v/>
      </c>
      <c r="L265">
        <f>IF($AH265="","",IF(INDEX('Per Invoice'!L$2:L$401,$AH265)="","",INDEX('Per Invoice'!L$2:L$401,$AH265)))</f>
        <v/>
      </c>
      <c r="M265">
        <f>IF($AH265="","",IF(INDEX('Per Invoice'!M$2:M$401,$AH265)="","",INDEX('Per Invoice'!M$2:M$401,$AH265)))</f>
        <v/>
      </c>
      <c r="N265">
        <f>IF($AH265="","",IF(INDEX('Per Invoice'!N$2:N$401,$AH265)="","",INDEX('Per Invoice'!N$2:N$401,$AH265)))</f>
        <v/>
      </c>
      <c r="O265">
        <f>IF($AH265="","",IF(INDEX('Per Invoice'!O$2:O$401,$AH265)="","",INDEX('Per Invoice'!O$2:O$401,$AH265)))</f>
        <v/>
      </c>
      <c r="P265" s="7">
        <f>IF($AH265="","",IF(INDEX('Per Invoice'!P$2:P$401,$AH265)="","",INDEX('Per Invoice'!P$2:P$401,$AH265)))</f>
        <v/>
      </c>
      <c r="Q265">
        <f>IF($AH265="","",IF(INDEX('Per Invoice'!Q$2:Q$401,$AH265)="","",INDEX('Per Invoice'!Q$2:Q$401,$AH265)))</f>
        <v/>
      </c>
      <c r="R265">
        <f>IF($AH265="","",IF(INDEX('Per Invoice'!R$2:R$401,$AH265)="","",INDEX('Per Invoice'!R$2:R$401,$AH265)))</f>
        <v/>
      </c>
      <c r="S265">
        <f>IF($AH265="","",IF(INDEX('Per Invoice'!S$2:S$401,$AH265)="","",INDEX('Per Invoice'!S$2:S$401,$AH265)))</f>
        <v/>
      </c>
      <c r="T265" s="7">
        <f>IF($AH265="","",IF(INDEX('Per Invoice'!T$2:T$401,$AH265)="","",INDEX('Per Invoice'!T$2:T$401,$AH265)))</f>
        <v/>
      </c>
      <c r="U265" s="7">
        <f>IF($AH265="","",IF(INDEX('Per Invoice'!U$2:U$401,$AH265)="","",INDEX('Per Invoice'!U$2:U$401,$AH265)))</f>
        <v/>
      </c>
      <c r="V265">
        <f>IF($AH265="","",IF(INDEX('Per Invoice'!V$2:V$401,$AH265)="","",INDEX('Per Invoice'!V$2:V$401,$AH265)))</f>
        <v/>
      </c>
      <c r="W265" s="7">
        <f>IF($AH265="","",IF(INDEX('Per Invoice'!W$2:W$401,$AH265)="","",INDEX('Per Invoice'!W$2:W$401,$AH265)))</f>
        <v/>
      </c>
      <c r="X265" s="7">
        <f>IF($AH265="","",IF(INDEX('Per Invoice'!X$2:X$401,$AH265)="","",INDEX('Per Invoice'!X$2:X$401,$AH265)))</f>
        <v/>
      </c>
      <c r="Y265">
        <f>IF($AH265="","",IF(INDEX('Per Invoice'!Y$2:Y$401,$AH265)="","",INDEX('Per Invoice'!Y$2:Y$401,$AH265)))</f>
        <v/>
      </c>
      <c r="Z265" s="7">
        <f>IF($AH265="","",IF(INDEX('Per Invoice'!Z$2:Z$401,$AH265)="","",INDEX('Per Invoice'!Z$2:Z$401,$AH265)))</f>
        <v/>
      </c>
      <c r="AA265" s="7">
        <f>IF($AH265="","",IF(INDEX('Per Invoice'!AA$2:AA$401,$AH265)="","",INDEX('Per Invoice'!AA$2:AA$401,$AH265)))</f>
        <v/>
      </c>
      <c r="AB265" s="7">
        <f>IF($AH265="","",IF(INDEX('Per Invoice'!AB$2:AB$401,$AH265)="","",INDEX('Per Invoice'!AB$2:AB$401,$AH265)))</f>
        <v/>
      </c>
      <c r="AC265" s="7">
        <f>IF($AH265="","",IF(INDEX('Per Invoice'!AC$2:AC$401,$AH265)="","",INDEX('Per Invoice'!AC$2:AC$401,$AH265)))</f>
        <v/>
      </c>
      <c r="AD265" s="7">
        <f>IF($AH265="","",IF(INDEX('Per Invoice'!AD$2:AD$401,$AH265)="","",INDEX('Per Invoice'!AD$2:AD$401,$AH265)))</f>
        <v/>
      </c>
      <c r="AE265" s="7">
        <f>IF($AH265="","",IF(INDEX('Per Invoice'!AE$2:AE$401,$AH265)="","",INDEX('Per Invoice'!AE$2:AE$401,$AH265)))</f>
        <v/>
      </c>
      <c r="AF265">
        <f>IF($AH265="","",IF(INDEX('Per Invoice'!AF$2:AF$401,$AH265)="","",INDEX('Per Invoice'!AF$2:AF$401,$AH265)))</f>
        <v/>
      </c>
      <c r="AG265" s="7">
        <f>IF($AH265="","",IF(INDEX('Per Invoice'!AG$2:AG$401,$AH265)="","",INDEX('Per Invoice'!AG$2:AG$401,$AH265)))</f>
        <v/>
      </c>
      <c r="AH265" s="16">
        <f>IFERROR(MATCH(Settings!$C$26&amp;"|"&amp;ROWS($AH$2:$AH265),'Per Invoice'!$AI$2:$AI$401,0),"")</f>
        <v/>
      </c>
    </row>
    <row r="266">
      <c r="A266">
        <f>IF($AH266="","",IF(INDEX('Per Invoice'!A$2:A$401,$AH266)="","",INDEX('Per Invoice'!A$2:A$401,$AH266)))</f>
        <v/>
      </c>
      <c r="B266">
        <f>IF($AH266="","",IF(INDEX('Per Invoice'!B$2:B$401,$AH266)="","",INDEX('Per Invoice'!B$2:B$401,$AH266)))</f>
        <v/>
      </c>
      <c r="C266">
        <f>IF($AH266="","",IF(INDEX('Per Invoice'!C$2:C$401,$AH266)="","",INDEX('Per Invoice'!C$2:C$401,$AH266)))</f>
        <v/>
      </c>
      <c r="D266">
        <f>IF($AH266="","",IF(INDEX('Per Invoice'!D$2:D$401,$AH266)="","",INDEX('Per Invoice'!D$2:D$401,$AH266)))</f>
        <v/>
      </c>
      <c r="E266">
        <f>IF($AH266="","",IF(INDEX('Per Invoice'!E$2:E$401,$AH266)="","",INDEX('Per Invoice'!E$2:E$401,$AH266)))</f>
        <v/>
      </c>
      <c r="F266">
        <f>IF($AH266="","",IF(INDEX('Per Invoice'!F$2:F$401,$AH266)="","",INDEX('Per Invoice'!F$2:F$401,$AH266)))</f>
        <v/>
      </c>
      <c r="G266">
        <f>IF($AH266="","",IF(INDEX('Per Invoice'!G$2:G$401,$AH266)="","",INDEX('Per Invoice'!G$2:G$401,$AH266)))</f>
        <v/>
      </c>
      <c r="H266">
        <f>IF($AH266="","",IF(INDEX('Per Invoice'!H$2:H$401,$AH266)="","",INDEX('Per Invoice'!H$2:H$401,$AH266)))</f>
        <v/>
      </c>
      <c r="I266" s="14">
        <f>IF($AH266="","",IF(INDEX('Per Invoice'!I$2:I$401,$AH266)="","",INDEX('Per Invoice'!I$2:I$401,$AH266)))</f>
        <v/>
      </c>
      <c r="J266">
        <f>IF($AH266="","",IF(INDEX('Per Invoice'!J$2:J$401,$AH266)="","",INDEX('Per Invoice'!J$2:J$401,$AH266)))</f>
        <v/>
      </c>
      <c r="K266">
        <f>IF($AH266="","",IF(INDEX('Per Invoice'!K$2:K$401,$AH266)="","",INDEX('Per Invoice'!K$2:K$401,$AH266)))</f>
        <v/>
      </c>
      <c r="L266">
        <f>IF($AH266="","",IF(INDEX('Per Invoice'!L$2:L$401,$AH266)="","",INDEX('Per Invoice'!L$2:L$401,$AH266)))</f>
        <v/>
      </c>
      <c r="M266">
        <f>IF($AH266="","",IF(INDEX('Per Invoice'!M$2:M$401,$AH266)="","",INDEX('Per Invoice'!M$2:M$401,$AH266)))</f>
        <v/>
      </c>
      <c r="N266">
        <f>IF($AH266="","",IF(INDEX('Per Invoice'!N$2:N$401,$AH266)="","",INDEX('Per Invoice'!N$2:N$401,$AH266)))</f>
        <v/>
      </c>
      <c r="O266">
        <f>IF($AH266="","",IF(INDEX('Per Invoice'!O$2:O$401,$AH266)="","",INDEX('Per Invoice'!O$2:O$401,$AH266)))</f>
        <v/>
      </c>
      <c r="P266" s="7">
        <f>IF($AH266="","",IF(INDEX('Per Invoice'!P$2:P$401,$AH266)="","",INDEX('Per Invoice'!P$2:P$401,$AH266)))</f>
        <v/>
      </c>
      <c r="Q266">
        <f>IF($AH266="","",IF(INDEX('Per Invoice'!Q$2:Q$401,$AH266)="","",INDEX('Per Invoice'!Q$2:Q$401,$AH266)))</f>
        <v/>
      </c>
      <c r="R266">
        <f>IF($AH266="","",IF(INDEX('Per Invoice'!R$2:R$401,$AH266)="","",INDEX('Per Invoice'!R$2:R$401,$AH266)))</f>
        <v/>
      </c>
      <c r="S266">
        <f>IF($AH266="","",IF(INDEX('Per Invoice'!S$2:S$401,$AH266)="","",INDEX('Per Invoice'!S$2:S$401,$AH266)))</f>
        <v/>
      </c>
      <c r="T266" s="7">
        <f>IF($AH266="","",IF(INDEX('Per Invoice'!T$2:T$401,$AH266)="","",INDEX('Per Invoice'!T$2:T$401,$AH266)))</f>
        <v/>
      </c>
      <c r="U266" s="7">
        <f>IF($AH266="","",IF(INDEX('Per Invoice'!U$2:U$401,$AH266)="","",INDEX('Per Invoice'!U$2:U$401,$AH266)))</f>
        <v/>
      </c>
      <c r="V266">
        <f>IF($AH266="","",IF(INDEX('Per Invoice'!V$2:V$401,$AH266)="","",INDEX('Per Invoice'!V$2:V$401,$AH266)))</f>
        <v/>
      </c>
      <c r="W266" s="7">
        <f>IF($AH266="","",IF(INDEX('Per Invoice'!W$2:W$401,$AH266)="","",INDEX('Per Invoice'!W$2:W$401,$AH266)))</f>
        <v/>
      </c>
      <c r="X266" s="7">
        <f>IF($AH266="","",IF(INDEX('Per Invoice'!X$2:X$401,$AH266)="","",INDEX('Per Invoice'!X$2:X$401,$AH266)))</f>
        <v/>
      </c>
      <c r="Y266">
        <f>IF($AH266="","",IF(INDEX('Per Invoice'!Y$2:Y$401,$AH266)="","",INDEX('Per Invoice'!Y$2:Y$401,$AH266)))</f>
        <v/>
      </c>
      <c r="Z266" s="7">
        <f>IF($AH266="","",IF(INDEX('Per Invoice'!Z$2:Z$401,$AH266)="","",INDEX('Per Invoice'!Z$2:Z$401,$AH266)))</f>
        <v/>
      </c>
      <c r="AA266" s="7">
        <f>IF($AH266="","",IF(INDEX('Per Invoice'!AA$2:AA$401,$AH266)="","",INDEX('Per Invoice'!AA$2:AA$401,$AH266)))</f>
        <v/>
      </c>
      <c r="AB266" s="7">
        <f>IF($AH266="","",IF(INDEX('Per Invoice'!AB$2:AB$401,$AH266)="","",INDEX('Per Invoice'!AB$2:AB$401,$AH266)))</f>
        <v/>
      </c>
      <c r="AC266" s="7">
        <f>IF($AH266="","",IF(INDEX('Per Invoice'!AC$2:AC$401,$AH266)="","",INDEX('Per Invoice'!AC$2:AC$401,$AH266)))</f>
        <v/>
      </c>
      <c r="AD266" s="7">
        <f>IF($AH266="","",IF(INDEX('Per Invoice'!AD$2:AD$401,$AH266)="","",INDEX('Per Invoice'!AD$2:AD$401,$AH266)))</f>
        <v/>
      </c>
      <c r="AE266" s="7">
        <f>IF($AH266="","",IF(INDEX('Per Invoice'!AE$2:AE$401,$AH266)="","",INDEX('Per Invoice'!AE$2:AE$401,$AH266)))</f>
        <v/>
      </c>
      <c r="AF266">
        <f>IF($AH266="","",IF(INDEX('Per Invoice'!AF$2:AF$401,$AH266)="","",INDEX('Per Invoice'!AF$2:AF$401,$AH266)))</f>
        <v/>
      </c>
      <c r="AG266" s="7">
        <f>IF($AH266="","",IF(INDEX('Per Invoice'!AG$2:AG$401,$AH266)="","",INDEX('Per Invoice'!AG$2:AG$401,$AH266)))</f>
        <v/>
      </c>
      <c r="AH266" s="16">
        <f>IFERROR(MATCH(Settings!$C$26&amp;"|"&amp;ROWS($AH$2:$AH266),'Per Invoice'!$AI$2:$AI$401,0),"")</f>
        <v/>
      </c>
    </row>
    <row r="267">
      <c r="A267">
        <f>IF($AH267="","",IF(INDEX('Per Invoice'!A$2:A$401,$AH267)="","",INDEX('Per Invoice'!A$2:A$401,$AH267)))</f>
        <v/>
      </c>
      <c r="B267">
        <f>IF($AH267="","",IF(INDEX('Per Invoice'!B$2:B$401,$AH267)="","",INDEX('Per Invoice'!B$2:B$401,$AH267)))</f>
        <v/>
      </c>
      <c r="C267">
        <f>IF($AH267="","",IF(INDEX('Per Invoice'!C$2:C$401,$AH267)="","",INDEX('Per Invoice'!C$2:C$401,$AH267)))</f>
        <v/>
      </c>
      <c r="D267">
        <f>IF($AH267="","",IF(INDEX('Per Invoice'!D$2:D$401,$AH267)="","",INDEX('Per Invoice'!D$2:D$401,$AH267)))</f>
        <v/>
      </c>
      <c r="E267">
        <f>IF($AH267="","",IF(INDEX('Per Invoice'!E$2:E$401,$AH267)="","",INDEX('Per Invoice'!E$2:E$401,$AH267)))</f>
        <v/>
      </c>
      <c r="F267">
        <f>IF($AH267="","",IF(INDEX('Per Invoice'!F$2:F$401,$AH267)="","",INDEX('Per Invoice'!F$2:F$401,$AH267)))</f>
        <v/>
      </c>
      <c r="G267">
        <f>IF($AH267="","",IF(INDEX('Per Invoice'!G$2:G$401,$AH267)="","",INDEX('Per Invoice'!G$2:G$401,$AH267)))</f>
        <v/>
      </c>
      <c r="H267">
        <f>IF($AH267="","",IF(INDEX('Per Invoice'!H$2:H$401,$AH267)="","",INDEX('Per Invoice'!H$2:H$401,$AH267)))</f>
        <v/>
      </c>
      <c r="I267" s="14">
        <f>IF($AH267="","",IF(INDEX('Per Invoice'!I$2:I$401,$AH267)="","",INDEX('Per Invoice'!I$2:I$401,$AH267)))</f>
        <v/>
      </c>
      <c r="J267">
        <f>IF($AH267="","",IF(INDEX('Per Invoice'!J$2:J$401,$AH267)="","",INDEX('Per Invoice'!J$2:J$401,$AH267)))</f>
        <v/>
      </c>
      <c r="K267">
        <f>IF($AH267="","",IF(INDEX('Per Invoice'!K$2:K$401,$AH267)="","",INDEX('Per Invoice'!K$2:K$401,$AH267)))</f>
        <v/>
      </c>
      <c r="L267">
        <f>IF($AH267="","",IF(INDEX('Per Invoice'!L$2:L$401,$AH267)="","",INDEX('Per Invoice'!L$2:L$401,$AH267)))</f>
        <v/>
      </c>
      <c r="M267">
        <f>IF($AH267="","",IF(INDEX('Per Invoice'!M$2:M$401,$AH267)="","",INDEX('Per Invoice'!M$2:M$401,$AH267)))</f>
        <v/>
      </c>
      <c r="N267">
        <f>IF($AH267="","",IF(INDEX('Per Invoice'!N$2:N$401,$AH267)="","",INDEX('Per Invoice'!N$2:N$401,$AH267)))</f>
        <v/>
      </c>
      <c r="O267">
        <f>IF($AH267="","",IF(INDEX('Per Invoice'!O$2:O$401,$AH267)="","",INDEX('Per Invoice'!O$2:O$401,$AH267)))</f>
        <v/>
      </c>
      <c r="P267" s="7">
        <f>IF($AH267="","",IF(INDEX('Per Invoice'!P$2:P$401,$AH267)="","",INDEX('Per Invoice'!P$2:P$401,$AH267)))</f>
        <v/>
      </c>
      <c r="Q267">
        <f>IF($AH267="","",IF(INDEX('Per Invoice'!Q$2:Q$401,$AH267)="","",INDEX('Per Invoice'!Q$2:Q$401,$AH267)))</f>
        <v/>
      </c>
      <c r="R267">
        <f>IF($AH267="","",IF(INDEX('Per Invoice'!R$2:R$401,$AH267)="","",INDEX('Per Invoice'!R$2:R$401,$AH267)))</f>
        <v/>
      </c>
      <c r="S267">
        <f>IF($AH267="","",IF(INDEX('Per Invoice'!S$2:S$401,$AH267)="","",INDEX('Per Invoice'!S$2:S$401,$AH267)))</f>
        <v/>
      </c>
      <c r="T267" s="7">
        <f>IF($AH267="","",IF(INDEX('Per Invoice'!T$2:T$401,$AH267)="","",INDEX('Per Invoice'!T$2:T$401,$AH267)))</f>
        <v/>
      </c>
      <c r="U267" s="7">
        <f>IF($AH267="","",IF(INDEX('Per Invoice'!U$2:U$401,$AH267)="","",INDEX('Per Invoice'!U$2:U$401,$AH267)))</f>
        <v/>
      </c>
      <c r="V267">
        <f>IF($AH267="","",IF(INDEX('Per Invoice'!V$2:V$401,$AH267)="","",INDEX('Per Invoice'!V$2:V$401,$AH267)))</f>
        <v/>
      </c>
      <c r="W267" s="7">
        <f>IF($AH267="","",IF(INDEX('Per Invoice'!W$2:W$401,$AH267)="","",INDEX('Per Invoice'!W$2:W$401,$AH267)))</f>
        <v/>
      </c>
      <c r="X267" s="7">
        <f>IF($AH267="","",IF(INDEX('Per Invoice'!X$2:X$401,$AH267)="","",INDEX('Per Invoice'!X$2:X$401,$AH267)))</f>
        <v/>
      </c>
      <c r="Y267">
        <f>IF($AH267="","",IF(INDEX('Per Invoice'!Y$2:Y$401,$AH267)="","",INDEX('Per Invoice'!Y$2:Y$401,$AH267)))</f>
        <v/>
      </c>
      <c r="Z267" s="7">
        <f>IF($AH267="","",IF(INDEX('Per Invoice'!Z$2:Z$401,$AH267)="","",INDEX('Per Invoice'!Z$2:Z$401,$AH267)))</f>
        <v/>
      </c>
      <c r="AA267" s="7">
        <f>IF($AH267="","",IF(INDEX('Per Invoice'!AA$2:AA$401,$AH267)="","",INDEX('Per Invoice'!AA$2:AA$401,$AH267)))</f>
        <v/>
      </c>
      <c r="AB267" s="7">
        <f>IF($AH267="","",IF(INDEX('Per Invoice'!AB$2:AB$401,$AH267)="","",INDEX('Per Invoice'!AB$2:AB$401,$AH267)))</f>
        <v/>
      </c>
      <c r="AC267" s="7">
        <f>IF($AH267="","",IF(INDEX('Per Invoice'!AC$2:AC$401,$AH267)="","",INDEX('Per Invoice'!AC$2:AC$401,$AH267)))</f>
        <v/>
      </c>
      <c r="AD267" s="7">
        <f>IF($AH267="","",IF(INDEX('Per Invoice'!AD$2:AD$401,$AH267)="","",INDEX('Per Invoice'!AD$2:AD$401,$AH267)))</f>
        <v/>
      </c>
      <c r="AE267" s="7">
        <f>IF($AH267="","",IF(INDEX('Per Invoice'!AE$2:AE$401,$AH267)="","",INDEX('Per Invoice'!AE$2:AE$401,$AH267)))</f>
        <v/>
      </c>
      <c r="AF267">
        <f>IF($AH267="","",IF(INDEX('Per Invoice'!AF$2:AF$401,$AH267)="","",INDEX('Per Invoice'!AF$2:AF$401,$AH267)))</f>
        <v/>
      </c>
      <c r="AG267" s="7">
        <f>IF($AH267="","",IF(INDEX('Per Invoice'!AG$2:AG$401,$AH267)="","",INDEX('Per Invoice'!AG$2:AG$401,$AH267)))</f>
        <v/>
      </c>
      <c r="AH267" s="16">
        <f>IFERROR(MATCH(Settings!$C$26&amp;"|"&amp;ROWS($AH$2:$AH267),'Per Invoice'!$AI$2:$AI$401,0),"")</f>
        <v/>
      </c>
    </row>
    <row r="268">
      <c r="A268">
        <f>IF($AH268="","",IF(INDEX('Per Invoice'!A$2:A$401,$AH268)="","",INDEX('Per Invoice'!A$2:A$401,$AH268)))</f>
        <v/>
      </c>
      <c r="B268">
        <f>IF($AH268="","",IF(INDEX('Per Invoice'!B$2:B$401,$AH268)="","",INDEX('Per Invoice'!B$2:B$401,$AH268)))</f>
        <v/>
      </c>
      <c r="C268">
        <f>IF($AH268="","",IF(INDEX('Per Invoice'!C$2:C$401,$AH268)="","",INDEX('Per Invoice'!C$2:C$401,$AH268)))</f>
        <v/>
      </c>
      <c r="D268">
        <f>IF($AH268="","",IF(INDEX('Per Invoice'!D$2:D$401,$AH268)="","",INDEX('Per Invoice'!D$2:D$401,$AH268)))</f>
        <v/>
      </c>
      <c r="E268">
        <f>IF($AH268="","",IF(INDEX('Per Invoice'!E$2:E$401,$AH268)="","",INDEX('Per Invoice'!E$2:E$401,$AH268)))</f>
        <v/>
      </c>
      <c r="F268">
        <f>IF($AH268="","",IF(INDEX('Per Invoice'!F$2:F$401,$AH268)="","",INDEX('Per Invoice'!F$2:F$401,$AH268)))</f>
        <v/>
      </c>
      <c r="G268">
        <f>IF($AH268="","",IF(INDEX('Per Invoice'!G$2:G$401,$AH268)="","",INDEX('Per Invoice'!G$2:G$401,$AH268)))</f>
        <v/>
      </c>
      <c r="H268">
        <f>IF($AH268="","",IF(INDEX('Per Invoice'!H$2:H$401,$AH268)="","",INDEX('Per Invoice'!H$2:H$401,$AH268)))</f>
        <v/>
      </c>
      <c r="I268" s="14">
        <f>IF($AH268="","",IF(INDEX('Per Invoice'!I$2:I$401,$AH268)="","",INDEX('Per Invoice'!I$2:I$401,$AH268)))</f>
        <v/>
      </c>
      <c r="J268">
        <f>IF($AH268="","",IF(INDEX('Per Invoice'!J$2:J$401,$AH268)="","",INDEX('Per Invoice'!J$2:J$401,$AH268)))</f>
        <v/>
      </c>
      <c r="K268">
        <f>IF($AH268="","",IF(INDEX('Per Invoice'!K$2:K$401,$AH268)="","",INDEX('Per Invoice'!K$2:K$401,$AH268)))</f>
        <v/>
      </c>
      <c r="L268">
        <f>IF($AH268="","",IF(INDEX('Per Invoice'!L$2:L$401,$AH268)="","",INDEX('Per Invoice'!L$2:L$401,$AH268)))</f>
        <v/>
      </c>
      <c r="M268">
        <f>IF($AH268="","",IF(INDEX('Per Invoice'!M$2:M$401,$AH268)="","",INDEX('Per Invoice'!M$2:M$401,$AH268)))</f>
        <v/>
      </c>
      <c r="N268">
        <f>IF($AH268="","",IF(INDEX('Per Invoice'!N$2:N$401,$AH268)="","",INDEX('Per Invoice'!N$2:N$401,$AH268)))</f>
        <v/>
      </c>
      <c r="O268">
        <f>IF($AH268="","",IF(INDEX('Per Invoice'!O$2:O$401,$AH268)="","",INDEX('Per Invoice'!O$2:O$401,$AH268)))</f>
        <v/>
      </c>
      <c r="P268" s="7">
        <f>IF($AH268="","",IF(INDEX('Per Invoice'!P$2:P$401,$AH268)="","",INDEX('Per Invoice'!P$2:P$401,$AH268)))</f>
        <v/>
      </c>
      <c r="Q268">
        <f>IF($AH268="","",IF(INDEX('Per Invoice'!Q$2:Q$401,$AH268)="","",INDEX('Per Invoice'!Q$2:Q$401,$AH268)))</f>
        <v/>
      </c>
      <c r="R268">
        <f>IF($AH268="","",IF(INDEX('Per Invoice'!R$2:R$401,$AH268)="","",INDEX('Per Invoice'!R$2:R$401,$AH268)))</f>
        <v/>
      </c>
      <c r="S268">
        <f>IF($AH268="","",IF(INDEX('Per Invoice'!S$2:S$401,$AH268)="","",INDEX('Per Invoice'!S$2:S$401,$AH268)))</f>
        <v/>
      </c>
      <c r="T268" s="7">
        <f>IF($AH268="","",IF(INDEX('Per Invoice'!T$2:T$401,$AH268)="","",INDEX('Per Invoice'!T$2:T$401,$AH268)))</f>
        <v/>
      </c>
      <c r="U268" s="7">
        <f>IF($AH268="","",IF(INDEX('Per Invoice'!U$2:U$401,$AH268)="","",INDEX('Per Invoice'!U$2:U$401,$AH268)))</f>
        <v/>
      </c>
      <c r="V268">
        <f>IF($AH268="","",IF(INDEX('Per Invoice'!V$2:V$401,$AH268)="","",INDEX('Per Invoice'!V$2:V$401,$AH268)))</f>
        <v/>
      </c>
      <c r="W268" s="7">
        <f>IF($AH268="","",IF(INDEX('Per Invoice'!W$2:W$401,$AH268)="","",INDEX('Per Invoice'!W$2:W$401,$AH268)))</f>
        <v/>
      </c>
      <c r="X268" s="7">
        <f>IF($AH268="","",IF(INDEX('Per Invoice'!X$2:X$401,$AH268)="","",INDEX('Per Invoice'!X$2:X$401,$AH268)))</f>
        <v/>
      </c>
      <c r="Y268">
        <f>IF($AH268="","",IF(INDEX('Per Invoice'!Y$2:Y$401,$AH268)="","",INDEX('Per Invoice'!Y$2:Y$401,$AH268)))</f>
        <v/>
      </c>
      <c r="Z268" s="7">
        <f>IF($AH268="","",IF(INDEX('Per Invoice'!Z$2:Z$401,$AH268)="","",INDEX('Per Invoice'!Z$2:Z$401,$AH268)))</f>
        <v/>
      </c>
      <c r="AA268" s="7">
        <f>IF($AH268="","",IF(INDEX('Per Invoice'!AA$2:AA$401,$AH268)="","",INDEX('Per Invoice'!AA$2:AA$401,$AH268)))</f>
        <v/>
      </c>
      <c r="AB268" s="7">
        <f>IF($AH268="","",IF(INDEX('Per Invoice'!AB$2:AB$401,$AH268)="","",INDEX('Per Invoice'!AB$2:AB$401,$AH268)))</f>
        <v/>
      </c>
      <c r="AC268" s="7">
        <f>IF($AH268="","",IF(INDEX('Per Invoice'!AC$2:AC$401,$AH268)="","",INDEX('Per Invoice'!AC$2:AC$401,$AH268)))</f>
        <v/>
      </c>
      <c r="AD268" s="7">
        <f>IF($AH268="","",IF(INDEX('Per Invoice'!AD$2:AD$401,$AH268)="","",INDEX('Per Invoice'!AD$2:AD$401,$AH268)))</f>
        <v/>
      </c>
      <c r="AE268" s="7">
        <f>IF($AH268="","",IF(INDEX('Per Invoice'!AE$2:AE$401,$AH268)="","",INDEX('Per Invoice'!AE$2:AE$401,$AH268)))</f>
        <v/>
      </c>
      <c r="AF268">
        <f>IF($AH268="","",IF(INDEX('Per Invoice'!AF$2:AF$401,$AH268)="","",INDEX('Per Invoice'!AF$2:AF$401,$AH268)))</f>
        <v/>
      </c>
      <c r="AG268" s="7">
        <f>IF($AH268="","",IF(INDEX('Per Invoice'!AG$2:AG$401,$AH268)="","",INDEX('Per Invoice'!AG$2:AG$401,$AH268)))</f>
        <v/>
      </c>
      <c r="AH268" s="16">
        <f>IFERROR(MATCH(Settings!$C$26&amp;"|"&amp;ROWS($AH$2:$AH268),'Per Invoice'!$AI$2:$AI$401,0),"")</f>
        <v/>
      </c>
    </row>
    <row r="269">
      <c r="A269">
        <f>IF($AH269="","",IF(INDEX('Per Invoice'!A$2:A$401,$AH269)="","",INDEX('Per Invoice'!A$2:A$401,$AH269)))</f>
        <v/>
      </c>
      <c r="B269">
        <f>IF($AH269="","",IF(INDEX('Per Invoice'!B$2:B$401,$AH269)="","",INDEX('Per Invoice'!B$2:B$401,$AH269)))</f>
        <v/>
      </c>
      <c r="C269">
        <f>IF($AH269="","",IF(INDEX('Per Invoice'!C$2:C$401,$AH269)="","",INDEX('Per Invoice'!C$2:C$401,$AH269)))</f>
        <v/>
      </c>
      <c r="D269">
        <f>IF($AH269="","",IF(INDEX('Per Invoice'!D$2:D$401,$AH269)="","",INDEX('Per Invoice'!D$2:D$401,$AH269)))</f>
        <v/>
      </c>
      <c r="E269">
        <f>IF($AH269="","",IF(INDEX('Per Invoice'!E$2:E$401,$AH269)="","",INDEX('Per Invoice'!E$2:E$401,$AH269)))</f>
        <v/>
      </c>
      <c r="F269">
        <f>IF($AH269="","",IF(INDEX('Per Invoice'!F$2:F$401,$AH269)="","",INDEX('Per Invoice'!F$2:F$401,$AH269)))</f>
        <v/>
      </c>
      <c r="G269">
        <f>IF($AH269="","",IF(INDEX('Per Invoice'!G$2:G$401,$AH269)="","",INDEX('Per Invoice'!G$2:G$401,$AH269)))</f>
        <v/>
      </c>
      <c r="H269">
        <f>IF($AH269="","",IF(INDEX('Per Invoice'!H$2:H$401,$AH269)="","",INDEX('Per Invoice'!H$2:H$401,$AH269)))</f>
        <v/>
      </c>
      <c r="I269" s="14">
        <f>IF($AH269="","",IF(INDEX('Per Invoice'!I$2:I$401,$AH269)="","",INDEX('Per Invoice'!I$2:I$401,$AH269)))</f>
        <v/>
      </c>
      <c r="J269">
        <f>IF($AH269="","",IF(INDEX('Per Invoice'!J$2:J$401,$AH269)="","",INDEX('Per Invoice'!J$2:J$401,$AH269)))</f>
        <v/>
      </c>
      <c r="K269">
        <f>IF($AH269="","",IF(INDEX('Per Invoice'!K$2:K$401,$AH269)="","",INDEX('Per Invoice'!K$2:K$401,$AH269)))</f>
        <v/>
      </c>
      <c r="L269">
        <f>IF($AH269="","",IF(INDEX('Per Invoice'!L$2:L$401,$AH269)="","",INDEX('Per Invoice'!L$2:L$401,$AH269)))</f>
        <v/>
      </c>
      <c r="M269">
        <f>IF($AH269="","",IF(INDEX('Per Invoice'!M$2:M$401,$AH269)="","",INDEX('Per Invoice'!M$2:M$401,$AH269)))</f>
        <v/>
      </c>
      <c r="N269">
        <f>IF($AH269="","",IF(INDEX('Per Invoice'!N$2:N$401,$AH269)="","",INDEX('Per Invoice'!N$2:N$401,$AH269)))</f>
        <v/>
      </c>
      <c r="O269">
        <f>IF($AH269="","",IF(INDEX('Per Invoice'!O$2:O$401,$AH269)="","",INDEX('Per Invoice'!O$2:O$401,$AH269)))</f>
        <v/>
      </c>
      <c r="P269" s="7">
        <f>IF($AH269="","",IF(INDEX('Per Invoice'!P$2:P$401,$AH269)="","",INDEX('Per Invoice'!P$2:P$401,$AH269)))</f>
        <v/>
      </c>
      <c r="Q269">
        <f>IF($AH269="","",IF(INDEX('Per Invoice'!Q$2:Q$401,$AH269)="","",INDEX('Per Invoice'!Q$2:Q$401,$AH269)))</f>
        <v/>
      </c>
      <c r="R269">
        <f>IF($AH269="","",IF(INDEX('Per Invoice'!R$2:R$401,$AH269)="","",INDEX('Per Invoice'!R$2:R$401,$AH269)))</f>
        <v/>
      </c>
      <c r="S269">
        <f>IF($AH269="","",IF(INDEX('Per Invoice'!S$2:S$401,$AH269)="","",INDEX('Per Invoice'!S$2:S$401,$AH269)))</f>
        <v/>
      </c>
      <c r="T269" s="7">
        <f>IF($AH269="","",IF(INDEX('Per Invoice'!T$2:T$401,$AH269)="","",INDEX('Per Invoice'!T$2:T$401,$AH269)))</f>
        <v/>
      </c>
      <c r="U269" s="7">
        <f>IF($AH269="","",IF(INDEX('Per Invoice'!U$2:U$401,$AH269)="","",INDEX('Per Invoice'!U$2:U$401,$AH269)))</f>
        <v/>
      </c>
      <c r="V269">
        <f>IF($AH269="","",IF(INDEX('Per Invoice'!V$2:V$401,$AH269)="","",INDEX('Per Invoice'!V$2:V$401,$AH269)))</f>
        <v/>
      </c>
      <c r="W269" s="7">
        <f>IF($AH269="","",IF(INDEX('Per Invoice'!W$2:W$401,$AH269)="","",INDEX('Per Invoice'!W$2:W$401,$AH269)))</f>
        <v/>
      </c>
      <c r="X269" s="7">
        <f>IF($AH269="","",IF(INDEX('Per Invoice'!X$2:X$401,$AH269)="","",INDEX('Per Invoice'!X$2:X$401,$AH269)))</f>
        <v/>
      </c>
      <c r="Y269">
        <f>IF($AH269="","",IF(INDEX('Per Invoice'!Y$2:Y$401,$AH269)="","",INDEX('Per Invoice'!Y$2:Y$401,$AH269)))</f>
        <v/>
      </c>
      <c r="Z269" s="7">
        <f>IF($AH269="","",IF(INDEX('Per Invoice'!Z$2:Z$401,$AH269)="","",INDEX('Per Invoice'!Z$2:Z$401,$AH269)))</f>
        <v/>
      </c>
      <c r="AA269" s="7">
        <f>IF($AH269="","",IF(INDEX('Per Invoice'!AA$2:AA$401,$AH269)="","",INDEX('Per Invoice'!AA$2:AA$401,$AH269)))</f>
        <v/>
      </c>
      <c r="AB269" s="7">
        <f>IF($AH269="","",IF(INDEX('Per Invoice'!AB$2:AB$401,$AH269)="","",INDEX('Per Invoice'!AB$2:AB$401,$AH269)))</f>
        <v/>
      </c>
      <c r="AC269" s="7">
        <f>IF($AH269="","",IF(INDEX('Per Invoice'!AC$2:AC$401,$AH269)="","",INDEX('Per Invoice'!AC$2:AC$401,$AH269)))</f>
        <v/>
      </c>
      <c r="AD269" s="7">
        <f>IF($AH269="","",IF(INDEX('Per Invoice'!AD$2:AD$401,$AH269)="","",INDEX('Per Invoice'!AD$2:AD$401,$AH269)))</f>
        <v/>
      </c>
      <c r="AE269" s="7">
        <f>IF($AH269="","",IF(INDEX('Per Invoice'!AE$2:AE$401,$AH269)="","",INDEX('Per Invoice'!AE$2:AE$401,$AH269)))</f>
        <v/>
      </c>
      <c r="AF269">
        <f>IF($AH269="","",IF(INDEX('Per Invoice'!AF$2:AF$401,$AH269)="","",INDEX('Per Invoice'!AF$2:AF$401,$AH269)))</f>
        <v/>
      </c>
      <c r="AG269" s="7">
        <f>IF($AH269="","",IF(INDEX('Per Invoice'!AG$2:AG$401,$AH269)="","",INDEX('Per Invoice'!AG$2:AG$401,$AH269)))</f>
        <v/>
      </c>
      <c r="AH269" s="16">
        <f>IFERROR(MATCH(Settings!$C$26&amp;"|"&amp;ROWS($AH$2:$AH269),'Per Invoice'!$AI$2:$AI$401,0),"")</f>
        <v/>
      </c>
    </row>
    <row r="270">
      <c r="A270">
        <f>IF($AH270="","",IF(INDEX('Per Invoice'!A$2:A$401,$AH270)="","",INDEX('Per Invoice'!A$2:A$401,$AH270)))</f>
        <v/>
      </c>
      <c r="B270">
        <f>IF($AH270="","",IF(INDEX('Per Invoice'!B$2:B$401,$AH270)="","",INDEX('Per Invoice'!B$2:B$401,$AH270)))</f>
        <v/>
      </c>
      <c r="C270">
        <f>IF($AH270="","",IF(INDEX('Per Invoice'!C$2:C$401,$AH270)="","",INDEX('Per Invoice'!C$2:C$401,$AH270)))</f>
        <v/>
      </c>
      <c r="D270">
        <f>IF($AH270="","",IF(INDEX('Per Invoice'!D$2:D$401,$AH270)="","",INDEX('Per Invoice'!D$2:D$401,$AH270)))</f>
        <v/>
      </c>
      <c r="E270">
        <f>IF($AH270="","",IF(INDEX('Per Invoice'!E$2:E$401,$AH270)="","",INDEX('Per Invoice'!E$2:E$401,$AH270)))</f>
        <v/>
      </c>
      <c r="F270">
        <f>IF($AH270="","",IF(INDEX('Per Invoice'!F$2:F$401,$AH270)="","",INDEX('Per Invoice'!F$2:F$401,$AH270)))</f>
        <v/>
      </c>
      <c r="G270">
        <f>IF($AH270="","",IF(INDEX('Per Invoice'!G$2:G$401,$AH270)="","",INDEX('Per Invoice'!G$2:G$401,$AH270)))</f>
        <v/>
      </c>
      <c r="H270">
        <f>IF($AH270="","",IF(INDEX('Per Invoice'!H$2:H$401,$AH270)="","",INDEX('Per Invoice'!H$2:H$401,$AH270)))</f>
        <v/>
      </c>
      <c r="I270" s="14">
        <f>IF($AH270="","",IF(INDEX('Per Invoice'!I$2:I$401,$AH270)="","",INDEX('Per Invoice'!I$2:I$401,$AH270)))</f>
        <v/>
      </c>
      <c r="J270">
        <f>IF($AH270="","",IF(INDEX('Per Invoice'!J$2:J$401,$AH270)="","",INDEX('Per Invoice'!J$2:J$401,$AH270)))</f>
        <v/>
      </c>
      <c r="K270">
        <f>IF($AH270="","",IF(INDEX('Per Invoice'!K$2:K$401,$AH270)="","",INDEX('Per Invoice'!K$2:K$401,$AH270)))</f>
        <v/>
      </c>
      <c r="L270">
        <f>IF($AH270="","",IF(INDEX('Per Invoice'!L$2:L$401,$AH270)="","",INDEX('Per Invoice'!L$2:L$401,$AH270)))</f>
        <v/>
      </c>
      <c r="M270">
        <f>IF($AH270="","",IF(INDEX('Per Invoice'!M$2:M$401,$AH270)="","",INDEX('Per Invoice'!M$2:M$401,$AH270)))</f>
        <v/>
      </c>
      <c r="N270">
        <f>IF($AH270="","",IF(INDEX('Per Invoice'!N$2:N$401,$AH270)="","",INDEX('Per Invoice'!N$2:N$401,$AH270)))</f>
        <v/>
      </c>
      <c r="O270">
        <f>IF($AH270="","",IF(INDEX('Per Invoice'!O$2:O$401,$AH270)="","",INDEX('Per Invoice'!O$2:O$401,$AH270)))</f>
        <v/>
      </c>
      <c r="P270" s="7">
        <f>IF($AH270="","",IF(INDEX('Per Invoice'!P$2:P$401,$AH270)="","",INDEX('Per Invoice'!P$2:P$401,$AH270)))</f>
        <v/>
      </c>
      <c r="Q270">
        <f>IF($AH270="","",IF(INDEX('Per Invoice'!Q$2:Q$401,$AH270)="","",INDEX('Per Invoice'!Q$2:Q$401,$AH270)))</f>
        <v/>
      </c>
      <c r="R270">
        <f>IF($AH270="","",IF(INDEX('Per Invoice'!R$2:R$401,$AH270)="","",INDEX('Per Invoice'!R$2:R$401,$AH270)))</f>
        <v/>
      </c>
      <c r="S270">
        <f>IF($AH270="","",IF(INDEX('Per Invoice'!S$2:S$401,$AH270)="","",INDEX('Per Invoice'!S$2:S$401,$AH270)))</f>
        <v/>
      </c>
      <c r="T270" s="7">
        <f>IF($AH270="","",IF(INDEX('Per Invoice'!T$2:T$401,$AH270)="","",INDEX('Per Invoice'!T$2:T$401,$AH270)))</f>
        <v/>
      </c>
      <c r="U270" s="7">
        <f>IF($AH270="","",IF(INDEX('Per Invoice'!U$2:U$401,$AH270)="","",INDEX('Per Invoice'!U$2:U$401,$AH270)))</f>
        <v/>
      </c>
      <c r="V270">
        <f>IF($AH270="","",IF(INDEX('Per Invoice'!V$2:V$401,$AH270)="","",INDEX('Per Invoice'!V$2:V$401,$AH270)))</f>
        <v/>
      </c>
      <c r="W270" s="7">
        <f>IF($AH270="","",IF(INDEX('Per Invoice'!W$2:W$401,$AH270)="","",INDEX('Per Invoice'!W$2:W$401,$AH270)))</f>
        <v/>
      </c>
      <c r="X270" s="7">
        <f>IF($AH270="","",IF(INDEX('Per Invoice'!X$2:X$401,$AH270)="","",INDEX('Per Invoice'!X$2:X$401,$AH270)))</f>
        <v/>
      </c>
      <c r="Y270">
        <f>IF($AH270="","",IF(INDEX('Per Invoice'!Y$2:Y$401,$AH270)="","",INDEX('Per Invoice'!Y$2:Y$401,$AH270)))</f>
        <v/>
      </c>
      <c r="Z270" s="7">
        <f>IF($AH270="","",IF(INDEX('Per Invoice'!Z$2:Z$401,$AH270)="","",INDEX('Per Invoice'!Z$2:Z$401,$AH270)))</f>
        <v/>
      </c>
      <c r="AA270" s="7">
        <f>IF($AH270="","",IF(INDEX('Per Invoice'!AA$2:AA$401,$AH270)="","",INDEX('Per Invoice'!AA$2:AA$401,$AH270)))</f>
        <v/>
      </c>
      <c r="AB270" s="7">
        <f>IF($AH270="","",IF(INDEX('Per Invoice'!AB$2:AB$401,$AH270)="","",INDEX('Per Invoice'!AB$2:AB$401,$AH270)))</f>
        <v/>
      </c>
      <c r="AC270" s="7">
        <f>IF($AH270="","",IF(INDEX('Per Invoice'!AC$2:AC$401,$AH270)="","",INDEX('Per Invoice'!AC$2:AC$401,$AH270)))</f>
        <v/>
      </c>
      <c r="AD270" s="7">
        <f>IF($AH270="","",IF(INDEX('Per Invoice'!AD$2:AD$401,$AH270)="","",INDEX('Per Invoice'!AD$2:AD$401,$AH270)))</f>
        <v/>
      </c>
      <c r="AE270" s="7">
        <f>IF($AH270="","",IF(INDEX('Per Invoice'!AE$2:AE$401,$AH270)="","",INDEX('Per Invoice'!AE$2:AE$401,$AH270)))</f>
        <v/>
      </c>
      <c r="AF270">
        <f>IF($AH270="","",IF(INDEX('Per Invoice'!AF$2:AF$401,$AH270)="","",INDEX('Per Invoice'!AF$2:AF$401,$AH270)))</f>
        <v/>
      </c>
      <c r="AG270" s="7">
        <f>IF($AH270="","",IF(INDEX('Per Invoice'!AG$2:AG$401,$AH270)="","",INDEX('Per Invoice'!AG$2:AG$401,$AH270)))</f>
        <v/>
      </c>
      <c r="AH270" s="16">
        <f>IFERROR(MATCH(Settings!$C$26&amp;"|"&amp;ROWS($AH$2:$AH270),'Per Invoice'!$AI$2:$AI$401,0),"")</f>
        <v/>
      </c>
    </row>
    <row r="271">
      <c r="A271">
        <f>IF($AH271="","",IF(INDEX('Per Invoice'!A$2:A$401,$AH271)="","",INDEX('Per Invoice'!A$2:A$401,$AH271)))</f>
        <v/>
      </c>
      <c r="B271">
        <f>IF($AH271="","",IF(INDEX('Per Invoice'!B$2:B$401,$AH271)="","",INDEX('Per Invoice'!B$2:B$401,$AH271)))</f>
        <v/>
      </c>
      <c r="C271">
        <f>IF($AH271="","",IF(INDEX('Per Invoice'!C$2:C$401,$AH271)="","",INDEX('Per Invoice'!C$2:C$401,$AH271)))</f>
        <v/>
      </c>
      <c r="D271">
        <f>IF($AH271="","",IF(INDEX('Per Invoice'!D$2:D$401,$AH271)="","",INDEX('Per Invoice'!D$2:D$401,$AH271)))</f>
        <v/>
      </c>
      <c r="E271">
        <f>IF($AH271="","",IF(INDEX('Per Invoice'!E$2:E$401,$AH271)="","",INDEX('Per Invoice'!E$2:E$401,$AH271)))</f>
        <v/>
      </c>
      <c r="F271">
        <f>IF($AH271="","",IF(INDEX('Per Invoice'!F$2:F$401,$AH271)="","",INDEX('Per Invoice'!F$2:F$401,$AH271)))</f>
        <v/>
      </c>
      <c r="G271">
        <f>IF($AH271="","",IF(INDEX('Per Invoice'!G$2:G$401,$AH271)="","",INDEX('Per Invoice'!G$2:G$401,$AH271)))</f>
        <v/>
      </c>
      <c r="H271">
        <f>IF($AH271="","",IF(INDEX('Per Invoice'!H$2:H$401,$AH271)="","",INDEX('Per Invoice'!H$2:H$401,$AH271)))</f>
        <v/>
      </c>
      <c r="I271" s="14">
        <f>IF($AH271="","",IF(INDEX('Per Invoice'!I$2:I$401,$AH271)="","",INDEX('Per Invoice'!I$2:I$401,$AH271)))</f>
        <v/>
      </c>
      <c r="J271">
        <f>IF($AH271="","",IF(INDEX('Per Invoice'!J$2:J$401,$AH271)="","",INDEX('Per Invoice'!J$2:J$401,$AH271)))</f>
        <v/>
      </c>
      <c r="K271">
        <f>IF($AH271="","",IF(INDEX('Per Invoice'!K$2:K$401,$AH271)="","",INDEX('Per Invoice'!K$2:K$401,$AH271)))</f>
        <v/>
      </c>
      <c r="L271">
        <f>IF($AH271="","",IF(INDEX('Per Invoice'!L$2:L$401,$AH271)="","",INDEX('Per Invoice'!L$2:L$401,$AH271)))</f>
        <v/>
      </c>
      <c r="M271">
        <f>IF($AH271="","",IF(INDEX('Per Invoice'!M$2:M$401,$AH271)="","",INDEX('Per Invoice'!M$2:M$401,$AH271)))</f>
        <v/>
      </c>
      <c r="N271">
        <f>IF($AH271="","",IF(INDEX('Per Invoice'!N$2:N$401,$AH271)="","",INDEX('Per Invoice'!N$2:N$401,$AH271)))</f>
        <v/>
      </c>
      <c r="O271">
        <f>IF($AH271="","",IF(INDEX('Per Invoice'!O$2:O$401,$AH271)="","",INDEX('Per Invoice'!O$2:O$401,$AH271)))</f>
        <v/>
      </c>
      <c r="P271" s="7">
        <f>IF($AH271="","",IF(INDEX('Per Invoice'!P$2:P$401,$AH271)="","",INDEX('Per Invoice'!P$2:P$401,$AH271)))</f>
        <v/>
      </c>
      <c r="Q271">
        <f>IF($AH271="","",IF(INDEX('Per Invoice'!Q$2:Q$401,$AH271)="","",INDEX('Per Invoice'!Q$2:Q$401,$AH271)))</f>
        <v/>
      </c>
      <c r="R271">
        <f>IF($AH271="","",IF(INDEX('Per Invoice'!R$2:R$401,$AH271)="","",INDEX('Per Invoice'!R$2:R$401,$AH271)))</f>
        <v/>
      </c>
      <c r="S271">
        <f>IF($AH271="","",IF(INDEX('Per Invoice'!S$2:S$401,$AH271)="","",INDEX('Per Invoice'!S$2:S$401,$AH271)))</f>
        <v/>
      </c>
      <c r="T271" s="7">
        <f>IF($AH271="","",IF(INDEX('Per Invoice'!T$2:T$401,$AH271)="","",INDEX('Per Invoice'!T$2:T$401,$AH271)))</f>
        <v/>
      </c>
      <c r="U271" s="7">
        <f>IF($AH271="","",IF(INDEX('Per Invoice'!U$2:U$401,$AH271)="","",INDEX('Per Invoice'!U$2:U$401,$AH271)))</f>
        <v/>
      </c>
      <c r="V271">
        <f>IF($AH271="","",IF(INDEX('Per Invoice'!V$2:V$401,$AH271)="","",INDEX('Per Invoice'!V$2:V$401,$AH271)))</f>
        <v/>
      </c>
      <c r="W271" s="7">
        <f>IF($AH271="","",IF(INDEX('Per Invoice'!W$2:W$401,$AH271)="","",INDEX('Per Invoice'!W$2:W$401,$AH271)))</f>
        <v/>
      </c>
      <c r="X271" s="7">
        <f>IF($AH271="","",IF(INDEX('Per Invoice'!X$2:X$401,$AH271)="","",INDEX('Per Invoice'!X$2:X$401,$AH271)))</f>
        <v/>
      </c>
      <c r="Y271">
        <f>IF($AH271="","",IF(INDEX('Per Invoice'!Y$2:Y$401,$AH271)="","",INDEX('Per Invoice'!Y$2:Y$401,$AH271)))</f>
        <v/>
      </c>
      <c r="Z271" s="7">
        <f>IF($AH271="","",IF(INDEX('Per Invoice'!Z$2:Z$401,$AH271)="","",INDEX('Per Invoice'!Z$2:Z$401,$AH271)))</f>
        <v/>
      </c>
      <c r="AA271" s="7">
        <f>IF($AH271="","",IF(INDEX('Per Invoice'!AA$2:AA$401,$AH271)="","",INDEX('Per Invoice'!AA$2:AA$401,$AH271)))</f>
        <v/>
      </c>
      <c r="AB271" s="7">
        <f>IF($AH271="","",IF(INDEX('Per Invoice'!AB$2:AB$401,$AH271)="","",INDEX('Per Invoice'!AB$2:AB$401,$AH271)))</f>
        <v/>
      </c>
      <c r="AC271" s="7">
        <f>IF($AH271="","",IF(INDEX('Per Invoice'!AC$2:AC$401,$AH271)="","",INDEX('Per Invoice'!AC$2:AC$401,$AH271)))</f>
        <v/>
      </c>
      <c r="AD271" s="7">
        <f>IF($AH271="","",IF(INDEX('Per Invoice'!AD$2:AD$401,$AH271)="","",INDEX('Per Invoice'!AD$2:AD$401,$AH271)))</f>
        <v/>
      </c>
      <c r="AE271" s="7">
        <f>IF($AH271="","",IF(INDEX('Per Invoice'!AE$2:AE$401,$AH271)="","",INDEX('Per Invoice'!AE$2:AE$401,$AH271)))</f>
        <v/>
      </c>
      <c r="AF271">
        <f>IF($AH271="","",IF(INDEX('Per Invoice'!AF$2:AF$401,$AH271)="","",INDEX('Per Invoice'!AF$2:AF$401,$AH271)))</f>
        <v/>
      </c>
      <c r="AG271" s="7">
        <f>IF($AH271="","",IF(INDEX('Per Invoice'!AG$2:AG$401,$AH271)="","",INDEX('Per Invoice'!AG$2:AG$401,$AH271)))</f>
        <v/>
      </c>
      <c r="AH271" s="16">
        <f>IFERROR(MATCH(Settings!$C$26&amp;"|"&amp;ROWS($AH$2:$AH271),'Per Invoice'!$AI$2:$AI$401,0),"")</f>
        <v/>
      </c>
    </row>
    <row r="272">
      <c r="A272">
        <f>IF($AH272="","",IF(INDEX('Per Invoice'!A$2:A$401,$AH272)="","",INDEX('Per Invoice'!A$2:A$401,$AH272)))</f>
        <v/>
      </c>
      <c r="B272">
        <f>IF($AH272="","",IF(INDEX('Per Invoice'!B$2:B$401,$AH272)="","",INDEX('Per Invoice'!B$2:B$401,$AH272)))</f>
        <v/>
      </c>
      <c r="C272">
        <f>IF($AH272="","",IF(INDEX('Per Invoice'!C$2:C$401,$AH272)="","",INDEX('Per Invoice'!C$2:C$401,$AH272)))</f>
        <v/>
      </c>
      <c r="D272">
        <f>IF($AH272="","",IF(INDEX('Per Invoice'!D$2:D$401,$AH272)="","",INDEX('Per Invoice'!D$2:D$401,$AH272)))</f>
        <v/>
      </c>
      <c r="E272">
        <f>IF($AH272="","",IF(INDEX('Per Invoice'!E$2:E$401,$AH272)="","",INDEX('Per Invoice'!E$2:E$401,$AH272)))</f>
        <v/>
      </c>
      <c r="F272">
        <f>IF($AH272="","",IF(INDEX('Per Invoice'!F$2:F$401,$AH272)="","",INDEX('Per Invoice'!F$2:F$401,$AH272)))</f>
        <v/>
      </c>
      <c r="G272">
        <f>IF($AH272="","",IF(INDEX('Per Invoice'!G$2:G$401,$AH272)="","",INDEX('Per Invoice'!G$2:G$401,$AH272)))</f>
        <v/>
      </c>
      <c r="H272">
        <f>IF($AH272="","",IF(INDEX('Per Invoice'!H$2:H$401,$AH272)="","",INDEX('Per Invoice'!H$2:H$401,$AH272)))</f>
        <v/>
      </c>
      <c r="I272" s="14">
        <f>IF($AH272="","",IF(INDEX('Per Invoice'!I$2:I$401,$AH272)="","",INDEX('Per Invoice'!I$2:I$401,$AH272)))</f>
        <v/>
      </c>
      <c r="J272">
        <f>IF($AH272="","",IF(INDEX('Per Invoice'!J$2:J$401,$AH272)="","",INDEX('Per Invoice'!J$2:J$401,$AH272)))</f>
        <v/>
      </c>
      <c r="K272">
        <f>IF($AH272="","",IF(INDEX('Per Invoice'!K$2:K$401,$AH272)="","",INDEX('Per Invoice'!K$2:K$401,$AH272)))</f>
        <v/>
      </c>
      <c r="L272">
        <f>IF($AH272="","",IF(INDEX('Per Invoice'!L$2:L$401,$AH272)="","",INDEX('Per Invoice'!L$2:L$401,$AH272)))</f>
        <v/>
      </c>
      <c r="M272">
        <f>IF($AH272="","",IF(INDEX('Per Invoice'!M$2:M$401,$AH272)="","",INDEX('Per Invoice'!M$2:M$401,$AH272)))</f>
        <v/>
      </c>
      <c r="N272">
        <f>IF($AH272="","",IF(INDEX('Per Invoice'!N$2:N$401,$AH272)="","",INDEX('Per Invoice'!N$2:N$401,$AH272)))</f>
        <v/>
      </c>
      <c r="O272">
        <f>IF($AH272="","",IF(INDEX('Per Invoice'!O$2:O$401,$AH272)="","",INDEX('Per Invoice'!O$2:O$401,$AH272)))</f>
        <v/>
      </c>
      <c r="P272" s="7">
        <f>IF($AH272="","",IF(INDEX('Per Invoice'!P$2:P$401,$AH272)="","",INDEX('Per Invoice'!P$2:P$401,$AH272)))</f>
        <v/>
      </c>
      <c r="Q272">
        <f>IF($AH272="","",IF(INDEX('Per Invoice'!Q$2:Q$401,$AH272)="","",INDEX('Per Invoice'!Q$2:Q$401,$AH272)))</f>
        <v/>
      </c>
      <c r="R272">
        <f>IF($AH272="","",IF(INDEX('Per Invoice'!R$2:R$401,$AH272)="","",INDEX('Per Invoice'!R$2:R$401,$AH272)))</f>
        <v/>
      </c>
      <c r="S272">
        <f>IF($AH272="","",IF(INDEX('Per Invoice'!S$2:S$401,$AH272)="","",INDEX('Per Invoice'!S$2:S$401,$AH272)))</f>
        <v/>
      </c>
      <c r="T272" s="7">
        <f>IF($AH272="","",IF(INDEX('Per Invoice'!T$2:T$401,$AH272)="","",INDEX('Per Invoice'!T$2:T$401,$AH272)))</f>
        <v/>
      </c>
      <c r="U272" s="7">
        <f>IF($AH272="","",IF(INDEX('Per Invoice'!U$2:U$401,$AH272)="","",INDEX('Per Invoice'!U$2:U$401,$AH272)))</f>
        <v/>
      </c>
      <c r="V272">
        <f>IF($AH272="","",IF(INDEX('Per Invoice'!V$2:V$401,$AH272)="","",INDEX('Per Invoice'!V$2:V$401,$AH272)))</f>
        <v/>
      </c>
      <c r="W272" s="7">
        <f>IF($AH272="","",IF(INDEX('Per Invoice'!W$2:W$401,$AH272)="","",INDEX('Per Invoice'!W$2:W$401,$AH272)))</f>
        <v/>
      </c>
      <c r="X272" s="7">
        <f>IF($AH272="","",IF(INDEX('Per Invoice'!X$2:X$401,$AH272)="","",INDEX('Per Invoice'!X$2:X$401,$AH272)))</f>
        <v/>
      </c>
      <c r="Y272">
        <f>IF($AH272="","",IF(INDEX('Per Invoice'!Y$2:Y$401,$AH272)="","",INDEX('Per Invoice'!Y$2:Y$401,$AH272)))</f>
        <v/>
      </c>
      <c r="Z272" s="7">
        <f>IF($AH272="","",IF(INDEX('Per Invoice'!Z$2:Z$401,$AH272)="","",INDEX('Per Invoice'!Z$2:Z$401,$AH272)))</f>
        <v/>
      </c>
      <c r="AA272" s="7">
        <f>IF($AH272="","",IF(INDEX('Per Invoice'!AA$2:AA$401,$AH272)="","",INDEX('Per Invoice'!AA$2:AA$401,$AH272)))</f>
        <v/>
      </c>
      <c r="AB272" s="7">
        <f>IF($AH272="","",IF(INDEX('Per Invoice'!AB$2:AB$401,$AH272)="","",INDEX('Per Invoice'!AB$2:AB$401,$AH272)))</f>
        <v/>
      </c>
      <c r="AC272" s="7">
        <f>IF($AH272="","",IF(INDEX('Per Invoice'!AC$2:AC$401,$AH272)="","",INDEX('Per Invoice'!AC$2:AC$401,$AH272)))</f>
        <v/>
      </c>
      <c r="AD272" s="7">
        <f>IF($AH272="","",IF(INDEX('Per Invoice'!AD$2:AD$401,$AH272)="","",INDEX('Per Invoice'!AD$2:AD$401,$AH272)))</f>
        <v/>
      </c>
      <c r="AE272" s="7">
        <f>IF($AH272="","",IF(INDEX('Per Invoice'!AE$2:AE$401,$AH272)="","",INDEX('Per Invoice'!AE$2:AE$401,$AH272)))</f>
        <v/>
      </c>
      <c r="AF272">
        <f>IF($AH272="","",IF(INDEX('Per Invoice'!AF$2:AF$401,$AH272)="","",INDEX('Per Invoice'!AF$2:AF$401,$AH272)))</f>
        <v/>
      </c>
      <c r="AG272" s="7">
        <f>IF($AH272="","",IF(INDEX('Per Invoice'!AG$2:AG$401,$AH272)="","",INDEX('Per Invoice'!AG$2:AG$401,$AH272)))</f>
        <v/>
      </c>
      <c r="AH272" s="16">
        <f>IFERROR(MATCH(Settings!$C$26&amp;"|"&amp;ROWS($AH$2:$AH272),'Per Invoice'!$AI$2:$AI$401,0),"")</f>
        <v/>
      </c>
    </row>
    <row r="273">
      <c r="A273">
        <f>IF($AH273="","",IF(INDEX('Per Invoice'!A$2:A$401,$AH273)="","",INDEX('Per Invoice'!A$2:A$401,$AH273)))</f>
        <v/>
      </c>
      <c r="B273">
        <f>IF($AH273="","",IF(INDEX('Per Invoice'!B$2:B$401,$AH273)="","",INDEX('Per Invoice'!B$2:B$401,$AH273)))</f>
        <v/>
      </c>
      <c r="C273">
        <f>IF($AH273="","",IF(INDEX('Per Invoice'!C$2:C$401,$AH273)="","",INDEX('Per Invoice'!C$2:C$401,$AH273)))</f>
        <v/>
      </c>
      <c r="D273">
        <f>IF($AH273="","",IF(INDEX('Per Invoice'!D$2:D$401,$AH273)="","",INDEX('Per Invoice'!D$2:D$401,$AH273)))</f>
        <v/>
      </c>
      <c r="E273">
        <f>IF($AH273="","",IF(INDEX('Per Invoice'!E$2:E$401,$AH273)="","",INDEX('Per Invoice'!E$2:E$401,$AH273)))</f>
        <v/>
      </c>
      <c r="F273">
        <f>IF($AH273="","",IF(INDEX('Per Invoice'!F$2:F$401,$AH273)="","",INDEX('Per Invoice'!F$2:F$401,$AH273)))</f>
        <v/>
      </c>
      <c r="G273">
        <f>IF($AH273="","",IF(INDEX('Per Invoice'!G$2:G$401,$AH273)="","",INDEX('Per Invoice'!G$2:G$401,$AH273)))</f>
        <v/>
      </c>
      <c r="H273">
        <f>IF($AH273="","",IF(INDEX('Per Invoice'!H$2:H$401,$AH273)="","",INDEX('Per Invoice'!H$2:H$401,$AH273)))</f>
        <v/>
      </c>
      <c r="I273" s="14">
        <f>IF($AH273="","",IF(INDEX('Per Invoice'!I$2:I$401,$AH273)="","",INDEX('Per Invoice'!I$2:I$401,$AH273)))</f>
        <v/>
      </c>
      <c r="J273">
        <f>IF($AH273="","",IF(INDEX('Per Invoice'!J$2:J$401,$AH273)="","",INDEX('Per Invoice'!J$2:J$401,$AH273)))</f>
        <v/>
      </c>
      <c r="K273">
        <f>IF($AH273="","",IF(INDEX('Per Invoice'!K$2:K$401,$AH273)="","",INDEX('Per Invoice'!K$2:K$401,$AH273)))</f>
        <v/>
      </c>
      <c r="L273">
        <f>IF($AH273="","",IF(INDEX('Per Invoice'!L$2:L$401,$AH273)="","",INDEX('Per Invoice'!L$2:L$401,$AH273)))</f>
        <v/>
      </c>
      <c r="M273">
        <f>IF($AH273="","",IF(INDEX('Per Invoice'!M$2:M$401,$AH273)="","",INDEX('Per Invoice'!M$2:M$401,$AH273)))</f>
        <v/>
      </c>
      <c r="N273">
        <f>IF($AH273="","",IF(INDEX('Per Invoice'!N$2:N$401,$AH273)="","",INDEX('Per Invoice'!N$2:N$401,$AH273)))</f>
        <v/>
      </c>
      <c r="O273">
        <f>IF($AH273="","",IF(INDEX('Per Invoice'!O$2:O$401,$AH273)="","",INDEX('Per Invoice'!O$2:O$401,$AH273)))</f>
        <v/>
      </c>
      <c r="P273" s="7">
        <f>IF($AH273="","",IF(INDEX('Per Invoice'!P$2:P$401,$AH273)="","",INDEX('Per Invoice'!P$2:P$401,$AH273)))</f>
        <v/>
      </c>
      <c r="Q273">
        <f>IF($AH273="","",IF(INDEX('Per Invoice'!Q$2:Q$401,$AH273)="","",INDEX('Per Invoice'!Q$2:Q$401,$AH273)))</f>
        <v/>
      </c>
      <c r="R273">
        <f>IF($AH273="","",IF(INDEX('Per Invoice'!R$2:R$401,$AH273)="","",INDEX('Per Invoice'!R$2:R$401,$AH273)))</f>
        <v/>
      </c>
      <c r="S273">
        <f>IF($AH273="","",IF(INDEX('Per Invoice'!S$2:S$401,$AH273)="","",INDEX('Per Invoice'!S$2:S$401,$AH273)))</f>
        <v/>
      </c>
      <c r="T273" s="7">
        <f>IF($AH273="","",IF(INDEX('Per Invoice'!T$2:T$401,$AH273)="","",INDEX('Per Invoice'!T$2:T$401,$AH273)))</f>
        <v/>
      </c>
      <c r="U273" s="7">
        <f>IF($AH273="","",IF(INDEX('Per Invoice'!U$2:U$401,$AH273)="","",INDEX('Per Invoice'!U$2:U$401,$AH273)))</f>
        <v/>
      </c>
      <c r="V273">
        <f>IF($AH273="","",IF(INDEX('Per Invoice'!V$2:V$401,$AH273)="","",INDEX('Per Invoice'!V$2:V$401,$AH273)))</f>
        <v/>
      </c>
      <c r="W273" s="7">
        <f>IF($AH273="","",IF(INDEX('Per Invoice'!W$2:W$401,$AH273)="","",INDEX('Per Invoice'!W$2:W$401,$AH273)))</f>
        <v/>
      </c>
      <c r="X273" s="7">
        <f>IF($AH273="","",IF(INDEX('Per Invoice'!X$2:X$401,$AH273)="","",INDEX('Per Invoice'!X$2:X$401,$AH273)))</f>
        <v/>
      </c>
      <c r="Y273">
        <f>IF($AH273="","",IF(INDEX('Per Invoice'!Y$2:Y$401,$AH273)="","",INDEX('Per Invoice'!Y$2:Y$401,$AH273)))</f>
        <v/>
      </c>
      <c r="Z273" s="7">
        <f>IF($AH273="","",IF(INDEX('Per Invoice'!Z$2:Z$401,$AH273)="","",INDEX('Per Invoice'!Z$2:Z$401,$AH273)))</f>
        <v/>
      </c>
      <c r="AA273" s="7">
        <f>IF($AH273="","",IF(INDEX('Per Invoice'!AA$2:AA$401,$AH273)="","",INDEX('Per Invoice'!AA$2:AA$401,$AH273)))</f>
        <v/>
      </c>
      <c r="AB273" s="7">
        <f>IF($AH273="","",IF(INDEX('Per Invoice'!AB$2:AB$401,$AH273)="","",INDEX('Per Invoice'!AB$2:AB$401,$AH273)))</f>
        <v/>
      </c>
      <c r="AC273" s="7">
        <f>IF($AH273="","",IF(INDEX('Per Invoice'!AC$2:AC$401,$AH273)="","",INDEX('Per Invoice'!AC$2:AC$401,$AH273)))</f>
        <v/>
      </c>
      <c r="AD273" s="7">
        <f>IF($AH273="","",IF(INDEX('Per Invoice'!AD$2:AD$401,$AH273)="","",INDEX('Per Invoice'!AD$2:AD$401,$AH273)))</f>
        <v/>
      </c>
      <c r="AE273" s="7">
        <f>IF($AH273="","",IF(INDEX('Per Invoice'!AE$2:AE$401,$AH273)="","",INDEX('Per Invoice'!AE$2:AE$401,$AH273)))</f>
        <v/>
      </c>
      <c r="AF273">
        <f>IF($AH273="","",IF(INDEX('Per Invoice'!AF$2:AF$401,$AH273)="","",INDEX('Per Invoice'!AF$2:AF$401,$AH273)))</f>
        <v/>
      </c>
      <c r="AG273" s="7">
        <f>IF($AH273="","",IF(INDEX('Per Invoice'!AG$2:AG$401,$AH273)="","",INDEX('Per Invoice'!AG$2:AG$401,$AH273)))</f>
        <v/>
      </c>
      <c r="AH273" s="16">
        <f>IFERROR(MATCH(Settings!$C$26&amp;"|"&amp;ROWS($AH$2:$AH273),'Per Invoice'!$AI$2:$AI$401,0),"")</f>
        <v/>
      </c>
    </row>
    <row r="274">
      <c r="A274">
        <f>IF($AH274="","",IF(INDEX('Per Invoice'!A$2:A$401,$AH274)="","",INDEX('Per Invoice'!A$2:A$401,$AH274)))</f>
        <v/>
      </c>
      <c r="B274">
        <f>IF($AH274="","",IF(INDEX('Per Invoice'!B$2:B$401,$AH274)="","",INDEX('Per Invoice'!B$2:B$401,$AH274)))</f>
        <v/>
      </c>
      <c r="C274">
        <f>IF($AH274="","",IF(INDEX('Per Invoice'!C$2:C$401,$AH274)="","",INDEX('Per Invoice'!C$2:C$401,$AH274)))</f>
        <v/>
      </c>
      <c r="D274">
        <f>IF($AH274="","",IF(INDEX('Per Invoice'!D$2:D$401,$AH274)="","",INDEX('Per Invoice'!D$2:D$401,$AH274)))</f>
        <v/>
      </c>
      <c r="E274">
        <f>IF($AH274="","",IF(INDEX('Per Invoice'!E$2:E$401,$AH274)="","",INDEX('Per Invoice'!E$2:E$401,$AH274)))</f>
        <v/>
      </c>
      <c r="F274">
        <f>IF($AH274="","",IF(INDEX('Per Invoice'!F$2:F$401,$AH274)="","",INDEX('Per Invoice'!F$2:F$401,$AH274)))</f>
        <v/>
      </c>
      <c r="G274">
        <f>IF($AH274="","",IF(INDEX('Per Invoice'!G$2:G$401,$AH274)="","",INDEX('Per Invoice'!G$2:G$401,$AH274)))</f>
        <v/>
      </c>
      <c r="H274">
        <f>IF($AH274="","",IF(INDEX('Per Invoice'!H$2:H$401,$AH274)="","",INDEX('Per Invoice'!H$2:H$401,$AH274)))</f>
        <v/>
      </c>
      <c r="I274" s="14">
        <f>IF($AH274="","",IF(INDEX('Per Invoice'!I$2:I$401,$AH274)="","",INDEX('Per Invoice'!I$2:I$401,$AH274)))</f>
        <v/>
      </c>
      <c r="J274">
        <f>IF($AH274="","",IF(INDEX('Per Invoice'!J$2:J$401,$AH274)="","",INDEX('Per Invoice'!J$2:J$401,$AH274)))</f>
        <v/>
      </c>
      <c r="K274">
        <f>IF($AH274="","",IF(INDEX('Per Invoice'!K$2:K$401,$AH274)="","",INDEX('Per Invoice'!K$2:K$401,$AH274)))</f>
        <v/>
      </c>
      <c r="L274">
        <f>IF($AH274="","",IF(INDEX('Per Invoice'!L$2:L$401,$AH274)="","",INDEX('Per Invoice'!L$2:L$401,$AH274)))</f>
        <v/>
      </c>
      <c r="M274">
        <f>IF($AH274="","",IF(INDEX('Per Invoice'!M$2:M$401,$AH274)="","",INDEX('Per Invoice'!M$2:M$401,$AH274)))</f>
        <v/>
      </c>
      <c r="N274">
        <f>IF($AH274="","",IF(INDEX('Per Invoice'!N$2:N$401,$AH274)="","",INDEX('Per Invoice'!N$2:N$401,$AH274)))</f>
        <v/>
      </c>
      <c r="O274">
        <f>IF($AH274="","",IF(INDEX('Per Invoice'!O$2:O$401,$AH274)="","",INDEX('Per Invoice'!O$2:O$401,$AH274)))</f>
        <v/>
      </c>
      <c r="P274" s="7">
        <f>IF($AH274="","",IF(INDEX('Per Invoice'!P$2:P$401,$AH274)="","",INDEX('Per Invoice'!P$2:P$401,$AH274)))</f>
        <v/>
      </c>
      <c r="Q274">
        <f>IF($AH274="","",IF(INDEX('Per Invoice'!Q$2:Q$401,$AH274)="","",INDEX('Per Invoice'!Q$2:Q$401,$AH274)))</f>
        <v/>
      </c>
      <c r="R274">
        <f>IF($AH274="","",IF(INDEX('Per Invoice'!R$2:R$401,$AH274)="","",INDEX('Per Invoice'!R$2:R$401,$AH274)))</f>
        <v/>
      </c>
      <c r="S274">
        <f>IF($AH274="","",IF(INDEX('Per Invoice'!S$2:S$401,$AH274)="","",INDEX('Per Invoice'!S$2:S$401,$AH274)))</f>
        <v/>
      </c>
      <c r="T274" s="7">
        <f>IF($AH274="","",IF(INDEX('Per Invoice'!T$2:T$401,$AH274)="","",INDEX('Per Invoice'!T$2:T$401,$AH274)))</f>
        <v/>
      </c>
      <c r="U274" s="7">
        <f>IF($AH274="","",IF(INDEX('Per Invoice'!U$2:U$401,$AH274)="","",INDEX('Per Invoice'!U$2:U$401,$AH274)))</f>
        <v/>
      </c>
      <c r="V274">
        <f>IF($AH274="","",IF(INDEX('Per Invoice'!V$2:V$401,$AH274)="","",INDEX('Per Invoice'!V$2:V$401,$AH274)))</f>
        <v/>
      </c>
      <c r="W274" s="7">
        <f>IF($AH274="","",IF(INDEX('Per Invoice'!W$2:W$401,$AH274)="","",INDEX('Per Invoice'!W$2:W$401,$AH274)))</f>
        <v/>
      </c>
      <c r="X274" s="7">
        <f>IF($AH274="","",IF(INDEX('Per Invoice'!X$2:X$401,$AH274)="","",INDEX('Per Invoice'!X$2:X$401,$AH274)))</f>
        <v/>
      </c>
      <c r="Y274">
        <f>IF($AH274="","",IF(INDEX('Per Invoice'!Y$2:Y$401,$AH274)="","",INDEX('Per Invoice'!Y$2:Y$401,$AH274)))</f>
        <v/>
      </c>
      <c r="Z274" s="7">
        <f>IF($AH274="","",IF(INDEX('Per Invoice'!Z$2:Z$401,$AH274)="","",INDEX('Per Invoice'!Z$2:Z$401,$AH274)))</f>
        <v/>
      </c>
      <c r="AA274" s="7">
        <f>IF($AH274="","",IF(INDEX('Per Invoice'!AA$2:AA$401,$AH274)="","",INDEX('Per Invoice'!AA$2:AA$401,$AH274)))</f>
        <v/>
      </c>
      <c r="AB274" s="7">
        <f>IF($AH274="","",IF(INDEX('Per Invoice'!AB$2:AB$401,$AH274)="","",INDEX('Per Invoice'!AB$2:AB$401,$AH274)))</f>
        <v/>
      </c>
      <c r="AC274" s="7">
        <f>IF($AH274="","",IF(INDEX('Per Invoice'!AC$2:AC$401,$AH274)="","",INDEX('Per Invoice'!AC$2:AC$401,$AH274)))</f>
        <v/>
      </c>
      <c r="AD274" s="7">
        <f>IF($AH274="","",IF(INDEX('Per Invoice'!AD$2:AD$401,$AH274)="","",INDEX('Per Invoice'!AD$2:AD$401,$AH274)))</f>
        <v/>
      </c>
      <c r="AE274" s="7">
        <f>IF($AH274="","",IF(INDEX('Per Invoice'!AE$2:AE$401,$AH274)="","",INDEX('Per Invoice'!AE$2:AE$401,$AH274)))</f>
        <v/>
      </c>
      <c r="AF274">
        <f>IF($AH274="","",IF(INDEX('Per Invoice'!AF$2:AF$401,$AH274)="","",INDEX('Per Invoice'!AF$2:AF$401,$AH274)))</f>
        <v/>
      </c>
      <c r="AG274" s="7">
        <f>IF($AH274="","",IF(INDEX('Per Invoice'!AG$2:AG$401,$AH274)="","",INDEX('Per Invoice'!AG$2:AG$401,$AH274)))</f>
        <v/>
      </c>
      <c r="AH274" s="16">
        <f>IFERROR(MATCH(Settings!$C$26&amp;"|"&amp;ROWS($AH$2:$AH274),'Per Invoice'!$AI$2:$AI$401,0),"")</f>
        <v/>
      </c>
    </row>
    <row r="275">
      <c r="A275">
        <f>IF($AH275="","",IF(INDEX('Per Invoice'!A$2:A$401,$AH275)="","",INDEX('Per Invoice'!A$2:A$401,$AH275)))</f>
        <v/>
      </c>
      <c r="B275">
        <f>IF($AH275="","",IF(INDEX('Per Invoice'!B$2:B$401,$AH275)="","",INDEX('Per Invoice'!B$2:B$401,$AH275)))</f>
        <v/>
      </c>
      <c r="C275">
        <f>IF($AH275="","",IF(INDEX('Per Invoice'!C$2:C$401,$AH275)="","",INDEX('Per Invoice'!C$2:C$401,$AH275)))</f>
        <v/>
      </c>
      <c r="D275">
        <f>IF($AH275="","",IF(INDEX('Per Invoice'!D$2:D$401,$AH275)="","",INDEX('Per Invoice'!D$2:D$401,$AH275)))</f>
        <v/>
      </c>
      <c r="E275">
        <f>IF($AH275="","",IF(INDEX('Per Invoice'!E$2:E$401,$AH275)="","",INDEX('Per Invoice'!E$2:E$401,$AH275)))</f>
        <v/>
      </c>
      <c r="F275">
        <f>IF($AH275="","",IF(INDEX('Per Invoice'!F$2:F$401,$AH275)="","",INDEX('Per Invoice'!F$2:F$401,$AH275)))</f>
        <v/>
      </c>
      <c r="G275">
        <f>IF($AH275="","",IF(INDEX('Per Invoice'!G$2:G$401,$AH275)="","",INDEX('Per Invoice'!G$2:G$401,$AH275)))</f>
        <v/>
      </c>
      <c r="H275">
        <f>IF($AH275="","",IF(INDEX('Per Invoice'!H$2:H$401,$AH275)="","",INDEX('Per Invoice'!H$2:H$401,$AH275)))</f>
        <v/>
      </c>
      <c r="I275" s="14">
        <f>IF($AH275="","",IF(INDEX('Per Invoice'!I$2:I$401,$AH275)="","",INDEX('Per Invoice'!I$2:I$401,$AH275)))</f>
        <v/>
      </c>
      <c r="J275">
        <f>IF($AH275="","",IF(INDEX('Per Invoice'!J$2:J$401,$AH275)="","",INDEX('Per Invoice'!J$2:J$401,$AH275)))</f>
        <v/>
      </c>
      <c r="K275">
        <f>IF($AH275="","",IF(INDEX('Per Invoice'!K$2:K$401,$AH275)="","",INDEX('Per Invoice'!K$2:K$401,$AH275)))</f>
        <v/>
      </c>
      <c r="L275">
        <f>IF($AH275="","",IF(INDEX('Per Invoice'!L$2:L$401,$AH275)="","",INDEX('Per Invoice'!L$2:L$401,$AH275)))</f>
        <v/>
      </c>
      <c r="M275">
        <f>IF($AH275="","",IF(INDEX('Per Invoice'!M$2:M$401,$AH275)="","",INDEX('Per Invoice'!M$2:M$401,$AH275)))</f>
        <v/>
      </c>
      <c r="N275">
        <f>IF($AH275="","",IF(INDEX('Per Invoice'!N$2:N$401,$AH275)="","",INDEX('Per Invoice'!N$2:N$401,$AH275)))</f>
        <v/>
      </c>
      <c r="O275">
        <f>IF($AH275="","",IF(INDEX('Per Invoice'!O$2:O$401,$AH275)="","",INDEX('Per Invoice'!O$2:O$401,$AH275)))</f>
        <v/>
      </c>
      <c r="P275" s="7">
        <f>IF($AH275="","",IF(INDEX('Per Invoice'!P$2:P$401,$AH275)="","",INDEX('Per Invoice'!P$2:P$401,$AH275)))</f>
        <v/>
      </c>
      <c r="Q275">
        <f>IF($AH275="","",IF(INDEX('Per Invoice'!Q$2:Q$401,$AH275)="","",INDEX('Per Invoice'!Q$2:Q$401,$AH275)))</f>
        <v/>
      </c>
      <c r="R275">
        <f>IF($AH275="","",IF(INDEX('Per Invoice'!R$2:R$401,$AH275)="","",INDEX('Per Invoice'!R$2:R$401,$AH275)))</f>
        <v/>
      </c>
      <c r="S275">
        <f>IF($AH275="","",IF(INDEX('Per Invoice'!S$2:S$401,$AH275)="","",INDEX('Per Invoice'!S$2:S$401,$AH275)))</f>
        <v/>
      </c>
      <c r="T275" s="7">
        <f>IF($AH275="","",IF(INDEX('Per Invoice'!T$2:T$401,$AH275)="","",INDEX('Per Invoice'!T$2:T$401,$AH275)))</f>
        <v/>
      </c>
      <c r="U275" s="7">
        <f>IF($AH275="","",IF(INDEX('Per Invoice'!U$2:U$401,$AH275)="","",INDEX('Per Invoice'!U$2:U$401,$AH275)))</f>
        <v/>
      </c>
      <c r="V275">
        <f>IF($AH275="","",IF(INDEX('Per Invoice'!V$2:V$401,$AH275)="","",INDEX('Per Invoice'!V$2:V$401,$AH275)))</f>
        <v/>
      </c>
      <c r="W275" s="7">
        <f>IF($AH275="","",IF(INDEX('Per Invoice'!W$2:W$401,$AH275)="","",INDEX('Per Invoice'!W$2:W$401,$AH275)))</f>
        <v/>
      </c>
      <c r="X275" s="7">
        <f>IF($AH275="","",IF(INDEX('Per Invoice'!X$2:X$401,$AH275)="","",INDEX('Per Invoice'!X$2:X$401,$AH275)))</f>
        <v/>
      </c>
      <c r="Y275">
        <f>IF($AH275="","",IF(INDEX('Per Invoice'!Y$2:Y$401,$AH275)="","",INDEX('Per Invoice'!Y$2:Y$401,$AH275)))</f>
        <v/>
      </c>
      <c r="Z275" s="7">
        <f>IF($AH275="","",IF(INDEX('Per Invoice'!Z$2:Z$401,$AH275)="","",INDEX('Per Invoice'!Z$2:Z$401,$AH275)))</f>
        <v/>
      </c>
      <c r="AA275" s="7">
        <f>IF($AH275="","",IF(INDEX('Per Invoice'!AA$2:AA$401,$AH275)="","",INDEX('Per Invoice'!AA$2:AA$401,$AH275)))</f>
        <v/>
      </c>
      <c r="AB275" s="7">
        <f>IF($AH275="","",IF(INDEX('Per Invoice'!AB$2:AB$401,$AH275)="","",INDEX('Per Invoice'!AB$2:AB$401,$AH275)))</f>
        <v/>
      </c>
      <c r="AC275" s="7">
        <f>IF($AH275="","",IF(INDEX('Per Invoice'!AC$2:AC$401,$AH275)="","",INDEX('Per Invoice'!AC$2:AC$401,$AH275)))</f>
        <v/>
      </c>
      <c r="AD275" s="7">
        <f>IF($AH275="","",IF(INDEX('Per Invoice'!AD$2:AD$401,$AH275)="","",INDEX('Per Invoice'!AD$2:AD$401,$AH275)))</f>
        <v/>
      </c>
      <c r="AE275" s="7">
        <f>IF($AH275="","",IF(INDEX('Per Invoice'!AE$2:AE$401,$AH275)="","",INDEX('Per Invoice'!AE$2:AE$401,$AH275)))</f>
        <v/>
      </c>
      <c r="AF275">
        <f>IF($AH275="","",IF(INDEX('Per Invoice'!AF$2:AF$401,$AH275)="","",INDEX('Per Invoice'!AF$2:AF$401,$AH275)))</f>
        <v/>
      </c>
      <c r="AG275" s="7">
        <f>IF($AH275="","",IF(INDEX('Per Invoice'!AG$2:AG$401,$AH275)="","",INDEX('Per Invoice'!AG$2:AG$401,$AH275)))</f>
        <v/>
      </c>
      <c r="AH275" s="16">
        <f>IFERROR(MATCH(Settings!$C$26&amp;"|"&amp;ROWS($AH$2:$AH275),'Per Invoice'!$AI$2:$AI$401,0),"")</f>
        <v/>
      </c>
    </row>
    <row r="276">
      <c r="A276">
        <f>IF($AH276="","",IF(INDEX('Per Invoice'!A$2:A$401,$AH276)="","",INDEX('Per Invoice'!A$2:A$401,$AH276)))</f>
        <v/>
      </c>
      <c r="B276">
        <f>IF($AH276="","",IF(INDEX('Per Invoice'!B$2:B$401,$AH276)="","",INDEX('Per Invoice'!B$2:B$401,$AH276)))</f>
        <v/>
      </c>
      <c r="C276">
        <f>IF($AH276="","",IF(INDEX('Per Invoice'!C$2:C$401,$AH276)="","",INDEX('Per Invoice'!C$2:C$401,$AH276)))</f>
        <v/>
      </c>
      <c r="D276">
        <f>IF($AH276="","",IF(INDEX('Per Invoice'!D$2:D$401,$AH276)="","",INDEX('Per Invoice'!D$2:D$401,$AH276)))</f>
        <v/>
      </c>
      <c r="E276">
        <f>IF($AH276="","",IF(INDEX('Per Invoice'!E$2:E$401,$AH276)="","",INDEX('Per Invoice'!E$2:E$401,$AH276)))</f>
        <v/>
      </c>
      <c r="F276">
        <f>IF($AH276="","",IF(INDEX('Per Invoice'!F$2:F$401,$AH276)="","",INDEX('Per Invoice'!F$2:F$401,$AH276)))</f>
        <v/>
      </c>
      <c r="G276">
        <f>IF($AH276="","",IF(INDEX('Per Invoice'!G$2:G$401,$AH276)="","",INDEX('Per Invoice'!G$2:G$401,$AH276)))</f>
        <v/>
      </c>
      <c r="H276">
        <f>IF($AH276="","",IF(INDEX('Per Invoice'!H$2:H$401,$AH276)="","",INDEX('Per Invoice'!H$2:H$401,$AH276)))</f>
        <v/>
      </c>
      <c r="I276" s="14">
        <f>IF($AH276="","",IF(INDEX('Per Invoice'!I$2:I$401,$AH276)="","",INDEX('Per Invoice'!I$2:I$401,$AH276)))</f>
        <v/>
      </c>
      <c r="J276">
        <f>IF($AH276="","",IF(INDEX('Per Invoice'!J$2:J$401,$AH276)="","",INDEX('Per Invoice'!J$2:J$401,$AH276)))</f>
        <v/>
      </c>
      <c r="K276">
        <f>IF($AH276="","",IF(INDEX('Per Invoice'!K$2:K$401,$AH276)="","",INDEX('Per Invoice'!K$2:K$401,$AH276)))</f>
        <v/>
      </c>
      <c r="L276">
        <f>IF($AH276="","",IF(INDEX('Per Invoice'!L$2:L$401,$AH276)="","",INDEX('Per Invoice'!L$2:L$401,$AH276)))</f>
        <v/>
      </c>
      <c r="M276">
        <f>IF($AH276="","",IF(INDEX('Per Invoice'!M$2:M$401,$AH276)="","",INDEX('Per Invoice'!M$2:M$401,$AH276)))</f>
        <v/>
      </c>
      <c r="N276">
        <f>IF($AH276="","",IF(INDEX('Per Invoice'!N$2:N$401,$AH276)="","",INDEX('Per Invoice'!N$2:N$401,$AH276)))</f>
        <v/>
      </c>
      <c r="O276">
        <f>IF($AH276="","",IF(INDEX('Per Invoice'!O$2:O$401,$AH276)="","",INDEX('Per Invoice'!O$2:O$401,$AH276)))</f>
        <v/>
      </c>
      <c r="P276" s="7">
        <f>IF($AH276="","",IF(INDEX('Per Invoice'!P$2:P$401,$AH276)="","",INDEX('Per Invoice'!P$2:P$401,$AH276)))</f>
        <v/>
      </c>
      <c r="Q276">
        <f>IF($AH276="","",IF(INDEX('Per Invoice'!Q$2:Q$401,$AH276)="","",INDEX('Per Invoice'!Q$2:Q$401,$AH276)))</f>
        <v/>
      </c>
      <c r="R276">
        <f>IF($AH276="","",IF(INDEX('Per Invoice'!R$2:R$401,$AH276)="","",INDEX('Per Invoice'!R$2:R$401,$AH276)))</f>
        <v/>
      </c>
      <c r="S276">
        <f>IF($AH276="","",IF(INDEX('Per Invoice'!S$2:S$401,$AH276)="","",INDEX('Per Invoice'!S$2:S$401,$AH276)))</f>
        <v/>
      </c>
      <c r="T276" s="7">
        <f>IF($AH276="","",IF(INDEX('Per Invoice'!T$2:T$401,$AH276)="","",INDEX('Per Invoice'!T$2:T$401,$AH276)))</f>
        <v/>
      </c>
      <c r="U276" s="7">
        <f>IF($AH276="","",IF(INDEX('Per Invoice'!U$2:U$401,$AH276)="","",INDEX('Per Invoice'!U$2:U$401,$AH276)))</f>
        <v/>
      </c>
      <c r="V276">
        <f>IF($AH276="","",IF(INDEX('Per Invoice'!V$2:V$401,$AH276)="","",INDEX('Per Invoice'!V$2:V$401,$AH276)))</f>
        <v/>
      </c>
      <c r="W276" s="7">
        <f>IF($AH276="","",IF(INDEX('Per Invoice'!W$2:W$401,$AH276)="","",INDEX('Per Invoice'!W$2:W$401,$AH276)))</f>
        <v/>
      </c>
      <c r="X276" s="7">
        <f>IF($AH276="","",IF(INDEX('Per Invoice'!X$2:X$401,$AH276)="","",INDEX('Per Invoice'!X$2:X$401,$AH276)))</f>
        <v/>
      </c>
      <c r="Y276">
        <f>IF($AH276="","",IF(INDEX('Per Invoice'!Y$2:Y$401,$AH276)="","",INDEX('Per Invoice'!Y$2:Y$401,$AH276)))</f>
        <v/>
      </c>
      <c r="Z276" s="7">
        <f>IF($AH276="","",IF(INDEX('Per Invoice'!Z$2:Z$401,$AH276)="","",INDEX('Per Invoice'!Z$2:Z$401,$AH276)))</f>
        <v/>
      </c>
      <c r="AA276" s="7">
        <f>IF($AH276="","",IF(INDEX('Per Invoice'!AA$2:AA$401,$AH276)="","",INDEX('Per Invoice'!AA$2:AA$401,$AH276)))</f>
        <v/>
      </c>
      <c r="AB276" s="7">
        <f>IF($AH276="","",IF(INDEX('Per Invoice'!AB$2:AB$401,$AH276)="","",INDEX('Per Invoice'!AB$2:AB$401,$AH276)))</f>
        <v/>
      </c>
      <c r="AC276" s="7">
        <f>IF($AH276="","",IF(INDEX('Per Invoice'!AC$2:AC$401,$AH276)="","",INDEX('Per Invoice'!AC$2:AC$401,$AH276)))</f>
        <v/>
      </c>
      <c r="AD276" s="7">
        <f>IF($AH276="","",IF(INDEX('Per Invoice'!AD$2:AD$401,$AH276)="","",INDEX('Per Invoice'!AD$2:AD$401,$AH276)))</f>
        <v/>
      </c>
      <c r="AE276" s="7">
        <f>IF($AH276="","",IF(INDEX('Per Invoice'!AE$2:AE$401,$AH276)="","",INDEX('Per Invoice'!AE$2:AE$401,$AH276)))</f>
        <v/>
      </c>
      <c r="AF276">
        <f>IF($AH276="","",IF(INDEX('Per Invoice'!AF$2:AF$401,$AH276)="","",INDEX('Per Invoice'!AF$2:AF$401,$AH276)))</f>
        <v/>
      </c>
      <c r="AG276" s="7">
        <f>IF($AH276="","",IF(INDEX('Per Invoice'!AG$2:AG$401,$AH276)="","",INDEX('Per Invoice'!AG$2:AG$401,$AH276)))</f>
        <v/>
      </c>
      <c r="AH276" s="16">
        <f>IFERROR(MATCH(Settings!$C$26&amp;"|"&amp;ROWS($AH$2:$AH276),'Per Invoice'!$AI$2:$AI$401,0),"")</f>
        <v/>
      </c>
    </row>
    <row r="277">
      <c r="A277">
        <f>IF($AH277="","",IF(INDEX('Per Invoice'!A$2:A$401,$AH277)="","",INDEX('Per Invoice'!A$2:A$401,$AH277)))</f>
        <v/>
      </c>
      <c r="B277">
        <f>IF($AH277="","",IF(INDEX('Per Invoice'!B$2:B$401,$AH277)="","",INDEX('Per Invoice'!B$2:B$401,$AH277)))</f>
        <v/>
      </c>
      <c r="C277">
        <f>IF($AH277="","",IF(INDEX('Per Invoice'!C$2:C$401,$AH277)="","",INDEX('Per Invoice'!C$2:C$401,$AH277)))</f>
        <v/>
      </c>
      <c r="D277">
        <f>IF($AH277="","",IF(INDEX('Per Invoice'!D$2:D$401,$AH277)="","",INDEX('Per Invoice'!D$2:D$401,$AH277)))</f>
        <v/>
      </c>
      <c r="E277">
        <f>IF($AH277="","",IF(INDEX('Per Invoice'!E$2:E$401,$AH277)="","",INDEX('Per Invoice'!E$2:E$401,$AH277)))</f>
        <v/>
      </c>
      <c r="F277">
        <f>IF($AH277="","",IF(INDEX('Per Invoice'!F$2:F$401,$AH277)="","",INDEX('Per Invoice'!F$2:F$401,$AH277)))</f>
        <v/>
      </c>
      <c r="G277">
        <f>IF($AH277="","",IF(INDEX('Per Invoice'!G$2:G$401,$AH277)="","",INDEX('Per Invoice'!G$2:G$401,$AH277)))</f>
        <v/>
      </c>
      <c r="H277">
        <f>IF($AH277="","",IF(INDEX('Per Invoice'!H$2:H$401,$AH277)="","",INDEX('Per Invoice'!H$2:H$401,$AH277)))</f>
        <v/>
      </c>
      <c r="I277" s="14">
        <f>IF($AH277="","",IF(INDEX('Per Invoice'!I$2:I$401,$AH277)="","",INDEX('Per Invoice'!I$2:I$401,$AH277)))</f>
        <v/>
      </c>
      <c r="J277">
        <f>IF($AH277="","",IF(INDEX('Per Invoice'!J$2:J$401,$AH277)="","",INDEX('Per Invoice'!J$2:J$401,$AH277)))</f>
        <v/>
      </c>
      <c r="K277">
        <f>IF($AH277="","",IF(INDEX('Per Invoice'!K$2:K$401,$AH277)="","",INDEX('Per Invoice'!K$2:K$401,$AH277)))</f>
        <v/>
      </c>
      <c r="L277">
        <f>IF($AH277="","",IF(INDEX('Per Invoice'!L$2:L$401,$AH277)="","",INDEX('Per Invoice'!L$2:L$401,$AH277)))</f>
        <v/>
      </c>
      <c r="M277">
        <f>IF($AH277="","",IF(INDEX('Per Invoice'!M$2:M$401,$AH277)="","",INDEX('Per Invoice'!M$2:M$401,$AH277)))</f>
        <v/>
      </c>
      <c r="N277">
        <f>IF($AH277="","",IF(INDEX('Per Invoice'!N$2:N$401,$AH277)="","",INDEX('Per Invoice'!N$2:N$401,$AH277)))</f>
        <v/>
      </c>
      <c r="O277">
        <f>IF($AH277="","",IF(INDEX('Per Invoice'!O$2:O$401,$AH277)="","",INDEX('Per Invoice'!O$2:O$401,$AH277)))</f>
        <v/>
      </c>
      <c r="P277" s="7">
        <f>IF($AH277="","",IF(INDEX('Per Invoice'!P$2:P$401,$AH277)="","",INDEX('Per Invoice'!P$2:P$401,$AH277)))</f>
        <v/>
      </c>
      <c r="Q277">
        <f>IF($AH277="","",IF(INDEX('Per Invoice'!Q$2:Q$401,$AH277)="","",INDEX('Per Invoice'!Q$2:Q$401,$AH277)))</f>
        <v/>
      </c>
      <c r="R277">
        <f>IF($AH277="","",IF(INDEX('Per Invoice'!R$2:R$401,$AH277)="","",INDEX('Per Invoice'!R$2:R$401,$AH277)))</f>
        <v/>
      </c>
      <c r="S277">
        <f>IF($AH277="","",IF(INDEX('Per Invoice'!S$2:S$401,$AH277)="","",INDEX('Per Invoice'!S$2:S$401,$AH277)))</f>
        <v/>
      </c>
      <c r="T277" s="7">
        <f>IF($AH277="","",IF(INDEX('Per Invoice'!T$2:T$401,$AH277)="","",INDEX('Per Invoice'!T$2:T$401,$AH277)))</f>
        <v/>
      </c>
      <c r="U277" s="7">
        <f>IF($AH277="","",IF(INDEX('Per Invoice'!U$2:U$401,$AH277)="","",INDEX('Per Invoice'!U$2:U$401,$AH277)))</f>
        <v/>
      </c>
      <c r="V277">
        <f>IF($AH277="","",IF(INDEX('Per Invoice'!V$2:V$401,$AH277)="","",INDEX('Per Invoice'!V$2:V$401,$AH277)))</f>
        <v/>
      </c>
      <c r="W277" s="7">
        <f>IF($AH277="","",IF(INDEX('Per Invoice'!W$2:W$401,$AH277)="","",INDEX('Per Invoice'!W$2:W$401,$AH277)))</f>
        <v/>
      </c>
      <c r="X277" s="7">
        <f>IF($AH277="","",IF(INDEX('Per Invoice'!X$2:X$401,$AH277)="","",INDEX('Per Invoice'!X$2:X$401,$AH277)))</f>
        <v/>
      </c>
      <c r="Y277">
        <f>IF($AH277="","",IF(INDEX('Per Invoice'!Y$2:Y$401,$AH277)="","",INDEX('Per Invoice'!Y$2:Y$401,$AH277)))</f>
        <v/>
      </c>
      <c r="Z277" s="7">
        <f>IF($AH277="","",IF(INDEX('Per Invoice'!Z$2:Z$401,$AH277)="","",INDEX('Per Invoice'!Z$2:Z$401,$AH277)))</f>
        <v/>
      </c>
      <c r="AA277" s="7">
        <f>IF($AH277="","",IF(INDEX('Per Invoice'!AA$2:AA$401,$AH277)="","",INDEX('Per Invoice'!AA$2:AA$401,$AH277)))</f>
        <v/>
      </c>
      <c r="AB277" s="7">
        <f>IF($AH277="","",IF(INDEX('Per Invoice'!AB$2:AB$401,$AH277)="","",INDEX('Per Invoice'!AB$2:AB$401,$AH277)))</f>
        <v/>
      </c>
      <c r="AC277" s="7">
        <f>IF($AH277="","",IF(INDEX('Per Invoice'!AC$2:AC$401,$AH277)="","",INDEX('Per Invoice'!AC$2:AC$401,$AH277)))</f>
        <v/>
      </c>
      <c r="AD277" s="7">
        <f>IF($AH277="","",IF(INDEX('Per Invoice'!AD$2:AD$401,$AH277)="","",INDEX('Per Invoice'!AD$2:AD$401,$AH277)))</f>
        <v/>
      </c>
      <c r="AE277" s="7">
        <f>IF($AH277="","",IF(INDEX('Per Invoice'!AE$2:AE$401,$AH277)="","",INDEX('Per Invoice'!AE$2:AE$401,$AH277)))</f>
        <v/>
      </c>
      <c r="AF277">
        <f>IF($AH277="","",IF(INDEX('Per Invoice'!AF$2:AF$401,$AH277)="","",INDEX('Per Invoice'!AF$2:AF$401,$AH277)))</f>
        <v/>
      </c>
      <c r="AG277" s="7">
        <f>IF($AH277="","",IF(INDEX('Per Invoice'!AG$2:AG$401,$AH277)="","",INDEX('Per Invoice'!AG$2:AG$401,$AH277)))</f>
        <v/>
      </c>
      <c r="AH277" s="16">
        <f>IFERROR(MATCH(Settings!$C$26&amp;"|"&amp;ROWS($AH$2:$AH277),'Per Invoice'!$AI$2:$AI$401,0),"")</f>
        <v/>
      </c>
    </row>
    <row r="278">
      <c r="A278">
        <f>IF($AH278="","",IF(INDEX('Per Invoice'!A$2:A$401,$AH278)="","",INDEX('Per Invoice'!A$2:A$401,$AH278)))</f>
        <v/>
      </c>
      <c r="B278">
        <f>IF($AH278="","",IF(INDEX('Per Invoice'!B$2:B$401,$AH278)="","",INDEX('Per Invoice'!B$2:B$401,$AH278)))</f>
        <v/>
      </c>
      <c r="C278">
        <f>IF($AH278="","",IF(INDEX('Per Invoice'!C$2:C$401,$AH278)="","",INDEX('Per Invoice'!C$2:C$401,$AH278)))</f>
        <v/>
      </c>
      <c r="D278">
        <f>IF($AH278="","",IF(INDEX('Per Invoice'!D$2:D$401,$AH278)="","",INDEX('Per Invoice'!D$2:D$401,$AH278)))</f>
        <v/>
      </c>
      <c r="E278">
        <f>IF($AH278="","",IF(INDEX('Per Invoice'!E$2:E$401,$AH278)="","",INDEX('Per Invoice'!E$2:E$401,$AH278)))</f>
        <v/>
      </c>
      <c r="F278">
        <f>IF($AH278="","",IF(INDEX('Per Invoice'!F$2:F$401,$AH278)="","",INDEX('Per Invoice'!F$2:F$401,$AH278)))</f>
        <v/>
      </c>
      <c r="G278">
        <f>IF($AH278="","",IF(INDEX('Per Invoice'!G$2:G$401,$AH278)="","",INDEX('Per Invoice'!G$2:G$401,$AH278)))</f>
        <v/>
      </c>
      <c r="H278">
        <f>IF($AH278="","",IF(INDEX('Per Invoice'!H$2:H$401,$AH278)="","",INDEX('Per Invoice'!H$2:H$401,$AH278)))</f>
        <v/>
      </c>
      <c r="I278" s="14">
        <f>IF($AH278="","",IF(INDEX('Per Invoice'!I$2:I$401,$AH278)="","",INDEX('Per Invoice'!I$2:I$401,$AH278)))</f>
        <v/>
      </c>
      <c r="J278">
        <f>IF($AH278="","",IF(INDEX('Per Invoice'!J$2:J$401,$AH278)="","",INDEX('Per Invoice'!J$2:J$401,$AH278)))</f>
        <v/>
      </c>
      <c r="K278">
        <f>IF($AH278="","",IF(INDEX('Per Invoice'!K$2:K$401,$AH278)="","",INDEX('Per Invoice'!K$2:K$401,$AH278)))</f>
        <v/>
      </c>
      <c r="L278">
        <f>IF($AH278="","",IF(INDEX('Per Invoice'!L$2:L$401,$AH278)="","",INDEX('Per Invoice'!L$2:L$401,$AH278)))</f>
        <v/>
      </c>
      <c r="M278">
        <f>IF($AH278="","",IF(INDEX('Per Invoice'!M$2:M$401,$AH278)="","",INDEX('Per Invoice'!M$2:M$401,$AH278)))</f>
        <v/>
      </c>
      <c r="N278">
        <f>IF($AH278="","",IF(INDEX('Per Invoice'!N$2:N$401,$AH278)="","",INDEX('Per Invoice'!N$2:N$401,$AH278)))</f>
        <v/>
      </c>
      <c r="O278">
        <f>IF($AH278="","",IF(INDEX('Per Invoice'!O$2:O$401,$AH278)="","",INDEX('Per Invoice'!O$2:O$401,$AH278)))</f>
        <v/>
      </c>
      <c r="P278" s="7">
        <f>IF($AH278="","",IF(INDEX('Per Invoice'!P$2:P$401,$AH278)="","",INDEX('Per Invoice'!P$2:P$401,$AH278)))</f>
        <v/>
      </c>
      <c r="Q278">
        <f>IF($AH278="","",IF(INDEX('Per Invoice'!Q$2:Q$401,$AH278)="","",INDEX('Per Invoice'!Q$2:Q$401,$AH278)))</f>
        <v/>
      </c>
      <c r="R278">
        <f>IF($AH278="","",IF(INDEX('Per Invoice'!R$2:R$401,$AH278)="","",INDEX('Per Invoice'!R$2:R$401,$AH278)))</f>
        <v/>
      </c>
      <c r="S278">
        <f>IF($AH278="","",IF(INDEX('Per Invoice'!S$2:S$401,$AH278)="","",INDEX('Per Invoice'!S$2:S$401,$AH278)))</f>
        <v/>
      </c>
      <c r="T278" s="7">
        <f>IF($AH278="","",IF(INDEX('Per Invoice'!T$2:T$401,$AH278)="","",INDEX('Per Invoice'!T$2:T$401,$AH278)))</f>
        <v/>
      </c>
      <c r="U278" s="7">
        <f>IF($AH278="","",IF(INDEX('Per Invoice'!U$2:U$401,$AH278)="","",INDEX('Per Invoice'!U$2:U$401,$AH278)))</f>
        <v/>
      </c>
      <c r="V278">
        <f>IF($AH278="","",IF(INDEX('Per Invoice'!V$2:V$401,$AH278)="","",INDEX('Per Invoice'!V$2:V$401,$AH278)))</f>
        <v/>
      </c>
      <c r="W278" s="7">
        <f>IF($AH278="","",IF(INDEX('Per Invoice'!W$2:W$401,$AH278)="","",INDEX('Per Invoice'!W$2:W$401,$AH278)))</f>
        <v/>
      </c>
      <c r="X278" s="7">
        <f>IF($AH278="","",IF(INDEX('Per Invoice'!X$2:X$401,$AH278)="","",INDEX('Per Invoice'!X$2:X$401,$AH278)))</f>
        <v/>
      </c>
      <c r="Y278">
        <f>IF($AH278="","",IF(INDEX('Per Invoice'!Y$2:Y$401,$AH278)="","",INDEX('Per Invoice'!Y$2:Y$401,$AH278)))</f>
        <v/>
      </c>
      <c r="Z278" s="7">
        <f>IF($AH278="","",IF(INDEX('Per Invoice'!Z$2:Z$401,$AH278)="","",INDEX('Per Invoice'!Z$2:Z$401,$AH278)))</f>
        <v/>
      </c>
      <c r="AA278" s="7">
        <f>IF($AH278="","",IF(INDEX('Per Invoice'!AA$2:AA$401,$AH278)="","",INDEX('Per Invoice'!AA$2:AA$401,$AH278)))</f>
        <v/>
      </c>
      <c r="AB278" s="7">
        <f>IF($AH278="","",IF(INDEX('Per Invoice'!AB$2:AB$401,$AH278)="","",INDEX('Per Invoice'!AB$2:AB$401,$AH278)))</f>
        <v/>
      </c>
      <c r="AC278" s="7">
        <f>IF($AH278="","",IF(INDEX('Per Invoice'!AC$2:AC$401,$AH278)="","",INDEX('Per Invoice'!AC$2:AC$401,$AH278)))</f>
        <v/>
      </c>
      <c r="AD278" s="7">
        <f>IF($AH278="","",IF(INDEX('Per Invoice'!AD$2:AD$401,$AH278)="","",INDEX('Per Invoice'!AD$2:AD$401,$AH278)))</f>
        <v/>
      </c>
      <c r="AE278" s="7">
        <f>IF($AH278="","",IF(INDEX('Per Invoice'!AE$2:AE$401,$AH278)="","",INDEX('Per Invoice'!AE$2:AE$401,$AH278)))</f>
        <v/>
      </c>
      <c r="AF278">
        <f>IF($AH278="","",IF(INDEX('Per Invoice'!AF$2:AF$401,$AH278)="","",INDEX('Per Invoice'!AF$2:AF$401,$AH278)))</f>
        <v/>
      </c>
      <c r="AG278" s="7">
        <f>IF($AH278="","",IF(INDEX('Per Invoice'!AG$2:AG$401,$AH278)="","",INDEX('Per Invoice'!AG$2:AG$401,$AH278)))</f>
        <v/>
      </c>
      <c r="AH278" s="16">
        <f>IFERROR(MATCH(Settings!$C$26&amp;"|"&amp;ROWS($AH$2:$AH278),'Per Invoice'!$AI$2:$AI$401,0),"")</f>
        <v/>
      </c>
    </row>
    <row r="279">
      <c r="A279">
        <f>IF($AH279="","",IF(INDEX('Per Invoice'!A$2:A$401,$AH279)="","",INDEX('Per Invoice'!A$2:A$401,$AH279)))</f>
        <v/>
      </c>
      <c r="B279">
        <f>IF($AH279="","",IF(INDEX('Per Invoice'!B$2:B$401,$AH279)="","",INDEX('Per Invoice'!B$2:B$401,$AH279)))</f>
        <v/>
      </c>
      <c r="C279">
        <f>IF($AH279="","",IF(INDEX('Per Invoice'!C$2:C$401,$AH279)="","",INDEX('Per Invoice'!C$2:C$401,$AH279)))</f>
        <v/>
      </c>
      <c r="D279">
        <f>IF($AH279="","",IF(INDEX('Per Invoice'!D$2:D$401,$AH279)="","",INDEX('Per Invoice'!D$2:D$401,$AH279)))</f>
        <v/>
      </c>
      <c r="E279">
        <f>IF($AH279="","",IF(INDEX('Per Invoice'!E$2:E$401,$AH279)="","",INDEX('Per Invoice'!E$2:E$401,$AH279)))</f>
        <v/>
      </c>
      <c r="F279">
        <f>IF($AH279="","",IF(INDEX('Per Invoice'!F$2:F$401,$AH279)="","",INDEX('Per Invoice'!F$2:F$401,$AH279)))</f>
        <v/>
      </c>
      <c r="G279">
        <f>IF($AH279="","",IF(INDEX('Per Invoice'!G$2:G$401,$AH279)="","",INDEX('Per Invoice'!G$2:G$401,$AH279)))</f>
        <v/>
      </c>
      <c r="H279">
        <f>IF($AH279="","",IF(INDEX('Per Invoice'!H$2:H$401,$AH279)="","",INDEX('Per Invoice'!H$2:H$401,$AH279)))</f>
        <v/>
      </c>
      <c r="I279" s="14">
        <f>IF($AH279="","",IF(INDEX('Per Invoice'!I$2:I$401,$AH279)="","",INDEX('Per Invoice'!I$2:I$401,$AH279)))</f>
        <v/>
      </c>
      <c r="J279">
        <f>IF($AH279="","",IF(INDEX('Per Invoice'!J$2:J$401,$AH279)="","",INDEX('Per Invoice'!J$2:J$401,$AH279)))</f>
        <v/>
      </c>
      <c r="K279">
        <f>IF($AH279="","",IF(INDEX('Per Invoice'!K$2:K$401,$AH279)="","",INDEX('Per Invoice'!K$2:K$401,$AH279)))</f>
        <v/>
      </c>
      <c r="L279">
        <f>IF($AH279="","",IF(INDEX('Per Invoice'!L$2:L$401,$AH279)="","",INDEX('Per Invoice'!L$2:L$401,$AH279)))</f>
        <v/>
      </c>
      <c r="M279">
        <f>IF($AH279="","",IF(INDEX('Per Invoice'!M$2:M$401,$AH279)="","",INDEX('Per Invoice'!M$2:M$401,$AH279)))</f>
        <v/>
      </c>
      <c r="N279">
        <f>IF($AH279="","",IF(INDEX('Per Invoice'!N$2:N$401,$AH279)="","",INDEX('Per Invoice'!N$2:N$401,$AH279)))</f>
        <v/>
      </c>
      <c r="O279">
        <f>IF($AH279="","",IF(INDEX('Per Invoice'!O$2:O$401,$AH279)="","",INDEX('Per Invoice'!O$2:O$401,$AH279)))</f>
        <v/>
      </c>
      <c r="P279" s="7">
        <f>IF($AH279="","",IF(INDEX('Per Invoice'!P$2:P$401,$AH279)="","",INDEX('Per Invoice'!P$2:P$401,$AH279)))</f>
        <v/>
      </c>
      <c r="Q279">
        <f>IF($AH279="","",IF(INDEX('Per Invoice'!Q$2:Q$401,$AH279)="","",INDEX('Per Invoice'!Q$2:Q$401,$AH279)))</f>
        <v/>
      </c>
      <c r="R279">
        <f>IF($AH279="","",IF(INDEX('Per Invoice'!R$2:R$401,$AH279)="","",INDEX('Per Invoice'!R$2:R$401,$AH279)))</f>
        <v/>
      </c>
      <c r="S279">
        <f>IF($AH279="","",IF(INDEX('Per Invoice'!S$2:S$401,$AH279)="","",INDEX('Per Invoice'!S$2:S$401,$AH279)))</f>
        <v/>
      </c>
      <c r="T279" s="7">
        <f>IF($AH279="","",IF(INDEX('Per Invoice'!T$2:T$401,$AH279)="","",INDEX('Per Invoice'!T$2:T$401,$AH279)))</f>
        <v/>
      </c>
      <c r="U279" s="7">
        <f>IF($AH279="","",IF(INDEX('Per Invoice'!U$2:U$401,$AH279)="","",INDEX('Per Invoice'!U$2:U$401,$AH279)))</f>
        <v/>
      </c>
      <c r="V279">
        <f>IF($AH279="","",IF(INDEX('Per Invoice'!V$2:V$401,$AH279)="","",INDEX('Per Invoice'!V$2:V$401,$AH279)))</f>
        <v/>
      </c>
      <c r="W279" s="7">
        <f>IF($AH279="","",IF(INDEX('Per Invoice'!W$2:W$401,$AH279)="","",INDEX('Per Invoice'!W$2:W$401,$AH279)))</f>
        <v/>
      </c>
      <c r="X279" s="7">
        <f>IF($AH279="","",IF(INDEX('Per Invoice'!X$2:X$401,$AH279)="","",INDEX('Per Invoice'!X$2:X$401,$AH279)))</f>
        <v/>
      </c>
      <c r="Y279">
        <f>IF($AH279="","",IF(INDEX('Per Invoice'!Y$2:Y$401,$AH279)="","",INDEX('Per Invoice'!Y$2:Y$401,$AH279)))</f>
        <v/>
      </c>
      <c r="Z279" s="7">
        <f>IF($AH279="","",IF(INDEX('Per Invoice'!Z$2:Z$401,$AH279)="","",INDEX('Per Invoice'!Z$2:Z$401,$AH279)))</f>
        <v/>
      </c>
      <c r="AA279" s="7">
        <f>IF($AH279="","",IF(INDEX('Per Invoice'!AA$2:AA$401,$AH279)="","",INDEX('Per Invoice'!AA$2:AA$401,$AH279)))</f>
        <v/>
      </c>
      <c r="AB279" s="7">
        <f>IF($AH279="","",IF(INDEX('Per Invoice'!AB$2:AB$401,$AH279)="","",INDEX('Per Invoice'!AB$2:AB$401,$AH279)))</f>
        <v/>
      </c>
      <c r="AC279" s="7">
        <f>IF($AH279="","",IF(INDEX('Per Invoice'!AC$2:AC$401,$AH279)="","",INDEX('Per Invoice'!AC$2:AC$401,$AH279)))</f>
        <v/>
      </c>
      <c r="AD279" s="7">
        <f>IF($AH279="","",IF(INDEX('Per Invoice'!AD$2:AD$401,$AH279)="","",INDEX('Per Invoice'!AD$2:AD$401,$AH279)))</f>
        <v/>
      </c>
      <c r="AE279" s="7">
        <f>IF($AH279="","",IF(INDEX('Per Invoice'!AE$2:AE$401,$AH279)="","",INDEX('Per Invoice'!AE$2:AE$401,$AH279)))</f>
        <v/>
      </c>
      <c r="AF279">
        <f>IF($AH279="","",IF(INDEX('Per Invoice'!AF$2:AF$401,$AH279)="","",INDEX('Per Invoice'!AF$2:AF$401,$AH279)))</f>
        <v/>
      </c>
      <c r="AG279" s="7">
        <f>IF($AH279="","",IF(INDEX('Per Invoice'!AG$2:AG$401,$AH279)="","",INDEX('Per Invoice'!AG$2:AG$401,$AH279)))</f>
        <v/>
      </c>
      <c r="AH279" s="16">
        <f>IFERROR(MATCH(Settings!$C$26&amp;"|"&amp;ROWS($AH$2:$AH279),'Per Invoice'!$AI$2:$AI$401,0),"")</f>
        <v/>
      </c>
    </row>
    <row r="280">
      <c r="A280">
        <f>IF($AH280="","",IF(INDEX('Per Invoice'!A$2:A$401,$AH280)="","",INDEX('Per Invoice'!A$2:A$401,$AH280)))</f>
        <v/>
      </c>
      <c r="B280">
        <f>IF($AH280="","",IF(INDEX('Per Invoice'!B$2:B$401,$AH280)="","",INDEX('Per Invoice'!B$2:B$401,$AH280)))</f>
        <v/>
      </c>
      <c r="C280">
        <f>IF($AH280="","",IF(INDEX('Per Invoice'!C$2:C$401,$AH280)="","",INDEX('Per Invoice'!C$2:C$401,$AH280)))</f>
        <v/>
      </c>
      <c r="D280">
        <f>IF($AH280="","",IF(INDEX('Per Invoice'!D$2:D$401,$AH280)="","",INDEX('Per Invoice'!D$2:D$401,$AH280)))</f>
        <v/>
      </c>
      <c r="E280">
        <f>IF($AH280="","",IF(INDEX('Per Invoice'!E$2:E$401,$AH280)="","",INDEX('Per Invoice'!E$2:E$401,$AH280)))</f>
        <v/>
      </c>
      <c r="F280">
        <f>IF($AH280="","",IF(INDEX('Per Invoice'!F$2:F$401,$AH280)="","",INDEX('Per Invoice'!F$2:F$401,$AH280)))</f>
        <v/>
      </c>
      <c r="G280">
        <f>IF($AH280="","",IF(INDEX('Per Invoice'!G$2:G$401,$AH280)="","",INDEX('Per Invoice'!G$2:G$401,$AH280)))</f>
        <v/>
      </c>
      <c r="H280">
        <f>IF($AH280="","",IF(INDEX('Per Invoice'!H$2:H$401,$AH280)="","",INDEX('Per Invoice'!H$2:H$401,$AH280)))</f>
        <v/>
      </c>
      <c r="I280" s="14">
        <f>IF($AH280="","",IF(INDEX('Per Invoice'!I$2:I$401,$AH280)="","",INDEX('Per Invoice'!I$2:I$401,$AH280)))</f>
        <v/>
      </c>
      <c r="J280">
        <f>IF($AH280="","",IF(INDEX('Per Invoice'!J$2:J$401,$AH280)="","",INDEX('Per Invoice'!J$2:J$401,$AH280)))</f>
        <v/>
      </c>
      <c r="K280">
        <f>IF($AH280="","",IF(INDEX('Per Invoice'!K$2:K$401,$AH280)="","",INDEX('Per Invoice'!K$2:K$401,$AH280)))</f>
        <v/>
      </c>
      <c r="L280">
        <f>IF($AH280="","",IF(INDEX('Per Invoice'!L$2:L$401,$AH280)="","",INDEX('Per Invoice'!L$2:L$401,$AH280)))</f>
        <v/>
      </c>
      <c r="M280">
        <f>IF($AH280="","",IF(INDEX('Per Invoice'!M$2:M$401,$AH280)="","",INDEX('Per Invoice'!M$2:M$401,$AH280)))</f>
        <v/>
      </c>
      <c r="N280">
        <f>IF($AH280="","",IF(INDEX('Per Invoice'!N$2:N$401,$AH280)="","",INDEX('Per Invoice'!N$2:N$401,$AH280)))</f>
        <v/>
      </c>
      <c r="O280">
        <f>IF($AH280="","",IF(INDEX('Per Invoice'!O$2:O$401,$AH280)="","",INDEX('Per Invoice'!O$2:O$401,$AH280)))</f>
        <v/>
      </c>
      <c r="P280" s="7">
        <f>IF($AH280="","",IF(INDEX('Per Invoice'!P$2:P$401,$AH280)="","",INDEX('Per Invoice'!P$2:P$401,$AH280)))</f>
        <v/>
      </c>
      <c r="Q280">
        <f>IF($AH280="","",IF(INDEX('Per Invoice'!Q$2:Q$401,$AH280)="","",INDEX('Per Invoice'!Q$2:Q$401,$AH280)))</f>
        <v/>
      </c>
      <c r="R280">
        <f>IF($AH280="","",IF(INDEX('Per Invoice'!R$2:R$401,$AH280)="","",INDEX('Per Invoice'!R$2:R$401,$AH280)))</f>
        <v/>
      </c>
      <c r="S280">
        <f>IF($AH280="","",IF(INDEX('Per Invoice'!S$2:S$401,$AH280)="","",INDEX('Per Invoice'!S$2:S$401,$AH280)))</f>
        <v/>
      </c>
      <c r="T280" s="7">
        <f>IF($AH280="","",IF(INDEX('Per Invoice'!T$2:T$401,$AH280)="","",INDEX('Per Invoice'!T$2:T$401,$AH280)))</f>
        <v/>
      </c>
      <c r="U280" s="7">
        <f>IF($AH280="","",IF(INDEX('Per Invoice'!U$2:U$401,$AH280)="","",INDEX('Per Invoice'!U$2:U$401,$AH280)))</f>
        <v/>
      </c>
      <c r="V280">
        <f>IF($AH280="","",IF(INDEX('Per Invoice'!V$2:V$401,$AH280)="","",INDEX('Per Invoice'!V$2:V$401,$AH280)))</f>
        <v/>
      </c>
      <c r="W280" s="7">
        <f>IF($AH280="","",IF(INDEX('Per Invoice'!W$2:W$401,$AH280)="","",INDEX('Per Invoice'!W$2:W$401,$AH280)))</f>
        <v/>
      </c>
      <c r="X280" s="7">
        <f>IF($AH280="","",IF(INDEX('Per Invoice'!X$2:X$401,$AH280)="","",INDEX('Per Invoice'!X$2:X$401,$AH280)))</f>
        <v/>
      </c>
      <c r="Y280">
        <f>IF($AH280="","",IF(INDEX('Per Invoice'!Y$2:Y$401,$AH280)="","",INDEX('Per Invoice'!Y$2:Y$401,$AH280)))</f>
        <v/>
      </c>
      <c r="Z280" s="7">
        <f>IF($AH280="","",IF(INDEX('Per Invoice'!Z$2:Z$401,$AH280)="","",INDEX('Per Invoice'!Z$2:Z$401,$AH280)))</f>
        <v/>
      </c>
      <c r="AA280" s="7">
        <f>IF($AH280="","",IF(INDEX('Per Invoice'!AA$2:AA$401,$AH280)="","",INDEX('Per Invoice'!AA$2:AA$401,$AH280)))</f>
        <v/>
      </c>
      <c r="AB280" s="7">
        <f>IF($AH280="","",IF(INDEX('Per Invoice'!AB$2:AB$401,$AH280)="","",INDEX('Per Invoice'!AB$2:AB$401,$AH280)))</f>
        <v/>
      </c>
      <c r="AC280" s="7">
        <f>IF($AH280="","",IF(INDEX('Per Invoice'!AC$2:AC$401,$AH280)="","",INDEX('Per Invoice'!AC$2:AC$401,$AH280)))</f>
        <v/>
      </c>
      <c r="AD280" s="7">
        <f>IF($AH280="","",IF(INDEX('Per Invoice'!AD$2:AD$401,$AH280)="","",INDEX('Per Invoice'!AD$2:AD$401,$AH280)))</f>
        <v/>
      </c>
      <c r="AE280" s="7">
        <f>IF($AH280="","",IF(INDEX('Per Invoice'!AE$2:AE$401,$AH280)="","",INDEX('Per Invoice'!AE$2:AE$401,$AH280)))</f>
        <v/>
      </c>
      <c r="AF280">
        <f>IF($AH280="","",IF(INDEX('Per Invoice'!AF$2:AF$401,$AH280)="","",INDEX('Per Invoice'!AF$2:AF$401,$AH280)))</f>
        <v/>
      </c>
      <c r="AG280" s="7">
        <f>IF($AH280="","",IF(INDEX('Per Invoice'!AG$2:AG$401,$AH280)="","",INDEX('Per Invoice'!AG$2:AG$401,$AH280)))</f>
        <v/>
      </c>
      <c r="AH280" s="16">
        <f>IFERROR(MATCH(Settings!$C$26&amp;"|"&amp;ROWS($AH$2:$AH280),'Per Invoice'!$AI$2:$AI$401,0),"")</f>
        <v/>
      </c>
    </row>
    <row r="281">
      <c r="A281">
        <f>IF($AH281="","",IF(INDEX('Per Invoice'!A$2:A$401,$AH281)="","",INDEX('Per Invoice'!A$2:A$401,$AH281)))</f>
        <v/>
      </c>
      <c r="B281">
        <f>IF($AH281="","",IF(INDEX('Per Invoice'!B$2:B$401,$AH281)="","",INDEX('Per Invoice'!B$2:B$401,$AH281)))</f>
        <v/>
      </c>
      <c r="C281">
        <f>IF($AH281="","",IF(INDEX('Per Invoice'!C$2:C$401,$AH281)="","",INDEX('Per Invoice'!C$2:C$401,$AH281)))</f>
        <v/>
      </c>
      <c r="D281">
        <f>IF($AH281="","",IF(INDEX('Per Invoice'!D$2:D$401,$AH281)="","",INDEX('Per Invoice'!D$2:D$401,$AH281)))</f>
        <v/>
      </c>
      <c r="E281">
        <f>IF($AH281="","",IF(INDEX('Per Invoice'!E$2:E$401,$AH281)="","",INDEX('Per Invoice'!E$2:E$401,$AH281)))</f>
        <v/>
      </c>
      <c r="F281">
        <f>IF($AH281="","",IF(INDEX('Per Invoice'!F$2:F$401,$AH281)="","",INDEX('Per Invoice'!F$2:F$401,$AH281)))</f>
        <v/>
      </c>
      <c r="G281">
        <f>IF($AH281="","",IF(INDEX('Per Invoice'!G$2:G$401,$AH281)="","",INDEX('Per Invoice'!G$2:G$401,$AH281)))</f>
        <v/>
      </c>
      <c r="H281">
        <f>IF($AH281="","",IF(INDEX('Per Invoice'!H$2:H$401,$AH281)="","",INDEX('Per Invoice'!H$2:H$401,$AH281)))</f>
        <v/>
      </c>
      <c r="I281" s="14">
        <f>IF($AH281="","",IF(INDEX('Per Invoice'!I$2:I$401,$AH281)="","",INDEX('Per Invoice'!I$2:I$401,$AH281)))</f>
        <v/>
      </c>
      <c r="J281">
        <f>IF($AH281="","",IF(INDEX('Per Invoice'!J$2:J$401,$AH281)="","",INDEX('Per Invoice'!J$2:J$401,$AH281)))</f>
        <v/>
      </c>
      <c r="K281">
        <f>IF($AH281="","",IF(INDEX('Per Invoice'!K$2:K$401,$AH281)="","",INDEX('Per Invoice'!K$2:K$401,$AH281)))</f>
        <v/>
      </c>
      <c r="L281">
        <f>IF($AH281="","",IF(INDEX('Per Invoice'!L$2:L$401,$AH281)="","",INDEX('Per Invoice'!L$2:L$401,$AH281)))</f>
        <v/>
      </c>
      <c r="M281">
        <f>IF($AH281="","",IF(INDEX('Per Invoice'!M$2:M$401,$AH281)="","",INDEX('Per Invoice'!M$2:M$401,$AH281)))</f>
        <v/>
      </c>
      <c r="N281">
        <f>IF($AH281="","",IF(INDEX('Per Invoice'!N$2:N$401,$AH281)="","",INDEX('Per Invoice'!N$2:N$401,$AH281)))</f>
        <v/>
      </c>
      <c r="O281">
        <f>IF($AH281="","",IF(INDEX('Per Invoice'!O$2:O$401,$AH281)="","",INDEX('Per Invoice'!O$2:O$401,$AH281)))</f>
        <v/>
      </c>
      <c r="P281" s="7">
        <f>IF($AH281="","",IF(INDEX('Per Invoice'!P$2:P$401,$AH281)="","",INDEX('Per Invoice'!P$2:P$401,$AH281)))</f>
        <v/>
      </c>
      <c r="Q281">
        <f>IF($AH281="","",IF(INDEX('Per Invoice'!Q$2:Q$401,$AH281)="","",INDEX('Per Invoice'!Q$2:Q$401,$AH281)))</f>
        <v/>
      </c>
      <c r="R281">
        <f>IF($AH281="","",IF(INDEX('Per Invoice'!R$2:R$401,$AH281)="","",INDEX('Per Invoice'!R$2:R$401,$AH281)))</f>
        <v/>
      </c>
      <c r="S281">
        <f>IF($AH281="","",IF(INDEX('Per Invoice'!S$2:S$401,$AH281)="","",INDEX('Per Invoice'!S$2:S$401,$AH281)))</f>
        <v/>
      </c>
      <c r="T281" s="7">
        <f>IF($AH281="","",IF(INDEX('Per Invoice'!T$2:T$401,$AH281)="","",INDEX('Per Invoice'!T$2:T$401,$AH281)))</f>
        <v/>
      </c>
      <c r="U281" s="7">
        <f>IF($AH281="","",IF(INDEX('Per Invoice'!U$2:U$401,$AH281)="","",INDEX('Per Invoice'!U$2:U$401,$AH281)))</f>
        <v/>
      </c>
      <c r="V281">
        <f>IF($AH281="","",IF(INDEX('Per Invoice'!V$2:V$401,$AH281)="","",INDEX('Per Invoice'!V$2:V$401,$AH281)))</f>
        <v/>
      </c>
      <c r="W281" s="7">
        <f>IF($AH281="","",IF(INDEX('Per Invoice'!W$2:W$401,$AH281)="","",INDEX('Per Invoice'!W$2:W$401,$AH281)))</f>
        <v/>
      </c>
      <c r="X281" s="7">
        <f>IF($AH281="","",IF(INDEX('Per Invoice'!X$2:X$401,$AH281)="","",INDEX('Per Invoice'!X$2:X$401,$AH281)))</f>
        <v/>
      </c>
      <c r="Y281">
        <f>IF($AH281="","",IF(INDEX('Per Invoice'!Y$2:Y$401,$AH281)="","",INDEX('Per Invoice'!Y$2:Y$401,$AH281)))</f>
        <v/>
      </c>
      <c r="Z281" s="7">
        <f>IF($AH281="","",IF(INDEX('Per Invoice'!Z$2:Z$401,$AH281)="","",INDEX('Per Invoice'!Z$2:Z$401,$AH281)))</f>
        <v/>
      </c>
      <c r="AA281" s="7">
        <f>IF($AH281="","",IF(INDEX('Per Invoice'!AA$2:AA$401,$AH281)="","",INDEX('Per Invoice'!AA$2:AA$401,$AH281)))</f>
        <v/>
      </c>
      <c r="AB281" s="7">
        <f>IF($AH281="","",IF(INDEX('Per Invoice'!AB$2:AB$401,$AH281)="","",INDEX('Per Invoice'!AB$2:AB$401,$AH281)))</f>
        <v/>
      </c>
      <c r="AC281" s="7">
        <f>IF($AH281="","",IF(INDEX('Per Invoice'!AC$2:AC$401,$AH281)="","",INDEX('Per Invoice'!AC$2:AC$401,$AH281)))</f>
        <v/>
      </c>
      <c r="AD281" s="7">
        <f>IF($AH281="","",IF(INDEX('Per Invoice'!AD$2:AD$401,$AH281)="","",INDEX('Per Invoice'!AD$2:AD$401,$AH281)))</f>
        <v/>
      </c>
      <c r="AE281" s="7">
        <f>IF($AH281="","",IF(INDEX('Per Invoice'!AE$2:AE$401,$AH281)="","",INDEX('Per Invoice'!AE$2:AE$401,$AH281)))</f>
        <v/>
      </c>
      <c r="AF281">
        <f>IF($AH281="","",IF(INDEX('Per Invoice'!AF$2:AF$401,$AH281)="","",INDEX('Per Invoice'!AF$2:AF$401,$AH281)))</f>
        <v/>
      </c>
      <c r="AG281" s="7">
        <f>IF($AH281="","",IF(INDEX('Per Invoice'!AG$2:AG$401,$AH281)="","",INDEX('Per Invoice'!AG$2:AG$401,$AH281)))</f>
        <v/>
      </c>
      <c r="AH281" s="16">
        <f>IFERROR(MATCH(Settings!$C$26&amp;"|"&amp;ROWS($AH$2:$AH281),'Per Invoice'!$AI$2:$AI$401,0),"")</f>
        <v/>
      </c>
    </row>
    <row r="282">
      <c r="A282">
        <f>IF($AH282="","",IF(INDEX('Per Invoice'!A$2:A$401,$AH282)="","",INDEX('Per Invoice'!A$2:A$401,$AH282)))</f>
        <v/>
      </c>
      <c r="B282">
        <f>IF($AH282="","",IF(INDEX('Per Invoice'!B$2:B$401,$AH282)="","",INDEX('Per Invoice'!B$2:B$401,$AH282)))</f>
        <v/>
      </c>
      <c r="C282">
        <f>IF($AH282="","",IF(INDEX('Per Invoice'!C$2:C$401,$AH282)="","",INDEX('Per Invoice'!C$2:C$401,$AH282)))</f>
        <v/>
      </c>
      <c r="D282">
        <f>IF($AH282="","",IF(INDEX('Per Invoice'!D$2:D$401,$AH282)="","",INDEX('Per Invoice'!D$2:D$401,$AH282)))</f>
        <v/>
      </c>
      <c r="E282">
        <f>IF($AH282="","",IF(INDEX('Per Invoice'!E$2:E$401,$AH282)="","",INDEX('Per Invoice'!E$2:E$401,$AH282)))</f>
        <v/>
      </c>
      <c r="F282">
        <f>IF($AH282="","",IF(INDEX('Per Invoice'!F$2:F$401,$AH282)="","",INDEX('Per Invoice'!F$2:F$401,$AH282)))</f>
        <v/>
      </c>
      <c r="G282">
        <f>IF($AH282="","",IF(INDEX('Per Invoice'!G$2:G$401,$AH282)="","",INDEX('Per Invoice'!G$2:G$401,$AH282)))</f>
        <v/>
      </c>
      <c r="H282">
        <f>IF($AH282="","",IF(INDEX('Per Invoice'!H$2:H$401,$AH282)="","",INDEX('Per Invoice'!H$2:H$401,$AH282)))</f>
        <v/>
      </c>
      <c r="I282" s="14">
        <f>IF($AH282="","",IF(INDEX('Per Invoice'!I$2:I$401,$AH282)="","",INDEX('Per Invoice'!I$2:I$401,$AH282)))</f>
        <v/>
      </c>
      <c r="J282">
        <f>IF($AH282="","",IF(INDEX('Per Invoice'!J$2:J$401,$AH282)="","",INDEX('Per Invoice'!J$2:J$401,$AH282)))</f>
        <v/>
      </c>
      <c r="K282">
        <f>IF($AH282="","",IF(INDEX('Per Invoice'!K$2:K$401,$AH282)="","",INDEX('Per Invoice'!K$2:K$401,$AH282)))</f>
        <v/>
      </c>
      <c r="L282">
        <f>IF($AH282="","",IF(INDEX('Per Invoice'!L$2:L$401,$AH282)="","",INDEX('Per Invoice'!L$2:L$401,$AH282)))</f>
        <v/>
      </c>
      <c r="M282">
        <f>IF($AH282="","",IF(INDEX('Per Invoice'!M$2:M$401,$AH282)="","",INDEX('Per Invoice'!M$2:M$401,$AH282)))</f>
        <v/>
      </c>
      <c r="N282">
        <f>IF($AH282="","",IF(INDEX('Per Invoice'!N$2:N$401,$AH282)="","",INDEX('Per Invoice'!N$2:N$401,$AH282)))</f>
        <v/>
      </c>
      <c r="O282">
        <f>IF($AH282="","",IF(INDEX('Per Invoice'!O$2:O$401,$AH282)="","",INDEX('Per Invoice'!O$2:O$401,$AH282)))</f>
        <v/>
      </c>
      <c r="P282" s="7">
        <f>IF($AH282="","",IF(INDEX('Per Invoice'!P$2:P$401,$AH282)="","",INDEX('Per Invoice'!P$2:P$401,$AH282)))</f>
        <v/>
      </c>
      <c r="Q282">
        <f>IF($AH282="","",IF(INDEX('Per Invoice'!Q$2:Q$401,$AH282)="","",INDEX('Per Invoice'!Q$2:Q$401,$AH282)))</f>
        <v/>
      </c>
      <c r="R282">
        <f>IF($AH282="","",IF(INDEX('Per Invoice'!R$2:R$401,$AH282)="","",INDEX('Per Invoice'!R$2:R$401,$AH282)))</f>
        <v/>
      </c>
      <c r="S282">
        <f>IF($AH282="","",IF(INDEX('Per Invoice'!S$2:S$401,$AH282)="","",INDEX('Per Invoice'!S$2:S$401,$AH282)))</f>
        <v/>
      </c>
      <c r="T282" s="7">
        <f>IF($AH282="","",IF(INDEX('Per Invoice'!T$2:T$401,$AH282)="","",INDEX('Per Invoice'!T$2:T$401,$AH282)))</f>
        <v/>
      </c>
      <c r="U282" s="7">
        <f>IF($AH282="","",IF(INDEX('Per Invoice'!U$2:U$401,$AH282)="","",INDEX('Per Invoice'!U$2:U$401,$AH282)))</f>
        <v/>
      </c>
      <c r="V282">
        <f>IF($AH282="","",IF(INDEX('Per Invoice'!V$2:V$401,$AH282)="","",INDEX('Per Invoice'!V$2:V$401,$AH282)))</f>
        <v/>
      </c>
      <c r="W282" s="7">
        <f>IF($AH282="","",IF(INDEX('Per Invoice'!W$2:W$401,$AH282)="","",INDEX('Per Invoice'!W$2:W$401,$AH282)))</f>
        <v/>
      </c>
      <c r="X282" s="7">
        <f>IF($AH282="","",IF(INDEX('Per Invoice'!X$2:X$401,$AH282)="","",INDEX('Per Invoice'!X$2:X$401,$AH282)))</f>
        <v/>
      </c>
      <c r="Y282">
        <f>IF($AH282="","",IF(INDEX('Per Invoice'!Y$2:Y$401,$AH282)="","",INDEX('Per Invoice'!Y$2:Y$401,$AH282)))</f>
        <v/>
      </c>
      <c r="Z282" s="7">
        <f>IF($AH282="","",IF(INDEX('Per Invoice'!Z$2:Z$401,$AH282)="","",INDEX('Per Invoice'!Z$2:Z$401,$AH282)))</f>
        <v/>
      </c>
      <c r="AA282" s="7">
        <f>IF($AH282="","",IF(INDEX('Per Invoice'!AA$2:AA$401,$AH282)="","",INDEX('Per Invoice'!AA$2:AA$401,$AH282)))</f>
        <v/>
      </c>
      <c r="AB282" s="7">
        <f>IF($AH282="","",IF(INDEX('Per Invoice'!AB$2:AB$401,$AH282)="","",INDEX('Per Invoice'!AB$2:AB$401,$AH282)))</f>
        <v/>
      </c>
      <c r="AC282" s="7">
        <f>IF($AH282="","",IF(INDEX('Per Invoice'!AC$2:AC$401,$AH282)="","",INDEX('Per Invoice'!AC$2:AC$401,$AH282)))</f>
        <v/>
      </c>
      <c r="AD282" s="7">
        <f>IF($AH282="","",IF(INDEX('Per Invoice'!AD$2:AD$401,$AH282)="","",INDEX('Per Invoice'!AD$2:AD$401,$AH282)))</f>
        <v/>
      </c>
      <c r="AE282" s="7">
        <f>IF($AH282="","",IF(INDEX('Per Invoice'!AE$2:AE$401,$AH282)="","",INDEX('Per Invoice'!AE$2:AE$401,$AH282)))</f>
        <v/>
      </c>
      <c r="AF282">
        <f>IF($AH282="","",IF(INDEX('Per Invoice'!AF$2:AF$401,$AH282)="","",INDEX('Per Invoice'!AF$2:AF$401,$AH282)))</f>
        <v/>
      </c>
      <c r="AG282" s="7">
        <f>IF($AH282="","",IF(INDEX('Per Invoice'!AG$2:AG$401,$AH282)="","",INDEX('Per Invoice'!AG$2:AG$401,$AH282)))</f>
        <v/>
      </c>
      <c r="AH282" s="16">
        <f>IFERROR(MATCH(Settings!$C$26&amp;"|"&amp;ROWS($AH$2:$AH282),'Per Invoice'!$AI$2:$AI$401,0),"")</f>
        <v/>
      </c>
    </row>
    <row r="283">
      <c r="A283">
        <f>IF($AH283="","",IF(INDEX('Per Invoice'!A$2:A$401,$AH283)="","",INDEX('Per Invoice'!A$2:A$401,$AH283)))</f>
        <v/>
      </c>
      <c r="B283">
        <f>IF($AH283="","",IF(INDEX('Per Invoice'!B$2:B$401,$AH283)="","",INDEX('Per Invoice'!B$2:B$401,$AH283)))</f>
        <v/>
      </c>
      <c r="C283">
        <f>IF($AH283="","",IF(INDEX('Per Invoice'!C$2:C$401,$AH283)="","",INDEX('Per Invoice'!C$2:C$401,$AH283)))</f>
        <v/>
      </c>
      <c r="D283">
        <f>IF($AH283="","",IF(INDEX('Per Invoice'!D$2:D$401,$AH283)="","",INDEX('Per Invoice'!D$2:D$401,$AH283)))</f>
        <v/>
      </c>
      <c r="E283">
        <f>IF($AH283="","",IF(INDEX('Per Invoice'!E$2:E$401,$AH283)="","",INDEX('Per Invoice'!E$2:E$401,$AH283)))</f>
        <v/>
      </c>
      <c r="F283">
        <f>IF($AH283="","",IF(INDEX('Per Invoice'!F$2:F$401,$AH283)="","",INDEX('Per Invoice'!F$2:F$401,$AH283)))</f>
        <v/>
      </c>
      <c r="G283">
        <f>IF($AH283="","",IF(INDEX('Per Invoice'!G$2:G$401,$AH283)="","",INDEX('Per Invoice'!G$2:G$401,$AH283)))</f>
        <v/>
      </c>
      <c r="H283">
        <f>IF($AH283="","",IF(INDEX('Per Invoice'!H$2:H$401,$AH283)="","",INDEX('Per Invoice'!H$2:H$401,$AH283)))</f>
        <v/>
      </c>
      <c r="I283" s="14">
        <f>IF($AH283="","",IF(INDEX('Per Invoice'!I$2:I$401,$AH283)="","",INDEX('Per Invoice'!I$2:I$401,$AH283)))</f>
        <v/>
      </c>
      <c r="J283">
        <f>IF($AH283="","",IF(INDEX('Per Invoice'!J$2:J$401,$AH283)="","",INDEX('Per Invoice'!J$2:J$401,$AH283)))</f>
        <v/>
      </c>
      <c r="K283">
        <f>IF($AH283="","",IF(INDEX('Per Invoice'!K$2:K$401,$AH283)="","",INDEX('Per Invoice'!K$2:K$401,$AH283)))</f>
        <v/>
      </c>
      <c r="L283">
        <f>IF($AH283="","",IF(INDEX('Per Invoice'!L$2:L$401,$AH283)="","",INDEX('Per Invoice'!L$2:L$401,$AH283)))</f>
        <v/>
      </c>
      <c r="M283">
        <f>IF($AH283="","",IF(INDEX('Per Invoice'!M$2:M$401,$AH283)="","",INDEX('Per Invoice'!M$2:M$401,$AH283)))</f>
        <v/>
      </c>
      <c r="N283">
        <f>IF($AH283="","",IF(INDEX('Per Invoice'!N$2:N$401,$AH283)="","",INDEX('Per Invoice'!N$2:N$401,$AH283)))</f>
        <v/>
      </c>
      <c r="O283">
        <f>IF($AH283="","",IF(INDEX('Per Invoice'!O$2:O$401,$AH283)="","",INDEX('Per Invoice'!O$2:O$401,$AH283)))</f>
        <v/>
      </c>
      <c r="P283" s="7">
        <f>IF($AH283="","",IF(INDEX('Per Invoice'!P$2:P$401,$AH283)="","",INDEX('Per Invoice'!P$2:P$401,$AH283)))</f>
        <v/>
      </c>
      <c r="Q283">
        <f>IF($AH283="","",IF(INDEX('Per Invoice'!Q$2:Q$401,$AH283)="","",INDEX('Per Invoice'!Q$2:Q$401,$AH283)))</f>
        <v/>
      </c>
      <c r="R283">
        <f>IF($AH283="","",IF(INDEX('Per Invoice'!R$2:R$401,$AH283)="","",INDEX('Per Invoice'!R$2:R$401,$AH283)))</f>
        <v/>
      </c>
      <c r="S283">
        <f>IF($AH283="","",IF(INDEX('Per Invoice'!S$2:S$401,$AH283)="","",INDEX('Per Invoice'!S$2:S$401,$AH283)))</f>
        <v/>
      </c>
      <c r="T283" s="7">
        <f>IF($AH283="","",IF(INDEX('Per Invoice'!T$2:T$401,$AH283)="","",INDEX('Per Invoice'!T$2:T$401,$AH283)))</f>
        <v/>
      </c>
      <c r="U283" s="7">
        <f>IF($AH283="","",IF(INDEX('Per Invoice'!U$2:U$401,$AH283)="","",INDEX('Per Invoice'!U$2:U$401,$AH283)))</f>
        <v/>
      </c>
      <c r="V283">
        <f>IF($AH283="","",IF(INDEX('Per Invoice'!V$2:V$401,$AH283)="","",INDEX('Per Invoice'!V$2:V$401,$AH283)))</f>
        <v/>
      </c>
      <c r="W283" s="7">
        <f>IF($AH283="","",IF(INDEX('Per Invoice'!W$2:W$401,$AH283)="","",INDEX('Per Invoice'!W$2:W$401,$AH283)))</f>
        <v/>
      </c>
      <c r="X283" s="7">
        <f>IF($AH283="","",IF(INDEX('Per Invoice'!X$2:X$401,$AH283)="","",INDEX('Per Invoice'!X$2:X$401,$AH283)))</f>
        <v/>
      </c>
      <c r="Y283">
        <f>IF($AH283="","",IF(INDEX('Per Invoice'!Y$2:Y$401,$AH283)="","",INDEX('Per Invoice'!Y$2:Y$401,$AH283)))</f>
        <v/>
      </c>
      <c r="Z283" s="7">
        <f>IF($AH283="","",IF(INDEX('Per Invoice'!Z$2:Z$401,$AH283)="","",INDEX('Per Invoice'!Z$2:Z$401,$AH283)))</f>
        <v/>
      </c>
      <c r="AA283" s="7">
        <f>IF($AH283="","",IF(INDEX('Per Invoice'!AA$2:AA$401,$AH283)="","",INDEX('Per Invoice'!AA$2:AA$401,$AH283)))</f>
        <v/>
      </c>
      <c r="AB283" s="7">
        <f>IF($AH283="","",IF(INDEX('Per Invoice'!AB$2:AB$401,$AH283)="","",INDEX('Per Invoice'!AB$2:AB$401,$AH283)))</f>
        <v/>
      </c>
      <c r="AC283" s="7">
        <f>IF($AH283="","",IF(INDEX('Per Invoice'!AC$2:AC$401,$AH283)="","",INDEX('Per Invoice'!AC$2:AC$401,$AH283)))</f>
        <v/>
      </c>
      <c r="AD283" s="7">
        <f>IF($AH283="","",IF(INDEX('Per Invoice'!AD$2:AD$401,$AH283)="","",INDEX('Per Invoice'!AD$2:AD$401,$AH283)))</f>
        <v/>
      </c>
      <c r="AE283" s="7">
        <f>IF($AH283="","",IF(INDEX('Per Invoice'!AE$2:AE$401,$AH283)="","",INDEX('Per Invoice'!AE$2:AE$401,$AH283)))</f>
        <v/>
      </c>
      <c r="AF283">
        <f>IF($AH283="","",IF(INDEX('Per Invoice'!AF$2:AF$401,$AH283)="","",INDEX('Per Invoice'!AF$2:AF$401,$AH283)))</f>
        <v/>
      </c>
      <c r="AG283" s="7">
        <f>IF($AH283="","",IF(INDEX('Per Invoice'!AG$2:AG$401,$AH283)="","",INDEX('Per Invoice'!AG$2:AG$401,$AH283)))</f>
        <v/>
      </c>
      <c r="AH283" s="16">
        <f>IFERROR(MATCH(Settings!$C$26&amp;"|"&amp;ROWS($AH$2:$AH283),'Per Invoice'!$AI$2:$AI$401,0),"")</f>
        <v/>
      </c>
    </row>
    <row r="284">
      <c r="A284">
        <f>IF($AH284="","",IF(INDEX('Per Invoice'!A$2:A$401,$AH284)="","",INDEX('Per Invoice'!A$2:A$401,$AH284)))</f>
        <v/>
      </c>
      <c r="B284">
        <f>IF($AH284="","",IF(INDEX('Per Invoice'!B$2:B$401,$AH284)="","",INDEX('Per Invoice'!B$2:B$401,$AH284)))</f>
        <v/>
      </c>
      <c r="C284">
        <f>IF($AH284="","",IF(INDEX('Per Invoice'!C$2:C$401,$AH284)="","",INDEX('Per Invoice'!C$2:C$401,$AH284)))</f>
        <v/>
      </c>
      <c r="D284">
        <f>IF($AH284="","",IF(INDEX('Per Invoice'!D$2:D$401,$AH284)="","",INDEX('Per Invoice'!D$2:D$401,$AH284)))</f>
        <v/>
      </c>
      <c r="E284">
        <f>IF($AH284="","",IF(INDEX('Per Invoice'!E$2:E$401,$AH284)="","",INDEX('Per Invoice'!E$2:E$401,$AH284)))</f>
        <v/>
      </c>
      <c r="F284">
        <f>IF($AH284="","",IF(INDEX('Per Invoice'!F$2:F$401,$AH284)="","",INDEX('Per Invoice'!F$2:F$401,$AH284)))</f>
        <v/>
      </c>
      <c r="G284">
        <f>IF($AH284="","",IF(INDEX('Per Invoice'!G$2:G$401,$AH284)="","",INDEX('Per Invoice'!G$2:G$401,$AH284)))</f>
        <v/>
      </c>
      <c r="H284">
        <f>IF($AH284="","",IF(INDEX('Per Invoice'!H$2:H$401,$AH284)="","",INDEX('Per Invoice'!H$2:H$401,$AH284)))</f>
        <v/>
      </c>
      <c r="I284" s="14">
        <f>IF($AH284="","",IF(INDEX('Per Invoice'!I$2:I$401,$AH284)="","",INDEX('Per Invoice'!I$2:I$401,$AH284)))</f>
        <v/>
      </c>
      <c r="J284">
        <f>IF($AH284="","",IF(INDEX('Per Invoice'!J$2:J$401,$AH284)="","",INDEX('Per Invoice'!J$2:J$401,$AH284)))</f>
        <v/>
      </c>
      <c r="K284">
        <f>IF($AH284="","",IF(INDEX('Per Invoice'!K$2:K$401,$AH284)="","",INDEX('Per Invoice'!K$2:K$401,$AH284)))</f>
        <v/>
      </c>
      <c r="L284">
        <f>IF($AH284="","",IF(INDEX('Per Invoice'!L$2:L$401,$AH284)="","",INDEX('Per Invoice'!L$2:L$401,$AH284)))</f>
        <v/>
      </c>
      <c r="M284">
        <f>IF($AH284="","",IF(INDEX('Per Invoice'!M$2:M$401,$AH284)="","",INDEX('Per Invoice'!M$2:M$401,$AH284)))</f>
        <v/>
      </c>
      <c r="N284">
        <f>IF($AH284="","",IF(INDEX('Per Invoice'!N$2:N$401,$AH284)="","",INDEX('Per Invoice'!N$2:N$401,$AH284)))</f>
        <v/>
      </c>
      <c r="O284">
        <f>IF($AH284="","",IF(INDEX('Per Invoice'!O$2:O$401,$AH284)="","",INDEX('Per Invoice'!O$2:O$401,$AH284)))</f>
        <v/>
      </c>
      <c r="P284" s="7">
        <f>IF($AH284="","",IF(INDEX('Per Invoice'!P$2:P$401,$AH284)="","",INDEX('Per Invoice'!P$2:P$401,$AH284)))</f>
        <v/>
      </c>
      <c r="Q284">
        <f>IF($AH284="","",IF(INDEX('Per Invoice'!Q$2:Q$401,$AH284)="","",INDEX('Per Invoice'!Q$2:Q$401,$AH284)))</f>
        <v/>
      </c>
      <c r="R284">
        <f>IF($AH284="","",IF(INDEX('Per Invoice'!R$2:R$401,$AH284)="","",INDEX('Per Invoice'!R$2:R$401,$AH284)))</f>
        <v/>
      </c>
      <c r="S284">
        <f>IF($AH284="","",IF(INDEX('Per Invoice'!S$2:S$401,$AH284)="","",INDEX('Per Invoice'!S$2:S$401,$AH284)))</f>
        <v/>
      </c>
      <c r="T284" s="7">
        <f>IF($AH284="","",IF(INDEX('Per Invoice'!T$2:T$401,$AH284)="","",INDEX('Per Invoice'!T$2:T$401,$AH284)))</f>
        <v/>
      </c>
      <c r="U284" s="7">
        <f>IF($AH284="","",IF(INDEX('Per Invoice'!U$2:U$401,$AH284)="","",INDEX('Per Invoice'!U$2:U$401,$AH284)))</f>
        <v/>
      </c>
      <c r="V284">
        <f>IF($AH284="","",IF(INDEX('Per Invoice'!V$2:V$401,$AH284)="","",INDEX('Per Invoice'!V$2:V$401,$AH284)))</f>
        <v/>
      </c>
      <c r="W284" s="7">
        <f>IF($AH284="","",IF(INDEX('Per Invoice'!W$2:W$401,$AH284)="","",INDEX('Per Invoice'!W$2:W$401,$AH284)))</f>
        <v/>
      </c>
      <c r="X284" s="7">
        <f>IF($AH284="","",IF(INDEX('Per Invoice'!X$2:X$401,$AH284)="","",INDEX('Per Invoice'!X$2:X$401,$AH284)))</f>
        <v/>
      </c>
      <c r="Y284">
        <f>IF($AH284="","",IF(INDEX('Per Invoice'!Y$2:Y$401,$AH284)="","",INDEX('Per Invoice'!Y$2:Y$401,$AH284)))</f>
        <v/>
      </c>
      <c r="Z284" s="7">
        <f>IF($AH284="","",IF(INDEX('Per Invoice'!Z$2:Z$401,$AH284)="","",INDEX('Per Invoice'!Z$2:Z$401,$AH284)))</f>
        <v/>
      </c>
      <c r="AA284" s="7">
        <f>IF($AH284="","",IF(INDEX('Per Invoice'!AA$2:AA$401,$AH284)="","",INDEX('Per Invoice'!AA$2:AA$401,$AH284)))</f>
        <v/>
      </c>
      <c r="AB284" s="7">
        <f>IF($AH284="","",IF(INDEX('Per Invoice'!AB$2:AB$401,$AH284)="","",INDEX('Per Invoice'!AB$2:AB$401,$AH284)))</f>
        <v/>
      </c>
      <c r="AC284" s="7">
        <f>IF($AH284="","",IF(INDEX('Per Invoice'!AC$2:AC$401,$AH284)="","",INDEX('Per Invoice'!AC$2:AC$401,$AH284)))</f>
        <v/>
      </c>
      <c r="AD284" s="7">
        <f>IF($AH284="","",IF(INDEX('Per Invoice'!AD$2:AD$401,$AH284)="","",INDEX('Per Invoice'!AD$2:AD$401,$AH284)))</f>
        <v/>
      </c>
      <c r="AE284" s="7">
        <f>IF($AH284="","",IF(INDEX('Per Invoice'!AE$2:AE$401,$AH284)="","",INDEX('Per Invoice'!AE$2:AE$401,$AH284)))</f>
        <v/>
      </c>
      <c r="AF284">
        <f>IF($AH284="","",IF(INDEX('Per Invoice'!AF$2:AF$401,$AH284)="","",INDEX('Per Invoice'!AF$2:AF$401,$AH284)))</f>
        <v/>
      </c>
      <c r="AG284" s="7">
        <f>IF($AH284="","",IF(INDEX('Per Invoice'!AG$2:AG$401,$AH284)="","",INDEX('Per Invoice'!AG$2:AG$401,$AH284)))</f>
        <v/>
      </c>
      <c r="AH284" s="16">
        <f>IFERROR(MATCH(Settings!$C$26&amp;"|"&amp;ROWS($AH$2:$AH284),'Per Invoice'!$AI$2:$AI$401,0),"")</f>
        <v/>
      </c>
    </row>
    <row r="285">
      <c r="A285">
        <f>IF($AH285="","",IF(INDEX('Per Invoice'!A$2:A$401,$AH285)="","",INDEX('Per Invoice'!A$2:A$401,$AH285)))</f>
        <v/>
      </c>
      <c r="B285">
        <f>IF($AH285="","",IF(INDEX('Per Invoice'!B$2:B$401,$AH285)="","",INDEX('Per Invoice'!B$2:B$401,$AH285)))</f>
        <v/>
      </c>
      <c r="C285">
        <f>IF($AH285="","",IF(INDEX('Per Invoice'!C$2:C$401,$AH285)="","",INDEX('Per Invoice'!C$2:C$401,$AH285)))</f>
        <v/>
      </c>
      <c r="D285">
        <f>IF($AH285="","",IF(INDEX('Per Invoice'!D$2:D$401,$AH285)="","",INDEX('Per Invoice'!D$2:D$401,$AH285)))</f>
        <v/>
      </c>
      <c r="E285">
        <f>IF($AH285="","",IF(INDEX('Per Invoice'!E$2:E$401,$AH285)="","",INDEX('Per Invoice'!E$2:E$401,$AH285)))</f>
        <v/>
      </c>
      <c r="F285">
        <f>IF($AH285="","",IF(INDEX('Per Invoice'!F$2:F$401,$AH285)="","",INDEX('Per Invoice'!F$2:F$401,$AH285)))</f>
        <v/>
      </c>
      <c r="G285">
        <f>IF($AH285="","",IF(INDEX('Per Invoice'!G$2:G$401,$AH285)="","",INDEX('Per Invoice'!G$2:G$401,$AH285)))</f>
        <v/>
      </c>
      <c r="H285">
        <f>IF($AH285="","",IF(INDEX('Per Invoice'!H$2:H$401,$AH285)="","",INDEX('Per Invoice'!H$2:H$401,$AH285)))</f>
        <v/>
      </c>
      <c r="I285" s="14">
        <f>IF($AH285="","",IF(INDEX('Per Invoice'!I$2:I$401,$AH285)="","",INDEX('Per Invoice'!I$2:I$401,$AH285)))</f>
        <v/>
      </c>
      <c r="J285">
        <f>IF($AH285="","",IF(INDEX('Per Invoice'!J$2:J$401,$AH285)="","",INDEX('Per Invoice'!J$2:J$401,$AH285)))</f>
        <v/>
      </c>
      <c r="K285">
        <f>IF($AH285="","",IF(INDEX('Per Invoice'!K$2:K$401,$AH285)="","",INDEX('Per Invoice'!K$2:K$401,$AH285)))</f>
        <v/>
      </c>
      <c r="L285">
        <f>IF($AH285="","",IF(INDEX('Per Invoice'!L$2:L$401,$AH285)="","",INDEX('Per Invoice'!L$2:L$401,$AH285)))</f>
        <v/>
      </c>
      <c r="M285">
        <f>IF($AH285="","",IF(INDEX('Per Invoice'!M$2:M$401,$AH285)="","",INDEX('Per Invoice'!M$2:M$401,$AH285)))</f>
        <v/>
      </c>
      <c r="N285">
        <f>IF($AH285="","",IF(INDEX('Per Invoice'!N$2:N$401,$AH285)="","",INDEX('Per Invoice'!N$2:N$401,$AH285)))</f>
        <v/>
      </c>
      <c r="O285">
        <f>IF($AH285="","",IF(INDEX('Per Invoice'!O$2:O$401,$AH285)="","",INDEX('Per Invoice'!O$2:O$401,$AH285)))</f>
        <v/>
      </c>
      <c r="P285" s="7">
        <f>IF($AH285="","",IF(INDEX('Per Invoice'!P$2:P$401,$AH285)="","",INDEX('Per Invoice'!P$2:P$401,$AH285)))</f>
        <v/>
      </c>
      <c r="Q285">
        <f>IF($AH285="","",IF(INDEX('Per Invoice'!Q$2:Q$401,$AH285)="","",INDEX('Per Invoice'!Q$2:Q$401,$AH285)))</f>
        <v/>
      </c>
      <c r="R285">
        <f>IF($AH285="","",IF(INDEX('Per Invoice'!R$2:R$401,$AH285)="","",INDEX('Per Invoice'!R$2:R$401,$AH285)))</f>
        <v/>
      </c>
      <c r="S285">
        <f>IF($AH285="","",IF(INDEX('Per Invoice'!S$2:S$401,$AH285)="","",INDEX('Per Invoice'!S$2:S$401,$AH285)))</f>
        <v/>
      </c>
      <c r="T285" s="7">
        <f>IF($AH285="","",IF(INDEX('Per Invoice'!T$2:T$401,$AH285)="","",INDEX('Per Invoice'!T$2:T$401,$AH285)))</f>
        <v/>
      </c>
      <c r="U285" s="7">
        <f>IF($AH285="","",IF(INDEX('Per Invoice'!U$2:U$401,$AH285)="","",INDEX('Per Invoice'!U$2:U$401,$AH285)))</f>
        <v/>
      </c>
      <c r="V285">
        <f>IF($AH285="","",IF(INDEX('Per Invoice'!V$2:V$401,$AH285)="","",INDEX('Per Invoice'!V$2:V$401,$AH285)))</f>
        <v/>
      </c>
      <c r="W285" s="7">
        <f>IF($AH285="","",IF(INDEX('Per Invoice'!W$2:W$401,$AH285)="","",INDEX('Per Invoice'!W$2:W$401,$AH285)))</f>
        <v/>
      </c>
      <c r="X285" s="7">
        <f>IF($AH285="","",IF(INDEX('Per Invoice'!X$2:X$401,$AH285)="","",INDEX('Per Invoice'!X$2:X$401,$AH285)))</f>
        <v/>
      </c>
      <c r="Y285">
        <f>IF($AH285="","",IF(INDEX('Per Invoice'!Y$2:Y$401,$AH285)="","",INDEX('Per Invoice'!Y$2:Y$401,$AH285)))</f>
        <v/>
      </c>
      <c r="Z285" s="7">
        <f>IF($AH285="","",IF(INDEX('Per Invoice'!Z$2:Z$401,$AH285)="","",INDEX('Per Invoice'!Z$2:Z$401,$AH285)))</f>
        <v/>
      </c>
      <c r="AA285" s="7">
        <f>IF($AH285="","",IF(INDEX('Per Invoice'!AA$2:AA$401,$AH285)="","",INDEX('Per Invoice'!AA$2:AA$401,$AH285)))</f>
        <v/>
      </c>
      <c r="AB285" s="7">
        <f>IF($AH285="","",IF(INDEX('Per Invoice'!AB$2:AB$401,$AH285)="","",INDEX('Per Invoice'!AB$2:AB$401,$AH285)))</f>
        <v/>
      </c>
      <c r="AC285" s="7">
        <f>IF($AH285="","",IF(INDEX('Per Invoice'!AC$2:AC$401,$AH285)="","",INDEX('Per Invoice'!AC$2:AC$401,$AH285)))</f>
        <v/>
      </c>
      <c r="AD285" s="7">
        <f>IF($AH285="","",IF(INDEX('Per Invoice'!AD$2:AD$401,$AH285)="","",INDEX('Per Invoice'!AD$2:AD$401,$AH285)))</f>
        <v/>
      </c>
      <c r="AE285" s="7">
        <f>IF($AH285="","",IF(INDEX('Per Invoice'!AE$2:AE$401,$AH285)="","",INDEX('Per Invoice'!AE$2:AE$401,$AH285)))</f>
        <v/>
      </c>
      <c r="AF285">
        <f>IF($AH285="","",IF(INDEX('Per Invoice'!AF$2:AF$401,$AH285)="","",INDEX('Per Invoice'!AF$2:AF$401,$AH285)))</f>
        <v/>
      </c>
      <c r="AG285" s="7">
        <f>IF($AH285="","",IF(INDEX('Per Invoice'!AG$2:AG$401,$AH285)="","",INDEX('Per Invoice'!AG$2:AG$401,$AH285)))</f>
        <v/>
      </c>
      <c r="AH285" s="16">
        <f>IFERROR(MATCH(Settings!$C$26&amp;"|"&amp;ROWS($AH$2:$AH285),'Per Invoice'!$AI$2:$AI$401,0),"")</f>
        <v/>
      </c>
    </row>
    <row r="286">
      <c r="A286">
        <f>IF($AH286="","",IF(INDEX('Per Invoice'!A$2:A$401,$AH286)="","",INDEX('Per Invoice'!A$2:A$401,$AH286)))</f>
        <v/>
      </c>
      <c r="B286">
        <f>IF($AH286="","",IF(INDEX('Per Invoice'!B$2:B$401,$AH286)="","",INDEX('Per Invoice'!B$2:B$401,$AH286)))</f>
        <v/>
      </c>
      <c r="C286">
        <f>IF($AH286="","",IF(INDEX('Per Invoice'!C$2:C$401,$AH286)="","",INDEX('Per Invoice'!C$2:C$401,$AH286)))</f>
        <v/>
      </c>
      <c r="D286">
        <f>IF($AH286="","",IF(INDEX('Per Invoice'!D$2:D$401,$AH286)="","",INDEX('Per Invoice'!D$2:D$401,$AH286)))</f>
        <v/>
      </c>
      <c r="E286">
        <f>IF($AH286="","",IF(INDEX('Per Invoice'!E$2:E$401,$AH286)="","",INDEX('Per Invoice'!E$2:E$401,$AH286)))</f>
        <v/>
      </c>
      <c r="F286">
        <f>IF($AH286="","",IF(INDEX('Per Invoice'!F$2:F$401,$AH286)="","",INDEX('Per Invoice'!F$2:F$401,$AH286)))</f>
        <v/>
      </c>
      <c r="G286">
        <f>IF($AH286="","",IF(INDEX('Per Invoice'!G$2:G$401,$AH286)="","",INDEX('Per Invoice'!G$2:G$401,$AH286)))</f>
        <v/>
      </c>
      <c r="H286">
        <f>IF($AH286="","",IF(INDEX('Per Invoice'!H$2:H$401,$AH286)="","",INDEX('Per Invoice'!H$2:H$401,$AH286)))</f>
        <v/>
      </c>
      <c r="I286" s="14">
        <f>IF($AH286="","",IF(INDEX('Per Invoice'!I$2:I$401,$AH286)="","",INDEX('Per Invoice'!I$2:I$401,$AH286)))</f>
        <v/>
      </c>
      <c r="J286">
        <f>IF($AH286="","",IF(INDEX('Per Invoice'!J$2:J$401,$AH286)="","",INDEX('Per Invoice'!J$2:J$401,$AH286)))</f>
        <v/>
      </c>
      <c r="K286">
        <f>IF($AH286="","",IF(INDEX('Per Invoice'!K$2:K$401,$AH286)="","",INDEX('Per Invoice'!K$2:K$401,$AH286)))</f>
        <v/>
      </c>
      <c r="L286">
        <f>IF($AH286="","",IF(INDEX('Per Invoice'!L$2:L$401,$AH286)="","",INDEX('Per Invoice'!L$2:L$401,$AH286)))</f>
        <v/>
      </c>
      <c r="M286">
        <f>IF($AH286="","",IF(INDEX('Per Invoice'!M$2:M$401,$AH286)="","",INDEX('Per Invoice'!M$2:M$401,$AH286)))</f>
        <v/>
      </c>
      <c r="N286">
        <f>IF($AH286="","",IF(INDEX('Per Invoice'!N$2:N$401,$AH286)="","",INDEX('Per Invoice'!N$2:N$401,$AH286)))</f>
        <v/>
      </c>
      <c r="O286">
        <f>IF($AH286="","",IF(INDEX('Per Invoice'!O$2:O$401,$AH286)="","",INDEX('Per Invoice'!O$2:O$401,$AH286)))</f>
        <v/>
      </c>
      <c r="P286" s="7">
        <f>IF($AH286="","",IF(INDEX('Per Invoice'!P$2:P$401,$AH286)="","",INDEX('Per Invoice'!P$2:P$401,$AH286)))</f>
        <v/>
      </c>
      <c r="Q286">
        <f>IF($AH286="","",IF(INDEX('Per Invoice'!Q$2:Q$401,$AH286)="","",INDEX('Per Invoice'!Q$2:Q$401,$AH286)))</f>
        <v/>
      </c>
      <c r="R286">
        <f>IF($AH286="","",IF(INDEX('Per Invoice'!R$2:R$401,$AH286)="","",INDEX('Per Invoice'!R$2:R$401,$AH286)))</f>
        <v/>
      </c>
      <c r="S286">
        <f>IF($AH286="","",IF(INDEX('Per Invoice'!S$2:S$401,$AH286)="","",INDEX('Per Invoice'!S$2:S$401,$AH286)))</f>
        <v/>
      </c>
      <c r="T286" s="7">
        <f>IF($AH286="","",IF(INDEX('Per Invoice'!T$2:T$401,$AH286)="","",INDEX('Per Invoice'!T$2:T$401,$AH286)))</f>
        <v/>
      </c>
      <c r="U286" s="7">
        <f>IF($AH286="","",IF(INDEX('Per Invoice'!U$2:U$401,$AH286)="","",INDEX('Per Invoice'!U$2:U$401,$AH286)))</f>
        <v/>
      </c>
      <c r="V286">
        <f>IF($AH286="","",IF(INDEX('Per Invoice'!V$2:V$401,$AH286)="","",INDEX('Per Invoice'!V$2:V$401,$AH286)))</f>
        <v/>
      </c>
      <c r="W286" s="7">
        <f>IF($AH286="","",IF(INDEX('Per Invoice'!W$2:W$401,$AH286)="","",INDEX('Per Invoice'!W$2:W$401,$AH286)))</f>
        <v/>
      </c>
      <c r="X286" s="7">
        <f>IF($AH286="","",IF(INDEX('Per Invoice'!X$2:X$401,$AH286)="","",INDEX('Per Invoice'!X$2:X$401,$AH286)))</f>
        <v/>
      </c>
      <c r="Y286">
        <f>IF($AH286="","",IF(INDEX('Per Invoice'!Y$2:Y$401,$AH286)="","",INDEX('Per Invoice'!Y$2:Y$401,$AH286)))</f>
        <v/>
      </c>
      <c r="Z286" s="7">
        <f>IF($AH286="","",IF(INDEX('Per Invoice'!Z$2:Z$401,$AH286)="","",INDEX('Per Invoice'!Z$2:Z$401,$AH286)))</f>
        <v/>
      </c>
      <c r="AA286" s="7">
        <f>IF($AH286="","",IF(INDEX('Per Invoice'!AA$2:AA$401,$AH286)="","",INDEX('Per Invoice'!AA$2:AA$401,$AH286)))</f>
        <v/>
      </c>
      <c r="AB286" s="7">
        <f>IF($AH286="","",IF(INDEX('Per Invoice'!AB$2:AB$401,$AH286)="","",INDEX('Per Invoice'!AB$2:AB$401,$AH286)))</f>
        <v/>
      </c>
      <c r="AC286" s="7">
        <f>IF($AH286="","",IF(INDEX('Per Invoice'!AC$2:AC$401,$AH286)="","",INDEX('Per Invoice'!AC$2:AC$401,$AH286)))</f>
        <v/>
      </c>
      <c r="AD286" s="7">
        <f>IF($AH286="","",IF(INDEX('Per Invoice'!AD$2:AD$401,$AH286)="","",INDEX('Per Invoice'!AD$2:AD$401,$AH286)))</f>
        <v/>
      </c>
      <c r="AE286" s="7">
        <f>IF($AH286="","",IF(INDEX('Per Invoice'!AE$2:AE$401,$AH286)="","",INDEX('Per Invoice'!AE$2:AE$401,$AH286)))</f>
        <v/>
      </c>
      <c r="AF286">
        <f>IF($AH286="","",IF(INDEX('Per Invoice'!AF$2:AF$401,$AH286)="","",INDEX('Per Invoice'!AF$2:AF$401,$AH286)))</f>
        <v/>
      </c>
      <c r="AG286" s="7">
        <f>IF($AH286="","",IF(INDEX('Per Invoice'!AG$2:AG$401,$AH286)="","",INDEX('Per Invoice'!AG$2:AG$401,$AH286)))</f>
        <v/>
      </c>
      <c r="AH286" s="16">
        <f>IFERROR(MATCH(Settings!$C$26&amp;"|"&amp;ROWS($AH$2:$AH286),'Per Invoice'!$AI$2:$AI$401,0),"")</f>
        <v/>
      </c>
    </row>
    <row r="287">
      <c r="A287">
        <f>IF($AH287="","",IF(INDEX('Per Invoice'!A$2:A$401,$AH287)="","",INDEX('Per Invoice'!A$2:A$401,$AH287)))</f>
        <v/>
      </c>
      <c r="B287">
        <f>IF($AH287="","",IF(INDEX('Per Invoice'!B$2:B$401,$AH287)="","",INDEX('Per Invoice'!B$2:B$401,$AH287)))</f>
        <v/>
      </c>
      <c r="C287">
        <f>IF($AH287="","",IF(INDEX('Per Invoice'!C$2:C$401,$AH287)="","",INDEX('Per Invoice'!C$2:C$401,$AH287)))</f>
        <v/>
      </c>
      <c r="D287">
        <f>IF($AH287="","",IF(INDEX('Per Invoice'!D$2:D$401,$AH287)="","",INDEX('Per Invoice'!D$2:D$401,$AH287)))</f>
        <v/>
      </c>
      <c r="E287">
        <f>IF($AH287="","",IF(INDEX('Per Invoice'!E$2:E$401,$AH287)="","",INDEX('Per Invoice'!E$2:E$401,$AH287)))</f>
        <v/>
      </c>
      <c r="F287">
        <f>IF($AH287="","",IF(INDEX('Per Invoice'!F$2:F$401,$AH287)="","",INDEX('Per Invoice'!F$2:F$401,$AH287)))</f>
        <v/>
      </c>
      <c r="G287">
        <f>IF($AH287="","",IF(INDEX('Per Invoice'!G$2:G$401,$AH287)="","",INDEX('Per Invoice'!G$2:G$401,$AH287)))</f>
        <v/>
      </c>
      <c r="H287">
        <f>IF($AH287="","",IF(INDEX('Per Invoice'!H$2:H$401,$AH287)="","",INDEX('Per Invoice'!H$2:H$401,$AH287)))</f>
        <v/>
      </c>
      <c r="I287" s="14">
        <f>IF($AH287="","",IF(INDEX('Per Invoice'!I$2:I$401,$AH287)="","",INDEX('Per Invoice'!I$2:I$401,$AH287)))</f>
        <v/>
      </c>
      <c r="J287">
        <f>IF($AH287="","",IF(INDEX('Per Invoice'!J$2:J$401,$AH287)="","",INDEX('Per Invoice'!J$2:J$401,$AH287)))</f>
        <v/>
      </c>
      <c r="K287">
        <f>IF($AH287="","",IF(INDEX('Per Invoice'!K$2:K$401,$AH287)="","",INDEX('Per Invoice'!K$2:K$401,$AH287)))</f>
        <v/>
      </c>
      <c r="L287">
        <f>IF($AH287="","",IF(INDEX('Per Invoice'!L$2:L$401,$AH287)="","",INDEX('Per Invoice'!L$2:L$401,$AH287)))</f>
        <v/>
      </c>
      <c r="M287">
        <f>IF($AH287="","",IF(INDEX('Per Invoice'!M$2:M$401,$AH287)="","",INDEX('Per Invoice'!M$2:M$401,$AH287)))</f>
        <v/>
      </c>
      <c r="N287">
        <f>IF($AH287="","",IF(INDEX('Per Invoice'!N$2:N$401,$AH287)="","",INDEX('Per Invoice'!N$2:N$401,$AH287)))</f>
        <v/>
      </c>
      <c r="O287">
        <f>IF($AH287="","",IF(INDEX('Per Invoice'!O$2:O$401,$AH287)="","",INDEX('Per Invoice'!O$2:O$401,$AH287)))</f>
        <v/>
      </c>
      <c r="P287" s="7">
        <f>IF($AH287="","",IF(INDEX('Per Invoice'!P$2:P$401,$AH287)="","",INDEX('Per Invoice'!P$2:P$401,$AH287)))</f>
        <v/>
      </c>
      <c r="Q287">
        <f>IF($AH287="","",IF(INDEX('Per Invoice'!Q$2:Q$401,$AH287)="","",INDEX('Per Invoice'!Q$2:Q$401,$AH287)))</f>
        <v/>
      </c>
      <c r="R287">
        <f>IF($AH287="","",IF(INDEX('Per Invoice'!R$2:R$401,$AH287)="","",INDEX('Per Invoice'!R$2:R$401,$AH287)))</f>
        <v/>
      </c>
      <c r="S287">
        <f>IF($AH287="","",IF(INDEX('Per Invoice'!S$2:S$401,$AH287)="","",INDEX('Per Invoice'!S$2:S$401,$AH287)))</f>
        <v/>
      </c>
      <c r="T287" s="7">
        <f>IF($AH287="","",IF(INDEX('Per Invoice'!T$2:T$401,$AH287)="","",INDEX('Per Invoice'!T$2:T$401,$AH287)))</f>
        <v/>
      </c>
      <c r="U287" s="7">
        <f>IF($AH287="","",IF(INDEX('Per Invoice'!U$2:U$401,$AH287)="","",INDEX('Per Invoice'!U$2:U$401,$AH287)))</f>
        <v/>
      </c>
      <c r="V287">
        <f>IF($AH287="","",IF(INDEX('Per Invoice'!V$2:V$401,$AH287)="","",INDEX('Per Invoice'!V$2:V$401,$AH287)))</f>
        <v/>
      </c>
      <c r="W287" s="7">
        <f>IF($AH287="","",IF(INDEX('Per Invoice'!W$2:W$401,$AH287)="","",INDEX('Per Invoice'!W$2:W$401,$AH287)))</f>
        <v/>
      </c>
      <c r="X287" s="7">
        <f>IF($AH287="","",IF(INDEX('Per Invoice'!X$2:X$401,$AH287)="","",INDEX('Per Invoice'!X$2:X$401,$AH287)))</f>
        <v/>
      </c>
      <c r="Y287">
        <f>IF($AH287="","",IF(INDEX('Per Invoice'!Y$2:Y$401,$AH287)="","",INDEX('Per Invoice'!Y$2:Y$401,$AH287)))</f>
        <v/>
      </c>
      <c r="Z287" s="7">
        <f>IF($AH287="","",IF(INDEX('Per Invoice'!Z$2:Z$401,$AH287)="","",INDEX('Per Invoice'!Z$2:Z$401,$AH287)))</f>
        <v/>
      </c>
      <c r="AA287" s="7">
        <f>IF($AH287="","",IF(INDEX('Per Invoice'!AA$2:AA$401,$AH287)="","",INDEX('Per Invoice'!AA$2:AA$401,$AH287)))</f>
        <v/>
      </c>
      <c r="AB287" s="7">
        <f>IF($AH287="","",IF(INDEX('Per Invoice'!AB$2:AB$401,$AH287)="","",INDEX('Per Invoice'!AB$2:AB$401,$AH287)))</f>
        <v/>
      </c>
      <c r="AC287" s="7">
        <f>IF($AH287="","",IF(INDEX('Per Invoice'!AC$2:AC$401,$AH287)="","",INDEX('Per Invoice'!AC$2:AC$401,$AH287)))</f>
        <v/>
      </c>
      <c r="AD287" s="7">
        <f>IF($AH287="","",IF(INDEX('Per Invoice'!AD$2:AD$401,$AH287)="","",INDEX('Per Invoice'!AD$2:AD$401,$AH287)))</f>
        <v/>
      </c>
      <c r="AE287" s="7">
        <f>IF($AH287="","",IF(INDEX('Per Invoice'!AE$2:AE$401,$AH287)="","",INDEX('Per Invoice'!AE$2:AE$401,$AH287)))</f>
        <v/>
      </c>
      <c r="AF287">
        <f>IF($AH287="","",IF(INDEX('Per Invoice'!AF$2:AF$401,$AH287)="","",INDEX('Per Invoice'!AF$2:AF$401,$AH287)))</f>
        <v/>
      </c>
      <c r="AG287" s="7">
        <f>IF($AH287="","",IF(INDEX('Per Invoice'!AG$2:AG$401,$AH287)="","",INDEX('Per Invoice'!AG$2:AG$401,$AH287)))</f>
        <v/>
      </c>
      <c r="AH287" s="16">
        <f>IFERROR(MATCH(Settings!$C$26&amp;"|"&amp;ROWS($AH$2:$AH287),'Per Invoice'!$AI$2:$AI$401,0),"")</f>
        <v/>
      </c>
    </row>
    <row r="288">
      <c r="A288">
        <f>IF($AH288="","",IF(INDEX('Per Invoice'!A$2:A$401,$AH288)="","",INDEX('Per Invoice'!A$2:A$401,$AH288)))</f>
        <v/>
      </c>
      <c r="B288">
        <f>IF($AH288="","",IF(INDEX('Per Invoice'!B$2:B$401,$AH288)="","",INDEX('Per Invoice'!B$2:B$401,$AH288)))</f>
        <v/>
      </c>
      <c r="C288">
        <f>IF($AH288="","",IF(INDEX('Per Invoice'!C$2:C$401,$AH288)="","",INDEX('Per Invoice'!C$2:C$401,$AH288)))</f>
        <v/>
      </c>
      <c r="D288">
        <f>IF($AH288="","",IF(INDEX('Per Invoice'!D$2:D$401,$AH288)="","",INDEX('Per Invoice'!D$2:D$401,$AH288)))</f>
        <v/>
      </c>
      <c r="E288">
        <f>IF($AH288="","",IF(INDEX('Per Invoice'!E$2:E$401,$AH288)="","",INDEX('Per Invoice'!E$2:E$401,$AH288)))</f>
        <v/>
      </c>
      <c r="F288">
        <f>IF($AH288="","",IF(INDEX('Per Invoice'!F$2:F$401,$AH288)="","",INDEX('Per Invoice'!F$2:F$401,$AH288)))</f>
        <v/>
      </c>
      <c r="G288">
        <f>IF($AH288="","",IF(INDEX('Per Invoice'!G$2:G$401,$AH288)="","",INDEX('Per Invoice'!G$2:G$401,$AH288)))</f>
        <v/>
      </c>
      <c r="H288">
        <f>IF($AH288="","",IF(INDEX('Per Invoice'!H$2:H$401,$AH288)="","",INDEX('Per Invoice'!H$2:H$401,$AH288)))</f>
        <v/>
      </c>
      <c r="I288" s="14">
        <f>IF($AH288="","",IF(INDEX('Per Invoice'!I$2:I$401,$AH288)="","",INDEX('Per Invoice'!I$2:I$401,$AH288)))</f>
        <v/>
      </c>
      <c r="J288">
        <f>IF($AH288="","",IF(INDEX('Per Invoice'!J$2:J$401,$AH288)="","",INDEX('Per Invoice'!J$2:J$401,$AH288)))</f>
        <v/>
      </c>
      <c r="K288">
        <f>IF($AH288="","",IF(INDEX('Per Invoice'!K$2:K$401,$AH288)="","",INDEX('Per Invoice'!K$2:K$401,$AH288)))</f>
        <v/>
      </c>
      <c r="L288">
        <f>IF($AH288="","",IF(INDEX('Per Invoice'!L$2:L$401,$AH288)="","",INDEX('Per Invoice'!L$2:L$401,$AH288)))</f>
        <v/>
      </c>
      <c r="M288">
        <f>IF($AH288="","",IF(INDEX('Per Invoice'!M$2:M$401,$AH288)="","",INDEX('Per Invoice'!M$2:M$401,$AH288)))</f>
        <v/>
      </c>
      <c r="N288">
        <f>IF($AH288="","",IF(INDEX('Per Invoice'!N$2:N$401,$AH288)="","",INDEX('Per Invoice'!N$2:N$401,$AH288)))</f>
        <v/>
      </c>
      <c r="O288">
        <f>IF($AH288="","",IF(INDEX('Per Invoice'!O$2:O$401,$AH288)="","",INDEX('Per Invoice'!O$2:O$401,$AH288)))</f>
        <v/>
      </c>
      <c r="P288" s="7">
        <f>IF($AH288="","",IF(INDEX('Per Invoice'!P$2:P$401,$AH288)="","",INDEX('Per Invoice'!P$2:P$401,$AH288)))</f>
        <v/>
      </c>
      <c r="Q288">
        <f>IF($AH288="","",IF(INDEX('Per Invoice'!Q$2:Q$401,$AH288)="","",INDEX('Per Invoice'!Q$2:Q$401,$AH288)))</f>
        <v/>
      </c>
      <c r="R288">
        <f>IF($AH288="","",IF(INDEX('Per Invoice'!R$2:R$401,$AH288)="","",INDEX('Per Invoice'!R$2:R$401,$AH288)))</f>
        <v/>
      </c>
      <c r="S288">
        <f>IF($AH288="","",IF(INDEX('Per Invoice'!S$2:S$401,$AH288)="","",INDEX('Per Invoice'!S$2:S$401,$AH288)))</f>
        <v/>
      </c>
      <c r="T288" s="7">
        <f>IF($AH288="","",IF(INDEX('Per Invoice'!T$2:T$401,$AH288)="","",INDEX('Per Invoice'!T$2:T$401,$AH288)))</f>
        <v/>
      </c>
      <c r="U288" s="7">
        <f>IF($AH288="","",IF(INDEX('Per Invoice'!U$2:U$401,$AH288)="","",INDEX('Per Invoice'!U$2:U$401,$AH288)))</f>
        <v/>
      </c>
      <c r="V288">
        <f>IF($AH288="","",IF(INDEX('Per Invoice'!V$2:V$401,$AH288)="","",INDEX('Per Invoice'!V$2:V$401,$AH288)))</f>
        <v/>
      </c>
      <c r="W288" s="7">
        <f>IF($AH288="","",IF(INDEX('Per Invoice'!W$2:W$401,$AH288)="","",INDEX('Per Invoice'!W$2:W$401,$AH288)))</f>
        <v/>
      </c>
      <c r="X288" s="7">
        <f>IF($AH288="","",IF(INDEX('Per Invoice'!X$2:X$401,$AH288)="","",INDEX('Per Invoice'!X$2:X$401,$AH288)))</f>
        <v/>
      </c>
      <c r="Y288">
        <f>IF($AH288="","",IF(INDEX('Per Invoice'!Y$2:Y$401,$AH288)="","",INDEX('Per Invoice'!Y$2:Y$401,$AH288)))</f>
        <v/>
      </c>
      <c r="Z288" s="7">
        <f>IF($AH288="","",IF(INDEX('Per Invoice'!Z$2:Z$401,$AH288)="","",INDEX('Per Invoice'!Z$2:Z$401,$AH288)))</f>
        <v/>
      </c>
      <c r="AA288" s="7">
        <f>IF($AH288="","",IF(INDEX('Per Invoice'!AA$2:AA$401,$AH288)="","",INDEX('Per Invoice'!AA$2:AA$401,$AH288)))</f>
        <v/>
      </c>
      <c r="AB288" s="7">
        <f>IF($AH288="","",IF(INDEX('Per Invoice'!AB$2:AB$401,$AH288)="","",INDEX('Per Invoice'!AB$2:AB$401,$AH288)))</f>
        <v/>
      </c>
      <c r="AC288" s="7">
        <f>IF($AH288="","",IF(INDEX('Per Invoice'!AC$2:AC$401,$AH288)="","",INDEX('Per Invoice'!AC$2:AC$401,$AH288)))</f>
        <v/>
      </c>
      <c r="AD288" s="7">
        <f>IF($AH288="","",IF(INDEX('Per Invoice'!AD$2:AD$401,$AH288)="","",INDEX('Per Invoice'!AD$2:AD$401,$AH288)))</f>
        <v/>
      </c>
      <c r="AE288" s="7">
        <f>IF($AH288="","",IF(INDEX('Per Invoice'!AE$2:AE$401,$AH288)="","",INDEX('Per Invoice'!AE$2:AE$401,$AH288)))</f>
        <v/>
      </c>
      <c r="AF288">
        <f>IF($AH288="","",IF(INDEX('Per Invoice'!AF$2:AF$401,$AH288)="","",INDEX('Per Invoice'!AF$2:AF$401,$AH288)))</f>
        <v/>
      </c>
      <c r="AG288" s="7">
        <f>IF($AH288="","",IF(INDEX('Per Invoice'!AG$2:AG$401,$AH288)="","",INDEX('Per Invoice'!AG$2:AG$401,$AH288)))</f>
        <v/>
      </c>
      <c r="AH288" s="16">
        <f>IFERROR(MATCH(Settings!$C$26&amp;"|"&amp;ROWS($AH$2:$AH288),'Per Invoice'!$AI$2:$AI$401,0),"")</f>
        <v/>
      </c>
    </row>
    <row r="289">
      <c r="A289">
        <f>IF($AH289="","",IF(INDEX('Per Invoice'!A$2:A$401,$AH289)="","",INDEX('Per Invoice'!A$2:A$401,$AH289)))</f>
        <v/>
      </c>
      <c r="B289">
        <f>IF($AH289="","",IF(INDEX('Per Invoice'!B$2:B$401,$AH289)="","",INDEX('Per Invoice'!B$2:B$401,$AH289)))</f>
        <v/>
      </c>
      <c r="C289">
        <f>IF($AH289="","",IF(INDEX('Per Invoice'!C$2:C$401,$AH289)="","",INDEX('Per Invoice'!C$2:C$401,$AH289)))</f>
        <v/>
      </c>
      <c r="D289">
        <f>IF($AH289="","",IF(INDEX('Per Invoice'!D$2:D$401,$AH289)="","",INDEX('Per Invoice'!D$2:D$401,$AH289)))</f>
        <v/>
      </c>
      <c r="E289">
        <f>IF($AH289="","",IF(INDEX('Per Invoice'!E$2:E$401,$AH289)="","",INDEX('Per Invoice'!E$2:E$401,$AH289)))</f>
        <v/>
      </c>
      <c r="F289">
        <f>IF($AH289="","",IF(INDEX('Per Invoice'!F$2:F$401,$AH289)="","",INDEX('Per Invoice'!F$2:F$401,$AH289)))</f>
        <v/>
      </c>
      <c r="G289">
        <f>IF($AH289="","",IF(INDEX('Per Invoice'!G$2:G$401,$AH289)="","",INDEX('Per Invoice'!G$2:G$401,$AH289)))</f>
        <v/>
      </c>
      <c r="H289">
        <f>IF($AH289="","",IF(INDEX('Per Invoice'!H$2:H$401,$AH289)="","",INDEX('Per Invoice'!H$2:H$401,$AH289)))</f>
        <v/>
      </c>
      <c r="I289" s="14">
        <f>IF($AH289="","",IF(INDEX('Per Invoice'!I$2:I$401,$AH289)="","",INDEX('Per Invoice'!I$2:I$401,$AH289)))</f>
        <v/>
      </c>
      <c r="J289">
        <f>IF($AH289="","",IF(INDEX('Per Invoice'!J$2:J$401,$AH289)="","",INDEX('Per Invoice'!J$2:J$401,$AH289)))</f>
        <v/>
      </c>
      <c r="K289">
        <f>IF($AH289="","",IF(INDEX('Per Invoice'!K$2:K$401,$AH289)="","",INDEX('Per Invoice'!K$2:K$401,$AH289)))</f>
        <v/>
      </c>
      <c r="L289">
        <f>IF($AH289="","",IF(INDEX('Per Invoice'!L$2:L$401,$AH289)="","",INDEX('Per Invoice'!L$2:L$401,$AH289)))</f>
        <v/>
      </c>
      <c r="M289">
        <f>IF($AH289="","",IF(INDEX('Per Invoice'!M$2:M$401,$AH289)="","",INDEX('Per Invoice'!M$2:M$401,$AH289)))</f>
        <v/>
      </c>
      <c r="N289">
        <f>IF($AH289="","",IF(INDEX('Per Invoice'!N$2:N$401,$AH289)="","",INDEX('Per Invoice'!N$2:N$401,$AH289)))</f>
        <v/>
      </c>
      <c r="O289">
        <f>IF($AH289="","",IF(INDEX('Per Invoice'!O$2:O$401,$AH289)="","",INDEX('Per Invoice'!O$2:O$401,$AH289)))</f>
        <v/>
      </c>
      <c r="P289" s="7">
        <f>IF($AH289="","",IF(INDEX('Per Invoice'!P$2:P$401,$AH289)="","",INDEX('Per Invoice'!P$2:P$401,$AH289)))</f>
        <v/>
      </c>
      <c r="Q289">
        <f>IF($AH289="","",IF(INDEX('Per Invoice'!Q$2:Q$401,$AH289)="","",INDEX('Per Invoice'!Q$2:Q$401,$AH289)))</f>
        <v/>
      </c>
      <c r="R289">
        <f>IF($AH289="","",IF(INDEX('Per Invoice'!R$2:R$401,$AH289)="","",INDEX('Per Invoice'!R$2:R$401,$AH289)))</f>
        <v/>
      </c>
      <c r="S289">
        <f>IF($AH289="","",IF(INDEX('Per Invoice'!S$2:S$401,$AH289)="","",INDEX('Per Invoice'!S$2:S$401,$AH289)))</f>
        <v/>
      </c>
      <c r="T289" s="7">
        <f>IF($AH289="","",IF(INDEX('Per Invoice'!T$2:T$401,$AH289)="","",INDEX('Per Invoice'!T$2:T$401,$AH289)))</f>
        <v/>
      </c>
      <c r="U289" s="7">
        <f>IF($AH289="","",IF(INDEX('Per Invoice'!U$2:U$401,$AH289)="","",INDEX('Per Invoice'!U$2:U$401,$AH289)))</f>
        <v/>
      </c>
      <c r="V289">
        <f>IF($AH289="","",IF(INDEX('Per Invoice'!V$2:V$401,$AH289)="","",INDEX('Per Invoice'!V$2:V$401,$AH289)))</f>
        <v/>
      </c>
      <c r="W289" s="7">
        <f>IF($AH289="","",IF(INDEX('Per Invoice'!W$2:W$401,$AH289)="","",INDEX('Per Invoice'!W$2:W$401,$AH289)))</f>
        <v/>
      </c>
      <c r="X289" s="7">
        <f>IF($AH289="","",IF(INDEX('Per Invoice'!X$2:X$401,$AH289)="","",INDEX('Per Invoice'!X$2:X$401,$AH289)))</f>
        <v/>
      </c>
      <c r="Y289">
        <f>IF($AH289="","",IF(INDEX('Per Invoice'!Y$2:Y$401,$AH289)="","",INDEX('Per Invoice'!Y$2:Y$401,$AH289)))</f>
        <v/>
      </c>
      <c r="Z289" s="7">
        <f>IF($AH289="","",IF(INDEX('Per Invoice'!Z$2:Z$401,$AH289)="","",INDEX('Per Invoice'!Z$2:Z$401,$AH289)))</f>
        <v/>
      </c>
      <c r="AA289" s="7">
        <f>IF($AH289="","",IF(INDEX('Per Invoice'!AA$2:AA$401,$AH289)="","",INDEX('Per Invoice'!AA$2:AA$401,$AH289)))</f>
        <v/>
      </c>
      <c r="AB289" s="7">
        <f>IF($AH289="","",IF(INDEX('Per Invoice'!AB$2:AB$401,$AH289)="","",INDEX('Per Invoice'!AB$2:AB$401,$AH289)))</f>
        <v/>
      </c>
      <c r="AC289" s="7">
        <f>IF($AH289="","",IF(INDEX('Per Invoice'!AC$2:AC$401,$AH289)="","",INDEX('Per Invoice'!AC$2:AC$401,$AH289)))</f>
        <v/>
      </c>
      <c r="AD289" s="7">
        <f>IF($AH289="","",IF(INDEX('Per Invoice'!AD$2:AD$401,$AH289)="","",INDEX('Per Invoice'!AD$2:AD$401,$AH289)))</f>
        <v/>
      </c>
      <c r="AE289" s="7">
        <f>IF($AH289="","",IF(INDEX('Per Invoice'!AE$2:AE$401,$AH289)="","",INDEX('Per Invoice'!AE$2:AE$401,$AH289)))</f>
        <v/>
      </c>
      <c r="AF289">
        <f>IF($AH289="","",IF(INDEX('Per Invoice'!AF$2:AF$401,$AH289)="","",INDEX('Per Invoice'!AF$2:AF$401,$AH289)))</f>
        <v/>
      </c>
      <c r="AG289" s="7">
        <f>IF($AH289="","",IF(INDEX('Per Invoice'!AG$2:AG$401,$AH289)="","",INDEX('Per Invoice'!AG$2:AG$401,$AH289)))</f>
        <v/>
      </c>
      <c r="AH289" s="16">
        <f>IFERROR(MATCH(Settings!$C$26&amp;"|"&amp;ROWS($AH$2:$AH289),'Per Invoice'!$AI$2:$AI$401,0),"")</f>
        <v/>
      </c>
    </row>
    <row r="290">
      <c r="A290">
        <f>IF($AH290="","",IF(INDEX('Per Invoice'!A$2:A$401,$AH290)="","",INDEX('Per Invoice'!A$2:A$401,$AH290)))</f>
        <v/>
      </c>
      <c r="B290">
        <f>IF($AH290="","",IF(INDEX('Per Invoice'!B$2:B$401,$AH290)="","",INDEX('Per Invoice'!B$2:B$401,$AH290)))</f>
        <v/>
      </c>
      <c r="C290">
        <f>IF($AH290="","",IF(INDEX('Per Invoice'!C$2:C$401,$AH290)="","",INDEX('Per Invoice'!C$2:C$401,$AH290)))</f>
        <v/>
      </c>
      <c r="D290">
        <f>IF($AH290="","",IF(INDEX('Per Invoice'!D$2:D$401,$AH290)="","",INDEX('Per Invoice'!D$2:D$401,$AH290)))</f>
        <v/>
      </c>
      <c r="E290">
        <f>IF($AH290="","",IF(INDEX('Per Invoice'!E$2:E$401,$AH290)="","",INDEX('Per Invoice'!E$2:E$401,$AH290)))</f>
        <v/>
      </c>
      <c r="F290">
        <f>IF($AH290="","",IF(INDEX('Per Invoice'!F$2:F$401,$AH290)="","",INDEX('Per Invoice'!F$2:F$401,$AH290)))</f>
        <v/>
      </c>
      <c r="G290">
        <f>IF($AH290="","",IF(INDEX('Per Invoice'!G$2:G$401,$AH290)="","",INDEX('Per Invoice'!G$2:G$401,$AH290)))</f>
        <v/>
      </c>
      <c r="H290">
        <f>IF($AH290="","",IF(INDEX('Per Invoice'!H$2:H$401,$AH290)="","",INDEX('Per Invoice'!H$2:H$401,$AH290)))</f>
        <v/>
      </c>
      <c r="I290" s="14">
        <f>IF($AH290="","",IF(INDEX('Per Invoice'!I$2:I$401,$AH290)="","",INDEX('Per Invoice'!I$2:I$401,$AH290)))</f>
        <v/>
      </c>
      <c r="J290">
        <f>IF($AH290="","",IF(INDEX('Per Invoice'!J$2:J$401,$AH290)="","",INDEX('Per Invoice'!J$2:J$401,$AH290)))</f>
        <v/>
      </c>
      <c r="K290">
        <f>IF($AH290="","",IF(INDEX('Per Invoice'!K$2:K$401,$AH290)="","",INDEX('Per Invoice'!K$2:K$401,$AH290)))</f>
        <v/>
      </c>
      <c r="L290">
        <f>IF($AH290="","",IF(INDEX('Per Invoice'!L$2:L$401,$AH290)="","",INDEX('Per Invoice'!L$2:L$401,$AH290)))</f>
        <v/>
      </c>
      <c r="M290">
        <f>IF($AH290="","",IF(INDEX('Per Invoice'!M$2:M$401,$AH290)="","",INDEX('Per Invoice'!M$2:M$401,$AH290)))</f>
        <v/>
      </c>
      <c r="N290">
        <f>IF($AH290="","",IF(INDEX('Per Invoice'!N$2:N$401,$AH290)="","",INDEX('Per Invoice'!N$2:N$401,$AH290)))</f>
        <v/>
      </c>
      <c r="O290">
        <f>IF($AH290="","",IF(INDEX('Per Invoice'!O$2:O$401,$AH290)="","",INDEX('Per Invoice'!O$2:O$401,$AH290)))</f>
        <v/>
      </c>
      <c r="P290" s="7">
        <f>IF($AH290="","",IF(INDEX('Per Invoice'!P$2:P$401,$AH290)="","",INDEX('Per Invoice'!P$2:P$401,$AH290)))</f>
        <v/>
      </c>
      <c r="Q290">
        <f>IF($AH290="","",IF(INDEX('Per Invoice'!Q$2:Q$401,$AH290)="","",INDEX('Per Invoice'!Q$2:Q$401,$AH290)))</f>
        <v/>
      </c>
      <c r="R290">
        <f>IF($AH290="","",IF(INDEX('Per Invoice'!R$2:R$401,$AH290)="","",INDEX('Per Invoice'!R$2:R$401,$AH290)))</f>
        <v/>
      </c>
      <c r="S290">
        <f>IF($AH290="","",IF(INDEX('Per Invoice'!S$2:S$401,$AH290)="","",INDEX('Per Invoice'!S$2:S$401,$AH290)))</f>
        <v/>
      </c>
      <c r="T290" s="7">
        <f>IF($AH290="","",IF(INDEX('Per Invoice'!T$2:T$401,$AH290)="","",INDEX('Per Invoice'!T$2:T$401,$AH290)))</f>
        <v/>
      </c>
      <c r="U290" s="7">
        <f>IF($AH290="","",IF(INDEX('Per Invoice'!U$2:U$401,$AH290)="","",INDEX('Per Invoice'!U$2:U$401,$AH290)))</f>
        <v/>
      </c>
      <c r="V290">
        <f>IF($AH290="","",IF(INDEX('Per Invoice'!V$2:V$401,$AH290)="","",INDEX('Per Invoice'!V$2:V$401,$AH290)))</f>
        <v/>
      </c>
      <c r="W290" s="7">
        <f>IF($AH290="","",IF(INDEX('Per Invoice'!W$2:W$401,$AH290)="","",INDEX('Per Invoice'!W$2:W$401,$AH290)))</f>
        <v/>
      </c>
      <c r="X290" s="7">
        <f>IF($AH290="","",IF(INDEX('Per Invoice'!X$2:X$401,$AH290)="","",INDEX('Per Invoice'!X$2:X$401,$AH290)))</f>
        <v/>
      </c>
      <c r="Y290">
        <f>IF($AH290="","",IF(INDEX('Per Invoice'!Y$2:Y$401,$AH290)="","",INDEX('Per Invoice'!Y$2:Y$401,$AH290)))</f>
        <v/>
      </c>
      <c r="Z290" s="7">
        <f>IF($AH290="","",IF(INDEX('Per Invoice'!Z$2:Z$401,$AH290)="","",INDEX('Per Invoice'!Z$2:Z$401,$AH290)))</f>
        <v/>
      </c>
      <c r="AA290" s="7">
        <f>IF($AH290="","",IF(INDEX('Per Invoice'!AA$2:AA$401,$AH290)="","",INDEX('Per Invoice'!AA$2:AA$401,$AH290)))</f>
        <v/>
      </c>
      <c r="AB290" s="7">
        <f>IF($AH290="","",IF(INDEX('Per Invoice'!AB$2:AB$401,$AH290)="","",INDEX('Per Invoice'!AB$2:AB$401,$AH290)))</f>
        <v/>
      </c>
      <c r="AC290" s="7">
        <f>IF($AH290="","",IF(INDEX('Per Invoice'!AC$2:AC$401,$AH290)="","",INDEX('Per Invoice'!AC$2:AC$401,$AH290)))</f>
        <v/>
      </c>
      <c r="AD290" s="7">
        <f>IF($AH290="","",IF(INDEX('Per Invoice'!AD$2:AD$401,$AH290)="","",INDEX('Per Invoice'!AD$2:AD$401,$AH290)))</f>
        <v/>
      </c>
      <c r="AE290" s="7">
        <f>IF($AH290="","",IF(INDEX('Per Invoice'!AE$2:AE$401,$AH290)="","",INDEX('Per Invoice'!AE$2:AE$401,$AH290)))</f>
        <v/>
      </c>
      <c r="AF290">
        <f>IF($AH290="","",IF(INDEX('Per Invoice'!AF$2:AF$401,$AH290)="","",INDEX('Per Invoice'!AF$2:AF$401,$AH290)))</f>
        <v/>
      </c>
      <c r="AG290" s="7">
        <f>IF($AH290="","",IF(INDEX('Per Invoice'!AG$2:AG$401,$AH290)="","",INDEX('Per Invoice'!AG$2:AG$401,$AH290)))</f>
        <v/>
      </c>
      <c r="AH290" s="16">
        <f>IFERROR(MATCH(Settings!$C$26&amp;"|"&amp;ROWS($AH$2:$AH290),'Per Invoice'!$AI$2:$AI$401,0),"")</f>
        <v/>
      </c>
    </row>
    <row r="291">
      <c r="A291">
        <f>IF($AH291="","",IF(INDEX('Per Invoice'!A$2:A$401,$AH291)="","",INDEX('Per Invoice'!A$2:A$401,$AH291)))</f>
        <v/>
      </c>
      <c r="B291">
        <f>IF($AH291="","",IF(INDEX('Per Invoice'!B$2:B$401,$AH291)="","",INDEX('Per Invoice'!B$2:B$401,$AH291)))</f>
        <v/>
      </c>
      <c r="C291">
        <f>IF($AH291="","",IF(INDEX('Per Invoice'!C$2:C$401,$AH291)="","",INDEX('Per Invoice'!C$2:C$401,$AH291)))</f>
        <v/>
      </c>
      <c r="D291">
        <f>IF($AH291="","",IF(INDEX('Per Invoice'!D$2:D$401,$AH291)="","",INDEX('Per Invoice'!D$2:D$401,$AH291)))</f>
        <v/>
      </c>
      <c r="E291">
        <f>IF($AH291="","",IF(INDEX('Per Invoice'!E$2:E$401,$AH291)="","",INDEX('Per Invoice'!E$2:E$401,$AH291)))</f>
        <v/>
      </c>
      <c r="F291">
        <f>IF($AH291="","",IF(INDEX('Per Invoice'!F$2:F$401,$AH291)="","",INDEX('Per Invoice'!F$2:F$401,$AH291)))</f>
        <v/>
      </c>
      <c r="G291">
        <f>IF($AH291="","",IF(INDEX('Per Invoice'!G$2:G$401,$AH291)="","",INDEX('Per Invoice'!G$2:G$401,$AH291)))</f>
        <v/>
      </c>
      <c r="H291">
        <f>IF($AH291="","",IF(INDEX('Per Invoice'!H$2:H$401,$AH291)="","",INDEX('Per Invoice'!H$2:H$401,$AH291)))</f>
        <v/>
      </c>
      <c r="I291" s="14">
        <f>IF($AH291="","",IF(INDEX('Per Invoice'!I$2:I$401,$AH291)="","",INDEX('Per Invoice'!I$2:I$401,$AH291)))</f>
        <v/>
      </c>
      <c r="J291">
        <f>IF($AH291="","",IF(INDEX('Per Invoice'!J$2:J$401,$AH291)="","",INDEX('Per Invoice'!J$2:J$401,$AH291)))</f>
        <v/>
      </c>
      <c r="K291">
        <f>IF($AH291="","",IF(INDEX('Per Invoice'!K$2:K$401,$AH291)="","",INDEX('Per Invoice'!K$2:K$401,$AH291)))</f>
        <v/>
      </c>
      <c r="L291">
        <f>IF($AH291="","",IF(INDEX('Per Invoice'!L$2:L$401,$AH291)="","",INDEX('Per Invoice'!L$2:L$401,$AH291)))</f>
        <v/>
      </c>
      <c r="M291">
        <f>IF($AH291="","",IF(INDEX('Per Invoice'!M$2:M$401,$AH291)="","",INDEX('Per Invoice'!M$2:M$401,$AH291)))</f>
        <v/>
      </c>
      <c r="N291">
        <f>IF($AH291="","",IF(INDEX('Per Invoice'!N$2:N$401,$AH291)="","",INDEX('Per Invoice'!N$2:N$401,$AH291)))</f>
        <v/>
      </c>
      <c r="O291">
        <f>IF($AH291="","",IF(INDEX('Per Invoice'!O$2:O$401,$AH291)="","",INDEX('Per Invoice'!O$2:O$401,$AH291)))</f>
        <v/>
      </c>
      <c r="P291" s="7">
        <f>IF($AH291="","",IF(INDEX('Per Invoice'!P$2:P$401,$AH291)="","",INDEX('Per Invoice'!P$2:P$401,$AH291)))</f>
        <v/>
      </c>
      <c r="Q291">
        <f>IF($AH291="","",IF(INDEX('Per Invoice'!Q$2:Q$401,$AH291)="","",INDEX('Per Invoice'!Q$2:Q$401,$AH291)))</f>
        <v/>
      </c>
      <c r="R291">
        <f>IF($AH291="","",IF(INDEX('Per Invoice'!R$2:R$401,$AH291)="","",INDEX('Per Invoice'!R$2:R$401,$AH291)))</f>
        <v/>
      </c>
      <c r="S291">
        <f>IF($AH291="","",IF(INDEX('Per Invoice'!S$2:S$401,$AH291)="","",INDEX('Per Invoice'!S$2:S$401,$AH291)))</f>
        <v/>
      </c>
      <c r="T291" s="7">
        <f>IF($AH291="","",IF(INDEX('Per Invoice'!T$2:T$401,$AH291)="","",INDEX('Per Invoice'!T$2:T$401,$AH291)))</f>
        <v/>
      </c>
      <c r="U291" s="7">
        <f>IF($AH291="","",IF(INDEX('Per Invoice'!U$2:U$401,$AH291)="","",INDEX('Per Invoice'!U$2:U$401,$AH291)))</f>
        <v/>
      </c>
      <c r="V291">
        <f>IF($AH291="","",IF(INDEX('Per Invoice'!V$2:V$401,$AH291)="","",INDEX('Per Invoice'!V$2:V$401,$AH291)))</f>
        <v/>
      </c>
      <c r="W291" s="7">
        <f>IF($AH291="","",IF(INDEX('Per Invoice'!W$2:W$401,$AH291)="","",INDEX('Per Invoice'!W$2:W$401,$AH291)))</f>
        <v/>
      </c>
      <c r="X291" s="7">
        <f>IF($AH291="","",IF(INDEX('Per Invoice'!X$2:X$401,$AH291)="","",INDEX('Per Invoice'!X$2:X$401,$AH291)))</f>
        <v/>
      </c>
      <c r="Y291">
        <f>IF($AH291="","",IF(INDEX('Per Invoice'!Y$2:Y$401,$AH291)="","",INDEX('Per Invoice'!Y$2:Y$401,$AH291)))</f>
        <v/>
      </c>
      <c r="Z291" s="7">
        <f>IF($AH291="","",IF(INDEX('Per Invoice'!Z$2:Z$401,$AH291)="","",INDEX('Per Invoice'!Z$2:Z$401,$AH291)))</f>
        <v/>
      </c>
      <c r="AA291" s="7">
        <f>IF($AH291="","",IF(INDEX('Per Invoice'!AA$2:AA$401,$AH291)="","",INDEX('Per Invoice'!AA$2:AA$401,$AH291)))</f>
        <v/>
      </c>
      <c r="AB291" s="7">
        <f>IF($AH291="","",IF(INDEX('Per Invoice'!AB$2:AB$401,$AH291)="","",INDEX('Per Invoice'!AB$2:AB$401,$AH291)))</f>
        <v/>
      </c>
      <c r="AC291" s="7">
        <f>IF($AH291="","",IF(INDEX('Per Invoice'!AC$2:AC$401,$AH291)="","",INDEX('Per Invoice'!AC$2:AC$401,$AH291)))</f>
        <v/>
      </c>
      <c r="AD291" s="7">
        <f>IF($AH291="","",IF(INDEX('Per Invoice'!AD$2:AD$401,$AH291)="","",INDEX('Per Invoice'!AD$2:AD$401,$AH291)))</f>
        <v/>
      </c>
      <c r="AE291" s="7">
        <f>IF($AH291="","",IF(INDEX('Per Invoice'!AE$2:AE$401,$AH291)="","",INDEX('Per Invoice'!AE$2:AE$401,$AH291)))</f>
        <v/>
      </c>
      <c r="AF291">
        <f>IF($AH291="","",IF(INDEX('Per Invoice'!AF$2:AF$401,$AH291)="","",INDEX('Per Invoice'!AF$2:AF$401,$AH291)))</f>
        <v/>
      </c>
      <c r="AG291" s="7">
        <f>IF($AH291="","",IF(INDEX('Per Invoice'!AG$2:AG$401,$AH291)="","",INDEX('Per Invoice'!AG$2:AG$401,$AH291)))</f>
        <v/>
      </c>
      <c r="AH291" s="16">
        <f>IFERROR(MATCH(Settings!$C$26&amp;"|"&amp;ROWS($AH$2:$AH291),'Per Invoice'!$AI$2:$AI$401,0),"")</f>
        <v/>
      </c>
    </row>
    <row r="292">
      <c r="A292">
        <f>IF($AH292="","",IF(INDEX('Per Invoice'!A$2:A$401,$AH292)="","",INDEX('Per Invoice'!A$2:A$401,$AH292)))</f>
        <v/>
      </c>
      <c r="B292">
        <f>IF($AH292="","",IF(INDEX('Per Invoice'!B$2:B$401,$AH292)="","",INDEX('Per Invoice'!B$2:B$401,$AH292)))</f>
        <v/>
      </c>
      <c r="C292">
        <f>IF($AH292="","",IF(INDEX('Per Invoice'!C$2:C$401,$AH292)="","",INDEX('Per Invoice'!C$2:C$401,$AH292)))</f>
        <v/>
      </c>
      <c r="D292">
        <f>IF($AH292="","",IF(INDEX('Per Invoice'!D$2:D$401,$AH292)="","",INDEX('Per Invoice'!D$2:D$401,$AH292)))</f>
        <v/>
      </c>
      <c r="E292">
        <f>IF($AH292="","",IF(INDEX('Per Invoice'!E$2:E$401,$AH292)="","",INDEX('Per Invoice'!E$2:E$401,$AH292)))</f>
        <v/>
      </c>
      <c r="F292">
        <f>IF($AH292="","",IF(INDEX('Per Invoice'!F$2:F$401,$AH292)="","",INDEX('Per Invoice'!F$2:F$401,$AH292)))</f>
        <v/>
      </c>
      <c r="G292">
        <f>IF($AH292="","",IF(INDEX('Per Invoice'!G$2:G$401,$AH292)="","",INDEX('Per Invoice'!G$2:G$401,$AH292)))</f>
        <v/>
      </c>
      <c r="H292">
        <f>IF($AH292="","",IF(INDEX('Per Invoice'!H$2:H$401,$AH292)="","",INDEX('Per Invoice'!H$2:H$401,$AH292)))</f>
        <v/>
      </c>
      <c r="I292" s="14">
        <f>IF($AH292="","",IF(INDEX('Per Invoice'!I$2:I$401,$AH292)="","",INDEX('Per Invoice'!I$2:I$401,$AH292)))</f>
        <v/>
      </c>
      <c r="J292">
        <f>IF($AH292="","",IF(INDEX('Per Invoice'!J$2:J$401,$AH292)="","",INDEX('Per Invoice'!J$2:J$401,$AH292)))</f>
        <v/>
      </c>
      <c r="K292">
        <f>IF($AH292="","",IF(INDEX('Per Invoice'!K$2:K$401,$AH292)="","",INDEX('Per Invoice'!K$2:K$401,$AH292)))</f>
        <v/>
      </c>
      <c r="L292">
        <f>IF($AH292="","",IF(INDEX('Per Invoice'!L$2:L$401,$AH292)="","",INDEX('Per Invoice'!L$2:L$401,$AH292)))</f>
        <v/>
      </c>
      <c r="M292">
        <f>IF($AH292="","",IF(INDEX('Per Invoice'!M$2:M$401,$AH292)="","",INDEX('Per Invoice'!M$2:M$401,$AH292)))</f>
        <v/>
      </c>
      <c r="N292">
        <f>IF($AH292="","",IF(INDEX('Per Invoice'!N$2:N$401,$AH292)="","",INDEX('Per Invoice'!N$2:N$401,$AH292)))</f>
        <v/>
      </c>
      <c r="O292">
        <f>IF($AH292="","",IF(INDEX('Per Invoice'!O$2:O$401,$AH292)="","",INDEX('Per Invoice'!O$2:O$401,$AH292)))</f>
        <v/>
      </c>
      <c r="P292" s="7">
        <f>IF($AH292="","",IF(INDEX('Per Invoice'!P$2:P$401,$AH292)="","",INDEX('Per Invoice'!P$2:P$401,$AH292)))</f>
        <v/>
      </c>
      <c r="Q292">
        <f>IF($AH292="","",IF(INDEX('Per Invoice'!Q$2:Q$401,$AH292)="","",INDEX('Per Invoice'!Q$2:Q$401,$AH292)))</f>
        <v/>
      </c>
      <c r="R292">
        <f>IF($AH292="","",IF(INDEX('Per Invoice'!R$2:R$401,$AH292)="","",INDEX('Per Invoice'!R$2:R$401,$AH292)))</f>
        <v/>
      </c>
      <c r="S292">
        <f>IF($AH292="","",IF(INDEX('Per Invoice'!S$2:S$401,$AH292)="","",INDEX('Per Invoice'!S$2:S$401,$AH292)))</f>
        <v/>
      </c>
      <c r="T292" s="7">
        <f>IF($AH292="","",IF(INDEX('Per Invoice'!T$2:T$401,$AH292)="","",INDEX('Per Invoice'!T$2:T$401,$AH292)))</f>
        <v/>
      </c>
      <c r="U292" s="7">
        <f>IF($AH292="","",IF(INDEX('Per Invoice'!U$2:U$401,$AH292)="","",INDEX('Per Invoice'!U$2:U$401,$AH292)))</f>
        <v/>
      </c>
      <c r="V292">
        <f>IF($AH292="","",IF(INDEX('Per Invoice'!V$2:V$401,$AH292)="","",INDEX('Per Invoice'!V$2:V$401,$AH292)))</f>
        <v/>
      </c>
      <c r="W292" s="7">
        <f>IF($AH292="","",IF(INDEX('Per Invoice'!W$2:W$401,$AH292)="","",INDEX('Per Invoice'!W$2:W$401,$AH292)))</f>
        <v/>
      </c>
      <c r="X292" s="7">
        <f>IF($AH292="","",IF(INDEX('Per Invoice'!X$2:X$401,$AH292)="","",INDEX('Per Invoice'!X$2:X$401,$AH292)))</f>
        <v/>
      </c>
      <c r="Y292">
        <f>IF($AH292="","",IF(INDEX('Per Invoice'!Y$2:Y$401,$AH292)="","",INDEX('Per Invoice'!Y$2:Y$401,$AH292)))</f>
        <v/>
      </c>
      <c r="Z292" s="7">
        <f>IF($AH292="","",IF(INDEX('Per Invoice'!Z$2:Z$401,$AH292)="","",INDEX('Per Invoice'!Z$2:Z$401,$AH292)))</f>
        <v/>
      </c>
      <c r="AA292" s="7">
        <f>IF($AH292="","",IF(INDEX('Per Invoice'!AA$2:AA$401,$AH292)="","",INDEX('Per Invoice'!AA$2:AA$401,$AH292)))</f>
        <v/>
      </c>
      <c r="AB292" s="7">
        <f>IF($AH292="","",IF(INDEX('Per Invoice'!AB$2:AB$401,$AH292)="","",INDEX('Per Invoice'!AB$2:AB$401,$AH292)))</f>
        <v/>
      </c>
      <c r="AC292" s="7">
        <f>IF($AH292="","",IF(INDEX('Per Invoice'!AC$2:AC$401,$AH292)="","",INDEX('Per Invoice'!AC$2:AC$401,$AH292)))</f>
        <v/>
      </c>
      <c r="AD292" s="7">
        <f>IF($AH292="","",IF(INDEX('Per Invoice'!AD$2:AD$401,$AH292)="","",INDEX('Per Invoice'!AD$2:AD$401,$AH292)))</f>
        <v/>
      </c>
      <c r="AE292" s="7">
        <f>IF($AH292="","",IF(INDEX('Per Invoice'!AE$2:AE$401,$AH292)="","",INDEX('Per Invoice'!AE$2:AE$401,$AH292)))</f>
        <v/>
      </c>
      <c r="AF292">
        <f>IF($AH292="","",IF(INDEX('Per Invoice'!AF$2:AF$401,$AH292)="","",INDEX('Per Invoice'!AF$2:AF$401,$AH292)))</f>
        <v/>
      </c>
      <c r="AG292" s="7">
        <f>IF($AH292="","",IF(INDEX('Per Invoice'!AG$2:AG$401,$AH292)="","",INDEX('Per Invoice'!AG$2:AG$401,$AH292)))</f>
        <v/>
      </c>
      <c r="AH292" s="16">
        <f>IFERROR(MATCH(Settings!$C$26&amp;"|"&amp;ROWS($AH$2:$AH292),'Per Invoice'!$AI$2:$AI$401,0),"")</f>
        <v/>
      </c>
    </row>
    <row r="293">
      <c r="A293">
        <f>IF($AH293="","",IF(INDEX('Per Invoice'!A$2:A$401,$AH293)="","",INDEX('Per Invoice'!A$2:A$401,$AH293)))</f>
        <v/>
      </c>
      <c r="B293">
        <f>IF($AH293="","",IF(INDEX('Per Invoice'!B$2:B$401,$AH293)="","",INDEX('Per Invoice'!B$2:B$401,$AH293)))</f>
        <v/>
      </c>
      <c r="C293">
        <f>IF($AH293="","",IF(INDEX('Per Invoice'!C$2:C$401,$AH293)="","",INDEX('Per Invoice'!C$2:C$401,$AH293)))</f>
        <v/>
      </c>
      <c r="D293">
        <f>IF($AH293="","",IF(INDEX('Per Invoice'!D$2:D$401,$AH293)="","",INDEX('Per Invoice'!D$2:D$401,$AH293)))</f>
        <v/>
      </c>
      <c r="E293">
        <f>IF($AH293="","",IF(INDEX('Per Invoice'!E$2:E$401,$AH293)="","",INDEX('Per Invoice'!E$2:E$401,$AH293)))</f>
        <v/>
      </c>
      <c r="F293">
        <f>IF($AH293="","",IF(INDEX('Per Invoice'!F$2:F$401,$AH293)="","",INDEX('Per Invoice'!F$2:F$401,$AH293)))</f>
        <v/>
      </c>
      <c r="G293">
        <f>IF($AH293="","",IF(INDEX('Per Invoice'!G$2:G$401,$AH293)="","",INDEX('Per Invoice'!G$2:G$401,$AH293)))</f>
        <v/>
      </c>
      <c r="H293">
        <f>IF($AH293="","",IF(INDEX('Per Invoice'!H$2:H$401,$AH293)="","",INDEX('Per Invoice'!H$2:H$401,$AH293)))</f>
        <v/>
      </c>
      <c r="I293" s="14">
        <f>IF($AH293="","",IF(INDEX('Per Invoice'!I$2:I$401,$AH293)="","",INDEX('Per Invoice'!I$2:I$401,$AH293)))</f>
        <v/>
      </c>
      <c r="J293">
        <f>IF($AH293="","",IF(INDEX('Per Invoice'!J$2:J$401,$AH293)="","",INDEX('Per Invoice'!J$2:J$401,$AH293)))</f>
        <v/>
      </c>
      <c r="K293">
        <f>IF($AH293="","",IF(INDEX('Per Invoice'!K$2:K$401,$AH293)="","",INDEX('Per Invoice'!K$2:K$401,$AH293)))</f>
        <v/>
      </c>
      <c r="L293">
        <f>IF($AH293="","",IF(INDEX('Per Invoice'!L$2:L$401,$AH293)="","",INDEX('Per Invoice'!L$2:L$401,$AH293)))</f>
        <v/>
      </c>
      <c r="M293">
        <f>IF($AH293="","",IF(INDEX('Per Invoice'!M$2:M$401,$AH293)="","",INDEX('Per Invoice'!M$2:M$401,$AH293)))</f>
        <v/>
      </c>
      <c r="N293">
        <f>IF($AH293="","",IF(INDEX('Per Invoice'!N$2:N$401,$AH293)="","",INDEX('Per Invoice'!N$2:N$401,$AH293)))</f>
        <v/>
      </c>
      <c r="O293">
        <f>IF($AH293="","",IF(INDEX('Per Invoice'!O$2:O$401,$AH293)="","",INDEX('Per Invoice'!O$2:O$401,$AH293)))</f>
        <v/>
      </c>
      <c r="P293" s="7">
        <f>IF($AH293="","",IF(INDEX('Per Invoice'!P$2:P$401,$AH293)="","",INDEX('Per Invoice'!P$2:P$401,$AH293)))</f>
        <v/>
      </c>
      <c r="Q293">
        <f>IF($AH293="","",IF(INDEX('Per Invoice'!Q$2:Q$401,$AH293)="","",INDEX('Per Invoice'!Q$2:Q$401,$AH293)))</f>
        <v/>
      </c>
      <c r="R293">
        <f>IF($AH293="","",IF(INDEX('Per Invoice'!R$2:R$401,$AH293)="","",INDEX('Per Invoice'!R$2:R$401,$AH293)))</f>
        <v/>
      </c>
      <c r="S293">
        <f>IF($AH293="","",IF(INDEX('Per Invoice'!S$2:S$401,$AH293)="","",INDEX('Per Invoice'!S$2:S$401,$AH293)))</f>
        <v/>
      </c>
      <c r="T293" s="7">
        <f>IF($AH293="","",IF(INDEX('Per Invoice'!T$2:T$401,$AH293)="","",INDEX('Per Invoice'!T$2:T$401,$AH293)))</f>
        <v/>
      </c>
      <c r="U293" s="7">
        <f>IF($AH293="","",IF(INDEX('Per Invoice'!U$2:U$401,$AH293)="","",INDEX('Per Invoice'!U$2:U$401,$AH293)))</f>
        <v/>
      </c>
      <c r="V293">
        <f>IF($AH293="","",IF(INDEX('Per Invoice'!V$2:V$401,$AH293)="","",INDEX('Per Invoice'!V$2:V$401,$AH293)))</f>
        <v/>
      </c>
      <c r="W293" s="7">
        <f>IF($AH293="","",IF(INDEX('Per Invoice'!W$2:W$401,$AH293)="","",INDEX('Per Invoice'!W$2:W$401,$AH293)))</f>
        <v/>
      </c>
      <c r="X293" s="7">
        <f>IF($AH293="","",IF(INDEX('Per Invoice'!X$2:X$401,$AH293)="","",INDEX('Per Invoice'!X$2:X$401,$AH293)))</f>
        <v/>
      </c>
      <c r="Y293">
        <f>IF($AH293="","",IF(INDEX('Per Invoice'!Y$2:Y$401,$AH293)="","",INDEX('Per Invoice'!Y$2:Y$401,$AH293)))</f>
        <v/>
      </c>
      <c r="Z293" s="7">
        <f>IF($AH293="","",IF(INDEX('Per Invoice'!Z$2:Z$401,$AH293)="","",INDEX('Per Invoice'!Z$2:Z$401,$AH293)))</f>
        <v/>
      </c>
      <c r="AA293" s="7">
        <f>IF($AH293="","",IF(INDEX('Per Invoice'!AA$2:AA$401,$AH293)="","",INDEX('Per Invoice'!AA$2:AA$401,$AH293)))</f>
        <v/>
      </c>
      <c r="AB293" s="7">
        <f>IF($AH293="","",IF(INDEX('Per Invoice'!AB$2:AB$401,$AH293)="","",INDEX('Per Invoice'!AB$2:AB$401,$AH293)))</f>
        <v/>
      </c>
      <c r="AC293" s="7">
        <f>IF($AH293="","",IF(INDEX('Per Invoice'!AC$2:AC$401,$AH293)="","",INDEX('Per Invoice'!AC$2:AC$401,$AH293)))</f>
        <v/>
      </c>
      <c r="AD293" s="7">
        <f>IF($AH293="","",IF(INDEX('Per Invoice'!AD$2:AD$401,$AH293)="","",INDEX('Per Invoice'!AD$2:AD$401,$AH293)))</f>
        <v/>
      </c>
      <c r="AE293" s="7">
        <f>IF($AH293="","",IF(INDEX('Per Invoice'!AE$2:AE$401,$AH293)="","",INDEX('Per Invoice'!AE$2:AE$401,$AH293)))</f>
        <v/>
      </c>
      <c r="AF293">
        <f>IF($AH293="","",IF(INDEX('Per Invoice'!AF$2:AF$401,$AH293)="","",INDEX('Per Invoice'!AF$2:AF$401,$AH293)))</f>
        <v/>
      </c>
      <c r="AG293" s="7">
        <f>IF($AH293="","",IF(INDEX('Per Invoice'!AG$2:AG$401,$AH293)="","",INDEX('Per Invoice'!AG$2:AG$401,$AH293)))</f>
        <v/>
      </c>
      <c r="AH293" s="16">
        <f>IFERROR(MATCH(Settings!$C$26&amp;"|"&amp;ROWS($AH$2:$AH293),'Per Invoice'!$AI$2:$AI$401,0),"")</f>
        <v/>
      </c>
    </row>
    <row r="294">
      <c r="A294">
        <f>IF($AH294="","",IF(INDEX('Per Invoice'!A$2:A$401,$AH294)="","",INDEX('Per Invoice'!A$2:A$401,$AH294)))</f>
        <v/>
      </c>
      <c r="B294">
        <f>IF($AH294="","",IF(INDEX('Per Invoice'!B$2:B$401,$AH294)="","",INDEX('Per Invoice'!B$2:B$401,$AH294)))</f>
        <v/>
      </c>
      <c r="C294">
        <f>IF($AH294="","",IF(INDEX('Per Invoice'!C$2:C$401,$AH294)="","",INDEX('Per Invoice'!C$2:C$401,$AH294)))</f>
        <v/>
      </c>
      <c r="D294">
        <f>IF($AH294="","",IF(INDEX('Per Invoice'!D$2:D$401,$AH294)="","",INDEX('Per Invoice'!D$2:D$401,$AH294)))</f>
        <v/>
      </c>
      <c r="E294">
        <f>IF($AH294="","",IF(INDEX('Per Invoice'!E$2:E$401,$AH294)="","",INDEX('Per Invoice'!E$2:E$401,$AH294)))</f>
        <v/>
      </c>
      <c r="F294">
        <f>IF($AH294="","",IF(INDEX('Per Invoice'!F$2:F$401,$AH294)="","",INDEX('Per Invoice'!F$2:F$401,$AH294)))</f>
        <v/>
      </c>
      <c r="G294">
        <f>IF($AH294="","",IF(INDEX('Per Invoice'!G$2:G$401,$AH294)="","",INDEX('Per Invoice'!G$2:G$401,$AH294)))</f>
        <v/>
      </c>
      <c r="H294">
        <f>IF($AH294="","",IF(INDEX('Per Invoice'!H$2:H$401,$AH294)="","",INDEX('Per Invoice'!H$2:H$401,$AH294)))</f>
        <v/>
      </c>
      <c r="I294" s="14">
        <f>IF($AH294="","",IF(INDEX('Per Invoice'!I$2:I$401,$AH294)="","",INDEX('Per Invoice'!I$2:I$401,$AH294)))</f>
        <v/>
      </c>
      <c r="J294">
        <f>IF($AH294="","",IF(INDEX('Per Invoice'!J$2:J$401,$AH294)="","",INDEX('Per Invoice'!J$2:J$401,$AH294)))</f>
        <v/>
      </c>
      <c r="K294">
        <f>IF($AH294="","",IF(INDEX('Per Invoice'!K$2:K$401,$AH294)="","",INDEX('Per Invoice'!K$2:K$401,$AH294)))</f>
        <v/>
      </c>
      <c r="L294">
        <f>IF($AH294="","",IF(INDEX('Per Invoice'!L$2:L$401,$AH294)="","",INDEX('Per Invoice'!L$2:L$401,$AH294)))</f>
        <v/>
      </c>
      <c r="M294">
        <f>IF($AH294="","",IF(INDEX('Per Invoice'!M$2:M$401,$AH294)="","",INDEX('Per Invoice'!M$2:M$401,$AH294)))</f>
        <v/>
      </c>
      <c r="N294">
        <f>IF($AH294="","",IF(INDEX('Per Invoice'!N$2:N$401,$AH294)="","",INDEX('Per Invoice'!N$2:N$401,$AH294)))</f>
        <v/>
      </c>
      <c r="O294">
        <f>IF($AH294="","",IF(INDEX('Per Invoice'!O$2:O$401,$AH294)="","",INDEX('Per Invoice'!O$2:O$401,$AH294)))</f>
        <v/>
      </c>
      <c r="P294" s="7">
        <f>IF($AH294="","",IF(INDEX('Per Invoice'!P$2:P$401,$AH294)="","",INDEX('Per Invoice'!P$2:P$401,$AH294)))</f>
        <v/>
      </c>
      <c r="Q294">
        <f>IF($AH294="","",IF(INDEX('Per Invoice'!Q$2:Q$401,$AH294)="","",INDEX('Per Invoice'!Q$2:Q$401,$AH294)))</f>
        <v/>
      </c>
      <c r="R294">
        <f>IF($AH294="","",IF(INDEX('Per Invoice'!R$2:R$401,$AH294)="","",INDEX('Per Invoice'!R$2:R$401,$AH294)))</f>
        <v/>
      </c>
      <c r="S294">
        <f>IF($AH294="","",IF(INDEX('Per Invoice'!S$2:S$401,$AH294)="","",INDEX('Per Invoice'!S$2:S$401,$AH294)))</f>
        <v/>
      </c>
      <c r="T294" s="7">
        <f>IF($AH294="","",IF(INDEX('Per Invoice'!T$2:T$401,$AH294)="","",INDEX('Per Invoice'!T$2:T$401,$AH294)))</f>
        <v/>
      </c>
      <c r="U294" s="7">
        <f>IF($AH294="","",IF(INDEX('Per Invoice'!U$2:U$401,$AH294)="","",INDEX('Per Invoice'!U$2:U$401,$AH294)))</f>
        <v/>
      </c>
      <c r="V294">
        <f>IF($AH294="","",IF(INDEX('Per Invoice'!V$2:V$401,$AH294)="","",INDEX('Per Invoice'!V$2:V$401,$AH294)))</f>
        <v/>
      </c>
      <c r="W294" s="7">
        <f>IF($AH294="","",IF(INDEX('Per Invoice'!W$2:W$401,$AH294)="","",INDEX('Per Invoice'!W$2:W$401,$AH294)))</f>
        <v/>
      </c>
      <c r="X294" s="7">
        <f>IF($AH294="","",IF(INDEX('Per Invoice'!X$2:X$401,$AH294)="","",INDEX('Per Invoice'!X$2:X$401,$AH294)))</f>
        <v/>
      </c>
      <c r="Y294">
        <f>IF($AH294="","",IF(INDEX('Per Invoice'!Y$2:Y$401,$AH294)="","",INDEX('Per Invoice'!Y$2:Y$401,$AH294)))</f>
        <v/>
      </c>
      <c r="Z294" s="7">
        <f>IF($AH294="","",IF(INDEX('Per Invoice'!Z$2:Z$401,$AH294)="","",INDEX('Per Invoice'!Z$2:Z$401,$AH294)))</f>
        <v/>
      </c>
      <c r="AA294" s="7">
        <f>IF($AH294="","",IF(INDEX('Per Invoice'!AA$2:AA$401,$AH294)="","",INDEX('Per Invoice'!AA$2:AA$401,$AH294)))</f>
        <v/>
      </c>
      <c r="AB294" s="7">
        <f>IF($AH294="","",IF(INDEX('Per Invoice'!AB$2:AB$401,$AH294)="","",INDEX('Per Invoice'!AB$2:AB$401,$AH294)))</f>
        <v/>
      </c>
      <c r="AC294" s="7">
        <f>IF($AH294="","",IF(INDEX('Per Invoice'!AC$2:AC$401,$AH294)="","",INDEX('Per Invoice'!AC$2:AC$401,$AH294)))</f>
        <v/>
      </c>
      <c r="AD294" s="7">
        <f>IF($AH294="","",IF(INDEX('Per Invoice'!AD$2:AD$401,$AH294)="","",INDEX('Per Invoice'!AD$2:AD$401,$AH294)))</f>
        <v/>
      </c>
      <c r="AE294" s="7">
        <f>IF($AH294="","",IF(INDEX('Per Invoice'!AE$2:AE$401,$AH294)="","",INDEX('Per Invoice'!AE$2:AE$401,$AH294)))</f>
        <v/>
      </c>
      <c r="AF294">
        <f>IF($AH294="","",IF(INDEX('Per Invoice'!AF$2:AF$401,$AH294)="","",INDEX('Per Invoice'!AF$2:AF$401,$AH294)))</f>
        <v/>
      </c>
      <c r="AG294" s="7">
        <f>IF($AH294="","",IF(INDEX('Per Invoice'!AG$2:AG$401,$AH294)="","",INDEX('Per Invoice'!AG$2:AG$401,$AH294)))</f>
        <v/>
      </c>
      <c r="AH294" s="16">
        <f>IFERROR(MATCH(Settings!$C$26&amp;"|"&amp;ROWS($AH$2:$AH294),'Per Invoice'!$AI$2:$AI$401,0),"")</f>
        <v/>
      </c>
    </row>
    <row r="295">
      <c r="A295">
        <f>IF($AH295="","",IF(INDEX('Per Invoice'!A$2:A$401,$AH295)="","",INDEX('Per Invoice'!A$2:A$401,$AH295)))</f>
        <v/>
      </c>
      <c r="B295">
        <f>IF($AH295="","",IF(INDEX('Per Invoice'!B$2:B$401,$AH295)="","",INDEX('Per Invoice'!B$2:B$401,$AH295)))</f>
        <v/>
      </c>
      <c r="C295">
        <f>IF($AH295="","",IF(INDEX('Per Invoice'!C$2:C$401,$AH295)="","",INDEX('Per Invoice'!C$2:C$401,$AH295)))</f>
        <v/>
      </c>
      <c r="D295">
        <f>IF($AH295="","",IF(INDEX('Per Invoice'!D$2:D$401,$AH295)="","",INDEX('Per Invoice'!D$2:D$401,$AH295)))</f>
        <v/>
      </c>
      <c r="E295">
        <f>IF($AH295="","",IF(INDEX('Per Invoice'!E$2:E$401,$AH295)="","",INDEX('Per Invoice'!E$2:E$401,$AH295)))</f>
        <v/>
      </c>
      <c r="F295">
        <f>IF($AH295="","",IF(INDEX('Per Invoice'!F$2:F$401,$AH295)="","",INDEX('Per Invoice'!F$2:F$401,$AH295)))</f>
        <v/>
      </c>
      <c r="G295">
        <f>IF($AH295="","",IF(INDEX('Per Invoice'!G$2:G$401,$AH295)="","",INDEX('Per Invoice'!G$2:G$401,$AH295)))</f>
        <v/>
      </c>
      <c r="H295">
        <f>IF($AH295="","",IF(INDEX('Per Invoice'!H$2:H$401,$AH295)="","",INDEX('Per Invoice'!H$2:H$401,$AH295)))</f>
        <v/>
      </c>
      <c r="I295" s="14">
        <f>IF($AH295="","",IF(INDEX('Per Invoice'!I$2:I$401,$AH295)="","",INDEX('Per Invoice'!I$2:I$401,$AH295)))</f>
        <v/>
      </c>
      <c r="J295">
        <f>IF($AH295="","",IF(INDEX('Per Invoice'!J$2:J$401,$AH295)="","",INDEX('Per Invoice'!J$2:J$401,$AH295)))</f>
        <v/>
      </c>
      <c r="K295">
        <f>IF($AH295="","",IF(INDEX('Per Invoice'!K$2:K$401,$AH295)="","",INDEX('Per Invoice'!K$2:K$401,$AH295)))</f>
        <v/>
      </c>
      <c r="L295">
        <f>IF($AH295="","",IF(INDEX('Per Invoice'!L$2:L$401,$AH295)="","",INDEX('Per Invoice'!L$2:L$401,$AH295)))</f>
        <v/>
      </c>
      <c r="M295">
        <f>IF($AH295="","",IF(INDEX('Per Invoice'!M$2:M$401,$AH295)="","",INDEX('Per Invoice'!M$2:M$401,$AH295)))</f>
        <v/>
      </c>
      <c r="N295">
        <f>IF($AH295="","",IF(INDEX('Per Invoice'!N$2:N$401,$AH295)="","",INDEX('Per Invoice'!N$2:N$401,$AH295)))</f>
        <v/>
      </c>
      <c r="O295">
        <f>IF($AH295="","",IF(INDEX('Per Invoice'!O$2:O$401,$AH295)="","",INDEX('Per Invoice'!O$2:O$401,$AH295)))</f>
        <v/>
      </c>
      <c r="P295" s="7">
        <f>IF($AH295="","",IF(INDEX('Per Invoice'!P$2:P$401,$AH295)="","",INDEX('Per Invoice'!P$2:P$401,$AH295)))</f>
        <v/>
      </c>
      <c r="Q295">
        <f>IF($AH295="","",IF(INDEX('Per Invoice'!Q$2:Q$401,$AH295)="","",INDEX('Per Invoice'!Q$2:Q$401,$AH295)))</f>
        <v/>
      </c>
      <c r="R295">
        <f>IF($AH295="","",IF(INDEX('Per Invoice'!R$2:R$401,$AH295)="","",INDEX('Per Invoice'!R$2:R$401,$AH295)))</f>
        <v/>
      </c>
      <c r="S295">
        <f>IF($AH295="","",IF(INDEX('Per Invoice'!S$2:S$401,$AH295)="","",INDEX('Per Invoice'!S$2:S$401,$AH295)))</f>
        <v/>
      </c>
      <c r="T295" s="7">
        <f>IF($AH295="","",IF(INDEX('Per Invoice'!T$2:T$401,$AH295)="","",INDEX('Per Invoice'!T$2:T$401,$AH295)))</f>
        <v/>
      </c>
      <c r="U295" s="7">
        <f>IF($AH295="","",IF(INDEX('Per Invoice'!U$2:U$401,$AH295)="","",INDEX('Per Invoice'!U$2:U$401,$AH295)))</f>
        <v/>
      </c>
      <c r="V295">
        <f>IF($AH295="","",IF(INDEX('Per Invoice'!V$2:V$401,$AH295)="","",INDEX('Per Invoice'!V$2:V$401,$AH295)))</f>
        <v/>
      </c>
      <c r="W295" s="7">
        <f>IF($AH295="","",IF(INDEX('Per Invoice'!W$2:W$401,$AH295)="","",INDEX('Per Invoice'!W$2:W$401,$AH295)))</f>
        <v/>
      </c>
      <c r="X295" s="7">
        <f>IF($AH295="","",IF(INDEX('Per Invoice'!X$2:X$401,$AH295)="","",INDEX('Per Invoice'!X$2:X$401,$AH295)))</f>
        <v/>
      </c>
      <c r="Y295">
        <f>IF($AH295="","",IF(INDEX('Per Invoice'!Y$2:Y$401,$AH295)="","",INDEX('Per Invoice'!Y$2:Y$401,$AH295)))</f>
        <v/>
      </c>
      <c r="Z295" s="7">
        <f>IF($AH295="","",IF(INDEX('Per Invoice'!Z$2:Z$401,$AH295)="","",INDEX('Per Invoice'!Z$2:Z$401,$AH295)))</f>
        <v/>
      </c>
      <c r="AA295" s="7">
        <f>IF($AH295="","",IF(INDEX('Per Invoice'!AA$2:AA$401,$AH295)="","",INDEX('Per Invoice'!AA$2:AA$401,$AH295)))</f>
        <v/>
      </c>
      <c r="AB295" s="7">
        <f>IF($AH295="","",IF(INDEX('Per Invoice'!AB$2:AB$401,$AH295)="","",INDEX('Per Invoice'!AB$2:AB$401,$AH295)))</f>
        <v/>
      </c>
      <c r="AC295" s="7">
        <f>IF($AH295="","",IF(INDEX('Per Invoice'!AC$2:AC$401,$AH295)="","",INDEX('Per Invoice'!AC$2:AC$401,$AH295)))</f>
        <v/>
      </c>
      <c r="AD295" s="7">
        <f>IF($AH295="","",IF(INDEX('Per Invoice'!AD$2:AD$401,$AH295)="","",INDEX('Per Invoice'!AD$2:AD$401,$AH295)))</f>
        <v/>
      </c>
      <c r="AE295" s="7">
        <f>IF($AH295="","",IF(INDEX('Per Invoice'!AE$2:AE$401,$AH295)="","",INDEX('Per Invoice'!AE$2:AE$401,$AH295)))</f>
        <v/>
      </c>
      <c r="AF295">
        <f>IF($AH295="","",IF(INDEX('Per Invoice'!AF$2:AF$401,$AH295)="","",INDEX('Per Invoice'!AF$2:AF$401,$AH295)))</f>
        <v/>
      </c>
      <c r="AG295" s="7">
        <f>IF($AH295="","",IF(INDEX('Per Invoice'!AG$2:AG$401,$AH295)="","",INDEX('Per Invoice'!AG$2:AG$401,$AH295)))</f>
        <v/>
      </c>
      <c r="AH295" s="16">
        <f>IFERROR(MATCH(Settings!$C$26&amp;"|"&amp;ROWS($AH$2:$AH295),'Per Invoice'!$AI$2:$AI$401,0),"")</f>
        <v/>
      </c>
    </row>
    <row r="296">
      <c r="A296">
        <f>IF($AH296="","",IF(INDEX('Per Invoice'!A$2:A$401,$AH296)="","",INDEX('Per Invoice'!A$2:A$401,$AH296)))</f>
        <v/>
      </c>
      <c r="B296">
        <f>IF($AH296="","",IF(INDEX('Per Invoice'!B$2:B$401,$AH296)="","",INDEX('Per Invoice'!B$2:B$401,$AH296)))</f>
        <v/>
      </c>
      <c r="C296">
        <f>IF($AH296="","",IF(INDEX('Per Invoice'!C$2:C$401,$AH296)="","",INDEX('Per Invoice'!C$2:C$401,$AH296)))</f>
        <v/>
      </c>
      <c r="D296">
        <f>IF($AH296="","",IF(INDEX('Per Invoice'!D$2:D$401,$AH296)="","",INDEX('Per Invoice'!D$2:D$401,$AH296)))</f>
        <v/>
      </c>
      <c r="E296">
        <f>IF($AH296="","",IF(INDEX('Per Invoice'!E$2:E$401,$AH296)="","",INDEX('Per Invoice'!E$2:E$401,$AH296)))</f>
        <v/>
      </c>
      <c r="F296">
        <f>IF($AH296="","",IF(INDEX('Per Invoice'!F$2:F$401,$AH296)="","",INDEX('Per Invoice'!F$2:F$401,$AH296)))</f>
        <v/>
      </c>
      <c r="G296">
        <f>IF($AH296="","",IF(INDEX('Per Invoice'!G$2:G$401,$AH296)="","",INDEX('Per Invoice'!G$2:G$401,$AH296)))</f>
        <v/>
      </c>
      <c r="H296">
        <f>IF($AH296="","",IF(INDEX('Per Invoice'!H$2:H$401,$AH296)="","",INDEX('Per Invoice'!H$2:H$401,$AH296)))</f>
        <v/>
      </c>
      <c r="I296" s="14">
        <f>IF($AH296="","",IF(INDEX('Per Invoice'!I$2:I$401,$AH296)="","",INDEX('Per Invoice'!I$2:I$401,$AH296)))</f>
        <v/>
      </c>
      <c r="J296">
        <f>IF($AH296="","",IF(INDEX('Per Invoice'!J$2:J$401,$AH296)="","",INDEX('Per Invoice'!J$2:J$401,$AH296)))</f>
        <v/>
      </c>
      <c r="K296">
        <f>IF($AH296="","",IF(INDEX('Per Invoice'!K$2:K$401,$AH296)="","",INDEX('Per Invoice'!K$2:K$401,$AH296)))</f>
        <v/>
      </c>
      <c r="L296">
        <f>IF($AH296="","",IF(INDEX('Per Invoice'!L$2:L$401,$AH296)="","",INDEX('Per Invoice'!L$2:L$401,$AH296)))</f>
        <v/>
      </c>
      <c r="M296">
        <f>IF($AH296="","",IF(INDEX('Per Invoice'!M$2:M$401,$AH296)="","",INDEX('Per Invoice'!M$2:M$401,$AH296)))</f>
        <v/>
      </c>
      <c r="N296">
        <f>IF($AH296="","",IF(INDEX('Per Invoice'!N$2:N$401,$AH296)="","",INDEX('Per Invoice'!N$2:N$401,$AH296)))</f>
        <v/>
      </c>
      <c r="O296">
        <f>IF($AH296="","",IF(INDEX('Per Invoice'!O$2:O$401,$AH296)="","",INDEX('Per Invoice'!O$2:O$401,$AH296)))</f>
        <v/>
      </c>
      <c r="P296" s="7">
        <f>IF($AH296="","",IF(INDEX('Per Invoice'!P$2:P$401,$AH296)="","",INDEX('Per Invoice'!P$2:P$401,$AH296)))</f>
        <v/>
      </c>
      <c r="Q296">
        <f>IF($AH296="","",IF(INDEX('Per Invoice'!Q$2:Q$401,$AH296)="","",INDEX('Per Invoice'!Q$2:Q$401,$AH296)))</f>
        <v/>
      </c>
      <c r="R296">
        <f>IF($AH296="","",IF(INDEX('Per Invoice'!R$2:R$401,$AH296)="","",INDEX('Per Invoice'!R$2:R$401,$AH296)))</f>
        <v/>
      </c>
      <c r="S296">
        <f>IF($AH296="","",IF(INDEX('Per Invoice'!S$2:S$401,$AH296)="","",INDEX('Per Invoice'!S$2:S$401,$AH296)))</f>
        <v/>
      </c>
      <c r="T296" s="7">
        <f>IF($AH296="","",IF(INDEX('Per Invoice'!T$2:T$401,$AH296)="","",INDEX('Per Invoice'!T$2:T$401,$AH296)))</f>
        <v/>
      </c>
      <c r="U296" s="7">
        <f>IF($AH296="","",IF(INDEX('Per Invoice'!U$2:U$401,$AH296)="","",INDEX('Per Invoice'!U$2:U$401,$AH296)))</f>
        <v/>
      </c>
      <c r="V296">
        <f>IF($AH296="","",IF(INDEX('Per Invoice'!V$2:V$401,$AH296)="","",INDEX('Per Invoice'!V$2:V$401,$AH296)))</f>
        <v/>
      </c>
      <c r="W296" s="7">
        <f>IF($AH296="","",IF(INDEX('Per Invoice'!W$2:W$401,$AH296)="","",INDEX('Per Invoice'!W$2:W$401,$AH296)))</f>
        <v/>
      </c>
      <c r="X296" s="7">
        <f>IF($AH296="","",IF(INDEX('Per Invoice'!X$2:X$401,$AH296)="","",INDEX('Per Invoice'!X$2:X$401,$AH296)))</f>
        <v/>
      </c>
      <c r="Y296">
        <f>IF($AH296="","",IF(INDEX('Per Invoice'!Y$2:Y$401,$AH296)="","",INDEX('Per Invoice'!Y$2:Y$401,$AH296)))</f>
        <v/>
      </c>
      <c r="Z296" s="7">
        <f>IF($AH296="","",IF(INDEX('Per Invoice'!Z$2:Z$401,$AH296)="","",INDEX('Per Invoice'!Z$2:Z$401,$AH296)))</f>
        <v/>
      </c>
      <c r="AA296" s="7">
        <f>IF($AH296="","",IF(INDEX('Per Invoice'!AA$2:AA$401,$AH296)="","",INDEX('Per Invoice'!AA$2:AA$401,$AH296)))</f>
        <v/>
      </c>
      <c r="AB296" s="7">
        <f>IF($AH296="","",IF(INDEX('Per Invoice'!AB$2:AB$401,$AH296)="","",INDEX('Per Invoice'!AB$2:AB$401,$AH296)))</f>
        <v/>
      </c>
      <c r="AC296" s="7">
        <f>IF($AH296="","",IF(INDEX('Per Invoice'!AC$2:AC$401,$AH296)="","",INDEX('Per Invoice'!AC$2:AC$401,$AH296)))</f>
        <v/>
      </c>
      <c r="AD296" s="7">
        <f>IF($AH296="","",IF(INDEX('Per Invoice'!AD$2:AD$401,$AH296)="","",INDEX('Per Invoice'!AD$2:AD$401,$AH296)))</f>
        <v/>
      </c>
      <c r="AE296" s="7">
        <f>IF($AH296="","",IF(INDEX('Per Invoice'!AE$2:AE$401,$AH296)="","",INDEX('Per Invoice'!AE$2:AE$401,$AH296)))</f>
        <v/>
      </c>
      <c r="AF296">
        <f>IF($AH296="","",IF(INDEX('Per Invoice'!AF$2:AF$401,$AH296)="","",INDEX('Per Invoice'!AF$2:AF$401,$AH296)))</f>
        <v/>
      </c>
      <c r="AG296" s="7">
        <f>IF($AH296="","",IF(INDEX('Per Invoice'!AG$2:AG$401,$AH296)="","",INDEX('Per Invoice'!AG$2:AG$401,$AH296)))</f>
        <v/>
      </c>
      <c r="AH296" s="16">
        <f>IFERROR(MATCH(Settings!$C$26&amp;"|"&amp;ROWS($AH$2:$AH296),'Per Invoice'!$AI$2:$AI$401,0),"")</f>
        <v/>
      </c>
    </row>
    <row r="297">
      <c r="A297">
        <f>IF($AH297="","",IF(INDEX('Per Invoice'!A$2:A$401,$AH297)="","",INDEX('Per Invoice'!A$2:A$401,$AH297)))</f>
        <v/>
      </c>
      <c r="B297">
        <f>IF($AH297="","",IF(INDEX('Per Invoice'!B$2:B$401,$AH297)="","",INDEX('Per Invoice'!B$2:B$401,$AH297)))</f>
        <v/>
      </c>
      <c r="C297">
        <f>IF($AH297="","",IF(INDEX('Per Invoice'!C$2:C$401,$AH297)="","",INDEX('Per Invoice'!C$2:C$401,$AH297)))</f>
        <v/>
      </c>
      <c r="D297">
        <f>IF($AH297="","",IF(INDEX('Per Invoice'!D$2:D$401,$AH297)="","",INDEX('Per Invoice'!D$2:D$401,$AH297)))</f>
        <v/>
      </c>
      <c r="E297">
        <f>IF($AH297="","",IF(INDEX('Per Invoice'!E$2:E$401,$AH297)="","",INDEX('Per Invoice'!E$2:E$401,$AH297)))</f>
        <v/>
      </c>
      <c r="F297">
        <f>IF($AH297="","",IF(INDEX('Per Invoice'!F$2:F$401,$AH297)="","",INDEX('Per Invoice'!F$2:F$401,$AH297)))</f>
        <v/>
      </c>
      <c r="G297">
        <f>IF($AH297="","",IF(INDEX('Per Invoice'!G$2:G$401,$AH297)="","",INDEX('Per Invoice'!G$2:G$401,$AH297)))</f>
        <v/>
      </c>
      <c r="H297">
        <f>IF($AH297="","",IF(INDEX('Per Invoice'!H$2:H$401,$AH297)="","",INDEX('Per Invoice'!H$2:H$401,$AH297)))</f>
        <v/>
      </c>
      <c r="I297" s="14">
        <f>IF($AH297="","",IF(INDEX('Per Invoice'!I$2:I$401,$AH297)="","",INDEX('Per Invoice'!I$2:I$401,$AH297)))</f>
        <v/>
      </c>
      <c r="J297">
        <f>IF($AH297="","",IF(INDEX('Per Invoice'!J$2:J$401,$AH297)="","",INDEX('Per Invoice'!J$2:J$401,$AH297)))</f>
        <v/>
      </c>
      <c r="K297">
        <f>IF($AH297="","",IF(INDEX('Per Invoice'!K$2:K$401,$AH297)="","",INDEX('Per Invoice'!K$2:K$401,$AH297)))</f>
        <v/>
      </c>
      <c r="L297">
        <f>IF($AH297="","",IF(INDEX('Per Invoice'!L$2:L$401,$AH297)="","",INDEX('Per Invoice'!L$2:L$401,$AH297)))</f>
        <v/>
      </c>
      <c r="M297">
        <f>IF($AH297="","",IF(INDEX('Per Invoice'!M$2:M$401,$AH297)="","",INDEX('Per Invoice'!M$2:M$401,$AH297)))</f>
        <v/>
      </c>
      <c r="N297">
        <f>IF($AH297="","",IF(INDEX('Per Invoice'!N$2:N$401,$AH297)="","",INDEX('Per Invoice'!N$2:N$401,$AH297)))</f>
        <v/>
      </c>
      <c r="O297">
        <f>IF($AH297="","",IF(INDEX('Per Invoice'!O$2:O$401,$AH297)="","",INDEX('Per Invoice'!O$2:O$401,$AH297)))</f>
        <v/>
      </c>
      <c r="P297" s="7">
        <f>IF($AH297="","",IF(INDEX('Per Invoice'!P$2:P$401,$AH297)="","",INDEX('Per Invoice'!P$2:P$401,$AH297)))</f>
        <v/>
      </c>
      <c r="Q297">
        <f>IF($AH297="","",IF(INDEX('Per Invoice'!Q$2:Q$401,$AH297)="","",INDEX('Per Invoice'!Q$2:Q$401,$AH297)))</f>
        <v/>
      </c>
      <c r="R297">
        <f>IF($AH297="","",IF(INDEX('Per Invoice'!R$2:R$401,$AH297)="","",INDEX('Per Invoice'!R$2:R$401,$AH297)))</f>
        <v/>
      </c>
      <c r="S297">
        <f>IF($AH297="","",IF(INDEX('Per Invoice'!S$2:S$401,$AH297)="","",INDEX('Per Invoice'!S$2:S$401,$AH297)))</f>
        <v/>
      </c>
      <c r="T297" s="7">
        <f>IF($AH297="","",IF(INDEX('Per Invoice'!T$2:T$401,$AH297)="","",INDEX('Per Invoice'!T$2:T$401,$AH297)))</f>
        <v/>
      </c>
      <c r="U297" s="7">
        <f>IF($AH297="","",IF(INDEX('Per Invoice'!U$2:U$401,$AH297)="","",INDEX('Per Invoice'!U$2:U$401,$AH297)))</f>
        <v/>
      </c>
      <c r="V297">
        <f>IF($AH297="","",IF(INDEX('Per Invoice'!V$2:V$401,$AH297)="","",INDEX('Per Invoice'!V$2:V$401,$AH297)))</f>
        <v/>
      </c>
      <c r="W297" s="7">
        <f>IF($AH297="","",IF(INDEX('Per Invoice'!W$2:W$401,$AH297)="","",INDEX('Per Invoice'!W$2:W$401,$AH297)))</f>
        <v/>
      </c>
      <c r="X297" s="7">
        <f>IF($AH297="","",IF(INDEX('Per Invoice'!X$2:X$401,$AH297)="","",INDEX('Per Invoice'!X$2:X$401,$AH297)))</f>
        <v/>
      </c>
      <c r="Y297">
        <f>IF($AH297="","",IF(INDEX('Per Invoice'!Y$2:Y$401,$AH297)="","",INDEX('Per Invoice'!Y$2:Y$401,$AH297)))</f>
        <v/>
      </c>
      <c r="Z297" s="7">
        <f>IF($AH297="","",IF(INDEX('Per Invoice'!Z$2:Z$401,$AH297)="","",INDEX('Per Invoice'!Z$2:Z$401,$AH297)))</f>
        <v/>
      </c>
      <c r="AA297" s="7">
        <f>IF($AH297="","",IF(INDEX('Per Invoice'!AA$2:AA$401,$AH297)="","",INDEX('Per Invoice'!AA$2:AA$401,$AH297)))</f>
        <v/>
      </c>
      <c r="AB297" s="7">
        <f>IF($AH297="","",IF(INDEX('Per Invoice'!AB$2:AB$401,$AH297)="","",INDEX('Per Invoice'!AB$2:AB$401,$AH297)))</f>
        <v/>
      </c>
      <c r="AC297" s="7">
        <f>IF($AH297="","",IF(INDEX('Per Invoice'!AC$2:AC$401,$AH297)="","",INDEX('Per Invoice'!AC$2:AC$401,$AH297)))</f>
        <v/>
      </c>
      <c r="AD297" s="7">
        <f>IF($AH297="","",IF(INDEX('Per Invoice'!AD$2:AD$401,$AH297)="","",INDEX('Per Invoice'!AD$2:AD$401,$AH297)))</f>
        <v/>
      </c>
      <c r="AE297" s="7">
        <f>IF($AH297="","",IF(INDEX('Per Invoice'!AE$2:AE$401,$AH297)="","",INDEX('Per Invoice'!AE$2:AE$401,$AH297)))</f>
        <v/>
      </c>
      <c r="AF297">
        <f>IF($AH297="","",IF(INDEX('Per Invoice'!AF$2:AF$401,$AH297)="","",INDEX('Per Invoice'!AF$2:AF$401,$AH297)))</f>
        <v/>
      </c>
      <c r="AG297" s="7">
        <f>IF($AH297="","",IF(INDEX('Per Invoice'!AG$2:AG$401,$AH297)="","",INDEX('Per Invoice'!AG$2:AG$401,$AH297)))</f>
        <v/>
      </c>
      <c r="AH297" s="16">
        <f>IFERROR(MATCH(Settings!$C$26&amp;"|"&amp;ROWS($AH$2:$AH297),'Per Invoice'!$AI$2:$AI$401,0),"")</f>
        <v/>
      </c>
    </row>
    <row r="298">
      <c r="A298">
        <f>IF($AH298="","",IF(INDEX('Per Invoice'!A$2:A$401,$AH298)="","",INDEX('Per Invoice'!A$2:A$401,$AH298)))</f>
        <v/>
      </c>
      <c r="B298">
        <f>IF($AH298="","",IF(INDEX('Per Invoice'!B$2:B$401,$AH298)="","",INDEX('Per Invoice'!B$2:B$401,$AH298)))</f>
        <v/>
      </c>
      <c r="C298">
        <f>IF($AH298="","",IF(INDEX('Per Invoice'!C$2:C$401,$AH298)="","",INDEX('Per Invoice'!C$2:C$401,$AH298)))</f>
        <v/>
      </c>
      <c r="D298">
        <f>IF($AH298="","",IF(INDEX('Per Invoice'!D$2:D$401,$AH298)="","",INDEX('Per Invoice'!D$2:D$401,$AH298)))</f>
        <v/>
      </c>
      <c r="E298">
        <f>IF($AH298="","",IF(INDEX('Per Invoice'!E$2:E$401,$AH298)="","",INDEX('Per Invoice'!E$2:E$401,$AH298)))</f>
        <v/>
      </c>
      <c r="F298">
        <f>IF($AH298="","",IF(INDEX('Per Invoice'!F$2:F$401,$AH298)="","",INDEX('Per Invoice'!F$2:F$401,$AH298)))</f>
        <v/>
      </c>
      <c r="G298">
        <f>IF($AH298="","",IF(INDEX('Per Invoice'!G$2:G$401,$AH298)="","",INDEX('Per Invoice'!G$2:G$401,$AH298)))</f>
        <v/>
      </c>
      <c r="H298">
        <f>IF($AH298="","",IF(INDEX('Per Invoice'!H$2:H$401,$AH298)="","",INDEX('Per Invoice'!H$2:H$401,$AH298)))</f>
        <v/>
      </c>
      <c r="I298" s="14">
        <f>IF($AH298="","",IF(INDEX('Per Invoice'!I$2:I$401,$AH298)="","",INDEX('Per Invoice'!I$2:I$401,$AH298)))</f>
        <v/>
      </c>
      <c r="J298">
        <f>IF($AH298="","",IF(INDEX('Per Invoice'!J$2:J$401,$AH298)="","",INDEX('Per Invoice'!J$2:J$401,$AH298)))</f>
        <v/>
      </c>
      <c r="K298">
        <f>IF($AH298="","",IF(INDEX('Per Invoice'!K$2:K$401,$AH298)="","",INDEX('Per Invoice'!K$2:K$401,$AH298)))</f>
        <v/>
      </c>
      <c r="L298">
        <f>IF($AH298="","",IF(INDEX('Per Invoice'!L$2:L$401,$AH298)="","",INDEX('Per Invoice'!L$2:L$401,$AH298)))</f>
        <v/>
      </c>
      <c r="M298">
        <f>IF($AH298="","",IF(INDEX('Per Invoice'!M$2:M$401,$AH298)="","",INDEX('Per Invoice'!M$2:M$401,$AH298)))</f>
        <v/>
      </c>
      <c r="N298">
        <f>IF($AH298="","",IF(INDEX('Per Invoice'!N$2:N$401,$AH298)="","",INDEX('Per Invoice'!N$2:N$401,$AH298)))</f>
        <v/>
      </c>
      <c r="O298">
        <f>IF($AH298="","",IF(INDEX('Per Invoice'!O$2:O$401,$AH298)="","",INDEX('Per Invoice'!O$2:O$401,$AH298)))</f>
        <v/>
      </c>
      <c r="P298" s="7">
        <f>IF($AH298="","",IF(INDEX('Per Invoice'!P$2:P$401,$AH298)="","",INDEX('Per Invoice'!P$2:P$401,$AH298)))</f>
        <v/>
      </c>
      <c r="Q298">
        <f>IF($AH298="","",IF(INDEX('Per Invoice'!Q$2:Q$401,$AH298)="","",INDEX('Per Invoice'!Q$2:Q$401,$AH298)))</f>
        <v/>
      </c>
      <c r="R298">
        <f>IF($AH298="","",IF(INDEX('Per Invoice'!R$2:R$401,$AH298)="","",INDEX('Per Invoice'!R$2:R$401,$AH298)))</f>
        <v/>
      </c>
      <c r="S298">
        <f>IF($AH298="","",IF(INDEX('Per Invoice'!S$2:S$401,$AH298)="","",INDEX('Per Invoice'!S$2:S$401,$AH298)))</f>
        <v/>
      </c>
      <c r="T298" s="7">
        <f>IF($AH298="","",IF(INDEX('Per Invoice'!T$2:T$401,$AH298)="","",INDEX('Per Invoice'!T$2:T$401,$AH298)))</f>
        <v/>
      </c>
      <c r="U298" s="7">
        <f>IF($AH298="","",IF(INDEX('Per Invoice'!U$2:U$401,$AH298)="","",INDEX('Per Invoice'!U$2:U$401,$AH298)))</f>
        <v/>
      </c>
      <c r="V298">
        <f>IF($AH298="","",IF(INDEX('Per Invoice'!V$2:V$401,$AH298)="","",INDEX('Per Invoice'!V$2:V$401,$AH298)))</f>
        <v/>
      </c>
      <c r="W298" s="7">
        <f>IF($AH298="","",IF(INDEX('Per Invoice'!W$2:W$401,$AH298)="","",INDEX('Per Invoice'!W$2:W$401,$AH298)))</f>
        <v/>
      </c>
      <c r="X298" s="7">
        <f>IF($AH298="","",IF(INDEX('Per Invoice'!X$2:X$401,$AH298)="","",INDEX('Per Invoice'!X$2:X$401,$AH298)))</f>
        <v/>
      </c>
      <c r="Y298">
        <f>IF($AH298="","",IF(INDEX('Per Invoice'!Y$2:Y$401,$AH298)="","",INDEX('Per Invoice'!Y$2:Y$401,$AH298)))</f>
        <v/>
      </c>
      <c r="Z298" s="7">
        <f>IF($AH298="","",IF(INDEX('Per Invoice'!Z$2:Z$401,$AH298)="","",INDEX('Per Invoice'!Z$2:Z$401,$AH298)))</f>
        <v/>
      </c>
      <c r="AA298" s="7">
        <f>IF($AH298="","",IF(INDEX('Per Invoice'!AA$2:AA$401,$AH298)="","",INDEX('Per Invoice'!AA$2:AA$401,$AH298)))</f>
        <v/>
      </c>
      <c r="AB298" s="7">
        <f>IF($AH298="","",IF(INDEX('Per Invoice'!AB$2:AB$401,$AH298)="","",INDEX('Per Invoice'!AB$2:AB$401,$AH298)))</f>
        <v/>
      </c>
      <c r="AC298" s="7">
        <f>IF($AH298="","",IF(INDEX('Per Invoice'!AC$2:AC$401,$AH298)="","",INDEX('Per Invoice'!AC$2:AC$401,$AH298)))</f>
        <v/>
      </c>
      <c r="AD298" s="7">
        <f>IF($AH298="","",IF(INDEX('Per Invoice'!AD$2:AD$401,$AH298)="","",INDEX('Per Invoice'!AD$2:AD$401,$AH298)))</f>
        <v/>
      </c>
      <c r="AE298" s="7">
        <f>IF($AH298="","",IF(INDEX('Per Invoice'!AE$2:AE$401,$AH298)="","",INDEX('Per Invoice'!AE$2:AE$401,$AH298)))</f>
        <v/>
      </c>
      <c r="AF298">
        <f>IF($AH298="","",IF(INDEX('Per Invoice'!AF$2:AF$401,$AH298)="","",INDEX('Per Invoice'!AF$2:AF$401,$AH298)))</f>
        <v/>
      </c>
      <c r="AG298" s="7">
        <f>IF($AH298="","",IF(INDEX('Per Invoice'!AG$2:AG$401,$AH298)="","",INDEX('Per Invoice'!AG$2:AG$401,$AH298)))</f>
        <v/>
      </c>
      <c r="AH298" s="16">
        <f>IFERROR(MATCH(Settings!$C$26&amp;"|"&amp;ROWS($AH$2:$AH298),'Per Invoice'!$AI$2:$AI$401,0),"")</f>
        <v/>
      </c>
    </row>
    <row r="299">
      <c r="A299">
        <f>IF($AH299="","",IF(INDEX('Per Invoice'!A$2:A$401,$AH299)="","",INDEX('Per Invoice'!A$2:A$401,$AH299)))</f>
        <v/>
      </c>
      <c r="B299">
        <f>IF($AH299="","",IF(INDEX('Per Invoice'!B$2:B$401,$AH299)="","",INDEX('Per Invoice'!B$2:B$401,$AH299)))</f>
        <v/>
      </c>
      <c r="C299">
        <f>IF($AH299="","",IF(INDEX('Per Invoice'!C$2:C$401,$AH299)="","",INDEX('Per Invoice'!C$2:C$401,$AH299)))</f>
        <v/>
      </c>
      <c r="D299">
        <f>IF($AH299="","",IF(INDEX('Per Invoice'!D$2:D$401,$AH299)="","",INDEX('Per Invoice'!D$2:D$401,$AH299)))</f>
        <v/>
      </c>
      <c r="E299">
        <f>IF($AH299="","",IF(INDEX('Per Invoice'!E$2:E$401,$AH299)="","",INDEX('Per Invoice'!E$2:E$401,$AH299)))</f>
        <v/>
      </c>
      <c r="F299">
        <f>IF($AH299="","",IF(INDEX('Per Invoice'!F$2:F$401,$AH299)="","",INDEX('Per Invoice'!F$2:F$401,$AH299)))</f>
        <v/>
      </c>
      <c r="G299">
        <f>IF($AH299="","",IF(INDEX('Per Invoice'!G$2:G$401,$AH299)="","",INDEX('Per Invoice'!G$2:G$401,$AH299)))</f>
        <v/>
      </c>
      <c r="H299">
        <f>IF($AH299="","",IF(INDEX('Per Invoice'!H$2:H$401,$AH299)="","",INDEX('Per Invoice'!H$2:H$401,$AH299)))</f>
        <v/>
      </c>
      <c r="I299" s="14">
        <f>IF($AH299="","",IF(INDEX('Per Invoice'!I$2:I$401,$AH299)="","",INDEX('Per Invoice'!I$2:I$401,$AH299)))</f>
        <v/>
      </c>
      <c r="J299">
        <f>IF($AH299="","",IF(INDEX('Per Invoice'!J$2:J$401,$AH299)="","",INDEX('Per Invoice'!J$2:J$401,$AH299)))</f>
        <v/>
      </c>
      <c r="K299">
        <f>IF($AH299="","",IF(INDEX('Per Invoice'!K$2:K$401,$AH299)="","",INDEX('Per Invoice'!K$2:K$401,$AH299)))</f>
        <v/>
      </c>
      <c r="L299">
        <f>IF($AH299="","",IF(INDEX('Per Invoice'!L$2:L$401,$AH299)="","",INDEX('Per Invoice'!L$2:L$401,$AH299)))</f>
        <v/>
      </c>
      <c r="M299">
        <f>IF($AH299="","",IF(INDEX('Per Invoice'!M$2:M$401,$AH299)="","",INDEX('Per Invoice'!M$2:M$401,$AH299)))</f>
        <v/>
      </c>
      <c r="N299">
        <f>IF($AH299="","",IF(INDEX('Per Invoice'!N$2:N$401,$AH299)="","",INDEX('Per Invoice'!N$2:N$401,$AH299)))</f>
        <v/>
      </c>
      <c r="O299">
        <f>IF($AH299="","",IF(INDEX('Per Invoice'!O$2:O$401,$AH299)="","",INDEX('Per Invoice'!O$2:O$401,$AH299)))</f>
        <v/>
      </c>
      <c r="P299" s="7">
        <f>IF($AH299="","",IF(INDEX('Per Invoice'!P$2:P$401,$AH299)="","",INDEX('Per Invoice'!P$2:P$401,$AH299)))</f>
        <v/>
      </c>
      <c r="Q299">
        <f>IF($AH299="","",IF(INDEX('Per Invoice'!Q$2:Q$401,$AH299)="","",INDEX('Per Invoice'!Q$2:Q$401,$AH299)))</f>
        <v/>
      </c>
      <c r="R299">
        <f>IF($AH299="","",IF(INDEX('Per Invoice'!R$2:R$401,$AH299)="","",INDEX('Per Invoice'!R$2:R$401,$AH299)))</f>
        <v/>
      </c>
      <c r="S299">
        <f>IF($AH299="","",IF(INDEX('Per Invoice'!S$2:S$401,$AH299)="","",INDEX('Per Invoice'!S$2:S$401,$AH299)))</f>
        <v/>
      </c>
      <c r="T299" s="7">
        <f>IF($AH299="","",IF(INDEX('Per Invoice'!T$2:T$401,$AH299)="","",INDEX('Per Invoice'!T$2:T$401,$AH299)))</f>
        <v/>
      </c>
      <c r="U299" s="7">
        <f>IF($AH299="","",IF(INDEX('Per Invoice'!U$2:U$401,$AH299)="","",INDEX('Per Invoice'!U$2:U$401,$AH299)))</f>
        <v/>
      </c>
      <c r="V299">
        <f>IF($AH299="","",IF(INDEX('Per Invoice'!V$2:V$401,$AH299)="","",INDEX('Per Invoice'!V$2:V$401,$AH299)))</f>
        <v/>
      </c>
      <c r="W299" s="7">
        <f>IF($AH299="","",IF(INDEX('Per Invoice'!W$2:W$401,$AH299)="","",INDEX('Per Invoice'!W$2:W$401,$AH299)))</f>
        <v/>
      </c>
      <c r="X299" s="7">
        <f>IF($AH299="","",IF(INDEX('Per Invoice'!X$2:X$401,$AH299)="","",INDEX('Per Invoice'!X$2:X$401,$AH299)))</f>
        <v/>
      </c>
      <c r="Y299">
        <f>IF($AH299="","",IF(INDEX('Per Invoice'!Y$2:Y$401,$AH299)="","",INDEX('Per Invoice'!Y$2:Y$401,$AH299)))</f>
        <v/>
      </c>
      <c r="Z299" s="7">
        <f>IF($AH299="","",IF(INDEX('Per Invoice'!Z$2:Z$401,$AH299)="","",INDEX('Per Invoice'!Z$2:Z$401,$AH299)))</f>
        <v/>
      </c>
      <c r="AA299" s="7">
        <f>IF($AH299="","",IF(INDEX('Per Invoice'!AA$2:AA$401,$AH299)="","",INDEX('Per Invoice'!AA$2:AA$401,$AH299)))</f>
        <v/>
      </c>
      <c r="AB299" s="7">
        <f>IF($AH299="","",IF(INDEX('Per Invoice'!AB$2:AB$401,$AH299)="","",INDEX('Per Invoice'!AB$2:AB$401,$AH299)))</f>
        <v/>
      </c>
      <c r="AC299" s="7">
        <f>IF($AH299="","",IF(INDEX('Per Invoice'!AC$2:AC$401,$AH299)="","",INDEX('Per Invoice'!AC$2:AC$401,$AH299)))</f>
        <v/>
      </c>
      <c r="AD299" s="7">
        <f>IF($AH299="","",IF(INDEX('Per Invoice'!AD$2:AD$401,$AH299)="","",INDEX('Per Invoice'!AD$2:AD$401,$AH299)))</f>
        <v/>
      </c>
      <c r="AE299" s="7">
        <f>IF($AH299="","",IF(INDEX('Per Invoice'!AE$2:AE$401,$AH299)="","",INDEX('Per Invoice'!AE$2:AE$401,$AH299)))</f>
        <v/>
      </c>
      <c r="AF299">
        <f>IF($AH299="","",IF(INDEX('Per Invoice'!AF$2:AF$401,$AH299)="","",INDEX('Per Invoice'!AF$2:AF$401,$AH299)))</f>
        <v/>
      </c>
      <c r="AG299" s="7">
        <f>IF($AH299="","",IF(INDEX('Per Invoice'!AG$2:AG$401,$AH299)="","",INDEX('Per Invoice'!AG$2:AG$401,$AH299)))</f>
        <v/>
      </c>
      <c r="AH299" s="16">
        <f>IFERROR(MATCH(Settings!$C$26&amp;"|"&amp;ROWS($AH$2:$AH299),'Per Invoice'!$AI$2:$AI$401,0),"")</f>
        <v/>
      </c>
    </row>
    <row r="300">
      <c r="A300">
        <f>IF($AH300="","",IF(INDEX('Per Invoice'!A$2:A$401,$AH300)="","",INDEX('Per Invoice'!A$2:A$401,$AH300)))</f>
        <v/>
      </c>
      <c r="B300">
        <f>IF($AH300="","",IF(INDEX('Per Invoice'!B$2:B$401,$AH300)="","",INDEX('Per Invoice'!B$2:B$401,$AH300)))</f>
        <v/>
      </c>
      <c r="C300">
        <f>IF($AH300="","",IF(INDEX('Per Invoice'!C$2:C$401,$AH300)="","",INDEX('Per Invoice'!C$2:C$401,$AH300)))</f>
        <v/>
      </c>
      <c r="D300">
        <f>IF($AH300="","",IF(INDEX('Per Invoice'!D$2:D$401,$AH300)="","",INDEX('Per Invoice'!D$2:D$401,$AH300)))</f>
        <v/>
      </c>
      <c r="E300">
        <f>IF($AH300="","",IF(INDEX('Per Invoice'!E$2:E$401,$AH300)="","",INDEX('Per Invoice'!E$2:E$401,$AH300)))</f>
        <v/>
      </c>
      <c r="F300">
        <f>IF($AH300="","",IF(INDEX('Per Invoice'!F$2:F$401,$AH300)="","",INDEX('Per Invoice'!F$2:F$401,$AH300)))</f>
        <v/>
      </c>
      <c r="G300">
        <f>IF($AH300="","",IF(INDEX('Per Invoice'!G$2:G$401,$AH300)="","",INDEX('Per Invoice'!G$2:G$401,$AH300)))</f>
        <v/>
      </c>
      <c r="H300">
        <f>IF($AH300="","",IF(INDEX('Per Invoice'!H$2:H$401,$AH300)="","",INDEX('Per Invoice'!H$2:H$401,$AH300)))</f>
        <v/>
      </c>
      <c r="I300" s="14">
        <f>IF($AH300="","",IF(INDEX('Per Invoice'!I$2:I$401,$AH300)="","",INDEX('Per Invoice'!I$2:I$401,$AH300)))</f>
        <v/>
      </c>
      <c r="J300">
        <f>IF($AH300="","",IF(INDEX('Per Invoice'!J$2:J$401,$AH300)="","",INDEX('Per Invoice'!J$2:J$401,$AH300)))</f>
        <v/>
      </c>
      <c r="K300">
        <f>IF($AH300="","",IF(INDEX('Per Invoice'!K$2:K$401,$AH300)="","",INDEX('Per Invoice'!K$2:K$401,$AH300)))</f>
        <v/>
      </c>
      <c r="L300">
        <f>IF($AH300="","",IF(INDEX('Per Invoice'!L$2:L$401,$AH300)="","",INDEX('Per Invoice'!L$2:L$401,$AH300)))</f>
        <v/>
      </c>
      <c r="M300">
        <f>IF($AH300="","",IF(INDEX('Per Invoice'!M$2:M$401,$AH300)="","",INDEX('Per Invoice'!M$2:M$401,$AH300)))</f>
        <v/>
      </c>
      <c r="N300">
        <f>IF($AH300="","",IF(INDEX('Per Invoice'!N$2:N$401,$AH300)="","",INDEX('Per Invoice'!N$2:N$401,$AH300)))</f>
        <v/>
      </c>
      <c r="O300">
        <f>IF($AH300="","",IF(INDEX('Per Invoice'!O$2:O$401,$AH300)="","",INDEX('Per Invoice'!O$2:O$401,$AH300)))</f>
        <v/>
      </c>
      <c r="P300" s="7">
        <f>IF($AH300="","",IF(INDEX('Per Invoice'!P$2:P$401,$AH300)="","",INDEX('Per Invoice'!P$2:P$401,$AH300)))</f>
        <v/>
      </c>
      <c r="Q300">
        <f>IF($AH300="","",IF(INDEX('Per Invoice'!Q$2:Q$401,$AH300)="","",INDEX('Per Invoice'!Q$2:Q$401,$AH300)))</f>
        <v/>
      </c>
      <c r="R300">
        <f>IF($AH300="","",IF(INDEX('Per Invoice'!R$2:R$401,$AH300)="","",INDEX('Per Invoice'!R$2:R$401,$AH300)))</f>
        <v/>
      </c>
      <c r="S300">
        <f>IF($AH300="","",IF(INDEX('Per Invoice'!S$2:S$401,$AH300)="","",INDEX('Per Invoice'!S$2:S$401,$AH300)))</f>
        <v/>
      </c>
      <c r="T300" s="7">
        <f>IF($AH300="","",IF(INDEX('Per Invoice'!T$2:T$401,$AH300)="","",INDEX('Per Invoice'!T$2:T$401,$AH300)))</f>
        <v/>
      </c>
      <c r="U300" s="7">
        <f>IF($AH300="","",IF(INDEX('Per Invoice'!U$2:U$401,$AH300)="","",INDEX('Per Invoice'!U$2:U$401,$AH300)))</f>
        <v/>
      </c>
      <c r="V300">
        <f>IF($AH300="","",IF(INDEX('Per Invoice'!V$2:V$401,$AH300)="","",INDEX('Per Invoice'!V$2:V$401,$AH300)))</f>
        <v/>
      </c>
      <c r="W300" s="7">
        <f>IF($AH300="","",IF(INDEX('Per Invoice'!W$2:W$401,$AH300)="","",INDEX('Per Invoice'!W$2:W$401,$AH300)))</f>
        <v/>
      </c>
      <c r="X300" s="7">
        <f>IF($AH300="","",IF(INDEX('Per Invoice'!X$2:X$401,$AH300)="","",INDEX('Per Invoice'!X$2:X$401,$AH300)))</f>
        <v/>
      </c>
      <c r="Y300">
        <f>IF($AH300="","",IF(INDEX('Per Invoice'!Y$2:Y$401,$AH300)="","",INDEX('Per Invoice'!Y$2:Y$401,$AH300)))</f>
        <v/>
      </c>
      <c r="Z300" s="7">
        <f>IF($AH300="","",IF(INDEX('Per Invoice'!Z$2:Z$401,$AH300)="","",INDEX('Per Invoice'!Z$2:Z$401,$AH300)))</f>
        <v/>
      </c>
      <c r="AA300" s="7">
        <f>IF($AH300="","",IF(INDEX('Per Invoice'!AA$2:AA$401,$AH300)="","",INDEX('Per Invoice'!AA$2:AA$401,$AH300)))</f>
        <v/>
      </c>
      <c r="AB300" s="7">
        <f>IF($AH300="","",IF(INDEX('Per Invoice'!AB$2:AB$401,$AH300)="","",INDEX('Per Invoice'!AB$2:AB$401,$AH300)))</f>
        <v/>
      </c>
      <c r="AC300" s="7">
        <f>IF($AH300="","",IF(INDEX('Per Invoice'!AC$2:AC$401,$AH300)="","",INDEX('Per Invoice'!AC$2:AC$401,$AH300)))</f>
        <v/>
      </c>
      <c r="AD300" s="7">
        <f>IF($AH300="","",IF(INDEX('Per Invoice'!AD$2:AD$401,$AH300)="","",INDEX('Per Invoice'!AD$2:AD$401,$AH300)))</f>
        <v/>
      </c>
      <c r="AE300" s="7">
        <f>IF($AH300="","",IF(INDEX('Per Invoice'!AE$2:AE$401,$AH300)="","",INDEX('Per Invoice'!AE$2:AE$401,$AH300)))</f>
        <v/>
      </c>
      <c r="AF300">
        <f>IF($AH300="","",IF(INDEX('Per Invoice'!AF$2:AF$401,$AH300)="","",INDEX('Per Invoice'!AF$2:AF$401,$AH300)))</f>
        <v/>
      </c>
      <c r="AG300" s="7">
        <f>IF($AH300="","",IF(INDEX('Per Invoice'!AG$2:AG$401,$AH300)="","",INDEX('Per Invoice'!AG$2:AG$401,$AH300)))</f>
        <v/>
      </c>
      <c r="AH300" s="16">
        <f>IFERROR(MATCH(Settings!$C$26&amp;"|"&amp;ROWS($AH$2:$AH300),'Per Invoice'!$AI$2:$AI$401,0),"")</f>
        <v/>
      </c>
    </row>
    <row r="301">
      <c r="A301">
        <f>IF($AH301="","",IF(INDEX('Per Invoice'!A$2:A$401,$AH301)="","",INDEX('Per Invoice'!A$2:A$401,$AH301)))</f>
        <v/>
      </c>
      <c r="B301">
        <f>IF($AH301="","",IF(INDEX('Per Invoice'!B$2:B$401,$AH301)="","",INDEX('Per Invoice'!B$2:B$401,$AH301)))</f>
        <v/>
      </c>
      <c r="C301">
        <f>IF($AH301="","",IF(INDEX('Per Invoice'!C$2:C$401,$AH301)="","",INDEX('Per Invoice'!C$2:C$401,$AH301)))</f>
        <v/>
      </c>
      <c r="D301">
        <f>IF($AH301="","",IF(INDEX('Per Invoice'!D$2:D$401,$AH301)="","",INDEX('Per Invoice'!D$2:D$401,$AH301)))</f>
        <v/>
      </c>
      <c r="E301">
        <f>IF($AH301="","",IF(INDEX('Per Invoice'!E$2:E$401,$AH301)="","",INDEX('Per Invoice'!E$2:E$401,$AH301)))</f>
        <v/>
      </c>
      <c r="F301">
        <f>IF($AH301="","",IF(INDEX('Per Invoice'!F$2:F$401,$AH301)="","",INDEX('Per Invoice'!F$2:F$401,$AH301)))</f>
        <v/>
      </c>
      <c r="G301">
        <f>IF($AH301="","",IF(INDEX('Per Invoice'!G$2:G$401,$AH301)="","",INDEX('Per Invoice'!G$2:G$401,$AH301)))</f>
        <v/>
      </c>
      <c r="H301">
        <f>IF($AH301="","",IF(INDEX('Per Invoice'!H$2:H$401,$AH301)="","",INDEX('Per Invoice'!H$2:H$401,$AH301)))</f>
        <v/>
      </c>
      <c r="I301" s="14">
        <f>IF($AH301="","",IF(INDEX('Per Invoice'!I$2:I$401,$AH301)="","",INDEX('Per Invoice'!I$2:I$401,$AH301)))</f>
        <v/>
      </c>
      <c r="J301">
        <f>IF($AH301="","",IF(INDEX('Per Invoice'!J$2:J$401,$AH301)="","",INDEX('Per Invoice'!J$2:J$401,$AH301)))</f>
        <v/>
      </c>
      <c r="K301">
        <f>IF($AH301="","",IF(INDEX('Per Invoice'!K$2:K$401,$AH301)="","",INDEX('Per Invoice'!K$2:K$401,$AH301)))</f>
        <v/>
      </c>
      <c r="L301">
        <f>IF($AH301="","",IF(INDEX('Per Invoice'!L$2:L$401,$AH301)="","",INDEX('Per Invoice'!L$2:L$401,$AH301)))</f>
        <v/>
      </c>
      <c r="M301">
        <f>IF($AH301="","",IF(INDEX('Per Invoice'!M$2:M$401,$AH301)="","",INDEX('Per Invoice'!M$2:M$401,$AH301)))</f>
        <v/>
      </c>
      <c r="N301">
        <f>IF($AH301="","",IF(INDEX('Per Invoice'!N$2:N$401,$AH301)="","",INDEX('Per Invoice'!N$2:N$401,$AH301)))</f>
        <v/>
      </c>
      <c r="O301">
        <f>IF($AH301="","",IF(INDEX('Per Invoice'!O$2:O$401,$AH301)="","",INDEX('Per Invoice'!O$2:O$401,$AH301)))</f>
        <v/>
      </c>
      <c r="P301" s="7">
        <f>IF($AH301="","",IF(INDEX('Per Invoice'!P$2:P$401,$AH301)="","",INDEX('Per Invoice'!P$2:P$401,$AH301)))</f>
        <v/>
      </c>
      <c r="Q301">
        <f>IF($AH301="","",IF(INDEX('Per Invoice'!Q$2:Q$401,$AH301)="","",INDEX('Per Invoice'!Q$2:Q$401,$AH301)))</f>
        <v/>
      </c>
      <c r="R301">
        <f>IF($AH301="","",IF(INDEX('Per Invoice'!R$2:R$401,$AH301)="","",INDEX('Per Invoice'!R$2:R$401,$AH301)))</f>
        <v/>
      </c>
      <c r="S301">
        <f>IF($AH301="","",IF(INDEX('Per Invoice'!S$2:S$401,$AH301)="","",INDEX('Per Invoice'!S$2:S$401,$AH301)))</f>
        <v/>
      </c>
      <c r="T301" s="7">
        <f>IF($AH301="","",IF(INDEX('Per Invoice'!T$2:T$401,$AH301)="","",INDEX('Per Invoice'!T$2:T$401,$AH301)))</f>
        <v/>
      </c>
      <c r="U301" s="7">
        <f>IF($AH301="","",IF(INDEX('Per Invoice'!U$2:U$401,$AH301)="","",INDEX('Per Invoice'!U$2:U$401,$AH301)))</f>
        <v/>
      </c>
      <c r="V301">
        <f>IF($AH301="","",IF(INDEX('Per Invoice'!V$2:V$401,$AH301)="","",INDEX('Per Invoice'!V$2:V$401,$AH301)))</f>
        <v/>
      </c>
      <c r="W301" s="7">
        <f>IF($AH301="","",IF(INDEX('Per Invoice'!W$2:W$401,$AH301)="","",INDEX('Per Invoice'!W$2:W$401,$AH301)))</f>
        <v/>
      </c>
      <c r="X301" s="7">
        <f>IF($AH301="","",IF(INDEX('Per Invoice'!X$2:X$401,$AH301)="","",INDEX('Per Invoice'!X$2:X$401,$AH301)))</f>
        <v/>
      </c>
      <c r="Y301">
        <f>IF($AH301="","",IF(INDEX('Per Invoice'!Y$2:Y$401,$AH301)="","",INDEX('Per Invoice'!Y$2:Y$401,$AH301)))</f>
        <v/>
      </c>
      <c r="Z301" s="7">
        <f>IF($AH301="","",IF(INDEX('Per Invoice'!Z$2:Z$401,$AH301)="","",INDEX('Per Invoice'!Z$2:Z$401,$AH301)))</f>
        <v/>
      </c>
      <c r="AA301" s="7">
        <f>IF($AH301="","",IF(INDEX('Per Invoice'!AA$2:AA$401,$AH301)="","",INDEX('Per Invoice'!AA$2:AA$401,$AH301)))</f>
        <v/>
      </c>
      <c r="AB301" s="7">
        <f>IF($AH301="","",IF(INDEX('Per Invoice'!AB$2:AB$401,$AH301)="","",INDEX('Per Invoice'!AB$2:AB$401,$AH301)))</f>
        <v/>
      </c>
      <c r="AC301" s="7">
        <f>IF($AH301="","",IF(INDEX('Per Invoice'!AC$2:AC$401,$AH301)="","",INDEX('Per Invoice'!AC$2:AC$401,$AH301)))</f>
        <v/>
      </c>
      <c r="AD301" s="7">
        <f>IF($AH301="","",IF(INDEX('Per Invoice'!AD$2:AD$401,$AH301)="","",INDEX('Per Invoice'!AD$2:AD$401,$AH301)))</f>
        <v/>
      </c>
      <c r="AE301" s="7">
        <f>IF($AH301="","",IF(INDEX('Per Invoice'!AE$2:AE$401,$AH301)="","",INDEX('Per Invoice'!AE$2:AE$401,$AH301)))</f>
        <v/>
      </c>
      <c r="AF301">
        <f>IF($AH301="","",IF(INDEX('Per Invoice'!AF$2:AF$401,$AH301)="","",INDEX('Per Invoice'!AF$2:AF$401,$AH301)))</f>
        <v/>
      </c>
      <c r="AG301" s="7">
        <f>IF($AH301="","",IF(INDEX('Per Invoice'!AG$2:AG$401,$AH301)="","",INDEX('Per Invoice'!AG$2:AG$401,$AH301)))</f>
        <v/>
      </c>
      <c r="AH301" s="16">
        <f>IFERROR(MATCH(Settings!$C$26&amp;"|"&amp;ROWS($AH$2:$AH301),'Per Invoice'!$AI$2:$AI$401,0),"")</f>
        <v/>
      </c>
    </row>
    <row r="302">
      <c r="A302">
        <f>IF($AH302="","",IF(INDEX('Per Invoice'!A$2:A$401,$AH302)="","",INDEX('Per Invoice'!A$2:A$401,$AH302)))</f>
        <v/>
      </c>
      <c r="B302">
        <f>IF($AH302="","",IF(INDEX('Per Invoice'!B$2:B$401,$AH302)="","",INDEX('Per Invoice'!B$2:B$401,$AH302)))</f>
        <v/>
      </c>
      <c r="C302">
        <f>IF($AH302="","",IF(INDEX('Per Invoice'!C$2:C$401,$AH302)="","",INDEX('Per Invoice'!C$2:C$401,$AH302)))</f>
        <v/>
      </c>
      <c r="D302">
        <f>IF($AH302="","",IF(INDEX('Per Invoice'!D$2:D$401,$AH302)="","",INDEX('Per Invoice'!D$2:D$401,$AH302)))</f>
        <v/>
      </c>
      <c r="E302">
        <f>IF($AH302="","",IF(INDEX('Per Invoice'!E$2:E$401,$AH302)="","",INDEX('Per Invoice'!E$2:E$401,$AH302)))</f>
        <v/>
      </c>
      <c r="F302">
        <f>IF($AH302="","",IF(INDEX('Per Invoice'!F$2:F$401,$AH302)="","",INDEX('Per Invoice'!F$2:F$401,$AH302)))</f>
        <v/>
      </c>
      <c r="G302">
        <f>IF($AH302="","",IF(INDEX('Per Invoice'!G$2:G$401,$AH302)="","",INDEX('Per Invoice'!G$2:G$401,$AH302)))</f>
        <v/>
      </c>
      <c r="H302">
        <f>IF($AH302="","",IF(INDEX('Per Invoice'!H$2:H$401,$AH302)="","",INDEX('Per Invoice'!H$2:H$401,$AH302)))</f>
        <v/>
      </c>
      <c r="I302" s="14">
        <f>IF($AH302="","",IF(INDEX('Per Invoice'!I$2:I$401,$AH302)="","",INDEX('Per Invoice'!I$2:I$401,$AH302)))</f>
        <v/>
      </c>
      <c r="J302">
        <f>IF($AH302="","",IF(INDEX('Per Invoice'!J$2:J$401,$AH302)="","",INDEX('Per Invoice'!J$2:J$401,$AH302)))</f>
        <v/>
      </c>
      <c r="K302">
        <f>IF($AH302="","",IF(INDEX('Per Invoice'!K$2:K$401,$AH302)="","",INDEX('Per Invoice'!K$2:K$401,$AH302)))</f>
        <v/>
      </c>
      <c r="L302">
        <f>IF($AH302="","",IF(INDEX('Per Invoice'!L$2:L$401,$AH302)="","",INDEX('Per Invoice'!L$2:L$401,$AH302)))</f>
        <v/>
      </c>
      <c r="M302">
        <f>IF($AH302="","",IF(INDEX('Per Invoice'!M$2:M$401,$AH302)="","",INDEX('Per Invoice'!M$2:M$401,$AH302)))</f>
        <v/>
      </c>
      <c r="N302">
        <f>IF($AH302="","",IF(INDEX('Per Invoice'!N$2:N$401,$AH302)="","",INDEX('Per Invoice'!N$2:N$401,$AH302)))</f>
        <v/>
      </c>
      <c r="O302">
        <f>IF($AH302="","",IF(INDEX('Per Invoice'!O$2:O$401,$AH302)="","",INDEX('Per Invoice'!O$2:O$401,$AH302)))</f>
        <v/>
      </c>
      <c r="P302" s="7">
        <f>IF($AH302="","",IF(INDEX('Per Invoice'!P$2:P$401,$AH302)="","",INDEX('Per Invoice'!P$2:P$401,$AH302)))</f>
        <v/>
      </c>
      <c r="Q302">
        <f>IF($AH302="","",IF(INDEX('Per Invoice'!Q$2:Q$401,$AH302)="","",INDEX('Per Invoice'!Q$2:Q$401,$AH302)))</f>
        <v/>
      </c>
      <c r="R302">
        <f>IF($AH302="","",IF(INDEX('Per Invoice'!R$2:R$401,$AH302)="","",INDEX('Per Invoice'!R$2:R$401,$AH302)))</f>
        <v/>
      </c>
      <c r="S302">
        <f>IF($AH302="","",IF(INDEX('Per Invoice'!S$2:S$401,$AH302)="","",INDEX('Per Invoice'!S$2:S$401,$AH302)))</f>
        <v/>
      </c>
      <c r="T302" s="7">
        <f>IF($AH302="","",IF(INDEX('Per Invoice'!T$2:T$401,$AH302)="","",INDEX('Per Invoice'!T$2:T$401,$AH302)))</f>
        <v/>
      </c>
      <c r="U302" s="7">
        <f>IF($AH302="","",IF(INDEX('Per Invoice'!U$2:U$401,$AH302)="","",INDEX('Per Invoice'!U$2:U$401,$AH302)))</f>
        <v/>
      </c>
      <c r="V302">
        <f>IF($AH302="","",IF(INDEX('Per Invoice'!V$2:V$401,$AH302)="","",INDEX('Per Invoice'!V$2:V$401,$AH302)))</f>
        <v/>
      </c>
      <c r="W302" s="7">
        <f>IF($AH302="","",IF(INDEX('Per Invoice'!W$2:W$401,$AH302)="","",INDEX('Per Invoice'!W$2:W$401,$AH302)))</f>
        <v/>
      </c>
      <c r="X302" s="7">
        <f>IF($AH302="","",IF(INDEX('Per Invoice'!X$2:X$401,$AH302)="","",INDEX('Per Invoice'!X$2:X$401,$AH302)))</f>
        <v/>
      </c>
      <c r="Y302">
        <f>IF($AH302="","",IF(INDEX('Per Invoice'!Y$2:Y$401,$AH302)="","",INDEX('Per Invoice'!Y$2:Y$401,$AH302)))</f>
        <v/>
      </c>
      <c r="Z302" s="7">
        <f>IF($AH302="","",IF(INDEX('Per Invoice'!Z$2:Z$401,$AH302)="","",INDEX('Per Invoice'!Z$2:Z$401,$AH302)))</f>
        <v/>
      </c>
      <c r="AA302" s="7">
        <f>IF($AH302="","",IF(INDEX('Per Invoice'!AA$2:AA$401,$AH302)="","",INDEX('Per Invoice'!AA$2:AA$401,$AH302)))</f>
        <v/>
      </c>
      <c r="AB302" s="7">
        <f>IF($AH302="","",IF(INDEX('Per Invoice'!AB$2:AB$401,$AH302)="","",INDEX('Per Invoice'!AB$2:AB$401,$AH302)))</f>
        <v/>
      </c>
      <c r="AC302" s="7">
        <f>IF($AH302="","",IF(INDEX('Per Invoice'!AC$2:AC$401,$AH302)="","",INDEX('Per Invoice'!AC$2:AC$401,$AH302)))</f>
        <v/>
      </c>
      <c r="AD302" s="7">
        <f>IF($AH302="","",IF(INDEX('Per Invoice'!AD$2:AD$401,$AH302)="","",INDEX('Per Invoice'!AD$2:AD$401,$AH302)))</f>
        <v/>
      </c>
      <c r="AE302" s="7">
        <f>IF($AH302="","",IF(INDEX('Per Invoice'!AE$2:AE$401,$AH302)="","",INDEX('Per Invoice'!AE$2:AE$401,$AH302)))</f>
        <v/>
      </c>
      <c r="AF302">
        <f>IF($AH302="","",IF(INDEX('Per Invoice'!AF$2:AF$401,$AH302)="","",INDEX('Per Invoice'!AF$2:AF$401,$AH302)))</f>
        <v/>
      </c>
      <c r="AG302" s="7">
        <f>IF($AH302="","",IF(INDEX('Per Invoice'!AG$2:AG$401,$AH302)="","",INDEX('Per Invoice'!AG$2:AG$401,$AH302)))</f>
        <v/>
      </c>
      <c r="AH302" s="16">
        <f>IFERROR(MATCH(Settings!$C$26&amp;"|"&amp;ROWS($AH$2:$AH302),'Per Invoice'!$AI$2:$AI$401,0),"")</f>
        <v/>
      </c>
    </row>
    <row r="303">
      <c r="A303">
        <f>IF($AH303="","",IF(INDEX('Per Invoice'!A$2:A$401,$AH303)="","",INDEX('Per Invoice'!A$2:A$401,$AH303)))</f>
        <v/>
      </c>
      <c r="B303">
        <f>IF($AH303="","",IF(INDEX('Per Invoice'!B$2:B$401,$AH303)="","",INDEX('Per Invoice'!B$2:B$401,$AH303)))</f>
        <v/>
      </c>
      <c r="C303">
        <f>IF($AH303="","",IF(INDEX('Per Invoice'!C$2:C$401,$AH303)="","",INDEX('Per Invoice'!C$2:C$401,$AH303)))</f>
        <v/>
      </c>
      <c r="D303">
        <f>IF($AH303="","",IF(INDEX('Per Invoice'!D$2:D$401,$AH303)="","",INDEX('Per Invoice'!D$2:D$401,$AH303)))</f>
        <v/>
      </c>
      <c r="E303">
        <f>IF($AH303="","",IF(INDEX('Per Invoice'!E$2:E$401,$AH303)="","",INDEX('Per Invoice'!E$2:E$401,$AH303)))</f>
        <v/>
      </c>
      <c r="F303">
        <f>IF($AH303="","",IF(INDEX('Per Invoice'!F$2:F$401,$AH303)="","",INDEX('Per Invoice'!F$2:F$401,$AH303)))</f>
        <v/>
      </c>
      <c r="G303">
        <f>IF($AH303="","",IF(INDEX('Per Invoice'!G$2:G$401,$AH303)="","",INDEX('Per Invoice'!G$2:G$401,$AH303)))</f>
        <v/>
      </c>
      <c r="H303">
        <f>IF($AH303="","",IF(INDEX('Per Invoice'!H$2:H$401,$AH303)="","",INDEX('Per Invoice'!H$2:H$401,$AH303)))</f>
        <v/>
      </c>
      <c r="I303" s="14">
        <f>IF($AH303="","",IF(INDEX('Per Invoice'!I$2:I$401,$AH303)="","",INDEX('Per Invoice'!I$2:I$401,$AH303)))</f>
        <v/>
      </c>
      <c r="J303">
        <f>IF($AH303="","",IF(INDEX('Per Invoice'!J$2:J$401,$AH303)="","",INDEX('Per Invoice'!J$2:J$401,$AH303)))</f>
        <v/>
      </c>
      <c r="K303">
        <f>IF($AH303="","",IF(INDEX('Per Invoice'!K$2:K$401,$AH303)="","",INDEX('Per Invoice'!K$2:K$401,$AH303)))</f>
        <v/>
      </c>
      <c r="L303">
        <f>IF($AH303="","",IF(INDEX('Per Invoice'!L$2:L$401,$AH303)="","",INDEX('Per Invoice'!L$2:L$401,$AH303)))</f>
        <v/>
      </c>
      <c r="M303">
        <f>IF($AH303="","",IF(INDEX('Per Invoice'!M$2:M$401,$AH303)="","",INDEX('Per Invoice'!M$2:M$401,$AH303)))</f>
        <v/>
      </c>
      <c r="N303">
        <f>IF($AH303="","",IF(INDEX('Per Invoice'!N$2:N$401,$AH303)="","",INDEX('Per Invoice'!N$2:N$401,$AH303)))</f>
        <v/>
      </c>
      <c r="O303">
        <f>IF($AH303="","",IF(INDEX('Per Invoice'!O$2:O$401,$AH303)="","",INDEX('Per Invoice'!O$2:O$401,$AH303)))</f>
        <v/>
      </c>
      <c r="P303" s="7">
        <f>IF($AH303="","",IF(INDEX('Per Invoice'!P$2:P$401,$AH303)="","",INDEX('Per Invoice'!P$2:P$401,$AH303)))</f>
        <v/>
      </c>
      <c r="Q303">
        <f>IF($AH303="","",IF(INDEX('Per Invoice'!Q$2:Q$401,$AH303)="","",INDEX('Per Invoice'!Q$2:Q$401,$AH303)))</f>
        <v/>
      </c>
      <c r="R303">
        <f>IF($AH303="","",IF(INDEX('Per Invoice'!R$2:R$401,$AH303)="","",INDEX('Per Invoice'!R$2:R$401,$AH303)))</f>
        <v/>
      </c>
      <c r="S303">
        <f>IF($AH303="","",IF(INDEX('Per Invoice'!S$2:S$401,$AH303)="","",INDEX('Per Invoice'!S$2:S$401,$AH303)))</f>
        <v/>
      </c>
      <c r="T303" s="7">
        <f>IF($AH303="","",IF(INDEX('Per Invoice'!T$2:T$401,$AH303)="","",INDEX('Per Invoice'!T$2:T$401,$AH303)))</f>
        <v/>
      </c>
      <c r="U303" s="7">
        <f>IF($AH303="","",IF(INDEX('Per Invoice'!U$2:U$401,$AH303)="","",INDEX('Per Invoice'!U$2:U$401,$AH303)))</f>
        <v/>
      </c>
      <c r="V303">
        <f>IF($AH303="","",IF(INDEX('Per Invoice'!V$2:V$401,$AH303)="","",INDEX('Per Invoice'!V$2:V$401,$AH303)))</f>
        <v/>
      </c>
      <c r="W303" s="7">
        <f>IF($AH303="","",IF(INDEX('Per Invoice'!W$2:W$401,$AH303)="","",INDEX('Per Invoice'!W$2:W$401,$AH303)))</f>
        <v/>
      </c>
      <c r="X303" s="7">
        <f>IF($AH303="","",IF(INDEX('Per Invoice'!X$2:X$401,$AH303)="","",INDEX('Per Invoice'!X$2:X$401,$AH303)))</f>
        <v/>
      </c>
      <c r="Y303">
        <f>IF($AH303="","",IF(INDEX('Per Invoice'!Y$2:Y$401,$AH303)="","",INDEX('Per Invoice'!Y$2:Y$401,$AH303)))</f>
        <v/>
      </c>
      <c r="Z303" s="7">
        <f>IF($AH303="","",IF(INDEX('Per Invoice'!Z$2:Z$401,$AH303)="","",INDEX('Per Invoice'!Z$2:Z$401,$AH303)))</f>
        <v/>
      </c>
      <c r="AA303" s="7">
        <f>IF($AH303="","",IF(INDEX('Per Invoice'!AA$2:AA$401,$AH303)="","",INDEX('Per Invoice'!AA$2:AA$401,$AH303)))</f>
        <v/>
      </c>
      <c r="AB303" s="7">
        <f>IF($AH303="","",IF(INDEX('Per Invoice'!AB$2:AB$401,$AH303)="","",INDEX('Per Invoice'!AB$2:AB$401,$AH303)))</f>
        <v/>
      </c>
      <c r="AC303" s="7">
        <f>IF($AH303="","",IF(INDEX('Per Invoice'!AC$2:AC$401,$AH303)="","",INDEX('Per Invoice'!AC$2:AC$401,$AH303)))</f>
        <v/>
      </c>
      <c r="AD303" s="7">
        <f>IF($AH303="","",IF(INDEX('Per Invoice'!AD$2:AD$401,$AH303)="","",INDEX('Per Invoice'!AD$2:AD$401,$AH303)))</f>
        <v/>
      </c>
      <c r="AE303" s="7">
        <f>IF($AH303="","",IF(INDEX('Per Invoice'!AE$2:AE$401,$AH303)="","",INDEX('Per Invoice'!AE$2:AE$401,$AH303)))</f>
        <v/>
      </c>
      <c r="AF303">
        <f>IF($AH303="","",IF(INDEX('Per Invoice'!AF$2:AF$401,$AH303)="","",INDEX('Per Invoice'!AF$2:AF$401,$AH303)))</f>
        <v/>
      </c>
      <c r="AG303" s="7">
        <f>IF($AH303="","",IF(INDEX('Per Invoice'!AG$2:AG$401,$AH303)="","",INDEX('Per Invoice'!AG$2:AG$401,$AH303)))</f>
        <v/>
      </c>
      <c r="AH303" s="16">
        <f>IFERROR(MATCH(Settings!$C$26&amp;"|"&amp;ROWS($AH$2:$AH303),'Per Invoice'!$AI$2:$AI$401,0),"")</f>
        <v/>
      </c>
    </row>
    <row r="304">
      <c r="A304">
        <f>IF($AH304="","",IF(INDEX('Per Invoice'!A$2:A$401,$AH304)="","",INDEX('Per Invoice'!A$2:A$401,$AH304)))</f>
        <v/>
      </c>
      <c r="B304">
        <f>IF($AH304="","",IF(INDEX('Per Invoice'!B$2:B$401,$AH304)="","",INDEX('Per Invoice'!B$2:B$401,$AH304)))</f>
        <v/>
      </c>
      <c r="C304">
        <f>IF($AH304="","",IF(INDEX('Per Invoice'!C$2:C$401,$AH304)="","",INDEX('Per Invoice'!C$2:C$401,$AH304)))</f>
        <v/>
      </c>
      <c r="D304">
        <f>IF($AH304="","",IF(INDEX('Per Invoice'!D$2:D$401,$AH304)="","",INDEX('Per Invoice'!D$2:D$401,$AH304)))</f>
        <v/>
      </c>
      <c r="E304">
        <f>IF($AH304="","",IF(INDEX('Per Invoice'!E$2:E$401,$AH304)="","",INDEX('Per Invoice'!E$2:E$401,$AH304)))</f>
        <v/>
      </c>
      <c r="F304">
        <f>IF($AH304="","",IF(INDEX('Per Invoice'!F$2:F$401,$AH304)="","",INDEX('Per Invoice'!F$2:F$401,$AH304)))</f>
        <v/>
      </c>
      <c r="G304">
        <f>IF($AH304="","",IF(INDEX('Per Invoice'!G$2:G$401,$AH304)="","",INDEX('Per Invoice'!G$2:G$401,$AH304)))</f>
        <v/>
      </c>
      <c r="H304">
        <f>IF($AH304="","",IF(INDEX('Per Invoice'!H$2:H$401,$AH304)="","",INDEX('Per Invoice'!H$2:H$401,$AH304)))</f>
        <v/>
      </c>
      <c r="I304" s="14">
        <f>IF($AH304="","",IF(INDEX('Per Invoice'!I$2:I$401,$AH304)="","",INDEX('Per Invoice'!I$2:I$401,$AH304)))</f>
        <v/>
      </c>
      <c r="J304">
        <f>IF($AH304="","",IF(INDEX('Per Invoice'!J$2:J$401,$AH304)="","",INDEX('Per Invoice'!J$2:J$401,$AH304)))</f>
        <v/>
      </c>
      <c r="K304">
        <f>IF($AH304="","",IF(INDEX('Per Invoice'!K$2:K$401,$AH304)="","",INDEX('Per Invoice'!K$2:K$401,$AH304)))</f>
        <v/>
      </c>
      <c r="L304">
        <f>IF($AH304="","",IF(INDEX('Per Invoice'!L$2:L$401,$AH304)="","",INDEX('Per Invoice'!L$2:L$401,$AH304)))</f>
        <v/>
      </c>
      <c r="M304">
        <f>IF($AH304="","",IF(INDEX('Per Invoice'!M$2:M$401,$AH304)="","",INDEX('Per Invoice'!M$2:M$401,$AH304)))</f>
        <v/>
      </c>
      <c r="N304">
        <f>IF($AH304="","",IF(INDEX('Per Invoice'!N$2:N$401,$AH304)="","",INDEX('Per Invoice'!N$2:N$401,$AH304)))</f>
        <v/>
      </c>
      <c r="O304">
        <f>IF($AH304="","",IF(INDEX('Per Invoice'!O$2:O$401,$AH304)="","",INDEX('Per Invoice'!O$2:O$401,$AH304)))</f>
        <v/>
      </c>
      <c r="P304" s="7">
        <f>IF($AH304="","",IF(INDEX('Per Invoice'!P$2:P$401,$AH304)="","",INDEX('Per Invoice'!P$2:P$401,$AH304)))</f>
        <v/>
      </c>
      <c r="Q304">
        <f>IF($AH304="","",IF(INDEX('Per Invoice'!Q$2:Q$401,$AH304)="","",INDEX('Per Invoice'!Q$2:Q$401,$AH304)))</f>
        <v/>
      </c>
      <c r="R304">
        <f>IF($AH304="","",IF(INDEX('Per Invoice'!R$2:R$401,$AH304)="","",INDEX('Per Invoice'!R$2:R$401,$AH304)))</f>
        <v/>
      </c>
      <c r="S304">
        <f>IF($AH304="","",IF(INDEX('Per Invoice'!S$2:S$401,$AH304)="","",INDEX('Per Invoice'!S$2:S$401,$AH304)))</f>
        <v/>
      </c>
      <c r="T304" s="7">
        <f>IF($AH304="","",IF(INDEX('Per Invoice'!T$2:T$401,$AH304)="","",INDEX('Per Invoice'!T$2:T$401,$AH304)))</f>
        <v/>
      </c>
      <c r="U304" s="7">
        <f>IF($AH304="","",IF(INDEX('Per Invoice'!U$2:U$401,$AH304)="","",INDEX('Per Invoice'!U$2:U$401,$AH304)))</f>
        <v/>
      </c>
      <c r="V304">
        <f>IF($AH304="","",IF(INDEX('Per Invoice'!V$2:V$401,$AH304)="","",INDEX('Per Invoice'!V$2:V$401,$AH304)))</f>
        <v/>
      </c>
      <c r="W304" s="7">
        <f>IF($AH304="","",IF(INDEX('Per Invoice'!W$2:W$401,$AH304)="","",INDEX('Per Invoice'!W$2:W$401,$AH304)))</f>
        <v/>
      </c>
      <c r="X304" s="7">
        <f>IF($AH304="","",IF(INDEX('Per Invoice'!X$2:X$401,$AH304)="","",INDEX('Per Invoice'!X$2:X$401,$AH304)))</f>
        <v/>
      </c>
      <c r="Y304">
        <f>IF($AH304="","",IF(INDEX('Per Invoice'!Y$2:Y$401,$AH304)="","",INDEX('Per Invoice'!Y$2:Y$401,$AH304)))</f>
        <v/>
      </c>
      <c r="Z304" s="7">
        <f>IF($AH304="","",IF(INDEX('Per Invoice'!Z$2:Z$401,$AH304)="","",INDEX('Per Invoice'!Z$2:Z$401,$AH304)))</f>
        <v/>
      </c>
      <c r="AA304" s="7">
        <f>IF($AH304="","",IF(INDEX('Per Invoice'!AA$2:AA$401,$AH304)="","",INDEX('Per Invoice'!AA$2:AA$401,$AH304)))</f>
        <v/>
      </c>
      <c r="AB304" s="7">
        <f>IF($AH304="","",IF(INDEX('Per Invoice'!AB$2:AB$401,$AH304)="","",INDEX('Per Invoice'!AB$2:AB$401,$AH304)))</f>
        <v/>
      </c>
      <c r="AC304" s="7">
        <f>IF($AH304="","",IF(INDEX('Per Invoice'!AC$2:AC$401,$AH304)="","",INDEX('Per Invoice'!AC$2:AC$401,$AH304)))</f>
        <v/>
      </c>
      <c r="AD304" s="7">
        <f>IF($AH304="","",IF(INDEX('Per Invoice'!AD$2:AD$401,$AH304)="","",INDEX('Per Invoice'!AD$2:AD$401,$AH304)))</f>
        <v/>
      </c>
      <c r="AE304" s="7">
        <f>IF($AH304="","",IF(INDEX('Per Invoice'!AE$2:AE$401,$AH304)="","",INDEX('Per Invoice'!AE$2:AE$401,$AH304)))</f>
        <v/>
      </c>
      <c r="AF304">
        <f>IF($AH304="","",IF(INDEX('Per Invoice'!AF$2:AF$401,$AH304)="","",INDEX('Per Invoice'!AF$2:AF$401,$AH304)))</f>
        <v/>
      </c>
      <c r="AG304" s="7">
        <f>IF($AH304="","",IF(INDEX('Per Invoice'!AG$2:AG$401,$AH304)="","",INDEX('Per Invoice'!AG$2:AG$401,$AH304)))</f>
        <v/>
      </c>
      <c r="AH304" s="16">
        <f>IFERROR(MATCH(Settings!$C$26&amp;"|"&amp;ROWS($AH$2:$AH304),'Per Invoice'!$AI$2:$AI$401,0),"")</f>
        <v/>
      </c>
    </row>
    <row r="305">
      <c r="A305">
        <f>IF($AH305="","",IF(INDEX('Per Invoice'!A$2:A$401,$AH305)="","",INDEX('Per Invoice'!A$2:A$401,$AH305)))</f>
        <v/>
      </c>
      <c r="B305">
        <f>IF($AH305="","",IF(INDEX('Per Invoice'!B$2:B$401,$AH305)="","",INDEX('Per Invoice'!B$2:B$401,$AH305)))</f>
        <v/>
      </c>
      <c r="C305">
        <f>IF($AH305="","",IF(INDEX('Per Invoice'!C$2:C$401,$AH305)="","",INDEX('Per Invoice'!C$2:C$401,$AH305)))</f>
        <v/>
      </c>
      <c r="D305">
        <f>IF($AH305="","",IF(INDEX('Per Invoice'!D$2:D$401,$AH305)="","",INDEX('Per Invoice'!D$2:D$401,$AH305)))</f>
        <v/>
      </c>
      <c r="E305">
        <f>IF($AH305="","",IF(INDEX('Per Invoice'!E$2:E$401,$AH305)="","",INDEX('Per Invoice'!E$2:E$401,$AH305)))</f>
        <v/>
      </c>
      <c r="F305">
        <f>IF($AH305="","",IF(INDEX('Per Invoice'!F$2:F$401,$AH305)="","",INDEX('Per Invoice'!F$2:F$401,$AH305)))</f>
        <v/>
      </c>
      <c r="G305">
        <f>IF($AH305="","",IF(INDEX('Per Invoice'!G$2:G$401,$AH305)="","",INDEX('Per Invoice'!G$2:G$401,$AH305)))</f>
        <v/>
      </c>
      <c r="H305">
        <f>IF($AH305="","",IF(INDEX('Per Invoice'!H$2:H$401,$AH305)="","",INDEX('Per Invoice'!H$2:H$401,$AH305)))</f>
        <v/>
      </c>
      <c r="I305" s="14">
        <f>IF($AH305="","",IF(INDEX('Per Invoice'!I$2:I$401,$AH305)="","",INDEX('Per Invoice'!I$2:I$401,$AH305)))</f>
        <v/>
      </c>
      <c r="J305">
        <f>IF($AH305="","",IF(INDEX('Per Invoice'!J$2:J$401,$AH305)="","",INDEX('Per Invoice'!J$2:J$401,$AH305)))</f>
        <v/>
      </c>
      <c r="K305">
        <f>IF($AH305="","",IF(INDEX('Per Invoice'!K$2:K$401,$AH305)="","",INDEX('Per Invoice'!K$2:K$401,$AH305)))</f>
        <v/>
      </c>
      <c r="L305">
        <f>IF($AH305="","",IF(INDEX('Per Invoice'!L$2:L$401,$AH305)="","",INDEX('Per Invoice'!L$2:L$401,$AH305)))</f>
        <v/>
      </c>
      <c r="M305">
        <f>IF($AH305="","",IF(INDEX('Per Invoice'!M$2:M$401,$AH305)="","",INDEX('Per Invoice'!M$2:M$401,$AH305)))</f>
        <v/>
      </c>
      <c r="N305">
        <f>IF($AH305="","",IF(INDEX('Per Invoice'!N$2:N$401,$AH305)="","",INDEX('Per Invoice'!N$2:N$401,$AH305)))</f>
        <v/>
      </c>
      <c r="O305">
        <f>IF($AH305="","",IF(INDEX('Per Invoice'!O$2:O$401,$AH305)="","",INDEX('Per Invoice'!O$2:O$401,$AH305)))</f>
        <v/>
      </c>
      <c r="P305" s="7">
        <f>IF($AH305="","",IF(INDEX('Per Invoice'!P$2:P$401,$AH305)="","",INDEX('Per Invoice'!P$2:P$401,$AH305)))</f>
        <v/>
      </c>
      <c r="Q305">
        <f>IF($AH305="","",IF(INDEX('Per Invoice'!Q$2:Q$401,$AH305)="","",INDEX('Per Invoice'!Q$2:Q$401,$AH305)))</f>
        <v/>
      </c>
      <c r="R305">
        <f>IF($AH305="","",IF(INDEX('Per Invoice'!R$2:R$401,$AH305)="","",INDEX('Per Invoice'!R$2:R$401,$AH305)))</f>
        <v/>
      </c>
      <c r="S305">
        <f>IF($AH305="","",IF(INDEX('Per Invoice'!S$2:S$401,$AH305)="","",INDEX('Per Invoice'!S$2:S$401,$AH305)))</f>
        <v/>
      </c>
      <c r="T305" s="7">
        <f>IF($AH305="","",IF(INDEX('Per Invoice'!T$2:T$401,$AH305)="","",INDEX('Per Invoice'!T$2:T$401,$AH305)))</f>
        <v/>
      </c>
      <c r="U305" s="7">
        <f>IF($AH305="","",IF(INDEX('Per Invoice'!U$2:U$401,$AH305)="","",INDEX('Per Invoice'!U$2:U$401,$AH305)))</f>
        <v/>
      </c>
      <c r="V305">
        <f>IF($AH305="","",IF(INDEX('Per Invoice'!V$2:V$401,$AH305)="","",INDEX('Per Invoice'!V$2:V$401,$AH305)))</f>
        <v/>
      </c>
      <c r="W305" s="7">
        <f>IF($AH305="","",IF(INDEX('Per Invoice'!W$2:W$401,$AH305)="","",INDEX('Per Invoice'!W$2:W$401,$AH305)))</f>
        <v/>
      </c>
      <c r="X305" s="7">
        <f>IF($AH305="","",IF(INDEX('Per Invoice'!X$2:X$401,$AH305)="","",INDEX('Per Invoice'!X$2:X$401,$AH305)))</f>
        <v/>
      </c>
      <c r="Y305">
        <f>IF($AH305="","",IF(INDEX('Per Invoice'!Y$2:Y$401,$AH305)="","",INDEX('Per Invoice'!Y$2:Y$401,$AH305)))</f>
        <v/>
      </c>
      <c r="Z305" s="7">
        <f>IF($AH305="","",IF(INDEX('Per Invoice'!Z$2:Z$401,$AH305)="","",INDEX('Per Invoice'!Z$2:Z$401,$AH305)))</f>
        <v/>
      </c>
      <c r="AA305" s="7">
        <f>IF($AH305="","",IF(INDEX('Per Invoice'!AA$2:AA$401,$AH305)="","",INDEX('Per Invoice'!AA$2:AA$401,$AH305)))</f>
        <v/>
      </c>
      <c r="AB305" s="7">
        <f>IF($AH305="","",IF(INDEX('Per Invoice'!AB$2:AB$401,$AH305)="","",INDEX('Per Invoice'!AB$2:AB$401,$AH305)))</f>
        <v/>
      </c>
      <c r="AC305" s="7">
        <f>IF($AH305="","",IF(INDEX('Per Invoice'!AC$2:AC$401,$AH305)="","",INDEX('Per Invoice'!AC$2:AC$401,$AH305)))</f>
        <v/>
      </c>
      <c r="AD305" s="7">
        <f>IF($AH305="","",IF(INDEX('Per Invoice'!AD$2:AD$401,$AH305)="","",INDEX('Per Invoice'!AD$2:AD$401,$AH305)))</f>
        <v/>
      </c>
      <c r="AE305" s="7">
        <f>IF($AH305="","",IF(INDEX('Per Invoice'!AE$2:AE$401,$AH305)="","",INDEX('Per Invoice'!AE$2:AE$401,$AH305)))</f>
        <v/>
      </c>
      <c r="AF305">
        <f>IF($AH305="","",IF(INDEX('Per Invoice'!AF$2:AF$401,$AH305)="","",INDEX('Per Invoice'!AF$2:AF$401,$AH305)))</f>
        <v/>
      </c>
      <c r="AG305" s="7">
        <f>IF($AH305="","",IF(INDEX('Per Invoice'!AG$2:AG$401,$AH305)="","",INDEX('Per Invoice'!AG$2:AG$401,$AH305)))</f>
        <v/>
      </c>
      <c r="AH305" s="16">
        <f>IFERROR(MATCH(Settings!$C$26&amp;"|"&amp;ROWS($AH$2:$AH305),'Per Invoice'!$AI$2:$AI$401,0),"")</f>
        <v/>
      </c>
    </row>
    <row r="306">
      <c r="A306">
        <f>IF($AH306="","",IF(INDEX('Per Invoice'!A$2:A$401,$AH306)="","",INDEX('Per Invoice'!A$2:A$401,$AH306)))</f>
        <v/>
      </c>
      <c r="B306">
        <f>IF($AH306="","",IF(INDEX('Per Invoice'!B$2:B$401,$AH306)="","",INDEX('Per Invoice'!B$2:B$401,$AH306)))</f>
        <v/>
      </c>
      <c r="C306">
        <f>IF($AH306="","",IF(INDEX('Per Invoice'!C$2:C$401,$AH306)="","",INDEX('Per Invoice'!C$2:C$401,$AH306)))</f>
        <v/>
      </c>
      <c r="D306">
        <f>IF($AH306="","",IF(INDEX('Per Invoice'!D$2:D$401,$AH306)="","",INDEX('Per Invoice'!D$2:D$401,$AH306)))</f>
        <v/>
      </c>
      <c r="E306">
        <f>IF($AH306="","",IF(INDEX('Per Invoice'!E$2:E$401,$AH306)="","",INDEX('Per Invoice'!E$2:E$401,$AH306)))</f>
        <v/>
      </c>
      <c r="F306">
        <f>IF($AH306="","",IF(INDEX('Per Invoice'!F$2:F$401,$AH306)="","",INDEX('Per Invoice'!F$2:F$401,$AH306)))</f>
        <v/>
      </c>
      <c r="G306">
        <f>IF($AH306="","",IF(INDEX('Per Invoice'!G$2:G$401,$AH306)="","",INDEX('Per Invoice'!G$2:G$401,$AH306)))</f>
        <v/>
      </c>
      <c r="H306">
        <f>IF($AH306="","",IF(INDEX('Per Invoice'!H$2:H$401,$AH306)="","",INDEX('Per Invoice'!H$2:H$401,$AH306)))</f>
        <v/>
      </c>
      <c r="I306" s="14">
        <f>IF($AH306="","",IF(INDEX('Per Invoice'!I$2:I$401,$AH306)="","",INDEX('Per Invoice'!I$2:I$401,$AH306)))</f>
        <v/>
      </c>
      <c r="J306">
        <f>IF($AH306="","",IF(INDEX('Per Invoice'!J$2:J$401,$AH306)="","",INDEX('Per Invoice'!J$2:J$401,$AH306)))</f>
        <v/>
      </c>
      <c r="K306">
        <f>IF($AH306="","",IF(INDEX('Per Invoice'!K$2:K$401,$AH306)="","",INDEX('Per Invoice'!K$2:K$401,$AH306)))</f>
        <v/>
      </c>
      <c r="L306">
        <f>IF($AH306="","",IF(INDEX('Per Invoice'!L$2:L$401,$AH306)="","",INDEX('Per Invoice'!L$2:L$401,$AH306)))</f>
        <v/>
      </c>
      <c r="M306">
        <f>IF($AH306="","",IF(INDEX('Per Invoice'!M$2:M$401,$AH306)="","",INDEX('Per Invoice'!M$2:M$401,$AH306)))</f>
        <v/>
      </c>
      <c r="N306">
        <f>IF($AH306="","",IF(INDEX('Per Invoice'!N$2:N$401,$AH306)="","",INDEX('Per Invoice'!N$2:N$401,$AH306)))</f>
        <v/>
      </c>
      <c r="O306">
        <f>IF($AH306="","",IF(INDEX('Per Invoice'!O$2:O$401,$AH306)="","",INDEX('Per Invoice'!O$2:O$401,$AH306)))</f>
        <v/>
      </c>
      <c r="P306" s="7">
        <f>IF($AH306="","",IF(INDEX('Per Invoice'!P$2:P$401,$AH306)="","",INDEX('Per Invoice'!P$2:P$401,$AH306)))</f>
        <v/>
      </c>
      <c r="Q306">
        <f>IF($AH306="","",IF(INDEX('Per Invoice'!Q$2:Q$401,$AH306)="","",INDEX('Per Invoice'!Q$2:Q$401,$AH306)))</f>
        <v/>
      </c>
      <c r="R306">
        <f>IF($AH306="","",IF(INDEX('Per Invoice'!R$2:R$401,$AH306)="","",INDEX('Per Invoice'!R$2:R$401,$AH306)))</f>
        <v/>
      </c>
      <c r="S306">
        <f>IF($AH306="","",IF(INDEX('Per Invoice'!S$2:S$401,$AH306)="","",INDEX('Per Invoice'!S$2:S$401,$AH306)))</f>
        <v/>
      </c>
      <c r="T306" s="7">
        <f>IF($AH306="","",IF(INDEX('Per Invoice'!T$2:T$401,$AH306)="","",INDEX('Per Invoice'!T$2:T$401,$AH306)))</f>
        <v/>
      </c>
      <c r="U306" s="7">
        <f>IF($AH306="","",IF(INDEX('Per Invoice'!U$2:U$401,$AH306)="","",INDEX('Per Invoice'!U$2:U$401,$AH306)))</f>
        <v/>
      </c>
      <c r="V306">
        <f>IF($AH306="","",IF(INDEX('Per Invoice'!V$2:V$401,$AH306)="","",INDEX('Per Invoice'!V$2:V$401,$AH306)))</f>
        <v/>
      </c>
      <c r="W306" s="7">
        <f>IF($AH306="","",IF(INDEX('Per Invoice'!W$2:W$401,$AH306)="","",INDEX('Per Invoice'!W$2:W$401,$AH306)))</f>
        <v/>
      </c>
      <c r="X306" s="7">
        <f>IF($AH306="","",IF(INDEX('Per Invoice'!X$2:X$401,$AH306)="","",INDEX('Per Invoice'!X$2:X$401,$AH306)))</f>
        <v/>
      </c>
      <c r="Y306">
        <f>IF($AH306="","",IF(INDEX('Per Invoice'!Y$2:Y$401,$AH306)="","",INDEX('Per Invoice'!Y$2:Y$401,$AH306)))</f>
        <v/>
      </c>
      <c r="Z306" s="7">
        <f>IF($AH306="","",IF(INDEX('Per Invoice'!Z$2:Z$401,$AH306)="","",INDEX('Per Invoice'!Z$2:Z$401,$AH306)))</f>
        <v/>
      </c>
      <c r="AA306" s="7">
        <f>IF($AH306="","",IF(INDEX('Per Invoice'!AA$2:AA$401,$AH306)="","",INDEX('Per Invoice'!AA$2:AA$401,$AH306)))</f>
        <v/>
      </c>
      <c r="AB306" s="7">
        <f>IF($AH306="","",IF(INDEX('Per Invoice'!AB$2:AB$401,$AH306)="","",INDEX('Per Invoice'!AB$2:AB$401,$AH306)))</f>
        <v/>
      </c>
      <c r="AC306" s="7">
        <f>IF($AH306="","",IF(INDEX('Per Invoice'!AC$2:AC$401,$AH306)="","",INDEX('Per Invoice'!AC$2:AC$401,$AH306)))</f>
        <v/>
      </c>
      <c r="AD306" s="7">
        <f>IF($AH306="","",IF(INDEX('Per Invoice'!AD$2:AD$401,$AH306)="","",INDEX('Per Invoice'!AD$2:AD$401,$AH306)))</f>
        <v/>
      </c>
      <c r="AE306" s="7">
        <f>IF($AH306="","",IF(INDEX('Per Invoice'!AE$2:AE$401,$AH306)="","",INDEX('Per Invoice'!AE$2:AE$401,$AH306)))</f>
        <v/>
      </c>
      <c r="AF306">
        <f>IF($AH306="","",IF(INDEX('Per Invoice'!AF$2:AF$401,$AH306)="","",INDEX('Per Invoice'!AF$2:AF$401,$AH306)))</f>
        <v/>
      </c>
      <c r="AG306" s="7">
        <f>IF($AH306="","",IF(INDEX('Per Invoice'!AG$2:AG$401,$AH306)="","",INDEX('Per Invoice'!AG$2:AG$401,$AH306)))</f>
        <v/>
      </c>
      <c r="AH306" s="16">
        <f>IFERROR(MATCH(Settings!$C$26&amp;"|"&amp;ROWS($AH$2:$AH306),'Per Invoice'!$AI$2:$AI$401,0),"")</f>
        <v/>
      </c>
    </row>
    <row r="307">
      <c r="A307">
        <f>IF($AH307="","",IF(INDEX('Per Invoice'!A$2:A$401,$AH307)="","",INDEX('Per Invoice'!A$2:A$401,$AH307)))</f>
        <v/>
      </c>
      <c r="B307">
        <f>IF($AH307="","",IF(INDEX('Per Invoice'!B$2:B$401,$AH307)="","",INDEX('Per Invoice'!B$2:B$401,$AH307)))</f>
        <v/>
      </c>
      <c r="C307">
        <f>IF($AH307="","",IF(INDEX('Per Invoice'!C$2:C$401,$AH307)="","",INDEX('Per Invoice'!C$2:C$401,$AH307)))</f>
        <v/>
      </c>
      <c r="D307">
        <f>IF($AH307="","",IF(INDEX('Per Invoice'!D$2:D$401,$AH307)="","",INDEX('Per Invoice'!D$2:D$401,$AH307)))</f>
        <v/>
      </c>
      <c r="E307">
        <f>IF($AH307="","",IF(INDEX('Per Invoice'!E$2:E$401,$AH307)="","",INDEX('Per Invoice'!E$2:E$401,$AH307)))</f>
        <v/>
      </c>
      <c r="F307">
        <f>IF($AH307="","",IF(INDEX('Per Invoice'!F$2:F$401,$AH307)="","",INDEX('Per Invoice'!F$2:F$401,$AH307)))</f>
        <v/>
      </c>
      <c r="G307">
        <f>IF($AH307="","",IF(INDEX('Per Invoice'!G$2:G$401,$AH307)="","",INDEX('Per Invoice'!G$2:G$401,$AH307)))</f>
        <v/>
      </c>
      <c r="H307">
        <f>IF($AH307="","",IF(INDEX('Per Invoice'!H$2:H$401,$AH307)="","",INDEX('Per Invoice'!H$2:H$401,$AH307)))</f>
        <v/>
      </c>
      <c r="I307" s="14">
        <f>IF($AH307="","",IF(INDEX('Per Invoice'!I$2:I$401,$AH307)="","",INDEX('Per Invoice'!I$2:I$401,$AH307)))</f>
        <v/>
      </c>
      <c r="J307">
        <f>IF($AH307="","",IF(INDEX('Per Invoice'!J$2:J$401,$AH307)="","",INDEX('Per Invoice'!J$2:J$401,$AH307)))</f>
        <v/>
      </c>
      <c r="K307">
        <f>IF($AH307="","",IF(INDEX('Per Invoice'!K$2:K$401,$AH307)="","",INDEX('Per Invoice'!K$2:K$401,$AH307)))</f>
        <v/>
      </c>
      <c r="L307">
        <f>IF($AH307="","",IF(INDEX('Per Invoice'!L$2:L$401,$AH307)="","",INDEX('Per Invoice'!L$2:L$401,$AH307)))</f>
        <v/>
      </c>
      <c r="M307">
        <f>IF($AH307="","",IF(INDEX('Per Invoice'!M$2:M$401,$AH307)="","",INDEX('Per Invoice'!M$2:M$401,$AH307)))</f>
        <v/>
      </c>
      <c r="N307">
        <f>IF($AH307="","",IF(INDEX('Per Invoice'!N$2:N$401,$AH307)="","",INDEX('Per Invoice'!N$2:N$401,$AH307)))</f>
        <v/>
      </c>
      <c r="O307">
        <f>IF($AH307="","",IF(INDEX('Per Invoice'!O$2:O$401,$AH307)="","",INDEX('Per Invoice'!O$2:O$401,$AH307)))</f>
        <v/>
      </c>
      <c r="P307" s="7">
        <f>IF($AH307="","",IF(INDEX('Per Invoice'!P$2:P$401,$AH307)="","",INDEX('Per Invoice'!P$2:P$401,$AH307)))</f>
        <v/>
      </c>
      <c r="Q307">
        <f>IF($AH307="","",IF(INDEX('Per Invoice'!Q$2:Q$401,$AH307)="","",INDEX('Per Invoice'!Q$2:Q$401,$AH307)))</f>
        <v/>
      </c>
      <c r="R307">
        <f>IF($AH307="","",IF(INDEX('Per Invoice'!R$2:R$401,$AH307)="","",INDEX('Per Invoice'!R$2:R$401,$AH307)))</f>
        <v/>
      </c>
      <c r="S307">
        <f>IF($AH307="","",IF(INDEX('Per Invoice'!S$2:S$401,$AH307)="","",INDEX('Per Invoice'!S$2:S$401,$AH307)))</f>
        <v/>
      </c>
      <c r="T307" s="7">
        <f>IF($AH307="","",IF(INDEX('Per Invoice'!T$2:T$401,$AH307)="","",INDEX('Per Invoice'!T$2:T$401,$AH307)))</f>
        <v/>
      </c>
      <c r="U307" s="7">
        <f>IF($AH307="","",IF(INDEX('Per Invoice'!U$2:U$401,$AH307)="","",INDEX('Per Invoice'!U$2:U$401,$AH307)))</f>
        <v/>
      </c>
      <c r="V307">
        <f>IF($AH307="","",IF(INDEX('Per Invoice'!V$2:V$401,$AH307)="","",INDEX('Per Invoice'!V$2:V$401,$AH307)))</f>
        <v/>
      </c>
      <c r="W307" s="7">
        <f>IF($AH307="","",IF(INDEX('Per Invoice'!W$2:W$401,$AH307)="","",INDEX('Per Invoice'!W$2:W$401,$AH307)))</f>
        <v/>
      </c>
      <c r="X307" s="7">
        <f>IF($AH307="","",IF(INDEX('Per Invoice'!X$2:X$401,$AH307)="","",INDEX('Per Invoice'!X$2:X$401,$AH307)))</f>
        <v/>
      </c>
      <c r="Y307">
        <f>IF($AH307="","",IF(INDEX('Per Invoice'!Y$2:Y$401,$AH307)="","",INDEX('Per Invoice'!Y$2:Y$401,$AH307)))</f>
        <v/>
      </c>
      <c r="Z307" s="7">
        <f>IF($AH307="","",IF(INDEX('Per Invoice'!Z$2:Z$401,$AH307)="","",INDEX('Per Invoice'!Z$2:Z$401,$AH307)))</f>
        <v/>
      </c>
      <c r="AA307" s="7">
        <f>IF($AH307="","",IF(INDEX('Per Invoice'!AA$2:AA$401,$AH307)="","",INDEX('Per Invoice'!AA$2:AA$401,$AH307)))</f>
        <v/>
      </c>
      <c r="AB307" s="7">
        <f>IF($AH307="","",IF(INDEX('Per Invoice'!AB$2:AB$401,$AH307)="","",INDEX('Per Invoice'!AB$2:AB$401,$AH307)))</f>
        <v/>
      </c>
      <c r="AC307" s="7">
        <f>IF($AH307="","",IF(INDEX('Per Invoice'!AC$2:AC$401,$AH307)="","",INDEX('Per Invoice'!AC$2:AC$401,$AH307)))</f>
        <v/>
      </c>
      <c r="AD307" s="7">
        <f>IF($AH307="","",IF(INDEX('Per Invoice'!AD$2:AD$401,$AH307)="","",INDEX('Per Invoice'!AD$2:AD$401,$AH307)))</f>
        <v/>
      </c>
      <c r="AE307" s="7">
        <f>IF($AH307="","",IF(INDEX('Per Invoice'!AE$2:AE$401,$AH307)="","",INDEX('Per Invoice'!AE$2:AE$401,$AH307)))</f>
        <v/>
      </c>
      <c r="AF307">
        <f>IF($AH307="","",IF(INDEX('Per Invoice'!AF$2:AF$401,$AH307)="","",INDEX('Per Invoice'!AF$2:AF$401,$AH307)))</f>
        <v/>
      </c>
      <c r="AG307" s="7">
        <f>IF($AH307="","",IF(INDEX('Per Invoice'!AG$2:AG$401,$AH307)="","",INDEX('Per Invoice'!AG$2:AG$401,$AH307)))</f>
        <v/>
      </c>
      <c r="AH307" s="16">
        <f>IFERROR(MATCH(Settings!$C$26&amp;"|"&amp;ROWS($AH$2:$AH307),'Per Invoice'!$AI$2:$AI$401,0),"")</f>
        <v/>
      </c>
    </row>
    <row r="308">
      <c r="A308">
        <f>IF($AH308="","",IF(INDEX('Per Invoice'!A$2:A$401,$AH308)="","",INDEX('Per Invoice'!A$2:A$401,$AH308)))</f>
        <v/>
      </c>
      <c r="B308">
        <f>IF($AH308="","",IF(INDEX('Per Invoice'!B$2:B$401,$AH308)="","",INDEX('Per Invoice'!B$2:B$401,$AH308)))</f>
        <v/>
      </c>
      <c r="C308">
        <f>IF($AH308="","",IF(INDEX('Per Invoice'!C$2:C$401,$AH308)="","",INDEX('Per Invoice'!C$2:C$401,$AH308)))</f>
        <v/>
      </c>
      <c r="D308">
        <f>IF($AH308="","",IF(INDEX('Per Invoice'!D$2:D$401,$AH308)="","",INDEX('Per Invoice'!D$2:D$401,$AH308)))</f>
        <v/>
      </c>
      <c r="E308">
        <f>IF($AH308="","",IF(INDEX('Per Invoice'!E$2:E$401,$AH308)="","",INDEX('Per Invoice'!E$2:E$401,$AH308)))</f>
        <v/>
      </c>
      <c r="F308">
        <f>IF($AH308="","",IF(INDEX('Per Invoice'!F$2:F$401,$AH308)="","",INDEX('Per Invoice'!F$2:F$401,$AH308)))</f>
        <v/>
      </c>
      <c r="G308">
        <f>IF($AH308="","",IF(INDEX('Per Invoice'!G$2:G$401,$AH308)="","",INDEX('Per Invoice'!G$2:G$401,$AH308)))</f>
        <v/>
      </c>
      <c r="H308">
        <f>IF($AH308="","",IF(INDEX('Per Invoice'!H$2:H$401,$AH308)="","",INDEX('Per Invoice'!H$2:H$401,$AH308)))</f>
        <v/>
      </c>
      <c r="I308" s="14">
        <f>IF($AH308="","",IF(INDEX('Per Invoice'!I$2:I$401,$AH308)="","",INDEX('Per Invoice'!I$2:I$401,$AH308)))</f>
        <v/>
      </c>
      <c r="J308">
        <f>IF($AH308="","",IF(INDEX('Per Invoice'!J$2:J$401,$AH308)="","",INDEX('Per Invoice'!J$2:J$401,$AH308)))</f>
        <v/>
      </c>
      <c r="K308">
        <f>IF($AH308="","",IF(INDEX('Per Invoice'!K$2:K$401,$AH308)="","",INDEX('Per Invoice'!K$2:K$401,$AH308)))</f>
        <v/>
      </c>
      <c r="L308">
        <f>IF($AH308="","",IF(INDEX('Per Invoice'!L$2:L$401,$AH308)="","",INDEX('Per Invoice'!L$2:L$401,$AH308)))</f>
        <v/>
      </c>
      <c r="M308">
        <f>IF($AH308="","",IF(INDEX('Per Invoice'!M$2:M$401,$AH308)="","",INDEX('Per Invoice'!M$2:M$401,$AH308)))</f>
        <v/>
      </c>
      <c r="N308">
        <f>IF($AH308="","",IF(INDEX('Per Invoice'!N$2:N$401,$AH308)="","",INDEX('Per Invoice'!N$2:N$401,$AH308)))</f>
        <v/>
      </c>
      <c r="O308">
        <f>IF($AH308="","",IF(INDEX('Per Invoice'!O$2:O$401,$AH308)="","",INDEX('Per Invoice'!O$2:O$401,$AH308)))</f>
        <v/>
      </c>
      <c r="P308" s="7">
        <f>IF($AH308="","",IF(INDEX('Per Invoice'!P$2:P$401,$AH308)="","",INDEX('Per Invoice'!P$2:P$401,$AH308)))</f>
        <v/>
      </c>
      <c r="Q308">
        <f>IF($AH308="","",IF(INDEX('Per Invoice'!Q$2:Q$401,$AH308)="","",INDEX('Per Invoice'!Q$2:Q$401,$AH308)))</f>
        <v/>
      </c>
      <c r="R308">
        <f>IF($AH308="","",IF(INDEX('Per Invoice'!R$2:R$401,$AH308)="","",INDEX('Per Invoice'!R$2:R$401,$AH308)))</f>
        <v/>
      </c>
      <c r="S308">
        <f>IF($AH308="","",IF(INDEX('Per Invoice'!S$2:S$401,$AH308)="","",INDEX('Per Invoice'!S$2:S$401,$AH308)))</f>
        <v/>
      </c>
      <c r="T308" s="7">
        <f>IF($AH308="","",IF(INDEX('Per Invoice'!T$2:T$401,$AH308)="","",INDEX('Per Invoice'!T$2:T$401,$AH308)))</f>
        <v/>
      </c>
      <c r="U308" s="7">
        <f>IF($AH308="","",IF(INDEX('Per Invoice'!U$2:U$401,$AH308)="","",INDEX('Per Invoice'!U$2:U$401,$AH308)))</f>
        <v/>
      </c>
      <c r="V308">
        <f>IF($AH308="","",IF(INDEX('Per Invoice'!V$2:V$401,$AH308)="","",INDEX('Per Invoice'!V$2:V$401,$AH308)))</f>
        <v/>
      </c>
      <c r="W308" s="7">
        <f>IF($AH308="","",IF(INDEX('Per Invoice'!W$2:W$401,$AH308)="","",INDEX('Per Invoice'!W$2:W$401,$AH308)))</f>
        <v/>
      </c>
      <c r="X308" s="7">
        <f>IF($AH308="","",IF(INDEX('Per Invoice'!X$2:X$401,$AH308)="","",INDEX('Per Invoice'!X$2:X$401,$AH308)))</f>
        <v/>
      </c>
      <c r="Y308">
        <f>IF($AH308="","",IF(INDEX('Per Invoice'!Y$2:Y$401,$AH308)="","",INDEX('Per Invoice'!Y$2:Y$401,$AH308)))</f>
        <v/>
      </c>
      <c r="Z308" s="7">
        <f>IF($AH308="","",IF(INDEX('Per Invoice'!Z$2:Z$401,$AH308)="","",INDEX('Per Invoice'!Z$2:Z$401,$AH308)))</f>
        <v/>
      </c>
      <c r="AA308" s="7">
        <f>IF($AH308="","",IF(INDEX('Per Invoice'!AA$2:AA$401,$AH308)="","",INDEX('Per Invoice'!AA$2:AA$401,$AH308)))</f>
        <v/>
      </c>
      <c r="AB308" s="7">
        <f>IF($AH308="","",IF(INDEX('Per Invoice'!AB$2:AB$401,$AH308)="","",INDEX('Per Invoice'!AB$2:AB$401,$AH308)))</f>
        <v/>
      </c>
      <c r="AC308" s="7">
        <f>IF($AH308="","",IF(INDEX('Per Invoice'!AC$2:AC$401,$AH308)="","",INDEX('Per Invoice'!AC$2:AC$401,$AH308)))</f>
        <v/>
      </c>
      <c r="AD308" s="7">
        <f>IF($AH308="","",IF(INDEX('Per Invoice'!AD$2:AD$401,$AH308)="","",INDEX('Per Invoice'!AD$2:AD$401,$AH308)))</f>
        <v/>
      </c>
      <c r="AE308" s="7">
        <f>IF($AH308="","",IF(INDEX('Per Invoice'!AE$2:AE$401,$AH308)="","",INDEX('Per Invoice'!AE$2:AE$401,$AH308)))</f>
        <v/>
      </c>
      <c r="AF308">
        <f>IF($AH308="","",IF(INDEX('Per Invoice'!AF$2:AF$401,$AH308)="","",INDEX('Per Invoice'!AF$2:AF$401,$AH308)))</f>
        <v/>
      </c>
      <c r="AG308" s="7">
        <f>IF($AH308="","",IF(INDEX('Per Invoice'!AG$2:AG$401,$AH308)="","",INDEX('Per Invoice'!AG$2:AG$401,$AH308)))</f>
        <v/>
      </c>
      <c r="AH308" s="16">
        <f>IFERROR(MATCH(Settings!$C$26&amp;"|"&amp;ROWS($AH$2:$AH308),'Per Invoice'!$AI$2:$AI$401,0),"")</f>
        <v/>
      </c>
    </row>
    <row r="309">
      <c r="A309">
        <f>IF($AH309="","",IF(INDEX('Per Invoice'!A$2:A$401,$AH309)="","",INDEX('Per Invoice'!A$2:A$401,$AH309)))</f>
        <v/>
      </c>
      <c r="B309">
        <f>IF($AH309="","",IF(INDEX('Per Invoice'!B$2:B$401,$AH309)="","",INDEX('Per Invoice'!B$2:B$401,$AH309)))</f>
        <v/>
      </c>
      <c r="C309">
        <f>IF($AH309="","",IF(INDEX('Per Invoice'!C$2:C$401,$AH309)="","",INDEX('Per Invoice'!C$2:C$401,$AH309)))</f>
        <v/>
      </c>
      <c r="D309">
        <f>IF($AH309="","",IF(INDEX('Per Invoice'!D$2:D$401,$AH309)="","",INDEX('Per Invoice'!D$2:D$401,$AH309)))</f>
        <v/>
      </c>
      <c r="E309">
        <f>IF($AH309="","",IF(INDEX('Per Invoice'!E$2:E$401,$AH309)="","",INDEX('Per Invoice'!E$2:E$401,$AH309)))</f>
        <v/>
      </c>
      <c r="F309">
        <f>IF($AH309="","",IF(INDEX('Per Invoice'!F$2:F$401,$AH309)="","",INDEX('Per Invoice'!F$2:F$401,$AH309)))</f>
        <v/>
      </c>
      <c r="G309">
        <f>IF($AH309="","",IF(INDEX('Per Invoice'!G$2:G$401,$AH309)="","",INDEX('Per Invoice'!G$2:G$401,$AH309)))</f>
        <v/>
      </c>
      <c r="H309">
        <f>IF($AH309="","",IF(INDEX('Per Invoice'!H$2:H$401,$AH309)="","",INDEX('Per Invoice'!H$2:H$401,$AH309)))</f>
        <v/>
      </c>
      <c r="I309" s="14">
        <f>IF($AH309="","",IF(INDEX('Per Invoice'!I$2:I$401,$AH309)="","",INDEX('Per Invoice'!I$2:I$401,$AH309)))</f>
        <v/>
      </c>
      <c r="J309">
        <f>IF($AH309="","",IF(INDEX('Per Invoice'!J$2:J$401,$AH309)="","",INDEX('Per Invoice'!J$2:J$401,$AH309)))</f>
        <v/>
      </c>
      <c r="K309">
        <f>IF($AH309="","",IF(INDEX('Per Invoice'!K$2:K$401,$AH309)="","",INDEX('Per Invoice'!K$2:K$401,$AH309)))</f>
        <v/>
      </c>
      <c r="L309">
        <f>IF($AH309="","",IF(INDEX('Per Invoice'!L$2:L$401,$AH309)="","",INDEX('Per Invoice'!L$2:L$401,$AH309)))</f>
        <v/>
      </c>
      <c r="M309">
        <f>IF($AH309="","",IF(INDEX('Per Invoice'!M$2:M$401,$AH309)="","",INDEX('Per Invoice'!M$2:M$401,$AH309)))</f>
        <v/>
      </c>
      <c r="N309">
        <f>IF($AH309="","",IF(INDEX('Per Invoice'!N$2:N$401,$AH309)="","",INDEX('Per Invoice'!N$2:N$401,$AH309)))</f>
        <v/>
      </c>
      <c r="O309">
        <f>IF($AH309="","",IF(INDEX('Per Invoice'!O$2:O$401,$AH309)="","",INDEX('Per Invoice'!O$2:O$401,$AH309)))</f>
        <v/>
      </c>
      <c r="P309" s="7">
        <f>IF($AH309="","",IF(INDEX('Per Invoice'!P$2:P$401,$AH309)="","",INDEX('Per Invoice'!P$2:P$401,$AH309)))</f>
        <v/>
      </c>
      <c r="Q309">
        <f>IF($AH309="","",IF(INDEX('Per Invoice'!Q$2:Q$401,$AH309)="","",INDEX('Per Invoice'!Q$2:Q$401,$AH309)))</f>
        <v/>
      </c>
      <c r="R309">
        <f>IF($AH309="","",IF(INDEX('Per Invoice'!R$2:R$401,$AH309)="","",INDEX('Per Invoice'!R$2:R$401,$AH309)))</f>
        <v/>
      </c>
      <c r="S309">
        <f>IF($AH309="","",IF(INDEX('Per Invoice'!S$2:S$401,$AH309)="","",INDEX('Per Invoice'!S$2:S$401,$AH309)))</f>
        <v/>
      </c>
      <c r="T309" s="7">
        <f>IF($AH309="","",IF(INDEX('Per Invoice'!T$2:T$401,$AH309)="","",INDEX('Per Invoice'!T$2:T$401,$AH309)))</f>
        <v/>
      </c>
      <c r="U309" s="7">
        <f>IF($AH309="","",IF(INDEX('Per Invoice'!U$2:U$401,$AH309)="","",INDEX('Per Invoice'!U$2:U$401,$AH309)))</f>
        <v/>
      </c>
      <c r="V309">
        <f>IF($AH309="","",IF(INDEX('Per Invoice'!V$2:V$401,$AH309)="","",INDEX('Per Invoice'!V$2:V$401,$AH309)))</f>
        <v/>
      </c>
      <c r="W309" s="7">
        <f>IF($AH309="","",IF(INDEX('Per Invoice'!W$2:W$401,$AH309)="","",INDEX('Per Invoice'!W$2:W$401,$AH309)))</f>
        <v/>
      </c>
      <c r="X309" s="7">
        <f>IF($AH309="","",IF(INDEX('Per Invoice'!X$2:X$401,$AH309)="","",INDEX('Per Invoice'!X$2:X$401,$AH309)))</f>
        <v/>
      </c>
      <c r="Y309">
        <f>IF($AH309="","",IF(INDEX('Per Invoice'!Y$2:Y$401,$AH309)="","",INDEX('Per Invoice'!Y$2:Y$401,$AH309)))</f>
        <v/>
      </c>
      <c r="Z309" s="7">
        <f>IF($AH309="","",IF(INDEX('Per Invoice'!Z$2:Z$401,$AH309)="","",INDEX('Per Invoice'!Z$2:Z$401,$AH309)))</f>
        <v/>
      </c>
      <c r="AA309" s="7">
        <f>IF($AH309="","",IF(INDEX('Per Invoice'!AA$2:AA$401,$AH309)="","",INDEX('Per Invoice'!AA$2:AA$401,$AH309)))</f>
        <v/>
      </c>
      <c r="AB309" s="7">
        <f>IF($AH309="","",IF(INDEX('Per Invoice'!AB$2:AB$401,$AH309)="","",INDEX('Per Invoice'!AB$2:AB$401,$AH309)))</f>
        <v/>
      </c>
      <c r="AC309" s="7">
        <f>IF($AH309="","",IF(INDEX('Per Invoice'!AC$2:AC$401,$AH309)="","",INDEX('Per Invoice'!AC$2:AC$401,$AH309)))</f>
        <v/>
      </c>
      <c r="AD309" s="7">
        <f>IF($AH309="","",IF(INDEX('Per Invoice'!AD$2:AD$401,$AH309)="","",INDEX('Per Invoice'!AD$2:AD$401,$AH309)))</f>
        <v/>
      </c>
      <c r="AE309" s="7">
        <f>IF($AH309="","",IF(INDEX('Per Invoice'!AE$2:AE$401,$AH309)="","",INDEX('Per Invoice'!AE$2:AE$401,$AH309)))</f>
        <v/>
      </c>
      <c r="AF309">
        <f>IF($AH309="","",IF(INDEX('Per Invoice'!AF$2:AF$401,$AH309)="","",INDEX('Per Invoice'!AF$2:AF$401,$AH309)))</f>
        <v/>
      </c>
      <c r="AG309" s="7">
        <f>IF($AH309="","",IF(INDEX('Per Invoice'!AG$2:AG$401,$AH309)="","",INDEX('Per Invoice'!AG$2:AG$401,$AH309)))</f>
        <v/>
      </c>
      <c r="AH309" s="16">
        <f>IFERROR(MATCH(Settings!$C$26&amp;"|"&amp;ROWS($AH$2:$AH309),'Per Invoice'!$AI$2:$AI$401,0),"")</f>
        <v/>
      </c>
    </row>
    <row r="310">
      <c r="A310">
        <f>IF($AH310="","",IF(INDEX('Per Invoice'!A$2:A$401,$AH310)="","",INDEX('Per Invoice'!A$2:A$401,$AH310)))</f>
        <v/>
      </c>
      <c r="B310">
        <f>IF($AH310="","",IF(INDEX('Per Invoice'!B$2:B$401,$AH310)="","",INDEX('Per Invoice'!B$2:B$401,$AH310)))</f>
        <v/>
      </c>
      <c r="C310">
        <f>IF($AH310="","",IF(INDEX('Per Invoice'!C$2:C$401,$AH310)="","",INDEX('Per Invoice'!C$2:C$401,$AH310)))</f>
        <v/>
      </c>
      <c r="D310">
        <f>IF($AH310="","",IF(INDEX('Per Invoice'!D$2:D$401,$AH310)="","",INDEX('Per Invoice'!D$2:D$401,$AH310)))</f>
        <v/>
      </c>
      <c r="E310">
        <f>IF($AH310="","",IF(INDEX('Per Invoice'!E$2:E$401,$AH310)="","",INDEX('Per Invoice'!E$2:E$401,$AH310)))</f>
        <v/>
      </c>
      <c r="F310">
        <f>IF($AH310="","",IF(INDEX('Per Invoice'!F$2:F$401,$AH310)="","",INDEX('Per Invoice'!F$2:F$401,$AH310)))</f>
        <v/>
      </c>
      <c r="G310">
        <f>IF($AH310="","",IF(INDEX('Per Invoice'!G$2:G$401,$AH310)="","",INDEX('Per Invoice'!G$2:G$401,$AH310)))</f>
        <v/>
      </c>
      <c r="H310">
        <f>IF($AH310="","",IF(INDEX('Per Invoice'!H$2:H$401,$AH310)="","",INDEX('Per Invoice'!H$2:H$401,$AH310)))</f>
        <v/>
      </c>
      <c r="I310" s="14">
        <f>IF($AH310="","",IF(INDEX('Per Invoice'!I$2:I$401,$AH310)="","",INDEX('Per Invoice'!I$2:I$401,$AH310)))</f>
        <v/>
      </c>
      <c r="J310">
        <f>IF($AH310="","",IF(INDEX('Per Invoice'!J$2:J$401,$AH310)="","",INDEX('Per Invoice'!J$2:J$401,$AH310)))</f>
        <v/>
      </c>
      <c r="K310">
        <f>IF($AH310="","",IF(INDEX('Per Invoice'!K$2:K$401,$AH310)="","",INDEX('Per Invoice'!K$2:K$401,$AH310)))</f>
        <v/>
      </c>
      <c r="L310">
        <f>IF($AH310="","",IF(INDEX('Per Invoice'!L$2:L$401,$AH310)="","",INDEX('Per Invoice'!L$2:L$401,$AH310)))</f>
        <v/>
      </c>
      <c r="M310">
        <f>IF($AH310="","",IF(INDEX('Per Invoice'!M$2:M$401,$AH310)="","",INDEX('Per Invoice'!M$2:M$401,$AH310)))</f>
        <v/>
      </c>
      <c r="N310">
        <f>IF($AH310="","",IF(INDEX('Per Invoice'!N$2:N$401,$AH310)="","",INDEX('Per Invoice'!N$2:N$401,$AH310)))</f>
        <v/>
      </c>
      <c r="O310">
        <f>IF($AH310="","",IF(INDEX('Per Invoice'!O$2:O$401,$AH310)="","",INDEX('Per Invoice'!O$2:O$401,$AH310)))</f>
        <v/>
      </c>
      <c r="P310" s="7">
        <f>IF($AH310="","",IF(INDEX('Per Invoice'!P$2:P$401,$AH310)="","",INDEX('Per Invoice'!P$2:P$401,$AH310)))</f>
        <v/>
      </c>
      <c r="Q310">
        <f>IF($AH310="","",IF(INDEX('Per Invoice'!Q$2:Q$401,$AH310)="","",INDEX('Per Invoice'!Q$2:Q$401,$AH310)))</f>
        <v/>
      </c>
      <c r="R310">
        <f>IF($AH310="","",IF(INDEX('Per Invoice'!R$2:R$401,$AH310)="","",INDEX('Per Invoice'!R$2:R$401,$AH310)))</f>
        <v/>
      </c>
      <c r="S310">
        <f>IF($AH310="","",IF(INDEX('Per Invoice'!S$2:S$401,$AH310)="","",INDEX('Per Invoice'!S$2:S$401,$AH310)))</f>
        <v/>
      </c>
      <c r="T310" s="7">
        <f>IF($AH310="","",IF(INDEX('Per Invoice'!T$2:T$401,$AH310)="","",INDEX('Per Invoice'!T$2:T$401,$AH310)))</f>
        <v/>
      </c>
      <c r="U310" s="7">
        <f>IF($AH310="","",IF(INDEX('Per Invoice'!U$2:U$401,$AH310)="","",INDEX('Per Invoice'!U$2:U$401,$AH310)))</f>
        <v/>
      </c>
      <c r="V310">
        <f>IF($AH310="","",IF(INDEX('Per Invoice'!V$2:V$401,$AH310)="","",INDEX('Per Invoice'!V$2:V$401,$AH310)))</f>
        <v/>
      </c>
      <c r="W310" s="7">
        <f>IF($AH310="","",IF(INDEX('Per Invoice'!W$2:W$401,$AH310)="","",INDEX('Per Invoice'!W$2:W$401,$AH310)))</f>
        <v/>
      </c>
      <c r="X310" s="7">
        <f>IF($AH310="","",IF(INDEX('Per Invoice'!X$2:X$401,$AH310)="","",INDEX('Per Invoice'!X$2:X$401,$AH310)))</f>
        <v/>
      </c>
      <c r="Y310">
        <f>IF($AH310="","",IF(INDEX('Per Invoice'!Y$2:Y$401,$AH310)="","",INDEX('Per Invoice'!Y$2:Y$401,$AH310)))</f>
        <v/>
      </c>
      <c r="Z310" s="7">
        <f>IF($AH310="","",IF(INDEX('Per Invoice'!Z$2:Z$401,$AH310)="","",INDEX('Per Invoice'!Z$2:Z$401,$AH310)))</f>
        <v/>
      </c>
      <c r="AA310" s="7">
        <f>IF($AH310="","",IF(INDEX('Per Invoice'!AA$2:AA$401,$AH310)="","",INDEX('Per Invoice'!AA$2:AA$401,$AH310)))</f>
        <v/>
      </c>
      <c r="AB310" s="7">
        <f>IF($AH310="","",IF(INDEX('Per Invoice'!AB$2:AB$401,$AH310)="","",INDEX('Per Invoice'!AB$2:AB$401,$AH310)))</f>
        <v/>
      </c>
      <c r="AC310" s="7">
        <f>IF($AH310="","",IF(INDEX('Per Invoice'!AC$2:AC$401,$AH310)="","",INDEX('Per Invoice'!AC$2:AC$401,$AH310)))</f>
        <v/>
      </c>
      <c r="AD310" s="7">
        <f>IF($AH310="","",IF(INDEX('Per Invoice'!AD$2:AD$401,$AH310)="","",INDEX('Per Invoice'!AD$2:AD$401,$AH310)))</f>
        <v/>
      </c>
      <c r="AE310" s="7">
        <f>IF($AH310="","",IF(INDEX('Per Invoice'!AE$2:AE$401,$AH310)="","",INDEX('Per Invoice'!AE$2:AE$401,$AH310)))</f>
        <v/>
      </c>
      <c r="AF310">
        <f>IF($AH310="","",IF(INDEX('Per Invoice'!AF$2:AF$401,$AH310)="","",INDEX('Per Invoice'!AF$2:AF$401,$AH310)))</f>
        <v/>
      </c>
      <c r="AG310" s="7">
        <f>IF($AH310="","",IF(INDEX('Per Invoice'!AG$2:AG$401,$AH310)="","",INDEX('Per Invoice'!AG$2:AG$401,$AH310)))</f>
        <v/>
      </c>
      <c r="AH310" s="16">
        <f>IFERROR(MATCH(Settings!$C$26&amp;"|"&amp;ROWS($AH$2:$AH310),'Per Invoice'!$AI$2:$AI$401,0),"")</f>
        <v/>
      </c>
    </row>
    <row r="311">
      <c r="A311">
        <f>IF($AH311="","",IF(INDEX('Per Invoice'!A$2:A$401,$AH311)="","",INDEX('Per Invoice'!A$2:A$401,$AH311)))</f>
        <v/>
      </c>
      <c r="B311">
        <f>IF($AH311="","",IF(INDEX('Per Invoice'!B$2:B$401,$AH311)="","",INDEX('Per Invoice'!B$2:B$401,$AH311)))</f>
        <v/>
      </c>
      <c r="C311">
        <f>IF($AH311="","",IF(INDEX('Per Invoice'!C$2:C$401,$AH311)="","",INDEX('Per Invoice'!C$2:C$401,$AH311)))</f>
        <v/>
      </c>
      <c r="D311">
        <f>IF($AH311="","",IF(INDEX('Per Invoice'!D$2:D$401,$AH311)="","",INDEX('Per Invoice'!D$2:D$401,$AH311)))</f>
        <v/>
      </c>
      <c r="E311">
        <f>IF($AH311="","",IF(INDEX('Per Invoice'!E$2:E$401,$AH311)="","",INDEX('Per Invoice'!E$2:E$401,$AH311)))</f>
        <v/>
      </c>
      <c r="F311">
        <f>IF($AH311="","",IF(INDEX('Per Invoice'!F$2:F$401,$AH311)="","",INDEX('Per Invoice'!F$2:F$401,$AH311)))</f>
        <v/>
      </c>
      <c r="G311">
        <f>IF($AH311="","",IF(INDEX('Per Invoice'!G$2:G$401,$AH311)="","",INDEX('Per Invoice'!G$2:G$401,$AH311)))</f>
        <v/>
      </c>
      <c r="H311">
        <f>IF($AH311="","",IF(INDEX('Per Invoice'!H$2:H$401,$AH311)="","",INDEX('Per Invoice'!H$2:H$401,$AH311)))</f>
        <v/>
      </c>
      <c r="I311" s="14">
        <f>IF($AH311="","",IF(INDEX('Per Invoice'!I$2:I$401,$AH311)="","",INDEX('Per Invoice'!I$2:I$401,$AH311)))</f>
        <v/>
      </c>
      <c r="J311">
        <f>IF($AH311="","",IF(INDEX('Per Invoice'!J$2:J$401,$AH311)="","",INDEX('Per Invoice'!J$2:J$401,$AH311)))</f>
        <v/>
      </c>
      <c r="K311">
        <f>IF($AH311="","",IF(INDEX('Per Invoice'!K$2:K$401,$AH311)="","",INDEX('Per Invoice'!K$2:K$401,$AH311)))</f>
        <v/>
      </c>
      <c r="L311">
        <f>IF($AH311="","",IF(INDEX('Per Invoice'!L$2:L$401,$AH311)="","",INDEX('Per Invoice'!L$2:L$401,$AH311)))</f>
        <v/>
      </c>
      <c r="M311">
        <f>IF($AH311="","",IF(INDEX('Per Invoice'!M$2:M$401,$AH311)="","",INDEX('Per Invoice'!M$2:M$401,$AH311)))</f>
        <v/>
      </c>
      <c r="N311">
        <f>IF($AH311="","",IF(INDEX('Per Invoice'!N$2:N$401,$AH311)="","",INDEX('Per Invoice'!N$2:N$401,$AH311)))</f>
        <v/>
      </c>
      <c r="O311">
        <f>IF($AH311="","",IF(INDEX('Per Invoice'!O$2:O$401,$AH311)="","",INDEX('Per Invoice'!O$2:O$401,$AH311)))</f>
        <v/>
      </c>
      <c r="P311" s="7">
        <f>IF($AH311="","",IF(INDEX('Per Invoice'!P$2:P$401,$AH311)="","",INDEX('Per Invoice'!P$2:P$401,$AH311)))</f>
        <v/>
      </c>
      <c r="Q311">
        <f>IF($AH311="","",IF(INDEX('Per Invoice'!Q$2:Q$401,$AH311)="","",INDEX('Per Invoice'!Q$2:Q$401,$AH311)))</f>
        <v/>
      </c>
      <c r="R311">
        <f>IF($AH311="","",IF(INDEX('Per Invoice'!R$2:R$401,$AH311)="","",INDEX('Per Invoice'!R$2:R$401,$AH311)))</f>
        <v/>
      </c>
      <c r="S311">
        <f>IF($AH311="","",IF(INDEX('Per Invoice'!S$2:S$401,$AH311)="","",INDEX('Per Invoice'!S$2:S$401,$AH311)))</f>
        <v/>
      </c>
      <c r="T311" s="7">
        <f>IF($AH311="","",IF(INDEX('Per Invoice'!T$2:T$401,$AH311)="","",INDEX('Per Invoice'!T$2:T$401,$AH311)))</f>
        <v/>
      </c>
      <c r="U311" s="7">
        <f>IF($AH311="","",IF(INDEX('Per Invoice'!U$2:U$401,$AH311)="","",INDEX('Per Invoice'!U$2:U$401,$AH311)))</f>
        <v/>
      </c>
      <c r="V311">
        <f>IF($AH311="","",IF(INDEX('Per Invoice'!V$2:V$401,$AH311)="","",INDEX('Per Invoice'!V$2:V$401,$AH311)))</f>
        <v/>
      </c>
      <c r="W311" s="7">
        <f>IF($AH311="","",IF(INDEX('Per Invoice'!W$2:W$401,$AH311)="","",INDEX('Per Invoice'!W$2:W$401,$AH311)))</f>
        <v/>
      </c>
      <c r="X311" s="7">
        <f>IF($AH311="","",IF(INDEX('Per Invoice'!X$2:X$401,$AH311)="","",INDEX('Per Invoice'!X$2:X$401,$AH311)))</f>
        <v/>
      </c>
      <c r="Y311">
        <f>IF($AH311="","",IF(INDEX('Per Invoice'!Y$2:Y$401,$AH311)="","",INDEX('Per Invoice'!Y$2:Y$401,$AH311)))</f>
        <v/>
      </c>
      <c r="Z311" s="7">
        <f>IF($AH311="","",IF(INDEX('Per Invoice'!Z$2:Z$401,$AH311)="","",INDEX('Per Invoice'!Z$2:Z$401,$AH311)))</f>
        <v/>
      </c>
      <c r="AA311" s="7">
        <f>IF($AH311="","",IF(INDEX('Per Invoice'!AA$2:AA$401,$AH311)="","",INDEX('Per Invoice'!AA$2:AA$401,$AH311)))</f>
        <v/>
      </c>
      <c r="AB311" s="7">
        <f>IF($AH311="","",IF(INDEX('Per Invoice'!AB$2:AB$401,$AH311)="","",INDEX('Per Invoice'!AB$2:AB$401,$AH311)))</f>
        <v/>
      </c>
      <c r="AC311" s="7">
        <f>IF($AH311="","",IF(INDEX('Per Invoice'!AC$2:AC$401,$AH311)="","",INDEX('Per Invoice'!AC$2:AC$401,$AH311)))</f>
        <v/>
      </c>
      <c r="AD311" s="7">
        <f>IF($AH311="","",IF(INDEX('Per Invoice'!AD$2:AD$401,$AH311)="","",INDEX('Per Invoice'!AD$2:AD$401,$AH311)))</f>
        <v/>
      </c>
      <c r="AE311" s="7">
        <f>IF($AH311="","",IF(INDEX('Per Invoice'!AE$2:AE$401,$AH311)="","",INDEX('Per Invoice'!AE$2:AE$401,$AH311)))</f>
        <v/>
      </c>
      <c r="AF311">
        <f>IF($AH311="","",IF(INDEX('Per Invoice'!AF$2:AF$401,$AH311)="","",INDEX('Per Invoice'!AF$2:AF$401,$AH311)))</f>
        <v/>
      </c>
      <c r="AG311" s="7">
        <f>IF($AH311="","",IF(INDEX('Per Invoice'!AG$2:AG$401,$AH311)="","",INDEX('Per Invoice'!AG$2:AG$401,$AH311)))</f>
        <v/>
      </c>
      <c r="AH311" s="16">
        <f>IFERROR(MATCH(Settings!$C$26&amp;"|"&amp;ROWS($AH$2:$AH311),'Per Invoice'!$AI$2:$AI$401,0),"")</f>
        <v/>
      </c>
    </row>
    <row r="312">
      <c r="A312">
        <f>IF($AH312="","",IF(INDEX('Per Invoice'!A$2:A$401,$AH312)="","",INDEX('Per Invoice'!A$2:A$401,$AH312)))</f>
        <v/>
      </c>
      <c r="B312">
        <f>IF($AH312="","",IF(INDEX('Per Invoice'!B$2:B$401,$AH312)="","",INDEX('Per Invoice'!B$2:B$401,$AH312)))</f>
        <v/>
      </c>
      <c r="C312">
        <f>IF($AH312="","",IF(INDEX('Per Invoice'!C$2:C$401,$AH312)="","",INDEX('Per Invoice'!C$2:C$401,$AH312)))</f>
        <v/>
      </c>
      <c r="D312">
        <f>IF($AH312="","",IF(INDEX('Per Invoice'!D$2:D$401,$AH312)="","",INDEX('Per Invoice'!D$2:D$401,$AH312)))</f>
        <v/>
      </c>
      <c r="E312">
        <f>IF($AH312="","",IF(INDEX('Per Invoice'!E$2:E$401,$AH312)="","",INDEX('Per Invoice'!E$2:E$401,$AH312)))</f>
        <v/>
      </c>
      <c r="F312">
        <f>IF($AH312="","",IF(INDEX('Per Invoice'!F$2:F$401,$AH312)="","",INDEX('Per Invoice'!F$2:F$401,$AH312)))</f>
        <v/>
      </c>
      <c r="G312">
        <f>IF($AH312="","",IF(INDEX('Per Invoice'!G$2:G$401,$AH312)="","",INDEX('Per Invoice'!G$2:G$401,$AH312)))</f>
        <v/>
      </c>
      <c r="H312">
        <f>IF($AH312="","",IF(INDEX('Per Invoice'!H$2:H$401,$AH312)="","",INDEX('Per Invoice'!H$2:H$401,$AH312)))</f>
        <v/>
      </c>
      <c r="I312" s="14">
        <f>IF($AH312="","",IF(INDEX('Per Invoice'!I$2:I$401,$AH312)="","",INDEX('Per Invoice'!I$2:I$401,$AH312)))</f>
        <v/>
      </c>
      <c r="J312">
        <f>IF($AH312="","",IF(INDEX('Per Invoice'!J$2:J$401,$AH312)="","",INDEX('Per Invoice'!J$2:J$401,$AH312)))</f>
        <v/>
      </c>
      <c r="K312">
        <f>IF($AH312="","",IF(INDEX('Per Invoice'!K$2:K$401,$AH312)="","",INDEX('Per Invoice'!K$2:K$401,$AH312)))</f>
        <v/>
      </c>
      <c r="L312">
        <f>IF($AH312="","",IF(INDEX('Per Invoice'!L$2:L$401,$AH312)="","",INDEX('Per Invoice'!L$2:L$401,$AH312)))</f>
        <v/>
      </c>
      <c r="M312">
        <f>IF($AH312="","",IF(INDEX('Per Invoice'!M$2:M$401,$AH312)="","",INDEX('Per Invoice'!M$2:M$401,$AH312)))</f>
        <v/>
      </c>
      <c r="N312">
        <f>IF($AH312="","",IF(INDEX('Per Invoice'!N$2:N$401,$AH312)="","",INDEX('Per Invoice'!N$2:N$401,$AH312)))</f>
        <v/>
      </c>
      <c r="O312">
        <f>IF($AH312="","",IF(INDEX('Per Invoice'!O$2:O$401,$AH312)="","",INDEX('Per Invoice'!O$2:O$401,$AH312)))</f>
        <v/>
      </c>
      <c r="P312" s="7">
        <f>IF($AH312="","",IF(INDEX('Per Invoice'!P$2:P$401,$AH312)="","",INDEX('Per Invoice'!P$2:P$401,$AH312)))</f>
        <v/>
      </c>
      <c r="Q312">
        <f>IF($AH312="","",IF(INDEX('Per Invoice'!Q$2:Q$401,$AH312)="","",INDEX('Per Invoice'!Q$2:Q$401,$AH312)))</f>
        <v/>
      </c>
      <c r="R312">
        <f>IF($AH312="","",IF(INDEX('Per Invoice'!R$2:R$401,$AH312)="","",INDEX('Per Invoice'!R$2:R$401,$AH312)))</f>
        <v/>
      </c>
      <c r="S312">
        <f>IF($AH312="","",IF(INDEX('Per Invoice'!S$2:S$401,$AH312)="","",INDEX('Per Invoice'!S$2:S$401,$AH312)))</f>
        <v/>
      </c>
      <c r="T312" s="7">
        <f>IF($AH312="","",IF(INDEX('Per Invoice'!T$2:T$401,$AH312)="","",INDEX('Per Invoice'!T$2:T$401,$AH312)))</f>
        <v/>
      </c>
      <c r="U312" s="7">
        <f>IF($AH312="","",IF(INDEX('Per Invoice'!U$2:U$401,$AH312)="","",INDEX('Per Invoice'!U$2:U$401,$AH312)))</f>
        <v/>
      </c>
      <c r="V312">
        <f>IF($AH312="","",IF(INDEX('Per Invoice'!V$2:V$401,$AH312)="","",INDEX('Per Invoice'!V$2:V$401,$AH312)))</f>
        <v/>
      </c>
      <c r="W312" s="7">
        <f>IF($AH312="","",IF(INDEX('Per Invoice'!W$2:W$401,$AH312)="","",INDEX('Per Invoice'!W$2:W$401,$AH312)))</f>
        <v/>
      </c>
      <c r="X312" s="7">
        <f>IF($AH312="","",IF(INDEX('Per Invoice'!X$2:X$401,$AH312)="","",INDEX('Per Invoice'!X$2:X$401,$AH312)))</f>
        <v/>
      </c>
      <c r="Y312">
        <f>IF($AH312="","",IF(INDEX('Per Invoice'!Y$2:Y$401,$AH312)="","",INDEX('Per Invoice'!Y$2:Y$401,$AH312)))</f>
        <v/>
      </c>
      <c r="Z312" s="7">
        <f>IF($AH312="","",IF(INDEX('Per Invoice'!Z$2:Z$401,$AH312)="","",INDEX('Per Invoice'!Z$2:Z$401,$AH312)))</f>
        <v/>
      </c>
      <c r="AA312" s="7">
        <f>IF($AH312="","",IF(INDEX('Per Invoice'!AA$2:AA$401,$AH312)="","",INDEX('Per Invoice'!AA$2:AA$401,$AH312)))</f>
        <v/>
      </c>
      <c r="AB312" s="7">
        <f>IF($AH312="","",IF(INDEX('Per Invoice'!AB$2:AB$401,$AH312)="","",INDEX('Per Invoice'!AB$2:AB$401,$AH312)))</f>
        <v/>
      </c>
      <c r="AC312" s="7">
        <f>IF($AH312="","",IF(INDEX('Per Invoice'!AC$2:AC$401,$AH312)="","",INDEX('Per Invoice'!AC$2:AC$401,$AH312)))</f>
        <v/>
      </c>
      <c r="AD312" s="7">
        <f>IF($AH312="","",IF(INDEX('Per Invoice'!AD$2:AD$401,$AH312)="","",INDEX('Per Invoice'!AD$2:AD$401,$AH312)))</f>
        <v/>
      </c>
      <c r="AE312" s="7">
        <f>IF($AH312="","",IF(INDEX('Per Invoice'!AE$2:AE$401,$AH312)="","",INDEX('Per Invoice'!AE$2:AE$401,$AH312)))</f>
        <v/>
      </c>
      <c r="AF312">
        <f>IF($AH312="","",IF(INDEX('Per Invoice'!AF$2:AF$401,$AH312)="","",INDEX('Per Invoice'!AF$2:AF$401,$AH312)))</f>
        <v/>
      </c>
      <c r="AG312" s="7">
        <f>IF($AH312="","",IF(INDEX('Per Invoice'!AG$2:AG$401,$AH312)="","",INDEX('Per Invoice'!AG$2:AG$401,$AH312)))</f>
        <v/>
      </c>
      <c r="AH312" s="16">
        <f>IFERROR(MATCH(Settings!$C$26&amp;"|"&amp;ROWS($AH$2:$AH312),'Per Invoice'!$AI$2:$AI$401,0),"")</f>
        <v/>
      </c>
    </row>
    <row r="313">
      <c r="A313">
        <f>IF($AH313="","",IF(INDEX('Per Invoice'!A$2:A$401,$AH313)="","",INDEX('Per Invoice'!A$2:A$401,$AH313)))</f>
        <v/>
      </c>
      <c r="B313">
        <f>IF($AH313="","",IF(INDEX('Per Invoice'!B$2:B$401,$AH313)="","",INDEX('Per Invoice'!B$2:B$401,$AH313)))</f>
        <v/>
      </c>
      <c r="C313">
        <f>IF($AH313="","",IF(INDEX('Per Invoice'!C$2:C$401,$AH313)="","",INDEX('Per Invoice'!C$2:C$401,$AH313)))</f>
        <v/>
      </c>
      <c r="D313">
        <f>IF($AH313="","",IF(INDEX('Per Invoice'!D$2:D$401,$AH313)="","",INDEX('Per Invoice'!D$2:D$401,$AH313)))</f>
        <v/>
      </c>
      <c r="E313">
        <f>IF($AH313="","",IF(INDEX('Per Invoice'!E$2:E$401,$AH313)="","",INDEX('Per Invoice'!E$2:E$401,$AH313)))</f>
        <v/>
      </c>
      <c r="F313">
        <f>IF($AH313="","",IF(INDEX('Per Invoice'!F$2:F$401,$AH313)="","",INDEX('Per Invoice'!F$2:F$401,$AH313)))</f>
        <v/>
      </c>
      <c r="G313">
        <f>IF($AH313="","",IF(INDEX('Per Invoice'!G$2:G$401,$AH313)="","",INDEX('Per Invoice'!G$2:G$401,$AH313)))</f>
        <v/>
      </c>
      <c r="H313">
        <f>IF($AH313="","",IF(INDEX('Per Invoice'!H$2:H$401,$AH313)="","",INDEX('Per Invoice'!H$2:H$401,$AH313)))</f>
        <v/>
      </c>
      <c r="I313" s="14">
        <f>IF($AH313="","",IF(INDEX('Per Invoice'!I$2:I$401,$AH313)="","",INDEX('Per Invoice'!I$2:I$401,$AH313)))</f>
        <v/>
      </c>
      <c r="J313">
        <f>IF($AH313="","",IF(INDEX('Per Invoice'!J$2:J$401,$AH313)="","",INDEX('Per Invoice'!J$2:J$401,$AH313)))</f>
        <v/>
      </c>
      <c r="K313">
        <f>IF($AH313="","",IF(INDEX('Per Invoice'!K$2:K$401,$AH313)="","",INDEX('Per Invoice'!K$2:K$401,$AH313)))</f>
        <v/>
      </c>
      <c r="L313">
        <f>IF($AH313="","",IF(INDEX('Per Invoice'!L$2:L$401,$AH313)="","",INDEX('Per Invoice'!L$2:L$401,$AH313)))</f>
        <v/>
      </c>
      <c r="M313">
        <f>IF($AH313="","",IF(INDEX('Per Invoice'!M$2:M$401,$AH313)="","",INDEX('Per Invoice'!M$2:M$401,$AH313)))</f>
        <v/>
      </c>
      <c r="N313">
        <f>IF($AH313="","",IF(INDEX('Per Invoice'!N$2:N$401,$AH313)="","",INDEX('Per Invoice'!N$2:N$401,$AH313)))</f>
        <v/>
      </c>
      <c r="O313">
        <f>IF($AH313="","",IF(INDEX('Per Invoice'!O$2:O$401,$AH313)="","",INDEX('Per Invoice'!O$2:O$401,$AH313)))</f>
        <v/>
      </c>
      <c r="P313" s="7">
        <f>IF($AH313="","",IF(INDEX('Per Invoice'!P$2:P$401,$AH313)="","",INDEX('Per Invoice'!P$2:P$401,$AH313)))</f>
        <v/>
      </c>
      <c r="Q313">
        <f>IF($AH313="","",IF(INDEX('Per Invoice'!Q$2:Q$401,$AH313)="","",INDEX('Per Invoice'!Q$2:Q$401,$AH313)))</f>
        <v/>
      </c>
      <c r="R313">
        <f>IF($AH313="","",IF(INDEX('Per Invoice'!R$2:R$401,$AH313)="","",INDEX('Per Invoice'!R$2:R$401,$AH313)))</f>
        <v/>
      </c>
      <c r="S313">
        <f>IF($AH313="","",IF(INDEX('Per Invoice'!S$2:S$401,$AH313)="","",INDEX('Per Invoice'!S$2:S$401,$AH313)))</f>
        <v/>
      </c>
      <c r="T313" s="7">
        <f>IF($AH313="","",IF(INDEX('Per Invoice'!T$2:T$401,$AH313)="","",INDEX('Per Invoice'!T$2:T$401,$AH313)))</f>
        <v/>
      </c>
      <c r="U313" s="7">
        <f>IF($AH313="","",IF(INDEX('Per Invoice'!U$2:U$401,$AH313)="","",INDEX('Per Invoice'!U$2:U$401,$AH313)))</f>
        <v/>
      </c>
      <c r="V313">
        <f>IF($AH313="","",IF(INDEX('Per Invoice'!V$2:V$401,$AH313)="","",INDEX('Per Invoice'!V$2:V$401,$AH313)))</f>
        <v/>
      </c>
      <c r="W313" s="7">
        <f>IF($AH313="","",IF(INDEX('Per Invoice'!W$2:W$401,$AH313)="","",INDEX('Per Invoice'!W$2:W$401,$AH313)))</f>
        <v/>
      </c>
      <c r="X313" s="7">
        <f>IF($AH313="","",IF(INDEX('Per Invoice'!X$2:X$401,$AH313)="","",INDEX('Per Invoice'!X$2:X$401,$AH313)))</f>
        <v/>
      </c>
      <c r="Y313">
        <f>IF($AH313="","",IF(INDEX('Per Invoice'!Y$2:Y$401,$AH313)="","",INDEX('Per Invoice'!Y$2:Y$401,$AH313)))</f>
        <v/>
      </c>
      <c r="Z313" s="7">
        <f>IF($AH313="","",IF(INDEX('Per Invoice'!Z$2:Z$401,$AH313)="","",INDEX('Per Invoice'!Z$2:Z$401,$AH313)))</f>
        <v/>
      </c>
      <c r="AA313" s="7">
        <f>IF($AH313="","",IF(INDEX('Per Invoice'!AA$2:AA$401,$AH313)="","",INDEX('Per Invoice'!AA$2:AA$401,$AH313)))</f>
        <v/>
      </c>
      <c r="AB313" s="7">
        <f>IF($AH313="","",IF(INDEX('Per Invoice'!AB$2:AB$401,$AH313)="","",INDEX('Per Invoice'!AB$2:AB$401,$AH313)))</f>
        <v/>
      </c>
      <c r="AC313" s="7">
        <f>IF($AH313="","",IF(INDEX('Per Invoice'!AC$2:AC$401,$AH313)="","",INDEX('Per Invoice'!AC$2:AC$401,$AH313)))</f>
        <v/>
      </c>
      <c r="AD313" s="7">
        <f>IF($AH313="","",IF(INDEX('Per Invoice'!AD$2:AD$401,$AH313)="","",INDEX('Per Invoice'!AD$2:AD$401,$AH313)))</f>
        <v/>
      </c>
      <c r="AE313" s="7">
        <f>IF($AH313="","",IF(INDEX('Per Invoice'!AE$2:AE$401,$AH313)="","",INDEX('Per Invoice'!AE$2:AE$401,$AH313)))</f>
        <v/>
      </c>
      <c r="AF313">
        <f>IF($AH313="","",IF(INDEX('Per Invoice'!AF$2:AF$401,$AH313)="","",INDEX('Per Invoice'!AF$2:AF$401,$AH313)))</f>
        <v/>
      </c>
      <c r="AG313" s="7">
        <f>IF($AH313="","",IF(INDEX('Per Invoice'!AG$2:AG$401,$AH313)="","",INDEX('Per Invoice'!AG$2:AG$401,$AH313)))</f>
        <v/>
      </c>
      <c r="AH313" s="16">
        <f>IFERROR(MATCH(Settings!$C$26&amp;"|"&amp;ROWS($AH$2:$AH313),'Per Invoice'!$AI$2:$AI$401,0),"")</f>
        <v/>
      </c>
    </row>
    <row r="314">
      <c r="A314">
        <f>IF($AH314="","",IF(INDEX('Per Invoice'!A$2:A$401,$AH314)="","",INDEX('Per Invoice'!A$2:A$401,$AH314)))</f>
        <v/>
      </c>
      <c r="B314">
        <f>IF($AH314="","",IF(INDEX('Per Invoice'!B$2:B$401,$AH314)="","",INDEX('Per Invoice'!B$2:B$401,$AH314)))</f>
        <v/>
      </c>
      <c r="C314">
        <f>IF($AH314="","",IF(INDEX('Per Invoice'!C$2:C$401,$AH314)="","",INDEX('Per Invoice'!C$2:C$401,$AH314)))</f>
        <v/>
      </c>
      <c r="D314">
        <f>IF($AH314="","",IF(INDEX('Per Invoice'!D$2:D$401,$AH314)="","",INDEX('Per Invoice'!D$2:D$401,$AH314)))</f>
        <v/>
      </c>
      <c r="E314">
        <f>IF($AH314="","",IF(INDEX('Per Invoice'!E$2:E$401,$AH314)="","",INDEX('Per Invoice'!E$2:E$401,$AH314)))</f>
        <v/>
      </c>
      <c r="F314">
        <f>IF($AH314="","",IF(INDEX('Per Invoice'!F$2:F$401,$AH314)="","",INDEX('Per Invoice'!F$2:F$401,$AH314)))</f>
        <v/>
      </c>
      <c r="G314">
        <f>IF($AH314="","",IF(INDEX('Per Invoice'!G$2:G$401,$AH314)="","",INDEX('Per Invoice'!G$2:G$401,$AH314)))</f>
        <v/>
      </c>
      <c r="H314">
        <f>IF($AH314="","",IF(INDEX('Per Invoice'!H$2:H$401,$AH314)="","",INDEX('Per Invoice'!H$2:H$401,$AH314)))</f>
        <v/>
      </c>
      <c r="I314" s="14">
        <f>IF($AH314="","",IF(INDEX('Per Invoice'!I$2:I$401,$AH314)="","",INDEX('Per Invoice'!I$2:I$401,$AH314)))</f>
        <v/>
      </c>
      <c r="J314">
        <f>IF($AH314="","",IF(INDEX('Per Invoice'!J$2:J$401,$AH314)="","",INDEX('Per Invoice'!J$2:J$401,$AH314)))</f>
        <v/>
      </c>
      <c r="K314">
        <f>IF($AH314="","",IF(INDEX('Per Invoice'!K$2:K$401,$AH314)="","",INDEX('Per Invoice'!K$2:K$401,$AH314)))</f>
        <v/>
      </c>
      <c r="L314">
        <f>IF($AH314="","",IF(INDEX('Per Invoice'!L$2:L$401,$AH314)="","",INDEX('Per Invoice'!L$2:L$401,$AH314)))</f>
        <v/>
      </c>
      <c r="M314">
        <f>IF($AH314="","",IF(INDEX('Per Invoice'!M$2:M$401,$AH314)="","",INDEX('Per Invoice'!M$2:M$401,$AH314)))</f>
        <v/>
      </c>
      <c r="N314">
        <f>IF($AH314="","",IF(INDEX('Per Invoice'!N$2:N$401,$AH314)="","",INDEX('Per Invoice'!N$2:N$401,$AH314)))</f>
        <v/>
      </c>
      <c r="O314">
        <f>IF($AH314="","",IF(INDEX('Per Invoice'!O$2:O$401,$AH314)="","",INDEX('Per Invoice'!O$2:O$401,$AH314)))</f>
        <v/>
      </c>
      <c r="P314" s="7">
        <f>IF($AH314="","",IF(INDEX('Per Invoice'!P$2:P$401,$AH314)="","",INDEX('Per Invoice'!P$2:P$401,$AH314)))</f>
        <v/>
      </c>
      <c r="Q314">
        <f>IF($AH314="","",IF(INDEX('Per Invoice'!Q$2:Q$401,$AH314)="","",INDEX('Per Invoice'!Q$2:Q$401,$AH314)))</f>
        <v/>
      </c>
      <c r="R314">
        <f>IF($AH314="","",IF(INDEX('Per Invoice'!R$2:R$401,$AH314)="","",INDEX('Per Invoice'!R$2:R$401,$AH314)))</f>
        <v/>
      </c>
      <c r="S314">
        <f>IF($AH314="","",IF(INDEX('Per Invoice'!S$2:S$401,$AH314)="","",INDEX('Per Invoice'!S$2:S$401,$AH314)))</f>
        <v/>
      </c>
      <c r="T314" s="7">
        <f>IF($AH314="","",IF(INDEX('Per Invoice'!T$2:T$401,$AH314)="","",INDEX('Per Invoice'!T$2:T$401,$AH314)))</f>
        <v/>
      </c>
      <c r="U314" s="7">
        <f>IF($AH314="","",IF(INDEX('Per Invoice'!U$2:U$401,$AH314)="","",INDEX('Per Invoice'!U$2:U$401,$AH314)))</f>
        <v/>
      </c>
      <c r="V314">
        <f>IF($AH314="","",IF(INDEX('Per Invoice'!V$2:V$401,$AH314)="","",INDEX('Per Invoice'!V$2:V$401,$AH314)))</f>
        <v/>
      </c>
      <c r="W314" s="7">
        <f>IF($AH314="","",IF(INDEX('Per Invoice'!W$2:W$401,$AH314)="","",INDEX('Per Invoice'!W$2:W$401,$AH314)))</f>
        <v/>
      </c>
      <c r="X314" s="7">
        <f>IF($AH314="","",IF(INDEX('Per Invoice'!X$2:X$401,$AH314)="","",INDEX('Per Invoice'!X$2:X$401,$AH314)))</f>
        <v/>
      </c>
      <c r="Y314">
        <f>IF($AH314="","",IF(INDEX('Per Invoice'!Y$2:Y$401,$AH314)="","",INDEX('Per Invoice'!Y$2:Y$401,$AH314)))</f>
        <v/>
      </c>
      <c r="Z314" s="7">
        <f>IF($AH314="","",IF(INDEX('Per Invoice'!Z$2:Z$401,$AH314)="","",INDEX('Per Invoice'!Z$2:Z$401,$AH314)))</f>
        <v/>
      </c>
      <c r="AA314" s="7">
        <f>IF($AH314="","",IF(INDEX('Per Invoice'!AA$2:AA$401,$AH314)="","",INDEX('Per Invoice'!AA$2:AA$401,$AH314)))</f>
        <v/>
      </c>
      <c r="AB314" s="7">
        <f>IF($AH314="","",IF(INDEX('Per Invoice'!AB$2:AB$401,$AH314)="","",INDEX('Per Invoice'!AB$2:AB$401,$AH314)))</f>
        <v/>
      </c>
      <c r="AC314" s="7">
        <f>IF($AH314="","",IF(INDEX('Per Invoice'!AC$2:AC$401,$AH314)="","",INDEX('Per Invoice'!AC$2:AC$401,$AH314)))</f>
        <v/>
      </c>
      <c r="AD314" s="7">
        <f>IF($AH314="","",IF(INDEX('Per Invoice'!AD$2:AD$401,$AH314)="","",INDEX('Per Invoice'!AD$2:AD$401,$AH314)))</f>
        <v/>
      </c>
      <c r="AE314" s="7">
        <f>IF($AH314="","",IF(INDEX('Per Invoice'!AE$2:AE$401,$AH314)="","",INDEX('Per Invoice'!AE$2:AE$401,$AH314)))</f>
        <v/>
      </c>
      <c r="AF314">
        <f>IF($AH314="","",IF(INDEX('Per Invoice'!AF$2:AF$401,$AH314)="","",INDEX('Per Invoice'!AF$2:AF$401,$AH314)))</f>
        <v/>
      </c>
      <c r="AG314" s="7">
        <f>IF($AH314="","",IF(INDEX('Per Invoice'!AG$2:AG$401,$AH314)="","",INDEX('Per Invoice'!AG$2:AG$401,$AH314)))</f>
        <v/>
      </c>
      <c r="AH314" s="16">
        <f>IFERROR(MATCH(Settings!$C$26&amp;"|"&amp;ROWS($AH$2:$AH314),'Per Invoice'!$AI$2:$AI$401,0),"")</f>
        <v/>
      </c>
    </row>
    <row r="315">
      <c r="A315">
        <f>IF($AH315="","",IF(INDEX('Per Invoice'!A$2:A$401,$AH315)="","",INDEX('Per Invoice'!A$2:A$401,$AH315)))</f>
        <v/>
      </c>
      <c r="B315">
        <f>IF($AH315="","",IF(INDEX('Per Invoice'!B$2:B$401,$AH315)="","",INDEX('Per Invoice'!B$2:B$401,$AH315)))</f>
        <v/>
      </c>
      <c r="C315">
        <f>IF($AH315="","",IF(INDEX('Per Invoice'!C$2:C$401,$AH315)="","",INDEX('Per Invoice'!C$2:C$401,$AH315)))</f>
        <v/>
      </c>
      <c r="D315">
        <f>IF($AH315="","",IF(INDEX('Per Invoice'!D$2:D$401,$AH315)="","",INDEX('Per Invoice'!D$2:D$401,$AH315)))</f>
        <v/>
      </c>
      <c r="E315">
        <f>IF($AH315="","",IF(INDEX('Per Invoice'!E$2:E$401,$AH315)="","",INDEX('Per Invoice'!E$2:E$401,$AH315)))</f>
        <v/>
      </c>
      <c r="F315">
        <f>IF($AH315="","",IF(INDEX('Per Invoice'!F$2:F$401,$AH315)="","",INDEX('Per Invoice'!F$2:F$401,$AH315)))</f>
        <v/>
      </c>
      <c r="G315">
        <f>IF($AH315="","",IF(INDEX('Per Invoice'!G$2:G$401,$AH315)="","",INDEX('Per Invoice'!G$2:G$401,$AH315)))</f>
        <v/>
      </c>
      <c r="H315">
        <f>IF($AH315="","",IF(INDEX('Per Invoice'!H$2:H$401,$AH315)="","",INDEX('Per Invoice'!H$2:H$401,$AH315)))</f>
        <v/>
      </c>
      <c r="I315" s="14">
        <f>IF($AH315="","",IF(INDEX('Per Invoice'!I$2:I$401,$AH315)="","",INDEX('Per Invoice'!I$2:I$401,$AH315)))</f>
        <v/>
      </c>
      <c r="J315">
        <f>IF($AH315="","",IF(INDEX('Per Invoice'!J$2:J$401,$AH315)="","",INDEX('Per Invoice'!J$2:J$401,$AH315)))</f>
        <v/>
      </c>
      <c r="K315">
        <f>IF($AH315="","",IF(INDEX('Per Invoice'!K$2:K$401,$AH315)="","",INDEX('Per Invoice'!K$2:K$401,$AH315)))</f>
        <v/>
      </c>
      <c r="L315">
        <f>IF($AH315="","",IF(INDEX('Per Invoice'!L$2:L$401,$AH315)="","",INDEX('Per Invoice'!L$2:L$401,$AH315)))</f>
        <v/>
      </c>
      <c r="M315">
        <f>IF($AH315="","",IF(INDEX('Per Invoice'!M$2:M$401,$AH315)="","",INDEX('Per Invoice'!M$2:M$401,$AH315)))</f>
        <v/>
      </c>
      <c r="N315">
        <f>IF($AH315="","",IF(INDEX('Per Invoice'!N$2:N$401,$AH315)="","",INDEX('Per Invoice'!N$2:N$401,$AH315)))</f>
        <v/>
      </c>
      <c r="O315">
        <f>IF($AH315="","",IF(INDEX('Per Invoice'!O$2:O$401,$AH315)="","",INDEX('Per Invoice'!O$2:O$401,$AH315)))</f>
        <v/>
      </c>
      <c r="P315" s="7">
        <f>IF($AH315="","",IF(INDEX('Per Invoice'!P$2:P$401,$AH315)="","",INDEX('Per Invoice'!P$2:P$401,$AH315)))</f>
        <v/>
      </c>
      <c r="Q315">
        <f>IF($AH315="","",IF(INDEX('Per Invoice'!Q$2:Q$401,$AH315)="","",INDEX('Per Invoice'!Q$2:Q$401,$AH315)))</f>
        <v/>
      </c>
      <c r="R315">
        <f>IF($AH315="","",IF(INDEX('Per Invoice'!R$2:R$401,$AH315)="","",INDEX('Per Invoice'!R$2:R$401,$AH315)))</f>
        <v/>
      </c>
      <c r="S315">
        <f>IF($AH315="","",IF(INDEX('Per Invoice'!S$2:S$401,$AH315)="","",INDEX('Per Invoice'!S$2:S$401,$AH315)))</f>
        <v/>
      </c>
      <c r="T315" s="7">
        <f>IF($AH315="","",IF(INDEX('Per Invoice'!T$2:T$401,$AH315)="","",INDEX('Per Invoice'!T$2:T$401,$AH315)))</f>
        <v/>
      </c>
      <c r="U315" s="7">
        <f>IF($AH315="","",IF(INDEX('Per Invoice'!U$2:U$401,$AH315)="","",INDEX('Per Invoice'!U$2:U$401,$AH315)))</f>
        <v/>
      </c>
      <c r="V315">
        <f>IF($AH315="","",IF(INDEX('Per Invoice'!V$2:V$401,$AH315)="","",INDEX('Per Invoice'!V$2:V$401,$AH315)))</f>
        <v/>
      </c>
      <c r="W315" s="7">
        <f>IF($AH315="","",IF(INDEX('Per Invoice'!W$2:W$401,$AH315)="","",INDEX('Per Invoice'!W$2:W$401,$AH315)))</f>
        <v/>
      </c>
      <c r="X315" s="7">
        <f>IF($AH315="","",IF(INDEX('Per Invoice'!X$2:X$401,$AH315)="","",INDEX('Per Invoice'!X$2:X$401,$AH315)))</f>
        <v/>
      </c>
      <c r="Y315">
        <f>IF($AH315="","",IF(INDEX('Per Invoice'!Y$2:Y$401,$AH315)="","",INDEX('Per Invoice'!Y$2:Y$401,$AH315)))</f>
        <v/>
      </c>
      <c r="Z315" s="7">
        <f>IF($AH315="","",IF(INDEX('Per Invoice'!Z$2:Z$401,$AH315)="","",INDEX('Per Invoice'!Z$2:Z$401,$AH315)))</f>
        <v/>
      </c>
      <c r="AA315" s="7">
        <f>IF($AH315="","",IF(INDEX('Per Invoice'!AA$2:AA$401,$AH315)="","",INDEX('Per Invoice'!AA$2:AA$401,$AH315)))</f>
        <v/>
      </c>
      <c r="AB315" s="7">
        <f>IF($AH315="","",IF(INDEX('Per Invoice'!AB$2:AB$401,$AH315)="","",INDEX('Per Invoice'!AB$2:AB$401,$AH315)))</f>
        <v/>
      </c>
      <c r="AC315" s="7">
        <f>IF($AH315="","",IF(INDEX('Per Invoice'!AC$2:AC$401,$AH315)="","",INDEX('Per Invoice'!AC$2:AC$401,$AH315)))</f>
        <v/>
      </c>
      <c r="AD315" s="7">
        <f>IF($AH315="","",IF(INDEX('Per Invoice'!AD$2:AD$401,$AH315)="","",INDEX('Per Invoice'!AD$2:AD$401,$AH315)))</f>
        <v/>
      </c>
      <c r="AE315" s="7">
        <f>IF($AH315="","",IF(INDEX('Per Invoice'!AE$2:AE$401,$AH315)="","",INDEX('Per Invoice'!AE$2:AE$401,$AH315)))</f>
        <v/>
      </c>
      <c r="AF315">
        <f>IF($AH315="","",IF(INDEX('Per Invoice'!AF$2:AF$401,$AH315)="","",INDEX('Per Invoice'!AF$2:AF$401,$AH315)))</f>
        <v/>
      </c>
      <c r="AG315" s="7">
        <f>IF($AH315="","",IF(INDEX('Per Invoice'!AG$2:AG$401,$AH315)="","",INDEX('Per Invoice'!AG$2:AG$401,$AH315)))</f>
        <v/>
      </c>
      <c r="AH315" s="16">
        <f>IFERROR(MATCH(Settings!$C$26&amp;"|"&amp;ROWS($AH$2:$AH315),'Per Invoice'!$AI$2:$AI$401,0),"")</f>
        <v/>
      </c>
    </row>
    <row r="316">
      <c r="A316">
        <f>IF($AH316="","",IF(INDEX('Per Invoice'!A$2:A$401,$AH316)="","",INDEX('Per Invoice'!A$2:A$401,$AH316)))</f>
        <v/>
      </c>
      <c r="B316">
        <f>IF($AH316="","",IF(INDEX('Per Invoice'!B$2:B$401,$AH316)="","",INDEX('Per Invoice'!B$2:B$401,$AH316)))</f>
        <v/>
      </c>
      <c r="C316">
        <f>IF($AH316="","",IF(INDEX('Per Invoice'!C$2:C$401,$AH316)="","",INDEX('Per Invoice'!C$2:C$401,$AH316)))</f>
        <v/>
      </c>
      <c r="D316">
        <f>IF($AH316="","",IF(INDEX('Per Invoice'!D$2:D$401,$AH316)="","",INDEX('Per Invoice'!D$2:D$401,$AH316)))</f>
        <v/>
      </c>
      <c r="E316">
        <f>IF($AH316="","",IF(INDEX('Per Invoice'!E$2:E$401,$AH316)="","",INDEX('Per Invoice'!E$2:E$401,$AH316)))</f>
        <v/>
      </c>
      <c r="F316">
        <f>IF($AH316="","",IF(INDEX('Per Invoice'!F$2:F$401,$AH316)="","",INDEX('Per Invoice'!F$2:F$401,$AH316)))</f>
        <v/>
      </c>
      <c r="G316">
        <f>IF($AH316="","",IF(INDEX('Per Invoice'!G$2:G$401,$AH316)="","",INDEX('Per Invoice'!G$2:G$401,$AH316)))</f>
        <v/>
      </c>
      <c r="H316">
        <f>IF($AH316="","",IF(INDEX('Per Invoice'!H$2:H$401,$AH316)="","",INDEX('Per Invoice'!H$2:H$401,$AH316)))</f>
        <v/>
      </c>
      <c r="I316" s="14">
        <f>IF($AH316="","",IF(INDEX('Per Invoice'!I$2:I$401,$AH316)="","",INDEX('Per Invoice'!I$2:I$401,$AH316)))</f>
        <v/>
      </c>
      <c r="J316">
        <f>IF($AH316="","",IF(INDEX('Per Invoice'!J$2:J$401,$AH316)="","",INDEX('Per Invoice'!J$2:J$401,$AH316)))</f>
        <v/>
      </c>
      <c r="K316">
        <f>IF($AH316="","",IF(INDEX('Per Invoice'!K$2:K$401,$AH316)="","",INDEX('Per Invoice'!K$2:K$401,$AH316)))</f>
        <v/>
      </c>
      <c r="L316">
        <f>IF($AH316="","",IF(INDEX('Per Invoice'!L$2:L$401,$AH316)="","",INDEX('Per Invoice'!L$2:L$401,$AH316)))</f>
        <v/>
      </c>
      <c r="M316">
        <f>IF($AH316="","",IF(INDEX('Per Invoice'!M$2:M$401,$AH316)="","",INDEX('Per Invoice'!M$2:M$401,$AH316)))</f>
        <v/>
      </c>
      <c r="N316">
        <f>IF($AH316="","",IF(INDEX('Per Invoice'!N$2:N$401,$AH316)="","",INDEX('Per Invoice'!N$2:N$401,$AH316)))</f>
        <v/>
      </c>
      <c r="O316">
        <f>IF($AH316="","",IF(INDEX('Per Invoice'!O$2:O$401,$AH316)="","",INDEX('Per Invoice'!O$2:O$401,$AH316)))</f>
        <v/>
      </c>
      <c r="P316" s="7">
        <f>IF($AH316="","",IF(INDEX('Per Invoice'!P$2:P$401,$AH316)="","",INDEX('Per Invoice'!P$2:P$401,$AH316)))</f>
        <v/>
      </c>
      <c r="Q316">
        <f>IF($AH316="","",IF(INDEX('Per Invoice'!Q$2:Q$401,$AH316)="","",INDEX('Per Invoice'!Q$2:Q$401,$AH316)))</f>
        <v/>
      </c>
      <c r="R316">
        <f>IF($AH316="","",IF(INDEX('Per Invoice'!R$2:R$401,$AH316)="","",INDEX('Per Invoice'!R$2:R$401,$AH316)))</f>
        <v/>
      </c>
      <c r="S316">
        <f>IF($AH316="","",IF(INDEX('Per Invoice'!S$2:S$401,$AH316)="","",INDEX('Per Invoice'!S$2:S$401,$AH316)))</f>
        <v/>
      </c>
      <c r="T316" s="7">
        <f>IF($AH316="","",IF(INDEX('Per Invoice'!T$2:T$401,$AH316)="","",INDEX('Per Invoice'!T$2:T$401,$AH316)))</f>
        <v/>
      </c>
      <c r="U316" s="7">
        <f>IF($AH316="","",IF(INDEX('Per Invoice'!U$2:U$401,$AH316)="","",INDEX('Per Invoice'!U$2:U$401,$AH316)))</f>
        <v/>
      </c>
      <c r="V316">
        <f>IF($AH316="","",IF(INDEX('Per Invoice'!V$2:V$401,$AH316)="","",INDEX('Per Invoice'!V$2:V$401,$AH316)))</f>
        <v/>
      </c>
      <c r="W316" s="7">
        <f>IF($AH316="","",IF(INDEX('Per Invoice'!W$2:W$401,$AH316)="","",INDEX('Per Invoice'!W$2:W$401,$AH316)))</f>
        <v/>
      </c>
      <c r="X316" s="7">
        <f>IF($AH316="","",IF(INDEX('Per Invoice'!X$2:X$401,$AH316)="","",INDEX('Per Invoice'!X$2:X$401,$AH316)))</f>
        <v/>
      </c>
      <c r="Y316">
        <f>IF($AH316="","",IF(INDEX('Per Invoice'!Y$2:Y$401,$AH316)="","",INDEX('Per Invoice'!Y$2:Y$401,$AH316)))</f>
        <v/>
      </c>
      <c r="Z316" s="7">
        <f>IF($AH316="","",IF(INDEX('Per Invoice'!Z$2:Z$401,$AH316)="","",INDEX('Per Invoice'!Z$2:Z$401,$AH316)))</f>
        <v/>
      </c>
      <c r="AA316" s="7">
        <f>IF($AH316="","",IF(INDEX('Per Invoice'!AA$2:AA$401,$AH316)="","",INDEX('Per Invoice'!AA$2:AA$401,$AH316)))</f>
        <v/>
      </c>
      <c r="AB316" s="7">
        <f>IF($AH316="","",IF(INDEX('Per Invoice'!AB$2:AB$401,$AH316)="","",INDEX('Per Invoice'!AB$2:AB$401,$AH316)))</f>
        <v/>
      </c>
      <c r="AC316" s="7">
        <f>IF($AH316="","",IF(INDEX('Per Invoice'!AC$2:AC$401,$AH316)="","",INDEX('Per Invoice'!AC$2:AC$401,$AH316)))</f>
        <v/>
      </c>
      <c r="AD316" s="7">
        <f>IF($AH316="","",IF(INDEX('Per Invoice'!AD$2:AD$401,$AH316)="","",INDEX('Per Invoice'!AD$2:AD$401,$AH316)))</f>
        <v/>
      </c>
      <c r="AE316" s="7">
        <f>IF($AH316="","",IF(INDEX('Per Invoice'!AE$2:AE$401,$AH316)="","",INDEX('Per Invoice'!AE$2:AE$401,$AH316)))</f>
        <v/>
      </c>
      <c r="AF316">
        <f>IF($AH316="","",IF(INDEX('Per Invoice'!AF$2:AF$401,$AH316)="","",INDEX('Per Invoice'!AF$2:AF$401,$AH316)))</f>
        <v/>
      </c>
      <c r="AG316" s="7">
        <f>IF($AH316="","",IF(INDEX('Per Invoice'!AG$2:AG$401,$AH316)="","",INDEX('Per Invoice'!AG$2:AG$401,$AH316)))</f>
        <v/>
      </c>
      <c r="AH316" s="16">
        <f>IFERROR(MATCH(Settings!$C$26&amp;"|"&amp;ROWS($AH$2:$AH316),'Per Invoice'!$AI$2:$AI$401,0),"")</f>
        <v/>
      </c>
    </row>
    <row r="317">
      <c r="A317">
        <f>IF($AH317="","",IF(INDEX('Per Invoice'!A$2:A$401,$AH317)="","",INDEX('Per Invoice'!A$2:A$401,$AH317)))</f>
        <v/>
      </c>
      <c r="B317">
        <f>IF($AH317="","",IF(INDEX('Per Invoice'!B$2:B$401,$AH317)="","",INDEX('Per Invoice'!B$2:B$401,$AH317)))</f>
        <v/>
      </c>
      <c r="C317">
        <f>IF($AH317="","",IF(INDEX('Per Invoice'!C$2:C$401,$AH317)="","",INDEX('Per Invoice'!C$2:C$401,$AH317)))</f>
        <v/>
      </c>
      <c r="D317">
        <f>IF($AH317="","",IF(INDEX('Per Invoice'!D$2:D$401,$AH317)="","",INDEX('Per Invoice'!D$2:D$401,$AH317)))</f>
        <v/>
      </c>
      <c r="E317">
        <f>IF($AH317="","",IF(INDEX('Per Invoice'!E$2:E$401,$AH317)="","",INDEX('Per Invoice'!E$2:E$401,$AH317)))</f>
        <v/>
      </c>
      <c r="F317">
        <f>IF($AH317="","",IF(INDEX('Per Invoice'!F$2:F$401,$AH317)="","",INDEX('Per Invoice'!F$2:F$401,$AH317)))</f>
        <v/>
      </c>
      <c r="G317">
        <f>IF($AH317="","",IF(INDEX('Per Invoice'!G$2:G$401,$AH317)="","",INDEX('Per Invoice'!G$2:G$401,$AH317)))</f>
        <v/>
      </c>
      <c r="H317">
        <f>IF($AH317="","",IF(INDEX('Per Invoice'!H$2:H$401,$AH317)="","",INDEX('Per Invoice'!H$2:H$401,$AH317)))</f>
        <v/>
      </c>
      <c r="I317" s="14">
        <f>IF($AH317="","",IF(INDEX('Per Invoice'!I$2:I$401,$AH317)="","",INDEX('Per Invoice'!I$2:I$401,$AH317)))</f>
        <v/>
      </c>
      <c r="J317">
        <f>IF($AH317="","",IF(INDEX('Per Invoice'!J$2:J$401,$AH317)="","",INDEX('Per Invoice'!J$2:J$401,$AH317)))</f>
        <v/>
      </c>
      <c r="K317">
        <f>IF($AH317="","",IF(INDEX('Per Invoice'!K$2:K$401,$AH317)="","",INDEX('Per Invoice'!K$2:K$401,$AH317)))</f>
        <v/>
      </c>
      <c r="L317">
        <f>IF($AH317="","",IF(INDEX('Per Invoice'!L$2:L$401,$AH317)="","",INDEX('Per Invoice'!L$2:L$401,$AH317)))</f>
        <v/>
      </c>
      <c r="M317">
        <f>IF($AH317="","",IF(INDEX('Per Invoice'!M$2:M$401,$AH317)="","",INDEX('Per Invoice'!M$2:M$401,$AH317)))</f>
        <v/>
      </c>
      <c r="N317">
        <f>IF($AH317="","",IF(INDEX('Per Invoice'!N$2:N$401,$AH317)="","",INDEX('Per Invoice'!N$2:N$401,$AH317)))</f>
        <v/>
      </c>
      <c r="O317">
        <f>IF($AH317="","",IF(INDEX('Per Invoice'!O$2:O$401,$AH317)="","",INDEX('Per Invoice'!O$2:O$401,$AH317)))</f>
        <v/>
      </c>
      <c r="P317" s="7">
        <f>IF($AH317="","",IF(INDEX('Per Invoice'!P$2:P$401,$AH317)="","",INDEX('Per Invoice'!P$2:P$401,$AH317)))</f>
        <v/>
      </c>
      <c r="Q317">
        <f>IF($AH317="","",IF(INDEX('Per Invoice'!Q$2:Q$401,$AH317)="","",INDEX('Per Invoice'!Q$2:Q$401,$AH317)))</f>
        <v/>
      </c>
      <c r="R317">
        <f>IF($AH317="","",IF(INDEX('Per Invoice'!R$2:R$401,$AH317)="","",INDEX('Per Invoice'!R$2:R$401,$AH317)))</f>
        <v/>
      </c>
      <c r="S317">
        <f>IF($AH317="","",IF(INDEX('Per Invoice'!S$2:S$401,$AH317)="","",INDEX('Per Invoice'!S$2:S$401,$AH317)))</f>
        <v/>
      </c>
      <c r="T317" s="7">
        <f>IF($AH317="","",IF(INDEX('Per Invoice'!T$2:T$401,$AH317)="","",INDEX('Per Invoice'!T$2:T$401,$AH317)))</f>
        <v/>
      </c>
      <c r="U317" s="7">
        <f>IF($AH317="","",IF(INDEX('Per Invoice'!U$2:U$401,$AH317)="","",INDEX('Per Invoice'!U$2:U$401,$AH317)))</f>
        <v/>
      </c>
      <c r="V317">
        <f>IF($AH317="","",IF(INDEX('Per Invoice'!V$2:V$401,$AH317)="","",INDEX('Per Invoice'!V$2:V$401,$AH317)))</f>
        <v/>
      </c>
      <c r="W317" s="7">
        <f>IF($AH317="","",IF(INDEX('Per Invoice'!W$2:W$401,$AH317)="","",INDEX('Per Invoice'!W$2:W$401,$AH317)))</f>
        <v/>
      </c>
      <c r="X317" s="7">
        <f>IF($AH317="","",IF(INDEX('Per Invoice'!X$2:X$401,$AH317)="","",INDEX('Per Invoice'!X$2:X$401,$AH317)))</f>
        <v/>
      </c>
      <c r="Y317">
        <f>IF($AH317="","",IF(INDEX('Per Invoice'!Y$2:Y$401,$AH317)="","",INDEX('Per Invoice'!Y$2:Y$401,$AH317)))</f>
        <v/>
      </c>
      <c r="Z317" s="7">
        <f>IF($AH317="","",IF(INDEX('Per Invoice'!Z$2:Z$401,$AH317)="","",INDEX('Per Invoice'!Z$2:Z$401,$AH317)))</f>
        <v/>
      </c>
      <c r="AA317" s="7">
        <f>IF($AH317="","",IF(INDEX('Per Invoice'!AA$2:AA$401,$AH317)="","",INDEX('Per Invoice'!AA$2:AA$401,$AH317)))</f>
        <v/>
      </c>
      <c r="AB317" s="7">
        <f>IF($AH317="","",IF(INDEX('Per Invoice'!AB$2:AB$401,$AH317)="","",INDEX('Per Invoice'!AB$2:AB$401,$AH317)))</f>
        <v/>
      </c>
      <c r="AC317" s="7">
        <f>IF($AH317="","",IF(INDEX('Per Invoice'!AC$2:AC$401,$AH317)="","",INDEX('Per Invoice'!AC$2:AC$401,$AH317)))</f>
        <v/>
      </c>
      <c r="AD317" s="7">
        <f>IF($AH317="","",IF(INDEX('Per Invoice'!AD$2:AD$401,$AH317)="","",INDEX('Per Invoice'!AD$2:AD$401,$AH317)))</f>
        <v/>
      </c>
      <c r="AE317" s="7">
        <f>IF($AH317="","",IF(INDEX('Per Invoice'!AE$2:AE$401,$AH317)="","",INDEX('Per Invoice'!AE$2:AE$401,$AH317)))</f>
        <v/>
      </c>
      <c r="AF317">
        <f>IF($AH317="","",IF(INDEX('Per Invoice'!AF$2:AF$401,$AH317)="","",INDEX('Per Invoice'!AF$2:AF$401,$AH317)))</f>
        <v/>
      </c>
      <c r="AG317" s="7">
        <f>IF($AH317="","",IF(INDEX('Per Invoice'!AG$2:AG$401,$AH317)="","",INDEX('Per Invoice'!AG$2:AG$401,$AH317)))</f>
        <v/>
      </c>
      <c r="AH317" s="16">
        <f>IFERROR(MATCH(Settings!$C$26&amp;"|"&amp;ROWS($AH$2:$AH317),'Per Invoice'!$AI$2:$AI$401,0),"")</f>
        <v/>
      </c>
    </row>
    <row r="318">
      <c r="A318">
        <f>IF($AH318="","",IF(INDEX('Per Invoice'!A$2:A$401,$AH318)="","",INDEX('Per Invoice'!A$2:A$401,$AH318)))</f>
        <v/>
      </c>
      <c r="B318">
        <f>IF($AH318="","",IF(INDEX('Per Invoice'!B$2:B$401,$AH318)="","",INDEX('Per Invoice'!B$2:B$401,$AH318)))</f>
        <v/>
      </c>
      <c r="C318">
        <f>IF($AH318="","",IF(INDEX('Per Invoice'!C$2:C$401,$AH318)="","",INDEX('Per Invoice'!C$2:C$401,$AH318)))</f>
        <v/>
      </c>
      <c r="D318">
        <f>IF($AH318="","",IF(INDEX('Per Invoice'!D$2:D$401,$AH318)="","",INDEX('Per Invoice'!D$2:D$401,$AH318)))</f>
        <v/>
      </c>
      <c r="E318">
        <f>IF($AH318="","",IF(INDEX('Per Invoice'!E$2:E$401,$AH318)="","",INDEX('Per Invoice'!E$2:E$401,$AH318)))</f>
        <v/>
      </c>
      <c r="F318">
        <f>IF($AH318="","",IF(INDEX('Per Invoice'!F$2:F$401,$AH318)="","",INDEX('Per Invoice'!F$2:F$401,$AH318)))</f>
        <v/>
      </c>
      <c r="G318">
        <f>IF($AH318="","",IF(INDEX('Per Invoice'!G$2:G$401,$AH318)="","",INDEX('Per Invoice'!G$2:G$401,$AH318)))</f>
        <v/>
      </c>
      <c r="H318">
        <f>IF($AH318="","",IF(INDEX('Per Invoice'!H$2:H$401,$AH318)="","",INDEX('Per Invoice'!H$2:H$401,$AH318)))</f>
        <v/>
      </c>
      <c r="I318" s="14">
        <f>IF($AH318="","",IF(INDEX('Per Invoice'!I$2:I$401,$AH318)="","",INDEX('Per Invoice'!I$2:I$401,$AH318)))</f>
        <v/>
      </c>
      <c r="J318">
        <f>IF($AH318="","",IF(INDEX('Per Invoice'!J$2:J$401,$AH318)="","",INDEX('Per Invoice'!J$2:J$401,$AH318)))</f>
        <v/>
      </c>
      <c r="K318">
        <f>IF($AH318="","",IF(INDEX('Per Invoice'!K$2:K$401,$AH318)="","",INDEX('Per Invoice'!K$2:K$401,$AH318)))</f>
        <v/>
      </c>
      <c r="L318">
        <f>IF($AH318="","",IF(INDEX('Per Invoice'!L$2:L$401,$AH318)="","",INDEX('Per Invoice'!L$2:L$401,$AH318)))</f>
        <v/>
      </c>
      <c r="M318">
        <f>IF($AH318="","",IF(INDEX('Per Invoice'!M$2:M$401,$AH318)="","",INDEX('Per Invoice'!M$2:M$401,$AH318)))</f>
        <v/>
      </c>
      <c r="N318">
        <f>IF($AH318="","",IF(INDEX('Per Invoice'!N$2:N$401,$AH318)="","",INDEX('Per Invoice'!N$2:N$401,$AH318)))</f>
        <v/>
      </c>
      <c r="O318">
        <f>IF($AH318="","",IF(INDEX('Per Invoice'!O$2:O$401,$AH318)="","",INDEX('Per Invoice'!O$2:O$401,$AH318)))</f>
        <v/>
      </c>
      <c r="P318" s="7">
        <f>IF($AH318="","",IF(INDEX('Per Invoice'!P$2:P$401,$AH318)="","",INDEX('Per Invoice'!P$2:P$401,$AH318)))</f>
        <v/>
      </c>
      <c r="Q318">
        <f>IF($AH318="","",IF(INDEX('Per Invoice'!Q$2:Q$401,$AH318)="","",INDEX('Per Invoice'!Q$2:Q$401,$AH318)))</f>
        <v/>
      </c>
      <c r="R318">
        <f>IF($AH318="","",IF(INDEX('Per Invoice'!R$2:R$401,$AH318)="","",INDEX('Per Invoice'!R$2:R$401,$AH318)))</f>
        <v/>
      </c>
      <c r="S318">
        <f>IF($AH318="","",IF(INDEX('Per Invoice'!S$2:S$401,$AH318)="","",INDEX('Per Invoice'!S$2:S$401,$AH318)))</f>
        <v/>
      </c>
      <c r="T318" s="7">
        <f>IF($AH318="","",IF(INDEX('Per Invoice'!T$2:T$401,$AH318)="","",INDEX('Per Invoice'!T$2:T$401,$AH318)))</f>
        <v/>
      </c>
      <c r="U318" s="7">
        <f>IF($AH318="","",IF(INDEX('Per Invoice'!U$2:U$401,$AH318)="","",INDEX('Per Invoice'!U$2:U$401,$AH318)))</f>
        <v/>
      </c>
      <c r="V318">
        <f>IF($AH318="","",IF(INDEX('Per Invoice'!V$2:V$401,$AH318)="","",INDEX('Per Invoice'!V$2:V$401,$AH318)))</f>
        <v/>
      </c>
      <c r="W318" s="7">
        <f>IF($AH318="","",IF(INDEX('Per Invoice'!W$2:W$401,$AH318)="","",INDEX('Per Invoice'!W$2:W$401,$AH318)))</f>
        <v/>
      </c>
      <c r="X318" s="7">
        <f>IF($AH318="","",IF(INDEX('Per Invoice'!X$2:X$401,$AH318)="","",INDEX('Per Invoice'!X$2:X$401,$AH318)))</f>
        <v/>
      </c>
      <c r="Y318">
        <f>IF($AH318="","",IF(INDEX('Per Invoice'!Y$2:Y$401,$AH318)="","",INDEX('Per Invoice'!Y$2:Y$401,$AH318)))</f>
        <v/>
      </c>
      <c r="Z318" s="7">
        <f>IF($AH318="","",IF(INDEX('Per Invoice'!Z$2:Z$401,$AH318)="","",INDEX('Per Invoice'!Z$2:Z$401,$AH318)))</f>
        <v/>
      </c>
      <c r="AA318" s="7">
        <f>IF($AH318="","",IF(INDEX('Per Invoice'!AA$2:AA$401,$AH318)="","",INDEX('Per Invoice'!AA$2:AA$401,$AH318)))</f>
        <v/>
      </c>
      <c r="AB318" s="7">
        <f>IF($AH318="","",IF(INDEX('Per Invoice'!AB$2:AB$401,$AH318)="","",INDEX('Per Invoice'!AB$2:AB$401,$AH318)))</f>
        <v/>
      </c>
      <c r="AC318" s="7">
        <f>IF($AH318="","",IF(INDEX('Per Invoice'!AC$2:AC$401,$AH318)="","",INDEX('Per Invoice'!AC$2:AC$401,$AH318)))</f>
        <v/>
      </c>
      <c r="AD318" s="7">
        <f>IF($AH318="","",IF(INDEX('Per Invoice'!AD$2:AD$401,$AH318)="","",INDEX('Per Invoice'!AD$2:AD$401,$AH318)))</f>
        <v/>
      </c>
      <c r="AE318" s="7">
        <f>IF($AH318="","",IF(INDEX('Per Invoice'!AE$2:AE$401,$AH318)="","",INDEX('Per Invoice'!AE$2:AE$401,$AH318)))</f>
        <v/>
      </c>
      <c r="AF318">
        <f>IF($AH318="","",IF(INDEX('Per Invoice'!AF$2:AF$401,$AH318)="","",INDEX('Per Invoice'!AF$2:AF$401,$AH318)))</f>
        <v/>
      </c>
      <c r="AG318" s="7">
        <f>IF($AH318="","",IF(INDEX('Per Invoice'!AG$2:AG$401,$AH318)="","",INDEX('Per Invoice'!AG$2:AG$401,$AH318)))</f>
        <v/>
      </c>
      <c r="AH318" s="16">
        <f>IFERROR(MATCH(Settings!$C$26&amp;"|"&amp;ROWS($AH$2:$AH318),'Per Invoice'!$AI$2:$AI$401,0),"")</f>
        <v/>
      </c>
    </row>
    <row r="319">
      <c r="A319">
        <f>IF($AH319="","",IF(INDEX('Per Invoice'!A$2:A$401,$AH319)="","",INDEX('Per Invoice'!A$2:A$401,$AH319)))</f>
        <v/>
      </c>
      <c r="B319">
        <f>IF($AH319="","",IF(INDEX('Per Invoice'!B$2:B$401,$AH319)="","",INDEX('Per Invoice'!B$2:B$401,$AH319)))</f>
        <v/>
      </c>
      <c r="C319">
        <f>IF($AH319="","",IF(INDEX('Per Invoice'!C$2:C$401,$AH319)="","",INDEX('Per Invoice'!C$2:C$401,$AH319)))</f>
        <v/>
      </c>
      <c r="D319">
        <f>IF($AH319="","",IF(INDEX('Per Invoice'!D$2:D$401,$AH319)="","",INDEX('Per Invoice'!D$2:D$401,$AH319)))</f>
        <v/>
      </c>
      <c r="E319">
        <f>IF($AH319="","",IF(INDEX('Per Invoice'!E$2:E$401,$AH319)="","",INDEX('Per Invoice'!E$2:E$401,$AH319)))</f>
        <v/>
      </c>
      <c r="F319">
        <f>IF($AH319="","",IF(INDEX('Per Invoice'!F$2:F$401,$AH319)="","",INDEX('Per Invoice'!F$2:F$401,$AH319)))</f>
        <v/>
      </c>
      <c r="G319">
        <f>IF($AH319="","",IF(INDEX('Per Invoice'!G$2:G$401,$AH319)="","",INDEX('Per Invoice'!G$2:G$401,$AH319)))</f>
        <v/>
      </c>
      <c r="H319">
        <f>IF($AH319="","",IF(INDEX('Per Invoice'!H$2:H$401,$AH319)="","",INDEX('Per Invoice'!H$2:H$401,$AH319)))</f>
        <v/>
      </c>
      <c r="I319" s="14">
        <f>IF($AH319="","",IF(INDEX('Per Invoice'!I$2:I$401,$AH319)="","",INDEX('Per Invoice'!I$2:I$401,$AH319)))</f>
        <v/>
      </c>
      <c r="J319">
        <f>IF($AH319="","",IF(INDEX('Per Invoice'!J$2:J$401,$AH319)="","",INDEX('Per Invoice'!J$2:J$401,$AH319)))</f>
        <v/>
      </c>
      <c r="K319">
        <f>IF($AH319="","",IF(INDEX('Per Invoice'!K$2:K$401,$AH319)="","",INDEX('Per Invoice'!K$2:K$401,$AH319)))</f>
        <v/>
      </c>
      <c r="L319">
        <f>IF($AH319="","",IF(INDEX('Per Invoice'!L$2:L$401,$AH319)="","",INDEX('Per Invoice'!L$2:L$401,$AH319)))</f>
        <v/>
      </c>
      <c r="M319">
        <f>IF($AH319="","",IF(INDEX('Per Invoice'!M$2:M$401,$AH319)="","",INDEX('Per Invoice'!M$2:M$401,$AH319)))</f>
        <v/>
      </c>
      <c r="N319">
        <f>IF($AH319="","",IF(INDEX('Per Invoice'!N$2:N$401,$AH319)="","",INDEX('Per Invoice'!N$2:N$401,$AH319)))</f>
        <v/>
      </c>
      <c r="O319">
        <f>IF($AH319="","",IF(INDEX('Per Invoice'!O$2:O$401,$AH319)="","",INDEX('Per Invoice'!O$2:O$401,$AH319)))</f>
        <v/>
      </c>
      <c r="P319" s="7">
        <f>IF($AH319="","",IF(INDEX('Per Invoice'!P$2:P$401,$AH319)="","",INDEX('Per Invoice'!P$2:P$401,$AH319)))</f>
        <v/>
      </c>
      <c r="Q319">
        <f>IF($AH319="","",IF(INDEX('Per Invoice'!Q$2:Q$401,$AH319)="","",INDEX('Per Invoice'!Q$2:Q$401,$AH319)))</f>
        <v/>
      </c>
      <c r="R319">
        <f>IF($AH319="","",IF(INDEX('Per Invoice'!R$2:R$401,$AH319)="","",INDEX('Per Invoice'!R$2:R$401,$AH319)))</f>
        <v/>
      </c>
      <c r="S319">
        <f>IF($AH319="","",IF(INDEX('Per Invoice'!S$2:S$401,$AH319)="","",INDEX('Per Invoice'!S$2:S$401,$AH319)))</f>
        <v/>
      </c>
      <c r="T319" s="7">
        <f>IF($AH319="","",IF(INDEX('Per Invoice'!T$2:T$401,$AH319)="","",INDEX('Per Invoice'!T$2:T$401,$AH319)))</f>
        <v/>
      </c>
      <c r="U319" s="7">
        <f>IF($AH319="","",IF(INDEX('Per Invoice'!U$2:U$401,$AH319)="","",INDEX('Per Invoice'!U$2:U$401,$AH319)))</f>
        <v/>
      </c>
      <c r="V319">
        <f>IF($AH319="","",IF(INDEX('Per Invoice'!V$2:V$401,$AH319)="","",INDEX('Per Invoice'!V$2:V$401,$AH319)))</f>
        <v/>
      </c>
      <c r="W319" s="7">
        <f>IF($AH319="","",IF(INDEX('Per Invoice'!W$2:W$401,$AH319)="","",INDEX('Per Invoice'!W$2:W$401,$AH319)))</f>
        <v/>
      </c>
      <c r="X319" s="7">
        <f>IF($AH319="","",IF(INDEX('Per Invoice'!X$2:X$401,$AH319)="","",INDEX('Per Invoice'!X$2:X$401,$AH319)))</f>
        <v/>
      </c>
      <c r="Y319">
        <f>IF($AH319="","",IF(INDEX('Per Invoice'!Y$2:Y$401,$AH319)="","",INDEX('Per Invoice'!Y$2:Y$401,$AH319)))</f>
        <v/>
      </c>
      <c r="Z319" s="7">
        <f>IF($AH319="","",IF(INDEX('Per Invoice'!Z$2:Z$401,$AH319)="","",INDEX('Per Invoice'!Z$2:Z$401,$AH319)))</f>
        <v/>
      </c>
      <c r="AA319" s="7">
        <f>IF($AH319="","",IF(INDEX('Per Invoice'!AA$2:AA$401,$AH319)="","",INDEX('Per Invoice'!AA$2:AA$401,$AH319)))</f>
        <v/>
      </c>
      <c r="AB319" s="7">
        <f>IF($AH319="","",IF(INDEX('Per Invoice'!AB$2:AB$401,$AH319)="","",INDEX('Per Invoice'!AB$2:AB$401,$AH319)))</f>
        <v/>
      </c>
      <c r="AC319" s="7">
        <f>IF($AH319="","",IF(INDEX('Per Invoice'!AC$2:AC$401,$AH319)="","",INDEX('Per Invoice'!AC$2:AC$401,$AH319)))</f>
        <v/>
      </c>
      <c r="AD319" s="7">
        <f>IF($AH319="","",IF(INDEX('Per Invoice'!AD$2:AD$401,$AH319)="","",INDEX('Per Invoice'!AD$2:AD$401,$AH319)))</f>
        <v/>
      </c>
      <c r="AE319" s="7">
        <f>IF($AH319="","",IF(INDEX('Per Invoice'!AE$2:AE$401,$AH319)="","",INDEX('Per Invoice'!AE$2:AE$401,$AH319)))</f>
        <v/>
      </c>
      <c r="AF319">
        <f>IF($AH319="","",IF(INDEX('Per Invoice'!AF$2:AF$401,$AH319)="","",INDEX('Per Invoice'!AF$2:AF$401,$AH319)))</f>
        <v/>
      </c>
      <c r="AG319" s="7">
        <f>IF($AH319="","",IF(INDEX('Per Invoice'!AG$2:AG$401,$AH319)="","",INDEX('Per Invoice'!AG$2:AG$401,$AH319)))</f>
        <v/>
      </c>
      <c r="AH319" s="16">
        <f>IFERROR(MATCH(Settings!$C$26&amp;"|"&amp;ROWS($AH$2:$AH319),'Per Invoice'!$AI$2:$AI$401,0),"")</f>
        <v/>
      </c>
    </row>
    <row r="320">
      <c r="A320">
        <f>IF($AH320="","",IF(INDEX('Per Invoice'!A$2:A$401,$AH320)="","",INDEX('Per Invoice'!A$2:A$401,$AH320)))</f>
        <v/>
      </c>
      <c r="B320">
        <f>IF($AH320="","",IF(INDEX('Per Invoice'!B$2:B$401,$AH320)="","",INDEX('Per Invoice'!B$2:B$401,$AH320)))</f>
        <v/>
      </c>
      <c r="C320">
        <f>IF($AH320="","",IF(INDEX('Per Invoice'!C$2:C$401,$AH320)="","",INDEX('Per Invoice'!C$2:C$401,$AH320)))</f>
        <v/>
      </c>
      <c r="D320">
        <f>IF($AH320="","",IF(INDEX('Per Invoice'!D$2:D$401,$AH320)="","",INDEX('Per Invoice'!D$2:D$401,$AH320)))</f>
        <v/>
      </c>
      <c r="E320">
        <f>IF($AH320="","",IF(INDEX('Per Invoice'!E$2:E$401,$AH320)="","",INDEX('Per Invoice'!E$2:E$401,$AH320)))</f>
        <v/>
      </c>
      <c r="F320">
        <f>IF($AH320="","",IF(INDEX('Per Invoice'!F$2:F$401,$AH320)="","",INDEX('Per Invoice'!F$2:F$401,$AH320)))</f>
        <v/>
      </c>
      <c r="G320">
        <f>IF($AH320="","",IF(INDEX('Per Invoice'!G$2:G$401,$AH320)="","",INDEX('Per Invoice'!G$2:G$401,$AH320)))</f>
        <v/>
      </c>
      <c r="H320">
        <f>IF($AH320="","",IF(INDEX('Per Invoice'!H$2:H$401,$AH320)="","",INDEX('Per Invoice'!H$2:H$401,$AH320)))</f>
        <v/>
      </c>
      <c r="I320" s="14">
        <f>IF($AH320="","",IF(INDEX('Per Invoice'!I$2:I$401,$AH320)="","",INDEX('Per Invoice'!I$2:I$401,$AH320)))</f>
        <v/>
      </c>
      <c r="J320">
        <f>IF($AH320="","",IF(INDEX('Per Invoice'!J$2:J$401,$AH320)="","",INDEX('Per Invoice'!J$2:J$401,$AH320)))</f>
        <v/>
      </c>
      <c r="K320">
        <f>IF($AH320="","",IF(INDEX('Per Invoice'!K$2:K$401,$AH320)="","",INDEX('Per Invoice'!K$2:K$401,$AH320)))</f>
        <v/>
      </c>
      <c r="L320">
        <f>IF($AH320="","",IF(INDEX('Per Invoice'!L$2:L$401,$AH320)="","",INDEX('Per Invoice'!L$2:L$401,$AH320)))</f>
        <v/>
      </c>
      <c r="M320">
        <f>IF($AH320="","",IF(INDEX('Per Invoice'!M$2:M$401,$AH320)="","",INDEX('Per Invoice'!M$2:M$401,$AH320)))</f>
        <v/>
      </c>
      <c r="N320">
        <f>IF($AH320="","",IF(INDEX('Per Invoice'!N$2:N$401,$AH320)="","",INDEX('Per Invoice'!N$2:N$401,$AH320)))</f>
        <v/>
      </c>
      <c r="O320">
        <f>IF($AH320="","",IF(INDEX('Per Invoice'!O$2:O$401,$AH320)="","",INDEX('Per Invoice'!O$2:O$401,$AH320)))</f>
        <v/>
      </c>
      <c r="P320" s="7">
        <f>IF($AH320="","",IF(INDEX('Per Invoice'!P$2:P$401,$AH320)="","",INDEX('Per Invoice'!P$2:P$401,$AH320)))</f>
        <v/>
      </c>
      <c r="Q320">
        <f>IF($AH320="","",IF(INDEX('Per Invoice'!Q$2:Q$401,$AH320)="","",INDEX('Per Invoice'!Q$2:Q$401,$AH320)))</f>
        <v/>
      </c>
      <c r="R320">
        <f>IF($AH320="","",IF(INDEX('Per Invoice'!R$2:R$401,$AH320)="","",INDEX('Per Invoice'!R$2:R$401,$AH320)))</f>
        <v/>
      </c>
      <c r="S320">
        <f>IF($AH320="","",IF(INDEX('Per Invoice'!S$2:S$401,$AH320)="","",INDEX('Per Invoice'!S$2:S$401,$AH320)))</f>
        <v/>
      </c>
      <c r="T320" s="7">
        <f>IF($AH320="","",IF(INDEX('Per Invoice'!T$2:T$401,$AH320)="","",INDEX('Per Invoice'!T$2:T$401,$AH320)))</f>
        <v/>
      </c>
      <c r="U320" s="7">
        <f>IF($AH320="","",IF(INDEX('Per Invoice'!U$2:U$401,$AH320)="","",INDEX('Per Invoice'!U$2:U$401,$AH320)))</f>
        <v/>
      </c>
      <c r="V320">
        <f>IF($AH320="","",IF(INDEX('Per Invoice'!V$2:V$401,$AH320)="","",INDEX('Per Invoice'!V$2:V$401,$AH320)))</f>
        <v/>
      </c>
      <c r="W320" s="7">
        <f>IF($AH320="","",IF(INDEX('Per Invoice'!W$2:W$401,$AH320)="","",INDEX('Per Invoice'!W$2:W$401,$AH320)))</f>
        <v/>
      </c>
      <c r="X320" s="7">
        <f>IF($AH320="","",IF(INDEX('Per Invoice'!X$2:X$401,$AH320)="","",INDEX('Per Invoice'!X$2:X$401,$AH320)))</f>
        <v/>
      </c>
      <c r="Y320">
        <f>IF($AH320="","",IF(INDEX('Per Invoice'!Y$2:Y$401,$AH320)="","",INDEX('Per Invoice'!Y$2:Y$401,$AH320)))</f>
        <v/>
      </c>
      <c r="Z320" s="7">
        <f>IF($AH320="","",IF(INDEX('Per Invoice'!Z$2:Z$401,$AH320)="","",INDEX('Per Invoice'!Z$2:Z$401,$AH320)))</f>
        <v/>
      </c>
      <c r="AA320" s="7">
        <f>IF($AH320="","",IF(INDEX('Per Invoice'!AA$2:AA$401,$AH320)="","",INDEX('Per Invoice'!AA$2:AA$401,$AH320)))</f>
        <v/>
      </c>
      <c r="AB320" s="7">
        <f>IF($AH320="","",IF(INDEX('Per Invoice'!AB$2:AB$401,$AH320)="","",INDEX('Per Invoice'!AB$2:AB$401,$AH320)))</f>
        <v/>
      </c>
      <c r="AC320" s="7">
        <f>IF($AH320="","",IF(INDEX('Per Invoice'!AC$2:AC$401,$AH320)="","",INDEX('Per Invoice'!AC$2:AC$401,$AH320)))</f>
        <v/>
      </c>
      <c r="AD320" s="7">
        <f>IF($AH320="","",IF(INDEX('Per Invoice'!AD$2:AD$401,$AH320)="","",INDEX('Per Invoice'!AD$2:AD$401,$AH320)))</f>
        <v/>
      </c>
      <c r="AE320" s="7">
        <f>IF($AH320="","",IF(INDEX('Per Invoice'!AE$2:AE$401,$AH320)="","",INDEX('Per Invoice'!AE$2:AE$401,$AH320)))</f>
        <v/>
      </c>
      <c r="AF320">
        <f>IF($AH320="","",IF(INDEX('Per Invoice'!AF$2:AF$401,$AH320)="","",INDEX('Per Invoice'!AF$2:AF$401,$AH320)))</f>
        <v/>
      </c>
      <c r="AG320" s="7">
        <f>IF($AH320="","",IF(INDEX('Per Invoice'!AG$2:AG$401,$AH320)="","",INDEX('Per Invoice'!AG$2:AG$401,$AH320)))</f>
        <v/>
      </c>
      <c r="AH320" s="16">
        <f>IFERROR(MATCH(Settings!$C$26&amp;"|"&amp;ROWS($AH$2:$AH320),'Per Invoice'!$AI$2:$AI$401,0),"")</f>
        <v/>
      </c>
    </row>
    <row r="321">
      <c r="A321">
        <f>IF($AH321="","",IF(INDEX('Per Invoice'!A$2:A$401,$AH321)="","",INDEX('Per Invoice'!A$2:A$401,$AH321)))</f>
        <v/>
      </c>
      <c r="B321">
        <f>IF($AH321="","",IF(INDEX('Per Invoice'!B$2:B$401,$AH321)="","",INDEX('Per Invoice'!B$2:B$401,$AH321)))</f>
        <v/>
      </c>
      <c r="C321">
        <f>IF($AH321="","",IF(INDEX('Per Invoice'!C$2:C$401,$AH321)="","",INDEX('Per Invoice'!C$2:C$401,$AH321)))</f>
        <v/>
      </c>
      <c r="D321">
        <f>IF($AH321="","",IF(INDEX('Per Invoice'!D$2:D$401,$AH321)="","",INDEX('Per Invoice'!D$2:D$401,$AH321)))</f>
        <v/>
      </c>
      <c r="E321">
        <f>IF($AH321="","",IF(INDEX('Per Invoice'!E$2:E$401,$AH321)="","",INDEX('Per Invoice'!E$2:E$401,$AH321)))</f>
        <v/>
      </c>
      <c r="F321">
        <f>IF($AH321="","",IF(INDEX('Per Invoice'!F$2:F$401,$AH321)="","",INDEX('Per Invoice'!F$2:F$401,$AH321)))</f>
        <v/>
      </c>
      <c r="G321">
        <f>IF($AH321="","",IF(INDEX('Per Invoice'!G$2:G$401,$AH321)="","",INDEX('Per Invoice'!G$2:G$401,$AH321)))</f>
        <v/>
      </c>
      <c r="H321">
        <f>IF($AH321="","",IF(INDEX('Per Invoice'!H$2:H$401,$AH321)="","",INDEX('Per Invoice'!H$2:H$401,$AH321)))</f>
        <v/>
      </c>
      <c r="I321" s="14">
        <f>IF($AH321="","",IF(INDEX('Per Invoice'!I$2:I$401,$AH321)="","",INDEX('Per Invoice'!I$2:I$401,$AH321)))</f>
        <v/>
      </c>
      <c r="J321">
        <f>IF($AH321="","",IF(INDEX('Per Invoice'!J$2:J$401,$AH321)="","",INDEX('Per Invoice'!J$2:J$401,$AH321)))</f>
        <v/>
      </c>
      <c r="K321">
        <f>IF($AH321="","",IF(INDEX('Per Invoice'!K$2:K$401,$AH321)="","",INDEX('Per Invoice'!K$2:K$401,$AH321)))</f>
        <v/>
      </c>
      <c r="L321">
        <f>IF($AH321="","",IF(INDEX('Per Invoice'!L$2:L$401,$AH321)="","",INDEX('Per Invoice'!L$2:L$401,$AH321)))</f>
        <v/>
      </c>
      <c r="M321">
        <f>IF($AH321="","",IF(INDEX('Per Invoice'!M$2:M$401,$AH321)="","",INDEX('Per Invoice'!M$2:M$401,$AH321)))</f>
        <v/>
      </c>
      <c r="N321">
        <f>IF($AH321="","",IF(INDEX('Per Invoice'!N$2:N$401,$AH321)="","",INDEX('Per Invoice'!N$2:N$401,$AH321)))</f>
        <v/>
      </c>
      <c r="O321">
        <f>IF($AH321="","",IF(INDEX('Per Invoice'!O$2:O$401,$AH321)="","",INDEX('Per Invoice'!O$2:O$401,$AH321)))</f>
        <v/>
      </c>
      <c r="P321" s="7">
        <f>IF($AH321="","",IF(INDEX('Per Invoice'!P$2:P$401,$AH321)="","",INDEX('Per Invoice'!P$2:P$401,$AH321)))</f>
        <v/>
      </c>
      <c r="Q321">
        <f>IF($AH321="","",IF(INDEX('Per Invoice'!Q$2:Q$401,$AH321)="","",INDEX('Per Invoice'!Q$2:Q$401,$AH321)))</f>
        <v/>
      </c>
      <c r="R321">
        <f>IF($AH321="","",IF(INDEX('Per Invoice'!R$2:R$401,$AH321)="","",INDEX('Per Invoice'!R$2:R$401,$AH321)))</f>
        <v/>
      </c>
      <c r="S321">
        <f>IF($AH321="","",IF(INDEX('Per Invoice'!S$2:S$401,$AH321)="","",INDEX('Per Invoice'!S$2:S$401,$AH321)))</f>
        <v/>
      </c>
      <c r="T321" s="7">
        <f>IF($AH321="","",IF(INDEX('Per Invoice'!T$2:T$401,$AH321)="","",INDEX('Per Invoice'!T$2:T$401,$AH321)))</f>
        <v/>
      </c>
      <c r="U321" s="7">
        <f>IF($AH321="","",IF(INDEX('Per Invoice'!U$2:U$401,$AH321)="","",INDEX('Per Invoice'!U$2:U$401,$AH321)))</f>
        <v/>
      </c>
      <c r="V321">
        <f>IF($AH321="","",IF(INDEX('Per Invoice'!V$2:V$401,$AH321)="","",INDEX('Per Invoice'!V$2:V$401,$AH321)))</f>
        <v/>
      </c>
      <c r="W321" s="7">
        <f>IF($AH321="","",IF(INDEX('Per Invoice'!W$2:W$401,$AH321)="","",INDEX('Per Invoice'!W$2:W$401,$AH321)))</f>
        <v/>
      </c>
      <c r="X321" s="7">
        <f>IF($AH321="","",IF(INDEX('Per Invoice'!X$2:X$401,$AH321)="","",INDEX('Per Invoice'!X$2:X$401,$AH321)))</f>
        <v/>
      </c>
      <c r="Y321">
        <f>IF($AH321="","",IF(INDEX('Per Invoice'!Y$2:Y$401,$AH321)="","",INDEX('Per Invoice'!Y$2:Y$401,$AH321)))</f>
        <v/>
      </c>
      <c r="Z321" s="7">
        <f>IF($AH321="","",IF(INDEX('Per Invoice'!Z$2:Z$401,$AH321)="","",INDEX('Per Invoice'!Z$2:Z$401,$AH321)))</f>
        <v/>
      </c>
      <c r="AA321" s="7">
        <f>IF($AH321="","",IF(INDEX('Per Invoice'!AA$2:AA$401,$AH321)="","",INDEX('Per Invoice'!AA$2:AA$401,$AH321)))</f>
        <v/>
      </c>
      <c r="AB321" s="7">
        <f>IF($AH321="","",IF(INDEX('Per Invoice'!AB$2:AB$401,$AH321)="","",INDEX('Per Invoice'!AB$2:AB$401,$AH321)))</f>
        <v/>
      </c>
      <c r="AC321" s="7">
        <f>IF($AH321="","",IF(INDEX('Per Invoice'!AC$2:AC$401,$AH321)="","",INDEX('Per Invoice'!AC$2:AC$401,$AH321)))</f>
        <v/>
      </c>
      <c r="AD321" s="7">
        <f>IF($AH321="","",IF(INDEX('Per Invoice'!AD$2:AD$401,$AH321)="","",INDEX('Per Invoice'!AD$2:AD$401,$AH321)))</f>
        <v/>
      </c>
      <c r="AE321" s="7">
        <f>IF($AH321="","",IF(INDEX('Per Invoice'!AE$2:AE$401,$AH321)="","",INDEX('Per Invoice'!AE$2:AE$401,$AH321)))</f>
        <v/>
      </c>
      <c r="AF321">
        <f>IF($AH321="","",IF(INDEX('Per Invoice'!AF$2:AF$401,$AH321)="","",INDEX('Per Invoice'!AF$2:AF$401,$AH321)))</f>
        <v/>
      </c>
      <c r="AG321" s="7">
        <f>IF($AH321="","",IF(INDEX('Per Invoice'!AG$2:AG$401,$AH321)="","",INDEX('Per Invoice'!AG$2:AG$401,$AH321)))</f>
        <v/>
      </c>
      <c r="AH321" s="16">
        <f>IFERROR(MATCH(Settings!$C$26&amp;"|"&amp;ROWS($AH$2:$AH321),'Per Invoice'!$AI$2:$AI$401,0),"")</f>
        <v/>
      </c>
    </row>
    <row r="322">
      <c r="A322">
        <f>IF($AH322="","",IF(INDEX('Per Invoice'!A$2:A$401,$AH322)="","",INDEX('Per Invoice'!A$2:A$401,$AH322)))</f>
        <v/>
      </c>
      <c r="B322">
        <f>IF($AH322="","",IF(INDEX('Per Invoice'!B$2:B$401,$AH322)="","",INDEX('Per Invoice'!B$2:B$401,$AH322)))</f>
        <v/>
      </c>
      <c r="C322">
        <f>IF($AH322="","",IF(INDEX('Per Invoice'!C$2:C$401,$AH322)="","",INDEX('Per Invoice'!C$2:C$401,$AH322)))</f>
        <v/>
      </c>
      <c r="D322">
        <f>IF($AH322="","",IF(INDEX('Per Invoice'!D$2:D$401,$AH322)="","",INDEX('Per Invoice'!D$2:D$401,$AH322)))</f>
        <v/>
      </c>
      <c r="E322">
        <f>IF($AH322="","",IF(INDEX('Per Invoice'!E$2:E$401,$AH322)="","",INDEX('Per Invoice'!E$2:E$401,$AH322)))</f>
        <v/>
      </c>
      <c r="F322">
        <f>IF($AH322="","",IF(INDEX('Per Invoice'!F$2:F$401,$AH322)="","",INDEX('Per Invoice'!F$2:F$401,$AH322)))</f>
        <v/>
      </c>
      <c r="G322">
        <f>IF($AH322="","",IF(INDEX('Per Invoice'!G$2:G$401,$AH322)="","",INDEX('Per Invoice'!G$2:G$401,$AH322)))</f>
        <v/>
      </c>
      <c r="H322">
        <f>IF($AH322="","",IF(INDEX('Per Invoice'!H$2:H$401,$AH322)="","",INDEX('Per Invoice'!H$2:H$401,$AH322)))</f>
        <v/>
      </c>
      <c r="I322" s="14">
        <f>IF($AH322="","",IF(INDEX('Per Invoice'!I$2:I$401,$AH322)="","",INDEX('Per Invoice'!I$2:I$401,$AH322)))</f>
        <v/>
      </c>
      <c r="J322">
        <f>IF($AH322="","",IF(INDEX('Per Invoice'!J$2:J$401,$AH322)="","",INDEX('Per Invoice'!J$2:J$401,$AH322)))</f>
        <v/>
      </c>
      <c r="K322">
        <f>IF($AH322="","",IF(INDEX('Per Invoice'!K$2:K$401,$AH322)="","",INDEX('Per Invoice'!K$2:K$401,$AH322)))</f>
        <v/>
      </c>
      <c r="L322">
        <f>IF($AH322="","",IF(INDEX('Per Invoice'!L$2:L$401,$AH322)="","",INDEX('Per Invoice'!L$2:L$401,$AH322)))</f>
        <v/>
      </c>
      <c r="M322">
        <f>IF($AH322="","",IF(INDEX('Per Invoice'!M$2:M$401,$AH322)="","",INDEX('Per Invoice'!M$2:M$401,$AH322)))</f>
        <v/>
      </c>
      <c r="N322">
        <f>IF($AH322="","",IF(INDEX('Per Invoice'!N$2:N$401,$AH322)="","",INDEX('Per Invoice'!N$2:N$401,$AH322)))</f>
        <v/>
      </c>
      <c r="O322">
        <f>IF($AH322="","",IF(INDEX('Per Invoice'!O$2:O$401,$AH322)="","",INDEX('Per Invoice'!O$2:O$401,$AH322)))</f>
        <v/>
      </c>
      <c r="P322" s="7">
        <f>IF($AH322="","",IF(INDEX('Per Invoice'!P$2:P$401,$AH322)="","",INDEX('Per Invoice'!P$2:P$401,$AH322)))</f>
        <v/>
      </c>
      <c r="Q322">
        <f>IF($AH322="","",IF(INDEX('Per Invoice'!Q$2:Q$401,$AH322)="","",INDEX('Per Invoice'!Q$2:Q$401,$AH322)))</f>
        <v/>
      </c>
      <c r="R322">
        <f>IF($AH322="","",IF(INDEX('Per Invoice'!R$2:R$401,$AH322)="","",INDEX('Per Invoice'!R$2:R$401,$AH322)))</f>
        <v/>
      </c>
      <c r="S322">
        <f>IF($AH322="","",IF(INDEX('Per Invoice'!S$2:S$401,$AH322)="","",INDEX('Per Invoice'!S$2:S$401,$AH322)))</f>
        <v/>
      </c>
      <c r="T322" s="7">
        <f>IF($AH322="","",IF(INDEX('Per Invoice'!T$2:T$401,$AH322)="","",INDEX('Per Invoice'!T$2:T$401,$AH322)))</f>
        <v/>
      </c>
      <c r="U322" s="7">
        <f>IF($AH322="","",IF(INDEX('Per Invoice'!U$2:U$401,$AH322)="","",INDEX('Per Invoice'!U$2:U$401,$AH322)))</f>
        <v/>
      </c>
      <c r="V322">
        <f>IF($AH322="","",IF(INDEX('Per Invoice'!V$2:V$401,$AH322)="","",INDEX('Per Invoice'!V$2:V$401,$AH322)))</f>
        <v/>
      </c>
      <c r="W322" s="7">
        <f>IF($AH322="","",IF(INDEX('Per Invoice'!W$2:W$401,$AH322)="","",INDEX('Per Invoice'!W$2:W$401,$AH322)))</f>
        <v/>
      </c>
      <c r="X322" s="7">
        <f>IF($AH322="","",IF(INDEX('Per Invoice'!X$2:X$401,$AH322)="","",INDEX('Per Invoice'!X$2:X$401,$AH322)))</f>
        <v/>
      </c>
      <c r="Y322">
        <f>IF($AH322="","",IF(INDEX('Per Invoice'!Y$2:Y$401,$AH322)="","",INDEX('Per Invoice'!Y$2:Y$401,$AH322)))</f>
        <v/>
      </c>
      <c r="Z322" s="7">
        <f>IF($AH322="","",IF(INDEX('Per Invoice'!Z$2:Z$401,$AH322)="","",INDEX('Per Invoice'!Z$2:Z$401,$AH322)))</f>
        <v/>
      </c>
      <c r="AA322" s="7">
        <f>IF($AH322="","",IF(INDEX('Per Invoice'!AA$2:AA$401,$AH322)="","",INDEX('Per Invoice'!AA$2:AA$401,$AH322)))</f>
        <v/>
      </c>
      <c r="AB322" s="7">
        <f>IF($AH322="","",IF(INDEX('Per Invoice'!AB$2:AB$401,$AH322)="","",INDEX('Per Invoice'!AB$2:AB$401,$AH322)))</f>
        <v/>
      </c>
      <c r="AC322" s="7">
        <f>IF($AH322="","",IF(INDEX('Per Invoice'!AC$2:AC$401,$AH322)="","",INDEX('Per Invoice'!AC$2:AC$401,$AH322)))</f>
        <v/>
      </c>
      <c r="AD322" s="7">
        <f>IF($AH322="","",IF(INDEX('Per Invoice'!AD$2:AD$401,$AH322)="","",INDEX('Per Invoice'!AD$2:AD$401,$AH322)))</f>
        <v/>
      </c>
      <c r="AE322" s="7">
        <f>IF($AH322="","",IF(INDEX('Per Invoice'!AE$2:AE$401,$AH322)="","",INDEX('Per Invoice'!AE$2:AE$401,$AH322)))</f>
        <v/>
      </c>
      <c r="AF322">
        <f>IF($AH322="","",IF(INDEX('Per Invoice'!AF$2:AF$401,$AH322)="","",INDEX('Per Invoice'!AF$2:AF$401,$AH322)))</f>
        <v/>
      </c>
      <c r="AG322" s="7">
        <f>IF($AH322="","",IF(INDEX('Per Invoice'!AG$2:AG$401,$AH322)="","",INDEX('Per Invoice'!AG$2:AG$401,$AH322)))</f>
        <v/>
      </c>
      <c r="AH322" s="16">
        <f>IFERROR(MATCH(Settings!$C$26&amp;"|"&amp;ROWS($AH$2:$AH322),'Per Invoice'!$AI$2:$AI$401,0),"")</f>
        <v/>
      </c>
    </row>
    <row r="323">
      <c r="A323">
        <f>IF($AH323="","",IF(INDEX('Per Invoice'!A$2:A$401,$AH323)="","",INDEX('Per Invoice'!A$2:A$401,$AH323)))</f>
        <v/>
      </c>
      <c r="B323">
        <f>IF($AH323="","",IF(INDEX('Per Invoice'!B$2:B$401,$AH323)="","",INDEX('Per Invoice'!B$2:B$401,$AH323)))</f>
        <v/>
      </c>
      <c r="C323">
        <f>IF($AH323="","",IF(INDEX('Per Invoice'!C$2:C$401,$AH323)="","",INDEX('Per Invoice'!C$2:C$401,$AH323)))</f>
        <v/>
      </c>
      <c r="D323">
        <f>IF($AH323="","",IF(INDEX('Per Invoice'!D$2:D$401,$AH323)="","",INDEX('Per Invoice'!D$2:D$401,$AH323)))</f>
        <v/>
      </c>
      <c r="E323">
        <f>IF($AH323="","",IF(INDEX('Per Invoice'!E$2:E$401,$AH323)="","",INDEX('Per Invoice'!E$2:E$401,$AH323)))</f>
        <v/>
      </c>
      <c r="F323">
        <f>IF($AH323="","",IF(INDEX('Per Invoice'!F$2:F$401,$AH323)="","",INDEX('Per Invoice'!F$2:F$401,$AH323)))</f>
        <v/>
      </c>
      <c r="G323">
        <f>IF($AH323="","",IF(INDEX('Per Invoice'!G$2:G$401,$AH323)="","",INDEX('Per Invoice'!G$2:G$401,$AH323)))</f>
        <v/>
      </c>
      <c r="H323">
        <f>IF($AH323="","",IF(INDEX('Per Invoice'!H$2:H$401,$AH323)="","",INDEX('Per Invoice'!H$2:H$401,$AH323)))</f>
        <v/>
      </c>
      <c r="I323" s="14">
        <f>IF($AH323="","",IF(INDEX('Per Invoice'!I$2:I$401,$AH323)="","",INDEX('Per Invoice'!I$2:I$401,$AH323)))</f>
        <v/>
      </c>
      <c r="J323">
        <f>IF($AH323="","",IF(INDEX('Per Invoice'!J$2:J$401,$AH323)="","",INDEX('Per Invoice'!J$2:J$401,$AH323)))</f>
        <v/>
      </c>
      <c r="K323">
        <f>IF($AH323="","",IF(INDEX('Per Invoice'!K$2:K$401,$AH323)="","",INDEX('Per Invoice'!K$2:K$401,$AH323)))</f>
        <v/>
      </c>
      <c r="L323">
        <f>IF($AH323="","",IF(INDEX('Per Invoice'!L$2:L$401,$AH323)="","",INDEX('Per Invoice'!L$2:L$401,$AH323)))</f>
        <v/>
      </c>
      <c r="M323">
        <f>IF($AH323="","",IF(INDEX('Per Invoice'!M$2:M$401,$AH323)="","",INDEX('Per Invoice'!M$2:M$401,$AH323)))</f>
        <v/>
      </c>
      <c r="N323">
        <f>IF($AH323="","",IF(INDEX('Per Invoice'!N$2:N$401,$AH323)="","",INDEX('Per Invoice'!N$2:N$401,$AH323)))</f>
        <v/>
      </c>
      <c r="O323">
        <f>IF($AH323="","",IF(INDEX('Per Invoice'!O$2:O$401,$AH323)="","",INDEX('Per Invoice'!O$2:O$401,$AH323)))</f>
        <v/>
      </c>
      <c r="P323" s="7">
        <f>IF($AH323="","",IF(INDEX('Per Invoice'!P$2:P$401,$AH323)="","",INDEX('Per Invoice'!P$2:P$401,$AH323)))</f>
        <v/>
      </c>
      <c r="Q323">
        <f>IF($AH323="","",IF(INDEX('Per Invoice'!Q$2:Q$401,$AH323)="","",INDEX('Per Invoice'!Q$2:Q$401,$AH323)))</f>
        <v/>
      </c>
      <c r="R323">
        <f>IF($AH323="","",IF(INDEX('Per Invoice'!R$2:R$401,$AH323)="","",INDEX('Per Invoice'!R$2:R$401,$AH323)))</f>
        <v/>
      </c>
      <c r="S323">
        <f>IF($AH323="","",IF(INDEX('Per Invoice'!S$2:S$401,$AH323)="","",INDEX('Per Invoice'!S$2:S$401,$AH323)))</f>
        <v/>
      </c>
      <c r="T323" s="7">
        <f>IF($AH323="","",IF(INDEX('Per Invoice'!T$2:T$401,$AH323)="","",INDEX('Per Invoice'!T$2:T$401,$AH323)))</f>
        <v/>
      </c>
      <c r="U323" s="7">
        <f>IF($AH323="","",IF(INDEX('Per Invoice'!U$2:U$401,$AH323)="","",INDEX('Per Invoice'!U$2:U$401,$AH323)))</f>
        <v/>
      </c>
      <c r="V323">
        <f>IF($AH323="","",IF(INDEX('Per Invoice'!V$2:V$401,$AH323)="","",INDEX('Per Invoice'!V$2:V$401,$AH323)))</f>
        <v/>
      </c>
      <c r="W323" s="7">
        <f>IF($AH323="","",IF(INDEX('Per Invoice'!W$2:W$401,$AH323)="","",INDEX('Per Invoice'!W$2:W$401,$AH323)))</f>
        <v/>
      </c>
      <c r="X323" s="7">
        <f>IF($AH323="","",IF(INDEX('Per Invoice'!X$2:X$401,$AH323)="","",INDEX('Per Invoice'!X$2:X$401,$AH323)))</f>
        <v/>
      </c>
      <c r="Y323">
        <f>IF($AH323="","",IF(INDEX('Per Invoice'!Y$2:Y$401,$AH323)="","",INDEX('Per Invoice'!Y$2:Y$401,$AH323)))</f>
        <v/>
      </c>
      <c r="Z323" s="7">
        <f>IF($AH323="","",IF(INDEX('Per Invoice'!Z$2:Z$401,$AH323)="","",INDEX('Per Invoice'!Z$2:Z$401,$AH323)))</f>
        <v/>
      </c>
      <c r="AA323" s="7">
        <f>IF($AH323="","",IF(INDEX('Per Invoice'!AA$2:AA$401,$AH323)="","",INDEX('Per Invoice'!AA$2:AA$401,$AH323)))</f>
        <v/>
      </c>
      <c r="AB323" s="7">
        <f>IF($AH323="","",IF(INDEX('Per Invoice'!AB$2:AB$401,$AH323)="","",INDEX('Per Invoice'!AB$2:AB$401,$AH323)))</f>
        <v/>
      </c>
      <c r="AC323" s="7">
        <f>IF($AH323="","",IF(INDEX('Per Invoice'!AC$2:AC$401,$AH323)="","",INDEX('Per Invoice'!AC$2:AC$401,$AH323)))</f>
        <v/>
      </c>
      <c r="AD323" s="7">
        <f>IF($AH323="","",IF(INDEX('Per Invoice'!AD$2:AD$401,$AH323)="","",INDEX('Per Invoice'!AD$2:AD$401,$AH323)))</f>
        <v/>
      </c>
      <c r="AE323" s="7">
        <f>IF($AH323="","",IF(INDEX('Per Invoice'!AE$2:AE$401,$AH323)="","",INDEX('Per Invoice'!AE$2:AE$401,$AH323)))</f>
        <v/>
      </c>
      <c r="AF323">
        <f>IF($AH323="","",IF(INDEX('Per Invoice'!AF$2:AF$401,$AH323)="","",INDEX('Per Invoice'!AF$2:AF$401,$AH323)))</f>
        <v/>
      </c>
      <c r="AG323" s="7">
        <f>IF($AH323="","",IF(INDEX('Per Invoice'!AG$2:AG$401,$AH323)="","",INDEX('Per Invoice'!AG$2:AG$401,$AH323)))</f>
        <v/>
      </c>
      <c r="AH323" s="16">
        <f>IFERROR(MATCH(Settings!$C$26&amp;"|"&amp;ROWS($AH$2:$AH323),'Per Invoice'!$AI$2:$AI$401,0),"")</f>
        <v/>
      </c>
    </row>
    <row r="324">
      <c r="A324">
        <f>IF($AH324="","",IF(INDEX('Per Invoice'!A$2:A$401,$AH324)="","",INDEX('Per Invoice'!A$2:A$401,$AH324)))</f>
        <v/>
      </c>
      <c r="B324">
        <f>IF($AH324="","",IF(INDEX('Per Invoice'!B$2:B$401,$AH324)="","",INDEX('Per Invoice'!B$2:B$401,$AH324)))</f>
        <v/>
      </c>
      <c r="C324">
        <f>IF($AH324="","",IF(INDEX('Per Invoice'!C$2:C$401,$AH324)="","",INDEX('Per Invoice'!C$2:C$401,$AH324)))</f>
        <v/>
      </c>
      <c r="D324">
        <f>IF($AH324="","",IF(INDEX('Per Invoice'!D$2:D$401,$AH324)="","",INDEX('Per Invoice'!D$2:D$401,$AH324)))</f>
        <v/>
      </c>
      <c r="E324">
        <f>IF($AH324="","",IF(INDEX('Per Invoice'!E$2:E$401,$AH324)="","",INDEX('Per Invoice'!E$2:E$401,$AH324)))</f>
        <v/>
      </c>
      <c r="F324">
        <f>IF($AH324="","",IF(INDEX('Per Invoice'!F$2:F$401,$AH324)="","",INDEX('Per Invoice'!F$2:F$401,$AH324)))</f>
        <v/>
      </c>
      <c r="G324">
        <f>IF($AH324="","",IF(INDEX('Per Invoice'!G$2:G$401,$AH324)="","",INDEX('Per Invoice'!G$2:G$401,$AH324)))</f>
        <v/>
      </c>
      <c r="H324">
        <f>IF($AH324="","",IF(INDEX('Per Invoice'!H$2:H$401,$AH324)="","",INDEX('Per Invoice'!H$2:H$401,$AH324)))</f>
        <v/>
      </c>
      <c r="I324" s="14">
        <f>IF($AH324="","",IF(INDEX('Per Invoice'!I$2:I$401,$AH324)="","",INDEX('Per Invoice'!I$2:I$401,$AH324)))</f>
        <v/>
      </c>
      <c r="J324">
        <f>IF($AH324="","",IF(INDEX('Per Invoice'!J$2:J$401,$AH324)="","",INDEX('Per Invoice'!J$2:J$401,$AH324)))</f>
        <v/>
      </c>
      <c r="K324">
        <f>IF($AH324="","",IF(INDEX('Per Invoice'!K$2:K$401,$AH324)="","",INDEX('Per Invoice'!K$2:K$401,$AH324)))</f>
        <v/>
      </c>
      <c r="L324">
        <f>IF($AH324="","",IF(INDEX('Per Invoice'!L$2:L$401,$AH324)="","",INDEX('Per Invoice'!L$2:L$401,$AH324)))</f>
        <v/>
      </c>
      <c r="M324">
        <f>IF($AH324="","",IF(INDEX('Per Invoice'!M$2:M$401,$AH324)="","",INDEX('Per Invoice'!M$2:M$401,$AH324)))</f>
        <v/>
      </c>
      <c r="N324">
        <f>IF($AH324="","",IF(INDEX('Per Invoice'!N$2:N$401,$AH324)="","",INDEX('Per Invoice'!N$2:N$401,$AH324)))</f>
        <v/>
      </c>
      <c r="O324">
        <f>IF($AH324="","",IF(INDEX('Per Invoice'!O$2:O$401,$AH324)="","",INDEX('Per Invoice'!O$2:O$401,$AH324)))</f>
        <v/>
      </c>
      <c r="P324" s="7">
        <f>IF($AH324="","",IF(INDEX('Per Invoice'!P$2:P$401,$AH324)="","",INDEX('Per Invoice'!P$2:P$401,$AH324)))</f>
        <v/>
      </c>
      <c r="Q324">
        <f>IF($AH324="","",IF(INDEX('Per Invoice'!Q$2:Q$401,$AH324)="","",INDEX('Per Invoice'!Q$2:Q$401,$AH324)))</f>
        <v/>
      </c>
      <c r="R324">
        <f>IF($AH324="","",IF(INDEX('Per Invoice'!R$2:R$401,$AH324)="","",INDEX('Per Invoice'!R$2:R$401,$AH324)))</f>
        <v/>
      </c>
      <c r="S324">
        <f>IF($AH324="","",IF(INDEX('Per Invoice'!S$2:S$401,$AH324)="","",INDEX('Per Invoice'!S$2:S$401,$AH324)))</f>
        <v/>
      </c>
      <c r="T324" s="7">
        <f>IF($AH324="","",IF(INDEX('Per Invoice'!T$2:T$401,$AH324)="","",INDEX('Per Invoice'!T$2:T$401,$AH324)))</f>
        <v/>
      </c>
      <c r="U324" s="7">
        <f>IF($AH324="","",IF(INDEX('Per Invoice'!U$2:U$401,$AH324)="","",INDEX('Per Invoice'!U$2:U$401,$AH324)))</f>
        <v/>
      </c>
      <c r="V324">
        <f>IF($AH324="","",IF(INDEX('Per Invoice'!V$2:V$401,$AH324)="","",INDEX('Per Invoice'!V$2:V$401,$AH324)))</f>
        <v/>
      </c>
      <c r="W324" s="7">
        <f>IF($AH324="","",IF(INDEX('Per Invoice'!W$2:W$401,$AH324)="","",INDEX('Per Invoice'!W$2:W$401,$AH324)))</f>
        <v/>
      </c>
      <c r="X324" s="7">
        <f>IF($AH324="","",IF(INDEX('Per Invoice'!X$2:X$401,$AH324)="","",INDEX('Per Invoice'!X$2:X$401,$AH324)))</f>
        <v/>
      </c>
      <c r="Y324">
        <f>IF($AH324="","",IF(INDEX('Per Invoice'!Y$2:Y$401,$AH324)="","",INDEX('Per Invoice'!Y$2:Y$401,$AH324)))</f>
        <v/>
      </c>
      <c r="Z324" s="7">
        <f>IF($AH324="","",IF(INDEX('Per Invoice'!Z$2:Z$401,$AH324)="","",INDEX('Per Invoice'!Z$2:Z$401,$AH324)))</f>
        <v/>
      </c>
      <c r="AA324" s="7">
        <f>IF($AH324="","",IF(INDEX('Per Invoice'!AA$2:AA$401,$AH324)="","",INDEX('Per Invoice'!AA$2:AA$401,$AH324)))</f>
        <v/>
      </c>
      <c r="AB324" s="7">
        <f>IF($AH324="","",IF(INDEX('Per Invoice'!AB$2:AB$401,$AH324)="","",INDEX('Per Invoice'!AB$2:AB$401,$AH324)))</f>
        <v/>
      </c>
      <c r="AC324" s="7">
        <f>IF($AH324="","",IF(INDEX('Per Invoice'!AC$2:AC$401,$AH324)="","",INDEX('Per Invoice'!AC$2:AC$401,$AH324)))</f>
        <v/>
      </c>
      <c r="AD324" s="7">
        <f>IF($AH324="","",IF(INDEX('Per Invoice'!AD$2:AD$401,$AH324)="","",INDEX('Per Invoice'!AD$2:AD$401,$AH324)))</f>
        <v/>
      </c>
      <c r="AE324" s="7">
        <f>IF($AH324="","",IF(INDEX('Per Invoice'!AE$2:AE$401,$AH324)="","",INDEX('Per Invoice'!AE$2:AE$401,$AH324)))</f>
        <v/>
      </c>
      <c r="AF324">
        <f>IF($AH324="","",IF(INDEX('Per Invoice'!AF$2:AF$401,$AH324)="","",INDEX('Per Invoice'!AF$2:AF$401,$AH324)))</f>
        <v/>
      </c>
      <c r="AG324" s="7">
        <f>IF($AH324="","",IF(INDEX('Per Invoice'!AG$2:AG$401,$AH324)="","",INDEX('Per Invoice'!AG$2:AG$401,$AH324)))</f>
        <v/>
      </c>
      <c r="AH324" s="16">
        <f>IFERROR(MATCH(Settings!$C$26&amp;"|"&amp;ROWS($AH$2:$AH324),'Per Invoice'!$AI$2:$AI$401,0),"")</f>
        <v/>
      </c>
    </row>
    <row r="325">
      <c r="A325">
        <f>IF($AH325="","",IF(INDEX('Per Invoice'!A$2:A$401,$AH325)="","",INDEX('Per Invoice'!A$2:A$401,$AH325)))</f>
        <v/>
      </c>
      <c r="B325">
        <f>IF($AH325="","",IF(INDEX('Per Invoice'!B$2:B$401,$AH325)="","",INDEX('Per Invoice'!B$2:B$401,$AH325)))</f>
        <v/>
      </c>
      <c r="C325">
        <f>IF($AH325="","",IF(INDEX('Per Invoice'!C$2:C$401,$AH325)="","",INDEX('Per Invoice'!C$2:C$401,$AH325)))</f>
        <v/>
      </c>
      <c r="D325">
        <f>IF($AH325="","",IF(INDEX('Per Invoice'!D$2:D$401,$AH325)="","",INDEX('Per Invoice'!D$2:D$401,$AH325)))</f>
        <v/>
      </c>
      <c r="E325">
        <f>IF($AH325="","",IF(INDEX('Per Invoice'!E$2:E$401,$AH325)="","",INDEX('Per Invoice'!E$2:E$401,$AH325)))</f>
        <v/>
      </c>
      <c r="F325">
        <f>IF($AH325="","",IF(INDEX('Per Invoice'!F$2:F$401,$AH325)="","",INDEX('Per Invoice'!F$2:F$401,$AH325)))</f>
        <v/>
      </c>
      <c r="G325">
        <f>IF($AH325="","",IF(INDEX('Per Invoice'!G$2:G$401,$AH325)="","",INDEX('Per Invoice'!G$2:G$401,$AH325)))</f>
        <v/>
      </c>
      <c r="H325">
        <f>IF($AH325="","",IF(INDEX('Per Invoice'!H$2:H$401,$AH325)="","",INDEX('Per Invoice'!H$2:H$401,$AH325)))</f>
        <v/>
      </c>
      <c r="I325" s="14">
        <f>IF($AH325="","",IF(INDEX('Per Invoice'!I$2:I$401,$AH325)="","",INDEX('Per Invoice'!I$2:I$401,$AH325)))</f>
        <v/>
      </c>
      <c r="J325">
        <f>IF($AH325="","",IF(INDEX('Per Invoice'!J$2:J$401,$AH325)="","",INDEX('Per Invoice'!J$2:J$401,$AH325)))</f>
        <v/>
      </c>
      <c r="K325">
        <f>IF($AH325="","",IF(INDEX('Per Invoice'!K$2:K$401,$AH325)="","",INDEX('Per Invoice'!K$2:K$401,$AH325)))</f>
        <v/>
      </c>
      <c r="L325">
        <f>IF($AH325="","",IF(INDEX('Per Invoice'!L$2:L$401,$AH325)="","",INDEX('Per Invoice'!L$2:L$401,$AH325)))</f>
        <v/>
      </c>
      <c r="M325">
        <f>IF($AH325="","",IF(INDEX('Per Invoice'!M$2:M$401,$AH325)="","",INDEX('Per Invoice'!M$2:M$401,$AH325)))</f>
        <v/>
      </c>
      <c r="N325">
        <f>IF($AH325="","",IF(INDEX('Per Invoice'!N$2:N$401,$AH325)="","",INDEX('Per Invoice'!N$2:N$401,$AH325)))</f>
        <v/>
      </c>
      <c r="O325">
        <f>IF($AH325="","",IF(INDEX('Per Invoice'!O$2:O$401,$AH325)="","",INDEX('Per Invoice'!O$2:O$401,$AH325)))</f>
        <v/>
      </c>
      <c r="P325" s="7">
        <f>IF($AH325="","",IF(INDEX('Per Invoice'!P$2:P$401,$AH325)="","",INDEX('Per Invoice'!P$2:P$401,$AH325)))</f>
        <v/>
      </c>
      <c r="Q325">
        <f>IF($AH325="","",IF(INDEX('Per Invoice'!Q$2:Q$401,$AH325)="","",INDEX('Per Invoice'!Q$2:Q$401,$AH325)))</f>
        <v/>
      </c>
      <c r="R325">
        <f>IF($AH325="","",IF(INDEX('Per Invoice'!R$2:R$401,$AH325)="","",INDEX('Per Invoice'!R$2:R$401,$AH325)))</f>
        <v/>
      </c>
      <c r="S325">
        <f>IF($AH325="","",IF(INDEX('Per Invoice'!S$2:S$401,$AH325)="","",INDEX('Per Invoice'!S$2:S$401,$AH325)))</f>
        <v/>
      </c>
      <c r="T325" s="7">
        <f>IF($AH325="","",IF(INDEX('Per Invoice'!T$2:T$401,$AH325)="","",INDEX('Per Invoice'!T$2:T$401,$AH325)))</f>
        <v/>
      </c>
      <c r="U325" s="7">
        <f>IF($AH325="","",IF(INDEX('Per Invoice'!U$2:U$401,$AH325)="","",INDEX('Per Invoice'!U$2:U$401,$AH325)))</f>
        <v/>
      </c>
      <c r="V325">
        <f>IF($AH325="","",IF(INDEX('Per Invoice'!V$2:V$401,$AH325)="","",INDEX('Per Invoice'!V$2:V$401,$AH325)))</f>
        <v/>
      </c>
      <c r="W325" s="7">
        <f>IF($AH325="","",IF(INDEX('Per Invoice'!W$2:W$401,$AH325)="","",INDEX('Per Invoice'!W$2:W$401,$AH325)))</f>
        <v/>
      </c>
      <c r="X325" s="7">
        <f>IF($AH325="","",IF(INDEX('Per Invoice'!X$2:X$401,$AH325)="","",INDEX('Per Invoice'!X$2:X$401,$AH325)))</f>
        <v/>
      </c>
      <c r="Y325">
        <f>IF($AH325="","",IF(INDEX('Per Invoice'!Y$2:Y$401,$AH325)="","",INDEX('Per Invoice'!Y$2:Y$401,$AH325)))</f>
        <v/>
      </c>
      <c r="Z325" s="7">
        <f>IF($AH325="","",IF(INDEX('Per Invoice'!Z$2:Z$401,$AH325)="","",INDEX('Per Invoice'!Z$2:Z$401,$AH325)))</f>
        <v/>
      </c>
      <c r="AA325" s="7">
        <f>IF($AH325="","",IF(INDEX('Per Invoice'!AA$2:AA$401,$AH325)="","",INDEX('Per Invoice'!AA$2:AA$401,$AH325)))</f>
        <v/>
      </c>
      <c r="AB325" s="7">
        <f>IF($AH325="","",IF(INDEX('Per Invoice'!AB$2:AB$401,$AH325)="","",INDEX('Per Invoice'!AB$2:AB$401,$AH325)))</f>
        <v/>
      </c>
      <c r="AC325" s="7">
        <f>IF($AH325="","",IF(INDEX('Per Invoice'!AC$2:AC$401,$AH325)="","",INDEX('Per Invoice'!AC$2:AC$401,$AH325)))</f>
        <v/>
      </c>
      <c r="AD325" s="7">
        <f>IF($AH325="","",IF(INDEX('Per Invoice'!AD$2:AD$401,$AH325)="","",INDEX('Per Invoice'!AD$2:AD$401,$AH325)))</f>
        <v/>
      </c>
      <c r="AE325" s="7">
        <f>IF($AH325="","",IF(INDEX('Per Invoice'!AE$2:AE$401,$AH325)="","",INDEX('Per Invoice'!AE$2:AE$401,$AH325)))</f>
        <v/>
      </c>
      <c r="AF325">
        <f>IF($AH325="","",IF(INDEX('Per Invoice'!AF$2:AF$401,$AH325)="","",INDEX('Per Invoice'!AF$2:AF$401,$AH325)))</f>
        <v/>
      </c>
      <c r="AG325" s="7">
        <f>IF($AH325="","",IF(INDEX('Per Invoice'!AG$2:AG$401,$AH325)="","",INDEX('Per Invoice'!AG$2:AG$401,$AH325)))</f>
        <v/>
      </c>
      <c r="AH325" s="16">
        <f>IFERROR(MATCH(Settings!$C$26&amp;"|"&amp;ROWS($AH$2:$AH325),'Per Invoice'!$AI$2:$AI$401,0),"")</f>
        <v/>
      </c>
    </row>
    <row r="326">
      <c r="A326">
        <f>IF($AH326="","",IF(INDEX('Per Invoice'!A$2:A$401,$AH326)="","",INDEX('Per Invoice'!A$2:A$401,$AH326)))</f>
        <v/>
      </c>
      <c r="B326">
        <f>IF($AH326="","",IF(INDEX('Per Invoice'!B$2:B$401,$AH326)="","",INDEX('Per Invoice'!B$2:B$401,$AH326)))</f>
        <v/>
      </c>
      <c r="C326">
        <f>IF($AH326="","",IF(INDEX('Per Invoice'!C$2:C$401,$AH326)="","",INDEX('Per Invoice'!C$2:C$401,$AH326)))</f>
        <v/>
      </c>
      <c r="D326">
        <f>IF($AH326="","",IF(INDEX('Per Invoice'!D$2:D$401,$AH326)="","",INDEX('Per Invoice'!D$2:D$401,$AH326)))</f>
        <v/>
      </c>
      <c r="E326">
        <f>IF($AH326="","",IF(INDEX('Per Invoice'!E$2:E$401,$AH326)="","",INDEX('Per Invoice'!E$2:E$401,$AH326)))</f>
        <v/>
      </c>
      <c r="F326">
        <f>IF($AH326="","",IF(INDEX('Per Invoice'!F$2:F$401,$AH326)="","",INDEX('Per Invoice'!F$2:F$401,$AH326)))</f>
        <v/>
      </c>
      <c r="G326">
        <f>IF($AH326="","",IF(INDEX('Per Invoice'!G$2:G$401,$AH326)="","",INDEX('Per Invoice'!G$2:G$401,$AH326)))</f>
        <v/>
      </c>
      <c r="H326">
        <f>IF($AH326="","",IF(INDEX('Per Invoice'!H$2:H$401,$AH326)="","",INDEX('Per Invoice'!H$2:H$401,$AH326)))</f>
        <v/>
      </c>
      <c r="I326" s="14">
        <f>IF($AH326="","",IF(INDEX('Per Invoice'!I$2:I$401,$AH326)="","",INDEX('Per Invoice'!I$2:I$401,$AH326)))</f>
        <v/>
      </c>
      <c r="J326">
        <f>IF($AH326="","",IF(INDEX('Per Invoice'!J$2:J$401,$AH326)="","",INDEX('Per Invoice'!J$2:J$401,$AH326)))</f>
        <v/>
      </c>
      <c r="K326">
        <f>IF($AH326="","",IF(INDEX('Per Invoice'!K$2:K$401,$AH326)="","",INDEX('Per Invoice'!K$2:K$401,$AH326)))</f>
        <v/>
      </c>
      <c r="L326">
        <f>IF($AH326="","",IF(INDEX('Per Invoice'!L$2:L$401,$AH326)="","",INDEX('Per Invoice'!L$2:L$401,$AH326)))</f>
        <v/>
      </c>
      <c r="M326">
        <f>IF($AH326="","",IF(INDEX('Per Invoice'!M$2:M$401,$AH326)="","",INDEX('Per Invoice'!M$2:M$401,$AH326)))</f>
        <v/>
      </c>
      <c r="N326">
        <f>IF($AH326="","",IF(INDEX('Per Invoice'!N$2:N$401,$AH326)="","",INDEX('Per Invoice'!N$2:N$401,$AH326)))</f>
        <v/>
      </c>
      <c r="O326">
        <f>IF($AH326="","",IF(INDEX('Per Invoice'!O$2:O$401,$AH326)="","",INDEX('Per Invoice'!O$2:O$401,$AH326)))</f>
        <v/>
      </c>
      <c r="P326" s="7">
        <f>IF($AH326="","",IF(INDEX('Per Invoice'!P$2:P$401,$AH326)="","",INDEX('Per Invoice'!P$2:P$401,$AH326)))</f>
        <v/>
      </c>
      <c r="Q326">
        <f>IF($AH326="","",IF(INDEX('Per Invoice'!Q$2:Q$401,$AH326)="","",INDEX('Per Invoice'!Q$2:Q$401,$AH326)))</f>
        <v/>
      </c>
      <c r="R326">
        <f>IF($AH326="","",IF(INDEX('Per Invoice'!R$2:R$401,$AH326)="","",INDEX('Per Invoice'!R$2:R$401,$AH326)))</f>
        <v/>
      </c>
      <c r="S326">
        <f>IF($AH326="","",IF(INDEX('Per Invoice'!S$2:S$401,$AH326)="","",INDEX('Per Invoice'!S$2:S$401,$AH326)))</f>
        <v/>
      </c>
      <c r="T326" s="7">
        <f>IF($AH326="","",IF(INDEX('Per Invoice'!T$2:T$401,$AH326)="","",INDEX('Per Invoice'!T$2:T$401,$AH326)))</f>
        <v/>
      </c>
      <c r="U326" s="7">
        <f>IF($AH326="","",IF(INDEX('Per Invoice'!U$2:U$401,$AH326)="","",INDEX('Per Invoice'!U$2:U$401,$AH326)))</f>
        <v/>
      </c>
      <c r="V326">
        <f>IF($AH326="","",IF(INDEX('Per Invoice'!V$2:V$401,$AH326)="","",INDEX('Per Invoice'!V$2:V$401,$AH326)))</f>
        <v/>
      </c>
      <c r="W326" s="7">
        <f>IF($AH326="","",IF(INDEX('Per Invoice'!W$2:W$401,$AH326)="","",INDEX('Per Invoice'!W$2:W$401,$AH326)))</f>
        <v/>
      </c>
      <c r="X326" s="7">
        <f>IF($AH326="","",IF(INDEX('Per Invoice'!X$2:X$401,$AH326)="","",INDEX('Per Invoice'!X$2:X$401,$AH326)))</f>
        <v/>
      </c>
      <c r="Y326">
        <f>IF($AH326="","",IF(INDEX('Per Invoice'!Y$2:Y$401,$AH326)="","",INDEX('Per Invoice'!Y$2:Y$401,$AH326)))</f>
        <v/>
      </c>
      <c r="Z326" s="7">
        <f>IF($AH326="","",IF(INDEX('Per Invoice'!Z$2:Z$401,$AH326)="","",INDEX('Per Invoice'!Z$2:Z$401,$AH326)))</f>
        <v/>
      </c>
      <c r="AA326" s="7">
        <f>IF($AH326="","",IF(INDEX('Per Invoice'!AA$2:AA$401,$AH326)="","",INDEX('Per Invoice'!AA$2:AA$401,$AH326)))</f>
        <v/>
      </c>
      <c r="AB326" s="7">
        <f>IF($AH326="","",IF(INDEX('Per Invoice'!AB$2:AB$401,$AH326)="","",INDEX('Per Invoice'!AB$2:AB$401,$AH326)))</f>
        <v/>
      </c>
      <c r="AC326" s="7">
        <f>IF($AH326="","",IF(INDEX('Per Invoice'!AC$2:AC$401,$AH326)="","",INDEX('Per Invoice'!AC$2:AC$401,$AH326)))</f>
        <v/>
      </c>
      <c r="AD326" s="7">
        <f>IF($AH326="","",IF(INDEX('Per Invoice'!AD$2:AD$401,$AH326)="","",INDEX('Per Invoice'!AD$2:AD$401,$AH326)))</f>
        <v/>
      </c>
      <c r="AE326" s="7">
        <f>IF($AH326="","",IF(INDEX('Per Invoice'!AE$2:AE$401,$AH326)="","",INDEX('Per Invoice'!AE$2:AE$401,$AH326)))</f>
        <v/>
      </c>
      <c r="AF326">
        <f>IF($AH326="","",IF(INDEX('Per Invoice'!AF$2:AF$401,$AH326)="","",INDEX('Per Invoice'!AF$2:AF$401,$AH326)))</f>
        <v/>
      </c>
      <c r="AG326" s="7">
        <f>IF($AH326="","",IF(INDEX('Per Invoice'!AG$2:AG$401,$AH326)="","",INDEX('Per Invoice'!AG$2:AG$401,$AH326)))</f>
        <v/>
      </c>
      <c r="AH326" s="16">
        <f>IFERROR(MATCH(Settings!$C$26&amp;"|"&amp;ROWS($AH$2:$AH326),'Per Invoice'!$AI$2:$AI$401,0),"")</f>
        <v/>
      </c>
    </row>
    <row r="327">
      <c r="A327">
        <f>IF($AH327="","",IF(INDEX('Per Invoice'!A$2:A$401,$AH327)="","",INDEX('Per Invoice'!A$2:A$401,$AH327)))</f>
        <v/>
      </c>
      <c r="B327">
        <f>IF($AH327="","",IF(INDEX('Per Invoice'!B$2:B$401,$AH327)="","",INDEX('Per Invoice'!B$2:B$401,$AH327)))</f>
        <v/>
      </c>
      <c r="C327">
        <f>IF($AH327="","",IF(INDEX('Per Invoice'!C$2:C$401,$AH327)="","",INDEX('Per Invoice'!C$2:C$401,$AH327)))</f>
        <v/>
      </c>
      <c r="D327">
        <f>IF($AH327="","",IF(INDEX('Per Invoice'!D$2:D$401,$AH327)="","",INDEX('Per Invoice'!D$2:D$401,$AH327)))</f>
        <v/>
      </c>
      <c r="E327">
        <f>IF($AH327="","",IF(INDEX('Per Invoice'!E$2:E$401,$AH327)="","",INDEX('Per Invoice'!E$2:E$401,$AH327)))</f>
        <v/>
      </c>
      <c r="F327">
        <f>IF($AH327="","",IF(INDEX('Per Invoice'!F$2:F$401,$AH327)="","",INDEX('Per Invoice'!F$2:F$401,$AH327)))</f>
        <v/>
      </c>
      <c r="G327">
        <f>IF($AH327="","",IF(INDEX('Per Invoice'!G$2:G$401,$AH327)="","",INDEX('Per Invoice'!G$2:G$401,$AH327)))</f>
        <v/>
      </c>
      <c r="H327">
        <f>IF($AH327="","",IF(INDEX('Per Invoice'!H$2:H$401,$AH327)="","",INDEX('Per Invoice'!H$2:H$401,$AH327)))</f>
        <v/>
      </c>
      <c r="I327" s="14">
        <f>IF($AH327="","",IF(INDEX('Per Invoice'!I$2:I$401,$AH327)="","",INDEX('Per Invoice'!I$2:I$401,$AH327)))</f>
        <v/>
      </c>
      <c r="J327">
        <f>IF($AH327="","",IF(INDEX('Per Invoice'!J$2:J$401,$AH327)="","",INDEX('Per Invoice'!J$2:J$401,$AH327)))</f>
        <v/>
      </c>
      <c r="K327">
        <f>IF($AH327="","",IF(INDEX('Per Invoice'!K$2:K$401,$AH327)="","",INDEX('Per Invoice'!K$2:K$401,$AH327)))</f>
        <v/>
      </c>
      <c r="L327">
        <f>IF($AH327="","",IF(INDEX('Per Invoice'!L$2:L$401,$AH327)="","",INDEX('Per Invoice'!L$2:L$401,$AH327)))</f>
        <v/>
      </c>
      <c r="M327">
        <f>IF($AH327="","",IF(INDEX('Per Invoice'!M$2:M$401,$AH327)="","",INDEX('Per Invoice'!M$2:M$401,$AH327)))</f>
        <v/>
      </c>
      <c r="N327">
        <f>IF($AH327="","",IF(INDEX('Per Invoice'!N$2:N$401,$AH327)="","",INDEX('Per Invoice'!N$2:N$401,$AH327)))</f>
        <v/>
      </c>
      <c r="O327">
        <f>IF($AH327="","",IF(INDEX('Per Invoice'!O$2:O$401,$AH327)="","",INDEX('Per Invoice'!O$2:O$401,$AH327)))</f>
        <v/>
      </c>
      <c r="P327" s="7">
        <f>IF($AH327="","",IF(INDEX('Per Invoice'!P$2:P$401,$AH327)="","",INDEX('Per Invoice'!P$2:P$401,$AH327)))</f>
        <v/>
      </c>
      <c r="Q327">
        <f>IF($AH327="","",IF(INDEX('Per Invoice'!Q$2:Q$401,$AH327)="","",INDEX('Per Invoice'!Q$2:Q$401,$AH327)))</f>
        <v/>
      </c>
      <c r="R327">
        <f>IF($AH327="","",IF(INDEX('Per Invoice'!R$2:R$401,$AH327)="","",INDEX('Per Invoice'!R$2:R$401,$AH327)))</f>
        <v/>
      </c>
      <c r="S327">
        <f>IF($AH327="","",IF(INDEX('Per Invoice'!S$2:S$401,$AH327)="","",INDEX('Per Invoice'!S$2:S$401,$AH327)))</f>
        <v/>
      </c>
      <c r="T327" s="7">
        <f>IF($AH327="","",IF(INDEX('Per Invoice'!T$2:T$401,$AH327)="","",INDEX('Per Invoice'!T$2:T$401,$AH327)))</f>
        <v/>
      </c>
      <c r="U327" s="7">
        <f>IF($AH327="","",IF(INDEX('Per Invoice'!U$2:U$401,$AH327)="","",INDEX('Per Invoice'!U$2:U$401,$AH327)))</f>
        <v/>
      </c>
      <c r="V327">
        <f>IF($AH327="","",IF(INDEX('Per Invoice'!V$2:V$401,$AH327)="","",INDEX('Per Invoice'!V$2:V$401,$AH327)))</f>
        <v/>
      </c>
      <c r="W327" s="7">
        <f>IF($AH327="","",IF(INDEX('Per Invoice'!W$2:W$401,$AH327)="","",INDEX('Per Invoice'!W$2:W$401,$AH327)))</f>
        <v/>
      </c>
      <c r="X327" s="7">
        <f>IF($AH327="","",IF(INDEX('Per Invoice'!X$2:X$401,$AH327)="","",INDEX('Per Invoice'!X$2:X$401,$AH327)))</f>
        <v/>
      </c>
      <c r="Y327">
        <f>IF($AH327="","",IF(INDEX('Per Invoice'!Y$2:Y$401,$AH327)="","",INDEX('Per Invoice'!Y$2:Y$401,$AH327)))</f>
        <v/>
      </c>
      <c r="Z327" s="7">
        <f>IF($AH327="","",IF(INDEX('Per Invoice'!Z$2:Z$401,$AH327)="","",INDEX('Per Invoice'!Z$2:Z$401,$AH327)))</f>
        <v/>
      </c>
      <c r="AA327" s="7">
        <f>IF($AH327="","",IF(INDEX('Per Invoice'!AA$2:AA$401,$AH327)="","",INDEX('Per Invoice'!AA$2:AA$401,$AH327)))</f>
        <v/>
      </c>
      <c r="AB327" s="7">
        <f>IF($AH327="","",IF(INDEX('Per Invoice'!AB$2:AB$401,$AH327)="","",INDEX('Per Invoice'!AB$2:AB$401,$AH327)))</f>
        <v/>
      </c>
      <c r="AC327" s="7">
        <f>IF($AH327="","",IF(INDEX('Per Invoice'!AC$2:AC$401,$AH327)="","",INDEX('Per Invoice'!AC$2:AC$401,$AH327)))</f>
        <v/>
      </c>
      <c r="AD327" s="7">
        <f>IF($AH327="","",IF(INDEX('Per Invoice'!AD$2:AD$401,$AH327)="","",INDEX('Per Invoice'!AD$2:AD$401,$AH327)))</f>
        <v/>
      </c>
      <c r="AE327" s="7">
        <f>IF($AH327="","",IF(INDEX('Per Invoice'!AE$2:AE$401,$AH327)="","",INDEX('Per Invoice'!AE$2:AE$401,$AH327)))</f>
        <v/>
      </c>
      <c r="AF327">
        <f>IF($AH327="","",IF(INDEX('Per Invoice'!AF$2:AF$401,$AH327)="","",INDEX('Per Invoice'!AF$2:AF$401,$AH327)))</f>
        <v/>
      </c>
      <c r="AG327" s="7">
        <f>IF($AH327="","",IF(INDEX('Per Invoice'!AG$2:AG$401,$AH327)="","",INDEX('Per Invoice'!AG$2:AG$401,$AH327)))</f>
        <v/>
      </c>
      <c r="AH327" s="16">
        <f>IFERROR(MATCH(Settings!$C$26&amp;"|"&amp;ROWS($AH$2:$AH327),'Per Invoice'!$AI$2:$AI$401,0),"")</f>
        <v/>
      </c>
    </row>
    <row r="328">
      <c r="A328">
        <f>IF($AH328="","",IF(INDEX('Per Invoice'!A$2:A$401,$AH328)="","",INDEX('Per Invoice'!A$2:A$401,$AH328)))</f>
        <v/>
      </c>
      <c r="B328">
        <f>IF($AH328="","",IF(INDEX('Per Invoice'!B$2:B$401,$AH328)="","",INDEX('Per Invoice'!B$2:B$401,$AH328)))</f>
        <v/>
      </c>
      <c r="C328">
        <f>IF($AH328="","",IF(INDEX('Per Invoice'!C$2:C$401,$AH328)="","",INDEX('Per Invoice'!C$2:C$401,$AH328)))</f>
        <v/>
      </c>
      <c r="D328">
        <f>IF($AH328="","",IF(INDEX('Per Invoice'!D$2:D$401,$AH328)="","",INDEX('Per Invoice'!D$2:D$401,$AH328)))</f>
        <v/>
      </c>
      <c r="E328">
        <f>IF($AH328="","",IF(INDEX('Per Invoice'!E$2:E$401,$AH328)="","",INDEX('Per Invoice'!E$2:E$401,$AH328)))</f>
        <v/>
      </c>
      <c r="F328">
        <f>IF($AH328="","",IF(INDEX('Per Invoice'!F$2:F$401,$AH328)="","",INDEX('Per Invoice'!F$2:F$401,$AH328)))</f>
        <v/>
      </c>
      <c r="G328">
        <f>IF($AH328="","",IF(INDEX('Per Invoice'!G$2:G$401,$AH328)="","",INDEX('Per Invoice'!G$2:G$401,$AH328)))</f>
        <v/>
      </c>
      <c r="H328">
        <f>IF($AH328="","",IF(INDEX('Per Invoice'!H$2:H$401,$AH328)="","",INDEX('Per Invoice'!H$2:H$401,$AH328)))</f>
        <v/>
      </c>
      <c r="I328" s="14">
        <f>IF($AH328="","",IF(INDEX('Per Invoice'!I$2:I$401,$AH328)="","",INDEX('Per Invoice'!I$2:I$401,$AH328)))</f>
        <v/>
      </c>
      <c r="J328">
        <f>IF($AH328="","",IF(INDEX('Per Invoice'!J$2:J$401,$AH328)="","",INDEX('Per Invoice'!J$2:J$401,$AH328)))</f>
        <v/>
      </c>
      <c r="K328">
        <f>IF($AH328="","",IF(INDEX('Per Invoice'!K$2:K$401,$AH328)="","",INDEX('Per Invoice'!K$2:K$401,$AH328)))</f>
        <v/>
      </c>
      <c r="L328">
        <f>IF($AH328="","",IF(INDEX('Per Invoice'!L$2:L$401,$AH328)="","",INDEX('Per Invoice'!L$2:L$401,$AH328)))</f>
        <v/>
      </c>
      <c r="M328">
        <f>IF($AH328="","",IF(INDEX('Per Invoice'!M$2:M$401,$AH328)="","",INDEX('Per Invoice'!M$2:M$401,$AH328)))</f>
        <v/>
      </c>
      <c r="N328">
        <f>IF($AH328="","",IF(INDEX('Per Invoice'!N$2:N$401,$AH328)="","",INDEX('Per Invoice'!N$2:N$401,$AH328)))</f>
        <v/>
      </c>
      <c r="O328">
        <f>IF($AH328="","",IF(INDEX('Per Invoice'!O$2:O$401,$AH328)="","",INDEX('Per Invoice'!O$2:O$401,$AH328)))</f>
        <v/>
      </c>
      <c r="P328" s="7">
        <f>IF($AH328="","",IF(INDEX('Per Invoice'!P$2:P$401,$AH328)="","",INDEX('Per Invoice'!P$2:P$401,$AH328)))</f>
        <v/>
      </c>
      <c r="Q328">
        <f>IF($AH328="","",IF(INDEX('Per Invoice'!Q$2:Q$401,$AH328)="","",INDEX('Per Invoice'!Q$2:Q$401,$AH328)))</f>
        <v/>
      </c>
      <c r="R328">
        <f>IF($AH328="","",IF(INDEX('Per Invoice'!R$2:R$401,$AH328)="","",INDEX('Per Invoice'!R$2:R$401,$AH328)))</f>
        <v/>
      </c>
      <c r="S328">
        <f>IF($AH328="","",IF(INDEX('Per Invoice'!S$2:S$401,$AH328)="","",INDEX('Per Invoice'!S$2:S$401,$AH328)))</f>
        <v/>
      </c>
      <c r="T328" s="7">
        <f>IF($AH328="","",IF(INDEX('Per Invoice'!T$2:T$401,$AH328)="","",INDEX('Per Invoice'!T$2:T$401,$AH328)))</f>
        <v/>
      </c>
      <c r="U328" s="7">
        <f>IF($AH328="","",IF(INDEX('Per Invoice'!U$2:U$401,$AH328)="","",INDEX('Per Invoice'!U$2:U$401,$AH328)))</f>
        <v/>
      </c>
      <c r="V328">
        <f>IF($AH328="","",IF(INDEX('Per Invoice'!V$2:V$401,$AH328)="","",INDEX('Per Invoice'!V$2:V$401,$AH328)))</f>
        <v/>
      </c>
      <c r="W328" s="7">
        <f>IF($AH328="","",IF(INDEX('Per Invoice'!W$2:W$401,$AH328)="","",INDEX('Per Invoice'!W$2:W$401,$AH328)))</f>
        <v/>
      </c>
      <c r="X328" s="7">
        <f>IF($AH328="","",IF(INDEX('Per Invoice'!X$2:X$401,$AH328)="","",INDEX('Per Invoice'!X$2:X$401,$AH328)))</f>
        <v/>
      </c>
      <c r="Y328">
        <f>IF($AH328="","",IF(INDEX('Per Invoice'!Y$2:Y$401,$AH328)="","",INDEX('Per Invoice'!Y$2:Y$401,$AH328)))</f>
        <v/>
      </c>
      <c r="Z328" s="7">
        <f>IF($AH328="","",IF(INDEX('Per Invoice'!Z$2:Z$401,$AH328)="","",INDEX('Per Invoice'!Z$2:Z$401,$AH328)))</f>
        <v/>
      </c>
      <c r="AA328" s="7">
        <f>IF($AH328="","",IF(INDEX('Per Invoice'!AA$2:AA$401,$AH328)="","",INDEX('Per Invoice'!AA$2:AA$401,$AH328)))</f>
        <v/>
      </c>
      <c r="AB328" s="7">
        <f>IF($AH328="","",IF(INDEX('Per Invoice'!AB$2:AB$401,$AH328)="","",INDEX('Per Invoice'!AB$2:AB$401,$AH328)))</f>
        <v/>
      </c>
      <c r="AC328" s="7">
        <f>IF($AH328="","",IF(INDEX('Per Invoice'!AC$2:AC$401,$AH328)="","",INDEX('Per Invoice'!AC$2:AC$401,$AH328)))</f>
        <v/>
      </c>
      <c r="AD328" s="7">
        <f>IF($AH328="","",IF(INDEX('Per Invoice'!AD$2:AD$401,$AH328)="","",INDEX('Per Invoice'!AD$2:AD$401,$AH328)))</f>
        <v/>
      </c>
      <c r="AE328" s="7">
        <f>IF($AH328="","",IF(INDEX('Per Invoice'!AE$2:AE$401,$AH328)="","",INDEX('Per Invoice'!AE$2:AE$401,$AH328)))</f>
        <v/>
      </c>
      <c r="AF328">
        <f>IF($AH328="","",IF(INDEX('Per Invoice'!AF$2:AF$401,$AH328)="","",INDEX('Per Invoice'!AF$2:AF$401,$AH328)))</f>
        <v/>
      </c>
      <c r="AG328" s="7">
        <f>IF($AH328="","",IF(INDEX('Per Invoice'!AG$2:AG$401,$AH328)="","",INDEX('Per Invoice'!AG$2:AG$401,$AH328)))</f>
        <v/>
      </c>
      <c r="AH328" s="16">
        <f>IFERROR(MATCH(Settings!$C$26&amp;"|"&amp;ROWS($AH$2:$AH328),'Per Invoice'!$AI$2:$AI$401,0),"")</f>
        <v/>
      </c>
    </row>
    <row r="329">
      <c r="A329">
        <f>IF($AH329="","",IF(INDEX('Per Invoice'!A$2:A$401,$AH329)="","",INDEX('Per Invoice'!A$2:A$401,$AH329)))</f>
        <v/>
      </c>
      <c r="B329">
        <f>IF($AH329="","",IF(INDEX('Per Invoice'!B$2:B$401,$AH329)="","",INDEX('Per Invoice'!B$2:B$401,$AH329)))</f>
        <v/>
      </c>
      <c r="C329">
        <f>IF($AH329="","",IF(INDEX('Per Invoice'!C$2:C$401,$AH329)="","",INDEX('Per Invoice'!C$2:C$401,$AH329)))</f>
        <v/>
      </c>
      <c r="D329">
        <f>IF($AH329="","",IF(INDEX('Per Invoice'!D$2:D$401,$AH329)="","",INDEX('Per Invoice'!D$2:D$401,$AH329)))</f>
        <v/>
      </c>
      <c r="E329">
        <f>IF($AH329="","",IF(INDEX('Per Invoice'!E$2:E$401,$AH329)="","",INDEX('Per Invoice'!E$2:E$401,$AH329)))</f>
        <v/>
      </c>
      <c r="F329">
        <f>IF($AH329="","",IF(INDEX('Per Invoice'!F$2:F$401,$AH329)="","",INDEX('Per Invoice'!F$2:F$401,$AH329)))</f>
        <v/>
      </c>
      <c r="G329">
        <f>IF($AH329="","",IF(INDEX('Per Invoice'!G$2:G$401,$AH329)="","",INDEX('Per Invoice'!G$2:G$401,$AH329)))</f>
        <v/>
      </c>
      <c r="H329">
        <f>IF($AH329="","",IF(INDEX('Per Invoice'!H$2:H$401,$AH329)="","",INDEX('Per Invoice'!H$2:H$401,$AH329)))</f>
        <v/>
      </c>
      <c r="I329" s="14">
        <f>IF($AH329="","",IF(INDEX('Per Invoice'!I$2:I$401,$AH329)="","",INDEX('Per Invoice'!I$2:I$401,$AH329)))</f>
        <v/>
      </c>
      <c r="J329">
        <f>IF($AH329="","",IF(INDEX('Per Invoice'!J$2:J$401,$AH329)="","",INDEX('Per Invoice'!J$2:J$401,$AH329)))</f>
        <v/>
      </c>
      <c r="K329">
        <f>IF($AH329="","",IF(INDEX('Per Invoice'!K$2:K$401,$AH329)="","",INDEX('Per Invoice'!K$2:K$401,$AH329)))</f>
        <v/>
      </c>
      <c r="L329">
        <f>IF($AH329="","",IF(INDEX('Per Invoice'!L$2:L$401,$AH329)="","",INDEX('Per Invoice'!L$2:L$401,$AH329)))</f>
        <v/>
      </c>
      <c r="M329">
        <f>IF($AH329="","",IF(INDEX('Per Invoice'!M$2:M$401,$AH329)="","",INDEX('Per Invoice'!M$2:M$401,$AH329)))</f>
        <v/>
      </c>
      <c r="N329">
        <f>IF($AH329="","",IF(INDEX('Per Invoice'!N$2:N$401,$AH329)="","",INDEX('Per Invoice'!N$2:N$401,$AH329)))</f>
        <v/>
      </c>
      <c r="O329">
        <f>IF($AH329="","",IF(INDEX('Per Invoice'!O$2:O$401,$AH329)="","",INDEX('Per Invoice'!O$2:O$401,$AH329)))</f>
        <v/>
      </c>
      <c r="P329" s="7">
        <f>IF($AH329="","",IF(INDEX('Per Invoice'!P$2:P$401,$AH329)="","",INDEX('Per Invoice'!P$2:P$401,$AH329)))</f>
        <v/>
      </c>
      <c r="Q329">
        <f>IF($AH329="","",IF(INDEX('Per Invoice'!Q$2:Q$401,$AH329)="","",INDEX('Per Invoice'!Q$2:Q$401,$AH329)))</f>
        <v/>
      </c>
      <c r="R329">
        <f>IF($AH329="","",IF(INDEX('Per Invoice'!R$2:R$401,$AH329)="","",INDEX('Per Invoice'!R$2:R$401,$AH329)))</f>
        <v/>
      </c>
      <c r="S329">
        <f>IF($AH329="","",IF(INDEX('Per Invoice'!S$2:S$401,$AH329)="","",INDEX('Per Invoice'!S$2:S$401,$AH329)))</f>
        <v/>
      </c>
      <c r="T329" s="7">
        <f>IF($AH329="","",IF(INDEX('Per Invoice'!T$2:T$401,$AH329)="","",INDEX('Per Invoice'!T$2:T$401,$AH329)))</f>
        <v/>
      </c>
      <c r="U329" s="7">
        <f>IF($AH329="","",IF(INDEX('Per Invoice'!U$2:U$401,$AH329)="","",INDEX('Per Invoice'!U$2:U$401,$AH329)))</f>
        <v/>
      </c>
      <c r="V329">
        <f>IF($AH329="","",IF(INDEX('Per Invoice'!V$2:V$401,$AH329)="","",INDEX('Per Invoice'!V$2:V$401,$AH329)))</f>
        <v/>
      </c>
      <c r="W329" s="7">
        <f>IF($AH329="","",IF(INDEX('Per Invoice'!W$2:W$401,$AH329)="","",INDEX('Per Invoice'!W$2:W$401,$AH329)))</f>
        <v/>
      </c>
      <c r="X329" s="7">
        <f>IF($AH329="","",IF(INDEX('Per Invoice'!X$2:X$401,$AH329)="","",INDEX('Per Invoice'!X$2:X$401,$AH329)))</f>
        <v/>
      </c>
      <c r="Y329">
        <f>IF($AH329="","",IF(INDEX('Per Invoice'!Y$2:Y$401,$AH329)="","",INDEX('Per Invoice'!Y$2:Y$401,$AH329)))</f>
        <v/>
      </c>
      <c r="Z329" s="7">
        <f>IF($AH329="","",IF(INDEX('Per Invoice'!Z$2:Z$401,$AH329)="","",INDEX('Per Invoice'!Z$2:Z$401,$AH329)))</f>
        <v/>
      </c>
      <c r="AA329" s="7">
        <f>IF($AH329="","",IF(INDEX('Per Invoice'!AA$2:AA$401,$AH329)="","",INDEX('Per Invoice'!AA$2:AA$401,$AH329)))</f>
        <v/>
      </c>
      <c r="AB329" s="7">
        <f>IF($AH329="","",IF(INDEX('Per Invoice'!AB$2:AB$401,$AH329)="","",INDEX('Per Invoice'!AB$2:AB$401,$AH329)))</f>
        <v/>
      </c>
      <c r="AC329" s="7">
        <f>IF($AH329="","",IF(INDEX('Per Invoice'!AC$2:AC$401,$AH329)="","",INDEX('Per Invoice'!AC$2:AC$401,$AH329)))</f>
        <v/>
      </c>
      <c r="AD329" s="7">
        <f>IF($AH329="","",IF(INDEX('Per Invoice'!AD$2:AD$401,$AH329)="","",INDEX('Per Invoice'!AD$2:AD$401,$AH329)))</f>
        <v/>
      </c>
      <c r="AE329" s="7">
        <f>IF($AH329="","",IF(INDEX('Per Invoice'!AE$2:AE$401,$AH329)="","",INDEX('Per Invoice'!AE$2:AE$401,$AH329)))</f>
        <v/>
      </c>
      <c r="AF329">
        <f>IF($AH329="","",IF(INDEX('Per Invoice'!AF$2:AF$401,$AH329)="","",INDEX('Per Invoice'!AF$2:AF$401,$AH329)))</f>
        <v/>
      </c>
      <c r="AG329" s="7">
        <f>IF($AH329="","",IF(INDEX('Per Invoice'!AG$2:AG$401,$AH329)="","",INDEX('Per Invoice'!AG$2:AG$401,$AH329)))</f>
        <v/>
      </c>
      <c r="AH329" s="16">
        <f>IFERROR(MATCH(Settings!$C$26&amp;"|"&amp;ROWS($AH$2:$AH329),'Per Invoice'!$AI$2:$AI$401,0),"")</f>
        <v/>
      </c>
    </row>
    <row r="330">
      <c r="A330">
        <f>IF($AH330="","",IF(INDEX('Per Invoice'!A$2:A$401,$AH330)="","",INDEX('Per Invoice'!A$2:A$401,$AH330)))</f>
        <v/>
      </c>
      <c r="B330">
        <f>IF($AH330="","",IF(INDEX('Per Invoice'!B$2:B$401,$AH330)="","",INDEX('Per Invoice'!B$2:B$401,$AH330)))</f>
        <v/>
      </c>
      <c r="C330">
        <f>IF($AH330="","",IF(INDEX('Per Invoice'!C$2:C$401,$AH330)="","",INDEX('Per Invoice'!C$2:C$401,$AH330)))</f>
        <v/>
      </c>
      <c r="D330">
        <f>IF($AH330="","",IF(INDEX('Per Invoice'!D$2:D$401,$AH330)="","",INDEX('Per Invoice'!D$2:D$401,$AH330)))</f>
        <v/>
      </c>
      <c r="E330">
        <f>IF($AH330="","",IF(INDEX('Per Invoice'!E$2:E$401,$AH330)="","",INDEX('Per Invoice'!E$2:E$401,$AH330)))</f>
        <v/>
      </c>
      <c r="F330">
        <f>IF($AH330="","",IF(INDEX('Per Invoice'!F$2:F$401,$AH330)="","",INDEX('Per Invoice'!F$2:F$401,$AH330)))</f>
        <v/>
      </c>
      <c r="G330">
        <f>IF($AH330="","",IF(INDEX('Per Invoice'!G$2:G$401,$AH330)="","",INDEX('Per Invoice'!G$2:G$401,$AH330)))</f>
        <v/>
      </c>
      <c r="H330">
        <f>IF($AH330="","",IF(INDEX('Per Invoice'!H$2:H$401,$AH330)="","",INDEX('Per Invoice'!H$2:H$401,$AH330)))</f>
        <v/>
      </c>
      <c r="I330" s="14">
        <f>IF($AH330="","",IF(INDEX('Per Invoice'!I$2:I$401,$AH330)="","",INDEX('Per Invoice'!I$2:I$401,$AH330)))</f>
        <v/>
      </c>
      <c r="J330">
        <f>IF($AH330="","",IF(INDEX('Per Invoice'!J$2:J$401,$AH330)="","",INDEX('Per Invoice'!J$2:J$401,$AH330)))</f>
        <v/>
      </c>
      <c r="K330">
        <f>IF($AH330="","",IF(INDEX('Per Invoice'!K$2:K$401,$AH330)="","",INDEX('Per Invoice'!K$2:K$401,$AH330)))</f>
        <v/>
      </c>
      <c r="L330">
        <f>IF($AH330="","",IF(INDEX('Per Invoice'!L$2:L$401,$AH330)="","",INDEX('Per Invoice'!L$2:L$401,$AH330)))</f>
        <v/>
      </c>
      <c r="M330">
        <f>IF($AH330="","",IF(INDEX('Per Invoice'!M$2:M$401,$AH330)="","",INDEX('Per Invoice'!M$2:M$401,$AH330)))</f>
        <v/>
      </c>
      <c r="N330">
        <f>IF($AH330="","",IF(INDEX('Per Invoice'!N$2:N$401,$AH330)="","",INDEX('Per Invoice'!N$2:N$401,$AH330)))</f>
        <v/>
      </c>
      <c r="O330">
        <f>IF($AH330="","",IF(INDEX('Per Invoice'!O$2:O$401,$AH330)="","",INDEX('Per Invoice'!O$2:O$401,$AH330)))</f>
        <v/>
      </c>
      <c r="P330" s="7">
        <f>IF($AH330="","",IF(INDEX('Per Invoice'!P$2:P$401,$AH330)="","",INDEX('Per Invoice'!P$2:P$401,$AH330)))</f>
        <v/>
      </c>
      <c r="Q330">
        <f>IF($AH330="","",IF(INDEX('Per Invoice'!Q$2:Q$401,$AH330)="","",INDEX('Per Invoice'!Q$2:Q$401,$AH330)))</f>
        <v/>
      </c>
      <c r="R330">
        <f>IF($AH330="","",IF(INDEX('Per Invoice'!R$2:R$401,$AH330)="","",INDEX('Per Invoice'!R$2:R$401,$AH330)))</f>
        <v/>
      </c>
      <c r="S330">
        <f>IF($AH330="","",IF(INDEX('Per Invoice'!S$2:S$401,$AH330)="","",INDEX('Per Invoice'!S$2:S$401,$AH330)))</f>
        <v/>
      </c>
      <c r="T330" s="7">
        <f>IF($AH330="","",IF(INDEX('Per Invoice'!T$2:T$401,$AH330)="","",INDEX('Per Invoice'!T$2:T$401,$AH330)))</f>
        <v/>
      </c>
      <c r="U330" s="7">
        <f>IF($AH330="","",IF(INDEX('Per Invoice'!U$2:U$401,$AH330)="","",INDEX('Per Invoice'!U$2:U$401,$AH330)))</f>
        <v/>
      </c>
      <c r="V330">
        <f>IF($AH330="","",IF(INDEX('Per Invoice'!V$2:V$401,$AH330)="","",INDEX('Per Invoice'!V$2:V$401,$AH330)))</f>
        <v/>
      </c>
      <c r="W330" s="7">
        <f>IF($AH330="","",IF(INDEX('Per Invoice'!W$2:W$401,$AH330)="","",INDEX('Per Invoice'!W$2:W$401,$AH330)))</f>
        <v/>
      </c>
      <c r="X330" s="7">
        <f>IF($AH330="","",IF(INDEX('Per Invoice'!X$2:X$401,$AH330)="","",INDEX('Per Invoice'!X$2:X$401,$AH330)))</f>
        <v/>
      </c>
      <c r="Y330">
        <f>IF($AH330="","",IF(INDEX('Per Invoice'!Y$2:Y$401,$AH330)="","",INDEX('Per Invoice'!Y$2:Y$401,$AH330)))</f>
        <v/>
      </c>
      <c r="Z330" s="7">
        <f>IF($AH330="","",IF(INDEX('Per Invoice'!Z$2:Z$401,$AH330)="","",INDEX('Per Invoice'!Z$2:Z$401,$AH330)))</f>
        <v/>
      </c>
      <c r="AA330" s="7">
        <f>IF($AH330="","",IF(INDEX('Per Invoice'!AA$2:AA$401,$AH330)="","",INDEX('Per Invoice'!AA$2:AA$401,$AH330)))</f>
        <v/>
      </c>
      <c r="AB330" s="7">
        <f>IF($AH330="","",IF(INDEX('Per Invoice'!AB$2:AB$401,$AH330)="","",INDEX('Per Invoice'!AB$2:AB$401,$AH330)))</f>
        <v/>
      </c>
      <c r="AC330" s="7">
        <f>IF($AH330="","",IF(INDEX('Per Invoice'!AC$2:AC$401,$AH330)="","",INDEX('Per Invoice'!AC$2:AC$401,$AH330)))</f>
        <v/>
      </c>
      <c r="AD330" s="7">
        <f>IF($AH330="","",IF(INDEX('Per Invoice'!AD$2:AD$401,$AH330)="","",INDEX('Per Invoice'!AD$2:AD$401,$AH330)))</f>
        <v/>
      </c>
      <c r="AE330" s="7">
        <f>IF($AH330="","",IF(INDEX('Per Invoice'!AE$2:AE$401,$AH330)="","",INDEX('Per Invoice'!AE$2:AE$401,$AH330)))</f>
        <v/>
      </c>
      <c r="AF330">
        <f>IF($AH330="","",IF(INDEX('Per Invoice'!AF$2:AF$401,$AH330)="","",INDEX('Per Invoice'!AF$2:AF$401,$AH330)))</f>
        <v/>
      </c>
      <c r="AG330" s="7">
        <f>IF($AH330="","",IF(INDEX('Per Invoice'!AG$2:AG$401,$AH330)="","",INDEX('Per Invoice'!AG$2:AG$401,$AH330)))</f>
        <v/>
      </c>
      <c r="AH330" s="16">
        <f>IFERROR(MATCH(Settings!$C$26&amp;"|"&amp;ROWS($AH$2:$AH330),'Per Invoice'!$AI$2:$AI$401,0),"")</f>
        <v/>
      </c>
    </row>
    <row r="331">
      <c r="A331">
        <f>IF($AH331="","",IF(INDEX('Per Invoice'!A$2:A$401,$AH331)="","",INDEX('Per Invoice'!A$2:A$401,$AH331)))</f>
        <v/>
      </c>
      <c r="B331">
        <f>IF($AH331="","",IF(INDEX('Per Invoice'!B$2:B$401,$AH331)="","",INDEX('Per Invoice'!B$2:B$401,$AH331)))</f>
        <v/>
      </c>
      <c r="C331">
        <f>IF($AH331="","",IF(INDEX('Per Invoice'!C$2:C$401,$AH331)="","",INDEX('Per Invoice'!C$2:C$401,$AH331)))</f>
        <v/>
      </c>
      <c r="D331">
        <f>IF($AH331="","",IF(INDEX('Per Invoice'!D$2:D$401,$AH331)="","",INDEX('Per Invoice'!D$2:D$401,$AH331)))</f>
        <v/>
      </c>
      <c r="E331">
        <f>IF($AH331="","",IF(INDEX('Per Invoice'!E$2:E$401,$AH331)="","",INDEX('Per Invoice'!E$2:E$401,$AH331)))</f>
        <v/>
      </c>
      <c r="F331">
        <f>IF($AH331="","",IF(INDEX('Per Invoice'!F$2:F$401,$AH331)="","",INDEX('Per Invoice'!F$2:F$401,$AH331)))</f>
        <v/>
      </c>
      <c r="G331">
        <f>IF($AH331="","",IF(INDEX('Per Invoice'!G$2:G$401,$AH331)="","",INDEX('Per Invoice'!G$2:G$401,$AH331)))</f>
        <v/>
      </c>
      <c r="H331">
        <f>IF($AH331="","",IF(INDEX('Per Invoice'!H$2:H$401,$AH331)="","",INDEX('Per Invoice'!H$2:H$401,$AH331)))</f>
        <v/>
      </c>
      <c r="I331" s="14">
        <f>IF($AH331="","",IF(INDEX('Per Invoice'!I$2:I$401,$AH331)="","",INDEX('Per Invoice'!I$2:I$401,$AH331)))</f>
        <v/>
      </c>
      <c r="J331">
        <f>IF($AH331="","",IF(INDEX('Per Invoice'!J$2:J$401,$AH331)="","",INDEX('Per Invoice'!J$2:J$401,$AH331)))</f>
        <v/>
      </c>
      <c r="K331">
        <f>IF($AH331="","",IF(INDEX('Per Invoice'!K$2:K$401,$AH331)="","",INDEX('Per Invoice'!K$2:K$401,$AH331)))</f>
        <v/>
      </c>
      <c r="L331">
        <f>IF($AH331="","",IF(INDEX('Per Invoice'!L$2:L$401,$AH331)="","",INDEX('Per Invoice'!L$2:L$401,$AH331)))</f>
        <v/>
      </c>
      <c r="M331">
        <f>IF($AH331="","",IF(INDEX('Per Invoice'!M$2:M$401,$AH331)="","",INDEX('Per Invoice'!M$2:M$401,$AH331)))</f>
        <v/>
      </c>
      <c r="N331">
        <f>IF($AH331="","",IF(INDEX('Per Invoice'!N$2:N$401,$AH331)="","",INDEX('Per Invoice'!N$2:N$401,$AH331)))</f>
        <v/>
      </c>
      <c r="O331">
        <f>IF($AH331="","",IF(INDEX('Per Invoice'!O$2:O$401,$AH331)="","",INDEX('Per Invoice'!O$2:O$401,$AH331)))</f>
        <v/>
      </c>
      <c r="P331" s="7">
        <f>IF($AH331="","",IF(INDEX('Per Invoice'!P$2:P$401,$AH331)="","",INDEX('Per Invoice'!P$2:P$401,$AH331)))</f>
        <v/>
      </c>
      <c r="Q331">
        <f>IF($AH331="","",IF(INDEX('Per Invoice'!Q$2:Q$401,$AH331)="","",INDEX('Per Invoice'!Q$2:Q$401,$AH331)))</f>
        <v/>
      </c>
      <c r="R331">
        <f>IF($AH331="","",IF(INDEX('Per Invoice'!R$2:R$401,$AH331)="","",INDEX('Per Invoice'!R$2:R$401,$AH331)))</f>
        <v/>
      </c>
      <c r="S331">
        <f>IF($AH331="","",IF(INDEX('Per Invoice'!S$2:S$401,$AH331)="","",INDEX('Per Invoice'!S$2:S$401,$AH331)))</f>
        <v/>
      </c>
      <c r="T331" s="7">
        <f>IF($AH331="","",IF(INDEX('Per Invoice'!T$2:T$401,$AH331)="","",INDEX('Per Invoice'!T$2:T$401,$AH331)))</f>
        <v/>
      </c>
      <c r="U331" s="7">
        <f>IF($AH331="","",IF(INDEX('Per Invoice'!U$2:U$401,$AH331)="","",INDEX('Per Invoice'!U$2:U$401,$AH331)))</f>
        <v/>
      </c>
      <c r="V331">
        <f>IF($AH331="","",IF(INDEX('Per Invoice'!V$2:V$401,$AH331)="","",INDEX('Per Invoice'!V$2:V$401,$AH331)))</f>
        <v/>
      </c>
      <c r="W331" s="7">
        <f>IF($AH331="","",IF(INDEX('Per Invoice'!W$2:W$401,$AH331)="","",INDEX('Per Invoice'!W$2:W$401,$AH331)))</f>
        <v/>
      </c>
      <c r="X331" s="7">
        <f>IF($AH331="","",IF(INDEX('Per Invoice'!X$2:X$401,$AH331)="","",INDEX('Per Invoice'!X$2:X$401,$AH331)))</f>
        <v/>
      </c>
      <c r="Y331">
        <f>IF($AH331="","",IF(INDEX('Per Invoice'!Y$2:Y$401,$AH331)="","",INDEX('Per Invoice'!Y$2:Y$401,$AH331)))</f>
        <v/>
      </c>
      <c r="Z331" s="7">
        <f>IF($AH331="","",IF(INDEX('Per Invoice'!Z$2:Z$401,$AH331)="","",INDEX('Per Invoice'!Z$2:Z$401,$AH331)))</f>
        <v/>
      </c>
      <c r="AA331" s="7">
        <f>IF($AH331="","",IF(INDEX('Per Invoice'!AA$2:AA$401,$AH331)="","",INDEX('Per Invoice'!AA$2:AA$401,$AH331)))</f>
        <v/>
      </c>
      <c r="AB331" s="7">
        <f>IF($AH331="","",IF(INDEX('Per Invoice'!AB$2:AB$401,$AH331)="","",INDEX('Per Invoice'!AB$2:AB$401,$AH331)))</f>
        <v/>
      </c>
      <c r="AC331" s="7">
        <f>IF($AH331="","",IF(INDEX('Per Invoice'!AC$2:AC$401,$AH331)="","",INDEX('Per Invoice'!AC$2:AC$401,$AH331)))</f>
        <v/>
      </c>
      <c r="AD331" s="7">
        <f>IF($AH331="","",IF(INDEX('Per Invoice'!AD$2:AD$401,$AH331)="","",INDEX('Per Invoice'!AD$2:AD$401,$AH331)))</f>
        <v/>
      </c>
      <c r="AE331" s="7">
        <f>IF($AH331="","",IF(INDEX('Per Invoice'!AE$2:AE$401,$AH331)="","",INDEX('Per Invoice'!AE$2:AE$401,$AH331)))</f>
        <v/>
      </c>
      <c r="AF331">
        <f>IF($AH331="","",IF(INDEX('Per Invoice'!AF$2:AF$401,$AH331)="","",INDEX('Per Invoice'!AF$2:AF$401,$AH331)))</f>
        <v/>
      </c>
      <c r="AG331" s="7">
        <f>IF($AH331="","",IF(INDEX('Per Invoice'!AG$2:AG$401,$AH331)="","",INDEX('Per Invoice'!AG$2:AG$401,$AH331)))</f>
        <v/>
      </c>
      <c r="AH331" s="16">
        <f>IFERROR(MATCH(Settings!$C$26&amp;"|"&amp;ROWS($AH$2:$AH331),'Per Invoice'!$AI$2:$AI$401,0),"")</f>
        <v/>
      </c>
    </row>
    <row r="332">
      <c r="A332">
        <f>IF($AH332="","",IF(INDEX('Per Invoice'!A$2:A$401,$AH332)="","",INDEX('Per Invoice'!A$2:A$401,$AH332)))</f>
        <v/>
      </c>
      <c r="B332">
        <f>IF($AH332="","",IF(INDEX('Per Invoice'!B$2:B$401,$AH332)="","",INDEX('Per Invoice'!B$2:B$401,$AH332)))</f>
        <v/>
      </c>
      <c r="C332">
        <f>IF($AH332="","",IF(INDEX('Per Invoice'!C$2:C$401,$AH332)="","",INDEX('Per Invoice'!C$2:C$401,$AH332)))</f>
        <v/>
      </c>
      <c r="D332">
        <f>IF($AH332="","",IF(INDEX('Per Invoice'!D$2:D$401,$AH332)="","",INDEX('Per Invoice'!D$2:D$401,$AH332)))</f>
        <v/>
      </c>
      <c r="E332">
        <f>IF($AH332="","",IF(INDEX('Per Invoice'!E$2:E$401,$AH332)="","",INDEX('Per Invoice'!E$2:E$401,$AH332)))</f>
        <v/>
      </c>
      <c r="F332">
        <f>IF($AH332="","",IF(INDEX('Per Invoice'!F$2:F$401,$AH332)="","",INDEX('Per Invoice'!F$2:F$401,$AH332)))</f>
        <v/>
      </c>
      <c r="G332">
        <f>IF($AH332="","",IF(INDEX('Per Invoice'!G$2:G$401,$AH332)="","",INDEX('Per Invoice'!G$2:G$401,$AH332)))</f>
        <v/>
      </c>
      <c r="H332">
        <f>IF($AH332="","",IF(INDEX('Per Invoice'!H$2:H$401,$AH332)="","",INDEX('Per Invoice'!H$2:H$401,$AH332)))</f>
        <v/>
      </c>
      <c r="I332" s="14">
        <f>IF($AH332="","",IF(INDEX('Per Invoice'!I$2:I$401,$AH332)="","",INDEX('Per Invoice'!I$2:I$401,$AH332)))</f>
        <v/>
      </c>
      <c r="J332">
        <f>IF($AH332="","",IF(INDEX('Per Invoice'!J$2:J$401,$AH332)="","",INDEX('Per Invoice'!J$2:J$401,$AH332)))</f>
        <v/>
      </c>
      <c r="K332">
        <f>IF($AH332="","",IF(INDEX('Per Invoice'!K$2:K$401,$AH332)="","",INDEX('Per Invoice'!K$2:K$401,$AH332)))</f>
        <v/>
      </c>
      <c r="L332">
        <f>IF($AH332="","",IF(INDEX('Per Invoice'!L$2:L$401,$AH332)="","",INDEX('Per Invoice'!L$2:L$401,$AH332)))</f>
        <v/>
      </c>
      <c r="M332">
        <f>IF($AH332="","",IF(INDEX('Per Invoice'!M$2:M$401,$AH332)="","",INDEX('Per Invoice'!M$2:M$401,$AH332)))</f>
        <v/>
      </c>
      <c r="N332">
        <f>IF($AH332="","",IF(INDEX('Per Invoice'!N$2:N$401,$AH332)="","",INDEX('Per Invoice'!N$2:N$401,$AH332)))</f>
        <v/>
      </c>
      <c r="O332">
        <f>IF($AH332="","",IF(INDEX('Per Invoice'!O$2:O$401,$AH332)="","",INDEX('Per Invoice'!O$2:O$401,$AH332)))</f>
        <v/>
      </c>
      <c r="P332" s="7">
        <f>IF($AH332="","",IF(INDEX('Per Invoice'!P$2:P$401,$AH332)="","",INDEX('Per Invoice'!P$2:P$401,$AH332)))</f>
        <v/>
      </c>
      <c r="Q332">
        <f>IF($AH332="","",IF(INDEX('Per Invoice'!Q$2:Q$401,$AH332)="","",INDEX('Per Invoice'!Q$2:Q$401,$AH332)))</f>
        <v/>
      </c>
      <c r="R332">
        <f>IF($AH332="","",IF(INDEX('Per Invoice'!R$2:R$401,$AH332)="","",INDEX('Per Invoice'!R$2:R$401,$AH332)))</f>
        <v/>
      </c>
      <c r="S332">
        <f>IF($AH332="","",IF(INDEX('Per Invoice'!S$2:S$401,$AH332)="","",INDEX('Per Invoice'!S$2:S$401,$AH332)))</f>
        <v/>
      </c>
      <c r="T332" s="7">
        <f>IF($AH332="","",IF(INDEX('Per Invoice'!T$2:T$401,$AH332)="","",INDEX('Per Invoice'!T$2:T$401,$AH332)))</f>
        <v/>
      </c>
      <c r="U332" s="7">
        <f>IF($AH332="","",IF(INDEX('Per Invoice'!U$2:U$401,$AH332)="","",INDEX('Per Invoice'!U$2:U$401,$AH332)))</f>
        <v/>
      </c>
      <c r="V332">
        <f>IF($AH332="","",IF(INDEX('Per Invoice'!V$2:V$401,$AH332)="","",INDEX('Per Invoice'!V$2:V$401,$AH332)))</f>
        <v/>
      </c>
      <c r="W332" s="7">
        <f>IF($AH332="","",IF(INDEX('Per Invoice'!W$2:W$401,$AH332)="","",INDEX('Per Invoice'!W$2:W$401,$AH332)))</f>
        <v/>
      </c>
      <c r="X332" s="7">
        <f>IF($AH332="","",IF(INDEX('Per Invoice'!X$2:X$401,$AH332)="","",INDEX('Per Invoice'!X$2:X$401,$AH332)))</f>
        <v/>
      </c>
      <c r="Y332">
        <f>IF($AH332="","",IF(INDEX('Per Invoice'!Y$2:Y$401,$AH332)="","",INDEX('Per Invoice'!Y$2:Y$401,$AH332)))</f>
        <v/>
      </c>
      <c r="Z332" s="7">
        <f>IF($AH332="","",IF(INDEX('Per Invoice'!Z$2:Z$401,$AH332)="","",INDEX('Per Invoice'!Z$2:Z$401,$AH332)))</f>
        <v/>
      </c>
      <c r="AA332" s="7">
        <f>IF($AH332="","",IF(INDEX('Per Invoice'!AA$2:AA$401,$AH332)="","",INDEX('Per Invoice'!AA$2:AA$401,$AH332)))</f>
        <v/>
      </c>
      <c r="AB332" s="7">
        <f>IF($AH332="","",IF(INDEX('Per Invoice'!AB$2:AB$401,$AH332)="","",INDEX('Per Invoice'!AB$2:AB$401,$AH332)))</f>
        <v/>
      </c>
      <c r="AC332" s="7">
        <f>IF($AH332="","",IF(INDEX('Per Invoice'!AC$2:AC$401,$AH332)="","",INDEX('Per Invoice'!AC$2:AC$401,$AH332)))</f>
        <v/>
      </c>
      <c r="AD332" s="7">
        <f>IF($AH332="","",IF(INDEX('Per Invoice'!AD$2:AD$401,$AH332)="","",INDEX('Per Invoice'!AD$2:AD$401,$AH332)))</f>
        <v/>
      </c>
      <c r="AE332" s="7">
        <f>IF($AH332="","",IF(INDEX('Per Invoice'!AE$2:AE$401,$AH332)="","",INDEX('Per Invoice'!AE$2:AE$401,$AH332)))</f>
        <v/>
      </c>
      <c r="AF332">
        <f>IF($AH332="","",IF(INDEX('Per Invoice'!AF$2:AF$401,$AH332)="","",INDEX('Per Invoice'!AF$2:AF$401,$AH332)))</f>
        <v/>
      </c>
      <c r="AG332" s="7">
        <f>IF($AH332="","",IF(INDEX('Per Invoice'!AG$2:AG$401,$AH332)="","",INDEX('Per Invoice'!AG$2:AG$401,$AH332)))</f>
        <v/>
      </c>
      <c r="AH332" s="16">
        <f>IFERROR(MATCH(Settings!$C$26&amp;"|"&amp;ROWS($AH$2:$AH332),'Per Invoice'!$AI$2:$AI$401,0),"")</f>
        <v/>
      </c>
    </row>
    <row r="333">
      <c r="A333">
        <f>IF($AH333="","",IF(INDEX('Per Invoice'!A$2:A$401,$AH333)="","",INDEX('Per Invoice'!A$2:A$401,$AH333)))</f>
        <v/>
      </c>
      <c r="B333">
        <f>IF($AH333="","",IF(INDEX('Per Invoice'!B$2:B$401,$AH333)="","",INDEX('Per Invoice'!B$2:B$401,$AH333)))</f>
        <v/>
      </c>
      <c r="C333">
        <f>IF($AH333="","",IF(INDEX('Per Invoice'!C$2:C$401,$AH333)="","",INDEX('Per Invoice'!C$2:C$401,$AH333)))</f>
        <v/>
      </c>
      <c r="D333">
        <f>IF($AH333="","",IF(INDEX('Per Invoice'!D$2:D$401,$AH333)="","",INDEX('Per Invoice'!D$2:D$401,$AH333)))</f>
        <v/>
      </c>
      <c r="E333">
        <f>IF($AH333="","",IF(INDEX('Per Invoice'!E$2:E$401,$AH333)="","",INDEX('Per Invoice'!E$2:E$401,$AH333)))</f>
        <v/>
      </c>
      <c r="F333">
        <f>IF($AH333="","",IF(INDEX('Per Invoice'!F$2:F$401,$AH333)="","",INDEX('Per Invoice'!F$2:F$401,$AH333)))</f>
        <v/>
      </c>
      <c r="G333">
        <f>IF($AH333="","",IF(INDEX('Per Invoice'!G$2:G$401,$AH333)="","",INDEX('Per Invoice'!G$2:G$401,$AH333)))</f>
        <v/>
      </c>
      <c r="H333">
        <f>IF($AH333="","",IF(INDEX('Per Invoice'!H$2:H$401,$AH333)="","",INDEX('Per Invoice'!H$2:H$401,$AH333)))</f>
        <v/>
      </c>
      <c r="I333" s="14">
        <f>IF($AH333="","",IF(INDEX('Per Invoice'!I$2:I$401,$AH333)="","",INDEX('Per Invoice'!I$2:I$401,$AH333)))</f>
        <v/>
      </c>
      <c r="J333">
        <f>IF($AH333="","",IF(INDEX('Per Invoice'!J$2:J$401,$AH333)="","",INDEX('Per Invoice'!J$2:J$401,$AH333)))</f>
        <v/>
      </c>
      <c r="K333">
        <f>IF($AH333="","",IF(INDEX('Per Invoice'!K$2:K$401,$AH333)="","",INDEX('Per Invoice'!K$2:K$401,$AH333)))</f>
        <v/>
      </c>
      <c r="L333">
        <f>IF($AH333="","",IF(INDEX('Per Invoice'!L$2:L$401,$AH333)="","",INDEX('Per Invoice'!L$2:L$401,$AH333)))</f>
        <v/>
      </c>
      <c r="M333">
        <f>IF($AH333="","",IF(INDEX('Per Invoice'!M$2:M$401,$AH333)="","",INDEX('Per Invoice'!M$2:M$401,$AH333)))</f>
        <v/>
      </c>
      <c r="N333">
        <f>IF($AH333="","",IF(INDEX('Per Invoice'!N$2:N$401,$AH333)="","",INDEX('Per Invoice'!N$2:N$401,$AH333)))</f>
        <v/>
      </c>
      <c r="O333">
        <f>IF($AH333="","",IF(INDEX('Per Invoice'!O$2:O$401,$AH333)="","",INDEX('Per Invoice'!O$2:O$401,$AH333)))</f>
        <v/>
      </c>
      <c r="P333" s="7">
        <f>IF($AH333="","",IF(INDEX('Per Invoice'!P$2:P$401,$AH333)="","",INDEX('Per Invoice'!P$2:P$401,$AH333)))</f>
        <v/>
      </c>
      <c r="Q333">
        <f>IF($AH333="","",IF(INDEX('Per Invoice'!Q$2:Q$401,$AH333)="","",INDEX('Per Invoice'!Q$2:Q$401,$AH333)))</f>
        <v/>
      </c>
      <c r="R333">
        <f>IF($AH333="","",IF(INDEX('Per Invoice'!R$2:R$401,$AH333)="","",INDEX('Per Invoice'!R$2:R$401,$AH333)))</f>
        <v/>
      </c>
      <c r="S333">
        <f>IF($AH333="","",IF(INDEX('Per Invoice'!S$2:S$401,$AH333)="","",INDEX('Per Invoice'!S$2:S$401,$AH333)))</f>
        <v/>
      </c>
      <c r="T333" s="7">
        <f>IF($AH333="","",IF(INDEX('Per Invoice'!T$2:T$401,$AH333)="","",INDEX('Per Invoice'!T$2:T$401,$AH333)))</f>
        <v/>
      </c>
      <c r="U333" s="7">
        <f>IF($AH333="","",IF(INDEX('Per Invoice'!U$2:U$401,$AH333)="","",INDEX('Per Invoice'!U$2:U$401,$AH333)))</f>
        <v/>
      </c>
      <c r="V333">
        <f>IF($AH333="","",IF(INDEX('Per Invoice'!V$2:V$401,$AH333)="","",INDEX('Per Invoice'!V$2:V$401,$AH333)))</f>
        <v/>
      </c>
      <c r="W333" s="7">
        <f>IF($AH333="","",IF(INDEX('Per Invoice'!W$2:W$401,$AH333)="","",INDEX('Per Invoice'!W$2:W$401,$AH333)))</f>
        <v/>
      </c>
      <c r="X333" s="7">
        <f>IF($AH333="","",IF(INDEX('Per Invoice'!X$2:X$401,$AH333)="","",INDEX('Per Invoice'!X$2:X$401,$AH333)))</f>
        <v/>
      </c>
      <c r="Y333">
        <f>IF($AH333="","",IF(INDEX('Per Invoice'!Y$2:Y$401,$AH333)="","",INDEX('Per Invoice'!Y$2:Y$401,$AH333)))</f>
        <v/>
      </c>
      <c r="Z333" s="7">
        <f>IF($AH333="","",IF(INDEX('Per Invoice'!Z$2:Z$401,$AH333)="","",INDEX('Per Invoice'!Z$2:Z$401,$AH333)))</f>
        <v/>
      </c>
      <c r="AA333" s="7">
        <f>IF($AH333="","",IF(INDEX('Per Invoice'!AA$2:AA$401,$AH333)="","",INDEX('Per Invoice'!AA$2:AA$401,$AH333)))</f>
        <v/>
      </c>
      <c r="AB333" s="7">
        <f>IF($AH333="","",IF(INDEX('Per Invoice'!AB$2:AB$401,$AH333)="","",INDEX('Per Invoice'!AB$2:AB$401,$AH333)))</f>
        <v/>
      </c>
      <c r="AC333" s="7">
        <f>IF($AH333="","",IF(INDEX('Per Invoice'!AC$2:AC$401,$AH333)="","",INDEX('Per Invoice'!AC$2:AC$401,$AH333)))</f>
        <v/>
      </c>
      <c r="AD333" s="7">
        <f>IF($AH333="","",IF(INDEX('Per Invoice'!AD$2:AD$401,$AH333)="","",INDEX('Per Invoice'!AD$2:AD$401,$AH333)))</f>
        <v/>
      </c>
      <c r="AE333" s="7">
        <f>IF($AH333="","",IF(INDEX('Per Invoice'!AE$2:AE$401,$AH333)="","",INDEX('Per Invoice'!AE$2:AE$401,$AH333)))</f>
        <v/>
      </c>
      <c r="AF333">
        <f>IF($AH333="","",IF(INDEX('Per Invoice'!AF$2:AF$401,$AH333)="","",INDEX('Per Invoice'!AF$2:AF$401,$AH333)))</f>
        <v/>
      </c>
      <c r="AG333" s="7">
        <f>IF($AH333="","",IF(INDEX('Per Invoice'!AG$2:AG$401,$AH333)="","",INDEX('Per Invoice'!AG$2:AG$401,$AH333)))</f>
        <v/>
      </c>
      <c r="AH333" s="16">
        <f>IFERROR(MATCH(Settings!$C$26&amp;"|"&amp;ROWS($AH$2:$AH333),'Per Invoice'!$AI$2:$AI$401,0),"")</f>
        <v/>
      </c>
    </row>
    <row r="334">
      <c r="A334">
        <f>IF($AH334="","",IF(INDEX('Per Invoice'!A$2:A$401,$AH334)="","",INDEX('Per Invoice'!A$2:A$401,$AH334)))</f>
        <v/>
      </c>
      <c r="B334">
        <f>IF($AH334="","",IF(INDEX('Per Invoice'!B$2:B$401,$AH334)="","",INDEX('Per Invoice'!B$2:B$401,$AH334)))</f>
        <v/>
      </c>
      <c r="C334">
        <f>IF($AH334="","",IF(INDEX('Per Invoice'!C$2:C$401,$AH334)="","",INDEX('Per Invoice'!C$2:C$401,$AH334)))</f>
        <v/>
      </c>
      <c r="D334">
        <f>IF($AH334="","",IF(INDEX('Per Invoice'!D$2:D$401,$AH334)="","",INDEX('Per Invoice'!D$2:D$401,$AH334)))</f>
        <v/>
      </c>
      <c r="E334">
        <f>IF($AH334="","",IF(INDEX('Per Invoice'!E$2:E$401,$AH334)="","",INDEX('Per Invoice'!E$2:E$401,$AH334)))</f>
        <v/>
      </c>
      <c r="F334">
        <f>IF($AH334="","",IF(INDEX('Per Invoice'!F$2:F$401,$AH334)="","",INDEX('Per Invoice'!F$2:F$401,$AH334)))</f>
        <v/>
      </c>
      <c r="G334">
        <f>IF($AH334="","",IF(INDEX('Per Invoice'!G$2:G$401,$AH334)="","",INDEX('Per Invoice'!G$2:G$401,$AH334)))</f>
        <v/>
      </c>
      <c r="H334">
        <f>IF($AH334="","",IF(INDEX('Per Invoice'!H$2:H$401,$AH334)="","",INDEX('Per Invoice'!H$2:H$401,$AH334)))</f>
        <v/>
      </c>
      <c r="I334" s="14">
        <f>IF($AH334="","",IF(INDEX('Per Invoice'!I$2:I$401,$AH334)="","",INDEX('Per Invoice'!I$2:I$401,$AH334)))</f>
        <v/>
      </c>
      <c r="J334">
        <f>IF($AH334="","",IF(INDEX('Per Invoice'!J$2:J$401,$AH334)="","",INDEX('Per Invoice'!J$2:J$401,$AH334)))</f>
        <v/>
      </c>
      <c r="K334">
        <f>IF($AH334="","",IF(INDEX('Per Invoice'!K$2:K$401,$AH334)="","",INDEX('Per Invoice'!K$2:K$401,$AH334)))</f>
        <v/>
      </c>
      <c r="L334">
        <f>IF($AH334="","",IF(INDEX('Per Invoice'!L$2:L$401,$AH334)="","",INDEX('Per Invoice'!L$2:L$401,$AH334)))</f>
        <v/>
      </c>
      <c r="M334">
        <f>IF($AH334="","",IF(INDEX('Per Invoice'!M$2:M$401,$AH334)="","",INDEX('Per Invoice'!M$2:M$401,$AH334)))</f>
        <v/>
      </c>
      <c r="N334">
        <f>IF($AH334="","",IF(INDEX('Per Invoice'!N$2:N$401,$AH334)="","",INDEX('Per Invoice'!N$2:N$401,$AH334)))</f>
        <v/>
      </c>
      <c r="O334">
        <f>IF($AH334="","",IF(INDEX('Per Invoice'!O$2:O$401,$AH334)="","",INDEX('Per Invoice'!O$2:O$401,$AH334)))</f>
        <v/>
      </c>
      <c r="P334" s="7">
        <f>IF($AH334="","",IF(INDEX('Per Invoice'!P$2:P$401,$AH334)="","",INDEX('Per Invoice'!P$2:P$401,$AH334)))</f>
        <v/>
      </c>
      <c r="Q334">
        <f>IF($AH334="","",IF(INDEX('Per Invoice'!Q$2:Q$401,$AH334)="","",INDEX('Per Invoice'!Q$2:Q$401,$AH334)))</f>
        <v/>
      </c>
      <c r="R334">
        <f>IF($AH334="","",IF(INDEX('Per Invoice'!R$2:R$401,$AH334)="","",INDEX('Per Invoice'!R$2:R$401,$AH334)))</f>
        <v/>
      </c>
      <c r="S334">
        <f>IF($AH334="","",IF(INDEX('Per Invoice'!S$2:S$401,$AH334)="","",INDEX('Per Invoice'!S$2:S$401,$AH334)))</f>
        <v/>
      </c>
      <c r="T334" s="7">
        <f>IF($AH334="","",IF(INDEX('Per Invoice'!T$2:T$401,$AH334)="","",INDEX('Per Invoice'!T$2:T$401,$AH334)))</f>
        <v/>
      </c>
      <c r="U334" s="7">
        <f>IF($AH334="","",IF(INDEX('Per Invoice'!U$2:U$401,$AH334)="","",INDEX('Per Invoice'!U$2:U$401,$AH334)))</f>
        <v/>
      </c>
      <c r="V334">
        <f>IF($AH334="","",IF(INDEX('Per Invoice'!V$2:V$401,$AH334)="","",INDEX('Per Invoice'!V$2:V$401,$AH334)))</f>
        <v/>
      </c>
      <c r="W334" s="7">
        <f>IF($AH334="","",IF(INDEX('Per Invoice'!W$2:W$401,$AH334)="","",INDEX('Per Invoice'!W$2:W$401,$AH334)))</f>
        <v/>
      </c>
      <c r="X334" s="7">
        <f>IF($AH334="","",IF(INDEX('Per Invoice'!X$2:X$401,$AH334)="","",INDEX('Per Invoice'!X$2:X$401,$AH334)))</f>
        <v/>
      </c>
      <c r="Y334">
        <f>IF($AH334="","",IF(INDEX('Per Invoice'!Y$2:Y$401,$AH334)="","",INDEX('Per Invoice'!Y$2:Y$401,$AH334)))</f>
        <v/>
      </c>
      <c r="Z334" s="7">
        <f>IF($AH334="","",IF(INDEX('Per Invoice'!Z$2:Z$401,$AH334)="","",INDEX('Per Invoice'!Z$2:Z$401,$AH334)))</f>
        <v/>
      </c>
      <c r="AA334" s="7">
        <f>IF($AH334="","",IF(INDEX('Per Invoice'!AA$2:AA$401,$AH334)="","",INDEX('Per Invoice'!AA$2:AA$401,$AH334)))</f>
        <v/>
      </c>
      <c r="AB334" s="7">
        <f>IF($AH334="","",IF(INDEX('Per Invoice'!AB$2:AB$401,$AH334)="","",INDEX('Per Invoice'!AB$2:AB$401,$AH334)))</f>
        <v/>
      </c>
      <c r="AC334" s="7">
        <f>IF($AH334="","",IF(INDEX('Per Invoice'!AC$2:AC$401,$AH334)="","",INDEX('Per Invoice'!AC$2:AC$401,$AH334)))</f>
        <v/>
      </c>
      <c r="AD334" s="7">
        <f>IF($AH334="","",IF(INDEX('Per Invoice'!AD$2:AD$401,$AH334)="","",INDEX('Per Invoice'!AD$2:AD$401,$AH334)))</f>
        <v/>
      </c>
      <c r="AE334" s="7">
        <f>IF($AH334="","",IF(INDEX('Per Invoice'!AE$2:AE$401,$AH334)="","",INDEX('Per Invoice'!AE$2:AE$401,$AH334)))</f>
        <v/>
      </c>
      <c r="AF334">
        <f>IF($AH334="","",IF(INDEX('Per Invoice'!AF$2:AF$401,$AH334)="","",INDEX('Per Invoice'!AF$2:AF$401,$AH334)))</f>
        <v/>
      </c>
      <c r="AG334" s="7">
        <f>IF($AH334="","",IF(INDEX('Per Invoice'!AG$2:AG$401,$AH334)="","",INDEX('Per Invoice'!AG$2:AG$401,$AH334)))</f>
        <v/>
      </c>
      <c r="AH334" s="16">
        <f>IFERROR(MATCH(Settings!$C$26&amp;"|"&amp;ROWS($AH$2:$AH334),'Per Invoice'!$AI$2:$AI$401,0),"")</f>
        <v/>
      </c>
    </row>
    <row r="335">
      <c r="A335">
        <f>IF($AH335="","",IF(INDEX('Per Invoice'!A$2:A$401,$AH335)="","",INDEX('Per Invoice'!A$2:A$401,$AH335)))</f>
        <v/>
      </c>
      <c r="B335">
        <f>IF($AH335="","",IF(INDEX('Per Invoice'!B$2:B$401,$AH335)="","",INDEX('Per Invoice'!B$2:B$401,$AH335)))</f>
        <v/>
      </c>
      <c r="C335">
        <f>IF($AH335="","",IF(INDEX('Per Invoice'!C$2:C$401,$AH335)="","",INDEX('Per Invoice'!C$2:C$401,$AH335)))</f>
        <v/>
      </c>
      <c r="D335">
        <f>IF($AH335="","",IF(INDEX('Per Invoice'!D$2:D$401,$AH335)="","",INDEX('Per Invoice'!D$2:D$401,$AH335)))</f>
        <v/>
      </c>
      <c r="E335">
        <f>IF($AH335="","",IF(INDEX('Per Invoice'!E$2:E$401,$AH335)="","",INDEX('Per Invoice'!E$2:E$401,$AH335)))</f>
        <v/>
      </c>
      <c r="F335">
        <f>IF($AH335="","",IF(INDEX('Per Invoice'!F$2:F$401,$AH335)="","",INDEX('Per Invoice'!F$2:F$401,$AH335)))</f>
        <v/>
      </c>
      <c r="G335">
        <f>IF($AH335="","",IF(INDEX('Per Invoice'!G$2:G$401,$AH335)="","",INDEX('Per Invoice'!G$2:G$401,$AH335)))</f>
        <v/>
      </c>
      <c r="H335">
        <f>IF($AH335="","",IF(INDEX('Per Invoice'!H$2:H$401,$AH335)="","",INDEX('Per Invoice'!H$2:H$401,$AH335)))</f>
        <v/>
      </c>
      <c r="I335" s="14">
        <f>IF($AH335="","",IF(INDEX('Per Invoice'!I$2:I$401,$AH335)="","",INDEX('Per Invoice'!I$2:I$401,$AH335)))</f>
        <v/>
      </c>
      <c r="J335">
        <f>IF($AH335="","",IF(INDEX('Per Invoice'!J$2:J$401,$AH335)="","",INDEX('Per Invoice'!J$2:J$401,$AH335)))</f>
        <v/>
      </c>
      <c r="K335">
        <f>IF($AH335="","",IF(INDEX('Per Invoice'!K$2:K$401,$AH335)="","",INDEX('Per Invoice'!K$2:K$401,$AH335)))</f>
        <v/>
      </c>
      <c r="L335">
        <f>IF($AH335="","",IF(INDEX('Per Invoice'!L$2:L$401,$AH335)="","",INDEX('Per Invoice'!L$2:L$401,$AH335)))</f>
        <v/>
      </c>
      <c r="M335">
        <f>IF($AH335="","",IF(INDEX('Per Invoice'!M$2:M$401,$AH335)="","",INDEX('Per Invoice'!M$2:M$401,$AH335)))</f>
        <v/>
      </c>
      <c r="N335">
        <f>IF($AH335="","",IF(INDEX('Per Invoice'!N$2:N$401,$AH335)="","",INDEX('Per Invoice'!N$2:N$401,$AH335)))</f>
        <v/>
      </c>
      <c r="O335">
        <f>IF($AH335="","",IF(INDEX('Per Invoice'!O$2:O$401,$AH335)="","",INDEX('Per Invoice'!O$2:O$401,$AH335)))</f>
        <v/>
      </c>
      <c r="P335" s="7">
        <f>IF($AH335="","",IF(INDEX('Per Invoice'!P$2:P$401,$AH335)="","",INDEX('Per Invoice'!P$2:P$401,$AH335)))</f>
        <v/>
      </c>
      <c r="Q335">
        <f>IF($AH335="","",IF(INDEX('Per Invoice'!Q$2:Q$401,$AH335)="","",INDEX('Per Invoice'!Q$2:Q$401,$AH335)))</f>
        <v/>
      </c>
      <c r="R335">
        <f>IF($AH335="","",IF(INDEX('Per Invoice'!R$2:R$401,$AH335)="","",INDEX('Per Invoice'!R$2:R$401,$AH335)))</f>
        <v/>
      </c>
      <c r="S335">
        <f>IF($AH335="","",IF(INDEX('Per Invoice'!S$2:S$401,$AH335)="","",INDEX('Per Invoice'!S$2:S$401,$AH335)))</f>
        <v/>
      </c>
      <c r="T335" s="7">
        <f>IF($AH335="","",IF(INDEX('Per Invoice'!T$2:T$401,$AH335)="","",INDEX('Per Invoice'!T$2:T$401,$AH335)))</f>
        <v/>
      </c>
      <c r="U335" s="7">
        <f>IF($AH335="","",IF(INDEX('Per Invoice'!U$2:U$401,$AH335)="","",INDEX('Per Invoice'!U$2:U$401,$AH335)))</f>
        <v/>
      </c>
      <c r="V335">
        <f>IF($AH335="","",IF(INDEX('Per Invoice'!V$2:V$401,$AH335)="","",INDEX('Per Invoice'!V$2:V$401,$AH335)))</f>
        <v/>
      </c>
      <c r="W335" s="7">
        <f>IF($AH335="","",IF(INDEX('Per Invoice'!W$2:W$401,$AH335)="","",INDEX('Per Invoice'!W$2:W$401,$AH335)))</f>
        <v/>
      </c>
      <c r="X335" s="7">
        <f>IF($AH335="","",IF(INDEX('Per Invoice'!X$2:X$401,$AH335)="","",INDEX('Per Invoice'!X$2:X$401,$AH335)))</f>
        <v/>
      </c>
      <c r="Y335">
        <f>IF($AH335="","",IF(INDEX('Per Invoice'!Y$2:Y$401,$AH335)="","",INDEX('Per Invoice'!Y$2:Y$401,$AH335)))</f>
        <v/>
      </c>
      <c r="Z335" s="7">
        <f>IF($AH335="","",IF(INDEX('Per Invoice'!Z$2:Z$401,$AH335)="","",INDEX('Per Invoice'!Z$2:Z$401,$AH335)))</f>
        <v/>
      </c>
      <c r="AA335" s="7">
        <f>IF($AH335="","",IF(INDEX('Per Invoice'!AA$2:AA$401,$AH335)="","",INDEX('Per Invoice'!AA$2:AA$401,$AH335)))</f>
        <v/>
      </c>
      <c r="AB335" s="7">
        <f>IF($AH335="","",IF(INDEX('Per Invoice'!AB$2:AB$401,$AH335)="","",INDEX('Per Invoice'!AB$2:AB$401,$AH335)))</f>
        <v/>
      </c>
      <c r="AC335" s="7">
        <f>IF($AH335="","",IF(INDEX('Per Invoice'!AC$2:AC$401,$AH335)="","",INDEX('Per Invoice'!AC$2:AC$401,$AH335)))</f>
        <v/>
      </c>
      <c r="AD335" s="7">
        <f>IF($AH335="","",IF(INDEX('Per Invoice'!AD$2:AD$401,$AH335)="","",INDEX('Per Invoice'!AD$2:AD$401,$AH335)))</f>
        <v/>
      </c>
      <c r="AE335" s="7">
        <f>IF($AH335="","",IF(INDEX('Per Invoice'!AE$2:AE$401,$AH335)="","",INDEX('Per Invoice'!AE$2:AE$401,$AH335)))</f>
        <v/>
      </c>
      <c r="AF335">
        <f>IF($AH335="","",IF(INDEX('Per Invoice'!AF$2:AF$401,$AH335)="","",INDEX('Per Invoice'!AF$2:AF$401,$AH335)))</f>
        <v/>
      </c>
      <c r="AG335" s="7">
        <f>IF($AH335="","",IF(INDEX('Per Invoice'!AG$2:AG$401,$AH335)="","",INDEX('Per Invoice'!AG$2:AG$401,$AH335)))</f>
        <v/>
      </c>
      <c r="AH335" s="16">
        <f>IFERROR(MATCH(Settings!$C$26&amp;"|"&amp;ROWS($AH$2:$AH335),'Per Invoice'!$AI$2:$AI$401,0),"")</f>
        <v/>
      </c>
    </row>
    <row r="336">
      <c r="A336">
        <f>IF($AH336="","",IF(INDEX('Per Invoice'!A$2:A$401,$AH336)="","",INDEX('Per Invoice'!A$2:A$401,$AH336)))</f>
        <v/>
      </c>
      <c r="B336">
        <f>IF($AH336="","",IF(INDEX('Per Invoice'!B$2:B$401,$AH336)="","",INDEX('Per Invoice'!B$2:B$401,$AH336)))</f>
        <v/>
      </c>
      <c r="C336">
        <f>IF($AH336="","",IF(INDEX('Per Invoice'!C$2:C$401,$AH336)="","",INDEX('Per Invoice'!C$2:C$401,$AH336)))</f>
        <v/>
      </c>
      <c r="D336">
        <f>IF($AH336="","",IF(INDEX('Per Invoice'!D$2:D$401,$AH336)="","",INDEX('Per Invoice'!D$2:D$401,$AH336)))</f>
        <v/>
      </c>
      <c r="E336">
        <f>IF($AH336="","",IF(INDEX('Per Invoice'!E$2:E$401,$AH336)="","",INDEX('Per Invoice'!E$2:E$401,$AH336)))</f>
        <v/>
      </c>
      <c r="F336">
        <f>IF($AH336="","",IF(INDEX('Per Invoice'!F$2:F$401,$AH336)="","",INDEX('Per Invoice'!F$2:F$401,$AH336)))</f>
        <v/>
      </c>
      <c r="G336">
        <f>IF($AH336="","",IF(INDEX('Per Invoice'!G$2:G$401,$AH336)="","",INDEX('Per Invoice'!G$2:G$401,$AH336)))</f>
        <v/>
      </c>
      <c r="H336">
        <f>IF($AH336="","",IF(INDEX('Per Invoice'!H$2:H$401,$AH336)="","",INDEX('Per Invoice'!H$2:H$401,$AH336)))</f>
        <v/>
      </c>
      <c r="I336" s="14">
        <f>IF($AH336="","",IF(INDEX('Per Invoice'!I$2:I$401,$AH336)="","",INDEX('Per Invoice'!I$2:I$401,$AH336)))</f>
        <v/>
      </c>
      <c r="J336">
        <f>IF($AH336="","",IF(INDEX('Per Invoice'!J$2:J$401,$AH336)="","",INDEX('Per Invoice'!J$2:J$401,$AH336)))</f>
        <v/>
      </c>
      <c r="K336">
        <f>IF($AH336="","",IF(INDEX('Per Invoice'!K$2:K$401,$AH336)="","",INDEX('Per Invoice'!K$2:K$401,$AH336)))</f>
        <v/>
      </c>
      <c r="L336">
        <f>IF($AH336="","",IF(INDEX('Per Invoice'!L$2:L$401,$AH336)="","",INDEX('Per Invoice'!L$2:L$401,$AH336)))</f>
        <v/>
      </c>
      <c r="M336">
        <f>IF($AH336="","",IF(INDEX('Per Invoice'!M$2:M$401,$AH336)="","",INDEX('Per Invoice'!M$2:M$401,$AH336)))</f>
        <v/>
      </c>
      <c r="N336">
        <f>IF($AH336="","",IF(INDEX('Per Invoice'!N$2:N$401,$AH336)="","",INDEX('Per Invoice'!N$2:N$401,$AH336)))</f>
        <v/>
      </c>
      <c r="O336">
        <f>IF($AH336="","",IF(INDEX('Per Invoice'!O$2:O$401,$AH336)="","",INDEX('Per Invoice'!O$2:O$401,$AH336)))</f>
        <v/>
      </c>
      <c r="P336" s="7">
        <f>IF($AH336="","",IF(INDEX('Per Invoice'!P$2:P$401,$AH336)="","",INDEX('Per Invoice'!P$2:P$401,$AH336)))</f>
        <v/>
      </c>
      <c r="Q336">
        <f>IF($AH336="","",IF(INDEX('Per Invoice'!Q$2:Q$401,$AH336)="","",INDEX('Per Invoice'!Q$2:Q$401,$AH336)))</f>
        <v/>
      </c>
      <c r="R336">
        <f>IF($AH336="","",IF(INDEX('Per Invoice'!R$2:R$401,$AH336)="","",INDEX('Per Invoice'!R$2:R$401,$AH336)))</f>
        <v/>
      </c>
      <c r="S336">
        <f>IF($AH336="","",IF(INDEX('Per Invoice'!S$2:S$401,$AH336)="","",INDEX('Per Invoice'!S$2:S$401,$AH336)))</f>
        <v/>
      </c>
      <c r="T336" s="7">
        <f>IF($AH336="","",IF(INDEX('Per Invoice'!T$2:T$401,$AH336)="","",INDEX('Per Invoice'!T$2:T$401,$AH336)))</f>
        <v/>
      </c>
      <c r="U336" s="7">
        <f>IF($AH336="","",IF(INDEX('Per Invoice'!U$2:U$401,$AH336)="","",INDEX('Per Invoice'!U$2:U$401,$AH336)))</f>
        <v/>
      </c>
      <c r="V336">
        <f>IF($AH336="","",IF(INDEX('Per Invoice'!V$2:V$401,$AH336)="","",INDEX('Per Invoice'!V$2:V$401,$AH336)))</f>
        <v/>
      </c>
      <c r="W336" s="7">
        <f>IF($AH336="","",IF(INDEX('Per Invoice'!W$2:W$401,$AH336)="","",INDEX('Per Invoice'!W$2:W$401,$AH336)))</f>
        <v/>
      </c>
      <c r="X336" s="7">
        <f>IF($AH336="","",IF(INDEX('Per Invoice'!X$2:X$401,$AH336)="","",INDEX('Per Invoice'!X$2:X$401,$AH336)))</f>
        <v/>
      </c>
      <c r="Y336">
        <f>IF($AH336="","",IF(INDEX('Per Invoice'!Y$2:Y$401,$AH336)="","",INDEX('Per Invoice'!Y$2:Y$401,$AH336)))</f>
        <v/>
      </c>
      <c r="Z336" s="7">
        <f>IF($AH336="","",IF(INDEX('Per Invoice'!Z$2:Z$401,$AH336)="","",INDEX('Per Invoice'!Z$2:Z$401,$AH336)))</f>
        <v/>
      </c>
      <c r="AA336" s="7">
        <f>IF($AH336="","",IF(INDEX('Per Invoice'!AA$2:AA$401,$AH336)="","",INDEX('Per Invoice'!AA$2:AA$401,$AH336)))</f>
        <v/>
      </c>
      <c r="AB336" s="7">
        <f>IF($AH336="","",IF(INDEX('Per Invoice'!AB$2:AB$401,$AH336)="","",INDEX('Per Invoice'!AB$2:AB$401,$AH336)))</f>
        <v/>
      </c>
      <c r="AC336" s="7">
        <f>IF($AH336="","",IF(INDEX('Per Invoice'!AC$2:AC$401,$AH336)="","",INDEX('Per Invoice'!AC$2:AC$401,$AH336)))</f>
        <v/>
      </c>
      <c r="AD336" s="7">
        <f>IF($AH336="","",IF(INDEX('Per Invoice'!AD$2:AD$401,$AH336)="","",INDEX('Per Invoice'!AD$2:AD$401,$AH336)))</f>
        <v/>
      </c>
      <c r="AE336" s="7">
        <f>IF($AH336="","",IF(INDEX('Per Invoice'!AE$2:AE$401,$AH336)="","",INDEX('Per Invoice'!AE$2:AE$401,$AH336)))</f>
        <v/>
      </c>
      <c r="AF336">
        <f>IF($AH336="","",IF(INDEX('Per Invoice'!AF$2:AF$401,$AH336)="","",INDEX('Per Invoice'!AF$2:AF$401,$AH336)))</f>
        <v/>
      </c>
      <c r="AG336" s="7">
        <f>IF($AH336="","",IF(INDEX('Per Invoice'!AG$2:AG$401,$AH336)="","",INDEX('Per Invoice'!AG$2:AG$401,$AH336)))</f>
        <v/>
      </c>
      <c r="AH336" s="16">
        <f>IFERROR(MATCH(Settings!$C$26&amp;"|"&amp;ROWS($AH$2:$AH336),'Per Invoice'!$AI$2:$AI$401,0),"")</f>
        <v/>
      </c>
    </row>
    <row r="337">
      <c r="A337">
        <f>IF($AH337="","",IF(INDEX('Per Invoice'!A$2:A$401,$AH337)="","",INDEX('Per Invoice'!A$2:A$401,$AH337)))</f>
        <v/>
      </c>
      <c r="B337">
        <f>IF($AH337="","",IF(INDEX('Per Invoice'!B$2:B$401,$AH337)="","",INDEX('Per Invoice'!B$2:B$401,$AH337)))</f>
        <v/>
      </c>
      <c r="C337">
        <f>IF($AH337="","",IF(INDEX('Per Invoice'!C$2:C$401,$AH337)="","",INDEX('Per Invoice'!C$2:C$401,$AH337)))</f>
        <v/>
      </c>
      <c r="D337">
        <f>IF($AH337="","",IF(INDEX('Per Invoice'!D$2:D$401,$AH337)="","",INDEX('Per Invoice'!D$2:D$401,$AH337)))</f>
        <v/>
      </c>
      <c r="E337">
        <f>IF($AH337="","",IF(INDEX('Per Invoice'!E$2:E$401,$AH337)="","",INDEX('Per Invoice'!E$2:E$401,$AH337)))</f>
        <v/>
      </c>
      <c r="F337">
        <f>IF($AH337="","",IF(INDEX('Per Invoice'!F$2:F$401,$AH337)="","",INDEX('Per Invoice'!F$2:F$401,$AH337)))</f>
        <v/>
      </c>
      <c r="G337">
        <f>IF($AH337="","",IF(INDEX('Per Invoice'!G$2:G$401,$AH337)="","",INDEX('Per Invoice'!G$2:G$401,$AH337)))</f>
        <v/>
      </c>
      <c r="H337">
        <f>IF($AH337="","",IF(INDEX('Per Invoice'!H$2:H$401,$AH337)="","",INDEX('Per Invoice'!H$2:H$401,$AH337)))</f>
        <v/>
      </c>
      <c r="I337" s="14">
        <f>IF($AH337="","",IF(INDEX('Per Invoice'!I$2:I$401,$AH337)="","",INDEX('Per Invoice'!I$2:I$401,$AH337)))</f>
        <v/>
      </c>
      <c r="J337">
        <f>IF($AH337="","",IF(INDEX('Per Invoice'!J$2:J$401,$AH337)="","",INDEX('Per Invoice'!J$2:J$401,$AH337)))</f>
        <v/>
      </c>
      <c r="K337">
        <f>IF($AH337="","",IF(INDEX('Per Invoice'!K$2:K$401,$AH337)="","",INDEX('Per Invoice'!K$2:K$401,$AH337)))</f>
        <v/>
      </c>
      <c r="L337">
        <f>IF($AH337="","",IF(INDEX('Per Invoice'!L$2:L$401,$AH337)="","",INDEX('Per Invoice'!L$2:L$401,$AH337)))</f>
        <v/>
      </c>
      <c r="M337">
        <f>IF($AH337="","",IF(INDEX('Per Invoice'!M$2:M$401,$AH337)="","",INDEX('Per Invoice'!M$2:M$401,$AH337)))</f>
        <v/>
      </c>
      <c r="N337">
        <f>IF($AH337="","",IF(INDEX('Per Invoice'!N$2:N$401,$AH337)="","",INDEX('Per Invoice'!N$2:N$401,$AH337)))</f>
        <v/>
      </c>
      <c r="O337">
        <f>IF($AH337="","",IF(INDEX('Per Invoice'!O$2:O$401,$AH337)="","",INDEX('Per Invoice'!O$2:O$401,$AH337)))</f>
        <v/>
      </c>
      <c r="P337" s="7">
        <f>IF($AH337="","",IF(INDEX('Per Invoice'!P$2:P$401,$AH337)="","",INDEX('Per Invoice'!P$2:P$401,$AH337)))</f>
        <v/>
      </c>
      <c r="Q337">
        <f>IF($AH337="","",IF(INDEX('Per Invoice'!Q$2:Q$401,$AH337)="","",INDEX('Per Invoice'!Q$2:Q$401,$AH337)))</f>
        <v/>
      </c>
      <c r="R337">
        <f>IF($AH337="","",IF(INDEX('Per Invoice'!R$2:R$401,$AH337)="","",INDEX('Per Invoice'!R$2:R$401,$AH337)))</f>
        <v/>
      </c>
      <c r="S337">
        <f>IF($AH337="","",IF(INDEX('Per Invoice'!S$2:S$401,$AH337)="","",INDEX('Per Invoice'!S$2:S$401,$AH337)))</f>
        <v/>
      </c>
      <c r="T337" s="7">
        <f>IF($AH337="","",IF(INDEX('Per Invoice'!T$2:T$401,$AH337)="","",INDEX('Per Invoice'!T$2:T$401,$AH337)))</f>
        <v/>
      </c>
      <c r="U337" s="7">
        <f>IF($AH337="","",IF(INDEX('Per Invoice'!U$2:U$401,$AH337)="","",INDEX('Per Invoice'!U$2:U$401,$AH337)))</f>
        <v/>
      </c>
      <c r="V337">
        <f>IF($AH337="","",IF(INDEX('Per Invoice'!V$2:V$401,$AH337)="","",INDEX('Per Invoice'!V$2:V$401,$AH337)))</f>
        <v/>
      </c>
      <c r="W337" s="7">
        <f>IF($AH337="","",IF(INDEX('Per Invoice'!W$2:W$401,$AH337)="","",INDEX('Per Invoice'!W$2:W$401,$AH337)))</f>
        <v/>
      </c>
      <c r="X337" s="7">
        <f>IF($AH337="","",IF(INDEX('Per Invoice'!X$2:X$401,$AH337)="","",INDEX('Per Invoice'!X$2:X$401,$AH337)))</f>
        <v/>
      </c>
      <c r="Y337">
        <f>IF($AH337="","",IF(INDEX('Per Invoice'!Y$2:Y$401,$AH337)="","",INDEX('Per Invoice'!Y$2:Y$401,$AH337)))</f>
        <v/>
      </c>
      <c r="Z337" s="7">
        <f>IF($AH337="","",IF(INDEX('Per Invoice'!Z$2:Z$401,$AH337)="","",INDEX('Per Invoice'!Z$2:Z$401,$AH337)))</f>
        <v/>
      </c>
      <c r="AA337" s="7">
        <f>IF($AH337="","",IF(INDEX('Per Invoice'!AA$2:AA$401,$AH337)="","",INDEX('Per Invoice'!AA$2:AA$401,$AH337)))</f>
        <v/>
      </c>
      <c r="AB337" s="7">
        <f>IF($AH337="","",IF(INDEX('Per Invoice'!AB$2:AB$401,$AH337)="","",INDEX('Per Invoice'!AB$2:AB$401,$AH337)))</f>
        <v/>
      </c>
      <c r="AC337" s="7">
        <f>IF($AH337="","",IF(INDEX('Per Invoice'!AC$2:AC$401,$AH337)="","",INDEX('Per Invoice'!AC$2:AC$401,$AH337)))</f>
        <v/>
      </c>
      <c r="AD337" s="7">
        <f>IF($AH337="","",IF(INDEX('Per Invoice'!AD$2:AD$401,$AH337)="","",INDEX('Per Invoice'!AD$2:AD$401,$AH337)))</f>
        <v/>
      </c>
      <c r="AE337" s="7">
        <f>IF($AH337="","",IF(INDEX('Per Invoice'!AE$2:AE$401,$AH337)="","",INDEX('Per Invoice'!AE$2:AE$401,$AH337)))</f>
        <v/>
      </c>
      <c r="AF337">
        <f>IF($AH337="","",IF(INDEX('Per Invoice'!AF$2:AF$401,$AH337)="","",INDEX('Per Invoice'!AF$2:AF$401,$AH337)))</f>
        <v/>
      </c>
      <c r="AG337" s="7">
        <f>IF($AH337="","",IF(INDEX('Per Invoice'!AG$2:AG$401,$AH337)="","",INDEX('Per Invoice'!AG$2:AG$401,$AH337)))</f>
        <v/>
      </c>
      <c r="AH337" s="16">
        <f>IFERROR(MATCH(Settings!$C$26&amp;"|"&amp;ROWS($AH$2:$AH337),'Per Invoice'!$AI$2:$AI$401,0),"")</f>
        <v/>
      </c>
    </row>
    <row r="338">
      <c r="A338">
        <f>IF($AH338="","",IF(INDEX('Per Invoice'!A$2:A$401,$AH338)="","",INDEX('Per Invoice'!A$2:A$401,$AH338)))</f>
        <v/>
      </c>
      <c r="B338">
        <f>IF($AH338="","",IF(INDEX('Per Invoice'!B$2:B$401,$AH338)="","",INDEX('Per Invoice'!B$2:B$401,$AH338)))</f>
        <v/>
      </c>
      <c r="C338">
        <f>IF($AH338="","",IF(INDEX('Per Invoice'!C$2:C$401,$AH338)="","",INDEX('Per Invoice'!C$2:C$401,$AH338)))</f>
        <v/>
      </c>
      <c r="D338">
        <f>IF($AH338="","",IF(INDEX('Per Invoice'!D$2:D$401,$AH338)="","",INDEX('Per Invoice'!D$2:D$401,$AH338)))</f>
        <v/>
      </c>
      <c r="E338">
        <f>IF($AH338="","",IF(INDEX('Per Invoice'!E$2:E$401,$AH338)="","",INDEX('Per Invoice'!E$2:E$401,$AH338)))</f>
        <v/>
      </c>
      <c r="F338">
        <f>IF($AH338="","",IF(INDEX('Per Invoice'!F$2:F$401,$AH338)="","",INDEX('Per Invoice'!F$2:F$401,$AH338)))</f>
        <v/>
      </c>
      <c r="G338">
        <f>IF($AH338="","",IF(INDEX('Per Invoice'!G$2:G$401,$AH338)="","",INDEX('Per Invoice'!G$2:G$401,$AH338)))</f>
        <v/>
      </c>
      <c r="H338">
        <f>IF($AH338="","",IF(INDEX('Per Invoice'!H$2:H$401,$AH338)="","",INDEX('Per Invoice'!H$2:H$401,$AH338)))</f>
        <v/>
      </c>
      <c r="I338" s="14">
        <f>IF($AH338="","",IF(INDEX('Per Invoice'!I$2:I$401,$AH338)="","",INDEX('Per Invoice'!I$2:I$401,$AH338)))</f>
        <v/>
      </c>
      <c r="J338">
        <f>IF($AH338="","",IF(INDEX('Per Invoice'!J$2:J$401,$AH338)="","",INDEX('Per Invoice'!J$2:J$401,$AH338)))</f>
        <v/>
      </c>
      <c r="K338">
        <f>IF($AH338="","",IF(INDEX('Per Invoice'!K$2:K$401,$AH338)="","",INDEX('Per Invoice'!K$2:K$401,$AH338)))</f>
        <v/>
      </c>
      <c r="L338">
        <f>IF($AH338="","",IF(INDEX('Per Invoice'!L$2:L$401,$AH338)="","",INDEX('Per Invoice'!L$2:L$401,$AH338)))</f>
        <v/>
      </c>
      <c r="M338">
        <f>IF($AH338="","",IF(INDEX('Per Invoice'!M$2:M$401,$AH338)="","",INDEX('Per Invoice'!M$2:M$401,$AH338)))</f>
        <v/>
      </c>
      <c r="N338">
        <f>IF($AH338="","",IF(INDEX('Per Invoice'!N$2:N$401,$AH338)="","",INDEX('Per Invoice'!N$2:N$401,$AH338)))</f>
        <v/>
      </c>
      <c r="O338">
        <f>IF($AH338="","",IF(INDEX('Per Invoice'!O$2:O$401,$AH338)="","",INDEX('Per Invoice'!O$2:O$401,$AH338)))</f>
        <v/>
      </c>
      <c r="P338" s="7">
        <f>IF($AH338="","",IF(INDEX('Per Invoice'!P$2:P$401,$AH338)="","",INDEX('Per Invoice'!P$2:P$401,$AH338)))</f>
        <v/>
      </c>
      <c r="Q338">
        <f>IF($AH338="","",IF(INDEX('Per Invoice'!Q$2:Q$401,$AH338)="","",INDEX('Per Invoice'!Q$2:Q$401,$AH338)))</f>
        <v/>
      </c>
      <c r="R338">
        <f>IF($AH338="","",IF(INDEX('Per Invoice'!R$2:R$401,$AH338)="","",INDEX('Per Invoice'!R$2:R$401,$AH338)))</f>
        <v/>
      </c>
      <c r="S338">
        <f>IF($AH338="","",IF(INDEX('Per Invoice'!S$2:S$401,$AH338)="","",INDEX('Per Invoice'!S$2:S$401,$AH338)))</f>
        <v/>
      </c>
      <c r="T338" s="7">
        <f>IF($AH338="","",IF(INDEX('Per Invoice'!T$2:T$401,$AH338)="","",INDEX('Per Invoice'!T$2:T$401,$AH338)))</f>
        <v/>
      </c>
      <c r="U338" s="7">
        <f>IF($AH338="","",IF(INDEX('Per Invoice'!U$2:U$401,$AH338)="","",INDEX('Per Invoice'!U$2:U$401,$AH338)))</f>
        <v/>
      </c>
      <c r="V338">
        <f>IF($AH338="","",IF(INDEX('Per Invoice'!V$2:V$401,$AH338)="","",INDEX('Per Invoice'!V$2:V$401,$AH338)))</f>
        <v/>
      </c>
      <c r="W338" s="7">
        <f>IF($AH338="","",IF(INDEX('Per Invoice'!W$2:W$401,$AH338)="","",INDEX('Per Invoice'!W$2:W$401,$AH338)))</f>
        <v/>
      </c>
      <c r="X338" s="7">
        <f>IF($AH338="","",IF(INDEX('Per Invoice'!X$2:X$401,$AH338)="","",INDEX('Per Invoice'!X$2:X$401,$AH338)))</f>
        <v/>
      </c>
      <c r="Y338">
        <f>IF($AH338="","",IF(INDEX('Per Invoice'!Y$2:Y$401,$AH338)="","",INDEX('Per Invoice'!Y$2:Y$401,$AH338)))</f>
        <v/>
      </c>
      <c r="Z338" s="7">
        <f>IF($AH338="","",IF(INDEX('Per Invoice'!Z$2:Z$401,$AH338)="","",INDEX('Per Invoice'!Z$2:Z$401,$AH338)))</f>
        <v/>
      </c>
      <c r="AA338" s="7">
        <f>IF($AH338="","",IF(INDEX('Per Invoice'!AA$2:AA$401,$AH338)="","",INDEX('Per Invoice'!AA$2:AA$401,$AH338)))</f>
        <v/>
      </c>
      <c r="AB338" s="7">
        <f>IF($AH338="","",IF(INDEX('Per Invoice'!AB$2:AB$401,$AH338)="","",INDEX('Per Invoice'!AB$2:AB$401,$AH338)))</f>
        <v/>
      </c>
      <c r="AC338" s="7">
        <f>IF($AH338="","",IF(INDEX('Per Invoice'!AC$2:AC$401,$AH338)="","",INDEX('Per Invoice'!AC$2:AC$401,$AH338)))</f>
        <v/>
      </c>
      <c r="AD338" s="7">
        <f>IF($AH338="","",IF(INDEX('Per Invoice'!AD$2:AD$401,$AH338)="","",INDEX('Per Invoice'!AD$2:AD$401,$AH338)))</f>
        <v/>
      </c>
      <c r="AE338" s="7">
        <f>IF($AH338="","",IF(INDEX('Per Invoice'!AE$2:AE$401,$AH338)="","",INDEX('Per Invoice'!AE$2:AE$401,$AH338)))</f>
        <v/>
      </c>
      <c r="AF338">
        <f>IF($AH338="","",IF(INDEX('Per Invoice'!AF$2:AF$401,$AH338)="","",INDEX('Per Invoice'!AF$2:AF$401,$AH338)))</f>
        <v/>
      </c>
      <c r="AG338" s="7">
        <f>IF($AH338="","",IF(INDEX('Per Invoice'!AG$2:AG$401,$AH338)="","",INDEX('Per Invoice'!AG$2:AG$401,$AH338)))</f>
        <v/>
      </c>
      <c r="AH338" s="16">
        <f>IFERROR(MATCH(Settings!$C$26&amp;"|"&amp;ROWS($AH$2:$AH338),'Per Invoice'!$AI$2:$AI$401,0),"")</f>
        <v/>
      </c>
    </row>
    <row r="339">
      <c r="A339">
        <f>IF($AH339="","",IF(INDEX('Per Invoice'!A$2:A$401,$AH339)="","",INDEX('Per Invoice'!A$2:A$401,$AH339)))</f>
        <v/>
      </c>
      <c r="B339">
        <f>IF($AH339="","",IF(INDEX('Per Invoice'!B$2:B$401,$AH339)="","",INDEX('Per Invoice'!B$2:B$401,$AH339)))</f>
        <v/>
      </c>
      <c r="C339">
        <f>IF($AH339="","",IF(INDEX('Per Invoice'!C$2:C$401,$AH339)="","",INDEX('Per Invoice'!C$2:C$401,$AH339)))</f>
        <v/>
      </c>
      <c r="D339">
        <f>IF($AH339="","",IF(INDEX('Per Invoice'!D$2:D$401,$AH339)="","",INDEX('Per Invoice'!D$2:D$401,$AH339)))</f>
        <v/>
      </c>
      <c r="E339">
        <f>IF($AH339="","",IF(INDEX('Per Invoice'!E$2:E$401,$AH339)="","",INDEX('Per Invoice'!E$2:E$401,$AH339)))</f>
        <v/>
      </c>
      <c r="F339">
        <f>IF($AH339="","",IF(INDEX('Per Invoice'!F$2:F$401,$AH339)="","",INDEX('Per Invoice'!F$2:F$401,$AH339)))</f>
        <v/>
      </c>
      <c r="G339">
        <f>IF($AH339="","",IF(INDEX('Per Invoice'!G$2:G$401,$AH339)="","",INDEX('Per Invoice'!G$2:G$401,$AH339)))</f>
        <v/>
      </c>
      <c r="H339">
        <f>IF($AH339="","",IF(INDEX('Per Invoice'!H$2:H$401,$AH339)="","",INDEX('Per Invoice'!H$2:H$401,$AH339)))</f>
        <v/>
      </c>
      <c r="I339" s="14">
        <f>IF($AH339="","",IF(INDEX('Per Invoice'!I$2:I$401,$AH339)="","",INDEX('Per Invoice'!I$2:I$401,$AH339)))</f>
        <v/>
      </c>
      <c r="J339">
        <f>IF($AH339="","",IF(INDEX('Per Invoice'!J$2:J$401,$AH339)="","",INDEX('Per Invoice'!J$2:J$401,$AH339)))</f>
        <v/>
      </c>
      <c r="K339">
        <f>IF($AH339="","",IF(INDEX('Per Invoice'!K$2:K$401,$AH339)="","",INDEX('Per Invoice'!K$2:K$401,$AH339)))</f>
        <v/>
      </c>
      <c r="L339">
        <f>IF($AH339="","",IF(INDEX('Per Invoice'!L$2:L$401,$AH339)="","",INDEX('Per Invoice'!L$2:L$401,$AH339)))</f>
        <v/>
      </c>
      <c r="M339">
        <f>IF($AH339="","",IF(INDEX('Per Invoice'!M$2:M$401,$AH339)="","",INDEX('Per Invoice'!M$2:M$401,$AH339)))</f>
        <v/>
      </c>
      <c r="N339">
        <f>IF($AH339="","",IF(INDEX('Per Invoice'!N$2:N$401,$AH339)="","",INDEX('Per Invoice'!N$2:N$401,$AH339)))</f>
        <v/>
      </c>
      <c r="O339">
        <f>IF($AH339="","",IF(INDEX('Per Invoice'!O$2:O$401,$AH339)="","",INDEX('Per Invoice'!O$2:O$401,$AH339)))</f>
        <v/>
      </c>
      <c r="P339" s="7">
        <f>IF($AH339="","",IF(INDEX('Per Invoice'!P$2:P$401,$AH339)="","",INDEX('Per Invoice'!P$2:P$401,$AH339)))</f>
        <v/>
      </c>
      <c r="Q339">
        <f>IF($AH339="","",IF(INDEX('Per Invoice'!Q$2:Q$401,$AH339)="","",INDEX('Per Invoice'!Q$2:Q$401,$AH339)))</f>
        <v/>
      </c>
      <c r="R339">
        <f>IF($AH339="","",IF(INDEX('Per Invoice'!R$2:R$401,$AH339)="","",INDEX('Per Invoice'!R$2:R$401,$AH339)))</f>
        <v/>
      </c>
      <c r="S339">
        <f>IF($AH339="","",IF(INDEX('Per Invoice'!S$2:S$401,$AH339)="","",INDEX('Per Invoice'!S$2:S$401,$AH339)))</f>
        <v/>
      </c>
      <c r="T339" s="7">
        <f>IF($AH339="","",IF(INDEX('Per Invoice'!T$2:T$401,$AH339)="","",INDEX('Per Invoice'!T$2:T$401,$AH339)))</f>
        <v/>
      </c>
      <c r="U339" s="7">
        <f>IF($AH339="","",IF(INDEX('Per Invoice'!U$2:U$401,$AH339)="","",INDEX('Per Invoice'!U$2:U$401,$AH339)))</f>
        <v/>
      </c>
      <c r="V339">
        <f>IF($AH339="","",IF(INDEX('Per Invoice'!V$2:V$401,$AH339)="","",INDEX('Per Invoice'!V$2:V$401,$AH339)))</f>
        <v/>
      </c>
      <c r="W339" s="7">
        <f>IF($AH339="","",IF(INDEX('Per Invoice'!W$2:W$401,$AH339)="","",INDEX('Per Invoice'!W$2:W$401,$AH339)))</f>
        <v/>
      </c>
      <c r="X339" s="7">
        <f>IF($AH339="","",IF(INDEX('Per Invoice'!X$2:X$401,$AH339)="","",INDEX('Per Invoice'!X$2:X$401,$AH339)))</f>
        <v/>
      </c>
      <c r="Y339">
        <f>IF($AH339="","",IF(INDEX('Per Invoice'!Y$2:Y$401,$AH339)="","",INDEX('Per Invoice'!Y$2:Y$401,$AH339)))</f>
        <v/>
      </c>
      <c r="Z339" s="7">
        <f>IF($AH339="","",IF(INDEX('Per Invoice'!Z$2:Z$401,$AH339)="","",INDEX('Per Invoice'!Z$2:Z$401,$AH339)))</f>
        <v/>
      </c>
      <c r="AA339" s="7">
        <f>IF($AH339="","",IF(INDEX('Per Invoice'!AA$2:AA$401,$AH339)="","",INDEX('Per Invoice'!AA$2:AA$401,$AH339)))</f>
        <v/>
      </c>
      <c r="AB339" s="7">
        <f>IF($AH339="","",IF(INDEX('Per Invoice'!AB$2:AB$401,$AH339)="","",INDEX('Per Invoice'!AB$2:AB$401,$AH339)))</f>
        <v/>
      </c>
      <c r="AC339" s="7">
        <f>IF($AH339="","",IF(INDEX('Per Invoice'!AC$2:AC$401,$AH339)="","",INDEX('Per Invoice'!AC$2:AC$401,$AH339)))</f>
        <v/>
      </c>
      <c r="AD339" s="7">
        <f>IF($AH339="","",IF(INDEX('Per Invoice'!AD$2:AD$401,$AH339)="","",INDEX('Per Invoice'!AD$2:AD$401,$AH339)))</f>
        <v/>
      </c>
      <c r="AE339" s="7">
        <f>IF($AH339="","",IF(INDEX('Per Invoice'!AE$2:AE$401,$AH339)="","",INDEX('Per Invoice'!AE$2:AE$401,$AH339)))</f>
        <v/>
      </c>
      <c r="AF339">
        <f>IF($AH339="","",IF(INDEX('Per Invoice'!AF$2:AF$401,$AH339)="","",INDEX('Per Invoice'!AF$2:AF$401,$AH339)))</f>
        <v/>
      </c>
      <c r="AG339" s="7">
        <f>IF($AH339="","",IF(INDEX('Per Invoice'!AG$2:AG$401,$AH339)="","",INDEX('Per Invoice'!AG$2:AG$401,$AH339)))</f>
        <v/>
      </c>
      <c r="AH339" s="16">
        <f>IFERROR(MATCH(Settings!$C$26&amp;"|"&amp;ROWS($AH$2:$AH339),'Per Invoice'!$AI$2:$AI$401,0),"")</f>
        <v/>
      </c>
    </row>
    <row r="340">
      <c r="A340">
        <f>IF($AH340="","",IF(INDEX('Per Invoice'!A$2:A$401,$AH340)="","",INDEX('Per Invoice'!A$2:A$401,$AH340)))</f>
        <v/>
      </c>
      <c r="B340">
        <f>IF($AH340="","",IF(INDEX('Per Invoice'!B$2:B$401,$AH340)="","",INDEX('Per Invoice'!B$2:B$401,$AH340)))</f>
        <v/>
      </c>
      <c r="C340">
        <f>IF($AH340="","",IF(INDEX('Per Invoice'!C$2:C$401,$AH340)="","",INDEX('Per Invoice'!C$2:C$401,$AH340)))</f>
        <v/>
      </c>
      <c r="D340">
        <f>IF($AH340="","",IF(INDEX('Per Invoice'!D$2:D$401,$AH340)="","",INDEX('Per Invoice'!D$2:D$401,$AH340)))</f>
        <v/>
      </c>
      <c r="E340">
        <f>IF($AH340="","",IF(INDEX('Per Invoice'!E$2:E$401,$AH340)="","",INDEX('Per Invoice'!E$2:E$401,$AH340)))</f>
        <v/>
      </c>
      <c r="F340">
        <f>IF($AH340="","",IF(INDEX('Per Invoice'!F$2:F$401,$AH340)="","",INDEX('Per Invoice'!F$2:F$401,$AH340)))</f>
        <v/>
      </c>
      <c r="G340">
        <f>IF($AH340="","",IF(INDEX('Per Invoice'!G$2:G$401,$AH340)="","",INDEX('Per Invoice'!G$2:G$401,$AH340)))</f>
        <v/>
      </c>
      <c r="H340">
        <f>IF($AH340="","",IF(INDEX('Per Invoice'!H$2:H$401,$AH340)="","",INDEX('Per Invoice'!H$2:H$401,$AH340)))</f>
        <v/>
      </c>
      <c r="I340" s="14">
        <f>IF($AH340="","",IF(INDEX('Per Invoice'!I$2:I$401,$AH340)="","",INDEX('Per Invoice'!I$2:I$401,$AH340)))</f>
        <v/>
      </c>
      <c r="J340">
        <f>IF($AH340="","",IF(INDEX('Per Invoice'!J$2:J$401,$AH340)="","",INDEX('Per Invoice'!J$2:J$401,$AH340)))</f>
        <v/>
      </c>
      <c r="K340">
        <f>IF($AH340="","",IF(INDEX('Per Invoice'!K$2:K$401,$AH340)="","",INDEX('Per Invoice'!K$2:K$401,$AH340)))</f>
        <v/>
      </c>
      <c r="L340">
        <f>IF($AH340="","",IF(INDEX('Per Invoice'!L$2:L$401,$AH340)="","",INDEX('Per Invoice'!L$2:L$401,$AH340)))</f>
        <v/>
      </c>
      <c r="M340">
        <f>IF($AH340="","",IF(INDEX('Per Invoice'!M$2:M$401,$AH340)="","",INDEX('Per Invoice'!M$2:M$401,$AH340)))</f>
        <v/>
      </c>
      <c r="N340">
        <f>IF($AH340="","",IF(INDEX('Per Invoice'!N$2:N$401,$AH340)="","",INDEX('Per Invoice'!N$2:N$401,$AH340)))</f>
        <v/>
      </c>
      <c r="O340">
        <f>IF($AH340="","",IF(INDEX('Per Invoice'!O$2:O$401,$AH340)="","",INDEX('Per Invoice'!O$2:O$401,$AH340)))</f>
        <v/>
      </c>
      <c r="P340" s="7">
        <f>IF($AH340="","",IF(INDEX('Per Invoice'!P$2:P$401,$AH340)="","",INDEX('Per Invoice'!P$2:P$401,$AH340)))</f>
        <v/>
      </c>
      <c r="Q340">
        <f>IF($AH340="","",IF(INDEX('Per Invoice'!Q$2:Q$401,$AH340)="","",INDEX('Per Invoice'!Q$2:Q$401,$AH340)))</f>
        <v/>
      </c>
      <c r="R340">
        <f>IF($AH340="","",IF(INDEX('Per Invoice'!R$2:R$401,$AH340)="","",INDEX('Per Invoice'!R$2:R$401,$AH340)))</f>
        <v/>
      </c>
      <c r="S340">
        <f>IF($AH340="","",IF(INDEX('Per Invoice'!S$2:S$401,$AH340)="","",INDEX('Per Invoice'!S$2:S$401,$AH340)))</f>
        <v/>
      </c>
      <c r="T340" s="7">
        <f>IF($AH340="","",IF(INDEX('Per Invoice'!T$2:T$401,$AH340)="","",INDEX('Per Invoice'!T$2:T$401,$AH340)))</f>
        <v/>
      </c>
      <c r="U340" s="7">
        <f>IF($AH340="","",IF(INDEX('Per Invoice'!U$2:U$401,$AH340)="","",INDEX('Per Invoice'!U$2:U$401,$AH340)))</f>
        <v/>
      </c>
      <c r="V340">
        <f>IF($AH340="","",IF(INDEX('Per Invoice'!V$2:V$401,$AH340)="","",INDEX('Per Invoice'!V$2:V$401,$AH340)))</f>
        <v/>
      </c>
      <c r="W340" s="7">
        <f>IF($AH340="","",IF(INDEX('Per Invoice'!W$2:W$401,$AH340)="","",INDEX('Per Invoice'!W$2:W$401,$AH340)))</f>
        <v/>
      </c>
      <c r="X340" s="7">
        <f>IF($AH340="","",IF(INDEX('Per Invoice'!X$2:X$401,$AH340)="","",INDEX('Per Invoice'!X$2:X$401,$AH340)))</f>
        <v/>
      </c>
      <c r="Y340">
        <f>IF($AH340="","",IF(INDEX('Per Invoice'!Y$2:Y$401,$AH340)="","",INDEX('Per Invoice'!Y$2:Y$401,$AH340)))</f>
        <v/>
      </c>
      <c r="Z340" s="7">
        <f>IF($AH340="","",IF(INDEX('Per Invoice'!Z$2:Z$401,$AH340)="","",INDEX('Per Invoice'!Z$2:Z$401,$AH340)))</f>
        <v/>
      </c>
      <c r="AA340" s="7">
        <f>IF($AH340="","",IF(INDEX('Per Invoice'!AA$2:AA$401,$AH340)="","",INDEX('Per Invoice'!AA$2:AA$401,$AH340)))</f>
        <v/>
      </c>
      <c r="AB340" s="7">
        <f>IF($AH340="","",IF(INDEX('Per Invoice'!AB$2:AB$401,$AH340)="","",INDEX('Per Invoice'!AB$2:AB$401,$AH340)))</f>
        <v/>
      </c>
      <c r="AC340" s="7">
        <f>IF($AH340="","",IF(INDEX('Per Invoice'!AC$2:AC$401,$AH340)="","",INDEX('Per Invoice'!AC$2:AC$401,$AH340)))</f>
        <v/>
      </c>
      <c r="AD340" s="7">
        <f>IF($AH340="","",IF(INDEX('Per Invoice'!AD$2:AD$401,$AH340)="","",INDEX('Per Invoice'!AD$2:AD$401,$AH340)))</f>
        <v/>
      </c>
      <c r="AE340" s="7">
        <f>IF($AH340="","",IF(INDEX('Per Invoice'!AE$2:AE$401,$AH340)="","",INDEX('Per Invoice'!AE$2:AE$401,$AH340)))</f>
        <v/>
      </c>
      <c r="AF340">
        <f>IF($AH340="","",IF(INDEX('Per Invoice'!AF$2:AF$401,$AH340)="","",INDEX('Per Invoice'!AF$2:AF$401,$AH340)))</f>
        <v/>
      </c>
      <c r="AG340" s="7">
        <f>IF($AH340="","",IF(INDEX('Per Invoice'!AG$2:AG$401,$AH340)="","",INDEX('Per Invoice'!AG$2:AG$401,$AH340)))</f>
        <v/>
      </c>
      <c r="AH340" s="16">
        <f>IFERROR(MATCH(Settings!$C$26&amp;"|"&amp;ROWS($AH$2:$AH340),'Per Invoice'!$AI$2:$AI$401,0),"")</f>
        <v/>
      </c>
    </row>
    <row r="341">
      <c r="A341">
        <f>IF($AH341="","",IF(INDEX('Per Invoice'!A$2:A$401,$AH341)="","",INDEX('Per Invoice'!A$2:A$401,$AH341)))</f>
        <v/>
      </c>
      <c r="B341">
        <f>IF($AH341="","",IF(INDEX('Per Invoice'!B$2:B$401,$AH341)="","",INDEX('Per Invoice'!B$2:B$401,$AH341)))</f>
        <v/>
      </c>
      <c r="C341">
        <f>IF($AH341="","",IF(INDEX('Per Invoice'!C$2:C$401,$AH341)="","",INDEX('Per Invoice'!C$2:C$401,$AH341)))</f>
        <v/>
      </c>
      <c r="D341">
        <f>IF($AH341="","",IF(INDEX('Per Invoice'!D$2:D$401,$AH341)="","",INDEX('Per Invoice'!D$2:D$401,$AH341)))</f>
        <v/>
      </c>
      <c r="E341">
        <f>IF($AH341="","",IF(INDEX('Per Invoice'!E$2:E$401,$AH341)="","",INDEX('Per Invoice'!E$2:E$401,$AH341)))</f>
        <v/>
      </c>
      <c r="F341">
        <f>IF($AH341="","",IF(INDEX('Per Invoice'!F$2:F$401,$AH341)="","",INDEX('Per Invoice'!F$2:F$401,$AH341)))</f>
        <v/>
      </c>
      <c r="G341">
        <f>IF($AH341="","",IF(INDEX('Per Invoice'!G$2:G$401,$AH341)="","",INDEX('Per Invoice'!G$2:G$401,$AH341)))</f>
        <v/>
      </c>
      <c r="H341">
        <f>IF($AH341="","",IF(INDEX('Per Invoice'!H$2:H$401,$AH341)="","",INDEX('Per Invoice'!H$2:H$401,$AH341)))</f>
        <v/>
      </c>
      <c r="I341" s="14">
        <f>IF($AH341="","",IF(INDEX('Per Invoice'!I$2:I$401,$AH341)="","",INDEX('Per Invoice'!I$2:I$401,$AH341)))</f>
        <v/>
      </c>
      <c r="J341">
        <f>IF($AH341="","",IF(INDEX('Per Invoice'!J$2:J$401,$AH341)="","",INDEX('Per Invoice'!J$2:J$401,$AH341)))</f>
        <v/>
      </c>
      <c r="K341">
        <f>IF($AH341="","",IF(INDEX('Per Invoice'!K$2:K$401,$AH341)="","",INDEX('Per Invoice'!K$2:K$401,$AH341)))</f>
        <v/>
      </c>
      <c r="L341">
        <f>IF($AH341="","",IF(INDEX('Per Invoice'!L$2:L$401,$AH341)="","",INDEX('Per Invoice'!L$2:L$401,$AH341)))</f>
        <v/>
      </c>
      <c r="M341">
        <f>IF($AH341="","",IF(INDEX('Per Invoice'!M$2:M$401,$AH341)="","",INDEX('Per Invoice'!M$2:M$401,$AH341)))</f>
        <v/>
      </c>
      <c r="N341">
        <f>IF($AH341="","",IF(INDEX('Per Invoice'!N$2:N$401,$AH341)="","",INDEX('Per Invoice'!N$2:N$401,$AH341)))</f>
        <v/>
      </c>
      <c r="O341">
        <f>IF($AH341="","",IF(INDEX('Per Invoice'!O$2:O$401,$AH341)="","",INDEX('Per Invoice'!O$2:O$401,$AH341)))</f>
        <v/>
      </c>
      <c r="P341" s="7">
        <f>IF($AH341="","",IF(INDEX('Per Invoice'!P$2:P$401,$AH341)="","",INDEX('Per Invoice'!P$2:P$401,$AH341)))</f>
        <v/>
      </c>
      <c r="Q341">
        <f>IF($AH341="","",IF(INDEX('Per Invoice'!Q$2:Q$401,$AH341)="","",INDEX('Per Invoice'!Q$2:Q$401,$AH341)))</f>
        <v/>
      </c>
      <c r="R341">
        <f>IF($AH341="","",IF(INDEX('Per Invoice'!R$2:R$401,$AH341)="","",INDEX('Per Invoice'!R$2:R$401,$AH341)))</f>
        <v/>
      </c>
      <c r="S341">
        <f>IF($AH341="","",IF(INDEX('Per Invoice'!S$2:S$401,$AH341)="","",INDEX('Per Invoice'!S$2:S$401,$AH341)))</f>
        <v/>
      </c>
      <c r="T341" s="7">
        <f>IF($AH341="","",IF(INDEX('Per Invoice'!T$2:T$401,$AH341)="","",INDEX('Per Invoice'!T$2:T$401,$AH341)))</f>
        <v/>
      </c>
      <c r="U341" s="7">
        <f>IF($AH341="","",IF(INDEX('Per Invoice'!U$2:U$401,$AH341)="","",INDEX('Per Invoice'!U$2:U$401,$AH341)))</f>
        <v/>
      </c>
      <c r="V341">
        <f>IF($AH341="","",IF(INDEX('Per Invoice'!V$2:V$401,$AH341)="","",INDEX('Per Invoice'!V$2:V$401,$AH341)))</f>
        <v/>
      </c>
      <c r="W341" s="7">
        <f>IF($AH341="","",IF(INDEX('Per Invoice'!W$2:W$401,$AH341)="","",INDEX('Per Invoice'!W$2:W$401,$AH341)))</f>
        <v/>
      </c>
      <c r="X341" s="7">
        <f>IF($AH341="","",IF(INDEX('Per Invoice'!X$2:X$401,$AH341)="","",INDEX('Per Invoice'!X$2:X$401,$AH341)))</f>
        <v/>
      </c>
      <c r="Y341">
        <f>IF($AH341="","",IF(INDEX('Per Invoice'!Y$2:Y$401,$AH341)="","",INDEX('Per Invoice'!Y$2:Y$401,$AH341)))</f>
        <v/>
      </c>
      <c r="Z341" s="7">
        <f>IF($AH341="","",IF(INDEX('Per Invoice'!Z$2:Z$401,$AH341)="","",INDEX('Per Invoice'!Z$2:Z$401,$AH341)))</f>
        <v/>
      </c>
      <c r="AA341" s="7">
        <f>IF($AH341="","",IF(INDEX('Per Invoice'!AA$2:AA$401,$AH341)="","",INDEX('Per Invoice'!AA$2:AA$401,$AH341)))</f>
        <v/>
      </c>
      <c r="AB341" s="7">
        <f>IF($AH341="","",IF(INDEX('Per Invoice'!AB$2:AB$401,$AH341)="","",INDEX('Per Invoice'!AB$2:AB$401,$AH341)))</f>
        <v/>
      </c>
      <c r="AC341" s="7">
        <f>IF($AH341="","",IF(INDEX('Per Invoice'!AC$2:AC$401,$AH341)="","",INDEX('Per Invoice'!AC$2:AC$401,$AH341)))</f>
        <v/>
      </c>
      <c r="AD341" s="7">
        <f>IF($AH341="","",IF(INDEX('Per Invoice'!AD$2:AD$401,$AH341)="","",INDEX('Per Invoice'!AD$2:AD$401,$AH341)))</f>
        <v/>
      </c>
      <c r="AE341" s="7">
        <f>IF($AH341="","",IF(INDEX('Per Invoice'!AE$2:AE$401,$AH341)="","",INDEX('Per Invoice'!AE$2:AE$401,$AH341)))</f>
        <v/>
      </c>
      <c r="AF341">
        <f>IF($AH341="","",IF(INDEX('Per Invoice'!AF$2:AF$401,$AH341)="","",INDEX('Per Invoice'!AF$2:AF$401,$AH341)))</f>
        <v/>
      </c>
      <c r="AG341" s="7">
        <f>IF($AH341="","",IF(INDEX('Per Invoice'!AG$2:AG$401,$AH341)="","",INDEX('Per Invoice'!AG$2:AG$401,$AH341)))</f>
        <v/>
      </c>
      <c r="AH341" s="16">
        <f>IFERROR(MATCH(Settings!$C$26&amp;"|"&amp;ROWS($AH$2:$AH341),'Per Invoice'!$AI$2:$AI$401,0),"")</f>
        <v/>
      </c>
    </row>
    <row r="342">
      <c r="A342">
        <f>IF($AH342="","",IF(INDEX('Per Invoice'!A$2:A$401,$AH342)="","",INDEX('Per Invoice'!A$2:A$401,$AH342)))</f>
        <v/>
      </c>
      <c r="B342">
        <f>IF($AH342="","",IF(INDEX('Per Invoice'!B$2:B$401,$AH342)="","",INDEX('Per Invoice'!B$2:B$401,$AH342)))</f>
        <v/>
      </c>
      <c r="C342">
        <f>IF($AH342="","",IF(INDEX('Per Invoice'!C$2:C$401,$AH342)="","",INDEX('Per Invoice'!C$2:C$401,$AH342)))</f>
        <v/>
      </c>
      <c r="D342">
        <f>IF($AH342="","",IF(INDEX('Per Invoice'!D$2:D$401,$AH342)="","",INDEX('Per Invoice'!D$2:D$401,$AH342)))</f>
        <v/>
      </c>
      <c r="E342">
        <f>IF($AH342="","",IF(INDEX('Per Invoice'!E$2:E$401,$AH342)="","",INDEX('Per Invoice'!E$2:E$401,$AH342)))</f>
        <v/>
      </c>
      <c r="F342">
        <f>IF($AH342="","",IF(INDEX('Per Invoice'!F$2:F$401,$AH342)="","",INDEX('Per Invoice'!F$2:F$401,$AH342)))</f>
        <v/>
      </c>
      <c r="G342">
        <f>IF($AH342="","",IF(INDEX('Per Invoice'!G$2:G$401,$AH342)="","",INDEX('Per Invoice'!G$2:G$401,$AH342)))</f>
        <v/>
      </c>
      <c r="H342">
        <f>IF($AH342="","",IF(INDEX('Per Invoice'!H$2:H$401,$AH342)="","",INDEX('Per Invoice'!H$2:H$401,$AH342)))</f>
        <v/>
      </c>
      <c r="I342" s="14">
        <f>IF($AH342="","",IF(INDEX('Per Invoice'!I$2:I$401,$AH342)="","",INDEX('Per Invoice'!I$2:I$401,$AH342)))</f>
        <v/>
      </c>
      <c r="J342">
        <f>IF($AH342="","",IF(INDEX('Per Invoice'!J$2:J$401,$AH342)="","",INDEX('Per Invoice'!J$2:J$401,$AH342)))</f>
        <v/>
      </c>
      <c r="K342">
        <f>IF($AH342="","",IF(INDEX('Per Invoice'!K$2:K$401,$AH342)="","",INDEX('Per Invoice'!K$2:K$401,$AH342)))</f>
        <v/>
      </c>
      <c r="L342">
        <f>IF($AH342="","",IF(INDEX('Per Invoice'!L$2:L$401,$AH342)="","",INDEX('Per Invoice'!L$2:L$401,$AH342)))</f>
        <v/>
      </c>
      <c r="M342">
        <f>IF($AH342="","",IF(INDEX('Per Invoice'!M$2:M$401,$AH342)="","",INDEX('Per Invoice'!M$2:M$401,$AH342)))</f>
        <v/>
      </c>
      <c r="N342">
        <f>IF($AH342="","",IF(INDEX('Per Invoice'!N$2:N$401,$AH342)="","",INDEX('Per Invoice'!N$2:N$401,$AH342)))</f>
        <v/>
      </c>
      <c r="O342">
        <f>IF($AH342="","",IF(INDEX('Per Invoice'!O$2:O$401,$AH342)="","",INDEX('Per Invoice'!O$2:O$401,$AH342)))</f>
        <v/>
      </c>
      <c r="P342" s="7">
        <f>IF($AH342="","",IF(INDEX('Per Invoice'!P$2:P$401,$AH342)="","",INDEX('Per Invoice'!P$2:P$401,$AH342)))</f>
        <v/>
      </c>
      <c r="Q342">
        <f>IF($AH342="","",IF(INDEX('Per Invoice'!Q$2:Q$401,$AH342)="","",INDEX('Per Invoice'!Q$2:Q$401,$AH342)))</f>
        <v/>
      </c>
      <c r="R342">
        <f>IF($AH342="","",IF(INDEX('Per Invoice'!R$2:R$401,$AH342)="","",INDEX('Per Invoice'!R$2:R$401,$AH342)))</f>
        <v/>
      </c>
      <c r="S342">
        <f>IF($AH342="","",IF(INDEX('Per Invoice'!S$2:S$401,$AH342)="","",INDEX('Per Invoice'!S$2:S$401,$AH342)))</f>
        <v/>
      </c>
      <c r="T342" s="7">
        <f>IF($AH342="","",IF(INDEX('Per Invoice'!T$2:T$401,$AH342)="","",INDEX('Per Invoice'!T$2:T$401,$AH342)))</f>
        <v/>
      </c>
      <c r="U342" s="7">
        <f>IF($AH342="","",IF(INDEX('Per Invoice'!U$2:U$401,$AH342)="","",INDEX('Per Invoice'!U$2:U$401,$AH342)))</f>
        <v/>
      </c>
      <c r="V342">
        <f>IF($AH342="","",IF(INDEX('Per Invoice'!V$2:V$401,$AH342)="","",INDEX('Per Invoice'!V$2:V$401,$AH342)))</f>
        <v/>
      </c>
      <c r="W342" s="7">
        <f>IF($AH342="","",IF(INDEX('Per Invoice'!W$2:W$401,$AH342)="","",INDEX('Per Invoice'!W$2:W$401,$AH342)))</f>
        <v/>
      </c>
      <c r="X342" s="7">
        <f>IF($AH342="","",IF(INDEX('Per Invoice'!X$2:X$401,$AH342)="","",INDEX('Per Invoice'!X$2:X$401,$AH342)))</f>
        <v/>
      </c>
      <c r="Y342">
        <f>IF($AH342="","",IF(INDEX('Per Invoice'!Y$2:Y$401,$AH342)="","",INDEX('Per Invoice'!Y$2:Y$401,$AH342)))</f>
        <v/>
      </c>
      <c r="Z342" s="7">
        <f>IF($AH342="","",IF(INDEX('Per Invoice'!Z$2:Z$401,$AH342)="","",INDEX('Per Invoice'!Z$2:Z$401,$AH342)))</f>
        <v/>
      </c>
      <c r="AA342" s="7">
        <f>IF($AH342="","",IF(INDEX('Per Invoice'!AA$2:AA$401,$AH342)="","",INDEX('Per Invoice'!AA$2:AA$401,$AH342)))</f>
        <v/>
      </c>
      <c r="AB342" s="7">
        <f>IF($AH342="","",IF(INDEX('Per Invoice'!AB$2:AB$401,$AH342)="","",INDEX('Per Invoice'!AB$2:AB$401,$AH342)))</f>
        <v/>
      </c>
      <c r="AC342" s="7">
        <f>IF($AH342="","",IF(INDEX('Per Invoice'!AC$2:AC$401,$AH342)="","",INDEX('Per Invoice'!AC$2:AC$401,$AH342)))</f>
        <v/>
      </c>
      <c r="AD342" s="7">
        <f>IF($AH342="","",IF(INDEX('Per Invoice'!AD$2:AD$401,$AH342)="","",INDEX('Per Invoice'!AD$2:AD$401,$AH342)))</f>
        <v/>
      </c>
      <c r="AE342" s="7">
        <f>IF($AH342="","",IF(INDEX('Per Invoice'!AE$2:AE$401,$AH342)="","",INDEX('Per Invoice'!AE$2:AE$401,$AH342)))</f>
        <v/>
      </c>
      <c r="AF342">
        <f>IF($AH342="","",IF(INDEX('Per Invoice'!AF$2:AF$401,$AH342)="","",INDEX('Per Invoice'!AF$2:AF$401,$AH342)))</f>
        <v/>
      </c>
      <c r="AG342" s="7">
        <f>IF($AH342="","",IF(INDEX('Per Invoice'!AG$2:AG$401,$AH342)="","",INDEX('Per Invoice'!AG$2:AG$401,$AH342)))</f>
        <v/>
      </c>
      <c r="AH342" s="16">
        <f>IFERROR(MATCH(Settings!$C$26&amp;"|"&amp;ROWS($AH$2:$AH342),'Per Invoice'!$AI$2:$AI$401,0),"")</f>
        <v/>
      </c>
    </row>
    <row r="343">
      <c r="A343">
        <f>IF($AH343="","",IF(INDEX('Per Invoice'!A$2:A$401,$AH343)="","",INDEX('Per Invoice'!A$2:A$401,$AH343)))</f>
        <v/>
      </c>
      <c r="B343">
        <f>IF($AH343="","",IF(INDEX('Per Invoice'!B$2:B$401,$AH343)="","",INDEX('Per Invoice'!B$2:B$401,$AH343)))</f>
        <v/>
      </c>
      <c r="C343">
        <f>IF($AH343="","",IF(INDEX('Per Invoice'!C$2:C$401,$AH343)="","",INDEX('Per Invoice'!C$2:C$401,$AH343)))</f>
        <v/>
      </c>
      <c r="D343">
        <f>IF($AH343="","",IF(INDEX('Per Invoice'!D$2:D$401,$AH343)="","",INDEX('Per Invoice'!D$2:D$401,$AH343)))</f>
        <v/>
      </c>
      <c r="E343">
        <f>IF($AH343="","",IF(INDEX('Per Invoice'!E$2:E$401,$AH343)="","",INDEX('Per Invoice'!E$2:E$401,$AH343)))</f>
        <v/>
      </c>
      <c r="F343">
        <f>IF($AH343="","",IF(INDEX('Per Invoice'!F$2:F$401,$AH343)="","",INDEX('Per Invoice'!F$2:F$401,$AH343)))</f>
        <v/>
      </c>
      <c r="G343">
        <f>IF($AH343="","",IF(INDEX('Per Invoice'!G$2:G$401,$AH343)="","",INDEX('Per Invoice'!G$2:G$401,$AH343)))</f>
        <v/>
      </c>
      <c r="H343">
        <f>IF($AH343="","",IF(INDEX('Per Invoice'!H$2:H$401,$AH343)="","",INDEX('Per Invoice'!H$2:H$401,$AH343)))</f>
        <v/>
      </c>
      <c r="I343" s="14">
        <f>IF($AH343="","",IF(INDEX('Per Invoice'!I$2:I$401,$AH343)="","",INDEX('Per Invoice'!I$2:I$401,$AH343)))</f>
        <v/>
      </c>
      <c r="J343">
        <f>IF($AH343="","",IF(INDEX('Per Invoice'!J$2:J$401,$AH343)="","",INDEX('Per Invoice'!J$2:J$401,$AH343)))</f>
        <v/>
      </c>
      <c r="K343">
        <f>IF($AH343="","",IF(INDEX('Per Invoice'!K$2:K$401,$AH343)="","",INDEX('Per Invoice'!K$2:K$401,$AH343)))</f>
        <v/>
      </c>
      <c r="L343">
        <f>IF($AH343="","",IF(INDEX('Per Invoice'!L$2:L$401,$AH343)="","",INDEX('Per Invoice'!L$2:L$401,$AH343)))</f>
        <v/>
      </c>
      <c r="M343">
        <f>IF($AH343="","",IF(INDEX('Per Invoice'!M$2:M$401,$AH343)="","",INDEX('Per Invoice'!M$2:M$401,$AH343)))</f>
        <v/>
      </c>
      <c r="N343">
        <f>IF($AH343="","",IF(INDEX('Per Invoice'!N$2:N$401,$AH343)="","",INDEX('Per Invoice'!N$2:N$401,$AH343)))</f>
        <v/>
      </c>
      <c r="O343">
        <f>IF($AH343="","",IF(INDEX('Per Invoice'!O$2:O$401,$AH343)="","",INDEX('Per Invoice'!O$2:O$401,$AH343)))</f>
        <v/>
      </c>
      <c r="P343" s="7">
        <f>IF($AH343="","",IF(INDEX('Per Invoice'!P$2:P$401,$AH343)="","",INDEX('Per Invoice'!P$2:P$401,$AH343)))</f>
        <v/>
      </c>
      <c r="Q343">
        <f>IF($AH343="","",IF(INDEX('Per Invoice'!Q$2:Q$401,$AH343)="","",INDEX('Per Invoice'!Q$2:Q$401,$AH343)))</f>
        <v/>
      </c>
      <c r="R343">
        <f>IF($AH343="","",IF(INDEX('Per Invoice'!R$2:R$401,$AH343)="","",INDEX('Per Invoice'!R$2:R$401,$AH343)))</f>
        <v/>
      </c>
      <c r="S343">
        <f>IF($AH343="","",IF(INDEX('Per Invoice'!S$2:S$401,$AH343)="","",INDEX('Per Invoice'!S$2:S$401,$AH343)))</f>
        <v/>
      </c>
      <c r="T343" s="7">
        <f>IF($AH343="","",IF(INDEX('Per Invoice'!T$2:T$401,$AH343)="","",INDEX('Per Invoice'!T$2:T$401,$AH343)))</f>
        <v/>
      </c>
      <c r="U343" s="7">
        <f>IF($AH343="","",IF(INDEX('Per Invoice'!U$2:U$401,$AH343)="","",INDEX('Per Invoice'!U$2:U$401,$AH343)))</f>
        <v/>
      </c>
      <c r="V343">
        <f>IF($AH343="","",IF(INDEX('Per Invoice'!V$2:V$401,$AH343)="","",INDEX('Per Invoice'!V$2:V$401,$AH343)))</f>
        <v/>
      </c>
      <c r="W343" s="7">
        <f>IF($AH343="","",IF(INDEX('Per Invoice'!W$2:W$401,$AH343)="","",INDEX('Per Invoice'!W$2:W$401,$AH343)))</f>
        <v/>
      </c>
      <c r="X343" s="7">
        <f>IF($AH343="","",IF(INDEX('Per Invoice'!X$2:X$401,$AH343)="","",INDEX('Per Invoice'!X$2:X$401,$AH343)))</f>
        <v/>
      </c>
      <c r="Y343">
        <f>IF($AH343="","",IF(INDEX('Per Invoice'!Y$2:Y$401,$AH343)="","",INDEX('Per Invoice'!Y$2:Y$401,$AH343)))</f>
        <v/>
      </c>
      <c r="Z343" s="7">
        <f>IF($AH343="","",IF(INDEX('Per Invoice'!Z$2:Z$401,$AH343)="","",INDEX('Per Invoice'!Z$2:Z$401,$AH343)))</f>
        <v/>
      </c>
      <c r="AA343" s="7">
        <f>IF($AH343="","",IF(INDEX('Per Invoice'!AA$2:AA$401,$AH343)="","",INDEX('Per Invoice'!AA$2:AA$401,$AH343)))</f>
        <v/>
      </c>
      <c r="AB343" s="7">
        <f>IF($AH343="","",IF(INDEX('Per Invoice'!AB$2:AB$401,$AH343)="","",INDEX('Per Invoice'!AB$2:AB$401,$AH343)))</f>
        <v/>
      </c>
      <c r="AC343" s="7">
        <f>IF($AH343="","",IF(INDEX('Per Invoice'!AC$2:AC$401,$AH343)="","",INDEX('Per Invoice'!AC$2:AC$401,$AH343)))</f>
        <v/>
      </c>
      <c r="AD343" s="7">
        <f>IF($AH343="","",IF(INDEX('Per Invoice'!AD$2:AD$401,$AH343)="","",INDEX('Per Invoice'!AD$2:AD$401,$AH343)))</f>
        <v/>
      </c>
      <c r="AE343" s="7">
        <f>IF($AH343="","",IF(INDEX('Per Invoice'!AE$2:AE$401,$AH343)="","",INDEX('Per Invoice'!AE$2:AE$401,$AH343)))</f>
        <v/>
      </c>
      <c r="AF343">
        <f>IF($AH343="","",IF(INDEX('Per Invoice'!AF$2:AF$401,$AH343)="","",INDEX('Per Invoice'!AF$2:AF$401,$AH343)))</f>
        <v/>
      </c>
      <c r="AG343" s="7">
        <f>IF($AH343="","",IF(INDEX('Per Invoice'!AG$2:AG$401,$AH343)="","",INDEX('Per Invoice'!AG$2:AG$401,$AH343)))</f>
        <v/>
      </c>
      <c r="AH343" s="16">
        <f>IFERROR(MATCH(Settings!$C$26&amp;"|"&amp;ROWS($AH$2:$AH343),'Per Invoice'!$AI$2:$AI$401,0),"")</f>
        <v/>
      </c>
    </row>
    <row r="344">
      <c r="A344">
        <f>IF($AH344="","",IF(INDEX('Per Invoice'!A$2:A$401,$AH344)="","",INDEX('Per Invoice'!A$2:A$401,$AH344)))</f>
        <v/>
      </c>
      <c r="B344">
        <f>IF($AH344="","",IF(INDEX('Per Invoice'!B$2:B$401,$AH344)="","",INDEX('Per Invoice'!B$2:B$401,$AH344)))</f>
        <v/>
      </c>
      <c r="C344">
        <f>IF($AH344="","",IF(INDEX('Per Invoice'!C$2:C$401,$AH344)="","",INDEX('Per Invoice'!C$2:C$401,$AH344)))</f>
        <v/>
      </c>
      <c r="D344">
        <f>IF($AH344="","",IF(INDEX('Per Invoice'!D$2:D$401,$AH344)="","",INDEX('Per Invoice'!D$2:D$401,$AH344)))</f>
        <v/>
      </c>
      <c r="E344">
        <f>IF($AH344="","",IF(INDEX('Per Invoice'!E$2:E$401,$AH344)="","",INDEX('Per Invoice'!E$2:E$401,$AH344)))</f>
        <v/>
      </c>
      <c r="F344">
        <f>IF($AH344="","",IF(INDEX('Per Invoice'!F$2:F$401,$AH344)="","",INDEX('Per Invoice'!F$2:F$401,$AH344)))</f>
        <v/>
      </c>
      <c r="G344">
        <f>IF($AH344="","",IF(INDEX('Per Invoice'!G$2:G$401,$AH344)="","",INDEX('Per Invoice'!G$2:G$401,$AH344)))</f>
        <v/>
      </c>
      <c r="H344">
        <f>IF($AH344="","",IF(INDEX('Per Invoice'!H$2:H$401,$AH344)="","",INDEX('Per Invoice'!H$2:H$401,$AH344)))</f>
        <v/>
      </c>
      <c r="I344" s="14">
        <f>IF($AH344="","",IF(INDEX('Per Invoice'!I$2:I$401,$AH344)="","",INDEX('Per Invoice'!I$2:I$401,$AH344)))</f>
        <v/>
      </c>
      <c r="J344">
        <f>IF($AH344="","",IF(INDEX('Per Invoice'!J$2:J$401,$AH344)="","",INDEX('Per Invoice'!J$2:J$401,$AH344)))</f>
        <v/>
      </c>
      <c r="K344">
        <f>IF($AH344="","",IF(INDEX('Per Invoice'!K$2:K$401,$AH344)="","",INDEX('Per Invoice'!K$2:K$401,$AH344)))</f>
        <v/>
      </c>
      <c r="L344">
        <f>IF($AH344="","",IF(INDEX('Per Invoice'!L$2:L$401,$AH344)="","",INDEX('Per Invoice'!L$2:L$401,$AH344)))</f>
        <v/>
      </c>
      <c r="M344">
        <f>IF($AH344="","",IF(INDEX('Per Invoice'!M$2:M$401,$AH344)="","",INDEX('Per Invoice'!M$2:M$401,$AH344)))</f>
        <v/>
      </c>
      <c r="N344">
        <f>IF($AH344="","",IF(INDEX('Per Invoice'!N$2:N$401,$AH344)="","",INDEX('Per Invoice'!N$2:N$401,$AH344)))</f>
        <v/>
      </c>
      <c r="O344">
        <f>IF($AH344="","",IF(INDEX('Per Invoice'!O$2:O$401,$AH344)="","",INDEX('Per Invoice'!O$2:O$401,$AH344)))</f>
        <v/>
      </c>
      <c r="P344" s="7">
        <f>IF($AH344="","",IF(INDEX('Per Invoice'!P$2:P$401,$AH344)="","",INDEX('Per Invoice'!P$2:P$401,$AH344)))</f>
        <v/>
      </c>
      <c r="Q344">
        <f>IF($AH344="","",IF(INDEX('Per Invoice'!Q$2:Q$401,$AH344)="","",INDEX('Per Invoice'!Q$2:Q$401,$AH344)))</f>
        <v/>
      </c>
      <c r="R344">
        <f>IF($AH344="","",IF(INDEX('Per Invoice'!R$2:R$401,$AH344)="","",INDEX('Per Invoice'!R$2:R$401,$AH344)))</f>
        <v/>
      </c>
      <c r="S344">
        <f>IF($AH344="","",IF(INDEX('Per Invoice'!S$2:S$401,$AH344)="","",INDEX('Per Invoice'!S$2:S$401,$AH344)))</f>
        <v/>
      </c>
      <c r="T344" s="7">
        <f>IF($AH344="","",IF(INDEX('Per Invoice'!T$2:T$401,$AH344)="","",INDEX('Per Invoice'!T$2:T$401,$AH344)))</f>
        <v/>
      </c>
      <c r="U344" s="7">
        <f>IF($AH344="","",IF(INDEX('Per Invoice'!U$2:U$401,$AH344)="","",INDEX('Per Invoice'!U$2:U$401,$AH344)))</f>
        <v/>
      </c>
      <c r="V344">
        <f>IF($AH344="","",IF(INDEX('Per Invoice'!V$2:V$401,$AH344)="","",INDEX('Per Invoice'!V$2:V$401,$AH344)))</f>
        <v/>
      </c>
      <c r="W344" s="7">
        <f>IF($AH344="","",IF(INDEX('Per Invoice'!W$2:W$401,$AH344)="","",INDEX('Per Invoice'!W$2:W$401,$AH344)))</f>
        <v/>
      </c>
      <c r="X344" s="7">
        <f>IF($AH344="","",IF(INDEX('Per Invoice'!X$2:X$401,$AH344)="","",INDEX('Per Invoice'!X$2:X$401,$AH344)))</f>
        <v/>
      </c>
      <c r="Y344">
        <f>IF($AH344="","",IF(INDEX('Per Invoice'!Y$2:Y$401,$AH344)="","",INDEX('Per Invoice'!Y$2:Y$401,$AH344)))</f>
        <v/>
      </c>
      <c r="Z344" s="7">
        <f>IF($AH344="","",IF(INDEX('Per Invoice'!Z$2:Z$401,$AH344)="","",INDEX('Per Invoice'!Z$2:Z$401,$AH344)))</f>
        <v/>
      </c>
      <c r="AA344" s="7">
        <f>IF($AH344="","",IF(INDEX('Per Invoice'!AA$2:AA$401,$AH344)="","",INDEX('Per Invoice'!AA$2:AA$401,$AH344)))</f>
        <v/>
      </c>
      <c r="AB344" s="7">
        <f>IF($AH344="","",IF(INDEX('Per Invoice'!AB$2:AB$401,$AH344)="","",INDEX('Per Invoice'!AB$2:AB$401,$AH344)))</f>
        <v/>
      </c>
      <c r="AC344" s="7">
        <f>IF($AH344="","",IF(INDEX('Per Invoice'!AC$2:AC$401,$AH344)="","",INDEX('Per Invoice'!AC$2:AC$401,$AH344)))</f>
        <v/>
      </c>
      <c r="AD344" s="7">
        <f>IF($AH344="","",IF(INDEX('Per Invoice'!AD$2:AD$401,$AH344)="","",INDEX('Per Invoice'!AD$2:AD$401,$AH344)))</f>
        <v/>
      </c>
      <c r="AE344" s="7">
        <f>IF($AH344="","",IF(INDEX('Per Invoice'!AE$2:AE$401,$AH344)="","",INDEX('Per Invoice'!AE$2:AE$401,$AH344)))</f>
        <v/>
      </c>
      <c r="AF344">
        <f>IF($AH344="","",IF(INDEX('Per Invoice'!AF$2:AF$401,$AH344)="","",INDEX('Per Invoice'!AF$2:AF$401,$AH344)))</f>
        <v/>
      </c>
      <c r="AG344" s="7">
        <f>IF($AH344="","",IF(INDEX('Per Invoice'!AG$2:AG$401,$AH344)="","",INDEX('Per Invoice'!AG$2:AG$401,$AH344)))</f>
        <v/>
      </c>
      <c r="AH344" s="16">
        <f>IFERROR(MATCH(Settings!$C$26&amp;"|"&amp;ROWS($AH$2:$AH344),'Per Invoice'!$AI$2:$AI$401,0),"")</f>
        <v/>
      </c>
    </row>
    <row r="345">
      <c r="A345">
        <f>IF($AH345="","",IF(INDEX('Per Invoice'!A$2:A$401,$AH345)="","",INDEX('Per Invoice'!A$2:A$401,$AH345)))</f>
        <v/>
      </c>
      <c r="B345">
        <f>IF($AH345="","",IF(INDEX('Per Invoice'!B$2:B$401,$AH345)="","",INDEX('Per Invoice'!B$2:B$401,$AH345)))</f>
        <v/>
      </c>
      <c r="C345">
        <f>IF($AH345="","",IF(INDEX('Per Invoice'!C$2:C$401,$AH345)="","",INDEX('Per Invoice'!C$2:C$401,$AH345)))</f>
        <v/>
      </c>
      <c r="D345">
        <f>IF($AH345="","",IF(INDEX('Per Invoice'!D$2:D$401,$AH345)="","",INDEX('Per Invoice'!D$2:D$401,$AH345)))</f>
        <v/>
      </c>
      <c r="E345">
        <f>IF($AH345="","",IF(INDEX('Per Invoice'!E$2:E$401,$AH345)="","",INDEX('Per Invoice'!E$2:E$401,$AH345)))</f>
        <v/>
      </c>
      <c r="F345">
        <f>IF($AH345="","",IF(INDEX('Per Invoice'!F$2:F$401,$AH345)="","",INDEX('Per Invoice'!F$2:F$401,$AH345)))</f>
        <v/>
      </c>
      <c r="G345">
        <f>IF($AH345="","",IF(INDEX('Per Invoice'!G$2:G$401,$AH345)="","",INDEX('Per Invoice'!G$2:G$401,$AH345)))</f>
        <v/>
      </c>
      <c r="H345">
        <f>IF($AH345="","",IF(INDEX('Per Invoice'!H$2:H$401,$AH345)="","",INDEX('Per Invoice'!H$2:H$401,$AH345)))</f>
        <v/>
      </c>
      <c r="I345" s="14">
        <f>IF($AH345="","",IF(INDEX('Per Invoice'!I$2:I$401,$AH345)="","",INDEX('Per Invoice'!I$2:I$401,$AH345)))</f>
        <v/>
      </c>
      <c r="J345">
        <f>IF($AH345="","",IF(INDEX('Per Invoice'!J$2:J$401,$AH345)="","",INDEX('Per Invoice'!J$2:J$401,$AH345)))</f>
        <v/>
      </c>
      <c r="K345">
        <f>IF($AH345="","",IF(INDEX('Per Invoice'!K$2:K$401,$AH345)="","",INDEX('Per Invoice'!K$2:K$401,$AH345)))</f>
        <v/>
      </c>
      <c r="L345">
        <f>IF($AH345="","",IF(INDEX('Per Invoice'!L$2:L$401,$AH345)="","",INDEX('Per Invoice'!L$2:L$401,$AH345)))</f>
        <v/>
      </c>
      <c r="M345">
        <f>IF($AH345="","",IF(INDEX('Per Invoice'!M$2:M$401,$AH345)="","",INDEX('Per Invoice'!M$2:M$401,$AH345)))</f>
        <v/>
      </c>
      <c r="N345">
        <f>IF($AH345="","",IF(INDEX('Per Invoice'!N$2:N$401,$AH345)="","",INDEX('Per Invoice'!N$2:N$401,$AH345)))</f>
        <v/>
      </c>
      <c r="O345">
        <f>IF($AH345="","",IF(INDEX('Per Invoice'!O$2:O$401,$AH345)="","",INDEX('Per Invoice'!O$2:O$401,$AH345)))</f>
        <v/>
      </c>
      <c r="P345" s="7">
        <f>IF($AH345="","",IF(INDEX('Per Invoice'!P$2:P$401,$AH345)="","",INDEX('Per Invoice'!P$2:P$401,$AH345)))</f>
        <v/>
      </c>
      <c r="Q345">
        <f>IF($AH345="","",IF(INDEX('Per Invoice'!Q$2:Q$401,$AH345)="","",INDEX('Per Invoice'!Q$2:Q$401,$AH345)))</f>
        <v/>
      </c>
      <c r="R345">
        <f>IF($AH345="","",IF(INDEX('Per Invoice'!R$2:R$401,$AH345)="","",INDEX('Per Invoice'!R$2:R$401,$AH345)))</f>
        <v/>
      </c>
      <c r="S345">
        <f>IF($AH345="","",IF(INDEX('Per Invoice'!S$2:S$401,$AH345)="","",INDEX('Per Invoice'!S$2:S$401,$AH345)))</f>
        <v/>
      </c>
      <c r="T345" s="7">
        <f>IF($AH345="","",IF(INDEX('Per Invoice'!T$2:T$401,$AH345)="","",INDEX('Per Invoice'!T$2:T$401,$AH345)))</f>
        <v/>
      </c>
      <c r="U345" s="7">
        <f>IF($AH345="","",IF(INDEX('Per Invoice'!U$2:U$401,$AH345)="","",INDEX('Per Invoice'!U$2:U$401,$AH345)))</f>
        <v/>
      </c>
      <c r="V345">
        <f>IF($AH345="","",IF(INDEX('Per Invoice'!V$2:V$401,$AH345)="","",INDEX('Per Invoice'!V$2:V$401,$AH345)))</f>
        <v/>
      </c>
      <c r="W345" s="7">
        <f>IF($AH345="","",IF(INDEX('Per Invoice'!W$2:W$401,$AH345)="","",INDEX('Per Invoice'!W$2:W$401,$AH345)))</f>
        <v/>
      </c>
      <c r="X345" s="7">
        <f>IF($AH345="","",IF(INDEX('Per Invoice'!X$2:X$401,$AH345)="","",INDEX('Per Invoice'!X$2:X$401,$AH345)))</f>
        <v/>
      </c>
      <c r="Y345">
        <f>IF($AH345="","",IF(INDEX('Per Invoice'!Y$2:Y$401,$AH345)="","",INDEX('Per Invoice'!Y$2:Y$401,$AH345)))</f>
        <v/>
      </c>
      <c r="Z345" s="7">
        <f>IF($AH345="","",IF(INDEX('Per Invoice'!Z$2:Z$401,$AH345)="","",INDEX('Per Invoice'!Z$2:Z$401,$AH345)))</f>
        <v/>
      </c>
      <c r="AA345" s="7">
        <f>IF($AH345="","",IF(INDEX('Per Invoice'!AA$2:AA$401,$AH345)="","",INDEX('Per Invoice'!AA$2:AA$401,$AH345)))</f>
        <v/>
      </c>
      <c r="AB345" s="7">
        <f>IF($AH345="","",IF(INDEX('Per Invoice'!AB$2:AB$401,$AH345)="","",INDEX('Per Invoice'!AB$2:AB$401,$AH345)))</f>
        <v/>
      </c>
      <c r="AC345" s="7">
        <f>IF($AH345="","",IF(INDEX('Per Invoice'!AC$2:AC$401,$AH345)="","",INDEX('Per Invoice'!AC$2:AC$401,$AH345)))</f>
        <v/>
      </c>
      <c r="AD345" s="7">
        <f>IF($AH345="","",IF(INDEX('Per Invoice'!AD$2:AD$401,$AH345)="","",INDEX('Per Invoice'!AD$2:AD$401,$AH345)))</f>
        <v/>
      </c>
      <c r="AE345" s="7">
        <f>IF($AH345="","",IF(INDEX('Per Invoice'!AE$2:AE$401,$AH345)="","",INDEX('Per Invoice'!AE$2:AE$401,$AH345)))</f>
        <v/>
      </c>
      <c r="AF345">
        <f>IF($AH345="","",IF(INDEX('Per Invoice'!AF$2:AF$401,$AH345)="","",INDEX('Per Invoice'!AF$2:AF$401,$AH345)))</f>
        <v/>
      </c>
      <c r="AG345" s="7">
        <f>IF($AH345="","",IF(INDEX('Per Invoice'!AG$2:AG$401,$AH345)="","",INDEX('Per Invoice'!AG$2:AG$401,$AH345)))</f>
        <v/>
      </c>
      <c r="AH345" s="16">
        <f>IFERROR(MATCH(Settings!$C$26&amp;"|"&amp;ROWS($AH$2:$AH345),'Per Invoice'!$AI$2:$AI$401,0),"")</f>
        <v/>
      </c>
    </row>
    <row r="346">
      <c r="A346">
        <f>IF($AH346="","",IF(INDEX('Per Invoice'!A$2:A$401,$AH346)="","",INDEX('Per Invoice'!A$2:A$401,$AH346)))</f>
        <v/>
      </c>
      <c r="B346">
        <f>IF($AH346="","",IF(INDEX('Per Invoice'!B$2:B$401,$AH346)="","",INDEX('Per Invoice'!B$2:B$401,$AH346)))</f>
        <v/>
      </c>
      <c r="C346">
        <f>IF($AH346="","",IF(INDEX('Per Invoice'!C$2:C$401,$AH346)="","",INDEX('Per Invoice'!C$2:C$401,$AH346)))</f>
        <v/>
      </c>
      <c r="D346">
        <f>IF($AH346="","",IF(INDEX('Per Invoice'!D$2:D$401,$AH346)="","",INDEX('Per Invoice'!D$2:D$401,$AH346)))</f>
        <v/>
      </c>
      <c r="E346">
        <f>IF($AH346="","",IF(INDEX('Per Invoice'!E$2:E$401,$AH346)="","",INDEX('Per Invoice'!E$2:E$401,$AH346)))</f>
        <v/>
      </c>
      <c r="F346">
        <f>IF($AH346="","",IF(INDEX('Per Invoice'!F$2:F$401,$AH346)="","",INDEX('Per Invoice'!F$2:F$401,$AH346)))</f>
        <v/>
      </c>
      <c r="G346">
        <f>IF($AH346="","",IF(INDEX('Per Invoice'!G$2:G$401,$AH346)="","",INDEX('Per Invoice'!G$2:G$401,$AH346)))</f>
        <v/>
      </c>
      <c r="H346">
        <f>IF($AH346="","",IF(INDEX('Per Invoice'!H$2:H$401,$AH346)="","",INDEX('Per Invoice'!H$2:H$401,$AH346)))</f>
        <v/>
      </c>
      <c r="I346" s="14">
        <f>IF($AH346="","",IF(INDEX('Per Invoice'!I$2:I$401,$AH346)="","",INDEX('Per Invoice'!I$2:I$401,$AH346)))</f>
        <v/>
      </c>
      <c r="J346">
        <f>IF($AH346="","",IF(INDEX('Per Invoice'!J$2:J$401,$AH346)="","",INDEX('Per Invoice'!J$2:J$401,$AH346)))</f>
        <v/>
      </c>
      <c r="K346">
        <f>IF($AH346="","",IF(INDEX('Per Invoice'!K$2:K$401,$AH346)="","",INDEX('Per Invoice'!K$2:K$401,$AH346)))</f>
        <v/>
      </c>
      <c r="L346">
        <f>IF($AH346="","",IF(INDEX('Per Invoice'!L$2:L$401,$AH346)="","",INDEX('Per Invoice'!L$2:L$401,$AH346)))</f>
        <v/>
      </c>
      <c r="M346">
        <f>IF($AH346="","",IF(INDEX('Per Invoice'!M$2:M$401,$AH346)="","",INDEX('Per Invoice'!M$2:M$401,$AH346)))</f>
        <v/>
      </c>
      <c r="N346">
        <f>IF($AH346="","",IF(INDEX('Per Invoice'!N$2:N$401,$AH346)="","",INDEX('Per Invoice'!N$2:N$401,$AH346)))</f>
        <v/>
      </c>
      <c r="O346">
        <f>IF($AH346="","",IF(INDEX('Per Invoice'!O$2:O$401,$AH346)="","",INDEX('Per Invoice'!O$2:O$401,$AH346)))</f>
        <v/>
      </c>
      <c r="P346" s="7">
        <f>IF($AH346="","",IF(INDEX('Per Invoice'!P$2:P$401,$AH346)="","",INDEX('Per Invoice'!P$2:P$401,$AH346)))</f>
        <v/>
      </c>
      <c r="Q346">
        <f>IF($AH346="","",IF(INDEX('Per Invoice'!Q$2:Q$401,$AH346)="","",INDEX('Per Invoice'!Q$2:Q$401,$AH346)))</f>
        <v/>
      </c>
      <c r="R346">
        <f>IF($AH346="","",IF(INDEX('Per Invoice'!R$2:R$401,$AH346)="","",INDEX('Per Invoice'!R$2:R$401,$AH346)))</f>
        <v/>
      </c>
      <c r="S346">
        <f>IF($AH346="","",IF(INDEX('Per Invoice'!S$2:S$401,$AH346)="","",INDEX('Per Invoice'!S$2:S$401,$AH346)))</f>
        <v/>
      </c>
      <c r="T346" s="7">
        <f>IF($AH346="","",IF(INDEX('Per Invoice'!T$2:T$401,$AH346)="","",INDEX('Per Invoice'!T$2:T$401,$AH346)))</f>
        <v/>
      </c>
      <c r="U346" s="7">
        <f>IF($AH346="","",IF(INDEX('Per Invoice'!U$2:U$401,$AH346)="","",INDEX('Per Invoice'!U$2:U$401,$AH346)))</f>
        <v/>
      </c>
      <c r="V346">
        <f>IF($AH346="","",IF(INDEX('Per Invoice'!V$2:V$401,$AH346)="","",INDEX('Per Invoice'!V$2:V$401,$AH346)))</f>
        <v/>
      </c>
      <c r="W346" s="7">
        <f>IF($AH346="","",IF(INDEX('Per Invoice'!W$2:W$401,$AH346)="","",INDEX('Per Invoice'!W$2:W$401,$AH346)))</f>
        <v/>
      </c>
      <c r="X346" s="7">
        <f>IF($AH346="","",IF(INDEX('Per Invoice'!X$2:X$401,$AH346)="","",INDEX('Per Invoice'!X$2:X$401,$AH346)))</f>
        <v/>
      </c>
      <c r="Y346">
        <f>IF($AH346="","",IF(INDEX('Per Invoice'!Y$2:Y$401,$AH346)="","",INDEX('Per Invoice'!Y$2:Y$401,$AH346)))</f>
        <v/>
      </c>
      <c r="Z346" s="7">
        <f>IF($AH346="","",IF(INDEX('Per Invoice'!Z$2:Z$401,$AH346)="","",INDEX('Per Invoice'!Z$2:Z$401,$AH346)))</f>
        <v/>
      </c>
      <c r="AA346" s="7">
        <f>IF($AH346="","",IF(INDEX('Per Invoice'!AA$2:AA$401,$AH346)="","",INDEX('Per Invoice'!AA$2:AA$401,$AH346)))</f>
        <v/>
      </c>
      <c r="AB346" s="7">
        <f>IF($AH346="","",IF(INDEX('Per Invoice'!AB$2:AB$401,$AH346)="","",INDEX('Per Invoice'!AB$2:AB$401,$AH346)))</f>
        <v/>
      </c>
      <c r="AC346" s="7">
        <f>IF($AH346="","",IF(INDEX('Per Invoice'!AC$2:AC$401,$AH346)="","",INDEX('Per Invoice'!AC$2:AC$401,$AH346)))</f>
        <v/>
      </c>
      <c r="AD346" s="7">
        <f>IF($AH346="","",IF(INDEX('Per Invoice'!AD$2:AD$401,$AH346)="","",INDEX('Per Invoice'!AD$2:AD$401,$AH346)))</f>
        <v/>
      </c>
      <c r="AE346" s="7">
        <f>IF($AH346="","",IF(INDEX('Per Invoice'!AE$2:AE$401,$AH346)="","",INDEX('Per Invoice'!AE$2:AE$401,$AH346)))</f>
        <v/>
      </c>
      <c r="AF346">
        <f>IF($AH346="","",IF(INDEX('Per Invoice'!AF$2:AF$401,$AH346)="","",INDEX('Per Invoice'!AF$2:AF$401,$AH346)))</f>
        <v/>
      </c>
      <c r="AG346" s="7">
        <f>IF($AH346="","",IF(INDEX('Per Invoice'!AG$2:AG$401,$AH346)="","",INDEX('Per Invoice'!AG$2:AG$401,$AH346)))</f>
        <v/>
      </c>
      <c r="AH346" s="16">
        <f>IFERROR(MATCH(Settings!$C$26&amp;"|"&amp;ROWS($AH$2:$AH346),'Per Invoice'!$AI$2:$AI$401,0),"")</f>
        <v/>
      </c>
    </row>
    <row r="347">
      <c r="A347">
        <f>IF($AH347="","",IF(INDEX('Per Invoice'!A$2:A$401,$AH347)="","",INDEX('Per Invoice'!A$2:A$401,$AH347)))</f>
        <v/>
      </c>
      <c r="B347">
        <f>IF($AH347="","",IF(INDEX('Per Invoice'!B$2:B$401,$AH347)="","",INDEX('Per Invoice'!B$2:B$401,$AH347)))</f>
        <v/>
      </c>
      <c r="C347">
        <f>IF($AH347="","",IF(INDEX('Per Invoice'!C$2:C$401,$AH347)="","",INDEX('Per Invoice'!C$2:C$401,$AH347)))</f>
        <v/>
      </c>
      <c r="D347">
        <f>IF($AH347="","",IF(INDEX('Per Invoice'!D$2:D$401,$AH347)="","",INDEX('Per Invoice'!D$2:D$401,$AH347)))</f>
        <v/>
      </c>
      <c r="E347">
        <f>IF($AH347="","",IF(INDEX('Per Invoice'!E$2:E$401,$AH347)="","",INDEX('Per Invoice'!E$2:E$401,$AH347)))</f>
        <v/>
      </c>
      <c r="F347">
        <f>IF($AH347="","",IF(INDEX('Per Invoice'!F$2:F$401,$AH347)="","",INDEX('Per Invoice'!F$2:F$401,$AH347)))</f>
        <v/>
      </c>
      <c r="G347">
        <f>IF($AH347="","",IF(INDEX('Per Invoice'!G$2:G$401,$AH347)="","",INDEX('Per Invoice'!G$2:G$401,$AH347)))</f>
        <v/>
      </c>
      <c r="H347">
        <f>IF($AH347="","",IF(INDEX('Per Invoice'!H$2:H$401,$AH347)="","",INDEX('Per Invoice'!H$2:H$401,$AH347)))</f>
        <v/>
      </c>
      <c r="I347" s="14">
        <f>IF($AH347="","",IF(INDEX('Per Invoice'!I$2:I$401,$AH347)="","",INDEX('Per Invoice'!I$2:I$401,$AH347)))</f>
        <v/>
      </c>
      <c r="J347">
        <f>IF($AH347="","",IF(INDEX('Per Invoice'!J$2:J$401,$AH347)="","",INDEX('Per Invoice'!J$2:J$401,$AH347)))</f>
        <v/>
      </c>
      <c r="K347">
        <f>IF($AH347="","",IF(INDEX('Per Invoice'!K$2:K$401,$AH347)="","",INDEX('Per Invoice'!K$2:K$401,$AH347)))</f>
        <v/>
      </c>
      <c r="L347">
        <f>IF($AH347="","",IF(INDEX('Per Invoice'!L$2:L$401,$AH347)="","",INDEX('Per Invoice'!L$2:L$401,$AH347)))</f>
        <v/>
      </c>
      <c r="M347">
        <f>IF($AH347="","",IF(INDEX('Per Invoice'!M$2:M$401,$AH347)="","",INDEX('Per Invoice'!M$2:M$401,$AH347)))</f>
        <v/>
      </c>
      <c r="N347">
        <f>IF($AH347="","",IF(INDEX('Per Invoice'!N$2:N$401,$AH347)="","",INDEX('Per Invoice'!N$2:N$401,$AH347)))</f>
        <v/>
      </c>
      <c r="O347">
        <f>IF($AH347="","",IF(INDEX('Per Invoice'!O$2:O$401,$AH347)="","",INDEX('Per Invoice'!O$2:O$401,$AH347)))</f>
        <v/>
      </c>
      <c r="P347" s="7">
        <f>IF($AH347="","",IF(INDEX('Per Invoice'!P$2:P$401,$AH347)="","",INDEX('Per Invoice'!P$2:P$401,$AH347)))</f>
        <v/>
      </c>
      <c r="Q347">
        <f>IF($AH347="","",IF(INDEX('Per Invoice'!Q$2:Q$401,$AH347)="","",INDEX('Per Invoice'!Q$2:Q$401,$AH347)))</f>
        <v/>
      </c>
      <c r="R347">
        <f>IF($AH347="","",IF(INDEX('Per Invoice'!R$2:R$401,$AH347)="","",INDEX('Per Invoice'!R$2:R$401,$AH347)))</f>
        <v/>
      </c>
      <c r="S347">
        <f>IF($AH347="","",IF(INDEX('Per Invoice'!S$2:S$401,$AH347)="","",INDEX('Per Invoice'!S$2:S$401,$AH347)))</f>
        <v/>
      </c>
      <c r="T347" s="7">
        <f>IF($AH347="","",IF(INDEX('Per Invoice'!T$2:T$401,$AH347)="","",INDEX('Per Invoice'!T$2:T$401,$AH347)))</f>
        <v/>
      </c>
      <c r="U347" s="7">
        <f>IF($AH347="","",IF(INDEX('Per Invoice'!U$2:U$401,$AH347)="","",INDEX('Per Invoice'!U$2:U$401,$AH347)))</f>
        <v/>
      </c>
      <c r="V347">
        <f>IF($AH347="","",IF(INDEX('Per Invoice'!V$2:V$401,$AH347)="","",INDEX('Per Invoice'!V$2:V$401,$AH347)))</f>
        <v/>
      </c>
      <c r="W347" s="7">
        <f>IF($AH347="","",IF(INDEX('Per Invoice'!W$2:W$401,$AH347)="","",INDEX('Per Invoice'!W$2:W$401,$AH347)))</f>
        <v/>
      </c>
      <c r="X347" s="7">
        <f>IF($AH347="","",IF(INDEX('Per Invoice'!X$2:X$401,$AH347)="","",INDEX('Per Invoice'!X$2:X$401,$AH347)))</f>
        <v/>
      </c>
      <c r="Y347">
        <f>IF($AH347="","",IF(INDEX('Per Invoice'!Y$2:Y$401,$AH347)="","",INDEX('Per Invoice'!Y$2:Y$401,$AH347)))</f>
        <v/>
      </c>
      <c r="Z347" s="7">
        <f>IF($AH347="","",IF(INDEX('Per Invoice'!Z$2:Z$401,$AH347)="","",INDEX('Per Invoice'!Z$2:Z$401,$AH347)))</f>
        <v/>
      </c>
      <c r="AA347" s="7">
        <f>IF($AH347="","",IF(INDEX('Per Invoice'!AA$2:AA$401,$AH347)="","",INDEX('Per Invoice'!AA$2:AA$401,$AH347)))</f>
        <v/>
      </c>
      <c r="AB347" s="7">
        <f>IF($AH347="","",IF(INDEX('Per Invoice'!AB$2:AB$401,$AH347)="","",INDEX('Per Invoice'!AB$2:AB$401,$AH347)))</f>
        <v/>
      </c>
      <c r="AC347" s="7">
        <f>IF($AH347="","",IF(INDEX('Per Invoice'!AC$2:AC$401,$AH347)="","",INDEX('Per Invoice'!AC$2:AC$401,$AH347)))</f>
        <v/>
      </c>
      <c r="AD347" s="7">
        <f>IF($AH347="","",IF(INDEX('Per Invoice'!AD$2:AD$401,$AH347)="","",INDEX('Per Invoice'!AD$2:AD$401,$AH347)))</f>
        <v/>
      </c>
      <c r="AE347" s="7">
        <f>IF($AH347="","",IF(INDEX('Per Invoice'!AE$2:AE$401,$AH347)="","",INDEX('Per Invoice'!AE$2:AE$401,$AH347)))</f>
        <v/>
      </c>
      <c r="AF347">
        <f>IF($AH347="","",IF(INDEX('Per Invoice'!AF$2:AF$401,$AH347)="","",INDEX('Per Invoice'!AF$2:AF$401,$AH347)))</f>
        <v/>
      </c>
      <c r="AG347" s="7">
        <f>IF($AH347="","",IF(INDEX('Per Invoice'!AG$2:AG$401,$AH347)="","",INDEX('Per Invoice'!AG$2:AG$401,$AH347)))</f>
        <v/>
      </c>
      <c r="AH347" s="16">
        <f>IFERROR(MATCH(Settings!$C$26&amp;"|"&amp;ROWS($AH$2:$AH347),'Per Invoice'!$AI$2:$AI$401,0),"")</f>
        <v/>
      </c>
    </row>
    <row r="348">
      <c r="A348">
        <f>IF($AH348="","",IF(INDEX('Per Invoice'!A$2:A$401,$AH348)="","",INDEX('Per Invoice'!A$2:A$401,$AH348)))</f>
        <v/>
      </c>
      <c r="B348">
        <f>IF($AH348="","",IF(INDEX('Per Invoice'!B$2:B$401,$AH348)="","",INDEX('Per Invoice'!B$2:B$401,$AH348)))</f>
        <v/>
      </c>
      <c r="C348">
        <f>IF($AH348="","",IF(INDEX('Per Invoice'!C$2:C$401,$AH348)="","",INDEX('Per Invoice'!C$2:C$401,$AH348)))</f>
        <v/>
      </c>
      <c r="D348">
        <f>IF($AH348="","",IF(INDEX('Per Invoice'!D$2:D$401,$AH348)="","",INDEX('Per Invoice'!D$2:D$401,$AH348)))</f>
        <v/>
      </c>
      <c r="E348">
        <f>IF($AH348="","",IF(INDEX('Per Invoice'!E$2:E$401,$AH348)="","",INDEX('Per Invoice'!E$2:E$401,$AH348)))</f>
        <v/>
      </c>
      <c r="F348">
        <f>IF($AH348="","",IF(INDEX('Per Invoice'!F$2:F$401,$AH348)="","",INDEX('Per Invoice'!F$2:F$401,$AH348)))</f>
        <v/>
      </c>
      <c r="G348">
        <f>IF($AH348="","",IF(INDEX('Per Invoice'!G$2:G$401,$AH348)="","",INDEX('Per Invoice'!G$2:G$401,$AH348)))</f>
        <v/>
      </c>
      <c r="H348">
        <f>IF($AH348="","",IF(INDEX('Per Invoice'!H$2:H$401,$AH348)="","",INDEX('Per Invoice'!H$2:H$401,$AH348)))</f>
        <v/>
      </c>
      <c r="I348" s="14">
        <f>IF($AH348="","",IF(INDEX('Per Invoice'!I$2:I$401,$AH348)="","",INDEX('Per Invoice'!I$2:I$401,$AH348)))</f>
        <v/>
      </c>
      <c r="J348">
        <f>IF($AH348="","",IF(INDEX('Per Invoice'!J$2:J$401,$AH348)="","",INDEX('Per Invoice'!J$2:J$401,$AH348)))</f>
        <v/>
      </c>
      <c r="K348">
        <f>IF($AH348="","",IF(INDEX('Per Invoice'!K$2:K$401,$AH348)="","",INDEX('Per Invoice'!K$2:K$401,$AH348)))</f>
        <v/>
      </c>
      <c r="L348">
        <f>IF($AH348="","",IF(INDEX('Per Invoice'!L$2:L$401,$AH348)="","",INDEX('Per Invoice'!L$2:L$401,$AH348)))</f>
        <v/>
      </c>
      <c r="M348">
        <f>IF($AH348="","",IF(INDEX('Per Invoice'!M$2:M$401,$AH348)="","",INDEX('Per Invoice'!M$2:M$401,$AH348)))</f>
        <v/>
      </c>
      <c r="N348">
        <f>IF($AH348="","",IF(INDEX('Per Invoice'!N$2:N$401,$AH348)="","",INDEX('Per Invoice'!N$2:N$401,$AH348)))</f>
        <v/>
      </c>
      <c r="O348">
        <f>IF($AH348="","",IF(INDEX('Per Invoice'!O$2:O$401,$AH348)="","",INDEX('Per Invoice'!O$2:O$401,$AH348)))</f>
        <v/>
      </c>
      <c r="P348" s="7">
        <f>IF($AH348="","",IF(INDEX('Per Invoice'!P$2:P$401,$AH348)="","",INDEX('Per Invoice'!P$2:P$401,$AH348)))</f>
        <v/>
      </c>
      <c r="Q348">
        <f>IF($AH348="","",IF(INDEX('Per Invoice'!Q$2:Q$401,$AH348)="","",INDEX('Per Invoice'!Q$2:Q$401,$AH348)))</f>
        <v/>
      </c>
      <c r="R348">
        <f>IF($AH348="","",IF(INDEX('Per Invoice'!R$2:R$401,$AH348)="","",INDEX('Per Invoice'!R$2:R$401,$AH348)))</f>
        <v/>
      </c>
      <c r="S348">
        <f>IF($AH348="","",IF(INDEX('Per Invoice'!S$2:S$401,$AH348)="","",INDEX('Per Invoice'!S$2:S$401,$AH348)))</f>
        <v/>
      </c>
      <c r="T348" s="7">
        <f>IF($AH348="","",IF(INDEX('Per Invoice'!T$2:T$401,$AH348)="","",INDEX('Per Invoice'!T$2:T$401,$AH348)))</f>
        <v/>
      </c>
      <c r="U348" s="7">
        <f>IF($AH348="","",IF(INDEX('Per Invoice'!U$2:U$401,$AH348)="","",INDEX('Per Invoice'!U$2:U$401,$AH348)))</f>
        <v/>
      </c>
      <c r="V348">
        <f>IF($AH348="","",IF(INDEX('Per Invoice'!V$2:V$401,$AH348)="","",INDEX('Per Invoice'!V$2:V$401,$AH348)))</f>
        <v/>
      </c>
      <c r="W348" s="7">
        <f>IF($AH348="","",IF(INDEX('Per Invoice'!W$2:W$401,$AH348)="","",INDEX('Per Invoice'!W$2:W$401,$AH348)))</f>
        <v/>
      </c>
      <c r="X348" s="7">
        <f>IF($AH348="","",IF(INDEX('Per Invoice'!X$2:X$401,$AH348)="","",INDEX('Per Invoice'!X$2:X$401,$AH348)))</f>
        <v/>
      </c>
      <c r="Y348">
        <f>IF($AH348="","",IF(INDEX('Per Invoice'!Y$2:Y$401,$AH348)="","",INDEX('Per Invoice'!Y$2:Y$401,$AH348)))</f>
        <v/>
      </c>
      <c r="Z348" s="7">
        <f>IF($AH348="","",IF(INDEX('Per Invoice'!Z$2:Z$401,$AH348)="","",INDEX('Per Invoice'!Z$2:Z$401,$AH348)))</f>
        <v/>
      </c>
      <c r="AA348" s="7">
        <f>IF($AH348="","",IF(INDEX('Per Invoice'!AA$2:AA$401,$AH348)="","",INDEX('Per Invoice'!AA$2:AA$401,$AH348)))</f>
        <v/>
      </c>
      <c r="AB348" s="7">
        <f>IF($AH348="","",IF(INDEX('Per Invoice'!AB$2:AB$401,$AH348)="","",INDEX('Per Invoice'!AB$2:AB$401,$AH348)))</f>
        <v/>
      </c>
      <c r="AC348" s="7">
        <f>IF($AH348="","",IF(INDEX('Per Invoice'!AC$2:AC$401,$AH348)="","",INDEX('Per Invoice'!AC$2:AC$401,$AH348)))</f>
        <v/>
      </c>
      <c r="AD348" s="7">
        <f>IF($AH348="","",IF(INDEX('Per Invoice'!AD$2:AD$401,$AH348)="","",INDEX('Per Invoice'!AD$2:AD$401,$AH348)))</f>
        <v/>
      </c>
      <c r="AE348" s="7">
        <f>IF($AH348="","",IF(INDEX('Per Invoice'!AE$2:AE$401,$AH348)="","",INDEX('Per Invoice'!AE$2:AE$401,$AH348)))</f>
        <v/>
      </c>
      <c r="AF348">
        <f>IF($AH348="","",IF(INDEX('Per Invoice'!AF$2:AF$401,$AH348)="","",INDEX('Per Invoice'!AF$2:AF$401,$AH348)))</f>
        <v/>
      </c>
      <c r="AG348" s="7">
        <f>IF($AH348="","",IF(INDEX('Per Invoice'!AG$2:AG$401,$AH348)="","",INDEX('Per Invoice'!AG$2:AG$401,$AH348)))</f>
        <v/>
      </c>
      <c r="AH348" s="16">
        <f>IFERROR(MATCH(Settings!$C$26&amp;"|"&amp;ROWS($AH$2:$AH348),'Per Invoice'!$AI$2:$AI$401,0),"")</f>
        <v/>
      </c>
    </row>
    <row r="349">
      <c r="A349">
        <f>IF($AH349="","",IF(INDEX('Per Invoice'!A$2:A$401,$AH349)="","",INDEX('Per Invoice'!A$2:A$401,$AH349)))</f>
        <v/>
      </c>
      <c r="B349">
        <f>IF($AH349="","",IF(INDEX('Per Invoice'!B$2:B$401,$AH349)="","",INDEX('Per Invoice'!B$2:B$401,$AH349)))</f>
        <v/>
      </c>
      <c r="C349">
        <f>IF($AH349="","",IF(INDEX('Per Invoice'!C$2:C$401,$AH349)="","",INDEX('Per Invoice'!C$2:C$401,$AH349)))</f>
        <v/>
      </c>
      <c r="D349">
        <f>IF($AH349="","",IF(INDEX('Per Invoice'!D$2:D$401,$AH349)="","",INDEX('Per Invoice'!D$2:D$401,$AH349)))</f>
        <v/>
      </c>
      <c r="E349">
        <f>IF($AH349="","",IF(INDEX('Per Invoice'!E$2:E$401,$AH349)="","",INDEX('Per Invoice'!E$2:E$401,$AH349)))</f>
        <v/>
      </c>
      <c r="F349">
        <f>IF($AH349="","",IF(INDEX('Per Invoice'!F$2:F$401,$AH349)="","",INDEX('Per Invoice'!F$2:F$401,$AH349)))</f>
        <v/>
      </c>
      <c r="G349">
        <f>IF($AH349="","",IF(INDEX('Per Invoice'!G$2:G$401,$AH349)="","",INDEX('Per Invoice'!G$2:G$401,$AH349)))</f>
        <v/>
      </c>
      <c r="H349">
        <f>IF($AH349="","",IF(INDEX('Per Invoice'!H$2:H$401,$AH349)="","",INDEX('Per Invoice'!H$2:H$401,$AH349)))</f>
        <v/>
      </c>
      <c r="I349" s="14">
        <f>IF($AH349="","",IF(INDEX('Per Invoice'!I$2:I$401,$AH349)="","",INDEX('Per Invoice'!I$2:I$401,$AH349)))</f>
        <v/>
      </c>
      <c r="J349">
        <f>IF($AH349="","",IF(INDEX('Per Invoice'!J$2:J$401,$AH349)="","",INDEX('Per Invoice'!J$2:J$401,$AH349)))</f>
        <v/>
      </c>
      <c r="K349">
        <f>IF($AH349="","",IF(INDEX('Per Invoice'!K$2:K$401,$AH349)="","",INDEX('Per Invoice'!K$2:K$401,$AH349)))</f>
        <v/>
      </c>
      <c r="L349">
        <f>IF($AH349="","",IF(INDEX('Per Invoice'!L$2:L$401,$AH349)="","",INDEX('Per Invoice'!L$2:L$401,$AH349)))</f>
        <v/>
      </c>
      <c r="M349">
        <f>IF($AH349="","",IF(INDEX('Per Invoice'!M$2:M$401,$AH349)="","",INDEX('Per Invoice'!M$2:M$401,$AH349)))</f>
        <v/>
      </c>
      <c r="N349">
        <f>IF($AH349="","",IF(INDEX('Per Invoice'!N$2:N$401,$AH349)="","",INDEX('Per Invoice'!N$2:N$401,$AH349)))</f>
        <v/>
      </c>
      <c r="O349">
        <f>IF($AH349="","",IF(INDEX('Per Invoice'!O$2:O$401,$AH349)="","",INDEX('Per Invoice'!O$2:O$401,$AH349)))</f>
        <v/>
      </c>
      <c r="P349" s="7">
        <f>IF($AH349="","",IF(INDEX('Per Invoice'!P$2:P$401,$AH349)="","",INDEX('Per Invoice'!P$2:P$401,$AH349)))</f>
        <v/>
      </c>
      <c r="Q349">
        <f>IF($AH349="","",IF(INDEX('Per Invoice'!Q$2:Q$401,$AH349)="","",INDEX('Per Invoice'!Q$2:Q$401,$AH349)))</f>
        <v/>
      </c>
      <c r="R349">
        <f>IF($AH349="","",IF(INDEX('Per Invoice'!R$2:R$401,$AH349)="","",INDEX('Per Invoice'!R$2:R$401,$AH349)))</f>
        <v/>
      </c>
      <c r="S349">
        <f>IF($AH349="","",IF(INDEX('Per Invoice'!S$2:S$401,$AH349)="","",INDEX('Per Invoice'!S$2:S$401,$AH349)))</f>
        <v/>
      </c>
      <c r="T349" s="7">
        <f>IF($AH349="","",IF(INDEX('Per Invoice'!T$2:T$401,$AH349)="","",INDEX('Per Invoice'!T$2:T$401,$AH349)))</f>
        <v/>
      </c>
      <c r="U349" s="7">
        <f>IF($AH349="","",IF(INDEX('Per Invoice'!U$2:U$401,$AH349)="","",INDEX('Per Invoice'!U$2:U$401,$AH349)))</f>
        <v/>
      </c>
      <c r="V349">
        <f>IF($AH349="","",IF(INDEX('Per Invoice'!V$2:V$401,$AH349)="","",INDEX('Per Invoice'!V$2:V$401,$AH349)))</f>
        <v/>
      </c>
      <c r="W349" s="7">
        <f>IF($AH349="","",IF(INDEX('Per Invoice'!W$2:W$401,$AH349)="","",INDEX('Per Invoice'!W$2:W$401,$AH349)))</f>
        <v/>
      </c>
      <c r="X349" s="7">
        <f>IF($AH349="","",IF(INDEX('Per Invoice'!X$2:X$401,$AH349)="","",INDEX('Per Invoice'!X$2:X$401,$AH349)))</f>
        <v/>
      </c>
      <c r="Y349">
        <f>IF($AH349="","",IF(INDEX('Per Invoice'!Y$2:Y$401,$AH349)="","",INDEX('Per Invoice'!Y$2:Y$401,$AH349)))</f>
        <v/>
      </c>
      <c r="Z349" s="7">
        <f>IF($AH349="","",IF(INDEX('Per Invoice'!Z$2:Z$401,$AH349)="","",INDEX('Per Invoice'!Z$2:Z$401,$AH349)))</f>
        <v/>
      </c>
      <c r="AA349" s="7">
        <f>IF($AH349="","",IF(INDEX('Per Invoice'!AA$2:AA$401,$AH349)="","",INDEX('Per Invoice'!AA$2:AA$401,$AH349)))</f>
        <v/>
      </c>
      <c r="AB349" s="7">
        <f>IF($AH349="","",IF(INDEX('Per Invoice'!AB$2:AB$401,$AH349)="","",INDEX('Per Invoice'!AB$2:AB$401,$AH349)))</f>
        <v/>
      </c>
      <c r="AC349" s="7">
        <f>IF($AH349="","",IF(INDEX('Per Invoice'!AC$2:AC$401,$AH349)="","",INDEX('Per Invoice'!AC$2:AC$401,$AH349)))</f>
        <v/>
      </c>
      <c r="AD349" s="7">
        <f>IF($AH349="","",IF(INDEX('Per Invoice'!AD$2:AD$401,$AH349)="","",INDEX('Per Invoice'!AD$2:AD$401,$AH349)))</f>
        <v/>
      </c>
      <c r="AE349" s="7">
        <f>IF($AH349="","",IF(INDEX('Per Invoice'!AE$2:AE$401,$AH349)="","",INDEX('Per Invoice'!AE$2:AE$401,$AH349)))</f>
        <v/>
      </c>
      <c r="AF349">
        <f>IF($AH349="","",IF(INDEX('Per Invoice'!AF$2:AF$401,$AH349)="","",INDEX('Per Invoice'!AF$2:AF$401,$AH349)))</f>
        <v/>
      </c>
      <c r="AG349" s="7">
        <f>IF($AH349="","",IF(INDEX('Per Invoice'!AG$2:AG$401,$AH349)="","",INDEX('Per Invoice'!AG$2:AG$401,$AH349)))</f>
        <v/>
      </c>
      <c r="AH349" s="16">
        <f>IFERROR(MATCH(Settings!$C$26&amp;"|"&amp;ROWS($AH$2:$AH349),'Per Invoice'!$AI$2:$AI$401,0),"")</f>
        <v/>
      </c>
    </row>
    <row r="350">
      <c r="A350">
        <f>IF($AH350="","",IF(INDEX('Per Invoice'!A$2:A$401,$AH350)="","",INDEX('Per Invoice'!A$2:A$401,$AH350)))</f>
        <v/>
      </c>
      <c r="B350">
        <f>IF($AH350="","",IF(INDEX('Per Invoice'!B$2:B$401,$AH350)="","",INDEX('Per Invoice'!B$2:B$401,$AH350)))</f>
        <v/>
      </c>
      <c r="C350">
        <f>IF($AH350="","",IF(INDEX('Per Invoice'!C$2:C$401,$AH350)="","",INDEX('Per Invoice'!C$2:C$401,$AH350)))</f>
        <v/>
      </c>
      <c r="D350">
        <f>IF($AH350="","",IF(INDEX('Per Invoice'!D$2:D$401,$AH350)="","",INDEX('Per Invoice'!D$2:D$401,$AH350)))</f>
        <v/>
      </c>
      <c r="E350">
        <f>IF($AH350="","",IF(INDEX('Per Invoice'!E$2:E$401,$AH350)="","",INDEX('Per Invoice'!E$2:E$401,$AH350)))</f>
        <v/>
      </c>
      <c r="F350">
        <f>IF($AH350="","",IF(INDEX('Per Invoice'!F$2:F$401,$AH350)="","",INDEX('Per Invoice'!F$2:F$401,$AH350)))</f>
        <v/>
      </c>
      <c r="G350">
        <f>IF($AH350="","",IF(INDEX('Per Invoice'!G$2:G$401,$AH350)="","",INDEX('Per Invoice'!G$2:G$401,$AH350)))</f>
        <v/>
      </c>
      <c r="H350">
        <f>IF($AH350="","",IF(INDEX('Per Invoice'!H$2:H$401,$AH350)="","",INDEX('Per Invoice'!H$2:H$401,$AH350)))</f>
        <v/>
      </c>
      <c r="I350" s="14">
        <f>IF($AH350="","",IF(INDEX('Per Invoice'!I$2:I$401,$AH350)="","",INDEX('Per Invoice'!I$2:I$401,$AH350)))</f>
        <v/>
      </c>
      <c r="J350">
        <f>IF($AH350="","",IF(INDEX('Per Invoice'!J$2:J$401,$AH350)="","",INDEX('Per Invoice'!J$2:J$401,$AH350)))</f>
        <v/>
      </c>
      <c r="K350">
        <f>IF($AH350="","",IF(INDEX('Per Invoice'!K$2:K$401,$AH350)="","",INDEX('Per Invoice'!K$2:K$401,$AH350)))</f>
        <v/>
      </c>
      <c r="L350">
        <f>IF($AH350="","",IF(INDEX('Per Invoice'!L$2:L$401,$AH350)="","",INDEX('Per Invoice'!L$2:L$401,$AH350)))</f>
        <v/>
      </c>
      <c r="M350">
        <f>IF($AH350="","",IF(INDEX('Per Invoice'!M$2:M$401,$AH350)="","",INDEX('Per Invoice'!M$2:M$401,$AH350)))</f>
        <v/>
      </c>
      <c r="N350">
        <f>IF($AH350="","",IF(INDEX('Per Invoice'!N$2:N$401,$AH350)="","",INDEX('Per Invoice'!N$2:N$401,$AH350)))</f>
        <v/>
      </c>
      <c r="O350">
        <f>IF($AH350="","",IF(INDEX('Per Invoice'!O$2:O$401,$AH350)="","",INDEX('Per Invoice'!O$2:O$401,$AH350)))</f>
        <v/>
      </c>
      <c r="P350" s="7">
        <f>IF($AH350="","",IF(INDEX('Per Invoice'!P$2:P$401,$AH350)="","",INDEX('Per Invoice'!P$2:P$401,$AH350)))</f>
        <v/>
      </c>
      <c r="Q350">
        <f>IF($AH350="","",IF(INDEX('Per Invoice'!Q$2:Q$401,$AH350)="","",INDEX('Per Invoice'!Q$2:Q$401,$AH350)))</f>
        <v/>
      </c>
      <c r="R350">
        <f>IF($AH350="","",IF(INDEX('Per Invoice'!R$2:R$401,$AH350)="","",INDEX('Per Invoice'!R$2:R$401,$AH350)))</f>
        <v/>
      </c>
      <c r="S350">
        <f>IF($AH350="","",IF(INDEX('Per Invoice'!S$2:S$401,$AH350)="","",INDEX('Per Invoice'!S$2:S$401,$AH350)))</f>
        <v/>
      </c>
      <c r="T350" s="7">
        <f>IF($AH350="","",IF(INDEX('Per Invoice'!T$2:T$401,$AH350)="","",INDEX('Per Invoice'!T$2:T$401,$AH350)))</f>
        <v/>
      </c>
      <c r="U350" s="7">
        <f>IF($AH350="","",IF(INDEX('Per Invoice'!U$2:U$401,$AH350)="","",INDEX('Per Invoice'!U$2:U$401,$AH350)))</f>
        <v/>
      </c>
      <c r="V350">
        <f>IF($AH350="","",IF(INDEX('Per Invoice'!V$2:V$401,$AH350)="","",INDEX('Per Invoice'!V$2:V$401,$AH350)))</f>
        <v/>
      </c>
      <c r="W350" s="7">
        <f>IF($AH350="","",IF(INDEX('Per Invoice'!W$2:W$401,$AH350)="","",INDEX('Per Invoice'!W$2:W$401,$AH350)))</f>
        <v/>
      </c>
      <c r="X350" s="7">
        <f>IF($AH350="","",IF(INDEX('Per Invoice'!X$2:X$401,$AH350)="","",INDEX('Per Invoice'!X$2:X$401,$AH350)))</f>
        <v/>
      </c>
      <c r="Y350">
        <f>IF($AH350="","",IF(INDEX('Per Invoice'!Y$2:Y$401,$AH350)="","",INDEX('Per Invoice'!Y$2:Y$401,$AH350)))</f>
        <v/>
      </c>
      <c r="Z350" s="7">
        <f>IF($AH350="","",IF(INDEX('Per Invoice'!Z$2:Z$401,$AH350)="","",INDEX('Per Invoice'!Z$2:Z$401,$AH350)))</f>
        <v/>
      </c>
      <c r="AA350" s="7">
        <f>IF($AH350="","",IF(INDEX('Per Invoice'!AA$2:AA$401,$AH350)="","",INDEX('Per Invoice'!AA$2:AA$401,$AH350)))</f>
        <v/>
      </c>
      <c r="AB350" s="7">
        <f>IF($AH350="","",IF(INDEX('Per Invoice'!AB$2:AB$401,$AH350)="","",INDEX('Per Invoice'!AB$2:AB$401,$AH350)))</f>
        <v/>
      </c>
      <c r="AC350" s="7">
        <f>IF($AH350="","",IF(INDEX('Per Invoice'!AC$2:AC$401,$AH350)="","",INDEX('Per Invoice'!AC$2:AC$401,$AH350)))</f>
        <v/>
      </c>
      <c r="AD350" s="7">
        <f>IF($AH350="","",IF(INDEX('Per Invoice'!AD$2:AD$401,$AH350)="","",INDEX('Per Invoice'!AD$2:AD$401,$AH350)))</f>
        <v/>
      </c>
      <c r="AE350" s="7">
        <f>IF($AH350="","",IF(INDEX('Per Invoice'!AE$2:AE$401,$AH350)="","",INDEX('Per Invoice'!AE$2:AE$401,$AH350)))</f>
        <v/>
      </c>
      <c r="AF350">
        <f>IF($AH350="","",IF(INDEX('Per Invoice'!AF$2:AF$401,$AH350)="","",INDEX('Per Invoice'!AF$2:AF$401,$AH350)))</f>
        <v/>
      </c>
      <c r="AG350" s="7">
        <f>IF($AH350="","",IF(INDEX('Per Invoice'!AG$2:AG$401,$AH350)="","",INDEX('Per Invoice'!AG$2:AG$401,$AH350)))</f>
        <v/>
      </c>
      <c r="AH350" s="16">
        <f>IFERROR(MATCH(Settings!$C$26&amp;"|"&amp;ROWS($AH$2:$AH350),'Per Invoice'!$AI$2:$AI$401,0),"")</f>
        <v/>
      </c>
    </row>
    <row r="351">
      <c r="A351">
        <f>IF($AH351="","",IF(INDEX('Per Invoice'!A$2:A$401,$AH351)="","",INDEX('Per Invoice'!A$2:A$401,$AH351)))</f>
        <v/>
      </c>
      <c r="B351">
        <f>IF($AH351="","",IF(INDEX('Per Invoice'!B$2:B$401,$AH351)="","",INDEX('Per Invoice'!B$2:B$401,$AH351)))</f>
        <v/>
      </c>
      <c r="C351">
        <f>IF($AH351="","",IF(INDEX('Per Invoice'!C$2:C$401,$AH351)="","",INDEX('Per Invoice'!C$2:C$401,$AH351)))</f>
        <v/>
      </c>
      <c r="D351">
        <f>IF($AH351="","",IF(INDEX('Per Invoice'!D$2:D$401,$AH351)="","",INDEX('Per Invoice'!D$2:D$401,$AH351)))</f>
        <v/>
      </c>
      <c r="E351">
        <f>IF($AH351="","",IF(INDEX('Per Invoice'!E$2:E$401,$AH351)="","",INDEX('Per Invoice'!E$2:E$401,$AH351)))</f>
        <v/>
      </c>
      <c r="F351">
        <f>IF($AH351="","",IF(INDEX('Per Invoice'!F$2:F$401,$AH351)="","",INDEX('Per Invoice'!F$2:F$401,$AH351)))</f>
        <v/>
      </c>
      <c r="G351">
        <f>IF($AH351="","",IF(INDEX('Per Invoice'!G$2:G$401,$AH351)="","",INDEX('Per Invoice'!G$2:G$401,$AH351)))</f>
        <v/>
      </c>
      <c r="H351">
        <f>IF($AH351="","",IF(INDEX('Per Invoice'!H$2:H$401,$AH351)="","",INDEX('Per Invoice'!H$2:H$401,$AH351)))</f>
        <v/>
      </c>
      <c r="I351" s="14">
        <f>IF($AH351="","",IF(INDEX('Per Invoice'!I$2:I$401,$AH351)="","",INDEX('Per Invoice'!I$2:I$401,$AH351)))</f>
        <v/>
      </c>
      <c r="J351">
        <f>IF($AH351="","",IF(INDEX('Per Invoice'!J$2:J$401,$AH351)="","",INDEX('Per Invoice'!J$2:J$401,$AH351)))</f>
        <v/>
      </c>
      <c r="K351">
        <f>IF($AH351="","",IF(INDEX('Per Invoice'!K$2:K$401,$AH351)="","",INDEX('Per Invoice'!K$2:K$401,$AH351)))</f>
        <v/>
      </c>
      <c r="L351">
        <f>IF($AH351="","",IF(INDEX('Per Invoice'!L$2:L$401,$AH351)="","",INDEX('Per Invoice'!L$2:L$401,$AH351)))</f>
        <v/>
      </c>
      <c r="M351">
        <f>IF($AH351="","",IF(INDEX('Per Invoice'!M$2:M$401,$AH351)="","",INDEX('Per Invoice'!M$2:M$401,$AH351)))</f>
        <v/>
      </c>
      <c r="N351">
        <f>IF($AH351="","",IF(INDEX('Per Invoice'!N$2:N$401,$AH351)="","",INDEX('Per Invoice'!N$2:N$401,$AH351)))</f>
        <v/>
      </c>
      <c r="O351">
        <f>IF($AH351="","",IF(INDEX('Per Invoice'!O$2:O$401,$AH351)="","",INDEX('Per Invoice'!O$2:O$401,$AH351)))</f>
        <v/>
      </c>
      <c r="P351" s="7">
        <f>IF($AH351="","",IF(INDEX('Per Invoice'!P$2:P$401,$AH351)="","",INDEX('Per Invoice'!P$2:P$401,$AH351)))</f>
        <v/>
      </c>
      <c r="Q351">
        <f>IF($AH351="","",IF(INDEX('Per Invoice'!Q$2:Q$401,$AH351)="","",INDEX('Per Invoice'!Q$2:Q$401,$AH351)))</f>
        <v/>
      </c>
      <c r="R351">
        <f>IF($AH351="","",IF(INDEX('Per Invoice'!R$2:R$401,$AH351)="","",INDEX('Per Invoice'!R$2:R$401,$AH351)))</f>
        <v/>
      </c>
      <c r="S351">
        <f>IF($AH351="","",IF(INDEX('Per Invoice'!S$2:S$401,$AH351)="","",INDEX('Per Invoice'!S$2:S$401,$AH351)))</f>
        <v/>
      </c>
      <c r="T351" s="7">
        <f>IF($AH351="","",IF(INDEX('Per Invoice'!T$2:T$401,$AH351)="","",INDEX('Per Invoice'!T$2:T$401,$AH351)))</f>
        <v/>
      </c>
      <c r="U351" s="7">
        <f>IF($AH351="","",IF(INDEX('Per Invoice'!U$2:U$401,$AH351)="","",INDEX('Per Invoice'!U$2:U$401,$AH351)))</f>
        <v/>
      </c>
      <c r="V351">
        <f>IF($AH351="","",IF(INDEX('Per Invoice'!V$2:V$401,$AH351)="","",INDEX('Per Invoice'!V$2:V$401,$AH351)))</f>
        <v/>
      </c>
      <c r="W351" s="7">
        <f>IF($AH351="","",IF(INDEX('Per Invoice'!W$2:W$401,$AH351)="","",INDEX('Per Invoice'!W$2:W$401,$AH351)))</f>
        <v/>
      </c>
      <c r="X351" s="7">
        <f>IF($AH351="","",IF(INDEX('Per Invoice'!X$2:X$401,$AH351)="","",INDEX('Per Invoice'!X$2:X$401,$AH351)))</f>
        <v/>
      </c>
      <c r="Y351">
        <f>IF($AH351="","",IF(INDEX('Per Invoice'!Y$2:Y$401,$AH351)="","",INDEX('Per Invoice'!Y$2:Y$401,$AH351)))</f>
        <v/>
      </c>
      <c r="Z351" s="7">
        <f>IF($AH351="","",IF(INDEX('Per Invoice'!Z$2:Z$401,$AH351)="","",INDEX('Per Invoice'!Z$2:Z$401,$AH351)))</f>
        <v/>
      </c>
      <c r="AA351" s="7">
        <f>IF($AH351="","",IF(INDEX('Per Invoice'!AA$2:AA$401,$AH351)="","",INDEX('Per Invoice'!AA$2:AA$401,$AH351)))</f>
        <v/>
      </c>
      <c r="AB351" s="7">
        <f>IF($AH351="","",IF(INDEX('Per Invoice'!AB$2:AB$401,$AH351)="","",INDEX('Per Invoice'!AB$2:AB$401,$AH351)))</f>
        <v/>
      </c>
      <c r="AC351" s="7">
        <f>IF($AH351="","",IF(INDEX('Per Invoice'!AC$2:AC$401,$AH351)="","",INDEX('Per Invoice'!AC$2:AC$401,$AH351)))</f>
        <v/>
      </c>
      <c r="AD351" s="7">
        <f>IF($AH351="","",IF(INDEX('Per Invoice'!AD$2:AD$401,$AH351)="","",INDEX('Per Invoice'!AD$2:AD$401,$AH351)))</f>
        <v/>
      </c>
      <c r="AE351" s="7">
        <f>IF($AH351="","",IF(INDEX('Per Invoice'!AE$2:AE$401,$AH351)="","",INDEX('Per Invoice'!AE$2:AE$401,$AH351)))</f>
        <v/>
      </c>
      <c r="AF351">
        <f>IF($AH351="","",IF(INDEX('Per Invoice'!AF$2:AF$401,$AH351)="","",INDEX('Per Invoice'!AF$2:AF$401,$AH351)))</f>
        <v/>
      </c>
      <c r="AG351" s="7">
        <f>IF($AH351="","",IF(INDEX('Per Invoice'!AG$2:AG$401,$AH351)="","",INDEX('Per Invoice'!AG$2:AG$401,$AH351)))</f>
        <v/>
      </c>
      <c r="AH351" s="16">
        <f>IFERROR(MATCH(Settings!$C$26&amp;"|"&amp;ROWS($AH$2:$AH351),'Per Invoice'!$AI$2:$AI$401,0),"")</f>
        <v/>
      </c>
    </row>
    <row r="352">
      <c r="A352">
        <f>IF($AH352="","",IF(INDEX('Per Invoice'!A$2:A$401,$AH352)="","",INDEX('Per Invoice'!A$2:A$401,$AH352)))</f>
        <v/>
      </c>
      <c r="B352">
        <f>IF($AH352="","",IF(INDEX('Per Invoice'!B$2:B$401,$AH352)="","",INDEX('Per Invoice'!B$2:B$401,$AH352)))</f>
        <v/>
      </c>
      <c r="C352">
        <f>IF($AH352="","",IF(INDEX('Per Invoice'!C$2:C$401,$AH352)="","",INDEX('Per Invoice'!C$2:C$401,$AH352)))</f>
        <v/>
      </c>
      <c r="D352">
        <f>IF($AH352="","",IF(INDEX('Per Invoice'!D$2:D$401,$AH352)="","",INDEX('Per Invoice'!D$2:D$401,$AH352)))</f>
        <v/>
      </c>
      <c r="E352">
        <f>IF($AH352="","",IF(INDEX('Per Invoice'!E$2:E$401,$AH352)="","",INDEX('Per Invoice'!E$2:E$401,$AH352)))</f>
        <v/>
      </c>
      <c r="F352">
        <f>IF($AH352="","",IF(INDEX('Per Invoice'!F$2:F$401,$AH352)="","",INDEX('Per Invoice'!F$2:F$401,$AH352)))</f>
        <v/>
      </c>
      <c r="G352">
        <f>IF($AH352="","",IF(INDEX('Per Invoice'!G$2:G$401,$AH352)="","",INDEX('Per Invoice'!G$2:G$401,$AH352)))</f>
        <v/>
      </c>
      <c r="H352">
        <f>IF($AH352="","",IF(INDEX('Per Invoice'!H$2:H$401,$AH352)="","",INDEX('Per Invoice'!H$2:H$401,$AH352)))</f>
        <v/>
      </c>
      <c r="I352" s="14">
        <f>IF($AH352="","",IF(INDEX('Per Invoice'!I$2:I$401,$AH352)="","",INDEX('Per Invoice'!I$2:I$401,$AH352)))</f>
        <v/>
      </c>
      <c r="J352">
        <f>IF($AH352="","",IF(INDEX('Per Invoice'!J$2:J$401,$AH352)="","",INDEX('Per Invoice'!J$2:J$401,$AH352)))</f>
        <v/>
      </c>
      <c r="K352">
        <f>IF($AH352="","",IF(INDEX('Per Invoice'!K$2:K$401,$AH352)="","",INDEX('Per Invoice'!K$2:K$401,$AH352)))</f>
        <v/>
      </c>
      <c r="L352">
        <f>IF($AH352="","",IF(INDEX('Per Invoice'!L$2:L$401,$AH352)="","",INDEX('Per Invoice'!L$2:L$401,$AH352)))</f>
        <v/>
      </c>
      <c r="M352">
        <f>IF($AH352="","",IF(INDEX('Per Invoice'!M$2:M$401,$AH352)="","",INDEX('Per Invoice'!M$2:M$401,$AH352)))</f>
        <v/>
      </c>
      <c r="N352">
        <f>IF($AH352="","",IF(INDEX('Per Invoice'!N$2:N$401,$AH352)="","",INDEX('Per Invoice'!N$2:N$401,$AH352)))</f>
        <v/>
      </c>
      <c r="O352">
        <f>IF($AH352="","",IF(INDEX('Per Invoice'!O$2:O$401,$AH352)="","",INDEX('Per Invoice'!O$2:O$401,$AH352)))</f>
        <v/>
      </c>
      <c r="P352" s="7">
        <f>IF($AH352="","",IF(INDEX('Per Invoice'!P$2:P$401,$AH352)="","",INDEX('Per Invoice'!P$2:P$401,$AH352)))</f>
        <v/>
      </c>
      <c r="Q352">
        <f>IF($AH352="","",IF(INDEX('Per Invoice'!Q$2:Q$401,$AH352)="","",INDEX('Per Invoice'!Q$2:Q$401,$AH352)))</f>
        <v/>
      </c>
      <c r="R352">
        <f>IF($AH352="","",IF(INDEX('Per Invoice'!R$2:R$401,$AH352)="","",INDEX('Per Invoice'!R$2:R$401,$AH352)))</f>
        <v/>
      </c>
      <c r="S352">
        <f>IF($AH352="","",IF(INDEX('Per Invoice'!S$2:S$401,$AH352)="","",INDEX('Per Invoice'!S$2:S$401,$AH352)))</f>
        <v/>
      </c>
      <c r="T352" s="7">
        <f>IF($AH352="","",IF(INDEX('Per Invoice'!T$2:T$401,$AH352)="","",INDEX('Per Invoice'!T$2:T$401,$AH352)))</f>
        <v/>
      </c>
      <c r="U352" s="7">
        <f>IF($AH352="","",IF(INDEX('Per Invoice'!U$2:U$401,$AH352)="","",INDEX('Per Invoice'!U$2:U$401,$AH352)))</f>
        <v/>
      </c>
      <c r="V352">
        <f>IF($AH352="","",IF(INDEX('Per Invoice'!V$2:V$401,$AH352)="","",INDEX('Per Invoice'!V$2:V$401,$AH352)))</f>
        <v/>
      </c>
      <c r="W352" s="7">
        <f>IF($AH352="","",IF(INDEX('Per Invoice'!W$2:W$401,$AH352)="","",INDEX('Per Invoice'!W$2:W$401,$AH352)))</f>
        <v/>
      </c>
      <c r="X352" s="7">
        <f>IF($AH352="","",IF(INDEX('Per Invoice'!X$2:X$401,$AH352)="","",INDEX('Per Invoice'!X$2:X$401,$AH352)))</f>
        <v/>
      </c>
      <c r="Y352">
        <f>IF($AH352="","",IF(INDEX('Per Invoice'!Y$2:Y$401,$AH352)="","",INDEX('Per Invoice'!Y$2:Y$401,$AH352)))</f>
        <v/>
      </c>
      <c r="Z352" s="7">
        <f>IF($AH352="","",IF(INDEX('Per Invoice'!Z$2:Z$401,$AH352)="","",INDEX('Per Invoice'!Z$2:Z$401,$AH352)))</f>
        <v/>
      </c>
      <c r="AA352" s="7">
        <f>IF($AH352="","",IF(INDEX('Per Invoice'!AA$2:AA$401,$AH352)="","",INDEX('Per Invoice'!AA$2:AA$401,$AH352)))</f>
        <v/>
      </c>
      <c r="AB352" s="7">
        <f>IF($AH352="","",IF(INDEX('Per Invoice'!AB$2:AB$401,$AH352)="","",INDEX('Per Invoice'!AB$2:AB$401,$AH352)))</f>
        <v/>
      </c>
      <c r="AC352" s="7">
        <f>IF($AH352="","",IF(INDEX('Per Invoice'!AC$2:AC$401,$AH352)="","",INDEX('Per Invoice'!AC$2:AC$401,$AH352)))</f>
        <v/>
      </c>
      <c r="AD352" s="7">
        <f>IF($AH352="","",IF(INDEX('Per Invoice'!AD$2:AD$401,$AH352)="","",INDEX('Per Invoice'!AD$2:AD$401,$AH352)))</f>
        <v/>
      </c>
      <c r="AE352" s="7">
        <f>IF($AH352="","",IF(INDEX('Per Invoice'!AE$2:AE$401,$AH352)="","",INDEX('Per Invoice'!AE$2:AE$401,$AH352)))</f>
        <v/>
      </c>
      <c r="AF352">
        <f>IF($AH352="","",IF(INDEX('Per Invoice'!AF$2:AF$401,$AH352)="","",INDEX('Per Invoice'!AF$2:AF$401,$AH352)))</f>
        <v/>
      </c>
      <c r="AG352" s="7">
        <f>IF($AH352="","",IF(INDEX('Per Invoice'!AG$2:AG$401,$AH352)="","",INDEX('Per Invoice'!AG$2:AG$401,$AH352)))</f>
        <v/>
      </c>
      <c r="AH352" s="16">
        <f>IFERROR(MATCH(Settings!$C$26&amp;"|"&amp;ROWS($AH$2:$AH352),'Per Invoice'!$AI$2:$AI$401,0),"")</f>
        <v/>
      </c>
    </row>
    <row r="353">
      <c r="A353">
        <f>IF($AH353="","",IF(INDEX('Per Invoice'!A$2:A$401,$AH353)="","",INDEX('Per Invoice'!A$2:A$401,$AH353)))</f>
        <v/>
      </c>
      <c r="B353">
        <f>IF($AH353="","",IF(INDEX('Per Invoice'!B$2:B$401,$AH353)="","",INDEX('Per Invoice'!B$2:B$401,$AH353)))</f>
        <v/>
      </c>
      <c r="C353">
        <f>IF($AH353="","",IF(INDEX('Per Invoice'!C$2:C$401,$AH353)="","",INDEX('Per Invoice'!C$2:C$401,$AH353)))</f>
        <v/>
      </c>
      <c r="D353">
        <f>IF($AH353="","",IF(INDEX('Per Invoice'!D$2:D$401,$AH353)="","",INDEX('Per Invoice'!D$2:D$401,$AH353)))</f>
        <v/>
      </c>
      <c r="E353">
        <f>IF($AH353="","",IF(INDEX('Per Invoice'!E$2:E$401,$AH353)="","",INDEX('Per Invoice'!E$2:E$401,$AH353)))</f>
        <v/>
      </c>
      <c r="F353">
        <f>IF($AH353="","",IF(INDEX('Per Invoice'!F$2:F$401,$AH353)="","",INDEX('Per Invoice'!F$2:F$401,$AH353)))</f>
        <v/>
      </c>
      <c r="G353">
        <f>IF($AH353="","",IF(INDEX('Per Invoice'!G$2:G$401,$AH353)="","",INDEX('Per Invoice'!G$2:G$401,$AH353)))</f>
        <v/>
      </c>
      <c r="H353">
        <f>IF($AH353="","",IF(INDEX('Per Invoice'!H$2:H$401,$AH353)="","",INDEX('Per Invoice'!H$2:H$401,$AH353)))</f>
        <v/>
      </c>
      <c r="I353" s="14">
        <f>IF($AH353="","",IF(INDEX('Per Invoice'!I$2:I$401,$AH353)="","",INDEX('Per Invoice'!I$2:I$401,$AH353)))</f>
        <v/>
      </c>
      <c r="J353">
        <f>IF($AH353="","",IF(INDEX('Per Invoice'!J$2:J$401,$AH353)="","",INDEX('Per Invoice'!J$2:J$401,$AH353)))</f>
        <v/>
      </c>
      <c r="K353">
        <f>IF($AH353="","",IF(INDEX('Per Invoice'!K$2:K$401,$AH353)="","",INDEX('Per Invoice'!K$2:K$401,$AH353)))</f>
        <v/>
      </c>
      <c r="L353">
        <f>IF($AH353="","",IF(INDEX('Per Invoice'!L$2:L$401,$AH353)="","",INDEX('Per Invoice'!L$2:L$401,$AH353)))</f>
        <v/>
      </c>
      <c r="M353">
        <f>IF($AH353="","",IF(INDEX('Per Invoice'!M$2:M$401,$AH353)="","",INDEX('Per Invoice'!M$2:M$401,$AH353)))</f>
        <v/>
      </c>
      <c r="N353">
        <f>IF($AH353="","",IF(INDEX('Per Invoice'!N$2:N$401,$AH353)="","",INDEX('Per Invoice'!N$2:N$401,$AH353)))</f>
        <v/>
      </c>
      <c r="O353">
        <f>IF($AH353="","",IF(INDEX('Per Invoice'!O$2:O$401,$AH353)="","",INDEX('Per Invoice'!O$2:O$401,$AH353)))</f>
        <v/>
      </c>
      <c r="P353" s="7">
        <f>IF($AH353="","",IF(INDEX('Per Invoice'!P$2:P$401,$AH353)="","",INDEX('Per Invoice'!P$2:P$401,$AH353)))</f>
        <v/>
      </c>
      <c r="Q353">
        <f>IF($AH353="","",IF(INDEX('Per Invoice'!Q$2:Q$401,$AH353)="","",INDEX('Per Invoice'!Q$2:Q$401,$AH353)))</f>
        <v/>
      </c>
      <c r="R353">
        <f>IF($AH353="","",IF(INDEX('Per Invoice'!R$2:R$401,$AH353)="","",INDEX('Per Invoice'!R$2:R$401,$AH353)))</f>
        <v/>
      </c>
      <c r="S353">
        <f>IF($AH353="","",IF(INDEX('Per Invoice'!S$2:S$401,$AH353)="","",INDEX('Per Invoice'!S$2:S$401,$AH353)))</f>
        <v/>
      </c>
      <c r="T353" s="7">
        <f>IF($AH353="","",IF(INDEX('Per Invoice'!T$2:T$401,$AH353)="","",INDEX('Per Invoice'!T$2:T$401,$AH353)))</f>
        <v/>
      </c>
      <c r="U353" s="7">
        <f>IF($AH353="","",IF(INDEX('Per Invoice'!U$2:U$401,$AH353)="","",INDEX('Per Invoice'!U$2:U$401,$AH353)))</f>
        <v/>
      </c>
      <c r="V353">
        <f>IF($AH353="","",IF(INDEX('Per Invoice'!V$2:V$401,$AH353)="","",INDEX('Per Invoice'!V$2:V$401,$AH353)))</f>
        <v/>
      </c>
      <c r="W353" s="7">
        <f>IF($AH353="","",IF(INDEX('Per Invoice'!W$2:W$401,$AH353)="","",INDEX('Per Invoice'!W$2:W$401,$AH353)))</f>
        <v/>
      </c>
      <c r="X353" s="7">
        <f>IF($AH353="","",IF(INDEX('Per Invoice'!X$2:X$401,$AH353)="","",INDEX('Per Invoice'!X$2:X$401,$AH353)))</f>
        <v/>
      </c>
      <c r="Y353">
        <f>IF($AH353="","",IF(INDEX('Per Invoice'!Y$2:Y$401,$AH353)="","",INDEX('Per Invoice'!Y$2:Y$401,$AH353)))</f>
        <v/>
      </c>
      <c r="Z353" s="7">
        <f>IF($AH353="","",IF(INDEX('Per Invoice'!Z$2:Z$401,$AH353)="","",INDEX('Per Invoice'!Z$2:Z$401,$AH353)))</f>
        <v/>
      </c>
      <c r="AA353" s="7">
        <f>IF($AH353="","",IF(INDEX('Per Invoice'!AA$2:AA$401,$AH353)="","",INDEX('Per Invoice'!AA$2:AA$401,$AH353)))</f>
        <v/>
      </c>
      <c r="AB353" s="7">
        <f>IF($AH353="","",IF(INDEX('Per Invoice'!AB$2:AB$401,$AH353)="","",INDEX('Per Invoice'!AB$2:AB$401,$AH353)))</f>
        <v/>
      </c>
      <c r="AC353" s="7">
        <f>IF($AH353="","",IF(INDEX('Per Invoice'!AC$2:AC$401,$AH353)="","",INDEX('Per Invoice'!AC$2:AC$401,$AH353)))</f>
        <v/>
      </c>
      <c r="AD353" s="7">
        <f>IF($AH353="","",IF(INDEX('Per Invoice'!AD$2:AD$401,$AH353)="","",INDEX('Per Invoice'!AD$2:AD$401,$AH353)))</f>
        <v/>
      </c>
      <c r="AE353" s="7">
        <f>IF($AH353="","",IF(INDEX('Per Invoice'!AE$2:AE$401,$AH353)="","",INDEX('Per Invoice'!AE$2:AE$401,$AH353)))</f>
        <v/>
      </c>
      <c r="AF353">
        <f>IF($AH353="","",IF(INDEX('Per Invoice'!AF$2:AF$401,$AH353)="","",INDEX('Per Invoice'!AF$2:AF$401,$AH353)))</f>
        <v/>
      </c>
      <c r="AG353" s="7">
        <f>IF($AH353="","",IF(INDEX('Per Invoice'!AG$2:AG$401,$AH353)="","",INDEX('Per Invoice'!AG$2:AG$401,$AH353)))</f>
        <v/>
      </c>
      <c r="AH353" s="16">
        <f>IFERROR(MATCH(Settings!$C$26&amp;"|"&amp;ROWS($AH$2:$AH353),'Per Invoice'!$AI$2:$AI$401,0),"")</f>
        <v/>
      </c>
    </row>
    <row r="354">
      <c r="A354">
        <f>IF($AH354="","",IF(INDEX('Per Invoice'!A$2:A$401,$AH354)="","",INDEX('Per Invoice'!A$2:A$401,$AH354)))</f>
        <v/>
      </c>
      <c r="B354">
        <f>IF($AH354="","",IF(INDEX('Per Invoice'!B$2:B$401,$AH354)="","",INDEX('Per Invoice'!B$2:B$401,$AH354)))</f>
        <v/>
      </c>
      <c r="C354">
        <f>IF($AH354="","",IF(INDEX('Per Invoice'!C$2:C$401,$AH354)="","",INDEX('Per Invoice'!C$2:C$401,$AH354)))</f>
        <v/>
      </c>
      <c r="D354">
        <f>IF($AH354="","",IF(INDEX('Per Invoice'!D$2:D$401,$AH354)="","",INDEX('Per Invoice'!D$2:D$401,$AH354)))</f>
        <v/>
      </c>
      <c r="E354">
        <f>IF($AH354="","",IF(INDEX('Per Invoice'!E$2:E$401,$AH354)="","",INDEX('Per Invoice'!E$2:E$401,$AH354)))</f>
        <v/>
      </c>
      <c r="F354">
        <f>IF($AH354="","",IF(INDEX('Per Invoice'!F$2:F$401,$AH354)="","",INDEX('Per Invoice'!F$2:F$401,$AH354)))</f>
        <v/>
      </c>
      <c r="G354">
        <f>IF($AH354="","",IF(INDEX('Per Invoice'!G$2:G$401,$AH354)="","",INDEX('Per Invoice'!G$2:G$401,$AH354)))</f>
        <v/>
      </c>
      <c r="H354">
        <f>IF($AH354="","",IF(INDEX('Per Invoice'!H$2:H$401,$AH354)="","",INDEX('Per Invoice'!H$2:H$401,$AH354)))</f>
        <v/>
      </c>
      <c r="I354" s="14">
        <f>IF($AH354="","",IF(INDEX('Per Invoice'!I$2:I$401,$AH354)="","",INDEX('Per Invoice'!I$2:I$401,$AH354)))</f>
        <v/>
      </c>
      <c r="J354">
        <f>IF($AH354="","",IF(INDEX('Per Invoice'!J$2:J$401,$AH354)="","",INDEX('Per Invoice'!J$2:J$401,$AH354)))</f>
        <v/>
      </c>
      <c r="K354">
        <f>IF($AH354="","",IF(INDEX('Per Invoice'!K$2:K$401,$AH354)="","",INDEX('Per Invoice'!K$2:K$401,$AH354)))</f>
        <v/>
      </c>
      <c r="L354">
        <f>IF($AH354="","",IF(INDEX('Per Invoice'!L$2:L$401,$AH354)="","",INDEX('Per Invoice'!L$2:L$401,$AH354)))</f>
        <v/>
      </c>
      <c r="M354">
        <f>IF($AH354="","",IF(INDEX('Per Invoice'!M$2:M$401,$AH354)="","",INDEX('Per Invoice'!M$2:M$401,$AH354)))</f>
        <v/>
      </c>
      <c r="N354">
        <f>IF($AH354="","",IF(INDEX('Per Invoice'!N$2:N$401,$AH354)="","",INDEX('Per Invoice'!N$2:N$401,$AH354)))</f>
        <v/>
      </c>
      <c r="O354">
        <f>IF($AH354="","",IF(INDEX('Per Invoice'!O$2:O$401,$AH354)="","",INDEX('Per Invoice'!O$2:O$401,$AH354)))</f>
        <v/>
      </c>
      <c r="P354" s="7">
        <f>IF($AH354="","",IF(INDEX('Per Invoice'!P$2:P$401,$AH354)="","",INDEX('Per Invoice'!P$2:P$401,$AH354)))</f>
        <v/>
      </c>
      <c r="Q354">
        <f>IF($AH354="","",IF(INDEX('Per Invoice'!Q$2:Q$401,$AH354)="","",INDEX('Per Invoice'!Q$2:Q$401,$AH354)))</f>
        <v/>
      </c>
      <c r="R354">
        <f>IF($AH354="","",IF(INDEX('Per Invoice'!R$2:R$401,$AH354)="","",INDEX('Per Invoice'!R$2:R$401,$AH354)))</f>
        <v/>
      </c>
      <c r="S354">
        <f>IF($AH354="","",IF(INDEX('Per Invoice'!S$2:S$401,$AH354)="","",INDEX('Per Invoice'!S$2:S$401,$AH354)))</f>
        <v/>
      </c>
      <c r="T354" s="7">
        <f>IF($AH354="","",IF(INDEX('Per Invoice'!T$2:T$401,$AH354)="","",INDEX('Per Invoice'!T$2:T$401,$AH354)))</f>
        <v/>
      </c>
      <c r="U354" s="7">
        <f>IF($AH354="","",IF(INDEX('Per Invoice'!U$2:U$401,$AH354)="","",INDEX('Per Invoice'!U$2:U$401,$AH354)))</f>
        <v/>
      </c>
      <c r="V354">
        <f>IF($AH354="","",IF(INDEX('Per Invoice'!V$2:V$401,$AH354)="","",INDEX('Per Invoice'!V$2:V$401,$AH354)))</f>
        <v/>
      </c>
      <c r="W354" s="7">
        <f>IF($AH354="","",IF(INDEX('Per Invoice'!W$2:W$401,$AH354)="","",INDEX('Per Invoice'!W$2:W$401,$AH354)))</f>
        <v/>
      </c>
      <c r="X354" s="7">
        <f>IF($AH354="","",IF(INDEX('Per Invoice'!X$2:X$401,$AH354)="","",INDEX('Per Invoice'!X$2:X$401,$AH354)))</f>
        <v/>
      </c>
      <c r="Y354">
        <f>IF($AH354="","",IF(INDEX('Per Invoice'!Y$2:Y$401,$AH354)="","",INDEX('Per Invoice'!Y$2:Y$401,$AH354)))</f>
        <v/>
      </c>
      <c r="Z354" s="7">
        <f>IF($AH354="","",IF(INDEX('Per Invoice'!Z$2:Z$401,$AH354)="","",INDEX('Per Invoice'!Z$2:Z$401,$AH354)))</f>
        <v/>
      </c>
      <c r="AA354" s="7">
        <f>IF($AH354="","",IF(INDEX('Per Invoice'!AA$2:AA$401,$AH354)="","",INDEX('Per Invoice'!AA$2:AA$401,$AH354)))</f>
        <v/>
      </c>
      <c r="AB354" s="7">
        <f>IF($AH354="","",IF(INDEX('Per Invoice'!AB$2:AB$401,$AH354)="","",INDEX('Per Invoice'!AB$2:AB$401,$AH354)))</f>
        <v/>
      </c>
      <c r="AC354" s="7">
        <f>IF($AH354="","",IF(INDEX('Per Invoice'!AC$2:AC$401,$AH354)="","",INDEX('Per Invoice'!AC$2:AC$401,$AH354)))</f>
        <v/>
      </c>
      <c r="AD354" s="7">
        <f>IF($AH354="","",IF(INDEX('Per Invoice'!AD$2:AD$401,$AH354)="","",INDEX('Per Invoice'!AD$2:AD$401,$AH354)))</f>
        <v/>
      </c>
      <c r="AE354" s="7">
        <f>IF($AH354="","",IF(INDEX('Per Invoice'!AE$2:AE$401,$AH354)="","",INDEX('Per Invoice'!AE$2:AE$401,$AH354)))</f>
        <v/>
      </c>
      <c r="AF354">
        <f>IF($AH354="","",IF(INDEX('Per Invoice'!AF$2:AF$401,$AH354)="","",INDEX('Per Invoice'!AF$2:AF$401,$AH354)))</f>
        <v/>
      </c>
      <c r="AG354" s="7">
        <f>IF($AH354="","",IF(INDEX('Per Invoice'!AG$2:AG$401,$AH354)="","",INDEX('Per Invoice'!AG$2:AG$401,$AH354)))</f>
        <v/>
      </c>
      <c r="AH354" s="16">
        <f>IFERROR(MATCH(Settings!$C$26&amp;"|"&amp;ROWS($AH$2:$AH354),'Per Invoice'!$AI$2:$AI$401,0),"")</f>
        <v/>
      </c>
    </row>
    <row r="355">
      <c r="A355">
        <f>IF($AH355="","",IF(INDEX('Per Invoice'!A$2:A$401,$AH355)="","",INDEX('Per Invoice'!A$2:A$401,$AH355)))</f>
        <v/>
      </c>
      <c r="B355">
        <f>IF($AH355="","",IF(INDEX('Per Invoice'!B$2:B$401,$AH355)="","",INDEX('Per Invoice'!B$2:B$401,$AH355)))</f>
        <v/>
      </c>
      <c r="C355">
        <f>IF($AH355="","",IF(INDEX('Per Invoice'!C$2:C$401,$AH355)="","",INDEX('Per Invoice'!C$2:C$401,$AH355)))</f>
        <v/>
      </c>
      <c r="D355">
        <f>IF($AH355="","",IF(INDEX('Per Invoice'!D$2:D$401,$AH355)="","",INDEX('Per Invoice'!D$2:D$401,$AH355)))</f>
        <v/>
      </c>
      <c r="E355">
        <f>IF($AH355="","",IF(INDEX('Per Invoice'!E$2:E$401,$AH355)="","",INDEX('Per Invoice'!E$2:E$401,$AH355)))</f>
        <v/>
      </c>
      <c r="F355">
        <f>IF($AH355="","",IF(INDEX('Per Invoice'!F$2:F$401,$AH355)="","",INDEX('Per Invoice'!F$2:F$401,$AH355)))</f>
        <v/>
      </c>
      <c r="G355">
        <f>IF($AH355="","",IF(INDEX('Per Invoice'!G$2:G$401,$AH355)="","",INDEX('Per Invoice'!G$2:G$401,$AH355)))</f>
        <v/>
      </c>
      <c r="H355">
        <f>IF($AH355="","",IF(INDEX('Per Invoice'!H$2:H$401,$AH355)="","",INDEX('Per Invoice'!H$2:H$401,$AH355)))</f>
        <v/>
      </c>
      <c r="I355" s="14">
        <f>IF($AH355="","",IF(INDEX('Per Invoice'!I$2:I$401,$AH355)="","",INDEX('Per Invoice'!I$2:I$401,$AH355)))</f>
        <v/>
      </c>
      <c r="J355">
        <f>IF($AH355="","",IF(INDEX('Per Invoice'!J$2:J$401,$AH355)="","",INDEX('Per Invoice'!J$2:J$401,$AH355)))</f>
        <v/>
      </c>
      <c r="K355">
        <f>IF($AH355="","",IF(INDEX('Per Invoice'!K$2:K$401,$AH355)="","",INDEX('Per Invoice'!K$2:K$401,$AH355)))</f>
        <v/>
      </c>
      <c r="L355">
        <f>IF($AH355="","",IF(INDEX('Per Invoice'!L$2:L$401,$AH355)="","",INDEX('Per Invoice'!L$2:L$401,$AH355)))</f>
        <v/>
      </c>
      <c r="M355">
        <f>IF($AH355="","",IF(INDEX('Per Invoice'!M$2:M$401,$AH355)="","",INDEX('Per Invoice'!M$2:M$401,$AH355)))</f>
        <v/>
      </c>
      <c r="N355">
        <f>IF($AH355="","",IF(INDEX('Per Invoice'!N$2:N$401,$AH355)="","",INDEX('Per Invoice'!N$2:N$401,$AH355)))</f>
        <v/>
      </c>
      <c r="O355">
        <f>IF($AH355="","",IF(INDEX('Per Invoice'!O$2:O$401,$AH355)="","",INDEX('Per Invoice'!O$2:O$401,$AH355)))</f>
        <v/>
      </c>
      <c r="P355" s="7">
        <f>IF($AH355="","",IF(INDEX('Per Invoice'!P$2:P$401,$AH355)="","",INDEX('Per Invoice'!P$2:P$401,$AH355)))</f>
        <v/>
      </c>
      <c r="Q355">
        <f>IF($AH355="","",IF(INDEX('Per Invoice'!Q$2:Q$401,$AH355)="","",INDEX('Per Invoice'!Q$2:Q$401,$AH355)))</f>
        <v/>
      </c>
      <c r="R355">
        <f>IF($AH355="","",IF(INDEX('Per Invoice'!R$2:R$401,$AH355)="","",INDEX('Per Invoice'!R$2:R$401,$AH355)))</f>
        <v/>
      </c>
      <c r="S355">
        <f>IF($AH355="","",IF(INDEX('Per Invoice'!S$2:S$401,$AH355)="","",INDEX('Per Invoice'!S$2:S$401,$AH355)))</f>
        <v/>
      </c>
      <c r="T355" s="7">
        <f>IF($AH355="","",IF(INDEX('Per Invoice'!T$2:T$401,$AH355)="","",INDEX('Per Invoice'!T$2:T$401,$AH355)))</f>
        <v/>
      </c>
      <c r="U355" s="7">
        <f>IF($AH355="","",IF(INDEX('Per Invoice'!U$2:U$401,$AH355)="","",INDEX('Per Invoice'!U$2:U$401,$AH355)))</f>
        <v/>
      </c>
      <c r="V355">
        <f>IF($AH355="","",IF(INDEX('Per Invoice'!V$2:V$401,$AH355)="","",INDEX('Per Invoice'!V$2:V$401,$AH355)))</f>
        <v/>
      </c>
      <c r="W355" s="7">
        <f>IF($AH355="","",IF(INDEX('Per Invoice'!W$2:W$401,$AH355)="","",INDEX('Per Invoice'!W$2:W$401,$AH355)))</f>
        <v/>
      </c>
      <c r="X355" s="7">
        <f>IF($AH355="","",IF(INDEX('Per Invoice'!X$2:X$401,$AH355)="","",INDEX('Per Invoice'!X$2:X$401,$AH355)))</f>
        <v/>
      </c>
      <c r="Y355">
        <f>IF($AH355="","",IF(INDEX('Per Invoice'!Y$2:Y$401,$AH355)="","",INDEX('Per Invoice'!Y$2:Y$401,$AH355)))</f>
        <v/>
      </c>
      <c r="Z355" s="7">
        <f>IF($AH355="","",IF(INDEX('Per Invoice'!Z$2:Z$401,$AH355)="","",INDEX('Per Invoice'!Z$2:Z$401,$AH355)))</f>
        <v/>
      </c>
      <c r="AA355" s="7">
        <f>IF($AH355="","",IF(INDEX('Per Invoice'!AA$2:AA$401,$AH355)="","",INDEX('Per Invoice'!AA$2:AA$401,$AH355)))</f>
        <v/>
      </c>
      <c r="AB355" s="7">
        <f>IF($AH355="","",IF(INDEX('Per Invoice'!AB$2:AB$401,$AH355)="","",INDEX('Per Invoice'!AB$2:AB$401,$AH355)))</f>
        <v/>
      </c>
      <c r="AC355" s="7">
        <f>IF($AH355="","",IF(INDEX('Per Invoice'!AC$2:AC$401,$AH355)="","",INDEX('Per Invoice'!AC$2:AC$401,$AH355)))</f>
        <v/>
      </c>
      <c r="AD355" s="7">
        <f>IF($AH355="","",IF(INDEX('Per Invoice'!AD$2:AD$401,$AH355)="","",INDEX('Per Invoice'!AD$2:AD$401,$AH355)))</f>
        <v/>
      </c>
      <c r="AE355" s="7">
        <f>IF($AH355="","",IF(INDEX('Per Invoice'!AE$2:AE$401,$AH355)="","",INDEX('Per Invoice'!AE$2:AE$401,$AH355)))</f>
        <v/>
      </c>
      <c r="AF355">
        <f>IF($AH355="","",IF(INDEX('Per Invoice'!AF$2:AF$401,$AH355)="","",INDEX('Per Invoice'!AF$2:AF$401,$AH355)))</f>
        <v/>
      </c>
      <c r="AG355" s="7">
        <f>IF($AH355="","",IF(INDEX('Per Invoice'!AG$2:AG$401,$AH355)="","",INDEX('Per Invoice'!AG$2:AG$401,$AH355)))</f>
        <v/>
      </c>
      <c r="AH355" s="16">
        <f>IFERROR(MATCH(Settings!$C$26&amp;"|"&amp;ROWS($AH$2:$AH355),'Per Invoice'!$AI$2:$AI$401,0),"")</f>
        <v/>
      </c>
    </row>
    <row r="356">
      <c r="A356">
        <f>IF($AH356="","",IF(INDEX('Per Invoice'!A$2:A$401,$AH356)="","",INDEX('Per Invoice'!A$2:A$401,$AH356)))</f>
        <v/>
      </c>
      <c r="B356">
        <f>IF($AH356="","",IF(INDEX('Per Invoice'!B$2:B$401,$AH356)="","",INDEX('Per Invoice'!B$2:B$401,$AH356)))</f>
        <v/>
      </c>
      <c r="C356">
        <f>IF($AH356="","",IF(INDEX('Per Invoice'!C$2:C$401,$AH356)="","",INDEX('Per Invoice'!C$2:C$401,$AH356)))</f>
        <v/>
      </c>
      <c r="D356">
        <f>IF($AH356="","",IF(INDEX('Per Invoice'!D$2:D$401,$AH356)="","",INDEX('Per Invoice'!D$2:D$401,$AH356)))</f>
        <v/>
      </c>
      <c r="E356">
        <f>IF($AH356="","",IF(INDEX('Per Invoice'!E$2:E$401,$AH356)="","",INDEX('Per Invoice'!E$2:E$401,$AH356)))</f>
        <v/>
      </c>
      <c r="F356">
        <f>IF($AH356="","",IF(INDEX('Per Invoice'!F$2:F$401,$AH356)="","",INDEX('Per Invoice'!F$2:F$401,$AH356)))</f>
        <v/>
      </c>
      <c r="G356">
        <f>IF($AH356="","",IF(INDEX('Per Invoice'!G$2:G$401,$AH356)="","",INDEX('Per Invoice'!G$2:G$401,$AH356)))</f>
        <v/>
      </c>
      <c r="H356">
        <f>IF($AH356="","",IF(INDEX('Per Invoice'!H$2:H$401,$AH356)="","",INDEX('Per Invoice'!H$2:H$401,$AH356)))</f>
        <v/>
      </c>
      <c r="I356" s="14">
        <f>IF($AH356="","",IF(INDEX('Per Invoice'!I$2:I$401,$AH356)="","",INDEX('Per Invoice'!I$2:I$401,$AH356)))</f>
        <v/>
      </c>
      <c r="J356">
        <f>IF($AH356="","",IF(INDEX('Per Invoice'!J$2:J$401,$AH356)="","",INDEX('Per Invoice'!J$2:J$401,$AH356)))</f>
        <v/>
      </c>
      <c r="K356">
        <f>IF($AH356="","",IF(INDEX('Per Invoice'!K$2:K$401,$AH356)="","",INDEX('Per Invoice'!K$2:K$401,$AH356)))</f>
        <v/>
      </c>
      <c r="L356">
        <f>IF($AH356="","",IF(INDEX('Per Invoice'!L$2:L$401,$AH356)="","",INDEX('Per Invoice'!L$2:L$401,$AH356)))</f>
        <v/>
      </c>
      <c r="M356">
        <f>IF($AH356="","",IF(INDEX('Per Invoice'!M$2:M$401,$AH356)="","",INDEX('Per Invoice'!M$2:M$401,$AH356)))</f>
        <v/>
      </c>
      <c r="N356">
        <f>IF($AH356="","",IF(INDEX('Per Invoice'!N$2:N$401,$AH356)="","",INDEX('Per Invoice'!N$2:N$401,$AH356)))</f>
        <v/>
      </c>
      <c r="O356">
        <f>IF($AH356="","",IF(INDEX('Per Invoice'!O$2:O$401,$AH356)="","",INDEX('Per Invoice'!O$2:O$401,$AH356)))</f>
        <v/>
      </c>
      <c r="P356" s="7">
        <f>IF($AH356="","",IF(INDEX('Per Invoice'!P$2:P$401,$AH356)="","",INDEX('Per Invoice'!P$2:P$401,$AH356)))</f>
        <v/>
      </c>
      <c r="Q356">
        <f>IF($AH356="","",IF(INDEX('Per Invoice'!Q$2:Q$401,$AH356)="","",INDEX('Per Invoice'!Q$2:Q$401,$AH356)))</f>
        <v/>
      </c>
      <c r="R356">
        <f>IF($AH356="","",IF(INDEX('Per Invoice'!R$2:R$401,$AH356)="","",INDEX('Per Invoice'!R$2:R$401,$AH356)))</f>
        <v/>
      </c>
      <c r="S356">
        <f>IF($AH356="","",IF(INDEX('Per Invoice'!S$2:S$401,$AH356)="","",INDEX('Per Invoice'!S$2:S$401,$AH356)))</f>
        <v/>
      </c>
      <c r="T356" s="7">
        <f>IF($AH356="","",IF(INDEX('Per Invoice'!T$2:T$401,$AH356)="","",INDEX('Per Invoice'!T$2:T$401,$AH356)))</f>
        <v/>
      </c>
      <c r="U356" s="7">
        <f>IF($AH356="","",IF(INDEX('Per Invoice'!U$2:U$401,$AH356)="","",INDEX('Per Invoice'!U$2:U$401,$AH356)))</f>
        <v/>
      </c>
      <c r="V356">
        <f>IF($AH356="","",IF(INDEX('Per Invoice'!V$2:V$401,$AH356)="","",INDEX('Per Invoice'!V$2:V$401,$AH356)))</f>
        <v/>
      </c>
      <c r="W356" s="7">
        <f>IF($AH356="","",IF(INDEX('Per Invoice'!W$2:W$401,$AH356)="","",INDEX('Per Invoice'!W$2:W$401,$AH356)))</f>
        <v/>
      </c>
      <c r="X356" s="7">
        <f>IF($AH356="","",IF(INDEX('Per Invoice'!X$2:X$401,$AH356)="","",INDEX('Per Invoice'!X$2:X$401,$AH356)))</f>
        <v/>
      </c>
      <c r="Y356">
        <f>IF($AH356="","",IF(INDEX('Per Invoice'!Y$2:Y$401,$AH356)="","",INDEX('Per Invoice'!Y$2:Y$401,$AH356)))</f>
        <v/>
      </c>
      <c r="Z356" s="7">
        <f>IF($AH356="","",IF(INDEX('Per Invoice'!Z$2:Z$401,$AH356)="","",INDEX('Per Invoice'!Z$2:Z$401,$AH356)))</f>
        <v/>
      </c>
      <c r="AA356" s="7">
        <f>IF($AH356="","",IF(INDEX('Per Invoice'!AA$2:AA$401,$AH356)="","",INDEX('Per Invoice'!AA$2:AA$401,$AH356)))</f>
        <v/>
      </c>
      <c r="AB356" s="7">
        <f>IF($AH356="","",IF(INDEX('Per Invoice'!AB$2:AB$401,$AH356)="","",INDEX('Per Invoice'!AB$2:AB$401,$AH356)))</f>
        <v/>
      </c>
      <c r="AC356" s="7">
        <f>IF($AH356="","",IF(INDEX('Per Invoice'!AC$2:AC$401,$AH356)="","",INDEX('Per Invoice'!AC$2:AC$401,$AH356)))</f>
        <v/>
      </c>
      <c r="AD356" s="7">
        <f>IF($AH356="","",IF(INDEX('Per Invoice'!AD$2:AD$401,$AH356)="","",INDEX('Per Invoice'!AD$2:AD$401,$AH356)))</f>
        <v/>
      </c>
      <c r="AE356" s="7">
        <f>IF($AH356="","",IF(INDEX('Per Invoice'!AE$2:AE$401,$AH356)="","",INDEX('Per Invoice'!AE$2:AE$401,$AH356)))</f>
        <v/>
      </c>
      <c r="AF356">
        <f>IF($AH356="","",IF(INDEX('Per Invoice'!AF$2:AF$401,$AH356)="","",INDEX('Per Invoice'!AF$2:AF$401,$AH356)))</f>
        <v/>
      </c>
      <c r="AG356" s="7">
        <f>IF($AH356="","",IF(INDEX('Per Invoice'!AG$2:AG$401,$AH356)="","",INDEX('Per Invoice'!AG$2:AG$401,$AH356)))</f>
        <v/>
      </c>
      <c r="AH356" s="16">
        <f>IFERROR(MATCH(Settings!$C$26&amp;"|"&amp;ROWS($AH$2:$AH356),'Per Invoice'!$AI$2:$AI$401,0),"")</f>
        <v/>
      </c>
    </row>
    <row r="357">
      <c r="A357">
        <f>IF($AH357="","",IF(INDEX('Per Invoice'!A$2:A$401,$AH357)="","",INDEX('Per Invoice'!A$2:A$401,$AH357)))</f>
        <v/>
      </c>
      <c r="B357">
        <f>IF($AH357="","",IF(INDEX('Per Invoice'!B$2:B$401,$AH357)="","",INDEX('Per Invoice'!B$2:B$401,$AH357)))</f>
        <v/>
      </c>
      <c r="C357">
        <f>IF($AH357="","",IF(INDEX('Per Invoice'!C$2:C$401,$AH357)="","",INDEX('Per Invoice'!C$2:C$401,$AH357)))</f>
        <v/>
      </c>
      <c r="D357">
        <f>IF($AH357="","",IF(INDEX('Per Invoice'!D$2:D$401,$AH357)="","",INDEX('Per Invoice'!D$2:D$401,$AH357)))</f>
        <v/>
      </c>
      <c r="E357">
        <f>IF($AH357="","",IF(INDEX('Per Invoice'!E$2:E$401,$AH357)="","",INDEX('Per Invoice'!E$2:E$401,$AH357)))</f>
        <v/>
      </c>
      <c r="F357">
        <f>IF($AH357="","",IF(INDEX('Per Invoice'!F$2:F$401,$AH357)="","",INDEX('Per Invoice'!F$2:F$401,$AH357)))</f>
        <v/>
      </c>
      <c r="G357">
        <f>IF($AH357="","",IF(INDEX('Per Invoice'!G$2:G$401,$AH357)="","",INDEX('Per Invoice'!G$2:G$401,$AH357)))</f>
        <v/>
      </c>
      <c r="H357">
        <f>IF($AH357="","",IF(INDEX('Per Invoice'!H$2:H$401,$AH357)="","",INDEX('Per Invoice'!H$2:H$401,$AH357)))</f>
        <v/>
      </c>
      <c r="I357" s="14">
        <f>IF($AH357="","",IF(INDEX('Per Invoice'!I$2:I$401,$AH357)="","",INDEX('Per Invoice'!I$2:I$401,$AH357)))</f>
        <v/>
      </c>
      <c r="J357">
        <f>IF($AH357="","",IF(INDEX('Per Invoice'!J$2:J$401,$AH357)="","",INDEX('Per Invoice'!J$2:J$401,$AH357)))</f>
        <v/>
      </c>
      <c r="K357">
        <f>IF($AH357="","",IF(INDEX('Per Invoice'!K$2:K$401,$AH357)="","",INDEX('Per Invoice'!K$2:K$401,$AH357)))</f>
        <v/>
      </c>
      <c r="L357">
        <f>IF($AH357="","",IF(INDEX('Per Invoice'!L$2:L$401,$AH357)="","",INDEX('Per Invoice'!L$2:L$401,$AH357)))</f>
        <v/>
      </c>
      <c r="M357">
        <f>IF($AH357="","",IF(INDEX('Per Invoice'!M$2:M$401,$AH357)="","",INDEX('Per Invoice'!M$2:M$401,$AH357)))</f>
        <v/>
      </c>
      <c r="N357">
        <f>IF($AH357="","",IF(INDEX('Per Invoice'!N$2:N$401,$AH357)="","",INDEX('Per Invoice'!N$2:N$401,$AH357)))</f>
        <v/>
      </c>
      <c r="O357">
        <f>IF($AH357="","",IF(INDEX('Per Invoice'!O$2:O$401,$AH357)="","",INDEX('Per Invoice'!O$2:O$401,$AH357)))</f>
        <v/>
      </c>
      <c r="P357" s="7">
        <f>IF($AH357="","",IF(INDEX('Per Invoice'!P$2:P$401,$AH357)="","",INDEX('Per Invoice'!P$2:P$401,$AH357)))</f>
        <v/>
      </c>
      <c r="Q357">
        <f>IF($AH357="","",IF(INDEX('Per Invoice'!Q$2:Q$401,$AH357)="","",INDEX('Per Invoice'!Q$2:Q$401,$AH357)))</f>
        <v/>
      </c>
      <c r="R357">
        <f>IF($AH357="","",IF(INDEX('Per Invoice'!R$2:R$401,$AH357)="","",INDEX('Per Invoice'!R$2:R$401,$AH357)))</f>
        <v/>
      </c>
      <c r="S357">
        <f>IF($AH357="","",IF(INDEX('Per Invoice'!S$2:S$401,$AH357)="","",INDEX('Per Invoice'!S$2:S$401,$AH357)))</f>
        <v/>
      </c>
      <c r="T357" s="7">
        <f>IF($AH357="","",IF(INDEX('Per Invoice'!T$2:T$401,$AH357)="","",INDEX('Per Invoice'!T$2:T$401,$AH357)))</f>
        <v/>
      </c>
      <c r="U357" s="7">
        <f>IF($AH357="","",IF(INDEX('Per Invoice'!U$2:U$401,$AH357)="","",INDEX('Per Invoice'!U$2:U$401,$AH357)))</f>
        <v/>
      </c>
      <c r="V357">
        <f>IF($AH357="","",IF(INDEX('Per Invoice'!V$2:V$401,$AH357)="","",INDEX('Per Invoice'!V$2:V$401,$AH357)))</f>
        <v/>
      </c>
      <c r="W357" s="7">
        <f>IF($AH357="","",IF(INDEX('Per Invoice'!W$2:W$401,$AH357)="","",INDEX('Per Invoice'!W$2:W$401,$AH357)))</f>
        <v/>
      </c>
      <c r="X357" s="7">
        <f>IF($AH357="","",IF(INDEX('Per Invoice'!X$2:X$401,$AH357)="","",INDEX('Per Invoice'!X$2:X$401,$AH357)))</f>
        <v/>
      </c>
      <c r="Y357">
        <f>IF($AH357="","",IF(INDEX('Per Invoice'!Y$2:Y$401,$AH357)="","",INDEX('Per Invoice'!Y$2:Y$401,$AH357)))</f>
        <v/>
      </c>
      <c r="Z357" s="7">
        <f>IF($AH357="","",IF(INDEX('Per Invoice'!Z$2:Z$401,$AH357)="","",INDEX('Per Invoice'!Z$2:Z$401,$AH357)))</f>
        <v/>
      </c>
      <c r="AA357" s="7">
        <f>IF($AH357="","",IF(INDEX('Per Invoice'!AA$2:AA$401,$AH357)="","",INDEX('Per Invoice'!AA$2:AA$401,$AH357)))</f>
        <v/>
      </c>
      <c r="AB357" s="7">
        <f>IF($AH357="","",IF(INDEX('Per Invoice'!AB$2:AB$401,$AH357)="","",INDEX('Per Invoice'!AB$2:AB$401,$AH357)))</f>
        <v/>
      </c>
      <c r="AC357" s="7">
        <f>IF($AH357="","",IF(INDEX('Per Invoice'!AC$2:AC$401,$AH357)="","",INDEX('Per Invoice'!AC$2:AC$401,$AH357)))</f>
        <v/>
      </c>
      <c r="AD357" s="7">
        <f>IF($AH357="","",IF(INDEX('Per Invoice'!AD$2:AD$401,$AH357)="","",INDEX('Per Invoice'!AD$2:AD$401,$AH357)))</f>
        <v/>
      </c>
      <c r="AE357" s="7">
        <f>IF($AH357="","",IF(INDEX('Per Invoice'!AE$2:AE$401,$AH357)="","",INDEX('Per Invoice'!AE$2:AE$401,$AH357)))</f>
        <v/>
      </c>
      <c r="AF357">
        <f>IF($AH357="","",IF(INDEX('Per Invoice'!AF$2:AF$401,$AH357)="","",INDEX('Per Invoice'!AF$2:AF$401,$AH357)))</f>
        <v/>
      </c>
      <c r="AG357" s="7">
        <f>IF($AH357="","",IF(INDEX('Per Invoice'!AG$2:AG$401,$AH357)="","",INDEX('Per Invoice'!AG$2:AG$401,$AH357)))</f>
        <v/>
      </c>
      <c r="AH357" s="16">
        <f>IFERROR(MATCH(Settings!$C$26&amp;"|"&amp;ROWS($AH$2:$AH357),'Per Invoice'!$AI$2:$AI$401,0),"")</f>
        <v/>
      </c>
    </row>
    <row r="358">
      <c r="A358">
        <f>IF($AH358="","",IF(INDEX('Per Invoice'!A$2:A$401,$AH358)="","",INDEX('Per Invoice'!A$2:A$401,$AH358)))</f>
        <v/>
      </c>
      <c r="B358">
        <f>IF($AH358="","",IF(INDEX('Per Invoice'!B$2:B$401,$AH358)="","",INDEX('Per Invoice'!B$2:B$401,$AH358)))</f>
        <v/>
      </c>
      <c r="C358">
        <f>IF($AH358="","",IF(INDEX('Per Invoice'!C$2:C$401,$AH358)="","",INDEX('Per Invoice'!C$2:C$401,$AH358)))</f>
        <v/>
      </c>
      <c r="D358">
        <f>IF($AH358="","",IF(INDEX('Per Invoice'!D$2:D$401,$AH358)="","",INDEX('Per Invoice'!D$2:D$401,$AH358)))</f>
        <v/>
      </c>
      <c r="E358">
        <f>IF($AH358="","",IF(INDEX('Per Invoice'!E$2:E$401,$AH358)="","",INDEX('Per Invoice'!E$2:E$401,$AH358)))</f>
        <v/>
      </c>
      <c r="F358">
        <f>IF($AH358="","",IF(INDEX('Per Invoice'!F$2:F$401,$AH358)="","",INDEX('Per Invoice'!F$2:F$401,$AH358)))</f>
        <v/>
      </c>
      <c r="G358">
        <f>IF($AH358="","",IF(INDEX('Per Invoice'!G$2:G$401,$AH358)="","",INDEX('Per Invoice'!G$2:G$401,$AH358)))</f>
        <v/>
      </c>
      <c r="H358">
        <f>IF($AH358="","",IF(INDEX('Per Invoice'!H$2:H$401,$AH358)="","",INDEX('Per Invoice'!H$2:H$401,$AH358)))</f>
        <v/>
      </c>
      <c r="I358" s="14">
        <f>IF($AH358="","",IF(INDEX('Per Invoice'!I$2:I$401,$AH358)="","",INDEX('Per Invoice'!I$2:I$401,$AH358)))</f>
        <v/>
      </c>
      <c r="J358">
        <f>IF($AH358="","",IF(INDEX('Per Invoice'!J$2:J$401,$AH358)="","",INDEX('Per Invoice'!J$2:J$401,$AH358)))</f>
        <v/>
      </c>
      <c r="K358">
        <f>IF($AH358="","",IF(INDEX('Per Invoice'!K$2:K$401,$AH358)="","",INDEX('Per Invoice'!K$2:K$401,$AH358)))</f>
        <v/>
      </c>
      <c r="L358">
        <f>IF($AH358="","",IF(INDEX('Per Invoice'!L$2:L$401,$AH358)="","",INDEX('Per Invoice'!L$2:L$401,$AH358)))</f>
        <v/>
      </c>
      <c r="M358">
        <f>IF($AH358="","",IF(INDEX('Per Invoice'!M$2:M$401,$AH358)="","",INDEX('Per Invoice'!M$2:M$401,$AH358)))</f>
        <v/>
      </c>
      <c r="N358">
        <f>IF($AH358="","",IF(INDEX('Per Invoice'!N$2:N$401,$AH358)="","",INDEX('Per Invoice'!N$2:N$401,$AH358)))</f>
        <v/>
      </c>
      <c r="O358">
        <f>IF($AH358="","",IF(INDEX('Per Invoice'!O$2:O$401,$AH358)="","",INDEX('Per Invoice'!O$2:O$401,$AH358)))</f>
        <v/>
      </c>
      <c r="P358" s="7">
        <f>IF($AH358="","",IF(INDEX('Per Invoice'!P$2:P$401,$AH358)="","",INDEX('Per Invoice'!P$2:P$401,$AH358)))</f>
        <v/>
      </c>
      <c r="Q358">
        <f>IF($AH358="","",IF(INDEX('Per Invoice'!Q$2:Q$401,$AH358)="","",INDEX('Per Invoice'!Q$2:Q$401,$AH358)))</f>
        <v/>
      </c>
      <c r="R358">
        <f>IF($AH358="","",IF(INDEX('Per Invoice'!R$2:R$401,$AH358)="","",INDEX('Per Invoice'!R$2:R$401,$AH358)))</f>
        <v/>
      </c>
      <c r="S358">
        <f>IF($AH358="","",IF(INDEX('Per Invoice'!S$2:S$401,$AH358)="","",INDEX('Per Invoice'!S$2:S$401,$AH358)))</f>
        <v/>
      </c>
      <c r="T358" s="7">
        <f>IF($AH358="","",IF(INDEX('Per Invoice'!T$2:T$401,$AH358)="","",INDEX('Per Invoice'!T$2:T$401,$AH358)))</f>
        <v/>
      </c>
      <c r="U358" s="7">
        <f>IF($AH358="","",IF(INDEX('Per Invoice'!U$2:U$401,$AH358)="","",INDEX('Per Invoice'!U$2:U$401,$AH358)))</f>
        <v/>
      </c>
      <c r="V358">
        <f>IF($AH358="","",IF(INDEX('Per Invoice'!V$2:V$401,$AH358)="","",INDEX('Per Invoice'!V$2:V$401,$AH358)))</f>
        <v/>
      </c>
      <c r="W358" s="7">
        <f>IF($AH358="","",IF(INDEX('Per Invoice'!W$2:W$401,$AH358)="","",INDEX('Per Invoice'!W$2:W$401,$AH358)))</f>
        <v/>
      </c>
      <c r="X358" s="7">
        <f>IF($AH358="","",IF(INDEX('Per Invoice'!X$2:X$401,$AH358)="","",INDEX('Per Invoice'!X$2:X$401,$AH358)))</f>
        <v/>
      </c>
      <c r="Y358">
        <f>IF($AH358="","",IF(INDEX('Per Invoice'!Y$2:Y$401,$AH358)="","",INDEX('Per Invoice'!Y$2:Y$401,$AH358)))</f>
        <v/>
      </c>
      <c r="Z358" s="7">
        <f>IF($AH358="","",IF(INDEX('Per Invoice'!Z$2:Z$401,$AH358)="","",INDEX('Per Invoice'!Z$2:Z$401,$AH358)))</f>
        <v/>
      </c>
      <c r="AA358" s="7">
        <f>IF($AH358="","",IF(INDEX('Per Invoice'!AA$2:AA$401,$AH358)="","",INDEX('Per Invoice'!AA$2:AA$401,$AH358)))</f>
        <v/>
      </c>
      <c r="AB358" s="7">
        <f>IF($AH358="","",IF(INDEX('Per Invoice'!AB$2:AB$401,$AH358)="","",INDEX('Per Invoice'!AB$2:AB$401,$AH358)))</f>
        <v/>
      </c>
      <c r="AC358" s="7">
        <f>IF($AH358="","",IF(INDEX('Per Invoice'!AC$2:AC$401,$AH358)="","",INDEX('Per Invoice'!AC$2:AC$401,$AH358)))</f>
        <v/>
      </c>
      <c r="AD358" s="7">
        <f>IF($AH358="","",IF(INDEX('Per Invoice'!AD$2:AD$401,$AH358)="","",INDEX('Per Invoice'!AD$2:AD$401,$AH358)))</f>
        <v/>
      </c>
      <c r="AE358" s="7">
        <f>IF($AH358="","",IF(INDEX('Per Invoice'!AE$2:AE$401,$AH358)="","",INDEX('Per Invoice'!AE$2:AE$401,$AH358)))</f>
        <v/>
      </c>
      <c r="AF358">
        <f>IF($AH358="","",IF(INDEX('Per Invoice'!AF$2:AF$401,$AH358)="","",INDEX('Per Invoice'!AF$2:AF$401,$AH358)))</f>
        <v/>
      </c>
      <c r="AG358" s="7">
        <f>IF($AH358="","",IF(INDEX('Per Invoice'!AG$2:AG$401,$AH358)="","",INDEX('Per Invoice'!AG$2:AG$401,$AH358)))</f>
        <v/>
      </c>
      <c r="AH358" s="16">
        <f>IFERROR(MATCH(Settings!$C$26&amp;"|"&amp;ROWS($AH$2:$AH358),'Per Invoice'!$AI$2:$AI$401,0),"")</f>
        <v/>
      </c>
    </row>
    <row r="359">
      <c r="A359">
        <f>IF($AH359="","",IF(INDEX('Per Invoice'!A$2:A$401,$AH359)="","",INDEX('Per Invoice'!A$2:A$401,$AH359)))</f>
        <v/>
      </c>
      <c r="B359">
        <f>IF($AH359="","",IF(INDEX('Per Invoice'!B$2:B$401,$AH359)="","",INDEX('Per Invoice'!B$2:B$401,$AH359)))</f>
        <v/>
      </c>
      <c r="C359">
        <f>IF($AH359="","",IF(INDEX('Per Invoice'!C$2:C$401,$AH359)="","",INDEX('Per Invoice'!C$2:C$401,$AH359)))</f>
        <v/>
      </c>
      <c r="D359">
        <f>IF($AH359="","",IF(INDEX('Per Invoice'!D$2:D$401,$AH359)="","",INDEX('Per Invoice'!D$2:D$401,$AH359)))</f>
        <v/>
      </c>
      <c r="E359">
        <f>IF($AH359="","",IF(INDEX('Per Invoice'!E$2:E$401,$AH359)="","",INDEX('Per Invoice'!E$2:E$401,$AH359)))</f>
        <v/>
      </c>
      <c r="F359">
        <f>IF($AH359="","",IF(INDEX('Per Invoice'!F$2:F$401,$AH359)="","",INDEX('Per Invoice'!F$2:F$401,$AH359)))</f>
        <v/>
      </c>
      <c r="G359">
        <f>IF($AH359="","",IF(INDEX('Per Invoice'!G$2:G$401,$AH359)="","",INDEX('Per Invoice'!G$2:G$401,$AH359)))</f>
        <v/>
      </c>
      <c r="H359">
        <f>IF($AH359="","",IF(INDEX('Per Invoice'!H$2:H$401,$AH359)="","",INDEX('Per Invoice'!H$2:H$401,$AH359)))</f>
        <v/>
      </c>
      <c r="I359" s="14">
        <f>IF($AH359="","",IF(INDEX('Per Invoice'!I$2:I$401,$AH359)="","",INDEX('Per Invoice'!I$2:I$401,$AH359)))</f>
        <v/>
      </c>
      <c r="J359">
        <f>IF($AH359="","",IF(INDEX('Per Invoice'!J$2:J$401,$AH359)="","",INDEX('Per Invoice'!J$2:J$401,$AH359)))</f>
        <v/>
      </c>
      <c r="K359">
        <f>IF($AH359="","",IF(INDEX('Per Invoice'!K$2:K$401,$AH359)="","",INDEX('Per Invoice'!K$2:K$401,$AH359)))</f>
        <v/>
      </c>
      <c r="L359">
        <f>IF($AH359="","",IF(INDEX('Per Invoice'!L$2:L$401,$AH359)="","",INDEX('Per Invoice'!L$2:L$401,$AH359)))</f>
        <v/>
      </c>
      <c r="M359">
        <f>IF($AH359="","",IF(INDEX('Per Invoice'!M$2:M$401,$AH359)="","",INDEX('Per Invoice'!M$2:M$401,$AH359)))</f>
        <v/>
      </c>
      <c r="N359">
        <f>IF($AH359="","",IF(INDEX('Per Invoice'!N$2:N$401,$AH359)="","",INDEX('Per Invoice'!N$2:N$401,$AH359)))</f>
        <v/>
      </c>
      <c r="O359">
        <f>IF($AH359="","",IF(INDEX('Per Invoice'!O$2:O$401,$AH359)="","",INDEX('Per Invoice'!O$2:O$401,$AH359)))</f>
        <v/>
      </c>
      <c r="P359" s="7">
        <f>IF($AH359="","",IF(INDEX('Per Invoice'!P$2:P$401,$AH359)="","",INDEX('Per Invoice'!P$2:P$401,$AH359)))</f>
        <v/>
      </c>
      <c r="Q359">
        <f>IF($AH359="","",IF(INDEX('Per Invoice'!Q$2:Q$401,$AH359)="","",INDEX('Per Invoice'!Q$2:Q$401,$AH359)))</f>
        <v/>
      </c>
      <c r="R359">
        <f>IF($AH359="","",IF(INDEX('Per Invoice'!R$2:R$401,$AH359)="","",INDEX('Per Invoice'!R$2:R$401,$AH359)))</f>
        <v/>
      </c>
      <c r="S359">
        <f>IF($AH359="","",IF(INDEX('Per Invoice'!S$2:S$401,$AH359)="","",INDEX('Per Invoice'!S$2:S$401,$AH359)))</f>
        <v/>
      </c>
      <c r="T359" s="7">
        <f>IF($AH359="","",IF(INDEX('Per Invoice'!T$2:T$401,$AH359)="","",INDEX('Per Invoice'!T$2:T$401,$AH359)))</f>
        <v/>
      </c>
      <c r="U359" s="7">
        <f>IF($AH359="","",IF(INDEX('Per Invoice'!U$2:U$401,$AH359)="","",INDEX('Per Invoice'!U$2:U$401,$AH359)))</f>
        <v/>
      </c>
      <c r="V359">
        <f>IF($AH359="","",IF(INDEX('Per Invoice'!V$2:V$401,$AH359)="","",INDEX('Per Invoice'!V$2:V$401,$AH359)))</f>
        <v/>
      </c>
      <c r="W359" s="7">
        <f>IF($AH359="","",IF(INDEX('Per Invoice'!W$2:W$401,$AH359)="","",INDEX('Per Invoice'!W$2:W$401,$AH359)))</f>
        <v/>
      </c>
      <c r="X359" s="7">
        <f>IF($AH359="","",IF(INDEX('Per Invoice'!X$2:X$401,$AH359)="","",INDEX('Per Invoice'!X$2:X$401,$AH359)))</f>
        <v/>
      </c>
      <c r="Y359">
        <f>IF($AH359="","",IF(INDEX('Per Invoice'!Y$2:Y$401,$AH359)="","",INDEX('Per Invoice'!Y$2:Y$401,$AH359)))</f>
        <v/>
      </c>
      <c r="Z359" s="7">
        <f>IF($AH359="","",IF(INDEX('Per Invoice'!Z$2:Z$401,$AH359)="","",INDEX('Per Invoice'!Z$2:Z$401,$AH359)))</f>
        <v/>
      </c>
      <c r="AA359" s="7">
        <f>IF($AH359="","",IF(INDEX('Per Invoice'!AA$2:AA$401,$AH359)="","",INDEX('Per Invoice'!AA$2:AA$401,$AH359)))</f>
        <v/>
      </c>
      <c r="AB359" s="7">
        <f>IF($AH359="","",IF(INDEX('Per Invoice'!AB$2:AB$401,$AH359)="","",INDEX('Per Invoice'!AB$2:AB$401,$AH359)))</f>
        <v/>
      </c>
      <c r="AC359" s="7">
        <f>IF($AH359="","",IF(INDEX('Per Invoice'!AC$2:AC$401,$AH359)="","",INDEX('Per Invoice'!AC$2:AC$401,$AH359)))</f>
        <v/>
      </c>
      <c r="AD359" s="7">
        <f>IF($AH359="","",IF(INDEX('Per Invoice'!AD$2:AD$401,$AH359)="","",INDEX('Per Invoice'!AD$2:AD$401,$AH359)))</f>
        <v/>
      </c>
      <c r="AE359" s="7">
        <f>IF($AH359="","",IF(INDEX('Per Invoice'!AE$2:AE$401,$AH359)="","",INDEX('Per Invoice'!AE$2:AE$401,$AH359)))</f>
        <v/>
      </c>
      <c r="AF359">
        <f>IF($AH359="","",IF(INDEX('Per Invoice'!AF$2:AF$401,$AH359)="","",INDEX('Per Invoice'!AF$2:AF$401,$AH359)))</f>
        <v/>
      </c>
      <c r="AG359" s="7">
        <f>IF($AH359="","",IF(INDEX('Per Invoice'!AG$2:AG$401,$AH359)="","",INDEX('Per Invoice'!AG$2:AG$401,$AH359)))</f>
        <v/>
      </c>
      <c r="AH359" s="16">
        <f>IFERROR(MATCH(Settings!$C$26&amp;"|"&amp;ROWS($AH$2:$AH359),'Per Invoice'!$AI$2:$AI$401,0),"")</f>
        <v/>
      </c>
    </row>
    <row r="360">
      <c r="A360">
        <f>IF($AH360="","",IF(INDEX('Per Invoice'!A$2:A$401,$AH360)="","",INDEX('Per Invoice'!A$2:A$401,$AH360)))</f>
        <v/>
      </c>
      <c r="B360">
        <f>IF($AH360="","",IF(INDEX('Per Invoice'!B$2:B$401,$AH360)="","",INDEX('Per Invoice'!B$2:B$401,$AH360)))</f>
        <v/>
      </c>
      <c r="C360">
        <f>IF($AH360="","",IF(INDEX('Per Invoice'!C$2:C$401,$AH360)="","",INDEX('Per Invoice'!C$2:C$401,$AH360)))</f>
        <v/>
      </c>
      <c r="D360">
        <f>IF($AH360="","",IF(INDEX('Per Invoice'!D$2:D$401,$AH360)="","",INDEX('Per Invoice'!D$2:D$401,$AH360)))</f>
        <v/>
      </c>
      <c r="E360">
        <f>IF($AH360="","",IF(INDEX('Per Invoice'!E$2:E$401,$AH360)="","",INDEX('Per Invoice'!E$2:E$401,$AH360)))</f>
        <v/>
      </c>
      <c r="F360">
        <f>IF($AH360="","",IF(INDEX('Per Invoice'!F$2:F$401,$AH360)="","",INDEX('Per Invoice'!F$2:F$401,$AH360)))</f>
        <v/>
      </c>
      <c r="G360">
        <f>IF($AH360="","",IF(INDEX('Per Invoice'!G$2:G$401,$AH360)="","",INDEX('Per Invoice'!G$2:G$401,$AH360)))</f>
        <v/>
      </c>
      <c r="H360">
        <f>IF($AH360="","",IF(INDEX('Per Invoice'!H$2:H$401,$AH360)="","",INDEX('Per Invoice'!H$2:H$401,$AH360)))</f>
        <v/>
      </c>
      <c r="I360" s="14">
        <f>IF($AH360="","",IF(INDEX('Per Invoice'!I$2:I$401,$AH360)="","",INDEX('Per Invoice'!I$2:I$401,$AH360)))</f>
        <v/>
      </c>
      <c r="J360">
        <f>IF($AH360="","",IF(INDEX('Per Invoice'!J$2:J$401,$AH360)="","",INDEX('Per Invoice'!J$2:J$401,$AH360)))</f>
        <v/>
      </c>
      <c r="K360">
        <f>IF($AH360="","",IF(INDEX('Per Invoice'!K$2:K$401,$AH360)="","",INDEX('Per Invoice'!K$2:K$401,$AH360)))</f>
        <v/>
      </c>
      <c r="L360">
        <f>IF($AH360="","",IF(INDEX('Per Invoice'!L$2:L$401,$AH360)="","",INDEX('Per Invoice'!L$2:L$401,$AH360)))</f>
        <v/>
      </c>
      <c r="M360">
        <f>IF($AH360="","",IF(INDEX('Per Invoice'!M$2:M$401,$AH360)="","",INDEX('Per Invoice'!M$2:M$401,$AH360)))</f>
        <v/>
      </c>
      <c r="N360">
        <f>IF($AH360="","",IF(INDEX('Per Invoice'!N$2:N$401,$AH360)="","",INDEX('Per Invoice'!N$2:N$401,$AH360)))</f>
        <v/>
      </c>
      <c r="O360">
        <f>IF($AH360="","",IF(INDEX('Per Invoice'!O$2:O$401,$AH360)="","",INDEX('Per Invoice'!O$2:O$401,$AH360)))</f>
        <v/>
      </c>
      <c r="P360" s="7">
        <f>IF($AH360="","",IF(INDEX('Per Invoice'!P$2:P$401,$AH360)="","",INDEX('Per Invoice'!P$2:P$401,$AH360)))</f>
        <v/>
      </c>
      <c r="Q360">
        <f>IF($AH360="","",IF(INDEX('Per Invoice'!Q$2:Q$401,$AH360)="","",INDEX('Per Invoice'!Q$2:Q$401,$AH360)))</f>
        <v/>
      </c>
      <c r="R360">
        <f>IF($AH360="","",IF(INDEX('Per Invoice'!R$2:R$401,$AH360)="","",INDEX('Per Invoice'!R$2:R$401,$AH360)))</f>
        <v/>
      </c>
      <c r="S360">
        <f>IF($AH360="","",IF(INDEX('Per Invoice'!S$2:S$401,$AH360)="","",INDEX('Per Invoice'!S$2:S$401,$AH360)))</f>
        <v/>
      </c>
      <c r="T360" s="7">
        <f>IF($AH360="","",IF(INDEX('Per Invoice'!T$2:T$401,$AH360)="","",INDEX('Per Invoice'!T$2:T$401,$AH360)))</f>
        <v/>
      </c>
      <c r="U360" s="7">
        <f>IF($AH360="","",IF(INDEX('Per Invoice'!U$2:U$401,$AH360)="","",INDEX('Per Invoice'!U$2:U$401,$AH360)))</f>
        <v/>
      </c>
      <c r="V360">
        <f>IF($AH360="","",IF(INDEX('Per Invoice'!V$2:V$401,$AH360)="","",INDEX('Per Invoice'!V$2:V$401,$AH360)))</f>
        <v/>
      </c>
      <c r="W360" s="7">
        <f>IF($AH360="","",IF(INDEX('Per Invoice'!W$2:W$401,$AH360)="","",INDEX('Per Invoice'!W$2:W$401,$AH360)))</f>
        <v/>
      </c>
      <c r="X360" s="7">
        <f>IF($AH360="","",IF(INDEX('Per Invoice'!X$2:X$401,$AH360)="","",INDEX('Per Invoice'!X$2:X$401,$AH360)))</f>
        <v/>
      </c>
      <c r="Y360">
        <f>IF($AH360="","",IF(INDEX('Per Invoice'!Y$2:Y$401,$AH360)="","",INDEX('Per Invoice'!Y$2:Y$401,$AH360)))</f>
        <v/>
      </c>
      <c r="Z360" s="7">
        <f>IF($AH360="","",IF(INDEX('Per Invoice'!Z$2:Z$401,$AH360)="","",INDEX('Per Invoice'!Z$2:Z$401,$AH360)))</f>
        <v/>
      </c>
      <c r="AA360" s="7">
        <f>IF($AH360="","",IF(INDEX('Per Invoice'!AA$2:AA$401,$AH360)="","",INDEX('Per Invoice'!AA$2:AA$401,$AH360)))</f>
        <v/>
      </c>
      <c r="AB360" s="7">
        <f>IF($AH360="","",IF(INDEX('Per Invoice'!AB$2:AB$401,$AH360)="","",INDEX('Per Invoice'!AB$2:AB$401,$AH360)))</f>
        <v/>
      </c>
      <c r="AC360" s="7">
        <f>IF($AH360="","",IF(INDEX('Per Invoice'!AC$2:AC$401,$AH360)="","",INDEX('Per Invoice'!AC$2:AC$401,$AH360)))</f>
        <v/>
      </c>
      <c r="AD360" s="7">
        <f>IF($AH360="","",IF(INDEX('Per Invoice'!AD$2:AD$401,$AH360)="","",INDEX('Per Invoice'!AD$2:AD$401,$AH360)))</f>
        <v/>
      </c>
      <c r="AE360" s="7">
        <f>IF($AH360="","",IF(INDEX('Per Invoice'!AE$2:AE$401,$AH360)="","",INDEX('Per Invoice'!AE$2:AE$401,$AH360)))</f>
        <v/>
      </c>
      <c r="AF360">
        <f>IF($AH360="","",IF(INDEX('Per Invoice'!AF$2:AF$401,$AH360)="","",INDEX('Per Invoice'!AF$2:AF$401,$AH360)))</f>
        <v/>
      </c>
      <c r="AG360" s="7">
        <f>IF($AH360="","",IF(INDEX('Per Invoice'!AG$2:AG$401,$AH360)="","",INDEX('Per Invoice'!AG$2:AG$401,$AH360)))</f>
        <v/>
      </c>
      <c r="AH360" s="16">
        <f>IFERROR(MATCH(Settings!$C$26&amp;"|"&amp;ROWS($AH$2:$AH360),'Per Invoice'!$AI$2:$AI$401,0),"")</f>
        <v/>
      </c>
    </row>
    <row r="361">
      <c r="A361">
        <f>IF($AH361="","",IF(INDEX('Per Invoice'!A$2:A$401,$AH361)="","",INDEX('Per Invoice'!A$2:A$401,$AH361)))</f>
        <v/>
      </c>
      <c r="B361">
        <f>IF($AH361="","",IF(INDEX('Per Invoice'!B$2:B$401,$AH361)="","",INDEX('Per Invoice'!B$2:B$401,$AH361)))</f>
        <v/>
      </c>
      <c r="C361">
        <f>IF($AH361="","",IF(INDEX('Per Invoice'!C$2:C$401,$AH361)="","",INDEX('Per Invoice'!C$2:C$401,$AH361)))</f>
        <v/>
      </c>
      <c r="D361">
        <f>IF($AH361="","",IF(INDEX('Per Invoice'!D$2:D$401,$AH361)="","",INDEX('Per Invoice'!D$2:D$401,$AH361)))</f>
        <v/>
      </c>
      <c r="E361">
        <f>IF($AH361="","",IF(INDEX('Per Invoice'!E$2:E$401,$AH361)="","",INDEX('Per Invoice'!E$2:E$401,$AH361)))</f>
        <v/>
      </c>
      <c r="F361">
        <f>IF($AH361="","",IF(INDEX('Per Invoice'!F$2:F$401,$AH361)="","",INDEX('Per Invoice'!F$2:F$401,$AH361)))</f>
        <v/>
      </c>
      <c r="G361">
        <f>IF($AH361="","",IF(INDEX('Per Invoice'!G$2:G$401,$AH361)="","",INDEX('Per Invoice'!G$2:G$401,$AH361)))</f>
        <v/>
      </c>
      <c r="H361">
        <f>IF($AH361="","",IF(INDEX('Per Invoice'!H$2:H$401,$AH361)="","",INDEX('Per Invoice'!H$2:H$401,$AH361)))</f>
        <v/>
      </c>
      <c r="I361" s="14">
        <f>IF($AH361="","",IF(INDEX('Per Invoice'!I$2:I$401,$AH361)="","",INDEX('Per Invoice'!I$2:I$401,$AH361)))</f>
        <v/>
      </c>
      <c r="J361">
        <f>IF($AH361="","",IF(INDEX('Per Invoice'!J$2:J$401,$AH361)="","",INDEX('Per Invoice'!J$2:J$401,$AH361)))</f>
        <v/>
      </c>
      <c r="K361">
        <f>IF($AH361="","",IF(INDEX('Per Invoice'!K$2:K$401,$AH361)="","",INDEX('Per Invoice'!K$2:K$401,$AH361)))</f>
        <v/>
      </c>
      <c r="L361">
        <f>IF($AH361="","",IF(INDEX('Per Invoice'!L$2:L$401,$AH361)="","",INDEX('Per Invoice'!L$2:L$401,$AH361)))</f>
        <v/>
      </c>
      <c r="M361">
        <f>IF($AH361="","",IF(INDEX('Per Invoice'!M$2:M$401,$AH361)="","",INDEX('Per Invoice'!M$2:M$401,$AH361)))</f>
        <v/>
      </c>
      <c r="N361">
        <f>IF($AH361="","",IF(INDEX('Per Invoice'!N$2:N$401,$AH361)="","",INDEX('Per Invoice'!N$2:N$401,$AH361)))</f>
        <v/>
      </c>
      <c r="O361">
        <f>IF($AH361="","",IF(INDEX('Per Invoice'!O$2:O$401,$AH361)="","",INDEX('Per Invoice'!O$2:O$401,$AH361)))</f>
        <v/>
      </c>
      <c r="P361" s="7">
        <f>IF($AH361="","",IF(INDEX('Per Invoice'!P$2:P$401,$AH361)="","",INDEX('Per Invoice'!P$2:P$401,$AH361)))</f>
        <v/>
      </c>
      <c r="Q361">
        <f>IF($AH361="","",IF(INDEX('Per Invoice'!Q$2:Q$401,$AH361)="","",INDEX('Per Invoice'!Q$2:Q$401,$AH361)))</f>
        <v/>
      </c>
      <c r="R361">
        <f>IF($AH361="","",IF(INDEX('Per Invoice'!R$2:R$401,$AH361)="","",INDEX('Per Invoice'!R$2:R$401,$AH361)))</f>
        <v/>
      </c>
      <c r="S361">
        <f>IF($AH361="","",IF(INDEX('Per Invoice'!S$2:S$401,$AH361)="","",INDEX('Per Invoice'!S$2:S$401,$AH361)))</f>
        <v/>
      </c>
      <c r="T361" s="7">
        <f>IF($AH361="","",IF(INDEX('Per Invoice'!T$2:T$401,$AH361)="","",INDEX('Per Invoice'!T$2:T$401,$AH361)))</f>
        <v/>
      </c>
      <c r="U361" s="7">
        <f>IF($AH361="","",IF(INDEX('Per Invoice'!U$2:U$401,$AH361)="","",INDEX('Per Invoice'!U$2:U$401,$AH361)))</f>
        <v/>
      </c>
      <c r="V361">
        <f>IF($AH361="","",IF(INDEX('Per Invoice'!V$2:V$401,$AH361)="","",INDEX('Per Invoice'!V$2:V$401,$AH361)))</f>
        <v/>
      </c>
      <c r="W361" s="7">
        <f>IF($AH361="","",IF(INDEX('Per Invoice'!W$2:W$401,$AH361)="","",INDEX('Per Invoice'!W$2:W$401,$AH361)))</f>
        <v/>
      </c>
      <c r="X361" s="7">
        <f>IF($AH361="","",IF(INDEX('Per Invoice'!X$2:X$401,$AH361)="","",INDEX('Per Invoice'!X$2:X$401,$AH361)))</f>
        <v/>
      </c>
      <c r="Y361">
        <f>IF($AH361="","",IF(INDEX('Per Invoice'!Y$2:Y$401,$AH361)="","",INDEX('Per Invoice'!Y$2:Y$401,$AH361)))</f>
        <v/>
      </c>
      <c r="Z361" s="7">
        <f>IF($AH361="","",IF(INDEX('Per Invoice'!Z$2:Z$401,$AH361)="","",INDEX('Per Invoice'!Z$2:Z$401,$AH361)))</f>
        <v/>
      </c>
      <c r="AA361" s="7">
        <f>IF($AH361="","",IF(INDEX('Per Invoice'!AA$2:AA$401,$AH361)="","",INDEX('Per Invoice'!AA$2:AA$401,$AH361)))</f>
        <v/>
      </c>
      <c r="AB361" s="7">
        <f>IF($AH361="","",IF(INDEX('Per Invoice'!AB$2:AB$401,$AH361)="","",INDEX('Per Invoice'!AB$2:AB$401,$AH361)))</f>
        <v/>
      </c>
      <c r="AC361" s="7">
        <f>IF($AH361="","",IF(INDEX('Per Invoice'!AC$2:AC$401,$AH361)="","",INDEX('Per Invoice'!AC$2:AC$401,$AH361)))</f>
        <v/>
      </c>
      <c r="AD361" s="7">
        <f>IF($AH361="","",IF(INDEX('Per Invoice'!AD$2:AD$401,$AH361)="","",INDEX('Per Invoice'!AD$2:AD$401,$AH361)))</f>
        <v/>
      </c>
      <c r="AE361" s="7">
        <f>IF($AH361="","",IF(INDEX('Per Invoice'!AE$2:AE$401,$AH361)="","",INDEX('Per Invoice'!AE$2:AE$401,$AH361)))</f>
        <v/>
      </c>
      <c r="AF361">
        <f>IF($AH361="","",IF(INDEX('Per Invoice'!AF$2:AF$401,$AH361)="","",INDEX('Per Invoice'!AF$2:AF$401,$AH361)))</f>
        <v/>
      </c>
      <c r="AG361" s="7">
        <f>IF($AH361="","",IF(INDEX('Per Invoice'!AG$2:AG$401,$AH361)="","",INDEX('Per Invoice'!AG$2:AG$401,$AH361)))</f>
        <v/>
      </c>
      <c r="AH361" s="16">
        <f>IFERROR(MATCH(Settings!$C$26&amp;"|"&amp;ROWS($AH$2:$AH361),'Per Invoice'!$AI$2:$AI$401,0),"")</f>
        <v/>
      </c>
    </row>
    <row r="362">
      <c r="A362">
        <f>IF($AH362="","",IF(INDEX('Per Invoice'!A$2:A$401,$AH362)="","",INDEX('Per Invoice'!A$2:A$401,$AH362)))</f>
        <v/>
      </c>
      <c r="B362">
        <f>IF($AH362="","",IF(INDEX('Per Invoice'!B$2:B$401,$AH362)="","",INDEX('Per Invoice'!B$2:B$401,$AH362)))</f>
        <v/>
      </c>
      <c r="C362">
        <f>IF($AH362="","",IF(INDEX('Per Invoice'!C$2:C$401,$AH362)="","",INDEX('Per Invoice'!C$2:C$401,$AH362)))</f>
        <v/>
      </c>
      <c r="D362">
        <f>IF($AH362="","",IF(INDEX('Per Invoice'!D$2:D$401,$AH362)="","",INDEX('Per Invoice'!D$2:D$401,$AH362)))</f>
        <v/>
      </c>
      <c r="E362">
        <f>IF($AH362="","",IF(INDEX('Per Invoice'!E$2:E$401,$AH362)="","",INDEX('Per Invoice'!E$2:E$401,$AH362)))</f>
        <v/>
      </c>
      <c r="F362">
        <f>IF($AH362="","",IF(INDEX('Per Invoice'!F$2:F$401,$AH362)="","",INDEX('Per Invoice'!F$2:F$401,$AH362)))</f>
        <v/>
      </c>
      <c r="G362">
        <f>IF($AH362="","",IF(INDEX('Per Invoice'!G$2:G$401,$AH362)="","",INDEX('Per Invoice'!G$2:G$401,$AH362)))</f>
        <v/>
      </c>
      <c r="H362">
        <f>IF($AH362="","",IF(INDEX('Per Invoice'!H$2:H$401,$AH362)="","",INDEX('Per Invoice'!H$2:H$401,$AH362)))</f>
        <v/>
      </c>
      <c r="I362" s="14">
        <f>IF($AH362="","",IF(INDEX('Per Invoice'!I$2:I$401,$AH362)="","",INDEX('Per Invoice'!I$2:I$401,$AH362)))</f>
        <v/>
      </c>
      <c r="J362">
        <f>IF($AH362="","",IF(INDEX('Per Invoice'!J$2:J$401,$AH362)="","",INDEX('Per Invoice'!J$2:J$401,$AH362)))</f>
        <v/>
      </c>
      <c r="K362">
        <f>IF($AH362="","",IF(INDEX('Per Invoice'!K$2:K$401,$AH362)="","",INDEX('Per Invoice'!K$2:K$401,$AH362)))</f>
        <v/>
      </c>
      <c r="L362">
        <f>IF($AH362="","",IF(INDEX('Per Invoice'!L$2:L$401,$AH362)="","",INDEX('Per Invoice'!L$2:L$401,$AH362)))</f>
        <v/>
      </c>
      <c r="M362">
        <f>IF($AH362="","",IF(INDEX('Per Invoice'!M$2:M$401,$AH362)="","",INDEX('Per Invoice'!M$2:M$401,$AH362)))</f>
        <v/>
      </c>
      <c r="N362">
        <f>IF($AH362="","",IF(INDEX('Per Invoice'!N$2:N$401,$AH362)="","",INDEX('Per Invoice'!N$2:N$401,$AH362)))</f>
        <v/>
      </c>
      <c r="O362">
        <f>IF($AH362="","",IF(INDEX('Per Invoice'!O$2:O$401,$AH362)="","",INDEX('Per Invoice'!O$2:O$401,$AH362)))</f>
        <v/>
      </c>
      <c r="P362" s="7">
        <f>IF($AH362="","",IF(INDEX('Per Invoice'!P$2:P$401,$AH362)="","",INDEX('Per Invoice'!P$2:P$401,$AH362)))</f>
        <v/>
      </c>
      <c r="Q362">
        <f>IF($AH362="","",IF(INDEX('Per Invoice'!Q$2:Q$401,$AH362)="","",INDEX('Per Invoice'!Q$2:Q$401,$AH362)))</f>
        <v/>
      </c>
      <c r="R362">
        <f>IF($AH362="","",IF(INDEX('Per Invoice'!R$2:R$401,$AH362)="","",INDEX('Per Invoice'!R$2:R$401,$AH362)))</f>
        <v/>
      </c>
      <c r="S362">
        <f>IF($AH362="","",IF(INDEX('Per Invoice'!S$2:S$401,$AH362)="","",INDEX('Per Invoice'!S$2:S$401,$AH362)))</f>
        <v/>
      </c>
      <c r="T362" s="7">
        <f>IF($AH362="","",IF(INDEX('Per Invoice'!T$2:T$401,$AH362)="","",INDEX('Per Invoice'!T$2:T$401,$AH362)))</f>
        <v/>
      </c>
      <c r="U362" s="7">
        <f>IF($AH362="","",IF(INDEX('Per Invoice'!U$2:U$401,$AH362)="","",INDEX('Per Invoice'!U$2:U$401,$AH362)))</f>
        <v/>
      </c>
      <c r="V362">
        <f>IF($AH362="","",IF(INDEX('Per Invoice'!V$2:V$401,$AH362)="","",INDEX('Per Invoice'!V$2:V$401,$AH362)))</f>
        <v/>
      </c>
      <c r="W362" s="7">
        <f>IF($AH362="","",IF(INDEX('Per Invoice'!W$2:W$401,$AH362)="","",INDEX('Per Invoice'!W$2:W$401,$AH362)))</f>
        <v/>
      </c>
      <c r="X362" s="7">
        <f>IF($AH362="","",IF(INDEX('Per Invoice'!X$2:X$401,$AH362)="","",INDEX('Per Invoice'!X$2:X$401,$AH362)))</f>
        <v/>
      </c>
      <c r="Y362">
        <f>IF($AH362="","",IF(INDEX('Per Invoice'!Y$2:Y$401,$AH362)="","",INDEX('Per Invoice'!Y$2:Y$401,$AH362)))</f>
        <v/>
      </c>
      <c r="Z362" s="7">
        <f>IF($AH362="","",IF(INDEX('Per Invoice'!Z$2:Z$401,$AH362)="","",INDEX('Per Invoice'!Z$2:Z$401,$AH362)))</f>
        <v/>
      </c>
      <c r="AA362" s="7">
        <f>IF($AH362="","",IF(INDEX('Per Invoice'!AA$2:AA$401,$AH362)="","",INDEX('Per Invoice'!AA$2:AA$401,$AH362)))</f>
        <v/>
      </c>
      <c r="AB362" s="7">
        <f>IF($AH362="","",IF(INDEX('Per Invoice'!AB$2:AB$401,$AH362)="","",INDEX('Per Invoice'!AB$2:AB$401,$AH362)))</f>
        <v/>
      </c>
      <c r="AC362" s="7">
        <f>IF($AH362="","",IF(INDEX('Per Invoice'!AC$2:AC$401,$AH362)="","",INDEX('Per Invoice'!AC$2:AC$401,$AH362)))</f>
        <v/>
      </c>
      <c r="AD362" s="7">
        <f>IF($AH362="","",IF(INDEX('Per Invoice'!AD$2:AD$401,$AH362)="","",INDEX('Per Invoice'!AD$2:AD$401,$AH362)))</f>
        <v/>
      </c>
      <c r="AE362" s="7">
        <f>IF($AH362="","",IF(INDEX('Per Invoice'!AE$2:AE$401,$AH362)="","",INDEX('Per Invoice'!AE$2:AE$401,$AH362)))</f>
        <v/>
      </c>
      <c r="AF362">
        <f>IF($AH362="","",IF(INDEX('Per Invoice'!AF$2:AF$401,$AH362)="","",INDEX('Per Invoice'!AF$2:AF$401,$AH362)))</f>
        <v/>
      </c>
      <c r="AG362" s="7">
        <f>IF($AH362="","",IF(INDEX('Per Invoice'!AG$2:AG$401,$AH362)="","",INDEX('Per Invoice'!AG$2:AG$401,$AH362)))</f>
        <v/>
      </c>
      <c r="AH362" s="16">
        <f>IFERROR(MATCH(Settings!$C$26&amp;"|"&amp;ROWS($AH$2:$AH362),'Per Invoice'!$AI$2:$AI$401,0),"")</f>
        <v/>
      </c>
    </row>
    <row r="363">
      <c r="A363">
        <f>IF($AH363="","",IF(INDEX('Per Invoice'!A$2:A$401,$AH363)="","",INDEX('Per Invoice'!A$2:A$401,$AH363)))</f>
        <v/>
      </c>
      <c r="B363">
        <f>IF($AH363="","",IF(INDEX('Per Invoice'!B$2:B$401,$AH363)="","",INDEX('Per Invoice'!B$2:B$401,$AH363)))</f>
        <v/>
      </c>
      <c r="C363">
        <f>IF($AH363="","",IF(INDEX('Per Invoice'!C$2:C$401,$AH363)="","",INDEX('Per Invoice'!C$2:C$401,$AH363)))</f>
        <v/>
      </c>
      <c r="D363">
        <f>IF($AH363="","",IF(INDEX('Per Invoice'!D$2:D$401,$AH363)="","",INDEX('Per Invoice'!D$2:D$401,$AH363)))</f>
        <v/>
      </c>
      <c r="E363">
        <f>IF($AH363="","",IF(INDEX('Per Invoice'!E$2:E$401,$AH363)="","",INDEX('Per Invoice'!E$2:E$401,$AH363)))</f>
        <v/>
      </c>
      <c r="F363">
        <f>IF($AH363="","",IF(INDEX('Per Invoice'!F$2:F$401,$AH363)="","",INDEX('Per Invoice'!F$2:F$401,$AH363)))</f>
        <v/>
      </c>
      <c r="G363">
        <f>IF($AH363="","",IF(INDEX('Per Invoice'!G$2:G$401,$AH363)="","",INDEX('Per Invoice'!G$2:G$401,$AH363)))</f>
        <v/>
      </c>
      <c r="H363">
        <f>IF($AH363="","",IF(INDEX('Per Invoice'!H$2:H$401,$AH363)="","",INDEX('Per Invoice'!H$2:H$401,$AH363)))</f>
        <v/>
      </c>
      <c r="I363" s="14">
        <f>IF($AH363="","",IF(INDEX('Per Invoice'!I$2:I$401,$AH363)="","",INDEX('Per Invoice'!I$2:I$401,$AH363)))</f>
        <v/>
      </c>
      <c r="J363">
        <f>IF($AH363="","",IF(INDEX('Per Invoice'!J$2:J$401,$AH363)="","",INDEX('Per Invoice'!J$2:J$401,$AH363)))</f>
        <v/>
      </c>
      <c r="K363">
        <f>IF($AH363="","",IF(INDEX('Per Invoice'!K$2:K$401,$AH363)="","",INDEX('Per Invoice'!K$2:K$401,$AH363)))</f>
        <v/>
      </c>
      <c r="L363">
        <f>IF($AH363="","",IF(INDEX('Per Invoice'!L$2:L$401,$AH363)="","",INDEX('Per Invoice'!L$2:L$401,$AH363)))</f>
        <v/>
      </c>
      <c r="M363">
        <f>IF($AH363="","",IF(INDEX('Per Invoice'!M$2:M$401,$AH363)="","",INDEX('Per Invoice'!M$2:M$401,$AH363)))</f>
        <v/>
      </c>
      <c r="N363">
        <f>IF($AH363="","",IF(INDEX('Per Invoice'!N$2:N$401,$AH363)="","",INDEX('Per Invoice'!N$2:N$401,$AH363)))</f>
        <v/>
      </c>
      <c r="O363">
        <f>IF($AH363="","",IF(INDEX('Per Invoice'!O$2:O$401,$AH363)="","",INDEX('Per Invoice'!O$2:O$401,$AH363)))</f>
        <v/>
      </c>
      <c r="P363" s="7">
        <f>IF($AH363="","",IF(INDEX('Per Invoice'!P$2:P$401,$AH363)="","",INDEX('Per Invoice'!P$2:P$401,$AH363)))</f>
        <v/>
      </c>
      <c r="Q363">
        <f>IF($AH363="","",IF(INDEX('Per Invoice'!Q$2:Q$401,$AH363)="","",INDEX('Per Invoice'!Q$2:Q$401,$AH363)))</f>
        <v/>
      </c>
      <c r="R363">
        <f>IF($AH363="","",IF(INDEX('Per Invoice'!R$2:R$401,$AH363)="","",INDEX('Per Invoice'!R$2:R$401,$AH363)))</f>
        <v/>
      </c>
      <c r="S363">
        <f>IF($AH363="","",IF(INDEX('Per Invoice'!S$2:S$401,$AH363)="","",INDEX('Per Invoice'!S$2:S$401,$AH363)))</f>
        <v/>
      </c>
      <c r="T363" s="7">
        <f>IF($AH363="","",IF(INDEX('Per Invoice'!T$2:T$401,$AH363)="","",INDEX('Per Invoice'!T$2:T$401,$AH363)))</f>
        <v/>
      </c>
      <c r="U363" s="7">
        <f>IF($AH363="","",IF(INDEX('Per Invoice'!U$2:U$401,$AH363)="","",INDEX('Per Invoice'!U$2:U$401,$AH363)))</f>
        <v/>
      </c>
      <c r="V363">
        <f>IF($AH363="","",IF(INDEX('Per Invoice'!V$2:V$401,$AH363)="","",INDEX('Per Invoice'!V$2:V$401,$AH363)))</f>
        <v/>
      </c>
      <c r="W363" s="7">
        <f>IF($AH363="","",IF(INDEX('Per Invoice'!W$2:W$401,$AH363)="","",INDEX('Per Invoice'!W$2:W$401,$AH363)))</f>
        <v/>
      </c>
      <c r="X363" s="7">
        <f>IF($AH363="","",IF(INDEX('Per Invoice'!X$2:X$401,$AH363)="","",INDEX('Per Invoice'!X$2:X$401,$AH363)))</f>
        <v/>
      </c>
      <c r="Y363">
        <f>IF($AH363="","",IF(INDEX('Per Invoice'!Y$2:Y$401,$AH363)="","",INDEX('Per Invoice'!Y$2:Y$401,$AH363)))</f>
        <v/>
      </c>
      <c r="Z363" s="7">
        <f>IF($AH363="","",IF(INDEX('Per Invoice'!Z$2:Z$401,$AH363)="","",INDEX('Per Invoice'!Z$2:Z$401,$AH363)))</f>
        <v/>
      </c>
      <c r="AA363" s="7">
        <f>IF($AH363="","",IF(INDEX('Per Invoice'!AA$2:AA$401,$AH363)="","",INDEX('Per Invoice'!AA$2:AA$401,$AH363)))</f>
        <v/>
      </c>
      <c r="AB363" s="7">
        <f>IF($AH363="","",IF(INDEX('Per Invoice'!AB$2:AB$401,$AH363)="","",INDEX('Per Invoice'!AB$2:AB$401,$AH363)))</f>
        <v/>
      </c>
      <c r="AC363" s="7">
        <f>IF($AH363="","",IF(INDEX('Per Invoice'!AC$2:AC$401,$AH363)="","",INDEX('Per Invoice'!AC$2:AC$401,$AH363)))</f>
        <v/>
      </c>
      <c r="AD363" s="7">
        <f>IF($AH363="","",IF(INDEX('Per Invoice'!AD$2:AD$401,$AH363)="","",INDEX('Per Invoice'!AD$2:AD$401,$AH363)))</f>
        <v/>
      </c>
      <c r="AE363" s="7">
        <f>IF($AH363="","",IF(INDEX('Per Invoice'!AE$2:AE$401,$AH363)="","",INDEX('Per Invoice'!AE$2:AE$401,$AH363)))</f>
        <v/>
      </c>
      <c r="AF363">
        <f>IF($AH363="","",IF(INDEX('Per Invoice'!AF$2:AF$401,$AH363)="","",INDEX('Per Invoice'!AF$2:AF$401,$AH363)))</f>
        <v/>
      </c>
      <c r="AG363" s="7">
        <f>IF($AH363="","",IF(INDEX('Per Invoice'!AG$2:AG$401,$AH363)="","",INDEX('Per Invoice'!AG$2:AG$401,$AH363)))</f>
        <v/>
      </c>
      <c r="AH363" s="16">
        <f>IFERROR(MATCH(Settings!$C$26&amp;"|"&amp;ROWS($AH$2:$AH363),'Per Invoice'!$AI$2:$AI$401,0),"")</f>
        <v/>
      </c>
    </row>
    <row r="364">
      <c r="A364">
        <f>IF($AH364="","",IF(INDEX('Per Invoice'!A$2:A$401,$AH364)="","",INDEX('Per Invoice'!A$2:A$401,$AH364)))</f>
        <v/>
      </c>
      <c r="B364">
        <f>IF($AH364="","",IF(INDEX('Per Invoice'!B$2:B$401,$AH364)="","",INDEX('Per Invoice'!B$2:B$401,$AH364)))</f>
        <v/>
      </c>
      <c r="C364">
        <f>IF($AH364="","",IF(INDEX('Per Invoice'!C$2:C$401,$AH364)="","",INDEX('Per Invoice'!C$2:C$401,$AH364)))</f>
        <v/>
      </c>
      <c r="D364">
        <f>IF($AH364="","",IF(INDEX('Per Invoice'!D$2:D$401,$AH364)="","",INDEX('Per Invoice'!D$2:D$401,$AH364)))</f>
        <v/>
      </c>
      <c r="E364">
        <f>IF($AH364="","",IF(INDEX('Per Invoice'!E$2:E$401,$AH364)="","",INDEX('Per Invoice'!E$2:E$401,$AH364)))</f>
        <v/>
      </c>
      <c r="F364">
        <f>IF($AH364="","",IF(INDEX('Per Invoice'!F$2:F$401,$AH364)="","",INDEX('Per Invoice'!F$2:F$401,$AH364)))</f>
        <v/>
      </c>
      <c r="G364">
        <f>IF($AH364="","",IF(INDEX('Per Invoice'!G$2:G$401,$AH364)="","",INDEX('Per Invoice'!G$2:G$401,$AH364)))</f>
        <v/>
      </c>
      <c r="H364">
        <f>IF($AH364="","",IF(INDEX('Per Invoice'!H$2:H$401,$AH364)="","",INDEX('Per Invoice'!H$2:H$401,$AH364)))</f>
        <v/>
      </c>
      <c r="I364" s="14">
        <f>IF($AH364="","",IF(INDEX('Per Invoice'!I$2:I$401,$AH364)="","",INDEX('Per Invoice'!I$2:I$401,$AH364)))</f>
        <v/>
      </c>
      <c r="J364">
        <f>IF($AH364="","",IF(INDEX('Per Invoice'!J$2:J$401,$AH364)="","",INDEX('Per Invoice'!J$2:J$401,$AH364)))</f>
        <v/>
      </c>
      <c r="K364">
        <f>IF($AH364="","",IF(INDEX('Per Invoice'!K$2:K$401,$AH364)="","",INDEX('Per Invoice'!K$2:K$401,$AH364)))</f>
        <v/>
      </c>
      <c r="L364">
        <f>IF($AH364="","",IF(INDEX('Per Invoice'!L$2:L$401,$AH364)="","",INDEX('Per Invoice'!L$2:L$401,$AH364)))</f>
        <v/>
      </c>
      <c r="M364">
        <f>IF($AH364="","",IF(INDEX('Per Invoice'!M$2:M$401,$AH364)="","",INDEX('Per Invoice'!M$2:M$401,$AH364)))</f>
        <v/>
      </c>
      <c r="N364">
        <f>IF($AH364="","",IF(INDEX('Per Invoice'!N$2:N$401,$AH364)="","",INDEX('Per Invoice'!N$2:N$401,$AH364)))</f>
        <v/>
      </c>
      <c r="O364">
        <f>IF($AH364="","",IF(INDEX('Per Invoice'!O$2:O$401,$AH364)="","",INDEX('Per Invoice'!O$2:O$401,$AH364)))</f>
        <v/>
      </c>
      <c r="P364" s="7">
        <f>IF($AH364="","",IF(INDEX('Per Invoice'!P$2:P$401,$AH364)="","",INDEX('Per Invoice'!P$2:P$401,$AH364)))</f>
        <v/>
      </c>
      <c r="Q364">
        <f>IF($AH364="","",IF(INDEX('Per Invoice'!Q$2:Q$401,$AH364)="","",INDEX('Per Invoice'!Q$2:Q$401,$AH364)))</f>
        <v/>
      </c>
      <c r="R364">
        <f>IF($AH364="","",IF(INDEX('Per Invoice'!R$2:R$401,$AH364)="","",INDEX('Per Invoice'!R$2:R$401,$AH364)))</f>
        <v/>
      </c>
      <c r="S364">
        <f>IF($AH364="","",IF(INDEX('Per Invoice'!S$2:S$401,$AH364)="","",INDEX('Per Invoice'!S$2:S$401,$AH364)))</f>
        <v/>
      </c>
      <c r="T364" s="7">
        <f>IF($AH364="","",IF(INDEX('Per Invoice'!T$2:T$401,$AH364)="","",INDEX('Per Invoice'!T$2:T$401,$AH364)))</f>
        <v/>
      </c>
      <c r="U364" s="7">
        <f>IF($AH364="","",IF(INDEX('Per Invoice'!U$2:U$401,$AH364)="","",INDEX('Per Invoice'!U$2:U$401,$AH364)))</f>
        <v/>
      </c>
      <c r="V364">
        <f>IF($AH364="","",IF(INDEX('Per Invoice'!V$2:V$401,$AH364)="","",INDEX('Per Invoice'!V$2:V$401,$AH364)))</f>
        <v/>
      </c>
      <c r="W364" s="7">
        <f>IF($AH364="","",IF(INDEX('Per Invoice'!W$2:W$401,$AH364)="","",INDEX('Per Invoice'!W$2:W$401,$AH364)))</f>
        <v/>
      </c>
      <c r="X364" s="7">
        <f>IF($AH364="","",IF(INDEX('Per Invoice'!X$2:X$401,$AH364)="","",INDEX('Per Invoice'!X$2:X$401,$AH364)))</f>
        <v/>
      </c>
      <c r="Y364">
        <f>IF($AH364="","",IF(INDEX('Per Invoice'!Y$2:Y$401,$AH364)="","",INDEX('Per Invoice'!Y$2:Y$401,$AH364)))</f>
        <v/>
      </c>
      <c r="Z364" s="7">
        <f>IF($AH364="","",IF(INDEX('Per Invoice'!Z$2:Z$401,$AH364)="","",INDEX('Per Invoice'!Z$2:Z$401,$AH364)))</f>
        <v/>
      </c>
      <c r="AA364" s="7">
        <f>IF($AH364="","",IF(INDEX('Per Invoice'!AA$2:AA$401,$AH364)="","",INDEX('Per Invoice'!AA$2:AA$401,$AH364)))</f>
        <v/>
      </c>
      <c r="AB364" s="7">
        <f>IF($AH364="","",IF(INDEX('Per Invoice'!AB$2:AB$401,$AH364)="","",INDEX('Per Invoice'!AB$2:AB$401,$AH364)))</f>
        <v/>
      </c>
      <c r="AC364" s="7">
        <f>IF($AH364="","",IF(INDEX('Per Invoice'!AC$2:AC$401,$AH364)="","",INDEX('Per Invoice'!AC$2:AC$401,$AH364)))</f>
        <v/>
      </c>
      <c r="AD364" s="7">
        <f>IF($AH364="","",IF(INDEX('Per Invoice'!AD$2:AD$401,$AH364)="","",INDEX('Per Invoice'!AD$2:AD$401,$AH364)))</f>
        <v/>
      </c>
      <c r="AE364" s="7">
        <f>IF($AH364="","",IF(INDEX('Per Invoice'!AE$2:AE$401,$AH364)="","",INDEX('Per Invoice'!AE$2:AE$401,$AH364)))</f>
        <v/>
      </c>
      <c r="AF364">
        <f>IF($AH364="","",IF(INDEX('Per Invoice'!AF$2:AF$401,$AH364)="","",INDEX('Per Invoice'!AF$2:AF$401,$AH364)))</f>
        <v/>
      </c>
      <c r="AG364" s="7">
        <f>IF($AH364="","",IF(INDEX('Per Invoice'!AG$2:AG$401,$AH364)="","",INDEX('Per Invoice'!AG$2:AG$401,$AH364)))</f>
        <v/>
      </c>
      <c r="AH364" s="16">
        <f>IFERROR(MATCH(Settings!$C$26&amp;"|"&amp;ROWS($AH$2:$AH364),'Per Invoice'!$AI$2:$AI$401,0),"")</f>
        <v/>
      </c>
    </row>
    <row r="365">
      <c r="A365">
        <f>IF($AH365="","",IF(INDEX('Per Invoice'!A$2:A$401,$AH365)="","",INDEX('Per Invoice'!A$2:A$401,$AH365)))</f>
        <v/>
      </c>
      <c r="B365">
        <f>IF($AH365="","",IF(INDEX('Per Invoice'!B$2:B$401,$AH365)="","",INDEX('Per Invoice'!B$2:B$401,$AH365)))</f>
        <v/>
      </c>
      <c r="C365">
        <f>IF($AH365="","",IF(INDEX('Per Invoice'!C$2:C$401,$AH365)="","",INDEX('Per Invoice'!C$2:C$401,$AH365)))</f>
        <v/>
      </c>
      <c r="D365">
        <f>IF($AH365="","",IF(INDEX('Per Invoice'!D$2:D$401,$AH365)="","",INDEX('Per Invoice'!D$2:D$401,$AH365)))</f>
        <v/>
      </c>
      <c r="E365">
        <f>IF($AH365="","",IF(INDEX('Per Invoice'!E$2:E$401,$AH365)="","",INDEX('Per Invoice'!E$2:E$401,$AH365)))</f>
        <v/>
      </c>
      <c r="F365">
        <f>IF($AH365="","",IF(INDEX('Per Invoice'!F$2:F$401,$AH365)="","",INDEX('Per Invoice'!F$2:F$401,$AH365)))</f>
        <v/>
      </c>
      <c r="G365">
        <f>IF($AH365="","",IF(INDEX('Per Invoice'!G$2:G$401,$AH365)="","",INDEX('Per Invoice'!G$2:G$401,$AH365)))</f>
        <v/>
      </c>
      <c r="H365">
        <f>IF($AH365="","",IF(INDEX('Per Invoice'!H$2:H$401,$AH365)="","",INDEX('Per Invoice'!H$2:H$401,$AH365)))</f>
        <v/>
      </c>
      <c r="I365" s="14">
        <f>IF($AH365="","",IF(INDEX('Per Invoice'!I$2:I$401,$AH365)="","",INDEX('Per Invoice'!I$2:I$401,$AH365)))</f>
        <v/>
      </c>
      <c r="J365">
        <f>IF($AH365="","",IF(INDEX('Per Invoice'!J$2:J$401,$AH365)="","",INDEX('Per Invoice'!J$2:J$401,$AH365)))</f>
        <v/>
      </c>
      <c r="K365">
        <f>IF($AH365="","",IF(INDEX('Per Invoice'!K$2:K$401,$AH365)="","",INDEX('Per Invoice'!K$2:K$401,$AH365)))</f>
        <v/>
      </c>
      <c r="L365">
        <f>IF($AH365="","",IF(INDEX('Per Invoice'!L$2:L$401,$AH365)="","",INDEX('Per Invoice'!L$2:L$401,$AH365)))</f>
        <v/>
      </c>
      <c r="M365">
        <f>IF($AH365="","",IF(INDEX('Per Invoice'!M$2:M$401,$AH365)="","",INDEX('Per Invoice'!M$2:M$401,$AH365)))</f>
        <v/>
      </c>
      <c r="N365">
        <f>IF($AH365="","",IF(INDEX('Per Invoice'!N$2:N$401,$AH365)="","",INDEX('Per Invoice'!N$2:N$401,$AH365)))</f>
        <v/>
      </c>
      <c r="O365">
        <f>IF($AH365="","",IF(INDEX('Per Invoice'!O$2:O$401,$AH365)="","",INDEX('Per Invoice'!O$2:O$401,$AH365)))</f>
        <v/>
      </c>
      <c r="P365" s="7">
        <f>IF($AH365="","",IF(INDEX('Per Invoice'!P$2:P$401,$AH365)="","",INDEX('Per Invoice'!P$2:P$401,$AH365)))</f>
        <v/>
      </c>
      <c r="Q365">
        <f>IF($AH365="","",IF(INDEX('Per Invoice'!Q$2:Q$401,$AH365)="","",INDEX('Per Invoice'!Q$2:Q$401,$AH365)))</f>
        <v/>
      </c>
      <c r="R365">
        <f>IF($AH365="","",IF(INDEX('Per Invoice'!R$2:R$401,$AH365)="","",INDEX('Per Invoice'!R$2:R$401,$AH365)))</f>
        <v/>
      </c>
      <c r="S365">
        <f>IF($AH365="","",IF(INDEX('Per Invoice'!S$2:S$401,$AH365)="","",INDEX('Per Invoice'!S$2:S$401,$AH365)))</f>
        <v/>
      </c>
      <c r="T365" s="7">
        <f>IF($AH365="","",IF(INDEX('Per Invoice'!T$2:T$401,$AH365)="","",INDEX('Per Invoice'!T$2:T$401,$AH365)))</f>
        <v/>
      </c>
      <c r="U365" s="7">
        <f>IF($AH365="","",IF(INDEX('Per Invoice'!U$2:U$401,$AH365)="","",INDEX('Per Invoice'!U$2:U$401,$AH365)))</f>
        <v/>
      </c>
      <c r="V365">
        <f>IF($AH365="","",IF(INDEX('Per Invoice'!V$2:V$401,$AH365)="","",INDEX('Per Invoice'!V$2:V$401,$AH365)))</f>
        <v/>
      </c>
      <c r="W365" s="7">
        <f>IF($AH365="","",IF(INDEX('Per Invoice'!W$2:W$401,$AH365)="","",INDEX('Per Invoice'!W$2:W$401,$AH365)))</f>
        <v/>
      </c>
      <c r="X365" s="7">
        <f>IF($AH365="","",IF(INDEX('Per Invoice'!X$2:X$401,$AH365)="","",INDEX('Per Invoice'!X$2:X$401,$AH365)))</f>
        <v/>
      </c>
      <c r="Y365">
        <f>IF($AH365="","",IF(INDEX('Per Invoice'!Y$2:Y$401,$AH365)="","",INDEX('Per Invoice'!Y$2:Y$401,$AH365)))</f>
        <v/>
      </c>
      <c r="Z365" s="7">
        <f>IF($AH365="","",IF(INDEX('Per Invoice'!Z$2:Z$401,$AH365)="","",INDEX('Per Invoice'!Z$2:Z$401,$AH365)))</f>
        <v/>
      </c>
      <c r="AA365" s="7">
        <f>IF($AH365="","",IF(INDEX('Per Invoice'!AA$2:AA$401,$AH365)="","",INDEX('Per Invoice'!AA$2:AA$401,$AH365)))</f>
        <v/>
      </c>
      <c r="AB365" s="7">
        <f>IF($AH365="","",IF(INDEX('Per Invoice'!AB$2:AB$401,$AH365)="","",INDEX('Per Invoice'!AB$2:AB$401,$AH365)))</f>
        <v/>
      </c>
      <c r="AC365" s="7">
        <f>IF($AH365="","",IF(INDEX('Per Invoice'!AC$2:AC$401,$AH365)="","",INDEX('Per Invoice'!AC$2:AC$401,$AH365)))</f>
        <v/>
      </c>
      <c r="AD365" s="7">
        <f>IF($AH365="","",IF(INDEX('Per Invoice'!AD$2:AD$401,$AH365)="","",INDEX('Per Invoice'!AD$2:AD$401,$AH365)))</f>
        <v/>
      </c>
      <c r="AE365" s="7">
        <f>IF($AH365="","",IF(INDEX('Per Invoice'!AE$2:AE$401,$AH365)="","",INDEX('Per Invoice'!AE$2:AE$401,$AH365)))</f>
        <v/>
      </c>
      <c r="AF365">
        <f>IF($AH365="","",IF(INDEX('Per Invoice'!AF$2:AF$401,$AH365)="","",INDEX('Per Invoice'!AF$2:AF$401,$AH365)))</f>
        <v/>
      </c>
      <c r="AG365" s="7">
        <f>IF($AH365="","",IF(INDEX('Per Invoice'!AG$2:AG$401,$AH365)="","",INDEX('Per Invoice'!AG$2:AG$401,$AH365)))</f>
        <v/>
      </c>
      <c r="AH365" s="16">
        <f>IFERROR(MATCH(Settings!$C$26&amp;"|"&amp;ROWS($AH$2:$AH365),'Per Invoice'!$AI$2:$AI$401,0),"")</f>
        <v/>
      </c>
    </row>
    <row r="366">
      <c r="A366">
        <f>IF($AH366="","",IF(INDEX('Per Invoice'!A$2:A$401,$AH366)="","",INDEX('Per Invoice'!A$2:A$401,$AH366)))</f>
        <v/>
      </c>
      <c r="B366">
        <f>IF($AH366="","",IF(INDEX('Per Invoice'!B$2:B$401,$AH366)="","",INDEX('Per Invoice'!B$2:B$401,$AH366)))</f>
        <v/>
      </c>
      <c r="C366">
        <f>IF($AH366="","",IF(INDEX('Per Invoice'!C$2:C$401,$AH366)="","",INDEX('Per Invoice'!C$2:C$401,$AH366)))</f>
        <v/>
      </c>
      <c r="D366">
        <f>IF($AH366="","",IF(INDEX('Per Invoice'!D$2:D$401,$AH366)="","",INDEX('Per Invoice'!D$2:D$401,$AH366)))</f>
        <v/>
      </c>
      <c r="E366">
        <f>IF($AH366="","",IF(INDEX('Per Invoice'!E$2:E$401,$AH366)="","",INDEX('Per Invoice'!E$2:E$401,$AH366)))</f>
        <v/>
      </c>
      <c r="F366">
        <f>IF($AH366="","",IF(INDEX('Per Invoice'!F$2:F$401,$AH366)="","",INDEX('Per Invoice'!F$2:F$401,$AH366)))</f>
        <v/>
      </c>
      <c r="G366">
        <f>IF($AH366="","",IF(INDEX('Per Invoice'!G$2:G$401,$AH366)="","",INDEX('Per Invoice'!G$2:G$401,$AH366)))</f>
        <v/>
      </c>
      <c r="H366">
        <f>IF($AH366="","",IF(INDEX('Per Invoice'!H$2:H$401,$AH366)="","",INDEX('Per Invoice'!H$2:H$401,$AH366)))</f>
        <v/>
      </c>
      <c r="I366" s="14">
        <f>IF($AH366="","",IF(INDEX('Per Invoice'!I$2:I$401,$AH366)="","",INDEX('Per Invoice'!I$2:I$401,$AH366)))</f>
        <v/>
      </c>
      <c r="J366">
        <f>IF($AH366="","",IF(INDEX('Per Invoice'!J$2:J$401,$AH366)="","",INDEX('Per Invoice'!J$2:J$401,$AH366)))</f>
        <v/>
      </c>
      <c r="K366">
        <f>IF($AH366="","",IF(INDEX('Per Invoice'!K$2:K$401,$AH366)="","",INDEX('Per Invoice'!K$2:K$401,$AH366)))</f>
        <v/>
      </c>
      <c r="L366">
        <f>IF($AH366="","",IF(INDEX('Per Invoice'!L$2:L$401,$AH366)="","",INDEX('Per Invoice'!L$2:L$401,$AH366)))</f>
        <v/>
      </c>
      <c r="M366">
        <f>IF($AH366="","",IF(INDEX('Per Invoice'!M$2:M$401,$AH366)="","",INDEX('Per Invoice'!M$2:M$401,$AH366)))</f>
        <v/>
      </c>
      <c r="N366">
        <f>IF($AH366="","",IF(INDEX('Per Invoice'!N$2:N$401,$AH366)="","",INDEX('Per Invoice'!N$2:N$401,$AH366)))</f>
        <v/>
      </c>
      <c r="O366">
        <f>IF($AH366="","",IF(INDEX('Per Invoice'!O$2:O$401,$AH366)="","",INDEX('Per Invoice'!O$2:O$401,$AH366)))</f>
        <v/>
      </c>
      <c r="P366" s="7">
        <f>IF($AH366="","",IF(INDEX('Per Invoice'!P$2:P$401,$AH366)="","",INDEX('Per Invoice'!P$2:P$401,$AH366)))</f>
        <v/>
      </c>
      <c r="Q366">
        <f>IF($AH366="","",IF(INDEX('Per Invoice'!Q$2:Q$401,$AH366)="","",INDEX('Per Invoice'!Q$2:Q$401,$AH366)))</f>
        <v/>
      </c>
      <c r="R366">
        <f>IF($AH366="","",IF(INDEX('Per Invoice'!R$2:R$401,$AH366)="","",INDEX('Per Invoice'!R$2:R$401,$AH366)))</f>
        <v/>
      </c>
      <c r="S366">
        <f>IF($AH366="","",IF(INDEX('Per Invoice'!S$2:S$401,$AH366)="","",INDEX('Per Invoice'!S$2:S$401,$AH366)))</f>
        <v/>
      </c>
      <c r="T366" s="7">
        <f>IF($AH366="","",IF(INDEX('Per Invoice'!T$2:T$401,$AH366)="","",INDEX('Per Invoice'!T$2:T$401,$AH366)))</f>
        <v/>
      </c>
      <c r="U366" s="7">
        <f>IF($AH366="","",IF(INDEX('Per Invoice'!U$2:U$401,$AH366)="","",INDEX('Per Invoice'!U$2:U$401,$AH366)))</f>
        <v/>
      </c>
      <c r="V366">
        <f>IF($AH366="","",IF(INDEX('Per Invoice'!V$2:V$401,$AH366)="","",INDEX('Per Invoice'!V$2:V$401,$AH366)))</f>
        <v/>
      </c>
      <c r="W366" s="7">
        <f>IF($AH366="","",IF(INDEX('Per Invoice'!W$2:W$401,$AH366)="","",INDEX('Per Invoice'!W$2:W$401,$AH366)))</f>
        <v/>
      </c>
      <c r="X366" s="7">
        <f>IF($AH366="","",IF(INDEX('Per Invoice'!X$2:X$401,$AH366)="","",INDEX('Per Invoice'!X$2:X$401,$AH366)))</f>
        <v/>
      </c>
      <c r="Y366">
        <f>IF($AH366="","",IF(INDEX('Per Invoice'!Y$2:Y$401,$AH366)="","",INDEX('Per Invoice'!Y$2:Y$401,$AH366)))</f>
        <v/>
      </c>
      <c r="Z366" s="7">
        <f>IF($AH366="","",IF(INDEX('Per Invoice'!Z$2:Z$401,$AH366)="","",INDEX('Per Invoice'!Z$2:Z$401,$AH366)))</f>
        <v/>
      </c>
      <c r="AA366" s="7">
        <f>IF($AH366="","",IF(INDEX('Per Invoice'!AA$2:AA$401,$AH366)="","",INDEX('Per Invoice'!AA$2:AA$401,$AH366)))</f>
        <v/>
      </c>
      <c r="AB366" s="7">
        <f>IF($AH366="","",IF(INDEX('Per Invoice'!AB$2:AB$401,$AH366)="","",INDEX('Per Invoice'!AB$2:AB$401,$AH366)))</f>
        <v/>
      </c>
      <c r="AC366" s="7">
        <f>IF($AH366="","",IF(INDEX('Per Invoice'!AC$2:AC$401,$AH366)="","",INDEX('Per Invoice'!AC$2:AC$401,$AH366)))</f>
        <v/>
      </c>
      <c r="AD366" s="7">
        <f>IF($AH366="","",IF(INDEX('Per Invoice'!AD$2:AD$401,$AH366)="","",INDEX('Per Invoice'!AD$2:AD$401,$AH366)))</f>
        <v/>
      </c>
      <c r="AE366" s="7">
        <f>IF($AH366="","",IF(INDEX('Per Invoice'!AE$2:AE$401,$AH366)="","",INDEX('Per Invoice'!AE$2:AE$401,$AH366)))</f>
        <v/>
      </c>
      <c r="AF366">
        <f>IF($AH366="","",IF(INDEX('Per Invoice'!AF$2:AF$401,$AH366)="","",INDEX('Per Invoice'!AF$2:AF$401,$AH366)))</f>
        <v/>
      </c>
      <c r="AG366" s="7">
        <f>IF($AH366="","",IF(INDEX('Per Invoice'!AG$2:AG$401,$AH366)="","",INDEX('Per Invoice'!AG$2:AG$401,$AH366)))</f>
        <v/>
      </c>
      <c r="AH366" s="16">
        <f>IFERROR(MATCH(Settings!$C$26&amp;"|"&amp;ROWS($AH$2:$AH366),'Per Invoice'!$AI$2:$AI$401,0),"")</f>
        <v/>
      </c>
    </row>
    <row r="367">
      <c r="A367">
        <f>IF($AH367="","",IF(INDEX('Per Invoice'!A$2:A$401,$AH367)="","",INDEX('Per Invoice'!A$2:A$401,$AH367)))</f>
        <v/>
      </c>
      <c r="B367">
        <f>IF($AH367="","",IF(INDEX('Per Invoice'!B$2:B$401,$AH367)="","",INDEX('Per Invoice'!B$2:B$401,$AH367)))</f>
        <v/>
      </c>
      <c r="C367">
        <f>IF($AH367="","",IF(INDEX('Per Invoice'!C$2:C$401,$AH367)="","",INDEX('Per Invoice'!C$2:C$401,$AH367)))</f>
        <v/>
      </c>
      <c r="D367">
        <f>IF($AH367="","",IF(INDEX('Per Invoice'!D$2:D$401,$AH367)="","",INDEX('Per Invoice'!D$2:D$401,$AH367)))</f>
        <v/>
      </c>
      <c r="E367">
        <f>IF($AH367="","",IF(INDEX('Per Invoice'!E$2:E$401,$AH367)="","",INDEX('Per Invoice'!E$2:E$401,$AH367)))</f>
        <v/>
      </c>
      <c r="F367">
        <f>IF($AH367="","",IF(INDEX('Per Invoice'!F$2:F$401,$AH367)="","",INDEX('Per Invoice'!F$2:F$401,$AH367)))</f>
        <v/>
      </c>
      <c r="G367">
        <f>IF($AH367="","",IF(INDEX('Per Invoice'!G$2:G$401,$AH367)="","",INDEX('Per Invoice'!G$2:G$401,$AH367)))</f>
        <v/>
      </c>
      <c r="H367">
        <f>IF($AH367="","",IF(INDEX('Per Invoice'!H$2:H$401,$AH367)="","",INDEX('Per Invoice'!H$2:H$401,$AH367)))</f>
        <v/>
      </c>
      <c r="I367" s="14">
        <f>IF($AH367="","",IF(INDEX('Per Invoice'!I$2:I$401,$AH367)="","",INDEX('Per Invoice'!I$2:I$401,$AH367)))</f>
        <v/>
      </c>
      <c r="J367">
        <f>IF($AH367="","",IF(INDEX('Per Invoice'!J$2:J$401,$AH367)="","",INDEX('Per Invoice'!J$2:J$401,$AH367)))</f>
        <v/>
      </c>
      <c r="K367">
        <f>IF($AH367="","",IF(INDEX('Per Invoice'!K$2:K$401,$AH367)="","",INDEX('Per Invoice'!K$2:K$401,$AH367)))</f>
        <v/>
      </c>
      <c r="L367">
        <f>IF($AH367="","",IF(INDEX('Per Invoice'!L$2:L$401,$AH367)="","",INDEX('Per Invoice'!L$2:L$401,$AH367)))</f>
        <v/>
      </c>
      <c r="M367">
        <f>IF($AH367="","",IF(INDEX('Per Invoice'!M$2:M$401,$AH367)="","",INDEX('Per Invoice'!M$2:M$401,$AH367)))</f>
        <v/>
      </c>
      <c r="N367">
        <f>IF($AH367="","",IF(INDEX('Per Invoice'!N$2:N$401,$AH367)="","",INDEX('Per Invoice'!N$2:N$401,$AH367)))</f>
        <v/>
      </c>
      <c r="O367">
        <f>IF($AH367="","",IF(INDEX('Per Invoice'!O$2:O$401,$AH367)="","",INDEX('Per Invoice'!O$2:O$401,$AH367)))</f>
        <v/>
      </c>
      <c r="P367" s="7">
        <f>IF($AH367="","",IF(INDEX('Per Invoice'!P$2:P$401,$AH367)="","",INDEX('Per Invoice'!P$2:P$401,$AH367)))</f>
        <v/>
      </c>
      <c r="Q367">
        <f>IF($AH367="","",IF(INDEX('Per Invoice'!Q$2:Q$401,$AH367)="","",INDEX('Per Invoice'!Q$2:Q$401,$AH367)))</f>
        <v/>
      </c>
      <c r="R367">
        <f>IF($AH367="","",IF(INDEX('Per Invoice'!R$2:R$401,$AH367)="","",INDEX('Per Invoice'!R$2:R$401,$AH367)))</f>
        <v/>
      </c>
      <c r="S367">
        <f>IF($AH367="","",IF(INDEX('Per Invoice'!S$2:S$401,$AH367)="","",INDEX('Per Invoice'!S$2:S$401,$AH367)))</f>
        <v/>
      </c>
      <c r="T367" s="7">
        <f>IF($AH367="","",IF(INDEX('Per Invoice'!T$2:T$401,$AH367)="","",INDEX('Per Invoice'!T$2:T$401,$AH367)))</f>
        <v/>
      </c>
      <c r="U367" s="7">
        <f>IF($AH367="","",IF(INDEX('Per Invoice'!U$2:U$401,$AH367)="","",INDEX('Per Invoice'!U$2:U$401,$AH367)))</f>
        <v/>
      </c>
      <c r="V367">
        <f>IF($AH367="","",IF(INDEX('Per Invoice'!V$2:V$401,$AH367)="","",INDEX('Per Invoice'!V$2:V$401,$AH367)))</f>
        <v/>
      </c>
      <c r="W367" s="7">
        <f>IF($AH367="","",IF(INDEX('Per Invoice'!W$2:W$401,$AH367)="","",INDEX('Per Invoice'!W$2:W$401,$AH367)))</f>
        <v/>
      </c>
      <c r="X367" s="7">
        <f>IF($AH367="","",IF(INDEX('Per Invoice'!X$2:X$401,$AH367)="","",INDEX('Per Invoice'!X$2:X$401,$AH367)))</f>
        <v/>
      </c>
      <c r="Y367">
        <f>IF($AH367="","",IF(INDEX('Per Invoice'!Y$2:Y$401,$AH367)="","",INDEX('Per Invoice'!Y$2:Y$401,$AH367)))</f>
        <v/>
      </c>
      <c r="Z367" s="7">
        <f>IF($AH367="","",IF(INDEX('Per Invoice'!Z$2:Z$401,$AH367)="","",INDEX('Per Invoice'!Z$2:Z$401,$AH367)))</f>
        <v/>
      </c>
      <c r="AA367" s="7">
        <f>IF($AH367="","",IF(INDEX('Per Invoice'!AA$2:AA$401,$AH367)="","",INDEX('Per Invoice'!AA$2:AA$401,$AH367)))</f>
        <v/>
      </c>
      <c r="AB367" s="7">
        <f>IF($AH367="","",IF(INDEX('Per Invoice'!AB$2:AB$401,$AH367)="","",INDEX('Per Invoice'!AB$2:AB$401,$AH367)))</f>
        <v/>
      </c>
      <c r="AC367" s="7">
        <f>IF($AH367="","",IF(INDEX('Per Invoice'!AC$2:AC$401,$AH367)="","",INDEX('Per Invoice'!AC$2:AC$401,$AH367)))</f>
        <v/>
      </c>
      <c r="AD367" s="7">
        <f>IF($AH367="","",IF(INDEX('Per Invoice'!AD$2:AD$401,$AH367)="","",INDEX('Per Invoice'!AD$2:AD$401,$AH367)))</f>
        <v/>
      </c>
      <c r="AE367" s="7">
        <f>IF($AH367="","",IF(INDEX('Per Invoice'!AE$2:AE$401,$AH367)="","",INDEX('Per Invoice'!AE$2:AE$401,$AH367)))</f>
        <v/>
      </c>
      <c r="AF367">
        <f>IF($AH367="","",IF(INDEX('Per Invoice'!AF$2:AF$401,$AH367)="","",INDEX('Per Invoice'!AF$2:AF$401,$AH367)))</f>
        <v/>
      </c>
      <c r="AG367" s="7">
        <f>IF($AH367="","",IF(INDEX('Per Invoice'!AG$2:AG$401,$AH367)="","",INDEX('Per Invoice'!AG$2:AG$401,$AH367)))</f>
        <v/>
      </c>
      <c r="AH367" s="16">
        <f>IFERROR(MATCH(Settings!$C$26&amp;"|"&amp;ROWS($AH$2:$AH367),'Per Invoice'!$AI$2:$AI$401,0),"")</f>
        <v/>
      </c>
    </row>
    <row r="368">
      <c r="A368">
        <f>IF($AH368="","",IF(INDEX('Per Invoice'!A$2:A$401,$AH368)="","",INDEX('Per Invoice'!A$2:A$401,$AH368)))</f>
        <v/>
      </c>
      <c r="B368">
        <f>IF($AH368="","",IF(INDEX('Per Invoice'!B$2:B$401,$AH368)="","",INDEX('Per Invoice'!B$2:B$401,$AH368)))</f>
        <v/>
      </c>
      <c r="C368">
        <f>IF($AH368="","",IF(INDEX('Per Invoice'!C$2:C$401,$AH368)="","",INDEX('Per Invoice'!C$2:C$401,$AH368)))</f>
        <v/>
      </c>
      <c r="D368">
        <f>IF($AH368="","",IF(INDEX('Per Invoice'!D$2:D$401,$AH368)="","",INDEX('Per Invoice'!D$2:D$401,$AH368)))</f>
        <v/>
      </c>
      <c r="E368">
        <f>IF($AH368="","",IF(INDEX('Per Invoice'!E$2:E$401,$AH368)="","",INDEX('Per Invoice'!E$2:E$401,$AH368)))</f>
        <v/>
      </c>
      <c r="F368">
        <f>IF($AH368="","",IF(INDEX('Per Invoice'!F$2:F$401,$AH368)="","",INDEX('Per Invoice'!F$2:F$401,$AH368)))</f>
        <v/>
      </c>
      <c r="G368">
        <f>IF($AH368="","",IF(INDEX('Per Invoice'!G$2:G$401,$AH368)="","",INDEX('Per Invoice'!G$2:G$401,$AH368)))</f>
        <v/>
      </c>
      <c r="H368">
        <f>IF($AH368="","",IF(INDEX('Per Invoice'!H$2:H$401,$AH368)="","",INDEX('Per Invoice'!H$2:H$401,$AH368)))</f>
        <v/>
      </c>
      <c r="I368" s="14">
        <f>IF($AH368="","",IF(INDEX('Per Invoice'!I$2:I$401,$AH368)="","",INDEX('Per Invoice'!I$2:I$401,$AH368)))</f>
        <v/>
      </c>
      <c r="J368">
        <f>IF($AH368="","",IF(INDEX('Per Invoice'!J$2:J$401,$AH368)="","",INDEX('Per Invoice'!J$2:J$401,$AH368)))</f>
        <v/>
      </c>
      <c r="K368">
        <f>IF($AH368="","",IF(INDEX('Per Invoice'!K$2:K$401,$AH368)="","",INDEX('Per Invoice'!K$2:K$401,$AH368)))</f>
        <v/>
      </c>
      <c r="L368">
        <f>IF($AH368="","",IF(INDEX('Per Invoice'!L$2:L$401,$AH368)="","",INDEX('Per Invoice'!L$2:L$401,$AH368)))</f>
        <v/>
      </c>
      <c r="M368">
        <f>IF($AH368="","",IF(INDEX('Per Invoice'!M$2:M$401,$AH368)="","",INDEX('Per Invoice'!M$2:M$401,$AH368)))</f>
        <v/>
      </c>
      <c r="N368">
        <f>IF($AH368="","",IF(INDEX('Per Invoice'!N$2:N$401,$AH368)="","",INDEX('Per Invoice'!N$2:N$401,$AH368)))</f>
        <v/>
      </c>
      <c r="O368">
        <f>IF($AH368="","",IF(INDEX('Per Invoice'!O$2:O$401,$AH368)="","",INDEX('Per Invoice'!O$2:O$401,$AH368)))</f>
        <v/>
      </c>
      <c r="P368" s="7">
        <f>IF($AH368="","",IF(INDEX('Per Invoice'!P$2:P$401,$AH368)="","",INDEX('Per Invoice'!P$2:P$401,$AH368)))</f>
        <v/>
      </c>
      <c r="Q368">
        <f>IF($AH368="","",IF(INDEX('Per Invoice'!Q$2:Q$401,$AH368)="","",INDEX('Per Invoice'!Q$2:Q$401,$AH368)))</f>
        <v/>
      </c>
      <c r="R368">
        <f>IF($AH368="","",IF(INDEX('Per Invoice'!R$2:R$401,$AH368)="","",INDEX('Per Invoice'!R$2:R$401,$AH368)))</f>
        <v/>
      </c>
      <c r="S368">
        <f>IF($AH368="","",IF(INDEX('Per Invoice'!S$2:S$401,$AH368)="","",INDEX('Per Invoice'!S$2:S$401,$AH368)))</f>
        <v/>
      </c>
      <c r="T368" s="7">
        <f>IF($AH368="","",IF(INDEX('Per Invoice'!T$2:T$401,$AH368)="","",INDEX('Per Invoice'!T$2:T$401,$AH368)))</f>
        <v/>
      </c>
      <c r="U368" s="7">
        <f>IF($AH368="","",IF(INDEX('Per Invoice'!U$2:U$401,$AH368)="","",INDEX('Per Invoice'!U$2:U$401,$AH368)))</f>
        <v/>
      </c>
      <c r="V368">
        <f>IF($AH368="","",IF(INDEX('Per Invoice'!V$2:V$401,$AH368)="","",INDEX('Per Invoice'!V$2:V$401,$AH368)))</f>
        <v/>
      </c>
      <c r="W368" s="7">
        <f>IF($AH368="","",IF(INDEX('Per Invoice'!W$2:W$401,$AH368)="","",INDEX('Per Invoice'!W$2:W$401,$AH368)))</f>
        <v/>
      </c>
      <c r="X368" s="7">
        <f>IF($AH368="","",IF(INDEX('Per Invoice'!X$2:X$401,$AH368)="","",INDEX('Per Invoice'!X$2:X$401,$AH368)))</f>
        <v/>
      </c>
      <c r="Y368">
        <f>IF($AH368="","",IF(INDEX('Per Invoice'!Y$2:Y$401,$AH368)="","",INDEX('Per Invoice'!Y$2:Y$401,$AH368)))</f>
        <v/>
      </c>
      <c r="Z368" s="7">
        <f>IF($AH368="","",IF(INDEX('Per Invoice'!Z$2:Z$401,$AH368)="","",INDEX('Per Invoice'!Z$2:Z$401,$AH368)))</f>
        <v/>
      </c>
      <c r="AA368" s="7">
        <f>IF($AH368="","",IF(INDEX('Per Invoice'!AA$2:AA$401,$AH368)="","",INDEX('Per Invoice'!AA$2:AA$401,$AH368)))</f>
        <v/>
      </c>
      <c r="AB368" s="7">
        <f>IF($AH368="","",IF(INDEX('Per Invoice'!AB$2:AB$401,$AH368)="","",INDEX('Per Invoice'!AB$2:AB$401,$AH368)))</f>
        <v/>
      </c>
      <c r="AC368" s="7">
        <f>IF($AH368="","",IF(INDEX('Per Invoice'!AC$2:AC$401,$AH368)="","",INDEX('Per Invoice'!AC$2:AC$401,$AH368)))</f>
        <v/>
      </c>
      <c r="AD368" s="7">
        <f>IF($AH368="","",IF(INDEX('Per Invoice'!AD$2:AD$401,$AH368)="","",INDEX('Per Invoice'!AD$2:AD$401,$AH368)))</f>
        <v/>
      </c>
      <c r="AE368" s="7">
        <f>IF($AH368="","",IF(INDEX('Per Invoice'!AE$2:AE$401,$AH368)="","",INDEX('Per Invoice'!AE$2:AE$401,$AH368)))</f>
        <v/>
      </c>
      <c r="AF368">
        <f>IF($AH368="","",IF(INDEX('Per Invoice'!AF$2:AF$401,$AH368)="","",INDEX('Per Invoice'!AF$2:AF$401,$AH368)))</f>
        <v/>
      </c>
      <c r="AG368" s="7">
        <f>IF($AH368="","",IF(INDEX('Per Invoice'!AG$2:AG$401,$AH368)="","",INDEX('Per Invoice'!AG$2:AG$401,$AH368)))</f>
        <v/>
      </c>
      <c r="AH368" s="16">
        <f>IFERROR(MATCH(Settings!$C$26&amp;"|"&amp;ROWS($AH$2:$AH368),'Per Invoice'!$AI$2:$AI$401,0),"")</f>
        <v/>
      </c>
    </row>
    <row r="369">
      <c r="A369">
        <f>IF($AH369="","",IF(INDEX('Per Invoice'!A$2:A$401,$AH369)="","",INDEX('Per Invoice'!A$2:A$401,$AH369)))</f>
        <v/>
      </c>
      <c r="B369">
        <f>IF($AH369="","",IF(INDEX('Per Invoice'!B$2:B$401,$AH369)="","",INDEX('Per Invoice'!B$2:B$401,$AH369)))</f>
        <v/>
      </c>
      <c r="C369">
        <f>IF($AH369="","",IF(INDEX('Per Invoice'!C$2:C$401,$AH369)="","",INDEX('Per Invoice'!C$2:C$401,$AH369)))</f>
        <v/>
      </c>
      <c r="D369">
        <f>IF($AH369="","",IF(INDEX('Per Invoice'!D$2:D$401,$AH369)="","",INDEX('Per Invoice'!D$2:D$401,$AH369)))</f>
        <v/>
      </c>
      <c r="E369">
        <f>IF($AH369="","",IF(INDEX('Per Invoice'!E$2:E$401,$AH369)="","",INDEX('Per Invoice'!E$2:E$401,$AH369)))</f>
        <v/>
      </c>
      <c r="F369">
        <f>IF($AH369="","",IF(INDEX('Per Invoice'!F$2:F$401,$AH369)="","",INDEX('Per Invoice'!F$2:F$401,$AH369)))</f>
        <v/>
      </c>
      <c r="G369">
        <f>IF($AH369="","",IF(INDEX('Per Invoice'!G$2:G$401,$AH369)="","",INDEX('Per Invoice'!G$2:G$401,$AH369)))</f>
        <v/>
      </c>
      <c r="H369">
        <f>IF($AH369="","",IF(INDEX('Per Invoice'!H$2:H$401,$AH369)="","",INDEX('Per Invoice'!H$2:H$401,$AH369)))</f>
        <v/>
      </c>
      <c r="I369" s="14">
        <f>IF($AH369="","",IF(INDEX('Per Invoice'!I$2:I$401,$AH369)="","",INDEX('Per Invoice'!I$2:I$401,$AH369)))</f>
        <v/>
      </c>
      <c r="J369">
        <f>IF($AH369="","",IF(INDEX('Per Invoice'!J$2:J$401,$AH369)="","",INDEX('Per Invoice'!J$2:J$401,$AH369)))</f>
        <v/>
      </c>
      <c r="K369">
        <f>IF($AH369="","",IF(INDEX('Per Invoice'!K$2:K$401,$AH369)="","",INDEX('Per Invoice'!K$2:K$401,$AH369)))</f>
        <v/>
      </c>
      <c r="L369">
        <f>IF($AH369="","",IF(INDEX('Per Invoice'!L$2:L$401,$AH369)="","",INDEX('Per Invoice'!L$2:L$401,$AH369)))</f>
        <v/>
      </c>
      <c r="M369">
        <f>IF($AH369="","",IF(INDEX('Per Invoice'!M$2:M$401,$AH369)="","",INDEX('Per Invoice'!M$2:M$401,$AH369)))</f>
        <v/>
      </c>
      <c r="N369">
        <f>IF($AH369="","",IF(INDEX('Per Invoice'!N$2:N$401,$AH369)="","",INDEX('Per Invoice'!N$2:N$401,$AH369)))</f>
        <v/>
      </c>
      <c r="O369">
        <f>IF($AH369="","",IF(INDEX('Per Invoice'!O$2:O$401,$AH369)="","",INDEX('Per Invoice'!O$2:O$401,$AH369)))</f>
        <v/>
      </c>
      <c r="P369" s="7">
        <f>IF($AH369="","",IF(INDEX('Per Invoice'!P$2:P$401,$AH369)="","",INDEX('Per Invoice'!P$2:P$401,$AH369)))</f>
        <v/>
      </c>
      <c r="Q369">
        <f>IF($AH369="","",IF(INDEX('Per Invoice'!Q$2:Q$401,$AH369)="","",INDEX('Per Invoice'!Q$2:Q$401,$AH369)))</f>
        <v/>
      </c>
      <c r="R369">
        <f>IF($AH369="","",IF(INDEX('Per Invoice'!R$2:R$401,$AH369)="","",INDEX('Per Invoice'!R$2:R$401,$AH369)))</f>
        <v/>
      </c>
      <c r="S369">
        <f>IF($AH369="","",IF(INDEX('Per Invoice'!S$2:S$401,$AH369)="","",INDEX('Per Invoice'!S$2:S$401,$AH369)))</f>
        <v/>
      </c>
      <c r="T369" s="7">
        <f>IF($AH369="","",IF(INDEX('Per Invoice'!T$2:T$401,$AH369)="","",INDEX('Per Invoice'!T$2:T$401,$AH369)))</f>
        <v/>
      </c>
      <c r="U369" s="7">
        <f>IF($AH369="","",IF(INDEX('Per Invoice'!U$2:U$401,$AH369)="","",INDEX('Per Invoice'!U$2:U$401,$AH369)))</f>
        <v/>
      </c>
      <c r="V369">
        <f>IF($AH369="","",IF(INDEX('Per Invoice'!V$2:V$401,$AH369)="","",INDEX('Per Invoice'!V$2:V$401,$AH369)))</f>
        <v/>
      </c>
      <c r="W369" s="7">
        <f>IF($AH369="","",IF(INDEX('Per Invoice'!W$2:W$401,$AH369)="","",INDEX('Per Invoice'!W$2:W$401,$AH369)))</f>
        <v/>
      </c>
      <c r="X369" s="7">
        <f>IF($AH369="","",IF(INDEX('Per Invoice'!X$2:X$401,$AH369)="","",INDEX('Per Invoice'!X$2:X$401,$AH369)))</f>
        <v/>
      </c>
      <c r="Y369">
        <f>IF($AH369="","",IF(INDEX('Per Invoice'!Y$2:Y$401,$AH369)="","",INDEX('Per Invoice'!Y$2:Y$401,$AH369)))</f>
        <v/>
      </c>
      <c r="Z369" s="7">
        <f>IF($AH369="","",IF(INDEX('Per Invoice'!Z$2:Z$401,$AH369)="","",INDEX('Per Invoice'!Z$2:Z$401,$AH369)))</f>
        <v/>
      </c>
      <c r="AA369" s="7">
        <f>IF($AH369="","",IF(INDEX('Per Invoice'!AA$2:AA$401,$AH369)="","",INDEX('Per Invoice'!AA$2:AA$401,$AH369)))</f>
        <v/>
      </c>
      <c r="AB369" s="7">
        <f>IF($AH369="","",IF(INDEX('Per Invoice'!AB$2:AB$401,$AH369)="","",INDEX('Per Invoice'!AB$2:AB$401,$AH369)))</f>
        <v/>
      </c>
      <c r="AC369" s="7">
        <f>IF($AH369="","",IF(INDEX('Per Invoice'!AC$2:AC$401,$AH369)="","",INDEX('Per Invoice'!AC$2:AC$401,$AH369)))</f>
        <v/>
      </c>
      <c r="AD369" s="7">
        <f>IF($AH369="","",IF(INDEX('Per Invoice'!AD$2:AD$401,$AH369)="","",INDEX('Per Invoice'!AD$2:AD$401,$AH369)))</f>
        <v/>
      </c>
      <c r="AE369" s="7">
        <f>IF($AH369="","",IF(INDEX('Per Invoice'!AE$2:AE$401,$AH369)="","",INDEX('Per Invoice'!AE$2:AE$401,$AH369)))</f>
        <v/>
      </c>
      <c r="AF369">
        <f>IF($AH369="","",IF(INDEX('Per Invoice'!AF$2:AF$401,$AH369)="","",INDEX('Per Invoice'!AF$2:AF$401,$AH369)))</f>
        <v/>
      </c>
      <c r="AG369" s="7">
        <f>IF($AH369="","",IF(INDEX('Per Invoice'!AG$2:AG$401,$AH369)="","",INDEX('Per Invoice'!AG$2:AG$401,$AH369)))</f>
        <v/>
      </c>
      <c r="AH369" s="16">
        <f>IFERROR(MATCH(Settings!$C$26&amp;"|"&amp;ROWS($AH$2:$AH369),'Per Invoice'!$AI$2:$AI$401,0),"")</f>
        <v/>
      </c>
    </row>
    <row r="370">
      <c r="A370">
        <f>IF($AH370="","",IF(INDEX('Per Invoice'!A$2:A$401,$AH370)="","",INDEX('Per Invoice'!A$2:A$401,$AH370)))</f>
        <v/>
      </c>
      <c r="B370">
        <f>IF($AH370="","",IF(INDEX('Per Invoice'!B$2:B$401,$AH370)="","",INDEX('Per Invoice'!B$2:B$401,$AH370)))</f>
        <v/>
      </c>
      <c r="C370">
        <f>IF($AH370="","",IF(INDEX('Per Invoice'!C$2:C$401,$AH370)="","",INDEX('Per Invoice'!C$2:C$401,$AH370)))</f>
        <v/>
      </c>
      <c r="D370">
        <f>IF($AH370="","",IF(INDEX('Per Invoice'!D$2:D$401,$AH370)="","",INDEX('Per Invoice'!D$2:D$401,$AH370)))</f>
        <v/>
      </c>
      <c r="E370">
        <f>IF($AH370="","",IF(INDEX('Per Invoice'!E$2:E$401,$AH370)="","",INDEX('Per Invoice'!E$2:E$401,$AH370)))</f>
        <v/>
      </c>
      <c r="F370">
        <f>IF($AH370="","",IF(INDEX('Per Invoice'!F$2:F$401,$AH370)="","",INDEX('Per Invoice'!F$2:F$401,$AH370)))</f>
        <v/>
      </c>
      <c r="G370">
        <f>IF($AH370="","",IF(INDEX('Per Invoice'!G$2:G$401,$AH370)="","",INDEX('Per Invoice'!G$2:G$401,$AH370)))</f>
        <v/>
      </c>
      <c r="H370">
        <f>IF($AH370="","",IF(INDEX('Per Invoice'!H$2:H$401,$AH370)="","",INDEX('Per Invoice'!H$2:H$401,$AH370)))</f>
        <v/>
      </c>
      <c r="I370" s="14">
        <f>IF($AH370="","",IF(INDEX('Per Invoice'!I$2:I$401,$AH370)="","",INDEX('Per Invoice'!I$2:I$401,$AH370)))</f>
        <v/>
      </c>
      <c r="J370">
        <f>IF($AH370="","",IF(INDEX('Per Invoice'!J$2:J$401,$AH370)="","",INDEX('Per Invoice'!J$2:J$401,$AH370)))</f>
        <v/>
      </c>
      <c r="K370">
        <f>IF($AH370="","",IF(INDEX('Per Invoice'!K$2:K$401,$AH370)="","",INDEX('Per Invoice'!K$2:K$401,$AH370)))</f>
        <v/>
      </c>
      <c r="L370">
        <f>IF($AH370="","",IF(INDEX('Per Invoice'!L$2:L$401,$AH370)="","",INDEX('Per Invoice'!L$2:L$401,$AH370)))</f>
        <v/>
      </c>
      <c r="M370">
        <f>IF($AH370="","",IF(INDEX('Per Invoice'!M$2:M$401,$AH370)="","",INDEX('Per Invoice'!M$2:M$401,$AH370)))</f>
        <v/>
      </c>
      <c r="N370">
        <f>IF($AH370="","",IF(INDEX('Per Invoice'!N$2:N$401,$AH370)="","",INDEX('Per Invoice'!N$2:N$401,$AH370)))</f>
        <v/>
      </c>
      <c r="O370">
        <f>IF($AH370="","",IF(INDEX('Per Invoice'!O$2:O$401,$AH370)="","",INDEX('Per Invoice'!O$2:O$401,$AH370)))</f>
        <v/>
      </c>
      <c r="P370" s="7">
        <f>IF($AH370="","",IF(INDEX('Per Invoice'!P$2:P$401,$AH370)="","",INDEX('Per Invoice'!P$2:P$401,$AH370)))</f>
        <v/>
      </c>
      <c r="Q370">
        <f>IF($AH370="","",IF(INDEX('Per Invoice'!Q$2:Q$401,$AH370)="","",INDEX('Per Invoice'!Q$2:Q$401,$AH370)))</f>
        <v/>
      </c>
      <c r="R370">
        <f>IF($AH370="","",IF(INDEX('Per Invoice'!R$2:R$401,$AH370)="","",INDEX('Per Invoice'!R$2:R$401,$AH370)))</f>
        <v/>
      </c>
      <c r="S370">
        <f>IF($AH370="","",IF(INDEX('Per Invoice'!S$2:S$401,$AH370)="","",INDEX('Per Invoice'!S$2:S$401,$AH370)))</f>
        <v/>
      </c>
      <c r="T370" s="7">
        <f>IF($AH370="","",IF(INDEX('Per Invoice'!T$2:T$401,$AH370)="","",INDEX('Per Invoice'!T$2:T$401,$AH370)))</f>
        <v/>
      </c>
      <c r="U370" s="7">
        <f>IF($AH370="","",IF(INDEX('Per Invoice'!U$2:U$401,$AH370)="","",INDEX('Per Invoice'!U$2:U$401,$AH370)))</f>
        <v/>
      </c>
      <c r="V370">
        <f>IF($AH370="","",IF(INDEX('Per Invoice'!V$2:V$401,$AH370)="","",INDEX('Per Invoice'!V$2:V$401,$AH370)))</f>
        <v/>
      </c>
      <c r="W370" s="7">
        <f>IF($AH370="","",IF(INDEX('Per Invoice'!W$2:W$401,$AH370)="","",INDEX('Per Invoice'!W$2:W$401,$AH370)))</f>
        <v/>
      </c>
      <c r="X370" s="7">
        <f>IF($AH370="","",IF(INDEX('Per Invoice'!X$2:X$401,$AH370)="","",INDEX('Per Invoice'!X$2:X$401,$AH370)))</f>
        <v/>
      </c>
      <c r="Y370">
        <f>IF($AH370="","",IF(INDEX('Per Invoice'!Y$2:Y$401,$AH370)="","",INDEX('Per Invoice'!Y$2:Y$401,$AH370)))</f>
        <v/>
      </c>
      <c r="Z370" s="7">
        <f>IF($AH370="","",IF(INDEX('Per Invoice'!Z$2:Z$401,$AH370)="","",INDEX('Per Invoice'!Z$2:Z$401,$AH370)))</f>
        <v/>
      </c>
      <c r="AA370" s="7">
        <f>IF($AH370="","",IF(INDEX('Per Invoice'!AA$2:AA$401,$AH370)="","",INDEX('Per Invoice'!AA$2:AA$401,$AH370)))</f>
        <v/>
      </c>
      <c r="AB370" s="7">
        <f>IF($AH370="","",IF(INDEX('Per Invoice'!AB$2:AB$401,$AH370)="","",INDEX('Per Invoice'!AB$2:AB$401,$AH370)))</f>
        <v/>
      </c>
      <c r="AC370" s="7">
        <f>IF($AH370="","",IF(INDEX('Per Invoice'!AC$2:AC$401,$AH370)="","",INDEX('Per Invoice'!AC$2:AC$401,$AH370)))</f>
        <v/>
      </c>
      <c r="AD370" s="7">
        <f>IF($AH370="","",IF(INDEX('Per Invoice'!AD$2:AD$401,$AH370)="","",INDEX('Per Invoice'!AD$2:AD$401,$AH370)))</f>
        <v/>
      </c>
      <c r="AE370" s="7">
        <f>IF($AH370="","",IF(INDEX('Per Invoice'!AE$2:AE$401,$AH370)="","",INDEX('Per Invoice'!AE$2:AE$401,$AH370)))</f>
        <v/>
      </c>
      <c r="AF370">
        <f>IF($AH370="","",IF(INDEX('Per Invoice'!AF$2:AF$401,$AH370)="","",INDEX('Per Invoice'!AF$2:AF$401,$AH370)))</f>
        <v/>
      </c>
      <c r="AG370" s="7">
        <f>IF($AH370="","",IF(INDEX('Per Invoice'!AG$2:AG$401,$AH370)="","",INDEX('Per Invoice'!AG$2:AG$401,$AH370)))</f>
        <v/>
      </c>
      <c r="AH370" s="16">
        <f>IFERROR(MATCH(Settings!$C$26&amp;"|"&amp;ROWS($AH$2:$AH370),'Per Invoice'!$AI$2:$AI$401,0),"")</f>
        <v/>
      </c>
    </row>
    <row r="371">
      <c r="A371">
        <f>IF($AH371="","",IF(INDEX('Per Invoice'!A$2:A$401,$AH371)="","",INDEX('Per Invoice'!A$2:A$401,$AH371)))</f>
        <v/>
      </c>
      <c r="B371">
        <f>IF($AH371="","",IF(INDEX('Per Invoice'!B$2:B$401,$AH371)="","",INDEX('Per Invoice'!B$2:B$401,$AH371)))</f>
        <v/>
      </c>
      <c r="C371">
        <f>IF($AH371="","",IF(INDEX('Per Invoice'!C$2:C$401,$AH371)="","",INDEX('Per Invoice'!C$2:C$401,$AH371)))</f>
        <v/>
      </c>
      <c r="D371">
        <f>IF($AH371="","",IF(INDEX('Per Invoice'!D$2:D$401,$AH371)="","",INDEX('Per Invoice'!D$2:D$401,$AH371)))</f>
        <v/>
      </c>
      <c r="E371">
        <f>IF($AH371="","",IF(INDEX('Per Invoice'!E$2:E$401,$AH371)="","",INDEX('Per Invoice'!E$2:E$401,$AH371)))</f>
        <v/>
      </c>
      <c r="F371">
        <f>IF($AH371="","",IF(INDEX('Per Invoice'!F$2:F$401,$AH371)="","",INDEX('Per Invoice'!F$2:F$401,$AH371)))</f>
        <v/>
      </c>
      <c r="G371">
        <f>IF($AH371="","",IF(INDEX('Per Invoice'!G$2:G$401,$AH371)="","",INDEX('Per Invoice'!G$2:G$401,$AH371)))</f>
        <v/>
      </c>
      <c r="H371">
        <f>IF($AH371="","",IF(INDEX('Per Invoice'!H$2:H$401,$AH371)="","",INDEX('Per Invoice'!H$2:H$401,$AH371)))</f>
        <v/>
      </c>
      <c r="I371" s="14">
        <f>IF($AH371="","",IF(INDEX('Per Invoice'!I$2:I$401,$AH371)="","",INDEX('Per Invoice'!I$2:I$401,$AH371)))</f>
        <v/>
      </c>
      <c r="J371">
        <f>IF($AH371="","",IF(INDEX('Per Invoice'!J$2:J$401,$AH371)="","",INDEX('Per Invoice'!J$2:J$401,$AH371)))</f>
        <v/>
      </c>
      <c r="K371">
        <f>IF($AH371="","",IF(INDEX('Per Invoice'!K$2:K$401,$AH371)="","",INDEX('Per Invoice'!K$2:K$401,$AH371)))</f>
        <v/>
      </c>
      <c r="L371">
        <f>IF($AH371="","",IF(INDEX('Per Invoice'!L$2:L$401,$AH371)="","",INDEX('Per Invoice'!L$2:L$401,$AH371)))</f>
        <v/>
      </c>
      <c r="M371">
        <f>IF($AH371="","",IF(INDEX('Per Invoice'!M$2:M$401,$AH371)="","",INDEX('Per Invoice'!M$2:M$401,$AH371)))</f>
        <v/>
      </c>
      <c r="N371">
        <f>IF($AH371="","",IF(INDEX('Per Invoice'!N$2:N$401,$AH371)="","",INDEX('Per Invoice'!N$2:N$401,$AH371)))</f>
        <v/>
      </c>
      <c r="O371">
        <f>IF($AH371="","",IF(INDEX('Per Invoice'!O$2:O$401,$AH371)="","",INDEX('Per Invoice'!O$2:O$401,$AH371)))</f>
        <v/>
      </c>
      <c r="P371" s="7">
        <f>IF($AH371="","",IF(INDEX('Per Invoice'!P$2:P$401,$AH371)="","",INDEX('Per Invoice'!P$2:P$401,$AH371)))</f>
        <v/>
      </c>
      <c r="Q371">
        <f>IF($AH371="","",IF(INDEX('Per Invoice'!Q$2:Q$401,$AH371)="","",INDEX('Per Invoice'!Q$2:Q$401,$AH371)))</f>
        <v/>
      </c>
      <c r="R371">
        <f>IF($AH371="","",IF(INDEX('Per Invoice'!R$2:R$401,$AH371)="","",INDEX('Per Invoice'!R$2:R$401,$AH371)))</f>
        <v/>
      </c>
      <c r="S371">
        <f>IF($AH371="","",IF(INDEX('Per Invoice'!S$2:S$401,$AH371)="","",INDEX('Per Invoice'!S$2:S$401,$AH371)))</f>
        <v/>
      </c>
      <c r="T371" s="7">
        <f>IF($AH371="","",IF(INDEX('Per Invoice'!T$2:T$401,$AH371)="","",INDEX('Per Invoice'!T$2:T$401,$AH371)))</f>
        <v/>
      </c>
      <c r="U371" s="7">
        <f>IF($AH371="","",IF(INDEX('Per Invoice'!U$2:U$401,$AH371)="","",INDEX('Per Invoice'!U$2:U$401,$AH371)))</f>
        <v/>
      </c>
      <c r="V371">
        <f>IF($AH371="","",IF(INDEX('Per Invoice'!V$2:V$401,$AH371)="","",INDEX('Per Invoice'!V$2:V$401,$AH371)))</f>
        <v/>
      </c>
      <c r="W371" s="7">
        <f>IF($AH371="","",IF(INDEX('Per Invoice'!W$2:W$401,$AH371)="","",INDEX('Per Invoice'!W$2:W$401,$AH371)))</f>
        <v/>
      </c>
      <c r="X371" s="7">
        <f>IF($AH371="","",IF(INDEX('Per Invoice'!X$2:X$401,$AH371)="","",INDEX('Per Invoice'!X$2:X$401,$AH371)))</f>
        <v/>
      </c>
      <c r="Y371">
        <f>IF($AH371="","",IF(INDEX('Per Invoice'!Y$2:Y$401,$AH371)="","",INDEX('Per Invoice'!Y$2:Y$401,$AH371)))</f>
        <v/>
      </c>
      <c r="Z371" s="7">
        <f>IF($AH371="","",IF(INDEX('Per Invoice'!Z$2:Z$401,$AH371)="","",INDEX('Per Invoice'!Z$2:Z$401,$AH371)))</f>
        <v/>
      </c>
      <c r="AA371" s="7">
        <f>IF($AH371="","",IF(INDEX('Per Invoice'!AA$2:AA$401,$AH371)="","",INDEX('Per Invoice'!AA$2:AA$401,$AH371)))</f>
        <v/>
      </c>
      <c r="AB371" s="7">
        <f>IF($AH371="","",IF(INDEX('Per Invoice'!AB$2:AB$401,$AH371)="","",INDEX('Per Invoice'!AB$2:AB$401,$AH371)))</f>
        <v/>
      </c>
      <c r="AC371" s="7">
        <f>IF($AH371="","",IF(INDEX('Per Invoice'!AC$2:AC$401,$AH371)="","",INDEX('Per Invoice'!AC$2:AC$401,$AH371)))</f>
        <v/>
      </c>
      <c r="AD371" s="7">
        <f>IF($AH371="","",IF(INDEX('Per Invoice'!AD$2:AD$401,$AH371)="","",INDEX('Per Invoice'!AD$2:AD$401,$AH371)))</f>
        <v/>
      </c>
      <c r="AE371" s="7">
        <f>IF($AH371="","",IF(INDEX('Per Invoice'!AE$2:AE$401,$AH371)="","",INDEX('Per Invoice'!AE$2:AE$401,$AH371)))</f>
        <v/>
      </c>
      <c r="AF371">
        <f>IF($AH371="","",IF(INDEX('Per Invoice'!AF$2:AF$401,$AH371)="","",INDEX('Per Invoice'!AF$2:AF$401,$AH371)))</f>
        <v/>
      </c>
      <c r="AG371" s="7">
        <f>IF($AH371="","",IF(INDEX('Per Invoice'!AG$2:AG$401,$AH371)="","",INDEX('Per Invoice'!AG$2:AG$401,$AH371)))</f>
        <v/>
      </c>
      <c r="AH371" s="16">
        <f>IFERROR(MATCH(Settings!$C$26&amp;"|"&amp;ROWS($AH$2:$AH371),'Per Invoice'!$AI$2:$AI$401,0),"")</f>
        <v/>
      </c>
    </row>
    <row r="372">
      <c r="A372">
        <f>IF($AH372="","",IF(INDEX('Per Invoice'!A$2:A$401,$AH372)="","",INDEX('Per Invoice'!A$2:A$401,$AH372)))</f>
        <v/>
      </c>
      <c r="B372">
        <f>IF($AH372="","",IF(INDEX('Per Invoice'!B$2:B$401,$AH372)="","",INDEX('Per Invoice'!B$2:B$401,$AH372)))</f>
        <v/>
      </c>
      <c r="C372">
        <f>IF($AH372="","",IF(INDEX('Per Invoice'!C$2:C$401,$AH372)="","",INDEX('Per Invoice'!C$2:C$401,$AH372)))</f>
        <v/>
      </c>
      <c r="D372">
        <f>IF($AH372="","",IF(INDEX('Per Invoice'!D$2:D$401,$AH372)="","",INDEX('Per Invoice'!D$2:D$401,$AH372)))</f>
        <v/>
      </c>
      <c r="E372">
        <f>IF($AH372="","",IF(INDEX('Per Invoice'!E$2:E$401,$AH372)="","",INDEX('Per Invoice'!E$2:E$401,$AH372)))</f>
        <v/>
      </c>
      <c r="F372">
        <f>IF($AH372="","",IF(INDEX('Per Invoice'!F$2:F$401,$AH372)="","",INDEX('Per Invoice'!F$2:F$401,$AH372)))</f>
        <v/>
      </c>
      <c r="G372">
        <f>IF($AH372="","",IF(INDEX('Per Invoice'!G$2:G$401,$AH372)="","",INDEX('Per Invoice'!G$2:G$401,$AH372)))</f>
        <v/>
      </c>
      <c r="H372">
        <f>IF($AH372="","",IF(INDEX('Per Invoice'!H$2:H$401,$AH372)="","",INDEX('Per Invoice'!H$2:H$401,$AH372)))</f>
        <v/>
      </c>
      <c r="I372" s="14">
        <f>IF($AH372="","",IF(INDEX('Per Invoice'!I$2:I$401,$AH372)="","",INDEX('Per Invoice'!I$2:I$401,$AH372)))</f>
        <v/>
      </c>
      <c r="J372">
        <f>IF($AH372="","",IF(INDEX('Per Invoice'!J$2:J$401,$AH372)="","",INDEX('Per Invoice'!J$2:J$401,$AH372)))</f>
        <v/>
      </c>
      <c r="K372">
        <f>IF($AH372="","",IF(INDEX('Per Invoice'!K$2:K$401,$AH372)="","",INDEX('Per Invoice'!K$2:K$401,$AH372)))</f>
        <v/>
      </c>
      <c r="L372">
        <f>IF($AH372="","",IF(INDEX('Per Invoice'!L$2:L$401,$AH372)="","",INDEX('Per Invoice'!L$2:L$401,$AH372)))</f>
        <v/>
      </c>
      <c r="M372">
        <f>IF($AH372="","",IF(INDEX('Per Invoice'!M$2:M$401,$AH372)="","",INDEX('Per Invoice'!M$2:M$401,$AH372)))</f>
        <v/>
      </c>
      <c r="N372">
        <f>IF($AH372="","",IF(INDEX('Per Invoice'!N$2:N$401,$AH372)="","",INDEX('Per Invoice'!N$2:N$401,$AH372)))</f>
        <v/>
      </c>
      <c r="O372">
        <f>IF($AH372="","",IF(INDEX('Per Invoice'!O$2:O$401,$AH372)="","",INDEX('Per Invoice'!O$2:O$401,$AH372)))</f>
        <v/>
      </c>
      <c r="P372" s="7">
        <f>IF($AH372="","",IF(INDEX('Per Invoice'!P$2:P$401,$AH372)="","",INDEX('Per Invoice'!P$2:P$401,$AH372)))</f>
        <v/>
      </c>
      <c r="Q372">
        <f>IF($AH372="","",IF(INDEX('Per Invoice'!Q$2:Q$401,$AH372)="","",INDEX('Per Invoice'!Q$2:Q$401,$AH372)))</f>
        <v/>
      </c>
      <c r="R372">
        <f>IF($AH372="","",IF(INDEX('Per Invoice'!R$2:R$401,$AH372)="","",INDEX('Per Invoice'!R$2:R$401,$AH372)))</f>
        <v/>
      </c>
      <c r="S372">
        <f>IF($AH372="","",IF(INDEX('Per Invoice'!S$2:S$401,$AH372)="","",INDEX('Per Invoice'!S$2:S$401,$AH372)))</f>
        <v/>
      </c>
      <c r="T372" s="7">
        <f>IF($AH372="","",IF(INDEX('Per Invoice'!T$2:T$401,$AH372)="","",INDEX('Per Invoice'!T$2:T$401,$AH372)))</f>
        <v/>
      </c>
      <c r="U372" s="7">
        <f>IF($AH372="","",IF(INDEX('Per Invoice'!U$2:U$401,$AH372)="","",INDEX('Per Invoice'!U$2:U$401,$AH372)))</f>
        <v/>
      </c>
      <c r="V372">
        <f>IF($AH372="","",IF(INDEX('Per Invoice'!V$2:V$401,$AH372)="","",INDEX('Per Invoice'!V$2:V$401,$AH372)))</f>
        <v/>
      </c>
      <c r="W372" s="7">
        <f>IF($AH372="","",IF(INDEX('Per Invoice'!W$2:W$401,$AH372)="","",INDEX('Per Invoice'!W$2:W$401,$AH372)))</f>
        <v/>
      </c>
      <c r="X372" s="7">
        <f>IF($AH372="","",IF(INDEX('Per Invoice'!X$2:X$401,$AH372)="","",INDEX('Per Invoice'!X$2:X$401,$AH372)))</f>
        <v/>
      </c>
      <c r="Y372">
        <f>IF($AH372="","",IF(INDEX('Per Invoice'!Y$2:Y$401,$AH372)="","",INDEX('Per Invoice'!Y$2:Y$401,$AH372)))</f>
        <v/>
      </c>
      <c r="Z372" s="7">
        <f>IF($AH372="","",IF(INDEX('Per Invoice'!Z$2:Z$401,$AH372)="","",INDEX('Per Invoice'!Z$2:Z$401,$AH372)))</f>
        <v/>
      </c>
      <c r="AA372" s="7">
        <f>IF($AH372="","",IF(INDEX('Per Invoice'!AA$2:AA$401,$AH372)="","",INDEX('Per Invoice'!AA$2:AA$401,$AH372)))</f>
        <v/>
      </c>
      <c r="AB372" s="7">
        <f>IF($AH372="","",IF(INDEX('Per Invoice'!AB$2:AB$401,$AH372)="","",INDEX('Per Invoice'!AB$2:AB$401,$AH372)))</f>
        <v/>
      </c>
      <c r="AC372" s="7">
        <f>IF($AH372="","",IF(INDEX('Per Invoice'!AC$2:AC$401,$AH372)="","",INDEX('Per Invoice'!AC$2:AC$401,$AH372)))</f>
        <v/>
      </c>
      <c r="AD372" s="7">
        <f>IF($AH372="","",IF(INDEX('Per Invoice'!AD$2:AD$401,$AH372)="","",INDEX('Per Invoice'!AD$2:AD$401,$AH372)))</f>
        <v/>
      </c>
      <c r="AE372" s="7">
        <f>IF($AH372="","",IF(INDEX('Per Invoice'!AE$2:AE$401,$AH372)="","",INDEX('Per Invoice'!AE$2:AE$401,$AH372)))</f>
        <v/>
      </c>
      <c r="AF372">
        <f>IF($AH372="","",IF(INDEX('Per Invoice'!AF$2:AF$401,$AH372)="","",INDEX('Per Invoice'!AF$2:AF$401,$AH372)))</f>
        <v/>
      </c>
      <c r="AG372" s="7">
        <f>IF($AH372="","",IF(INDEX('Per Invoice'!AG$2:AG$401,$AH372)="","",INDEX('Per Invoice'!AG$2:AG$401,$AH372)))</f>
        <v/>
      </c>
      <c r="AH372" s="16">
        <f>IFERROR(MATCH(Settings!$C$26&amp;"|"&amp;ROWS($AH$2:$AH372),'Per Invoice'!$AI$2:$AI$401,0),"")</f>
        <v/>
      </c>
    </row>
    <row r="373">
      <c r="A373">
        <f>IF($AH373="","",IF(INDEX('Per Invoice'!A$2:A$401,$AH373)="","",INDEX('Per Invoice'!A$2:A$401,$AH373)))</f>
        <v/>
      </c>
      <c r="B373">
        <f>IF($AH373="","",IF(INDEX('Per Invoice'!B$2:B$401,$AH373)="","",INDEX('Per Invoice'!B$2:B$401,$AH373)))</f>
        <v/>
      </c>
      <c r="C373">
        <f>IF($AH373="","",IF(INDEX('Per Invoice'!C$2:C$401,$AH373)="","",INDEX('Per Invoice'!C$2:C$401,$AH373)))</f>
        <v/>
      </c>
      <c r="D373">
        <f>IF($AH373="","",IF(INDEX('Per Invoice'!D$2:D$401,$AH373)="","",INDEX('Per Invoice'!D$2:D$401,$AH373)))</f>
        <v/>
      </c>
      <c r="E373">
        <f>IF($AH373="","",IF(INDEX('Per Invoice'!E$2:E$401,$AH373)="","",INDEX('Per Invoice'!E$2:E$401,$AH373)))</f>
        <v/>
      </c>
      <c r="F373">
        <f>IF($AH373="","",IF(INDEX('Per Invoice'!F$2:F$401,$AH373)="","",INDEX('Per Invoice'!F$2:F$401,$AH373)))</f>
        <v/>
      </c>
      <c r="G373">
        <f>IF($AH373="","",IF(INDEX('Per Invoice'!G$2:G$401,$AH373)="","",INDEX('Per Invoice'!G$2:G$401,$AH373)))</f>
        <v/>
      </c>
      <c r="H373">
        <f>IF($AH373="","",IF(INDEX('Per Invoice'!H$2:H$401,$AH373)="","",INDEX('Per Invoice'!H$2:H$401,$AH373)))</f>
        <v/>
      </c>
      <c r="I373" s="14">
        <f>IF($AH373="","",IF(INDEX('Per Invoice'!I$2:I$401,$AH373)="","",INDEX('Per Invoice'!I$2:I$401,$AH373)))</f>
        <v/>
      </c>
      <c r="J373">
        <f>IF($AH373="","",IF(INDEX('Per Invoice'!J$2:J$401,$AH373)="","",INDEX('Per Invoice'!J$2:J$401,$AH373)))</f>
        <v/>
      </c>
      <c r="K373">
        <f>IF($AH373="","",IF(INDEX('Per Invoice'!K$2:K$401,$AH373)="","",INDEX('Per Invoice'!K$2:K$401,$AH373)))</f>
        <v/>
      </c>
      <c r="L373">
        <f>IF($AH373="","",IF(INDEX('Per Invoice'!L$2:L$401,$AH373)="","",INDEX('Per Invoice'!L$2:L$401,$AH373)))</f>
        <v/>
      </c>
      <c r="M373">
        <f>IF($AH373="","",IF(INDEX('Per Invoice'!M$2:M$401,$AH373)="","",INDEX('Per Invoice'!M$2:M$401,$AH373)))</f>
        <v/>
      </c>
      <c r="N373">
        <f>IF($AH373="","",IF(INDEX('Per Invoice'!N$2:N$401,$AH373)="","",INDEX('Per Invoice'!N$2:N$401,$AH373)))</f>
        <v/>
      </c>
      <c r="O373">
        <f>IF($AH373="","",IF(INDEX('Per Invoice'!O$2:O$401,$AH373)="","",INDEX('Per Invoice'!O$2:O$401,$AH373)))</f>
        <v/>
      </c>
      <c r="P373" s="7">
        <f>IF($AH373="","",IF(INDEX('Per Invoice'!P$2:P$401,$AH373)="","",INDEX('Per Invoice'!P$2:P$401,$AH373)))</f>
        <v/>
      </c>
      <c r="Q373">
        <f>IF($AH373="","",IF(INDEX('Per Invoice'!Q$2:Q$401,$AH373)="","",INDEX('Per Invoice'!Q$2:Q$401,$AH373)))</f>
        <v/>
      </c>
      <c r="R373">
        <f>IF($AH373="","",IF(INDEX('Per Invoice'!R$2:R$401,$AH373)="","",INDEX('Per Invoice'!R$2:R$401,$AH373)))</f>
        <v/>
      </c>
      <c r="S373">
        <f>IF($AH373="","",IF(INDEX('Per Invoice'!S$2:S$401,$AH373)="","",INDEX('Per Invoice'!S$2:S$401,$AH373)))</f>
        <v/>
      </c>
      <c r="T373" s="7">
        <f>IF($AH373="","",IF(INDEX('Per Invoice'!T$2:T$401,$AH373)="","",INDEX('Per Invoice'!T$2:T$401,$AH373)))</f>
        <v/>
      </c>
      <c r="U373" s="7">
        <f>IF($AH373="","",IF(INDEX('Per Invoice'!U$2:U$401,$AH373)="","",INDEX('Per Invoice'!U$2:U$401,$AH373)))</f>
        <v/>
      </c>
      <c r="V373">
        <f>IF($AH373="","",IF(INDEX('Per Invoice'!V$2:V$401,$AH373)="","",INDEX('Per Invoice'!V$2:V$401,$AH373)))</f>
        <v/>
      </c>
      <c r="W373" s="7">
        <f>IF($AH373="","",IF(INDEX('Per Invoice'!W$2:W$401,$AH373)="","",INDEX('Per Invoice'!W$2:W$401,$AH373)))</f>
        <v/>
      </c>
      <c r="X373" s="7">
        <f>IF($AH373="","",IF(INDEX('Per Invoice'!X$2:X$401,$AH373)="","",INDEX('Per Invoice'!X$2:X$401,$AH373)))</f>
        <v/>
      </c>
      <c r="Y373">
        <f>IF($AH373="","",IF(INDEX('Per Invoice'!Y$2:Y$401,$AH373)="","",INDEX('Per Invoice'!Y$2:Y$401,$AH373)))</f>
        <v/>
      </c>
      <c r="Z373" s="7">
        <f>IF($AH373="","",IF(INDEX('Per Invoice'!Z$2:Z$401,$AH373)="","",INDEX('Per Invoice'!Z$2:Z$401,$AH373)))</f>
        <v/>
      </c>
      <c r="AA373" s="7">
        <f>IF($AH373="","",IF(INDEX('Per Invoice'!AA$2:AA$401,$AH373)="","",INDEX('Per Invoice'!AA$2:AA$401,$AH373)))</f>
        <v/>
      </c>
      <c r="AB373" s="7">
        <f>IF($AH373="","",IF(INDEX('Per Invoice'!AB$2:AB$401,$AH373)="","",INDEX('Per Invoice'!AB$2:AB$401,$AH373)))</f>
        <v/>
      </c>
      <c r="AC373" s="7">
        <f>IF($AH373="","",IF(INDEX('Per Invoice'!AC$2:AC$401,$AH373)="","",INDEX('Per Invoice'!AC$2:AC$401,$AH373)))</f>
        <v/>
      </c>
      <c r="AD373" s="7">
        <f>IF($AH373="","",IF(INDEX('Per Invoice'!AD$2:AD$401,$AH373)="","",INDEX('Per Invoice'!AD$2:AD$401,$AH373)))</f>
        <v/>
      </c>
      <c r="AE373" s="7">
        <f>IF($AH373="","",IF(INDEX('Per Invoice'!AE$2:AE$401,$AH373)="","",INDEX('Per Invoice'!AE$2:AE$401,$AH373)))</f>
        <v/>
      </c>
      <c r="AF373">
        <f>IF($AH373="","",IF(INDEX('Per Invoice'!AF$2:AF$401,$AH373)="","",INDEX('Per Invoice'!AF$2:AF$401,$AH373)))</f>
        <v/>
      </c>
      <c r="AG373" s="7">
        <f>IF($AH373="","",IF(INDEX('Per Invoice'!AG$2:AG$401,$AH373)="","",INDEX('Per Invoice'!AG$2:AG$401,$AH373)))</f>
        <v/>
      </c>
      <c r="AH373" s="16">
        <f>IFERROR(MATCH(Settings!$C$26&amp;"|"&amp;ROWS($AH$2:$AH373),'Per Invoice'!$AI$2:$AI$401,0),"")</f>
        <v/>
      </c>
    </row>
    <row r="374">
      <c r="A374">
        <f>IF($AH374="","",IF(INDEX('Per Invoice'!A$2:A$401,$AH374)="","",INDEX('Per Invoice'!A$2:A$401,$AH374)))</f>
        <v/>
      </c>
      <c r="B374">
        <f>IF($AH374="","",IF(INDEX('Per Invoice'!B$2:B$401,$AH374)="","",INDEX('Per Invoice'!B$2:B$401,$AH374)))</f>
        <v/>
      </c>
      <c r="C374">
        <f>IF($AH374="","",IF(INDEX('Per Invoice'!C$2:C$401,$AH374)="","",INDEX('Per Invoice'!C$2:C$401,$AH374)))</f>
        <v/>
      </c>
      <c r="D374">
        <f>IF($AH374="","",IF(INDEX('Per Invoice'!D$2:D$401,$AH374)="","",INDEX('Per Invoice'!D$2:D$401,$AH374)))</f>
        <v/>
      </c>
      <c r="E374">
        <f>IF($AH374="","",IF(INDEX('Per Invoice'!E$2:E$401,$AH374)="","",INDEX('Per Invoice'!E$2:E$401,$AH374)))</f>
        <v/>
      </c>
      <c r="F374">
        <f>IF($AH374="","",IF(INDEX('Per Invoice'!F$2:F$401,$AH374)="","",INDEX('Per Invoice'!F$2:F$401,$AH374)))</f>
        <v/>
      </c>
      <c r="G374">
        <f>IF($AH374="","",IF(INDEX('Per Invoice'!G$2:G$401,$AH374)="","",INDEX('Per Invoice'!G$2:G$401,$AH374)))</f>
        <v/>
      </c>
      <c r="H374">
        <f>IF($AH374="","",IF(INDEX('Per Invoice'!H$2:H$401,$AH374)="","",INDEX('Per Invoice'!H$2:H$401,$AH374)))</f>
        <v/>
      </c>
      <c r="I374" s="14">
        <f>IF($AH374="","",IF(INDEX('Per Invoice'!I$2:I$401,$AH374)="","",INDEX('Per Invoice'!I$2:I$401,$AH374)))</f>
        <v/>
      </c>
      <c r="J374">
        <f>IF($AH374="","",IF(INDEX('Per Invoice'!J$2:J$401,$AH374)="","",INDEX('Per Invoice'!J$2:J$401,$AH374)))</f>
        <v/>
      </c>
      <c r="K374">
        <f>IF($AH374="","",IF(INDEX('Per Invoice'!K$2:K$401,$AH374)="","",INDEX('Per Invoice'!K$2:K$401,$AH374)))</f>
        <v/>
      </c>
      <c r="L374">
        <f>IF($AH374="","",IF(INDEX('Per Invoice'!L$2:L$401,$AH374)="","",INDEX('Per Invoice'!L$2:L$401,$AH374)))</f>
        <v/>
      </c>
      <c r="M374">
        <f>IF($AH374="","",IF(INDEX('Per Invoice'!M$2:M$401,$AH374)="","",INDEX('Per Invoice'!M$2:M$401,$AH374)))</f>
        <v/>
      </c>
      <c r="N374">
        <f>IF($AH374="","",IF(INDEX('Per Invoice'!N$2:N$401,$AH374)="","",INDEX('Per Invoice'!N$2:N$401,$AH374)))</f>
        <v/>
      </c>
      <c r="O374">
        <f>IF($AH374="","",IF(INDEX('Per Invoice'!O$2:O$401,$AH374)="","",INDEX('Per Invoice'!O$2:O$401,$AH374)))</f>
        <v/>
      </c>
      <c r="P374" s="7">
        <f>IF($AH374="","",IF(INDEX('Per Invoice'!P$2:P$401,$AH374)="","",INDEX('Per Invoice'!P$2:P$401,$AH374)))</f>
        <v/>
      </c>
      <c r="Q374">
        <f>IF($AH374="","",IF(INDEX('Per Invoice'!Q$2:Q$401,$AH374)="","",INDEX('Per Invoice'!Q$2:Q$401,$AH374)))</f>
        <v/>
      </c>
      <c r="R374">
        <f>IF($AH374="","",IF(INDEX('Per Invoice'!R$2:R$401,$AH374)="","",INDEX('Per Invoice'!R$2:R$401,$AH374)))</f>
        <v/>
      </c>
      <c r="S374">
        <f>IF($AH374="","",IF(INDEX('Per Invoice'!S$2:S$401,$AH374)="","",INDEX('Per Invoice'!S$2:S$401,$AH374)))</f>
        <v/>
      </c>
      <c r="T374" s="7">
        <f>IF($AH374="","",IF(INDEX('Per Invoice'!T$2:T$401,$AH374)="","",INDEX('Per Invoice'!T$2:T$401,$AH374)))</f>
        <v/>
      </c>
      <c r="U374" s="7">
        <f>IF($AH374="","",IF(INDEX('Per Invoice'!U$2:U$401,$AH374)="","",INDEX('Per Invoice'!U$2:U$401,$AH374)))</f>
        <v/>
      </c>
      <c r="V374">
        <f>IF($AH374="","",IF(INDEX('Per Invoice'!V$2:V$401,$AH374)="","",INDEX('Per Invoice'!V$2:V$401,$AH374)))</f>
        <v/>
      </c>
      <c r="W374" s="7">
        <f>IF($AH374="","",IF(INDEX('Per Invoice'!W$2:W$401,$AH374)="","",INDEX('Per Invoice'!W$2:W$401,$AH374)))</f>
        <v/>
      </c>
      <c r="X374" s="7">
        <f>IF($AH374="","",IF(INDEX('Per Invoice'!X$2:X$401,$AH374)="","",INDEX('Per Invoice'!X$2:X$401,$AH374)))</f>
        <v/>
      </c>
      <c r="Y374">
        <f>IF($AH374="","",IF(INDEX('Per Invoice'!Y$2:Y$401,$AH374)="","",INDEX('Per Invoice'!Y$2:Y$401,$AH374)))</f>
        <v/>
      </c>
      <c r="Z374" s="7">
        <f>IF($AH374="","",IF(INDEX('Per Invoice'!Z$2:Z$401,$AH374)="","",INDEX('Per Invoice'!Z$2:Z$401,$AH374)))</f>
        <v/>
      </c>
      <c r="AA374" s="7">
        <f>IF($AH374="","",IF(INDEX('Per Invoice'!AA$2:AA$401,$AH374)="","",INDEX('Per Invoice'!AA$2:AA$401,$AH374)))</f>
        <v/>
      </c>
      <c r="AB374" s="7">
        <f>IF($AH374="","",IF(INDEX('Per Invoice'!AB$2:AB$401,$AH374)="","",INDEX('Per Invoice'!AB$2:AB$401,$AH374)))</f>
        <v/>
      </c>
      <c r="AC374" s="7">
        <f>IF($AH374="","",IF(INDEX('Per Invoice'!AC$2:AC$401,$AH374)="","",INDEX('Per Invoice'!AC$2:AC$401,$AH374)))</f>
        <v/>
      </c>
      <c r="AD374" s="7">
        <f>IF($AH374="","",IF(INDEX('Per Invoice'!AD$2:AD$401,$AH374)="","",INDEX('Per Invoice'!AD$2:AD$401,$AH374)))</f>
        <v/>
      </c>
      <c r="AE374" s="7">
        <f>IF($AH374="","",IF(INDEX('Per Invoice'!AE$2:AE$401,$AH374)="","",INDEX('Per Invoice'!AE$2:AE$401,$AH374)))</f>
        <v/>
      </c>
      <c r="AF374">
        <f>IF($AH374="","",IF(INDEX('Per Invoice'!AF$2:AF$401,$AH374)="","",INDEX('Per Invoice'!AF$2:AF$401,$AH374)))</f>
        <v/>
      </c>
      <c r="AG374" s="7">
        <f>IF($AH374="","",IF(INDEX('Per Invoice'!AG$2:AG$401,$AH374)="","",INDEX('Per Invoice'!AG$2:AG$401,$AH374)))</f>
        <v/>
      </c>
      <c r="AH374" s="16">
        <f>IFERROR(MATCH(Settings!$C$26&amp;"|"&amp;ROWS($AH$2:$AH374),'Per Invoice'!$AI$2:$AI$401,0),"")</f>
        <v/>
      </c>
    </row>
    <row r="375">
      <c r="A375">
        <f>IF($AH375="","",IF(INDEX('Per Invoice'!A$2:A$401,$AH375)="","",INDEX('Per Invoice'!A$2:A$401,$AH375)))</f>
        <v/>
      </c>
      <c r="B375">
        <f>IF($AH375="","",IF(INDEX('Per Invoice'!B$2:B$401,$AH375)="","",INDEX('Per Invoice'!B$2:B$401,$AH375)))</f>
        <v/>
      </c>
      <c r="C375">
        <f>IF($AH375="","",IF(INDEX('Per Invoice'!C$2:C$401,$AH375)="","",INDEX('Per Invoice'!C$2:C$401,$AH375)))</f>
        <v/>
      </c>
      <c r="D375">
        <f>IF($AH375="","",IF(INDEX('Per Invoice'!D$2:D$401,$AH375)="","",INDEX('Per Invoice'!D$2:D$401,$AH375)))</f>
        <v/>
      </c>
      <c r="E375">
        <f>IF($AH375="","",IF(INDEX('Per Invoice'!E$2:E$401,$AH375)="","",INDEX('Per Invoice'!E$2:E$401,$AH375)))</f>
        <v/>
      </c>
      <c r="F375">
        <f>IF($AH375="","",IF(INDEX('Per Invoice'!F$2:F$401,$AH375)="","",INDEX('Per Invoice'!F$2:F$401,$AH375)))</f>
        <v/>
      </c>
      <c r="G375">
        <f>IF($AH375="","",IF(INDEX('Per Invoice'!G$2:G$401,$AH375)="","",INDEX('Per Invoice'!G$2:G$401,$AH375)))</f>
        <v/>
      </c>
      <c r="H375">
        <f>IF($AH375="","",IF(INDEX('Per Invoice'!H$2:H$401,$AH375)="","",INDEX('Per Invoice'!H$2:H$401,$AH375)))</f>
        <v/>
      </c>
      <c r="I375" s="14">
        <f>IF($AH375="","",IF(INDEX('Per Invoice'!I$2:I$401,$AH375)="","",INDEX('Per Invoice'!I$2:I$401,$AH375)))</f>
        <v/>
      </c>
      <c r="J375">
        <f>IF($AH375="","",IF(INDEX('Per Invoice'!J$2:J$401,$AH375)="","",INDEX('Per Invoice'!J$2:J$401,$AH375)))</f>
        <v/>
      </c>
      <c r="K375">
        <f>IF($AH375="","",IF(INDEX('Per Invoice'!K$2:K$401,$AH375)="","",INDEX('Per Invoice'!K$2:K$401,$AH375)))</f>
        <v/>
      </c>
      <c r="L375">
        <f>IF($AH375="","",IF(INDEX('Per Invoice'!L$2:L$401,$AH375)="","",INDEX('Per Invoice'!L$2:L$401,$AH375)))</f>
        <v/>
      </c>
      <c r="M375">
        <f>IF($AH375="","",IF(INDEX('Per Invoice'!M$2:M$401,$AH375)="","",INDEX('Per Invoice'!M$2:M$401,$AH375)))</f>
        <v/>
      </c>
      <c r="N375">
        <f>IF($AH375="","",IF(INDEX('Per Invoice'!N$2:N$401,$AH375)="","",INDEX('Per Invoice'!N$2:N$401,$AH375)))</f>
        <v/>
      </c>
      <c r="O375">
        <f>IF($AH375="","",IF(INDEX('Per Invoice'!O$2:O$401,$AH375)="","",INDEX('Per Invoice'!O$2:O$401,$AH375)))</f>
        <v/>
      </c>
      <c r="P375" s="7">
        <f>IF($AH375="","",IF(INDEX('Per Invoice'!P$2:P$401,$AH375)="","",INDEX('Per Invoice'!P$2:P$401,$AH375)))</f>
        <v/>
      </c>
      <c r="Q375">
        <f>IF($AH375="","",IF(INDEX('Per Invoice'!Q$2:Q$401,$AH375)="","",INDEX('Per Invoice'!Q$2:Q$401,$AH375)))</f>
        <v/>
      </c>
      <c r="R375">
        <f>IF($AH375="","",IF(INDEX('Per Invoice'!R$2:R$401,$AH375)="","",INDEX('Per Invoice'!R$2:R$401,$AH375)))</f>
        <v/>
      </c>
      <c r="S375">
        <f>IF($AH375="","",IF(INDEX('Per Invoice'!S$2:S$401,$AH375)="","",INDEX('Per Invoice'!S$2:S$401,$AH375)))</f>
        <v/>
      </c>
      <c r="T375" s="7">
        <f>IF($AH375="","",IF(INDEX('Per Invoice'!T$2:T$401,$AH375)="","",INDEX('Per Invoice'!T$2:T$401,$AH375)))</f>
        <v/>
      </c>
      <c r="U375" s="7">
        <f>IF($AH375="","",IF(INDEX('Per Invoice'!U$2:U$401,$AH375)="","",INDEX('Per Invoice'!U$2:U$401,$AH375)))</f>
        <v/>
      </c>
      <c r="V375">
        <f>IF($AH375="","",IF(INDEX('Per Invoice'!V$2:V$401,$AH375)="","",INDEX('Per Invoice'!V$2:V$401,$AH375)))</f>
        <v/>
      </c>
      <c r="W375" s="7">
        <f>IF($AH375="","",IF(INDEX('Per Invoice'!W$2:W$401,$AH375)="","",INDEX('Per Invoice'!W$2:W$401,$AH375)))</f>
        <v/>
      </c>
      <c r="X375" s="7">
        <f>IF($AH375="","",IF(INDEX('Per Invoice'!X$2:X$401,$AH375)="","",INDEX('Per Invoice'!X$2:X$401,$AH375)))</f>
        <v/>
      </c>
      <c r="Y375">
        <f>IF($AH375="","",IF(INDEX('Per Invoice'!Y$2:Y$401,$AH375)="","",INDEX('Per Invoice'!Y$2:Y$401,$AH375)))</f>
        <v/>
      </c>
      <c r="Z375" s="7">
        <f>IF($AH375="","",IF(INDEX('Per Invoice'!Z$2:Z$401,$AH375)="","",INDEX('Per Invoice'!Z$2:Z$401,$AH375)))</f>
        <v/>
      </c>
      <c r="AA375" s="7">
        <f>IF($AH375="","",IF(INDEX('Per Invoice'!AA$2:AA$401,$AH375)="","",INDEX('Per Invoice'!AA$2:AA$401,$AH375)))</f>
        <v/>
      </c>
      <c r="AB375" s="7">
        <f>IF($AH375="","",IF(INDEX('Per Invoice'!AB$2:AB$401,$AH375)="","",INDEX('Per Invoice'!AB$2:AB$401,$AH375)))</f>
        <v/>
      </c>
      <c r="AC375" s="7">
        <f>IF($AH375="","",IF(INDEX('Per Invoice'!AC$2:AC$401,$AH375)="","",INDEX('Per Invoice'!AC$2:AC$401,$AH375)))</f>
        <v/>
      </c>
      <c r="AD375" s="7">
        <f>IF($AH375="","",IF(INDEX('Per Invoice'!AD$2:AD$401,$AH375)="","",INDEX('Per Invoice'!AD$2:AD$401,$AH375)))</f>
        <v/>
      </c>
      <c r="AE375" s="7">
        <f>IF($AH375="","",IF(INDEX('Per Invoice'!AE$2:AE$401,$AH375)="","",INDEX('Per Invoice'!AE$2:AE$401,$AH375)))</f>
        <v/>
      </c>
      <c r="AF375">
        <f>IF($AH375="","",IF(INDEX('Per Invoice'!AF$2:AF$401,$AH375)="","",INDEX('Per Invoice'!AF$2:AF$401,$AH375)))</f>
        <v/>
      </c>
      <c r="AG375" s="7">
        <f>IF($AH375="","",IF(INDEX('Per Invoice'!AG$2:AG$401,$AH375)="","",INDEX('Per Invoice'!AG$2:AG$401,$AH375)))</f>
        <v/>
      </c>
      <c r="AH375" s="16">
        <f>IFERROR(MATCH(Settings!$C$26&amp;"|"&amp;ROWS($AH$2:$AH375),'Per Invoice'!$AI$2:$AI$401,0),"")</f>
        <v/>
      </c>
    </row>
    <row r="376">
      <c r="A376">
        <f>IF($AH376="","",IF(INDEX('Per Invoice'!A$2:A$401,$AH376)="","",INDEX('Per Invoice'!A$2:A$401,$AH376)))</f>
        <v/>
      </c>
      <c r="B376">
        <f>IF($AH376="","",IF(INDEX('Per Invoice'!B$2:B$401,$AH376)="","",INDEX('Per Invoice'!B$2:B$401,$AH376)))</f>
        <v/>
      </c>
      <c r="C376">
        <f>IF($AH376="","",IF(INDEX('Per Invoice'!C$2:C$401,$AH376)="","",INDEX('Per Invoice'!C$2:C$401,$AH376)))</f>
        <v/>
      </c>
      <c r="D376">
        <f>IF($AH376="","",IF(INDEX('Per Invoice'!D$2:D$401,$AH376)="","",INDEX('Per Invoice'!D$2:D$401,$AH376)))</f>
        <v/>
      </c>
      <c r="E376">
        <f>IF($AH376="","",IF(INDEX('Per Invoice'!E$2:E$401,$AH376)="","",INDEX('Per Invoice'!E$2:E$401,$AH376)))</f>
        <v/>
      </c>
      <c r="F376">
        <f>IF($AH376="","",IF(INDEX('Per Invoice'!F$2:F$401,$AH376)="","",INDEX('Per Invoice'!F$2:F$401,$AH376)))</f>
        <v/>
      </c>
      <c r="G376">
        <f>IF($AH376="","",IF(INDEX('Per Invoice'!G$2:G$401,$AH376)="","",INDEX('Per Invoice'!G$2:G$401,$AH376)))</f>
        <v/>
      </c>
      <c r="H376">
        <f>IF($AH376="","",IF(INDEX('Per Invoice'!H$2:H$401,$AH376)="","",INDEX('Per Invoice'!H$2:H$401,$AH376)))</f>
        <v/>
      </c>
      <c r="I376" s="14">
        <f>IF($AH376="","",IF(INDEX('Per Invoice'!I$2:I$401,$AH376)="","",INDEX('Per Invoice'!I$2:I$401,$AH376)))</f>
        <v/>
      </c>
      <c r="J376">
        <f>IF($AH376="","",IF(INDEX('Per Invoice'!J$2:J$401,$AH376)="","",INDEX('Per Invoice'!J$2:J$401,$AH376)))</f>
        <v/>
      </c>
      <c r="K376">
        <f>IF($AH376="","",IF(INDEX('Per Invoice'!K$2:K$401,$AH376)="","",INDEX('Per Invoice'!K$2:K$401,$AH376)))</f>
        <v/>
      </c>
      <c r="L376">
        <f>IF($AH376="","",IF(INDEX('Per Invoice'!L$2:L$401,$AH376)="","",INDEX('Per Invoice'!L$2:L$401,$AH376)))</f>
        <v/>
      </c>
      <c r="M376">
        <f>IF($AH376="","",IF(INDEX('Per Invoice'!M$2:M$401,$AH376)="","",INDEX('Per Invoice'!M$2:M$401,$AH376)))</f>
        <v/>
      </c>
      <c r="N376">
        <f>IF($AH376="","",IF(INDEX('Per Invoice'!N$2:N$401,$AH376)="","",INDEX('Per Invoice'!N$2:N$401,$AH376)))</f>
        <v/>
      </c>
      <c r="O376">
        <f>IF($AH376="","",IF(INDEX('Per Invoice'!O$2:O$401,$AH376)="","",INDEX('Per Invoice'!O$2:O$401,$AH376)))</f>
        <v/>
      </c>
      <c r="P376" s="7">
        <f>IF($AH376="","",IF(INDEX('Per Invoice'!P$2:P$401,$AH376)="","",INDEX('Per Invoice'!P$2:P$401,$AH376)))</f>
        <v/>
      </c>
      <c r="Q376">
        <f>IF($AH376="","",IF(INDEX('Per Invoice'!Q$2:Q$401,$AH376)="","",INDEX('Per Invoice'!Q$2:Q$401,$AH376)))</f>
        <v/>
      </c>
      <c r="R376">
        <f>IF($AH376="","",IF(INDEX('Per Invoice'!R$2:R$401,$AH376)="","",INDEX('Per Invoice'!R$2:R$401,$AH376)))</f>
        <v/>
      </c>
      <c r="S376">
        <f>IF($AH376="","",IF(INDEX('Per Invoice'!S$2:S$401,$AH376)="","",INDEX('Per Invoice'!S$2:S$401,$AH376)))</f>
        <v/>
      </c>
      <c r="T376" s="7">
        <f>IF($AH376="","",IF(INDEX('Per Invoice'!T$2:T$401,$AH376)="","",INDEX('Per Invoice'!T$2:T$401,$AH376)))</f>
        <v/>
      </c>
      <c r="U376" s="7">
        <f>IF($AH376="","",IF(INDEX('Per Invoice'!U$2:U$401,$AH376)="","",INDEX('Per Invoice'!U$2:U$401,$AH376)))</f>
        <v/>
      </c>
      <c r="V376">
        <f>IF($AH376="","",IF(INDEX('Per Invoice'!V$2:V$401,$AH376)="","",INDEX('Per Invoice'!V$2:V$401,$AH376)))</f>
        <v/>
      </c>
      <c r="W376" s="7">
        <f>IF($AH376="","",IF(INDEX('Per Invoice'!W$2:W$401,$AH376)="","",INDEX('Per Invoice'!W$2:W$401,$AH376)))</f>
        <v/>
      </c>
      <c r="X376" s="7">
        <f>IF($AH376="","",IF(INDEX('Per Invoice'!X$2:X$401,$AH376)="","",INDEX('Per Invoice'!X$2:X$401,$AH376)))</f>
        <v/>
      </c>
      <c r="Y376">
        <f>IF($AH376="","",IF(INDEX('Per Invoice'!Y$2:Y$401,$AH376)="","",INDEX('Per Invoice'!Y$2:Y$401,$AH376)))</f>
        <v/>
      </c>
      <c r="Z376" s="7">
        <f>IF($AH376="","",IF(INDEX('Per Invoice'!Z$2:Z$401,$AH376)="","",INDEX('Per Invoice'!Z$2:Z$401,$AH376)))</f>
        <v/>
      </c>
      <c r="AA376" s="7">
        <f>IF($AH376="","",IF(INDEX('Per Invoice'!AA$2:AA$401,$AH376)="","",INDEX('Per Invoice'!AA$2:AA$401,$AH376)))</f>
        <v/>
      </c>
      <c r="AB376" s="7">
        <f>IF($AH376="","",IF(INDEX('Per Invoice'!AB$2:AB$401,$AH376)="","",INDEX('Per Invoice'!AB$2:AB$401,$AH376)))</f>
        <v/>
      </c>
      <c r="AC376" s="7">
        <f>IF($AH376="","",IF(INDEX('Per Invoice'!AC$2:AC$401,$AH376)="","",INDEX('Per Invoice'!AC$2:AC$401,$AH376)))</f>
        <v/>
      </c>
      <c r="AD376" s="7">
        <f>IF($AH376="","",IF(INDEX('Per Invoice'!AD$2:AD$401,$AH376)="","",INDEX('Per Invoice'!AD$2:AD$401,$AH376)))</f>
        <v/>
      </c>
      <c r="AE376" s="7">
        <f>IF($AH376="","",IF(INDEX('Per Invoice'!AE$2:AE$401,$AH376)="","",INDEX('Per Invoice'!AE$2:AE$401,$AH376)))</f>
        <v/>
      </c>
      <c r="AF376">
        <f>IF($AH376="","",IF(INDEX('Per Invoice'!AF$2:AF$401,$AH376)="","",INDEX('Per Invoice'!AF$2:AF$401,$AH376)))</f>
        <v/>
      </c>
      <c r="AG376" s="7">
        <f>IF($AH376="","",IF(INDEX('Per Invoice'!AG$2:AG$401,$AH376)="","",INDEX('Per Invoice'!AG$2:AG$401,$AH376)))</f>
        <v/>
      </c>
      <c r="AH376" s="16">
        <f>IFERROR(MATCH(Settings!$C$26&amp;"|"&amp;ROWS($AH$2:$AH376),'Per Invoice'!$AI$2:$AI$401,0),"")</f>
        <v/>
      </c>
    </row>
    <row r="377">
      <c r="A377">
        <f>IF($AH377="","",IF(INDEX('Per Invoice'!A$2:A$401,$AH377)="","",INDEX('Per Invoice'!A$2:A$401,$AH377)))</f>
        <v/>
      </c>
      <c r="B377">
        <f>IF($AH377="","",IF(INDEX('Per Invoice'!B$2:B$401,$AH377)="","",INDEX('Per Invoice'!B$2:B$401,$AH377)))</f>
        <v/>
      </c>
      <c r="C377">
        <f>IF($AH377="","",IF(INDEX('Per Invoice'!C$2:C$401,$AH377)="","",INDEX('Per Invoice'!C$2:C$401,$AH377)))</f>
        <v/>
      </c>
      <c r="D377">
        <f>IF($AH377="","",IF(INDEX('Per Invoice'!D$2:D$401,$AH377)="","",INDEX('Per Invoice'!D$2:D$401,$AH377)))</f>
        <v/>
      </c>
      <c r="E377">
        <f>IF($AH377="","",IF(INDEX('Per Invoice'!E$2:E$401,$AH377)="","",INDEX('Per Invoice'!E$2:E$401,$AH377)))</f>
        <v/>
      </c>
      <c r="F377">
        <f>IF($AH377="","",IF(INDEX('Per Invoice'!F$2:F$401,$AH377)="","",INDEX('Per Invoice'!F$2:F$401,$AH377)))</f>
        <v/>
      </c>
      <c r="G377">
        <f>IF($AH377="","",IF(INDEX('Per Invoice'!G$2:G$401,$AH377)="","",INDEX('Per Invoice'!G$2:G$401,$AH377)))</f>
        <v/>
      </c>
      <c r="H377">
        <f>IF($AH377="","",IF(INDEX('Per Invoice'!H$2:H$401,$AH377)="","",INDEX('Per Invoice'!H$2:H$401,$AH377)))</f>
        <v/>
      </c>
      <c r="I377" s="14">
        <f>IF($AH377="","",IF(INDEX('Per Invoice'!I$2:I$401,$AH377)="","",INDEX('Per Invoice'!I$2:I$401,$AH377)))</f>
        <v/>
      </c>
      <c r="J377">
        <f>IF($AH377="","",IF(INDEX('Per Invoice'!J$2:J$401,$AH377)="","",INDEX('Per Invoice'!J$2:J$401,$AH377)))</f>
        <v/>
      </c>
      <c r="K377">
        <f>IF($AH377="","",IF(INDEX('Per Invoice'!K$2:K$401,$AH377)="","",INDEX('Per Invoice'!K$2:K$401,$AH377)))</f>
        <v/>
      </c>
      <c r="L377">
        <f>IF($AH377="","",IF(INDEX('Per Invoice'!L$2:L$401,$AH377)="","",INDEX('Per Invoice'!L$2:L$401,$AH377)))</f>
        <v/>
      </c>
      <c r="M377">
        <f>IF($AH377="","",IF(INDEX('Per Invoice'!M$2:M$401,$AH377)="","",INDEX('Per Invoice'!M$2:M$401,$AH377)))</f>
        <v/>
      </c>
      <c r="N377">
        <f>IF($AH377="","",IF(INDEX('Per Invoice'!N$2:N$401,$AH377)="","",INDEX('Per Invoice'!N$2:N$401,$AH377)))</f>
        <v/>
      </c>
      <c r="O377">
        <f>IF($AH377="","",IF(INDEX('Per Invoice'!O$2:O$401,$AH377)="","",INDEX('Per Invoice'!O$2:O$401,$AH377)))</f>
        <v/>
      </c>
      <c r="P377" s="7">
        <f>IF($AH377="","",IF(INDEX('Per Invoice'!P$2:P$401,$AH377)="","",INDEX('Per Invoice'!P$2:P$401,$AH377)))</f>
        <v/>
      </c>
      <c r="Q377">
        <f>IF($AH377="","",IF(INDEX('Per Invoice'!Q$2:Q$401,$AH377)="","",INDEX('Per Invoice'!Q$2:Q$401,$AH377)))</f>
        <v/>
      </c>
      <c r="R377">
        <f>IF($AH377="","",IF(INDEX('Per Invoice'!R$2:R$401,$AH377)="","",INDEX('Per Invoice'!R$2:R$401,$AH377)))</f>
        <v/>
      </c>
      <c r="S377">
        <f>IF($AH377="","",IF(INDEX('Per Invoice'!S$2:S$401,$AH377)="","",INDEX('Per Invoice'!S$2:S$401,$AH377)))</f>
        <v/>
      </c>
      <c r="T377" s="7">
        <f>IF($AH377="","",IF(INDEX('Per Invoice'!T$2:T$401,$AH377)="","",INDEX('Per Invoice'!T$2:T$401,$AH377)))</f>
        <v/>
      </c>
      <c r="U377" s="7">
        <f>IF($AH377="","",IF(INDEX('Per Invoice'!U$2:U$401,$AH377)="","",INDEX('Per Invoice'!U$2:U$401,$AH377)))</f>
        <v/>
      </c>
      <c r="V377">
        <f>IF($AH377="","",IF(INDEX('Per Invoice'!V$2:V$401,$AH377)="","",INDEX('Per Invoice'!V$2:V$401,$AH377)))</f>
        <v/>
      </c>
      <c r="W377" s="7">
        <f>IF($AH377="","",IF(INDEX('Per Invoice'!W$2:W$401,$AH377)="","",INDEX('Per Invoice'!W$2:W$401,$AH377)))</f>
        <v/>
      </c>
      <c r="X377" s="7">
        <f>IF($AH377="","",IF(INDEX('Per Invoice'!X$2:X$401,$AH377)="","",INDEX('Per Invoice'!X$2:X$401,$AH377)))</f>
        <v/>
      </c>
      <c r="Y377">
        <f>IF($AH377="","",IF(INDEX('Per Invoice'!Y$2:Y$401,$AH377)="","",INDEX('Per Invoice'!Y$2:Y$401,$AH377)))</f>
        <v/>
      </c>
      <c r="Z377" s="7">
        <f>IF($AH377="","",IF(INDEX('Per Invoice'!Z$2:Z$401,$AH377)="","",INDEX('Per Invoice'!Z$2:Z$401,$AH377)))</f>
        <v/>
      </c>
      <c r="AA377" s="7">
        <f>IF($AH377="","",IF(INDEX('Per Invoice'!AA$2:AA$401,$AH377)="","",INDEX('Per Invoice'!AA$2:AA$401,$AH377)))</f>
        <v/>
      </c>
      <c r="AB377" s="7">
        <f>IF($AH377="","",IF(INDEX('Per Invoice'!AB$2:AB$401,$AH377)="","",INDEX('Per Invoice'!AB$2:AB$401,$AH377)))</f>
        <v/>
      </c>
      <c r="AC377" s="7">
        <f>IF($AH377="","",IF(INDEX('Per Invoice'!AC$2:AC$401,$AH377)="","",INDEX('Per Invoice'!AC$2:AC$401,$AH377)))</f>
        <v/>
      </c>
      <c r="AD377" s="7">
        <f>IF($AH377="","",IF(INDEX('Per Invoice'!AD$2:AD$401,$AH377)="","",INDEX('Per Invoice'!AD$2:AD$401,$AH377)))</f>
        <v/>
      </c>
      <c r="AE377" s="7">
        <f>IF($AH377="","",IF(INDEX('Per Invoice'!AE$2:AE$401,$AH377)="","",INDEX('Per Invoice'!AE$2:AE$401,$AH377)))</f>
        <v/>
      </c>
      <c r="AF377">
        <f>IF($AH377="","",IF(INDEX('Per Invoice'!AF$2:AF$401,$AH377)="","",INDEX('Per Invoice'!AF$2:AF$401,$AH377)))</f>
        <v/>
      </c>
      <c r="AG377" s="7">
        <f>IF($AH377="","",IF(INDEX('Per Invoice'!AG$2:AG$401,$AH377)="","",INDEX('Per Invoice'!AG$2:AG$401,$AH377)))</f>
        <v/>
      </c>
      <c r="AH377" s="16">
        <f>IFERROR(MATCH(Settings!$C$26&amp;"|"&amp;ROWS($AH$2:$AH377),'Per Invoice'!$AI$2:$AI$401,0),"")</f>
        <v/>
      </c>
    </row>
    <row r="378">
      <c r="A378">
        <f>IF($AH378="","",IF(INDEX('Per Invoice'!A$2:A$401,$AH378)="","",INDEX('Per Invoice'!A$2:A$401,$AH378)))</f>
        <v/>
      </c>
      <c r="B378">
        <f>IF($AH378="","",IF(INDEX('Per Invoice'!B$2:B$401,$AH378)="","",INDEX('Per Invoice'!B$2:B$401,$AH378)))</f>
        <v/>
      </c>
      <c r="C378">
        <f>IF($AH378="","",IF(INDEX('Per Invoice'!C$2:C$401,$AH378)="","",INDEX('Per Invoice'!C$2:C$401,$AH378)))</f>
        <v/>
      </c>
      <c r="D378">
        <f>IF($AH378="","",IF(INDEX('Per Invoice'!D$2:D$401,$AH378)="","",INDEX('Per Invoice'!D$2:D$401,$AH378)))</f>
        <v/>
      </c>
      <c r="E378">
        <f>IF($AH378="","",IF(INDEX('Per Invoice'!E$2:E$401,$AH378)="","",INDEX('Per Invoice'!E$2:E$401,$AH378)))</f>
        <v/>
      </c>
      <c r="F378">
        <f>IF($AH378="","",IF(INDEX('Per Invoice'!F$2:F$401,$AH378)="","",INDEX('Per Invoice'!F$2:F$401,$AH378)))</f>
        <v/>
      </c>
      <c r="G378">
        <f>IF($AH378="","",IF(INDEX('Per Invoice'!G$2:G$401,$AH378)="","",INDEX('Per Invoice'!G$2:G$401,$AH378)))</f>
        <v/>
      </c>
      <c r="H378">
        <f>IF($AH378="","",IF(INDEX('Per Invoice'!H$2:H$401,$AH378)="","",INDEX('Per Invoice'!H$2:H$401,$AH378)))</f>
        <v/>
      </c>
      <c r="I378" s="14">
        <f>IF($AH378="","",IF(INDEX('Per Invoice'!I$2:I$401,$AH378)="","",INDEX('Per Invoice'!I$2:I$401,$AH378)))</f>
        <v/>
      </c>
      <c r="J378">
        <f>IF($AH378="","",IF(INDEX('Per Invoice'!J$2:J$401,$AH378)="","",INDEX('Per Invoice'!J$2:J$401,$AH378)))</f>
        <v/>
      </c>
      <c r="K378">
        <f>IF($AH378="","",IF(INDEX('Per Invoice'!K$2:K$401,$AH378)="","",INDEX('Per Invoice'!K$2:K$401,$AH378)))</f>
        <v/>
      </c>
      <c r="L378">
        <f>IF($AH378="","",IF(INDEX('Per Invoice'!L$2:L$401,$AH378)="","",INDEX('Per Invoice'!L$2:L$401,$AH378)))</f>
        <v/>
      </c>
      <c r="M378">
        <f>IF($AH378="","",IF(INDEX('Per Invoice'!M$2:M$401,$AH378)="","",INDEX('Per Invoice'!M$2:M$401,$AH378)))</f>
        <v/>
      </c>
      <c r="N378">
        <f>IF($AH378="","",IF(INDEX('Per Invoice'!N$2:N$401,$AH378)="","",INDEX('Per Invoice'!N$2:N$401,$AH378)))</f>
        <v/>
      </c>
      <c r="O378">
        <f>IF($AH378="","",IF(INDEX('Per Invoice'!O$2:O$401,$AH378)="","",INDEX('Per Invoice'!O$2:O$401,$AH378)))</f>
        <v/>
      </c>
      <c r="P378" s="7">
        <f>IF($AH378="","",IF(INDEX('Per Invoice'!P$2:P$401,$AH378)="","",INDEX('Per Invoice'!P$2:P$401,$AH378)))</f>
        <v/>
      </c>
      <c r="Q378">
        <f>IF($AH378="","",IF(INDEX('Per Invoice'!Q$2:Q$401,$AH378)="","",INDEX('Per Invoice'!Q$2:Q$401,$AH378)))</f>
        <v/>
      </c>
      <c r="R378">
        <f>IF($AH378="","",IF(INDEX('Per Invoice'!R$2:R$401,$AH378)="","",INDEX('Per Invoice'!R$2:R$401,$AH378)))</f>
        <v/>
      </c>
      <c r="S378">
        <f>IF($AH378="","",IF(INDEX('Per Invoice'!S$2:S$401,$AH378)="","",INDEX('Per Invoice'!S$2:S$401,$AH378)))</f>
        <v/>
      </c>
      <c r="T378" s="7">
        <f>IF($AH378="","",IF(INDEX('Per Invoice'!T$2:T$401,$AH378)="","",INDEX('Per Invoice'!T$2:T$401,$AH378)))</f>
        <v/>
      </c>
      <c r="U378" s="7">
        <f>IF($AH378="","",IF(INDEX('Per Invoice'!U$2:U$401,$AH378)="","",INDEX('Per Invoice'!U$2:U$401,$AH378)))</f>
        <v/>
      </c>
      <c r="V378">
        <f>IF($AH378="","",IF(INDEX('Per Invoice'!V$2:V$401,$AH378)="","",INDEX('Per Invoice'!V$2:V$401,$AH378)))</f>
        <v/>
      </c>
      <c r="W378" s="7">
        <f>IF($AH378="","",IF(INDEX('Per Invoice'!W$2:W$401,$AH378)="","",INDEX('Per Invoice'!W$2:W$401,$AH378)))</f>
        <v/>
      </c>
      <c r="X378" s="7">
        <f>IF($AH378="","",IF(INDEX('Per Invoice'!X$2:X$401,$AH378)="","",INDEX('Per Invoice'!X$2:X$401,$AH378)))</f>
        <v/>
      </c>
      <c r="Y378">
        <f>IF($AH378="","",IF(INDEX('Per Invoice'!Y$2:Y$401,$AH378)="","",INDEX('Per Invoice'!Y$2:Y$401,$AH378)))</f>
        <v/>
      </c>
      <c r="Z378" s="7">
        <f>IF($AH378="","",IF(INDEX('Per Invoice'!Z$2:Z$401,$AH378)="","",INDEX('Per Invoice'!Z$2:Z$401,$AH378)))</f>
        <v/>
      </c>
      <c r="AA378" s="7">
        <f>IF($AH378="","",IF(INDEX('Per Invoice'!AA$2:AA$401,$AH378)="","",INDEX('Per Invoice'!AA$2:AA$401,$AH378)))</f>
        <v/>
      </c>
      <c r="AB378" s="7">
        <f>IF($AH378="","",IF(INDEX('Per Invoice'!AB$2:AB$401,$AH378)="","",INDEX('Per Invoice'!AB$2:AB$401,$AH378)))</f>
        <v/>
      </c>
      <c r="AC378" s="7">
        <f>IF($AH378="","",IF(INDEX('Per Invoice'!AC$2:AC$401,$AH378)="","",INDEX('Per Invoice'!AC$2:AC$401,$AH378)))</f>
        <v/>
      </c>
      <c r="AD378" s="7">
        <f>IF($AH378="","",IF(INDEX('Per Invoice'!AD$2:AD$401,$AH378)="","",INDEX('Per Invoice'!AD$2:AD$401,$AH378)))</f>
        <v/>
      </c>
      <c r="AE378" s="7">
        <f>IF($AH378="","",IF(INDEX('Per Invoice'!AE$2:AE$401,$AH378)="","",INDEX('Per Invoice'!AE$2:AE$401,$AH378)))</f>
        <v/>
      </c>
      <c r="AF378">
        <f>IF($AH378="","",IF(INDEX('Per Invoice'!AF$2:AF$401,$AH378)="","",INDEX('Per Invoice'!AF$2:AF$401,$AH378)))</f>
        <v/>
      </c>
      <c r="AG378" s="7">
        <f>IF($AH378="","",IF(INDEX('Per Invoice'!AG$2:AG$401,$AH378)="","",INDEX('Per Invoice'!AG$2:AG$401,$AH378)))</f>
        <v/>
      </c>
      <c r="AH378" s="16">
        <f>IFERROR(MATCH(Settings!$C$26&amp;"|"&amp;ROWS($AH$2:$AH378),'Per Invoice'!$AI$2:$AI$401,0),"")</f>
        <v/>
      </c>
    </row>
    <row r="379">
      <c r="A379">
        <f>IF($AH379="","",IF(INDEX('Per Invoice'!A$2:A$401,$AH379)="","",INDEX('Per Invoice'!A$2:A$401,$AH379)))</f>
        <v/>
      </c>
      <c r="B379">
        <f>IF($AH379="","",IF(INDEX('Per Invoice'!B$2:B$401,$AH379)="","",INDEX('Per Invoice'!B$2:B$401,$AH379)))</f>
        <v/>
      </c>
      <c r="C379">
        <f>IF($AH379="","",IF(INDEX('Per Invoice'!C$2:C$401,$AH379)="","",INDEX('Per Invoice'!C$2:C$401,$AH379)))</f>
        <v/>
      </c>
      <c r="D379">
        <f>IF($AH379="","",IF(INDEX('Per Invoice'!D$2:D$401,$AH379)="","",INDEX('Per Invoice'!D$2:D$401,$AH379)))</f>
        <v/>
      </c>
      <c r="E379">
        <f>IF($AH379="","",IF(INDEX('Per Invoice'!E$2:E$401,$AH379)="","",INDEX('Per Invoice'!E$2:E$401,$AH379)))</f>
        <v/>
      </c>
      <c r="F379">
        <f>IF($AH379="","",IF(INDEX('Per Invoice'!F$2:F$401,$AH379)="","",INDEX('Per Invoice'!F$2:F$401,$AH379)))</f>
        <v/>
      </c>
      <c r="G379">
        <f>IF($AH379="","",IF(INDEX('Per Invoice'!G$2:G$401,$AH379)="","",INDEX('Per Invoice'!G$2:G$401,$AH379)))</f>
        <v/>
      </c>
      <c r="H379">
        <f>IF($AH379="","",IF(INDEX('Per Invoice'!H$2:H$401,$AH379)="","",INDEX('Per Invoice'!H$2:H$401,$AH379)))</f>
        <v/>
      </c>
      <c r="I379" s="14">
        <f>IF($AH379="","",IF(INDEX('Per Invoice'!I$2:I$401,$AH379)="","",INDEX('Per Invoice'!I$2:I$401,$AH379)))</f>
        <v/>
      </c>
      <c r="J379">
        <f>IF($AH379="","",IF(INDEX('Per Invoice'!J$2:J$401,$AH379)="","",INDEX('Per Invoice'!J$2:J$401,$AH379)))</f>
        <v/>
      </c>
      <c r="K379">
        <f>IF($AH379="","",IF(INDEX('Per Invoice'!K$2:K$401,$AH379)="","",INDEX('Per Invoice'!K$2:K$401,$AH379)))</f>
        <v/>
      </c>
      <c r="L379">
        <f>IF($AH379="","",IF(INDEX('Per Invoice'!L$2:L$401,$AH379)="","",INDEX('Per Invoice'!L$2:L$401,$AH379)))</f>
        <v/>
      </c>
      <c r="M379">
        <f>IF($AH379="","",IF(INDEX('Per Invoice'!M$2:M$401,$AH379)="","",INDEX('Per Invoice'!M$2:M$401,$AH379)))</f>
        <v/>
      </c>
      <c r="N379">
        <f>IF($AH379="","",IF(INDEX('Per Invoice'!N$2:N$401,$AH379)="","",INDEX('Per Invoice'!N$2:N$401,$AH379)))</f>
        <v/>
      </c>
      <c r="O379">
        <f>IF($AH379="","",IF(INDEX('Per Invoice'!O$2:O$401,$AH379)="","",INDEX('Per Invoice'!O$2:O$401,$AH379)))</f>
        <v/>
      </c>
      <c r="P379" s="7">
        <f>IF($AH379="","",IF(INDEX('Per Invoice'!P$2:P$401,$AH379)="","",INDEX('Per Invoice'!P$2:P$401,$AH379)))</f>
        <v/>
      </c>
      <c r="Q379">
        <f>IF($AH379="","",IF(INDEX('Per Invoice'!Q$2:Q$401,$AH379)="","",INDEX('Per Invoice'!Q$2:Q$401,$AH379)))</f>
        <v/>
      </c>
      <c r="R379">
        <f>IF($AH379="","",IF(INDEX('Per Invoice'!R$2:R$401,$AH379)="","",INDEX('Per Invoice'!R$2:R$401,$AH379)))</f>
        <v/>
      </c>
      <c r="S379">
        <f>IF($AH379="","",IF(INDEX('Per Invoice'!S$2:S$401,$AH379)="","",INDEX('Per Invoice'!S$2:S$401,$AH379)))</f>
        <v/>
      </c>
      <c r="T379" s="7">
        <f>IF($AH379="","",IF(INDEX('Per Invoice'!T$2:T$401,$AH379)="","",INDEX('Per Invoice'!T$2:T$401,$AH379)))</f>
        <v/>
      </c>
      <c r="U379" s="7">
        <f>IF($AH379="","",IF(INDEX('Per Invoice'!U$2:U$401,$AH379)="","",INDEX('Per Invoice'!U$2:U$401,$AH379)))</f>
        <v/>
      </c>
      <c r="V379">
        <f>IF($AH379="","",IF(INDEX('Per Invoice'!V$2:V$401,$AH379)="","",INDEX('Per Invoice'!V$2:V$401,$AH379)))</f>
        <v/>
      </c>
      <c r="W379" s="7">
        <f>IF($AH379="","",IF(INDEX('Per Invoice'!W$2:W$401,$AH379)="","",INDEX('Per Invoice'!W$2:W$401,$AH379)))</f>
        <v/>
      </c>
      <c r="X379" s="7">
        <f>IF($AH379="","",IF(INDEX('Per Invoice'!X$2:X$401,$AH379)="","",INDEX('Per Invoice'!X$2:X$401,$AH379)))</f>
        <v/>
      </c>
      <c r="Y379">
        <f>IF($AH379="","",IF(INDEX('Per Invoice'!Y$2:Y$401,$AH379)="","",INDEX('Per Invoice'!Y$2:Y$401,$AH379)))</f>
        <v/>
      </c>
      <c r="Z379" s="7">
        <f>IF($AH379="","",IF(INDEX('Per Invoice'!Z$2:Z$401,$AH379)="","",INDEX('Per Invoice'!Z$2:Z$401,$AH379)))</f>
        <v/>
      </c>
      <c r="AA379" s="7">
        <f>IF($AH379="","",IF(INDEX('Per Invoice'!AA$2:AA$401,$AH379)="","",INDEX('Per Invoice'!AA$2:AA$401,$AH379)))</f>
        <v/>
      </c>
      <c r="AB379" s="7">
        <f>IF($AH379="","",IF(INDEX('Per Invoice'!AB$2:AB$401,$AH379)="","",INDEX('Per Invoice'!AB$2:AB$401,$AH379)))</f>
        <v/>
      </c>
      <c r="AC379" s="7">
        <f>IF($AH379="","",IF(INDEX('Per Invoice'!AC$2:AC$401,$AH379)="","",INDEX('Per Invoice'!AC$2:AC$401,$AH379)))</f>
        <v/>
      </c>
      <c r="AD379" s="7">
        <f>IF($AH379="","",IF(INDEX('Per Invoice'!AD$2:AD$401,$AH379)="","",INDEX('Per Invoice'!AD$2:AD$401,$AH379)))</f>
        <v/>
      </c>
      <c r="AE379" s="7">
        <f>IF($AH379="","",IF(INDEX('Per Invoice'!AE$2:AE$401,$AH379)="","",INDEX('Per Invoice'!AE$2:AE$401,$AH379)))</f>
        <v/>
      </c>
      <c r="AF379">
        <f>IF($AH379="","",IF(INDEX('Per Invoice'!AF$2:AF$401,$AH379)="","",INDEX('Per Invoice'!AF$2:AF$401,$AH379)))</f>
        <v/>
      </c>
      <c r="AG379" s="7">
        <f>IF($AH379="","",IF(INDEX('Per Invoice'!AG$2:AG$401,$AH379)="","",INDEX('Per Invoice'!AG$2:AG$401,$AH379)))</f>
        <v/>
      </c>
      <c r="AH379" s="16">
        <f>IFERROR(MATCH(Settings!$C$26&amp;"|"&amp;ROWS($AH$2:$AH379),'Per Invoice'!$AI$2:$AI$401,0),"")</f>
        <v/>
      </c>
    </row>
    <row r="380">
      <c r="A380">
        <f>IF($AH380="","",IF(INDEX('Per Invoice'!A$2:A$401,$AH380)="","",INDEX('Per Invoice'!A$2:A$401,$AH380)))</f>
        <v/>
      </c>
      <c r="B380">
        <f>IF($AH380="","",IF(INDEX('Per Invoice'!B$2:B$401,$AH380)="","",INDEX('Per Invoice'!B$2:B$401,$AH380)))</f>
        <v/>
      </c>
      <c r="C380">
        <f>IF($AH380="","",IF(INDEX('Per Invoice'!C$2:C$401,$AH380)="","",INDEX('Per Invoice'!C$2:C$401,$AH380)))</f>
        <v/>
      </c>
      <c r="D380">
        <f>IF($AH380="","",IF(INDEX('Per Invoice'!D$2:D$401,$AH380)="","",INDEX('Per Invoice'!D$2:D$401,$AH380)))</f>
        <v/>
      </c>
      <c r="E380">
        <f>IF($AH380="","",IF(INDEX('Per Invoice'!E$2:E$401,$AH380)="","",INDEX('Per Invoice'!E$2:E$401,$AH380)))</f>
        <v/>
      </c>
      <c r="F380">
        <f>IF($AH380="","",IF(INDEX('Per Invoice'!F$2:F$401,$AH380)="","",INDEX('Per Invoice'!F$2:F$401,$AH380)))</f>
        <v/>
      </c>
      <c r="G380">
        <f>IF($AH380="","",IF(INDEX('Per Invoice'!G$2:G$401,$AH380)="","",INDEX('Per Invoice'!G$2:G$401,$AH380)))</f>
        <v/>
      </c>
      <c r="H380">
        <f>IF($AH380="","",IF(INDEX('Per Invoice'!H$2:H$401,$AH380)="","",INDEX('Per Invoice'!H$2:H$401,$AH380)))</f>
        <v/>
      </c>
      <c r="I380" s="14">
        <f>IF($AH380="","",IF(INDEX('Per Invoice'!I$2:I$401,$AH380)="","",INDEX('Per Invoice'!I$2:I$401,$AH380)))</f>
        <v/>
      </c>
      <c r="J380">
        <f>IF($AH380="","",IF(INDEX('Per Invoice'!J$2:J$401,$AH380)="","",INDEX('Per Invoice'!J$2:J$401,$AH380)))</f>
        <v/>
      </c>
      <c r="K380">
        <f>IF($AH380="","",IF(INDEX('Per Invoice'!K$2:K$401,$AH380)="","",INDEX('Per Invoice'!K$2:K$401,$AH380)))</f>
        <v/>
      </c>
      <c r="L380">
        <f>IF($AH380="","",IF(INDEX('Per Invoice'!L$2:L$401,$AH380)="","",INDEX('Per Invoice'!L$2:L$401,$AH380)))</f>
        <v/>
      </c>
      <c r="M380">
        <f>IF($AH380="","",IF(INDEX('Per Invoice'!M$2:M$401,$AH380)="","",INDEX('Per Invoice'!M$2:M$401,$AH380)))</f>
        <v/>
      </c>
      <c r="N380">
        <f>IF($AH380="","",IF(INDEX('Per Invoice'!N$2:N$401,$AH380)="","",INDEX('Per Invoice'!N$2:N$401,$AH380)))</f>
        <v/>
      </c>
      <c r="O380">
        <f>IF($AH380="","",IF(INDEX('Per Invoice'!O$2:O$401,$AH380)="","",INDEX('Per Invoice'!O$2:O$401,$AH380)))</f>
        <v/>
      </c>
      <c r="P380" s="7">
        <f>IF($AH380="","",IF(INDEX('Per Invoice'!P$2:P$401,$AH380)="","",INDEX('Per Invoice'!P$2:P$401,$AH380)))</f>
        <v/>
      </c>
      <c r="Q380">
        <f>IF($AH380="","",IF(INDEX('Per Invoice'!Q$2:Q$401,$AH380)="","",INDEX('Per Invoice'!Q$2:Q$401,$AH380)))</f>
        <v/>
      </c>
      <c r="R380">
        <f>IF($AH380="","",IF(INDEX('Per Invoice'!R$2:R$401,$AH380)="","",INDEX('Per Invoice'!R$2:R$401,$AH380)))</f>
        <v/>
      </c>
      <c r="S380">
        <f>IF($AH380="","",IF(INDEX('Per Invoice'!S$2:S$401,$AH380)="","",INDEX('Per Invoice'!S$2:S$401,$AH380)))</f>
        <v/>
      </c>
      <c r="T380" s="7">
        <f>IF($AH380="","",IF(INDEX('Per Invoice'!T$2:T$401,$AH380)="","",INDEX('Per Invoice'!T$2:T$401,$AH380)))</f>
        <v/>
      </c>
      <c r="U380" s="7">
        <f>IF($AH380="","",IF(INDEX('Per Invoice'!U$2:U$401,$AH380)="","",INDEX('Per Invoice'!U$2:U$401,$AH380)))</f>
        <v/>
      </c>
      <c r="V380">
        <f>IF($AH380="","",IF(INDEX('Per Invoice'!V$2:V$401,$AH380)="","",INDEX('Per Invoice'!V$2:V$401,$AH380)))</f>
        <v/>
      </c>
      <c r="W380" s="7">
        <f>IF($AH380="","",IF(INDEX('Per Invoice'!W$2:W$401,$AH380)="","",INDEX('Per Invoice'!W$2:W$401,$AH380)))</f>
        <v/>
      </c>
      <c r="X380" s="7">
        <f>IF($AH380="","",IF(INDEX('Per Invoice'!X$2:X$401,$AH380)="","",INDEX('Per Invoice'!X$2:X$401,$AH380)))</f>
        <v/>
      </c>
      <c r="Y380">
        <f>IF($AH380="","",IF(INDEX('Per Invoice'!Y$2:Y$401,$AH380)="","",INDEX('Per Invoice'!Y$2:Y$401,$AH380)))</f>
        <v/>
      </c>
      <c r="Z380" s="7">
        <f>IF($AH380="","",IF(INDEX('Per Invoice'!Z$2:Z$401,$AH380)="","",INDEX('Per Invoice'!Z$2:Z$401,$AH380)))</f>
        <v/>
      </c>
      <c r="AA380" s="7">
        <f>IF($AH380="","",IF(INDEX('Per Invoice'!AA$2:AA$401,$AH380)="","",INDEX('Per Invoice'!AA$2:AA$401,$AH380)))</f>
        <v/>
      </c>
      <c r="AB380" s="7">
        <f>IF($AH380="","",IF(INDEX('Per Invoice'!AB$2:AB$401,$AH380)="","",INDEX('Per Invoice'!AB$2:AB$401,$AH380)))</f>
        <v/>
      </c>
      <c r="AC380" s="7">
        <f>IF($AH380="","",IF(INDEX('Per Invoice'!AC$2:AC$401,$AH380)="","",INDEX('Per Invoice'!AC$2:AC$401,$AH380)))</f>
        <v/>
      </c>
      <c r="AD380" s="7">
        <f>IF($AH380="","",IF(INDEX('Per Invoice'!AD$2:AD$401,$AH380)="","",INDEX('Per Invoice'!AD$2:AD$401,$AH380)))</f>
        <v/>
      </c>
      <c r="AE380" s="7">
        <f>IF($AH380="","",IF(INDEX('Per Invoice'!AE$2:AE$401,$AH380)="","",INDEX('Per Invoice'!AE$2:AE$401,$AH380)))</f>
        <v/>
      </c>
      <c r="AF380">
        <f>IF($AH380="","",IF(INDEX('Per Invoice'!AF$2:AF$401,$AH380)="","",INDEX('Per Invoice'!AF$2:AF$401,$AH380)))</f>
        <v/>
      </c>
      <c r="AG380" s="7">
        <f>IF($AH380="","",IF(INDEX('Per Invoice'!AG$2:AG$401,$AH380)="","",INDEX('Per Invoice'!AG$2:AG$401,$AH380)))</f>
        <v/>
      </c>
      <c r="AH380" s="16">
        <f>IFERROR(MATCH(Settings!$C$26&amp;"|"&amp;ROWS($AH$2:$AH380),'Per Invoice'!$AI$2:$AI$401,0),"")</f>
        <v/>
      </c>
    </row>
    <row r="381">
      <c r="A381">
        <f>IF($AH381="","",IF(INDEX('Per Invoice'!A$2:A$401,$AH381)="","",INDEX('Per Invoice'!A$2:A$401,$AH381)))</f>
        <v/>
      </c>
      <c r="B381">
        <f>IF($AH381="","",IF(INDEX('Per Invoice'!B$2:B$401,$AH381)="","",INDEX('Per Invoice'!B$2:B$401,$AH381)))</f>
        <v/>
      </c>
      <c r="C381">
        <f>IF($AH381="","",IF(INDEX('Per Invoice'!C$2:C$401,$AH381)="","",INDEX('Per Invoice'!C$2:C$401,$AH381)))</f>
        <v/>
      </c>
      <c r="D381">
        <f>IF($AH381="","",IF(INDEX('Per Invoice'!D$2:D$401,$AH381)="","",INDEX('Per Invoice'!D$2:D$401,$AH381)))</f>
        <v/>
      </c>
      <c r="E381">
        <f>IF($AH381="","",IF(INDEX('Per Invoice'!E$2:E$401,$AH381)="","",INDEX('Per Invoice'!E$2:E$401,$AH381)))</f>
        <v/>
      </c>
      <c r="F381">
        <f>IF($AH381="","",IF(INDEX('Per Invoice'!F$2:F$401,$AH381)="","",INDEX('Per Invoice'!F$2:F$401,$AH381)))</f>
        <v/>
      </c>
      <c r="G381">
        <f>IF($AH381="","",IF(INDEX('Per Invoice'!G$2:G$401,$AH381)="","",INDEX('Per Invoice'!G$2:G$401,$AH381)))</f>
        <v/>
      </c>
      <c r="H381">
        <f>IF($AH381="","",IF(INDEX('Per Invoice'!H$2:H$401,$AH381)="","",INDEX('Per Invoice'!H$2:H$401,$AH381)))</f>
        <v/>
      </c>
      <c r="I381" s="14">
        <f>IF($AH381="","",IF(INDEX('Per Invoice'!I$2:I$401,$AH381)="","",INDEX('Per Invoice'!I$2:I$401,$AH381)))</f>
        <v/>
      </c>
      <c r="J381">
        <f>IF($AH381="","",IF(INDEX('Per Invoice'!J$2:J$401,$AH381)="","",INDEX('Per Invoice'!J$2:J$401,$AH381)))</f>
        <v/>
      </c>
      <c r="K381">
        <f>IF($AH381="","",IF(INDEX('Per Invoice'!K$2:K$401,$AH381)="","",INDEX('Per Invoice'!K$2:K$401,$AH381)))</f>
        <v/>
      </c>
      <c r="L381">
        <f>IF($AH381="","",IF(INDEX('Per Invoice'!L$2:L$401,$AH381)="","",INDEX('Per Invoice'!L$2:L$401,$AH381)))</f>
        <v/>
      </c>
      <c r="M381">
        <f>IF($AH381="","",IF(INDEX('Per Invoice'!M$2:M$401,$AH381)="","",INDEX('Per Invoice'!M$2:M$401,$AH381)))</f>
        <v/>
      </c>
      <c r="N381">
        <f>IF($AH381="","",IF(INDEX('Per Invoice'!N$2:N$401,$AH381)="","",INDEX('Per Invoice'!N$2:N$401,$AH381)))</f>
        <v/>
      </c>
      <c r="O381">
        <f>IF($AH381="","",IF(INDEX('Per Invoice'!O$2:O$401,$AH381)="","",INDEX('Per Invoice'!O$2:O$401,$AH381)))</f>
        <v/>
      </c>
      <c r="P381" s="7">
        <f>IF($AH381="","",IF(INDEX('Per Invoice'!P$2:P$401,$AH381)="","",INDEX('Per Invoice'!P$2:P$401,$AH381)))</f>
        <v/>
      </c>
      <c r="Q381">
        <f>IF($AH381="","",IF(INDEX('Per Invoice'!Q$2:Q$401,$AH381)="","",INDEX('Per Invoice'!Q$2:Q$401,$AH381)))</f>
        <v/>
      </c>
      <c r="R381">
        <f>IF($AH381="","",IF(INDEX('Per Invoice'!R$2:R$401,$AH381)="","",INDEX('Per Invoice'!R$2:R$401,$AH381)))</f>
        <v/>
      </c>
      <c r="S381">
        <f>IF($AH381="","",IF(INDEX('Per Invoice'!S$2:S$401,$AH381)="","",INDEX('Per Invoice'!S$2:S$401,$AH381)))</f>
        <v/>
      </c>
      <c r="T381" s="7">
        <f>IF($AH381="","",IF(INDEX('Per Invoice'!T$2:T$401,$AH381)="","",INDEX('Per Invoice'!T$2:T$401,$AH381)))</f>
        <v/>
      </c>
      <c r="U381" s="7">
        <f>IF($AH381="","",IF(INDEX('Per Invoice'!U$2:U$401,$AH381)="","",INDEX('Per Invoice'!U$2:U$401,$AH381)))</f>
        <v/>
      </c>
      <c r="V381">
        <f>IF($AH381="","",IF(INDEX('Per Invoice'!V$2:V$401,$AH381)="","",INDEX('Per Invoice'!V$2:V$401,$AH381)))</f>
        <v/>
      </c>
      <c r="W381" s="7">
        <f>IF($AH381="","",IF(INDEX('Per Invoice'!W$2:W$401,$AH381)="","",INDEX('Per Invoice'!W$2:W$401,$AH381)))</f>
        <v/>
      </c>
      <c r="X381" s="7">
        <f>IF($AH381="","",IF(INDEX('Per Invoice'!X$2:X$401,$AH381)="","",INDEX('Per Invoice'!X$2:X$401,$AH381)))</f>
        <v/>
      </c>
      <c r="Y381">
        <f>IF($AH381="","",IF(INDEX('Per Invoice'!Y$2:Y$401,$AH381)="","",INDEX('Per Invoice'!Y$2:Y$401,$AH381)))</f>
        <v/>
      </c>
      <c r="Z381" s="7">
        <f>IF($AH381="","",IF(INDEX('Per Invoice'!Z$2:Z$401,$AH381)="","",INDEX('Per Invoice'!Z$2:Z$401,$AH381)))</f>
        <v/>
      </c>
      <c r="AA381" s="7">
        <f>IF($AH381="","",IF(INDEX('Per Invoice'!AA$2:AA$401,$AH381)="","",INDEX('Per Invoice'!AA$2:AA$401,$AH381)))</f>
        <v/>
      </c>
      <c r="AB381" s="7">
        <f>IF($AH381="","",IF(INDEX('Per Invoice'!AB$2:AB$401,$AH381)="","",INDEX('Per Invoice'!AB$2:AB$401,$AH381)))</f>
        <v/>
      </c>
      <c r="AC381" s="7">
        <f>IF($AH381="","",IF(INDEX('Per Invoice'!AC$2:AC$401,$AH381)="","",INDEX('Per Invoice'!AC$2:AC$401,$AH381)))</f>
        <v/>
      </c>
      <c r="AD381" s="7">
        <f>IF($AH381="","",IF(INDEX('Per Invoice'!AD$2:AD$401,$AH381)="","",INDEX('Per Invoice'!AD$2:AD$401,$AH381)))</f>
        <v/>
      </c>
      <c r="AE381" s="7">
        <f>IF($AH381="","",IF(INDEX('Per Invoice'!AE$2:AE$401,$AH381)="","",INDEX('Per Invoice'!AE$2:AE$401,$AH381)))</f>
        <v/>
      </c>
      <c r="AF381">
        <f>IF($AH381="","",IF(INDEX('Per Invoice'!AF$2:AF$401,$AH381)="","",INDEX('Per Invoice'!AF$2:AF$401,$AH381)))</f>
        <v/>
      </c>
      <c r="AG381" s="7">
        <f>IF($AH381="","",IF(INDEX('Per Invoice'!AG$2:AG$401,$AH381)="","",INDEX('Per Invoice'!AG$2:AG$401,$AH381)))</f>
        <v/>
      </c>
      <c r="AH381" s="16">
        <f>IFERROR(MATCH(Settings!$C$26&amp;"|"&amp;ROWS($AH$2:$AH381),'Per Invoice'!$AI$2:$AI$401,0),"")</f>
        <v/>
      </c>
    </row>
    <row r="382">
      <c r="A382">
        <f>IF($AH382="","",IF(INDEX('Per Invoice'!A$2:A$401,$AH382)="","",INDEX('Per Invoice'!A$2:A$401,$AH382)))</f>
        <v/>
      </c>
      <c r="B382">
        <f>IF($AH382="","",IF(INDEX('Per Invoice'!B$2:B$401,$AH382)="","",INDEX('Per Invoice'!B$2:B$401,$AH382)))</f>
        <v/>
      </c>
      <c r="C382">
        <f>IF($AH382="","",IF(INDEX('Per Invoice'!C$2:C$401,$AH382)="","",INDEX('Per Invoice'!C$2:C$401,$AH382)))</f>
        <v/>
      </c>
      <c r="D382">
        <f>IF($AH382="","",IF(INDEX('Per Invoice'!D$2:D$401,$AH382)="","",INDEX('Per Invoice'!D$2:D$401,$AH382)))</f>
        <v/>
      </c>
      <c r="E382">
        <f>IF($AH382="","",IF(INDEX('Per Invoice'!E$2:E$401,$AH382)="","",INDEX('Per Invoice'!E$2:E$401,$AH382)))</f>
        <v/>
      </c>
      <c r="F382">
        <f>IF($AH382="","",IF(INDEX('Per Invoice'!F$2:F$401,$AH382)="","",INDEX('Per Invoice'!F$2:F$401,$AH382)))</f>
        <v/>
      </c>
      <c r="G382">
        <f>IF($AH382="","",IF(INDEX('Per Invoice'!G$2:G$401,$AH382)="","",INDEX('Per Invoice'!G$2:G$401,$AH382)))</f>
        <v/>
      </c>
      <c r="H382">
        <f>IF($AH382="","",IF(INDEX('Per Invoice'!H$2:H$401,$AH382)="","",INDEX('Per Invoice'!H$2:H$401,$AH382)))</f>
        <v/>
      </c>
      <c r="I382" s="14">
        <f>IF($AH382="","",IF(INDEX('Per Invoice'!I$2:I$401,$AH382)="","",INDEX('Per Invoice'!I$2:I$401,$AH382)))</f>
        <v/>
      </c>
      <c r="J382">
        <f>IF($AH382="","",IF(INDEX('Per Invoice'!J$2:J$401,$AH382)="","",INDEX('Per Invoice'!J$2:J$401,$AH382)))</f>
        <v/>
      </c>
      <c r="K382">
        <f>IF($AH382="","",IF(INDEX('Per Invoice'!K$2:K$401,$AH382)="","",INDEX('Per Invoice'!K$2:K$401,$AH382)))</f>
        <v/>
      </c>
      <c r="L382">
        <f>IF($AH382="","",IF(INDEX('Per Invoice'!L$2:L$401,$AH382)="","",INDEX('Per Invoice'!L$2:L$401,$AH382)))</f>
        <v/>
      </c>
      <c r="M382">
        <f>IF($AH382="","",IF(INDEX('Per Invoice'!M$2:M$401,$AH382)="","",INDEX('Per Invoice'!M$2:M$401,$AH382)))</f>
        <v/>
      </c>
      <c r="N382">
        <f>IF($AH382="","",IF(INDEX('Per Invoice'!N$2:N$401,$AH382)="","",INDEX('Per Invoice'!N$2:N$401,$AH382)))</f>
        <v/>
      </c>
      <c r="O382">
        <f>IF($AH382="","",IF(INDEX('Per Invoice'!O$2:O$401,$AH382)="","",INDEX('Per Invoice'!O$2:O$401,$AH382)))</f>
        <v/>
      </c>
      <c r="P382" s="7">
        <f>IF($AH382="","",IF(INDEX('Per Invoice'!P$2:P$401,$AH382)="","",INDEX('Per Invoice'!P$2:P$401,$AH382)))</f>
        <v/>
      </c>
      <c r="Q382">
        <f>IF($AH382="","",IF(INDEX('Per Invoice'!Q$2:Q$401,$AH382)="","",INDEX('Per Invoice'!Q$2:Q$401,$AH382)))</f>
        <v/>
      </c>
      <c r="R382">
        <f>IF($AH382="","",IF(INDEX('Per Invoice'!R$2:R$401,$AH382)="","",INDEX('Per Invoice'!R$2:R$401,$AH382)))</f>
        <v/>
      </c>
      <c r="S382">
        <f>IF($AH382="","",IF(INDEX('Per Invoice'!S$2:S$401,$AH382)="","",INDEX('Per Invoice'!S$2:S$401,$AH382)))</f>
        <v/>
      </c>
      <c r="T382" s="7">
        <f>IF($AH382="","",IF(INDEX('Per Invoice'!T$2:T$401,$AH382)="","",INDEX('Per Invoice'!T$2:T$401,$AH382)))</f>
        <v/>
      </c>
      <c r="U382" s="7">
        <f>IF($AH382="","",IF(INDEX('Per Invoice'!U$2:U$401,$AH382)="","",INDEX('Per Invoice'!U$2:U$401,$AH382)))</f>
        <v/>
      </c>
      <c r="V382">
        <f>IF($AH382="","",IF(INDEX('Per Invoice'!V$2:V$401,$AH382)="","",INDEX('Per Invoice'!V$2:V$401,$AH382)))</f>
        <v/>
      </c>
      <c r="W382" s="7">
        <f>IF($AH382="","",IF(INDEX('Per Invoice'!W$2:W$401,$AH382)="","",INDEX('Per Invoice'!W$2:W$401,$AH382)))</f>
        <v/>
      </c>
      <c r="X382" s="7">
        <f>IF($AH382="","",IF(INDEX('Per Invoice'!X$2:X$401,$AH382)="","",INDEX('Per Invoice'!X$2:X$401,$AH382)))</f>
        <v/>
      </c>
      <c r="Y382">
        <f>IF($AH382="","",IF(INDEX('Per Invoice'!Y$2:Y$401,$AH382)="","",INDEX('Per Invoice'!Y$2:Y$401,$AH382)))</f>
        <v/>
      </c>
      <c r="Z382" s="7">
        <f>IF($AH382="","",IF(INDEX('Per Invoice'!Z$2:Z$401,$AH382)="","",INDEX('Per Invoice'!Z$2:Z$401,$AH382)))</f>
        <v/>
      </c>
      <c r="AA382" s="7">
        <f>IF($AH382="","",IF(INDEX('Per Invoice'!AA$2:AA$401,$AH382)="","",INDEX('Per Invoice'!AA$2:AA$401,$AH382)))</f>
        <v/>
      </c>
      <c r="AB382" s="7">
        <f>IF($AH382="","",IF(INDEX('Per Invoice'!AB$2:AB$401,$AH382)="","",INDEX('Per Invoice'!AB$2:AB$401,$AH382)))</f>
        <v/>
      </c>
      <c r="AC382" s="7">
        <f>IF($AH382="","",IF(INDEX('Per Invoice'!AC$2:AC$401,$AH382)="","",INDEX('Per Invoice'!AC$2:AC$401,$AH382)))</f>
        <v/>
      </c>
      <c r="AD382" s="7">
        <f>IF($AH382="","",IF(INDEX('Per Invoice'!AD$2:AD$401,$AH382)="","",INDEX('Per Invoice'!AD$2:AD$401,$AH382)))</f>
        <v/>
      </c>
      <c r="AE382" s="7">
        <f>IF($AH382="","",IF(INDEX('Per Invoice'!AE$2:AE$401,$AH382)="","",INDEX('Per Invoice'!AE$2:AE$401,$AH382)))</f>
        <v/>
      </c>
      <c r="AF382">
        <f>IF($AH382="","",IF(INDEX('Per Invoice'!AF$2:AF$401,$AH382)="","",INDEX('Per Invoice'!AF$2:AF$401,$AH382)))</f>
        <v/>
      </c>
      <c r="AG382" s="7">
        <f>IF($AH382="","",IF(INDEX('Per Invoice'!AG$2:AG$401,$AH382)="","",INDEX('Per Invoice'!AG$2:AG$401,$AH382)))</f>
        <v/>
      </c>
      <c r="AH382" s="16">
        <f>IFERROR(MATCH(Settings!$C$26&amp;"|"&amp;ROWS($AH$2:$AH382),'Per Invoice'!$AI$2:$AI$401,0),"")</f>
        <v/>
      </c>
    </row>
    <row r="383">
      <c r="A383">
        <f>IF($AH383="","",IF(INDEX('Per Invoice'!A$2:A$401,$AH383)="","",INDEX('Per Invoice'!A$2:A$401,$AH383)))</f>
        <v/>
      </c>
      <c r="B383">
        <f>IF($AH383="","",IF(INDEX('Per Invoice'!B$2:B$401,$AH383)="","",INDEX('Per Invoice'!B$2:B$401,$AH383)))</f>
        <v/>
      </c>
      <c r="C383">
        <f>IF($AH383="","",IF(INDEX('Per Invoice'!C$2:C$401,$AH383)="","",INDEX('Per Invoice'!C$2:C$401,$AH383)))</f>
        <v/>
      </c>
      <c r="D383">
        <f>IF($AH383="","",IF(INDEX('Per Invoice'!D$2:D$401,$AH383)="","",INDEX('Per Invoice'!D$2:D$401,$AH383)))</f>
        <v/>
      </c>
      <c r="E383">
        <f>IF($AH383="","",IF(INDEX('Per Invoice'!E$2:E$401,$AH383)="","",INDEX('Per Invoice'!E$2:E$401,$AH383)))</f>
        <v/>
      </c>
      <c r="F383">
        <f>IF($AH383="","",IF(INDEX('Per Invoice'!F$2:F$401,$AH383)="","",INDEX('Per Invoice'!F$2:F$401,$AH383)))</f>
        <v/>
      </c>
      <c r="G383">
        <f>IF($AH383="","",IF(INDEX('Per Invoice'!G$2:G$401,$AH383)="","",INDEX('Per Invoice'!G$2:G$401,$AH383)))</f>
        <v/>
      </c>
      <c r="H383">
        <f>IF($AH383="","",IF(INDEX('Per Invoice'!H$2:H$401,$AH383)="","",INDEX('Per Invoice'!H$2:H$401,$AH383)))</f>
        <v/>
      </c>
      <c r="I383" s="14">
        <f>IF($AH383="","",IF(INDEX('Per Invoice'!I$2:I$401,$AH383)="","",INDEX('Per Invoice'!I$2:I$401,$AH383)))</f>
        <v/>
      </c>
      <c r="J383">
        <f>IF($AH383="","",IF(INDEX('Per Invoice'!J$2:J$401,$AH383)="","",INDEX('Per Invoice'!J$2:J$401,$AH383)))</f>
        <v/>
      </c>
      <c r="K383">
        <f>IF($AH383="","",IF(INDEX('Per Invoice'!K$2:K$401,$AH383)="","",INDEX('Per Invoice'!K$2:K$401,$AH383)))</f>
        <v/>
      </c>
      <c r="L383">
        <f>IF($AH383="","",IF(INDEX('Per Invoice'!L$2:L$401,$AH383)="","",INDEX('Per Invoice'!L$2:L$401,$AH383)))</f>
        <v/>
      </c>
      <c r="M383">
        <f>IF($AH383="","",IF(INDEX('Per Invoice'!M$2:M$401,$AH383)="","",INDEX('Per Invoice'!M$2:M$401,$AH383)))</f>
        <v/>
      </c>
      <c r="N383">
        <f>IF($AH383="","",IF(INDEX('Per Invoice'!N$2:N$401,$AH383)="","",INDEX('Per Invoice'!N$2:N$401,$AH383)))</f>
        <v/>
      </c>
      <c r="O383">
        <f>IF($AH383="","",IF(INDEX('Per Invoice'!O$2:O$401,$AH383)="","",INDEX('Per Invoice'!O$2:O$401,$AH383)))</f>
        <v/>
      </c>
      <c r="P383" s="7">
        <f>IF($AH383="","",IF(INDEX('Per Invoice'!P$2:P$401,$AH383)="","",INDEX('Per Invoice'!P$2:P$401,$AH383)))</f>
        <v/>
      </c>
      <c r="Q383">
        <f>IF($AH383="","",IF(INDEX('Per Invoice'!Q$2:Q$401,$AH383)="","",INDEX('Per Invoice'!Q$2:Q$401,$AH383)))</f>
        <v/>
      </c>
      <c r="R383">
        <f>IF($AH383="","",IF(INDEX('Per Invoice'!R$2:R$401,$AH383)="","",INDEX('Per Invoice'!R$2:R$401,$AH383)))</f>
        <v/>
      </c>
      <c r="S383">
        <f>IF($AH383="","",IF(INDEX('Per Invoice'!S$2:S$401,$AH383)="","",INDEX('Per Invoice'!S$2:S$401,$AH383)))</f>
        <v/>
      </c>
      <c r="T383" s="7">
        <f>IF($AH383="","",IF(INDEX('Per Invoice'!T$2:T$401,$AH383)="","",INDEX('Per Invoice'!T$2:T$401,$AH383)))</f>
        <v/>
      </c>
      <c r="U383" s="7">
        <f>IF($AH383="","",IF(INDEX('Per Invoice'!U$2:U$401,$AH383)="","",INDEX('Per Invoice'!U$2:U$401,$AH383)))</f>
        <v/>
      </c>
      <c r="V383">
        <f>IF($AH383="","",IF(INDEX('Per Invoice'!V$2:V$401,$AH383)="","",INDEX('Per Invoice'!V$2:V$401,$AH383)))</f>
        <v/>
      </c>
      <c r="W383" s="7">
        <f>IF($AH383="","",IF(INDEX('Per Invoice'!W$2:W$401,$AH383)="","",INDEX('Per Invoice'!W$2:W$401,$AH383)))</f>
        <v/>
      </c>
      <c r="X383" s="7">
        <f>IF($AH383="","",IF(INDEX('Per Invoice'!X$2:X$401,$AH383)="","",INDEX('Per Invoice'!X$2:X$401,$AH383)))</f>
        <v/>
      </c>
      <c r="Y383">
        <f>IF($AH383="","",IF(INDEX('Per Invoice'!Y$2:Y$401,$AH383)="","",INDEX('Per Invoice'!Y$2:Y$401,$AH383)))</f>
        <v/>
      </c>
      <c r="Z383" s="7">
        <f>IF($AH383="","",IF(INDEX('Per Invoice'!Z$2:Z$401,$AH383)="","",INDEX('Per Invoice'!Z$2:Z$401,$AH383)))</f>
        <v/>
      </c>
      <c r="AA383" s="7">
        <f>IF($AH383="","",IF(INDEX('Per Invoice'!AA$2:AA$401,$AH383)="","",INDEX('Per Invoice'!AA$2:AA$401,$AH383)))</f>
        <v/>
      </c>
      <c r="AB383" s="7">
        <f>IF($AH383="","",IF(INDEX('Per Invoice'!AB$2:AB$401,$AH383)="","",INDEX('Per Invoice'!AB$2:AB$401,$AH383)))</f>
        <v/>
      </c>
      <c r="AC383" s="7">
        <f>IF($AH383="","",IF(INDEX('Per Invoice'!AC$2:AC$401,$AH383)="","",INDEX('Per Invoice'!AC$2:AC$401,$AH383)))</f>
        <v/>
      </c>
      <c r="AD383" s="7">
        <f>IF($AH383="","",IF(INDEX('Per Invoice'!AD$2:AD$401,$AH383)="","",INDEX('Per Invoice'!AD$2:AD$401,$AH383)))</f>
        <v/>
      </c>
      <c r="AE383" s="7">
        <f>IF($AH383="","",IF(INDEX('Per Invoice'!AE$2:AE$401,$AH383)="","",INDEX('Per Invoice'!AE$2:AE$401,$AH383)))</f>
        <v/>
      </c>
      <c r="AF383">
        <f>IF($AH383="","",IF(INDEX('Per Invoice'!AF$2:AF$401,$AH383)="","",INDEX('Per Invoice'!AF$2:AF$401,$AH383)))</f>
        <v/>
      </c>
      <c r="AG383" s="7">
        <f>IF($AH383="","",IF(INDEX('Per Invoice'!AG$2:AG$401,$AH383)="","",INDEX('Per Invoice'!AG$2:AG$401,$AH383)))</f>
        <v/>
      </c>
      <c r="AH383" s="16">
        <f>IFERROR(MATCH(Settings!$C$26&amp;"|"&amp;ROWS($AH$2:$AH383),'Per Invoice'!$AI$2:$AI$401,0),"")</f>
        <v/>
      </c>
    </row>
    <row r="384">
      <c r="A384">
        <f>IF($AH384="","",IF(INDEX('Per Invoice'!A$2:A$401,$AH384)="","",INDEX('Per Invoice'!A$2:A$401,$AH384)))</f>
        <v/>
      </c>
      <c r="B384">
        <f>IF($AH384="","",IF(INDEX('Per Invoice'!B$2:B$401,$AH384)="","",INDEX('Per Invoice'!B$2:B$401,$AH384)))</f>
        <v/>
      </c>
      <c r="C384">
        <f>IF($AH384="","",IF(INDEX('Per Invoice'!C$2:C$401,$AH384)="","",INDEX('Per Invoice'!C$2:C$401,$AH384)))</f>
        <v/>
      </c>
      <c r="D384">
        <f>IF($AH384="","",IF(INDEX('Per Invoice'!D$2:D$401,$AH384)="","",INDEX('Per Invoice'!D$2:D$401,$AH384)))</f>
        <v/>
      </c>
      <c r="E384">
        <f>IF($AH384="","",IF(INDEX('Per Invoice'!E$2:E$401,$AH384)="","",INDEX('Per Invoice'!E$2:E$401,$AH384)))</f>
        <v/>
      </c>
      <c r="F384">
        <f>IF($AH384="","",IF(INDEX('Per Invoice'!F$2:F$401,$AH384)="","",INDEX('Per Invoice'!F$2:F$401,$AH384)))</f>
        <v/>
      </c>
      <c r="G384">
        <f>IF($AH384="","",IF(INDEX('Per Invoice'!G$2:G$401,$AH384)="","",INDEX('Per Invoice'!G$2:G$401,$AH384)))</f>
        <v/>
      </c>
      <c r="H384">
        <f>IF($AH384="","",IF(INDEX('Per Invoice'!H$2:H$401,$AH384)="","",INDEX('Per Invoice'!H$2:H$401,$AH384)))</f>
        <v/>
      </c>
      <c r="I384" s="14">
        <f>IF($AH384="","",IF(INDEX('Per Invoice'!I$2:I$401,$AH384)="","",INDEX('Per Invoice'!I$2:I$401,$AH384)))</f>
        <v/>
      </c>
      <c r="J384">
        <f>IF($AH384="","",IF(INDEX('Per Invoice'!J$2:J$401,$AH384)="","",INDEX('Per Invoice'!J$2:J$401,$AH384)))</f>
        <v/>
      </c>
      <c r="K384">
        <f>IF($AH384="","",IF(INDEX('Per Invoice'!K$2:K$401,$AH384)="","",INDEX('Per Invoice'!K$2:K$401,$AH384)))</f>
        <v/>
      </c>
      <c r="L384">
        <f>IF($AH384="","",IF(INDEX('Per Invoice'!L$2:L$401,$AH384)="","",INDEX('Per Invoice'!L$2:L$401,$AH384)))</f>
        <v/>
      </c>
      <c r="M384">
        <f>IF($AH384="","",IF(INDEX('Per Invoice'!M$2:M$401,$AH384)="","",INDEX('Per Invoice'!M$2:M$401,$AH384)))</f>
        <v/>
      </c>
      <c r="N384">
        <f>IF($AH384="","",IF(INDEX('Per Invoice'!N$2:N$401,$AH384)="","",INDEX('Per Invoice'!N$2:N$401,$AH384)))</f>
        <v/>
      </c>
      <c r="O384">
        <f>IF($AH384="","",IF(INDEX('Per Invoice'!O$2:O$401,$AH384)="","",INDEX('Per Invoice'!O$2:O$401,$AH384)))</f>
        <v/>
      </c>
      <c r="P384" s="7">
        <f>IF($AH384="","",IF(INDEX('Per Invoice'!P$2:P$401,$AH384)="","",INDEX('Per Invoice'!P$2:P$401,$AH384)))</f>
        <v/>
      </c>
      <c r="Q384">
        <f>IF($AH384="","",IF(INDEX('Per Invoice'!Q$2:Q$401,$AH384)="","",INDEX('Per Invoice'!Q$2:Q$401,$AH384)))</f>
        <v/>
      </c>
      <c r="R384">
        <f>IF($AH384="","",IF(INDEX('Per Invoice'!R$2:R$401,$AH384)="","",INDEX('Per Invoice'!R$2:R$401,$AH384)))</f>
        <v/>
      </c>
      <c r="S384">
        <f>IF($AH384="","",IF(INDEX('Per Invoice'!S$2:S$401,$AH384)="","",INDEX('Per Invoice'!S$2:S$401,$AH384)))</f>
        <v/>
      </c>
      <c r="T384" s="7">
        <f>IF($AH384="","",IF(INDEX('Per Invoice'!T$2:T$401,$AH384)="","",INDEX('Per Invoice'!T$2:T$401,$AH384)))</f>
        <v/>
      </c>
      <c r="U384" s="7">
        <f>IF($AH384="","",IF(INDEX('Per Invoice'!U$2:U$401,$AH384)="","",INDEX('Per Invoice'!U$2:U$401,$AH384)))</f>
        <v/>
      </c>
      <c r="V384">
        <f>IF($AH384="","",IF(INDEX('Per Invoice'!V$2:V$401,$AH384)="","",INDEX('Per Invoice'!V$2:V$401,$AH384)))</f>
        <v/>
      </c>
      <c r="W384" s="7">
        <f>IF($AH384="","",IF(INDEX('Per Invoice'!W$2:W$401,$AH384)="","",INDEX('Per Invoice'!W$2:W$401,$AH384)))</f>
        <v/>
      </c>
      <c r="X384" s="7">
        <f>IF($AH384="","",IF(INDEX('Per Invoice'!X$2:X$401,$AH384)="","",INDEX('Per Invoice'!X$2:X$401,$AH384)))</f>
        <v/>
      </c>
      <c r="Y384">
        <f>IF($AH384="","",IF(INDEX('Per Invoice'!Y$2:Y$401,$AH384)="","",INDEX('Per Invoice'!Y$2:Y$401,$AH384)))</f>
        <v/>
      </c>
      <c r="Z384" s="7">
        <f>IF($AH384="","",IF(INDEX('Per Invoice'!Z$2:Z$401,$AH384)="","",INDEX('Per Invoice'!Z$2:Z$401,$AH384)))</f>
        <v/>
      </c>
      <c r="AA384" s="7">
        <f>IF($AH384="","",IF(INDEX('Per Invoice'!AA$2:AA$401,$AH384)="","",INDEX('Per Invoice'!AA$2:AA$401,$AH384)))</f>
        <v/>
      </c>
      <c r="AB384" s="7">
        <f>IF($AH384="","",IF(INDEX('Per Invoice'!AB$2:AB$401,$AH384)="","",INDEX('Per Invoice'!AB$2:AB$401,$AH384)))</f>
        <v/>
      </c>
      <c r="AC384" s="7">
        <f>IF($AH384="","",IF(INDEX('Per Invoice'!AC$2:AC$401,$AH384)="","",INDEX('Per Invoice'!AC$2:AC$401,$AH384)))</f>
        <v/>
      </c>
      <c r="AD384" s="7">
        <f>IF($AH384="","",IF(INDEX('Per Invoice'!AD$2:AD$401,$AH384)="","",INDEX('Per Invoice'!AD$2:AD$401,$AH384)))</f>
        <v/>
      </c>
      <c r="AE384" s="7">
        <f>IF($AH384="","",IF(INDEX('Per Invoice'!AE$2:AE$401,$AH384)="","",INDEX('Per Invoice'!AE$2:AE$401,$AH384)))</f>
        <v/>
      </c>
      <c r="AF384">
        <f>IF($AH384="","",IF(INDEX('Per Invoice'!AF$2:AF$401,$AH384)="","",INDEX('Per Invoice'!AF$2:AF$401,$AH384)))</f>
        <v/>
      </c>
      <c r="AG384" s="7">
        <f>IF($AH384="","",IF(INDEX('Per Invoice'!AG$2:AG$401,$AH384)="","",INDEX('Per Invoice'!AG$2:AG$401,$AH384)))</f>
        <v/>
      </c>
      <c r="AH384" s="16">
        <f>IFERROR(MATCH(Settings!$C$26&amp;"|"&amp;ROWS($AH$2:$AH384),'Per Invoice'!$AI$2:$AI$401,0),"")</f>
        <v/>
      </c>
    </row>
    <row r="385">
      <c r="A385">
        <f>IF($AH385="","",IF(INDEX('Per Invoice'!A$2:A$401,$AH385)="","",INDEX('Per Invoice'!A$2:A$401,$AH385)))</f>
        <v/>
      </c>
      <c r="B385">
        <f>IF($AH385="","",IF(INDEX('Per Invoice'!B$2:B$401,$AH385)="","",INDEX('Per Invoice'!B$2:B$401,$AH385)))</f>
        <v/>
      </c>
      <c r="C385">
        <f>IF($AH385="","",IF(INDEX('Per Invoice'!C$2:C$401,$AH385)="","",INDEX('Per Invoice'!C$2:C$401,$AH385)))</f>
        <v/>
      </c>
      <c r="D385">
        <f>IF($AH385="","",IF(INDEX('Per Invoice'!D$2:D$401,$AH385)="","",INDEX('Per Invoice'!D$2:D$401,$AH385)))</f>
        <v/>
      </c>
      <c r="E385">
        <f>IF($AH385="","",IF(INDEX('Per Invoice'!E$2:E$401,$AH385)="","",INDEX('Per Invoice'!E$2:E$401,$AH385)))</f>
        <v/>
      </c>
      <c r="F385">
        <f>IF($AH385="","",IF(INDEX('Per Invoice'!F$2:F$401,$AH385)="","",INDEX('Per Invoice'!F$2:F$401,$AH385)))</f>
        <v/>
      </c>
      <c r="G385">
        <f>IF($AH385="","",IF(INDEX('Per Invoice'!G$2:G$401,$AH385)="","",INDEX('Per Invoice'!G$2:G$401,$AH385)))</f>
        <v/>
      </c>
      <c r="H385">
        <f>IF($AH385="","",IF(INDEX('Per Invoice'!H$2:H$401,$AH385)="","",INDEX('Per Invoice'!H$2:H$401,$AH385)))</f>
        <v/>
      </c>
      <c r="I385" s="14">
        <f>IF($AH385="","",IF(INDEX('Per Invoice'!I$2:I$401,$AH385)="","",INDEX('Per Invoice'!I$2:I$401,$AH385)))</f>
        <v/>
      </c>
      <c r="J385">
        <f>IF($AH385="","",IF(INDEX('Per Invoice'!J$2:J$401,$AH385)="","",INDEX('Per Invoice'!J$2:J$401,$AH385)))</f>
        <v/>
      </c>
      <c r="K385">
        <f>IF($AH385="","",IF(INDEX('Per Invoice'!K$2:K$401,$AH385)="","",INDEX('Per Invoice'!K$2:K$401,$AH385)))</f>
        <v/>
      </c>
      <c r="L385">
        <f>IF($AH385="","",IF(INDEX('Per Invoice'!L$2:L$401,$AH385)="","",INDEX('Per Invoice'!L$2:L$401,$AH385)))</f>
        <v/>
      </c>
      <c r="M385">
        <f>IF($AH385="","",IF(INDEX('Per Invoice'!M$2:M$401,$AH385)="","",INDEX('Per Invoice'!M$2:M$401,$AH385)))</f>
        <v/>
      </c>
      <c r="N385">
        <f>IF($AH385="","",IF(INDEX('Per Invoice'!N$2:N$401,$AH385)="","",INDEX('Per Invoice'!N$2:N$401,$AH385)))</f>
        <v/>
      </c>
      <c r="O385">
        <f>IF($AH385="","",IF(INDEX('Per Invoice'!O$2:O$401,$AH385)="","",INDEX('Per Invoice'!O$2:O$401,$AH385)))</f>
        <v/>
      </c>
      <c r="P385" s="7">
        <f>IF($AH385="","",IF(INDEX('Per Invoice'!P$2:P$401,$AH385)="","",INDEX('Per Invoice'!P$2:P$401,$AH385)))</f>
        <v/>
      </c>
      <c r="Q385">
        <f>IF($AH385="","",IF(INDEX('Per Invoice'!Q$2:Q$401,$AH385)="","",INDEX('Per Invoice'!Q$2:Q$401,$AH385)))</f>
        <v/>
      </c>
      <c r="R385">
        <f>IF($AH385="","",IF(INDEX('Per Invoice'!R$2:R$401,$AH385)="","",INDEX('Per Invoice'!R$2:R$401,$AH385)))</f>
        <v/>
      </c>
      <c r="S385">
        <f>IF($AH385="","",IF(INDEX('Per Invoice'!S$2:S$401,$AH385)="","",INDEX('Per Invoice'!S$2:S$401,$AH385)))</f>
        <v/>
      </c>
      <c r="T385" s="7">
        <f>IF($AH385="","",IF(INDEX('Per Invoice'!T$2:T$401,$AH385)="","",INDEX('Per Invoice'!T$2:T$401,$AH385)))</f>
        <v/>
      </c>
      <c r="U385" s="7">
        <f>IF($AH385="","",IF(INDEX('Per Invoice'!U$2:U$401,$AH385)="","",INDEX('Per Invoice'!U$2:U$401,$AH385)))</f>
        <v/>
      </c>
      <c r="V385">
        <f>IF($AH385="","",IF(INDEX('Per Invoice'!V$2:V$401,$AH385)="","",INDEX('Per Invoice'!V$2:V$401,$AH385)))</f>
        <v/>
      </c>
      <c r="W385" s="7">
        <f>IF($AH385="","",IF(INDEX('Per Invoice'!W$2:W$401,$AH385)="","",INDEX('Per Invoice'!W$2:W$401,$AH385)))</f>
        <v/>
      </c>
      <c r="X385" s="7">
        <f>IF($AH385="","",IF(INDEX('Per Invoice'!X$2:X$401,$AH385)="","",INDEX('Per Invoice'!X$2:X$401,$AH385)))</f>
        <v/>
      </c>
      <c r="Y385">
        <f>IF($AH385="","",IF(INDEX('Per Invoice'!Y$2:Y$401,$AH385)="","",INDEX('Per Invoice'!Y$2:Y$401,$AH385)))</f>
        <v/>
      </c>
      <c r="Z385" s="7">
        <f>IF($AH385="","",IF(INDEX('Per Invoice'!Z$2:Z$401,$AH385)="","",INDEX('Per Invoice'!Z$2:Z$401,$AH385)))</f>
        <v/>
      </c>
      <c r="AA385" s="7">
        <f>IF($AH385="","",IF(INDEX('Per Invoice'!AA$2:AA$401,$AH385)="","",INDEX('Per Invoice'!AA$2:AA$401,$AH385)))</f>
        <v/>
      </c>
      <c r="AB385" s="7">
        <f>IF($AH385="","",IF(INDEX('Per Invoice'!AB$2:AB$401,$AH385)="","",INDEX('Per Invoice'!AB$2:AB$401,$AH385)))</f>
        <v/>
      </c>
      <c r="AC385" s="7">
        <f>IF($AH385="","",IF(INDEX('Per Invoice'!AC$2:AC$401,$AH385)="","",INDEX('Per Invoice'!AC$2:AC$401,$AH385)))</f>
        <v/>
      </c>
      <c r="AD385" s="7">
        <f>IF($AH385="","",IF(INDEX('Per Invoice'!AD$2:AD$401,$AH385)="","",INDEX('Per Invoice'!AD$2:AD$401,$AH385)))</f>
        <v/>
      </c>
      <c r="AE385" s="7">
        <f>IF($AH385="","",IF(INDEX('Per Invoice'!AE$2:AE$401,$AH385)="","",INDEX('Per Invoice'!AE$2:AE$401,$AH385)))</f>
        <v/>
      </c>
      <c r="AF385">
        <f>IF($AH385="","",IF(INDEX('Per Invoice'!AF$2:AF$401,$AH385)="","",INDEX('Per Invoice'!AF$2:AF$401,$AH385)))</f>
        <v/>
      </c>
      <c r="AG385" s="7">
        <f>IF($AH385="","",IF(INDEX('Per Invoice'!AG$2:AG$401,$AH385)="","",INDEX('Per Invoice'!AG$2:AG$401,$AH385)))</f>
        <v/>
      </c>
      <c r="AH385" s="16">
        <f>IFERROR(MATCH(Settings!$C$26&amp;"|"&amp;ROWS($AH$2:$AH385),'Per Invoice'!$AI$2:$AI$401,0),"")</f>
        <v/>
      </c>
    </row>
    <row r="386">
      <c r="A386">
        <f>IF($AH386="","",IF(INDEX('Per Invoice'!A$2:A$401,$AH386)="","",INDEX('Per Invoice'!A$2:A$401,$AH386)))</f>
        <v/>
      </c>
      <c r="B386">
        <f>IF($AH386="","",IF(INDEX('Per Invoice'!B$2:B$401,$AH386)="","",INDEX('Per Invoice'!B$2:B$401,$AH386)))</f>
        <v/>
      </c>
      <c r="C386">
        <f>IF($AH386="","",IF(INDEX('Per Invoice'!C$2:C$401,$AH386)="","",INDEX('Per Invoice'!C$2:C$401,$AH386)))</f>
        <v/>
      </c>
      <c r="D386">
        <f>IF($AH386="","",IF(INDEX('Per Invoice'!D$2:D$401,$AH386)="","",INDEX('Per Invoice'!D$2:D$401,$AH386)))</f>
        <v/>
      </c>
      <c r="E386">
        <f>IF($AH386="","",IF(INDEX('Per Invoice'!E$2:E$401,$AH386)="","",INDEX('Per Invoice'!E$2:E$401,$AH386)))</f>
        <v/>
      </c>
      <c r="F386">
        <f>IF($AH386="","",IF(INDEX('Per Invoice'!F$2:F$401,$AH386)="","",INDEX('Per Invoice'!F$2:F$401,$AH386)))</f>
        <v/>
      </c>
      <c r="G386">
        <f>IF($AH386="","",IF(INDEX('Per Invoice'!G$2:G$401,$AH386)="","",INDEX('Per Invoice'!G$2:G$401,$AH386)))</f>
        <v/>
      </c>
      <c r="H386">
        <f>IF($AH386="","",IF(INDEX('Per Invoice'!H$2:H$401,$AH386)="","",INDEX('Per Invoice'!H$2:H$401,$AH386)))</f>
        <v/>
      </c>
      <c r="I386" s="14">
        <f>IF($AH386="","",IF(INDEX('Per Invoice'!I$2:I$401,$AH386)="","",INDEX('Per Invoice'!I$2:I$401,$AH386)))</f>
        <v/>
      </c>
      <c r="J386">
        <f>IF($AH386="","",IF(INDEX('Per Invoice'!J$2:J$401,$AH386)="","",INDEX('Per Invoice'!J$2:J$401,$AH386)))</f>
        <v/>
      </c>
      <c r="K386">
        <f>IF($AH386="","",IF(INDEX('Per Invoice'!K$2:K$401,$AH386)="","",INDEX('Per Invoice'!K$2:K$401,$AH386)))</f>
        <v/>
      </c>
      <c r="L386">
        <f>IF($AH386="","",IF(INDEX('Per Invoice'!L$2:L$401,$AH386)="","",INDEX('Per Invoice'!L$2:L$401,$AH386)))</f>
        <v/>
      </c>
      <c r="M386">
        <f>IF($AH386="","",IF(INDEX('Per Invoice'!M$2:M$401,$AH386)="","",INDEX('Per Invoice'!M$2:M$401,$AH386)))</f>
        <v/>
      </c>
      <c r="N386">
        <f>IF($AH386="","",IF(INDEX('Per Invoice'!N$2:N$401,$AH386)="","",INDEX('Per Invoice'!N$2:N$401,$AH386)))</f>
        <v/>
      </c>
      <c r="O386">
        <f>IF($AH386="","",IF(INDEX('Per Invoice'!O$2:O$401,$AH386)="","",INDEX('Per Invoice'!O$2:O$401,$AH386)))</f>
        <v/>
      </c>
      <c r="P386" s="7">
        <f>IF($AH386="","",IF(INDEX('Per Invoice'!P$2:P$401,$AH386)="","",INDEX('Per Invoice'!P$2:P$401,$AH386)))</f>
        <v/>
      </c>
      <c r="Q386">
        <f>IF($AH386="","",IF(INDEX('Per Invoice'!Q$2:Q$401,$AH386)="","",INDEX('Per Invoice'!Q$2:Q$401,$AH386)))</f>
        <v/>
      </c>
      <c r="R386">
        <f>IF($AH386="","",IF(INDEX('Per Invoice'!R$2:R$401,$AH386)="","",INDEX('Per Invoice'!R$2:R$401,$AH386)))</f>
        <v/>
      </c>
      <c r="S386">
        <f>IF($AH386="","",IF(INDEX('Per Invoice'!S$2:S$401,$AH386)="","",INDEX('Per Invoice'!S$2:S$401,$AH386)))</f>
        <v/>
      </c>
      <c r="T386" s="7">
        <f>IF($AH386="","",IF(INDEX('Per Invoice'!T$2:T$401,$AH386)="","",INDEX('Per Invoice'!T$2:T$401,$AH386)))</f>
        <v/>
      </c>
      <c r="U386" s="7">
        <f>IF($AH386="","",IF(INDEX('Per Invoice'!U$2:U$401,$AH386)="","",INDEX('Per Invoice'!U$2:U$401,$AH386)))</f>
        <v/>
      </c>
      <c r="V386">
        <f>IF($AH386="","",IF(INDEX('Per Invoice'!V$2:V$401,$AH386)="","",INDEX('Per Invoice'!V$2:V$401,$AH386)))</f>
        <v/>
      </c>
      <c r="W386" s="7">
        <f>IF($AH386="","",IF(INDEX('Per Invoice'!W$2:W$401,$AH386)="","",INDEX('Per Invoice'!W$2:W$401,$AH386)))</f>
        <v/>
      </c>
      <c r="X386" s="7">
        <f>IF($AH386="","",IF(INDEX('Per Invoice'!X$2:X$401,$AH386)="","",INDEX('Per Invoice'!X$2:X$401,$AH386)))</f>
        <v/>
      </c>
      <c r="Y386">
        <f>IF($AH386="","",IF(INDEX('Per Invoice'!Y$2:Y$401,$AH386)="","",INDEX('Per Invoice'!Y$2:Y$401,$AH386)))</f>
        <v/>
      </c>
      <c r="Z386" s="7">
        <f>IF($AH386="","",IF(INDEX('Per Invoice'!Z$2:Z$401,$AH386)="","",INDEX('Per Invoice'!Z$2:Z$401,$AH386)))</f>
        <v/>
      </c>
      <c r="AA386" s="7">
        <f>IF($AH386="","",IF(INDEX('Per Invoice'!AA$2:AA$401,$AH386)="","",INDEX('Per Invoice'!AA$2:AA$401,$AH386)))</f>
        <v/>
      </c>
      <c r="AB386" s="7">
        <f>IF($AH386="","",IF(INDEX('Per Invoice'!AB$2:AB$401,$AH386)="","",INDEX('Per Invoice'!AB$2:AB$401,$AH386)))</f>
        <v/>
      </c>
      <c r="AC386" s="7">
        <f>IF($AH386="","",IF(INDEX('Per Invoice'!AC$2:AC$401,$AH386)="","",INDEX('Per Invoice'!AC$2:AC$401,$AH386)))</f>
        <v/>
      </c>
      <c r="AD386" s="7">
        <f>IF($AH386="","",IF(INDEX('Per Invoice'!AD$2:AD$401,$AH386)="","",INDEX('Per Invoice'!AD$2:AD$401,$AH386)))</f>
        <v/>
      </c>
      <c r="AE386" s="7">
        <f>IF($AH386="","",IF(INDEX('Per Invoice'!AE$2:AE$401,$AH386)="","",INDEX('Per Invoice'!AE$2:AE$401,$AH386)))</f>
        <v/>
      </c>
      <c r="AF386">
        <f>IF($AH386="","",IF(INDEX('Per Invoice'!AF$2:AF$401,$AH386)="","",INDEX('Per Invoice'!AF$2:AF$401,$AH386)))</f>
        <v/>
      </c>
      <c r="AG386" s="7">
        <f>IF($AH386="","",IF(INDEX('Per Invoice'!AG$2:AG$401,$AH386)="","",INDEX('Per Invoice'!AG$2:AG$401,$AH386)))</f>
        <v/>
      </c>
      <c r="AH386" s="16">
        <f>IFERROR(MATCH(Settings!$C$26&amp;"|"&amp;ROWS($AH$2:$AH386),'Per Invoice'!$AI$2:$AI$401,0),"")</f>
        <v/>
      </c>
    </row>
    <row r="387">
      <c r="A387">
        <f>IF($AH387="","",IF(INDEX('Per Invoice'!A$2:A$401,$AH387)="","",INDEX('Per Invoice'!A$2:A$401,$AH387)))</f>
        <v/>
      </c>
      <c r="B387">
        <f>IF($AH387="","",IF(INDEX('Per Invoice'!B$2:B$401,$AH387)="","",INDEX('Per Invoice'!B$2:B$401,$AH387)))</f>
        <v/>
      </c>
      <c r="C387">
        <f>IF($AH387="","",IF(INDEX('Per Invoice'!C$2:C$401,$AH387)="","",INDEX('Per Invoice'!C$2:C$401,$AH387)))</f>
        <v/>
      </c>
      <c r="D387">
        <f>IF($AH387="","",IF(INDEX('Per Invoice'!D$2:D$401,$AH387)="","",INDEX('Per Invoice'!D$2:D$401,$AH387)))</f>
        <v/>
      </c>
      <c r="E387">
        <f>IF($AH387="","",IF(INDEX('Per Invoice'!E$2:E$401,$AH387)="","",INDEX('Per Invoice'!E$2:E$401,$AH387)))</f>
        <v/>
      </c>
      <c r="F387">
        <f>IF($AH387="","",IF(INDEX('Per Invoice'!F$2:F$401,$AH387)="","",INDEX('Per Invoice'!F$2:F$401,$AH387)))</f>
        <v/>
      </c>
      <c r="G387">
        <f>IF($AH387="","",IF(INDEX('Per Invoice'!G$2:G$401,$AH387)="","",INDEX('Per Invoice'!G$2:G$401,$AH387)))</f>
        <v/>
      </c>
      <c r="H387">
        <f>IF($AH387="","",IF(INDEX('Per Invoice'!H$2:H$401,$AH387)="","",INDEX('Per Invoice'!H$2:H$401,$AH387)))</f>
        <v/>
      </c>
      <c r="I387" s="14">
        <f>IF($AH387="","",IF(INDEX('Per Invoice'!I$2:I$401,$AH387)="","",INDEX('Per Invoice'!I$2:I$401,$AH387)))</f>
        <v/>
      </c>
      <c r="J387">
        <f>IF($AH387="","",IF(INDEX('Per Invoice'!J$2:J$401,$AH387)="","",INDEX('Per Invoice'!J$2:J$401,$AH387)))</f>
        <v/>
      </c>
      <c r="K387">
        <f>IF($AH387="","",IF(INDEX('Per Invoice'!K$2:K$401,$AH387)="","",INDEX('Per Invoice'!K$2:K$401,$AH387)))</f>
        <v/>
      </c>
      <c r="L387">
        <f>IF($AH387="","",IF(INDEX('Per Invoice'!L$2:L$401,$AH387)="","",INDEX('Per Invoice'!L$2:L$401,$AH387)))</f>
        <v/>
      </c>
      <c r="M387">
        <f>IF($AH387="","",IF(INDEX('Per Invoice'!M$2:M$401,$AH387)="","",INDEX('Per Invoice'!M$2:M$401,$AH387)))</f>
        <v/>
      </c>
      <c r="N387">
        <f>IF($AH387="","",IF(INDEX('Per Invoice'!N$2:N$401,$AH387)="","",INDEX('Per Invoice'!N$2:N$401,$AH387)))</f>
        <v/>
      </c>
      <c r="O387">
        <f>IF($AH387="","",IF(INDEX('Per Invoice'!O$2:O$401,$AH387)="","",INDEX('Per Invoice'!O$2:O$401,$AH387)))</f>
        <v/>
      </c>
      <c r="P387" s="7">
        <f>IF($AH387="","",IF(INDEX('Per Invoice'!P$2:P$401,$AH387)="","",INDEX('Per Invoice'!P$2:P$401,$AH387)))</f>
        <v/>
      </c>
      <c r="Q387">
        <f>IF($AH387="","",IF(INDEX('Per Invoice'!Q$2:Q$401,$AH387)="","",INDEX('Per Invoice'!Q$2:Q$401,$AH387)))</f>
        <v/>
      </c>
      <c r="R387">
        <f>IF($AH387="","",IF(INDEX('Per Invoice'!R$2:R$401,$AH387)="","",INDEX('Per Invoice'!R$2:R$401,$AH387)))</f>
        <v/>
      </c>
      <c r="S387">
        <f>IF($AH387="","",IF(INDEX('Per Invoice'!S$2:S$401,$AH387)="","",INDEX('Per Invoice'!S$2:S$401,$AH387)))</f>
        <v/>
      </c>
      <c r="T387" s="7">
        <f>IF($AH387="","",IF(INDEX('Per Invoice'!T$2:T$401,$AH387)="","",INDEX('Per Invoice'!T$2:T$401,$AH387)))</f>
        <v/>
      </c>
      <c r="U387" s="7">
        <f>IF($AH387="","",IF(INDEX('Per Invoice'!U$2:U$401,$AH387)="","",INDEX('Per Invoice'!U$2:U$401,$AH387)))</f>
        <v/>
      </c>
      <c r="V387">
        <f>IF($AH387="","",IF(INDEX('Per Invoice'!V$2:V$401,$AH387)="","",INDEX('Per Invoice'!V$2:V$401,$AH387)))</f>
        <v/>
      </c>
      <c r="W387" s="7">
        <f>IF($AH387="","",IF(INDEX('Per Invoice'!W$2:W$401,$AH387)="","",INDEX('Per Invoice'!W$2:W$401,$AH387)))</f>
        <v/>
      </c>
      <c r="X387" s="7">
        <f>IF($AH387="","",IF(INDEX('Per Invoice'!X$2:X$401,$AH387)="","",INDEX('Per Invoice'!X$2:X$401,$AH387)))</f>
        <v/>
      </c>
      <c r="Y387">
        <f>IF($AH387="","",IF(INDEX('Per Invoice'!Y$2:Y$401,$AH387)="","",INDEX('Per Invoice'!Y$2:Y$401,$AH387)))</f>
        <v/>
      </c>
      <c r="Z387" s="7">
        <f>IF($AH387="","",IF(INDEX('Per Invoice'!Z$2:Z$401,$AH387)="","",INDEX('Per Invoice'!Z$2:Z$401,$AH387)))</f>
        <v/>
      </c>
      <c r="AA387" s="7">
        <f>IF($AH387="","",IF(INDEX('Per Invoice'!AA$2:AA$401,$AH387)="","",INDEX('Per Invoice'!AA$2:AA$401,$AH387)))</f>
        <v/>
      </c>
      <c r="AB387" s="7">
        <f>IF($AH387="","",IF(INDEX('Per Invoice'!AB$2:AB$401,$AH387)="","",INDEX('Per Invoice'!AB$2:AB$401,$AH387)))</f>
        <v/>
      </c>
      <c r="AC387" s="7">
        <f>IF($AH387="","",IF(INDEX('Per Invoice'!AC$2:AC$401,$AH387)="","",INDEX('Per Invoice'!AC$2:AC$401,$AH387)))</f>
        <v/>
      </c>
      <c r="AD387" s="7">
        <f>IF($AH387="","",IF(INDEX('Per Invoice'!AD$2:AD$401,$AH387)="","",INDEX('Per Invoice'!AD$2:AD$401,$AH387)))</f>
        <v/>
      </c>
      <c r="AE387" s="7">
        <f>IF($AH387="","",IF(INDEX('Per Invoice'!AE$2:AE$401,$AH387)="","",INDEX('Per Invoice'!AE$2:AE$401,$AH387)))</f>
        <v/>
      </c>
      <c r="AF387">
        <f>IF($AH387="","",IF(INDEX('Per Invoice'!AF$2:AF$401,$AH387)="","",INDEX('Per Invoice'!AF$2:AF$401,$AH387)))</f>
        <v/>
      </c>
      <c r="AG387" s="7">
        <f>IF($AH387="","",IF(INDEX('Per Invoice'!AG$2:AG$401,$AH387)="","",INDEX('Per Invoice'!AG$2:AG$401,$AH387)))</f>
        <v/>
      </c>
      <c r="AH387" s="16">
        <f>IFERROR(MATCH(Settings!$C$26&amp;"|"&amp;ROWS($AH$2:$AH387),'Per Invoice'!$AI$2:$AI$401,0),"")</f>
        <v/>
      </c>
    </row>
    <row r="388">
      <c r="A388">
        <f>IF($AH388="","",IF(INDEX('Per Invoice'!A$2:A$401,$AH388)="","",INDEX('Per Invoice'!A$2:A$401,$AH388)))</f>
        <v/>
      </c>
      <c r="B388">
        <f>IF($AH388="","",IF(INDEX('Per Invoice'!B$2:B$401,$AH388)="","",INDEX('Per Invoice'!B$2:B$401,$AH388)))</f>
        <v/>
      </c>
      <c r="C388">
        <f>IF($AH388="","",IF(INDEX('Per Invoice'!C$2:C$401,$AH388)="","",INDEX('Per Invoice'!C$2:C$401,$AH388)))</f>
        <v/>
      </c>
      <c r="D388">
        <f>IF($AH388="","",IF(INDEX('Per Invoice'!D$2:D$401,$AH388)="","",INDEX('Per Invoice'!D$2:D$401,$AH388)))</f>
        <v/>
      </c>
      <c r="E388">
        <f>IF($AH388="","",IF(INDEX('Per Invoice'!E$2:E$401,$AH388)="","",INDEX('Per Invoice'!E$2:E$401,$AH388)))</f>
        <v/>
      </c>
      <c r="F388">
        <f>IF($AH388="","",IF(INDEX('Per Invoice'!F$2:F$401,$AH388)="","",INDEX('Per Invoice'!F$2:F$401,$AH388)))</f>
        <v/>
      </c>
      <c r="G388">
        <f>IF($AH388="","",IF(INDEX('Per Invoice'!G$2:G$401,$AH388)="","",INDEX('Per Invoice'!G$2:G$401,$AH388)))</f>
        <v/>
      </c>
      <c r="H388">
        <f>IF($AH388="","",IF(INDEX('Per Invoice'!H$2:H$401,$AH388)="","",INDEX('Per Invoice'!H$2:H$401,$AH388)))</f>
        <v/>
      </c>
      <c r="I388" s="14">
        <f>IF($AH388="","",IF(INDEX('Per Invoice'!I$2:I$401,$AH388)="","",INDEX('Per Invoice'!I$2:I$401,$AH388)))</f>
        <v/>
      </c>
      <c r="J388">
        <f>IF($AH388="","",IF(INDEX('Per Invoice'!J$2:J$401,$AH388)="","",INDEX('Per Invoice'!J$2:J$401,$AH388)))</f>
        <v/>
      </c>
      <c r="K388">
        <f>IF($AH388="","",IF(INDEX('Per Invoice'!K$2:K$401,$AH388)="","",INDEX('Per Invoice'!K$2:K$401,$AH388)))</f>
        <v/>
      </c>
      <c r="L388">
        <f>IF($AH388="","",IF(INDEX('Per Invoice'!L$2:L$401,$AH388)="","",INDEX('Per Invoice'!L$2:L$401,$AH388)))</f>
        <v/>
      </c>
      <c r="M388">
        <f>IF($AH388="","",IF(INDEX('Per Invoice'!M$2:M$401,$AH388)="","",INDEX('Per Invoice'!M$2:M$401,$AH388)))</f>
        <v/>
      </c>
      <c r="N388">
        <f>IF($AH388="","",IF(INDEX('Per Invoice'!N$2:N$401,$AH388)="","",INDEX('Per Invoice'!N$2:N$401,$AH388)))</f>
        <v/>
      </c>
      <c r="O388">
        <f>IF($AH388="","",IF(INDEX('Per Invoice'!O$2:O$401,$AH388)="","",INDEX('Per Invoice'!O$2:O$401,$AH388)))</f>
        <v/>
      </c>
      <c r="P388" s="7">
        <f>IF($AH388="","",IF(INDEX('Per Invoice'!P$2:P$401,$AH388)="","",INDEX('Per Invoice'!P$2:P$401,$AH388)))</f>
        <v/>
      </c>
      <c r="Q388">
        <f>IF($AH388="","",IF(INDEX('Per Invoice'!Q$2:Q$401,$AH388)="","",INDEX('Per Invoice'!Q$2:Q$401,$AH388)))</f>
        <v/>
      </c>
      <c r="R388">
        <f>IF($AH388="","",IF(INDEX('Per Invoice'!R$2:R$401,$AH388)="","",INDEX('Per Invoice'!R$2:R$401,$AH388)))</f>
        <v/>
      </c>
      <c r="S388">
        <f>IF($AH388="","",IF(INDEX('Per Invoice'!S$2:S$401,$AH388)="","",INDEX('Per Invoice'!S$2:S$401,$AH388)))</f>
        <v/>
      </c>
      <c r="T388" s="7">
        <f>IF($AH388="","",IF(INDEX('Per Invoice'!T$2:T$401,$AH388)="","",INDEX('Per Invoice'!T$2:T$401,$AH388)))</f>
        <v/>
      </c>
      <c r="U388" s="7">
        <f>IF($AH388="","",IF(INDEX('Per Invoice'!U$2:U$401,$AH388)="","",INDEX('Per Invoice'!U$2:U$401,$AH388)))</f>
        <v/>
      </c>
      <c r="V388">
        <f>IF($AH388="","",IF(INDEX('Per Invoice'!V$2:V$401,$AH388)="","",INDEX('Per Invoice'!V$2:V$401,$AH388)))</f>
        <v/>
      </c>
      <c r="W388" s="7">
        <f>IF($AH388="","",IF(INDEX('Per Invoice'!W$2:W$401,$AH388)="","",INDEX('Per Invoice'!W$2:W$401,$AH388)))</f>
        <v/>
      </c>
      <c r="X388" s="7">
        <f>IF($AH388="","",IF(INDEX('Per Invoice'!X$2:X$401,$AH388)="","",INDEX('Per Invoice'!X$2:X$401,$AH388)))</f>
        <v/>
      </c>
      <c r="Y388">
        <f>IF($AH388="","",IF(INDEX('Per Invoice'!Y$2:Y$401,$AH388)="","",INDEX('Per Invoice'!Y$2:Y$401,$AH388)))</f>
        <v/>
      </c>
      <c r="Z388" s="7">
        <f>IF($AH388="","",IF(INDEX('Per Invoice'!Z$2:Z$401,$AH388)="","",INDEX('Per Invoice'!Z$2:Z$401,$AH388)))</f>
        <v/>
      </c>
      <c r="AA388" s="7">
        <f>IF($AH388="","",IF(INDEX('Per Invoice'!AA$2:AA$401,$AH388)="","",INDEX('Per Invoice'!AA$2:AA$401,$AH388)))</f>
        <v/>
      </c>
      <c r="AB388" s="7">
        <f>IF($AH388="","",IF(INDEX('Per Invoice'!AB$2:AB$401,$AH388)="","",INDEX('Per Invoice'!AB$2:AB$401,$AH388)))</f>
        <v/>
      </c>
      <c r="AC388" s="7">
        <f>IF($AH388="","",IF(INDEX('Per Invoice'!AC$2:AC$401,$AH388)="","",INDEX('Per Invoice'!AC$2:AC$401,$AH388)))</f>
        <v/>
      </c>
      <c r="AD388" s="7">
        <f>IF($AH388="","",IF(INDEX('Per Invoice'!AD$2:AD$401,$AH388)="","",INDEX('Per Invoice'!AD$2:AD$401,$AH388)))</f>
        <v/>
      </c>
      <c r="AE388" s="7">
        <f>IF($AH388="","",IF(INDEX('Per Invoice'!AE$2:AE$401,$AH388)="","",INDEX('Per Invoice'!AE$2:AE$401,$AH388)))</f>
        <v/>
      </c>
      <c r="AF388">
        <f>IF($AH388="","",IF(INDEX('Per Invoice'!AF$2:AF$401,$AH388)="","",INDEX('Per Invoice'!AF$2:AF$401,$AH388)))</f>
        <v/>
      </c>
      <c r="AG388" s="7">
        <f>IF($AH388="","",IF(INDEX('Per Invoice'!AG$2:AG$401,$AH388)="","",INDEX('Per Invoice'!AG$2:AG$401,$AH388)))</f>
        <v/>
      </c>
      <c r="AH388" s="16">
        <f>IFERROR(MATCH(Settings!$C$26&amp;"|"&amp;ROWS($AH$2:$AH388),'Per Invoice'!$AI$2:$AI$401,0),"")</f>
        <v/>
      </c>
    </row>
    <row r="389">
      <c r="A389">
        <f>IF($AH389="","",IF(INDEX('Per Invoice'!A$2:A$401,$AH389)="","",INDEX('Per Invoice'!A$2:A$401,$AH389)))</f>
        <v/>
      </c>
      <c r="B389">
        <f>IF($AH389="","",IF(INDEX('Per Invoice'!B$2:B$401,$AH389)="","",INDEX('Per Invoice'!B$2:B$401,$AH389)))</f>
        <v/>
      </c>
      <c r="C389">
        <f>IF($AH389="","",IF(INDEX('Per Invoice'!C$2:C$401,$AH389)="","",INDEX('Per Invoice'!C$2:C$401,$AH389)))</f>
        <v/>
      </c>
      <c r="D389">
        <f>IF($AH389="","",IF(INDEX('Per Invoice'!D$2:D$401,$AH389)="","",INDEX('Per Invoice'!D$2:D$401,$AH389)))</f>
        <v/>
      </c>
      <c r="E389">
        <f>IF($AH389="","",IF(INDEX('Per Invoice'!E$2:E$401,$AH389)="","",INDEX('Per Invoice'!E$2:E$401,$AH389)))</f>
        <v/>
      </c>
      <c r="F389">
        <f>IF($AH389="","",IF(INDEX('Per Invoice'!F$2:F$401,$AH389)="","",INDEX('Per Invoice'!F$2:F$401,$AH389)))</f>
        <v/>
      </c>
      <c r="G389">
        <f>IF($AH389="","",IF(INDEX('Per Invoice'!G$2:G$401,$AH389)="","",INDEX('Per Invoice'!G$2:G$401,$AH389)))</f>
        <v/>
      </c>
      <c r="H389">
        <f>IF($AH389="","",IF(INDEX('Per Invoice'!H$2:H$401,$AH389)="","",INDEX('Per Invoice'!H$2:H$401,$AH389)))</f>
        <v/>
      </c>
      <c r="I389" s="14">
        <f>IF($AH389="","",IF(INDEX('Per Invoice'!I$2:I$401,$AH389)="","",INDEX('Per Invoice'!I$2:I$401,$AH389)))</f>
        <v/>
      </c>
      <c r="J389">
        <f>IF($AH389="","",IF(INDEX('Per Invoice'!J$2:J$401,$AH389)="","",INDEX('Per Invoice'!J$2:J$401,$AH389)))</f>
        <v/>
      </c>
      <c r="K389">
        <f>IF($AH389="","",IF(INDEX('Per Invoice'!K$2:K$401,$AH389)="","",INDEX('Per Invoice'!K$2:K$401,$AH389)))</f>
        <v/>
      </c>
      <c r="L389">
        <f>IF($AH389="","",IF(INDEX('Per Invoice'!L$2:L$401,$AH389)="","",INDEX('Per Invoice'!L$2:L$401,$AH389)))</f>
        <v/>
      </c>
      <c r="M389">
        <f>IF($AH389="","",IF(INDEX('Per Invoice'!M$2:M$401,$AH389)="","",INDEX('Per Invoice'!M$2:M$401,$AH389)))</f>
        <v/>
      </c>
      <c r="N389">
        <f>IF($AH389="","",IF(INDEX('Per Invoice'!N$2:N$401,$AH389)="","",INDEX('Per Invoice'!N$2:N$401,$AH389)))</f>
        <v/>
      </c>
      <c r="O389">
        <f>IF($AH389="","",IF(INDEX('Per Invoice'!O$2:O$401,$AH389)="","",INDEX('Per Invoice'!O$2:O$401,$AH389)))</f>
        <v/>
      </c>
      <c r="P389" s="7">
        <f>IF($AH389="","",IF(INDEX('Per Invoice'!P$2:P$401,$AH389)="","",INDEX('Per Invoice'!P$2:P$401,$AH389)))</f>
        <v/>
      </c>
      <c r="Q389">
        <f>IF($AH389="","",IF(INDEX('Per Invoice'!Q$2:Q$401,$AH389)="","",INDEX('Per Invoice'!Q$2:Q$401,$AH389)))</f>
        <v/>
      </c>
      <c r="R389">
        <f>IF($AH389="","",IF(INDEX('Per Invoice'!R$2:R$401,$AH389)="","",INDEX('Per Invoice'!R$2:R$401,$AH389)))</f>
        <v/>
      </c>
      <c r="S389">
        <f>IF($AH389="","",IF(INDEX('Per Invoice'!S$2:S$401,$AH389)="","",INDEX('Per Invoice'!S$2:S$401,$AH389)))</f>
        <v/>
      </c>
      <c r="T389" s="7">
        <f>IF($AH389="","",IF(INDEX('Per Invoice'!T$2:T$401,$AH389)="","",INDEX('Per Invoice'!T$2:T$401,$AH389)))</f>
        <v/>
      </c>
      <c r="U389" s="7">
        <f>IF($AH389="","",IF(INDEX('Per Invoice'!U$2:U$401,$AH389)="","",INDEX('Per Invoice'!U$2:U$401,$AH389)))</f>
        <v/>
      </c>
      <c r="V389">
        <f>IF($AH389="","",IF(INDEX('Per Invoice'!V$2:V$401,$AH389)="","",INDEX('Per Invoice'!V$2:V$401,$AH389)))</f>
        <v/>
      </c>
      <c r="W389" s="7">
        <f>IF($AH389="","",IF(INDEX('Per Invoice'!W$2:W$401,$AH389)="","",INDEX('Per Invoice'!W$2:W$401,$AH389)))</f>
        <v/>
      </c>
      <c r="X389" s="7">
        <f>IF($AH389="","",IF(INDEX('Per Invoice'!X$2:X$401,$AH389)="","",INDEX('Per Invoice'!X$2:X$401,$AH389)))</f>
        <v/>
      </c>
      <c r="Y389">
        <f>IF($AH389="","",IF(INDEX('Per Invoice'!Y$2:Y$401,$AH389)="","",INDEX('Per Invoice'!Y$2:Y$401,$AH389)))</f>
        <v/>
      </c>
      <c r="Z389" s="7">
        <f>IF($AH389="","",IF(INDEX('Per Invoice'!Z$2:Z$401,$AH389)="","",INDEX('Per Invoice'!Z$2:Z$401,$AH389)))</f>
        <v/>
      </c>
      <c r="AA389" s="7">
        <f>IF($AH389="","",IF(INDEX('Per Invoice'!AA$2:AA$401,$AH389)="","",INDEX('Per Invoice'!AA$2:AA$401,$AH389)))</f>
        <v/>
      </c>
      <c r="AB389" s="7">
        <f>IF($AH389="","",IF(INDEX('Per Invoice'!AB$2:AB$401,$AH389)="","",INDEX('Per Invoice'!AB$2:AB$401,$AH389)))</f>
        <v/>
      </c>
      <c r="AC389" s="7">
        <f>IF($AH389="","",IF(INDEX('Per Invoice'!AC$2:AC$401,$AH389)="","",INDEX('Per Invoice'!AC$2:AC$401,$AH389)))</f>
        <v/>
      </c>
      <c r="AD389" s="7">
        <f>IF($AH389="","",IF(INDEX('Per Invoice'!AD$2:AD$401,$AH389)="","",INDEX('Per Invoice'!AD$2:AD$401,$AH389)))</f>
        <v/>
      </c>
      <c r="AE389" s="7">
        <f>IF($AH389="","",IF(INDEX('Per Invoice'!AE$2:AE$401,$AH389)="","",INDEX('Per Invoice'!AE$2:AE$401,$AH389)))</f>
        <v/>
      </c>
      <c r="AF389">
        <f>IF($AH389="","",IF(INDEX('Per Invoice'!AF$2:AF$401,$AH389)="","",INDEX('Per Invoice'!AF$2:AF$401,$AH389)))</f>
        <v/>
      </c>
      <c r="AG389" s="7">
        <f>IF($AH389="","",IF(INDEX('Per Invoice'!AG$2:AG$401,$AH389)="","",INDEX('Per Invoice'!AG$2:AG$401,$AH389)))</f>
        <v/>
      </c>
      <c r="AH389" s="16">
        <f>IFERROR(MATCH(Settings!$C$26&amp;"|"&amp;ROWS($AH$2:$AH389),'Per Invoice'!$AI$2:$AI$401,0),"")</f>
        <v/>
      </c>
    </row>
    <row r="390">
      <c r="A390">
        <f>IF($AH390="","",IF(INDEX('Per Invoice'!A$2:A$401,$AH390)="","",INDEX('Per Invoice'!A$2:A$401,$AH390)))</f>
        <v/>
      </c>
      <c r="B390">
        <f>IF($AH390="","",IF(INDEX('Per Invoice'!B$2:B$401,$AH390)="","",INDEX('Per Invoice'!B$2:B$401,$AH390)))</f>
        <v/>
      </c>
      <c r="C390">
        <f>IF($AH390="","",IF(INDEX('Per Invoice'!C$2:C$401,$AH390)="","",INDEX('Per Invoice'!C$2:C$401,$AH390)))</f>
        <v/>
      </c>
      <c r="D390">
        <f>IF($AH390="","",IF(INDEX('Per Invoice'!D$2:D$401,$AH390)="","",INDEX('Per Invoice'!D$2:D$401,$AH390)))</f>
        <v/>
      </c>
      <c r="E390">
        <f>IF($AH390="","",IF(INDEX('Per Invoice'!E$2:E$401,$AH390)="","",INDEX('Per Invoice'!E$2:E$401,$AH390)))</f>
        <v/>
      </c>
      <c r="F390">
        <f>IF($AH390="","",IF(INDEX('Per Invoice'!F$2:F$401,$AH390)="","",INDEX('Per Invoice'!F$2:F$401,$AH390)))</f>
        <v/>
      </c>
      <c r="G390">
        <f>IF($AH390="","",IF(INDEX('Per Invoice'!G$2:G$401,$AH390)="","",INDEX('Per Invoice'!G$2:G$401,$AH390)))</f>
        <v/>
      </c>
      <c r="H390">
        <f>IF($AH390="","",IF(INDEX('Per Invoice'!H$2:H$401,$AH390)="","",INDEX('Per Invoice'!H$2:H$401,$AH390)))</f>
        <v/>
      </c>
      <c r="I390" s="14">
        <f>IF($AH390="","",IF(INDEX('Per Invoice'!I$2:I$401,$AH390)="","",INDEX('Per Invoice'!I$2:I$401,$AH390)))</f>
        <v/>
      </c>
      <c r="J390">
        <f>IF($AH390="","",IF(INDEX('Per Invoice'!J$2:J$401,$AH390)="","",INDEX('Per Invoice'!J$2:J$401,$AH390)))</f>
        <v/>
      </c>
      <c r="K390">
        <f>IF($AH390="","",IF(INDEX('Per Invoice'!K$2:K$401,$AH390)="","",INDEX('Per Invoice'!K$2:K$401,$AH390)))</f>
        <v/>
      </c>
      <c r="L390">
        <f>IF($AH390="","",IF(INDEX('Per Invoice'!L$2:L$401,$AH390)="","",INDEX('Per Invoice'!L$2:L$401,$AH390)))</f>
        <v/>
      </c>
      <c r="M390">
        <f>IF($AH390="","",IF(INDEX('Per Invoice'!M$2:M$401,$AH390)="","",INDEX('Per Invoice'!M$2:M$401,$AH390)))</f>
        <v/>
      </c>
      <c r="N390">
        <f>IF($AH390="","",IF(INDEX('Per Invoice'!N$2:N$401,$AH390)="","",INDEX('Per Invoice'!N$2:N$401,$AH390)))</f>
        <v/>
      </c>
      <c r="O390">
        <f>IF($AH390="","",IF(INDEX('Per Invoice'!O$2:O$401,$AH390)="","",INDEX('Per Invoice'!O$2:O$401,$AH390)))</f>
        <v/>
      </c>
      <c r="P390" s="7">
        <f>IF($AH390="","",IF(INDEX('Per Invoice'!P$2:P$401,$AH390)="","",INDEX('Per Invoice'!P$2:P$401,$AH390)))</f>
        <v/>
      </c>
      <c r="Q390">
        <f>IF($AH390="","",IF(INDEX('Per Invoice'!Q$2:Q$401,$AH390)="","",INDEX('Per Invoice'!Q$2:Q$401,$AH390)))</f>
        <v/>
      </c>
      <c r="R390">
        <f>IF($AH390="","",IF(INDEX('Per Invoice'!R$2:R$401,$AH390)="","",INDEX('Per Invoice'!R$2:R$401,$AH390)))</f>
        <v/>
      </c>
      <c r="S390">
        <f>IF($AH390="","",IF(INDEX('Per Invoice'!S$2:S$401,$AH390)="","",INDEX('Per Invoice'!S$2:S$401,$AH390)))</f>
        <v/>
      </c>
      <c r="T390" s="7">
        <f>IF($AH390="","",IF(INDEX('Per Invoice'!T$2:T$401,$AH390)="","",INDEX('Per Invoice'!T$2:T$401,$AH390)))</f>
        <v/>
      </c>
      <c r="U390" s="7">
        <f>IF($AH390="","",IF(INDEX('Per Invoice'!U$2:U$401,$AH390)="","",INDEX('Per Invoice'!U$2:U$401,$AH390)))</f>
        <v/>
      </c>
      <c r="V390">
        <f>IF($AH390="","",IF(INDEX('Per Invoice'!V$2:V$401,$AH390)="","",INDEX('Per Invoice'!V$2:V$401,$AH390)))</f>
        <v/>
      </c>
      <c r="W390" s="7">
        <f>IF($AH390="","",IF(INDEX('Per Invoice'!W$2:W$401,$AH390)="","",INDEX('Per Invoice'!W$2:W$401,$AH390)))</f>
        <v/>
      </c>
      <c r="X390" s="7">
        <f>IF($AH390="","",IF(INDEX('Per Invoice'!X$2:X$401,$AH390)="","",INDEX('Per Invoice'!X$2:X$401,$AH390)))</f>
        <v/>
      </c>
      <c r="Y390">
        <f>IF($AH390="","",IF(INDEX('Per Invoice'!Y$2:Y$401,$AH390)="","",INDEX('Per Invoice'!Y$2:Y$401,$AH390)))</f>
        <v/>
      </c>
      <c r="Z390" s="7">
        <f>IF($AH390="","",IF(INDEX('Per Invoice'!Z$2:Z$401,$AH390)="","",INDEX('Per Invoice'!Z$2:Z$401,$AH390)))</f>
        <v/>
      </c>
      <c r="AA390" s="7">
        <f>IF($AH390="","",IF(INDEX('Per Invoice'!AA$2:AA$401,$AH390)="","",INDEX('Per Invoice'!AA$2:AA$401,$AH390)))</f>
        <v/>
      </c>
      <c r="AB390" s="7">
        <f>IF($AH390="","",IF(INDEX('Per Invoice'!AB$2:AB$401,$AH390)="","",INDEX('Per Invoice'!AB$2:AB$401,$AH390)))</f>
        <v/>
      </c>
      <c r="AC390" s="7">
        <f>IF($AH390="","",IF(INDEX('Per Invoice'!AC$2:AC$401,$AH390)="","",INDEX('Per Invoice'!AC$2:AC$401,$AH390)))</f>
        <v/>
      </c>
      <c r="AD390" s="7">
        <f>IF($AH390="","",IF(INDEX('Per Invoice'!AD$2:AD$401,$AH390)="","",INDEX('Per Invoice'!AD$2:AD$401,$AH390)))</f>
        <v/>
      </c>
      <c r="AE390" s="7">
        <f>IF($AH390="","",IF(INDEX('Per Invoice'!AE$2:AE$401,$AH390)="","",INDEX('Per Invoice'!AE$2:AE$401,$AH390)))</f>
        <v/>
      </c>
      <c r="AF390">
        <f>IF($AH390="","",IF(INDEX('Per Invoice'!AF$2:AF$401,$AH390)="","",INDEX('Per Invoice'!AF$2:AF$401,$AH390)))</f>
        <v/>
      </c>
      <c r="AG390" s="7">
        <f>IF($AH390="","",IF(INDEX('Per Invoice'!AG$2:AG$401,$AH390)="","",INDEX('Per Invoice'!AG$2:AG$401,$AH390)))</f>
        <v/>
      </c>
      <c r="AH390" s="16">
        <f>IFERROR(MATCH(Settings!$C$26&amp;"|"&amp;ROWS($AH$2:$AH390),'Per Invoice'!$AI$2:$AI$401,0),"")</f>
        <v/>
      </c>
    </row>
    <row r="391">
      <c r="A391">
        <f>IF($AH391="","",IF(INDEX('Per Invoice'!A$2:A$401,$AH391)="","",INDEX('Per Invoice'!A$2:A$401,$AH391)))</f>
        <v/>
      </c>
      <c r="B391">
        <f>IF($AH391="","",IF(INDEX('Per Invoice'!B$2:B$401,$AH391)="","",INDEX('Per Invoice'!B$2:B$401,$AH391)))</f>
        <v/>
      </c>
      <c r="C391">
        <f>IF($AH391="","",IF(INDEX('Per Invoice'!C$2:C$401,$AH391)="","",INDEX('Per Invoice'!C$2:C$401,$AH391)))</f>
        <v/>
      </c>
      <c r="D391">
        <f>IF($AH391="","",IF(INDEX('Per Invoice'!D$2:D$401,$AH391)="","",INDEX('Per Invoice'!D$2:D$401,$AH391)))</f>
        <v/>
      </c>
      <c r="E391">
        <f>IF($AH391="","",IF(INDEX('Per Invoice'!E$2:E$401,$AH391)="","",INDEX('Per Invoice'!E$2:E$401,$AH391)))</f>
        <v/>
      </c>
      <c r="F391">
        <f>IF($AH391="","",IF(INDEX('Per Invoice'!F$2:F$401,$AH391)="","",INDEX('Per Invoice'!F$2:F$401,$AH391)))</f>
        <v/>
      </c>
      <c r="G391">
        <f>IF($AH391="","",IF(INDEX('Per Invoice'!G$2:G$401,$AH391)="","",INDEX('Per Invoice'!G$2:G$401,$AH391)))</f>
        <v/>
      </c>
      <c r="H391">
        <f>IF($AH391="","",IF(INDEX('Per Invoice'!H$2:H$401,$AH391)="","",INDEX('Per Invoice'!H$2:H$401,$AH391)))</f>
        <v/>
      </c>
      <c r="I391" s="14">
        <f>IF($AH391="","",IF(INDEX('Per Invoice'!I$2:I$401,$AH391)="","",INDEX('Per Invoice'!I$2:I$401,$AH391)))</f>
        <v/>
      </c>
      <c r="J391">
        <f>IF($AH391="","",IF(INDEX('Per Invoice'!J$2:J$401,$AH391)="","",INDEX('Per Invoice'!J$2:J$401,$AH391)))</f>
        <v/>
      </c>
      <c r="K391">
        <f>IF($AH391="","",IF(INDEX('Per Invoice'!K$2:K$401,$AH391)="","",INDEX('Per Invoice'!K$2:K$401,$AH391)))</f>
        <v/>
      </c>
      <c r="L391">
        <f>IF($AH391="","",IF(INDEX('Per Invoice'!L$2:L$401,$AH391)="","",INDEX('Per Invoice'!L$2:L$401,$AH391)))</f>
        <v/>
      </c>
      <c r="M391">
        <f>IF($AH391="","",IF(INDEX('Per Invoice'!M$2:M$401,$AH391)="","",INDEX('Per Invoice'!M$2:M$401,$AH391)))</f>
        <v/>
      </c>
      <c r="N391">
        <f>IF($AH391="","",IF(INDEX('Per Invoice'!N$2:N$401,$AH391)="","",INDEX('Per Invoice'!N$2:N$401,$AH391)))</f>
        <v/>
      </c>
      <c r="O391">
        <f>IF($AH391="","",IF(INDEX('Per Invoice'!O$2:O$401,$AH391)="","",INDEX('Per Invoice'!O$2:O$401,$AH391)))</f>
        <v/>
      </c>
      <c r="P391" s="7">
        <f>IF($AH391="","",IF(INDEX('Per Invoice'!P$2:P$401,$AH391)="","",INDEX('Per Invoice'!P$2:P$401,$AH391)))</f>
        <v/>
      </c>
      <c r="Q391">
        <f>IF($AH391="","",IF(INDEX('Per Invoice'!Q$2:Q$401,$AH391)="","",INDEX('Per Invoice'!Q$2:Q$401,$AH391)))</f>
        <v/>
      </c>
      <c r="R391">
        <f>IF($AH391="","",IF(INDEX('Per Invoice'!R$2:R$401,$AH391)="","",INDEX('Per Invoice'!R$2:R$401,$AH391)))</f>
        <v/>
      </c>
      <c r="S391">
        <f>IF($AH391="","",IF(INDEX('Per Invoice'!S$2:S$401,$AH391)="","",INDEX('Per Invoice'!S$2:S$401,$AH391)))</f>
        <v/>
      </c>
      <c r="T391" s="7">
        <f>IF($AH391="","",IF(INDEX('Per Invoice'!T$2:T$401,$AH391)="","",INDEX('Per Invoice'!T$2:T$401,$AH391)))</f>
        <v/>
      </c>
      <c r="U391" s="7">
        <f>IF($AH391="","",IF(INDEX('Per Invoice'!U$2:U$401,$AH391)="","",INDEX('Per Invoice'!U$2:U$401,$AH391)))</f>
        <v/>
      </c>
      <c r="V391">
        <f>IF($AH391="","",IF(INDEX('Per Invoice'!V$2:V$401,$AH391)="","",INDEX('Per Invoice'!V$2:V$401,$AH391)))</f>
        <v/>
      </c>
      <c r="W391" s="7">
        <f>IF($AH391="","",IF(INDEX('Per Invoice'!W$2:W$401,$AH391)="","",INDEX('Per Invoice'!W$2:W$401,$AH391)))</f>
        <v/>
      </c>
      <c r="X391" s="7">
        <f>IF($AH391="","",IF(INDEX('Per Invoice'!X$2:X$401,$AH391)="","",INDEX('Per Invoice'!X$2:X$401,$AH391)))</f>
        <v/>
      </c>
      <c r="Y391">
        <f>IF($AH391="","",IF(INDEX('Per Invoice'!Y$2:Y$401,$AH391)="","",INDEX('Per Invoice'!Y$2:Y$401,$AH391)))</f>
        <v/>
      </c>
      <c r="Z391" s="7">
        <f>IF($AH391="","",IF(INDEX('Per Invoice'!Z$2:Z$401,$AH391)="","",INDEX('Per Invoice'!Z$2:Z$401,$AH391)))</f>
        <v/>
      </c>
      <c r="AA391" s="7">
        <f>IF($AH391="","",IF(INDEX('Per Invoice'!AA$2:AA$401,$AH391)="","",INDEX('Per Invoice'!AA$2:AA$401,$AH391)))</f>
        <v/>
      </c>
      <c r="AB391" s="7">
        <f>IF($AH391="","",IF(INDEX('Per Invoice'!AB$2:AB$401,$AH391)="","",INDEX('Per Invoice'!AB$2:AB$401,$AH391)))</f>
        <v/>
      </c>
      <c r="AC391" s="7">
        <f>IF($AH391="","",IF(INDEX('Per Invoice'!AC$2:AC$401,$AH391)="","",INDEX('Per Invoice'!AC$2:AC$401,$AH391)))</f>
        <v/>
      </c>
      <c r="AD391" s="7">
        <f>IF($AH391="","",IF(INDEX('Per Invoice'!AD$2:AD$401,$AH391)="","",INDEX('Per Invoice'!AD$2:AD$401,$AH391)))</f>
        <v/>
      </c>
      <c r="AE391" s="7">
        <f>IF($AH391="","",IF(INDEX('Per Invoice'!AE$2:AE$401,$AH391)="","",INDEX('Per Invoice'!AE$2:AE$401,$AH391)))</f>
        <v/>
      </c>
      <c r="AF391">
        <f>IF($AH391="","",IF(INDEX('Per Invoice'!AF$2:AF$401,$AH391)="","",INDEX('Per Invoice'!AF$2:AF$401,$AH391)))</f>
        <v/>
      </c>
      <c r="AG391" s="7">
        <f>IF($AH391="","",IF(INDEX('Per Invoice'!AG$2:AG$401,$AH391)="","",INDEX('Per Invoice'!AG$2:AG$401,$AH391)))</f>
        <v/>
      </c>
      <c r="AH391" s="16">
        <f>IFERROR(MATCH(Settings!$C$26&amp;"|"&amp;ROWS($AH$2:$AH391),'Per Invoice'!$AI$2:$AI$401,0),"")</f>
        <v/>
      </c>
    </row>
    <row r="392">
      <c r="A392">
        <f>IF($AH392="","",IF(INDEX('Per Invoice'!A$2:A$401,$AH392)="","",INDEX('Per Invoice'!A$2:A$401,$AH392)))</f>
        <v/>
      </c>
      <c r="B392">
        <f>IF($AH392="","",IF(INDEX('Per Invoice'!B$2:B$401,$AH392)="","",INDEX('Per Invoice'!B$2:B$401,$AH392)))</f>
        <v/>
      </c>
      <c r="C392">
        <f>IF($AH392="","",IF(INDEX('Per Invoice'!C$2:C$401,$AH392)="","",INDEX('Per Invoice'!C$2:C$401,$AH392)))</f>
        <v/>
      </c>
      <c r="D392">
        <f>IF($AH392="","",IF(INDEX('Per Invoice'!D$2:D$401,$AH392)="","",INDEX('Per Invoice'!D$2:D$401,$AH392)))</f>
        <v/>
      </c>
      <c r="E392">
        <f>IF($AH392="","",IF(INDEX('Per Invoice'!E$2:E$401,$AH392)="","",INDEX('Per Invoice'!E$2:E$401,$AH392)))</f>
        <v/>
      </c>
      <c r="F392">
        <f>IF($AH392="","",IF(INDEX('Per Invoice'!F$2:F$401,$AH392)="","",INDEX('Per Invoice'!F$2:F$401,$AH392)))</f>
        <v/>
      </c>
      <c r="G392">
        <f>IF($AH392="","",IF(INDEX('Per Invoice'!G$2:G$401,$AH392)="","",INDEX('Per Invoice'!G$2:G$401,$AH392)))</f>
        <v/>
      </c>
      <c r="H392">
        <f>IF($AH392="","",IF(INDEX('Per Invoice'!H$2:H$401,$AH392)="","",INDEX('Per Invoice'!H$2:H$401,$AH392)))</f>
        <v/>
      </c>
      <c r="I392" s="14">
        <f>IF($AH392="","",IF(INDEX('Per Invoice'!I$2:I$401,$AH392)="","",INDEX('Per Invoice'!I$2:I$401,$AH392)))</f>
        <v/>
      </c>
      <c r="J392">
        <f>IF($AH392="","",IF(INDEX('Per Invoice'!J$2:J$401,$AH392)="","",INDEX('Per Invoice'!J$2:J$401,$AH392)))</f>
        <v/>
      </c>
      <c r="K392">
        <f>IF($AH392="","",IF(INDEX('Per Invoice'!K$2:K$401,$AH392)="","",INDEX('Per Invoice'!K$2:K$401,$AH392)))</f>
        <v/>
      </c>
      <c r="L392">
        <f>IF($AH392="","",IF(INDEX('Per Invoice'!L$2:L$401,$AH392)="","",INDEX('Per Invoice'!L$2:L$401,$AH392)))</f>
        <v/>
      </c>
      <c r="M392">
        <f>IF($AH392="","",IF(INDEX('Per Invoice'!M$2:M$401,$AH392)="","",INDEX('Per Invoice'!M$2:M$401,$AH392)))</f>
        <v/>
      </c>
      <c r="N392">
        <f>IF($AH392="","",IF(INDEX('Per Invoice'!N$2:N$401,$AH392)="","",INDEX('Per Invoice'!N$2:N$401,$AH392)))</f>
        <v/>
      </c>
      <c r="O392">
        <f>IF($AH392="","",IF(INDEX('Per Invoice'!O$2:O$401,$AH392)="","",INDEX('Per Invoice'!O$2:O$401,$AH392)))</f>
        <v/>
      </c>
      <c r="P392" s="7">
        <f>IF($AH392="","",IF(INDEX('Per Invoice'!P$2:P$401,$AH392)="","",INDEX('Per Invoice'!P$2:P$401,$AH392)))</f>
        <v/>
      </c>
      <c r="Q392">
        <f>IF($AH392="","",IF(INDEX('Per Invoice'!Q$2:Q$401,$AH392)="","",INDEX('Per Invoice'!Q$2:Q$401,$AH392)))</f>
        <v/>
      </c>
      <c r="R392">
        <f>IF($AH392="","",IF(INDEX('Per Invoice'!R$2:R$401,$AH392)="","",INDEX('Per Invoice'!R$2:R$401,$AH392)))</f>
        <v/>
      </c>
      <c r="S392">
        <f>IF($AH392="","",IF(INDEX('Per Invoice'!S$2:S$401,$AH392)="","",INDEX('Per Invoice'!S$2:S$401,$AH392)))</f>
        <v/>
      </c>
      <c r="T392" s="7">
        <f>IF($AH392="","",IF(INDEX('Per Invoice'!T$2:T$401,$AH392)="","",INDEX('Per Invoice'!T$2:T$401,$AH392)))</f>
        <v/>
      </c>
      <c r="U392" s="7">
        <f>IF($AH392="","",IF(INDEX('Per Invoice'!U$2:U$401,$AH392)="","",INDEX('Per Invoice'!U$2:U$401,$AH392)))</f>
        <v/>
      </c>
      <c r="V392">
        <f>IF($AH392="","",IF(INDEX('Per Invoice'!V$2:V$401,$AH392)="","",INDEX('Per Invoice'!V$2:V$401,$AH392)))</f>
        <v/>
      </c>
      <c r="W392" s="7">
        <f>IF($AH392="","",IF(INDEX('Per Invoice'!W$2:W$401,$AH392)="","",INDEX('Per Invoice'!W$2:W$401,$AH392)))</f>
        <v/>
      </c>
      <c r="X392" s="7">
        <f>IF($AH392="","",IF(INDEX('Per Invoice'!X$2:X$401,$AH392)="","",INDEX('Per Invoice'!X$2:X$401,$AH392)))</f>
        <v/>
      </c>
      <c r="Y392">
        <f>IF($AH392="","",IF(INDEX('Per Invoice'!Y$2:Y$401,$AH392)="","",INDEX('Per Invoice'!Y$2:Y$401,$AH392)))</f>
        <v/>
      </c>
      <c r="Z392" s="7">
        <f>IF($AH392="","",IF(INDEX('Per Invoice'!Z$2:Z$401,$AH392)="","",INDEX('Per Invoice'!Z$2:Z$401,$AH392)))</f>
        <v/>
      </c>
      <c r="AA392" s="7">
        <f>IF($AH392="","",IF(INDEX('Per Invoice'!AA$2:AA$401,$AH392)="","",INDEX('Per Invoice'!AA$2:AA$401,$AH392)))</f>
        <v/>
      </c>
      <c r="AB392" s="7">
        <f>IF($AH392="","",IF(INDEX('Per Invoice'!AB$2:AB$401,$AH392)="","",INDEX('Per Invoice'!AB$2:AB$401,$AH392)))</f>
        <v/>
      </c>
      <c r="AC392" s="7">
        <f>IF($AH392="","",IF(INDEX('Per Invoice'!AC$2:AC$401,$AH392)="","",INDEX('Per Invoice'!AC$2:AC$401,$AH392)))</f>
        <v/>
      </c>
      <c r="AD392" s="7">
        <f>IF($AH392="","",IF(INDEX('Per Invoice'!AD$2:AD$401,$AH392)="","",INDEX('Per Invoice'!AD$2:AD$401,$AH392)))</f>
        <v/>
      </c>
      <c r="AE392" s="7">
        <f>IF($AH392="","",IF(INDEX('Per Invoice'!AE$2:AE$401,$AH392)="","",INDEX('Per Invoice'!AE$2:AE$401,$AH392)))</f>
        <v/>
      </c>
      <c r="AF392">
        <f>IF($AH392="","",IF(INDEX('Per Invoice'!AF$2:AF$401,$AH392)="","",INDEX('Per Invoice'!AF$2:AF$401,$AH392)))</f>
        <v/>
      </c>
      <c r="AG392" s="7">
        <f>IF($AH392="","",IF(INDEX('Per Invoice'!AG$2:AG$401,$AH392)="","",INDEX('Per Invoice'!AG$2:AG$401,$AH392)))</f>
        <v/>
      </c>
      <c r="AH392" s="16">
        <f>IFERROR(MATCH(Settings!$C$26&amp;"|"&amp;ROWS($AH$2:$AH392),'Per Invoice'!$AI$2:$AI$401,0),"")</f>
        <v/>
      </c>
    </row>
    <row r="393">
      <c r="A393">
        <f>IF($AH393="","",IF(INDEX('Per Invoice'!A$2:A$401,$AH393)="","",INDEX('Per Invoice'!A$2:A$401,$AH393)))</f>
        <v/>
      </c>
      <c r="B393">
        <f>IF($AH393="","",IF(INDEX('Per Invoice'!B$2:B$401,$AH393)="","",INDEX('Per Invoice'!B$2:B$401,$AH393)))</f>
        <v/>
      </c>
      <c r="C393">
        <f>IF($AH393="","",IF(INDEX('Per Invoice'!C$2:C$401,$AH393)="","",INDEX('Per Invoice'!C$2:C$401,$AH393)))</f>
        <v/>
      </c>
      <c r="D393">
        <f>IF($AH393="","",IF(INDEX('Per Invoice'!D$2:D$401,$AH393)="","",INDEX('Per Invoice'!D$2:D$401,$AH393)))</f>
        <v/>
      </c>
      <c r="E393">
        <f>IF($AH393="","",IF(INDEX('Per Invoice'!E$2:E$401,$AH393)="","",INDEX('Per Invoice'!E$2:E$401,$AH393)))</f>
        <v/>
      </c>
      <c r="F393">
        <f>IF($AH393="","",IF(INDEX('Per Invoice'!F$2:F$401,$AH393)="","",INDEX('Per Invoice'!F$2:F$401,$AH393)))</f>
        <v/>
      </c>
      <c r="G393">
        <f>IF($AH393="","",IF(INDEX('Per Invoice'!G$2:G$401,$AH393)="","",INDEX('Per Invoice'!G$2:G$401,$AH393)))</f>
        <v/>
      </c>
      <c r="H393">
        <f>IF($AH393="","",IF(INDEX('Per Invoice'!H$2:H$401,$AH393)="","",INDEX('Per Invoice'!H$2:H$401,$AH393)))</f>
        <v/>
      </c>
      <c r="I393" s="14">
        <f>IF($AH393="","",IF(INDEX('Per Invoice'!I$2:I$401,$AH393)="","",INDEX('Per Invoice'!I$2:I$401,$AH393)))</f>
        <v/>
      </c>
      <c r="J393">
        <f>IF($AH393="","",IF(INDEX('Per Invoice'!J$2:J$401,$AH393)="","",INDEX('Per Invoice'!J$2:J$401,$AH393)))</f>
        <v/>
      </c>
      <c r="K393">
        <f>IF($AH393="","",IF(INDEX('Per Invoice'!K$2:K$401,$AH393)="","",INDEX('Per Invoice'!K$2:K$401,$AH393)))</f>
        <v/>
      </c>
      <c r="L393">
        <f>IF($AH393="","",IF(INDEX('Per Invoice'!L$2:L$401,$AH393)="","",INDEX('Per Invoice'!L$2:L$401,$AH393)))</f>
        <v/>
      </c>
      <c r="M393">
        <f>IF($AH393="","",IF(INDEX('Per Invoice'!M$2:M$401,$AH393)="","",INDEX('Per Invoice'!M$2:M$401,$AH393)))</f>
        <v/>
      </c>
      <c r="N393">
        <f>IF($AH393="","",IF(INDEX('Per Invoice'!N$2:N$401,$AH393)="","",INDEX('Per Invoice'!N$2:N$401,$AH393)))</f>
        <v/>
      </c>
      <c r="O393">
        <f>IF($AH393="","",IF(INDEX('Per Invoice'!O$2:O$401,$AH393)="","",INDEX('Per Invoice'!O$2:O$401,$AH393)))</f>
        <v/>
      </c>
      <c r="P393" s="7">
        <f>IF($AH393="","",IF(INDEX('Per Invoice'!P$2:P$401,$AH393)="","",INDEX('Per Invoice'!P$2:P$401,$AH393)))</f>
        <v/>
      </c>
      <c r="Q393">
        <f>IF($AH393="","",IF(INDEX('Per Invoice'!Q$2:Q$401,$AH393)="","",INDEX('Per Invoice'!Q$2:Q$401,$AH393)))</f>
        <v/>
      </c>
      <c r="R393">
        <f>IF($AH393="","",IF(INDEX('Per Invoice'!R$2:R$401,$AH393)="","",INDEX('Per Invoice'!R$2:R$401,$AH393)))</f>
        <v/>
      </c>
      <c r="S393">
        <f>IF($AH393="","",IF(INDEX('Per Invoice'!S$2:S$401,$AH393)="","",INDEX('Per Invoice'!S$2:S$401,$AH393)))</f>
        <v/>
      </c>
      <c r="T393" s="7">
        <f>IF($AH393="","",IF(INDEX('Per Invoice'!T$2:T$401,$AH393)="","",INDEX('Per Invoice'!T$2:T$401,$AH393)))</f>
        <v/>
      </c>
      <c r="U393" s="7">
        <f>IF($AH393="","",IF(INDEX('Per Invoice'!U$2:U$401,$AH393)="","",INDEX('Per Invoice'!U$2:U$401,$AH393)))</f>
        <v/>
      </c>
      <c r="V393">
        <f>IF($AH393="","",IF(INDEX('Per Invoice'!V$2:V$401,$AH393)="","",INDEX('Per Invoice'!V$2:V$401,$AH393)))</f>
        <v/>
      </c>
      <c r="W393" s="7">
        <f>IF($AH393="","",IF(INDEX('Per Invoice'!W$2:W$401,$AH393)="","",INDEX('Per Invoice'!W$2:W$401,$AH393)))</f>
        <v/>
      </c>
      <c r="X393" s="7">
        <f>IF($AH393="","",IF(INDEX('Per Invoice'!X$2:X$401,$AH393)="","",INDEX('Per Invoice'!X$2:X$401,$AH393)))</f>
        <v/>
      </c>
      <c r="Y393">
        <f>IF($AH393="","",IF(INDEX('Per Invoice'!Y$2:Y$401,$AH393)="","",INDEX('Per Invoice'!Y$2:Y$401,$AH393)))</f>
        <v/>
      </c>
      <c r="Z393" s="7">
        <f>IF($AH393="","",IF(INDEX('Per Invoice'!Z$2:Z$401,$AH393)="","",INDEX('Per Invoice'!Z$2:Z$401,$AH393)))</f>
        <v/>
      </c>
      <c r="AA393" s="7">
        <f>IF($AH393="","",IF(INDEX('Per Invoice'!AA$2:AA$401,$AH393)="","",INDEX('Per Invoice'!AA$2:AA$401,$AH393)))</f>
        <v/>
      </c>
      <c r="AB393" s="7">
        <f>IF($AH393="","",IF(INDEX('Per Invoice'!AB$2:AB$401,$AH393)="","",INDEX('Per Invoice'!AB$2:AB$401,$AH393)))</f>
        <v/>
      </c>
      <c r="AC393" s="7">
        <f>IF($AH393="","",IF(INDEX('Per Invoice'!AC$2:AC$401,$AH393)="","",INDEX('Per Invoice'!AC$2:AC$401,$AH393)))</f>
        <v/>
      </c>
      <c r="AD393" s="7">
        <f>IF($AH393="","",IF(INDEX('Per Invoice'!AD$2:AD$401,$AH393)="","",INDEX('Per Invoice'!AD$2:AD$401,$AH393)))</f>
        <v/>
      </c>
      <c r="AE393" s="7">
        <f>IF($AH393="","",IF(INDEX('Per Invoice'!AE$2:AE$401,$AH393)="","",INDEX('Per Invoice'!AE$2:AE$401,$AH393)))</f>
        <v/>
      </c>
      <c r="AF393">
        <f>IF($AH393="","",IF(INDEX('Per Invoice'!AF$2:AF$401,$AH393)="","",INDEX('Per Invoice'!AF$2:AF$401,$AH393)))</f>
        <v/>
      </c>
      <c r="AG393" s="7">
        <f>IF($AH393="","",IF(INDEX('Per Invoice'!AG$2:AG$401,$AH393)="","",INDEX('Per Invoice'!AG$2:AG$401,$AH393)))</f>
        <v/>
      </c>
      <c r="AH393" s="16">
        <f>IFERROR(MATCH(Settings!$C$26&amp;"|"&amp;ROWS($AH$2:$AH393),'Per Invoice'!$AI$2:$AI$401,0),"")</f>
        <v/>
      </c>
    </row>
    <row r="394">
      <c r="A394">
        <f>IF($AH394="","",IF(INDEX('Per Invoice'!A$2:A$401,$AH394)="","",INDEX('Per Invoice'!A$2:A$401,$AH394)))</f>
        <v/>
      </c>
      <c r="B394">
        <f>IF($AH394="","",IF(INDEX('Per Invoice'!B$2:B$401,$AH394)="","",INDEX('Per Invoice'!B$2:B$401,$AH394)))</f>
        <v/>
      </c>
      <c r="C394">
        <f>IF($AH394="","",IF(INDEX('Per Invoice'!C$2:C$401,$AH394)="","",INDEX('Per Invoice'!C$2:C$401,$AH394)))</f>
        <v/>
      </c>
      <c r="D394">
        <f>IF($AH394="","",IF(INDEX('Per Invoice'!D$2:D$401,$AH394)="","",INDEX('Per Invoice'!D$2:D$401,$AH394)))</f>
        <v/>
      </c>
      <c r="E394">
        <f>IF($AH394="","",IF(INDEX('Per Invoice'!E$2:E$401,$AH394)="","",INDEX('Per Invoice'!E$2:E$401,$AH394)))</f>
        <v/>
      </c>
      <c r="F394">
        <f>IF($AH394="","",IF(INDEX('Per Invoice'!F$2:F$401,$AH394)="","",INDEX('Per Invoice'!F$2:F$401,$AH394)))</f>
        <v/>
      </c>
      <c r="G394">
        <f>IF($AH394="","",IF(INDEX('Per Invoice'!G$2:G$401,$AH394)="","",INDEX('Per Invoice'!G$2:G$401,$AH394)))</f>
        <v/>
      </c>
      <c r="H394">
        <f>IF($AH394="","",IF(INDEX('Per Invoice'!H$2:H$401,$AH394)="","",INDEX('Per Invoice'!H$2:H$401,$AH394)))</f>
        <v/>
      </c>
      <c r="I394" s="14">
        <f>IF($AH394="","",IF(INDEX('Per Invoice'!I$2:I$401,$AH394)="","",INDEX('Per Invoice'!I$2:I$401,$AH394)))</f>
        <v/>
      </c>
      <c r="J394">
        <f>IF($AH394="","",IF(INDEX('Per Invoice'!J$2:J$401,$AH394)="","",INDEX('Per Invoice'!J$2:J$401,$AH394)))</f>
        <v/>
      </c>
      <c r="K394">
        <f>IF($AH394="","",IF(INDEX('Per Invoice'!K$2:K$401,$AH394)="","",INDEX('Per Invoice'!K$2:K$401,$AH394)))</f>
        <v/>
      </c>
      <c r="L394">
        <f>IF($AH394="","",IF(INDEX('Per Invoice'!L$2:L$401,$AH394)="","",INDEX('Per Invoice'!L$2:L$401,$AH394)))</f>
        <v/>
      </c>
      <c r="M394">
        <f>IF($AH394="","",IF(INDEX('Per Invoice'!M$2:M$401,$AH394)="","",INDEX('Per Invoice'!M$2:M$401,$AH394)))</f>
        <v/>
      </c>
      <c r="N394">
        <f>IF($AH394="","",IF(INDEX('Per Invoice'!N$2:N$401,$AH394)="","",INDEX('Per Invoice'!N$2:N$401,$AH394)))</f>
        <v/>
      </c>
      <c r="O394">
        <f>IF($AH394="","",IF(INDEX('Per Invoice'!O$2:O$401,$AH394)="","",INDEX('Per Invoice'!O$2:O$401,$AH394)))</f>
        <v/>
      </c>
      <c r="P394" s="7">
        <f>IF($AH394="","",IF(INDEX('Per Invoice'!P$2:P$401,$AH394)="","",INDEX('Per Invoice'!P$2:P$401,$AH394)))</f>
        <v/>
      </c>
      <c r="Q394">
        <f>IF($AH394="","",IF(INDEX('Per Invoice'!Q$2:Q$401,$AH394)="","",INDEX('Per Invoice'!Q$2:Q$401,$AH394)))</f>
        <v/>
      </c>
      <c r="R394">
        <f>IF($AH394="","",IF(INDEX('Per Invoice'!R$2:R$401,$AH394)="","",INDEX('Per Invoice'!R$2:R$401,$AH394)))</f>
        <v/>
      </c>
      <c r="S394">
        <f>IF($AH394="","",IF(INDEX('Per Invoice'!S$2:S$401,$AH394)="","",INDEX('Per Invoice'!S$2:S$401,$AH394)))</f>
        <v/>
      </c>
      <c r="T394" s="7">
        <f>IF($AH394="","",IF(INDEX('Per Invoice'!T$2:T$401,$AH394)="","",INDEX('Per Invoice'!T$2:T$401,$AH394)))</f>
        <v/>
      </c>
      <c r="U394" s="7">
        <f>IF($AH394="","",IF(INDEX('Per Invoice'!U$2:U$401,$AH394)="","",INDEX('Per Invoice'!U$2:U$401,$AH394)))</f>
        <v/>
      </c>
      <c r="V394">
        <f>IF($AH394="","",IF(INDEX('Per Invoice'!V$2:V$401,$AH394)="","",INDEX('Per Invoice'!V$2:V$401,$AH394)))</f>
        <v/>
      </c>
      <c r="W394" s="7">
        <f>IF($AH394="","",IF(INDEX('Per Invoice'!W$2:W$401,$AH394)="","",INDEX('Per Invoice'!W$2:W$401,$AH394)))</f>
        <v/>
      </c>
      <c r="X394" s="7">
        <f>IF($AH394="","",IF(INDEX('Per Invoice'!X$2:X$401,$AH394)="","",INDEX('Per Invoice'!X$2:X$401,$AH394)))</f>
        <v/>
      </c>
      <c r="Y394">
        <f>IF($AH394="","",IF(INDEX('Per Invoice'!Y$2:Y$401,$AH394)="","",INDEX('Per Invoice'!Y$2:Y$401,$AH394)))</f>
        <v/>
      </c>
      <c r="Z394" s="7">
        <f>IF($AH394="","",IF(INDEX('Per Invoice'!Z$2:Z$401,$AH394)="","",INDEX('Per Invoice'!Z$2:Z$401,$AH394)))</f>
        <v/>
      </c>
      <c r="AA394" s="7">
        <f>IF($AH394="","",IF(INDEX('Per Invoice'!AA$2:AA$401,$AH394)="","",INDEX('Per Invoice'!AA$2:AA$401,$AH394)))</f>
        <v/>
      </c>
      <c r="AB394" s="7">
        <f>IF($AH394="","",IF(INDEX('Per Invoice'!AB$2:AB$401,$AH394)="","",INDEX('Per Invoice'!AB$2:AB$401,$AH394)))</f>
        <v/>
      </c>
      <c r="AC394" s="7">
        <f>IF($AH394="","",IF(INDEX('Per Invoice'!AC$2:AC$401,$AH394)="","",INDEX('Per Invoice'!AC$2:AC$401,$AH394)))</f>
        <v/>
      </c>
      <c r="AD394" s="7">
        <f>IF($AH394="","",IF(INDEX('Per Invoice'!AD$2:AD$401,$AH394)="","",INDEX('Per Invoice'!AD$2:AD$401,$AH394)))</f>
        <v/>
      </c>
      <c r="AE394" s="7">
        <f>IF($AH394="","",IF(INDEX('Per Invoice'!AE$2:AE$401,$AH394)="","",INDEX('Per Invoice'!AE$2:AE$401,$AH394)))</f>
        <v/>
      </c>
      <c r="AF394">
        <f>IF($AH394="","",IF(INDEX('Per Invoice'!AF$2:AF$401,$AH394)="","",INDEX('Per Invoice'!AF$2:AF$401,$AH394)))</f>
        <v/>
      </c>
      <c r="AG394" s="7">
        <f>IF($AH394="","",IF(INDEX('Per Invoice'!AG$2:AG$401,$AH394)="","",INDEX('Per Invoice'!AG$2:AG$401,$AH394)))</f>
        <v/>
      </c>
      <c r="AH394" s="16">
        <f>IFERROR(MATCH(Settings!$C$26&amp;"|"&amp;ROWS($AH$2:$AH394),'Per Invoice'!$AI$2:$AI$401,0),"")</f>
        <v/>
      </c>
    </row>
    <row r="395">
      <c r="A395">
        <f>IF($AH395="","",IF(INDEX('Per Invoice'!A$2:A$401,$AH395)="","",INDEX('Per Invoice'!A$2:A$401,$AH395)))</f>
        <v/>
      </c>
      <c r="B395">
        <f>IF($AH395="","",IF(INDEX('Per Invoice'!B$2:B$401,$AH395)="","",INDEX('Per Invoice'!B$2:B$401,$AH395)))</f>
        <v/>
      </c>
      <c r="C395">
        <f>IF($AH395="","",IF(INDEX('Per Invoice'!C$2:C$401,$AH395)="","",INDEX('Per Invoice'!C$2:C$401,$AH395)))</f>
        <v/>
      </c>
      <c r="D395">
        <f>IF($AH395="","",IF(INDEX('Per Invoice'!D$2:D$401,$AH395)="","",INDEX('Per Invoice'!D$2:D$401,$AH395)))</f>
        <v/>
      </c>
      <c r="E395">
        <f>IF($AH395="","",IF(INDEX('Per Invoice'!E$2:E$401,$AH395)="","",INDEX('Per Invoice'!E$2:E$401,$AH395)))</f>
        <v/>
      </c>
      <c r="F395">
        <f>IF($AH395="","",IF(INDEX('Per Invoice'!F$2:F$401,$AH395)="","",INDEX('Per Invoice'!F$2:F$401,$AH395)))</f>
        <v/>
      </c>
      <c r="G395">
        <f>IF($AH395="","",IF(INDEX('Per Invoice'!G$2:G$401,$AH395)="","",INDEX('Per Invoice'!G$2:G$401,$AH395)))</f>
        <v/>
      </c>
      <c r="H395">
        <f>IF($AH395="","",IF(INDEX('Per Invoice'!H$2:H$401,$AH395)="","",INDEX('Per Invoice'!H$2:H$401,$AH395)))</f>
        <v/>
      </c>
      <c r="I395" s="14">
        <f>IF($AH395="","",IF(INDEX('Per Invoice'!I$2:I$401,$AH395)="","",INDEX('Per Invoice'!I$2:I$401,$AH395)))</f>
        <v/>
      </c>
      <c r="J395">
        <f>IF($AH395="","",IF(INDEX('Per Invoice'!J$2:J$401,$AH395)="","",INDEX('Per Invoice'!J$2:J$401,$AH395)))</f>
        <v/>
      </c>
      <c r="K395">
        <f>IF($AH395="","",IF(INDEX('Per Invoice'!K$2:K$401,$AH395)="","",INDEX('Per Invoice'!K$2:K$401,$AH395)))</f>
        <v/>
      </c>
      <c r="L395">
        <f>IF($AH395="","",IF(INDEX('Per Invoice'!L$2:L$401,$AH395)="","",INDEX('Per Invoice'!L$2:L$401,$AH395)))</f>
        <v/>
      </c>
      <c r="M395">
        <f>IF($AH395="","",IF(INDEX('Per Invoice'!M$2:M$401,$AH395)="","",INDEX('Per Invoice'!M$2:M$401,$AH395)))</f>
        <v/>
      </c>
      <c r="N395">
        <f>IF($AH395="","",IF(INDEX('Per Invoice'!N$2:N$401,$AH395)="","",INDEX('Per Invoice'!N$2:N$401,$AH395)))</f>
        <v/>
      </c>
      <c r="O395">
        <f>IF($AH395="","",IF(INDEX('Per Invoice'!O$2:O$401,$AH395)="","",INDEX('Per Invoice'!O$2:O$401,$AH395)))</f>
        <v/>
      </c>
      <c r="P395" s="7">
        <f>IF($AH395="","",IF(INDEX('Per Invoice'!P$2:P$401,$AH395)="","",INDEX('Per Invoice'!P$2:P$401,$AH395)))</f>
        <v/>
      </c>
      <c r="Q395">
        <f>IF($AH395="","",IF(INDEX('Per Invoice'!Q$2:Q$401,$AH395)="","",INDEX('Per Invoice'!Q$2:Q$401,$AH395)))</f>
        <v/>
      </c>
      <c r="R395">
        <f>IF($AH395="","",IF(INDEX('Per Invoice'!R$2:R$401,$AH395)="","",INDEX('Per Invoice'!R$2:R$401,$AH395)))</f>
        <v/>
      </c>
      <c r="S395">
        <f>IF($AH395="","",IF(INDEX('Per Invoice'!S$2:S$401,$AH395)="","",INDEX('Per Invoice'!S$2:S$401,$AH395)))</f>
        <v/>
      </c>
      <c r="T395" s="7">
        <f>IF($AH395="","",IF(INDEX('Per Invoice'!T$2:T$401,$AH395)="","",INDEX('Per Invoice'!T$2:T$401,$AH395)))</f>
        <v/>
      </c>
      <c r="U395" s="7">
        <f>IF($AH395="","",IF(INDEX('Per Invoice'!U$2:U$401,$AH395)="","",INDEX('Per Invoice'!U$2:U$401,$AH395)))</f>
        <v/>
      </c>
      <c r="V395">
        <f>IF($AH395="","",IF(INDEX('Per Invoice'!V$2:V$401,$AH395)="","",INDEX('Per Invoice'!V$2:V$401,$AH395)))</f>
        <v/>
      </c>
      <c r="W395" s="7">
        <f>IF($AH395="","",IF(INDEX('Per Invoice'!W$2:W$401,$AH395)="","",INDEX('Per Invoice'!W$2:W$401,$AH395)))</f>
        <v/>
      </c>
      <c r="X395" s="7">
        <f>IF($AH395="","",IF(INDEX('Per Invoice'!X$2:X$401,$AH395)="","",INDEX('Per Invoice'!X$2:X$401,$AH395)))</f>
        <v/>
      </c>
      <c r="Y395">
        <f>IF($AH395="","",IF(INDEX('Per Invoice'!Y$2:Y$401,$AH395)="","",INDEX('Per Invoice'!Y$2:Y$401,$AH395)))</f>
        <v/>
      </c>
      <c r="Z395" s="7">
        <f>IF($AH395="","",IF(INDEX('Per Invoice'!Z$2:Z$401,$AH395)="","",INDEX('Per Invoice'!Z$2:Z$401,$AH395)))</f>
        <v/>
      </c>
      <c r="AA395" s="7">
        <f>IF($AH395="","",IF(INDEX('Per Invoice'!AA$2:AA$401,$AH395)="","",INDEX('Per Invoice'!AA$2:AA$401,$AH395)))</f>
        <v/>
      </c>
      <c r="AB395" s="7">
        <f>IF($AH395="","",IF(INDEX('Per Invoice'!AB$2:AB$401,$AH395)="","",INDEX('Per Invoice'!AB$2:AB$401,$AH395)))</f>
        <v/>
      </c>
      <c r="AC395" s="7">
        <f>IF($AH395="","",IF(INDEX('Per Invoice'!AC$2:AC$401,$AH395)="","",INDEX('Per Invoice'!AC$2:AC$401,$AH395)))</f>
        <v/>
      </c>
      <c r="AD395" s="7">
        <f>IF($AH395="","",IF(INDEX('Per Invoice'!AD$2:AD$401,$AH395)="","",INDEX('Per Invoice'!AD$2:AD$401,$AH395)))</f>
        <v/>
      </c>
      <c r="AE395" s="7">
        <f>IF($AH395="","",IF(INDEX('Per Invoice'!AE$2:AE$401,$AH395)="","",INDEX('Per Invoice'!AE$2:AE$401,$AH395)))</f>
        <v/>
      </c>
      <c r="AF395">
        <f>IF($AH395="","",IF(INDEX('Per Invoice'!AF$2:AF$401,$AH395)="","",INDEX('Per Invoice'!AF$2:AF$401,$AH395)))</f>
        <v/>
      </c>
      <c r="AG395" s="7">
        <f>IF($AH395="","",IF(INDEX('Per Invoice'!AG$2:AG$401,$AH395)="","",INDEX('Per Invoice'!AG$2:AG$401,$AH395)))</f>
        <v/>
      </c>
      <c r="AH395" s="16">
        <f>IFERROR(MATCH(Settings!$C$26&amp;"|"&amp;ROWS($AH$2:$AH395),'Per Invoice'!$AI$2:$AI$401,0),"")</f>
        <v/>
      </c>
    </row>
    <row r="396">
      <c r="A396">
        <f>IF($AH396="","",IF(INDEX('Per Invoice'!A$2:A$401,$AH396)="","",INDEX('Per Invoice'!A$2:A$401,$AH396)))</f>
        <v/>
      </c>
      <c r="B396">
        <f>IF($AH396="","",IF(INDEX('Per Invoice'!B$2:B$401,$AH396)="","",INDEX('Per Invoice'!B$2:B$401,$AH396)))</f>
        <v/>
      </c>
      <c r="C396">
        <f>IF($AH396="","",IF(INDEX('Per Invoice'!C$2:C$401,$AH396)="","",INDEX('Per Invoice'!C$2:C$401,$AH396)))</f>
        <v/>
      </c>
      <c r="D396">
        <f>IF($AH396="","",IF(INDEX('Per Invoice'!D$2:D$401,$AH396)="","",INDEX('Per Invoice'!D$2:D$401,$AH396)))</f>
        <v/>
      </c>
      <c r="E396">
        <f>IF($AH396="","",IF(INDEX('Per Invoice'!E$2:E$401,$AH396)="","",INDEX('Per Invoice'!E$2:E$401,$AH396)))</f>
        <v/>
      </c>
      <c r="F396">
        <f>IF($AH396="","",IF(INDEX('Per Invoice'!F$2:F$401,$AH396)="","",INDEX('Per Invoice'!F$2:F$401,$AH396)))</f>
        <v/>
      </c>
      <c r="G396">
        <f>IF($AH396="","",IF(INDEX('Per Invoice'!G$2:G$401,$AH396)="","",INDEX('Per Invoice'!G$2:G$401,$AH396)))</f>
        <v/>
      </c>
      <c r="H396">
        <f>IF($AH396="","",IF(INDEX('Per Invoice'!H$2:H$401,$AH396)="","",INDEX('Per Invoice'!H$2:H$401,$AH396)))</f>
        <v/>
      </c>
      <c r="I396" s="14">
        <f>IF($AH396="","",IF(INDEX('Per Invoice'!I$2:I$401,$AH396)="","",INDEX('Per Invoice'!I$2:I$401,$AH396)))</f>
        <v/>
      </c>
      <c r="J396">
        <f>IF($AH396="","",IF(INDEX('Per Invoice'!J$2:J$401,$AH396)="","",INDEX('Per Invoice'!J$2:J$401,$AH396)))</f>
        <v/>
      </c>
      <c r="K396">
        <f>IF($AH396="","",IF(INDEX('Per Invoice'!K$2:K$401,$AH396)="","",INDEX('Per Invoice'!K$2:K$401,$AH396)))</f>
        <v/>
      </c>
      <c r="L396">
        <f>IF($AH396="","",IF(INDEX('Per Invoice'!L$2:L$401,$AH396)="","",INDEX('Per Invoice'!L$2:L$401,$AH396)))</f>
        <v/>
      </c>
      <c r="M396">
        <f>IF($AH396="","",IF(INDEX('Per Invoice'!M$2:M$401,$AH396)="","",INDEX('Per Invoice'!M$2:M$401,$AH396)))</f>
        <v/>
      </c>
      <c r="N396">
        <f>IF($AH396="","",IF(INDEX('Per Invoice'!N$2:N$401,$AH396)="","",INDEX('Per Invoice'!N$2:N$401,$AH396)))</f>
        <v/>
      </c>
      <c r="O396">
        <f>IF($AH396="","",IF(INDEX('Per Invoice'!O$2:O$401,$AH396)="","",INDEX('Per Invoice'!O$2:O$401,$AH396)))</f>
        <v/>
      </c>
      <c r="P396" s="7">
        <f>IF($AH396="","",IF(INDEX('Per Invoice'!P$2:P$401,$AH396)="","",INDEX('Per Invoice'!P$2:P$401,$AH396)))</f>
        <v/>
      </c>
      <c r="Q396">
        <f>IF($AH396="","",IF(INDEX('Per Invoice'!Q$2:Q$401,$AH396)="","",INDEX('Per Invoice'!Q$2:Q$401,$AH396)))</f>
        <v/>
      </c>
      <c r="R396">
        <f>IF($AH396="","",IF(INDEX('Per Invoice'!R$2:R$401,$AH396)="","",INDEX('Per Invoice'!R$2:R$401,$AH396)))</f>
        <v/>
      </c>
      <c r="S396">
        <f>IF($AH396="","",IF(INDEX('Per Invoice'!S$2:S$401,$AH396)="","",INDEX('Per Invoice'!S$2:S$401,$AH396)))</f>
        <v/>
      </c>
      <c r="T396" s="7">
        <f>IF($AH396="","",IF(INDEX('Per Invoice'!T$2:T$401,$AH396)="","",INDEX('Per Invoice'!T$2:T$401,$AH396)))</f>
        <v/>
      </c>
      <c r="U396" s="7">
        <f>IF($AH396="","",IF(INDEX('Per Invoice'!U$2:U$401,$AH396)="","",INDEX('Per Invoice'!U$2:U$401,$AH396)))</f>
        <v/>
      </c>
      <c r="V396">
        <f>IF($AH396="","",IF(INDEX('Per Invoice'!V$2:V$401,$AH396)="","",INDEX('Per Invoice'!V$2:V$401,$AH396)))</f>
        <v/>
      </c>
      <c r="W396" s="7">
        <f>IF($AH396="","",IF(INDEX('Per Invoice'!W$2:W$401,$AH396)="","",INDEX('Per Invoice'!W$2:W$401,$AH396)))</f>
        <v/>
      </c>
      <c r="X396" s="7">
        <f>IF($AH396="","",IF(INDEX('Per Invoice'!X$2:X$401,$AH396)="","",INDEX('Per Invoice'!X$2:X$401,$AH396)))</f>
        <v/>
      </c>
      <c r="Y396">
        <f>IF($AH396="","",IF(INDEX('Per Invoice'!Y$2:Y$401,$AH396)="","",INDEX('Per Invoice'!Y$2:Y$401,$AH396)))</f>
        <v/>
      </c>
      <c r="Z396" s="7">
        <f>IF($AH396="","",IF(INDEX('Per Invoice'!Z$2:Z$401,$AH396)="","",INDEX('Per Invoice'!Z$2:Z$401,$AH396)))</f>
        <v/>
      </c>
      <c r="AA396" s="7">
        <f>IF($AH396="","",IF(INDEX('Per Invoice'!AA$2:AA$401,$AH396)="","",INDEX('Per Invoice'!AA$2:AA$401,$AH396)))</f>
        <v/>
      </c>
      <c r="AB396" s="7">
        <f>IF($AH396="","",IF(INDEX('Per Invoice'!AB$2:AB$401,$AH396)="","",INDEX('Per Invoice'!AB$2:AB$401,$AH396)))</f>
        <v/>
      </c>
      <c r="AC396" s="7">
        <f>IF($AH396="","",IF(INDEX('Per Invoice'!AC$2:AC$401,$AH396)="","",INDEX('Per Invoice'!AC$2:AC$401,$AH396)))</f>
        <v/>
      </c>
      <c r="AD396" s="7">
        <f>IF($AH396="","",IF(INDEX('Per Invoice'!AD$2:AD$401,$AH396)="","",INDEX('Per Invoice'!AD$2:AD$401,$AH396)))</f>
        <v/>
      </c>
      <c r="AE396" s="7">
        <f>IF($AH396="","",IF(INDEX('Per Invoice'!AE$2:AE$401,$AH396)="","",INDEX('Per Invoice'!AE$2:AE$401,$AH396)))</f>
        <v/>
      </c>
      <c r="AF396">
        <f>IF($AH396="","",IF(INDEX('Per Invoice'!AF$2:AF$401,$AH396)="","",INDEX('Per Invoice'!AF$2:AF$401,$AH396)))</f>
        <v/>
      </c>
      <c r="AG396" s="7">
        <f>IF($AH396="","",IF(INDEX('Per Invoice'!AG$2:AG$401,$AH396)="","",INDEX('Per Invoice'!AG$2:AG$401,$AH396)))</f>
        <v/>
      </c>
      <c r="AH396" s="16">
        <f>IFERROR(MATCH(Settings!$C$26&amp;"|"&amp;ROWS($AH$2:$AH396),'Per Invoice'!$AI$2:$AI$401,0),"")</f>
        <v/>
      </c>
    </row>
    <row r="397">
      <c r="A397">
        <f>IF($AH397="","",IF(INDEX('Per Invoice'!A$2:A$401,$AH397)="","",INDEX('Per Invoice'!A$2:A$401,$AH397)))</f>
        <v/>
      </c>
      <c r="B397">
        <f>IF($AH397="","",IF(INDEX('Per Invoice'!B$2:B$401,$AH397)="","",INDEX('Per Invoice'!B$2:B$401,$AH397)))</f>
        <v/>
      </c>
      <c r="C397">
        <f>IF($AH397="","",IF(INDEX('Per Invoice'!C$2:C$401,$AH397)="","",INDEX('Per Invoice'!C$2:C$401,$AH397)))</f>
        <v/>
      </c>
      <c r="D397">
        <f>IF($AH397="","",IF(INDEX('Per Invoice'!D$2:D$401,$AH397)="","",INDEX('Per Invoice'!D$2:D$401,$AH397)))</f>
        <v/>
      </c>
      <c r="E397">
        <f>IF($AH397="","",IF(INDEX('Per Invoice'!E$2:E$401,$AH397)="","",INDEX('Per Invoice'!E$2:E$401,$AH397)))</f>
        <v/>
      </c>
      <c r="F397">
        <f>IF($AH397="","",IF(INDEX('Per Invoice'!F$2:F$401,$AH397)="","",INDEX('Per Invoice'!F$2:F$401,$AH397)))</f>
        <v/>
      </c>
      <c r="G397">
        <f>IF($AH397="","",IF(INDEX('Per Invoice'!G$2:G$401,$AH397)="","",INDEX('Per Invoice'!G$2:G$401,$AH397)))</f>
        <v/>
      </c>
      <c r="H397">
        <f>IF($AH397="","",IF(INDEX('Per Invoice'!H$2:H$401,$AH397)="","",INDEX('Per Invoice'!H$2:H$401,$AH397)))</f>
        <v/>
      </c>
      <c r="I397" s="14">
        <f>IF($AH397="","",IF(INDEX('Per Invoice'!I$2:I$401,$AH397)="","",INDEX('Per Invoice'!I$2:I$401,$AH397)))</f>
        <v/>
      </c>
      <c r="J397">
        <f>IF($AH397="","",IF(INDEX('Per Invoice'!J$2:J$401,$AH397)="","",INDEX('Per Invoice'!J$2:J$401,$AH397)))</f>
        <v/>
      </c>
      <c r="K397">
        <f>IF($AH397="","",IF(INDEX('Per Invoice'!K$2:K$401,$AH397)="","",INDEX('Per Invoice'!K$2:K$401,$AH397)))</f>
        <v/>
      </c>
      <c r="L397">
        <f>IF($AH397="","",IF(INDEX('Per Invoice'!L$2:L$401,$AH397)="","",INDEX('Per Invoice'!L$2:L$401,$AH397)))</f>
        <v/>
      </c>
      <c r="M397">
        <f>IF($AH397="","",IF(INDEX('Per Invoice'!M$2:M$401,$AH397)="","",INDEX('Per Invoice'!M$2:M$401,$AH397)))</f>
        <v/>
      </c>
      <c r="N397">
        <f>IF($AH397="","",IF(INDEX('Per Invoice'!N$2:N$401,$AH397)="","",INDEX('Per Invoice'!N$2:N$401,$AH397)))</f>
        <v/>
      </c>
      <c r="O397">
        <f>IF($AH397="","",IF(INDEX('Per Invoice'!O$2:O$401,$AH397)="","",INDEX('Per Invoice'!O$2:O$401,$AH397)))</f>
        <v/>
      </c>
      <c r="P397" s="7">
        <f>IF($AH397="","",IF(INDEX('Per Invoice'!P$2:P$401,$AH397)="","",INDEX('Per Invoice'!P$2:P$401,$AH397)))</f>
        <v/>
      </c>
      <c r="Q397">
        <f>IF($AH397="","",IF(INDEX('Per Invoice'!Q$2:Q$401,$AH397)="","",INDEX('Per Invoice'!Q$2:Q$401,$AH397)))</f>
        <v/>
      </c>
      <c r="R397">
        <f>IF($AH397="","",IF(INDEX('Per Invoice'!R$2:R$401,$AH397)="","",INDEX('Per Invoice'!R$2:R$401,$AH397)))</f>
        <v/>
      </c>
      <c r="S397">
        <f>IF($AH397="","",IF(INDEX('Per Invoice'!S$2:S$401,$AH397)="","",INDEX('Per Invoice'!S$2:S$401,$AH397)))</f>
        <v/>
      </c>
      <c r="T397" s="7">
        <f>IF($AH397="","",IF(INDEX('Per Invoice'!T$2:T$401,$AH397)="","",INDEX('Per Invoice'!T$2:T$401,$AH397)))</f>
        <v/>
      </c>
      <c r="U397" s="7">
        <f>IF($AH397="","",IF(INDEX('Per Invoice'!U$2:U$401,$AH397)="","",INDEX('Per Invoice'!U$2:U$401,$AH397)))</f>
        <v/>
      </c>
      <c r="V397">
        <f>IF($AH397="","",IF(INDEX('Per Invoice'!V$2:V$401,$AH397)="","",INDEX('Per Invoice'!V$2:V$401,$AH397)))</f>
        <v/>
      </c>
      <c r="W397" s="7">
        <f>IF($AH397="","",IF(INDEX('Per Invoice'!W$2:W$401,$AH397)="","",INDEX('Per Invoice'!W$2:W$401,$AH397)))</f>
        <v/>
      </c>
      <c r="X397" s="7">
        <f>IF($AH397="","",IF(INDEX('Per Invoice'!X$2:X$401,$AH397)="","",INDEX('Per Invoice'!X$2:X$401,$AH397)))</f>
        <v/>
      </c>
      <c r="Y397">
        <f>IF($AH397="","",IF(INDEX('Per Invoice'!Y$2:Y$401,$AH397)="","",INDEX('Per Invoice'!Y$2:Y$401,$AH397)))</f>
        <v/>
      </c>
      <c r="Z397" s="7">
        <f>IF($AH397="","",IF(INDEX('Per Invoice'!Z$2:Z$401,$AH397)="","",INDEX('Per Invoice'!Z$2:Z$401,$AH397)))</f>
        <v/>
      </c>
      <c r="AA397" s="7">
        <f>IF($AH397="","",IF(INDEX('Per Invoice'!AA$2:AA$401,$AH397)="","",INDEX('Per Invoice'!AA$2:AA$401,$AH397)))</f>
        <v/>
      </c>
      <c r="AB397" s="7">
        <f>IF($AH397="","",IF(INDEX('Per Invoice'!AB$2:AB$401,$AH397)="","",INDEX('Per Invoice'!AB$2:AB$401,$AH397)))</f>
        <v/>
      </c>
      <c r="AC397" s="7">
        <f>IF($AH397="","",IF(INDEX('Per Invoice'!AC$2:AC$401,$AH397)="","",INDEX('Per Invoice'!AC$2:AC$401,$AH397)))</f>
        <v/>
      </c>
      <c r="AD397" s="7">
        <f>IF($AH397="","",IF(INDEX('Per Invoice'!AD$2:AD$401,$AH397)="","",INDEX('Per Invoice'!AD$2:AD$401,$AH397)))</f>
        <v/>
      </c>
      <c r="AE397" s="7">
        <f>IF($AH397="","",IF(INDEX('Per Invoice'!AE$2:AE$401,$AH397)="","",INDEX('Per Invoice'!AE$2:AE$401,$AH397)))</f>
        <v/>
      </c>
      <c r="AF397">
        <f>IF($AH397="","",IF(INDEX('Per Invoice'!AF$2:AF$401,$AH397)="","",INDEX('Per Invoice'!AF$2:AF$401,$AH397)))</f>
        <v/>
      </c>
      <c r="AG397" s="7">
        <f>IF($AH397="","",IF(INDEX('Per Invoice'!AG$2:AG$401,$AH397)="","",INDEX('Per Invoice'!AG$2:AG$401,$AH397)))</f>
        <v/>
      </c>
      <c r="AH397" s="16">
        <f>IFERROR(MATCH(Settings!$C$26&amp;"|"&amp;ROWS($AH$2:$AH397),'Per Invoice'!$AI$2:$AI$401,0),"")</f>
        <v/>
      </c>
    </row>
    <row r="398">
      <c r="A398">
        <f>IF($AH398="","",IF(INDEX('Per Invoice'!A$2:A$401,$AH398)="","",INDEX('Per Invoice'!A$2:A$401,$AH398)))</f>
        <v/>
      </c>
      <c r="B398">
        <f>IF($AH398="","",IF(INDEX('Per Invoice'!B$2:B$401,$AH398)="","",INDEX('Per Invoice'!B$2:B$401,$AH398)))</f>
        <v/>
      </c>
      <c r="C398">
        <f>IF($AH398="","",IF(INDEX('Per Invoice'!C$2:C$401,$AH398)="","",INDEX('Per Invoice'!C$2:C$401,$AH398)))</f>
        <v/>
      </c>
      <c r="D398">
        <f>IF($AH398="","",IF(INDEX('Per Invoice'!D$2:D$401,$AH398)="","",INDEX('Per Invoice'!D$2:D$401,$AH398)))</f>
        <v/>
      </c>
      <c r="E398">
        <f>IF($AH398="","",IF(INDEX('Per Invoice'!E$2:E$401,$AH398)="","",INDEX('Per Invoice'!E$2:E$401,$AH398)))</f>
        <v/>
      </c>
      <c r="F398">
        <f>IF($AH398="","",IF(INDEX('Per Invoice'!F$2:F$401,$AH398)="","",INDEX('Per Invoice'!F$2:F$401,$AH398)))</f>
        <v/>
      </c>
      <c r="G398">
        <f>IF($AH398="","",IF(INDEX('Per Invoice'!G$2:G$401,$AH398)="","",INDEX('Per Invoice'!G$2:G$401,$AH398)))</f>
        <v/>
      </c>
      <c r="H398">
        <f>IF($AH398="","",IF(INDEX('Per Invoice'!H$2:H$401,$AH398)="","",INDEX('Per Invoice'!H$2:H$401,$AH398)))</f>
        <v/>
      </c>
      <c r="I398" s="14">
        <f>IF($AH398="","",IF(INDEX('Per Invoice'!I$2:I$401,$AH398)="","",INDEX('Per Invoice'!I$2:I$401,$AH398)))</f>
        <v/>
      </c>
      <c r="J398">
        <f>IF($AH398="","",IF(INDEX('Per Invoice'!J$2:J$401,$AH398)="","",INDEX('Per Invoice'!J$2:J$401,$AH398)))</f>
        <v/>
      </c>
      <c r="K398">
        <f>IF($AH398="","",IF(INDEX('Per Invoice'!K$2:K$401,$AH398)="","",INDEX('Per Invoice'!K$2:K$401,$AH398)))</f>
        <v/>
      </c>
      <c r="L398">
        <f>IF($AH398="","",IF(INDEX('Per Invoice'!L$2:L$401,$AH398)="","",INDEX('Per Invoice'!L$2:L$401,$AH398)))</f>
        <v/>
      </c>
      <c r="M398">
        <f>IF($AH398="","",IF(INDEX('Per Invoice'!M$2:M$401,$AH398)="","",INDEX('Per Invoice'!M$2:M$401,$AH398)))</f>
        <v/>
      </c>
      <c r="N398">
        <f>IF($AH398="","",IF(INDEX('Per Invoice'!N$2:N$401,$AH398)="","",INDEX('Per Invoice'!N$2:N$401,$AH398)))</f>
        <v/>
      </c>
      <c r="O398">
        <f>IF($AH398="","",IF(INDEX('Per Invoice'!O$2:O$401,$AH398)="","",INDEX('Per Invoice'!O$2:O$401,$AH398)))</f>
        <v/>
      </c>
      <c r="P398" s="7">
        <f>IF($AH398="","",IF(INDEX('Per Invoice'!P$2:P$401,$AH398)="","",INDEX('Per Invoice'!P$2:P$401,$AH398)))</f>
        <v/>
      </c>
      <c r="Q398">
        <f>IF($AH398="","",IF(INDEX('Per Invoice'!Q$2:Q$401,$AH398)="","",INDEX('Per Invoice'!Q$2:Q$401,$AH398)))</f>
        <v/>
      </c>
      <c r="R398">
        <f>IF($AH398="","",IF(INDEX('Per Invoice'!R$2:R$401,$AH398)="","",INDEX('Per Invoice'!R$2:R$401,$AH398)))</f>
        <v/>
      </c>
      <c r="S398">
        <f>IF($AH398="","",IF(INDEX('Per Invoice'!S$2:S$401,$AH398)="","",INDEX('Per Invoice'!S$2:S$401,$AH398)))</f>
        <v/>
      </c>
      <c r="T398" s="7">
        <f>IF($AH398="","",IF(INDEX('Per Invoice'!T$2:T$401,$AH398)="","",INDEX('Per Invoice'!T$2:T$401,$AH398)))</f>
        <v/>
      </c>
      <c r="U398" s="7">
        <f>IF($AH398="","",IF(INDEX('Per Invoice'!U$2:U$401,$AH398)="","",INDEX('Per Invoice'!U$2:U$401,$AH398)))</f>
        <v/>
      </c>
      <c r="V398">
        <f>IF($AH398="","",IF(INDEX('Per Invoice'!V$2:V$401,$AH398)="","",INDEX('Per Invoice'!V$2:V$401,$AH398)))</f>
        <v/>
      </c>
      <c r="W398" s="7">
        <f>IF($AH398="","",IF(INDEX('Per Invoice'!W$2:W$401,$AH398)="","",INDEX('Per Invoice'!W$2:W$401,$AH398)))</f>
        <v/>
      </c>
      <c r="X398" s="7">
        <f>IF($AH398="","",IF(INDEX('Per Invoice'!X$2:X$401,$AH398)="","",INDEX('Per Invoice'!X$2:X$401,$AH398)))</f>
        <v/>
      </c>
      <c r="Y398">
        <f>IF($AH398="","",IF(INDEX('Per Invoice'!Y$2:Y$401,$AH398)="","",INDEX('Per Invoice'!Y$2:Y$401,$AH398)))</f>
        <v/>
      </c>
      <c r="Z398" s="7">
        <f>IF($AH398="","",IF(INDEX('Per Invoice'!Z$2:Z$401,$AH398)="","",INDEX('Per Invoice'!Z$2:Z$401,$AH398)))</f>
        <v/>
      </c>
      <c r="AA398" s="7">
        <f>IF($AH398="","",IF(INDEX('Per Invoice'!AA$2:AA$401,$AH398)="","",INDEX('Per Invoice'!AA$2:AA$401,$AH398)))</f>
        <v/>
      </c>
      <c r="AB398" s="7">
        <f>IF($AH398="","",IF(INDEX('Per Invoice'!AB$2:AB$401,$AH398)="","",INDEX('Per Invoice'!AB$2:AB$401,$AH398)))</f>
        <v/>
      </c>
      <c r="AC398" s="7">
        <f>IF($AH398="","",IF(INDEX('Per Invoice'!AC$2:AC$401,$AH398)="","",INDEX('Per Invoice'!AC$2:AC$401,$AH398)))</f>
        <v/>
      </c>
      <c r="AD398" s="7">
        <f>IF($AH398="","",IF(INDEX('Per Invoice'!AD$2:AD$401,$AH398)="","",INDEX('Per Invoice'!AD$2:AD$401,$AH398)))</f>
        <v/>
      </c>
      <c r="AE398" s="7">
        <f>IF($AH398="","",IF(INDEX('Per Invoice'!AE$2:AE$401,$AH398)="","",INDEX('Per Invoice'!AE$2:AE$401,$AH398)))</f>
        <v/>
      </c>
      <c r="AF398">
        <f>IF($AH398="","",IF(INDEX('Per Invoice'!AF$2:AF$401,$AH398)="","",INDEX('Per Invoice'!AF$2:AF$401,$AH398)))</f>
        <v/>
      </c>
      <c r="AG398" s="7">
        <f>IF($AH398="","",IF(INDEX('Per Invoice'!AG$2:AG$401,$AH398)="","",INDEX('Per Invoice'!AG$2:AG$401,$AH398)))</f>
        <v/>
      </c>
      <c r="AH398" s="16">
        <f>IFERROR(MATCH(Settings!$C$26&amp;"|"&amp;ROWS($AH$2:$AH398),'Per Invoice'!$AI$2:$AI$401,0),"")</f>
        <v/>
      </c>
    </row>
    <row r="399">
      <c r="A399">
        <f>IF($AH399="","",IF(INDEX('Per Invoice'!A$2:A$401,$AH399)="","",INDEX('Per Invoice'!A$2:A$401,$AH399)))</f>
        <v/>
      </c>
      <c r="B399">
        <f>IF($AH399="","",IF(INDEX('Per Invoice'!B$2:B$401,$AH399)="","",INDEX('Per Invoice'!B$2:B$401,$AH399)))</f>
        <v/>
      </c>
      <c r="C399">
        <f>IF($AH399="","",IF(INDEX('Per Invoice'!C$2:C$401,$AH399)="","",INDEX('Per Invoice'!C$2:C$401,$AH399)))</f>
        <v/>
      </c>
      <c r="D399">
        <f>IF($AH399="","",IF(INDEX('Per Invoice'!D$2:D$401,$AH399)="","",INDEX('Per Invoice'!D$2:D$401,$AH399)))</f>
        <v/>
      </c>
      <c r="E399">
        <f>IF($AH399="","",IF(INDEX('Per Invoice'!E$2:E$401,$AH399)="","",INDEX('Per Invoice'!E$2:E$401,$AH399)))</f>
        <v/>
      </c>
      <c r="F399">
        <f>IF($AH399="","",IF(INDEX('Per Invoice'!F$2:F$401,$AH399)="","",INDEX('Per Invoice'!F$2:F$401,$AH399)))</f>
        <v/>
      </c>
      <c r="G399">
        <f>IF($AH399="","",IF(INDEX('Per Invoice'!G$2:G$401,$AH399)="","",INDEX('Per Invoice'!G$2:G$401,$AH399)))</f>
        <v/>
      </c>
      <c r="H399">
        <f>IF($AH399="","",IF(INDEX('Per Invoice'!H$2:H$401,$AH399)="","",INDEX('Per Invoice'!H$2:H$401,$AH399)))</f>
        <v/>
      </c>
      <c r="I399" s="14">
        <f>IF($AH399="","",IF(INDEX('Per Invoice'!I$2:I$401,$AH399)="","",INDEX('Per Invoice'!I$2:I$401,$AH399)))</f>
        <v/>
      </c>
      <c r="J399">
        <f>IF($AH399="","",IF(INDEX('Per Invoice'!J$2:J$401,$AH399)="","",INDEX('Per Invoice'!J$2:J$401,$AH399)))</f>
        <v/>
      </c>
      <c r="K399">
        <f>IF($AH399="","",IF(INDEX('Per Invoice'!K$2:K$401,$AH399)="","",INDEX('Per Invoice'!K$2:K$401,$AH399)))</f>
        <v/>
      </c>
      <c r="L399">
        <f>IF($AH399="","",IF(INDEX('Per Invoice'!L$2:L$401,$AH399)="","",INDEX('Per Invoice'!L$2:L$401,$AH399)))</f>
        <v/>
      </c>
      <c r="M399">
        <f>IF($AH399="","",IF(INDEX('Per Invoice'!M$2:M$401,$AH399)="","",INDEX('Per Invoice'!M$2:M$401,$AH399)))</f>
        <v/>
      </c>
      <c r="N399">
        <f>IF($AH399="","",IF(INDEX('Per Invoice'!N$2:N$401,$AH399)="","",INDEX('Per Invoice'!N$2:N$401,$AH399)))</f>
        <v/>
      </c>
      <c r="O399">
        <f>IF($AH399="","",IF(INDEX('Per Invoice'!O$2:O$401,$AH399)="","",INDEX('Per Invoice'!O$2:O$401,$AH399)))</f>
        <v/>
      </c>
      <c r="P399" s="7">
        <f>IF($AH399="","",IF(INDEX('Per Invoice'!P$2:P$401,$AH399)="","",INDEX('Per Invoice'!P$2:P$401,$AH399)))</f>
        <v/>
      </c>
      <c r="Q399">
        <f>IF($AH399="","",IF(INDEX('Per Invoice'!Q$2:Q$401,$AH399)="","",INDEX('Per Invoice'!Q$2:Q$401,$AH399)))</f>
        <v/>
      </c>
      <c r="R399">
        <f>IF($AH399="","",IF(INDEX('Per Invoice'!R$2:R$401,$AH399)="","",INDEX('Per Invoice'!R$2:R$401,$AH399)))</f>
        <v/>
      </c>
      <c r="S399">
        <f>IF($AH399="","",IF(INDEX('Per Invoice'!S$2:S$401,$AH399)="","",INDEX('Per Invoice'!S$2:S$401,$AH399)))</f>
        <v/>
      </c>
      <c r="T399" s="7">
        <f>IF($AH399="","",IF(INDEX('Per Invoice'!T$2:T$401,$AH399)="","",INDEX('Per Invoice'!T$2:T$401,$AH399)))</f>
        <v/>
      </c>
      <c r="U399" s="7">
        <f>IF($AH399="","",IF(INDEX('Per Invoice'!U$2:U$401,$AH399)="","",INDEX('Per Invoice'!U$2:U$401,$AH399)))</f>
        <v/>
      </c>
      <c r="V399">
        <f>IF($AH399="","",IF(INDEX('Per Invoice'!V$2:V$401,$AH399)="","",INDEX('Per Invoice'!V$2:V$401,$AH399)))</f>
        <v/>
      </c>
      <c r="W399" s="7">
        <f>IF($AH399="","",IF(INDEX('Per Invoice'!W$2:W$401,$AH399)="","",INDEX('Per Invoice'!W$2:W$401,$AH399)))</f>
        <v/>
      </c>
      <c r="X399" s="7">
        <f>IF($AH399="","",IF(INDEX('Per Invoice'!X$2:X$401,$AH399)="","",INDEX('Per Invoice'!X$2:X$401,$AH399)))</f>
        <v/>
      </c>
      <c r="Y399">
        <f>IF($AH399="","",IF(INDEX('Per Invoice'!Y$2:Y$401,$AH399)="","",INDEX('Per Invoice'!Y$2:Y$401,$AH399)))</f>
        <v/>
      </c>
      <c r="Z399" s="7">
        <f>IF($AH399="","",IF(INDEX('Per Invoice'!Z$2:Z$401,$AH399)="","",INDEX('Per Invoice'!Z$2:Z$401,$AH399)))</f>
        <v/>
      </c>
      <c r="AA399" s="7">
        <f>IF($AH399="","",IF(INDEX('Per Invoice'!AA$2:AA$401,$AH399)="","",INDEX('Per Invoice'!AA$2:AA$401,$AH399)))</f>
        <v/>
      </c>
      <c r="AB399" s="7">
        <f>IF($AH399="","",IF(INDEX('Per Invoice'!AB$2:AB$401,$AH399)="","",INDEX('Per Invoice'!AB$2:AB$401,$AH399)))</f>
        <v/>
      </c>
      <c r="AC399" s="7">
        <f>IF($AH399="","",IF(INDEX('Per Invoice'!AC$2:AC$401,$AH399)="","",INDEX('Per Invoice'!AC$2:AC$401,$AH399)))</f>
        <v/>
      </c>
      <c r="AD399" s="7">
        <f>IF($AH399="","",IF(INDEX('Per Invoice'!AD$2:AD$401,$AH399)="","",INDEX('Per Invoice'!AD$2:AD$401,$AH399)))</f>
        <v/>
      </c>
      <c r="AE399" s="7">
        <f>IF($AH399="","",IF(INDEX('Per Invoice'!AE$2:AE$401,$AH399)="","",INDEX('Per Invoice'!AE$2:AE$401,$AH399)))</f>
        <v/>
      </c>
      <c r="AF399">
        <f>IF($AH399="","",IF(INDEX('Per Invoice'!AF$2:AF$401,$AH399)="","",INDEX('Per Invoice'!AF$2:AF$401,$AH399)))</f>
        <v/>
      </c>
      <c r="AG399" s="7">
        <f>IF($AH399="","",IF(INDEX('Per Invoice'!AG$2:AG$401,$AH399)="","",INDEX('Per Invoice'!AG$2:AG$401,$AH399)))</f>
        <v/>
      </c>
      <c r="AH399" s="16">
        <f>IFERROR(MATCH(Settings!$C$26&amp;"|"&amp;ROWS($AH$2:$AH399),'Per Invoice'!$AI$2:$AI$401,0),"")</f>
        <v/>
      </c>
    </row>
    <row r="400">
      <c r="A400">
        <f>IF($AH400="","",IF(INDEX('Per Invoice'!A$2:A$401,$AH400)="","",INDEX('Per Invoice'!A$2:A$401,$AH400)))</f>
        <v/>
      </c>
      <c r="B400">
        <f>IF($AH400="","",IF(INDEX('Per Invoice'!B$2:B$401,$AH400)="","",INDEX('Per Invoice'!B$2:B$401,$AH400)))</f>
        <v/>
      </c>
      <c r="C400">
        <f>IF($AH400="","",IF(INDEX('Per Invoice'!C$2:C$401,$AH400)="","",INDEX('Per Invoice'!C$2:C$401,$AH400)))</f>
        <v/>
      </c>
      <c r="D400">
        <f>IF($AH400="","",IF(INDEX('Per Invoice'!D$2:D$401,$AH400)="","",INDEX('Per Invoice'!D$2:D$401,$AH400)))</f>
        <v/>
      </c>
      <c r="E400">
        <f>IF($AH400="","",IF(INDEX('Per Invoice'!E$2:E$401,$AH400)="","",INDEX('Per Invoice'!E$2:E$401,$AH400)))</f>
        <v/>
      </c>
      <c r="F400">
        <f>IF($AH400="","",IF(INDEX('Per Invoice'!F$2:F$401,$AH400)="","",INDEX('Per Invoice'!F$2:F$401,$AH400)))</f>
        <v/>
      </c>
      <c r="G400">
        <f>IF($AH400="","",IF(INDEX('Per Invoice'!G$2:G$401,$AH400)="","",INDEX('Per Invoice'!G$2:G$401,$AH400)))</f>
        <v/>
      </c>
      <c r="H400">
        <f>IF($AH400="","",IF(INDEX('Per Invoice'!H$2:H$401,$AH400)="","",INDEX('Per Invoice'!H$2:H$401,$AH400)))</f>
        <v/>
      </c>
      <c r="I400" s="14">
        <f>IF($AH400="","",IF(INDEX('Per Invoice'!I$2:I$401,$AH400)="","",INDEX('Per Invoice'!I$2:I$401,$AH400)))</f>
        <v/>
      </c>
      <c r="J400">
        <f>IF($AH400="","",IF(INDEX('Per Invoice'!J$2:J$401,$AH400)="","",INDEX('Per Invoice'!J$2:J$401,$AH400)))</f>
        <v/>
      </c>
      <c r="K400">
        <f>IF($AH400="","",IF(INDEX('Per Invoice'!K$2:K$401,$AH400)="","",INDEX('Per Invoice'!K$2:K$401,$AH400)))</f>
        <v/>
      </c>
      <c r="L400">
        <f>IF($AH400="","",IF(INDEX('Per Invoice'!L$2:L$401,$AH400)="","",INDEX('Per Invoice'!L$2:L$401,$AH400)))</f>
        <v/>
      </c>
      <c r="M400">
        <f>IF($AH400="","",IF(INDEX('Per Invoice'!M$2:M$401,$AH400)="","",INDEX('Per Invoice'!M$2:M$401,$AH400)))</f>
        <v/>
      </c>
      <c r="N400">
        <f>IF($AH400="","",IF(INDEX('Per Invoice'!N$2:N$401,$AH400)="","",INDEX('Per Invoice'!N$2:N$401,$AH400)))</f>
        <v/>
      </c>
      <c r="O400">
        <f>IF($AH400="","",IF(INDEX('Per Invoice'!O$2:O$401,$AH400)="","",INDEX('Per Invoice'!O$2:O$401,$AH400)))</f>
        <v/>
      </c>
      <c r="P400" s="7">
        <f>IF($AH400="","",IF(INDEX('Per Invoice'!P$2:P$401,$AH400)="","",INDEX('Per Invoice'!P$2:P$401,$AH400)))</f>
        <v/>
      </c>
      <c r="Q400">
        <f>IF($AH400="","",IF(INDEX('Per Invoice'!Q$2:Q$401,$AH400)="","",INDEX('Per Invoice'!Q$2:Q$401,$AH400)))</f>
        <v/>
      </c>
      <c r="R400">
        <f>IF($AH400="","",IF(INDEX('Per Invoice'!R$2:R$401,$AH400)="","",INDEX('Per Invoice'!R$2:R$401,$AH400)))</f>
        <v/>
      </c>
      <c r="S400">
        <f>IF($AH400="","",IF(INDEX('Per Invoice'!S$2:S$401,$AH400)="","",INDEX('Per Invoice'!S$2:S$401,$AH400)))</f>
        <v/>
      </c>
      <c r="T400" s="7">
        <f>IF($AH400="","",IF(INDEX('Per Invoice'!T$2:T$401,$AH400)="","",INDEX('Per Invoice'!T$2:T$401,$AH400)))</f>
        <v/>
      </c>
      <c r="U400" s="7">
        <f>IF($AH400="","",IF(INDEX('Per Invoice'!U$2:U$401,$AH400)="","",INDEX('Per Invoice'!U$2:U$401,$AH400)))</f>
        <v/>
      </c>
      <c r="V400">
        <f>IF($AH400="","",IF(INDEX('Per Invoice'!V$2:V$401,$AH400)="","",INDEX('Per Invoice'!V$2:V$401,$AH400)))</f>
        <v/>
      </c>
      <c r="W400" s="7">
        <f>IF($AH400="","",IF(INDEX('Per Invoice'!W$2:W$401,$AH400)="","",INDEX('Per Invoice'!W$2:W$401,$AH400)))</f>
        <v/>
      </c>
      <c r="X400" s="7">
        <f>IF($AH400="","",IF(INDEX('Per Invoice'!X$2:X$401,$AH400)="","",INDEX('Per Invoice'!X$2:X$401,$AH400)))</f>
        <v/>
      </c>
      <c r="Y400">
        <f>IF($AH400="","",IF(INDEX('Per Invoice'!Y$2:Y$401,$AH400)="","",INDEX('Per Invoice'!Y$2:Y$401,$AH400)))</f>
        <v/>
      </c>
      <c r="Z400" s="7">
        <f>IF($AH400="","",IF(INDEX('Per Invoice'!Z$2:Z$401,$AH400)="","",INDEX('Per Invoice'!Z$2:Z$401,$AH400)))</f>
        <v/>
      </c>
      <c r="AA400" s="7">
        <f>IF($AH400="","",IF(INDEX('Per Invoice'!AA$2:AA$401,$AH400)="","",INDEX('Per Invoice'!AA$2:AA$401,$AH400)))</f>
        <v/>
      </c>
      <c r="AB400" s="7">
        <f>IF($AH400="","",IF(INDEX('Per Invoice'!AB$2:AB$401,$AH400)="","",INDEX('Per Invoice'!AB$2:AB$401,$AH400)))</f>
        <v/>
      </c>
      <c r="AC400" s="7">
        <f>IF($AH400="","",IF(INDEX('Per Invoice'!AC$2:AC$401,$AH400)="","",INDEX('Per Invoice'!AC$2:AC$401,$AH400)))</f>
        <v/>
      </c>
      <c r="AD400" s="7">
        <f>IF($AH400="","",IF(INDEX('Per Invoice'!AD$2:AD$401,$AH400)="","",INDEX('Per Invoice'!AD$2:AD$401,$AH400)))</f>
        <v/>
      </c>
      <c r="AE400" s="7">
        <f>IF($AH400="","",IF(INDEX('Per Invoice'!AE$2:AE$401,$AH400)="","",INDEX('Per Invoice'!AE$2:AE$401,$AH400)))</f>
        <v/>
      </c>
      <c r="AF400">
        <f>IF($AH400="","",IF(INDEX('Per Invoice'!AF$2:AF$401,$AH400)="","",INDEX('Per Invoice'!AF$2:AF$401,$AH400)))</f>
        <v/>
      </c>
      <c r="AG400" s="7">
        <f>IF($AH400="","",IF(INDEX('Per Invoice'!AG$2:AG$401,$AH400)="","",INDEX('Per Invoice'!AG$2:AG$401,$AH400)))</f>
        <v/>
      </c>
      <c r="AH400" s="16">
        <f>IFERROR(MATCH(Settings!$C$26&amp;"|"&amp;ROWS($AH$2:$AH400),'Per Invoice'!$AI$2:$AI$401,0),"")</f>
        <v/>
      </c>
    </row>
    <row r="401">
      <c r="A401">
        <f>IF($AH401="","",IF(INDEX('Per Invoice'!A$2:A$401,$AH401)="","",INDEX('Per Invoice'!A$2:A$401,$AH401)))</f>
        <v/>
      </c>
      <c r="B401">
        <f>IF($AH401="","",IF(INDEX('Per Invoice'!B$2:B$401,$AH401)="","",INDEX('Per Invoice'!B$2:B$401,$AH401)))</f>
        <v/>
      </c>
      <c r="C401">
        <f>IF($AH401="","",IF(INDEX('Per Invoice'!C$2:C$401,$AH401)="","",INDEX('Per Invoice'!C$2:C$401,$AH401)))</f>
        <v/>
      </c>
      <c r="D401">
        <f>IF($AH401="","",IF(INDEX('Per Invoice'!D$2:D$401,$AH401)="","",INDEX('Per Invoice'!D$2:D$401,$AH401)))</f>
        <v/>
      </c>
      <c r="E401">
        <f>IF($AH401="","",IF(INDEX('Per Invoice'!E$2:E$401,$AH401)="","",INDEX('Per Invoice'!E$2:E$401,$AH401)))</f>
        <v/>
      </c>
      <c r="F401">
        <f>IF($AH401="","",IF(INDEX('Per Invoice'!F$2:F$401,$AH401)="","",INDEX('Per Invoice'!F$2:F$401,$AH401)))</f>
        <v/>
      </c>
      <c r="G401">
        <f>IF($AH401="","",IF(INDEX('Per Invoice'!G$2:G$401,$AH401)="","",INDEX('Per Invoice'!G$2:G$401,$AH401)))</f>
        <v/>
      </c>
      <c r="H401">
        <f>IF($AH401="","",IF(INDEX('Per Invoice'!H$2:H$401,$AH401)="","",INDEX('Per Invoice'!H$2:H$401,$AH401)))</f>
        <v/>
      </c>
      <c r="I401" s="14">
        <f>IF($AH401="","",IF(INDEX('Per Invoice'!I$2:I$401,$AH401)="","",INDEX('Per Invoice'!I$2:I$401,$AH401)))</f>
        <v/>
      </c>
      <c r="J401">
        <f>IF($AH401="","",IF(INDEX('Per Invoice'!J$2:J$401,$AH401)="","",INDEX('Per Invoice'!J$2:J$401,$AH401)))</f>
        <v/>
      </c>
      <c r="K401">
        <f>IF($AH401="","",IF(INDEX('Per Invoice'!K$2:K$401,$AH401)="","",INDEX('Per Invoice'!K$2:K$401,$AH401)))</f>
        <v/>
      </c>
      <c r="L401">
        <f>IF($AH401="","",IF(INDEX('Per Invoice'!L$2:L$401,$AH401)="","",INDEX('Per Invoice'!L$2:L$401,$AH401)))</f>
        <v/>
      </c>
      <c r="M401">
        <f>IF($AH401="","",IF(INDEX('Per Invoice'!M$2:M$401,$AH401)="","",INDEX('Per Invoice'!M$2:M$401,$AH401)))</f>
        <v/>
      </c>
      <c r="N401">
        <f>IF($AH401="","",IF(INDEX('Per Invoice'!N$2:N$401,$AH401)="","",INDEX('Per Invoice'!N$2:N$401,$AH401)))</f>
        <v/>
      </c>
      <c r="O401">
        <f>IF($AH401="","",IF(INDEX('Per Invoice'!O$2:O$401,$AH401)="","",INDEX('Per Invoice'!O$2:O$401,$AH401)))</f>
        <v/>
      </c>
      <c r="P401" s="7">
        <f>IF($AH401="","",IF(INDEX('Per Invoice'!P$2:P$401,$AH401)="","",INDEX('Per Invoice'!P$2:P$401,$AH401)))</f>
        <v/>
      </c>
      <c r="Q401">
        <f>IF($AH401="","",IF(INDEX('Per Invoice'!Q$2:Q$401,$AH401)="","",INDEX('Per Invoice'!Q$2:Q$401,$AH401)))</f>
        <v/>
      </c>
      <c r="R401">
        <f>IF($AH401="","",IF(INDEX('Per Invoice'!R$2:R$401,$AH401)="","",INDEX('Per Invoice'!R$2:R$401,$AH401)))</f>
        <v/>
      </c>
      <c r="S401">
        <f>IF($AH401="","",IF(INDEX('Per Invoice'!S$2:S$401,$AH401)="","",INDEX('Per Invoice'!S$2:S$401,$AH401)))</f>
        <v/>
      </c>
      <c r="T401" s="7">
        <f>IF($AH401="","",IF(INDEX('Per Invoice'!T$2:T$401,$AH401)="","",INDEX('Per Invoice'!T$2:T$401,$AH401)))</f>
        <v/>
      </c>
      <c r="U401" s="7">
        <f>IF($AH401="","",IF(INDEX('Per Invoice'!U$2:U$401,$AH401)="","",INDEX('Per Invoice'!U$2:U$401,$AH401)))</f>
        <v/>
      </c>
      <c r="V401">
        <f>IF($AH401="","",IF(INDEX('Per Invoice'!V$2:V$401,$AH401)="","",INDEX('Per Invoice'!V$2:V$401,$AH401)))</f>
        <v/>
      </c>
      <c r="W401" s="7">
        <f>IF($AH401="","",IF(INDEX('Per Invoice'!W$2:W$401,$AH401)="","",INDEX('Per Invoice'!W$2:W$401,$AH401)))</f>
        <v/>
      </c>
      <c r="X401" s="7">
        <f>IF($AH401="","",IF(INDEX('Per Invoice'!X$2:X$401,$AH401)="","",INDEX('Per Invoice'!X$2:X$401,$AH401)))</f>
        <v/>
      </c>
      <c r="Y401">
        <f>IF($AH401="","",IF(INDEX('Per Invoice'!Y$2:Y$401,$AH401)="","",INDEX('Per Invoice'!Y$2:Y$401,$AH401)))</f>
        <v/>
      </c>
      <c r="Z401" s="7">
        <f>IF($AH401="","",IF(INDEX('Per Invoice'!Z$2:Z$401,$AH401)="","",INDEX('Per Invoice'!Z$2:Z$401,$AH401)))</f>
        <v/>
      </c>
      <c r="AA401" s="7">
        <f>IF($AH401="","",IF(INDEX('Per Invoice'!AA$2:AA$401,$AH401)="","",INDEX('Per Invoice'!AA$2:AA$401,$AH401)))</f>
        <v/>
      </c>
      <c r="AB401" s="7">
        <f>IF($AH401="","",IF(INDEX('Per Invoice'!AB$2:AB$401,$AH401)="","",INDEX('Per Invoice'!AB$2:AB$401,$AH401)))</f>
        <v/>
      </c>
      <c r="AC401" s="7">
        <f>IF($AH401="","",IF(INDEX('Per Invoice'!AC$2:AC$401,$AH401)="","",INDEX('Per Invoice'!AC$2:AC$401,$AH401)))</f>
        <v/>
      </c>
      <c r="AD401" s="7">
        <f>IF($AH401="","",IF(INDEX('Per Invoice'!AD$2:AD$401,$AH401)="","",INDEX('Per Invoice'!AD$2:AD$401,$AH401)))</f>
        <v/>
      </c>
      <c r="AE401" s="7">
        <f>IF($AH401="","",IF(INDEX('Per Invoice'!AE$2:AE$401,$AH401)="","",INDEX('Per Invoice'!AE$2:AE$401,$AH401)))</f>
        <v/>
      </c>
      <c r="AF401">
        <f>IF($AH401="","",IF(INDEX('Per Invoice'!AF$2:AF$401,$AH401)="","",INDEX('Per Invoice'!AF$2:AF$401,$AH401)))</f>
        <v/>
      </c>
      <c r="AG401" s="7">
        <f>IF($AH401="","",IF(INDEX('Per Invoice'!AG$2:AG$401,$AH401)="","",INDEX('Per Invoice'!AG$2:AG$401,$AH401)))</f>
        <v/>
      </c>
      <c r="AH401" s="16">
        <f>IFERROR(MATCH(Settings!$C$26&amp;"|"&amp;ROWS($AH$2:$AH401),'Per Invoice'!$AI$2:$AI$401,0),"")</f>
        <v/>
      </c>
    </row>
  </sheetData>
  <autoFilter ref="A1:AH4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4" customWidth="1" min="8" max="8"/>
    <col width="17" customWidth="1" min="9" max="9"/>
    <col width="18" customWidth="1" min="10" max="10"/>
    <col width="24" customWidth="1" min="11" max="11"/>
    <col width="12" customWidth="1" min="12" max="12"/>
    <col width="26" customWidth="1" min="13" max="13"/>
    <col width="14" customWidth="1" min="14" max="14"/>
    <col width="12" customWidth="1" min="15" max="15"/>
    <col width="12" customWidth="1" min="16" max="16"/>
    <col width="12" customWidth="1" min="17" max="17"/>
    <col width="36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3" customWidth="1" min="34" max="34"/>
  </cols>
  <sheetData>
    <row r="1" ht="32" customHeight="1">
      <c r="A1" s="10" t="inlineStr">
        <is>
          <t>Invoice</t>
        </is>
      </c>
      <c r="B1" s="10" t="inlineStr">
        <is>
          <t>Order #</t>
        </is>
      </c>
      <c r="C1" s="10" t="inlineStr">
        <is>
          <t>Match Tab</t>
        </is>
      </c>
      <c r="D1" s="10" t="inlineStr">
        <is>
          <t>Cycle</t>
        </is>
      </c>
      <c r="E1" s="10" t="inlineStr">
        <is>
          <t>Ticket #</t>
        </is>
      </c>
      <c r="F1" s="10" t="inlineStr">
        <is>
          <t>Stage</t>
        </is>
      </c>
      <c r="G1" s="10" t="inlineStr">
        <is>
          <t>Approval Ref</t>
        </is>
      </c>
      <c r="H1" s="10" t="inlineStr">
        <is>
          <t>Channel</t>
        </is>
      </c>
      <c r="I1" s="10" t="inlineStr">
        <is>
          <t>Create At</t>
        </is>
      </c>
      <c r="J1" s="10" t="inlineStr">
        <is>
          <t>Insurance Company</t>
        </is>
      </c>
      <c r="K1" s="10" t="inlineStr">
        <is>
          <t>Corporate</t>
        </is>
      </c>
      <c r="L1" s="10" t="inlineStr">
        <is>
          <t>Card</t>
        </is>
      </c>
      <c r="M1" s="10" t="inlineStr">
        <is>
          <t>Name</t>
        </is>
      </c>
      <c r="N1" s="10" t="inlineStr">
        <is>
          <t>Status</t>
        </is>
      </c>
      <c r="O1" s="10" t="inlineStr">
        <is>
          <t>Order Co Payment</t>
        </is>
      </c>
      <c r="P1" s="10" t="inlineStr">
        <is>
          <t>Co val</t>
        </is>
      </c>
      <c r="Q1" s="10" t="inlineStr">
        <is>
          <t>By Patient</t>
        </is>
      </c>
      <c r="R1" s="10" t="inlineStr">
        <is>
          <t>ERX ID</t>
        </is>
      </c>
      <c r="S1" s="10" t="inlineStr">
        <is>
          <t>SPECIAL REBATES %</t>
        </is>
      </c>
      <c r="T1" s="10" t="inlineStr">
        <is>
          <t>SPECIAL REBATES</t>
        </is>
      </c>
      <c r="U1" s="10" t="inlineStr">
        <is>
          <t>SPECIAL REBATES VAL</t>
        </is>
      </c>
      <c r="V1" s="10" t="inlineStr">
        <is>
          <t>IMP %</t>
        </is>
      </c>
      <c r="W1" s="10" t="inlineStr">
        <is>
          <t>IMP</t>
        </is>
      </c>
      <c r="X1" s="10" t="inlineStr">
        <is>
          <t>IMP VAL</t>
        </is>
      </c>
      <c r="Y1" s="10" t="inlineStr">
        <is>
          <t>LOCAL %</t>
        </is>
      </c>
      <c r="Z1" s="10" t="inlineStr">
        <is>
          <t>LOCAL</t>
        </is>
      </c>
      <c r="AA1" s="10" t="inlineStr">
        <is>
          <t>LOCAL VAL</t>
        </is>
      </c>
      <c r="AB1" s="10" t="inlineStr">
        <is>
          <t>TOTAL VAL</t>
        </is>
      </c>
      <c r="AC1" s="10" t="inlineStr">
        <is>
          <t>SUBTOTAL</t>
        </is>
      </c>
      <c r="AD1" s="10" t="inlineStr">
        <is>
          <t>Grand Total</t>
        </is>
      </c>
      <c r="AE1" s="10" t="inlineStr">
        <is>
          <t>NET</t>
        </is>
      </c>
      <c r="AF1" s="10" t="inlineStr">
        <is>
          <t>N MR</t>
        </is>
      </c>
      <c r="AG1" s="10" t="inlineStr">
        <is>
          <t>D</t>
        </is>
      </c>
      <c r="AH1" s="13" t="inlineStr">
        <is>
          <t>Src Row (helper)</t>
        </is>
      </c>
    </row>
    <row r="2">
      <c r="A2">
        <f>IF($AH2="","",IF(INDEX('Per Invoice'!A$2:A$401,$AH2)="","",INDEX('Per Invoice'!A$2:A$401,$AH2)))</f>
        <v/>
      </c>
      <c r="B2">
        <f>IF($AH2="","",IF(INDEX('Per Invoice'!B$2:B$401,$AH2)="","",INDEX('Per Invoice'!B$2:B$401,$AH2)))</f>
        <v/>
      </c>
      <c r="C2">
        <f>IF($AH2="","",IF(INDEX('Per Invoice'!C$2:C$401,$AH2)="","",INDEX('Per Invoice'!C$2:C$401,$AH2)))</f>
        <v/>
      </c>
      <c r="D2">
        <f>IF($AH2="","",IF(INDEX('Per Invoice'!D$2:D$401,$AH2)="","",INDEX('Per Invoice'!D$2:D$401,$AH2)))</f>
        <v/>
      </c>
      <c r="E2">
        <f>IF($AH2="","",IF(INDEX('Per Invoice'!E$2:E$401,$AH2)="","",INDEX('Per Invoice'!E$2:E$401,$AH2)))</f>
        <v/>
      </c>
      <c r="F2">
        <f>IF($AH2="","",IF(INDEX('Per Invoice'!F$2:F$401,$AH2)="","",INDEX('Per Invoice'!F$2:F$401,$AH2)))</f>
        <v/>
      </c>
      <c r="G2">
        <f>IF($AH2="","",IF(INDEX('Per Invoice'!G$2:G$401,$AH2)="","",INDEX('Per Invoice'!G$2:G$401,$AH2)))</f>
        <v/>
      </c>
      <c r="H2">
        <f>IF($AH2="","",IF(INDEX('Per Invoice'!H$2:H$401,$AH2)="","",INDEX('Per Invoice'!H$2:H$401,$AH2)))</f>
        <v/>
      </c>
      <c r="I2" s="14">
        <f>IF($AH2="","",IF(INDEX('Per Invoice'!I$2:I$401,$AH2)="","",INDEX('Per Invoice'!I$2:I$401,$AH2)))</f>
        <v/>
      </c>
      <c r="J2">
        <f>IF($AH2="","",IF(INDEX('Per Invoice'!J$2:J$401,$AH2)="","",INDEX('Per Invoice'!J$2:J$401,$AH2)))</f>
        <v/>
      </c>
      <c r="K2">
        <f>IF($AH2="","",IF(INDEX('Per Invoice'!K$2:K$401,$AH2)="","",INDEX('Per Invoice'!K$2:K$401,$AH2)))</f>
        <v/>
      </c>
      <c r="L2">
        <f>IF($AH2="","",IF(INDEX('Per Invoice'!L$2:L$401,$AH2)="","",INDEX('Per Invoice'!L$2:L$401,$AH2)))</f>
        <v/>
      </c>
      <c r="M2">
        <f>IF($AH2="","",IF(INDEX('Per Invoice'!M$2:M$401,$AH2)="","",INDEX('Per Invoice'!M$2:M$401,$AH2)))</f>
        <v/>
      </c>
      <c r="N2">
        <f>IF($AH2="","",IF(INDEX('Per Invoice'!N$2:N$401,$AH2)="","",INDEX('Per Invoice'!N$2:N$401,$AH2)))</f>
        <v/>
      </c>
      <c r="O2">
        <f>IF($AH2="","",IF(INDEX('Per Invoice'!O$2:O$401,$AH2)="","",INDEX('Per Invoice'!O$2:O$401,$AH2)))</f>
        <v/>
      </c>
      <c r="P2" s="7">
        <f>IF($AH2="","",IF(INDEX('Per Invoice'!P$2:P$401,$AH2)="","",INDEX('Per Invoice'!P$2:P$401,$AH2)))</f>
        <v/>
      </c>
      <c r="Q2">
        <f>IF($AH2="","",IF(INDEX('Per Invoice'!Q$2:Q$401,$AH2)="","",INDEX('Per Invoice'!Q$2:Q$401,$AH2)))</f>
        <v/>
      </c>
      <c r="R2">
        <f>IF($AH2="","",IF(INDEX('Per Invoice'!R$2:R$401,$AH2)="","",INDEX('Per Invoice'!R$2:R$401,$AH2)))</f>
        <v/>
      </c>
      <c r="S2">
        <f>IF($AH2="","",IF(INDEX('Per Invoice'!S$2:S$401,$AH2)="","",INDEX('Per Invoice'!S$2:S$401,$AH2)))</f>
        <v/>
      </c>
      <c r="T2" s="7">
        <f>IF($AH2="","",IF(INDEX('Per Invoice'!T$2:T$401,$AH2)="","",INDEX('Per Invoice'!T$2:T$401,$AH2)))</f>
        <v/>
      </c>
      <c r="U2" s="7">
        <f>IF($AH2="","",IF(INDEX('Per Invoice'!U$2:U$401,$AH2)="","",INDEX('Per Invoice'!U$2:U$401,$AH2)))</f>
        <v/>
      </c>
      <c r="V2">
        <f>IF($AH2="","",IF(INDEX('Per Invoice'!V$2:V$401,$AH2)="","",INDEX('Per Invoice'!V$2:V$401,$AH2)))</f>
        <v/>
      </c>
      <c r="W2" s="7">
        <f>IF($AH2="","",IF(INDEX('Per Invoice'!W$2:W$401,$AH2)="","",INDEX('Per Invoice'!W$2:W$401,$AH2)))</f>
        <v/>
      </c>
      <c r="X2" s="7">
        <f>IF($AH2="","",IF(INDEX('Per Invoice'!X$2:X$401,$AH2)="","",INDEX('Per Invoice'!X$2:X$401,$AH2)))</f>
        <v/>
      </c>
      <c r="Y2">
        <f>IF($AH2="","",IF(INDEX('Per Invoice'!Y$2:Y$401,$AH2)="","",INDEX('Per Invoice'!Y$2:Y$401,$AH2)))</f>
        <v/>
      </c>
      <c r="Z2" s="7">
        <f>IF($AH2="","",IF(INDEX('Per Invoice'!Z$2:Z$401,$AH2)="","",INDEX('Per Invoice'!Z$2:Z$401,$AH2)))</f>
        <v/>
      </c>
      <c r="AA2" s="7">
        <f>IF($AH2="","",IF(INDEX('Per Invoice'!AA$2:AA$401,$AH2)="","",INDEX('Per Invoice'!AA$2:AA$401,$AH2)))</f>
        <v/>
      </c>
      <c r="AB2" s="7">
        <f>IF($AH2="","",IF(INDEX('Per Invoice'!AB$2:AB$401,$AH2)="","",INDEX('Per Invoice'!AB$2:AB$401,$AH2)))</f>
        <v/>
      </c>
      <c r="AC2" s="7">
        <f>IF($AH2="","",IF(INDEX('Per Invoice'!AC$2:AC$401,$AH2)="","",INDEX('Per Invoice'!AC$2:AC$401,$AH2)))</f>
        <v/>
      </c>
      <c r="AD2" s="7">
        <f>IF($AH2="","",IF(INDEX('Per Invoice'!AD$2:AD$401,$AH2)="","",INDEX('Per Invoice'!AD$2:AD$401,$AH2)))</f>
        <v/>
      </c>
      <c r="AE2" s="7">
        <f>IF($AH2="","",IF(INDEX('Per Invoice'!AE$2:AE$401,$AH2)="","",INDEX('Per Invoice'!AE$2:AE$401,$AH2)))</f>
        <v/>
      </c>
      <c r="AF2">
        <f>IF($AH2="","",IF(INDEX('Per Invoice'!AF$2:AF$401,$AH2)="","",INDEX('Per Invoice'!AF$2:AF$401,$AH2)))</f>
        <v/>
      </c>
      <c r="AG2" s="7">
        <f>IF($AH2="","",IF(INDEX('Per Invoice'!AG$2:AG$401,$AH2)="","",INDEX('Per Invoice'!AG$2:AG$401,$AH2)))</f>
        <v/>
      </c>
      <c r="AH2" s="16">
        <f>IFERROR(MATCH(Settings!$C$27&amp;"|"&amp;ROWS($AH$2:$AH2),'Per Invoice'!$AI$2:$AI$401,0),"")</f>
        <v/>
      </c>
    </row>
    <row r="3">
      <c r="A3">
        <f>IF($AH3="","",IF(INDEX('Per Invoice'!A$2:A$401,$AH3)="","",INDEX('Per Invoice'!A$2:A$401,$AH3)))</f>
        <v/>
      </c>
      <c r="B3">
        <f>IF($AH3="","",IF(INDEX('Per Invoice'!B$2:B$401,$AH3)="","",INDEX('Per Invoice'!B$2:B$401,$AH3)))</f>
        <v/>
      </c>
      <c r="C3">
        <f>IF($AH3="","",IF(INDEX('Per Invoice'!C$2:C$401,$AH3)="","",INDEX('Per Invoice'!C$2:C$401,$AH3)))</f>
        <v/>
      </c>
      <c r="D3">
        <f>IF($AH3="","",IF(INDEX('Per Invoice'!D$2:D$401,$AH3)="","",INDEX('Per Invoice'!D$2:D$401,$AH3)))</f>
        <v/>
      </c>
      <c r="E3">
        <f>IF($AH3="","",IF(INDEX('Per Invoice'!E$2:E$401,$AH3)="","",INDEX('Per Invoice'!E$2:E$401,$AH3)))</f>
        <v/>
      </c>
      <c r="F3">
        <f>IF($AH3="","",IF(INDEX('Per Invoice'!F$2:F$401,$AH3)="","",INDEX('Per Invoice'!F$2:F$401,$AH3)))</f>
        <v/>
      </c>
      <c r="G3">
        <f>IF($AH3="","",IF(INDEX('Per Invoice'!G$2:G$401,$AH3)="","",INDEX('Per Invoice'!G$2:G$401,$AH3)))</f>
        <v/>
      </c>
      <c r="H3">
        <f>IF($AH3="","",IF(INDEX('Per Invoice'!H$2:H$401,$AH3)="","",INDEX('Per Invoice'!H$2:H$401,$AH3)))</f>
        <v/>
      </c>
      <c r="I3" s="14">
        <f>IF($AH3="","",IF(INDEX('Per Invoice'!I$2:I$401,$AH3)="","",INDEX('Per Invoice'!I$2:I$401,$AH3)))</f>
        <v/>
      </c>
      <c r="J3">
        <f>IF($AH3="","",IF(INDEX('Per Invoice'!J$2:J$401,$AH3)="","",INDEX('Per Invoice'!J$2:J$401,$AH3)))</f>
        <v/>
      </c>
      <c r="K3">
        <f>IF($AH3="","",IF(INDEX('Per Invoice'!K$2:K$401,$AH3)="","",INDEX('Per Invoice'!K$2:K$401,$AH3)))</f>
        <v/>
      </c>
      <c r="L3">
        <f>IF($AH3="","",IF(INDEX('Per Invoice'!L$2:L$401,$AH3)="","",INDEX('Per Invoice'!L$2:L$401,$AH3)))</f>
        <v/>
      </c>
      <c r="M3">
        <f>IF($AH3="","",IF(INDEX('Per Invoice'!M$2:M$401,$AH3)="","",INDEX('Per Invoice'!M$2:M$401,$AH3)))</f>
        <v/>
      </c>
      <c r="N3">
        <f>IF($AH3="","",IF(INDEX('Per Invoice'!N$2:N$401,$AH3)="","",INDEX('Per Invoice'!N$2:N$401,$AH3)))</f>
        <v/>
      </c>
      <c r="O3">
        <f>IF($AH3="","",IF(INDEX('Per Invoice'!O$2:O$401,$AH3)="","",INDEX('Per Invoice'!O$2:O$401,$AH3)))</f>
        <v/>
      </c>
      <c r="P3" s="7">
        <f>IF($AH3="","",IF(INDEX('Per Invoice'!P$2:P$401,$AH3)="","",INDEX('Per Invoice'!P$2:P$401,$AH3)))</f>
        <v/>
      </c>
      <c r="Q3">
        <f>IF($AH3="","",IF(INDEX('Per Invoice'!Q$2:Q$401,$AH3)="","",INDEX('Per Invoice'!Q$2:Q$401,$AH3)))</f>
        <v/>
      </c>
      <c r="R3">
        <f>IF($AH3="","",IF(INDEX('Per Invoice'!R$2:R$401,$AH3)="","",INDEX('Per Invoice'!R$2:R$401,$AH3)))</f>
        <v/>
      </c>
      <c r="S3">
        <f>IF($AH3="","",IF(INDEX('Per Invoice'!S$2:S$401,$AH3)="","",INDEX('Per Invoice'!S$2:S$401,$AH3)))</f>
        <v/>
      </c>
      <c r="T3" s="7">
        <f>IF($AH3="","",IF(INDEX('Per Invoice'!T$2:T$401,$AH3)="","",INDEX('Per Invoice'!T$2:T$401,$AH3)))</f>
        <v/>
      </c>
      <c r="U3" s="7">
        <f>IF($AH3="","",IF(INDEX('Per Invoice'!U$2:U$401,$AH3)="","",INDEX('Per Invoice'!U$2:U$401,$AH3)))</f>
        <v/>
      </c>
      <c r="V3">
        <f>IF($AH3="","",IF(INDEX('Per Invoice'!V$2:V$401,$AH3)="","",INDEX('Per Invoice'!V$2:V$401,$AH3)))</f>
        <v/>
      </c>
      <c r="W3" s="7">
        <f>IF($AH3="","",IF(INDEX('Per Invoice'!W$2:W$401,$AH3)="","",INDEX('Per Invoice'!W$2:W$401,$AH3)))</f>
        <v/>
      </c>
      <c r="X3" s="7">
        <f>IF($AH3="","",IF(INDEX('Per Invoice'!X$2:X$401,$AH3)="","",INDEX('Per Invoice'!X$2:X$401,$AH3)))</f>
        <v/>
      </c>
      <c r="Y3">
        <f>IF($AH3="","",IF(INDEX('Per Invoice'!Y$2:Y$401,$AH3)="","",INDEX('Per Invoice'!Y$2:Y$401,$AH3)))</f>
        <v/>
      </c>
      <c r="Z3" s="7">
        <f>IF($AH3="","",IF(INDEX('Per Invoice'!Z$2:Z$401,$AH3)="","",INDEX('Per Invoice'!Z$2:Z$401,$AH3)))</f>
        <v/>
      </c>
      <c r="AA3" s="7">
        <f>IF($AH3="","",IF(INDEX('Per Invoice'!AA$2:AA$401,$AH3)="","",INDEX('Per Invoice'!AA$2:AA$401,$AH3)))</f>
        <v/>
      </c>
      <c r="AB3" s="7">
        <f>IF($AH3="","",IF(INDEX('Per Invoice'!AB$2:AB$401,$AH3)="","",INDEX('Per Invoice'!AB$2:AB$401,$AH3)))</f>
        <v/>
      </c>
      <c r="AC3" s="7">
        <f>IF($AH3="","",IF(INDEX('Per Invoice'!AC$2:AC$401,$AH3)="","",INDEX('Per Invoice'!AC$2:AC$401,$AH3)))</f>
        <v/>
      </c>
      <c r="AD3" s="7">
        <f>IF($AH3="","",IF(INDEX('Per Invoice'!AD$2:AD$401,$AH3)="","",INDEX('Per Invoice'!AD$2:AD$401,$AH3)))</f>
        <v/>
      </c>
      <c r="AE3" s="7">
        <f>IF($AH3="","",IF(INDEX('Per Invoice'!AE$2:AE$401,$AH3)="","",INDEX('Per Invoice'!AE$2:AE$401,$AH3)))</f>
        <v/>
      </c>
      <c r="AF3">
        <f>IF($AH3="","",IF(INDEX('Per Invoice'!AF$2:AF$401,$AH3)="","",INDEX('Per Invoice'!AF$2:AF$401,$AH3)))</f>
        <v/>
      </c>
      <c r="AG3" s="7">
        <f>IF($AH3="","",IF(INDEX('Per Invoice'!AG$2:AG$401,$AH3)="","",INDEX('Per Invoice'!AG$2:AG$401,$AH3)))</f>
        <v/>
      </c>
      <c r="AH3" s="16">
        <f>IFERROR(MATCH(Settings!$C$27&amp;"|"&amp;ROWS($AH$2:$AH3),'Per Invoice'!$AI$2:$AI$401,0),"")</f>
        <v/>
      </c>
    </row>
    <row r="4">
      <c r="A4">
        <f>IF($AH4="","",IF(INDEX('Per Invoice'!A$2:A$401,$AH4)="","",INDEX('Per Invoice'!A$2:A$401,$AH4)))</f>
        <v/>
      </c>
      <c r="B4">
        <f>IF($AH4="","",IF(INDEX('Per Invoice'!B$2:B$401,$AH4)="","",INDEX('Per Invoice'!B$2:B$401,$AH4)))</f>
        <v/>
      </c>
      <c r="C4">
        <f>IF($AH4="","",IF(INDEX('Per Invoice'!C$2:C$401,$AH4)="","",INDEX('Per Invoice'!C$2:C$401,$AH4)))</f>
        <v/>
      </c>
      <c r="D4">
        <f>IF($AH4="","",IF(INDEX('Per Invoice'!D$2:D$401,$AH4)="","",INDEX('Per Invoice'!D$2:D$401,$AH4)))</f>
        <v/>
      </c>
      <c r="E4">
        <f>IF($AH4="","",IF(INDEX('Per Invoice'!E$2:E$401,$AH4)="","",INDEX('Per Invoice'!E$2:E$401,$AH4)))</f>
        <v/>
      </c>
      <c r="F4">
        <f>IF($AH4="","",IF(INDEX('Per Invoice'!F$2:F$401,$AH4)="","",INDEX('Per Invoice'!F$2:F$401,$AH4)))</f>
        <v/>
      </c>
      <c r="G4">
        <f>IF($AH4="","",IF(INDEX('Per Invoice'!G$2:G$401,$AH4)="","",INDEX('Per Invoice'!G$2:G$401,$AH4)))</f>
        <v/>
      </c>
      <c r="H4">
        <f>IF($AH4="","",IF(INDEX('Per Invoice'!H$2:H$401,$AH4)="","",INDEX('Per Invoice'!H$2:H$401,$AH4)))</f>
        <v/>
      </c>
      <c r="I4" s="14">
        <f>IF($AH4="","",IF(INDEX('Per Invoice'!I$2:I$401,$AH4)="","",INDEX('Per Invoice'!I$2:I$401,$AH4)))</f>
        <v/>
      </c>
      <c r="J4">
        <f>IF($AH4="","",IF(INDEX('Per Invoice'!J$2:J$401,$AH4)="","",INDEX('Per Invoice'!J$2:J$401,$AH4)))</f>
        <v/>
      </c>
      <c r="K4">
        <f>IF($AH4="","",IF(INDEX('Per Invoice'!K$2:K$401,$AH4)="","",INDEX('Per Invoice'!K$2:K$401,$AH4)))</f>
        <v/>
      </c>
      <c r="L4">
        <f>IF($AH4="","",IF(INDEX('Per Invoice'!L$2:L$401,$AH4)="","",INDEX('Per Invoice'!L$2:L$401,$AH4)))</f>
        <v/>
      </c>
      <c r="M4">
        <f>IF($AH4="","",IF(INDEX('Per Invoice'!M$2:M$401,$AH4)="","",INDEX('Per Invoice'!M$2:M$401,$AH4)))</f>
        <v/>
      </c>
      <c r="N4">
        <f>IF($AH4="","",IF(INDEX('Per Invoice'!N$2:N$401,$AH4)="","",INDEX('Per Invoice'!N$2:N$401,$AH4)))</f>
        <v/>
      </c>
      <c r="O4">
        <f>IF($AH4="","",IF(INDEX('Per Invoice'!O$2:O$401,$AH4)="","",INDEX('Per Invoice'!O$2:O$401,$AH4)))</f>
        <v/>
      </c>
      <c r="P4" s="7">
        <f>IF($AH4="","",IF(INDEX('Per Invoice'!P$2:P$401,$AH4)="","",INDEX('Per Invoice'!P$2:P$401,$AH4)))</f>
        <v/>
      </c>
      <c r="Q4">
        <f>IF($AH4="","",IF(INDEX('Per Invoice'!Q$2:Q$401,$AH4)="","",INDEX('Per Invoice'!Q$2:Q$401,$AH4)))</f>
        <v/>
      </c>
      <c r="R4">
        <f>IF($AH4="","",IF(INDEX('Per Invoice'!R$2:R$401,$AH4)="","",INDEX('Per Invoice'!R$2:R$401,$AH4)))</f>
        <v/>
      </c>
      <c r="S4">
        <f>IF($AH4="","",IF(INDEX('Per Invoice'!S$2:S$401,$AH4)="","",INDEX('Per Invoice'!S$2:S$401,$AH4)))</f>
        <v/>
      </c>
      <c r="T4" s="7">
        <f>IF($AH4="","",IF(INDEX('Per Invoice'!T$2:T$401,$AH4)="","",INDEX('Per Invoice'!T$2:T$401,$AH4)))</f>
        <v/>
      </c>
      <c r="U4" s="7">
        <f>IF($AH4="","",IF(INDEX('Per Invoice'!U$2:U$401,$AH4)="","",INDEX('Per Invoice'!U$2:U$401,$AH4)))</f>
        <v/>
      </c>
      <c r="V4">
        <f>IF($AH4="","",IF(INDEX('Per Invoice'!V$2:V$401,$AH4)="","",INDEX('Per Invoice'!V$2:V$401,$AH4)))</f>
        <v/>
      </c>
      <c r="W4" s="7">
        <f>IF($AH4="","",IF(INDEX('Per Invoice'!W$2:W$401,$AH4)="","",INDEX('Per Invoice'!W$2:W$401,$AH4)))</f>
        <v/>
      </c>
      <c r="X4" s="7">
        <f>IF($AH4="","",IF(INDEX('Per Invoice'!X$2:X$401,$AH4)="","",INDEX('Per Invoice'!X$2:X$401,$AH4)))</f>
        <v/>
      </c>
      <c r="Y4">
        <f>IF($AH4="","",IF(INDEX('Per Invoice'!Y$2:Y$401,$AH4)="","",INDEX('Per Invoice'!Y$2:Y$401,$AH4)))</f>
        <v/>
      </c>
      <c r="Z4" s="7">
        <f>IF($AH4="","",IF(INDEX('Per Invoice'!Z$2:Z$401,$AH4)="","",INDEX('Per Invoice'!Z$2:Z$401,$AH4)))</f>
        <v/>
      </c>
      <c r="AA4" s="7">
        <f>IF($AH4="","",IF(INDEX('Per Invoice'!AA$2:AA$401,$AH4)="","",INDEX('Per Invoice'!AA$2:AA$401,$AH4)))</f>
        <v/>
      </c>
      <c r="AB4" s="7">
        <f>IF($AH4="","",IF(INDEX('Per Invoice'!AB$2:AB$401,$AH4)="","",INDEX('Per Invoice'!AB$2:AB$401,$AH4)))</f>
        <v/>
      </c>
      <c r="AC4" s="7">
        <f>IF($AH4="","",IF(INDEX('Per Invoice'!AC$2:AC$401,$AH4)="","",INDEX('Per Invoice'!AC$2:AC$401,$AH4)))</f>
        <v/>
      </c>
      <c r="AD4" s="7">
        <f>IF($AH4="","",IF(INDEX('Per Invoice'!AD$2:AD$401,$AH4)="","",INDEX('Per Invoice'!AD$2:AD$401,$AH4)))</f>
        <v/>
      </c>
      <c r="AE4" s="7">
        <f>IF($AH4="","",IF(INDEX('Per Invoice'!AE$2:AE$401,$AH4)="","",INDEX('Per Invoice'!AE$2:AE$401,$AH4)))</f>
        <v/>
      </c>
      <c r="AF4">
        <f>IF($AH4="","",IF(INDEX('Per Invoice'!AF$2:AF$401,$AH4)="","",INDEX('Per Invoice'!AF$2:AF$401,$AH4)))</f>
        <v/>
      </c>
      <c r="AG4" s="7">
        <f>IF($AH4="","",IF(INDEX('Per Invoice'!AG$2:AG$401,$AH4)="","",INDEX('Per Invoice'!AG$2:AG$401,$AH4)))</f>
        <v/>
      </c>
      <c r="AH4" s="16">
        <f>IFERROR(MATCH(Settings!$C$27&amp;"|"&amp;ROWS($AH$2:$AH4),'Per Invoice'!$AI$2:$AI$401,0),"")</f>
        <v/>
      </c>
    </row>
    <row r="5">
      <c r="A5">
        <f>IF($AH5="","",IF(INDEX('Per Invoice'!A$2:A$401,$AH5)="","",INDEX('Per Invoice'!A$2:A$401,$AH5)))</f>
        <v/>
      </c>
      <c r="B5">
        <f>IF($AH5="","",IF(INDEX('Per Invoice'!B$2:B$401,$AH5)="","",INDEX('Per Invoice'!B$2:B$401,$AH5)))</f>
        <v/>
      </c>
      <c r="C5">
        <f>IF($AH5="","",IF(INDEX('Per Invoice'!C$2:C$401,$AH5)="","",INDEX('Per Invoice'!C$2:C$401,$AH5)))</f>
        <v/>
      </c>
      <c r="D5">
        <f>IF($AH5="","",IF(INDEX('Per Invoice'!D$2:D$401,$AH5)="","",INDEX('Per Invoice'!D$2:D$401,$AH5)))</f>
        <v/>
      </c>
      <c r="E5">
        <f>IF($AH5="","",IF(INDEX('Per Invoice'!E$2:E$401,$AH5)="","",INDEX('Per Invoice'!E$2:E$401,$AH5)))</f>
        <v/>
      </c>
      <c r="F5">
        <f>IF($AH5="","",IF(INDEX('Per Invoice'!F$2:F$401,$AH5)="","",INDEX('Per Invoice'!F$2:F$401,$AH5)))</f>
        <v/>
      </c>
      <c r="G5">
        <f>IF($AH5="","",IF(INDEX('Per Invoice'!G$2:G$401,$AH5)="","",INDEX('Per Invoice'!G$2:G$401,$AH5)))</f>
        <v/>
      </c>
      <c r="H5">
        <f>IF($AH5="","",IF(INDEX('Per Invoice'!H$2:H$401,$AH5)="","",INDEX('Per Invoice'!H$2:H$401,$AH5)))</f>
        <v/>
      </c>
      <c r="I5" s="14">
        <f>IF($AH5="","",IF(INDEX('Per Invoice'!I$2:I$401,$AH5)="","",INDEX('Per Invoice'!I$2:I$401,$AH5)))</f>
        <v/>
      </c>
      <c r="J5">
        <f>IF($AH5="","",IF(INDEX('Per Invoice'!J$2:J$401,$AH5)="","",INDEX('Per Invoice'!J$2:J$401,$AH5)))</f>
        <v/>
      </c>
      <c r="K5">
        <f>IF($AH5="","",IF(INDEX('Per Invoice'!K$2:K$401,$AH5)="","",INDEX('Per Invoice'!K$2:K$401,$AH5)))</f>
        <v/>
      </c>
      <c r="L5">
        <f>IF($AH5="","",IF(INDEX('Per Invoice'!L$2:L$401,$AH5)="","",INDEX('Per Invoice'!L$2:L$401,$AH5)))</f>
        <v/>
      </c>
      <c r="M5">
        <f>IF($AH5="","",IF(INDEX('Per Invoice'!M$2:M$401,$AH5)="","",INDEX('Per Invoice'!M$2:M$401,$AH5)))</f>
        <v/>
      </c>
      <c r="N5">
        <f>IF($AH5="","",IF(INDEX('Per Invoice'!N$2:N$401,$AH5)="","",INDEX('Per Invoice'!N$2:N$401,$AH5)))</f>
        <v/>
      </c>
      <c r="O5">
        <f>IF($AH5="","",IF(INDEX('Per Invoice'!O$2:O$401,$AH5)="","",INDEX('Per Invoice'!O$2:O$401,$AH5)))</f>
        <v/>
      </c>
      <c r="P5" s="7">
        <f>IF($AH5="","",IF(INDEX('Per Invoice'!P$2:P$401,$AH5)="","",INDEX('Per Invoice'!P$2:P$401,$AH5)))</f>
        <v/>
      </c>
      <c r="Q5">
        <f>IF($AH5="","",IF(INDEX('Per Invoice'!Q$2:Q$401,$AH5)="","",INDEX('Per Invoice'!Q$2:Q$401,$AH5)))</f>
        <v/>
      </c>
      <c r="R5">
        <f>IF($AH5="","",IF(INDEX('Per Invoice'!R$2:R$401,$AH5)="","",INDEX('Per Invoice'!R$2:R$401,$AH5)))</f>
        <v/>
      </c>
      <c r="S5">
        <f>IF($AH5="","",IF(INDEX('Per Invoice'!S$2:S$401,$AH5)="","",INDEX('Per Invoice'!S$2:S$401,$AH5)))</f>
        <v/>
      </c>
      <c r="T5" s="7">
        <f>IF($AH5="","",IF(INDEX('Per Invoice'!T$2:T$401,$AH5)="","",INDEX('Per Invoice'!T$2:T$401,$AH5)))</f>
        <v/>
      </c>
      <c r="U5" s="7">
        <f>IF($AH5="","",IF(INDEX('Per Invoice'!U$2:U$401,$AH5)="","",INDEX('Per Invoice'!U$2:U$401,$AH5)))</f>
        <v/>
      </c>
      <c r="V5">
        <f>IF($AH5="","",IF(INDEX('Per Invoice'!V$2:V$401,$AH5)="","",INDEX('Per Invoice'!V$2:V$401,$AH5)))</f>
        <v/>
      </c>
      <c r="W5" s="7">
        <f>IF($AH5="","",IF(INDEX('Per Invoice'!W$2:W$401,$AH5)="","",INDEX('Per Invoice'!W$2:W$401,$AH5)))</f>
        <v/>
      </c>
      <c r="X5" s="7">
        <f>IF($AH5="","",IF(INDEX('Per Invoice'!X$2:X$401,$AH5)="","",INDEX('Per Invoice'!X$2:X$401,$AH5)))</f>
        <v/>
      </c>
      <c r="Y5">
        <f>IF($AH5="","",IF(INDEX('Per Invoice'!Y$2:Y$401,$AH5)="","",INDEX('Per Invoice'!Y$2:Y$401,$AH5)))</f>
        <v/>
      </c>
      <c r="Z5" s="7">
        <f>IF($AH5="","",IF(INDEX('Per Invoice'!Z$2:Z$401,$AH5)="","",INDEX('Per Invoice'!Z$2:Z$401,$AH5)))</f>
        <v/>
      </c>
      <c r="AA5" s="7">
        <f>IF($AH5="","",IF(INDEX('Per Invoice'!AA$2:AA$401,$AH5)="","",INDEX('Per Invoice'!AA$2:AA$401,$AH5)))</f>
        <v/>
      </c>
      <c r="AB5" s="7">
        <f>IF($AH5="","",IF(INDEX('Per Invoice'!AB$2:AB$401,$AH5)="","",INDEX('Per Invoice'!AB$2:AB$401,$AH5)))</f>
        <v/>
      </c>
      <c r="AC5" s="7">
        <f>IF($AH5="","",IF(INDEX('Per Invoice'!AC$2:AC$401,$AH5)="","",INDEX('Per Invoice'!AC$2:AC$401,$AH5)))</f>
        <v/>
      </c>
      <c r="AD5" s="7">
        <f>IF($AH5="","",IF(INDEX('Per Invoice'!AD$2:AD$401,$AH5)="","",INDEX('Per Invoice'!AD$2:AD$401,$AH5)))</f>
        <v/>
      </c>
      <c r="AE5" s="7">
        <f>IF($AH5="","",IF(INDEX('Per Invoice'!AE$2:AE$401,$AH5)="","",INDEX('Per Invoice'!AE$2:AE$401,$AH5)))</f>
        <v/>
      </c>
      <c r="AF5">
        <f>IF($AH5="","",IF(INDEX('Per Invoice'!AF$2:AF$401,$AH5)="","",INDEX('Per Invoice'!AF$2:AF$401,$AH5)))</f>
        <v/>
      </c>
      <c r="AG5" s="7">
        <f>IF($AH5="","",IF(INDEX('Per Invoice'!AG$2:AG$401,$AH5)="","",INDEX('Per Invoice'!AG$2:AG$401,$AH5)))</f>
        <v/>
      </c>
      <c r="AH5" s="16">
        <f>IFERROR(MATCH(Settings!$C$27&amp;"|"&amp;ROWS($AH$2:$AH5),'Per Invoice'!$AI$2:$AI$401,0),"")</f>
        <v/>
      </c>
    </row>
    <row r="6">
      <c r="A6">
        <f>IF($AH6="","",IF(INDEX('Per Invoice'!A$2:A$401,$AH6)="","",INDEX('Per Invoice'!A$2:A$401,$AH6)))</f>
        <v/>
      </c>
      <c r="B6">
        <f>IF($AH6="","",IF(INDEX('Per Invoice'!B$2:B$401,$AH6)="","",INDEX('Per Invoice'!B$2:B$401,$AH6)))</f>
        <v/>
      </c>
      <c r="C6">
        <f>IF($AH6="","",IF(INDEX('Per Invoice'!C$2:C$401,$AH6)="","",INDEX('Per Invoice'!C$2:C$401,$AH6)))</f>
        <v/>
      </c>
      <c r="D6">
        <f>IF($AH6="","",IF(INDEX('Per Invoice'!D$2:D$401,$AH6)="","",INDEX('Per Invoice'!D$2:D$401,$AH6)))</f>
        <v/>
      </c>
      <c r="E6">
        <f>IF($AH6="","",IF(INDEX('Per Invoice'!E$2:E$401,$AH6)="","",INDEX('Per Invoice'!E$2:E$401,$AH6)))</f>
        <v/>
      </c>
      <c r="F6">
        <f>IF($AH6="","",IF(INDEX('Per Invoice'!F$2:F$401,$AH6)="","",INDEX('Per Invoice'!F$2:F$401,$AH6)))</f>
        <v/>
      </c>
      <c r="G6">
        <f>IF($AH6="","",IF(INDEX('Per Invoice'!G$2:G$401,$AH6)="","",INDEX('Per Invoice'!G$2:G$401,$AH6)))</f>
        <v/>
      </c>
      <c r="H6">
        <f>IF($AH6="","",IF(INDEX('Per Invoice'!H$2:H$401,$AH6)="","",INDEX('Per Invoice'!H$2:H$401,$AH6)))</f>
        <v/>
      </c>
      <c r="I6" s="14">
        <f>IF($AH6="","",IF(INDEX('Per Invoice'!I$2:I$401,$AH6)="","",INDEX('Per Invoice'!I$2:I$401,$AH6)))</f>
        <v/>
      </c>
      <c r="J6">
        <f>IF($AH6="","",IF(INDEX('Per Invoice'!J$2:J$401,$AH6)="","",INDEX('Per Invoice'!J$2:J$401,$AH6)))</f>
        <v/>
      </c>
      <c r="K6">
        <f>IF($AH6="","",IF(INDEX('Per Invoice'!K$2:K$401,$AH6)="","",INDEX('Per Invoice'!K$2:K$401,$AH6)))</f>
        <v/>
      </c>
      <c r="L6">
        <f>IF($AH6="","",IF(INDEX('Per Invoice'!L$2:L$401,$AH6)="","",INDEX('Per Invoice'!L$2:L$401,$AH6)))</f>
        <v/>
      </c>
      <c r="M6">
        <f>IF($AH6="","",IF(INDEX('Per Invoice'!M$2:M$401,$AH6)="","",INDEX('Per Invoice'!M$2:M$401,$AH6)))</f>
        <v/>
      </c>
      <c r="N6">
        <f>IF($AH6="","",IF(INDEX('Per Invoice'!N$2:N$401,$AH6)="","",INDEX('Per Invoice'!N$2:N$401,$AH6)))</f>
        <v/>
      </c>
      <c r="O6">
        <f>IF($AH6="","",IF(INDEX('Per Invoice'!O$2:O$401,$AH6)="","",INDEX('Per Invoice'!O$2:O$401,$AH6)))</f>
        <v/>
      </c>
      <c r="P6" s="7">
        <f>IF($AH6="","",IF(INDEX('Per Invoice'!P$2:P$401,$AH6)="","",INDEX('Per Invoice'!P$2:P$401,$AH6)))</f>
        <v/>
      </c>
      <c r="Q6">
        <f>IF($AH6="","",IF(INDEX('Per Invoice'!Q$2:Q$401,$AH6)="","",INDEX('Per Invoice'!Q$2:Q$401,$AH6)))</f>
        <v/>
      </c>
      <c r="R6">
        <f>IF($AH6="","",IF(INDEX('Per Invoice'!R$2:R$401,$AH6)="","",INDEX('Per Invoice'!R$2:R$401,$AH6)))</f>
        <v/>
      </c>
      <c r="S6">
        <f>IF($AH6="","",IF(INDEX('Per Invoice'!S$2:S$401,$AH6)="","",INDEX('Per Invoice'!S$2:S$401,$AH6)))</f>
        <v/>
      </c>
      <c r="T6" s="7">
        <f>IF($AH6="","",IF(INDEX('Per Invoice'!T$2:T$401,$AH6)="","",INDEX('Per Invoice'!T$2:T$401,$AH6)))</f>
        <v/>
      </c>
      <c r="U6" s="7">
        <f>IF($AH6="","",IF(INDEX('Per Invoice'!U$2:U$401,$AH6)="","",INDEX('Per Invoice'!U$2:U$401,$AH6)))</f>
        <v/>
      </c>
      <c r="V6">
        <f>IF($AH6="","",IF(INDEX('Per Invoice'!V$2:V$401,$AH6)="","",INDEX('Per Invoice'!V$2:V$401,$AH6)))</f>
        <v/>
      </c>
      <c r="W6" s="7">
        <f>IF($AH6="","",IF(INDEX('Per Invoice'!W$2:W$401,$AH6)="","",INDEX('Per Invoice'!W$2:W$401,$AH6)))</f>
        <v/>
      </c>
      <c r="X6" s="7">
        <f>IF($AH6="","",IF(INDEX('Per Invoice'!X$2:X$401,$AH6)="","",INDEX('Per Invoice'!X$2:X$401,$AH6)))</f>
        <v/>
      </c>
      <c r="Y6">
        <f>IF($AH6="","",IF(INDEX('Per Invoice'!Y$2:Y$401,$AH6)="","",INDEX('Per Invoice'!Y$2:Y$401,$AH6)))</f>
        <v/>
      </c>
      <c r="Z6" s="7">
        <f>IF($AH6="","",IF(INDEX('Per Invoice'!Z$2:Z$401,$AH6)="","",INDEX('Per Invoice'!Z$2:Z$401,$AH6)))</f>
        <v/>
      </c>
      <c r="AA6" s="7">
        <f>IF($AH6="","",IF(INDEX('Per Invoice'!AA$2:AA$401,$AH6)="","",INDEX('Per Invoice'!AA$2:AA$401,$AH6)))</f>
        <v/>
      </c>
      <c r="AB6" s="7">
        <f>IF($AH6="","",IF(INDEX('Per Invoice'!AB$2:AB$401,$AH6)="","",INDEX('Per Invoice'!AB$2:AB$401,$AH6)))</f>
        <v/>
      </c>
      <c r="AC6" s="7">
        <f>IF($AH6="","",IF(INDEX('Per Invoice'!AC$2:AC$401,$AH6)="","",INDEX('Per Invoice'!AC$2:AC$401,$AH6)))</f>
        <v/>
      </c>
      <c r="AD6" s="7">
        <f>IF($AH6="","",IF(INDEX('Per Invoice'!AD$2:AD$401,$AH6)="","",INDEX('Per Invoice'!AD$2:AD$401,$AH6)))</f>
        <v/>
      </c>
      <c r="AE6" s="7">
        <f>IF($AH6="","",IF(INDEX('Per Invoice'!AE$2:AE$401,$AH6)="","",INDEX('Per Invoice'!AE$2:AE$401,$AH6)))</f>
        <v/>
      </c>
      <c r="AF6">
        <f>IF($AH6="","",IF(INDEX('Per Invoice'!AF$2:AF$401,$AH6)="","",INDEX('Per Invoice'!AF$2:AF$401,$AH6)))</f>
        <v/>
      </c>
      <c r="AG6" s="7">
        <f>IF($AH6="","",IF(INDEX('Per Invoice'!AG$2:AG$401,$AH6)="","",INDEX('Per Invoice'!AG$2:AG$401,$AH6)))</f>
        <v/>
      </c>
      <c r="AH6" s="16">
        <f>IFERROR(MATCH(Settings!$C$27&amp;"|"&amp;ROWS($AH$2:$AH6),'Per Invoice'!$AI$2:$AI$401,0),"")</f>
        <v/>
      </c>
    </row>
    <row r="7">
      <c r="A7">
        <f>IF($AH7="","",IF(INDEX('Per Invoice'!A$2:A$401,$AH7)="","",INDEX('Per Invoice'!A$2:A$401,$AH7)))</f>
        <v/>
      </c>
      <c r="B7">
        <f>IF($AH7="","",IF(INDEX('Per Invoice'!B$2:B$401,$AH7)="","",INDEX('Per Invoice'!B$2:B$401,$AH7)))</f>
        <v/>
      </c>
      <c r="C7">
        <f>IF($AH7="","",IF(INDEX('Per Invoice'!C$2:C$401,$AH7)="","",INDEX('Per Invoice'!C$2:C$401,$AH7)))</f>
        <v/>
      </c>
      <c r="D7">
        <f>IF($AH7="","",IF(INDEX('Per Invoice'!D$2:D$401,$AH7)="","",INDEX('Per Invoice'!D$2:D$401,$AH7)))</f>
        <v/>
      </c>
      <c r="E7">
        <f>IF($AH7="","",IF(INDEX('Per Invoice'!E$2:E$401,$AH7)="","",INDEX('Per Invoice'!E$2:E$401,$AH7)))</f>
        <v/>
      </c>
      <c r="F7">
        <f>IF($AH7="","",IF(INDEX('Per Invoice'!F$2:F$401,$AH7)="","",INDEX('Per Invoice'!F$2:F$401,$AH7)))</f>
        <v/>
      </c>
      <c r="G7">
        <f>IF($AH7="","",IF(INDEX('Per Invoice'!G$2:G$401,$AH7)="","",INDEX('Per Invoice'!G$2:G$401,$AH7)))</f>
        <v/>
      </c>
      <c r="H7">
        <f>IF($AH7="","",IF(INDEX('Per Invoice'!H$2:H$401,$AH7)="","",INDEX('Per Invoice'!H$2:H$401,$AH7)))</f>
        <v/>
      </c>
      <c r="I7" s="14">
        <f>IF($AH7="","",IF(INDEX('Per Invoice'!I$2:I$401,$AH7)="","",INDEX('Per Invoice'!I$2:I$401,$AH7)))</f>
        <v/>
      </c>
      <c r="J7">
        <f>IF($AH7="","",IF(INDEX('Per Invoice'!J$2:J$401,$AH7)="","",INDEX('Per Invoice'!J$2:J$401,$AH7)))</f>
        <v/>
      </c>
      <c r="K7">
        <f>IF($AH7="","",IF(INDEX('Per Invoice'!K$2:K$401,$AH7)="","",INDEX('Per Invoice'!K$2:K$401,$AH7)))</f>
        <v/>
      </c>
      <c r="L7">
        <f>IF($AH7="","",IF(INDEX('Per Invoice'!L$2:L$401,$AH7)="","",INDEX('Per Invoice'!L$2:L$401,$AH7)))</f>
        <v/>
      </c>
      <c r="M7">
        <f>IF($AH7="","",IF(INDEX('Per Invoice'!M$2:M$401,$AH7)="","",INDEX('Per Invoice'!M$2:M$401,$AH7)))</f>
        <v/>
      </c>
      <c r="N7">
        <f>IF($AH7="","",IF(INDEX('Per Invoice'!N$2:N$401,$AH7)="","",INDEX('Per Invoice'!N$2:N$401,$AH7)))</f>
        <v/>
      </c>
      <c r="O7">
        <f>IF($AH7="","",IF(INDEX('Per Invoice'!O$2:O$401,$AH7)="","",INDEX('Per Invoice'!O$2:O$401,$AH7)))</f>
        <v/>
      </c>
      <c r="P7" s="7">
        <f>IF($AH7="","",IF(INDEX('Per Invoice'!P$2:P$401,$AH7)="","",INDEX('Per Invoice'!P$2:P$401,$AH7)))</f>
        <v/>
      </c>
      <c r="Q7">
        <f>IF($AH7="","",IF(INDEX('Per Invoice'!Q$2:Q$401,$AH7)="","",INDEX('Per Invoice'!Q$2:Q$401,$AH7)))</f>
        <v/>
      </c>
      <c r="R7">
        <f>IF($AH7="","",IF(INDEX('Per Invoice'!R$2:R$401,$AH7)="","",INDEX('Per Invoice'!R$2:R$401,$AH7)))</f>
        <v/>
      </c>
      <c r="S7">
        <f>IF($AH7="","",IF(INDEX('Per Invoice'!S$2:S$401,$AH7)="","",INDEX('Per Invoice'!S$2:S$401,$AH7)))</f>
        <v/>
      </c>
      <c r="T7" s="7">
        <f>IF($AH7="","",IF(INDEX('Per Invoice'!T$2:T$401,$AH7)="","",INDEX('Per Invoice'!T$2:T$401,$AH7)))</f>
        <v/>
      </c>
      <c r="U7" s="7">
        <f>IF($AH7="","",IF(INDEX('Per Invoice'!U$2:U$401,$AH7)="","",INDEX('Per Invoice'!U$2:U$401,$AH7)))</f>
        <v/>
      </c>
      <c r="V7">
        <f>IF($AH7="","",IF(INDEX('Per Invoice'!V$2:V$401,$AH7)="","",INDEX('Per Invoice'!V$2:V$401,$AH7)))</f>
        <v/>
      </c>
      <c r="W7" s="7">
        <f>IF($AH7="","",IF(INDEX('Per Invoice'!W$2:W$401,$AH7)="","",INDEX('Per Invoice'!W$2:W$401,$AH7)))</f>
        <v/>
      </c>
      <c r="X7" s="7">
        <f>IF($AH7="","",IF(INDEX('Per Invoice'!X$2:X$401,$AH7)="","",INDEX('Per Invoice'!X$2:X$401,$AH7)))</f>
        <v/>
      </c>
      <c r="Y7">
        <f>IF($AH7="","",IF(INDEX('Per Invoice'!Y$2:Y$401,$AH7)="","",INDEX('Per Invoice'!Y$2:Y$401,$AH7)))</f>
        <v/>
      </c>
      <c r="Z7" s="7">
        <f>IF($AH7="","",IF(INDEX('Per Invoice'!Z$2:Z$401,$AH7)="","",INDEX('Per Invoice'!Z$2:Z$401,$AH7)))</f>
        <v/>
      </c>
      <c r="AA7" s="7">
        <f>IF($AH7="","",IF(INDEX('Per Invoice'!AA$2:AA$401,$AH7)="","",INDEX('Per Invoice'!AA$2:AA$401,$AH7)))</f>
        <v/>
      </c>
      <c r="AB7" s="7">
        <f>IF($AH7="","",IF(INDEX('Per Invoice'!AB$2:AB$401,$AH7)="","",INDEX('Per Invoice'!AB$2:AB$401,$AH7)))</f>
        <v/>
      </c>
      <c r="AC7" s="7">
        <f>IF($AH7="","",IF(INDEX('Per Invoice'!AC$2:AC$401,$AH7)="","",INDEX('Per Invoice'!AC$2:AC$401,$AH7)))</f>
        <v/>
      </c>
      <c r="AD7" s="7">
        <f>IF($AH7="","",IF(INDEX('Per Invoice'!AD$2:AD$401,$AH7)="","",INDEX('Per Invoice'!AD$2:AD$401,$AH7)))</f>
        <v/>
      </c>
      <c r="AE7" s="7">
        <f>IF($AH7="","",IF(INDEX('Per Invoice'!AE$2:AE$401,$AH7)="","",INDEX('Per Invoice'!AE$2:AE$401,$AH7)))</f>
        <v/>
      </c>
      <c r="AF7">
        <f>IF($AH7="","",IF(INDEX('Per Invoice'!AF$2:AF$401,$AH7)="","",INDEX('Per Invoice'!AF$2:AF$401,$AH7)))</f>
        <v/>
      </c>
      <c r="AG7" s="7">
        <f>IF($AH7="","",IF(INDEX('Per Invoice'!AG$2:AG$401,$AH7)="","",INDEX('Per Invoice'!AG$2:AG$401,$AH7)))</f>
        <v/>
      </c>
      <c r="AH7" s="16">
        <f>IFERROR(MATCH(Settings!$C$27&amp;"|"&amp;ROWS($AH$2:$AH7),'Per Invoice'!$AI$2:$AI$401,0),"")</f>
        <v/>
      </c>
    </row>
    <row r="8">
      <c r="A8">
        <f>IF($AH8="","",IF(INDEX('Per Invoice'!A$2:A$401,$AH8)="","",INDEX('Per Invoice'!A$2:A$401,$AH8)))</f>
        <v/>
      </c>
      <c r="B8">
        <f>IF($AH8="","",IF(INDEX('Per Invoice'!B$2:B$401,$AH8)="","",INDEX('Per Invoice'!B$2:B$401,$AH8)))</f>
        <v/>
      </c>
      <c r="C8">
        <f>IF($AH8="","",IF(INDEX('Per Invoice'!C$2:C$401,$AH8)="","",INDEX('Per Invoice'!C$2:C$401,$AH8)))</f>
        <v/>
      </c>
      <c r="D8">
        <f>IF($AH8="","",IF(INDEX('Per Invoice'!D$2:D$401,$AH8)="","",INDEX('Per Invoice'!D$2:D$401,$AH8)))</f>
        <v/>
      </c>
      <c r="E8">
        <f>IF($AH8="","",IF(INDEX('Per Invoice'!E$2:E$401,$AH8)="","",INDEX('Per Invoice'!E$2:E$401,$AH8)))</f>
        <v/>
      </c>
      <c r="F8">
        <f>IF($AH8="","",IF(INDEX('Per Invoice'!F$2:F$401,$AH8)="","",INDEX('Per Invoice'!F$2:F$401,$AH8)))</f>
        <v/>
      </c>
      <c r="G8">
        <f>IF($AH8="","",IF(INDEX('Per Invoice'!G$2:G$401,$AH8)="","",INDEX('Per Invoice'!G$2:G$401,$AH8)))</f>
        <v/>
      </c>
      <c r="H8">
        <f>IF($AH8="","",IF(INDEX('Per Invoice'!H$2:H$401,$AH8)="","",INDEX('Per Invoice'!H$2:H$401,$AH8)))</f>
        <v/>
      </c>
      <c r="I8" s="14">
        <f>IF($AH8="","",IF(INDEX('Per Invoice'!I$2:I$401,$AH8)="","",INDEX('Per Invoice'!I$2:I$401,$AH8)))</f>
        <v/>
      </c>
      <c r="J8">
        <f>IF($AH8="","",IF(INDEX('Per Invoice'!J$2:J$401,$AH8)="","",INDEX('Per Invoice'!J$2:J$401,$AH8)))</f>
        <v/>
      </c>
      <c r="K8">
        <f>IF($AH8="","",IF(INDEX('Per Invoice'!K$2:K$401,$AH8)="","",INDEX('Per Invoice'!K$2:K$401,$AH8)))</f>
        <v/>
      </c>
      <c r="L8">
        <f>IF($AH8="","",IF(INDEX('Per Invoice'!L$2:L$401,$AH8)="","",INDEX('Per Invoice'!L$2:L$401,$AH8)))</f>
        <v/>
      </c>
      <c r="M8">
        <f>IF($AH8="","",IF(INDEX('Per Invoice'!M$2:M$401,$AH8)="","",INDEX('Per Invoice'!M$2:M$401,$AH8)))</f>
        <v/>
      </c>
      <c r="N8">
        <f>IF($AH8="","",IF(INDEX('Per Invoice'!N$2:N$401,$AH8)="","",INDEX('Per Invoice'!N$2:N$401,$AH8)))</f>
        <v/>
      </c>
      <c r="O8">
        <f>IF($AH8="","",IF(INDEX('Per Invoice'!O$2:O$401,$AH8)="","",INDEX('Per Invoice'!O$2:O$401,$AH8)))</f>
        <v/>
      </c>
      <c r="P8" s="7">
        <f>IF($AH8="","",IF(INDEX('Per Invoice'!P$2:P$401,$AH8)="","",INDEX('Per Invoice'!P$2:P$401,$AH8)))</f>
        <v/>
      </c>
      <c r="Q8">
        <f>IF($AH8="","",IF(INDEX('Per Invoice'!Q$2:Q$401,$AH8)="","",INDEX('Per Invoice'!Q$2:Q$401,$AH8)))</f>
        <v/>
      </c>
      <c r="R8">
        <f>IF($AH8="","",IF(INDEX('Per Invoice'!R$2:R$401,$AH8)="","",INDEX('Per Invoice'!R$2:R$401,$AH8)))</f>
        <v/>
      </c>
      <c r="S8">
        <f>IF($AH8="","",IF(INDEX('Per Invoice'!S$2:S$401,$AH8)="","",INDEX('Per Invoice'!S$2:S$401,$AH8)))</f>
        <v/>
      </c>
      <c r="T8" s="7">
        <f>IF($AH8="","",IF(INDEX('Per Invoice'!T$2:T$401,$AH8)="","",INDEX('Per Invoice'!T$2:T$401,$AH8)))</f>
        <v/>
      </c>
      <c r="U8" s="7">
        <f>IF($AH8="","",IF(INDEX('Per Invoice'!U$2:U$401,$AH8)="","",INDEX('Per Invoice'!U$2:U$401,$AH8)))</f>
        <v/>
      </c>
      <c r="V8">
        <f>IF($AH8="","",IF(INDEX('Per Invoice'!V$2:V$401,$AH8)="","",INDEX('Per Invoice'!V$2:V$401,$AH8)))</f>
        <v/>
      </c>
      <c r="W8" s="7">
        <f>IF($AH8="","",IF(INDEX('Per Invoice'!W$2:W$401,$AH8)="","",INDEX('Per Invoice'!W$2:W$401,$AH8)))</f>
        <v/>
      </c>
      <c r="X8" s="7">
        <f>IF($AH8="","",IF(INDEX('Per Invoice'!X$2:X$401,$AH8)="","",INDEX('Per Invoice'!X$2:X$401,$AH8)))</f>
        <v/>
      </c>
      <c r="Y8">
        <f>IF($AH8="","",IF(INDEX('Per Invoice'!Y$2:Y$401,$AH8)="","",INDEX('Per Invoice'!Y$2:Y$401,$AH8)))</f>
        <v/>
      </c>
      <c r="Z8" s="7">
        <f>IF($AH8="","",IF(INDEX('Per Invoice'!Z$2:Z$401,$AH8)="","",INDEX('Per Invoice'!Z$2:Z$401,$AH8)))</f>
        <v/>
      </c>
      <c r="AA8" s="7">
        <f>IF($AH8="","",IF(INDEX('Per Invoice'!AA$2:AA$401,$AH8)="","",INDEX('Per Invoice'!AA$2:AA$401,$AH8)))</f>
        <v/>
      </c>
      <c r="AB8" s="7">
        <f>IF($AH8="","",IF(INDEX('Per Invoice'!AB$2:AB$401,$AH8)="","",INDEX('Per Invoice'!AB$2:AB$401,$AH8)))</f>
        <v/>
      </c>
      <c r="AC8" s="7">
        <f>IF($AH8="","",IF(INDEX('Per Invoice'!AC$2:AC$401,$AH8)="","",INDEX('Per Invoice'!AC$2:AC$401,$AH8)))</f>
        <v/>
      </c>
      <c r="AD8" s="7">
        <f>IF($AH8="","",IF(INDEX('Per Invoice'!AD$2:AD$401,$AH8)="","",INDEX('Per Invoice'!AD$2:AD$401,$AH8)))</f>
        <v/>
      </c>
      <c r="AE8" s="7">
        <f>IF($AH8="","",IF(INDEX('Per Invoice'!AE$2:AE$401,$AH8)="","",INDEX('Per Invoice'!AE$2:AE$401,$AH8)))</f>
        <v/>
      </c>
      <c r="AF8">
        <f>IF($AH8="","",IF(INDEX('Per Invoice'!AF$2:AF$401,$AH8)="","",INDEX('Per Invoice'!AF$2:AF$401,$AH8)))</f>
        <v/>
      </c>
      <c r="AG8" s="7">
        <f>IF($AH8="","",IF(INDEX('Per Invoice'!AG$2:AG$401,$AH8)="","",INDEX('Per Invoice'!AG$2:AG$401,$AH8)))</f>
        <v/>
      </c>
      <c r="AH8" s="16">
        <f>IFERROR(MATCH(Settings!$C$27&amp;"|"&amp;ROWS($AH$2:$AH8),'Per Invoice'!$AI$2:$AI$401,0),"")</f>
        <v/>
      </c>
    </row>
    <row r="9">
      <c r="A9">
        <f>IF($AH9="","",IF(INDEX('Per Invoice'!A$2:A$401,$AH9)="","",INDEX('Per Invoice'!A$2:A$401,$AH9)))</f>
        <v/>
      </c>
      <c r="B9">
        <f>IF($AH9="","",IF(INDEX('Per Invoice'!B$2:B$401,$AH9)="","",INDEX('Per Invoice'!B$2:B$401,$AH9)))</f>
        <v/>
      </c>
      <c r="C9">
        <f>IF($AH9="","",IF(INDEX('Per Invoice'!C$2:C$401,$AH9)="","",INDEX('Per Invoice'!C$2:C$401,$AH9)))</f>
        <v/>
      </c>
      <c r="D9">
        <f>IF($AH9="","",IF(INDEX('Per Invoice'!D$2:D$401,$AH9)="","",INDEX('Per Invoice'!D$2:D$401,$AH9)))</f>
        <v/>
      </c>
      <c r="E9">
        <f>IF($AH9="","",IF(INDEX('Per Invoice'!E$2:E$401,$AH9)="","",INDEX('Per Invoice'!E$2:E$401,$AH9)))</f>
        <v/>
      </c>
      <c r="F9">
        <f>IF($AH9="","",IF(INDEX('Per Invoice'!F$2:F$401,$AH9)="","",INDEX('Per Invoice'!F$2:F$401,$AH9)))</f>
        <v/>
      </c>
      <c r="G9">
        <f>IF($AH9="","",IF(INDEX('Per Invoice'!G$2:G$401,$AH9)="","",INDEX('Per Invoice'!G$2:G$401,$AH9)))</f>
        <v/>
      </c>
      <c r="H9">
        <f>IF($AH9="","",IF(INDEX('Per Invoice'!H$2:H$401,$AH9)="","",INDEX('Per Invoice'!H$2:H$401,$AH9)))</f>
        <v/>
      </c>
      <c r="I9" s="14">
        <f>IF($AH9="","",IF(INDEX('Per Invoice'!I$2:I$401,$AH9)="","",INDEX('Per Invoice'!I$2:I$401,$AH9)))</f>
        <v/>
      </c>
      <c r="J9">
        <f>IF($AH9="","",IF(INDEX('Per Invoice'!J$2:J$401,$AH9)="","",INDEX('Per Invoice'!J$2:J$401,$AH9)))</f>
        <v/>
      </c>
      <c r="K9">
        <f>IF($AH9="","",IF(INDEX('Per Invoice'!K$2:K$401,$AH9)="","",INDEX('Per Invoice'!K$2:K$401,$AH9)))</f>
        <v/>
      </c>
      <c r="L9">
        <f>IF($AH9="","",IF(INDEX('Per Invoice'!L$2:L$401,$AH9)="","",INDEX('Per Invoice'!L$2:L$401,$AH9)))</f>
        <v/>
      </c>
      <c r="M9">
        <f>IF($AH9="","",IF(INDEX('Per Invoice'!M$2:M$401,$AH9)="","",INDEX('Per Invoice'!M$2:M$401,$AH9)))</f>
        <v/>
      </c>
      <c r="N9">
        <f>IF($AH9="","",IF(INDEX('Per Invoice'!N$2:N$401,$AH9)="","",INDEX('Per Invoice'!N$2:N$401,$AH9)))</f>
        <v/>
      </c>
      <c r="O9">
        <f>IF($AH9="","",IF(INDEX('Per Invoice'!O$2:O$401,$AH9)="","",INDEX('Per Invoice'!O$2:O$401,$AH9)))</f>
        <v/>
      </c>
      <c r="P9" s="7">
        <f>IF($AH9="","",IF(INDEX('Per Invoice'!P$2:P$401,$AH9)="","",INDEX('Per Invoice'!P$2:P$401,$AH9)))</f>
        <v/>
      </c>
      <c r="Q9">
        <f>IF($AH9="","",IF(INDEX('Per Invoice'!Q$2:Q$401,$AH9)="","",INDEX('Per Invoice'!Q$2:Q$401,$AH9)))</f>
        <v/>
      </c>
      <c r="R9">
        <f>IF($AH9="","",IF(INDEX('Per Invoice'!R$2:R$401,$AH9)="","",INDEX('Per Invoice'!R$2:R$401,$AH9)))</f>
        <v/>
      </c>
      <c r="S9">
        <f>IF($AH9="","",IF(INDEX('Per Invoice'!S$2:S$401,$AH9)="","",INDEX('Per Invoice'!S$2:S$401,$AH9)))</f>
        <v/>
      </c>
      <c r="T9" s="7">
        <f>IF($AH9="","",IF(INDEX('Per Invoice'!T$2:T$401,$AH9)="","",INDEX('Per Invoice'!T$2:T$401,$AH9)))</f>
        <v/>
      </c>
      <c r="U9" s="7">
        <f>IF($AH9="","",IF(INDEX('Per Invoice'!U$2:U$401,$AH9)="","",INDEX('Per Invoice'!U$2:U$401,$AH9)))</f>
        <v/>
      </c>
      <c r="V9">
        <f>IF($AH9="","",IF(INDEX('Per Invoice'!V$2:V$401,$AH9)="","",INDEX('Per Invoice'!V$2:V$401,$AH9)))</f>
        <v/>
      </c>
      <c r="W9" s="7">
        <f>IF($AH9="","",IF(INDEX('Per Invoice'!W$2:W$401,$AH9)="","",INDEX('Per Invoice'!W$2:W$401,$AH9)))</f>
        <v/>
      </c>
      <c r="X9" s="7">
        <f>IF($AH9="","",IF(INDEX('Per Invoice'!X$2:X$401,$AH9)="","",INDEX('Per Invoice'!X$2:X$401,$AH9)))</f>
        <v/>
      </c>
      <c r="Y9">
        <f>IF($AH9="","",IF(INDEX('Per Invoice'!Y$2:Y$401,$AH9)="","",INDEX('Per Invoice'!Y$2:Y$401,$AH9)))</f>
        <v/>
      </c>
      <c r="Z9" s="7">
        <f>IF($AH9="","",IF(INDEX('Per Invoice'!Z$2:Z$401,$AH9)="","",INDEX('Per Invoice'!Z$2:Z$401,$AH9)))</f>
        <v/>
      </c>
      <c r="AA9" s="7">
        <f>IF($AH9="","",IF(INDEX('Per Invoice'!AA$2:AA$401,$AH9)="","",INDEX('Per Invoice'!AA$2:AA$401,$AH9)))</f>
        <v/>
      </c>
      <c r="AB9" s="7">
        <f>IF($AH9="","",IF(INDEX('Per Invoice'!AB$2:AB$401,$AH9)="","",INDEX('Per Invoice'!AB$2:AB$401,$AH9)))</f>
        <v/>
      </c>
      <c r="AC9" s="7">
        <f>IF($AH9="","",IF(INDEX('Per Invoice'!AC$2:AC$401,$AH9)="","",INDEX('Per Invoice'!AC$2:AC$401,$AH9)))</f>
        <v/>
      </c>
      <c r="AD9" s="7">
        <f>IF($AH9="","",IF(INDEX('Per Invoice'!AD$2:AD$401,$AH9)="","",INDEX('Per Invoice'!AD$2:AD$401,$AH9)))</f>
        <v/>
      </c>
      <c r="AE9" s="7">
        <f>IF($AH9="","",IF(INDEX('Per Invoice'!AE$2:AE$401,$AH9)="","",INDEX('Per Invoice'!AE$2:AE$401,$AH9)))</f>
        <v/>
      </c>
      <c r="AF9">
        <f>IF($AH9="","",IF(INDEX('Per Invoice'!AF$2:AF$401,$AH9)="","",INDEX('Per Invoice'!AF$2:AF$401,$AH9)))</f>
        <v/>
      </c>
      <c r="AG9" s="7">
        <f>IF($AH9="","",IF(INDEX('Per Invoice'!AG$2:AG$401,$AH9)="","",INDEX('Per Invoice'!AG$2:AG$401,$AH9)))</f>
        <v/>
      </c>
      <c r="AH9" s="16">
        <f>IFERROR(MATCH(Settings!$C$27&amp;"|"&amp;ROWS($AH$2:$AH9),'Per Invoice'!$AI$2:$AI$401,0),"")</f>
        <v/>
      </c>
    </row>
    <row r="10">
      <c r="A10">
        <f>IF($AH10="","",IF(INDEX('Per Invoice'!A$2:A$401,$AH10)="","",INDEX('Per Invoice'!A$2:A$401,$AH10)))</f>
        <v/>
      </c>
      <c r="B10">
        <f>IF($AH10="","",IF(INDEX('Per Invoice'!B$2:B$401,$AH10)="","",INDEX('Per Invoice'!B$2:B$401,$AH10)))</f>
        <v/>
      </c>
      <c r="C10">
        <f>IF($AH10="","",IF(INDEX('Per Invoice'!C$2:C$401,$AH10)="","",INDEX('Per Invoice'!C$2:C$401,$AH10)))</f>
        <v/>
      </c>
      <c r="D10">
        <f>IF($AH10="","",IF(INDEX('Per Invoice'!D$2:D$401,$AH10)="","",INDEX('Per Invoice'!D$2:D$401,$AH10)))</f>
        <v/>
      </c>
      <c r="E10">
        <f>IF($AH10="","",IF(INDEX('Per Invoice'!E$2:E$401,$AH10)="","",INDEX('Per Invoice'!E$2:E$401,$AH10)))</f>
        <v/>
      </c>
      <c r="F10">
        <f>IF($AH10="","",IF(INDEX('Per Invoice'!F$2:F$401,$AH10)="","",INDEX('Per Invoice'!F$2:F$401,$AH10)))</f>
        <v/>
      </c>
      <c r="G10">
        <f>IF($AH10="","",IF(INDEX('Per Invoice'!G$2:G$401,$AH10)="","",INDEX('Per Invoice'!G$2:G$401,$AH10)))</f>
        <v/>
      </c>
      <c r="H10">
        <f>IF($AH10="","",IF(INDEX('Per Invoice'!H$2:H$401,$AH10)="","",INDEX('Per Invoice'!H$2:H$401,$AH10)))</f>
        <v/>
      </c>
      <c r="I10" s="14">
        <f>IF($AH10="","",IF(INDEX('Per Invoice'!I$2:I$401,$AH10)="","",INDEX('Per Invoice'!I$2:I$401,$AH10)))</f>
        <v/>
      </c>
      <c r="J10">
        <f>IF($AH10="","",IF(INDEX('Per Invoice'!J$2:J$401,$AH10)="","",INDEX('Per Invoice'!J$2:J$401,$AH10)))</f>
        <v/>
      </c>
      <c r="K10">
        <f>IF($AH10="","",IF(INDEX('Per Invoice'!K$2:K$401,$AH10)="","",INDEX('Per Invoice'!K$2:K$401,$AH10)))</f>
        <v/>
      </c>
      <c r="L10">
        <f>IF($AH10="","",IF(INDEX('Per Invoice'!L$2:L$401,$AH10)="","",INDEX('Per Invoice'!L$2:L$401,$AH10)))</f>
        <v/>
      </c>
      <c r="M10">
        <f>IF($AH10="","",IF(INDEX('Per Invoice'!M$2:M$401,$AH10)="","",INDEX('Per Invoice'!M$2:M$401,$AH10)))</f>
        <v/>
      </c>
      <c r="N10">
        <f>IF($AH10="","",IF(INDEX('Per Invoice'!N$2:N$401,$AH10)="","",INDEX('Per Invoice'!N$2:N$401,$AH10)))</f>
        <v/>
      </c>
      <c r="O10">
        <f>IF($AH10="","",IF(INDEX('Per Invoice'!O$2:O$401,$AH10)="","",INDEX('Per Invoice'!O$2:O$401,$AH10)))</f>
        <v/>
      </c>
      <c r="P10" s="7">
        <f>IF($AH10="","",IF(INDEX('Per Invoice'!P$2:P$401,$AH10)="","",INDEX('Per Invoice'!P$2:P$401,$AH10)))</f>
        <v/>
      </c>
      <c r="Q10">
        <f>IF($AH10="","",IF(INDEX('Per Invoice'!Q$2:Q$401,$AH10)="","",INDEX('Per Invoice'!Q$2:Q$401,$AH10)))</f>
        <v/>
      </c>
      <c r="R10">
        <f>IF($AH10="","",IF(INDEX('Per Invoice'!R$2:R$401,$AH10)="","",INDEX('Per Invoice'!R$2:R$401,$AH10)))</f>
        <v/>
      </c>
      <c r="S10">
        <f>IF($AH10="","",IF(INDEX('Per Invoice'!S$2:S$401,$AH10)="","",INDEX('Per Invoice'!S$2:S$401,$AH10)))</f>
        <v/>
      </c>
      <c r="T10" s="7">
        <f>IF($AH10="","",IF(INDEX('Per Invoice'!T$2:T$401,$AH10)="","",INDEX('Per Invoice'!T$2:T$401,$AH10)))</f>
        <v/>
      </c>
      <c r="U10" s="7">
        <f>IF($AH10="","",IF(INDEX('Per Invoice'!U$2:U$401,$AH10)="","",INDEX('Per Invoice'!U$2:U$401,$AH10)))</f>
        <v/>
      </c>
      <c r="V10">
        <f>IF($AH10="","",IF(INDEX('Per Invoice'!V$2:V$401,$AH10)="","",INDEX('Per Invoice'!V$2:V$401,$AH10)))</f>
        <v/>
      </c>
      <c r="W10" s="7">
        <f>IF($AH10="","",IF(INDEX('Per Invoice'!W$2:W$401,$AH10)="","",INDEX('Per Invoice'!W$2:W$401,$AH10)))</f>
        <v/>
      </c>
      <c r="X10" s="7">
        <f>IF($AH10="","",IF(INDEX('Per Invoice'!X$2:X$401,$AH10)="","",INDEX('Per Invoice'!X$2:X$401,$AH10)))</f>
        <v/>
      </c>
      <c r="Y10">
        <f>IF($AH10="","",IF(INDEX('Per Invoice'!Y$2:Y$401,$AH10)="","",INDEX('Per Invoice'!Y$2:Y$401,$AH10)))</f>
        <v/>
      </c>
      <c r="Z10" s="7">
        <f>IF($AH10="","",IF(INDEX('Per Invoice'!Z$2:Z$401,$AH10)="","",INDEX('Per Invoice'!Z$2:Z$401,$AH10)))</f>
        <v/>
      </c>
      <c r="AA10" s="7">
        <f>IF($AH10="","",IF(INDEX('Per Invoice'!AA$2:AA$401,$AH10)="","",INDEX('Per Invoice'!AA$2:AA$401,$AH10)))</f>
        <v/>
      </c>
      <c r="AB10" s="7">
        <f>IF($AH10="","",IF(INDEX('Per Invoice'!AB$2:AB$401,$AH10)="","",INDEX('Per Invoice'!AB$2:AB$401,$AH10)))</f>
        <v/>
      </c>
      <c r="AC10" s="7">
        <f>IF($AH10="","",IF(INDEX('Per Invoice'!AC$2:AC$401,$AH10)="","",INDEX('Per Invoice'!AC$2:AC$401,$AH10)))</f>
        <v/>
      </c>
      <c r="AD10" s="7">
        <f>IF($AH10="","",IF(INDEX('Per Invoice'!AD$2:AD$401,$AH10)="","",INDEX('Per Invoice'!AD$2:AD$401,$AH10)))</f>
        <v/>
      </c>
      <c r="AE10" s="7">
        <f>IF($AH10="","",IF(INDEX('Per Invoice'!AE$2:AE$401,$AH10)="","",INDEX('Per Invoice'!AE$2:AE$401,$AH10)))</f>
        <v/>
      </c>
      <c r="AF10">
        <f>IF($AH10="","",IF(INDEX('Per Invoice'!AF$2:AF$401,$AH10)="","",INDEX('Per Invoice'!AF$2:AF$401,$AH10)))</f>
        <v/>
      </c>
      <c r="AG10" s="7">
        <f>IF($AH10="","",IF(INDEX('Per Invoice'!AG$2:AG$401,$AH10)="","",INDEX('Per Invoice'!AG$2:AG$401,$AH10)))</f>
        <v/>
      </c>
      <c r="AH10" s="16">
        <f>IFERROR(MATCH(Settings!$C$27&amp;"|"&amp;ROWS($AH$2:$AH10),'Per Invoice'!$AI$2:$AI$401,0),"")</f>
        <v/>
      </c>
    </row>
    <row r="11">
      <c r="A11">
        <f>IF($AH11="","",IF(INDEX('Per Invoice'!A$2:A$401,$AH11)="","",INDEX('Per Invoice'!A$2:A$401,$AH11)))</f>
        <v/>
      </c>
      <c r="B11">
        <f>IF($AH11="","",IF(INDEX('Per Invoice'!B$2:B$401,$AH11)="","",INDEX('Per Invoice'!B$2:B$401,$AH11)))</f>
        <v/>
      </c>
      <c r="C11">
        <f>IF($AH11="","",IF(INDEX('Per Invoice'!C$2:C$401,$AH11)="","",INDEX('Per Invoice'!C$2:C$401,$AH11)))</f>
        <v/>
      </c>
      <c r="D11">
        <f>IF($AH11="","",IF(INDEX('Per Invoice'!D$2:D$401,$AH11)="","",INDEX('Per Invoice'!D$2:D$401,$AH11)))</f>
        <v/>
      </c>
      <c r="E11">
        <f>IF($AH11="","",IF(INDEX('Per Invoice'!E$2:E$401,$AH11)="","",INDEX('Per Invoice'!E$2:E$401,$AH11)))</f>
        <v/>
      </c>
      <c r="F11">
        <f>IF($AH11="","",IF(INDEX('Per Invoice'!F$2:F$401,$AH11)="","",INDEX('Per Invoice'!F$2:F$401,$AH11)))</f>
        <v/>
      </c>
      <c r="G11">
        <f>IF($AH11="","",IF(INDEX('Per Invoice'!G$2:G$401,$AH11)="","",INDEX('Per Invoice'!G$2:G$401,$AH11)))</f>
        <v/>
      </c>
      <c r="H11">
        <f>IF($AH11="","",IF(INDEX('Per Invoice'!H$2:H$401,$AH11)="","",INDEX('Per Invoice'!H$2:H$401,$AH11)))</f>
        <v/>
      </c>
      <c r="I11" s="14">
        <f>IF($AH11="","",IF(INDEX('Per Invoice'!I$2:I$401,$AH11)="","",INDEX('Per Invoice'!I$2:I$401,$AH11)))</f>
        <v/>
      </c>
      <c r="J11">
        <f>IF($AH11="","",IF(INDEX('Per Invoice'!J$2:J$401,$AH11)="","",INDEX('Per Invoice'!J$2:J$401,$AH11)))</f>
        <v/>
      </c>
      <c r="K11">
        <f>IF($AH11="","",IF(INDEX('Per Invoice'!K$2:K$401,$AH11)="","",INDEX('Per Invoice'!K$2:K$401,$AH11)))</f>
        <v/>
      </c>
      <c r="L11">
        <f>IF($AH11="","",IF(INDEX('Per Invoice'!L$2:L$401,$AH11)="","",INDEX('Per Invoice'!L$2:L$401,$AH11)))</f>
        <v/>
      </c>
      <c r="M11">
        <f>IF($AH11="","",IF(INDEX('Per Invoice'!M$2:M$401,$AH11)="","",INDEX('Per Invoice'!M$2:M$401,$AH11)))</f>
        <v/>
      </c>
      <c r="N11">
        <f>IF($AH11="","",IF(INDEX('Per Invoice'!N$2:N$401,$AH11)="","",INDEX('Per Invoice'!N$2:N$401,$AH11)))</f>
        <v/>
      </c>
      <c r="O11">
        <f>IF($AH11="","",IF(INDEX('Per Invoice'!O$2:O$401,$AH11)="","",INDEX('Per Invoice'!O$2:O$401,$AH11)))</f>
        <v/>
      </c>
      <c r="P11" s="7">
        <f>IF($AH11="","",IF(INDEX('Per Invoice'!P$2:P$401,$AH11)="","",INDEX('Per Invoice'!P$2:P$401,$AH11)))</f>
        <v/>
      </c>
      <c r="Q11">
        <f>IF($AH11="","",IF(INDEX('Per Invoice'!Q$2:Q$401,$AH11)="","",INDEX('Per Invoice'!Q$2:Q$401,$AH11)))</f>
        <v/>
      </c>
      <c r="R11">
        <f>IF($AH11="","",IF(INDEX('Per Invoice'!R$2:R$401,$AH11)="","",INDEX('Per Invoice'!R$2:R$401,$AH11)))</f>
        <v/>
      </c>
      <c r="S11">
        <f>IF($AH11="","",IF(INDEX('Per Invoice'!S$2:S$401,$AH11)="","",INDEX('Per Invoice'!S$2:S$401,$AH11)))</f>
        <v/>
      </c>
      <c r="T11" s="7">
        <f>IF($AH11="","",IF(INDEX('Per Invoice'!T$2:T$401,$AH11)="","",INDEX('Per Invoice'!T$2:T$401,$AH11)))</f>
        <v/>
      </c>
      <c r="U11" s="7">
        <f>IF($AH11="","",IF(INDEX('Per Invoice'!U$2:U$401,$AH11)="","",INDEX('Per Invoice'!U$2:U$401,$AH11)))</f>
        <v/>
      </c>
      <c r="V11">
        <f>IF($AH11="","",IF(INDEX('Per Invoice'!V$2:V$401,$AH11)="","",INDEX('Per Invoice'!V$2:V$401,$AH11)))</f>
        <v/>
      </c>
      <c r="W11" s="7">
        <f>IF($AH11="","",IF(INDEX('Per Invoice'!W$2:W$401,$AH11)="","",INDEX('Per Invoice'!W$2:W$401,$AH11)))</f>
        <v/>
      </c>
      <c r="X11" s="7">
        <f>IF($AH11="","",IF(INDEX('Per Invoice'!X$2:X$401,$AH11)="","",INDEX('Per Invoice'!X$2:X$401,$AH11)))</f>
        <v/>
      </c>
      <c r="Y11">
        <f>IF($AH11="","",IF(INDEX('Per Invoice'!Y$2:Y$401,$AH11)="","",INDEX('Per Invoice'!Y$2:Y$401,$AH11)))</f>
        <v/>
      </c>
      <c r="Z11" s="7">
        <f>IF($AH11="","",IF(INDEX('Per Invoice'!Z$2:Z$401,$AH11)="","",INDEX('Per Invoice'!Z$2:Z$401,$AH11)))</f>
        <v/>
      </c>
      <c r="AA11" s="7">
        <f>IF($AH11="","",IF(INDEX('Per Invoice'!AA$2:AA$401,$AH11)="","",INDEX('Per Invoice'!AA$2:AA$401,$AH11)))</f>
        <v/>
      </c>
      <c r="AB11" s="7">
        <f>IF($AH11="","",IF(INDEX('Per Invoice'!AB$2:AB$401,$AH11)="","",INDEX('Per Invoice'!AB$2:AB$401,$AH11)))</f>
        <v/>
      </c>
      <c r="AC11" s="7">
        <f>IF($AH11="","",IF(INDEX('Per Invoice'!AC$2:AC$401,$AH11)="","",INDEX('Per Invoice'!AC$2:AC$401,$AH11)))</f>
        <v/>
      </c>
      <c r="AD11" s="7">
        <f>IF($AH11="","",IF(INDEX('Per Invoice'!AD$2:AD$401,$AH11)="","",INDEX('Per Invoice'!AD$2:AD$401,$AH11)))</f>
        <v/>
      </c>
      <c r="AE11" s="7">
        <f>IF($AH11="","",IF(INDEX('Per Invoice'!AE$2:AE$401,$AH11)="","",INDEX('Per Invoice'!AE$2:AE$401,$AH11)))</f>
        <v/>
      </c>
      <c r="AF11">
        <f>IF($AH11="","",IF(INDEX('Per Invoice'!AF$2:AF$401,$AH11)="","",INDEX('Per Invoice'!AF$2:AF$401,$AH11)))</f>
        <v/>
      </c>
      <c r="AG11" s="7">
        <f>IF($AH11="","",IF(INDEX('Per Invoice'!AG$2:AG$401,$AH11)="","",INDEX('Per Invoice'!AG$2:AG$401,$AH11)))</f>
        <v/>
      </c>
      <c r="AH11" s="16">
        <f>IFERROR(MATCH(Settings!$C$27&amp;"|"&amp;ROWS($AH$2:$AH11),'Per Invoice'!$AI$2:$AI$401,0),"")</f>
        <v/>
      </c>
    </row>
    <row r="12">
      <c r="A12">
        <f>IF($AH12="","",IF(INDEX('Per Invoice'!A$2:A$401,$AH12)="","",INDEX('Per Invoice'!A$2:A$401,$AH12)))</f>
        <v/>
      </c>
      <c r="B12">
        <f>IF($AH12="","",IF(INDEX('Per Invoice'!B$2:B$401,$AH12)="","",INDEX('Per Invoice'!B$2:B$401,$AH12)))</f>
        <v/>
      </c>
      <c r="C12">
        <f>IF($AH12="","",IF(INDEX('Per Invoice'!C$2:C$401,$AH12)="","",INDEX('Per Invoice'!C$2:C$401,$AH12)))</f>
        <v/>
      </c>
      <c r="D12">
        <f>IF($AH12="","",IF(INDEX('Per Invoice'!D$2:D$401,$AH12)="","",INDEX('Per Invoice'!D$2:D$401,$AH12)))</f>
        <v/>
      </c>
      <c r="E12">
        <f>IF($AH12="","",IF(INDEX('Per Invoice'!E$2:E$401,$AH12)="","",INDEX('Per Invoice'!E$2:E$401,$AH12)))</f>
        <v/>
      </c>
      <c r="F12">
        <f>IF($AH12="","",IF(INDEX('Per Invoice'!F$2:F$401,$AH12)="","",INDEX('Per Invoice'!F$2:F$401,$AH12)))</f>
        <v/>
      </c>
      <c r="G12">
        <f>IF($AH12="","",IF(INDEX('Per Invoice'!G$2:G$401,$AH12)="","",INDEX('Per Invoice'!G$2:G$401,$AH12)))</f>
        <v/>
      </c>
      <c r="H12">
        <f>IF($AH12="","",IF(INDEX('Per Invoice'!H$2:H$401,$AH12)="","",INDEX('Per Invoice'!H$2:H$401,$AH12)))</f>
        <v/>
      </c>
      <c r="I12" s="14">
        <f>IF($AH12="","",IF(INDEX('Per Invoice'!I$2:I$401,$AH12)="","",INDEX('Per Invoice'!I$2:I$401,$AH12)))</f>
        <v/>
      </c>
      <c r="J12">
        <f>IF($AH12="","",IF(INDEX('Per Invoice'!J$2:J$401,$AH12)="","",INDEX('Per Invoice'!J$2:J$401,$AH12)))</f>
        <v/>
      </c>
      <c r="K12">
        <f>IF($AH12="","",IF(INDEX('Per Invoice'!K$2:K$401,$AH12)="","",INDEX('Per Invoice'!K$2:K$401,$AH12)))</f>
        <v/>
      </c>
      <c r="L12">
        <f>IF($AH12="","",IF(INDEX('Per Invoice'!L$2:L$401,$AH12)="","",INDEX('Per Invoice'!L$2:L$401,$AH12)))</f>
        <v/>
      </c>
      <c r="M12">
        <f>IF($AH12="","",IF(INDEX('Per Invoice'!M$2:M$401,$AH12)="","",INDEX('Per Invoice'!M$2:M$401,$AH12)))</f>
        <v/>
      </c>
      <c r="N12">
        <f>IF($AH12="","",IF(INDEX('Per Invoice'!N$2:N$401,$AH12)="","",INDEX('Per Invoice'!N$2:N$401,$AH12)))</f>
        <v/>
      </c>
      <c r="O12">
        <f>IF($AH12="","",IF(INDEX('Per Invoice'!O$2:O$401,$AH12)="","",INDEX('Per Invoice'!O$2:O$401,$AH12)))</f>
        <v/>
      </c>
      <c r="P12" s="7">
        <f>IF($AH12="","",IF(INDEX('Per Invoice'!P$2:P$401,$AH12)="","",INDEX('Per Invoice'!P$2:P$401,$AH12)))</f>
        <v/>
      </c>
      <c r="Q12">
        <f>IF($AH12="","",IF(INDEX('Per Invoice'!Q$2:Q$401,$AH12)="","",INDEX('Per Invoice'!Q$2:Q$401,$AH12)))</f>
        <v/>
      </c>
      <c r="R12">
        <f>IF($AH12="","",IF(INDEX('Per Invoice'!R$2:R$401,$AH12)="","",INDEX('Per Invoice'!R$2:R$401,$AH12)))</f>
        <v/>
      </c>
      <c r="S12">
        <f>IF($AH12="","",IF(INDEX('Per Invoice'!S$2:S$401,$AH12)="","",INDEX('Per Invoice'!S$2:S$401,$AH12)))</f>
        <v/>
      </c>
      <c r="T12" s="7">
        <f>IF($AH12="","",IF(INDEX('Per Invoice'!T$2:T$401,$AH12)="","",INDEX('Per Invoice'!T$2:T$401,$AH12)))</f>
        <v/>
      </c>
      <c r="U12" s="7">
        <f>IF($AH12="","",IF(INDEX('Per Invoice'!U$2:U$401,$AH12)="","",INDEX('Per Invoice'!U$2:U$401,$AH12)))</f>
        <v/>
      </c>
      <c r="V12">
        <f>IF($AH12="","",IF(INDEX('Per Invoice'!V$2:V$401,$AH12)="","",INDEX('Per Invoice'!V$2:V$401,$AH12)))</f>
        <v/>
      </c>
      <c r="W12" s="7">
        <f>IF($AH12="","",IF(INDEX('Per Invoice'!W$2:W$401,$AH12)="","",INDEX('Per Invoice'!W$2:W$401,$AH12)))</f>
        <v/>
      </c>
      <c r="X12" s="7">
        <f>IF($AH12="","",IF(INDEX('Per Invoice'!X$2:X$401,$AH12)="","",INDEX('Per Invoice'!X$2:X$401,$AH12)))</f>
        <v/>
      </c>
      <c r="Y12">
        <f>IF($AH12="","",IF(INDEX('Per Invoice'!Y$2:Y$401,$AH12)="","",INDEX('Per Invoice'!Y$2:Y$401,$AH12)))</f>
        <v/>
      </c>
      <c r="Z12" s="7">
        <f>IF($AH12="","",IF(INDEX('Per Invoice'!Z$2:Z$401,$AH12)="","",INDEX('Per Invoice'!Z$2:Z$401,$AH12)))</f>
        <v/>
      </c>
      <c r="AA12" s="7">
        <f>IF($AH12="","",IF(INDEX('Per Invoice'!AA$2:AA$401,$AH12)="","",INDEX('Per Invoice'!AA$2:AA$401,$AH12)))</f>
        <v/>
      </c>
      <c r="AB12" s="7">
        <f>IF($AH12="","",IF(INDEX('Per Invoice'!AB$2:AB$401,$AH12)="","",INDEX('Per Invoice'!AB$2:AB$401,$AH12)))</f>
        <v/>
      </c>
      <c r="AC12" s="7">
        <f>IF($AH12="","",IF(INDEX('Per Invoice'!AC$2:AC$401,$AH12)="","",INDEX('Per Invoice'!AC$2:AC$401,$AH12)))</f>
        <v/>
      </c>
      <c r="AD12" s="7">
        <f>IF($AH12="","",IF(INDEX('Per Invoice'!AD$2:AD$401,$AH12)="","",INDEX('Per Invoice'!AD$2:AD$401,$AH12)))</f>
        <v/>
      </c>
      <c r="AE12" s="7">
        <f>IF($AH12="","",IF(INDEX('Per Invoice'!AE$2:AE$401,$AH12)="","",INDEX('Per Invoice'!AE$2:AE$401,$AH12)))</f>
        <v/>
      </c>
      <c r="AF12">
        <f>IF($AH12="","",IF(INDEX('Per Invoice'!AF$2:AF$401,$AH12)="","",INDEX('Per Invoice'!AF$2:AF$401,$AH12)))</f>
        <v/>
      </c>
      <c r="AG12" s="7">
        <f>IF($AH12="","",IF(INDEX('Per Invoice'!AG$2:AG$401,$AH12)="","",INDEX('Per Invoice'!AG$2:AG$401,$AH12)))</f>
        <v/>
      </c>
      <c r="AH12" s="16">
        <f>IFERROR(MATCH(Settings!$C$27&amp;"|"&amp;ROWS($AH$2:$AH12),'Per Invoice'!$AI$2:$AI$401,0),"")</f>
        <v/>
      </c>
    </row>
    <row r="13">
      <c r="A13">
        <f>IF($AH13="","",IF(INDEX('Per Invoice'!A$2:A$401,$AH13)="","",INDEX('Per Invoice'!A$2:A$401,$AH13)))</f>
        <v/>
      </c>
      <c r="B13">
        <f>IF($AH13="","",IF(INDEX('Per Invoice'!B$2:B$401,$AH13)="","",INDEX('Per Invoice'!B$2:B$401,$AH13)))</f>
        <v/>
      </c>
      <c r="C13">
        <f>IF($AH13="","",IF(INDEX('Per Invoice'!C$2:C$401,$AH13)="","",INDEX('Per Invoice'!C$2:C$401,$AH13)))</f>
        <v/>
      </c>
      <c r="D13">
        <f>IF($AH13="","",IF(INDEX('Per Invoice'!D$2:D$401,$AH13)="","",INDEX('Per Invoice'!D$2:D$401,$AH13)))</f>
        <v/>
      </c>
      <c r="E13">
        <f>IF($AH13="","",IF(INDEX('Per Invoice'!E$2:E$401,$AH13)="","",INDEX('Per Invoice'!E$2:E$401,$AH13)))</f>
        <v/>
      </c>
      <c r="F13">
        <f>IF($AH13="","",IF(INDEX('Per Invoice'!F$2:F$401,$AH13)="","",INDEX('Per Invoice'!F$2:F$401,$AH13)))</f>
        <v/>
      </c>
      <c r="G13">
        <f>IF($AH13="","",IF(INDEX('Per Invoice'!G$2:G$401,$AH13)="","",INDEX('Per Invoice'!G$2:G$401,$AH13)))</f>
        <v/>
      </c>
      <c r="H13">
        <f>IF($AH13="","",IF(INDEX('Per Invoice'!H$2:H$401,$AH13)="","",INDEX('Per Invoice'!H$2:H$401,$AH13)))</f>
        <v/>
      </c>
      <c r="I13" s="14">
        <f>IF($AH13="","",IF(INDEX('Per Invoice'!I$2:I$401,$AH13)="","",INDEX('Per Invoice'!I$2:I$401,$AH13)))</f>
        <v/>
      </c>
      <c r="J13">
        <f>IF($AH13="","",IF(INDEX('Per Invoice'!J$2:J$401,$AH13)="","",INDEX('Per Invoice'!J$2:J$401,$AH13)))</f>
        <v/>
      </c>
      <c r="K13">
        <f>IF($AH13="","",IF(INDEX('Per Invoice'!K$2:K$401,$AH13)="","",INDEX('Per Invoice'!K$2:K$401,$AH13)))</f>
        <v/>
      </c>
      <c r="L13">
        <f>IF($AH13="","",IF(INDEX('Per Invoice'!L$2:L$401,$AH13)="","",INDEX('Per Invoice'!L$2:L$401,$AH13)))</f>
        <v/>
      </c>
      <c r="M13">
        <f>IF($AH13="","",IF(INDEX('Per Invoice'!M$2:M$401,$AH13)="","",INDEX('Per Invoice'!M$2:M$401,$AH13)))</f>
        <v/>
      </c>
      <c r="N13">
        <f>IF($AH13="","",IF(INDEX('Per Invoice'!N$2:N$401,$AH13)="","",INDEX('Per Invoice'!N$2:N$401,$AH13)))</f>
        <v/>
      </c>
      <c r="O13">
        <f>IF($AH13="","",IF(INDEX('Per Invoice'!O$2:O$401,$AH13)="","",INDEX('Per Invoice'!O$2:O$401,$AH13)))</f>
        <v/>
      </c>
      <c r="P13" s="7">
        <f>IF($AH13="","",IF(INDEX('Per Invoice'!P$2:P$401,$AH13)="","",INDEX('Per Invoice'!P$2:P$401,$AH13)))</f>
        <v/>
      </c>
      <c r="Q13">
        <f>IF($AH13="","",IF(INDEX('Per Invoice'!Q$2:Q$401,$AH13)="","",INDEX('Per Invoice'!Q$2:Q$401,$AH13)))</f>
        <v/>
      </c>
      <c r="R13">
        <f>IF($AH13="","",IF(INDEX('Per Invoice'!R$2:R$401,$AH13)="","",INDEX('Per Invoice'!R$2:R$401,$AH13)))</f>
        <v/>
      </c>
      <c r="S13">
        <f>IF($AH13="","",IF(INDEX('Per Invoice'!S$2:S$401,$AH13)="","",INDEX('Per Invoice'!S$2:S$401,$AH13)))</f>
        <v/>
      </c>
      <c r="T13" s="7">
        <f>IF($AH13="","",IF(INDEX('Per Invoice'!T$2:T$401,$AH13)="","",INDEX('Per Invoice'!T$2:T$401,$AH13)))</f>
        <v/>
      </c>
      <c r="U13" s="7">
        <f>IF($AH13="","",IF(INDEX('Per Invoice'!U$2:U$401,$AH13)="","",INDEX('Per Invoice'!U$2:U$401,$AH13)))</f>
        <v/>
      </c>
      <c r="V13">
        <f>IF($AH13="","",IF(INDEX('Per Invoice'!V$2:V$401,$AH13)="","",INDEX('Per Invoice'!V$2:V$401,$AH13)))</f>
        <v/>
      </c>
      <c r="W13" s="7">
        <f>IF($AH13="","",IF(INDEX('Per Invoice'!W$2:W$401,$AH13)="","",INDEX('Per Invoice'!W$2:W$401,$AH13)))</f>
        <v/>
      </c>
      <c r="X13" s="7">
        <f>IF($AH13="","",IF(INDEX('Per Invoice'!X$2:X$401,$AH13)="","",INDEX('Per Invoice'!X$2:X$401,$AH13)))</f>
        <v/>
      </c>
      <c r="Y13">
        <f>IF($AH13="","",IF(INDEX('Per Invoice'!Y$2:Y$401,$AH13)="","",INDEX('Per Invoice'!Y$2:Y$401,$AH13)))</f>
        <v/>
      </c>
      <c r="Z13" s="7">
        <f>IF($AH13="","",IF(INDEX('Per Invoice'!Z$2:Z$401,$AH13)="","",INDEX('Per Invoice'!Z$2:Z$401,$AH13)))</f>
        <v/>
      </c>
      <c r="AA13" s="7">
        <f>IF($AH13="","",IF(INDEX('Per Invoice'!AA$2:AA$401,$AH13)="","",INDEX('Per Invoice'!AA$2:AA$401,$AH13)))</f>
        <v/>
      </c>
      <c r="AB13" s="7">
        <f>IF($AH13="","",IF(INDEX('Per Invoice'!AB$2:AB$401,$AH13)="","",INDEX('Per Invoice'!AB$2:AB$401,$AH13)))</f>
        <v/>
      </c>
      <c r="AC13" s="7">
        <f>IF($AH13="","",IF(INDEX('Per Invoice'!AC$2:AC$401,$AH13)="","",INDEX('Per Invoice'!AC$2:AC$401,$AH13)))</f>
        <v/>
      </c>
      <c r="AD13" s="7">
        <f>IF($AH13="","",IF(INDEX('Per Invoice'!AD$2:AD$401,$AH13)="","",INDEX('Per Invoice'!AD$2:AD$401,$AH13)))</f>
        <v/>
      </c>
      <c r="AE13" s="7">
        <f>IF($AH13="","",IF(INDEX('Per Invoice'!AE$2:AE$401,$AH13)="","",INDEX('Per Invoice'!AE$2:AE$401,$AH13)))</f>
        <v/>
      </c>
      <c r="AF13">
        <f>IF($AH13="","",IF(INDEX('Per Invoice'!AF$2:AF$401,$AH13)="","",INDEX('Per Invoice'!AF$2:AF$401,$AH13)))</f>
        <v/>
      </c>
      <c r="AG13" s="7">
        <f>IF($AH13="","",IF(INDEX('Per Invoice'!AG$2:AG$401,$AH13)="","",INDEX('Per Invoice'!AG$2:AG$401,$AH13)))</f>
        <v/>
      </c>
      <c r="AH13" s="16">
        <f>IFERROR(MATCH(Settings!$C$27&amp;"|"&amp;ROWS($AH$2:$AH13),'Per Invoice'!$AI$2:$AI$401,0),"")</f>
        <v/>
      </c>
    </row>
    <row r="14">
      <c r="A14">
        <f>IF($AH14="","",IF(INDEX('Per Invoice'!A$2:A$401,$AH14)="","",INDEX('Per Invoice'!A$2:A$401,$AH14)))</f>
        <v/>
      </c>
      <c r="B14">
        <f>IF($AH14="","",IF(INDEX('Per Invoice'!B$2:B$401,$AH14)="","",INDEX('Per Invoice'!B$2:B$401,$AH14)))</f>
        <v/>
      </c>
      <c r="C14">
        <f>IF($AH14="","",IF(INDEX('Per Invoice'!C$2:C$401,$AH14)="","",INDEX('Per Invoice'!C$2:C$401,$AH14)))</f>
        <v/>
      </c>
      <c r="D14">
        <f>IF($AH14="","",IF(INDEX('Per Invoice'!D$2:D$401,$AH14)="","",INDEX('Per Invoice'!D$2:D$401,$AH14)))</f>
        <v/>
      </c>
      <c r="E14">
        <f>IF($AH14="","",IF(INDEX('Per Invoice'!E$2:E$401,$AH14)="","",INDEX('Per Invoice'!E$2:E$401,$AH14)))</f>
        <v/>
      </c>
      <c r="F14">
        <f>IF($AH14="","",IF(INDEX('Per Invoice'!F$2:F$401,$AH14)="","",INDEX('Per Invoice'!F$2:F$401,$AH14)))</f>
        <v/>
      </c>
      <c r="G14">
        <f>IF($AH14="","",IF(INDEX('Per Invoice'!G$2:G$401,$AH14)="","",INDEX('Per Invoice'!G$2:G$401,$AH14)))</f>
        <v/>
      </c>
      <c r="H14">
        <f>IF($AH14="","",IF(INDEX('Per Invoice'!H$2:H$401,$AH14)="","",INDEX('Per Invoice'!H$2:H$401,$AH14)))</f>
        <v/>
      </c>
      <c r="I14" s="14">
        <f>IF($AH14="","",IF(INDEX('Per Invoice'!I$2:I$401,$AH14)="","",INDEX('Per Invoice'!I$2:I$401,$AH14)))</f>
        <v/>
      </c>
      <c r="J14">
        <f>IF($AH14="","",IF(INDEX('Per Invoice'!J$2:J$401,$AH14)="","",INDEX('Per Invoice'!J$2:J$401,$AH14)))</f>
        <v/>
      </c>
      <c r="K14">
        <f>IF($AH14="","",IF(INDEX('Per Invoice'!K$2:K$401,$AH14)="","",INDEX('Per Invoice'!K$2:K$401,$AH14)))</f>
        <v/>
      </c>
      <c r="L14">
        <f>IF($AH14="","",IF(INDEX('Per Invoice'!L$2:L$401,$AH14)="","",INDEX('Per Invoice'!L$2:L$401,$AH14)))</f>
        <v/>
      </c>
      <c r="M14">
        <f>IF($AH14="","",IF(INDEX('Per Invoice'!M$2:M$401,$AH14)="","",INDEX('Per Invoice'!M$2:M$401,$AH14)))</f>
        <v/>
      </c>
      <c r="N14">
        <f>IF($AH14="","",IF(INDEX('Per Invoice'!N$2:N$401,$AH14)="","",INDEX('Per Invoice'!N$2:N$401,$AH14)))</f>
        <v/>
      </c>
      <c r="O14">
        <f>IF($AH14="","",IF(INDEX('Per Invoice'!O$2:O$401,$AH14)="","",INDEX('Per Invoice'!O$2:O$401,$AH14)))</f>
        <v/>
      </c>
      <c r="P14" s="7">
        <f>IF($AH14="","",IF(INDEX('Per Invoice'!P$2:P$401,$AH14)="","",INDEX('Per Invoice'!P$2:P$401,$AH14)))</f>
        <v/>
      </c>
      <c r="Q14">
        <f>IF($AH14="","",IF(INDEX('Per Invoice'!Q$2:Q$401,$AH14)="","",INDEX('Per Invoice'!Q$2:Q$401,$AH14)))</f>
        <v/>
      </c>
      <c r="R14">
        <f>IF($AH14="","",IF(INDEX('Per Invoice'!R$2:R$401,$AH14)="","",INDEX('Per Invoice'!R$2:R$401,$AH14)))</f>
        <v/>
      </c>
      <c r="S14">
        <f>IF($AH14="","",IF(INDEX('Per Invoice'!S$2:S$401,$AH14)="","",INDEX('Per Invoice'!S$2:S$401,$AH14)))</f>
        <v/>
      </c>
      <c r="T14" s="7">
        <f>IF($AH14="","",IF(INDEX('Per Invoice'!T$2:T$401,$AH14)="","",INDEX('Per Invoice'!T$2:T$401,$AH14)))</f>
        <v/>
      </c>
      <c r="U14" s="7">
        <f>IF($AH14="","",IF(INDEX('Per Invoice'!U$2:U$401,$AH14)="","",INDEX('Per Invoice'!U$2:U$401,$AH14)))</f>
        <v/>
      </c>
      <c r="V14">
        <f>IF($AH14="","",IF(INDEX('Per Invoice'!V$2:V$401,$AH14)="","",INDEX('Per Invoice'!V$2:V$401,$AH14)))</f>
        <v/>
      </c>
      <c r="W14" s="7">
        <f>IF($AH14="","",IF(INDEX('Per Invoice'!W$2:W$401,$AH14)="","",INDEX('Per Invoice'!W$2:W$401,$AH14)))</f>
        <v/>
      </c>
      <c r="X14" s="7">
        <f>IF($AH14="","",IF(INDEX('Per Invoice'!X$2:X$401,$AH14)="","",INDEX('Per Invoice'!X$2:X$401,$AH14)))</f>
        <v/>
      </c>
      <c r="Y14">
        <f>IF($AH14="","",IF(INDEX('Per Invoice'!Y$2:Y$401,$AH14)="","",INDEX('Per Invoice'!Y$2:Y$401,$AH14)))</f>
        <v/>
      </c>
      <c r="Z14" s="7">
        <f>IF($AH14="","",IF(INDEX('Per Invoice'!Z$2:Z$401,$AH14)="","",INDEX('Per Invoice'!Z$2:Z$401,$AH14)))</f>
        <v/>
      </c>
      <c r="AA14" s="7">
        <f>IF($AH14="","",IF(INDEX('Per Invoice'!AA$2:AA$401,$AH14)="","",INDEX('Per Invoice'!AA$2:AA$401,$AH14)))</f>
        <v/>
      </c>
      <c r="AB14" s="7">
        <f>IF($AH14="","",IF(INDEX('Per Invoice'!AB$2:AB$401,$AH14)="","",INDEX('Per Invoice'!AB$2:AB$401,$AH14)))</f>
        <v/>
      </c>
      <c r="AC14" s="7">
        <f>IF($AH14="","",IF(INDEX('Per Invoice'!AC$2:AC$401,$AH14)="","",INDEX('Per Invoice'!AC$2:AC$401,$AH14)))</f>
        <v/>
      </c>
      <c r="AD14" s="7">
        <f>IF($AH14="","",IF(INDEX('Per Invoice'!AD$2:AD$401,$AH14)="","",INDEX('Per Invoice'!AD$2:AD$401,$AH14)))</f>
        <v/>
      </c>
      <c r="AE14" s="7">
        <f>IF($AH14="","",IF(INDEX('Per Invoice'!AE$2:AE$401,$AH14)="","",INDEX('Per Invoice'!AE$2:AE$401,$AH14)))</f>
        <v/>
      </c>
      <c r="AF14">
        <f>IF($AH14="","",IF(INDEX('Per Invoice'!AF$2:AF$401,$AH14)="","",INDEX('Per Invoice'!AF$2:AF$401,$AH14)))</f>
        <v/>
      </c>
      <c r="AG14" s="7">
        <f>IF($AH14="","",IF(INDEX('Per Invoice'!AG$2:AG$401,$AH14)="","",INDEX('Per Invoice'!AG$2:AG$401,$AH14)))</f>
        <v/>
      </c>
      <c r="AH14" s="16">
        <f>IFERROR(MATCH(Settings!$C$27&amp;"|"&amp;ROWS($AH$2:$AH14),'Per Invoice'!$AI$2:$AI$401,0),"")</f>
        <v/>
      </c>
    </row>
    <row r="15">
      <c r="A15">
        <f>IF($AH15="","",IF(INDEX('Per Invoice'!A$2:A$401,$AH15)="","",INDEX('Per Invoice'!A$2:A$401,$AH15)))</f>
        <v/>
      </c>
      <c r="B15">
        <f>IF($AH15="","",IF(INDEX('Per Invoice'!B$2:B$401,$AH15)="","",INDEX('Per Invoice'!B$2:B$401,$AH15)))</f>
        <v/>
      </c>
      <c r="C15">
        <f>IF($AH15="","",IF(INDEX('Per Invoice'!C$2:C$401,$AH15)="","",INDEX('Per Invoice'!C$2:C$401,$AH15)))</f>
        <v/>
      </c>
      <c r="D15">
        <f>IF($AH15="","",IF(INDEX('Per Invoice'!D$2:D$401,$AH15)="","",INDEX('Per Invoice'!D$2:D$401,$AH15)))</f>
        <v/>
      </c>
      <c r="E15">
        <f>IF($AH15="","",IF(INDEX('Per Invoice'!E$2:E$401,$AH15)="","",INDEX('Per Invoice'!E$2:E$401,$AH15)))</f>
        <v/>
      </c>
      <c r="F15">
        <f>IF($AH15="","",IF(INDEX('Per Invoice'!F$2:F$401,$AH15)="","",INDEX('Per Invoice'!F$2:F$401,$AH15)))</f>
        <v/>
      </c>
      <c r="G15">
        <f>IF($AH15="","",IF(INDEX('Per Invoice'!G$2:G$401,$AH15)="","",INDEX('Per Invoice'!G$2:G$401,$AH15)))</f>
        <v/>
      </c>
      <c r="H15">
        <f>IF($AH15="","",IF(INDEX('Per Invoice'!H$2:H$401,$AH15)="","",INDEX('Per Invoice'!H$2:H$401,$AH15)))</f>
        <v/>
      </c>
      <c r="I15" s="14">
        <f>IF($AH15="","",IF(INDEX('Per Invoice'!I$2:I$401,$AH15)="","",INDEX('Per Invoice'!I$2:I$401,$AH15)))</f>
        <v/>
      </c>
      <c r="J15">
        <f>IF($AH15="","",IF(INDEX('Per Invoice'!J$2:J$401,$AH15)="","",INDEX('Per Invoice'!J$2:J$401,$AH15)))</f>
        <v/>
      </c>
      <c r="K15">
        <f>IF($AH15="","",IF(INDEX('Per Invoice'!K$2:K$401,$AH15)="","",INDEX('Per Invoice'!K$2:K$401,$AH15)))</f>
        <v/>
      </c>
      <c r="L15">
        <f>IF($AH15="","",IF(INDEX('Per Invoice'!L$2:L$401,$AH15)="","",INDEX('Per Invoice'!L$2:L$401,$AH15)))</f>
        <v/>
      </c>
      <c r="M15">
        <f>IF($AH15="","",IF(INDEX('Per Invoice'!M$2:M$401,$AH15)="","",INDEX('Per Invoice'!M$2:M$401,$AH15)))</f>
        <v/>
      </c>
      <c r="N15">
        <f>IF($AH15="","",IF(INDEX('Per Invoice'!N$2:N$401,$AH15)="","",INDEX('Per Invoice'!N$2:N$401,$AH15)))</f>
        <v/>
      </c>
      <c r="O15">
        <f>IF($AH15="","",IF(INDEX('Per Invoice'!O$2:O$401,$AH15)="","",INDEX('Per Invoice'!O$2:O$401,$AH15)))</f>
        <v/>
      </c>
      <c r="P15" s="7">
        <f>IF($AH15="","",IF(INDEX('Per Invoice'!P$2:P$401,$AH15)="","",INDEX('Per Invoice'!P$2:P$401,$AH15)))</f>
        <v/>
      </c>
      <c r="Q15">
        <f>IF($AH15="","",IF(INDEX('Per Invoice'!Q$2:Q$401,$AH15)="","",INDEX('Per Invoice'!Q$2:Q$401,$AH15)))</f>
        <v/>
      </c>
      <c r="R15">
        <f>IF($AH15="","",IF(INDEX('Per Invoice'!R$2:R$401,$AH15)="","",INDEX('Per Invoice'!R$2:R$401,$AH15)))</f>
        <v/>
      </c>
      <c r="S15">
        <f>IF($AH15="","",IF(INDEX('Per Invoice'!S$2:S$401,$AH15)="","",INDEX('Per Invoice'!S$2:S$401,$AH15)))</f>
        <v/>
      </c>
      <c r="T15" s="7">
        <f>IF($AH15="","",IF(INDEX('Per Invoice'!T$2:T$401,$AH15)="","",INDEX('Per Invoice'!T$2:T$401,$AH15)))</f>
        <v/>
      </c>
      <c r="U15" s="7">
        <f>IF($AH15="","",IF(INDEX('Per Invoice'!U$2:U$401,$AH15)="","",INDEX('Per Invoice'!U$2:U$401,$AH15)))</f>
        <v/>
      </c>
      <c r="V15">
        <f>IF($AH15="","",IF(INDEX('Per Invoice'!V$2:V$401,$AH15)="","",INDEX('Per Invoice'!V$2:V$401,$AH15)))</f>
        <v/>
      </c>
      <c r="W15" s="7">
        <f>IF($AH15="","",IF(INDEX('Per Invoice'!W$2:W$401,$AH15)="","",INDEX('Per Invoice'!W$2:W$401,$AH15)))</f>
        <v/>
      </c>
      <c r="X15" s="7">
        <f>IF($AH15="","",IF(INDEX('Per Invoice'!X$2:X$401,$AH15)="","",INDEX('Per Invoice'!X$2:X$401,$AH15)))</f>
        <v/>
      </c>
      <c r="Y15">
        <f>IF($AH15="","",IF(INDEX('Per Invoice'!Y$2:Y$401,$AH15)="","",INDEX('Per Invoice'!Y$2:Y$401,$AH15)))</f>
        <v/>
      </c>
      <c r="Z15" s="7">
        <f>IF($AH15="","",IF(INDEX('Per Invoice'!Z$2:Z$401,$AH15)="","",INDEX('Per Invoice'!Z$2:Z$401,$AH15)))</f>
        <v/>
      </c>
      <c r="AA15" s="7">
        <f>IF($AH15="","",IF(INDEX('Per Invoice'!AA$2:AA$401,$AH15)="","",INDEX('Per Invoice'!AA$2:AA$401,$AH15)))</f>
        <v/>
      </c>
      <c r="AB15" s="7">
        <f>IF($AH15="","",IF(INDEX('Per Invoice'!AB$2:AB$401,$AH15)="","",INDEX('Per Invoice'!AB$2:AB$401,$AH15)))</f>
        <v/>
      </c>
      <c r="AC15" s="7">
        <f>IF($AH15="","",IF(INDEX('Per Invoice'!AC$2:AC$401,$AH15)="","",INDEX('Per Invoice'!AC$2:AC$401,$AH15)))</f>
        <v/>
      </c>
      <c r="AD15" s="7">
        <f>IF($AH15="","",IF(INDEX('Per Invoice'!AD$2:AD$401,$AH15)="","",INDEX('Per Invoice'!AD$2:AD$401,$AH15)))</f>
        <v/>
      </c>
      <c r="AE15" s="7">
        <f>IF($AH15="","",IF(INDEX('Per Invoice'!AE$2:AE$401,$AH15)="","",INDEX('Per Invoice'!AE$2:AE$401,$AH15)))</f>
        <v/>
      </c>
      <c r="AF15">
        <f>IF($AH15="","",IF(INDEX('Per Invoice'!AF$2:AF$401,$AH15)="","",INDEX('Per Invoice'!AF$2:AF$401,$AH15)))</f>
        <v/>
      </c>
      <c r="AG15" s="7">
        <f>IF($AH15="","",IF(INDEX('Per Invoice'!AG$2:AG$401,$AH15)="","",INDEX('Per Invoice'!AG$2:AG$401,$AH15)))</f>
        <v/>
      </c>
      <c r="AH15" s="16">
        <f>IFERROR(MATCH(Settings!$C$27&amp;"|"&amp;ROWS($AH$2:$AH15),'Per Invoice'!$AI$2:$AI$401,0),"")</f>
        <v/>
      </c>
    </row>
    <row r="16">
      <c r="A16">
        <f>IF($AH16="","",IF(INDEX('Per Invoice'!A$2:A$401,$AH16)="","",INDEX('Per Invoice'!A$2:A$401,$AH16)))</f>
        <v/>
      </c>
      <c r="B16">
        <f>IF($AH16="","",IF(INDEX('Per Invoice'!B$2:B$401,$AH16)="","",INDEX('Per Invoice'!B$2:B$401,$AH16)))</f>
        <v/>
      </c>
      <c r="C16">
        <f>IF($AH16="","",IF(INDEX('Per Invoice'!C$2:C$401,$AH16)="","",INDEX('Per Invoice'!C$2:C$401,$AH16)))</f>
        <v/>
      </c>
      <c r="D16">
        <f>IF($AH16="","",IF(INDEX('Per Invoice'!D$2:D$401,$AH16)="","",INDEX('Per Invoice'!D$2:D$401,$AH16)))</f>
        <v/>
      </c>
      <c r="E16">
        <f>IF($AH16="","",IF(INDEX('Per Invoice'!E$2:E$401,$AH16)="","",INDEX('Per Invoice'!E$2:E$401,$AH16)))</f>
        <v/>
      </c>
      <c r="F16">
        <f>IF($AH16="","",IF(INDEX('Per Invoice'!F$2:F$401,$AH16)="","",INDEX('Per Invoice'!F$2:F$401,$AH16)))</f>
        <v/>
      </c>
      <c r="G16">
        <f>IF($AH16="","",IF(INDEX('Per Invoice'!G$2:G$401,$AH16)="","",INDEX('Per Invoice'!G$2:G$401,$AH16)))</f>
        <v/>
      </c>
      <c r="H16">
        <f>IF($AH16="","",IF(INDEX('Per Invoice'!H$2:H$401,$AH16)="","",INDEX('Per Invoice'!H$2:H$401,$AH16)))</f>
        <v/>
      </c>
      <c r="I16" s="14">
        <f>IF($AH16="","",IF(INDEX('Per Invoice'!I$2:I$401,$AH16)="","",INDEX('Per Invoice'!I$2:I$401,$AH16)))</f>
        <v/>
      </c>
      <c r="J16">
        <f>IF($AH16="","",IF(INDEX('Per Invoice'!J$2:J$401,$AH16)="","",INDEX('Per Invoice'!J$2:J$401,$AH16)))</f>
        <v/>
      </c>
      <c r="K16">
        <f>IF($AH16="","",IF(INDEX('Per Invoice'!K$2:K$401,$AH16)="","",INDEX('Per Invoice'!K$2:K$401,$AH16)))</f>
        <v/>
      </c>
      <c r="L16">
        <f>IF($AH16="","",IF(INDEX('Per Invoice'!L$2:L$401,$AH16)="","",INDEX('Per Invoice'!L$2:L$401,$AH16)))</f>
        <v/>
      </c>
      <c r="M16">
        <f>IF($AH16="","",IF(INDEX('Per Invoice'!M$2:M$401,$AH16)="","",INDEX('Per Invoice'!M$2:M$401,$AH16)))</f>
        <v/>
      </c>
      <c r="N16">
        <f>IF($AH16="","",IF(INDEX('Per Invoice'!N$2:N$401,$AH16)="","",INDEX('Per Invoice'!N$2:N$401,$AH16)))</f>
        <v/>
      </c>
      <c r="O16">
        <f>IF($AH16="","",IF(INDEX('Per Invoice'!O$2:O$401,$AH16)="","",INDEX('Per Invoice'!O$2:O$401,$AH16)))</f>
        <v/>
      </c>
      <c r="P16" s="7">
        <f>IF($AH16="","",IF(INDEX('Per Invoice'!P$2:P$401,$AH16)="","",INDEX('Per Invoice'!P$2:P$401,$AH16)))</f>
        <v/>
      </c>
      <c r="Q16">
        <f>IF($AH16="","",IF(INDEX('Per Invoice'!Q$2:Q$401,$AH16)="","",INDEX('Per Invoice'!Q$2:Q$401,$AH16)))</f>
        <v/>
      </c>
      <c r="R16">
        <f>IF($AH16="","",IF(INDEX('Per Invoice'!R$2:R$401,$AH16)="","",INDEX('Per Invoice'!R$2:R$401,$AH16)))</f>
        <v/>
      </c>
      <c r="S16">
        <f>IF($AH16="","",IF(INDEX('Per Invoice'!S$2:S$401,$AH16)="","",INDEX('Per Invoice'!S$2:S$401,$AH16)))</f>
        <v/>
      </c>
      <c r="T16" s="7">
        <f>IF($AH16="","",IF(INDEX('Per Invoice'!T$2:T$401,$AH16)="","",INDEX('Per Invoice'!T$2:T$401,$AH16)))</f>
        <v/>
      </c>
      <c r="U16" s="7">
        <f>IF($AH16="","",IF(INDEX('Per Invoice'!U$2:U$401,$AH16)="","",INDEX('Per Invoice'!U$2:U$401,$AH16)))</f>
        <v/>
      </c>
      <c r="V16">
        <f>IF($AH16="","",IF(INDEX('Per Invoice'!V$2:V$401,$AH16)="","",INDEX('Per Invoice'!V$2:V$401,$AH16)))</f>
        <v/>
      </c>
      <c r="W16" s="7">
        <f>IF($AH16="","",IF(INDEX('Per Invoice'!W$2:W$401,$AH16)="","",INDEX('Per Invoice'!W$2:W$401,$AH16)))</f>
        <v/>
      </c>
      <c r="X16" s="7">
        <f>IF($AH16="","",IF(INDEX('Per Invoice'!X$2:X$401,$AH16)="","",INDEX('Per Invoice'!X$2:X$401,$AH16)))</f>
        <v/>
      </c>
      <c r="Y16">
        <f>IF($AH16="","",IF(INDEX('Per Invoice'!Y$2:Y$401,$AH16)="","",INDEX('Per Invoice'!Y$2:Y$401,$AH16)))</f>
        <v/>
      </c>
      <c r="Z16" s="7">
        <f>IF($AH16="","",IF(INDEX('Per Invoice'!Z$2:Z$401,$AH16)="","",INDEX('Per Invoice'!Z$2:Z$401,$AH16)))</f>
        <v/>
      </c>
      <c r="AA16" s="7">
        <f>IF($AH16="","",IF(INDEX('Per Invoice'!AA$2:AA$401,$AH16)="","",INDEX('Per Invoice'!AA$2:AA$401,$AH16)))</f>
        <v/>
      </c>
      <c r="AB16" s="7">
        <f>IF($AH16="","",IF(INDEX('Per Invoice'!AB$2:AB$401,$AH16)="","",INDEX('Per Invoice'!AB$2:AB$401,$AH16)))</f>
        <v/>
      </c>
      <c r="AC16" s="7">
        <f>IF($AH16="","",IF(INDEX('Per Invoice'!AC$2:AC$401,$AH16)="","",INDEX('Per Invoice'!AC$2:AC$401,$AH16)))</f>
        <v/>
      </c>
      <c r="AD16" s="7">
        <f>IF($AH16="","",IF(INDEX('Per Invoice'!AD$2:AD$401,$AH16)="","",INDEX('Per Invoice'!AD$2:AD$401,$AH16)))</f>
        <v/>
      </c>
      <c r="AE16" s="7">
        <f>IF($AH16="","",IF(INDEX('Per Invoice'!AE$2:AE$401,$AH16)="","",INDEX('Per Invoice'!AE$2:AE$401,$AH16)))</f>
        <v/>
      </c>
      <c r="AF16">
        <f>IF($AH16="","",IF(INDEX('Per Invoice'!AF$2:AF$401,$AH16)="","",INDEX('Per Invoice'!AF$2:AF$401,$AH16)))</f>
        <v/>
      </c>
      <c r="AG16" s="7">
        <f>IF($AH16="","",IF(INDEX('Per Invoice'!AG$2:AG$401,$AH16)="","",INDEX('Per Invoice'!AG$2:AG$401,$AH16)))</f>
        <v/>
      </c>
      <c r="AH16" s="16">
        <f>IFERROR(MATCH(Settings!$C$27&amp;"|"&amp;ROWS($AH$2:$AH16),'Per Invoice'!$AI$2:$AI$401,0),"")</f>
        <v/>
      </c>
    </row>
    <row r="17">
      <c r="A17">
        <f>IF($AH17="","",IF(INDEX('Per Invoice'!A$2:A$401,$AH17)="","",INDEX('Per Invoice'!A$2:A$401,$AH17)))</f>
        <v/>
      </c>
      <c r="B17">
        <f>IF($AH17="","",IF(INDEX('Per Invoice'!B$2:B$401,$AH17)="","",INDEX('Per Invoice'!B$2:B$401,$AH17)))</f>
        <v/>
      </c>
      <c r="C17">
        <f>IF($AH17="","",IF(INDEX('Per Invoice'!C$2:C$401,$AH17)="","",INDEX('Per Invoice'!C$2:C$401,$AH17)))</f>
        <v/>
      </c>
      <c r="D17">
        <f>IF($AH17="","",IF(INDEX('Per Invoice'!D$2:D$401,$AH17)="","",INDEX('Per Invoice'!D$2:D$401,$AH17)))</f>
        <v/>
      </c>
      <c r="E17">
        <f>IF($AH17="","",IF(INDEX('Per Invoice'!E$2:E$401,$AH17)="","",INDEX('Per Invoice'!E$2:E$401,$AH17)))</f>
        <v/>
      </c>
      <c r="F17">
        <f>IF($AH17="","",IF(INDEX('Per Invoice'!F$2:F$401,$AH17)="","",INDEX('Per Invoice'!F$2:F$401,$AH17)))</f>
        <v/>
      </c>
      <c r="G17">
        <f>IF($AH17="","",IF(INDEX('Per Invoice'!G$2:G$401,$AH17)="","",INDEX('Per Invoice'!G$2:G$401,$AH17)))</f>
        <v/>
      </c>
      <c r="H17">
        <f>IF($AH17="","",IF(INDEX('Per Invoice'!H$2:H$401,$AH17)="","",INDEX('Per Invoice'!H$2:H$401,$AH17)))</f>
        <v/>
      </c>
      <c r="I17" s="14">
        <f>IF($AH17="","",IF(INDEX('Per Invoice'!I$2:I$401,$AH17)="","",INDEX('Per Invoice'!I$2:I$401,$AH17)))</f>
        <v/>
      </c>
      <c r="J17">
        <f>IF($AH17="","",IF(INDEX('Per Invoice'!J$2:J$401,$AH17)="","",INDEX('Per Invoice'!J$2:J$401,$AH17)))</f>
        <v/>
      </c>
      <c r="K17">
        <f>IF($AH17="","",IF(INDEX('Per Invoice'!K$2:K$401,$AH17)="","",INDEX('Per Invoice'!K$2:K$401,$AH17)))</f>
        <v/>
      </c>
      <c r="L17">
        <f>IF($AH17="","",IF(INDEX('Per Invoice'!L$2:L$401,$AH17)="","",INDEX('Per Invoice'!L$2:L$401,$AH17)))</f>
        <v/>
      </c>
      <c r="M17">
        <f>IF($AH17="","",IF(INDEX('Per Invoice'!M$2:M$401,$AH17)="","",INDEX('Per Invoice'!M$2:M$401,$AH17)))</f>
        <v/>
      </c>
      <c r="N17">
        <f>IF($AH17="","",IF(INDEX('Per Invoice'!N$2:N$401,$AH17)="","",INDEX('Per Invoice'!N$2:N$401,$AH17)))</f>
        <v/>
      </c>
      <c r="O17">
        <f>IF($AH17="","",IF(INDEX('Per Invoice'!O$2:O$401,$AH17)="","",INDEX('Per Invoice'!O$2:O$401,$AH17)))</f>
        <v/>
      </c>
      <c r="P17" s="7">
        <f>IF($AH17="","",IF(INDEX('Per Invoice'!P$2:P$401,$AH17)="","",INDEX('Per Invoice'!P$2:P$401,$AH17)))</f>
        <v/>
      </c>
      <c r="Q17">
        <f>IF($AH17="","",IF(INDEX('Per Invoice'!Q$2:Q$401,$AH17)="","",INDEX('Per Invoice'!Q$2:Q$401,$AH17)))</f>
        <v/>
      </c>
      <c r="R17">
        <f>IF($AH17="","",IF(INDEX('Per Invoice'!R$2:R$401,$AH17)="","",INDEX('Per Invoice'!R$2:R$401,$AH17)))</f>
        <v/>
      </c>
      <c r="S17">
        <f>IF($AH17="","",IF(INDEX('Per Invoice'!S$2:S$401,$AH17)="","",INDEX('Per Invoice'!S$2:S$401,$AH17)))</f>
        <v/>
      </c>
      <c r="T17" s="7">
        <f>IF($AH17="","",IF(INDEX('Per Invoice'!T$2:T$401,$AH17)="","",INDEX('Per Invoice'!T$2:T$401,$AH17)))</f>
        <v/>
      </c>
      <c r="U17" s="7">
        <f>IF($AH17="","",IF(INDEX('Per Invoice'!U$2:U$401,$AH17)="","",INDEX('Per Invoice'!U$2:U$401,$AH17)))</f>
        <v/>
      </c>
      <c r="V17">
        <f>IF($AH17="","",IF(INDEX('Per Invoice'!V$2:V$401,$AH17)="","",INDEX('Per Invoice'!V$2:V$401,$AH17)))</f>
        <v/>
      </c>
      <c r="W17" s="7">
        <f>IF($AH17="","",IF(INDEX('Per Invoice'!W$2:W$401,$AH17)="","",INDEX('Per Invoice'!W$2:W$401,$AH17)))</f>
        <v/>
      </c>
      <c r="X17" s="7">
        <f>IF($AH17="","",IF(INDEX('Per Invoice'!X$2:X$401,$AH17)="","",INDEX('Per Invoice'!X$2:X$401,$AH17)))</f>
        <v/>
      </c>
      <c r="Y17">
        <f>IF($AH17="","",IF(INDEX('Per Invoice'!Y$2:Y$401,$AH17)="","",INDEX('Per Invoice'!Y$2:Y$401,$AH17)))</f>
        <v/>
      </c>
      <c r="Z17" s="7">
        <f>IF($AH17="","",IF(INDEX('Per Invoice'!Z$2:Z$401,$AH17)="","",INDEX('Per Invoice'!Z$2:Z$401,$AH17)))</f>
        <v/>
      </c>
      <c r="AA17" s="7">
        <f>IF($AH17="","",IF(INDEX('Per Invoice'!AA$2:AA$401,$AH17)="","",INDEX('Per Invoice'!AA$2:AA$401,$AH17)))</f>
        <v/>
      </c>
      <c r="AB17" s="7">
        <f>IF($AH17="","",IF(INDEX('Per Invoice'!AB$2:AB$401,$AH17)="","",INDEX('Per Invoice'!AB$2:AB$401,$AH17)))</f>
        <v/>
      </c>
      <c r="AC17" s="7">
        <f>IF($AH17="","",IF(INDEX('Per Invoice'!AC$2:AC$401,$AH17)="","",INDEX('Per Invoice'!AC$2:AC$401,$AH17)))</f>
        <v/>
      </c>
      <c r="AD17" s="7">
        <f>IF($AH17="","",IF(INDEX('Per Invoice'!AD$2:AD$401,$AH17)="","",INDEX('Per Invoice'!AD$2:AD$401,$AH17)))</f>
        <v/>
      </c>
      <c r="AE17" s="7">
        <f>IF($AH17="","",IF(INDEX('Per Invoice'!AE$2:AE$401,$AH17)="","",INDEX('Per Invoice'!AE$2:AE$401,$AH17)))</f>
        <v/>
      </c>
      <c r="AF17">
        <f>IF($AH17="","",IF(INDEX('Per Invoice'!AF$2:AF$401,$AH17)="","",INDEX('Per Invoice'!AF$2:AF$401,$AH17)))</f>
        <v/>
      </c>
      <c r="AG17" s="7">
        <f>IF($AH17="","",IF(INDEX('Per Invoice'!AG$2:AG$401,$AH17)="","",INDEX('Per Invoice'!AG$2:AG$401,$AH17)))</f>
        <v/>
      </c>
      <c r="AH17" s="16">
        <f>IFERROR(MATCH(Settings!$C$27&amp;"|"&amp;ROWS($AH$2:$AH17),'Per Invoice'!$AI$2:$AI$401,0),"")</f>
        <v/>
      </c>
    </row>
    <row r="18">
      <c r="A18">
        <f>IF($AH18="","",IF(INDEX('Per Invoice'!A$2:A$401,$AH18)="","",INDEX('Per Invoice'!A$2:A$401,$AH18)))</f>
        <v/>
      </c>
      <c r="B18">
        <f>IF($AH18="","",IF(INDEX('Per Invoice'!B$2:B$401,$AH18)="","",INDEX('Per Invoice'!B$2:B$401,$AH18)))</f>
        <v/>
      </c>
      <c r="C18">
        <f>IF($AH18="","",IF(INDEX('Per Invoice'!C$2:C$401,$AH18)="","",INDEX('Per Invoice'!C$2:C$401,$AH18)))</f>
        <v/>
      </c>
      <c r="D18">
        <f>IF($AH18="","",IF(INDEX('Per Invoice'!D$2:D$401,$AH18)="","",INDEX('Per Invoice'!D$2:D$401,$AH18)))</f>
        <v/>
      </c>
      <c r="E18">
        <f>IF($AH18="","",IF(INDEX('Per Invoice'!E$2:E$401,$AH18)="","",INDEX('Per Invoice'!E$2:E$401,$AH18)))</f>
        <v/>
      </c>
      <c r="F18">
        <f>IF($AH18="","",IF(INDEX('Per Invoice'!F$2:F$401,$AH18)="","",INDEX('Per Invoice'!F$2:F$401,$AH18)))</f>
        <v/>
      </c>
      <c r="G18">
        <f>IF($AH18="","",IF(INDEX('Per Invoice'!G$2:G$401,$AH18)="","",INDEX('Per Invoice'!G$2:G$401,$AH18)))</f>
        <v/>
      </c>
      <c r="H18">
        <f>IF($AH18="","",IF(INDEX('Per Invoice'!H$2:H$401,$AH18)="","",INDEX('Per Invoice'!H$2:H$401,$AH18)))</f>
        <v/>
      </c>
      <c r="I18" s="14">
        <f>IF($AH18="","",IF(INDEX('Per Invoice'!I$2:I$401,$AH18)="","",INDEX('Per Invoice'!I$2:I$401,$AH18)))</f>
        <v/>
      </c>
      <c r="J18">
        <f>IF($AH18="","",IF(INDEX('Per Invoice'!J$2:J$401,$AH18)="","",INDEX('Per Invoice'!J$2:J$401,$AH18)))</f>
        <v/>
      </c>
      <c r="K18">
        <f>IF($AH18="","",IF(INDEX('Per Invoice'!K$2:K$401,$AH18)="","",INDEX('Per Invoice'!K$2:K$401,$AH18)))</f>
        <v/>
      </c>
      <c r="L18">
        <f>IF($AH18="","",IF(INDEX('Per Invoice'!L$2:L$401,$AH18)="","",INDEX('Per Invoice'!L$2:L$401,$AH18)))</f>
        <v/>
      </c>
      <c r="M18">
        <f>IF($AH18="","",IF(INDEX('Per Invoice'!M$2:M$401,$AH18)="","",INDEX('Per Invoice'!M$2:M$401,$AH18)))</f>
        <v/>
      </c>
      <c r="N18">
        <f>IF($AH18="","",IF(INDEX('Per Invoice'!N$2:N$401,$AH18)="","",INDEX('Per Invoice'!N$2:N$401,$AH18)))</f>
        <v/>
      </c>
      <c r="O18">
        <f>IF($AH18="","",IF(INDEX('Per Invoice'!O$2:O$401,$AH18)="","",INDEX('Per Invoice'!O$2:O$401,$AH18)))</f>
        <v/>
      </c>
      <c r="P18" s="7">
        <f>IF($AH18="","",IF(INDEX('Per Invoice'!P$2:P$401,$AH18)="","",INDEX('Per Invoice'!P$2:P$401,$AH18)))</f>
        <v/>
      </c>
      <c r="Q18">
        <f>IF($AH18="","",IF(INDEX('Per Invoice'!Q$2:Q$401,$AH18)="","",INDEX('Per Invoice'!Q$2:Q$401,$AH18)))</f>
        <v/>
      </c>
      <c r="R18">
        <f>IF($AH18="","",IF(INDEX('Per Invoice'!R$2:R$401,$AH18)="","",INDEX('Per Invoice'!R$2:R$401,$AH18)))</f>
        <v/>
      </c>
      <c r="S18">
        <f>IF($AH18="","",IF(INDEX('Per Invoice'!S$2:S$401,$AH18)="","",INDEX('Per Invoice'!S$2:S$401,$AH18)))</f>
        <v/>
      </c>
      <c r="T18" s="7">
        <f>IF($AH18="","",IF(INDEX('Per Invoice'!T$2:T$401,$AH18)="","",INDEX('Per Invoice'!T$2:T$401,$AH18)))</f>
        <v/>
      </c>
      <c r="U18" s="7">
        <f>IF($AH18="","",IF(INDEX('Per Invoice'!U$2:U$401,$AH18)="","",INDEX('Per Invoice'!U$2:U$401,$AH18)))</f>
        <v/>
      </c>
      <c r="V18">
        <f>IF($AH18="","",IF(INDEX('Per Invoice'!V$2:V$401,$AH18)="","",INDEX('Per Invoice'!V$2:V$401,$AH18)))</f>
        <v/>
      </c>
      <c r="W18" s="7">
        <f>IF($AH18="","",IF(INDEX('Per Invoice'!W$2:W$401,$AH18)="","",INDEX('Per Invoice'!W$2:W$401,$AH18)))</f>
        <v/>
      </c>
      <c r="X18" s="7">
        <f>IF($AH18="","",IF(INDEX('Per Invoice'!X$2:X$401,$AH18)="","",INDEX('Per Invoice'!X$2:X$401,$AH18)))</f>
        <v/>
      </c>
      <c r="Y18">
        <f>IF($AH18="","",IF(INDEX('Per Invoice'!Y$2:Y$401,$AH18)="","",INDEX('Per Invoice'!Y$2:Y$401,$AH18)))</f>
        <v/>
      </c>
      <c r="Z18" s="7">
        <f>IF($AH18="","",IF(INDEX('Per Invoice'!Z$2:Z$401,$AH18)="","",INDEX('Per Invoice'!Z$2:Z$401,$AH18)))</f>
        <v/>
      </c>
      <c r="AA18" s="7">
        <f>IF($AH18="","",IF(INDEX('Per Invoice'!AA$2:AA$401,$AH18)="","",INDEX('Per Invoice'!AA$2:AA$401,$AH18)))</f>
        <v/>
      </c>
      <c r="AB18" s="7">
        <f>IF($AH18="","",IF(INDEX('Per Invoice'!AB$2:AB$401,$AH18)="","",INDEX('Per Invoice'!AB$2:AB$401,$AH18)))</f>
        <v/>
      </c>
      <c r="AC18" s="7">
        <f>IF($AH18="","",IF(INDEX('Per Invoice'!AC$2:AC$401,$AH18)="","",INDEX('Per Invoice'!AC$2:AC$401,$AH18)))</f>
        <v/>
      </c>
      <c r="AD18" s="7">
        <f>IF($AH18="","",IF(INDEX('Per Invoice'!AD$2:AD$401,$AH18)="","",INDEX('Per Invoice'!AD$2:AD$401,$AH18)))</f>
        <v/>
      </c>
      <c r="AE18" s="7">
        <f>IF($AH18="","",IF(INDEX('Per Invoice'!AE$2:AE$401,$AH18)="","",INDEX('Per Invoice'!AE$2:AE$401,$AH18)))</f>
        <v/>
      </c>
      <c r="AF18">
        <f>IF($AH18="","",IF(INDEX('Per Invoice'!AF$2:AF$401,$AH18)="","",INDEX('Per Invoice'!AF$2:AF$401,$AH18)))</f>
        <v/>
      </c>
      <c r="AG18" s="7">
        <f>IF($AH18="","",IF(INDEX('Per Invoice'!AG$2:AG$401,$AH18)="","",INDEX('Per Invoice'!AG$2:AG$401,$AH18)))</f>
        <v/>
      </c>
      <c r="AH18" s="16">
        <f>IFERROR(MATCH(Settings!$C$27&amp;"|"&amp;ROWS($AH$2:$AH18),'Per Invoice'!$AI$2:$AI$401,0),"")</f>
        <v/>
      </c>
    </row>
    <row r="19">
      <c r="A19">
        <f>IF($AH19="","",IF(INDEX('Per Invoice'!A$2:A$401,$AH19)="","",INDEX('Per Invoice'!A$2:A$401,$AH19)))</f>
        <v/>
      </c>
      <c r="B19">
        <f>IF($AH19="","",IF(INDEX('Per Invoice'!B$2:B$401,$AH19)="","",INDEX('Per Invoice'!B$2:B$401,$AH19)))</f>
        <v/>
      </c>
      <c r="C19">
        <f>IF($AH19="","",IF(INDEX('Per Invoice'!C$2:C$401,$AH19)="","",INDEX('Per Invoice'!C$2:C$401,$AH19)))</f>
        <v/>
      </c>
      <c r="D19">
        <f>IF($AH19="","",IF(INDEX('Per Invoice'!D$2:D$401,$AH19)="","",INDEX('Per Invoice'!D$2:D$401,$AH19)))</f>
        <v/>
      </c>
      <c r="E19">
        <f>IF($AH19="","",IF(INDEX('Per Invoice'!E$2:E$401,$AH19)="","",INDEX('Per Invoice'!E$2:E$401,$AH19)))</f>
        <v/>
      </c>
      <c r="F19">
        <f>IF($AH19="","",IF(INDEX('Per Invoice'!F$2:F$401,$AH19)="","",INDEX('Per Invoice'!F$2:F$401,$AH19)))</f>
        <v/>
      </c>
      <c r="G19">
        <f>IF($AH19="","",IF(INDEX('Per Invoice'!G$2:G$401,$AH19)="","",INDEX('Per Invoice'!G$2:G$401,$AH19)))</f>
        <v/>
      </c>
      <c r="H19">
        <f>IF($AH19="","",IF(INDEX('Per Invoice'!H$2:H$401,$AH19)="","",INDEX('Per Invoice'!H$2:H$401,$AH19)))</f>
        <v/>
      </c>
      <c r="I19" s="14">
        <f>IF($AH19="","",IF(INDEX('Per Invoice'!I$2:I$401,$AH19)="","",INDEX('Per Invoice'!I$2:I$401,$AH19)))</f>
        <v/>
      </c>
      <c r="J19">
        <f>IF($AH19="","",IF(INDEX('Per Invoice'!J$2:J$401,$AH19)="","",INDEX('Per Invoice'!J$2:J$401,$AH19)))</f>
        <v/>
      </c>
      <c r="K19">
        <f>IF($AH19="","",IF(INDEX('Per Invoice'!K$2:K$401,$AH19)="","",INDEX('Per Invoice'!K$2:K$401,$AH19)))</f>
        <v/>
      </c>
      <c r="L19">
        <f>IF($AH19="","",IF(INDEX('Per Invoice'!L$2:L$401,$AH19)="","",INDEX('Per Invoice'!L$2:L$401,$AH19)))</f>
        <v/>
      </c>
      <c r="M19">
        <f>IF($AH19="","",IF(INDEX('Per Invoice'!M$2:M$401,$AH19)="","",INDEX('Per Invoice'!M$2:M$401,$AH19)))</f>
        <v/>
      </c>
      <c r="N19">
        <f>IF($AH19="","",IF(INDEX('Per Invoice'!N$2:N$401,$AH19)="","",INDEX('Per Invoice'!N$2:N$401,$AH19)))</f>
        <v/>
      </c>
      <c r="O19">
        <f>IF($AH19="","",IF(INDEX('Per Invoice'!O$2:O$401,$AH19)="","",INDEX('Per Invoice'!O$2:O$401,$AH19)))</f>
        <v/>
      </c>
      <c r="P19" s="7">
        <f>IF($AH19="","",IF(INDEX('Per Invoice'!P$2:P$401,$AH19)="","",INDEX('Per Invoice'!P$2:P$401,$AH19)))</f>
        <v/>
      </c>
      <c r="Q19">
        <f>IF($AH19="","",IF(INDEX('Per Invoice'!Q$2:Q$401,$AH19)="","",INDEX('Per Invoice'!Q$2:Q$401,$AH19)))</f>
        <v/>
      </c>
      <c r="R19">
        <f>IF($AH19="","",IF(INDEX('Per Invoice'!R$2:R$401,$AH19)="","",INDEX('Per Invoice'!R$2:R$401,$AH19)))</f>
        <v/>
      </c>
      <c r="S19">
        <f>IF($AH19="","",IF(INDEX('Per Invoice'!S$2:S$401,$AH19)="","",INDEX('Per Invoice'!S$2:S$401,$AH19)))</f>
        <v/>
      </c>
      <c r="T19" s="7">
        <f>IF($AH19="","",IF(INDEX('Per Invoice'!T$2:T$401,$AH19)="","",INDEX('Per Invoice'!T$2:T$401,$AH19)))</f>
        <v/>
      </c>
      <c r="U19" s="7">
        <f>IF($AH19="","",IF(INDEX('Per Invoice'!U$2:U$401,$AH19)="","",INDEX('Per Invoice'!U$2:U$401,$AH19)))</f>
        <v/>
      </c>
      <c r="V19">
        <f>IF($AH19="","",IF(INDEX('Per Invoice'!V$2:V$401,$AH19)="","",INDEX('Per Invoice'!V$2:V$401,$AH19)))</f>
        <v/>
      </c>
      <c r="W19" s="7">
        <f>IF($AH19="","",IF(INDEX('Per Invoice'!W$2:W$401,$AH19)="","",INDEX('Per Invoice'!W$2:W$401,$AH19)))</f>
        <v/>
      </c>
      <c r="X19" s="7">
        <f>IF($AH19="","",IF(INDEX('Per Invoice'!X$2:X$401,$AH19)="","",INDEX('Per Invoice'!X$2:X$401,$AH19)))</f>
        <v/>
      </c>
      <c r="Y19">
        <f>IF($AH19="","",IF(INDEX('Per Invoice'!Y$2:Y$401,$AH19)="","",INDEX('Per Invoice'!Y$2:Y$401,$AH19)))</f>
        <v/>
      </c>
      <c r="Z19" s="7">
        <f>IF($AH19="","",IF(INDEX('Per Invoice'!Z$2:Z$401,$AH19)="","",INDEX('Per Invoice'!Z$2:Z$401,$AH19)))</f>
        <v/>
      </c>
      <c r="AA19" s="7">
        <f>IF($AH19="","",IF(INDEX('Per Invoice'!AA$2:AA$401,$AH19)="","",INDEX('Per Invoice'!AA$2:AA$401,$AH19)))</f>
        <v/>
      </c>
      <c r="AB19" s="7">
        <f>IF($AH19="","",IF(INDEX('Per Invoice'!AB$2:AB$401,$AH19)="","",INDEX('Per Invoice'!AB$2:AB$401,$AH19)))</f>
        <v/>
      </c>
      <c r="AC19" s="7">
        <f>IF($AH19="","",IF(INDEX('Per Invoice'!AC$2:AC$401,$AH19)="","",INDEX('Per Invoice'!AC$2:AC$401,$AH19)))</f>
        <v/>
      </c>
      <c r="AD19" s="7">
        <f>IF($AH19="","",IF(INDEX('Per Invoice'!AD$2:AD$401,$AH19)="","",INDEX('Per Invoice'!AD$2:AD$401,$AH19)))</f>
        <v/>
      </c>
      <c r="AE19" s="7">
        <f>IF($AH19="","",IF(INDEX('Per Invoice'!AE$2:AE$401,$AH19)="","",INDEX('Per Invoice'!AE$2:AE$401,$AH19)))</f>
        <v/>
      </c>
      <c r="AF19">
        <f>IF($AH19="","",IF(INDEX('Per Invoice'!AF$2:AF$401,$AH19)="","",INDEX('Per Invoice'!AF$2:AF$401,$AH19)))</f>
        <v/>
      </c>
      <c r="AG19" s="7">
        <f>IF($AH19="","",IF(INDEX('Per Invoice'!AG$2:AG$401,$AH19)="","",INDEX('Per Invoice'!AG$2:AG$401,$AH19)))</f>
        <v/>
      </c>
      <c r="AH19" s="16">
        <f>IFERROR(MATCH(Settings!$C$27&amp;"|"&amp;ROWS($AH$2:$AH19),'Per Invoice'!$AI$2:$AI$401,0),"")</f>
        <v/>
      </c>
    </row>
    <row r="20">
      <c r="A20">
        <f>IF($AH20="","",IF(INDEX('Per Invoice'!A$2:A$401,$AH20)="","",INDEX('Per Invoice'!A$2:A$401,$AH20)))</f>
        <v/>
      </c>
      <c r="B20">
        <f>IF($AH20="","",IF(INDEX('Per Invoice'!B$2:B$401,$AH20)="","",INDEX('Per Invoice'!B$2:B$401,$AH20)))</f>
        <v/>
      </c>
      <c r="C20">
        <f>IF($AH20="","",IF(INDEX('Per Invoice'!C$2:C$401,$AH20)="","",INDEX('Per Invoice'!C$2:C$401,$AH20)))</f>
        <v/>
      </c>
      <c r="D20">
        <f>IF($AH20="","",IF(INDEX('Per Invoice'!D$2:D$401,$AH20)="","",INDEX('Per Invoice'!D$2:D$401,$AH20)))</f>
        <v/>
      </c>
      <c r="E20">
        <f>IF($AH20="","",IF(INDEX('Per Invoice'!E$2:E$401,$AH20)="","",INDEX('Per Invoice'!E$2:E$401,$AH20)))</f>
        <v/>
      </c>
      <c r="F20">
        <f>IF($AH20="","",IF(INDEX('Per Invoice'!F$2:F$401,$AH20)="","",INDEX('Per Invoice'!F$2:F$401,$AH20)))</f>
        <v/>
      </c>
      <c r="G20">
        <f>IF($AH20="","",IF(INDEX('Per Invoice'!G$2:G$401,$AH20)="","",INDEX('Per Invoice'!G$2:G$401,$AH20)))</f>
        <v/>
      </c>
      <c r="H20">
        <f>IF($AH20="","",IF(INDEX('Per Invoice'!H$2:H$401,$AH20)="","",INDEX('Per Invoice'!H$2:H$401,$AH20)))</f>
        <v/>
      </c>
      <c r="I20" s="14">
        <f>IF($AH20="","",IF(INDEX('Per Invoice'!I$2:I$401,$AH20)="","",INDEX('Per Invoice'!I$2:I$401,$AH20)))</f>
        <v/>
      </c>
      <c r="J20">
        <f>IF($AH20="","",IF(INDEX('Per Invoice'!J$2:J$401,$AH20)="","",INDEX('Per Invoice'!J$2:J$401,$AH20)))</f>
        <v/>
      </c>
      <c r="K20">
        <f>IF($AH20="","",IF(INDEX('Per Invoice'!K$2:K$401,$AH20)="","",INDEX('Per Invoice'!K$2:K$401,$AH20)))</f>
        <v/>
      </c>
      <c r="L20">
        <f>IF($AH20="","",IF(INDEX('Per Invoice'!L$2:L$401,$AH20)="","",INDEX('Per Invoice'!L$2:L$401,$AH20)))</f>
        <v/>
      </c>
      <c r="M20">
        <f>IF($AH20="","",IF(INDEX('Per Invoice'!M$2:M$401,$AH20)="","",INDEX('Per Invoice'!M$2:M$401,$AH20)))</f>
        <v/>
      </c>
      <c r="N20">
        <f>IF($AH20="","",IF(INDEX('Per Invoice'!N$2:N$401,$AH20)="","",INDEX('Per Invoice'!N$2:N$401,$AH20)))</f>
        <v/>
      </c>
      <c r="O20">
        <f>IF($AH20="","",IF(INDEX('Per Invoice'!O$2:O$401,$AH20)="","",INDEX('Per Invoice'!O$2:O$401,$AH20)))</f>
        <v/>
      </c>
      <c r="P20" s="7">
        <f>IF($AH20="","",IF(INDEX('Per Invoice'!P$2:P$401,$AH20)="","",INDEX('Per Invoice'!P$2:P$401,$AH20)))</f>
        <v/>
      </c>
      <c r="Q20">
        <f>IF($AH20="","",IF(INDEX('Per Invoice'!Q$2:Q$401,$AH20)="","",INDEX('Per Invoice'!Q$2:Q$401,$AH20)))</f>
        <v/>
      </c>
      <c r="R20">
        <f>IF($AH20="","",IF(INDEX('Per Invoice'!R$2:R$401,$AH20)="","",INDEX('Per Invoice'!R$2:R$401,$AH20)))</f>
        <v/>
      </c>
      <c r="S20">
        <f>IF($AH20="","",IF(INDEX('Per Invoice'!S$2:S$401,$AH20)="","",INDEX('Per Invoice'!S$2:S$401,$AH20)))</f>
        <v/>
      </c>
      <c r="T20" s="7">
        <f>IF($AH20="","",IF(INDEX('Per Invoice'!T$2:T$401,$AH20)="","",INDEX('Per Invoice'!T$2:T$401,$AH20)))</f>
        <v/>
      </c>
      <c r="U20" s="7">
        <f>IF($AH20="","",IF(INDEX('Per Invoice'!U$2:U$401,$AH20)="","",INDEX('Per Invoice'!U$2:U$401,$AH20)))</f>
        <v/>
      </c>
      <c r="V20">
        <f>IF($AH20="","",IF(INDEX('Per Invoice'!V$2:V$401,$AH20)="","",INDEX('Per Invoice'!V$2:V$401,$AH20)))</f>
        <v/>
      </c>
      <c r="W20" s="7">
        <f>IF($AH20="","",IF(INDEX('Per Invoice'!W$2:W$401,$AH20)="","",INDEX('Per Invoice'!W$2:W$401,$AH20)))</f>
        <v/>
      </c>
      <c r="X20" s="7">
        <f>IF($AH20="","",IF(INDEX('Per Invoice'!X$2:X$401,$AH20)="","",INDEX('Per Invoice'!X$2:X$401,$AH20)))</f>
        <v/>
      </c>
      <c r="Y20">
        <f>IF($AH20="","",IF(INDEX('Per Invoice'!Y$2:Y$401,$AH20)="","",INDEX('Per Invoice'!Y$2:Y$401,$AH20)))</f>
        <v/>
      </c>
      <c r="Z20" s="7">
        <f>IF($AH20="","",IF(INDEX('Per Invoice'!Z$2:Z$401,$AH20)="","",INDEX('Per Invoice'!Z$2:Z$401,$AH20)))</f>
        <v/>
      </c>
      <c r="AA20" s="7">
        <f>IF($AH20="","",IF(INDEX('Per Invoice'!AA$2:AA$401,$AH20)="","",INDEX('Per Invoice'!AA$2:AA$401,$AH20)))</f>
        <v/>
      </c>
      <c r="AB20" s="7">
        <f>IF($AH20="","",IF(INDEX('Per Invoice'!AB$2:AB$401,$AH20)="","",INDEX('Per Invoice'!AB$2:AB$401,$AH20)))</f>
        <v/>
      </c>
      <c r="AC20" s="7">
        <f>IF($AH20="","",IF(INDEX('Per Invoice'!AC$2:AC$401,$AH20)="","",INDEX('Per Invoice'!AC$2:AC$401,$AH20)))</f>
        <v/>
      </c>
      <c r="AD20" s="7">
        <f>IF($AH20="","",IF(INDEX('Per Invoice'!AD$2:AD$401,$AH20)="","",INDEX('Per Invoice'!AD$2:AD$401,$AH20)))</f>
        <v/>
      </c>
      <c r="AE20" s="7">
        <f>IF($AH20="","",IF(INDEX('Per Invoice'!AE$2:AE$401,$AH20)="","",INDEX('Per Invoice'!AE$2:AE$401,$AH20)))</f>
        <v/>
      </c>
      <c r="AF20">
        <f>IF($AH20="","",IF(INDEX('Per Invoice'!AF$2:AF$401,$AH20)="","",INDEX('Per Invoice'!AF$2:AF$401,$AH20)))</f>
        <v/>
      </c>
      <c r="AG20" s="7">
        <f>IF($AH20="","",IF(INDEX('Per Invoice'!AG$2:AG$401,$AH20)="","",INDEX('Per Invoice'!AG$2:AG$401,$AH20)))</f>
        <v/>
      </c>
      <c r="AH20" s="16">
        <f>IFERROR(MATCH(Settings!$C$27&amp;"|"&amp;ROWS($AH$2:$AH20),'Per Invoice'!$AI$2:$AI$401,0),"")</f>
        <v/>
      </c>
    </row>
    <row r="21">
      <c r="A21">
        <f>IF($AH21="","",IF(INDEX('Per Invoice'!A$2:A$401,$AH21)="","",INDEX('Per Invoice'!A$2:A$401,$AH21)))</f>
        <v/>
      </c>
      <c r="B21">
        <f>IF($AH21="","",IF(INDEX('Per Invoice'!B$2:B$401,$AH21)="","",INDEX('Per Invoice'!B$2:B$401,$AH21)))</f>
        <v/>
      </c>
      <c r="C21">
        <f>IF($AH21="","",IF(INDEX('Per Invoice'!C$2:C$401,$AH21)="","",INDEX('Per Invoice'!C$2:C$401,$AH21)))</f>
        <v/>
      </c>
      <c r="D21">
        <f>IF($AH21="","",IF(INDEX('Per Invoice'!D$2:D$401,$AH21)="","",INDEX('Per Invoice'!D$2:D$401,$AH21)))</f>
        <v/>
      </c>
      <c r="E21">
        <f>IF($AH21="","",IF(INDEX('Per Invoice'!E$2:E$401,$AH21)="","",INDEX('Per Invoice'!E$2:E$401,$AH21)))</f>
        <v/>
      </c>
      <c r="F21">
        <f>IF($AH21="","",IF(INDEX('Per Invoice'!F$2:F$401,$AH21)="","",INDEX('Per Invoice'!F$2:F$401,$AH21)))</f>
        <v/>
      </c>
      <c r="G21">
        <f>IF($AH21="","",IF(INDEX('Per Invoice'!G$2:G$401,$AH21)="","",INDEX('Per Invoice'!G$2:G$401,$AH21)))</f>
        <v/>
      </c>
      <c r="H21">
        <f>IF($AH21="","",IF(INDEX('Per Invoice'!H$2:H$401,$AH21)="","",INDEX('Per Invoice'!H$2:H$401,$AH21)))</f>
        <v/>
      </c>
      <c r="I21" s="14">
        <f>IF($AH21="","",IF(INDEX('Per Invoice'!I$2:I$401,$AH21)="","",INDEX('Per Invoice'!I$2:I$401,$AH21)))</f>
        <v/>
      </c>
      <c r="J21">
        <f>IF($AH21="","",IF(INDEX('Per Invoice'!J$2:J$401,$AH21)="","",INDEX('Per Invoice'!J$2:J$401,$AH21)))</f>
        <v/>
      </c>
      <c r="K21">
        <f>IF($AH21="","",IF(INDEX('Per Invoice'!K$2:K$401,$AH21)="","",INDEX('Per Invoice'!K$2:K$401,$AH21)))</f>
        <v/>
      </c>
      <c r="L21">
        <f>IF($AH21="","",IF(INDEX('Per Invoice'!L$2:L$401,$AH21)="","",INDEX('Per Invoice'!L$2:L$401,$AH21)))</f>
        <v/>
      </c>
      <c r="M21">
        <f>IF($AH21="","",IF(INDEX('Per Invoice'!M$2:M$401,$AH21)="","",INDEX('Per Invoice'!M$2:M$401,$AH21)))</f>
        <v/>
      </c>
      <c r="N21">
        <f>IF($AH21="","",IF(INDEX('Per Invoice'!N$2:N$401,$AH21)="","",INDEX('Per Invoice'!N$2:N$401,$AH21)))</f>
        <v/>
      </c>
      <c r="O21">
        <f>IF($AH21="","",IF(INDEX('Per Invoice'!O$2:O$401,$AH21)="","",INDEX('Per Invoice'!O$2:O$401,$AH21)))</f>
        <v/>
      </c>
      <c r="P21" s="7">
        <f>IF($AH21="","",IF(INDEX('Per Invoice'!P$2:P$401,$AH21)="","",INDEX('Per Invoice'!P$2:P$401,$AH21)))</f>
        <v/>
      </c>
      <c r="Q21">
        <f>IF($AH21="","",IF(INDEX('Per Invoice'!Q$2:Q$401,$AH21)="","",INDEX('Per Invoice'!Q$2:Q$401,$AH21)))</f>
        <v/>
      </c>
      <c r="R21">
        <f>IF($AH21="","",IF(INDEX('Per Invoice'!R$2:R$401,$AH21)="","",INDEX('Per Invoice'!R$2:R$401,$AH21)))</f>
        <v/>
      </c>
      <c r="S21">
        <f>IF($AH21="","",IF(INDEX('Per Invoice'!S$2:S$401,$AH21)="","",INDEX('Per Invoice'!S$2:S$401,$AH21)))</f>
        <v/>
      </c>
      <c r="T21" s="7">
        <f>IF($AH21="","",IF(INDEX('Per Invoice'!T$2:T$401,$AH21)="","",INDEX('Per Invoice'!T$2:T$401,$AH21)))</f>
        <v/>
      </c>
      <c r="U21" s="7">
        <f>IF($AH21="","",IF(INDEX('Per Invoice'!U$2:U$401,$AH21)="","",INDEX('Per Invoice'!U$2:U$401,$AH21)))</f>
        <v/>
      </c>
      <c r="V21">
        <f>IF($AH21="","",IF(INDEX('Per Invoice'!V$2:V$401,$AH21)="","",INDEX('Per Invoice'!V$2:V$401,$AH21)))</f>
        <v/>
      </c>
      <c r="W21" s="7">
        <f>IF($AH21="","",IF(INDEX('Per Invoice'!W$2:W$401,$AH21)="","",INDEX('Per Invoice'!W$2:W$401,$AH21)))</f>
        <v/>
      </c>
      <c r="X21" s="7">
        <f>IF($AH21="","",IF(INDEX('Per Invoice'!X$2:X$401,$AH21)="","",INDEX('Per Invoice'!X$2:X$401,$AH21)))</f>
        <v/>
      </c>
      <c r="Y21">
        <f>IF($AH21="","",IF(INDEX('Per Invoice'!Y$2:Y$401,$AH21)="","",INDEX('Per Invoice'!Y$2:Y$401,$AH21)))</f>
        <v/>
      </c>
      <c r="Z21" s="7">
        <f>IF($AH21="","",IF(INDEX('Per Invoice'!Z$2:Z$401,$AH21)="","",INDEX('Per Invoice'!Z$2:Z$401,$AH21)))</f>
        <v/>
      </c>
      <c r="AA21" s="7">
        <f>IF($AH21="","",IF(INDEX('Per Invoice'!AA$2:AA$401,$AH21)="","",INDEX('Per Invoice'!AA$2:AA$401,$AH21)))</f>
        <v/>
      </c>
      <c r="AB21" s="7">
        <f>IF($AH21="","",IF(INDEX('Per Invoice'!AB$2:AB$401,$AH21)="","",INDEX('Per Invoice'!AB$2:AB$401,$AH21)))</f>
        <v/>
      </c>
      <c r="AC21" s="7">
        <f>IF($AH21="","",IF(INDEX('Per Invoice'!AC$2:AC$401,$AH21)="","",INDEX('Per Invoice'!AC$2:AC$401,$AH21)))</f>
        <v/>
      </c>
      <c r="AD21" s="7">
        <f>IF($AH21="","",IF(INDEX('Per Invoice'!AD$2:AD$401,$AH21)="","",INDEX('Per Invoice'!AD$2:AD$401,$AH21)))</f>
        <v/>
      </c>
      <c r="AE21" s="7">
        <f>IF($AH21="","",IF(INDEX('Per Invoice'!AE$2:AE$401,$AH21)="","",INDEX('Per Invoice'!AE$2:AE$401,$AH21)))</f>
        <v/>
      </c>
      <c r="AF21">
        <f>IF($AH21="","",IF(INDEX('Per Invoice'!AF$2:AF$401,$AH21)="","",INDEX('Per Invoice'!AF$2:AF$401,$AH21)))</f>
        <v/>
      </c>
      <c r="AG21" s="7">
        <f>IF($AH21="","",IF(INDEX('Per Invoice'!AG$2:AG$401,$AH21)="","",INDEX('Per Invoice'!AG$2:AG$401,$AH21)))</f>
        <v/>
      </c>
      <c r="AH21" s="16">
        <f>IFERROR(MATCH(Settings!$C$27&amp;"|"&amp;ROWS($AH$2:$AH21),'Per Invoice'!$AI$2:$AI$401,0),"")</f>
        <v/>
      </c>
    </row>
    <row r="22">
      <c r="A22">
        <f>IF($AH22="","",IF(INDEX('Per Invoice'!A$2:A$401,$AH22)="","",INDEX('Per Invoice'!A$2:A$401,$AH22)))</f>
        <v/>
      </c>
      <c r="B22">
        <f>IF($AH22="","",IF(INDEX('Per Invoice'!B$2:B$401,$AH22)="","",INDEX('Per Invoice'!B$2:B$401,$AH22)))</f>
        <v/>
      </c>
      <c r="C22">
        <f>IF($AH22="","",IF(INDEX('Per Invoice'!C$2:C$401,$AH22)="","",INDEX('Per Invoice'!C$2:C$401,$AH22)))</f>
        <v/>
      </c>
      <c r="D22">
        <f>IF($AH22="","",IF(INDEX('Per Invoice'!D$2:D$401,$AH22)="","",INDEX('Per Invoice'!D$2:D$401,$AH22)))</f>
        <v/>
      </c>
      <c r="E22">
        <f>IF($AH22="","",IF(INDEX('Per Invoice'!E$2:E$401,$AH22)="","",INDEX('Per Invoice'!E$2:E$401,$AH22)))</f>
        <v/>
      </c>
      <c r="F22">
        <f>IF($AH22="","",IF(INDEX('Per Invoice'!F$2:F$401,$AH22)="","",INDEX('Per Invoice'!F$2:F$401,$AH22)))</f>
        <v/>
      </c>
      <c r="G22">
        <f>IF($AH22="","",IF(INDEX('Per Invoice'!G$2:G$401,$AH22)="","",INDEX('Per Invoice'!G$2:G$401,$AH22)))</f>
        <v/>
      </c>
      <c r="H22">
        <f>IF($AH22="","",IF(INDEX('Per Invoice'!H$2:H$401,$AH22)="","",INDEX('Per Invoice'!H$2:H$401,$AH22)))</f>
        <v/>
      </c>
      <c r="I22" s="14">
        <f>IF($AH22="","",IF(INDEX('Per Invoice'!I$2:I$401,$AH22)="","",INDEX('Per Invoice'!I$2:I$401,$AH22)))</f>
        <v/>
      </c>
      <c r="J22">
        <f>IF($AH22="","",IF(INDEX('Per Invoice'!J$2:J$401,$AH22)="","",INDEX('Per Invoice'!J$2:J$401,$AH22)))</f>
        <v/>
      </c>
      <c r="K22">
        <f>IF($AH22="","",IF(INDEX('Per Invoice'!K$2:K$401,$AH22)="","",INDEX('Per Invoice'!K$2:K$401,$AH22)))</f>
        <v/>
      </c>
      <c r="L22">
        <f>IF($AH22="","",IF(INDEX('Per Invoice'!L$2:L$401,$AH22)="","",INDEX('Per Invoice'!L$2:L$401,$AH22)))</f>
        <v/>
      </c>
      <c r="M22">
        <f>IF($AH22="","",IF(INDEX('Per Invoice'!M$2:M$401,$AH22)="","",INDEX('Per Invoice'!M$2:M$401,$AH22)))</f>
        <v/>
      </c>
      <c r="N22">
        <f>IF($AH22="","",IF(INDEX('Per Invoice'!N$2:N$401,$AH22)="","",INDEX('Per Invoice'!N$2:N$401,$AH22)))</f>
        <v/>
      </c>
      <c r="O22">
        <f>IF($AH22="","",IF(INDEX('Per Invoice'!O$2:O$401,$AH22)="","",INDEX('Per Invoice'!O$2:O$401,$AH22)))</f>
        <v/>
      </c>
      <c r="P22" s="7">
        <f>IF($AH22="","",IF(INDEX('Per Invoice'!P$2:P$401,$AH22)="","",INDEX('Per Invoice'!P$2:P$401,$AH22)))</f>
        <v/>
      </c>
      <c r="Q22">
        <f>IF($AH22="","",IF(INDEX('Per Invoice'!Q$2:Q$401,$AH22)="","",INDEX('Per Invoice'!Q$2:Q$401,$AH22)))</f>
        <v/>
      </c>
      <c r="R22">
        <f>IF($AH22="","",IF(INDEX('Per Invoice'!R$2:R$401,$AH22)="","",INDEX('Per Invoice'!R$2:R$401,$AH22)))</f>
        <v/>
      </c>
      <c r="S22">
        <f>IF($AH22="","",IF(INDEX('Per Invoice'!S$2:S$401,$AH22)="","",INDEX('Per Invoice'!S$2:S$401,$AH22)))</f>
        <v/>
      </c>
      <c r="T22" s="7">
        <f>IF($AH22="","",IF(INDEX('Per Invoice'!T$2:T$401,$AH22)="","",INDEX('Per Invoice'!T$2:T$401,$AH22)))</f>
        <v/>
      </c>
      <c r="U22" s="7">
        <f>IF($AH22="","",IF(INDEX('Per Invoice'!U$2:U$401,$AH22)="","",INDEX('Per Invoice'!U$2:U$401,$AH22)))</f>
        <v/>
      </c>
      <c r="V22">
        <f>IF($AH22="","",IF(INDEX('Per Invoice'!V$2:V$401,$AH22)="","",INDEX('Per Invoice'!V$2:V$401,$AH22)))</f>
        <v/>
      </c>
      <c r="W22" s="7">
        <f>IF($AH22="","",IF(INDEX('Per Invoice'!W$2:W$401,$AH22)="","",INDEX('Per Invoice'!W$2:W$401,$AH22)))</f>
        <v/>
      </c>
      <c r="X22" s="7">
        <f>IF($AH22="","",IF(INDEX('Per Invoice'!X$2:X$401,$AH22)="","",INDEX('Per Invoice'!X$2:X$401,$AH22)))</f>
        <v/>
      </c>
      <c r="Y22">
        <f>IF($AH22="","",IF(INDEX('Per Invoice'!Y$2:Y$401,$AH22)="","",INDEX('Per Invoice'!Y$2:Y$401,$AH22)))</f>
        <v/>
      </c>
      <c r="Z22" s="7">
        <f>IF($AH22="","",IF(INDEX('Per Invoice'!Z$2:Z$401,$AH22)="","",INDEX('Per Invoice'!Z$2:Z$401,$AH22)))</f>
        <v/>
      </c>
      <c r="AA22" s="7">
        <f>IF($AH22="","",IF(INDEX('Per Invoice'!AA$2:AA$401,$AH22)="","",INDEX('Per Invoice'!AA$2:AA$401,$AH22)))</f>
        <v/>
      </c>
      <c r="AB22" s="7">
        <f>IF($AH22="","",IF(INDEX('Per Invoice'!AB$2:AB$401,$AH22)="","",INDEX('Per Invoice'!AB$2:AB$401,$AH22)))</f>
        <v/>
      </c>
      <c r="AC22" s="7">
        <f>IF($AH22="","",IF(INDEX('Per Invoice'!AC$2:AC$401,$AH22)="","",INDEX('Per Invoice'!AC$2:AC$401,$AH22)))</f>
        <v/>
      </c>
      <c r="AD22" s="7">
        <f>IF($AH22="","",IF(INDEX('Per Invoice'!AD$2:AD$401,$AH22)="","",INDEX('Per Invoice'!AD$2:AD$401,$AH22)))</f>
        <v/>
      </c>
      <c r="AE22" s="7">
        <f>IF($AH22="","",IF(INDEX('Per Invoice'!AE$2:AE$401,$AH22)="","",INDEX('Per Invoice'!AE$2:AE$401,$AH22)))</f>
        <v/>
      </c>
      <c r="AF22">
        <f>IF($AH22="","",IF(INDEX('Per Invoice'!AF$2:AF$401,$AH22)="","",INDEX('Per Invoice'!AF$2:AF$401,$AH22)))</f>
        <v/>
      </c>
      <c r="AG22" s="7">
        <f>IF($AH22="","",IF(INDEX('Per Invoice'!AG$2:AG$401,$AH22)="","",INDEX('Per Invoice'!AG$2:AG$401,$AH22)))</f>
        <v/>
      </c>
      <c r="AH22" s="16">
        <f>IFERROR(MATCH(Settings!$C$27&amp;"|"&amp;ROWS($AH$2:$AH22),'Per Invoice'!$AI$2:$AI$401,0),"")</f>
        <v/>
      </c>
    </row>
    <row r="23">
      <c r="A23">
        <f>IF($AH23="","",IF(INDEX('Per Invoice'!A$2:A$401,$AH23)="","",INDEX('Per Invoice'!A$2:A$401,$AH23)))</f>
        <v/>
      </c>
      <c r="B23">
        <f>IF($AH23="","",IF(INDEX('Per Invoice'!B$2:B$401,$AH23)="","",INDEX('Per Invoice'!B$2:B$401,$AH23)))</f>
        <v/>
      </c>
      <c r="C23">
        <f>IF($AH23="","",IF(INDEX('Per Invoice'!C$2:C$401,$AH23)="","",INDEX('Per Invoice'!C$2:C$401,$AH23)))</f>
        <v/>
      </c>
      <c r="D23">
        <f>IF($AH23="","",IF(INDEX('Per Invoice'!D$2:D$401,$AH23)="","",INDEX('Per Invoice'!D$2:D$401,$AH23)))</f>
        <v/>
      </c>
      <c r="E23">
        <f>IF($AH23="","",IF(INDEX('Per Invoice'!E$2:E$401,$AH23)="","",INDEX('Per Invoice'!E$2:E$401,$AH23)))</f>
        <v/>
      </c>
      <c r="F23">
        <f>IF($AH23="","",IF(INDEX('Per Invoice'!F$2:F$401,$AH23)="","",INDEX('Per Invoice'!F$2:F$401,$AH23)))</f>
        <v/>
      </c>
      <c r="G23">
        <f>IF($AH23="","",IF(INDEX('Per Invoice'!G$2:G$401,$AH23)="","",INDEX('Per Invoice'!G$2:G$401,$AH23)))</f>
        <v/>
      </c>
      <c r="H23">
        <f>IF($AH23="","",IF(INDEX('Per Invoice'!H$2:H$401,$AH23)="","",INDEX('Per Invoice'!H$2:H$401,$AH23)))</f>
        <v/>
      </c>
      <c r="I23" s="14">
        <f>IF($AH23="","",IF(INDEX('Per Invoice'!I$2:I$401,$AH23)="","",INDEX('Per Invoice'!I$2:I$401,$AH23)))</f>
        <v/>
      </c>
      <c r="J23">
        <f>IF($AH23="","",IF(INDEX('Per Invoice'!J$2:J$401,$AH23)="","",INDEX('Per Invoice'!J$2:J$401,$AH23)))</f>
        <v/>
      </c>
      <c r="K23">
        <f>IF($AH23="","",IF(INDEX('Per Invoice'!K$2:K$401,$AH23)="","",INDEX('Per Invoice'!K$2:K$401,$AH23)))</f>
        <v/>
      </c>
      <c r="L23">
        <f>IF($AH23="","",IF(INDEX('Per Invoice'!L$2:L$401,$AH23)="","",INDEX('Per Invoice'!L$2:L$401,$AH23)))</f>
        <v/>
      </c>
      <c r="M23">
        <f>IF($AH23="","",IF(INDEX('Per Invoice'!M$2:M$401,$AH23)="","",INDEX('Per Invoice'!M$2:M$401,$AH23)))</f>
        <v/>
      </c>
      <c r="N23">
        <f>IF($AH23="","",IF(INDEX('Per Invoice'!N$2:N$401,$AH23)="","",INDEX('Per Invoice'!N$2:N$401,$AH23)))</f>
        <v/>
      </c>
      <c r="O23">
        <f>IF($AH23="","",IF(INDEX('Per Invoice'!O$2:O$401,$AH23)="","",INDEX('Per Invoice'!O$2:O$401,$AH23)))</f>
        <v/>
      </c>
      <c r="P23" s="7">
        <f>IF($AH23="","",IF(INDEX('Per Invoice'!P$2:P$401,$AH23)="","",INDEX('Per Invoice'!P$2:P$401,$AH23)))</f>
        <v/>
      </c>
      <c r="Q23">
        <f>IF($AH23="","",IF(INDEX('Per Invoice'!Q$2:Q$401,$AH23)="","",INDEX('Per Invoice'!Q$2:Q$401,$AH23)))</f>
        <v/>
      </c>
      <c r="R23">
        <f>IF($AH23="","",IF(INDEX('Per Invoice'!R$2:R$401,$AH23)="","",INDEX('Per Invoice'!R$2:R$401,$AH23)))</f>
        <v/>
      </c>
      <c r="S23">
        <f>IF($AH23="","",IF(INDEX('Per Invoice'!S$2:S$401,$AH23)="","",INDEX('Per Invoice'!S$2:S$401,$AH23)))</f>
        <v/>
      </c>
      <c r="T23" s="7">
        <f>IF($AH23="","",IF(INDEX('Per Invoice'!T$2:T$401,$AH23)="","",INDEX('Per Invoice'!T$2:T$401,$AH23)))</f>
        <v/>
      </c>
      <c r="U23" s="7">
        <f>IF($AH23="","",IF(INDEX('Per Invoice'!U$2:U$401,$AH23)="","",INDEX('Per Invoice'!U$2:U$401,$AH23)))</f>
        <v/>
      </c>
      <c r="V23">
        <f>IF($AH23="","",IF(INDEX('Per Invoice'!V$2:V$401,$AH23)="","",INDEX('Per Invoice'!V$2:V$401,$AH23)))</f>
        <v/>
      </c>
      <c r="W23" s="7">
        <f>IF($AH23="","",IF(INDEX('Per Invoice'!W$2:W$401,$AH23)="","",INDEX('Per Invoice'!W$2:W$401,$AH23)))</f>
        <v/>
      </c>
      <c r="X23" s="7">
        <f>IF($AH23="","",IF(INDEX('Per Invoice'!X$2:X$401,$AH23)="","",INDEX('Per Invoice'!X$2:X$401,$AH23)))</f>
        <v/>
      </c>
      <c r="Y23">
        <f>IF($AH23="","",IF(INDEX('Per Invoice'!Y$2:Y$401,$AH23)="","",INDEX('Per Invoice'!Y$2:Y$401,$AH23)))</f>
        <v/>
      </c>
      <c r="Z23" s="7">
        <f>IF($AH23="","",IF(INDEX('Per Invoice'!Z$2:Z$401,$AH23)="","",INDEX('Per Invoice'!Z$2:Z$401,$AH23)))</f>
        <v/>
      </c>
      <c r="AA23" s="7">
        <f>IF($AH23="","",IF(INDEX('Per Invoice'!AA$2:AA$401,$AH23)="","",INDEX('Per Invoice'!AA$2:AA$401,$AH23)))</f>
        <v/>
      </c>
      <c r="AB23" s="7">
        <f>IF($AH23="","",IF(INDEX('Per Invoice'!AB$2:AB$401,$AH23)="","",INDEX('Per Invoice'!AB$2:AB$401,$AH23)))</f>
        <v/>
      </c>
      <c r="AC23" s="7">
        <f>IF($AH23="","",IF(INDEX('Per Invoice'!AC$2:AC$401,$AH23)="","",INDEX('Per Invoice'!AC$2:AC$401,$AH23)))</f>
        <v/>
      </c>
      <c r="AD23" s="7">
        <f>IF($AH23="","",IF(INDEX('Per Invoice'!AD$2:AD$401,$AH23)="","",INDEX('Per Invoice'!AD$2:AD$401,$AH23)))</f>
        <v/>
      </c>
      <c r="AE23" s="7">
        <f>IF($AH23="","",IF(INDEX('Per Invoice'!AE$2:AE$401,$AH23)="","",INDEX('Per Invoice'!AE$2:AE$401,$AH23)))</f>
        <v/>
      </c>
      <c r="AF23">
        <f>IF($AH23="","",IF(INDEX('Per Invoice'!AF$2:AF$401,$AH23)="","",INDEX('Per Invoice'!AF$2:AF$401,$AH23)))</f>
        <v/>
      </c>
      <c r="AG23" s="7">
        <f>IF($AH23="","",IF(INDEX('Per Invoice'!AG$2:AG$401,$AH23)="","",INDEX('Per Invoice'!AG$2:AG$401,$AH23)))</f>
        <v/>
      </c>
      <c r="AH23" s="16">
        <f>IFERROR(MATCH(Settings!$C$27&amp;"|"&amp;ROWS($AH$2:$AH23),'Per Invoice'!$AI$2:$AI$401,0),"")</f>
        <v/>
      </c>
    </row>
    <row r="24">
      <c r="A24">
        <f>IF($AH24="","",IF(INDEX('Per Invoice'!A$2:A$401,$AH24)="","",INDEX('Per Invoice'!A$2:A$401,$AH24)))</f>
        <v/>
      </c>
      <c r="B24">
        <f>IF($AH24="","",IF(INDEX('Per Invoice'!B$2:B$401,$AH24)="","",INDEX('Per Invoice'!B$2:B$401,$AH24)))</f>
        <v/>
      </c>
      <c r="C24">
        <f>IF($AH24="","",IF(INDEX('Per Invoice'!C$2:C$401,$AH24)="","",INDEX('Per Invoice'!C$2:C$401,$AH24)))</f>
        <v/>
      </c>
      <c r="D24">
        <f>IF($AH24="","",IF(INDEX('Per Invoice'!D$2:D$401,$AH24)="","",INDEX('Per Invoice'!D$2:D$401,$AH24)))</f>
        <v/>
      </c>
      <c r="E24">
        <f>IF($AH24="","",IF(INDEX('Per Invoice'!E$2:E$401,$AH24)="","",INDEX('Per Invoice'!E$2:E$401,$AH24)))</f>
        <v/>
      </c>
      <c r="F24">
        <f>IF($AH24="","",IF(INDEX('Per Invoice'!F$2:F$401,$AH24)="","",INDEX('Per Invoice'!F$2:F$401,$AH24)))</f>
        <v/>
      </c>
      <c r="G24">
        <f>IF($AH24="","",IF(INDEX('Per Invoice'!G$2:G$401,$AH24)="","",INDEX('Per Invoice'!G$2:G$401,$AH24)))</f>
        <v/>
      </c>
      <c r="H24">
        <f>IF($AH24="","",IF(INDEX('Per Invoice'!H$2:H$401,$AH24)="","",INDEX('Per Invoice'!H$2:H$401,$AH24)))</f>
        <v/>
      </c>
      <c r="I24" s="14">
        <f>IF($AH24="","",IF(INDEX('Per Invoice'!I$2:I$401,$AH24)="","",INDEX('Per Invoice'!I$2:I$401,$AH24)))</f>
        <v/>
      </c>
      <c r="J24">
        <f>IF($AH24="","",IF(INDEX('Per Invoice'!J$2:J$401,$AH24)="","",INDEX('Per Invoice'!J$2:J$401,$AH24)))</f>
        <v/>
      </c>
      <c r="K24">
        <f>IF($AH24="","",IF(INDEX('Per Invoice'!K$2:K$401,$AH24)="","",INDEX('Per Invoice'!K$2:K$401,$AH24)))</f>
        <v/>
      </c>
      <c r="L24">
        <f>IF($AH24="","",IF(INDEX('Per Invoice'!L$2:L$401,$AH24)="","",INDEX('Per Invoice'!L$2:L$401,$AH24)))</f>
        <v/>
      </c>
      <c r="M24">
        <f>IF($AH24="","",IF(INDEX('Per Invoice'!M$2:M$401,$AH24)="","",INDEX('Per Invoice'!M$2:M$401,$AH24)))</f>
        <v/>
      </c>
      <c r="N24">
        <f>IF($AH24="","",IF(INDEX('Per Invoice'!N$2:N$401,$AH24)="","",INDEX('Per Invoice'!N$2:N$401,$AH24)))</f>
        <v/>
      </c>
      <c r="O24">
        <f>IF($AH24="","",IF(INDEX('Per Invoice'!O$2:O$401,$AH24)="","",INDEX('Per Invoice'!O$2:O$401,$AH24)))</f>
        <v/>
      </c>
      <c r="P24" s="7">
        <f>IF($AH24="","",IF(INDEX('Per Invoice'!P$2:P$401,$AH24)="","",INDEX('Per Invoice'!P$2:P$401,$AH24)))</f>
        <v/>
      </c>
      <c r="Q24">
        <f>IF($AH24="","",IF(INDEX('Per Invoice'!Q$2:Q$401,$AH24)="","",INDEX('Per Invoice'!Q$2:Q$401,$AH24)))</f>
        <v/>
      </c>
      <c r="R24">
        <f>IF($AH24="","",IF(INDEX('Per Invoice'!R$2:R$401,$AH24)="","",INDEX('Per Invoice'!R$2:R$401,$AH24)))</f>
        <v/>
      </c>
      <c r="S24">
        <f>IF($AH24="","",IF(INDEX('Per Invoice'!S$2:S$401,$AH24)="","",INDEX('Per Invoice'!S$2:S$401,$AH24)))</f>
        <v/>
      </c>
      <c r="T24" s="7">
        <f>IF($AH24="","",IF(INDEX('Per Invoice'!T$2:T$401,$AH24)="","",INDEX('Per Invoice'!T$2:T$401,$AH24)))</f>
        <v/>
      </c>
      <c r="U24" s="7">
        <f>IF($AH24="","",IF(INDEX('Per Invoice'!U$2:U$401,$AH24)="","",INDEX('Per Invoice'!U$2:U$401,$AH24)))</f>
        <v/>
      </c>
      <c r="V24">
        <f>IF($AH24="","",IF(INDEX('Per Invoice'!V$2:V$401,$AH24)="","",INDEX('Per Invoice'!V$2:V$401,$AH24)))</f>
        <v/>
      </c>
      <c r="W24" s="7">
        <f>IF($AH24="","",IF(INDEX('Per Invoice'!W$2:W$401,$AH24)="","",INDEX('Per Invoice'!W$2:W$401,$AH24)))</f>
        <v/>
      </c>
      <c r="X24" s="7">
        <f>IF($AH24="","",IF(INDEX('Per Invoice'!X$2:X$401,$AH24)="","",INDEX('Per Invoice'!X$2:X$401,$AH24)))</f>
        <v/>
      </c>
      <c r="Y24">
        <f>IF($AH24="","",IF(INDEX('Per Invoice'!Y$2:Y$401,$AH24)="","",INDEX('Per Invoice'!Y$2:Y$401,$AH24)))</f>
        <v/>
      </c>
      <c r="Z24" s="7">
        <f>IF($AH24="","",IF(INDEX('Per Invoice'!Z$2:Z$401,$AH24)="","",INDEX('Per Invoice'!Z$2:Z$401,$AH24)))</f>
        <v/>
      </c>
      <c r="AA24" s="7">
        <f>IF($AH24="","",IF(INDEX('Per Invoice'!AA$2:AA$401,$AH24)="","",INDEX('Per Invoice'!AA$2:AA$401,$AH24)))</f>
        <v/>
      </c>
      <c r="AB24" s="7">
        <f>IF($AH24="","",IF(INDEX('Per Invoice'!AB$2:AB$401,$AH24)="","",INDEX('Per Invoice'!AB$2:AB$401,$AH24)))</f>
        <v/>
      </c>
      <c r="AC24" s="7">
        <f>IF($AH24="","",IF(INDEX('Per Invoice'!AC$2:AC$401,$AH24)="","",INDEX('Per Invoice'!AC$2:AC$401,$AH24)))</f>
        <v/>
      </c>
      <c r="AD24" s="7">
        <f>IF($AH24="","",IF(INDEX('Per Invoice'!AD$2:AD$401,$AH24)="","",INDEX('Per Invoice'!AD$2:AD$401,$AH24)))</f>
        <v/>
      </c>
      <c r="AE24" s="7">
        <f>IF($AH24="","",IF(INDEX('Per Invoice'!AE$2:AE$401,$AH24)="","",INDEX('Per Invoice'!AE$2:AE$401,$AH24)))</f>
        <v/>
      </c>
      <c r="AF24">
        <f>IF($AH24="","",IF(INDEX('Per Invoice'!AF$2:AF$401,$AH24)="","",INDEX('Per Invoice'!AF$2:AF$401,$AH24)))</f>
        <v/>
      </c>
      <c r="AG24" s="7">
        <f>IF($AH24="","",IF(INDEX('Per Invoice'!AG$2:AG$401,$AH24)="","",INDEX('Per Invoice'!AG$2:AG$401,$AH24)))</f>
        <v/>
      </c>
      <c r="AH24" s="16">
        <f>IFERROR(MATCH(Settings!$C$27&amp;"|"&amp;ROWS($AH$2:$AH24),'Per Invoice'!$AI$2:$AI$401,0),"")</f>
        <v/>
      </c>
    </row>
    <row r="25">
      <c r="A25">
        <f>IF($AH25="","",IF(INDEX('Per Invoice'!A$2:A$401,$AH25)="","",INDEX('Per Invoice'!A$2:A$401,$AH25)))</f>
        <v/>
      </c>
      <c r="B25">
        <f>IF($AH25="","",IF(INDEX('Per Invoice'!B$2:B$401,$AH25)="","",INDEX('Per Invoice'!B$2:B$401,$AH25)))</f>
        <v/>
      </c>
      <c r="C25">
        <f>IF($AH25="","",IF(INDEX('Per Invoice'!C$2:C$401,$AH25)="","",INDEX('Per Invoice'!C$2:C$401,$AH25)))</f>
        <v/>
      </c>
      <c r="D25">
        <f>IF($AH25="","",IF(INDEX('Per Invoice'!D$2:D$401,$AH25)="","",INDEX('Per Invoice'!D$2:D$401,$AH25)))</f>
        <v/>
      </c>
      <c r="E25">
        <f>IF($AH25="","",IF(INDEX('Per Invoice'!E$2:E$401,$AH25)="","",INDEX('Per Invoice'!E$2:E$401,$AH25)))</f>
        <v/>
      </c>
      <c r="F25">
        <f>IF($AH25="","",IF(INDEX('Per Invoice'!F$2:F$401,$AH25)="","",INDEX('Per Invoice'!F$2:F$401,$AH25)))</f>
        <v/>
      </c>
      <c r="G25">
        <f>IF($AH25="","",IF(INDEX('Per Invoice'!G$2:G$401,$AH25)="","",INDEX('Per Invoice'!G$2:G$401,$AH25)))</f>
        <v/>
      </c>
      <c r="H25">
        <f>IF($AH25="","",IF(INDEX('Per Invoice'!H$2:H$401,$AH25)="","",INDEX('Per Invoice'!H$2:H$401,$AH25)))</f>
        <v/>
      </c>
      <c r="I25" s="14">
        <f>IF($AH25="","",IF(INDEX('Per Invoice'!I$2:I$401,$AH25)="","",INDEX('Per Invoice'!I$2:I$401,$AH25)))</f>
        <v/>
      </c>
      <c r="J25">
        <f>IF($AH25="","",IF(INDEX('Per Invoice'!J$2:J$401,$AH25)="","",INDEX('Per Invoice'!J$2:J$401,$AH25)))</f>
        <v/>
      </c>
      <c r="K25">
        <f>IF($AH25="","",IF(INDEX('Per Invoice'!K$2:K$401,$AH25)="","",INDEX('Per Invoice'!K$2:K$401,$AH25)))</f>
        <v/>
      </c>
      <c r="L25">
        <f>IF($AH25="","",IF(INDEX('Per Invoice'!L$2:L$401,$AH25)="","",INDEX('Per Invoice'!L$2:L$401,$AH25)))</f>
        <v/>
      </c>
      <c r="M25">
        <f>IF($AH25="","",IF(INDEX('Per Invoice'!M$2:M$401,$AH25)="","",INDEX('Per Invoice'!M$2:M$401,$AH25)))</f>
        <v/>
      </c>
      <c r="N25">
        <f>IF($AH25="","",IF(INDEX('Per Invoice'!N$2:N$401,$AH25)="","",INDEX('Per Invoice'!N$2:N$401,$AH25)))</f>
        <v/>
      </c>
      <c r="O25">
        <f>IF($AH25="","",IF(INDEX('Per Invoice'!O$2:O$401,$AH25)="","",INDEX('Per Invoice'!O$2:O$401,$AH25)))</f>
        <v/>
      </c>
      <c r="P25" s="7">
        <f>IF($AH25="","",IF(INDEX('Per Invoice'!P$2:P$401,$AH25)="","",INDEX('Per Invoice'!P$2:P$401,$AH25)))</f>
        <v/>
      </c>
      <c r="Q25">
        <f>IF($AH25="","",IF(INDEX('Per Invoice'!Q$2:Q$401,$AH25)="","",INDEX('Per Invoice'!Q$2:Q$401,$AH25)))</f>
        <v/>
      </c>
      <c r="R25">
        <f>IF($AH25="","",IF(INDEX('Per Invoice'!R$2:R$401,$AH25)="","",INDEX('Per Invoice'!R$2:R$401,$AH25)))</f>
        <v/>
      </c>
      <c r="S25">
        <f>IF($AH25="","",IF(INDEX('Per Invoice'!S$2:S$401,$AH25)="","",INDEX('Per Invoice'!S$2:S$401,$AH25)))</f>
        <v/>
      </c>
      <c r="T25" s="7">
        <f>IF($AH25="","",IF(INDEX('Per Invoice'!T$2:T$401,$AH25)="","",INDEX('Per Invoice'!T$2:T$401,$AH25)))</f>
        <v/>
      </c>
      <c r="U25" s="7">
        <f>IF($AH25="","",IF(INDEX('Per Invoice'!U$2:U$401,$AH25)="","",INDEX('Per Invoice'!U$2:U$401,$AH25)))</f>
        <v/>
      </c>
      <c r="V25">
        <f>IF($AH25="","",IF(INDEX('Per Invoice'!V$2:V$401,$AH25)="","",INDEX('Per Invoice'!V$2:V$401,$AH25)))</f>
        <v/>
      </c>
      <c r="W25" s="7">
        <f>IF($AH25="","",IF(INDEX('Per Invoice'!W$2:W$401,$AH25)="","",INDEX('Per Invoice'!W$2:W$401,$AH25)))</f>
        <v/>
      </c>
      <c r="X25" s="7">
        <f>IF($AH25="","",IF(INDEX('Per Invoice'!X$2:X$401,$AH25)="","",INDEX('Per Invoice'!X$2:X$401,$AH25)))</f>
        <v/>
      </c>
      <c r="Y25">
        <f>IF($AH25="","",IF(INDEX('Per Invoice'!Y$2:Y$401,$AH25)="","",INDEX('Per Invoice'!Y$2:Y$401,$AH25)))</f>
        <v/>
      </c>
      <c r="Z25" s="7">
        <f>IF($AH25="","",IF(INDEX('Per Invoice'!Z$2:Z$401,$AH25)="","",INDEX('Per Invoice'!Z$2:Z$401,$AH25)))</f>
        <v/>
      </c>
      <c r="AA25" s="7">
        <f>IF($AH25="","",IF(INDEX('Per Invoice'!AA$2:AA$401,$AH25)="","",INDEX('Per Invoice'!AA$2:AA$401,$AH25)))</f>
        <v/>
      </c>
      <c r="AB25" s="7">
        <f>IF($AH25="","",IF(INDEX('Per Invoice'!AB$2:AB$401,$AH25)="","",INDEX('Per Invoice'!AB$2:AB$401,$AH25)))</f>
        <v/>
      </c>
      <c r="AC25" s="7">
        <f>IF($AH25="","",IF(INDEX('Per Invoice'!AC$2:AC$401,$AH25)="","",INDEX('Per Invoice'!AC$2:AC$401,$AH25)))</f>
        <v/>
      </c>
      <c r="AD25" s="7">
        <f>IF($AH25="","",IF(INDEX('Per Invoice'!AD$2:AD$401,$AH25)="","",INDEX('Per Invoice'!AD$2:AD$401,$AH25)))</f>
        <v/>
      </c>
      <c r="AE25" s="7">
        <f>IF($AH25="","",IF(INDEX('Per Invoice'!AE$2:AE$401,$AH25)="","",INDEX('Per Invoice'!AE$2:AE$401,$AH25)))</f>
        <v/>
      </c>
      <c r="AF25">
        <f>IF($AH25="","",IF(INDEX('Per Invoice'!AF$2:AF$401,$AH25)="","",INDEX('Per Invoice'!AF$2:AF$401,$AH25)))</f>
        <v/>
      </c>
      <c r="AG25" s="7">
        <f>IF($AH25="","",IF(INDEX('Per Invoice'!AG$2:AG$401,$AH25)="","",INDEX('Per Invoice'!AG$2:AG$401,$AH25)))</f>
        <v/>
      </c>
      <c r="AH25" s="16">
        <f>IFERROR(MATCH(Settings!$C$27&amp;"|"&amp;ROWS($AH$2:$AH25),'Per Invoice'!$AI$2:$AI$401,0),"")</f>
        <v/>
      </c>
    </row>
    <row r="26">
      <c r="A26">
        <f>IF($AH26="","",IF(INDEX('Per Invoice'!A$2:A$401,$AH26)="","",INDEX('Per Invoice'!A$2:A$401,$AH26)))</f>
        <v/>
      </c>
      <c r="B26">
        <f>IF($AH26="","",IF(INDEX('Per Invoice'!B$2:B$401,$AH26)="","",INDEX('Per Invoice'!B$2:B$401,$AH26)))</f>
        <v/>
      </c>
      <c r="C26">
        <f>IF($AH26="","",IF(INDEX('Per Invoice'!C$2:C$401,$AH26)="","",INDEX('Per Invoice'!C$2:C$401,$AH26)))</f>
        <v/>
      </c>
      <c r="D26">
        <f>IF($AH26="","",IF(INDEX('Per Invoice'!D$2:D$401,$AH26)="","",INDEX('Per Invoice'!D$2:D$401,$AH26)))</f>
        <v/>
      </c>
      <c r="E26">
        <f>IF($AH26="","",IF(INDEX('Per Invoice'!E$2:E$401,$AH26)="","",INDEX('Per Invoice'!E$2:E$401,$AH26)))</f>
        <v/>
      </c>
      <c r="F26">
        <f>IF($AH26="","",IF(INDEX('Per Invoice'!F$2:F$401,$AH26)="","",INDEX('Per Invoice'!F$2:F$401,$AH26)))</f>
        <v/>
      </c>
      <c r="G26">
        <f>IF($AH26="","",IF(INDEX('Per Invoice'!G$2:G$401,$AH26)="","",INDEX('Per Invoice'!G$2:G$401,$AH26)))</f>
        <v/>
      </c>
      <c r="H26">
        <f>IF($AH26="","",IF(INDEX('Per Invoice'!H$2:H$401,$AH26)="","",INDEX('Per Invoice'!H$2:H$401,$AH26)))</f>
        <v/>
      </c>
      <c r="I26" s="14">
        <f>IF($AH26="","",IF(INDEX('Per Invoice'!I$2:I$401,$AH26)="","",INDEX('Per Invoice'!I$2:I$401,$AH26)))</f>
        <v/>
      </c>
      <c r="J26">
        <f>IF($AH26="","",IF(INDEX('Per Invoice'!J$2:J$401,$AH26)="","",INDEX('Per Invoice'!J$2:J$401,$AH26)))</f>
        <v/>
      </c>
      <c r="K26">
        <f>IF($AH26="","",IF(INDEX('Per Invoice'!K$2:K$401,$AH26)="","",INDEX('Per Invoice'!K$2:K$401,$AH26)))</f>
        <v/>
      </c>
      <c r="L26">
        <f>IF($AH26="","",IF(INDEX('Per Invoice'!L$2:L$401,$AH26)="","",INDEX('Per Invoice'!L$2:L$401,$AH26)))</f>
        <v/>
      </c>
      <c r="M26">
        <f>IF($AH26="","",IF(INDEX('Per Invoice'!M$2:M$401,$AH26)="","",INDEX('Per Invoice'!M$2:M$401,$AH26)))</f>
        <v/>
      </c>
      <c r="N26">
        <f>IF($AH26="","",IF(INDEX('Per Invoice'!N$2:N$401,$AH26)="","",INDEX('Per Invoice'!N$2:N$401,$AH26)))</f>
        <v/>
      </c>
      <c r="O26">
        <f>IF($AH26="","",IF(INDEX('Per Invoice'!O$2:O$401,$AH26)="","",INDEX('Per Invoice'!O$2:O$401,$AH26)))</f>
        <v/>
      </c>
      <c r="P26" s="7">
        <f>IF($AH26="","",IF(INDEX('Per Invoice'!P$2:P$401,$AH26)="","",INDEX('Per Invoice'!P$2:P$401,$AH26)))</f>
        <v/>
      </c>
      <c r="Q26">
        <f>IF($AH26="","",IF(INDEX('Per Invoice'!Q$2:Q$401,$AH26)="","",INDEX('Per Invoice'!Q$2:Q$401,$AH26)))</f>
        <v/>
      </c>
      <c r="R26">
        <f>IF($AH26="","",IF(INDEX('Per Invoice'!R$2:R$401,$AH26)="","",INDEX('Per Invoice'!R$2:R$401,$AH26)))</f>
        <v/>
      </c>
      <c r="S26">
        <f>IF($AH26="","",IF(INDEX('Per Invoice'!S$2:S$401,$AH26)="","",INDEX('Per Invoice'!S$2:S$401,$AH26)))</f>
        <v/>
      </c>
      <c r="T26" s="7">
        <f>IF($AH26="","",IF(INDEX('Per Invoice'!T$2:T$401,$AH26)="","",INDEX('Per Invoice'!T$2:T$401,$AH26)))</f>
        <v/>
      </c>
      <c r="U26" s="7">
        <f>IF($AH26="","",IF(INDEX('Per Invoice'!U$2:U$401,$AH26)="","",INDEX('Per Invoice'!U$2:U$401,$AH26)))</f>
        <v/>
      </c>
      <c r="V26">
        <f>IF($AH26="","",IF(INDEX('Per Invoice'!V$2:V$401,$AH26)="","",INDEX('Per Invoice'!V$2:V$401,$AH26)))</f>
        <v/>
      </c>
      <c r="W26" s="7">
        <f>IF($AH26="","",IF(INDEX('Per Invoice'!W$2:W$401,$AH26)="","",INDEX('Per Invoice'!W$2:W$401,$AH26)))</f>
        <v/>
      </c>
      <c r="X26" s="7">
        <f>IF($AH26="","",IF(INDEX('Per Invoice'!X$2:X$401,$AH26)="","",INDEX('Per Invoice'!X$2:X$401,$AH26)))</f>
        <v/>
      </c>
      <c r="Y26">
        <f>IF($AH26="","",IF(INDEX('Per Invoice'!Y$2:Y$401,$AH26)="","",INDEX('Per Invoice'!Y$2:Y$401,$AH26)))</f>
        <v/>
      </c>
      <c r="Z26" s="7">
        <f>IF($AH26="","",IF(INDEX('Per Invoice'!Z$2:Z$401,$AH26)="","",INDEX('Per Invoice'!Z$2:Z$401,$AH26)))</f>
        <v/>
      </c>
      <c r="AA26" s="7">
        <f>IF($AH26="","",IF(INDEX('Per Invoice'!AA$2:AA$401,$AH26)="","",INDEX('Per Invoice'!AA$2:AA$401,$AH26)))</f>
        <v/>
      </c>
      <c r="AB26" s="7">
        <f>IF($AH26="","",IF(INDEX('Per Invoice'!AB$2:AB$401,$AH26)="","",INDEX('Per Invoice'!AB$2:AB$401,$AH26)))</f>
        <v/>
      </c>
      <c r="AC26" s="7">
        <f>IF($AH26="","",IF(INDEX('Per Invoice'!AC$2:AC$401,$AH26)="","",INDEX('Per Invoice'!AC$2:AC$401,$AH26)))</f>
        <v/>
      </c>
      <c r="AD26" s="7">
        <f>IF($AH26="","",IF(INDEX('Per Invoice'!AD$2:AD$401,$AH26)="","",INDEX('Per Invoice'!AD$2:AD$401,$AH26)))</f>
        <v/>
      </c>
      <c r="AE26" s="7">
        <f>IF($AH26="","",IF(INDEX('Per Invoice'!AE$2:AE$401,$AH26)="","",INDEX('Per Invoice'!AE$2:AE$401,$AH26)))</f>
        <v/>
      </c>
      <c r="AF26">
        <f>IF($AH26="","",IF(INDEX('Per Invoice'!AF$2:AF$401,$AH26)="","",INDEX('Per Invoice'!AF$2:AF$401,$AH26)))</f>
        <v/>
      </c>
      <c r="AG26" s="7">
        <f>IF($AH26="","",IF(INDEX('Per Invoice'!AG$2:AG$401,$AH26)="","",INDEX('Per Invoice'!AG$2:AG$401,$AH26)))</f>
        <v/>
      </c>
      <c r="AH26" s="16">
        <f>IFERROR(MATCH(Settings!$C$27&amp;"|"&amp;ROWS($AH$2:$AH26),'Per Invoice'!$AI$2:$AI$401,0),"")</f>
        <v/>
      </c>
    </row>
    <row r="27">
      <c r="A27">
        <f>IF($AH27="","",IF(INDEX('Per Invoice'!A$2:A$401,$AH27)="","",INDEX('Per Invoice'!A$2:A$401,$AH27)))</f>
        <v/>
      </c>
      <c r="B27">
        <f>IF($AH27="","",IF(INDEX('Per Invoice'!B$2:B$401,$AH27)="","",INDEX('Per Invoice'!B$2:B$401,$AH27)))</f>
        <v/>
      </c>
      <c r="C27">
        <f>IF($AH27="","",IF(INDEX('Per Invoice'!C$2:C$401,$AH27)="","",INDEX('Per Invoice'!C$2:C$401,$AH27)))</f>
        <v/>
      </c>
      <c r="D27">
        <f>IF($AH27="","",IF(INDEX('Per Invoice'!D$2:D$401,$AH27)="","",INDEX('Per Invoice'!D$2:D$401,$AH27)))</f>
        <v/>
      </c>
      <c r="E27">
        <f>IF($AH27="","",IF(INDEX('Per Invoice'!E$2:E$401,$AH27)="","",INDEX('Per Invoice'!E$2:E$401,$AH27)))</f>
        <v/>
      </c>
      <c r="F27">
        <f>IF($AH27="","",IF(INDEX('Per Invoice'!F$2:F$401,$AH27)="","",INDEX('Per Invoice'!F$2:F$401,$AH27)))</f>
        <v/>
      </c>
      <c r="G27">
        <f>IF($AH27="","",IF(INDEX('Per Invoice'!G$2:G$401,$AH27)="","",INDEX('Per Invoice'!G$2:G$401,$AH27)))</f>
        <v/>
      </c>
      <c r="H27">
        <f>IF($AH27="","",IF(INDEX('Per Invoice'!H$2:H$401,$AH27)="","",INDEX('Per Invoice'!H$2:H$401,$AH27)))</f>
        <v/>
      </c>
      <c r="I27" s="14">
        <f>IF($AH27="","",IF(INDEX('Per Invoice'!I$2:I$401,$AH27)="","",INDEX('Per Invoice'!I$2:I$401,$AH27)))</f>
        <v/>
      </c>
      <c r="J27">
        <f>IF($AH27="","",IF(INDEX('Per Invoice'!J$2:J$401,$AH27)="","",INDEX('Per Invoice'!J$2:J$401,$AH27)))</f>
        <v/>
      </c>
      <c r="K27">
        <f>IF($AH27="","",IF(INDEX('Per Invoice'!K$2:K$401,$AH27)="","",INDEX('Per Invoice'!K$2:K$401,$AH27)))</f>
        <v/>
      </c>
      <c r="L27">
        <f>IF($AH27="","",IF(INDEX('Per Invoice'!L$2:L$401,$AH27)="","",INDEX('Per Invoice'!L$2:L$401,$AH27)))</f>
        <v/>
      </c>
      <c r="M27">
        <f>IF($AH27="","",IF(INDEX('Per Invoice'!M$2:M$401,$AH27)="","",INDEX('Per Invoice'!M$2:M$401,$AH27)))</f>
        <v/>
      </c>
      <c r="N27">
        <f>IF($AH27="","",IF(INDEX('Per Invoice'!N$2:N$401,$AH27)="","",INDEX('Per Invoice'!N$2:N$401,$AH27)))</f>
        <v/>
      </c>
      <c r="O27">
        <f>IF($AH27="","",IF(INDEX('Per Invoice'!O$2:O$401,$AH27)="","",INDEX('Per Invoice'!O$2:O$401,$AH27)))</f>
        <v/>
      </c>
      <c r="P27" s="7">
        <f>IF($AH27="","",IF(INDEX('Per Invoice'!P$2:P$401,$AH27)="","",INDEX('Per Invoice'!P$2:P$401,$AH27)))</f>
        <v/>
      </c>
      <c r="Q27">
        <f>IF($AH27="","",IF(INDEX('Per Invoice'!Q$2:Q$401,$AH27)="","",INDEX('Per Invoice'!Q$2:Q$401,$AH27)))</f>
        <v/>
      </c>
      <c r="R27">
        <f>IF($AH27="","",IF(INDEX('Per Invoice'!R$2:R$401,$AH27)="","",INDEX('Per Invoice'!R$2:R$401,$AH27)))</f>
        <v/>
      </c>
      <c r="S27">
        <f>IF($AH27="","",IF(INDEX('Per Invoice'!S$2:S$401,$AH27)="","",INDEX('Per Invoice'!S$2:S$401,$AH27)))</f>
        <v/>
      </c>
      <c r="T27" s="7">
        <f>IF($AH27="","",IF(INDEX('Per Invoice'!T$2:T$401,$AH27)="","",INDEX('Per Invoice'!T$2:T$401,$AH27)))</f>
        <v/>
      </c>
      <c r="U27" s="7">
        <f>IF($AH27="","",IF(INDEX('Per Invoice'!U$2:U$401,$AH27)="","",INDEX('Per Invoice'!U$2:U$401,$AH27)))</f>
        <v/>
      </c>
      <c r="V27">
        <f>IF($AH27="","",IF(INDEX('Per Invoice'!V$2:V$401,$AH27)="","",INDEX('Per Invoice'!V$2:V$401,$AH27)))</f>
        <v/>
      </c>
      <c r="W27" s="7">
        <f>IF($AH27="","",IF(INDEX('Per Invoice'!W$2:W$401,$AH27)="","",INDEX('Per Invoice'!W$2:W$401,$AH27)))</f>
        <v/>
      </c>
      <c r="X27" s="7">
        <f>IF($AH27="","",IF(INDEX('Per Invoice'!X$2:X$401,$AH27)="","",INDEX('Per Invoice'!X$2:X$401,$AH27)))</f>
        <v/>
      </c>
      <c r="Y27">
        <f>IF($AH27="","",IF(INDEX('Per Invoice'!Y$2:Y$401,$AH27)="","",INDEX('Per Invoice'!Y$2:Y$401,$AH27)))</f>
        <v/>
      </c>
      <c r="Z27" s="7">
        <f>IF($AH27="","",IF(INDEX('Per Invoice'!Z$2:Z$401,$AH27)="","",INDEX('Per Invoice'!Z$2:Z$401,$AH27)))</f>
        <v/>
      </c>
      <c r="AA27" s="7">
        <f>IF($AH27="","",IF(INDEX('Per Invoice'!AA$2:AA$401,$AH27)="","",INDEX('Per Invoice'!AA$2:AA$401,$AH27)))</f>
        <v/>
      </c>
      <c r="AB27" s="7">
        <f>IF($AH27="","",IF(INDEX('Per Invoice'!AB$2:AB$401,$AH27)="","",INDEX('Per Invoice'!AB$2:AB$401,$AH27)))</f>
        <v/>
      </c>
      <c r="AC27" s="7">
        <f>IF($AH27="","",IF(INDEX('Per Invoice'!AC$2:AC$401,$AH27)="","",INDEX('Per Invoice'!AC$2:AC$401,$AH27)))</f>
        <v/>
      </c>
      <c r="AD27" s="7">
        <f>IF($AH27="","",IF(INDEX('Per Invoice'!AD$2:AD$401,$AH27)="","",INDEX('Per Invoice'!AD$2:AD$401,$AH27)))</f>
        <v/>
      </c>
      <c r="AE27" s="7">
        <f>IF($AH27="","",IF(INDEX('Per Invoice'!AE$2:AE$401,$AH27)="","",INDEX('Per Invoice'!AE$2:AE$401,$AH27)))</f>
        <v/>
      </c>
      <c r="AF27">
        <f>IF($AH27="","",IF(INDEX('Per Invoice'!AF$2:AF$401,$AH27)="","",INDEX('Per Invoice'!AF$2:AF$401,$AH27)))</f>
        <v/>
      </c>
      <c r="AG27" s="7">
        <f>IF($AH27="","",IF(INDEX('Per Invoice'!AG$2:AG$401,$AH27)="","",INDEX('Per Invoice'!AG$2:AG$401,$AH27)))</f>
        <v/>
      </c>
      <c r="AH27" s="16">
        <f>IFERROR(MATCH(Settings!$C$27&amp;"|"&amp;ROWS($AH$2:$AH27),'Per Invoice'!$AI$2:$AI$401,0),"")</f>
        <v/>
      </c>
    </row>
    <row r="28">
      <c r="A28">
        <f>IF($AH28="","",IF(INDEX('Per Invoice'!A$2:A$401,$AH28)="","",INDEX('Per Invoice'!A$2:A$401,$AH28)))</f>
        <v/>
      </c>
      <c r="B28">
        <f>IF($AH28="","",IF(INDEX('Per Invoice'!B$2:B$401,$AH28)="","",INDEX('Per Invoice'!B$2:B$401,$AH28)))</f>
        <v/>
      </c>
      <c r="C28">
        <f>IF($AH28="","",IF(INDEX('Per Invoice'!C$2:C$401,$AH28)="","",INDEX('Per Invoice'!C$2:C$401,$AH28)))</f>
        <v/>
      </c>
      <c r="D28">
        <f>IF($AH28="","",IF(INDEX('Per Invoice'!D$2:D$401,$AH28)="","",INDEX('Per Invoice'!D$2:D$401,$AH28)))</f>
        <v/>
      </c>
      <c r="E28">
        <f>IF($AH28="","",IF(INDEX('Per Invoice'!E$2:E$401,$AH28)="","",INDEX('Per Invoice'!E$2:E$401,$AH28)))</f>
        <v/>
      </c>
      <c r="F28">
        <f>IF($AH28="","",IF(INDEX('Per Invoice'!F$2:F$401,$AH28)="","",INDEX('Per Invoice'!F$2:F$401,$AH28)))</f>
        <v/>
      </c>
      <c r="G28">
        <f>IF($AH28="","",IF(INDEX('Per Invoice'!G$2:G$401,$AH28)="","",INDEX('Per Invoice'!G$2:G$401,$AH28)))</f>
        <v/>
      </c>
      <c r="H28">
        <f>IF($AH28="","",IF(INDEX('Per Invoice'!H$2:H$401,$AH28)="","",INDEX('Per Invoice'!H$2:H$401,$AH28)))</f>
        <v/>
      </c>
      <c r="I28" s="14">
        <f>IF($AH28="","",IF(INDEX('Per Invoice'!I$2:I$401,$AH28)="","",INDEX('Per Invoice'!I$2:I$401,$AH28)))</f>
        <v/>
      </c>
      <c r="J28">
        <f>IF($AH28="","",IF(INDEX('Per Invoice'!J$2:J$401,$AH28)="","",INDEX('Per Invoice'!J$2:J$401,$AH28)))</f>
        <v/>
      </c>
      <c r="K28">
        <f>IF($AH28="","",IF(INDEX('Per Invoice'!K$2:K$401,$AH28)="","",INDEX('Per Invoice'!K$2:K$401,$AH28)))</f>
        <v/>
      </c>
      <c r="L28">
        <f>IF($AH28="","",IF(INDEX('Per Invoice'!L$2:L$401,$AH28)="","",INDEX('Per Invoice'!L$2:L$401,$AH28)))</f>
        <v/>
      </c>
      <c r="M28">
        <f>IF($AH28="","",IF(INDEX('Per Invoice'!M$2:M$401,$AH28)="","",INDEX('Per Invoice'!M$2:M$401,$AH28)))</f>
        <v/>
      </c>
      <c r="N28">
        <f>IF($AH28="","",IF(INDEX('Per Invoice'!N$2:N$401,$AH28)="","",INDEX('Per Invoice'!N$2:N$401,$AH28)))</f>
        <v/>
      </c>
      <c r="O28">
        <f>IF($AH28="","",IF(INDEX('Per Invoice'!O$2:O$401,$AH28)="","",INDEX('Per Invoice'!O$2:O$401,$AH28)))</f>
        <v/>
      </c>
      <c r="P28" s="7">
        <f>IF($AH28="","",IF(INDEX('Per Invoice'!P$2:P$401,$AH28)="","",INDEX('Per Invoice'!P$2:P$401,$AH28)))</f>
        <v/>
      </c>
      <c r="Q28">
        <f>IF($AH28="","",IF(INDEX('Per Invoice'!Q$2:Q$401,$AH28)="","",INDEX('Per Invoice'!Q$2:Q$401,$AH28)))</f>
        <v/>
      </c>
      <c r="R28">
        <f>IF($AH28="","",IF(INDEX('Per Invoice'!R$2:R$401,$AH28)="","",INDEX('Per Invoice'!R$2:R$401,$AH28)))</f>
        <v/>
      </c>
      <c r="S28">
        <f>IF($AH28="","",IF(INDEX('Per Invoice'!S$2:S$401,$AH28)="","",INDEX('Per Invoice'!S$2:S$401,$AH28)))</f>
        <v/>
      </c>
      <c r="T28" s="7">
        <f>IF($AH28="","",IF(INDEX('Per Invoice'!T$2:T$401,$AH28)="","",INDEX('Per Invoice'!T$2:T$401,$AH28)))</f>
        <v/>
      </c>
      <c r="U28" s="7">
        <f>IF($AH28="","",IF(INDEX('Per Invoice'!U$2:U$401,$AH28)="","",INDEX('Per Invoice'!U$2:U$401,$AH28)))</f>
        <v/>
      </c>
      <c r="V28">
        <f>IF($AH28="","",IF(INDEX('Per Invoice'!V$2:V$401,$AH28)="","",INDEX('Per Invoice'!V$2:V$401,$AH28)))</f>
        <v/>
      </c>
      <c r="W28" s="7">
        <f>IF($AH28="","",IF(INDEX('Per Invoice'!W$2:W$401,$AH28)="","",INDEX('Per Invoice'!W$2:W$401,$AH28)))</f>
        <v/>
      </c>
      <c r="X28" s="7">
        <f>IF($AH28="","",IF(INDEX('Per Invoice'!X$2:X$401,$AH28)="","",INDEX('Per Invoice'!X$2:X$401,$AH28)))</f>
        <v/>
      </c>
      <c r="Y28">
        <f>IF($AH28="","",IF(INDEX('Per Invoice'!Y$2:Y$401,$AH28)="","",INDEX('Per Invoice'!Y$2:Y$401,$AH28)))</f>
        <v/>
      </c>
      <c r="Z28" s="7">
        <f>IF($AH28="","",IF(INDEX('Per Invoice'!Z$2:Z$401,$AH28)="","",INDEX('Per Invoice'!Z$2:Z$401,$AH28)))</f>
        <v/>
      </c>
      <c r="AA28" s="7">
        <f>IF($AH28="","",IF(INDEX('Per Invoice'!AA$2:AA$401,$AH28)="","",INDEX('Per Invoice'!AA$2:AA$401,$AH28)))</f>
        <v/>
      </c>
      <c r="AB28" s="7">
        <f>IF($AH28="","",IF(INDEX('Per Invoice'!AB$2:AB$401,$AH28)="","",INDEX('Per Invoice'!AB$2:AB$401,$AH28)))</f>
        <v/>
      </c>
      <c r="AC28" s="7">
        <f>IF($AH28="","",IF(INDEX('Per Invoice'!AC$2:AC$401,$AH28)="","",INDEX('Per Invoice'!AC$2:AC$401,$AH28)))</f>
        <v/>
      </c>
      <c r="AD28" s="7">
        <f>IF($AH28="","",IF(INDEX('Per Invoice'!AD$2:AD$401,$AH28)="","",INDEX('Per Invoice'!AD$2:AD$401,$AH28)))</f>
        <v/>
      </c>
      <c r="AE28" s="7">
        <f>IF($AH28="","",IF(INDEX('Per Invoice'!AE$2:AE$401,$AH28)="","",INDEX('Per Invoice'!AE$2:AE$401,$AH28)))</f>
        <v/>
      </c>
      <c r="AF28">
        <f>IF($AH28="","",IF(INDEX('Per Invoice'!AF$2:AF$401,$AH28)="","",INDEX('Per Invoice'!AF$2:AF$401,$AH28)))</f>
        <v/>
      </c>
      <c r="AG28" s="7">
        <f>IF($AH28="","",IF(INDEX('Per Invoice'!AG$2:AG$401,$AH28)="","",INDEX('Per Invoice'!AG$2:AG$401,$AH28)))</f>
        <v/>
      </c>
      <c r="AH28" s="16">
        <f>IFERROR(MATCH(Settings!$C$27&amp;"|"&amp;ROWS($AH$2:$AH28),'Per Invoice'!$AI$2:$AI$401,0),"")</f>
        <v/>
      </c>
    </row>
    <row r="29">
      <c r="A29">
        <f>IF($AH29="","",IF(INDEX('Per Invoice'!A$2:A$401,$AH29)="","",INDEX('Per Invoice'!A$2:A$401,$AH29)))</f>
        <v/>
      </c>
      <c r="B29">
        <f>IF($AH29="","",IF(INDEX('Per Invoice'!B$2:B$401,$AH29)="","",INDEX('Per Invoice'!B$2:B$401,$AH29)))</f>
        <v/>
      </c>
      <c r="C29">
        <f>IF($AH29="","",IF(INDEX('Per Invoice'!C$2:C$401,$AH29)="","",INDEX('Per Invoice'!C$2:C$401,$AH29)))</f>
        <v/>
      </c>
      <c r="D29">
        <f>IF($AH29="","",IF(INDEX('Per Invoice'!D$2:D$401,$AH29)="","",INDEX('Per Invoice'!D$2:D$401,$AH29)))</f>
        <v/>
      </c>
      <c r="E29">
        <f>IF($AH29="","",IF(INDEX('Per Invoice'!E$2:E$401,$AH29)="","",INDEX('Per Invoice'!E$2:E$401,$AH29)))</f>
        <v/>
      </c>
      <c r="F29">
        <f>IF($AH29="","",IF(INDEX('Per Invoice'!F$2:F$401,$AH29)="","",INDEX('Per Invoice'!F$2:F$401,$AH29)))</f>
        <v/>
      </c>
      <c r="G29">
        <f>IF($AH29="","",IF(INDEX('Per Invoice'!G$2:G$401,$AH29)="","",INDEX('Per Invoice'!G$2:G$401,$AH29)))</f>
        <v/>
      </c>
      <c r="H29">
        <f>IF($AH29="","",IF(INDEX('Per Invoice'!H$2:H$401,$AH29)="","",INDEX('Per Invoice'!H$2:H$401,$AH29)))</f>
        <v/>
      </c>
      <c r="I29" s="14">
        <f>IF($AH29="","",IF(INDEX('Per Invoice'!I$2:I$401,$AH29)="","",INDEX('Per Invoice'!I$2:I$401,$AH29)))</f>
        <v/>
      </c>
      <c r="J29">
        <f>IF($AH29="","",IF(INDEX('Per Invoice'!J$2:J$401,$AH29)="","",INDEX('Per Invoice'!J$2:J$401,$AH29)))</f>
        <v/>
      </c>
      <c r="K29">
        <f>IF($AH29="","",IF(INDEX('Per Invoice'!K$2:K$401,$AH29)="","",INDEX('Per Invoice'!K$2:K$401,$AH29)))</f>
        <v/>
      </c>
      <c r="L29">
        <f>IF($AH29="","",IF(INDEX('Per Invoice'!L$2:L$401,$AH29)="","",INDEX('Per Invoice'!L$2:L$401,$AH29)))</f>
        <v/>
      </c>
      <c r="M29">
        <f>IF($AH29="","",IF(INDEX('Per Invoice'!M$2:M$401,$AH29)="","",INDEX('Per Invoice'!M$2:M$401,$AH29)))</f>
        <v/>
      </c>
      <c r="N29">
        <f>IF($AH29="","",IF(INDEX('Per Invoice'!N$2:N$401,$AH29)="","",INDEX('Per Invoice'!N$2:N$401,$AH29)))</f>
        <v/>
      </c>
      <c r="O29">
        <f>IF($AH29="","",IF(INDEX('Per Invoice'!O$2:O$401,$AH29)="","",INDEX('Per Invoice'!O$2:O$401,$AH29)))</f>
        <v/>
      </c>
      <c r="P29" s="7">
        <f>IF($AH29="","",IF(INDEX('Per Invoice'!P$2:P$401,$AH29)="","",INDEX('Per Invoice'!P$2:P$401,$AH29)))</f>
        <v/>
      </c>
      <c r="Q29">
        <f>IF($AH29="","",IF(INDEX('Per Invoice'!Q$2:Q$401,$AH29)="","",INDEX('Per Invoice'!Q$2:Q$401,$AH29)))</f>
        <v/>
      </c>
      <c r="R29">
        <f>IF($AH29="","",IF(INDEX('Per Invoice'!R$2:R$401,$AH29)="","",INDEX('Per Invoice'!R$2:R$401,$AH29)))</f>
        <v/>
      </c>
      <c r="S29">
        <f>IF($AH29="","",IF(INDEX('Per Invoice'!S$2:S$401,$AH29)="","",INDEX('Per Invoice'!S$2:S$401,$AH29)))</f>
        <v/>
      </c>
      <c r="T29" s="7">
        <f>IF($AH29="","",IF(INDEX('Per Invoice'!T$2:T$401,$AH29)="","",INDEX('Per Invoice'!T$2:T$401,$AH29)))</f>
        <v/>
      </c>
      <c r="U29" s="7">
        <f>IF($AH29="","",IF(INDEX('Per Invoice'!U$2:U$401,$AH29)="","",INDEX('Per Invoice'!U$2:U$401,$AH29)))</f>
        <v/>
      </c>
      <c r="V29">
        <f>IF($AH29="","",IF(INDEX('Per Invoice'!V$2:V$401,$AH29)="","",INDEX('Per Invoice'!V$2:V$401,$AH29)))</f>
        <v/>
      </c>
      <c r="W29" s="7">
        <f>IF($AH29="","",IF(INDEX('Per Invoice'!W$2:W$401,$AH29)="","",INDEX('Per Invoice'!W$2:W$401,$AH29)))</f>
        <v/>
      </c>
      <c r="X29" s="7">
        <f>IF($AH29="","",IF(INDEX('Per Invoice'!X$2:X$401,$AH29)="","",INDEX('Per Invoice'!X$2:X$401,$AH29)))</f>
        <v/>
      </c>
      <c r="Y29">
        <f>IF($AH29="","",IF(INDEX('Per Invoice'!Y$2:Y$401,$AH29)="","",INDEX('Per Invoice'!Y$2:Y$401,$AH29)))</f>
        <v/>
      </c>
      <c r="Z29" s="7">
        <f>IF($AH29="","",IF(INDEX('Per Invoice'!Z$2:Z$401,$AH29)="","",INDEX('Per Invoice'!Z$2:Z$401,$AH29)))</f>
        <v/>
      </c>
      <c r="AA29" s="7">
        <f>IF($AH29="","",IF(INDEX('Per Invoice'!AA$2:AA$401,$AH29)="","",INDEX('Per Invoice'!AA$2:AA$401,$AH29)))</f>
        <v/>
      </c>
      <c r="AB29" s="7">
        <f>IF($AH29="","",IF(INDEX('Per Invoice'!AB$2:AB$401,$AH29)="","",INDEX('Per Invoice'!AB$2:AB$401,$AH29)))</f>
        <v/>
      </c>
      <c r="AC29" s="7">
        <f>IF($AH29="","",IF(INDEX('Per Invoice'!AC$2:AC$401,$AH29)="","",INDEX('Per Invoice'!AC$2:AC$401,$AH29)))</f>
        <v/>
      </c>
      <c r="AD29" s="7">
        <f>IF($AH29="","",IF(INDEX('Per Invoice'!AD$2:AD$401,$AH29)="","",INDEX('Per Invoice'!AD$2:AD$401,$AH29)))</f>
        <v/>
      </c>
      <c r="AE29" s="7">
        <f>IF($AH29="","",IF(INDEX('Per Invoice'!AE$2:AE$401,$AH29)="","",INDEX('Per Invoice'!AE$2:AE$401,$AH29)))</f>
        <v/>
      </c>
      <c r="AF29">
        <f>IF($AH29="","",IF(INDEX('Per Invoice'!AF$2:AF$401,$AH29)="","",INDEX('Per Invoice'!AF$2:AF$401,$AH29)))</f>
        <v/>
      </c>
      <c r="AG29" s="7">
        <f>IF($AH29="","",IF(INDEX('Per Invoice'!AG$2:AG$401,$AH29)="","",INDEX('Per Invoice'!AG$2:AG$401,$AH29)))</f>
        <v/>
      </c>
      <c r="AH29" s="16">
        <f>IFERROR(MATCH(Settings!$C$27&amp;"|"&amp;ROWS($AH$2:$AH29),'Per Invoice'!$AI$2:$AI$401,0),"")</f>
        <v/>
      </c>
    </row>
    <row r="30">
      <c r="A30">
        <f>IF($AH30="","",IF(INDEX('Per Invoice'!A$2:A$401,$AH30)="","",INDEX('Per Invoice'!A$2:A$401,$AH30)))</f>
        <v/>
      </c>
      <c r="B30">
        <f>IF($AH30="","",IF(INDEX('Per Invoice'!B$2:B$401,$AH30)="","",INDEX('Per Invoice'!B$2:B$401,$AH30)))</f>
        <v/>
      </c>
      <c r="C30">
        <f>IF($AH30="","",IF(INDEX('Per Invoice'!C$2:C$401,$AH30)="","",INDEX('Per Invoice'!C$2:C$401,$AH30)))</f>
        <v/>
      </c>
      <c r="D30">
        <f>IF($AH30="","",IF(INDEX('Per Invoice'!D$2:D$401,$AH30)="","",INDEX('Per Invoice'!D$2:D$401,$AH30)))</f>
        <v/>
      </c>
      <c r="E30">
        <f>IF($AH30="","",IF(INDEX('Per Invoice'!E$2:E$401,$AH30)="","",INDEX('Per Invoice'!E$2:E$401,$AH30)))</f>
        <v/>
      </c>
      <c r="F30">
        <f>IF($AH30="","",IF(INDEX('Per Invoice'!F$2:F$401,$AH30)="","",INDEX('Per Invoice'!F$2:F$401,$AH30)))</f>
        <v/>
      </c>
      <c r="G30">
        <f>IF($AH30="","",IF(INDEX('Per Invoice'!G$2:G$401,$AH30)="","",INDEX('Per Invoice'!G$2:G$401,$AH30)))</f>
        <v/>
      </c>
      <c r="H30">
        <f>IF($AH30="","",IF(INDEX('Per Invoice'!H$2:H$401,$AH30)="","",INDEX('Per Invoice'!H$2:H$401,$AH30)))</f>
        <v/>
      </c>
      <c r="I30" s="14">
        <f>IF($AH30="","",IF(INDEX('Per Invoice'!I$2:I$401,$AH30)="","",INDEX('Per Invoice'!I$2:I$401,$AH30)))</f>
        <v/>
      </c>
      <c r="J30">
        <f>IF($AH30="","",IF(INDEX('Per Invoice'!J$2:J$401,$AH30)="","",INDEX('Per Invoice'!J$2:J$401,$AH30)))</f>
        <v/>
      </c>
      <c r="K30">
        <f>IF($AH30="","",IF(INDEX('Per Invoice'!K$2:K$401,$AH30)="","",INDEX('Per Invoice'!K$2:K$401,$AH30)))</f>
        <v/>
      </c>
      <c r="L30">
        <f>IF($AH30="","",IF(INDEX('Per Invoice'!L$2:L$401,$AH30)="","",INDEX('Per Invoice'!L$2:L$401,$AH30)))</f>
        <v/>
      </c>
      <c r="M30">
        <f>IF($AH30="","",IF(INDEX('Per Invoice'!M$2:M$401,$AH30)="","",INDEX('Per Invoice'!M$2:M$401,$AH30)))</f>
        <v/>
      </c>
      <c r="N30">
        <f>IF($AH30="","",IF(INDEX('Per Invoice'!N$2:N$401,$AH30)="","",INDEX('Per Invoice'!N$2:N$401,$AH30)))</f>
        <v/>
      </c>
      <c r="O30">
        <f>IF($AH30="","",IF(INDEX('Per Invoice'!O$2:O$401,$AH30)="","",INDEX('Per Invoice'!O$2:O$401,$AH30)))</f>
        <v/>
      </c>
      <c r="P30" s="7">
        <f>IF($AH30="","",IF(INDEX('Per Invoice'!P$2:P$401,$AH30)="","",INDEX('Per Invoice'!P$2:P$401,$AH30)))</f>
        <v/>
      </c>
      <c r="Q30">
        <f>IF($AH30="","",IF(INDEX('Per Invoice'!Q$2:Q$401,$AH30)="","",INDEX('Per Invoice'!Q$2:Q$401,$AH30)))</f>
        <v/>
      </c>
      <c r="R30">
        <f>IF($AH30="","",IF(INDEX('Per Invoice'!R$2:R$401,$AH30)="","",INDEX('Per Invoice'!R$2:R$401,$AH30)))</f>
        <v/>
      </c>
      <c r="S30">
        <f>IF($AH30="","",IF(INDEX('Per Invoice'!S$2:S$401,$AH30)="","",INDEX('Per Invoice'!S$2:S$401,$AH30)))</f>
        <v/>
      </c>
      <c r="T30" s="7">
        <f>IF($AH30="","",IF(INDEX('Per Invoice'!T$2:T$401,$AH30)="","",INDEX('Per Invoice'!T$2:T$401,$AH30)))</f>
        <v/>
      </c>
      <c r="U30" s="7">
        <f>IF($AH30="","",IF(INDEX('Per Invoice'!U$2:U$401,$AH30)="","",INDEX('Per Invoice'!U$2:U$401,$AH30)))</f>
        <v/>
      </c>
      <c r="V30">
        <f>IF($AH30="","",IF(INDEX('Per Invoice'!V$2:V$401,$AH30)="","",INDEX('Per Invoice'!V$2:V$401,$AH30)))</f>
        <v/>
      </c>
      <c r="W30" s="7">
        <f>IF($AH30="","",IF(INDEX('Per Invoice'!W$2:W$401,$AH30)="","",INDEX('Per Invoice'!W$2:W$401,$AH30)))</f>
        <v/>
      </c>
      <c r="X30" s="7">
        <f>IF($AH30="","",IF(INDEX('Per Invoice'!X$2:X$401,$AH30)="","",INDEX('Per Invoice'!X$2:X$401,$AH30)))</f>
        <v/>
      </c>
      <c r="Y30">
        <f>IF($AH30="","",IF(INDEX('Per Invoice'!Y$2:Y$401,$AH30)="","",INDEX('Per Invoice'!Y$2:Y$401,$AH30)))</f>
        <v/>
      </c>
      <c r="Z30" s="7">
        <f>IF($AH30="","",IF(INDEX('Per Invoice'!Z$2:Z$401,$AH30)="","",INDEX('Per Invoice'!Z$2:Z$401,$AH30)))</f>
        <v/>
      </c>
      <c r="AA30" s="7">
        <f>IF($AH30="","",IF(INDEX('Per Invoice'!AA$2:AA$401,$AH30)="","",INDEX('Per Invoice'!AA$2:AA$401,$AH30)))</f>
        <v/>
      </c>
      <c r="AB30" s="7">
        <f>IF($AH30="","",IF(INDEX('Per Invoice'!AB$2:AB$401,$AH30)="","",INDEX('Per Invoice'!AB$2:AB$401,$AH30)))</f>
        <v/>
      </c>
      <c r="AC30" s="7">
        <f>IF($AH30="","",IF(INDEX('Per Invoice'!AC$2:AC$401,$AH30)="","",INDEX('Per Invoice'!AC$2:AC$401,$AH30)))</f>
        <v/>
      </c>
      <c r="AD30" s="7">
        <f>IF($AH30="","",IF(INDEX('Per Invoice'!AD$2:AD$401,$AH30)="","",INDEX('Per Invoice'!AD$2:AD$401,$AH30)))</f>
        <v/>
      </c>
      <c r="AE30" s="7">
        <f>IF($AH30="","",IF(INDEX('Per Invoice'!AE$2:AE$401,$AH30)="","",INDEX('Per Invoice'!AE$2:AE$401,$AH30)))</f>
        <v/>
      </c>
      <c r="AF30">
        <f>IF($AH30="","",IF(INDEX('Per Invoice'!AF$2:AF$401,$AH30)="","",INDEX('Per Invoice'!AF$2:AF$401,$AH30)))</f>
        <v/>
      </c>
      <c r="AG30" s="7">
        <f>IF($AH30="","",IF(INDEX('Per Invoice'!AG$2:AG$401,$AH30)="","",INDEX('Per Invoice'!AG$2:AG$401,$AH30)))</f>
        <v/>
      </c>
      <c r="AH30" s="16">
        <f>IFERROR(MATCH(Settings!$C$27&amp;"|"&amp;ROWS($AH$2:$AH30),'Per Invoice'!$AI$2:$AI$401,0),"")</f>
        <v/>
      </c>
    </row>
    <row r="31">
      <c r="A31">
        <f>IF($AH31="","",IF(INDEX('Per Invoice'!A$2:A$401,$AH31)="","",INDEX('Per Invoice'!A$2:A$401,$AH31)))</f>
        <v/>
      </c>
      <c r="B31">
        <f>IF($AH31="","",IF(INDEX('Per Invoice'!B$2:B$401,$AH31)="","",INDEX('Per Invoice'!B$2:B$401,$AH31)))</f>
        <v/>
      </c>
      <c r="C31">
        <f>IF($AH31="","",IF(INDEX('Per Invoice'!C$2:C$401,$AH31)="","",INDEX('Per Invoice'!C$2:C$401,$AH31)))</f>
        <v/>
      </c>
      <c r="D31">
        <f>IF($AH31="","",IF(INDEX('Per Invoice'!D$2:D$401,$AH31)="","",INDEX('Per Invoice'!D$2:D$401,$AH31)))</f>
        <v/>
      </c>
      <c r="E31">
        <f>IF($AH31="","",IF(INDEX('Per Invoice'!E$2:E$401,$AH31)="","",INDEX('Per Invoice'!E$2:E$401,$AH31)))</f>
        <v/>
      </c>
      <c r="F31">
        <f>IF($AH31="","",IF(INDEX('Per Invoice'!F$2:F$401,$AH31)="","",INDEX('Per Invoice'!F$2:F$401,$AH31)))</f>
        <v/>
      </c>
      <c r="G31">
        <f>IF($AH31="","",IF(INDEX('Per Invoice'!G$2:G$401,$AH31)="","",INDEX('Per Invoice'!G$2:G$401,$AH31)))</f>
        <v/>
      </c>
      <c r="H31">
        <f>IF($AH31="","",IF(INDEX('Per Invoice'!H$2:H$401,$AH31)="","",INDEX('Per Invoice'!H$2:H$401,$AH31)))</f>
        <v/>
      </c>
      <c r="I31" s="14">
        <f>IF($AH31="","",IF(INDEX('Per Invoice'!I$2:I$401,$AH31)="","",INDEX('Per Invoice'!I$2:I$401,$AH31)))</f>
        <v/>
      </c>
      <c r="J31">
        <f>IF($AH31="","",IF(INDEX('Per Invoice'!J$2:J$401,$AH31)="","",INDEX('Per Invoice'!J$2:J$401,$AH31)))</f>
        <v/>
      </c>
      <c r="K31">
        <f>IF($AH31="","",IF(INDEX('Per Invoice'!K$2:K$401,$AH31)="","",INDEX('Per Invoice'!K$2:K$401,$AH31)))</f>
        <v/>
      </c>
      <c r="L31">
        <f>IF($AH31="","",IF(INDEX('Per Invoice'!L$2:L$401,$AH31)="","",INDEX('Per Invoice'!L$2:L$401,$AH31)))</f>
        <v/>
      </c>
      <c r="M31">
        <f>IF($AH31="","",IF(INDEX('Per Invoice'!M$2:M$401,$AH31)="","",INDEX('Per Invoice'!M$2:M$401,$AH31)))</f>
        <v/>
      </c>
      <c r="N31">
        <f>IF($AH31="","",IF(INDEX('Per Invoice'!N$2:N$401,$AH31)="","",INDEX('Per Invoice'!N$2:N$401,$AH31)))</f>
        <v/>
      </c>
      <c r="O31">
        <f>IF($AH31="","",IF(INDEX('Per Invoice'!O$2:O$401,$AH31)="","",INDEX('Per Invoice'!O$2:O$401,$AH31)))</f>
        <v/>
      </c>
      <c r="P31" s="7">
        <f>IF($AH31="","",IF(INDEX('Per Invoice'!P$2:P$401,$AH31)="","",INDEX('Per Invoice'!P$2:P$401,$AH31)))</f>
        <v/>
      </c>
      <c r="Q31">
        <f>IF($AH31="","",IF(INDEX('Per Invoice'!Q$2:Q$401,$AH31)="","",INDEX('Per Invoice'!Q$2:Q$401,$AH31)))</f>
        <v/>
      </c>
      <c r="R31">
        <f>IF($AH31="","",IF(INDEX('Per Invoice'!R$2:R$401,$AH31)="","",INDEX('Per Invoice'!R$2:R$401,$AH31)))</f>
        <v/>
      </c>
      <c r="S31">
        <f>IF($AH31="","",IF(INDEX('Per Invoice'!S$2:S$401,$AH31)="","",INDEX('Per Invoice'!S$2:S$401,$AH31)))</f>
        <v/>
      </c>
      <c r="T31" s="7">
        <f>IF($AH31="","",IF(INDEX('Per Invoice'!T$2:T$401,$AH31)="","",INDEX('Per Invoice'!T$2:T$401,$AH31)))</f>
        <v/>
      </c>
      <c r="U31" s="7">
        <f>IF($AH31="","",IF(INDEX('Per Invoice'!U$2:U$401,$AH31)="","",INDEX('Per Invoice'!U$2:U$401,$AH31)))</f>
        <v/>
      </c>
      <c r="V31">
        <f>IF($AH31="","",IF(INDEX('Per Invoice'!V$2:V$401,$AH31)="","",INDEX('Per Invoice'!V$2:V$401,$AH31)))</f>
        <v/>
      </c>
      <c r="W31" s="7">
        <f>IF($AH31="","",IF(INDEX('Per Invoice'!W$2:W$401,$AH31)="","",INDEX('Per Invoice'!W$2:W$401,$AH31)))</f>
        <v/>
      </c>
      <c r="X31" s="7">
        <f>IF($AH31="","",IF(INDEX('Per Invoice'!X$2:X$401,$AH31)="","",INDEX('Per Invoice'!X$2:X$401,$AH31)))</f>
        <v/>
      </c>
      <c r="Y31">
        <f>IF($AH31="","",IF(INDEX('Per Invoice'!Y$2:Y$401,$AH31)="","",INDEX('Per Invoice'!Y$2:Y$401,$AH31)))</f>
        <v/>
      </c>
      <c r="Z31" s="7">
        <f>IF($AH31="","",IF(INDEX('Per Invoice'!Z$2:Z$401,$AH31)="","",INDEX('Per Invoice'!Z$2:Z$401,$AH31)))</f>
        <v/>
      </c>
      <c r="AA31" s="7">
        <f>IF($AH31="","",IF(INDEX('Per Invoice'!AA$2:AA$401,$AH31)="","",INDEX('Per Invoice'!AA$2:AA$401,$AH31)))</f>
        <v/>
      </c>
      <c r="AB31" s="7">
        <f>IF($AH31="","",IF(INDEX('Per Invoice'!AB$2:AB$401,$AH31)="","",INDEX('Per Invoice'!AB$2:AB$401,$AH31)))</f>
        <v/>
      </c>
      <c r="AC31" s="7">
        <f>IF($AH31="","",IF(INDEX('Per Invoice'!AC$2:AC$401,$AH31)="","",INDEX('Per Invoice'!AC$2:AC$401,$AH31)))</f>
        <v/>
      </c>
      <c r="AD31" s="7">
        <f>IF($AH31="","",IF(INDEX('Per Invoice'!AD$2:AD$401,$AH31)="","",INDEX('Per Invoice'!AD$2:AD$401,$AH31)))</f>
        <v/>
      </c>
      <c r="AE31" s="7">
        <f>IF($AH31="","",IF(INDEX('Per Invoice'!AE$2:AE$401,$AH31)="","",INDEX('Per Invoice'!AE$2:AE$401,$AH31)))</f>
        <v/>
      </c>
      <c r="AF31">
        <f>IF($AH31="","",IF(INDEX('Per Invoice'!AF$2:AF$401,$AH31)="","",INDEX('Per Invoice'!AF$2:AF$401,$AH31)))</f>
        <v/>
      </c>
      <c r="AG31" s="7">
        <f>IF($AH31="","",IF(INDEX('Per Invoice'!AG$2:AG$401,$AH31)="","",INDEX('Per Invoice'!AG$2:AG$401,$AH31)))</f>
        <v/>
      </c>
      <c r="AH31" s="16">
        <f>IFERROR(MATCH(Settings!$C$27&amp;"|"&amp;ROWS($AH$2:$AH31),'Per Invoice'!$AI$2:$AI$401,0),"")</f>
        <v/>
      </c>
    </row>
    <row r="32">
      <c r="A32">
        <f>IF($AH32="","",IF(INDEX('Per Invoice'!A$2:A$401,$AH32)="","",INDEX('Per Invoice'!A$2:A$401,$AH32)))</f>
        <v/>
      </c>
      <c r="B32">
        <f>IF($AH32="","",IF(INDEX('Per Invoice'!B$2:B$401,$AH32)="","",INDEX('Per Invoice'!B$2:B$401,$AH32)))</f>
        <v/>
      </c>
      <c r="C32">
        <f>IF($AH32="","",IF(INDEX('Per Invoice'!C$2:C$401,$AH32)="","",INDEX('Per Invoice'!C$2:C$401,$AH32)))</f>
        <v/>
      </c>
      <c r="D32">
        <f>IF($AH32="","",IF(INDEX('Per Invoice'!D$2:D$401,$AH32)="","",INDEX('Per Invoice'!D$2:D$401,$AH32)))</f>
        <v/>
      </c>
      <c r="E32">
        <f>IF($AH32="","",IF(INDEX('Per Invoice'!E$2:E$401,$AH32)="","",INDEX('Per Invoice'!E$2:E$401,$AH32)))</f>
        <v/>
      </c>
      <c r="F32">
        <f>IF($AH32="","",IF(INDEX('Per Invoice'!F$2:F$401,$AH32)="","",INDEX('Per Invoice'!F$2:F$401,$AH32)))</f>
        <v/>
      </c>
      <c r="G32">
        <f>IF($AH32="","",IF(INDEX('Per Invoice'!G$2:G$401,$AH32)="","",INDEX('Per Invoice'!G$2:G$401,$AH32)))</f>
        <v/>
      </c>
      <c r="H32">
        <f>IF($AH32="","",IF(INDEX('Per Invoice'!H$2:H$401,$AH32)="","",INDEX('Per Invoice'!H$2:H$401,$AH32)))</f>
        <v/>
      </c>
      <c r="I32" s="14">
        <f>IF($AH32="","",IF(INDEX('Per Invoice'!I$2:I$401,$AH32)="","",INDEX('Per Invoice'!I$2:I$401,$AH32)))</f>
        <v/>
      </c>
      <c r="J32">
        <f>IF($AH32="","",IF(INDEX('Per Invoice'!J$2:J$401,$AH32)="","",INDEX('Per Invoice'!J$2:J$401,$AH32)))</f>
        <v/>
      </c>
      <c r="K32">
        <f>IF($AH32="","",IF(INDEX('Per Invoice'!K$2:K$401,$AH32)="","",INDEX('Per Invoice'!K$2:K$401,$AH32)))</f>
        <v/>
      </c>
      <c r="L32">
        <f>IF($AH32="","",IF(INDEX('Per Invoice'!L$2:L$401,$AH32)="","",INDEX('Per Invoice'!L$2:L$401,$AH32)))</f>
        <v/>
      </c>
      <c r="M32">
        <f>IF($AH32="","",IF(INDEX('Per Invoice'!M$2:M$401,$AH32)="","",INDEX('Per Invoice'!M$2:M$401,$AH32)))</f>
        <v/>
      </c>
      <c r="N32">
        <f>IF($AH32="","",IF(INDEX('Per Invoice'!N$2:N$401,$AH32)="","",INDEX('Per Invoice'!N$2:N$401,$AH32)))</f>
        <v/>
      </c>
      <c r="O32">
        <f>IF($AH32="","",IF(INDEX('Per Invoice'!O$2:O$401,$AH32)="","",INDEX('Per Invoice'!O$2:O$401,$AH32)))</f>
        <v/>
      </c>
      <c r="P32" s="7">
        <f>IF($AH32="","",IF(INDEX('Per Invoice'!P$2:P$401,$AH32)="","",INDEX('Per Invoice'!P$2:P$401,$AH32)))</f>
        <v/>
      </c>
      <c r="Q32">
        <f>IF($AH32="","",IF(INDEX('Per Invoice'!Q$2:Q$401,$AH32)="","",INDEX('Per Invoice'!Q$2:Q$401,$AH32)))</f>
        <v/>
      </c>
      <c r="R32">
        <f>IF($AH32="","",IF(INDEX('Per Invoice'!R$2:R$401,$AH32)="","",INDEX('Per Invoice'!R$2:R$401,$AH32)))</f>
        <v/>
      </c>
      <c r="S32">
        <f>IF($AH32="","",IF(INDEX('Per Invoice'!S$2:S$401,$AH32)="","",INDEX('Per Invoice'!S$2:S$401,$AH32)))</f>
        <v/>
      </c>
      <c r="T32" s="7">
        <f>IF($AH32="","",IF(INDEX('Per Invoice'!T$2:T$401,$AH32)="","",INDEX('Per Invoice'!T$2:T$401,$AH32)))</f>
        <v/>
      </c>
      <c r="U32" s="7">
        <f>IF($AH32="","",IF(INDEX('Per Invoice'!U$2:U$401,$AH32)="","",INDEX('Per Invoice'!U$2:U$401,$AH32)))</f>
        <v/>
      </c>
      <c r="V32">
        <f>IF($AH32="","",IF(INDEX('Per Invoice'!V$2:V$401,$AH32)="","",INDEX('Per Invoice'!V$2:V$401,$AH32)))</f>
        <v/>
      </c>
      <c r="W32" s="7">
        <f>IF($AH32="","",IF(INDEX('Per Invoice'!W$2:W$401,$AH32)="","",INDEX('Per Invoice'!W$2:W$401,$AH32)))</f>
        <v/>
      </c>
      <c r="X32" s="7">
        <f>IF($AH32="","",IF(INDEX('Per Invoice'!X$2:X$401,$AH32)="","",INDEX('Per Invoice'!X$2:X$401,$AH32)))</f>
        <v/>
      </c>
      <c r="Y32">
        <f>IF($AH32="","",IF(INDEX('Per Invoice'!Y$2:Y$401,$AH32)="","",INDEX('Per Invoice'!Y$2:Y$401,$AH32)))</f>
        <v/>
      </c>
      <c r="Z32" s="7">
        <f>IF($AH32="","",IF(INDEX('Per Invoice'!Z$2:Z$401,$AH32)="","",INDEX('Per Invoice'!Z$2:Z$401,$AH32)))</f>
        <v/>
      </c>
      <c r="AA32" s="7">
        <f>IF($AH32="","",IF(INDEX('Per Invoice'!AA$2:AA$401,$AH32)="","",INDEX('Per Invoice'!AA$2:AA$401,$AH32)))</f>
        <v/>
      </c>
      <c r="AB32" s="7">
        <f>IF($AH32="","",IF(INDEX('Per Invoice'!AB$2:AB$401,$AH32)="","",INDEX('Per Invoice'!AB$2:AB$401,$AH32)))</f>
        <v/>
      </c>
      <c r="AC32" s="7">
        <f>IF($AH32="","",IF(INDEX('Per Invoice'!AC$2:AC$401,$AH32)="","",INDEX('Per Invoice'!AC$2:AC$401,$AH32)))</f>
        <v/>
      </c>
      <c r="AD32" s="7">
        <f>IF($AH32="","",IF(INDEX('Per Invoice'!AD$2:AD$401,$AH32)="","",INDEX('Per Invoice'!AD$2:AD$401,$AH32)))</f>
        <v/>
      </c>
      <c r="AE32" s="7">
        <f>IF($AH32="","",IF(INDEX('Per Invoice'!AE$2:AE$401,$AH32)="","",INDEX('Per Invoice'!AE$2:AE$401,$AH32)))</f>
        <v/>
      </c>
      <c r="AF32">
        <f>IF($AH32="","",IF(INDEX('Per Invoice'!AF$2:AF$401,$AH32)="","",INDEX('Per Invoice'!AF$2:AF$401,$AH32)))</f>
        <v/>
      </c>
      <c r="AG32" s="7">
        <f>IF($AH32="","",IF(INDEX('Per Invoice'!AG$2:AG$401,$AH32)="","",INDEX('Per Invoice'!AG$2:AG$401,$AH32)))</f>
        <v/>
      </c>
      <c r="AH32" s="16">
        <f>IFERROR(MATCH(Settings!$C$27&amp;"|"&amp;ROWS($AH$2:$AH32),'Per Invoice'!$AI$2:$AI$401,0),"")</f>
        <v/>
      </c>
    </row>
    <row r="33">
      <c r="A33">
        <f>IF($AH33="","",IF(INDEX('Per Invoice'!A$2:A$401,$AH33)="","",INDEX('Per Invoice'!A$2:A$401,$AH33)))</f>
        <v/>
      </c>
      <c r="B33">
        <f>IF($AH33="","",IF(INDEX('Per Invoice'!B$2:B$401,$AH33)="","",INDEX('Per Invoice'!B$2:B$401,$AH33)))</f>
        <v/>
      </c>
      <c r="C33">
        <f>IF($AH33="","",IF(INDEX('Per Invoice'!C$2:C$401,$AH33)="","",INDEX('Per Invoice'!C$2:C$401,$AH33)))</f>
        <v/>
      </c>
      <c r="D33">
        <f>IF($AH33="","",IF(INDEX('Per Invoice'!D$2:D$401,$AH33)="","",INDEX('Per Invoice'!D$2:D$401,$AH33)))</f>
        <v/>
      </c>
      <c r="E33">
        <f>IF($AH33="","",IF(INDEX('Per Invoice'!E$2:E$401,$AH33)="","",INDEX('Per Invoice'!E$2:E$401,$AH33)))</f>
        <v/>
      </c>
      <c r="F33">
        <f>IF($AH33="","",IF(INDEX('Per Invoice'!F$2:F$401,$AH33)="","",INDEX('Per Invoice'!F$2:F$401,$AH33)))</f>
        <v/>
      </c>
      <c r="G33">
        <f>IF($AH33="","",IF(INDEX('Per Invoice'!G$2:G$401,$AH33)="","",INDEX('Per Invoice'!G$2:G$401,$AH33)))</f>
        <v/>
      </c>
      <c r="H33">
        <f>IF($AH33="","",IF(INDEX('Per Invoice'!H$2:H$401,$AH33)="","",INDEX('Per Invoice'!H$2:H$401,$AH33)))</f>
        <v/>
      </c>
      <c r="I33" s="14">
        <f>IF($AH33="","",IF(INDEX('Per Invoice'!I$2:I$401,$AH33)="","",INDEX('Per Invoice'!I$2:I$401,$AH33)))</f>
        <v/>
      </c>
      <c r="J33">
        <f>IF($AH33="","",IF(INDEX('Per Invoice'!J$2:J$401,$AH33)="","",INDEX('Per Invoice'!J$2:J$401,$AH33)))</f>
        <v/>
      </c>
      <c r="K33">
        <f>IF($AH33="","",IF(INDEX('Per Invoice'!K$2:K$401,$AH33)="","",INDEX('Per Invoice'!K$2:K$401,$AH33)))</f>
        <v/>
      </c>
      <c r="L33">
        <f>IF($AH33="","",IF(INDEX('Per Invoice'!L$2:L$401,$AH33)="","",INDEX('Per Invoice'!L$2:L$401,$AH33)))</f>
        <v/>
      </c>
      <c r="M33">
        <f>IF($AH33="","",IF(INDEX('Per Invoice'!M$2:M$401,$AH33)="","",INDEX('Per Invoice'!M$2:M$401,$AH33)))</f>
        <v/>
      </c>
      <c r="N33">
        <f>IF($AH33="","",IF(INDEX('Per Invoice'!N$2:N$401,$AH33)="","",INDEX('Per Invoice'!N$2:N$401,$AH33)))</f>
        <v/>
      </c>
      <c r="O33">
        <f>IF($AH33="","",IF(INDEX('Per Invoice'!O$2:O$401,$AH33)="","",INDEX('Per Invoice'!O$2:O$401,$AH33)))</f>
        <v/>
      </c>
      <c r="P33" s="7">
        <f>IF($AH33="","",IF(INDEX('Per Invoice'!P$2:P$401,$AH33)="","",INDEX('Per Invoice'!P$2:P$401,$AH33)))</f>
        <v/>
      </c>
      <c r="Q33">
        <f>IF($AH33="","",IF(INDEX('Per Invoice'!Q$2:Q$401,$AH33)="","",INDEX('Per Invoice'!Q$2:Q$401,$AH33)))</f>
        <v/>
      </c>
      <c r="R33">
        <f>IF($AH33="","",IF(INDEX('Per Invoice'!R$2:R$401,$AH33)="","",INDEX('Per Invoice'!R$2:R$401,$AH33)))</f>
        <v/>
      </c>
      <c r="S33">
        <f>IF($AH33="","",IF(INDEX('Per Invoice'!S$2:S$401,$AH33)="","",INDEX('Per Invoice'!S$2:S$401,$AH33)))</f>
        <v/>
      </c>
      <c r="T33" s="7">
        <f>IF($AH33="","",IF(INDEX('Per Invoice'!T$2:T$401,$AH33)="","",INDEX('Per Invoice'!T$2:T$401,$AH33)))</f>
        <v/>
      </c>
      <c r="U33" s="7">
        <f>IF($AH33="","",IF(INDEX('Per Invoice'!U$2:U$401,$AH33)="","",INDEX('Per Invoice'!U$2:U$401,$AH33)))</f>
        <v/>
      </c>
      <c r="V33">
        <f>IF($AH33="","",IF(INDEX('Per Invoice'!V$2:V$401,$AH33)="","",INDEX('Per Invoice'!V$2:V$401,$AH33)))</f>
        <v/>
      </c>
      <c r="W33" s="7">
        <f>IF($AH33="","",IF(INDEX('Per Invoice'!W$2:W$401,$AH33)="","",INDEX('Per Invoice'!W$2:W$401,$AH33)))</f>
        <v/>
      </c>
      <c r="X33" s="7">
        <f>IF($AH33="","",IF(INDEX('Per Invoice'!X$2:X$401,$AH33)="","",INDEX('Per Invoice'!X$2:X$401,$AH33)))</f>
        <v/>
      </c>
      <c r="Y33">
        <f>IF($AH33="","",IF(INDEX('Per Invoice'!Y$2:Y$401,$AH33)="","",INDEX('Per Invoice'!Y$2:Y$401,$AH33)))</f>
        <v/>
      </c>
      <c r="Z33" s="7">
        <f>IF($AH33="","",IF(INDEX('Per Invoice'!Z$2:Z$401,$AH33)="","",INDEX('Per Invoice'!Z$2:Z$401,$AH33)))</f>
        <v/>
      </c>
      <c r="AA33" s="7">
        <f>IF($AH33="","",IF(INDEX('Per Invoice'!AA$2:AA$401,$AH33)="","",INDEX('Per Invoice'!AA$2:AA$401,$AH33)))</f>
        <v/>
      </c>
      <c r="AB33" s="7">
        <f>IF($AH33="","",IF(INDEX('Per Invoice'!AB$2:AB$401,$AH33)="","",INDEX('Per Invoice'!AB$2:AB$401,$AH33)))</f>
        <v/>
      </c>
      <c r="AC33" s="7">
        <f>IF($AH33="","",IF(INDEX('Per Invoice'!AC$2:AC$401,$AH33)="","",INDEX('Per Invoice'!AC$2:AC$401,$AH33)))</f>
        <v/>
      </c>
      <c r="AD33" s="7">
        <f>IF($AH33="","",IF(INDEX('Per Invoice'!AD$2:AD$401,$AH33)="","",INDEX('Per Invoice'!AD$2:AD$401,$AH33)))</f>
        <v/>
      </c>
      <c r="AE33" s="7">
        <f>IF($AH33="","",IF(INDEX('Per Invoice'!AE$2:AE$401,$AH33)="","",INDEX('Per Invoice'!AE$2:AE$401,$AH33)))</f>
        <v/>
      </c>
      <c r="AF33">
        <f>IF($AH33="","",IF(INDEX('Per Invoice'!AF$2:AF$401,$AH33)="","",INDEX('Per Invoice'!AF$2:AF$401,$AH33)))</f>
        <v/>
      </c>
      <c r="AG33" s="7">
        <f>IF($AH33="","",IF(INDEX('Per Invoice'!AG$2:AG$401,$AH33)="","",INDEX('Per Invoice'!AG$2:AG$401,$AH33)))</f>
        <v/>
      </c>
      <c r="AH33" s="16">
        <f>IFERROR(MATCH(Settings!$C$27&amp;"|"&amp;ROWS($AH$2:$AH33),'Per Invoice'!$AI$2:$AI$401,0),"")</f>
        <v/>
      </c>
    </row>
    <row r="34">
      <c r="A34">
        <f>IF($AH34="","",IF(INDEX('Per Invoice'!A$2:A$401,$AH34)="","",INDEX('Per Invoice'!A$2:A$401,$AH34)))</f>
        <v/>
      </c>
      <c r="B34">
        <f>IF($AH34="","",IF(INDEX('Per Invoice'!B$2:B$401,$AH34)="","",INDEX('Per Invoice'!B$2:B$401,$AH34)))</f>
        <v/>
      </c>
      <c r="C34">
        <f>IF($AH34="","",IF(INDEX('Per Invoice'!C$2:C$401,$AH34)="","",INDEX('Per Invoice'!C$2:C$401,$AH34)))</f>
        <v/>
      </c>
      <c r="D34">
        <f>IF($AH34="","",IF(INDEX('Per Invoice'!D$2:D$401,$AH34)="","",INDEX('Per Invoice'!D$2:D$401,$AH34)))</f>
        <v/>
      </c>
      <c r="E34">
        <f>IF($AH34="","",IF(INDEX('Per Invoice'!E$2:E$401,$AH34)="","",INDEX('Per Invoice'!E$2:E$401,$AH34)))</f>
        <v/>
      </c>
      <c r="F34">
        <f>IF($AH34="","",IF(INDEX('Per Invoice'!F$2:F$401,$AH34)="","",INDEX('Per Invoice'!F$2:F$401,$AH34)))</f>
        <v/>
      </c>
      <c r="G34">
        <f>IF($AH34="","",IF(INDEX('Per Invoice'!G$2:G$401,$AH34)="","",INDEX('Per Invoice'!G$2:G$401,$AH34)))</f>
        <v/>
      </c>
      <c r="H34">
        <f>IF($AH34="","",IF(INDEX('Per Invoice'!H$2:H$401,$AH34)="","",INDEX('Per Invoice'!H$2:H$401,$AH34)))</f>
        <v/>
      </c>
      <c r="I34" s="14">
        <f>IF($AH34="","",IF(INDEX('Per Invoice'!I$2:I$401,$AH34)="","",INDEX('Per Invoice'!I$2:I$401,$AH34)))</f>
        <v/>
      </c>
      <c r="J34">
        <f>IF($AH34="","",IF(INDEX('Per Invoice'!J$2:J$401,$AH34)="","",INDEX('Per Invoice'!J$2:J$401,$AH34)))</f>
        <v/>
      </c>
      <c r="K34">
        <f>IF($AH34="","",IF(INDEX('Per Invoice'!K$2:K$401,$AH34)="","",INDEX('Per Invoice'!K$2:K$401,$AH34)))</f>
        <v/>
      </c>
      <c r="L34">
        <f>IF($AH34="","",IF(INDEX('Per Invoice'!L$2:L$401,$AH34)="","",INDEX('Per Invoice'!L$2:L$401,$AH34)))</f>
        <v/>
      </c>
      <c r="M34">
        <f>IF($AH34="","",IF(INDEX('Per Invoice'!M$2:M$401,$AH34)="","",INDEX('Per Invoice'!M$2:M$401,$AH34)))</f>
        <v/>
      </c>
      <c r="N34">
        <f>IF($AH34="","",IF(INDEX('Per Invoice'!N$2:N$401,$AH34)="","",INDEX('Per Invoice'!N$2:N$401,$AH34)))</f>
        <v/>
      </c>
      <c r="O34">
        <f>IF($AH34="","",IF(INDEX('Per Invoice'!O$2:O$401,$AH34)="","",INDEX('Per Invoice'!O$2:O$401,$AH34)))</f>
        <v/>
      </c>
      <c r="P34" s="7">
        <f>IF($AH34="","",IF(INDEX('Per Invoice'!P$2:P$401,$AH34)="","",INDEX('Per Invoice'!P$2:P$401,$AH34)))</f>
        <v/>
      </c>
      <c r="Q34">
        <f>IF($AH34="","",IF(INDEX('Per Invoice'!Q$2:Q$401,$AH34)="","",INDEX('Per Invoice'!Q$2:Q$401,$AH34)))</f>
        <v/>
      </c>
      <c r="R34">
        <f>IF($AH34="","",IF(INDEX('Per Invoice'!R$2:R$401,$AH34)="","",INDEX('Per Invoice'!R$2:R$401,$AH34)))</f>
        <v/>
      </c>
      <c r="S34">
        <f>IF($AH34="","",IF(INDEX('Per Invoice'!S$2:S$401,$AH34)="","",INDEX('Per Invoice'!S$2:S$401,$AH34)))</f>
        <v/>
      </c>
      <c r="T34" s="7">
        <f>IF($AH34="","",IF(INDEX('Per Invoice'!T$2:T$401,$AH34)="","",INDEX('Per Invoice'!T$2:T$401,$AH34)))</f>
        <v/>
      </c>
      <c r="U34" s="7">
        <f>IF($AH34="","",IF(INDEX('Per Invoice'!U$2:U$401,$AH34)="","",INDEX('Per Invoice'!U$2:U$401,$AH34)))</f>
        <v/>
      </c>
      <c r="V34">
        <f>IF($AH34="","",IF(INDEX('Per Invoice'!V$2:V$401,$AH34)="","",INDEX('Per Invoice'!V$2:V$401,$AH34)))</f>
        <v/>
      </c>
      <c r="W34" s="7">
        <f>IF($AH34="","",IF(INDEX('Per Invoice'!W$2:W$401,$AH34)="","",INDEX('Per Invoice'!W$2:W$401,$AH34)))</f>
        <v/>
      </c>
      <c r="X34" s="7">
        <f>IF($AH34="","",IF(INDEX('Per Invoice'!X$2:X$401,$AH34)="","",INDEX('Per Invoice'!X$2:X$401,$AH34)))</f>
        <v/>
      </c>
      <c r="Y34">
        <f>IF($AH34="","",IF(INDEX('Per Invoice'!Y$2:Y$401,$AH34)="","",INDEX('Per Invoice'!Y$2:Y$401,$AH34)))</f>
        <v/>
      </c>
      <c r="Z34" s="7">
        <f>IF($AH34="","",IF(INDEX('Per Invoice'!Z$2:Z$401,$AH34)="","",INDEX('Per Invoice'!Z$2:Z$401,$AH34)))</f>
        <v/>
      </c>
      <c r="AA34" s="7">
        <f>IF($AH34="","",IF(INDEX('Per Invoice'!AA$2:AA$401,$AH34)="","",INDEX('Per Invoice'!AA$2:AA$401,$AH34)))</f>
        <v/>
      </c>
      <c r="AB34" s="7">
        <f>IF($AH34="","",IF(INDEX('Per Invoice'!AB$2:AB$401,$AH34)="","",INDEX('Per Invoice'!AB$2:AB$401,$AH34)))</f>
        <v/>
      </c>
      <c r="AC34" s="7">
        <f>IF($AH34="","",IF(INDEX('Per Invoice'!AC$2:AC$401,$AH34)="","",INDEX('Per Invoice'!AC$2:AC$401,$AH34)))</f>
        <v/>
      </c>
      <c r="AD34" s="7">
        <f>IF($AH34="","",IF(INDEX('Per Invoice'!AD$2:AD$401,$AH34)="","",INDEX('Per Invoice'!AD$2:AD$401,$AH34)))</f>
        <v/>
      </c>
      <c r="AE34" s="7">
        <f>IF($AH34="","",IF(INDEX('Per Invoice'!AE$2:AE$401,$AH34)="","",INDEX('Per Invoice'!AE$2:AE$401,$AH34)))</f>
        <v/>
      </c>
      <c r="AF34">
        <f>IF($AH34="","",IF(INDEX('Per Invoice'!AF$2:AF$401,$AH34)="","",INDEX('Per Invoice'!AF$2:AF$401,$AH34)))</f>
        <v/>
      </c>
      <c r="AG34" s="7">
        <f>IF($AH34="","",IF(INDEX('Per Invoice'!AG$2:AG$401,$AH34)="","",INDEX('Per Invoice'!AG$2:AG$401,$AH34)))</f>
        <v/>
      </c>
      <c r="AH34" s="16">
        <f>IFERROR(MATCH(Settings!$C$27&amp;"|"&amp;ROWS($AH$2:$AH34),'Per Invoice'!$AI$2:$AI$401,0),"")</f>
        <v/>
      </c>
    </row>
    <row r="35">
      <c r="A35">
        <f>IF($AH35="","",IF(INDEX('Per Invoice'!A$2:A$401,$AH35)="","",INDEX('Per Invoice'!A$2:A$401,$AH35)))</f>
        <v/>
      </c>
      <c r="B35">
        <f>IF($AH35="","",IF(INDEX('Per Invoice'!B$2:B$401,$AH35)="","",INDEX('Per Invoice'!B$2:B$401,$AH35)))</f>
        <v/>
      </c>
      <c r="C35">
        <f>IF($AH35="","",IF(INDEX('Per Invoice'!C$2:C$401,$AH35)="","",INDEX('Per Invoice'!C$2:C$401,$AH35)))</f>
        <v/>
      </c>
      <c r="D35">
        <f>IF($AH35="","",IF(INDEX('Per Invoice'!D$2:D$401,$AH35)="","",INDEX('Per Invoice'!D$2:D$401,$AH35)))</f>
        <v/>
      </c>
      <c r="E35">
        <f>IF($AH35="","",IF(INDEX('Per Invoice'!E$2:E$401,$AH35)="","",INDEX('Per Invoice'!E$2:E$401,$AH35)))</f>
        <v/>
      </c>
      <c r="F35">
        <f>IF($AH35="","",IF(INDEX('Per Invoice'!F$2:F$401,$AH35)="","",INDEX('Per Invoice'!F$2:F$401,$AH35)))</f>
        <v/>
      </c>
      <c r="G35">
        <f>IF($AH35="","",IF(INDEX('Per Invoice'!G$2:G$401,$AH35)="","",INDEX('Per Invoice'!G$2:G$401,$AH35)))</f>
        <v/>
      </c>
      <c r="H35">
        <f>IF($AH35="","",IF(INDEX('Per Invoice'!H$2:H$401,$AH35)="","",INDEX('Per Invoice'!H$2:H$401,$AH35)))</f>
        <v/>
      </c>
      <c r="I35" s="14">
        <f>IF($AH35="","",IF(INDEX('Per Invoice'!I$2:I$401,$AH35)="","",INDEX('Per Invoice'!I$2:I$401,$AH35)))</f>
        <v/>
      </c>
      <c r="J35">
        <f>IF($AH35="","",IF(INDEX('Per Invoice'!J$2:J$401,$AH35)="","",INDEX('Per Invoice'!J$2:J$401,$AH35)))</f>
        <v/>
      </c>
      <c r="K35">
        <f>IF($AH35="","",IF(INDEX('Per Invoice'!K$2:K$401,$AH35)="","",INDEX('Per Invoice'!K$2:K$401,$AH35)))</f>
        <v/>
      </c>
      <c r="L35">
        <f>IF($AH35="","",IF(INDEX('Per Invoice'!L$2:L$401,$AH35)="","",INDEX('Per Invoice'!L$2:L$401,$AH35)))</f>
        <v/>
      </c>
      <c r="M35">
        <f>IF($AH35="","",IF(INDEX('Per Invoice'!M$2:M$401,$AH35)="","",INDEX('Per Invoice'!M$2:M$401,$AH35)))</f>
        <v/>
      </c>
      <c r="N35">
        <f>IF($AH35="","",IF(INDEX('Per Invoice'!N$2:N$401,$AH35)="","",INDEX('Per Invoice'!N$2:N$401,$AH35)))</f>
        <v/>
      </c>
      <c r="O35">
        <f>IF($AH35="","",IF(INDEX('Per Invoice'!O$2:O$401,$AH35)="","",INDEX('Per Invoice'!O$2:O$401,$AH35)))</f>
        <v/>
      </c>
      <c r="P35" s="7">
        <f>IF($AH35="","",IF(INDEX('Per Invoice'!P$2:P$401,$AH35)="","",INDEX('Per Invoice'!P$2:P$401,$AH35)))</f>
        <v/>
      </c>
      <c r="Q35">
        <f>IF($AH35="","",IF(INDEX('Per Invoice'!Q$2:Q$401,$AH35)="","",INDEX('Per Invoice'!Q$2:Q$401,$AH35)))</f>
        <v/>
      </c>
      <c r="R35">
        <f>IF($AH35="","",IF(INDEX('Per Invoice'!R$2:R$401,$AH35)="","",INDEX('Per Invoice'!R$2:R$401,$AH35)))</f>
        <v/>
      </c>
      <c r="S35">
        <f>IF($AH35="","",IF(INDEX('Per Invoice'!S$2:S$401,$AH35)="","",INDEX('Per Invoice'!S$2:S$401,$AH35)))</f>
        <v/>
      </c>
      <c r="T35" s="7">
        <f>IF($AH35="","",IF(INDEX('Per Invoice'!T$2:T$401,$AH35)="","",INDEX('Per Invoice'!T$2:T$401,$AH35)))</f>
        <v/>
      </c>
      <c r="U35" s="7">
        <f>IF($AH35="","",IF(INDEX('Per Invoice'!U$2:U$401,$AH35)="","",INDEX('Per Invoice'!U$2:U$401,$AH35)))</f>
        <v/>
      </c>
      <c r="V35">
        <f>IF($AH35="","",IF(INDEX('Per Invoice'!V$2:V$401,$AH35)="","",INDEX('Per Invoice'!V$2:V$401,$AH35)))</f>
        <v/>
      </c>
      <c r="W35" s="7">
        <f>IF($AH35="","",IF(INDEX('Per Invoice'!W$2:W$401,$AH35)="","",INDEX('Per Invoice'!W$2:W$401,$AH35)))</f>
        <v/>
      </c>
      <c r="X35" s="7">
        <f>IF($AH35="","",IF(INDEX('Per Invoice'!X$2:X$401,$AH35)="","",INDEX('Per Invoice'!X$2:X$401,$AH35)))</f>
        <v/>
      </c>
      <c r="Y35">
        <f>IF($AH35="","",IF(INDEX('Per Invoice'!Y$2:Y$401,$AH35)="","",INDEX('Per Invoice'!Y$2:Y$401,$AH35)))</f>
        <v/>
      </c>
      <c r="Z35" s="7">
        <f>IF($AH35="","",IF(INDEX('Per Invoice'!Z$2:Z$401,$AH35)="","",INDEX('Per Invoice'!Z$2:Z$401,$AH35)))</f>
        <v/>
      </c>
      <c r="AA35" s="7">
        <f>IF($AH35="","",IF(INDEX('Per Invoice'!AA$2:AA$401,$AH35)="","",INDEX('Per Invoice'!AA$2:AA$401,$AH35)))</f>
        <v/>
      </c>
      <c r="AB35" s="7">
        <f>IF($AH35="","",IF(INDEX('Per Invoice'!AB$2:AB$401,$AH35)="","",INDEX('Per Invoice'!AB$2:AB$401,$AH35)))</f>
        <v/>
      </c>
      <c r="AC35" s="7">
        <f>IF($AH35="","",IF(INDEX('Per Invoice'!AC$2:AC$401,$AH35)="","",INDEX('Per Invoice'!AC$2:AC$401,$AH35)))</f>
        <v/>
      </c>
      <c r="AD35" s="7">
        <f>IF($AH35="","",IF(INDEX('Per Invoice'!AD$2:AD$401,$AH35)="","",INDEX('Per Invoice'!AD$2:AD$401,$AH35)))</f>
        <v/>
      </c>
      <c r="AE35" s="7">
        <f>IF($AH35="","",IF(INDEX('Per Invoice'!AE$2:AE$401,$AH35)="","",INDEX('Per Invoice'!AE$2:AE$401,$AH35)))</f>
        <v/>
      </c>
      <c r="AF35">
        <f>IF($AH35="","",IF(INDEX('Per Invoice'!AF$2:AF$401,$AH35)="","",INDEX('Per Invoice'!AF$2:AF$401,$AH35)))</f>
        <v/>
      </c>
      <c r="AG35" s="7">
        <f>IF($AH35="","",IF(INDEX('Per Invoice'!AG$2:AG$401,$AH35)="","",INDEX('Per Invoice'!AG$2:AG$401,$AH35)))</f>
        <v/>
      </c>
      <c r="AH35" s="16">
        <f>IFERROR(MATCH(Settings!$C$27&amp;"|"&amp;ROWS($AH$2:$AH35),'Per Invoice'!$AI$2:$AI$401,0),"")</f>
        <v/>
      </c>
    </row>
    <row r="36">
      <c r="A36">
        <f>IF($AH36="","",IF(INDEX('Per Invoice'!A$2:A$401,$AH36)="","",INDEX('Per Invoice'!A$2:A$401,$AH36)))</f>
        <v/>
      </c>
      <c r="B36">
        <f>IF($AH36="","",IF(INDEX('Per Invoice'!B$2:B$401,$AH36)="","",INDEX('Per Invoice'!B$2:B$401,$AH36)))</f>
        <v/>
      </c>
      <c r="C36">
        <f>IF($AH36="","",IF(INDEX('Per Invoice'!C$2:C$401,$AH36)="","",INDEX('Per Invoice'!C$2:C$401,$AH36)))</f>
        <v/>
      </c>
      <c r="D36">
        <f>IF($AH36="","",IF(INDEX('Per Invoice'!D$2:D$401,$AH36)="","",INDEX('Per Invoice'!D$2:D$401,$AH36)))</f>
        <v/>
      </c>
      <c r="E36">
        <f>IF($AH36="","",IF(INDEX('Per Invoice'!E$2:E$401,$AH36)="","",INDEX('Per Invoice'!E$2:E$401,$AH36)))</f>
        <v/>
      </c>
      <c r="F36">
        <f>IF($AH36="","",IF(INDEX('Per Invoice'!F$2:F$401,$AH36)="","",INDEX('Per Invoice'!F$2:F$401,$AH36)))</f>
        <v/>
      </c>
      <c r="G36">
        <f>IF($AH36="","",IF(INDEX('Per Invoice'!G$2:G$401,$AH36)="","",INDEX('Per Invoice'!G$2:G$401,$AH36)))</f>
        <v/>
      </c>
      <c r="H36">
        <f>IF($AH36="","",IF(INDEX('Per Invoice'!H$2:H$401,$AH36)="","",INDEX('Per Invoice'!H$2:H$401,$AH36)))</f>
        <v/>
      </c>
      <c r="I36" s="14">
        <f>IF($AH36="","",IF(INDEX('Per Invoice'!I$2:I$401,$AH36)="","",INDEX('Per Invoice'!I$2:I$401,$AH36)))</f>
        <v/>
      </c>
      <c r="J36">
        <f>IF($AH36="","",IF(INDEX('Per Invoice'!J$2:J$401,$AH36)="","",INDEX('Per Invoice'!J$2:J$401,$AH36)))</f>
        <v/>
      </c>
      <c r="K36">
        <f>IF($AH36="","",IF(INDEX('Per Invoice'!K$2:K$401,$AH36)="","",INDEX('Per Invoice'!K$2:K$401,$AH36)))</f>
        <v/>
      </c>
      <c r="L36">
        <f>IF($AH36="","",IF(INDEX('Per Invoice'!L$2:L$401,$AH36)="","",INDEX('Per Invoice'!L$2:L$401,$AH36)))</f>
        <v/>
      </c>
      <c r="M36">
        <f>IF($AH36="","",IF(INDEX('Per Invoice'!M$2:M$401,$AH36)="","",INDEX('Per Invoice'!M$2:M$401,$AH36)))</f>
        <v/>
      </c>
      <c r="N36">
        <f>IF($AH36="","",IF(INDEX('Per Invoice'!N$2:N$401,$AH36)="","",INDEX('Per Invoice'!N$2:N$401,$AH36)))</f>
        <v/>
      </c>
      <c r="O36">
        <f>IF($AH36="","",IF(INDEX('Per Invoice'!O$2:O$401,$AH36)="","",INDEX('Per Invoice'!O$2:O$401,$AH36)))</f>
        <v/>
      </c>
      <c r="P36" s="7">
        <f>IF($AH36="","",IF(INDEX('Per Invoice'!P$2:P$401,$AH36)="","",INDEX('Per Invoice'!P$2:P$401,$AH36)))</f>
        <v/>
      </c>
      <c r="Q36">
        <f>IF($AH36="","",IF(INDEX('Per Invoice'!Q$2:Q$401,$AH36)="","",INDEX('Per Invoice'!Q$2:Q$401,$AH36)))</f>
        <v/>
      </c>
      <c r="R36">
        <f>IF($AH36="","",IF(INDEX('Per Invoice'!R$2:R$401,$AH36)="","",INDEX('Per Invoice'!R$2:R$401,$AH36)))</f>
        <v/>
      </c>
      <c r="S36">
        <f>IF($AH36="","",IF(INDEX('Per Invoice'!S$2:S$401,$AH36)="","",INDEX('Per Invoice'!S$2:S$401,$AH36)))</f>
        <v/>
      </c>
      <c r="T36" s="7">
        <f>IF($AH36="","",IF(INDEX('Per Invoice'!T$2:T$401,$AH36)="","",INDEX('Per Invoice'!T$2:T$401,$AH36)))</f>
        <v/>
      </c>
      <c r="U36" s="7">
        <f>IF($AH36="","",IF(INDEX('Per Invoice'!U$2:U$401,$AH36)="","",INDEX('Per Invoice'!U$2:U$401,$AH36)))</f>
        <v/>
      </c>
      <c r="V36">
        <f>IF($AH36="","",IF(INDEX('Per Invoice'!V$2:V$401,$AH36)="","",INDEX('Per Invoice'!V$2:V$401,$AH36)))</f>
        <v/>
      </c>
      <c r="W36" s="7">
        <f>IF($AH36="","",IF(INDEX('Per Invoice'!W$2:W$401,$AH36)="","",INDEX('Per Invoice'!W$2:W$401,$AH36)))</f>
        <v/>
      </c>
      <c r="X36" s="7">
        <f>IF($AH36="","",IF(INDEX('Per Invoice'!X$2:X$401,$AH36)="","",INDEX('Per Invoice'!X$2:X$401,$AH36)))</f>
        <v/>
      </c>
      <c r="Y36">
        <f>IF($AH36="","",IF(INDEX('Per Invoice'!Y$2:Y$401,$AH36)="","",INDEX('Per Invoice'!Y$2:Y$401,$AH36)))</f>
        <v/>
      </c>
      <c r="Z36" s="7">
        <f>IF($AH36="","",IF(INDEX('Per Invoice'!Z$2:Z$401,$AH36)="","",INDEX('Per Invoice'!Z$2:Z$401,$AH36)))</f>
        <v/>
      </c>
      <c r="AA36" s="7">
        <f>IF($AH36="","",IF(INDEX('Per Invoice'!AA$2:AA$401,$AH36)="","",INDEX('Per Invoice'!AA$2:AA$401,$AH36)))</f>
        <v/>
      </c>
      <c r="AB36" s="7">
        <f>IF($AH36="","",IF(INDEX('Per Invoice'!AB$2:AB$401,$AH36)="","",INDEX('Per Invoice'!AB$2:AB$401,$AH36)))</f>
        <v/>
      </c>
      <c r="AC36" s="7">
        <f>IF($AH36="","",IF(INDEX('Per Invoice'!AC$2:AC$401,$AH36)="","",INDEX('Per Invoice'!AC$2:AC$401,$AH36)))</f>
        <v/>
      </c>
      <c r="AD36" s="7">
        <f>IF($AH36="","",IF(INDEX('Per Invoice'!AD$2:AD$401,$AH36)="","",INDEX('Per Invoice'!AD$2:AD$401,$AH36)))</f>
        <v/>
      </c>
      <c r="AE36" s="7">
        <f>IF($AH36="","",IF(INDEX('Per Invoice'!AE$2:AE$401,$AH36)="","",INDEX('Per Invoice'!AE$2:AE$401,$AH36)))</f>
        <v/>
      </c>
      <c r="AF36">
        <f>IF($AH36="","",IF(INDEX('Per Invoice'!AF$2:AF$401,$AH36)="","",INDEX('Per Invoice'!AF$2:AF$401,$AH36)))</f>
        <v/>
      </c>
      <c r="AG36" s="7">
        <f>IF($AH36="","",IF(INDEX('Per Invoice'!AG$2:AG$401,$AH36)="","",INDEX('Per Invoice'!AG$2:AG$401,$AH36)))</f>
        <v/>
      </c>
      <c r="AH36" s="16">
        <f>IFERROR(MATCH(Settings!$C$27&amp;"|"&amp;ROWS($AH$2:$AH36),'Per Invoice'!$AI$2:$AI$401,0),"")</f>
        <v/>
      </c>
    </row>
    <row r="37">
      <c r="A37">
        <f>IF($AH37="","",IF(INDEX('Per Invoice'!A$2:A$401,$AH37)="","",INDEX('Per Invoice'!A$2:A$401,$AH37)))</f>
        <v/>
      </c>
      <c r="B37">
        <f>IF($AH37="","",IF(INDEX('Per Invoice'!B$2:B$401,$AH37)="","",INDEX('Per Invoice'!B$2:B$401,$AH37)))</f>
        <v/>
      </c>
      <c r="C37">
        <f>IF($AH37="","",IF(INDEX('Per Invoice'!C$2:C$401,$AH37)="","",INDEX('Per Invoice'!C$2:C$401,$AH37)))</f>
        <v/>
      </c>
      <c r="D37">
        <f>IF($AH37="","",IF(INDEX('Per Invoice'!D$2:D$401,$AH37)="","",INDEX('Per Invoice'!D$2:D$401,$AH37)))</f>
        <v/>
      </c>
      <c r="E37">
        <f>IF($AH37="","",IF(INDEX('Per Invoice'!E$2:E$401,$AH37)="","",INDEX('Per Invoice'!E$2:E$401,$AH37)))</f>
        <v/>
      </c>
      <c r="F37">
        <f>IF($AH37="","",IF(INDEX('Per Invoice'!F$2:F$401,$AH37)="","",INDEX('Per Invoice'!F$2:F$401,$AH37)))</f>
        <v/>
      </c>
      <c r="G37">
        <f>IF($AH37="","",IF(INDEX('Per Invoice'!G$2:G$401,$AH37)="","",INDEX('Per Invoice'!G$2:G$401,$AH37)))</f>
        <v/>
      </c>
      <c r="H37">
        <f>IF($AH37="","",IF(INDEX('Per Invoice'!H$2:H$401,$AH37)="","",INDEX('Per Invoice'!H$2:H$401,$AH37)))</f>
        <v/>
      </c>
      <c r="I37" s="14">
        <f>IF($AH37="","",IF(INDEX('Per Invoice'!I$2:I$401,$AH37)="","",INDEX('Per Invoice'!I$2:I$401,$AH37)))</f>
        <v/>
      </c>
      <c r="J37">
        <f>IF($AH37="","",IF(INDEX('Per Invoice'!J$2:J$401,$AH37)="","",INDEX('Per Invoice'!J$2:J$401,$AH37)))</f>
        <v/>
      </c>
      <c r="K37">
        <f>IF($AH37="","",IF(INDEX('Per Invoice'!K$2:K$401,$AH37)="","",INDEX('Per Invoice'!K$2:K$401,$AH37)))</f>
        <v/>
      </c>
      <c r="L37">
        <f>IF($AH37="","",IF(INDEX('Per Invoice'!L$2:L$401,$AH37)="","",INDEX('Per Invoice'!L$2:L$401,$AH37)))</f>
        <v/>
      </c>
      <c r="M37">
        <f>IF($AH37="","",IF(INDEX('Per Invoice'!M$2:M$401,$AH37)="","",INDEX('Per Invoice'!M$2:M$401,$AH37)))</f>
        <v/>
      </c>
      <c r="N37">
        <f>IF($AH37="","",IF(INDEX('Per Invoice'!N$2:N$401,$AH37)="","",INDEX('Per Invoice'!N$2:N$401,$AH37)))</f>
        <v/>
      </c>
      <c r="O37">
        <f>IF($AH37="","",IF(INDEX('Per Invoice'!O$2:O$401,$AH37)="","",INDEX('Per Invoice'!O$2:O$401,$AH37)))</f>
        <v/>
      </c>
      <c r="P37" s="7">
        <f>IF($AH37="","",IF(INDEX('Per Invoice'!P$2:P$401,$AH37)="","",INDEX('Per Invoice'!P$2:P$401,$AH37)))</f>
        <v/>
      </c>
      <c r="Q37">
        <f>IF($AH37="","",IF(INDEX('Per Invoice'!Q$2:Q$401,$AH37)="","",INDEX('Per Invoice'!Q$2:Q$401,$AH37)))</f>
        <v/>
      </c>
      <c r="R37">
        <f>IF($AH37="","",IF(INDEX('Per Invoice'!R$2:R$401,$AH37)="","",INDEX('Per Invoice'!R$2:R$401,$AH37)))</f>
        <v/>
      </c>
      <c r="S37">
        <f>IF($AH37="","",IF(INDEX('Per Invoice'!S$2:S$401,$AH37)="","",INDEX('Per Invoice'!S$2:S$401,$AH37)))</f>
        <v/>
      </c>
      <c r="T37" s="7">
        <f>IF($AH37="","",IF(INDEX('Per Invoice'!T$2:T$401,$AH37)="","",INDEX('Per Invoice'!T$2:T$401,$AH37)))</f>
        <v/>
      </c>
      <c r="U37" s="7">
        <f>IF($AH37="","",IF(INDEX('Per Invoice'!U$2:U$401,$AH37)="","",INDEX('Per Invoice'!U$2:U$401,$AH37)))</f>
        <v/>
      </c>
      <c r="V37">
        <f>IF($AH37="","",IF(INDEX('Per Invoice'!V$2:V$401,$AH37)="","",INDEX('Per Invoice'!V$2:V$401,$AH37)))</f>
        <v/>
      </c>
      <c r="W37" s="7">
        <f>IF($AH37="","",IF(INDEX('Per Invoice'!W$2:W$401,$AH37)="","",INDEX('Per Invoice'!W$2:W$401,$AH37)))</f>
        <v/>
      </c>
      <c r="X37" s="7">
        <f>IF($AH37="","",IF(INDEX('Per Invoice'!X$2:X$401,$AH37)="","",INDEX('Per Invoice'!X$2:X$401,$AH37)))</f>
        <v/>
      </c>
      <c r="Y37">
        <f>IF($AH37="","",IF(INDEX('Per Invoice'!Y$2:Y$401,$AH37)="","",INDEX('Per Invoice'!Y$2:Y$401,$AH37)))</f>
        <v/>
      </c>
      <c r="Z37" s="7">
        <f>IF($AH37="","",IF(INDEX('Per Invoice'!Z$2:Z$401,$AH37)="","",INDEX('Per Invoice'!Z$2:Z$401,$AH37)))</f>
        <v/>
      </c>
      <c r="AA37" s="7">
        <f>IF($AH37="","",IF(INDEX('Per Invoice'!AA$2:AA$401,$AH37)="","",INDEX('Per Invoice'!AA$2:AA$401,$AH37)))</f>
        <v/>
      </c>
      <c r="AB37" s="7">
        <f>IF($AH37="","",IF(INDEX('Per Invoice'!AB$2:AB$401,$AH37)="","",INDEX('Per Invoice'!AB$2:AB$401,$AH37)))</f>
        <v/>
      </c>
      <c r="AC37" s="7">
        <f>IF($AH37="","",IF(INDEX('Per Invoice'!AC$2:AC$401,$AH37)="","",INDEX('Per Invoice'!AC$2:AC$401,$AH37)))</f>
        <v/>
      </c>
      <c r="AD37" s="7">
        <f>IF($AH37="","",IF(INDEX('Per Invoice'!AD$2:AD$401,$AH37)="","",INDEX('Per Invoice'!AD$2:AD$401,$AH37)))</f>
        <v/>
      </c>
      <c r="AE37" s="7">
        <f>IF($AH37="","",IF(INDEX('Per Invoice'!AE$2:AE$401,$AH37)="","",INDEX('Per Invoice'!AE$2:AE$401,$AH37)))</f>
        <v/>
      </c>
      <c r="AF37">
        <f>IF($AH37="","",IF(INDEX('Per Invoice'!AF$2:AF$401,$AH37)="","",INDEX('Per Invoice'!AF$2:AF$401,$AH37)))</f>
        <v/>
      </c>
      <c r="AG37" s="7">
        <f>IF($AH37="","",IF(INDEX('Per Invoice'!AG$2:AG$401,$AH37)="","",INDEX('Per Invoice'!AG$2:AG$401,$AH37)))</f>
        <v/>
      </c>
      <c r="AH37" s="16">
        <f>IFERROR(MATCH(Settings!$C$27&amp;"|"&amp;ROWS($AH$2:$AH37),'Per Invoice'!$AI$2:$AI$401,0),"")</f>
        <v/>
      </c>
    </row>
    <row r="38">
      <c r="A38">
        <f>IF($AH38="","",IF(INDEX('Per Invoice'!A$2:A$401,$AH38)="","",INDEX('Per Invoice'!A$2:A$401,$AH38)))</f>
        <v/>
      </c>
      <c r="B38">
        <f>IF($AH38="","",IF(INDEX('Per Invoice'!B$2:B$401,$AH38)="","",INDEX('Per Invoice'!B$2:B$401,$AH38)))</f>
        <v/>
      </c>
      <c r="C38">
        <f>IF($AH38="","",IF(INDEX('Per Invoice'!C$2:C$401,$AH38)="","",INDEX('Per Invoice'!C$2:C$401,$AH38)))</f>
        <v/>
      </c>
      <c r="D38">
        <f>IF($AH38="","",IF(INDEX('Per Invoice'!D$2:D$401,$AH38)="","",INDEX('Per Invoice'!D$2:D$401,$AH38)))</f>
        <v/>
      </c>
      <c r="E38">
        <f>IF($AH38="","",IF(INDEX('Per Invoice'!E$2:E$401,$AH38)="","",INDEX('Per Invoice'!E$2:E$401,$AH38)))</f>
        <v/>
      </c>
      <c r="F38">
        <f>IF($AH38="","",IF(INDEX('Per Invoice'!F$2:F$401,$AH38)="","",INDEX('Per Invoice'!F$2:F$401,$AH38)))</f>
        <v/>
      </c>
      <c r="G38">
        <f>IF($AH38="","",IF(INDEX('Per Invoice'!G$2:G$401,$AH38)="","",INDEX('Per Invoice'!G$2:G$401,$AH38)))</f>
        <v/>
      </c>
      <c r="H38">
        <f>IF($AH38="","",IF(INDEX('Per Invoice'!H$2:H$401,$AH38)="","",INDEX('Per Invoice'!H$2:H$401,$AH38)))</f>
        <v/>
      </c>
      <c r="I38" s="14">
        <f>IF($AH38="","",IF(INDEX('Per Invoice'!I$2:I$401,$AH38)="","",INDEX('Per Invoice'!I$2:I$401,$AH38)))</f>
        <v/>
      </c>
      <c r="J38">
        <f>IF($AH38="","",IF(INDEX('Per Invoice'!J$2:J$401,$AH38)="","",INDEX('Per Invoice'!J$2:J$401,$AH38)))</f>
        <v/>
      </c>
      <c r="K38">
        <f>IF($AH38="","",IF(INDEX('Per Invoice'!K$2:K$401,$AH38)="","",INDEX('Per Invoice'!K$2:K$401,$AH38)))</f>
        <v/>
      </c>
      <c r="L38">
        <f>IF($AH38="","",IF(INDEX('Per Invoice'!L$2:L$401,$AH38)="","",INDEX('Per Invoice'!L$2:L$401,$AH38)))</f>
        <v/>
      </c>
      <c r="M38">
        <f>IF($AH38="","",IF(INDEX('Per Invoice'!M$2:M$401,$AH38)="","",INDEX('Per Invoice'!M$2:M$401,$AH38)))</f>
        <v/>
      </c>
      <c r="N38">
        <f>IF($AH38="","",IF(INDEX('Per Invoice'!N$2:N$401,$AH38)="","",INDEX('Per Invoice'!N$2:N$401,$AH38)))</f>
        <v/>
      </c>
      <c r="O38">
        <f>IF($AH38="","",IF(INDEX('Per Invoice'!O$2:O$401,$AH38)="","",INDEX('Per Invoice'!O$2:O$401,$AH38)))</f>
        <v/>
      </c>
      <c r="P38" s="7">
        <f>IF($AH38="","",IF(INDEX('Per Invoice'!P$2:P$401,$AH38)="","",INDEX('Per Invoice'!P$2:P$401,$AH38)))</f>
        <v/>
      </c>
      <c r="Q38">
        <f>IF($AH38="","",IF(INDEX('Per Invoice'!Q$2:Q$401,$AH38)="","",INDEX('Per Invoice'!Q$2:Q$401,$AH38)))</f>
        <v/>
      </c>
      <c r="R38">
        <f>IF($AH38="","",IF(INDEX('Per Invoice'!R$2:R$401,$AH38)="","",INDEX('Per Invoice'!R$2:R$401,$AH38)))</f>
        <v/>
      </c>
      <c r="S38">
        <f>IF($AH38="","",IF(INDEX('Per Invoice'!S$2:S$401,$AH38)="","",INDEX('Per Invoice'!S$2:S$401,$AH38)))</f>
        <v/>
      </c>
      <c r="T38" s="7">
        <f>IF($AH38="","",IF(INDEX('Per Invoice'!T$2:T$401,$AH38)="","",INDEX('Per Invoice'!T$2:T$401,$AH38)))</f>
        <v/>
      </c>
      <c r="U38" s="7">
        <f>IF($AH38="","",IF(INDEX('Per Invoice'!U$2:U$401,$AH38)="","",INDEX('Per Invoice'!U$2:U$401,$AH38)))</f>
        <v/>
      </c>
      <c r="V38">
        <f>IF($AH38="","",IF(INDEX('Per Invoice'!V$2:V$401,$AH38)="","",INDEX('Per Invoice'!V$2:V$401,$AH38)))</f>
        <v/>
      </c>
      <c r="W38" s="7">
        <f>IF($AH38="","",IF(INDEX('Per Invoice'!W$2:W$401,$AH38)="","",INDEX('Per Invoice'!W$2:W$401,$AH38)))</f>
        <v/>
      </c>
      <c r="X38" s="7">
        <f>IF($AH38="","",IF(INDEX('Per Invoice'!X$2:X$401,$AH38)="","",INDEX('Per Invoice'!X$2:X$401,$AH38)))</f>
        <v/>
      </c>
      <c r="Y38">
        <f>IF($AH38="","",IF(INDEX('Per Invoice'!Y$2:Y$401,$AH38)="","",INDEX('Per Invoice'!Y$2:Y$401,$AH38)))</f>
        <v/>
      </c>
      <c r="Z38" s="7">
        <f>IF($AH38="","",IF(INDEX('Per Invoice'!Z$2:Z$401,$AH38)="","",INDEX('Per Invoice'!Z$2:Z$401,$AH38)))</f>
        <v/>
      </c>
      <c r="AA38" s="7">
        <f>IF($AH38="","",IF(INDEX('Per Invoice'!AA$2:AA$401,$AH38)="","",INDEX('Per Invoice'!AA$2:AA$401,$AH38)))</f>
        <v/>
      </c>
      <c r="AB38" s="7">
        <f>IF($AH38="","",IF(INDEX('Per Invoice'!AB$2:AB$401,$AH38)="","",INDEX('Per Invoice'!AB$2:AB$401,$AH38)))</f>
        <v/>
      </c>
      <c r="AC38" s="7">
        <f>IF($AH38="","",IF(INDEX('Per Invoice'!AC$2:AC$401,$AH38)="","",INDEX('Per Invoice'!AC$2:AC$401,$AH38)))</f>
        <v/>
      </c>
      <c r="AD38" s="7">
        <f>IF($AH38="","",IF(INDEX('Per Invoice'!AD$2:AD$401,$AH38)="","",INDEX('Per Invoice'!AD$2:AD$401,$AH38)))</f>
        <v/>
      </c>
      <c r="AE38" s="7">
        <f>IF($AH38="","",IF(INDEX('Per Invoice'!AE$2:AE$401,$AH38)="","",INDEX('Per Invoice'!AE$2:AE$401,$AH38)))</f>
        <v/>
      </c>
      <c r="AF38">
        <f>IF($AH38="","",IF(INDEX('Per Invoice'!AF$2:AF$401,$AH38)="","",INDEX('Per Invoice'!AF$2:AF$401,$AH38)))</f>
        <v/>
      </c>
      <c r="AG38" s="7">
        <f>IF($AH38="","",IF(INDEX('Per Invoice'!AG$2:AG$401,$AH38)="","",INDEX('Per Invoice'!AG$2:AG$401,$AH38)))</f>
        <v/>
      </c>
      <c r="AH38" s="16">
        <f>IFERROR(MATCH(Settings!$C$27&amp;"|"&amp;ROWS($AH$2:$AH38),'Per Invoice'!$AI$2:$AI$401,0),"")</f>
        <v/>
      </c>
    </row>
    <row r="39">
      <c r="A39">
        <f>IF($AH39="","",IF(INDEX('Per Invoice'!A$2:A$401,$AH39)="","",INDEX('Per Invoice'!A$2:A$401,$AH39)))</f>
        <v/>
      </c>
      <c r="B39">
        <f>IF($AH39="","",IF(INDEX('Per Invoice'!B$2:B$401,$AH39)="","",INDEX('Per Invoice'!B$2:B$401,$AH39)))</f>
        <v/>
      </c>
      <c r="C39">
        <f>IF($AH39="","",IF(INDEX('Per Invoice'!C$2:C$401,$AH39)="","",INDEX('Per Invoice'!C$2:C$401,$AH39)))</f>
        <v/>
      </c>
      <c r="D39">
        <f>IF($AH39="","",IF(INDEX('Per Invoice'!D$2:D$401,$AH39)="","",INDEX('Per Invoice'!D$2:D$401,$AH39)))</f>
        <v/>
      </c>
      <c r="E39">
        <f>IF($AH39="","",IF(INDEX('Per Invoice'!E$2:E$401,$AH39)="","",INDEX('Per Invoice'!E$2:E$401,$AH39)))</f>
        <v/>
      </c>
      <c r="F39">
        <f>IF($AH39="","",IF(INDEX('Per Invoice'!F$2:F$401,$AH39)="","",INDEX('Per Invoice'!F$2:F$401,$AH39)))</f>
        <v/>
      </c>
      <c r="G39">
        <f>IF($AH39="","",IF(INDEX('Per Invoice'!G$2:G$401,$AH39)="","",INDEX('Per Invoice'!G$2:G$401,$AH39)))</f>
        <v/>
      </c>
      <c r="H39">
        <f>IF($AH39="","",IF(INDEX('Per Invoice'!H$2:H$401,$AH39)="","",INDEX('Per Invoice'!H$2:H$401,$AH39)))</f>
        <v/>
      </c>
      <c r="I39" s="14">
        <f>IF($AH39="","",IF(INDEX('Per Invoice'!I$2:I$401,$AH39)="","",INDEX('Per Invoice'!I$2:I$401,$AH39)))</f>
        <v/>
      </c>
      <c r="J39">
        <f>IF($AH39="","",IF(INDEX('Per Invoice'!J$2:J$401,$AH39)="","",INDEX('Per Invoice'!J$2:J$401,$AH39)))</f>
        <v/>
      </c>
      <c r="K39">
        <f>IF($AH39="","",IF(INDEX('Per Invoice'!K$2:K$401,$AH39)="","",INDEX('Per Invoice'!K$2:K$401,$AH39)))</f>
        <v/>
      </c>
      <c r="L39">
        <f>IF($AH39="","",IF(INDEX('Per Invoice'!L$2:L$401,$AH39)="","",INDEX('Per Invoice'!L$2:L$401,$AH39)))</f>
        <v/>
      </c>
      <c r="M39">
        <f>IF($AH39="","",IF(INDEX('Per Invoice'!M$2:M$401,$AH39)="","",INDEX('Per Invoice'!M$2:M$401,$AH39)))</f>
        <v/>
      </c>
      <c r="N39">
        <f>IF($AH39="","",IF(INDEX('Per Invoice'!N$2:N$401,$AH39)="","",INDEX('Per Invoice'!N$2:N$401,$AH39)))</f>
        <v/>
      </c>
      <c r="O39">
        <f>IF($AH39="","",IF(INDEX('Per Invoice'!O$2:O$401,$AH39)="","",INDEX('Per Invoice'!O$2:O$401,$AH39)))</f>
        <v/>
      </c>
      <c r="P39" s="7">
        <f>IF($AH39="","",IF(INDEX('Per Invoice'!P$2:P$401,$AH39)="","",INDEX('Per Invoice'!P$2:P$401,$AH39)))</f>
        <v/>
      </c>
      <c r="Q39">
        <f>IF($AH39="","",IF(INDEX('Per Invoice'!Q$2:Q$401,$AH39)="","",INDEX('Per Invoice'!Q$2:Q$401,$AH39)))</f>
        <v/>
      </c>
      <c r="R39">
        <f>IF($AH39="","",IF(INDEX('Per Invoice'!R$2:R$401,$AH39)="","",INDEX('Per Invoice'!R$2:R$401,$AH39)))</f>
        <v/>
      </c>
      <c r="S39">
        <f>IF($AH39="","",IF(INDEX('Per Invoice'!S$2:S$401,$AH39)="","",INDEX('Per Invoice'!S$2:S$401,$AH39)))</f>
        <v/>
      </c>
      <c r="T39" s="7">
        <f>IF($AH39="","",IF(INDEX('Per Invoice'!T$2:T$401,$AH39)="","",INDEX('Per Invoice'!T$2:T$401,$AH39)))</f>
        <v/>
      </c>
      <c r="U39" s="7">
        <f>IF($AH39="","",IF(INDEX('Per Invoice'!U$2:U$401,$AH39)="","",INDEX('Per Invoice'!U$2:U$401,$AH39)))</f>
        <v/>
      </c>
      <c r="V39">
        <f>IF($AH39="","",IF(INDEX('Per Invoice'!V$2:V$401,$AH39)="","",INDEX('Per Invoice'!V$2:V$401,$AH39)))</f>
        <v/>
      </c>
      <c r="W39" s="7">
        <f>IF($AH39="","",IF(INDEX('Per Invoice'!W$2:W$401,$AH39)="","",INDEX('Per Invoice'!W$2:W$401,$AH39)))</f>
        <v/>
      </c>
      <c r="X39" s="7">
        <f>IF($AH39="","",IF(INDEX('Per Invoice'!X$2:X$401,$AH39)="","",INDEX('Per Invoice'!X$2:X$401,$AH39)))</f>
        <v/>
      </c>
      <c r="Y39">
        <f>IF($AH39="","",IF(INDEX('Per Invoice'!Y$2:Y$401,$AH39)="","",INDEX('Per Invoice'!Y$2:Y$401,$AH39)))</f>
        <v/>
      </c>
      <c r="Z39" s="7">
        <f>IF($AH39="","",IF(INDEX('Per Invoice'!Z$2:Z$401,$AH39)="","",INDEX('Per Invoice'!Z$2:Z$401,$AH39)))</f>
        <v/>
      </c>
      <c r="AA39" s="7">
        <f>IF($AH39="","",IF(INDEX('Per Invoice'!AA$2:AA$401,$AH39)="","",INDEX('Per Invoice'!AA$2:AA$401,$AH39)))</f>
        <v/>
      </c>
      <c r="AB39" s="7">
        <f>IF($AH39="","",IF(INDEX('Per Invoice'!AB$2:AB$401,$AH39)="","",INDEX('Per Invoice'!AB$2:AB$401,$AH39)))</f>
        <v/>
      </c>
      <c r="AC39" s="7">
        <f>IF($AH39="","",IF(INDEX('Per Invoice'!AC$2:AC$401,$AH39)="","",INDEX('Per Invoice'!AC$2:AC$401,$AH39)))</f>
        <v/>
      </c>
      <c r="AD39" s="7">
        <f>IF($AH39="","",IF(INDEX('Per Invoice'!AD$2:AD$401,$AH39)="","",INDEX('Per Invoice'!AD$2:AD$401,$AH39)))</f>
        <v/>
      </c>
      <c r="AE39" s="7">
        <f>IF($AH39="","",IF(INDEX('Per Invoice'!AE$2:AE$401,$AH39)="","",INDEX('Per Invoice'!AE$2:AE$401,$AH39)))</f>
        <v/>
      </c>
      <c r="AF39">
        <f>IF($AH39="","",IF(INDEX('Per Invoice'!AF$2:AF$401,$AH39)="","",INDEX('Per Invoice'!AF$2:AF$401,$AH39)))</f>
        <v/>
      </c>
      <c r="AG39" s="7">
        <f>IF($AH39="","",IF(INDEX('Per Invoice'!AG$2:AG$401,$AH39)="","",INDEX('Per Invoice'!AG$2:AG$401,$AH39)))</f>
        <v/>
      </c>
      <c r="AH39" s="16">
        <f>IFERROR(MATCH(Settings!$C$27&amp;"|"&amp;ROWS($AH$2:$AH39),'Per Invoice'!$AI$2:$AI$401,0),"")</f>
        <v/>
      </c>
    </row>
    <row r="40">
      <c r="A40">
        <f>IF($AH40="","",IF(INDEX('Per Invoice'!A$2:A$401,$AH40)="","",INDEX('Per Invoice'!A$2:A$401,$AH40)))</f>
        <v/>
      </c>
      <c r="B40">
        <f>IF($AH40="","",IF(INDEX('Per Invoice'!B$2:B$401,$AH40)="","",INDEX('Per Invoice'!B$2:B$401,$AH40)))</f>
        <v/>
      </c>
      <c r="C40">
        <f>IF($AH40="","",IF(INDEX('Per Invoice'!C$2:C$401,$AH40)="","",INDEX('Per Invoice'!C$2:C$401,$AH40)))</f>
        <v/>
      </c>
      <c r="D40">
        <f>IF($AH40="","",IF(INDEX('Per Invoice'!D$2:D$401,$AH40)="","",INDEX('Per Invoice'!D$2:D$401,$AH40)))</f>
        <v/>
      </c>
      <c r="E40">
        <f>IF($AH40="","",IF(INDEX('Per Invoice'!E$2:E$401,$AH40)="","",INDEX('Per Invoice'!E$2:E$401,$AH40)))</f>
        <v/>
      </c>
      <c r="F40">
        <f>IF($AH40="","",IF(INDEX('Per Invoice'!F$2:F$401,$AH40)="","",INDEX('Per Invoice'!F$2:F$401,$AH40)))</f>
        <v/>
      </c>
      <c r="G40">
        <f>IF($AH40="","",IF(INDEX('Per Invoice'!G$2:G$401,$AH40)="","",INDEX('Per Invoice'!G$2:G$401,$AH40)))</f>
        <v/>
      </c>
      <c r="H40">
        <f>IF($AH40="","",IF(INDEX('Per Invoice'!H$2:H$401,$AH40)="","",INDEX('Per Invoice'!H$2:H$401,$AH40)))</f>
        <v/>
      </c>
      <c r="I40" s="14">
        <f>IF($AH40="","",IF(INDEX('Per Invoice'!I$2:I$401,$AH40)="","",INDEX('Per Invoice'!I$2:I$401,$AH40)))</f>
        <v/>
      </c>
      <c r="J40">
        <f>IF($AH40="","",IF(INDEX('Per Invoice'!J$2:J$401,$AH40)="","",INDEX('Per Invoice'!J$2:J$401,$AH40)))</f>
        <v/>
      </c>
      <c r="K40">
        <f>IF($AH40="","",IF(INDEX('Per Invoice'!K$2:K$401,$AH40)="","",INDEX('Per Invoice'!K$2:K$401,$AH40)))</f>
        <v/>
      </c>
      <c r="L40">
        <f>IF($AH40="","",IF(INDEX('Per Invoice'!L$2:L$401,$AH40)="","",INDEX('Per Invoice'!L$2:L$401,$AH40)))</f>
        <v/>
      </c>
      <c r="M40">
        <f>IF($AH40="","",IF(INDEX('Per Invoice'!M$2:M$401,$AH40)="","",INDEX('Per Invoice'!M$2:M$401,$AH40)))</f>
        <v/>
      </c>
      <c r="N40">
        <f>IF($AH40="","",IF(INDEX('Per Invoice'!N$2:N$401,$AH40)="","",INDEX('Per Invoice'!N$2:N$401,$AH40)))</f>
        <v/>
      </c>
      <c r="O40">
        <f>IF($AH40="","",IF(INDEX('Per Invoice'!O$2:O$401,$AH40)="","",INDEX('Per Invoice'!O$2:O$401,$AH40)))</f>
        <v/>
      </c>
      <c r="P40" s="7">
        <f>IF($AH40="","",IF(INDEX('Per Invoice'!P$2:P$401,$AH40)="","",INDEX('Per Invoice'!P$2:P$401,$AH40)))</f>
        <v/>
      </c>
      <c r="Q40">
        <f>IF($AH40="","",IF(INDEX('Per Invoice'!Q$2:Q$401,$AH40)="","",INDEX('Per Invoice'!Q$2:Q$401,$AH40)))</f>
        <v/>
      </c>
      <c r="R40">
        <f>IF($AH40="","",IF(INDEX('Per Invoice'!R$2:R$401,$AH40)="","",INDEX('Per Invoice'!R$2:R$401,$AH40)))</f>
        <v/>
      </c>
      <c r="S40">
        <f>IF($AH40="","",IF(INDEX('Per Invoice'!S$2:S$401,$AH40)="","",INDEX('Per Invoice'!S$2:S$401,$AH40)))</f>
        <v/>
      </c>
      <c r="T40" s="7">
        <f>IF($AH40="","",IF(INDEX('Per Invoice'!T$2:T$401,$AH40)="","",INDEX('Per Invoice'!T$2:T$401,$AH40)))</f>
        <v/>
      </c>
      <c r="U40" s="7">
        <f>IF($AH40="","",IF(INDEX('Per Invoice'!U$2:U$401,$AH40)="","",INDEX('Per Invoice'!U$2:U$401,$AH40)))</f>
        <v/>
      </c>
      <c r="V40">
        <f>IF($AH40="","",IF(INDEX('Per Invoice'!V$2:V$401,$AH40)="","",INDEX('Per Invoice'!V$2:V$401,$AH40)))</f>
        <v/>
      </c>
      <c r="W40" s="7">
        <f>IF($AH40="","",IF(INDEX('Per Invoice'!W$2:W$401,$AH40)="","",INDEX('Per Invoice'!W$2:W$401,$AH40)))</f>
        <v/>
      </c>
      <c r="X40" s="7">
        <f>IF($AH40="","",IF(INDEX('Per Invoice'!X$2:X$401,$AH40)="","",INDEX('Per Invoice'!X$2:X$401,$AH40)))</f>
        <v/>
      </c>
      <c r="Y40">
        <f>IF($AH40="","",IF(INDEX('Per Invoice'!Y$2:Y$401,$AH40)="","",INDEX('Per Invoice'!Y$2:Y$401,$AH40)))</f>
        <v/>
      </c>
      <c r="Z40" s="7">
        <f>IF($AH40="","",IF(INDEX('Per Invoice'!Z$2:Z$401,$AH40)="","",INDEX('Per Invoice'!Z$2:Z$401,$AH40)))</f>
        <v/>
      </c>
      <c r="AA40" s="7">
        <f>IF($AH40="","",IF(INDEX('Per Invoice'!AA$2:AA$401,$AH40)="","",INDEX('Per Invoice'!AA$2:AA$401,$AH40)))</f>
        <v/>
      </c>
      <c r="AB40" s="7">
        <f>IF($AH40="","",IF(INDEX('Per Invoice'!AB$2:AB$401,$AH40)="","",INDEX('Per Invoice'!AB$2:AB$401,$AH40)))</f>
        <v/>
      </c>
      <c r="AC40" s="7">
        <f>IF($AH40="","",IF(INDEX('Per Invoice'!AC$2:AC$401,$AH40)="","",INDEX('Per Invoice'!AC$2:AC$401,$AH40)))</f>
        <v/>
      </c>
      <c r="AD40" s="7">
        <f>IF($AH40="","",IF(INDEX('Per Invoice'!AD$2:AD$401,$AH40)="","",INDEX('Per Invoice'!AD$2:AD$401,$AH40)))</f>
        <v/>
      </c>
      <c r="AE40" s="7">
        <f>IF($AH40="","",IF(INDEX('Per Invoice'!AE$2:AE$401,$AH40)="","",INDEX('Per Invoice'!AE$2:AE$401,$AH40)))</f>
        <v/>
      </c>
      <c r="AF40">
        <f>IF($AH40="","",IF(INDEX('Per Invoice'!AF$2:AF$401,$AH40)="","",INDEX('Per Invoice'!AF$2:AF$401,$AH40)))</f>
        <v/>
      </c>
      <c r="AG40" s="7">
        <f>IF($AH40="","",IF(INDEX('Per Invoice'!AG$2:AG$401,$AH40)="","",INDEX('Per Invoice'!AG$2:AG$401,$AH40)))</f>
        <v/>
      </c>
      <c r="AH40" s="16">
        <f>IFERROR(MATCH(Settings!$C$27&amp;"|"&amp;ROWS($AH$2:$AH40),'Per Invoice'!$AI$2:$AI$401,0),"")</f>
        <v/>
      </c>
    </row>
    <row r="41">
      <c r="A41">
        <f>IF($AH41="","",IF(INDEX('Per Invoice'!A$2:A$401,$AH41)="","",INDEX('Per Invoice'!A$2:A$401,$AH41)))</f>
        <v/>
      </c>
      <c r="B41">
        <f>IF($AH41="","",IF(INDEX('Per Invoice'!B$2:B$401,$AH41)="","",INDEX('Per Invoice'!B$2:B$401,$AH41)))</f>
        <v/>
      </c>
      <c r="C41">
        <f>IF($AH41="","",IF(INDEX('Per Invoice'!C$2:C$401,$AH41)="","",INDEX('Per Invoice'!C$2:C$401,$AH41)))</f>
        <v/>
      </c>
      <c r="D41">
        <f>IF($AH41="","",IF(INDEX('Per Invoice'!D$2:D$401,$AH41)="","",INDEX('Per Invoice'!D$2:D$401,$AH41)))</f>
        <v/>
      </c>
      <c r="E41">
        <f>IF($AH41="","",IF(INDEX('Per Invoice'!E$2:E$401,$AH41)="","",INDEX('Per Invoice'!E$2:E$401,$AH41)))</f>
        <v/>
      </c>
      <c r="F41">
        <f>IF($AH41="","",IF(INDEX('Per Invoice'!F$2:F$401,$AH41)="","",INDEX('Per Invoice'!F$2:F$401,$AH41)))</f>
        <v/>
      </c>
      <c r="G41">
        <f>IF($AH41="","",IF(INDEX('Per Invoice'!G$2:G$401,$AH41)="","",INDEX('Per Invoice'!G$2:G$401,$AH41)))</f>
        <v/>
      </c>
      <c r="H41">
        <f>IF($AH41="","",IF(INDEX('Per Invoice'!H$2:H$401,$AH41)="","",INDEX('Per Invoice'!H$2:H$401,$AH41)))</f>
        <v/>
      </c>
      <c r="I41" s="14">
        <f>IF($AH41="","",IF(INDEX('Per Invoice'!I$2:I$401,$AH41)="","",INDEX('Per Invoice'!I$2:I$401,$AH41)))</f>
        <v/>
      </c>
      <c r="J41">
        <f>IF($AH41="","",IF(INDEX('Per Invoice'!J$2:J$401,$AH41)="","",INDEX('Per Invoice'!J$2:J$401,$AH41)))</f>
        <v/>
      </c>
      <c r="K41">
        <f>IF($AH41="","",IF(INDEX('Per Invoice'!K$2:K$401,$AH41)="","",INDEX('Per Invoice'!K$2:K$401,$AH41)))</f>
        <v/>
      </c>
      <c r="L41">
        <f>IF($AH41="","",IF(INDEX('Per Invoice'!L$2:L$401,$AH41)="","",INDEX('Per Invoice'!L$2:L$401,$AH41)))</f>
        <v/>
      </c>
      <c r="M41">
        <f>IF($AH41="","",IF(INDEX('Per Invoice'!M$2:M$401,$AH41)="","",INDEX('Per Invoice'!M$2:M$401,$AH41)))</f>
        <v/>
      </c>
      <c r="N41">
        <f>IF($AH41="","",IF(INDEX('Per Invoice'!N$2:N$401,$AH41)="","",INDEX('Per Invoice'!N$2:N$401,$AH41)))</f>
        <v/>
      </c>
      <c r="O41">
        <f>IF($AH41="","",IF(INDEX('Per Invoice'!O$2:O$401,$AH41)="","",INDEX('Per Invoice'!O$2:O$401,$AH41)))</f>
        <v/>
      </c>
      <c r="P41" s="7">
        <f>IF($AH41="","",IF(INDEX('Per Invoice'!P$2:P$401,$AH41)="","",INDEX('Per Invoice'!P$2:P$401,$AH41)))</f>
        <v/>
      </c>
      <c r="Q41">
        <f>IF($AH41="","",IF(INDEX('Per Invoice'!Q$2:Q$401,$AH41)="","",INDEX('Per Invoice'!Q$2:Q$401,$AH41)))</f>
        <v/>
      </c>
      <c r="R41">
        <f>IF($AH41="","",IF(INDEX('Per Invoice'!R$2:R$401,$AH41)="","",INDEX('Per Invoice'!R$2:R$401,$AH41)))</f>
        <v/>
      </c>
      <c r="S41">
        <f>IF($AH41="","",IF(INDEX('Per Invoice'!S$2:S$401,$AH41)="","",INDEX('Per Invoice'!S$2:S$401,$AH41)))</f>
        <v/>
      </c>
      <c r="T41" s="7">
        <f>IF($AH41="","",IF(INDEX('Per Invoice'!T$2:T$401,$AH41)="","",INDEX('Per Invoice'!T$2:T$401,$AH41)))</f>
        <v/>
      </c>
      <c r="U41" s="7">
        <f>IF($AH41="","",IF(INDEX('Per Invoice'!U$2:U$401,$AH41)="","",INDEX('Per Invoice'!U$2:U$401,$AH41)))</f>
        <v/>
      </c>
      <c r="V41">
        <f>IF($AH41="","",IF(INDEX('Per Invoice'!V$2:V$401,$AH41)="","",INDEX('Per Invoice'!V$2:V$401,$AH41)))</f>
        <v/>
      </c>
      <c r="W41" s="7">
        <f>IF($AH41="","",IF(INDEX('Per Invoice'!W$2:W$401,$AH41)="","",INDEX('Per Invoice'!W$2:W$401,$AH41)))</f>
        <v/>
      </c>
      <c r="X41" s="7">
        <f>IF($AH41="","",IF(INDEX('Per Invoice'!X$2:X$401,$AH41)="","",INDEX('Per Invoice'!X$2:X$401,$AH41)))</f>
        <v/>
      </c>
      <c r="Y41">
        <f>IF($AH41="","",IF(INDEX('Per Invoice'!Y$2:Y$401,$AH41)="","",INDEX('Per Invoice'!Y$2:Y$401,$AH41)))</f>
        <v/>
      </c>
      <c r="Z41" s="7">
        <f>IF($AH41="","",IF(INDEX('Per Invoice'!Z$2:Z$401,$AH41)="","",INDEX('Per Invoice'!Z$2:Z$401,$AH41)))</f>
        <v/>
      </c>
      <c r="AA41" s="7">
        <f>IF($AH41="","",IF(INDEX('Per Invoice'!AA$2:AA$401,$AH41)="","",INDEX('Per Invoice'!AA$2:AA$401,$AH41)))</f>
        <v/>
      </c>
      <c r="AB41" s="7">
        <f>IF($AH41="","",IF(INDEX('Per Invoice'!AB$2:AB$401,$AH41)="","",INDEX('Per Invoice'!AB$2:AB$401,$AH41)))</f>
        <v/>
      </c>
      <c r="AC41" s="7">
        <f>IF($AH41="","",IF(INDEX('Per Invoice'!AC$2:AC$401,$AH41)="","",INDEX('Per Invoice'!AC$2:AC$401,$AH41)))</f>
        <v/>
      </c>
      <c r="AD41" s="7">
        <f>IF($AH41="","",IF(INDEX('Per Invoice'!AD$2:AD$401,$AH41)="","",INDEX('Per Invoice'!AD$2:AD$401,$AH41)))</f>
        <v/>
      </c>
      <c r="AE41" s="7">
        <f>IF($AH41="","",IF(INDEX('Per Invoice'!AE$2:AE$401,$AH41)="","",INDEX('Per Invoice'!AE$2:AE$401,$AH41)))</f>
        <v/>
      </c>
      <c r="AF41">
        <f>IF($AH41="","",IF(INDEX('Per Invoice'!AF$2:AF$401,$AH41)="","",INDEX('Per Invoice'!AF$2:AF$401,$AH41)))</f>
        <v/>
      </c>
      <c r="AG41" s="7">
        <f>IF($AH41="","",IF(INDEX('Per Invoice'!AG$2:AG$401,$AH41)="","",INDEX('Per Invoice'!AG$2:AG$401,$AH41)))</f>
        <v/>
      </c>
      <c r="AH41" s="16">
        <f>IFERROR(MATCH(Settings!$C$27&amp;"|"&amp;ROWS($AH$2:$AH41),'Per Invoice'!$AI$2:$AI$401,0),"")</f>
        <v/>
      </c>
    </row>
    <row r="42">
      <c r="A42">
        <f>IF($AH42="","",IF(INDEX('Per Invoice'!A$2:A$401,$AH42)="","",INDEX('Per Invoice'!A$2:A$401,$AH42)))</f>
        <v/>
      </c>
      <c r="B42">
        <f>IF($AH42="","",IF(INDEX('Per Invoice'!B$2:B$401,$AH42)="","",INDEX('Per Invoice'!B$2:B$401,$AH42)))</f>
        <v/>
      </c>
      <c r="C42">
        <f>IF($AH42="","",IF(INDEX('Per Invoice'!C$2:C$401,$AH42)="","",INDEX('Per Invoice'!C$2:C$401,$AH42)))</f>
        <v/>
      </c>
      <c r="D42">
        <f>IF($AH42="","",IF(INDEX('Per Invoice'!D$2:D$401,$AH42)="","",INDEX('Per Invoice'!D$2:D$401,$AH42)))</f>
        <v/>
      </c>
      <c r="E42">
        <f>IF($AH42="","",IF(INDEX('Per Invoice'!E$2:E$401,$AH42)="","",INDEX('Per Invoice'!E$2:E$401,$AH42)))</f>
        <v/>
      </c>
      <c r="F42">
        <f>IF($AH42="","",IF(INDEX('Per Invoice'!F$2:F$401,$AH42)="","",INDEX('Per Invoice'!F$2:F$401,$AH42)))</f>
        <v/>
      </c>
      <c r="G42">
        <f>IF($AH42="","",IF(INDEX('Per Invoice'!G$2:G$401,$AH42)="","",INDEX('Per Invoice'!G$2:G$401,$AH42)))</f>
        <v/>
      </c>
      <c r="H42">
        <f>IF($AH42="","",IF(INDEX('Per Invoice'!H$2:H$401,$AH42)="","",INDEX('Per Invoice'!H$2:H$401,$AH42)))</f>
        <v/>
      </c>
      <c r="I42" s="14">
        <f>IF($AH42="","",IF(INDEX('Per Invoice'!I$2:I$401,$AH42)="","",INDEX('Per Invoice'!I$2:I$401,$AH42)))</f>
        <v/>
      </c>
      <c r="J42">
        <f>IF($AH42="","",IF(INDEX('Per Invoice'!J$2:J$401,$AH42)="","",INDEX('Per Invoice'!J$2:J$401,$AH42)))</f>
        <v/>
      </c>
      <c r="K42">
        <f>IF($AH42="","",IF(INDEX('Per Invoice'!K$2:K$401,$AH42)="","",INDEX('Per Invoice'!K$2:K$401,$AH42)))</f>
        <v/>
      </c>
      <c r="L42">
        <f>IF($AH42="","",IF(INDEX('Per Invoice'!L$2:L$401,$AH42)="","",INDEX('Per Invoice'!L$2:L$401,$AH42)))</f>
        <v/>
      </c>
      <c r="M42">
        <f>IF($AH42="","",IF(INDEX('Per Invoice'!M$2:M$401,$AH42)="","",INDEX('Per Invoice'!M$2:M$401,$AH42)))</f>
        <v/>
      </c>
      <c r="N42">
        <f>IF($AH42="","",IF(INDEX('Per Invoice'!N$2:N$401,$AH42)="","",INDEX('Per Invoice'!N$2:N$401,$AH42)))</f>
        <v/>
      </c>
      <c r="O42">
        <f>IF($AH42="","",IF(INDEX('Per Invoice'!O$2:O$401,$AH42)="","",INDEX('Per Invoice'!O$2:O$401,$AH42)))</f>
        <v/>
      </c>
      <c r="P42" s="7">
        <f>IF($AH42="","",IF(INDEX('Per Invoice'!P$2:P$401,$AH42)="","",INDEX('Per Invoice'!P$2:P$401,$AH42)))</f>
        <v/>
      </c>
      <c r="Q42">
        <f>IF($AH42="","",IF(INDEX('Per Invoice'!Q$2:Q$401,$AH42)="","",INDEX('Per Invoice'!Q$2:Q$401,$AH42)))</f>
        <v/>
      </c>
      <c r="R42">
        <f>IF($AH42="","",IF(INDEX('Per Invoice'!R$2:R$401,$AH42)="","",INDEX('Per Invoice'!R$2:R$401,$AH42)))</f>
        <v/>
      </c>
      <c r="S42">
        <f>IF($AH42="","",IF(INDEX('Per Invoice'!S$2:S$401,$AH42)="","",INDEX('Per Invoice'!S$2:S$401,$AH42)))</f>
        <v/>
      </c>
      <c r="T42" s="7">
        <f>IF($AH42="","",IF(INDEX('Per Invoice'!T$2:T$401,$AH42)="","",INDEX('Per Invoice'!T$2:T$401,$AH42)))</f>
        <v/>
      </c>
      <c r="U42" s="7">
        <f>IF($AH42="","",IF(INDEX('Per Invoice'!U$2:U$401,$AH42)="","",INDEX('Per Invoice'!U$2:U$401,$AH42)))</f>
        <v/>
      </c>
      <c r="V42">
        <f>IF($AH42="","",IF(INDEX('Per Invoice'!V$2:V$401,$AH42)="","",INDEX('Per Invoice'!V$2:V$401,$AH42)))</f>
        <v/>
      </c>
      <c r="W42" s="7">
        <f>IF($AH42="","",IF(INDEX('Per Invoice'!W$2:W$401,$AH42)="","",INDEX('Per Invoice'!W$2:W$401,$AH42)))</f>
        <v/>
      </c>
      <c r="X42" s="7">
        <f>IF($AH42="","",IF(INDEX('Per Invoice'!X$2:X$401,$AH42)="","",INDEX('Per Invoice'!X$2:X$401,$AH42)))</f>
        <v/>
      </c>
      <c r="Y42">
        <f>IF($AH42="","",IF(INDEX('Per Invoice'!Y$2:Y$401,$AH42)="","",INDEX('Per Invoice'!Y$2:Y$401,$AH42)))</f>
        <v/>
      </c>
      <c r="Z42" s="7">
        <f>IF($AH42="","",IF(INDEX('Per Invoice'!Z$2:Z$401,$AH42)="","",INDEX('Per Invoice'!Z$2:Z$401,$AH42)))</f>
        <v/>
      </c>
      <c r="AA42" s="7">
        <f>IF($AH42="","",IF(INDEX('Per Invoice'!AA$2:AA$401,$AH42)="","",INDEX('Per Invoice'!AA$2:AA$401,$AH42)))</f>
        <v/>
      </c>
      <c r="AB42" s="7">
        <f>IF($AH42="","",IF(INDEX('Per Invoice'!AB$2:AB$401,$AH42)="","",INDEX('Per Invoice'!AB$2:AB$401,$AH42)))</f>
        <v/>
      </c>
      <c r="AC42" s="7">
        <f>IF($AH42="","",IF(INDEX('Per Invoice'!AC$2:AC$401,$AH42)="","",INDEX('Per Invoice'!AC$2:AC$401,$AH42)))</f>
        <v/>
      </c>
      <c r="AD42" s="7">
        <f>IF($AH42="","",IF(INDEX('Per Invoice'!AD$2:AD$401,$AH42)="","",INDEX('Per Invoice'!AD$2:AD$401,$AH42)))</f>
        <v/>
      </c>
      <c r="AE42" s="7">
        <f>IF($AH42="","",IF(INDEX('Per Invoice'!AE$2:AE$401,$AH42)="","",INDEX('Per Invoice'!AE$2:AE$401,$AH42)))</f>
        <v/>
      </c>
      <c r="AF42">
        <f>IF($AH42="","",IF(INDEX('Per Invoice'!AF$2:AF$401,$AH42)="","",INDEX('Per Invoice'!AF$2:AF$401,$AH42)))</f>
        <v/>
      </c>
      <c r="AG42" s="7">
        <f>IF($AH42="","",IF(INDEX('Per Invoice'!AG$2:AG$401,$AH42)="","",INDEX('Per Invoice'!AG$2:AG$401,$AH42)))</f>
        <v/>
      </c>
      <c r="AH42" s="16">
        <f>IFERROR(MATCH(Settings!$C$27&amp;"|"&amp;ROWS($AH$2:$AH42),'Per Invoice'!$AI$2:$AI$401,0),"")</f>
        <v/>
      </c>
    </row>
    <row r="43">
      <c r="A43">
        <f>IF($AH43="","",IF(INDEX('Per Invoice'!A$2:A$401,$AH43)="","",INDEX('Per Invoice'!A$2:A$401,$AH43)))</f>
        <v/>
      </c>
      <c r="B43">
        <f>IF($AH43="","",IF(INDEX('Per Invoice'!B$2:B$401,$AH43)="","",INDEX('Per Invoice'!B$2:B$401,$AH43)))</f>
        <v/>
      </c>
      <c r="C43">
        <f>IF($AH43="","",IF(INDEX('Per Invoice'!C$2:C$401,$AH43)="","",INDEX('Per Invoice'!C$2:C$401,$AH43)))</f>
        <v/>
      </c>
      <c r="D43">
        <f>IF($AH43="","",IF(INDEX('Per Invoice'!D$2:D$401,$AH43)="","",INDEX('Per Invoice'!D$2:D$401,$AH43)))</f>
        <v/>
      </c>
      <c r="E43">
        <f>IF($AH43="","",IF(INDEX('Per Invoice'!E$2:E$401,$AH43)="","",INDEX('Per Invoice'!E$2:E$401,$AH43)))</f>
        <v/>
      </c>
      <c r="F43">
        <f>IF($AH43="","",IF(INDEX('Per Invoice'!F$2:F$401,$AH43)="","",INDEX('Per Invoice'!F$2:F$401,$AH43)))</f>
        <v/>
      </c>
      <c r="G43">
        <f>IF($AH43="","",IF(INDEX('Per Invoice'!G$2:G$401,$AH43)="","",INDEX('Per Invoice'!G$2:G$401,$AH43)))</f>
        <v/>
      </c>
      <c r="H43">
        <f>IF($AH43="","",IF(INDEX('Per Invoice'!H$2:H$401,$AH43)="","",INDEX('Per Invoice'!H$2:H$401,$AH43)))</f>
        <v/>
      </c>
      <c r="I43" s="14">
        <f>IF($AH43="","",IF(INDEX('Per Invoice'!I$2:I$401,$AH43)="","",INDEX('Per Invoice'!I$2:I$401,$AH43)))</f>
        <v/>
      </c>
      <c r="J43">
        <f>IF($AH43="","",IF(INDEX('Per Invoice'!J$2:J$401,$AH43)="","",INDEX('Per Invoice'!J$2:J$401,$AH43)))</f>
        <v/>
      </c>
      <c r="K43">
        <f>IF($AH43="","",IF(INDEX('Per Invoice'!K$2:K$401,$AH43)="","",INDEX('Per Invoice'!K$2:K$401,$AH43)))</f>
        <v/>
      </c>
      <c r="L43">
        <f>IF($AH43="","",IF(INDEX('Per Invoice'!L$2:L$401,$AH43)="","",INDEX('Per Invoice'!L$2:L$401,$AH43)))</f>
        <v/>
      </c>
      <c r="M43">
        <f>IF($AH43="","",IF(INDEX('Per Invoice'!M$2:M$401,$AH43)="","",INDEX('Per Invoice'!M$2:M$401,$AH43)))</f>
        <v/>
      </c>
      <c r="N43">
        <f>IF($AH43="","",IF(INDEX('Per Invoice'!N$2:N$401,$AH43)="","",INDEX('Per Invoice'!N$2:N$401,$AH43)))</f>
        <v/>
      </c>
      <c r="O43">
        <f>IF($AH43="","",IF(INDEX('Per Invoice'!O$2:O$401,$AH43)="","",INDEX('Per Invoice'!O$2:O$401,$AH43)))</f>
        <v/>
      </c>
      <c r="P43" s="7">
        <f>IF($AH43="","",IF(INDEX('Per Invoice'!P$2:P$401,$AH43)="","",INDEX('Per Invoice'!P$2:P$401,$AH43)))</f>
        <v/>
      </c>
      <c r="Q43">
        <f>IF($AH43="","",IF(INDEX('Per Invoice'!Q$2:Q$401,$AH43)="","",INDEX('Per Invoice'!Q$2:Q$401,$AH43)))</f>
        <v/>
      </c>
      <c r="R43">
        <f>IF($AH43="","",IF(INDEX('Per Invoice'!R$2:R$401,$AH43)="","",INDEX('Per Invoice'!R$2:R$401,$AH43)))</f>
        <v/>
      </c>
      <c r="S43">
        <f>IF($AH43="","",IF(INDEX('Per Invoice'!S$2:S$401,$AH43)="","",INDEX('Per Invoice'!S$2:S$401,$AH43)))</f>
        <v/>
      </c>
      <c r="T43" s="7">
        <f>IF($AH43="","",IF(INDEX('Per Invoice'!T$2:T$401,$AH43)="","",INDEX('Per Invoice'!T$2:T$401,$AH43)))</f>
        <v/>
      </c>
      <c r="U43" s="7">
        <f>IF($AH43="","",IF(INDEX('Per Invoice'!U$2:U$401,$AH43)="","",INDEX('Per Invoice'!U$2:U$401,$AH43)))</f>
        <v/>
      </c>
      <c r="V43">
        <f>IF($AH43="","",IF(INDEX('Per Invoice'!V$2:V$401,$AH43)="","",INDEX('Per Invoice'!V$2:V$401,$AH43)))</f>
        <v/>
      </c>
      <c r="W43" s="7">
        <f>IF($AH43="","",IF(INDEX('Per Invoice'!W$2:W$401,$AH43)="","",INDEX('Per Invoice'!W$2:W$401,$AH43)))</f>
        <v/>
      </c>
      <c r="X43" s="7">
        <f>IF($AH43="","",IF(INDEX('Per Invoice'!X$2:X$401,$AH43)="","",INDEX('Per Invoice'!X$2:X$401,$AH43)))</f>
        <v/>
      </c>
      <c r="Y43">
        <f>IF($AH43="","",IF(INDEX('Per Invoice'!Y$2:Y$401,$AH43)="","",INDEX('Per Invoice'!Y$2:Y$401,$AH43)))</f>
        <v/>
      </c>
      <c r="Z43" s="7">
        <f>IF($AH43="","",IF(INDEX('Per Invoice'!Z$2:Z$401,$AH43)="","",INDEX('Per Invoice'!Z$2:Z$401,$AH43)))</f>
        <v/>
      </c>
      <c r="AA43" s="7">
        <f>IF($AH43="","",IF(INDEX('Per Invoice'!AA$2:AA$401,$AH43)="","",INDEX('Per Invoice'!AA$2:AA$401,$AH43)))</f>
        <v/>
      </c>
      <c r="AB43" s="7">
        <f>IF($AH43="","",IF(INDEX('Per Invoice'!AB$2:AB$401,$AH43)="","",INDEX('Per Invoice'!AB$2:AB$401,$AH43)))</f>
        <v/>
      </c>
      <c r="AC43" s="7">
        <f>IF($AH43="","",IF(INDEX('Per Invoice'!AC$2:AC$401,$AH43)="","",INDEX('Per Invoice'!AC$2:AC$401,$AH43)))</f>
        <v/>
      </c>
      <c r="AD43" s="7">
        <f>IF($AH43="","",IF(INDEX('Per Invoice'!AD$2:AD$401,$AH43)="","",INDEX('Per Invoice'!AD$2:AD$401,$AH43)))</f>
        <v/>
      </c>
      <c r="AE43" s="7">
        <f>IF($AH43="","",IF(INDEX('Per Invoice'!AE$2:AE$401,$AH43)="","",INDEX('Per Invoice'!AE$2:AE$401,$AH43)))</f>
        <v/>
      </c>
      <c r="AF43">
        <f>IF($AH43="","",IF(INDEX('Per Invoice'!AF$2:AF$401,$AH43)="","",INDEX('Per Invoice'!AF$2:AF$401,$AH43)))</f>
        <v/>
      </c>
      <c r="AG43" s="7">
        <f>IF($AH43="","",IF(INDEX('Per Invoice'!AG$2:AG$401,$AH43)="","",INDEX('Per Invoice'!AG$2:AG$401,$AH43)))</f>
        <v/>
      </c>
      <c r="AH43" s="16">
        <f>IFERROR(MATCH(Settings!$C$27&amp;"|"&amp;ROWS($AH$2:$AH43),'Per Invoice'!$AI$2:$AI$401,0),"")</f>
        <v/>
      </c>
    </row>
    <row r="44">
      <c r="A44">
        <f>IF($AH44="","",IF(INDEX('Per Invoice'!A$2:A$401,$AH44)="","",INDEX('Per Invoice'!A$2:A$401,$AH44)))</f>
        <v/>
      </c>
      <c r="B44">
        <f>IF($AH44="","",IF(INDEX('Per Invoice'!B$2:B$401,$AH44)="","",INDEX('Per Invoice'!B$2:B$401,$AH44)))</f>
        <v/>
      </c>
      <c r="C44">
        <f>IF($AH44="","",IF(INDEX('Per Invoice'!C$2:C$401,$AH44)="","",INDEX('Per Invoice'!C$2:C$401,$AH44)))</f>
        <v/>
      </c>
      <c r="D44">
        <f>IF($AH44="","",IF(INDEX('Per Invoice'!D$2:D$401,$AH44)="","",INDEX('Per Invoice'!D$2:D$401,$AH44)))</f>
        <v/>
      </c>
      <c r="E44">
        <f>IF($AH44="","",IF(INDEX('Per Invoice'!E$2:E$401,$AH44)="","",INDEX('Per Invoice'!E$2:E$401,$AH44)))</f>
        <v/>
      </c>
      <c r="F44">
        <f>IF($AH44="","",IF(INDEX('Per Invoice'!F$2:F$401,$AH44)="","",INDEX('Per Invoice'!F$2:F$401,$AH44)))</f>
        <v/>
      </c>
      <c r="G44">
        <f>IF($AH44="","",IF(INDEX('Per Invoice'!G$2:G$401,$AH44)="","",INDEX('Per Invoice'!G$2:G$401,$AH44)))</f>
        <v/>
      </c>
      <c r="H44">
        <f>IF($AH44="","",IF(INDEX('Per Invoice'!H$2:H$401,$AH44)="","",INDEX('Per Invoice'!H$2:H$401,$AH44)))</f>
        <v/>
      </c>
      <c r="I44" s="14">
        <f>IF($AH44="","",IF(INDEX('Per Invoice'!I$2:I$401,$AH44)="","",INDEX('Per Invoice'!I$2:I$401,$AH44)))</f>
        <v/>
      </c>
      <c r="J44">
        <f>IF($AH44="","",IF(INDEX('Per Invoice'!J$2:J$401,$AH44)="","",INDEX('Per Invoice'!J$2:J$401,$AH44)))</f>
        <v/>
      </c>
      <c r="K44">
        <f>IF($AH44="","",IF(INDEX('Per Invoice'!K$2:K$401,$AH44)="","",INDEX('Per Invoice'!K$2:K$401,$AH44)))</f>
        <v/>
      </c>
      <c r="L44">
        <f>IF($AH44="","",IF(INDEX('Per Invoice'!L$2:L$401,$AH44)="","",INDEX('Per Invoice'!L$2:L$401,$AH44)))</f>
        <v/>
      </c>
      <c r="M44">
        <f>IF($AH44="","",IF(INDEX('Per Invoice'!M$2:M$401,$AH44)="","",INDEX('Per Invoice'!M$2:M$401,$AH44)))</f>
        <v/>
      </c>
      <c r="N44">
        <f>IF($AH44="","",IF(INDEX('Per Invoice'!N$2:N$401,$AH44)="","",INDEX('Per Invoice'!N$2:N$401,$AH44)))</f>
        <v/>
      </c>
      <c r="O44">
        <f>IF($AH44="","",IF(INDEX('Per Invoice'!O$2:O$401,$AH44)="","",INDEX('Per Invoice'!O$2:O$401,$AH44)))</f>
        <v/>
      </c>
      <c r="P44" s="7">
        <f>IF($AH44="","",IF(INDEX('Per Invoice'!P$2:P$401,$AH44)="","",INDEX('Per Invoice'!P$2:P$401,$AH44)))</f>
        <v/>
      </c>
      <c r="Q44">
        <f>IF($AH44="","",IF(INDEX('Per Invoice'!Q$2:Q$401,$AH44)="","",INDEX('Per Invoice'!Q$2:Q$401,$AH44)))</f>
        <v/>
      </c>
      <c r="R44">
        <f>IF($AH44="","",IF(INDEX('Per Invoice'!R$2:R$401,$AH44)="","",INDEX('Per Invoice'!R$2:R$401,$AH44)))</f>
        <v/>
      </c>
      <c r="S44">
        <f>IF($AH44="","",IF(INDEX('Per Invoice'!S$2:S$401,$AH44)="","",INDEX('Per Invoice'!S$2:S$401,$AH44)))</f>
        <v/>
      </c>
      <c r="T44" s="7">
        <f>IF($AH44="","",IF(INDEX('Per Invoice'!T$2:T$401,$AH44)="","",INDEX('Per Invoice'!T$2:T$401,$AH44)))</f>
        <v/>
      </c>
      <c r="U44" s="7">
        <f>IF($AH44="","",IF(INDEX('Per Invoice'!U$2:U$401,$AH44)="","",INDEX('Per Invoice'!U$2:U$401,$AH44)))</f>
        <v/>
      </c>
      <c r="V44">
        <f>IF($AH44="","",IF(INDEX('Per Invoice'!V$2:V$401,$AH44)="","",INDEX('Per Invoice'!V$2:V$401,$AH44)))</f>
        <v/>
      </c>
      <c r="W44" s="7">
        <f>IF($AH44="","",IF(INDEX('Per Invoice'!W$2:W$401,$AH44)="","",INDEX('Per Invoice'!W$2:W$401,$AH44)))</f>
        <v/>
      </c>
      <c r="X44" s="7">
        <f>IF($AH44="","",IF(INDEX('Per Invoice'!X$2:X$401,$AH44)="","",INDEX('Per Invoice'!X$2:X$401,$AH44)))</f>
        <v/>
      </c>
      <c r="Y44">
        <f>IF($AH44="","",IF(INDEX('Per Invoice'!Y$2:Y$401,$AH44)="","",INDEX('Per Invoice'!Y$2:Y$401,$AH44)))</f>
        <v/>
      </c>
      <c r="Z44" s="7">
        <f>IF($AH44="","",IF(INDEX('Per Invoice'!Z$2:Z$401,$AH44)="","",INDEX('Per Invoice'!Z$2:Z$401,$AH44)))</f>
        <v/>
      </c>
      <c r="AA44" s="7">
        <f>IF($AH44="","",IF(INDEX('Per Invoice'!AA$2:AA$401,$AH44)="","",INDEX('Per Invoice'!AA$2:AA$401,$AH44)))</f>
        <v/>
      </c>
      <c r="AB44" s="7">
        <f>IF($AH44="","",IF(INDEX('Per Invoice'!AB$2:AB$401,$AH44)="","",INDEX('Per Invoice'!AB$2:AB$401,$AH44)))</f>
        <v/>
      </c>
      <c r="AC44" s="7">
        <f>IF($AH44="","",IF(INDEX('Per Invoice'!AC$2:AC$401,$AH44)="","",INDEX('Per Invoice'!AC$2:AC$401,$AH44)))</f>
        <v/>
      </c>
      <c r="AD44" s="7">
        <f>IF($AH44="","",IF(INDEX('Per Invoice'!AD$2:AD$401,$AH44)="","",INDEX('Per Invoice'!AD$2:AD$401,$AH44)))</f>
        <v/>
      </c>
      <c r="AE44" s="7">
        <f>IF($AH44="","",IF(INDEX('Per Invoice'!AE$2:AE$401,$AH44)="","",INDEX('Per Invoice'!AE$2:AE$401,$AH44)))</f>
        <v/>
      </c>
      <c r="AF44">
        <f>IF($AH44="","",IF(INDEX('Per Invoice'!AF$2:AF$401,$AH44)="","",INDEX('Per Invoice'!AF$2:AF$401,$AH44)))</f>
        <v/>
      </c>
      <c r="AG44" s="7">
        <f>IF($AH44="","",IF(INDEX('Per Invoice'!AG$2:AG$401,$AH44)="","",INDEX('Per Invoice'!AG$2:AG$401,$AH44)))</f>
        <v/>
      </c>
      <c r="AH44" s="16">
        <f>IFERROR(MATCH(Settings!$C$27&amp;"|"&amp;ROWS($AH$2:$AH44),'Per Invoice'!$AI$2:$AI$401,0),"")</f>
        <v/>
      </c>
    </row>
    <row r="45">
      <c r="A45">
        <f>IF($AH45="","",IF(INDEX('Per Invoice'!A$2:A$401,$AH45)="","",INDEX('Per Invoice'!A$2:A$401,$AH45)))</f>
        <v/>
      </c>
      <c r="B45">
        <f>IF($AH45="","",IF(INDEX('Per Invoice'!B$2:B$401,$AH45)="","",INDEX('Per Invoice'!B$2:B$401,$AH45)))</f>
        <v/>
      </c>
      <c r="C45">
        <f>IF($AH45="","",IF(INDEX('Per Invoice'!C$2:C$401,$AH45)="","",INDEX('Per Invoice'!C$2:C$401,$AH45)))</f>
        <v/>
      </c>
      <c r="D45">
        <f>IF($AH45="","",IF(INDEX('Per Invoice'!D$2:D$401,$AH45)="","",INDEX('Per Invoice'!D$2:D$401,$AH45)))</f>
        <v/>
      </c>
      <c r="E45">
        <f>IF($AH45="","",IF(INDEX('Per Invoice'!E$2:E$401,$AH45)="","",INDEX('Per Invoice'!E$2:E$401,$AH45)))</f>
        <v/>
      </c>
      <c r="F45">
        <f>IF($AH45="","",IF(INDEX('Per Invoice'!F$2:F$401,$AH45)="","",INDEX('Per Invoice'!F$2:F$401,$AH45)))</f>
        <v/>
      </c>
      <c r="G45">
        <f>IF($AH45="","",IF(INDEX('Per Invoice'!G$2:G$401,$AH45)="","",INDEX('Per Invoice'!G$2:G$401,$AH45)))</f>
        <v/>
      </c>
      <c r="H45">
        <f>IF($AH45="","",IF(INDEX('Per Invoice'!H$2:H$401,$AH45)="","",INDEX('Per Invoice'!H$2:H$401,$AH45)))</f>
        <v/>
      </c>
      <c r="I45" s="14">
        <f>IF($AH45="","",IF(INDEX('Per Invoice'!I$2:I$401,$AH45)="","",INDEX('Per Invoice'!I$2:I$401,$AH45)))</f>
        <v/>
      </c>
      <c r="J45">
        <f>IF($AH45="","",IF(INDEX('Per Invoice'!J$2:J$401,$AH45)="","",INDEX('Per Invoice'!J$2:J$401,$AH45)))</f>
        <v/>
      </c>
      <c r="K45">
        <f>IF($AH45="","",IF(INDEX('Per Invoice'!K$2:K$401,$AH45)="","",INDEX('Per Invoice'!K$2:K$401,$AH45)))</f>
        <v/>
      </c>
      <c r="L45">
        <f>IF($AH45="","",IF(INDEX('Per Invoice'!L$2:L$401,$AH45)="","",INDEX('Per Invoice'!L$2:L$401,$AH45)))</f>
        <v/>
      </c>
      <c r="M45">
        <f>IF($AH45="","",IF(INDEX('Per Invoice'!M$2:M$401,$AH45)="","",INDEX('Per Invoice'!M$2:M$401,$AH45)))</f>
        <v/>
      </c>
      <c r="N45">
        <f>IF($AH45="","",IF(INDEX('Per Invoice'!N$2:N$401,$AH45)="","",INDEX('Per Invoice'!N$2:N$401,$AH45)))</f>
        <v/>
      </c>
      <c r="O45">
        <f>IF($AH45="","",IF(INDEX('Per Invoice'!O$2:O$401,$AH45)="","",INDEX('Per Invoice'!O$2:O$401,$AH45)))</f>
        <v/>
      </c>
      <c r="P45" s="7">
        <f>IF($AH45="","",IF(INDEX('Per Invoice'!P$2:P$401,$AH45)="","",INDEX('Per Invoice'!P$2:P$401,$AH45)))</f>
        <v/>
      </c>
      <c r="Q45">
        <f>IF($AH45="","",IF(INDEX('Per Invoice'!Q$2:Q$401,$AH45)="","",INDEX('Per Invoice'!Q$2:Q$401,$AH45)))</f>
        <v/>
      </c>
      <c r="R45">
        <f>IF($AH45="","",IF(INDEX('Per Invoice'!R$2:R$401,$AH45)="","",INDEX('Per Invoice'!R$2:R$401,$AH45)))</f>
        <v/>
      </c>
      <c r="S45">
        <f>IF($AH45="","",IF(INDEX('Per Invoice'!S$2:S$401,$AH45)="","",INDEX('Per Invoice'!S$2:S$401,$AH45)))</f>
        <v/>
      </c>
      <c r="T45" s="7">
        <f>IF($AH45="","",IF(INDEX('Per Invoice'!T$2:T$401,$AH45)="","",INDEX('Per Invoice'!T$2:T$401,$AH45)))</f>
        <v/>
      </c>
      <c r="U45" s="7">
        <f>IF($AH45="","",IF(INDEX('Per Invoice'!U$2:U$401,$AH45)="","",INDEX('Per Invoice'!U$2:U$401,$AH45)))</f>
        <v/>
      </c>
      <c r="V45">
        <f>IF($AH45="","",IF(INDEX('Per Invoice'!V$2:V$401,$AH45)="","",INDEX('Per Invoice'!V$2:V$401,$AH45)))</f>
        <v/>
      </c>
      <c r="W45" s="7">
        <f>IF($AH45="","",IF(INDEX('Per Invoice'!W$2:W$401,$AH45)="","",INDEX('Per Invoice'!W$2:W$401,$AH45)))</f>
        <v/>
      </c>
      <c r="X45" s="7">
        <f>IF($AH45="","",IF(INDEX('Per Invoice'!X$2:X$401,$AH45)="","",INDEX('Per Invoice'!X$2:X$401,$AH45)))</f>
        <v/>
      </c>
      <c r="Y45">
        <f>IF($AH45="","",IF(INDEX('Per Invoice'!Y$2:Y$401,$AH45)="","",INDEX('Per Invoice'!Y$2:Y$401,$AH45)))</f>
        <v/>
      </c>
      <c r="Z45" s="7">
        <f>IF($AH45="","",IF(INDEX('Per Invoice'!Z$2:Z$401,$AH45)="","",INDEX('Per Invoice'!Z$2:Z$401,$AH45)))</f>
        <v/>
      </c>
      <c r="AA45" s="7">
        <f>IF($AH45="","",IF(INDEX('Per Invoice'!AA$2:AA$401,$AH45)="","",INDEX('Per Invoice'!AA$2:AA$401,$AH45)))</f>
        <v/>
      </c>
      <c r="AB45" s="7">
        <f>IF($AH45="","",IF(INDEX('Per Invoice'!AB$2:AB$401,$AH45)="","",INDEX('Per Invoice'!AB$2:AB$401,$AH45)))</f>
        <v/>
      </c>
      <c r="AC45" s="7">
        <f>IF($AH45="","",IF(INDEX('Per Invoice'!AC$2:AC$401,$AH45)="","",INDEX('Per Invoice'!AC$2:AC$401,$AH45)))</f>
        <v/>
      </c>
      <c r="AD45" s="7">
        <f>IF($AH45="","",IF(INDEX('Per Invoice'!AD$2:AD$401,$AH45)="","",INDEX('Per Invoice'!AD$2:AD$401,$AH45)))</f>
        <v/>
      </c>
      <c r="AE45" s="7">
        <f>IF($AH45="","",IF(INDEX('Per Invoice'!AE$2:AE$401,$AH45)="","",INDEX('Per Invoice'!AE$2:AE$401,$AH45)))</f>
        <v/>
      </c>
      <c r="AF45">
        <f>IF($AH45="","",IF(INDEX('Per Invoice'!AF$2:AF$401,$AH45)="","",INDEX('Per Invoice'!AF$2:AF$401,$AH45)))</f>
        <v/>
      </c>
      <c r="AG45" s="7">
        <f>IF($AH45="","",IF(INDEX('Per Invoice'!AG$2:AG$401,$AH45)="","",INDEX('Per Invoice'!AG$2:AG$401,$AH45)))</f>
        <v/>
      </c>
      <c r="AH45" s="16">
        <f>IFERROR(MATCH(Settings!$C$27&amp;"|"&amp;ROWS($AH$2:$AH45),'Per Invoice'!$AI$2:$AI$401,0),"")</f>
        <v/>
      </c>
    </row>
    <row r="46">
      <c r="A46">
        <f>IF($AH46="","",IF(INDEX('Per Invoice'!A$2:A$401,$AH46)="","",INDEX('Per Invoice'!A$2:A$401,$AH46)))</f>
        <v/>
      </c>
      <c r="B46">
        <f>IF($AH46="","",IF(INDEX('Per Invoice'!B$2:B$401,$AH46)="","",INDEX('Per Invoice'!B$2:B$401,$AH46)))</f>
        <v/>
      </c>
      <c r="C46">
        <f>IF($AH46="","",IF(INDEX('Per Invoice'!C$2:C$401,$AH46)="","",INDEX('Per Invoice'!C$2:C$401,$AH46)))</f>
        <v/>
      </c>
      <c r="D46">
        <f>IF($AH46="","",IF(INDEX('Per Invoice'!D$2:D$401,$AH46)="","",INDEX('Per Invoice'!D$2:D$401,$AH46)))</f>
        <v/>
      </c>
      <c r="E46">
        <f>IF($AH46="","",IF(INDEX('Per Invoice'!E$2:E$401,$AH46)="","",INDEX('Per Invoice'!E$2:E$401,$AH46)))</f>
        <v/>
      </c>
      <c r="F46">
        <f>IF($AH46="","",IF(INDEX('Per Invoice'!F$2:F$401,$AH46)="","",INDEX('Per Invoice'!F$2:F$401,$AH46)))</f>
        <v/>
      </c>
      <c r="G46">
        <f>IF($AH46="","",IF(INDEX('Per Invoice'!G$2:G$401,$AH46)="","",INDEX('Per Invoice'!G$2:G$401,$AH46)))</f>
        <v/>
      </c>
      <c r="H46">
        <f>IF($AH46="","",IF(INDEX('Per Invoice'!H$2:H$401,$AH46)="","",INDEX('Per Invoice'!H$2:H$401,$AH46)))</f>
        <v/>
      </c>
      <c r="I46" s="14">
        <f>IF($AH46="","",IF(INDEX('Per Invoice'!I$2:I$401,$AH46)="","",INDEX('Per Invoice'!I$2:I$401,$AH46)))</f>
        <v/>
      </c>
      <c r="J46">
        <f>IF($AH46="","",IF(INDEX('Per Invoice'!J$2:J$401,$AH46)="","",INDEX('Per Invoice'!J$2:J$401,$AH46)))</f>
        <v/>
      </c>
      <c r="K46">
        <f>IF($AH46="","",IF(INDEX('Per Invoice'!K$2:K$401,$AH46)="","",INDEX('Per Invoice'!K$2:K$401,$AH46)))</f>
        <v/>
      </c>
      <c r="L46">
        <f>IF($AH46="","",IF(INDEX('Per Invoice'!L$2:L$401,$AH46)="","",INDEX('Per Invoice'!L$2:L$401,$AH46)))</f>
        <v/>
      </c>
      <c r="M46">
        <f>IF($AH46="","",IF(INDEX('Per Invoice'!M$2:M$401,$AH46)="","",INDEX('Per Invoice'!M$2:M$401,$AH46)))</f>
        <v/>
      </c>
      <c r="N46">
        <f>IF($AH46="","",IF(INDEX('Per Invoice'!N$2:N$401,$AH46)="","",INDEX('Per Invoice'!N$2:N$401,$AH46)))</f>
        <v/>
      </c>
      <c r="O46">
        <f>IF($AH46="","",IF(INDEX('Per Invoice'!O$2:O$401,$AH46)="","",INDEX('Per Invoice'!O$2:O$401,$AH46)))</f>
        <v/>
      </c>
      <c r="P46" s="7">
        <f>IF($AH46="","",IF(INDEX('Per Invoice'!P$2:P$401,$AH46)="","",INDEX('Per Invoice'!P$2:P$401,$AH46)))</f>
        <v/>
      </c>
      <c r="Q46">
        <f>IF($AH46="","",IF(INDEX('Per Invoice'!Q$2:Q$401,$AH46)="","",INDEX('Per Invoice'!Q$2:Q$401,$AH46)))</f>
        <v/>
      </c>
      <c r="R46">
        <f>IF($AH46="","",IF(INDEX('Per Invoice'!R$2:R$401,$AH46)="","",INDEX('Per Invoice'!R$2:R$401,$AH46)))</f>
        <v/>
      </c>
      <c r="S46">
        <f>IF($AH46="","",IF(INDEX('Per Invoice'!S$2:S$401,$AH46)="","",INDEX('Per Invoice'!S$2:S$401,$AH46)))</f>
        <v/>
      </c>
      <c r="T46" s="7">
        <f>IF($AH46="","",IF(INDEX('Per Invoice'!T$2:T$401,$AH46)="","",INDEX('Per Invoice'!T$2:T$401,$AH46)))</f>
        <v/>
      </c>
      <c r="U46" s="7">
        <f>IF($AH46="","",IF(INDEX('Per Invoice'!U$2:U$401,$AH46)="","",INDEX('Per Invoice'!U$2:U$401,$AH46)))</f>
        <v/>
      </c>
      <c r="V46">
        <f>IF($AH46="","",IF(INDEX('Per Invoice'!V$2:V$401,$AH46)="","",INDEX('Per Invoice'!V$2:V$401,$AH46)))</f>
        <v/>
      </c>
      <c r="W46" s="7">
        <f>IF($AH46="","",IF(INDEX('Per Invoice'!W$2:W$401,$AH46)="","",INDEX('Per Invoice'!W$2:W$401,$AH46)))</f>
        <v/>
      </c>
      <c r="X46" s="7">
        <f>IF($AH46="","",IF(INDEX('Per Invoice'!X$2:X$401,$AH46)="","",INDEX('Per Invoice'!X$2:X$401,$AH46)))</f>
        <v/>
      </c>
      <c r="Y46">
        <f>IF($AH46="","",IF(INDEX('Per Invoice'!Y$2:Y$401,$AH46)="","",INDEX('Per Invoice'!Y$2:Y$401,$AH46)))</f>
        <v/>
      </c>
      <c r="Z46" s="7">
        <f>IF($AH46="","",IF(INDEX('Per Invoice'!Z$2:Z$401,$AH46)="","",INDEX('Per Invoice'!Z$2:Z$401,$AH46)))</f>
        <v/>
      </c>
      <c r="AA46" s="7">
        <f>IF($AH46="","",IF(INDEX('Per Invoice'!AA$2:AA$401,$AH46)="","",INDEX('Per Invoice'!AA$2:AA$401,$AH46)))</f>
        <v/>
      </c>
      <c r="AB46" s="7">
        <f>IF($AH46="","",IF(INDEX('Per Invoice'!AB$2:AB$401,$AH46)="","",INDEX('Per Invoice'!AB$2:AB$401,$AH46)))</f>
        <v/>
      </c>
      <c r="AC46" s="7">
        <f>IF($AH46="","",IF(INDEX('Per Invoice'!AC$2:AC$401,$AH46)="","",INDEX('Per Invoice'!AC$2:AC$401,$AH46)))</f>
        <v/>
      </c>
      <c r="AD46" s="7">
        <f>IF($AH46="","",IF(INDEX('Per Invoice'!AD$2:AD$401,$AH46)="","",INDEX('Per Invoice'!AD$2:AD$401,$AH46)))</f>
        <v/>
      </c>
      <c r="AE46" s="7">
        <f>IF($AH46="","",IF(INDEX('Per Invoice'!AE$2:AE$401,$AH46)="","",INDEX('Per Invoice'!AE$2:AE$401,$AH46)))</f>
        <v/>
      </c>
      <c r="AF46">
        <f>IF($AH46="","",IF(INDEX('Per Invoice'!AF$2:AF$401,$AH46)="","",INDEX('Per Invoice'!AF$2:AF$401,$AH46)))</f>
        <v/>
      </c>
      <c r="AG46" s="7">
        <f>IF($AH46="","",IF(INDEX('Per Invoice'!AG$2:AG$401,$AH46)="","",INDEX('Per Invoice'!AG$2:AG$401,$AH46)))</f>
        <v/>
      </c>
      <c r="AH46" s="16">
        <f>IFERROR(MATCH(Settings!$C$27&amp;"|"&amp;ROWS($AH$2:$AH46),'Per Invoice'!$AI$2:$AI$401,0),"")</f>
        <v/>
      </c>
    </row>
    <row r="47">
      <c r="A47">
        <f>IF($AH47="","",IF(INDEX('Per Invoice'!A$2:A$401,$AH47)="","",INDEX('Per Invoice'!A$2:A$401,$AH47)))</f>
        <v/>
      </c>
      <c r="B47">
        <f>IF($AH47="","",IF(INDEX('Per Invoice'!B$2:B$401,$AH47)="","",INDEX('Per Invoice'!B$2:B$401,$AH47)))</f>
        <v/>
      </c>
      <c r="C47">
        <f>IF($AH47="","",IF(INDEX('Per Invoice'!C$2:C$401,$AH47)="","",INDEX('Per Invoice'!C$2:C$401,$AH47)))</f>
        <v/>
      </c>
      <c r="D47">
        <f>IF($AH47="","",IF(INDEX('Per Invoice'!D$2:D$401,$AH47)="","",INDEX('Per Invoice'!D$2:D$401,$AH47)))</f>
        <v/>
      </c>
      <c r="E47">
        <f>IF($AH47="","",IF(INDEX('Per Invoice'!E$2:E$401,$AH47)="","",INDEX('Per Invoice'!E$2:E$401,$AH47)))</f>
        <v/>
      </c>
      <c r="F47">
        <f>IF($AH47="","",IF(INDEX('Per Invoice'!F$2:F$401,$AH47)="","",INDEX('Per Invoice'!F$2:F$401,$AH47)))</f>
        <v/>
      </c>
      <c r="G47">
        <f>IF($AH47="","",IF(INDEX('Per Invoice'!G$2:G$401,$AH47)="","",INDEX('Per Invoice'!G$2:G$401,$AH47)))</f>
        <v/>
      </c>
      <c r="H47">
        <f>IF($AH47="","",IF(INDEX('Per Invoice'!H$2:H$401,$AH47)="","",INDEX('Per Invoice'!H$2:H$401,$AH47)))</f>
        <v/>
      </c>
      <c r="I47" s="14">
        <f>IF($AH47="","",IF(INDEX('Per Invoice'!I$2:I$401,$AH47)="","",INDEX('Per Invoice'!I$2:I$401,$AH47)))</f>
        <v/>
      </c>
      <c r="J47">
        <f>IF($AH47="","",IF(INDEX('Per Invoice'!J$2:J$401,$AH47)="","",INDEX('Per Invoice'!J$2:J$401,$AH47)))</f>
        <v/>
      </c>
      <c r="K47">
        <f>IF($AH47="","",IF(INDEX('Per Invoice'!K$2:K$401,$AH47)="","",INDEX('Per Invoice'!K$2:K$401,$AH47)))</f>
        <v/>
      </c>
      <c r="L47">
        <f>IF($AH47="","",IF(INDEX('Per Invoice'!L$2:L$401,$AH47)="","",INDEX('Per Invoice'!L$2:L$401,$AH47)))</f>
        <v/>
      </c>
      <c r="M47">
        <f>IF($AH47="","",IF(INDEX('Per Invoice'!M$2:M$401,$AH47)="","",INDEX('Per Invoice'!M$2:M$401,$AH47)))</f>
        <v/>
      </c>
      <c r="N47">
        <f>IF($AH47="","",IF(INDEX('Per Invoice'!N$2:N$401,$AH47)="","",INDEX('Per Invoice'!N$2:N$401,$AH47)))</f>
        <v/>
      </c>
      <c r="O47">
        <f>IF($AH47="","",IF(INDEX('Per Invoice'!O$2:O$401,$AH47)="","",INDEX('Per Invoice'!O$2:O$401,$AH47)))</f>
        <v/>
      </c>
      <c r="P47" s="7">
        <f>IF($AH47="","",IF(INDEX('Per Invoice'!P$2:P$401,$AH47)="","",INDEX('Per Invoice'!P$2:P$401,$AH47)))</f>
        <v/>
      </c>
      <c r="Q47">
        <f>IF($AH47="","",IF(INDEX('Per Invoice'!Q$2:Q$401,$AH47)="","",INDEX('Per Invoice'!Q$2:Q$401,$AH47)))</f>
        <v/>
      </c>
      <c r="R47">
        <f>IF($AH47="","",IF(INDEX('Per Invoice'!R$2:R$401,$AH47)="","",INDEX('Per Invoice'!R$2:R$401,$AH47)))</f>
        <v/>
      </c>
      <c r="S47">
        <f>IF($AH47="","",IF(INDEX('Per Invoice'!S$2:S$401,$AH47)="","",INDEX('Per Invoice'!S$2:S$401,$AH47)))</f>
        <v/>
      </c>
      <c r="T47" s="7">
        <f>IF($AH47="","",IF(INDEX('Per Invoice'!T$2:T$401,$AH47)="","",INDEX('Per Invoice'!T$2:T$401,$AH47)))</f>
        <v/>
      </c>
      <c r="U47" s="7">
        <f>IF($AH47="","",IF(INDEX('Per Invoice'!U$2:U$401,$AH47)="","",INDEX('Per Invoice'!U$2:U$401,$AH47)))</f>
        <v/>
      </c>
      <c r="V47">
        <f>IF($AH47="","",IF(INDEX('Per Invoice'!V$2:V$401,$AH47)="","",INDEX('Per Invoice'!V$2:V$401,$AH47)))</f>
        <v/>
      </c>
      <c r="W47" s="7">
        <f>IF($AH47="","",IF(INDEX('Per Invoice'!W$2:W$401,$AH47)="","",INDEX('Per Invoice'!W$2:W$401,$AH47)))</f>
        <v/>
      </c>
      <c r="X47" s="7">
        <f>IF($AH47="","",IF(INDEX('Per Invoice'!X$2:X$401,$AH47)="","",INDEX('Per Invoice'!X$2:X$401,$AH47)))</f>
        <v/>
      </c>
      <c r="Y47">
        <f>IF($AH47="","",IF(INDEX('Per Invoice'!Y$2:Y$401,$AH47)="","",INDEX('Per Invoice'!Y$2:Y$401,$AH47)))</f>
        <v/>
      </c>
      <c r="Z47" s="7">
        <f>IF($AH47="","",IF(INDEX('Per Invoice'!Z$2:Z$401,$AH47)="","",INDEX('Per Invoice'!Z$2:Z$401,$AH47)))</f>
        <v/>
      </c>
      <c r="AA47" s="7">
        <f>IF($AH47="","",IF(INDEX('Per Invoice'!AA$2:AA$401,$AH47)="","",INDEX('Per Invoice'!AA$2:AA$401,$AH47)))</f>
        <v/>
      </c>
      <c r="AB47" s="7">
        <f>IF($AH47="","",IF(INDEX('Per Invoice'!AB$2:AB$401,$AH47)="","",INDEX('Per Invoice'!AB$2:AB$401,$AH47)))</f>
        <v/>
      </c>
      <c r="AC47" s="7">
        <f>IF($AH47="","",IF(INDEX('Per Invoice'!AC$2:AC$401,$AH47)="","",INDEX('Per Invoice'!AC$2:AC$401,$AH47)))</f>
        <v/>
      </c>
      <c r="AD47" s="7">
        <f>IF($AH47="","",IF(INDEX('Per Invoice'!AD$2:AD$401,$AH47)="","",INDEX('Per Invoice'!AD$2:AD$401,$AH47)))</f>
        <v/>
      </c>
      <c r="AE47" s="7">
        <f>IF($AH47="","",IF(INDEX('Per Invoice'!AE$2:AE$401,$AH47)="","",INDEX('Per Invoice'!AE$2:AE$401,$AH47)))</f>
        <v/>
      </c>
      <c r="AF47">
        <f>IF($AH47="","",IF(INDEX('Per Invoice'!AF$2:AF$401,$AH47)="","",INDEX('Per Invoice'!AF$2:AF$401,$AH47)))</f>
        <v/>
      </c>
      <c r="AG47" s="7">
        <f>IF($AH47="","",IF(INDEX('Per Invoice'!AG$2:AG$401,$AH47)="","",INDEX('Per Invoice'!AG$2:AG$401,$AH47)))</f>
        <v/>
      </c>
      <c r="AH47" s="16">
        <f>IFERROR(MATCH(Settings!$C$27&amp;"|"&amp;ROWS($AH$2:$AH47),'Per Invoice'!$AI$2:$AI$401,0),"")</f>
        <v/>
      </c>
    </row>
    <row r="48">
      <c r="A48">
        <f>IF($AH48="","",IF(INDEX('Per Invoice'!A$2:A$401,$AH48)="","",INDEX('Per Invoice'!A$2:A$401,$AH48)))</f>
        <v/>
      </c>
      <c r="B48">
        <f>IF($AH48="","",IF(INDEX('Per Invoice'!B$2:B$401,$AH48)="","",INDEX('Per Invoice'!B$2:B$401,$AH48)))</f>
        <v/>
      </c>
      <c r="C48">
        <f>IF($AH48="","",IF(INDEX('Per Invoice'!C$2:C$401,$AH48)="","",INDEX('Per Invoice'!C$2:C$401,$AH48)))</f>
        <v/>
      </c>
      <c r="D48">
        <f>IF($AH48="","",IF(INDEX('Per Invoice'!D$2:D$401,$AH48)="","",INDEX('Per Invoice'!D$2:D$401,$AH48)))</f>
        <v/>
      </c>
      <c r="E48">
        <f>IF($AH48="","",IF(INDEX('Per Invoice'!E$2:E$401,$AH48)="","",INDEX('Per Invoice'!E$2:E$401,$AH48)))</f>
        <v/>
      </c>
      <c r="F48">
        <f>IF($AH48="","",IF(INDEX('Per Invoice'!F$2:F$401,$AH48)="","",INDEX('Per Invoice'!F$2:F$401,$AH48)))</f>
        <v/>
      </c>
      <c r="G48">
        <f>IF($AH48="","",IF(INDEX('Per Invoice'!G$2:G$401,$AH48)="","",INDEX('Per Invoice'!G$2:G$401,$AH48)))</f>
        <v/>
      </c>
      <c r="H48">
        <f>IF($AH48="","",IF(INDEX('Per Invoice'!H$2:H$401,$AH48)="","",INDEX('Per Invoice'!H$2:H$401,$AH48)))</f>
        <v/>
      </c>
      <c r="I48" s="14">
        <f>IF($AH48="","",IF(INDEX('Per Invoice'!I$2:I$401,$AH48)="","",INDEX('Per Invoice'!I$2:I$401,$AH48)))</f>
        <v/>
      </c>
      <c r="J48">
        <f>IF($AH48="","",IF(INDEX('Per Invoice'!J$2:J$401,$AH48)="","",INDEX('Per Invoice'!J$2:J$401,$AH48)))</f>
        <v/>
      </c>
      <c r="K48">
        <f>IF($AH48="","",IF(INDEX('Per Invoice'!K$2:K$401,$AH48)="","",INDEX('Per Invoice'!K$2:K$401,$AH48)))</f>
        <v/>
      </c>
      <c r="L48">
        <f>IF($AH48="","",IF(INDEX('Per Invoice'!L$2:L$401,$AH48)="","",INDEX('Per Invoice'!L$2:L$401,$AH48)))</f>
        <v/>
      </c>
      <c r="M48">
        <f>IF($AH48="","",IF(INDEX('Per Invoice'!M$2:M$401,$AH48)="","",INDEX('Per Invoice'!M$2:M$401,$AH48)))</f>
        <v/>
      </c>
      <c r="N48">
        <f>IF($AH48="","",IF(INDEX('Per Invoice'!N$2:N$401,$AH48)="","",INDEX('Per Invoice'!N$2:N$401,$AH48)))</f>
        <v/>
      </c>
      <c r="O48">
        <f>IF($AH48="","",IF(INDEX('Per Invoice'!O$2:O$401,$AH48)="","",INDEX('Per Invoice'!O$2:O$401,$AH48)))</f>
        <v/>
      </c>
      <c r="P48" s="7">
        <f>IF($AH48="","",IF(INDEX('Per Invoice'!P$2:P$401,$AH48)="","",INDEX('Per Invoice'!P$2:P$401,$AH48)))</f>
        <v/>
      </c>
      <c r="Q48">
        <f>IF($AH48="","",IF(INDEX('Per Invoice'!Q$2:Q$401,$AH48)="","",INDEX('Per Invoice'!Q$2:Q$401,$AH48)))</f>
        <v/>
      </c>
      <c r="R48">
        <f>IF($AH48="","",IF(INDEX('Per Invoice'!R$2:R$401,$AH48)="","",INDEX('Per Invoice'!R$2:R$401,$AH48)))</f>
        <v/>
      </c>
      <c r="S48">
        <f>IF($AH48="","",IF(INDEX('Per Invoice'!S$2:S$401,$AH48)="","",INDEX('Per Invoice'!S$2:S$401,$AH48)))</f>
        <v/>
      </c>
      <c r="T48" s="7">
        <f>IF($AH48="","",IF(INDEX('Per Invoice'!T$2:T$401,$AH48)="","",INDEX('Per Invoice'!T$2:T$401,$AH48)))</f>
        <v/>
      </c>
      <c r="U48" s="7">
        <f>IF($AH48="","",IF(INDEX('Per Invoice'!U$2:U$401,$AH48)="","",INDEX('Per Invoice'!U$2:U$401,$AH48)))</f>
        <v/>
      </c>
      <c r="V48">
        <f>IF($AH48="","",IF(INDEX('Per Invoice'!V$2:V$401,$AH48)="","",INDEX('Per Invoice'!V$2:V$401,$AH48)))</f>
        <v/>
      </c>
      <c r="W48" s="7">
        <f>IF($AH48="","",IF(INDEX('Per Invoice'!W$2:W$401,$AH48)="","",INDEX('Per Invoice'!W$2:W$401,$AH48)))</f>
        <v/>
      </c>
      <c r="X48" s="7">
        <f>IF($AH48="","",IF(INDEX('Per Invoice'!X$2:X$401,$AH48)="","",INDEX('Per Invoice'!X$2:X$401,$AH48)))</f>
        <v/>
      </c>
      <c r="Y48">
        <f>IF($AH48="","",IF(INDEX('Per Invoice'!Y$2:Y$401,$AH48)="","",INDEX('Per Invoice'!Y$2:Y$401,$AH48)))</f>
        <v/>
      </c>
      <c r="Z48" s="7">
        <f>IF($AH48="","",IF(INDEX('Per Invoice'!Z$2:Z$401,$AH48)="","",INDEX('Per Invoice'!Z$2:Z$401,$AH48)))</f>
        <v/>
      </c>
      <c r="AA48" s="7">
        <f>IF($AH48="","",IF(INDEX('Per Invoice'!AA$2:AA$401,$AH48)="","",INDEX('Per Invoice'!AA$2:AA$401,$AH48)))</f>
        <v/>
      </c>
      <c r="AB48" s="7">
        <f>IF($AH48="","",IF(INDEX('Per Invoice'!AB$2:AB$401,$AH48)="","",INDEX('Per Invoice'!AB$2:AB$401,$AH48)))</f>
        <v/>
      </c>
      <c r="AC48" s="7">
        <f>IF($AH48="","",IF(INDEX('Per Invoice'!AC$2:AC$401,$AH48)="","",INDEX('Per Invoice'!AC$2:AC$401,$AH48)))</f>
        <v/>
      </c>
      <c r="AD48" s="7">
        <f>IF($AH48="","",IF(INDEX('Per Invoice'!AD$2:AD$401,$AH48)="","",INDEX('Per Invoice'!AD$2:AD$401,$AH48)))</f>
        <v/>
      </c>
      <c r="AE48" s="7">
        <f>IF($AH48="","",IF(INDEX('Per Invoice'!AE$2:AE$401,$AH48)="","",INDEX('Per Invoice'!AE$2:AE$401,$AH48)))</f>
        <v/>
      </c>
      <c r="AF48">
        <f>IF($AH48="","",IF(INDEX('Per Invoice'!AF$2:AF$401,$AH48)="","",INDEX('Per Invoice'!AF$2:AF$401,$AH48)))</f>
        <v/>
      </c>
      <c r="AG48" s="7">
        <f>IF($AH48="","",IF(INDEX('Per Invoice'!AG$2:AG$401,$AH48)="","",INDEX('Per Invoice'!AG$2:AG$401,$AH48)))</f>
        <v/>
      </c>
      <c r="AH48" s="16">
        <f>IFERROR(MATCH(Settings!$C$27&amp;"|"&amp;ROWS($AH$2:$AH48),'Per Invoice'!$AI$2:$AI$401,0),"")</f>
        <v/>
      </c>
    </row>
    <row r="49">
      <c r="A49">
        <f>IF($AH49="","",IF(INDEX('Per Invoice'!A$2:A$401,$AH49)="","",INDEX('Per Invoice'!A$2:A$401,$AH49)))</f>
        <v/>
      </c>
      <c r="B49">
        <f>IF($AH49="","",IF(INDEX('Per Invoice'!B$2:B$401,$AH49)="","",INDEX('Per Invoice'!B$2:B$401,$AH49)))</f>
        <v/>
      </c>
      <c r="C49">
        <f>IF($AH49="","",IF(INDEX('Per Invoice'!C$2:C$401,$AH49)="","",INDEX('Per Invoice'!C$2:C$401,$AH49)))</f>
        <v/>
      </c>
      <c r="D49">
        <f>IF($AH49="","",IF(INDEX('Per Invoice'!D$2:D$401,$AH49)="","",INDEX('Per Invoice'!D$2:D$401,$AH49)))</f>
        <v/>
      </c>
      <c r="E49">
        <f>IF($AH49="","",IF(INDEX('Per Invoice'!E$2:E$401,$AH49)="","",INDEX('Per Invoice'!E$2:E$401,$AH49)))</f>
        <v/>
      </c>
      <c r="F49">
        <f>IF($AH49="","",IF(INDEX('Per Invoice'!F$2:F$401,$AH49)="","",INDEX('Per Invoice'!F$2:F$401,$AH49)))</f>
        <v/>
      </c>
      <c r="G49">
        <f>IF($AH49="","",IF(INDEX('Per Invoice'!G$2:G$401,$AH49)="","",INDEX('Per Invoice'!G$2:G$401,$AH49)))</f>
        <v/>
      </c>
      <c r="H49">
        <f>IF($AH49="","",IF(INDEX('Per Invoice'!H$2:H$401,$AH49)="","",INDEX('Per Invoice'!H$2:H$401,$AH49)))</f>
        <v/>
      </c>
      <c r="I49" s="14">
        <f>IF($AH49="","",IF(INDEX('Per Invoice'!I$2:I$401,$AH49)="","",INDEX('Per Invoice'!I$2:I$401,$AH49)))</f>
        <v/>
      </c>
      <c r="J49">
        <f>IF($AH49="","",IF(INDEX('Per Invoice'!J$2:J$401,$AH49)="","",INDEX('Per Invoice'!J$2:J$401,$AH49)))</f>
        <v/>
      </c>
      <c r="K49">
        <f>IF($AH49="","",IF(INDEX('Per Invoice'!K$2:K$401,$AH49)="","",INDEX('Per Invoice'!K$2:K$401,$AH49)))</f>
        <v/>
      </c>
      <c r="L49">
        <f>IF($AH49="","",IF(INDEX('Per Invoice'!L$2:L$401,$AH49)="","",INDEX('Per Invoice'!L$2:L$401,$AH49)))</f>
        <v/>
      </c>
      <c r="M49">
        <f>IF($AH49="","",IF(INDEX('Per Invoice'!M$2:M$401,$AH49)="","",INDEX('Per Invoice'!M$2:M$401,$AH49)))</f>
        <v/>
      </c>
      <c r="N49">
        <f>IF($AH49="","",IF(INDEX('Per Invoice'!N$2:N$401,$AH49)="","",INDEX('Per Invoice'!N$2:N$401,$AH49)))</f>
        <v/>
      </c>
      <c r="O49">
        <f>IF($AH49="","",IF(INDEX('Per Invoice'!O$2:O$401,$AH49)="","",INDEX('Per Invoice'!O$2:O$401,$AH49)))</f>
        <v/>
      </c>
      <c r="P49" s="7">
        <f>IF($AH49="","",IF(INDEX('Per Invoice'!P$2:P$401,$AH49)="","",INDEX('Per Invoice'!P$2:P$401,$AH49)))</f>
        <v/>
      </c>
      <c r="Q49">
        <f>IF($AH49="","",IF(INDEX('Per Invoice'!Q$2:Q$401,$AH49)="","",INDEX('Per Invoice'!Q$2:Q$401,$AH49)))</f>
        <v/>
      </c>
      <c r="R49">
        <f>IF($AH49="","",IF(INDEX('Per Invoice'!R$2:R$401,$AH49)="","",INDEX('Per Invoice'!R$2:R$401,$AH49)))</f>
        <v/>
      </c>
      <c r="S49">
        <f>IF($AH49="","",IF(INDEX('Per Invoice'!S$2:S$401,$AH49)="","",INDEX('Per Invoice'!S$2:S$401,$AH49)))</f>
        <v/>
      </c>
      <c r="T49" s="7">
        <f>IF($AH49="","",IF(INDEX('Per Invoice'!T$2:T$401,$AH49)="","",INDEX('Per Invoice'!T$2:T$401,$AH49)))</f>
        <v/>
      </c>
      <c r="U49" s="7">
        <f>IF($AH49="","",IF(INDEX('Per Invoice'!U$2:U$401,$AH49)="","",INDEX('Per Invoice'!U$2:U$401,$AH49)))</f>
        <v/>
      </c>
      <c r="V49">
        <f>IF($AH49="","",IF(INDEX('Per Invoice'!V$2:V$401,$AH49)="","",INDEX('Per Invoice'!V$2:V$401,$AH49)))</f>
        <v/>
      </c>
      <c r="W49" s="7">
        <f>IF($AH49="","",IF(INDEX('Per Invoice'!W$2:W$401,$AH49)="","",INDEX('Per Invoice'!W$2:W$401,$AH49)))</f>
        <v/>
      </c>
      <c r="X49" s="7">
        <f>IF($AH49="","",IF(INDEX('Per Invoice'!X$2:X$401,$AH49)="","",INDEX('Per Invoice'!X$2:X$401,$AH49)))</f>
        <v/>
      </c>
      <c r="Y49">
        <f>IF($AH49="","",IF(INDEX('Per Invoice'!Y$2:Y$401,$AH49)="","",INDEX('Per Invoice'!Y$2:Y$401,$AH49)))</f>
        <v/>
      </c>
      <c r="Z49" s="7">
        <f>IF($AH49="","",IF(INDEX('Per Invoice'!Z$2:Z$401,$AH49)="","",INDEX('Per Invoice'!Z$2:Z$401,$AH49)))</f>
        <v/>
      </c>
      <c r="AA49" s="7">
        <f>IF($AH49="","",IF(INDEX('Per Invoice'!AA$2:AA$401,$AH49)="","",INDEX('Per Invoice'!AA$2:AA$401,$AH49)))</f>
        <v/>
      </c>
      <c r="AB49" s="7">
        <f>IF($AH49="","",IF(INDEX('Per Invoice'!AB$2:AB$401,$AH49)="","",INDEX('Per Invoice'!AB$2:AB$401,$AH49)))</f>
        <v/>
      </c>
      <c r="AC49" s="7">
        <f>IF($AH49="","",IF(INDEX('Per Invoice'!AC$2:AC$401,$AH49)="","",INDEX('Per Invoice'!AC$2:AC$401,$AH49)))</f>
        <v/>
      </c>
      <c r="AD49" s="7">
        <f>IF($AH49="","",IF(INDEX('Per Invoice'!AD$2:AD$401,$AH49)="","",INDEX('Per Invoice'!AD$2:AD$401,$AH49)))</f>
        <v/>
      </c>
      <c r="AE49" s="7">
        <f>IF($AH49="","",IF(INDEX('Per Invoice'!AE$2:AE$401,$AH49)="","",INDEX('Per Invoice'!AE$2:AE$401,$AH49)))</f>
        <v/>
      </c>
      <c r="AF49">
        <f>IF($AH49="","",IF(INDEX('Per Invoice'!AF$2:AF$401,$AH49)="","",INDEX('Per Invoice'!AF$2:AF$401,$AH49)))</f>
        <v/>
      </c>
      <c r="AG49" s="7">
        <f>IF($AH49="","",IF(INDEX('Per Invoice'!AG$2:AG$401,$AH49)="","",INDEX('Per Invoice'!AG$2:AG$401,$AH49)))</f>
        <v/>
      </c>
      <c r="AH49" s="16">
        <f>IFERROR(MATCH(Settings!$C$27&amp;"|"&amp;ROWS($AH$2:$AH49),'Per Invoice'!$AI$2:$AI$401,0),"")</f>
        <v/>
      </c>
    </row>
    <row r="50">
      <c r="A50">
        <f>IF($AH50="","",IF(INDEX('Per Invoice'!A$2:A$401,$AH50)="","",INDEX('Per Invoice'!A$2:A$401,$AH50)))</f>
        <v/>
      </c>
      <c r="B50">
        <f>IF($AH50="","",IF(INDEX('Per Invoice'!B$2:B$401,$AH50)="","",INDEX('Per Invoice'!B$2:B$401,$AH50)))</f>
        <v/>
      </c>
      <c r="C50">
        <f>IF($AH50="","",IF(INDEX('Per Invoice'!C$2:C$401,$AH50)="","",INDEX('Per Invoice'!C$2:C$401,$AH50)))</f>
        <v/>
      </c>
      <c r="D50">
        <f>IF($AH50="","",IF(INDEX('Per Invoice'!D$2:D$401,$AH50)="","",INDEX('Per Invoice'!D$2:D$401,$AH50)))</f>
        <v/>
      </c>
      <c r="E50">
        <f>IF($AH50="","",IF(INDEX('Per Invoice'!E$2:E$401,$AH50)="","",INDEX('Per Invoice'!E$2:E$401,$AH50)))</f>
        <v/>
      </c>
      <c r="F50">
        <f>IF($AH50="","",IF(INDEX('Per Invoice'!F$2:F$401,$AH50)="","",INDEX('Per Invoice'!F$2:F$401,$AH50)))</f>
        <v/>
      </c>
      <c r="G50">
        <f>IF($AH50="","",IF(INDEX('Per Invoice'!G$2:G$401,$AH50)="","",INDEX('Per Invoice'!G$2:G$401,$AH50)))</f>
        <v/>
      </c>
      <c r="H50">
        <f>IF($AH50="","",IF(INDEX('Per Invoice'!H$2:H$401,$AH50)="","",INDEX('Per Invoice'!H$2:H$401,$AH50)))</f>
        <v/>
      </c>
      <c r="I50" s="14">
        <f>IF($AH50="","",IF(INDEX('Per Invoice'!I$2:I$401,$AH50)="","",INDEX('Per Invoice'!I$2:I$401,$AH50)))</f>
        <v/>
      </c>
      <c r="J50">
        <f>IF($AH50="","",IF(INDEX('Per Invoice'!J$2:J$401,$AH50)="","",INDEX('Per Invoice'!J$2:J$401,$AH50)))</f>
        <v/>
      </c>
      <c r="K50">
        <f>IF($AH50="","",IF(INDEX('Per Invoice'!K$2:K$401,$AH50)="","",INDEX('Per Invoice'!K$2:K$401,$AH50)))</f>
        <v/>
      </c>
      <c r="L50">
        <f>IF($AH50="","",IF(INDEX('Per Invoice'!L$2:L$401,$AH50)="","",INDEX('Per Invoice'!L$2:L$401,$AH50)))</f>
        <v/>
      </c>
      <c r="M50">
        <f>IF($AH50="","",IF(INDEX('Per Invoice'!M$2:M$401,$AH50)="","",INDEX('Per Invoice'!M$2:M$401,$AH50)))</f>
        <v/>
      </c>
      <c r="N50">
        <f>IF($AH50="","",IF(INDEX('Per Invoice'!N$2:N$401,$AH50)="","",INDEX('Per Invoice'!N$2:N$401,$AH50)))</f>
        <v/>
      </c>
      <c r="O50">
        <f>IF($AH50="","",IF(INDEX('Per Invoice'!O$2:O$401,$AH50)="","",INDEX('Per Invoice'!O$2:O$401,$AH50)))</f>
        <v/>
      </c>
      <c r="P50" s="7">
        <f>IF($AH50="","",IF(INDEX('Per Invoice'!P$2:P$401,$AH50)="","",INDEX('Per Invoice'!P$2:P$401,$AH50)))</f>
        <v/>
      </c>
      <c r="Q50">
        <f>IF($AH50="","",IF(INDEX('Per Invoice'!Q$2:Q$401,$AH50)="","",INDEX('Per Invoice'!Q$2:Q$401,$AH50)))</f>
        <v/>
      </c>
      <c r="R50">
        <f>IF($AH50="","",IF(INDEX('Per Invoice'!R$2:R$401,$AH50)="","",INDEX('Per Invoice'!R$2:R$401,$AH50)))</f>
        <v/>
      </c>
      <c r="S50">
        <f>IF($AH50="","",IF(INDEX('Per Invoice'!S$2:S$401,$AH50)="","",INDEX('Per Invoice'!S$2:S$401,$AH50)))</f>
        <v/>
      </c>
      <c r="T50" s="7">
        <f>IF($AH50="","",IF(INDEX('Per Invoice'!T$2:T$401,$AH50)="","",INDEX('Per Invoice'!T$2:T$401,$AH50)))</f>
        <v/>
      </c>
      <c r="U50" s="7">
        <f>IF($AH50="","",IF(INDEX('Per Invoice'!U$2:U$401,$AH50)="","",INDEX('Per Invoice'!U$2:U$401,$AH50)))</f>
        <v/>
      </c>
      <c r="V50">
        <f>IF($AH50="","",IF(INDEX('Per Invoice'!V$2:V$401,$AH50)="","",INDEX('Per Invoice'!V$2:V$401,$AH50)))</f>
        <v/>
      </c>
      <c r="W50" s="7">
        <f>IF($AH50="","",IF(INDEX('Per Invoice'!W$2:W$401,$AH50)="","",INDEX('Per Invoice'!W$2:W$401,$AH50)))</f>
        <v/>
      </c>
      <c r="X50" s="7">
        <f>IF($AH50="","",IF(INDEX('Per Invoice'!X$2:X$401,$AH50)="","",INDEX('Per Invoice'!X$2:X$401,$AH50)))</f>
        <v/>
      </c>
      <c r="Y50">
        <f>IF($AH50="","",IF(INDEX('Per Invoice'!Y$2:Y$401,$AH50)="","",INDEX('Per Invoice'!Y$2:Y$401,$AH50)))</f>
        <v/>
      </c>
      <c r="Z50" s="7">
        <f>IF($AH50="","",IF(INDEX('Per Invoice'!Z$2:Z$401,$AH50)="","",INDEX('Per Invoice'!Z$2:Z$401,$AH50)))</f>
        <v/>
      </c>
      <c r="AA50" s="7">
        <f>IF($AH50="","",IF(INDEX('Per Invoice'!AA$2:AA$401,$AH50)="","",INDEX('Per Invoice'!AA$2:AA$401,$AH50)))</f>
        <v/>
      </c>
      <c r="AB50" s="7">
        <f>IF($AH50="","",IF(INDEX('Per Invoice'!AB$2:AB$401,$AH50)="","",INDEX('Per Invoice'!AB$2:AB$401,$AH50)))</f>
        <v/>
      </c>
      <c r="AC50" s="7">
        <f>IF($AH50="","",IF(INDEX('Per Invoice'!AC$2:AC$401,$AH50)="","",INDEX('Per Invoice'!AC$2:AC$401,$AH50)))</f>
        <v/>
      </c>
      <c r="AD50" s="7">
        <f>IF($AH50="","",IF(INDEX('Per Invoice'!AD$2:AD$401,$AH50)="","",INDEX('Per Invoice'!AD$2:AD$401,$AH50)))</f>
        <v/>
      </c>
      <c r="AE50" s="7">
        <f>IF($AH50="","",IF(INDEX('Per Invoice'!AE$2:AE$401,$AH50)="","",INDEX('Per Invoice'!AE$2:AE$401,$AH50)))</f>
        <v/>
      </c>
      <c r="AF50">
        <f>IF($AH50="","",IF(INDEX('Per Invoice'!AF$2:AF$401,$AH50)="","",INDEX('Per Invoice'!AF$2:AF$401,$AH50)))</f>
        <v/>
      </c>
      <c r="AG50" s="7">
        <f>IF($AH50="","",IF(INDEX('Per Invoice'!AG$2:AG$401,$AH50)="","",INDEX('Per Invoice'!AG$2:AG$401,$AH50)))</f>
        <v/>
      </c>
      <c r="AH50" s="16">
        <f>IFERROR(MATCH(Settings!$C$27&amp;"|"&amp;ROWS($AH$2:$AH50),'Per Invoice'!$AI$2:$AI$401,0),"")</f>
        <v/>
      </c>
    </row>
    <row r="51">
      <c r="A51">
        <f>IF($AH51="","",IF(INDEX('Per Invoice'!A$2:A$401,$AH51)="","",INDEX('Per Invoice'!A$2:A$401,$AH51)))</f>
        <v/>
      </c>
      <c r="B51">
        <f>IF($AH51="","",IF(INDEX('Per Invoice'!B$2:B$401,$AH51)="","",INDEX('Per Invoice'!B$2:B$401,$AH51)))</f>
        <v/>
      </c>
      <c r="C51">
        <f>IF($AH51="","",IF(INDEX('Per Invoice'!C$2:C$401,$AH51)="","",INDEX('Per Invoice'!C$2:C$401,$AH51)))</f>
        <v/>
      </c>
      <c r="D51">
        <f>IF($AH51="","",IF(INDEX('Per Invoice'!D$2:D$401,$AH51)="","",INDEX('Per Invoice'!D$2:D$401,$AH51)))</f>
        <v/>
      </c>
      <c r="E51">
        <f>IF($AH51="","",IF(INDEX('Per Invoice'!E$2:E$401,$AH51)="","",INDEX('Per Invoice'!E$2:E$401,$AH51)))</f>
        <v/>
      </c>
      <c r="F51">
        <f>IF($AH51="","",IF(INDEX('Per Invoice'!F$2:F$401,$AH51)="","",INDEX('Per Invoice'!F$2:F$401,$AH51)))</f>
        <v/>
      </c>
      <c r="G51">
        <f>IF($AH51="","",IF(INDEX('Per Invoice'!G$2:G$401,$AH51)="","",INDEX('Per Invoice'!G$2:G$401,$AH51)))</f>
        <v/>
      </c>
      <c r="H51">
        <f>IF($AH51="","",IF(INDEX('Per Invoice'!H$2:H$401,$AH51)="","",INDEX('Per Invoice'!H$2:H$401,$AH51)))</f>
        <v/>
      </c>
      <c r="I51" s="14">
        <f>IF($AH51="","",IF(INDEX('Per Invoice'!I$2:I$401,$AH51)="","",INDEX('Per Invoice'!I$2:I$401,$AH51)))</f>
        <v/>
      </c>
      <c r="J51">
        <f>IF($AH51="","",IF(INDEX('Per Invoice'!J$2:J$401,$AH51)="","",INDEX('Per Invoice'!J$2:J$401,$AH51)))</f>
        <v/>
      </c>
      <c r="K51">
        <f>IF($AH51="","",IF(INDEX('Per Invoice'!K$2:K$401,$AH51)="","",INDEX('Per Invoice'!K$2:K$401,$AH51)))</f>
        <v/>
      </c>
      <c r="L51">
        <f>IF($AH51="","",IF(INDEX('Per Invoice'!L$2:L$401,$AH51)="","",INDEX('Per Invoice'!L$2:L$401,$AH51)))</f>
        <v/>
      </c>
      <c r="M51">
        <f>IF($AH51="","",IF(INDEX('Per Invoice'!M$2:M$401,$AH51)="","",INDEX('Per Invoice'!M$2:M$401,$AH51)))</f>
        <v/>
      </c>
      <c r="N51">
        <f>IF($AH51="","",IF(INDEX('Per Invoice'!N$2:N$401,$AH51)="","",INDEX('Per Invoice'!N$2:N$401,$AH51)))</f>
        <v/>
      </c>
      <c r="O51">
        <f>IF($AH51="","",IF(INDEX('Per Invoice'!O$2:O$401,$AH51)="","",INDEX('Per Invoice'!O$2:O$401,$AH51)))</f>
        <v/>
      </c>
      <c r="P51" s="7">
        <f>IF($AH51="","",IF(INDEX('Per Invoice'!P$2:P$401,$AH51)="","",INDEX('Per Invoice'!P$2:P$401,$AH51)))</f>
        <v/>
      </c>
      <c r="Q51">
        <f>IF($AH51="","",IF(INDEX('Per Invoice'!Q$2:Q$401,$AH51)="","",INDEX('Per Invoice'!Q$2:Q$401,$AH51)))</f>
        <v/>
      </c>
      <c r="R51">
        <f>IF($AH51="","",IF(INDEX('Per Invoice'!R$2:R$401,$AH51)="","",INDEX('Per Invoice'!R$2:R$401,$AH51)))</f>
        <v/>
      </c>
      <c r="S51">
        <f>IF($AH51="","",IF(INDEX('Per Invoice'!S$2:S$401,$AH51)="","",INDEX('Per Invoice'!S$2:S$401,$AH51)))</f>
        <v/>
      </c>
      <c r="T51" s="7">
        <f>IF($AH51="","",IF(INDEX('Per Invoice'!T$2:T$401,$AH51)="","",INDEX('Per Invoice'!T$2:T$401,$AH51)))</f>
        <v/>
      </c>
      <c r="U51" s="7">
        <f>IF($AH51="","",IF(INDEX('Per Invoice'!U$2:U$401,$AH51)="","",INDEX('Per Invoice'!U$2:U$401,$AH51)))</f>
        <v/>
      </c>
      <c r="V51">
        <f>IF($AH51="","",IF(INDEX('Per Invoice'!V$2:V$401,$AH51)="","",INDEX('Per Invoice'!V$2:V$401,$AH51)))</f>
        <v/>
      </c>
      <c r="W51" s="7">
        <f>IF($AH51="","",IF(INDEX('Per Invoice'!W$2:W$401,$AH51)="","",INDEX('Per Invoice'!W$2:W$401,$AH51)))</f>
        <v/>
      </c>
      <c r="X51" s="7">
        <f>IF($AH51="","",IF(INDEX('Per Invoice'!X$2:X$401,$AH51)="","",INDEX('Per Invoice'!X$2:X$401,$AH51)))</f>
        <v/>
      </c>
      <c r="Y51">
        <f>IF($AH51="","",IF(INDEX('Per Invoice'!Y$2:Y$401,$AH51)="","",INDEX('Per Invoice'!Y$2:Y$401,$AH51)))</f>
        <v/>
      </c>
      <c r="Z51" s="7">
        <f>IF($AH51="","",IF(INDEX('Per Invoice'!Z$2:Z$401,$AH51)="","",INDEX('Per Invoice'!Z$2:Z$401,$AH51)))</f>
        <v/>
      </c>
      <c r="AA51" s="7">
        <f>IF($AH51="","",IF(INDEX('Per Invoice'!AA$2:AA$401,$AH51)="","",INDEX('Per Invoice'!AA$2:AA$401,$AH51)))</f>
        <v/>
      </c>
      <c r="AB51" s="7">
        <f>IF($AH51="","",IF(INDEX('Per Invoice'!AB$2:AB$401,$AH51)="","",INDEX('Per Invoice'!AB$2:AB$401,$AH51)))</f>
        <v/>
      </c>
      <c r="AC51" s="7">
        <f>IF($AH51="","",IF(INDEX('Per Invoice'!AC$2:AC$401,$AH51)="","",INDEX('Per Invoice'!AC$2:AC$401,$AH51)))</f>
        <v/>
      </c>
      <c r="AD51" s="7">
        <f>IF($AH51="","",IF(INDEX('Per Invoice'!AD$2:AD$401,$AH51)="","",INDEX('Per Invoice'!AD$2:AD$401,$AH51)))</f>
        <v/>
      </c>
      <c r="AE51" s="7">
        <f>IF($AH51="","",IF(INDEX('Per Invoice'!AE$2:AE$401,$AH51)="","",INDEX('Per Invoice'!AE$2:AE$401,$AH51)))</f>
        <v/>
      </c>
      <c r="AF51">
        <f>IF($AH51="","",IF(INDEX('Per Invoice'!AF$2:AF$401,$AH51)="","",INDEX('Per Invoice'!AF$2:AF$401,$AH51)))</f>
        <v/>
      </c>
      <c r="AG51" s="7">
        <f>IF($AH51="","",IF(INDEX('Per Invoice'!AG$2:AG$401,$AH51)="","",INDEX('Per Invoice'!AG$2:AG$401,$AH51)))</f>
        <v/>
      </c>
      <c r="AH51" s="16">
        <f>IFERROR(MATCH(Settings!$C$27&amp;"|"&amp;ROWS($AH$2:$AH51),'Per Invoice'!$AI$2:$AI$401,0),"")</f>
        <v/>
      </c>
    </row>
    <row r="52">
      <c r="A52">
        <f>IF($AH52="","",IF(INDEX('Per Invoice'!A$2:A$401,$AH52)="","",INDEX('Per Invoice'!A$2:A$401,$AH52)))</f>
        <v/>
      </c>
      <c r="B52">
        <f>IF($AH52="","",IF(INDEX('Per Invoice'!B$2:B$401,$AH52)="","",INDEX('Per Invoice'!B$2:B$401,$AH52)))</f>
        <v/>
      </c>
      <c r="C52">
        <f>IF($AH52="","",IF(INDEX('Per Invoice'!C$2:C$401,$AH52)="","",INDEX('Per Invoice'!C$2:C$401,$AH52)))</f>
        <v/>
      </c>
      <c r="D52">
        <f>IF($AH52="","",IF(INDEX('Per Invoice'!D$2:D$401,$AH52)="","",INDEX('Per Invoice'!D$2:D$401,$AH52)))</f>
        <v/>
      </c>
      <c r="E52">
        <f>IF($AH52="","",IF(INDEX('Per Invoice'!E$2:E$401,$AH52)="","",INDEX('Per Invoice'!E$2:E$401,$AH52)))</f>
        <v/>
      </c>
      <c r="F52">
        <f>IF($AH52="","",IF(INDEX('Per Invoice'!F$2:F$401,$AH52)="","",INDEX('Per Invoice'!F$2:F$401,$AH52)))</f>
        <v/>
      </c>
      <c r="G52">
        <f>IF($AH52="","",IF(INDEX('Per Invoice'!G$2:G$401,$AH52)="","",INDEX('Per Invoice'!G$2:G$401,$AH52)))</f>
        <v/>
      </c>
      <c r="H52">
        <f>IF($AH52="","",IF(INDEX('Per Invoice'!H$2:H$401,$AH52)="","",INDEX('Per Invoice'!H$2:H$401,$AH52)))</f>
        <v/>
      </c>
      <c r="I52" s="14">
        <f>IF($AH52="","",IF(INDEX('Per Invoice'!I$2:I$401,$AH52)="","",INDEX('Per Invoice'!I$2:I$401,$AH52)))</f>
        <v/>
      </c>
      <c r="J52">
        <f>IF($AH52="","",IF(INDEX('Per Invoice'!J$2:J$401,$AH52)="","",INDEX('Per Invoice'!J$2:J$401,$AH52)))</f>
        <v/>
      </c>
      <c r="K52">
        <f>IF($AH52="","",IF(INDEX('Per Invoice'!K$2:K$401,$AH52)="","",INDEX('Per Invoice'!K$2:K$401,$AH52)))</f>
        <v/>
      </c>
      <c r="L52">
        <f>IF($AH52="","",IF(INDEX('Per Invoice'!L$2:L$401,$AH52)="","",INDEX('Per Invoice'!L$2:L$401,$AH52)))</f>
        <v/>
      </c>
      <c r="M52">
        <f>IF($AH52="","",IF(INDEX('Per Invoice'!M$2:M$401,$AH52)="","",INDEX('Per Invoice'!M$2:M$401,$AH52)))</f>
        <v/>
      </c>
      <c r="N52">
        <f>IF($AH52="","",IF(INDEX('Per Invoice'!N$2:N$401,$AH52)="","",INDEX('Per Invoice'!N$2:N$401,$AH52)))</f>
        <v/>
      </c>
      <c r="O52">
        <f>IF($AH52="","",IF(INDEX('Per Invoice'!O$2:O$401,$AH52)="","",INDEX('Per Invoice'!O$2:O$401,$AH52)))</f>
        <v/>
      </c>
      <c r="P52" s="7">
        <f>IF($AH52="","",IF(INDEX('Per Invoice'!P$2:P$401,$AH52)="","",INDEX('Per Invoice'!P$2:P$401,$AH52)))</f>
        <v/>
      </c>
      <c r="Q52">
        <f>IF($AH52="","",IF(INDEX('Per Invoice'!Q$2:Q$401,$AH52)="","",INDEX('Per Invoice'!Q$2:Q$401,$AH52)))</f>
        <v/>
      </c>
      <c r="R52">
        <f>IF($AH52="","",IF(INDEX('Per Invoice'!R$2:R$401,$AH52)="","",INDEX('Per Invoice'!R$2:R$401,$AH52)))</f>
        <v/>
      </c>
      <c r="S52">
        <f>IF($AH52="","",IF(INDEX('Per Invoice'!S$2:S$401,$AH52)="","",INDEX('Per Invoice'!S$2:S$401,$AH52)))</f>
        <v/>
      </c>
      <c r="T52" s="7">
        <f>IF($AH52="","",IF(INDEX('Per Invoice'!T$2:T$401,$AH52)="","",INDEX('Per Invoice'!T$2:T$401,$AH52)))</f>
        <v/>
      </c>
      <c r="U52" s="7">
        <f>IF($AH52="","",IF(INDEX('Per Invoice'!U$2:U$401,$AH52)="","",INDEX('Per Invoice'!U$2:U$401,$AH52)))</f>
        <v/>
      </c>
      <c r="V52">
        <f>IF($AH52="","",IF(INDEX('Per Invoice'!V$2:V$401,$AH52)="","",INDEX('Per Invoice'!V$2:V$401,$AH52)))</f>
        <v/>
      </c>
      <c r="W52" s="7">
        <f>IF($AH52="","",IF(INDEX('Per Invoice'!W$2:W$401,$AH52)="","",INDEX('Per Invoice'!W$2:W$401,$AH52)))</f>
        <v/>
      </c>
      <c r="X52" s="7">
        <f>IF($AH52="","",IF(INDEX('Per Invoice'!X$2:X$401,$AH52)="","",INDEX('Per Invoice'!X$2:X$401,$AH52)))</f>
        <v/>
      </c>
      <c r="Y52">
        <f>IF($AH52="","",IF(INDEX('Per Invoice'!Y$2:Y$401,$AH52)="","",INDEX('Per Invoice'!Y$2:Y$401,$AH52)))</f>
        <v/>
      </c>
      <c r="Z52" s="7">
        <f>IF($AH52="","",IF(INDEX('Per Invoice'!Z$2:Z$401,$AH52)="","",INDEX('Per Invoice'!Z$2:Z$401,$AH52)))</f>
        <v/>
      </c>
      <c r="AA52" s="7">
        <f>IF($AH52="","",IF(INDEX('Per Invoice'!AA$2:AA$401,$AH52)="","",INDEX('Per Invoice'!AA$2:AA$401,$AH52)))</f>
        <v/>
      </c>
      <c r="AB52" s="7">
        <f>IF($AH52="","",IF(INDEX('Per Invoice'!AB$2:AB$401,$AH52)="","",INDEX('Per Invoice'!AB$2:AB$401,$AH52)))</f>
        <v/>
      </c>
      <c r="AC52" s="7">
        <f>IF($AH52="","",IF(INDEX('Per Invoice'!AC$2:AC$401,$AH52)="","",INDEX('Per Invoice'!AC$2:AC$401,$AH52)))</f>
        <v/>
      </c>
      <c r="AD52" s="7">
        <f>IF($AH52="","",IF(INDEX('Per Invoice'!AD$2:AD$401,$AH52)="","",INDEX('Per Invoice'!AD$2:AD$401,$AH52)))</f>
        <v/>
      </c>
      <c r="AE52" s="7">
        <f>IF($AH52="","",IF(INDEX('Per Invoice'!AE$2:AE$401,$AH52)="","",INDEX('Per Invoice'!AE$2:AE$401,$AH52)))</f>
        <v/>
      </c>
      <c r="AF52">
        <f>IF($AH52="","",IF(INDEX('Per Invoice'!AF$2:AF$401,$AH52)="","",INDEX('Per Invoice'!AF$2:AF$401,$AH52)))</f>
        <v/>
      </c>
      <c r="AG52" s="7">
        <f>IF($AH52="","",IF(INDEX('Per Invoice'!AG$2:AG$401,$AH52)="","",INDEX('Per Invoice'!AG$2:AG$401,$AH52)))</f>
        <v/>
      </c>
      <c r="AH52" s="16">
        <f>IFERROR(MATCH(Settings!$C$27&amp;"|"&amp;ROWS($AH$2:$AH52),'Per Invoice'!$AI$2:$AI$401,0),"")</f>
        <v/>
      </c>
    </row>
    <row r="53">
      <c r="A53">
        <f>IF($AH53="","",IF(INDEX('Per Invoice'!A$2:A$401,$AH53)="","",INDEX('Per Invoice'!A$2:A$401,$AH53)))</f>
        <v/>
      </c>
      <c r="B53">
        <f>IF($AH53="","",IF(INDEX('Per Invoice'!B$2:B$401,$AH53)="","",INDEX('Per Invoice'!B$2:B$401,$AH53)))</f>
        <v/>
      </c>
      <c r="C53">
        <f>IF($AH53="","",IF(INDEX('Per Invoice'!C$2:C$401,$AH53)="","",INDEX('Per Invoice'!C$2:C$401,$AH53)))</f>
        <v/>
      </c>
      <c r="D53">
        <f>IF($AH53="","",IF(INDEX('Per Invoice'!D$2:D$401,$AH53)="","",INDEX('Per Invoice'!D$2:D$401,$AH53)))</f>
        <v/>
      </c>
      <c r="E53">
        <f>IF($AH53="","",IF(INDEX('Per Invoice'!E$2:E$401,$AH53)="","",INDEX('Per Invoice'!E$2:E$401,$AH53)))</f>
        <v/>
      </c>
      <c r="F53">
        <f>IF($AH53="","",IF(INDEX('Per Invoice'!F$2:F$401,$AH53)="","",INDEX('Per Invoice'!F$2:F$401,$AH53)))</f>
        <v/>
      </c>
      <c r="G53">
        <f>IF($AH53="","",IF(INDEX('Per Invoice'!G$2:G$401,$AH53)="","",INDEX('Per Invoice'!G$2:G$401,$AH53)))</f>
        <v/>
      </c>
      <c r="H53">
        <f>IF($AH53="","",IF(INDEX('Per Invoice'!H$2:H$401,$AH53)="","",INDEX('Per Invoice'!H$2:H$401,$AH53)))</f>
        <v/>
      </c>
      <c r="I53" s="14">
        <f>IF($AH53="","",IF(INDEX('Per Invoice'!I$2:I$401,$AH53)="","",INDEX('Per Invoice'!I$2:I$401,$AH53)))</f>
        <v/>
      </c>
      <c r="J53">
        <f>IF($AH53="","",IF(INDEX('Per Invoice'!J$2:J$401,$AH53)="","",INDEX('Per Invoice'!J$2:J$401,$AH53)))</f>
        <v/>
      </c>
      <c r="K53">
        <f>IF($AH53="","",IF(INDEX('Per Invoice'!K$2:K$401,$AH53)="","",INDEX('Per Invoice'!K$2:K$401,$AH53)))</f>
        <v/>
      </c>
      <c r="L53">
        <f>IF($AH53="","",IF(INDEX('Per Invoice'!L$2:L$401,$AH53)="","",INDEX('Per Invoice'!L$2:L$401,$AH53)))</f>
        <v/>
      </c>
      <c r="M53">
        <f>IF($AH53="","",IF(INDEX('Per Invoice'!M$2:M$401,$AH53)="","",INDEX('Per Invoice'!M$2:M$401,$AH53)))</f>
        <v/>
      </c>
      <c r="N53">
        <f>IF($AH53="","",IF(INDEX('Per Invoice'!N$2:N$401,$AH53)="","",INDEX('Per Invoice'!N$2:N$401,$AH53)))</f>
        <v/>
      </c>
      <c r="O53">
        <f>IF($AH53="","",IF(INDEX('Per Invoice'!O$2:O$401,$AH53)="","",INDEX('Per Invoice'!O$2:O$401,$AH53)))</f>
        <v/>
      </c>
      <c r="P53" s="7">
        <f>IF($AH53="","",IF(INDEX('Per Invoice'!P$2:P$401,$AH53)="","",INDEX('Per Invoice'!P$2:P$401,$AH53)))</f>
        <v/>
      </c>
      <c r="Q53">
        <f>IF($AH53="","",IF(INDEX('Per Invoice'!Q$2:Q$401,$AH53)="","",INDEX('Per Invoice'!Q$2:Q$401,$AH53)))</f>
        <v/>
      </c>
      <c r="R53">
        <f>IF($AH53="","",IF(INDEX('Per Invoice'!R$2:R$401,$AH53)="","",INDEX('Per Invoice'!R$2:R$401,$AH53)))</f>
        <v/>
      </c>
      <c r="S53">
        <f>IF($AH53="","",IF(INDEX('Per Invoice'!S$2:S$401,$AH53)="","",INDEX('Per Invoice'!S$2:S$401,$AH53)))</f>
        <v/>
      </c>
      <c r="T53" s="7">
        <f>IF($AH53="","",IF(INDEX('Per Invoice'!T$2:T$401,$AH53)="","",INDEX('Per Invoice'!T$2:T$401,$AH53)))</f>
        <v/>
      </c>
      <c r="U53" s="7">
        <f>IF($AH53="","",IF(INDEX('Per Invoice'!U$2:U$401,$AH53)="","",INDEX('Per Invoice'!U$2:U$401,$AH53)))</f>
        <v/>
      </c>
      <c r="V53">
        <f>IF($AH53="","",IF(INDEX('Per Invoice'!V$2:V$401,$AH53)="","",INDEX('Per Invoice'!V$2:V$401,$AH53)))</f>
        <v/>
      </c>
      <c r="W53" s="7">
        <f>IF($AH53="","",IF(INDEX('Per Invoice'!W$2:W$401,$AH53)="","",INDEX('Per Invoice'!W$2:W$401,$AH53)))</f>
        <v/>
      </c>
      <c r="X53" s="7">
        <f>IF($AH53="","",IF(INDEX('Per Invoice'!X$2:X$401,$AH53)="","",INDEX('Per Invoice'!X$2:X$401,$AH53)))</f>
        <v/>
      </c>
      <c r="Y53">
        <f>IF($AH53="","",IF(INDEX('Per Invoice'!Y$2:Y$401,$AH53)="","",INDEX('Per Invoice'!Y$2:Y$401,$AH53)))</f>
        <v/>
      </c>
      <c r="Z53" s="7">
        <f>IF($AH53="","",IF(INDEX('Per Invoice'!Z$2:Z$401,$AH53)="","",INDEX('Per Invoice'!Z$2:Z$401,$AH53)))</f>
        <v/>
      </c>
      <c r="AA53" s="7">
        <f>IF($AH53="","",IF(INDEX('Per Invoice'!AA$2:AA$401,$AH53)="","",INDEX('Per Invoice'!AA$2:AA$401,$AH53)))</f>
        <v/>
      </c>
      <c r="AB53" s="7">
        <f>IF($AH53="","",IF(INDEX('Per Invoice'!AB$2:AB$401,$AH53)="","",INDEX('Per Invoice'!AB$2:AB$401,$AH53)))</f>
        <v/>
      </c>
      <c r="AC53" s="7">
        <f>IF($AH53="","",IF(INDEX('Per Invoice'!AC$2:AC$401,$AH53)="","",INDEX('Per Invoice'!AC$2:AC$401,$AH53)))</f>
        <v/>
      </c>
      <c r="AD53" s="7">
        <f>IF($AH53="","",IF(INDEX('Per Invoice'!AD$2:AD$401,$AH53)="","",INDEX('Per Invoice'!AD$2:AD$401,$AH53)))</f>
        <v/>
      </c>
      <c r="AE53" s="7">
        <f>IF($AH53="","",IF(INDEX('Per Invoice'!AE$2:AE$401,$AH53)="","",INDEX('Per Invoice'!AE$2:AE$401,$AH53)))</f>
        <v/>
      </c>
      <c r="AF53">
        <f>IF($AH53="","",IF(INDEX('Per Invoice'!AF$2:AF$401,$AH53)="","",INDEX('Per Invoice'!AF$2:AF$401,$AH53)))</f>
        <v/>
      </c>
      <c r="AG53" s="7">
        <f>IF($AH53="","",IF(INDEX('Per Invoice'!AG$2:AG$401,$AH53)="","",INDEX('Per Invoice'!AG$2:AG$401,$AH53)))</f>
        <v/>
      </c>
      <c r="AH53" s="16">
        <f>IFERROR(MATCH(Settings!$C$27&amp;"|"&amp;ROWS($AH$2:$AH53),'Per Invoice'!$AI$2:$AI$401,0),"")</f>
        <v/>
      </c>
    </row>
    <row r="54">
      <c r="A54">
        <f>IF($AH54="","",IF(INDEX('Per Invoice'!A$2:A$401,$AH54)="","",INDEX('Per Invoice'!A$2:A$401,$AH54)))</f>
        <v/>
      </c>
      <c r="B54">
        <f>IF($AH54="","",IF(INDEX('Per Invoice'!B$2:B$401,$AH54)="","",INDEX('Per Invoice'!B$2:B$401,$AH54)))</f>
        <v/>
      </c>
      <c r="C54">
        <f>IF($AH54="","",IF(INDEX('Per Invoice'!C$2:C$401,$AH54)="","",INDEX('Per Invoice'!C$2:C$401,$AH54)))</f>
        <v/>
      </c>
      <c r="D54">
        <f>IF($AH54="","",IF(INDEX('Per Invoice'!D$2:D$401,$AH54)="","",INDEX('Per Invoice'!D$2:D$401,$AH54)))</f>
        <v/>
      </c>
      <c r="E54">
        <f>IF($AH54="","",IF(INDEX('Per Invoice'!E$2:E$401,$AH54)="","",INDEX('Per Invoice'!E$2:E$401,$AH54)))</f>
        <v/>
      </c>
      <c r="F54">
        <f>IF($AH54="","",IF(INDEX('Per Invoice'!F$2:F$401,$AH54)="","",INDEX('Per Invoice'!F$2:F$401,$AH54)))</f>
        <v/>
      </c>
      <c r="G54">
        <f>IF($AH54="","",IF(INDEX('Per Invoice'!G$2:G$401,$AH54)="","",INDEX('Per Invoice'!G$2:G$401,$AH54)))</f>
        <v/>
      </c>
      <c r="H54">
        <f>IF($AH54="","",IF(INDEX('Per Invoice'!H$2:H$401,$AH54)="","",INDEX('Per Invoice'!H$2:H$401,$AH54)))</f>
        <v/>
      </c>
      <c r="I54" s="14">
        <f>IF($AH54="","",IF(INDEX('Per Invoice'!I$2:I$401,$AH54)="","",INDEX('Per Invoice'!I$2:I$401,$AH54)))</f>
        <v/>
      </c>
      <c r="J54">
        <f>IF($AH54="","",IF(INDEX('Per Invoice'!J$2:J$401,$AH54)="","",INDEX('Per Invoice'!J$2:J$401,$AH54)))</f>
        <v/>
      </c>
      <c r="K54">
        <f>IF($AH54="","",IF(INDEX('Per Invoice'!K$2:K$401,$AH54)="","",INDEX('Per Invoice'!K$2:K$401,$AH54)))</f>
        <v/>
      </c>
      <c r="L54">
        <f>IF($AH54="","",IF(INDEX('Per Invoice'!L$2:L$401,$AH54)="","",INDEX('Per Invoice'!L$2:L$401,$AH54)))</f>
        <v/>
      </c>
      <c r="M54">
        <f>IF($AH54="","",IF(INDEX('Per Invoice'!M$2:M$401,$AH54)="","",INDEX('Per Invoice'!M$2:M$401,$AH54)))</f>
        <v/>
      </c>
      <c r="N54">
        <f>IF($AH54="","",IF(INDEX('Per Invoice'!N$2:N$401,$AH54)="","",INDEX('Per Invoice'!N$2:N$401,$AH54)))</f>
        <v/>
      </c>
      <c r="O54">
        <f>IF($AH54="","",IF(INDEX('Per Invoice'!O$2:O$401,$AH54)="","",INDEX('Per Invoice'!O$2:O$401,$AH54)))</f>
        <v/>
      </c>
      <c r="P54" s="7">
        <f>IF($AH54="","",IF(INDEX('Per Invoice'!P$2:P$401,$AH54)="","",INDEX('Per Invoice'!P$2:P$401,$AH54)))</f>
        <v/>
      </c>
      <c r="Q54">
        <f>IF($AH54="","",IF(INDEX('Per Invoice'!Q$2:Q$401,$AH54)="","",INDEX('Per Invoice'!Q$2:Q$401,$AH54)))</f>
        <v/>
      </c>
      <c r="R54">
        <f>IF($AH54="","",IF(INDEX('Per Invoice'!R$2:R$401,$AH54)="","",INDEX('Per Invoice'!R$2:R$401,$AH54)))</f>
        <v/>
      </c>
      <c r="S54">
        <f>IF($AH54="","",IF(INDEX('Per Invoice'!S$2:S$401,$AH54)="","",INDEX('Per Invoice'!S$2:S$401,$AH54)))</f>
        <v/>
      </c>
      <c r="T54" s="7">
        <f>IF($AH54="","",IF(INDEX('Per Invoice'!T$2:T$401,$AH54)="","",INDEX('Per Invoice'!T$2:T$401,$AH54)))</f>
        <v/>
      </c>
      <c r="U54" s="7">
        <f>IF($AH54="","",IF(INDEX('Per Invoice'!U$2:U$401,$AH54)="","",INDEX('Per Invoice'!U$2:U$401,$AH54)))</f>
        <v/>
      </c>
      <c r="V54">
        <f>IF($AH54="","",IF(INDEX('Per Invoice'!V$2:V$401,$AH54)="","",INDEX('Per Invoice'!V$2:V$401,$AH54)))</f>
        <v/>
      </c>
      <c r="W54" s="7">
        <f>IF($AH54="","",IF(INDEX('Per Invoice'!W$2:W$401,$AH54)="","",INDEX('Per Invoice'!W$2:W$401,$AH54)))</f>
        <v/>
      </c>
      <c r="X54" s="7">
        <f>IF($AH54="","",IF(INDEX('Per Invoice'!X$2:X$401,$AH54)="","",INDEX('Per Invoice'!X$2:X$401,$AH54)))</f>
        <v/>
      </c>
      <c r="Y54">
        <f>IF($AH54="","",IF(INDEX('Per Invoice'!Y$2:Y$401,$AH54)="","",INDEX('Per Invoice'!Y$2:Y$401,$AH54)))</f>
        <v/>
      </c>
      <c r="Z54" s="7">
        <f>IF($AH54="","",IF(INDEX('Per Invoice'!Z$2:Z$401,$AH54)="","",INDEX('Per Invoice'!Z$2:Z$401,$AH54)))</f>
        <v/>
      </c>
      <c r="AA54" s="7">
        <f>IF($AH54="","",IF(INDEX('Per Invoice'!AA$2:AA$401,$AH54)="","",INDEX('Per Invoice'!AA$2:AA$401,$AH54)))</f>
        <v/>
      </c>
      <c r="AB54" s="7">
        <f>IF($AH54="","",IF(INDEX('Per Invoice'!AB$2:AB$401,$AH54)="","",INDEX('Per Invoice'!AB$2:AB$401,$AH54)))</f>
        <v/>
      </c>
      <c r="AC54" s="7">
        <f>IF($AH54="","",IF(INDEX('Per Invoice'!AC$2:AC$401,$AH54)="","",INDEX('Per Invoice'!AC$2:AC$401,$AH54)))</f>
        <v/>
      </c>
      <c r="AD54" s="7">
        <f>IF($AH54="","",IF(INDEX('Per Invoice'!AD$2:AD$401,$AH54)="","",INDEX('Per Invoice'!AD$2:AD$401,$AH54)))</f>
        <v/>
      </c>
      <c r="AE54" s="7">
        <f>IF($AH54="","",IF(INDEX('Per Invoice'!AE$2:AE$401,$AH54)="","",INDEX('Per Invoice'!AE$2:AE$401,$AH54)))</f>
        <v/>
      </c>
      <c r="AF54">
        <f>IF($AH54="","",IF(INDEX('Per Invoice'!AF$2:AF$401,$AH54)="","",INDEX('Per Invoice'!AF$2:AF$401,$AH54)))</f>
        <v/>
      </c>
      <c r="AG54" s="7">
        <f>IF($AH54="","",IF(INDEX('Per Invoice'!AG$2:AG$401,$AH54)="","",INDEX('Per Invoice'!AG$2:AG$401,$AH54)))</f>
        <v/>
      </c>
      <c r="AH54" s="16">
        <f>IFERROR(MATCH(Settings!$C$27&amp;"|"&amp;ROWS($AH$2:$AH54),'Per Invoice'!$AI$2:$AI$401,0),"")</f>
        <v/>
      </c>
    </row>
    <row r="55">
      <c r="A55">
        <f>IF($AH55="","",IF(INDEX('Per Invoice'!A$2:A$401,$AH55)="","",INDEX('Per Invoice'!A$2:A$401,$AH55)))</f>
        <v/>
      </c>
      <c r="B55">
        <f>IF($AH55="","",IF(INDEX('Per Invoice'!B$2:B$401,$AH55)="","",INDEX('Per Invoice'!B$2:B$401,$AH55)))</f>
        <v/>
      </c>
      <c r="C55">
        <f>IF($AH55="","",IF(INDEX('Per Invoice'!C$2:C$401,$AH55)="","",INDEX('Per Invoice'!C$2:C$401,$AH55)))</f>
        <v/>
      </c>
      <c r="D55">
        <f>IF($AH55="","",IF(INDEX('Per Invoice'!D$2:D$401,$AH55)="","",INDEX('Per Invoice'!D$2:D$401,$AH55)))</f>
        <v/>
      </c>
      <c r="E55">
        <f>IF($AH55="","",IF(INDEX('Per Invoice'!E$2:E$401,$AH55)="","",INDEX('Per Invoice'!E$2:E$401,$AH55)))</f>
        <v/>
      </c>
      <c r="F55">
        <f>IF($AH55="","",IF(INDEX('Per Invoice'!F$2:F$401,$AH55)="","",INDEX('Per Invoice'!F$2:F$401,$AH55)))</f>
        <v/>
      </c>
      <c r="G55">
        <f>IF($AH55="","",IF(INDEX('Per Invoice'!G$2:G$401,$AH55)="","",INDEX('Per Invoice'!G$2:G$401,$AH55)))</f>
        <v/>
      </c>
      <c r="H55">
        <f>IF($AH55="","",IF(INDEX('Per Invoice'!H$2:H$401,$AH55)="","",INDEX('Per Invoice'!H$2:H$401,$AH55)))</f>
        <v/>
      </c>
      <c r="I55" s="14">
        <f>IF($AH55="","",IF(INDEX('Per Invoice'!I$2:I$401,$AH55)="","",INDEX('Per Invoice'!I$2:I$401,$AH55)))</f>
        <v/>
      </c>
      <c r="J55">
        <f>IF($AH55="","",IF(INDEX('Per Invoice'!J$2:J$401,$AH55)="","",INDEX('Per Invoice'!J$2:J$401,$AH55)))</f>
        <v/>
      </c>
      <c r="K55">
        <f>IF($AH55="","",IF(INDEX('Per Invoice'!K$2:K$401,$AH55)="","",INDEX('Per Invoice'!K$2:K$401,$AH55)))</f>
        <v/>
      </c>
      <c r="L55">
        <f>IF($AH55="","",IF(INDEX('Per Invoice'!L$2:L$401,$AH55)="","",INDEX('Per Invoice'!L$2:L$401,$AH55)))</f>
        <v/>
      </c>
      <c r="M55">
        <f>IF($AH55="","",IF(INDEX('Per Invoice'!M$2:M$401,$AH55)="","",INDEX('Per Invoice'!M$2:M$401,$AH55)))</f>
        <v/>
      </c>
      <c r="N55">
        <f>IF($AH55="","",IF(INDEX('Per Invoice'!N$2:N$401,$AH55)="","",INDEX('Per Invoice'!N$2:N$401,$AH55)))</f>
        <v/>
      </c>
      <c r="O55">
        <f>IF($AH55="","",IF(INDEX('Per Invoice'!O$2:O$401,$AH55)="","",INDEX('Per Invoice'!O$2:O$401,$AH55)))</f>
        <v/>
      </c>
      <c r="P55" s="7">
        <f>IF($AH55="","",IF(INDEX('Per Invoice'!P$2:P$401,$AH55)="","",INDEX('Per Invoice'!P$2:P$401,$AH55)))</f>
        <v/>
      </c>
      <c r="Q55">
        <f>IF($AH55="","",IF(INDEX('Per Invoice'!Q$2:Q$401,$AH55)="","",INDEX('Per Invoice'!Q$2:Q$401,$AH55)))</f>
        <v/>
      </c>
      <c r="R55">
        <f>IF($AH55="","",IF(INDEX('Per Invoice'!R$2:R$401,$AH55)="","",INDEX('Per Invoice'!R$2:R$401,$AH55)))</f>
        <v/>
      </c>
      <c r="S55">
        <f>IF($AH55="","",IF(INDEX('Per Invoice'!S$2:S$401,$AH55)="","",INDEX('Per Invoice'!S$2:S$401,$AH55)))</f>
        <v/>
      </c>
      <c r="T55" s="7">
        <f>IF($AH55="","",IF(INDEX('Per Invoice'!T$2:T$401,$AH55)="","",INDEX('Per Invoice'!T$2:T$401,$AH55)))</f>
        <v/>
      </c>
      <c r="U55" s="7">
        <f>IF($AH55="","",IF(INDEX('Per Invoice'!U$2:U$401,$AH55)="","",INDEX('Per Invoice'!U$2:U$401,$AH55)))</f>
        <v/>
      </c>
      <c r="V55">
        <f>IF($AH55="","",IF(INDEX('Per Invoice'!V$2:V$401,$AH55)="","",INDEX('Per Invoice'!V$2:V$401,$AH55)))</f>
        <v/>
      </c>
      <c r="W55" s="7">
        <f>IF($AH55="","",IF(INDEX('Per Invoice'!W$2:W$401,$AH55)="","",INDEX('Per Invoice'!W$2:W$401,$AH55)))</f>
        <v/>
      </c>
      <c r="X55" s="7">
        <f>IF($AH55="","",IF(INDEX('Per Invoice'!X$2:X$401,$AH55)="","",INDEX('Per Invoice'!X$2:X$401,$AH55)))</f>
        <v/>
      </c>
      <c r="Y55">
        <f>IF($AH55="","",IF(INDEX('Per Invoice'!Y$2:Y$401,$AH55)="","",INDEX('Per Invoice'!Y$2:Y$401,$AH55)))</f>
        <v/>
      </c>
      <c r="Z55" s="7">
        <f>IF($AH55="","",IF(INDEX('Per Invoice'!Z$2:Z$401,$AH55)="","",INDEX('Per Invoice'!Z$2:Z$401,$AH55)))</f>
        <v/>
      </c>
      <c r="AA55" s="7">
        <f>IF($AH55="","",IF(INDEX('Per Invoice'!AA$2:AA$401,$AH55)="","",INDEX('Per Invoice'!AA$2:AA$401,$AH55)))</f>
        <v/>
      </c>
      <c r="AB55" s="7">
        <f>IF($AH55="","",IF(INDEX('Per Invoice'!AB$2:AB$401,$AH55)="","",INDEX('Per Invoice'!AB$2:AB$401,$AH55)))</f>
        <v/>
      </c>
      <c r="AC55" s="7">
        <f>IF($AH55="","",IF(INDEX('Per Invoice'!AC$2:AC$401,$AH55)="","",INDEX('Per Invoice'!AC$2:AC$401,$AH55)))</f>
        <v/>
      </c>
      <c r="AD55" s="7">
        <f>IF($AH55="","",IF(INDEX('Per Invoice'!AD$2:AD$401,$AH55)="","",INDEX('Per Invoice'!AD$2:AD$401,$AH55)))</f>
        <v/>
      </c>
      <c r="AE55" s="7">
        <f>IF($AH55="","",IF(INDEX('Per Invoice'!AE$2:AE$401,$AH55)="","",INDEX('Per Invoice'!AE$2:AE$401,$AH55)))</f>
        <v/>
      </c>
      <c r="AF55">
        <f>IF($AH55="","",IF(INDEX('Per Invoice'!AF$2:AF$401,$AH55)="","",INDEX('Per Invoice'!AF$2:AF$401,$AH55)))</f>
        <v/>
      </c>
      <c r="AG55" s="7">
        <f>IF($AH55="","",IF(INDEX('Per Invoice'!AG$2:AG$401,$AH55)="","",INDEX('Per Invoice'!AG$2:AG$401,$AH55)))</f>
        <v/>
      </c>
      <c r="AH55" s="16">
        <f>IFERROR(MATCH(Settings!$C$27&amp;"|"&amp;ROWS($AH$2:$AH55),'Per Invoice'!$AI$2:$AI$401,0),"")</f>
        <v/>
      </c>
    </row>
    <row r="56">
      <c r="A56">
        <f>IF($AH56="","",IF(INDEX('Per Invoice'!A$2:A$401,$AH56)="","",INDEX('Per Invoice'!A$2:A$401,$AH56)))</f>
        <v/>
      </c>
      <c r="B56">
        <f>IF($AH56="","",IF(INDEX('Per Invoice'!B$2:B$401,$AH56)="","",INDEX('Per Invoice'!B$2:B$401,$AH56)))</f>
        <v/>
      </c>
      <c r="C56">
        <f>IF($AH56="","",IF(INDEX('Per Invoice'!C$2:C$401,$AH56)="","",INDEX('Per Invoice'!C$2:C$401,$AH56)))</f>
        <v/>
      </c>
      <c r="D56">
        <f>IF($AH56="","",IF(INDEX('Per Invoice'!D$2:D$401,$AH56)="","",INDEX('Per Invoice'!D$2:D$401,$AH56)))</f>
        <v/>
      </c>
      <c r="E56">
        <f>IF($AH56="","",IF(INDEX('Per Invoice'!E$2:E$401,$AH56)="","",INDEX('Per Invoice'!E$2:E$401,$AH56)))</f>
        <v/>
      </c>
      <c r="F56">
        <f>IF($AH56="","",IF(INDEX('Per Invoice'!F$2:F$401,$AH56)="","",INDEX('Per Invoice'!F$2:F$401,$AH56)))</f>
        <v/>
      </c>
      <c r="G56">
        <f>IF($AH56="","",IF(INDEX('Per Invoice'!G$2:G$401,$AH56)="","",INDEX('Per Invoice'!G$2:G$401,$AH56)))</f>
        <v/>
      </c>
      <c r="H56">
        <f>IF($AH56="","",IF(INDEX('Per Invoice'!H$2:H$401,$AH56)="","",INDEX('Per Invoice'!H$2:H$401,$AH56)))</f>
        <v/>
      </c>
      <c r="I56" s="14">
        <f>IF($AH56="","",IF(INDEX('Per Invoice'!I$2:I$401,$AH56)="","",INDEX('Per Invoice'!I$2:I$401,$AH56)))</f>
        <v/>
      </c>
      <c r="J56">
        <f>IF($AH56="","",IF(INDEX('Per Invoice'!J$2:J$401,$AH56)="","",INDEX('Per Invoice'!J$2:J$401,$AH56)))</f>
        <v/>
      </c>
      <c r="K56">
        <f>IF($AH56="","",IF(INDEX('Per Invoice'!K$2:K$401,$AH56)="","",INDEX('Per Invoice'!K$2:K$401,$AH56)))</f>
        <v/>
      </c>
      <c r="L56">
        <f>IF($AH56="","",IF(INDEX('Per Invoice'!L$2:L$401,$AH56)="","",INDEX('Per Invoice'!L$2:L$401,$AH56)))</f>
        <v/>
      </c>
      <c r="M56">
        <f>IF($AH56="","",IF(INDEX('Per Invoice'!M$2:M$401,$AH56)="","",INDEX('Per Invoice'!M$2:M$401,$AH56)))</f>
        <v/>
      </c>
      <c r="N56">
        <f>IF($AH56="","",IF(INDEX('Per Invoice'!N$2:N$401,$AH56)="","",INDEX('Per Invoice'!N$2:N$401,$AH56)))</f>
        <v/>
      </c>
      <c r="O56">
        <f>IF($AH56="","",IF(INDEX('Per Invoice'!O$2:O$401,$AH56)="","",INDEX('Per Invoice'!O$2:O$401,$AH56)))</f>
        <v/>
      </c>
      <c r="P56" s="7">
        <f>IF($AH56="","",IF(INDEX('Per Invoice'!P$2:P$401,$AH56)="","",INDEX('Per Invoice'!P$2:P$401,$AH56)))</f>
        <v/>
      </c>
      <c r="Q56">
        <f>IF($AH56="","",IF(INDEX('Per Invoice'!Q$2:Q$401,$AH56)="","",INDEX('Per Invoice'!Q$2:Q$401,$AH56)))</f>
        <v/>
      </c>
      <c r="R56">
        <f>IF($AH56="","",IF(INDEX('Per Invoice'!R$2:R$401,$AH56)="","",INDEX('Per Invoice'!R$2:R$401,$AH56)))</f>
        <v/>
      </c>
      <c r="S56">
        <f>IF($AH56="","",IF(INDEX('Per Invoice'!S$2:S$401,$AH56)="","",INDEX('Per Invoice'!S$2:S$401,$AH56)))</f>
        <v/>
      </c>
      <c r="T56" s="7">
        <f>IF($AH56="","",IF(INDEX('Per Invoice'!T$2:T$401,$AH56)="","",INDEX('Per Invoice'!T$2:T$401,$AH56)))</f>
        <v/>
      </c>
      <c r="U56" s="7">
        <f>IF($AH56="","",IF(INDEX('Per Invoice'!U$2:U$401,$AH56)="","",INDEX('Per Invoice'!U$2:U$401,$AH56)))</f>
        <v/>
      </c>
      <c r="V56">
        <f>IF($AH56="","",IF(INDEX('Per Invoice'!V$2:V$401,$AH56)="","",INDEX('Per Invoice'!V$2:V$401,$AH56)))</f>
        <v/>
      </c>
      <c r="W56" s="7">
        <f>IF($AH56="","",IF(INDEX('Per Invoice'!W$2:W$401,$AH56)="","",INDEX('Per Invoice'!W$2:W$401,$AH56)))</f>
        <v/>
      </c>
      <c r="X56" s="7">
        <f>IF($AH56="","",IF(INDEX('Per Invoice'!X$2:X$401,$AH56)="","",INDEX('Per Invoice'!X$2:X$401,$AH56)))</f>
        <v/>
      </c>
      <c r="Y56">
        <f>IF($AH56="","",IF(INDEX('Per Invoice'!Y$2:Y$401,$AH56)="","",INDEX('Per Invoice'!Y$2:Y$401,$AH56)))</f>
        <v/>
      </c>
      <c r="Z56" s="7">
        <f>IF($AH56="","",IF(INDEX('Per Invoice'!Z$2:Z$401,$AH56)="","",INDEX('Per Invoice'!Z$2:Z$401,$AH56)))</f>
        <v/>
      </c>
      <c r="AA56" s="7">
        <f>IF($AH56="","",IF(INDEX('Per Invoice'!AA$2:AA$401,$AH56)="","",INDEX('Per Invoice'!AA$2:AA$401,$AH56)))</f>
        <v/>
      </c>
      <c r="AB56" s="7">
        <f>IF($AH56="","",IF(INDEX('Per Invoice'!AB$2:AB$401,$AH56)="","",INDEX('Per Invoice'!AB$2:AB$401,$AH56)))</f>
        <v/>
      </c>
      <c r="AC56" s="7">
        <f>IF($AH56="","",IF(INDEX('Per Invoice'!AC$2:AC$401,$AH56)="","",INDEX('Per Invoice'!AC$2:AC$401,$AH56)))</f>
        <v/>
      </c>
      <c r="AD56" s="7">
        <f>IF($AH56="","",IF(INDEX('Per Invoice'!AD$2:AD$401,$AH56)="","",INDEX('Per Invoice'!AD$2:AD$401,$AH56)))</f>
        <v/>
      </c>
      <c r="AE56" s="7">
        <f>IF($AH56="","",IF(INDEX('Per Invoice'!AE$2:AE$401,$AH56)="","",INDEX('Per Invoice'!AE$2:AE$401,$AH56)))</f>
        <v/>
      </c>
      <c r="AF56">
        <f>IF($AH56="","",IF(INDEX('Per Invoice'!AF$2:AF$401,$AH56)="","",INDEX('Per Invoice'!AF$2:AF$401,$AH56)))</f>
        <v/>
      </c>
      <c r="AG56" s="7">
        <f>IF($AH56="","",IF(INDEX('Per Invoice'!AG$2:AG$401,$AH56)="","",INDEX('Per Invoice'!AG$2:AG$401,$AH56)))</f>
        <v/>
      </c>
      <c r="AH56" s="16">
        <f>IFERROR(MATCH(Settings!$C$27&amp;"|"&amp;ROWS($AH$2:$AH56),'Per Invoice'!$AI$2:$AI$401,0),"")</f>
        <v/>
      </c>
    </row>
    <row r="57">
      <c r="A57">
        <f>IF($AH57="","",IF(INDEX('Per Invoice'!A$2:A$401,$AH57)="","",INDEX('Per Invoice'!A$2:A$401,$AH57)))</f>
        <v/>
      </c>
      <c r="B57">
        <f>IF($AH57="","",IF(INDEX('Per Invoice'!B$2:B$401,$AH57)="","",INDEX('Per Invoice'!B$2:B$401,$AH57)))</f>
        <v/>
      </c>
      <c r="C57">
        <f>IF($AH57="","",IF(INDEX('Per Invoice'!C$2:C$401,$AH57)="","",INDEX('Per Invoice'!C$2:C$401,$AH57)))</f>
        <v/>
      </c>
      <c r="D57">
        <f>IF($AH57="","",IF(INDEX('Per Invoice'!D$2:D$401,$AH57)="","",INDEX('Per Invoice'!D$2:D$401,$AH57)))</f>
        <v/>
      </c>
      <c r="E57">
        <f>IF($AH57="","",IF(INDEX('Per Invoice'!E$2:E$401,$AH57)="","",INDEX('Per Invoice'!E$2:E$401,$AH57)))</f>
        <v/>
      </c>
      <c r="F57">
        <f>IF($AH57="","",IF(INDEX('Per Invoice'!F$2:F$401,$AH57)="","",INDEX('Per Invoice'!F$2:F$401,$AH57)))</f>
        <v/>
      </c>
      <c r="G57">
        <f>IF($AH57="","",IF(INDEX('Per Invoice'!G$2:G$401,$AH57)="","",INDEX('Per Invoice'!G$2:G$401,$AH57)))</f>
        <v/>
      </c>
      <c r="H57">
        <f>IF($AH57="","",IF(INDEX('Per Invoice'!H$2:H$401,$AH57)="","",INDEX('Per Invoice'!H$2:H$401,$AH57)))</f>
        <v/>
      </c>
      <c r="I57" s="14">
        <f>IF($AH57="","",IF(INDEX('Per Invoice'!I$2:I$401,$AH57)="","",INDEX('Per Invoice'!I$2:I$401,$AH57)))</f>
        <v/>
      </c>
      <c r="J57">
        <f>IF($AH57="","",IF(INDEX('Per Invoice'!J$2:J$401,$AH57)="","",INDEX('Per Invoice'!J$2:J$401,$AH57)))</f>
        <v/>
      </c>
      <c r="K57">
        <f>IF($AH57="","",IF(INDEX('Per Invoice'!K$2:K$401,$AH57)="","",INDEX('Per Invoice'!K$2:K$401,$AH57)))</f>
        <v/>
      </c>
      <c r="L57">
        <f>IF($AH57="","",IF(INDEX('Per Invoice'!L$2:L$401,$AH57)="","",INDEX('Per Invoice'!L$2:L$401,$AH57)))</f>
        <v/>
      </c>
      <c r="M57">
        <f>IF($AH57="","",IF(INDEX('Per Invoice'!M$2:M$401,$AH57)="","",INDEX('Per Invoice'!M$2:M$401,$AH57)))</f>
        <v/>
      </c>
      <c r="N57">
        <f>IF($AH57="","",IF(INDEX('Per Invoice'!N$2:N$401,$AH57)="","",INDEX('Per Invoice'!N$2:N$401,$AH57)))</f>
        <v/>
      </c>
      <c r="O57">
        <f>IF($AH57="","",IF(INDEX('Per Invoice'!O$2:O$401,$AH57)="","",INDEX('Per Invoice'!O$2:O$401,$AH57)))</f>
        <v/>
      </c>
      <c r="P57" s="7">
        <f>IF($AH57="","",IF(INDEX('Per Invoice'!P$2:P$401,$AH57)="","",INDEX('Per Invoice'!P$2:P$401,$AH57)))</f>
        <v/>
      </c>
      <c r="Q57">
        <f>IF($AH57="","",IF(INDEX('Per Invoice'!Q$2:Q$401,$AH57)="","",INDEX('Per Invoice'!Q$2:Q$401,$AH57)))</f>
        <v/>
      </c>
      <c r="R57">
        <f>IF($AH57="","",IF(INDEX('Per Invoice'!R$2:R$401,$AH57)="","",INDEX('Per Invoice'!R$2:R$401,$AH57)))</f>
        <v/>
      </c>
      <c r="S57">
        <f>IF($AH57="","",IF(INDEX('Per Invoice'!S$2:S$401,$AH57)="","",INDEX('Per Invoice'!S$2:S$401,$AH57)))</f>
        <v/>
      </c>
      <c r="T57" s="7">
        <f>IF($AH57="","",IF(INDEX('Per Invoice'!T$2:T$401,$AH57)="","",INDEX('Per Invoice'!T$2:T$401,$AH57)))</f>
        <v/>
      </c>
      <c r="U57" s="7">
        <f>IF($AH57="","",IF(INDEX('Per Invoice'!U$2:U$401,$AH57)="","",INDEX('Per Invoice'!U$2:U$401,$AH57)))</f>
        <v/>
      </c>
      <c r="V57">
        <f>IF($AH57="","",IF(INDEX('Per Invoice'!V$2:V$401,$AH57)="","",INDEX('Per Invoice'!V$2:V$401,$AH57)))</f>
        <v/>
      </c>
      <c r="W57" s="7">
        <f>IF($AH57="","",IF(INDEX('Per Invoice'!W$2:W$401,$AH57)="","",INDEX('Per Invoice'!W$2:W$401,$AH57)))</f>
        <v/>
      </c>
      <c r="X57" s="7">
        <f>IF($AH57="","",IF(INDEX('Per Invoice'!X$2:X$401,$AH57)="","",INDEX('Per Invoice'!X$2:X$401,$AH57)))</f>
        <v/>
      </c>
      <c r="Y57">
        <f>IF($AH57="","",IF(INDEX('Per Invoice'!Y$2:Y$401,$AH57)="","",INDEX('Per Invoice'!Y$2:Y$401,$AH57)))</f>
        <v/>
      </c>
      <c r="Z57" s="7">
        <f>IF($AH57="","",IF(INDEX('Per Invoice'!Z$2:Z$401,$AH57)="","",INDEX('Per Invoice'!Z$2:Z$401,$AH57)))</f>
        <v/>
      </c>
      <c r="AA57" s="7">
        <f>IF($AH57="","",IF(INDEX('Per Invoice'!AA$2:AA$401,$AH57)="","",INDEX('Per Invoice'!AA$2:AA$401,$AH57)))</f>
        <v/>
      </c>
      <c r="AB57" s="7">
        <f>IF($AH57="","",IF(INDEX('Per Invoice'!AB$2:AB$401,$AH57)="","",INDEX('Per Invoice'!AB$2:AB$401,$AH57)))</f>
        <v/>
      </c>
      <c r="AC57" s="7">
        <f>IF($AH57="","",IF(INDEX('Per Invoice'!AC$2:AC$401,$AH57)="","",INDEX('Per Invoice'!AC$2:AC$401,$AH57)))</f>
        <v/>
      </c>
      <c r="AD57" s="7">
        <f>IF($AH57="","",IF(INDEX('Per Invoice'!AD$2:AD$401,$AH57)="","",INDEX('Per Invoice'!AD$2:AD$401,$AH57)))</f>
        <v/>
      </c>
      <c r="AE57" s="7">
        <f>IF($AH57="","",IF(INDEX('Per Invoice'!AE$2:AE$401,$AH57)="","",INDEX('Per Invoice'!AE$2:AE$401,$AH57)))</f>
        <v/>
      </c>
      <c r="AF57">
        <f>IF($AH57="","",IF(INDEX('Per Invoice'!AF$2:AF$401,$AH57)="","",INDEX('Per Invoice'!AF$2:AF$401,$AH57)))</f>
        <v/>
      </c>
      <c r="AG57" s="7">
        <f>IF($AH57="","",IF(INDEX('Per Invoice'!AG$2:AG$401,$AH57)="","",INDEX('Per Invoice'!AG$2:AG$401,$AH57)))</f>
        <v/>
      </c>
      <c r="AH57" s="16">
        <f>IFERROR(MATCH(Settings!$C$27&amp;"|"&amp;ROWS($AH$2:$AH57),'Per Invoice'!$AI$2:$AI$401,0),"")</f>
        <v/>
      </c>
    </row>
    <row r="58">
      <c r="A58">
        <f>IF($AH58="","",IF(INDEX('Per Invoice'!A$2:A$401,$AH58)="","",INDEX('Per Invoice'!A$2:A$401,$AH58)))</f>
        <v/>
      </c>
      <c r="B58">
        <f>IF($AH58="","",IF(INDEX('Per Invoice'!B$2:B$401,$AH58)="","",INDEX('Per Invoice'!B$2:B$401,$AH58)))</f>
        <v/>
      </c>
      <c r="C58">
        <f>IF($AH58="","",IF(INDEX('Per Invoice'!C$2:C$401,$AH58)="","",INDEX('Per Invoice'!C$2:C$401,$AH58)))</f>
        <v/>
      </c>
      <c r="D58">
        <f>IF($AH58="","",IF(INDEX('Per Invoice'!D$2:D$401,$AH58)="","",INDEX('Per Invoice'!D$2:D$401,$AH58)))</f>
        <v/>
      </c>
      <c r="E58">
        <f>IF($AH58="","",IF(INDEX('Per Invoice'!E$2:E$401,$AH58)="","",INDEX('Per Invoice'!E$2:E$401,$AH58)))</f>
        <v/>
      </c>
      <c r="F58">
        <f>IF($AH58="","",IF(INDEX('Per Invoice'!F$2:F$401,$AH58)="","",INDEX('Per Invoice'!F$2:F$401,$AH58)))</f>
        <v/>
      </c>
      <c r="G58">
        <f>IF($AH58="","",IF(INDEX('Per Invoice'!G$2:G$401,$AH58)="","",INDEX('Per Invoice'!G$2:G$401,$AH58)))</f>
        <v/>
      </c>
      <c r="H58">
        <f>IF($AH58="","",IF(INDEX('Per Invoice'!H$2:H$401,$AH58)="","",INDEX('Per Invoice'!H$2:H$401,$AH58)))</f>
        <v/>
      </c>
      <c r="I58" s="14">
        <f>IF($AH58="","",IF(INDEX('Per Invoice'!I$2:I$401,$AH58)="","",INDEX('Per Invoice'!I$2:I$401,$AH58)))</f>
        <v/>
      </c>
      <c r="J58">
        <f>IF($AH58="","",IF(INDEX('Per Invoice'!J$2:J$401,$AH58)="","",INDEX('Per Invoice'!J$2:J$401,$AH58)))</f>
        <v/>
      </c>
      <c r="K58">
        <f>IF($AH58="","",IF(INDEX('Per Invoice'!K$2:K$401,$AH58)="","",INDEX('Per Invoice'!K$2:K$401,$AH58)))</f>
        <v/>
      </c>
      <c r="L58">
        <f>IF($AH58="","",IF(INDEX('Per Invoice'!L$2:L$401,$AH58)="","",INDEX('Per Invoice'!L$2:L$401,$AH58)))</f>
        <v/>
      </c>
      <c r="M58">
        <f>IF($AH58="","",IF(INDEX('Per Invoice'!M$2:M$401,$AH58)="","",INDEX('Per Invoice'!M$2:M$401,$AH58)))</f>
        <v/>
      </c>
      <c r="N58">
        <f>IF($AH58="","",IF(INDEX('Per Invoice'!N$2:N$401,$AH58)="","",INDEX('Per Invoice'!N$2:N$401,$AH58)))</f>
        <v/>
      </c>
      <c r="O58">
        <f>IF($AH58="","",IF(INDEX('Per Invoice'!O$2:O$401,$AH58)="","",INDEX('Per Invoice'!O$2:O$401,$AH58)))</f>
        <v/>
      </c>
      <c r="P58" s="7">
        <f>IF($AH58="","",IF(INDEX('Per Invoice'!P$2:P$401,$AH58)="","",INDEX('Per Invoice'!P$2:P$401,$AH58)))</f>
        <v/>
      </c>
      <c r="Q58">
        <f>IF($AH58="","",IF(INDEX('Per Invoice'!Q$2:Q$401,$AH58)="","",INDEX('Per Invoice'!Q$2:Q$401,$AH58)))</f>
        <v/>
      </c>
      <c r="R58">
        <f>IF($AH58="","",IF(INDEX('Per Invoice'!R$2:R$401,$AH58)="","",INDEX('Per Invoice'!R$2:R$401,$AH58)))</f>
        <v/>
      </c>
      <c r="S58">
        <f>IF($AH58="","",IF(INDEX('Per Invoice'!S$2:S$401,$AH58)="","",INDEX('Per Invoice'!S$2:S$401,$AH58)))</f>
        <v/>
      </c>
      <c r="T58" s="7">
        <f>IF($AH58="","",IF(INDEX('Per Invoice'!T$2:T$401,$AH58)="","",INDEX('Per Invoice'!T$2:T$401,$AH58)))</f>
        <v/>
      </c>
      <c r="U58" s="7">
        <f>IF($AH58="","",IF(INDEX('Per Invoice'!U$2:U$401,$AH58)="","",INDEX('Per Invoice'!U$2:U$401,$AH58)))</f>
        <v/>
      </c>
      <c r="V58">
        <f>IF($AH58="","",IF(INDEX('Per Invoice'!V$2:V$401,$AH58)="","",INDEX('Per Invoice'!V$2:V$401,$AH58)))</f>
        <v/>
      </c>
      <c r="W58" s="7">
        <f>IF($AH58="","",IF(INDEX('Per Invoice'!W$2:W$401,$AH58)="","",INDEX('Per Invoice'!W$2:W$401,$AH58)))</f>
        <v/>
      </c>
      <c r="X58" s="7">
        <f>IF($AH58="","",IF(INDEX('Per Invoice'!X$2:X$401,$AH58)="","",INDEX('Per Invoice'!X$2:X$401,$AH58)))</f>
        <v/>
      </c>
      <c r="Y58">
        <f>IF($AH58="","",IF(INDEX('Per Invoice'!Y$2:Y$401,$AH58)="","",INDEX('Per Invoice'!Y$2:Y$401,$AH58)))</f>
        <v/>
      </c>
      <c r="Z58" s="7">
        <f>IF($AH58="","",IF(INDEX('Per Invoice'!Z$2:Z$401,$AH58)="","",INDEX('Per Invoice'!Z$2:Z$401,$AH58)))</f>
        <v/>
      </c>
      <c r="AA58" s="7">
        <f>IF($AH58="","",IF(INDEX('Per Invoice'!AA$2:AA$401,$AH58)="","",INDEX('Per Invoice'!AA$2:AA$401,$AH58)))</f>
        <v/>
      </c>
      <c r="AB58" s="7">
        <f>IF($AH58="","",IF(INDEX('Per Invoice'!AB$2:AB$401,$AH58)="","",INDEX('Per Invoice'!AB$2:AB$401,$AH58)))</f>
        <v/>
      </c>
      <c r="AC58" s="7">
        <f>IF($AH58="","",IF(INDEX('Per Invoice'!AC$2:AC$401,$AH58)="","",INDEX('Per Invoice'!AC$2:AC$401,$AH58)))</f>
        <v/>
      </c>
      <c r="AD58" s="7">
        <f>IF($AH58="","",IF(INDEX('Per Invoice'!AD$2:AD$401,$AH58)="","",INDEX('Per Invoice'!AD$2:AD$401,$AH58)))</f>
        <v/>
      </c>
      <c r="AE58" s="7">
        <f>IF($AH58="","",IF(INDEX('Per Invoice'!AE$2:AE$401,$AH58)="","",INDEX('Per Invoice'!AE$2:AE$401,$AH58)))</f>
        <v/>
      </c>
      <c r="AF58">
        <f>IF($AH58="","",IF(INDEX('Per Invoice'!AF$2:AF$401,$AH58)="","",INDEX('Per Invoice'!AF$2:AF$401,$AH58)))</f>
        <v/>
      </c>
      <c r="AG58" s="7">
        <f>IF($AH58="","",IF(INDEX('Per Invoice'!AG$2:AG$401,$AH58)="","",INDEX('Per Invoice'!AG$2:AG$401,$AH58)))</f>
        <v/>
      </c>
      <c r="AH58" s="16">
        <f>IFERROR(MATCH(Settings!$C$27&amp;"|"&amp;ROWS($AH$2:$AH58),'Per Invoice'!$AI$2:$AI$401,0),"")</f>
        <v/>
      </c>
    </row>
    <row r="59">
      <c r="A59">
        <f>IF($AH59="","",IF(INDEX('Per Invoice'!A$2:A$401,$AH59)="","",INDEX('Per Invoice'!A$2:A$401,$AH59)))</f>
        <v/>
      </c>
      <c r="B59">
        <f>IF($AH59="","",IF(INDEX('Per Invoice'!B$2:B$401,$AH59)="","",INDEX('Per Invoice'!B$2:B$401,$AH59)))</f>
        <v/>
      </c>
      <c r="C59">
        <f>IF($AH59="","",IF(INDEX('Per Invoice'!C$2:C$401,$AH59)="","",INDEX('Per Invoice'!C$2:C$401,$AH59)))</f>
        <v/>
      </c>
      <c r="D59">
        <f>IF($AH59="","",IF(INDEX('Per Invoice'!D$2:D$401,$AH59)="","",INDEX('Per Invoice'!D$2:D$401,$AH59)))</f>
        <v/>
      </c>
      <c r="E59">
        <f>IF($AH59="","",IF(INDEX('Per Invoice'!E$2:E$401,$AH59)="","",INDEX('Per Invoice'!E$2:E$401,$AH59)))</f>
        <v/>
      </c>
      <c r="F59">
        <f>IF($AH59="","",IF(INDEX('Per Invoice'!F$2:F$401,$AH59)="","",INDEX('Per Invoice'!F$2:F$401,$AH59)))</f>
        <v/>
      </c>
      <c r="G59">
        <f>IF($AH59="","",IF(INDEX('Per Invoice'!G$2:G$401,$AH59)="","",INDEX('Per Invoice'!G$2:G$401,$AH59)))</f>
        <v/>
      </c>
      <c r="H59">
        <f>IF($AH59="","",IF(INDEX('Per Invoice'!H$2:H$401,$AH59)="","",INDEX('Per Invoice'!H$2:H$401,$AH59)))</f>
        <v/>
      </c>
      <c r="I59" s="14">
        <f>IF($AH59="","",IF(INDEX('Per Invoice'!I$2:I$401,$AH59)="","",INDEX('Per Invoice'!I$2:I$401,$AH59)))</f>
        <v/>
      </c>
      <c r="J59">
        <f>IF($AH59="","",IF(INDEX('Per Invoice'!J$2:J$401,$AH59)="","",INDEX('Per Invoice'!J$2:J$401,$AH59)))</f>
        <v/>
      </c>
      <c r="K59">
        <f>IF($AH59="","",IF(INDEX('Per Invoice'!K$2:K$401,$AH59)="","",INDEX('Per Invoice'!K$2:K$401,$AH59)))</f>
        <v/>
      </c>
      <c r="L59">
        <f>IF($AH59="","",IF(INDEX('Per Invoice'!L$2:L$401,$AH59)="","",INDEX('Per Invoice'!L$2:L$401,$AH59)))</f>
        <v/>
      </c>
      <c r="M59">
        <f>IF($AH59="","",IF(INDEX('Per Invoice'!M$2:M$401,$AH59)="","",INDEX('Per Invoice'!M$2:M$401,$AH59)))</f>
        <v/>
      </c>
      <c r="N59">
        <f>IF($AH59="","",IF(INDEX('Per Invoice'!N$2:N$401,$AH59)="","",INDEX('Per Invoice'!N$2:N$401,$AH59)))</f>
        <v/>
      </c>
      <c r="O59">
        <f>IF($AH59="","",IF(INDEX('Per Invoice'!O$2:O$401,$AH59)="","",INDEX('Per Invoice'!O$2:O$401,$AH59)))</f>
        <v/>
      </c>
      <c r="P59" s="7">
        <f>IF($AH59="","",IF(INDEX('Per Invoice'!P$2:P$401,$AH59)="","",INDEX('Per Invoice'!P$2:P$401,$AH59)))</f>
        <v/>
      </c>
      <c r="Q59">
        <f>IF($AH59="","",IF(INDEX('Per Invoice'!Q$2:Q$401,$AH59)="","",INDEX('Per Invoice'!Q$2:Q$401,$AH59)))</f>
        <v/>
      </c>
      <c r="R59">
        <f>IF($AH59="","",IF(INDEX('Per Invoice'!R$2:R$401,$AH59)="","",INDEX('Per Invoice'!R$2:R$401,$AH59)))</f>
        <v/>
      </c>
      <c r="S59">
        <f>IF($AH59="","",IF(INDEX('Per Invoice'!S$2:S$401,$AH59)="","",INDEX('Per Invoice'!S$2:S$401,$AH59)))</f>
        <v/>
      </c>
      <c r="T59" s="7">
        <f>IF($AH59="","",IF(INDEX('Per Invoice'!T$2:T$401,$AH59)="","",INDEX('Per Invoice'!T$2:T$401,$AH59)))</f>
        <v/>
      </c>
      <c r="U59" s="7">
        <f>IF($AH59="","",IF(INDEX('Per Invoice'!U$2:U$401,$AH59)="","",INDEX('Per Invoice'!U$2:U$401,$AH59)))</f>
        <v/>
      </c>
      <c r="V59">
        <f>IF($AH59="","",IF(INDEX('Per Invoice'!V$2:V$401,$AH59)="","",INDEX('Per Invoice'!V$2:V$401,$AH59)))</f>
        <v/>
      </c>
      <c r="W59" s="7">
        <f>IF($AH59="","",IF(INDEX('Per Invoice'!W$2:W$401,$AH59)="","",INDEX('Per Invoice'!W$2:W$401,$AH59)))</f>
        <v/>
      </c>
      <c r="X59" s="7">
        <f>IF($AH59="","",IF(INDEX('Per Invoice'!X$2:X$401,$AH59)="","",INDEX('Per Invoice'!X$2:X$401,$AH59)))</f>
        <v/>
      </c>
      <c r="Y59">
        <f>IF($AH59="","",IF(INDEX('Per Invoice'!Y$2:Y$401,$AH59)="","",INDEX('Per Invoice'!Y$2:Y$401,$AH59)))</f>
        <v/>
      </c>
      <c r="Z59" s="7">
        <f>IF($AH59="","",IF(INDEX('Per Invoice'!Z$2:Z$401,$AH59)="","",INDEX('Per Invoice'!Z$2:Z$401,$AH59)))</f>
        <v/>
      </c>
      <c r="AA59" s="7">
        <f>IF($AH59="","",IF(INDEX('Per Invoice'!AA$2:AA$401,$AH59)="","",INDEX('Per Invoice'!AA$2:AA$401,$AH59)))</f>
        <v/>
      </c>
      <c r="AB59" s="7">
        <f>IF($AH59="","",IF(INDEX('Per Invoice'!AB$2:AB$401,$AH59)="","",INDEX('Per Invoice'!AB$2:AB$401,$AH59)))</f>
        <v/>
      </c>
      <c r="AC59" s="7">
        <f>IF($AH59="","",IF(INDEX('Per Invoice'!AC$2:AC$401,$AH59)="","",INDEX('Per Invoice'!AC$2:AC$401,$AH59)))</f>
        <v/>
      </c>
      <c r="AD59" s="7">
        <f>IF($AH59="","",IF(INDEX('Per Invoice'!AD$2:AD$401,$AH59)="","",INDEX('Per Invoice'!AD$2:AD$401,$AH59)))</f>
        <v/>
      </c>
      <c r="AE59" s="7">
        <f>IF($AH59="","",IF(INDEX('Per Invoice'!AE$2:AE$401,$AH59)="","",INDEX('Per Invoice'!AE$2:AE$401,$AH59)))</f>
        <v/>
      </c>
      <c r="AF59">
        <f>IF($AH59="","",IF(INDEX('Per Invoice'!AF$2:AF$401,$AH59)="","",INDEX('Per Invoice'!AF$2:AF$401,$AH59)))</f>
        <v/>
      </c>
      <c r="AG59" s="7">
        <f>IF($AH59="","",IF(INDEX('Per Invoice'!AG$2:AG$401,$AH59)="","",INDEX('Per Invoice'!AG$2:AG$401,$AH59)))</f>
        <v/>
      </c>
      <c r="AH59" s="16">
        <f>IFERROR(MATCH(Settings!$C$27&amp;"|"&amp;ROWS($AH$2:$AH59),'Per Invoice'!$AI$2:$AI$401,0),"")</f>
        <v/>
      </c>
    </row>
    <row r="60">
      <c r="A60">
        <f>IF($AH60="","",IF(INDEX('Per Invoice'!A$2:A$401,$AH60)="","",INDEX('Per Invoice'!A$2:A$401,$AH60)))</f>
        <v/>
      </c>
      <c r="B60">
        <f>IF($AH60="","",IF(INDEX('Per Invoice'!B$2:B$401,$AH60)="","",INDEX('Per Invoice'!B$2:B$401,$AH60)))</f>
        <v/>
      </c>
      <c r="C60">
        <f>IF($AH60="","",IF(INDEX('Per Invoice'!C$2:C$401,$AH60)="","",INDEX('Per Invoice'!C$2:C$401,$AH60)))</f>
        <v/>
      </c>
      <c r="D60">
        <f>IF($AH60="","",IF(INDEX('Per Invoice'!D$2:D$401,$AH60)="","",INDEX('Per Invoice'!D$2:D$401,$AH60)))</f>
        <v/>
      </c>
      <c r="E60">
        <f>IF($AH60="","",IF(INDEX('Per Invoice'!E$2:E$401,$AH60)="","",INDEX('Per Invoice'!E$2:E$401,$AH60)))</f>
        <v/>
      </c>
      <c r="F60">
        <f>IF($AH60="","",IF(INDEX('Per Invoice'!F$2:F$401,$AH60)="","",INDEX('Per Invoice'!F$2:F$401,$AH60)))</f>
        <v/>
      </c>
      <c r="G60">
        <f>IF($AH60="","",IF(INDEX('Per Invoice'!G$2:G$401,$AH60)="","",INDEX('Per Invoice'!G$2:G$401,$AH60)))</f>
        <v/>
      </c>
      <c r="H60">
        <f>IF($AH60="","",IF(INDEX('Per Invoice'!H$2:H$401,$AH60)="","",INDEX('Per Invoice'!H$2:H$401,$AH60)))</f>
        <v/>
      </c>
      <c r="I60" s="14">
        <f>IF($AH60="","",IF(INDEX('Per Invoice'!I$2:I$401,$AH60)="","",INDEX('Per Invoice'!I$2:I$401,$AH60)))</f>
        <v/>
      </c>
      <c r="J60">
        <f>IF($AH60="","",IF(INDEX('Per Invoice'!J$2:J$401,$AH60)="","",INDEX('Per Invoice'!J$2:J$401,$AH60)))</f>
        <v/>
      </c>
      <c r="K60">
        <f>IF($AH60="","",IF(INDEX('Per Invoice'!K$2:K$401,$AH60)="","",INDEX('Per Invoice'!K$2:K$401,$AH60)))</f>
        <v/>
      </c>
      <c r="L60">
        <f>IF($AH60="","",IF(INDEX('Per Invoice'!L$2:L$401,$AH60)="","",INDEX('Per Invoice'!L$2:L$401,$AH60)))</f>
        <v/>
      </c>
      <c r="M60">
        <f>IF($AH60="","",IF(INDEX('Per Invoice'!M$2:M$401,$AH60)="","",INDEX('Per Invoice'!M$2:M$401,$AH60)))</f>
        <v/>
      </c>
      <c r="N60">
        <f>IF($AH60="","",IF(INDEX('Per Invoice'!N$2:N$401,$AH60)="","",INDEX('Per Invoice'!N$2:N$401,$AH60)))</f>
        <v/>
      </c>
      <c r="O60">
        <f>IF($AH60="","",IF(INDEX('Per Invoice'!O$2:O$401,$AH60)="","",INDEX('Per Invoice'!O$2:O$401,$AH60)))</f>
        <v/>
      </c>
      <c r="P60" s="7">
        <f>IF($AH60="","",IF(INDEX('Per Invoice'!P$2:P$401,$AH60)="","",INDEX('Per Invoice'!P$2:P$401,$AH60)))</f>
        <v/>
      </c>
      <c r="Q60">
        <f>IF($AH60="","",IF(INDEX('Per Invoice'!Q$2:Q$401,$AH60)="","",INDEX('Per Invoice'!Q$2:Q$401,$AH60)))</f>
        <v/>
      </c>
      <c r="R60">
        <f>IF($AH60="","",IF(INDEX('Per Invoice'!R$2:R$401,$AH60)="","",INDEX('Per Invoice'!R$2:R$401,$AH60)))</f>
        <v/>
      </c>
      <c r="S60">
        <f>IF($AH60="","",IF(INDEX('Per Invoice'!S$2:S$401,$AH60)="","",INDEX('Per Invoice'!S$2:S$401,$AH60)))</f>
        <v/>
      </c>
      <c r="T60" s="7">
        <f>IF($AH60="","",IF(INDEX('Per Invoice'!T$2:T$401,$AH60)="","",INDEX('Per Invoice'!T$2:T$401,$AH60)))</f>
        <v/>
      </c>
      <c r="U60" s="7">
        <f>IF($AH60="","",IF(INDEX('Per Invoice'!U$2:U$401,$AH60)="","",INDEX('Per Invoice'!U$2:U$401,$AH60)))</f>
        <v/>
      </c>
      <c r="V60">
        <f>IF($AH60="","",IF(INDEX('Per Invoice'!V$2:V$401,$AH60)="","",INDEX('Per Invoice'!V$2:V$401,$AH60)))</f>
        <v/>
      </c>
      <c r="W60" s="7">
        <f>IF($AH60="","",IF(INDEX('Per Invoice'!W$2:W$401,$AH60)="","",INDEX('Per Invoice'!W$2:W$401,$AH60)))</f>
        <v/>
      </c>
      <c r="X60" s="7">
        <f>IF($AH60="","",IF(INDEX('Per Invoice'!X$2:X$401,$AH60)="","",INDEX('Per Invoice'!X$2:X$401,$AH60)))</f>
        <v/>
      </c>
      <c r="Y60">
        <f>IF($AH60="","",IF(INDEX('Per Invoice'!Y$2:Y$401,$AH60)="","",INDEX('Per Invoice'!Y$2:Y$401,$AH60)))</f>
        <v/>
      </c>
      <c r="Z60" s="7">
        <f>IF($AH60="","",IF(INDEX('Per Invoice'!Z$2:Z$401,$AH60)="","",INDEX('Per Invoice'!Z$2:Z$401,$AH60)))</f>
        <v/>
      </c>
      <c r="AA60" s="7">
        <f>IF($AH60="","",IF(INDEX('Per Invoice'!AA$2:AA$401,$AH60)="","",INDEX('Per Invoice'!AA$2:AA$401,$AH60)))</f>
        <v/>
      </c>
      <c r="AB60" s="7">
        <f>IF($AH60="","",IF(INDEX('Per Invoice'!AB$2:AB$401,$AH60)="","",INDEX('Per Invoice'!AB$2:AB$401,$AH60)))</f>
        <v/>
      </c>
      <c r="AC60" s="7">
        <f>IF($AH60="","",IF(INDEX('Per Invoice'!AC$2:AC$401,$AH60)="","",INDEX('Per Invoice'!AC$2:AC$401,$AH60)))</f>
        <v/>
      </c>
      <c r="AD60" s="7">
        <f>IF($AH60="","",IF(INDEX('Per Invoice'!AD$2:AD$401,$AH60)="","",INDEX('Per Invoice'!AD$2:AD$401,$AH60)))</f>
        <v/>
      </c>
      <c r="AE60" s="7">
        <f>IF($AH60="","",IF(INDEX('Per Invoice'!AE$2:AE$401,$AH60)="","",INDEX('Per Invoice'!AE$2:AE$401,$AH60)))</f>
        <v/>
      </c>
      <c r="AF60">
        <f>IF($AH60="","",IF(INDEX('Per Invoice'!AF$2:AF$401,$AH60)="","",INDEX('Per Invoice'!AF$2:AF$401,$AH60)))</f>
        <v/>
      </c>
      <c r="AG60" s="7">
        <f>IF($AH60="","",IF(INDEX('Per Invoice'!AG$2:AG$401,$AH60)="","",INDEX('Per Invoice'!AG$2:AG$401,$AH60)))</f>
        <v/>
      </c>
      <c r="AH60" s="16">
        <f>IFERROR(MATCH(Settings!$C$27&amp;"|"&amp;ROWS($AH$2:$AH60),'Per Invoice'!$AI$2:$AI$401,0),"")</f>
        <v/>
      </c>
    </row>
    <row r="61">
      <c r="A61">
        <f>IF($AH61="","",IF(INDEX('Per Invoice'!A$2:A$401,$AH61)="","",INDEX('Per Invoice'!A$2:A$401,$AH61)))</f>
        <v/>
      </c>
      <c r="B61">
        <f>IF($AH61="","",IF(INDEX('Per Invoice'!B$2:B$401,$AH61)="","",INDEX('Per Invoice'!B$2:B$401,$AH61)))</f>
        <v/>
      </c>
      <c r="C61">
        <f>IF($AH61="","",IF(INDEX('Per Invoice'!C$2:C$401,$AH61)="","",INDEX('Per Invoice'!C$2:C$401,$AH61)))</f>
        <v/>
      </c>
      <c r="D61">
        <f>IF($AH61="","",IF(INDEX('Per Invoice'!D$2:D$401,$AH61)="","",INDEX('Per Invoice'!D$2:D$401,$AH61)))</f>
        <v/>
      </c>
      <c r="E61">
        <f>IF($AH61="","",IF(INDEX('Per Invoice'!E$2:E$401,$AH61)="","",INDEX('Per Invoice'!E$2:E$401,$AH61)))</f>
        <v/>
      </c>
      <c r="F61">
        <f>IF($AH61="","",IF(INDEX('Per Invoice'!F$2:F$401,$AH61)="","",INDEX('Per Invoice'!F$2:F$401,$AH61)))</f>
        <v/>
      </c>
      <c r="G61">
        <f>IF($AH61="","",IF(INDEX('Per Invoice'!G$2:G$401,$AH61)="","",INDEX('Per Invoice'!G$2:G$401,$AH61)))</f>
        <v/>
      </c>
      <c r="H61">
        <f>IF($AH61="","",IF(INDEX('Per Invoice'!H$2:H$401,$AH61)="","",INDEX('Per Invoice'!H$2:H$401,$AH61)))</f>
        <v/>
      </c>
      <c r="I61" s="14">
        <f>IF($AH61="","",IF(INDEX('Per Invoice'!I$2:I$401,$AH61)="","",INDEX('Per Invoice'!I$2:I$401,$AH61)))</f>
        <v/>
      </c>
      <c r="J61">
        <f>IF($AH61="","",IF(INDEX('Per Invoice'!J$2:J$401,$AH61)="","",INDEX('Per Invoice'!J$2:J$401,$AH61)))</f>
        <v/>
      </c>
      <c r="K61">
        <f>IF($AH61="","",IF(INDEX('Per Invoice'!K$2:K$401,$AH61)="","",INDEX('Per Invoice'!K$2:K$401,$AH61)))</f>
        <v/>
      </c>
      <c r="L61">
        <f>IF($AH61="","",IF(INDEX('Per Invoice'!L$2:L$401,$AH61)="","",INDEX('Per Invoice'!L$2:L$401,$AH61)))</f>
        <v/>
      </c>
      <c r="M61">
        <f>IF($AH61="","",IF(INDEX('Per Invoice'!M$2:M$401,$AH61)="","",INDEX('Per Invoice'!M$2:M$401,$AH61)))</f>
        <v/>
      </c>
      <c r="N61">
        <f>IF($AH61="","",IF(INDEX('Per Invoice'!N$2:N$401,$AH61)="","",INDEX('Per Invoice'!N$2:N$401,$AH61)))</f>
        <v/>
      </c>
      <c r="O61">
        <f>IF($AH61="","",IF(INDEX('Per Invoice'!O$2:O$401,$AH61)="","",INDEX('Per Invoice'!O$2:O$401,$AH61)))</f>
        <v/>
      </c>
      <c r="P61" s="7">
        <f>IF($AH61="","",IF(INDEX('Per Invoice'!P$2:P$401,$AH61)="","",INDEX('Per Invoice'!P$2:P$401,$AH61)))</f>
        <v/>
      </c>
      <c r="Q61">
        <f>IF($AH61="","",IF(INDEX('Per Invoice'!Q$2:Q$401,$AH61)="","",INDEX('Per Invoice'!Q$2:Q$401,$AH61)))</f>
        <v/>
      </c>
      <c r="R61">
        <f>IF($AH61="","",IF(INDEX('Per Invoice'!R$2:R$401,$AH61)="","",INDEX('Per Invoice'!R$2:R$401,$AH61)))</f>
        <v/>
      </c>
      <c r="S61">
        <f>IF($AH61="","",IF(INDEX('Per Invoice'!S$2:S$401,$AH61)="","",INDEX('Per Invoice'!S$2:S$401,$AH61)))</f>
        <v/>
      </c>
      <c r="T61" s="7">
        <f>IF($AH61="","",IF(INDEX('Per Invoice'!T$2:T$401,$AH61)="","",INDEX('Per Invoice'!T$2:T$401,$AH61)))</f>
        <v/>
      </c>
      <c r="U61" s="7">
        <f>IF($AH61="","",IF(INDEX('Per Invoice'!U$2:U$401,$AH61)="","",INDEX('Per Invoice'!U$2:U$401,$AH61)))</f>
        <v/>
      </c>
      <c r="V61">
        <f>IF($AH61="","",IF(INDEX('Per Invoice'!V$2:V$401,$AH61)="","",INDEX('Per Invoice'!V$2:V$401,$AH61)))</f>
        <v/>
      </c>
      <c r="W61" s="7">
        <f>IF($AH61="","",IF(INDEX('Per Invoice'!W$2:W$401,$AH61)="","",INDEX('Per Invoice'!W$2:W$401,$AH61)))</f>
        <v/>
      </c>
      <c r="X61" s="7">
        <f>IF($AH61="","",IF(INDEX('Per Invoice'!X$2:X$401,$AH61)="","",INDEX('Per Invoice'!X$2:X$401,$AH61)))</f>
        <v/>
      </c>
      <c r="Y61">
        <f>IF($AH61="","",IF(INDEX('Per Invoice'!Y$2:Y$401,$AH61)="","",INDEX('Per Invoice'!Y$2:Y$401,$AH61)))</f>
        <v/>
      </c>
      <c r="Z61" s="7">
        <f>IF($AH61="","",IF(INDEX('Per Invoice'!Z$2:Z$401,$AH61)="","",INDEX('Per Invoice'!Z$2:Z$401,$AH61)))</f>
        <v/>
      </c>
      <c r="AA61" s="7">
        <f>IF($AH61="","",IF(INDEX('Per Invoice'!AA$2:AA$401,$AH61)="","",INDEX('Per Invoice'!AA$2:AA$401,$AH61)))</f>
        <v/>
      </c>
      <c r="AB61" s="7">
        <f>IF($AH61="","",IF(INDEX('Per Invoice'!AB$2:AB$401,$AH61)="","",INDEX('Per Invoice'!AB$2:AB$401,$AH61)))</f>
        <v/>
      </c>
      <c r="AC61" s="7">
        <f>IF($AH61="","",IF(INDEX('Per Invoice'!AC$2:AC$401,$AH61)="","",INDEX('Per Invoice'!AC$2:AC$401,$AH61)))</f>
        <v/>
      </c>
      <c r="AD61" s="7">
        <f>IF($AH61="","",IF(INDEX('Per Invoice'!AD$2:AD$401,$AH61)="","",INDEX('Per Invoice'!AD$2:AD$401,$AH61)))</f>
        <v/>
      </c>
      <c r="AE61" s="7">
        <f>IF($AH61="","",IF(INDEX('Per Invoice'!AE$2:AE$401,$AH61)="","",INDEX('Per Invoice'!AE$2:AE$401,$AH61)))</f>
        <v/>
      </c>
      <c r="AF61">
        <f>IF($AH61="","",IF(INDEX('Per Invoice'!AF$2:AF$401,$AH61)="","",INDEX('Per Invoice'!AF$2:AF$401,$AH61)))</f>
        <v/>
      </c>
      <c r="AG61" s="7">
        <f>IF($AH61="","",IF(INDEX('Per Invoice'!AG$2:AG$401,$AH61)="","",INDEX('Per Invoice'!AG$2:AG$401,$AH61)))</f>
        <v/>
      </c>
      <c r="AH61" s="16">
        <f>IFERROR(MATCH(Settings!$C$27&amp;"|"&amp;ROWS($AH$2:$AH61),'Per Invoice'!$AI$2:$AI$401,0),"")</f>
        <v/>
      </c>
    </row>
    <row r="62">
      <c r="A62">
        <f>IF($AH62="","",IF(INDEX('Per Invoice'!A$2:A$401,$AH62)="","",INDEX('Per Invoice'!A$2:A$401,$AH62)))</f>
        <v/>
      </c>
      <c r="B62">
        <f>IF($AH62="","",IF(INDEX('Per Invoice'!B$2:B$401,$AH62)="","",INDEX('Per Invoice'!B$2:B$401,$AH62)))</f>
        <v/>
      </c>
      <c r="C62">
        <f>IF($AH62="","",IF(INDEX('Per Invoice'!C$2:C$401,$AH62)="","",INDEX('Per Invoice'!C$2:C$401,$AH62)))</f>
        <v/>
      </c>
      <c r="D62">
        <f>IF($AH62="","",IF(INDEX('Per Invoice'!D$2:D$401,$AH62)="","",INDEX('Per Invoice'!D$2:D$401,$AH62)))</f>
        <v/>
      </c>
      <c r="E62">
        <f>IF($AH62="","",IF(INDEX('Per Invoice'!E$2:E$401,$AH62)="","",INDEX('Per Invoice'!E$2:E$401,$AH62)))</f>
        <v/>
      </c>
      <c r="F62">
        <f>IF($AH62="","",IF(INDEX('Per Invoice'!F$2:F$401,$AH62)="","",INDEX('Per Invoice'!F$2:F$401,$AH62)))</f>
        <v/>
      </c>
      <c r="G62">
        <f>IF($AH62="","",IF(INDEX('Per Invoice'!G$2:G$401,$AH62)="","",INDEX('Per Invoice'!G$2:G$401,$AH62)))</f>
        <v/>
      </c>
      <c r="H62">
        <f>IF($AH62="","",IF(INDEX('Per Invoice'!H$2:H$401,$AH62)="","",INDEX('Per Invoice'!H$2:H$401,$AH62)))</f>
        <v/>
      </c>
      <c r="I62" s="14">
        <f>IF($AH62="","",IF(INDEX('Per Invoice'!I$2:I$401,$AH62)="","",INDEX('Per Invoice'!I$2:I$401,$AH62)))</f>
        <v/>
      </c>
      <c r="J62">
        <f>IF($AH62="","",IF(INDEX('Per Invoice'!J$2:J$401,$AH62)="","",INDEX('Per Invoice'!J$2:J$401,$AH62)))</f>
        <v/>
      </c>
      <c r="K62">
        <f>IF($AH62="","",IF(INDEX('Per Invoice'!K$2:K$401,$AH62)="","",INDEX('Per Invoice'!K$2:K$401,$AH62)))</f>
        <v/>
      </c>
      <c r="L62">
        <f>IF($AH62="","",IF(INDEX('Per Invoice'!L$2:L$401,$AH62)="","",INDEX('Per Invoice'!L$2:L$401,$AH62)))</f>
        <v/>
      </c>
      <c r="M62">
        <f>IF($AH62="","",IF(INDEX('Per Invoice'!M$2:M$401,$AH62)="","",INDEX('Per Invoice'!M$2:M$401,$AH62)))</f>
        <v/>
      </c>
      <c r="N62">
        <f>IF($AH62="","",IF(INDEX('Per Invoice'!N$2:N$401,$AH62)="","",INDEX('Per Invoice'!N$2:N$401,$AH62)))</f>
        <v/>
      </c>
      <c r="O62">
        <f>IF($AH62="","",IF(INDEX('Per Invoice'!O$2:O$401,$AH62)="","",INDEX('Per Invoice'!O$2:O$401,$AH62)))</f>
        <v/>
      </c>
      <c r="P62" s="7">
        <f>IF($AH62="","",IF(INDEX('Per Invoice'!P$2:P$401,$AH62)="","",INDEX('Per Invoice'!P$2:P$401,$AH62)))</f>
        <v/>
      </c>
      <c r="Q62">
        <f>IF($AH62="","",IF(INDEX('Per Invoice'!Q$2:Q$401,$AH62)="","",INDEX('Per Invoice'!Q$2:Q$401,$AH62)))</f>
        <v/>
      </c>
      <c r="R62">
        <f>IF($AH62="","",IF(INDEX('Per Invoice'!R$2:R$401,$AH62)="","",INDEX('Per Invoice'!R$2:R$401,$AH62)))</f>
        <v/>
      </c>
      <c r="S62">
        <f>IF($AH62="","",IF(INDEX('Per Invoice'!S$2:S$401,$AH62)="","",INDEX('Per Invoice'!S$2:S$401,$AH62)))</f>
        <v/>
      </c>
      <c r="T62" s="7">
        <f>IF($AH62="","",IF(INDEX('Per Invoice'!T$2:T$401,$AH62)="","",INDEX('Per Invoice'!T$2:T$401,$AH62)))</f>
        <v/>
      </c>
      <c r="U62" s="7">
        <f>IF($AH62="","",IF(INDEX('Per Invoice'!U$2:U$401,$AH62)="","",INDEX('Per Invoice'!U$2:U$401,$AH62)))</f>
        <v/>
      </c>
      <c r="V62">
        <f>IF($AH62="","",IF(INDEX('Per Invoice'!V$2:V$401,$AH62)="","",INDEX('Per Invoice'!V$2:V$401,$AH62)))</f>
        <v/>
      </c>
      <c r="W62" s="7">
        <f>IF($AH62="","",IF(INDEX('Per Invoice'!W$2:W$401,$AH62)="","",INDEX('Per Invoice'!W$2:W$401,$AH62)))</f>
        <v/>
      </c>
      <c r="X62" s="7">
        <f>IF($AH62="","",IF(INDEX('Per Invoice'!X$2:X$401,$AH62)="","",INDEX('Per Invoice'!X$2:X$401,$AH62)))</f>
        <v/>
      </c>
      <c r="Y62">
        <f>IF($AH62="","",IF(INDEX('Per Invoice'!Y$2:Y$401,$AH62)="","",INDEX('Per Invoice'!Y$2:Y$401,$AH62)))</f>
        <v/>
      </c>
      <c r="Z62" s="7">
        <f>IF($AH62="","",IF(INDEX('Per Invoice'!Z$2:Z$401,$AH62)="","",INDEX('Per Invoice'!Z$2:Z$401,$AH62)))</f>
        <v/>
      </c>
      <c r="AA62" s="7">
        <f>IF($AH62="","",IF(INDEX('Per Invoice'!AA$2:AA$401,$AH62)="","",INDEX('Per Invoice'!AA$2:AA$401,$AH62)))</f>
        <v/>
      </c>
      <c r="AB62" s="7">
        <f>IF($AH62="","",IF(INDEX('Per Invoice'!AB$2:AB$401,$AH62)="","",INDEX('Per Invoice'!AB$2:AB$401,$AH62)))</f>
        <v/>
      </c>
      <c r="AC62" s="7">
        <f>IF($AH62="","",IF(INDEX('Per Invoice'!AC$2:AC$401,$AH62)="","",INDEX('Per Invoice'!AC$2:AC$401,$AH62)))</f>
        <v/>
      </c>
      <c r="AD62" s="7">
        <f>IF($AH62="","",IF(INDEX('Per Invoice'!AD$2:AD$401,$AH62)="","",INDEX('Per Invoice'!AD$2:AD$401,$AH62)))</f>
        <v/>
      </c>
      <c r="AE62" s="7">
        <f>IF($AH62="","",IF(INDEX('Per Invoice'!AE$2:AE$401,$AH62)="","",INDEX('Per Invoice'!AE$2:AE$401,$AH62)))</f>
        <v/>
      </c>
      <c r="AF62">
        <f>IF($AH62="","",IF(INDEX('Per Invoice'!AF$2:AF$401,$AH62)="","",INDEX('Per Invoice'!AF$2:AF$401,$AH62)))</f>
        <v/>
      </c>
      <c r="AG62" s="7">
        <f>IF($AH62="","",IF(INDEX('Per Invoice'!AG$2:AG$401,$AH62)="","",INDEX('Per Invoice'!AG$2:AG$401,$AH62)))</f>
        <v/>
      </c>
      <c r="AH62" s="16">
        <f>IFERROR(MATCH(Settings!$C$27&amp;"|"&amp;ROWS($AH$2:$AH62),'Per Invoice'!$AI$2:$AI$401,0),"")</f>
        <v/>
      </c>
    </row>
    <row r="63">
      <c r="A63">
        <f>IF($AH63="","",IF(INDEX('Per Invoice'!A$2:A$401,$AH63)="","",INDEX('Per Invoice'!A$2:A$401,$AH63)))</f>
        <v/>
      </c>
      <c r="B63">
        <f>IF($AH63="","",IF(INDEX('Per Invoice'!B$2:B$401,$AH63)="","",INDEX('Per Invoice'!B$2:B$401,$AH63)))</f>
        <v/>
      </c>
      <c r="C63">
        <f>IF($AH63="","",IF(INDEX('Per Invoice'!C$2:C$401,$AH63)="","",INDEX('Per Invoice'!C$2:C$401,$AH63)))</f>
        <v/>
      </c>
      <c r="D63">
        <f>IF($AH63="","",IF(INDEX('Per Invoice'!D$2:D$401,$AH63)="","",INDEX('Per Invoice'!D$2:D$401,$AH63)))</f>
        <v/>
      </c>
      <c r="E63">
        <f>IF($AH63="","",IF(INDEX('Per Invoice'!E$2:E$401,$AH63)="","",INDEX('Per Invoice'!E$2:E$401,$AH63)))</f>
        <v/>
      </c>
      <c r="F63">
        <f>IF($AH63="","",IF(INDEX('Per Invoice'!F$2:F$401,$AH63)="","",INDEX('Per Invoice'!F$2:F$401,$AH63)))</f>
        <v/>
      </c>
      <c r="G63">
        <f>IF($AH63="","",IF(INDEX('Per Invoice'!G$2:G$401,$AH63)="","",INDEX('Per Invoice'!G$2:G$401,$AH63)))</f>
        <v/>
      </c>
      <c r="H63">
        <f>IF($AH63="","",IF(INDEX('Per Invoice'!H$2:H$401,$AH63)="","",INDEX('Per Invoice'!H$2:H$401,$AH63)))</f>
        <v/>
      </c>
      <c r="I63" s="14">
        <f>IF($AH63="","",IF(INDEX('Per Invoice'!I$2:I$401,$AH63)="","",INDEX('Per Invoice'!I$2:I$401,$AH63)))</f>
        <v/>
      </c>
      <c r="J63">
        <f>IF($AH63="","",IF(INDEX('Per Invoice'!J$2:J$401,$AH63)="","",INDEX('Per Invoice'!J$2:J$401,$AH63)))</f>
        <v/>
      </c>
      <c r="K63">
        <f>IF($AH63="","",IF(INDEX('Per Invoice'!K$2:K$401,$AH63)="","",INDEX('Per Invoice'!K$2:K$401,$AH63)))</f>
        <v/>
      </c>
      <c r="L63">
        <f>IF($AH63="","",IF(INDEX('Per Invoice'!L$2:L$401,$AH63)="","",INDEX('Per Invoice'!L$2:L$401,$AH63)))</f>
        <v/>
      </c>
      <c r="M63">
        <f>IF($AH63="","",IF(INDEX('Per Invoice'!M$2:M$401,$AH63)="","",INDEX('Per Invoice'!M$2:M$401,$AH63)))</f>
        <v/>
      </c>
      <c r="N63">
        <f>IF($AH63="","",IF(INDEX('Per Invoice'!N$2:N$401,$AH63)="","",INDEX('Per Invoice'!N$2:N$401,$AH63)))</f>
        <v/>
      </c>
      <c r="O63">
        <f>IF($AH63="","",IF(INDEX('Per Invoice'!O$2:O$401,$AH63)="","",INDEX('Per Invoice'!O$2:O$401,$AH63)))</f>
        <v/>
      </c>
      <c r="P63" s="7">
        <f>IF($AH63="","",IF(INDEX('Per Invoice'!P$2:P$401,$AH63)="","",INDEX('Per Invoice'!P$2:P$401,$AH63)))</f>
        <v/>
      </c>
      <c r="Q63">
        <f>IF($AH63="","",IF(INDEX('Per Invoice'!Q$2:Q$401,$AH63)="","",INDEX('Per Invoice'!Q$2:Q$401,$AH63)))</f>
        <v/>
      </c>
      <c r="R63">
        <f>IF($AH63="","",IF(INDEX('Per Invoice'!R$2:R$401,$AH63)="","",INDEX('Per Invoice'!R$2:R$401,$AH63)))</f>
        <v/>
      </c>
      <c r="S63">
        <f>IF($AH63="","",IF(INDEX('Per Invoice'!S$2:S$401,$AH63)="","",INDEX('Per Invoice'!S$2:S$401,$AH63)))</f>
        <v/>
      </c>
      <c r="T63" s="7">
        <f>IF($AH63="","",IF(INDEX('Per Invoice'!T$2:T$401,$AH63)="","",INDEX('Per Invoice'!T$2:T$401,$AH63)))</f>
        <v/>
      </c>
      <c r="U63" s="7">
        <f>IF($AH63="","",IF(INDEX('Per Invoice'!U$2:U$401,$AH63)="","",INDEX('Per Invoice'!U$2:U$401,$AH63)))</f>
        <v/>
      </c>
      <c r="V63">
        <f>IF($AH63="","",IF(INDEX('Per Invoice'!V$2:V$401,$AH63)="","",INDEX('Per Invoice'!V$2:V$401,$AH63)))</f>
        <v/>
      </c>
      <c r="W63" s="7">
        <f>IF($AH63="","",IF(INDEX('Per Invoice'!W$2:W$401,$AH63)="","",INDEX('Per Invoice'!W$2:W$401,$AH63)))</f>
        <v/>
      </c>
      <c r="X63" s="7">
        <f>IF($AH63="","",IF(INDEX('Per Invoice'!X$2:X$401,$AH63)="","",INDEX('Per Invoice'!X$2:X$401,$AH63)))</f>
        <v/>
      </c>
      <c r="Y63">
        <f>IF($AH63="","",IF(INDEX('Per Invoice'!Y$2:Y$401,$AH63)="","",INDEX('Per Invoice'!Y$2:Y$401,$AH63)))</f>
        <v/>
      </c>
      <c r="Z63" s="7">
        <f>IF($AH63="","",IF(INDEX('Per Invoice'!Z$2:Z$401,$AH63)="","",INDEX('Per Invoice'!Z$2:Z$401,$AH63)))</f>
        <v/>
      </c>
      <c r="AA63" s="7">
        <f>IF($AH63="","",IF(INDEX('Per Invoice'!AA$2:AA$401,$AH63)="","",INDEX('Per Invoice'!AA$2:AA$401,$AH63)))</f>
        <v/>
      </c>
      <c r="AB63" s="7">
        <f>IF($AH63="","",IF(INDEX('Per Invoice'!AB$2:AB$401,$AH63)="","",INDEX('Per Invoice'!AB$2:AB$401,$AH63)))</f>
        <v/>
      </c>
      <c r="AC63" s="7">
        <f>IF($AH63="","",IF(INDEX('Per Invoice'!AC$2:AC$401,$AH63)="","",INDEX('Per Invoice'!AC$2:AC$401,$AH63)))</f>
        <v/>
      </c>
      <c r="AD63" s="7">
        <f>IF($AH63="","",IF(INDEX('Per Invoice'!AD$2:AD$401,$AH63)="","",INDEX('Per Invoice'!AD$2:AD$401,$AH63)))</f>
        <v/>
      </c>
      <c r="AE63" s="7">
        <f>IF($AH63="","",IF(INDEX('Per Invoice'!AE$2:AE$401,$AH63)="","",INDEX('Per Invoice'!AE$2:AE$401,$AH63)))</f>
        <v/>
      </c>
      <c r="AF63">
        <f>IF($AH63="","",IF(INDEX('Per Invoice'!AF$2:AF$401,$AH63)="","",INDEX('Per Invoice'!AF$2:AF$401,$AH63)))</f>
        <v/>
      </c>
      <c r="AG63" s="7">
        <f>IF($AH63="","",IF(INDEX('Per Invoice'!AG$2:AG$401,$AH63)="","",INDEX('Per Invoice'!AG$2:AG$401,$AH63)))</f>
        <v/>
      </c>
      <c r="AH63" s="16">
        <f>IFERROR(MATCH(Settings!$C$27&amp;"|"&amp;ROWS($AH$2:$AH63),'Per Invoice'!$AI$2:$AI$401,0),"")</f>
        <v/>
      </c>
    </row>
    <row r="64">
      <c r="A64">
        <f>IF($AH64="","",IF(INDEX('Per Invoice'!A$2:A$401,$AH64)="","",INDEX('Per Invoice'!A$2:A$401,$AH64)))</f>
        <v/>
      </c>
      <c r="B64">
        <f>IF($AH64="","",IF(INDEX('Per Invoice'!B$2:B$401,$AH64)="","",INDEX('Per Invoice'!B$2:B$401,$AH64)))</f>
        <v/>
      </c>
      <c r="C64">
        <f>IF($AH64="","",IF(INDEX('Per Invoice'!C$2:C$401,$AH64)="","",INDEX('Per Invoice'!C$2:C$401,$AH64)))</f>
        <v/>
      </c>
      <c r="D64">
        <f>IF($AH64="","",IF(INDEX('Per Invoice'!D$2:D$401,$AH64)="","",INDEX('Per Invoice'!D$2:D$401,$AH64)))</f>
        <v/>
      </c>
      <c r="E64">
        <f>IF($AH64="","",IF(INDEX('Per Invoice'!E$2:E$401,$AH64)="","",INDEX('Per Invoice'!E$2:E$401,$AH64)))</f>
        <v/>
      </c>
      <c r="F64">
        <f>IF($AH64="","",IF(INDEX('Per Invoice'!F$2:F$401,$AH64)="","",INDEX('Per Invoice'!F$2:F$401,$AH64)))</f>
        <v/>
      </c>
      <c r="G64">
        <f>IF($AH64="","",IF(INDEX('Per Invoice'!G$2:G$401,$AH64)="","",INDEX('Per Invoice'!G$2:G$401,$AH64)))</f>
        <v/>
      </c>
      <c r="H64">
        <f>IF($AH64="","",IF(INDEX('Per Invoice'!H$2:H$401,$AH64)="","",INDEX('Per Invoice'!H$2:H$401,$AH64)))</f>
        <v/>
      </c>
      <c r="I64" s="14">
        <f>IF($AH64="","",IF(INDEX('Per Invoice'!I$2:I$401,$AH64)="","",INDEX('Per Invoice'!I$2:I$401,$AH64)))</f>
        <v/>
      </c>
      <c r="J64">
        <f>IF($AH64="","",IF(INDEX('Per Invoice'!J$2:J$401,$AH64)="","",INDEX('Per Invoice'!J$2:J$401,$AH64)))</f>
        <v/>
      </c>
      <c r="K64">
        <f>IF($AH64="","",IF(INDEX('Per Invoice'!K$2:K$401,$AH64)="","",INDEX('Per Invoice'!K$2:K$401,$AH64)))</f>
        <v/>
      </c>
      <c r="L64">
        <f>IF($AH64="","",IF(INDEX('Per Invoice'!L$2:L$401,$AH64)="","",INDEX('Per Invoice'!L$2:L$401,$AH64)))</f>
        <v/>
      </c>
      <c r="M64">
        <f>IF($AH64="","",IF(INDEX('Per Invoice'!M$2:M$401,$AH64)="","",INDEX('Per Invoice'!M$2:M$401,$AH64)))</f>
        <v/>
      </c>
      <c r="N64">
        <f>IF($AH64="","",IF(INDEX('Per Invoice'!N$2:N$401,$AH64)="","",INDEX('Per Invoice'!N$2:N$401,$AH64)))</f>
        <v/>
      </c>
      <c r="O64">
        <f>IF($AH64="","",IF(INDEX('Per Invoice'!O$2:O$401,$AH64)="","",INDEX('Per Invoice'!O$2:O$401,$AH64)))</f>
        <v/>
      </c>
      <c r="P64" s="7">
        <f>IF($AH64="","",IF(INDEX('Per Invoice'!P$2:P$401,$AH64)="","",INDEX('Per Invoice'!P$2:P$401,$AH64)))</f>
        <v/>
      </c>
      <c r="Q64">
        <f>IF($AH64="","",IF(INDEX('Per Invoice'!Q$2:Q$401,$AH64)="","",INDEX('Per Invoice'!Q$2:Q$401,$AH64)))</f>
        <v/>
      </c>
      <c r="R64">
        <f>IF($AH64="","",IF(INDEX('Per Invoice'!R$2:R$401,$AH64)="","",INDEX('Per Invoice'!R$2:R$401,$AH64)))</f>
        <v/>
      </c>
      <c r="S64">
        <f>IF($AH64="","",IF(INDEX('Per Invoice'!S$2:S$401,$AH64)="","",INDEX('Per Invoice'!S$2:S$401,$AH64)))</f>
        <v/>
      </c>
      <c r="T64" s="7">
        <f>IF($AH64="","",IF(INDEX('Per Invoice'!T$2:T$401,$AH64)="","",INDEX('Per Invoice'!T$2:T$401,$AH64)))</f>
        <v/>
      </c>
      <c r="U64" s="7">
        <f>IF($AH64="","",IF(INDEX('Per Invoice'!U$2:U$401,$AH64)="","",INDEX('Per Invoice'!U$2:U$401,$AH64)))</f>
        <v/>
      </c>
      <c r="V64">
        <f>IF($AH64="","",IF(INDEX('Per Invoice'!V$2:V$401,$AH64)="","",INDEX('Per Invoice'!V$2:V$401,$AH64)))</f>
        <v/>
      </c>
      <c r="W64" s="7">
        <f>IF($AH64="","",IF(INDEX('Per Invoice'!W$2:W$401,$AH64)="","",INDEX('Per Invoice'!W$2:W$401,$AH64)))</f>
        <v/>
      </c>
      <c r="X64" s="7">
        <f>IF($AH64="","",IF(INDEX('Per Invoice'!X$2:X$401,$AH64)="","",INDEX('Per Invoice'!X$2:X$401,$AH64)))</f>
        <v/>
      </c>
      <c r="Y64">
        <f>IF($AH64="","",IF(INDEX('Per Invoice'!Y$2:Y$401,$AH64)="","",INDEX('Per Invoice'!Y$2:Y$401,$AH64)))</f>
        <v/>
      </c>
      <c r="Z64" s="7">
        <f>IF($AH64="","",IF(INDEX('Per Invoice'!Z$2:Z$401,$AH64)="","",INDEX('Per Invoice'!Z$2:Z$401,$AH64)))</f>
        <v/>
      </c>
      <c r="AA64" s="7">
        <f>IF($AH64="","",IF(INDEX('Per Invoice'!AA$2:AA$401,$AH64)="","",INDEX('Per Invoice'!AA$2:AA$401,$AH64)))</f>
        <v/>
      </c>
      <c r="AB64" s="7">
        <f>IF($AH64="","",IF(INDEX('Per Invoice'!AB$2:AB$401,$AH64)="","",INDEX('Per Invoice'!AB$2:AB$401,$AH64)))</f>
        <v/>
      </c>
      <c r="AC64" s="7">
        <f>IF($AH64="","",IF(INDEX('Per Invoice'!AC$2:AC$401,$AH64)="","",INDEX('Per Invoice'!AC$2:AC$401,$AH64)))</f>
        <v/>
      </c>
      <c r="AD64" s="7">
        <f>IF($AH64="","",IF(INDEX('Per Invoice'!AD$2:AD$401,$AH64)="","",INDEX('Per Invoice'!AD$2:AD$401,$AH64)))</f>
        <v/>
      </c>
      <c r="AE64" s="7">
        <f>IF($AH64="","",IF(INDEX('Per Invoice'!AE$2:AE$401,$AH64)="","",INDEX('Per Invoice'!AE$2:AE$401,$AH64)))</f>
        <v/>
      </c>
      <c r="AF64">
        <f>IF($AH64="","",IF(INDEX('Per Invoice'!AF$2:AF$401,$AH64)="","",INDEX('Per Invoice'!AF$2:AF$401,$AH64)))</f>
        <v/>
      </c>
      <c r="AG64" s="7">
        <f>IF($AH64="","",IF(INDEX('Per Invoice'!AG$2:AG$401,$AH64)="","",INDEX('Per Invoice'!AG$2:AG$401,$AH64)))</f>
        <v/>
      </c>
      <c r="AH64" s="16">
        <f>IFERROR(MATCH(Settings!$C$27&amp;"|"&amp;ROWS($AH$2:$AH64),'Per Invoice'!$AI$2:$AI$401,0),"")</f>
        <v/>
      </c>
    </row>
    <row r="65">
      <c r="A65">
        <f>IF($AH65="","",IF(INDEX('Per Invoice'!A$2:A$401,$AH65)="","",INDEX('Per Invoice'!A$2:A$401,$AH65)))</f>
        <v/>
      </c>
      <c r="B65">
        <f>IF($AH65="","",IF(INDEX('Per Invoice'!B$2:B$401,$AH65)="","",INDEX('Per Invoice'!B$2:B$401,$AH65)))</f>
        <v/>
      </c>
      <c r="C65">
        <f>IF($AH65="","",IF(INDEX('Per Invoice'!C$2:C$401,$AH65)="","",INDEX('Per Invoice'!C$2:C$401,$AH65)))</f>
        <v/>
      </c>
      <c r="D65">
        <f>IF($AH65="","",IF(INDEX('Per Invoice'!D$2:D$401,$AH65)="","",INDEX('Per Invoice'!D$2:D$401,$AH65)))</f>
        <v/>
      </c>
      <c r="E65">
        <f>IF($AH65="","",IF(INDEX('Per Invoice'!E$2:E$401,$AH65)="","",INDEX('Per Invoice'!E$2:E$401,$AH65)))</f>
        <v/>
      </c>
      <c r="F65">
        <f>IF($AH65="","",IF(INDEX('Per Invoice'!F$2:F$401,$AH65)="","",INDEX('Per Invoice'!F$2:F$401,$AH65)))</f>
        <v/>
      </c>
      <c r="G65">
        <f>IF($AH65="","",IF(INDEX('Per Invoice'!G$2:G$401,$AH65)="","",INDEX('Per Invoice'!G$2:G$401,$AH65)))</f>
        <v/>
      </c>
      <c r="H65">
        <f>IF($AH65="","",IF(INDEX('Per Invoice'!H$2:H$401,$AH65)="","",INDEX('Per Invoice'!H$2:H$401,$AH65)))</f>
        <v/>
      </c>
      <c r="I65" s="14">
        <f>IF($AH65="","",IF(INDEX('Per Invoice'!I$2:I$401,$AH65)="","",INDEX('Per Invoice'!I$2:I$401,$AH65)))</f>
        <v/>
      </c>
      <c r="J65">
        <f>IF($AH65="","",IF(INDEX('Per Invoice'!J$2:J$401,$AH65)="","",INDEX('Per Invoice'!J$2:J$401,$AH65)))</f>
        <v/>
      </c>
      <c r="K65">
        <f>IF($AH65="","",IF(INDEX('Per Invoice'!K$2:K$401,$AH65)="","",INDEX('Per Invoice'!K$2:K$401,$AH65)))</f>
        <v/>
      </c>
      <c r="L65">
        <f>IF($AH65="","",IF(INDEX('Per Invoice'!L$2:L$401,$AH65)="","",INDEX('Per Invoice'!L$2:L$401,$AH65)))</f>
        <v/>
      </c>
      <c r="M65">
        <f>IF($AH65="","",IF(INDEX('Per Invoice'!M$2:M$401,$AH65)="","",INDEX('Per Invoice'!M$2:M$401,$AH65)))</f>
        <v/>
      </c>
      <c r="N65">
        <f>IF($AH65="","",IF(INDEX('Per Invoice'!N$2:N$401,$AH65)="","",INDEX('Per Invoice'!N$2:N$401,$AH65)))</f>
        <v/>
      </c>
      <c r="O65">
        <f>IF($AH65="","",IF(INDEX('Per Invoice'!O$2:O$401,$AH65)="","",INDEX('Per Invoice'!O$2:O$401,$AH65)))</f>
        <v/>
      </c>
      <c r="P65" s="7">
        <f>IF($AH65="","",IF(INDEX('Per Invoice'!P$2:P$401,$AH65)="","",INDEX('Per Invoice'!P$2:P$401,$AH65)))</f>
        <v/>
      </c>
      <c r="Q65">
        <f>IF($AH65="","",IF(INDEX('Per Invoice'!Q$2:Q$401,$AH65)="","",INDEX('Per Invoice'!Q$2:Q$401,$AH65)))</f>
        <v/>
      </c>
      <c r="R65">
        <f>IF($AH65="","",IF(INDEX('Per Invoice'!R$2:R$401,$AH65)="","",INDEX('Per Invoice'!R$2:R$401,$AH65)))</f>
        <v/>
      </c>
      <c r="S65">
        <f>IF($AH65="","",IF(INDEX('Per Invoice'!S$2:S$401,$AH65)="","",INDEX('Per Invoice'!S$2:S$401,$AH65)))</f>
        <v/>
      </c>
      <c r="T65" s="7">
        <f>IF($AH65="","",IF(INDEX('Per Invoice'!T$2:T$401,$AH65)="","",INDEX('Per Invoice'!T$2:T$401,$AH65)))</f>
        <v/>
      </c>
      <c r="U65" s="7">
        <f>IF($AH65="","",IF(INDEX('Per Invoice'!U$2:U$401,$AH65)="","",INDEX('Per Invoice'!U$2:U$401,$AH65)))</f>
        <v/>
      </c>
      <c r="V65">
        <f>IF($AH65="","",IF(INDEX('Per Invoice'!V$2:V$401,$AH65)="","",INDEX('Per Invoice'!V$2:V$401,$AH65)))</f>
        <v/>
      </c>
      <c r="W65" s="7">
        <f>IF($AH65="","",IF(INDEX('Per Invoice'!W$2:W$401,$AH65)="","",INDEX('Per Invoice'!W$2:W$401,$AH65)))</f>
        <v/>
      </c>
      <c r="X65" s="7">
        <f>IF($AH65="","",IF(INDEX('Per Invoice'!X$2:X$401,$AH65)="","",INDEX('Per Invoice'!X$2:X$401,$AH65)))</f>
        <v/>
      </c>
      <c r="Y65">
        <f>IF($AH65="","",IF(INDEX('Per Invoice'!Y$2:Y$401,$AH65)="","",INDEX('Per Invoice'!Y$2:Y$401,$AH65)))</f>
        <v/>
      </c>
      <c r="Z65" s="7">
        <f>IF($AH65="","",IF(INDEX('Per Invoice'!Z$2:Z$401,$AH65)="","",INDEX('Per Invoice'!Z$2:Z$401,$AH65)))</f>
        <v/>
      </c>
      <c r="AA65" s="7">
        <f>IF($AH65="","",IF(INDEX('Per Invoice'!AA$2:AA$401,$AH65)="","",INDEX('Per Invoice'!AA$2:AA$401,$AH65)))</f>
        <v/>
      </c>
      <c r="AB65" s="7">
        <f>IF($AH65="","",IF(INDEX('Per Invoice'!AB$2:AB$401,$AH65)="","",INDEX('Per Invoice'!AB$2:AB$401,$AH65)))</f>
        <v/>
      </c>
      <c r="AC65" s="7">
        <f>IF($AH65="","",IF(INDEX('Per Invoice'!AC$2:AC$401,$AH65)="","",INDEX('Per Invoice'!AC$2:AC$401,$AH65)))</f>
        <v/>
      </c>
      <c r="AD65" s="7">
        <f>IF($AH65="","",IF(INDEX('Per Invoice'!AD$2:AD$401,$AH65)="","",INDEX('Per Invoice'!AD$2:AD$401,$AH65)))</f>
        <v/>
      </c>
      <c r="AE65" s="7">
        <f>IF($AH65="","",IF(INDEX('Per Invoice'!AE$2:AE$401,$AH65)="","",INDEX('Per Invoice'!AE$2:AE$401,$AH65)))</f>
        <v/>
      </c>
      <c r="AF65">
        <f>IF($AH65="","",IF(INDEX('Per Invoice'!AF$2:AF$401,$AH65)="","",INDEX('Per Invoice'!AF$2:AF$401,$AH65)))</f>
        <v/>
      </c>
      <c r="AG65" s="7">
        <f>IF($AH65="","",IF(INDEX('Per Invoice'!AG$2:AG$401,$AH65)="","",INDEX('Per Invoice'!AG$2:AG$401,$AH65)))</f>
        <v/>
      </c>
      <c r="AH65" s="16">
        <f>IFERROR(MATCH(Settings!$C$27&amp;"|"&amp;ROWS($AH$2:$AH65),'Per Invoice'!$AI$2:$AI$401,0),"")</f>
        <v/>
      </c>
    </row>
    <row r="66">
      <c r="A66">
        <f>IF($AH66="","",IF(INDEX('Per Invoice'!A$2:A$401,$AH66)="","",INDEX('Per Invoice'!A$2:A$401,$AH66)))</f>
        <v/>
      </c>
      <c r="B66">
        <f>IF($AH66="","",IF(INDEX('Per Invoice'!B$2:B$401,$AH66)="","",INDEX('Per Invoice'!B$2:B$401,$AH66)))</f>
        <v/>
      </c>
      <c r="C66">
        <f>IF($AH66="","",IF(INDEX('Per Invoice'!C$2:C$401,$AH66)="","",INDEX('Per Invoice'!C$2:C$401,$AH66)))</f>
        <v/>
      </c>
      <c r="D66">
        <f>IF($AH66="","",IF(INDEX('Per Invoice'!D$2:D$401,$AH66)="","",INDEX('Per Invoice'!D$2:D$401,$AH66)))</f>
        <v/>
      </c>
      <c r="E66">
        <f>IF($AH66="","",IF(INDEX('Per Invoice'!E$2:E$401,$AH66)="","",INDEX('Per Invoice'!E$2:E$401,$AH66)))</f>
        <v/>
      </c>
      <c r="F66">
        <f>IF($AH66="","",IF(INDEX('Per Invoice'!F$2:F$401,$AH66)="","",INDEX('Per Invoice'!F$2:F$401,$AH66)))</f>
        <v/>
      </c>
      <c r="G66">
        <f>IF($AH66="","",IF(INDEX('Per Invoice'!G$2:G$401,$AH66)="","",INDEX('Per Invoice'!G$2:G$401,$AH66)))</f>
        <v/>
      </c>
      <c r="H66">
        <f>IF($AH66="","",IF(INDEX('Per Invoice'!H$2:H$401,$AH66)="","",INDEX('Per Invoice'!H$2:H$401,$AH66)))</f>
        <v/>
      </c>
      <c r="I66" s="14">
        <f>IF($AH66="","",IF(INDEX('Per Invoice'!I$2:I$401,$AH66)="","",INDEX('Per Invoice'!I$2:I$401,$AH66)))</f>
        <v/>
      </c>
      <c r="J66">
        <f>IF($AH66="","",IF(INDEX('Per Invoice'!J$2:J$401,$AH66)="","",INDEX('Per Invoice'!J$2:J$401,$AH66)))</f>
        <v/>
      </c>
      <c r="K66">
        <f>IF($AH66="","",IF(INDEX('Per Invoice'!K$2:K$401,$AH66)="","",INDEX('Per Invoice'!K$2:K$401,$AH66)))</f>
        <v/>
      </c>
      <c r="L66">
        <f>IF($AH66="","",IF(INDEX('Per Invoice'!L$2:L$401,$AH66)="","",INDEX('Per Invoice'!L$2:L$401,$AH66)))</f>
        <v/>
      </c>
      <c r="M66">
        <f>IF($AH66="","",IF(INDEX('Per Invoice'!M$2:M$401,$AH66)="","",INDEX('Per Invoice'!M$2:M$401,$AH66)))</f>
        <v/>
      </c>
      <c r="N66">
        <f>IF($AH66="","",IF(INDEX('Per Invoice'!N$2:N$401,$AH66)="","",INDEX('Per Invoice'!N$2:N$401,$AH66)))</f>
        <v/>
      </c>
      <c r="O66">
        <f>IF($AH66="","",IF(INDEX('Per Invoice'!O$2:O$401,$AH66)="","",INDEX('Per Invoice'!O$2:O$401,$AH66)))</f>
        <v/>
      </c>
      <c r="P66" s="7">
        <f>IF($AH66="","",IF(INDEX('Per Invoice'!P$2:P$401,$AH66)="","",INDEX('Per Invoice'!P$2:P$401,$AH66)))</f>
        <v/>
      </c>
      <c r="Q66">
        <f>IF($AH66="","",IF(INDEX('Per Invoice'!Q$2:Q$401,$AH66)="","",INDEX('Per Invoice'!Q$2:Q$401,$AH66)))</f>
        <v/>
      </c>
      <c r="R66">
        <f>IF($AH66="","",IF(INDEX('Per Invoice'!R$2:R$401,$AH66)="","",INDEX('Per Invoice'!R$2:R$401,$AH66)))</f>
        <v/>
      </c>
      <c r="S66">
        <f>IF($AH66="","",IF(INDEX('Per Invoice'!S$2:S$401,$AH66)="","",INDEX('Per Invoice'!S$2:S$401,$AH66)))</f>
        <v/>
      </c>
      <c r="T66" s="7">
        <f>IF($AH66="","",IF(INDEX('Per Invoice'!T$2:T$401,$AH66)="","",INDEX('Per Invoice'!T$2:T$401,$AH66)))</f>
        <v/>
      </c>
      <c r="U66" s="7">
        <f>IF($AH66="","",IF(INDEX('Per Invoice'!U$2:U$401,$AH66)="","",INDEX('Per Invoice'!U$2:U$401,$AH66)))</f>
        <v/>
      </c>
      <c r="V66">
        <f>IF($AH66="","",IF(INDEX('Per Invoice'!V$2:V$401,$AH66)="","",INDEX('Per Invoice'!V$2:V$401,$AH66)))</f>
        <v/>
      </c>
      <c r="W66" s="7">
        <f>IF($AH66="","",IF(INDEX('Per Invoice'!W$2:W$401,$AH66)="","",INDEX('Per Invoice'!W$2:W$401,$AH66)))</f>
        <v/>
      </c>
      <c r="X66" s="7">
        <f>IF($AH66="","",IF(INDEX('Per Invoice'!X$2:X$401,$AH66)="","",INDEX('Per Invoice'!X$2:X$401,$AH66)))</f>
        <v/>
      </c>
      <c r="Y66">
        <f>IF($AH66="","",IF(INDEX('Per Invoice'!Y$2:Y$401,$AH66)="","",INDEX('Per Invoice'!Y$2:Y$401,$AH66)))</f>
        <v/>
      </c>
      <c r="Z66" s="7">
        <f>IF($AH66="","",IF(INDEX('Per Invoice'!Z$2:Z$401,$AH66)="","",INDEX('Per Invoice'!Z$2:Z$401,$AH66)))</f>
        <v/>
      </c>
      <c r="AA66" s="7">
        <f>IF($AH66="","",IF(INDEX('Per Invoice'!AA$2:AA$401,$AH66)="","",INDEX('Per Invoice'!AA$2:AA$401,$AH66)))</f>
        <v/>
      </c>
      <c r="AB66" s="7">
        <f>IF($AH66="","",IF(INDEX('Per Invoice'!AB$2:AB$401,$AH66)="","",INDEX('Per Invoice'!AB$2:AB$401,$AH66)))</f>
        <v/>
      </c>
      <c r="AC66" s="7">
        <f>IF($AH66="","",IF(INDEX('Per Invoice'!AC$2:AC$401,$AH66)="","",INDEX('Per Invoice'!AC$2:AC$401,$AH66)))</f>
        <v/>
      </c>
      <c r="AD66" s="7">
        <f>IF($AH66="","",IF(INDEX('Per Invoice'!AD$2:AD$401,$AH66)="","",INDEX('Per Invoice'!AD$2:AD$401,$AH66)))</f>
        <v/>
      </c>
      <c r="AE66" s="7">
        <f>IF($AH66="","",IF(INDEX('Per Invoice'!AE$2:AE$401,$AH66)="","",INDEX('Per Invoice'!AE$2:AE$401,$AH66)))</f>
        <v/>
      </c>
      <c r="AF66">
        <f>IF($AH66="","",IF(INDEX('Per Invoice'!AF$2:AF$401,$AH66)="","",INDEX('Per Invoice'!AF$2:AF$401,$AH66)))</f>
        <v/>
      </c>
      <c r="AG66" s="7">
        <f>IF($AH66="","",IF(INDEX('Per Invoice'!AG$2:AG$401,$AH66)="","",INDEX('Per Invoice'!AG$2:AG$401,$AH66)))</f>
        <v/>
      </c>
      <c r="AH66" s="16">
        <f>IFERROR(MATCH(Settings!$C$27&amp;"|"&amp;ROWS($AH$2:$AH66),'Per Invoice'!$AI$2:$AI$401,0),"")</f>
        <v/>
      </c>
    </row>
    <row r="67">
      <c r="A67">
        <f>IF($AH67="","",IF(INDEX('Per Invoice'!A$2:A$401,$AH67)="","",INDEX('Per Invoice'!A$2:A$401,$AH67)))</f>
        <v/>
      </c>
      <c r="B67">
        <f>IF($AH67="","",IF(INDEX('Per Invoice'!B$2:B$401,$AH67)="","",INDEX('Per Invoice'!B$2:B$401,$AH67)))</f>
        <v/>
      </c>
      <c r="C67">
        <f>IF($AH67="","",IF(INDEX('Per Invoice'!C$2:C$401,$AH67)="","",INDEX('Per Invoice'!C$2:C$401,$AH67)))</f>
        <v/>
      </c>
      <c r="D67">
        <f>IF($AH67="","",IF(INDEX('Per Invoice'!D$2:D$401,$AH67)="","",INDEX('Per Invoice'!D$2:D$401,$AH67)))</f>
        <v/>
      </c>
      <c r="E67">
        <f>IF($AH67="","",IF(INDEX('Per Invoice'!E$2:E$401,$AH67)="","",INDEX('Per Invoice'!E$2:E$401,$AH67)))</f>
        <v/>
      </c>
      <c r="F67">
        <f>IF($AH67="","",IF(INDEX('Per Invoice'!F$2:F$401,$AH67)="","",INDEX('Per Invoice'!F$2:F$401,$AH67)))</f>
        <v/>
      </c>
      <c r="G67">
        <f>IF($AH67="","",IF(INDEX('Per Invoice'!G$2:G$401,$AH67)="","",INDEX('Per Invoice'!G$2:G$401,$AH67)))</f>
        <v/>
      </c>
      <c r="H67">
        <f>IF($AH67="","",IF(INDEX('Per Invoice'!H$2:H$401,$AH67)="","",INDEX('Per Invoice'!H$2:H$401,$AH67)))</f>
        <v/>
      </c>
      <c r="I67" s="14">
        <f>IF($AH67="","",IF(INDEX('Per Invoice'!I$2:I$401,$AH67)="","",INDEX('Per Invoice'!I$2:I$401,$AH67)))</f>
        <v/>
      </c>
      <c r="J67">
        <f>IF($AH67="","",IF(INDEX('Per Invoice'!J$2:J$401,$AH67)="","",INDEX('Per Invoice'!J$2:J$401,$AH67)))</f>
        <v/>
      </c>
      <c r="K67">
        <f>IF($AH67="","",IF(INDEX('Per Invoice'!K$2:K$401,$AH67)="","",INDEX('Per Invoice'!K$2:K$401,$AH67)))</f>
        <v/>
      </c>
      <c r="L67">
        <f>IF($AH67="","",IF(INDEX('Per Invoice'!L$2:L$401,$AH67)="","",INDEX('Per Invoice'!L$2:L$401,$AH67)))</f>
        <v/>
      </c>
      <c r="M67">
        <f>IF($AH67="","",IF(INDEX('Per Invoice'!M$2:M$401,$AH67)="","",INDEX('Per Invoice'!M$2:M$401,$AH67)))</f>
        <v/>
      </c>
      <c r="N67">
        <f>IF($AH67="","",IF(INDEX('Per Invoice'!N$2:N$401,$AH67)="","",INDEX('Per Invoice'!N$2:N$401,$AH67)))</f>
        <v/>
      </c>
      <c r="O67">
        <f>IF($AH67="","",IF(INDEX('Per Invoice'!O$2:O$401,$AH67)="","",INDEX('Per Invoice'!O$2:O$401,$AH67)))</f>
        <v/>
      </c>
      <c r="P67" s="7">
        <f>IF($AH67="","",IF(INDEX('Per Invoice'!P$2:P$401,$AH67)="","",INDEX('Per Invoice'!P$2:P$401,$AH67)))</f>
        <v/>
      </c>
      <c r="Q67">
        <f>IF($AH67="","",IF(INDEX('Per Invoice'!Q$2:Q$401,$AH67)="","",INDEX('Per Invoice'!Q$2:Q$401,$AH67)))</f>
        <v/>
      </c>
      <c r="R67">
        <f>IF($AH67="","",IF(INDEX('Per Invoice'!R$2:R$401,$AH67)="","",INDEX('Per Invoice'!R$2:R$401,$AH67)))</f>
        <v/>
      </c>
      <c r="S67">
        <f>IF($AH67="","",IF(INDEX('Per Invoice'!S$2:S$401,$AH67)="","",INDEX('Per Invoice'!S$2:S$401,$AH67)))</f>
        <v/>
      </c>
      <c r="T67" s="7">
        <f>IF($AH67="","",IF(INDEX('Per Invoice'!T$2:T$401,$AH67)="","",INDEX('Per Invoice'!T$2:T$401,$AH67)))</f>
        <v/>
      </c>
      <c r="U67" s="7">
        <f>IF($AH67="","",IF(INDEX('Per Invoice'!U$2:U$401,$AH67)="","",INDEX('Per Invoice'!U$2:U$401,$AH67)))</f>
        <v/>
      </c>
      <c r="V67">
        <f>IF($AH67="","",IF(INDEX('Per Invoice'!V$2:V$401,$AH67)="","",INDEX('Per Invoice'!V$2:V$401,$AH67)))</f>
        <v/>
      </c>
      <c r="W67" s="7">
        <f>IF($AH67="","",IF(INDEX('Per Invoice'!W$2:W$401,$AH67)="","",INDEX('Per Invoice'!W$2:W$401,$AH67)))</f>
        <v/>
      </c>
      <c r="X67" s="7">
        <f>IF($AH67="","",IF(INDEX('Per Invoice'!X$2:X$401,$AH67)="","",INDEX('Per Invoice'!X$2:X$401,$AH67)))</f>
        <v/>
      </c>
      <c r="Y67">
        <f>IF($AH67="","",IF(INDEX('Per Invoice'!Y$2:Y$401,$AH67)="","",INDEX('Per Invoice'!Y$2:Y$401,$AH67)))</f>
        <v/>
      </c>
      <c r="Z67" s="7">
        <f>IF($AH67="","",IF(INDEX('Per Invoice'!Z$2:Z$401,$AH67)="","",INDEX('Per Invoice'!Z$2:Z$401,$AH67)))</f>
        <v/>
      </c>
      <c r="AA67" s="7">
        <f>IF($AH67="","",IF(INDEX('Per Invoice'!AA$2:AA$401,$AH67)="","",INDEX('Per Invoice'!AA$2:AA$401,$AH67)))</f>
        <v/>
      </c>
      <c r="AB67" s="7">
        <f>IF($AH67="","",IF(INDEX('Per Invoice'!AB$2:AB$401,$AH67)="","",INDEX('Per Invoice'!AB$2:AB$401,$AH67)))</f>
        <v/>
      </c>
      <c r="AC67" s="7">
        <f>IF($AH67="","",IF(INDEX('Per Invoice'!AC$2:AC$401,$AH67)="","",INDEX('Per Invoice'!AC$2:AC$401,$AH67)))</f>
        <v/>
      </c>
      <c r="AD67" s="7">
        <f>IF($AH67="","",IF(INDEX('Per Invoice'!AD$2:AD$401,$AH67)="","",INDEX('Per Invoice'!AD$2:AD$401,$AH67)))</f>
        <v/>
      </c>
      <c r="AE67" s="7">
        <f>IF($AH67="","",IF(INDEX('Per Invoice'!AE$2:AE$401,$AH67)="","",INDEX('Per Invoice'!AE$2:AE$401,$AH67)))</f>
        <v/>
      </c>
      <c r="AF67">
        <f>IF($AH67="","",IF(INDEX('Per Invoice'!AF$2:AF$401,$AH67)="","",INDEX('Per Invoice'!AF$2:AF$401,$AH67)))</f>
        <v/>
      </c>
      <c r="AG67" s="7">
        <f>IF($AH67="","",IF(INDEX('Per Invoice'!AG$2:AG$401,$AH67)="","",INDEX('Per Invoice'!AG$2:AG$401,$AH67)))</f>
        <v/>
      </c>
      <c r="AH67" s="16">
        <f>IFERROR(MATCH(Settings!$C$27&amp;"|"&amp;ROWS($AH$2:$AH67),'Per Invoice'!$AI$2:$AI$401,0),"")</f>
        <v/>
      </c>
    </row>
    <row r="68">
      <c r="A68">
        <f>IF($AH68="","",IF(INDEX('Per Invoice'!A$2:A$401,$AH68)="","",INDEX('Per Invoice'!A$2:A$401,$AH68)))</f>
        <v/>
      </c>
      <c r="B68">
        <f>IF($AH68="","",IF(INDEX('Per Invoice'!B$2:B$401,$AH68)="","",INDEX('Per Invoice'!B$2:B$401,$AH68)))</f>
        <v/>
      </c>
      <c r="C68">
        <f>IF($AH68="","",IF(INDEX('Per Invoice'!C$2:C$401,$AH68)="","",INDEX('Per Invoice'!C$2:C$401,$AH68)))</f>
        <v/>
      </c>
      <c r="D68">
        <f>IF($AH68="","",IF(INDEX('Per Invoice'!D$2:D$401,$AH68)="","",INDEX('Per Invoice'!D$2:D$401,$AH68)))</f>
        <v/>
      </c>
      <c r="E68">
        <f>IF($AH68="","",IF(INDEX('Per Invoice'!E$2:E$401,$AH68)="","",INDEX('Per Invoice'!E$2:E$401,$AH68)))</f>
        <v/>
      </c>
      <c r="F68">
        <f>IF($AH68="","",IF(INDEX('Per Invoice'!F$2:F$401,$AH68)="","",INDEX('Per Invoice'!F$2:F$401,$AH68)))</f>
        <v/>
      </c>
      <c r="G68">
        <f>IF($AH68="","",IF(INDEX('Per Invoice'!G$2:G$401,$AH68)="","",INDEX('Per Invoice'!G$2:G$401,$AH68)))</f>
        <v/>
      </c>
      <c r="H68">
        <f>IF($AH68="","",IF(INDEX('Per Invoice'!H$2:H$401,$AH68)="","",INDEX('Per Invoice'!H$2:H$401,$AH68)))</f>
        <v/>
      </c>
      <c r="I68" s="14">
        <f>IF($AH68="","",IF(INDEX('Per Invoice'!I$2:I$401,$AH68)="","",INDEX('Per Invoice'!I$2:I$401,$AH68)))</f>
        <v/>
      </c>
      <c r="J68">
        <f>IF($AH68="","",IF(INDEX('Per Invoice'!J$2:J$401,$AH68)="","",INDEX('Per Invoice'!J$2:J$401,$AH68)))</f>
        <v/>
      </c>
      <c r="K68">
        <f>IF($AH68="","",IF(INDEX('Per Invoice'!K$2:K$401,$AH68)="","",INDEX('Per Invoice'!K$2:K$401,$AH68)))</f>
        <v/>
      </c>
      <c r="L68">
        <f>IF($AH68="","",IF(INDEX('Per Invoice'!L$2:L$401,$AH68)="","",INDEX('Per Invoice'!L$2:L$401,$AH68)))</f>
        <v/>
      </c>
      <c r="M68">
        <f>IF($AH68="","",IF(INDEX('Per Invoice'!M$2:M$401,$AH68)="","",INDEX('Per Invoice'!M$2:M$401,$AH68)))</f>
        <v/>
      </c>
      <c r="N68">
        <f>IF($AH68="","",IF(INDEX('Per Invoice'!N$2:N$401,$AH68)="","",INDEX('Per Invoice'!N$2:N$401,$AH68)))</f>
        <v/>
      </c>
      <c r="O68">
        <f>IF($AH68="","",IF(INDEX('Per Invoice'!O$2:O$401,$AH68)="","",INDEX('Per Invoice'!O$2:O$401,$AH68)))</f>
        <v/>
      </c>
      <c r="P68" s="7">
        <f>IF($AH68="","",IF(INDEX('Per Invoice'!P$2:P$401,$AH68)="","",INDEX('Per Invoice'!P$2:P$401,$AH68)))</f>
        <v/>
      </c>
      <c r="Q68">
        <f>IF($AH68="","",IF(INDEX('Per Invoice'!Q$2:Q$401,$AH68)="","",INDEX('Per Invoice'!Q$2:Q$401,$AH68)))</f>
        <v/>
      </c>
      <c r="R68">
        <f>IF($AH68="","",IF(INDEX('Per Invoice'!R$2:R$401,$AH68)="","",INDEX('Per Invoice'!R$2:R$401,$AH68)))</f>
        <v/>
      </c>
      <c r="S68">
        <f>IF($AH68="","",IF(INDEX('Per Invoice'!S$2:S$401,$AH68)="","",INDEX('Per Invoice'!S$2:S$401,$AH68)))</f>
        <v/>
      </c>
      <c r="T68" s="7">
        <f>IF($AH68="","",IF(INDEX('Per Invoice'!T$2:T$401,$AH68)="","",INDEX('Per Invoice'!T$2:T$401,$AH68)))</f>
        <v/>
      </c>
      <c r="U68" s="7">
        <f>IF($AH68="","",IF(INDEX('Per Invoice'!U$2:U$401,$AH68)="","",INDEX('Per Invoice'!U$2:U$401,$AH68)))</f>
        <v/>
      </c>
      <c r="V68">
        <f>IF($AH68="","",IF(INDEX('Per Invoice'!V$2:V$401,$AH68)="","",INDEX('Per Invoice'!V$2:V$401,$AH68)))</f>
        <v/>
      </c>
      <c r="W68" s="7">
        <f>IF($AH68="","",IF(INDEX('Per Invoice'!W$2:W$401,$AH68)="","",INDEX('Per Invoice'!W$2:W$401,$AH68)))</f>
        <v/>
      </c>
      <c r="X68" s="7">
        <f>IF($AH68="","",IF(INDEX('Per Invoice'!X$2:X$401,$AH68)="","",INDEX('Per Invoice'!X$2:X$401,$AH68)))</f>
        <v/>
      </c>
      <c r="Y68">
        <f>IF($AH68="","",IF(INDEX('Per Invoice'!Y$2:Y$401,$AH68)="","",INDEX('Per Invoice'!Y$2:Y$401,$AH68)))</f>
        <v/>
      </c>
      <c r="Z68" s="7">
        <f>IF($AH68="","",IF(INDEX('Per Invoice'!Z$2:Z$401,$AH68)="","",INDEX('Per Invoice'!Z$2:Z$401,$AH68)))</f>
        <v/>
      </c>
      <c r="AA68" s="7">
        <f>IF($AH68="","",IF(INDEX('Per Invoice'!AA$2:AA$401,$AH68)="","",INDEX('Per Invoice'!AA$2:AA$401,$AH68)))</f>
        <v/>
      </c>
      <c r="AB68" s="7">
        <f>IF($AH68="","",IF(INDEX('Per Invoice'!AB$2:AB$401,$AH68)="","",INDEX('Per Invoice'!AB$2:AB$401,$AH68)))</f>
        <v/>
      </c>
      <c r="AC68" s="7">
        <f>IF($AH68="","",IF(INDEX('Per Invoice'!AC$2:AC$401,$AH68)="","",INDEX('Per Invoice'!AC$2:AC$401,$AH68)))</f>
        <v/>
      </c>
      <c r="AD68" s="7">
        <f>IF($AH68="","",IF(INDEX('Per Invoice'!AD$2:AD$401,$AH68)="","",INDEX('Per Invoice'!AD$2:AD$401,$AH68)))</f>
        <v/>
      </c>
      <c r="AE68" s="7">
        <f>IF($AH68="","",IF(INDEX('Per Invoice'!AE$2:AE$401,$AH68)="","",INDEX('Per Invoice'!AE$2:AE$401,$AH68)))</f>
        <v/>
      </c>
      <c r="AF68">
        <f>IF($AH68="","",IF(INDEX('Per Invoice'!AF$2:AF$401,$AH68)="","",INDEX('Per Invoice'!AF$2:AF$401,$AH68)))</f>
        <v/>
      </c>
      <c r="AG68" s="7">
        <f>IF($AH68="","",IF(INDEX('Per Invoice'!AG$2:AG$401,$AH68)="","",INDEX('Per Invoice'!AG$2:AG$401,$AH68)))</f>
        <v/>
      </c>
      <c r="AH68" s="16">
        <f>IFERROR(MATCH(Settings!$C$27&amp;"|"&amp;ROWS($AH$2:$AH68),'Per Invoice'!$AI$2:$AI$401,0),"")</f>
        <v/>
      </c>
    </row>
    <row r="69">
      <c r="A69">
        <f>IF($AH69="","",IF(INDEX('Per Invoice'!A$2:A$401,$AH69)="","",INDEX('Per Invoice'!A$2:A$401,$AH69)))</f>
        <v/>
      </c>
      <c r="B69">
        <f>IF($AH69="","",IF(INDEX('Per Invoice'!B$2:B$401,$AH69)="","",INDEX('Per Invoice'!B$2:B$401,$AH69)))</f>
        <v/>
      </c>
      <c r="C69">
        <f>IF($AH69="","",IF(INDEX('Per Invoice'!C$2:C$401,$AH69)="","",INDEX('Per Invoice'!C$2:C$401,$AH69)))</f>
        <v/>
      </c>
      <c r="D69">
        <f>IF($AH69="","",IF(INDEX('Per Invoice'!D$2:D$401,$AH69)="","",INDEX('Per Invoice'!D$2:D$401,$AH69)))</f>
        <v/>
      </c>
      <c r="E69">
        <f>IF($AH69="","",IF(INDEX('Per Invoice'!E$2:E$401,$AH69)="","",INDEX('Per Invoice'!E$2:E$401,$AH69)))</f>
        <v/>
      </c>
      <c r="F69">
        <f>IF($AH69="","",IF(INDEX('Per Invoice'!F$2:F$401,$AH69)="","",INDEX('Per Invoice'!F$2:F$401,$AH69)))</f>
        <v/>
      </c>
      <c r="G69">
        <f>IF($AH69="","",IF(INDEX('Per Invoice'!G$2:G$401,$AH69)="","",INDEX('Per Invoice'!G$2:G$401,$AH69)))</f>
        <v/>
      </c>
      <c r="H69">
        <f>IF($AH69="","",IF(INDEX('Per Invoice'!H$2:H$401,$AH69)="","",INDEX('Per Invoice'!H$2:H$401,$AH69)))</f>
        <v/>
      </c>
      <c r="I69" s="14">
        <f>IF($AH69="","",IF(INDEX('Per Invoice'!I$2:I$401,$AH69)="","",INDEX('Per Invoice'!I$2:I$401,$AH69)))</f>
        <v/>
      </c>
      <c r="J69">
        <f>IF($AH69="","",IF(INDEX('Per Invoice'!J$2:J$401,$AH69)="","",INDEX('Per Invoice'!J$2:J$401,$AH69)))</f>
        <v/>
      </c>
      <c r="K69">
        <f>IF($AH69="","",IF(INDEX('Per Invoice'!K$2:K$401,$AH69)="","",INDEX('Per Invoice'!K$2:K$401,$AH69)))</f>
        <v/>
      </c>
      <c r="L69">
        <f>IF($AH69="","",IF(INDEX('Per Invoice'!L$2:L$401,$AH69)="","",INDEX('Per Invoice'!L$2:L$401,$AH69)))</f>
        <v/>
      </c>
      <c r="M69">
        <f>IF($AH69="","",IF(INDEX('Per Invoice'!M$2:M$401,$AH69)="","",INDEX('Per Invoice'!M$2:M$401,$AH69)))</f>
        <v/>
      </c>
      <c r="N69">
        <f>IF($AH69="","",IF(INDEX('Per Invoice'!N$2:N$401,$AH69)="","",INDEX('Per Invoice'!N$2:N$401,$AH69)))</f>
        <v/>
      </c>
      <c r="O69">
        <f>IF($AH69="","",IF(INDEX('Per Invoice'!O$2:O$401,$AH69)="","",INDEX('Per Invoice'!O$2:O$401,$AH69)))</f>
        <v/>
      </c>
      <c r="P69" s="7">
        <f>IF($AH69="","",IF(INDEX('Per Invoice'!P$2:P$401,$AH69)="","",INDEX('Per Invoice'!P$2:P$401,$AH69)))</f>
        <v/>
      </c>
      <c r="Q69">
        <f>IF($AH69="","",IF(INDEX('Per Invoice'!Q$2:Q$401,$AH69)="","",INDEX('Per Invoice'!Q$2:Q$401,$AH69)))</f>
        <v/>
      </c>
      <c r="R69">
        <f>IF($AH69="","",IF(INDEX('Per Invoice'!R$2:R$401,$AH69)="","",INDEX('Per Invoice'!R$2:R$401,$AH69)))</f>
        <v/>
      </c>
      <c r="S69">
        <f>IF($AH69="","",IF(INDEX('Per Invoice'!S$2:S$401,$AH69)="","",INDEX('Per Invoice'!S$2:S$401,$AH69)))</f>
        <v/>
      </c>
      <c r="T69" s="7">
        <f>IF($AH69="","",IF(INDEX('Per Invoice'!T$2:T$401,$AH69)="","",INDEX('Per Invoice'!T$2:T$401,$AH69)))</f>
        <v/>
      </c>
      <c r="U69" s="7">
        <f>IF($AH69="","",IF(INDEX('Per Invoice'!U$2:U$401,$AH69)="","",INDEX('Per Invoice'!U$2:U$401,$AH69)))</f>
        <v/>
      </c>
      <c r="V69">
        <f>IF($AH69="","",IF(INDEX('Per Invoice'!V$2:V$401,$AH69)="","",INDEX('Per Invoice'!V$2:V$401,$AH69)))</f>
        <v/>
      </c>
      <c r="W69" s="7">
        <f>IF($AH69="","",IF(INDEX('Per Invoice'!W$2:W$401,$AH69)="","",INDEX('Per Invoice'!W$2:W$401,$AH69)))</f>
        <v/>
      </c>
      <c r="X69" s="7">
        <f>IF($AH69="","",IF(INDEX('Per Invoice'!X$2:X$401,$AH69)="","",INDEX('Per Invoice'!X$2:X$401,$AH69)))</f>
        <v/>
      </c>
      <c r="Y69">
        <f>IF($AH69="","",IF(INDEX('Per Invoice'!Y$2:Y$401,$AH69)="","",INDEX('Per Invoice'!Y$2:Y$401,$AH69)))</f>
        <v/>
      </c>
      <c r="Z69" s="7">
        <f>IF($AH69="","",IF(INDEX('Per Invoice'!Z$2:Z$401,$AH69)="","",INDEX('Per Invoice'!Z$2:Z$401,$AH69)))</f>
        <v/>
      </c>
      <c r="AA69" s="7">
        <f>IF($AH69="","",IF(INDEX('Per Invoice'!AA$2:AA$401,$AH69)="","",INDEX('Per Invoice'!AA$2:AA$401,$AH69)))</f>
        <v/>
      </c>
      <c r="AB69" s="7">
        <f>IF($AH69="","",IF(INDEX('Per Invoice'!AB$2:AB$401,$AH69)="","",INDEX('Per Invoice'!AB$2:AB$401,$AH69)))</f>
        <v/>
      </c>
      <c r="AC69" s="7">
        <f>IF($AH69="","",IF(INDEX('Per Invoice'!AC$2:AC$401,$AH69)="","",INDEX('Per Invoice'!AC$2:AC$401,$AH69)))</f>
        <v/>
      </c>
      <c r="AD69" s="7">
        <f>IF($AH69="","",IF(INDEX('Per Invoice'!AD$2:AD$401,$AH69)="","",INDEX('Per Invoice'!AD$2:AD$401,$AH69)))</f>
        <v/>
      </c>
      <c r="AE69" s="7">
        <f>IF($AH69="","",IF(INDEX('Per Invoice'!AE$2:AE$401,$AH69)="","",INDEX('Per Invoice'!AE$2:AE$401,$AH69)))</f>
        <v/>
      </c>
      <c r="AF69">
        <f>IF($AH69="","",IF(INDEX('Per Invoice'!AF$2:AF$401,$AH69)="","",INDEX('Per Invoice'!AF$2:AF$401,$AH69)))</f>
        <v/>
      </c>
      <c r="AG69" s="7">
        <f>IF($AH69="","",IF(INDEX('Per Invoice'!AG$2:AG$401,$AH69)="","",INDEX('Per Invoice'!AG$2:AG$401,$AH69)))</f>
        <v/>
      </c>
      <c r="AH69" s="16">
        <f>IFERROR(MATCH(Settings!$C$27&amp;"|"&amp;ROWS($AH$2:$AH69),'Per Invoice'!$AI$2:$AI$401,0),"")</f>
        <v/>
      </c>
    </row>
    <row r="70">
      <c r="A70">
        <f>IF($AH70="","",IF(INDEX('Per Invoice'!A$2:A$401,$AH70)="","",INDEX('Per Invoice'!A$2:A$401,$AH70)))</f>
        <v/>
      </c>
      <c r="B70">
        <f>IF($AH70="","",IF(INDEX('Per Invoice'!B$2:B$401,$AH70)="","",INDEX('Per Invoice'!B$2:B$401,$AH70)))</f>
        <v/>
      </c>
      <c r="C70">
        <f>IF($AH70="","",IF(INDEX('Per Invoice'!C$2:C$401,$AH70)="","",INDEX('Per Invoice'!C$2:C$401,$AH70)))</f>
        <v/>
      </c>
      <c r="D70">
        <f>IF($AH70="","",IF(INDEX('Per Invoice'!D$2:D$401,$AH70)="","",INDEX('Per Invoice'!D$2:D$401,$AH70)))</f>
        <v/>
      </c>
      <c r="E70">
        <f>IF($AH70="","",IF(INDEX('Per Invoice'!E$2:E$401,$AH70)="","",INDEX('Per Invoice'!E$2:E$401,$AH70)))</f>
        <v/>
      </c>
      <c r="F70">
        <f>IF($AH70="","",IF(INDEX('Per Invoice'!F$2:F$401,$AH70)="","",INDEX('Per Invoice'!F$2:F$401,$AH70)))</f>
        <v/>
      </c>
      <c r="G70">
        <f>IF($AH70="","",IF(INDEX('Per Invoice'!G$2:G$401,$AH70)="","",INDEX('Per Invoice'!G$2:G$401,$AH70)))</f>
        <v/>
      </c>
      <c r="H70">
        <f>IF($AH70="","",IF(INDEX('Per Invoice'!H$2:H$401,$AH70)="","",INDEX('Per Invoice'!H$2:H$401,$AH70)))</f>
        <v/>
      </c>
      <c r="I70" s="14">
        <f>IF($AH70="","",IF(INDEX('Per Invoice'!I$2:I$401,$AH70)="","",INDEX('Per Invoice'!I$2:I$401,$AH70)))</f>
        <v/>
      </c>
      <c r="J70">
        <f>IF($AH70="","",IF(INDEX('Per Invoice'!J$2:J$401,$AH70)="","",INDEX('Per Invoice'!J$2:J$401,$AH70)))</f>
        <v/>
      </c>
      <c r="K70">
        <f>IF($AH70="","",IF(INDEX('Per Invoice'!K$2:K$401,$AH70)="","",INDEX('Per Invoice'!K$2:K$401,$AH70)))</f>
        <v/>
      </c>
      <c r="L70">
        <f>IF($AH70="","",IF(INDEX('Per Invoice'!L$2:L$401,$AH70)="","",INDEX('Per Invoice'!L$2:L$401,$AH70)))</f>
        <v/>
      </c>
      <c r="M70">
        <f>IF($AH70="","",IF(INDEX('Per Invoice'!M$2:M$401,$AH70)="","",INDEX('Per Invoice'!M$2:M$401,$AH70)))</f>
        <v/>
      </c>
      <c r="N70">
        <f>IF($AH70="","",IF(INDEX('Per Invoice'!N$2:N$401,$AH70)="","",INDEX('Per Invoice'!N$2:N$401,$AH70)))</f>
        <v/>
      </c>
      <c r="O70">
        <f>IF($AH70="","",IF(INDEX('Per Invoice'!O$2:O$401,$AH70)="","",INDEX('Per Invoice'!O$2:O$401,$AH70)))</f>
        <v/>
      </c>
      <c r="P70" s="7">
        <f>IF($AH70="","",IF(INDEX('Per Invoice'!P$2:P$401,$AH70)="","",INDEX('Per Invoice'!P$2:P$401,$AH70)))</f>
        <v/>
      </c>
      <c r="Q70">
        <f>IF($AH70="","",IF(INDEX('Per Invoice'!Q$2:Q$401,$AH70)="","",INDEX('Per Invoice'!Q$2:Q$401,$AH70)))</f>
        <v/>
      </c>
      <c r="R70">
        <f>IF($AH70="","",IF(INDEX('Per Invoice'!R$2:R$401,$AH70)="","",INDEX('Per Invoice'!R$2:R$401,$AH70)))</f>
        <v/>
      </c>
      <c r="S70">
        <f>IF($AH70="","",IF(INDEX('Per Invoice'!S$2:S$401,$AH70)="","",INDEX('Per Invoice'!S$2:S$401,$AH70)))</f>
        <v/>
      </c>
      <c r="T70" s="7">
        <f>IF($AH70="","",IF(INDEX('Per Invoice'!T$2:T$401,$AH70)="","",INDEX('Per Invoice'!T$2:T$401,$AH70)))</f>
        <v/>
      </c>
      <c r="U70" s="7">
        <f>IF($AH70="","",IF(INDEX('Per Invoice'!U$2:U$401,$AH70)="","",INDEX('Per Invoice'!U$2:U$401,$AH70)))</f>
        <v/>
      </c>
      <c r="V70">
        <f>IF($AH70="","",IF(INDEX('Per Invoice'!V$2:V$401,$AH70)="","",INDEX('Per Invoice'!V$2:V$401,$AH70)))</f>
        <v/>
      </c>
      <c r="W70" s="7">
        <f>IF($AH70="","",IF(INDEX('Per Invoice'!W$2:W$401,$AH70)="","",INDEX('Per Invoice'!W$2:W$401,$AH70)))</f>
        <v/>
      </c>
      <c r="X70" s="7">
        <f>IF($AH70="","",IF(INDEX('Per Invoice'!X$2:X$401,$AH70)="","",INDEX('Per Invoice'!X$2:X$401,$AH70)))</f>
        <v/>
      </c>
      <c r="Y70">
        <f>IF($AH70="","",IF(INDEX('Per Invoice'!Y$2:Y$401,$AH70)="","",INDEX('Per Invoice'!Y$2:Y$401,$AH70)))</f>
        <v/>
      </c>
      <c r="Z70" s="7">
        <f>IF($AH70="","",IF(INDEX('Per Invoice'!Z$2:Z$401,$AH70)="","",INDEX('Per Invoice'!Z$2:Z$401,$AH70)))</f>
        <v/>
      </c>
      <c r="AA70" s="7">
        <f>IF($AH70="","",IF(INDEX('Per Invoice'!AA$2:AA$401,$AH70)="","",INDEX('Per Invoice'!AA$2:AA$401,$AH70)))</f>
        <v/>
      </c>
      <c r="AB70" s="7">
        <f>IF($AH70="","",IF(INDEX('Per Invoice'!AB$2:AB$401,$AH70)="","",INDEX('Per Invoice'!AB$2:AB$401,$AH70)))</f>
        <v/>
      </c>
      <c r="AC70" s="7">
        <f>IF($AH70="","",IF(INDEX('Per Invoice'!AC$2:AC$401,$AH70)="","",INDEX('Per Invoice'!AC$2:AC$401,$AH70)))</f>
        <v/>
      </c>
      <c r="AD70" s="7">
        <f>IF($AH70="","",IF(INDEX('Per Invoice'!AD$2:AD$401,$AH70)="","",INDEX('Per Invoice'!AD$2:AD$401,$AH70)))</f>
        <v/>
      </c>
      <c r="AE70" s="7">
        <f>IF($AH70="","",IF(INDEX('Per Invoice'!AE$2:AE$401,$AH70)="","",INDEX('Per Invoice'!AE$2:AE$401,$AH70)))</f>
        <v/>
      </c>
      <c r="AF70">
        <f>IF($AH70="","",IF(INDEX('Per Invoice'!AF$2:AF$401,$AH70)="","",INDEX('Per Invoice'!AF$2:AF$401,$AH70)))</f>
        <v/>
      </c>
      <c r="AG70" s="7">
        <f>IF($AH70="","",IF(INDEX('Per Invoice'!AG$2:AG$401,$AH70)="","",INDEX('Per Invoice'!AG$2:AG$401,$AH70)))</f>
        <v/>
      </c>
      <c r="AH70" s="16">
        <f>IFERROR(MATCH(Settings!$C$27&amp;"|"&amp;ROWS($AH$2:$AH70),'Per Invoice'!$AI$2:$AI$401,0),"")</f>
        <v/>
      </c>
    </row>
    <row r="71">
      <c r="A71">
        <f>IF($AH71="","",IF(INDEX('Per Invoice'!A$2:A$401,$AH71)="","",INDEX('Per Invoice'!A$2:A$401,$AH71)))</f>
        <v/>
      </c>
      <c r="B71">
        <f>IF($AH71="","",IF(INDEX('Per Invoice'!B$2:B$401,$AH71)="","",INDEX('Per Invoice'!B$2:B$401,$AH71)))</f>
        <v/>
      </c>
      <c r="C71">
        <f>IF($AH71="","",IF(INDEX('Per Invoice'!C$2:C$401,$AH71)="","",INDEX('Per Invoice'!C$2:C$401,$AH71)))</f>
        <v/>
      </c>
      <c r="D71">
        <f>IF($AH71="","",IF(INDEX('Per Invoice'!D$2:D$401,$AH71)="","",INDEX('Per Invoice'!D$2:D$401,$AH71)))</f>
        <v/>
      </c>
      <c r="E71">
        <f>IF($AH71="","",IF(INDEX('Per Invoice'!E$2:E$401,$AH71)="","",INDEX('Per Invoice'!E$2:E$401,$AH71)))</f>
        <v/>
      </c>
      <c r="F71">
        <f>IF($AH71="","",IF(INDEX('Per Invoice'!F$2:F$401,$AH71)="","",INDEX('Per Invoice'!F$2:F$401,$AH71)))</f>
        <v/>
      </c>
      <c r="G71">
        <f>IF($AH71="","",IF(INDEX('Per Invoice'!G$2:G$401,$AH71)="","",INDEX('Per Invoice'!G$2:G$401,$AH71)))</f>
        <v/>
      </c>
      <c r="H71">
        <f>IF($AH71="","",IF(INDEX('Per Invoice'!H$2:H$401,$AH71)="","",INDEX('Per Invoice'!H$2:H$401,$AH71)))</f>
        <v/>
      </c>
      <c r="I71" s="14">
        <f>IF($AH71="","",IF(INDEX('Per Invoice'!I$2:I$401,$AH71)="","",INDEX('Per Invoice'!I$2:I$401,$AH71)))</f>
        <v/>
      </c>
      <c r="J71">
        <f>IF($AH71="","",IF(INDEX('Per Invoice'!J$2:J$401,$AH71)="","",INDEX('Per Invoice'!J$2:J$401,$AH71)))</f>
        <v/>
      </c>
      <c r="K71">
        <f>IF($AH71="","",IF(INDEX('Per Invoice'!K$2:K$401,$AH71)="","",INDEX('Per Invoice'!K$2:K$401,$AH71)))</f>
        <v/>
      </c>
      <c r="L71">
        <f>IF($AH71="","",IF(INDEX('Per Invoice'!L$2:L$401,$AH71)="","",INDEX('Per Invoice'!L$2:L$401,$AH71)))</f>
        <v/>
      </c>
      <c r="M71">
        <f>IF($AH71="","",IF(INDEX('Per Invoice'!M$2:M$401,$AH71)="","",INDEX('Per Invoice'!M$2:M$401,$AH71)))</f>
        <v/>
      </c>
      <c r="N71">
        <f>IF($AH71="","",IF(INDEX('Per Invoice'!N$2:N$401,$AH71)="","",INDEX('Per Invoice'!N$2:N$401,$AH71)))</f>
        <v/>
      </c>
      <c r="O71">
        <f>IF($AH71="","",IF(INDEX('Per Invoice'!O$2:O$401,$AH71)="","",INDEX('Per Invoice'!O$2:O$401,$AH71)))</f>
        <v/>
      </c>
      <c r="P71" s="7">
        <f>IF($AH71="","",IF(INDEX('Per Invoice'!P$2:P$401,$AH71)="","",INDEX('Per Invoice'!P$2:P$401,$AH71)))</f>
        <v/>
      </c>
      <c r="Q71">
        <f>IF($AH71="","",IF(INDEX('Per Invoice'!Q$2:Q$401,$AH71)="","",INDEX('Per Invoice'!Q$2:Q$401,$AH71)))</f>
        <v/>
      </c>
      <c r="R71">
        <f>IF($AH71="","",IF(INDEX('Per Invoice'!R$2:R$401,$AH71)="","",INDEX('Per Invoice'!R$2:R$401,$AH71)))</f>
        <v/>
      </c>
      <c r="S71">
        <f>IF($AH71="","",IF(INDEX('Per Invoice'!S$2:S$401,$AH71)="","",INDEX('Per Invoice'!S$2:S$401,$AH71)))</f>
        <v/>
      </c>
      <c r="T71" s="7">
        <f>IF($AH71="","",IF(INDEX('Per Invoice'!T$2:T$401,$AH71)="","",INDEX('Per Invoice'!T$2:T$401,$AH71)))</f>
        <v/>
      </c>
      <c r="U71" s="7">
        <f>IF($AH71="","",IF(INDEX('Per Invoice'!U$2:U$401,$AH71)="","",INDEX('Per Invoice'!U$2:U$401,$AH71)))</f>
        <v/>
      </c>
      <c r="V71">
        <f>IF($AH71="","",IF(INDEX('Per Invoice'!V$2:V$401,$AH71)="","",INDEX('Per Invoice'!V$2:V$401,$AH71)))</f>
        <v/>
      </c>
      <c r="W71" s="7">
        <f>IF($AH71="","",IF(INDEX('Per Invoice'!W$2:W$401,$AH71)="","",INDEX('Per Invoice'!W$2:W$401,$AH71)))</f>
        <v/>
      </c>
      <c r="X71" s="7">
        <f>IF($AH71="","",IF(INDEX('Per Invoice'!X$2:X$401,$AH71)="","",INDEX('Per Invoice'!X$2:X$401,$AH71)))</f>
        <v/>
      </c>
      <c r="Y71">
        <f>IF($AH71="","",IF(INDEX('Per Invoice'!Y$2:Y$401,$AH71)="","",INDEX('Per Invoice'!Y$2:Y$401,$AH71)))</f>
        <v/>
      </c>
      <c r="Z71" s="7">
        <f>IF($AH71="","",IF(INDEX('Per Invoice'!Z$2:Z$401,$AH71)="","",INDEX('Per Invoice'!Z$2:Z$401,$AH71)))</f>
        <v/>
      </c>
      <c r="AA71" s="7">
        <f>IF($AH71="","",IF(INDEX('Per Invoice'!AA$2:AA$401,$AH71)="","",INDEX('Per Invoice'!AA$2:AA$401,$AH71)))</f>
        <v/>
      </c>
      <c r="AB71" s="7">
        <f>IF($AH71="","",IF(INDEX('Per Invoice'!AB$2:AB$401,$AH71)="","",INDEX('Per Invoice'!AB$2:AB$401,$AH71)))</f>
        <v/>
      </c>
      <c r="AC71" s="7">
        <f>IF($AH71="","",IF(INDEX('Per Invoice'!AC$2:AC$401,$AH71)="","",INDEX('Per Invoice'!AC$2:AC$401,$AH71)))</f>
        <v/>
      </c>
      <c r="AD71" s="7">
        <f>IF($AH71="","",IF(INDEX('Per Invoice'!AD$2:AD$401,$AH71)="","",INDEX('Per Invoice'!AD$2:AD$401,$AH71)))</f>
        <v/>
      </c>
      <c r="AE71" s="7">
        <f>IF($AH71="","",IF(INDEX('Per Invoice'!AE$2:AE$401,$AH71)="","",INDEX('Per Invoice'!AE$2:AE$401,$AH71)))</f>
        <v/>
      </c>
      <c r="AF71">
        <f>IF($AH71="","",IF(INDEX('Per Invoice'!AF$2:AF$401,$AH71)="","",INDEX('Per Invoice'!AF$2:AF$401,$AH71)))</f>
        <v/>
      </c>
      <c r="AG71" s="7">
        <f>IF($AH71="","",IF(INDEX('Per Invoice'!AG$2:AG$401,$AH71)="","",INDEX('Per Invoice'!AG$2:AG$401,$AH71)))</f>
        <v/>
      </c>
      <c r="AH71" s="16">
        <f>IFERROR(MATCH(Settings!$C$27&amp;"|"&amp;ROWS($AH$2:$AH71),'Per Invoice'!$AI$2:$AI$401,0),"")</f>
        <v/>
      </c>
    </row>
    <row r="72">
      <c r="A72">
        <f>IF($AH72="","",IF(INDEX('Per Invoice'!A$2:A$401,$AH72)="","",INDEX('Per Invoice'!A$2:A$401,$AH72)))</f>
        <v/>
      </c>
      <c r="B72">
        <f>IF($AH72="","",IF(INDEX('Per Invoice'!B$2:B$401,$AH72)="","",INDEX('Per Invoice'!B$2:B$401,$AH72)))</f>
        <v/>
      </c>
      <c r="C72">
        <f>IF($AH72="","",IF(INDEX('Per Invoice'!C$2:C$401,$AH72)="","",INDEX('Per Invoice'!C$2:C$401,$AH72)))</f>
        <v/>
      </c>
      <c r="D72">
        <f>IF($AH72="","",IF(INDEX('Per Invoice'!D$2:D$401,$AH72)="","",INDEX('Per Invoice'!D$2:D$401,$AH72)))</f>
        <v/>
      </c>
      <c r="E72">
        <f>IF($AH72="","",IF(INDEX('Per Invoice'!E$2:E$401,$AH72)="","",INDEX('Per Invoice'!E$2:E$401,$AH72)))</f>
        <v/>
      </c>
      <c r="F72">
        <f>IF($AH72="","",IF(INDEX('Per Invoice'!F$2:F$401,$AH72)="","",INDEX('Per Invoice'!F$2:F$401,$AH72)))</f>
        <v/>
      </c>
      <c r="G72">
        <f>IF($AH72="","",IF(INDEX('Per Invoice'!G$2:G$401,$AH72)="","",INDEX('Per Invoice'!G$2:G$401,$AH72)))</f>
        <v/>
      </c>
      <c r="H72">
        <f>IF($AH72="","",IF(INDEX('Per Invoice'!H$2:H$401,$AH72)="","",INDEX('Per Invoice'!H$2:H$401,$AH72)))</f>
        <v/>
      </c>
      <c r="I72" s="14">
        <f>IF($AH72="","",IF(INDEX('Per Invoice'!I$2:I$401,$AH72)="","",INDEX('Per Invoice'!I$2:I$401,$AH72)))</f>
        <v/>
      </c>
      <c r="J72">
        <f>IF($AH72="","",IF(INDEX('Per Invoice'!J$2:J$401,$AH72)="","",INDEX('Per Invoice'!J$2:J$401,$AH72)))</f>
        <v/>
      </c>
      <c r="K72">
        <f>IF($AH72="","",IF(INDEX('Per Invoice'!K$2:K$401,$AH72)="","",INDEX('Per Invoice'!K$2:K$401,$AH72)))</f>
        <v/>
      </c>
      <c r="L72">
        <f>IF($AH72="","",IF(INDEX('Per Invoice'!L$2:L$401,$AH72)="","",INDEX('Per Invoice'!L$2:L$401,$AH72)))</f>
        <v/>
      </c>
      <c r="M72">
        <f>IF($AH72="","",IF(INDEX('Per Invoice'!M$2:M$401,$AH72)="","",INDEX('Per Invoice'!M$2:M$401,$AH72)))</f>
        <v/>
      </c>
      <c r="N72">
        <f>IF($AH72="","",IF(INDEX('Per Invoice'!N$2:N$401,$AH72)="","",INDEX('Per Invoice'!N$2:N$401,$AH72)))</f>
        <v/>
      </c>
      <c r="O72">
        <f>IF($AH72="","",IF(INDEX('Per Invoice'!O$2:O$401,$AH72)="","",INDEX('Per Invoice'!O$2:O$401,$AH72)))</f>
        <v/>
      </c>
      <c r="P72" s="7">
        <f>IF($AH72="","",IF(INDEX('Per Invoice'!P$2:P$401,$AH72)="","",INDEX('Per Invoice'!P$2:P$401,$AH72)))</f>
        <v/>
      </c>
      <c r="Q72">
        <f>IF($AH72="","",IF(INDEX('Per Invoice'!Q$2:Q$401,$AH72)="","",INDEX('Per Invoice'!Q$2:Q$401,$AH72)))</f>
        <v/>
      </c>
      <c r="R72">
        <f>IF($AH72="","",IF(INDEX('Per Invoice'!R$2:R$401,$AH72)="","",INDEX('Per Invoice'!R$2:R$401,$AH72)))</f>
        <v/>
      </c>
      <c r="S72">
        <f>IF($AH72="","",IF(INDEX('Per Invoice'!S$2:S$401,$AH72)="","",INDEX('Per Invoice'!S$2:S$401,$AH72)))</f>
        <v/>
      </c>
      <c r="T72" s="7">
        <f>IF($AH72="","",IF(INDEX('Per Invoice'!T$2:T$401,$AH72)="","",INDEX('Per Invoice'!T$2:T$401,$AH72)))</f>
        <v/>
      </c>
      <c r="U72" s="7">
        <f>IF($AH72="","",IF(INDEX('Per Invoice'!U$2:U$401,$AH72)="","",INDEX('Per Invoice'!U$2:U$401,$AH72)))</f>
        <v/>
      </c>
      <c r="V72">
        <f>IF($AH72="","",IF(INDEX('Per Invoice'!V$2:V$401,$AH72)="","",INDEX('Per Invoice'!V$2:V$401,$AH72)))</f>
        <v/>
      </c>
      <c r="W72" s="7">
        <f>IF($AH72="","",IF(INDEX('Per Invoice'!W$2:W$401,$AH72)="","",INDEX('Per Invoice'!W$2:W$401,$AH72)))</f>
        <v/>
      </c>
      <c r="X72" s="7">
        <f>IF($AH72="","",IF(INDEX('Per Invoice'!X$2:X$401,$AH72)="","",INDEX('Per Invoice'!X$2:X$401,$AH72)))</f>
        <v/>
      </c>
      <c r="Y72">
        <f>IF($AH72="","",IF(INDEX('Per Invoice'!Y$2:Y$401,$AH72)="","",INDEX('Per Invoice'!Y$2:Y$401,$AH72)))</f>
        <v/>
      </c>
      <c r="Z72" s="7">
        <f>IF($AH72="","",IF(INDEX('Per Invoice'!Z$2:Z$401,$AH72)="","",INDEX('Per Invoice'!Z$2:Z$401,$AH72)))</f>
        <v/>
      </c>
      <c r="AA72" s="7">
        <f>IF($AH72="","",IF(INDEX('Per Invoice'!AA$2:AA$401,$AH72)="","",INDEX('Per Invoice'!AA$2:AA$401,$AH72)))</f>
        <v/>
      </c>
      <c r="AB72" s="7">
        <f>IF($AH72="","",IF(INDEX('Per Invoice'!AB$2:AB$401,$AH72)="","",INDEX('Per Invoice'!AB$2:AB$401,$AH72)))</f>
        <v/>
      </c>
      <c r="AC72" s="7">
        <f>IF($AH72="","",IF(INDEX('Per Invoice'!AC$2:AC$401,$AH72)="","",INDEX('Per Invoice'!AC$2:AC$401,$AH72)))</f>
        <v/>
      </c>
      <c r="AD72" s="7">
        <f>IF($AH72="","",IF(INDEX('Per Invoice'!AD$2:AD$401,$AH72)="","",INDEX('Per Invoice'!AD$2:AD$401,$AH72)))</f>
        <v/>
      </c>
      <c r="AE72" s="7">
        <f>IF($AH72="","",IF(INDEX('Per Invoice'!AE$2:AE$401,$AH72)="","",INDEX('Per Invoice'!AE$2:AE$401,$AH72)))</f>
        <v/>
      </c>
      <c r="AF72">
        <f>IF($AH72="","",IF(INDEX('Per Invoice'!AF$2:AF$401,$AH72)="","",INDEX('Per Invoice'!AF$2:AF$401,$AH72)))</f>
        <v/>
      </c>
      <c r="AG72" s="7">
        <f>IF($AH72="","",IF(INDEX('Per Invoice'!AG$2:AG$401,$AH72)="","",INDEX('Per Invoice'!AG$2:AG$401,$AH72)))</f>
        <v/>
      </c>
      <c r="AH72" s="16">
        <f>IFERROR(MATCH(Settings!$C$27&amp;"|"&amp;ROWS($AH$2:$AH72),'Per Invoice'!$AI$2:$AI$401,0),"")</f>
        <v/>
      </c>
    </row>
    <row r="73">
      <c r="A73">
        <f>IF($AH73="","",IF(INDEX('Per Invoice'!A$2:A$401,$AH73)="","",INDEX('Per Invoice'!A$2:A$401,$AH73)))</f>
        <v/>
      </c>
      <c r="B73">
        <f>IF($AH73="","",IF(INDEX('Per Invoice'!B$2:B$401,$AH73)="","",INDEX('Per Invoice'!B$2:B$401,$AH73)))</f>
        <v/>
      </c>
      <c r="C73">
        <f>IF($AH73="","",IF(INDEX('Per Invoice'!C$2:C$401,$AH73)="","",INDEX('Per Invoice'!C$2:C$401,$AH73)))</f>
        <v/>
      </c>
      <c r="D73">
        <f>IF($AH73="","",IF(INDEX('Per Invoice'!D$2:D$401,$AH73)="","",INDEX('Per Invoice'!D$2:D$401,$AH73)))</f>
        <v/>
      </c>
      <c r="E73">
        <f>IF($AH73="","",IF(INDEX('Per Invoice'!E$2:E$401,$AH73)="","",INDEX('Per Invoice'!E$2:E$401,$AH73)))</f>
        <v/>
      </c>
      <c r="F73">
        <f>IF($AH73="","",IF(INDEX('Per Invoice'!F$2:F$401,$AH73)="","",INDEX('Per Invoice'!F$2:F$401,$AH73)))</f>
        <v/>
      </c>
      <c r="G73">
        <f>IF($AH73="","",IF(INDEX('Per Invoice'!G$2:G$401,$AH73)="","",INDEX('Per Invoice'!G$2:G$401,$AH73)))</f>
        <v/>
      </c>
      <c r="H73">
        <f>IF($AH73="","",IF(INDEX('Per Invoice'!H$2:H$401,$AH73)="","",INDEX('Per Invoice'!H$2:H$401,$AH73)))</f>
        <v/>
      </c>
      <c r="I73" s="14">
        <f>IF($AH73="","",IF(INDEX('Per Invoice'!I$2:I$401,$AH73)="","",INDEX('Per Invoice'!I$2:I$401,$AH73)))</f>
        <v/>
      </c>
      <c r="J73">
        <f>IF($AH73="","",IF(INDEX('Per Invoice'!J$2:J$401,$AH73)="","",INDEX('Per Invoice'!J$2:J$401,$AH73)))</f>
        <v/>
      </c>
      <c r="K73">
        <f>IF($AH73="","",IF(INDEX('Per Invoice'!K$2:K$401,$AH73)="","",INDEX('Per Invoice'!K$2:K$401,$AH73)))</f>
        <v/>
      </c>
      <c r="L73">
        <f>IF($AH73="","",IF(INDEX('Per Invoice'!L$2:L$401,$AH73)="","",INDEX('Per Invoice'!L$2:L$401,$AH73)))</f>
        <v/>
      </c>
      <c r="M73">
        <f>IF($AH73="","",IF(INDEX('Per Invoice'!M$2:M$401,$AH73)="","",INDEX('Per Invoice'!M$2:M$401,$AH73)))</f>
        <v/>
      </c>
      <c r="N73">
        <f>IF($AH73="","",IF(INDEX('Per Invoice'!N$2:N$401,$AH73)="","",INDEX('Per Invoice'!N$2:N$401,$AH73)))</f>
        <v/>
      </c>
      <c r="O73">
        <f>IF($AH73="","",IF(INDEX('Per Invoice'!O$2:O$401,$AH73)="","",INDEX('Per Invoice'!O$2:O$401,$AH73)))</f>
        <v/>
      </c>
      <c r="P73" s="7">
        <f>IF($AH73="","",IF(INDEX('Per Invoice'!P$2:P$401,$AH73)="","",INDEX('Per Invoice'!P$2:P$401,$AH73)))</f>
        <v/>
      </c>
      <c r="Q73">
        <f>IF($AH73="","",IF(INDEX('Per Invoice'!Q$2:Q$401,$AH73)="","",INDEX('Per Invoice'!Q$2:Q$401,$AH73)))</f>
        <v/>
      </c>
      <c r="R73">
        <f>IF($AH73="","",IF(INDEX('Per Invoice'!R$2:R$401,$AH73)="","",INDEX('Per Invoice'!R$2:R$401,$AH73)))</f>
        <v/>
      </c>
      <c r="S73">
        <f>IF($AH73="","",IF(INDEX('Per Invoice'!S$2:S$401,$AH73)="","",INDEX('Per Invoice'!S$2:S$401,$AH73)))</f>
        <v/>
      </c>
      <c r="T73" s="7">
        <f>IF($AH73="","",IF(INDEX('Per Invoice'!T$2:T$401,$AH73)="","",INDEX('Per Invoice'!T$2:T$401,$AH73)))</f>
        <v/>
      </c>
      <c r="U73" s="7">
        <f>IF($AH73="","",IF(INDEX('Per Invoice'!U$2:U$401,$AH73)="","",INDEX('Per Invoice'!U$2:U$401,$AH73)))</f>
        <v/>
      </c>
      <c r="V73">
        <f>IF($AH73="","",IF(INDEX('Per Invoice'!V$2:V$401,$AH73)="","",INDEX('Per Invoice'!V$2:V$401,$AH73)))</f>
        <v/>
      </c>
      <c r="W73" s="7">
        <f>IF($AH73="","",IF(INDEX('Per Invoice'!W$2:W$401,$AH73)="","",INDEX('Per Invoice'!W$2:W$401,$AH73)))</f>
        <v/>
      </c>
      <c r="X73" s="7">
        <f>IF($AH73="","",IF(INDEX('Per Invoice'!X$2:X$401,$AH73)="","",INDEX('Per Invoice'!X$2:X$401,$AH73)))</f>
        <v/>
      </c>
      <c r="Y73">
        <f>IF($AH73="","",IF(INDEX('Per Invoice'!Y$2:Y$401,$AH73)="","",INDEX('Per Invoice'!Y$2:Y$401,$AH73)))</f>
        <v/>
      </c>
      <c r="Z73" s="7">
        <f>IF($AH73="","",IF(INDEX('Per Invoice'!Z$2:Z$401,$AH73)="","",INDEX('Per Invoice'!Z$2:Z$401,$AH73)))</f>
        <v/>
      </c>
      <c r="AA73" s="7">
        <f>IF($AH73="","",IF(INDEX('Per Invoice'!AA$2:AA$401,$AH73)="","",INDEX('Per Invoice'!AA$2:AA$401,$AH73)))</f>
        <v/>
      </c>
      <c r="AB73" s="7">
        <f>IF($AH73="","",IF(INDEX('Per Invoice'!AB$2:AB$401,$AH73)="","",INDEX('Per Invoice'!AB$2:AB$401,$AH73)))</f>
        <v/>
      </c>
      <c r="AC73" s="7">
        <f>IF($AH73="","",IF(INDEX('Per Invoice'!AC$2:AC$401,$AH73)="","",INDEX('Per Invoice'!AC$2:AC$401,$AH73)))</f>
        <v/>
      </c>
      <c r="AD73" s="7">
        <f>IF($AH73="","",IF(INDEX('Per Invoice'!AD$2:AD$401,$AH73)="","",INDEX('Per Invoice'!AD$2:AD$401,$AH73)))</f>
        <v/>
      </c>
      <c r="AE73" s="7">
        <f>IF($AH73="","",IF(INDEX('Per Invoice'!AE$2:AE$401,$AH73)="","",INDEX('Per Invoice'!AE$2:AE$401,$AH73)))</f>
        <v/>
      </c>
      <c r="AF73">
        <f>IF($AH73="","",IF(INDEX('Per Invoice'!AF$2:AF$401,$AH73)="","",INDEX('Per Invoice'!AF$2:AF$401,$AH73)))</f>
        <v/>
      </c>
      <c r="AG73" s="7">
        <f>IF($AH73="","",IF(INDEX('Per Invoice'!AG$2:AG$401,$AH73)="","",INDEX('Per Invoice'!AG$2:AG$401,$AH73)))</f>
        <v/>
      </c>
      <c r="AH73" s="16">
        <f>IFERROR(MATCH(Settings!$C$27&amp;"|"&amp;ROWS($AH$2:$AH73),'Per Invoice'!$AI$2:$AI$401,0),"")</f>
        <v/>
      </c>
    </row>
    <row r="74">
      <c r="A74">
        <f>IF($AH74="","",IF(INDEX('Per Invoice'!A$2:A$401,$AH74)="","",INDEX('Per Invoice'!A$2:A$401,$AH74)))</f>
        <v/>
      </c>
      <c r="B74">
        <f>IF($AH74="","",IF(INDEX('Per Invoice'!B$2:B$401,$AH74)="","",INDEX('Per Invoice'!B$2:B$401,$AH74)))</f>
        <v/>
      </c>
      <c r="C74">
        <f>IF($AH74="","",IF(INDEX('Per Invoice'!C$2:C$401,$AH74)="","",INDEX('Per Invoice'!C$2:C$401,$AH74)))</f>
        <v/>
      </c>
      <c r="D74">
        <f>IF($AH74="","",IF(INDEX('Per Invoice'!D$2:D$401,$AH74)="","",INDEX('Per Invoice'!D$2:D$401,$AH74)))</f>
        <v/>
      </c>
      <c r="E74">
        <f>IF($AH74="","",IF(INDEX('Per Invoice'!E$2:E$401,$AH74)="","",INDEX('Per Invoice'!E$2:E$401,$AH74)))</f>
        <v/>
      </c>
      <c r="F74">
        <f>IF($AH74="","",IF(INDEX('Per Invoice'!F$2:F$401,$AH74)="","",INDEX('Per Invoice'!F$2:F$401,$AH74)))</f>
        <v/>
      </c>
      <c r="G74">
        <f>IF($AH74="","",IF(INDEX('Per Invoice'!G$2:G$401,$AH74)="","",INDEX('Per Invoice'!G$2:G$401,$AH74)))</f>
        <v/>
      </c>
      <c r="H74">
        <f>IF($AH74="","",IF(INDEX('Per Invoice'!H$2:H$401,$AH74)="","",INDEX('Per Invoice'!H$2:H$401,$AH74)))</f>
        <v/>
      </c>
      <c r="I74" s="14">
        <f>IF($AH74="","",IF(INDEX('Per Invoice'!I$2:I$401,$AH74)="","",INDEX('Per Invoice'!I$2:I$401,$AH74)))</f>
        <v/>
      </c>
      <c r="J74">
        <f>IF($AH74="","",IF(INDEX('Per Invoice'!J$2:J$401,$AH74)="","",INDEX('Per Invoice'!J$2:J$401,$AH74)))</f>
        <v/>
      </c>
      <c r="K74">
        <f>IF($AH74="","",IF(INDEX('Per Invoice'!K$2:K$401,$AH74)="","",INDEX('Per Invoice'!K$2:K$401,$AH74)))</f>
        <v/>
      </c>
      <c r="L74">
        <f>IF($AH74="","",IF(INDEX('Per Invoice'!L$2:L$401,$AH74)="","",INDEX('Per Invoice'!L$2:L$401,$AH74)))</f>
        <v/>
      </c>
      <c r="M74">
        <f>IF($AH74="","",IF(INDEX('Per Invoice'!M$2:M$401,$AH74)="","",INDEX('Per Invoice'!M$2:M$401,$AH74)))</f>
        <v/>
      </c>
      <c r="N74">
        <f>IF($AH74="","",IF(INDEX('Per Invoice'!N$2:N$401,$AH74)="","",INDEX('Per Invoice'!N$2:N$401,$AH74)))</f>
        <v/>
      </c>
      <c r="O74">
        <f>IF($AH74="","",IF(INDEX('Per Invoice'!O$2:O$401,$AH74)="","",INDEX('Per Invoice'!O$2:O$401,$AH74)))</f>
        <v/>
      </c>
      <c r="P74" s="7">
        <f>IF($AH74="","",IF(INDEX('Per Invoice'!P$2:P$401,$AH74)="","",INDEX('Per Invoice'!P$2:P$401,$AH74)))</f>
        <v/>
      </c>
      <c r="Q74">
        <f>IF($AH74="","",IF(INDEX('Per Invoice'!Q$2:Q$401,$AH74)="","",INDEX('Per Invoice'!Q$2:Q$401,$AH74)))</f>
        <v/>
      </c>
      <c r="R74">
        <f>IF($AH74="","",IF(INDEX('Per Invoice'!R$2:R$401,$AH74)="","",INDEX('Per Invoice'!R$2:R$401,$AH74)))</f>
        <v/>
      </c>
      <c r="S74">
        <f>IF($AH74="","",IF(INDEX('Per Invoice'!S$2:S$401,$AH74)="","",INDEX('Per Invoice'!S$2:S$401,$AH74)))</f>
        <v/>
      </c>
      <c r="T74" s="7">
        <f>IF($AH74="","",IF(INDEX('Per Invoice'!T$2:T$401,$AH74)="","",INDEX('Per Invoice'!T$2:T$401,$AH74)))</f>
        <v/>
      </c>
      <c r="U74" s="7">
        <f>IF($AH74="","",IF(INDEX('Per Invoice'!U$2:U$401,$AH74)="","",INDEX('Per Invoice'!U$2:U$401,$AH74)))</f>
        <v/>
      </c>
      <c r="V74">
        <f>IF($AH74="","",IF(INDEX('Per Invoice'!V$2:V$401,$AH74)="","",INDEX('Per Invoice'!V$2:V$401,$AH74)))</f>
        <v/>
      </c>
      <c r="W74" s="7">
        <f>IF($AH74="","",IF(INDEX('Per Invoice'!W$2:W$401,$AH74)="","",INDEX('Per Invoice'!W$2:W$401,$AH74)))</f>
        <v/>
      </c>
      <c r="X74" s="7">
        <f>IF($AH74="","",IF(INDEX('Per Invoice'!X$2:X$401,$AH74)="","",INDEX('Per Invoice'!X$2:X$401,$AH74)))</f>
        <v/>
      </c>
      <c r="Y74">
        <f>IF($AH74="","",IF(INDEX('Per Invoice'!Y$2:Y$401,$AH74)="","",INDEX('Per Invoice'!Y$2:Y$401,$AH74)))</f>
        <v/>
      </c>
      <c r="Z74" s="7">
        <f>IF($AH74="","",IF(INDEX('Per Invoice'!Z$2:Z$401,$AH74)="","",INDEX('Per Invoice'!Z$2:Z$401,$AH74)))</f>
        <v/>
      </c>
      <c r="AA74" s="7">
        <f>IF($AH74="","",IF(INDEX('Per Invoice'!AA$2:AA$401,$AH74)="","",INDEX('Per Invoice'!AA$2:AA$401,$AH74)))</f>
        <v/>
      </c>
      <c r="AB74" s="7">
        <f>IF($AH74="","",IF(INDEX('Per Invoice'!AB$2:AB$401,$AH74)="","",INDEX('Per Invoice'!AB$2:AB$401,$AH74)))</f>
        <v/>
      </c>
      <c r="AC74" s="7">
        <f>IF($AH74="","",IF(INDEX('Per Invoice'!AC$2:AC$401,$AH74)="","",INDEX('Per Invoice'!AC$2:AC$401,$AH74)))</f>
        <v/>
      </c>
      <c r="AD74" s="7">
        <f>IF($AH74="","",IF(INDEX('Per Invoice'!AD$2:AD$401,$AH74)="","",INDEX('Per Invoice'!AD$2:AD$401,$AH74)))</f>
        <v/>
      </c>
      <c r="AE74" s="7">
        <f>IF($AH74="","",IF(INDEX('Per Invoice'!AE$2:AE$401,$AH74)="","",INDEX('Per Invoice'!AE$2:AE$401,$AH74)))</f>
        <v/>
      </c>
      <c r="AF74">
        <f>IF($AH74="","",IF(INDEX('Per Invoice'!AF$2:AF$401,$AH74)="","",INDEX('Per Invoice'!AF$2:AF$401,$AH74)))</f>
        <v/>
      </c>
      <c r="AG74" s="7">
        <f>IF($AH74="","",IF(INDEX('Per Invoice'!AG$2:AG$401,$AH74)="","",INDEX('Per Invoice'!AG$2:AG$401,$AH74)))</f>
        <v/>
      </c>
      <c r="AH74" s="16">
        <f>IFERROR(MATCH(Settings!$C$27&amp;"|"&amp;ROWS($AH$2:$AH74),'Per Invoice'!$AI$2:$AI$401,0),"")</f>
        <v/>
      </c>
    </row>
    <row r="75">
      <c r="A75">
        <f>IF($AH75="","",IF(INDEX('Per Invoice'!A$2:A$401,$AH75)="","",INDEX('Per Invoice'!A$2:A$401,$AH75)))</f>
        <v/>
      </c>
      <c r="B75">
        <f>IF($AH75="","",IF(INDEX('Per Invoice'!B$2:B$401,$AH75)="","",INDEX('Per Invoice'!B$2:B$401,$AH75)))</f>
        <v/>
      </c>
      <c r="C75">
        <f>IF($AH75="","",IF(INDEX('Per Invoice'!C$2:C$401,$AH75)="","",INDEX('Per Invoice'!C$2:C$401,$AH75)))</f>
        <v/>
      </c>
      <c r="D75">
        <f>IF($AH75="","",IF(INDEX('Per Invoice'!D$2:D$401,$AH75)="","",INDEX('Per Invoice'!D$2:D$401,$AH75)))</f>
        <v/>
      </c>
      <c r="E75">
        <f>IF($AH75="","",IF(INDEX('Per Invoice'!E$2:E$401,$AH75)="","",INDEX('Per Invoice'!E$2:E$401,$AH75)))</f>
        <v/>
      </c>
      <c r="F75">
        <f>IF($AH75="","",IF(INDEX('Per Invoice'!F$2:F$401,$AH75)="","",INDEX('Per Invoice'!F$2:F$401,$AH75)))</f>
        <v/>
      </c>
      <c r="G75">
        <f>IF($AH75="","",IF(INDEX('Per Invoice'!G$2:G$401,$AH75)="","",INDEX('Per Invoice'!G$2:G$401,$AH75)))</f>
        <v/>
      </c>
      <c r="H75">
        <f>IF($AH75="","",IF(INDEX('Per Invoice'!H$2:H$401,$AH75)="","",INDEX('Per Invoice'!H$2:H$401,$AH75)))</f>
        <v/>
      </c>
      <c r="I75" s="14">
        <f>IF($AH75="","",IF(INDEX('Per Invoice'!I$2:I$401,$AH75)="","",INDEX('Per Invoice'!I$2:I$401,$AH75)))</f>
        <v/>
      </c>
      <c r="J75">
        <f>IF($AH75="","",IF(INDEX('Per Invoice'!J$2:J$401,$AH75)="","",INDEX('Per Invoice'!J$2:J$401,$AH75)))</f>
        <v/>
      </c>
      <c r="K75">
        <f>IF($AH75="","",IF(INDEX('Per Invoice'!K$2:K$401,$AH75)="","",INDEX('Per Invoice'!K$2:K$401,$AH75)))</f>
        <v/>
      </c>
      <c r="L75">
        <f>IF($AH75="","",IF(INDEX('Per Invoice'!L$2:L$401,$AH75)="","",INDEX('Per Invoice'!L$2:L$401,$AH75)))</f>
        <v/>
      </c>
      <c r="M75">
        <f>IF($AH75="","",IF(INDEX('Per Invoice'!M$2:M$401,$AH75)="","",INDEX('Per Invoice'!M$2:M$401,$AH75)))</f>
        <v/>
      </c>
      <c r="N75">
        <f>IF($AH75="","",IF(INDEX('Per Invoice'!N$2:N$401,$AH75)="","",INDEX('Per Invoice'!N$2:N$401,$AH75)))</f>
        <v/>
      </c>
      <c r="O75">
        <f>IF($AH75="","",IF(INDEX('Per Invoice'!O$2:O$401,$AH75)="","",INDEX('Per Invoice'!O$2:O$401,$AH75)))</f>
        <v/>
      </c>
      <c r="P75" s="7">
        <f>IF($AH75="","",IF(INDEX('Per Invoice'!P$2:P$401,$AH75)="","",INDEX('Per Invoice'!P$2:P$401,$AH75)))</f>
        <v/>
      </c>
      <c r="Q75">
        <f>IF($AH75="","",IF(INDEX('Per Invoice'!Q$2:Q$401,$AH75)="","",INDEX('Per Invoice'!Q$2:Q$401,$AH75)))</f>
        <v/>
      </c>
      <c r="R75">
        <f>IF($AH75="","",IF(INDEX('Per Invoice'!R$2:R$401,$AH75)="","",INDEX('Per Invoice'!R$2:R$401,$AH75)))</f>
        <v/>
      </c>
      <c r="S75">
        <f>IF($AH75="","",IF(INDEX('Per Invoice'!S$2:S$401,$AH75)="","",INDEX('Per Invoice'!S$2:S$401,$AH75)))</f>
        <v/>
      </c>
      <c r="T75" s="7">
        <f>IF($AH75="","",IF(INDEX('Per Invoice'!T$2:T$401,$AH75)="","",INDEX('Per Invoice'!T$2:T$401,$AH75)))</f>
        <v/>
      </c>
      <c r="U75" s="7">
        <f>IF($AH75="","",IF(INDEX('Per Invoice'!U$2:U$401,$AH75)="","",INDEX('Per Invoice'!U$2:U$401,$AH75)))</f>
        <v/>
      </c>
      <c r="V75">
        <f>IF($AH75="","",IF(INDEX('Per Invoice'!V$2:V$401,$AH75)="","",INDEX('Per Invoice'!V$2:V$401,$AH75)))</f>
        <v/>
      </c>
      <c r="W75" s="7">
        <f>IF($AH75="","",IF(INDEX('Per Invoice'!W$2:W$401,$AH75)="","",INDEX('Per Invoice'!W$2:W$401,$AH75)))</f>
        <v/>
      </c>
      <c r="X75" s="7">
        <f>IF($AH75="","",IF(INDEX('Per Invoice'!X$2:X$401,$AH75)="","",INDEX('Per Invoice'!X$2:X$401,$AH75)))</f>
        <v/>
      </c>
      <c r="Y75">
        <f>IF($AH75="","",IF(INDEX('Per Invoice'!Y$2:Y$401,$AH75)="","",INDEX('Per Invoice'!Y$2:Y$401,$AH75)))</f>
        <v/>
      </c>
      <c r="Z75" s="7">
        <f>IF($AH75="","",IF(INDEX('Per Invoice'!Z$2:Z$401,$AH75)="","",INDEX('Per Invoice'!Z$2:Z$401,$AH75)))</f>
        <v/>
      </c>
      <c r="AA75" s="7">
        <f>IF($AH75="","",IF(INDEX('Per Invoice'!AA$2:AA$401,$AH75)="","",INDEX('Per Invoice'!AA$2:AA$401,$AH75)))</f>
        <v/>
      </c>
      <c r="AB75" s="7">
        <f>IF($AH75="","",IF(INDEX('Per Invoice'!AB$2:AB$401,$AH75)="","",INDEX('Per Invoice'!AB$2:AB$401,$AH75)))</f>
        <v/>
      </c>
      <c r="AC75" s="7">
        <f>IF($AH75="","",IF(INDEX('Per Invoice'!AC$2:AC$401,$AH75)="","",INDEX('Per Invoice'!AC$2:AC$401,$AH75)))</f>
        <v/>
      </c>
      <c r="AD75" s="7">
        <f>IF($AH75="","",IF(INDEX('Per Invoice'!AD$2:AD$401,$AH75)="","",INDEX('Per Invoice'!AD$2:AD$401,$AH75)))</f>
        <v/>
      </c>
      <c r="AE75" s="7">
        <f>IF($AH75="","",IF(INDEX('Per Invoice'!AE$2:AE$401,$AH75)="","",INDEX('Per Invoice'!AE$2:AE$401,$AH75)))</f>
        <v/>
      </c>
      <c r="AF75">
        <f>IF($AH75="","",IF(INDEX('Per Invoice'!AF$2:AF$401,$AH75)="","",INDEX('Per Invoice'!AF$2:AF$401,$AH75)))</f>
        <v/>
      </c>
      <c r="AG75" s="7">
        <f>IF($AH75="","",IF(INDEX('Per Invoice'!AG$2:AG$401,$AH75)="","",INDEX('Per Invoice'!AG$2:AG$401,$AH75)))</f>
        <v/>
      </c>
      <c r="AH75" s="16">
        <f>IFERROR(MATCH(Settings!$C$27&amp;"|"&amp;ROWS($AH$2:$AH75),'Per Invoice'!$AI$2:$AI$401,0),"")</f>
        <v/>
      </c>
    </row>
    <row r="76">
      <c r="A76">
        <f>IF($AH76="","",IF(INDEX('Per Invoice'!A$2:A$401,$AH76)="","",INDEX('Per Invoice'!A$2:A$401,$AH76)))</f>
        <v/>
      </c>
      <c r="B76">
        <f>IF($AH76="","",IF(INDEX('Per Invoice'!B$2:B$401,$AH76)="","",INDEX('Per Invoice'!B$2:B$401,$AH76)))</f>
        <v/>
      </c>
      <c r="C76">
        <f>IF($AH76="","",IF(INDEX('Per Invoice'!C$2:C$401,$AH76)="","",INDEX('Per Invoice'!C$2:C$401,$AH76)))</f>
        <v/>
      </c>
      <c r="D76">
        <f>IF($AH76="","",IF(INDEX('Per Invoice'!D$2:D$401,$AH76)="","",INDEX('Per Invoice'!D$2:D$401,$AH76)))</f>
        <v/>
      </c>
      <c r="E76">
        <f>IF($AH76="","",IF(INDEX('Per Invoice'!E$2:E$401,$AH76)="","",INDEX('Per Invoice'!E$2:E$401,$AH76)))</f>
        <v/>
      </c>
      <c r="F76">
        <f>IF($AH76="","",IF(INDEX('Per Invoice'!F$2:F$401,$AH76)="","",INDEX('Per Invoice'!F$2:F$401,$AH76)))</f>
        <v/>
      </c>
      <c r="G76">
        <f>IF($AH76="","",IF(INDEX('Per Invoice'!G$2:G$401,$AH76)="","",INDEX('Per Invoice'!G$2:G$401,$AH76)))</f>
        <v/>
      </c>
      <c r="H76">
        <f>IF($AH76="","",IF(INDEX('Per Invoice'!H$2:H$401,$AH76)="","",INDEX('Per Invoice'!H$2:H$401,$AH76)))</f>
        <v/>
      </c>
      <c r="I76" s="14">
        <f>IF($AH76="","",IF(INDEX('Per Invoice'!I$2:I$401,$AH76)="","",INDEX('Per Invoice'!I$2:I$401,$AH76)))</f>
        <v/>
      </c>
      <c r="J76">
        <f>IF($AH76="","",IF(INDEX('Per Invoice'!J$2:J$401,$AH76)="","",INDEX('Per Invoice'!J$2:J$401,$AH76)))</f>
        <v/>
      </c>
      <c r="K76">
        <f>IF($AH76="","",IF(INDEX('Per Invoice'!K$2:K$401,$AH76)="","",INDEX('Per Invoice'!K$2:K$401,$AH76)))</f>
        <v/>
      </c>
      <c r="L76">
        <f>IF($AH76="","",IF(INDEX('Per Invoice'!L$2:L$401,$AH76)="","",INDEX('Per Invoice'!L$2:L$401,$AH76)))</f>
        <v/>
      </c>
      <c r="M76">
        <f>IF($AH76="","",IF(INDEX('Per Invoice'!M$2:M$401,$AH76)="","",INDEX('Per Invoice'!M$2:M$401,$AH76)))</f>
        <v/>
      </c>
      <c r="N76">
        <f>IF($AH76="","",IF(INDEX('Per Invoice'!N$2:N$401,$AH76)="","",INDEX('Per Invoice'!N$2:N$401,$AH76)))</f>
        <v/>
      </c>
      <c r="O76">
        <f>IF($AH76="","",IF(INDEX('Per Invoice'!O$2:O$401,$AH76)="","",INDEX('Per Invoice'!O$2:O$401,$AH76)))</f>
        <v/>
      </c>
      <c r="P76" s="7">
        <f>IF($AH76="","",IF(INDEX('Per Invoice'!P$2:P$401,$AH76)="","",INDEX('Per Invoice'!P$2:P$401,$AH76)))</f>
        <v/>
      </c>
      <c r="Q76">
        <f>IF($AH76="","",IF(INDEX('Per Invoice'!Q$2:Q$401,$AH76)="","",INDEX('Per Invoice'!Q$2:Q$401,$AH76)))</f>
        <v/>
      </c>
      <c r="R76">
        <f>IF($AH76="","",IF(INDEX('Per Invoice'!R$2:R$401,$AH76)="","",INDEX('Per Invoice'!R$2:R$401,$AH76)))</f>
        <v/>
      </c>
      <c r="S76">
        <f>IF($AH76="","",IF(INDEX('Per Invoice'!S$2:S$401,$AH76)="","",INDEX('Per Invoice'!S$2:S$401,$AH76)))</f>
        <v/>
      </c>
      <c r="T76" s="7">
        <f>IF($AH76="","",IF(INDEX('Per Invoice'!T$2:T$401,$AH76)="","",INDEX('Per Invoice'!T$2:T$401,$AH76)))</f>
        <v/>
      </c>
      <c r="U76" s="7">
        <f>IF($AH76="","",IF(INDEX('Per Invoice'!U$2:U$401,$AH76)="","",INDEX('Per Invoice'!U$2:U$401,$AH76)))</f>
        <v/>
      </c>
      <c r="V76">
        <f>IF($AH76="","",IF(INDEX('Per Invoice'!V$2:V$401,$AH76)="","",INDEX('Per Invoice'!V$2:V$401,$AH76)))</f>
        <v/>
      </c>
      <c r="W76" s="7">
        <f>IF($AH76="","",IF(INDEX('Per Invoice'!W$2:W$401,$AH76)="","",INDEX('Per Invoice'!W$2:W$401,$AH76)))</f>
        <v/>
      </c>
      <c r="X76" s="7">
        <f>IF($AH76="","",IF(INDEX('Per Invoice'!X$2:X$401,$AH76)="","",INDEX('Per Invoice'!X$2:X$401,$AH76)))</f>
        <v/>
      </c>
      <c r="Y76">
        <f>IF($AH76="","",IF(INDEX('Per Invoice'!Y$2:Y$401,$AH76)="","",INDEX('Per Invoice'!Y$2:Y$401,$AH76)))</f>
        <v/>
      </c>
      <c r="Z76" s="7">
        <f>IF($AH76="","",IF(INDEX('Per Invoice'!Z$2:Z$401,$AH76)="","",INDEX('Per Invoice'!Z$2:Z$401,$AH76)))</f>
        <v/>
      </c>
      <c r="AA76" s="7">
        <f>IF($AH76="","",IF(INDEX('Per Invoice'!AA$2:AA$401,$AH76)="","",INDEX('Per Invoice'!AA$2:AA$401,$AH76)))</f>
        <v/>
      </c>
      <c r="AB76" s="7">
        <f>IF($AH76="","",IF(INDEX('Per Invoice'!AB$2:AB$401,$AH76)="","",INDEX('Per Invoice'!AB$2:AB$401,$AH76)))</f>
        <v/>
      </c>
      <c r="AC76" s="7">
        <f>IF($AH76="","",IF(INDEX('Per Invoice'!AC$2:AC$401,$AH76)="","",INDEX('Per Invoice'!AC$2:AC$401,$AH76)))</f>
        <v/>
      </c>
      <c r="AD76" s="7">
        <f>IF($AH76="","",IF(INDEX('Per Invoice'!AD$2:AD$401,$AH76)="","",INDEX('Per Invoice'!AD$2:AD$401,$AH76)))</f>
        <v/>
      </c>
      <c r="AE76" s="7">
        <f>IF($AH76="","",IF(INDEX('Per Invoice'!AE$2:AE$401,$AH76)="","",INDEX('Per Invoice'!AE$2:AE$401,$AH76)))</f>
        <v/>
      </c>
      <c r="AF76">
        <f>IF($AH76="","",IF(INDEX('Per Invoice'!AF$2:AF$401,$AH76)="","",INDEX('Per Invoice'!AF$2:AF$401,$AH76)))</f>
        <v/>
      </c>
      <c r="AG76" s="7">
        <f>IF($AH76="","",IF(INDEX('Per Invoice'!AG$2:AG$401,$AH76)="","",INDEX('Per Invoice'!AG$2:AG$401,$AH76)))</f>
        <v/>
      </c>
      <c r="AH76" s="16">
        <f>IFERROR(MATCH(Settings!$C$27&amp;"|"&amp;ROWS($AH$2:$AH76),'Per Invoice'!$AI$2:$AI$401,0),"")</f>
        <v/>
      </c>
    </row>
    <row r="77">
      <c r="A77">
        <f>IF($AH77="","",IF(INDEX('Per Invoice'!A$2:A$401,$AH77)="","",INDEX('Per Invoice'!A$2:A$401,$AH77)))</f>
        <v/>
      </c>
      <c r="B77">
        <f>IF($AH77="","",IF(INDEX('Per Invoice'!B$2:B$401,$AH77)="","",INDEX('Per Invoice'!B$2:B$401,$AH77)))</f>
        <v/>
      </c>
      <c r="C77">
        <f>IF($AH77="","",IF(INDEX('Per Invoice'!C$2:C$401,$AH77)="","",INDEX('Per Invoice'!C$2:C$401,$AH77)))</f>
        <v/>
      </c>
      <c r="D77">
        <f>IF($AH77="","",IF(INDEX('Per Invoice'!D$2:D$401,$AH77)="","",INDEX('Per Invoice'!D$2:D$401,$AH77)))</f>
        <v/>
      </c>
      <c r="E77">
        <f>IF($AH77="","",IF(INDEX('Per Invoice'!E$2:E$401,$AH77)="","",INDEX('Per Invoice'!E$2:E$401,$AH77)))</f>
        <v/>
      </c>
      <c r="F77">
        <f>IF($AH77="","",IF(INDEX('Per Invoice'!F$2:F$401,$AH77)="","",INDEX('Per Invoice'!F$2:F$401,$AH77)))</f>
        <v/>
      </c>
      <c r="G77">
        <f>IF($AH77="","",IF(INDEX('Per Invoice'!G$2:G$401,$AH77)="","",INDEX('Per Invoice'!G$2:G$401,$AH77)))</f>
        <v/>
      </c>
      <c r="H77">
        <f>IF($AH77="","",IF(INDEX('Per Invoice'!H$2:H$401,$AH77)="","",INDEX('Per Invoice'!H$2:H$401,$AH77)))</f>
        <v/>
      </c>
      <c r="I77" s="14">
        <f>IF($AH77="","",IF(INDEX('Per Invoice'!I$2:I$401,$AH77)="","",INDEX('Per Invoice'!I$2:I$401,$AH77)))</f>
        <v/>
      </c>
      <c r="J77">
        <f>IF($AH77="","",IF(INDEX('Per Invoice'!J$2:J$401,$AH77)="","",INDEX('Per Invoice'!J$2:J$401,$AH77)))</f>
        <v/>
      </c>
      <c r="K77">
        <f>IF($AH77="","",IF(INDEX('Per Invoice'!K$2:K$401,$AH77)="","",INDEX('Per Invoice'!K$2:K$401,$AH77)))</f>
        <v/>
      </c>
      <c r="L77">
        <f>IF($AH77="","",IF(INDEX('Per Invoice'!L$2:L$401,$AH77)="","",INDEX('Per Invoice'!L$2:L$401,$AH77)))</f>
        <v/>
      </c>
      <c r="M77">
        <f>IF($AH77="","",IF(INDEX('Per Invoice'!M$2:M$401,$AH77)="","",INDEX('Per Invoice'!M$2:M$401,$AH77)))</f>
        <v/>
      </c>
      <c r="N77">
        <f>IF($AH77="","",IF(INDEX('Per Invoice'!N$2:N$401,$AH77)="","",INDEX('Per Invoice'!N$2:N$401,$AH77)))</f>
        <v/>
      </c>
      <c r="O77">
        <f>IF($AH77="","",IF(INDEX('Per Invoice'!O$2:O$401,$AH77)="","",INDEX('Per Invoice'!O$2:O$401,$AH77)))</f>
        <v/>
      </c>
      <c r="P77" s="7">
        <f>IF($AH77="","",IF(INDEX('Per Invoice'!P$2:P$401,$AH77)="","",INDEX('Per Invoice'!P$2:P$401,$AH77)))</f>
        <v/>
      </c>
      <c r="Q77">
        <f>IF($AH77="","",IF(INDEX('Per Invoice'!Q$2:Q$401,$AH77)="","",INDEX('Per Invoice'!Q$2:Q$401,$AH77)))</f>
        <v/>
      </c>
      <c r="R77">
        <f>IF($AH77="","",IF(INDEX('Per Invoice'!R$2:R$401,$AH77)="","",INDEX('Per Invoice'!R$2:R$401,$AH77)))</f>
        <v/>
      </c>
      <c r="S77">
        <f>IF($AH77="","",IF(INDEX('Per Invoice'!S$2:S$401,$AH77)="","",INDEX('Per Invoice'!S$2:S$401,$AH77)))</f>
        <v/>
      </c>
      <c r="T77" s="7">
        <f>IF($AH77="","",IF(INDEX('Per Invoice'!T$2:T$401,$AH77)="","",INDEX('Per Invoice'!T$2:T$401,$AH77)))</f>
        <v/>
      </c>
      <c r="U77" s="7">
        <f>IF($AH77="","",IF(INDEX('Per Invoice'!U$2:U$401,$AH77)="","",INDEX('Per Invoice'!U$2:U$401,$AH77)))</f>
        <v/>
      </c>
      <c r="V77">
        <f>IF($AH77="","",IF(INDEX('Per Invoice'!V$2:V$401,$AH77)="","",INDEX('Per Invoice'!V$2:V$401,$AH77)))</f>
        <v/>
      </c>
      <c r="W77" s="7">
        <f>IF($AH77="","",IF(INDEX('Per Invoice'!W$2:W$401,$AH77)="","",INDEX('Per Invoice'!W$2:W$401,$AH77)))</f>
        <v/>
      </c>
      <c r="X77" s="7">
        <f>IF($AH77="","",IF(INDEX('Per Invoice'!X$2:X$401,$AH77)="","",INDEX('Per Invoice'!X$2:X$401,$AH77)))</f>
        <v/>
      </c>
      <c r="Y77">
        <f>IF($AH77="","",IF(INDEX('Per Invoice'!Y$2:Y$401,$AH77)="","",INDEX('Per Invoice'!Y$2:Y$401,$AH77)))</f>
        <v/>
      </c>
      <c r="Z77" s="7">
        <f>IF($AH77="","",IF(INDEX('Per Invoice'!Z$2:Z$401,$AH77)="","",INDEX('Per Invoice'!Z$2:Z$401,$AH77)))</f>
        <v/>
      </c>
      <c r="AA77" s="7">
        <f>IF($AH77="","",IF(INDEX('Per Invoice'!AA$2:AA$401,$AH77)="","",INDEX('Per Invoice'!AA$2:AA$401,$AH77)))</f>
        <v/>
      </c>
      <c r="AB77" s="7">
        <f>IF($AH77="","",IF(INDEX('Per Invoice'!AB$2:AB$401,$AH77)="","",INDEX('Per Invoice'!AB$2:AB$401,$AH77)))</f>
        <v/>
      </c>
      <c r="AC77" s="7">
        <f>IF($AH77="","",IF(INDEX('Per Invoice'!AC$2:AC$401,$AH77)="","",INDEX('Per Invoice'!AC$2:AC$401,$AH77)))</f>
        <v/>
      </c>
      <c r="AD77" s="7">
        <f>IF($AH77="","",IF(INDEX('Per Invoice'!AD$2:AD$401,$AH77)="","",INDEX('Per Invoice'!AD$2:AD$401,$AH77)))</f>
        <v/>
      </c>
      <c r="AE77" s="7">
        <f>IF($AH77="","",IF(INDEX('Per Invoice'!AE$2:AE$401,$AH77)="","",INDEX('Per Invoice'!AE$2:AE$401,$AH77)))</f>
        <v/>
      </c>
      <c r="AF77">
        <f>IF($AH77="","",IF(INDEX('Per Invoice'!AF$2:AF$401,$AH77)="","",INDEX('Per Invoice'!AF$2:AF$401,$AH77)))</f>
        <v/>
      </c>
      <c r="AG77" s="7">
        <f>IF($AH77="","",IF(INDEX('Per Invoice'!AG$2:AG$401,$AH77)="","",INDEX('Per Invoice'!AG$2:AG$401,$AH77)))</f>
        <v/>
      </c>
      <c r="AH77" s="16">
        <f>IFERROR(MATCH(Settings!$C$27&amp;"|"&amp;ROWS($AH$2:$AH77),'Per Invoice'!$AI$2:$AI$401,0),"")</f>
        <v/>
      </c>
    </row>
    <row r="78">
      <c r="A78">
        <f>IF($AH78="","",IF(INDEX('Per Invoice'!A$2:A$401,$AH78)="","",INDEX('Per Invoice'!A$2:A$401,$AH78)))</f>
        <v/>
      </c>
      <c r="B78">
        <f>IF($AH78="","",IF(INDEX('Per Invoice'!B$2:B$401,$AH78)="","",INDEX('Per Invoice'!B$2:B$401,$AH78)))</f>
        <v/>
      </c>
      <c r="C78">
        <f>IF($AH78="","",IF(INDEX('Per Invoice'!C$2:C$401,$AH78)="","",INDEX('Per Invoice'!C$2:C$401,$AH78)))</f>
        <v/>
      </c>
      <c r="D78">
        <f>IF($AH78="","",IF(INDEX('Per Invoice'!D$2:D$401,$AH78)="","",INDEX('Per Invoice'!D$2:D$401,$AH78)))</f>
        <v/>
      </c>
      <c r="E78">
        <f>IF($AH78="","",IF(INDEX('Per Invoice'!E$2:E$401,$AH78)="","",INDEX('Per Invoice'!E$2:E$401,$AH78)))</f>
        <v/>
      </c>
      <c r="F78">
        <f>IF($AH78="","",IF(INDEX('Per Invoice'!F$2:F$401,$AH78)="","",INDEX('Per Invoice'!F$2:F$401,$AH78)))</f>
        <v/>
      </c>
      <c r="G78">
        <f>IF($AH78="","",IF(INDEX('Per Invoice'!G$2:G$401,$AH78)="","",INDEX('Per Invoice'!G$2:G$401,$AH78)))</f>
        <v/>
      </c>
      <c r="H78">
        <f>IF($AH78="","",IF(INDEX('Per Invoice'!H$2:H$401,$AH78)="","",INDEX('Per Invoice'!H$2:H$401,$AH78)))</f>
        <v/>
      </c>
      <c r="I78" s="14">
        <f>IF($AH78="","",IF(INDEX('Per Invoice'!I$2:I$401,$AH78)="","",INDEX('Per Invoice'!I$2:I$401,$AH78)))</f>
        <v/>
      </c>
      <c r="J78">
        <f>IF($AH78="","",IF(INDEX('Per Invoice'!J$2:J$401,$AH78)="","",INDEX('Per Invoice'!J$2:J$401,$AH78)))</f>
        <v/>
      </c>
      <c r="K78">
        <f>IF($AH78="","",IF(INDEX('Per Invoice'!K$2:K$401,$AH78)="","",INDEX('Per Invoice'!K$2:K$401,$AH78)))</f>
        <v/>
      </c>
      <c r="L78">
        <f>IF($AH78="","",IF(INDEX('Per Invoice'!L$2:L$401,$AH78)="","",INDEX('Per Invoice'!L$2:L$401,$AH78)))</f>
        <v/>
      </c>
      <c r="M78">
        <f>IF($AH78="","",IF(INDEX('Per Invoice'!M$2:M$401,$AH78)="","",INDEX('Per Invoice'!M$2:M$401,$AH78)))</f>
        <v/>
      </c>
      <c r="N78">
        <f>IF($AH78="","",IF(INDEX('Per Invoice'!N$2:N$401,$AH78)="","",INDEX('Per Invoice'!N$2:N$401,$AH78)))</f>
        <v/>
      </c>
      <c r="O78">
        <f>IF($AH78="","",IF(INDEX('Per Invoice'!O$2:O$401,$AH78)="","",INDEX('Per Invoice'!O$2:O$401,$AH78)))</f>
        <v/>
      </c>
      <c r="P78" s="7">
        <f>IF($AH78="","",IF(INDEX('Per Invoice'!P$2:P$401,$AH78)="","",INDEX('Per Invoice'!P$2:P$401,$AH78)))</f>
        <v/>
      </c>
      <c r="Q78">
        <f>IF($AH78="","",IF(INDEX('Per Invoice'!Q$2:Q$401,$AH78)="","",INDEX('Per Invoice'!Q$2:Q$401,$AH78)))</f>
        <v/>
      </c>
      <c r="R78">
        <f>IF($AH78="","",IF(INDEX('Per Invoice'!R$2:R$401,$AH78)="","",INDEX('Per Invoice'!R$2:R$401,$AH78)))</f>
        <v/>
      </c>
      <c r="S78">
        <f>IF($AH78="","",IF(INDEX('Per Invoice'!S$2:S$401,$AH78)="","",INDEX('Per Invoice'!S$2:S$401,$AH78)))</f>
        <v/>
      </c>
      <c r="T78" s="7">
        <f>IF($AH78="","",IF(INDEX('Per Invoice'!T$2:T$401,$AH78)="","",INDEX('Per Invoice'!T$2:T$401,$AH78)))</f>
        <v/>
      </c>
      <c r="U78" s="7">
        <f>IF($AH78="","",IF(INDEX('Per Invoice'!U$2:U$401,$AH78)="","",INDEX('Per Invoice'!U$2:U$401,$AH78)))</f>
        <v/>
      </c>
      <c r="V78">
        <f>IF($AH78="","",IF(INDEX('Per Invoice'!V$2:V$401,$AH78)="","",INDEX('Per Invoice'!V$2:V$401,$AH78)))</f>
        <v/>
      </c>
      <c r="W78" s="7">
        <f>IF($AH78="","",IF(INDEX('Per Invoice'!W$2:W$401,$AH78)="","",INDEX('Per Invoice'!W$2:W$401,$AH78)))</f>
        <v/>
      </c>
      <c r="X78" s="7">
        <f>IF($AH78="","",IF(INDEX('Per Invoice'!X$2:X$401,$AH78)="","",INDEX('Per Invoice'!X$2:X$401,$AH78)))</f>
        <v/>
      </c>
      <c r="Y78">
        <f>IF($AH78="","",IF(INDEX('Per Invoice'!Y$2:Y$401,$AH78)="","",INDEX('Per Invoice'!Y$2:Y$401,$AH78)))</f>
        <v/>
      </c>
      <c r="Z78" s="7">
        <f>IF($AH78="","",IF(INDEX('Per Invoice'!Z$2:Z$401,$AH78)="","",INDEX('Per Invoice'!Z$2:Z$401,$AH78)))</f>
        <v/>
      </c>
      <c r="AA78" s="7">
        <f>IF($AH78="","",IF(INDEX('Per Invoice'!AA$2:AA$401,$AH78)="","",INDEX('Per Invoice'!AA$2:AA$401,$AH78)))</f>
        <v/>
      </c>
      <c r="AB78" s="7">
        <f>IF($AH78="","",IF(INDEX('Per Invoice'!AB$2:AB$401,$AH78)="","",INDEX('Per Invoice'!AB$2:AB$401,$AH78)))</f>
        <v/>
      </c>
      <c r="AC78" s="7">
        <f>IF($AH78="","",IF(INDEX('Per Invoice'!AC$2:AC$401,$AH78)="","",INDEX('Per Invoice'!AC$2:AC$401,$AH78)))</f>
        <v/>
      </c>
      <c r="AD78" s="7">
        <f>IF($AH78="","",IF(INDEX('Per Invoice'!AD$2:AD$401,$AH78)="","",INDEX('Per Invoice'!AD$2:AD$401,$AH78)))</f>
        <v/>
      </c>
      <c r="AE78" s="7">
        <f>IF($AH78="","",IF(INDEX('Per Invoice'!AE$2:AE$401,$AH78)="","",INDEX('Per Invoice'!AE$2:AE$401,$AH78)))</f>
        <v/>
      </c>
      <c r="AF78">
        <f>IF($AH78="","",IF(INDEX('Per Invoice'!AF$2:AF$401,$AH78)="","",INDEX('Per Invoice'!AF$2:AF$401,$AH78)))</f>
        <v/>
      </c>
      <c r="AG78" s="7">
        <f>IF($AH78="","",IF(INDEX('Per Invoice'!AG$2:AG$401,$AH78)="","",INDEX('Per Invoice'!AG$2:AG$401,$AH78)))</f>
        <v/>
      </c>
      <c r="AH78" s="16">
        <f>IFERROR(MATCH(Settings!$C$27&amp;"|"&amp;ROWS($AH$2:$AH78),'Per Invoice'!$AI$2:$AI$401,0),"")</f>
        <v/>
      </c>
    </row>
    <row r="79">
      <c r="A79">
        <f>IF($AH79="","",IF(INDEX('Per Invoice'!A$2:A$401,$AH79)="","",INDEX('Per Invoice'!A$2:A$401,$AH79)))</f>
        <v/>
      </c>
      <c r="B79">
        <f>IF($AH79="","",IF(INDEX('Per Invoice'!B$2:B$401,$AH79)="","",INDEX('Per Invoice'!B$2:B$401,$AH79)))</f>
        <v/>
      </c>
      <c r="C79">
        <f>IF($AH79="","",IF(INDEX('Per Invoice'!C$2:C$401,$AH79)="","",INDEX('Per Invoice'!C$2:C$401,$AH79)))</f>
        <v/>
      </c>
      <c r="D79">
        <f>IF($AH79="","",IF(INDEX('Per Invoice'!D$2:D$401,$AH79)="","",INDEX('Per Invoice'!D$2:D$401,$AH79)))</f>
        <v/>
      </c>
      <c r="E79">
        <f>IF($AH79="","",IF(INDEX('Per Invoice'!E$2:E$401,$AH79)="","",INDEX('Per Invoice'!E$2:E$401,$AH79)))</f>
        <v/>
      </c>
      <c r="F79">
        <f>IF($AH79="","",IF(INDEX('Per Invoice'!F$2:F$401,$AH79)="","",INDEX('Per Invoice'!F$2:F$401,$AH79)))</f>
        <v/>
      </c>
      <c r="G79">
        <f>IF($AH79="","",IF(INDEX('Per Invoice'!G$2:G$401,$AH79)="","",INDEX('Per Invoice'!G$2:G$401,$AH79)))</f>
        <v/>
      </c>
      <c r="H79">
        <f>IF($AH79="","",IF(INDEX('Per Invoice'!H$2:H$401,$AH79)="","",INDEX('Per Invoice'!H$2:H$401,$AH79)))</f>
        <v/>
      </c>
      <c r="I79" s="14">
        <f>IF($AH79="","",IF(INDEX('Per Invoice'!I$2:I$401,$AH79)="","",INDEX('Per Invoice'!I$2:I$401,$AH79)))</f>
        <v/>
      </c>
      <c r="J79">
        <f>IF($AH79="","",IF(INDEX('Per Invoice'!J$2:J$401,$AH79)="","",INDEX('Per Invoice'!J$2:J$401,$AH79)))</f>
        <v/>
      </c>
      <c r="K79">
        <f>IF($AH79="","",IF(INDEX('Per Invoice'!K$2:K$401,$AH79)="","",INDEX('Per Invoice'!K$2:K$401,$AH79)))</f>
        <v/>
      </c>
      <c r="L79">
        <f>IF($AH79="","",IF(INDEX('Per Invoice'!L$2:L$401,$AH79)="","",INDEX('Per Invoice'!L$2:L$401,$AH79)))</f>
        <v/>
      </c>
      <c r="M79">
        <f>IF($AH79="","",IF(INDEX('Per Invoice'!M$2:M$401,$AH79)="","",INDEX('Per Invoice'!M$2:M$401,$AH79)))</f>
        <v/>
      </c>
      <c r="N79">
        <f>IF($AH79="","",IF(INDEX('Per Invoice'!N$2:N$401,$AH79)="","",INDEX('Per Invoice'!N$2:N$401,$AH79)))</f>
        <v/>
      </c>
      <c r="O79">
        <f>IF($AH79="","",IF(INDEX('Per Invoice'!O$2:O$401,$AH79)="","",INDEX('Per Invoice'!O$2:O$401,$AH79)))</f>
        <v/>
      </c>
      <c r="P79" s="7">
        <f>IF($AH79="","",IF(INDEX('Per Invoice'!P$2:P$401,$AH79)="","",INDEX('Per Invoice'!P$2:P$401,$AH79)))</f>
        <v/>
      </c>
      <c r="Q79">
        <f>IF($AH79="","",IF(INDEX('Per Invoice'!Q$2:Q$401,$AH79)="","",INDEX('Per Invoice'!Q$2:Q$401,$AH79)))</f>
        <v/>
      </c>
      <c r="R79">
        <f>IF($AH79="","",IF(INDEX('Per Invoice'!R$2:R$401,$AH79)="","",INDEX('Per Invoice'!R$2:R$401,$AH79)))</f>
        <v/>
      </c>
      <c r="S79">
        <f>IF($AH79="","",IF(INDEX('Per Invoice'!S$2:S$401,$AH79)="","",INDEX('Per Invoice'!S$2:S$401,$AH79)))</f>
        <v/>
      </c>
      <c r="T79" s="7">
        <f>IF($AH79="","",IF(INDEX('Per Invoice'!T$2:T$401,$AH79)="","",INDEX('Per Invoice'!T$2:T$401,$AH79)))</f>
        <v/>
      </c>
      <c r="U79" s="7">
        <f>IF($AH79="","",IF(INDEX('Per Invoice'!U$2:U$401,$AH79)="","",INDEX('Per Invoice'!U$2:U$401,$AH79)))</f>
        <v/>
      </c>
      <c r="V79">
        <f>IF($AH79="","",IF(INDEX('Per Invoice'!V$2:V$401,$AH79)="","",INDEX('Per Invoice'!V$2:V$401,$AH79)))</f>
        <v/>
      </c>
      <c r="W79" s="7">
        <f>IF($AH79="","",IF(INDEX('Per Invoice'!W$2:W$401,$AH79)="","",INDEX('Per Invoice'!W$2:W$401,$AH79)))</f>
        <v/>
      </c>
      <c r="X79" s="7">
        <f>IF($AH79="","",IF(INDEX('Per Invoice'!X$2:X$401,$AH79)="","",INDEX('Per Invoice'!X$2:X$401,$AH79)))</f>
        <v/>
      </c>
      <c r="Y79">
        <f>IF($AH79="","",IF(INDEX('Per Invoice'!Y$2:Y$401,$AH79)="","",INDEX('Per Invoice'!Y$2:Y$401,$AH79)))</f>
        <v/>
      </c>
      <c r="Z79" s="7">
        <f>IF($AH79="","",IF(INDEX('Per Invoice'!Z$2:Z$401,$AH79)="","",INDEX('Per Invoice'!Z$2:Z$401,$AH79)))</f>
        <v/>
      </c>
      <c r="AA79" s="7">
        <f>IF($AH79="","",IF(INDEX('Per Invoice'!AA$2:AA$401,$AH79)="","",INDEX('Per Invoice'!AA$2:AA$401,$AH79)))</f>
        <v/>
      </c>
      <c r="AB79" s="7">
        <f>IF($AH79="","",IF(INDEX('Per Invoice'!AB$2:AB$401,$AH79)="","",INDEX('Per Invoice'!AB$2:AB$401,$AH79)))</f>
        <v/>
      </c>
      <c r="AC79" s="7">
        <f>IF($AH79="","",IF(INDEX('Per Invoice'!AC$2:AC$401,$AH79)="","",INDEX('Per Invoice'!AC$2:AC$401,$AH79)))</f>
        <v/>
      </c>
      <c r="AD79" s="7">
        <f>IF($AH79="","",IF(INDEX('Per Invoice'!AD$2:AD$401,$AH79)="","",INDEX('Per Invoice'!AD$2:AD$401,$AH79)))</f>
        <v/>
      </c>
      <c r="AE79" s="7">
        <f>IF($AH79="","",IF(INDEX('Per Invoice'!AE$2:AE$401,$AH79)="","",INDEX('Per Invoice'!AE$2:AE$401,$AH79)))</f>
        <v/>
      </c>
      <c r="AF79">
        <f>IF($AH79="","",IF(INDEX('Per Invoice'!AF$2:AF$401,$AH79)="","",INDEX('Per Invoice'!AF$2:AF$401,$AH79)))</f>
        <v/>
      </c>
      <c r="AG79" s="7">
        <f>IF($AH79="","",IF(INDEX('Per Invoice'!AG$2:AG$401,$AH79)="","",INDEX('Per Invoice'!AG$2:AG$401,$AH79)))</f>
        <v/>
      </c>
      <c r="AH79" s="16">
        <f>IFERROR(MATCH(Settings!$C$27&amp;"|"&amp;ROWS($AH$2:$AH79),'Per Invoice'!$AI$2:$AI$401,0),"")</f>
        <v/>
      </c>
    </row>
    <row r="80">
      <c r="A80">
        <f>IF($AH80="","",IF(INDEX('Per Invoice'!A$2:A$401,$AH80)="","",INDEX('Per Invoice'!A$2:A$401,$AH80)))</f>
        <v/>
      </c>
      <c r="B80">
        <f>IF($AH80="","",IF(INDEX('Per Invoice'!B$2:B$401,$AH80)="","",INDEX('Per Invoice'!B$2:B$401,$AH80)))</f>
        <v/>
      </c>
      <c r="C80">
        <f>IF($AH80="","",IF(INDEX('Per Invoice'!C$2:C$401,$AH80)="","",INDEX('Per Invoice'!C$2:C$401,$AH80)))</f>
        <v/>
      </c>
      <c r="D80">
        <f>IF($AH80="","",IF(INDEX('Per Invoice'!D$2:D$401,$AH80)="","",INDEX('Per Invoice'!D$2:D$401,$AH80)))</f>
        <v/>
      </c>
      <c r="E80">
        <f>IF($AH80="","",IF(INDEX('Per Invoice'!E$2:E$401,$AH80)="","",INDEX('Per Invoice'!E$2:E$401,$AH80)))</f>
        <v/>
      </c>
      <c r="F80">
        <f>IF($AH80="","",IF(INDEX('Per Invoice'!F$2:F$401,$AH80)="","",INDEX('Per Invoice'!F$2:F$401,$AH80)))</f>
        <v/>
      </c>
      <c r="G80">
        <f>IF($AH80="","",IF(INDEX('Per Invoice'!G$2:G$401,$AH80)="","",INDEX('Per Invoice'!G$2:G$401,$AH80)))</f>
        <v/>
      </c>
      <c r="H80">
        <f>IF($AH80="","",IF(INDEX('Per Invoice'!H$2:H$401,$AH80)="","",INDEX('Per Invoice'!H$2:H$401,$AH80)))</f>
        <v/>
      </c>
      <c r="I80" s="14">
        <f>IF($AH80="","",IF(INDEX('Per Invoice'!I$2:I$401,$AH80)="","",INDEX('Per Invoice'!I$2:I$401,$AH80)))</f>
        <v/>
      </c>
      <c r="J80">
        <f>IF($AH80="","",IF(INDEX('Per Invoice'!J$2:J$401,$AH80)="","",INDEX('Per Invoice'!J$2:J$401,$AH80)))</f>
        <v/>
      </c>
      <c r="K80">
        <f>IF($AH80="","",IF(INDEX('Per Invoice'!K$2:K$401,$AH80)="","",INDEX('Per Invoice'!K$2:K$401,$AH80)))</f>
        <v/>
      </c>
      <c r="L80">
        <f>IF($AH80="","",IF(INDEX('Per Invoice'!L$2:L$401,$AH80)="","",INDEX('Per Invoice'!L$2:L$401,$AH80)))</f>
        <v/>
      </c>
      <c r="M80">
        <f>IF($AH80="","",IF(INDEX('Per Invoice'!M$2:M$401,$AH80)="","",INDEX('Per Invoice'!M$2:M$401,$AH80)))</f>
        <v/>
      </c>
      <c r="N80">
        <f>IF($AH80="","",IF(INDEX('Per Invoice'!N$2:N$401,$AH80)="","",INDEX('Per Invoice'!N$2:N$401,$AH80)))</f>
        <v/>
      </c>
      <c r="O80">
        <f>IF($AH80="","",IF(INDEX('Per Invoice'!O$2:O$401,$AH80)="","",INDEX('Per Invoice'!O$2:O$401,$AH80)))</f>
        <v/>
      </c>
      <c r="P80" s="7">
        <f>IF($AH80="","",IF(INDEX('Per Invoice'!P$2:P$401,$AH80)="","",INDEX('Per Invoice'!P$2:P$401,$AH80)))</f>
        <v/>
      </c>
      <c r="Q80">
        <f>IF($AH80="","",IF(INDEX('Per Invoice'!Q$2:Q$401,$AH80)="","",INDEX('Per Invoice'!Q$2:Q$401,$AH80)))</f>
        <v/>
      </c>
      <c r="R80">
        <f>IF($AH80="","",IF(INDEX('Per Invoice'!R$2:R$401,$AH80)="","",INDEX('Per Invoice'!R$2:R$401,$AH80)))</f>
        <v/>
      </c>
      <c r="S80">
        <f>IF($AH80="","",IF(INDEX('Per Invoice'!S$2:S$401,$AH80)="","",INDEX('Per Invoice'!S$2:S$401,$AH80)))</f>
        <v/>
      </c>
      <c r="T80" s="7">
        <f>IF($AH80="","",IF(INDEX('Per Invoice'!T$2:T$401,$AH80)="","",INDEX('Per Invoice'!T$2:T$401,$AH80)))</f>
        <v/>
      </c>
      <c r="U80" s="7">
        <f>IF($AH80="","",IF(INDEX('Per Invoice'!U$2:U$401,$AH80)="","",INDEX('Per Invoice'!U$2:U$401,$AH80)))</f>
        <v/>
      </c>
      <c r="V80">
        <f>IF($AH80="","",IF(INDEX('Per Invoice'!V$2:V$401,$AH80)="","",INDEX('Per Invoice'!V$2:V$401,$AH80)))</f>
        <v/>
      </c>
      <c r="W80" s="7">
        <f>IF($AH80="","",IF(INDEX('Per Invoice'!W$2:W$401,$AH80)="","",INDEX('Per Invoice'!W$2:W$401,$AH80)))</f>
        <v/>
      </c>
      <c r="X80" s="7">
        <f>IF($AH80="","",IF(INDEX('Per Invoice'!X$2:X$401,$AH80)="","",INDEX('Per Invoice'!X$2:X$401,$AH80)))</f>
        <v/>
      </c>
      <c r="Y80">
        <f>IF($AH80="","",IF(INDEX('Per Invoice'!Y$2:Y$401,$AH80)="","",INDEX('Per Invoice'!Y$2:Y$401,$AH80)))</f>
        <v/>
      </c>
      <c r="Z80" s="7">
        <f>IF($AH80="","",IF(INDEX('Per Invoice'!Z$2:Z$401,$AH80)="","",INDEX('Per Invoice'!Z$2:Z$401,$AH80)))</f>
        <v/>
      </c>
      <c r="AA80" s="7">
        <f>IF($AH80="","",IF(INDEX('Per Invoice'!AA$2:AA$401,$AH80)="","",INDEX('Per Invoice'!AA$2:AA$401,$AH80)))</f>
        <v/>
      </c>
      <c r="AB80" s="7">
        <f>IF($AH80="","",IF(INDEX('Per Invoice'!AB$2:AB$401,$AH80)="","",INDEX('Per Invoice'!AB$2:AB$401,$AH80)))</f>
        <v/>
      </c>
      <c r="AC80" s="7">
        <f>IF($AH80="","",IF(INDEX('Per Invoice'!AC$2:AC$401,$AH80)="","",INDEX('Per Invoice'!AC$2:AC$401,$AH80)))</f>
        <v/>
      </c>
      <c r="AD80" s="7">
        <f>IF($AH80="","",IF(INDEX('Per Invoice'!AD$2:AD$401,$AH80)="","",INDEX('Per Invoice'!AD$2:AD$401,$AH80)))</f>
        <v/>
      </c>
      <c r="AE80" s="7">
        <f>IF($AH80="","",IF(INDEX('Per Invoice'!AE$2:AE$401,$AH80)="","",INDEX('Per Invoice'!AE$2:AE$401,$AH80)))</f>
        <v/>
      </c>
      <c r="AF80">
        <f>IF($AH80="","",IF(INDEX('Per Invoice'!AF$2:AF$401,$AH80)="","",INDEX('Per Invoice'!AF$2:AF$401,$AH80)))</f>
        <v/>
      </c>
      <c r="AG80" s="7">
        <f>IF($AH80="","",IF(INDEX('Per Invoice'!AG$2:AG$401,$AH80)="","",INDEX('Per Invoice'!AG$2:AG$401,$AH80)))</f>
        <v/>
      </c>
      <c r="AH80" s="16">
        <f>IFERROR(MATCH(Settings!$C$27&amp;"|"&amp;ROWS($AH$2:$AH80),'Per Invoice'!$AI$2:$AI$401,0),"")</f>
        <v/>
      </c>
    </row>
    <row r="81">
      <c r="A81">
        <f>IF($AH81="","",IF(INDEX('Per Invoice'!A$2:A$401,$AH81)="","",INDEX('Per Invoice'!A$2:A$401,$AH81)))</f>
        <v/>
      </c>
      <c r="B81">
        <f>IF($AH81="","",IF(INDEX('Per Invoice'!B$2:B$401,$AH81)="","",INDEX('Per Invoice'!B$2:B$401,$AH81)))</f>
        <v/>
      </c>
      <c r="C81">
        <f>IF($AH81="","",IF(INDEX('Per Invoice'!C$2:C$401,$AH81)="","",INDEX('Per Invoice'!C$2:C$401,$AH81)))</f>
        <v/>
      </c>
      <c r="D81">
        <f>IF($AH81="","",IF(INDEX('Per Invoice'!D$2:D$401,$AH81)="","",INDEX('Per Invoice'!D$2:D$401,$AH81)))</f>
        <v/>
      </c>
      <c r="E81">
        <f>IF($AH81="","",IF(INDEX('Per Invoice'!E$2:E$401,$AH81)="","",INDEX('Per Invoice'!E$2:E$401,$AH81)))</f>
        <v/>
      </c>
      <c r="F81">
        <f>IF($AH81="","",IF(INDEX('Per Invoice'!F$2:F$401,$AH81)="","",INDEX('Per Invoice'!F$2:F$401,$AH81)))</f>
        <v/>
      </c>
      <c r="G81">
        <f>IF($AH81="","",IF(INDEX('Per Invoice'!G$2:G$401,$AH81)="","",INDEX('Per Invoice'!G$2:G$401,$AH81)))</f>
        <v/>
      </c>
      <c r="H81">
        <f>IF($AH81="","",IF(INDEX('Per Invoice'!H$2:H$401,$AH81)="","",INDEX('Per Invoice'!H$2:H$401,$AH81)))</f>
        <v/>
      </c>
      <c r="I81" s="14">
        <f>IF($AH81="","",IF(INDEX('Per Invoice'!I$2:I$401,$AH81)="","",INDEX('Per Invoice'!I$2:I$401,$AH81)))</f>
        <v/>
      </c>
      <c r="J81">
        <f>IF($AH81="","",IF(INDEX('Per Invoice'!J$2:J$401,$AH81)="","",INDEX('Per Invoice'!J$2:J$401,$AH81)))</f>
        <v/>
      </c>
      <c r="K81">
        <f>IF($AH81="","",IF(INDEX('Per Invoice'!K$2:K$401,$AH81)="","",INDEX('Per Invoice'!K$2:K$401,$AH81)))</f>
        <v/>
      </c>
      <c r="L81">
        <f>IF($AH81="","",IF(INDEX('Per Invoice'!L$2:L$401,$AH81)="","",INDEX('Per Invoice'!L$2:L$401,$AH81)))</f>
        <v/>
      </c>
      <c r="M81">
        <f>IF($AH81="","",IF(INDEX('Per Invoice'!M$2:M$401,$AH81)="","",INDEX('Per Invoice'!M$2:M$401,$AH81)))</f>
        <v/>
      </c>
      <c r="N81">
        <f>IF($AH81="","",IF(INDEX('Per Invoice'!N$2:N$401,$AH81)="","",INDEX('Per Invoice'!N$2:N$401,$AH81)))</f>
        <v/>
      </c>
      <c r="O81">
        <f>IF($AH81="","",IF(INDEX('Per Invoice'!O$2:O$401,$AH81)="","",INDEX('Per Invoice'!O$2:O$401,$AH81)))</f>
        <v/>
      </c>
      <c r="P81" s="7">
        <f>IF($AH81="","",IF(INDEX('Per Invoice'!P$2:P$401,$AH81)="","",INDEX('Per Invoice'!P$2:P$401,$AH81)))</f>
        <v/>
      </c>
      <c r="Q81">
        <f>IF($AH81="","",IF(INDEX('Per Invoice'!Q$2:Q$401,$AH81)="","",INDEX('Per Invoice'!Q$2:Q$401,$AH81)))</f>
        <v/>
      </c>
      <c r="R81">
        <f>IF($AH81="","",IF(INDEX('Per Invoice'!R$2:R$401,$AH81)="","",INDEX('Per Invoice'!R$2:R$401,$AH81)))</f>
        <v/>
      </c>
      <c r="S81">
        <f>IF($AH81="","",IF(INDEX('Per Invoice'!S$2:S$401,$AH81)="","",INDEX('Per Invoice'!S$2:S$401,$AH81)))</f>
        <v/>
      </c>
      <c r="T81" s="7">
        <f>IF($AH81="","",IF(INDEX('Per Invoice'!T$2:T$401,$AH81)="","",INDEX('Per Invoice'!T$2:T$401,$AH81)))</f>
        <v/>
      </c>
      <c r="U81" s="7">
        <f>IF($AH81="","",IF(INDEX('Per Invoice'!U$2:U$401,$AH81)="","",INDEX('Per Invoice'!U$2:U$401,$AH81)))</f>
        <v/>
      </c>
      <c r="V81">
        <f>IF($AH81="","",IF(INDEX('Per Invoice'!V$2:V$401,$AH81)="","",INDEX('Per Invoice'!V$2:V$401,$AH81)))</f>
        <v/>
      </c>
      <c r="W81" s="7">
        <f>IF($AH81="","",IF(INDEX('Per Invoice'!W$2:W$401,$AH81)="","",INDEX('Per Invoice'!W$2:W$401,$AH81)))</f>
        <v/>
      </c>
      <c r="X81" s="7">
        <f>IF($AH81="","",IF(INDEX('Per Invoice'!X$2:X$401,$AH81)="","",INDEX('Per Invoice'!X$2:X$401,$AH81)))</f>
        <v/>
      </c>
      <c r="Y81">
        <f>IF($AH81="","",IF(INDEX('Per Invoice'!Y$2:Y$401,$AH81)="","",INDEX('Per Invoice'!Y$2:Y$401,$AH81)))</f>
        <v/>
      </c>
      <c r="Z81" s="7">
        <f>IF($AH81="","",IF(INDEX('Per Invoice'!Z$2:Z$401,$AH81)="","",INDEX('Per Invoice'!Z$2:Z$401,$AH81)))</f>
        <v/>
      </c>
      <c r="AA81" s="7">
        <f>IF($AH81="","",IF(INDEX('Per Invoice'!AA$2:AA$401,$AH81)="","",INDEX('Per Invoice'!AA$2:AA$401,$AH81)))</f>
        <v/>
      </c>
      <c r="AB81" s="7">
        <f>IF($AH81="","",IF(INDEX('Per Invoice'!AB$2:AB$401,$AH81)="","",INDEX('Per Invoice'!AB$2:AB$401,$AH81)))</f>
        <v/>
      </c>
      <c r="AC81" s="7">
        <f>IF($AH81="","",IF(INDEX('Per Invoice'!AC$2:AC$401,$AH81)="","",INDEX('Per Invoice'!AC$2:AC$401,$AH81)))</f>
        <v/>
      </c>
      <c r="AD81" s="7">
        <f>IF($AH81="","",IF(INDEX('Per Invoice'!AD$2:AD$401,$AH81)="","",INDEX('Per Invoice'!AD$2:AD$401,$AH81)))</f>
        <v/>
      </c>
      <c r="AE81" s="7">
        <f>IF($AH81="","",IF(INDEX('Per Invoice'!AE$2:AE$401,$AH81)="","",INDEX('Per Invoice'!AE$2:AE$401,$AH81)))</f>
        <v/>
      </c>
      <c r="AF81">
        <f>IF($AH81="","",IF(INDEX('Per Invoice'!AF$2:AF$401,$AH81)="","",INDEX('Per Invoice'!AF$2:AF$401,$AH81)))</f>
        <v/>
      </c>
      <c r="AG81" s="7">
        <f>IF($AH81="","",IF(INDEX('Per Invoice'!AG$2:AG$401,$AH81)="","",INDEX('Per Invoice'!AG$2:AG$401,$AH81)))</f>
        <v/>
      </c>
      <c r="AH81" s="16">
        <f>IFERROR(MATCH(Settings!$C$27&amp;"|"&amp;ROWS($AH$2:$AH81),'Per Invoice'!$AI$2:$AI$401,0),"")</f>
        <v/>
      </c>
    </row>
    <row r="82">
      <c r="A82">
        <f>IF($AH82="","",IF(INDEX('Per Invoice'!A$2:A$401,$AH82)="","",INDEX('Per Invoice'!A$2:A$401,$AH82)))</f>
        <v/>
      </c>
      <c r="B82">
        <f>IF($AH82="","",IF(INDEX('Per Invoice'!B$2:B$401,$AH82)="","",INDEX('Per Invoice'!B$2:B$401,$AH82)))</f>
        <v/>
      </c>
      <c r="C82">
        <f>IF($AH82="","",IF(INDEX('Per Invoice'!C$2:C$401,$AH82)="","",INDEX('Per Invoice'!C$2:C$401,$AH82)))</f>
        <v/>
      </c>
      <c r="D82">
        <f>IF($AH82="","",IF(INDEX('Per Invoice'!D$2:D$401,$AH82)="","",INDEX('Per Invoice'!D$2:D$401,$AH82)))</f>
        <v/>
      </c>
      <c r="E82">
        <f>IF($AH82="","",IF(INDEX('Per Invoice'!E$2:E$401,$AH82)="","",INDEX('Per Invoice'!E$2:E$401,$AH82)))</f>
        <v/>
      </c>
      <c r="F82">
        <f>IF($AH82="","",IF(INDEX('Per Invoice'!F$2:F$401,$AH82)="","",INDEX('Per Invoice'!F$2:F$401,$AH82)))</f>
        <v/>
      </c>
      <c r="G82">
        <f>IF($AH82="","",IF(INDEX('Per Invoice'!G$2:G$401,$AH82)="","",INDEX('Per Invoice'!G$2:G$401,$AH82)))</f>
        <v/>
      </c>
      <c r="H82">
        <f>IF($AH82="","",IF(INDEX('Per Invoice'!H$2:H$401,$AH82)="","",INDEX('Per Invoice'!H$2:H$401,$AH82)))</f>
        <v/>
      </c>
      <c r="I82" s="14">
        <f>IF($AH82="","",IF(INDEX('Per Invoice'!I$2:I$401,$AH82)="","",INDEX('Per Invoice'!I$2:I$401,$AH82)))</f>
        <v/>
      </c>
      <c r="J82">
        <f>IF($AH82="","",IF(INDEX('Per Invoice'!J$2:J$401,$AH82)="","",INDEX('Per Invoice'!J$2:J$401,$AH82)))</f>
        <v/>
      </c>
      <c r="K82">
        <f>IF($AH82="","",IF(INDEX('Per Invoice'!K$2:K$401,$AH82)="","",INDEX('Per Invoice'!K$2:K$401,$AH82)))</f>
        <v/>
      </c>
      <c r="L82">
        <f>IF($AH82="","",IF(INDEX('Per Invoice'!L$2:L$401,$AH82)="","",INDEX('Per Invoice'!L$2:L$401,$AH82)))</f>
        <v/>
      </c>
      <c r="M82">
        <f>IF($AH82="","",IF(INDEX('Per Invoice'!M$2:M$401,$AH82)="","",INDEX('Per Invoice'!M$2:M$401,$AH82)))</f>
        <v/>
      </c>
      <c r="N82">
        <f>IF($AH82="","",IF(INDEX('Per Invoice'!N$2:N$401,$AH82)="","",INDEX('Per Invoice'!N$2:N$401,$AH82)))</f>
        <v/>
      </c>
      <c r="O82">
        <f>IF($AH82="","",IF(INDEX('Per Invoice'!O$2:O$401,$AH82)="","",INDEX('Per Invoice'!O$2:O$401,$AH82)))</f>
        <v/>
      </c>
      <c r="P82" s="7">
        <f>IF($AH82="","",IF(INDEX('Per Invoice'!P$2:P$401,$AH82)="","",INDEX('Per Invoice'!P$2:P$401,$AH82)))</f>
        <v/>
      </c>
      <c r="Q82">
        <f>IF($AH82="","",IF(INDEX('Per Invoice'!Q$2:Q$401,$AH82)="","",INDEX('Per Invoice'!Q$2:Q$401,$AH82)))</f>
        <v/>
      </c>
      <c r="R82">
        <f>IF($AH82="","",IF(INDEX('Per Invoice'!R$2:R$401,$AH82)="","",INDEX('Per Invoice'!R$2:R$401,$AH82)))</f>
        <v/>
      </c>
      <c r="S82">
        <f>IF($AH82="","",IF(INDEX('Per Invoice'!S$2:S$401,$AH82)="","",INDEX('Per Invoice'!S$2:S$401,$AH82)))</f>
        <v/>
      </c>
      <c r="T82" s="7">
        <f>IF($AH82="","",IF(INDEX('Per Invoice'!T$2:T$401,$AH82)="","",INDEX('Per Invoice'!T$2:T$401,$AH82)))</f>
        <v/>
      </c>
      <c r="U82" s="7">
        <f>IF($AH82="","",IF(INDEX('Per Invoice'!U$2:U$401,$AH82)="","",INDEX('Per Invoice'!U$2:U$401,$AH82)))</f>
        <v/>
      </c>
      <c r="V82">
        <f>IF($AH82="","",IF(INDEX('Per Invoice'!V$2:V$401,$AH82)="","",INDEX('Per Invoice'!V$2:V$401,$AH82)))</f>
        <v/>
      </c>
      <c r="W82" s="7">
        <f>IF($AH82="","",IF(INDEX('Per Invoice'!W$2:W$401,$AH82)="","",INDEX('Per Invoice'!W$2:W$401,$AH82)))</f>
        <v/>
      </c>
      <c r="X82" s="7">
        <f>IF($AH82="","",IF(INDEX('Per Invoice'!X$2:X$401,$AH82)="","",INDEX('Per Invoice'!X$2:X$401,$AH82)))</f>
        <v/>
      </c>
      <c r="Y82">
        <f>IF($AH82="","",IF(INDEX('Per Invoice'!Y$2:Y$401,$AH82)="","",INDEX('Per Invoice'!Y$2:Y$401,$AH82)))</f>
        <v/>
      </c>
      <c r="Z82" s="7">
        <f>IF($AH82="","",IF(INDEX('Per Invoice'!Z$2:Z$401,$AH82)="","",INDEX('Per Invoice'!Z$2:Z$401,$AH82)))</f>
        <v/>
      </c>
      <c r="AA82" s="7">
        <f>IF($AH82="","",IF(INDEX('Per Invoice'!AA$2:AA$401,$AH82)="","",INDEX('Per Invoice'!AA$2:AA$401,$AH82)))</f>
        <v/>
      </c>
      <c r="AB82" s="7">
        <f>IF($AH82="","",IF(INDEX('Per Invoice'!AB$2:AB$401,$AH82)="","",INDEX('Per Invoice'!AB$2:AB$401,$AH82)))</f>
        <v/>
      </c>
      <c r="AC82" s="7">
        <f>IF($AH82="","",IF(INDEX('Per Invoice'!AC$2:AC$401,$AH82)="","",INDEX('Per Invoice'!AC$2:AC$401,$AH82)))</f>
        <v/>
      </c>
      <c r="AD82" s="7">
        <f>IF($AH82="","",IF(INDEX('Per Invoice'!AD$2:AD$401,$AH82)="","",INDEX('Per Invoice'!AD$2:AD$401,$AH82)))</f>
        <v/>
      </c>
      <c r="AE82" s="7">
        <f>IF($AH82="","",IF(INDEX('Per Invoice'!AE$2:AE$401,$AH82)="","",INDEX('Per Invoice'!AE$2:AE$401,$AH82)))</f>
        <v/>
      </c>
      <c r="AF82">
        <f>IF($AH82="","",IF(INDEX('Per Invoice'!AF$2:AF$401,$AH82)="","",INDEX('Per Invoice'!AF$2:AF$401,$AH82)))</f>
        <v/>
      </c>
      <c r="AG82" s="7">
        <f>IF($AH82="","",IF(INDEX('Per Invoice'!AG$2:AG$401,$AH82)="","",INDEX('Per Invoice'!AG$2:AG$401,$AH82)))</f>
        <v/>
      </c>
      <c r="AH82" s="16">
        <f>IFERROR(MATCH(Settings!$C$27&amp;"|"&amp;ROWS($AH$2:$AH82),'Per Invoice'!$AI$2:$AI$401,0),"")</f>
        <v/>
      </c>
    </row>
    <row r="83">
      <c r="A83">
        <f>IF($AH83="","",IF(INDEX('Per Invoice'!A$2:A$401,$AH83)="","",INDEX('Per Invoice'!A$2:A$401,$AH83)))</f>
        <v/>
      </c>
      <c r="B83">
        <f>IF($AH83="","",IF(INDEX('Per Invoice'!B$2:B$401,$AH83)="","",INDEX('Per Invoice'!B$2:B$401,$AH83)))</f>
        <v/>
      </c>
      <c r="C83">
        <f>IF($AH83="","",IF(INDEX('Per Invoice'!C$2:C$401,$AH83)="","",INDEX('Per Invoice'!C$2:C$401,$AH83)))</f>
        <v/>
      </c>
      <c r="D83">
        <f>IF($AH83="","",IF(INDEX('Per Invoice'!D$2:D$401,$AH83)="","",INDEX('Per Invoice'!D$2:D$401,$AH83)))</f>
        <v/>
      </c>
      <c r="E83">
        <f>IF($AH83="","",IF(INDEX('Per Invoice'!E$2:E$401,$AH83)="","",INDEX('Per Invoice'!E$2:E$401,$AH83)))</f>
        <v/>
      </c>
      <c r="F83">
        <f>IF($AH83="","",IF(INDEX('Per Invoice'!F$2:F$401,$AH83)="","",INDEX('Per Invoice'!F$2:F$401,$AH83)))</f>
        <v/>
      </c>
      <c r="G83">
        <f>IF($AH83="","",IF(INDEX('Per Invoice'!G$2:G$401,$AH83)="","",INDEX('Per Invoice'!G$2:G$401,$AH83)))</f>
        <v/>
      </c>
      <c r="H83">
        <f>IF($AH83="","",IF(INDEX('Per Invoice'!H$2:H$401,$AH83)="","",INDEX('Per Invoice'!H$2:H$401,$AH83)))</f>
        <v/>
      </c>
      <c r="I83" s="14">
        <f>IF($AH83="","",IF(INDEX('Per Invoice'!I$2:I$401,$AH83)="","",INDEX('Per Invoice'!I$2:I$401,$AH83)))</f>
        <v/>
      </c>
      <c r="J83">
        <f>IF($AH83="","",IF(INDEX('Per Invoice'!J$2:J$401,$AH83)="","",INDEX('Per Invoice'!J$2:J$401,$AH83)))</f>
        <v/>
      </c>
      <c r="K83">
        <f>IF($AH83="","",IF(INDEX('Per Invoice'!K$2:K$401,$AH83)="","",INDEX('Per Invoice'!K$2:K$401,$AH83)))</f>
        <v/>
      </c>
      <c r="L83">
        <f>IF($AH83="","",IF(INDEX('Per Invoice'!L$2:L$401,$AH83)="","",INDEX('Per Invoice'!L$2:L$401,$AH83)))</f>
        <v/>
      </c>
      <c r="M83">
        <f>IF($AH83="","",IF(INDEX('Per Invoice'!M$2:M$401,$AH83)="","",INDEX('Per Invoice'!M$2:M$401,$AH83)))</f>
        <v/>
      </c>
      <c r="N83">
        <f>IF($AH83="","",IF(INDEX('Per Invoice'!N$2:N$401,$AH83)="","",INDEX('Per Invoice'!N$2:N$401,$AH83)))</f>
        <v/>
      </c>
      <c r="O83">
        <f>IF($AH83="","",IF(INDEX('Per Invoice'!O$2:O$401,$AH83)="","",INDEX('Per Invoice'!O$2:O$401,$AH83)))</f>
        <v/>
      </c>
      <c r="P83" s="7">
        <f>IF($AH83="","",IF(INDEX('Per Invoice'!P$2:P$401,$AH83)="","",INDEX('Per Invoice'!P$2:P$401,$AH83)))</f>
        <v/>
      </c>
      <c r="Q83">
        <f>IF($AH83="","",IF(INDEX('Per Invoice'!Q$2:Q$401,$AH83)="","",INDEX('Per Invoice'!Q$2:Q$401,$AH83)))</f>
        <v/>
      </c>
      <c r="R83">
        <f>IF($AH83="","",IF(INDEX('Per Invoice'!R$2:R$401,$AH83)="","",INDEX('Per Invoice'!R$2:R$401,$AH83)))</f>
        <v/>
      </c>
      <c r="S83">
        <f>IF($AH83="","",IF(INDEX('Per Invoice'!S$2:S$401,$AH83)="","",INDEX('Per Invoice'!S$2:S$401,$AH83)))</f>
        <v/>
      </c>
      <c r="T83" s="7">
        <f>IF($AH83="","",IF(INDEX('Per Invoice'!T$2:T$401,$AH83)="","",INDEX('Per Invoice'!T$2:T$401,$AH83)))</f>
        <v/>
      </c>
      <c r="U83" s="7">
        <f>IF($AH83="","",IF(INDEX('Per Invoice'!U$2:U$401,$AH83)="","",INDEX('Per Invoice'!U$2:U$401,$AH83)))</f>
        <v/>
      </c>
      <c r="V83">
        <f>IF($AH83="","",IF(INDEX('Per Invoice'!V$2:V$401,$AH83)="","",INDEX('Per Invoice'!V$2:V$401,$AH83)))</f>
        <v/>
      </c>
      <c r="W83" s="7">
        <f>IF($AH83="","",IF(INDEX('Per Invoice'!W$2:W$401,$AH83)="","",INDEX('Per Invoice'!W$2:W$401,$AH83)))</f>
        <v/>
      </c>
      <c r="X83" s="7">
        <f>IF($AH83="","",IF(INDEX('Per Invoice'!X$2:X$401,$AH83)="","",INDEX('Per Invoice'!X$2:X$401,$AH83)))</f>
        <v/>
      </c>
      <c r="Y83">
        <f>IF($AH83="","",IF(INDEX('Per Invoice'!Y$2:Y$401,$AH83)="","",INDEX('Per Invoice'!Y$2:Y$401,$AH83)))</f>
        <v/>
      </c>
      <c r="Z83" s="7">
        <f>IF($AH83="","",IF(INDEX('Per Invoice'!Z$2:Z$401,$AH83)="","",INDEX('Per Invoice'!Z$2:Z$401,$AH83)))</f>
        <v/>
      </c>
      <c r="AA83" s="7">
        <f>IF($AH83="","",IF(INDEX('Per Invoice'!AA$2:AA$401,$AH83)="","",INDEX('Per Invoice'!AA$2:AA$401,$AH83)))</f>
        <v/>
      </c>
      <c r="AB83" s="7">
        <f>IF($AH83="","",IF(INDEX('Per Invoice'!AB$2:AB$401,$AH83)="","",INDEX('Per Invoice'!AB$2:AB$401,$AH83)))</f>
        <v/>
      </c>
      <c r="AC83" s="7">
        <f>IF($AH83="","",IF(INDEX('Per Invoice'!AC$2:AC$401,$AH83)="","",INDEX('Per Invoice'!AC$2:AC$401,$AH83)))</f>
        <v/>
      </c>
      <c r="AD83" s="7">
        <f>IF($AH83="","",IF(INDEX('Per Invoice'!AD$2:AD$401,$AH83)="","",INDEX('Per Invoice'!AD$2:AD$401,$AH83)))</f>
        <v/>
      </c>
      <c r="AE83" s="7">
        <f>IF($AH83="","",IF(INDEX('Per Invoice'!AE$2:AE$401,$AH83)="","",INDEX('Per Invoice'!AE$2:AE$401,$AH83)))</f>
        <v/>
      </c>
      <c r="AF83">
        <f>IF($AH83="","",IF(INDEX('Per Invoice'!AF$2:AF$401,$AH83)="","",INDEX('Per Invoice'!AF$2:AF$401,$AH83)))</f>
        <v/>
      </c>
      <c r="AG83" s="7">
        <f>IF($AH83="","",IF(INDEX('Per Invoice'!AG$2:AG$401,$AH83)="","",INDEX('Per Invoice'!AG$2:AG$401,$AH83)))</f>
        <v/>
      </c>
      <c r="AH83" s="16">
        <f>IFERROR(MATCH(Settings!$C$27&amp;"|"&amp;ROWS($AH$2:$AH83),'Per Invoice'!$AI$2:$AI$401,0),"")</f>
        <v/>
      </c>
    </row>
    <row r="84">
      <c r="A84">
        <f>IF($AH84="","",IF(INDEX('Per Invoice'!A$2:A$401,$AH84)="","",INDEX('Per Invoice'!A$2:A$401,$AH84)))</f>
        <v/>
      </c>
      <c r="B84">
        <f>IF($AH84="","",IF(INDEX('Per Invoice'!B$2:B$401,$AH84)="","",INDEX('Per Invoice'!B$2:B$401,$AH84)))</f>
        <v/>
      </c>
      <c r="C84">
        <f>IF($AH84="","",IF(INDEX('Per Invoice'!C$2:C$401,$AH84)="","",INDEX('Per Invoice'!C$2:C$401,$AH84)))</f>
        <v/>
      </c>
      <c r="D84">
        <f>IF($AH84="","",IF(INDEX('Per Invoice'!D$2:D$401,$AH84)="","",INDEX('Per Invoice'!D$2:D$401,$AH84)))</f>
        <v/>
      </c>
      <c r="E84">
        <f>IF($AH84="","",IF(INDEX('Per Invoice'!E$2:E$401,$AH84)="","",INDEX('Per Invoice'!E$2:E$401,$AH84)))</f>
        <v/>
      </c>
      <c r="F84">
        <f>IF($AH84="","",IF(INDEX('Per Invoice'!F$2:F$401,$AH84)="","",INDEX('Per Invoice'!F$2:F$401,$AH84)))</f>
        <v/>
      </c>
      <c r="G84">
        <f>IF($AH84="","",IF(INDEX('Per Invoice'!G$2:G$401,$AH84)="","",INDEX('Per Invoice'!G$2:G$401,$AH84)))</f>
        <v/>
      </c>
      <c r="H84">
        <f>IF($AH84="","",IF(INDEX('Per Invoice'!H$2:H$401,$AH84)="","",INDEX('Per Invoice'!H$2:H$401,$AH84)))</f>
        <v/>
      </c>
      <c r="I84" s="14">
        <f>IF($AH84="","",IF(INDEX('Per Invoice'!I$2:I$401,$AH84)="","",INDEX('Per Invoice'!I$2:I$401,$AH84)))</f>
        <v/>
      </c>
      <c r="J84">
        <f>IF($AH84="","",IF(INDEX('Per Invoice'!J$2:J$401,$AH84)="","",INDEX('Per Invoice'!J$2:J$401,$AH84)))</f>
        <v/>
      </c>
      <c r="K84">
        <f>IF($AH84="","",IF(INDEX('Per Invoice'!K$2:K$401,$AH84)="","",INDEX('Per Invoice'!K$2:K$401,$AH84)))</f>
        <v/>
      </c>
      <c r="L84">
        <f>IF($AH84="","",IF(INDEX('Per Invoice'!L$2:L$401,$AH84)="","",INDEX('Per Invoice'!L$2:L$401,$AH84)))</f>
        <v/>
      </c>
      <c r="M84">
        <f>IF($AH84="","",IF(INDEX('Per Invoice'!M$2:M$401,$AH84)="","",INDEX('Per Invoice'!M$2:M$401,$AH84)))</f>
        <v/>
      </c>
      <c r="N84">
        <f>IF($AH84="","",IF(INDEX('Per Invoice'!N$2:N$401,$AH84)="","",INDEX('Per Invoice'!N$2:N$401,$AH84)))</f>
        <v/>
      </c>
      <c r="O84">
        <f>IF($AH84="","",IF(INDEX('Per Invoice'!O$2:O$401,$AH84)="","",INDEX('Per Invoice'!O$2:O$401,$AH84)))</f>
        <v/>
      </c>
      <c r="P84" s="7">
        <f>IF($AH84="","",IF(INDEX('Per Invoice'!P$2:P$401,$AH84)="","",INDEX('Per Invoice'!P$2:P$401,$AH84)))</f>
        <v/>
      </c>
      <c r="Q84">
        <f>IF($AH84="","",IF(INDEX('Per Invoice'!Q$2:Q$401,$AH84)="","",INDEX('Per Invoice'!Q$2:Q$401,$AH84)))</f>
        <v/>
      </c>
      <c r="R84">
        <f>IF($AH84="","",IF(INDEX('Per Invoice'!R$2:R$401,$AH84)="","",INDEX('Per Invoice'!R$2:R$401,$AH84)))</f>
        <v/>
      </c>
      <c r="S84">
        <f>IF($AH84="","",IF(INDEX('Per Invoice'!S$2:S$401,$AH84)="","",INDEX('Per Invoice'!S$2:S$401,$AH84)))</f>
        <v/>
      </c>
      <c r="T84" s="7">
        <f>IF($AH84="","",IF(INDEX('Per Invoice'!T$2:T$401,$AH84)="","",INDEX('Per Invoice'!T$2:T$401,$AH84)))</f>
        <v/>
      </c>
      <c r="U84" s="7">
        <f>IF($AH84="","",IF(INDEX('Per Invoice'!U$2:U$401,$AH84)="","",INDEX('Per Invoice'!U$2:U$401,$AH84)))</f>
        <v/>
      </c>
      <c r="V84">
        <f>IF($AH84="","",IF(INDEX('Per Invoice'!V$2:V$401,$AH84)="","",INDEX('Per Invoice'!V$2:V$401,$AH84)))</f>
        <v/>
      </c>
      <c r="W84" s="7">
        <f>IF($AH84="","",IF(INDEX('Per Invoice'!W$2:W$401,$AH84)="","",INDEX('Per Invoice'!W$2:W$401,$AH84)))</f>
        <v/>
      </c>
      <c r="X84" s="7">
        <f>IF($AH84="","",IF(INDEX('Per Invoice'!X$2:X$401,$AH84)="","",INDEX('Per Invoice'!X$2:X$401,$AH84)))</f>
        <v/>
      </c>
      <c r="Y84">
        <f>IF($AH84="","",IF(INDEX('Per Invoice'!Y$2:Y$401,$AH84)="","",INDEX('Per Invoice'!Y$2:Y$401,$AH84)))</f>
        <v/>
      </c>
      <c r="Z84" s="7">
        <f>IF($AH84="","",IF(INDEX('Per Invoice'!Z$2:Z$401,$AH84)="","",INDEX('Per Invoice'!Z$2:Z$401,$AH84)))</f>
        <v/>
      </c>
      <c r="AA84" s="7">
        <f>IF($AH84="","",IF(INDEX('Per Invoice'!AA$2:AA$401,$AH84)="","",INDEX('Per Invoice'!AA$2:AA$401,$AH84)))</f>
        <v/>
      </c>
      <c r="AB84" s="7">
        <f>IF($AH84="","",IF(INDEX('Per Invoice'!AB$2:AB$401,$AH84)="","",INDEX('Per Invoice'!AB$2:AB$401,$AH84)))</f>
        <v/>
      </c>
      <c r="AC84" s="7">
        <f>IF($AH84="","",IF(INDEX('Per Invoice'!AC$2:AC$401,$AH84)="","",INDEX('Per Invoice'!AC$2:AC$401,$AH84)))</f>
        <v/>
      </c>
      <c r="AD84" s="7">
        <f>IF($AH84="","",IF(INDEX('Per Invoice'!AD$2:AD$401,$AH84)="","",INDEX('Per Invoice'!AD$2:AD$401,$AH84)))</f>
        <v/>
      </c>
      <c r="AE84" s="7">
        <f>IF($AH84="","",IF(INDEX('Per Invoice'!AE$2:AE$401,$AH84)="","",INDEX('Per Invoice'!AE$2:AE$401,$AH84)))</f>
        <v/>
      </c>
      <c r="AF84">
        <f>IF($AH84="","",IF(INDEX('Per Invoice'!AF$2:AF$401,$AH84)="","",INDEX('Per Invoice'!AF$2:AF$401,$AH84)))</f>
        <v/>
      </c>
      <c r="AG84" s="7">
        <f>IF($AH84="","",IF(INDEX('Per Invoice'!AG$2:AG$401,$AH84)="","",INDEX('Per Invoice'!AG$2:AG$401,$AH84)))</f>
        <v/>
      </c>
      <c r="AH84" s="16">
        <f>IFERROR(MATCH(Settings!$C$27&amp;"|"&amp;ROWS($AH$2:$AH84),'Per Invoice'!$AI$2:$AI$401,0),"")</f>
        <v/>
      </c>
    </row>
    <row r="85">
      <c r="A85">
        <f>IF($AH85="","",IF(INDEX('Per Invoice'!A$2:A$401,$AH85)="","",INDEX('Per Invoice'!A$2:A$401,$AH85)))</f>
        <v/>
      </c>
      <c r="B85">
        <f>IF($AH85="","",IF(INDEX('Per Invoice'!B$2:B$401,$AH85)="","",INDEX('Per Invoice'!B$2:B$401,$AH85)))</f>
        <v/>
      </c>
      <c r="C85">
        <f>IF($AH85="","",IF(INDEX('Per Invoice'!C$2:C$401,$AH85)="","",INDEX('Per Invoice'!C$2:C$401,$AH85)))</f>
        <v/>
      </c>
      <c r="D85">
        <f>IF($AH85="","",IF(INDEX('Per Invoice'!D$2:D$401,$AH85)="","",INDEX('Per Invoice'!D$2:D$401,$AH85)))</f>
        <v/>
      </c>
      <c r="E85">
        <f>IF($AH85="","",IF(INDEX('Per Invoice'!E$2:E$401,$AH85)="","",INDEX('Per Invoice'!E$2:E$401,$AH85)))</f>
        <v/>
      </c>
      <c r="F85">
        <f>IF($AH85="","",IF(INDEX('Per Invoice'!F$2:F$401,$AH85)="","",INDEX('Per Invoice'!F$2:F$401,$AH85)))</f>
        <v/>
      </c>
      <c r="G85">
        <f>IF($AH85="","",IF(INDEX('Per Invoice'!G$2:G$401,$AH85)="","",INDEX('Per Invoice'!G$2:G$401,$AH85)))</f>
        <v/>
      </c>
      <c r="H85">
        <f>IF($AH85="","",IF(INDEX('Per Invoice'!H$2:H$401,$AH85)="","",INDEX('Per Invoice'!H$2:H$401,$AH85)))</f>
        <v/>
      </c>
      <c r="I85" s="14">
        <f>IF($AH85="","",IF(INDEX('Per Invoice'!I$2:I$401,$AH85)="","",INDEX('Per Invoice'!I$2:I$401,$AH85)))</f>
        <v/>
      </c>
      <c r="J85">
        <f>IF($AH85="","",IF(INDEX('Per Invoice'!J$2:J$401,$AH85)="","",INDEX('Per Invoice'!J$2:J$401,$AH85)))</f>
        <v/>
      </c>
      <c r="K85">
        <f>IF($AH85="","",IF(INDEX('Per Invoice'!K$2:K$401,$AH85)="","",INDEX('Per Invoice'!K$2:K$401,$AH85)))</f>
        <v/>
      </c>
      <c r="L85">
        <f>IF($AH85="","",IF(INDEX('Per Invoice'!L$2:L$401,$AH85)="","",INDEX('Per Invoice'!L$2:L$401,$AH85)))</f>
        <v/>
      </c>
      <c r="M85">
        <f>IF($AH85="","",IF(INDEX('Per Invoice'!M$2:M$401,$AH85)="","",INDEX('Per Invoice'!M$2:M$401,$AH85)))</f>
        <v/>
      </c>
      <c r="N85">
        <f>IF($AH85="","",IF(INDEX('Per Invoice'!N$2:N$401,$AH85)="","",INDEX('Per Invoice'!N$2:N$401,$AH85)))</f>
        <v/>
      </c>
      <c r="O85">
        <f>IF($AH85="","",IF(INDEX('Per Invoice'!O$2:O$401,$AH85)="","",INDEX('Per Invoice'!O$2:O$401,$AH85)))</f>
        <v/>
      </c>
      <c r="P85" s="7">
        <f>IF($AH85="","",IF(INDEX('Per Invoice'!P$2:P$401,$AH85)="","",INDEX('Per Invoice'!P$2:P$401,$AH85)))</f>
        <v/>
      </c>
      <c r="Q85">
        <f>IF($AH85="","",IF(INDEX('Per Invoice'!Q$2:Q$401,$AH85)="","",INDEX('Per Invoice'!Q$2:Q$401,$AH85)))</f>
        <v/>
      </c>
      <c r="R85">
        <f>IF($AH85="","",IF(INDEX('Per Invoice'!R$2:R$401,$AH85)="","",INDEX('Per Invoice'!R$2:R$401,$AH85)))</f>
        <v/>
      </c>
      <c r="S85">
        <f>IF($AH85="","",IF(INDEX('Per Invoice'!S$2:S$401,$AH85)="","",INDEX('Per Invoice'!S$2:S$401,$AH85)))</f>
        <v/>
      </c>
      <c r="T85" s="7">
        <f>IF($AH85="","",IF(INDEX('Per Invoice'!T$2:T$401,$AH85)="","",INDEX('Per Invoice'!T$2:T$401,$AH85)))</f>
        <v/>
      </c>
      <c r="U85" s="7">
        <f>IF($AH85="","",IF(INDEX('Per Invoice'!U$2:U$401,$AH85)="","",INDEX('Per Invoice'!U$2:U$401,$AH85)))</f>
        <v/>
      </c>
      <c r="V85">
        <f>IF($AH85="","",IF(INDEX('Per Invoice'!V$2:V$401,$AH85)="","",INDEX('Per Invoice'!V$2:V$401,$AH85)))</f>
        <v/>
      </c>
      <c r="W85" s="7">
        <f>IF($AH85="","",IF(INDEX('Per Invoice'!W$2:W$401,$AH85)="","",INDEX('Per Invoice'!W$2:W$401,$AH85)))</f>
        <v/>
      </c>
      <c r="X85" s="7">
        <f>IF($AH85="","",IF(INDEX('Per Invoice'!X$2:X$401,$AH85)="","",INDEX('Per Invoice'!X$2:X$401,$AH85)))</f>
        <v/>
      </c>
      <c r="Y85">
        <f>IF($AH85="","",IF(INDEX('Per Invoice'!Y$2:Y$401,$AH85)="","",INDEX('Per Invoice'!Y$2:Y$401,$AH85)))</f>
        <v/>
      </c>
      <c r="Z85" s="7">
        <f>IF($AH85="","",IF(INDEX('Per Invoice'!Z$2:Z$401,$AH85)="","",INDEX('Per Invoice'!Z$2:Z$401,$AH85)))</f>
        <v/>
      </c>
      <c r="AA85" s="7">
        <f>IF($AH85="","",IF(INDEX('Per Invoice'!AA$2:AA$401,$AH85)="","",INDEX('Per Invoice'!AA$2:AA$401,$AH85)))</f>
        <v/>
      </c>
      <c r="AB85" s="7">
        <f>IF($AH85="","",IF(INDEX('Per Invoice'!AB$2:AB$401,$AH85)="","",INDEX('Per Invoice'!AB$2:AB$401,$AH85)))</f>
        <v/>
      </c>
      <c r="AC85" s="7">
        <f>IF($AH85="","",IF(INDEX('Per Invoice'!AC$2:AC$401,$AH85)="","",INDEX('Per Invoice'!AC$2:AC$401,$AH85)))</f>
        <v/>
      </c>
      <c r="AD85" s="7">
        <f>IF($AH85="","",IF(INDEX('Per Invoice'!AD$2:AD$401,$AH85)="","",INDEX('Per Invoice'!AD$2:AD$401,$AH85)))</f>
        <v/>
      </c>
      <c r="AE85" s="7">
        <f>IF($AH85="","",IF(INDEX('Per Invoice'!AE$2:AE$401,$AH85)="","",INDEX('Per Invoice'!AE$2:AE$401,$AH85)))</f>
        <v/>
      </c>
      <c r="AF85">
        <f>IF($AH85="","",IF(INDEX('Per Invoice'!AF$2:AF$401,$AH85)="","",INDEX('Per Invoice'!AF$2:AF$401,$AH85)))</f>
        <v/>
      </c>
      <c r="AG85" s="7">
        <f>IF($AH85="","",IF(INDEX('Per Invoice'!AG$2:AG$401,$AH85)="","",INDEX('Per Invoice'!AG$2:AG$401,$AH85)))</f>
        <v/>
      </c>
      <c r="AH85" s="16">
        <f>IFERROR(MATCH(Settings!$C$27&amp;"|"&amp;ROWS($AH$2:$AH85),'Per Invoice'!$AI$2:$AI$401,0),"")</f>
        <v/>
      </c>
    </row>
    <row r="86">
      <c r="A86">
        <f>IF($AH86="","",IF(INDEX('Per Invoice'!A$2:A$401,$AH86)="","",INDEX('Per Invoice'!A$2:A$401,$AH86)))</f>
        <v/>
      </c>
      <c r="B86">
        <f>IF($AH86="","",IF(INDEX('Per Invoice'!B$2:B$401,$AH86)="","",INDEX('Per Invoice'!B$2:B$401,$AH86)))</f>
        <v/>
      </c>
      <c r="C86">
        <f>IF($AH86="","",IF(INDEX('Per Invoice'!C$2:C$401,$AH86)="","",INDEX('Per Invoice'!C$2:C$401,$AH86)))</f>
        <v/>
      </c>
      <c r="D86">
        <f>IF($AH86="","",IF(INDEX('Per Invoice'!D$2:D$401,$AH86)="","",INDEX('Per Invoice'!D$2:D$401,$AH86)))</f>
        <v/>
      </c>
      <c r="E86">
        <f>IF($AH86="","",IF(INDEX('Per Invoice'!E$2:E$401,$AH86)="","",INDEX('Per Invoice'!E$2:E$401,$AH86)))</f>
        <v/>
      </c>
      <c r="F86">
        <f>IF($AH86="","",IF(INDEX('Per Invoice'!F$2:F$401,$AH86)="","",INDEX('Per Invoice'!F$2:F$401,$AH86)))</f>
        <v/>
      </c>
      <c r="G86">
        <f>IF($AH86="","",IF(INDEX('Per Invoice'!G$2:G$401,$AH86)="","",INDEX('Per Invoice'!G$2:G$401,$AH86)))</f>
        <v/>
      </c>
      <c r="H86">
        <f>IF($AH86="","",IF(INDEX('Per Invoice'!H$2:H$401,$AH86)="","",INDEX('Per Invoice'!H$2:H$401,$AH86)))</f>
        <v/>
      </c>
      <c r="I86" s="14">
        <f>IF($AH86="","",IF(INDEX('Per Invoice'!I$2:I$401,$AH86)="","",INDEX('Per Invoice'!I$2:I$401,$AH86)))</f>
        <v/>
      </c>
      <c r="J86">
        <f>IF($AH86="","",IF(INDEX('Per Invoice'!J$2:J$401,$AH86)="","",INDEX('Per Invoice'!J$2:J$401,$AH86)))</f>
        <v/>
      </c>
      <c r="K86">
        <f>IF($AH86="","",IF(INDEX('Per Invoice'!K$2:K$401,$AH86)="","",INDEX('Per Invoice'!K$2:K$401,$AH86)))</f>
        <v/>
      </c>
      <c r="L86">
        <f>IF($AH86="","",IF(INDEX('Per Invoice'!L$2:L$401,$AH86)="","",INDEX('Per Invoice'!L$2:L$401,$AH86)))</f>
        <v/>
      </c>
      <c r="M86">
        <f>IF($AH86="","",IF(INDEX('Per Invoice'!M$2:M$401,$AH86)="","",INDEX('Per Invoice'!M$2:M$401,$AH86)))</f>
        <v/>
      </c>
      <c r="N86">
        <f>IF($AH86="","",IF(INDEX('Per Invoice'!N$2:N$401,$AH86)="","",INDEX('Per Invoice'!N$2:N$401,$AH86)))</f>
        <v/>
      </c>
      <c r="O86">
        <f>IF($AH86="","",IF(INDEX('Per Invoice'!O$2:O$401,$AH86)="","",INDEX('Per Invoice'!O$2:O$401,$AH86)))</f>
        <v/>
      </c>
      <c r="P86" s="7">
        <f>IF($AH86="","",IF(INDEX('Per Invoice'!P$2:P$401,$AH86)="","",INDEX('Per Invoice'!P$2:P$401,$AH86)))</f>
        <v/>
      </c>
      <c r="Q86">
        <f>IF($AH86="","",IF(INDEX('Per Invoice'!Q$2:Q$401,$AH86)="","",INDEX('Per Invoice'!Q$2:Q$401,$AH86)))</f>
        <v/>
      </c>
      <c r="R86">
        <f>IF($AH86="","",IF(INDEX('Per Invoice'!R$2:R$401,$AH86)="","",INDEX('Per Invoice'!R$2:R$401,$AH86)))</f>
        <v/>
      </c>
      <c r="S86">
        <f>IF($AH86="","",IF(INDEX('Per Invoice'!S$2:S$401,$AH86)="","",INDEX('Per Invoice'!S$2:S$401,$AH86)))</f>
        <v/>
      </c>
      <c r="T86" s="7">
        <f>IF($AH86="","",IF(INDEX('Per Invoice'!T$2:T$401,$AH86)="","",INDEX('Per Invoice'!T$2:T$401,$AH86)))</f>
        <v/>
      </c>
      <c r="U86" s="7">
        <f>IF($AH86="","",IF(INDEX('Per Invoice'!U$2:U$401,$AH86)="","",INDEX('Per Invoice'!U$2:U$401,$AH86)))</f>
        <v/>
      </c>
      <c r="V86">
        <f>IF($AH86="","",IF(INDEX('Per Invoice'!V$2:V$401,$AH86)="","",INDEX('Per Invoice'!V$2:V$401,$AH86)))</f>
        <v/>
      </c>
      <c r="W86" s="7">
        <f>IF($AH86="","",IF(INDEX('Per Invoice'!W$2:W$401,$AH86)="","",INDEX('Per Invoice'!W$2:W$401,$AH86)))</f>
        <v/>
      </c>
      <c r="X86" s="7">
        <f>IF($AH86="","",IF(INDEX('Per Invoice'!X$2:X$401,$AH86)="","",INDEX('Per Invoice'!X$2:X$401,$AH86)))</f>
        <v/>
      </c>
      <c r="Y86">
        <f>IF($AH86="","",IF(INDEX('Per Invoice'!Y$2:Y$401,$AH86)="","",INDEX('Per Invoice'!Y$2:Y$401,$AH86)))</f>
        <v/>
      </c>
      <c r="Z86" s="7">
        <f>IF($AH86="","",IF(INDEX('Per Invoice'!Z$2:Z$401,$AH86)="","",INDEX('Per Invoice'!Z$2:Z$401,$AH86)))</f>
        <v/>
      </c>
      <c r="AA86" s="7">
        <f>IF($AH86="","",IF(INDEX('Per Invoice'!AA$2:AA$401,$AH86)="","",INDEX('Per Invoice'!AA$2:AA$401,$AH86)))</f>
        <v/>
      </c>
      <c r="AB86" s="7">
        <f>IF($AH86="","",IF(INDEX('Per Invoice'!AB$2:AB$401,$AH86)="","",INDEX('Per Invoice'!AB$2:AB$401,$AH86)))</f>
        <v/>
      </c>
      <c r="AC86" s="7">
        <f>IF($AH86="","",IF(INDEX('Per Invoice'!AC$2:AC$401,$AH86)="","",INDEX('Per Invoice'!AC$2:AC$401,$AH86)))</f>
        <v/>
      </c>
      <c r="AD86" s="7">
        <f>IF($AH86="","",IF(INDEX('Per Invoice'!AD$2:AD$401,$AH86)="","",INDEX('Per Invoice'!AD$2:AD$401,$AH86)))</f>
        <v/>
      </c>
      <c r="AE86" s="7">
        <f>IF($AH86="","",IF(INDEX('Per Invoice'!AE$2:AE$401,$AH86)="","",INDEX('Per Invoice'!AE$2:AE$401,$AH86)))</f>
        <v/>
      </c>
      <c r="AF86">
        <f>IF($AH86="","",IF(INDEX('Per Invoice'!AF$2:AF$401,$AH86)="","",INDEX('Per Invoice'!AF$2:AF$401,$AH86)))</f>
        <v/>
      </c>
      <c r="AG86" s="7">
        <f>IF($AH86="","",IF(INDEX('Per Invoice'!AG$2:AG$401,$AH86)="","",INDEX('Per Invoice'!AG$2:AG$401,$AH86)))</f>
        <v/>
      </c>
      <c r="AH86" s="16">
        <f>IFERROR(MATCH(Settings!$C$27&amp;"|"&amp;ROWS($AH$2:$AH86),'Per Invoice'!$AI$2:$AI$401,0),"")</f>
        <v/>
      </c>
    </row>
    <row r="87">
      <c r="A87">
        <f>IF($AH87="","",IF(INDEX('Per Invoice'!A$2:A$401,$AH87)="","",INDEX('Per Invoice'!A$2:A$401,$AH87)))</f>
        <v/>
      </c>
      <c r="B87">
        <f>IF($AH87="","",IF(INDEX('Per Invoice'!B$2:B$401,$AH87)="","",INDEX('Per Invoice'!B$2:B$401,$AH87)))</f>
        <v/>
      </c>
      <c r="C87">
        <f>IF($AH87="","",IF(INDEX('Per Invoice'!C$2:C$401,$AH87)="","",INDEX('Per Invoice'!C$2:C$401,$AH87)))</f>
        <v/>
      </c>
      <c r="D87">
        <f>IF($AH87="","",IF(INDEX('Per Invoice'!D$2:D$401,$AH87)="","",INDEX('Per Invoice'!D$2:D$401,$AH87)))</f>
        <v/>
      </c>
      <c r="E87">
        <f>IF($AH87="","",IF(INDEX('Per Invoice'!E$2:E$401,$AH87)="","",INDEX('Per Invoice'!E$2:E$401,$AH87)))</f>
        <v/>
      </c>
      <c r="F87">
        <f>IF($AH87="","",IF(INDEX('Per Invoice'!F$2:F$401,$AH87)="","",INDEX('Per Invoice'!F$2:F$401,$AH87)))</f>
        <v/>
      </c>
      <c r="G87">
        <f>IF($AH87="","",IF(INDEX('Per Invoice'!G$2:G$401,$AH87)="","",INDEX('Per Invoice'!G$2:G$401,$AH87)))</f>
        <v/>
      </c>
      <c r="H87">
        <f>IF($AH87="","",IF(INDEX('Per Invoice'!H$2:H$401,$AH87)="","",INDEX('Per Invoice'!H$2:H$401,$AH87)))</f>
        <v/>
      </c>
      <c r="I87" s="14">
        <f>IF($AH87="","",IF(INDEX('Per Invoice'!I$2:I$401,$AH87)="","",INDEX('Per Invoice'!I$2:I$401,$AH87)))</f>
        <v/>
      </c>
      <c r="J87">
        <f>IF($AH87="","",IF(INDEX('Per Invoice'!J$2:J$401,$AH87)="","",INDEX('Per Invoice'!J$2:J$401,$AH87)))</f>
        <v/>
      </c>
      <c r="K87">
        <f>IF($AH87="","",IF(INDEX('Per Invoice'!K$2:K$401,$AH87)="","",INDEX('Per Invoice'!K$2:K$401,$AH87)))</f>
        <v/>
      </c>
      <c r="L87">
        <f>IF($AH87="","",IF(INDEX('Per Invoice'!L$2:L$401,$AH87)="","",INDEX('Per Invoice'!L$2:L$401,$AH87)))</f>
        <v/>
      </c>
      <c r="M87">
        <f>IF($AH87="","",IF(INDEX('Per Invoice'!M$2:M$401,$AH87)="","",INDEX('Per Invoice'!M$2:M$401,$AH87)))</f>
        <v/>
      </c>
      <c r="N87">
        <f>IF($AH87="","",IF(INDEX('Per Invoice'!N$2:N$401,$AH87)="","",INDEX('Per Invoice'!N$2:N$401,$AH87)))</f>
        <v/>
      </c>
      <c r="O87">
        <f>IF($AH87="","",IF(INDEX('Per Invoice'!O$2:O$401,$AH87)="","",INDEX('Per Invoice'!O$2:O$401,$AH87)))</f>
        <v/>
      </c>
      <c r="P87" s="7">
        <f>IF($AH87="","",IF(INDEX('Per Invoice'!P$2:P$401,$AH87)="","",INDEX('Per Invoice'!P$2:P$401,$AH87)))</f>
        <v/>
      </c>
      <c r="Q87">
        <f>IF($AH87="","",IF(INDEX('Per Invoice'!Q$2:Q$401,$AH87)="","",INDEX('Per Invoice'!Q$2:Q$401,$AH87)))</f>
        <v/>
      </c>
      <c r="R87">
        <f>IF($AH87="","",IF(INDEX('Per Invoice'!R$2:R$401,$AH87)="","",INDEX('Per Invoice'!R$2:R$401,$AH87)))</f>
        <v/>
      </c>
      <c r="S87">
        <f>IF($AH87="","",IF(INDEX('Per Invoice'!S$2:S$401,$AH87)="","",INDEX('Per Invoice'!S$2:S$401,$AH87)))</f>
        <v/>
      </c>
      <c r="T87" s="7">
        <f>IF($AH87="","",IF(INDEX('Per Invoice'!T$2:T$401,$AH87)="","",INDEX('Per Invoice'!T$2:T$401,$AH87)))</f>
        <v/>
      </c>
      <c r="U87" s="7">
        <f>IF($AH87="","",IF(INDEX('Per Invoice'!U$2:U$401,$AH87)="","",INDEX('Per Invoice'!U$2:U$401,$AH87)))</f>
        <v/>
      </c>
      <c r="V87">
        <f>IF($AH87="","",IF(INDEX('Per Invoice'!V$2:V$401,$AH87)="","",INDEX('Per Invoice'!V$2:V$401,$AH87)))</f>
        <v/>
      </c>
      <c r="W87" s="7">
        <f>IF($AH87="","",IF(INDEX('Per Invoice'!W$2:W$401,$AH87)="","",INDEX('Per Invoice'!W$2:W$401,$AH87)))</f>
        <v/>
      </c>
      <c r="X87" s="7">
        <f>IF($AH87="","",IF(INDEX('Per Invoice'!X$2:X$401,$AH87)="","",INDEX('Per Invoice'!X$2:X$401,$AH87)))</f>
        <v/>
      </c>
      <c r="Y87">
        <f>IF($AH87="","",IF(INDEX('Per Invoice'!Y$2:Y$401,$AH87)="","",INDEX('Per Invoice'!Y$2:Y$401,$AH87)))</f>
        <v/>
      </c>
      <c r="Z87" s="7">
        <f>IF($AH87="","",IF(INDEX('Per Invoice'!Z$2:Z$401,$AH87)="","",INDEX('Per Invoice'!Z$2:Z$401,$AH87)))</f>
        <v/>
      </c>
      <c r="AA87" s="7">
        <f>IF($AH87="","",IF(INDEX('Per Invoice'!AA$2:AA$401,$AH87)="","",INDEX('Per Invoice'!AA$2:AA$401,$AH87)))</f>
        <v/>
      </c>
      <c r="AB87" s="7">
        <f>IF($AH87="","",IF(INDEX('Per Invoice'!AB$2:AB$401,$AH87)="","",INDEX('Per Invoice'!AB$2:AB$401,$AH87)))</f>
        <v/>
      </c>
      <c r="AC87" s="7">
        <f>IF($AH87="","",IF(INDEX('Per Invoice'!AC$2:AC$401,$AH87)="","",INDEX('Per Invoice'!AC$2:AC$401,$AH87)))</f>
        <v/>
      </c>
      <c r="AD87" s="7">
        <f>IF($AH87="","",IF(INDEX('Per Invoice'!AD$2:AD$401,$AH87)="","",INDEX('Per Invoice'!AD$2:AD$401,$AH87)))</f>
        <v/>
      </c>
      <c r="AE87" s="7">
        <f>IF($AH87="","",IF(INDEX('Per Invoice'!AE$2:AE$401,$AH87)="","",INDEX('Per Invoice'!AE$2:AE$401,$AH87)))</f>
        <v/>
      </c>
      <c r="AF87">
        <f>IF($AH87="","",IF(INDEX('Per Invoice'!AF$2:AF$401,$AH87)="","",INDEX('Per Invoice'!AF$2:AF$401,$AH87)))</f>
        <v/>
      </c>
      <c r="AG87" s="7">
        <f>IF($AH87="","",IF(INDEX('Per Invoice'!AG$2:AG$401,$AH87)="","",INDEX('Per Invoice'!AG$2:AG$401,$AH87)))</f>
        <v/>
      </c>
      <c r="AH87" s="16">
        <f>IFERROR(MATCH(Settings!$C$27&amp;"|"&amp;ROWS($AH$2:$AH87),'Per Invoice'!$AI$2:$AI$401,0),"")</f>
        <v/>
      </c>
    </row>
    <row r="88">
      <c r="A88">
        <f>IF($AH88="","",IF(INDEX('Per Invoice'!A$2:A$401,$AH88)="","",INDEX('Per Invoice'!A$2:A$401,$AH88)))</f>
        <v/>
      </c>
      <c r="B88">
        <f>IF($AH88="","",IF(INDEX('Per Invoice'!B$2:B$401,$AH88)="","",INDEX('Per Invoice'!B$2:B$401,$AH88)))</f>
        <v/>
      </c>
      <c r="C88">
        <f>IF($AH88="","",IF(INDEX('Per Invoice'!C$2:C$401,$AH88)="","",INDEX('Per Invoice'!C$2:C$401,$AH88)))</f>
        <v/>
      </c>
      <c r="D88">
        <f>IF($AH88="","",IF(INDEX('Per Invoice'!D$2:D$401,$AH88)="","",INDEX('Per Invoice'!D$2:D$401,$AH88)))</f>
        <v/>
      </c>
      <c r="E88">
        <f>IF($AH88="","",IF(INDEX('Per Invoice'!E$2:E$401,$AH88)="","",INDEX('Per Invoice'!E$2:E$401,$AH88)))</f>
        <v/>
      </c>
      <c r="F88">
        <f>IF($AH88="","",IF(INDEX('Per Invoice'!F$2:F$401,$AH88)="","",INDEX('Per Invoice'!F$2:F$401,$AH88)))</f>
        <v/>
      </c>
      <c r="G88">
        <f>IF($AH88="","",IF(INDEX('Per Invoice'!G$2:G$401,$AH88)="","",INDEX('Per Invoice'!G$2:G$401,$AH88)))</f>
        <v/>
      </c>
      <c r="H88">
        <f>IF($AH88="","",IF(INDEX('Per Invoice'!H$2:H$401,$AH88)="","",INDEX('Per Invoice'!H$2:H$401,$AH88)))</f>
        <v/>
      </c>
      <c r="I88" s="14">
        <f>IF($AH88="","",IF(INDEX('Per Invoice'!I$2:I$401,$AH88)="","",INDEX('Per Invoice'!I$2:I$401,$AH88)))</f>
        <v/>
      </c>
      <c r="J88">
        <f>IF($AH88="","",IF(INDEX('Per Invoice'!J$2:J$401,$AH88)="","",INDEX('Per Invoice'!J$2:J$401,$AH88)))</f>
        <v/>
      </c>
      <c r="K88">
        <f>IF($AH88="","",IF(INDEX('Per Invoice'!K$2:K$401,$AH88)="","",INDEX('Per Invoice'!K$2:K$401,$AH88)))</f>
        <v/>
      </c>
      <c r="L88">
        <f>IF($AH88="","",IF(INDEX('Per Invoice'!L$2:L$401,$AH88)="","",INDEX('Per Invoice'!L$2:L$401,$AH88)))</f>
        <v/>
      </c>
      <c r="M88">
        <f>IF($AH88="","",IF(INDEX('Per Invoice'!M$2:M$401,$AH88)="","",INDEX('Per Invoice'!M$2:M$401,$AH88)))</f>
        <v/>
      </c>
      <c r="N88">
        <f>IF($AH88="","",IF(INDEX('Per Invoice'!N$2:N$401,$AH88)="","",INDEX('Per Invoice'!N$2:N$401,$AH88)))</f>
        <v/>
      </c>
      <c r="O88">
        <f>IF($AH88="","",IF(INDEX('Per Invoice'!O$2:O$401,$AH88)="","",INDEX('Per Invoice'!O$2:O$401,$AH88)))</f>
        <v/>
      </c>
      <c r="P88" s="7">
        <f>IF($AH88="","",IF(INDEX('Per Invoice'!P$2:P$401,$AH88)="","",INDEX('Per Invoice'!P$2:P$401,$AH88)))</f>
        <v/>
      </c>
      <c r="Q88">
        <f>IF($AH88="","",IF(INDEX('Per Invoice'!Q$2:Q$401,$AH88)="","",INDEX('Per Invoice'!Q$2:Q$401,$AH88)))</f>
        <v/>
      </c>
      <c r="R88">
        <f>IF($AH88="","",IF(INDEX('Per Invoice'!R$2:R$401,$AH88)="","",INDEX('Per Invoice'!R$2:R$401,$AH88)))</f>
        <v/>
      </c>
      <c r="S88">
        <f>IF($AH88="","",IF(INDEX('Per Invoice'!S$2:S$401,$AH88)="","",INDEX('Per Invoice'!S$2:S$401,$AH88)))</f>
        <v/>
      </c>
      <c r="T88" s="7">
        <f>IF($AH88="","",IF(INDEX('Per Invoice'!T$2:T$401,$AH88)="","",INDEX('Per Invoice'!T$2:T$401,$AH88)))</f>
        <v/>
      </c>
      <c r="U88" s="7">
        <f>IF($AH88="","",IF(INDEX('Per Invoice'!U$2:U$401,$AH88)="","",INDEX('Per Invoice'!U$2:U$401,$AH88)))</f>
        <v/>
      </c>
      <c r="V88">
        <f>IF($AH88="","",IF(INDEX('Per Invoice'!V$2:V$401,$AH88)="","",INDEX('Per Invoice'!V$2:V$401,$AH88)))</f>
        <v/>
      </c>
      <c r="W88" s="7">
        <f>IF($AH88="","",IF(INDEX('Per Invoice'!W$2:W$401,$AH88)="","",INDEX('Per Invoice'!W$2:W$401,$AH88)))</f>
        <v/>
      </c>
      <c r="X88" s="7">
        <f>IF($AH88="","",IF(INDEX('Per Invoice'!X$2:X$401,$AH88)="","",INDEX('Per Invoice'!X$2:X$401,$AH88)))</f>
        <v/>
      </c>
      <c r="Y88">
        <f>IF($AH88="","",IF(INDEX('Per Invoice'!Y$2:Y$401,$AH88)="","",INDEX('Per Invoice'!Y$2:Y$401,$AH88)))</f>
        <v/>
      </c>
      <c r="Z88" s="7">
        <f>IF($AH88="","",IF(INDEX('Per Invoice'!Z$2:Z$401,$AH88)="","",INDEX('Per Invoice'!Z$2:Z$401,$AH88)))</f>
        <v/>
      </c>
      <c r="AA88" s="7">
        <f>IF($AH88="","",IF(INDEX('Per Invoice'!AA$2:AA$401,$AH88)="","",INDEX('Per Invoice'!AA$2:AA$401,$AH88)))</f>
        <v/>
      </c>
      <c r="AB88" s="7">
        <f>IF($AH88="","",IF(INDEX('Per Invoice'!AB$2:AB$401,$AH88)="","",INDEX('Per Invoice'!AB$2:AB$401,$AH88)))</f>
        <v/>
      </c>
      <c r="AC88" s="7">
        <f>IF($AH88="","",IF(INDEX('Per Invoice'!AC$2:AC$401,$AH88)="","",INDEX('Per Invoice'!AC$2:AC$401,$AH88)))</f>
        <v/>
      </c>
      <c r="AD88" s="7">
        <f>IF($AH88="","",IF(INDEX('Per Invoice'!AD$2:AD$401,$AH88)="","",INDEX('Per Invoice'!AD$2:AD$401,$AH88)))</f>
        <v/>
      </c>
      <c r="AE88" s="7">
        <f>IF($AH88="","",IF(INDEX('Per Invoice'!AE$2:AE$401,$AH88)="","",INDEX('Per Invoice'!AE$2:AE$401,$AH88)))</f>
        <v/>
      </c>
      <c r="AF88">
        <f>IF($AH88="","",IF(INDEX('Per Invoice'!AF$2:AF$401,$AH88)="","",INDEX('Per Invoice'!AF$2:AF$401,$AH88)))</f>
        <v/>
      </c>
      <c r="AG88" s="7">
        <f>IF($AH88="","",IF(INDEX('Per Invoice'!AG$2:AG$401,$AH88)="","",INDEX('Per Invoice'!AG$2:AG$401,$AH88)))</f>
        <v/>
      </c>
      <c r="AH88" s="16">
        <f>IFERROR(MATCH(Settings!$C$27&amp;"|"&amp;ROWS($AH$2:$AH88),'Per Invoice'!$AI$2:$AI$401,0),"")</f>
        <v/>
      </c>
    </row>
    <row r="89">
      <c r="A89">
        <f>IF($AH89="","",IF(INDEX('Per Invoice'!A$2:A$401,$AH89)="","",INDEX('Per Invoice'!A$2:A$401,$AH89)))</f>
        <v/>
      </c>
      <c r="B89">
        <f>IF($AH89="","",IF(INDEX('Per Invoice'!B$2:B$401,$AH89)="","",INDEX('Per Invoice'!B$2:B$401,$AH89)))</f>
        <v/>
      </c>
      <c r="C89">
        <f>IF($AH89="","",IF(INDEX('Per Invoice'!C$2:C$401,$AH89)="","",INDEX('Per Invoice'!C$2:C$401,$AH89)))</f>
        <v/>
      </c>
      <c r="D89">
        <f>IF($AH89="","",IF(INDEX('Per Invoice'!D$2:D$401,$AH89)="","",INDEX('Per Invoice'!D$2:D$401,$AH89)))</f>
        <v/>
      </c>
      <c r="E89">
        <f>IF($AH89="","",IF(INDEX('Per Invoice'!E$2:E$401,$AH89)="","",INDEX('Per Invoice'!E$2:E$401,$AH89)))</f>
        <v/>
      </c>
      <c r="F89">
        <f>IF($AH89="","",IF(INDEX('Per Invoice'!F$2:F$401,$AH89)="","",INDEX('Per Invoice'!F$2:F$401,$AH89)))</f>
        <v/>
      </c>
      <c r="G89">
        <f>IF($AH89="","",IF(INDEX('Per Invoice'!G$2:G$401,$AH89)="","",INDEX('Per Invoice'!G$2:G$401,$AH89)))</f>
        <v/>
      </c>
      <c r="H89">
        <f>IF($AH89="","",IF(INDEX('Per Invoice'!H$2:H$401,$AH89)="","",INDEX('Per Invoice'!H$2:H$401,$AH89)))</f>
        <v/>
      </c>
      <c r="I89" s="14">
        <f>IF($AH89="","",IF(INDEX('Per Invoice'!I$2:I$401,$AH89)="","",INDEX('Per Invoice'!I$2:I$401,$AH89)))</f>
        <v/>
      </c>
      <c r="J89">
        <f>IF($AH89="","",IF(INDEX('Per Invoice'!J$2:J$401,$AH89)="","",INDEX('Per Invoice'!J$2:J$401,$AH89)))</f>
        <v/>
      </c>
      <c r="K89">
        <f>IF($AH89="","",IF(INDEX('Per Invoice'!K$2:K$401,$AH89)="","",INDEX('Per Invoice'!K$2:K$401,$AH89)))</f>
        <v/>
      </c>
      <c r="L89">
        <f>IF($AH89="","",IF(INDEX('Per Invoice'!L$2:L$401,$AH89)="","",INDEX('Per Invoice'!L$2:L$401,$AH89)))</f>
        <v/>
      </c>
      <c r="M89">
        <f>IF($AH89="","",IF(INDEX('Per Invoice'!M$2:M$401,$AH89)="","",INDEX('Per Invoice'!M$2:M$401,$AH89)))</f>
        <v/>
      </c>
      <c r="N89">
        <f>IF($AH89="","",IF(INDEX('Per Invoice'!N$2:N$401,$AH89)="","",INDEX('Per Invoice'!N$2:N$401,$AH89)))</f>
        <v/>
      </c>
      <c r="O89">
        <f>IF($AH89="","",IF(INDEX('Per Invoice'!O$2:O$401,$AH89)="","",INDEX('Per Invoice'!O$2:O$401,$AH89)))</f>
        <v/>
      </c>
      <c r="P89" s="7">
        <f>IF($AH89="","",IF(INDEX('Per Invoice'!P$2:P$401,$AH89)="","",INDEX('Per Invoice'!P$2:P$401,$AH89)))</f>
        <v/>
      </c>
      <c r="Q89">
        <f>IF($AH89="","",IF(INDEX('Per Invoice'!Q$2:Q$401,$AH89)="","",INDEX('Per Invoice'!Q$2:Q$401,$AH89)))</f>
        <v/>
      </c>
      <c r="R89">
        <f>IF($AH89="","",IF(INDEX('Per Invoice'!R$2:R$401,$AH89)="","",INDEX('Per Invoice'!R$2:R$401,$AH89)))</f>
        <v/>
      </c>
      <c r="S89">
        <f>IF($AH89="","",IF(INDEX('Per Invoice'!S$2:S$401,$AH89)="","",INDEX('Per Invoice'!S$2:S$401,$AH89)))</f>
        <v/>
      </c>
      <c r="T89" s="7">
        <f>IF($AH89="","",IF(INDEX('Per Invoice'!T$2:T$401,$AH89)="","",INDEX('Per Invoice'!T$2:T$401,$AH89)))</f>
        <v/>
      </c>
      <c r="U89" s="7">
        <f>IF($AH89="","",IF(INDEX('Per Invoice'!U$2:U$401,$AH89)="","",INDEX('Per Invoice'!U$2:U$401,$AH89)))</f>
        <v/>
      </c>
      <c r="V89">
        <f>IF($AH89="","",IF(INDEX('Per Invoice'!V$2:V$401,$AH89)="","",INDEX('Per Invoice'!V$2:V$401,$AH89)))</f>
        <v/>
      </c>
      <c r="W89" s="7">
        <f>IF($AH89="","",IF(INDEX('Per Invoice'!W$2:W$401,$AH89)="","",INDEX('Per Invoice'!W$2:W$401,$AH89)))</f>
        <v/>
      </c>
      <c r="X89" s="7">
        <f>IF($AH89="","",IF(INDEX('Per Invoice'!X$2:X$401,$AH89)="","",INDEX('Per Invoice'!X$2:X$401,$AH89)))</f>
        <v/>
      </c>
      <c r="Y89">
        <f>IF($AH89="","",IF(INDEX('Per Invoice'!Y$2:Y$401,$AH89)="","",INDEX('Per Invoice'!Y$2:Y$401,$AH89)))</f>
        <v/>
      </c>
      <c r="Z89" s="7">
        <f>IF($AH89="","",IF(INDEX('Per Invoice'!Z$2:Z$401,$AH89)="","",INDEX('Per Invoice'!Z$2:Z$401,$AH89)))</f>
        <v/>
      </c>
      <c r="AA89" s="7">
        <f>IF($AH89="","",IF(INDEX('Per Invoice'!AA$2:AA$401,$AH89)="","",INDEX('Per Invoice'!AA$2:AA$401,$AH89)))</f>
        <v/>
      </c>
      <c r="AB89" s="7">
        <f>IF($AH89="","",IF(INDEX('Per Invoice'!AB$2:AB$401,$AH89)="","",INDEX('Per Invoice'!AB$2:AB$401,$AH89)))</f>
        <v/>
      </c>
      <c r="AC89" s="7">
        <f>IF($AH89="","",IF(INDEX('Per Invoice'!AC$2:AC$401,$AH89)="","",INDEX('Per Invoice'!AC$2:AC$401,$AH89)))</f>
        <v/>
      </c>
      <c r="AD89" s="7">
        <f>IF($AH89="","",IF(INDEX('Per Invoice'!AD$2:AD$401,$AH89)="","",INDEX('Per Invoice'!AD$2:AD$401,$AH89)))</f>
        <v/>
      </c>
      <c r="AE89" s="7">
        <f>IF($AH89="","",IF(INDEX('Per Invoice'!AE$2:AE$401,$AH89)="","",INDEX('Per Invoice'!AE$2:AE$401,$AH89)))</f>
        <v/>
      </c>
      <c r="AF89">
        <f>IF($AH89="","",IF(INDEX('Per Invoice'!AF$2:AF$401,$AH89)="","",INDEX('Per Invoice'!AF$2:AF$401,$AH89)))</f>
        <v/>
      </c>
      <c r="AG89" s="7">
        <f>IF($AH89="","",IF(INDEX('Per Invoice'!AG$2:AG$401,$AH89)="","",INDEX('Per Invoice'!AG$2:AG$401,$AH89)))</f>
        <v/>
      </c>
      <c r="AH89" s="16">
        <f>IFERROR(MATCH(Settings!$C$27&amp;"|"&amp;ROWS($AH$2:$AH89),'Per Invoice'!$AI$2:$AI$401,0),"")</f>
        <v/>
      </c>
    </row>
    <row r="90">
      <c r="A90">
        <f>IF($AH90="","",IF(INDEX('Per Invoice'!A$2:A$401,$AH90)="","",INDEX('Per Invoice'!A$2:A$401,$AH90)))</f>
        <v/>
      </c>
      <c r="B90">
        <f>IF($AH90="","",IF(INDEX('Per Invoice'!B$2:B$401,$AH90)="","",INDEX('Per Invoice'!B$2:B$401,$AH90)))</f>
        <v/>
      </c>
      <c r="C90">
        <f>IF($AH90="","",IF(INDEX('Per Invoice'!C$2:C$401,$AH90)="","",INDEX('Per Invoice'!C$2:C$401,$AH90)))</f>
        <v/>
      </c>
      <c r="D90">
        <f>IF($AH90="","",IF(INDEX('Per Invoice'!D$2:D$401,$AH90)="","",INDEX('Per Invoice'!D$2:D$401,$AH90)))</f>
        <v/>
      </c>
      <c r="E90">
        <f>IF($AH90="","",IF(INDEX('Per Invoice'!E$2:E$401,$AH90)="","",INDEX('Per Invoice'!E$2:E$401,$AH90)))</f>
        <v/>
      </c>
      <c r="F90">
        <f>IF($AH90="","",IF(INDEX('Per Invoice'!F$2:F$401,$AH90)="","",INDEX('Per Invoice'!F$2:F$401,$AH90)))</f>
        <v/>
      </c>
      <c r="G90">
        <f>IF($AH90="","",IF(INDEX('Per Invoice'!G$2:G$401,$AH90)="","",INDEX('Per Invoice'!G$2:G$401,$AH90)))</f>
        <v/>
      </c>
      <c r="H90">
        <f>IF($AH90="","",IF(INDEX('Per Invoice'!H$2:H$401,$AH90)="","",INDEX('Per Invoice'!H$2:H$401,$AH90)))</f>
        <v/>
      </c>
      <c r="I90" s="14">
        <f>IF($AH90="","",IF(INDEX('Per Invoice'!I$2:I$401,$AH90)="","",INDEX('Per Invoice'!I$2:I$401,$AH90)))</f>
        <v/>
      </c>
      <c r="J90">
        <f>IF($AH90="","",IF(INDEX('Per Invoice'!J$2:J$401,$AH90)="","",INDEX('Per Invoice'!J$2:J$401,$AH90)))</f>
        <v/>
      </c>
      <c r="K90">
        <f>IF($AH90="","",IF(INDEX('Per Invoice'!K$2:K$401,$AH90)="","",INDEX('Per Invoice'!K$2:K$401,$AH90)))</f>
        <v/>
      </c>
      <c r="L90">
        <f>IF($AH90="","",IF(INDEX('Per Invoice'!L$2:L$401,$AH90)="","",INDEX('Per Invoice'!L$2:L$401,$AH90)))</f>
        <v/>
      </c>
      <c r="M90">
        <f>IF($AH90="","",IF(INDEX('Per Invoice'!M$2:M$401,$AH90)="","",INDEX('Per Invoice'!M$2:M$401,$AH90)))</f>
        <v/>
      </c>
      <c r="N90">
        <f>IF($AH90="","",IF(INDEX('Per Invoice'!N$2:N$401,$AH90)="","",INDEX('Per Invoice'!N$2:N$401,$AH90)))</f>
        <v/>
      </c>
      <c r="O90">
        <f>IF($AH90="","",IF(INDEX('Per Invoice'!O$2:O$401,$AH90)="","",INDEX('Per Invoice'!O$2:O$401,$AH90)))</f>
        <v/>
      </c>
      <c r="P90" s="7">
        <f>IF($AH90="","",IF(INDEX('Per Invoice'!P$2:P$401,$AH90)="","",INDEX('Per Invoice'!P$2:P$401,$AH90)))</f>
        <v/>
      </c>
      <c r="Q90">
        <f>IF($AH90="","",IF(INDEX('Per Invoice'!Q$2:Q$401,$AH90)="","",INDEX('Per Invoice'!Q$2:Q$401,$AH90)))</f>
        <v/>
      </c>
      <c r="R90">
        <f>IF($AH90="","",IF(INDEX('Per Invoice'!R$2:R$401,$AH90)="","",INDEX('Per Invoice'!R$2:R$401,$AH90)))</f>
        <v/>
      </c>
      <c r="S90">
        <f>IF($AH90="","",IF(INDEX('Per Invoice'!S$2:S$401,$AH90)="","",INDEX('Per Invoice'!S$2:S$401,$AH90)))</f>
        <v/>
      </c>
      <c r="T90" s="7">
        <f>IF($AH90="","",IF(INDEX('Per Invoice'!T$2:T$401,$AH90)="","",INDEX('Per Invoice'!T$2:T$401,$AH90)))</f>
        <v/>
      </c>
      <c r="U90" s="7">
        <f>IF($AH90="","",IF(INDEX('Per Invoice'!U$2:U$401,$AH90)="","",INDEX('Per Invoice'!U$2:U$401,$AH90)))</f>
        <v/>
      </c>
      <c r="V90">
        <f>IF($AH90="","",IF(INDEX('Per Invoice'!V$2:V$401,$AH90)="","",INDEX('Per Invoice'!V$2:V$401,$AH90)))</f>
        <v/>
      </c>
      <c r="W90" s="7">
        <f>IF($AH90="","",IF(INDEX('Per Invoice'!W$2:W$401,$AH90)="","",INDEX('Per Invoice'!W$2:W$401,$AH90)))</f>
        <v/>
      </c>
      <c r="X90" s="7">
        <f>IF($AH90="","",IF(INDEX('Per Invoice'!X$2:X$401,$AH90)="","",INDEX('Per Invoice'!X$2:X$401,$AH90)))</f>
        <v/>
      </c>
      <c r="Y90">
        <f>IF($AH90="","",IF(INDEX('Per Invoice'!Y$2:Y$401,$AH90)="","",INDEX('Per Invoice'!Y$2:Y$401,$AH90)))</f>
        <v/>
      </c>
      <c r="Z90" s="7">
        <f>IF($AH90="","",IF(INDEX('Per Invoice'!Z$2:Z$401,$AH90)="","",INDEX('Per Invoice'!Z$2:Z$401,$AH90)))</f>
        <v/>
      </c>
      <c r="AA90" s="7">
        <f>IF($AH90="","",IF(INDEX('Per Invoice'!AA$2:AA$401,$AH90)="","",INDEX('Per Invoice'!AA$2:AA$401,$AH90)))</f>
        <v/>
      </c>
      <c r="AB90" s="7">
        <f>IF($AH90="","",IF(INDEX('Per Invoice'!AB$2:AB$401,$AH90)="","",INDEX('Per Invoice'!AB$2:AB$401,$AH90)))</f>
        <v/>
      </c>
      <c r="AC90" s="7">
        <f>IF($AH90="","",IF(INDEX('Per Invoice'!AC$2:AC$401,$AH90)="","",INDEX('Per Invoice'!AC$2:AC$401,$AH90)))</f>
        <v/>
      </c>
      <c r="AD90" s="7">
        <f>IF($AH90="","",IF(INDEX('Per Invoice'!AD$2:AD$401,$AH90)="","",INDEX('Per Invoice'!AD$2:AD$401,$AH90)))</f>
        <v/>
      </c>
      <c r="AE90" s="7">
        <f>IF($AH90="","",IF(INDEX('Per Invoice'!AE$2:AE$401,$AH90)="","",INDEX('Per Invoice'!AE$2:AE$401,$AH90)))</f>
        <v/>
      </c>
      <c r="AF90">
        <f>IF($AH90="","",IF(INDEX('Per Invoice'!AF$2:AF$401,$AH90)="","",INDEX('Per Invoice'!AF$2:AF$401,$AH90)))</f>
        <v/>
      </c>
      <c r="AG90" s="7">
        <f>IF($AH90="","",IF(INDEX('Per Invoice'!AG$2:AG$401,$AH90)="","",INDEX('Per Invoice'!AG$2:AG$401,$AH90)))</f>
        <v/>
      </c>
      <c r="AH90" s="16">
        <f>IFERROR(MATCH(Settings!$C$27&amp;"|"&amp;ROWS($AH$2:$AH90),'Per Invoice'!$AI$2:$AI$401,0),"")</f>
        <v/>
      </c>
    </row>
    <row r="91">
      <c r="A91">
        <f>IF($AH91="","",IF(INDEX('Per Invoice'!A$2:A$401,$AH91)="","",INDEX('Per Invoice'!A$2:A$401,$AH91)))</f>
        <v/>
      </c>
      <c r="B91">
        <f>IF($AH91="","",IF(INDEX('Per Invoice'!B$2:B$401,$AH91)="","",INDEX('Per Invoice'!B$2:B$401,$AH91)))</f>
        <v/>
      </c>
      <c r="C91">
        <f>IF($AH91="","",IF(INDEX('Per Invoice'!C$2:C$401,$AH91)="","",INDEX('Per Invoice'!C$2:C$401,$AH91)))</f>
        <v/>
      </c>
      <c r="D91">
        <f>IF($AH91="","",IF(INDEX('Per Invoice'!D$2:D$401,$AH91)="","",INDEX('Per Invoice'!D$2:D$401,$AH91)))</f>
        <v/>
      </c>
      <c r="E91">
        <f>IF($AH91="","",IF(INDEX('Per Invoice'!E$2:E$401,$AH91)="","",INDEX('Per Invoice'!E$2:E$401,$AH91)))</f>
        <v/>
      </c>
      <c r="F91">
        <f>IF($AH91="","",IF(INDEX('Per Invoice'!F$2:F$401,$AH91)="","",INDEX('Per Invoice'!F$2:F$401,$AH91)))</f>
        <v/>
      </c>
      <c r="G91">
        <f>IF($AH91="","",IF(INDEX('Per Invoice'!G$2:G$401,$AH91)="","",INDEX('Per Invoice'!G$2:G$401,$AH91)))</f>
        <v/>
      </c>
      <c r="H91">
        <f>IF($AH91="","",IF(INDEX('Per Invoice'!H$2:H$401,$AH91)="","",INDEX('Per Invoice'!H$2:H$401,$AH91)))</f>
        <v/>
      </c>
      <c r="I91" s="14">
        <f>IF($AH91="","",IF(INDEX('Per Invoice'!I$2:I$401,$AH91)="","",INDEX('Per Invoice'!I$2:I$401,$AH91)))</f>
        <v/>
      </c>
      <c r="J91">
        <f>IF($AH91="","",IF(INDEX('Per Invoice'!J$2:J$401,$AH91)="","",INDEX('Per Invoice'!J$2:J$401,$AH91)))</f>
        <v/>
      </c>
      <c r="K91">
        <f>IF($AH91="","",IF(INDEX('Per Invoice'!K$2:K$401,$AH91)="","",INDEX('Per Invoice'!K$2:K$401,$AH91)))</f>
        <v/>
      </c>
      <c r="L91">
        <f>IF($AH91="","",IF(INDEX('Per Invoice'!L$2:L$401,$AH91)="","",INDEX('Per Invoice'!L$2:L$401,$AH91)))</f>
        <v/>
      </c>
      <c r="M91">
        <f>IF($AH91="","",IF(INDEX('Per Invoice'!M$2:M$401,$AH91)="","",INDEX('Per Invoice'!M$2:M$401,$AH91)))</f>
        <v/>
      </c>
      <c r="N91">
        <f>IF($AH91="","",IF(INDEX('Per Invoice'!N$2:N$401,$AH91)="","",INDEX('Per Invoice'!N$2:N$401,$AH91)))</f>
        <v/>
      </c>
      <c r="O91">
        <f>IF($AH91="","",IF(INDEX('Per Invoice'!O$2:O$401,$AH91)="","",INDEX('Per Invoice'!O$2:O$401,$AH91)))</f>
        <v/>
      </c>
      <c r="P91" s="7">
        <f>IF($AH91="","",IF(INDEX('Per Invoice'!P$2:P$401,$AH91)="","",INDEX('Per Invoice'!P$2:P$401,$AH91)))</f>
        <v/>
      </c>
      <c r="Q91">
        <f>IF($AH91="","",IF(INDEX('Per Invoice'!Q$2:Q$401,$AH91)="","",INDEX('Per Invoice'!Q$2:Q$401,$AH91)))</f>
        <v/>
      </c>
      <c r="R91">
        <f>IF($AH91="","",IF(INDEX('Per Invoice'!R$2:R$401,$AH91)="","",INDEX('Per Invoice'!R$2:R$401,$AH91)))</f>
        <v/>
      </c>
      <c r="S91">
        <f>IF($AH91="","",IF(INDEX('Per Invoice'!S$2:S$401,$AH91)="","",INDEX('Per Invoice'!S$2:S$401,$AH91)))</f>
        <v/>
      </c>
      <c r="T91" s="7">
        <f>IF($AH91="","",IF(INDEX('Per Invoice'!T$2:T$401,$AH91)="","",INDEX('Per Invoice'!T$2:T$401,$AH91)))</f>
        <v/>
      </c>
      <c r="U91" s="7">
        <f>IF($AH91="","",IF(INDEX('Per Invoice'!U$2:U$401,$AH91)="","",INDEX('Per Invoice'!U$2:U$401,$AH91)))</f>
        <v/>
      </c>
      <c r="V91">
        <f>IF($AH91="","",IF(INDEX('Per Invoice'!V$2:V$401,$AH91)="","",INDEX('Per Invoice'!V$2:V$401,$AH91)))</f>
        <v/>
      </c>
      <c r="W91" s="7">
        <f>IF($AH91="","",IF(INDEX('Per Invoice'!W$2:W$401,$AH91)="","",INDEX('Per Invoice'!W$2:W$401,$AH91)))</f>
        <v/>
      </c>
      <c r="X91" s="7">
        <f>IF($AH91="","",IF(INDEX('Per Invoice'!X$2:X$401,$AH91)="","",INDEX('Per Invoice'!X$2:X$401,$AH91)))</f>
        <v/>
      </c>
      <c r="Y91">
        <f>IF($AH91="","",IF(INDEX('Per Invoice'!Y$2:Y$401,$AH91)="","",INDEX('Per Invoice'!Y$2:Y$401,$AH91)))</f>
        <v/>
      </c>
      <c r="Z91" s="7">
        <f>IF($AH91="","",IF(INDEX('Per Invoice'!Z$2:Z$401,$AH91)="","",INDEX('Per Invoice'!Z$2:Z$401,$AH91)))</f>
        <v/>
      </c>
      <c r="AA91" s="7">
        <f>IF($AH91="","",IF(INDEX('Per Invoice'!AA$2:AA$401,$AH91)="","",INDEX('Per Invoice'!AA$2:AA$401,$AH91)))</f>
        <v/>
      </c>
      <c r="AB91" s="7">
        <f>IF($AH91="","",IF(INDEX('Per Invoice'!AB$2:AB$401,$AH91)="","",INDEX('Per Invoice'!AB$2:AB$401,$AH91)))</f>
        <v/>
      </c>
      <c r="AC91" s="7">
        <f>IF($AH91="","",IF(INDEX('Per Invoice'!AC$2:AC$401,$AH91)="","",INDEX('Per Invoice'!AC$2:AC$401,$AH91)))</f>
        <v/>
      </c>
      <c r="AD91" s="7">
        <f>IF($AH91="","",IF(INDEX('Per Invoice'!AD$2:AD$401,$AH91)="","",INDEX('Per Invoice'!AD$2:AD$401,$AH91)))</f>
        <v/>
      </c>
      <c r="AE91" s="7">
        <f>IF($AH91="","",IF(INDEX('Per Invoice'!AE$2:AE$401,$AH91)="","",INDEX('Per Invoice'!AE$2:AE$401,$AH91)))</f>
        <v/>
      </c>
      <c r="AF91">
        <f>IF($AH91="","",IF(INDEX('Per Invoice'!AF$2:AF$401,$AH91)="","",INDEX('Per Invoice'!AF$2:AF$401,$AH91)))</f>
        <v/>
      </c>
      <c r="AG91" s="7">
        <f>IF($AH91="","",IF(INDEX('Per Invoice'!AG$2:AG$401,$AH91)="","",INDEX('Per Invoice'!AG$2:AG$401,$AH91)))</f>
        <v/>
      </c>
      <c r="AH91" s="16">
        <f>IFERROR(MATCH(Settings!$C$27&amp;"|"&amp;ROWS($AH$2:$AH91),'Per Invoice'!$AI$2:$AI$401,0),"")</f>
        <v/>
      </c>
    </row>
    <row r="92">
      <c r="A92">
        <f>IF($AH92="","",IF(INDEX('Per Invoice'!A$2:A$401,$AH92)="","",INDEX('Per Invoice'!A$2:A$401,$AH92)))</f>
        <v/>
      </c>
      <c r="B92">
        <f>IF($AH92="","",IF(INDEX('Per Invoice'!B$2:B$401,$AH92)="","",INDEX('Per Invoice'!B$2:B$401,$AH92)))</f>
        <v/>
      </c>
      <c r="C92">
        <f>IF($AH92="","",IF(INDEX('Per Invoice'!C$2:C$401,$AH92)="","",INDEX('Per Invoice'!C$2:C$401,$AH92)))</f>
        <v/>
      </c>
      <c r="D92">
        <f>IF($AH92="","",IF(INDEX('Per Invoice'!D$2:D$401,$AH92)="","",INDEX('Per Invoice'!D$2:D$401,$AH92)))</f>
        <v/>
      </c>
      <c r="E92">
        <f>IF($AH92="","",IF(INDEX('Per Invoice'!E$2:E$401,$AH92)="","",INDEX('Per Invoice'!E$2:E$401,$AH92)))</f>
        <v/>
      </c>
      <c r="F92">
        <f>IF($AH92="","",IF(INDEX('Per Invoice'!F$2:F$401,$AH92)="","",INDEX('Per Invoice'!F$2:F$401,$AH92)))</f>
        <v/>
      </c>
      <c r="G92">
        <f>IF($AH92="","",IF(INDEX('Per Invoice'!G$2:G$401,$AH92)="","",INDEX('Per Invoice'!G$2:G$401,$AH92)))</f>
        <v/>
      </c>
      <c r="H92">
        <f>IF($AH92="","",IF(INDEX('Per Invoice'!H$2:H$401,$AH92)="","",INDEX('Per Invoice'!H$2:H$401,$AH92)))</f>
        <v/>
      </c>
      <c r="I92" s="14">
        <f>IF($AH92="","",IF(INDEX('Per Invoice'!I$2:I$401,$AH92)="","",INDEX('Per Invoice'!I$2:I$401,$AH92)))</f>
        <v/>
      </c>
      <c r="J92">
        <f>IF($AH92="","",IF(INDEX('Per Invoice'!J$2:J$401,$AH92)="","",INDEX('Per Invoice'!J$2:J$401,$AH92)))</f>
        <v/>
      </c>
      <c r="K92">
        <f>IF($AH92="","",IF(INDEX('Per Invoice'!K$2:K$401,$AH92)="","",INDEX('Per Invoice'!K$2:K$401,$AH92)))</f>
        <v/>
      </c>
      <c r="L92">
        <f>IF($AH92="","",IF(INDEX('Per Invoice'!L$2:L$401,$AH92)="","",INDEX('Per Invoice'!L$2:L$401,$AH92)))</f>
        <v/>
      </c>
      <c r="M92">
        <f>IF($AH92="","",IF(INDEX('Per Invoice'!M$2:M$401,$AH92)="","",INDEX('Per Invoice'!M$2:M$401,$AH92)))</f>
        <v/>
      </c>
      <c r="N92">
        <f>IF($AH92="","",IF(INDEX('Per Invoice'!N$2:N$401,$AH92)="","",INDEX('Per Invoice'!N$2:N$401,$AH92)))</f>
        <v/>
      </c>
      <c r="O92">
        <f>IF($AH92="","",IF(INDEX('Per Invoice'!O$2:O$401,$AH92)="","",INDEX('Per Invoice'!O$2:O$401,$AH92)))</f>
        <v/>
      </c>
      <c r="P92" s="7">
        <f>IF($AH92="","",IF(INDEX('Per Invoice'!P$2:P$401,$AH92)="","",INDEX('Per Invoice'!P$2:P$401,$AH92)))</f>
        <v/>
      </c>
      <c r="Q92">
        <f>IF($AH92="","",IF(INDEX('Per Invoice'!Q$2:Q$401,$AH92)="","",INDEX('Per Invoice'!Q$2:Q$401,$AH92)))</f>
        <v/>
      </c>
      <c r="R92">
        <f>IF($AH92="","",IF(INDEX('Per Invoice'!R$2:R$401,$AH92)="","",INDEX('Per Invoice'!R$2:R$401,$AH92)))</f>
        <v/>
      </c>
      <c r="S92">
        <f>IF($AH92="","",IF(INDEX('Per Invoice'!S$2:S$401,$AH92)="","",INDEX('Per Invoice'!S$2:S$401,$AH92)))</f>
        <v/>
      </c>
      <c r="T92" s="7">
        <f>IF($AH92="","",IF(INDEX('Per Invoice'!T$2:T$401,$AH92)="","",INDEX('Per Invoice'!T$2:T$401,$AH92)))</f>
        <v/>
      </c>
      <c r="U92" s="7">
        <f>IF($AH92="","",IF(INDEX('Per Invoice'!U$2:U$401,$AH92)="","",INDEX('Per Invoice'!U$2:U$401,$AH92)))</f>
        <v/>
      </c>
      <c r="V92">
        <f>IF($AH92="","",IF(INDEX('Per Invoice'!V$2:V$401,$AH92)="","",INDEX('Per Invoice'!V$2:V$401,$AH92)))</f>
        <v/>
      </c>
      <c r="W92" s="7">
        <f>IF($AH92="","",IF(INDEX('Per Invoice'!W$2:W$401,$AH92)="","",INDEX('Per Invoice'!W$2:W$401,$AH92)))</f>
        <v/>
      </c>
      <c r="X92" s="7">
        <f>IF($AH92="","",IF(INDEX('Per Invoice'!X$2:X$401,$AH92)="","",INDEX('Per Invoice'!X$2:X$401,$AH92)))</f>
        <v/>
      </c>
      <c r="Y92">
        <f>IF($AH92="","",IF(INDEX('Per Invoice'!Y$2:Y$401,$AH92)="","",INDEX('Per Invoice'!Y$2:Y$401,$AH92)))</f>
        <v/>
      </c>
      <c r="Z92" s="7">
        <f>IF($AH92="","",IF(INDEX('Per Invoice'!Z$2:Z$401,$AH92)="","",INDEX('Per Invoice'!Z$2:Z$401,$AH92)))</f>
        <v/>
      </c>
      <c r="AA92" s="7">
        <f>IF($AH92="","",IF(INDEX('Per Invoice'!AA$2:AA$401,$AH92)="","",INDEX('Per Invoice'!AA$2:AA$401,$AH92)))</f>
        <v/>
      </c>
      <c r="AB92" s="7">
        <f>IF($AH92="","",IF(INDEX('Per Invoice'!AB$2:AB$401,$AH92)="","",INDEX('Per Invoice'!AB$2:AB$401,$AH92)))</f>
        <v/>
      </c>
      <c r="AC92" s="7">
        <f>IF($AH92="","",IF(INDEX('Per Invoice'!AC$2:AC$401,$AH92)="","",INDEX('Per Invoice'!AC$2:AC$401,$AH92)))</f>
        <v/>
      </c>
      <c r="AD92" s="7">
        <f>IF($AH92="","",IF(INDEX('Per Invoice'!AD$2:AD$401,$AH92)="","",INDEX('Per Invoice'!AD$2:AD$401,$AH92)))</f>
        <v/>
      </c>
      <c r="AE92" s="7">
        <f>IF($AH92="","",IF(INDEX('Per Invoice'!AE$2:AE$401,$AH92)="","",INDEX('Per Invoice'!AE$2:AE$401,$AH92)))</f>
        <v/>
      </c>
      <c r="AF92">
        <f>IF($AH92="","",IF(INDEX('Per Invoice'!AF$2:AF$401,$AH92)="","",INDEX('Per Invoice'!AF$2:AF$401,$AH92)))</f>
        <v/>
      </c>
      <c r="AG92" s="7">
        <f>IF($AH92="","",IF(INDEX('Per Invoice'!AG$2:AG$401,$AH92)="","",INDEX('Per Invoice'!AG$2:AG$401,$AH92)))</f>
        <v/>
      </c>
      <c r="AH92" s="16">
        <f>IFERROR(MATCH(Settings!$C$27&amp;"|"&amp;ROWS($AH$2:$AH92),'Per Invoice'!$AI$2:$AI$401,0),"")</f>
        <v/>
      </c>
    </row>
    <row r="93">
      <c r="A93">
        <f>IF($AH93="","",IF(INDEX('Per Invoice'!A$2:A$401,$AH93)="","",INDEX('Per Invoice'!A$2:A$401,$AH93)))</f>
        <v/>
      </c>
      <c r="B93">
        <f>IF($AH93="","",IF(INDEX('Per Invoice'!B$2:B$401,$AH93)="","",INDEX('Per Invoice'!B$2:B$401,$AH93)))</f>
        <v/>
      </c>
      <c r="C93">
        <f>IF($AH93="","",IF(INDEX('Per Invoice'!C$2:C$401,$AH93)="","",INDEX('Per Invoice'!C$2:C$401,$AH93)))</f>
        <v/>
      </c>
      <c r="D93">
        <f>IF($AH93="","",IF(INDEX('Per Invoice'!D$2:D$401,$AH93)="","",INDEX('Per Invoice'!D$2:D$401,$AH93)))</f>
        <v/>
      </c>
      <c r="E93">
        <f>IF($AH93="","",IF(INDEX('Per Invoice'!E$2:E$401,$AH93)="","",INDEX('Per Invoice'!E$2:E$401,$AH93)))</f>
        <v/>
      </c>
      <c r="F93">
        <f>IF($AH93="","",IF(INDEX('Per Invoice'!F$2:F$401,$AH93)="","",INDEX('Per Invoice'!F$2:F$401,$AH93)))</f>
        <v/>
      </c>
      <c r="G93">
        <f>IF($AH93="","",IF(INDEX('Per Invoice'!G$2:G$401,$AH93)="","",INDEX('Per Invoice'!G$2:G$401,$AH93)))</f>
        <v/>
      </c>
      <c r="H93">
        <f>IF($AH93="","",IF(INDEX('Per Invoice'!H$2:H$401,$AH93)="","",INDEX('Per Invoice'!H$2:H$401,$AH93)))</f>
        <v/>
      </c>
      <c r="I93" s="14">
        <f>IF($AH93="","",IF(INDEX('Per Invoice'!I$2:I$401,$AH93)="","",INDEX('Per Invoice'!I$2:I$401,$AH93)))</f>
        <v/>
      </c>
      <c r="J93">
        <f>IF($AH93="","",IF(INDEX('Per Invoice'!J$2:J$401,$AH93)="","",INDEX('Per Invoice'!J$2:J$401,$AH93)))</f>
        <v/>
      </c>
      <c r="K93">
        <f>IF($AH93="","",IF(INDEX('Per Invoice'!K$2:K$401,$AH93)="","",INDEX('Per Invoice'!K$2:K$401,$AH93)))</f>
        <v/>
      </c>
      <c r="L93">
        <f>IF($AH93="","",IF(INDEX('Per Invoice'!L$2:L$401,$AH93)="","",INDEX('Per Invoice'!L$2:L$401,$AH93)))</f>
        <v/>
      </c>
      <c r="M93">
        <f>IF($AH93="","",IF(INDEX('Per Invoice'!M$2:M$401,$AH93)="","",INDEX('Per Invoice'!M$2:M$401,$AH93)))</f>
        <v/>
      </c>
      <c r="N93">
        <f>IF($AH93="","",IF(INDEX('Per Invoice'!N$2:N$401,$AH93)="","",INDEX('Per Invoice'!N$2:N$401,$AH93)))</f>
        <v/>
      </c>
      <c r="O93">
        <f>IF($AH93="","",IF(INDEX('Per Invoice'!O$2:O$401,$AH93)="","",INDEX('Per Invoice'!O$2:O$401,$AH93)))</f>
        <v/>
      </c>
      <c r="P93" s="7">
        <f>IF($AH93="","",IF(INDEX('Per Invoice'!P$2:P$401,$AH93)="","",INDEX('Per Invoice'!P$2:P$401,$AH93)))</f>
        <v/>
      </c>
      <c r="Q93">
        <f>IF($AH93="","",IF(INDEX('Per Invoice'!Q$2:Q$401,$AH93)="","",INDEX('Per Invoice'!Q$2:Q$401,$AH93)))</f>
        <v/>
      </c>
      <c r="R93">
        <f>IF($AH93="","",IF(INDEX('Per Invoice'!R$2:R$401,$AH93)="","",INDEX('Per Invoice'!R$2:R$401,$AH93)))</f>
        <v/>
      </c>
      <c r="S93">
        <f>IF($AH93="","",IF(INDEX('Per Invoice'!S$2:S$401,$AH93)="","",INDEX('Per Invoice'!S$2:S$401,$AH93)))</f>
        <v/>
      </c>
      <c r="T93" s="7">
        <f>IF($AH93="","",IF(INDEX('Per Invoice'!T$2:T$401,$AH93)="","",INDEX('Per Invoice'!T$2:T$401,$AH93)))</f>
        <v/>
      </c>
      <c r="U93" s="7">
        <f>IF($AH93="","",IF(INDEX('Per Invoice'!U$2:U$401,$AH93)="","",INDEX('Per Invoice'!U$2:U$401,$AH93)))</f>
        <v/>
      </c>
      <c r="V93">
        <f>IF($AH93="","",IF(INDEX('Per Invoice'!V$2:V$401,$AH93)="","",INDEX('Per Invoice'!V$2:V$401,$AH93)))</f>
        <v/>
      </c>
      <c r="W93" s="7">
        <f>IF($AH93="","",IF(INDEX('Per Invoice'!W$2:W$401,$AH93)="","",INDEX('Per Invoice'!W$2:W$401,$AH93)))</f>
        <v/>
      </c>
      <c r="X93" s="7">
        <f>IF($AH93="","",IF(INDEX('Per Invoice'!X$2:X$401,$AH93)="","",INDEX('Per Invoice'!X$2:X$401,$AH93)))</f>
        <v/>
      </c>
      <c r="Y93">
        <f>IF($AH93="","",IF(INDEX('Per Invoice'!Y$2:Y$401,$AH93)="","",INDEX('Per Invoice'!Y$2:Y$401,$AH93)))</f>
        <v/>
      </c>
      <c r="Z93" s="7">
        <f>IF($AH93="","",IF(INDEX('Per Invoice'!Z$2:Z$401,$AH93)="","",INDEX('Per Invoice'!Z$2:Z$401,$AH93)))</f>
        <v/>
      </c>
      <c r="AA93" s="7">
        <f>IF($AH93="","",IF(INDEX('Per Invoice'!AA$2:AA$401,$AH93)="","",INDEX('Per Invoice'!AA$2:AA$401,$AH93)))</f>
        <v/>
      </c>
      <c r="AB93" s="7">
        <f>IF($AH93="","",IF(INDEX('Per Invoice'!AB$2:AB$401,$AH93)="","",INDEX('Per Invoice'!AB$2:AB$401,$AH93)))</f>
        <v/>
      </c>
      <c r="AC93" s="7">
        <f>IF($AH93="","",IF(INDEX('Per Invoice'!AC$2:AC$401,$AH93)="","",INDEX('Per Invoice'!AC$2:AC$401,$AH93)))</f>
        <v/>
      </c>
      <c r="AD93" s="7">
        <f>IF($AH93="","",IF(INDEX('Per Invoice'!AD$2:AD$401,$AH93)="","",INDEX('Per Invoice'!AD$2:AD$401,$AH93)))</f>
        <v/>
      </c>
      <c r="AE93" s="7">
        <f>IF($AH93="","",IF(INDEX('Per Invoice'!AE$2:AE$401,$AH93)="","",INDEX('Per Invoice'!AE$2:AE$401,$AH93)))</f>
        <v/>
      </c>
      <c r="AF93">
        <f>IF($AH93="","",IF(INDEX('Per Invoice'!AF$2:AF$401,$AH93)="","",INDEX('Per Invoice'!AF$2:AF$401,$AH93)))</f>
        <v/>
      </c>
      <c r="AG93" s="7">
        <f>IF($AH93="","",IF(INDEX('Per Invoice'!AG$2:AG$401,$AH93)="","",INDEX('Per Invoice'!AG$2:AG$401,$AH93)))</f>
        <v/>
      </c>
      <c r="AH93" s="16">
        <f>IFERROR(MATCH(Settings!$C$27&amp;"|"&amp;ROWS($AH$2:$AH93),'Per Invoice'!$AI$2:$AI$401,0),"")</f>
        <v/>
      </c>
    </row>
    <row r="94">
      <c r="A94">
        <f>IF($AH94="","",IF(INDEX('Per Invoice'!A$2:A$401,$AH94)="","",INDEX('Per Invoice'!A$2:A$401,$AH94)))</f>
        <v/>
      </c>
      <c r="B94">
        <f>IF($AH94="","",IF(INDEX('Per Invoice'!B$2:B$401,$AH94)="","",INDEX('Per Invoice'!B$2:B$401,$AH94)))</f>
        <v/>
      </c>
      <c r="C94">
        <f>IF($AH94="","",IF(INDEX('Per Invoice'!C$2:C$401,$AH94)="","",INDEX('Per Invoice'!C$2:C$401,$AH94)))</f>
        <v/>
      </c>
      <c r="D94">
        <f>IF($AH94="","",IF(INDEX('Per Invoice'!D$2:D$401,$AH94)="","",INDEX('Per Invoice'!D$2:D$401,$AH94)))</f>
        <v/>
      </c>
      <c r="E94">
        <f>IF($AH94="","",IF(INDEX('Per Invoice'!E$2:E$401,$AH94)="","",INDEX('Per Invoice'!E$2:E$401,$AH94)))</f>
        <v/>
      </c>
      <c r="F94">
        <f>IF($AH94="","",IF(INDEX('Per Invoice'!F$2:F$401,$AH94)="","",INDEX('Per Invoice'!F$2:F$401,$AH94)))</f>
        <v/>
      </c>
      <c r="G94">
        <f>IF($AH94="","",IF(INDEX('Per Invoice'!G$2:G$401,$AH94)="","",INDEX('Per Invoice'!G$2:G$401,$AH94)))</f>
        <v/>
      </c>
      <c r="H94">
        <f>IF($AH94="","",IF(INDEX('Per Invoice'!H$2:H$401,$AH94)="","",INDEX('Per Invoice'!H$2:H$401,$AH94)))</f>
        <v/>
      </c>
      <c r="I94" s="14">
        <f>IF($AH94="","",IF(INDEX('Per Invoice'!I$2:I$401,$AH94)="","",INDEX('Per Invoice'!I$2:I$401,$AH94)))</f>
        <v/>
      </c>
      <c r="J94">
        <f>IF($AH94="","",IF(INDEX('Per Invoice'!J$2:J$401,$AH94)="","",INDEX('Per Invoice'!J$2:J$401,$AH94)))</f>
        <v/>
      </c>
      <c r="K94">
        <f>IF($AH94="","",IF(INDEX('Per Invoice'!K$2:K$401,$AH94)="","",INDEX('Per Invoice'!K$2:K$401,$AH94)))</f>
        <v/>
      </c>
      <c r="L94">
        <f>IF($AH94="","",IF(INDEX('Per Invoice'!L$2:L$401,$AH94)="","",INDEX('Per Invoice'!L$2:L$401,$AH94)))</f>
        <v/>
      </c>
      <c r="M94">
        <f>IF($AH94="","",IF(INDEX('Per Invoice'!M$2:M$401,$AH94)="","",INDEX('Per Invoice'!M$2:M$401,$AH94)))</f>
        <v/>
      </c>
      <c r="N94">
        <f>IF($AH94="","",IF(INDEX('Per Invoice'!N$2:N$401,$AH94)="","",INDEX('Per Invoice'!N$2:N$401,$AH94)))</f>
        <v/>
      </c>
      <c r="O94">
        <f>IF($AH94="","",IF(INDEX('Per Invoice'!O$2:O$401,$AH94)="","",INDEX('Per Invoice'!O$2:O$401,$AH94)))</f>
        <v/>
      </c>
      <c r="P94" s="7">
        <f>IF($AH94="","",IF(INDEX('Per Invoice'!P$2:P$401,$AH94)="","",INDEX('Per Invoice'!P$2:P$401,$AH94)))</f>
        <v/>
      </c>
      <c r="Q94">
        <f>IF($AH94="","",IF(INDEX('Per Invoice'!Q$2:Q$401,$AH94)="","",INDEX('Per Invoice'!Q$2:Q$401,$AH94)))</f>
        <v/>
      </c>
      <c r="R94">
        <f>IF($AH94="","",IF(INDEX('Per Invoice'!R$2:R$401,$AH94)="","",INDEX('Per Invoice'!R$2:R$401,$AH94)))</f>
        <v/>
      </c>
      <c r="S94">
        <f>IF($AH94="","",IF(INDEX('Per Invoice'!S$2:S$401,$AH94)="","",INDEX('Per Invoice'!S$2:S$401,$AH94)))</f>
        <v/>
      </c>
      <c r="T94" s="7">
        <f>IF($AH94="","",IF(INDEX('Per Invoice'!T$2:T$401,$AH94)="","",INDEX('Per Invoice'!T$2:T$401,$AH94)))</f>
        <v/>
      </c>
      <c r="U94" s="7">
        <f>IF($AH94="","",IF(INDEX('Per Invoice'!U$2:U$401,$AH94)="","",INDEX('Per Invoice'!U$2:U$401,$AH94)))</f>
        <v/>
      </c>
      <c r="V94">
        <f>IF($AH94="","",IF(INDEX('Per Invoice'!V$2:V$401,$AH94)="","",INDEX('Per Invoice'!V$2:V$401,$AH94)))</f>
        <v/>
      </c>
      <c r="W94" s="7">
        <f>IF($AH94="","",IF(INDEX('Per Invoice'!W$2:W$401,$AH94)="","",INDEX('Per Invoice'!W$2:W$401,$AH94)))</f>
        <v/>
      </c>
      <c r="X94" s="7">
        <f>IF($AH94="","",IF(INDEX('Per Invoice'!X$2:X$401,$AH94)="","",INDEX('Per Invoice'!X$2:X$401,$AH94)))</f>
        <v/>
      </c>
      <c r="Y94">
        <f>IF($AH94="","",IF(INDEX('Per Invoice'!Y$2:Y$401,$AH94)="","",INDEX('Per Invoice'!Y$2:Y$401,$AH94)))</f>
        <v/>
      </c>
      <c r="Z94" s="7">
        <f>IF($AH94="","",IF(INDEX('Per Invoice'!Z$2:Z$401,$AH94)="","",INDEX('Per Invoice'!Z$2:Z$401,$AH94)))</f>
        <v/>
      </c>
      <c r="AA94" s="7">
        <f>IF($AH94="","",IF(INDEX('Per Invoice'!AA$2:AA$401,$AH94)="","",INDEX('Per Invoice'!AA$2:AA$401,$AH94)))</f>
        <v/>
      </c>
      <c r="AB94" s="7">
        <f>IF($AH94="","",IF(INDEX('Per Invoice'!AB$2:AB$401,$AH94)="","",INDEX('Per Invoice'!AB$2:AB$401,$AH94)))</f>
        <v/>
      </c>
      <c r="AC94" s="7">
        <f>IF($AH94="","",IF(INDEX('Per Invoice'!AC$2:AC$401,$AH94)="","",INDEX('Per Invoice'!AC$2:AC$401,$AH94)))</f>
        <v/>
      </c>
      <c r="AD94" s="7">
        <f>IF($AH94="","",IF(INDEX('Per Invoice'!AD$2:AD$401,$AH94)="","",INDEX('Per Invoice'!AD$2:AD$401,$AH94)))</f>
        <v/>
      </c>
      <c r="AE94" s="7">
        <f>IF($AH94="","",IF(INDEX('Per Invoice'!AE$2:AE$401,$AH94)="","",INDEX('Per Invoice'!AE$2:AE$401,$AH94)))</f>
        <v/>
      </c>
      <c r="AF94">
        <f>IF($AH94="","",IF(INDEX('Per Invoice'!AF$2:AF$401,$AH94)="","",INDEX('Per Invoice'!AF$2:AF$401,$AH94)))</f>
        <v/>
      </c>
      <c r="AG94" s="7">
        <f>IF($AH94="","",IF(INDEX('Per Invoice'!AG$2:AG$401,$AH94)="","",INDEX('Per Invoice'!AG$2:AG$401,$AH94)))</f>
        <v/>
      </c>
      <c r="AH94" s="16">
        <f>IFERROR(MATCH(Settings!$C$27&amp;"|"&amp;ROWS($AH$2:$AH94),'Per Invoice'!$AI$2:$AI$401,0),"")</f>
        <v/>
      </c>
    </row>
    <row r="95">
      <c r="A95">
        <f>IF($AH95="","",IF(INDEX('Per Invoice'!A$2:A$401,$AH95)="","",INDEX('Per Invoice'!A$2:A$401,$AH95)))</f>
        <v/>
      </c>
      <c r="B95">
        <f>IF($AH95="","",IF(INDEX('Per Invoice'!B$2:B$401,$AH95)="","",INDEX('Per Invoice'!B$2:B$401,$AH95)))</f>
        <v/>
      </c>
      <c r="C95">
        <f>IF($AH95="","",IF(INDEX('Per Invoice'!C$2:C$401,$AH95)="","",INDEX('Per Invoice'!C$2:C$401,$AH95)))</f>
        <v/>
      </c>
      <c r="D95">
        <f>IF($AH95="","",IF(INDEX('Per Invoice'!D$2:D$401,$AH95)="","",INDEX('Per Invoice'!D$2:D$401,$AH95)))</f>
        <v/>
      </c>
      <c r="E95">
        <f>IF($AH95="","",IF(INDEX('Per Invoice'!E$2:E$401,$AH95)="","",INDEX('Per Invoice'!E$2:E$401,$AH95)))</f>
        <v/>
      </c>
      <c r="F95">
        <f>IF($AH95="","",IF(INDEX('Per Invoice'!F$2:F$401,$AH95)="","",INDEX('Per Invoice'!F$2:F$401,$AH95)))</f>
        <v/>
      </c>
      <c r="G95">
        <f>IF($AH95="","",IF(INDEX('Per Invoice'!G$2:G$401,$AH95)="","",INDEX('Per Invoice'!G$2:G$401,$AH95)))</f>
        <v/>
      </c>
      <c r="H95">
        <f>IF($AH95="","",IF(INDEX('Per Invoice'!H$2:H$401,$AH95)="","",INDEX('Per Invoice'!H$2:H$401,$AH95)))</f>
        <v/>
      </c>
      <c r="I95" s="14">
        <f>IF($AH95="","",IF(INDEX('Per Invoice'!I$2:I$401,$AH95)="","",INDEX('Per Invoice'!I$2:I$401,$AH95)))</f>
        <v/>
      </c>
      <c r="J95">
        <f>IF($AH95="","",IF(INDEX('Per Invoice'!J$2:J$401,$AH95)="","",INDEX('Per Invoice'!J$2:J$401,$AH95)))</f>
        <v/>
      </c>
      <c r="K95">
        <f>IF($AH95="","",IF(INDEX('Per Invoice'!K$2:K$401,$AH95)="","",INDEX('Per Invoice'!K$2:K$401,$AH95)))</f>
        <v/>
      </c>
      <c r="L95">
        <f>IF($AH95="","",IF(INDEX('Per Invoice'!L$2:L$401,$AH95)="","",INDEX('Per Invoice'!L$2:L$401,$AH95)))</f>
        <v/>
      </c>
      <c r="M95">
        <f>IF($AH95="","",IF(INDEX('Per Invoice'!M$2:M$401,$AH95)="","",INDEX('Per Invoice'!M$2:M$401,$AH95)))</f>
        <v/>
      </c>
      <c r="N95">
        <f>IF($AH95="","",IF(INDEX('Per Invoice'!N$2:N$401,$AH95)="","",INDEX('Per Invoice'!N$2:N$401,$AH95)))</f>
        <v/>
      </c>
      <c r="O95">
        <f>IF($AH95="","",IF(INDEX('Per Invoice'!O$2:O$401,$AH95)="","",INDEX('Per Invoice'!O$2:O$401,$AH95)))</f>
        <v/>
      </c>
      <c r="P95" s="7">
        <f>IF($AH95="","",IF(INDEX('Per Invoice'!P$2:P$401,$AH95)="","",INDEX('Per Invoice'!P$2:P$401,$AH95)))</f>
        <v/>
      </c>
      <c r="Q95">
        <f>IF($AH95="","",IF(INDEX('Per Invoice'!Q$2:Q$401,$AH95)="","",INDEX('Per Invoice'!Q$2:Q$401,$AH95)))</f>
        <v/>
      </c>
      <c r="R95">
        <f>IF($AH95="","",IF(INDEX('Per Invoice'!R$2:R$401,$AH95)="","",INDEX('Per Invoice'!R$2:R$401,$AH95)))</f>
        <v/>
      </c>
      <c r="S95">
        <f>IF($AH95="","",IF(INDEX('Per Invoice'!S$2:S$401,$AH95)="","",INDEX('Per Invoice'!S$2:S$401,$AH95)))</f>
        <v/>
      </c>
      <c r="T95" s="7">
        <f>IF($AH95="","",IF(INDEX('Per Invoice'!T$2:T$401,$AH95)="","",INDEX('Per Invoice'!T$2:T$401,$AH95)))</f>
        <v/>
      </c>
      <c r="U95" s="7">
        <f>IF($AH95="","",IF(INDEX('Per Invoice'!U$2:U$401,$AH95)="","",INDEX('Per Invoice'!U$2:U$401,$AH95)))</f>
        <v/>
      </c>
      <c r="V95">
        <f>IF($AH95="","",IF(INDEX('Per Invoice'!V$2:V$401,$AH95)="","",INDEX('Per Invoice'!V$2:V$401,$AH95)))</f>
        <v/>
      </c>
      <c r="W95" s="7">
        <f>IF($AH95="","",IF(INDEX('Per Invoice'!W$2:W$401,$AH95)="","",INDEX('Per Invoice'!W$2:W$401,$AH95)))</f>
        <v/>
      </c>
      <c r="X95" s="7">
        <f>IF($AH95="","",IF(INDEX('Per Invoice'!X$2:X$401,$AH95)="","",INDEX('Per Invoice'!X$2:X$401,$AH95)))</f>
        <v/>
      </c>
      <c r="Y95">
        <f>IF($AH95="","",IF(INDEX('Per Invoice'!Y$2:Y$401,$AH95)="","",INDEX('Per Invoice'!Y$2:Y$401,$AH95)))</f>
        <v/>
      </c>
      <c r="Z95" s="7">
        <f>IF($AH95="","",IF(INDEX('Per Invoice'!Z$2:Z$401,$AH95)="","",INDEX('Per Invoice'!Z$2:Z$401,$AH95)))</f>
        <v/>
      </c>
      <c r="AA95" s="7">
        <f>IF($AH95="","",IF(INDEX('Per Invoice'!AA$2:AA$401,$AH95)="","",INDEX('Per Invoice'!AA$2:AA$401,$AH95)))</f>
        <v/>
      </c>
      <c r="AB95" s="7">
        <f>IF($AH95="","",IF(INDEX('Per Invoice'!AB$2:AB$401,$AH95)="","",INDEX('Per Invoice'!AB$2:AB$401,$AH95)))</f>
        <v/>
      </c>
      <c r="AC95" s="7">
        <f>IF($AH95="","",IF(INDEX('Per Invoice'!AC$2:AC$401,$AH95)="","",INDEX('Per Invoice'!AC$2:AC$401,$AH95)))</f>
        <v/>
      </c>
      <c r="AD95" s="7">
        <f>IF($AH95="","",IF(INDEX('Per Invoice'!AD$2:AD$401,$AH95)="","",INDEX('Per Invoice'!AD$2:AD$401,$AH95)))</f>
        <v/>
      </c>
      <c r="AE95" s="7">
        <f>IF($AH95="","",IF(INDEX('Per Invoice'!AE$2:AE$401,$AH95)="","",INDEX('Per Invoice'!AE$2:AE$401,$AH95)))</f>
        <v/>
      </c>
      <c r="AF95">
        <f>IF($AH95="","",IF(INDEX('Per Invoice'!AF$2:AF$401,$AH95)="","",INDEX('Per Invoice'!AF$2:AF$401,$AH95)))</f>
        <v/>
      </c>
      <c r="AG95" s="7">
        <f>IF($AH95="","",IF(INDEX('Per Invoice'!AG$2:AG$401,$AH95)="","",INDEX('Per Invoice'!AG$2:AG$401,$AH95)))</f>
        <v/>
      </c>
      <c r="AH95" s="16">
        <f>IFERROR(MATCH(Settings!$C$27&amp;"|"&amp;ROWS($AH$2:$AH95),'Per Invoice'!$AI$2:$AI$401,0),"")</f>
        <v/>
      </c>
    </row>
    <row r="96">
      <c r="A96">
        <f>IF($AH96="","",IF(INDEX('Per Invoice'!A$2:A$401,$AH96)="","",INDEX('Per Invoice'!A$2:A$401,$AH96)))</f>
        <v/>
      </c>
      <c r="B96">
        <f>IF($AH96="","",IF(INDEX('Per Invoice'!B$2:B$401,$AH96)="","",INDEX('Per Invoice'!B$2:B$401,$AH96)))</f>
        <v/>
      </c>
      <c r="C96">
        <f>IF($AH96="","",IF(INDEX('Per Invoice'!C$2:C$401,$AH96)="","",INDEX('Per Invoice'!C$2:C$401,$AH96)))</f>
        <v/>
      </c>
      <c r="D96">
        <f>IF($AH96="","",IF(INDEX('Per Invoice'!D$2:D$401,$AH96)="","",INDEX('Per Invoice'!D$2:D$401,$AH96)))</f>
        <v/>
      </c>
      <c r="E96">
        <f>IF($AH96="","",IF(INDEX('Per Invoice'!E$2:E$401,$AH96)="","",INDEX('Per Invoice'!E$2:E$401,$AH96)))</f>
        <v/>
      </c>
      <c r="F96">
        <f>IF($AH96="","",IF(INDEX('Per Invoice'!F$2:F$401,$AH96)="","",INDEX('Per Invoice'!F$2:F$401,$AH96)))</f>
        <v/>
      </c>
      <c r="G96">
        <f>IF($AH96="","",IF(INDEX('Per Invoice'!G$2:G$401,$AH96)="","",INDEX('Per Invoice'!G$2:G$401,$AH96)))</f>
        <v/>
      </c>
      <c r="H96">
        <f>IF($AH96="","",IF(INDEX('Per Invoice'!H$2:H$401,$AH96)="","",INDEX('Per Invoice'!H$2:H$401,$AH96)))</f>
        <v/>
      </c>
      <c r="I96" s="14">
        <f>IF($AH96="","",IF(INDEX('Per Invoice'!I$2:I$401,$AH96)="","",INDEX('Per Invoice'!I$2:I$401,$AH96)))</f>
        <v/>
      </c>
      <c r="J96">
        <f>IF($AH96="","",IF(INDEX('Per Invoice'!J$2:J$401,$AH96)="","",INDEX('Per Invoice'!J$2:J$401,$AH96)))</f>
        <v/>
      </c>
      <c r="K96">
        <f>IF($AH96="","",IF(INDEX('Per Invoice'!K$2:K$401,$AH96)="","",INDEX('Per Invoice'!K$2:K$401,$AH96)))</f>
        <v/>
      </c>
      <c r="L96">
        <f>IF($AH96="","",IF(INDEX('Per Invoice'!L$2:L$401,$AH96)="","",INDEX('Per Invoice'!L$2:L$401,$AH96)))</f>
        <v/>
      </c>
      <c r="M96">
        <f>IF($AH96="","",IF(INDEX('Per Invoice'!M$2:M$401,$AH96)="","",INDEX('Per Invoice'!M$2:M$401,$AH96)))</f>
        <v/>
      </c>
      <c r="N96">
        <f>IF($AH96="","",IF(INDEX('Per Invoice'!N$2:N$401,$AH96)="","",INDEX('Per Invoice'!N$2:N$401,$AH96)))</f>
        <v/>
      </c>
      <c r="O96">
        <f>IF($AH96="","",IF(INDEX('Per Invoice'!O$2:O$401,$AH96)="","",INDEX('Per Invoice'!O$2:O$401,$AH96)))</f>
        <v/>
      </c>
      <c r="P96" s="7">
        <f>IF($AH96="","",IF(INDEX('Per Invoice'!P$2:P$401,$AH96)="","",INDEX('Per Invoice'!P$2:P$401,$AH96)))</f>
        <v/>
      </c>
      <c r="Q96">
        <f>IF($AH96="","",IF(INDEX('Per Invoice'!Q$2:Q$401,$AH96)="","",INDEX('Per Invoice'!Q$2:Q$401,$AH96)))</f>
        <v/>
      </c>
      <c r="R96">
        <f>IF($AH96="","",IF(INDEX('Per Invoice'!R$2:R$401,$AH96)="","",INDEX('Per Invoice'!R$2:R$401,$AH96)))</f>
        <v/>
      </c>
      <c r="S96">
        <f>IF($AH96="","",IF(INDEX('Per Invoice'!S$2:S$401,$AH96)="","",INDEX('Per Invoice'!S$2:S$401,$AH96)))</f>
        <v/>
      </c>
      <c r="T96" s="7">
        <f>IF($AH96="","",IF(INDEX('Per Invoice'!T$2:T$401,$AH96)="","",INDEX('Per Invoice'!T$2:T$401,$AH96)))</f>
        <v/>
      </c>
      <c r="U96" s="7">
        <f>IF($AH96="","",IF(INDEX('Per Invoice'!U$2:U$401,$AH96)="","",INDEX('Per Invoice'!U$2:U$401,$AH96)))</f>
        <v/>
      </c>
      <c r="V96">
        <f>IF($AH96="","",IF(INDEX('Per Invoice'!V$2:V$401,$AH96)="","",INDEX('Per Invoice'!V$2:V$401,$AH96)))</f>
        <v/>
      </c>
      <c r="W96" s="7">
        <f>IF($AH96="","",IF(INDEX('Per Invoice'!W$2:W$401,$AH96)="","",INDEX('Per Invoice'!W$2:W$401,$AH96)))</f>
        <v/>
      </c>
      <c r="X96" s="7">
        <f>IF($AH96="","",IF(INDEX('Per Invoice'!X$2:X$401,$AH96)="","",INDEX('Per Invoice'!X$2:X$401,$AH96)))</f>
        <v/>
      </c>
      <c r="Y96">
        <f>IF($AH96="","",IF(INDEX('Per Invoice'!Y$2:Y$401,$AH96)="","",INDEX('Per Invoice'!Y$2:Y$401,$AH96)))</f>
        <v/>
      </c>
      <c r="Z96" s="7">
        <f>IF($AH96="","",IF(INDEX('Per Invoice'!Z$2:Z$401,$AH96)="","",INDEX('Per Invoice'!Z$2:Z$401,$AH96)))</f>
        <v/>
      </c>
      <c r="AA96" s="7">
        <f>IF($AH96="","",IF(INDEX('Per Invoice'!AA$2:AA$401,$AH96)="","",INDEX('Per Invoice'!AA$2:AA$401,$AH96)))</f>
        <v/>
      </c>
      <c r="AB96" s="7">
        <f>IF($AH96="","",IF(INDEX('Per Invoice'!AB$2:AB$401,$AH96)="","",INDEX('Per Invoice'!AB$2:AB$401,$AH96)))</f>
        <v/>
      </c>
      <c r="AC96" s="7">
        <f>IF($AH96="","",IF(INDEX('Per Invoice'!AC$2:AC$401,$AH96)="","",INDEX('Per Invoice'!AC$2:AC$401,$AH96)))</f>
        <v/>
      </c>
      <c r="AD96" s="7">
        <f>IF($AH96="","",IF(INDEX('Per Invoice'!AD$2:AD$401,$AH96)="","",INDEX('Per Invoice'!AD$2:AD$401,$AH96)))</f>
        <v/>
      </c>
      <c r="AE96" s="7">
        <f>IF($AH96="","",IF(INDEX('Per Invoice'!AE$2:AE$401,$AH96)="","",INDEX('Per Invoice'!AE$2:AE$401,$AH96)))</f>
        <v/>
      </c>
      <c r="AF96">
        <f>IF($AH96="","",IF(INDEX('Per Invoice'!AF$2:AF$401,$AH96)="","",INDEX('Per Invoice'!AF$2:AF$401,$AH96)))</f>
        <v/>
      </c>
      <c r="AG96" s="7">
        <f>IF($AH96="","",IF(INDEX('Per Invoice'!AG$2:AG$401,$AH96)="","",INDEX('Per Invoice'!AG$2:AG$401,$AH96)))</f>
        <v/>
      </c>
      <c r="AH96" s="16">
        <f>IFERROR(MATCH(Settings!$C$27&amp;"|"&amp;ROWS($AH$2:$AH96),'Per Invoice'!$AI$2:$AI$401,0),"")</f>
        <v/>
      </c>
    </row>
    <row r="97">
      <c r="A97">
        <f>IF($AH97="","",IF(INDEX('Per Invoice'!A$2:A$401,$AH97)="","",INDEX('Per Invoice'!A$2:A$401,$AH97)))</f>
        <v/>
      </c>
      <c r="B97">
        <f>IF($AH97="","",IF(INDEX('Per Invoice'!B$2:B$401,$AH97)="","",INDEX('Per Invoice'!B$2:B$401,$AH97)))</f>
        <v/>
      </c>
      <c r="C97">
        <f>IF($AH97="","",IF(INDEX('Per Invoice'!C$2:C$401,$AH97)="","",INDEX('Per Invoice'!C$2:C$401,$AH97)))</f>
        <v/>
      </c>
      <c r="D97">
        <f>IF($AH97="","",IF(INDEX('Per Invoice'!D$2:D$401,$AH97)="","",INDEX('Per Invoice'!D$2:D$401,$AH97)))</f>
        <v/>
      </c>
      <c r="E97">
        <f>IF($AH97="","",IF(INDEX('Per Invoice'!E$2:E$401,$AH97)="","",INDEX('Per Invoice'!E$2:E$401,$AH97)))</f>
        <v/>
      </c>
      <c r="F97">
        <f>IF($AH97="","",IF(INDEX('Per Invoice'!F$2:F$401,$AH97)="","",INDEX('Per Invoice'!F$2:F$401,$AH97)))</f>
        <v/>
      </c>
      <c r="G97">
        <f>IF($AH97="","",IF(INDEX('Per Invoice'!G$2:G$401,$AH97)="","",INDEX('Per Invoice'!G$2:G$401,$AH97)))</f>
        <v/>
      </c>
      <c r="H97">
        <f>IF($AH97="","",IF(INDEX('Per Invoice'!H$2:H$401,$AH97)="","",INDEX('Per Invoice'!H$2:H$401,$AH97)))</f>
        <v/>
      </c>
      <c r="I97" s="14">
        <f>IF($AH97="","",IF(INDEX('Per Invoice'!I$2:I$401,$AH97)="","",INDEX('Per Invoice'!I$2:I$401,$AH97)))</f>
        <v/>
      </c>
      <c r="J97">
        <f>IF($AH97="","",IF(INDEX('Per Invoice'!J$2:J$401,$AH97)="","",INDEX('Per Invoice'!J$2:J$401,$AH97)))</f>
        <v/>
      </c>
      <c r="K97">
        <f>IF($AH97="","",IF(INDEX('Per Invoice'!K$2:K$401,$AH97)="","",INDEX('Per Invoice'!K$2:K$401,$AH97)))</f>
        <v/>
      </c>
      <c r="L97">
        <f>IF($AH97="","",IF(INDEX('Per Invoice'!L$2:L$401,$AH97)="","",INDEX('Per Invoice'!L$2:L$401,$AH97)))</f>
        <v/>
      </c>
      <c r="M97">
        <f>IF($AH97="","",IF(INDEX('Per Invoice'!M$2:M$401,$AH97)="","",INDEX('Per Invoice'!M$2:M$401,$AH97)))</f>
        <v/>
      </c>
      <c r="N97">
        <f>IF($AH97="","",IF(INDEX('Per Invoice'!N$2:N$401,$AH97)="","",INDEX('Per Invoice'!N$2:N$401,$AH97)))</f>
        <v/>
      </c>
      <c r="O97">
        <f>IF($AH97="","",IF(INDEX('Per Invoice'!O$2:O$401,$AH97)="","",INDEX('Per Invoice'!O$2:O$401,$AH97)))</f>
        <v/>
      </c>
      <c r="P97" s="7">
        <f>IF($AH97="","",IF(INDEX('Per Invoice'!P$2:P$401,$AH97)="","",INDEX('Per Invoice'!P$2:P$401,$AH97)))</f>
        <v/>
      </c>
      <c r="Q97">
        <f>IF($AH97="","",IF(INDEX('Per Invoice'!Q$2:Q$401,$AH97)="","",INDEX('Per Invoice'!Q$2:Q$401,$AH97)))</f>
        <v/>
      </c>
      <c r="R97">
        <f>IF($AH97="","",IF(INDEX('Per Invoice'!R$2:R$401,$AH97)="","",INDEX('Per Invoice'!R$2:R$401,$AH97)))</f>
        <v/>
      </c>
      <c r="S97">
        <f>IF($AH97="","",IF(INDEX('Per Invoice'!S$2:S$401,$AH97)="","",INDEX('Per Invoice'!S$2:S$401,$AH97)))</f>
        <v/>
      </c>
      <c r="T97" s="7">
        <f>IF($AH97="","",IF(INDEX('Per Invoice'!T$2:T$401,$AH97)="","",INDEX('Per Invoice'!T$2:T$401,$AH97)))</f>
        <v/>
      </c>
      <c r="U97" s="7">
        <f>IF($AH97="","",IF(INDEX('Per Invoice'!U$2:U$401,$AH97)="","",INDEX('Per Invoice'!U$2:U$401,$AH97)))</f>
        <v/>
      </c>
      <c r="V97">
        <f>IF($AH97="","",IF(INDEX('Per Invoice'!V$2:V$401,$AH97)="","",INDEX('Per Invoice'!V$2:V$401,$AH97)))</f>
        <v/>
      </c>
      <c r="W97" s="7">
        <f>IF($AH97="","",IF(INDEX('Per Invoice'!W$2:W$401,$AH97)="","",INDEX('Per Invoice'!W$2:W$401,$AH97)))</f>
        <v/>
      </c>
      <c r="X97" s="7">
        <f>IF($AH97="","",IF(INDEX('Per Invoice'!X$2:X$401,$AH97)="","",INDEX('Per Invoice'!X$2:X$401,$AH97)))</f>
        <v/>
      </c>
      <c r="Y97">
        <f>IF($AH97="","",IF(INDEX('Per Invoice'!Y$2:Y$401,$AH97)="","",INDEX('Per Invoice'!Y$2:Y$401,$AH97)))</f>
        <v/>
      </c>
      <c r="Z97" s="7">
        <f>IF($AH97="","",IF(INDEX('Per Invoice'!Z$2:Z$401,$AH97)="","",INDEX('Per Invoice'!Z$2:Z$401,$AH97)))</f>
        <v/>
      </c>
      <c r="AA97" s="7">
        <f>IF($AH97="","",IF(INDEX('Per Invoice'!AA$2:AA$401,$AH97)="","",INDEX('Per Invoice'!AA$2:AA$401,$AH97)))</f>
        <v/>
      </c>
      <c r="AB97" s="7">
        <f>IF($AH97="","",IF(INDEX('Per Invoice'!AB$2:AB$401,$AH97)="","",INDEX('Per Invoice'!AB$2:AB$401,$AH97)))</f>
        <v/>
      </c>
      <c r="AC97" s="7">
        <f>IF($AH97="","",IF(INDEX('Per Invoice'!AC$2:AC$401,$AH97)="","",INDEX('Per Invoice'!AC$2:AC$401,$AH97)))</f>
        <v/>
      </c>
      <c r="AD97" s="7">
        <f>IF($AH97="","",IF(INDEX('Per Invoice'!AD$2:AD$401,$AH97)="","",INDEX('Per Invoice'!AD$2:AD$401,$AH97)))</f>
        <v/>
      </c>
      <c r="AE97" s="7">
        <f>IF($AH97="","",IF(INDEX('Per Invoice'!AE$2:AE$401,$AH97)="","",INDEX('Per Invoice'!AE$2:AE$401,$AH97)))</f>
        <v/>
      </c>
      <c r="AF97">
        <f>IF($AH97="","",IF(INDEX('Per Invoice'!AF$2:AF$401,$AH97)="","",INDEX('Per Invoice'!AF$2:AF$401,$AH97)))</f>
        <v/>
      </c>
      <c r="AG97" s="7">
        <f>IF($AH97="","",IF(INDEX('Per Invoice'!AG$2:AG$401,$AH97)="","",INDEX('Per Invoice'!AG$2:AG$401,$AH97)))</f>
        <v/>
      </c>
      <c r="AH97" s="16">
        <f>IFERROR(MATCH(Settings!$C$27&amp;"|"&amp;ROWS($AH$2:$AH97),'Per Invoice'!$AI$2:$AI$401,0),"")</f>
        <v/>
      </c>
    </row>
    <row r="98">
      <c r="A98">
        <f>IF($AH98="","",IF(INDEX('Per Invoice'!A$2:A$401,$AH98)="","",INDEX('Per Invoice'!A$2:A$401,$AH98)))</f>
        <v/>
      </c>
      <c r="B98">
        <f>IF($AH98="","",IF(INDEX('Per Invoice'!B$2:B$401,$AH98)="","",INDEX('Per Invoice'!B$2:B$401,$AH98)))</f>
        <v/>
      </c>
      <c r="C98">
        <f>IF($AH98="","",IF(INDEX('Per Invoice'!C$2:C$401,$AH98)="","",INDEX('Per Invoice'!C$2:C$401,$AH98)))</f>
        <v/>
      </c>
      <c r="D98">
        <f>IF($AH98="","",IF(INDEX('Per Invoice'!D$2:D$401,$AH98)="","",INDEX('Per Invoice'!D$2:D$401,$AH98)))</f>
        <v/>
      </c>
      <c r="E98">
        <f>IF($AH98="","",IF(INDEX('Per Invoice'!E$2:E$401,$AH98)="","",INDEX('Per Invoice'!E$2:E$401,$AH98)))</f>
        <v/>
      </c>
      <c r="F98">
        <f>IF($AH98="","",IF(INDEX('Per Invoice'!F$2:F$401,$AH98)="","",INDEX('Per Invoice'!F$2:F$401,$AH98)))</f>
        <v/>
      </c>
      <c r="G98">
        <f>IF($AH98="","",IF(INDEX('Per Invoice'!G$2:G$401,$AH98)="","",INDEX('Per Invoice'!G$2:G$401,$AH98)))</f>
        <v/>
      </c>
      <c r="H98">
        <f>IF($AH98="","",IF(INDEX('Per Invoice'!H$2:H$401,$AH98)="","",INDEX('Per Invoice'!H$2:H$401,$AH98)))</f>
        <v/>
      </c>
      <c r="I98" s="14">
        <f>IF($AH98="","",IF(INDEX('Per Invoice'!I$2:I$401,$AH98)="","",INDEX('Per Invoice'!I$2:I$401,$AH98)))</f>
        <v/>
      </c>
      <c r="J98">
        <f>IF($AH98="","",IF(INDEX('Per Invoice'!J$2:J$401,$AH98)="","",INDEX('Per Invoice'!J$2:J$401,$AH98)))</f>
        <v/>
      </c>
      <c r="K98">
        <f>IF($AH98="","",IF(INDEX('Per Invoice'!K$2:K$401,$AH98)="","",INDEX('Per Invoice'!K$2:K$401,$AH98)))</f>
        <v/>
      </c>
      <c r="L98">
        <f>IF($AH98="","",IF(INDEX('Per Invoice'!L$2:L$401,$AH98)="","",INDEX('Per Invoice'!L$2:L$401,$AH98)))</f>
        <v/>
      </c>
      <c r="M98">
        <f>IF($AH98="","",IF(INDEX('Per Invoice'!M$2:M$401,$AH98)="","",INDEX('Per Invoice'!M$2:M$401,$AH98)))</f>
        <v/>
      </c>
      <c r="N98">
        <f>IF($AH98="","",IF(INDEX('Per Invoice'!N$2:N$401,$AH98)="","",INDEX('Per Invoice'!N$2:N$401,$AH98)))</f>
        <v/>
      </c>
      <c r="O98">
        <f>IF($AH98="","",IF(INDEX('Per Invoice'!O$2:O$401,$AH98)="","",INDEX('Per Invoice'!O$2:O$401,$AH98)))</f>
        <v/>
      </c>
      <c r="P98" s="7">
        <f>IF($AH98="","",IF(INDEX('Per Invoice'!P$2:P$401,$AH98)="","",INDEX('Per Invoice'!P$2:P$401,$AH98)))</f>
        <v/>
      </c>
      <c r="Q98">
        <f>IF($AH98="","",IF(INDEX('Per Invoice'!Q$2:Q$401,$AH98)="","",INDEX('Per Invoice'!Q$2:Q$401,$AH98)))</f>
        <v/>
      </c>
      <c r="R98">
        <f>IF($AH98="","",IF(INDEX('Per Invoice'!R$2:R$401,$AH98)="","",INDEX('Per Invoice'!R$2:R$401,$AH98)))</f>
        <v/>
      </c>
      <c r="S98">
        <f>IF($AH98="","",IF(INDEX('Per Invoice'!S$2:S$401,$AH98)="","",INDEX('Per Invoice'!S$2:S$401,$AH98)))</f>
        <v/>
      </c>
      <c r="T98" s="7">
        <f>IF($AH98="","",IF(INDEX('Per Invoice'!T$2:T$401,$AH98)="","",INDEX('Per Invoice'!T$2:T$401,$AH98)))</f>
        <v/>
      </c>
      <c r="U98" s="7">
        <f>IF($AH98="","",IF(INDEX('Per Invoice'!U$2:U$401,$AH98)="","",INDEX('Per Invoice'!U$2:U$401,$AH98)))</f>
        <v/>
      </c>
      <c r="V98">
        <f>IF($AH98="","",IF(INDEX('Per Invoice'!V$2:V$401,$AH98)="","",INDEX('Per Invoice'!V$2:V$401,$AH98)))</f>
        <v/>
      </c>
      <c r="W98" s="7">
        <f>IF($AH98="","",IF(INDEX('Per Invoice'!W$2:W$401,$AH98)="","",INDEX('Per Invoice'!W$2:W$401,$AH98)))</f>
        <v/>
      </c>
      <c r="X98" s="7">
        <f>IF($AH98="","",IF(INDEX('Per Invoice'!X$2:X$401,$AH98)="","",INDEX('Per Invoice'!X$2:X$401,$AH98)))</f>
        <v/>
      </c>
      <c r="Y98">
        <f>IF($AH98="","",IF(INDEX('Per Invoice'!Y$2:Y$401,$AH98)="","",INDEX('Per Invoice'!Y$2:Y$401,$AH98)))</f>
        <v/>
      </c>
      <c r="Z98" s="7">
        <f>IF($AH98="","",IF(INDEX('Per Invoice'!Z$2:Z$401,$AH98)="","",INDEX('Per Invoice'!Z$2:Z$401,$AH98)))</f>
        <v/>
      </c>
      <c r="AA98" s="7">
        <f>IF($AH98="","",IF(INDEX('Per Invoice'!AA$2:AA$401,$AH98)="","",INDEX('Per Invoice'!AA$2:AA$401,$AH98)))</f>
        <v/>
      </c>
      <c r="AB98" s="7">
        <f>IF($AH98="","",IF(INDEX('Per Invoice'!AB$2:AB$401,$AH98)="","",INDEX('Per Invoice'!AB$2:AB$401,$AH98)))</f>
        <v/>
      </c>
      <c r="AC98" s="7">
        <f>IF($AH98="","",IF(INDEX('Per Invoice'!AC$2:AC$401,$AH98)="","",INDEX('Per Invoice'!AC$2:AC$401,$AH98)))</f>
        <v/>
      </c>
      <c r="AD98" s="7">
        <f>IF($AH98="","",IF(INDEX('Per Invoice'!AD$2:AD$401,$AH98)="","",INDEX('Per Invoice'!AD$2:AD$401,$AH98)))</f>
        <v/>
      </c>
      <c r="AE98" s="7">
        <f>IF($AH98="","",IF(INDEX('Per Invoice'!AE$2:AE$401,$AH98)="","",INDEX('Per Invoice'!AE$2:AE$401,$AH98)))</f>
        <v/>
      </c>
      <c r="AF98">
        <f>IF($AH98="","",IF(INDEX('Per Invoice'!AF$2:AF$401,$AH98)="","",INDEX('Per Invoice'!AF$2:AF$401,$AH98)))</f>
        <v/>
      </c>
      <c r="AG98" s="7">
        <f>IF($AH98="","",IF(INDEX('Per Invoice'!AG$2:AG$401,$AH98)="","",INDEX('Per Invoice'!AG$2:AG$401,$AH98)))</f>
        <v/>
      </c>
      <c r="AH98" s="16">
        <f>IFERROR(MATCH(Settings!$C$27&amp;"|"&amp;ROWS($AH$2:$AH98),'Per Invoice'!$AI$2:$AI$401,0),"")</f>
        <v/>
      </c>
    </row>
    <row r="99">
      <c r="A99">
        <f>IF($AH99="","",IF(INDEX('Per Invoice'!A$2:A$401,$AH99)="","",INDEX('Per Invoice'!A$2:A$401,$AH99)))</f>
        <v/>
      </c>
      <c r="B99">
        <f>IF($AH99="","",IF(INDEX('Per Invoice'!B$2:B$401,$AH99)="","",INDEX('Per Invoice'!B$2:B$401,$AH99)))</f>
        <v/>
      </c>
      <c r="C99">
        <f>IF($AH99="","",IF(INDEX('Per Invoice'!C$2:C$401,$AH99)="","",INDEX('Per Invoice'!C$2:C$401,$AH99)))</f>
        <v/>
      </c>
      <c r="D99">
        <f>IF($AH99="","",IF(INDEX('Per Invoice'!D$2:D$401,$AH99)="","",INDEX('Per Invoice'!D$2:D$401,$AH99)))</f>
        <v/>
      </c>
      <c r="E99">
        <f>IF($AH99="","",IF(INDEX('Per Invoice'!E$2:E$401,$AH99)="","",INDEX('Per Invoice'!E$2:E$401,$AH99)))</f>
        <v/>
      </c>
      <c r="F99">
        <f>IF($AH99="","",IF(INDEX('Per Invoice'!F$2:F$401,$AH99)="","",INDEX('Per Invoice'!F$2:F$401,$AH99)))</f>
        <v/>
      </c>
      <c r="G99">
        <f>IF($AH99="","",IF(INDEX('Per Invoice'!G$2:G$401,$AH99)="","",INDEX('Per Invoice'!G$2:G$401,$AH99)))</f>
        <v/>
      </c>
      <c r="H99">
        <f>IF($AH99="","",IF(INDEX('Per Invoice'!H$2:H$401,$AH99)="","",INDEX('Per Invoice'!H$2:H$401,$AH99)))</f>
        <v/>
      </c>
      <c r="I99" s="14">
        <f>IF($AH99="","",IF(INDEX('Per Invoice'!I$2:I$401,$AH99)="","",INDEX('Per Invoice'!I$2:I$401,$AH99)))</f>
        <v/>
      </c>
      <c r="J99">
        <f>IF($AH99="","",IF(INDEX('Per Invoice'!J$2:J$401,$AH99)="","",INDEX('Per Invoice'!J$2:J$401,$AH99)))</f>
        <v/>
      </c>
      <c r="K99">
        <f>IF($AH99="","",IF(INDEX('Per Invoice'!K$2:K$401,$AH99)="","",INDEX('Per Invoice'!K$2:K$401,$AH99)))</f>
        <v/>
      </c>
      <c r="L99">
        <f>IF($AH99="","",IF(INDEX('Per Invoice'!L$2:L$401,$AH99)="","",INDEX('Per Invoice'!L$2:L$401,$AH99)))</f>
        <v/>
      </c>
      <c r="M99">
        <f>IF($AH99="","",IF(INDEX('Per Invoice'!M$2:M$401,$AH99)="","",INDEX('Per Invoice'!M$2:M$401,$AH99)))</f>
        <v/>
      </c>
      <c r="N99">
        <f>IF($AH99="","",IF(INDEX('Per Invoice'!N$2:N$401,$AH99)="","",INDEX('Per Invoice'!N$2:N$401,$AH99)))</f>
        <v/>
      </c>
      <c r="O99">
        <f>IF($AH99="","",IF(INDEX('Per Invoice'!O$2:O$401,$AH99)="","",INDEX('Per Invoice'!O$2:O$401,$AH99)))</f>
        <v/>
      </c>
      <c r="P99" s="7">
        <f>IF($AH99="","",IF(INDEX('Per Invoice'!P$2:P$401,$AH99)="","",INDEX('Per Invoice'!P$2:P$401,$AH99)))</f>
        <v/>
      </c>
      <c r="Q99">
        <f>IF($AH99="","",IF(INDEX('Per Invoice'!Q$2:Q$401,$AH99)="","",INDEX('Per Invoice'!Q$2:Q$401,$AH99)))</f>
        <v/>
      </c>
      <c r="R99">
        <f>IF($AH99="","",IF(INDEX('Per Invoice'!R$2:R$401,$AH99)="","",INDEX('Per Invoice'!R$2:R$401,$AH99)))</f>
        <v/>
      </c>
      <c r="S99">
        <f>IF($AH99="","",IF(INDEX('Per Invoice'!S$2:S$401,$AH99)="","",INDEX('Per Invoice'!S$2:S$401,$AH99)))</f>
        <v/>
      </c>
      <c r="T99" s="7">
        <f>IF($AH99="","",IF(INDEX('Per Invoice'!T$2:T$401,$AH99)="","",INDEX('Per Invoice'!T$2:T$401,$AH99)))</f>
        <v/>
      </c>
      <c r="U99" s="7">
        <f>IF($AH99="","",IF(INDEX('Per Invoice'!U$2:U$401,$AH99)="","",INDEX('Per Invoice'!U$2:U$401,$AH99)))</f>
        <v/>
      </c>
      <c r="V99">
        <f>IF($AH99="","",IF(INDEX('Per Invoice'!V$2:V$401,$AH99)="","",INDEX('Per Invoice'!V$2:V$401,$AH99)))</f>
        <v/>
      </c>
      <c r="W99" s="7">
        <f>IF($AH99="","",IF(INDEX('Per Invoice'!W$2:W$401,$AH99)="","",INDEX('Per Invoice'!W$2:W$401,$AH99)))</f>
        <v/>
      </c>
      <c r="X99" s="7">
        <f>IF($AH99="","",IF(INDEX('Per Invoice'!X$2:X$401,$AH99)="","",INDEX('Per Invoice'!X$2:X$401,$AH99)))</f>
        <v/>
      </c>
      <c r="Y99">
        <f>IF($AH99="","",IF(INDEX('Per Invoice'!Y$2:Y$401,$AH99)="","",INDEX('Per Invoice'!Y$2:Y$401,$AH99)))</f>
        <v/>
      </c>
      <c r="Z99" s="7">
        <f>IF($AH99="","",IF(INDEX('Per Invoice'!Z$2:Z$401,$AH99)="","",INDEX('Per Invoice'!Z$2:Z$401,$AH99)))</f>
        <v/>
      </c>
      <c r="AA99" s="7">
        <f>IF($AH99="","",IF(INDEX('Per Invoice'!AA$2:AA$401,$AH99)="","",INDEX('Per Invoice'!AA$2:AA$401,$AH99)))</f>
        <v/>
      </c>
      <c r="AB99" s="7">
        <f>IF($AH99="","",IF(INDEX('Per Invoice'!AB$2:AB$401,$AH99)="","",INDEX('Per Invoice'!AB$2:AB$401,$AH99)))</f>
        <v/>
      </c>
      <c r="AC99" s="7">
        <f>IF($AH99="","",IF(INDEX('Per Invoice'!AC$2:AC$401,$AH99)="","",INDEX('Per Invoice'!AC$2:AC$401,$AH99)))</f>
        <v/>
      </c>
      <c r="AD99" s="7">
        <f>IF($AH99="","",IF(INDEX('Per Invoice'!AD$2:AD$401,$AH99)="","",INDEX('Per Invoice'!AD$2:AD$401,$AH99)))</f>
        <v/>
      </c>
      <c r="AE99" s="7">
        <f>IF($AH99="","",IF(INDEX('Per Invoice'!AE$2:AE$401,$AH99)="","",INDEX('Per Invoice'!AE$2:AE$401,$AH99)))</f>
        <v/>
      </c>
      <c r="AF99">
        <f>IF($AH99="","",IF(INDEX('Per Invoice'!AF$2:AF$401,$AH99)="","",INDEX('Per Invoice'!AF$2:AF$401,$AH99)))</f>
        <v/>
      </c>
      <c r="AG99" s="7">
        <f>IF($AH99="","",IF(INDEX('Per Invoice'!AG$2:AG$401,$AH99)="","",INDEX('Per Invoice'!AG$2:AG$401,$AH99)))</f>
        <v/>
      </c>
      <c r="AH99" s="16">
        <f>IFERROR(MATCH(Settings!$C$27&amp;"|"&amp;ROWS($AH$2:$AH99),'Per Invoice'!$AI$2:$AI$401,0),"")</f>
        <v/>
      </c>
    </row>
    <row r="100">
      <c r="A100">
        <f>IF($AH100="","",IF(INDEX('Per Invoice'!A$2:A$401,$AH100)="","",INDEX('Per Invoice'!A$2:A$401,$AH100)))</f>
        <v/>
      </c>
      <c r="B100">
        <f>IF($AH100="","",IF(INDEX('Per Invoice'!B$2:B$401,$AH100)="","",INDEX('Per Invoice'!B$2:B$401,$AH100)))</f>
        <v/>
      </c>
      <c r="C100">
        <f>IF($AH100="","",IF(INDEX('Per Invoice'!C$2:C$401,$AH100)="","",INDEX('Per Invoice'!C$2:C$401,$AH100)))</f>
        <v/>
      </c>
      <c r="D100">
        <f>IF($AH100="","",IF(INDEX('Per Invoice'!D$2:D$401,$AH100)="","",INDEX('Per Invoice'!D$2:D$401,$AH100)))</f>
        <v/>
      </c>
      <c r="E100">
        <f>IF($AH100="","",IF(INDEX('Per Invoice'!E$2:E$401,$AH100)="","",INDEX('Per Invoice'!E$2:E$401,$AH100)))</f>
        <v/>
      </c>
      <c r="F100">
        <f>IF($AH100="","",IF(INDEX('Per Invoice'!F$2:F$401,$AH100)="","",INDEX('Per Invoice'!F$2:F$401,$AH100)))</f>
        <v/>
      </c>
      <c r="G100">
        <f>IF($AH100="","",IF(INDEX('Per Invoice'!G$2:G$401,$AH100)="","",INDEX('Per Invoice'!G$2:G$401,$AH100)))</f>
        <v/>
      </c>
      <c r="H100">
        <f>IF($AH100="","",IF(INDEX('Per Invoice'!H$2:H$401,$AH100)="","",INDEX('Per Invoice'!H$2:H$401,$AH100)))</f>
        <v/>
      </c>
      <c r="I100" s="14">
        <f>IF($AH100="","",IF(INDEX('Per Invoice'!I$2:I$401,$AH100)="","",INDEX('Per Invoice'!I$2:I$401,$AH100)))</f>
        <v/>
      </c>
      <c r="J100">
        <f>IF($AH100="","",IF(INDEX('Per Invoice'!J$2:J$401,$AH100)="","",INDEX('Per Invoice'!J$2:J$401,$AH100)))</f>
        <v/>
      </c>
      <c r="K100">
        <f>IF($AH100="","",IF(INDEX('Per Invoice'!K$2:K$401,$AH100)="","",INDEX('Per Invoice'!K$2:K$401,$AH100)))</f>
        <v/>
      </c>
      <c r="L100">
        <f>IF($AH100="","",IF(INDEX('Per Invoice'!L$2:L$401,$AH100)="","",INDEX('Per Invoice'!L$2:L$401,$AH100)))</f>
        <v/>
      </c>
      <c r="M100">
        <f>IF($AH100="","",IF(INDEX('Per Invoice'!M$2:M$401,$AH100)="","",INDEX('Per Invoice'!M$2:M$401,$AH100)))</f>
        <v/>
      </c>
      <c r="N100">
        <f>IF($AH100="","",IF(INDEX('Per Invoice'!N$2:N$401,$AH100)="","",INDEX('Per Invoice'!N$2:N$401,$AH100)))</f>
        <v/>
      </c>
      <c r="O100">
        <f>IF($AH100="","",IF(INDEX('Per Invoice'!O$2:O$401,$AH100)="","",INDEX('Per Invoice'!O$2:O$401,$AH100)))</f>
        <v/>
      </c>
      <c r="P100" s="7">
        <f>IF($AH100="","",IF(INDEX('Per Invoice'!P$2:P$401,$AH100)="","",INDEX('Per Invoice'!P$2:P$401,$AH100)))</f>
        <v/>
      </c>
      <c r="Q100">
        <f>IF($AH100="","",IF(INDEX('Per Invoice'!Q$2:Q$401,$AH100)="","",INDEX('Per Invoice'!Q$2:Q$401,$AH100)))</f>
        <v/>
      </c>
      <c r="R100">
        <f>IF($AH100="","",IF(INDEX('Per Invoice'!R$2:R$401,$AH100)="","",INDEX('Per Invoice'!R$2:R$401,$AH100)))</f>
        <v/>
      </c>
      <c r="S100">
        <f>IF($AH100="","",IF(INDEX('Per Invoice'!S$2:S$401,$AH100)="","",INDEX('Per Invoice'!S$2:S$401,$AH100)))</f>
        <v/>
      </c>
      <c r="T100" s="7">
        <f>IF($AH100="","",IF(INDEX('Per Invoice'!T$2:T$401,$AH100)="","",INDEX('Per Invoice'!T$2:T$401,$AH100)))</f>
        <v/>
      </c>
      <c r="U100" s="7">
        <f>IF($AH100="","",IF(INDEX('Per Invoice'!U$2:U$401,$AH100)="","",INDEX('Per Invoice'!U$2:U$401,$AH100)))</f>
        <v/>
      </c>
      <c r="V100">
        <f>IF($AH100="","",IF(INDEX('Per Invoice'!V$2:V$401,$AH100)="","",INDEX('Per Invoice'!V$2:V$401,$AH100)))</f>
        <v/>
      </c>
      <c r="W100" s="7">
        <f>IF($AH100="","",IF(INDEX('Per Invoice'!W$2:W$401,$AH100)="","",INDEX('Per Invoice'!W$2:W$401,$AH100)))</f>
        <v/>
      </c>
      <c r="X100" s="7">
        <f>IF($AH100="","",IF(INDEX('Per Invoice'!X$2:X$401,$AH100)="","",INDEX('Per Invoice'!X$2:X$401,$AH100)))</f>
        <v/>
      </c>
      <c r="Y100">
        <f>IF($AH100="","",IF(INDEX('Per Invoice'!Y$2:Y$401,$AH100)="","",INDEX('Per Invoice'!Y$2:Y$401,$AH100)))</f>
        <v/>
      </c>
      <c r="Z100" s="7">
        <f>IF($AH100="","",IF(INDEX('Per Invoice'!Z$2:Z$401,$AH100)="","",INDEX('Per Invoice'!Z$2:Z$401,$AH100)))</f>
        <v/>
      </c>
      <c r="AA100" s="7">
        <f>IF($AH100="","",IF(INDEX('Per Invoice'!AA$2:AA$401,$AH100)="","",INDEX('Per Invoice'!AA$2:AA$401,$AH100)))</f>
        <v/>
      </c>
      <c r="AB100" s="7">
        <f>IF($AH100="","",IF(INDEX('Per Invoice'!AB$2:AB$401,$AH100)="","",INDEX('Per Invoice'!AB$2:AB$401,$AH100)))</f>
        <v/>
      </c>
      <c r="AC100" s="7">
        <f>IF($AH100="","",IF(INDEX('Per Invoice'!AC$2:AC$401,$AH100)="","",INDEX('Per Invoice'!AC$2:AC$401,$AH100)))</f>
        <v/>
      </c>
      <c r="AD100" s="7">
        <f>IF($AH100="","",IF(INDEX('Per Invoice'!AD$2:AD$401,$AH100)="","",INDEX('Per Invoice'!AD$2:AD$401,$AH100)))</f>
        <v/>
      </c>
      <c r="AE100" s="7">
        <f>IF($AH100="","",IF(INDEX('Per Invoice'!AE$2:AE$401,$AH100)="","",INDEX('Per Invoice'!AE$2:AE$401,$AH100)))</f>
        <v/>
      </c>
      <c r="AF100">
        <f>IF($AH100="","",IF(INDEX('Per Invoice'!AF$2:AF$401,$AH100)="","",INDEX('Per Invoice'!AF$2:AF$401,$AH100)))</f>
        <v/>
      </c>
      <c r="AG100" s="7">
        <f>IF($AH100="","",IF(INDEX('Per Invoice'!AG$2:AG$401,$AH100)="","",INDEX('Per Invoice'!AG$2:AG$401,$AH100)))</f>
        <v/>
      </c>
      <c r="AH100" s="16">
        <f>IFERROR(MATCH(Settings!$C$27&amp;"|"&amp;ROWS($AH$2:$AH100),'Per Invoice'!$AI$2:$AI$401,0),"")</f>
        <v/>
      </c>
    </row>
    <row r="101">
      <c r="A101">
        <f>IF($AH101="","",IF(INDEX('Per Invoice'!A$2:A$401,$AH101)="","",INDEX('Per Invoice'!A$2:A$401,$AH101)))</f>
        <v/>
      </c>
      <c r="B101">
        <f>IF($AH101="","",IF(INDEX('Per Invoice'!B$2:B$401,$AH101)="","",INDEX('Per Invoice'!B$2:B$401,$AH101)))</f>
        <v/>
      </c>
      <c r="C101">
        <f>IF($AH101="","",IF(INDEX('Per Invoice'!C$2:C$401,$AH101)="","",INDEX('Per Invoice'!C$2:C$401,$AH101)))</f>
        <v/>
      </c>
      <c r="D101">
        <f>IF($AH101="","",IF(INDEX('Per Invoice'!D$2:D$401,$AH101)="","",INDEX('Per Invoice'!D$2:D$401,$AH101)))</f>
        <v/>
      </c>
      <c r="E101">
        <f>IF($AH101="","",IF(INDEX('Per Invoice'!E$2:E$401,$AH101)="","",INDEX('Per Invoice'!E$2:E$401,$AH101)))</f>
        <v/>
      </c>
      <c r="F101">
        <f>IF($AH101="","",IF(INDEX('Per Invoice'!F$2:F$401,$AH101)="","",INDEX('Per Invoice'!F$2:F$401,$AH101)))</f>
        <v/>
      </c>
      <c r="G101">
        <f>IF($AH101="","",IF(INDEX('Per Invoice'!G$2:G$401,$AH101)="","",INDEX('Per Invoice'!G$2:G$401,$AH101)))</f>
        <v/>
      </c>
      <c r="H101">
        <f>IF($AH101="","",IF(INDEX('Per Invoice'!H$2:H$401,$AH101)="","",INDEX('Per Invoice'!H$2:H$401,$AH101)))</f>
        <v/>
      </c>
      <c r="I101" s="14">
        <f>IF($AH101="","",IF(INDEX('Per Invoice'!I$2:I$401,$AH101)="","",INDEX('Per Invoice'!I$2:I$401,$AH101)))</f>
        <v/>
      </c>
      <c r="J101">
        <f>IF($AH101="","",IF(INDEX('Per Invoice'!J$2:J$401,$AH101)="","",INDEX('Per Invoice'!J$2:J$401,$AH101)))</f>
        <v/>
      </c>
      <c r="K101">
        <f>IF($AH101="","",IF(INDEX('Per Invoice'!K$2:K$401,$AH101)="","",INDEX('Per Invoice'!K$2:K$401,$AH101)))</f>
        <v/>
      </c>
      <c r="L101">
        <f>IF($AH101="","",IF(INDEX('Per Invoice'!L$2:L$401,$AH101)="","",INDEX('Per Invoice'!L$2:L$401,$AH101)))</f>
        <v/>
      </c>
      <c r="M101">
        <f>IF($AH101="","",IF(INDEX('Per Invoice'!M$2:M$401,$AH101)="","",INDEX('Per Invoice'!M$2:M$401,$AH101)))</f>
        <v/>
      </c>
      <c r="N101">
        <f>IF($AH101="","",IF(INDEX('Per Invoice'!N$2:N$401,$AH101)="","",INDEX('Per Invoice'!N$2:N$401,$AH101)))</f>
        <v/>
      </c>
      <c r="O101">
        <f>IF($AH101="","",IF(INDEX('Per Invoice'!O$2:O$401,$AH101)="","",INDEX('Per Invoice'!O$2:O$401,$AH101)))</f>
        <v/>
      </c>
      <c r="P101" s="7">
        <f>IF($AH101="","",IF(INDEX('Per Invoice'!P$2:P$401,$AH101)="","",INDEX('Per Invoice'!P$2:P$401,$AH101)))</f>
        <v/>
      </c>
      <c r="Q101">
        <f>IF($AH101="","",IF(INDEX('Per Invoice'!Q$2:Q$401,$AH101)="","",INDEX('Per Invoice'!Q$2:Q$401,$AH101)))</f>
        <v/>
      </c>
      <c r="R101">
        <f>IF($AH101="","",IF(INDEX('Per Invoice'!R$2:R$401,$AH101)="","",INDEX('Per Invoice'!R$2:R$401,$AH101)))</f>
        <v/>
      </c>
      <c r="S101">
        <f>IF($AH101="","",IF(INDEX('Per Invoice'!S$2:S$401,$AH101)="","",INDEX('Per Invoice'!S$2:S$401,$AH101)))</f>
        <v/>
      </c>
      <c r="T101" s="7">
        <f>IF($AH101="","",IF(INDEX('Per Invoice'!T$2:T$401,$AH101)="","",INDEX('Per Invoice'!T$2:T$401,$AH101)))</f>
        <v/>
      </c>
      <c r="U101" s="7">
        <f>IF($AH101="","",IF(INDEX('Per Invoice'!U$2:U$401,$AH101)="","",INDEX('Per Invoice'!U$2:U$401,$AH101)))</f>
        <v/>
      </c>
      <c r="V101">
        <f>IF($AH101="","",IF(INDEX('Per Invoice'!V$2:V$401,$AH101)="","",INDEX('Per Invoice'!V$2:V$401,$AH101)))</f>
        <v/>
      </c>
      <c r="W101" s="7">
        <f>IF($AH101="","",IF(INDEX('Per Invoice'!W$2:W$401,$AH101)="","",INDEX('Per Invoice'!W$2:W$401,$AH101)))</f>
        <v/>
      </c>
      <c r="X101" s="7">
        <f>IF($AH101="","",IF(INDEX('Per Invoice'!X$2:X$401,$AH101)="","",INDEX('Per Invoice'!X$2:X$401,$AH101)))</f>
        <v/>
      </c>
      <c r="Y101">
        <f>IF($AH101="","",IF(INDEX('Per Invoice'!Y$2:Y$401,$AH101)="","",INDEX('Per Invoice'!Y$2:Y$401,$AH101)))</f>
        <v/>
      </c>
      <c r="Z101" s="7">
        <f>IF($AH101="","",IF(INDEX('Per Invoice'!Z$2:Z$401,$AH101)="","",INDEX('Per Invoice'!Z$2:Z$401,$AH101)))</f>
        <v/>
      </c>
      <c r="AA101" s="7">
        <f>IF($AH101="","",IF(INDEX('Per Invoice'!AA$2:AA$401,$AH101)="","",INDEX('Per Invoice'!AA$2:AA$401,$AH101)))</f>
        <v/>
      </c>
      <c r="AB101" s="7">
        <f>IF($AH101="","",IF(INDEX('Per Invoice'!AB$2:AB$401,$AH101)="","",INDEX('Per Invoice'!AB$2:AB$401,$AH101)))</f>
        <v/>
      </c>
      <c r="AC101" s="7">
        <f>IF($AH101="","",IF(INDEX('Per Invoice'!AC$2:AC$401,$AH101)="","",INDEX('Per Invoice'!AC$2:AC$401,$AH101)))</f>
        <v/>
      </c>
      <c r="AD101" s="7">
        <f>IF($AH101="","",IF(INDEX('Per Invoice'!AD$2:AD$401,$AH101)="","",INDEX('Per Invoice'!AD$2:AD$401,$AH101)))</f>
        <v/>
      </c>
      <c r="AE101" s="7">
        <f>IF($AH101="","",IF(INDEX('Per Invoice'!AE$2:AE$401,$AH101)="","",INDEX('Per Invoice'!AE$2:AE$401,$AH101)))</f>
        <v/>
      </c>
      <c r="AF101">
        <f>IF($AH101="","",IF(INDEX('Per Invoice'!AF$2:AF$401,$AH101)="","",INDEX('Per Invoice'!AF$2:AF$401,$AH101)))</f>
        <v/>
      </c>
      <c r="AG101" s="7">
        <f>IF($AH101="","",IF(INDEX('Per Invoice'!AG$2:AG$401,$AH101)="","",INDEX('Per Invoice'!AG$2:AG$401,$AH101)))</f>
        <v/>
      </c>
      <c r="AH101" s="16">
        <f>IFERROR(MATCH(Settings!$C$27&amp;"|"&amp;ROWS($AH$2:$AH101),'Per Invoice'!$AI$2:$AI$401,0),"")</f>
        <v/>
      </c>
    </row>
    <row r="102">
      <c r="A102">
        <f>IF($AH102="","",IF(INDEX('Per Invoice'!A$2:A$401,$AH102)="","",INDEX('Per Invoice'!A$2:A$401,$AH102)))</f>
        <v/>
      </c>
      <c r="B102">
        <f>IF($AH102="","",IF(INDEX('Per Invoice'!B$2:B$401,$AH102)="","",INDEX('Per Invoice'!B$2:B$401,$AH102)))</f>
        <v/>
      </c>
      <c r="C102">
        <f>IF($AH102="","",IF(INDEX('Per Invoice'!C$2:C$401,$AH102)="","",INDEX('Per Invoice'!C$2:C$401,$AH102)))</f>
        <v/>
      </c>
      <c r="D102">
        <f>IF($AH102="","",IF(INDEX('Per Invoice'!D$2:D$401,$AH102)="","",INDEX('Per Invoice'!D$2:D$401,$AH102)))</f>
        <v/>
      </c>
      <c r="E102">
        <f>IF($AH102="","",IF(INDEX('Per Invoice'!E$2:E$401,$AH102)="","",INDEX('Per Invoice'!E$2:E$401,$AH102)))</f>
        <v/>
      </c>
      <c r="F102">
        <f>IF($AH102="","",IF(INDEX('Per Invoice'!F$2:F$401,$AH102)="","",INDEX('Per Invoice'!F$2:F$401,$AH102)))</f>
        <v/>
      </c>
      <c r="G102">
        <f>IF($AH102="","",IF(INDEX('Per Invoice'!G$2:G$401,$AH102)="","",INDEX('Per Invoice'!G$2:G$401,$AH102)))</f>
        <v/>
      </c>
      <c r="H102">
        <f>IF($AH102="","",IF(INDEX('Per Invoice'!H$2:H$401,$AH102)="","",INDEX('Per Invoice'!H$2:H$401,$AH102)))</f>
        <v/>
      </c>
      <c r="I102" s="14">
        <f>IF($AH102="","",IF(INDEX('Per Invoice'!I$2:I$401,$AH102)="","",INDEX('Per Invoice'!I$2:I$401,$AH102)))</f>
        <v/>
      </c>
      <c r="J102">
        <f>IF($AH102="","",IF(INDEX('Per Invoice'!J$2:J$401,$AH102)="","",INDEX('Per Invoice'!J$2:J$401,$AH102)))</f>
        <v/>
      </c>
      <c r="K102">
        <f>IF($AH102="","",IF(INDEX('Per Invoice'!K$2:K$401,$AH102)="","",INDEX('Per Invoice'!K$2:K$401,$AH102)))</f>
        <v/>
      </c>
      <c r="L102">
        <f>IF($AH102="","",IF(INDEX('Per Invoice'!L$2:L$401,$AH102)="","",INDEX('Per Invoice'!L$2:L$401,$AH102)))</f>
        <v/>
      </c>
      <c r="M102">
        <f>IF($AH102="","",IF(INDEX('Per Invoice'!M$2:M$401,$AH102)="","",INDEX('Per Invoice'!M$2:M$401,$AH102)))</f>
        <v/>
      </c>
      <c r="N102">
        <f>IF($AH102="","",IF(INDEX('Per Invoice'!N$2:N$401,$AH102)="","",INDEX('Per Invoice'!N$2:N$401,$AH102)))</f>
        <v/>
      </c>
      <c r="O102">
        <f>IF($AH102="","",IF(INDEX('Per Invoice'!O$2:O$401,$AH102)="","",INDEX('Per Invoice'!O$2:O$401,$AH102)))</f>
        <v/>
      </c>
      <c r="P102" s="7">
        <f>IF($AH102="","",IF(INDEX('Per Invoice'!P$2:P$401,$AH102)="","",INDEX('Per Invoice'!P$2:P$401,$AH102)))</f>
        <v/>
      </c>
      <c r="Q102">
        <f>IF($AH102="","",IF(INDEX('Per Invoice'!Q$2:Q$401,$AH102)="","",INDEX('Per Invoice'!Q$2:Q$401,$AH102)))</f>
        <v/>
      </c>
      <c r="R102">
        <f>IF($AH102="","",IF(INDEX('Per Invoice'!R$2:R$401,$AH102)="","",INDEX('Per Invoice'!R$2:R$401,$AH102)))</f>
        <v/>
      </c>
      <c r="S102">
        <f>IF($AH102="","",IF(INDEX('Per Invoice'!S$2:S$401,$AH102)="","",INDEX('Per Invoice'!S$2:S$401,$AH102)))</f>
        <v/>
      </c>
      <c r="T102" s="7">
        <f>IF($AH102="","",IF(INDEX('Per Invoice'!T$2:T$401,$AH102)="","",INDEX('Per Invoice'!T$2:T$401,$AH102)))</f>
        <v/>
      </c>
      <c r="U102" s="7">
        <f>IF($AH102="","",IF(INDEX('Per Invoice'!U$2:U$401,$AH102)="","",INDEX('Per Invoice'!U$2:U$401,$AH102)))</f>
        <v/>
      </c>
      <c r="V102">
        <f>IF($AH102="","",IF(INDEX('Per Invoice'!V$2:V$401,$AH102)="","",INDEX('Per Invoice'!V$2:V$401,$AH102)))</f>
        <v/>
      </c>
      <c r="W102" s="7">
        <f>IF($AH102="","",IF(INDEX('Per Invoice'!W$2:W$401,$AH102)="","",INDEX('Per Invoice'!W$2:W$401,$AH102)))</f>
        <v/>
      </c>
      <c r="X102" s="7">
        <f>IF($AH102="","",IF(INDEX('Per Invoice'!X$2:X$401,$AH102)="","",INDEX('Per Invoice'!X$2:X$401,$AH102)))</f>
        <v/>
      </c>
      <c r="Y102">
        <f>IF($AH102="","",IF(INDEX('Per Invoice'!Y$2:Y$401,$AH102)="","",INDEX('Per Invoice'!Y$2:Y$401,$AH102)))</f>
        <v/>
      </c>
      <c r="Z102" s="7">
        <f>IF($AH102="","",IF(INDEX('Per Invoice'!Z$2:Z$401,$AH102)="","",INDEX('Per Invoice'!Z$2:Z$401,$AH102)))</f>
        <v/>
      </c>
      <c r="AA102" s="7">
        <f>IF($AH102="","",IF(INDEX('Per Invoice'!AA$2:AA$401,$AH102)="","",INDEX('Per Invoice'!AA$2:AA$401,$AH102)))</f>
        <v/>
      </c>
      <c r="AB102" s="7">
        <f>IF($AH102="","",IF(INDEX('Per Invoice'!AB$2:AB$401,$AH102)="","",INDEX('Per Invoice'!AB$2:AB$401,$AH102)))</f>
        <v/>
      </c>
      <c r="AC102" s="7">
        <f>IF($AH102="","",IF(INDEX('Per Invoice'!AC$2:AC$401,$AH102)="","",INDEX('Per Invoice'!AC$2:AC$401,$AH102)))</f>
        <v/>
      </c>
      <c r="AD102" s="7">
        <f>IF($AH102="","",IF(INDEX('Per Invoice'!AD$2:AD$401,$AH102)="","",INDEX('Per Invoice'!AD$2:AD$401,$AH102)))</f>
        <v/>
      </c>
      <c r="AE102" s="7">
        <f>IF($AH102="","",IF(INDEX('Per Invoice'!AE$2:AE$401,$AH102)="","",INDEX('Per Invoice'!AE$2:AE$401,$AH102)))</f>
        <v/>
      </c>
      <c r="AF102">
        <f>IF($AH102="","",IF(INDEX('Per Invoice'!AF$2:AF$401,$AH102)="","",INDEX('Per Invoice'!AF$2:AF$401,$AH102)))</f>
        <v/>
      </c>
      <c r="AG102" s="7">
        <f>IF($AH102="","",IF(INDEX('Per Invoice'!AG$2:AG$401,$AH102)="","",INDEX('Per Invoice'!AG$2:AG$401,$AH102)))</f>
        <v/>
      </c>
      <c r="AH102" s="16">
        <f>IFERROR(MATCH(Settings!$C$27&amp;"|"&amp;ROWS($AH$2:$AH102),'Per Invoice'!$AI$2:$AI$401,0),"")</f>
        <v/>
      </c>
    </row>
    <row r="103">
      <c r="A103">
        <f>IF($AH103="","",IF(INDEX('Per Invoice'!A$2:A$401,$AH103)="","",INDEX('Per Invoice'!A$2:A$401,$AH103)))</f>
        <v/>
      </c>
      <c r="B103">
        <f>IF($AH103="","",IF(INDEX('Per Invoice'!B$2:B$401,$AH103)="","",INDEX('Per Invoice'!B$2:B$401,$AH103)))</f>
        <v/>
      </c>
      <c r="C103">
        <f>IF($AH103="","",IF(INDEX('Per Invoice'!C$2:C$401,$AH103)="","",INDEX('Per Invoice'!C$2:C$401,$AH103)))</f>
        <v/>
      </c>
      <c r="D103">
        <f>IF($AH103="","",IF(INDEX('Per Invoice'!D$2:D$401,$AH103)="","",INDEX('Per Invoice'!D$2:D$401,$AH103)))</f>
        <v/>
      </c>
      <c r="E103">
        <f>IF($AH103="","",IF(INDEX('Per Invoice'!E$2:E$401,$AH103)="","",INDEX('Per Invoice'!E$2:E$401,$AH103)))</f>
        <v/>
      </c>
      <c r="F103">
        <f>IF($AH103="","",IF(INDEX('Per Invoice'!F$2:F$401,$AH103)="","",INDEX('Per Invoice'!F$2:F$401,$AH103)))</f>
        <v/>
      </c>
      <c r="G103">
        <f>IF($AH103="","",IF(INDEX('Per Invoice'!G$2:G$401,$AH103)="","",INDEX('Per Invoice'!G$2:G$401,$AH103)))</f>
        <v/>
      </c>
      <c r="H103">
        <f>IF($AH103="","",IF(INDEX('Per Invoice'!H$2:H$401,$AH103)="","",INDEX('Per Invoice'!H$2:H$401,$AH103)))</f>
        <v/>
      </c>
      <c r="I103" s="14">
        <f>IF($AH103="","",IF(INDEX('Per Invoice'!I$2:I$401,$AH103)="","",INDEX('Per Invoice'!I$2:I$401,$AH103)))</f>
        <v/>
      </c>
      <c r="J103">
        <f>IF($AH103="","",IF(INDEX('Per Invoice'!J$2:J$401,$AH103)="","",INDEX('Per Invoice'!J$2:J$401,$AH103)))</f>
        <v/>
      </c>
      <c r="K103">
        <f>IF($AH103="","",IF(INDEX('Per Invoice'!K$2:K$401,$AH103)="","",INDEX('Per Invoice'!K$2:K$401,$AH103)))</f>
        <v/>
      </c>
      <c r="L103">
        <f>IF($AH103="","",IF(INDEX('Per Invoice'!L$2:L$401,$AH103)="","",INDEX('Per Invoice'!L$2:L$401,$AH103)))</f>
        <v/>
      </c>
      <c r="M103">
        <f>IF($AH103="","",IF(INDEX('Per Invoice'!M$2:M$401,$AH103)="","",INDEX('Per Invoice'!M$2:M$401,$AH103)))</f>
        <v/>
      </c>
      <c r="N103">
        <f>IF($AH103="","",IF(INDEX('Per Invoice'!N$2:N$401,$AH103)="","",INDEX('Per Invoice'!N$2:N$401,$AH103)))</f>
        <v/>
      </c>
      <c r="O103">
        <f>IF($AH103="","",IF(INDEX('Per Invoice'!O$2:O$401,$AH103)="","",INDEX('Per Invoice'!O$2:O$401,$AH103)))</f>
        <v/>
      </c>
      <c r="P103" s="7">
        <f>IF($AH103="","",IF(INDEX('Per Invoice'!P$2:P$401,$AH103)="","",INDEX('Per Invoice'!P$2:P$401,$AH103)))</f>
        <v/>
      </c>
      <c r="Q103">
        <f>IF($AH103="","",IF(INDEX('Per Invoice'!Q$2:Q$401,$AH103)="","",INDEX('Per Invoice'!Q$2:Q$401,$AH103)))</f>
        <v/>
      </c>
      <c r="R103">
        <f>IF($AH103="","",IF(INDEX('Per Invoice'!R$2:R$401,$AH103)="","",INDEX('Per Invoice'!R$2:R$401,$AH103)))</f>
        <v/>
      </c>
      <c r="S103">
        <f>IF($AH103="","",IF(INDEX('Per Invoice'!S$2:S$401,$AH103)="","",INDEX('Per Invoice'!S$2:S$401,$AH103)))</f>
        <v/>
      </c>
      <c r="T103" s="7">
        <f>IF($AH103="","",IF(INDEX('Per Invoice'!T$2:T$401,$AH103)="","",INDEX('Per Invoice'!T$2:T$401,$AH103)))</f>
        <v/>
      </c>
      <c r="U103" s="7">
        <f>IF($AH103="","",IF(INDEX('Per Invoice'!U$2:U$401,$AH103)="","",INDEX('Per Invoice'!U$2:U$401,$AH103)))</f>
        <v/>
      </c>
      <c r="V103">
        <f>IF($AH103="","",IF(INDEX('Per Invoice'!V$2:V$401,$AH103)="","",INDEX('Per Invoice'!V$2:V$401,$AH103)))</f>
        <v/>
      </c>
      <c r="W103" s="7">
        <f>IF($AH103="","",IF(INDEX('Per Invoice'!W$2:W$401,$AH103)="","",INDEX('Per Invoice'!W$2:W$401,$AH103)))</f>
        <v/>
      </c>
      <c r="X103" s="7">
        <f>IF($AH103="","",IF(INDEX('Per Invoice'!X$2:X$401,$AH103)="","",INDEX('Per Invoice'!X$2:X$401,$AH103)))</f>
        <v/>
      </c>
      <c r="Y103">
        <f>IF($AH103="","",IF(INDEX('Per Invoice'!Y$2:Y$401,$AH103)="","",INDEX('Per Invoice'!Y$2:Y$401,$AH103)))</f>
        <v/>
      </c>
      <c r="Z103" s="7">
        <f>IF($AH103="","",IF(INDEX('Per Invoice'!Z$2:Z$401,$AH103)="","",INDEX('Per Invoice'!Z$2:Z$401,$AH103)))</f>
        <v/>
      </c>
      <c r="AA103" s="7">
        <f>IF($AH103="","",IF(INDEX('Per Invoice'!AA$2:AA$401,$AH103)="","",INDEX('Per Invoice'!AA$2:AA$401,$AH103)))</f>
        <v/>
      </c>
      <c r="AB103" s="7">
        <f>IF($AH103="","",IF(INDEX('Per Invoice'!AB$2:AB$401,$AH103)="","",INDEX('Per Invoice'!AB$2:AB$401,$AH103)))</f>
        <v/>
      </c>
      <c r="AC103" s="7">
        <f>IF($AH103="","",IF(INDEX('Per Invoice'!AC$2:AC$401,$AH103)="","",INDEX('Per Invoice'!AC$2:AC$401,$AH103)))</f>
        <v/>
      </c>
      <c r="AD103" s="7">
        <f>IF($AH103="","",IF(INDEX('Per Invoice'!AD$2:AD$401,$AH103)="","",INDEX('Per Invoice'!AD$2:AD$401,$AH103)))</f>
        <v/>
      </c>
      <c r="AE103" s="7">
        <f>IF($AH103="","",IF(INDEX('Per Invoice'!AE$2:AE$401,$AH103)="","",INDEX('Per Invoice'!AE$2:AE$401,$AH103)))</f>
        <v/>
      </c>
      <c r="AF103">
        <f>IF($AH103="","",IF(INDEX('Per Invoice'!AF$2:AF$401,$AH103)="","",INDEX('Per Invoice'!AF$2:AF$401,$AH103)))</f>
        <v/>
      </c>
      <c r="AG103" s="7">
        <f>IF($AH103="","",IF(INDEX('Per Invoice'!AG$2:AG$401,$AH103)="","",INDEX('Per Invoice'!AG$2:AG$401,$AH103)))</f>
        <v/>
      </c>
      <c r="AH103" s="16">
        <f>IFERROR(MATCH(Settings!$C$27&amp;"|"&amp;ROWS($AH$2:$AH103),'Per Invoice'!$AI$2:$AI$401,0),"")</f>
        <v/>
      </c>
    </row>
    <row r="104">
      <c r="A104">
        <f>IF($AH104="","",IF(INDEX('Per Invoice'!A$2:A$401,$AH104)="","",INDEX('Per Invoice'!A$2:A$401,$AH104)))</f>
        <v/>
      </c>
      <c r="B104">
        <f>IF($AH104="","",IF(INDEX('Per Invoice'!B$2:B$401,$AH104)="","",INDEX('Per Invoice'!B$2:B$401,$AH104)))</f>
        <v/>
      </c>
      <c r="C104">
        <f>IF($AH104="","",IF(INDEX('Per Invoice'!C$2:C$401,$AH104)="","",INDEX('Per Invoice'!C$2:C$401,$AH104)))</f>
        <v/>
      </c>
      <c r="D104">
        <f>IF($AH104="","",IF(INDEX('Per Invoice'!D$2:D$401,$AH104)="","",INDEX('Per Invoice'!D$2:D$401,$AH104)))</f>
        <v/>
      </c>
      <c r="E104">
        <f>IF($AH104="","",IF(INDEX('Per Invoice'!E$2:E$401,$AH104)="","",INDEX('Per Invoice'!E$2:E$401,$AH104)))</f>
        <v/>
      </c>
      <c r="F104">
        <f>IF($AH104="","",IF(INDEX('Per Invoice'!F$2:F$401,$AH104)="","",INDEX('Per Invoice'!F$2:F$401,$AH104)))</f>
        <v/>
      </c>
      <c r="G104">
        <f>IF($AH104="","",IF(INDEX('Per Invoice'!G$2:G$401,$AH104)="","",INDEX('Per Invoice'!G$2:G$401,$AH104)))</f>
        <v/>
      </c>
      <c r="H104">
        <f>IF($AH104="","",IF(INDEX('Per Invoice'!H$2:H$401,$AH104)="","",INDEX('Per Invoice'!H$2:H$401,$AH104)))</f>
        <v/>
      </c>
      <c r="I104" s="14">
        <f>IF($AH104="","",IF(INDEX('Per Invoice'!I$2:I$401,$AH104)="","",INDEX('Per Invoice'!I$2:I$401,$AH104)))</f>
        <v/>
      </c>
      <c r="J104">
        <f>IF($AH104="","",IF(INDEX('Per Invoice'!J$2:J$401,$AH104)="","",INDEX('Per Invoice'!J$2:J$401,$AH104)))</f>
        <v/>
      </c>
      <c r="K104">
        <f>IF($AH104="","",IF(INDEX('Per Invoice'!K$2:K$401,$AH104)="","",INDEX('Per Invoice'!K$2:K$401,$AH104)))</f>
        <v/>
      </c>
      <c r="L104">
        <f>IF($AH104="","",IF(INDEX('Per Invoice'!L$2:L$401,$AH104)="","",INDEX('Per Invoice'!L$2:L$401,$AH104)))</f>
        <v/>
      </c>
      <c r="M104">
        <f>IF($AH104="","",IF(INDEX('Per Invoice'!M$2:M$401,$AH104)="","",INDEX('Per Invoice'!M$2:M$401,$AH104)))</f>
        <v/>
      </c>
      <c r="N104">
        <f>IF($AH104="","",IF(INDEX('Per Invoice'!N$2:N$401,$AH104)="","",INDEX('Per Invoice'!N$2:N$401,$AH104)))</f>
        <v/>
      </c>
      <c r="O104">
        <f>IF($AH104="","",IF(INDEX('Per Invoice'!O$2:O$401,$AH104)="","",INDEX('Per Invoice'!O$2:O$401,$AH104)))</f>
        <v/>
      </c>
      <c r="P104" s="7">
        <f>IF($AH104="","",IF(INDEX('Per Invoice'!P$2:P$401,$AH104)="","",INDEX('Per Invoice'!P$2:P$401,$AH104)))</f>
        <v/>
      </c>
      <c r="Q104">
        <f>IF($AH104="","",IF(INDEX('Per Invoice'!Q$2:Q$401,$AH104)="","",INDEX('Per Invoice'!Q$2:Q$401,$AH104)))</f>
        <v/>
      </c>
      <c r="R104">
        <f>IF($AH104="","",IF(INDEX('Per Invoice'!R$2:R$401,$AH104)="","",INDEX('Per Invoice'!R$2:R$401,$AH104)))</f>
        <v/>
      </c>
      <c r="S104">
        <f>IF($AH104="","",IF(INDEX('Per Invoice'!S$2:S$401,$AH104)="","",INDEX('Per Invoice'!S$2:S$401,$AH104)))</f>
        <v/>
      </c>
      <c r="T104" s="7">
        <f>IF($AH104="","",IF(INDEX('Per Invoice'!T$2:T$401,$AH104)="","",INDEX('Per Invoice'!T$2:T$401,$AH104)))</f>
        <v/>
      </c>
      <c r="U104" s="7">
        <f>IF($AH104="","",IF(INDEX('Per Invoice'!U$2:U$401,$AH104)="","",INDEX('Per Invoice'!U$2:U$401,$AH104)))</f>
        <v/>
      </c>
      <c r="V104">
        <f>IF($AH104="","",IF(INDEX('Per Invoice'!V$2:V$401,$AH104)="","",INDEX('Per Invoice'!V$2:V$401,$AH104)))</f>
        <v/>
      </c>
      <c r="W104" s="7">
        <f>IF($AH104="","",IF(INDEX('Per Invoice'!W$2:W$401,$AH104)="","",INDEX('Per Invoice'!W$2:W$401,$AH104)))</f>
        <v/>
      </c>
      <c r="X104" s="7">
        <f>IF($AH104="","",IF(INDEX('Per Invoice'!X$2:X$401,$AH104)="","",INDEX('Per Invoice'!X$2:X$401,$AH104)))</f>
        <v/>
      </c>
      <c r="Y104">
        <f>IF($AH104="","",IF(INDEX('Per Invoice'!Y$2:Y$401,$AH104)="","",INDEX('Per Invoice'!Y$2:Y$401,$AH104)))</f>
        <v/>
      </c>
      <c r="Z104" s="7">
        <f>IF($AH104="","",IF(INDEX('Per Invoice'!Z$2:Z$401,$AH104)="","",INDEX('Per Invoice'!Z$2:Z$401,$AH104)))</f>
        <v/>
      </c>
      <c r="AA104" s="7">
        <f>IF($AH104="","",IF(INDEX('Per Invoice'!AA$2:AA$401,$AH104)="","",INDEX('Per Invoice'!AA$2:AA$401,$AH104)))</f>
        <v/>
      </c>
      <c r="AB104" s="7">
        <f>IF($AH104="","",IF(INDEX('Per Invoice'!AB$2:AB$401,$AH104)="","",INDEX('Per Invoice'!AB$2:AB$401,$AH104)))</f>
        <v/>
      </c>
      <c r="AC104" s="7">
        <f>IF($AH104="","",IF(INDEX('Per Invoice'!AC$2:AC$401,$AH104)="","",INDEX('Per Invoice'!AC$2:AC$401,$AH104)))</f>
        <v/>
      </c>
      <c r="AD104" s="7">
        <f>IF($AH104="","",IF(INDEX('Per Invoice'!AD$2:AD$401,$AH104)="","",INDEX('Per Invoice'!AD$2:AD$401,$AH104)))</f>
        <v/>
      </c>
      <c r="AE104" s="7">
        <f>IF($AH104="","",IF(INDEX('Per Invoice'!AE$2:AE$401,$AH104)="","",INDEX('Per Invoice'!AE$2:AE$401,$AH104)))</f>
        <v/>
      </c>
      <c r="AF104">
        <f>IF($AH104="","",IF(INDEX('Per Invoice'!AF$2:AF$401,$AH104)="","",INDEX('Per Invoice'!AF$2:AF$401,$AH104)))</f>
        <v/>
      </c>
      <c r="AG104" s="7">
        <f>IF($AH104="","",IF(INDEX('Per Invoice'!AG$2:AG$401,$AH104)="","",INDEX('Per Invoice'!AG$2:AG$401,$AH104)))</f>
        <v/>
      </c>
      <c r="AH104" s="16">
        <f>IFERROR(MATCH(Settings!$C$27&amp;"|"&amp;ROWS($AH$2:$AH104),'Per Invoice'!$AI$2:$AI$401,0),"")</f>
        <v/>
      </c>
    </row>
    <row r="105">
      <c r="A105">
        <f>IF($AH105="","",IF(INDEX('Per Invoice'!A$2:A$401,$AH105)="","",INDEX('Per Invoice'!A$2:A$401,$AH105)))</f>
        <v/>
      </c>
      <c r="B105">
        <f>IF($AH105="","",IF(INDEX('Per Invoice'!B$2:B$401,$AH105)="","",INDEX('Per Invoice'!B$2:B$401,$AH105)))</f>
        <v/>
      </c>
      <c r="C105">
        <f>IF($AH105="","",IF(INDEX('Per Invoice'!C$2:C$401,$AH105)="","",INDEX('Per Invoice'!C$2:C$401,$AH105)))</f>
        <v/>
      </c>
      <c r="D105">
        <f>IF($AH105="","",IF(INDEX('Per Invoice'!D$2:D$401,$AH105)="","",INDEX('Per Invoice'!D$2:D$401,$AH105)))</f>
        <v/>
      </c>
      <c r="E105">
        <f>IF($AH105="","",IF(INDEX('Per Invoice'!E$2:E$401,$AH105)="","",INDEX('Per Invoice'!E$2:E$401,$AH105)))</f>
        <v/>
      </c>
      <c r="F105">
        <f>IF($AH105="","",IF(INDEX('Per Invoice'!F$2:F$401,$AH105)="","",INDEX('Per Invoice'!F$2:F$401,$AH105)))</f>
        <v/>
      </c>
      <c r="G105">
        <f>IF($AH105="","",IF(INDEX('Per Invoice'!G$2:G$401,$AH105)="","",INDEX('Per Invoice'!G$2:G$401,$AH105)))</f>
        <v/>
      </c>
      <c r="H105">
        <f>IF($AH105="","",IF(INDEX('Per Invoice'!H$2:H$401,$AH105)="","",INDEX('Per Invoice'!H$2:H$401,$AH105)))</f>
        <v/>
      </c>
      <c r="I105" s="14">
        <f>IF($AH105="","",IF(INDEX('Per Invoice'!I$2:I$401,$AH105)="","",INDEX('Per Invoice'!I$2:I$401,$AH105)))</f>
        <v/>
      </c>
      <c r="J105">
        <f>IF($AH105="","",IF(INDEX('Per Invoice'!J$2:J$401,$AH105)="","",INDEX('Per Invoice'!J$2:J$401,$AH105)))</f>
        <v/>
      </c>
      <c r="K105">
        <f>IF($AH105="","",IF(INDEX('Per Invoice'!K$2:K$401,$AH105)="","",INDEX('Per Invoice'!K$2:K$401,$AH105)))</f>
        <v/>
      </c>
      <c r="L105">
        <f>IF($AH105="","",IF(INDEX('Per Invoice'!L$2:L$401,$AH105)="","",INDEX('Per Invoice'!L$2:L$401,$AH105)))</f>
        <v/>
      </c>
      <c r="M105">
        <f>IF($AH105="","",IF(INDEX('Per Invoice'!M$2:M$401,$AH105)="","",INDEX('Per Invoice'!M$2:M$401,$AH105)))</f>
        <v/>
      </c>
      <c r="N105">
        <f>IF($AH105="","",IF(INDEX('Per Invoice'!N$2:N$401,$AH105)="","",INDEX('Per Invoice'!N$2:N$401,$AH105)))</f>
        <v/>
      </c>
      <c r="O105">
        <f>IF($AH105="","",IF(INDEX('Per Invoice'!O$2:O$401,$AH105)="","",INDEX('Per Invoice'!O$2:O$401,$AH105)))</f>
        <v/>
      </c>
      <c r="P105" s="7">
        <f>IF($AH105="","",IF(INDEX('Per Invoice'!P$2:P$401,$AH105)="","",INDEX('Per Invoice'!P$2:P$401,$AH105)))</f>
        <v/>
      </c>
      <c r="Q105">
        <f>IF($AH105="","",IF(INDEX('Per Invoice'!Q$2:Q$401,$AH105)="","",INDEX('Per Invoice'!Q$2:Q$401,$AH105)))</f>
        <v/>
      </c>
      <c r="R105">
        <f>IF($AH105="","",IF(INDEX('Per Invoice'!R$2:R$401,$AH105)="","",INDEX('Per Invoice'!R$2:R$401,$AH105)))</f>
        <v/>
      </c>
      <c r="S105">
        <f>IF($AH105="","",IF(INDEX('Per Invoice'!S$2:S$401,$AH105)="","",INDEX('Per Invoice'!S$2:S$401,$AH105)))</f>
        <v/>
      </c>
      <c r="T105" s="7">
        <f>IF($AH105="","",IF(INDEX('Per Invoice'!T$2:T$401,$AH105)="","",INDEX('Per Invoice'!T$2:T$401,$AH105)))</f>
        <v/>
      </c>
      <c r="U105" s="7">
        <f>IF($AH105="","",IF(INDEX('Per Invoice'!U$2:U$401,$AH105)="","",INDEX('Per Invoice'!U$2:U$401,$AH105)))</f>
        <v/>
      </c>
      <c r="V105">
        <f>IF($AH105="","",IF(INDEX('Per Invoice'!V$2:V$401,$AH105)="","",INDEX('Per Invoice'!V$2:V$401,$AH105)))</f>
        <v/>
      </c>
      <c r="W105" s="7">
        <f>IF($AH105="","",IF(INDEX('Per Invoice'!W$2:W$401,$AH105)="","",INDEX('Per Invoice'!W$2:W$401,$AH105)))</f>
        <v/>
      </c>
      <c r="X105" s="7">
        <f>IF($AH105="","",IF(INDEX('Per Invoice'!X$2:X$401,$AH105)="","",INDEX('Per Invoice'!X$2:X$401,$AH105)))</f>
        <v/>
      </c>
      <c r="Y105">
        <f>IF($AH105="","",IF(INDEX('Per Invoice'!Y$2:Y$401,$AH105)="","",INDEX('Per Invoice'!Y$2:Y$401,$AH105)))</f>
        <v/>
      </c>
      <c r="Z105" s="7">
        <f>IF($AH105="","",IF(INDEX('Per Invoice'!Z$2:Z$401,$AH105)="","",INDEX('Per Invoice'!Z$2:Z$401,$AH105)))</f>
        <v/>
      </c>
      <c r="AA105" s="7">
        <f>IF($AH105="","",IF(INDEX('Per Invoice'!AA$2:AA$401,$AH105)="","",INDEX('Per Invoice'!AA$2:AA$401,$AH105)))</f>
        <v/>
      </c>
      <c r="AB105" s="7">
        <f>IF($AH105="","",IF(INDEX('Per Invoice'!AB$2:AB$401,$AH105)="","",INDEX('Per Invoice'!AB$2:AB$401,$AH105)))</f>
        <v/>
      </c>
      <c r="AC105" s="7">
        <f>IF($AH105="","",IF(INDEX('Per Invoice'!AC$2:AC$401,$AH105)="","",INDEX('Per Invoice'!AC$2:AC$401,$AH105)))</f>
        <v/>
      </c>
      <c r="AD105" s="7">
        <f>IF($AH105="","",IF(INDEX('Per Invoice'!AD$2:AD$401,$AH105)="","",INDEX('Per Invoice'!AD$2:AD$401,$AH105)))</f>
        <v/>
      </c>
      <c r="AE105" s="7">
        <f>IF($AH105="","",IF(INDEX('Per Invoice'!AE$2:AE$401,$AH105)="","",INDEX('Per Invoice'!AE$2:AE$401,$AH105)))</f>
        <v/>
      </c>
      <c r="AF105">
        <f>IF($AH105="","",IF(INDEX('Per Invoice'!AF$2:AF$401,$AH105)="","",INDEX('Per Invoice'!AF$2:AF$401,$AH105)))</f>
        <v/>
      </c>
      <c r="AG105" s="7">
        <f>IF($AH105="","",IF(INDEX('Per Invoice'!AG$2:AG$401,$AH105)="","",INDEX('Per Invoice'!AG$2:AG$401,$AH105)))</f>
        <v/>
      </c>
      <c r="AH105" s="16">
        <f>IFERROR(MATCH(Settings!$C$27&amp;"|"&amp;ROWS($AH$2:$AH105),'Per Invoice'!$AI$2:$AI$401,0),"")</f>
        <v/>
      </c>
    </row>
    <row r="106">
      <c r="A106">
        <f>IF($AH106="","",IF(INDEX('Per Invoice'!A$2:A$401,$AH106)="","",INDEX('Per Invoice'!A$2:A$401,$AH106)))</f>
        <v/>
      </c>
      <c r="B106">
        <f>IF($AH106="","",IF(INDEX('Per Invoice'!B$2:B$401,$AH106)="","",INDEX('Per Invoice'!B$2:B$401,$AH106)))</f>
        <v/>
      </c>
      <c r="C106">
        <f>IF($AH106="","",IF(INDEX('Per Invoice'!C$2:C$401,$AH106)="","",INDEX('Per Invoice'!C$2:C$401,$AH106)))</f>
        <v/>
      </c>
      <c r="D106">
        <f>IF($AH106="","",IF(INDEX('Per Invoice'!D$2:D$401,$AH106)="","",INDEX('Per Invoice'!D$2:D$401,$AH106)))</f>
        <v/>
      </c>
      <c r="E106">
        <f>IF($AH106="","",IF(INDEX('Per Invoice'!E$2:E$401,$AH106)="","",INDEX('Per Invoice'!E$2:E$401,$AH106)))</f>
        <v/>
      </c>
      <c r="F106">
        <f>IF($AH106="","",IF(INDEX('Per Invoice'!F$2:F$401,$AH106)="","",INDEX('Per Invoice'!F$2:F$401,$AH106)))</f>
        <v/>
      </c>
      <c r="G106">
        <f>IF($AH106="","",IF(INDEX('Per Invoice'!G$2:G$401,$AH106)="","",INDEX('Per Invoice'!G$2:G$401,$AH106)))</f>
        <v/>
      </c>
      <c r="H106">
        <f>IF($AH106="","",IF(INDEX('Per Invoice'!H$2:H$401,$AH106)="","",INDEX('Per Invoice'!H$2:H$401,$AH106)))</f>
        <v/>
      </c>
      <c r="I106" s="14">
        <f>IF($AH106="","",IF(INDEX('Per Invoice'!I$2:I$401,$AH106)="","",INDEX('Per Invoice'!I$2:I$401,$AH106)))</f>
        <v/>
      </c>
      <c r="J106">
        <f>IF($AH106="","",IF(INDEX('Per Invoice'!J$2:J$401,$AH106)="","",INDEX('Per Invoice'!J$2:J$401,$AH106)))</f>
        <v/>
      </c>
      <c r="K106">
        <f>IF($AH106="","",IF(INDEX('Per Invoice'!K$2:K$401,$AH106)="","",INDEX('Per Invoice'!K$2:K$401,$AH106)))</f>
        <v/>
      </c>
      <c r="L106">
        <f>IF($AH106="","",IF(INDEX('Per Invoice'!L$2:L$401,$AH106)="","",INDEX('Per Invoice'!L$2:L$401,$AH106)))</f>
        <v/>
      </c>
      <c r="M106">
        <f>IF($AH106="","",IF(INDEX('Per Invoice'!M$2:M$401,$AH106)="","",INDEX('Per Invoice'!M$2:M$401,$AH106)))</f>
        <v/>
      </c>
      <c r="N106">
        <f>IF($AH106="","",IF(INDEX('Per Invoice'!N$2:N$401,$AH106)="","",INDEX('Per Invoice'!N$2:N$401,$AH106)))</f>
        <v/>
      </c>
      <c r="O106">
        <f>IF($AH106="","",IF(INDEX('Per Invoice'!O$2:O$401,$AH106)="","",INDEX('Per Invoice'!O$2:O$401,$AH106)))</f>
        <v/>
      </c>
      <c r="P106" s="7">
        <f>IF($AH106="","",IF(INDEX('Per Invoice'!P$2:P$401,$AH106)="","",INDEX('Per Invoice'!P$2:P$401,$AH106)))</f>
        <v/>
      </c>
      <c r="Q106">
        <f>IF($AH106="","",IF(INDEX('Per Invoice'!Q$2:Q$401,$AH106)="","",INDEX('Per Invoice'!Q$2:Q$401,$AH106)))</f>
        <v/>
      </c>
      <c r="R106">
        <f>IF($AH106="","",IF(INDEX('Per Invoice'!R$2:R$401,$AH106)="","",INDEX('Per Invoice'!R$2:R$401,$AH106)))</f>
        <v/>
      </c>
      <c r="S106">
        <f>IF($AH106="","",IF(INDEX('Per Invoice'!S$2:S$401,$AH106)="","",INDEX('Per Invoice'!S$2:S$401,$AH106)))</f>
        <v/>
      </c>
      <c r="T106" s="7">
        <f>IF($AH106="","",IF(INDEX('Per Invoice'!T$2:T$401,$AH106)="","",INDEX('Per Invoice'!T$2:T$401,$AH106)))</f>
        <v/>
      </c>
      <c r="U106" s="7">
        <f>IF($AH106="","",IF(INDEX('Per Invoice'!U$2:U$401,$AH106)="","",INDEX('Per Invoice'!U$2:U$401,$AH106)))</f>
        <v/>
      </c>
      <c r="V106">
        <f>IF($AH106="","",IF(INDEX('Per Invoice'!V$2:V$401,$AH106)="","",INDEX('Per Invoice'!V$2:V$401,$AH106)))</f>
        <v/>
      </c>
      <c r="W106" s="7">
        <f>IF($AH106="","",IF(INDEX('Per Invoice'!W$2:W$401,$AH106)="","",INDEX('Per Invoice'!W$2:W$401,$AH106)))</f>
        <v/>
      </c>
      <c r="X106" s="7">
        <f>IF($AH106="","",IF(INDEX('Per Invoice'!X$2:X$401,$AH106)="","",INDEX('Per Invoice'!X$2:X$401,$AH106)))</f>
        <v/>
      </c>
      <c r="Y106">
        <f>IF($AH106="","",IF(INDEX('Per Invoice'!Y$2:Y$401,$AH106)="","",INDEX('Per Invoice'!Y$2:Y$401,$AH106)))</f>
        <v/>
      </c>
      <c r="Z106" s="7">
        <f>IF($AH106="","",IF(INDEX('Per Invoice'!Z$2:Z$401,$AH106)="","",INDEX('Per Invoice'!Z$2:Z$401,$AH106)))</f>
        <v/>
      </c>
      <c r="AA106" s="7">
        <f>IF($AH106="","",IF(INDEX('Per Invoice'!AA$2:AA$401,$AH106)="","",INDEX('Per Invoice'!AA$2:AA$401,$AH106)))</f>
        <v/>
      </c>
      <c r="AB106" s="7">
        <f>IF($AH106="","",IF(INDEX('Per Invoice'!AB$2:AB$401,$AH106)="","",INDEX('Per Invoice'!AB$2:AB$401,$AH106)))</f>
        <v/>
      </c>
      <c r="AC106" s="7">
        <f>IF($AH106="","",IF(INDEX('Per Invoice'!AC$2:AC$401,$AH106)="","",INDEX('Per Invoice'!AC$2:AC$401,$AH106)))</f>
        <v/>
      </c>
      <c r="AD106" s="7">
        <f>IF($AH106="","",IF(INDEX('Per Invoice'!AD$2:AD$401,$AH106)="","",INDEX('Per Invoice'!AD$2:AD$401,$AH106)))</f>
        <v/>
      </c>
      <c r="AE106" s="7">
        <f>IF($AH106="","",IF(INDEX('Per Invoice'!AE$2:AE$401,$AH106)="","",INDEX('Per Invoice'!AE$2:AE$401,$AH106)))</f>
        <v/>
      </c>
      <c r="AF106">
        <f>IF($AH106="","",IF(INDEX('Per Invoice'!AF$2:AF$401,$AH106)="","",INDEX('Per Invoice'!AF$2:AF$401,$AH106)))</f>
        <v/>
      </c>
      <c r="AG106" s="7">
        <f>IF($AH106="","",IF(INDEX('Per Invoice'!AG$2:AG$401,$AH106)="","",INDEX('Per Invoice'!AG$2:AG$401,$AH106)))</f>
        <v/>
      </c>
      <c r="AH106" s="16">
        <f>IFERROR(MATCH(Settings!$C$27&amp;"|"&amp;ROWS($AH$2:$AH106),'Per Invoice'!$AI$2:$AI$401,0),"")</f>
        <v/>
      </c>
    </row>
    <row r="107">
      <c r="A107">
        <f>IF($AH107="","",IF(INDEX('Per Invoice'!A$2:A$401,$AH107)="","",INDEX('Per Invoice'!A$2:A$401,$AH107)))</f>
        <v/>
      </c>
      <c r="B107">
        <f>IF($AH107="","",IF(INDEX('Per Invoice'!B$2:B$401,$AH107)="","",INDEX('Per Invoice'!B$2:B$401,$AH107)))</f>
        <v/>
      </c>
      <c r="C107">
        <f>IF($AH107="","",IF(INDEX('Per Invoice'!C$2:C$401,$AH107)="","",INDEX('Per Invoice'!C$2:C$401,$AH107)))</f>
        <v/>
      </c>
      <c r="D107">
        <f>IF($AH107="","",IF(INDEX('Per Invoice'!D$2:D$401,$AH107)="","",INDEX('Per Invoice'!D$2:D$401,$AH107)))</f>
        <v/>
      </c>
      <c r="E107">
        <f>IF($AH107="","",IF(INDEX('Per Invoice'!E$2:E$401,$AH107)="","",INDEX('Per Invoice'!E$2:E$401,$AH107)))</f>
        <v/>
      </c>
      <c r="F107">
        <f>IF($AH107="","",IF(INDEX('Per Invoice'!F$2:F$401,$AH107)="","",INDEX('Per Invoice'!F$2:F$401,$AH107)))</f>
        <v/>
      </c>
      <c r="G107">
        <f>IF($AH107="","",IF(INDEX('Per Invoice'!G$2:G$401,$AH107)="","",INDEX('Per Invoice'!G$2:G$401,$AH107)))</f>
        <v/>
      </c>
      <c r="H107">
        <f>IF($AH107="","",IF(INDEX('Per Invoice'!H$2:H$401,$AH107)="","",INDEX('Per Invoice'!H$2:H$401,$AH107)))</f>
        <v/>
      </c>
      <c r="I107" s="14">
        <f>IF($AH107="","",IF(INDEX('Per Invoice'!I$2:I$401,$AH107)="","",INDEX('Per Invoice'!I$2:I$401,$AH107)))</f>
        <v/>
      </c>
      <c r="J107">
        <f>IF($AH107="","",IF(INDEX('Per Invoice'!J$2:J$401,$AH107)="","",INDEX('Per Invoice'!J$2:J$401,$AH107)))</f>
        <v/>
      </c>
      <c r="K107">
        <f>IF($AH107="","",IF(INDEX('Per Invoice'!K$2:K$401,$AH107)="","",INDEX('Per Invoice'!K$2:K$401,$AH107)))</f>
        <v/>
      </c>
      <c r="L107">
        <f>IF($AH107="","",IF(INDEX('Per Invoice'!L$2:L$401,$AH107)="","",INDEX('Per Invoice'!L$2:L$401,$AH107)))</f>
        <v/>
      </c>
      <c r="M107">
        <f>IF($AH107="","",IF(INDEX('Per Invoice'!M$2:M$401,$AH107)="","",INDEX('Per Invoice'!M$2:M$401,$AH107)))</f>
        <v/>
      </c>
      <c r="N107">
        <f>IF($AH107="","",IF(INDEX('Per Invoice'!N$2:N$401,$AH107)="","",INDEX('Per Invoice'!N$2:N$401,$AH107)))</f>
        <v/>
      </c>
      <c r="O107">
        <f>IF($AH107="","",IF(INDEX('Per Invoice'!O$2:O$401,$AH107)="","",INDEX('Per Invoice'!O$2:O$401,$AH107)))</f>
        <v/>
      </c>
      <c r="P107" s="7">
        <f>IF($AH107="","",IF(INDEX('Per Invoice'!P$2:P$401,$AH107)="","",INDEX('Per Invoice'!P$2:P$401,$AH107)))</f>
        <v/>
      </c>
      <c r="Q107">
        <f>IF($AH107="","",IF(INDEX('Per Invoice'!Q$2:Q$401,$AH107)="","",INDEX('Per Invoice'!Q$2:Q$401,$AH107)))</f>
        <v/>
      </c>
      <c r="R107">
        <f>IF($AH107="","",IF(INDEX('Per Invoice'!R$2:R$401,$AH107)="","",INDEX('Per Invoice'!R$2:R$401,$AH107)))</f>
        <v/>
      </c>
      <c r="S107">
        <f>IF($AH107="","",IF(INDEX('Per Invoice'!S$2:S$401,$AH107)="","",INDEX('Per Invoice'!S$2:S$401,$AH107)))</f>
        <v/>
      </c>
      <c r="T107" s="7">
        <f>IF($AH107="","",IF(INDEX('Per Invoice'!T$2:T$401,$AH107)="","",INDEX('Per Invoice'!T$2:T$401,$AH107)))</f>
        <v/>
      </c>
      <c r="U107" s="7">
        <f>IF($AH107="","",IF(INDEX('Per Invoice'!U$2:U$401,$AH107)="","",INDEX('Per Invoice'!U$2:U$401,$AH107)))</f>
        <v/>
      </c>
      <c r="V107">
        <f>IF($AH107="","",IF(INDEX('Per Invoice'!V$2:V$401,$AH107)="","",INDEX('Per Invoice'!V$2:V$401,$AH107)))</f>
        <v/>
      </c>
      <c r="W107" s="7">
        <f>IF($AH107="","",IF(INDEX('Per Invoice'!W$2:W$401,$AH107)="","",INDEX('Per Invoice'!W$2:W$401,$AH107)))</f>
        <v/>
      </c>
      <c r="X107" s="7">
        <f>IF($AH107="","",IF(INDEX('Per Invoice'!X$2:X$401,$AH107)="","",INDEX('Per Invoice'!X$2:X$401,$AH107)))</f>
        <v/>
      </c>
      <c r="Y107">
        <f>IF($AH107="","",IF(INDEX('Per Invoice'!Y$2:Y$401,$AH107)="","",INDEX('Per Invoice'!Y$2:Y$401,$AH107)))</f>
        <v/>
      </c>
      <c r="Z107" s="7">
        <f>IF($AH107="","",IF(INDEX('Per Invoice'!Z$2:Z$401,$AH107)="","",INDEX('Per Invoice'!Z$2:Z$401,$AH107)))</f>
        <v/>
      </c>
      <c r="AA107" s="7">
        <f>IF($AH107="","",IF(INDEX('Per Invoice'!AA$2:AA$401,$AH107)="","",INDEX('Per Invoice'!AA$2:AA$401,$AH107)))</f>
        <v/>
      </c>
      <c r="AB107" s="7">
        <f>IF($AH107="","",IF(INDEX('Per Invoice'!AB$2:AB$401,$AH107)="","",INDEX('Per Invoice'!AB$2:AB$401,$AH107)))</f>
        <v/>
      </c>
      <c r="AC107" s="7">
        <f>IF($AH107="","",IF(INDEX('Per Invoice'!AC$2:AC$401,$AH107)="","",INDEX('Per Invoice'!AC$2:AC$401,$AH107)))</f>
        <v/>
      </c>
      <c r="AD107" s="7">
        <f>IF($AH107="","",IF(INDEX('Per Invoice'!AD$2:AD$401,$AH107)="","",INDEX('Per Invoice'!AD$2:AD$401,$AH107)))</f>
        <v/>
      </c>
      <c r="AE107" s="7">
        <f>IF($AH107="","",IF(INDEX('Per Invoice'!AE$2:AE$401,$AH107)="","",INDEX('Per Invoice'!AE$2:AE$401,$AH107)))</f>
        <v/>
      </c>
      <c r="AF107">
        <f>IF($AH107="","",IF(INDEX('Per Invoice'!AF$2:AF$401,$AH107)="","",INDEX('Per Invoice'!AF$2:AF$401,$AH107)))</f>
        <v/>
      </c>
      <c r="AG107" s="7">
        <f>IF($AH107="","",IF(INDEX('Per Invoice'!AG$2:AG$401,$AH107)="","",INDEX('Per Invoice'!AG$2:AG$401,$AH107)))</f>
        <v/>
      </c>
      <c r="AH107" s="16">
        <f>IFERROR(MATCH(Settings!$C$27&amp;"|"&amp;ROWS($AH$2:$AH107),'Per Invoice'!$AI$2:$AI$401,0),"")</f>
        <v/>
      </c>
    </row>
    <row r="108">
      <c r="A108">
        <f>IF($AH108="","",IF(INDEX('Per Invoice'!A$2:A$401,$AH108)="","",INDEX('Per Invoice'!A$2:A$401,$AH108)))</f>
        <v/>
      </c>
      <c r="B108">
        <f>IF($AH108="","",IF(INDEX('Per Invoice'!B$2:B$401,$AH108)="","",INDEX('Per Invoice'!B$2:B$401,$AH108)))</f>
        <v/>
      </c>
      <c r="C108">
        <f>IF($AH108="","",IF(INDEX('Per Invoice'!C$2:C$401,$AH108)="","",INDEX('Per Invoice'!C$2:C$401,$AH108)))</f>
        <v/>
      </c>
      <c r="D108">
        <f>IF($AH108="","",IF(INDEX('Per Invoice'!D$2:D$401,$AH108)="","",INDEX('Per Invoice'!D$2:D$401,$AH108)))</f>
        <v/>
      </c>
      <c r="E108">
        <f>IF($AH108="","",IF(INDEX('Per Invoice'!E$2:E$401,$AH108)="","",INDEX('Per Invoice'!E$2:E$401,$AH108)))</f>
        <v/>
      </c>
      <c r="F108">
        <f>IF($AH108="","",IF(INDEX('Per Invoice'!F$2:F$401,$AH108)="","",INDEX('Per Invoice'!F$2:F$401,$AH108)))</f>
        <v/>
      </c>
      <c r="G108">
        <f>IF($AH108="","",IF(INDEX('Per Invoice'!G$2:G$401,$AH108)="","",INDEX('Per Invoice'!G$2:G$401,$AH108)))</f>
        <v/>
      </c>
      <c r="H108">
        <f>IF($AH108="","",IF(INDEX('Per Invoice'!H$2:H$401,$AH108)="","",INDEX('Per Invoice'!H$2:H$401,$AH108)))</f>
        <v/>
      </c>
      <c r="I108" s="14">
        <f>IF($AH108="","",IF(INDEX('Per Invoice'!I$2:I$401,$AH108)="","",INDEX('Per Invoice'!I$2:I$401,$AH108)))</f>
        <v/>
      </c>
      <c r="J108">
        <f>IF($AH108="","",IF(INDEX('Per Invoice'!J$2:J$401,$AH108)="","",INDEX('Per Invoice'!J$2:J$401,$AH108)))</f>
        <v/>
      </c>
      <c r="K108">
        <f>IF($AH108="","",IF(INDEX('Per Invoice'!K$2:K$401,$AH108)="","",INDEX('Per Invoice'!K$2:K$401,$AH108)))</f>
        <v/>
      </c>
      <c r="L108">
        <f>IF($AH108="","",IF(INDEX('Per Invoice'!L$2:L$401,$AH108)="","",INDEX('Per Invoice'!L$2:L$401,$AH108)))</f>
        <v/>
      </c>
      <c r="M108">
        <f>IF($AH108="","",IF(INDEX('Per Invoice'!M$2:M$401,$AH108)="","",INDEX('Per Invoice'!M$2:M$401,$AH108)))</f>
        <v/>
      </c>
      <c r="N108">
        <f>IF($AH108="","",IF(INDEX('Per Invoice'!N$2:N$401,$AH108)="","",INDEX('Per Invoice'!N$2:N$401,$AH108)))</f>
        <v/>
      </c>
      <c r="O108">
        <f>IF($AH108="","",IF(INDEX('Per Invoice'!O$2:O$401,$AH108)="","",INDEX('Per Invoice'!O$2:O$401,$AH108)))</f>
        <v/>
      </c>
      <c r="P108" s="7">
        <f>IF($AH108="","",IF(INDEX('Per Invoice'!P$2:P$401,$AH108)="","",INDEX('Per Invoice'!P$2:P$401,$AH108)))</f>
        <v/>
      </c>
      <c r="Q108">
        <f>IF($AH108="","",IF(INDEX('Per Invoice'!Q$2:Q$401,$AH108)="","",INDEX('Per Invoice'!Q$2:Q$401,$AH108)))</f>
        <v/>
      </c>
      <c r="R108">
        <f>IF($AH108="","",IF(INDEX('Per Invoice'!R$2:R$401,$AH108)="","",INDEX('Per Invoice'!R$2:R$401,$AH108)))</f>
        <v/>
      </c>
      <c r="S108">
        <f>IF($AH108="","",IF(INDEX('Per Invoice'!S$2:S$401,$AH108)="","",INDEX('Per Invoice'!S$2:S$401,$AH108)))</f>
        <v/>
      </c>
      <c r="T108" s="7">
        <f>IF($AH108="","",IF(INDEX('Per Invoice'!T$2:T$401,$AH108)="","",INDEX('Per Invoice'!T$2:T$401,$AH108)))</f>
        <v/>
      </c>
      <c r="U108" s="7">
        <f>IF($AH108="","",IF(INDEX('Per Invoice'!U$2:U$401,$AH108)="","",INDEX('Per Invoice'!U$2:U$401,$AH108)))</f>
        <v/>
      </c>
      <c r="V108">
        <f>IF($AH108="","",IF(INDEX('Per Invoice'!V$2:V$401,$AH108)="","",INDEX('Per Invoice'!V$2:V$401,$AH108)))</f>
        <v/>
      </c>
      <c r="W108" s="7">
        <f>IF($AH108="","",IF(INDEX('Per Invoice'!W$2:W$401,$AH108)="","",INDEX('Per Invoice'!W$2:W$401,$AH108)))</f>
        <v/>
      </c>
      <c r="X108" s="7">
        <f>IF($AH108="","",IF(INDEX('Per Invoice'!X$2:X$401,$AH108)="","",INDEX('Per Invoice'!X$2:X$401,$AH108)))</f>
        <v/>
      </c>
      <c r="Y108">
        <f>IF($AH108="","",IF(INDEX('Per Invoice'!Y$2:Y$401,$AH108)="","",INDEX('Per Invoice'!Y$2:Y$401,$AH108)))</f>
        <v/>
      </c>
      <c r="Z108" s="7">
        <f>IF($AH108="","",IF(INDEX('Per Invoice'!Z$2:Z$401,$AH108)="","",INDEX('Per Invoice'!Z$2:Z$401,$AH108)))</f>
        <v/>
      </c>
      <c r="AA108" s="7">
        <f>IF($AH108="","",IF(INDEX('Per Invoice'!AA$2:AA$401,$AH108)="","",INDEX('Per Invoice'!AA$2:AA$401,$AH108)))</f>
        <v/>
      </c>
      <c r="AB108" s="7">
        <f>IF($AH108="","",IF(INDEX('Per Invoice'!AB$2:AB$401,$AH108)="","",INDEX('Per Invoice'!AB$2:AB$401,$AH108)))</f>
        <v/>
      </c>
      <c r="AC108" s="7">
        <f>IF($AH108="","",IF(INDEX('Per Invoice'!AC$2:AC$401,$AH108)="","",INDEX('Per Invoice'!AC$2:AC$401,$AH108)))</f>
        <v/>
      </c>
      <c r="AD108" s="7">
        <f>IF($AH108="","",IF(INDEX('Per Invoice'!AD$2:AD$401,$AH108)="","",INDEX('Per Invoice'!AD$2:AD$401,$AH108)))</f>
        <v/>
      </c>
      <c r="AE108" s="7">
        <f>IF($AH108="","",IF(INDEX('Per Invoice'!AE$2:AE$401,$AH108)="","",INDEX('Per Invoice'!AE$2:AE$401,$AH108)))</f>
        <v/>
      </c>
      <c r="AF108">
        <f>IF($AH108="","",IF(INDEX('Per Invoice'!AF$2:AF$401,$AH108)="","",INDEX('Per Invoice'!AF$2:AF$401,$AH108)))</f>
        <v/>
      </c>
      <c r="AG108" s="7">
        <f>IF($AH108="","",IF(INDEX('Per Invoice'!AG$2:AG$401,$AH108)="","",INDEX('Per Invoice'!AG$2:AG$401,$AH108)))</f>
        <v/>
      </c>
      <c r="AH108" s="16">
        <f>IFERROR(MATCH(Settings!$C$27&amp;"|"&amp;ROWS($AH$2:$AH108),'Per Invoice'!$AI$2:$AI$401,0),"")</f>
        <v/>
      </c>
    </row>
    <row r="109">
      <c r="A109">
        <f>IF($AH109="","",IF(INDEX('Per Invoice'!A$2:A$401,$AH109)="","",INDEX('Per Invoice'!A$2:A$401,$AH109)))</f>
        <v/>
      </c>
      <c r="B109">
        <f>IF($AH109="","",IF(INDEX('Per Invoice'!B$2:B$401,$AH109)="","",INDEX('Per Invoice'!B$2:B$401,$AH109)))</f>
        <v/>
      </c>
      <c r="C109">
        <f>IF($AH109="","",IF(INDEX('Per Invoice'!C$2:C$401,$AH109)="","",INDEX('Per Invoice'!C$2:C$401,$AH109)))</f>
        <v/>
      </c>
      <c r="D109">
        <f>IF($AH109="","",IF(INDEX('Per Invoice'!D$2:D$401,$AH109)="","",INDEX('Per Invoice'!D$2:D$401,$AH109)))</f>
        <v/>
      </c>
      <c r="E109">
        <f>IF($AH109="","",IF(INDEX('Per Invoice'!E$2:E$401,$AH109)="","",INDEX('Per Invoice'!E$2:E$401,$AH109)))</f>
        <v/>
      </c>
      <c r="F109">
        <f>IF($AH109="","",IF(INDEX('Per Invoice'!F$2:F$401,$AH109)="","",INDEX('Per Invoice'!F$2:F$401,$AH109)))</f>
        <v/>
      </c>
      <c r="G109">
        <f>IF($AH109="","",IF(INDEX('Per Invoice'!G$2:G$401,$AH109)="","",INDEX('Per Invoice'!G$2:G$401,$AH109)))</f>
        <v/>
      </c>
      <c r="H109">
        <f>IF($AH109="","",IF(INDEX('Per Invoice'!H$2:H$401,$AH109)="","",INDEX('Per Invoice'!H$2:H$401,$AH109)))</f>
        <v/>
      </c>
      <c r="I109" s="14">
        <f>IF($AH109="","",IF(INDEX('Per Invoice'!I$2:I$401,$AH109)="","",INDEX('Per Invoice'!I$2:I$401,$AH109)))</f>
        <v/>
      </c>
      <c r="J109">
        <f>IF($AH109="","",IF(INDEX('Per Invoice'!J$2:J$401,$AH109)="","",INDEX('Per Invoice'!J$2:J$401,$AH109)))</f>
        <v/>
      </c>
      <c r="K109">
        <f>IF($AH109="","",IF(INDEX('Per Invoice'!K$2:K$401,$AH109)="","",INDEX('Per Invoice'!K$2:K$401,$AH109)))</f>
        <v/>
      </c>
      <c r="L109">
        <f>IF($AH109="","",IF(INDEX('Per Invoice'!L$2:L$401,$AH109)="","",INDEX('Per Invoice'!L$2:L$401,$AH109)))</f>
        <v/>
      </c>
      <c r="M109">
        <f>IF($AH109="","",IF(INDEX('Per Invoice'!M$2:M$401,$AH109)="","",INDEX('Per Invoice'!M$2:M$401,$AH109)))</f>
        <v/>
      </c>
      <c r="N109">
        <f>IF($AH109="","",IF(INDEX('Per Invoice'!N$2:N$401,$AH109)="","",INDEX('Per Invoice'!N$2:N$401,$AH109)))</f>
        <v/>
      </c>
      <c r="O109">
        <f>IF($AH109="","",IF(INDEX('Per Invoice'!O$2:O$401,$AH109)="","",INDEX('Per Invoice'!O$2:O$401,$AH109)))</f>
        <v/>
      </c>
      <c r="P109" s="7">
        <f>IF($AH109="","",IF(INDEX('Per Invoice'!P$2:P$401,$AH109)="","",INDEX('Per Invoice'!P$2:P$401,$AH109)))</f>
        <v/>
      </c>
      <c r="Q109">
        <f>IF($AH109="","",IF(INDEX('Per Invoice'!Q$2:Q$401,$AH109)="","",INDEX('Per Invoice'!Q$2:Q$401,$AH109)))</f>
        <v/>
      </c>
      <c r="R109">
        <f>IF($AH109="","",IF(INDEX('Per Invoice'!R$2:R$401,$AH109)="","",INDEX('Per Invoice'!R$2:R$401,$AH109)))</f>
        <v/>
      </c>
      <c r="S109">
        <f>IF($AH109="","",IF(INDEX('Per Invoice'!S$2:S$401,$AH109)="","",INDEX('Per Invoice'!S$2:S$401,$AH109)))</f>
        <v/>
      </c>
      <c r="T109" s="7">
        <f>IF($AH109="","",IF(INDEX('Per Invoice'!T$2:T$401,$AH109)="","",INDEX('Per Invoice'!T$2:T$401,$AH109)))</f>
        <v/>
      </c>
      <c r="U109" s="7">
        <f>IF($AH109="","",IF(INDEX('Per Invoice'!U$2:U$401,$AH109)="","",INDEX('Per Invoice'!U$2:U$401,$AH109)))</f>
        <v/>
      </c>
      <c r="V109">
        <f>IF($AH109="","",IF(INDEX('Per Invoice'!V$2:V$401,$AH109)="","",INDEX('Per Invoice'!V$2:V$401,$AH109)))</f>
        <v/>
      </c>
      <c r="W109" s="7">
        <f>IF($AH109="","",IF(INDEX('Per Invoice'!W$2:W$401,$AH109)="","",INDEX('Per Invoice'!W$2:W$401,$AH109)))</f>
        <v/>
      </c>
      <c r="X109" s="7">
        <f>IF($AH109="","",IF(INDEX('Per Invoice'!X$2:X$401,$AH109)="","",INDEX('Per Invoice'!X$2:X$401,$AH109)))</f>
        <v/>
      </c>
      <c r="Y109">
        <f>IF($AH109="","",IF(INDEX('Per Invoice'!Y$2:Y$401,$AH109)="","",INDEX('Per Invoice'!Y$2:Y$401,$AH109)))</f>
        <v/>
      </c>
      <c r="Z109" s="7">
        <f>IF($AH109="","",IF(INDEX('Per Invoice'!Z$2:Z$401,$AH109)="","",INDEX('Per Invoice'!Z$2:Z$401,$AH109)))</f>
        <v/>
      </c>
      <c r="AA109" s="7">
        <f>IF($AH109="","",IF(INDEX('Per Invoice'!AA$2:AA$401,$AH109)="","",INDEX('Per Invoice'!AA$2:AA$401,$AH109)))</f>
        <v/>
      </c>
      <c r="AB109" s="7">
        <f>IF($AH109="","",IF(INDEX('Per Invoice'!AB$2:AB$401,$AH109)="","",INDEX('Per Invoice'!AB$2:AB$401,$AH109)))</f>
        <v/>
      </c>
      <c r="AC109" s="7">
        <f>IF($AH109="","",IF(INDEX('Per Invoice'!AC$2:AC$401,$AH109)="","",INDEX('Per Invoice'!AC$2:AC$401,$AH109)))</f>
        <v/>
      </c>
      <c r="AD109" s="7">
        <f>IF($AH109="","",IF(INDEX('Per Invoice'!AD$2:AD$401,$AH109)="","",INDEX('Per Invoice'!AD$2:AD$401,$AH109)))</f>
        <v/>
      </c>
      <c r="AE109" s="7">
        <f>IF($AH109="","",IF(INDEX('Per Invoice'!AE$2:AE$401,$AH109)="","",INDEX('Per Invoice'!AE$2:AE$401,$AH109)))</f>
        <v/>
      </c>
      <c r="AF109">
        <f>IF($AH109="","",IF(INDEX('Per Invoice'!AF$2:AF$401,$AH109)="","",INDEX('Per Invoice'!AF$2:AF$401,$AH109)))</f>
        <v/>
      </c>
      <c r="AG109" s="7">
        <f>IF($AH109="","",IF(INDEX('Per Invoice'!AG$2:AG$401,$AH109)="","",INDEX('Per Invoice'!AG$2:AG$401,$AH109)))</f>
        <v/>
      </c>
      <c r="AH109" s="16">
        <f>IFERROR(MATCH(Settings!$C$27&amp;"|"&amp;ROWS($AH$2:$AH109),'Per Invoice'!$AI$2:$AI$401,0),"")</f>
        <v/>
      </c>
    </row>
    <row r="110">
      <c r="A110">
        <f>IF($AH110="","",IF(INDEX('Per Invoice'!A$2:A$401,$AH110)="","",INDEX('Per Invoice'!A$2:A$401,$AH110)))</f>
        <v/>
      </c>
      <c r="B110">
        <f>IF($AH110="","",IF(INDEX('Per Invoice'!B$2:B$401,$AH110)="","",INDEX('Per Invoice'!B$2:B$401,$AH110)))</f>
        <v/>
      </c>
      <c r="C110">
        <f>IF($AH110="","",IF(INDEX('Per Invoice'!C$2:C$401,$AH110)="","",INDEX('Per Invoice'!C$2:C$401,$AH110)))</f>
        <v/>
      </c>
      <c r="D110">
        <f>IF($AH110="","",IF(INDEX('Per Invoice'!D$2:D$401,$AH110)="","",INDEX('Per Invoice'!D$2:D$401,$AH110)))</f>
        <v/>
      </c>
      <c r="E110">
        <f>IF($AH110="","",IF(INDEX('Per Invoice'!E$2:E$401,$AH110)="","",INDEX('Per Invoice'!E$2:E$401,$AH110)))</f>
        <v/>
      </c>
      <c r="F110">
        <f>IF($AH110="","",IF(INDEX('Per Invoice'!F$2:F$401,$AH110)="","",INDEX('Per Invoice'!F$2:F$401,$AH110)))</f>
        <v/>
      </c>
      <c r="G110">
        <f>IF($AH110="","",IF(INDEX('Per Invoice'!G$2:G$401,$AH110)="","",INDEX('Per Invoice'!G$2:G$401,$AH110)))</f>
        <v/>
      </c>
      <c r="H110">
        <f>IF($AH110="","",IF(INDEX('Per Invoice'!H$2:H$401,$AH110)="","",INDEX('Per Invoice'!H$2:H$401,$AH110)))</f>
        <v/>
      </c>
      <c r="I110" s="14">
        <f>IF($AH110="","",IF(INDEX('Per Invoice'!I$2:I$401,$AH110)="","",INDEX('Per Invoice'!I$2:I$401,$AH110)))</f>
        <v/>
      </c>
      <c r="J110">
        <f>IF($AH110="","",IF(INDEX('Per Invoice'!J$2:J$401,$AH110)="","",INDEX('Per Invoice'!J$2:J$401,$AH110)))</f>
        <v/>
      </c>
      <c r="K110">
        <f>IF($AH110="","",IF(INDEX('Per Invoice'!K$2:K$401,$AH110)="","",INDEX('Per Invoice'!K$2:K$401,$AH110)))</f>
        <v/>
      </c>
      <c r="L110">
        <f>IF($AH110="","",IF(INDEX('Per Invoice'!L$2:L$401,$AH110)="","",INDEX('Per Invoice'!L$2:L$401,$AH110)))</f>
        <v/>
      </c>
      <c r="M110">
        <f>IF($AH110="","",IF(INDEX('Per Invoice'!M$2:M$401,$AH110)="","",INDEX('Per Invoice'!M$2:M$401,$AH110)))</f>
        <v/>
      </c>
      <c r="N110">
        <f>IF($AH110="","",IF(INDEX('Per Invoice'!N$2:N$401,$AH110)="","",INDEX('Per Invoice'!N$2:N$401,$AH110)))</f>
        <v/>
      </c>
      <c r="O110">
        <f>IF($AH110="","",IF(INDEX('Per Invoice'!O$2:O$401,$AH110)="","",INDEX('Per Invoice'!O$2:O$401,$AH110)))</f>
        <v/>
      </c>
      <c r="P110" s="7">
        <f>IF($AH110="","",IF(INDEX('Per Invoice'!P$2:P$401,$AH110)="","",INDEX('Per Invoice'!P$2:P$401,$AH110)))</f>
        <v/>
      </c>
      <c r="Q110">
        <f>IF($AH110="","",IF(INDEX('Per Invoice'!Q$2:Q$401,$AH110)="","",INDEX('Per Invoice'!Q$2:Q$401,$AH110)))</f>
        <v/>
      </c>
      <c r="R110">
        <f>IF($AH110="","",IF(INDEX('Per Invoice'!R$2:R$401,$AH110)="","",INDEX('Per Invoice'!R$2:R$401,$AH110)))</f>
        <v/>
      </c>
      <c r="S110">
        <f>IF($AH110="","",IF(INDEX('Per Invoice'!S$2:S$401,$AH110)="","",INDEX('Per Invoice'!S$2:S$401,$AH110)))</f>
        <v/>
      </c>
      <c r="T110" s="7">
        <f>IF($AH110="","",IF(INDEX('Per Invoice'!T$2:T$401,$AH110)="","",INDEX('Per Invoice'!T$2:T$401,$AH110)))</f>
        <v/>
      </c>
      <c r="U110" s="7">
        <f>IF($AH110="","",IF(INDEX('Per Invoice'!U$2:U$401,$AH110)="","",INDEX('Per Invoice'!U$2:U$401,$AH110)))</f>
        <v/>
      </c>
      <c r="V110">
        <f>IF($AH110="","",IF(INDEX('Per Invoice'!V$2:V$401,$AH110)="","",INDEX('Per Invoice'!V$2:V$401,$AH110)))</f>
        <v/>
      </c>
      <c r="W110" s="7">
        <f>IF($AH110="","",IF(INDEX('Per Invoice'!W$2:W$401,$AH110)="","",INDEX('Per Invoice'!W$2:W$401,$AH110)))</f>
        <v/>
      </c>
      <c r="X110" s="7">
        <f>IF($AH110="","",IF(INDEX('Per Invoice'!X$2:X$401,$AH110)="","",INDEX('Per Invoice'!X$2:X$401,$AH110)))</f>
        <v/>
      </c>
      <c r="Y110">
        <f>IF($AH110="","",IF(INDEX('Per Invoice'!Y$2:Y$401,$AH110)="","",INDEX('Per Invoice'!Y$2:Y$401,$AH110)))</f>
        <v/>
      </c>
      <c r="Z110" s="7">
        <f>IF($AH110="","",IF(INDEX('Per Invoice'!Z$2:Z$401,$AH110)="","",INDEX('Per Invoice'!Z$2:Z$401,$AH110)))</f>
        <v/>
      </c>
      <c r="AA110" s="7">
        <f>IF($AH110="","",IF(INDEX('Per Invoice'!AA$2:AA$401,$AH110)="","",INDEX('Per Invoice'!AA$2:AA$401,$AH110)))</f>
        <v/>
      </c>
      <c r="AB110" s="7">
        <f>IF($AH110="","",IF(INDEX('Per Invoice'!AB$2:AB$401,$AH110)="","",INDEX('Per Invoice'!AB$2:AB$401,$AH110)))</f>
        <v/>
      </c>
      <c r="AC110" s="7">
        <f>IF($AH110="","",IF(INDEX('Per Invoice'!AC$2:AC$401,$AH110)="","",INDEX('Per Invoice'!AC$2:AC$401,$AH110)))</f>
        <v/>
      </c>
      <c r="AD110" s="7">
        <f>IF($AH110="","",IF(INDEX('Per Invoice'!AD$2:AD$401,$AH110)="","",INDEX('Per Invoice'!AD$2:AD$401,$AH110)))</f>
        <v/>
      </c>
      <c r="AE110" s="7">
        <f>IF($AH110="","",IF(INDEX('Per Invoice'!AE$2:AE$401,$AH110)="","",INDEX('Per Invoice'!AE$2:AE$401,$AH110)))</f>
        <v/>
      </c>
      <c r="AF110">
        <f>IF($AH110="","",IF(INDEX('Per Invoice'!AF$2:AF$401,$AH110)="","",INDEX('Per Invoice'!AF$2:AF$401,$AH110)))</f>
        <v/>
      </c>
      <c r="AG110" s="7">
        <f>IF($AH110="","",IF(INDEX('Per Invoice'!AG$2:AG$401,$AH110)="","",INDEX('Per Invoice'!AG$2:AG$401,$AH110)))</f>
        <v/>
      </c>
      <c r="AH110" s="16">
        <f>IFERROR(MATCH(Settings!$C$27&amp;"|"&amp;ROWS($AH$2:$AH110),'Per Invoice'!$AI$2:$AI$401,0),"")</f>
        <v/>
      </c>
    </row>
    <row r="111">
      <c r="A111">
        <f>IF($AH111="","",IF(INDEX('Per Invoice'!A$2:A$401,$AH111)="","",INDEX('Per Invoice'!A$2:A$401,$AH111)))</f>
        <v/>
      </c>
      <c r="B111">
        <f>IF($AH111="","",IF(INDEX('Per Invoice'!B$2:B$401,$AH111)="","",INDEX('Per Invoice'!B$2:B$401,$AH111)))</f>
        <v/>
      </c>
      <c r="C111">
        <f>IF($AH111="","",IF(INDEX('Per Invoice'!C$2:C$401,$AH111)="","",INDEX('Per Invoice'!C$2:C$401,$AH111)))</f>
        <v/>
      </c>
      <c r="D111">
        <f>IF($AH111="","",IF(INDEX('Per Invoice'!D$2:D$401,$AH111)="","",INDEX('Per Invoice'!D$2:D$401,$AH111)))</f>
        <v/>
      </c>
      <c r="E111">
        <f>IF($AH111="","",IF(INDEX('Per Invoice'!E$2:E$401,$AH111)="","",INDEX('Per Invoice'!E$2:E$401,$AH111)))</f>
        <v/>
      </c>
      <c r="F111">
        <f>IF($AH111="","",IF(INDEX('Per Invoice'!F$2:F$401,$AH111)="","",INDEX('Per Invoice'!F$2:F$401,$AH111)))</f>
        <v/>
      </c>
      <c r="G111">
        <f>IF($AH111="","",IF(INDEX('Per Invoice'!G$2:G$401,$AH111)="","",INDEX('Per Invoice'!G$2:G$401,$AH111)))</f>
        <v/>
      </c>
      <c r="H111">
        <f>IF($AH111="","",IF(INDEX('Per Invoice'!H$2:H$401,$AH111)="","",INDEX('Per Invoice'!H$2:H$401,$AH111)))</f>
        <v/>
      </c>
      <c r="I111" s="14">
        <f>IF($AH111="","",IF(INDEX('Per Invoice'!I$2:I$401,$AH111)="","",INDEX('Per Invoice'!I$2:I$401,$AH111)))</f>
        <v/>
      </c>
      <c r="J111">
        <f>IF($AH111="","",IF(INDEX('Per Invoice'!J$2:J$401,$AH111)="","",INDEX('Per Invoice'!J$2:J$401,$AH111)))</f>
        <v/>
      </c>
      <c r="K111">
        <f>IF($AH111="","",IF(INDEX('Per Invoice'!K$2:K$401,$AH111)="","",INDEX('Per Invoice'!K$2:K$401,$AH111)))</f>
        <v/>
      </c>
      <c r="L111">
        <f>IF($AH111="","",IF(INDEX('Per Invoice'!L$2:L$401,$AH111)="","",INDEX('Per Invoice'!L$2:L$401,$AH111)))</f>
        <v/>
      </c>
      <c r="M111">
        <f>IF($AH111="","",IF(INDEX('Per Invoice'!M$2:M$401,$AH111)="","",INDEX('Per Invoice'!M$2:M$401,$AH111)))</f>
        <v/>
      </c>
      <c r="N111">
        <f>IF($AH111="","",IF(INDEX('Per Invoice'!N$2:N$401,$AH111)="","",INDEX('Per Invoice'!N$2:N$401,$AH111)))</f>
        <v/>
      </c>
      <c r="O111">
        <f>IF($AH111="","",IF(INDEX('Per Invoice'!O$2:O$401,$AH111)="","",INDEX('Per Invoice'!O$2:O$401,$AH111)))</f>
        <v/>
      </c>
      <c r="P111" s="7">
        <f>IF($AH111="","",IF(INDEX('Per Invoice'!P$2:P$401,$AH111)="","",INDEX('Per Invoice'!P$2:P$401,$AH111)))</f>
        <v/>
      </c>
      <c r="Q111">
        <f>IF($AH111="","",IF(INDEX('Per Invoice'!Q$2:Q$401,$AH111)="","",INDEX('Per Invoice'!Q$2:Q$401,$AH111)))</f>
        <v/>
      </c>
      <c r="R111">
        <f>IF($AH111="","",IF(INDEX('Per Invoice'!R$2:R$401,$AH111)="","",INDEX('Per Invoice'!R$2:R$401,$AH111)))</f>
        <v/>
      </c>
      <c r="S111">
        <f>IF($AH111="","",IF(INDEX('Per Invoice'!S$2:S$401,$AH111)="","",INDEX('Per Invoice'!S$2:S$401,$AH111)))</f>
        <v/>
      </c>
      <c r="T111" s="7">
        <f>IF($AH111="","",IF(INDEX('Per Invoice'!T$2:T$401,$AH111)="","",INDEX('Per Invoice'!T$2:T$401,$AH111)))</f>
        <v/>
      </c>
      <c r="U111" s="7">
        <f>IF($AH111="","",IF(INDEX('Per Invoice'!U$2:U$401,$AH111)="","",INDEX('Per Invoice'!U$2:U$401,$AH111)))</f>
        <v/>
      </c>
      <c r="V111">
        <f>IF($AH111="","",IF(INDEX('Per Invoice'!V$2:V$401,$AH111)="","",INDEX('Per Invoice'!V$2:V$401,$AH111)))</f>
        <v/>
      </c>
      <c r="W111" s="7">
        <f>IF($AH111="","",IF(INDEX('Per Invoice'!W$2:W$401,$AH111)="","",INDEX('Per Invoice'!W$2:W$401,$AH111)))</f>
        <v/>
      </c>
      <c r="X111" s="7">
        <f>IF($AH111="","",IF(INDEX('Per Invoice'!X$2:X$401,$AH111)="","",INDEX('Per Invoice'!X$2:X$401,$AH111)))</f>
        <v/>
      </c>
      <c r="Y111">
        <f>IF($AH111="","",IF(INDEX('Per Invoice'!Y$2:Y$401,$AH111)="","",INDEX('Per Invoice'!Y$2:Y$401,$AH111)))</f>
        <v/>
      </c>
      <c r="Z111" s="7">
        <f>IF($AH111="","",IF(INDEX('Per Invoice'!Z$2:Z$401,$AH111)="","",INDEX('Per Invoice'!Z$2:Z$401,$AH111)))</f>
        <v/>
      </c>
      <c r="AA111" s="7">
        <f>IF($AH111="","",IF(INDEX('Per Invoice'!AA$2:AA$401,$AH111)="","",INDEX('Per Invoice'!AA$2:AA$401,$AH111)))</f>
        <v/>
      </c>
      <c r="AB111" s="7">
        <f>IF($AH111="","",IF(INDEX('Per Invoice'!AB$2:AB$401,$AH111)="","",INDEX('Per Invoice'!AB$2:AB$401,$AH111)))</f>
        <v/>
      </c>
      <c r="AC111" s="7">
        <f>IF($AH111="","",IF(INDEX('Per Invoice'!AC$2:AC$401,$AH111)="","",INDEX('Per Invoice'!AC$2:AC$401,$AH111)))</f>
        <v/>
      </c>
      <c r="AD111" s="7">
        <f>IF($AH111="","",IF(INDEX('Per Invoice'!AD$2:AD$401,$AH111)="","",INDEX('Per Invoice'!AD$2:AD$401,$AH111)))</f>
        <v/>
      </c>
      <c r="AE111" s="7">
        <f>IF($AH111="","",IF(INDEX('Per Invoice'!AE$2:AE$401,$AH111)="","",INDEX('Per Invoice'!AE$2:AE$401,$AH111)))</f>
        <v/>
      </c>
      <c r="AF111">
        <f>IF($AH111="","",IF(INDEX('Per Invoice'!AF$2:AF$401,$AH111)="","",INDEX('Per Invoice'!AF$2:AF$401,$AH111)))</f>
        <v/>
      </c>
      <c r="AG111" s="7">
        <f>IF($AH111="","",IF(INDEX('Per Invoice'!AG$2:AG$401,$AH111)="","",INDEX('Per Invoice'!AG$2:AG$401,$AH111)))</f>
        <v/>
      </c>
      <c r="AH111" s="16">
        <f>IFERROR(MATCH(Settings!$C$27&amp;"|"&amp;ROWS($AH$2:$AH111),'Per Invoice'!$AI$2:$AI$401,0),"")</f>
        <v/>
      </c>
    </row>
    <row r="112">
      <c r="A112">
        <f>IF($AH112="","",IF(INDEX('Per Invoice'!A$2:A$401,$AH112)="","",INDEX('Per Invoice'!A$2:A$401,$AH112)))</f>
        <v/>
      </c>
      <c r="B112">
        <f>IF($AH112="","",IF(INDEX('Per Invoice'!B$2:B$401,$AH112)="","",INDEX('Per Invoice'!B$2:B$401,$AH112)))</f>
        <v/>
      </c>
      <c r="C112">
        <f>IF($AH112="","",IF(INDEX('Per Invoice'!C$2:C$401,$AH112)="","",INDEX('Per Invoice'!C$2:C$401,$AH112)))</f>
        <v/>
      </c>
      <c r="D112">
        <f>IF($AH112="","",IF(INDEX('Per Invoice'!D$2:D$401,$AH112)="","",INDEX('Per Invoice'!D$2:D$401,$AH112)))</f>
        <v/>
      </c>
      <c r="E112">
        <f>IF($AH112="","",IF(INDEX('Per Invoice'!E$2:E$401,$AH112)="","",INDEX('Per Invoice'!E$2:E$401,$AH112)))</f>
        <v/>
      </c>
      <c r="F112">
        <f>IF($AH112="","",IF(INDEX('Per Invoice'!F$2:F$401,$AH112)="","",INDEX('Per Invoice'!F$2:F$401,$AH112)))</f>
        <v/>
      </c>
      <c r="G112">
        <f>IF($AH112="","",IF(INDEX('Per Invoice'!G$2:G$401,$AH112)="","",INDEX('Per Invoice'!G$2:G$401,$AH112)))</f>
        <v/>
      </c>
      <c r="H112">
        <f>IF($AH112="","",IF(INDEX('Per Invoice'!H$2:H$401,$AH112)="","",INDEX('Per Invoice'!H$2:H$401,$AH112)))</f>
        <v/>
      </c>
      <c r="I112" s="14">
        <f>IF($AH112="","",IF(INDEX('Per Invoice'!I$2:I$401,$AH112)="","",INDEX('Per Invoice'!I$2:I$401,$AH112)))</f>
        <v/>
      </c>
      <c r="J112">
        <f>IF($AH112="","",IF(INDEX('Per Invoice'!J$2:J$401,$AH112)="","",INDEX('Per Invoice'!J$2:J$401,$AH112)))</f>
        <v/>
      </c>
      <c r="K112">
        <f>IF($AH112="","",IF(INDEX('Per Invoice'!K$2:K$401,$AH112)="","",INDEX('Per Invoice'!K$2:K$401,$AH112)))</f>
        <v/>
      </c>
      <c r="L112">
        <f>IF($AH112="","",IF(INDEX('Per Invoice'!L$2:L$401,$AH112)="","",INDEX('Per Invoice'!L$2:L$401,$AH112)))</f>
        <v/>
      </c>
      <c r="M112">
        <f>IF($AH112="","",IF(INDEX('Per Invoice'!M$2:M$401,$AH112)="","",INDEX('Per Invoice'!M$2:M$401,$AH112)))</f>
        <v/>
      </c>
      <c r="N112">
        <f>IF($AH112="","",IF(INDEX('Per Invoice'!N$2:N$401,$AH112)="","",INDEX('Per Invoice'!N$2:N$401,$AH112)))</f>
        <v/>
      </c>
      <c r="O112">
        <f>IF($AH112="","",IF(INDEX('Per Invoice'!O$2:O$401,$AH112)="","",INDEX('Per Invoice'!O$2:O$401,$AH112)))</f>
        <v/>
      </c>
      <c r="P112" s="7">
        <f>IF($AH112="","",IF(INDEX('Per Invoice'!P$2:P$401,$AH112)="","",INDEX('Per Invoice'!P$2:P$401,$AH112)))</f>
        <v/>
      </c>
      <c r="Q112">
        <f>IF($AH112="","",IF(INDEX('Per Invoice'!Q$2:Q$401,$AH112)="","",INDEX('Per Invoice'!Q$2:Q$401,$AH112)))</f>
        <v/>
      </c>
      <c r="R112">
        <f>IF($AH112="","",IF(INDEX('Per Invoice'!R$2:R$401,$AH112)="","",INDEX('Per Invoice'!R$2:R$401,$AH112)))</f>
        <v/>
      </c>
      <c r="S112">
        <f>IF($AH112="","",IF(INDEX('Per Invoice'!S$2:S$401,$AH112)="","",INDEX('Per Invoice'!S$2:S$401,$AH112)))</f>
        <v/>
      </c>
      <c r="T112" s="7">
        <f>IF($AH112="","",IF(INDEX('Per Invoice'!T$2:T$401,$AH112)="","",INDEX('Per Invoice'!T$2:T$401,$AH112)))</f>
        <v/>
      </c>
      <c r="U112" s="7">
        <f>IF($AH112="","",IF(INDEX('Per Invoice'!U$2:U$401,$AH112)="","",INDEX('Per Invoice'!U$2:U$401,$AH112)))</f>
        <v/>
      </c>
      <c r="V112">
        <f>IF($AH112="","",IF(INDEX('Per Invoice'!V$2:V$401,$AH112)="","",INDEX('Per Invoice'!V$2:V$401,$AH112)))</f>
        <v/>
      </c>
      <c r="W112" s="7">
        <f>IF($AH112="","",IF(INDEX('Per Invoice'!W$2:W$401,$AH112)="","",INDEX('Per Invoice'!W$2:W$401,$AH112)))</f>
        <v/>
      </c>
      <c r="X112" s="7">
        <f>IF($AH112="","",IF(INDEX('Per Invoice'!X$2:X$401,$AH112)="","",INDEX('Per Invoice'!X$2:X$401,$AH112)))</f>
        <v/>
      </c>
      <c r="Y112">
        <f>IF($AH112="","",IF(INDEX('Per Invoice'!Y$2:Y$401,$AH112)="","",INDEX('Per Invoice'!Y$2:Y$401,$AH112)))</f>
        <v/>
      </c>
      <c r="Z112" s="7">
        <f>IF($AH112="","",IF(INDEX('Per Invoice'!Z$2:Z$401,$AH112)="","",INDEX('Per Invoice'!Z$2:Z$401,$AH112)))</f>
        <v/>
      </c>
      <c r="AA112" s="7">
        <f>IF($AH112="","",IF(INDEX('Per Invoice'!AA$2:AA$401,$AH112)="","",INDEX('Per Invoice'!AA$2:AA$401,$AH112)))</f>
        <v/>
      </c>
      <c r="AB112" s="7">
        <f>IF($AH112="","",IF(INDEX('Per Invoice'!AB$2:AB$401,$AH112)="","",INDEX('Per Invoice'!AB$2:AB$401,$AH112)))</f>
        <v/>
      </c>
      <c r="AC112" s="7">
        <f>IF($AH112="","",IF(INDEX('Per Invoice'!AC$2:AC$401,$AH112)="","",INDEX('Per Invoice'!AC$2:AC$401,$AH112)))</f>
        <v/>
      </c>
      <c r="AD112" s="7">
        <f>IF($AH112="","",IF(INDEX('Per Invoice'!AD$2:AD$401,$AH112)="","",INDEX('Per Invoice'!AD$2:AD$401,$AH112)))</f>
        <v/>
      </c>
      <c r="AE112" s="7">
        <f>IF($AH112="","",IF(INDEX('Per Invoice'!AE$2:AE$401,$AH112)="","",INDEX('Per Invoice'!AE$2:AE$401,$AH112)))</f>
        <v/>
      </c>
      <c r="AF112">
        <f>IF($AH112="","",IF(INDEX('Per Invoice'!AF$2:AF$401,$AH112)="","",INDEX('Per Invoice'!AF$2:AF$401,$AH112)))</f>
        <v/>
      </c>
      <c r="AG112" s="7">
        <f>IF($AH112="","",IF(INDEX('Per Invoice'!AG$2:AG$401,$AH112)="","",INDEX('Per Invoice'!AG$2:AG$401,$AH112)))</f>
        <v/>
      </c>
      <c r="AH112" s="16">
        <f>IFERROR(MATCH(Settings!$C$27&amp;"|"&amp;ROWS($AH$2:$AH112),'Per Invoice'!$AI$2:$AI$401,0),"")</f>
        <v/>
      </c>
    </row>
    <row r="113">
      <c r="A113">
        <f>IF($AH113="","",IF(INDEX('Per Invoice'!A$2:A$401,$AH113)="","",INDEX('Per Invoice'!A$2:A$401,$AH113)))</f>
        <v/>
      </c>
      <c r="B113">
        <f>IF($AH113="","",IF(INDEX('Per Invoice'!B$2:B$401,$AH113)="","",INDEX('Per Invoice'!B$2:B$401,$AH113)))</f>
        <v/>
      </c>
      <c r="C113">
        <f>IF($AH113="","",IF(INDEX('Per Invoice'!C$2:C$401,$AH113)="","",INDEX('Per Invoice'!C$2:C$401,$AH113)))</f>
        <v/>
      </c>
      <c r="D113">
        <f>IF($AH113="","",IF(INDEX('Per Invoice'!D$2:D$401,$AH113)="","",INDEX('Per Invoice'!D$2:D$401,$AH113)))</f>
        <v/>
      </c>
      <c r="E113">
        <f>IF($AH113="","",IF(INDEX('Per Invoice'!E$2:E$401,$AH113)="","",INDEX('Per Invoice'!E$2:E$401,$AH113)))</f>
        <v/>
      </c>
      <c r="F113">
        <f>IF($AH113="","",IF(INDEX('Per Invoice'!F$2:F$401,$AH113)="","",INDEX('Per Invoice'!F$2:F$401,$AH113)))</f>
        <v/>
      </c>
      <c r="G113">
        <f>IF($AH113="","",IF(INDEX('Per Invoice'!G$2:G$401,$AH113)="","",INDEX('Per Invoice'!G$2:G$401,$AH113)))</f>
        <v/>
      </c>
      <c r="H113">
        <f>IF($AH113="","",IF(INDEX('Per Invoice'!H$2:H$401,$AH113)="","",INDEX('Per Invoice'!H$2:H$401,$AH113)))</f>
        <v/>
      </c>
      <c r="I113" s="14">
        <f>IF($AH113="","",IF(INDEX('Per Invoice'!I$2:I$401,$AH113)="","",INDEX('Per Invoice'!I$2:I$401,$AH113)))</f>
        <v/>
      </c>
      <c r="J113">
        <f>IF($AH113="","",IF(INDEX('Per Invoice'!J$2:J$401,$AH113)="","",INDEX('Per Invoice'!J$2:J$401,$AH113)))</f>
        <v/>
      </c>
      <c r="K113">
        <f>IF($AH113="","",IF(INDEX('Per Invoice'!K$2:K$401,$AH113)="","",INDEX('Per Invoice'!K$2:K$401,$AH113)))</f>
        <v/>
      </c>
      <c r="L113">
        <f>IF($AH113="","",IF(INDEX('Per Invoice'!L$2:L$401,$AH113)="","",INDEX('Per Invoice'!L$2:L$401,$AH113)))</f>
        <v/>
      </c>
      <c r="M113">
        <f>IF($AH113="","",IF(INDEX('Per Invoice'!M$2:M$401,$AH113)="","",INDEX('Per Invoice'!M$2:M$401,$AH113)))</f>
        <v/>
      </c>
      <c r="N113">
        <f>IF($AH113="","",IF(INDEX('Per Invoice'!N$2:N$401,$AH113)="","",INDEX('Per Invoice'!N$2:N$401,$AH113)))</f>
        <v/>
      </c>
      <c r="O113">
        <f>IF($AH113="","",IF(INDEX('Per Invoice'!O$2:O$401,$AH113)="","",INDEX('Per Invoice'!O$2:O$401,$AH113)))</f>
        <v/>
      </c>
      <c r="P113" s="7">
        <f>IF($AH113="","",IF(INDEX('Per Invoice'!P$2:P$401,$AH113)="","",INDEX('Per Invoice'!P$2:P$401,$AH113)))</f>
        <v/>
      </c>
      <c r="Q113">
        <f>IF($AH113="","",IF(INDEX('Per Invoice'!Q$2:Q$401,$AH113)="","",INDEX('Per Invoice'!Q$2:Q$401,$AH113)))</f>
        <v/>
      </c>
      <c r="R113">
        <f>IF($AH113="","",IF(INDEX('Per Invoice'!R$2:R$401,$AH113)="","",INDEX('Per Invoice'!R$2:R$401,$AH113)))</f>
        <v/>
      </c>
      <c r="S113">
        <f>IF($AH113="","",IF(INDEX('Per Invoice'!S$2:S$401,$AH113)="","",INDEX('Per Invoice'!S$2:S$401,$AH113)))</f>
        <v/>
      </c>
      <c r="T113" s="7">
        <f>IF($AH113="","",IF(INDEX('Per Invoice'!T$2:T$401,$AH113)="","",INDEX('Per Invoice'!T$2:T$401,$AH113)))</f>
        <v/>
      </c>
      <c r="U113" s="7">
        <f>IF($AH113="","",IF(INDEX('Per Invoice'!U$2:U$401,$AH113)="","",INDEX('Per Invoice'!U$2:U$401,$AH113)))</f>
        <v/>
      </c>
      <c r="V113">
        <f>IF($AH113="","",IF(INDEX('Per Invoice'!V$2:V$401,$AH113)="","",INDEX('Per Invoice'!V$2:V$401,$AH113)))</f>
        <v/>
      </c>
      <c r="W113" s="7">
        <f>IF($AH113="","",IF(INDEX('Per Invoice'!W$2:W$401,$AH113)="","",INDEX('Per Invoice'!W$2:W$401,$AH113)))</f>
        <v/>
      </c>
      <c r="X113" s="7">
        <f>IF($AH113="","",IF(INDEX('Per Invoice'!X$2:X$401,$AH113)="","",INDEX('Per Invoice'!X$2:X$401,$AH113)))</f>
        <v/>
      </c>
      <c r="Y113">
        <f>IF($AH113="","",IF(INDEX('Per Invoice'!Y$2:Y$401,$AH113)="","",INDEX('Per Invoice'!Y$2:Y$401,$AH113)))</f>
        <v/>
      </c>
      <c r="Z113" s="7">
        <f>IF($AH113="","",IF(INDEX('Per Invoice'!Z$2:Z$401,$AH113)="","",INDEX('Per Invoice'!Z$2:Z$401,$AH113)))</f>
        <v/>
      </c>
      <c r="AA113" s="7">
        <f>IF($AH113="","",IF(INDEX('Per Invoice'!AA$2:AA$401,$AH113)="","",INDEX('Per Invoice'!AA$2:AA$401,$AH113)))</f>
        <v/>
      </c>
      <c r="AB113" s="7">
        <f>IF($AH113="","",IF(INDEX('Per Invoice'!AB$2:AB$401,$AH113)="","",INDEX('Per Invoice'!AB$2:AB$401,$AH113)))</f>
        <v/>
      </c>
      <c r="AC113" s="7">
        <f>IF($AH113="","",IF(INDEX('Per Invoice'!AC$2:AC$401,$AH113)="","",INDEX('Per Invoice'!AC$2:AC$401,$AH113)))</f>
        <v/>
      </c>
      <c r="AD113" s="7">
        <f>IF($AH113="","",IF(INDEX('Per Invoice'!AD$2:AD$401,$AH113)="","",INDEX('Per Invoice'!AD$2:AD$401,$AH113)))</f>
        <v/>
      </c>
      <c r="AE113" s="7">
        <f>IF($AH113="","",IF(INDEX('Per Invoice'!AE$2:AE$401,$AH113)="","",INDEX('Per Invoice'!AE$2:AE$401,$AH113)))</f>
        <v/>
      </c>
      <c r="AF113">
        <f>IF($AH113="","",IF(INDEX('Per Invoice'!AF$2:AF$401,$AH113)="","",INDEX('Per Invoice'!AF$2:AF$401,$AH113)))</f>
        <v/>
      </c>
      <c r="AG113" s="7">
        <f>IF($AH113="","",IF(INDEX('Per Invoice'!AG$2:AG$401,$AH113)="","",INDEX('Per Invoice'!AG$2:AG$401,$AH113)))</f>
        <v/>
      </c>
      <c r="AH113" s="16">
        <f>IFERROR(MATCH(Settings!$C$27&amp;"|"&amp;ROWS($AH$2:$AH113),'Per Invoice'!$AI$2:$AI$401,0),"")</f>
        <v/>
      </c>
    </row>
    <row r="114">
      <c r="A114">
        <f>IF($AH114="","",IF(INDEX('Per Invoice'!A$2:A$401,$AH114)="","",INDEX('Per Invoice'!A$2:A$401,$AH114)))</f>
        <v/>
      </c>
      <c r="B114">
        <f>IF($AH114="","",IF(INDEX('Per Invoice'!B$2:B$401,$AH114)="","",INDEX('Per Invoice'!B$2:B$401,$AH114)))</f>
        <v/>
      </c>
      <c r="C114">
        <f>IF($AH114="","",IF(INDEX('Per Invoice'!C$2:C$401,$AH114)="","",INDEX('Per Invoice'!C$2:C$401,$AH114)))</f>
        <v/>
      </c>
      <c r="D114">
        <f>IF($AH114="","",IF(INDEX('Per Invoice'!D$2:D$401,$AH114)="","",INDEX('Per Invoice'!D$2:D$401,$AH114)))</f>
        <v/>
      </c>
      <c r="E114">
        <f>IF($AH114="","",IF(INDEX('Per Invoice'!E$2:E$401,$AH114)="","",INDEX('Per Invoice'!E$2:E$401,$AH114)))</f>
        <v/>
      </c>
      <c r="F114">
        <f>IF($AH114="","",IF(INDEX('Per Invoice'!F$2:F$401,$AH114)="","",INDEX('Per Invoice'!F$2:F$401,$AH114)))</f>
        <v/>
      </c>
      <c r="G114">
        <f>IF($AH114="","",IF(INDEX('Per Invoice'!G$2:G$401,$AH114)="","",INDEX('Per Invoice'!G$2:G$401,$AH114)))</f>
        <v/>
      </c>
      <c r="H114">
        <f>IF($AH114="","",IF(INDEX('Per Invoice'!H$2:H$401,$AH114)="","",INDEX('Per Invoice'!H$2:H$401,$AH114)))</f>
        <v/>
      </c>
      <c r="I114" s="14">
        <f>IF($AH114="","",IF(INDEX('Per Invoice'!I$2:I$401,$AH114)="","",INDEX('Per Invoice'!I$2:I$401,$AH114)))</f>
        <v/>
      </c>
      <c r="J114">
        <f>IF($AH114="","",IF(INDEX('Per Invoice'!J$2:J$401,$AH114)="","",INDEX('Per Invoice'!J$2:J$401,$AH114)))</f>
        <v/>
      </c>
      <c r="K114">
        <f>IF($AH114="","",IF(INDEX('Per Invoice'!K$2:K$401,$AH114)="","",INDEX('Per Invoice'!K$2:K$401,$AH114)))</f>
        <v/>
      </c>
      <c r="L114">
        <f>IF($AH114="","",IF(INDEX('Per Invoice'!L$2:L$401,$AH114)="","",INDEX('Per Invoice'!L$2:L$401,$AH114)))</f>
        <v/>
      </c>
      <c r="M114">
        <f>IF($AH114="","",IF(INDEX('Per Invoice'!M$2:M$401,$AH114)="","",INDEX('Per Invoice'!M$2:M$401,$AH114)))</f>
        <v/>
      </c>
      <c r="N114">
        <f>IF($AH114="","",IF(INDEX('Per Invoice'!N$2:N$401,$AH114)="","",INDEX('Per Invoice'!N$2:N$401,$AH114)))</f>
        <v/>
      </c>
      <c r="O114">
        <f>IF($AH114="","",IF(INDEX('Per Invoice'!O$2:O$401,$AH114)="","",INDEX('Per Invoice'!O$2:O$401,$AH114)))</f>
        <v/>
      </c>
      <c r="P114" s="7">
        <f>IF($AH114="","",IF(INDEX('Per Invoice'!P$2:P$401,$AH114)="","",INDEX('Per Invoice'!P$2:P$401,$AH114)))</f>
        <v/>
      </c>
      <c r="Q114">
        <f>IF($AH114="","",IF(INDEX('Per Invoice'!Q$2:Q$401,$AH114)="","",INDEX('Per Invoice'!Q$2:Q$401,$AH114)))</f>
        <v/>
      </c>
      <c r="R114">
        <f>IF($AH114="","",IF(INDEX('Per Invoice'!R$2:R$401,$AH114)="","",INDEX('Per Invoice'!R$2:R$401,$AH114)))</f>
        <v/>
      </c>
      <c r="S114">
        <f>IF($AH114="","",IF(INDEX('Per Invoice'!S$2:S$401,$AH114)="","",INDEX('Per Invoice'!S$2:S$401,$AH114)))</f>
        <v/>
      </c>
      <c r="T114" s="7">
        <f>IF($AH114="","",IF(INDEX('Per Invoice'!T$2:T$401,$AH114)="","",INDEX('Per Invoice'!T$2:T$401,$AH114)))</f>
        <v/>
      </c>
      <c r="U114" s="7">
        <f>IF($AH114="","",IF(INDEX('Per Invoice'!U$2:U$401,$AH114)="","",INDEX('Per Invoice'!U$2:U$401,$AH114)))</f>
        <v/>
      </c>
      <c r="V114">
        <f>IF($AH114="","",IF(INDEX('Per Invoice'!V$2:V$401,$AH114)="","",INDEX('Per Invoice'!V$2:V$401,$AH114)))</f>
        <v/>
      </c>
      <c r="W114" s="7">
        <f>IF($AH114="","",IF(INDEX('Per Invoice'!W$2:W$401,$AH114)="","",INDEX('Per Invoice'!W$2:W$401,$AH114)))</f>
        <v/>
      </c>
      <c r="X114" s="7">
        <f>IF($AH114="","",IF(INDEX('Per Invoice'!X$2:X$401,$AH114)="","",INDEX('Per Invoice'!X$2:X$401,$AH114)))</f>
        <v/>
      </c>
      <c r="Y114">
        <f>IF($AH114="","",IF(INDEX('Per Invoice'!Y$2:Y$401,$AH114)="","",INDEX('Per Invoice'!Y$2:Y$401,$AH114)))</f>
        <v/>
      </c>
      <c r="Z114" s="7">
        <f>IF($AH114="","",IF(INDEX('Per Invoice'!Z$2:Z$401,$AH114)="","",INDEX('Per Invoice'!Z$2:Z$401,$AH114)))</f>
        <v/>
      </c>
      <c r="AA114" s="7">
        <f>IF($AH114="","",IF(INDEX('Per Invoice'!AA$2:AA$401,$AH114)="","",INDEX('Per Invoice'!AA$2:AA$401,$AH114)))</f>
        <v/>
      </c>
      <c r="AB114" s="7">
        <f>IF($AH114="","",IF(INDEX('Per Invoice'!AB$2:AB$401,$AH114)="","",INDEX('Per Invoice'!AB$2:AB$401,$AH114)))</f>
        <v/>
      </c>
      <c r="AC114" s="7">
        <f>IF($AH114="","",IF(INDEX('Per Invoice'!AC$2:AC$401,$AH114)="","",INDEX('Per Invoice'!AC$2:AC$401,$AH114)))</f>
        <v/>
      </c>
      <c r="AD114" s="7">
        <f>IF($AH114="","",IF(INDEX('Per Invoice'!AD$2:AD$401,$AH114)="","",INDEX('Per Invoice'!AD$2:AD$401,$AH114)))</f>
        <v/>
      </c>
      <c r="AE114" s="7">
        <f>IF($AH114="","",IF(INDEX('Per Invoice'!AE$2:AE$401,$AH114)="","",INDEX('Per Invoice'!AE$2:AE$401,$AH114)))</f>
        <v/>
      </c>
      <c r="AF114">
        <f>IF($AH114="","",IF(INDEX('Per Invoice'!AF$2:AF$401,$AH114)="","",INDEX('Per Invoice'!AF$2:AF$401,$AH114)))</f>
        <v/>
      </c>
      <c r="AG114" s="7">
        <f>IF($AH114="","",IF(INDEX('Per Invoice'!AG$2:AG$401,$AH114)="","",INDEX('Per Invoice'!AG$2:AG$401,$AH114)))</f>
        <v/>
      </c>
      <c r="AH114" s="16">
        <f>IFERROR(MATCH(Settings!$C$27&amp;"|"&amp;ROWS($AH$2:$AH114),'Per Invoice'!$AI$2:$AI$401,0),"")</f>
        <v/>
      </c>
    </row>
    <row r="115">
      <c r="A115">
        <f>IF($AH115="","",IF(INDEX('Per Invoice'!A$2:A$401,$AH115)="","",INDEX('Per Invoice'!A$2:A$401,$AH115)))</f>
        <v/>
      </c>
      <c r="B115">
        <f>IF($AH115="","",IF(INDEX('Per Invoice'!B$2:B$401,$AH115)="","",INDEX('Per Invoice'!B$2:B$401,$AH115)))</f>
        <v/>
      </c>
      <c r="C115">
        <f>IF($AH115="","",IF(INDEX('Per Invoice'!C$2:C$401,$AH115)="","",INDEX('Per Invoice'!C$2:C$401,$AH115)))</f>
        <v/>
      </c>
      <c r="D115">
        <f>IF($AH115="","",IF(INDEX('Per Invoice'!D$2:D$401,$AH115)="","",INDEX('Per Invoice'!D$2:D$401,$AH115)))</f>
        <v/>
      </c>
      <c r="E115">
        <f>IF($AH115="","",IF(INDEX('Per Invoice'!E$2:E$401,$AH115)="","",INDEX('Per Invoice'!E$2:E$401,$AH115)))</f>
        <v/>
      </c>
      <c r="F115">
        <f>IF($AH115="","",IF(INDEX('Per Invoice'!F$2:F$401,$AH115)="","",INDEX('Per Invoice'!F$2:F$401,$AH115)))</f>
        <v/>
      </c>
      <c r="G115">
        <f>IF($AH115="","",IF(INDEX('Per Invoice'!G$2:G$401,$AH115)="","",INDEX('Per Invoice'!G$2:G$401,$AH115)))</f>
        <v/>
      </c>
      <c r="H115">
        <f>IF($AH115="","",IF(INDEX('Per Invoice'!H$2:H$401,$AH115)="","",INDEX('Per Invoice'!H$2:H$401,$AH115)))</f>
        <v/>
      </c>
      <c r="I115" s="14">
        <f>IF($AH115="","",IF(INDEX('Per Invoice'!I$2:I$401,$AH115)="","",INDEX('Per Invoice'!I$2:I$401,$AH115)))</f>
        <v/>
      </c>
      <c r="J115">
        <f>IF($AH115="","",IF(INDEX('Per Invoice'!J$2:J$401,$AH115)="","",INDEX('Per Invoice'!J$2:J$401,$AH115)))</f>
        <v/>
      </c>
      <c r="K115">
        <f>IF($AH115="","",IF(INDEX('Per Invoice'!K$2:K$401,$AH115)="","",INDEX('Per Invoice'!K$2:K$401,$AH115)))</f>
        <v/>
      </c>
      <c r="L115">
        <f>IF($AH115="","",IF(INDEX('Per Invoice'!L$2:L$401,$AH115)="","",INDEX('Per Invoice'!L$2:L$401,$AH115)))</f>
        <v/>
      </c>
      <c r="M115">
        <f>IF($AH115="","",IF(INDEX('Per Invoice'!M$2:M$401,$AH115)="","",INDEX('Per Invoice'!M$2:M$401,$AH115)))</f>
        <v/>
      </c>
      <c r="N115">
        <f>IF($AH115="","",IF(INDEX('Per Invoice'!N$2:N$401,$AH115)="","",INDEX('Per Invoice'!N$2:N$401,$AH115)))</f>
        <v/>
      </c>
      <c r="O115">
        <f>IF($AH115="","",IF(INDEX('Per Invoice'!O$2:O$401,$AH115)="","",INDEX('Per Invoice'!O$2:O$401,$AH115)))</f>
        <v/>
      </c>
      <c r="P115" s="7">
        <f>IF($AH115="","",IF(INDEX('Per Invoice'!P$2:P$401,$AH115)="","",INDEX('Per Invoice'!P$2:P$401,$AH115)))</f>
        <v/>
      </c>
      <c r="Q115">
        <f>IF($AH115="","",IF(INDEX('Per Invoice'!Q$2:Q$401,$AH115)="","",INDEX('Per Invoice'!Q$2:Q$401,$AH115)))</f>
        <v/>
      </c>
      <c r="R115">
        <f>IF($AH115="","",IF(INDEX('Per Invoice'!R$2:R$401,$AH115)="","",INDEX('Per Invoice'!R$2:R$401,$AH115)))</f>
        <v/>
      </c>
      <c r="S115">
        <f>IF($AH115="","",IF(INDEX('Per Invoice'!S$2:S$401,$AH115)="","",INDEX('Per Invoice'!S$2:S$401,$AH115)))</f>
        <v/>
      </c>
      <c r="T115" s="7">
        <f>IF($AH115="","",IF(INDEX('Per Invoice'!T$2:T$401,$AH115)="","",INDEX('Per Invoice'!T$2:T$401,$AH115)))</f>
        <v/>
      </c>
      <c r="U115" s="7">
        <f>IF($AH115="","",IF(INDEX('Per Invoice'!U$2:U$401,$AH115)="","",INDEX('Per Invoice'!U$2:U$401,$AH115)))</f>
        <v/>
      </c>
      <c r="V115">
        <f>IF($AH115="","",IF(INDEX('Per Invoice'!V$2:V$401,$AH115)="","",INDEX('Per Invoice'!V$2:V$401,$AH115)))</f>
        <v/>
      </c>
      <c r="W115" s="7">
        <f>IF($AH115="","",IF(INDEX('Per Invoice'!W$2:W$401,$AH115)="","",INDEX('Per Invoice'!W$2:W$401,$AH115)))</f>
        <v/>
      </c>
      <c r="X115" s="7">
        <f>IF($AH115="","",IF(INDEX('Per Invoice'!X$2:X$401,$AH115)="","",INDEX('Per Invoice'!X$2:X$401,$AH115)))</f>
        <v/>
      </c>
      <c r="Y115">
        <f>IF($AH115="","",IF(INDEX('Per Invoice'!Y$2:Y$401,$AH115)="","",INDEX('Per Invoice'!Y$2:Y$401,$AH115)))</f>
        <v/>
      </c>
      <c r="Z115" s="7">
        <f>IF($AH115="","",IF(INDEX('Per Invoice'!Z$2:Z$401,$AH115)="","",INDEX('Per Invoice'!Z$2:Z$401,$AH115)))</f>
        <v/>
      </c>
      <c r="AA115" s="7">
        <f>IF($AH115="","",IF(INDEX('Per Invoice'!AA$2:AA$401,$AH115)="","",INDEX('Per Invoice'!AA$2:AA$401,$AH115)))</f>
        <v/>
      </c>
      <c r="AB115" s="7">
        <f>IF($AH115="","",IF(INDEX('Per Invoice'!AB$2:AB$401,$AH115)="","",INDEX('Per Invoice'!AB$2:AB$401,$AH115)))</f>
        <v/>
      </c>
      <c r="AC115" s="7">
        <f>IF($AH115="","",IF(INDEX('Per Invoice'!AC$2:AC$401,$AH115)="","",INDEX('Per Invoice'!AC$2:AC$401,$AH115)))</f>
        <v/>
      </c>
      <c r="AD115" s="7">
        <f>IF($AH115="","",IF(INDEX('Per Invoice'!AD$2:AD$401,$AH115)="","",INDEX('Per Invoice'!AD$2:AD$401,$AH115)))</f>
        <v/>
      </c>
      <c r="AE115" s="7">
        <f>IF($AH115="","",IF(INDEX('Per Invoice'!AE$2:AE$401,$AH115)="","",INDEX('Per Invoice'!AE$2:AE$401,$AH115)))</f>
        <v/>
      </c>
      <c r="AF115">
        <f>IF($AH115="","",IF(INDEX('Per Invoice'!AF$2:AF$401,$AH115)="","",INDEX('Per Invoice'!AF$2:AF$401,$AH115)))</f>
        <v/>
      </c>
      <c r="AG115" s="7">
        <f>IF($AH115="","",IF(INDEX('Per Invoice'!AG$2:AG$401,$AH115)="","",INDEX('Per Invoice'!AG$2:AG$401,$AH115)))</f>
        <v/>
      </c>
      <c r="AH115" s="16">
        <f>IFERROR(MATCH(Settings!$C$27&amp;"|"&amp;ROWS($AH$2:$AH115),'Per Invoice'!$AI$2:$AI$401,0),"")</f>
        <v/>
      </c>
    </row>
    <row r="116">
      <c r="A116">
        <f>IF($AH116="","",IF(INDEX('Per Invoice'!A$2:A$401,$AH116)="","",INDEX('Per Invoice'!A$2:A$401,$AH116)))</f>
        <v/>
      </c>
      <c r="B116">
        <f>IF($AH116="","",IF(INDEX('Per Invoice'!B$2:B$401,$AH116)="","",INDEX('Per Invoice'!B$2:B$401,$AH116)))</f>
        <v/>
      </c>
      <c r="C116">
        <f>IF($AH116="","",IF(INDEX('Per Invoice'!C$2:C$401,$AH116)="","",INDEX('Per Invoice'!C$2:C$401,$AH116)))</f>
        <v/>
      </c>
      <c r="D116">
        <f>IF($AH116="","",IF(INDEX('Per Invoice'!D$2:D$401,$AH116)="","",INDEX('Per Invoice'!D$2:D$401,$AH116)))</f>
        <v/>
      </c>
      <c r="E116">
        <f>IF($AH116="","",IF(INDEX('Per Invoice'!E$2:E$401,$AH116)="","",INDEX('Per Invoice'!E$2:E$401,$AH116)))</f>
        <v/>
      </c>
      <c r="F116">
        <f>IF($AH116="","",IF(INDEX('Per Invoice'!F$2:F$401,$AH116)="","",INDEX('Per Invoice'!F$2:F$401,$AH116)))</f>
        <v/>
      </c>
      <c r="G116">
        <f>IF($AH116="","",IF(INDEX('Per Invoice'!G$2:G$401,$AH116)="","",INDEX('Per Invoice'!G$2:G$401,$AH116)))</f>
        <v/>
      </c>
      <c r="H116">
        <f>IF($AH116="","",IF(INDEX('Per Invoice'!H$2:H$401,$AH116)="","",INDEX('Per Invoice'!H$2:H$401,$AH116)))</f>
        <v/>
      </c>
      <c r="I116" s="14">
        <f>IF($AH116="","",IF(INDEX('Per Invoice'!I$2:I$401,$AH116)="","",INDEX('Per Invoice'!I$2:I$401,$AH116)))</f>
        <v/>
      </c>
      <c r="J116">
        <f>IF($AH116="","",IF(INDEX('Per Invoice'!J$2:J$401,$AH116)="","",INDEX('Per Invoice'!J$2:J$401,$AH116)))</f>
        <v/>
      </c>
      <c r="K116">
        <f>IF($AH116="","",IF(INDEX('Per Invoice'!K$2:K$401,$AH116)="","",INDEX('Per Invoice'!K$2:K$401,$AH116)))</f>
        <v/>
      </c>
      <c r="L116">
        <f>IF($AH116="","",IF(INDEX('Per Invoice'!L$2:L$401,$AH116)="","",INDEX('Per Invoice'!L$2:L$401,$AH116)))</f>
        <v/>
      </c>
      <c r="M116">
        <f>IF($AH116="","",IF(INDEX('Per Invoice'!M$2:M$401,$AH116)="","",INDEX('Per Invoice'!M$2:M$401,$AH116)))</f>
        <v/>
      </c>
      <c r="N116">
        <f>IF($AH116="","",IF(INDEX('Per Invoice'!N$2:N$401,$AH116)="","",INDEX('Per Invoice'!N$2:N$401,$AH116)))</f>
        <v/>
      </c>
      <c r="O116">
        <f>IF($AH116="","",IF(INDEX('Per Invoice'!O$2:O$401,$AH116)="","",INDEX('Per Invoice'!O$2:O$401,$AH116)))</f>
        <v/>
      </c>
      <c r="P116" s="7">
        <f>IF($AH116="","",IF(INDEX('Per Invoice'!P$2:P$401,$AH116)="","",INDEX('Per Invoice'!P$2:P$401,$AH116)))</f>
        <v/>
      </c>
      <c r="Q116">
        <f>IF($AH116="","",IF(INDEX('Per Invoice'!Q$2:Q$401,$AH116)="","",INDEX('Per Invoice'!Q$2:Q$401,$AH116)))</f>
        <v/>
      </c>
      <c r="R116">
        <f>IF($AH116="","",IF(INDEX('Per Invoice'!R$2:R$401,$AH116)="","",INDEX('Per Invoice'!R$2:R$401,$AH116)))</f>
        <v/>
      </c>
      <c r="S116">
        <f>IF($AH116="","",IF(INDEX('Per Invoice'!S$2:S$401,$AH116)="","",INDEX('Per Invoice'!S$2:S$401,$AH116)))</f>
        <v/>
      </c>
      <c r="T116" s="7">
        <f>IF($AH116="","",IF(INDEX('Per Invoice'!T$2:T$401,$AH116)="","",INDEX('Per Invoice'!T$2:T$401,$AH116)))</f>
        <v/>
      </c>
      <c r="U116" s="7">
        <f>IF($AH116="","",IF(INDEX('Per Invoice'!U$2:U$401,$AH116)="","",INDEX('Per Invoice'!U$2:U$401,$AH116)))</f>
        <v/>
      </c>
      <c r="V116">
        <f>IF($AH116="","",IF(INDEX('Per Invoice'!V$2:V$401,$AH116)="","",INDEX('Per Invoice'!V$2:V$401,$AH116)))</f>
        <v/>
      </c>
      <c r="W116" s="7">
        <f>IF($AH116="","",IF(INDEX('Per Invoice'!W$2:W$401,$AH116)="","",INDEX('Per Invoice'!W$2:W$401,$AH116)))</f>
        <v/>
      </c>
      <c r="X116" s="7">
        <f>IF($AH116="","",IF(INDEX('Per Invoice'!X$2:X$401,$AH116)="","",INDEX('Per Invoice'!X$2:X$401,$AH116)))</f>
        <v/>
      </c>
      <c r="Y116">
        <f>IF($AH116="","",IF(INDEX('Per Invoice'!Y$2:Y$401,$AH116)="","",INDEX('Per Invoice'!Y$2:Y$401,$AH116)))</f>
        <v/>
      </c>
      <c r="Z116" s="7">
        <f>IF($AH116="","",IF(INDEX('Per Invoice'!Z$2:Z$401,$AH116)="","",INDEX('Per Invoice'!Z$2:Z$401,$AH116)))</f>
        <v/>
      </c>
      <c r="AA116" s="7">
        <f>IF($AH116="","",IF(INDEX('Per Invoice'!AA$2:AA$401,$AH116)="","",INDEX('Per Invoice'!AA$2:AA$401,$AH116)))</f>
        <v/>
      </c>
      <c r="AB116" s="7">
        <f>IF($AH116="","",IF(INDEX('Per Invoice'!AB$2:AB$401,$AH116)="","",INDEX('Per Invoice'!AB$2:AB$401,$AH116)))</f>
        <v/>
      </c>
      <c r="AC116" s="7">
        <f>IF($AH116="","",IF(INDEX('Per Invoice'!AC$2:AC$401,$AH116)="","",INDEX('Per Invoice'!AC$2:AC$401,$AH116)))</f>
        <v/>
      </c>
      <c r="AD116" s="7">
        <f>IF($AH116="","",IF(INDEX('Per Invoice'!AD$2:AD$401,$AH116)="","",INDEX('Per Invoice'!AD$2:AD$401,$AH116)))</f>
        <v/>
      </c>
      <c r="AE116" s="7">
        <f>IF($AH116="","",IF(INDEX('Per Invoice'!AE$2:AE$401,$AH116)="","",INDEX('Per Invoice'!AE$2:AE$401,$AH116)))</f>
        <v/>
      </c>
      <c r="AF116">
        <f>IF($AH116="","",IF(INDEX('Per Invoice'!AF$2:AF$401,$AH116)="","",INDEX('Per Invoice'!AF$2:AF$401,$AH116)))</f>
        <v/>
      </c>
      <c r="AG116" s="7">
        <f>IF($AH116="","",IF(INDEX('Per Invoice'!AG$2:AG$401,$AH116)="","",INDEX('Per Invoice'!AG$2:AG$401,$AH116)))</f>
        <v/>
      </c>
      <c r="AH116" s="16">
        <f>IFERROR(MATCH(Settings!$C$27&amp;"|"&amp;ROWS($AH$2:$AH116),'Per Invoice'!$AI$2:$AI$401,0),"")</f>
        <v/>
      </c>
    </row>
    <row r="117">
      <c r="A117">
        <f>IF($AH117="","",IF(INDEX('Per Invoice'!A$2:A$401,$AH117)="","",INDEX('Per Invoice'!A$2:A$401,$AH117)))</f>
        <v/>
      </c>
      <c r="B117">
        <f>IF($AH117="","",IF(INDEX('Per Invoice'!B$2:B$401,$AH117)="","",INDEX('Per Invoice'!B$2:B$401,$AH117)))</f>
        <v/>
      </c>
      <c r="C117">
        <f>IF($AH117="","",IF(INDEX('Per Invoice'!C$2:C$401,$AH117)="","",INDEX('Per Invoice'!C$2:C$401,$AH117)))</f>
        <v/>
      </c>
      <c r="D117">
        <f>IF($AH117="","",IF(INDEX('Per Invoice'!D$2:D$401,$AH117)="","",INDEX('Per Invoice'!D$2:D$401,$AH117)))</f>
        <v/>
      </c>
      <c r="E117">
        <f>IF($AH117="","",IF(INDEX('Per Invoice'!E$2:E$401,$AH117)="","",INDEX('Per Invoice'!E$2:E$401,$AH117)))</f>
        <v/>
      </c>
      <c r="F117">
        <f>IF($AH117="","",IF(INDEX('Per Invoice'!F$2:F$401,$AH117)="","",INDEX('Per Invoice'!F$2:F$401,$AH117)))</f>
        <v/>
      </c>
      <c r="G117">
        <f>IF($AH117="","",IF(INDEX('Per Invoice'!G$2:G$401,$AH117)="","",INDEX('Per Invoice'!G$2:G$401,$AH117)))</f>
        <v/>
      </c>
      <c r="H117">
        <f>IF($AH117="","",IF(INDEX('Per Invoice'!H$2:H$401,$AH117)="","",INDEX('Per Invoice'!H$2:H$401,$AH117)))</f>
        <v/>
      </c>
      <c r="I117" s="14">
        <f>IF($AH117="","",IF(INDEX('Per Invoice'!I$2:I$401,$AH117)="","",INDEX('Per Invoice'!I$2:I$401,$AH117)))</f>
        <v/>
      </c>
      <c r="J117">
        <f>IF($AH117="","",IF(INDEX('Per Invoice'!J$2:J$401,$AH117)="","",INDEX('Per Invoice'!J$2:J$401,$AH117)))</f>
        <v/>
      </c>
      <c r="K117">
        <f>IF($AH117="","",IF(INDEX('Per Invoice'!K$2:K$401,$AH117)="","",INDEX('Per Invoice'!K$2:K$401,$AH117)))</f>
        <v/>
      </c>
      <c r="L117">
        <f>IF($AH117="","",IF(INDEX('Per Invoice'!L$2:L$401,$AH117)="","",INDEX('Per Invoice'!L$2:L$401,$AH117)))</f>
        <v/>
      </c>
      <c r="M117">
        <f>IF($AH117="","",IF(INDEX('Per Invoice'!M$2:M$401,$AH117)="","",INDEX('Per Invoice'!M$2:M$401,$AH117)))</f>
        <v/>
      </c>
      <c r="N117">
        <f>IF($AH117="","",IF(INDEX('Per Invoice'!N$2:N$401,$AH117)="","",INDEX('Per Invoice'!N$2:N$401,$AH117)))</f>
        <v/>
      </c>
      <c r="O117">
        <f>IF($AH117="","",IF(INDEX('Per Invoice'!O$2:O$401,$AH117)="","",INDEX('Per Invoice'!O$2:O$401,$AH117)))</f>
        <v/>
      </c>
      <c r="P117" s="7">
        <f>IF($AH117="","",IF(INDEX('Per Invoice'!P$2:P$401,$AH117)="","",INDEX('Per Invoice'!P$2:P$401,$AH117)))</f>
        <v/>
      </c>
      <c r="Q117">
        <f>IF($AH117="","",IF(INDEX('Per Invoice'!Q$2:Q$401,$AH117)="","",INDEX('Per Invoice'!Q$2:Q$401,$AH117)))</f>
        <v/>
      </c>
      <c r="R117">
        <f>IF($AH117="","",IF(INDEX('Per Invoice'!R$2:R$401,$AH117)="","",INDEX('Per Invoice'!R$2:R$401,$AH117)))</f>
        <v/>
      </c>
      <c r="S117">
        <f>IF($AH117="","",IF(INDEX('Per Invoice'!S$2:S$401,$AH117)="","",INDEX('Per Invoice'!S$2:S$401,$AH117)))</f>
        <v/>
      </c>
      <c r="T117" s="7">
        <f>IF($AH117="","",IF(INDEX('Per Invoice'!T$2:T$401,$AH117)="","",INDEX('Per Invoice'!T$2:T$401,$AH117)))</f>
        <v/>
      </c>
      <c r="U117" s="7">
        <f>IF($AH117="","",IF(INDEX('Per Invoice'!U$2:U$401,$AH117)="","",INDEX('Per Invoice'!U$2:U$401,$AH117)))</f>
        <v/>
      </c>
      <c r="V117">
        <f>IF($AH117="","",IF(INDEX('Per Invoice'!V$2:V$401,$AH117)="","",INDEX('Per Invoice'!V$2:V$401,$AH117)))</f>
        <v/>
      </c>
      <c r="W117" s="7">
        <f>IF($AH117="","",IF(INDEX('Per Invoice'!W$2:W$401,$AH117)="","",INDEX('Per Invoice'!W$2:W$401,$AH117)))</f>
        <v/>
      </c>
      <c r="X117" s="7">
        <f>IF($AH117="","",IF(INDEX('Per Invoice'!X$2:X$401,$AH117)="","",INDEX('Per Invoice'!X$2:X$401,$AH117)))</f>
        <v/>
      </c>
      <c r="Y117">
        <f>IF($AH117="","",IF(INDEX('Per Invoice'!Y$2:Y$401,$AH117)="","",INDEX('Per Invoice'!Y$2:Y$401,$AH117)))</f>
        <v/>
      </c>
      <c r="Z117" s="7">
        <f>IF($AH117="","",IF(INDEX('Per Invoice'!Z$2:Z$401,$AH117)="","",INDEX('Per Invoice'!Z$2:Z$401,$AH117)))</f>
        <v/>
      </c>
      <c r="AA117" s="7">
        <f>IF($AH117="","",IF(INDEX('Per Invoice'!AA$2:AA$401,$AH117)="","",INDEX('Per Invoice'!AA$2:AA$401,$AH117)))</f>
        <v/>
      </c>
      <c r="AB117" s="7">
        <f>IF($AH117="","",IF(INDEX('Per Invoice'!AB$2:AB$401,$AH117)="","",INDEX('Per Invoice'!AB$2:AB$401,$AH117)))</f>
        <v/>
      </c>
      <c r="AC117" s="7">
        <f>IF($AH117="","",IF(INDEX('Per Invoice'!AC$2:AC$401,$AH117)="","",INDEX('Per Invoice'!AC$2:AC$401,$AH117)))</f>
        <v/>
      </c>
      <c r="AD117" s="7">
        <f>IF($AH117="","",IF(INDEX('Per Invoice'!AD$2:AD$401,$AH117)="","",INDEX('Per Invoice'!AD$2:AD$401,$AH117)))</f>
        <v/>
      </c>
      <c r="AE117" s="7">
        <f>IF($AH117="","",IF(INDEX('Per Invoice'!AE$2:AE$401,$AH117)="","",INDEX('Per Invoice'!AE$2:AE$401,$AH117)))</f>
        <v/>
      </c>
      <c r="AF117">
        <f>IF($AH117="","",IF(INDEX('Per Invoice'!AF$2:AF$401,$AH117)="","",INDEX('Per Invoice'!AF$2:AF$401,$AH117)))</f>
        <v/>
      </c>
      <c r="AG117" s="7">
        <f>IF($AH117="","",IF(INDEX('Per Invoice'!AG$2:AG$401,$AH117)="","",INDEX('Per Invoice'!AG$2:AG$401,$AH117)))</f>
        <v/>
      </c>
      <c r="AH117" s="16">
        <f>IFERROR(MATCH(Settings!$C$27&amp;"|"&amp;ROWS($AH$2:$AH117),'Per Invoice'!$AI$2:$AI$401,0),"")</f>
        <v/>
      </c>
    </row>
    <row r="118">
      <c r="A118">
        <f>IF($AH118="","",IF(INDEX('Per Invoice'!A$2:A$401,$AH118)="","",INDEX('Per Invoice'!A$2:A$401,$AH118)))</f>
        <v/>
      </c>
      <c r="B118">
        <f>IF($AH118="","",IF(INDEX('Per Invoice'!B$2:B$401,$AH118)="","",INDEX('Per Invoice'!B$2:B$401,$AH118)))</f>
        <v/>
      </c>
      <c r="C118">
        <f>IF($AH118="","",IF(INDEX('Per Invoice'!C$2:C$401,$AH118)="","",INDEX('Per Invoice'!C$2:C$401,$AH118)))</f>
        <v/>
      </c>
      <c r="D118">
        <f>IF($AH118="","",IF(INDEX('Per Invoice'!D$2:D$401,$AH118)="","",INDEX('Per Invoice'!D$2:D$401,$AH118)))</f>
        <v/>
      </c>
      <c r="E118">
        <f>IF($AH118="","",IF(INDEX('Per Invoice'!E$2:E$401,$AH118)="","",INDEX('Per Invoice'!E$2:E$401,$AH118)))</f>
        <v/>
      </c>
      <c r="F118">
        <f>IF($AH118="","",IF(INDEX('Per Invoice'!F$2:F$401,$AH118)="","",INDEX('Per Invoice'!F$2:F$401,$AH118)))</f>
        <v/>
      </c>
      <c r="G118">
        <f>IF($AH118="","",IF(INDEX('Per Invoice'!G$2:G$401,$AH118)="","",INDEX('Per Invoice'!G$2:G$401,$AH118)))</f>
        <v/>
      </c>
      <c r="H118">
        <f>IF($AH118="","",IF(INDEX('Per Invoice'!H$2:H$401,$AH118)="","",INDEX('Per Invoice'!H$2:H$401,$AH118)))</f>
        <v/>
      </c>
      <c r="I118" s="14">
        <f>IF($AH118="","",IF(INDEX('Per Invoice'!I$2:I$401,$AH118)="","",INDEX('Per Invoice'!I$2:I$401,$AH118)))</f>
        <v/>
      </c>
      <c r="J118">
        <f>IF($AH118="","",IF(INDEX('Per Invoice'!J$2:J$401,$AH118)="","",INDEX('Per Invoice'!J$2:J$401,$AH118)))</f>
        <v/>
      </c>
      <c r="K118">
        <f>IF($AH118="","",IF(INDEX('Per Invoice'!K$2:K$401,$AH118)="","",INDEX('Per Invoice'!K$2:K$401,$AH118)))</f>
        <v/>
      </c>
      <c r="L118">
        <f>IF($AH118="","",IF(INDEX('Per Invoice'!L$2:L$401,$AH118)="","",INDEX('Per Invoice'!L$2:L$401,$AH118)))</f>
        <v/>
      </c>
      <c r="M118">
        <f>IF($AH118="","",IF(INDEX('Per Invoice'!M$2:M$401,$AH118)="","",INDEX('Per Invoice'!M$2:M$401,$AH118)))</f>
        <v/>
      </c>
      <c r="N118">
        <f>IF($AH118="","",IF(INDEX('Per Invoice'!N$2:N$401,$AH118)="","",INDEX('Per Invoice'!N$2:N$401,$AH118)))</f>
        <v/>
      </c>
      <c r="O118">
        <f>IF($AH118="","",IF(INDEX('Per Invoice'!O$2:O$401,$AH118)="","",INDEX('Per Invoice'!O$2:O$401,$AH118)))</f>
        <v/>
      </c>
      <c r="P118" s="7">
        <f>IF($AH118="","",IF(INDEX('Per Invoice'!P$2:P$401,$AH118)="","",INDEX('Per Invoice'!P$2:P$401,$AH118)))</f>
        <v/>
      </c>
      <c r="Q118">
        <f>IF($AH118="","",IF(INDEX('Per Invoice'!Q$2:Q$401,$AH118)="","",INDEX('Per Invoice'!Q$2:Q$401,$AH118)))</f>
        <v/>
      </c>
      <c r="R118">
        <f>IF($AH118="","",IF(INDEX('Per Invoice'!R$2:R$401,$AH118)="","",INDEX('Per Invoice'!R$2:R$401,$AH118)))</f>
        <v/>
      </c>
      <c r="S118">
        <f>IF($AH118="","",IF(INDEX('Per Invoice'!S$2:S$401,$AH118)="","",INDEX('Per Invoice'!S$2:S$401,$AH118)))</f>
        <v/>
      </c>
      <c r="T118" s="7">
        <f>IF($AH118="","",IF(INDEX('Per Invoice'!T$2:T$401,$AH118)="","",INDEX('Per Invoice'!T$2:T$401,$AH118)))</f>
        <v/>
      </c>
      <c r="U118" s="7">
        <f>IF($AH118="","",IF(INDEX('Per Invoice'!U$2:U$401,$AH118)="","",INDEX('Per Invoice'!U$2:U$401,$AH118)))</f>
        <v/>
      </c>
      <c r="V118">
        <f>IF($AH118="","",IF(INDEX('Per Invoice'!V$2:V$401,$AH118)="","",INDEX('Per Invoice'!V$2:V$401,$AH118)))</f>
        <v/>
      </c>
      <c r="W118" s="7">
        <f>IF($AH118="","",IF(INDEX('Per Invoice'!W$2:W$401,$AH118)="","",INDEX('Per Invoice'!W$2:W$401,$AH118)))</f>
        <v/>
      </c>
      <c r="X118" s="7">
        <f>IF($AH118="","",IF(INDEX('Per Invoice'!X$2:X$401,$AH118)="","",INDEX('Per Invoice'!X$2:X$401,$AH118)))</f>
        <v/>
      </c>
      <c r="Y118">
        <f>IF($AH118="","",IF(INDEX('Per Invoice'!Y$2:Y$401,$AH118)="","",INDEX('Per Invoice'!Y$2:Y$401,$AH118)))</f>
        <v/>
      </c>
      <c r="Z118" s="7">
        <f>IF($AH118="","",IF(INDEX('Per Invoice'!Z$2:Z$401,$AH118)="","",INDEX('Per Invoice'!Z$2:Z$401,$AH118)))</f>
        <v/>
      </c>
      <c r="AA118" s="7">
        <f>IF($AH118="","",IF(INDEX('Per Invoice'!AA$2:AA$401,$AH118)="","",INDEX('Per Invoice'!AA$2:AA$401,$AH118)))</f>
        <v/>
      </c>
      <c r="AB118" s="7">
        <f>IF($AH118="","",IF(INDEX('Per Invoice'!AB$2:AB$401,$AH118)="","",INDEX('Per Invoice'!AB$2:AB$401,$AH118)))</f>
        <v/>
      </c>
      <c r="AC118" s="7">
        <f>IF($AH118="","",IF(INDEX('Per Invoice'!AC$2:AC$401,$AH118)="","",INDEX('Per Invoice'!AC$2:AC$401,$AH118)))</f>
        <v/>
      </c>
      <c r="AD118" s="7">
        <f>IF($AH118="","",IF(INDEX('Per Invoice'!AD$2:AD$401,$AH118)="","",INDEX('Per Invoice'!AD$2:AD$401,$AH118)))</f>
        <v/>
      </c>
      <c r="AE118" s="7">
        <f>IF($AH118="","",IF(INDEX('Per Invoice'!AE$2:AE$401,$AH118)="","",INDEX('Per Invoice'!AE$2:AE$401,$AH118)))</f>
        <v/>
      </c>
      <c r="AF118">
        <f>IF($AH118="","",IF(INDEX('Per Invoice'!AF$2:AF$401,$AH118)="","",INDEX('Per Invoice'!AF$2:AF$401,$AH118)))</f>
        <v/>
      </c>
      <c r="AG118" s="7">
        <f>IF($AH118="","",IF(INDEX('Per Invoice'!AG$2:AG$401,$AH118)="","",INDEX('Per Invoice'!AG$2:AG$401,$AH118)))</f>
        <v/>
      </c>
      <c r="AH118" s="16">
        <f>IFERROR(MATCH(Settings!$C$27&amp;"|"&amp;ROWS($AH$2:$AH118),'Per Invoice'!$AI$2:$AI$401,0),"")</f>
        <v/>
      </c>
    </row>
    <row r="119">
      <c r="A119">
        <f>IF($AH119="","",IF(INDEX('Per Invoice'!A$2:A$401,$AH119)="","",INDEX('Per Invoice'!A$2:A$401,$AH119)))</f>
        <v/>
      </c>
      <c r="B119">
        <f>IF($AH119="","",IF(INDEX('Per Invoice'!B$2:B$401,$AH119)="","",INDEX('Per Invoice'!B$2:B$401,$AH119)))</f>
        <v/>
      </c>
      <c r="C119">
        <f>IF($AH119="","",IF(INDEX('Per Invoice'!C$2:C$401,$AH119)="","",INDEX('Per Invoice'!C$2:C$401,$AH119)))</f>
        <v/>
      </c>
      <c r="D119">
        <f>IF($AH119="","",IF(INDEX('Per Invoice'!D$2:D$401,$AH119)="","",INDEX('Per Invoice'!D$2:D$401,$AH119)))</f>
        <v/>
      </c>
      <c r="E119">
        <f>IF($AH119="","",IF(INDEX('Per Invoice'!E$2:E$401,$AH119)="","",INDEX('Per Invoice'!E$2:E$401,$AH119)))</f>
        <v/>
      </c>
      <c r="F119">
        <f>IF($AH119="","",IF(INDEX('Per Invoice'!F$2:F$401,$AH119)="","",INDEX('Per Invoice'!F$2:F$401,$AH119)))</f>
        <v/>
      </c>
      <c r="G119">
        <f>IF($AH119="","",IF(INDEX('Per Invoice'!G$2:G$401,$AH119)="","",INDEX('Per Invoice'!G$2:G$401,$AH119)))</f>
        <v/>
      </c>
      <c r="H119">
        <f>IF($AH119="","",IF(INDEX('Per Invoice'!H$2:H$401,$AH119)="","",INDEX('Per Invoice'!H$2:H$401,$AH119)))</f>
        <v/>
      </c>
      <c r="I119" s="14">
        <f>IF($AH119="","",IF(INDEX('Per Invoice'!I$2:I$401,$AH119)="","",INDEX('Per Invoice'!I$2:I$401,$AH119)))</f>
        <v/>
      </c>
      <c r="J119">
        <f>IF($AH119="","",IF(INDEX('Per Invoice'!J$2:J$401,$AH119)="","",INDEX('Per Invoice'!J$2:J$401,$AH119)))</f>
        <v/>
      </c>
      <c r="K119">
        <f>IF($AH119="","",IF(INDEX('Per Invoice'!K$2:K$401,$AH119)="","",INDEX('Per Invoice'!K$2:K$401,$AH119)))</f>
        <v/>
      </c>
      <c r="L119">
        <f>IF($AH119="","",IF(INDEX('Per Invoice'!L$2:L$401,$AH119)="","",INDEX('Per Invoice'!L$2:L$401,$AH119)))</f>
        <v/>
      </c>
      <c r="M119">
        <f>IF($AH119="","",IF(INDEX('Per Invoice'!M$2:M$401,$AH119)="","",INDEX('Per Invoice'!M$2:M$401,$AH119)))</f>
        <v/>
      </c>
      <c r="N119">
        <f>IF($AH119="","",IF(INDEX('Per Invoice'!N$2:N$401,$AH119)="","",INDEX('Per Invoice'!N$2:N$401,$AH119)))</f>
        <v/>
      </c>
      <c r="O119">
        <f>IF($AH119="","",IF(INDEX('Per Invoice'!O$2:O$401,$AH119)="","",INDEX('Per Invoice'!O$2:O$401,$AH119)))</f>
        <v/>
      </c>
      <c r="P119" s="7">
        <f>IF($AH119="","",IF(INDEX('Per Invoice'!P$2:P$401,$AH119)="","",INDEX('Per Invoice'!P$2:P$401,$AH119)))</f>
        <v/>
      </c>
      <c r="Q119">
        <f>IF($AH119="","",IF(INDEX('Per Invoice'!Q$2:Q$401,$AH119)="","",INDEX('Per Invoice'!Q$2:Q$401,$AH119)))</f>
        <v/>
      </c>
      <c r="R119">
        <f>IF($AH119="","",IF(INDEX('Per Invoice'!R$2:R$401,$AH119)="","",INDEX('Per Invoice'!R$2:R$401,$AH119)))</f>
        <v/>
      </c>
      <c r="S119">
        <f>IF($AH119="","",IF(INDEX('Per Invoice'!S$2:S$401,$AH119)="","",INDEX('Per Invoice'!S$2:S$401,$AH119)))</f>
        <v/>
      </c>
      <c r="T119" s="7">
        <f>IF($AH119="","",IF(INDEX('Per Invoice'!T$2:T$401,$AH119)="","",INDEX('Per Invoice'!T$2:T$401,$AH119)))</f>
        <v/>
      </c>
      <c r="U119" s="7">
        <f>IF($AH119="","",IF(INDEX('Per Invoice'!U$2:U$401,$AH119)="","",INDEX('Per Invoice'!U$2:U$401,$AH119)))</f>
        <v/>
      </c>
      <c r="V119">
        <f>IF($AH119="","",IF(INDEX('Per Invoice'!V$2:V$401,$AH119)="","",INDEX('Per Invoice'!V$2:V$401,$AH119)))</f>
        <v/>
      </c>
      <c r="W119" s="7">
        <f>IF($AH119="","",IF(INDEX('Per Invoice'!W$2:W$401,$AH119)="","",INDEX('Per Invoice'!W$2:W$401,$AH119)))</f>
        <v/>
      </c>
      <c r="X119" s="7">
        <f>IF($AH119="","",IF(INDEX('Per Invoice'!X$2:X$401,$AH119)="","",INDEX('Per Invoice'!X$2:X$401,$AH119)))</f>
        <v/>
      </c>
      <c r="Y119">
        <f>IF($AH119="","",IF(INDEX('Per Invoice'!Y$2:Y$401,$AH119)="","",INDEX('Per Invoice'!Y$2:Y$401,$AH119)))</f>
        <v/>
      </c>
      <c r="Z119" s="7">
        <f>IF($AH119="","",IF(INDEX('Per Invoice'!Z$2:Z$401,$AH119)="","",INDEX('Per Invoice'!Z$2:Z$401,$AH119)))</f>
        <v/>
      </c>
      <c r="AA119" s="7">
        <f>IF($AH119="","",IF(INDEX('Per Invoice'!AA$2:AA$401,$AH119)="","",INDEX('Per Invoice'!AA$2:AA$401,$AH119)))</f>
        <v/>
      </c>
      <c r="AB119" s="7">
        <f>IF($AH119="","",IF(INDEX('Per Invoice'!AB$2:AB$401,$AH119)="","",INDEX('Per Invoice'!AB$2:AB$401,$AH119)))</f>
        <v/>
      </c>
      <c r="AC119" s="7">
        <f>IF($AH119="","",IF(INDEX('Per Invoice'!AC$2:AC$401,$AH119)="","",INDEX('Per Invoice'!AC$2:AC$401,$AH119)))</f>
        <v/>
      </c>
      <c r="AD119" s="7">
        <f>IF($AH119="","",IF(INDEX('Per Invoice'!AD$2:AD$401,$AH119)="","",INDEX('Per Invoice'!AD$2:AD$401,$AH119)))</f>
        <v/>
      </c>
      <c r="AE119" s="7">
        <f>IF($AH119="","",IF(INDEX('Per Invoice'!AE$2:AE$401,$AH119)="","",INDEX('Per Invoice'!AE$2:AE$401,$AH119)))</f>
        <v/>
      </c>
      <c r="AF119">
        <f>IF($AH119="","",IF(INDEX('Per Invoice'!AF$2:AF$401,$AH119)="","",INDEX('Per Invoice'!AF$2:AF$401,$AH119)))</f>
        <v/>
      </c>
      <c r="AG119" s="7">
        <f>IF($AH119="","",IF(INDEX('Per Invoice'!AG$2:AG$401,$AH119)="","",INDEX('Per Invoice'!AG$2:AG$401,$AH119)))</f>
        <v/>
      </c>
      <c r="AH119" s="16">
        <f>IFERROR(MATCH(Settings!$C$27&amp;"|"&amp;ROWS($AH$2:$AH119),'Per Invoice'!$AI$2:$AI$401,0),"")</f>
        <v/>
      </c>
    </row>
    <row r="120">
      <c r="A120">
        <f>IF($AH120="","",IF(INDEX('Per Invoice'!A$2:A$401,$AH120)="","",INDEX('Per Invoice'!A$2:A$401,$AH120)))</f>
        <v/>
      </c>
      <c r="B120">
        <f>IF($AH120="","",IF(INDEX('Per Invoice'!B$2:B$401,$AH120)="","",INDEX('Per Invoice'!B$2:B$401,$AH120)))</f>
        <v/>
      </c>
      <c r="C120">
        <f>IF($AH120="","",IF(INDEX('Per Invoice'!C$2:C$401,$AH120)="","",INDEX('Per Invoice'!C$2:C$401,$AH120)))</f>
        <v/>
      </c>
      <c r="D120">
        <f>IF($AH120="","",IF(INDEX('Per Invoice'!D$2:D$401,$AH120)="","",INDEX('Per Invoice'!D$2:D$401,$AH120)))</f>
        <v/>
      </c>
      <c r="E120">
        <f>IF($AH120="","",IF(INDEX('Per Invoice'!E$2:E$401,$AH120)="","",INDEX('Per Invoice'!E$2:E$401,$AH120)))</f>
        <v/>
      </c>
      <c r="F120">
        <f>IF($AH120="","",IF(INDEX('Per Invoice'!F$2:F$401,$AH120)="","",INDEX('Per Invoice'!F$2:F$401,$AH120)))</f>
        <v/>
      </c>
      <c r="G120">
        <f>IF($AH120="","",IF(INDEX('Per Invoice'!G$2:G$401,$AH120)="","",INDEX('Per Invoice'!G$2:G$401,$AH120)))</f>
        <v/>
      </c>
      <c r="H120">
        <f>IF($AH120="","",IF(INDEX('Per Invoice'!H$2:H$401,$AH120)="","",INDEX('Per Invoice'!H$2:H$401,$AH120)))</f>
        <v/>
      </c>
      <c r="I120" s="14">
        <f>IF($AH120="","",IF(INDEX('Per Invoice'!I$2:I$401,$AH120)="","",INDEX('Per Invoice'!I$2:I$401,$AH120)))</f>
        <v/>
      </c>
      <c r="J120">
        <f>IF($AH120="","",IF(INDEX('Per Invoice'!J$2:J$401,$AH120)="","",INDEX('Per Invoice'!J$2:J$401,$AH120)))</f>
        <v/>
      </c>
      <c r="K120">
        <f>IF($AH120="","",IF(INDEX('Per Invoice'!K$2:K$401,$AH120)="","",INDEX('Per Invoice'!K$2:K$401,$AH120)))</f>
        <v/>
      </c>
      <c r="L120">
        <f>IF($AH120="","",IF(INDEX('Per Invoice'!L$2:L$401,$AH120)="","",INDEX('Per Invoice'!L$2:L$401,$AH120)))</f>
        <v/>
      </c>
      <c r="M120">
        <f>IF($AH120="","",IF(INDEX('Per Invoice'!M$2:M$401,$AH120)="","",INDEX('Per Invoice'!M$2:M$401,$AH120)))</f>
        <v/>
      </c>
      <c r="N120">
        <f>IF($AH120="","",IF(INDEX('Per Invoice'!N$2:N$401,$AH120)="","",INDEX('Per Invoice'!N$2:N$401,$AH120)))</f>
        <v/>
      </c>
      <c r="O120">
        <f>IF($AH120="","",IF(INDEX('Per Invoice'!O$2:O$401,$AH120)="","",INDEX('Per Invoice'!O$2:O$401,$AH120)))</f>
        <v/>
      </c>
      <c r="P120" s="7">
        <f>IF($AH120="","",IF(INDEX('Per Invoice'!P$2:P$401,$AH120)="","",INDEX('Per Invoice'!P$2:P$401,$AH120)))</f>
        <v/>
      </c>
      <c r="Q120">
        <f>IF($AH120="","",IF(INDEX('Per Invoice'!Q$2:Q$401,$AH120)="","",INDEX('Per Invoice'!Q$2:Q$401,$AH120)))</f>
        <v/>
      </c>
      <c r="R120">
        <f>IF($AH120="","",IF(INDEX('Per Invoice'!R$2:R$401,$AH120)="","",INDEX('Per Invoice'!R$2:R$401,$AH120)))</f>
        <v/>
      </c>
      <c r="S120">
        <f>IF($AH120="","",IF(INDEX('Per Invoice'!S$2:S$401,$AH120)="","",INDEX('Per Invoice'!S$2:S$401,$AH120)))</f>
        <v/>
      </c>
      <c r="T120" s="7">
        <f>IF($AH120="","",IF(INDEX('Per Invoice'!T$2:T$401,$AH120)="","",INDEX('Per Invoice'!T$2:T$401,$AH120)))</f>
        <v/>
      </c>
      <c r="U120" s="7">
        <f>IF($AH120="","",IF(INDEX('Per Invoice'!U$2:U$401,$AH120)="","",INDEX('Per Invoice'!U$2:U$401,$AH120)))</f>
        <v/>
      </c>
      <c r="V120">
        <f>IF($AH120="","",IF(INDEX('Per Invoice'!V$2:V$401,$AH120)="","",INDEX('Per Invoice'!V$2:V$401,$AH120)))</f>
        <v/>
      </c>
      <c r="W120" s="7">
        <f>IF($AH120="","",IF(INDEX('Per Invoice'!W$2:W$401,$AH120)="","",INDEX('Per Invoice'!W$2:W$401,$AH120)))</f>
        <v/>
      </c>
      <c r="X120" s="7">
        <f>IF($AH120="","",IF(INDEX('Per Invoice'!X$2:X$401,$AH120)="","",INDEX('Per Invoice'!X$2:X$401,$AH120)))</f>
        <v/>
      </c>
      <c r="Y120">
        <f>IF($AH120="","",IF(INDEX('Per Invoice'!Y$2:Y$401,$AH120)="","",INDEX('Per Invoice'!Y$2:Y$401,$AH120)))</f>
        <v/>
      </c>
      <c r="Z120" s="7">
        <f>IF($AH120="","",IF(INDEX('Per Invoice'!Z$2:Z$401,$AH120)="","",INDEX('Per Invoice'!Z$2:Z$401,$AH120)))</f>
        <v/>
      </c>
      <c r="AA120" s="7">
        <f>IF($AH120="","",IF(INDEX('Per Invoice'!AA$2:AA$401,$AH120)="","",INDEX('Per Invoice'!AA$2:AA$401,$AH120)))</f>
        <v/>
      </c>
      <c r="AB120" s="7">
        <f>IF($AH120="","",IF(INDEX('Per Invoice'!AB$2:AB$401,$AH120)="","",INDEX('Per Invoice'!AB$2:AB$401,$AH120)))</f>
        <v/>
      </c>
      <c r="AC120" s="7">
        <f>IF($AH120="","",IF(INDEX('Per Invoice'!AC$2:AC$401,$AH120)="","",INDEX('Per Invoice'!AC$2:AC$401,$AH120)))</f>
        <v/>
      </c>
      <c r="AD120" s="7">
        <f>IF($AH120="","",IF(INDEX('Per Invoice'!AD$2:AD$401,$AH120)="","",INDEX('Per Invoice'!AD$2:AD$401,$AH120)))</f>
        <v/>
      </c>
      <c r="AE120" s="7">
        <f>IF($AH120="","",IF(INDEX('Per Invoice'!AE$2:AE$401,$AH120)="","",INDEX('Per Invoice'!AE$2:AE$401,$AH120)))</f>
        <v/>
      </c>
      <c r="AF120">
        <f>IF($AH120="","",IF(INDEX('Per Invoice'!AF$2:AF$401,$AH120)="","",INDEX('Per Invoice'!AF$2:AF$401,$AH120)))</f>
        <v/>
      </c>
      <c r="AG120" s="7">
        <f>IF($AH120="","",IF(INDEX('Per Invoice'!AG$2:AG$401,$AH120)="","",INDEX('Per Invoice'!AG$2:AG$401,$AH120)))</f>
        <v/>
      </c>
      <c r="AH120" s="16">
        <f>IFERROR(MATCH(Settings!$C$27&amp;"|"&amp;ROWS($AH$2:$AH120),'Per Invoice'!$AI$2:$AI$401,0),"")</f>
        <v/>
      </c>
    </row>
    <row r="121">
      <c r="A121">
        <f>IF($AH121="","",IF(INDEX('Per Invoice'!A$2:A$401,$AH121)="","",INDEX('Per Invoice'!A$2:A$401,$AH121)))</f>
        <v/>
      </c>
      <c r="B121">
        <f>IF($AH121="","",IF(INDEX('Per Invoice'!B$2:B$401,$AH121)="","",INDEX('Per Invoice'!B$2:B$401,$AH121)))</f>
        <v/>
      </c>
      <c r="C121">
        <f>IF($AH121="","",IF(INDEX('Per Invoice'!C$2:C$401,$AH121)="","",INDEX('Per Invoice'!C$2:C$401,$AH121)))</f>
        <v/>
      </c>
      <c r="D121">
        <f>IF($AH121="","",IF(INDEX('Per Invoice'!D$2:D$401,$AH121)="","",INDEX('Per Invoice'!D$2:D$401,$AH121)))</f>
        <v/>
      </c>
      <c r="E121">
        <f>IF($AH121="","",IF(INDEX('Per Invoice'!E$2:E$401,$AH121)="","",INDEX('Per Invoice'!E$2:E$401,$AH121)))</f>
        <v/>
      </c>
      <c r="F121">
        <f>IF($AH121="","",IF(INDEX('Per Invoice'!F$2:F$401,$AH121)="","",INDEX('Per Invoice'!F$2:F$401,$AH121)))</f>
        <v/>
      </c>
      <c r="G121">
        <f>IF($AH121="","",IF(INDEX('Per Invoice'!G$2:G$401,$AH121)="","",INDEX('Per Invoice'!G$2:G$401,$AH121)))</f>
        <v/>
      </c>
      <c r="H121">
        <f>IF($AH121="","",IF(INDEX('Per Invoice'!H$2:H$401,$AH121)="","",INDEX('Per Invoice'!H$2:H$401,$AH121)))</f>
        <v/>
      </c>
      <c r="I121" s="14">
        <f>IF($AH121="","",IF(INDEX('Per Invoice'!I$2:I$401,$AH121)="","",INDEX('Per Invoice'!I$2:I$401,$AH121)))</f>
        <v/>
      </c>
      <c r="J121">
        <f>IF($AH121="","",IF(INDEX('Per Invoice'!J$2:J$401,$AH121)="","",INDEX('Per Invoice'!J$2:J$401,$AH121)))</f>
        <v/>
      </c>
      <c r="K121">
        <f>IF($AH121="","",IF(INDEX('Per Invoice'!K$2:K$401,$AH121)="","",INDEX('Per Invoice'!K$2:K$401,$AH121)))</f>
        <v/>
      </c>
      <c r="L121">
        <f>IF($AH121="","",IF(INDEX('Per Invoice'!L$2:L$401,$AH121)="","",INDEX('Per Invoice'!L$2:L$401,$AH121)))</f>
        <v/>
      </c>
      <c r="M121">
        <f>IF($AH121="","",IF(INDEX('Per Invoice'!M$2:M$401,$AH121)="","",INDEX('Per Invoice'!M$2:M$401,$AH121)))</f>
        <v/>
      </c>
      <c r="N121">
        <f>IF($AH121="","",IF(INDEX('Per Invoice'!N$2:N$401,$AH121)="","",INDEX('Per Invoice'!N$2:N$401,$AH121)))</f>
        <v/>
      </c>
      <c r="O121">
        <f>IF($AH121="","",IF(INDEX('Per Invoice'!O$2:O$401,$AH121)="","",INDEX('Per Invoice'!O$2:O$401,$AH121)))</f>
        <v/>
      </c>
      <c r="P121" s="7">
        <f>IF($AH121="","",IF(INDEX('Per Invoice'!P$2:P$401,$AH121)="","",INDEX('Per Invoice'!P$2:P$401,$AH121)))</f>
        <v/>
      </c>
      <c r="Q121">
        <f>IF($AH121="","",IF(INDEX('Per Invoice'!Q$2:Q$401,$AH121)="","",INDEX('Per Invoice'!Q$2:Q$401,$AH121)))</f>
        <v/>
      </c>
      <c r="R121">
        <f>IF($AH121="","",IF(INDEX('Per Invoice'!R$2:R$401,$AH121)="","",INDEX('Per Invoice'!R$2:R$401,$AH121)))</f>
        <v/>
      </c>
      <c r="S121">
        <f>IF($AH121="","",IF(INDEX('Per Invoice'!S$2:S$401,$AH121)="","",INDEX('Per Invoice'!S$2:S$401,$AH121)))</f>
        <v/>
      </c>
      <c r="T121" s="7">
        <f>IF($AH121="","",IF(INDEX('Per Invoice'!T$2:T$401,$AH121)="","",INDEX('Per Invoice'!T$2:T$401,$AH121)))</f>
        <v/>
      </c>
      <c r="U121" s="7">
        <f>IF($AH121="","",IF(INDEX('Per Invoice'!U$2:U$401,$AH121)="","",INDEX('Per Invoice'!U$2:U$401,$AH121)))</f>
        <v/>
      </c>
      <c r="V121">
        <f>IF($AH121="","",IF(INDEX('Per Invoice'!V$2:V$401,$AH121)="","",INDEX('Per Invoice'!V$2:V$401,$AH121)))</f>
        <v/>
      </c>
      <c r="W121" s="7">
        <f>IF($AH121="","",IF(INDEX('Per Invoice'!W$2:W$401,$AH121)="","",INDEX('Per Invoice'!W$2:W$401,$AH121)))</f>
        <v/>
      </c>
      <c r="X121" s="7">
        <f>IF($AH121="","",IF(INDEX('Per Invoice'!X$2:X$401,$AH121)="","",INDEX('Per Invoice'!X$2:X$401,$AH121)))</f>
        <v/>
      </c>
      <c r="Y121">
        <f>IF($AH121="","",IF(INDEX('Per Invoice'!Y$2:Y$401,$AH121)="","",INDEX('Per Invoice'!Y$2:Y$401,$AH121)))</f>
        <v/>
      </c>
      <c r="Z121" s="7">
        <f>IF($AH121="","",IF(INDEX('Per Invoice'!Z$2:Z$401,$AH121)="","",INDEX('Per Invoice'!Z$2:Z$401,$AH121)))</f>
        <v/>
      </c>
      <c r="AA121" s="7">
        <f>IF($AH121="","",IF(INDEX('Per Invoice'!AA$2:AA$401,$AH121)="","",INDEX('Per Invoice'!AA$2:AA$401,$AH121)))</f>
        <v/>
      </c>
      <c r="AB121" s="7">
        <f>IF($AH121="","",IF(INDEX('Per Invoice'!AB$2:AB$401,$AH121)="","",INDEX('Per Invoice'!AB$2:AB$401,$AH121)))</f>
        <v/>
      </c>
      <c r="AC121" s="7">
        <f>IF($AH121="","",IF(INDEX('Per Invoice'!AC$2:AC$401,$AH121)="","",INDEX('Per Invoice'!AC$2:AC$401,$AH121)))</f>
        <v/>
      </c>
      <c r="AD121" s="7">
        <f>IF($AH121="","",IF(INDEX('Per Invoice'!AD$2:AD$401,$AH121)="","",INDEX('Per Invoice'!AD$2:AD$401,$AH121)))</f>
        <v/>
      </c>
      <c r="AE121" s="7">
        <f>IF($AH121="","",IF(INDEX('Per Invoice'!AE$2:AE$401,$AH121)="","",INDEX('Per Invoice'!AE$2:AE$401,$AH121)))</f>
        <v/>
      </c>
      <c r="AF121">
        <f>IF($AH121="","",IF(INDEX('Per Invoice'!AF$2:AF$401,$AH121)="","",INDEX('Per Invoice'!AF$2:AF$401,$AH121)))</f>
        <v/>
      </c>
      <c r="AG121" s="7">
        <f>IF($AH121="","",IF(INDEX('Per Invoice'!AG$2:AG$401,$AH121)="","",INDEX('Per Invoice'!AG$2:AG$401,$AH121)))</f>
        <v/>
      </c>
      <c r="AH121" s="16">
        <f>IFERROR(MATCH(Settings!$C$27&amp;"|"&amp;ROWS($AH$2:$AH121),'Per Invoice'!$AI$2:$AI$401,0),"")</f>
        <v/>
      </c>
    </row>
    <row r="122">
      <c r="A122">
        <f>IF($AH122="","",IF(INDEX('Per Invoice'!A$2:A$401,$AH122)="","",INDEX('Per Invoice'!A$2:A$401,$AH122)))</f>
        <v/>
      </c>
      <c r="B122">
        <f>IF($AH122="","",IF(INDEX('Per Invoice'!B$2:B$401,$AH122)="","",INDEX('Per Invoice'!B$2:B$401,$AH122)))</f>
        <v/>
      </c>
      <c r="C122">
        <f>IF($AH122="","",IF(INDEX('Per Invoice'!C$2:C$401,$AH122)="","",INDEX('Per Invoice'!C$2:C$401,$AH122)))</f>
        <v/>
      </c>
      <c r="D122">
        <f>IF($AH122="","",IF(INDEX('Per Invoice'!D$2:D$401,$AH122)="","",INDEX('Per Invoice'!D$2:D$401,$AH122)))</f>
        <v/>
      </c>
      <c r="E122">
        <f>IF($AH122="","",IF(INDEX('Per Invoice'!E$2:E$401,$AH122)="","",INDEX('Per Invoice'!E$2:E$401,$AH122)))</f>
        <v/>
      </c>
      <c r="F122">
        <f>IF($AH122="","",IF(INDEX('Per Invoice'!F$2:F$401,$AH122)="","",INDEX('Per Invoice'!F$2:F$401,$AH122)))</f>
        <v/>
      </c>
      <c r="G122">
        <f>IF($AH122="","",IF(INDEX('Per Invoice'!G$2:G$401,$AH122)="","",INDEX('Per Invoice'!G$2:G$401,$AH122)))</f>
        <v/>
      </c>
      <c r="H122">
        <f>IF($AH122="","",IF(INDEX('Per Invoice'!H$2:H$401,$AH122)="","",INDEX('Per Invoice'!H$2:H$401,$AH122)))</f>
        <v/>
      </c>
      <c r="I122" s="14">
        <f>IF($AH122="","",IF(INDEX('Per Invoice'!I$2:I$401,$AH122)="","",INDEX('Per Invoice'!I$2:I$401,$AH122)))</f>
        <v/>
      </c>
      <c r="J122">
        <f>IF($AH122="","",IF(INDEX('Per Invoice'!J$2:J$401,$AH122)="","",INDEX('Per Invoice'!J$2:J$401,$AH122)))</f>
        <v/>
      </c>
      <c r="K122">
        <f>IF($AH122="","",IF(INDEX('Per Invoice'!K$2:K$401,$AH122)="","",INDEX('Per Invoice'!K$2:K$401,$AH122)))</f>
        <v/>
      </c>
      <c r="L122">
        <f>IF($AH122="","",IF(INDEX('Per Invoice'!L$2:L$401,$AH122)="","",INDEX('Per Invoice'!L$2:L$401,$AH122)))</f>
        <v/>
      </c>
      <c r="M122">
        <f>IF($AH122="","",IF(INDEX('Per Invoice'!M$2:M$401,$AH122)="","",INDEX('Per Invoice'!M$2:M$401,$AH122)))</f>
        <v/>
      </c>
      <c r="N122">
        <f>IF($AH122="","",IF(INDEX('Per Invoice'!N$2:N$401,$AH122)="","",INDEX('Per Invoice'!N$2:N$401,$AH122)))</f>
        <v/>
      </c>
      <c r="O122">
        <f>IF($AH122="","",IF(INDEX('Per Invoice'!O$2:O$401,$AH122)="","",INDEX('Per Invoice'!O$2:O$401,$AH122)))</f>
        <v/>
      </c>
      <c r="P122" s="7">
        <f>IF($AH122="","",IF(INDEX('Per Invoice'!P$2:P$401,$AH122)="","",INDEX('Per Invoice'!P$2:P$401,$AH122)))</f>
        <v/>
      </c>
      <c r="Q122">
        <f>IF($AH122="","",IF(INDEX('Per Invoice'!Q$2:Q$401,$AH122)="","",INDEX('Per Invoice'!Q$2:Q$401,$AH122)))</f>
        <v/>
      </c>
      <c r="R122">
        <f>IF($AH122="","",IF(INDEX('Per Invoice'!R$2:R$401,$AH122)="","",INDEX('Per Invoice'!R$2:R$401,$AH122)))</f>
        <v/>
      </c>
      <c r="S122">
        <f>IF($AH122="","",IF(INDEX('Per Invoice'!S$2:S$401,$AH122)="","",INDEX('Per Invoice'!S$2:S$401,$AH122)))</f>
        <v/>
      </c>
      <c r="T122" s="7">
        <f>IF($AH122="","",IF(INDEX('Per Invoice'!T$2:T$401,$AH122)="","",INDEX('Per Invoice'!T$2:T$401,$AH122)))</f>
        <v/>
      </c>
      <c r="U122" s="7">
        <f>IF($AH122="","",IF(INDEX('Per Invoice'!U$2:U$401,$AH122)="","",INDEX('Per Invoice'!U$2:U$401,$AH122)))</f>
        <v/>
      </c>
      <c r="V122">
        <f>IF($AH122="","",IF(INDEX('Per Invoice'!V$2:V$401,$AH122)="","",INDEX('Per Invoice'!V$2:V$401,$AH122)))</f>
        <v/>
      </c>
      <c r="W122" s="7">
        <f>IF($AH122="","",IF(INDEX('Per Invoice'!W$2:W$401,$AH122)="","",INDEX('Per Invoice'!W$2:W$401,$AH122)))</f>
        <v/>
      </c>
      <c r="X122" s="7">
        <f>IF($AH122="","",IF(INDEX('Per Invoice'!X$2:X$401,$AH122)="","",INDEX('Per Invoice'!X$2:X$401,$AH122)))</f>
        <v/>
      </c>
      <c r="Y122">
        <f>IF($AH122="","",IF(INDEX('Per Invoice'!Y$2:Y$401,$AH122)="","",INDEX('Per Invoice'!Y$2:Y$401,$AH122)))</f>
        <v/>
      </c>
      <c r="Z122" s="7">
        <f>IF($AH122="","",IF(INDEX('Per Invoice'!Z$2:Z$401,$AH122)="","",INDEX('Per Invoice'!Z$2:Z$401,$AH122)))</f>
        <v/>
      </c>
      <c r="AA122" s="7">
        <f>IF($AH122="","",IF(INDEX('Per Invoice'!AA$2:AA$401,$AH122)="","",INDEX('Per Invoice'!AA$2:AA$401,$AH122)))</f>
        <v/>
      </c>
      <c r="AB122" s="7">
        <f>IF($AH122="","",IF(INDEX('Per Invoice'!AB$2:AB$401,$AH122)="","",INDEX('Per Invoice'!AB$2:AB$401,$AH122)))</f>
        <v/>
      </c>
      <c r="AC122" s="7">
        <f>IF($AH122="","",IF(INDEX('Per Invoice'!AC$2:AC$401,$AH122)="","",INDEX('Per Invoice'!AC$2:AC$401,$AH122)))</f>
        <v/>
      </c>
      <c r="AD122" s="7">
        <f>IF($AH122="","",IF(INDEX('Per Invoice'!AD$2:AD$401,$AH122)="","",INDEX('Per Invoice'!AD$2:AD$401,$AH122)))</f>
        <v/>
      </c>
      <c r="AE122" s="7">
        <f>IF($AH122="","",IF(INDEX('Per Invoice'!AE$2:AE$401,$AH122)="","",INDEX('Per Invoice'!AE$2:AE$401,$AH122)))</f>
        <v/>
      </c>
      <c r="AF122">
        <f>IF($AH122="","",IF(INDEX('Per Invoice'!AF$2:AF$401,$AH122)="","",INDEX('Per Invoice'!AF$2:AF$401,$AH122)))</f>
        <v/>
      </c>
      <c r="AG122" s="7">
        <f>IF($AH122="","",IF(INDEX('Per Invoice'!AG$2:AG$401,$AH122)="","",INDEX('Per Invoice'!AG$2:AG$401,$AH122)))</f>
        <v/>
      </c>
      <c r="AH122" s="16">
        <f>IFERROR(MATCH(Settings!$C$27&amp;"|"&amp;ROWS($AH$2:$AH122),'Per Invoice'!$AI$2:$AI$401,0),"")</f>
        <v/>
      </c>
    </row>
    <row r="123">
      <c r="A123">
        <f>IF($AH123="","",IF(INDEX('Per Invoice'!A$2:A$401,$AH123)="","",INDEX('Per Invoice'!A$2:A$401,$AH123)))</f>
        <v/>
      </c>
      <c r="B123">
        <f>IF($AH123="","",IF(INDEX('Per Invoice'!B$2:B$401,$AH123)="","",INDEX('Per Invoice'!B$2:B$401,$AH123)))</f>
        <v/>
      </c>
      <c r="C123">
        <f>IF($AH123="","",IF(INDEX('Per Invoice'!C$2:C$401,$AH123)="","",INDEX('Per Invoice'!C$2:C$401,$AH123)))</f>
        <v/>
      </c>
      <c r="D123">
        <f>IF($AH123="","",IF(INDEX('Per Invoice'!D$2:D$401,$AH123)="","",INDEX('Per Invoice'!D$2:D$401,$AH123)))</f>
        <v/>
      </c>
      <c r="E123">
        <f>IF($AH123="","",IF(INDEX('Per Invoice'!E$2:E$401,$AH123)="","",INDEX('Per Invoice'!E$2:E$401,$AH123)))</f>
        <v/>
      </c>
      <c r="F123">
        <f>IF($AH123="","",IF(INDEX('Per Invoice'!F$2:F$401,$AH123)="","",INDEX('Per Invoice'!F$2:F$401,$AH123)))</f>
        <v/>
      </c>
      <c r="G123">
        <f>IF($AH123="","",IF(INDEX('Per Invoice'!G$2:G$401,$AH123)="","",INDEX('Per Invoice'!G$2:G$401,$AH123)))</f>
        <v/>
      </c>
      <c r="H123">
        <f>IF($AH123="","",IF(INDEX('Per Invoice'!H$2:H$401,$AH123)="","",INDEX('Per Invoice'!H$2:H$401,$AH123)))</f>
        <v/>
      </c>
      <c r="I123" s="14">
        <f>IF($AH123="","",IF(INDEX('Per Invoice'!I$2:I$401,$AH123)="","",INDEX('Per Invoice'!I$2:I$401,$AH123)))</f>
        <v/>
      </c>
      <c r="J123">
        <f>IF($AH123="","",IF(INDEX('Per Invoice'!J$2:J$401,$AH123)="","",INDEX('Per Invoice'!J$2:J$401,$AH123)))</f>
        <v/>
      </c>
      <c r="K123">
        <f>IF($AH123="","",IF(INDEX('Per Invoice'!K$2:K$401,$AH123)="","",INDEX('Per Invoice'!K$2:K$401,$AH123)))</f>
        <v/>
      </c>
      <c r="L123">
        <f>IF($AH123="","",IF(INDEX('Per Invoice'!L$2:L$401,$AH123)="","",INDEX('Per Invoice'!L$2:L$401,$AH123)))</f>
        <v/>
      </c>
      <c r="M123">
        <f>IF($AH123="","",IF(INDEX('Per Invoice'!M$2:M$401,$AH123)="","",INDEX('Per Invoice'!M$2:M$401,$AH123)))</f>
        <v/>
      </c>
      <c r="N123">
        <f>IF($AH123="","",IF(INDEX('Per Invoice'!N$2:N$401,$AH123)="","",INDEX('Per Invoice'!N$2:N$401,$AH123)))</f>
        <v/>
      </c>
      <c r="O123">
        <f>IF($AH123="","",IF(INDEX('Per Invoice'!O$2:O$401,$AH123)="","",INDEX('Per Invoice'!O$2:O$401,$AH123)))</f>
        <v/>
      </c>
      <c r="P123" s="7">
        <f>IF($AH123="","",IF(INDEX('Per Invoice'!P$2:P$401,$AH123)="","",INDEX('Per Invoice'!P$2:P$401,$AH123)))</f>
        <v/>
      </c>
      <c r="Q123">
        <f>IF($AH123="","",IF(INDEX('Per Invoice'!Q$2:Q$401,$AH123)="","",INDEX('Per Invoice'!Q$2:Q$401,$AH123)))</f>
        <v/>
      </c>
      <c r="R123">
        <f>IF($AH123="","",IF(INDEX('Per Invoice'!R$2:R$401,$AH123)="","",INDEX('Per Invoice'!R$2:R$401,$AH123)))</f>
        <v/>
      </c>
      <c r="S123">
        <f>IF($AH123="","",IF(INDEX('Per Invoice'!S$2:S$401,$AH123)="","",INDEX('Per Invoice'!S$2:S$401,$AH123)))</f>
        <v/>
      </c>
      <c r="T123" s="7">
        <f>IF($AH123="","",IF(INDEX('Per Invoice'!T$2:T$401,$AH123)="","",INDEX('Per Invoice'!T$2:T$401,$AH123)))</f>
        <v/>
      </c>
      <c r="U123" s="7">
        <f>IF($AH123="","",IF(INDEX('Per Invoice'!U$2:U$401,$AH123)="","",INDEX('Per Invoice'!U$2:U$401,$AH123)))</f>
        <v/>
      </c>
      <c r="V123">
        <f>IF($AH123="","",IF(INDEX('Per Invoice'!V$2:V$401,$AH123)="","",INDEX('Per Invoice'!V$2:V$401,$AH123)))</f>
        <v/>
      </c>
      <c r="W123" s="7">
        <f>IF($AH123="","",IF(INDEX('Per Invoice'!W$2:W$401,$AH123)="","",INDEX('Per Invoice'!W$2:W$401,$AH123)))</f>
        <v/>
      </c>
      <c r="X123" s="7">
        <f>IF($AH123="","",IF(INDEX('Per Invoice'!X$2:X$401,$AH123)="","",INDEX('Per Invoice'!X$2:X$401,$AH123)))</f>
        <v/>
      </c>
      <c r="Y123">
        <f>IF($AH123="","",IF(INDEX('Per Invoice'!Y$2:Y$401,$AH123)="","",INDEX('Per Invoice'!Y$2:Y$401,$AH123)))</f>
        <v/>
      </c>
      <c r="Z123" s="7">
        <f>IF($AH123="","",IF(INDEX('Per Invoice'!Z$2:Z$401,$AH123)="","",INDEX('Per Invoice'!Z$2:Z$401,$AH123)))</f>
        <v/>
      </c>
      <c r="AA123" s="7">
        <f>IF($AH123="","",IF(INDEX('Per Invoice'!AA$2:AA$401,$AH123)="","",INDEX('Per Invoice'!AA$2:AA$401,$AH123)))</f>
        <v/>
      </c>
      <c r="AB123" s="7">
        <f>IF($AH123="","",IF(INDEX('Per Invoice'!AB$2:AB$401,$AH123)="","",INDEX('Per Invoice'!AB$2:AB$401,$AH123)))</f>
        <v/>
      </c>
      <c r="AC123" s="7">
        <f>IF($AH123="","",IF(INDEX('Per Invoice'!AC$2:AC$401,$AH123)="","",INDEX('Per Invoice'!AC$2:AC$401,$AH123)))</f>
        <v/>
      </c>
      <c r="AD123" s="7">
        <f>IF($AH123="","",IF(INDEX('Per Invoice'!AD$2:AD$401,$AH123)="","",INDEX('Per Invoice'!AD$2:AD$401,$AH123)))</f>
        <v/>
      </c>
      <c r="AE123" s="7">
        <f>IF($AH123="","",IF(INDEX('Per Invoice'!AE$2:AE$401,$AH123)="","",INDEX('Per Invoice'!AE$2:AE$401,$AH123)))</f>
        <v/>
      </c>
      <c r="AF123">
        <f>IF($AH123="","",IF(INDEX('Per Invoice'!AF$2:AF$401,$AH123)="","",INDEX('Per Invoice'!AF$2:AF$401,$AH123)))</f>
        <v/>
      </c>
      <c r="AG123" s="7">
        <f>IF($AH123="","",IF(INDEX('Per Invoice'!AG$2:AG$401,$AH123)="","",INDEX('Per Invoice'!AG$2:AG$401,$AH123)))</f>
        <v/>
      </c>
      <c r="AH123" s="16">
        <f>IFERROR(MATCH(Settings!$C$27&amp;"|"&amp;ROWS($AH$2:$AH123),'Per Invoice'!$AI$2:$AI$401,0),"")</f>
        <v/>
      </c>
    </row>
    <row r="124">
      <c r="A124">
        <f>IF($AH124="","",IF(INDEX('Per Invoice'!A$2:A$401,$AH124)="","",INDEX('Per Invoice'!A$2:A$401,$AH124)))</f>
        <v/>
      </c>
      <c r="B124">
        <f>IF($AH124="","",IF(INDEX('Per Invoice'!B$2:B$401,$AH124)="","",INDEX('Per Invoice'!B$2:B$401,$AH124)))</f>
        <v/>
      </c>
      <c r="C124">
        <f>IF($AH124="","",IF(INDEX('Per Invoice'!C$2:C$401,$AH124)="","",INDEX('Per Invoice'!C$2:C$401,$AH124)))</f>
        <v/>
      </c>
      <c r="D124">
        <f>IF($AH124="","",IF(INDEX('Per Invoice'!D$2:D$401,$AH124)="","",INDEX('Per Invoice'!D$2:D$401,$AH124)))</f>
        <v/>
      </c>
      <c r="E124">
        <f>IF($AH124="","",IF(INDEX('Per Invoice'!E$2:E$401,$AH124)="","",INDEX('Per Invoice'!E$2:E$401,$AH124)))</f>
        <v/>
      </c>
      <c r="F124">
        <f>IF($AH124="","",IF(INDEX('Per Invoice'!F$2:F$401,$AH124)="","",INDEX('Per Invoice'!F$2:F$401,$AH124)))</f>
        <v/>
      </c>
      <c r="G124">
        <f>IF($AH124="","",IF(INDEX('Per Invoice'!G$2:G$401,$AH124)="","",INDEX('Per Invoice'!G$2:G$401,$AH124)))</f>
        <v/>
      </c>
      <c r="H124">
        <f>IF($AH124="","",IF(INDEX('Per Invoice'!H$2:H$401,$AH124)="","",INDEX('Per Invoice'!H$2:H$401,$AH124)))</f>
        <v/>
      </c>
      <c r="I124" s="14">
        <f>IF($AH124="","",IF(INDEX('Per Invoice'!I$2:I$401,$AH124)="","",INDEX('Per Invoice'!I$2:I$401,$AH124)))</f>
        <v/>
      </c>
      <c r="J124">
        <f>IF($AH124="","",IF(INDEX('Per Invoice'!J$2:J$401,$AH124)="","",INDEX('Per Invoice'!J$2:J$401,$AH124)))</f>
        <v/>
      </c>
      <c r="K124">
        <f>IF($AH124="","",IF(INDEX('Per Invoice'!K$2:K$401,$AH124)="","",INDEX('Per Invoice'!K$2:K$401,$AH124)))</f>
        <v/>
      </c>
      <c r="L124">
        <f>IF($AH124="","",IF(INDEX('Per Invoice'!L$2:L$401,$AH124)="","",INDEX('Per Invoice'!L$2:L$401,$AH124)))</f>
        <v/>
      </c>
      <c r="M124">
        <f>IF($AH124="","",IF(INDEX('Per Invoice'!M$2:M$401,$AH124)="","",INDEX('Per Invoice'!M$2:M$401,$AH124)))</f>
        <v/>
      </c>
      <c r="N124">
        <f>IF($AH124="","",IF(INDEX('Per Invoice'!N$2:N$401,$AH124)="","",INDEX('Per Invoice'!N$2:N$401,$AH124)))</f>
        <v/>
      </c>
      <c r="O124">
        <f>IF($AH124="","",IF(INDEX('Per Invoice'!O$2:O$401,$AH124)="","",INDEX('Per Invoice'!O$2:O$401,$AH124)))</f>
        <v/>
      </c>
      <c r="P124" s="7">
        <f>IF($AH124="","",IF(INDEX('Per Invoice'!P$2:P$401,$AH124)="","",INDEX('Per Invoice'!P$2:P$401,$AH124)))</f>
        <v/>
      </c>
      <c r="Q124">
        <f>IF($AH124="","",IF(INDEX('Per Invoice'!Q$2:Q$401,$AH124)="","",INDEX('Per Invoice'!Q$2:Q$401,$AH124)))</f>
        <v/>
      </c>
      <c r="R124">
        <f>IF($AH124="","",IF(INDEX('Per Invoice'!R$2:R$401,$AH124)="","",INDEX('Per Invoice'!R$2:R$401,$AH124)))</f>
        <v/>
      </c>
      <c r="S124">
        <f>IF($AH124="","",IF(INDEX('Per Invoice'!S$2:S$401,$AH124)="","",INDEX('Per Invoice'!S$2:S$401,$AH124)))</f>
        <v/>
      </c>
      <c r="T124" s="7">
        <f>IF($AH124="","",IF(INDEX('Per Invoice'!T$2:T$401,$AH124)="","",INDEX('Per Invoice'!T$2:T$401,$AH124)))</f>
        <v/>
      </c>
      <c r="U124" s="7">
        <f>IF($AH124="","",IF(INDEX('Per Invoice'!U$2:U$401,$AH124)="","",INDEX('Per Invoice'!U$2:U$401,$AH124)))</f>
        <v/>
      </c>
      <c r="V124">
        <f>IF($AH124="","",IF(INDEX('Per Invoice'!V$2:V$401,$AH124)="","",INDEX('Per Invoice'!V$2:V$401,$AH124)))</f>
        <v/>
      </c>
      <c r="W124" s="7">
        <f>IF($AH124="","",IF(INDEX('Per Invoice'!W$2:W$401,$AH124)="","",INDEX('Per Invoice'!W$2:W$401,$AH124)))</f>
        <v/>
      </c>
      <c r="X124" s="7">
        <f>IF($AH124="","",IF(INDEX('Per Invoice'!X$2:X$401,$AH124)="","",INDEX('Per Invoice'!X$2:X$401,$AH124)))</f>
        <v/>
      </c>
      <c r="Y124">
        <f>IF($AH124="","",IF(INDEX('Per Invoice'!Y$2:Y$401,$AH124)="","",INDEX('Per Invoice'!Y$2:Y$401,$AH124)))</f>
        <v/>
      </c>
      <c r="Z124" s="7">
        <f>IF($AH124="","",IF(INDEX('Per Invoice'!Z$2:Z$401,$AH124)="","",INDEX('Per Invoice'!Z$2:Z$401,$AH124)))</f>
        <v/>
      </c>
      <c r="AA124" s="7">
        <f>IF($AH124="","",IF(INDEX('Per Invoice'!AA$2:AA$401,$AH124)="","",INDEX('Per Invoice'!AA$2:AA$401,$AH124)))</f>
        <v/>
      </c>
      <c r="AB124" s="7">
        <f>IF($AH124="","",IF(INDEX('Per Invoice'!AB$2:AB$401,$AH124)="","",INDEX('Per Invoice'!AB$2:AB$401,$AH124)))</f>
        <v/>
      </c>
      <c r="AC124" s="7">
        <f>IF($AH124="","",IF(INDEX('Per Invoice'!AC$2:AC$401,$AH124)="","",INDEX('Per Invoice'!AC$2:AC$401,$AH124)))</f>
        <v/>
      </c>
      <c r="AD124" s="7">
        <f>IF($AH124="","",IF(INDEX('Per Invoice'!AD$2:AD$401,$AH124)="","",INDEX('Per Invoice'!AD$2:AD$401,$AH124)))</f>
        <v/>
      </c>
      <c r="AE124" s="7">
        <f>IF($AH124="","",IF(INDEX('Per Invoice'!AE$2:AE$401,$AH124)="","",INDEX('Per Invoice'!AE$2:AE$401,$AH124)))</f>
        <v/>
      </c>
      <c r="AF124">
        <f>IF($AH124="","",IF(INDEX('Per Invoice'!AF$2:AF$401,$AH124)="","",INDEX('Per Invoice'!AF$2:AF$401,$AH124)))</f>
        <v/>
      </c>
      <c r="AG124" s="7">
        <f>IF($AH124="","",IF(INDEX('Per Invoice'!AG$2:AG$401,$AH124)="","",INDEX('Per Invoice'!AG$2:AG$401,$AH124)))</f>
        <v/>
      </c>
      <c r="AH124" s="16">
        <f>IFERROR(MATCH(Settings!$C$27&amp;"|"&amp;ROWS($AH$2:$AH124),'Per Invoice'!$AI$2:$AI$401,0),"")</f>
        <v/>
      </c>
    </row>
    <row r="125">
      <c r="A125">
        <f>IF($AH125="","",IF(INDEX('Per Invoice'!A$2:A$401,$AH125)="","",INDEX('Per Invoice'!A$2:A$401,$AH125)))</f>
        <v/>
      </c>
      <c r="B125">
        <f>IF($AH125="","",IF(INDEX('Per Invoice'!B$2:B$401,$AH125)="","",INDEX('Per Invoice'!B$2:B$401,$AH125)))</f>
        <v/>
      </c>
      <c r="C125">
        <f>IF($AH125="","",IF(INDEX('Per Invoice'!C$2:C$401,$AH125)="","",INDEX('Per Invoice'!C$2:C$401,$AH125)))</f>
        <v/>
      </c>
      <c r="D125">
        <f>IF($AH125="","",IF(INDEX('Per Invoice'!D$2:D$401,$AH125)="","",INDEX('Per Invoice'!D$2:D$401,$AH125)))</f>
        <v/>
      </c>
      <c r="E125">
        <f>IF($AH125="","",IF(INDEX('Per Invoice'!E$2:E$401,$AH125)="","",INDEX('Per Invoice'!E$2:E$401,$AH125)))</f>
        <v/>
      </c>
      <c r="F125">
        <f>IF($AH125="","",IF(INDEX('Per Invoice'!F$2:F$401,$AH125)="","",INDEX('Per Invoice'!F$2:F$401,$AH125)))</f>
        <v/>
      </c>
      <c r="G125">
        <f>IF($AH125="","",IF(INDEX('Per Invoice'!G$2:G$401,$AH125)="","",INDEX('Per Invoice'!G$2:G$401,$AH125)))</f>
        <v/>
      </c>
      <c r="H125">
        <f>IF($AH125="","",IF(INDEX('Per Invoice'!H$2:H$401,$AH125)="","",INDEX('Per Invoice'!H$2:H$401,$AH125)))</f>
        <v/>
      </c>
      <c r="I125" s="14">
        <f>IF($AH125="","",IF(INDEX('Per Invoice'!I$2:I$401,$AH125)="","",INDEX('Per Invoice'!I$2:I$401,$AH125)))</f>
        <v/>
      </c>
      <c r="J125">
        <f>IF($AH125="","",IF(INDEX('Per Invoice'!J$2:J$401,$AH125)="","",INDEX('Per Invoice'!J$2:J$401,$AH125)))</f>
        <v/>
      </c>
      <c r="K125">
        <f>IF($AH125="","",IF(INDEX('Per Invoice'!K$2:K$401,$AH125)="","",INDEX('Per Invoice'!K$2:K$401,$AH125)))</f>
        <v/>
      </c>
      <c r="L125">
        <f>IF($AH125="","",IF(INDEX('Per Invoice'!L$2:L$401,$AH125)="","",INDEX('Per Invoice'!L$2:L$401,$AH125)))</f>
        <v/>
      </c>
      <c r="M125">
        <f>IF($AH125="","",IF(INDEX('Per Invoice'!M$2:M$401,$AH125)="","",INDEX('Per Invoice'!M$2:M$401,$AH125)))</f>
        <v/>
      </c>
      <c r="N125">
        <f>IF($AH125="","",IF(INDEX('Per Invoice'!N$2:N$401,$AH125)="","",INDEX('Per Invoice'!N$2:N$401,$AH125)))</f>
        <v/>
      </c>
      <c r="O125">
        <f>IF($AH125="","",IF(INDEX('Per Invoice'!O$2:O$401,$AH125)="","",INDEX('Per Invoice'!O$2:O$401,$AH125)))</f>
        <v/>
      </c>
      <c r="P125" s="7">
        <f>IF($AH125="","",IF(INDEX('Per Invoice'!P$2:P$401,$AH125)="","",INDEX('Per Invoice'!P$2:P$401,$AH125)))</f>
        <v/>
      </c>
      <c r="Q125">
        <f>IF($AH125="","",IF(INDEX('Per Invoice'!Q$2:Q$401,$AH125)="","",INDEX('Per Invoice'!Q$2:Q$401,$AH125)))</f>
        <v/>
      </c>
      <c r="R125">
        <f>IF($AH125="","",IF(INDEX('Per Invoice'!R$2:R$401,$AH125)="","",INDEX('Per Invoice'!R$2:R$401,$AH125)))</f>
        <v/>
      </c>
      <c r="S125">
        <f>IF($AH125="","",IF(INDEX('Per Invoice'!S$2:S$401,$AH125)="","",INDEX('Per Invoice'!S$2:S$401,$AH125)))</f>
        <v/>
      </c>
      <c r="T125" s="7">
        <f>IF($AH125="","",IF(INDEX('Per Invoice'!T$2:T$401,$AH125)="","",INDEX('Per Invoice'!T$2:T$401,$AH125)))</f>
        <v/>
      </c>
      <c r="U125" s="7">
        <f>IF($AH125="","",IF(INDEX('Per Invoice'!U$2:U$401,$AH125)="","",INDEX('Per Invoice'!U$2:U$401,$AH125)))</f>
        <v/>
      </c>
      <c r="V125">
        <f>IF($AH125="","",IF(INDEX('Per Invoice'!V$2:V$401,$AH125)="","",INDEX('Per Invoice'!V$2:V$401,$AH125)))</f>
        <v/>
      </c>
      <c r="W125" s="7">
        <f>IF($AH125="","",IF(INDEX('Per Invoice'!W$2:W$401,$AH125)="","",INDEX('Per Invoice'!W$2:W$401,$AH125)))</f>
        <v/>
      </c>
      <c r="X125" s="7">
        <f>IF($AH125="","",IF(INDEX('Per Invoice'!X$2:X$401,$AH125)="","",INDEX('Per Invoice'!X$2:X$401,$AH125)))</f>
        <v/>
      </c>
      <c r="Y125">
        <f>IF($AH125="","",IF(INDEX('Per Invoice'!Y$2:Y$401,$AH125)="","",INDEX('Per Invoice'!Y$2:Y$401,$AH125)))</f>
        <v/>
      </c>
      <c r="Z125" s="7">
        <f>IF($AH125="","",IF(INDEX('Per Invoice'!Z$2:Z$401,$AH125)="","",INDEX('Per Invoice'!Z$2:Z$401,$AH125)))</f>
        <v/>
      </c>
      <c r="AA125" s="7">
        <f>IF($AH125="","",IF(INDEX('Per Invoice'!AA$2:AA$401,$AH125)="","",INDEX('Per Invoice'!AA$2:AA$401,$AH125)))</f>
        <v/>
      </c>
      <c r="AB125" s="7">
        <f>IF($AH125="","",IF(INDEX('Per Invoice'!AB$2:AB$401,$AH125)="","",INDEX('Per Invoice'!AB$2:AB$401,$AH125)))</f>
        <v/>
      </c>
      <c r="AC125" s="7">
        <f>IF($AH125="","",IF(INDEX('Per Invoice'!AC$2:AC$401,$AH125)="","",INDEX('Per Invoice'!AC$2:AC$401,$AH125)))</f>
        <v/>
      </c>
      <c r="AD125" s="7">
        <f>IF($AH125="","",IF(INDEX('Per Invoice'!AD$2:AD$401,$AH125)="","",INDEX('Per Invoice'!AD$2:AD$401,$AH125)))</f>
        <v/>
      </c>
      <c r="AE125" s="7">
        <f>IF($AH125="","",IF(INDEX('Per Invoice'!AE$2:AE$401,$AH125)="","",INDEX('Per Invoice'!AE$2:AE$401,$AH125)))</f>
        <v/>
      </c>
      <c r="AF125">
        <f>IF($AH125="","",IF(INDEX('Per Invoice'!AF$2:AF$401,$AH125)="","",INDEX('Per Invoice'!AF$2:AF$401,$AH125)))</f>
        <v/>
      </c>
      <c r="AG125" s="7">
        <f>IF($AH125="","",IF(INDEX('Per Invoice'!AG$2:AG$401,$AH125)="","",INDEX('Per Invoice'!AG$2:AG$401,$AH125)))</f>
        <v/>
      </c>
      <c r="AH125" s="16">
        <f>IFERROR(MATCH(Settings!$C$27&amp;"|"&amp;ROWS($AH$2:$AH125),'Per Invoice'!$AI$2:$AI$401,0),"")</f>
        <v/>
      </c>
    </row>
    <row r="126">
      <c r="A126">
        <f>IF($AH126="","",IF(INDEX('Per Invoice'!A$2:A$401,$AH126)="","",INDEX('Per Invoice'!A$2:A$401,$AH126)))</f>
        <v/>
      </c>
      <c r="B126">
        <f>IF($AH126="","",IF(INDEX('Per Invoice'!B$2:B$401,$AH126)="","",INDEX('Per Invoice'!B$2:B$401,$AH126)))</f>
        <v/>
      </c>
      <c r="C126">
        <f>IF($AH126="","",IF(INDEX('Per Invoice'!C$2:C$401,$AH126)="","",INDEX('Per Invoice'!C$2:C$401,$AH126)))</f>
        <v/>
      </c>
      <c r="D126">
        <f>IF($AH126="","",IF(INDEX('Per Invoice'!D$2:D$401,$AH126)="","",INDEX('Per Invoice'!D$2:D$401,$AH126)))</f>
        <v/>
      </c>
      <c r="E126">
        <f>IF($AH126="","",IF(INDEX('Per Invoice'!E$2:E$401,$AH126)="","",INDEX('Per Invoice'!E$2:E$401,$AH126)))</f>
        <v/>
      </c>
      <c r="F126">
        <f>IF($AH126="","",IF(INDEX('Per Invoice'!F$2:F$401,$AH126)="","",INDEX('Per Invoice'!F$2:F$401,$AH126)))</f>
        <v/>
      </c>
      <c r="G126">
        <f>IF($AH126="","",IF(INDEX('Per Invoice'!G$2:G$401,$AH126)="","",INDEX('Per Invoice'!G$2:G$401,$AH126)))</f>
        <v/>
      </c>
      <c r="H126">
        <f>IF($AH126="","",IF(INDEX('Per Invoice'!H$2:H$401,$AH126)="","",INDEX('Per Invoice'!H$2:H$401,$AH126)))</f>
        <v/>
      </c>
      <c r="I126" s="14">
        <f>IF($AH126="","",IF(INDEX('Per Invoice'!I$2:I$401,$AH126)="","",INDEX('Per Invoice'!I$2:I$401,$AH126)))</f>
        <v/>
      </c>
      <c r="J126">
        <f>IF($AH126="","",IF(INDEX('Per Invoice'!J$2:J$401,$AH126)="","",INDEX('Per Invoice'!J$2:J$401,$AH126)))</f>
        <v/>
      </c>
      <c r="K126">
        <f>IF($AH126="","",IF(INDEX('Per Invoice'!K$2:K$401,$AH126)="","",INDEX('Per Invoice'!K$2:K$401,$AH126)))</f>
        <v/>
      </c>
      <c r="L126">
        <f>IF($AH126="","",IF(INDEX('Per Invoice'!L$2:L$401,$AH126)="","",INDEX('Per Invoice'!L$2:L$401,$AH126)))</f>
        <v/>
      </c>
      <c r="M126">
        <f>IF($AH126="","",IF(INDEX('Per Invoice'!M$2:M$401,$AH126)="","",INDEX('Per Invoice'!M$2:M$401,$AH126)))</f>
        <v/>
      </c>
      <c r="N126">
        <f>IF($AH126="","",IF(INDEX('Per Invoice'!N$2:N$401,$AH126)="","",INDEX('Per Invoice'!N$2:N$401,$AH126)))</f>
        <v/>
      </c>
      <c r="O126">
        <f>IF($AH126="","",IF(INDEX('Per Invoice'!O$2:O$401,$AH126)="","",INDEX('Per Invoice'!O$2:O$401,$AH126)))</f>
        <v/>
      </c>
      <c r="P126" s="7">
        <f>IF($AH126="","",IF(INDEX('Per Invoice'!P$2:P$401,$AH126)="","",INDEX('Per Invoice'!P$2:P$401,$AH126)))</f>
        <v/>
      </c>
      <c r="Q126">
        <f>IF($AH126="","",IF(INDEX('Per Invoice'!Q$2:Q$401,$AH126)="","",INDEX('Per Invoice'!Q$2:Q$401,$AH126)))</f>
        <v/>
      </c>
      <c r="R126">
        <f>IF($AH126="","",IF(INDEX('Per Invoice'!R$2:R$401,$AH126)="","",INDEX('Per Invoice'!R$2:R$401,$AH126)))</f>
        <v/>
      </c>
      <c r="S126">
        <f>IF($AH126="","",IF(INDEX('Per Invoice'!S$2:S$401,$AH126)="","",INDEX('Per Invoice'!S$2:S$401,$AH126)))</f>
        <v/>
      </c>
      <c r="T126" s="7">
        <f>IF($AH126="","",IF(INDEX('Per Invoice'!T$2:T$401,$AH126)="","",INDEX('Per Invoice'!T$2:T$401,$AH126)))</f>
        <v/>
      </c>
      <c r="U126" s="7">
        <f>IF($AH126="","",IF(INDEX('Per Invoice'!U$2:U$401,$AH126)="","",INDEX('Per Invoice'!U$2:U$401,$AH126)))</f>
        <v/>
      </c>
      <c r="V126">
        <f>IF($AH126="","",IF(INDEX('Per Invoice'!V$2:V$401,$AH126)="","",INDEX('Per Invoice'!V$2:V$401,$AH126)))</f>
        <v/>
      </c>
      <c r="W126" s="7">
        <f>IF($AH126="","",IF(INDEX('Per Invoice'!W$2:W$401,$AH126)="","",INDEX('Per Invoice'!W$2:W$401,$AH126)))</f>
        <v/>
      </c>
      <c r="X126" s="7">
        <f>IF($AH126="","",IF(INDEX('Per Invoice'!X$2:X$401,$AH126)="","",INDEX('Per Invoice'!X$2:X$401,$AH126)))</f>
        <v/>
      </c>
      <c r="Y126">
        <f>IF($AH126="","",IF(INDEX('Per Invoice'!Y$2:Y$401,$AH126)="","",INDEX('Per Invoice'!Y$2:Y$401,$AH126)))</f>
        <v/>
      </c>
      <c r="Z126" s="7">
        <f>IF($AH126="","",IF(INDEX('Per Invoice'!Z$2:Z$401,$AH126)="","",INDEX('Per Invoice'!Z$2:Z$401,$AH126)))</f>
        <v/>
      </c>
      <c r="AA126" s="7">
        <f>IF($AH126="","",IF(INDEX('Per Invoice'!AA$2:AA$401,$AH126)="","",INDEX('Per Invoice'!AA$2:AA$401,$AH126)))</f>
        <v/>
      </c>
      <c r="AB126" s="7">
        <f>IF($AH126="","",IF(INDEX('Per Invoice'!AB$2:AB$401,$AH126)="","",INDEX('Per Invoice'!AB$2:AB$401,$AH126)))</f>
        <v/>
      </c>
      <c r="AC126" s="7">
        <f>IF($AH126="","",IF(INDEX('Per Invoice'!AC$2:AC$401,$AH126)="","",INDEX('Per Invoice'!AC$2:AC$401,$AH126)))</f>
        <v/>
      </c>
      <c r="AD126" s="7">
        <f>IF($AH126="","",IF(INDEX('Per Invoice'!AD$2:AD$401,$AH126)="","",INDEX('Per Invoice'!AD$2:AD$401,$AH126)))</f>
        <v/>
      </c>
      <c r="AE126" s="7">
        <f>IF($AH126="","",IF(INDEX('Per Invoice'!AE$2:AE$401,$AH126)="","",INDEX('Per Invoice'!AE$2:AE$401,$AH126)))</f>
        <v/>
      </c>
      <c r="AF126">
        <f>IF($AH126="","",IF(INDEX('Per Invoice'!AF$2:AF$401,$AH126)="","",INDEX('Per Invoice'!AF$2:AF$401,$AH126)))</f>
        <v/>
      </c>
      <c r="AG126" s="7">
        <f>IF($AH126="","",IF(INDEX('Per Invoice'!AG$2:AG$401,$AH126)="","",INDEX('Per Invoice'!AG$2:AG$401,$AH126)))</f>
        <v/>
      </c>
      <c r="AH126" s="16">
        <f>IFERROR(MATCH(Settings!$C$27&amp;"|"&amp;ROWS($AH$2:$AH126),'Per Invoice'!$AI$2:$AI$401,0),"")</f>
        <v/>
      </c>
    </row>
    <row r="127">
      <c r="A127">
        <f>IF($AH127="","",IF(INDEX('Per Invoice'!A$2:A$401,$AH127)="","",INDEX('Per Invoice'!A$2:A$401,$AH127)))</f>
        <v/>
      </c>
      <c r="B127">
        <f>IF($AH127="","",IF(INDEX('Per Invoice'!B$2:B$401,$AH127)="","",INDEX('Per Invoice'!B$2:B$401,$AH127)))</f>
        <v/>
      </c>
      <c r="C127">
        <f>IF($AH127="","",IF(INDEX('Per Invoice'!C$2:C$401,$AH127)="","",INDEX('Per Invoice'!C$2:C$401,$AH127)))</f>
        <v/>
      </c>
      <c r="D127">
        <f>IF($AH127="","",IF(INDEX('Per Invoice'!D$2:D$401,$AH127)="","",INDEX('Per Invoice'!D$2:D$401,$AH127)))</f>
        <v/>
      </c>
      <c r="E127">
        <f>IF($AH127="","",IF(INDEX('Per Invoice'!E$2:E$401,$AH127)="","",INDEX('Per Invoice'!E$2:E$401,$AH127)))</f>
        <v/>
      </c>
      <c r="F127">
        <f>IF($AH127="","",IF(INDEX('Per Invoice'!F$2:F$401,$AH127)="","",INDEX('Per Invoice'!F$2:F$401,$AH127)))</f>
        <v/>
      </c>
      <c r="G127">
        <f>IF($AH127="","",IF(INDEX('Per Invoice'!G$2:G$401,$AH127)="","",INDEX('Per Invoice'!G$2:G$401,$AH127)))</f>
        <v/>
      </c>
      <c r="H127">
        <f>IF($AH127="","",IF(INDEX('Per Invoice'!H$2:H$401,$AH127)="","",INDEX('Per Invoice'!H$2:H$401,$AH127)))</f>
        <v/>
      </c>
      <c r="I127" s="14">
        <f>IF($AH127="","",IF(INDEX('Per Invoice'!I$2:I$401,$AH127)="","",INDEX('Per Invoice'!I$2:I$401,$AH127)))</f>
        <v/>
      </c>
      <c r="J127">
        <f>IF($AH127="","",IF(INDEX('Per Invoice'!J$2:J$401,$AH127)="","",INDEX('Per Invoice'!J$2:J$401,$AH127)))</f>
        <v/>
      </c>
      <c r="K127">
        <f>IF($AH127="","",IF(INDEX('Per Invoice'!K$2:K$401,$AH127)="","",INDEX('Per Invoice'!K$2:K$401,$AH127)))</f>
        <v/>
      </c>
      <c r="L127">
        <f>IF($AH127="","",IF(INDEX('Per Invoice'!L$2:L$401,$AH127)="","",INDEX('Per Invoice'!L$2:L$401,$AH127)))</f>
        <v/>
      </c>
      <c r="M127">
        <f>IF($AH127="","",IF(INDEX('Per Invoice'!M$2:M$401,$AH127)="","",INDEX('Per Invoice'!M$2:M$401,$AH127)))</f>
        <v/>
      </c>
      <c r="N127">
        <f>IF($AH127="","",IF(INDEX('Per Invoice'!N$2:N$401,$AH127)="","",INDEX('Per Invoice'!N$2:N$401,$AH127)))</f>
        <v/>
      </c>
      <c r="O127">
        <f>IF($AH127="","",IF(INDEX('Per Invoice'!O$2:O$401,$AH127)="","",INDEX('Per Invoice'!O$2:O$401,$AH127)))</f>
        <v/>
      </c>
      <c r="P127" s="7">
        <f>IF($AH127="","",IF(INDEX('Per Invoice'!P$2:P$401,$AH127)="","",INDEX('Per Invoice'!P$2:P$401,$AH127)))</f>
        <v/>
      </c>
      <c r="Q127">
        <f>IF($AH127="","",IF(INDEX('Per Invoice'!Q$2:Q$401,$AH127)="","",INDEX('Per Invoice'!Q$2:Q$401,$AH127)))</f>
        <v/>
      </c>
      <c r="R127">
        <f>IF($AH127="","",IF(INDEX('Per Invoice'!R$2:R$401,$AH127)="","",INDEX('Per Invoice'!R$2:R$401,$AH127)))</f>
        <v/>
      </c>
      <c r="S127">
        <f>IF($AH127="","",IF(INDEX('Per Invoice'!S$2:S$401,$AH127)="","",INDEX('Per Invoice'!S$2:S$401,$AH127)))</f>
        <v/>
      </c>
      <c r="T127" s="7">
        <f>IF($AH127="","",IF(INDEX('Per Invoice'!T$2:T$401,$AH127)="","",INDEX('Per Invoice'!T$2:T$401,$AH127)))</f>
        <v/>
      </c>
      <c r="U127" s="7">
        <f>IF($AH127="","",IF(INDEX('Per Invoice'!U$2:U$401,$AH127)="","",INDEX('Per Invoice'!U$2:U$401,$AH127)))</f>
        <v/>
      </c>
      <c r="V127">
        <f>IF($AH127="","",IF(INDEX('Per Invoice'!V$2:V$401,$AH127)="","",INDEX('Per Invoice'!V$2:V$401,$AH127)))</f>
        <v/>
      </c>
      <c r="W127" s="7">
        <f>IF($AH127="","",IF(INDEX('Per Invoice'!W$2:W$401,$AH127)="","",INDEX('Per Invoice'!W$2:W$401,$AH127)))</f>
        <v/>
      </c>
      <c r="X127" s="7">
        <f>IF($AH127="","",IF(INDEX('Per Invoice'!X$2:X$401,$AH127)="","",INDEX('Per Invoice'!X$2:X$401,$AH127)))</f>
        <v/>
      </c>
      <c r="Y127">
        <f>IF($AH127="","",IF(INDEX('Per Invoice'!Y$2:Y$401,$AH127)="","",INDEX('Per Invoice'!Y$2:Y$401,$AH127)))</f>
        <v/>
      </c>
      <c r="Z127" s="7">
        <f>IF($AH127="","",IF(INDEX('Per Invoice'!Z$2:Z$401,$AH127)="","",INDEX('Per Invoice'!Z$2:Z$401,$AH127)))</f>
        <v/>
      </c>
      <c r="AA127" s="7">
        <f>IF($AH127="","",IF(INDEX('Per Invoice'!AA$2:AA$401,$AH127)="","",INDEX('Per Invoice'!AA$2:AA$401,$AH127)))</f>
        <v/>
      </c>
      <c r="AB127" s="7">
        <f>IF($AH127="","",IF(INDEX('Per Invoice'!AB$2:AB$401,$AH127)="","",INDEX('Per Invoice'!AB$2:AB$401,$AH127)))</f>
        <v/>
      </c>
      <c r="AC127" s="7">
        <f>IF($AH127="","",IF(INDEX('Per Invoice'!AC$2:AC$401,$AH127)="","",INDEX('Per Invoice'!AC$2:AC$401,$AH127)))</f>
        <v/>
      </c>
      <c r="AD127" s="7">
        <f>IF($AH127="","",IF(INDEX('Per Invoice'!AD$2:AD$401,$AH127)="","",INDEX('Per Invoice'!AD$2:AD$401,$AH127)))</f>
        <v/>
      </c>
      <c r="AE127" s="7">
        <f>IF($AH127="","",IF(INDEX('Per Invoice'!AE$2:AE$401,$AH127)="","",INDEX('Per Invoice'!AE$2:AE$401,$AH127)))</f>
        <v/>
      </c>
      <c r="AF127">
        <f>IF($AH127="","",IF(INDEX('Per Invoice'!AF$2:AF$401,$AH127)="","",INDEX('Per Invoice'!AF$2:AF$401,$AH127)))</f>
        <v/>
      </c>
      <c r="AG127" s="7">
        <f>IF($AH127="","",IF(INDEX('Per Invoice'!AG$2:AG$401,$AH127)="","",INDEX('Per Invoice'!AG$2:AG$401,$AH127)))</f>
        <v/>
      </c>
      <c r="AH127" s="16">
        <f>IFERROR(MATCH(Settings!$C$27&amp;"|"&amp;ROWS($AH$2:$AH127),'Per Invoice'!$AI$2:$AI$401,0),"")</f>
        <v/>
      </c>
    </row>
    <row r="128">
      <c r="A128">
        <f>IF($AH128="","",IF(INDEX('Per Invoice'!A$2:A$401,$AH128)="","",INDEX('Per Invoice'!A$2:A$401,$AH128)))</f>
        <v/>
      </c>
      <c r="B128">
        <f>IF($AH128="","",IF(INDEX('Per Invoice'!B$2:B$401,$AH128)="","",INDEX('Per Invoice'!B$2:B$401,$AH128)))</f>
        <v/>
      </c>
      <c r="C128">
        <f>IF($AH128="","",IF(INDEX('Per Invoice'!C$2:C$401,$AH128)="","",INDEX('Per Invoice'!C$2:C$401,$AH128)))</f>
        <v/>
      </c>
      <c r="D128">
        <f>IF($AH128="","",IF(INDEX('Per Invoice'!D$2:D$401,$AH128)="","",INDEX('Per Invoice'!D$2:D$401,$AH128)))</f>
        <v/>
      </c>
      <c r="E128">
        <f>IF($AH128="","",IF(INDEX('Per Invoice'!E$2:E$401,$AH128)="","",INDEX('Per Invoice'!E$2:E$401,$AH128)))</f>
        <v/>
      </c>
      <c r="F128">
        <f>IF($AH128="","",IF(INDEX('Per Invoice'!F$2:F$401,$AH128)="","",INDEX('Per Invoice'!F$2:F$401,$AH128)))</f>
        <v/>
      </c>
      <c r="G128">
        <f>IF($AH128="","",IF(INDEX('Per Invoice'!G$2:G$401,$AH128)="","",INDEX('Per Invoice'!G$2:G$401,$AH128)))</f>
        <v/>
      </c>
      <c r="H128">
        <f>IF($AH128="","",IF(INDEX('Per Invoice'!H$2:H$401,$AH128)="","",INDEX('Per Invoice'!H$2:H$401,$AH128)))</f>
        <v/>
      </c>
      <c r="I128" s="14">
        <f>IF($AH128="","",IF(INDEX('Per Invoice'!I$2:I$401,$AH128)="","",INDEX('Per Invoice'!I$2:I$401,$AH128)))</f>
        <v/>
      </c>
      <c r="J128">
        <f>IF($AH128="","",IF(INDEX('Per Invoice'!J$2:J$401,$AH128)="","",INDEX('Per Invoice'!J$2:J$401,$AH128)))</f>
        <v/>
      </c>
      <c r="K128">
        <f>IF($AH128="","",IF(INDEX('Per Invoice'!K$2:K$401,$AH128)="","",INDEX('Per Invoice'!K$2:K$401,$AH128)))</f>
        <v/>
      </c>
      <c r="L128">
        <f>IF($AH128="","",IF(INDEX('Per Invoice'!L$2:L$401,$AH128)="","",INDEX('Per Invoice'!L$2:L$401,$AH128)))</f>
        <v/>
      </c>
      <c r="M128">
        <f>IF($AH128="","",IF(INDEX('Per Invoice'!M$2:M$401,$AH128)="","",INDEX('Per Invoice'!M$2:M$401,$AH128)))</f>
        <v/>
      </c>
      <c r="N128">
        <f>IF($AH128="","",IF(INDEX('Per Invoice'!N$2:N$401,$AH128)="","",INDEX('Per Invoice'!N$2:N$401,$AH128)))</f>
        <v/>
      </c>
      <c r="O128">
        <f>IF($AH128="","",IF(INDEX('Per Invoice'!O$2:O$401,$AH128)="","",INDEX('Per Invoice'!O$2:O$401,$AH128)))</f>
        <v/>
      </c>
      <c r="P128" s="7">
        <f>IF($AH128="","",IF(INDEX('Per Invoice'!P$2:P$401,$AH128)="","",INDEX('Per Invoice'!P$2:P$401,$AH128)))</f>
        <v/>
      </c>
      <c r="Q128">
        <f>IF($AH128="","",IF(INDEX('Per Invoice'!Q$2:Q$401,$AH128)="","",INDEX('Per Invoice'!Q$2:Q$401,$AH128)))</f>
        <v/>
      </c>
      <c r="R128">
        <f>IF($AH128="","",IF(INDEX('Per Invoice'!R$2:R$401,$AH128)="","",INDEX('Per Invoice'!R$2:R$401,$AH128)))</f>
        <v/>
      </c>
      <c r="S128">
        <f>IF($AH128="","",IF(INDEX('Per Invoice'!S$2:S$401,$AH128)="","",INDEX('Per Invoice'!S$2:S$401,$AH128)))</f>
        <v/>
      </c>
      <c r="T128" s="7">
        <f>IF($AH128="","",IF(INDEX('Per Invoice'!T$2:T$401,$AH128)="","",INDEX('Per Invoice'!T$2:T$401,$AH128)))</f>
        <v/>
      </c>
      <c r="U128" s="7">
        <f>IF($AH128="","",IF(INDEX('Per Invoice'!U$2:U$401,$AH128)="","",INDEX('Per Invoice'!U$2:U$401,$AH128)))</f>
        <v/>
      </c>
      <c r="V128">
        <f>IF($AH128="","",IF(INDEX('Per Invoice'!V$2:V$401,$AH128)="","",INDEX('Per Invoice'!V$2:V$401,$AH128)))</f>
        <v/>
      </c>
      <c r="W128" s="7">
        <f>IF($AH128="","",IF(INDEX('Per Invoice'!W$2:W$401,$AH128)="","",INDEX('Per Invoice'!W$2:W$401,$AH128)))</f>
        <v/>
      </c>
      <c r="X128" s="7">
        <f>IF($AH128="","",IF(INDEX('Per Invoice'!X$2:X$401,$AH128)="","",INDEX('Per Invoice'!X$2:X$401,$AH128)))</f>
        <v/>
      </c>
      <c r="Y128">
        <f>IF($AH128="","",IF(INDEX('Per Invoice'!Y$2:Y$401,$AH128)="","",INDEX('Per Invoice'!Y$2:Y$401,$AH128)))</f>
        <v/>
      </c>
      <c r="Z128" s="7">
        <f>IF($AH128="","",IF(INDEX('Per Invoice'!Z$2:Z$401,$AH128)="","",INDEX('Per Invoice'!Z$2:Z$401,$AH128)))</f>
        <v/>
      </c>
      <c r="AA128" s="7">
        <f>IF($AH128="","",IF(INDEX('Per Invoice'!AA$2:AA$401,$AH128)="","",INDEX('Per Invoice'!AA$2:AA$401,$AH128)))</f>
        <v/>
      </c>
      <c r="AB128" s="7">
        <f>IF($AH128="","",IF(INDEX('Per Invoice'!AB$2:AB$401,$AH128)="","",INDEX('Per Invoice'!AB$2:AB$401,$AH128)))</f>
        <v/>
      </c>
      <c r="AC128" s="7">
        <f>IF($AH128="","",IF(INDEX('Per Invoice'!AC$2:AC$401,$AH128)="","",INDEX('Per Invoice'!AC$2:AC$401,$AH128)))</f>
        <v/>
      </c>
      <c r="AD128" s="7">
        <f>IF($AH128="","",IF(INDEX('Per Invoice'!AD$2:AD$401,$AH128)="","",INDEX('Per Invoice'!AD$2:AD$401,$AH128)))</f>
        <v/>
      </c>
      <c r="AE128" s="7">
        <f>IF($AH128="","",IF(INDEX('Per Invoice'!AE$2:AE$401,$AH128)="","",INDEX('Per Invoice'!AE$2:AE$401,$AH128)))</f>
        <v/>
      </c>
      <c r="AF128">
        <f>IF($AH128="","",IF(INDEX('Per Invoice'!AF$2:AF$401,$AH128)="","",INDEX('Per Invoice'!AF$2:AF$401,$AH128)))</f>
        <v/>
      </c>
      <c r="AG128" s="7">
        <f>IF($AH128="","",IF(INDEX('Per Invoice'!AG$2:AG$401,$AH128)="","",INDEX('Per Invoice'!AG$2:AG$401,$AH128)))</f>
        <v/>
      </c>
      <c r="AH128" s="16">
        <f>IFERROR(MATCH(Settings!$C$27&amp;"|"&amp;ROWS($AH$2:$AH128),'Per Invoice'!$AI$2:$AI$401,0),"")</f>
        <v/>
      </c>
    </row>
    <row r="129">
      <c r="A129">
        <f>IF($AH129="","",IF(INDEX('Per Invoice'!A$2:A$401,$AH129)="","",INDEX('Per Invoice'!A$2:A$401,$AH129)))</f>
        <v/>
      </c>
      <c r="B129">
        <f>IF($AH129="","",IF(INDEX('Per Invoice'!B$2:B$401,$AH129)="","",INDEX('Per Invoice'!B$2:B$401,$AH129)))</f>
        <v/>
      </c>
      <c r="C129">
        <f>IF($AH129="","",IF(INDEX('Per Invoice'!C$2:C$401,$AH129)="","",INDEX('Per Invoice'!C$2:C$401,$AH129)))</f>
        <v/>
      </c>
      <c r="D129">
        <f>IF($AH129="","",IF(INDEX('Per Invoice'!D$2:D$401,$AH129)="","",INDEX('Per Invoice'!D$2:D$401,$AH129)))</f>
        <v/>
      </c>
      <c r="E129">
        <f>IF($AH129="","",IF(INDEX('Per Invoice'!E$2:E$401,$AH129)="","",INDEX('Per Invoice'!E$2:E$401,$AH129)))</f>
        <v/>
      </c>
      <c r="F129">
        <f>IF($AH129="","",IF(INDEX('Per Invoice'!F$2:F$401,$AH129)="","",INDEX('Per Invoice'!F$2:F$401,$AH129)))</f>
        <v/>
      </c>
      <c r="G129">
        <f>IF($AH129="","",IF(INDEX('Per Invoice'!G$2:G$401,$AH129)="","",INDEX('Per Invoice'!G$2:G$401,$AH129)))</f>
        <v/>
      </c>
      <c r="H129">
        <f>IF($AH129="","",IF(INDEX('Per Invoice'!H$2:H$401,$AH129)="","",INDEX('Per Invoice'!H$2:H$401,$AH129)))</f>
        <v/>
      </c>
      <c r="I129" s="14">
        <f>IF($AH129="","",IF(INDEX('Per Invoice'!I$2:I$401,$AH129)="","",INDEX('Per Invoice'!I$2:I$401,$AH129)))</f>
        <v/>
      </c>
      <c r="J129">
        <f>IF($AH129="","",IF(INDEX('Per Invoice'!J$2:J$401,$AH129)="","",INDEX('Per Invoice'!J$2:J$401,$AH129)))</f>
        <v/>
      </c>
      <c r="K129">
        <f>IF($AH129="","",IF(INDEX('Per Invoice'!K$2:K$401,$AH129)="","",INDEX('Per Invoice'!K$2:K$401,$AH129)))</f>
        <v/>
      </c>
      <c r="L129">
        <f>IF($AH129="","",IF(INDEX('Per Invoice'!L$2:L$401,$AH129)="","",INDEX('Per Invoice'!L$2:L$401,$AH129)))</f>
        <v/>
      </c>
      <c r="M129">
        <f>IF($AH129="","",IF(INDEX('Per Invoice'!M$2:M$401,$AH129)="","",INDEX('Per Invoice'!M$2:M$401,$AH129)))</f>
        <v/>
      </c>
      <c r="N129">
        <f>IF($AH129="","",IF(INDEX('Per Invoice'!N$2:N$401,$AH129)="","",INDEX('Per Invoice'!N$2:N$401,$AH129)))</f>
        <v/>
      </c>
      <c r="O129">
        <f>IF($AH129="","",IF(INDEX('Per Invoice'!O$2:O$401,$AH129)="","",INDEX('Per Invoice'!O$2:O$401,$AH129)))</f>
        <v/>
      </c>
      <c r="P129" s="7">
        <f>IF($AH129="","",IF(INDEX('Per Invoice'!P$2:P$401,$AH129)="","",INDEX('Per Invoice'!P$2:P$401,$AH129)))</f>
        <v/>
      </c>
      <c r="Q129">
        <f>IF($AH129="","",IF(INDEX('Per Invoice'!Q$2:Q$401,$AH129)="","",INDEX('Per Invoice'!Q$2:Q$401,$AH129)))</f>
        <v/>
      </c>
      <c r="R129">
        <f>IF($AH129="","",IF(INDEX('Per Invoice'!R$2:R$401,$AH129)="","",INDEX('Per Invoice'!R$2:R$401,$AH129)))</f>
        <v/>
      </c>
      <c r="S129">
        <f>IF($AH129="","",IF(INDEX('Per Invoice'!S$2:S$401,$AH129)="","",INDEX('Per Invoice'!S$2:S$401,$AH129)))</f>
        <v/>
      </c>
      <c r="T129" s="7">
        <f>IF($AH129="","",IF(INDEX('Per Invoice'!T$2:T$401,$AH129)="","",INDEX('Per Invoice'!T$2:T$401,$AH129)))</f>
        <v/>
      </c>
      <c r="U129" s="7">
        <f>IF($AH129="","",IF(INDEX('Per Invoice'!U$2:U$401,$AH129)="","",INDEX('Per Invoice'!U$2:U$401,$AH129)))</f>
        <v/>
      </c>
      <c r="V129">
        <f>IF($AH129="","",IF(INDEX('Per Invoice'!V$2:V$401,$AH129)="","",INDEX('Per Invoice'!V$2:V$401,$AH129)))</f>
        <v/>
      </c>
      <c r="W129" s="7">
        <f>IF($AH129="","",IF(INDEX('Per Invoice'!W$2:W$401,$AH129)="","",INDEX('Per Invoice'!W$2:W$401,$AH129)))</f>
        <v/>
      </c>
      <c r="X129" s="7">
        <f>IF($AH129="","",IF(INDEX('Per Invoice'!X$2:X$401,$AH129)="","",INDEX('Per Invoice'!X$2:X$401,$AH129)))</f>
        <v/>
      </c>
      <c r="Y129">
        <f>IF($AH129="","",IF(INDEX('Per Invoice'!Y$2:Y$401,$AH129)="","",INDEX('Per Invoice'!Y$2:Y$401,$AH129)))</f>
        <v/>
      </c>
      <c r="Z129" s="7">
        <f>IF($AH129="","",IF(INDEX('Per Invoice'!Z$2:Z$401,$AH129)="","",INDEX('Per Invoice'!Z$2:Z$401,$AH129)))</f>
        <v/>
      </c>
      <c r="AA129" s="7">
        <f>IF($AH129="","",IF(INDEX('Per Invoice'!AA$2:AA$401,$AH129)="","",INDEX('Per Invoice'!AA$2:AA$401,$AH129)))</f>
        <v/>
      </c>
      <c r="AB129" s="7">
        <f>IF($AH129="","",IF(INDEX('Per Invoice'!AB$2:AB$401,$AH129)="","",INDEX('Per Invoice'!AB$2:AB$401,$AH129)))</f>
        <v/>
      </c>
      <c r="AC129" s="7">
        <f>IF($AH129="","",IF(INDEX('Per Invoice'!AC$2:AC$401,$AH129)="","",INDEX('Per Invoice'!AC$2:AC$401,$AH129)))</f>
        <v/>
      </c>
      <c r="AD129" s="7">
        <f>IF($AH129="","",IF(INDEX('Per Invoice'!AD$2:AD$401,$AH129)="","",INDEX('Per Invoice'!AD$2:AD$401,$AH129)))</f>
        <v/>
      </c>
      <c r="AE129" s="7">
        <f>IF($AH129="","",IF(INDEX('Per Invoice'!AE$2:AE$401,$AH129)="","",INDEX('Per Invoice'!AE$2:AE$401,$AH129)))</f>
        <v/>
      </c>
      <c r="AF129">
        <f>IF($AH129="","",IF(INDEX('Per Invoice'!AF$2:AF$401,$AH129)="","",INDEX('Per Invoice'!AF$2:AF$401,$AH129)))</f>
        <v/>
      </c>
      <c r="AG129" s="7">
        <f>IF($AH129="","",IF(INDEX('Per Invoice'!AG$2:AG$401,$AH129)="","",INDEX('Per Invoice'!AG$2:AG$401,$AH129)))</f>
        <v/>
      </c>
      <c r="AH129" s="16">
        <f>IFERROR(MATCH(Settings!$C$27&amp;"|"&amp;ROWS($AH$2:$AH129),'Per Invoice'!$AI$2:$AI$401,0),"")</f>
        <v/>
      </c>
    </row>
    <row r="130">
      <c r="A130">
        <f>IF($AH130="","",IF(INDEX('Per Invoice'!A$2:A$401,$AH130)="","",INDEX('Per Invoice'!A$2:A$401,$AH130)))</f>
        <v/>
      </c>
      <c r="B130">
        <f>IF($AH130="","",IF(INDEX('Per Invoice'!B$2:B$401,$AH130)="","",INDEX('Per Invoice'!B$2:B$401,$AH130)))</f>
        <v/>
      </c>
      <c r="C130">
        <f>IF($AH130="","",IF(INDEX('Per Invoice'!C$2:C$401,$AH130)="","",INDEX('Per Invoice'!C$2:C$401,$AH130)))</f>
        <v/>
      </c>
      <c r="D130">
        <f>IF($AH130="","",IF(INDEX('Per Invoice'!D$2:D$401,$AH130)="","",INDEX('Per Invoice'!D$2:D$401,$AH130)))</f>
        <v/>
      </c>
      <c r="E130">
        <f>IF($AH130="","",IF(INDEX('Per Invoice'!E$2:E$401,$AH130)="","",INDEX('Per Invoice'!E$2:E$401,$AH130)))</f>
        <v/>
      </c>
      <c r="F130">
        <f>IF($AH130="","",IF(INDEX('Per Invoice'!F$2:F$401,$AH130)="","",INDEX('Per Invoice'!F$2:F$401,$AH130)))</f>
        <v/>
      </c>
      <c r="G130">
        <f>IF($AH130="","",IF(INDEX('Per Invoice'!G$2:G$401,$AH130)="","",INDEX('Per Invoice'!G$2:G$401,$AH130)))</f>
        <v/>
      </c>
      <c r="H130">
        <f>IF($AH130="","",IF(INDEX('Per Invoice'!H$2:H$401,$AH130)="","",INDEX('Per Invoice'!H$2:H$401,$AH130)))</f>
        <v/>
      </c>
      <c r="I130" s="14">
        <f>IF($AH130="","",IF(INDEX('Per Invoice'!I$2:I$401,$AH130)="","",INDEX('Per Invoice'!I$2:I$401,$AH130)))</f>
        <v/>
      </c>
      <c r="J130">
        <f>IF($AH130="","",IF(INDEX('Per Invoice'!J$2:J$401,$AH130)="","",INDEX('Per Invoice'!J$2:J$401,$AH130)))</f>
        <v/>
      </c>
      <c r="K130">
        <f>IF($AH130="","",IF(INDEX('Per Invoice'!K$2:K$401,$AH130)="","",INDEX('Per Invoice'!K$2:K$401,$AH130)))</f>
        <v/>
      </c>
      <c r="L130">
        <f>IF($AH130="","",IF(INDEX('Per Invoice'!L$2:L$401,$AH130)="","",INDEX('Per Invoice'!L$2:L$401,$AH130)))</f>
        <v/>
      </c>
      <c r="M130">
        <f>IF($AH130="","",IF(INDEX('Per Invoice'!M$2:M$401,$AH130)="","",INDEX('Per Invoice'!M$2:M$401,$AH130)))</f>
        <v/>
      </c>
      <c r="N130">
        <f>IF($AH130="","",IF(INDEX('Per Invoice'!N$2:N$401,$AH130)="","",INDEX('Per Invoice'!N$2:N$401,$AH130)))</f>
        <v/>
      </c>
      <c r="O130">
        <f>IF($AH130="","",IF(INDEX('Per Invoice'!O$2:O$401,$AH130)="","",INDEX('Per Invoice'!O$2:O$401,$AH130)))</f>
        <v/>
      </c>
      <c r="P130" s="7">
        <f>IF($AH130="","",IF(INDEX('Per Invoice'!P$2:P$401,$AH130)="","",INDEX('Per Invoice'!P$2:P$401,$AH130)))</f>
        <v/>
      </c>
      <c r="Q130">
        <f>IF($AH130="","",IF(INDEX('Per Invoice'!Q$2:Q$401,$AH130)="","",INDEX('Per Invoice'!Q$2:Q$401,$AH130)))</f>
        <v/>
      </c>
      <c r="R130">
        <f>IF($AH130="","",IF(INDEX('Per Invoice'!R$2:R$401,$AH130)="","",INDEX('Per Invoice'!R$2:R$401,$AH130)))</f>
        <v/>
      </c>
      <c r="S130">
        <f>IF($AH130="","",IF(INDEX('Per Invoice'!S$2:S$401,$AH130)="","",INDEX('Per Invoice'!S$2:S$401,$AH130)))</f>
        <v/>
      </c>
      <c r="T130" s="7">
        <f>IF($AH130="","",IF(INDEX('Per Invoice'!T$2:T$401,$AH130)="","",INDEX('Per Invoice'!T$2:T$401,$AH130)))</f>
        <v/>
      </c>
      <c r="U130" s="7">
        <f>IF($AH130="","",IF(INDEX('Per Invoice'!U$2:U$401,$AH130)="","",INDEX('Per Invoice'!U$2:U$401,$AH130)))</f>
        <v/>
      </c>
      <c r="V130">
        <f>IF($AH130="","",IF(INDEX('Per Invoice'!V$2:V$401,$AH130)="","",INDEX('Per Invoice'!V$2:V$401,$AH130)))</f>
        <v/>
      </c>
      <c r="W130" s="7">
        <f>IF($AH130="","",IF(INDEX('Per Invoice'!W$2:W$401,$AH130)="","",INDEX('Per Invoice'!W$2:W$401,$AH130)))</f>
        <v/>
      </c>
      <c r="X130" s="7">
        <f>IF($AH130="","",IF(INDEX('Per Invoice'!X$2:X$401,$AH130)="","",INDEX('Per Invoice'!X$2:X$401,$AH130)))</f>
        <v/>
      </c>
      <c r="Y130">
        <f>IF($AH130="","",IF(INDEX('Per Invoice'!Y$2:Y$401,$AH130)="","",INDEX('Per Invoice'!Y$2:Y$401,$AH130)))</f>
        <v/>
      </c>
      <c r="Z130" s="7">
        <f>IF($AH130="","",IF(INDEX('Per Invoice'!Z$2:Z$401,$AH130)="","",INDEX('Per Invoice'!Z$2:Z$401,$AH130)))</f>
        <v/>
      </c>
      <c r="AA130" s="7">
        <f>IF($AH130="","",IF(INDEX('Per Invoice'!AA$2:AA$401,$AH130)="","",INDEX('Per Invoice'!AA$2:AA$401,$AH130)))</f>
        <v/>
      </c>
      <c r="AB130" s="7">
        <f>IF($AH130="","",IF(INDEX('Per Invoice'!AB$2:AB$401,$AH130)="","",INDEX('Per Invoice'!AB$2:AB$401,$AH130)))</f>
        <v/>
      </c>
      <c r="AC130" s="7">
        <f>IF($AH130="","",IF(INDEX('Per Invoice'!AC$2:AC$401,$AH130)="","",INDEX('Per Invoice'!AC$2:AC$401,$AH130)))</f>
        <v/>
      </c>
      <c r="AD130" s="7">
        <f>IF($AH130="","",IF(INDEX('Per Invoice'!AD$2:AD$401,$AH130)="","",INDEX('Per Invoice'!AD$2:AD$401,$AH130)))</f>
        <v/>
      </c>
      <c r="AE130" s="7">
        <f>IF($AH130="","",IF(INDEX('Per Invoice'!AE$2:AE$401,$AH130)="","",INDEX('Per Invoice'!AE$2:AE$401,$AH130)))</f>
        <v/>
      </c>
      <c r="AF130">
        <f>IF($AH130="","",IF(INDEX('Per Invoice'!AF$2:AF$401,$AH130)="","",INDEX('Per Invoice'!AF$2:AF$401,$AH130)))</f>
        <v/>
      </c>
      <c r="AG130" s="7">
        <f>IF($AH130="","",IF(INDEX('Per Invoice'!AG$2:AG$401,$AH130)="","",INDEX('Per Invoice'!AG$2:AG$401,$AH130)))</f>
        <v/>
      </c>
      <c r="AH130" s="16">
        <f>IFERROR(MATCH(Settings!$C$27&amp;"|"&amp;ROWS($AH$2:$AH130),'Per Invoice'!$AI$2:$AI$401,0),"")</f>
        <v/>
      </c>
    </row>
    <row r="131">
      <c r="A131">
        <f>IF($AH131="","",IF(INDEX('Per Invoice'!A$2:A$401,$AH131)="","",INDEX('Per Invoice'!A$2:A$401,$AH131)))</f>
        <v/>
      </c>
      <c r="B131">
        <f>IF($AH131="","",IF(INDEX('Per Invoice'!B$2:B$401,$AH131)="","",INDEX('Per Invoice'!B$2:B$401,$AH131)))</f>
        <v/>
      </c>
      <c r="C131">
        <f>IF($AH131="","",IF(INDEX('Per Invoice'!C$2:C$401,$AH131)="","",INDEX('Per Invoice'!C$2:C$401,$AH131)))</f>
        <v/>
      </c>
      <c r="D131">
        <f>IF($AH131="","",IF(INDEX('Per Invoice'!D$2:D$401,$AH131)="","",INDEX('Per Invoice'!D$2:D$401,$AH131)))</f>
        <v/>
      </c>
      <c r="E131">
        <f>IF($AH131="","",IF(INDEX('Per Invoice'!E$2:E$401,$AH131)="","",INDEX('Per Invoice'!E$2:E$401,$AH131)))</f>
        <v/>
      </c>
      <c r="F131">
        <f>IF($AH131="","",IF(INDEX('Per Invoice'!F$2:F$401,$AH131)="","",INDEX('Per Invoice'!F$2:F$401,$AH131)))</f>
        <v/>
      </c>
      <c r="G131">
        <f>IF($AH131="","",IF(INDEX('Per Invoice'!G$2:G$401,$AH131)="","",INDEX('Per Invoice'!G$2:G$401,$AH131)))</f>
        <v/>
      </c>
      <c r="H131">
        <f>IF($AH131="","",IF(INDEX('Per Invoice'!H$2:H$401,$AH131)="","",INDEX('Per Invoice'!H$2:H$401,$AH131)))</f>
        <v/>
      </c>
      <c r="I131" s="14">
        <f>IF($AH131="","",IF(INDEX('Per Invoice'!I$2:I$401,$AH131)="","",INDEX('Per Invoice'!I$2:I$401,$AH131)))</f>
        <v/>
      </c>
      <c r="J131">
        <f>IF($AH131="","",IF(INDEX('Per Invoice'!J$2:J$401,$AH131)="","",INDEX('Per Invoice'!J$2:J$401,$AH131)))</f>
        <v/>
      </c>
      <c r="K131">
        <f>IF($AH131="","",IF(INDEX('Per Invoice'!K$2:K$401,$AH131)="","",INDEX('Per Invoice'!K$2:K$401,$AH131)))</f>
        <v/>
      </c>
      <c r="L131">
        <f>IF($AH131="","",IF(INDEX('Per Invoice'!L$2:L$401,$AH131)="","",INDEX('Per Invoice'!L$2:L$401,$AH131)))</f>
        <v/>
      </c>
      <c r="M131">
        <f>IF($AH131="","",IF(INDEX('Per Invoice'!M$2:M$401,$AH131)="","",INDEX('Per Invoice'!M$2:M$401,$AH131)))</f>
        <v/>
      </c>
      <c r="N131">
        <f>IF($AH131="","",IF(INDEX('Per Invoice'!N$2:N$401,$AH131)="","",INDEX('Per Invoice'!N$2:N$401,$AH131)))</f>
        <v/>
      </c>
      <c r="O131">
        <f>IF($AH131="","",IF(INDEX('Per Invoice'!O$2:O$401,$AH131)="","",INDEX('Per Invoice'!O$2:O$401,$AH131)))</f>
        <v/>
      </c>
      <c r="P131" s="7">
        <f>IF($AH131="","",IF(INDEX('Per Invoice'!P$2:P$401,$AH131)="","",INDEX('Per Invoice'!P$2:P$401,$AH131)))</f>
        <v/>
      </c>
      <c r="Q131">
        <f>IF($AH131="","",IF(INDEX('Per Invoice'!Q$2:Q$401,$AH131)="","",INDEX('Per Invoice'!Q$2:Q$401,$AH131)))</f>
        <v/>
      </c>
      <c r="R131">
        <f>IF($AH131="","",IF(INDEX('Per Invoice'!R$2:R$401,$AH131)="","",INDEX('Per Invoice'!R$2:R$401,$AH131)))</f>
        <v/>
      </c>
      <c r="S131">
        <f>IF($AH131="","",IF(INDEX('Per Invoice'!S$2:S$401,$AH131)="","",INDEX('Per Invoice'!S$2:S$401,$AH131)))</f>
        <v/>
      </c>
      <c r="T131" s="7">
        <f>IF($AH131="","",IF(INDEX('Per Invoice'!T$2:T$401,$AH131)="","",INDEX('Per Invoice'!T$2:T$401,$AH131)))</f>
        <v/>
      </c>
      <c r="U131" s="7">
        <f>IF($AH131="","",IF(INDEX('Per Invoice'!U$2:U$401,$AH131)="","",INDEX('Per Invoice'!U$2:U$401,$AH131)))</f>
        <v/>
      </c>
      <c r="V131">
        <f>IF($AH131="","",IF(INDEX('Per Invoice'!V$2:V$401,$AH131)="","",INDEX('Per Invoice'!V$2:V$401,$AH131)))</f>
        <v/>
      </c>
      <c r="W131" s="7">
        <f>IF($AH131="","",IF(INDEX('Per Invoice'!W$2:W$401,$AH131)="","",INDEX('Per Invoice'!W$2:W$401,$AH131)))</f>
        <v/>
      </c>
      <c r="X131" s="7">
        <f>IF($AH131="","",IF(INDEX('Per Invoice'!X$2:X$401,$AH131)="","",INDEX('Per Invoice'!X$2:X$401,$AH131)))</f>
        <v/>
      </c>
      <c r="Y131">
        <f>IF($AH131="","",IF(INDEX('Per Invoice'!Y$2:Y$401,$AH131)="","",INDEX('Per Invoice'!Y$2:Y$401,$AH131)))</f>
        <v/>
      </c>
      <c r="Z131" s="7">
        <f>IF($AH131="","",IF(INDEX('Per Invoice'!Z$2:Z$401,$AH131)="","",INDEX('Per Invoice'!Z$2:Z$401,$AH131)))</f>
        <v/>
      </c>
      <c r="AA131" s="7">
        <f>IF($AH131="","",IF(INDEX('Per Invoice'!AA$2:AA$401,$AH131)="","",INDEX('Per Invoice'!AA$2:AA$401,$AH131)))</f>
        <v/>
      </c>
      <c r="AB131" s="7">
        <f>IF($AH131="","",IF(INDEX('Per Invoice'!AB$2:AB$401,$AH131)="","",INDEX('Per Invoice'!AB$2:AB$401,$AH131)))</f>
        <v/>
      </c>
      <c r="AC131" s="7">
        <f>IF($AH131="","",IF(INDEX('Per Invoice'!AC$2:AC$401,$AH131)="","",INDEX('Per Invoice'!AC$2:AC$401,$AH131)))</f>
        <v/>
      </c>
      <c r="AD131" s="7">
        <f>IF($AH131="","",IF(INDEX('Per Invoice'!AD$2:AD$401,$AH131)="","",INDEX('Per Invoice'!AD$2:AD$401,$AH131)))</f>
        <v/>
      </c>
      <c r="AE131" s="7">
        <f>IF($AH131="","",IF(INDEX('Per Invoice'!AE$2:AE$401,$AH131)="","",INDEX('Per Invoice'!AE$2:AE$401,$AH131)))</f>
        <v/>
      </c>
      <c r="AF131">
        <f>IF($AH131="","",IF(INDEX('Per Invoice'!AF$2:AF$401,$AH131)="","",INDEX('Per Invoice'!AF$2:AF$401,$AH131)))</f>
        <v/>
      </c>
      <c r="AG131" s="7">
        <f>IF($AH131="","",IF(INDEX('Per Invoice'!AG$2:AG$401,$AH131)="","",INDEX('Per Invoice'!AG$2:AG$401,$AH131)))</f>
        <v/>
      </c>
      <c r="AH131" s="16">
        <f>IFERROR(MATCH(Settings!$C$27&amp;"|"&amp;ROWS($AH$2:$AH131),'Per Invoice'!$AI$2:$AI$401,0),"")</f>
        <v/>
      </c>
    </row>
    <row r="132">
      <c r="A132">
        <f>IF($AH132="","",IF(INDEX('Per Invoice'!A$2:A$401,$AH132)="","",INDEX('Per Invoice'!A$2:A$401,$AH132)))</f>
        <v/>
      </c>
      <c r="B132">
        <f>IF($AH132="","",IF(INDEX('Per Invoice'!B$2:B$401,$AH132)="","",INDEX('Per Invoice'!B$2:B$401,$AH132)))</f>
        <v/>
      </c>
      <c r="C132">
        <f>IF($AH132="","",IF(INDEX('Per Invoice'!C$2:C$401,$AH132)="","",INDEX('Per Invoice'!C$2:C$401,$AH132)))</f>
        <v/>
      </c>
      <c r="D132">
        <f>IF($AH132="","",IF(INDEX('Per Invoice'!D$2:D$401,$AH132)="","",INDEX('Per Invoice'!D$2:D$401,$AH132)))</f>
        <v/>
      </c>
      <c r="E132">
        <f>IF($AH132="","",IF(INDEX('Per Invoice'!E$2:E$401,$AH132)="","",INDEX('Per Invoice'!E$2:E$401,$AH132)))</f>
        <v/>
      </c>
      <c r="F132">
        <f>IF($AH132="","",IF(INDEX('Per Invoice'!F$2:F$401,$AH132)="","",INDEX('Per Invoice'!F$2:F$401,$AH132)))</f>
        <v/>
      </c>
      <c r="G132">
        <f>IF($AH132="","",IF(INDEX('Per Invoice'!G$2:G$401,$AH132)="","",INDEX('Per Invoice'!G$2:G$401,$AH132)))</f>
        <v/>
      </c>
      <c r="H132">
        <f>IF($AH132="","",IF(INDEX('Per Invoice'!H$2:H$401,$AH132)="","",INDEX('Per Invoice'!H$2:H$401,$AH132)))</f>
        <v/>
      </c>
      <c r="I132" s="14">
        <f>IF($AH132="","",IF(INDEX('Per Invoice'!I$2:I$401,$AH132)="","",INDEX('Per Invoice'!I$2:I$401,$AH132)))</f>
        <v/>
      </c>
      <c r="J132">
        <f>IF($AH132="","",IF(INDEX('Per Invoice'!J$2:J$401,$AH132)="","",INDEX('Per Invoice'!J$2:J$401,$AH132)))</f>
        <v/>
      </c>
      <c r="K132">
        <f>IF($AH132="","",IF(INDEX('Per Invoice'!K$2:K$401,$AH132)="","",INDEX('Per Invoice'!K$2:K$401,$AH132)))</f>
        <v/>
      </c>
      <c r="L132">
        <f>IF($AH132="","",IF(INDEX('Per Invoice'!L$2:L$401,$AH132)="","",INDEX('Per Invoice'!L$2:L$401,$AH132)))</f>
        <v/>
      </c>
      <c r="M132">
        <f>IF($AH132="","",IF(INDEX('Per Invoice'!M$2:M$401,$AH132)="","",INDEX('Per Invoice'!M$2:M$401,$AH132)))</f>
        <v/>
      </c>
      <c r="N132">
        <f>IF($AH132="","",IF(INDEX('Per Invoice'!N$2:N$401,$AH132)="","",INDEX('Per Invoice'!N$2:N$401,$AH132)))</f>
        <v/>
      </c>
      <c r="O132">
        <f>IF($AH132="","",IF(INDEX('Per Invoice'!O$2:O$401,$AH132)="","",INDEX('Per Invoice'!O$2:O$401,$AH132)))</f>
        <v/>
      </c>
      <c r="P132" s="7">
        <f>IF($AH132="","",IF(INDEX('Per Invoice'!P$2:P$401,$AH132)="","",INDEX('Per Invoice'!P$2:P$401,$AH132)))</f>
        <v/>
      </c>
      <c r="Q132">
        <f>IF($AH132="","",IF(INDEX('Per Invoice'!Q$2:Q$401,$AH132)="","",INDEX('Per Invoice'!Q$2:Q$401,$AH132)))</f>
        <v/>
      </c>
      <c r="R132">
        <f>IF($AH132="","",IF(INDEX('Per Invoice'!R$2:R$401,$AH132)="","",INDEX('Per Invoice'!R$2:R$401,$AH132)))</f>
        <v/>
      </c>
      <c r="S132">
        <f>IF($AH132="","",IF(INDEX('Per Invoice'!S$2:S$401,$AH132)="","",INDEX('Per Invoice'!S$2:S$401,$AH132)))</f>
        <v/>
      </c>
      <c r="T132" s="7">
        <f>IF($AH132="","",IF(INDEX('Per Invoice'!T$2:T$401,$AH132)="","",INDEX('Per Invoice'!T$2:T$401,$AH132)))</f>
        <v/>
      </c>
      <c r="U132" s="7">
        <f>IF($AH132="","",IF(INDEX('Per Invoice'!U$2:U$401,$AH132)="","",INDEX('Per Invoice'!U$2:U$401,$AH132)))</f>
        <v/>
      </c>
      <c r="V132">
        <f>IF($AH132="","",IF(INDEX('Per Invoice'!V$2:V$401,$AH132)="","",INDEX('Per Invoice'!V$2:V$401,$AH132)))</f>
        <v/>
      </c>
      <c r="W132" s="7">
        <f>IF($AH132="","",IF(INDEX('Per Invoice'!W$2:W$401,$AH132)="","",INDEX('Per Invoice'!W$2:W$401,$AH132)))</f>
        <v/>
      </c>
      <c r="X132" s="7">
        <f>IF($AH132="","",IF(INDEX('Per Invoice'!X$2:X$401,$AH132)="","",INDEX('Per Invoice'!X$2:X$401,$AH132)))</f>
        <v/>
      </c>
      <c r="Y132">
        <f>IF($AH132="","",IF(INDEX('Per Invoice'!Y$2:Y$401,$AH132)="","",INDEX('Per Invoice'!Y$2:Y$401,$AH132)))</f>
        <v/>
      </c>
      <c r="Z132" s="7">
        <f>IF($AH132="","",IF(INDEX('Per Invoice'!Z$2:Z$401,$AH132)="","",INDEX('Per Invoice'!Z$2:Z$401,$AH132)))</f>
        <v/>
      </c>
      <c r="AA132" s="7">
        <f>IF($AH132="","",IF(INDEX('Per Invoice'!AA$2:AA$401,$AH132)="","",INDEX('Per Invoice'!AA$2:AA$401,$AH132)))</f>
        <v/>
      </c>
      <c r="AB132" s="7">
        <f>IF($AH132="","",IF(INDEX('Per Invoice'!AB$2:AB$401,$AH132)="","",INDEX('Per Invoice'!AB$2:AB$401,$AH132)))</f>
        <v/>
      </c>
      <c r="AC132" s="7">
        <f>IF($AH132="","",IF(INDEX('Per Invoice'!AC$2:AC$401,$AH132)="","",INDEX('Per Invoice'!AC$2:AC$401,$AH132)))</f>
        <v/>
      </c>
      <c r="AD132" s="7">
        <f>IF($AH132="","",IF(INDEX('Per Invoice'!AD$2:AD$401,$AH132)="","",INDEX('Per Invoice'!AD$2:AD$401,$AH132)))</f>
        <v/>
      </c>
      <c r="AE132" s="7">
        <f>IF($AH132="","",IF(INDEX('Per Invoice'!AE$2:AE$401,$AH132)="","",INDEX('Per Invoice'!AE$2:AE$401,$AH132)))</f>
        <v/>
      </c>
      <c r="AF132">
        <f>IF($AH132="","",IF(INDEX('Per Invoice'!AF$2:AF$401,$AH132)="","",INDEX('Per Invoice'!AF$2:AF$401,$AH132)))</f>
        <v/>
      </c>
      <c r="AG132" s="7">
        <f>IF($AH132="","",IF(INDEX('Per Invoice'!AG$2:AG$401,$AH132)="","",INDEX('Per Invoice'!AG$2:AG$401,$AH132)))</f>
        <v/>
      </c>
      <c r="AH132" s="16">
        <f>IFERROR(MATCH(Settings!$C$27&amp;"|"&amp;ROWS($AH$2:$AH132),'Per Invoice'!$AI$2:$AI$401,0),"")</f>
        <v/>
      </c>
    </row>
    <row r="133">
      <c r="A133">
        <f>IF($AH133="","",IF(INDEX('Per Invoice'!A$2:A$401,$AH133)="","",INDEX('Per Invoice'!A$2:A$401,$AH133)))</f>
        <v/>
      </c>
      <c r="B133">
        <f>IF($AH133="","",IF(INDEX('Per Invoice'!B$2:B$401,$AH133)="","",INDEX('Per Invoice'!B$2:B$401,$AH133)))</f>
        <v/>
      </c>
      <c r="C133">
        <f>IF($AH133="","",IF(INDEX('Per Invoice'!C$2:C$401,$AH133)="","",INDEX('Per Invoice'!C$2:C$401,$AH133)))</f>
        <v/>
      </c>
      <c r="D133">
        <f>IF($AH133="","",IF(INDEX('Per Invoice'!D$2:D$401,$AH133)="","",INDEX('Per Invoice'!D$2:D$401,$AH133)))</f>
        <v/>
      </c>
      <c r="E133">
        <f>IF($AH133="","",IF(INDEX('Per Invoice'!E$2:E$401,$AH133)="","",INDEX('Per Invoice'!E$2:E$401,$AH133)))</f>
        <v/>
      </c>
      <c r="F133">
        <f>IF($AH133="","",IF(INDEX('Per Invoice'!F$2:F$401,$AH133)="","",INDEX('Per Invoice'!F$2:F$401,$AH133)))</f>
        <v/>
      </c>
      <c r="G133">
        <f>IF($AH133="","",IF(INDEX('Per Invoice'!G$2:G$401,$AH133)="","",INDEX('Per Invoice'!G$2:G$401,$AH133)))</f>
        <v/>
      </c>
      <c r="H133">
        <f>IF($AH133="","",IF(INDEX('Per Invoice'!H$2:H$401,$AH133)="","",INDEX('Per Invoice'!H$2:H$401,$AH133)))</f>
        <v/>
      </c>
      <c r="I133" s="14">
        <f>IF($AH133="","",IF(INDEX('Per Invoice'!I$2:I$401,$AH133)="","",INDEX('Per Invoice'!I$2:I$401,$AH133)))</f>
        <v/>
      </c>
      <c r="J133">
        <f>IF($AH133="","",IF(INDEX('Per Invoice'!J$2:J$401,$AH133)="","",INDEX('Per Invoice'!J$2:J$401,$AH133)))</f>
        <v/>
      </c>
      <c r="K133">
        <f>IF($AH133="","",IF(INDEX('Per Invoice'!K$2:K$401,$AH133)="","",INDEX('Per Invoice'!K$2:K$401,$AH133)))</f>
        <v/>
      </c>
      <c r="L133">
        <f>IF($AH133="","",IF(INDEX('Per Invoice'!L$2:L$401,$AH133)="","",INDEX('Per Invoice'!L$2:L$401,$AH133)))</f>
        <v/>
      </c>
      <c r="M133">
        <f>IF($AH133="","",IF(INDEX('Per Invoice'!M$2:M$401,$AH133)="","",INDEX('Per Invoice'!M$2:M$401,$AH133)))</f>
        <v/>
      </c>
      <c r="N133">
        <f>IF($AH133="","",IF(INDEX('Per Invoice'!N$2:N$401,$AH133)="","",INDEX('Per Invoice'!N$2:N$401,$AH133)))</f>
        <v/>
      </c>
      <c r="O133">
        <f>IF($AH133="","",IF(INDEX('Per Invoice'!O$2:O$401,$AH133)="","",INDEX('Per Invoice'!O$2:O$401,$AH133)))</f>
        <v/>
      </c>
      <c r="P133" s="7">
        <f>IF($AH133="","",IF(INDEX('Per Invoice'!P$2:P$401,$AH133)="","",INDEX('Per Invoice'!P$2:P$401,$AH133)))</f>
        <v/>
      </c>
      <c r="Q133">
        <f>IF($AH133="","",IF(INDEX('Per Invoice'!Q$2:Q$401,$AH133)="","",INDEX('Per Invoice'!Q$2:Q$401,$AH133)))</f>
        <v/>
      </c>
      <c r="R133">
        <f>IF($AH133="","",IF(INDEX('Per Invoice'!R$2:R$401,$AH133)="","",INDEX('Per Invoice'!R$2:R$401,$AH133)))</f>
        <v/>
      </c>
      <c r="S133">
        <f>IF($AH133="","",IF(INDEX('Per Invoice'!S$2:S$401,$AH133)="","",INDEX('Per Invoice'!S$2:S$401,$AH133)))</f>
        <v/>
      </c>
      <c r="T133" s="7">
        <f>IF($AH133="","",IF(INDEX('Per Invoice'!T$2:T$401,$AH133)="","",INDEX('Per Invoice'!T$2:T$401,$AH133)))</f>
        <v/>
      </c>
      <c r="U133" s="7">
        <f>IF($AH133="","",IF(INDEX('Per Invoice'!U$2:U$401,$AH133)="","",INDEX('Per Invoice'!U$2:U$401,$AH133)))</f>
        <v/>
      </c>
      <c r="V133">
        <f>IF($AH133="","",IF(INDEX('Per Invoice'!V$2:V$401,$AH133)="","",INDEX('Per Invoice'!V$2:V$401,$AH133)))</f>
        <v/>
      </c>
      <c r="W133" s="7">
        <f>IF($AH133="","",IF(INDEX('Per Invoice'!W$2:W$401,$AH133)="","",INDEX('Per Invoice'!W$2:W$401,$AH133)))</f>
        <v/>
      </c>
      <c r="X133" s="7">
        <f>IF($AH133="","",IF(INDEX('Per Invoice'!X$2:X$401,$AH133)="","",INDEX('Per Invoice'!X$2:X$401,$AH133)))</f>
        <v/>
      </c>
      <c r="Y133">
        <f>IF($AH133="","",IF(INDEX('Per Invoice'!Y$2:Y$401,$AH133)="","",INDEX('Per Invoice'!Y$2:Y$401,$AH133)))</f>
        <v/>
      </c>
      <c r="Z133" s="7">
        <f>IF($AH133="","",IF(INDEX('Per Invoice'!Z$2:Z$401,$AH133)="","",INDEX('Per Invoice'!Z$2:Z$401,$AH133)))</f>
        <v/>
      </c>
      <c r="AA133" s="7">
        <f>IF($AH133="","",IF(INDEX('Per Invoice'!AA$2:AA$401,$AH133)="","",INDEX('Per Invoice'!AA$2:AA$401,$AH133)))</f>
        <v/>
      </c>
      <c r="AB133" s="7">
        <f>IF($AH133="","",IF(INDEX('Per Invoice'!AB$2:AB$401,$AH133)="","",INDEX('Per Invoice'!AB$2:AB$401,$AH133)))</f>
        <v/>
      </c>
      <c r="AC133" s="7">
        <f>IF($AH133="","",IF(INDEX('Per Invoice'!AC$2:AC$401,$AH133)="","",INDEX('Per Invoice'!AC$2:AC$401,$AH133)))</f>
        <v/>
      </c>
      <c r="AD133" s="7">
        <f>IF($AH133="","",IF(INDEX('Per Invoice'!AD$2:AD$401,$AH133)="","",INDEX('Per Invoice'!AD$2:AD$401,$AH133)))</f>
        <v/>
      </c>
      <c r="AE133" s="7">
        <f>IF($AH133="","",IF(INDEX('Per Invoice'!AE$2:AE$401,$AH133)="","",INDEX('Per Invoice'!AE$2:AE$401,$AH133)))</f>
        <v/>
      </c>
      <c r="AF133">
        <f>IF($AH133="","",IF(INDEX('Per Invoice'!AF$2:AF$401,$AH133)="","",INDEX('Per Invoice'!AF$2:AF$401,$AH133)))</f>
        <v/>
      </c>
      <c r="AG133" s="7">
        <f>IF($AH133="","",IF(INDEX('Per Invoice'!AG$2:AG$401,$AH133)="","",INDEX('Per Invoice'!AG$2:AG$401,$AH133)))</f>
        <v/>
      </c>
      <c r="AH133" s="16">
        <f>IFERROR(MATCH(Settings!$C$27&amp;"|"&amp;ROWS($AH$2:$AH133),'Per Invoice'!$AI$2:$AI$401,0),"")</f>
        <v/>
      </c>
    </row>
    <row r="134">
      <c r="A134">
        <f>IF($AH134="","",IF(INDEX('Per Invoice'!A$2:A$401,$AH134)="","",INDEX('Per Invoice'!A$2:A$401,$AH134)))</f>
        <v/>
      </c>
      <c r="B134">
        <f>IF($AH134="","",IF(INDEX('Per Invoice'!B$2:B$401,$AH134)="","",INDEX('Per Invoice'!B$2:B$401,$AH134)))</f>
        <v/>
      </c>
      <c r="C134">
        <f>IF($AH134="","",IF(INDEX('Per Invoice'!C$2:C$401,$AH134)="","",INDEX('Per Invoice'!C$2:C$401,$AH134)))</f>
        <v/>
      </c>
      <c r="D134">
        <f>IF($AH134="","",IF(INDEX('Per Invoice'!D$2:D$401,$AH134)="","",INDEX('Per Invoice'!D$2:D$401,$AH134)))</f>
        <v/>
      </c>
      <c r="E134">
        <f>IF($AH134="","",IF(INDEX('Per Invoice'!E$2:E$401,$AH134)="","",INDEX('Per Invoice'!E$2:E$401,$AH134)))</f>
        <v/>
      </c>
      <c r="F134">
        <f>IF($AH134="","",IF(INDEX('Per Invoice'!F$2:F$401,$AH134)="","",INDEX('Per Invoice'!F$2:F$401,$AH134)))</f>
        <v/>
      </c>
      <c r="G134">
        <f>IF($AH134="","",IF(INDEX('Per Invoice'!G$2:G$401,$AH134)="","",INDEX('Per Invoice'!G$2:G$401,$AH134)))</f>
        <v/>
      </c>
      <c r="H134">
        <f>IF($AH134="","",IF(INDEX('Per Invoice'!H$2:H$401,$AH134)="","",INDEX('Per Invoice'!H$2:H$401,$AH134)))</f>
        <v/>
      </c>
      <c r="I134" s="14">
        <f>IF($AH134="","",IF(INDEX('Per Invoice'!I$2:I$401,$AH134)="","",INDEX('Per Invoice'!I$2:I$401,$AH134)))</f>
        <v/>
      </c>
      <c r="J134">
        <f>IF($AH134="","",IF(INDEX('Per Invoice'!J$2:J$401,$AH134)="","",INDEX('Per Invoice'!J$2:J$401,$AH134)))</f>
        <v/>
      </c>
      <c r="K134">
        <f>IF($AH134="","",IF(INDEX('Per Invoice'!K$2:K$401,$AH134)="","",INDEX('Per Invoice'!K$2:K$401,$AH134)))</f>
        <v/>
      </c>
      <c r="L134">
        <f>IF($AH134="","",IF(INDEX('Per Invoice'!L$2:L$401,$AH134)="","",INDEX('Per Invoice'!L$2:L$401,$AH134)))</f>
        <v/>
      </c>
      <c r="M134">
        <f>IF($AH134="","",IF(INDEX('Per Invoice'!M$2:M$401,$AH134)="","",INDEX('Per Invoice'!M$2:M$401,$AH134)))</f>
        <v/>
      </c>
      <c r="N134">
        <f>IF($AH134="","",IF(INDEX('Per Invoice'!N$2:N$401,$AH134)="","",INDEX('Per Invoice'!N$2:N$401,$AH134)))</f>
        <v/>
      </c>
      <c r="O134">
        <f>IF($AH134="","",IF(INDEX('Per Invoice'!O$2:O$401,$AH134)="","",INDEX('Per Invoice'!O$2:O$401,$AH134)))</f>
        <v/>
      </c>
      <c r="P134" s="7">
        <f>IF($AH134="","",IF(INDEX('Per Invoice'!P$2:P$401,$AH134)="","",INDEX('Per Invoice'!P$2:P$401,$AH134)))</f>
        <v/>
      </c>
      <c r="Q134">
        <f>IF($AH134="","",IF(INDEX('Per Invoice'!Q$2:Q$401,$AH134)="","",INDEX('Per Invoice'!Q$2:Q$401,$AH134)))</f>
        <v/>
      </c>
      <c r="R134">
        <f>IF($AH134="","",IF(INDEX('Per Invoice'!R$2:R$401,$AH134)="","",INDEX('Per Invoice'!R$2:R$401,$AH134)))</f>
        <v/>
      </c>
      <c r="S134">
        <f>IF($AH134="","",IF(INDEX('Per Invoice'!S$2:S$401,$AH134)="","",INDEX('Per Invoice'!S$2:S$401,$AH134)))</f>
        <v/>
      </c>
      <c r="T134" s="7">
        <f>IF($AH134="","",IF(INDEX('Per Invoice'!T$2:T$401,$AH134)="","",INDEX('Per Invoice'!T$2:T$401,$AH134)))</f>
        <v/>
      </c>
      <c r="U134" s="7">
        <f>IF($AH134="","",IF(INDEX('Per Invoice'!U$2:U$401,$AH134)="","",INDEX('Per Invoice'!U$2:U$401,$AH134)))</f>
        <v/>
      </c>
      <c r="V134">
        <f>IF($AH134="","",IF(INDEX('Per Invoice'!V$2:V$401,$AH134)="","",INDEX('Per Invoice'!V$2:V$401,$AH134)))</f>
        <v/>
      </c>
      <c r="W134" s="7">
        <f>IF($AH134="","",IF(INDEX('Per Invoice'!W$2:W$401,$AH134)="","",INDEX('Per Invoice'!W$2:W$401,$AH134)))</f>
        <v/>
      </c>
      <c r="X134" s="7">
        <f>IF($AH134="","",IF(INDEX('Per Invoice'!X$2:X$401,$AH134)="","",INDEX('Per Invoice'!X$2:X$401,$AH134)))</f>
        <v/>
      </c>
      <c r="Y134">
        <f>IF($AH134="","",IF(INDEX('Per Invoice'!Y$2:Y$401,$AH134)="","",INDEX('Per Invoice'!Y$2:Y$401,$AH134)))</f>
        <v/>
      </c>
      <c r="Z134" s="7">
        <f>IF($AH134="","",IF(INDEX('Per Invoice'!Z$2:Z$401,$AH134)="","",INDEX('Per Invoice'!Z$2:Z$401,$AH134)))</f>
        <v/>
      </c>
      <c r="AA134" s="7">
        <f>IF($AH134="","",IF(INDEX('Per Invoice'!AA$2:AA$401,$AH134)="","",INDEX('Per Invoice'!AA$2:AA$401,$AH134)))</f>
        <v/>
      </c>
      <c r="AB134" s="7">
        <f>IF($AH134="","",IF(INDEX('Per Invoice'!AB$2:AB$401,$AH134)="","",INDEX('Per Invoice'!AB$2:AB$401,$AH134)))</f>
        <v/>
      </c>
      <c r="AC134" s="7">
        <f>IF($AH134="","",IF(INDEX('Per Invoice'!AC$2:AC$401,$AH134)="","",INDEX('Per Invoice'!AC$2:AC$401,$AH134)))</f>
        <v/>
      </c>
      <c r="AD134" s="7">
        <f>IF($AH134="","",IF(INDEX('Per Invoice'!AD$2:AD$401,$AH134)="","",INDEX('Per Invoice'!AD$2:AD$401,$AH134)))</f>
        <v/>
      </c>
      <c r="AE134" s="7">
        <f>IF($AH134="","",IF(INDEX('Per Invoice'!AE$2:AE$401,$AH134)="","",INDEX('Per Invoice'!AE$2:AE$401,$AH134)))</f>
        <v/>
      </c>
      <c r="AF134">
        <f>IF($AH134="","",IF(INDEX('Per Invoice'!AF$2:AF$401,$AH134)="","",INDEX('Per Invoice'!AF$2:AF$401,$AH134)))</f>
        <v/>
      </c>
      <c r="AG134" s="7">
        <f>IF($AH134="","",IF(INDEX('Per Invoice'!AG$2:AG$401,$AH134)="","",INDEX('Per Invoice'!AG$2:AG$401,$AH134)))</f>
        <v/>
      </c>
      <c r="AH134" s="16">
        <f>IFERROR(MATCH(Settings!$C$27&amp;"|"&amp;ROWS($AH$2:$AH134),'Per Invoice'!$AI$2:$AI$401,0),"")</f>
        <v/>
      </c>
    </row>
    <row r="135">
      <c r="A135">
        <f>IF($AH135="","",IF(INDEX('Per Invoice'!A$2:A$401,$AH135)="","",INDEX('Per Invoice'!A$2:A$401,$AH135)))</f>
        <v/>
      </c>
      <c r="B135">
        <f>IF($AH135="","",IF(INDEX('Per Invoice'!B$2:B$401,$AH135)="","",INDEX('Per Invoice'!B$2:B$401,$AH135)))</f>
        <v/>
      </c>
      <c r="C135">
        <f>IF($AH135="","",IF(INDEX('Per Invoice'!C$2:C$401,$AH135)="","",INDEX('Per Invoice'!C$2:C$401,$AH135)))</f>
        <v/>
      </c>
      <c r="D135">
        <f>IF($AH135="","",IF(INDEX('Per Invoice'!D$2:D$401,$AH135)="","",INDEX('Per Invoice'!D$2:D$401,$AH135)))</f>
        <v/>
      </c>
      <c r="E135">
        <f>IF($AH135="","",IF(INDEX('Per Invoice'!E$2:E$401,$AH135)="","",INDEX('Per Invoice'!E$2:E$401,$AH135)))</f>
        <v/>
      </c>
      <c r="F135">
        <f>IF($AH135="","",IF(INDEX('Per Invoice'!F$2:F$401,$AH135)="","",INDEX('Per Invoice'!F$2:F$401,$AH135)))</f>
        <v/>
      </c>
      <c r="G135">
        <f>IF($AH135="","",IF(INDEX('Per Invoice'!G$2:G$401,$AH135)="","",INDEX('Per Invoice'!G$2:G$401,$AH135)))</f>
        <v/>
      </c>
      <c r="H135">
        <f>IF($AH135="","",IF(INDEX('Per Invoice'!H$2:H$401,$AH135)="","",INDEX('Per Invoice'!H$2:H$401,$AH135)))</f>
        <v/>
      </c>
      <c r="I135" s="14">
        <f>IF($AH135="","",IF(INDEX('Per Invoice'!I$2:I$401,$AH135)="","",INDEX('Per Invoice'!I$2:I$401,$AH135)))</f>
        <v/>
      </c>
      <c r="J135">
        <f>IF($AH135="","",IF(INDEX('Per Invoice'!J$2:J$401,$AH135)="","",INDEX('Per Invoice'!J$2:J$401,$AH135)))</f>
        <v/>
      </c>
      <c r="K135">
        <f>IF($AH135="","",IF(INDEX('Per Invoice'!K$2:K$401,$AH135)="","",INDEX('Per Invoice'!K$2:K$401,$AH135)))</f>
        <v/>
      </c>
      <c r="L135">
        <f>IF($AH135="","",IF(INDEX('Per Invoice'!L$2:L$401,$AH135)="","",INDEX('Per Invoice'!L$2:L$401,$AH135)))</f>
        <v/>
      </c>
      <c r="M135">
        <f>IF($AH135="","",IF(INDEX('Per Invoice'!M$2:M$401,$AH135)="","",INDEX('Per Invoice'!M$2:M$401,$AH135)))</f>
        <v/>
      </c>
      <c r="N135">
        <f>IF($AH135="","",IF(INDEX('Per Invoice'!N$2:N$401,$AH135)="","",INDEX('Per Invoice'!N$2:N$401,$AH135)))</f>
        <v/>
      </c>
      <c r="O135">
        <f>IF($AH135="","",IF(INDEX('Per Invoice'!O$2:O$401,$AH135)="","",INDEX('Per Invoice'!O$2:O$401,$AH135)))</f>
        <v/>
      </c>
      <c r="P135" s="7">
        <f>IF($AH135="","",IF(INDEX('Per Invoice'!P$2:P$401,$AH135)="","",INDEX('Per Invoice'!P$2:P$401,$AH135)))</f>
        <v/>
      </c>
      <c r="Q135">
        <f>IF($AH135="","",IF(INDEX('Per Invoice'!Q$2:Q$401,$AH135)="","",INDEX('Per Invoice'!Q$2:Q$401,$AH135)))</f>
        <v/>
      </c>
      <c r="R135">
        <f>IF($AH135="","",IF(INDEX('Per Invoice'!R$2:R$401,$AH135)="","",INDEX('Per Invoice'!R$2:R$401,$AH135)))</f>
        <v/>
      </c>
      <c r="S135">
        <f>IF($AH135="","",IF(INDEX('Per Invoice'!S$2:S$401,$AH135)="","",INDEX('Per Invoice'!S$2:S$401,$AH135)))</f>
        <v/>
      </c>
      <c r="T135" s="7">
        <f>IF($AH135="","",IF(INDEX('Per Invoice'!T$2:T$401,$AH135)="","",INDEX('Per Invoice'!T$2:T$401,$AH135)))</f>
        <v/>
      </c>
      <c r="U135" s="7">
        <f>IF($AH135="","",IF(INDEX('Per Invoice'!U$2:U$401,$AH135)="","",INDEX('Per Invoice'!U$2:U$401,$AH135)))</f>
        <v/>
      </c>
      <c r="V135">
        <f>IF($AH135="","",IF(INDEX('Per Invoice'!V$2:V$401,$AH135)="","",INDEX('Per Invoice'!V$2:V$401,$AH135)))</f>
        <v/>
      </c>
      <c r="W135" s="7">
        <f>IF($AH135="","",IF(INDEX('Per Invoice'!W$2:W$401,$AH135)="","",INDEX('Per Invoice'!W$2:W$401,$AH135)))</f>
        <v/>
      </c>
      <c r="X135" s="7">
        <f>IF($AH135="","",IF(INDEX('Per Invoice'!X$2:X$401,$AH135)="","",INDEX('Per Invoice'!X$2:X$401,$AH135)))</f>
        <v/>
      </c>
      <c r="Y135">
        <f>IF($AH135="","",IF(INDEX('Per Invoice'!Y$2:Y$401,$AH135)="","",INDEX('Per Invoice'!Y$2:Y$401,$AH135)))</f>
        <v/>
      </c>
      <c r="Z135" s="7">
        <f>IF($AH135="","",IF(INDEX('Per Invoice'!Z$2:Z$401,$AH135)="","",INDEX('Per Invoice'!Z$2:Z$401,$AH135)))</f>
        <v/>
      </c>
      <c r="AA135" s="7">
        <f>IF($AH135="","",IF(INDEX('Per Invoice'!AA$2:AA$401,$AH135)="","",INDEX('Per Invoice'!AA$2:AA$401,$AH135)))</f>
        <v/>
      </c>
      <c r="AB135" s="7">
        <f>IF($AH135="","",IF(INDEX('Per Invoice'!AB$2:AB$401,$AH135)="","",INDEX('Per Invoice'!AB$2:AB$401,$AH135)))</f>
        <v/>
      </c>
      <c r="AC135" s="7">
        <f>IF($AH135="","",IF(INDEX('Per Invoice'!AC$2:AC$401,$AH135)="","",INDEX('Per Invoice'!AC$2:AC$401,$AH135)))</f>
        <v/>
      </c>
      <c r="AD135" s="7">
        <f>IF($AH135="","",IF(INDEX('Per Invoice'!AD$2:AD$401,$AH135)="","",INDEX('Per Invoice'!AD$2:AD$401,$AH135)))</f>
        <v/>
      </c>
      <c r="AE135" s="7">
        <f>IF($AH135="","",IF(INDEX('Per Invoice'!AE$2:AE$401,$AH135)="","",INDEX('Per Invoice'!AE$2:AE$401,$AH135)))</f>
        <v/>
      </c>
      <c r="AF135">
        <f>IF($AH135="","",IF(INDEX('Per Invoice'!AF$2:AF$401,$AH135)="","",INDEX('Per Invoice'!AF$2:AF$401,$AH135)))</f>
        <v/>
      </c>
      <c r="AG135" s="7">
        <f>IF($AH135="","",IF(INDEX('Per Invoice'!AG$2:AG$401,$AH135)="","",INDEX('Per Invoice'!AG$2:AG$401,$AH135)))</f>
        <v/>
      </c>
      <c r="AH135" s="16">
        <f>IFERROR(MATCH(Settings!$C$27&amp;"|"&amp;ROWS($AH$2:$AH135),'Per Invoice'!$AI$2:$AI$401,0),"")</f>
        <v/>
      </c>
    </row>
    <row r="136">
      <c r="A136">
        <f>IF($AH136="","",IF(INDEX('Per Invoice'!A$2:A$401,$AH136)="","",INDEX('Per Invoice'!A$2:A$401,$AH136)))</f>
        <v/>
      </c>
      <c r="B136">
        <f>IF($AH136="","",IF(INDEX('Per Invoice'!B$2:B$401,$AH136)="","",INDEX('Per Invoice'!B$2:B$401,$AH136)))</f>
        <v/>
      </c>
      <c r="C136">
        <f>IF($AH136="","",IF(INDEX('Per Invoice'!C$2:C$401,$AH136)="","",INDEX('Per Invoice'!C$2:C$401,$AH136)))</f>
        <v/>
      </c>
      <c r="D136">
        <f>IF($AH136="","",IF(INDEX('Per Invoice'!D$2:D$401,$AH136)="","",INDEX('Per Invoice'!D$2:D$401,$AH136)))</f>
        <v/>
      </c>
      <c r="E136">
        <f>IF($AH136="","",IF(INDEX('Per Invoice'!E$2:E$401,$AH136)="","",INDEX('Per Invoice'!E$2:E$401,$AH136)))</f>
        <v/>
      </c>
      <c r="F136">
        <f>IF($AH136="","",IF(INDEX('Per Invoice'!F$2:F$401,$AH136)="","",INDEX('Per Invoice'!F$2:F$401,$AH136)))</f>
        <v/>
      </c>
      <c r="G136">
        <f>IF($AH136="","",IF(INDEX('Per Invoice'!G$2:G$401,$AH136)="","",INDEX('Per Invoice'!G$2:G$401,$AH136)))</f>
        <v/>
      </c>
      <c r="H136">
        <f>IF($AH136="","",IF(INDEX('Per Invoice'!H$2:H$401,$AH136)="","",INDEX('Per Invoice'!H$2:H$401,$AH136)))</f>
        <v/>
      </c>
      <c r="I136" s="14">
        <f>IF($AH136="","",IF(INDEX('Per Invoice'!I$2:I$401,$AH136)="","",INDEX('Per Invoice'!I$2:I$401,$AH136)))</f>
        <v/>
      </c>
      <c r="J136">
        <f>IF($AH136="","",IF(INDEX('Per Invoice'!J$2:J$401,$AH136)="","",INDEX('Per Invoice'!J$2:J$401,$AH136)))</f>
        <v/>
      </c>
      <c r="K136">
        <f>IF($AH136="","",IF(INDEX('Per Invoice'!K$2:K$401,$AH136)="","",INDEX('Per Invoice'!K$2:K$401,$AH136)))</f>
        <v/>
      </c>
      <c r="L136">
        <f>IF($AH136="","",IF(INDEX('Per Invoice'!L$2:L$401,$AH136)="","",INDEX('Per Invoice'!L$2:L$401,$AH136)))</f>
        <v/>
      </c>
      <c r="M136">
        <f>IF($AH136="","",IF(INDEX('Per Invoice'!M$2:M$401,$AH136)="","",INDEX('Per Invoice'!M$2:M$401,$AH136)))</f>
        <v/>
      </c>
      <c r="N136">
        <f>IF($AH136="","",IF(INDEX('Per Invoice'!N$2:N$401,$AH136)="","",INDEX('Per Invoice'!N$2:N$401,$AH136)))</f>
        <v/>
      </c>
      <c r="O136">
        <f>IF($AH136="","",IF(INDEX('Per Invoice'!O$2:O$401,$AH136)="","",INDEX('Per Invoice'!O$2:O$401,$AH136)))</f>
        <v/>
      </c>
      <c r="P136" s="7">
        <f>IF($AH136="","",IF(INDEX('Per Invoice'!P$2:P$401,$AH136)="","",INDEX('Per Invoice'!P$2:P$401,$AH136)))</f>
        <v/>
      </c>
      <c r="Q136">
        <f>IF($AH136="","",IF(INDEX('Per Invoice'!Q$2:Q$401,$AH136)="","",INDEX('Per Invoice'!Q$2:Q$401,$AH136)))</f>
        <v/>
      </c>
      <c r="R136">
        <f>IF($AH136="","",IF(INDEX('Per Invoice'!R$2:R$401,$AH136)="","",INDEX('Per Invoice'!R$2:R$401,$AH136)))</f>
        <v/>
      </c>
      <c r="S136">
        <f>IF($AH136="","",IF(INDEX('Per Invoice'!S$2:S$401,$AH136)="","",INDEX('Per Invoice'!S$2:S$401,$AH136)))</f>
        <v/>
      </c>
      <c r="T136" s="7">
        <f>IF($AH136="","",IF(INDEX('Per Invoice'!T$2:T$401,$AH136)="","",INDEX('Per Invoice'!T$2:T$401,$AH136)))</f>
        <v/>
      </c>
      <c r="U136" s="7">
        <f>IF($AH136="","",IF(INDEX('Per Invoice'!U$2:U$401,$AH136)="","",INDEX('Per Invoice'!U$2:U$401,$AH136)))</f>
        <v/>
      </c>
      <c r="V136">
        <f>IF($AH136="","",IF(INDEX('Per Invoice'!V$2:V$401,$AH136)="","",INDEX('Per Invoice'!V$2:V$401,$AH136)))</f>
        <v/>
      </c>
      <c r="W136" s="7">
        <f>IF($AH136="","",IF(INDEX('Per Invoice'!W$2:W$401,$AH136)="","",INDEX('Per Invoice'!W$2:W$401,$AH136)))</f>
        <v/>
      </c>
      <c r="X136" s="7">
        <f>IF($AH136="","",IF(INDEX('Per Invoice'!X$2:X$401,$AH136)="","",INDEX('Per Invoice'!X$2:X$401,$AH136)))</f>
        <v/>
      </c>
      <c r="Y136">
        <f>IF($AH136="","",IF(INDEX('Per Invoice'!Y$2:Y$401,$AH136)="","",INDEX('Per Invoice'!Y$2:Y$401,$AH136)))</f>
        <v/>
      </c>
      <c r="Z136" s="7">
        <f>IF($AH136="","",IF(INDEX('Per Invoice'!Z$2:Z$401,$AH136)="","",INDEX('Per Invoice'!Z$2:Z$401,$AH136)))</f>
        <v/>
      </c>
      <c r="AA136" s="7">
        <f>IF($AH136="","",IF(INDEX('Per Invoice'!AA$2:AA$401,$AH136)="","",INDEX('Per Invoice'!AA$2:AA$401,$AH136)))</f>
        <v/>
      </c>
      <c r="AB136" s="7">
        <f>IF($AH136="","",IF(INDEX('Per Invoice'!AB$2:AB$401,$AH136)="","",INDEX('Per Invoice'!AB$2:AB$401,$AH136)))</f>
        <v/>
      </c>
      <c r="AC136" s="7">
        <f>IF($AH136="","",IF(INDEX('Per Invoice'!AC$2:AC$401,$AH136)="","",INDEX('Per Invoice'!AC$2:AC$401,$AH136)))</f>
        <v/>
      </c>
      <c r="AD136" s="7">
        <f>IF($AH136="","",IF(INDEX('Per Invoice'!AD$2:AD$401,$AH136)="","",INDEX('Per Invoice'!AD$2:AD$401,$AH136)))</f>
        <v/>
      </c>
      <c r="AE136" s="7">
        <f>IF($AH136="","",IF(INDEX('Per Invoice'!AE$2:AE$401,$AH136)="","",INDEX('Per Invoice'!AE$2:AE$401,$AH136)))</f>
        <v/>
      </c>
      <c r="AF136">
        <f>IF($AH136="","",IF(INDEX('Per Invoice'!AF$2:AF$401,$AH136)="","",INDEX('Per Invoice'!AF$2:AF$401,$AH136)))</f>
        <v/>
      </c>
      <c r="AG136" s="7">
        <f>IF($AH136="","",IF(INDEX('Per Invoice'!AG$2:AG$401,$AH136)="","",INDEX('Per Invoice'!AG$2:AG$401,$AH136)))</f>
        <v/>
      </c>
      <c r="AH136" s="16">
        <f>IFERROR(MATCH(Settings!$C$27&amp;"|"&amp;ROWS($AH$2:$AH136),'Per Invoice'!$AI$2:$AI$401,0),"")</f>
        <v/>
      </c>
    </row>
    <row r="137">
      <c r="A137">
        <f>IF($AH137="","",IF(INDEX('Per Invoice'!A$2:A$401,$AH137)="","",INDEX('Per Invoice'!A$2:A$401,$AH137)))</f>
        <v/>
      </c>
      <c r="B137">
        <f>IF($AH137="","",IF(INDEX('Per Invoice'!B$2:B$401,$AH137)="","",INDEX('Per Invoice'!B$2:B$401,$AH137)))</f>
        <v/>
      </c>
      <c r="C137">
        <f>IF($AH137="","",IF(INDEX('Per Invoice'!C$2:C$401,$AH137)="","",INDEX('Per Invoice'!C$2:C$401,$AH137)))</f>
        <v/>
      </c>
      <c r="D137">
        <f>IF($AH137="","",IF(INDEX('Per Invoice'!D$2:D$401,$AH137)="","",INDEX('Per Invoice'!D$2:D$401,$AH137)))</f>
        <v/>
      </c>
      <c r="E137">
        <f>IF($AH137="","",IF(INDEX('Per Invoice'!E$2:E$401,$AH137)="","",INDEX('Per Invoice'!E$2:E$401,$AH137)))</f>
        <v/>
      </c>
      <c r="F137">
        <f>IF($AH137="","",IF(INDEX('Per Invoice'!F$2:F$401,$AH137)="","",INDEX('Per Invoice'!F$2:F$401,$AH137)))</f>
        <v/>
      </c>
      <c r="G137">
        <f>IF($AH137="","",IF(INDEX('Per Invoice'!G$2:G$401,$AH137)="","",INDEX('Per Invoice'!G$2:G$401,$AH137)))</f>
        <v/>
      </c>
      <c r="H137">
        <f>IF($AH137="","",IF(INDEX('Per Invoice'!H$2:H$401,$AH137)="","",INDEX('Per Invoice'!H$2:H$401,$AH137)))</f>
        <v/>
      </c>
      <c r="I137" s="14">
        <f>IF($AH137="","",IF(INDEX('Per Invoice'!I$2:I$401,$AH137)="","",INDEX('Per Invoice'!I$2:I$401,$AH137)))</f>
        <v/>
      </c>
      <c r="J137">
        <f>IF($AH137="","",IF(INDEX('Per Invoice'!J$2:J$401,$AH137)="","",INDEX('Per Invoice'!J$2:J$401,$AH137)))</f>
        <v/>
      </c>
      <c r="K137">
        <f>IF($AH137="","",IF(INDEX('Per Invoice'!K$2:K$401,$AH137)="","",INDEX('Per Invoice'!K$2:K$401,$AH137)))</f>
        <v/>
      </c>
      <c r="L137">
        <f>IF($AH137="","",IF(INDEX('Per Invoice'!L$2:L$401,$AH137)="","",INDEX('Per Invoice'!L$2:L$401,$AH137)))</f>
        <v/>
      </c>
      <c r="M137">
        <f>IF($AH137="","",IF(INDEX('Per Invoice'!M$2:M$401,$AH137)="","",INDEX('Per Invoice'!M$2:M$401,$AH137)))</f>
        <v/>
      </c>
      <c r="N137">
        <f>IF($AH137="","",IF(INDEX('Per Invoice'!N$2:N$401,$AH137)="","",INDEX('Per Invoice'!N$2:N$401,$AH137)))</f>
        <v/>
      </c>
      <c r="O137">
        <f>IF($AH137="","",IF(INDEX('Per Invoice'!O$2:O$401,$AH137)="","",INDEX('Per Invoice'!O$2:O$401,$AH137)))</f>
        <v/>
      </c>
      <c r="P137" s="7">
        <f>IF($AH137="","",IF(INDEX('Per Invoice'!P$2:P$401,$AH137)="","",INDEX('Per Invoice'!P$2:P$401,$AH137)))</f>
        <v/>
      </c>
      <c r="Q137">
        <f>IF($AH137="","",IF(INDEX('Per Invoice'!Q$2:Q$401,$AH137)="","",INDEX('Per Invoice'!Q$2:Q$401,$AH137)))</f>
        <v/>
      </c>
      <c r="R137">
        <f>IF($AH137="","",IF(INDEX('Per Invoice'!R$2:R$401,$AH137)="","",INDEX('Per Invoice'!R$2:R$401,$AH137)))</f>
        <v/>
      </c>
      <c r="S137">
        <f>IF($AH137="","",IF(INDEX('Per Invoice'!S$2:S$401,$AH137)="","",INDEX('Per Invoice'!S$2:S$401,$AH137)))</f>
        <v/>
      </c>
      <c r="T137" s="7">
        <f>IF($AH137="","",IF(INDEX('Per Invoice'!T$2:T$401,$AH137)="","",INDEX('Per Invoice'!T$2:T$401,$AH137)))</f>
        <v/>
      </c>
      <c r="U137" s="7">
        <f>IF($AH137="","",IF(INDEX('Per Invoice'!U$2:U$401,$AH137)="","",INDEX('Per Invoice'!U$2:U$401,$AH137)))</f>
        <v/>
      </c>
      <c r="V137">
        <f>IF($AH137="","",IF(INDEX('Per Invoice'!V$2:V$401,$AH137)="","",INDEX('Per Invoice'!V$2:V$401,$AH137)))</f>
        <v/>
      </c>
      <c r="W137" s="7">
        <f>IF($AH137="","",IF(INDEX('Per Invoice'!W$2:W$401,$AH137)="","",INDEX('Per Invoice'!W$2:W$401,$AH137)))</f>
        <v/>
      </c>
      <c r="X137" s="7">
        <f>IF($AH137="","",IF(INDEX('Per Invoice'!X$2:X$401,$AH137)="","",INDEX('Per Invoice'!X$2:X$401,$AH137)))</f>
        <v/>
      </c>
      <c r="Y137">
        <f>IF($AH137="","",IF(INDEX('Per Invoice'!Y$2:Y$401,$AH137)="","",INDEX('Per Invoice'!Y$2:Y$401,$AH137)))</f>
        <v/>
      </c>
      <c r="Z137" s="7">
        <f>IF($AH137="","",IF(INDEX('Per Invoice'!Z$2:Z$401,$AH137)="","",INDEX('Per Invoice'!Z$2:Z$401,$AH137)))</f>
        <v/>
      </c>
      <c r="AA137" s="7">
        <f>IF($AH137="","",IF(INDEX('Per Invoice'!AA$2:AA$401,$AH137)="","",INDEX('Per Invoice'!AA$2:AA$401,$AH137)))</f>
        <v/>
      </c>
      <c r="AB137" s="7">
        <f>IF($AH137="","",IF(INDEX('Per Invoice'!AB$2:AB$401,$AH137)="","",INDEX('Per Invoice'!AB$2:AB$401,$AH137)))</f>
        <v/>
      </c>
      <c r="AC137" s="7">
        <f>IF($AH137="","",IF(INDEX('Per Invoice'!AC$2:AC$401,$AH137)="","",INDEX('Per Invoice'!AC$2:AC$401,$AH137)))</f>
        <v/>
      </c>
      <c r="AD137" s="7">
        <f>IF($AH137="","",IF(INDEX('Per Invoice'!AD$2:AD$401,$AH137)="","",INDEX('Per Invoice'!AD$2:AD$401,$AH137)))</f>
        <v/>
      </c>
      <c r="AE137" s="7">
        <f>IF($AH137="","",IF(INDEX('Per Invoice'!AE$2:AE$401,$AH137)="","",INDEX('Per Invoice'!AE$2:AE$401,$AH137)))</f>
        <v/>
      </c>
      <c r="AF137">
        <f>IF($AH137="","",IF(INDEX('Per Invoice'!AF$2:AF$401,$AH137)="","",INDEX('Per Invoice'!AF$2:AF$401,$AH137)))</f>
        <v/>
      </c>
      <c r="AG137" s="7">
        <f>IF($AH137="","",IF(INDEX('Per Invoice'!AG$2:AG$401,$AH137)="","",INDEX('Per Invoice'!AG$2:AG$401,$AH137)))</f>
        <v/>
      </c>
      <c r="AH137" s="16">
        <f>IFERROR(MATCH(Settings!$C$27&amp;"|"&amp;ROWS($AH$2:$AH137),'Per Invoice'!$AI$2:$AI$401,0),"")</f>
        <v/>
      </c>
    </row>
    <row r="138">
      <c r="A138">
        <f>IF($AH138="","",IF(INDEX('Per Invoice'!A$2:A$401,$AH138)="","",INDEX('Per Invoice'!A$2:A$401,$AH138)))</f>
        <v/>
      </c>
      <c r="B138">
        <f>IF($AH138="","",IF(INDEX('Per Invoice'!B$2:B$401,$AH138)="","",INDEX('Per Invoice'!B$2:B$401,$AH138)))</f>
        <v/>
      </c>
      <c r="C138">
        <f>IF($AH138="","",IF(INDEX('Per Invoice'!C$2:C$401,$AH138)="","",INDEX('Per Invoice'!C$2:C$401,$AH138)))</f>
        <v/>
      </c>
      <c r="D138">
        <f>IF($AH138="","",IF(INDEX('Per Invoice'!D$2:D$401,$AH138)="","",INDEX('Per Invoice'!D$2:D$401,$AH138)))</f>
        <v/>
      </c>
      <c r="E138">
        <f>IF($AH138="","",IF(INDEX('Per Invoice'!E$2:E$401,$AH138)="","",INDEX('Per Invoice'!E$2:E$401,$AH138)))</f>
        <v/>
      </c>
      <c r="F138">
        <f>IF($AH138="","",IF(INDEX('Per Invoice'!F$2:F$401,$AH138)="","",INDEX('Per Invoice'!F$2:F$401,$AH138)))</f>
        <v/>
      </c>
      <c r="G138">
        <f>IF($AH138="","",IF(INDEX('Per Invoice'!G$2:G$401,$AH138)="","",INDEX('Per Invoice'!G$2:G$401,$AH138)))</f>
        <v/>
      </c>
      <c r="H138">
        <f>IF($AH138="","",IF(INDEX('Per Invoice'!H$2:H$401,$AH138)="","",INDEX('Per Invoice'!H$2:H$401,$AH138)))</f>
        <v/>
      </c>
      <c r="I138" s="14">
        <f>IF($AH138="","",IF(INDEX('Per Invoice'!I$2:I$401,$AH138)="","",INDEX('Per Invoice'!I$2:I$401,$AH138)))</f>
        <v/>
      </c>
      <c r="J138">
        <f>IF($AH138="","",IF(INDEX('Per Invoice'!J$2:J$401,$AH138)="","",INDEX('Per Invoice'!J$2:J$401,$AH138)))</f>
        <v/>
      </c>
      <c r="K138">
        <f>IF($AH138="","",IF(INDEX('Per Invoice'!K$2:K$401,$AH138)="","",INDEX('Per Invoice'!K$2:K$401,$AH138)))</f>
        <v/>
      </c>
      <c r="L138">
        <f>IF($AH138="","",IF(INDEX('Per Invoice'!L$2:L$401,$AH138)="","",INDEX('Per Invoice'!L$2:L$401,$AH138)))</f>
        <v/>
      </c>
      <c r="M138">
        <f>IF($AH138="","",IF(INDEX('Per Invoice'!M$2:M$401,$AH138)="","",INDEX('Per Invoice'!M$2:M$401,$AH138)))</f>
        <v/>
      </c>
      <c r="N138">
        <f>IF($AH138="","",IF(INDEX('Per Invoice'!N$2:N$401,$AH138)="","",INDEX('Per Invoice'!N$2:N$401,$AH138)))</f>
        <v/>
      </c>
      <c r="O138">
        <f>IF($AH138="","",IF(INDEX('Per Invoice'!O$2:O$401,$AH138)="","",INDEX('Per Invoice'!O$2:O$401,$AH138)))</f>
        <v/>
      </c>
      <c r="P138" s="7">
        <f>IF($AH138="","",IF(INDEX('Per Invoice'!P$2:P$401,$AH138)="","",INDEX('Per Invoice'!P$2:P$401,$AH138)))</f>
        <v/>
      </c>
      <c r="Q138">
        <f>IF($AH138="","",IF(INDEX('Per Invoice'!Q$2:Q$401,$AH138)="","",INDEX('Per Invoice'!Q$2:Q$401,$AH138)))</f>
        <v/>
      </c>
      <c r="R138">
        <f>IF($AH138="","",IF(INDEX('Per Invoice'!R$2:R$401,$AH138)="","",INDEX('Per Invoice'!R$2:R$401,$AH138)))</f>
        <v/>
      </c>
      <c r="S138">
        <f>IF($AH138="","",IF(INDEX('Per Invoice'!S$2:S$401,$AH138)="","",INDEX('Per Invoice'!S$2:S$401,$AH138)))</f>
        <v/>
      </c>
      <c r="T138" s="7">
        <f>IF($AH138="","",IF(INDEX('Per Invoice'!T$2:T$401,$AH138)="","",INDEX('Per Invoice'!T$2:T$401,$AH138)))</f>
        <v/>
      </c>
      <c r="U138" s="7">
        <f>IF($AH138="","",IF(INDEX('Per Invoice'!U$2:U$401,$AH138)="","",INDEX('Per Invoice'!U$2:U$401,$AH138)))</f>
        <v/>
      </c>
      <c r="V138">
        <f>IF($AH138="","",IF(INDEX('Per Invoice'!V$2:V$401,$AH138)="","",INDEX('Per Invoice'!V$2:V$401,$AH138)))</f>
        <v/>
      </c>
      <c r="W138" s="7">
        <f>IF($AH138="","",IF(INDEX('Per Invoice'!W$2:W$401,$AH138)="","",INDEX('Per Invoice'!W$2:W$401,$AH138)))</f>
        <v/>
      </c>
      <c r="X138" s="7">
        <f>IF($AH138="","",IF(INDEX('Per Invoice'!X$2:X$401,$AH138)="","",INDEX('Per Invoice'!X$2:X$401,$AH138)))</f>
        <v/>
      </c>
      <c r="Y138">
        <f>IF($AH138="","",IF(INDEX('Per Invoice'!Y$2:Y$401,$AH138)="","",INDEX('Per Invoice'!Y$2:Y$401,$AH138)))</f>
        <v/>
      </c>
      <c r="Z138" s="7">
        <f>IF($AH138="","",IF(INDEX('Per Invoice'!Z$2:Z$401,$AH138)="","",INDEX('Per Invoice'!Z$2:Z$401,$AH138)))</f>
        <v/>
      </c>
      <c r="AA138" s="7">
        <f>IF($AH138="","",IF(INDEX('Per Invoice'!AA$2:AA$401,$AH138)="","",INDEX('Per Invoice'!AA$2:AA$401,$AH138)))</f>
        <v/>
      </c>
      <c r="AB138" s="7">
        <f>IF($AH138="","",IF(INDEX('Per Invoice'!AB$2:AB$401,$AH138)="","",INDEX('Per Invoice'!AB$2:AB$401,$AH138)))</f>
        <v/>
      </c>
      <c r="AC138" s="7">
        <f>IF($AH138="","",IF(INDEX('Per Invoice'!AC$2:AC$401,$AH138)="","",INDEX('Per Invoice'!AC$2:AC$401,$AH138)))</f>
        <v/>
      </c>
      <c r="AD138" s="7">
        <f>IF($AH138="","",IF(INDEX('Per Invoice'!AD$2:AD$401,$AH138)="","",INDEX('Per Invoice'!AD$2:AD$401,$AH138)))</f>
        <v/>
      </c>
      <c r="AE138" s="7">
        <f>IF($AH138="","",IF(INDEX('Per Invoice'!AE$2:AE$401,$AH138)="","",INDEX('Per Invoice'!AE$2:AE$401,$AH138)))</f>
        <v/>
      </c>
      <c r="AF138">
        <f>IF($AH138="","",IF(INDEX('Per Invoice'!AF$2:AF$401,$AH138)="","",INDEX('Per Invoice'!AF$2:AF$401,$AH138)))</f>
        <v/>
      </c>
      <c r="AG138" s="7">
        <f>IF($AH138="","",IF(INDEX('Per Invoice'!AG$2:AG$401,$AH138)="","",INDEX('Per Invoice'!AG$2:AG$401,$AH138)))</f>
        <v/>
      </c>
      <c r="AH138" s="16">
        <f>IFERROR(MATCH(Settings!$C$27&amp;"|"&amp;ROWS($AH$2:$AH138),'Per Invoice'!$AI$2:$AI$401,0),"")</f>
        <v/>
      </c>
    </row>
    <row r="139">
      <c r="A139">
        <f>IF($AH139="","",IF(INDEX('Per Invoice'!A$2:A$401,$AH139)="","",INDEX('Per Invoice'!A$2:A$401,$AH139)))</f>
        <v/>
      </c>
      <c r="B139">
        <f>IF($AH139="","",IF(INDEX('Per Invoice'!B$2:B$401,$AH139)="","",INDEX('Per Invoice'!B$2:B$401,$AH139)))</f>
        <v/>
      </c>
      <c r="C139">
        <f>IF($AH139="","",IF(INDEX('Per Invoice'!C$2:C$401,$AH139)="","",INDEX('Per Invoice'!C$2:C$401,$AH139)))</f>
        <v/>
      </c>
      <c r="D139">
        <f>IF($AH139="","",IF(INDEX('Per Invoice'!D$2:D$401,$AH139)="","",INDEX('Per Invoice'!D$2:D$401,$AH139)))</f>
        <v/>
      </c>
      <c r="E139">
        <f>IF($AH139="","",IF(INDEX('Per Invoice'!E$2:E$401,$AH139)="","",INDEX('Per Invoice'!E$2:E$401,$AH139)))</f>
        <v/>
      </c>
      <c r="F139">
        <f>IF($AH139="","",IF(INDEX('Per Invoice'!F$2:F$401,$AH139)="","",INDEX('Per Invoice'!F$2:F$401,$AH139)))</f>
        <v/>
      </c>
      <c r="G139">
        <f>IF($AH139="","",IF(INDEX('Per Invoice'!G$2:G$401,$AH139)="","",INDEX('Per Invoice'!G$2:G$401,$AH139)))</f>
        <v/>
      </c>
      <c r="H139">
        <f>IF($AH139="","",IF(INDEX('Per Invoice'!H$2:H$401,$AH139)="","",INDEX('Per Invoice'!H$2:H$401,$AH139)))</f>
        <v/>
      </c>
      <c r="I139" s="14">
        <f>IF($AH139="","",IF(INDEX('Per Invoice'!I$2:I$401,$AH139)="","",INDEX('Per Invoice'!I$2:I$401,$AH139)))</f>
        <v/>
      </c>
      <c r="J139">
        <f>IF($AH139="","",IF(INDEX('Per Invoice'!J$2:J$401,$AH139)="","",INDEX('Per Invoice'!J$2:J$401,$AH139)))</f>
        <v/>
      </c>
      <c r="K139">
        <f>IF($AH139="","",IF(INDEX('Per Invoice'!K$2:K$401,$AH139)="","",INDEX('Per Invoice'!K$2:K$401,$AH139)))</f>
        <v/>
      </c>
      <c r="L139">
        <f>IF($AH139="","",IF(INDEX('Per Invoice'!L$2:L$401,$AH139)="","",INDEX('Per Invoice'!L$2:L$401,$AH139)))</f>
        <v/>
      </c>
      <c r="M139">
        <f>IF($AH139="","",IF(INDEX('Per Invoice'!M$2:M$401,$AH139)="","",INDEX('Per Invoice'!M$2:M$401,$AH139)))</f>
        <v/>
      </c>
      <c r="N139">
        <f>IF($AH139="","",IF(INDEX('Per Invoice'!N$2:N$401,$AH139)="","",INDEX('Per Invoice'!N$2:N$401,$AH139)))</f>
        <v/>
      </c>
      <c r="O139">
        <f>IF($AH139="","",IF(INDEX('Per Invoice'!O$2:O$401,$AH139)="","",INDEX('Per Invoice'!O$2:O$401,$AH139)))</f>
        <v/>
      </c>
      <c r="P139" s="7">
        <f>IF($AH139="","",IF(INDEX('Per Invoice'!P$2:P$401,$AH139)="","",INDEX('Per Invoice'!P$2:P$401,$AH139)))</f>
        <v/>
      </c>
      <c r="Q139">
        <f>IF($AH139="","",IF(INDEX('Per Invoice'!Q$2:Q$401,$AH139)="","",INDEX('Per Invoice'!Q$2:Q$401,$AH139)))</f>
        <v/>
      </c>
      <c r="R139">
        <f>IF($AH139="","",IF(INDEX('Per Invoice'!R$2:R$401,$AH139)="","",INDEX('Per Invoice'!R$2:R$401,$AH139)))</f>
        <v/>
      </c>
      <c r="S139">
        <f>IF($AH139="","",IF(INDEX('Per Invoice'!S$2:S$401,$AH139)="","",INDEX('Per Invoice'!S$2:S$401,$AH139)))</f>
        <v/>
      </c>
      <c r="T139" s="7">
        <f>IF($AH139="","",IF(INDEX('Per Invoice'!T$2:T$401,$AH139)="","",INDEX('Per Invoice'!T$2:T$401,$AH139)))</f>
        <v/>
      </c>
      <c r="U139" s="7">
        <f>IF($AH139="","",IF(INDEX('Per Invoice'!U$2:U$401,$AH139)="","",INDEX('Per Invoice'!U$2:U$401,$AH139)))</f>
        <v/>
      </c>
      <c r="V139">
        <f>IF($AH139="","",IF(INDEX('Per Invoice'!V$2:V$401,$AH139)="","",INDEX('Per Invoice'!V$2:V$401,$AH139)))</f>
        <v/>
      </c>
      <c r="W139" s="7">
        <f>IF($AH139="","",IF(INDEX('Per Invoice'!W$2:W$401,$AH139)="","",INDEX('Per Invoice'!W$2:W$401,$AH139)))</f>
        <v/>
      </c>
      <c r="X139" s="7">
        <f>IF($AH139="","",IF(INDEX('Per Invoice'!X$2:X$401,$AH139)="","",INDEX('Per Invoice'!X$2:X$401,$AH139)))</f>
        <v/>
      </c>
      <c r="Y139">
        <f>IF($AH139="","",IF(INDEX('Per Invoice'!Y$2:Y$401,$AH139)="","",INDEX('Per Invoice'!Y$2:Y$401,$AH139)))</f>
        <v/>
      </c>
      <c r="Z139" s="7">
        <f>IF($AH139="","",IF(INDEX('Per Invoice'!Z$2:Z$401,$AH139)="","",INDEX('Per Invoice'!Z$2:Z$401,$AH139)))</f>
        <v/>
      </c>
      <c r="AA139" s="7">
        <f>IF($AH139="","",IF(INDEX('Per Invoice'!AA$2:AA$401,$AH139)="","",INDEX('Per Invoice'!AA$2:AA$401,$AH139)))</f>
        <v/>
      </c>
      <c r="AB139" s="7">
        <f>IF($AH139="","",IF(INDEX('Per Invoice'!AB$2:AB$401,$AH139)="","",INDEX('Per Invoice'!AB$2:AB$401,$AH139)))</f>
        <v/>
      </c>
      <c r="AC139" s="7">
        <f>IF($AH139="","",IF(INDEX('Per Invoice'!AC$2:AC$401,$AH139)="","",INDEX('Per Invoice'!AC$2:AC$401,$AH139)))</f>
        <v/>
      </c>
      <c r="AD139" s="7">
        <f>IF($AH139="","",IF(INDEX('Per Invoice'!AD$2:AD$401,$AH139)="","",INDEX('Per Invoice'!AD$2:AD$401,$AH139)))</f>
        <v/>
      </c>
      <c r="AE139" s="7">
        <f>IF($AH139="","",IF(INDEX('Per Invoice'!AE$2:AE$401,$AH139)="","",INDEX('Per Invoice'!AE$2:AE$401,$AH139)))</f>
        <v/>
      </c>
      <c r="AF139">
        <f>IF($AH139="","",IF(INDEX('Per Invoice'!AF$2:AF$401,$AH139)="","",INDEX('Per Invoice'!AF$2:AF$401,$AH139)))</f>
        <v/>
      </c>
      <c r="AG139" s="7">
        <f>IF($AH139="","",IF(INDEX('Per Invoice'!AG$2:AG$401,$AH139)="","",INDEX('Per Invoice'!AG$2:AG$401,$AH139)))</f>
        <v/>
      </c>
      <c r="AH139" s="16">
        <f>IFERROR(MATCH(Settings!$C$27&amp;"|"&amp;ROWS($AH$2:$AH139),'Per Invoice'!$AI$2:$AI$401,0),"")</f>
        <v/>
      </c>
    </row>
    <row r="140">
      <c r="A140">
        <f>IF($AH140="","",IF(INDEX('Per Invoice'!A$2:A$401,$AH140)="","",INDEX('Per Invoice'!A$2:A$401,$AH140)))</f>
        <v/>
      </c>
      <c r="B140">
        <f>IF($AH140="","",IF(INDEX('Per Invoice'!B$2:B$401,$AH140)="","",INDEX('Per Invoice'!B$2:B$401,$AH140)))</f>
        <v/>
      </c>
      <c r="C140">
        <f>IF($AH140="","",IF(INDEX('Per Invoice'!C$2:C$401,$AH140)="","",INDEX('Per Invoice'!C$2:C$401,$AH140)))</f>
        <v/>
      </c>
      <c r="D140">
        <f>IF($AH140="","",IF(INDEX('Per Invoice'!D$2:D$401,$AH140)="","",INDEX('Per Invoice'!D$2:D$401,$AH140)))</f>
        <v/>
      </c>
      <c r="E140">
        <f>IF($AH140="","",IF(INDEX('Per Invoice'!E$2:E$401,$AH140)="","",INDEX('Per Invoice'!E$2:E$401,$AH140)))</f>
        <v/>
      </c>
      <c r="F140">
        <f>IF($AH140="","",IF(INDEX('Per Invoice'!F$2:F$401,$AH140)="","",INDEX('Per Invoice'!F$2:F$401,$AH140)))</f>
        <v/>
      </c>
      <c r="G140">
        <f>IF($AH140="","",IF(INDEX('Per Invoice'!G$2:G$401,$AH140)="","",INDEX('Per Invoice'!G$2:G$401,$AH140)))</f>
        <v/>
      </c>
      <c r="H140">
        <f>IF($AH140="","",IF(INDEX('Per Invoice'!H$2:H$401,$AH140)="","",INDEX('Per Invoice'!H$2:H$401,$AH140)))</f>
        <v/>
      </c>
      <c r="I140" s="14">
        <f>IF($AH140="","",IF(INDEX('Per Invoice'!I$2:I$401,$AH140)="","",INDEX('Per Invoice'!I$2:I$401,$AH140)))</f>
        <v/>
      </c>
      <c r="J140">
        <f>IF($AH140="","",IF(INDEX('Per Invoice'!J$2:J$401,$AH140)="","",INDEX('Per Invoice'!J$2:J$401,$AH140)))</f>
        <v/>
      </c>
      <c r="K140">
        <f>IF($AH140="","",IF(INDEX('Per Invoice'!K$2:K$401,$AH140)="","",INDEX('Per Invoice'!K$2:K$401,$AH140)))</f>
        <v/>
      </c>
      <c r="L140">
        <f>IF($AH140="","",IF(INDEX('Per Invoice'!L$2:L$401,$AH140)="","",INDEX('Per Invoice'!L$2:L$401,$AH140)))</f>
        <v/>
      </c>
      <c r="M140">
        <f>IF($AH140="","",IF(INDEX('Per Invoice'!M$2:M$401,$AH140)="","",INDEX('Per Invoice'!M$2:M$401,$AH140)))</f>
        <v/>
      </c>
      <c r="N140">
        <f>IF($AH140="","",IF(INDEX('Per Invoice'!N$2:N$401,$AH140)="","",INDEX('Per Invoice'!N$2:N$401,$AH140)))</f>
        <v/>
      </c>
      <c r="O140">
        <f>IF($AH140="","",IF(INDEX('Per Invoice'!O$2:O$401,$AH140)="","",INDEX('Per Invoice'!O$2:O$401,$AH140)))</f>
        <v/>
      </c>
      <c r="P140" s="7">
        <f>IF($AH140="","",IF(INDEX('Per Invoice'!P$2:P$401,$AH140)="","",INDEX('Per Invoice'!P$2:P$401,$AH140)))</f>
        <v/>
      </c>
      <c r="Q140">
        <f>IF($AH140="","",IF(INDEX('Per Invoice'!Q$2:Q$401,$AH140)="","",INDEX('Per Invoice'!Q$2:Q$401,$AH140)))</f>
        <v/>
      </c>
      <c r="R140">
        <f>IF($AH140="","",IF(INDEX('Per Invoice'!R$2:R$401,$AH140)="","",INDEX('Per Invoice'!R$2:R$401,$AH140)))</f>
        <v/>
      </c>
      <c r="S140">
        <f>IF($AH140="","",IF(INDEX('Per Invoice'!S$2:S$401,$AH140)="","",INDEX('Per Invoice'!S$2:S$401,$AH140)))</f>
        <v/>
      </c>
      <c r="T140" s="7">
        <f>IF($AH140="","",IF(INDEX('Per Invoice'!T$2:T$401,$AH140)="","",INDEX('Per Invoice'!T$2:T$401,$AH140)))</f>
        <v/>
      </c>
      <c r="U140" s="7">
        <f>IF($AH140="","",IF(INDEX('Per Invoice'!U$2:U$401,$AH140)="","",INDEX('Per Invoice'!U$2:U$401,$AH140)))</f>
        <v/>
      </c>
      <c r="V140">
        <f>IF($AH140="","",IF(INDEX('Per Invoice'!V$2:V$401,$AH140)="","",INDEX('Per Invoice'!V$2:V$401,$AH140)))</f>
        <v/>
      </c>
      <c r="W140" s="7">
        <f>IF($AH140="","",IF(INDEX('Per Invoice'!W$2:W$401,$AH140)="","",INDEX('Per Invoice'!W$2:W$401,$AH140)))</f>
        <v/>
      </c>
      <c r="X140" s="7">
        <f>IF($AH140="","",IF(INDEX('Per Invoice'!X$2:X$401,$AH140)="","",INDEX('Per Invoice'!X$2:X$401,$AH140)))</f>
        <v/>
      </c>
      <c r="Y140">
        <f>IF($AH140="","",IF(INDEX('Per Invoice'!Y$2:Y$401,$AH140)="","",INDEX('Per Invoice'!Y$2:Y$401,$AH140)))</f>
        <v/>
      </c>
      <c r="Z140" s="7">
        <f>IF($AH140="","",IF(INDEX('Per Invoice'!Z$2:Z$401,$AH140)="","",INDEX('Per Invoice'!Z$2:Z$401,$AH140)))</f>
        <v/>
      </c>
      <c r="AA140" s="7">
        <f>IF($AH140="","",IF(INDEX('Per Invoice'!AA$2:AA$401,$AH140)="","",INDEX('Per Invoice'!AA$2:AA$401,$AH140)))</f>
        <v/>
      </c>
      <c r="AB140" s="7">
        <f>IF($AH140="","",IF(INDEX('Per Invoice'!AB$2:AB$401,$AH140)="","",INDEX('Per Invoice'!AB$2:AB$401,$AH140)))</f>
        <v/>
      </c>
      <c r="AC140" s="7">
        <f>IF($AH140="","",IF(INDEX('Per Invoice'!AC$2:AC$401,$AH140)="","",INDEX('Per Invoice'!AC$2:AC$401,$AH140)))</f>
        <v/>
      </c>
      <c r="AD140" s="7">
        <f>IF($AH140="","",IF(INDEX('Per Invoice'!AD$2:AD$401,$AH140)="","",INDEX('Per Invoice'!AD$2:AD$401,$AH140)))</f>
        <v/>
      </c>
      <c r="AE140" s="7">
        <f>IF($AH140="","",IF(INDEX('Per Invoice'!AE$2:AE$401,$AH140)="","",INDEX('Per Invoice'!AE$2:AE$401,$AH140)))</f>
        <v/>
      </c>
      <c r="AF140">
        <f>IF($AH140="","",IF(INDEX('Per Invoice'!AF$2:AF$401,$AH140)="","",INDEX('Per Invoice'!AF$2:AF$401,$AH140)))</f>
        <v/>
      </c>
      <c r="AG140" s="7">
        <f>IF($AH140="","",IF(INDEX('Per Invoice'!AG$2:AG$401,$AH140)="","",INDEX('Per Invoice'!AG$2:AG$401,$AH140)))</f>
        <v/>
      </c>
      <c r="AH140" s="16">
        <f>IFERROR(MATCH(Settings!$C$27&amp;"|"&amp;ROWS($AH$2:$AH140),'Per Invoice'!$AI$2:$AI$401,0),"")</f>
        <v/>
      </c>
    </row>
    <row r="141">
      <c r="A141">
        <f>IF($AH141="","",IF(INDEX('Per Invoice'!A$2:A$401,$AH141)="","",INDEX('Per Invoice'!A$2:A$401,$AH141)))</f>
        <v/>
      </c>
      <c r="B141">
        <f>IF($AH141="","",IF(INDEX('Per Invoice'!B$2:B$401,$AH141)="","",INDEX('Per Invoice'!B$2:B$401,$AH141)))</f>
        <v/>
      </c>
      <c r="C141">
        <f>IF($AH141="","",IF(INDEX('Per Invoice'!C$2:C$401,$AH141)="","",INDEX('Per Invoice'!C$2:C$401,$AH141)))</f>
        <v/>
      </c>
      <c r="D141">
        <f>IF($AH141="","",IF(INDEX('Per Invoice'!D$2:D$401,$AH141)="","",INDEX('Per Invoice'!D$2:D$401,$AH141)))</f>
        <v/>
      </c>
      <c r="E141">
        <f>IF($AH141="","",IF(INDEX('Per Invoice'!E$2:E$401,$AH141)="","",INDEX('Per Invoice'!E$2:E$401,$AH141)))</f>
        <v/>
      </c>
      <c r="F141">
        <f>IF($AH141="","",IF(INDEX('Per Invoice'!F$2:F$401,$AH141)="","",INDEX('Per Invoice'!F$2:F$401,$AH141)))</f>
        <v/>
      </c>
      <c r="G141">
        <f>IF($AH141="","",IF(INDEX('Per Invoice'!G$2:G$401,$AH141)="","",INDEX('Per Invoice'!G$2:G$401,$AH141)))</f>
        <v/>
      </c>
      <c r="H141">
        <f>IF($AH141="","",IF(INDEX('Per Invoice'!H$2:H$401,$AH141)="","",INDEX('Per Invoice'!H$2:H$401,$AH141)))</f>
        <v/>
      </c>
      <c r="I141" s="14">
        <f>IF($AH141="","",IF(INDEX('Per Invoice'!I$2:I$401,$AH141)="","",INDEX('Per Invoice'!I$2:I$401,$AH141)))</f>
        <v/>
      </c>
      <c r="J141">
        <f>IF($AH141="","",IF(INDEX('Per Invoice'!J$2:J$401,$AH141)="","",INDEX('Per Invoice'!J$2:J$401,$AH141)))</f>
        <v/>
      </c>
      <c r="K141">
        <f>IF($AH141="","",IF(INDEX('Per Invoice'!K$2:K$401,$AH141)="","",INDEX('Per Invoice'!K$2:K$401,$AH141)))</f>
        <v/>
      </c>
      <c r="L141">
        <f>IF($AH141="","",IF(INDEX('Per Invoice'!L$2:L$401,$AH141)="","",INDEX('Per Invoice'!L$2:L$401,$AH141)))</f>
        <v/>
      </c>
      <c r="M141">
        <f>IF($AH141="","",IF(INDEX('Per Invoice'!M$2:M$401,$AH141)="","",INDEX('Per Invoice'!M$2:M$401,$AH141)))</f>
        <v/>
      </c>
      <c r="N141">
        <f>IF($AH141="","",IF(INDEX('Per Invoice'!N$2:N$401,$AH141)="","",INDEX('Per Invoice'!N$2:N$401,$AH141)))</f>
        <v/>
      </c>
      <c r="O141">
        <f>IF($AH141="","",IF(INDEX('Per Invoice'!O$2:O$401,$AH141)="","",INDEX('Per Invoice'!O$2:O$401,$AH141)))</f>
        <v/>
      </c>
      <c r="P141" s="7">
        <f>IF($AH141="","",IF(INDEX('Per Invoice'!P$2:P$401,$AH141)="","",INDEX('Per Invoice'!P$2:P$401,$AH141)))</f>
        <v/>
      </c>
      <c r="Q141">
        <f>IF($AH141="","",IF(INDEX('Per Invoice'!Q$2:Q$401,$AH141)="","",INDEX('Per Invoice'!Q$2:Q$401,$AH141)))</f>
        <v/>
      </c>
      <c r="R141">
        <f>IF($AH141="","",IF(INDEX('Per Invoice'!R$2:R$401,$AH141)="","",INDEX('Per Invoice'!R$2:R$401,$AH141)))</f>
        <v/>
      </c>
      <c r="S141">
        <f>IF($AH141="","",IF(INDEX('Per Invoice'!S$2:S$401,$AH141)="","",INDEX('Per Invoice'!S$2:S$401,$AH141)))</f>
        <v/>
      </c>
      <c r="T141" s="7">
        <f>IF($AH141="","",IF(INDEX('Per Invoice'!T$2:T$401,$AH141)="","",INDEX('Per Invoice'!T$2:T$401,$AH141)))</f>
        <v/>
      </c>
      <c r="U141" s="7">
        <f>IF($AH141="","",IF(INDEX('Per Invoice'!U$2:U$401,$AH141)="","",INDEX('Per Invoice'!U$2:U$401,$AH141)))</f>
        <v/>
      </c>
      <c r="V141">
        <f>IF($AH141="","",IF(INDEX('Per Invoice'!V$2:V$401,$AH141)="","",INDEX('Per Invoice'!V$2:V$401,$AH141)))</f>
        <v/>
      </c>
      <c r="W141" s="7">
        <f>IF($AH141="","",IF(INDEX('Per Invoice'!W$2:W$401,$AH141)="","",INDEX('Per Invoice'!W$2:W$401,$AH141)))</f>
        <v/>
      </c>
      <c r="X141" s="7">
        <f>IF($AH141="","",IF(INDEX('Per Invoice'!X$2:X$401,$AH141)="","",INDEX('Per Invoice'!X$2:X$401,$AH141)))</f>
        <v/>
      </c>
      <c r="Y141">
        <f>IF($AH141="","",IF(INDEX('Per Invoice'!Y$2:Y$401,$AH141)="","",INDEX('Per Invoice'!Y$2:Y$401,$AH141)))</f>
        <v/>
      </c>
      <c r="Z141" s="7">
        <f>IF($AH141="","",IF(INDEX('Per Invoice'!Z$2:Z$401,$AH141)="","",INDEX('Per Invoice'!Z$2:Z$401,$AH141)))</f>
        <v/>
      </c>
      <c r="AA141" s="7">
        <f>IF($AH141="","",IF(INDEX('Per Invoice'!AA$2:AA$401,$AH141)="","",INDEX('Per Invoice'!AA$2:AA$401,$AH141)))</f>
        <v/>
      </c>
      <c r="AB141" s="7">
        <f>IF($AH141="","",IF(INDEX('Per Invoice'!AB$2:AB$401,$AH141)="","",INDEX('Per Invoice'!AB$2:AB$401,$AH141)))</f>
        <v/>
      </c>
      <c r="AC141" s="7">
        <f>IF($AH141="","",IF(INDEX('Per Invoice'!AC$2:AC$401,$AH141)="","",INDEX('Per Invoice'!AC$2:AC$401,$AH141)))</f>
        <v/>
      </c>
      <c r="AD141" s="7">
        <f>IF($AH141="","",IF(INDEX('Per Invoice'!AD$2:AD$401,$AH141)="","",INDEX('Per Invoice'!AD$2:AD$401,$AH141)))</f>
        <v/>
      </c>
      <c r="AE141" s="7">
        <f>IF($AH141="","",IF(INDEX('Per Invoice'!AE$2:AE$401,$AH141)="","",INDEX('Per Invoice'!AE$2:AE$401,$AH141)))</f>
        <v/>
      </c>
      <c r="AF141">
        <f>IF($AH141="","",IF(INDEX('Per Invoice'!AF$2:AF$401,$AH141)="","",INDEX('Per Invoice'!AF$2:AF$401,$AH141)))</f>
        <v/>
      </c>
      <c r="AG141" s="7">
        <f>IF($AH141="","",IF(INDEX('Per Invoice'!AG$2:AG$401,$AH141)="","",INDEX('Per Invoice'!AG$2:AG$401,$AH141)))</f>
        <v/>
      </c>
      <c r="AH141" s="16">
        <f>IFERROR(MATCH(Settings!$C$27&amp;"|"&amp;ROWS($AH$2:$AH141),'Per Invoice'!$AI$2:$AI$401,0),"")</f>
        <v/>
      </c>
    </row>
    <row r="142">
      <c r="A142">
        <f>IF($AH142="","",IF(INDEX('Per Invoice'!A$2:A$401,$AH142)="","",INDEX('Per Invoice'!A$2:A$401,$AH142)))</f>
        <v/>
      </c>
      <c r="B142">
        <f>IF($AH142="","",IF(INDEX('Per Invoice'!B$2:B$401,$AH142)="","",INDEX('Per Invoice'!B$2:B$401,$AH142)))</f>
        <v/>
      </c>
      <c r="C142">
        <f>IF($AH142="","",IF(INDEX('Per Invoice'!C$2:C$401,$AH142)="","",INDEX('Per Invoice'!C$2:C$401,$AH142)))</f>
        <v/>
      </c>
      <c r="D142">
        <f>IF($AH142="","",IF(INDEX('Per Invoice'!D$2:D$401,$AH142)="","",INDEX('Per Invoice'!D$2:D$401,$AH142)))</f>
        <v/>
      </c>
      <c r="E142">
        <f>IF($AH142="","",IF(INDEX('Per Invoice'!E$2:E$401,$AH142)="","",INDEX('Per Invoice'!E$2:E$401,$AH142)))</f>
        <v/>
      </c>
      <c r="F142">
        <f>IF($AH142="","",IF(INDEX('Per Invoice'!F$2:F$401,$AH142)="","",INDEX('Per Invoice'!F$2:F$401,$AH142)))</f>
        <v/>
      </c>
      <c r="G142">
        <f>IF($AH142="","",IF(INDEX('Per Invoice'!G$2:G$401,$AH142)="","",INDEX('Per Invoice'!G$2:G$401,$AH142)))</f>
        <v/>
      </c>
      <c r="H142">
        <f>IF($AH142="","",IF(INDEX('Per Invoice'!H$2:H$401,$AH142)="","",INDEX('Per Invoice'!H$2:H$401,$AH142)))</f>
        <v/>
      </c>
      <c r="I142" s="14">
        <f>IF($AH142="","",IF(INDEX('Per Invoice'!I$2:I$401,$AH142)="","",INDEX('Per Invoice'!I$2:I$401,$AH142)))</f>
        <v/>
      </c>
      <c r="J142">
        <f>IF($AH142="","",IF(INDEX('Per Invoice'!J$2:J$401,$AH142)="","",INDEX('Per Invoice'!J$2:J$401,$AH142)))</f>
        <v/>
      </c>
      <c r="K142">
        <f>IF($AH142="","",IF(INDEX('Per Invoice'!K$2:K$401,$AH142)="","",INDEX('Per Invoice'!K$2:K$401,$AH142)))</f>
        <v/>
      </c>
      <c r="L142">
        <f>IF($AH142="","",IF(INDEX('Per Invoice'!L$2:L$401,$AH142)="","",INDEX('Per Invoice'!L$2:L$401,$AH142)))</f>
        <v/>
      </c>
      <c r="M142">
        <f>IF($AH142="","",IF(INDEX('Per Invoice'!M$2:M$401,$AH142)="","",INDEX('Per Invoice'!M$2:M$401,$AH142)))</f>
        <v/>
      </c>
      <c r="N142">
        <f>IF($AH142="","",IF(INDEX('Per Invoice'!N$2:N$401,$AH142)="","",INDEX('Per Invoice'!N$2:N$401,$AH142)))</f>
        <v/>
      </c>
      <c r="O142">
        <f>IF($AH142="","",IF(INDEX('Per Invoice'!O$2:O$401,$AH142)="","",INDEX('Per Invoice'!O$2:O$401,$AH142)))</f>
        <v/>
      </c>
      <c r="P142" s="7">
        <f>IF($AH142="","",IF(INDEX('Per Invoice'!P$2:P$401,$AH142)="","",INDEX('Per Invoice'!P$2:P$401,$AH142)))</f>
        <v/>
      </c>
      <c r="Q142">
        <f>IF($AH142="","",IF(INDEX('Per Invoice'!Q$2:Q$401,$AH142)="","",INDEX('Per Invoice'!Q$2:Q$401,$AH142)))</f>
        <v/>
      </c>
      <c r="R142">
        <f>IF($AH142="","",IF(INDEX('Per Invoice'!R$2:R$401,$AH142)="","",INDEX('Per Invoice'!R$2:R$401,$AH142)))</f>
        <v/>
      </c>
      <c r="S142">
        <f>IF($AH142="","",IF(INDEX('Per Invoice'!S$2:S$401,$AH142)="","",INDEX('Per Invoice'!S$2:S$401,$AH142)))</f>
        <v/>
      </c>
      <c r="T142" s="7">
        <f>IF($AH142="","",IF(INDEX('Per Invoice'!T$2:T$401,$AH142)="","",INDEX('Per Invoice'!T$2:T$401,$AH142)))</f>
        <v/>
      </c>
      <c r="U142" s="7">
        <f>IF($AH142="","",IF(INDEX('Per Invoice'!U$2:U$401,$AH142)="","",INDEX('Per Invoice'!U$2:U$401,$AH142)))</f>
        <v/>
      </c>
      <c r="V142">
        <f>IF($AH142="","",IF(INDEX('Per Invoice'!V$2:V$401,$AH142)="","",INDEX('Per Invoice'!V$2:V$401,$AH142)))</f>
        <v/>
      </c>
      <c r="W142" s="7">
        <f>IF($AH142="","",IF(INDEX('Per Invoice'!W$2:W$401,$AH142)="","",INDEX('Per Invoice'!W$2:W$401,$AH142)))</f>
        <v/>
      </c>
      <c r="X142" s="7">
        <f>IF($AH142="","",IF(INDEX('Per Invoice'!X$2:X$401,$AH142)="","",INDEX('Per Invoice'!X$2:X$401,$AH142)))</f>
        <v/>
      </c>
      <c r="Y142">
        <f>IF($AH142="","",IF(INDEX('Per Invoice'!Y$2:Y$401,$AH142)="","",INDEX('Per Invoice'!Y$2:Y$401,$AH142)))</f>
        <v/>
      </c>
      <c r="Z142" s="7">
        <f>IF($AH142="","",IF(INDEX('Per Invoice'!Z$2:Z$401,$AH142)="","",INDEX('Per Invoice'!Z$2:Z$401,$AH142)))</f>
        <v/>
      </c>
      <c r="AA142" s="7">
        <f>IF($AH142="","",IF(INDEX('Per Invoice'!AA$2:AA$401,$AH142)="","",INDEX('Per Invoice'!AA$2:AA$401,$AH142)))</f>
        <v/>
      </c>
      <c r="AB142" s="7">
        <f>IF($AH142="","",IF(INDEX('Per Invoice'!AB$2:AB$401,$AH142)="","",INDEX('Per Invoice'!AB$2:AB$401,$AH142)))</f>
        <v/>
      </c>
      <c r="AC142" s="7">
        <f>IF($AH142="","",IF(INDEX('Per Invoice'!AC$2:AC$401,$AH142)="","",INDEX('Per Invoice'!AC$2:AC$401,$AH142)))</f>
        <v/>
      </c>
      <c r="AD142" s="7">
        <f>IF($AH142="","",IF(INDEX('Per Invoice'!AD$2:AD$401,$AH142)="","",INDEX('Per Invoice'!AD$2:AD$401,$AH142)))</f>
        <v/>
      </c>
      <c r="AE142" s="7">
        <f>IF($AH142="","",IF(INDEX('Per Invoice'!AE$2:AE$401,$AH142)="","",INDEX('Per Invoice'!AE$2:AE$401,$AH142)))</f>
        <v/>
      </c>
      <c r="AF142">
        <f>IF($AH142="","",IF(INDEX('Per Invoice'!AF$2:AF$401,$AH142)="","",INDEX('Per Invoice'!AF$2:AF$401,$AH142)))</f>
        <v/>
      </c>
      <c r="AG142" s="7">
        <f>IF($AH142="","",IF(INDEX('Per Invoice'!AG$2:AG$401,$AH142)="","",INDEX('Per Invoice'!AG$2:AG$401,$AH142)))</f>
        <v/>
      </c>
      <c r="AH142" s="16">
        <f>IFERROR(MATCH(Settings!$C$27&amp;"|"&amp;ROWS($AH$2:$AH142),'Per Invoice'!$AI$2:$AI$401,0),"")</f>
        <v/>
      </c>
    </row>
    <row r="143">
      <c r="A143">
        <f>IF($AH143="","",IF(INDEX('Per Invoice'!A$2:A$401,$AH143)="","",INDEX('Per Invoice'!A$2:A$401,$AH143)))</f>
        <v/>
      </c>
      <c r="B143">
        <f>IF($AH143="","",IF(INDEX('Per Invoice'!B$2:B$401,$AH143)="","",INDEX('Per Invoice'!B$2:B$401,$AH143)))</f>
        <v/>
      </c>
      <c r="C143">
        <f>IF($AH143="","",IF(INDEX('Per Invoice'!C$2:C$401,$AH143)="","",INDEX('Per Invoice'!C$2:C$401,$AH143)))</f>
        <v/>
      </c>
      <c r="D143">
        <f>IF($AH143="","",IF(INDEX('Per Invoice'!D$2:D$401,$AH143)="","",INDEX('Per Invoice'!D$2:D$401,$AH143)))</f>
        <v/>
      </c>
      <c r="E143">
        <f>IF($AH143="","",IF(INDEX('Per Invoice'!E$2:E$401,$AH143)="","",INDEX('Per Invoice'!E$2:E$401,$AH143)))</f>
        <v/>
      </c>
      <c r="F143">
        <f>IF($AH143="","",IF(INDEX('Per Invoice'!F$2:F$401,$AH143)="","",INDEX('Per Invoice'!F$2:F$401,$AH143)))</f>
        <v/>
      </c>
      <c r="G143">
        <f>IF($AH143="","",IF(INDEX('Per Invoice'!G$2:G$401,$AH143)="","",INDEX('Per Invoice'!G$2:G$401,$AH143)))</f>
        <v/>
      </c>
      <c r="H143">
        <f>IF($AH143="","",IF(INDEX('Per Invoice'!H$2:H$401,$AH143)="","",INDEX('Per Invoice'!H$2:H$401,$AH143)))</f>
        <v/>
      </c>
      <c r="I143" s="14">
        <f>IF($AH143="","",IF(INDEX('Per Invoice'!I$2:I$401,$AH143)="","",INDEX('Per Invoice'!I$2:I$401,$AH143)))</f>
        <v/>
      </c>
      <c r="J143">
        <f>IF($AH143="","",IF(INDEX('Per Invoice'!J$2:J$401,$AH143)="","",INDEX('Per Invoice'!J$2:J$401,$AH143)))</f>
        <v/>
      </c>
      <c r="K143">
        <f>IF($AH143="","",IF(INDEX('Per Invoice'!K$2:K$401,$AH143)="","",INDEX('Per Invoice'!K$2:K$401,$AH143)))</f>
        <v/>
      </c>
      <c r="L143">
        <f>IF($AH143="","",IF(INDEX('Per Invoice'!L$2:L$401,$AH143)="","",INDEX('Per Invoice'!L$2:L$401,$AH143)))</f>
        <v/>
      </c>
      <c r="M143">
        <f>IF($AH143="","",IF(INDEX('Per Invoice'!M$2:M$401,$AH143)="","",INDEX('Per Invoice'!M$2:M$401,$AH143)))</f>
        <v/>
      </c>
      <c r="N143">
        <f>IF($AH143="","",IF(INDEX('Per Invoice'!N$2:N$401,$AH143)="","",INDEX('Per Invoice'!N$2:N$401,$AH143)))</f>
        <v/>
      </c>
      <c r="O143">
        <f>IF($AH143="","",IF(INDEX('Per Invoice'!O$2:O$401,$AH143)="","",INDEX('Per Invoice'!O$2:O$401,$AH143)))</f>
        <v/>
      </c>
      <c r="P143" s="7">
        <f>IF($AH143="","",IF(INDEX('Per Invoice'!P$2:P$401,$AH143)="","",INDEX('Per Invoice'!P$2:P$401,$AH143)))</f>
        <v/>
      </c>
      <c r="Q143">
        <f>IF($AH143="","",IF(INDEX('Per Invoice'!Q$2:Q$401,$AH143)="","",INDEX('Per Invoice'!Q$2:Q$401,$AH143)))</f>
        <v/>
      </c>
      <c r="R143">
        <f>IF($AH143="","",IF(INDEX('Per Invoice'!R$2:R$401,$AH143)="","",INDEX('Per Invoice'!R$2:R$401,$AH143)))</f>
        <v/>
      </c>
      <c r="S143">
        <f>IF($AH143="","",IF(INDEX('Per Invoice'!S$2:S$401,$AH143)="","",INDEX('Per Invoice'!S$2:S$401,$AH143)))</f>
        <v/>
      </c>
      <c r="T143" s="7">
        <f>IF($AH143="","",IF(INDEX('Per Invoice'!T$2:T$401,$AH143)="","",INDEX('Per Invoice'!T$2:T$401,$AH143)))</f>
        <v/>
      </c>
      <c r="U143" s="7">
        <f>IF($AH143="","",IF(INDEX('Per Invoice'!U$2:U$401,$AH143)="","",INDEX('Per Invoice'!U$2:U$401,$AH143)))</f>
        <v/>
      </c>
      <c r="V143">
        <f>IF($AH143="","",IF(INDEX('Per Invoice'!V$2:V$401,$AH143)="","",INDEX('Per Invoice'!V$2:V$401,$AH143)))</f>
        <v/>
      </c>
      <c r="W143" s="7">
        <f>IF($AH143="","",IF(INDEX('Per Invoice'!W$2:W$401,$AH143)="","",INDEX('Per Invoice'!W$2:W$401,$AH143)))</f>
        <v/>
      </c>
      <c r="X143" s="7">
        <f>IF($AH143="","",IF(INDEX('Per Invoice'!X$2:X$401,$AH143)="","",INDEX('Per Invoice'!X$2:X$401,$AH143)))</f>
        <v/>
      </c>
      <c r="Y143">
        <f>IF($AH143="","",IF(INDEX('Per Invoice'!Y$2:Y$401,$AH143)="","",INDEX('Per Invoice'!Y$2:Y$401,$AH143)))</f>
        <v/>
      </c>
      <c r="Z143" s="7">
        <f>IF($AH143="","",IF(INDEX('Per Invoice'!Z$2:Z$401,$AH143)="","",INDEX('Per Invoice'!Z$2:Z$401,$AH143)))</f>
        <v/>
      </c>
      <c r="AA143" s="7">
        <f>IF($AH143="","",IF(INDEX('Per Invoice'!AA$2:AA$401,$AH143)="","",INDEX('Per Invoice'!AA$2:AA$401,$AH143)))</f>
        <v/>
      </c>
      <c r="AB143" s="7">
        <f>IF($AH143="","",IF(INDEX('Per Invoice'!AB$2:AB$401,$AH143)="","",INDEX('Per Invoice'!AB$2:AB$401,$AH143)))</f>
        <v/>
      </c>
      <c r="AC143" s="7">
        <f>IF($AH143="","",IF(INDEX('Per Invoice'!AC$2:AC$401,$AH143)="","",INDEX('Per Invoice'!AC$2:AC$401,$AH143)))</f>
        <v/>
      </c>
      <c r="AD143" s="7">
        <f>IF($AH143="","",IF(INDEX('Per Invoice'!AD$2:AD$401,$AH143)="","",INDEX('Per Invoice'!AD$2:AD$401,$AH143)))</f>
        <v/>
      </c>
      <c r="AE143" s="7">
        <f>IF($AH143="","",IF(INDEX('Per Invoice'!AE$2:AE$401,$AH143)="","",INDEX('Per Invoice'!AE$2:AE$401,$AH143)))</f>
        <v/>
      </c>
      <c r="AF143">
        <f>IF($AH143="","",IF(INDEX('Per Invoice'!AF$2:AF$401,$AH143)="","",INDEX('Per Invoice'!AF$2:AF$401,$AH143)))</f>
        <v/>
      </c>
      <c r="AG143" s="7">
        <f>IF($AH143="","",IF(INDEX('Per Invoice'!AG$2:AG$401,$AH143)="","",INDEX('Per Invoice'!AG$2:AG$401,$AH143)))</f>
        <v/>
      </c>
      <c r="AH143" s="16">
        <f>IFERROR(MATCH(Settings!$C$27&amp;"|"&amp;ROWS($AH$2:$AH143),'Per Invoice'!$AI$2:$AI$401,0),"")</f>
        <v/>
      </c>
    </row>
    <row r="144">
      <c r="A144">
        <f>IF($AH144="","",IF(INDEX('Per Invoice'!A$2:A$401,$AH144)="","",INDEX('Per Invoice'!A$2:A$401,$AH144)))</f>
        <v/>
      </c>
      <c r="B144">
        <f>IF($AH144="","",IF(INDEX('Per Invoice'!B$2:B$401,$AH144)="","",INDEX('Per Invoice'!B$2:B$401,$AH144)))</f>
        <v/>
      </c>
      <c r="C144">
        <f>IF($AH144="","",IF(INDEX('Per Invoice'!C$2:C$401,$AH144)="","",INDEX('Per Invoice'!C$2:C$401,$AH144)))</f>
        <v/>
      </c>
      <c r="D144">
        <f>IF($AH144="","",IF(INDEX('Per Invoice'!D$2:D$401,$AH144)="","",INDEX('Per Invoice'!D$2:D$401,$AH144)))</f>
        <v/>
      </c>
      <c r="E144">
        <f>IF($AH144="","",IF(INDEX('Per Invoice'!E$2:E$401,$AH144)="","",INDEX('Per Invoice'!E$2:E$401,$AH144)))</f>
        <v/>
      </c>
      <c r="F144">
        <f>IF($AH144="","",IF(INDEX('Per Invoice'!F$2:F$401,$AH144)="","",INDEX('Per Invoice'!F$2:F$401,$AH144)))</f>
        <v/>
      </c>
      <c r="G144">
        <f>IF($AH144="","",IF(INDEX('Per Invoice'!G$2:G$401,$AH144)="","",INDEX('Per Invoice'!G$2:G$401,$AH144)))</f>
        <v/>
      </c>
      <c r="H144">
        <f>IF($AH144="","",IF(INDEX('Per Invoice'!H$2:H$401,$AH144)="","",INDEX('Per Invoice'!H$2:H$401,$AH144)))</f>
        <v/>
      </c>
      <c r="I144" s="14">
        <f>IF($AH144="","",IF(INDEX('Per Invoice'!I$2:I$401,$AH144)="","",INDEX('Per Invoice'!I$2:I$401,$AH144)))</f>
        <v/>
      </c>
      <c r="J144">
        <f>IF($AH144="","",IF(INDEX('Per Invoice'!J$2:J$401,$AH144)="","",INDEX('Per Invoice'!J$2:J$401,$AH144)))</f>
        <v/>
      </c>
      <c r="K144">
        <f>IF($AH144="","",IF(INDEX('Per Invoice'!K$2:K$401,$AH144)="","",INDEX('Per Invoice'!K$2:K$401,$AH144)))</f>
        <v/>
      </c>
      <c r="L144">
        <f>IF($AH144="","",IF(INDEX('Per Invoice'!L$2:L$401,$AH144)="","",INDEX('Per Invoice'!L$2:L$401,$AH144)))</f>
        <v/>
      </c>
      <c r="M144">
        <f>IF($AH144="","",IF(INDEX('Per Invoice'!M$2:M$401,$AH144)="","",INDEX('Per Invoice'!M$2:M$401,$AH144)))</f>
        <v/>
      </c>
      <c r="N144">
        <f>IF($AH144="","",IF(INDEX('Per Invoice'!N$2:N$401,$AH144)="","",INDEX('Per Invoice'!N$2:N$401,$AH144)))</f>
        <v/>
      </c>
      <c r="O144">
        <f>IF($AH144="","",IF(INDEX('Per Invoice'!O$2:O$401,$AH144)="","",INDEX('Per Invoice'!O$2:O$401,$AH144)))</f>
        <v/>
      </c>
      <c r="P144" s="7">
        <f>IF($AH144="","",IF(INDEX('Per Invoice'!P$2:P$401,$AH144)="","",INDEX('Per Invoice'!P$2:P$401,$AH144)))</f>
        <v/>
      </c>
      <c r="Q144">
        <f>IF($AH144="","",IF(INDEX('Per Invoice'!Q$2:Q$401,$AH144)="","",INDEX('Per Invoice'!Q$2:Q$401,$AH144)))</f>
        <v/>
      </c>
      <c r="R144">
        <f>IF($AH144="","",IF(INDEX('Per Invoice'!R$2:R$401,$AH144)="","",INDEX('Per Invoice'!R$2:R$401,$AH144)))</f>
        <v/>
      </c>
      <c r="S144">
        <f>IF($AH144="","",IF(INDEX('Per Invoice'!S$2:S$401,$AH144)="","",INDEX('Per Invoice'!S$2:S$401,$AH144)))</f>
        <v/>
      </c>
      <c r="T144" s="7">
        <f>IF($AH144="","",IF(INDEX('Per Invoice'!T$2:T$401,$AH144)="","",INDEX('Per Invoice'!T$2:T$401,$AH144)))</f>
        <v/>
      </c>
      <c r="U144" s="7">
        <f>IF($AH144="","",IF(INDEX('Per Invoice'!U$2:U$401,$AH144)="","",INDEX('Per Invoice'!U$2:U$401,$AH144)))</f>
        <v/>
      </c>
      <c r="V144">
        <f>IF($AH144="","",IF(INDEX('Per Invoice'!V$2:V$401,$AH144)="","",INDEX('Per Invoice'!V$2:V$401,$AH144)))</f>
        <v/>
      </c>
      <c r="W144" s="7">
        <f>IF($AH144="","",IF(INDEX('Per Invoice'!W$2:W$401,$AH144)="","",INDEX('Per Invoice'!W$2:W$401,$AH144)))</f>
        <v/>
      </c>
      <c r="X144" s="7">
        <f>IF($AH144="","",IF(INDEX('Per Invoice'!X$2:X$401,$AH144)="","",INDEX('Per Invoice'!X$2:X$401,$AH144)))</f>
        <v/>
      </c>
      <c r="Y144">
        <f>IF($AH144="","",IF(INDEX('Per Invoice'!Y$2:Y$401,$AH144)="","",INDEX('Per Invoice'!Y$2:Y$401,$AH144)))</f>
        <v/>
      </c>
      <c r="Z144" s="7">
        <f>IF($AH144="","",IF(INDEX('Per Invoice'!Z$2:Z$401,$AH144)="","",INDEX('Per Invoice'!Z$2:Z$401,$AH144)))</f>
        <v/>
      </c>
      <c r="AA144" s="7">
        <f>IF($AH144="","",IF(INDEX('Per Invoice'!AA$2:AA$401,$AH144)="","",INDEX('Per Invoice'!AA$2:AA$401,$AH144)))</f>
        <v/>
      </c>
      <c r="AB144" s="7">
        <f>IF($AH144="","",IF(INDEX('Per Invoice'!AB$2:AB$401,$AH144)="","",INDEX('Per Invoice'!AB$2:AB$401,$AH144)))</f>
        <v/>
      </c>
      <c r="AC144" s="7">
        <f>IF($AH144="","",IF(INDEX('Per Invoice'!AC$2:AC$401,$AH144)="","",INDEX('Per Invoice'!AC$2:AC$401,$AH144)))</f>
        <v/>
      </c>
      <c r="AD144" s="7">
        <f>IF($AH144="","",IF(INDEX('Per Invoice'!AD$2:AD$401,$AH144)="","",INDEX('Per Invoice'!AD$2:AD$401,$AH144)))</f>
        <v/>
      </c>
      <c r="AE144" s="7">
        <f>IF($AH144="","",IF(INDEX('Per Invoice'!AE$2:AE$401,$AH144)="","",INDEX('Per Invoice'!AE$2:AE$401,$AH144)))</f>
        <v/>
      </c>
      <c r="AF144">
        <f>IF($AH144="","",IF(INDEX('Per Invoice'!AF$2:AF$401,$AH144)="","",INDEX('Per Invoice'!AF$2:AF$401,$AH144)))</f>
        <v/>
      </c>
      <c r="AG144" s="7">
        <f>IF($AH144="","",IF(INDEX('Per Invoice'!AG$2:AG$401,$AH144)="","",INDEX('Per Invoice'!AG$2:AG$401,$AH144)))</f>
        <v/>
      </c>
      <c r="AH144" s="16">
        <f>IFERROR(MATCH(Settings!$C$27&amp;"|"&amp;ROWS($AH$2:$AH144),'Per Invoice'!$AI$2:$AI$401,0),"")</f>
        <v/>
      </c>
    </row>
    <row r="145">
      <c r="A145">
        <f>IF($AH145="","",IF(INDEX('Per Invoice'!A$2:A$401,$AH145)="","",INDEX('Per Invoice'!A$2:A$401,$AH145)))</f>
        <v/>
      </c>
      <c r="B145">
        <f>IF($AH145="","",IF(INDEX('Per Invoice'!B$2:B$401,$AH145)="","",INDEX('Per Invoice'!B$2:B$401,$AH145)))</f>
        <v/>
      </c>
      <c r="C145">
        <f>IF($AH145="","",IF(INDEX('Per Invoice'!C$2:C$401,$AH145)="","",INDEX('Per Invoice'!C$2:C$401,$AH145)))</f>
        <v/>
      </c>
      <c r="D145">
        <f>IF($AH145="","",IF(INDEX('Per Invoice'!D$2:D$401,$AH145)="","",INDEX('Per Invoice'!D$2:D$401,$AH145)))</f>
        <v/>
      </c>
      <c r="E145">
        <f>IF($AH145="","",IF(INDEX('Per Invoice'!E$2:E$401,$AH145)="","",INDEX('Per Invoice'!E$2:E$401,$AH145)))</f>
        <v/>
      </c>
      <c r="F145">
        <f>IF($AH145="","",IF(INDEX('Per Invoice'!F$2:F$401,$AH145)="","",INDEX('Per Invoice'!F$2:F$401,$AH145)))</f>
        <v/>
      </c>
      <c r="G145">
        <f>IF($AH145="","",IF(INDEX('Per Invoice'!G$2:G$401,$AH145)="","",INDEX('Per Invoice'!G$2:G$401,$AH145)))</f>
        <v/>
      </c>
      <c r="H145">
        <f>IF($AH145="","",IF(INDEX('Per Invoice'!H$2:H$401,$AH145)="","",INDEX('Per Invoice'!H$2:H$401,$AH145)))</f>
        <v/>
      </c>
      <c r="I145" s="14">
        <f>IF($AH145="","",IF(INDEX('Per Invoice'!I$2:I$401,$AH145)="","",INDEX('Per Invoice'!I$2:I$401,$AH145)))</f>
        <v/>
      </c>
      <c r="J145">
        <f>IF($AH145="","",IF(INDEX('Per Invoice'!J$2:J$401,$AH145)="","",INDEX('Per Invoice'!J$2:J$401,$AH145)))</f>
        <v/>
      </c>
      <c r="K145">
        <f>IF($AH145="","",IF(INDEX('Per Invoice'!K$2:K$401,$AH145)="","",INDEX('Per Invoice'!K$2:K$401,$AH145)))</f>
        <v/>
      </c>
      <c r="L145">
        <f>IF($AH145="","",IF(INDEX('Per Invoice'!L$2:L$401,$AH145)="","",INDEX('Per Invoice'!L$2:L$401,$AH145)))</f>
        <v/>
      </c>
      <c r="M145">
        <f>IF($AH145="","",IF(INDEX('Per Invoice'!M$2:M$401,$AH145)="","",INDEX('Per Invoice'!M$2:M$401,$AH145)))</f>
        <v/>
      </c>
      <c r="N145">
        <f>IF($AH145="","",IF(INDEX('Per Invoice'!N$2:N$401,$AH145)="","",INDEX('Per Invoice'!N$2:N$401,$AH145)))</f>
        <v/>
      </c>
      <c r="O145">
        <f>IF($AH145="","",IF(INDEX('Per Invoice'!O$2:O$401,$AH145)="","",INDEX('Per Invoice'!O$2:O$401,$AH145)))</f>
        <v/>
      </c>
      <c r="P145" s="7">
        <f>IF($AH145="","",IF(INDEX('Per Invoice'!P$2:P$401,$AH145)="","",INDEX('Per Invoice'!P$2:P$401,$AH145)))</f>
        <v/>
      </c>
      <c r="Q145">
        <f>IF($AH145="","",IF(INDEX('Per Invoice'!Q$2:Q$401,$AH145)="","",INDEX('Per Invoice'!Q$2:Q$401,$AH145)))</f>
        <v/>
      </c>
      <c r="R145">
        <f>IF($AH145="","",IF(INDEX('Per Invoice'!R$2:R$401,$AH145)="","",INDEX('Per Invoice'!R$2:R$401,$AH145)))</f>
        <v/>
      </c>
      <c r="S145">
        <f>IF($AH145="","",IF(INDEX('Per Invoice'!S$2:S$401,$AH145)="","",INDEX('Per Invoice'!S$2:S$401,$AH145)))</f>
        <v/>
      </c>
      <c r="T145" s="7">
        <f>IF($AH145="","",IF(INDEX('Per Invoice'!T$2:T$401,$AH145)="","",INDEX('Per Invoice'!T$2:T$401,$AH145)))</f>
        <v/>
      </c>
      <c r="U145" s="7">
        <f>IF($AH145="","",IF(INDEX('Per Invoice'!U$2:U$401,$AH145)="","",INDEX('Per Invoice'!U$2:U$401,$AH145)))</f>
        <v/>
      </c>
      <c r="V145">
        <f>IF($AH145="","",IF(INDEX('Per Invoice'!V$2:V$401,$AH145)="","",INDEX('Per Invoice'!V$2:V$401,$AH145)))</f>
        <v/>
      </c>
      <c r="W145" s="7">
        <f>IF($AH145="","",IF(INDEX('Per Invoice'!W$2:W$401,$AH145)="","",INDEX('Per Invoice'!W$2:W$401,$AH145)))</f>
        <v/>
      </c>
      <c r="X145" s="7">
        <f>IF($AH145="","",IF(INDEX('Per Invoice'!X$2:X$401,$AH145)="","",INDEX('Per Invoice'!X$2:X$401,$AH145)))</f>
        <v/>
      </c>
      <c r="Y145">
        <f>IF($AH145="","",IF(INDEX('Per Invoice'!Y$2:Y$401,$AH145)="","",INDEX('Per Invoice'!Y$2:Y$401,$AH145)))</f>
        <v/>
      </c>
      <c r="Z145" s="7">
        <f>IF($AH145="","",IF(INDEX('Per Invoice'!Z$2:Z$401,$AH145)="","",INDEX('Per Invoice'!Z$2:Z$401,$AH145)))</f>
        <v/>
      </c>
      <c r="AA145" s="7">
        <f>IF($AH145="","",IF(INDEX('Per Invoice'!AA$2:AA$401,$AH145)="","",INDEX('Per Invoice'!AA$2:AA$401,$AH145)))</f>
        <v/>
      </c>
      <c r="AB145" s="7">
        <f>IF($AH145="","",IF(INDEX('Per Invoice'!AB$2:AB$401,$AH145)="","",INDEX('Per Invoice'!AB$2:AB$401,$AH145)))</f>
        <v/>
      </c>
      <c r="AC145" s="7">
        <f>IF($AH145="","",IF(INDEX('Per Invoice'!AC$2:AC$401,$AH145)="","",INDEX('Per Invoice'!AC$2:AC$401,$AH145)))</f>
        <v/>
      </c>
      <c r="AD145" s="7">
        <f>IF($AH145="","",IF(INDEX('Per Invoice'!AD$2:AD$401,$AH145)="","",INDEX('Per Invoice'!AD$2:AD$401,$AH145)))</f>
        <v/>
      </c>
      <c r="AE145" s="7">
        <f>IF($AH145="","",IF(INDEX('Per Invoice'!AE$2:AE$401,$AH145)="","",INDEX('Per Invoice'!AE$2:AE$401,$AH145)))</f>
        <v/>
      </c>
      <c r="AF145">
        <f>IF($AH145="","",IF(INDEX('Per Invoice'!AF$2:AF$401,$AH145)="","",INDEX('Per Invoice'!AF$2:AF$401,$AH145)))</f>
        <v/>
      </c>
      <c r="AG145" s="7">
        <f>IF($AH145="","",IF(INDEX('Per Invoice'!AG$2:AG$401,$AH145)="","",INDEX('Per Invoice'!AG$2:AG$401,$AH145)))</f>
        <v/>
      </c>
      <c r="AH145" s="16">
        <f>IFERROR(MATCH(Settings!$C$27&amp;"|"&amp;ROWS($AH$2:$AH145),'Per Invoice'!$AI$2:$AI$401,0),"")</f>
        <v/>
      </c>
    </row>
    <row r="146">
      <c r="A146">
        <f>IF($AH146="","",IF(INDEX('Per Invoice'!A$2:A$401,$AH146)="","",INDEX('Per Invoice'!A$2:A$401,$AH146)))</f>
        <v/>
      </c>
      <c r="B146">
        <f>IF($AH146="","",IF(INDEX('Per Invoice'!B$2:B$401,$AH146)="","",INDEX('Per Invoice'!B$2:B$401,$AH146)))</f>
        <v/>
      </c>
      <c r="C146">
        <f>IF($AH146="","",IF(INDEX('Per Invoice'!C$2:C$401,$AH146)="","",INDEX('Per Invoice'!C$2:C$401,$AH146)))</f>
        <v/>
      </c>
      <c r="D146">
        <f>IF($AH146="","",IF(INDEX('Per Invoice'!D$2:D$401,$AH146)="","",INDEX('Per Invoice'!D$2:D$401,$AH146)))</f>
        <v/>
      </c>
      <c r="E146">
        <f>IF($AH146="","",IF(INDEX('Per Invoice'!E$2:E$401,$AH146)="","",INDEX('Per Invoice'!E$2:E$401,$AH146)))</f>
        <v/>
      </c>
      <c r="F146">
        <f>IF($AH146="","",IF(INDEX('Per Invoice'!F$2:F$401,$AH146)="","",INDEX('Per Invoice'!F$2:F$401,$AH146)))</f>
        <v/>
      </c>
      <c r="G146">
        <f>IF($AH146="","",IF(INDEX('Per Invoice'!G$2:G$401,$AH146)="","",INDEX('Per Invoice'!G$2:G$401,$AH146)))</f>
        <v/>
      </c>
      <c r="H146">
        <f>IF($AH146="","",IF(INDEX('Per Invoice'!H$2:H$401,$AH146)="","",INDEX('Per Invoice'!H$2:H$401,$AH146)))</f>
        <v/>
      </c>
      <c r="I146" s="14">
        <f>IF($AH146="","",IF(INDEX('Per Invoice'!I$2:I$401,$AH146)="","",INDEX('Per Invoice'!I$2:I$401,$AH146)))</f>
        <v/>
      </c>
      <c r="J146">
        <f>IF($AH146="","",IF(INDEX('Per Invoice'!J$2:J$401,$AH146)="","",INDEX('Per Invoice'!J$2:J$401,$AH146)))</f>
        <v/>
      </c>
      <c r="K146">
        <f>IF($AH146="","",IF(INDEX('Per Invoice'!K$2:K$401,$AH146)="","",INDEX('Per Invoice'!K$2:K$401,$AH146)))</f>
        <v/>
      </c>
      <c r="L146">
        <f>IF($AH146="","",IF(INDEX('Per Invoice'!L$2:L$401,$AH146)="","",INDEX('Per Invoice'!L$2:L$401,$AH146)))</f>
        <v/>
      </c>
      <c r="M146">
        <f>IF($AH146="","",IF(INDEX('Per Invoice'!M$2:M$401,$AH146)="","",INDEX('Per Invoice'!M$2:M$401,$AH146)))</f>
        <v/>
      </c>
      <c r="N146">
        <f>IF($AH146="","",IF(INDEX('Per Invoice'!N$2:N$401,$AH146)="","",INDEX('Per Invoice'!N$2:N$401,$AH146)))</f>
        <v/>
      </c>
      <c r="O146">
        <f>IF($AH146="","",IF(INDEX('Per Invoice'!O$2:O$401,$AH146)="","",INDEX('Per Invoice'!O$2:O$401,$AH146)))</f>
        <v/>
      </c>
      <c r="P146" s="7">
        <f>IF($AH146="","",IF(INDEX('Per Invoice'!P$2:P$401,$AH146)="","",INDEX('Per Invoice'!P$2:P$401,$AH146)))</f>
        <v/>
      </c>
      <c r="Q146">
        <f>IF($AH146="","",IF(INDEX('Per Invoice'!Q$2:Q$401,$AH146)="","",INDEX('Per Invoice'!Q$2:Q$401,$AH146)))</f>
        <v/>
      </c>
      <c r="R146">
        <f>IF($AH146="","",IF(INDEX('Per Invoice'!R$2:R$401,$AH146)="","",INDEX('Per Invoice'!R$2:R$401,$AH146)))</f>
        <v/>
      </c>
      <c r="S146">
        <f>IF($AH146="","",IF(INDEX('Per Invoice'!S$2:S$401,$AH146)="","",INDEX('Per Invoice'!S$2:S$401,$AH146)))</f>
        <v/>
      </c>
      <c r="T146" s="7">
        <f>IF($AH146="","",IF(INDEX('Per Invoice'!T$2:T$401,$AH146)="","",INDEX('Per Invoice'!T$2:T$401,$AH146)))</f>
        <v/>
      </c>
      <c r="U146" s="7">
        <f>IF($AH146="","",IF(INDEX('Per Invoice'!U$2:U$401,$AH146)="","",INDEX('Per Invoice'!U$2:U$401,$AH146)))</f>
        <v/>
      </c>
      <c r="V146">
        <f>IF($AH146="","",IF(INDEX('Per Invoice'!V$2:V$401,$AH146)="","",INDEX('Per Invoice'!V$2:V$401,$AH146)))</f>
        <v/>
      </c>
      <c r="W146" s="7">
        <f>IF($AH146="","",IF(INDEX('Per Invoice'!W$2:W$401,$AH146)="","",INDEX('Per Invoice'!W$2:W$401,$AH146)))</f>
        <v/>
      </c>
      <c r="X146" s="7">
        <f>IF($AH146="","",IF(INDEX('Per Invoice'!X$2:X$401,$AH146)="","",INDEX('Per Invoice'!X$2:X$401,$AH146)))</f>
        <v/>
      </c>
      <c r="Y146">
        <f>IF($AH146="","",IF(INDEX('Per Invoice'!Y$2:Y$401,$AH146)="","",INDEX('Per Invoice'!Y$2:Y$401,$AH146)))</f>
        <v/>
      </c>
      <c r="Z146" s="7">
        <f>IF($AH146="","",IF(INDEX('Per Invoice'!Z$2:Z$401,$AH146)="","",INDEX('Per Invoice'!Z$2:Z$401,$AH146)))</f>
        <v/>
      </c>
      <c r="AA146" s="7">
        <f>IF($AH146="","",IF(INDEX('Per Invoice'!AA$2:AA$401,$AH146)="","",INDEX('Per Invoice'!AA$2:AA$401,$AH146)))</f>
        <v/>
      </c>
      <c r="AB146" s="7">
        <f>IF($AH146="","",IF(INDEX('Per Invoice'!AB$2:AB$401,$AH146)="","",INDEX('Per Invoice'!AB$2:AB$401,$AH146)))</f>
        <v/>
      </c>
      <c r="AC146" s="7">
        <f>IF($AH146="","",IF(INDEX('Per Invoice'!AC$2:AC$401,$AH146)="","",INDEX('Per Invoice'!AC$2:AC$401,$AH146)))</f>
        <v/>
      </c>
      <c r="AD146" s="7">
        <f>IF($AH146="","",IF(INDEX('Per Invoice'!AD$2:AD$401,$AH146)="","",INDEX('Per Invoice'!AD$2:AD$401,$AH146)))</f>
        <v/>
      </c>
      <c r="AE146" s="7">
        <f>IF($AH146="","",IF(INDEX('Per Invoice'!AE$2:AE$401,$AH146)="","",INDEX('Per Invoice'!AE$2:AE$401,$AH146)))</f>
        <v/>
      </c>
      <c r="AF146">
        <f>IF($AH146="","",IF(INDEX('Per Invoice'!AF$2:AF$401,$AH146)="","",INDEX('Per Invoice'!AF$2:AF$401,$AH146)))</f>
        <v/>
      </c>
      <c r="AG146" s="7">
        <f>IF($AH146="","",IF(INDEX('Per Invoice'!AG$2:AG$401,$AH146)="","",INDEX('Per Invoice'!AG$2:AG$401,$AH146)))</f>
        <v/>
      </c>
      <c r="AH146" s="16">
        <f>IFERROR(MATCH(Settings!$C$27&amp;"|"&amp;ROWS($AH$2:$AH146),'Per Invoice'!$AI$2:$AI$401,0),"")</f>
        <v/>
      </c>
    </row>
    <row r="147">
      <c r="A147">
        <f>IF($AH147="","",IF(INDEX('Per Invoice'!A$2:A$401,$AH147)="","",INDEX('Per Invoice'!A$2:A$401,$AH147)))</f>
        <v/>
      </c>
      <c r="B147">
        <f>IF($AH147="","",IF(INDEX('Per Invoice'!B$2:B$401,$AH147)="","",INDEX('Per Invoice'!B$2:B$401,$AH147)))</f>
        <v/>
      </c>
      <c r="C147">
        <f>IF($AH147="","",IF(INDEX('Per Invoice'!C$2:C$401,$AH147)="","",INDEX('Per Invoice'!C$2:C$401,$AH147)))</f>
        <v/>
      </c>
      <c r="D147">
        <f>IF($AH147="","",IF(INDEX('Per Invoice'!D$2:D$401,$AH147)="","",INDEX('Per Invoice'!D$2:D$401,$AH147)))</f>
        <v/>
      </c>
      <c r="E147">
        <f>IF($AH147="","",IF(INDEX('Per Invoice'!E$2:E$401,$AH147)="","",INDEX('Per Invoice'!E$2:E$401,$AH147)))</f>
        <v/>
      </c>
      <c r="F147">
        <f>IF($AH147="","",IF(INDEX('Per Invoice'!F$2:F$401,$AH147)="","",INDEX('Per Invoice'!F$2:F$401,$AH147)))</f>
        <v/>
      </c>
      <c r="G147">
        <f>IF($AH147="","",IF(INDEX('Per Invoice'!G$2:G$401,$AH147)="","",INDEX('Per Invoice'!G$2:G$401,$AH147)))</f>
        <v/>
      </c>
      <c r="H147">
        <f>IF($AH147="","",IF(INDEX('Per Invoice'!H$2:H$401,$AH147)="","",INDEX('Per Invoice'!H$2:H$401,$AH147)))</f>
        <v/>
      </c>
      <c r="I147" s="14">
        <f>IF($AH147="","",IF(INDEX('Per Invoice'!I$2:I$401,$AH147)="","",INDEX('Per Invoice'!I$2:I$401,$AH147)))</f>
        <v/>
      </c>
      <c r="J147">
        <f>IF($AH147="","",IF(INDEX('Per Invoice'!J$2:J$401,$AH147)="","",INDEX('Per Invoice'!J$2:J$401,$AH147)))</f>
        <v/>
      </c>
      <c r="K147">
        <f>IF($AH147="","",IF(INDEX('Per Invoice'!K$2:K$401,$AH147)="","",INDEX('Per Invoice'!K$2:K$401,$AH147)))</f>
        <v/>
      </c>
      <c r="L147">
        <f>IF($AH147="","",IF(INDEX('Per Invoice'!L$2:L$401,$AH147)="","",INDEX('Per Invoice'!L$2:L$401,$AH147)))</f>
        <v/>
      </c>
      <c r="M147">
        <f>IF($AH147="","",IF(INDEX('Per Invoice'!M$2:M$401,$AH147)="","",INDEX('Per Invoice'!M$2:M$401,$AH147)))</f>
        <v/>
      </c>
      <c r="N147">
        <f>IF($AH147="","",IF(INDEX('Per Invoice'!N$2:N$401,$AH147)="","",INDEX('Per Invoice'!N$2:N$401,$AH147)))</f>
        <v/>
      </c>
      <c r="O147">
        <f>IF($AH147="","",IF(INDEX('Per Invoice'!O$2:O$401,$AH147)="","",INDEX('Per Invoice'!O$2:O$401,$AH147)))</f>
        <v/>
      </c>
      <c r="P147" s="7">
        <f>IF($AH147="","",IF(INDEX('Per Invoice'!P$2:P$401,$AH147)="","",INDEX('Per Invoice'!P$2:P$401,$AH147)))</f>
        <v/>
      </c>
      <c r="Q147">
        <f>IF($AH147="","",IF(INDEX('Per Invoice'!Q$2:Q$401,$AH147)="","",INDEX('Per Invoice'!Q$2:Q$401,$AH147)))</f>
        <v/>
      </c>
      <c r="R147">
        <f>IF($AH147="","",IF(INDEX('Per Invoice'!R$2:R$401,$AH147)="","",INDEX('Per Invoice'!R$2:R$401,$AH147)))</f>
        <v/>
      </c>
      <c r="S147">
        <f>IF($AH147="","",IF(INDEX('Per Invoice'!S$2:S$401,$AH147)="","",INDEX('Per Invoice'!S$2:S$401,$AH147)))</f>
        <v/>
      </c>
      <c r="T147" s="7">
        <f>IF($AH147="","",IF(INDEX('Per Invoice'!T$2:T$401,$AH147)="","",INDEX('Per Invoice'!T$2:T$401,$AH147)))</f>
        <v/>
      </c>
      <c r="U147" s="7">
        <f>IF($AH147="","",IF(INDEX('Per Invoice'!U$2:U$401,$AH147)="","",INDEX('Per Invoice'!U$2:U$401,$AH147)))</f>
        <v/>
      </c>
      <c r="V147">
        <f>IF($AH147="","",IF(INDEX('Per Invoice'!V$2:V$401,$AH147)="","",INDEX('Per Invoice'!V$2:V$401,$AH147)))</f>
        <v/>
      </c>
      <c r="W147" s="7">
        <f>IF($AH147="","",IF(INDEX('Per Invoice'!W$2:W$401,$AH147)="","",INDEX('Per Invoice'!W$2:W$401,$AH147)))</f>
        <v/>
      </c>
      <c r="X147" s="7">
        <f>IF($AH147="","",IF(INDEX('Per Invoice'!X$2:X$401,$AH147)="","",INDEX('Per Invoice'!X$2:X$401,$AH147)))</f>
        <v/>
      </c>
      <c r="Y147">
        <f>IF($AH147="","",IF(INDEX('Per Invoice'!Y$2:Y$401,$AH147)="","",INDEX('Per Invoice'!Y$2:Y$401,$AH147)))</f>
        <v/>
      </c>
      <c r="Z147" s="7">
        <f>IF($AH147="","",IF(INDEX('Per Invoice'!Z$2:Z$401,$AH147)="","",INDEX('Per Invoice'!Z$2:Z$401,$AH147)))</f>
        <v/>
      </c>
      <c r="AA147" s="7">
        <f>IF($AH147="","",IF(INDEX('Per Invoice'!AA$2:AA$401,$AH147)="","",INDEX('Per Invoice'!AA$2:AA$401,$AH147)))</f>
        <v/>
      </c>
      <c r="AB147" s="7">
        <f>IF($AH147="","",IF(INDEX('Per Invoice'!AB$2:AB$401,$AH147)="","",INDEX('Per Invoice'!AB$2:AB$401,$AH147)))</f>
        <v/>
      </c>
      <c r="AC147" s="7">
        <f>IF($AH147="","",IF(INDEX('Per Invoice'!AC$2:AC$401,$AH147)="","",INDEX('Per Invoice'!AC$2:AC$401,$AH147)))</f>
        <v/>
      </c>
      <c r="AD147" s="7">
        <f>IF($AH147="","",IF(INDEX('Per Invoice'!AD$2:AD$401,$AH147)="","",INDEX('Per Invoice'!AD$2:AD$401,$AH147)))</f>
        <v/>
      </c>
      <c r="AE147" s="7">
        <f>IF($AH147="","",IF(INDEX('Per Invoice'!AE$2:AE$401,$AH147)="","",INDEX('Per Invoice'!AE$2:AE$401,$AH147)))</f>
        <v/>
      </c>
      <c r="AF147">
        <f>IF($AH147="","",IF(INDEX('Per Invoice'!AF$2:AF$401,$AH147)="","",INDEX('Per Invoice'!AF$2:AF$401,$AH147)))</f>
        <v/>
      </c>
      <c r="AG147" s="7">
        <f>IF($AH147="","",IF(INDEX('Per Invoice'!AG$2:AG$401,$AH147)="","",INDEX('Per Invoice'!AG$2:AG$401,$AH147)))</f>
        <v/>
      </c>
      <c r="AH147" s="16">
        <f>IFERROR(MATCH(Settings!$C$27&amp;"|"&amp;ROWS($AH$2:$AH147),'Per Invoice'!$AI$2:$AI$401,0),"")</f>
        <v/>
      </c>
    </row>
    <row r="148">
      <c r="A148">
        <f>IF($AH148="","",IF(INDEX('Per Invoice'!A$2:A$401,$AH148)="","",INDEX('Per Invoice'!A$2:A$401,$AH148)))</f>
        <v/>
      </c>
      <c r="B148">
        <f>IF($AH148="","",IF(INDEX('Per Invoice'!B$2:B$401,$AH148)="","",INDEX('Per Invoice'!B$2:B$401,$AH148)))</f>
        <v/>
      </c>
      <c r="C148">
        <f>IF($AH148="","",IF(INDEX('Per Invoice'!C$2:C$401,$AH148)="","",INDEX('Per Invoice'!C$2:C$401,$AH148)))</f>
        <v/>
      </c>
      <c r="D148">
        <f>IF($AH148="","",IF(INDEX('Per Invoice'!D$2:D$401,$AH148)="","",INDEX('Per Invoice'!D$2:D$401,$AH148)))</f>
        <v/>
      </c>
      <c r="E148">
        <f>IF($AH148="","",IF(INDEX('Per Invoice'!E$2:E$401,$AH148)="","",INDEX('Per Invoice'!E$2:E$401,$AH148)))</f>
        <v/>
      </c>
      <c r="F148">
        <f>IF($AH148="","",IF(INDEX('Per Invoice'!F$2:F$401,$AH148)="","",INDEX('Per Invoice'!F$2:F$401,$AH148)))</f>
        <v/>
      </c>
      <c r="G148">
        <f>IF($AH148="","",IF(INDEX('Per Invoice'!G$2:G$401,$AH148)="","",INDEX('Per Invoice'!G$2:G$401,$AH148)))</f>
        <v/>
      </c>
      <c r="H148">
        <f>IF($AH148="","",IF(INDEX('Per Invoice'!H$2:H$401,$AH148)="","",INDEX('Per Invoice'!H$2:H$401,$AH148)))</f>
        <v/>
      </c>
      <c r="I148" s="14">
        <f>IF($AH148="","",IF(INDEX('Per Invoice'!I$2:I$401,$AH148)="","",INDEX('Per Invoice'!I$2:I$401,$AH148)))</f>
        <v/>
      </c>
      <c r="J148">
        <f>IF($AH148="","",IF(INDEX('Per Invoice'!J$2:J$401,$AH148)="","",INDEX('Per Invoice'!J$2:J$401,$AH148)))</f>
        <v/>
      </c>
      <c r="K148">
        <f>IF($AH148="","",IF(INDEX('Per Invoice'!K$2:K$401,$AH148)="","",INDEX('Per Invoice'!K$2:K$401,$AH148)))</f>
        <v/>
      </c>
      <c r="L148">
        <f>IF($AH148="","",IF(INDEX('Per Invoice'!L$2:L$401,$AH148)="","",INDEX('Per Invoice'!L$2:L$401,$AH148)))</f>
        <v/>
      </c>
      <c r="M148">
        <f>IF($AH148="","",IF(INDEX('Per Invoice'!M$2:M$401,$AH148)="","",INDEX('Per Invoice'!M$2:M$401,$AH148)))</f>
        <v/>
      </c>
      <c r="N148">
        <f>IF($AH148="","",IF(INDEX('Per Invoice'!N$2:N$401,$AH148)="","",INDEX('Per Invoice'!N$2:N$401,$AH148)))</f>
        <v/>
      </c>
      <c r="O148">
        <f>IF($AH148="","",IF(INDEX('Per Invoice'!O$2:O$401,$AH148)="","",INDEX('Per Invoice'!O$2:O$401,$AH148)))</f>
        <v/>
      </c>
      <c r="P148" s="7">
        <f>IF($AH148="","",IF(INDEX('Per Invoice'!P$2:P$401,$AH148)="","",INDEX('Per Invoice'!P$2:P$401,$AH148)))</f>
        <v/>
      </c>
      <c r="Q148">
        <f>IF($AH148="","",IF(INDEX('Per Invoice'!Q$2:Q$401,$AH148)="","",INDEX('Per Invoice'!Q$2:Q$401,$AH148)))</f>
        <v/>
      </c>
      <c r="R148">
        <f>IF($AH148="","",IF(INDEX('Per Invoice'!R$2:R$401,$AH148)="","",INDEX('Per Invoice'!R$2:R$401,$AH148)))</f>
        <v/>
      </c>
      <c r="S148">
        <f>IF($AH148="","",IF(INDEX('Per Invoice'!S$2:S$401,$AH148)="","",INDEX('Per Invoice'!S$2:S$401,$AH148)))</f>
        <v/>
      </c>
      <c r="T148" s="7">
        <f>IF($AH148="","",IF(INDEX('Per Invoice'!T$2:T$401,$AH148)="","",INDEX('Per Invoice'!T$2:T$401,$AH148)))</f>
        <v/>
      </c>
      <c r="U148" s="7">
        <f>IF($AH148="","",IF(INDEX('Per Invoice'!U$2:U$401,$AH148)="","",INDEX('Per Invoice'!U$2:U$401,$AH148)))</f>
        <v/>
      </c>
      <c r="V148">
        <f>IF($AH148="","",IF(INDEX('Per Invoice'!V$2:V$401,$AH148)="","",INDEX('Per Invoice'!V$2:V$401,$AH148)))</f>
        <v/>
      </c>
      <c r="W148" s="7">
        <f>IF($AH148="","",IF(INDEX('Per Invoice'!W$2:W$401,$AH148)="","",INDEX('Per Invoice'!W$2:W$401,$AH148)))</f>
        <v/>
      </c>
      <c r="X148" s="7">
        <f>IF($AH148="","",IF(INDEX('Per Invoice'!X$2:X$401,$AH148)="","",INDEX('Per Invoice'!X$2:X$401,$AH148)))</f>
        <v/>
      </c>
      <c r="Y148">
        <f>IF($AH148="","",IF(INDEX('Per Invoice'!Y$2:Y$401,$AH148)="","",INDEX('Per Invoice'!Y$2:Y$401,$AH148)))</f>
        <v/>
      </c>
      <c r="Z148" s="7">
        <f>IF($AH148="","",IF(INDEX('Per Invoice'!Z$2:Z$401,$AH148)="","",INDEX('Per Invoice'!Z$2:Z$401,$AH148)))</f>
        <v/>
      </c>
      <c r="AA148" s="7">
        <f>IF($AH148="","",IF(INDEX('Per Invoice'!AA$2:AA$401,$AH148)="","",INDEX('Per Invoice'!AA$2:AA$401,$AH148)))</f>
        <v/>
      </c>
      <c r="AB148" s="7">
        <f>IF($AH148="","",IF(INDEX('Per Invoice'!AB$2:AB$401,$AH148)="","",INDEX('Per Invoice'!AB$2:AB$401,$AH148)))</f>
        <v/>
      </c>
      <c r="AC148" s="7">
        <f>IF($AH148="","",IF(INDEX('Per Invoice'!AC$2:AC$401,$AH148)="","",INDEX('Per Invoice'!AC$2:AC$401,$AH148)))</f>
        <v/>
      </c>
      <c r="AD148" s="7">
        <f>IF($AH148="","",IF(INDEX('Per Invoice'!AD$2:AD$401,$AH148)="","",INDEX('Per Invoice'!AD$2:AD$401,$AH148)))</f>
        <v/>
      </c>
      <c r="AE148" s="7">
        <f>IF($AH148="","",IF(INDEX('Per Invoice'!AE$2:AE$401,$AH148)="","",INDEX('Per Invoice'!AE$2:AE$401,$AH148)))</f>
        <v/>
      </c>
      <c r="AF148">
        <f>IF($AH148="","",IF(INDEX('Per Invoice'!AF$2:AF$401,$AH148)="","",INDEX('Per Invoice'!AF$2:AF$401,$AH148)))</f>
        <v/>
      </c>
      <c r="AG148" s="7">
        <f>IF($AH148="","",IF(INDEX('Per Invoice'!AG$2:AG$401,$AH148)="","",INDEX('Per Invoice'!AG$2:AG$401,$AH148)))</f>
        <v/>
      </c>
      <c r="AH148" s="16">
        <f>IFERROR(MATCH(Settings!$C$27&amp;"|"&amp;ROWS($AH$2:$AH148),'Per Invoice'!$AI$2:$AI$401,0),"")</f>
        <v/>
      </c>
    </row>
    <row r="149">
      <c r="A149">
        <f>IF($AH149="","",IF(INDEX('Per Invoice'!A$2:A$401,$AH149)="","",INDEX('Per Invoice'!A$2:A$401,$AH149)))</f>
        <v/>
      </c>
      <c r="B149">
        <f>IF($AH149="","",IF(INDEX('Per Invoice'!B$2:B$401,$AH149)="","",INDEX('Per Invoice'!B$2:B$401,$AH149)))</f>
        <v/>
      </c>
      <c r="C149">
        <f>IF($AH149="","",IF(INDEX('Per Invoice'!C$2:C$401,$AH149)="","",INDEX('Per Invoice'!C$2:C$401,$AH149)))</f>
        <v/>
      </c>
      <c r="D149">
        <f>IF($AH149="","",IF(INDEX('Per Invoice'!D$2:D$401,$AH149)="","",INDEX('Per Invoice'!D$2:D$401,$AH149)))</f>
        <v/>
      </c>
      <c r="E149">
        <f>IF($AH149="","",IF(INDEX('Per Invoice'!E$2:E$401,$AH149)="","",INDEX('Per Invoice'!E$2:E$401,$AH149)))</f>
        <v/>
      </c>
      <c r="F149">
        <f>IF($AH149="","",IF(INDEX('Per Invoice'!F$2:F$401,$AH149)="","",INDEX('Per Invoice'!F$2:F$401,$AH149)))</f>
        <v/>
      </c>
      <c r="G149">
        <f>IF($AH149="","",IF(INDEX('Per Invoice'!G$2:G$401,$AH149)="","",INDEX('Per Invoice'!G$2:G$401,$AH149)))</f>
        <v/>
      </c>
      <c r="H149">
        <f>IF($AH149="","",IF(INDEX('Per Invoice'!H$2:H$401,$AH149)="","",INDEX('Per Invoice'!H$2:H$401,$AH149)))</f>
        <v/>
      </c>
      <c r="I149" s="14">
        <f>IF($AH149="","",IF(INDEX('Per Invoice'!I$2:I$401,$AH149)="","",INDEX('Per Invoice'!I$2:I$401,$AH149)))</f>
        <v/>
      </c>
      <c r="J149">
        <f>IF($AH149="","",IF(INDEX('Per Invoice'!J$2:J$401,$AH149)="","",INDEX('Per Invoice'!J$2:J$401,$AH149)))</f>
        <v/>
      </c>
      <c r="K149">
        <f>IF($AH149="","",IF(INDEX('Per Invoice'!K$2:K$401,$AH149)="","",INDEX('Per Invoice'!K$2:K$401,$AH149)))</f>
        <v/>
      </c>
      <c r="L149">
        <f>IF($AH149="","",IF(INDEX('Per Invoice'!L$2:L$401,$AH149)="","",INDEX('Per Invoice'!L$2:L$401,$AH149)))</f>
        <v/>
      </c>
      <c r="M149">
        <f>IF($AH149="","",IF(INDEX('Per Invoice'!M$2:M$401,$AH149)="","",INDEX('Per Invoice'!M$2:M$401,$AH149)))</f>
        <v/>
      </c>
      <c r="N149">
        <f>IF($AH149="","",IF(INDEX('Per Invoice'!N$2:N$401,$AH149)="","",INDEX('Per Invoice'!N$2:N$401,$AH149)))</f>
        <v/>
      </c>
      <c r="O149">
        <f>IF($AH149="","",IF(INDEX('Per Invoice'!O$2:O$401,$AH149)="","",INDEX('Per Invoice'!O$2:O$401,$AH149)))</f>
        <v/>
      </c>
      <c r="P149" s="7">
        <f>IF($AH149="","",IF(INDEX('Per Invoice'!P$2:P$401,$AH149)="","",INDEX('Per Invoice'!P$2:P$401,$AH149)))</f>
        <v/>
      </c>
      <c r="Q149">
        <f>IF($AH149="","",IF(INDEX('Per Invoice'!Q$2:Q$401,$AH149)="","",INDEX('Per Invoice'!Q$2:Q$401,$AH149)))</f>
        <v/>
      </c>
      <c r="R149">
        <f>IF($AH149="","",IF(INDEX('Per Invoice'!R$2:R$401,$AH149)="","",INDEX('Per Invoice'!R$2:R$401,$AH149)))</f>
        <v/>
      </c>
      <c r="S149">
        <f>IF($AH149="","",IF(INDEX('Per Invoice'!S$2:S$401,$AH149)="","",INDEX('Per Invoice'!S$2:S$401,$AH149)))</f>
        <v/>
      </c>
      <c r="T149" s="7">
        <f>IF($AH149="","",IF(INDEX('Per Invoice'!T$2:T$401,$AH149)="","",INDEX('Per Invoice'!T$2:T$401,$AH149)))</f>
        <v/>
      </c>
      <c r="U149" s="7">
        <f>IF($AH149="","",IF(INDEX('Per Invoice'!U$2:U$401,$AH149)="","",INDEX('Per Invoice'!U$2:U$401,$AH149)))</f>
        <v/>
      </c>
      <c r="V149">
        <f>IF($AH149="","",IF(INDEX('Per Invoice'!V$2:V$401,$AH149)="","",INDEX('Per Invoice'!V$2:V$401,$AH149)))</f>
        <v/>
      </c>
      <c r="W149" s="7">
        <f>IF($AH149="","",IF(INDEX('Per Invoice'!W$2:W$401,$AH149)="","",INDEX('Per Invoice'!W$2:W$401,$AH149)))</f>
        <v/>
      </c>
      <c r="X149" s="7">
        <f>IF($AH149="","",IF(INDEX('Per Invoice'!X$2:X$401,$AH149)="","",INDEX('Per Invoice'!X$2:X$401,$AH149)))</f>
        <v/>
      </c>
      <c r="Y149">
        <f>IF($AH149="","",IF(INDEX('Per Invoice'!Y$2:Y$401,$AH149)="","",INDEX('Per Invoice'!Y$2:Y$401,$AH149)))</f>
        <v/>
      </c>
      <c r="Z149" s="7">
        <f>IF($AH149="","",IF(INDEX('Per Invoice'!Z$2:Z$401,$AH149)="","",INDEX('Per Invoice'!Z$2:Z$401,$AH149)))</f>
        <v/>
      </c>
      <c r="AA149" s="7">
        <f>IF($AH149="","",IF(INDEX('Per Invoice'!AA$2:AA$401,$AH149)="","",INDEX('Per Invoice'!AA$2:AA$401,$AH149)))</f>
        <v/>
      </c>
      <c r="AB149" s="7">
        <f>IF($AH149="","",IF(INDEX('Per Invoice'!AB$2:AB$401,$AH149)="","",INDEX('Per Invoice'!AB$2:AB$401,$AH149)))</f>
        <v/>
      </c>
      <c r="AC149" s="7">
        <f>IF($AH149="","",IF(INDEX('Per Invoice'!AC$2:AC$401,$AH149)="","",INDEX('Per Invoice'!AC$2:AC$401,$AH149)))</f>
        <v/>
      </c>
      <c r="AD149" s="7">
        <f>IF($AH149="","",IF(INDEX('Per Invoice'!AD$2:AD$401,$AH149)="","",INDEX('Per Invoice'!AD$2:AD$401,$AH149)))</f>
        <v/>
      </c>
      <c r="AE149" s="7">
        <f>IF($AH149="","",IF(INDEX('Per Invoice'!AE$2:AE$401,$AH149)="","",INDEX('Per Invoice'!AE$2:AE$401,$AH149)))</f>
        <v/>
      </c>
      <c r="AF149">
        <f>IF($AH149="","",IF(INDEX('Per Invoice'!AF$2:AF$401,$AH149)="","",INDEX('Per Invoice'!AF$2:AF$401,$AH149)))</f>
        <v/>
      </c>
      <c r="AG149" s="7">
        <f>IF($AH149="","",IF(INDEX('Per Invoice'!AG$2:AG$401,$AH149)="","",INDEX('Per Invoice'!AG$2:AG$401,$AH149)))</f>
        <v/>
      </c>
      <c r="AH149" s="16">
        <f>IFERROR(MATCH(Settings!$C$27&amp;"|"&amp;ROWS($AH$2:$AH149),'Per Invoice'!$AI$2:$AI$401,0),"")</f>
        <v/>
      </c>
    </row>
    <row r="150">
      <c r="A150">
        <f>IF($AH150="","",IF(INDEX('Per Invoice'!A$2:A$401,$AH150)="","",INDEX('Per Invoice'!A$2:A$401,$AH150)))</f>
        <v/>
      </c>
      <c r="B150">
        <f>IF($AH150="","",IF(INDEX('Per Invoice'!B$2:B$401,$AH150)="","",INDEX('Per Invoice'!B$2:B$401,$AH150)))</f>
        <v/>
      </c>
      <c r="C150">
        <f>IF($AH150="","",IF(INDEX('Per Invoice'!C$2:C$401,$AH150)="","",INDEX('Per Invoice'!C$2:C$401,$AH150)))</f>
        <v/>
      </c>
      <c r="D150">
        <f>IF($AH150="","",IF(INDEX('Per Invoice'!D$2:D$401,$AH150)="","",INDEX('Per Invoice'!D$2:D$401,$AH150)))</f>
        <v/>
      </c>
      <c r="E150">
        <f>IF($AH150="","",IF(INDEX('Per Invoice'!E$2:E$401,$AH150)="","",INDEX('Per Invoice'!E$2:E$401,$AH150)))</f>
        <v/>
      </c>
      <c r="F150">
        <f>IF($AH150="","",IF(INDEX('Per Invoice'!F$2:F$401,$AH150)="","",INDEX('Per Invoice'!F$2:F$401,$AH150)))</f>
        <v/>
      </c>
      <c r="G150">
        <f>IF($AH150="","",IF(INDEX('Per Invoice'!G$2:G$401,$AH150)="","",INDEX('Per Invoice'!G$2:G$401,$AH150)))</f>
        <v/>
      </c>
      <c r="H150">
        <f>IF($AH150="","",IF(INDEX('Per Invoice'!H$2:H$401,$AH150)="","",INDEX('Per Invoice'!H$2:H$401,$AH150)))</f>
        <v/>
      </c>
      <c r="I150" s="14">
        <f>IF($AH150="","",IF(INDEX('Per Invoice'!I$2:I$401,$AH150)="","",INDEX('Per Invoice'!I$2:I$401,$AH150)))</f>
        <v/>
      </c>
      <c r="J150">
        <f>IF($AH150="","",IF(INDEX('Per Invoice'!J$2:J$401,$AH150)="","",INDEX('Per Invoice'!J$2:J$401,$AH150)))</f>
        <v/>
      </c>
      <c r="K150">
        <f>IF($AH150="","",IF(INDEX('Per Invoice'!K$2:K$401,$AH150)="","",INDEX('Per Invoice'!K$2:K$401,$AH150)))</f>
        <v/>
      </c>
      <c r="L150">
        <f>IF($AH150="","",IF(INDEX('Per Invoice'!L$2:L$401,$AH150)="","",INDEX('Per Invoice'!L$2:L$401,$AH150)))</f>
        <v/>
      </c>
      <c r="M150">
        <f>IF($AH150="","",IF(INDEX('Per Invoice'!M$2:M$401,$AH150)="","",INDEX('Per Invoice'!M$2:M$401,$AH150)))</f>
        <v/>
      </c>
      <c r="N150">
        <f>IF($AH150="","",IF(INDEX('Per Invoice'!N$2:N$401,$AH150)="","",INDEX('Per Invoice'!N$2:N$401,$AH150)))</f>
        <v/>
      </c>
      <c r="O150">
        <f>IF($AH150="","",IF(INDEX('Per Invoice'!O$2:O$401,$AH150)="","",INDEX('Per Invoice'!O$2:O$401,$AH150)))</f>
        <v/>
      </c>
      <c r="P150" s="7">
        <f>IF($AH150="","",IF(INDEX('Per Invoice'!P$2:P$401,$AH150)="","",INDEX('Per Invoice'!P$2:P$401,$AH150)))</f>
        <v/>
      </c>
      <c r="Q150">
        <f>IF($AH150="","",IF(INDEX('Per Invoice'!Q$2:Q$401,$AH150)="","",INDEX('Per Invoice'!Q$2:Q$401,$AH150)))</f>
        <v/>
      </c>
      <c r="R150">
        <f>IF($AH150="","",IF(INDEX('Per Invoice'!R$2:R$401,$AH150)="","",INDEX('Per Invoice'!R$2:R$401,$AH150)))</f>
        <v/>
      </c>
      <c r="S150">
        <f>IF($AH150="","",IF(INDEX('Per Invoice'!S$2:S$401,$AH150)="","",INDEX('Per Invoice'!S$2:S$401,$AH150)))</f>
        <v/>
      </c>
      <c r="T150" s="7">
        <f>IF($AH150="","",IF(INDEX('Per Invoice'!T$2:T$401,$AH150)="","",INDEX('Per Invoice'!T$2:T$401,$AH150)))</f>
        <v/>
      </c>
      <c r="U150" s="7">
        <f>IF($AH150="","",IF(INDEX('Per Invoice'!U$2:U$401,$AH150)="","",INDEX('Per Invoice'!U$2:U$401,$AH150)))</f>
        <v/>
      </c>
      <c r="V150">
        <f>IF($AH150="","",IF(INDEX('Per Invoice'!V$2:V$401,$AH150)="","",INDEX('Per Invoice'!V$2:V$401,$AH150)))</f>
        <v/>
      </c>
      <c r="W150" s="7">
        <f>IF($AH150="","",IF(INDEX('Per Invoice'!W$2:W$401,$AH150)="","",INDEX('Per Invoice'!W$2:W$401,$AH150)))</f>
        <v/>
      </c>
      <c r="X150" s="7">
        <f>IF($AH150="","",IF(INDEX('Per Invoice'!X$2:X$401,$AH150)="","",INDEX('Per Invoice'!X$2:X$401,$AH150)))</f>
        <v/>
      </c>
      <c r="Y150">
        <f>IF($AH150="","",IF(INDEX('Per Invoice'!Y$2:Y$401,$AH150)="","",INDEX('Per Invoice'!Y$2:Y$401,$AH150)))</f>
        <v/>
      </c>
      <c r="Z150" s="7">
        <f>IF($AH150="","",IF(INDEX('Per Invoice'!Z$2:Z$401,$AH150)="","",INDEX('Per Invoice'!Z$2:Z$401,$AH150)))</f>
        <v/>
      </c>
      <c r="AA150" s="7">
        <f>IF($AH150="","",IF(INDEX('Per Invoice'!AA$2:AA$401,$AH150)="","",INDEX('Per Invoice'!AA$2:AA$401,$AH150)))</f>
        <v/>
      </c>
      <c r="AB150" s="7">
        <f>IF($AH150="","",IF(INDEX('Per Invoice'!AB$2:AB$401,$AH150)="","",INDEX('Per Invoice'!AB$2:AB$401,$AH150)))</f>
        <v/>
      </c>
      <c r="AC150" s="7">
        <f>IF($AH150="","",IF(INDEX('Per Invoice'!AC$2:AC$401,$AH150)="","",INDEX('Per Invoice'!AC$2:AC$401,$AH150)))</f>
        <v/>
      </c>
      <c r="AD150" s="7">
        <f>IF($AH150="","",IF(INDEX('Per Invoice'!AD$2:AD$401,$AH150)="","",INDEX('Per Invoice'!AD$2:AD$401,$AH150)))</f>
        <v/>
      </c>
      <c r="AE150" s="7">
        <f>IF($AH150="","",IF(INDEX('Per Invoice'!AE$2:AE$401,$AH150)="","",INDEX('Per Invoice'!AE$2:AE$401,$AH150)))</f>
        <v/>
      </c>
      <c r="AF150">
        <f>IF($AH150="","",IF(INDEX('Per Invoice'!AF$2:AF$401,$AH150)="","",INDEX('Per Invoice'!AF$2:AF$401,$AH150)))</f>
        <v/>
      </c>
      <c r="AG150" s="7">
        <f>IF($AH150="","",IF(INDEX('Per Invoice'!AG$2:AG$401,$AH150)="","",INDEX('Per Invoice'!AG$2:AG$401,$AH150)))</f>
        <v/>
      </c>
      <c r="AH150" s="16">
        <f>IFERROR(MATCH(Settings!$C$27&amp;"|"&amp;ROWS($AH$2:$AH150),'Per Invoice'!$AI$2:$AI$401,0),"")</f>
        <v/>
      </c>
    </row>
    <row r="151">
      <c r="A151">
        <f>IF($AH151="","",IF(INDEX('Per Invoice'!A$2:A$401,$AH151)="","",INDEX('Per Invoice'!A$2:A$401,$AH151)))</f>
        <v/>
      </c>
      <c r="B151">
        <f>IF($AH151="","",IF(INDEX('Per Invoice'!B$2:B$401,$AH151)="","",INDEX('Per Invoice'!B$2:B$401,$AH151)))</f>
        <v/>
      </c>
      <c r="C151">
        <f>IF($AH151="","",IF(INDEX('Per Invoice'!C$2:C$401,$AH151)="","",INDEX('Per Invoice'!C$2:C$401,$AH151)))</f>
        <v/>
      </c>
      <c r="D151">
        <f>IF($AH151="","",IF(INDEX('Per Invoice'!D$2:D$401,$AH151)="","",INDEX('Per Invoice'!D$2:D$401,$AH151)))</f>
        <v/>
      </c>
      <c r="E151">
        <f>IF($AH151="","",IF(INDEX('Per Invoice'!E$2:E$401,$AH151)="","",INDEX('Per Invoice'!E$2:E$401,$AH151)))</f>
        <v/>
      </c>
      <c r="F151">
        <f>IF($AH151="","",IF(INDEX('Per Invoice'!F$2:F$401,$AH151)="","",INDEX('Per Invoice'!F$2:F$401,$AH151)))</f>
        <v/>
      </c>
      <c r="G151">
        <f>IF($AH151="","",IF(INDEX('Per Invoice'!G$2:G$401,$AH151)="","",INDEX('Per Invoice'!G$2:G$401,$AH151)))</f>
        <v/>
      </c>
      <c r="H151">
        <f>IF($AH151="","",IF(INDEX('Per Invoice'!H$2:H$401,$AH151)="","",INDEX('Per Invoice'!H$2:H$401,$AH151)))</f>
        <v/>
      </c>
      <c r="I151" s="14">
        <f>IF($AH151="","",IF(INDEX('Per Invoice'!I$2:I$401,$AH151)="","",INDEX('Per Invoice'!I$2:I$401,$AH151)))</f>
        <v/>
      </c>
      <c r="J151">
        <f>IF($AH151="","",IF(INDEX('Per Invoice'!J$2:J$401,$AH151)="","",INDEX('Per Invoice'!J$2:J$401,$AH151)))</f>
        <v/>
      </c>
      <c r="K151">
        <f>IF($AH151="","",IF(INDEX('Per Invoice'!K$2:K$401,$AH151)="","",INDEX('Per Invoice'!K$2:K$401,$AH151)))</f>
        <v/>
      </c>
      <c r="L151">
        <f>IF($AH151="","",IF(INDEX('Per Invoice'!L$2:L$401,$AH151)="","",INDEX('Per Invoice'!L$2:L$401,$AH151)))</f>
        <v/>
      </c>
      <c r="M151">
        <f>IF($AH151="","",IF(INDEX('Per Invoice'!M$2:M$401,$AH151)="","",INDEX('Per Invoice'!M$2:M$401,$AH151)))</f>
        <v/>
      </c>
      <c r="N151">
        <f>IF($AH151="","",IF(INDEX('Per Invoice'!N$2:N$401,$AH151)="","",INDEX('Per Invoice'!N$2:N$401,$AH151)))</f>
        <v/>
      </c>
      <c r="O151">
        <f>IF($AH151="","",IF(INDEX('Per Invoice'!O$2:O$401,$AH151)="","",INDEX('Per Invoice'!O$2:O$401,$AH151)))</f>
        <v/>
      </c>
      <c r="P151" s="7">
        <f>IF($AH151="","",IF(INDEX('Per Invoice'!P$2:P$401,$AH151)="","",INDEX('Per Invoice'!P$2:P$401,$AH151)))</f>
        <v/>
      </c>
      <c r="Q151">
        <f>IF($AH151="","",IF(INDEX('Per Invoice'!Q$2:Q$401,$AH151)="","",INDEX('Per Invoice'!Q$2:Q$401,$AH151)))</f>
        <v/>
      </c>
      <c r="R151">
        <f>IF($AH151="","",IF(INDEX('Per Invoice'!R$2:R$401,$AH151)="","",INDEX('Per Invoice'!R$2:R$401,$AH151)))</f>
        <v/>
      </c>
      <c r="S151">
        <f>IF($AH151="","",IF(INDEX('Per Invoice'!S$2:S$401,$AH151)="","",INDEX('Per Invoice'!S$2:S$401,$AH151)))</f>
        <v/>
      </c>
      <c r="T151" s="7">
        <f>IF($AH151="","",IF(INDEX('Per Invoice'!T$2:T$401,$AH151)="","",INDEX('Per Invoice'!T$2:T$401,$AH151)))</f>
        <v/>
      </c>
      <c r="U151" s="7">
        <f>IF($AH151="","",IF(INDEX('Per Invoice'!U$2:U$401,$AH151)="","",INDEX('Per Invoice'!U$2:U$401,$AH151)))</f>
        <v/>
      </c>
      <c r="V151">
        <f>IF($AH151="","",IF(INDEX('Per Invoice'!V$2:V$401,$AH151)="","",INDEX('Per Invoice'!V$2:V$401,$AH151)))</f>
        <v/>
      </c>
      <c r="W151" s="7">
        <f>IF($AH151="","",IF(INDEX('Per Invoice'!W$2:W$401,$AH151)="","",INDEX('Per Invoice'!W$2:W$401,$AH151)))</f>
        <v/>
      </c>
      <c r="X151" s="7">
        <f>IF($AH151="","",IF(INDEX('Per Invoice'!X$2:X$401,$AH151)="","",INDEX('Per Invoice'!X$2:X$401,$AH151)))</f>
        <v/>
      </c>
      <c r="Y151">
        <f>IF($AH151="","",IF(INDEX('Per Invoice'!Y$2:Y$401,$AH151)="","",INDEX('Per Invoice'!Y$2:Y$401,$AH151)))</f>
        <v/>
      </c>
      <c r="Z151" s="7">
        <f>IF($AH151="","",IF(INDEX('Per Invoice'!Z$2:Z$401,$AH151)="","",INDEX('Per Invoice'!Z$2:Z$401,$AH151)))</f>
        <v/>
      </c>
      <c r="AA151" s="7">
        <f>IF($AH151="","",IF(INDEX('Per Invoice'!AA$2:AA$401,$AH151)="","",INDEX('Per Invoice'!AA$2:AA$401,$AH151)))</f>
        <v/>
      </c>
      <c r="AB151" s="7">
        <f>IF($AH151="","",IF(INDEX('Per Invoice'!AB$2:AB$401,$AH151)="","",INDEX('Per Invoice'!AB$2:AB$401,$AH151)))</f>
        <v/>
      </c>
      <c r="AC151" s="7">
        <f>IF($AH151="","",IF(INDEX('Per Invoice'!AC$2:AC$401,$AH151)="","",INDEX('Per Invoice'!AC$2:AC$401,$AH151)))</f>
        <v/>
      </c>
      <c r="AD151" s="7">
        <f>IF($AH151="","",IF(INDEX('Per Invoice'!AD$2:AD$401,$AH151)="","",INDEX('Per Invoice'!AD$2:AD$401,$AH151)))</f>
        <v/>
      </c>
      <c r="AE151" s="7">
        <f>IF($AH151="","",IF(INDEX('Per Invoice'!AE$2:AE$401,$AH151)="","",INDEX('Per Invoice'!AE$2:AE$401,$AH151)))</f>
        <v/>
      </c>
      <c r="AF151">
        <f>IF($AH151="","",IF(INDEX('Per Invoice'!AF$2:AF$401,$AH151)="","",INDEX('Per Invoice'!AF$2:AF$401,$AH151)))</f>
        <v/>
      </c>
      <c r="AG151" s="7">
        <f>IF($AH151="","",IF(INDEX('Per Invoice'!AG$2:AG$401,$AH151)="","",INDEX('Per Invoice'!AG$2:AG$401,$AH151)))</f>
        <v/>
      </c>
      <c r="AH151" s="16">
        <f>IFERROR(MATCH(Settings!$C$27&amp;"|"&amp;ROWS($AH$2:$AH151),'Per Invoice'!$AI$2:$AI$401,0),"")</f>
        <v/>
      </c>
    </row>
    <row r="152">
      <c r="A152">
        <f>IF($AH152="","",IF(INDEX('Per Invoice'!A$2:A$401,$AH152)="","",INDEX('Per Invoice'!A$2:A$401,$AH152)))</f>
        <v/>
      </c>
      <c r="B152">
        <f>IF($AH152="","",IF(INDEX('Per Invoice'!B$2:B$401,$AH152)="","",INDEX('Per Invoice'!B$2:B$401,$AH152)))</f>
        <v/>
      </c>
      <c r="C152">
        <f>IF($AH152="","",IF(INDEX('Per Invoice'!C$2:C$401,$AH152)="","",INDEX('Per Invoice'!C$2:C$401,$AH152)))</f>
        <v/>
      </c>
      <c r="D152">
        <f>IF($AH152="","",IF(INDEX('Per Invoice'!D$2:D$401,$AH152)="","",INDEX('Per Invoice'!D$2:D$401,$AH152)))</f>
        <v/>
      </c>
      <c r="E152">
        <f>IF($AH152="","",IF(INDEX('Per Invoice'!E$2:E$401,$AH152)="","",INDEX('Per Invoice'!E$2:E$401,$AH152)))</f>
        <v/>
      </c>
      <c r="F152">
        <f>IF($AH152="","",IF(INDEX('Per Invoice'!F$2:F$401,$AH152)="","",INDEX('Per Invoice'!F$2:F$401,$AH152)))</f>
        <v/>
      </c>
      <c r="G152">
        <f>IF($AH152="","",IF(INDEX('Per Invoice'!G$2:G$401,$AH152)="","",INDEX('Per Invoice'!G$2:G$401,$AH152)))</f>
        <v/>
      </c>
      <c r="H152">
        <f>IF($AH152="","",IF(INDEX('Per Invoice'!H$2:H$401,$AH152)="","",INDEX('Per Invoice'!H$2:H$401,$AH152)))</f>
        <v/>
      </c>
      <c r="I152" s="14">
        <f>IF($AH152="","",IF(INDEX('Per Invoice'!I$2:I$401,$AH152)="","",INDEX('Per Invoice'!I$2:I$401,$AH152)))</f>
        <v/>
      </c>
      <c r="J152">
        <f>IF($AH152="","",IF(INDEX('Per Invoice'!J$2:J$401,$AH152)="","",INDEX('Per Invoice'!J$2:J$401,$AH152)))</f>
        <v/>
      </c>
      <c r="K152">
        <f>IF($AH152="","",IF(INDEX('Per Invoice'!K$2:K$401,$AH152)="","",INDEX('Per Invoice'!K$2:K$401,$AH152)))</f>
        <v/>
      </c>
      <c r="L152">
        <f>IF($AH152="","",IF(INDEX('Per Invoice'!L$2:L$401,$AH152)="","",INDEX('Per Invoice'!L$2:L$401,$AH152)))</f>
        <v/>
      </c>
      <c r="M152">
        <f>IF($AH152="","",IF(INDEX('Per Invoice'!M$2:M$401,$AH152)="","",INDEX('Per Invoice'!M$2:M$401,$AH152)))</f>
        <v/>
      </c>
      <c r="N152">
        <f>IF($AH152="","",IF(INDEX('Per Invoice'!N$2:N$401,$AH152)="","",INDEX('Per Invoice'!N$2:N$401,$AH152)))</f>
        <v/>
      </c>
      <c r="O152">
        <f>IF($AH152="","",IF(INDEX('Per Invoice'!O$2:O$401,$AH152)="","",INDEX('Per Invoice'!O$2:O$401,$AH152)))</f>
        <v/>
      </c>
      <c r="P152" s="7">
        <f>IF($AH152="","",IF(INDEX('Per Invoice'!P$2:P$401,$AH152)="","",INDEX('Per Invoice'!P$2:P$401,$AH152)))</f>
        <v/>
      </c>
      <c r="Q152">
        <f>IF($AH152="","",IF(INDEX('Per Invoice'!Q$2:Q$401,$AH152)="","",INDEX('Per Invoice'!Q$2:Q$401,$AH152)))</f>
        <v/>
      </c>
      <c r="R152">
        <f>IF($AH152="","",IF(INDEX('Per Invoice'!R$2:R$401,$AH152)="","",INDEX('Per Invoice'!R$2:R$401,$AH152)))</f>
        <v/>
      </c>
      <c r="S152">
        <f>IF($AH152="","",IF(INDEX('Per Invoice'!S$2:S$401,$AH152)="","",INDEX('Per Invoice'!S$2:S$401,$AH152)))</f>
        <v/>
      </c>
      <c r="T152" s="7">
        <f>IF($AH152="","",IF(INDEX('Per Invoice'!T$2:T$401,$AH152)="","",INDEX('Per Invoice'!T$2:T$401,$AH152)))</f>
        <v/>
      </c>
      <c r="U152" s="7">
        <f>IF($AH152="","",IF(INDEX('Per Invoice'!U$2:U$401,$AH152)="","",INDEX('Per Invoice'!U$2:U$401,$AH152)))</f>
        <v/>
      </c>
      <c r="V152">
        <f>IF($AH152="","",IF(INDEX('Per Invoice'!V$2:V$401,$AH152)="","",INDEX('Per Invoice'!V$2:V$401,$AH152)))</f>
        <v/>
      </c>
      <c r="W152" s="7">
        <f>IF($AH152="","",IF(INDEX('Per Invoice'!W$2:W$401,$AH152)="","",INDEX('Per Invoice'!W$2:W$401,$AH152)))</f>
        <v/>
      </c>
      <c r="X152" s="7">
        <f>IF($AH152="","",IF(INDEX('Per Invoice'!X$2:X$401,$AH152)="","",INDEX('Per Invoice'!X$2:X$401,$AH152)))</f>
        <v/>
      </c>
      <c r="Y152">
        <f>IF($AH152="","",IF(INDEX('Per Invoice'!Y$2:Y$401,$AH152)="","",INDEX('Per Invoice'!Y$2:Y$401,$AH152)))</f>
        <v/>
      </c>
      <c r="Z152" s="7">
        <f>IF($AH152="","",IF(INDEX('Per Invoice'!Z$2:Z$401,$AH152)="","",INDEX('Per Invoice'!Z$2:Z$401,$AH152)))</f>
        <v/>
      </c>
      <c r="AA152" s="7">
        <f>IF($AH152="","",IF(INDEX('Per Invoice'!AA$2:AA$401,$AH152)="","",INDEX('Per Invoice'!AA$2:AA$401,$AH152)))</f>
        <v/>
      </c>
      <c r="AB152" s="7">
        <f>IF($AH152="","",IF(INDEX('Per Invoice'!AB$2:AB$401,$AH152)="","",INDEX('Per Invoice'!AB$2:AB$401,$AH152)))</f>
        <v/>
      </c>
      <c r="AC152" s="7">
        <f>IF($AH152="","",IF(INDEX('Per Invoice'!AC$2:AC$401,$AH152)="","",INDEX('Per Invoice'!AC$2:AC$401,$AH152)))</f>
        <v/>
      </c>
      <c r="AD152" s="7">
        <f>IF($AH152="","",IF(INDEX('Per Invoice'!AD$2:AD$401,$AH152)="","",INDEX('Per Invoice'!AD$2:AD$401,$AH152)))</f>
        <v/>
      </c>
      <c r="AE152" s="7">
        <f>IF($AH152="","",IF(INDEX('Per Invoice'!AE$2:AE$401,$AH152)="","",INDEX('Per Invoice'!AE$2:AE$401,$AH152)))</f>
        <v/>
      </c>
      <c r="AF152">
        <f>IF($AH152="","",IF(INDEX('Per Invoice'!AF$2:AF$401,$AH152)="","",INDEX('Per Invoice'!AF$2:AF$401,$AH152)))</f>
        <v/>
      </c>
      <c r="AG152" s="7">
        <f>IF($AH152="","",IF(INDEX('Per Invoice'!AG$2:AG$401,$AH152)="","",INDEX('Per Invoice'!AG$2:AG$401,$AH152)))</f>
        <v/>
      </c>
      <c r="AH152" s="16">
        <f>IFERROR(MATCH(Settings!$C$27&amp;"|"&amp;ROWS($AH$2:$AH152),'Per Invoice'!$AI$2:$AI$401,0),"")</f>
        <v/>
      </c>
    </row>
    <row r="153">
      <c r="A153">
        <f>IF($AH153="","",IF(INDEX('Per Invoice'!A$2:A$401,$AH153)="","",INDEX('Per Invoice'!A$2:A$401,$AH153)))</f>
        <v/>
      </c>
      <c r="B153">
        <f>IF($AH153="","",IF(INDEX('Per Invoice'!B$2:B$401,$AH153)="","",INDEX('Per Invoice'!B$2:B$401,$AH153)))</f>
        <v/>
      </c>
      <c r="C153">
        <f>IF($AH153="","",IF(INDEX('Per Invoice'!C$2:C$401,$AH153)="","",INDEX('Per Invoice'!C$2:C$401,$AH153)))</f>
        <v/>
      </c>
      <c r="D153">
        <f>IF($AH153="","",IF(INDEX('Per Invoice'!D$2:D$401,$AH153)="","",INDEX('Per Invoice'!D$2:D$401,$AH153)))</f>
        <v/>
      </c>
      <c r="E153">
        <f>IF($AH153="","",IF(INDEX('Per Invoice'!E$2:E$401,$AH153)="","",INDEX('Per Invoice'!E$2:E$401,$AH153)))</f>
        <v/>
      </c>
      <c r="F153">
        <f>IF($AH153="","",IF(INDEX('Per Invoice'!F$2:F$401,$AH153)="","",INDEX('Per Invoice'!F$2:F$401,$AH153)))</f>
        <v/>
      </c>
      <c r="G153">
        <f>IF($AH153="","",IF(INDEX('Per Invoice'!G$2:G$401,$AH153)="","",INDEX('Per Invoice'!G$2:G$401,$AH153)))</f>
        <v/>
      </c>
      <c r="H153">
        <f>IF($AH153="","",IF(INDEX('Per Invoice'!H$2:H$401,$AH153)="","",INDEX('Per Invoice'!H$2:H$401,$AH153)))</f>
        <v/>
      </c>
      <c r="I153" s="14">
        <f>IF($AH153="","",IF(INDEX('Per Invoice'!I$2:I$401,$AH153)="","",INDEX('Per Invoice'!I$2:I$401,$AH153)))</f>
        <v/>
      </c>
      <c r="J153">
        <f>IF($AH153="","",IF(INDEX('Per Invoice'!J$2:J$401,$AH153)="","",INDEX('Per Invoice'!J$2:J$401,$AH153)))</f>
        <v/>
      </c>
      <c r="K153">
        <f>IF($AH153="","",IF(INDEX('Per Invoice'!K$2:K$401,$AH153)="","",INDEX('Per Invoice'!K$2:K$401,$AH153)))</f>
        <v/>
      </c>
      <c r="L153">
        <f>IF($AH153="","",IF(INDEX('Per Invoice'!L$2:L$401,$AH153)="","",INDEX('Per Invoice'!L$2:L$401,$AH153)))</f>
        <v/>
      </c>
      <c r="M153">
        <f>IF($AH153="","",IF(INDEX('Per Invoice'!M$2:M$401,$AH153)="","",INDEX('Per Invoice'!M$2:M$401,$AH153)))</f>
        <v/>
      </c>
      <c r="N153">
        <f>IF($AH153="","",IF(INDEX('Per Invoice'!N$2:N$401,$AH153)="","",INDEX('Per Invoice'!N$2:N$401,$AH153)))</f>
        <v/>
      </c>
      <c r="O153">
        <f>IF($AH153="","",IF(INDEX('Per Invoice'!O$2:O$401,$AH153)="","",INDEX('Per Invoice'!O$2:O$401,$AH153)))</f>
        <v/>
      </c>
      <c r="P153" s="7">
        <f>IF($AH153="","",IF(INDEX('Per Invoice'!P$2:P$401,$AH153)="","",INDEX('Per Invoice'!P$2:P$401,$AH153)))</f>
        <v/>
      </c>
      <c r="Q153">
        <f>IF($AH153="","",IF(INDEX('Per Invoice'!Q$2:Q$401,$AH153)="","",INDEX('Per Invoice'!Q$2:Q$401,$AH153)))</f>
        <v/>
      </c>
      <c r="R153">
        <f>IF($AH153="","",IF(INDEX('Per Invoice'!R$2:R$401,$AH153)="","",INDEX('Per Invoice'!R$2:R$401,$AH153)))</f>
        <v/>
      </c>
      <c r="S153">
        <f>IF($AH153="","",IF(INDEX('Per Invoice'!S$2:S$401,$AH153)="","",INDEX('Per Invoice'!S$2:S$401,$AH153)))</f>
        <v/>
      </c>
      <c r="T153" s="7">
        <f>IF($AH153="","",IF(INDEX('Per Invoice'!T$2:T$401,$AH153)="","",INDEX('Per Invoice'!T$2:T$401,$AH153)))</f>
        <v/>
      </c>
      <c r="U153" s="7">
        <f>IF($AH153="","",IF(INDEX('Per Invoice'!U$2:U$401,$AH153)="","",INDEX('Per Invoice'!U$2:U$401,$AH153)))</f>
        <v/>
      </c>
      <c r="V153">
        <f>IF($AH153="","",IF(INDEX('Per Invoice'!V$2:V$401,$AH153)="","",INDEX('Per Invoice'!V$2:V$401,$AH153)))</f>
        <v/>
      </c>
      <c r="W153" s="7">
        <f>IF($AH153="","",IF(INDEX('Per Invoice'!W$2:W$401,$AH153)="","",INDEX('Per Invoice'!W$2:W$401,$AH153)))</f>
        <v/>
      </c>
      <c r="X153" s="7">
        <f>IF($AH153="","",IF(INDEX('Per Invoice'!X$2:X$401,$AH153)="","",INDEX('Per Invoice'!X$2:X$401,$AH153)))</f>
        <v/>
      </c>
      <c r="Y153">
        <f>IF($AH153="","",IF(INDEX('Per Invoice'!Y$2:Y$401,$AH153)="","",INDEX('Per Invoice'!Y$2:Y$401,$AH153)))</f>
        <v/>
      </c>
      <c r="Z153" s="7">
        <f>IF($AH153="","",IF(INDEX('Per Invoice'!Z$2:Z$401,$AH153)="","",INDEX('Per Invoice'!Z$2:Z$401,$AH153)))</f>
        <v/>
      </c>
      <c r="AA153" s="7">
        <f>IF($AH153="","",IF(INDEX('Per Invoice'!AA$2:AA$401,$AH153)="","",INDEX('Per Invoice'!AA$2:AA$401,$AH153)))</f>
        <v/>
      </c>
      <c r="AB153" s="7">
        <f>IF($AH153="","",IF(INDEX('Per Invoice'!AB$2:AB$401,$AH153)="","",INDEX('Per Invoice'!AB$2:AB$401,$AH153)))</f>
        <v/>
      </c>
      <c r="AC153" s="7">
        <f>IF($AH153="","",IF(INDEX('Per Invoice'!AC$2:AC$401,$AH153)="","",INDEX('Per Invoice'!AC$2:AC$401,$AH153)))</f>
        <v/>
      </c>
      <c r="AD153" s="7">
        <f>IF($AH153="","",IF(INDEX('Per Invoice'!AD$2:AD$401,$AH153)="","",INDEX('Per Invoice'!AD$2:AD$401,$AH153)))</f>
        <v/>
      </c>
      <c r="AE153" s="7">
        <f>IF($AH153="","",IF(INDEX('Per Invoice'!AE$2:AE$401,$AH153)="","",INDEX('Per Invoice'!AE$2:AE$401,$AH153)))</f>
        <v/>
      </c>
      <c r="AF153">
        <f>IF($AH153="","",IF(INDEX('Per Invoice'!AF$2:AF$401,$AH153)="","",INDEX('Per Invoice'!AF$2:AF$401,$AH153)))</f>
        <v/>
      </c>
      <c r="AG153" s="7">
        <f>IF($AH153="","",IF(INDEX('Per Invoice'!AG$2:AG$401,$AH153)="","",INDEX('Per Invoice'!AG$2:AG$401,$AH153)))</f>
        <v/>
      </c>
      <c r="AH153" s="16">
        <f>IFERROR(MATCH(Settings!$C$27&amp;"|"&amp;ROWS($AH$2:$AH153),'Per Invoice'!$AI$2:$AI$401,0),"")</f>
        <v/>
      </c>
    </row>
    <row r="154">
      <c r="A154">
        <f>IF($AH154="","",IF(INDEX('Per Invoice'!A$2:A$401,$AH154)="","",INDEX('Per Invoice'!A$2:A$401,$AH154)))</f>
        <v/>
      </c>
      <c r="B154">
        <f>IF($AH154="","",IF(INDEX('Per Invoice'!B$2:B$401,$AH154)="","",INDEX('Per Invoice'!B$2:B$401,$AH154)))</f>
        <v/>
      </c>
      <c r="C154">
        <f>IF($AH154="","",IF(INDEX('Per Invoice'!C$2:C$401,$AH154)="","",INDEX('Per Invoice'!C$2:C$401,$AH154)))</f>
        <v/>
      </c>
      <c r="D154">
        <f>IF($AH154="","",IF(INDEX('Per Invoice'!D$2:D$401,$AH154)="","",INDEX('Per Invoice'!D$2:D$401,$AH154)))</f>
        <v/>
      </c>
      <c r="E154">
        <f>IF($AH154="","",IF(INDEX('Per Invoice'!E$2:E$401,$AH154)="","",INDEX('Per Invoice'!E$2:E$401,$AH154)))</f>
        <v/>
      </c>
      <c r="F154">
        <f>IF($AH154="","",IF(INDEX('Per Invoice'!F$2:F$401,$AH154)="","",INDEX('Per Invoice'!F$2:F$401,$AH154)))</f>
        <v/>
      </c>
      <c r="G154">
        <f>IF($AH154="","",IF(INDEX('Per Invoice'!G$2:G$401,$AH154)="","",INDEX('Per Invoice'!G$2:G$401,$AH154)))</f>
        <v/>
      </c>
      <c r="H154">
        <f>IF($AH154="","",IF(INDEX('Per Invoice'!H$2:H$401,$AH154)="","",INDEX('Per Invoice'!H$2:H$401,$AH154)))</f>
        <v/>
      </c>
      <c r="I154" s="14">
        <f>IF($AH154="","",IF(INDEX('Per Invoice'!I$2:I$401,$AH154)="","",INDEX('Per Invoice'!I$2:I$401,$AH154)))</f>
        <v/>
      </c>
      <c r="J154">
        <f>IF($AH154="","",IF(INDEX('Per Invoice'!J$2:J$401,$AH154)="","",INDEX('Per Invoice'!J$2:J$401,$AH154)))</f>
        <v/>
      </c>
      <c r="K154">
        <f>IF($AH154="","",IF(INDEX('Per Invoice'!K$2:K$401,$AH154)="","",INDEX('Per Invoice'!K$2:K$401,$AH154)))</f>
        <v/>
      </c>
      <c r="L154">
        <f>IF($AH154="","",IF(INDEX('Per Invoice'!L$2:L$401,$AH154)="","",INDEX('Per Invoice'!L$2:L$401,$AH154)))</f>
        <v/>
      </c>
      <c r="M154">
        <f>IF($AH154="","",IF(INDEX('Per Invoice'!M$2:M$401,$AH154)="","",INDEX('Per Invoice'!M$2:M$401,$AH154)))</f>
        <v/>
      </c>
      <c r="N154">
        <f>IF($AH154="","",IF(INDEX('Per Invoice'!N$2:N$401,$AH154)="","",INDEX('Per Invoice'!N$2:N$401,$AH154)))</f>
        <v/>
      </c>
      <c r="O154">
        <f>IF($AH154="","",IF(INDEX('Per Invoice'!O$2:O$401,$AH154)="","",INDEX('Per Invoice'!O$2:O$401,$AH154)))</f>
        <v/>
      </c>
      <c r="P154" s="7">
        <f>IF($AH154="","",IF(INDEX('Per Invoice'!P$2:P$401,$AH154)="","",INDEX('Per Invoice'!P$2:P$401,$AH154)))</f>
        <v/>
      </c>
      <c r="Q154">
        <f>IF($AH154="","",IF(INDEX('Per Invoice'!Q$2:Q$401,$AH154)="","",INDEX('Per Invoice'!Q$2:Q$401,$AH154)))</f>
        <v/>
      </c>
      <c r="R154">
        <f>IF($AH154="","",IF(INDEX('Per Invoice'!R$2:R$401,$AH154)="","",INDEX('Per Invoice'!R$2:R$401,$AH154)))</f>
        <v/>
      </c>
      <c r="S154">
        <f>IF($AH154="","",IF(INDEX('Per Invoice'!S$2:S$401,$AH154)="","",INDEX('Per Invoice'!S$2:S$401,$AH154)))</f>
        <v/>
      </c>
      <c r="T154" s="7">
        <f>IF($AH154="","",IF(INDEX('Per Invoice'!T$2:T$401,$AH154)="","",INDEX('Per Invoice'!T$2:T$401,$AH154)))</f>
        <v/>
      </c>
      <c r="U154" s="7">
        <f>IF($AH154="","",IF(INDEX('Per Invoice'!U$2:U$401,$AH154)="","",INDEX('Per Invoice'!U$2:U$401,$AH154)))</f>
        <v/>
      </c>
      <c r="V154">
        <f>IF($AH154="","",IF(INDEX('Per Invoice'!V$2:V$401,$AH154)="","",INDEX('Per Invoice'!V$2:V$401,$AH154)))</f>
        <v/>
      </c>
      <c r="W154" s="7">
        <f>IF($AH154="","",IF(INDEX('Per Invoice'!W$2:W$401,$AH154)="","",INDEX('Per Invoice'!W$2:W$401,$AH154)))</f>
        <v/>
      </c>
      <c r="X154" s="7">
        <f>IF($AH154="","",IF(INDEX('Per Invoice'!X$2:X$401,$AH154)="","",INDEX('Per Invoice'!X$2:X$401,$AH154)))</f>
        <v/>
      </c>
      <c r="Y154">
        <f>IF($AH154="","",IF(INDEX('Per Invoice'!Y$2:Y$401,$AH154)="","",INDEX('Per Invoice'!Y$2:Y$401,$AH154)))</f>
        <v/>
      </c>
      <c r="Z154" s="7">
        <f>IF($AH154="","",IF(INDEX('Per Invoice'!Z$2:Z$401,$AH154)="","",INDEX('Per Invoice'!Z$2:Z$401,$AH154)))</f>
        <v/>
      </c>
      <c r="AA154" s="7">
        <f>IF($AH154="","",IF(INDEX('Per Invoice'!AA$2:AA$401,$AH154)="","",INDEX('Per Invoice'!AA$2:AA$401,$AH154)))</f>
        <v/>
      </c>
      <c r="AB154" s="7">
        <f>IF($AH154="","",IF(INDEX('Per Invoice'!AB$2:AB$401,$AH154)="","",INDEX('Per Invoice'!AB$2:AB$401,$AH154)))</f>
        <v/>
      </c>
      <c r="AC154" s="7">
        <f>IF($AH154="","",IF(INDEX('Per Invoice'!AC$2:AC$401,$AH154)="","",INDEX('Per Invoice'!AC$2:AC$401,$AH154)))</f>
        <v/>
      </c>
      <c r="AD154" s="7">
        <f>IF($AH154="","",IF(INDEX('Per Invoice'!AD$2:AD$401,$AH154)="","",INDEX('Per Invoice'!AD$2:AD$401,$AH154)))</f>
        <v/>
      </c>
      <c r="AE154" s="7">
        <f>IF($AH154="","",IF(INDEX('Per Invoice'!AE$2:AE$401,$AH154)="","",INDEX('Per Invoice'!AE$2:AE$401,$AH154)))</f>
        <v/>
      </c>
      <c r="AF154">
        <f>IF($AH154="","",IF(INDEX('Per Invoice'!AF$2:AF$401,$AH154)="","",INDEX('Per Invoice'!AF$2:AF$401,$AH154)))</f>
        <v/>
      </c>
      <c r="AG154" s="7">
        <f>IF($AH154="","",IF(INDEX('Per Invoice'!AG$2:AG$401,$AH154)="","",INDEX('Per Invoice'!AG$2:AG$401,$AH154)))</f>
        <v/>
      </c>
      <c r="AH154" s="16">
        <f>IFERROR(MATCH(Settings!$C$27&amp;"|"&amp;ROWS($AH$2:$AH154),'Per Invoice'!$AI$2:$AI$401,0),"")</f>
        <v/>
      </c>
    </row>
    <row r="155">
      <c r="A155">
        <f>IF($AH155="","",IF(INDEX('Per Invoice'!A$2:A$401,$AH155)="","",INDEX('Per Invoice'!A$2:A$401,$AH155)))</f>
        <v/>
      </c>
      <c r="B155">
        <f>IF($AH155="","",IF(INDEX('Per Invoice'!B$2:B$401,$AH155)="","",INDEX('Per Invoice'!B$2:B$401,$AH155)))</f>
        <v/>
      </c>
      <c r="C155">
        <f>IF($AH155="","",IF(INDEX('Per Invoice'!C$2:C$401,$AH155)="","",INDEX('Per Invoice'!C$2:C$401,$AH155)))</f>
        <v/>
      </c>
      <c r="D155">
        <f>IF($AH155="","",IF(INDEX('Per Invoice'!D$2:D$401,$AH155)="","",INDEX('Per Invoice'!D$2:D$401,$AH155)))</f>
        <v/>
      </c>
      <c r="E155">
        <f>IF($AH155="","",IF(INDEX('Per Invoice'!E$2:E$401,$AH155)="","",INDEX('Per Invoice'!E$2:E$401,$AH155)))</f>
        <v/>
      </c>
      <c r="F155">
        <f>IF($AH155="","",IF(INDEX('Per Invoice'!F$2:F$401,$AH155)="","",INDEX('Per Invoice'!F$2:F$401,$AH155)))</f>
        <v/>
      </c>
      <c r="G155">
        <f>IF($AH155="","",IF(INDEX('Per Invoice'!G$2:G$401,$AH155)="","",INDEX('Per Invoice'!G$2:G$401,$AH155)))</f>
        <v/>
      </c>
      <c r="H155">
        <f>IF($AH155="","",IF(INDEX('Per Invoice'!H$2:H$401,$AH155)="","",INDEX('Per Invoice'!H$2:H$401,$AH155)))</f>
        <v/>
      </c>
      <c r="I155" s="14">
        <f>IF($AH155="","",IF(INDEX('Per Invoice'!I$2:I$401,$AH155)="","",INDEX('Per Invoice'!I$2:I$401,$AH155)))</f>
        <v/>
      </c>
      <c r="J155">
        <f>IF($AH155="","",IF(INDEX('Per Invoice'!J$2:J$401,$AH155)="","",INDEX('Per Invoice'!J$2:J$401,$AH155)))</f>
        <v/>
      </c>
      <c r="K155">
        <f>IF($AH155="","",IF(INDEX('Per Invoice'!K$2:K$401,$AH155)="","",INDEX('Per Invoice'!K$2:K$401,$AH155)))</f>
        <v/>
      </c>
      <c r="L155">
        <f>IF($AH155="","",IF(INDEX('Per Invoice'!L$2:L$401,$AH155)="","",INDEX('Per Invoice'!L$2:L$401,$AH155)))</f>
        <v/>
      </c>
      <c r="M155">
        <f>IF($AH155="","",IF(INDEX('Per Invoice'!M$2:M$401,$AH155)="","",INDEX('Per Invoice'!M$2:M$401,$AH155)))</f>
        <v/>
      </c>
      <c r="N155">
        <f>IF($AH155="","",IF(INDEX('Per Invoice'!N$2:N$401,$AH155)="","",INDEX('Per Invoice'!N$2:N$401,$AH155)))</f>
        <v/>
      </c>
      <c r="O155">
        <f>IF($AH155="","",IF(INDEX('Per Invoice'!O$2:O$401,$AH155)="","",INDEX('Per Invoice'!O$2:O$401,$AH155)))</f>
        <v/>
      </c>
      <c r="P155" s="7">
        <f>IF($AH155="","",IF(INDEX('Per Invoice'!P$2:P$401,$AH155)="","",INDEX('Per Invoice'!P$2:P$401,$AH155)))</f>
        <v/>
      </c>
      <c r="Q155">
        <f>IF($AH155="","",IF(INDEX('Per Invoice'!Q$2:Q$401,$AH155)="","",INDEX('Per Invoice'!Q$2:Q$401,$AH155)))</f>
        <v/>
      </c>
      <c r="R155">
        <f>IF($AH155="","",IF(INDEX('Per Invoice'!R$2:R$401,$AH155)="","",INDEX('Per Invoice'!R$2:R$401,$AH155)))</f>
        <v/>
      </c>
      <c r="S155">
        <f>IF($AH155="","",IF(INDEX('Per Invoice'!S$2:S$401,$AH155)="","",INDEX('Per Invoice'!S$2:S$401,$AH155)))</f>
        <v/>
      </c>
      <c r="T155" s="7">
        <f>IF($AH155="","",IF(INDEX('Per Invoice'!T$2:T$401,$AH155)="","",INDEX('Per Invoice'!T$2:T$401,$AH155)))</f>
        <v/>
      </c>
      <c r="U155" s="7">
        <f>IF($AH155="","",IF(INDEX('Per Invoice'!U$2:U$401,$AH155)="","",INDEX('Per Invoice'!U$2:U$401,$AH155)))</f>
        <v/>
      </c>
      <c r="V155">
        <f>IF($AH155="","",IF(INDEX('Per Invoice'!V$2:V$401,$AH155)="","",INDEX('Per Invoice'!V$2:V$401,$AH155)))</f>
        <v/>
      </c>
      <c r="W155" s="7">
        <f>IF($AH155="","",IF(INDEX('Per Invoice'!W$2:W$401,$AH155)="","",INDEX('Per Invoice'!W$2:W$401,$AH155)))</f>
        <v/>
      </c>
      <c r="X155" s="7">
        <f>IF($AH155="","",IF(INDEX('Per Invoice'!X$2:X$401,$AH155)="","",INDEX('Per Invoice'!X$2:X$401,$AH155)))</f>
        <v/>
      </c>
      <c r="Y155">
        <f>IF($AH155="","",IF(INDEX('Per Invoice'!Y$2:Y$401,$AH155)="","",INDEX('Per Invoice'!Y$2:Y$401,$AH155)))</f>
        <v/>
      </c>
      <c r="Z155" s="7">
        <f>IF($AH155="","",IF(INDEX('Per Invoice'!Z$2:Z$401,$AH155)="","",INDEX('Per Invoice'!Z$2:Z$401,$AH155)))</f>
        <v/>
      </c>
      <c r="AA155" s="7">
        <f>IF($AH155="","",IF(INDEX('Per Invoice'!AA$2:AA$401,$AH155)="","",INDEX('Per Invoice'!AA$2:AA$401,$AH155)))</f>
        <v/>
      </c>
      <c r="AB155" s="7">
        <f>IF($AH155="","",IF(INDEX('Per Invoice'!AB$2:AB$401,$AH155)="","",INDEX('Per Invoice'!AB$2:AB$401,$AH155)))</f>
        <v/>
      </c>
      <c r="AC155" s="7">
        <f>IF($AH155="","",IF(INDEX('Per Invoice'!AC$2:AC$401,$AH155)="","",INDEX('Per Invoice'!AC$2:AC$401,$AH155)))</f>
        <v/>
      </c>
      <c r="AD155" s="7">
        <f>IF($AH155="","",IF(INDEX('Per Invoice'!AD$2:AD$401,$AH155)="","",INDEX('Per Invoice'!AD$2:AD$401,$AH155)))</f>
        <v/>
      </c>
      <c r="AE155" s="7">
        <f>IF($AH155="","",IF(INDEX('Per Invoice'!AE$2:AE$401,$AH155)="","",INDEX('Per Invoice'!AE$2:AE$401,$AH155)))</f>
        <v/>
      </c>
      <c r="AF155">
        <f>IF($AH155="","",IF(INDEX('Per Invoice'!AF$2:AF$401,$AH155)="","",INDEX('Per Invoice'!AF$2:AF$401,$AH155)))</f>
        <v/>
      </c>
      <c r="AG155" s="7">
        <f>IF($AH155="","",IF(INDEX('Per Invoice'!AG$2:AG$401,$AH155)="","",INDEX('Per Invoice'!AG$2:AG$401,$AH155)))</f>
        <v/>
      </c>
      <c r="AH155" s="16">
        <f>IFERROR(MATCH(Settings!$C$27&amp;"|"&amp;ROWS($AH$2:$AH155),'Per Invoice'!$AI$2:$AI$401,0),"")</f>
        <v/>
      </c>
    </row>
    <row r="156">
      <c r="A156">
        <f>IF($AH156="","",IF(INDEX('Per Invoice'!A$2:A$401,$AH156)="","",INDEX('Per Invoice'!A$2:A$401,$AH156)))</f>
        <v/>
      </c>
      <c r="B156">
        <f>IF($AH156="","",IF(INDEX('Per Invoice'!B$2:B$401,$AH156)="","",INDEX('Per Invoice'!B$2:B$401,$AH156)))</f>
        <v/>
      </c>
      <c r="C156">
        <f>IF($AH156="","",IF(INDEX('Per Invoice'!C$2:C$401,$AH156)="","",INDEX('Per Invoice'!C$2:C$401,$AH156)))</f>
        <v/>
      </c>
      <c r="D156">
        <f>IF($AH156="","",IF(INDEX('Per Invoice'!D$2:D$401,$AH156)="","",INDEX('Per Invoice'!D$2:D$401,$AH156)))</f>
        <v/>
      </c>
      <c r="E156">
        <f>IF($AH156="","",IF(INDEX('Per Invoice'!E$2:E$401,$AH156)="","",INDEX('Per Invoice'!E$2:E$401,$AH156)))</f>
        <v/>
      </c>
      <c r="F156">
        <f>IF($AH156="","",IF(INDEX('Per Invoice'!F$2:F$401,$AH156)="","",INDEX('Per Invoice'!F$2:F$401,$AH156)))</f>
        <v/>
      </c>
      <c r="G156">
        <f>IF($AH156="","",IF(INDEX('Per Invoice'!G$2:G$401,$AH156)="","",INDEX('Per Invoice'!G$2:G$401,$AH156)))</f>
        <v/>
      </c>
      <c r="H156">
        <f>IF($AH156="","",IF(INDEX('Per Invoice'!H$2:H$401,$AH156)="","",INDEX('Per Invoice'!H$2:H$401,$AH156)))</f>
        <v/>
      </c>
      <c r="I156" s="14">
        <f>IF($AH156="","",IF(INDEX('Per Invoice'!I$2:I$401,$AH156)="","",INDEX('Per Invoice'!I$2:I$401,$AH156)))</f>
        <v/>
      </c>
      <c r="J156">
        <f>IF($AH156="","",IF(INDEX('Per Invoice'!J$2:J$401,$AH156)="","",INDEX('Per Invoice'!J$2:J$401,$AH156)))</f>
        <v/>
      </c>
      <c r="K156">
        <f>IF($AH156="","",IF(INDEX('Per Invoice'!K$2:K$401,$AH156)="","",INDEX('Per Invoice'!K$2:K$401,$AH156)))</f>
        <v/>
      </c>
      <c r="L156">
        <f>IF($AH156="","",IF(INDEX('Per Invoice'!L$2:L$401,$AH156)="","",INDEX('Per Invoice'!L$2:L$401,$AH156)))</f>
        <v/>
      </c>
      <c r="M156">
        <f>IF($AH156="","",IF(INDEX('Per Invoice'!M$2:M$401,$AH156)="","",INDEX('Per Invoice'!M$2:M$401,$AH156)))</f>
        <v/>
      </c>
      <c r="N156">
        <f>IF($AH156="","",IF(INDEX('Per Invoice'!N$2:N$401,$AH156)="","",INDEX('Per Invoice'!N$2:N$401,$AH156)))</f>
        <v/>
      </c>
      <c r="O156">
        <f>IF($AH156="","",IF(INDEX('Per Invoice'!O$2:O$401,$AH156)="","",INDEX('Per Invoice'!O$2:O$401,$AH156)))</f>
        <v/>
      </c>
      <c r="P156" s="7">
        <f>IF($AH156="","",IF(INDEX('Per Invoice'!P$2:P$401,$AH156)="","",INDEX('Per Invoice'!P$2:P$401,$AH156)))</f>
        <v/>
      </c>
      <c r="Q156">
        <f>IF($AH156="","",IF(INDEX('Per Invoice'!Q$2:Q$401,$AH156)="","",INDEX('Per Invoice'!Q$2:Q$401,$AH156)))</f>
        <v/>
      </c>
      <c r="R156">
        <f>IF($AH156="","",IF(INDEX('Per Invoice'!R$2:R$401,$AH156)="","",INDEX('Per Invoice'!R$2:R$401,$AH156)))</f>
        <v/>
      </c>
      <c r="S156">
        <f>IF($AH156="","",IF(INDEX('Per Invoice'!S$2:S$401,$AH156)="","",INDEX('Per Invoice'!S$2:S$401,$AH156)))</f>
        <v/>
      </c>
      <c r="T156" s="7">
        <f>IF($AH156="","",IF(INDEX('Per Invoice'!T$2:T$401,$AH156)="","",INDEX('Per Invoice'!T$2:T$401,$AH156)))</f>
        <v/>
      </c>
      <c r="U156" s="7">
        <f>IF($AH156="","",IF(INDEX('Per Invoice'!U$2:U$401,$AH156)="","",INDEX('Per Invoice'!U$2:U$401,$AH156)))</f>
        <v/>
      </c>
      <c r="V156">
        <f>IF($AH156="","",IF(INDEX('Per Invoice'!V$2:V$401,$AH156)="","",INDEX('Per Invoice'!V$2:V$401,$AH156)))</f>
        <v/>
      </c>
      <c r="W156" s="7">
        <f>IF($AH156="","",IF(INDEX('Per Invoice'!W$2:W$401,$AH156)="","",INDEX('Per Invoice'!W$2:W$401,$AH156)))</f>
        <v/>
      </c>
      <c r="X156" s="7">
        <f>IF($AH156="","",IF(INDEX('Per Invoice'!X$2:X$401,$AH156)="","",INDEX('Per Invoice'!X$2:X$401,$AH156)))</f>
        <v/>
      </c>
      <c r="Y156">
        <f>IF($AH156="","",IF(INDEX('Per Invoice'!Y$2:Y$401,$AH156)="","",INDEX('Per Invoice'!Y$2:Y$401,$AH156)))</f>
        <v/>
      </c>
      <c r="Z156" s="7">
        <f>IF($AH156="","",IF(INDEX('Per Invoice'!Z$2:Z$401,$AH156)="","",INDEX('Per Invoice'!Z$2:Z$401,$AH156)))</f>
        <v/>
      </c>
      <c r="AA156" s="7">
        <f>IF($AH156="","",IF(INDEX('Per Invoice'!AA$2:AA$401,$AH156)="","",INDEX('Per Invoice'!AA$2:AA$401,$AH156)))</f>
        <v/>
      </c>
      <c r="AB156" s="7">
        <f>IF($AH156="","",IF(INDEX('Per Invoice'!AB$2:AB$401,$AH156)="","",INDEX('Per Invoice'!AB$2:AB$401,$AH156)))</f>
        <v/>
      </c>
      <c r="AC156" s="7">
        <f>IF($AH156="","",IF(INDEX('Per Invoice'!AC$2:AC$401,$AH156)="","",INDEX('Per Invoice'!AC$2:AC$401,$AH156)))</f>
        <v/>
      </c>
      <c r="AD156" s="7">
        <f>IF($AH156="","",IF(INDEX('Per Invoice'!AD$2:AD$401,$AH156)="","",INDEX('Per Invoice'!AD$2:AD$401,$AH156)))</f>
        <v/>
      </c>
      <c r="AE156" s="7">
        <f>IF($AH156="","",IF(INDEX('Per Invoice'!AE$2:AE$401,$AH156)="","",INDEX('Per Invoice'!AE$2:AE$401,$AH156)))</f>
        <v/>
      </c>
      <c r="AF156">
        <f>IF($AH156="","",IF(INDEX('Per Invoice'!AF$2:AF$401,$AH156)="","",INDEX('Per Invoice'!AF$2:AF$401,$AH156)))</f>
        <v/>
      </c>
      <c r="AG156" s="7">
        <f>IF($AH156="","",IF(INDEX('Per Invoice'!AG$2:AG$401,$AH156)="","",INDEX('Per Invoice'!AG$2:AG$401,$AH156)))</f>
        <v/>
      </c>
      <c r="AH156" s="16">
        <f>IFERROR(MATCH(Settings!$C$27&amp;"|"&amp;ROWS($AH$2:$AH156),'Per Invoice'!$AI$2:$AI$401,0),"")</f>
        <v/>
      </c>
    </row>
    <row r="157">
      <c r="A157">
        <f>IF($AH157="","",IF(INDEX('Per Invoice'!A$2:A$401,$AH157)="","",INDEX('Per Invoice'!A$2:A$401,$AH157)))</f>
        <v/>
      </c>
      <c r="B157">
        <f>IF($AH157="","",IF(INDEX('Per Invoice'!B$2:B$401,$AH157)="","",INDEX('Per Invoice'!B$2:B$401,$AH157)))</f>
        <v/>
      </c>
      <c r="C157">
        <f>IF($AH157="","",IF(INDEX('Per Invoice'!C$2:C$401,$AH157)="","",INDEX('Per Invoice'!C$2:C$401,$AH157)))</f>
        <v/>
      </c>
      <c r="D157">
        <f>IF($AH157="","",IF(INDEX('Per Invoice'!D$2:D$401,$AH157)="","",INDEX('Per Invoice'!D$2:D$401,$AH157)))</f>
        <v/>
      </c>
      <c r="E157">
        <f>IF($AH157="","",IF(INDEX('Per Invoice'!E$2:E$401,$AH157)="","",INDEX('Per Invoice'!E$2:E$401,$AH157)))</f>
        <v/>
      </c>
      <c r="F157">
        <f>IF($AH157="","",IF(INDEX('Per Invoice'!F$2:F$401,$AH157)="","",INDEX('Per Invoice'!F$2:F$401,$AH157)))</f>
        <v/>
      </c>
      <c r="G157">
        <f>IF($AH157="","",IF(INDEX('Per Invoice'!G$2:G$401,$AH157)="","",INDEX('Per Invoice'!G$2:G$401,$AH157)))</f>
        <v/>
      </c>
      <c r="H157">
        <f>IF($AH157="","",IF(INDEX('Per Invoice'!H$2:H$401,$AH157)="","",INDEX('Per Invoice'!H$2:H$401,$AH157)))</f>
        <v/>
      </c>
      <c r="I157" s="14">
        <f>IF($AH157="","",IF(INDEX('Per Invoice'!I$2:I$401,$AH157)="","",INDEX('Per Invoice'!I$2:I$401,$AH157)))</f>
        <v/>
      </c>
      <c r="J157">
        <f>IF($AH157="","",IF(INDEX('Per Invoice'!J$2:J$401,$AH157)="","",INDEX('Per Invoice'!J$2:J$401,$AH157)))</f>
        <v/>
      </c>
      <c r="K157">
        <f>IF($AH157="","",IF(INDEX('Per Invoice'!K$2:K$401,$AH157)="","",INDEX('Per Invoice'!K$2:K$401,$AH157)))</f>
        <v/>
      </c>
      <c r="L157">
        <f>IF($AH157="","",IF(INDEX('Per Invoice'!L$2:L$401,$AH157)="","",INDEX('Per Invoice'!L$2:L$401,$AH157)))</f>
        <v/>
      </c>
      <c r="M157">
        <f>IF($AH157="","",IF(INDEX('Per Invoice'!M$2:M$401,$AH157)="","",INDEX('Per Invoice'!M$2:M$401,$AH157)))</f>
        <v/>
      </c>
      <c r="N157">
        <f>IF($AH157="","",IF(INDEX('Per Invoice'!N$2:N$401,$AH157)="","",INDEX('Per Invoice'!N$2:N$401,$AH157)))</f>
        <v/>
      </c>
      <c r="O157">
        <f>IF($AH157="","",IF(INDEX('Per Invoice'!O$2:O$401,$AH157)="","",INDEX('Per Invoice'!O$2:O$401,$AH157)))</f>
        <v/>
      </c>
      <c r="P157" s="7">
        <f>IF($AH157="","",IF(INDEX('Per Invoice'!P$2:P$401,$AH157)="","",INDEX('Per Invoice'!P$2:P$401,$AH157)))</f>
        <v/>
      </c>
      <c r="Q157">
        <f>IF($AH157="","",IF(INDEX('Per Invoice'!Q$2:Q$401,$AH157)="","",INDEX('Per Invoice'!Q$2:Q$401,$AH157)))</f>
        <v/>
      </c>
      <c r="R157">
        <f>IF($AH157="","",IF(INDEX('Per Invoice'!R$2:R$401,$AH157)="","",INDEX('Per Invoice'!R$2:R$401,$AH157)))</f>
        <v/>
      </c>
      <c r="S157">
        <f>IF($AH157="","",IF(INDEX('Per Invoice'!S$2:S$401,$AH157)="","",INDEX('Per Invoice'!S$2:S$401,$AH157)))</f>
        <v/>
      </c>
      <c r="T157" s="7">
        <f>IF($AH157="","",IF(INDEX('Per Invoice'!T$2:T$401,$AH157)="","",INDEX('Per Invoice'!T$2:T$401,$AH157)))</f>
        <v/>
      </c>
      <c r="U157" s="7">
        <f>IF($AH157="","",IF(INDEX('Per Invoice'!U$2:U$401,$AH157)="","",INDEX('Per Invoice'!U$2:U$401,$AH157)))</f>
        <v/>
      </c>
      <c r="V157">
        <f>IF($AH157="","",IF(INDEX('Per Invoice'!V$2:V$401,$AH157)="","",INDEX('Per Invoice'!V$2:V$401,$AH157)))</f>
        <v/>
      </c>
      <c r="W157" s="7">
        <f>IF($AH157="","",IF(INDEX('Per Invoice'!W$2:W$401,$AH157)="","",INDEX('Per Invoice'!W$2:W$401,$AH157)))</f>
        <v/>
      </c>
      <c r="X157" s="7">
        <f>IF($AH157="","",IF(INDEX('Per Invoice'!X$2:X$401,$AH157)="","",INDEX('Per Invoice'!X$2:X$401,$AH157)))</f>
        <v/>
      </c>
      <c r="Y157">
        <f>IF($AH157="","",IF(INDEX('Per Invoice'!Y$2:Y$401,$AH157)="","",INDEX('Per Invoice'!Y$2:Y$401,$AH157)))</f>
        <v/>
      </c>
      <c r="Z157" s="7">
        <f>IF($AH157="","",IF(INDEX('Per Invoice'!Z$2:Z$401,$AH157)="","",INDEX('Per Invoice'!Z$2:Z$401,$AH157)))</f>
        <v/>
      </c>
      <c r="AA157" s="7">
        <f>IF($AH157="","",IF(INDEX('Per Invoice'!AA$2:AA$401,$AH157)="","",INDEX('Per Invoice'!AA$2:AA$401,$AH157)))</f>
        <v/>
      </c>
      <c r="AB157" s="7">
        <f>IF($AH157="","",IF(INDEX('Per Invoice'!AB$2:AB$401,$AH157)="","",INDEX('Per Invoice'!AB$2:AB$401,$AH157)))</f>
        <v/>
      </c>
      <c r="AC157" s="7">
        <f>IF($AH157="","",IF(INDEX('Per Invoice'!AC$2:AC$401,$AH157)="","",INDEX('Per Invoice'!AC$2:AC$401,$AH157)))</f>
        <v/>
      </c>
      <c r="AD157" s="7">
        <f>IF($AH157="","",IF(INDEX('Per Invoice'!AD$2:AD$401,$AH157)="","",INDEX('Per Invoice'!AD$2:AD$401,$AH157)))</f>
        <v/>
      </c>
      <c r="AE157" s="7">
        <f>IF($AH157="","",IF(INDEX('Per Invoice'!AE$2:AE$401,$AH157)="","",INDEX('Per Invoice'!AE$2:AE$401,$AH157)))</f>
        <v/>
      </c>
      <c r="AF157">
        <f>IF($AH157="","",IF(INDEX('Per Invoice'!AF$2:AF$401,$AH157)="","",INDEX('Per Invoice'!AF$2:AF$401,$AH157)))</f>
        <v/>
      </c>
      <c r="AG157" s="7">
        <f>IF($AH157="","",IF(INDEX('Per Invoice'!AG$2:AG$401,$AH157)="","",INDEX('Per Invoice'!AG$2:AG$401,$AH157)))</f>
        <v/>
      </c>
      <c r="AH157" s="16">
        <f>IFERROR(MATCH(Settings!$C$27&amp;"|"&amp;ROWS($AH$2:$AH157),'Per Invoice'!$AI$2:$AI$401,0),"")</f>
        <v/>
      </c>
    </row>
    <row r="158">
      <c r="A158">
        <f>IF($AH158="","",IF(INDEX('Per Invoice'!A$2:A$401,$AH158)="","",INDEX('Per Invoice'!A$2:A$401,$AH158)))</f>
        <v/>
      </c>
      <c r="B158">
        <f>IF($AH158="","",IF(INDEX('Per Invoice'!B$2:B$401,$AH158)="","",INDEX('Per Invoice'!B$2:B$401,$AH158)))</f>
        <v/>
      </c>
      <c r="C158">
        <f>IF($AH158="","",IF(INDEX('Per Invoice'!C$2:C$401,$AH158)="","",INDEX('Per Invoice'!C$2:C$401,$AH158)))</f>
        <v/>
      </c>
      <c r="D158">
        <f>IF($AH158="","",IF(INDEX('Per Invoice'!D$2:D$401,$AH158)="","",INDEX('Per Invoice'!D$2:D$401,$AH158)))</f>
        <v/>
      </c>
      <c r="E158">
        <f>IF($AH158="","",IF(INDEX('Per Invoice'!E$2:E$401,$AH158)="","",INDEX('Per Invoice'!E$2:E$401,$AH158)))</f>
        <v/>
      </c>
      <c r="F158">
        <f>IF($AH158="","",IF(INDEX('Per Invoice'!F$2:F$401,$AH158)="","",INDEX('Per Invoice'!F$2:F$401,$AH158)))</f>
        <v/>
      </c>
      <c r="G158">
        <f>IF($AH158="","",IF(INDEX('Per Invoice'!G$2:G$401,$AH158)="","",INDEX('Per Invoice'!G$2:G$401,$AH158)))</f>
        <v/>
      </c>
      <c r="H158">
        <f>IF($AH158="","",IF(INDEX('Per Invoice'!H$2:H$401,$AH158)="","",INDEX('Per Invoice'!H$2:H$401,$AH158)))</f>
        <v/>
      </c>
      <c r="I158" s="14">
        <f>IF($AH158="","",IF(INDEX('Per Invoice'!I$2:I$401,$AH158)="","",INDEX('Per Invoice'!I$2:I$401,$AH158)))</f>
        <v/>
      </c>
      <c r="J158">
        <f>IF($AH158="","",IF(INDEX('Per Invoice'!J$2:J$401,$AH158)="","",INDEX('Per Invoice'!J$2:J$401,$AH158)))</f>
        <v/>
      </c>
      <c r="K158">
        <f>IF($AH158="","",IF(INDEX('Per Invoice'!K$2:K$401,$AH158)="","",INDEX('Per Invoice'!K$2:K$401,$AH158)))</f>
        <v/>
      </c>
      <c r="L158">
        <f>IF($AH158="","",IF(INDEX('Per Invoice'!L$2:L$401,$AH158)="","",INDEX('Per Invoice'!L$2:L$401,$AH158)))</f>
        <v/>
      </c>
      <c r="M158">
        <f>IF($AH158="","",IF(INDEX('Per Invoice'!M$2:M$401,$AH158)="","",INDEX('Per Invoice'!M$2:M$401,$AH158)))</f>
        <v/>
      </c>
      <c r="N158">
        <f>IF($AH158="","",IF(INDEX('Per Invoice'!N$2:N$401,$AH158)="","",INDEX('Per Invoice'!N$2:N$401,$AH158)))</f>
        <v/>
      </c>
      <c r="O158">
        <f>IF($AH158="","",IF(INDEX('Per Invoice'!O$2:O$401,$AH158)="","",INDEX('Per Invoice'!O$2:O$401,$AH158)))</f>
        <v/>
      </c>
      <c r="P158" s="7">
        <f>IF($AH158="","",IF(INDEX('Per Invoice'!P$2:P$401,$AH158)="","",INDEX('Per Invoice'!P$2:P$401,$AH158)))</f>
        <v/>
      </c>
      <c r="Q158">
        <f>IF($AH158="","",IF(INDEX('Per Invoice'!Q$2:Q$401,$AH158)="","",INDEX('Per Invoice'!Q$2:Q$401,$AH158)))</f>
        <v/>
      </c>
      <c r="R158">
        <f>IF($AH158="","",IF(INDEX('Per Invoice'!R$2:R$401,$AH158)="","",INDEX('Per Invoice'!R$2:R$401,$AH158)))</f>
        <v/>
      </c>
      <c r="S158">
        <f>IF($AH158="","",IF(INDEX('Per Invoice'!S$2:S$401,$AH158)="","",INDEX('Per Invoice'!S$2:S$401,$AH158)))</f>
        <v/>
      </c>
      <c r="T158" s="7">
        <f>IF($AH158="","",IF(INDEX('Per Invoice'!T$2:T$401,$AH158)="","",INDEX('Per Invoice'!T$2:T$401,$AH158)))</f>
        <v/>
      </c>
      <c r="U158" s="7">
        <f>IF($AH158="","",IF(INDEX('Per Invoice'!U$2:U$401,$AH158)="","",INDEX('Per Invoice'!U$2:U$401,$AH158)))</f>
        <v/>
      </c>
      <c r="V158">
        <f>IF($AH158="","",IF(INDEX('Per Invoice'!V$2:V$401,$AH158)="","",INDEX('Per Invoice'!V$2:V$401,$AH158)))</f>
        <v/>
      </c>
      <c r="W158" s="7">
        <f>IF($AH158="","",IF(INDEX('Per Invoice'!W$2:W$401,$AH158)="","",INDEX('Per Invoice'!W$2:W$401,$AH158)))</f>
        <v/>
      </c>
      <c r="X158" s="7">
        <f>IF($AH158="","",IF(INDEX('Per Invoice'!X$2:X$401,$AH158)="","",INDEX('Per Invoice'!X$2:X$401,$AH158)))</f>
        <v/>
      </c>
      <c r="Y158">
        <f>IF($AH158="","",IF(INDEX('Per Invoice'!Y$2:Y$401,$AH158)="","",INDEX('Per Invoice'!Y$2:Y$401,$AH158)))</f>
        <v/>
      </c>
      <c r="Z158" s="7">
        <f>IF($AH158="","",IF(INDEX('Per Invoice'!Z$2:Z$401,$AH158)="","",INDEX('Per Invoice'!Z$2:Z$401,$AH158)))</f>
        <v/>
      </c>
      <c r="AA158" s="7">
        <f>IF($AH158="","",IF(INDEX('Per Invoice'!AA$2:AA$401,$AH158)="","",INDEX('Per Invoice'!AA$2:AA$401,$AH158)))</f>
        <v/>
      </c>
      <c r="AB158" s="7">
        <f>IF($AH158="","",IF(INDEX('Per Invoice'!AB$2:AB$401,$AH158)="","",INDEX('Per Invoice'!AB$2:AB$401,$AH158)))</f>
        <v/>
      </c>
      <c r="AC158" s="7">
        <f>IF($AH158="","",IF(INDEX('Per Invoice'!AC$2:AC$401,$AH158)="","",INDEX('Per Invoice'!AC$2:AC$401,$AH158)))</f>
        <v/>
      </c>
      <c r="AD158" s="7">
        <f>IF($AH158="","",IF(INDEX('Per Invoice'!AD$2:AD$401,$AH158)="","",INDEX('Per Invoice'!AD$2:AD$401,$AH158)))</f>
        <v/>
      </c>
      <c r="AE158" s="7">
        <f>IF($AH158="","",IF(INDEX('Per Invoice'!AE$2:AE$401,$AH158)="","",INDEX('Per Invoice'!AE$2:AE$401,$AH158)))</f>
        <v/>
      </c>
      <c r="AF158">
        <f>IF($AH158="","",IF(INDEX('Per Invoice'!AF$2:AF$401,$AH158)="","",INDEX('Per Invoice'!AF$2:AF$401,$AH158)))</f>
        <v/>
      </c>
      <c r="AG158" s="7">
        <f>IF($AH158="","",IF(INDEX('Per Invoice'!AG$2:AG$401,$AH158)="","",INDEX('Per Invoice'!AG$2:AG$401,$AH158)))</f>
        <v/>
      </c>
      <c r="AH158" s="16">
        <f>IFERROR(MATCH(Settings!$C$27&amp;"|"&amp;ROWS($AH$2:$AH158),'Per Invoice'!$AI$2:$AI$401,0),"")</f>
        <v/>
      </c>
    </row>
    <row r="159">
      <c r="A159">
        <f>IF($AH159="","",IF(INDEX('Per Invoice'!A$2:A$401,$AH159)="","",INDEX('Per Invoice'!A$2:A$401,$AH159)))</f>
        <v/>
      </c>
      <c r="B159">
        <f>IF($AH159="","",IF(INDEX('Per Invoice'!B$2:B$401,$AH159)="","",INDEX('Per Invoice'!B$2:B$401,$AH159)))</f>
        <v/>
      </c>
      <c r="C159">
        <f>IF($AH159="","",IF(INDEX('Per Invoice'!C$2:C$401,$AH159)="","",INDEX('Per Invoice'!C$2:C$401,$AH159)))</f>
        <v/>
      </c>
      <c r="D159">
        <f>IF($AH159="","",IF(INDEX('Per Invoice'!D$2:D$401,$AH159)="","",INDEX('Per Invoice'!D$2:D$401,$AH159)))</f>
        <v/>
      </c>
      <c r="E159">
        <f>IF($AH159="","",IF(INDEX('Per Invoice'!E$2:E$401,$AH159)="","",INDEX('Per Invoice'!E$2:E$401,$AH159)))</f>
        <v/>
      </c>
      <c r="F159">
        <f>IF($AH159="","",IF(INDEX('Per Invoice'!F$2:F$401,$AH159)="","",INDEX('Per Invoice'!F$2:F$401,$AH159)))</f>
        <v/>
      </c>
      <c r="G159">
        <f>IF($AH159="","",IF(INDEX('Per Invoice'!G$2:G$401,$AH159)="","",INDEX('Per Invoice'!G$2:G$401,$AH159)))</f>
        <v/>
      </c>
      <c r="H159">
        <f>IF($AH159="","",IF(INDEX('Per Invoice'!H$2:H$401,$AH159)="","",INDEX('Per Invoice'!H$2:H$401,$AH159)))</f>
        <v/>
      </c>
      <c r="I159" s="14">
        <f>IF($AH159="","",IF(INDEX('Per Invoice'!I$2:I$401,$AH159)="","",INDEX('Per Invoice'!I$2:I$401,$AH159)))</f>
        <v/>
      </c>
      <c r="J159">
        <f>IF($AH159="","",IF(INDEX('Per Invoice'!J$2:J$401,$AH159)="","",INDEX('Per Invoice'!J$2:J$401,$AH159)))</f>
        <v/>
      </c>
      <c r="K159">
        <f>IF($AH159="","",IF(INDEX('Per Invoice'!K$2:K$401,$AH159)="","",INDEX('Per Invoice'!K$2:K$401,$AH159)))</f>
        <v/>
      </c>
      <c r="L159">
        <f>IF($AH159="","",IF(INDEX('Per Invoice'!L$2:L$401,$AH159)="","",INDEX('Per Invoice'!L$2:L$401,$AH159)))</f>
        <v/>
      </c>
      <c r="M159">
        <f>IF($AH159="","",IF(INDEX('Per Invoice'!M$2:M$401,$AH159)="","",INDEX('Per Invoice'!M$2:M$401,$AH159)))</f>
        <v/>
      </c>
      <c r="N159">
        <f>IF($AH159="","",IF(INDEX('Per Invoice'!N$2:N$401,$AH159)="","",INDEX('Per Invoice'!N$2:N$401,$AH159)))</f>
        <v/>
      </c>
      <c r="O159">
        <f>IF($AH159="","",IF(INDEX('Per Invoice'!O$2:O$401,$AH159)="","",INDEX('Per Invoice'!O$2:O$401,$AH159)))</f>
        <v/>
      </c>
      <c r="P159" s="7">
        <f>IF($AH159="","",IF(INDEX('Per Invoice'!P$2:P$401,$AH159)="","",INDEX('Per Invoice'!P$2:P$401,$AH159)))</f>
        <v/>
      </c>
      <c r="Q159">
        <f>IF($AH159="","",IF(INDEX('Per Invoice'!Q$2:Q$401,$AH159)="","",INDEX('Per Invoice'!Q$2:Q$401,$AH159)))</f>
        <v/>
      </c>
      <c r="R159">
        <f>IF($AH159="","",IF(INDEX('Per Invoice'!R$2:R$401,$AH159)="","",INDEX('Per Invoice'!R$2:R$401,$AH159)))</f>
        <v/>
      </c>
      <c r="S159">
        <f>IF($AH159="","",IF(INDEX('Per Invoice'!S$2:S$401,$AH159)="","",INDEX('Per Invoice'!S$2:S$401,$AH159)))</f>
        <v/>
      </c>
      <c r="T159" s="7">
        <f>IF($AH159="","",IF(INDEX('Per Invoice'!T$2:T$401,$AH159)="","",INDEX('Per Invoice'!T$2:T$401,$AH159)))</f>
        <v/>
      </c>
      <c r="U159" s="7">
        <f>IF($AH159="","",IF(INDEX('Per Invoice'!U$2:U$401,$AH159)="","",INDEX('Per Invoice'!U$2:U$401,$AH159)))</f>
        <v/>
      </c>
      <c r="V159">
        <f>IF($AH159="","",IF(INDEX('Per Invoice'!V$2:V$401,$AH159)="","",INDEX('Per Invoice'!V$2:V$401,$AH159)))</f>
        <v/>
      </c>
      <c r="W159" s="7">
        <f>IF($AH159="","",IF(INDEX('Per Invoice'!W$2:W$401,$AH159)="","",INDEX('Per Invoice'!W$2:W$401,$AH159)))</f>
        <v/>
      </c>
      <c r="X159" s="7">
        <f>IF($AH159="","",IF(INDEX('Per Invoice'!X$2:X$401,$AH159)="","",INDEX('Per Invoice'!X$2:X$401,$AH159)))</f>
        <v/>
      </c>
      <c r="Y159">
        <f>IF($AH159="","",IF(INDEX('Per Invoice'!Y$2:Y$401,$AH159)="","",INDEX('Per Invoice'!Y$2:Y$401,$AH159)))</f>
        <v/>
      </c>
      <c r="Z159" s="7">
        <f>IF($AH159="","",IF(INDEX('Per Invoice'!Z$2:Z$401,$AH159)="","",INDEX('Per Invoice'!Z$2:Z$401,$AH159)))</f>
        <v/>
      </c>
      <c r="AA159" s="7">
        <f>IF($AH159="","",IF(INDEX('Per Invoice'!AA$2:AA$401,$AH159)="","",INDEX('Per Invoice'!AA$2:AA$401,$AH159)))</f>
        <v/>
      </c>
      <c r="AB159" s="7">
        <f>IF($AH159="","",IF(INDEX('Per Invoice'!AB$2:AB$401,$AH159)="","",INDEX('Per Invoice'!AB$2:AB$401,$AH159)))</f>
        <v/>
      </c>
      <c r="AC159" s="7">
        <f>IF($AH159="","",IF(INDEX('Per Invoice'!AC$2:AC$401,$AH159)="","",INDEX('Per Invoice'!AC$2:AC$401,$AH159)))</f>
        <v/>
      </c>
      <c r="AD159" s="7">
        <f>IF($AH159="","",IF(INDEX('Per Invoice'!AD$2:AD$401,$AH159)="","",INDEX('Per Invoice'!AD$2:AD$401,$AH159)))</f>
        <v/>
      </c>
      <c r="AE159" s="7">
        <f>IF($AH159="","",IF(INDEX('Per Invoice'!AE$2:AE$401,$AH159)="","",INDEX('Per Invoice'!AE$2:AE$401,$AH159)))</f>
        <v/>
      </c>
      <c r="AF159">
        <f>IF($AH159="","",IF(INDEX('Per Invoice'!AF$2:AF$401,$AH159)="","",INDEX('Per Invoice'!AF$2:AF$401,$AH159)))</f>
        <v/>
      </c>
      <c r="AG159" s="7">
        <f>IF($AH159="","",IF(INDEX('Per Invoice'!AG$2:AG$401,$AH159)="","",INDEX('Per Invoice'!AG$2:AG$401,$AH159)))</f>
        <v/>
      </c>
      <c r="AH159" s="16">
        <f>IFERROR(MATCH(Settings!$C$27&amp;"|"&amp;ROWS($AH$2:$AH159),'Per Invoice'!$AI$2:$AI$401,0),"")</f>
        <v/>
      </c>
    </row>
    <row r="160">
      <c r="A160">
        <f>IF($AH160="","",IF(INDEX('Per Invoice'!A$2:A$401,$AH160)="","",INDEX('Per Invoice'!A$2:A$401,$AH160)))</f>
        <v/>
      </c>
      <c r="B160">
        <f>IF($AH160="","",IF(INDEX('Per Invoice'!B$2:B$401,$AH160)="","",INDEX('Per Invoice'!B$2:B$401,$AH160)))</f>
        <v/>
      </c>
      <c r="C160">
        <f>IF($AH160="","",IF(INDEX('Per Invoice'!C$2:C$401,$AH160)="","",INDEX('Per Invoice'!C$2:C$401,$AH160)))</f>
        <v/>
      </c>
      <c r="D160">
        <f>IF($AH160="","",IF(INDEX('Per Invoice'!D$2:D$401,$AH160)="","",INDEX('Per Invoice'!D$2:D$401,$AH160)))</f>
        <v/>
      </c>
      <c r="E160">
        <f>IF($AH160="","",IF(INDEX('Per Invoice'!E$2:E$401,$AH160)="","",INDEX('Per Invoice'!E$2:E$401,$AH160)))</f>
        <v/>
      </c>
      <c r="F160">
        <f>IF($AH160="","",IF(INDEX('Per Invoice'!F$2:F$401,$AH160)="","",INDEX('Per Invoice'!F$2:F$401,$AH160)))</f>
        <v/>
      </c>
      <c r="G160">
        <f>IF($AH160="","",IF(INDEX('Per Invoice'!G$2:G$401,$AH160)="","",INDEX('Per Invoice'!G$2:G$401,$AH160)))</f>
        <v/>
      </c>
      <c r="H160">
        <f>IF($AH160="","",IF(INDEX('Per Invoice'!H$2:H$401,$AH160)="","",INDEX('Per Invoice'!H$2:H$401,$AH160)))</f>
        <v/>
      </c>
      <c r="I160" s="14">
        <f>IF($AH160="","",IF(INDEX('Per Invoice'!I$2:I$401,$AH160)="","",INDEX('Per Invoice'!I$2:I$401,$AH160)))</f>
        <v/>
      </c>
      <c r="J160">
        <f>IF($AH160="","",IF(INDEX('Per Invoice'!J$2:J$401,$AH160)="","",INDEX('Per Invoice'!J$2:J$401,$AH160)))</f>
        <v/>
      </c>
      <c r="K160">
        <f>IF($AH160="","",IF(INDEX('Per Invoice'!K$2:K$401,$AH160)="","",INDEX('Per Invoice'!K$2:K$401,$AH160)))</f>
        <v/>
      </c>
      <c r="L160">
        <f>IF($AH160="","",IF(INDEX('Per Invoice'!L$2:L$401,$AH160)="","",INDEX('Per Invoice'!L$2:L$401,$AH160)))</f>
        <v/>
      </c>
      <c r="M160">
        <f>IF($AH160="","",IF(INDEX('Per Invoice'!M$2:M$401,$AH160)="","",INDEX('Per Invoice'!M$2:M$401,$AH160)))</f>
        <v/>
      </c>
      <c r="N160">
        <f>IF($AH160="","",IF(INDEX('Per Invoice'!N$2:N$401,$AH160)="","",INDEX('Per Invoice'!N$2:N$401,$AH160)))</f>
        <v/>
      </c>
      <c r="O160">
        <f>IF($AH160="","",IF(INDEX('Per Invoice'!O$2:O$401,$AH160)="","",INDEX('Per Invoice'!O$2:O$401,$AH160)))</f>
        <v/>
      </c>
      <c r="P160" s="7">
        <f>IF($AH160="","",IF(INDEX('Per Invoice'!P$2:P$401,$AH160)="","",INDEX('Per Invoice'!P$2:P$401,$AH160)))</f>
        <v/>
      </c>
      <c r="Q160">
        <f>IF($AH160="","",IF(INDEX('Per Invoice'!Q$2:Q$401,$AH160)="","",INDEX('Per Invoice'!Q$2:Q$401,$AH160)))</f>
        <v/>
      </c>
      <c r="R160">
        <f>IF($AH160="","",IF(INDEX('Per Invoice'!R$2:R$401,$AH160)="","",INDEX('Per Invoice'!R$2:R$401,$AH160)))</f>
        <v/>
      </c>
      <c r="S160">
        <f>IF($AH160="","",IF(INDEX('Per Invoice'!S$2:S$401,$AH160)="","",INDEX('Per Invoice'!S$2:S$401,$AH160)))</f>
        <v/>
      </c>
      <c r="T160" s="7">
        <f>IF($AH160="","",IF(INDEX('Per Invoice'!T$2:T$401,$AH160)="","",INDEX('Per Invoice'!T$2:T$401,$AH160)))</f>
        <v/>
      </c>
      <c r="U160" s="7">
        <f>IF($AH160="","",IF(INDEX('Per Invoice'!U$2:U$401,$AH160)="","",INDEX('Per Invoice'!U$2:U$401,$AH160)))</f>
        <v/>
      </c>
      <c r="V160">
        <f>IF($AH160="","",IF(INDEX('Per Invoice'!V$2:V$401,$AH160)="","",INDEX('Per Invoice'!V$2:V$401,$AH160)))</f>
        <v/>
      </c>
      <c r="W160" s="7">
        <f>IF($AH160="","",IF(INDEX('Per Invoice'!W$2:W$401,$AH160)="","",INDEX('Per Invoice'!W$2:W$401,$AH160)))</f>
        <v/>
      </c>
      <c r="X160" s="7">
        <f>IF($AH160="","",IF(INDEX('Per Invoice'!X$2:X$401,$AH160)="","",INDEX('Per Invoice'!X$2:X$401,$AH160)))</f>
        <v/>
      </c>
      <c r="Y160">
        <f>IF($AH160="","",IF(INDEX('Per Invoice'!Y$2:Y$401,$AH160)="","",INDEX('Per Invoice'!Y$2:Y$401,$AH160)))</f>
        <v/>
      </c>
      <c r="Z160" s="7">
        <f>IF($AH160="","",IF(INDEX('Per Invoice'!Z$2:Z$401,$AH160)="","",INDEX('Per Invoice'!Z$2:Z$401,$AH160)))</f>
        <v/>
      </c>
      <c r="AA160" s="7">
        <f>IF($AH160="","",IF(INDEX('Per Invoice'!AA$2:AA$401,$AH160)="","",INDEX('Per Invoice'!AA$2:AA$401,$AH160)))</f>
        <v/>
      </c>
      <c r="AB160" s="7">
        <f>IF($AH160="","",IF(INDEX('Per Invoice'!AB$2:AB$401,$AH160)="","",INDEX('Per Invoice'!AB$2:AB$401,$AH160)))</f>
        <v/>
      </c>
      <c r="AC160" s="7">
        <f>IF($AH160="","",IF(INDEX('Per Invoice'!AC$2:AC$401,$AH160)="","",INDEX('Per Invoice'!AC$2:AC$401,$AH160)))</f>
        <v/>
      </c>
      <c r="AD160" s="7">
        <f>IF($AH160="","",IF(INDEX('Per Invoice'!AD$2:AD$401,$AH160)="","",INDEX('Per Invoice'!AD$2:AD$401,$AH160)))</f>
        <v/>
      </c>
      <c r="AE160" s="7">
        <f>IF($AH160="","",IF(INDEX('Per Invoice'!AE$2:AE$401,$AH160)="","",INDEX('Per Invoice'!AE$2:AE$401,$AH160)))</f>
        <v/>
      </c>
      <c r="AF160">
        <f>IF($AH160="","",IF(INDEX('Per Invoice'!AF$2:AF$401,$AH160)="","",INDEX('Per Invoice'!AF$2:AF$401,$AH160)))</f>
        <v/>
      </c>
      <c r="AG160" s="7">
        <f>IF($AH160="","",IF(INDEX('Per Invoice'!AG$2:AG$401,$AH160)="","",INDEX('Per Invoice'!AG$2:AG$401,$AH160)))</f>
        <v/>
      </c>
      <c r="AH160" s="16">
        <f>IFERROR(MATCH(Settings!$C$27&amp;"|"&amp;ROWS($AH$2:$AH160),'Per Invoice'!$AI$2:$AI$401,0),"")</f>
        <v/>
      </c>
    </row>
    <row r="161">
      <c r="A161">
        <f>IF($AH161="","",IF(INDEX('Per Invoice'!A$2:A$401,$AH161)="","",INDEX('Per Invoice'!A$2:A$401,$AH161)))</f>
        <v/>
      </c>
      <c r="B161">
        <f>IF($AH161="","",IF(INDEX('Per Invoice'!B$2:B$401,$AH161)="","",INDEX('Per Invoice'!B$2:B$401,$AH161)))</f>
        <v/>
      </c>
      <c r="C161">
        <f>IF($AH161="","",IF(INDEX('Per Invoice'!C$2:C$401,$AH161)="","",INDEX('Per Invoice'!C$2:C$401,$AH161)))</f>
        <v/>
      </c>
      <c r="D161">
        <f>IF($AH161="","",IF(INDEX('Per Invoice'!D$2:D$401,$AH161)="","",INDEX('Per Invoice'!D$2:D$401,$AH161)))</f>
        <v/>
      </c>
      <c r="E161">
        <f>IF($AH161="","",IF(INDEX('Per Invoice'!E$2:E$401,$AH161)="","",INDEX('Per Invoice'!E$2:E$401,$AH161)))</f>
        <v/>
      </c>
      <c r="F161">
        <f>IF($AH161="","",IF(INDEX('Per Invoice'!F$2:F$401,$AH161)="","",INDEX('Per Invoice'!F$2:F$401,$AH161)))</f>
        <v/>
      </c>
      <c r="G161">
        <f>IF($AH161="","",IF(INDEX('Per Invoice'!G$2:G$401,$AH161)="","",INDEX('Per Invoice'!G$2:G$401,$AH161)))</f>
        <v/>
      </c>
      <c r="H161">
        <f>IF($AH161="","",IF(INDEX('Per Invoice'!H$2:H$401,$AH161)="","",INDEX('Per Invoice'!H$2:H$401,$AH161)))</f>
        <v/>
      </c>
      <c r="I161" s="14">
        <f>IF($AH161="","",IF(INDEX('Per Invoice'!I$2:I$401,$AH161)="","",INDEX('Per Invoice'!I$2:I$401,$AH161)))</f>
        <v/>
      </c>
      <c r="J161">
        <f>IF($AH161="","",IF(INDEX('Per Invoice'!J$2:J$401,$AH161)="","",INDEX('Per Invoice'!J$2:J$401,$AH161)))</f>
        <v/>
      </c>
      <c r="K161">
        <f>IF($AH161="","",IF(INDEX('Per Invoice'!K$2:K$401,$AH161)="","",INDEX('Per Invoice'!K$2:K$401,$AH161)))</f>
        <v/>
      </c>
      <c r="L161">
        <f>IF($AH161="","",IF(INDEX('Per Invoice'!L$2:L$401,$AH161)="","",INDEX('Per Invoice'!L$2:L$401,$AH161)))</f>
        <v/>
      </c>
      <c r="M161">
        <f>IF($AH161="","",IF(INDEX('Per Invoice'!M$2:M$401,$AH161)="","",INDEX('Per Invoice'!M$2:M$401,$AH161)))</f>
        <v/>
      </c>
      <c r="N161">
        <f>IF($AH161="","",IF(INDEX('Per Invoice'!N$2:N$401,$AH161)="","",INDEX('Per Invoice'!N$2:N$401,$AH161)))</f>
        <v/>
      </c>
      <c r="O161">
        <f>IF($AH161="","",IF(INDEX('Per Invoice'!O$2:O$401,$AH161)="","",INDEX('Per Invoice'!O$2:O$401,$AH161)))</f>
        <v/>
      </c>
      <c r="P161" s="7">
        <f>IF($AH161="","",IF(INDEX('Per Invoice'!P$2:P$401,$AH161)="","",INDEX('Per Invoice'!P$2:P$401,$AH161)))</f>
        <v/>
      </c>
      <c r="Q161">
        <f>IF($AH161="","",IF(INDEX('Per Invoice'!Q$2:Q$401,$AH161)="","",INDEX('Per Invoice'!Q$2:Q$401,$AH161)))</f>
        <v/>
      </c>
      <c r="R161">
        <f>IF($AH161="","",IF(INDEX('Per Invoice'!R$2:R$401,$AH161)="","",INDEX('Per Invoice'!R$2:R$401,$AH161)))</f>
        <v/>
      </c>
      <c r="S161">
        <f>IF($AH161="","",IF(INDEX('Per Invoice'!S$2:S$401,$AH161)="","",INDEX('Per Invoice'!S$2:S$401,$AH161)))</f>
        <v/>
      </c>
      <c r="T161" s="7">
        <f>IF($AH161="","",IF(INDEX('Per Invoice'!T$2:T$401,$AH161)="","",INDEX('Per Invoice'!T$2:T$401,$AH161)))</f>
        <v/>
      </c>
      <c r="U161" s="7">
        <f>IF($AH161="","",IF(INDEX('Per Invoice'!U$2:U$401,$AH161)="","",INDEX('Per Invoice'!U$2:U$401,$AH161)))</f>
        <v/>
      </c>
      <c r="V161">
        <f>IF($AH161="","",IF(INDEX('Per Invoice'!V$2:V$401,$AH161)="","",INDEX('Per Invoice'!V$2:V$401,$AH161)))</f>
        <v/>
      </c>
      <c r="W161" s="7">
        <f>IF($AH161="","",IF(INDEX('Per Invoice'!W$2:W$401,$AH161)="","",INDEX('Per Invoice'!W$2:W$401,$AH161)))</f>
        <v/>
      </c>
      <c r="X161" s="7">
        <f>IF($AH161="","",IF(INDEX('Per Invoice'!X$2:X$401,$AH161)="","",INDEX('Per Invoice'!X$2:X$401,$AH161)))</f>
        <v/>
      </c>
      <c r="Y161">
        <f>IF($AH161="","",IF(INDEX('Per Invoice'!Y$2:Y$401,$AH161)="","",INDEX('Per Invoice'!Y$2:Y$401,$AH161)))</f>
        <v/>
      </c>
      <c r="Z161" s="7">
        <f>IF($AH161="","",IF(INDEX('Per Invoice'!Z$2:Z$401,$AH161)="","",INDEX('Per Invoice'!Z$2:Z$401,$AH161)))</f>
        <v/>
      </c>
      <c r="AA161" s="7">
        <f>IF($AH161="","",IF(INDEX('Per Invoice'!AA$2:AA$401,$AH161)="","",INDEX('Per Invoice'!AA$2:AA$401,$AH161)))</f>
        <v/>
      </c>
      <c r="AB161" s="7">
        <f>IF($AH161="","",IF(INDEX('Per Invoice'!AB$2:AB$401,$AH161)="","",INDEX('Per Invoice'!AB$2:AB$401,$AH161)))</f>
        <v/>
      </c>
      <c r="AC161" s="7">
        <f>IF($AH161="","",IF(INDEX('Per Invoice'!AC$2:AC$401,$AH161)="","",INDEX('Per Invoice'!AC$2:AC$401,$AH161)))</f>
        <v/>
      </c>
      <c r="AD161" s="7">
        <f>IF($AH161="","",IF(INDEX('Per Invoice'!AD$2:AD$401,$AH161)="","",INDEX('Per Invoice'!AD$2:AD$401,$AH161)))</f>
        <v/>
      </c>
      <c r="AE161" s="7">
        <f>IF($AH161="","",IF(INDEX('Per Invoice'!AE$2:AE$401,$AH161)="","",INDEX('Per Invoice'!AE$2:AE$401,$AH161)))</f>
        <v/>
      </c>
      <c r="AF161">
        <f>IF($AH161="","",IF(INDEX('Per Invoice'!AF$2:AF$401,$AH161)="","",INDEX('Per Invoice'!AF$2:AF$401,$AH161)))</f>
        <v/>
      </c>
      <c r="AG161" s="7">
        <f>IF($AH161="","",IF(INDEX('Per Invoice'!AG$2:AG$401,$AH161)="","",INDEX('Per Invoice'!AG$2:AG$401,$AH161)))</f>
        <v/>
      </c>
      <c r="AH161" s="16">
        <f>IFERROR(MATCH(Settings!$C$27&amp;"|"&amp;ROWS($AH$2:$AH161),'Per Invoice'!$AI$2:$AI$401,0),"")</f>
        <v/>
      </c>
    </row>
    <row r="162">
      <c r="A162">
        <f>IF($AH162="","",IF(INDEX('Per Invoice'!A$2:A$401,$AH162)="","",INDEX('Per Invoice'!A$2:A$401,$AH162)))</f>
        <v/>
      </c>
      <c r="B162">
        <f>IF($AH162="","",IF(INDEX('Per Invoice'!B$2:B$401,$AH162)="","",INDEX('Per Invoice'!B$2:B$401,$AH162)))</f>
        <v/>
      </c>
      <c r="C162">
        <f>IF($AH162="","",IF(INDEX('Per Invoice'!C$2:C$401,$AH162)="","",INDEX('Per Invoice'!C$2:C$401,$AH162)))</f>
        <v/>
      </c>
      <c r="D162">
        <f>IF($AH162="","",IF(INDEX('Per Invoice'!D$2:D$401,$AH162)="","",INDEX('Per Invoice'!D$2:D$401,$AH162)))</f>
        <v/>
      </c>
      <c r="E162">
        <f>IF($AH162="","",IF(INDEX('Per Invoice'!E$2:E$401,$AH162)="","",INDEX('Per Invoice'!E$2:E$401,$AH162)))</f>
        <v/>
      </c>
      <c r="F162">
        <f>IF($AH162="","",IF(INDEX('Per Invoice'!F$2:F$401,$AH162)="","",INDEX('Per Invoice'!F$2:F$401,$AH162)))</f>
        <v/>
      </c>
      <c r="G162">
        <f>IF($AH162="","",IF(INDEX('Per Invoice'!G$2:G$401,$AH162)="","",INDEX('Per Invoice'!G$2:G$401,$AH162)))</f>
        <v/>
      </c>
      <c r="H162">
        <f>IF($AH162="","",IF(INDEX('Per Invoice'!H$2:H$401,$AH162)="","",INDEX('Per Invoice'!H$2:H$401,$AH162)))</f>
        <v/>
      </c>
      <c r="I162" s="14">
        <f>IF($AH162="","",IF(INDEX('Per Invoice'!I$2:I$401,$AH162)="","",INDEX('Per Invoice'!I$2:I$401,$AH162)))</f>
        <v/>
      </c>
      <c r="J162">
        <f>IF($AH162="","",IF(INDEX('Per Invoice'!J$2:J$401,$AH162)="","",INDEX('Per Invoice'!J$2:J$401,$AH162)))</f>
        <v/>
      </c>
      <c r="K162">
        <f>IF($AH162="","",IF(INDEX('Per Invoice'!K$2:K$401,$AH162)="","",INDEX('Per Invoice'!K$2:K$401,$AH162)))</f>
        <v/>
      </c>
      <c r="L162">
        <f>IF($AH162="","",IF(INDEX('Per Invoice'!L$2:L$401,$AH162)="","",INDEX('Per Invoice'!L$2:L$401,$AH162)))</f>
        <v/>
      </c>
      <c r="M162">
        <f>IF($AH162="","",IF(INDEX('Per Invoice'!M$2:M$401,$AH162)="","",INDEX('Per Invoice'!M$2:M$401,$AH162)))</f>
        <v/>
      </c>
      <c r="N162">
        <f>IF($AH162="","",IF(INDEX('Per Invoice'!N$2:N$401,$AH162)="","",INDEX('Per Invoice'!N$2:N$401,$AH162)))</f>
        <v/>
      </c>
      <c r="O162">
        <f>IF($AH162="","",IF(INDEX('Per Invoice'!O$2:O$401,$AH162)="","",INDEX('Per Invoice'!O$2:O$401,$AH162)))</f>
        <v/>
      </c>
      <c r="P162" s="7">
        <f>IF($AH162="","",IF(INDEX('Per Invoice'!P$2:P$401,$AH162)="","",INDEX('Per Invoice'!P$2:P$401,$AH162)))</f>
        <v/>
      </c>
      <c r="Q162">
        <f>IF($AH162="","",IF(INDEX('Per Invoice'!Q$2:Q$401,$AH162)="","",INDEX('Per Invoice'!Q$2:Q$401,$AH162)))</f>
        <v/>
      </c>
      <c r="R162">
        <f>IF($AH162="","",IF(INDEX('Per Invoice'!R$2:R$401,$AH162)="","",INDEX('Per Invoice'!R$2:R$401,$AH162)))</f>
        <v/>
      </c>
      <c r="S162">
        <f>IF($AH162="","",IF(INDEX('Per Invoice'!S$2:S$401,$AH162)="","",INDEX('Per Invoice'!S$2:S$401,$AH162)))</f>
        <v/>
      </c>
      <c r="T162" s="7">
        <f>IF($AH162="","",IF(INDEX('Per Invoice'!T$2:T$401,$AH162)="","",INDEX('Per Invoice'!T$2:T$401,$AH162)))</f>
        <v/>
      </c>
      <c r="U162" s="7">
        <f>IF($AH162="","",IF(INDEX('Per Invoice'!U$2:U$401,$AH162)="","",INDEX('Per Invoice'!U$2:U$401,$AH162)))</f>
        <v/>
      </c>
      <c r="V162">
        <f>IF($AH162="","",IF(INDEX('Per Invoice'!V$2:V$401,$AH162)="","",INDEX('Per Invoice'!V$2:V$401,$AH162)))</f>
        <v/>
      </c>
      <c r="W162" s="7">
        <f>IF($AH162="","",IF(INDEX('Per Invoice'!W$2:W$401,$AH162)="","",INDEX('Per Invoice'!W$2:W$401,$AH162)))</f>
        <v/>
      </c>
      <c r="X162" s="7">
        <f>IF($AH162="","",IF(INDEX('Per Invoice'!X$2:X$401,$AH162)="","",INDEX('Per Invoice'!X$2:X$401,$AH162)))</f>
        <v/>
      </c>
      <c r="Y162">
        <f>IF($AH162="","",IF(INDEX('Per Invoice'!Y$2:Y$401,$AH162)="","",INDEX('Per Invoice'!Y$2:Y$401,$AH162)))</f>
        <v/>
      </c>
      <c r="Z162" s="7">
        <f>IF($AH162="","",IF(INDEX('Per Invoice'!Z$2:Z$401,$AH162)="","",INDEX('Per Invoice'!Z$2:Z$401,$AH162)))</f>
        <v/>
      </c>
      <c r="AA162" s="7">
        <f>IF($AH162="","",IF(INDEX('Per Invoice'!AA$2:AA$401,$AH162)="","",INDEX('Per Invoice'!AA$2:AA$401,$AH162)))</f>
        <v/>
      </c>
      <c r="AB162" s="7">
        <f>IF($AH162="","",IF(INDEX('Per Invoice'!AB$2:AB$401,$AH162)="","",INDEX('Per Invoice'!AB$2:AB$401,$AH162)))</f>
        <v/>
      </c>
      <c r="AC162" s="7">
        <f>IF($AH162="","",IF(INDEX('Per Invoice'!AC$2:AC$401,$AH162)="","",INDEX('Per Invoice'!AC$2:AC$401,$AH162)))</f>
        <v/>
      </c>
      <c r="AD162" s="7">
        <f>IF($AH162="","",IF(INDEX('Per Invoice'!AD$2:AD$401,$AH162)="","",INDEX('Per Invoice'!AD$2:AD$401,$AH162)))</f>
        <v/>
      </c>
      <c r="AE162" s="7">
        <f>IF($AH162="","",IF(INDEX('Per Invoice'!AE$2:AE$401,$AH162)="","",INDEX('Per Invoice'!AE$2:AE$401,$AH162)))</f>
        <v/>
      </c>
      <c r="AF162">
        <f>IF($AH162="","",IF(INDEX('Per Invoice'!AF$2:AF$401,$AH162)="","",INDEX('Per Invoice'!AF$2:AF$401,$AH162)))</f>
        <v/>
      </c>
      <c r="AG162" s="7">
        <f>IF($AH162="","",IF(INDEX('Per Invoice'!AG$2:AG$401,$AH162)="","",INDEX('Per Invoice'!AG$2:AG$401,$AH162)))</f>
        <v/>
      </c>
      <c r="AH162" s="16">
        <f>IFERROR(MATCH(Settings!$C$27&amp;"|"&amp;ROWS($AH$2:$AH162),'Per Invoice'!$AI$2:$AI$401,0),"")</f>
        <v/>
      </c>
    </row>
    <row r="163">
      <c r="A163">
        <f>IF($AH163="","",IF(INDEX('Per Invoice'!A$2:A$401,$AH163)="","",INDEX('Per Invoice'!A$2:A$401,$AH163)))</f>
        <v/>
      </c>
      <c r="B163">
        <f>IF($AH163="","",IF(INDEX('Per Invoice'!B$2:B$401,$AH163)="","",INDEX('Per Invoice'!B$2:B$401,$AH163)))</f>
        <v/>
      </c>
      <c r="C163">
        <f>IF($AH163="","",IF(INDEX('Per Invoice'!C$2:C$401,$AH163)="","",INDEX('Per Invoice'!C$2:C$401,$AH163)))</f>
        <v/>
      </c>
      <c r="D163">
        <f>IF($AH163="","",IF(INDEX('Per Invoice'!D$2:D$401,$AH163)="","",INDEX('Per Invoice'!D$2:D$401,$AH163)))</f>
        <v/>
      </c>
      <c r="E163">
        <f>IF($AH163="","",IF(INDEX('Per Invoice'!E$2:E$401,$AH163)="","",INDEX('Per Invoice'!E$2:E$401,$AH163)))</f>
        <v/>
      </c>
      <c r="F163">
        <f>IF($AH163="","",IF(INDEX('Per Invoice'!F$2:F$401,$AH163)="","",INDEX('Per Invoice'!F$2:F$401,$AH163)))</f>
        <v/>
      </c>
      <c r="G163">
        <f>IF($AH163="","",IF(INDEX('Per Invoice'!G$2:G$401,$AH163)="","",INDEX('Per Invoice'!G$2:G$401,$AH163)))</f>
        <v/>
      </c>
      <c r="H163">
        <f>IF($AH163="","",IF(INDEX('Per Invoice'!H$2:H$401,$AH163)="","",INDEX('Per Invoice'!H$2:H$401,$AH163)))</f>
        <v/>
      </c>
      <c r="I163" s="14">
        <f>IF($AH163="","",IF(INDEX('Per Invoice'!I$2:I$401,$AH163)="","",INDEX('Per Invoice'!I$2:I$401,$AH163)))</f>
        <v/>
      </c>
      <c r="J163">
        <f>IF($AH163="","",IF(INDEX('Per Invoice'!J$2:J$401,$AH163)="","",INDEX('Per Invoice'!J$2:J$401,$AH163)))</f>
        <v/>
      </c>
      <c r="K163">
        <f>IF($AH163="","",IF(INDEX('Per Invoice'!K$2:K$401,$AH163)="","",INDEX('Per Invoice'!K$2:K$401,$AH163)))</f>
        <v/>
      </c>
      <c r="L163">
        <f>IF($AH163="","",IF(INDEX('Per Invoice'!L$2:L$401,$AH163)="","",INDEX('Per Invoice'!L$2:L$401,$AH163)))</f>
        <v/>
      </c>
      <c r="M163">
        <f>IF($AH163="","",IF(INDEX('Per Invoice'!M$2:M$401,$AH163)="","",INDEX('Per Invoice'!M$2:M$401,$AH163)))</f>
        <v/>
      </c>
      <c r="N163">
        <f>IF($AH163="","",IF(INDEX('Per Invoice'!N$2:N$401,$AH163)="","",INDEX('Per Invoice'!N$2:N$401,$AH163)))</f>
        <v/>
      </c>
      <c r="O163">
        <f>IF($AH163="","",IF(INDEX('Per Invoice'!O$2:O$401,$AH163)="","",INDEX('Per Invoice'!O$2:O$401,$AH163)))</f>
        <v/>
      </c>
      <c r="P163" s="7">
        <f>IF($AH163="","",IF(INDEX('Per Invoice'!P$2:P$401,$AH163)="","",INDEX('Per Invoice'!P$2:P$401,$AH163)))</f>
        <v/>
      </c>
      <c r="Q163">
        <f>IF($AH163="","",IF(INDEX('Per Invoice'!Q$2:Q$401,$AH163)="","",INDEX('Per Invoice'!Q$2:Q$401,$AH163)))</f>
        <v/>
      </c>
      <c r="R163">
        <f>IF($AH163="","",IF(INDEX('Per Invoice'!R$2:R$401,$AH163)="","",INDEX('Per Invoice'!R$2:R$401,$AH163)))</f>
        <v/>
      </c>
      <c r="S163">
        <f>IF($AH163="","",IF(INDEX('Per Invoice'!S$2:S$401,$AH163)="","",INDEX('Per Invoice'!S$2:S$401,$AH163)))</f>
        <v/>
      </c>
      <c r="T163" s="7">
        <f>IF($AH163="","",IF(INDEX('Per Invoice'!T$2:T$401,$AH163)="","",INDEX('Per Invoice'!T$2:T$401,$AH163)))</f>
        <v/>
      </c>
      <c r="U163" s="7">
        <f>IF($AH163="","",IF(INDEX('Per Invoice'!U$2:U$401,$AH163)="","",INDEX('Per Invoice'!U$2:U$401,$AH163)))</f>
        <v/>
      </c>
      <c r="V163">
        <f>IF($AH163="","",IF(INDEX('Per Invoice'!V$2:V$401,$AH163)="","",INDEX('Per Invoice'!V$2:V$401,$AH163)))</f>
        <v/>
      </c>
      <c r="W163" s="7">
        <f>IF($AH163="","",IF(INDEX('Per Invoice'!W$2:W$401,$AH163)="","",INDEX('Per Invoice'!W$2:W$401,$AH163)))</f>
        <v/>
      </c>
      <c r="X163" s="7">
        <f>IF($AH163="","",IF(INDEX('Per Invoice'!X$2:X$401,$AH163)="","",INDEX('Per Invoice'!X$2:X$401,$AH163)))</f>
        <v/>
      </c>
      <c r="Y163">
        <f>IF($AH163="","",IF(INDEX('Per Invoice'!Y$2:Y$401,$AH163)="","",INDEX('Per Invoice'!Y$2:Y$401,$AH163)))</f>
        <v/>
      </c>
      <c r="Z163" s="7">
        <f>IF($AH163="","",IF(INDEX('Per Invoice'!Z$2:Z$401,$AH163)="","",INDEX('Per Invoice'!Z$2:Z$401,$AH163)))</f>
        <v/>
      </c>
      <c r="AA163" s="7">
        <f>IF($AH163="","",IF(INDEX('Per Invoice'!AA$2:AA$401,$AH163)="","",INDEX('Per Invoice'!AA$2:AA$401,$AH163)))</f>
        <v/>
      </c>
      <c r="AB163" s="7">
        <f>IF($AH163="","",IF(INDEX('Per Invoice'!AB$2:AB$401,$AH163)="","",INDEX('Per Invoice'!AB$2:AB$401,$AH163)))</f>
        <v/>
      </c>
      <c r="AC163" s="7">
        <f>IF($AH163="","",IF(INDEX('Per Invoice'!AC$2:AC$401,$AH163)="","",INDEX('Per Invoice'!AC$2:AC$401,$AH163)))</f>
        <v/>
      </c>
      <c r="AD163" s="7">
        <f>IF($AH163="","",IF(INDEX('Per Invoice'!AD$2:AD$401,$AH163)="","",INDEX('Per Invoice'!AD$2:AD$401,$AH163)))</f>
        <v/>
      </c>
      <c r="AE163" s="7">
        <f>IF($AH163="","",IF(INDEX('Per Invoice'!AE$2:AE$401,$AH163)="","",INDEX('Per Invoice'!AE$2:AE$401,$AH163)))</f>
        <v/>
      </c>
      <c r="AF163">
        <f>IF($AH163="","",IF(INDEX('Per Invoice'!AF$2:AF$401,$AH163)="","",INDEX('Per Invoice'!AF$2:AF$401,$AH163)))</f>
        <v/>
      </c>
      <c r="AG163" s="7">
        <f>IF($AH163="","",IF(INDEX('Per Invoice'!AG$2:AG$401,$AH163)="","",INDEX('Per Invoice'!AG$2:AG$401,$AH163)))</f>
        <v/>
      </c>
      <c r="AH163" s="16">
        <f>IFERROR(MATCH(Settings!$C$27&amp;"|"&amp;ROWS($AH$2:$AH163),'Per Invoice'!$AI$2:$AI$401,0),"")</f>
        <v/>
      </c>
    </row>
    <row r="164">
      <c r="A164">
        <f>IF($AH164="","",IF(INDEX('Per Invoice'!A$2:A$401,$AH164)="","",INDEX('Per Invoice'!A$2:A$401,$AH164)))</f>
        <v/>
      </c>
      <c r="B164">
        <f>IF($AH164="","",IF(INDEX('Per Invoice'!B$2:B$401,$AH164)="","",INDEX('Per Invoice'!B$2:B$401,$AH164)))</f>
        <v/>
      </c>
      <c r="C164">
        <f>IF($AH164="","",IF(INDEX('Per Invoice'!C$2:C$401,$AH164)="","",INDEX('Per Invoice'!C$2:C$401,$AH164)))</f>
        <v/>
      </c>
      <c r="D164">
        <f>IF($AH164="","",IF(INDEX('Per Invoice'!D$2:D$401,$AH164)="","",INDEX('Per Invoice'!D$2:D$401,$AH164)))</f>
        <v/>
      </c>
      <c r="E164">
        <f>IF($AH164="","",IF(INDEX('Per Invoice'!E$2:E$401,$AH164)="","",INDEX('Per Invoice'!E$2:E$401,$AH164)))</f>
        <v/>
      </c>
      <c r="F164">
        <f>IF($AH164="","",IF(INDEX('Per Invoice'!F$2:F$401,$AH164)="","",INDEX('Per Invoice'!F$2:F$401,$AH164)))</f>
        <v/>
      </c>
      <c r="G164">
        <f>IF($AH164="","",IF(INDEX('Per Invoice'!G$2:G$401,$AH164)="","",INDEX('Per Invoice'!G$2:G$401,$AH164)))</f>
        <v/>
      </c>
      <c r="H164">
        <f>IF($AH164="","",IF(INDEX('Per Invoice'!H$2:H$401,$AH164)="","",INDEX('Per Invoice'!H$2:H$401,$AH164)))</f>
        <v/>
      </c>
      <c r="I164" s="14">
        <f>IF($AH164="","",IF(INDEX('Per Invoice'!I$2:I$401,$AH164)="","",INDEX('Per Invoice'!I$2:I$401,$AH164)))</f>
        <v/>
      </c>
      <c r="J164">
        <f>IF($AH164="","",IF(INDEX('Per Invoice'!J$2:J$401,$AH164)="","",INDEX('Per Invoice'!J$2:J$401,$AH164)))</f>
        <v/>
      </c>
      <c r="K164">
        <f>IF($AH164="","",IF(INDEX('Per Invoice'!K$2:K$401,$AH164)="","",INDEX('Per Invoice'!K$2:K$401,$AH164)))</f>
        <v/>
      </c>
      <c r="L164">
        <f>IF($AH164="","",IF(INDEX('Per Invoice'!L$2:L$401,$AH164)="","",INDEX('Per Invoice'!L$2:L$401,$AH164)))</f>
        <v/>
      </c>
      <c r="M164">
        <f>IF($AH164="","",IF(INDEX('Per Invoice'!M$2:M$401,$AH164)="","",INDEX('Per Invoice'!M$2:M$401,$AH164)))</f>
        <v/>
      </c>
      <c r="N164">
        <f>IF($AH164="","",IF(INDEX('Per Invoice'!N$2:N$401,$AH164)="","",INDEX('Per Invoice'!N$2:N$401,$AH164)))</f>
        <v/>
      </c>
      <c r="O164">
        <f>IF($AH164="","",IF(INDEX('Per Invoice'!O$2:O$401,$AH164)="","",INDEX('Per Invoice'!O$2:O$401,$AH164)))</f>
        <v/>
      </c>
      <c r="P164" s="7">
        <f>IF($AH164="","",IF(INDEX('Per Invoice'!P$2:P$401,$AH164)="","",INDEX('Per Invoice'!P$2:P$401,$AH164)))</f>
        <v/>
      </c>
      <c r="Q164">
        <f>IF($AH164="","",IF(INDEX('Per Invoice'!Q$2:Q$401,$AH164)="","",INDEX('Per Invoice'!Q$2:Q$401,$AH164)))</f>
        <v/>
      </c>
      <c r="R164">
        <f>IF($AH164="","",IF(INDEX('Per Invoice'!R$2:R$401,$AH164)="","",INDEX('Per Invoice'!R$2:R$401,$AH164)))</f>
        <v/>
      </c>
      <c r="S164">
        <f>IF($AH164="","",IF(INDEX('Per Invoice'!S$2:S$401,$AH164)="","",INDEX('Per Invoice'!S$2:S$401,$AH164)))</f>
        <v/>
      </c>
      <c r="T164" s="7">
        <f>IF($AH164="","",IF(INDEX('Per Invoice'!T$2:T$401,$AH164)="","",INDEX('Per Invoice'!T$2:T$401,$AH164)))</f>
        <v/>
      </c>
      <c r="U164" s="7">
        <f>IF($AH164="","",IF(INDEX('Per Invoice'!U$2:U$401,$AH164)="","",INDEX('Per Invoice'!U$2:U$401,$AH164)))</f>
        <v/>
      </c>
      <c r="V164">
        <f>IF($AH164="","",IF(INDEX('Per Invoice'!V$2:V$401,$AH164)="","",INDEX('Per Invoice'!V$2:V$401,$AH164)))</f>
        <v/>
      </c>
      <c r="W164" s="7">
        <f>IF($AH164="","",IF(INDEX('Per Invoice'!W$2:W$401,$AH164)="","",INDEX('Per Invoice'!W$2:W$401,$AH164)))</f>
        <v/>
      </c>
      <c r="X164" s="7">
        <f>IF($AH164="","",IF(INDEX('Per Invoice'!X$2:X$401,$AH164)="","",INDEX('Per Invoice'!X$2:X$401,$AH164)))</f>
        <v/>
      </c>
      <c r="Y164">
        <f>IF($AH164="","",IF(INDEX('Per Invoice'!Y$2:Y$401,$AH164)="","",INDEX('Per Invoice'!Y$2:Y$401,$AH164)))</f>
        <v/>
      </c>
      <c r="Z164" s="7">
        <f>IF($AH164="","",IF(INDEX('Per Invoice'!Z$2:Z$401,$AH164)="","",INDEX('Per Invoice'!Z$2:Z$401,$AH164)))</f>
        <v/>
      </c>
      <c r="AA164" s="7">
        <f>IF($AH164="","",IF(INDEX('Per Invoice'!AA$2:AA$401,$AH164)="","",INDEX('Per Invoice'!AA$2:AA$401,$AH164)))</f>
        <v/>
      </c>
      <c r="AB164" s="7">
        <f>IF($AH164="","",IF(INDEX('Per Invoice'!AB$2:AB$401,$AH164)="","",INDEX('Per Invoice'!AB$2:AB$401,$AH164)))</f>
        <v/>
      </c>
      <c r="AC164" s="7">
        <f>IF($AH164="","",IF(INDEX('Per Invoice'!AC$2:AC$401,$AH164)="","",INDEX('Per Invoice'!AC$2:AC$401,$AH164)))</f>
        <v/>
      </c>
      <c r="AD164" s="7">
        <f>IF($AH164="","",IF(INDEX('Per Invoice'!AD$2:AD$401,$AH164)="","",INDEX('Per Invoice'!AD$2:AD$401,$AH164)))</f>
        <v/>
      </c>
      <c r="AE164" s="7">
        <f>IF($AH164="","",IF(INDEX('Per Invoice'!AE$2:AE$401,$AH164)="","",INDEX('Per Invoice'!AE$2:AE$401,$AH164)))</f>
        <v/>
      </c>
      <c r="AF164">
        <f>IF($AH164="","",IF(INDEX('Per Invoice'!AF$2:AF$401,$AH164)="","",INDEX('Per Invoice'!AF$2:AF$401,$AH164)))</f>
        <v/>
      </c>
      <c r="AG164" s="7">
        <f>IF($AH164="","",IF(INDEX('Per Invoice'!AG$2:AG$401,$AH164)="","",INDEX('Per Invoice'!AG$2:AG$401,$AH164)))</f>
        <v/>
      </c>
      <c r="AH164" s="16">
        <f>IFERROR(MATCH(Settings!$C$27&amp;"|"&amp;ROWS($AH$2:$AH164),'Per Invoice'!$AI$2:$AI$401,0),"")</f>
        <v/>
      </c>
    </row>
    <row r="165">
      <c r="A165">
        <f>IF($AH165="","",IF(INDEX('Per Invoice'!A$2:A$401,$AH165)="","",INDEX('Per Invoice'!A$2:A$401,$AH165)))</f>
        <v/>
      </c>
      <c r="B165">
        <f>IF($AH165="","",IF(INDEX('Per Invoice'!B$2:B$401,$AH165)="","",INDEX('Per Invoice'!B$2:B$401,$AH165)))</f>
        <v/>
      </c>
      <c r="C165">
        <f>IF($AH165="","",IF(INDEX('Per Invoice'!C$2:C$401,$AH165)="","",INDEX('Per Invoice'!C$2:C$401,$AH165)))</f>
        <v/>
      </c>
      <c r="D165">
        <f>IF($AH165="","",IF(INDEX('Per Invoice'!D$2:D$401,$AH165)="","",INDEX('Per Invoice'!D$2:D$401,$AH165)))</f>
        <v/>
      </c>
      <c r="E165">
        <f>IF($AH165="","",IF(INDEX('Per Invoice'!E$2:E$401,$AH165)="","",INDEX('Per Invoice'!E$2:E$401,$AH165)))</f>
        <v/>
      </c>
      <c r="F165">
        <f>IF($AH165="","",IF(INDEX('Per Invoice'!F$2:F$401,$AH165)="","",INDEX('Per Invoice'!F$2:F$401,$AH165)))</f>
        <v/>
      </c>
      <c r="G165">
        <f>IF($AH165="","",IF(INDEX('Per Invoice'!G$2:G$401,$AH165)="","",INDEX('Per Invoice'!G$2:G$401,$AH165)))</f>
        <v/>
      </c>
      <c r="H165">
        <f>IF($AH165="","",IF(INDEX('Per Invoice'!H$2:H$401,$AH165)="","",INDEX('Per Invoice'!H$2:H$401,$AH165)))</f>
        <v/>
      </c>
      <c r="I165" s="14">
        <f>IF($AH165="","",IF(INDEX('Per Invoice'!I$2:I$401,$AH165)="","",INDEX('Per Invoice'!I$2:I$401,$AH165)))</f>
        <v/>
      </c>
      <c r="J165">
        <f>IF($AH165="","",IF(INDEX('Per Invoice'!J$2:J$401,$AH165)="","",INDEX('Per Invoice'!J$2:J$401,$AH165)))</f>
        <v/>
      </c>
      <c r="K165">
        <f>IF($AH165="","",IF(INDEX('Per Invoice'!K$2:K$401,$AH165)="","",INDEX('Per Invoice'!K$2:K$401,$AH165)))</f>
        <v/>
      </c>
      <c r="L165">
        <f>IF($AH165="","",IF(INDEX('Per Invoice'!L$2:L$401,$AH165)="","",INDEX('Per Invoice'!L$2:L$401,$AH165)))</f>
        <v/>
      </c>
      <c r="M165">
        <f>IF($AH165="","",IF(INDEX('Per Invoice'!M$2:M$401,$AH165)="","",INDEX('Per Invoice'!M$2:M$401,$AH165)))</f>
        <v/>
      </c>
      <c r="N165">
        <f>IF($AH165="","",IF(INDEX('Per Invoice'!N$2:N$401,$AH165)="","",INDEX('Per Invoice'!N$2:N$401,$AH165)))</f>
        <v/>
      </c>
      <c r="O165">
        <f>IF($AH165="","",IF(INDEX('Per Invoice'!O$2:O$401,$AH165)="","",INDEX('Per Invoice'!O$2:O$401,$AH165)))</f>
        <v/>
      </c>
      <c r="P165" s="7">
        <f>IF($AH165="","",IF(INDEX('Per Invoice'!P$2:P$401,$AH165)="","",INDEX('Per Invoice'!P$2:P$401,$AH165)))</f>
        <v/>
      </c>
      <c r="Q165">
        <f>IF($AH165="","",IF(INDEX('Per Invoice'!Q$2:Q$401,$AH165)="","",INDEX('Per Invoice'!Q$2:Q$401,$AH165)))</f>
        <v/>
      </c>
      <c r="R165">
        <f>IF($AH165="","",IF(INDEX('Per Invoice'!R$2:R$401,$AH165)="","",INDEX('Per Invoice'!R$2:R$401,$AH165)))</f>
        <v/>
      </c>
      <c r="S165">
        <f>IF($AH165="","",IF(INDEX('Per Invoice'!S$2:S$401,$AH165)="","",INDEX('Per Invoice'!S$2:S$401,$AH165)))</f>
        <v/>
      </c>
      <c r="T165" s="7">
        <f>IF($AH165="","",IF(INDEX('Per Invoice'!T$2:T$401,$AH165)="","",INDEX('Per Invoice'!T$2:T$401,$AH165)))</f>
        <v/>
      </c>
      <c r="U165" s="7">
        <f>IF($AH165="","",IF(INDEX('Per Invoice'!U$2:U$401,$AH165)="","",INDEX('Per Invoice'!U$2:U$401,$AH165)))</f>
        <v/>
      </c>
      <c r="V165">
        <f>IF($AH165="","",IF(INDEX('Per Invoice'!V$2:V$401,$AH165)="","",INDEX('Per Invoice'!V$2:V$401,$AH165)))</f>
        <v/>
      </c>
      <c r="W165" s="7">
        <f>IF($AH165="","",IF(INDEX('Per Invoice'!W$2:W$401,$AH165)="","",INDEX('Per Invoice'!W$2:W$401,$AH165)))</f>
        <v/>
      </c>
      <c r="X165" s="7">
        <f>IF($AH165="","",IF(INDEX('Per Invoice'!X$2:X$401,$AH165)="","",INDEX('Per Invoice'!X$2:X$401,$AH165)))</f>
        <v/>
      </c>
      <c r="Y165">
        <f>IF($AH165="","",IF(INDEX('Per Invoice'!Y$2:Y$401,$AH165)="","",INDEX('Per Invoice'!Y$2:Y$401,$AH165)))</f>
        <v/>
      </c>
      <c r="Z165" s="7">
        <f>IF($AH165="","",IF(INDEX('Per Invoice'!Z$2:Z$401,$AH165)="","",INDEX('Per Invoice'!Z$2:Z$401,$AH165)))</f>
        <v/>
      </c>
      <c r="AA165" s="7">
        <f>IF($AH165="","",IF(INDEX('Per Invoice'!AA$2:AA$401,$AH165)="","",INDEX('Per Invoice'!AA$2:AA$401,$AH165)))</f>
        <v/>
      </c>
      <c r="AB165" s="7">
        <f>IF($AH165="","",IF(INDEX('Per Invoice'!AB$2:AB$401,$AH165)="","",INDEX('Per Invoice'!AB$2:AB$401,$AH165)))</f>
        <v/>
      </c>
      <c r="AC165" s="7">
        <f>IF($AH165="","",IF(INDEX('Per Invoice'!AC$2:AC$401,$AH165)="","",INDEX('Per Invoice'!AC$2:AC$401,$AH165)))</f>
        <v/>
      </c>
      <c r="AD165" s="7">
        <f>IF($AH165="","",IF(INDEX('Per Invoice'!AD$2:AD$401,$AH165)="","",INDEX('Per Invoice'!AD$2:AD$401,$AH165)))</f>
        <v/>
      </c>
      <c r="AE165" s="7">
        <f>IF($AH165="","",IF(INDEX('Per Invoice'!AE$2:AE$401,$AH165)="","",INDEX('Per Invoice'!AE$2:AE$401,$AH165)))</f>
        <v/>
      </c>
      <c r="AF165">
        <f>IF($AH165="","",IF(INDEX('Per Invoice'!AF$2:AF$401,$AH165)="","",INDEX('Per Invoice'!AF$2:AF$401,$AH165)))</f>
        <v/>
      </c>
      <c r="AG165" s="7">
        <f>IF($AH165="","",IF(INDEX('Per Invoice'!AG$2:AG$401,$AH165)="","",INDEX('Per Invoice'!AG$2:AG$401,$AH165)))</f>
        <v/>
      </c>
      <c r="AH165" s="16">
        <f>IFERROR(MATCH(Settings!$C$27&amp;"|"&amp;ROWS($AH$2:$AH165),'Per Invoice'!$AI$2:$AI$401,0),"")</f>
        <v/>
      </c>
    </row>
    <row r="166">
      <c r="A166">
        <f>IF($AH166="","",IF(INDEX('Per Invoice'!A$2:A$401,$AH166)="","",INDEX('Per Invoice'!A$2:A$401,$AH166)))</f>
        <v/>
      </c>
      <c r="B166">
        <f>IF($AH166="","",IF(INDEX('Per Invoice'!B$2:B$401,$AH166)="","",INDEX('Per Invoice'!B$2:B$401,$AH166)))</f>
        <v/>
      </c>
      <c r="C166">
        <f>IF($AH166="","",IF(INDEX('Per Invoice'!C$2:C$401,$AH166)="","",INDEX('Per Invoice'!C$2:C$401,$AH166)))</f>
        <v/>
      </c>
      <c r="D166">
        <f>IF($AH166="","",IF(INDEX('Per Invoice'!D$2:D$401,$AH166)="","",INDEX('Per Invoice'!D$2:D$401,$AH166)))</f>
        <v/>
      </c>
      <c r="E166">
        <f>IF($AH166="","",IF(INDEX('Per Invoice'!E$2:E$401,$AH166)="","",INDEX('Per Invoice'!E$2:E$401,$AH166)))</f>
        <v/>
      </c>
      <c r="F166">
        <f>IF($AH166="","",IF(INDEX('Per Invoice'!F$2:F$401,$AH166)="","",INDEX('Per Invoice'!F$2:F$401,$AH166)))</f>
        <v/>
      </c>
      <c r="G166">
        <f>IF($AH166="","",IF(INDEX('Per Invoice'!G$2:G$401,$AH166)="","",INDEX('Per Invoice'!G$2:G$401,$AH166)))</f>
        <v/>
      </c>
      <c r="H166">
        <f>IF($AH166="","",IF(INDEX('Per Invoice'!H$2:H$401,$AH166)="","",INDEX('Per Invoice'!H$2:H$401,$AH166)))</f>
        <v/>
      </c>
      <c r="I166" s="14">
        <f>IF($AH166="","",IF(INDEX('Per Invoice'!I$2:I$401,$AH166)="","",INDEX('Per Invoice'!I$2:I$401,$AH166)))</f>
        <v/>
      </c>
      <c r="J166">
        <f>IF($AH166="","",IF(INDEX('Per Invoice'!J$2:J$401,$AH166)="","",INDEX('Per Invoice'!J$2:J$401,$AH166)))</f>
        <v/>
      </c>
      <c r="K166">
        <f>IF($AH166="","",IF(INDEX('Per Invoice'!K$2:K$401,$AH166)="","",INDEX('Per Invoice'!K$2:K$401,$AH166)))</f>
        <v/>
      </c>
      <c r="L166">
        <f>IF($AH166="","",IF(INDEX('Per Invoice'!L$2:L$401,$AH166)="","",INDEX('Per Invoice'!L$2:L$401,$AH166)))</f>
        <v/>
      </c>
      <c r="M166">
        <f>IF($AH166="","",IF(INDEX('Per Invoice'!M$2:M$401,$AH166)="","",INDEX('Per Invoice'!M$2:M$401,$AH166)))</f>
        <v/>
      </c>
      <c r="N166">
        <f>IF($AH166="","",IF(INDEX('Per Invoice'!N$2:N$401,$AH166)="","",INDEX('Per Invoice'!N$2:N$401,$AH166)))</f>
        <v/>
      </c>
      <c r="O166">
        <f>IF($AH166="","",IF(INDEX('Per Invoice'!O$2:O$401,$AH166)="","",INDEX('Per Invoice'!O$2:O$401,$AH166)))</f>
        <v/>
      </c>
      <c r="P166" s="7">
        <f>IF($AH166="","",IF(INDEX('Per Invoice'!P$2:P$401,$AH166)="","",INDEX('Per Invoice'!P$2:P$401,$AH166)))</f>
        <v/>
      </c>
      <c r="Q166">
        <f>IF($AH166="","",IF(INDEX('Per Invoice'!Q$2:Q$401,$AH166)="","",INDEX('Per Invoice'!Q$2:Q$401,$AH166)))</f>
        <v/>
      </c>
      <c r="R166">
        <f>IF($AH166="","",IF(INDEX('Per Invoice'!R$2:R$401,$AH166)="","",INDEX('Per Invoice'!R$2:R$401,$AH166)))</f>
        <v/>
      </c>
      <c r="S166">
        <f>IF($AH166="","",IF(INDEX('Per Invoice'!S$2:S$401,$AH166)="","",INDEX('Per Invoice'!S$2:S$401,$AH166)))</f>
        <v/>
      </c>
      <c r="T166" s="7">
        <f>IF($AH166="","",IF(INDEX('Per Invoice'!T$2:T$401,$AH166)="","",INDEX('Per Invoice'!T$2:T$401,$AH166)))</f>
        <v/>
      </c>
      <c r="U166" s="7">
        <f>IF($AH166="","",IF(INDEX('Per Invoice'!U$2:U$401,$AH166)="","",INDEX('Per Invoice'!U$2:U$401,$AH166)))</f>
        <v/>
      </c>
      <c r="V166">
        <f>IF($AH166="","",IF(INDEX('Per Invoice'!V$2:V$401,$AH166)="","",INDEX('Per Invoice'!V$2:V$401,$AH166)))</f>
        <v/>
      </c>
      <c r="W166" s="7">
        <f>IF($AH166="","",IF(INDEX('Per Invoice'!W$2:W$401,$AH166)="","",INDEX('Per Invoice'!W$2:W$401,$AH166)))</f>
        <v/>
      </c>
      <c r="X166" s="7">
        <f>IF($AH166="","",IF(INDEX('Per Invoice'!X$2:X$401,$AH166)="","",INDEX('Per Invoice'!X$2:X$401,$AH166)))</f>
        <v/>
      </c>
      <c r="Y166">
        <f>IF($AH166="","",IF(INDEX('Per Invoice'!Y$2:Y$401,$AH166)="","",INDEX('Per Invoice'!Y$2:Y$401,$AH166)))</f>
        <v/>
      </c>
      <c r="Z166" s="7">
        <f>IF($AH166="","",IF(INDEX('Per Invoice'!Z$2:Z$401,$AH166)="","",INDEX('Per Invoice'!Z$2:Z$401,$AH166)))</f>
        <v/>
      </c>
      <c r="AA166" s="7">
        <f>IF($AH166="","",IF(INDEX('Per Invoice'!AA$2:AA$401,$AH166)="","",INDEX('Per Invoice'!AA$2:AA$401,$AH166)))</f>
        <v/>
      </c>
      <c r="AB166" s="7">
        <f>IF($AH166="","",IF(INDEX('Per Invoice'!AB$2:AB$401,$AH166)="","",INDEX('Per Invoice'!AB$2:AB$401,$AH166)))</f>
        <v/>
      </c>
      <c r="AC166" s="7">
        <f>IF($AH166="","",IF(INDEX('Per Invoice'!AC$2:AC$401,$AH166)="","",INDEX('Per Invoice'!AC$2:AC$401,$AH166)))</f>
        <v/>
      </c>
      <c r="AD166" s="7">
        <f>IF($AH166="","",IF(INDEX('Per Invoice'!AD$2:AD$401,$AH166)="","",INDEX('Per Invoice'!AD$2:AD$401,$AH166)))</f>
        <v/>
      </c>
      <c r="AE166" s="7">
        <f>IF($AH166="","",IF(INDEX('Per Invoice'!AE$2:AE$401,$AH166)="","",INDEX('Per Invoice'!AE$2:AE$401,$AH166)))</f>
        <v/>
      </c>
      <c r="AF166">
        <f>IF($AH166="","",IF(INDEX('Per Invoice'!AF$2:AF$401,$AH166)="","",INDEX('Per Invoice'!AF$2:AF$401,$AH166)))</f>
        <v/>
      </c>
      <c r="AG166" s="7">
        <f>IF($AH166="","",IF(INDEX('Per Invoice'!AG$2:AG$401,$AH166)="","",INDEX('Per Invoice'!AG$2:AG$401,$AH166)))</f>
        <v/>
      </c>
      <c r="AH166" s="16">
        <f>IFERROR(MATCH(Settings!$C$27&amp;"|"&amp;ROWS($AH$2:$AH166),'Per Invoice'!$AI$2:$AI$401,0),"")</f>
        <v/>
      </c>
    </row>
    <row r="167">
      <c r="A167">
        <f>IF($AH167="","",IF(INDEX('Per Invoice'!A$2:A$401,$AH167)="","",INDEX('Per Invoice'!A$2:A$401,$AH167)))</f>
        <v/>
      </c>
      <c r="B167">
        <f>IF($AH167="","",IF(INDEX('Per Invoice'!B$2:B$401,$AH167)="","",INDEX('Per Invoice'!B$2:B$401,$AH167)))</f>
        <v/>
      </c>
      <c r="C167">
        <f>IF($AH167="","",IF(INDEX('Per Invoice'!C$2:C$401,$AH167)="","",INDEX('Per Invoice'!C$2:C$401,$AH167)))</f>
        <v/>
      </c>
      <c r="D167">
        <f>IF($AH167="","",IF(INDEX('Per Invoice'!D$2:D$401,$AH167)="","",INDEX('Per Invoice'!D$2:D$401,$AH167)))</f>
        <v/>
      </c>
      <c r="E167">
        <f>IF($AH167="","",IF(INDEX('Per Invoice'!E$2:E$401,$AH167)="","",INDEX('Per Invoice'!E$2:E$401,$AH167)))</f>
        <v/>
      </c>
      <c r="F167">
        <f>IF($AH167="","",IF(INDEX('Per Invoice'!F$2:F$401,$AH167)="","",INDEX('Per Invoice'!F$2:F$401,$AH167)))</f>
        <v/>
      </c>
      <c r="G167">
        <f>IF($AH167="","",IF(INDEX('Per Invoice'!G$2:G$401,$AH167)="","",INDEX('Per Invoice'!G$2:G$401,$AH167)))</f>
        <v/>
      </c>
      <c r="H167">
        <f>IF($AH167="","",IF(INDEX('Per Invoice'!H$2:H$401,$AH167)="","",INDEX('Per Invoice'!H$2:H$401,$AH167)))</f>
        <v/>
      </c>
      <c r="I167" s="14">
        <f>IF($AH167="","",IF(INDEX('Per Invoice'!I$2:I$401,$AH167)="","",INDEX('Per Invoice'!I$2:I$401,$AH167)))</f>
        <v/>
      </c>
      <c r="J167">
        <f>IF($AH167="","",IF(INDEX('Per Invoice'!J$2:J$401,$AH167)="","",INDEX('Per Invoice'!J$2:J$401,$AH167)))</f>
        <v/>
      </c>
      <c r="K167">
        <f>IF($AH167="","",IF(INDEX('Per Invoice'!K$2:K$401,$AH167)="","",INDEX('Per Invoice'!K$2:K$401,$AH167)))</f>
        <v/>
      </c>
      <c r="L167">
        <f>IF($AH167="","",IF(INDEX('Per Invoice'!L$2:L$401,$AH167)="","",INDEX('Per Invoice'!L$2:L$401,$AH167)))</f>
        <v/>
      </c>
      <c r="M167">
        <f>IF($AH167="","",IF(INDEX('Per Invoice'!M$2:M$401,$AH167)="","",INDEX('Per Invoice'!M$2:M$401,$AH167)))</f>
        <v/>
      </c>
      <c r="N167">
        <f>IF($AH167="","",IF(INDEX('Per Invoice'!N$2:N$401,$AH167)="","",INDEX('Per Invoice'!N$2:N$401,$AH167)))</f>
        <v/>
      </c>
      <c r="O167">
        <f>IF($AH167="","",IF(INDEX('Per Invoice'!O$2:O$401,$AH167)="","",INDEX('Per Invoice'!O$2:O$401,$AH167)))</f>
        <v/>
      </c>
      <c r="P167" s="7">
        <f>IF($AH167="","",IF(INDEX('Per Invoice'!P$2:P$401,$AH167)="","",INDEX('Per Invoice'!P$2:P$401,$AH167)))</f>
        <v/>
      </c>
      <c r="Q167">
        <f>IF($AH167="","",IF(INDEX('Per Invoice'!Q$2:Q$401,$AH167)="","",INDEX('Per Invoice'!Q$2:Q$401,$AH167)))</f>
        <v/>
      </c>
      <c r="R167">
        <f>IF($AH167="","",IF(INDEX('Per Invoice'!R$2:R$401,$AH167)="","",INDEX('Per Invoice'!R$2:R$401,$AH167)))</f>
        <v/>
      </c>
      <c r="S167">
        <f>IF($AH167="","",IF(INDEX('Per Invoice'!S$2:S$401,$AH167)="","",INDEX('Per Invoice'!S$2:S$401,$AH167)))</f>
        <v/>
      </c>
      <c r="T167" s="7">
        <f>IF($AH167="","",IF(INDEX('Per Invoice'!T$2:T$401,$AH167)="","",INDEX('Per Invoice'!T$2:T$401,$AH167)))</f>
        <v/>
      </c>
      <c r="U167" s="7">
        <f>IF($AH167="","",IF(INDEX('Per Invoice'!U$2:U$401,$AH167)="","",INDEX('Per Invoice'!U$2:U$401,$AH167)))</f>
        <v/>
      </c>
      <c r="V167">
        <f>IF($AH167="","",IF(INDEX('Per Invoice'!V$2:V$401,$AH167)="","",INDEX('Per Invoice'!V$2:V$401,$AH167)))</f>
        <v/>
      </c>
      <c r="W167" s="7">
        <f>IF($AH167="","",IF(INDEX('Per Invoice'!W$2:W$401,$AH167)="","",INDEX('Per Invoice'!W$2:W$401,$AH167)))</f>
        <v/>
      </c>
      <c r="X167" s="7">
        <f>IF($AH167="","",IF(INDEX('Per Invoice'!X$2:X$401,$AH167)="","",INDEX('Per Invoice'!X$2:X$401,$AH167)))</f>
        <v/>
      </c>
      <c r="Y167">
        <f>IF($AH167="","",IF(INDEX('Per Invoice'!Y$2:Y$401,$AH167)="","",INDEX('Per Invoice'!Y$2:Y$401,$AH167)))</f>
        <v/>
      </c>
      <c r="Z167" s="7">
        <f>IF($AH167="","",IF(INDEX('Per Invoice'!Z$2:Z$401,$AH167)="","",INDEX('Per Invoice'!Z$2:Z$401,$AH167)))</f>
        <v/>
      </c>
      <c r="AA167" s="7">
        <f>IF($AH167="","",IF(INDEX('Per Invoice'!AA$2:AA$401,$AH167)="","",INDEX('Per Invoice'!AA$2:AA$401,$AH167)))</f>
        <v/>
      </c>
      <c r="AB167" s="7">
        <f>IF($AH167="","",IF(INDEX('Per Invoice'!AB$2:AB$401,$AH167)="","",INDEX('Per Invoice'!AB$2:AB$401,$AH167)))</f>
        <v/>
      </c>
      <c r="AC167" s="7">
        <f>IF($AH167="","",IF(INDEX('Per Invoice'!AC$2:AC$401,$AH167)="","",INDEX('Per Invoice'!AC$2:AC$401,$AH167)))</f>
        <v/>
      </c>
      <c r="AD167" s="7">
        <f>IF($AH167="","",IF(INDEX('Per Invoice'!AD$2:AD$401,$AH167)="","",INDEX('Per Invoice'!AD$2:AD$401,$AH167)))</f>
        <v/>
      </c>
      <c r="AE167" s="7">
        <f>IF($AH167="","",IF(INDEX('Per Invoice'!AE$2:AE$401,$AH167)="","",INDEX('Per Invoice'!AE$2:AE$401,$AH167)))</f>
        <v/>
      </c>
      <c r="AF167">
        <f>IF($AH167="","",IF(INDEX('Per Invoice'!AF$2:AF$401,$AH167)="","",INDEX('Per Invoice'!AF$2:AF$401,$AH167)))</f>
        <v/>
      </c>
      <c r="AG167" s="7">
        <f>IF($AH167="","",IF(INDEX('Per Invoice'!AG$2:AG$401,$AH167)="","",INDEX('Per Invoice'!AG$2:AG$401,$AH167)))</f>
        <v/>
      </c>
      <c r="AH167" s="16">
        <f>IFERROR(MATCH(Settings!$C$27&amp;"|"&amp;ROWS($AH$2:$AH167),'Per Invoice'!$AI$2:$AI$401,0),"")</f>
        <v/>
      </c>
    </row>
    <row r="168">
      <c r="A168">
        <f>IF($AH168="","",IF(INDEX('Per Invoice'!A$2:A$401,$AH168)="","",INDEX('Per Invoice'!A$2:A$401,$AH168)))</f>
        <v/>
      </c>
      <c r="B168">
        <f>IF($AH168="","",IF(INDEX('Per Invoice'!B$2:B$401,$AH168)="","",INDEX('Per Invoice'!B$2:B$401,$AH168)))</f>
        <v/>
      </c>
      <c r="C168">
        <f>IF($AH168="","",IF(INDEX('Per Invoice'!C$2:C$401,$AH168)="","",INDEX('Per Invoice'!C$2:C$401,$AH168)))</f>
        <v/>
      </c>
      <c r="D168">
        <f>IF($AH168="","",IF(INDEX('Per Invoice'!D$2:D$401,$AH168)="","",INDEX('Per Invoice'!D$2:D$401,$AH168)))</f>
        <v/>
      </c>
      <c r="E168">
        <f>IF($AH168="","",IF(INDEX('Per Invoice'!E$2:E$401,$AH168)="","",INDEX('Per Invoice'!E$2:E$401,$AH168)))</f>
        <v/>
      </c>
      <c r="F168">
        <f>IF($AH168="","",IF(INDEX('Per Invoice'!F$2:F$401,$AH168)="","",INDEX('Per Invoice'!F$2:F$401,$AH168)))</f>
        <v/>
      </c>
      <c r="G168">
        <f>IF($AH168="","",IF(INDEX('Per Invoice'!G$2:G$401,$AH168)="","",INDEX('Per Invoice'!G$2:G$401,$AH168)))</f>
        <v/>
      </c>
      <c r="H168">
        <f>IF($AH168="","",IF(INDEX('Per Invoice'!H$2:H$401,$AH168)="","",INDEX('Per Invoice'!H$2:H$401,$AH168)))</f>
        <v/>
      </c>
      <c r="I168" s="14">
        <f>IF($AH168="","",IF(INDEX('Per Invoice'!I$2:I$401,$AH168)="","",INDEX('Per Invoice'!I$2:I$401,$AH168)))</f>
        <v/>
      </c>
      <c r="J168">
        <f>IF($AH168="","",IF(INDEX('Per Invoice'!J$2:J$401,$AH168)="","",INDEX('Per Invoice'!J$2:J$401,$AH168)))</f>
        <v/>
      </c>
      <c r="K168">
        <f>IF($AH168="","",IF(INDEX('Per Invoice'!K$2:K$401,$AH168)="","",INDEX('Per Invoice'!K$2:K$401,$AH168)))</f>
        <v/>
      </c>
      <c r="L168">
        <f>IF($AH168="","",IF(INDEX('Per Invoice'!L$2:L$401,$AH168)="","",INDEX('Per Invoice'!L$2:L$401,$AH168)))</f>
        <v/>
      </c>
      <c r="M168">
        <f>IF($AH168="","",IF(INDEX('Per Invoice'!M$2:M$401,$AH168)="","",INDEX('Per Invoice'!M$2:M$401,$AH168)))</f>
        <v/>
      </c>
      <c r="N168">
        <f>IF($AH168="","",IF(INDEX('Per Invoice'!N$2:N$401,$AH168)="","",INDEX('Per Invoice'!N$2:N$401,$AH168)))</f>
        <v/>
      </c>
      <c r="O168">
        <f>IF($AH168="","",IF(INDEX('Per Invoice'!O$2:O$401,$AH168)="","",INDEX('Per Invoice'!O$2:O$401,$AH168)))</f>
        <v/>
      </c>
      <c r="P168" s="7">
        <f>IF($AH168="","",IF(INDEX('Per Invoice'!P$2:P$401,$AH168)="","",INDEX('Per Invoice'!P$2:P$401,$AH168)))</f>
        <v/>
      </c>
      <c r="Q168">
        <f>IF($AH168="","",IF(INDEX('Per Invoice'!Q$2:Q$401,$AH168)="","",INDEX('Per Invoice'!Q$2:Q$401,$AH168)))</f>
        <v/>
      </c>
      <c r="R168">
        <f>IF($AH168="","",IF(INDEX('Per Invoice'!R$2:R$401,$AH168)="","",INDEX('Per Invoice'!R$2:R$401,$AH168)))</f>
        <v/>
      </c>
      <c r="S168">
        <f>IF($AH168="","",IF(INDEX('Per Invoice'!S$2:S$401,$AH168)="","",INDEX('Per Invoice'!S$2:S$401,$AH168)))</f>
        <v/>
      </c>
      <c r="T168" s="7">
        <f>IF($AH168="","",IF(INDEX('Per Invoice'!T$2:T$401,$AH168)="","",INDEX('Per Invoice'!T$2:T$401,$AH168)))</f>
        <v/>
      </c>
      <c r="U168" s="7">
        <f>IF($AH168="","",IF(INDEX('Per Invoice'!U$2:U$401,$AH168)="","",INDEX('Per Invoice'!U$2:U$401,$AH168)))</f>
        <v/>
      </c>
      <c r="V168">
        <f>IF($AH168="","",IF(INDEX('Per Invoice'!V$2:V$401,$AH168)="","",INDEX('Per Invoice'!V$2:V$401,$AH168)))</f>
        <v/>
      </c>
      <c r="W168" s="7">
        <f>IF($AH168="","",IF(INDEX('Per Invoice'!W$2:W$401,$AH168)="","",INDEX('Per Invoice'!W$2:W$401,$AH168)))</f>
        <v/>
      </c>
      <c r="X168" s="7">
        <f>IF($AH168="","",IF(INDEX('Per Invoice'!X$2:X$401,$AH168)="","",INDEX('Per Invoice'!X$2:X$401,$AH168)))</f>
        <v/>
      </c>
      <c r="Y168">
        <f>IF($AH168="","",IF(INDEX('Per Invoice'!Y$2:Y$401,$AH168)="","",INDEX('Per Invoice'!Y$2:Y$401,$AH168)))</f>
        <v/>
      </c>
      <c r="Z168" s="7">
        <f>IF($AH168="","",IF(INDEX('Per Invoice'!Z$2:Z$401,$AH168)="","",INDEX('Per Invoice'!Z$2:Z$401,$AH168)))</f>
        <v/>
      </c>
      <c r="AA168" s="7">
        <f>IF($AH168="","",IF(INDEX('Per Invoice'!AA$2:AA$401,$AH168)="","",INDEX('Per Invoice'!AA$2:AA$401,$AH168)))</f>
        <v/>
      </c>
      <c r="AB168" s="7">
        <f>IF($AH168="","",IF(INDEX('Per Invoice'!AB$2:AB$401,$AH168)="","",INDEX('Per Invoice'!AB$2:AB$401,$AH168)))</f>
        <v/>
      </c>
      <c r="AC168" s="7">
        <f>IF($AH168="","",IF(INDEX('Per Invoice'!AC$2:AC$401,$AH168)="","",INDEX('Per Invoice'!AC$2:AC$401,$AH168)))</f>
        <v/>
      </c>
      <c r="AD168" s="7">
        <f>IF($AH168="","",IF(INDEX('Per Invoice'!AD$2:AD$401,$AH168)="","",INDEX('Per Invoice'!AD$2:AD$401,$AH168)))</f>
        <v/>
      </c>
      <c r="AE168" s="7">
        <f>IF($AH168="","",IF(INDEX('Per Invoice'!AE$2:AE$401,$AH168)="","",INDEX('Per Invoice'!AE$2:AE$401,$AH168)))</f>
        <v/>
      </c>
      <c r="AF168">
        <f>IF($AH168="","",IF(INDEX('Per Invoice'!AF$2:AF$401,$AH168)="","",INDEX('Per Invoice'!AF$2:AF$401,$AH168)))</f>
        <v/>
      </c>
      <c r="AG168" s="7">
        <f>IF($AH168="","",IF(INDEX('Per Invoice'!AG$2:AG$401,$AH168)="","",INDEX('Per Invoice'!AG$2:AG$401,$AH168)))</f>
        <v/>
      </c>
      <c r="AH168" s="16">
        <f>IFERROR(MATCH(Settings!$C$27&amp;"|"&amp;ROWS($AH$2:$AH168),'Per Invoice'!$AI$2:$AI$401,0),"")</f>
        <v/>
      </c>
    </row>
    <row r="169">
      <c r="A169">
        <f>IF($AH169="","",IF(INDEX('Per Invoice'!A$2:A$401,$AH169)="","",INDEX('Per Invoice'!A$2:A$401,$AH169)))</f>
        <v/>
      </c>
      <c r="B169">
        <f>IF($AH169="","",IF(INDEX('Per Invoice'!B$2:B$401,$AH169)="","",INDEX('Per Invoice'!B$2:B$401,$AH169)))</f>
        <v/>
      </c>
      <c r="C169">
        <f>IF($AH169="","",IF(INDEX('Per Invoice'!C$2:C$401,$AH169)="","",INDEX('Per Invoice'!C$2:C$401,$AH169)))</f>
        <v/>
      </c>
      <c r="D169">
        <f>IF($AH169="","",IF(INDEX('Per Invoice'!D$2:D$401,$AH169)="","",INDEX('Per Invoice'!D$2:D$401,$AH169)))</f>
        <v/>
      </c>
      <c r="E169">
        <f>IF($AH169="","",IF(INDEX('Per Invoice'!E$2:E$401,$AH169)="","",INDEX('Per Invoice'!E$2:E$401,$AH169)))</f>
        <v/>
      </c>
      <c r="F169">
        <f>IF($AH169="","",IF(INDEX('Per Invoice'!F$2:F$401,$AH169)="","",INDEX('Per Invoice'!F$2:F$401,$AH169)))</f>
        <v/>
      </c>
      <c r="G169">
        <f>IF($AH169="","",IF(INDEX('Per Invoice'!G$2:G$401,$AH169)="","",INDEX('Per Invoice'!G$2:G$401,$AH169)))</f>
        <v/>
      </c>
      <c r="H169">
        <f>IF($AH169="","",IF(INDEX('Per Invoice'!H$2:H$401,$AH169)="","",INDEX('Per Invoice'!H$2:H$401,$AH169)))</f>
        <v/>
      </c>
      <c r="I169" s="14">
        <f>IF($AH169="","",IF(INDEX('Per Invoice'!I$2:I$401,$AH169)="","",INDEX('Per Invoice'!I$2:I$401,$AH169)))</f>
        <v/>
      </c>
      <c r="J169">
        <f>IF($AH169="","",IF(INDEX('Per Invoice'!J$2:J$401,$AH169)="","",INDEX('Per Invoice'!J$2:J$401,$AH169)))</f>
        <v/>
      </c>
      <c r="K169">
        <f>IF($AH169="","",IF(INDEX('Per Invoice'!K$2:K$401,$AH169)="","",INDEX('Per Invoice'!K$2:K$401,$AH169)))</f>
        <v/>
      </c>
      <c r="L169">
        <f>IF($AH169="","",IF(INDEX('Per Invoice'!L$2:L$401,$AH169)="","",INDEX('Per Invoice'!L$2:L$401,$AH169)))</f>
        <v/>
      </c>
      <c r="M169">
        <f>IF($AH169="","",IF(INDEX('Per Invoice'!M$2:M$401,$AH169)="","",INDEX('Per Invoice'!M$2:M$401,$AH169)))</f>
        <v/>
      </c>
      <c r="N169">
        <f>IF($AH169="","",IF(INDEX('Per Invoice'!N$2:N$401,$AH169)="","",INDEX('Per Invoice'!N$2:N$401,$AH169)))</f>
        <v/>
      </c>
      <c r="O169">
        <f>IF($AH169="","",IF(INDEX('Per Invoice'!O$2:O$401,$AH169)="","",INDEX('Per Invoice'!O$2:O$401,$AH169)))</f>
        <v/>
      </c>
      <c r="P169" s="7">
        <f>IF($AH169="","",IF(INDEX('Per Invoice'!P$2:P$401,$AH169)="","",INDEX('Per Invoice'!P$2:P$401,$AH169)))</f>
        <v/>
      </c>
      <c r="Q169">
        <f>IF($AH169="","",IF(INDEX('Per Invoice'!Q$2:Q$401,$AH169)="","",INDEX('Per Invoice'!Q$2:Q$401,$AH169)))</f>
        <v/>
      </c>
      <c r="R169">
        <f>IF($AH169="","",IF(INDEX('Per Invoice'!R$2:R$401,$AH169)="","",INDEX('Per Invoice'!R$2:R$401,$AH169)))</f>
        <v/>
      </c>
      <c r="S169">
        <f>IF($AH169="","",IF(INDEX('Per Invoice'!S$2:S$401,$AH169)="","",INDEX('Per Invoice'!S$2:S$401,$AH169)))</f>
        <v/>
      </c>
      <c r="T169" s="7">
        <f>IF($AH169="","",IF(INDEX('Per Invoice'!T$2:T$401,$AH169)="","",INDEX('Per Invoice'!T$2:T$401,$AH169)))</f>
        <v/>
      </c>
      <c r="U169" s="7">
        <f>IF($AH169="","",IF(INDEX('Per Invoice'!U$2:U$401,$AH169)="","",INDEX('Per Invoice'!U$2:U$401,$AH169)))</f>
        <v/>
      </c>
      <c r="V169">
        <f>IF($AH169="","",IF(INDEX('Per Invoice'!V$2:V$401,$AH169)="","",INDEX('Per Invoice'!V$2:V$401,$AH169)))</f>
        <v/>
      </c>
      <c r="W169" s="7">
        <f>IF($AH169="","",IF(INDEX('Per Invoice'!W$2:W$401,$AH169)="","",INDEX('Per Invoice'!W$2:W$401,$AH169)))</f>
        <v/>
      </c>
      <c r="X169" s="7">
        <f>IF($AH169="","",IF(INDEX('Per Invoice'!X$2:X$401,$AH169)="","",INDEX('Per Invoice'!X$2:X$401,$AH169)))</f>
        <v/>
      </c>
      <c r="Y169">
        <f>IF($AH169="","",IF(INDEX('Per Invoice'!Y$2:Y$401,$AH169)="","",INDEX('Per Invoice'!Y$2:Y$401,$AH169)))</f>
        <v/>
      </c>
      <c r="Z169" s="7">
        <f>IF($AH169="","",IF(INDEX('Per Invoice'!Z$2:Z$401,$AH169)="","",INDEX('Per Invoice'!Z$2:Z$401,$AH169)))</f>
        <v/>
      </c>
      <c r="AA169" s="7">
        <f>IF($AH169="","",IF(INDEX('Per Invoice'!AA$2:AA$401,$AH169)="","",INDEX('Per Invoice'!AA$2:AA$401,$AH169)))</f>
        <v/>
      </c>
      <c r="AB169" s="7">
        <f>IF($AH169="","",IF(INDEX('Per Invoice'!AB$2:AB$401,$AH169)="","",INDEX('Per Invoice'!AB$2:AB$401,$AH169)))</f>
        <v/>
      </c>
      <c r="AC169" s="7">
        <f>IF($AH169="","",IF(INDEX('Per Invoice'!AC$2:AC$401,$AH169)="","",INDEX('Per Invoice'!AC$2:AC$401,$AH169)))</f>
        <v/>
      </c>
      <c r="AD169" s="7">
        <f>IF($AH169="","",IF(INDEX('Per Invoice'!AD$2:AD$401,$AH169)="","",INDEX('Per Invoice'!AD$2:AD$401,$AH169)))</f>
        <v/>
      </c>
      <c r="AE169" s="7">
        <f>IF($AH169="","",IF(INDEX('Per Invoice'!AE$2:AE$401,$AH169)="","",INDEX('Per Invoice'!AE$2:AE$401,$AH169)))</f>
        <v/>
      </c>
      <c r="AF169">
        <f>IF($AH169="","",IF(INDEX('Per Invoice'!AF$2:AF$401,$AH169)="","",INDEX('Per Invoice'!AF$2:AF$401,$AH169)))</f>
        <v/>
      </c>
      <c r="AG169" s="7">
        <f>IF($AH169="","",IF(INDEX('Per Invoice'!AG$2:AG$401,$AH169)="","",INDEX('Per Invoice'!AG$2:AG$401,$AH169)))</f>
        <v/>
      </c>
      <c r="AH169" s="16">
        <f>IFERROR(MATCH(Settings!$C$27&amp;"|"&amp;ROWS($AH$2:$AH169),'Per Invoice'!$AI$2:$AI$401,0),"")</f>
        <v/>
      </c>
    </row>
    <row r="170">
      <c r="A170">
        <f>IF($AH170="","",IF(INDEX('Per Invoice'!A$2:A$401,$AH170)="","",INDEX('Per Invoice'!A$2:A$401,$AH170)))</f>
        <v/>
      </c>
      <c r="B170">
        <f>IF($AH170="","",IF(INDEX('Per Invoice'!B$2:B$401,$AH170)="","",INDEX('Per Invoice'!B$2:B$401,$AH170)))</f>
        <v/>
      </c>
      <c r="C170">
        <f>IF($AH170="","",IF(INDEX('Per Invoice'!C$2:C$401,$AH170)="","",INDEX('Per Invoice'!C$2:C$401,$AH170)))</f>
        <v/>
      </c>
      <c r="D170">
        <f>IF($AH170="","",IF(INDEX('Per Invoice'!D$2:D$401,$AH170)="","",INDEX('Per Invoice'!D$2:D$401,$AH170)))</f>
        <v/>
      </c>
      <c r="E170">
        <f>IF($AH170="","",IF(INDEX('Per Invoice'!E$2:E$401,$AH170)="","",INDEX('Per Invoice'!E$2:E$401,$AH170)))</f>
        <v/>
      </c>
      <c r="F170">
        <f>IF($AH170="","",IF(INDEX('Per Invoice'!F$2:F$401,$AH170)="","",INDEX('Per Invoice'!F$2:F$401,$AH170)))</f>
        <v/>
      </c>
      <c r="G170">
        <f>IF($AH170="","",IF(INDEX('Per Invoice'!G$2:G$401,$AH170)="","",INDEX('Per Invoice'!G$2:G$401,$AH170)))</f>
        <v/>
      </c>
      <c r="H170">
        <f>IF($AH170="","",IF(INDEX('Per Invoice'!H$2:H$401,$AH170)="","",INDEX('Per Invoice'!H$2:H$401,$AH170)))</f>
        <v/>
      </c>
      <c r="I170" s="14">
        <f>IF($AH170="","",IF(INDEX('Per Invoice'!I$2:I$401,$AH170)="","",INDEX('Per Invoice'!I$2:I$401,$AH170)))</f>
        <v/>
      </c>
      <c r="J170">
        <f>IF($AH170="","",IF(INDEX('Per Invoice'!J$2:J$401,$AH170)="","",INDEX('Per Invoice'!J$2:J$401,$AH170)))</f>
        <v/>
      </c>
      <c r="K170">
        <f>IF($AH170="","",IF(INDEX('Per Invoice'!K$2:K$401,$AH170)="","",INDEX('Per Invoice'!K$2:K$401,$AH170)))</f>
        <v/>
      </c>
      <c r="L170">
        <f>IF($AH170="","",IF(INDEX('Per Invoice'!L$2:L$401,$AH170)="","",INDEX('Per Invoice'!L$2:L$401,$AH170)))</f>
        <v/>
      </c>
      <c r="M170">
        <f>IF($AH170="","",IF(INDEX('Per Invoice'!M$2:M$401,$AH170)="","",INDEX('Per Invoice'!M$2:M$401,$AH170)))</f>
        <v/>
      </c>
      <c r="N170">
        <f>IF($AH170="","",IF(INDEX('Per Invoice'!N$2:N$401,$AH170)="","",INDEX('Per Invoice'!N$2:N$401,$AH170)))</f>
        <v/>
      </c>
      <c r="O170">
        <f>IF($AH170="","",IF(INDEX('Per Invoice'!O$2:O$401,$AH170)="","",INDEX('Per Invoice'!O$2:O$401,$AH170)))</f>
        <v/>
      </c>
      <c r="P170" s="7">
        <f>IF($AH170="","",IF(INDEX('Per Invoice'!P$2:P$401,$AH170)="","",INDEX('Per Invoice'!P$2:P$401,$AH170)))</f>
        <v/>
      </c>
      <c r="Q170">
        <f>IF($AH170="","",IF(INDEX('Per Invoice'!Q$2:Q$401,$AH170)="","",INDEX('Per Invoice'!Q$2:Q$401,$AH170)))</f>
        <v/>
      </c>
      <c r="R170">
        <f>IF($AH170="","",IF(INDEX('Per Invoice'!R$2:R$401,$AH170)="","",INDEX('Per Invoice'!R$2:R$401,$AH170)))</f>
        <v/>
      </c>
      <c r="S170">
        <f>IF($AH170="","",IF(INDEX('Per Invoice'!S$2:S$401,$AH170)="","",INDEX('Per Invoice'!S$2:S$401,$AH170)))</f>
        <v/>
      </c>
      <c r="T170" s="7">
        <f>IF($AH170="","",IF(INDEX('Per Invoice'!T$2:T$401,$AH170)="","",INDEX('Per Invoice'!T$2:T$401,$AH170)))</f>
        <v/>
      </c>
      <c r="U170" s="7">
        <f>IF($AH170="","",IF(INDEX('Per Invoice'!U$2:U$401,$AH170)="","",INDEX('Per Invoice'!U$2:U$401,$AH170)))</f>
        <v/>
      </c>
      <c r="V170">
        <f>IF($AH170="","",IF(INDEX('Per Invoice'!V$2:V$401,$AH170)="","",INDEX('Per Invoice'!V$2:V$401,$AH170)))</f>
        <v/>
      </c>
      <c r="W170" s="7">
        <f>IF($AH170="","",IF(INDEX('Per Invoice'!W$2:W$401,$AH170)="","",INDEX('Per Invoice'!W$2:W$401,$AH170)))</f>
        <v/>
      </c>
      <c r="X170" s="7">
        <f>IF($AH170="","",IF(INDEX('Per Invoice'!X$2:X$401,$AH170)="","",INDEX('Per Invoice'!X$2:X$401,$AH170)))</f>
        <v/>
      </c>
      <c r="Y170">
        <f>IF($AH170="","",IF(INDEX('Per Invoice'!Y$2:Y$401,$AH170)="","",INDEX('Per Invoice'!Y$2:Y$401,$AH170)))</f>
        <v/>
      </c>
      <c r="Z170" s="7">
        <f>IF($AH170="","",IF(INDEX('Per Invoice'!Z$2:Z$401,$AH170)="","",INDEX('Per Invoice'!Z$2:Z$401,$AH170)))</f>
        <v/>
      </c>
      <c r="AA170" s="7">
        <f>IF($AH170="","",IF(INDEX('Per Invoice'!AA$2:AA$401,$AH170)="","",INDEX('Per Invoice'!AA$2:AA$401,$AH170)))</f>
        <v/>
      </c>
      <c r="AB170" s="7">
        <f>IF($AH170="","",IF(INDEX('Per Invoice'!AB$2:AB$401,$AH170)="","",INDEX('Per Invoice'!AB$2:AB$401,$AH170)))</f>
        <v/>
      </c>
      <c r="AC170" s="7">
        <f>IF($AH170="","",IF(INDEX('Per Invoice'!AC$2:AC$401,$AH170)="","",INDEX('Per Invoice'!AC$2:AC$401,$AH170)))</f>
        <v/>
      </c>
      <c r="AD170" s="7">
        <f>IF($AH170="","",IF(INDEX('Per Invoice'!AD$2:AD$401,$AH170)="","",INDEX('Per Invoice'!AD$2:AD$401,$AH170)))</f>
        <v/>
      </c>
      <c r="AE170" s="7">
        <f>IF($AH170="","",IF(INDEX('Per Invoice'!AE$2:AE$401,$AH170)="","",INDEX('Per Invoice'!AE$2:AE$401,$AH170)))</f>
        <v/>
      </c>
      <c r="AF170">
        <f>IF($AH170="","",IF(INDEX('Per Invoice'!AF$2:AF$401,$AH170)="","",INDEX('Per Invoice'!AF$2:AF$401,$AH170)))</f>
        <v/>
      </c>
      <c r="AG170" s="7">
        <f>IF($AH170="","",IF(INDEX('Per Invoice'!AG$2:AG$401,$AH170)="","",INDEX('Per Invoice'!AG$2:AG$401,$AH170)))</f>
        <v/>
      </c>
      <c r="AH170" s="16">
        <f>IFERROR(MATCH(Settings!$C$27&amp;"|"&amp;ROWS($AH$2:$AH170),'Per Invoice'!$AI$2:$AI$401,0),"")</f>
        <v/>
      </c>
    </row>
    <row r="171">
      <c r="A171">
        <f>IF($AH171="","",IF(INDEX('Per Invoice'!A$2:A$401,$AH171)="","",INDEX('Per Invoice'!A$2:A$401,$AH171)))</f>
        <v/>
      </c>
      <c r="B171">
        <f>IF($AH171="","",IF(INDEX('Per Invoice'!B$2:B$401,$AH171)="","",INDEX('Per Invoice'!B$2:B$401,$AH171)))</f>
        <v/>
      </c>
      <c r="C171">
        <f>IF($AH171="","",IF(INDEX('Per Invoice'!C$2:C$401,$AH171)="","",INDEX('Per Invoice'!C$2:C$401,$AH171)))</f>
        <v/>
      </c>
      <c r="D171">
        <f>IF($AH171="","",IF(INDEX('Per Invoice'!D$2:D$401,$AH171)="","",INDEX('Per Invoice'!D$2:D$401,$AH171)))</f>
        <v/>
      </c>
      <c r="E171">
        <f>IF($AH171="","",IF(INDEX('Per Invoice'!E$2:E$401,$AH171)="","",INDEX('Per Invoice'!E$2:E$401,$AH171)))</f>
        <v/>
      </c>
      <c r="F171">
        <f>IF($AH171="","",IF(INDEX('Per Invoice'!F$2:F$401,$AH171)="","",INDEX('Per Invoice'!F$2:F$401,$AH171)))</f>
        <v/>
      </c>
      <c r="G171">
        <f>IF($AH171="","",IF(INDEX('Per Invoice'!G$2:G$401,$AH171)="","",INDEX('Per Invoice'!G$2:G$401,$AH171)))</f>
        <v/>
      </c>
      <c r="H171">
        <f>IF($AH171="","",IF(INDEX('Per Invoice'!H$2:H$401,$AH171)="","",INDEX('Per Invoice'!H$2:H$401,$AH171)))</f>
        <v/>
      </c>
      <c r="I171" s="14">
        <f>IF($AH171="","",IF(INDEX('Per Invoice'!I$2:I$401,$AH171)="","",INDEX('Per Invoice'!I$2:I$401,$AH171)))</f>
        <v/>
      </c>
      <c r="J171">
        <f>IF($AH171="","",IF(INDEX('Per Invoice'!J$2:J$401,$AH171)="","",INDEX('Per Invoice'!J$2:J$401,$AH171)))</f>
        <v/>
      </c>
      <c r="K171">
        <f>IF($AH171="","",IF(INDEX('Per Invoice'!K$2:K$401,$AH171)="","",INDEX('Per Invoice'!K$2:K$401,$AH171)))</f>
        <v/>
      </c>
      <c r="L171">
        <f>IF($AH171="","",IF(INDEX('Per Invoice'!L$2:L$401,$AH171)="","",INDEX('Per Invoice'!L$2:L$401,$AH171)))</f>
        <v/>
      </c>
      <c r="M171">
        <f>IF($AH171="","",IF(INDEX('Per Invoice'!M$2:M$401,$AH171)="","",INDEX('Per Invoice'!M$2:M$401,$AH171)))</f>
        <v/>
      </c>
      <c r="N171">
        <f>IF($AH171="","",IF(INDEX('Per Invoice'!N$2:N$401,$AH171)="","",INDEX('Per Invoice'!N$2:N$401,$AH171)))</f>
        <v/>
      </c>
      <c r="O171">
        <f>IF($AH171="","",IF(INDEX('Per Invoice'!O$2:O$401,$AH171)="","",INDEX('Per Invoice'!O$2:O$401,$AH171)))</f>
        <v/>
      </c>
      <c r="P171" s="7">
        <f>IF($AH171="","",IF(INDEX('Per Invoice'!P$2:P$401,$AH171)="","",INDEX('Per Invoice'!P$2:P$401,$AH171)))</f>
        <v/>
      </c>
      <c r="Q171">
        <f>IF($AH171="","",IF(INDEX('Per Invoice'!Q$2:Q$401,$AH171)="","",INDEX('Per Invoice'!Q$2:Q$401,$AH171)))</f>
        <v/>
      </c>
      <c r="R171">
        <f>IF($AH171="","",IF(INDEX('Per Invoice'!R$2:R$401,$AH171)="","",INDEX('Per Invoice'!R$2:R$401,$AH171)))</f>
        <v/>
      </c>
      <c r="S171">
        <f>IF($AH171="","",IF(INDEX('Per Invoice'!S$2:S$401,$AH171)="","",INDEX('Per Invoice'!S$2:S$401,$AH171)))</f>
        <v/>
      </c>
      <c r="T171" s="7">
        <f>IF($AH171="","",IF(INDEX('Per Invoice'!T$2:T$401,$AH171)="","",INDEX('Per Invoice'!T$2:T$401,$AH171)))</f>
        <v/>
      </c>
      <c r="U171" s="7">
        <f>IF($AH171="","",IF(INDEX('Per Invoice'!U$2:U$401,$AH171)="","",INDEX('Per Invoice'!U$2:U$401,$AH171)))</f>
        <v/>
      </c>
      <c r="V171">
        <f>IF($AH171="","",IF(INDEX('Per Invoice'!V$2:V$401,$AH171)="","",INDEX('Per Invoice'!V$2:V$401,$AH171)))</f>
        <v/>
      </c>
      <c r="W171" s="7">
        <f>IF($AH171="","",IF(INDEX('Per Invoice'!W$2:W$401,$AH171)="","",INDEX('Per Invoice'!W$2:W$401,$AH171)))</f>
        <v/>
      </c>
      <c r="X171" s="7">
        <f>IF($AH171="","",IF(INDEX('Per Invoice'!X$2:X$401,$AH171)="","",INDEX('Per Invoice'!X$2:X$401,$AH171)))</f>
        <v/>
      </c>
      <c r="Y171">
        <f>IF($AH171="","",IF(INDEX('Per Invoice'!Y$2:Y$401,$AH171)="","",INDEX('Per Invoice'!Y$2:Y$401,$AH171)))</f>
        <v/>
      </c>
      <c r="Z171" s="7">
        <f>IF($AH171="","",IF(INDEX('Per Invoice'!Z$2:Z$401,$AH171)="","",INDEX('Per Invoice'!Z$2:Z$401,$AH171)))</f>
        <v/>
      </c>
      <c r="AA171" s="7">
        <f>IF($AH171="","",IF(INDEX('Per Invoice'!AA$2:AA$401,$AH171)="","",INDEX('Per Invoice'!AA$2:AA$401,$AH171)))</f>
        <v/>
      </c>
      <c r="AB171" s="7">
        <f>IF($AH171="","",IF(INDEX('Per Invoice'!AB$2:AB$401,$AH171)="","",INDEX('Per Invoice'!AB$2:AB$401,$AH171)))</f>
        <v/>
      </c>
      <c r="AC171" s="7">
        <f>IF($AH171="","",IF(INDEX('Per Invoice'!AC$2:AC$401,$AH171)="","",INDEX('Per Invoice'!AC$2:AC$401,$AH171)))</f>
        <v/>
      </c>
      <c r="AD171" s="7">
        <f>IF($AH171="","",IF(INDEX('Per Invoice'!AD$2:AD$401,$AH171)="","",INDEX('Per Invoice'!AD$2:AD$401,$AH171)))</f>
        <v/>
      </c>
      <c r="AE171" s="7">
        <f>IF($AH171="","",IF(INDEX('Per Invoice'!AE$2:AE$401,$AH171)="","",INDEX('Per Invoice'!AE$2:AE$401,$AH171)))</f>
        <v/>
      </c>
      <c r="AF171">
        <f>IF($AH171="","",IF(INDEX('Per Invoice'!AF$2:AF$401,$AH171)="","",INDEX('Per Invoice'!AF$2:AF$401,$AH171)))</f>
        <v/>
      </c>
      <c r="AG171" s="7">
        <f>IF($AH171="","",IF(INDEX('Per Invoice'!AG$2:AG$401,$AH171)="","",INDEX('Per Invoice'!AG$2:AG$401,$AH171)))</f>
        <v/>
      </c>
      <c r="AH171" s="16">
        <f>IFERROR(MATCH(Settings!$C$27&amp;"|"&amp;ROWS($AH$2:$AH171),'Per Invoice'!$AI$2:$AI$401,0),"")</f>
        <v/>
      </c>
    </row>
    <row r="172">
      <c r="A172">
        <f>IF($AH172="","",IF(INDEX('Per Invoice'!A$2:A$401,$AH172)="","",INDEX('Per Invoice'!A$2:A$401,$AH172)))</f>
        <v/>
      </c>
      <c r="B172">
        <f>IF($AH172="","",IF(INDEX('Per Invoice'!B$2:B$401,$AH172)="","",INDEX('Per Invoice'!B$2:B$401,$AH172)))</f>
        <v/>
      </c>
      <c r="C172">
        <f>IF($AH172="","",IF(INDEX('Per Invoice'!C$2:C$401,$AH172)="","",INDEX('Per Invoice'!C$2:C$401,$AH172)))</f>
        <v/>
      </c>
      <c r="D172">
        <f>IF($AH172="","",IF(INDEX('Per Invoice'!D$2:D$401,$AH172)="","",INDEX('Per Invoice'!D$2:D$401,$AH172)))</f>
        <v/>
      </c>
      <c r="E172">
        <f>IF($AH172="","",IF(INDEX('Per Invoice'!E$2:E$401,$AH172)="","",INDEX('Per Invoice'!E$2:E$401,$AH172)))</f>
        <v/>
      </c>
      <c r="F172">
        <f>IF($AH172="","",IF(INDEX('Per Invoice'!F$2:F$401,$AH172)="","",INDEX('Per Invoice'!F$2:F$401,$AH172)))</f>
        <v/>
      </c>
      <c r="G172">
        <f>IF($AH172="","",IF(INDEX('Per Invoice'!G$2:G$401,$AH172)="","",INDEX('Per Invoice'!G$2:G$401,$AH172)))</f>
        <v/>
      </c>
      <c r="H172">
        <f>IF($AH172="","",IF(INDEX('Per Invoice'!H$2:H$401,$AH172)="","",INDEX('Per Invoice'!H$2:H$401,$AH172)))</f>
        <v/>
      </c>
      <c r="I172" s="14">
        <f>IF($AH172="","",IF(INDEX('Per Invoice'!I$2:I$401,$AH172)="","",INDEX('Per Invoice'!I$2:I$401,$AH172)))</f>
        <v/>
      </c>
      <c r="J172">
        <f>IF($AH172="","",IF(INDEX('Per Invoice'!J$2:J$401,$AH172)="","",INDEX('Per Invoice'!J$2:J$401,$AH172)))</f>
        <v/>
      </c>
      <c r="K172">
        <f>IF($AH172="","",IF(INDEX('Per Invoice'!K$2:K$401,$AH172)="","",INDEX('Per Invoice'!K$2:K$401,$AH172)))</f>
        <v/>
      </c>
      <c r="L172">
        <f>IF($AH172="","",IF(INDEX('Per Invoice'!L$2:L$401,$AH172)="","",INDEX('Per Invoice'!L$2:L$401,$AH172)))</f>
        <v/>
      </c>
      <c r="M172">
        <f>IF($AH172="","",IF(INDEX('Per Invoice'!M$2:M$401,$AH172)="","",INDEX('Per Invoice'!M$2:M$401,$AH172)))</f>
        <v/>
      </c>
      <c r="N172">
        <f>IF($AH172="","",IF(INDEX('Per Invoice'!N$2:N$401,$AH172)="","",INDEX('Per Invoice'!N$2:N$401,$AH172)))</f>
        <v/>
      </c>
      <c r="O172">
        <f>IF($AH172="","",IF(INDEX('Per Invoice'!O$2:O$401,$AH172)="","",INDEX('Per Invoice'!O$2:O$401,$AH172)))</f>
        <v/>
      </c>
      <c r="P172" s="7">
        <f>IF($AH172="","",IF(INDEX('Per Invoice'!P$2:P$401,$AH172)="","",INDEX('Per Invoice'!P$2:P$401,$AH172)))</f>
        <v/>
      </c>
      <c r="Q172">
        <f>IF($AH172="","",IF(INDEX('Per Invoice'!Q$2:Q$401,$AH172)="","",INDEX('Per Invoice'!Q$2:Q$401,$AH172)))</f>
        <v/>
      </c>
      <c r="R172">
        <f>IF($AH172="","",IF(INDEX('Per Invoice'!R$2:R$401,$AH172)="","",INDEX('Per Invoice'!R$2:R$401,$AH172)))</f>
        <v/>
      </c>
      <c r="S172">
        <f>IF($AH172="","",IF(INDEX('Per Invoice'!S$2:S$401,$AH172)="","",INDEX('Per Invoice'!S$2:S$401,$AH172)))</f>
        <v/>
      </c>
      <c r="T172" s="7">
        <f>IF($AH172="","",IF(INDEX('Per Invoice'!T$2:T$401,$AH172)="","",INDEX('Per Invoice'!T$2:T$401,$AH172)))</f>
        <v/>
      </c>
      <c r="U172" s="7">
        <f>IF($AH172="","",IF(INDEX('Per Invoice'!U$2:U$401,$AH172)="","",INDEX('Per Invoice'!U$2:U$401,$AH172)))</f>
        <v/>
      </c>
      <c r="V172">
        <f>IF($AH172="","",IF(INDEX('Per Invoice'!V$2:V$401,$AH172)="","",INDEX('Per Invoice'!V$2:V$401,$AH172)))</f>
        <v/>
      </c>
      <c r="W172" s="7">
        <f>IF($AH172="","",IF(INDEX('Per Invoice'!W$2:W$401,$AH172)="","",INDEX('Per Invoice'!W$2:W$401,$AH172)))</f>
        <v/>
      </c>
      <c r="X172" s="7">
        <f>IF($AH172="","",IF(INDEX('Per Invoice'!X$2:X$401,$AH172)="","",INDEX('Per Invoice'!X$2:X$401,$AH172)))</f>
        <v/>
      </c>
      <c r="Y172">
        <f>IF($AH172="","",IF(INDEX('Per Invoice'!Y$2:Y$401,$AH172)="","",INDEX('Per Invoice'!Y$2:Y$401,$AH172)))</f>
        <v/>
      </c>
      <c r="Z172" s="7">
        <f>IF($AH172="","",IF(INDEX('Per Invoice'!Z$2:Z$401,$AH172)="","",INDEX('Per Invoice'!Z$2:Z$401,$AH172)))</f>
        <v/>
      </c>
      <c r="AA172" s="7">
        <f>IF($AH172="","",IF(INDEX('Per Invoice'!AA$2:AA$401,$AH172)="","",INDEX('Per Invoice'!AA$2:AA$401,$AH172)))</f>
        <v/>
      </c>
      <c r="AB172" s="7">
        <f>IF($AH172="","",IF(INDEX('Per Invoice'!AB$2:AB$401,$AH172)="","",INDEX('Per Invoice'!AB$2:AB$401,$AH172)))</f>
        <v/>
      </c>
      <c r="AC172" s="7">
        <f>IF($AH172="","",IF(INDEX('Per Invoice'!AC$2:AC$401,$AH172)="","",INDEX('Per Invoice'!AC$2:AC$401,$AH172)))</f>
        <v/>
      </c>
      <c r="AD172" s="7">
        <f>IF($AH172="","",IF(INDEX('Per Invoice'!AD$2:AD$401,$AH172)="","",INDEX('Per Invoice'!AD$2:AD$401,$AH172)))</f>
        <v/>
      </c>
      <c r="AE172" s="7">
        <f>IF($AH172="","",IF(INDEX('Per Invoice'!AE$2:AE$401,$AH172)="","",INDEX('Per Invoice'!AE$2:AE$401,$AH172)))</f>
        <v/>
      </c>
      <c r="AF172">
        <f>IF($AH172="","",IF(INDEX('Per Invoice'!AF$2:AF$401,$AH172)="","",INDEX('Per Invoice'!AF$2:AF$401,$AH172)))</f>
        <v/>
      </c>
      <c r="AG172" s="7">
        <f>IF($AH172="","",IF(INDEX('Per Invoice'!AG$2:AG$401,$AH172)="","",INDEX('Per Invoice'!AG$2:AG$401,$AH172)))</f>
        <v/>
      </c>
      <c r="AH172" s="16">
        <f>IFERROR(MATCH(Settings!$C$27&amp;"|"&amp;ROWS($AH$2:$AH172),'Per Invoice'!$AI$2:$AI$401,0),"")</f>
        <v/>
      </c>
    </row>
    <row r="173">
      <c r="A173">
        <f>IF($AH173="","",IF(INDEX('Per Invoice'!A$2:A$401,$AH173)="","",INDEX('Per Invoice'!A$2:A$401,$AH173)))</f>
        <v/>
      </c>
      <c r="B173">
        <f>IF($AH173="","",IF(INDEX('Per Invoice'!B$2:B$401,$AH173)="","",INDEX('Per Invoice'!B$2:B$401,$AH173)))</f>
        <v/>
      </c>
      <c r="C173">
        <f>IF($AH173="","",IF(INDEX('Per Invoice'!C$2:C$401,$AH173)="","",INDEX('Per Invoice'!C$2:C$401,$AH173)))</f>
        <v/>
      </c>
      <c r="D173">
        <f>IF($AH173="","",IF(INDEX('Per Invoice'!D$2:D$401,$AH173)="","",INDEX('Per Invoice'!D$2:D$401,$AH173)))</f>
        <v/>
      </c>
      <c r="E173">
        <f>IF($AH173="","",IF(INDEX('Per Invoice'!E$2:E$401,$AH173)="","",INDEX('Per Invoice'!E$2:E$401,$AH173)))</f>
        <v/>
      </c>
      <c r="F173">
        <f>IF($AH173="","",IF(INDEX('Per Invoice'!F$2:F$401,$AH173)="","",INDEX('Per Invoice'!F$2:F$401,$AH173)))</f>
        <v/>
      </c>
      <c r="G173">
        <f>IF($AH173="","",IF(INDEX('Per Invoice'!G$2:G$401,$AH173)="","",INDEX('Per Invoice'!G$2:G$401,$AH173)))</f>
        <v/>
      </c>
      <c r="H173">
        <f>IF($AH173="","",IF(INDEX('Per Invoice'!H$2:H$401,$AH173)="","",INDEX('Per Invoice'!H$2:H$401,$AH173)))</f>
        <v/>
      </c>
      <c r="I173" s="14">
        <f>IF($AH173="","",IF(INDEX('Per Invoice'!I$2:I$401,$AH173)="","",INDEX('Per Invoice'!I$2:I$401,$AH173)))</f>
        <v/>
      </c>
      <c r="J173">
        <f>IF($AH173="","",IF(INDEX('Per Invoice'!J$2:J$401,$AH173)="","",INDEX('Per Invoice'!J$2:J$401,$AH173)))</f>
        <v/>
      </c>
      <c r="K173">
        <f>IF($AH173="","",IF(INDEX('Per Invoice'!K$2:K$401,$AH173)="","",INDEX('Per Invoice'!K$2:K$401,$AH173)))</f>
        <v/>
      </c>
      <c r="L173">
        <f>IF($AH173="","",IF(INDEX('Per Invoice'!L$2:L$401,$AH173)="","",INDEX('Per Invoice'!L$2:L$401,$AH173)))</f>
        <v/>
      </c>
      <c r="M173">
        <f>IF($AH173="","",IF(INDEX('Per Invoice'!M$2:M$401,$AH173)="","",INDEX('Per Invoice'!M$2:M$401,$AH173)))</f>
        <v/>
      </c>
      <c r="N173">
        <f>IF($AH173="","",IF(INDEX('Per Invoice'!N$2:N$401,$AH173)="","",INDEX('Per Invoice'!N$2:N$401,$AH173)))</f>
        <v/>
      </c>
      <c r="O173">
        <f>IF($AH173="","",IF(INDEX('Per Invoice'!O$2:O$401,$AH173)="","",INDEX('Per Invoice'!O$2:O$401,$AH173)))</f>
        <v/>
      </c>
      <c r="P173" s="7">
        <f>IF($AH173="","",IF(INDEX('Per Invoice'!P$2:P$401,$AH173)="","",INDEX('Per Invoice'!P$2:P$401,$AH173)))</f>
        <v/>
      </c>
      <c r="Q173">
        <f>IF($AH173="","",IF(INDEX('Per Invoice'!Q$2:Q$401,$AH173)="","",INDEX('Per Invoice'!Q$2:Q$401,$AH173)))</f>
        <v/>
      </c>
      <c r="R173">
        <f>IF($AH173="","",IF(INDEX('Per Invoice'!R$2:R$401,$AH173)="","",INDEX('Per Invoice'!R$2:R$401,$AH173)))</f>
        <v/>
      </c>
      <c r="S173">
        <f>IF($AH173="","",IF(INDEX('Per Invoice'!S$2:S$401,$AH173)="","",INDEX('Per Invoice'!S$2:S$401,$AH173)))</f>
        <v/>
      </c>
      <c r="T173" s="7">
        <f>IF($AH173="","",IF(INDEX('Per Invoice'!T$2:T$401,$AH173)="","",INDEX('Per Invoice'!T$2:T$401,$AH173)))</f>
        <v/>
      </c>
      <c r="U173" s="7">
        <f>IF($AH173="","",IF(INDEX('Per Invoice'!U$2:U$401,$AH173)="","",INDEX('Per Invoice'!U$2:U$401,$AH173)))</f>
        <v/>
      </c>
      <c r="V173">
        <f>IF($AH173="","",IF(INDEX('Per Invoice'!V$2:V$401,$AH173)="","",INDEX('Per Invoice'!V$2:V$401,$AH173)))</f>
        <v/>
      </c>
      <c r="W173" s="7">
        <f>IF($AH173="","",IF(INDEX('Per Invoice'!W$2:W$401,$AH173)="","",INDEX('Per Invoice'!W$2:W$401,$AH173)))</f>
        <v/>
      </c>
      <c r="X173" s="7">
        <f>IF($AH173="","",IF(INDEX('Per Invoice'!X$2:X$401,$AH173)="","",INDEX('Per Invoice'!X$2:X$401,$AH173)))</f>
        <v/>
      </c>
      <c r="Y173">
        <f>IF($AH173="","",IF(INDEX('Per Invoice'!Y$2:Y$401,$AH173)="","",INDEX('Per Invoice'!Y$2:Y$401,$AH173)))</f>
        <v/>
      </c>
      <c r="Z173" s="7">
        <f>IF($AH173="","",IF(INDEX('Per Invoice'!Z$2:Z$401,$AH173)="","",INDEX('Per Invoice'!Z$2:Z$401,$AH173)))</f>
        <v/>
      </c>
      <c r="AA173" s="7">
        <f>IF($AH173="","",IF(INDEX('Per Invoice'!AA$2:AA$401,$AH173)="","",INDEX('Per Invoice'!AA$2:AA$401,$AH173)))</f>
        <v/>
      </c>
      <c r="AB173" s="7">
        <f>IF($AH173="","",IF(INDEX('Per Invoice'!AB$2:AB$401,$AH173)="","",INDEX('Per Invoice'!AB$2:AB$401,$AH173)))</f>
        <v/>
      </c>
      <c r="AC173" s="7">
        <f>IF($AH173="","",IF(INDEX('Per Invoice'!AC$2:AC$401,$AH173)="","",INDEX('Per Invoice'!AC$2:AC$401,$AH173)))</f>
        <v/>
      </c>
      <c r="AD173" s="7">
        <f>IF($AH173="","",IF(INDEX('Per Invoice'!AD$2:AD$401,$AH173)="","",INDEX('Per Invoice'!AD$2:AD$401,$AH173)))</f>
        <v/>
      </c>
      <c r="AE173" s="7">
        <f>IF($AH173="","",IF(INDEX('Per Invoice'!AE$2:AE$401,$AH173)="","",INDEX('Per Invoice'!AE$2:AE$401,$AH173)))</f>
        <v/>
      </c>
      <c r="AF173">
        <f>IF($AH173="","",IF(INDEX('Per Invoice'!AF$2:AF$401,$AH173)="","",INDEX('Per Invoice'!AF$2:AF$401,$AH173)))</f>
        <v/>
      </c>
      <c r="AG173" s="7">
        <f>IF($AH173="","",IF(INDEX('Per Invoice'!AG$2:AG$401,$AH173)="","",INDEX('Per Invoice'!AG$2:AG$401,$AH173)))</f>
        <v/>
      </c>
      <c r="AH173" s="16">
        <f>IFERROR(MATCH(Settings!$C$27&amp;"|"&amp;ROWS($AH$2:$AH173),'Per Invoice'!$AI$2:$AI$401,0),"")</f>
        <v/>
      </c>
    </row>
    <row r="174">
      <c r="A174">
        <f>IF($AH174="","",IF(INDEX('Per Invoice'!A$2:A$401,$AH174)="","",INDEX('Per Invoice'!A$2:A$401,$AH174)))</f>
        <v/>
      </c>
      <c r="B174">
        <f>IF($AH174="","",IF(INDEX('Per Invoice'!B$2:B$401,$AH174)="","",INDEX('Per Invoice'!B$2:B$401,$AH174)))</f>
        <v/>
      </c>
      <c r="C174">
        <f>IF($AH174="","",IF(INDEX('Per Invoice'!C$2:C$401,$AH174)="","",INDEX('Per Invoice'!C$2:C$401,$AH174)))</f>
        <v/>
      </c>
      <c r="D174">
        <f>IF($AH174="","",IF(INDEX('Per Invoice'!D$2:D$401,$AH174)="","",INDEX('Per Invoice'!D$2:D$401,$AH174)))</f>
        <v/>
      </c>
      <c r="E174">
        <f>IF($AH174="","",IF(INDEX('Per Invoice'!E$2:E$401,$AH174)="","",INDEX('Per Invoice'!E$2:E$401,$AH174)))</f>
        <v/>
      </c>
      <c r="F174">
        <f>IF($AH174="","",IF(INDEX('Per Invoice'!F$2:F$401,$AH174)="","",INDEX('Per Invoice'!F$2:F$401,$AH174)))</f>
        <v/>
      </c>
      <c r="G174">
        <f>IF($AH174="","",IF(INDEX('Per Invoice'!G$2:G$401,$AH174)="","",INDEX('Per Invoice'!G$2:G$401,$AH174)))</f>
        <v/>
      </c>
      <c r="H174">
        <f>IF($AH174="","",IF(INDEX('Per Invoice'!H$2:H$401,$AH174)="","",INDEX('Per Invoice'!H$2:H$401,$AH174)))</f>
        <v/>
      </c>
      <c r="I174" s="14">
        <f>IF($AH174="","",IF(INDEX('Per Invoice'!I$2:I$401,$AH174)="","",INDEX('Per Invoice'!I$2:I$401,$AH174)))</f>
        <v/>
      </c>
      <c r="J174">
        <f>IF($AH174="","",IF(INDEX('Per Invoice'!J$2:J$401,$AH174)="","",INDEX('Per Invoice'!J$2:J$401,$AH174)))</f>
        <v/>
      </c>
      <c r="K174">
        <f>IF($AH174="","",IF(INDEX('Per Invoice'!K$2:K$401,$AH174)="","",INDEX('Per Invoice'!K$2:K$401,$AH174)))</f>
        <v/>
      </c>
      <c r="L174">
        <f>IF($AH174="","",IF(INDEX('Per Invoice'!L$2:L$401,$AH174)="","",INDEX('Per Invoice'!L$2:L$401,$AH174)))</f>
        <v/>
      </c>
      <c r="M174">
        <f>IF($AH174="","",IF(INDEX('Per Invoice'!M$2:M$401,$AH174)="","",INDEX('Per Invoice'!M$2:M$401,$AH174)))</f>
        <v/>
      </c>
      <c r="N174">
        <f>IF($AH174="","",IF(INDEX('Per Invoice'!N$2:N$401,$AH174)="","",INDEX('Per Invoice'!N$2:N$401,$AH174)))</f>
        <v/>
      </c>
      <c r="O174">
        <f>IF($AH174="","",IF(INDEX('Per Invoice'!O$2:O$401,$AH174)="","",INDEX('Per Invoice'!O$2:O$401,$AH174)))</f>
        <v/>
      </c>
      <c r="P174" s="7">
        <f>IF($AH174="","",IF(INDEX('Per Invoice'!P$2:P$401,$AH174)="","",INDEX('Per Invoice'!P$2:P$401,$AH174)))</f>
        <v/>
      </c>
      <c r="Q174">
        <f>IF($AH174="","",IF(INDEX('Per Invoice'!Q$2:Q$401,$AH174)="","",INDEX('Per Invoice'!Q$2:Q$401,$AH174)))</f>
        <v/>
      </c>
      <c r="R174">
        <f>IF($AH174="","",IF(INDEX('Per Invoice'!R$2:R$401,$AH174)="","",INDEX('Per Invoice'!R$2:R$401,$AH174)))</f>
        <v/>
      </c>
      <c r="S174">
        <f>IF($AH174="","",IF(INDEX('Per Invoice'!S$2:S$401,$AH174)="","",INDEX('Per Invoice'!S$2:S$401,$AH174)))</f>
        <v/>
      </c>
      <c r="T174" s="7">
        <f>IF($AH174="","",IF(INDEX('Per Invoice'!T$2:T$401,$AH174)="","",INDEX('Per Invoice'!T$2:T$401,$AH174)))</f>
        <v/>
      </c>
      <c r="U174" s="7">
        <f>IF($AH174="","",IF(INDEX('Per Invoice'!U$2:U$401,$AH174)="","",INDEX('Per Invoice'!U$2:U$401,$AH174)))</f>
        <v/>
      </c>
      <c r="V174">
        <f>IF($AH174="","",IF(INDEX('Per Invoice'!V$2:V$401,$AH174)="","",INDEX('Per Invoice'!V$2:V$401,$AH174)))</f>
        <v/>
      </c>
      <c r="W174" s="7">
        <f>IF($AH174="","",IF(INDEX('Per Invoice'!W$2:W$401,$AH174)="","",INDEX('Per Invoice'!W$2:W$401,$AH174)))</f>
        <v/>
      </c>
      <c r="X174" s="7">
        <f>IF($AH174="","",IF(INDEX('Per Invoice'!X$2:X$401,$AH174)="","",INDEX('Per Invoice'!X$2:X$401,$AH174)))</f>
        <v/>
      </c>
      <c r="Y174">
        <f>IF($AH174="","",IF(INDEX('Per Invoice'!Y$2:Y$401,$AH174)="","",INDEX('Per Invoice'!Y$2:Y$401,$AH174)))</f>
        <v/>
      </c>
      <c r="Z174" s="7">
        <f>IF($AH174="","",IF(INDEX('Per Invoice'!Z$2:Z$401,$AH174)="","",INDEX('Per Invoice'!Z$2:Z$401,$AH174)))</f>
        <v/>
      </c>
      <c r="AA174" s="7">
        <f>IF($AH174="","",IF(INDEX('Per Invoice'!AA$2:AA$401,$AH174)="","",INDEX('Per Invoice'!AA$2:AA$401,$AH174)))</f>
        <v/>
      </c>
      <c r="AB174" s="7">
        <f>IF($AH174="","",IF(INDEX('Per Invoice'!AB$2:AB$401,$AH174)="","",INDEX('Per Invoice'!AB$2:AB$401,$AH174)))</f>
        <v/>
      </c>
      <c r="AC174" s="7">
        <f>IF($AH174="","",IF(INDEX('Per Invoice'!AC$2:AC$401,$AH174)="","",INDEX('Per Invoice'!AC$2:AC$401,$AH174)))</f>
        <v/>
      </c>
      <c r="AD174" s="7">
        <f>IF($AH174="","",IF(INDEX('Per Invoice'!AD$2:AD$401,$AH174)="","",INDEX('Per Invoice'!AD$2:AD$401,$AH174)))</f>
        <v/>
      </c>
      <c r="AE174" s="7">
        <f>IF($AH174="","",IF(INDEX('Per Invoice'!AE$2:AE$401,$AH174)="","",INDEX('Per Invoice'!AE$2:AE$401,$AH174)))</f>
        <v/>
      </c>
      <c r="AF174">
        <f>IF($AH174="","",IF(INDEX('Per Invoice'!AF$2:AF$401,$AH174)="","",INDEX('Per Invoice'!AF$2:AF$401,$AH174)))</f>
        <v/>
      </c>
      <c r="AG174" s="7">
        <f>IF($AH174="","",IF(INDEX('Per Invoice'!AG$2:AG$401,$AH174)="","",INDEX('Per Invoice'!AG$2:AG$401,$AH174)))</f>
        <v/>
      </c>
      <c r="AH174" s="16">
        <f>IFERROR(MATCH(Settings!$C$27&amp;"|"&amp;ROWS($AH$2:$AH174),'Per Invoice'!$AI$2:$AI$401,0),"")</f>
        <v/>
      </c>
    </row>
    <row r="175">
      <c r="A175">
        <f>IF($AH175="","",IF(INDEX('Per Invoice'!A$2:A$401,$AH175)="","",INDEX('Per Invoice'!A$2:A$401,$AH175)))</f>
        <v/>
      </c>
      <c r="B175">
        <f>IF($AH175="","",IF(INDEX('Per Invoice'!B$2:B$401,$AH175)="","",INDEX('Per Invoice'!B$2:B$401,$AH175)))</f>
        <v/>
      </c>
      <c r="C175">
        <f>IF($AH175="","",IF(INDEX('Per Invoice'!C$2:C$401,$AH175)="","",INDEX('Per Invoice'!C$2:C$401,$AH175)))</f>
        <v/>
      </c>
      <c r="D175">
        <f>IF($AH175="","",IF(INDEX('Per Invoice'!D$2:D$401,$AH175)="","",INDEX('Per Invoice'!D$2:D$401,$AH175)))</f>
        <v/>
      </c>
      <c r="E175">
        <f>IF($AH175="","",IF(INDEX('Per Invoice'!E$2:E$401,$AH175)="","",INDEX('Per Invoice'!E$2:E$401,$AH175)))</f>
        <v/>
      </c>
      <c r="F175">
        <f>IF($AH175="","",IF(INDEX('Per Invoice'!F$2:F$401,$AH175)="","",INDEX('Per Invoice'!F$2:F$401,$AH175)))</f>
        <v/>
      </c>
      <c r="G175">
        <f>IF($AH175="","",IF(INDEX('Per Invoice'!G$2:G$401,$AH175)="","",INDEX('Per Invoice'!G$2:G$401,$AH175)))</f>
        <v/>
      </c>
      <c r="H175">
        <f>IF($AH175="","",IF(INDEX('Per Invoice'!H$2:H$401,$AH175)="","",INDEX('Per Invoice'!H$2:H$401,$AH175)))</f>
        <v/>
      </c>
      <c r="I175" s="14">
        <f>IF($AH175="","",IF(INDEX('Per Invoice'!I$2:I$401,$AH175)="","",INDEX('Per Invoice'!I$2:I$401,$AH175)))</f>
        <v/>
      </c>
      <c r="J175">
        <f>IF($AH175="","",IF(INDEX('Per Invoice'!J$2:J$401,$AH175)="","",INDEX('Per Invoice'!J$2:J$401,$AH175)))</f>
        <v/>
      </c>
      <c r="K175">
        <f>IF($AH175="","",IF(INDEX('Per Invoice'!K$2:K$401,$AH175)="","",INDEX('Per Invoice'!K$2:K$401,$AH175)))</f>
        <v/>
      </c>
      <c r="L175">
        <f>IF($AH175="","",IF(INDEX('Per Invoice'!L$2:L$401,$AH175)="","",INDEX('Per Invoice'!L$2:L$401,$AH175)))</f>
        <v/>
      </c>
      <c r="M175">
        <f>IF($AH175="","",IF(INDEX('Per Invoice'!M$2:M$401,$AH175)="","",INDEX('Per Invoice'!M$2:M$401,$AH175)))</f>
        <v/>
      </c>
      <c r="N175">
        <f>IF($AH175="","",IF(INDEX('Per Invoice'!N$2:N$401,$AH175)="","",INDEX('Per Invoice'!N$2:N$401,$AH175)))</f>
        <v/>
      </c>
      <c r="O175">
        <f>IF($AH175="","",IF(INDEX('Per Invoice'!O$2:O$401,$AH175)="","",INDEX('Per Invoice'!O$2:O$401,$AH175)))</f>
        <v/>
      </c>
      <c r="P175" s="7">
        <f>IF($AH175="","",IF(INDEX('Per Invoice'!P$2:P$401,$AH175)="","",INDEX('Per Invoice'!P$2:P$401,$AH175)))</f>
        <v/>
      </c>
      <c r="Q175">
        <f>IF($AH175="","",IF(INDEX('Per Invoice'!Q$2:Q$401,$AH175)="","",INDEX('Per Invoice'!Q$2:Q$401,$AH175)))</f>
        <v/>
      </c>
      <c r="R175">
        <f>IF($AH175="","",IF(INDEX('Per Invoice'!R$2:R$401,$AH175)="","",INDEX('Per Invoice'!R$2:R$401,$AH175)))</f>
        <v/>
      </c>
      <c r="S175">
        <f>IF($AH175="","",IF(INDEX('Per Invoice'!S$2:S$401,$AH175)="","",INDEX('Per Invoice'!S$2:S$401,$AH175)))</f>
        <v/>
      </c>
      <c r="T175" s="7">
        <f>IF($AH175="","",IF(INDEX('Per Invoice'!T$2:T$401,$AH175)="","",INDEX('Per Invoice'!T$2:T$401,$AH175)))</f>
        <v/>
      </c>
      <c r="U175" s="7">
        <f>IF($AH175="","",IF(INDEX('Per Invoice'!U$2:U$401,$AH175)="","",INDEX('Per Invoice'!U$2:U$401,$AH175)))</f>
        <v/>
      </c>
      <c r="V175">
        <f>IF($AH175="","",IF(INDEX('Per Invoice'!V$2:V$401,$AH175)="","",INDEX('Per Invoice'!V$2:V$401,$AH175)))</f>
        <v/>
      </c>
      <c r="W175" s="7">
        <f>IF($AH175="","",IF(INDEX('Per Invoice'!W$2:W$401,$AH175)="","",INDEX('Per Invoice'!W$2:W$401,$AH175)))</f>
        <v/>
      </c>
      <c r="X175" s="7">
        <f>IF($AH175="","",IF(INDEX('Per Invoice'!X$2:X$401,$AH175)="","",INDEX('Per Invoice'!X$2:X$401,$AH175)))</f>
        <v/>
      </c>
      <c r="Y175">
        <f>IF($AH175="","",IF(INDEX('Per Invoice'!Y$2:Y$401,$AH175)="","",INDEX('Per Invoice'!Y$2:Y$401,$AH175)))</f>
        <v/>
      </c>
      <c r="Z175" s="7">
        <f>IF($AH175="","",IF(INDEX('Per Invoice'!Z$2:Z$401,$AH175)="","",INDEX('Per Invoice'!Z$2:Z$401,$AH175)))</f>
        <v/>
      </c>
      <c r="AA175" s="7">
        <f>IF($AH175="","",IF(INDEX('Per Invoice'!AA$2:AA$401,$AH175)="","",INDEX('Per Invoice'!AA$2:AA$401,$AH175)))</f>
        <v/>
      </c>
      <c r="AB175" s="7">
        <f>IF($AH175="","",IF(INDEX('Per Invoice'!AB$2:AB$401,$AH175)="","",INDEX('Per Invoice'!AB$2:AB$401,$AH175)))</f>
        <v/>
      </c>
      <c r="AC175" s="7">
        <f>IF($AH175="","",IF(INDEX('Per Invoice'!AC$2:AC$401,$AH175)="","",INDEX('Per Invoice'!AC$2:AC$401,$AH175)))</f>
        <v/>
      </c>
      <c r="AD175" s="7">
        <f>IF($AH175="","",IF(INDEX('Per Invoice'!AD$2:AD$401,$AH175)="","",INDEX('Per Invoice'!AD$2:AD$401,$AH175)))</f>
        <v/>
      </c>
      <c r="AE175" s="7">
        <f>IF($AH175="","",IF(INDEX('Per Invoice'!AE$2:AE$401,$AH175)="","",INDEX('Per Invoice'!AE$2:AE$401,$AH175)))</f>
        <v/>
      </c>
      <c r="AF175">
        <f>IF($AH175="","",IF(INDEX('Per Invoice'!AF$2:AF$401,$AH175)="","",INDEX('Per Invoice'!AF$2:AF$401,$AH175)))</f>
        <v/>
      </c>
      <c r="AG175" s="7">
        <f>IF($AH175="","",IF(INDEX('Per Invoice'!AG$2:AG$401,$AH175)="","",INDEX('Per Invoice'!AG$2:AG$401,$AH175)))</f>
        <v/>
      </c>
      <c r="AH175" s="16">
        <f>IFERROR(MATCH(Settings!$C$27&amp;"|"&amp;ROWS($AH$2:$AH175),'Per Invoice'!$AI$2:$AI$401,0),"")</f>
        <v/>
      </c>
    </row>
    <row r="176">
      <c r="A176">
        <f>IF($AH176="","",IF(INDEX('Per Invoice'!A$2:A$401,$AH176)="","",INDEX('Per Invoice'!A$2:A$401,$AH176)))</f>
        <v/>
      </c>
      <c r="B176">
        <f>IF($AH176="","",IF(INDEX('Per Invoice'!B$2:B$401,$AH176)="","",INDEX('Per Invoice'!B$2:B$401,$AH176)))</f>
        <v/>
      </c>
      <c r="C176">
        <f>IF($AH176="","",IF(INDEX('Per Invoice'!C$2:C$401,$AH176)="","",INDEX('Per Invoice'!C$2:C$401,$AH176)))</f>
        <v/>
      </c>
      <c r="D176">
        <f>IF($AH176="","",IF(INDEX('Per Invoice'!D$2:D$401,$AH176)="","",INDEX('Per Invoice'!D$2:D$401,$AH176)))</f>
        <v/>
      </c>
      <c r="E176">
        <f>IF($AH176="","",IF(INDEX('Per Invoice'!E$2:E$401,$AH176)="","",INDEX('Per Invoice'!E$2:E$401,$AH176)))</f>
        <v/>
      </c>
      <c r="F176">
        <f>IF($AH176="","",IF(INDEX('Per Invoice'!F$2:F$401,$AH176)="","",INDEX('Per Invoice'!F$2:F$401,$AH176)))</f>
        <v/>
      </c>
      <c r="G176">
        <f>IF($AH176="","",IF(INDEX('Per Invoice'!G$2:G$401,$AH176)="","",INDEX('Per Invoice'!G$2:G$401,$AH176)))</f>
        <v/>
      </c>
      <c r="H176">
        <f>IF($AH176="","",IF(INDEX('Per Invoice'!H$2:H$401,$AH176)="","",INDEX('Per Invoice'!H$2:H$401,$AH176)))</f>
        <v/>
      </c>
      <c r="I176" s="14">
        <f>IF($AH176="","",IF(INDEX('Per Invoice'!I$2:I$401,$AH176)="","",INDEX('Per Invoice'!I$2:I$401,$AH176)))</f>
        <v/>
      </c>
      <c r="J176">
        <f>IF($AH176="","",IF(INDEX('Per Invoice'!J$2:J$401,$AH176)="","",INDEX('Per Invoice'!J$2:J$401,$AH176)))</f>
        <v/>
      </c>
      <c r="K176">
        <f>IF($AH176="","",IF(INDEX('Per Invoice'!K$2:K$401,$AH176)="","",INDEX('Per Invoice'!K$2:K$401,$AH176)))</f>
        <v/>
      </c>
      <c r="L176">
        <f>IF($AH176="","",IF(INDEX('Per Invoice'!L$2:L$401,$AH176)="","",INDEX('Per Invoice'!L$2:L$401,$AH176)))</f>
        <v/>
      </c>
      <c r="M176">
        <f>IF($AH176="","",IF(INDEX('Per Invoice'!M$2:M$401,$AH176)="","",INDEX('Per Invoice'!M$2:M$401,$AH176)))</f>
        <v/>
      </c>
      <c r="N176">
        <f>IF($AH176="","",IF(INDEX('Per Invoice'!N$2:N$401,$AH176)="","",INDEX('Per Invoice'!N$2:N$401,$AH176)))</f>
        <v/>
      </c>
      <c r="O176">
        <f>IF($AH176="","",IF(INDEX('Per Invoice'!O$2:O$401,$AH176)="","",INDEX('Per Invoice'!O$2:O$401,$AH176)))</f>
        <v/>
      </c>
      <c r="P176" s="7">
        <f>IF($AH176="","",IF(INDEX('Per Invoice'!P$2:P$401,$AH176)="","",INDEX('Per Invoice'!P$2:P$401,$AH176)))</f>
        <v/>
      </c>
      <c r="Q176">
        <f>IF($AH176="","",IF(INDEX('Per Invoice'!Q$2:Q$401,$AH176)="","",INDEX('Per Invoice'!Q$2:Q$401,$AH176)))</f>
        <v/>
      </c>
      <c r="R176">
        <f>IF($AH176="","",IF(INDEX('Per Invoice'!R$2:R$401,$AH176)="","",INDEX('Per Invoice'!R$2:R$401,$AH176)))</f>
        <v/>
      </c>
      <c r="S176">
        <f>IF($AH176="","",IF(INDEX('Per Invoice'!S$2:S$401,$AH176)="","",INDEX('Per Invoice'!S$2:S$401,$AH176)))</f>
        <v/>
      </c>
      <c r="T176" s="7">
        <f>IF($AH176="","",IF(INDEX('Per Invoice'!T$2:T$401,$AH176)="","",INDEX('Per Invoice'!T$2:T$401,$AH176)))</f>
        <v/>
      </c>
      <c r="U176" s="7">
        <f>IF($AH176="","",IF(INDEX('Per Invoice'!U$2:U$401,$AH176)="","",INDEX('Per Invoice'!U$2:U$401,$AH176)))</f>
        <v/>
      </c>
      <c r="V176">
        <f>IF($AH176="","",IF(INDEX('Per Invoice'!V$2:V$401,$AH176)="","",INDEX('Per Invoice'!V$2:V$401,$AH176)))</f>
        <v/>
      </c>
      <c r="W176" s="7">
        <f>IF($AH176="","",IF(INDEX('Per Invoice'!W$2:W$401,$AH176)="","",INDEX('Per Invoice'!W$2:W$401,$AH176)))</f>
        <v/>
      </c>
      <c r="X176" s="7">
        <f>IF($AH176="","",IF(INDEX('Per Invoice'!X$2:X$401,$AH176)="","",INDEX('Per Invoice'!X$2:X$401,$AH176)))</f>
        <v/>
      </c>
      <c r="Y176">
        <f>IF($AH176="","",IF(INDEX('Per Invoice'!Y$2:Y$401,$AH176)="","",INDEX('Per Invoice'!Y$2:Y$401,$AH176)))</f>
        <v/>
      </c>
      <c r="Z176" s="7">
        <f>IF($AH176="","",IF(INDEX('Per Invoice'!Z$2:Z$401,$AH176)="","",INDEX('Per Invoice'!Z$2:Z$401,$AH176)))</f>
        <v/>
      </c>
      <c r="AA176" s="7">
        <f>IF($AH176="","",IF(INDEX('Per Invoice'!AA$2:AA$401,$AH176)="","",INDEX('Per Invoice'!AA$2:AA$401,$AH176)))</f>
        <v/>
      </c>
      <c r="AB176" s="7">
        <f>IF($AH176="","",IF(INDEX('Per Invoice'!AB$2:AB$401,$AH176)="","",INDEX('Per Invoice'!AB$2:AB$401,$AH176)))</f>
        <v/>
      </c>
      <c r="AC176" s="7">
        <f>IF($AH176="","",IF(INDEX('Per Invoice'!AC$2:AC$401,$AH176)="","",INDEX('Per Invoice'!AC$2:AC$401,$AH176)))</f>
        <v/>
      </c>
      <c r="AD176" s="7">
        <f>IF($AH176="","",IF(INDEX('Per Invoice'!AD$2:AD$401,$AH176)="","",INDEX('Per Invoice'!AD$2:AD$401,$AH176)))</f>
        <v/>
      </c>
      <c r="AE176" s="7">
        <f>IF($AH176="","",IF(INDEX('Per Invoice'!AE$2:AE$401,$AH176)="","",INDEX('Per Invoice'!AE$2:AE$401,$AH176)))</f>
        <v/>
      </c>
      <c r="AF176">
        <f>IF($AH176="","",IF(INDEX('Per Invoice'!AF$2:AF$401,$AH176)="","",INDEX('Per Invoice'!AF$2:AF$401,$AH176)))</f>
        <v/>
      </c>
      <c r="AG176" s="7">
        <f>IF($AH176="","",IF(INDEX('Per Invoice'!AG$2:AG$401,$AH176)="","",INDEX('Per Invoice'!AG$2:AG$401,$AH176)))</f>
        <v/>
      </c>
      <c r="AH176" s="16">
        <f>IFERROR(MATCH(Settings!$C$27&amp;"|"&amp;ROWS($AH$2:$AH176),'Per Invoice'!$AI$2:$AI$401,0),"")</f>
        <v/>
      </c>
    </row>
    <row r="177">
      <c r="A177">
        <f>IF($AH177="","",IF(INDEX('Per Invoice'!A$2:A$401,$AH177)="","",INDEX('Per Invoice'!A$2:A$401,$AH177)))</f>
        <v/>
      </c>
      <c r="B177">
        <f>IF($AH177="","",IF(INDEX('Per Invoice'!B$2:B$401,$AH177)="","",INDEX('Per Invoice'!B$2:B$401,$AH177)))</f>
        <v/>
      </c>
      <c r="C177">
        <f>IF($AH177="","",IF(INDEX('Per Invoice'!C$2:C$401,$AH177)="","",INDEX('Per Invoice'!C$2:C$401,$AH177)))</f>
        <v/>
      </c>
      <c r="D177">
        <f>IF($AH177="","",IF(INDEX('Per Invoice'!D$2:D$401,$AH177)="","",INDEX('Per Invoice'!D$2:D$401,$AH177)))</f>
        <v/>
      </c>
      <c r="E177">
        <f>IF($AH177="","",IF(INDEX('Per Invoice'!E$2:E$401,$AH177)="","",INDEX('Per Invoice'!E$2:E$401,$AH177)))</f>
        <v/>
      </c>
      <c r="F177">
        <f>IF($AH177="","",IF(INDEX('Per Invoice'!F$2:F$401,$AH177)="","",INDEX('Per Invoice'!F$2:F$401,$AH177)))</f>
        <v/>
      </c>
      <c r="G177">
        <f>IF($AH177="","",IF(INDEX('Per Invoice'!G$2:G$401,$AH177)="","",INDEX('Per Invoice'!G$2:G$401,$AH177)))</f>
        <v/>
      </c>
      <c r="H177">
        <f>IF($AH177="","",IF(INDEX('Per Invoice'!H$2:H$401,$AH177)="","",INDEX('Per Invoice'!H$2:H$401,$AH177)))</f>
        <v/>
      </c>
      <c r="I177" s="14">
        <f>IF($AH177="","",IF(INDEX('Per Invoice'!I$2:I$401,$AH177)="","",INDEX('Per Invoice'!I$2:I$401,$AH177)))</f>
        <v/>
      </c>
      <c r="J177">
        <f>IF($AH177="","",IF(INDEX('Per Invoice'!J$2:J$401,$AH177)="","",INDEX('Per Invoice'!J$2:J$401,$AH177)))</f>
        <v/>
      </c>
      <c r="K177">
        <f>IF($AH177="","",IF(INDEX('Per Invoice'!K$2:K$401,$AH177)="","",INDEX('Per Invoice'!K$2:K$401,$AH177)))</f>
        <v/>
      </c>
      <c r="L177">
        <f>IF($AH177="","",IF(INDEX('Per Invoice'!L$2:L$401,$AH177)="","",INDEX('Per Invoice'!L$2:L$401,$AH177)))</f>
        <v/>
      </c>
      <c r="M177">
        <f>IF($AH177="","",IF(INDEX('Per Invoice'!M$2:M$401,$AH177)="","",INDEX('Per Invoice'!M$2:M$401,$AH177)))</f>
        <v/>
      </c>
      <c r="N177">
        <f>IF($AH177="","",IF(INDEX('Per Invoice'!N$2:N$401,$AH177)="","",INDEX('Per Invoice'!N$2:N$401,$AH177)))</f>
        <v/>
      </c>
      <c r="O177">
        <f>IF($AH177="","",IF(INDEX('Per Invoice'!O$2:O$401,$AH177)="","",INDEX('Per Invoice'!O$2:O$401,$AH177)))</f>
        <v/>
      </c>
      <c r="P177" s="7">
        <f>IF($AH177="","",IF(INDEX('Per Invoice'!P$2:P$401,$AH177)="","",INDEX('Per Invoice'!P$2:P$401,$AH177)))</f>
        <v/>
      </c>
      <c r="Q177">
        <f>IF($AH177="","",IF(INDEX('Per Invoice'!Q$2:Q$401,$AH177)="","",INDEX('Per Invoice'!Q$2:Q$401,$AH177)))</f>
        <v/>
      </c>
      <c r="R177">
        <f>IF($AH177="","",IF(INDEX('Per Invoice'!R$2:R$401,$AH177)="","",INDEX('Per Invoice'!R$2:R$401,$AH177)))</f>
        <v/>
      </c>
      <c r="S177">
        <f>IF($AH177="","",IF(INDEX('Per Invoice'!S$2:S$401,$AH177)="","",INDEX('Per Invoice'!S$2:S$401,$AH177)))</f>
        <v/>
      </c>
      <c r="T177" s="7">
        <f>IF($AH177="","",IF(INDEX('Per Invoice'!T$2:T$401,$AH177)="","",INDEX('Per Invoice'!T$2:T$401,$AH177)))</f>
        <v/>
      </c>
      <c r="U177" s="7">
        <f>IF($AH177="","",IF(INDEX('Per Invoice'!U$2:U$401,$AH177)="","",INDEX('Per Invoice'!U$2:U$401,$AH177)))</f>
        <v/>
      </c>
      <c r="V177">
        <f>IF($AH177="","",IF(INDEX('Per Invoice'!V$2:V$401,$AH177)="","",INDEX('Per Invoice'!V$2:V$401,$AH177)))</f>
        <v/>
      </c>
      <c r="W177" s="7">
        <f>IF($AH177="","",IF(INDEX('Per Invoice'!W$2:W$401,$AH177)="","",INDEX('Per Invoice'!W$2:W$401,$AH177)))</f>
        <v/>
      </c>
      <c r="X177" s="7">
        <f>IF($AH177="","",IF(INDEX('Per Invoice'!X$2:X$401,$AH177)="","",INDEX('Per Invoice'!X$2:X$401,$AH177)))</f>
        <v/>
      </c>
      <c r="Y177">
        <f>IF($AH177="","",IF(INDEX('Per Invoice'!Y$2:Y$401,$AH177)="","",INDEX('Per Invoice'!Y$2:Y$401,$AH177)))</f>
        <v/>
      </c>
      <c r="Z177" s="7">
        <f>IF($AH177="","",IF(INDEX('Per Invoice'!Z$2:Z$401,$AH177)="","",INDEX('Per Invoice'!Z$2:Z$401,$AH177)))</f>
        <v/>
      </c>
      <c r="AA177" s="7">
        <f>IF($AH177="","",IF(INDEX('Per Invoice'!AA$2:AA$401,$AH177)="","",INDEX('Per Invoice'!AA$2:AA$401,$AH177)))</f>
        <v/>
      </c>
      <c r="AB177" s="7">
        <f>IF($AH177="","",IF(INDEX('Per Invoice'!AB$2:AB$401,$AH177)="","",INDEX('Per Invoice'!AB$2:AB$401,$AH177)))</f>
        <v/>
      </c>
      <c r="AC177" s="7">
        <f>IF($AH177="","",IF(INDEX('Per Invoice'!AC$2:AC$401,$AH177)="","",INDEX('Per Invoice'!AC$2:AC$401,$AH177)))</f>
        <v/>
      </c>
      <c r="AD177" s="7">
        <f>IF($AH177="","",IF(INDEX('Per Invoice'!AD$2:AD$401,$AH177)="","",INDEX('Per Invoice'!AD$2:AD$401,$AH177)))</f>
        <v/>
      </c>
      <c r="AE177" s="7">
        <f>IF($AH177="","",IF(INDEX('Per Invoice'!AE$2:AE$401,$AH177)="","",INDEX('Per Invoice'!AE$2:AE$401,$AH177)))</f>
        <v/>
      </c>
      <c r="AF177">
        <f>IF($AH177="","",IF(INDEX('Per Invoice'!AF$2:AF$401,$AH177)="","",INDEX('Per Invoice'!AF$2:AF$401,$AH177)))</f>
        <v/>
      </c>
      <c r="AG177" s="7">
        <f>IF($AH177="","",IF(INDEX('Per Invoice'!AG$2:AG$401,$AH177)="","",INDEX('Per Invoice'!AG$2:AG$401,$AH177)))</f>
        <v/>
      </c>
      <c r="AH177" s="16">
        <f>IFERROR(MATCH(Settings!$C$27&amp;"|"&amp;ROWS($AH$2:$AH177),'Per Invoice'!$AI$2:$AI$401,0),"")</f>
        <v/>
      </c>
    </row>
    <row r="178">
      <c r="A178">
        <f>IF($AH178="","",IF(INDEX('Per Invoice'!A$2:A$401,$AH178)="","",INDEX('Per Invoice'!A$2:A$401,$AH178)))</f>
        <v/>
      </c>
      <c r="B178">
        <f>IF($AH178="","",IF(INDEX('Per Invoice'!B$2:B$401,$AH178)="","",INDEX('Per Invoice'!B$2:B$401,$AH178)))</f>
        <v/>
      </c>
      <c r="C178">
        <f>IF($AH178="","",IF(INDEX('Per Invoice'!C$2:C$401,$AH178)="","",INDEX('Per Invoice'!C$2:C$401,$AH178)))</f>
        <v/>
      </c>
      <c r="D178">
        <f>IF($AH178="","",IF(INDEX('Per Invoice'!D$2:D$401,$AH178)="","",INDEX('Per Invoice'!D$2:D$401,$AH178)))</f>
        <v/>
      </c>
      <c r="E178">
        <f>IF($AH178="","",IF(INDEX('Per Invoice'!E$2:E$401,$AH178)="","",INDEX('Per Invoice'!E$2:E$401,$AH178)))</f>
        <v/>
      </c>
      <c r="F178">
        <f>IF($AH178="","",IF(INDEX('Per Invoice'!F$2:F$401,$AH178)="","",INDEX('Per Invoice'!F$2:F$401,$AH178)))</f>
        <v/>
      </c>
      <c r="G178">
        <f>IF($AH178="","",IF(INDEX('Per Invoice'!G$2:G$401,$AH178)="","",INDEX('Per Invoice'!G$2:G$401,$AH178)))</f>
        <v/>
      </c>
      <c r="H178">
        <f>IF($AH178="","",IF(INDEX('Per Invoice'!H$2:H$401,$AH178)="","",INDEX('Per Invoice'!H$2:H$401,$AH178)))</f>
        <v/>
      </c>
      <c r="I178" s="14">
        <f>IF($AH178="","",IF(INDEX('Per Invoice'!I$2:I$401,$AH178)="","",INDEX('Per Invoice'!I$2:I$401,$AH178)))</f>
        <v/>
      </c>
      <c r="J178">
        <f>IF($AH178="","",IF(INDEX('Per Invoice'!J$2:J$401,$AH178)="","",INDEX('Per Invoice'!J$2:J$401,$AH178)))</f>
        <v/>
      </c>
      <c r="K178">
        <f>IF($AH178="","",IF(INDEX('Per Invoice'!K$2:K$401,$AH178)="","",INDEX('Per Invoice'!K$2:K$401,$AH178)))</f>
        <v/>
      </c>
      <c r="L178">
        <f>IF($AH178="","",IF(INDEX('Per Invoice'!L$2:L$401,$AH178)="","",INDEX('Per Invoice'!L$2:L$401,$AH178)))</f>
        <v/>
      </c>
      <c r="M178">
        <f>IF($AH178="","",IF(INDEX('Per Invoice'!M$2:M$401,$AH178)="","",INDEX('Per Invoice'!M$2:M$401,$AH178)))</f>
        <v/>
      </c>
      <c r="N178">
        <f>IF($AH178="","",IF(INDEX('Per Invoice'!N$2:N$401,$AH178)="","",INDEX('Per Invoice'!N$2:N$401,$AH178)))</f>
        <v/>
      </c>
      <c r="O178">
        <f>IF($AH178="","",IF(INDEX('Per Invoice'!O$2:O$401,$AH178)="","",INDEX('Per Invoice'!O$2:O$401,$AH178)))</f>
        <v/>
      </c>
      <c r="P178" s="7">
        <f>IF($AH178="","",IF(INDEX('Per Invoice'!P$2:P$401,$AH178)="","",INDEX('Per Invoice'!P$2:P$401,$AH178)))</f>
        <v/>
      </c>
      <c r="Q178">
        <f>IF($AH178="","",IF(INDEX('Per Invoice'!Q$2:Q$401,$AH178)="","",INDEX('Per Invoice'!Q$2:Q$401,$AH178)))</f>
        <v/>
      </c>
      <c r="R178">
        <f>IF($AH178="","",IF(INDEX('Per Invoice'!R$2:R$401,$AH178)="","",INDEX('Per Invoice'!R$2:R$401,$AH178)))</f>
        <v/>
      </c>
      <c r="S178">
        <f>IF($AH178="","",IF(INDEX('Per Invoice'!S$2:S$401,$AH178)="","",INDEX('Per Invoice'!S$2:S$401,$AH178)))</f>
        <v/>
      </c>
      <c r="T178" s="7">
        <f>IF($AH178="","",IF(INDEX('Per Invoice'!T$2:T$401,$AH178)="","",INDEX('Per Invoice'!T$2:T$401,$AH178)))</f>
        <v/>
      </c>
      <c r="U178" s="7">
        <f>IF($AH178="","",IF(INDEX('Per Invoice'!U$2:U$401,$AH178)="","",INDEX('Per Invoice'!U$2:U$401,$AH178)))</f>
        <v/>
      </c>
      <c r="V178">
        <f>IF($AH178="","",IF(INDEX('Per Invoice'!V$2:V$401,$AH178)="","",INDEX('Per Invoice'!V$2:V$401,$AH178)))</f>
        <v/>
      </c>
      <c r="W178" s="7">
        <f>IF($AH178="","",IF(INDEX('Per Invoice'!W$2:W$401,$AH178)="","",INDEX('Per Invoice'!W$2:W$401,$AH178)))</f>
        <v/>
      </c>
      <c r="X178" s="7">
        <f>IF($AH178="","",IF(INDEX('Per Invoice'!X$2:X$401,$AH178)="","",INDEX('Per Invoice'!X$2:X$401,$AH178)))</f>
        <v/>
      </c>
      <c r="Y178">
        <f>IF($AH178="","",IF(INDEX('Per Invoice'!Y$2:Y$401,$AH178)="","",INDEX('Per Invoice'!Y$2:Y$401,$AH178)))</f>
        <v/>
      </c>
      <c r="Z178" s="7">
        <f>IF($AH178="","",IF(INDEX('Per Invoice'!Z$2:Z$401,$AH178)="","",INDEX('Per Invoice'!Z$2:Z$401,$AH178)))</f>
        <v/>
      </c>
      <c r="AA178" s="7">
        <f>IF($AH178="","",IF(INDEX('Per Invoice'!AA$2:AA$401,$AH178)="","",INDEX('Per Invoice'!AA$2:AA$401,$AH178)))</f>
        <v/>
      </c>
      <c r="AB178" s="7">
        <f>IF($AH178="","",IF(INDEX('Per Invoice'!AB$2:AB$401,$AH178)="","",INDEX('Per Invoice'!AB$2:AB$401,$AH178)))</f>
        <v/>
      </c>
      <c r="AC178" s="7">
        <f>IF($AH178="","",IF(INDEX('Per Invoice'!AC$2:AC$401,$AH178)="","",INDEX('Per Invoice'!AC$2:AC$401,$AH178)))</f>
        <v/>
      </c>
      <c r="AD178" s="7">
        <f>IF($AH178="","",IF(INDEX('Per Invoice'!AD$2:AD$401,$AH178)="","",INDEX('Per Invoice'!AD$2:AD$401,$AH178)))</f>
        <v/>
      </c>
      <c r="AE178" s="7">
        <f>IF($AH178="","",IF(INDEX('Per Invoice'!AE$2:AE$401,$AH178)="","",INDEX('Per Invoice'!AE$2:AE$401,$AH178)))</f>
        <v/>
      </c>
      <c r="AF178">
        <f>IF($AH178="","",IF(INDEX('Per Invoice'!AF$2:AF$401,$AH178)="","",INDEX('Per Invoice'!AF$2:AF$401,$AH178)))</f>
        <v/>
      </c>
      <c r="AG178" s="7">
        <f>IF($AH178="","",IF(INDEX('Per Invoice'!AG$2:AG$401,$AH178)="","",INDEX('Per Invoice'!AG$2:AG$401,$AH178)))</f>
        <v/>
      </c>
      <c r="AH178" s="16">
        <f>IFERROR(MATCH(Settings!$C$27&amp;"|"&amp;ROWS($AH$2:$AH178),'Per Invoice'!$AI$2:$AI$401,0),"")</f>
        <v/>
      </c>
    </row>
    <row r="179">
      <c r="A179">
        <f>IF($AH179="","",IF(INDEX('Per Invoice'!A$2:A$401,$AH179)="","",INDEX('Per Invoice'!A$2:A$401,$AH179)))</f>
        <v/>
      </c>
      <c r="B179">
        <f>IF($AH179="","",IF(INDEX('Per Invoice'!B$2:B$401,$AH179)="","",INDEX('Per Invoice'!B$2:B$401,$AH179)))</f>
        <v/>
      </c>
      <c r="C179">
        <f>IF($AH179="","",IF(INDEX('Per Invoice'!C$2:C$401,$AH179)="","",INDEX('Per Invoice'!C$2:C$401,$AH179)))</f>
        <v/>
      </c>
      <c r="D179">
        <f>IF($AH179="","",IF(INDEX('Per Invoice'!D$2:D$401,$AH179)="","",INDEX('Per Invoice'!D$2:D$401,$AH179)))</f>
        <v/>
      </c>
      <c r="E179">
        <f>IF($AH179="","",IF(INDEX('Per Invoice'!E$2:E$401,$AH179)="","",INDEX('Per Invoice'!E$2:E$401,$AH179)))</f>
        <v/>
      </c>
      <c r="F179">
        <f>IF($AH179="","",IF(INDEX('Per Invoice'!F$2:F$401,$AH179)="","",INDEX('Per Invoice'!F$2:F$401,$AH179)))</f>
        <v/>
      </c>
      <c r="G179">
        <f>IF($AH179="","",IF(INDEX('Per Invoice'!G$2:G$401,$AH179)="","",INDEX('Per Invoice'!G$2:G$401,$AH179)))</f>
        <v/>
      </c>
      <c r="H179">
        <f>IF($AH179="","",IF(INDEX('Per Invoice'!H$2:H$401,$AH179)="","",INDEX('Per Invoice'!H$2:H$401,$AH179)))</f>
        <v/>
      </c>
      <c r="I179" s="14">
        <f>IF($AH179="","",IF(INDEX('Per Invoice'!I$2:I$401,$AH179)="","",INDEX('Per Invoice'!I$2:I$401,$AH179)))</f>
        <v/>
      </c>
      <c r="J179">
        <f>IF($AH179="","",IF(INDEX('Per Invoice'!J$2:J$401,$AH179)="","",INDEX('Per Invoice'!J$2:J$401,$AH179)))</f>
        <v/>
      </c>
      <c r="K179">
        <f>IF($AH179="","",IF(INDEX('Per Invoice'!K$2:K$401,$AH179)="","",INDEX('Per Invoice'!K$2:K$401,$AH179)))</f>
        <v/>
      </c>
      <c r="L179">
        <f>IF($AH179="","",IF(INDEX('Per Invoice'!L$2:L$401,$AH179)="","",INDEX('Per Invoice'!L$2:L$401,$AH179)))</f>
        <v/>
      </c>
      <c r="M179">
        <f>IF($AH179="","",IF(INDEX('Per Invoice'!M$2:M$401,$AH179)="","",INDEX('Per Invoice'!M$2:M$401,$AH179)))</f>
        <v/>
      </c>
      <c r="N179">
        <f>IF($AH179="","",IF(INDEX('Per Invoice'!N$2:N$401,$AH179)="","",INDEX('Per Invoice'!N$2:N$401,$AH179)))</f>
        <v/>
      </c>
      <c r="O179">
        <f>IF($AH179="","",IF(INDEX('Per Invoice'!O$2:O$401,$AH179)="","",INDEX('Per Invoice'!O$2:O$401,$AH179)))</f>
        <v/>
      </c>
      <c r="P179" s="7">
        <f>IF($AH179="","",IF(INDEX('Per Invoice'!P$2:P$401,$AH179)="","",INDEX('Per Invoice'!P$2:P$401,$AH179)))</f>
        <v/>
      </c>
      <c r="Q179">
        <f>IF($AH179="","",IF(INDEX('Per Invoice'!Q$2:Q$401,$AH179)="","",INDEX('Per Invoice'!Q$2:Q$401,$AH179)))</f>
        <v/>
      </c>
      <c r="R179">
        <f>IF($AH179="","",IF(INDEX('Per Invoice'!R$2:R$401,$AH179)="","",INDEX('Per Invoice'!R$2:R$401,$AH179)))</f>
        <v/>
      </c>
      <c r="S179">
        <f>IF($AH179="","",IF(INDEX('Per Invoice'!S$2:S$401,$AH179)="","",INDEX('Per Invoice'!S$2:S$401,$AH179)))</f>
        <v/>
      </c>
      <c r="T179" s="7">
        <f>IF($AH179="","",IF(INDEX('Per Invoice'!T$2:T$401,$AH179)="","",INDEX('Per Invoice'!T$2:T$401,$AH179)))</f>
        <v/>
      </c>
      <c r="U179" s="7">
        <f>IF($AH179="","",IF(INDEX('Per Invoice'!U$2:U$401,$AH179)="","",INDEX('Per Invoice'!U$2:U$401,$AH179)))</f>
        <v/>
      </c>
      <c r="V179">
        <f>IF($AH179="","",IF(INDEX('Per Invoice'!V$2:V$401,$AH179)="","",INDEX('Per Invoice'!V$2:V$401,$AH179)))</f>
        <v/>
      </c>
      <c r="W179" s="7">
        <f>IF($AH179="","",IF(INDEX('Per Invoice'!W$2:W$401,$AH179)="","",INDEX('Per Invoice'!W$2:W$401,$AH179)))</f>
        <v/>
      </c>
      <c r="X179" s="7">
        <f>IF($AH179="","",IF(INDEX('Per Invoice'!X$2:X$401,$AH179)="","",INDEX('Per Invoice'!X$2:X$401,$AH179)))</f>
        <v/>
      </c>
      <c r="Y179">
        <f>IF($AH179="","",IF(INDEX('Per Invoice'!Y$2:Y$401,$AH179)="","",INDEX('Per Invoice'!Y$2:Y$401,$AH179)))</f>
        <v/>
      </c>
      <c r="Z179" s="7">
        <f>IF($AH179="","",IF(INDEX('Per Invoice'!Z$2:Z$401,$AH179)="","",INDEX('Per Invoice'!Z$2:Z$401,$AH179)))</f>
        <v/>
      </c>
      <c r="AA179" s="7">
        <f>IF($AH179="","",IF(INDEX('Per Invoice'!AA$2:AA$401,$AH179)="","",INDEX('Per Invoice'!AA$2:AA$401,$AH179)))</f>
        <v/>
      </c>
      <c r="AB179" s="7">
        <f>IF($AH179="","",IF(INDEX('Per Invoice'!AB$2:AB$401,$AH179)="","",INDEX('Per Invoice'!AB$2:AB$401,$AH179)))</f>
        <v/>
      </c>
      <c r="AC179" s="7">
        <f>IF($AH179="","",IF(INDEX('Per Invoice'!AC$2:AC$401,$AH179)="","",INDEX('Per Invoice'!AC$2:AC$401,$AH179)))</f>
        <v/>
      </c>
      <c r="AD179" s="7">
        <f>IF($AH179="","",IF(INDEX('Per Invoice'!AD$2:AD$401,$AH179)="","",INDEX('Per Invoice'!AD$2:AD$401,$AH179)))</f>
        <v/>
      </c>
      <c r="AE179" s="7">
        <f>IF($AH179="","",IF(INDEX('Per Invoice'!AE$2:AE$401,$AH179)="","",INDEX('Per Invoice'!AE$2:AE$401,$AH179)))</f>
        <v/>
      </c>
      <c r="AF179">
        <f>IF($AH179="","",IF(INDEX('Per Invoice'!AF$2:AF$401,$AH179)="","",INDEX('Per Invoice'!AF$2:AF$401,$AH179)))</f>
        <v/>
      </c>
      <c r="AG179" s="7">
        <f>IF($AH179="","",IF(INDEX('Per Invoice'!AG$2:AG$401,$AH179)="","",INDEX('Per Invoice'!AG$2:AG$401,$AH179)))</f>
        <v/>
      </c>
      <c r="AH179" s="16">
        <f>IFERROR(MATCH(Settings!$C$27&amp;"|"&amp;ROWS($AH$2:$AH179),'Per Invoice'!$AI$2:$AI$401,0),"")</f>
        <v/>
      </c>
    </row>
    <row r="180">
      <c r="A180">
        <f>IF($AH180="","",IF(INDEX('Per Invoice'!A$2:A$401,$AH180)="","",INDEX('Per Invoice'!A$2:A$401,$AH180)))</f>
        <v/>
      </c>
      <c r="B180">
        <f>IF($AH180="","",IF(INDEX('Per Invoice'!B$2:B$401,$AH180)="","",INDEX('Per Invoice'!B$2:B$401,$AH180)))</f>
        <v/>
      </c>
      <c r="C180">
        <f>IF($AH180="","",IF(INDEX('Per Invoice'!C$2:C$401,$AH180)="","",INDEX('Per Invoice'!C$2:C$401,$AH180)))</f>
        <v/>
      </c>
      <c r="D180">
        <f>IF($AH180="","",IF(INDEX('Per Invoice'!D$2:D$401,$AH180)="","",INDEX('Per Invoice'!D$2:D$401,$AH180)))</f>
        <v/>
      </c>
      <c r="E180">
        <f>IF($AH180="","",IF(INDEX('Per Invoice'!E$2:E$401,$AH180)="","",INDEX('Per Invoice'!E$2:E$401,$AH180)))</f>
        <v/>
      </c>
      <c r="F180">
        <f>IF($AH180="","",IF(INDEX('Per Invoice'!F$2:F$401,$AH180)="","",INDEX('Per Invoice'!F$2:F$401,$AH180)))</f>
        <v/>
      </c>
      <c r="G180">
        <f>IF($AH180="","",IF(INDEX('Per Invoice'!G$2:G$401,$AH180)="","",INDEX('Per Invoice'!G$2:G$401,$AH180)))</f>
        <v/>
      </c>
      <c r="H180">
        <f>IF($AH180="","",IF(INDEX('Per Invoice'!H$2:H$401,$AH180)="","",INDEX('Per Invoice'!H$2:H$401,$AH180)))</f>
        <v/>
      </c>
      <c r="I180" s="14">
        <f>IF($AH180="","",IF(INDEX('Per Invoice'!I$2:I$401,$AH180)="","",INDEX('Per Invoice'!I$2:I$401,$AH180)))</f>
        <v/>
      </c>
      <c r="J180">
        <f>IF($AH180="","",IF(INDEX('Per Invoice'!J$2:J$401,$AH180)="","",INDEX('Per Invoice'!J$2:J$401,$AH180)))</f>
        <v/>
      </c>
      <c r="K180">
        <f>IF($AH180="","",IF(INDEX('Per Invoice'!K$2:K$401,$AH180)="","",INDEX('Per Invoice'!K$2:K$401,$AH180)))</f>
        <v/>
      </c>
      <c r="L180">
        <f>IF($AH180="","",IF(INDEX('Per Invoice'!L$2:L$401,$AH180)="","",INDEX('Per Invoice'!L$2:L$401,$AH180)))</f>
        <v/>
      </c>
      <c r="M180">
        <f>IF($AH180="","",IF(INDEX('Per Invoice'!M$2:M$401,$AH180)="","",INDEX('Per Invoice'!M$2:M$401,$AH180)))</f>
        <v/>
      </c>
      <c r="N180">
        <f>IF($AH180="","",IF(INDEX('Per Invoice'!N$2:N$401,$AH180)="","",INDEX('Per Invoice'!N$2:N$401,$AH180)))</f>
        <v/>
      </c>
      <c r="O180">
        <f>IF($AH180="","",IF(INDEX('Per Invoice'!O$2:O$401,$AH180)="","",INDEX('Per Invoice'!O$2:O$401,$AH180)))</f>
        <v/>
      </c>
      <c r="P180" s="7">
        <f>IF($AH180="","",IF(INDEX('Per Invoice'!P$2:P$401,$AH180)="","",INDEX('Per Invoice'!P$2:P$401,$AH180)))</f>
        <v/>
      </c>
      <c r="Q180">
        <f>IF($AH180="","",IF(INDEX('Per Invoice'!Q$2:Q$401,$AH180)="","",INDEX('Per Invoice'!Q$2:Q$401,$AH180)))</f>
        <v/>
      </c>
      <c r="R180">
        <f>IF($AH180="","",IF(INDEX('Per Invoice'!R$2:R$401,$AH180)="","",INDEX('Per Invoice'!R$2:R$401,$AH180)))</f>
        <v/>
      </c>
      <c r="S180">
        <f>IF($AH180="","",IF(INDEX('Per Invoice'!S$2:S$401,$AH180)="","",INDEX('Per Invoice'!S$2:S$401,$AH180)))</f>
        <v/>
      </c>
      <c r="T180" s="7">
        <f>IF($AH180="","",IF(INDEX('Per Invoice'!T$2:T$401,$AH180)="","",INDEX('Per Invoice'!T$2:T$401,$AH180)))</f>
        <v/>
      </c>
      <c r="U180" s="7">
        <f>IF($AH180="","",IF(INDEX('Per Invoice'!U$2:U$401,$AH180)="","",INDEX('Per Invoice'!U$2:U$401,$AH180)))</f>
        <v/>
      </c>
      <c r="V180">
        <f>IF($AH180="","",IF(INDEX('Per Invoice'!V$2:V$401,$AH180)="","",INDEX('Per Invoice'!V$2:V$401,$AH180)))</f>
        <v/>
      </c>
      <c r="W180" s="7">
        <f>IF($AH180="","",IF(INDEX('Per Invoice'!W$2:W$401,$AH180)="","",INDEX('Per Invoice'!W$2:W$401,$AH180)))</f>
        <v/>
      </c>
      <c r="X180" s="7">
        <f>IF($AH180="","",IF(INDEX('Per Invoice'!X$2:X$401,$AH180)="","",INDEX('Per Invoice'!X$2:X$401,$AH180)))</f>
        <v/>
      </c>
      <c r="Y180">
        <f>IF($AH180="","",IF(INDEX('Per Invoice'!Y$2:Y$401,$AH180)="","",INDEX('Per Invoice'!Y$2:Y$401,$AH180)))</f>
        <v/>
      </c>
      <c r="Z180" s="7">
        <f>IF($AH180="","",IF(INDEX('Per Invoice'!Z$2:Z$401,$AH180)="","",INDEX('Per Invoice'!Z$2:Z$401,$AH180)))</f>
        <v/>
      </c>
      <c r="AA180" s="7">
        <f>IF($AH180="","",IF(INDEX('Per Invoice'!AA$2:AA$401,$AH180)="","",INDEX('Per Invoice'!AA$2:AA$401,$AH180)))</f>
        <v/>
      </c>
      <c r="AB180" s="7">
        <f>IF($AH180="","",IF(INDEX('Per Invoice'!AB$2:AB$401,$AH180)="","",INDEX('Per Invoice'!AB$2:AB$401,$AH180)))</f>
        <v/>
      </c>
      <c r="AC180" s="7">
        <f>IF($AH180="","",IF(INDEX('Per Invoice'!AC$2:AC$401,$AH180)="","",INDEX('Per Invoice'!AC$2:AC$401,$AH180)))</f>
        <v/>
      </c>
      <c r="AD180" s="7">
        <f>IF($AH180="","",IF(INDEX('Per Invoice'!AD$2:AD$401,$AH180)="","",INDEX('Per Invoice'!AD$2:AD$401,$AH180)))</f>
        <v/>
      </c>
      <c r="AE180" s="7">
        <f>IF($AH180="","",IF(INDEX('Per Invoice'!AE$2:AE$401,$AH180)="","",INDEX('Per Invoice'!AE$2:AE$401,$AH180)))</f>
        <v/>
      </c>
      <c r="AF180">
        <f>IF($AH180="","",IF(INDEX('Per Invoice'!AF$2:AF$401,$AH180)="","",INDEX('Per Invoice'!AF$2:AF$401,$AH180)))</f>
        <v/>
      </c>
      <c r="AG180" s="7">
        <f>IF($AH180="","",IF(INDEX('Per Invoice'!AG$2:AG$401,$AH180)="","",INDEX('Per Invoice'!AG$2:AG$401,$AH180)))</f>
        <v/>
      </c>
      <c r="AH180" s="16">
        <f>IFERROR(MATCH(Settings!$C$27&amp;"|"&amp;ROWS($AH$2:$AH180),'Per Invoice'!$AI$2:$AI$401,0),"")</f>
        <v/>
      </c>
    </row>
    <row r="181">
      <c r="A181">
        <f>IF($AH181="","",IF(INDEX('Per Invoice'!A$2:A$401,$AH181)="","",INDEX('Per Invoice'!A$2:A$401,$AH181)))</f>
        <v/>
      </c>
      <c r="B181">
        <f>IF($AH181="","",IF(INDEX('Per Invoice'!B$2:B$401,$AH181)="","",INDEX('Per Invoice'!B$2:B$401,$AH181)))</f>
        <v/>
      </c>
      <c r="C181">
        <f>IF($AH181="","",IF(INDEX('Per Invoice'!C$2:C$401,$AH181)="","",INDEX('Per Invoice'!C$2:C$401,$AH181)))</f>
        <v/>
      </c>
      <c r="D181">
        <f>IF($AH181="","",IF(INDEX('Per Invoice'!D$2:D$401,$AH181)="","",INDEX('Per Invoice'!D$2:D$401,$AH181)))</f>
        <v/>
      </c>
      <c r="E181">
        <f>IF($AH181="","",IF(INDEX('Per Invoice'!E$2:E$401,$AH181)="","",INDEX('Per Invoice'!E$2:E$401,$AH181)))</f>
        <v/>
      </c>
      <c r="F181">
        <f>IF($AH181="","",IF(INDEX('Per Invoice'!F$2:F$401,$AH181)="","",INDEX('Per Invoice'!F$2:F$401,$AH181)))</f>
        <v/>
      </c>
      <c r="G181">
        <f>IF($AH181="","",IF(INDEX('Per Invoice'!G$2:G$401,$AH181)="","",INDEX('Per Invoice'!G$2:G$401,$AH181)))</f>
        <v/>
      </c>
      <c r="H181">
        <f>IF($AH181="","",IF(INDEX('Per Invoice'!H$2:H$401,$AH181)="","",INDEX('Per Invoice'!H$2:H$401,$AH181)))</f>
        <v/>
      </c>
      <c r="I181" s="14">
        <f>IF($AH181="","",IF(INDEX('Per Invoice'!I$2:I$401,$AH181)="","",INDEX('Per Invoice'!I$2:I$401,$AH181)))</f>
        <v/>
      </c>
      <c r="J181">
        <f>IF($AH181="","",IF(INDEX('Per Invoice'!J$2:J$401,$AH181)="","",INDEX('Per Invoice'!J$2:J$401,$AH181)))</f>
        <v/>
      </c>
      <c r="K181">
        <f>IF($AH181="","",IF(INDEX('Per Invoice'!K$2:K$401,$AH181)="","",INDEX('Per Invoice'!K$2:K$401,$AH181)))</f>
        <v/>
      </c>
      <c r="L181">
        <f>IF($AH181="","",IF(INDEX('Per Invoice'!L$2:L$401,$AH181)="","",INDEX('Per Invoice'!L$2:L$401,$AH181)))</f>
        <v/>
      </c>
      <c r="M181">
        <f>IF($AH181="","",IF(INDEX('Per Invoice'!M$2:M$401,$AH181)="","",INDEX('Per Invoice'!M$2:M$401,$AH181)))</f>
        <v/>
      </c>
      <c r="N181">
        <f>IF($AH181="","",IF(INDEX('Per Invoice'!N$2:N$401,$AH181)="","",INDEX('Per Invoice'!N$2:N$401,$AH181)))</f>
        <v/>
      </c>
      <c r="O181">
        <f>IF($AH181="","",IF(INDEX('Per Invoice'!O$2:O$401,$AH181)="","",INDEX('Per Invoice'!O$2:O$401,$AH181)))</f>
        <v/>
      </c>
      <c r="P181" s="7">
        <f>IF($AH181="","",IF(INDEX('Per Invoice'!P$2:P$401,$AH181)="","",INDEX('Per Invoice'!P$2:P$401,$AH181)))</f>
        <v/>
      </c>
      <c r="Q181">
        <f>IF($AH181="","",IF(INDEX('Per Invoice'!Q$2:Q$401,$AH181)="","",INDEX('Per Invoice'!Q$2:Q$401,$AH181)))</f>
        <v/>
      </c>
      <c r="R181">
        <f>IF($AH181="","",IF(INDEX('Per Invoice'!R$2:R$401,$AH181)="","",INDEX('Per Invoice'!R$2:R$401,$AH181)))</f>
        <v/>
      </c>
      <c r="S181">
        <f>IF($AH181="","",IF(INDEX('Per Invoice'!S$2:S$401,$AH181)="","",INDEX('Per Invoice'!S$2:S$401,$AH181)))</f>
        <v/>
      </c>
      <c r="T181" s="7">
        <f>IF($AH181="","",IF(INDEX('Per Invoice'!T$2:T$401,$AH181)="","",INDEX('Per Invoice'!T$2:T$401,$AH181)))</f>
        <v/>
      </c>
      <c r="U181" s="7">
        <f>IF($AH181="","",IF(INDEX('Per Invoice'!U$2:U$401,$AH181)="","",INDEX('Per Invoice'!U$2:U$401,$AH181)))</f>
        <v/>
      </c>
      <c r="V181">
        <f>IF($AH181="","",IF(INDEX('Per Invoice'!V$2:V$401,$AH181)="","",INDEX('Per Invoice'!V$2:V$401,$AH181)))</f>
        <v/>
      </c>
      <c r="W181" s="7">
        <f>IF($AH181="","",IF(INDEX('Per Invoice'!W$2:W$401,$AH181)="","",INDEX('Per Invoice'!W$2:W$401,$AH181)))</f>
        <v/>
      </c>
      <c r="X181" s="7">
        <f>IF($AH181="","",IF(INDEX('Per Invoice'!X$2:X$401,$AH181)="","",INDEX('Per Invoice'!X$2:X$401,$AH181)))</f>
        <v/>
      </c>
      <c r="Y181">
        <f>IF($AH181="","",IF(INDEX('Per Invoice'!Y$2:Y$401,$AH181)="","",INDEX('Per Invoice'!Y$2:Y$401,$AH181)))</f>
        <v/>
      </c>
      <c r="Z181" s="7">
        <f>IF($AH181="","",IF(INDEX('Per Invoice'!Z$2:Z$401,$AH181)="","",INDEX('Per Invoice'!Z$2:Z$401,$AH181)))</f>
        <v/>
      </c>
      <c r="AA181" s="7">
        <f>IF($AH181="","",IF(INDEX('Per Invoice'!AA$2:AA$401,$AH181)="","",INDEX('Per Invoice'!AA$2:AA$401,$AH181)))</f>
        <v/>
      </c>
      <c r="AB181" s="7">
        <f>IF($AH181="","",IF(INDEX('Per Invoice'!AB$2:AB$401,$AH181)="","",INDEX('Per Invoice'!AB$2:AB$401,$AH181)))</f>
        <v/>
      </c>
      <c r="AC181" s="7">
        <f>IF($AH181="","",IF(INDEX('Per Invoice'!AC$2:AC$401,$AH181)="","",INDEX('Per Invoice'!AC$2:AC$401,$AH181)))</f>
        <v/>
      </c>
      <c r="AD181" s="7">
        <f>IF($AH181="","",IF(INDEX('Per Invoice'!AD$2:AD$401,$AH181)="","",INDEX('Per Invoice'!AD$2:AD$401,$AH181)))</f>
        <v/>
      </c>
      <c r="AE181" s="7">
        <f>IF($AH181="","",IF(INDEX('Per Invoice'!AE$2:AE$401,$AH181)="","",INDEX('Per Invoice'!AE$2:AE$401,$AH181)))</f>
        <v/>
      </c>
      <c r="AF181">
        <f>IF($AH181="","",IF(INDEX('Per Invoice'!AF$2:AF$401,$AH181)="","",INDEX('Per Invoice'!AF$2:AF$401,$AH181)))</f>
        <v/>
      </c>
      <c r="AG181" s="7">
        <f>IF($AH181="","",IF(INDEX('Per Invoice'!AG$2:AG$401,$AH181)="","",INDEX('Per Invoice'!AG$2:AG$401,$AH181)))</f>
        <v/>
      </c>
      <c r="AH181" s="16">
        <f>IFERROR(MATCH(Settings!$C$27&amp;"|"&amp;ROWS($AH$2:$AH181),'Per Invoice'!$AI$2:$AI$401,0),"")</f>
        <v/>
      </c>
    </row>
    <row r="182">
      <c r="A182">
        <f>IF($AH182="","",IF(INDEX('Per Invoice'!A$2:A$401,$AH182)="","",INDEX('Per Invoice'!A$2:A$401,$AH182)))</f>
        <v/>
      </c>
      <c r="B182">
        <f>IF($AH182="","",IF(INDEX('Per Invoice'!B$2:B$401,$AH182)="","",INDEX('Per Invoice'!B$2:B$401,$AH182)))</f>
        <v/>
      </c>
      <c r="C182">
        <f>IF($AH182="","",IF(INDEX('Per Invoice'!C$2:C$401,$AH182)="","",INDEX('Per Invoice'!C$2:C$401,$AH182)))</f>
        <v/>
      </c>
      <c r="D182">
        <f>IF($AH182="","",IF(INDEX('Per Invoice'!D$2:D$401,$AH182)="","",INDEX('Per Invoice'!D$2:D$401,$AH182)))</f>
        <v/>
      </c>
      <c r="E182">
        <f>IF($AH182="","",IF(INDEX('Per Invoice'!E$2:E$401,$AH182)="","",INDEX('Per Invoice'!E$2:E$401,$AH182)))</f>
        <v/>
      </c>
      <c r="F182">
        <f>IF($AH182="","",IF(INDEX('Per Invoice'!F$2:F$401,$AH182)="","",INDEX('Per Invoice'!F$2:F$401,$AH182)))</f>
        <v/>
      </c>
      <c r="G182">
        <f>IF($AH182="","",IF(INDEX('Per Invoice'!G$2:G$401,$AH182)="","",INDEX('Per Invoice'!G$2:G$401,$AH182)))</f>
        <v/>
      </c>
      <c r="H182">
        <f>IF($AH182="","",IF(INDEX('Per Invoice'!H$2:H$401,$AH182)="","",INDEX('Per Invoice'!H$2:H$401,$AH182)))</f>
        <v/>
      </c>
      <c r="I182" s="14">
        <f>IF($AH182="","",IF(INDEX('Per Invoice'!I$2:I$401,$AH182)="","",INDEX('Per Invoice'!I$2:I$401,$AH182)))</f>
        <v/>
      </c>
      <c r="J182">
        <f>IF($AH182="","",IF(INDEX('Per Invoice'!J$2:J$401,$AH182)="","",INDEX('Per Invoice'!J$2:J$401,$AH182)))</f>
        <v/>
      </c>
      <c r="K182">
        <f>IF($AH182="","",IF(INDEX('Per Invoice'!K$2:K$401,$AH182)="","",INDEX('Per Invoice'!K$2:K$401,$AH182)))</f>
        <v/>
      </c>
      <c r="L182">
        <f>IF($AH182="","",IF(INDEX('Per Invoice'!L$2:L$401,$AH182)="","",INDEX('Per Invoice'!L$2:L$401,$AH182)))</f>
        <v/>
      </c>
      <c r="M182">
        <f>IF($AH182="","",IF(INDEX('Per Invoice'!M$2:M$401,$AH182)="","",INDEX('Per Invoice'!M$2:M$401,$AH182)))</f>
        <v/>
      </c>
      <c r="N182">
        <f>IF($AH182="","",IF(INDEX('Per Invoice'!N$2:N$401,$AH182)="","",INDEX('Per Invoice'!N$2:N$401,$AH182)))</f>
        <v/>
      </c>
      <c r="O182">
        <f>IF($AH182="","",IF(INDEX('Per Invoice'!O$2:O$401,$AH182)="","",INDEX('Per Invoice'!O$2:O$401,$AH182)))</f>
        <v/>
      </c>
      <c r="P182" s="7">
        <f>IF($AH182="","",IF(INDEX('Per Invoice'!P$2:P$401,$AH182)="","",INDEX('Per Invoice'!P$2:P$401,$AH182)))</f>
        <v/>
      </c>
      <c r="Q182">
        <f>IF($AH182="","",IF(INDEX('Per Invoice'!Q$2:Q$401,$AH182)="","",INDEX('Per Invoice'!Q$2:Q$401,$AH182)))</f>
        <v/>
      </c>
      <c r="R182">
        <f>IF($AH182="","",IF(INDEX('Per Invoice'!R$2:R$401,$AH182)="","",INDEX('Per Invoice'!R$2:R$401,$AH182)))</f>
        <v/>
      </c>
      <c r="S182">
        <f>IF($AH182="","",IF(INDEX('Per Invoice'!S$2:S$401,$AH182)="","",INDEX('Per Invoice'!S$2:S$401,$AH182)))</f>
        <v/>
      </c>
      <c r="T182" s="7">
        <f>IF($AH182="","",IF(INDEX('Per Invoice'!T$2:T$401,$AH182)="","",INDEX('Per Invoice'!T$2:T$401,$AH182)))</f>
        <v/>
      </c>
      <c r="U182" s="7">
        <f>IF($AH182="","",IF(INDEX('Per Invoice'!U$2:U$401,$AH182)="","",INDEX('Per Invoice'!U$2:U$401,$AH182)))</f>
        <v/>
      </c>
      <c r="V182">
        <f>IF($AH182="","",IF(INDEX('Per Invoice'!V$2:V$401,$AH182)="","",INDEX('Per Invoice'!V$2:V$401,$AH182)))</f>
        <v/>
      </c>
      <c r="W182" s="7">
        <f>IF($AH182="","",IF(INDEX('Per Invoice'!W$2:W$401,$AH182)="","",INDEX('Per Invoice'!W$2:W$401,$AH182)))</f>
        <v/>
      </c>
      <c r="X182" s="7">
        <f>IF($AH182="","",IF(INDEX('Per Invoice'!X$2:X$401,$AH182)="","",INDEX('Per Invoice'!X$2:X$401,$AH182)))</f>
        <v/>
      </c>
      <c r="Y182">
        <f>IF($AH182="","",IF(INDEX('Per Invoice'!Y$2:Y$401,$AH182)="","",INDEX('Per Invoice'!Y$2:Y$401,$AH182)))</f>
        <v/>
      </c>
      <c r="Z182" s="7">
        <f>IF($AH182="","",IF(INDEX('Per Invoice'!Z$2:Z$401,$AH182)="","",INDEX('Per Invoice'!Z$2:Z$401,$AH182)))</f>
        <v/>
      </c>
      <c r="AA182" s="7">
        <f>IF($AH182="","",IF(INDEX('Per Invoice'!AA$2:AA$401,$AH182)="","",INDEX('Per Invoice'!AA$2:AA$401,$AH182)))</f>
        <v/>
      </c>
      <c r="AB182" s="7">
        <f>IF($AH182="","",IF(INDEX('Per Invoice'!AB$2:AB$401,$AH182)="","",INDEX('Per Invoice'!AB$2:AB$401,$AH182)))</f>
        <v/>
      </c>
      <c r="AC182" s="7">
        <f>IF($AH182="","",IF(INDEX('Per Invoice'!AC$2:AC$401,$AH182)="","",INDEX('Per Invoice'!AC$2:AC$401,$AH182)))</f>
        <v/>
      </c>
      <c r="AD182" s="7">
        <f>IF($AH182="","",IF(INDEX('Per Invoice'!AD$2:AD$401,$AH182)="","",INDEX('Per Invoice'!AD$2:AD$401,$AH182)))</f>
        <v/>
      </c>
      <c r="AE182" s="7">
        <f>IF($AH182="","",IF(INDEX('Per Invoice'!AE$2:AE$401,$AH182)="","",INDEX('Per Invoice'!AE$2:AE$401,$AH182)))</f>
        <v/>
      </c>
      <c r="AF182">
        <f>IF($AH182="","",IF(INDEX('Per Invoice'!AF$2:AF$401,$AH182)="","",INDEX('Per Invoice'!AF$2:AF$401,$AH182)))</f>
        <v/>
      </c>
      <c r="AG182" s="7">
        <f>IF($AH182="","",IF(INDEX('Per Invoice'!AG$2:AG$401,$AH182)="","",INDEX('Per Invoice'!AG$2:AG$401,$AH182)))</f>
        <v/>
      </c>
      <c r="AH182" s="16">
        <f>IFERROR(MATCH(Settings!$C$27&amp;"|"&amp;ROWS($AH$2:$AH182),'Per Invoice'!$AI$2:$AI$401,0),"")</f>
        <v/>
      </c>
    </row>
    <row r="183">
      <c r="A183">
        <f>IF($AH183="","",IF(INDEX('Per Invoice'!A$2:A$401,$AH183)="","",INDEX('Per Invoice'!A$2:A$401,$AH183)))</f>
        <v/>
      </c>
      <c r="B183">
        <f>IF($AH183="","",IF(INDEX('Per Invoice'!B$2:B$401,$AH183)="","",INDEX('Per Invoice'!B$2:B$401,$AH183)))</f>
        <v/>
      </c>
      <c r="C183">
        <f>IF($AH183="","",IF(INDEX('Per Invoice'!C$2:C$401,$AH183)="","",INDEX('Per Invoice'!C$2:C$401,$AH183)))</f>
        <v/>
      </c>
      <c r="D183">
        <f>IF($AH183="","",IF(INDEX('Per Invoice'!D$2:D$401,$AH183)="","",INDEX('Per Invoice'!D$2:D$401,$AH183)))</f>
        <v/>
      </c>
      <c r="E183">
        <f>IF($AH183="","",IF(INDEX('Per Invoice'!E$2:E$401,$AH183)="","",INDEX('Per Invoice'!E$2:E$401,$AH183)))</f>
        <v/>
      </c>
      <c r="F183">
        <f>IF($AH183="","",IF(INDEX('Per Invoice'!F$2:F$401,$AH183)="","",INDEX('Per Invoice'!F$2:F$401,$AH183)))</f>
        <v/>
      </c>
      <c r="G183">
        <f>IF($AH183="","",IF(INDEX('Per Invoice'!G$2:G$401,$AH183)="","",INDEX('Per Invoice'!G$2:G$401,$AH183)))</f>
        <v/>
      </c>
      <c r="H183">
        <f>IF($AH183="","",IF(INDEX('Per Invoice'!H$2:H$401,$AH183)="","",INDEX('Per Invoice'!H$2:H$401,$AH183)))</f>
        <v/>
      </c>
      <c r="I183" s="14">
        <f>IF($AH183="","",IF(INDEX('Per Invoice'!I$2:I$401,$AH183)="","",INDEX('Per Invoice'!I$2:I$401,$AH183)))</f>
        <v/>
      </c>
      <c r="J183">
        <f>IF($AH183="","",IF(INDEX('Per Invoice'!J$2:J$401,$AH183)="","",INDEX('Per Invoice'!J$2:J$401,$AH183)))</f>
        <v/>
      </c>
      <c r="K183">
        <f>IF($AH183="","",IF(INDEX('Per Invoice'!K$2:K$401,$AH183)="","",INDEX('Per Invoice'!K$2:K$401,$AH183)))</f>
        <v/>
      </c>
      <c r="L183">
        <f>IF($AH183="","",IF(INDEX('Per Invoice'!L$2:L$401,$AH183)="","",INDEX('Per Invoice'!L$2:L$401,$AH183)))</f>
        <v/>
      </c>
      <c r="M183">
        <f>IF($AH183="","",IF(INDEX('Per Invoice'!M$2:M$401,$AH183)="","",INDEX('Per Invoice'!M$2:M$401,$AH183)))</f>
        <v/>
      </c>
      <c r="N183">
        <f>IF($AH183="","",IF(INDEX('Per Invoice'!N$2:N$401,$AH183)="","",INDEX('Per Invoice'!N$2:N$401,$AH183)))</f>
        <v/>
      </c>
      <c r="O183">
        <f>IF($AH183="","",IF(INDEX('Per Invoice'!O$2:O$401,$AH183)="","",INDEX('Per Invoice'!O$2:O$401,$AH183)))</f>
        <v/>
      </c>
      <c r="P183" s="7">
        <f>IF($AH183="","",IF(INDEX('Per Invoice'!P$2:P$401,$AH183)="","",INDEX('Per Invoice'!P$2:P$401,$AH183)))</f>
        <v/>
      </c>
      <c r="Q183">
        <f>IF($AH183="","",IF(INDEX('Per Invoice'!Q$2:Q$401,$AH183)="","",INDEX('Per Invoice'!Q$2:Q$401,$AH183)))</f>
        <v/>
      </c>
      <c r="R183">
        <f>IF($AH183="","",IF(INDEX('Per Invoice'!R$2:R$401,$AH183)="","",INDEX('Per Invoice'!R$2:R$401,$AH183)))</f>
        <v/>
      </c>
      <c r="S183">
        <f>IF($AH183="","",IF(INDEX('Per Invoice'!S$2:S$401,$AH183)="","",INDEX('Per Invoice'!S$2:S$401,$AH183)))</f>
        <v/>
      </c>
      <c r="T183" s="7">
        <f>IF($AH183="","",IF(INDEX('Per Invoice'!T$2:T$401,$AH183)="","",INDEX('Per Invoice'!T$2:T$401,$AH183)))</f>
        <v/>
      </c>
      <c r="U183" s="7">
        <f>IF($AH183="","",IF(INDEX('Per Invoice'!U$2:U$401,$AH183)="","",INDEX('Per Invoice'!U$2:U$401,$AH183)))</f>
        <v/>
      </c>
      <c r="V183">
        <f>IF($AH183="","",IF(INDEX('Per Invoice'!V$2:V$401,$AH183)="","",INDEX('Per Invoice'!V$2:V$401,$AH183)))</f>
        <v/>
      </c>
      <c r="W183" s="7">
        <f>IF($AH183="","",IF(INDEX('Per Invoice'!W$2:W$401,$AH183)="","",INDEX('Per Invoice'!W$2:W$401,$AH183)))</f>
        <v/>
      </c>
      <c r="X183" s="7">
        <f>IF($AH183="","",IF(INDEX('Per Invoice'!X$2:X$401,$AH183)="","",INDEX('Per Invoice'!X$2:X$401,$AH183)))</f>
        <v/>
      </c>
      <c r="Y183">
        <f>IF($AH183="","",IF(INDEX('Per Invoice'!Y$2:Y$401,$AH183)="","",INDEX('Per Invoice'!Y$2:Y$401,$AH183)))</f>
        <v/>
      </c>
      <c r="Z183" s="7">
        <f>IF($AH183="","",IF(INDEX('Per Invoice'!Z$2:Z$401,$AH183)="","",INDEX('Per Invoice'!Z$2:Z$401,$AH183)))</f>
        <v/>
      </c>
      <c r="AA183" s="7">
        <f>IF($AH183="","",IF(INDEX('Per Invoice'!AA$2:AA$401,$AH183)="","",INDEX('Per Invoice'!AA$2:AA$401,$AH183)))</f>
        <v/>
      </c>
      <c r="AB183" s="7">
        <f>IF($AH183="","",IF(INDEX('Per Invoice'!AB$2:AB$401,$AH183)="","",INDEX('Per Invoice'!AB$2:AB$401,$AH183)))</f>
        <v/>
      </c>
      <c r="AC183" s="7">
        <f>IF($AH183="","",IF(INDEX('Per Invoice'!AC$2:AC$401,$AH183)="","",INDEX('Per Invoice'!AC$2:AC$401,$AH183)))</f>
        <v/>
      </c>
      <c r="AD183" s="7">
        <f>IF($AH183="","",IF(INDEX('Per Invoice'!AD$2:AD$401,$AH183)="","",INDEX('Per Invoice'!AD$2:AD$401,$AH183)))</f>
        <v/>
      </c>
      <c r="AE183" s="7">
        <f>IF($AH183="","",IF(INDEX('Per Invoice'!AE$2:AE$401,$AH183)="","",INDEX('Per Invoice'!AE$2:AE$401,$AH183)))</f>
        <v/>
      </c>
      <c r="AF183">
        <f>IF($AH183="","",IF(INDEX('Per Invoice'!AF$2:AF$401,$AH183)="","",INDEX('Per Invoice'!AF$2:AF$401,$AH183)))</f>
        <v/>
      </c>
      <c r="AG183" s="7">
        <f>IF($AH183="","",IF(INDEX('Per Invoice'!AG$2:AG$401,$AH183)="","",INDEX('Per Invoice'!AG$2:AG$401,$AH183)))</f>
        <v/>
      </c>
      <c r="AH183" s="16">
        <f>IFERROR(MATCH(Settings!$C$27&amp;"|"&amp;ROWS($AH$2:$AH183),'Per Invoice'!$AI$2:$AI$401,0),"")</f>
        <v/>
      </c>
    </row>
    <row r="184">
      <c r="A184">
        <f>IF($AH184="","",IF(INDEX('Per Invoice'!A$2:A$401,$AH184)="","",INDEX('Per Invoice'!A$2:A$401,$AH184)))</f>
        <v/>
      </c>
      <c r="B184">
        <f>IF($AH184="","",IF(INDEX('Per Invoice'!B$2:B$401,$AH184)="","",INDEX('Per Invoice'!B$2:B$401,$AH184)))</f>
        <v/>
      </c>
      <c r="C184">
        <f>IF($AH184="","",IF(INDEX('Per Invoice'!C$2:C$401,$AH184)="","",INDEX('Per Invoice'!C$2:C$401,$AH184)))</f>
        <v/>
      </c>
      <c r="D184">
        <f>IF($AH184="","",IF(INDEX('Per Invoice'!D$2:D$401,$AH184)="","",INDEX('Per Invoice'!D$2:D$401,$AH184)))</f>
        <v/>
      </c>
      <c r="E184">
        <f>IF($AH184="","",IF(INDEX('Per Invoice'!E$2:E$401,$AH184)="","",INDEX('Per Invoice'!E$2:E$401,$AH184)))</f>
        <v/>
      </c>
      <c r="F184">
        <f>IF($AH184="","",IF(INDEX('Per Invoice'!F$2:F$401,$AH184)="","",INDEX('Per Invoice'!F$2:F$401,$AH184)))</f>
        <v/>
      </c>
      <c r="G184">
        <f>IF($AH184="","",IF(INDEX('Per Invoice'!G$2:G$401,$AH184)="","",INDEX('Per Invoice'!G$2:G$401,$AH184)))</f>
        <v/>
      </c>
      <c r="H184">
        <f>IF($AH184="","",IF(INDEX('Per Invoice'!H$2:H$401,$AH184)="","",INDEX('Per Invoice'!H$2:H$401,$AH184)))</f>
        <v/>
      </c>
      <c r="I184" s="14">
        <f>IF($AH184="","",IF(INDEX('Per Invoice'!I$2:I$401,$AH184)="","",INDEX('Per Invoice'!I$2:I$401,$AH184)))</f>
        <v/>
      </c>
      <c r="J184">
        <f>IF($AH184="","",IF(INDEX('Per Invoice'!J$2:J$401,$AH184)="","",INDEX('Per Invoice'!J$2:J$401,$AH184)))</f>
        <v/>
      </c>
      <c r="K184">
        <f>IF($AH184="","",IF(INDEX('Per Invoice'!K$2:K$401,$AH184)="","",INDEX('Per Invoice'!K$2:K$401,$AH184)))</f>
        <v/>
      </c>
      <c r="L184">
        <f>IF($AH184="","",IF(INDEX('Per Invoice'!L$2:L$401,$AH184)="","",INDEX('Per Invoice'!L$2:L$401,$AH184)))</f>
        <v/>
      </c>
      <c r="M184">
        <f>IF($AH184="","",IF(INDEX('Per Invoice'!M$2:M$401,$AH184)="","",INDEX('Per Invoice'!M$2:M$401,$AH184)))</f>
        <v/>
      </c>
      <c r="N184">
        <f>IF($AH184="","",IF(INDEX('Per Invoice'!N$2:N$401,$AH184)="","",INDEX('Per Invoice'!N$2:N$401,$AH184)))</f>
        <v/>
      </c>
      <c r="O184">
        <f>IF($AH184="","",IF(INDEX('Per Invoice'!O$2:O$401,$AH184)="","",INDEX('Per Invoice'!O$2:O$401,$AH184)))</f>
        <v/>
      </c>
      <c r="P184" s="7">
        <f>IF($AH184="","",IF(INDEX('Per Invoice'!P$2:P$401,$AH184)="","",INDEX('Per Invoice'!P$2:P$401,$AH184)))</f>
        <v/>
      </c>
      <c r="Q184">
        <f>IF($AH184="","",IF(INDEX('Per Invoice'!Q$2:Q$401,$AH184)="","",INDEX('Per Invoice'!Q$2:Q$401,$AH184)))</f>
        <v/>
      </c>
      <c r="R184">
        <f>IF($AH184="","",IF(INDEX('Per Invoice'!R$2:R$401,$AH184)="","",INDEX('Per Invoice'!R$2:R$401,$AH184)))</f>
        <v/>
      </c>
      <c r="S184">
        <f>IF($AH184="","",IF(INDEX('Per Invoice'!S$2:S$401,$AH184)="","",INDEX('Per Invoice'!S$2:S$401,$AH184)))</f>
        <v/>
      </c>
      <c r="T184" s="7">
        <f>IF($AH184="","",IF(INDEX('Per Invoice'!T$2:T$401,$AH184)="","",INDEX('Per Invoice'!T$2:T$401,$AH184)))</f>
        <v/>
      </c>
      <c r="U184" s="7">
        <f>IF($AH184="","",IF(INDEX('Per Invoice'!U$2:U$401,$AH184)="","",INDEX('Per Invoice'!U$2:U$401,$AH184)))</f>
        <v/>
      </c>
      <c r="V184">
        <f>IF($AH184="","",IF(INDEX('Per Invoice'!V$2:V$401,$AH184)="","",INDEX('Per Invoice'!V$2:V$401,$AH184)))</f>
        <v/>
      </c>
      <c r="W184" s="7">
        <f>IF($AH184="","",IF(INDEX('Per Invoice'!W$2:W$401,$AH184)="","",INDEX('Per Invoice'!W$2:W$401,$AH184)))</f>
        <v/>
      </c>
      <c r="X184" s="7">
        <f>IF($AH184="","",IF(INDEX('Per Invoice'!X$2:X$401,$AH184)="","",INDEX('Per Invoice'!X$2:X$401,$AH184)))</f>
        <v/>
      </c>
      <c r="Y184">
        <f>IF($AH184="","",IF(INDEX('Per Invoice'!Y$2:Y$401,$AH184)="","",INDEX('Per Invoice'!Y$2:Y$401,$AH184)))</f>
        <v/>
      </c>
      <c r="Z184" s="7">
        <f>IF($AH184="","",IF(INDEX('Per Invoice'!Z$2:Z$401,$AH184)="","",INDEX('Per Invoice'!Z$2:Z$401,$AH184)))</f>
        <v/>
      </c>
      <c r="AA184" s="7">
        <f>IF($AH184="","",IF(INDEX('Per Invoice'!AA$2:AA$401,$AH184)="","",INDEX('Per Invoice'!AA$2:AA$401,$AH184)))</f>
        <v/>
      </c>
      <c r="AB184" s="7">
        <f>IF($AH184="","",IF(INDEX('Per Invoice'!AB$2:AB$401,$AH184)="","",INDEX('Per Invoice'!AB$2:AB$401,$AH184)))</f>
        <v/>
      </c>
      <c r="AC184" s="7">
        <f>IF($AH184="","",IF(INDEX('Per Invoice'!AC$2:AC$401,$AH184)="","",INDEX('Per Invoice'!AC$2:AC$401,$AH184)))</f>
        <v/>
      </c>
      <c r="AD184" s="7">
        <f>IF($AH184="","",IF(INDEX('Per Invoice'!AD$2:AD$401,$AH184)="","",INDEX('Per Invoice'!AD$2:AD$401,$AH184)))</f>
        <v/>
      </c>
      <c r="AE184" s="7">
        <f>IF($AH184="","",IF(INDEX('Per Invoice'!AE$2:AE$401,$AH184)="","",INDEX('Per Invoice'!AE$2:AE$401,$AH184)))</f>
        <v/>
      </c>
      <c r="AF184">
        <f>IF($AH184="","",IF(INDEX('Per Invoice'!AF$2:AF$401,$AH184)="","",INDEX('Per Invoice'!AF$2:AF$401,$AH184)))</f>
        <v/>
      </c>
      <c r="AG184" s="7">
        <f>IF($AH184="","",IF(INDEX('Per Invoice'!AG$2:AG$401,$AH184)="","",INDEX('Per Invoice'!AG$2:AG$401,$AH184)))</f>
        <v/>
      </c>
      <c r="AH184" s="16">
        <f>IFERROR(MATCH(Settings!$C$27&amp;"|"&amp;ROWS($AH$2:$AH184),'Per Invoice'!$AI$2:$AI$401,0),"")</f>
        <v/>
      </c>
    </row>
    <row r="185">
      <c r="A185">
        <f>IF($AH185="","",IF(INDEX('Per Invoice'!A$2:A$401,$AH185)="","",INDEX('Per Invoice'!A$2:A$401,$AH185)))</f>
        <v/>
      </c>
      <c r="B185">
        <f>IF($AH185="","",IF(INDEX('Per Invoice'!B$2:B$401,$AH185)="","",INDEX('Per Invoice'!B$2:B$401,$AH185)))</f>
        <v/>
      </c>
      <c r="C185">
        <f>IF($AH185="","",IF(INDEX('Per Invoice'!C$2:C$401,$AH185)="","",INDEX('Per Invoice'!C$2:C$401,$AH185)))</f>
        <v/>
      </c>
      <c r="D185">
        <f>IF($AH185="","",IF(INDEX('Per Invoice'!D$2:D$401,$AH185)="","",INDEX('Per Invoice'!D$2:D$401,$AH185)))</f>
        <v/>
      </c>
      <c r="E185">
        <f>IF($AH185="","",IF(INDEX('Per Invoice'!E$2:E$401,$AH185)="","",INDEX('Per Invoice'!E$2:E$401,$AH185)))</f>
        <v/>
      </c>
      <c r="F185">
        <f>IF($AH185="","",IF(INDEX('Per Invoice'!F$2:F$401,$AH185)="","",INDEX('Per Invoice'!F$2:F$401,$AH185)))</f>
        <v/>
      </c>
      <c r="G185">
        <f>IF($AH185="","",IF(INDEX('Per Invoice'!G$2:G$401,$AH185)="","",INDEX('Per Invoice'!G$2:G$401,$AH185)))</f>
        <v/>
      </c>
      <c r="H185">
        <f>IF($AH185="","",IF(INDEX('Per Invoice'!H$2:H$401,$AH185)="","",INDEX('Per Invoice'!H$2:H$401,$AH185)))</f>
        <v/>
      </c>
      <c r="I185" s="14">
        <f>IF($AH185="","",IF(INDEX('Per Invoice'!I$2:I$401,$AH185)="","",INDEX('Per Invoice'!I$2:I$401,$AH185)))</f>
        <v/>
      </c>
      <c r="J185">
        <f>IF($AH185="","",IF(INDEX('Per Invoice'!J$2:J$401,$AH185)="","",INDEX('Per Invoice'!J$2:J$401,$AH185)))</f>
        <v/>
      </c>
      <c r="K185">
        <f>IF($AH185="","",IF(INDEX('Per Invoice'!K$2:K$401,$AH185)="","",INDEX('Per Invoice'!K$2:K$401,$AH185)))</f>
        <v/>
      </c>
      <c r="L185">
        <f>IF($AH185="","",IF(INDEX('Per Invoice'!L$2:L$401,$AH185)="","",INDEX('Per Invoice'!L$2:L$401,$AH185)))</f>
        <v/>
      </c>
      <c r="M185">
        <f>IF($AH185="","",IF(INDEX('Per Invoice'!M$2:M$401,$AH185)="","",INDEX('Per Invoice'!M$2:M$401,$AH185)))</f>
        <v/>
      </c>
      <c r="N185">
        <f>IF($AH185="","",IF(INDEX('Per Invoice'!N$2:N$401,$AH185)="","",INDEX('Per Invoice'!N$2:N$401,$AH185)))</f>
        <v/>
      </c>
      <c r="O185">
        <f>IF($AH185="","",IF(INDEX('Per Invoice'!O$2:O$401,$AH185)="","",INDEX('Per Invoice'!O$2:O$401,$AH185)))</f>
        <v/>
      </c>
      <c r="P185" s="7">
        <f>IF($AH185="","",IF(INDEX('Per Invoice'!P$2:P$401,$AH185)="","",INDEX('Per Invoice'!P$2:P$401,$AH185)))</f>
        <v/>
      </c>
      <c r="Q185">
        <f>IF($AH185="","",IF(INDEX('Per Invoice'!Q$2:Q$401,$AH185)="","",INDEX('Per Invoice'!Q$2:Q$401,$AH185)))</f>
        <v/>
      </c>
      <c r="R185">
        <f>IF($AH185="","",IF(INDEX('Per Invoice'!R$2:R$401,$AH185)="","",INDEX('Per Invoice'!R$2:R$401,$AH185)))</f>
        <v/>
      </c>
      <c r="S185">
        <f>IF($AH185="","",IF(INDEX('Per Invoice'!S$2:S$401,$AH185)="","",INDEX('Per Invoice'!S$2:S$401,$AH185)))</f>
        <v/>
      </c>
      <c r="T185" s="7">
        <f>IF($AH185="","",IF(INDEX('Per Invoice'!T$2:T$401,$AH185)="","",INDEX('Per Invoice'!T$2:T$401,$AH185)))</f>
        <v/>
      </c>
      <c r="U185" s="7">
        <f>IF($AH185="","",IF(INDEX('Per Invoice'!U$2:U$401,$AH185)="","",INDEX('Per Invoice'!U$2:U$401,$AH185)))</f>
        <v/>
      </c>
      <c r="V185">
        <f>IF($AH185="","",IF(INDEX('Per Invoice'!V$2:V$401,$AH185)="","",INDEX('Per Invoice'!V$2:V$401,$AH185)))</f>
        <v/>
      </c>
      <c r="W185" s="7">
        <f>IF($AH185="","",IF(INDEX('Per Invoice'!W$2:W$401,$AH185)="","",INDEX('Per Invoice'!W$2:W$401,$AH185)))</f>
        <v/>
      </c>
      <c r="X185" s="7">
        <f>IF($AH185="","",IF(INDEX('Per Invoice'!X$2:X$401,$AH185)="","",INDEX('Per Invoice'!X$2:X$401,$AH185)))</f>
        <v/>
      </c>
      <c r="Y185">
        <f>IF($AH185="","",IF(INDEX('Per Invoice'!Y$2:Y$401,$AH185)="","",INDEX('Per Invoice'!Y$2:Y$401,$AH185)))</f>
        <v/>
      </c>
      <c r="Z185" s="7">
        <f>IF($AH185="","",IF(INDEX('Per Invoice'!Z$2:Z$401,$AH185)="","",INDEX('Per Invoice'!Z$2:Z$401,$AH185)))</f>
        <v/>
      </c>
      <c r="AA185" s="7">
        <f>IF($AH185="","",IF(INDEX('Per Invoice'!AA$2:AA$401,$AH185)="","",INDEX('Per Invoice'!AA$2:AA$401,$AH185)))</f>
        <v/>
      </c>
      <c r="AB185" s="7">
        <f>IF($AH185="","",IF(INDEX('Per Invoice'!AB$2:AB$401,$AH185)="","",INDEX('Per Invoice'!AB$2:AB$401,$AH185)))</f>
        <v/>
      </c>
      <c r="AC185" s="7">
        <f>IF($AH185="","",IF(INDEX('Per Invoice'!AC$2:AC$401,$AH185)="","",INDEX('Per Invoice'!AC$2:AC$401,$AH185)))</f>
        <v/>
      </c>
      <c r="AD185" s="7">
        <f>IF($AH185="","",IF(INDEX('Per Invoice'!AD$2:AD$401,$AH185)="","",INDEX('Per Invoice'!AD$2:AD$401,$AH185)))</f>
        <v/>
      </c>
      <c r="AE185" s="7">
        <f>IF($AH185="","",IF(INDEX('Per Invoice'!AE$2:AE$401,$AH185)="","",INDEX('Per Invoice'!AE$2:AE$401,$AH185)))</f>
        <v/>
      </c>
      <c r="AF185">
        <f>IF($AH185="","",IF(INDEX('Per Invoice'!AF$2:AF$401,$AH185)="","",INDEX('Per Invoice'!AF$2:AF$401,$AH185)))</f>
        <v/>
      </c>
      <c r="AG185" s="7">
        <f>IF($AH185="","",IF(INDEX('Per Invoice'!AG$2:AG$401,$AH185)="","",INDEX('Per Invoice'!AG$2:AG$401,$AH185)))</f>
        <v/>
      </c>
      <c r="AH185" s="16">
        <f>IFERROR(MATCH(Settings!$C$27&amp;"|"&amp;ROWS($AH$2:$AH185),'Per Invoice'!$AI$2:$AI$401,0),"")</f>
        <v/>
      </c>
    </row>
    <row r="186">
      <c r="A186">
        <f>IF($AH186="","",IF(INDEX('Per Invoice'!A$2:A$401,$AH186)="","",INDEX('Per Invoice'!A$2:A$401,$AH186)))</f>
        <v/>
      </c>
      <c r="B186">
        <f>IF($AH186="","",IF(INDEX('Per Invoice'!B$2:B$401,$AH186)="","",INDEX('Per Invoice'!B$2:B$401,$AH186)))</f>
        <v/>
      </c>
      <c r="C186">
        <f>IF($AH186="","",IF(INDEX('Per Invoice'!C$2:C$401,$AH186)="","",INDEX('Per Invoice'!C$2:C$401,$AH186)))</f>
        <v/>
      </c>
      <c r="D186">
        <f>IF($AH186="","",IF(INDEX('Per Invoice'!D$2:D$401,$AH186)="","",INDEX('Per Invoice'!D$2:D$401,$AH186)))</f>
        <v/>
      </c>
      <c r="E186">
        <f>IF($AH186="","",IF(INDEX('Per Invoice'!E$2:E$401,$AH186)="","",INDEX('Per Invoice'!E$2:E$401,$AH186)))</f>
        <v/>
      </c>
      <c r="F186">
        <f>IF($AH186="","",IF(INDEX('Per Invoice'!F$2:F$401,$AH186)="","",INDEX('Per Invoice'!F$2:F$401,$AH186)))</f>
        <v/>
      </c>
      <c r="G186">
        <f>IF($AH186="","",IF(INDEX('Per Invoice'!G$2:G$401,$AH186)="","",INDEX('Per Invoice'!G$2:G$401,$AH186)))</f>
        <v/>
      </c>
      <c r="H186">
        <f>IF($AH186="","",IF(INDEX('Per Invoice'!H$2:H$401,$AH186)="","",INDEX('Per Invoice'!H$2:H$401,$AH186)))</f>
        <v/>
      </c>
      <c r="I186" s="14">
        <f>IF($AH186="","",IF(INDEX('Per Invoice'!I$2:I$401,$AH186)="","",INDEX('Per Invoice'!I$2:I$401,$AH186)))</f>
        <v/>
      </c>
      <c r="J186">
        <f>IF($AH186="","",IF(INDEX('Per Invoice'!J$2:J$401,$AH186)="","",INDEX('Per Invoice'!J$2:J$401,$AH186)))</f>
        <v/>
      </c>
      <c r="K186">
        <f>IF($AH186="","",IF(INDEX('Per Invoice'!K$2:K$401,$AH186)="","",INDEX('Per Invoice'!K$2:K$401,$AH186)))</f>
        <v/>
      </c>
      <c r="L186">
        <f>IF($AH186="","",IF(INDEX('Per Invoice'!L$2:L$401,$AH186)="","",INDEX('Per Invoice'!L$2:L$401,$AH186)))</f>
        <v/>
      </c>
      <c r="M186">
        <f>IF($AH186="","",IF(INDEX('Per Invoice'!M$2:M$401,$AH186)="","",INDEX('Per Invoice'!M$2:M$401,$AH186)))</f>
        <v/>
      </c>
      <c r="N186">
        <f>IF($AH186="","",IF(INDEX('Per Invoice'!N$2:N$401,$AH186)="","",INDEX('Per Invoice'!N$2:N$401,$AH186)))</f>
        <v/>
      </c>
      <c r="O186">
        <f>IF($AH186="","",IF(INDEX('Per Invoice'!O$2:O$401,$AH186)="","",INDEX('Per Invoice'!O$2:O$401,$AH186)))</f>
        <v/>
      </c>
      <c r="P186" s="7">
        <f>IF($AH186="","",IF(INDEX('Per Invoice'!P$2:P$401,$AH186)="","",INDEX('Per Invoice'!P$2:P$401,$AH186)))</f>
        <v/>
      </c>
      <c r="Q186">
        <f>IF($AH186="","",IF(INDEX('Per Invoice'!Q$2:Q$401,$AH186)="","",INDEX('Per Invoice'!Q$2:Q$401,$AH186)))</f>
        <v/>
      </c>
      <c r="R186">
        <f>IF($AH186="","",IF(INDEX('Per Invoice'!R$2:R$401,$AH186)="","",INDEX('Per Invoice'!R$2:R$401,$AH186)))</f>
        <v/>
      </c>
      <c r="S186">
        <f>IF($AH186="","",IF(INDEX('Per Invoice'!S$2:S$401,$AH186)="","",INDEX('Per Invoice'!S$2:S$401,$AH186)))</f>
        <v/>
      </c>
      <c r="T186" s="7">
        <f>IF($AH186="","",IF(INDEX('Per Invoice'!T$2:T$401,$AH186)="","",INDEX('Per Invoice'!T$2:T$401,$AH186)))</f>
        <v/>
      </c>
      <c r="U186" s="7">
        <f>IF($AH186="","",IF(INDEX('Per Invoice'!U$2:U$401,$AH186)="","",INDEX('Per Invoice'!U$2:U$401,$AH186)))</f>
        <v/>
      </c>
      <c r="V186">
        <f>IF($AH186="","",IF(INDEX('Per Invoice'!V$2:V$401,$AH186)="","",INDEX('Per Invoice'!V$2:V$401,$AH186)))</f>
        <v/>
      </c>
      <c r="W186" s="7">
        <f>IF($AH186="","",IF(INDEX('Per Invoice'!W$2:W$401,$AH186)="","",INDEX('Per Invoice'!W$2:W$401,$AH186)))</f>
        <v/>
      </c>
      <c r="X186" s="7">
        <f>IF($AH186="","",IF(INDEX('Per Invoice'!X$2:X$401,$AH186)="","",INDEX('Per Invoice'!X$2:X$401,$AH186)))</f>
        <v/>
      </c>
      <c r="Y186">
        <f>IF($AH186="","",IF(INDEX('Per Invoice'!Y$2:Y$401,$AH186)="","",INDEX('Per Invoice'!Y$2:Y$401,$AH186)))</f>
        <v/>
      </c>
      <c r="Z186" s="7">
        <f>IF($AH186="","",IF(INDEX('Per Invoice'!Z$2:Z$401,$AH186)="","",INDEX('Per Invoice'!Z$2:Z$401,$AH186)))</f>
        <v/>
      </c>
      <c r="AA186" s="7">
        <f>IF($AH186="","",IF(INDEX('Per Invoice'!AA$2:AA$401,$AH186)="","",INDEX('Per Invoice'!AA$2:AA$401,$AH186)))</f>
        <v/>
      </c>
      <c r="AB186" s="7">
        <f>IF($AH186="","",IF(INDEX('Per Invoice'!AB$2:AB$401,$AH186)="","",INDEX('Per Invoice'!AB$2:AB$401,$AH186)))</f>
        <v/>
      </c>
      <c r="AC186" s="7">
        <f>IF($AH186="","",IF(INDEX('Per Invoice'!AC$2:AC$401,$AH186)="","",INDEX('Per Invoice'!AC$2:AC$401,$AH186)))</f>
        <v/>
      </c>
      <c r="AD186" s="7">
        <f>IF($AH186="","",IF(INDEX('Per Invoice'!AD$2:AD$401,$AH186)="","",INDEX('Per Invoice'!AD$2:AD$401,$AH186)))</f>
        <v/>
      </c>
      <c r="AE186" s="7">
        <f>IF($AH186="","",IF(INDEX('Per Invoice'!AE$2:AE$401,$AH186)="","",INDEX('Per Invoice'!AE$2:AE$401,$AH186)))</f>
        <v/>
      </c>
      <c r="AF186">
        <f>IF($AH186="","",IF(INDEX('Per Invoice'!AF$2:AF$401,$AH186)="","",INDEX('Per Invoice'!AF$2:AF$401,$AH186)))</f>
        <v/>
      </c>
      <c r="AG186" s="7">
        <f>IF($AH186="","",IF(INDEX('Per Invoice'!AG$2:AG$401,$AH186)="","",INDEX('Per Invoice'!AG$2:AG$401,$AH186)))</f>
        <v/>
      </c>
      <c r="AH186" s="16">
        <f>IFERROR(MATCH(Settings!$C$27&amp;"|"&amp;ROWS($AH$2:$AH186),'Per Invoice'!$AI$2:$AI$401,0),"")</f>
        <v/>
      </c>
    </row>
    <row r="187">
      <c r="A187">
        <f>IF($AH187="","",IF(INDEX('Per Invoice'!A$2:A$401,$AH187)="","",INDEX('Per Invoice'!A$2:A$401,$AH187)))</f>
        <v/>
      </c>
      <c r="B187">
        <f>IF($AH187="","",IF(INDEX('Per Invoice'!B$2:B$401,$AH187)="","",INDEX('Per Invoice'!B$2:B$401,$AH187)))</f>
        <v/>
      </c>
      <c r="C187">
        <f>IF($AH187="","",IF(INDEX('Per Invoice'!C$2:C$401,$AH187)="","",INDEX('Per Invoice'!C$2:C$401,$AH187)))</f>
        <v/>
      </c>
      <c r="D187">
        <f>IF($AH187="","",IF(INDEX('Per Invoice'!D$2:D$401,$AH187)="","",INDEX('Per Invoice'!D$2:D$401,$AH187)))</f>
        <v/>
      </c>
      <c r="E187">
        <f>IF($AH187="","",IF(INDEX('Per Invoice'!E$2:E$401,$AH187)="","",INDEX('Per Invoice'!E$2:E$401,$AH187)))</f>
        <v/>
      </c>
      <c r="F187">
        <f>IF($AH187="","",IF(INDEX('Per Invoice'!F$2:F$401,$AH187)="","",INDEX('Per Invoice'!F$2:F$401,$AH187)))</f>
        <v/>
      </c>
      <c r="G187">
        <f>IF($AH187="","",IF(INDEX('Per Invoice'!G$2:G$401,$AH187)="","",INDEX('Per Invoice'!G$2:G$401,$AH187)))</f>
        <v/>
      </c>
      <c r="H187">
        <f>IF($AH187="","",IF(INDEX('Per Invoice'!H$2:H$401,$AH187)="","",INDEX('Per Invoice'!H$2:H$401,$AH187)))</f>
        <v/>
      </c>
      <c r="I187" s="14">
        <f>IF($AH187="","",IF(INDEX('Per Invoice'!I$2:I$401,$AH187)="","",INDEX('Per Invoice'!I$2:I$401,$AH187)))</f>
        <v/>
      </c>
      <c r="J187">
        <f>IF($AH187="","",IF(INDEX('Per Invoice'!J$2:J$401,$AH187)="","",INDEX('Per Invoice'!J$2:J$401,$AH187)))</f>
        <v/>
      </c>
      <c r="K187">
        <f>IF($AH187="","",IF(INDEX('Per Invoice'!K$2:K$401,$AH187)="","",INDEX('Per Invoice'!K$2:K$401,$AH187)))</f>
        <v/>
      </c>
      <c r="L187">
        <f>IF($AH187="","",IF(INDEX('Per Invoice'!L$2:L$401,$AH187)="","",INDEX('Per Invoice'!L$2:L$401,$AH187)))</f>
        <v/>
      </c>
      <c r="M187">
        <f>IF($AH187="","",IF(INDEX('Per Invoice'!M$2:M$401,$AH187)="","",INDEX('Per Invoice'!M$2:M$401,$AH187)))</f>
        <v/>
      </c>
      <c r="N187">
        <f>IF($AH187="","",IF(INDEX('Per Invoice'!N$2:N$401,$AH187)="","",INDEX('Per Invoice'!N$2:N$401,$AH187)))</f>
        <v/>
      </c>
      <c r="O187">
        <f>IF($AH187="","",IF(INDEX('Per Invoice'!O$2:O$401,$AH187)="","",INDEX('Per Invoice'!O$2:O$401,$AH187)))</f>
        <v/>
      </c>
      <c r="P187" s="7">
        <f>IF($AH187="","",IF(INDEX('Per Invoice'!P$2:P$401,$AH187)="","",INDEX('Per Invoice'!P$2:P$401,$AH187)))</f>
        <v/>
      </c>
      <c r="Q187">
        <f>IF($AH187="","",IF(INDEX('Per Invoice'!Q$2:Q$401,$AH187)="","",INDEX('Per Invoice'!Q$2:Q$401,$AH187)))</f>
        <v/>
      </c>
      <c r="R187">
        <f>IF($AH187="","",IF(INDEX('Per Invoice'!R$2:R$401,$AH187)="","",INDEX('Per Invoice'!R$2:R$401,$AH187)))</f>
        <v/>
      </c>
      <c r="S187">
        <f>IF($AH187="","",IF(INDEX('Per Invoice'!S$2:S$401,$AH187)="","",INDEX('Per Invoice'!S$2:S$401,$AH187)))</f>
        <v/>
      </c>
      <c r="T187" s="7">
        <f>IF($AH187="","",IF(INDEX('Per Invoice'!T$2:T$401,$AH187)="","",INDEX('Per Invoice'!T$2:T$401,$AH187)))</f>
        <v/>
      </c>
      <c r="U187" s="7">
        <f>IF($AH187="","",IF(INDEX('Per Invoice'!U$2:U$401,$AH187)="","",INDEX('Per Invoice'!U$2:U$401,$AH187)))</f>
        <v/>
      </c>
      <c r="V187">
        <f>IF($AH187="","",IF(INDEX('Per Invoice'!V$2:V$401,$AH187)="","",INDEX('Per Invoice'!V$2:V$401,$AH187)))</f>
        <v/>
      </c>
      <c r="W187" s="7">
        <f>IF($AH187="","",IF(INDEX('Per Invoice'!W$2:W$401,$AH187)="","",INDEX('Per Invoice'!W$2:W$401,$AH187)))</f>
        <v/>
      </c>
      <c r="X187" s="7">
        <f>IF($AH187="","",IF(INDEX('Per Invoice'!X$2:X$401,$AH187)="","",INDEX('Per Invoice'!X$2:X$401,$AH187)))</f>
        <v/>
      </c>
      <c r="Y187">
        <f>IF($AH187="","",IF(INDEX('Per Invoice'!Y$2:Y$401,$AH187)="","",INDEX('Per Invoice'!Y$2:Y$401,$AH187)))</f>
        <v/>
      </c>
      <c r="Z187" s="7">
        <f>IF($AH187="","",IF(INDEX('Per Invoice'!Z$2:Z$401,$AH187)="","",INDEX('Per Invoice'!Z$2:Z$401,$AH187)))</f>
        <v/>
      </c>
      <c r="AA187" s="7">
        <f>IF($AH187="","",IF(INDEX('Per Invoice'!AA$2:AA$401,$AH187)="","",INDEX('Per Invoice'!AA$2:AA$401,$AH187)))</f>
        <v/>
      </c>
      <c r="AB187" s="7">
        <f>IF($AH187="","",IF(INDEX('Per Invoice'!AB$2:AB$401,$AH187)="","",INDEX('Per Invoice'!AB$2:AB$401,$AH187)))</f>
        <v/>
      </c>
      <c r="AC187" s="7">
        <f>IF($AH187="","",IF(INDEX('Per Invoice'!AC$2:AC$401,$AH187)="","",INDEX('Per Invoice'!AC$2:AC$401,$AH187)))</f>
        <v/>
      </c>
      <c r="AD187" s="7">
        <f>IF($AH187="","",IF(INDEX('Per Invoice'!AD$2:AD$401,$AH187)="","",INDEX('Per Invoice'!AD$2:AD$401,$AH187)))</f>
        <v/>
      </c>
      <c r="AE187" s="7">
        <f>IF($AH187="","",IF(INDEX('Per Invoice'!AE$2:AE$401,$AH187)="","",INDEX('Per Invoice'!AE$2:AE$401,$AH187)))</f>
        <v/>
      </c>
      <c r="AF187">
        <f>IF($AH187="","",IF(INDEX('Per Invoice'!AF$2:AF$401,$AH187)="","",INDEX('Per Invoice'!AF$2:AF$401,$AH187)))</f>
        <v/>
      </c>
      <c r="AG187" s="7">
        <f>IF($AH187="","",IF(INDEX('Per Invoice'!AG$2:AG$401,$AH187)="","",INDEX('Per Invoice'!AG$2:AG$401,$AH187)))</f>
        <v/>
      </c>
      <c r="AH187" s="16">
        <f>IFERROR(MATCH(Settings!$C$27&amp;"|"&amp;ROWS($AH$2:$AH187),'Per Invoice'!$AI$2:$AI$401,0),"")</f>
        <v/>
      </c>
    </row>
    <row r="188">
      <c r="A188">
        <f>IF($AH188="","",IF(INDEX('Per Invoice'!A$2:A$401,$AH188)="","",INDEX('Per Invoice'!A$2:A$401,$AH188)))</f>
        <v/>
      </c>
      <c r="B188">
        <f>IF($AH188="","",IF(INDEX('Per Invoice'!B$2:B$401,$AH188)="","",INDEX('Per Invoice'!B$2:B$401,$AH188)))</f>
        <v/>
      </c>
      <c r="C188">
        <f>IF($AH188="","",IF(INDEX('Per Invoice'!C$2:C$401,$AH188)="","",INDEX('Per Invoice'!C$2:C$401,$AH188)))</f>
        <v/>
      </c>
      <c r="D188">
        <f>IF($AH188="","",IF(INDEX('Per Invoice'!D$2:D$401,$AH188)="","",INDEX('Per Invoice'!D$2:D$401,$AH188)))</f>
        <v/>
      </c>
      <c r="E188">
        <f>IF($AH188="","",IF(INDEX('Per Invoice'!E$2:E$401,$AH188)="","",INDEX('Per Invoice'!E$2:E$401,$AH188)))</f>
        <v/>
      </c>
      <c r="F188">
        <f>IF($AH188="","",IF(INDEX('Per Invoice'!F$2:F$401,$AH188)="","",INDEX('Per Invoice'!F$2:F$401,$AH188)))</f>
        <v/>
      </c>
      <c r="G188">
        <f>IF($AH188="","",IF(INDEX('Per Invoice'!G$2:G$401,$AH188)="","",INDEX('Per Invoice'!G$2:G$401,$AH188)))</f>
        <v/>
      </c>
      <c r="H188">
        <f>IF($AH188="","",IF(INDEX('Per Invoice'!H$2:H$401,$AH188)="","",INDEX('Per Invoice'!H$2:H$401,$AH188)))</f>
        <v/>
      </c>
      <c r="I188" s="14">
        <f>IF($AH188="","",IF(INDEX('Per Invoice'!I$2:I$401,$AH188)="","",INDEX('Per Invoice'!I$2:I$401,$AH188)))</f>
        <v/>
      </c>
      <c r="J188">
        <f>IF($AH188="","",IF(INDEX('Per Invoice'!J$2:J$401,$AH188)="","",INDEX('Per Invoice'!J$2:J$401,$AH188)))</f>
        <v/>
      </c>
      <c r="K188">
        <f>IF($AH188="","",IF(INDEX('Per Invoice'!K$2:K$401,$AH188)="","",INDEX('Per Invoice'!K$2:K$401,$AH188)))</f>
        <v/>
      </c>
      <c r="L188">
        <f>IF($AH188="","",IF(INDEX('Per Invoice'!L$2:L$401,$AH188)="","",INDEX('Per Invoice'!L$2:L$401,$AH188)))</f>
        <v/>
      </c>
      <c r="M188">
        <f>IF($AH188="","",IF(INDEX('Per Invoice'!M$2:M$401,$AH188)="","",INDEX('Per Invoice'!M$2:M$401,$AH188)))</f>
        <v/>
      </c>
      <c r="N188">
        <f>IF($AH188="","",IF(INDEX('Per Invoice'!N$2:N$401,$AH188)="","",INDEX('Per Invoice'!N$2:N$401,$AH188)))</f>
        <v/>
      </c>
      <c r="O188">
        <f>IF($AH188="","",IF(INDEX('Per Invoice'!O$2:O$401,$AH188)="","",INDEX('Per Invoice'!O$2:O$401,$AH188)))</f>
        <v/>
      </c>
      <c r="P188" s="7">
        <f>IF($AH188="","",IF(INDEX('Per Invoice'!P$2:P$401,$AH188)="","",INDEX('Per Invoice'!P$2:P$401,$AH188)))</f>
        <v/>
      </c>
      <c r="Q188">
        <f>IF($AH188="","",IF(INDEX('Per Invoice'!Q$2:Q$401,$AH188)="","",INDEX('Per Invoice'!Q$2:Q$401,$AH188)))</f>
        <v/>
      </c>
      <c r="R188">
        <f>IF($AH188="","",IF(INDEX('Per Invoice'!R$2:R$401,$AH188)="","",INDEX('Per Invoice'!R$2:R$401,$AH188)))</f>
        <v/>
      </c>
      <c r="S188">
        <f>IF($AH188="","",IF(INDEX('Per Invoice'!S$2:S$401,$AH188)="","",INDEX('Per Invoice'!S$2:S$401,$AH188)))</f>
        <v/>
      </c>
      <c r="T188" s="7">
        <f>IF($AH188="","",IF(INDEX('Per Invoice'!T$2:T$401,$AH188)="","",INDEX('Per Invoice'!T$2:T$401,$AH188)))</f>
        <v/>
      </c>
      <c r="U188" s="7">
        <f>IF($AH188="","",IF(INDEX('Per Invoice'!U$2:U$401,$AH188)="","",INDEX('Per Invoice'!U$2:U$401,$AH188)))</f>
        <v/>
      </c>
      <c r="V188">
        <f>IF($AH188="","",IF(INDEX('Per Invoice'!V$2:V$401,$AH188)="","",INDEX('Per Invoice'!V$2:V$401,$AH188)))</f>
        <v/>
      </c>
      <c r="W188" s="7">
        <f>IF($AH188="","",IF(INDEX('Per Invoice'!W$2:W$401,$AH188)="","",INDEX('Per Invoice'!W$2:W$401,$AH188)))</f>
        <v/>
      </c>
      <c r="X188" s="7">
        <f>IF($AH188="","",IF(INDEX('Per Invoice'!X$2:X$401,$AH188)="","",INDEX('Per Invoice'!X$2:X$401,$AH188)))</f>
        <v/>
      </c>
      <c r="Y188">
        <f>IF($AH188="","",IF(INDEX('Per Invoice'!Y$2:Y$401,$AH188)="","",INDEX('Per Invoice'!Y$2:Y$401,$AH188)))</f>
        <v/>
      </c>
      <c r="Z188" s="7">
        <f>IF($AH188="","",IF(INDEX('Per Invoice'!Z$2:Z$401,$AH188)="","",INDEX('Per Invoice'!Z$2:Z$401,$AH188)))</f>
        <v/>
      </c>
      <c r="AA188" s="7">
        <f>IF($AH188="","",IF(INDEX('Per Invoice'!AA$2:AA$401,$AH188)="","",INDEX('Per Invoice'!AA$2:AA$401,$AH188)))</f>
        <v/>
      </c>
      <c r="AB188" s="7">
        <f>IF($AH188="","",IF(INDEX('Per Invoice'!AB$2:AB$401,$AH188)="","",INDEX('Per Invoice'!AB$2:AB$401,$AH188)))</f>
        <v/>
      </c>
      <c r="AC188" s="7">
        <f>IF($AH188="","",IF(INDEX('Per Invoice'!AC$2:AC$401,$AH188)="","",INDEX('Per Invoice'!AC$2:AC$401,$AH188)))</f>
        <v/>
      </c>
      <c r="AD188" s="7">
        <f>IF($AH188="","",IF(INDEX('Per Invoice'!AD$2:AD$401,$AH188)="","",INDEX('Per Invoice'!AD$2:AD$401,$AH188)))</f>
        <v/>
      </c>
      <c r="AE188" s="7">
        <f>IF($AH188="","",IF(INDEX('Per Invoice'!AE$2:AE$401,$AH188)="","",INDEX('Per Invoice'!AE$2:AE$401,$AH188)))</f>
        <v/>
      </c>
      <c r="AF188">
        <f>IF($AH188="","",IF(INDEX('Per Invoice'!AF$2:AF$401,$AH188)="","",INDEX('Per Invoice'!AF$2:AF$401,$AH188)))</f>
        <v/>
      </c>
      <c r="AG188" s="7">
        <f>IF($AH188="","",IF(INDEX('Per Invoice'!AG$2:AG$401,$AH188)="","",INDEX('Per Invoice'!AG$2:AG$401,$AH188)))</f>
        <v/>
      </c>
      <c r="AH188" s="16">
        <f>IFERROR(MATCH(Settings!$C$27&amp;"|"&amp;ROWS($AH$2:$AH188),'Per Invoice'!$AI$2:$AI$401,0),"")</f>
        <v/>
      </c>
    </row>
    <row r="189">
      <c r="A189">
        <f>IF($AH189="","",IF(INDEX('Per Invoice'!A$2:A$401,$AH189)="","",INDEX('Per Invoice'!A$2:A$401,$AH189)))</f>
        <v/>
      </c>
      <c r="B189">
        <f>IF($AH189="","",IF(INDEX('Per Invoice'!B$2:B$401,$AH189)="","",INDEX('Per Invoice'!B$2:B$401,$AH189)))</f>
        <v/>
      </c>
      <c r="C189">
        <f>IF($AH189="","",IF(INDEX('Per Invoice'!C$2:C$401,$AH189)="","",INDEX('Per Invoice'!C$2:C$401,$AH189)))</f>
        <v/>
      </c>
      <c r="D189">
        <f>IF($AH189="","",IF(INDEX('Per Invoice'!D$2:D$401,$AH189)="","",INDEX('Per Invoice'!D$2:D$401,$AH189)))</f>
        <v/>
      </c>
      <c r="E189">
        <f>IF($AH189="","",IF(INDEX('Per Invoice'!E$2:E$401,$AH189)="","",INDEX('Per Invoice'!E$2:E$401,$AH189)))</f>
        <v/>
      </c>
      <c r="F189">
        <f>IF($AH189="","",IF(INDEX('Per Invoice'!F$2:F$401,$AH189)="","",INDEX('Per Invoice'!F$2:F$401,$AH189)))</f>
        <v/>
      </c>
      <c r="G189">
        <f>IF($AH189="","",IF(INDEX('Per Invoice'!G$2:G$401,$AH189)="","",INDEX('Per Invoice'!G$2:G$401,$AH189)))</f>
        <v/>
      </c>
      <c r="H189">
        <f>IF($AH189="","",IF(INDEX('Per Invoice'!H$2:H$401,$AH189)="","",INDEX('Per Invoice'!H$2:H$401,$AH189)))</f>
        <v/>
      </c>
      <c r="I189" s="14">
        <f>IF($AH189="","",IF(INDEX('Per Invoice'!I$2:I$401,$AH189)="","",INDEX('Per Invoice'!I$2:I$401,$AH189)))</f>
        <v/>
      </c>
      <c r="J189">
        <f>IF($AH189="","",IF(INDEX('Per Invoice'!J$2:J$401,$AH189)="","",INDEX('Per Invoice'!J$2:J$401,$AH189)))</f>
        <v/>
      </c>
      <c r="K189">
        <f>IF($AH189="","",IF(INDEX('Per Invoice'!K$2:K$401,$AH189)="","",INDEX('Per Invoice'!K$2:K$401,$AH189)))</f>
        <v/>
      </c>
      <c r="L189">
        <f>IF($AH189="","",IF(INDEX('Per Invoice'!L$2:L$401,$AH189)="","",INDEX('Per Invoice'!L$2:L$401,$AH189)))</f>
        <v/>
      </c>
      <c r="M189">
        <f>IF($AH189="","",IF(INDEX('Per Invoice'!M$2:M$401,$AH189)="","",INDEX('Per Invoice'!M$2:M$401,$AH189)))</f>
        <v/>
      </c>
      <c r="N189">
        <f>IF($AH189="","",IF(INDEX('Per Invoice'!N$2:N$401,$AH189)="","",INDEX('Per Invoice'!N$2:N$401,$AH189)))</f>
        <v/>
      </c>
      <c r="O189">
        <f>IF($AH189="","",IF(INDEX('Per Invoice'!O$2:O$401,$AH189)="","",INDEX('Per Invoice'!O$2:O$401,$AH189)))</f>
        <v/>
      </c>
      <c r="P189" s="7">
        <f>IF($AH189="","",IF(INDEX('Per Invoice'!P$2:P$401,$AH189)="","",INDEX('Per Invoice'!P$2:P$401,$AH189)))</f>
        <v/>
      </c>
      <c r="Q189">
        <f>IF($AH189="","",IF(INDEX('Per Invoice'!Q$2:Q$401,$AH189)="","",INDEX('Per Invoice'!Q$2:Q$401,$AH189)))</f>
        <v/>
      </c>
      <c r="R189">
        <f>IF($AH189="","",IF(INDEX('Per Invoice'!R$2:R$401,$AH189)="","",INDEX('Per Invoice'!R$2:R$401,$AH189)))</f>
        <v/>
      </c>
      <c r="S189">
        <f>IF($AH189="","",IF(INDEX('Per Invoice'!S$2:S$401,$AH189)="","",INDEX('Per Invoice'!S$2:S$401,$AH189)))</f>
        <v/>
      </c>
      <c r="T189" s="7">
        <f>IF($AH189="","",IF(INDEX('Per Invoice'!T$2:T$401,$AH189)="","",INDEX('Per Invoice'!T$2:T$401,$AH189)))</f>
        <v/>
      </c>
      <c r="U189" s="7">
        <f>IF($AH189="","",IF(INDEX('Per Invoice'!U$2:U$401,$AH189)="","",INDEX('Per Invoice'!U$2:U$401,$AH189)))</f>
        <v/>
      </c>
      <c r="V189">
        <f>IF($AH189="","",IF(INDEX('Per Invoice'!V$2:V$401,$AH189)="","",INDEX('Per Invoice'!V$2:V$401,$AH189)))</f>
        <v/>
      </c>
      <c r="W189" s="7">
        <f>IF($AH189="","",IF(INDEX('Per Invoice'!W$2:W$401,$AH189)="","",INDEX('Per Invoice'!W$2:W$401,$AH189)))</f>
        <v/>
      </c>
      <c r="X189" s="7">
        <f>IF($AH189="","",IF(INDEX('Per Invoice'!X$2:X$401,$AH189)="","",INDEX('Per Invoice'!X$2:X$401,$AH189)))</f>
        <v/>
      </c>
      <c r="Y189">
        <f>IF($AH189="","",IF(INDEX('Per Invoice'!Y$2:Y$401,$AH189)="","",INDEX('Per Invoice'!Y$2:Y$401,$AH189)))</f>
        <v/>
      </c>
      <c r="Z189" s="7">
        <f>IF($AH189="","",IF(INDEX('Per Invoice'!Z$2:Z$401,$AH189)="","",INDEX('Per Invoice'!Z$2:Z$401,$AH189)))</f>
        <v/>
      </c>
      <c r="AA189" s="7">
        <f>IF($AH189="","",IF(INDEX('Per Invoice'!AA$2:AA$401,$AH189)="","",INDEX('Per Invoice'!AA$2:AA$401,$AH189)))</f>
        <v/>
      </c>
      <c r="AB189" s="7">
        <f>IF($AH189="","",IF(INDEX('Per Invoice'!AB$2:AB$401,$AH189)="","",INDEX('Per Invoice'!AB$2:AB$401,$AH189)))</f>
        <v/>
      </c>
      <c r="AC189" s="7">
        <f>IF($AH189="","",IF(INDEX('Per Invoice'!AC$2:AC$401,$AH189)="","",INDEX('Per Invoice'!AC$2:AC$401,$AH189)))</f>
        <v/>
      </c>
      <c r="AD189" s="7">
        <f>IF($AH189="","",IF(INDEX('Per Invoice'!AD$2:AD$401,$AH189)="","",INDEX('Per Invoice'!AD$2:AD$401,$AH189)))</f>
        <v/>
      </c>
      <c r="AE189" s="7">
        <f>IF($AH189="","",IF(INDEX('Per Invoice'!AE$2:AE$401,$AH189)="","",INDEX('Per Invoice'!AE$2:AE$401,$AH189)))</f>
        <v/>
      </c>
      <c r="AF189">
        <f>IF($AH189="","",IF(INDEX('Per Invoice'!AF$2:AF$401,$AH189)="","",INDEX('Per Invoice'!AF$2:AF$401,$AH189)))</f>
        <v/>
      </c>
      <c r="AG189" s="7">
        <f>IF($AH189="","",IF(INDEX('Per Invoice'!AG$2:AG$401,$AH189)="","",INDEX('Per Invoice'!AG$2:AG$401,$AH189)))</f>
        <v/>
      </c>
      <c r="AH189" s="16">
        <f>IFERROR(MATCH(Settings!$C$27&amp;"|"&amp;ROWS($AH$2:$AH189),'Per Invoice'!$AI$2:$AI$401,0),"")</f>
        <v/>
      </c>
    </row>
    <row r="190">
      <c r="A190">
        <f>IF($AH190="","",IF(INDEX('Per Invoice'!A$2:A$401,$AH190)="","",INDEX('Per Invoice'!A$2:A$401,$AH190)))</f>
        <v/>
      </c>
      <c r="B190">
        <f>IF($AH190="","",IF(INDEX('Per Invoice'!B$2:B$401,$AH190)="","",INDEX('Per Invoice'!B$2:B$401,$AH190)))</f>
        <v/>
      </c>
      <c r="C190">
        <f>IF($AH190="","",IF(INDEX('Per Invoice'!C$2:C$401,$AH190)="","",INDEX('Per Invoice'!C$2:C$401,$AH190)))</f>
        <v/>
      </c>
      <c r="D190">
        <f>IF($AH190="","",IF(INDEX('Per Invoice'!D$2:D$401,$AH190)="","",INDEX('Per Invoice'!D$2:D$401,$AH190)))</f>
        <v/>
      </c>
      <c r="E190">
        <f>IF($AH190="","",IF(INDEX('Per Invoice'!E$2:E$401,$AH190)="","",INDEX('Per Invoice'!E$2:E$401,$AH190)))</f>
        <v/>
      </c>
      <c r="F190">
        <f>IF($AH190="","",IF(INDEX('Per Invoice'!F$2:F$401,$AH190)="","",INDEX('Per Invoice'!F$2:F$401,$AH190)))</f>
        <v/>
      </c>
      <c r="G190">
        <f>IF($AH190="","",IF(INDEX('Per Invoice'!G$2:G$401,$AH190)="","",INDEX('Per Invoice'!G$2:G$401,$AH190)))</f>
        <v/>
      </c>
      <c r="H190">
        <f>IF($AH190="","",IF(INDEX('Per Invoice'!H$2:H$401,$AH190)="","",INDEX('Per Invoice'!H$2:H$401,$AH190)))</f>
        <v/>
      </c>
      <c r="I190" s="14">
        <f>IF($AH190="","",IF(INDEX('Per Invoice'!I$2:I$401,$AH190)="","",INDEX('Per Invoice'!I$2:I$401,$AH190)))</f>
        <v/>
      </c>
      <c r="J190">
        <f>IF($AH190="","",IF(INDEX('Per Invoice'!J$2:J$401,$AH190)="","",INDEX('Per Invoice'!J$2:J$401,$AH190)))</f>
        <v/>
      </c>
      <c r="K190">
        <f>IF($AH190="","",IF(INDEX('Per Invoice'!K$2:K$401,$AH190)="","",INDEX('Per Invoice'!K$2:K$401,$AH190)))</f>
        <v/>
      </c>
      <c r="L190">
        <f>IF($AH190="","",IF(INDEX('Per Invoice'!L$2:L$401,$AH190)="","",INDEX('Per Invoice'!L$2:L$401,$AH190)))</f>
        <v/>
      </c>
      <c r="M190">
        <f>IF($AH190="","",IF(INDEX('Per Invoice'!M$2:M$401,$AH190)="","",INDEX('Per Invoice'!M$2:M$401,$AH190)))</f>
        <v/>
      </c>
      <c r="N190">
        <f>IF($AH190="","",IF(INDEX('Per Invoice'!N$2:N$401,$AH190)="","",INDEX('Per Invoice'!N$2:N$401,$AH190)))</f>
        <v/>
      </c>
      <c r="O190">
        <f>IF($AH190="","",IF(INDEX('Per Invoice'!O$2:O$401,$AH190)="","",INDEX('Per Invoice'!O$2:O$401,$AH190)))</f>
        <v/>
      </c>
      <c r="P190" s="7">
        <f>IF($AH190="","",IF(INDEX('Per Invoice'!P$2:P$401,$AH190)="","",INDEX('Per Invoice'!P$2:P$401,$AH190)))</f>
        <v/>
      </c>
      <c r="Q190">
        <f>IF($AH190="","",IF(INDEX('Per Invoice'!Q$2:Q$401,$AH190)="","",INDEX('Per Invoice'!Q$2:Q$401,$AH190)))</f>
        <v/>
      </c>
      <c r="R190">
        <f>IF($AH190="","",IF(INDEX('Per Invoice'!R$2:R$401,$AH190)="","",INDEX('Per Invoice'!R$2:R$401,$AH190)))</f>
        <v/>
      </c>
      <c r="S190">
        <f>IF($AH190="","",IF(INDEX('Per Invoice'!S$2:S$401,$AH190)="","",INDEX('Per Invoice'!S$2:S$401,$AH190)))</f>
        <v/>
      </c>
      <c r="T190" s="7">
        <f>IF($AH190="","",IF(INDEX('Per Invoice'!T$2:T$401,$AH190)="","",INDEX('Per Invoice'!T$2:T$401,$AH190)))</f>
        <v/>
      </c>
      <c r="U190" s="7">
        <f>IF($AH190="","",IF(INDEX('Per Invoice'!U$2:U$401,$AH190)="","",INDEX('Per Invoice'!U$2:U$401,$AH190)))</f>
        <v/>
      </c>
      <c r="V190">
        <f>IF($AH190="","",IF(INDEX('Per Invoice'!V$2:V$401,$AH190)="","",INDEX('Per Invoice'!V$2:V$401,$AH190)))</f>
        <v/>
      </c>
      <c r="W190" s="7">
        <f>IF($AH190="","",IF(INDEX('Per Invoice'!W$2:W$401,$AH190)="","",INDEX('Per Invoice'!W$2:W$401,$AH190)))</f>
        <v/>
      </c>
      <c r="X190" s="7">
        <f>IF($AH190="","",IF(INDEX('Per Invoice'!X$2:X$401,$AH190)="","",INDEX('Per Invoice'!X$2:X$401,$AH190)))</f>
        <v/>
      </c>
      <c r="Y190">
        <f>IF($AH190="","",IF(INDEX('Per Invoice'!Y$2:Y$401,$AH190)="","",INDEX('Per Invoice'!Y$2:Y$401,$AH190)))</f>
        <v/>
      </c>
      <c r="Z190" s="7">
        <f>IF($AH190="","",IF(INDEX('Per Invoice'!Z$2:Z$401,$AH190)="","",INDEX('Per Invoice'!Z$2:Z$401,$AH190)))</f>
        <v/>
      </c>
      <c r="AA190" s="7">
        <f>IF($AH190="","",IF(INDEX('Per Invoice'!AA$2:AA$401,$AH190)="","",INDEX('Per Invoice'!AA$2:AA$401,$AH190)))</f>
        <v/>
      </c>
      <c r="AB190" s="7">
        <f>IF($AH190="","",IF(INDEX('Per Invoice'!AB$2:AB$401,$AH190)="","",INDEX('Per Invoice'!AB$2:AB$401,$AH190)))</f>
        <v/>
      </c>
      <c r="AC190" s="7">
        <f>IF($AH190="","",IF(INDEX('Per Invoice'!AC$2:AC$401,$AH190)="","",INDEX('Per Invoice'!AC$2:AC$401,$AH190)))</f>
        <v/>
      </c>
      <c r="AD190" s="7">
        <f>IF($AH190="","",IF(INDEX('Per Invoice'!AD$2:AD$401,$AH190)="","",INDEX('Per Invoice'!AD$2:AD$401,$AH190)))</f>
        <v/>
      </c>
      <c r="AE190" s="7">
        <f>IF($AH190="","",IF(INDEX('Per Invoice'!AE$2:AE$401,$AH190)="","",INDEX('Per Invoice'!AE$2:AE$401,$AH190)))</f>
        <v/>
      </c>
      <c r="AF190">
        <f>IF($AH190="","",IF(INDEX('Per Invoice'!AF$2:AF$401,$AH190)="","",INDEX('Per Invoice'!AF$2:AF$401,$AH190)))</f>
        <v/>
      </c>
      <c r="AG190" s="7">
        <f>IF($AH190="","",IF(INDEX('Per Invoice'!AG$2:AG$401,$AH190)="","",INDEX('Per Invoice'!AG$2:AG$401,$AH190)))</f>
        <v/>
      </c>
      <c r="AH190" s="16">
        <f>IFERROR(MATCH(Settings!$C$27&amp;"|"&amp;ROWS($AH$2:$AH190),'Per Invoice'!$AI$2:$AI$401,0),"")</f>
        <v/>
      </c>
    </row>
    <row r="191">
      <c r="A191">
        <f>IF($AH191="","",IF(INDEX('Per Invoice'!A$2:A$401,$AH191)="","",INDEX('Per Invoice'!A$2:A$401,$AH191)))</f>
        <v/>
      </c>
      <c r="B191">
        <f>IF($AH191="","",IF(INDEX('Per Invoice'!B$2:B$401,$AH191)="","",INDEX('Per Invoice'!B$2:B$401,$AH191)))</f>
        <v/>
      </c>
      <c r="C191">
        <f>IF($AH191="","",IF(INDEX('Per Invoice'!C$2:C$401,$AH191)="","",INDEX('Per Invoice'!C$2:C$401,$AH191)))</f>
        <v/>
      </c>
      <c r="D191">
        <f>IF($AH191="","",IF(INDEX('Per Invoice'!D$2:D$401,$AH191)="","",INDEX('Per Invoice'!D$2:D$401,$AH191)))</f>
        <v/>
      </c>
      <c r="E191">
        <f>IF($AH191="","",IF(INDEX('Per Invoice'!E$2:E$401,$AH191)="","",INDEX('Per Invoice'!E$2:E$401,$AH191)))</f>
        <v/>
      </c>
      <c r="F191">
        <f>IF($AH191="","",IF(INDEX('Per Invoice'!F$2:F$401,$AH191)="","",INDEX('Per Invoice'!F$2:F$401,$AH191)))</f>
        <v/>
      </c>
      <c r="G191">
        <f>IF($AH191="","",IF(INDEX('Per Invoice'!G$2:G$401,$AH191)="","",INDEX('Per Invoice'!G$2:G$401,$AH191)))</f>
        <v/>
      </c>
      <c r="H191">
        <f>IF($AH191="","",IF(INDEX('Per Invoice'!H$2:H$401,$AH191)="","",INDEX('Per Invoice'!H$2:H$401,$AH191)))</f>
        <v/>
      </c>
      <c r="I191" s="14">
        <f>IF($AH191="","",IF(INDEX('Per Invoice'!I$2:I$401,$AH191)="","",INDEX('Per Invoice'!I$2:I$401,$AH191)))</f>
        <v/>
      </c>
      <c r="J191">
        <f>IF($AH191="","",IF(INDEX('Per Invoice'!J$2:J$401,$AH191)="","",INDEX('Per Invoice'!J$2:J$401,$AH191)))</f>
        <v/>
      </c>
      <c r="K191">
        <f>IF($AH191="","",IF(INDEX('Per Invoice'!K$2:K$401,$AH191)="","",INDEX('Per Invoice'!K$2:K$401,$AH191)))</f>
        <v/>
      </c>
      <c r="L191">
        <f>IF($AH191="","",IF(INDEX('Per Invoice'!L$2:L$401,$AH191)="","",INDEX('Per Invoice'!L$2:L$401,$AH191)))</f>
        <v/>
      </c>
      <c r="M191">
        <f>IF($AH191="","",IF(INDEX('Per Invoice'!M$2:M$401,$AH191)="","",INDEX('Per Invoice'!M$2:M$401,$AH191)))</f>
        <v/>
      </c>
      <c r="N191">
        <f>IF($AH191="","",IF(INDEX('Per Invoice'!N$2:N$401,$AH191)="","",INDEX('Per Invoice'!N$2:N$401,$AH191)))</f>
        <v/>
      </c>
      <c r="O191">
        <f>IF($AH191="","",IF(INDEX('Per Invoice'!O$2:O$401,$AH191)="","",INDEX('Per Invoice'!O$2:O$401,$AH191)))</f>
        <v/>
      </c>
      <c r="P191" s="7">
        <f>IF($AH191="","",IF(INDEX('Per Invoice'!P$2:P$401,$AH191)="","",INDEX('Per Invoice'!P$2:P$401,$AH191)))</f>
        <v/>
      </c>
      <c r="Q191">
        <f>IF($AH191="","",IF(INDEX('Per Invoice'!Q$2:Q$401,$AH191)="","",INDEX('Per Invoice'!Q$2:Q$401,$AH191)))</f>
        <v/>
      </c>
      <c r="R191">
        <f>IF($AH191="","",IF(INDEX('Per Invoice'!R$2:R$401,$AH191)="","",INDEX('Per Invoice'!R$2:R$401,$AH191)))</f>
        <v/>
      </c>
      <c r="S191">
        <f>IF($AH191="","",IF(INDEX('Per Invoice'!S$2:S$401,$AH191)="","",INDEX('Per Invoice'!S$2:S$401,$AH191)))</f>
        <v/>
      </c>
      <c r="T191" s="7">
        <f>IF($AH191="","",IF(INDEX('Per Invoice'!T$2:T$401,$AH191)="","",INDEX('Per Invoice'!T$2:T$401,$AH191)))</f>
        <v/>
      </c>
      <c r="U191" s="7">
        <f>IF($AH191="","",IF(INDEX('Per Invoice'!U$2:U$401,$AH191)="","",INDEX('Per Invoice'!U$2:U$401,$AH191)))</f>
        <v/>
      </c>
      <c r="V191">
        <f>IF($AH191="","",IF(INDEX('Per Invoice'!V$2:V$401,$AH191)="","",INDEX('Per Invoice'!V$2:V$401,$AH191)))</f>
        <v/>
      </c>
      <c r="W191" s="7">
        <f>IF($AH191="","",IF(INDEX('Per Invoice'!W$2:W$401,$AH191)="","",INDEX('Per Invoice'!W$2:W$401,$AH191)))</f>
        <v/>
      </c>
      <c r="X191" s="7">
        <f>IF($AH191="","",IF(INDEX('Per Invoice'!X$2:X$401,$AH191)="","",INDEX('Per Invoice'!X$2:X$401,$AH191)))</f>
        <v/>
      </c>
      <c r="Y191">
        <f>IF($AH191="","",IF(INDEX('Per Invoice'!Y$2:Y$401,$AH191)="","",INDEX('Per Invoice'!Y$2:Y$401,$AH191)))</f>
        <v/>
      </c>
      <c r="Z191" s="7">
        <f>IF($AH191="","",IF(INDEX('Per Invoice'!Z$2:Z$401,$AH191)="","",INDEX('Per Invoice'!Z$2:Z$401,$AH191)))</f>
        <v/>
      </c>
      <c r="AA191" s="7">
        <f>IF($AH191="","",IF(INDEX('Per Invoice'!AA$2:AA$401,$AH191)="","",INDEX('Per Invoice'!AA$2:AA$401,$AH191)))</f>
        <v/>
      </c>
      <c r="AB191" s="7">
        <f>IF($AH191="","",IF(INDEX('Per Invoice'!AB$2:AB$401,$AH191)="","",INDEX('Per Invoice'!AB$2:AB$401,$AH191)))</f>
        <v/>
      </c>
      <c r="AC191" s="7">
        <f>IF($AH191="","",IF(INDEX('Per Invoice'!AC$2:AC$401,$AH191)="","",INDEX('Per Invoice'!AC$2:AC$401,$AH191)))</f>
        <v/>
      </c>
      <c r="AD191" s="7">
        <f>IF($AH191="","",IF(INDEX('Per Invoice'!AD$2:AD$401,$AH191)="","",INDEX('Per Invoice'!AD$2:AD$401,$AH191)))</f>
        <v/>
      </c>
      <c r="AE191" s="7">
        <f>IF($AH191="","",IF(INDEX('Per Invoice'!AE$2:AE$401,$AH191)="","",INDEX('Per Invoice'!AE$2:AE$401,$AH191)))</f>
        <v/>
      </c>
      <c r="AF191">
        <f>IF($AH191="","",IF(INDEX('Per Invoice'!AF$2:AF$401,$AH191)="","",INDEX('Per Invoice'!AF$2:AF$401,$AH191)))</f>
        <v/>
      </c>
      <c r="AG191" s="7">
        <f>IF($AH191="","",IF(INDEX('Per Invoice'!AG$2:AG$401,$AH191)="","",INDEX('Per Invoice'!AG$2:AG$401,$AH191)))</f>
        <v/>
      </c>
      <c r="AH191" s="16">
        <f>IFERROR(MATCH(Settings!$C$27&amp;"|"&amp;ROWS($AH$2:$AH191),'Per Invoice'!$AI$2:$AI$401,0),"")</f>
        <v/>
      </c>
    </row>
    <row r="192">
      <c r="A192">
        <f>IF($AH192="","",IF(INDEX('Per Invoice'!A$2:A$401,$AH192)="","",INDEX('Per Invoice'!A$2:A$401,$AH192)))</f>
        <v/>
      </c>
      <c r="B192">
        <f>IF($AH192="","",IF(INDEX('Per Invoice'!B$2:B$401,$AH192)="","",INDEX('Per Invoice'!B$2:B$401,$AH192)))</f>
        <v/>
      </c>
      <c r="C192">
        <f>IF($AH192="","",IF(INDEX('Per Invoice'!C$2:C$401,$AH192)="","",INDEX('Per Invoice'!C$2:C$401,$AH192)))</f>
        <v/>
      </c>
      <c r="D192">
        <f>IF($AH192="","",IF(INDEX('Per Invoice'!D$2:D$401,$AH192)="","",INDEX('Per Invoice'!D$2:D$401,$AH192)))</f>
        <v/>
      </c>
      <c r="E192">
        <f>IF($AH192="","",IF(INDEX('Per Invoice'!E$2:E$401,$AH192)="","",INDEX('Per Invoice'!E$2:E$401,$AH192)))</f>
        <v/>
      </c>
      <c r="F192">
        <f>IF($AH192="","",IF(INDEX('Per Invoice'!F$2:F$401,$AH192)="","",INDEX('Per Invoice'!F$2:F$401,$AH192)))</f>
        <v/>
      </c>
      <c r="G192">
        <f>IF($AH192="","",IF(INDEX('Per Invoice'!G$2:G$401,$AH192)="","",INDEX('Per Invoice'!G$2:G$401,$AH192)))</f>
        <v/>
      </c>
      <c r="H192">
        <f>IF($AH192="","",IF(INDEX('Per Invoice'!H$2:H$401,$AH192)="","",INDEX('Per Invoice'!H$2:H$401,$AH192)))</f>
        <v/>
      </c>
      <c r="I192" s="14">
        <f>IF($AH192="","",IF(INDEX('Per Invoice'!I$2:I$401,$AH192)="","",INDEX('Per Invoice'!I$2:I$401,$AH192)))</f>
        <v/>
      </c>
      <c r="J192">
        <f>IF($AH192="","",IF(INDEX('Per Invoice'!J$2:J$401,$AH192)="","",INDEX('Per Invoice'!J$2:J$401,$AH192)))</f>
        <v/>
      </c>
      <c r="K192">
        <f>IF($AH192="","",IF(INDEX('Per Invoice'!K$2:K$401,$AH192)="","",INDEX('Per Invoice'!K$2:K$401,$AH192)))</f>
        <v/>
      </c>
      <c r="L192">
        <f>IF($AH192="","",IF(INDEX('Per Invoice'!L$2:L$401,$AH192)="","",INDEX('Per Invoice'!L$2:L$401,$AH192)))</f>
        <v/>
      </c>
      <c r="M192">
        <f>IF($AH192="","",IF(INDEX('Per Invoice'!M$2:M$401,$AH192)="","",INDEX('Per Invoice'!M$2:M$401,$AH192)))</f>
        <v/>
      </c>
      <c r="N192">
        <f>IF($AH192="","",IF(INDEX('Per Invoice'!N$2:N$401,$AH192)="","",INDEX('Per Invoice'!N$2:N$401,$AH192)))</f>
        <v/>
      </c>
      <c r="O192">
        <f>IF($AH192="","",IF(INDEX('Per Invoice'!O$2:O$401,$AH192)="","",INDEX('Per Invoice'!O$2:O$401,$AH192)))</f>
        <v/>
      </c>
      <c r="P192" s="7">
        <f>IF($AH192="","",IF(INDEX('Per Invoice'!P$2:P$401,$AH192)="","",INDEX('Per Invoice'!P$2:P$401,$AH192)))</f>
        <v/>
      </c>
      <c r="Q192">
        <f>IF($AH192="","",IF(INDEX('Per Invoice'!Q$2:Q$401,$AH192)="","",INDEX('Per Invoice'!Q$2:Q$401,$AH192)))</f>
        <v/>
      </c>
      <c r="R192">
        <f>IF($AH192="","",IF(INDEX('Per Invoice'!R$2:R$401,$AH192)="","",INDEX('Per Invoice'!R$2:R$401,$AH192)))</f>
        <v/>
      </c>
      <c r="S192">
        <f>IF($AH192="","",IF(INDEX('Per Invoice'!S$2:S$401,$AH192)="","",INDEX('Per Invoice'!S$2:S$401,$AH192)))</f>
        <v/>
      </c>
      <c r="T192" s="7">
        <f>IF($AH192="","",IF(INDEX('Per Invoice'!T$2:T$401,$AH192)="","",INDEX('Per Invoice'!T$2:T$401,$AH192)))</f>
        <v/>
      </c>
      <c r="U192" s="7">
        <f>IF($AH192="","",IF(INDEX('Per Invoice'!U$2:U$401,$AH192)="","",INDEX('Per Invoice'!U$2:U$401,$AH192)))</f>
        <v/>
      </c>
      <c r="V192">
        <f>IF($AH192="","",IF(INDEX('Per Invoice'!V$2:V$401,$AH192)="","",INDEX('Per Invoice'!V$2:V$401,$AH192)))</f>
        <v/>
      </c>
      <c r="W192" s="7">
        <f>IF($AH192="","",IF(INDEX('Per Invoice'!W$2:W$401,$AH192)="","",INDEX('Per Invoice'!W$2:W$401,$AH192)))</f>
        <v/>
      </c>
      <c r="X192" s="7">
        <f>IF($AH192="","",IF(INDEX('Per Invoice'!X$2:X$401,$AH192)="","",INDEX('Per Invoice'!X$2:X$401,$AH192)))</f>
        <v/>
      </c>
      <c r="Y192">
        <f>IF($AH192="","",IF(INDEX('Per Invoice'!Y$2:Y$401,$AH192)="","",INDEX('Per Invoice'!Y$2:Y$401,$AH192)))</f>
        <v/>
      </c>
      <c r="Z192" s="7">
        <f>IF($AH192="","",IF(INDEX('Per Invoice'!Z$2:Z$401,$AH192)="","",INDEX('Per Invoice'!Z$2:Z$401,$AH192)))</f>
        <v/>
      </c>
      <c r="AA192" s="7">
        <f>IF($AH192="","",IF(INDEX('Per Invoice'!AA$2:AA$401,$AH192)="","",INDEX('Per Invoice'!AA$2:AA$401,$AH192)))</f>
        <v/>
      </c>
      <c r="AB192" s="7">
        <f>IF($AH192="","",IF(INDEX('Per Invoice'!AB$2:AB$401,$AH192)="","",INDEX('Per Invoice'!AB$2:AB$401,$AH192)))</f>
        <v/>
      </c>
      <c r="AC192" s="7">
        <f>IF($AH192="","",IF(INDEX('Per Invoice'!AC$2:AC$401,$AH192)="","",INDEX('Per Invoice'!AC$2:AC$401,$AH192)))</f>
        <v/>
      </c>
      <c r="AD192" s="7">
        <f>IF($AH192="","",IF(INDEX('Per Invoice'!AD$2:AD$401,$AH192)="","",INDEX('Per Invoice'!AD$2:AD$401,$AH192)))</f>
        <v/>
      </c>
      <c r="AE192" s="7">
        <f>IF($AH192="","",IF(INDEX('Per Invoice'!AE$2:AE$401,$AH192)="","",INDEX('Per Invoice'!AE$2:AE$401,$AH192)))</f>
        <v/>
      </c>
      <c r="AF192">
        <f>IF($AH192="","",IF(INDEX('Per Invoice'!AF$2:AF$401,$AH192)="","",INDEX('Per Invoice'!AF$2:AF$401,$AH192)))</f>
        <v/>
      </c>
      <c r="AG192" s="7">
        <f>IF($AH192="","",IF(INDEX('Per Invoice'!AG$2:AG$401,$AH192)="","",INDEX('Per Invoice'!AG$2:AG$401,$AH192)))</f>
        <v/>
      </c>
      <c r="AH192" s="16">
        <f>IFERROR(MATCH(Settings!$C$27&amp;"|"&amp;ROWS($AH$2:$AH192),'Per Invoice'!$AI$2:$AI$401,0),"")</f>
        <v/>
      </c>
    </row>
    <row r="193">
      <c r="A193">
        <f>IF($AH193="","",IF(INDEX('Per Invoice'!A$2:A$401,$AH193)="","",INDEX('Per Invoice'!A$2:A$401,$AH193)))</f>
        <v/>
      </c>
      <c r="B193">
        <f>IF($AH193="","",IF(INDEX('Per Invoice'!B$2:B$401,$AH193)="","",INDEX('Per Invoice'!B$2:B$401,$AH193)))</f>
        <v/>
      </c>
      <c r="C193">
        <f>IF($AH193="","",IF(INDEX('Per Invoice'!C$2:C$401,$AH193)="","",INDEX('Per Invoice'!C$2:C$401,$AH193)))</f>
        <v/>
      </c>
      <c r="D193">
        <f>IF($AH193="","",IF(INDEX('Per Invoice'!D$2:D$401,$AH193)="","",INDEX('Per Invoice'!D$2:D$401,$AH193)))</f>
        <v/>
      </c>
      <c r="E193">
        <f>IF($AH193="","",IF(INDEX('Per Invoice'!E$2:E$401,$AH193)="","",INDEX('Per Invoice'!E$2:E$401,$AH193)))</f>
        <v/>
      </c>
      <c r="F193">
        <f>IF($AH193="","",IF(INDEX('Per Invoice'!F$2:F$401,$AH193)="","",INDEX('Per Invoice'!F$2:F$401,$AH193)))</f>
        <v/>
      </c>
      <c r="G193">
        <f>IF($AH193="","",IF(INDEX('Per Invoice'!G$2:G$401,$AH193)="","",INDEX('Per Invoice'!G$2:G$401,$AH193)))</f>
        <v/>
      </c>
      <c r="H193">
        <f>IF($AH193="","",IF(INDEX('Per Invoice'!H$2:H$401,$AH193)="","",INDEX('Per Invoice'!H$2:H$401,$AH193)))</f>
        <v/>
      </c>
      <c r="I193" s="14">
        <f>IF($AH193="","",IF(INDEX('Per Invoice'!I$2:I$401,$AH193)="","",INDEX('Per Invoice'!I$2:I$401,$AH193)))</f>
        <v/>
      </c>
      <c r="J193">
        <f>IF($AH193="","",IF(INDEX('Per Invoice'!J$2:J$401,$AH193)="","",INDEX('Per Invoice'!J$2:J$401,$AH193)))</f>
        <v/>
      </c>
      <c r="K193">
        <f>IF($AH193="","",IF(INDEX('Per Invoice'!K$2:K$401,$AH193)="","",INDEX('Per Invoice'!K$2:K$401,$AH193)))</f>
        <v/>
      </c>
      <c r="L193">
        <f>IF($AH193="","",IF(INDEX('Per Invoice'!L$2:L$401,$AH193)="","",INDEX('Per Invoice'!L$2:L$401,$AH193)))</f>
        <v/>
      </c>
      <c r="M193">
        <f>IF($AH193="","",IF(INDEX('Per Invoice'!M$2:M$401,$AH193)="","",INDEX('Per Invoice'!M$2:M$401,$AH193)))</f>
        <v/>
      </c>
      <c r="N193">
        <f>IF($AH193="","",IF(INDEX('Per Invoice'!N$2:N$401,$AH193)="","",INDEX('Per Invoice'!N$2:N$401,$AH193)))</f>
        <v/>
      </c>
      <c r="O193">
        <f>IF($AH193="","",IF(INDEX('Per Invoice'!O$2:O$401,$AH193)="","",INDEX('Per Invoice'!O$2:O$401,$AH193)))</f>
        <v/>
      </c>
      <c r="P193" s="7">
        <f>IF($AH193="","",IF(INDEX('Per Invoice'!P$2:P$401,$AH193)="","",INDEX('Per Invoice'!P$2:P$401,$AH193)))</f>
        <v/>
      </c>
      <c r="Q193">
        <f>IF($AH193="","",IF(INDEX('Per Invoice'!Q$2:Q$401,$AH193)="","",INDEX('Per Invoice'!Q$2:Q$401,$AH193)))</f>
        <v/>
      </c>
      <c r="R193">
        <f>IF($AH193="","",IF(INDEX('Per Invoice'!R$2:R$401,$AH193)="","",INDEX('Per Invoice'!R$2:R$401,$AH193)))</f>
        <v/>
      </c>
      <c r="S193">
        <f>IF($AH193="","",IF(INDEX('Per Invoice'!S$2:S$401,$AH193)="","",INDEX('Per Invoice'!S$2:S$401,$AH193)))</f>
        <v/>
      </c>
      <c r="T193" s="7">
        <f>IF($AH193="","",IF(INDEX('Per Invoice'!T$2:T$401,$AH193)="","",INDEX('Per Invoice'!T$2:T$401,$AH193)))</f>
        <v/>
      </c>
      <c r="U193" s="7">
        <f>IF($AH193="","",IF(INDEX('Per Invoice'!U$2:U$401,$AH193)="","",INDEX('Per Invoice'!U$2:U$401,$AH193)))</f>
        <v/>
      </c>
      <c r="V193">
        <f>IF($AH193="","",IF(INDEX('Per Invoice'!V$2:V$401,$AH193)="","",INDEX('Per Invoice'!V$2:V$401,$AH193)))</f>
        <v/>
      </c>
      <c r="W193" s="7">
        <f>IF($AH193="","",IF(INDEX('Per Invoice'!W$2:W$401,$AH193)="","",INDEX('Per Invoice'!W$2:W$401,$AH193)))</f>
        <v/>
      </c>
      <c r="X193" s="7">
        <f>IF($AH193="","",IF(INDEX('Per Invoice'!X$2:X$401,$AH193)="","",INDEX('Per Invoice'!X$2:X$401,$AH193)))</f>
        <v/>
      </c>
      <c r="Y193">
        <f>IF($AH193="","",IF(INDEX('Per Invoice'!Y$2:Y$401,$AH193)="","",INDEX('Per Invoice'!Y$2:Y$401,$AH193)))</f>
        <v/>
      </c>
      <c r="Z193" s="7">
        <f>IF($AH193="","",IF(INDEX('Per Invoice'!Z$2:Z$401,$AH193)="","",INDEX('Per Invoice'!Z$2:Z$401,$AH193)))</f>
        <v/>
      </c>
      <c r="AA193" s="7">
        <f>IF($AH193="","",IF(INDEX('Per Invoice'!AA$2:AA$401,$AH193)="","",INDEX('Per Invoice'!AA$2:AA$401,$AH193)))</f>
        <v/>
      </c>
      <c r="AB193" s="7">
        <f>IF($AH193="","",IF(INDEX('Per Invoice'!AB$2:AB$401,$AH193)="","",INDEX('Per Invoice'!AB$2:AB$401,$AH193)))</f>
        <v/>
      </c>
      <c r="AC193" s="7">
        <f>IF($AH193="","",IF(INDEX('Per Invoice'!AC$2:AC$401,$AH193)="","",INDEX('Per Invoice'!AC$2:AC$401,$AH193)))</f>
        <v/>
      </c>
      <c r="AD193" s="7">
        <f>IF($AH193="","",IF(INDEX('Per Invoice'!AD$2:AD$401,$AH193)="","",INDEX('Per Invoice'!AD$2:AD$401,$AH193)))</f>
        <v/>
      </c>
      <c r="AE193" s="7">
        <f>IF($AH193="","",IF(INDEX('Per Invoice'!AE$2:AE$401,$AH193)="","",INDEX('Per Invoice'!AE$2:AE$401,$AH193)))</f>
        <v/>
      </c>
      <c r="AF193">
        <f>IF($AH193="","",IF(INDEX('Per Invoice'!AF$2:AF$401,$AH193)="","",INDEX('Per Invoice'!AF$2:AF$401,$AH193)))</f>
        <v/>
      </c>
      <c r="AG193" s="7">
        <f>IF($AH193="","",IF(INDEX('Per Invoice'!AG$2:AG$401,$AH193)="","",INDEX('Per Invoice'!AG$2:AG$401,$AH193)))</f>
        <v/>
      </c>
      <c r="AH193" s="16">
        <f>IFERROR(MATCH(Settings!$C$27&amp;"|"&amp;ROWS($AH$2:$AH193),'Per Invoice'!$AI$2:$AI$401,0),"")</f>
        <v/>
      </c>
    </row>
    <row r="194">
      <c r="A194">
        <f>IF($AH194="","",IF(INDEX('Per Invoice'!A$2:A$401,$AH194)="","",INDEX('Per Invoice'!A$2:A$401,$AH194)))</f>
        <v/>
      </c>
      <c r="B194">
        <f>IF($AH194="","",IF(INDEX('Per Invoice'!B$2:B$401,$AH194)="","",INDEX('Per Invoice'!B$2:B$401,$AH194)))</f>
        <v/>
      </c>
      <c r="C194">
        <f>IF($AH194="","",IF(INDEX('Per Invoice'!C$2:C$401,$AH194)="","",INDEX('Per Invoice'!C$2:C$401,$AH194)))</f>
        <v/>
      </c>
      <c r="D194">
        <f>IF($AH194="","",IF(INDEX('Per Invoice'!D$2:D$401,$AH194)="","",INDEX('Per Invoice'!D$2:D$401,$AH194)))</f>
        <v/>
      </c>
      <c r="E194">
        <f>IF($AH194="","",IF(INDEX('Per Invoice'!E$2:E$401,$AH194)="","",INDEX('Per Invoice'!E$2:E$401,$AH194)))</f>
        <v/>
      </c>
      <c r="F194">
        <f>IF($AH194="","",IF(INDEX('Per Invoice'!F$2:F$401,$AH194)="","",INDEX('Per Invoice'!F$2:F$401,$AH194)))</f>
        <v/>
      </c>
      <c r="G194">
        <f>IF($AH194="","",IF(INDEX('Per Invoice'!G$2:G$401,$AH194)="","",INDEX('Per Invoice'!G$2:G$401,$AH194)))</f>
        <v/>
      </c>
      <c r="H194">
        <f>IF($AH194="","",IF(INDEX('Per Invoice'!H$2:H$401,$AH194)="","",INDEX('Per Invoice'!H$2:H$401,$AH194)))</f>
        <v/>
      </c>
      <c r="I194" s="14">
        <f>IF($AH194="","",IF(INDEX('Per Invoice'!I$2:I$401,$AH194)="","",INDEX('Per Invoice'!I$2:I$401,$AH194)))</f>
        <v/>
      </c>
      <c r="J194">
        <f>IF($AH194="","",IF(INDEX('Per Invoice'!J$2:J$401,$AH194)="","",INDEX('Per Invoice'!J$2:J$401,$AH194)))</f>
        <v/>
      </c>
      <c r="K194">
        <f>IF($AH194="","",IF(INDEX('Per Invoice'!K$2:K$401,$AH194)="","",INDEX('Per Invoice'!K$2:K$401,$AH194)))</f>
        <v/>
      </c>
      <c r="L194">
        <f>IF($AH194="","",IF(INDEX('Per Invoice'!L$2:L$401,$AH194)="","",INDEX('Per Invoice'!L$2:L$401,$AH194)))</f>
        <v/>
      </c>
      <c r="M194">
        <f>IF($AH194="","",IF(INDEX('Per Invoice'!M$2:M$401,$AH194)="","",INDEX('Per Invoice'!M$2:M$401,$AH194)))</f>
        <v/>
      </c>
      <c r="N194">
        <f>IF($AH194="","",IF(INDEX('Per Invoice'!N$2:N$401,$AH194)="","",INDEX('Per Invoice'!N$2:N$401,$AH194)))</f>
        <v/>
      </c>
      <c r="O194">
        <f>IF($AH194="","",IF(INDEX('Per Invoice'!O$2:O$401,$AH194)="","",INDEX('Per Invoice'!O$2:O$401,$AH194)))</f>
        <v/>
      </c>
      <c r="P194" s="7">
        <f>IF($AH194="","",IF(INDEX('Per Invoice'!P$2:P$401,$AH194)="","",INDEX('Per Invoice'!P$2:P$401,$AH194)))</f>
        <v/>
      </c>
      <c r="Q194">
        <f>IF($AH194="","",IF(INDEX('Per Invoice'!Q$2:Q$401,$AH194)="","",INDEX('Per Invoice'!Q$2:Q$401,$AH194)))</f>
        <v/>
      </c>
      <c r="R194">
        <f>IF($AH194="","",IF(INDEX('Per Invoice'!R$2:R$401,$AH194)="","",INDEX('Per Invoice'!R$2:R$401,$AH194)))</f>
        <v/>
      </c>
      <c r="S194">
        <f>IF($AH194="","",IF(INDEX('Per Invoice'!S$2:S$401,$AH194)="","",INDEX('Per Invoice'!S$2:S$401,$AH194)))</f>
        <v/>
      </c>
      <c r="T194" s="7">
        <f>IF($AH194="","",IF(INDEX('Per Invoice'!T$2:T$401,$AH194)="","",INDEX('Per Invoice'!T$2:T$401,$AH194)))</f>
        <v/>
      </c>
      <c r="U194" s="7">
        <f>IF($AH194="","",IF(INDEX('Per Invoice'!U$2:U$401,$AH194)="","",INDEX('Per Invoice'!U$2:U$401,$AH194)))</f>
        <v/>
      </c>
      <c r="V194">
        <f>IF($AH194="","",IF(INDEX('Per Invoice'!V$2:V$401,$AH194)="","",INDEX('Per Invoice'!V$2:V$401,$AH194)))</f>
        <v/>
      </c>
      <c r="W194" s="7">
        <f>IF($AH194="","",IF(INDEX('Per Invoice'!W$2:W$401,$AH194)="","",INDEX('Per Invoice'!W$2:W$401,$AH194)))</f>
        <v/>
      </c>
      <c r="X194" s="7">
        <f>IF($AH194="","",IF(INDEX('Per Invoice'!X$2:X$401,$AH194)="","",INDEX('Per Invoice'!X$2:X$401,$AH194)))</f>
        <v/>
      </c>
      <c r="Y194">
        <f>IF($AH194="","",IF(INDEX('Per Invoice'!Y$2:Y$401,$AH194)="","",INDEX('Per Invoice'!Y$2:Y$401,$AH194)))</f>
        <v/>
      </c>
      <c r="Z194" s="7">
        <f>IF($AH194="","",IF(INDEX('Per Invoice'!Z$2:Z$401,$AH194)="","",INDEX('Per Invoice'!Z$2:Z$401,$AH194)))</f>
        <v/>
      </c>
      <c r="AA194" s="7">
        <f>IF($AH194="","",IF(INDEX('Per Invoice'!AA$2:AA$401,$AH194)="","",INDEX('Per Invoice'!AA$2:AA$401,$AH194)))</f>
        <v/>
      </c>
      <c r="AB194" s="7">
        <f>IF($AH194="","",IF(INDEX('Per Invoice'!AB$2:AB$401,$AH194)="","",INDEX('Per Invoice'!AB$2:AB$401,$AH194)))</f>
        <v/>
      </c>
      <c r="AC194" s="7">
        <f>IF($AH194="","",IF(INDEX('Per Invoice'!AC$2:AC$401,$AH194)="","",INDEX('Per Invoice'!AC$2:AC$401,$AH194)))</f>
        <v/>
      </c>
      <c r="AD194" s="7">
        <f>IF($AH194="","",IF(INDEX('Per Invoice'!AD$2:AD$401,$AH194)="","",INDEX('Per Invoice'!AD$2:AD$401,$AH194)))</f>
        <v/>
      </c>
      <c r="AE194" s="7">
        <f>IF($AH194="","",IF(INDEX('Per Invoice'!AE$2:AE$401,$AH194)="","",INDEX('Per Invoice'!AE$2:AE$401,$AH194)))</f>
        <v/>
      </c>
      <c r="AF194">
        <f>IF($AH194="","",IF(INDEX('Per Invoice'!AF$2:AF$401,$AH194)="","",INDEX('Per Invoice'!AF$2:AF$401,$AH194)))</f>
        <v/>
      </c>
      <c r="AG194" s="7">
        <f>IF($AH194="","",IF(INDEX('Per Invoice'!AG$2:AG$401,$AH194)="","",INDEX('Per Invoice'!AG$2:AG$401,$AH194)))</f>
        <v/>
      </c>
      <c r="AH194" s="16">
        <f>IFERROR(MATCH(Settings!$C$27&amp;"|"&amp;ROWS($AH$2:$AH194),'Per Invoice'!$AI$2:$AI$401,0),"")</f>
        <v/>
      </c>
    </row>
    <row r="195">
      <c r="A195">
        <f>IF($AH195="","",IF(INDEX('Per Invoice'!A$2:A$401,$AH195)="","",INDEX('Per Invoice'!A$2:A$401,$AH195)))</f>
        <v/>
      </c>
      <c r="B195">
        <f>IF($AH195="","",IF(INDEX('Per Invoice'!B$2:B$401,$AH195)="","",INDEX('Per Invoice'!B$2:B$401,$AH195)))</f>
        <v/>
      </c>
      <c r="C195">
        <f>IF($AH195="","",IF(INDEX('Per Invoice'!C$2:C$401,$AH195)="","",INDEX('Per Invoice'!C$2:C$401,$AH195)))</f>
        <v/>
      </c>
      <c r="D195">
        <f>IF($AH195="","",IF(INDEX('Per Invoice'!D$2:D$401,$AH195)="","",INDEX('Per Invoice'!D$2:D$401,$AH195)))</f>
        <v/>
      </c>
      <c r="E195">
        <f>IF($AH195="","",IF(INDEX('Per Invoice'!E$2:E$401,$AH195)="","",INDEX('Per Invoice'!E$2:E$401,$AH195)))</f>
        <v/>
      </c>
      <c r="F195">
        <f>IF($AH195="","",IF(INDEX('Per Invoice'!F$2:F$401,$AH195)="","",INDEX('Per Invoice'!F$2:F$401,$AH195)))</f>
        <v/>
      </c>
      <c r="G195">
        <f>IF($AH195="","",IF(INDEX('Per Invoice'!G$2:G$401,$AH195)="","",INDEX('Per Invoice'!G$2:G$401,$AH195)))</f>
        <v/>
      </c>
      <c r="H195">
        <f>IF($AH195="","",IF(INDEX('Per Invoice'!H$2:H$401,$AH195)="","",INDEX('Per Invoice'!H$2:H$401,$AH195)))</f>
        <v/>
      </c>
      <c r="I195" s="14">
        <f>IF($AH195="","",IF(INDEX('Per Invoice'!I$2:I$401,$AH195)="","",INDEX('Per Invoice'!I$2:I$401,$AH195)))</f>
        <v/>
      </c>
      <c r="J195">
        <f>IF($AH195="","",IF(INDEX('Per Invoice'!J$2:J$401,$AH195)="","",INDEX('Per Invoice'!J$2:J$401,$AH195)))</f>
        <v/>
      </c>
      <c r="K195">
        <f>IF($AH195="","",IF(INDEX('Per Invoice'!K$2:K$401,$AH195)="","",INDEX('Per Invoice'!K$2:K$401,$AH195)))</f>
        <v/>
      </c>
      <c r="L195">
        <f>IF($AH195="","",IF(INDEX('Per Invoice'!L$2:L$401,$AH195)="","",INDEX('Per Invoice'!L$2:L$401,$AH195)))</f>
        <v/>
      </c>
      <c r="M195">
        <f>IF($AH195="","",IF(INDEX('Per Invoice'!M$2:M$401,$AH195)="","",INDEX('Per Invoice'!M$2:M$401,$AH195)))</f>
        <v/>
      </c>
      <c r="N195">
        <f>IF($AH195="","",IF(INDEX('Per Invoice'!N$2:N$401,$AH195)="","",INDEX('Per Invoice'!N$2:N$401,$AH195)))</f>
        <v/>
      </c>
      <c r="O195">
        <f>IF($AH195="","",IF(INDEX('Per Invoice'!O$2:O$401,$AH195)="","",INDEX('Per Invoice'!O$2:O$401,$AH195)))</f>
        <v/>
      </c>
      <c r="P195" s="7">
        <f>IF($AH195="","",IF(INDEX('Per Invoice'!P$2:P$401,$AH195)="","",INDEX('Per Invoice'!P$2:P$401,$AH195)))</f>
        <v/>
      </c>
      <c r="Q195">
        <f>IF($AH195="","",IF(INDEX('Per Invoice'!Q$2:Q$401,$AH195)="","",INDEX('Per Invoice'!Q$2:Q$401,$AH195)))</f>
        <v/>
      </c>
      <c r="R195">
        <f>IF($AH195="","",IF(INDEX('Per Invoice'!R$2:R$401,$AH195)="","",INDEX('Per Invoice'!R$2:R$401,$AH195)))</f>
        <v/>
      </c>
      <c r="S195">
        <f>IF($AH195="","",IF(INDEX('Per Invoice'!S$2:S$401,$AH195)="","",INDEX('Per Invoice'!S$2:S$401,$AH195)))</f>
        <v/>
      </c>
      <c r="T195" s="7">
        <f>IF($AH195="","",IF(INDEX('Per Invoice'!T$2:T$401,$AH195)="","",INDEX('Per Invoice'!T$2:T$401,$AH195)))</f>
        <v/>
      </c>
      <c r="U195" s="7">
        <f>IF($AH195="","",IF(INDEX('Per Invoice'!U$2:U$401,$AH195)="","",INDEX('Per Invoice'!U$2:U$401,$AH195)))</f>
        <v/>
      </c>
      <c r="V195">
        <f>IF($AH195="","",IF(INDEX('Per Invoice'!V$2:V$401,$AH195)="","",INDEX('Per Invoice'!V$2:V$401,$AH195)))</f>
        <v/>
      </c>
      <c r="W195" s="7">
        <f>IF($AH195="","",IF(INDEX('Per Invoice'!W$2:W$401,$AH195)="","",INDEX('Per Invoice'!W$2:W$401,$AH195)))</f>
        <v/>
      </c>
      <c r="X195" s="7">
        <f>IF($AH195="","",IF(INDEX('Per Invoice'!X$2:X$401,$AH195)="","",INDEX('Per Invoice'!X$2:X$401,$AH195)))</f>
        <v/>
      </c>
      <c r="Y195">
        <f>IF($AH195="","",IF(INDEX('Per Invoice'!Y$2:Y$401,$AH195)="","",INDEX('Per Invoice'!Y$2:Y$401,$AH195)))</f>
        <v/>
      </c>
      <c r="Z195" s="7">
        <f>IF($AH195="","",IF(INDEX('Per Invoice'!Z$2:Z$401,$AH195)="","",INDEX('Per Invoice'!Z$2:Z$401,$AH195)))</f>
        <v/>
      </c>
      <c r="AA195" s="7">
        <f>IF($AH195="","",IF(INDEX('Per Invoice'!AA$2:AA$401,$AH195)="","",INDEX('Per Invoice'!AA$2:AA$401,$AH195)))</f>
        <v/>
      </c>
      <c r="AB195" s="7">
        <f>IF($AH195="","",IF(INDEX('Per Invoice'!AB$2:AB$401,$AH195)="","",INDEX('Per Invoice'!AB$2:AB$401,$AH195)))</f>
        <v/>
      </c>
      <c r="AC195" s="7">
        <f>IF($AH195="","",IF(INDEX('Per Invoice'!AC$2:AC$401,$AH195)="","",INDEX('Per Invoice'!AC$2:AC$401,$AH195)))</f>
        <v/>
      </c>
      <c r="AD195" s="7">
        <f>IF($AH195="","",IF(INDEX('Per Invoice'!AD$2:AD$401,$AH195)="","",INDEX('Per Invoice'!AD$2:AD$401,$AH195)))</f>
        <v/>
      </c>
      <c r="AE195" s="7">
        <f>IF($AH195="","",IF(INDEX('Per Invoice'!AE$2:AE$401,$AH195)="","",INDEX('Per Invoice'!AE$2:AE$401,$AH195)))</f>
        <v/>
      </c>
      <c r="AF195">
        <f>IF($AH195="","",IF(INDEX('Per Invoice'!AF$2:AF$401,$AH195)="","",INDEX('Per Invoice'!AF$2:AF$401,$AH195)))</f>
        <v/>
      </c>
      <c r="AG195" s="7">
        <f>IF($AH195="","",IF(INDEX('Per Invoice'!AG$2:AG$401,$AH195)="","",INDEX('Per Invoice'!AG$2:AG$401,$AH195)))</f>
        <v/>
      </c>
      <c r="AH195" s="16">
        <f>IFERROR(MATCH(Settings!$C$27&amp;"|"&amp;ROWS($AH$2:$AH195),'Per Invoice'!$AI$2:$AI$401,0),"")</f>
        <v/>
      </c>
    </row>
    <row r="196">
      <c r="A196">
        <f>IF($AH196="","",IF(INDEX('Per Invoice'!A$2:A$401,$AH196)="","",INDEX('Per Invoice'!A$2:A$401,$AH196)))</f>
        <v/>
      </c>
      <c r="B196">
        <f>IF($AH196="","",IF(INDEX('Per Invoice'!B$2:B$401,$AH196)="","",INDEX('Per Invoice'!B$2:B$401,$AH196)))</f>
        <v/>
      </c>
      <c r="C196">
        <f>IF($AH196="","",IF(INDEX('Per Invoice'!C$2:C$401,$AH196)="","",INDEX('Per Invoice'!C$2:C$401,$AH196)))</f>
        <v/>
      </c>
      <c r="D196">
        <f>IF($AH196="","",IF(INDEX('Per Invoice'!D$2:D$401,$AH196)="","",INDEX('Per Invoice'!D$2:D$401,$AH196)))</f>
        <v/>
      </c>
      <c r="E196">
        <f>IF($AH196="","",IF(INDEX('Per Invoice'!E$2:E$401,$AH196)="","",INDEX('Per Invoice'!E$2:E$401,$AH196)))</f>
        <v/>
      </c>
      <c r="F196">
        <f>IF($AH196="","",IF(INDEX('Per Invoice'!F$2:F$401,$AH196)="","",INDEX('Per Invoice'!F$2:F$401,$AH196)))</f>
        <v/>
      </c>
      <c r="G196">
        <f>IF($AH196="","",IF(INDEX('Per Invoice'!G$2:G$401,$AH196)="","",INDEX('Per Invoice'!G$2:G$401,$AH196)))</f>
        <v/>
      </c>
      <c r="H196">
        <f>IF($AH196="","",IF(INDEX('Per Invoice'!H$2:H$401,$AH196)="","",INDEX('Per Invoice'!H$2:H$401,$AH196)))</f>
        <v/>
      </c>
      <c r="I196" s="14">
        <f>IF($AH196="","",IF(INDEX('Per Invoice'!I$2:I$401,$AH196)="","",INDEX('Per Invoice'!I$2:I$401,$AH196)))</f>
        <v/>
      </c>
      <c r="J196">
        <f>IF($AH196="","",IF(INDEX('Per Invoice'!J$2:J$401,$AH196)="","",INDEX('Per Invoice'!J$2:J$401,$AH196)))</f>
        <v/>
      </c>
      <c r="K196">
        <f>IF($AH196="","",IF(INDEX('Per Invoice'!K$2:K$401,$AH196)="","",INDEX('Per Invoice'!K$2:K$401,$AH196)))</f>
        <v/>
      </c>
      <c r="L196">
        <f>IF($AH196="","",IF(INDEX('Per Invoice'!L$2:L$401,$AH196)="","",INDEX('Per Invoice'!L$2:L$401,$AH196)))</f>
        <v/>
      </c>
      <c r="M196">
        <f>IF($AH196="","",IF(INDEX('Per Invoice'!M$2:M$401,$AH196)="","",INDEX('Per Invoice'!M$2:M$401,$AH196)))</f>
        <v/>
      </c>
      <c r="N196">
        <f>IF($AH196="","",IF(INDEX('Per Invoice'!N$2:N$401,$AH196)="","",INDEX('Per Invoice'!N$2:N$401,$AH196)))</f>
        <v/>
      </c>
      <c r="O196">
        <f>IF($AH196="","",IF(INDEX('Per Invoice'!O$2:O$401,$AH196)="","",INDEX('Per Invoice'!O$2:O$401,$AH196)))</f>
        <v/>
      </c>
      <c r="P196" s="7">
        <f>IF($AH196="","",IF(INDEX('Per Invoice'!P$2:P$401,$AH196)="","",INDEX('Per Invoice'!P$2:P$401,$AH196)))</f>
        <v/>
      </c>
      <c r="Q196">
        <f>IF($AH196="","",IF(INDEX('Per Invoice'!Q$2:Q$401,$AH196)="","",INDEX('Per Invoice'!Q$2:Q$401,$AH196)))</f>
        <v/>
      </c>
      <c r="R196">
        <f>IF($AH196="","",IF(INDEX('Per Invoice'!R$2:R$401,$AH196)="","",INDEX('Per Invoice'!R$2:R$401,$AH196)))</f>
        <v/>
      </c>
      <c r="S196">
        <f>IF($AH196="","",IF(INDEX('Per Invoice'!S$2:S$401,$AH196)="","",INDEX('Per Invoice'!S$2:S$401,$AH196)))</f>
        <v/>
      </c>
      <c r="T196" s="7">
        <f>IF($AH196="","",IF(INDEX('Per Invoice'!T$2:T$401,$AH196)="","",INDEX('Per Invoice'!T$2:T$401,$AH196)))</f>
        <v/>
      </c>
      <c r="U196" s="7">
        <f>IF($AH196="","",IF(INDEX('Per Invoice'!U$2:U$401,$AH196)="","",INDEX('Per Invoice'!U$2:U$401,$AH196)))</f>
        <v/>
      </c>
      <c r="V196">
        <f>IF($AH196="","",IF(INDEX('Per Invoice'!V$2:V$401,$AH196)="","",INDEX('Per Invoice'!V$2:V$401,$AH196)))</f>
        <v/>
      </c>
      <c r="W196" s="7">
        <f>IF($AH196="","",IF(INDEX('Per Invoice'!W$2:W$401,$AH196)="","",INDEX('Per Invoice'!W$2:W$401,$AH196)))</f>
        <v/>
      </c>
      <c r="X196" s="7">
        <f>IF($AH196="","",IF(INDEX('Per Invoice'!X$2:X$401,$AH196)="","",INDEX('Per Invoice'!X$2:X$401,$AH196)))</f>
        <v/>
      </c>
      <c r="Y196">
        <f>IF($AH196="","",IF(INDEX('Per Invoice'!Y$2:Y$401,$AH196)="","",INDEX('Per Invoice'!Y$2:Y$401,$AH196)))</f>
        <v/>
      </c>
      <c r="Z196" s="7">
        <f>IF($AH196="","",IF(INDEX('Per Invoice'!Z$2:Z$401,$AH196)="","",INDEX('Per Invoice'!Z$2:Z$401,$AH196)))</f>
        <v/>
      </c>
      <c r="AA196" s="7">
        <f>IF($AH196="","",IF(INDEX('Per Invoice'!AA$2:AA$401,$AH196)="","",INDEX('Per Invoice'!AA$2:AA$401,$AH196)))</f>
        <v/>
      </c>
      <c r="AB196" s="7">
        <f>IF($AH196="","",IF(INDEX('Per Invoice'!AB$2:AB$401,$AH196)="","",INDEX('Per Invoice'!AB$2:AB$401,$AH196)))</f>
        <v/>
      </c>
      <c r="AC196" s="7">
        <f>IF($AH196="","",IF(INDEX('Per Invoice'!AC$2:AC$401,$AH196)="","",INDEX('Per Invoice'!AC$2:AC$401,$AH196)))</f>
        <v/>
      </c>
      <c r="AD196" s="7">
        <f>IF($AH196="","",IF(INDEX('Per Invoice'!AD$2:AD$401,$AH196)="","",INDEX('Per Invoice'!AD$2:AD$401,$AH196)))</f>
        <v/>
      </c>
      <c r="AE196" s="7">
        <f>IF($AH196="","",IF(INDEX('Per Invoice'!AE$2:AE$401,$AH196)="","",INDEX('Per Invoice'!AE$2:AE$401,$AH196)))</f>
        <v/>
      </c>
      <c r="AF196">
        <f>IF($AH196="","",IF(INDEX('Per Invoice'!AF$2:AF$401,$AH196)="","",INDEX('Per Invoice'!AF$2:AF$401,$AH196)))</f>
        <v/>
      </c>
      <c r="AG196" s="7">
        <f>IF($AH196="","",IF(INDEX('Per Invoice'!AG$2:AG$401,$AH196)="","",INDEX('Per Invoice'!AG$2:AG$401,$AH196)))</f>
        <v/>
      </c>
      <c r="AH196" s="16">
        <f>IFERROR(MATCH(Settings!$C$27&amp;"|"&amp;ROWS($AH$2:$AH196),'Per Invoice'!$AI$2:$AI$401,0),"")</f>
        <v/>
      </c>
    </row>
    <row r="197">
      <c r="A197">
        <f>IF($AH197="","",IF(INDEX('Per Invoice'!A$2:A$401,$AH197)="","",INDEX('Per Invoice'!A$2:A$401,$AH197)))</f>
        <v/>
      </c>
      <c r="B197">
        <f>IF($AH197="","",IF(INDEX('Per Invoice'!B$2:B$401,$AH197)="","",INDEX('Per Invoice'!B$2:B$401,$AH197)))</f>
        <v/>
      </c>
      <c r="C197">
        <f>IF($AH197="","",IF(INDEX('Per Invoice'!C$2:C$401,$AH197)="","",INDEX('Per Invoice'!C$2:C$401,$AH197)))</f>
        <v/>
      </c>
      <c r="D197">
        <f>IF($AH197="","",IF(INDEX('Per Invoice'!D$2:D$401,$AH197)="","",INDEX('Per Invoice'!D$2:D$401,$AH197)))</f>
        <v/>
      </c>
      <c r="E197">
        <f>IF($AH197="","",IF(INDEX('Per Invoice'!E$2:E$401,$AH197)="","",INDEX('Per Invoice'!E$2:E$401,$AH197)))</f>
        <v/>
      </c>
      <c r="F197">
        <f>IF($AH197="","",IF(INDEX('Per Invoice'!F$2:F$401,$AH197)="","",INDEX('Per Invoice'!F$2:F$401,$AH197)))</f>
        <v/>
      </c>
      <c r="G197">
        <f>IF($AH197="","",IF(INDEX('Per Invoice'!G$2:G$401,$AH197)="","",INDEX('Per Invoice'!G$2:G$401,$AH197)))</f>
        <v/>
      </c>
      <c r="H197">
        <f>IF($AH197="","",IF(INDEX('Per Invoice'!H$2:H$401,$AH197)="","",INDEX('Per Invoice'!H$2:H$401,$AH197)))</f>
        <v/>
      </c>
      <c r="I197" s="14">
        <f>IF($AH197="","",IF(INDEX('Per Invoice'!I$2:I$401,$AH197)="","",INDEX('Per Invoice'!I$2:I$401,$AH197)))</f>
        <v/>
      </c>
      <c r="J197">
        <f>IF($AH197="","",IF(INDEX('Per Invoice'!J$2:J$401,$AH197)="","",INDEX('Per Invoice'!J$2:J$401,$AH197)))</f>
        <v/>
      </c>
      <c r="K197">
        <f>IF($AH197="","",IF(INDEX('Per Invoice'!K$2:K$401,$AH197)="","",INDEX('Per Invoice'!K$2:K$401,$AH197)))</f>
        <v/>
      </c>
      <c r="L197">
        <f>IF($AH197="","",IF(INDEX('Per Invoice'!L$2:L$401,$AH197)="","",INDEX('Per Invoice'!L$2:L$401,$AH197)))</f>
        <v/>
      </c>
      <c r="M197">
        <f>IF($AH197="","",IF(INDEX('Per Invoice'!M$2:M$401,$AH197)="","",INDEX('Per Invoice'!M$2:M$401,$AH197)))</f>
        <v/>
      </c>
      <c r="N197">
        <f>IF($AH197="","",IF(INDEX('Per Invoice'!N$2:N$401,$AH197)="","",INDEX('Per Invoice'!N$2:N$401,$AH197)))</f>
        <v/>
      </c>
      <c r="O197">
        <f>IF($AH197="","",IF(INDEX('Per Invoice'!O$2:O$401,$AH197)="","",INDEX('Per Invoice'!O$2:O$401,$AH197)))</f>
        <v/>
      </c>
      <c r="P197" s="7">
        <f>IF($AH197="","",IF(INDEX('Per Invoice'!P$2:P$401,$AH197)="","",INDEX('Per Invoice'!P$2:P$401,$AH197)))</f>
        <v/>
      </c>
      <c r="Q197">
        <f>IF($AH197="","",IF(INDEX('Per Invoice'!Q$2:Q$401,$AH197)="","",INDEX('Per Invoice'!Q$2:Q$401,$AH197)))</f>
        <v/>
      </c>
      <c r="R197">
        <f>IF($AH197="","",IF(INDEX('Per Invoice'!R$2:R$401,$AH197)="","",INDEX('Per Invoice'!R$2:R$401,$AH197)))</f>
        <v/>
      </c>
      <c r="S197">
        <f>IF($AH197="","",IF(INDEX('Per Invoice'!S$2:S$401,$AH197)="","",INDEX('Per Invoice'!S$2:S$401,$AH197)))</f>
        <v/>
      </c>
      <c r="T197" s="7">
        <f>IF($AH197="","",IF(INDEX('Per Invoice'!T$2:T$401,$AH197)="","",INDEX('Per Invoice'!T$2:T$401,$AH197)))</f>
        <v/>
      </c>
      <c r="U197" s="7">
        <f>IF($AH197="","",IF(INDEX('Per Invoice'!U$2:U$401,$AH197)="","",INDEX('Per Invoice'!U$2:U$401,$AH197)))</f>
        <v/>
      </c>
      <c r="V197">
        <f>IF($AH197="","",IF(INDEX('Per Invoice'!V$2:V$401,$AH197)="","",INDEX('Per Invoice'!V$2:V$401,$AH197)))</f>
        <v/>
      </c>
      <c r="W197" s="7">
        <f>IF($AH197="","",IF(INDEX('Per Invoice'!W$2:W$401,$AH197)="","",INDEX('Per Invoice'!W$2:W$401,$AH197)))</f>
        <v/>
      </c>
      <c r="X197" s="7">
        <f>IF($AH197="","",IF(INDEX('Per Invoice'!X$2:X$401,$AH197)="","",INDEX('Per Invoice'!X$2:X$401,$AH197)))</f>
        <v/>
      </c>
      <c r="Y197">
        <f>IF($AH197="","",IF(INDEX('Per Invoice'!Y$2:Y$401,$AH197)="","",INDEX('Per Invoice'!Y$2:Y$401,$AH197)))</f>
        <v/>
      </c>
      <c r="Z197" s="7">
        <f>IF($AH197="","",IF(INDEX('Per Invoice'!Z$2:Z$401,$AH197)="","",INDEX('Per Invoice'!Z$2:Z$401,$AH197)))</f>
        <v/>
      </c>
      <c r="AA197" s="7">
        <f>IF($AH197="","",IF(INDEX('Per Invoice'!AA$2:AA$401,$AH197)="","",INDEX('Per Invoice'!AA$2:AA$401,$AH197)))</f>
        <v/>
      </c>
      <c r="AB197" s="7">
        <f>IF($AH197="","",IF(INDEX('Per Invoice'!AB$2:AB$401,$AH197)="","",INDEX('Per Invoice'!AB$2:AB$401,$AH197)))</f>
        <v/>
      </c>
      <c r="AC197" s="7">
        <f>IF($AH197="","",IF(INDEX('Per Invoice'!AC$2:AC$401,$AH197)="","",INDEX('Per Invoice'!AC$2:AC$401,$AH197)))</f>
        <v/>
      </c>
      <c r="AD197" s="7">
        <f>IF($AH197="","",IF(INDEX('Per Invoice'!AD$2:AD$401,$AH197)="","",INDEX('Per Invoice'!AD$2:AD$401,$AH197)))</f>
        <v/>
      </c>
      <c r="AE197" s="7">
        <f>IF($AH197="","",IF(INDEX('Per Invoice'!AE$2:AE$401,$AH197)="","",INDEX('Per Invoice'!AE$2:AE$401,$AH197)))</f>
        <v/>
      </c>
      <c r="AF197">
        <f>IF($AH197="","",IF(INDEX('Per Invoice'!AF$2:AF$401,$AH197)="","",INDEX('Per Invoice'!AF$2:AF$401,$AH197)))</f>
        <v/>
      </c>
      <c r="AG197" s="7">
        <f>IF($AH197="","",IF(INDEX('Per Invoice'!AG$2:AG$401,$AH197)="","",INDEX('Per Invoice'!AG$2:AG$401,$AH197)))</f>
        <v/>
      </c>
      <c r="AH197" s="16">
        <f>IFERROR(MATCH(Settings!$C$27&amp;"|"&amp;ROWS($AH$2:$AH197),'Per Invoice'!$AI$2:$AI$401,0),"")</f>
        <v/>
      </c>
    </row>
    <row r="198">
      <c r="A198">
        <f>IF($AH198="","",IF(INDEX('Per Invoice'!A$2:A$401,$AH198)="","",INDEX('Per Invoice'!A$2:A$401,$AH198)))</f>
        <v/>
      </c>
      <c r="B198">
        <f>IF($AH198="","",IF(INDEX('Per Invoice'!B$2:B$401,$AH198)="","",INDEX('Per Invoice'!B$2:B$401,$AH198)))</f>
        <v/>
      </c>
      <c r="C198">
        <f>IF($AH198="","",IF(INDEX('Per Invoice'!C$2:C$401,$AH198)="","",INDEX('Per Invoice'!C$2:C$401,$AH198)))</f>
        <v/>
      </c>
      <c r="D198">
        <f>IF($AH198="","",IF(INDEX('Per Invoice'!D$2:D$401,$AH198)="","",INDEX('Per Invoice'!D$2:D$401,$AH198)))</f>
        <v/>
      </c>
      <c r="E198">
        <f>IF($AH198="","",IF(INDEX('Per Invoice'!E$2:E$401,$AH198)="","",INDEX('Per Invoice'!E$2:E$401,$AH198)))</f>
        <v/>
      </c>
      <c r="F198">
        <f>IF($AH198="","",IF(INDEX('Per Invoice'!F$2:F$401,$AH198)="","",INDEX('Per Invoice'!F$2:F$401,$AH198)))</f>
        <v/>
      </c>
      <c r="G198">
        <f>IF($AH198="","",IF(INDEX('Per Invoice'!G$2:G$401,$AH198)="","",INDEX('Per Invoice'!G$2:G$401,$AH198)))</f>
        <v/>
      </c>
      <c r="H198">
        <f>IF($AH198="","",IF(INDEX('Per Invoice'!H$2:H$401,$AH198)="","",INDEX('Per Invoice'!H$2:H$401,$AH198)))</f>
        <v/>
      </c>
      <c r="I198" s="14">
        <f>IF($AH198="","",IF(INDEX('Per Invoice'!I$2:I$401,$AH198)="","",INDEX('Per Invoice'!I$2:I$401,$AH198)))</f>
        <v/>
      </c>
      <c r="J198">
        <f>IF($AH198="","",IF(INDEX('Per Invoice'!J$2:J$401,$AH198)="","",INDEX('Per Invoice'!J$2:J$401,$AH198)))</f>
        <v/>
      </c>
      <c r="K198">
        <f>IF($AH198="","",IF(INDEX('Per Invoice'!K$2:K$401,$AH198)="","",INDEX('Per Invoice'!K$2:K$401,$AH198)))</f>
        <v/>
      </c>
      <c r="L198">
        <f>IF($AH198="","",IF(INDEX('Per Invoice'!L$2:L$401,$AH198)="","",INDEX('Per Invoice'!L$2:L$401,$AH198)))</f>
        <v/>
      </c>
      <c r="M198">
        <f>IF($AH198="","",IF(INDEX('Per Invoice'!M$2:M$401,$AH198)="","",INDEX('Per Invoice'!M$2:M$401,$AH198)))</f>
        <v/>
      </c>
      <c r="N198">
        <f>IF($AH198="","",IF(INDEX('Per Invoice'!N$2:N$401,$AH198)="","",INDEX('Per Invoice'!N$2:N$401,$AH198)))</f>
        <v/>
      </c>
      <c r="O198">
        <f>IF($AH198="","",IF(INDEX('Per Invoice'!O$2:O$401,$AH198)="","",INDEX('Per Invoice'!O$2:O$401,$AH198)))</f>
        <v/>
      </c>
      <c r="P198" s="7">
        <f>IF($AH198="","",IF(INDEX('Per Invoice'!P$2:P$401,$AH198)="","",INDEX('Per Invoice'!P$2:P$401,$AH198)))</f>
        <v/>
      </c>
      <c r="Q198">
        <f>IF($AH198="","",IF(INDEX('Per Invoice'!Q$2:Q$401,$AH198)="","",INDEX('Per Invoice'!Q$2:Q$401,$AH198)))</f>
        <v/>
      </c>
      <c r="R198">
        <f>IF($AH198="","",IF(INDEX('Per Invoice'!R$2:R$401,$AH198)="","",INDEX('Per Invoice'!R$2:R$401,$AH198)))</f>
        <v/>
      </c>
      <c r="S198">
        <f>IF($AH198="","",IF(INDEX('Per Invoice'!S$2:S$401,$AH198)="","",INDEX('Per Invoice'!S$2:S$401,$AH198)))</f>
        <v/>
      </c>
      <c r="T198" s="7">
        <f>IF($AH198="","",IF(INDEX('Per Invoice'!T$2:T$401,$AH198)="","",INDEX('Per Invoice'!T$2:T$401,$AH198)))</f>
        <v/>
      </c>
      <c r="U198" s="7">
        <f>IF($AH198="","",IF(INDEX('Per Invoice'!U$2:U$401,$AH198)="","",INDEX('Per Invoice'!U$2:U$401,$AH198)))</f>
        <v/>
      </c>
      <c r="V198">
        <f>IF($AH198="","",IF(INDEX('Per Invoice'!V$2:V$401,$AH198)="","",INDEX('Per Invoice'!V$2:V$401,$AH198)))</f>
        <v/>
      </c>
      <c r="W198" s="7">
        <f>IF($AH198="","",IF(INDEX('Per Invoice'!W$2:W$401,$AH198)="","",INDEX('Per Invoice'!W$2:W$401,$AH198)))</f>
        <v/>
      </c>
      <c r="X198" s="7">
        <f>IF($AH198="","",IF(INDEX('Per Invoice'!X$2:X$401,$AH198)="","",INDEX('Per Invoice'!X$2:X$401,$AH198)))</f>
        <v/>
      </c>
      <c r="Y198">
        <f>IF($AH198="","",IF(INDEX('Per Invoice'!Y$2:Y$401,$AH198)="","",INDEX('Per Invoice'!Y$2:Y$401,$AH198)))</f>
        <v/>
      </c>
      <c r="Z198" s="7">
        <f>IF($AH198="","",IF(INDEX('Per Invoice'!Z$2:Z$401,$AH198)="","",INDEX('Per Invoice'!Z$2:Z$401,$AH198)))</f>
        <v/>
      </c>
      <c r="AA198" s="7">
        <f>IF($AH198="","",IF(INDEX('Per Invoice'!AA$2:AA$401,$AH198)="","",INDEX('Per Invoice'!AA$2:AA$401,$AH198)))</f>
        <v/>
      </c>
      <c r="AB198" s="7">
        <f>IF($AH198="","",IF(INDEX('Per Invoice'!AB$2:AB$401,$AH198)="","",INDEX('Per Invoice'!AB$2:AB$401,$AH198)))</f>
        <v/>
      </c>
      <c r="AC198" s="7">
        <f>IF($AH198="","",IF(INDEX('Per Invoice'!AC$2:AC$401,$AH198)="","",INDEX('Per Invoice'!AC$2:AC$401,$AH198)))</f>
        <v/>
      </c>
      <c r="AD198" s="7">
        <f>IF($AH198="","",IF(INDEX('Per Invoice'!AD$2:AD$401,$AH198)="","",INDEX('Per Invoice'!AD$2:AD$401,$AH198)))</f>
        <v/>
      </c>
      <c r="AE198" s="7">
        <f>IF($AH198="","",IF(INDEX('Per Invoice'!AE$2:AE$401,$AH198)="","",INDEX('Per Invoice'!AE$2:AE$401,$AH198)))</f>
        <v/>
      </c>
      <c r="AF198">
        <f>IF($AH198="","",IF(INDEX('Per Invoice'!AF$2:AF$401,$AH198)="","",INDEX('Per Invoice'!AF$2:AF$401,$AH198)))</f>
        <v/>
      </c>
      <c r="AG198" s="7">
        <f>IF($AH198="","",IF(INDEX('Per Invoice'!AG$2:AG$401,$AH198)="","",INDEX('Per Invoice'!AG$2:AG$401,$AH198)))</f>
        <v/>
      </c>
      <c r="AH198" s="16">
        <f>IFERROR(MATCH(Settings!$C$27&amp;"|"&amp;ROWS($AH$2:$AH198),'Per Invoice'!$AI$2:$AI$401,0),"")</f>
        <v/>
      </c>
    </row>
    <row r="199">
      <c r="A199">
        <f>IF($AH199="","",IF(INDEX('Per Invoice'!A$2:A$401,$AH199)="","",INDEX('Per Invoice'!A$2:A$401,$AH199)))</f>
        <v/>
      </c>
      <c r="B199">
        <f>IF($AH199="","",IF(INDEX('Per Invoice'!B$2:B$401,$AH199)="","",INDEX('Per Invoice'!B$2:B$401,$AH199)))</f>
        <v/>
      </c>
      <c r="C199">
        <f>IF($AH199="","",IF(INDEX('Per Invoice'!C$2:C$401,$AH199)="","",INDEX('Per Invoice'!C$2:C$401,$AH199)))</f>
        <v/>
      </c>
      <c r="D199">
        <f>IF($AH199="","",IF(INDEX('Per Invoice'!D$2:D$401,$AH199)="","",INDEX('Per Invoice'!D$2:D$401,$AH199)))</f>
        <v/>
      </c>
      <c r="E199">
        <f>IF($AH199="","",IF(INDEX('Per Invoice'!E$2:E$401,$AH199)="","",INDEX('Per Invoice'!E$2:E$401,$AH199)))</f>
        <v/>
      </c>
      <c r="F199">
        <f>IF($AH199="","",IF(INDEX('Per Invoice'!F$2:F$401,$AH199)="","",INDEX('Per Invoice'!F$2:F$401,$AH199)))</f>
        <v/>
      </c>
      <c r="G199">
        <f>IF($AH199="","",IF(INDEX('Per Invoice'!G$2:G$401,$AH199)="","",INDEX('Per Invoice'!G$2:G$401,$AH199)))</f>
        <v/>
      </c>
      <c r="H199">
        <f>IF($AH199="","",IF(INDEX('Per Invoice'!H$2:H$401,$AH199)="","",INDEX('Per Invoice'!H$2:H$401,$AH199)))</f>
        <v/>
      </c>
      <c r="I199" s="14">
        <f>IF($AH199="","",IF(INDEX('Per Invoice'!I$2:I$401,$AH199)="","",INDEX('Per Invoice'!I$2:I$401,$AH199)))</f>
        <v/>
      </c>
      <c r="J199">
        <f>IF($AH199="","",IF(INDEX('Per Invoice'!J$2:J$401,$AH199)="","",INDEX('Per Invoice'!J$2:J$401,$AH199)))</f>
        <v/>
      </c>
      <c r="K199">
        <f>IF($AH199="","",IF(INDEX('Per Invoice'!K$2:K$401,$AH199)="","",INDEX('Per Invoice'!K$2:K$401,$AH199)))</f>
        <v/>
      </c>
      <c r="L199">
        <f>IF($AH199="","",IF(INDEX('Per Invoice'!L$2:L$401,$AH199)="","",INDEX('Per Invoice'!L$2:L$401,$AH199)))</f>
        <v/>
      </c>
      <c r="M199">
        <f>IF($AH199="","",IF(INDEX('Per Invoice'!M$2:M$401,$AH199)="","",INDEX('Per Invoice'!M$2:M$401,$AH199)))</f>
        <v/>
      </c>
      <c r="N199">
        <f>IF($AH199="","",IF(INDEX('Per Invoice'!N$2:N$401,$AH199)="","",INDEX('Per Invoice'!N$2:N$401,$AH199)))</f>
        <v/>
      </c>
      <c r="O199">
        <f>IF($AH199="","",IF(INDEX('Per Invoice'!O$2:O$401,$AH199)="","",INDEX('Per Invoice'!O$2:O$401,$AH199)))</f>
        <v/>
      </c>
      <c r="P199" s="7">
        <f>IF($AH199="","",IF(INDEX('Per Invoice'!P$2:P$401,$AH199)="","",INDEX('Per Invoice'!P$2:P$401,$AH199)))</f>
        <v/>
      </c>
      <c r="Q199">
        <f>IF($AH199="","",IF(INDEX('Per Invoice'!Q$2:Q$401,$AH199)="","",INDEX('Per Invoice'!Q$2:Q$401,$AH199)))</f>
        <v/>
      </c>
      <c r="R199">
        <f>IF($AH199="","",IF(INDEX('Per Invoice'!R$2:R$401,$AH199)="","",INDEX('Per Invoice'!R$2:R$401,$AH199)))</f>
        <v/>
      </c>
      <c r="S199">
        <f>IF($AH199="","",IF(INDEX('Per Invoice'!S$2:S$401,$AH199)="","",INDEX('Per Invoice'!S$2:S$401,$AH199)))</f>
        <v/>
      </c>
      <c r="T199" s="7">
        <f>IF($AH199="","",IF(INDEX('Per Invoice'!T$2:T$401,$AH199)="","",INDEX('Per Invoice'!T$2:T$401,$AH199)))</f>
        <v/>
      </c>
      <c r="U199" s="7">
        <f>IF($AH199="","",IF(INDEX('Per Invoice'!U$2:U$401,$AH199)="","",INDEX('Per Invoice'!U$2:U$401,$AH199)))</f>
        <v/>
      </c>
      <c r="V199">
        <f>IF($AH199="","",IF(INDEX('Per Invoice'!V$2:V$401,$AH199)="","",INDEX('Per Invoice'!V$2:V$401,$AH199)))</f>
        <v/>
      </c>
      <c r="W199" s="7">
        <f>IF($AH199="","",IF(INDEX('Per Invoice'!W$2:W$401,$AH199)="","",INDEX('Per Invoice'!W$2:W$401,$AH199)))</f>
        <v/>
      </c>
      <c r="X199" s="7">
        <f>IF($AH199="","",IF(INDEX('Per Invoice'!X$2:X$401,$AH199)="","",INDEX('Per Invoice'!X$2:X$401,$AH199)))</f>
        <v/>
      </c>
      <c r="Y199">
        <f>IF($AH199="","",IF(INDEX('Per Invoice'!Y$2:Y$401,$AH199)="","",INDEX('Per Invoice'!Y$2:Y$401,$AH199)))</f>
        <v/>
      </c>
      <c r="Z199" s="7">
        <f>IF($AH199="","",IF(INDEX('Per Invoice'!Z$2:Z$401,$AH199)="","",INDEX('Per Invoice'!Z$2:Z$401,$AH199)))</f>
        <v/>
      </c>
      <c r="AA199" s="7">
        <f>IF($AH199="","",IF(INDEX('Per Invoice'!AA$2:AA$401,$AH199)="","",INDEX('Per Invoice'!AA$2:AA$401,$AH199)))</f>
        <v/>
      </c>
      <c r="AB199" s="7">
        <f>IF($AH199="","",IF(INDEX('Per Invoice'!AB$2:AB$401,$AH199)="","",INDEX('Per Invoice'!AB$2:AB$401,$AH199)))</f>
        <v/>
      </c>
      <c r="AC199" s="7">
        <f>IF($AH199="","",IF(INDEX('Per Invoice'!AC$2:AC$401,$AH199)="","",INDEX('Per Invoice'!AC$2:AC$401,$AH199)))</f>
        <v/>
      </c>
      <c r="AD199" s="7">
        <f>IF($AH199="","",IF(INDEX('Per Invoice'!AD$2:AD$401,$AH199)="","",INDEX('Per Invoice'!AD$2:AD$401,$AH199)))</f>
        <v/>
      </c>
      <c r="AE199" s="7">
        <f>IF($AH199="","",IF(INDEX('Per Invoice'!AE$2:AE$401,$AH199)="","",INDEX('Per Invoice'!AE$2:AE$401,$AH199)))</f>
        <v/>
      </c>
      <c r="AF199">
        <f>IF($AH199="","",IF(INDEX('Per Invoice'!AF$2:AF$401,$AH199)="","",INDEX('Per Invoice'!AF$2:AF$401,$AH199)))</f>
        <v/>
      </c>
      <c r="AG199" s="7">
        <f>IF($AH199="","",IF(INDEX('Per Invoice'!AG$2:AG$401,$AH199)="","",INDEX('Per Invoice'!AG$2:AG$401,$AH199)))</f>
        <v/>
      </c>
      <c r="AH199" s="16">
        <f>IFERROR(MATCH(Settings!$C$27&amp;"|"&amp;ROWS($AH$2:$AH199),'Per Invoice'!$AI$2:$AI$401,0),"")</f>
        <v/>
      </c>
    </row>
    <row r="200">
      <c r="A200">
        <f>IF($AH200="","",IF(INDEX('Per Invoice'!A$2:A$401,$AH200)="","",INDEX('Per Invoice'!A$2:A$401,$AH200)))</f>
        <v/>
      </c>
      <c r="B200">
        <f>IF($AH200="","",IF(INDEX('Per Invoice'!B$2:B$401,$AH200)="","",INDEX('Per Invoice'!B$2:B$401,$AH200)))</f>
        <v/>
      </c>
      <c r="C200">
        <f>IF($AH200="","",IF(INDEX('Per Invoice'!C$2:C$401,$AH200)="","",INDEX('Per Invoice'!C$2:C$401,$AH200)))</f>
        <v/>
      </c>
      <c r="D200">
        <f>IF($AH200="","",IF(INDEX('Per Invoice'!D$2:D$401,$AH200)="","",INDEX('Per Invoice'!D$2:D$401,$AH200)))</f>
        <v/>
      </c>
      <c r="E200">
        <f>IF($AH200="","",IF(INDEX('Per Invoice'!E$2:E$401,$AH200)="","",INDEX('Per Invoice'!E$2:E$401,$AH200)))</f>
        <v/>
      </c>
      <c r="F200">
        <f>IF($AH200="","",IF(INDEX('Per Invoice'!F$2:F$401,$AH200)="","",INDEX('Per Invoice'!F$2:F$401,$AH200)))</f>
        <v/>
      </c>
      <c r="G200">
        <f>IF($AH200="","",IF(INDEX('Per Invoice'!G$2:G$401,$AH200)="","",INDEX('Per Invoice'!G$2:G$401,$AH200)))</f>
        <v/>
      </c>
      <c r="H200">
        <f>IF($AH200="","",IF(INDEX('Per Invoice'!H$2:H$401,$AH200)="","",INDEX('Per Invoice'!H$2:H$401,$AH200)))</f>
        <v/>
      </c>
      <c r="I200" s="14">
        <f>IF($AH200="","",IF(INDEX('Per Invoice'!I$2:I$401,$AH200)="","",INDEX('Per Invoice'!I$2:I$401,$AH200)))</f>
        <v/>
      </c>
      <c r="J200">
        <f>IF($AH200="","",IF(INDEX('Per Invoice'!J$2:J$401,$AH200)="","",INDEX('Per Invoice'!J$2:J$401,$AH200)))</f>
        <v/>
      </c>
      <c r="K200">
        <f>IF($AH200="","",IF(INDEX('Per Invoice'!K$2:K$401,$AH200)="","",INDEX('Per Invoice'!K$2:K$401,$AH200)))</f>
        <v/>
      </c>
      <c r="L200">
        <f>IF($AH200="","",IF(INDEX('Per Invoice'!L$2:L$401,$AH200)="","",INDEX('Per Invoice'!L$2:L$401,$AH200)))</f>
        <v/>
      </c>
      <c r="M200">
        <f>IF($AH200="","",IF(INDEX('Per Invoice'!M$2:M$401,$AH200)="","",INDEX('Per Invoice'!M$2:M$401,$AH200)))</f>
        <v/>
      </c>
      <c r="N200">
        <f>IF($AH200="","",IF(INDEX('Per Invoice'!N$2:N$401,$AH200)="","",INDEX('Per Invoice'!N$2:N$401,$AH200)))</f>
        <v/>
      </c>
      <c r="O200">
        <f>IF($AH200="","",IF(INDEX('Per Invoice'!O$2:O$401,$AH200)="","",INDEX('Per Invoice'!O$2:O$401,$AH200)))</f>
        <v/>
      </c>
      <c r="P200" s="7">
        <f>IF($AH200="","",IF(INDEX('Per Invoice'!P$2:P$401,$AH200)="","",INDEX('Per Invoice'!P$2:P$401,$AH200)))</f>
        <v/>
      </c>
      <c r="Q200">
        <f>IF($AH200="","",IF(INDEX('Per Invoice'!Q$2:Q$401,$AH200)="","",INDEX('Per Invoice'!Q$2:Q$401,$AH200)))</f>
        <v/>
      </c>
      <c r="R200">
        <f>IF($AH200="","",IF(INDEX('Per Invoice'!R$2:R$401,$AH200)="","",INDEX('Per Invoice'!R$2:R$401,$AH200)))</f>
        <v/>
      </c>
      <c r="S200">
        <f>IF($AH200="","",IF(INDEX('Per Invoice'!S$2:S$401,$AH200)="","",INDEX('Per Invoice'!S$2:S$401,$AH200)))</f>
        <v/>
      </c>
      <c r="T200" s="7">
        <f>IF($AH200="","",IF(INDEX('Per Invoice'!T$2:T$401,$AH200)="","",INDEX('Per Invoice'!T$2:T$401,$AH200)))</f>
        <v/>
      </c>
      <c r="U200" s="7">
        <f>IF($AH200="","",IF(INDEX('Per Invoice'!U$2:U$401,$AH200)="","",INDEX('Per Invoice'!U$2:U$401,$AH200)))</f>
        <v/>
      </c>
      <c r="V200">
        <f>IF($AH200="","",IF(INDEX('Per Invoice'!V$2:V$401,$AH200)="","",INDEX('Per Invoice'!V$2:V$401,$AH200)))</f>
        <v/>
      </c>
      <c r="W200" s="7">
        <f>IF($AH200="","",IF(INDEX('Per Invoice'!W$2:W$401,$AH200)="","",INDEX('Per Invoice'!W$2:W$401,$AH200)))</f>
        <v/>
      </c>
      <c r="X200" s="7">
        <f>IF($AH200="","",IF(INDEX('Per Invoice'!X$2:X$401,$AH200)="","",INDEX('Per Invoice'!X$2:X$401,$AH200)))</f>
        <v/>
      </c>
      <c r="Y200">
        <f>IF($AH200="","",IF(INDEX('Per Invoice'!Y$2:Y$401,$AH200)="","",INDEX('Per Invoice'!Y$2:Y$401,$AH200)))</f>
        <v/>
      </c>
      <c r="Z200" s="7">
        <f>IF($AH200="","",IF(INDEX('Per Invoice'!Z$2:Z$401,$AH200)="","",INDEX('Per Invoice'!Z$2:Z$401,$AH200)))</f>
        <v/>
      </c>
      <c r="AA200" s="7">
        <f>IF($AH200="","",IF(INDEX('Per Invoice'!AA$2:AA$401,$AH200)="","",INDEX('Per Invoice'!AA$2:AA$401,$AH200)))</f>
        <v/>
      </c>
      <c r="AB200" s="7">
        <f>IF($AH200="","",IF(INDEX('Per Invoice'!AB$2:AB$401,$AH200)="","",INDEX('Per Invoice'!AB$2:AB$401,$AH200)))</f>
        <v/>
      </c>
      <c r="AC200" s="7">
        <f>IF($AH200="","",IF(INDEX('Per Invoice'!AC$2:AC$401,$AH200)="","",INDEX('Per Invoice'!AC$2:AC$401,$AH200)))</f>
        <v/>
      </c>
      <c r="AD200" s="7">
        <f>IF($AH200="","",IF(INDEX('Per Invoice'!AD$2:AD$401,$AH200)="","",INDEX('Per Invoice'!AD$2:AD$401,$AH200)))</f>
        <v/>
      </c>
      <c r="AE200" s="7">
        <f>IF($AH200="","",IF(INDEX('Per Invoice'!AE$2:AE$401,$AH200)="","",INDEX('Per Invoice'!AE$2:AE$401,$AH200)))</f>
        <v/>
      </c>
      <c r="AF200">
        <f>IF($AH200="","",IF(INDEX('Per Invoice'!AF$2:AF$401,$AH200)="","",INDEX('Per Invoice'!AF$2:AF$401,$AH200)))</f>
        <v/>
      </c>
      <c r="AG200" s="7">
        <f>IF($AH200="","",IF(INDEX('Per Invoice'!AG$2:AG$401,$AH200)="","",INDEX('Per Invoice'!AG$2:AG$401,$AH200)))</f>
        <v/>
      </c>
      <c r="AH200" s="16">
        <f>IFERROR(MATCH(Settings!$C$27&amp;"|"&amp;ROWS($AH$2:$AH200),'Per Invoice'!$AI$2:$AI$401,0),"")</f>
        <v/>
      </c>
    </row>
    <row r="201">
      <c r="A201">
        <f>IF($AH201="","",IF(INDEX('Per Invoice'!A$2:A$401,$AH201)="","",INDEX('Per Invoice'!A$2:A$401,$AH201)))</f>
        <v/>
      </c>
      <c r="B201">
        <f>IF($AH201="","",IF(INDEX('Per Invoice'!B$2:B$401,$AH201)="","",INDEX('Per Invoice'!B$2:B$401,$AH201)))</f>
        <v/>
      </c>
      <c r="C201">
        <f>IF($AH201="","",IF(INDEX('Per Invoice'!C$2:C$401,$AH201)="","",INDEX('Per Invoice'!C$2:C$401,$AH201)))</f>
        <v/>
      </c>
      <c r="D201">
        <f>IF($AH201="","",IF(INDEX('Per Invoice'!D$2:D$401,$AH201)="","",INDEX('Per Invoice'!D$2:D$401,$AH201)))</f>
        <v/>
      </c>
      <c r="E201">
        <f>IF($AH201="","",IF(INDEX('Per Invoice'!E$2:E$401,$AH201)="","",INDEX('Per Invoice'!E$2:E$401,$AH201)))</f>
        <v/>
      </c>
      <c r="F201">
        <f>IF($AH201="","",IF(INDEX('Per Invoice'!F$2:F$401,$AH201)="","",INDEX('Per Invoice'!F$2:F$401,$AH201)))</f>
        <v/>
      </c>
      <c r="G201">
        <f>IF($AH201="","",IF(INDEX('Per Invoice'!G$2:G$401,$AH201)="","",INDEX('Per Invoice'!G$2:G$401,$AH201)))</f>
        <v/>
      </c>
      <c r="H201">
        <f>IF($AH201="","",IF(INDEX('Per Invoice'!H$2:H$401,$AH201)="","",INDEX('Per Invoice'!H$2:H$401,$AH201)))</f>
        <v/>
      </c>
      <c r="I201" s="14">
        <f>IF($AH201="","",IF(INDEX('Per Invoice'!I$2:I$401,$AH201)="","",INDEX('Per Invoice'!I$2:I$401,$AH201)))</f>
        <v/>
      </c>
      <c r="J201">
        <f>IF($AH201="","",IF(INDEX('Per Invoice'!J$2:J$401,$AH201)="","",INDEX('Per Invoice'!J$2:J$401,$AH201)))</f>
        <v/>
      </c>
      <c r="K201">
        <f>IF($AH201="","",IF(INDEX('Per Invoice'!K$2:K$401,$AH201)="","",INDEX('Per Invoice'!K$2:K$401,$AH201)))</f>
        <v/>
      </c>
      <c r="L201">
        <f>IF($AH201="","",IF(INDEX('Per Invoice'!L$2:L$401,$AH201)="","",INDEX('Per Invoice'!L$2:L$401,$AH201)))</f>
        <v/>
      </c>
      <c r="M201">
        <f>IF($AH201="","",IF(INDEX('Per Invoice'!M$2:M$401,$AH201)="","",INDEX('Per Invoice'!M$2:M$401,$AH201)))</f>
        <v/>
      </c>
      <c r="N201">
        <f>IF($AH201="","",IF(INDEX('Per Invoice'!N$2:N$401,$AH201)="","",INDEX('Per Invoice'!N$2:N$401,$AH201)))</f>
        <v/>
      </c>
      <c r="O201">
        <f>IF($AH201="","",IF(INDEX('Per Invoice'!O$2:O$401,$AH201)="","",INDEX('Per Invoice'!O$2:O$401,$AH201)))</f>
        <v/>
      </c>
      <c r="P201" s="7">
        <f>IF($AH201="","",IF(INDEX('Per Invoice'!P$2:P$401,$AH201)="","",INDEX('Per Invoice'!P$2:P$401,$AH201)))</f>
        <v/>
      </c>
      <c r="Q201">
        <f>IF($AH201="","",IF(INDEX('Per Invoice'!Q$2:Q$401,$AH201)="","",INDEX('Per Invoice'!Q$2:Q$401,$AH201)))</f>
        <v/>
      </c>
      <c r="R201">
        <f>IF($AH201="","",IF(INDEX('Per Invoice'!R$2:R$401,$AH201)="","",INDEX('Per Invoice'!R$2:R$401,$AH201)))</f>
        <v/>
      </c>
      <c r="S201">
        <f>IF($AH201="","",IF(INDEX('Per Invoice'!S$2:S$401,$AH201)="","",INDEX('Per Invoice'!S$2:S$401,$AH201)))</f>
        <v/>
      </c>
      <c r="T201" s="7">
        <f>IF($AH201="","",IF(INDEX('Per Invoice'!T$2:T$401,$AH201)="","",INDEX('Per Invoice'!T$2:T$401,$AH201)))</f>
        <v/>
      </c>
      <c r="U201" s="7">
        <f>IF($AH201="","",IF(INDEX('Per Invoice'!U$2:U$401,$AH201)="","",INDEX('Per Invoice'!U$2:U$401,$AH201)))</f>
        <v/>
      </c>
      <c r="V201">
        <f>IF($AH201="","",IF(INDEX('Per Invoice'!V$2:V$401,$AH201)="","",INDEX('Per Invoice'!V$2:V$401,$AH201)))</f>
        <v/>
      </c>
      <c r="W201" s="7">
        <f>IF($AH201="","",IF(INDEX('Per Invoice'!W$2:W$401,$AH201)="","",INDEX('Per Invoice'!W$2:W$401,$AH201)))</f>
        <v/>
      </c>
      <c r="X201" s="7">
        <f>IF($AH201="","",IF(INDEX('Per Invoice'!X$2:X$401,$AH201)="","",INDEX('Per Invoice'!X$2:X$401,$AH201)))</f>
        <v/>
      </c>
      <c r="Y201">
        <f>IF($AH201="","",IF(INDEX('Per Invoice'!Y$2:Y$401,$AH201)="","",INDEX('Per Invoice'!Y$2:Y$401,$AH201)))</f>
        <v/>
      </c>
      <c r="Z201" s="7">
        <f>IF($AH201="","",IF(INDEX('Per Invoice'!Z$2:Z$401,$AH201)="","",INDEX('Per Invoice'!Z$2:Z$401,$AH201)))</f>
        <v/>
      </c>
      <c r="AA201" s="7">
        <f>IF($AH201="","",IF(INDEX('Per Invoice'!AA$2:AA$401,$AH201)="","",INDEX('Per Invoice'!AA$2:AA$401,$AH201)))</f>
        <v/>
      </c>
      <c r="AB201" s="7">
        <f>IF($AH201="","",IF(INDEX('Per Invoice'!AB$2:AB$401,$AH201)="","",INDEX('Per Invoice'!AB$2:AB$401,$AH201)))</f>
        <v/>
      </c>
      <c r="AC201" s="7">
        <f>IF($AH201="","",IF(INDEX('Per Invoice'!AC$2:AC$401,$AH201)="","",INDEX('Per Invoice'!AC$2:AC$401,$AH201)))</f>
        <v/>
      </c>
      <c r="AD201" s="7">
        <f>IF($AH201="","",IF(INDEX('Per Invoice'!AD$2:AD$401,$AH201)="","",INDEX('Per Invoice'!AD$2:AD$401,$AH201)))</f>
        <v/>
      </c>
      <c r="AE201" s="7">
        <f>IF($AH201="","",IF(INDEX('Per Invoice'!AE$2:AE$401,$AH201)="","",INDEX('Per Invoice'!AE$2:AE$401,$AH201)))</f>
        <v/>
      </c>
      <c r="AF201">
        <f>IF($AH201="","",IF(INDEX('Per Invoice'!AF$2:AF$401,$AH201)="","",INDEX('Per Invoice'!AF$2:AF$401,$AH201)))</f>
        <v/>
      </c>
      <c r="AG201" s="7">
        <f>IF($AH201="","",IF(INDEX('Per Invoice'!AG$2:AG$401,$AH201)="","",INDEX('Per Invoice'!AG$2:AG$401,$AH201)))</f>
        <v/>
      </c>
      <c r="AH201" s="16">
        <f>IFERROR(MATCH(Settings!$C$27&amp;"|"&amp;ROWS($AH$2:$AH201),'Per Invoice'!$AI$2:$AI$401,0),"")</f>
        <v/>
      </c>
    </row>
    <row r="202">
      <c r="A202">
        <f>IF($AH202="","",IF(INDEX('Per Invoice'!A$2:A$401,$AH202)="","",INDEX('Per Invoice'!A$2:A$401,$AH202)))</f>
        <v/>
      </c>
      <c r="B202">
        <f>IF($AH202="","",IF(INDEX('Per Invoice'!B$2:B$401,$AH202)="","",INDEX('Per Invoice'!B$2:B$401,$AH202)))</f>
        <v/>
      </c>
      <c r="C202">
        <f>IF($AH202="","",IF(INDEX('Per Invoice'!C$2:C$401,$AH202)="","",INDEX('Per Invoice'!C$2:C$401,$AH202)))</f>
        <v/>
      </c>
      <c r="D202">
        <f>IF($AH202="","",IF(INDEX('Per Invoice'!D$2:D$401,$AH202)="","",INDEX('Per Invoice'!D$2:D$401,$AH202)))</f>
        <v/>
      </c>
      <c r="E202">
        <f>IF($AH202="","",IF(INDEX('Per Invoice'!E$2:E$401,$AH202)="","",INDEX('Per Invoice'!E$2:E$401,$AH202)))</f>
        <v/>
      </c>
      <c r="F202">
        <f>IF($AH202="","",IF(INDEX('Per Invoice'!F$2:F$401,$AH202)="","",INDEX('Per Invoice'!F$2:F$401,$AH202)))</f>
        <v/>
      </c>
      <c r="G202">
        <f>IF($AH202="","",IF(INDEX('Per Invoice'!G$2:G$401,$AH202)="","",INDEX('Per Invoice'!G$2:G$401,$AH202)))</f>
        <v/>
      </c>
      <c r="H202">
        <f>IF($AH202="","",IF(INDEX('Per Invoice'!H$2:H$401,$AH202)="","",INDEX('Per Invoice'!H$2:H$401,$AH202)))</f>
        <v/>
      </c>
      <c r="I202" s="14">
        <f>IF($AH202="","",IF(INDEX('Per Invoice'!I$2:I$401,$AH202)="","",INDEX('Per Invoice'!I$2:I$401,$AH202)))</f>
        <v/>
      </c>
      <c r="J202">
        <f>IF($AH202="","",IF(INDEX('Per Invoice'!J$2:J$401,$AH202)="","",INDEX('Per Invoice'!J$2:J$401,$AH202)))</f>
        <v/>
      </c>
      <c r="K202">
        <f>IF($AH202="","",IF(INDEX('Per Invoice'!K$2:K$401,$AH202)="","",INDEX('Per Invoice'!K$2:K$401,$AH202)))</f>
        <v/>
      </c>
      <c r="L202">
        <f>IF($AH202="","",IF(INDEX('Per Invoice'!L$2:L$401,$AH202)="","",INDEX('Per Invoice'!L$2:L$401,$AH202)))</f>
        <v/>
      </c>
      <c r="M202">
        <f>IF($AH202="","",IF(INDEX('Per Invoice'!M$2:M$401,$AH202)="","",INDEX('Per Invoice'!M$2:M$401,$AH202)))</f>
        <v/>
      </c>
      <c r="N202">
        <f>IF($AH202="","",IF(INDEX('Per Invoice'!N$2:N$401,$AH202)="","",INDEX('Per Invoice'!N$2:N$401,$AH202)))</f>
        <v/>
      </c>
      <c r="O202">
        <f>IF($AH202="","",IF(INDEX('Per Invoice'!O$2:O$401,$AH202)="","",INDEX('Per Invoice'!O$2:O$401,$AH202)))</f>
        <v/>
      </c>
      <c r="P202" s="7">
        <f>IF($AH202="","",IF(INDEX('Per Invoice'!P$2:P$401,$AH202)="","",INDEX('Per Invoice'!P$2:P$401,$AH202)))</f>
        <v/>
      </c>
      <c r="Q202">
        <f>IF($AH202="","",IF(INDEX('Per Invoice'!Q$2:Q$401,$AH202)="","",INDEX('Per Invoice'!Q$2:Q$401,$AH202)))</f>
        <v/>
      </c>
      <c r="R202">
        <f>IF($AH202="","",IF(INDEX('Per Invoice'!R$2:R$401,$AH202)="","",INDEX('Per Invoice'!R$2:R$401,$AH202)))</f>
        <v/>
      </c>
      <c r="S202">
        <f>IF($AH202="","",IF(INDEX('Per Invoice'!S$2:S$401,$AH202)="","",INDEX('Per Invoice'!S$2:S$401,$AH202)))</f>
        <v/>
      </c>
      <c r="T202" s="7">
        <f>IF($AH202="","",IF(INDEX('Per Invoice'!T$2:T$401,$AH202)="","",INDEX('Per Invoice'!T$2:T$401,$AH202)))</f>
        <v/>
      </c>
      <c r="U202" s="7">
        <f>IF($AH202="","",IF(INDEX('Per Invoice'!U$2:U$401,$AH202)="","",INDEX('Per Invoice'!U$2:U$401,$AH202)))</f>
        <v/>
      </c>
      <c r="V202">
        <f>IF($AH202="","",IF(INDEX('Per Invoice'!V$2:V$401,$AH202)="","",INDEX('Per Invoice'!V$2:V$401,$AH202)))</f>
        <v/>
      </c>
      <c r="W202" s="7">
        <f>IF($AH202="","",IF(INDEX('Per Invoice'!W$2:W$401,$AH202)="","",INDEX('Per Invoice'!W$2:W$401,$AH202)))</f>
        <v/>
      </c>
      <c r="X202" s="7">
        <f>IF($AH202="","",IF(INDEX('Per Invoice'!X$2:X$401,$AH202)="","",INDEX('Per Invoice'!X$2:X$401,$AH202)))</f>
        <v/>
      </c>
      <c r="Y202">
        <f>IF($AH202="","",IF(INDEX('Per Invoice'!Y$2:Y$401,$AH202)="","",INDEX('Per Invoice'!Y$2:Y$401,$AH202)))</f>
        <v/>
      </c>
      <c r="Z202" s="7">
        <f>IF($AH202="","",IF(INDEX('Per Invoice'!Z$2:Z$401,$AH202)="","",INDEX('Per Invoice'!Z$2:Z$401,$AH202)))</f>
        <v/>
      </c>
      <c r="AA202" s="7">
        <f>IF($AH202="","",IF(INDEX('Per Invoice'!AA$2:AA$401,$AH202)="","",INDEX('Per Invoice'!AA$2:AA$401,$AH202)))</f>
        <v/>
      </c>
      <c r="AB202" s="7">
        <f>IF($AH202="","",IF(INDEX('Per Invoice'!AB$2:AB$401,$AH202)="","",INDEX('Per Invoice'!AB$2:AB$401,$AH202)))</f>
        <v/>
      </c>
      <c r="AC202" s="7">
        <f>IF($AH202="","",IF(INDEX('Per Invoice'!AC$2:AC$401,$AH202)="","",INDEX('Per Invoice'!AC$2:AC$401,$AH202)))</f>
        <v/>
      </c>
      <c r="AD202" s="7">
        <f>IF($AH202="","",IF(INDEX('Per Invoice'!AD$2:AD$401,$AH202)="","",INDEX('Per Invoice'!AD$2:AD$401,$AH202)))</f>
        <v/>
      </c>
      <c r="AE202" s="7">
        <f>IF($AH202="","",IF(INDEX('Per Invoice'!AE$2:AE$401,$AH202)="","",INDEX('Per Invoice'!AE$2:AE$401,$AH202)))</f>
        <v/>
      </c>
      <c r="AF202">
        <f>IF($AH202="","",IF(INDEX('Per Invoice'!AF$2:AF$401,$AH202)="","",INDEX('Per Invoice'!AF$2:AF$401,$AH202)))</f>
        <v/>
      </c>
      <c r="AG202" s="7">
        <f>IF($AH202="","",IF(INDEX('Per Invoice'!AG$2:AG$401,$AH202)="","",INDEX('Per Invoice'!AG$2:AG$401,$AH202)))</f>
        <v/>
      </c>
      <c r="AH202" s="16">
        <f>IFERROR(MATCH(Settings!$C$27&amp;"|"&amp;ROWS($AH$2:$AH202),'Per Invoice'!$AI$2:$AI$401,0),"")</f>
        <v/>
      </c>
    </row>
    <row r="203">
      <c r="A203">
        <f>IF($AH203="","",IF(INDEX('Per Invoice'!A$2:A$401,$AH203)="","",INDEX('Per Invoice'!A$2:A$401,$AH203)))</f>
        <v/>
      </c>
      <c r="B203">
        <f>IF($AH203="","",IF(INDEX('Per Invoice'!B$2:B$401,$AH203)="","",INDEX('Per Invoice'!B$2:B$401,$AH203)))</f>
        <v/>
      </c>
      <c r="C203">
        <f>IF($AH203="","",IF(INDEX('Per Invoice'!C$2:C$401,$AH203)="","",INDEX('Per Invoice'!C$2:C$401,$AH203)))</f>
        <v/>
      </c>
      <c r="D203">
        <f>IF($AH203="","",IF(INDEX('Per Invoice'!D$2:D$401,$AH203)="","",INDEX('Per Invoice'!D$2:D$401,$AH203)))</f>
        <v/>
      </c>
      <c r="E203">
        <f>IF($AH203="","",IF(INDEX('Per Invoice'!E$2:E$401,$AH203)="","",INDEX('Per Invoice'!E$2:E$401,$AH203)))</f>
        <v/>
      </c>
      <c r="F203">
        <f>IF($AH203="","",IF(INDEX('Per Invoice'!F$2:F$401,$AH203)="","",INDEX('Per Invoice'!F$2:F$401,$AH203)))</f>
        <v/>
      </c>
      <c r="G203">
        <f>IF($AH203="","",IF(INDEX('Per Invoice'!G$2:G$401,$AH203)="","",INDEX('Per Invoice'!G$2:G$401,$AH203)))</f>
        <v/>
      </c>
      <c r="H203">
        <f>IF($AH203="","",IF(INDEX('Per Invoice'!H$2:H$401,$AH203)="","",INDEX('Per Invoice'!H$2:H$401,$AH203)))</f>
        <v/>
      </c>
      <c r="I203" s="14">
        <f>IF($AH203="","",IF(INDEX('Per Invoice'!I$2:I$401,$AH203)="","",INDEX('Per Invoice'!I$2:I$401,$AH203)))</f>
        <v/>
      </c>
      <c r="J203">
        <f>IF($AH203="","",IF(INDEX('Per Invoice'!J$2:J$401,$AH203)="","",INDEX('Per Invoice'!J$2:J$401,$AH203)))</f>
        <v/>
      </c>
      <c r="K203">
        <f>IF($AH203="","",IF(INDEX('Per Invoice'!K$2:K$401,$AH203)="","",INDEX('Per Invoice'!K$2:K$401,$AH203)))</f>
        <v/>
      </c>
      <c r="L203">
        <f>IF($AH203="","",IF(INDEX('Per Invoice'!L$2:L$401,$AH203)="","",INDEX('Per Invoice'!L$2:L$401,$AH203)))</f>
        <v/>
      </c>
      <c r="M203">
        <f>IF($AH203="","",IF(INDEX('Per Invoice'!M$2:M$401,$AH203)="","",INDEX('Per Invoice'!M$2:M$401,$AH203)))</f>
        <v/>
      </c>
      <c r="N203">
        <f>IF($AH203="","",IF(INDEX('Per Invoice'!N$2:N$401,$AH203)="","",INDEX('Per Invoice'!N$2:N$401,$AH203)))</f>
        <v/>
      </c>
      <c r="O203">
        <f>IF($AH203="","",IF(INDEX('Per Invoice'!O$2:O$401,$AH203)="","",INDEX('Per Invoice'!O$2:O$401,$AH203)))</f>
        <v/>
      </c>
      <c r="P203" s="7">
        <f>IF($AH203="","",IF(INDEX('Per Invoice'!P$2:P$401,$AH203)="","",INDEX('Per Invoice'!P$2:P$401,$AH203)))</f>
        <v/>
      </c>
      <c r="Q203">
        <f>IF($AH203="","",IF(INDEX('Per Invoice'!Q$2:Q$401,$AH203)="","",INDEX('Per Invoice'!Q$2:Q$401,$AH203)))</f>
        <v/>
      </c>
      <c r="R203">
        <f>IF($AH203="","",IF(INDEX('Per Invoice'!R$2:R$401,$AH203)="","",INDEX('Per Invoice'!R$2:R$401,$AH203)))</f>
        <v/>
      </c>
      <c r="S203">
        <f>IF($AH203="","",IF(INDEX('Per Invoice'!S$2:S$401,$AH203)="","",INDEX('Per Invoice'!S$2:S$401,$AH203)))</f>
        <v/>
      </c>
      <c r="T203" s="7">
        <f>IF($AH203="","",IF(INDEX('Per Invoice'!T$2:T$401,$AH203)="","",INDEX('Per Invoice'!T$2:T$401,$AH203)))</f>
        <v/>
      </c>
      <c r="U203" s="7">
        <f>IF($AH203="","",IF(INDEX('Per Invoice'!U$2:U$401,$AH203)="","",INDEX('Per Invoice'!U$2:U$401,$AH203)))</f>
        <v/>
      </c>
      <c r="V203">
        <f>IF($AH203="","",IF(INDEX('Per Invoice'!V$2:V$401,$AH203)="","",INDEX('Per Invoice'!V$2:V$401,$AH203)))</f>
        <v/>
      </c>
      <c r="W203" s="7">
        <f>IF($AH203="","",IF(INDEX('Per Invoice'!W$2:W$401,$AH203)="","",INDEX('Per Invoice'!W$2:W$401,$AH203)))</f>
        <v/>
      </c>
      <c r="X203" s="7">
        <f>IF($AH203="","",IF(INDEX('Per Invoice'!X$2:X$401,$AH203)="","",INDEX('Per Invoice'!X$2:X$401,$AH203)))</f>
        <v/>
      </c>
      <c r="Y203">
        <f>IF($AH203="","",IF(INDEX('Per Invoice'!Y$2:Y$401,$AH203)="","",INDEX('Per Invoice'!Y$2:Y$401,$AH203)))</f>
        <v/>
      </c>
      <c r="Z203" s="7">
        <f>IF($AH203="","",IF(INDEX('Per Invoice'!Z$2:Z$401,$AH203)="","",INDEX('Per Invoice'!Z$2:Z$401,$AH203)))</f>
        <v/>
      </c>
      <c r="AA203" s="7">
        <f>IF($AH203="","",IF(INDEX('Per Invoice'!AA$2:AA$401,$AH203)="","",INDEX('Per Invoice'!AA$2:AA$401,$AH203)))</f>
        <v/>
      </c>
      <c r="AB203" s="7">
        <f>IF($AH203="","",IF(INDEX('Per Invoice'!AB$2:AB$401,$AH203)="","",INDEX('Per Invoice'!AB$2:AB$401,$AH203)))</f>
        <v/>
      </c>
      <c r="AC203" s="7">
        <f>IF($AH203="","",IF(INDEX('Per Invoice'!AC$2:AC$401,$AH203)="","",INDEX('Per Invoice'!AC$2:AC$401,$AH203)))</f>
        <v/>
      </c>
      <c r="AD203" s="7">
        <f>IF($AH203="","",IF(INDEX('Per Invoice'!AD$2:AD$401,$AH203)="","",INDEX('Per Invoice'!AD$2:AD$401,$AH203)))</f>
        <v/>
      </c>
      <c r="AE203" s="7">
        <f>IF($AH203="","",IF(INDEX('Per Invoice'!AE$2:AE$401,$AH203)="","",INDEX('Per Invoice'!AE$2:AE$401,$AH203)))</f>
        <v/>
      </c>
      <c r="AF203">
        <f>IF($AH203="","",IF(INDEX('Per Invoice'!AF$2:AF$401,$AH203)="","",INDEX('Per Invoice'!AF$2:AF$401,$AH203)))</f>
        <v/>
      </c>
      <c r="AG203" s="7">
        <f>IF($AH203="","",IF(INDEX('Per Invoice'!AG$2:AG$401,$AH203)="","",INDEX('Per Invoice'!AG$2:AG$401,$AH203)))</f>
        <v/>
      </c>
      <c r="AH203" s="16">
        <f>IFERROR(MATCH(Settings!$C$27&amp;"|"&amp;ROWS($AH$2:$AH203),'Per Invoice'!$AI$2:$AI$401,0),"")</f>
        <v/>
      </c>
    </row>
    <row r="204">
      <c r="A204">
        <f>IF($AH204="","",IF(INDEX('Per Invoice'!A$2:A$401,$AH204)="","",INDEX('Per Invoice'!A$2:A$401,$AH204)))</f>
        <v/>
      </c>
      <c r="B204">
        <f>IF($AH204="","",IF(INDEX('Per Invoice'!B$2:B$401,$AH204)="","",INDEX('Per Invoice'!B$2:B$401,$AH204)))</f>
        <v/>
      </c>
      <c r="C204">
        <f>IF($AH204="","",IF(INDEX('Per Invoice'!C$2:C$401,$AH204)="","",INDEX('Per Invoice'!C$2:C$401,$AH204)))</f>
        <v/>
      </c>
      <c r="D204">
        <f>IF($AH204="","",IF(INDEX('Per Invoice'!D$2:D$401,$AH204)="","",INDEX('Per Invoice'!D$2:D$401,$AH204)))</f>
        <v/>
      </c>
      <c r="E204">
        <f>IF($AH204="","",IF(INDEX('Per Invoice'!E$2:E$401,$AH204)="","",INDEX('Per Invoice'!E$2:E$401,$AH204)))</f>
        <v/>
      </c>
      <c r="F204">
        <f>IF($AH204="","",IF(INDEX('Per Invoice'!F$2:F$401,$AH204)="","",INDEX('Per Invoice'!F$2:F$401,$AH204)))</f>
        <v/>
      </c>
      <c r="G204">
        <f>IF($AH204="","",IF(INDEX('Per Invoice'!G$2:G$401,$AH204)="","",INDEX('Per Invoice'!G$2:G$401,$AH204)))</f>
        <v/>
      </c>
      <c r="H204">
        <f>IF($AH204="","",IF(INDEX('Per Invoice'!H$2:H$401,$AH204)="","",INDEX('Per Invoice'!H$2:H$401,$AH204)))</f>
        <v/>
      </c>
      <c r="I204" s="14">
        <f>IF($AH204="","",IF(INDEX('Per Invoice'!I$2:I$401,$AH204)="","",INDEX('Per Invoice'!I$2:I$401,$AH204)))</f>
        <v/>
      </c>
      <c r="J204">
        <f>IF($AH204="","",IF(INDEX('Per Invoice'!J$2:J$401,$AH204)="","",INDEX('Per Invoice'!J$2:J$401,$AH204)))</f>
        <v/>
      </c>
      <c r="K204">
        <f>IF($AH204="","",IF(INDEX('Per Invoice'!K$2:K$401,$AH204)="","",INDEX('Per Invoice'!K$2:K$401,$AH204)))</f>
        <v/>
      </c>
      <c r="L204">
        <f>IF($AH204="","",IF(INDEX('Per Invoice'!L$2:L$401,$AH204)="","",INDEX('Per Invoice'!L$2:L$401,$AH204)))</f>
        <v/>
      </c>
      <c r="M204">
        <f>IF($AH204="","",IF(INDEX('Per Invoice'!M$2:M$401,$AH204)="","",INDEX('Per Invoice'!M$2:M$401,$AH204)))</f>
        <v/>
      </c>
      <c r="N204">
        <f>IF($AH204="","",IF(INDEX('Per Invoice'!N$2:N$401,$AH204)="","",INDEX('Per Invoice'!N$2:N$401,$AH204)))</f>
        <v/>
      </c>
      <c r="O204">
        <f>IF($AH204="","",IF(INDEX('Per Invoice'!O$2:O$401,$AH204)="","",INDEX('Per Invoice'!O$2:O$401,$AH204)))</f>
        <v/>
      </c>
      <c r="P204" s="7">
        <f>IF($AH204="","",IF(INDEX('Per Invoice'!P$2:P$401,$AH204)="","",INDEX('Per Invoice'!P$2:P$401,$AH204)))</f>
        <v/>
      </c>
      <c r="Q204">
        <f>IF($AH204="","",IF(INDEX('Per Invoice'!Q$2:Q$401,$AH204)="","",INDEX('Per Invoice'!Q$2:Q$401,$AH204)))</f>
        <v/>
      </c>
      <c r="R204">
        <f>IF($AH204="","",IF(INDEX('Per Invoice'!R$2:R$401,$AH204)="","",INDEX('Per Invoice'!R$2:R$401,$AH204)))</f>
        <v/>
      </c>
      <c r="S204">
        <f>IF($AH204="","",IF(INDEX('Per Invoice'!S$2:S$401,$AH204)="","",INDEX('Per Invoice'!S$2:S$401,$AH204)))</f>
        <v/>
      </c>
      <c r="T204" s="7">
        <f>IF($AH204="","",IF(INDEX('Per Invoice'!T$2:T$401,$AH204)="","",INDEX('Per Invoice'!T$2:T$401,$AH204)))</f>
        <v/>
      </c>
      <c r="U204" s="7">
        <f>IF($AH204="","",IF(INDEX('Per Invoice'!U$2:U$401,$AH204)="","",INDEX('Per Invoice'!U$2:U$401,$AH204)))</f>
        <v/>
      </c>
      <c r="V204">
        <f>IF($AH204="","",IF(INDEX('Per Invoice'!V$2:V$401,$AH204)="","",INDEX('Per Invoice'!V$2:V$401,$AH204)))</f>
        <v/>
      </c>
      <c r="W204" s="7">
        <f>IF($AH204="","",IF(INDEX('Per Invoice'!W$2:W$401,$AH204)="","",INDEX('Per Invoice'!W$2:W$401,$AH204)))</f>
        <v/>
      </c>
      <c r="X204" s="7">
        <f>IF($AH204="","",IF(INDEX('Per Invoice'!X$2:X$401,$AH204)="","",INDEX('Per Invoice'!X$2:X$401,$AH204)))</f>
        <v/>
      </c>
      <c r="Y204">
        <f>IF($AH204="","",IF(INDEX('Per Invoice'!Y$2:Y$401,$AH204)="","",INDEX('Per Invoice'!Y$2:Y$401,$AH204)))</f>
        <v/>
      </c>
      <c r="Z204" s="7">
        <f>IF($AH204="","",IF(INDEX('Per Invoice'!Z$2:Z$401,$AH204)="","",INDEX('Per Invoice'!Z$2:Z$401,$AH204)))</f>
        <v/>
      </c>
      <c r="AA204" s="7">
        <f>IF($AH204="","",IF(INDEX('Per Invoice'!AA$2:AA$401,$AH204)="","",INDEX('Per Invoice'!AA$2:AA$401,$AH204)))</f>
        <v/>
      </c>
      <c r="AB204" s="7">
        <f>IF($AH204="","",IF(INDEX('Per Invoice'!AB$2:AB$401,$AH204)="","",INDEX('Per Invoice'!AB$2:AB$401,$AH204)))</f>
        <v/>
      </c>
      <c r="AC204" s="7">
        <f>IF($AH204="","",IF(INDEX('Per Invoice'!AC$2:AC$401,$AH204)="","",INDEX('Per Invoice'!AC$2:AC$401,$AH204)))</f>
        <v/>
      </c>
      <c r="AD204" s="7">
        <f>IF($AH204="","",IF(INDEX('Per Invoice'!AD$2:AD$401,$AH204)="","",INDEX('Per Invoice'!AD$2:AD$401,$AH204)))</f>
        <v/>
      </c>
      <c r="AE204" s="7">
        <f>IF($AH204="","",IF(INDEX('Per Invoice'!AE$2:AE$401,$AH204)="","",INDEX('Per Invoice'!AE$2:AE$401,$AH204)))</f>
        <v/>
      </c>
      <c r="AF204">
        <f>IF($AH204="","",IF(INDEX('Per Invoice'!AF$2:AF$401,$AH204)="","",INDEX('Per Invoice'!AF$2:AF$401,$AH204)))</f>
        <v/>
      </c>
      <c r="AG204" s="7">
        <f>IF($AH204="","",IF(INDEX('Per Invoice'!AG$2:AG$401,$AH204)="","",INDEX('Per Invoice'!AG$2:AG$401,$AH204)))</f>
        <v/>
      </c>
      <c r="AH204" s="16">
        <f>IFERROR(MATCH(Settings!$C$27&amp;"|"&amp;ROWS($AH$2:$AH204),'Per Invoice'!$AI$2:$AI$401,0),"")</f>
        <v/>
      </c>
    </row>
    <row r="205">
      <c r="A205">
        <f>IF($AH205="","",IF(INDEX('Per Invoice'!A$2:A$401,$AH205)="","",INDEX('Per Invoice'!A$2:A$401,$AH205)))</f>
        <v/>
      </c>
      <c r="B205">
        <f>IF($AH205="","",IF(INDEX('Per Invoice'!B$2:B$401,$AH205)="","",INDEX('Per Invoice'!B$2:B$401,$AH205)))</f>
        <v/>
      </c>
      <c r="C205">
        <f>IF($AH205="","",IF(INDEX('Per Invoice'!C$2:C$401,$AH205)="","",INDEX('Per Invoice'!C$2:C$401,$AH205)))</f>
        <v/>
      </c>
      <c r="D205">
        <f>IF($AH205="","",IF(INDEX('Per Invoice'!D$2:D$401,$AH205)="","",INDEX('Per Invoice'!D$2:D$401,$AH205)))</f>
        <v/>
      </c>
      <c r="E205">
        <f>IF($AH205="","",IF(INDEX('Per Invoice'!E$2:E$401,$AH205)="","",INDEX('Per Invoice'!E$2:E$401,$AH205)))</f>
        <v/>
      </c>
      <c r="F205">
        <f>IF($AH205="","",IF(INDEX('Per Invoice'!F$2:F$401,$AH205)="","",INDEX('Per Invoice'!F$2:F$401,$AH205)))</f>
        <v/>
      </c>
      <c r="G205">
        <f>IF($AH205="","",IF(INDEX('Per Invoice'!G$2:G$401,$AH205)="","",INDEX('Per Invoice'!G$2:G$401,$AH205)))</f>
        <v/>
      </c>
      <c r="H205">
        <f>IF($AH205="","",IF(INDEX('Per Invoice'!H$2:H$401,$AH205)="","",INDEX('Per Invoice'!H$2:H$401,$AH205)))</f>
        <v/>
      </c>
      <c r="I205" s="14">
        <f>IF($AH205="","",IF(INDEX('Per Invoice'!I$2:I$401,$AH205)="","",INDEX('Per Invoice'!I$2:I$401,$AH205)))</f>
        <v/>
      </c>
      <c r="J205">
        <f>IF($AH205="","",IF(INDEX('Per Invoice'!J$2:J$401,$AH205)="","",INDEX('Per Invoice'!J$2:J$401,$AH205)))</f>
        <v/>
      </c>
      <c r="K205">
        <f>IF($AH205="","",IF(INDEX('Per Invoice'!K$2:K$401,$AH205)="","",INDEX('Per Invoice'!K$2:K$401,$AH205)))</f>
        <v/>
      </c>
      <c r="L205">
        <f>IF($AH205="","",IF(INDEX('Per Invoice'!L$2:L$401,$AH205)="","",INDEX('Per Invoice'!L$2:L$401,$AH205)))</f>
        <v/>
      </c>
      <c r="M205">
        <f>IF($AH205="","",IF(INDEX('Per Invoice'!M$2:M$401,$AH205)="","",INDEX('Per Invoice'!M$2:M$401,$AH205)))</f>
        <v/>
      </c>
      <c r="N205">
        <f>IF($AH205="","",IF(INDEX('Per Invoice'!N$2:N$401,$AH205)="","",INDEX('Per Invoice'!N$2:N$401,$AH205)))</f>
        <v/>
      </c>
      <c r="O205">
        <f>IF($AH205="","",IF(INDEX('Per Invoice'!O$2:O$401,$AH205)="","",INDEX('Per Invoice'!O$2:O$401,$AH205)))</f>
        <v/>
      </c>
      <c r="P205" s="7">
        <f>IF($AH205="","",IF(INDEX('Per Invoice'!P$2:P$401,$AH205)="","",INDEX('Per Invoice'!P$2:P$401,$AH205)))</f>
        <v/>
      </c>
      <c r="Q205">
        <f>IF($AH205="","",IF(INDEX('Per Invoice'!Q$2:Q$401,$AH205)="","",INDEX('Per Invoice'!Q$2:Q$401,$AH205)))</f>
        <v/>
      </c>
      <c r="R205">
        <f>IF($AH205="","",IF(INDEX('Per Invoice'!R$2:R$401,$AH205)="","",INDEX('Per Invoice'!R$2:R$401,$AH205)))</f>
        <v/>
      </c>
      <c r="S205">
        <f>IF($AH205="","",IF(INDEX('Per Invoice'!S$2:S$401,$AH205)="","",INDEX('Per Invoice'!S$2:S$401,$AH205)))</f>
        <v/>
      </c>
      <c r="T205" s="7">
        <f>IF($AH205="","",IF(INDEX('Per Invoice'!T$2:T$401,$AH205)="","",INDEX('Per Invoice'!T$2:T$401,$AH205)))</f>
        <v/>
      </c>
      <c r="U205" s="7">
        <f>IF($AH205="","",IF(INDEX('Per Invoice'!U$2:U$401,$AH205)="","",INDEX('Per Invoice'!U$2:U$401,$AH205)))</f>
        <v/>
      </c>
      <c r="V205">
        <f>IF($AH205="","",IF(INDEX('Per Invoice'!V$2:V$401,$AH205)="","",INDEX('Per Invoice'!V$2:V$401,$AH205)))</f>
        <v/>
      </c>
      <c r="W205" s="7">
        <f>IF($AH205="","",IF(INDEX('Per Invoice'!W$2:W$401,$AH205)="","",INDEX('Per Invoice'!W$2:W$401,$AH205)))</f>
        <v/>
      </c>
      <c r="X205" s="7">
        <f>IF($AH205="","",IF(INDEX('Per Invoice'!X$2:X$401,$AH205)="","",INDEX('Per Invoice'!X$2:X$401,$AH205)))</f>
        <v/>
      </c>
      <c r="Y205">
        <f>IF($AH205="","",IF(INDEX('Per Invoice'!Y$2:Y$401,$AH205)="","",INDEX('Per Invoice'!Y$2:Y$401,$AH205)))</f>
        <v/>
      </c>
      <c r="Z205" s="7">
        <f>IF($AH205="","",IF(INDEX('Per Invoice'!Z$2:Z$401,$AH205)="","",INDEX('Per Invoice'!Z$2:Z$401,$AH205)))</f>
        <v/>
      </c>
      <c r="AA205" s="7">
        <f>IF($AH205="","",IF(INDEX('Per Invoice'!AA$2:AA$401,$AH205)="","",INDEX('Per Invoice'!AA$2:AA$401,$AH205)))</f>
        <v/>
      </c>
      <c r="AB205" s="7">
        <f>IF($AH205="","",IF(INDEX('Per Invoice'!AB$2:AB$401,$AH205)="","",INDEX('Per Invoice'!AB$2:AB$401,$AH205)))</f>
        <v/>
      </c>
      <c r="AC205" s="7">
        <f>IF($AH205="","",IF(INDEX('Per Invoice'!AC$2:AC$401,$AH205)="","",INDEX('Per Invoice'!AC$2:AC$401,$AH205)))</f>
        <v/>
      </c>
      <c r="AD205" s="7">
        <f>IF($AH205="","",IF(INDEX('Per Invoice'!AD$2:AD$401,$AH205)="","",INDEX('Per Invoice'!AD$2:AD$401,$AH205)))</f>
        <v/>
      </c>
      <c r="AE205" s="7">
        <f>IF($AH205="","",IF(INDEX('Per Invoice'!AE$2:AE$401,$AH205)="","",INDEX('Per Invoice'!AE$2:AE$401,$AH205)))</f>
        <v/>
      </c>
      <c r="AF205">
        <f>IF($AH205="","",IF(INDEX('Per Invoice'!AF$2:AF$401,$AH205)="","",INDEX('Per Invoice'!AF$2:AF$401,$AH205)))</f>
        <v/>
      </c>
      <c r="AG205" s="7">
        <f>IF($AH205="","",IF(INDEX('Per Invoice'!AG$2:AG$401,$AH205)="","",INDEX('Per Invoice'!AG$2:AG$401,$AH205)))</f>
        <v/>
      </c>
      <c r="AH205" s="16">
        <f>IFERROR(MATCH(Settings!$C$27&amp;"|"&amp;ROWS($AH$2:$AH205),'Per Invoice'!$AI$2:$AI$401,0),"")</f>
        <v/>
      </c>
    </row>
    <row r="206">
      <c r="A206">
        <f>IF($AH206="","",IF(INDEX('Per Invoice'!A$2:A$401,$AH206)="","",INDEX('Per Invoice'!A$2:A$401,$AH206)))</f>
        <v/>
      </c>
      <c r="B206">
        <f>IF($AH206="","",IF(INDEX('Per Invoice'!B$2:B$401,$AH206)="","",INDEX('Per Invoice'!B$2:B$401,$AH206)))</f>
        <v/>
      </c>
      <c r="C206">
        <f>IF($AH206="","",IF(INDEX('Per Invoice'!C$2:C$401,$AH206)="","",INDEX('Per Invoice'!C$2:C$401,$AH206)))</f>
        <v/>
      </c>
      <c r="D206">
        <f>IF($AH206="","",IF(INDEX('Per Invoice'!D$2:D$401,$AH206)="","",INDEX('Per Invoice'!D$2:D$401,$AH206)))</f>
        <v/>
      </c>
      <c r="E206">
        <f>IF($AH206="","",IF(INDEX('Per Invoice'!E$2:E$401,$AH206)="","",INDEX('Per Invoice'!E$2:E$401,$AH206)))</f>
        <v/>
      </c>
      <c r="F206">
        <f>IF($AH206="","",IF(INDEX('Per Invoice'!F$2:F$401,$AH206)="","",INDEX('Per Invoice'!F$2:F$401,$AH206)))</f>
        <v/>
      </c>
      <c r="G206">
        <f>IF($AH206="","",IF(INDEX('Per Invoice'!G$2:G$401,$AH206)="","",INDEX('Per Invoice'!G$2:G$401,$AH206)))</f>
        <v/>
      </c>
      <c r="H206">
        <f>IF($AH206="","",IF(INDEX('Per Invoice'!H$2:H$401,$AH206)="","",INDEX('Per Invoice'!H$2:H$401,$AH206)))</f>
        <v/>
      </c>
      <c r="I206" s="14">
        <f>IF($AH206="","",IF(INDEX('Per Invoice'!I$2:I$401,$AH206)="","",INDEX('Per Invoice'!I$2:I$401,$AH206)))</f>
        <v/>
      </c>
      <c r="J206">
        <f>IF($AH206="","",IF(INDEX('Per Invoice'!J$2:J$401,$AH206)="","",INDEX('Per Invoice'!J$2:J$401,$AH206)))</f>
        <v/>
      </c>
      <c r="K206">
        <f>IF($AH206="","",IF(INDEX('Per Invoice'!K$2:K$401,$AH206)="","",INDEX('Per Invoice'!K$2:K$401,$AH206)))</f>
        <v/>
      </c>
      <c r="L206">
        <f>IF($AH206="","",IF(INDEX('Per Invoice'!L$2:L$401,$AH206)="","",INDEX('Per Invoice'!L$2:L$401,$AH206)))</f>
        <v/>
      </c>
      <c r="M206">
        <f>IF($AH206="","",IF(INDEX('Per Invoice'!M$2:M$401,$AH206)="","",INDEX('Per Invoice'!M$2:M$401,$AH206)))</f>
        <v/>
      </c>
      <c r="N206">
        <f>IF($AH206="","",IF(INDEX('Per Invoice'!N$2:N$401,$AH206)="","",INDEX('Per Invoice'!N$2:N$401,$AH206)))</f>
        <v/>
      </c>
      <c r="O206">
        <f>IF($AH206="","",IF(INDEX('Per Invoice'!O$2:O$401,$AH206)="","",INDEX('Per Invoice'!O$2:O$401,$AH206)))</f>
        <v/>
      </c>
      <c r="P206" s="7">
        <f>IF($AH206="","",IF(INDEX('Per Invoice'!P$2:P$401,$AH206)="","",INDEX('Per Invoice'!P$2:P$401,$AH206)))</f>
        <v/>
      </c>
      <c r="Q206">
        <f>IF($AH206="","",IF(INDEX('Per Invoice'!Q$2:Q$401,$AH206)="","",INDEX('Per Invoice'!Q$2:Q$401,$AH206)))</f>
        <v/>
      </c>
      <c r="R206">
        <f>IF($AH206="","",IF(INDEX('Per Invoice'!R$2:R$401,$AH206)="","",INDEX('Per Invoice'!R$2:R$401,$AH206)))</f>
        <v/>
      </c>
      <c r="S206">
        <f>IF($AH206="","",IF(INDEX('Per Invoice'!S$2:S$401,$AH206)="","",INDEX('Per Invoice'!S$2:S$401,$AH206)))</f>
        <v/>
      </c>
      <c r="T206" s="7">
        <f>IF($AH206="","",IF(INDEX('Per Invoice'!T$2:T$401,$AH206)="","",INDEX('Per Invoice'!T$2:T$401,$AH206)))</f>
        <v/>
      </c>
      <c r="U206" s="7">
        <f>IF($AH206="","",IF(INDEX('Per Invoice'!U$2:U$401,$AH206)="","",INDEX('Per Invoice'!U$2:U$401,$AH206)))</f>
        <v/>
      </c>
      <c r="V206">
        <f>IF($AH206="","",IF(INDEX('Per Invoice'!V$2:V$401,$AH206)="","",INDEX('Per Invoice'!V$2:V$401,$AH206)))</f>
        <v/>
      </c>
      <c r="W206" s="7">
        <f>IF($AH206="","",IF(INDEX('Per Invoice'!W$2:W$401,$AH206)="","",INDEX('Per Invoice'!W$2:W$401,$AH206)))</f>
        <v/>
      </c>
      <c r="X206" s="7">
        <f>IF($AH206="","",IF(INDEX('Per Invoice'!X$2:X$401,$AH206)="","",INDEX('Per Invoice'!X$2:X$401,$AH206)))</f>
        <v/>
      </c>
      <c r="Y206">
        <f>IF($AH206="","",IF(INDEX('Per Invoice'!Y$2:Y$401,$AH206)="","",INDEX('Per Invoice'!Y$2:Y$401,$AH206)))</f>
        <v/>
      </c>
      <c r="Z206" s="7">
        <f>IF($AH206="","",IF(INDEX('Per Invoice'!Z$2:Z$401,$AH206)="","",INDEX('Per Invoice'!Z$2:Z$401,$AH206)))</f>
        <v/>
      </c>
      <c r="AA206" s="7">
        <f>IF($AH206="","",IF(INDEX('Per Invoice'!AA$2:AA$401,$AH206)="","",INDEX('Per Invoice'!AA$2:AA$401,$AH206)))</f>
        <v/>
      </c>
      <c r="AB206" s="7">
        <f>IF($AH206="","",IF(INDEX('Per Invoice'!AB$2:AB$401,$AH206)="","",INDEX('Per Invoice'!AB$2:AB$401,$AH206)))</f>
        <v/>
      </c>
      <c r="AC206" s="7">
        <f>IF($AH206="","",IF(INDEX('Per Invoice'!AC$2:AC$401,$AH206)="","",INDEX('Per Invoice'!AC$2:AC$401,$AH206)))</f>
        <v/>
      </c>
      <c r="AD206" s="7">
        <f>IF($AH206="","",IF(INDEX('Per Invoice'!AD$2:AD$401,$AH206)="","",INDEX('Per Invoice'!AD$2:AD$401,$AH206)))</f>
        <v/>
      </c>
      <c r="AE206" s="7">
        <f>IF($AH206="","",IF(INDEX('Per Invoice'!AE$2:AE$401,$AH206)="","",INDEX('Per Invoice'!AE$2:AE$401,$AH206)))</f>
        <v/>
      </c>
      <c r="AF206">
        <f>IF($AH206="","",IF(INDEX('Per Invoice'!AF$2:AF$401,$AH206)="","",INDEX('Per Invoice'!AF$2:AF$401,$AH206)))</f>
        <v/>
      </c>
      <c r="AG206" s="7">
        <f>IF($AH206="","",IF(INDEX('Per Invoice'!AG$2:AG$401,$AH206)="","",INDEX('Per Invoice'!AG$2:AG$401,$AH206)))</f>
        <v/>
      </c>
      <c r="AH206" s="16">
        <f>IFERROR(MATCH(Settings!$C$27&amp;"|"&amp;ROWS($AH$2:$AH206),'Per Invoice'!$AI$2:$AI$401,0),"")</f>
        <v/>
      </c>
    </row>
    <row r="207">
      <c r="A207">
        <f>IF($AH207="","",IF(INDEX('Per Invoice'!A$2:A$401,$AH207)="","",INDEX('Per Invoice'!A$2:A$401,$AH207)))</f>
        <v/>
      </c>
      <c r="B207">
        <f>IF($AH207="","",IF(INDEX('Per Invoice'!B$2:B$401,$AH207)="","",INDEX('Per Invoice'!B$2:B$401,$AH207)))</f>
        <v/>
      </c>
      <c r="C207">
        <f>IF($AH207="","",IF(INDEX('Per Invoice'!C$2:C$401,$AH207)="","",INDEX('Per Invoice'!C$2:C$401,$AH207)))</f>
        <v/>
      </c>
      <c r="D207">
        <f>IF($AH207="","",IF(INDEX('Per Invoice'!D$2:D$401,$AH207)="","",INDEX('Per Invoice'!D$2:D$401,$AH207)))</f>
        <v/>
      </c>
      <c r="E207">
        <f>IF($AH207="","",IF(INDEX('Per Invoice'!E$2:E$401,$AH207)="","",INDEX('Per Invoice'!E$2:E$401,$AH207)))</f>
        <v/>
      </c>
      <c r="F207">
        <f>IF($AH207="","",IF(INDEX('Per Invoice'!F$2:F$401,$AH207)="","",INDEX('Per Invoice'!F$2:F$401,$AH207)))</f>
        <v/>
      </c>
      <c r="G207">
        <f>IF($AH207="","",IF(INDEX('Per Invoice'!G$2:G$401,$AH207)="","",INDEX('Per Invoice'!G$2:G$401,$AH207)))</f>
        <v/>
      </c>
      <c r="H207">
        <f>IF($AH207="","",IF(INDEX('Per Invoice'!H$2:H$401,$AH207)="","",INDEX('Per Invoice'!H$2:H$401,$AH207)))</f>
        <v/>
      </c>
      <c r="I207" s="14">
        <f>IF($AH207="","",IF(INDEX('Per Invoice'!I$2:I$401,$AH207)="","",INDEX('Per Invoice'!I$2:I$401,$AH207)))</f>
        <v/>
      </c>
      <c r="J207">
        <f>IF($AH207="","",IF(INDEX('Per Invoice'!J$2:J$401,$AH207)="","",INDEX('Per Invoice'!J$2:J$401,$AH207)))</f>
        <v/>
      </c>
      <c r="K207">
        <f>IF($AH207="","",IF(INDEX('Per Invoice'!K$2:K$401,$AH207)="","",INDEX('Per Invoice'!K$2:K$401,$AH207)))</f>
        <v/>
      </c>
      <c r="L207">
        <f>IF($AH207="","",IF(INDEX('Per Invoice'!L$2:L$401,$AH207)="","",INDEX('Per Invoice'!L$2:L$401,$AH207)))</f>
        <v/>
      </c>
      <c r="M207">
        <f>IF($AH207="","",IF(INDEX('Per Invoice'!M$2:M$401,$AH207)="","",INDEX('Per Invoice'!M$2:M$401,$AH207)))</f>
        <v/>
      </c>
      <c r="N207">
        <f>IF($AH207="","",IF(INDEX('Per Invoice'!N$2:N$401,$AH207)="","",INDEX('Per Invoice'!N$2:N$401,$AH207)))</f>
        <v/>
      </c>
      <c r="O207">
        <f>IF($AH207="","",IF(INDEX('Per Invoice'!O$2:O$401,$AH207)="","",INDEX('Per Invoice'!O$2:O$401,$AH207)))</f>
        <v/>
      </c>
      <c r="P207" s="7">
        <f>IF($AH207="","",IF(INDEX('Per Invoice'!P$2:P$401,$AH207)="","",INDEX('Per Invoice'!P$2:P$401,$AH207)))</f>
        <v/>
      </c>
      <c r="Q207">
        <f>IF($AH207="","",IF(INDEX('Per Invoice'!Q$2:Q$401,$AH207)="","",INDEX('Per Invoice'!Q$2:Q$401,$AH207)))</f>
        <v/>
      </c>
      <c r="R207">
        <f>IF($AH207="","",IF(INDEX('Per Invoice'!R$2:R$401,$AH207)="","",INDEX('Per Invoice'!R$2:R$401,$AH207)))</f>
        <v/>
      </c>
      <c r="S207">
        <f>IF($AH207="","",IF(INDEX('Per Invoice'!S$2:S$401,$AH207)="","",INDEX('Per Invoice'!S$2:S$401,$AH207)))</f>
        <v/>
      </c>
      <c r="T207" s="7">
        <f>IF($AH207="","",IF(INDEX('Per Invoice'!T$2:T$401,$AH207)="","",INDEX('Per Invoice'!T$2:T$401,$AH207)))</f>
        <v/>
      </c>
      <c r="U207" s="7">
        <f>IF($AH207="","",IF(INDEX('Per Invoice'!U$2:U$401,$AH207)="","",INDEX('Per Invoice'!U$2:U$401,$AH207)))</f>
        <v/>
      </c>
      <c r="V207">
        <f>IF($AH207="","",IF(INDEX('Per Invoice'!V$2:V$401,$AH207)="","",INDEX('Per Invoice'!V$2:V$401,$AH207)))</f>
        <v/>
      </c>
      <c r="W207" s="7">
        <f>IF($AH207="","",IF(INDEX('Per Invoice'!W$2:W$401,$AH207)="","",INDEX('Per Invoice'!W$2:W$401,$AH207)))</f>
        <v/>
      </c>
      <c r="X207" s="7">
        <f>IF($AH207="","",IF(INDEX('Per Invoice'!X$2:X$401,$AH207)="","",INDEX('Per Invoice'!X$2:X$401,$AH207)))</f>
        <v/>
      </c>
      <c r="Y207">
        <f>IF($AH207="","",IF(INDEX('Per Invoice'!Y$2:Y$401,$AH207)="","",INDEX('Per Invoice'!Y$2:Y$401,$AH207)))</f>
        <v/>
      </c>
      <c r="Z207" s="7">
        <f>IF($AH207="","",IF(INDEX('Per Invoice'!Z$2:Z$401,$AH207)="","",INDEX('Per Invoice'!Z$2:Z$401,$AH207)))</f>
        <v/>
      </c>
      <c r="AA207" s="7">
        <f>IF($AH207="","",IF(INDEX('Per Invoice'!AA$2:AA$401,$AH207)="","",INDEX('Per Invoice'!AA$2:AA$401,$AH207)))</f>
        <v/>
      </c>
      <c r="AB207" s="7">
        <f>IF($AH207="","",IF(INDEX('Per Invoice'!AB$2:AB$401,$AH207)="","",INDEX('Per Invoice'!AB$2:AB$401,$AH207)))</f>
        <v/>
      </c>
      <c r="AC207" s="7">
        <f>IF($AH207="","",IF(INDEX('Per Invoice'!AC$2:AC$401,$AH207)="","",INDEX('Per Invoice'!AC$2:AC$401,$AH207)))</f>
        <v/>
      </c>
      <c r="AD207" s="7">
        <f>IF($AH207="","",IF(INDEX('Per Invoice'!AD$2:AD$401,$AH207)="","",INDEX('Per Invoice'!AD$2:AD$401,$AH207)))</f>
        <v/>
      </c>
      <c r="AE207" s="7">
        <f>IF($AH207="","",IF(INDEX('Per Invoice'!AE$2:AE$401,$AH207)="","",INDEX('Per Invoice'!AE$2:AE$401,$AH207)))</f>
        <v/>
      </c>
      <c r="AF207">
        <f>IF($AH207="","",IF(INDEX('Per Invoice'!AF$2:AF$401,$AH207)="","",INDEX('Per Invoice'!AF$2:AF$401,$AH207)))</f>
        <v/>
      </c>
      <c r="AG207" s="7">
        <f>IF($AH207="","",IF(INDEX('Per Invoice'!AG$2:AG$401,$AH207)="","",INDEX('Per Invoice'!AG$2:AG$401,$AH207)))</f>
        <v/>
      </c>
      <c r="AH207" s="16">
        <f>IFERROR(MATCH(Settings!$C$27&amp;"|"&amp;ROWS($AH$2:$AH207),'Per Invoice'!$AI$2:$AI$401,0),"")</f>
        <v/>
      </c>
    </row>
    <row r="208">
      <c r="A208">
        <f>IF($AH208="","",IF(INDEX('Per Invoice'!A$2:A$401,$AH208)="","",INDEX('Per Invoice'!A$2:A$401,$AH208)))</f>
        <v/>
      </c>
      <c r="B208">
        <f>IF($AH208="","",IF(INDEX('Per Invoice'!B$2:B$401,$AH208)="","",INDEX('Per Invoice'!B$2:B$401,$AH208)))</f>
        <v/>
      </c>
      <c r="C208">
        <f>IF($AH208="","",IF(INDEX('Per Invoice'!C$2:C$401,$AH208)="","",INDEX('Per Invoice'!C$2:C$401,$AH208)))</f>
        <v/>
      </c>
      <c r="D208">
        <f>IF($AH208="","",IF(INDEX('Per Invoice'!D$2:D$401,$AH208)="","",INDEX('Per Invoice'!D$2:D$401,$AH208)))</f>
        <v/>
      </c>
      <c r="E208">
        <f>IF($AH208="","",IF(INDEX('Per Invoice'!E$2:E$401,$AH208)="","",INDEX('Per Invoice'!E$2:E$401,$AH208)))</f>
        <v/>
      </c>
      <c r="F208">
        <f>IF($AH208="","",IF(INDEX('Per Invoice'!F$2:F$401,$AH208)="","",INDEX('Per Invoice'!F$2:F$401,$AH208)))</f>
        <v/>
      </c>
      <c r="G208">
        <f>IF($AH208="","",IF(INDEX('Per Invoice'!G$2:G$401,$AH208)="","",INDEX('Per Invoice'!G$2:G$401,$AH208)))</f>
        <v/>
      </c>
      <c r="H208">
        <f>IF($AH208="","",IF(INDEX('Per Invoice'!H$2:H$401,$AH208)="","",INDEX('Per Invoice'!H$2:H$401,$AH208)))</f>
        <v/>
      </c>
      <c r="I208" s="14">
        <f>IF($AH208="","",IF(INDEX('Per Invoice'!I$2:I$401,$AH208)="","",INDEX('Per Invoice'!I$2:I$401,$AH208)))</f>
        <v/>
      </c>
      <c r="J208">
        <f>IF($AH208="","",IF(INDEX('Per Invoice'!J$2:J$401,$AH208)="","",INDEX('Per Invoice'!J$2:J$401,$AH208)))</f>
        <v/>
      </c>
      <c r="K208">
        <f>IF($AH208="","",IF(INDEX('Per Invoice'!K$2:K$401,$AH208)="","",INDEX('Per Invoice'!K$2:K$401,$AH208)))</f>
        <v/>
      </c>
      <c r="L208">
        <f>IF($AH208="","",IF(INDEX('Per Invoice'!L$2:L$401,$AH208)="","",INDEX('Per Invoice'!L$2:L$401,$AH208)))</f>
        <v/>
      </c>
      <c r="M208">
        <f>IF($AH208="","",IF(INDEX('Per Invoice'!M$2:M$401,$AH208)="","",INDEX('Per Invoice'!M$2:M$401,$AH208)))</f>
        <v/>
      </c>
      <c r="N208">
        <f>IF($AH208="","",IF(INDEX('Per Invoice'!N$2:N$401,$AH208)="","",INDEX('Per Invoice'!N$2:N$401,$AH208)))</f>
        <v/>
      </c>
      <c r="O208">
        <f>IF($AH208="","",IF(INDEX('Per Invoice'!O$2:O$401,$AH208)="","",INDEX('Per Invoice'!O$2:O$401,$AH208)))</f>
        <v/>
      </c>
      <c r="P208" s="7">
        <f>IF($AH208="","",IF(INDEX('Per Invoice'!P$2:P$401,$AH208)="","",INDEX('Per Invoice'!P$2:P$401,$AH208)))</f>
        <v/>
      </c>
      <c r="Q208">
        <f>IF($AH208="","",IF(INDEX('Per Invoice'!Q$2:Q$401,$AH208)="","",INDEX('Per Invoice'!Q$2:Q$401,$AH208)))</f>
        <v/>
      </c>
      <c r="R208">
        <f>IF($AH208="","",IF(INDEX('Per Invoice'!R$2:R$401,$AH208)="","",INDEX('Per Invoice'!R$2:R$401,$AH208)))</f>
        <v/>
      </c>
      <c r="S208">
        <f>IF($AH208="","",IF(INDEX('Per Invoice'!S$2:S$401,$AH208)="","",INDEX('Per Invoice'!S$2:S$401,$AH208)))</f>
        <v/>
      </c>
      <c r="T208" s="7">
        <f>IF($AH208="","",IF(INDEX('Per Invoice'!T$2:T$401,$AH208)="","",INDEX('Per Invoice'!T$2:T$401,$AH208)))</f>
        <v/>
      </c>
      <c r="U208" s="7">
        <f>IF($AH208="","",IF(INDEX('Per Invoice'!U$2:U$401,$AH208)="","",INDEX('Per Invoice'!U$2:U$401,$AH208)))</f>
        <v/>
      </c>
      <c r="V208">
        <f>IF($AH208="","",IF(INDEX('Per Invoice'!V$2:V$401,$AH208)="","",INDEX('Per Invoice'!V$2:V$401,$AH208)))</f>
        <v/>
      </c>
      <c r="W208" s="7">
        <f>IF($AH208="","",IF(INDEX('Per Invoice'!W$2:W$401,$AH208)="","",INDEX('Per Invoice'!W$2:W$401,$AH208)))</f>
        <v/>
      </c>
      <c r="X208" s="7">
        <f>IF($AH208="","",IF(INDEX('Per Invoice'!X$2:X$401,$AH208)="","",INDEX('Per Invoice'!X$2:X$401,$AH208)))</f>
        <v/>
      </c>
      <c r="Y208">
        <f>IF($AH208="","",IF(INDEX('Per Invoice'!Y$2:Y$401,$AH208)="","",INDEX('Per Invoice'!Y$2:Y$401,$AH208)))</f>
        <v/>
      </c>
      <c r="Z208" s="7">
        <f>IF($AH208="","",IF(INDEX('Per Invoice'!Z$2:Z$401,$AH208)="","",INDEX('Per Invoice'!Z$2:Z$401,$AH208)))</f>
        <v/>
      </c>
      <c r="AA208" s="7">
        <f>IF($AH208="","",IF(INDEX('Per Invoice'!AA$2:AA$401,$AH208)="","",INDEX('Per Invoice'!AA$2:AA$401,$AH208)))</f>
        <v/>
      </c>
      <c r="AB208" s="7">
        <f>IF($AH208="","",IF(INDEX('Per Invoice'!AB$2:AB$401,$AH208)="","",INDEX('Per Invoice'!AB$2:AB$401,$AH208)))</f>
        <v/>
      </c>
      <c r="AC208" s="7">
        <f>IF($AH208="","",IF(INDEX('Per Invoice'!AC$2:AC$401,$AH208)="","",INDEX('Per Invoice'!AC$2:AC$401,$AH208)))</f>
        <v/>
      </c>
      <c r="AD208" s="7">
        <f>IF($AH208="","",IF(INDEX('Per Invoice'!AD$2:AD$401,$AH208)="","",INDEX('Per Invoice'!AD$2:AD$401,$AH208)))</f>
        <v/>
      </c>
      <c r="AE208" s="7">
        <f>IF($AH208="","",IF(INDEX('Per Invoice'!AE$2:AE$401,$AH208)="","",INDEX('Per Invoice'!AE$2:AE$401,$AH208)))</f>
        <v/>
      </c>
      <c r="AF208">
        <f>IF($AH208="","",IF(INDEX('Per Invoice'!AF$2:AF$401,$AH208)="","",INDEX('Per Invoice'!AF$2:AF$401,$AH208)))</f>
        <v/>
      </c>
      <c r="AG208" s="7">
        <f>IF($AH208="","",IF(INDEX('Per Invoice'!AG$2:AG$401,$AH208)="","",INDEX('Per Invoice'!AG$2:AG$401,$AH208)))</f>
        <v/>
      </c>
      <c r="AH208" s="16">
        <f>IFERROR(MATCH(Settings!$C$27&amp;"|"&amp;ROWS($AH$2:$AH208),'Per Invoice'!$AI$2:$AI$401,0),"")</f>
        <v/>
      </c>
    </row>
    <row r="209">
      <c r="A209">
        <f>IF($AH209="","",IF(INDEX('Per Invoice'!A$2:A$401,$AH209)="","",INDEX('Per Invoice'!A$2:A$401,$AH209)))</f>
        <v/>
      </c>
      <c r="B209">
        <f>IF($AH209="","",IF(INDEX('Per Invoice'!B$2:B$401,$AH209)="","",INDEX('Per Invoice'!B$2:B$401,$AH209)))</f>
        <v/>
      </c>
      <c r="C209">
        <f>IF($AH209="","",IF(INDEX('Per Invoice'!C$2:C$401,$AH209)="","",INDEX('Per Invoice'!C$2:C$401,$AH209)))</f>
        <v/>
      </c>
      <c r="D209">
        <f>IF($AH209="","",IF(INDEX('Per Invoice'!D$2:D$401,$AH209)="","",INDEX('Per Invoice'!D$2:D$401,$AH209)))</f>
        <v/>
      </c>
      <c r="E209">
        <f>IF($AH209="","",IF(INDEX('Per Invoice'!E$2:E$401,$AH209)="","",INDEX('Per Invoice'!E$2:E$401,$AH209)))</f>
        <v/>
      </c>
      <c r="F209">
        <f>IF($AH209="","",IF(INDEX('Per Invoice'!F$2:F$401,$AH209)="","",INDEX('Per Invoice'!F$2:F$401,$AH209)))</f>
        <v/>
      </c>
      <c r="G209">
        <f>IF($AH209="","",IF(INDEX('Per Invoice'!G$2:G$401,$AH209)="","",INDEX('Per Invoice'!G$2:G$401,$AH209)))</f>
        <v/>
      </c>
      <c r="H209">
        <f>IF($AH209="","",IF(INDEX('Per Invoice'!H$2:H$401,$AH209)="","",INDEX('Per Invoice'!H$2:H$401,$AH209)))</f>
        <v/>
      </c>
      <c r="I209" s="14">
        <f>IF($AH209="","",IF(INDEX('Per Invoice'!I$2:I$401,$AH209)="","",INDEX('Per Invoice'!I$2:I$401,$AH209)))</f>
        <v/>
      </c>
      <c r="J209">
        <f>IF($AH209="","",IF(INDEX('Per Invoice'!J$2:J$401,$AH209)="","",INDEX('Per Invoice'!J$2:J$401,$AH209)))</f>
        <v/>
      </c>
      <c r="K209">
        <f>IF($AH209="","",IF(INDEX('Per Invoice'!K$2:K$401,$AH209)="","",INDEX('Per Invoice'!K$2:K$401,$AH209)))</f>
        <v/>
      </c>
      <c r="L209">
        <f>IF($AH209="","",IF(INDEX('Per Invoice'!L$2:L$401,$AH209)="","",INDEX('Per Invoice'!L$2:L$401,$AH209)))</f>
        <v/>
      </c>
      <c r="M209">
        <f>IF($AH209="","",IF(INDEX('Per Invoice'!M$2:M$401,$AH209)="","",INDEX('Per Invoice'!M$2:M$401,$AH209)))</f>
        <v/>
      </c>
      <c r="N209">
        <f>IF($AH209="","",IF(INDEX('Per Invoice'!N$2:N$401,$AH209)="","",INDEX('Per Invoice'!N$2:N$401,$AH209)))</f>
        <v/>
      </c>
      <c r="O209">
        <f>IF($AH209="","",IF(INDEX('Per Invoice'!O$2:O$401,$AH209)="","",INDEX('Per Invoice'!O$2:O$401,$AH209)))</f>
        <v/>
      </c>
      <c r="P209" s="7">
        <f>IF($AH209="","",IF(INDEX('Per Invoice'!P$2:P$401,$AH209)="","",INDEX('Per Invoice'!P$2:P$401,$AH209)))</f>
        <v/>
      </c>
      <c r="Q209">
        <f>IF($AH209="","",IF(INDEX('Per Invoice'!Q$2:Q$401,$AH209)="","",INDEX('Per Invoice'!Q$2:Q$401,$AH209)))</f>
        <v/>
      </c>
      <c r="R209">
        <f>IF($AH209="","",IF(INDEX('Per Invoice'!R$2:R$401,$AH209)="","",INDEX('Per Invoice'!R$2:R$401,$AH209)))</f>
        <v/>
      </c>
      <c r="S209">
        <f>IF($AH209="","",IF(INDEX('Per Invoice'!S$2:S$401,$AH209)="","",INDEX('Per Invoice'!S$2:S$401,$AH209)))</f>
        <v/>
      </c>
      <c r="T209" s="7">
        <f>IF($AH209="","",IF(INDEX('Per Invoice'!T$2:T$401,$AH209)="","",INDEX('Per Invoice'!T$2:T$401,$AH209)))</f>
        <v/>
      </c>
      <c r="U209" s="7">
        <f>IF($AH209="","",IF(INDEX('Per Invoice'!U$2:U$401,$AH209)="","",INDEX('Per Invoice'!U$2:U$401,$AH209)))</f>
        <v/>
      </c>
      <c r="V209">
        <f>IF($AH209="","",IF(INDEX('Per Invoice'!V$2:V$401,$AH209)="","",INDEX('Per Invoice'!V$2:V$401,$AH209)))</f>
        <v/>
      </c>
      <c r="W209" s="7">
        <f>IF($AH209="","",IF(INDEX('Per Invoice'!W$2:W$401,$AH209)="","",INDEX('Per Invoice'!W$2:W$401,$AH209)))</f>
        <v/>
      </c>
      <c r="X209" s="7">
        <f>IF($AH209="","",IF(INDEX('Per Invoice'!X$2:X$401,$AH209)="","",INDEX('Per Invoice'!X$2:X$401,$AH209)))</f>
        <v/>
      </c>
      <c r="Y209">
        <f>IF($AH209="","",IF(INDEX('Per Invoice'!Y$2:Y$401,$AH209)="","",INDEX('Per Invoice'!Y$2:Y$401,$AH209)))</f>
        <v/>
      </c>
      <c r="Z209" s="7">
        <f>IF($AH209="","",IF(INDEX('Per Invoice'!Z$2:Z$401,$AH209)="","",INDEX('Per Invoice'!Z$2:Z$401,$AH209)))</f>
        <v/>
      </c>
      <c r="AA209" s="7">
        <f>IF($AH209="","",IF(INDEX('Per Invoice'!AA$2:AA$401,$AH209)="","",INDEX('Per Invoice'!AA$2:AA$401,$AH209)))</f>
        <v/>
      </c>
      <c r="AB209" s="7">
        <f>IF($AH209="","",IF(INDEX('Per Invoice'!AB$2:AB$401,$AH209)="","",INDEX('Per Invoice'!AB$2:AB$401,$AH209)))</f>
        <v/>
      </c>
      <c r="AC209" s="7">
        <f>IF($AH209="","",IF(INDEX('Per Invoice'!AC$2:AC$401,$AH209)="","",INDEX('Per Invoice'!AC$2:AC$401,$AH209)))</f>
        <v/>
      </c>
      <c r="AD209" s="7">
        <f>IF($AH209="","",IF(INDEX('Per Invoice'!AD$2:AD$401,$AH209)="","",INDEX('Per Invoice'!AD$2:AD$401,$AH209)))</f>
        <v/>
      </c>
      <c r="AE209" s="7">
        <f>IF($AH209="","",IF(INDEX('Per Invoice'!AE$2:AE$401,$AH209)="","",INDEX('Per Invoice'!AE$2:AE$401,$AH209)))</f>
        <v/>
      </c>
      <c r="AF209">
        <f>IF($AH209="","",IF(INDEX('Per Invoice'!AF$2:AF$401,$AH209)="","",INDEX('Per Invoice'!AF$2:AF$401,$AH209)))</f>
        <v/>
      </c>
      <c r="AG209" s="7">
        <f>IF($AH209="","",IF(INDEX('Per Invoice'!AG$2:AG$401,$AH209)="","",INDEX('Per Invoice'!AG$2:AG$401,$AH209)))</f>
        <v/>
      </c>
      <c r="AH209" s="16">
        <f>IFERROR(MATCH(Settings!$C$27&amp;"|"&amp;ROWS($AH$2:$AH209),'Per Invoice'!$AI$2:$AI$401,0),"")</f>
        <v/>
      </c>
    </row>
    <row r="210">
      <c r="A210">
        <f>IF($AH210="","",IF(INDEX('Per Invoice'!A$2:A$401,$AH210)="","",INDEX('Per Invoice'!A$2:A$401,$AH210)))</f>
        <v/>
      </c>
      <c r="B210">
        <f>IF($AH210="","",IF(INDEX('Per Invoice'!B$2:B$401,$AH210)="","",INDEX('Per Invoice'!B$2:B$401,$AH210)))</f>
        <v/>
      </c>
      <c r="C210">
        <f>IF($AH210="","",IF(INDEX('Per Invoice'!C$2:C$401,$AH210)="","",INDEX('Per Invoice'!C$2:C$401,$AH210)))</f>
        <v/>
      </c>
      <c r="D210">
        <f>IF($AH210="","",IF(INDEX('Per Invoice'!D$2:D$401,$AH210)="","",INDEX('Per Invoice'!D$2:D$401,$AH210)))</f>
        <v/>
      </c>
      <c r="E210">
        <f>IF($AH210="","",IF(INDEX('Per Invoice'!E$2:E$401,$AH210)="","",INDEX('Per Invoice'!E$2:E$401,$AH210)))</f>
        <v/>
      </c>
      <c r="F210">
        <f>IF($AH210="","",IF(INDEX('Per Invoice'!F$2:F$401,$AH210)="","",INDEX('Per Invoice'!F$2:F$401,$AH210)))</f>
        <v/>
      </c>
      <c r="G210">
        <f>IF($AH210="","",IF(INDEX('Per Invoice'!G$2:G$401,$AH210)="","",INDEX('Per Invoice'!G$2:G$401,$AH210)))</f>
        <v/>
      </c>
      <c r="H210">
        <f>IF($AH210="","",IF(INDEX('Per Invoice'!H$2:H$401,$AH210)="","",INDEX('Per Invoice'!H$2:H$401,$AH210)))</f>
        <v/>
      </c>
      <c r="I210" s="14">
        <f>IF($AH210="","",IF(INDEX('Per Invoice'!I$2:I$401,$AH210)="","",INDEX('Per Invoice'!I$2:I$401,$AH210)))</f>
        <v/>
      </c>
      <c r="J210">
        <f>IF($AH210="","",IF(INDEX('Per Invoice'!J$2:J$401,$AH210)="","",INDEX('Per Invoice'!J$2:J$401,$AH210)))</f>
        <v/>
      </c>
      <c r="K210">
        <f>IF($AH210="","",IF(INDEX('Per Invoice'!K$2:K$401,$AH210)="","",INDEX('Per Invoice'!K$2:K$401,$AH210)))</f>
        <v/>
      </c>
      <c r="L210">
        <f>IF($AH210="","",IF(INDEX('Per Invoice'!L$2:L$401,$AH210)="","",INDEX('Per Invoice'!L$2:L$401,$AH210)))</f>
        <v/>
      </c>
      <c r="M210">
        <f>IF($AH210="","",IF(INDEX('Per Invoice'!M$2:M$401,$AH210)="","",INDEX('Per Invoice'!M$2:M$401,$AH210)))</f>
        <v/>
      </c>
      <c r="N210">
        <f>IF($AH210="","",IF(INDEX('Per Invoice'!N$2:N$401,$AH210)="","",INDEX('Per Invoice'!N$2:N$401,$AH210)))</f>
        <v/>
      </c>
      <c r="O210">
        <f>IF($AH210="","",IF(INDEX('Per Invoice'!O$2:O$401,$AH210)="","",INDEX('Per Invoice'!O$2:O$401,$AH210)))</f>
        <v/>
      </c>
      <c r="P210" s="7">
        <f>IF($AH210="","",IF(INDEX('Per Invoice'!P$2:P$401,$AH210)="","",INDEX('Per Invoice'!P$2:P$401,$AH210)))</f>
        <v/>
      </c>
      <c r="Q210">
        <f>IF($AH210="","",IF(INDEX('Per Invoice'!Q$2:Q$401,$AH210)="","",INDEX('Per Invoice'!Q$2:Q$401,$AH210)))</f>
        <v/>
      </c>
      <c r="R210">
        <f>IF($AH210="","",IF(INDEX('Per Invoice'!R$2:R$401,$AH210)="","",INDEX('Per Invoice'!R$2:R$401,$AH210)))</f>
        <v/>
      </c>
      <c r="S210">
        <f>IF($AH210="","",IF(INDEX('Per Invoice'!S$2:S$401,$AH210)="","",INDEX('Per Invoice'!S$2:S$401,$AH210)))</f>
        <v/>
      </c>
      <c r="T210" s="7">
        <f>IF($AH210="","",IF(INDEX('Per Invoice'!T$2:T$401,$AH210)="","",INDEX('Per Invoice'!T$2:T$401,$AH210)))</f>
        <v/>
      </c>
      <c r="U210" s="7">
        <f>IF($AH210="","",IF(INDEX('Per Invoice'!U$2:U$401,$AH210)="","",INDEX('Per Invoice'!U$2:U$401,$AH210)))</f>
        <v/>
      </c>
      <c r="V210">
        <f>IF($AH210="","",IF(INDEX('Per Invoice'!V$2:V$401,$AH210)="","",INDEX('Per Invoice'!V$2:V$401,$AH210)))</f>
        <v/>
      </c>
      <c r="W210" s="7">
        <f>IF($AH210="","",IF(INDEX('Per Invoice'!W$2:W$401,$AH210)="","",INDEX('Per Invoice'!W$2:W$401,$AH210)))</f>
        <v/>
      </c>
      <c r="X210" s="7">
        <f>IF($AH210="","",IF(INDEX('Per Invoice'!X$2:X$401,$AH210)="","",INDEX('Per Invoice'!X$2:X$401,$AH210)))</f>
        <v/>
      </c>
      <c r="Y210">
        <f>IF($AH210="","",IF(INDEX('Per Invoice'!Y$2:Y$401,$AH210)="","",INDEX('Per Invoice'!Y$2:Y$401,$AH210)))</f>
        <v/>
      </c>
      <c r="Z210" s="7">
        <f>IF($AH210="","",IF(INDEX('Per Invoice'!Z$2:Z$401,$AH210)="","",INDEX('Per Invoice'!Z$2:Z$401,$AH210)))</f>
        <v/>
      </c>
      <c r="AA210" s="7">
        <f>IF($AH210="","",IF(INDEX('Per Invoice'!AA$2:AA$401,$AH210)="","",INDEX('Per Invoice'!AA$2:AA$401,$AH210)))</f>
        <v/>
      </c>
      <c r="AB210" s="7">
        <f>IF($AH210="","",IF(INDEX('Per Invoice'!AB$2:AB$401,$AH210)="","",INDEX('Per Invoice'!AB$2:AB$401,$AH210)))</f>
        <v/>
      </c>
      <c r="AC210" s="7">
        <f>IF($AH210="","",IF(INDEX('Per Invoice'!AC$2:AC$401,$AH210)="","",INDEX('Per Invoice'!AC$2:AC$401,$AH210)))</f>
        <v/>
      </c>
      <c r="AD210" s="7">
        <f>IF($AH210="","",IF(INDEX('Per Invoice'!AD$2:AD$401,$AH210)="","",INDEX('Per Invoice'!AD$2:AD$401,$AH210)))</f>
        <v/>
      </c>
      <c r="AE210" s="7">
        <f>IF($AH210="","",IF(INDEX('Per Invoice'!AE$2:AE$401,$AH210)="","",INDEX('Per Invoice'!AE$2:AE$401,$AH210)))</f>
        <v/>
      </c>
      <c r="AF210">
        <f>IF($AH210="","",IF(INDEX('Per Invoice'!AF$2:AF$401,$AH210)="","",INDEX('Per Invoice'!AF$2:AF$401,$AH210)))</f>
        <v/>
      </c>
      <c r="AG210" s="7">
        <f>IF($AH210="","",IF(INDEX('Per Invoice'!AG$2:AG$401,$AH210)="","",INDEX('Per Invoice'!AG$2:AG$401,$AH210)))</f>
        <v/>
      </c>
      <c r="AH210" s="16">
        <f>IFERROR(MATCH(Settings!$C$27&amp;"|"&amp;ROWS($AH$2:$AH210),'Per Invoice'!$AI$2:$AI$401,0),"")</f>
        <v/>
      </c>
    </row>
    <row r="211">
      <c r="A211">
        <f>IF($AH211="","",IF(INDEX('Per Invoice'!A$2:A$401,$AH211)="","",INDEX('Per Invoice'!A$2:A$401,$AH211)))</f>
        <v/>
      </c>
      <c r="B211">
        <f>IF($AH211="","",IF(INDEX('Per Invoice'!B$2:B$401,$AH211)="","",INDEX('Per Invoice'!B$2:B$401,$AH211)))</f>
        <v/>
      </c>
      <c r="C211">
        <f>IF($AH211="","",IF(INDEX('Per Invoice'!C$2:C$401,$AH211)="","",INDEX('Per Invoice'!C$2:C$401,$AH211)))</f>
        <v/>
      </c>
      <c r="D211">
        <f>IF($AH211="","",IF(INDEX('Per Invoice'!D$2:D$401,$AH211)="","",INDEX('Per Invoice'!D$2:D$401,$AH211)))</f>
        <v/>
      </c>
      <c r="E211">
        <f>IF($AH211="","",IF(INDEX('Per Invoice'!E$2:E$401,$AH211)="","",INDEX('Per Invoice'!E$2:E$401,$AH211)))</f>
        <v/>
      </c>
      <c r="F211">
        <f>IF($AH211="","",IF(INDEX('Per Invoice'!F$2:F$401,$AH211)="","",INDEX('Per Invoice'!F$2:F$401,$AH211)))</f>
        <v/>
      </c>
      <c r="G211">
        <f>IF($AH211="","",IF(INDEX('Per Invoice'!G$2:G$401,$AH211)="","",INDEX('Per Invoice'!G$2:G$401,$AH211)))</f>
        <v/>
      </c>
      <c r="H211">
        <f>IF($AH211="","",IF(INDEX('Per Invoice'!H$2:H$401,$AH211)="","",INDEX('Per Invoice'!H$2:H$401,$AH211)))</f>
        <v/>
      </c>
      <c r="I211" s="14">
        <f>IF($AH211="","",IF(INDEX('Per Invoice'!I$2:I$401,$AH211)="","",INDEX('Per Invoice'!I$2:I$401,$AH211)))</f>
        <v/>
      </c>
      <c r="J211">
        <f>IF($AH211="","",IF(INDEX('Per Invoice'!J$2:J$401,$AH211)="","",INDEX('Per Invoice'!J$2:J$401,$AH211)))</f>
        <v/>
      </c>
      <c r="K211">
        <f>IF($AH211="","",IF(INDEX('Per Invoice'!K$2:K$401,$AH211)="","",INDEX('Per Invoice'!K$2:K$401,$AH211)))</f>
        <v/>
      </c>
      <c r="L211">
        <f>IF($AH211="","",IF(INDEX('Per Invoice'!L$2:L$401,$AH211)="","",INDEX('Per Invoice'!L$2:L$401,$AH211)))</f>
        <v/>
      </c>
      <c r="M211">
        <f>IF($AH211="","",IF(INDEX('Per Invoice'!M$2:M$401,$AH211)="","",INDEX('Per Invoice'!M$2:M$401,$AH211)))</f>
        <v/>
      </c>
      <c r="N211">
        <f>IF($AH211="","",IF(INDEX('Per Invoice'!N$2:N$401,$AH211)="","",INDEX('Per Invoice'!N$2:N$401,$AH211)))</f>
        <v/>
      </c>
      <c r="O211">
        <f>IF($AH211="","",IF(INDEX('Per Invoice'!O$2:O$401,$AH211)="","",INDEX('Per Invoice'!O$2:O$401,$AH211)))</f>
        <v/>
      </c>
      <c r="P211" s="7">
        <f>IF($AH211="","",IF(INDEX('Per Invoice'!P$2:P$401,$AH211)="","",INDEX('Per Invoice'!P$2:P$401,$AH211)))</f>
        <v/>
      </c>
      <c r="Q211">
        <f>IF($AH211="","",IF(INDEX('Per Invoice'!Q$2:Q$401,$AH211)="","",INDEX('Per Invoice'!Q$2:Q$401,$AH211)))</f>
        <v/>
      </c>
      <c r="R211">
        <f>IF($AH211="","",IF(INDEX('Per Invoice'!R$2:R$401,$AH211)="","",INDEX('Per Invoice'!R$2:R$401,$AH211)))</f>
        <v/>
      </c>
      <c r="S211">
        <f>IF($AH211="","",IF(INDEX('Per Invoice'!S$2:S$401,$AH211)="","",INDEX('Per Invoice'!S$2:S$401,$AH211)))</f>
        <v/>
      </c>
      <c r="T211" s="7">
        <f>IF($AH211="","",IF(INDEX('Per Invoice'!T$2:T$401,$AH211)="","",INDEX('Per Invoice'!T$2:T$401,$AH211)))</f>
        <v/>
      </c>
      <c r="U211" s="7">
        <f>IF($AH211="","",IF(INDEX('Per Invoice'!U$2:U$401,$AH211)="","",INDEX('Per Invoice'!U$2:U$401,$AH211)))</f>
        <v/>
      </c>
      <c r="V211">
        <f>IF($AH211="","",IF(INDEX('Per Invoice'!V$2:V$401,$AH211)="","",INDEX('Per Invoice'!V$2:V$401,$AH211)))</f>
        <v/>
      </c>
      <c r="W211" s="7">
        <f>IF($AH211="","",IF(INDEX('Per Invoice'!W$2:W$401,$AH211)="","",INDEX('Per Invoice'!W$2:W$401,$AH211)))</f>
        <v/>
      </c>
      <c r="X211" s="7">
        <f>IF($AH211="","",IF(INDEX('Per Invoice'!X$2:X$401,$AH211)="","",INDEX('Per Invoice'!X$2:X$401,$AH211)))</f>
        <v/>
      </c>
      <c r="Y211">
        <f>IF($AH211="","",IF(INDEX('Per Invoice'!Y$2:Y$401,$AH211)="","",INDEX('Per Invoice'!Y$2:Y$401,$AH211)))</f>
        <v/>
      </c>
      <c r="Z211" s="7">
        <f>IF($AH211="","",IF(INDEX('Per Invoice'!Z$2:Z$401,$AH211)="","",INDEX('Per Invoice'!Z$2:Z$401,$AH211)))</f>
        <v/>
      </c>
      <c r="AA211" s="7">
        <f>IF($AH211="","",IF(INDEX('Per Invoice'!AA$2:AA$401,$AH211)="","",INDEX('Per Invoice'!AA$2:AA$401,$AH211)))</f>
        <v/>
      </c>
      <c r="AB211" s="7">
        <f>IF($AH211="","",IF(INDEX('Per Invoice'!AB$2:AB$401,$AH211)="","",INDEX('Per Invoice'!AB$2:AB$401,$AH211)))</f>
        <v/>
      </c>
      <c r="AC211" s="7">
        <f>IF($AH211="","",IF(INDEX('Per Invoice'!AC$2:AC$401,$AH211)="","",INDEX('Per Invoice'!AC$2:AC$401,$AH211)))</f>
        <v/>
      </c>
      <c r="AD211" s="7">
        <f>IF($AH211="","",IF(INDEX('Per Invoice'!AD$2:AD$401,$AH211)="","",INDEX('Per Invoice'!AD$2:AD$401,$AH211)))</f>
        <v/>
      </c>
      <c r="AE211" s="7">
        <f>IF($AH211="","",IF(INDEX('Per Invoice'!AE$2:AE$401,$AH211)="","",INDEX('Per Invoice'!AE$2:AE$401,$AH211)))</f>
        <v/>
      </c>
      <c r="AF211">
        <f>IF($AH211="","",IF(INDEX('Per Invoice'!AF$2:AF$401,$AH211)="","",INDEX('Per Invoice'!AF$2:AF$401,$AH211)))</f>
        <v/>
      </c>
      <c r="AG211" s="7">
        <f>IF($AH211="","",IF(INDEX('Per Invoice'!AG$2:AG$401,$AH211)="","",INDEX('Per Invoice'!AG$2:AG$401,$AH211)))</f>
        <v/>
      </c>
      <c r="AH211" s="16">
        <f>IFERROR(MATCH(Settings!$C$27&amp;"|"&amp;ROWS($AH$2:$AH211),'Per Invoice'!$AI$2:$AI$401,0),"")</f>
        <v/>
      </c>
    </row>
    <row r="212">
      <c r="A212">
        <f>IF($AH212="","",IF(INDEX('Per Invoice'!A$2:A$401,$AH212)="","",INDEX('Per Invoice'!A$2:A$401,$AH212)))</f>
        <v/>
      </c>
      <c r="B212">
        <f>IF($AH212="","",IF(INDEX('Per Invoice'!B$2:B$401,$AH212)="","",INDEX('Per Invoice'!B$2:B$401,$AH212)))</f>
        <v/>
      </c>
      <c r="C212">
        <f>IF($AH212="","",IF(INDEX('Per Invoice'!C$2:C$401,$AH212)="","",INDEX('Per Invoice'!C$2:C$401,$AH212)))</f>
        <v/>
      </c>
      <c r="D212">
        <f>IF($AH212="","",IF(INDEX('Per Invoice'!D$2:D$401,$AH212)="","",INDEX('Per Invoice'!D$2:D$401,$AH212)))</f>
        <v/>
      </c>
      <c r="E212">
        <f>IF($AH212="","",IF(INDEX('Per Invoice'!E$2:E$401,$AH212)="","",INDEX('Per Invoice'!E$2:E$401,$AH212)))</f>
        <v/>
      </c>
      <c r="F212">
        <f>IF($AH212="","",IF(INDEX('Per Invoice'!F$2:F$401,$AH212)="","",INDEX('Per Invoice'!F$2:F$401,$AH212)))</f>
        <v/>
      </c>
      <c r="G212">
        <f>IF($AH212="","",IF(INDEX('Per Invoice'!G$2:G$401,$AH212)="","",INDEX('Per Invoice'!G$2:G$401,$AH212)))</f>
        <v/>
      </c>
      <c r="H212">
        <f>IF($AH212="","",IF(INDEX('Per Invoice'!H$2:H$401,$AH212)="","",INDEX('Per Invoice'!H$2:H$401,$AH212)))</f>
        <v/>
      </c>
      <c r="I212" s="14">
        <f>IF($AH212="","",IF(INDEX('Per Invoice'!I$2:I$401,$AH212)="","",INDEX('Per Invoice'!I$2:I$401,$AH212)))</f>
        <v/>
      </c>
      <c r="J212">
        <f>IF($AH212="","",IF(INDEX('Per Invoice'!J$2:J$401,$AH212)="","",INDEX('Per Invoice'!J$2:J$401,$AH212)))</f>
        <v/>
      </c>
      <c r="K212">
        <f>IF($AH212="","",IF(INDEX('Per Invoice'!K$2:K$401,$AH212)="","",INDEX('Per Invoice'!K$2:K$401,$AH212)))</f>
        <v/>
      </c>
      <c r="L212">
        <f>IF($AH212="","",IF(INDEX('Per Invoice'!L$2:L$401,$AH212)="","",INDEX('Per Invoice'!L$2:L$401,$AH212)))</f>
        <v/>
      </c>
      <c r="M212">
        <f>IF($AH212="","",IF(INDEX('Per Invoice'!M$2:M$401,$AH212)="","",INDEX('Per Invoice'!M$2:M$401,$AH212)))</f>
        <v/>
      </c>
      <c r="N212">
        <f>IF($AH212="","",IF(INDEX('Per Invoice'!N$2:N$401,$AH212)="","",INDEX('Per Invoice'!N$2:N$401,$AH212)))</f>
        <v/>
      </c>
      <c r="O212">
        <f>IF($AH212="","",IF(INDEX('Per Invoice'!O$2:O$401,$AH212)="","",INDEX('Per Invoice'!O$2:O$401,$AH212)))</f>
        <v/>
      </c>
      <c r="P212" s="7">
        <f>IF($AH212="","",IF(INDEX('Per Invoice'!P$2:P$401,$AH212)="","",INDEX('Per Invoice'!P$2:P$401,$AH212)))</f>
        <v/>
      </c>
      <c r="Q212">
        <f>IF($AH212="","",IF(INDEX('Per Invoice'!Q$2:Q$401,$AH212)="","",INDEX('Per Invoice'!Q$2:Q$401,$AH212)))</f>
        <v/>
      </c>
      <c r="R212">
        <f>IF($AH212="","",IF(INDEX('Per Invoice'!R$2:R$401,$AH212)="","",INDEX('Per Invoice'!R$2:R$401,$AH212)))</f>
        <v/>
      </c>
      <c r="S212">
        <f>IF($AH212="","",IF(INDEX('Per Invoice'!S$2:S$401,$AH212)="","",INDEX('Per Invoice'!S$2:S$401,$AH212)))</f>
        <v/>
      </c>
      <c r="T212" s="7">
        <f>IF($AH212="","",IF(INDEX('Per Invoice'!T$2:T$401,$AH212)="","",INDEX('Per Invoice'!T$2:T$401,$AH212)))</f>
        <v/>
      </c>
      <c r="U212" s="7">
        <f>IF($AH212="","",IF(INDEX('Per Invoice'!U$2:U$401,$AH212)="","",INDEX('Per Invoice'!U$2:U$401,$AH212)))</f>
        <v/>
      </c>
      <c r="V212">
        <f>IF($AH212="","",IF(INDEX('Per Invoice'!V$2:V$401,$AH212)="","",INDEX('Per Invoice'!V$2:V$401,$AH212)))</f>
        <v/>
      </c>
      <c r="W212" s="7">
        <f>IF($AH212="","",IF(INDEX('Per Invoice'!W$2:W$401,$AH212)="","",INDEX('Per Invoice'!W$2:W$401,$AH212)))</f>
        <v/>
      </c>
      <c r="X212" s="7">
        <f>IF($AH212="","",IF(INDEX('Per Invoice'!X$2:X$401,$AH212)="","",INDEX('Per Invoice'!X$2:X$401,$AH212)))</f>
        <v/>
      </c>
      <c r="Y212">
        <f>IF($AH212="","",IF(INDEX('Per Invoice'!Y$2:Y$401,$AH212)="","",INDEX('Per Invoice'!Y$2:Y$401,$AH212)))</f>
        <v/>
      </c>
      <c r="Z212" s="7">
        <f>IF($AH212="","",IF(INDEX('Per Invoice'!Z$2:Z$401,$AH212)="","",INDEX('Per Invoice'!Z$2:Z$401,$AH212)))</f>
        <v/>
      </c>
      <c r="AA212" s="7">
        <f>IF($AH212="","",IF(INDEX('Per Invoice'!AA$2:AA$401,$AH212)="","",INDEX('Per Invoice'!AA$2:AA$401,$AH212)))</f>
        <v/>
      </c>
      <c r="AB212" s="7">
        <f>IF($AH212="","",IF(INDEX('Per Invoice'!AB$2:AB$401,$AH212)="","",INDEX('Per Invoice'!AB$2:AB$401,$AH212)))</f>
        <v/>
      </c>
      <c r="AC212" s="7">
        <f>IF($AH212="","",IF(INDEX('Per Invoice'!AC$2:AC$401,$AH212)="","",INDEX('Per Invoice'!AC$2:AC$401,$AH212)))</f>
        <v/>
      </c>
      <c r="AD212" s="7">
        <f>IF($AH212="","",IF(INDEX('Per Invoice'!AD$2:AD$401,$AH212)="","",INDEX('Per Invoice'!AD$2:AD$401,$AH212)))</f>
        <v/>
      </c>
      <c r="AE212" s="7">
        <f>IF($AH212="","",IF(INDEX('Per Invoice'!AE$2:AE$401,$AH212)="","",INDEX('Per Invoice'!AE$2:AE$401,$AH212)))</f>
        <v/>
      </c>
      <c r="AF212">
        <f>IF($AH212="","",IF(INDEX('Per Invoice'!AF$2:AF$401,$AH212)="","",INDEX('Per Invoice'!AF$2:AF$401,$AH212)))</f>
        <v/>
      </c>
      <c r="AG212" s="7">
        <f>IF($AH212="","",IF(INDEX('Per Invoice'!AG$2:AG$401,$AH212)="","",INDEX('Per Invoice'!AG$2:AG$401,$AH212)))</f>
        <v/>
      </c>
      <c r="AH212" s="16">
        <f>IFERROR(MATCH(Settings!$C$27&amp;"|"&amp;ROWS($AH$2:$AH212),'Per Invoice'!$AI$2:$AI$401,0),"")</f>
        <v/>
      </c>
    </row>
    <row r="213">
      <c r="A213">
        <f>IF($AH213="","",IF(INDEX('Per Invoice'!A$2:A$401,$AH213)="","",INDEX('Per Invoice'!A$2:A$401,$AH213)))</f>
        <v/>
      </c>
      <c r="B213">
        <f>IF($AH213="","",IF(INDEX('Per Invoice'!B$2:B$401,$AH213)="","",INDEX('Per Invoice'!B$2:B$401,$AH213)))</f>
        <v/>
      </c>
      <c r="C213">
        <f>IF($AH213="","",IF(INDEX('Per Invoice'!C$2:C$401,$AH213)="","",INDEX('Per Invoice'!C$2:C$401,$AH213)))</f>
        <v/>
      </c>
      <c r="D213">
        <f>IF($AH213="","",IF(INDEX('Per Invoice'!D$2:D$401,$AH213)="","",INDEX('Per Invoice'!D$2:D$401,$AH213)))</f>
        <v/>
      </c>
      <c r="E213">
        <f>IF($AH213="","",IF(INDEX('Per Invoice'!E$2:E$401,$AH213)="","",INDEX('Per Invoice'!E$2:E$401,$AH213)))</f>
        <v/>
      </c>
      <c r="F213">
        <f>IF($AH213="","",IF(INDEX('Per Invoice'!F$2:F$401,$AH213)="","",INDEX('Per Invoice'!F$2:F$401,$AH213)))</f>
        <v/>
      </c>
      <c r="G213">
        <f>IF($AH213="","",IF(INDEX('Per Invoice'!G$2:G$401,$AH213)="","",INDEX('Per Invoice'!G$2:G$401,$AH213)))</f>
        <v/>
      </c>
      <c r="H213">
        <f>IF($AH213="","",IF(INDEX('Per Invoice'!H$2:H$401,$AH213)="","",INDEX('Per Invoice'!H$2:H$401,$AH213)))</f>
        <v/>
      </c>
      <c r="I213" s="14">
        <f>IF($AH213="","",IF(INDEX('Per Invoice'!I$2:I$401,$AH213)="","",INDEX('Per Invoice'!I$2:I$401,$AH213)))</f>
        <v/>
      </c>
      <c r="J213">
        <f>IF($AH213="","",IF(INDEX('Per Invoice'!J$2:J$401,$AH213)="","",INDEX('Per Invoice'!J$2:J$401,$AH213)))</f>
        <v/>
      </c>
      <c r="K213">
        <f>IF($AH213="","",IF(INDEX('Per Invoice'!K$2:K$401,$AH213)="","",INDEX('Per Invoice'!K$2:K$401,$AH213)))</f>
        <v/>
      </c>
      <c r="L213">
        <f>IF($AH213="","",IF(INDEX('Per Invoice'!L$2:L$401,$AH213)="","",INDEX('Per Invoice'!L$2:L$401,$AH213)))</f>
        <v/>
      </c>
      <c r="M213">
        <f>IF($AH213="","",IF(INDEX('Per Invoice'!M$2:M$401,$AH213)="","",INDEX('Per Invoice'!M$2:M$401,$AH213)))</f>
        <v/>
      </c>
      <c r="N213">
        <f>IF($AH213="","",IF(INDEX('Per Invoice'!N$2:N$401,$AH213)="","",INDEX('Per Invoice'!N$2:N$401,$AH213)))</f>
        <v/>
      </c>
      <c r="O213">
        <f>IF($AH213="","",IF(INDEX('Per Invoice'!O$2:O$401,$AH213)="","",INDEX('Per Invoice'!O$2:O$401,$AH213)))</f>
        <v/>
      </c>
      <c r="P213" s="7">
        <f>IF($AH213="","",IF(INDEX('Per Invoice'!P$2:P$401,$AH213)="","",INDEX('Per Invoice'!P$2:P$401,$AH213)))</f>
        <v/>
      </c>
      <c r="Q213">
        <f>IF($AH213="","",IF(INDEX('Per Invoice'!Q$2:Q$401,$AH213)="","",INDEX('Per Invoice'!Q$2:Q$401,$AH213)))</f>
        <v/>
      </c>
      <c r="R213">
        <f>IF($AH213="","",IF(INDEX('Per Invoice'!R$2:R$401,$AH213)="","",INDEX('Per Invoice'!R$2:R$401,$AH213)))</f>
        <v/>
      </c>
      <c r="S213">
        <f>IF($AH213="","",IF(INDEX('Per Invoice'!S$2:S$401,$AH213)="","",INDEX('Per Invoice'!S$2:S$401,$AH213)))</f>
        <v/>
      </c>
      <c r="T213" s="7">
        <f>IF($AH213="","",IF(INDEX('Per Invoice'!T$2:T$401,$AH213)="","",INDEX('Per Invoice'!T$2:T$401,$AH213)))</f>
        <v/>
      </c>
      <c r="U213" s="7">
        <f>IF($AH213="","",IF(INDEX('Per Invoice'!U$2:U$401,$AH213)="","",INDEX('Per Invoice'!U$2:U$401,$AH213)))</f>
        <v/>
      </c>
      <c r="V213">
        <f>IF($AH213="","",IF(INDEX('Per Invoice'!V$2:V$401,$AH213)="","",INDEX('Per Invoice'!V$2:V$401,$AH213)))</f>
        <v/>
      </c>
      <c r="W213" s="7">
        <f>IF($AH213="","",IF(INDEX('Per Invoice'!W$2:W$401,$AH213)="","",INDEX('Per Invoice'!W$2:W$401,$AH213)))</f>
        <v/>
      </c>
      <c r="X213" s="7">
        <f>IF($AH213="","",IF(INDEX('Per Invoice'!X$2:X$401,$AH213)="","",INDEX('Per Invoice'!X$2:X$401,$AH213)))</f>
        <v/>
      </c>
      <c r="Y213">
        <f>IF($AH213="","",IF(INDEX('Per Invoice'!Y$2:Y$401,$AH213)="","",INDEX('Per Invoice'!Y$2:Y$401,$AH213)))</f>
        <v/>
      </c>
      <c r="Z213" s="7">
        <f>IF($AH213="","",IF(INDEX('Per Invoice'!Z$2:Z$401,$AH213)="","",INDEX('Per Invoice'!Z$2:Z$401,$AH213)))</f>
        <v/>
      </c>
      <c r="AA213" s="7">
        <f>IF($AH213="","",IF(INDEX('Per Invoice'!AA$2:AA$401,$AH213)="","",INDEX('Per Invoice'!AA$2:AA$401,$AH213)))</f>
        <v/>
      </c>
      <c r="AB213" s="7">
        <f>IF($AH213="","",IF(INDEX('Per Invoice'!AB$2:AB$401,$AH213)="","",INDEX('Per Invoice'!AB$2:AB$401,$AH213)))</f>
        <v/>
      </c>
      <c r="AC213" s="7">
        <f>IF($AH213="","",IF(INDEX('Per Invoice'!AC$2:AC$401,$AH213)="","",INDEX('Per Invoice'!AC$2:AC$401,$AH213)))</f>
        <v/>
      </c>
      <c r="AD213" s="7">
        <f>IF($AH213="","",IF(INDEX('Per Invoice'!AD$2:AD$401,$AH213)="","",INDEX('Per Invoice'!AD$2:AD$401,$AH213)))</f>
        <v/>
      </c>
      <c r="AE213" s="7">
        <f>IF($AH213="","",IF(INDEX('Per Invoice'!AE$2:AE$401,$AH213)="","",INDEX('Per Invoice'!AE$2:AE$401,$AH213)))</f>
        <v/>
      </c>
      <c r="AF213">
        <f>IF($AH213="","",IF(INDEX('Per Invoice'!AF$2:AF$401,$AH213)="","",INDEX('Per Invoice'!AF$2:AF$401,$AH213)))</f>
        <v/>
      </c>
      <c r="AG213" s="7">
        <f>IF($AH213="","",IF(INDEX('Per Invoice'!AG$2:AG$401,$AH213)="","",INDEX('Per Invoice'!AG$2:AG$401,$AH213)))</f>
        <v/>
      </c>
      <c r="AH213" s="16">
        <f>IFERROR(MATCH(Settings!$C$27&amp;"|"&amp;ROWS($AH$2:$AH213),'Per Invoice'!$AI$2:$AI$401,0),"")</f>
        <v/>
      </c>
    </row>
    <row r="214">
      <c r="A214">
        <f>IF($AH214="","",IF(INDEX('Per Invoice'!A$2:A$401,$AH214)="","",INDEX('Per Invoice'!A$2:A$401,$AH214)))</f>
        <v/>
      </c>
      <c r="B214">
        <f>IF($AH214="","",IF(INDEX('Per Invoice'!B$2:B$401,$AH214)="","",INDEX('Per Invoice'!B$2:B$401,$AH214)))</f>
        <v/>
      </c>
      <c r="C214">
        <f>IF($AH214="","",IF(INDEX('Per Invoice'!C$2:C$401,$AH214)="","",INDEX('Per Invoice'!C$2:C$401,$AH214)))</f>
        <v/>
      </c>
      <c r="D214">
        <f>IF($AH214="","",IF(INDEX('Per Invoice'!D$2:D$401,$AH214)="","",INDEX('Per Invoice'!D$2:D$401,$AH214)))</f>
        <v/>
      </c>
      <c r="E214">
        <f>IF($AH214="","",IF(INDEX('Per Invoice'!E$2:E$401,$AH214)="","",INDEX('Per Invoice'!E$2:E$401,$AH214)))</f>
        <v/>
      </c>
      <c r="F214">
        <f>IF($AH214="","",IF(INDEX('Per Invoice'!F$2:F$401,$AH214)="","",INDEX('Per Invoice'!F$2:F$401,$AH214)))</f>
        <v/>
      </c>
      <c r="G214">
        <f>IF($AH214="","",IF(INDEX('Per Invoice'!G$2:G$401,$AH214)="","",INDEX('Per Invoice'!G$2:G$401,$AH214)))</f>
        <v/>
      </c>
      <c r="H214">
        <f>IF($AH214="","",IF(INDEX('Per Invoice'!H$2:H$401,$AH214)="","",INDEX('Per Invoice'!H$2:H$401,$AH214)))</f>
        <v/>
      </c>
      <c r="I214" s="14">
        <f>IF($AH214="","",IF(INDEX('Per Invoice'!I$2:I$401,$AH214)="","",INDEX('Per Invoice'!I$2:I$401,$AH214)))</f>
        <v/>
      </c>
      <c r="J214">
        <f>IF($AH214="","",IF(INDEX('Per Invoice'!J$2:J$401,$AH214)="","",INDEX('Per Invoice'!J$2:J$401,$AH214)))</f>
        <v/>
      </c>
      <c r="K214">
        <f>IF($AH214="","",IF(INDEX('Per Invoice'!K$2:K$401,$AH214)="","",INDEX('Per Invoice'!K$2:K$401,$AH214)))</f>
        <v/>
      </c>
      <c r="L214">
        <f>IF($AH214="","",IF(INDEX('Per Invoice'!L$2:L$401,$AH214)="","",INDEX('Per Invoice'!L$2:L$401,$AH214)))</f>
        <v/>
      </c>
      <c r="M214">
        <f>IF($AH214="","",IF(INDEX('Per Invoice'!M$2:M$401,$AH214)="","",INDEX('Per Invoice'!M$2:M$401,$AH214)))</f>
        <v/>
      </c>
      <c r="N214">
        <f>IF($AH214="","",IF(INDEX('Per Invoice'!N$2:N$401,$AH214)="","",INDEX('Per Invoice'!N$2:N$401,$AH214)))</f>
        <v/>
      </c>
      <c r="O214">
        <f>IF($AH214="","",IF(INDEX('Per Invoice'!O$2:O$401,$AH214)="","",INDEX('Per Invoice'!O$2:O$401,$AH214)))</f>
        <v/>
      </c>
      <c r="P214" s="7">
        <f>IF($AH214="","",IF(INDEX('Per Invoice'!P$2:P$401,$AH214)="","",INDEX('Per Invoice'!P$2:P$401,$AH214)))</f>
        <v/>
      </c>
      <c r="Q214">
        <f>IF($AH214="","",IF(INDEX('Per Invoice'!Q$2:Q$401,$AH214)="","",INDEX('Per Invoice'!Q$2:Q$401,$AH214)))</f>
        <v/>
      </c>
      <c r="R214">
        <f>IF($AH214="","",IF(INDEX('Per Invoice'!R$2:R$401,$AH214)="","",INDEX('Per Invoice'!R$2:R$401,$AH214)))</f>
        <v/>
      </c>
      <c r="S214">
        <f>IF($AH214="","",IF(INDEX('Per Invoice'!S$2:S$401,$AH214)="","",INDEX('Per Invoice'!S$2:S$401,$AH214)))</f>
        <v/>
      </c>
      <c r="T214" s="7">
        <f>IF($AH214="","",IF(INDEX('Per Invoice'!T$2:T$401,$AH214)="","",INDEX('Per Invoice'!T$2:T$401,$AH214)))</f>
        <v/>
      </c>
      <c r="U214" s="7">
        <f>IF($AH214="","",IF(INDEX('Per Invoice'!U$2:U$401,$AH214)="","",INDEX('Per Invoice'!U$2:U$401,$AH214)))</f>
        <v/>
      </c>
      <c r="V214">
        <f>IF($AH214="","",IF(INDEX('Per Invoice'!V$2:V$401,$AH214)="","",INDEX('Per Invoice'!V$2:V$401,$AH214)))</f>
        <v/>
      </c>
      <c r="W214" s="7">
        <f>IF($AH214="","",IF(INDEX('Per Invoice'!W$2:W$401,$AH214)="","",INDEX('Per Invoice'!W$2:W$401,$AH214)))</f>
        <v/>
      </c>
      <c r="X214" s="7">
        <f>IF($AH214="","",IF(INDEX('Per Invoice'!X$2:X$401,$AH214)="","",INDEX('Per Invoice'!X$2:X$401,$AH214)))</f>
        <v/>
      </c>
      <c r="Y214">
        <f>IF($AH214="","",IF(INDEX('Per Invoice'!Y$2:Y$401,$AH214)="","",INDEX('Per Invoice'!Y$2:Y$401,$AH214)))</f>
        <v/>
      </c>
      <c r="Z214" s="7">
        <f>IF($AH214="","",IF(INDEX('Per Invoice'!Z$2:Z$401,$AH214)="","",INDEX('Per Invoice'!Z$2:Z$401,$AH214)))</f>
        <v/>
      </c>
      <c r="AA214" s="7">
        <f>IF($AH214="","",IF(INDEX('Per Invoice'!AA$2:AA$401,$AH214)="","",INDEX('Per Invoice'!AA$2:AA$401,$AH214)))</f>
        <v/>
      </c>
      <c r="AB214" s="7">
        <f>IF($AH214="","",IF(INDEX('Per Invoice'!AB$2:AB$401,$AH214)="","",INDEX('Per Invoice'!AB$2:AB$401,$AH214)))</f>
        <v/>
      </c>
      <c r="AC214" s="7">
        <f>IF($AH214="","",IF(INDEX('Per Invoice'!AC$2:AC$401,$AH214)="","",INDEX('Per Invoice'!AC$2:AC$401,$AH214)))</f>
        <v/>
      </c>
      <c r="AD214" s="7">
        <f>IF($AH214="","",IF(INDEX('Per Invoice'!AD$2:AD$401,$AH214)="","",INDEX('Per Invoice'!AD$2:AD$401,$AH214)))</f>
        <v/>
      </c>
      <c r="AE214" s="7">
        <f>IF($AH214="","",IF(INDEX('Per Invoice'!AE$2:AE$401,$AH214)="","",INDEX('Per Invoice'!AE$2:AE$401,$AH214)))</f>
        <v/>
      </c>
      <c r="AF214">
        <f>IF($AH214="","",IF(INDEX('Per Invoice'!AF$2:AF$401,$AH214)="","",INDEX('Per Invoice'!AF$2:AF$401,$AH214)))</f>
        <v/>
      </c>
      <c r="AG214" s="7">
        <f>IF($AH214="","",IF(INDEX('Per Invoice'!AG$2:AG$401,$AH214)="","",INDEX('Per Invoice'!AG$2:AG$401,$AH214)))</f>
        <v/>
      </c>
      <c r="AH214" s="16">
        <f>IFERROR(MATCH(Settings!$C$27&amp;"|"&amp;ROWS($AH$2:$AH214),'Per Invoice'!$AI$2:$AI$401,0),"")</f>
        <v/>
      </c>
    </row>
    <row r="215">
      <c r="A215">
        <f>IF($AH215="","",IF(INDEX('Per Invoice'!A$2:A$401,$AH215)="","",INDEX('Per Invoice'!A$2:A$401,$AH215)))</f>
        <v/>
      </c>
      <c r="B215">
        <f>IF($AH215="","",IF(INDEX('Per Invoice'!B$2:B$401,$AH215)="","",INDEX('Per Invoice'!B$2:B$401,$AH215)))</f>
        <v/>
      </c>
      <c r="C215">
        <f>IF($AH215="","",IF(INDEX('Per Invoice'!C$2:C$401,$AH215)="","",INDEX('Per Invoice'!C$2:C$401,$AH215)))</f>
        <v/>
      </c>
      <c r="D215">
        <f>IF($AH215="","",IF(INDEX('Per Invoice'!D$2:D$401,$AH215)="","",INDEX('Per Invoice'!D$2:D$401,$AH215)))</f>
        <v/>
      </c>
      <c r="E215">
        <f>IF($AH215="","",IF(INDEX('Per Invoice'!E$2:E$401,$AH215)="","",INDEX('Per Invoice'!E$2:E$401,$AH215)))</f>
        <v/>
      </c>
      <c r="F215">
        <f>IF($AH215="","",IF(INDEX('Per Invoice'!F$2:F$401,$AH215)="","",INDEX('Per Invoice'!F$2:F$401,$AH215)))</f>
        <v/>
      </c>
      <c r="G215">
        <f>IF($AH215="","",IF(INDEX('Per Invoice'!G$2:G$401,$AH215)="","",INDEX('Per Invoice'!G$2:G$401,$AH215)))</f>
        <v/>
      </c>
      <c r="H215">
        <f>IF($AH215="","",IF(INDEX('Per Invoice'!H$2:H$401,$AH215)="","",INDEX('Per Invoice'!H$2:H$401,$AH215)))</f>
        <v/>
      </c>
      <c r="I215" s="14">
        <f>IF($AH215="","",IF(INDEX('Per Invoice'!I$2:I$401,$AH215)="","",INDEX('Per Invoice'!I$2:I$401,$AH215)))</f>
        <v/>
      </c>
      <c r="J215">
        <f>IF($AH215="","",IF(INDEX('Per Invoice'!J$2:J$401,$AH215)="","",INDEX('Per Invoice'!J$2:J$401,$AH215)))</f>
        <v/>
      </c>
      <c r="K215">
        <f>IF($AH215="","",IF(INDEX('Per Invoice'!K$2:K$401,$AH215)="","",INDEX('Per Invoice'!K$2:K$401,$AH215)))</f>
        <v/>
      </c>
      <c r="L215">
        <f>IF($AH215="","",IF(INDEX('Per Invoice'!L$2:L$401,$AH215)="","",INDEX('Per Invoice'!L$2:L$401,$AH215)))</f>
        <v/>
      </c>
      <c r="M215">
        <f>IF($AH215="","",IF(INDEX('Per Invoice'!M$2:M$401,$AH215)="","",INDEX('Per Invoice'!M$2:M$401,$AH215)))</f>
        <v/>
      </c>
      <c r="N215">
        <f>IF($AH215="","",IF(INDEX('Per Invoice'!N$2:N$401,$AH215)="","",INDEX('Per Invoice'!N$2:N$401,$AH215)))</f>
        <v/>
      </c>
      <c r="O215">
        <f>IF($AH215="","",IF(INDEX('Per Invoice'!O$2:O$401,$AH215)="","",INDEX('Per Invoice'!O$2:O$401,$AH215)))</f>
        <v/>
      </c>
      <c r="P215" s="7">
        <f>IF($AH215="","",IF(INDEX('Per Invoice'!P$2:P$401,$AH215)="","",INDEX('Per Invoice'!P$2:P$401,$AH215)))</f>
        <v/>
      </c>
      <c r="Q215">
        <f>IF($AH215="","",IF(INDEX('Per Invoice'!Q$2:Q$401,$AH215)="","",INDEX('Per Invoice'!Q$2:Q$401,$AH215)))</f>
        <v/>
      </c>
      <c r="R215">
        <f>IF($AH215="","",IF(INDEX('Per Invoice'!R$2:R$401,$AH215)="","",INDEX('Per Invoice'!R$2:R$401,$AH215)))</f>
        <v/>
      </c>
      <c r="S215">
        <f>IF($AH215="","",IF(INDEX('Per Invoice'!S$2:S$401,$AH215)="","",INDEX('Per Invoice'!S$2:S$401,$AH215)))</f>
        <v/>
      </c>
      <c r="T215" s="7">
        <f>IF($AH215="","",IF(INDEX('Per Invoice'!T$2:T$401,$AH215)="","",INDEX('Per Invoice'!T$2:T$401,$AH215)))</f>
        <v/>
      </c>
      <c r="U215" s="7">
        <f>IF($AH215="","",IF(INDEX('Per Invoice'!U$2:U$401,$AH215)="","",INDEX('Per Invoice'!U$2:U$401,$AH215)))</f>
        <v/>
      </c>
      <c r="V215">
        <f>IF($AH215="","",IF(INDEX('Per Invoice'!V$2:V$401,$AH215)="","",INDEX('Per Invoice'!V$2:V$401,$AH215)))</f>
        <v/>
      </c>
      <c r="W215" s="7">
        <f>IF($AH215="","",IF(INDEX('Per Invoice'!W$2:W$401,$AH215)="","",INDEX('Per Invoice'!W$2:W$401,$AH215)))</f>
        <v/>
      </c>
      <c r="X215" s="7">
        <f>IF($AH215="","",IF(INDEX('Per Invoice'!X$2:X$401,$AH215)="","",INDEX('Per Invoice'!X$2:X$401,$AH215)))</f>
        <v/>
      </c>
      <c r="Y215">
        <f>IF($AH215="","",IF(INDEX('Per Invoice'!Y$2:Y$401,$AH215)="","",INDEX('Per Invoice'!Y$2:Y$401,$AH215)))</f>
        <v/>
      </c>
      <c r="Z215" s="7">
        <f>IF($AH215="","",IF(INDEX('Per Invoice'!Z$2:Z$401,$AH215)="","",INDEX('Per Invoice'!Z$2:Z$401,$AH215)))</f>
        <v/>
      </c>
      <c r="AA215" s="7">
        <f>IF($AH215="","",IF(INDEX('Per Invoice'!AA$2:AA$401,$AH215)="","",INDEX('Per Invoice'!AA$2:AA$401,$AH215)))</f>
        <v/>
      </c>
      <c r="AB215" s="7">
        <f>IF($AH215="","",IF(INDEX('Per Invoice'!AB$2:AB$401,$AH215)="","",INDEX('Per Invoice'!AB$2:AB$401,$AH215)))</f>
        <v/>
      </c>
      <c r="AC215" s="7">
        <f>IF($AH215="","",IF(INDEX('Per Invoice'!AC$2:AC$401,$AH215)="","",INDEX('Per Invoice'!AC$2:AC$401,$AH215)))</f>
        <v/>
      </c>
      <c r="AD215" s="7">
        <f>IF($AH215="","",IF(INDEX('Per Invoice'!AD$2:AD$401,$AH215)="","",INDEX('Per Invoice'!AD$2:AD$401,$AH215)))</f>
        <v/>
      </c>
      <c r="AE215" s="7">
        <f>IF($AH215="","",IF(INDEX('Per Invoice'!AE$2:AE$401,$AH215)="","",INDEX('Per Invoice'!AE$2:AE$401,$AH215)))</f>
        <v/>
      </c>
      <c r="AF215">
        <f>IF($AH215="","",IF(INDEX('Per Invoice'!AF$2:AF$401,$AH215)="","",INDEX('Per Invoice'!AF$2:AF$401,$AH215)))</f>
        <v/>
      </c>
      <c r="AG215" s="7">
        <f>IF($AH215="","",IF(INDEX('Per Invoice'!AG$2:AG$401,$AH215)="","",INDEX('Per Invoice'!AG$2:AG$401,$AH215)))</f>
        <v/>
      </c>
      <c r="AH215" s="16">
        <f>IFERROR(MATCH(Settings!$C$27&amp;"|"&amp;ROWS($AH$2:$AH215),'Per Invoice'!$AI$2:$AI$401,0),"")</f>
        <v/>
      </c>
    </row>
    <row r="216">
      <c r="A216">
        <f>IF($AH216="","",IF(INDEX('Per Invoice'!A$2:A$401,$AH216)="","",INDEX('Per Invoice'!A$2:A$401,$AH216)))</f>
        <v/>
      </c>
      <c r="B216">
        <f>IF($AH216="","",IF(INDEX('Per Invoice'!B$2:B$401,$AH216)="","",INDEX('Per Invoice'!B$2:B$401,$AH216)))</f>
        <v/>
      </c>
      <c r="C216">
        <f>IF($AH216="","",IF(INDEX('Per Invoice'!C$2:C$401,$AH216)="","",INDEX('Per Invoice'!C$2:C$401,$AH216)))</f>
        <v/>
      </c>
      <c r="D216">
        <f>IF($AH216="","",IF(INDEX('Per Invoice'!D$2:D$401,$AH216)="","",INDEX('Per Invoice'!D$2:D$401,$AH216)))</f>
        <v/>
      </c>
      <c r="E216">
        <f>IF($AH216="","",IF(INDEX('Per Invoice'!E$2:E$401,$AH216)="","",INDEX('Per Invoice'!E$2:E$401,$AH216)))</f>
        <v/>
      </c>
      <c r="F216">
        <f>IF($AH216="","",IF(INDEX('Per Invoice'!F$2:F$401,$AH216)="","",INDEX('Per Invoice'!F$2:F$401,$AH216)))</f>
        <v/>
      </c>
      <c r="G216">
        <f>IF($AH216="","",IF(INDEX('Per Invoice'!G$2:G$401,$AH216)="","",INDEX('Per Invoice'!G$2:G$401,$AH216)))</f>
        <v/>
      </c>
      <c r="H216">
        <f>IF($AH216="","",IF(INDEX('Per Invoice'!H$2:H$401,$AH216)="","",INDEX('Per Invoice'!H$2:H$401,$AH216)))</f>
        <v/>
      </c>
      <c r="I216" s="14">
        <f>IF($AH216="","",IF(INDEX('Per Invoice'!I$2:I$401,$AH216)="","",INDEX('Per Invoice'!I$2:I$401,$AH216)))</f>
        <v/>
      </c>
      <c r="J216">
        <f>IF($AH216="","",IF(INDEX('Per Invoice'!J$2:J$401,$AH216)="","",INDEX('Per Invoice'!J$2:J$401,$AH216)))</f>
        <v/>
      </c>
      <c r="K216">
        <f>IF($AH216="","",IF(INDEX('Per Invoice'!K$2:K$401,$AH216)="","",INDEX('Per Invoice'!K$2:K$401,$AH216)))</f>
        <v/>
      </c>
      <c r="L216">
        <f>IF($AH216="","",IF(INDEX('Per Invoice'!L$2:L$401,$AH216)="","",INDEX('Per Invoice'!L$2:L$401,$AH216)))</f>
        <v/>
      </c>
      <c r="M216">
        <f>IF($AH216="","",IF(INDEX('Per Invoice'!M$2:M$401,$AH216)="","",INDEX('Per Invoice'!M$2:M$401,$AH216)))</f>
        <v/>
      </c>
      <c r="N216">
        <f>IF($AH216="","",IF(INDEX('Per Invoice'!N$2:N$401,$AH216)="","",INDEX('Per Invoice'!N$2:N$401,$AH216)))</f>
        <v/>
      </c>
      <c r="O216">
        <f>IF($AH216="","",IF(INDEX('Per Invoice'!O$2:O$401,$AH216)="","",INDEX('Per Invoice'!O$2:O$401,$AH216)))</f>
        <v/>
      </c>
      <c r="P216" s="7">
        <f>IF($AH216="","",IF(INDEX('Per Invoice'!P$2:P$401,$AH216)="","",INDEX('Per Invoice'!P$2:P$401,$AH216)))</f>
        <v/>
      </c>
      <c r="Q216">
        <f>IF($AH216="","",IF(INDEX('Per Invoice'!Q$2:Q$401,$AH216)="","",INDEX('Per Invoice'!Q$2:Q$401,$AH216)))</f>
        <v/>
      </c>
      <c r="R216">
        <f>IF($AH216="","",IF(INDEX('Per Invoice'!R$2:R$401,$AH216)="","",INDEX('Per Invoice'!R$2:R$401,$AH216)))</f>
        <v/>
      </c>
      <c r="S216">
        <f>IF($AH216="","",IF(INDEX('Per Invoice'!S$2:S$401,$AH216)="","",INDEX('Per Invoice'!S$2:S$401,$AH216)))</f>
        <v/>
      </c>
      <c r="T216" s="7">
        <f>IF($AH216="","",IF(INDEX('Per Invoice'!T$2:T$401,$AH216)="","",INDEX('Per Invoice'!T$2:T$401,$AH216)))</f>
        <v/>
      </c>
      <c r="U216" s="7">
        <f>IF($AH216="","",IF(INDEX('Per Invoice'!U$2:U$401,$AH216)="","",INDEX('Per Invoice'!U$2:U$401,$AH216)))</f>
        <v/>
      </c>
      <c r="V216">
        <f>IF($AH216="","",IF(INDEX('Per Invoice'!V$2:V$401,$AH216)="","",INDEX('Per Invoice'!V$2:V$401,$AH216)))</f>
        <v/>
      </c>
      <c r="W216" s="7">
        <f>IF($AH216="","",IF(INDEX('Per Invoice'!W$2:W$401,$AH216)="","",INDEX('Per Invoice'!W$2:W$401,$AH216)))</f>
        <v/>
      </c>
      <c r="X216" s="7">
        <f>IF($AH216="","",IF(INDEX('Per Invoice'!X$2:X$401,$AH216)="","",INDEX('Per Invoice'!X$2:X$401,$AH216)))</f>
        <v/>
      </c>
      <c r="Y216">
        <f>IF($AH216="","",IF(INDEX('Per Invoice'!Y$2:Y$401,$AH216)="","",INDEX('Per Invoice'!Y$2:Y$401,$AH216)))</f>
        <v/>
      </c>
      <c r="Z216" s="7">
        <f>IF($AH216="","",IF(INDEX('Per Invoice'!Z$2:Z$401,$AH216)="","",INDEX('Per Invoice'!Z$2:Z$401,$AH216)))</f>
        <v/>
      </c>
      <c r="AA216" s="7">
        <f>IF($AH216="","",IF(INDEX('Per Invoice'!AA$2:AA$401,$AH216)="","",INDEX('Per Invoice'!AA$2:AA$401,$AH216)))</f>
        <v/>
      </c>
      <c r="AB216" s="7">
        <f>IF($AH216="","",IF(INDEX('Per Invoice'!AB$2:AB$401,$AH216)="","",INDEX('Per Invoice'!AB$2:AB$401,$AH216)))</f>
        <v/>
      </c>
      <c r="AC216" s="7">
        <f>IF($AH216="","",IF(INDEX('Per Invoice'!AC$2:AC$401,$AH216)="","",INDEX('Per Invoice'!AC$2:AC$401,$AH216)))</f>
        <v/>
      </c>
      <c r="AD216" s="7">
        <f>IF($AH216="","",IF(INDEX('Per Invoice'!AD$2:AD$401,$AH216)="","",INDEX('Per Invoice'!AD$2:AD$401,$AH216)))</f>
        <v/>
      </c>
      <c r="AE216" s="7">
        <f>IF($AH216="","",IF(INDEX('Per Invoice'!AE$2:AE$401,$AH216)="","",INDEX('Per Invoice'!AE$2:AE$401,$AH216)))</f>
        <v/>
      </c>
      <c r="AF216">
        <f>IF($AH216="","",IF(INDEX('Per Invoice'!AF$2:AF$401,$AH216)="","",INDEX('Per Invoice'!AF$2:AF$401,$AH216)))</f>
        <v/>
      </c>
      <c r="AG216" s="7">
        <f>IF($AH216="","",IF(INDEX('Per Invoice'!AG$2:AG$401,$AH216)="","",INDEX('Per Invoice'!AG$2:AG$401,$AH216)))</f>
        <v/>
      </c>
      <c r="AH216" s="16">
        <f>IFERROR(MATCH(Settings!$C$27&amp;"|"&amp;ROWS($AH$2:$AH216),'Per Invoice'!$AI$2:$AI$401,0),"")</f>
        <v/>
      </c>
    </row>
    <row r="217">
      <c r="A217">
        <f>IF($AH217="","",IF(INDEX('Per Invoice'!A$2:A$401,$AH217)="","",INDEX('Per Invoice'!A$2:A$401,$AH217)))</f>
        <v/>
      </c>
      <c r="B217">
        <f>IF($AH217="","",IF(INDEX('Per Invoice'!B$2:B$401,$AH217)="","",INDEX('Per Invoice'!B$2:B$401,$AH217)))</f>
        <v/>
      </c>
      <c r="C217">
        <f>IF($AH217="","",IF(INDEX('Per Invoice'!C$2:C$401,$AH217)="","",INDEX('Per Invoice'!C$2:C$401,$AH217)))</f>
        <v/>
      </c>
      <c r="D217">
        <f>IF($AH217="","",IF(INDEX('Per Invoice'!D$2:D$401,$AH217)="","",INDEX('Per Invoice'!D$2:D$401,$AH217)))</f>
        <v/>
      </c>
      <c r="E217">
        <f>IF($AH217="","",IF(INDEX('Per Invoice'!E$2:E$401,$AH217)="","",INDEX('Per Invoice'!E$2:E$401,$AH217)))</f>
        <v/>
      </c>
      <c r="F217">
        <f>IF($AH217="","",IF(INDEX('Per Invoice'!F$2:F$401,$AH217)="","",INDEX('Per Invoice'!F$2:F$401,$AH217)))</f>
        <v/>
      </c>
      <c r="G217">
        <f>IF($AH217="","",IF(INDEX('Per Invoice'!G$2:G$401,$AH217)="","",INDEX('Per Invoice'!G$2:G$401,$AH217)))</f>
        <v/>
      </c>
      <c r="H217">
        <f>IF($AH217="","",IF(INDEX('Per Invoice'!H$2:H$401,$AH217)="","",INDEX('Per Invoice'!H$2:H$401,$AH217)))</f>
        <v/>
      </c>
      <c r="I217" s="14">
        <f>IF($AH217="","",IF(INDEX('Per Invoice'!I$2:I$401,$AH217)="","",INDEX('Per Invoice'!I$2:I$401,$AH217)))</f>
        <v/>
      </c>
      <c r="J217">
        <f>IF($AH217="","",IF(INDEX('Per Invoice'!J$2:J$401,$AH217)="","",INDEX('Per Invoice'!J$2:J$401,$AH217)))</f>
        <v/>
      </c>
      <c r="K217">
        <f>IF($AH217="","",IF(INDEX('Per Invoice'!K$2:K$401,$AH217)="","",INDEX('Per Invoice'!K$2:K$401,$AH217)))</f>
        <v/>
      </c>
      <c r="L217">
        <f>IF($AH217="","",IF(INDEX('Per Invoice'!L$2:L$401,$AH217)="","",INDEX('Per Invoice'!L$2:L$401,$AH217)))</f>
        <v/>
      </c>
      <c r="M217">
        <f>IF($AH217="","",IF(INDEX('Per Invoice'!M$2:M$401,$AH217)="","",INDEX('Per Invoice'!M$2:M$401,$AH217)))</f>
        <v/>
      </c>
      <c r="N217">
        <f>IF($AH217="","",IF(INDEX('Per Invoice'!N$2:N$401,$AH217)="","",INDEX('Per Invoice'!N$2:N$401,$AH217)))</f>
        <v/>
      </c>
      <c r="O217">
        <f>IF($AH217="","",IF(INDEX('Per Invoice'!O$2:O$401,$AH217)="","",INDEX('Per Invoice'!O$2:O$401,$AH217)))</f>
        <v/>
      </c>
      <c r="P217" s="7">
        <f>IF($AH217="","",IF(INDEX('Per Invoice'!P$2:P$401,$AH217)="","",INDEX('Per Invoice'!P$2:P$401,$AH217)))</f>
        <v/>
      </c>
      <c r="Q217">
        <f>IF($AH217="","",IF(INDEX('Per Invoice'!Q$2:Q$401,$AH217)="","",INDEX('Per Invoice'!Q$2:Q$401,$AH217)))</f>
        <v/>
      </c>
      <c r="R217">
        <f>IF($AH217="","",IF(INDEX('Per Invoice'!R$2:R$401,$AH217)="","",INDEX('Per Invoice'!R$2:R$401,$AH217)))</f>
        <v/>
      </c>
      <c r="S217">
        <f>IF($AH217="","",IF(INDEX('Per Invoice'!S$2:S$401,$AH217)="","",INDEX('Per Invoice'!S$2:S$401,$AH217)))</f>
        <v/>
      </c>
      <c r="T217" s="7">
        <f>IF($AH217="","",IF(INDEX('Per Invoice'!T$2:T$401,$AH217)="","",INDEX('Per Invoice'!T$2:T$401,$AH217)))</f>
        <v/>
      </c>
      <c r="U217" s="7">
        <f>IF($AH217="","",IF(INDEX('Per Invoice'!U$2:U$401,$AH217)="","",INDEX('Per Invoice'!U$2:U$401,$AH217)))</f>
        <v/>
      </c>
      <c r="V217">
        <f>IF($AH217="","",IF(INDEX('Per Invoice'!V$2:V$401,$AH217)="","",INDEX('Per Invoice'!V$2:V$401,$AH217)))</f>
        <v/>
      </c>
      <c r="W217" s="7">
        <f>IF($AH217="","",IF(INDEX('Per Invoice'!W$2:W$401,$AH217)="","",INDEX('Per Invoice'!W$2:W$401,$AH217)))</f>
        <v/>
      </c>
      <c r="X217" s="7">
        <f>IF($AH217="","",IF(INDEX('Per Invoice'!X$2:X$401,$AH217)="","",INDEX('Per Invoice'!X$2:X$401,$AH217)))</f>
        <v/>
      </c>
      <c r="Y217">
        <f>IF($AH217="","",IF(INDEX('Per Invoice'!Y$2:Y$401,$AH217)="","",INDEX('Per Invoice'!Y$2:Y$401,$AH217)))</f>
        <v/>
      </c>
      <c r="Z217" s="7">
        <f>IF($AH217="","",IF(INDEX('Per Invoice'!Z$2:Z$401,$AH217)="","",INDEX('Per Invoice'!Z$2:Z$401,$AH217)))</f>
        <v/>
      </c>
      <c r="AA217" s="7">
        <f>IF($AH217="","",IF(INDEX('Per Invoice'!AA$2:AA$401,$AH217)="","",INDEX('Per Invoice'!AA$2:AA$401,$AH217)))</f>
        <v/>
      </c>
      <c r="AB217" s="7">
        <f>IF($AH217="","",IF(INDEX('Per Invoice'!AB$2:AB$401,$AH217)="","",INDEX('Per Invoice'!AB$2:AB$401,$AH217)))</f>
        <v/>
      </c>
      <c r="AC217" s="7">
        <f>IF($AH217="","",IF(INDEX('Per Invoice'!AC$2:AC$401,$AH217)="","",INDEX('Per Invoice'!AC$2:AC$401,$AH217)))</f>
        <v/>
      </c>
      <c r="AD217" s="7">
        <f>IF($AH217="","",IF(INDEX('Per Invoice'!AD$2:AD$401,$AH217)="","",INDEX('Per Invoice'!AD$2:AD$401,$AH217)))</f>
        <v/>
      </c>
      <c r="AE217" s="7">
        <f>IF($AH217="","",IF(INDEX('Per Invoice'!AE$2:AE$401,$AH217)="","",INDEX('Per Invoice'!AE$2:AE$401,$AH217)))</f>
        <v/>
      </c>
      <c r="AF217">
        <f>IF($AH217="","",IF(INDEX('Per Invoice'!AF$2:AF$401,$AH217)="","",INDEX('Per Invoice'!AF$2:AF$401,$AH217)))</f>
        <v/>
      </c>
      <c r="AG217" s="7">
        <f>IF($AH217="","",IF(INDEX('Per Invoice'!AG$2:AG$401,$AH217)="","",INDEX('Per Invoice'!AG$2:AG$401,$AH217)))</f>
        <v/>
      </c>
      <c r="AH217" s="16">
        <f>IFERROR(MATCH(Settings!$C$27&amp;"|"&amp;ROWS($AH$2:$AH217),'Per Invoice'!$AI$2:$AI$401,0),"")</f>
        <v/>
      </c>
    </row>
    <row r="218">
      <c r="A218">
        <f>IF($AH218="","",IF(INDEX('Per Invoice'!A$2:A$401,$AH218)="","",INDEX('Per Invoice'!A$2:A$401,$AH218)))</f>
        <v/>
      </c>
      <c r="B218">
        <f>IF($AH218="","",IF(INDEX('Per Invoice'!B$2:B$401,$AH218)="","",INDEX('Per Invoice'!B$2:B$401,$AH218)))</f>
        <v/>
      </c>
      <c r="C218">
        <f>IF($AH218="","",IF(INDEX('Per Invoice'!C$2:C$401,$AH218)="","",INDEX('Per Invoice'!C$2:C$401,$AH218)))</f>
        <v/>
      </c>
      <c r="D218">
        <f>IF($AH218="","",IF(INDEX('Per Invoice'!D$2:D$401,$AH218)="","",INDEX('Per Invoice'!D$2:D$401,$AH218)))</f>
        <v/>
      </c>
      <c r="E218">
        <f>IF($AH218="","",IF(INDEX('Per Invoice'!E$2:E$401,$AH218)="","",INDEX('Per Invoice'!E$2:E$401,$AH218)))</f>
        <v/>
      </c>
      <c r="F218">
        <f>IF($AH218="","",IF(INDEX('Per Invoice'!F$2:F$401,$AH218)="","",INDEX('Per Invoice'!F$2:F$401,$AH218)))</f>
        <v/>
      </c>
      <c r="G218">
        <f>IF($AH218="","",IF(INDEX('Per Invoice'!G$2:G$401,$AH218)="","",INDEX('Per Invoice'!G$2:G$401,$AH218)))</f>
        <v/>
      </c>
      <c r="H218">
        <f>IF($AH218="","",IF(INDEX('Per Invoice'!H$2:H$401,$AH218)="","",INDEX('Per Invoice'!H$2:H$401,$AH218)))</f>
        <v/>
      </c>
      <c r="I218" s="14">
        <f>IF($AH218="","",IF(INDEX('Per Invoice'!I$2:I$401,$AH218)="","",INDEX('Per Invoice'!I$2:I$401,$AH218)))</f>
        <v/>
      </c>
      <c r="J218">
        <f>IF($AH218="","",IF(INDEX('Per Invoice'!J$2:J$401,$AH218)="","",INDEX('Per Invoice'!J$2:J$401,$AH218)))</f>
        <v/>
      </c>
      <c r="K218">
        <f>IF($AH218="","",IF(INDEX('Per Invoice'!K$2:K$401,$AH218)="","",INDEX('Per Invoice'!K$2:K$401,$AH218)))</f>
        <v/>
      </c>
      <c r="L218">
        <f>IF($AH218="","",IF(INDEX('Per Invoice'!L$2:L$401,$AH218)="","",INDEX('Per Invoice'!L$2:L$401,$AH218)))</f>
        <v/>
      </c>
      <c r="M218">
        <f>IF($AH218="","",IF(INDEX('Per Invoice'!M$2:M$401,$AH218)="","",INDEX('Per Invoice'!M$2:M$401,$AH218)))</f>
        <v/>
      </c>
      <c r="N218">
        <f>IF($AH218="","",IF(INDEX('Per Invoice'!N$2:N$401,$AH218)="","",INDEX('Per Invoice'!N$2:N$401,$AH218)))</f>
        <v/>
      </c>
      <c r="O218">
        <f>IF($AH218="","",IF(INDEX('Per Invoice'!O$2:O$401,$AH218)="","",INDEX('Per Invoice'!O$2:O$401,$AH218)))</f>
        <v/>
      </c>
      <c r="P218" s="7">
        <f>IF($AH218="","",IF(INDEX('Per Invoice'!P$2:P$401,$AH218)="","",INDEX('Per Invoice'!P$2:P$401,$AH218)))</f>
        <v/>
      </c>
      <c r="Q218">
        <f>IF($AH218="","",IF(INDEX('Per Invoice'!Q$2:Q$401,$AH218)="","",INDEX('Per Invoice'!Q$2:Q$401,$AH218)))</f>
        <v/>
      </c>
      <c r="R218">
        <f>IF($AH218="","",IF(INDEX('Per Invoice'!R$2:R$401,$AH218)="","",INDEX('Per Invoice'!R$2:R$401,$AH218)))</f>
        <v/>
      </c>
      <c r="S218">
        <f>IF($AH218="","",IF(INDEX('Per Invoice'!S$2:S$401,$AH218)="","",INDEX('Per Invoice'!S$2:S$401,$AH218)))</f>
        <v/>
      </c>
      <c r="T218" s="7">
        <f>IF($AH218="","",IF(INDEX('Per Invoice'!T$2:T$401,$AH218)="","",INDEX('Per Invoice'!T$2:T$401,$AH218)))</f>
        <v/>
      </c>
      <c r="U218" s="7">
        <f>IF($AH218="","",IF(INDEX('Per Invoice'!U$2:U$401,$AH218)="","",INDEX('Per Invoice'!U$2:U$401,$AH218)))</f>
        <v/>
      </c>
      <c r="V218">
        <f>IF($AH218="","",IF(INDEX('Per Invoice'!V$2:V$401,$AH218)="","",INDEX('Per Invoice'!V$2:V$401,$AH218)))</f>
        <v/>
      </c>
      <c r="W218" s="7">
        <f>IF($AH218="","",IF(INDEX('Per Invoice'!W$2:W$401,$AH218)="","",INDEX('Per Invoice'!W$2:W$401,$AH218)))</f>
        <v/>
      </c>
      <c r="X218" s="7">
        <f>IF($AH218="","",IF(INDEX('Per Invoice'!X$2:X$401,$AH218)="","",INDEX('Per Invoice'!X$2:X$401,$AH218)))</f>
        <v/>
      </c>
      <c r="Y218">
        <f>IF($AH218="","",IF(INDEX('Per Invoice'!Y$2:Y$401,$AH218)="","",INDEX('Per Invoice'!Y$2:Y$401,$AH218)))</f>
        <v/>
      </c>
      <c r="Z218" s="7">
        <f>IF($AH218="","",IF(INDEX('Per Invoice'!Z$2:Z$401,$AH218)="","",INDEX('Per Invoice'!Z$2:Z$401,$AH218)))</f>
        <v/>
      </c>
      <c r="AA218" s="7">
        <f>IF($AH218="","",IF(INDEX('Per Invoice'!AA$2:AA$401,$AH218)="","",INDEX('Per Invoice'!AA$2:AA$401,$AH218)))</f>
        <v/>
      </c>
      <c r="AB218" s="7">
        <f>IF($AH218="","",IF(INDEX('Per Invoice'!AB$2:AB$401,$AH218)="","",INDEX('Per Invoice'!AB$2:AB$401,$AH218)))</f>
        <v/>
      </c>
      <c r="AC218" s="7">
        <f>IF($AH218="","",IF(INDEX('Per Invoice'!AC$2:AC$401,$AH218)="","",INDEX('Per Invoice'!AC$2:AC$401,$AH218)))</f>
        <v/>
      </c>
      <c r="AD218" s="7">
        <f>IF($AH218="","",IF(INDEX('Per Invoice'!AD$2:AD$401,$AH218)="","",INDEX('Per Invoice'!AD$2:AD$401,$AH218)))</f>
        <v/>
      </c>
      <c r="AE218" s="7">
        <f>IF($AH218="","",IF(INDEX('Per Invoice'!AE$2:AE$401,$AH218)="","",INDEX('Per Invoice'!AE$2:AE$401,$AH218)))</f>
        <v/>
      </c>
      <c r="AF218">
        <f>IF($AH218="","",IF(INDEX('Per Invoice'!AF$2:AF$401,$AH218)="","",INDEX('Per Invoice'!AF$2:AF$401,$AH218)))</f>
        <v/>
      </c>
      <c r="AG218" s="7">
        <f>IF($AH218="","",IF(INDEX('Per Invoice'!AG$2:AG$401,$AH218)="","",INDEX('Per Invoice'!AG$2:AG$401,$AH218)))</f>
        <v/>
      </c>
      <c r="AH218" s="16">
        <f>IFERROR(MATCH(Settings!$C$27&amp;"|"&amp;ROWS($AH$2:$AH218),'Per Invoice'!$AI$2:$AI$401,0),"")</f>
        <v/>
      </c>
    </row>
    <row r="219">
      <c r="A219">
        <f>IF($AH219="","",IF(INDEX('Per Invoice'!A$2:A$401,$AH219)="","",INDEX('Per Invoice'!A$2:A$401,$AH219)))</f>
        <v/>
      </c>
      <c r="B219">
        <f>IF($AH219="","",IF(INDEX('Per Invoice'!B$2:B$401,$AH219)="","",INDEX('Per Invoice'!B$2:B$401,$AH219)))</f>
        <v/>
      </c>
      <c r="C219">
        <f>IF($AH219="","",IF(INDEX('Per Invoice'!C$2:C$401,$AH219)="","",INDEX('Per Invoice'!C$2:C$401,$AH219)))</f>
        <v/>
      </c>
      <c r="D219">
        <f>IF($AH219="","",IF(INDEX('Per Invoice'!D$2:D$401,$AH219)="","",INDEX('Per Invoice'!D$2:D$401,$AH219)))</f>
        <v/>
      </c>
      <c r="E219">
        <f>IF($AH219="","",IF(INDEX('Per Invoice'!E$2:E$401,$AH219)="","",INDEX('Per Invoice'!E$2:E$401,$AH219)))</f>
        <v/>
      </c>
      <c r="F219">
        <f>IF($AH219="","",IF(INDEX('Per Invoice'!F$2:F$401,$AH219)="","",INDEX('Per Invoice'!F$2:F$401,$AH219)))</f>
        <v/>
      </c>
      <c r="G219">
        <f>IF($AH219="","",IF(INDEX('Per Invoice'!G$2:G$401,$AH219)="","",INDEX('Per Invoice'!G$2:G$401,$AH219)))</f>
        <v/>
      </c>
      <c r="H219">
        <f>IF($AH219="","",IF(INDEX('Per Invoice'!H$2:H$401,$AH219)="","",INDEX('Per Invoice'!H$2:H$401,$AH219)))</f>
        <v/>
      </c>
      <c r="I219" s="14">
        <f>IF($AH219="","",IF(INDEX('Per Invoice'!I$2:I$401,$AH219)="","",INDEX('Per Invoice'!I$2:I$401,$AH219)))</f>
        <v/>
      </c>
      <c r="J219">
        <f>IF($AH219="","",IF(INDEX('Per Invoice'!J$2:J$401,$AH219)="","",INDEX('Per Invoice'!J$2:J$401,$AH219)))</f>
        <v/>
      </c>
      <c r="K219">
        <f>IF($AH219="","",IF(INDEX('Per Invoice'!K$2:K$401,$AH219)="","",INDEX('Per Invoice'!K$2:K$401,$AH219)))</f>
        <v/>
      </c>
      <c r="L219">
        <f>IF($AH219="","",IF(INDEX('Per Invoice'!L$2:L$401,$AH219)="","",INDEX('Per Invoice'!L$2:L$401,$AH219)))</f>
        <v/>
      </c>
      <c r="M219">
        <f>IF($AH219="","",IF(INDEX('Per Invoice'!M$2:M$401,$AH219)="","",INDEX('Per Invoice'!M$2:M$401,$AH219)))</f>
        <v/>
      </c>
      <c r="N219">
        <f>IF($AH219="","",IF(INDEX('Per Invoice'!N$2:N$401,$AH219)="","",INDEX('Per Invoice'!N$2:N$401,$AH219)))</f>
        <v/>
      </c>
      <c r="O219">
        <f>IF($AH219="","",IF(INDEX('Per Invoice'!O$2:O$401,$AH219)="","",INDEX('Per Invoice'!O$2:O$401,$AH219)))</f>
        <v/>
      </c>
      <c r="P219" s="7">
        <f>IF($AH219="","",IF(INDEX('Per Invoice'!P$2:P$401,$AH219)="","",INDEX('Per Invoice'!P$2:P$401,$AH219)))</f>
        <v/>
      </c>
      <c r="Q219">
        <f>IF($AH219="","",IF(INDEX('Per Invoice'!Q$2:Q$401,$AH219)="","",INDEX('Per Invoice'!Q$2:Q$401,$AH219)))</f>
        <v/>
      </c>
      <c r="R219">
        <f>IF($AH219="","",IF(INDEX('Per Invoice'!R$2:R$401,$AH219)="","",INDEX('Per Invoice'!R$2:R$401,$AH219)))</f>
        <v/>
      </c>
      <c r="S219">
        <f>IF($AH219="","",IF(INDEX('Per Invoice'!S$2:S$401,$AH219)="","",INDEX('Per Invoice'!S$2:S$401,$AH219)))</f>
        <v/>
      </c>
      <c r="T219" s="7">
        <f>IF($AH219="","",IF(INDEX('Per Invoice'!T$2:T$401,$AH219)="","",INDEX('Per Invoice'!T$2:T$401,$AH219)))</f>
        <v/>
      </c>
      <c r="U219" s="7">
        <f>IF($AH219="","",IF(INDEX('Per Invoice'!U$2:U$401,$AH219)="","",INDEX('Per Invoice'!U$2:U$401,$AH219)))</f>
        <v/>
      </c>
      <c r="V219">
        <f>IF($AH219="","",IF(INDEX('Per Invoice'!V$2:V$401,$AH219)="","",INDEX('Per Invoice'!V$2:V$401,$AH219)))</f>
        <v/>
      </c>
      <c r="W219" s="7">
        <f>IF($AH219="","",IF(INDEX('Per Invoice'!W$2:W$401,$AH219)="","",INDEX('Per Invoice'!W$2:W$401,$AH219)))</f>
        <v/>
      </c>
      <c r="X219" s="7">
        <f>IF($AH219="","",IF(INDEX('Per Invoice'!X$2:X$401,$AH219)="","",INDEX('Per Invoice'!X$2:X$401,$AH219)))</f>
        <v/>
      </c>
      <c r="Y219">
        <f>IF($AH219="","",IF(INDEX('Per Invoice'!Y$2:Y$401,$AH219)="","",INDEX('Per Invoice'!Y$2:Y$401,$AH219)))</f>
        <v/>
      </c>
      <c r="Z219" s="7">
        <f>IF($AH219="","",IF(INDEX('Per Invoice'!Z$2:Z$401,$AH219)="","",INDEX('Per Invoice'!Z$2:Z$401,$AH219)))</f>
        <v/>
      </c>
      <c r="AA219" s="7">
        <f>IF($AH219="","",IF(INDEX('Per Invoice'!AA$2:AA$401,$AH219)="","",INDEX('Per Invoice'!AA$2:AA$401,$AH219)))</f>
        <v/>
      </c>
      <c r="AB219" s="7">
        <f>IF($AH219="","",IF(INDEX('Per Invoice'!AB$2:AB$401,$AH219)="","",INDEX('Per Invoice'!AB$2:AB$401,$AH219)))</f>
        <v/>
      </c>
      <c r="AC219" s="7">
        <f>IF($AH219="","",IF(INDEX('Per Invoice'!AC$2:AC$401,$AH219)="","",INDEX('Per Invoice'!AC$2:AC$401,$AH219)))</f>
        <v/>
      </c>
      <c r="AD219" s="7">
        <f>IF($AH219="","",IF(INDEX('Per Invoice'!AD$2:AD$401,$AH219)="","",INDEX('Per Invoice'!AD$2:AD$401,$AH219)))</f>
        <v/>
      </c>
      <c r="AE219" s="7">
        <f>IF($AH219="","",IF(INDEX('Per Invoice'!AE$2:AE$401,$AH219)="","",INDEX('Per Invoice'!AE$2:AE$401,$AH219)))</f>
        <v/>
      </c>
      <c r="AF219">
        <f>IF($AH219="","",IF(INDEX('Per Invoice'!AF$2:AF$401,$AH219)="","",INDEX('Per Invoice'!AF$2:AF$401,$AH219)))</f>
        <v/>
      </c>
      <c r="AG219" s="7">
        <f>IF($AH219="","",IF(INDEX('Per Invoice'!AG$2:AG$401,$AH219)="","",INDEX('Per Invoice'!AG$2:AG$401,$AH219)))</f>
        <v/>
      </c>
      <c r="AH219" s="16">
        <f>IFERROR(MATCH(Settings!$C$27&amp;"|"&amp;ROWS($AH$2:$AH219),'Per Invoice'!$AI$2:$AI$401,0),"")</f>
        <v/>
      </c>
    </row>
    <row r="220">
      <c r="A220">
        <f>IF($AH220="","",IF(INDEX('Per Invoice'!A$2:A$401,$AH220)="","",INDEX('Per Invoice'!A$2:A$401,$AH220)))</f>
        <v/>
      </c>
      <c r="B220">
        <f>IF($AH220="","",IF(INDEX('Per Invoice'!B$2:B$401,$AH220)="","",INDEX('Per Invoice'!B$2:B$401,$AH220)))</f>
        <v/>
      </c>
      <c r="C220">
        <f>IF($AH220="","",IF(INDEX('Per Invoice'!C$2:C$401,$AH220)="","",INDEX('Per Invoice'!C$2:C$401,$AH220)))</f>
        <v/>
      </c>
      <c r="D220">
        <f>IF($AH220="","",IF(INDEX('Per Invoice'!D$2:D$401,$AH220)="","",INDEX('Per Invoice'!D$2:D$401,$AH220)))</f>
        <v/>
      </c>
      <c r="E220">
        <f>IF($AH220="","",IF(INDEX('Per Invoice'!E$2:E$401,$AH220)="","",INDEX('Per Invoice'!E$2:E$401,$AH220)))</f>
        <v/>
      </c>
      <c r="F220">
        <f>IF($AH220="","",IF(INDEX('Per Invoice'!F$2:F$401,$AH220)="","",INDEX('Per Invoice'!F$2:F$401,$AH220)))</f>
        <v/>
      </c>
      <c r="G220">
        <f>IF($AH220="","",IF(INDEX('Per Invoice'!G$2:G$401,$AH220)="","",INDEX('Per Invoice'!G$2:G$401,$AH220)))</f>
        <v/>
      </c>
      <c r="H220">
        <f>IF($AH220="","",IF(INDEX('Per Invoice'!H$2:H$401,$AH220)="","",INDEX('Per Invoice'!H$2:H$401,$AH220)))</f>
        <v/>
      </c>
      <c r="I220" s="14">
        <f>IF($AH220="","",IF(INDEX('Per Invoice'!I$2:I$401,$AH220)="","",INDEX('Per Invoice'!I$2:I$401,$AH220)))</f>
        <v/>
      </c>
      <c r="J220">
        <f>IF($AH220="","",IF(INDEX('Per Invoice'!J$2:J$401,$AH220)="","",INDEX('Per Invoice'!J$2:J$401,$AH220)))</f>
        <v/>
      </c>
      <c r="K220">
        <f>IF($AH220="","",IF(INDEX('Per Invoice'!K$2:K$401,$AH220)="","",INDEX('Per Invoice'!K$2:K$401,$AH220)))</f>
        <v/>
      </c>
      <c r="L220">
        <f>IF($AH220="","",IF(INDEX('Per Invoice'!L$2:L$401,$AH220)="","",INDEX('Per Invoice'!L$2:L$401,$AH220)))</f>
        <v/>
      </c>
      <c r="M220">
        <f>IF($AH220="","",IF(INDEX('Per Invoice'!M$2:M$401,$AH220)="","",INDEX('Per Invoice'!M$2:M$401,$AH220)))</f>
        <v/>
      </c>
      <c r="N220">
        <f>IF($AH220="","",IF(INDEX('Per Invoice'!N$2:N$401,$AH220)="","",INDEX('Per Invoice'!N$2:N$401,$AH220)))</f>
        <v/>
      </c>
      <c r="O220">
        <f>IF($AH220="","",IF(INDEX('Per Invoice'!O$2:O$401,$AH220)="","",INDEX('Per Invoice'!O$2:O$401,$AH220)))</f>
        <v/>
      </c>
      <c r="P220" s="7">
        <f>IF($AH220="","",IF(INDEX('Per Invoice'!P$2:P$401,$AH220)="","",INDEX('Per Invoice'!P$2:P$401,$AH220)))</f>
        <v/>
      </c>
      <c r="Q220">
        <f>IF($AH220="","",IF(INDEX('Per Invoice'!Q$2:Q$401,$AH220)="","",INDEX('Per Invoice'!Q$2:Q$401,$AH220)))</f>
        <v/>
      </c>
      <c r="R220">
        <f>IF($AH220="","",IF(INDEX('Per Invoice'!R$2:R$401,$AH220)="","",INDEX('Per Invoice'!R$2:R$401,$AH220)))</f>
        <v/>
      </c>
      <c r="S220">
        <f>IF($AH220="","",IF(INDEX('Per Invoice'!S$2:S$401,$AH220)="","",INDEX('Per Invoice'!S$2:S$401,$AH220)))</f>
        <v/>
      </c>
      <c r="T220" s="7">
        <f>IF($AH220="","",IF(INDEX('Per Invoice'!T$2:T$401,$AH220)="","",INDEX('Per Invoice'!T$2:T$401,$AH220)))</f>
        <v/>
      </c>
      <c r="U220" s="7">
        <f>IF($AH220="","",IF(INDEX('Per Invoice'!U$2:U$401,$AH220)="","",INDEX('Per Invoice'!U$2:U$401,$AH220)))</f>
        <v/>
      </c>
      <c r="V220">
        <f>IF($AH220="","",IF(INDEX('Per Invoice'!V$2:V$401,$AH220)="","",INDEX('Per Invoice'!V$2:V$401,$AH220)))</f>
        <v/>
      </c>
      <c r="W220" s="7">
        <f>IF($AH220="","",IF(INDEX('Per Invoice'!W$2:W$401,$AH220)="","",INDEX('Per Invoice'!W$2:W$401,$AH220)))</f>
        <v/>
      </c>
      <c r="X220" s="7">
        <f>IF($AH220="","",IF(INDEX('Per Invoice'!X$2:X$401,$AH220)="","",INDEX('Per Invoice'!X$2:X$401,$AH220)))</f>
        <v/>
      </c>
      <c r="Y220">
        <f>IF($AH220="","",IF(INDEX('Per Invoice'!Y$2:Y$401,$AH220)="","",INDEX('Per Invoice'!Y$2:Y$401,$AH220)))</f>
        <v/>
      </c>
      <c r="Z220" s="7">
        <f>IF($AH220="","",IF(INDEX('Per Invoice'!Z$2:Z$401,$AH220)="","",INDEX('Per Invoice'!Z$2:Z$401,$AH220)))</f>
        <v/>
      </c>
      <c r="AA220" s="7">
        <f>IF($AH220="","",IF(INDEX('Per Invoice'!AA$2:AA$401,$AH220)="","",INDEX('Per Invoice'!AA$2:AA$401,$AH220)))</f>
        <v/>
      </c>
      <c r="AB220" s="7">
        <f>IF($AH220="","",IF(INDEX('Per Invoice'!AB$2:AB$401,$AH220)="","",INDEX('Per Invoice'!AB$2:AB$401,$AH220)))</f>
        <v/>
      </c>
      <c r="AC220" s="7">
        <f>IF($AH220="","",IF(INDEX('Per Invoice'!AC$2:AC$401,$AH220)="","",INDEX('Per Invoice'!AC$2:AC$401,$AH220)))</f>
        <v/>
      </c>
      <c r="AD220" s="7">
        <f>IF($AH220="","",IF(INDEX('Per Invoice'!AD$2:AD$401,$AH220)="","",INDEX('Per Invoice'!AD$2:AD$401,$AH220)))</f>
        <v/>
      </c>
      <c r="AE220" s="7">
        <f>IF($AH220="","",IF(INDEX('Per Invoice'!AE$2:AE$401,$AH220)="","",INDEX('Per Invoice'!AE$2:AE$401,$AH220)))</f>
        <v/>
      </c>
      <c r="AF220">
        <f>IF($AH220="","",IF(INDEX('Per Invoice'!AF$2:AF$401,$AH220)="","",INDEX('Per Invoice'!AF$2:AF$401,$AH220)))</f>
        <v/>
      </c>
      <c r="AG220" s="7">
        <f>IF($AH220="","",IF(INDEX('Per Invoice'!AG$2:AG$401,$AH220)="","",INDEX('Per Invoice'!AG$2:AG$401,$AH220)))</f>
        <v/>
      </c>
      <c r="AH220" s="16">
        <f>IFERROR(MATCH(Settings!$C$27&amp;"|"&amp;ROWS($AH$2:$AH220),'Per Invoice'!$AI$2:$AI$401,0),"")</f>
        <v/>
      </c>
    </row>
    <row r="221">
      <c r="A221">
        <f>IF($AH221="","",IF(INDEX('Per Invoice'!A$2:A$401,$AH221)="","",INDEX('Per Invoice'!A$2:A$401,$AH221)))</f>
        <v/>
      </c>
      <c r="B221">
        <f>IF($AH221="","",IF(INDEX('Per Invoice'!B$2:B$401,$AH221)="","",INDEX('Per Invoice'!B$2:B$401,$AH221)))</f>
        <v/>
      </c>
      <c r="C221">
        <f>IF($AH221="","",IF(INDEX('Per Invoice'!C$2:C$401,$AH221)="","",INDEX('Per Invoice'!C$2:C$401,$AH221)))</f>
        <v/>
      </c>
      <c r="D221">
        <f>IF($AH221="","",IF(INDEX('Per Invoice'!D$2:D$401,$AH221)="","",INDEX('Per Invoice'!D$2:D$401,$AH221)))</f>
        <v/>
      </c>
      <c r="E221">
        <f>IF($AH221="","",IF(INDEX('Per Invoice'!E$2:E$401,$AH221)="","",INDEX('Per Invoice'!E$2:E$401,$AH221)))</f>
        <v/>
      </c>
      <c r="F221">
        <f>IF($AH221="","",IF(INDEX('Per Invoice'!F$2:F$401,$AH221)="","",INDEX('Per Invoice'!F$2:F$401,$AH221)))</f>
        <v/>
      </c>
      <c r="G221">
        <f>IF($AH221="","",IF(INDEX('Per Invoice'!G$2:G$401,$AH221)="","",INDEX('Per Invoice'!G$2:G$401,$AH221)))</f>
        <v/>
      </c>
      <c r="H221">
        <f>IF($AH221="","",IF(INDEX('Per Invoice'!H$2:H$401,$AH221)="","",INDEX('Per Invoice'!H$2:H$401,$AH221)))</f>
        <v/>
      </c>
      <c r="I221" s="14">
        <f>IF($AH221="","",IF(INDEX('Per Invoice'!I$2:I$401,$AH221)="","",INDEX('Per Invoice'!I$2:I$401,$AH221)))</f>
        <v/>
      </c>
      <c r="J221">
        <f>IF($AH221="","",IF(INDEX('Per Invoice'!J$2:J$401,$AH221)="","",INDEX('Per Invoice'!J$2:J$401,$AH221)))</f>
        <v/>
      </c>
      <c r="K221">
        <f>IF($AH221="","",IF(INDEX('Per Invoice'!K$2:K$401,$AH221)="","",INDEX('Per Invoice'!K$2:K$401,$AH221)))</f>
        <v/>
      </c>
      <c r="L221">
        <f>IF($AH221="","",IF(INDEX('Per Invoice'!L$2:L$401,$AH221)="","",INDEX('Per Invoice'!L$2:L$401,$AH221)))</f>
        <v/>
      </c>
      <c r="M221">
        <f>IF($AH221="","",IF(INDEX('Per Invoice'!M$2:M$401,$AH221)="","",INDEX('Per Invoice'!M$2:M$401,$AH221)))</f>
        <v/>
      </c>
      <c r="N221">
        <f>IF($AH221="","",IF(INDEX('Per Invoice'!N$2:N$401,$AH221)="","",INDEX('Per Invoice'!N$2:N$401,$AH221)))</f>
        <v/>
      </c>
      <c r="O221">
        <f>IF($AH221="","",IF(INDEX('Per Invoice'!O$2:O$401,$AH221)="","",INDEX('Per Invoice'!O$2:O$401,$AH221)))</f>
        <v/>
      </c>
      <c r="P221" s="7">
        <f>IF($AH221="","",IF(INDEX('Per Invoice'!P$2:P$401,$AH221)="","",INDEX('Per Invoice'!P$2:P$401,$AH221)))</f>
        <v/>
      </c>
      <c r="Q221">
        <f>IF($AH221="","",IF(INDEX('Per Invoice'!Q$2:Q$401,$AH221)="","",INDEX('Per Invoice'!Q$2:Q$401,$AH221)))</f>
        <v/>
      </c>
      <c r="R221">
        <f>IF($AH221="","",IF(INDEX('Per Invoice'!R$2:R$401,$AH221)="","",INDEX('Per Invoice'!R$2:R$401,$AH221)))</f>
        <v/>
      </c>
      <c r="S221">
        <f>IF($AH221="","",IF(INDEX('Per Invoice'!S$2:S$401,$AH221)="","",INDEX('Per Invoice'!S$2:S$401,$AH221)))</f>
        <v/>
      </c>
      <c r="T221" s="7">
        <f>IF($AH221="","",IF(INDEX('Per Invoice'!T$2:T$401,$AH221)="","",INDEX('Per Invoice'!T$2:T$401,$AH221)))</f>
        <v/>
      </c>
      <c r="U221" s="7">
        <f>IF($AH221="","",IF(INDEX('Per Invoice'!U$2:U$401,$AH221)="","",INDEX('Per Invoice'!U$2:U$401,$AH221)))</f>
        <v/>
      </c>
      <c r="V221">
        <f>IF($AH221="","",IF(INDEX('Per Invoice'!V$2:V$401,$AH221)="","",INDEX('Per Invoice'!V$2:V$401,$AH221)))</f>
        <v/>
      </c>
      <c r="W221" s="7">
        <f>IF($AH221="","",IF(INDEX('Per Invoice'!W$2:W$401,$AH221)="","",INDEX('Per Invoice'!W$2:W$401,$AH221)))</f>
        <v/>
      </c>
      <c r="X221" s="7">
        <f>IF($AH221="","",IF(INDEX('Per Invoice'!X$2:X$401,$AH221)="","",INDEX('Per Invoice'!X$2:X$401,$AH221)))</f>
        <v/>
      </c>
      <c r="Y221">
        <f>IF($AH221="","",IF(INDEX('Per Invoice'!Y$2:Y$401,$AH221)="","",INDEX('Per Invoice'!Y$2:Y$401,$AH221)))</f>
        <v/>
      </c>
      <c r="Z221" s="7">
        <f>IF($AH221="","",IF(INDEX('Per Invoice'!Z$2:Z$401,$AH221)="","",INDEX('Per Invoice'!Z$2:Z$401,$AH221)))</f>
        <v/>
      </c>
      <c r="AA221" s="7">
        <f>IF($AH221="","",IF(INDEX('Per Invoice'!AA$2:AA$401,$AH221)="","",INDEX('Per Invoice'!AA$2:AA$401,$AH221)))</f>
        <v/>
      </c>
      <c r="AB221" s="7">
        <f>IF($AH221="","",IF(INDEX('Per Invoice'!AB$2:AB$401,$AH221)="","",INDEX('Per Invoice'!AB$2:AB$401,$AH221)))</f>
        <v/>
      </c>
      <c r="AC221" s="7">
        <f>IF($AH221="","",IF(INDEX('Per Invoice'!AC$2:AC$401,$AH221)="","",INDEX('Per Invoice'!AC$2:AC$401,$AH221)))</f>
        <v/>
      </c>
      <c r="AD221" s="7">
        <f>IF($AH221="","",IF(INDEX('Per Invoice'!AD$2:AD$401,$AH221)="","",INDEX('Per Invoice'!AD$2:AD$401,$AH221)))</f>
        <v/>
      </c>
      <c r="AE221" s="7">
        <f>IF($AH221="","",IF(INDEX('Per Invoice'!AE$2:AE$401,$AH221)="","",INDEX('Per Invoice'!AE$2:AE$401,$AH221)))</f>
        <v/>
      </c>
      <c r="AF221">
        <f>IF($AH221="","",IF(INDEX('Per Invoice'!AF$2:AF$401,$AH221)="","",INDEX('Per Invoice'!AF$2:AF$401,$AH221)))</f>
        <v/>
      </c>
      <c r="AG221" s="7">
        <f>IF($AH221="","",IF(INDEX('Per Invoice'!AG$2:AG$401,$AH221)="","",INDEX('Per Invoice'!AG$2:AG$401,$AH221)))</f>
        <v/>
      </c>
      <c r="AH221" s="16">
        <f>IFERROR(MATCH(Settings!$C$27&amp;"|"&amp;ROWS($AH$2:$AH221),'Per Invoice'!$AI$2:$AI$401,0),"")</f>
        <v/>
      </c>
    </row>
    <row r="222">
      <c r="A222">
        <f>IF($AH222="","",IF(INDEX('Per Invoice'!A$2:A$401,$AH222)="","",INDEX('Per Invoice'!A$2:A$401,$AH222)))</f>
        <v/>
      </c>
      <c r="B222">
        <f>IF($AH222="","",IF(INDEX('Per Invoice'!B$2:B$401,$AH222)="","",INDEX('Per Invoice'!B$2:B$401,$AH222)))</f>
        <v/>
      </c>
      <c r="C222">
        <f>IF($AH222="","",IF(INDEX('Per Invoice'!C$2:C$401,$AH222)="","",INDEX('Per Invoice'!C$2:C$401,$AH222)))</f>
        <v/>
      </c>
      <c r="D222">
        <f>IF($AH222="","",IF(INDEX('Per Invoice'!D$2:D$401,$AH222)="","",INDEX('Per Invoice'!D$2:D$401,$AH222)))</f>
        <v/>
      </c>
      <c r="E222">
        <f>IF($AH222="","",IF(INDEX('Per Invoice'!E$2:E$401,$AH222)="","",INDEX('Per Invoice'!E$2:E$401,$AH222)))</f>
        <v/>
      </c>
      <c r="F222">
        <f>IF($AH222="","",IF(INDEX('Per Invoice'!F$2:F$401,$AH222)="","",INDEX('Per Invoice'!F$2:F$401,$AH222)))</f>
        <v/>
      </c>
      <c r="G222">
        <f>IF($AH222="","",IF(INDEX('Per Invoice'!G$2:G$401,$AH222)="","",INDEX('Per Invoice'!G$2:G$401,$AH222)))</f>
        <v/>
      </c>
      <c r="H222">
        <f>IF($AH222="","",IF(INDEX('Per Invoice'!H$2:H$401,$AH222)="","",INDEX('Per Invoice'!H$2:H$401,$AH222)))</f>
        <v/>
      </c>
      <c r="I222" s="14">
        <f>IF($AH222="","",IF(INDEX('Per Invoice'!I$2:I$401,$AH222)="","",INDEX('Per Invoice'!I$2:I$401,$AH222)))</f>
        <v/>
      </c>
      <c r="J222">
        <f>IF($AH222="","",IF(INDEX('Per Invoice'!J$2:J$401,$AH222)="","",INDEX('Per Invoice'!J$2:J$401,$AH222)))</f>
        <v/>
      </c>
      <c r="K222">
        <f>IF($AH222="","",IF(INDEX('Per Invoice'!K$2:K$401,$AH222)="","",INDEX('Per Invoice'!K$2:K$401,$AH222)))</f>
        <v/>
      </c>
      <c r="L222">
        <f>IF($AH222="","",IF(INDEX('Per Invoice'!L$2:L$401,$AH222)="","",INDEX('Per Invoice'!L$2:L$401,$AH222)))</f>
        <v/>
      </c>
      <c r="M222">
        <f>IF($AH222="","",IF(INDEX('Per Invoice'!M$2:M$401,$AH222)="","",INDEX('Per Invoice'!M$2:M$401,$AH222)))</f>
        <v/>
      </c>
      <c r="N222">
        <f>IF($AH222="","",IF(INDEX('Per Invoice'!N$2:N$401,$AH222)="","",INDEX('Per Invoice'!N$2:N$401,$AH222)))</f>
        <v/>
      </c>
      <c r="O222">
        <f>IF($AH222="","",IF(INDEX('Per Invoice'!O$2:O$401,$AH222)="","",INDEX('Per Invoice'!O$2:O$401,$AH222)))</f>
        <v/>
      </c>
      <c r="P222" s="7">
        <f>IF($AH222="","",IF(INDEX('Per Invoice'!P$2:P$401,$AH222)="","",INDEX('Per Invoice'!P$2:P$401,$AH222)))</f>
        <v/>
      </c>
      <c r="Q222">
        <f>IF($AH222="","",IF(INDEX('Per Invoice'!Q$2:Q$401,$AH222)="","",INDEX('Per Invoice'!Q$2:Q$401,$AH222)))</f>
        <v/>
      </c>
      <c r="R222">
        <f>IF($AH222="","",IF(INDEX('Per Invoice'!R$2:R$401,$AH222)="","",INDEX('Per Invoice'!R$2:R$401,$AH222)))</f>
        <v/>
      </c>
      <c r="S222">
        <f>IF($AH222="","",IF(INDEX('Per Invoice'!S$2:S$401,$AH222)="","",INDEX('Per Invoice'!S$2:S$401,$AH222)))</f>
        <v/>
      </c>
      <c r="T222" s="7">
        <f>IF($AH222="","",IF(INDEX('Per Invoice'!T$2:T$401,$AH222)="","",INDEX('Per Invoice'!T$2:T$401,$AH222)))</f>
        <v/>
      </c>
      <c r="U222" s="7">
        <f>IF($AH222="","",IF(INDEX('Per Invoice'!U$2:U$401,$AH222)="","",INDEX('Per Invoice'!U$2:U$401,$AH222)))</f>
        <v/>
      </c>
      <c r="V222">
        <f>IF($AH222="","",IF(INDEX('Per Invoice'!V$2:V$401,$AH222)="","",INDEX('Per Invoice'!V$2:V$401,$AH222)))</f>
        <v/>
      </c>
      <c r="W222" s="7">
        <f>IF($AH222="","",IF(INDEX('Per Invoice'!W$2:W$401,$AH222)="","",INDEX('Per Invoice'!W$2:W$401,$AH222)))</f>
        <v/>
      </c>
      <c r="X222" s="7">
        <f>IF($AH222="","",IF(INDEX('Per Invoice'!X$2:X$401,$AH222)="","",INDEX('Per Invoice'!X$2:X$401,$AH222)))</f>
        <v/>
      </c>
      <c r="Y222">
        <f>IF($AH222="","",IF(INDEX('Per Invoice'!Y$2:Y$401,$AH222)="","",INDEX('Per Invoice'!Y$2:Y$401,$AH222)))</f>
        <v/>
      </c>
      <c r="Z222" s="7">
        <f>IF($AH222="","",IF(INDEX('Per Invoice'!Z$2:Z$401,$AH222)="","",INDEX('Per Invoice'!Z$2:Z$401,$AH222)))</f>
        <v/>
      </c>
      <c r="AA222" s="7">
        <f>IF($AH222="","",IF(INDEX('Per Invoice'!AA$2:AA$401,$AH222)="","",INDEX('Per Invoice'!AA$2:AA$401,$AH222)))</f>
        <v/>
      </c>
      <c r="AB222" s="7">
        <f>IF($AH222="","",IF(INDEX('Per Invoice'!AB$2:AB$401,$AH222)="","",INDEX('Per Invoice'!AB$2:AB$401,$AH222)))</f>
        <v/>
      </c>
      <c r="AC222" s="7">
        <f>IF($AH222="","",IF(INDEX('Per Invoice'!AC$2:AC$401,$AH222)="","",INDEX('Per Invoice'!AC$2:AC$401,$AH222)))</f>
        <v/>
      </c>
      <c r="AD222" s="7">
        <f>IF($AH222="","",IF(INDEX('Per Invoice'!AD$2:AD$401,$AH222)="","",INDEX('Per Invoice'!AD$2:AD$401,$AH222)))</f>
        <v/>
      </c>
      <c r="AE222" s="7">
        <f>IF($AH222="","",IF(INDEX('Per Invoice'!AE$2:AE$401,$AH222)="","",INDEX('Per Invoice'!AE$2:AE$401,$AH222)))</f>
        <v/>
      </c>
      <c r="AF222">
        <f>IF($AH222="","",IF(INDEX('Per Invoice'!AF$2:AF$401,$AH222)="","",INDEX('Per Invoice'!AF$2:AF$401,$AH222)))</f>
        <v/>
      </c>
      <c r="AG222" s="7">
        <f>IF($AH222="","",IF(INDEX('Per Invoice'!AG$2:AG$401,$AH222)="","",INDEX('Per Invoice'!AG$2:AG$401,$AH222)))</f>
        <v/>
      </c>
      <c r="AH222" s="16">
        <f>IFERROR(MATCH(Settings!$C$27&amp;"|"&amp;ROWS($AH$2:$AH222),'Per Invoice'!$AI$2:$AI$401,0),"")</f>
        <v/>
      </c>
    </row>
    <row r="223">
      <c r="A223">
        <f>IF($AH223="","",IF(INDEX('Per Invoice'!A$2:A$401,$AH223)="","",INDEX('Per Invoice'!A$2:A$401,$AH223)))</f>
        <v/>
      </c>
      <c r="B223">
        <f>IF($AH223="","",IF(INDEX('Per Invoice'!B$2:B$401,$AH223)="","",INDEX('Per Invoice'!B$2:B$401,$AH223)))</f>
        <v/>
      </c>
      <c r="C223">
        <f>IF($AH223="","",IF(INDEX('Per Invoice'!C$2:C$401,$AH223)="","",INDEX('Per Invoice'!C$2:C$401,$AH223)))</f>
        <v/>
      </c>
      <c r="D223">
        <f>IF($AH223="","",IF(INDEX('Per Invoice'!D$2:D$401,$AH223)="","",INDEX('Per Invoice'!D$2:D$401,$AH223)))</f>
        <v/>
      </c>
      <c r="E223">
        <f>IF($AH223="","",IF(INDEX('Per Invoice'!E$2:E$401,$AH223)="","",INDEX('Per Invoice'!E$2:E$401,$AH223)))</f>
        <v/>
      </c>
      <c r="F223">
        <f>IF($AH223="","",IF(INDEX('Per Invoice'!F$2:F$401,$AH223)="","",INDEX('Per Invoice'!F$2:F$401,$AH223)))</f>
        <v/>
      </c>
      <c r="G223">
        <f>IF($AH223="","",IF(INDEX('Per Invoice'!G$2:G$401,$AH223)="","",INDEX('Per Invoice'!G$2:G$401,$AH223)))</f>
        <v/>
      </c>
      <c r="H223">
        <f>IF($AH223="","",IF(INDEX('Per Invoice'!H$2:H$401,$AH223)="","",INDEX('Per Invoice'!H$2:H$401,$AH223)))</f>
        <v/>
      </c>
      <c r="I223" s="14">
        <f>IF($AH223="","",IF(INDEX('Per Invoice'!I$2:I$401,$AH223)="","",INDEX('Per Invoice'!I$2:I$401,$AH223)))</f>
        <v/>
      </c>
      <c r="J223">
        <f>IF($AH223="","",IF(INDEX('Per Invoice'!J$2:J$401,$AH223)="","",INDEX('Per Invoice'!J$2:J$401,$AH223)))</f>
        <v/>
      </c>
      <c r="K223">
        <f>IF($AH223="","",IF(INDEX('Per Invoice'!K$2:K$401,$AH223)="","",INDEX('Per Invoice'!K$2:K$401,$AH223)))</f>
        <v/>
      </c>
      <c r="L223">
        <f>IF($AH223="","",IF(INDEX('Per Invoice'!L$2:L$401,$AH223)="","",INDEX('Per Invoice'!L$2:L$401,$AH223)))</f>
        <v/>
      </c>
      <c r="M223">
        <f>IF($AH223="","",IF(INDEX('Per Invoice'!M$2:M$401,$AH223)="","",INDEX('Per Invoice'!M$2:M$401,$AH223)))</f>
        <v/>
      </c>
      <c r="N223">
        <f>IF($AH223="","",IF(INDEX('Per Invoice'!N$2:N$401,$AH223)="","",INDEX('Per Invoice'!N$2:N$401,$AH223)))</f>
        <v/>
      </c>
      <c r="O223">
        <f>IF($AH223="","",IF(INDEX('Per Invoice'!O$2:O$401,$AH223)="","",INDEX('Per Invoice'!O$2:O$401,$AH223)))</f>
        <v/>
      </c>
      <c r="P223" s="7">
        <f>IF($AH223="","",IF(INDEX('Per Invoice'!P$2:P$401,$AH223)="","",INDEX('Per Invoice'!P$2:P$401,$AH223)))</f>
        <v/>
      </c>
      <c r="Q223">
        <f>IF($AH223="","",IF(INDEX('Per Invoice'!Q$2:Q$401,$AH223)="","",INDEX('Per Invoice'!Q$2:Q$401,$AH223)))</f>
        <v/>
      </c>
      <c r="R223">
        <f>IF($AH223="","",IF(INDEX('Per Invoice'!R$2:R$401,$AH223)="","",INDEX('Per Invoice'!R$2:R$401,$AH223)))</f>
        <v/>
      </c>
      <c r="S223">
        <f>IF($AH223="","",IF(INDEX('Per Invoice'!S$2:S$401,$AH223)="","",INDEX('Per Invoice'!S$2:S$401,$AH223)))</f>
        <v/>
      </c>
      <c r="T223" s="7">
        <f>IF($AH223="","",IF(INDEX('Per Invoice'!T$2:T$401,$AH223)="","",INDEX('Per Invoice'!T$2:T$401,$AH223)))</f>
        <v/>
      </c>
      <c r="U223" s="7">
        <f>IF($AH223="","",IF(INDEX('Per Invoice'!U$2:U$401,$AH223)="","",INDEX('Per Invoice'!U$2:U$401,$AH223)))</f>
        <v/>
      </c>
      <c r="V223">
        <f>IF($AH223="","",IF(INDEX('Per Invoice'!V$2:V$401,$AH223)="","",INDEX('Per Invoice'!V$2:V$401,$AH223)))</f>
        <v/>
      </c>
      <c r="W223" s="7">
        <f>IF($AH223="","",IF(INDEX('Per Invoice'!W$2:W$401,$AH223)="","",INDEX('Per Invoice'!W$2:W$401,$AH223)))</f>
        <v/>
      </c>
      <c r="X223" s="7">
        <f>IF($AH223="","",IF(INDEX('Per Invoice'!X$2:X$401,$AH223)="","",INDEX('Per Invoice'!X$2:X$401,$AH223)))</f>
        <v/>
      </c>
      <c r="Y223">
        <f>IF($AH223="","",IF(INDEX('Per Invoice'!Y$2:Y$401,$AH223)="","",INDEX('Per Invoice'!Y$2:Y$401,$AH223)))</f>
        <v/>
      </c>
      <c r="Z223" s="7">
        <f>IF($AH223="","",IF(INDEX('Per Invoice'!Z$2:Z$401,$AH223)="","",INDEX('Per Invoice'!Z$2:Z$401,$AH223)))</f>
        <v/>
      </c>
      <c r="AA223" s="7">
        <f>IF($AH223="","",IF(INDEX('Per Invoice'!AA$2:AA$401,$AH223)="","",INDEX('Per Invoice'!AA$2:AA$401,$AH223)))</f>
        <v/>
      </c>
      <c r="AB223" s="7">
        <f>IF($AH223="","",IF(INDEX('Per Invoice'!AB$2:AB$401,$AH223)="","",INDEX('Per Invoice'!AB$2:AB$401,$AH223)))</f>
        <v/>
      </c>
      <c r="AC223" s="7">
        <f>IF($AH223="","",IF(INDEX('Per Invoice'!AC$2:AC$401,$AH223)="","",INDEX('Per Invoice'!AC$2:AC$401,$AH223)))</f>
        <v/>
      </c>
      <c r="AD223" s="7">
        <f>IF($AH223="","",IF(INDEX('Per Invoice'!AD$2:AD$401,$AH223)="","",INDEX('Per Invoice'!AD$2:AD$401,$AH223)))</f>
        <v/>
      </c>
      <c r="AE223" s="7">
        <f>IF($AH223="","",IF(INDEX('Per Invoice'!AE$2:AE$401,$AH223)="","",INDEX('Per Invoice'!AE$2:AE$401,$AH223)))</f>
        <v/>
      </c>
      <c r="AF223">
        <f>IF($AH223="","",IF(INDEX('Per Invoice'!AF$2:AF$401,$AH223)="","",INDEX('Per Invoice'!AF$2:AF$401,$AH223)))</f>
        <v/>
      </c>
      <c r="AG223" s="7">
        <f>IF($AH223="","",IF(INDEX('Per Invoice'!AG$2:AG$401,$AH223)="","",INDEX('Per Invoice'!AG$2:AG$401,$AH223)))</f>
        <v/>
      </c>
      <c r="AH223" s="16">
        <f>IFERROR(MATCH(Settings!$C$27&amp;"|"&amp;ROWS($AH$2:$AH223),'Per Invoice'!$AI$2:$AI$401,0),"")</f>
        <v/>
      </c>
    </row>
    <row r="224">
      <c r="A224">
        <f>IF($AH224="","",IF(INDEX('Per Invoice'!A$2:A$401,$AH224)="","",INDEX('Per Invoice'!A$2:A$401,$AH224)))</f>
        <v/>
      </c>
      <c r="B224">
        <f>IF($AH224="","",IF(INDEX('Per Invoice'!B$2:B$401,$AH224)="","",INDEX('Per Invoice'!B$2:B$401,$AH224)))</f>
        <v/>
      </c>
      <c r="C224">
        <f>IF($AH224="","",IF(INDEX('Per Invoice'!C$2:C$401,$AH224)="","",INDEX('Per Invoice'!C$2:C$401,$AH224)))</f>
        <v/>
      </c>
      <c r="D224">
        <f>IF($AH224="","",IF(INDEX('Per Invoice'!D$2:D$401,$AH224)="","",INDEX('Per Invoice'!D$2:D$401,$AH224)))</f>
        <v/>
      </c>
      <c r="E224">
        <f>IF($AH224="","",IF(INDEX('Per Invoice'!E$2:E$401,$AH224)="","",INDEX('Per Invoice'!E$2:E$401,$AH224)))</f>
        <v/>
      </c>
      <c r="F224">
        <f>IF($AH224="","",IF(INDEX('Per Invoice'!F$2:F$401,$AH224)="","",INDEX('Per Invoice'!F$2:F$401,$AH224)))</f>
        <v/>
      </c>
      <c r="G224">
        <f>IF($AH224="","",IF(INDEX('Per Invoice'!G$2:G$401,$AH224)="","",INDEX('Per Invoice'!G$2:G$401,$AH224)))</f>
        <v/>
      </c>
      <c r="H224">
        <f>IF($AH224="","",IF(INDEX('Per Invoice'!H$2:H$401,$AH224)="","",INDEX('Per Invoice'!H$2:H$401,$AH224)))</f>
        <v/>
      </c>
      <c r="I224" s="14">
        <f>IF($AH224="","",IF(INDEX('Per Invoice'!I$2:I$401,$AH224)="","",INDEX('Per Invoice'!I$2:I$401,$AH224)))</f>
        <v/>
      </c>
      <c r="J224">
        <f>IF($AH224="","",IF(INDEX('Per Invoice'!J$2:J$401,$AH224)="","",INDEX('Per Invoice'!J$2:J$401,$AH224)))</f>
        <v/>
      </c>
      <c r="K224">
        <f>IF($AH224="","",IF(INDEX('Per Invoice'!K$2:K$401,$AH224)="","",INDEX('Per Invoice'!K$2:K$401,$AH224)))</f>
        <v/>
      </c>
      <c r="L224">
        <f>IF($AH224="","",IF(INDEX('Per Invoice'!L$2:L$401,$AH224)="","",INDEX('Per Invoice'!L$2:L$401,$AH224)))</f>
        <v/>
      </c>
      <c r="M224">
        <f>IF($AH224="","",IF(INDEX('Per Invoice'!M$2:M$401,$AH224)="","",INDEX('Per Invoice'!M$2:M$401,$AH224)))</f>
        <v/>
      </c>
      <c r="N224">
        <f>IF($AH224="","",IF(INDEX('Per Invoice'!N$2:N$401,$AH224)="","",INDEX('Per Invoice'!N$2:N$401,$AH224)))</f>
        <v/>
      </c>
      <c r="O224">
        <f>IF($AH224="","",IF(INDEX('Per Invoice'!O$2:O$401,$AH224)="","",INDEX('Per Invoice'!O$2:O$401,$AH224)))</f>
        <v/>
      </c>
      <c r="P224" s="7">
        <f>IF($AH224="","",IF(INDEX('Per Invoice'!P$2:P$401,$AH224)="","",INDEX('Per Invoice'!P$2:P$401,$AH224)))</f>
        <v/>
      </c>
      <c r="Q224">
        <f>IF($AH224="","",IF(INDEX('Per Invoice'!Q$2:Q$401,$AH224)="","",INDEX('Per Invoice'!Q$2:Q$401,$AH224)))</f>
        <v/>
      </c>
      <c r="R224">
        <f>IF($AH224="","",IF(INDEX('Per Invoice'!R$2:R$401,$AH224)="","",INDEX('Per Invoice'!R$2:R$401,$AH224)))</f>
        <v/>
      </c>
      <c r="S224">
        <f>IF($AH224="","",IF(INDEX('Per Invoice'!S$2:S$401,$AH224)="","",INDEX('Per Invoice'!S$2:S$401,$AH224)))</f>
        <v/>
      </c>
      <c r="T224" s="7">
        <f>IF($AH224="","",IF(INDEX('Per Invoice'!T$2:T$401,$AH224)="","",INDEX('Per Invoice'!T$2:T$401,$AH224)))</f>
        <v/>
      </c>
      <c r="U224" s="7">
        <f>IF($AH224="","",IF(INDEX('Per Invoice'!U$2:U$401,$AH224)="","",INDEX('Per Invoice'!U$2:U$401,$AH224)))</f>
        <v/>
      </c>
      <c r="V224">
        <f>IF($AH224="","",IF(INDEX('Per Invoice'!V$2:V$401,$AH224)="","",INDEX('Per Invoice'!V$2:V$401,$AH224)))</f>
        <v/>
      </c>
      <c r="W224" s="7">
        <f>IF($AH224="","",IF(INDEX('Per Invoice'!W$2:W$401,$AH224)="","",INDEX('Per Invoice'!W$2:W$401,$AH224)))</f>
        <v/>
      </c>
      <c r="X224" s="7">
        <f>IF($AH224="","",IF(INDEX('Per Invoice'!X$2:X$401,$AH224)="","",INDEX('Per Invoice'!X$2:X$401,$AH224)))</f>
        <v/>
      </c>
      <c r="Y224">
        <f>IF($AH224="","",IF(INDEX('Per Invoice'!Y$2:Y$401,$AH224)="","",INDEX('Per Invoice'!Y$2:Y$401,$AH224)))</f>
        <v/>
      </c>
      <c r="Z224" s="7">
        <f>IF($AH224="","",IF(INDEX('Per Invoice'!Z$2:Z$401,$AH224)="","",INDEX('Per Invoice'!Z$2:Z$401,$AH224)))</f>
        <v/>
      </c>
      <c r="AA224" s="7">
        <f>IF($AH224="","",IF(INDEX('Per Invoice'!AA$2:AA$401,$AH224)="","",INDEX('Per Invoice'!AA$2:AA$401,$AH224)))</f>
        <v/>
      </c>
      <c r="AB224" s="7">
        <f>IF($AH224="","",IF(INDEX('Per Invoice'!AB$2:AB$401,$AH224)="","",INDEX('Per Invoice'!AB$2:AB$401,$AH224)))</f>
        <v/>
      </c>
      <c r="AC224" s="7">
        <f>IF($AH224="","",IF(INDEX('Per Invoice'!AC$2:AC$401,$AH224)="","",INDEX('Per Invoice'!AC$2:AC$401,$AH224)))</f>
        <v/>
      </c>
      <c r="AD224" s="7">
        <f>IF($AH224="","",IF(INDEX('Per Invoice'!AD$2:AD$401,$AH224)="","",INDEX('Per Invoice'!AD$2:AD$401,$AH224)))</f>
        <v/>
      </c>
      <c r="AE224" s="7">
        <f>IF($AH224="","",IF(INDEX('Per Invoice'!AE$2:AE$401,$AH224)="","",INDEX('Per Invoice'!AE$2:AE$401,$AH224)))</f>
        <v/>
      </c>
      <c r="AF224">
        <f>IF($AH224="","",IF(INDEX('Per Invoice'!AF$2:AF$401,$AH224)="","",INDEX('Per Invoice'!AF$2:AF$401,$AH224)))</f>
        <v/>
      </c>
      <c r="AG224" s="7">
        <f>IF($AH224="","",IF(INDEX('Per Invoice'!AG$2:AG$401,$AH224)="","",INDEX('Per Invoice'!AG$2:AG$401,$AH224)))</f>
        <v/>
      </c>
      <c r="AH224" s="16">
        <f>IFERROR(MATCH(Settings!$C$27&amp;"|"&amp;ROWS($AH$2:$AH224),'Per Invoice'!$AI$2:$AI$401,0),"")</f>
        <v/>
      </c>
    </row>
    <row r="225">
      <c r="A225">
        <f>IF($AH225="","",IF(INDEX('Per Invoice'!A$2:A$401,$AH225)="","",INDEX('Per Invoice'!A$2:A$401,$AH225)))</f>
        <v/>
      </c>
      <c r="B225">
        <f>IF($AH225="","",IF(INDEX('Per Invoice'!B$2:B$401,$AH225)="","",INDEX('Per Invoice'!B$2:B$401,$AH225)))</f>
        <v/>
      </c>
      <c r="C225">
        <f>IF($AH225="","",IF(INDEX('Per Invoice'!C$2:C$401,$AH225)="","",INDEX('Per Invoice'!C$2:C$401,$AH225)))</f>
        <v/>
      </c>
      <c r="D225">
        <f>IF($AH225="","",IF(INDEX('Per Invoice'!D$2:D$401,$AH225)="","",INDEX('Per Invoice'!D$2:D$401,$AH225)))</f>
        <v/>
      </c>
      <c r="E225">
        <f>IF($AH225="","",IF(INDEX('Per Invoice'!E$2:E$401,$AH225)="","",INDEX('Per Invoice'!E$2:E$401,$AH225)))</f>
        <v/>
      </c>
      <c r="F225">
        <f>IF($AH225="","",IF(INDEX('Per Invoice'!F$2:F$401,$AH225)="","",INDEX('Per Invoice'!F$2:F$401,$AH225)))</f>
        <v/>
      </c>
      <c r="G225">
        <f>IF($AH225="","",IF(INDEX('Per Invoice'!G$2:G$401,$AH225)="","",INDEX('Per Invoice'!G$2:G$401,$AH225)))</f>
        <v/>
      </c>
      <c r="H225">
        <f>IF($AH225="","",IF(INDEX('Per Invoice'!H$2:H$401,$AH225)="","",INDEX('Per Invoice'!H$2:H$401,$AH225)))</f>
        <v/>
      </c>
      <c r="I225" s="14">
        <f>IF($AH225="","",IF(INDEX('Per Invoice'!I$2:I$401,$AH225)="","",INDEX('Per Invoice'!I$2:I$401,$AH225)))</f>
        <v/>
      </c>
      <c r="J225">
        <f>IF($AH225="","",IF(INDEX('Per Invoice'!J$2:J$401,$AH225)="","",INDEX('Per Invoice'!J$2:J$401,$AH225)))</f>
        <v/>
      </c>
      <c r="K225">
        <f>IF($AH225="","",IF(INDEX('Per Invoice'!K$2:K$401,$AH225)="","",INDEX('Per Invoice'!K$2:K$401,$AH225)))</f>
        <v/>
      </c>
      <c r="L225">
        <f>IF($AH225="","",IF(INDEX('Per Invoice'!L$2:L$401,$AH225)="","",INDEX('Per Invoice'!L$2:L$401,$AH225)))</f>
        <v/>
      </c>
      <c r="M225">
        <f>IF($AH225="","",IF(INDEX('Per Invoice'!M$2:M$401,$AH225)="","",INDEX('Per Invoice'!M$2:M$401,$AH225)))</f>
        <v/>
      </c>
      <c r="N225">
        <f>IF($AH225="","",IF(INDEX('Per Invoice'!N$2:N$401,$AH225)="","",INDEX('Per Invoice'!N$2:N$401,$AH225)))</f>
        <v/>
      </c>
      <c r="O225">
        <f>IF($AH225="","",IF(INDEX('Per Invoice'!O$2:O$401,$AH225)="","",INDEX('Per Invoice'!O$2:O$401,$AH225)))</f>
        <v/>
      </c>
      <c r="P225" s="7">
        <f>IF($AH225="","",IF(INDEX('Per Invoice'!P$2:P$401,$AH225)="","",INDEX('Per Invoice'!P$2:P$401,$AH225)))</f>
        <v/>
      </c>
      <c r="Q225">
        <f>IF($AH225="","",IF(INDEX('Per Invoice'!Q$2:Q$401,$AH225)="","",INDEX('Per Invoice'!Q$2:Q$401,$AH225)))</f>
        <v/>
      </c>
      <c r="R225">
        <f>IF($AH225="","",IF(INDEX('Per Invoice'!R$2:R$401,$AH225)="","",INDEX('Per Invoice'!R$2:R$401,$AH225)))</f>
        <v/>
      </c>
      <c r="S225">
        <f>IF($AH225="","",IF(INDEX('Per Invoice'!S$2:S$401,$AH225)="","",INDEX('Per Invoice'!S$2:S$401,$AH225)))</f>
        <v/>
      </c>
      <c r="T225" s="7">
        <f>IF($AH225="","",IF(INDEX('Per Invoice'!T$2:T$401,$AH225)="","",INDEX('Per Invoice'!T$2:T$401,$AH225)))</f>
        <v/>
      </c>
      <c r="U225" s="7">
        <f>IF($AH225="","",IF(INDEX('Per Invoice'!U$2:U$401,$AH225)="","",INDEX('Per Invoice'!U$2:U$401,$AH225)))</f>
        <v/>
      </c>
      <c r="V225">
        <f>IF($AH225="","",IF(INDEX('Per Invoice'!V$2:V$401,$AH225)="","",INDEX('Per Invoice'!V$2:V$401,$AH225)))</f>
        <v/>
      </c>
      <c r="W225" s="7">
        <f>IF($AH225="","",IF(INDEX('Per Invoice'!W$2:W$401,$AH225)="","",INDEX('Per Invoice'!W$2:W$401,$AH225)))</f>
        <v/>
      </c>
      <c r="X225" s="7">
        <f>IF($AH225="","",IF(INDEX('Per Invoice'!X$2:X$401,$AH225)="","",INDEX('Per Invoice'!X$2:X$401,$AH225)))</f>
        <v/>
      </c>
      <c r="Y225">
        <f>IF($AH225="","",IF(INDEX('Per Invoice'!Y$2:Y$401,$AH225)="","",INDEX('Per Invoice'!Y$2:Y$401,$AH225)))</f>
        <v/>
      </c>
      <c r="Z225" s="7">
        <f>IF($AH225="","",IF(INDEX('Per Invoice'!Z$2:Z$401,$AH225)="","",INDEX('Per Invoice'!Z$2:Z$401,$AH225)))</f>
        <v/>
      </c>
      <c r="AA225" s="7">
        <f>IF($AH225="","",IF(INDEX('Per Invoice'!AA$2:AA$401,$AH225)="","",INDEX('Per Invoice'!AA$2:AA$401,$AH225)))</f>
        <v/>
      </c>
      <c r="AB225" s="7">
        <f>IF($AH225="","",IF(INDEX('Per Invoice'!AB$2:AB$401,$AH225)="","",INDEX('Per Invoice'!AB$2:AB$401,$AH225)))</f>
        <v/>
      </c>
      <c r="AC225" s="7">
        <f>IF($AH225="","",IF(INDEX('Per Invoice'!AC$2:AC$401,$AH225)="","",INDEX('Per Invoice'!AC$2:AC$401,$AH225)))</f>
        <v/>
      </c>
      <c r="AD225" s="7">
        <f>IF($AH225="","",IF(INDEX('Per Invoice'!AD$2:AD$401,$AH225)="","",INDEX('Per Invoice'!AD$2:AD$401,$AH225)))</f>
        <v/>
      </c>
      <c r="AE225" s="7">
        <f>IF($AH225="","",IF(INDEX('Per Invoice'!AE$2:AE$401,$AH225)="","",INDEX('Per Invoice'!AE$2:AE$401,$AH225)))</f>
        <v/>
      </c>
      <c r="AF225">
        <f>IF($AH225="","",IF(INDEX('Per Invoice'!AF$2:AF$401,$AH225)="","",INDEX('Per Invoice'!AF$2:AF$401,$AH225)))</f>
        <v/>
      </c>
      <c r="AG225" s="7">
        <f>IF($AH225="","",IF(INDEX('Per Invoice'!AG$2:AG$401,$AH225)="","",INDEX('Per Invoice'!AG$2:AG$401,$AH225)))</f>
        <v/>
      </c>
      <c r="AH225" s="16">
        <f>IFERROR(MATCH(Settings!$C$27&amp;"|"&amp;ROWS($AH$2:$AH225),'Per Invoice'!$AI$2:$AI$401,0),"")</f>
        <v/>
      </c>
    </row>
    <row r="226">
      <c r="A226">
        <f>IF($AH226="","",IF(INDEX('Per Invoice'!A$2:A$401,$AH226)="","",INDEX('Per Invoice'!A$2:A$401,$AH226)))</f>
        <v/>
      </c>
      <c r="B226">
        <f>IF($AH226="","",IF(INDEX('Per Invoice'!B$2:B$401,$AH226)="","",INDEX('Per Invoice'!B$2:B$401,$AH226)))</f>
        <v/>
      </c>
      <c r="C226">
        <f>IF($AH226="","",IF(INDEX('Per Invoice'!C$2:C$401,$AH226)="","",INDEX('Per Invoice'!C$2:C$401,$AH226)))</f>
        <v/>
      </c>
      <c r="D226">
        <f>IF($AH226="","",IF(INDEX('Per Invoice'!D$2:D$401,$AH226)="","",INDEX('Per Invoice'!D$2:D$401,$AH226)))</f>
        <v/>
      </c>
      <c r="E226">
        <f>IF($AH226="","",IF(INDEX('Per Invoice'!E$2:E$401,$AH226)="","",INDEX('Per Invoice'!E$2:E$401,$AH226)))</f>
        <v/>
      </c>
      <c r="F226">
        <f>IF($AH226="","",IF(INDEX('Per Invoice'!F$2:F$401,$AH226)="","",INDEX('Per Invoice'!F$2:F$401,$AH226)))</f>
        <v/>
      </c>
      <c r="G226">
        <f>IF($AH226="","",IF(INDEX('Per Invoice'!G$2:G$401,$AH226)="","",INDEX('Per Invoice'!G$2:G$401,$AH226)))</f>
        <v/>
      </c>
      <c r="H226">
        <f>IF($AH226="","",IF(INDEX('Per Invoice'!H$2:H$401,$AH226)="","",INDEX('Per Invoice'!H$2:H$401,$AH226)))</f>
        <v/>
      </c>
      <c r="I226" s="14">
        <f>IF($AH226="","",IF(INDEX('Per Invoice'!I$2:I$401,$AH226)="","",INDEX('Per Invoice'!I$2:I$401,$AH226)))</f>
        <v/>
      </c>
      <c r="J226">
        <f>IF($AH226="","",IF(INDEX('Per Invoice'!J$2:J$401,$AH226)="","",INDEX('Per Invoice'!J$2:J$401,$AH226)))</f>
        <v/>
      </c>
      <c r="K226">
        <f>IF($AH226="","",IF(INDEX('Per Invoice'!K$2:K$401,$AH226)="","",INDEX('Per Invoice'!K$2:K$401,$AH226)))</f>
        <v/>
      </c>
      <c r="L226">
        <f>IF($AH226="","",IF(INDEX('Per Invoice'!L$2:L$401,$AH226)="","",INDEX('Per Invoice'!L$2:L$401,$AH226)))</f>
        <v/>
      </c>
      <c r="M226">
        <f>IF($AH226="","",IF(INDEX('Per Invoice'!M$2:M$401,$AH226)="","",INDEX('Per Invoice'!M$2:M$401,$AH226)))</f>
        <v/>
      </c>
      <c r="N226">
        <f>IF($AH226="","",IF(INDEX('Per Invoice'!N$2:N$401,$AH226)="","",INDEX('Per Invoice'!N$2:N$401,$AH226)))</f>
        <v/>
      </c>
      <c r="O226">
        <f>IF($AH226="","",IF(INDEX('Per Invoice'!O$2:O$401,$AH226)="","",INDEX('Per Invoice'!O$2:O$401,$AH226)))</f>
        <v/>
      </c>
      <c r="P226" s="7">
        <f>IF($AH226="","",IF(INDEX('Per Invoice'!P$2:P$401,$AH226)="","",INDEX('Per Invoice'!P$2:P$401,$AH226)))</f>
        <v/>
      </c>
      <c r="Q226">
        <f>IF($AH226="","",IF(INDEX('Per Invoice'!Q$2:Q$401,$AH226)="","",INDEX('Per Invoice'!Q$2:Q$401,$AH226)))</f>
        <v/>
      </c>
      <c r="R226">
        <f>IF($AH226="","",IF(INDEX('Per Invoice'!R$2:R$401,$AH226)="","",INDEX('Per Invoice'!R$2:R$401,$AH226)))</f>
        <v/>
      </c>
      <c r="S226">
        <f>IF($AH226="","",IF(INDEX('Per Invoice'!S$2:S$401,$AH226)="","",INDEX('Per Invoice'!S$2:S$401,$AH226)))</f>
        <v/>
      </c>
      <c r="T226" s="7">
        <f>IF($AH226="","",IF(INDEX('Per Invoice'!T$2:T$401,$AH226)="","",INDEX('Per Invoice'!T$2:T$401,$AH226)))</f>
        <v/>
      </c>
      <c r="U226" s="7">
        <f>IF($AH226="","",IF(INDEX('Per Invoice'!U$2:U$401,$AH226)="","",INDEX('Per Invoice'!U$2:U$401,$AH226)))</f>
        <v/>
      </c>
      <c r="V226">
        <f>IF($AH226="","",IF(INDEX('Per Invoice'!V$2:V$401,$AH226)="","",INDEX('Per Invoice'!V$2:V$401,$AH226)))</f>
        <v/>
      </c>
      <c r="W226" s="7">
        <f>IF($AH226="","",IF(INDEX('Per Invoice'!W$2:W$401,$AH226)="","",INDEX('Per Invoice'!W$2:W$401,$AH226)))</f>
        <v/>
      </c>
      <c r="X226" s="7">
        <f>IF($AH226="","",IF(INDEX('Per Invoice'!X$2:X$401,$AH226)="","",INDEX('Per Invoice'!X$2:X$401,$AH226)))</f>
        <v/>
      </c>
      <c r="Y226">
        <f>IF($AH226="","",IF(INDEX('Per Invoice'!Y$2:Y$401,$AH226)="","",INDEX('Per Invoice'!Y$2:Y$401,$AH226)))</f>
        <v/>
      </c>
      <c r="Z226" s="7">
        <f>IF($AH226="","",IF(INDEX('Per Invoice'!Z$2:Z$401,$AH226)="","",INDEX('Per Invoice'!Z$2:Z$401,$AH226)))</f>
        <v/>
      </c>
      <c r="AA226" s="7">
        <f>IF($AH226="","",IF(INDEX('Per Invoice'!AA$2:AA$401,$AH226)="","",INDEX('Per Invoice'!AA$2:AA$401,$AH226)))</f>
        <v/>
      </c>
      <c r="AB226" s="7">
        <f>IF($AH226="","",IF(INDEX('Per Invoice'!AB$2:AB$401,$AH226)="","",INDEX('Per Invoice'!AB$2:AB$401,$AH226)))</f>
        <v/>
      </c>
      <c r="AC226" s="7">
        <f>IF($AH226="","",IF(INDEX('Per Invoice'!AC$2:AC$401,$AH226)="","",INDEX('Per Invoice'!AC$2:AC$401,$AH226)))</f>
        <v/>
      </c>
      <c r="AD226" s="7">
        <f>IF($AH226="","",IF(INDEX('Per Invoice'!AD$2:AD$401,$AH226)="","",INDEX('Per Invoice'!AD$2:AD$401,$AH226)))</f>
        <v/>
      </c>
      <c r="AE226" s="7">
        <f>IF($AH226="","",IF(INDEX('Per Invoice'!AE$2:AE$401,$AH226)="","",INDEX('Per Invoice'!AE$2:AE$401,$AH226)))</f>
        <v/>
      </c>
      <c r="AF226">
        <f>IF($AH226="","",IF(INDEX('Per Invoice'!AF$2:AF$401,$AH226)="","",INDEX('Per Invoice'!AF$2:AF$401,$AH226)))</f>
        <v/>
      </c>
      <c r="AG226" s="7">
        <f>IF($AH226="","",IF(INDEX('Per Invoice'!AG$2:AG$401,$AH226)="","",INDEX('Per Invoice'!AG$2:AG$401,$AH226)))</f>
        <v/>
      </c>
      <c r="AH226" s="16">
        <f>IFERROR(MATCH(Settings!$C$27&amp;"|"&amp;ROWS($AH$2:$AH226),'Per Invoice'!$AI$2:$AI$401,0),"")</f>
        <v/>
      </c>
    </row>
    <row r="227">
      <c r="A227">
        <f>IF($AH227="","",IF(INDEX('Per Invoice'!A$2:A$401,$AH227)="","",INDEX('Per Invoice'!A$2:A$401,$AH227)))</f>
        <v/>
      </c>
      <c r="B227">
        <f>IF($AH227="","",IF(INDEX('Per Invoice'!B$2:B$401,$AH227)="","",INDEX('Per Invoice'!B$2:B$401,$AH227)))</f>
        <v/>
      </c>
      <c r="C227">
        <f>IF($AH227="","",IF(INDEX('Per Invoice'!C$2:C$401,$AH227)="","",INDEX('Per Invoice'!C$2:C$401,$AH227)))</f>
        <v/>
      </c>
      <c r="D227">
        <f>IF($AH227="","",IF(INDEX('Per Invoice'!D$2:D$401,$AH227)="","",INDEX('Per Invoice'!D$2:D$401,$AH227)))</f>
        <v/>
      </c>
      <c r="E227">
        <f>IF($AH227="","",IF(INDEX('Per Invoice'!E$2:E$401,$AH227)="","",INDEX('Per Invoice'!E$2:E$401,$AH227)))</f>
        <v/>
      </c>
      <c r="F227">
        <f>IF($AH227="","",IF(INDEX('Per Invoice'!F$2:F$401,$AH227)="","",INDEX('Per Invoice'!F$2:F$401,$AH227)))</f>
        <v/>
      </c>
      <c r="G227">
        <f>IF($AH227="","",IF(INDEX('Per Invoice'!G$2:G$401,$AH227)="","",INDEX('Per Invoice'!G$2:G$401,$AH227)))</f>
        <v/>
      </c>
      <c r="H227">
        <f>IF($AH227="","",IF(INDEX('Per Invoice'!H$2:H$401,$AH227)="","",INDEX('Per Invoice'!H$2:H$401,$AH227)))</f>
        <v/>
      </c>
      <c r="I227" s="14">
        <f>IF($AH227="","",IF(INDEX('Per Invoice'!I$2:I$401,$AH227)="","",INDEX('Per Invoice'!I$2:I$401,$AH227)))</f>
        <v/>
      </c>
      <c r="J227">
        <f>IF($AH227="","",IF(INDEX('Per Invoice'!J$2:J$401,$AH227)="","",INDEX('Per Invoice'!J$2:J$401,$AH227)))</f>
        <v/>
      </c>
      <c r="K227">
        <f>IF($AH227="","",IF(INDEX('Per Invoice'!K$2:K$401,$AH227)="","",INDEX('Per Invoice'!K$2:K$401,$AH227)))</f>
        <v/>
      </c>
      <c r="L227">
        <f>IF($AH227="","",IF(INDEX('Per Invoice'!L$2:L$401,$AH227)="","",INDEX('Per Invoice'!L$2:L$401,$AH227)))</f>
        <v/>
      </c>
      <c r="M227">
        <f>IF($AH227="","",IF(INDEX('Per Invoice'!M$2:M$401,$AH227)="","",INDEX('Per Invoice'!M$2:M$401,$AH227)))</f>
        <v/>
      </c>
      <c r="N227">
        <f>IF($AH227="","",IF(INDEX('Per Invoice'!N$2:N$401,$AH227)="","",INDEX('Per Invoice'!N$2:N$401,$AH227)))</f>
        <v/>
      </c>
      <c r="O227">
        <f>IF($AH227="","",IF(INDEX('Per Invoice'!O$2:O$401,$AH227)="","",INDEX('Per Invoice'!O$2:O$401,$AH227)))</f>
        <v/>
      </c>
      <c r="P227" s="7">
        <f>IF($AH227="","",IF(INDEX('Per Invoice'!P$2:P$401,$AH227)="","",INDEX('Per Invoice'!P$2:P$401,$AH227)))</f>
        <v/>
      </c>
      <c r="Q227">
        <f>IF($AH227="","",IF(INDEX('Per Invoice'!Q$2:Q$401,$AH227)="","",INDEX('Per Invoice'!Q$2:Q$401,$AH227)))</f>
        <v/>
      </c>
      <c r="R227">
        <f>IF($AH227="","",IF(INDEX('Per Invoice'!R$2:R$401,$AH227)="","",INDEX('Per Invoice'!R$2:R$401,$AH227)))</f>
        <v/>
      </c>
      <c r="S227">
        <f>IF($AH227="","",IF(INDEX('Per Invoice'!S$2:S$401,$AH227)="","",INDEX('Per Invoice'!S$2:S$401,$AH227)))</f>
        <v/>
      </c>
      <c r="T227" s="7">
        <f>IF($AH227="","",IF(INDEX('Per Invoice'!T$2:T$401,$AH227)="","",INDEX('Per Invoice'!T$2:T$401,$AH227)))</f>
        <v/>
      </c>
      <c r="U227" s="7">
        <f>IF($AH227="","",IF(INDEX('Per Invoice'!U$2:U$401,$AH227)="","",INDEX('Per Invoice'!U$2:U$401,$AH227)))</f>
        <v/>
      </c>
      <c r="V227">
        <f>IF($AH227="","",IF(INDEX('Per Invoice'!V$2:V$401,$AH227)="","",INDEX('Per Invoice'!V$2:V$401,$AH227)))</f>
        <v/>
      </c>
      <c r="W227" s="7">
        <f>IF($AH227="","",IF(INDEX('Per Invoice'!W$2:W$401,$AH227)="","",INDEX('Per Invoice'!W$2:W$401,$AH227)))</f>
        <v/>
      </c>
      <c r="X227" s="7">
        <f>IF($AH227="","",IF(INDEX('Per Invoice'!X$2:X$401,$AH227)="","",INDEX('Per Invoice'!X$2:X$401,$AH227)))</f>
        <v/>
      </c>
      <c r="Y227">
        <f>IF($AH227="","",IF(INDEX('Per Invoice'!Y$2:Y$401,$AH227)="","",INDEX('Per Invoice'!Y$2:Y$401,$AH227)))</f>
        <v/>
      </c>
      <c r="Z227" s="7">
        <f>IF($AH227="","",IF(INDEX('Per Invoice'!Z$2:Z$401,$AH227)="","",INDEX('Per Invoice'!Z$2:Z$401,$AH227)))</f>
        <v/>
      </c>
      <c r="AA227" s="7">
        <f>IF($AH227="","",IF(INDEX('Per Invoice'!AA$2:AA$401,$AH227)="","",INDEX('Per Invoice'!AA$2:AA$401,$AH227)))</f>
        <v/>
      </c>
      <c r="AB227" s="7">
        <f>IF($AH227="","",IF(INDEX('Per Invoice'!AB$2:AB$401,$AH227)="","",INDEX('Per Invoice'!AB$2:AB$401,$AH227)))</f>
        <v/>
      </c>
      <c r="AC227" s="7">
        <f>IF($AH227="","",IF(INDEX('Per Invoice'!AC$2:AC$401,$AH227)="","",INDEX('Per Invoice'!AC$2:AC$401,$AH227)))</f>
        <v/>
      </c>
      <c r="AD227" s="7">
        <f>IF($AH227="","",IF(INDEX('Per Invoice'!AD$2:AD$401,$AH227)="","",INDEX('Per Invoice'!AD$2:AD$401,$AH227)))</f>
        <v/>
      </c>
      <c r="AE227" s="7">
        <f>IF($AH227="","",IF(INDEX('Per Invoice'!AE$2:AE$401,$AH227)="","",INDEX('Per Invoice'!AE$2:AE$401,$AH227)))</f>
        <v/>
      </c>
      <c r="AF227">
        <f>IF($AH227="","",IF(INDEX('Per Invoice'!AF$2:AF$401,$AH227)="","",INDEX('Per Invoice'!AF$2:AF$401,$AH227)))</f>
        <v/>
      </c>
      <c r="AG227" s="7">
        <f>IF($AH227="","",IF(INDEX('Per Invoice'!AG$2:AG$401,$AH227)="","",INDEX('Per Invoice'!AG$2:AG$401,$AH227)))</f>
        <v/>
      </c>
      <c r="AH227" s="16">
        <f>IFERROR(MATCH(Settings!$C$27&amp;"|"&amp;ROWS($AH$2:$AH227),'Per Invoice'!$AI$2:$AI$401,0),"")</f>
        <v/>
      </c>
    </row>
    <row r="228">
      <c r="A228">
        <f>IF($AH228="","",IF(INDEX('Per Invoice'!A$2:A$401,$AH228)="","",INDEX('Per Invoice'!A$2:A$401,$AH228)))</f>
        <v/>
      </c>
      <c r="B228">
        <f>IF($AH228="","",IF(INDEX('Per Invoice'!B$2:B$401,$AH228)="","",INDEX('Per Invoice'!B$2:B$401,$AH228)))</f>
        <v/>
      </c>
      <c r="C228">
        <f>IF($AH228="","",IF(INDEX('Per Invoice'!C$2:C$401,$AH228)="","",INDEX('Per Invoice'!C$2:C$401,$AH228)))</f>
        <v/>
      </c>
      <c r="D228">
        <f>IF($AH228="","",IF(INDEX('Per Invoice'!D$2:D$401,$AH228)="","",INDEX('Per Invoice'!D$2:D$401,$AH228)))</f>
        <v/>
      </c>
      <c r="E228">
        <f>IF($AH228="","",IF(INDEX('Per Invoice'!E$2:E$401,$AH228)="","",INDEX('Per Invoice'!E$2:E$401,$AH228)))</f>
        <v/>
      </c>
      <c r="F228">
        <f>IF($AH228="","",IF(INDEX('Per Invoice'!F$2:F$401,$AH228)="","",INDEX('Per Invoice'!F$2:F$401,$AH228)))</f>
        <v/>
      </c>
      <c r="G228">
        <f>IF($AH228="","",IF(INDEX('Per Invoice'!G$2:G$401,$AH228)="","",INDEX('Per Invoice'!G$2:G$401,$AH228)))</f>
        <v/>
      </c>
      <c r="H228">
        <f>IF($AH228="","",IF(INDEX('Per Invoice'!H$2:H$401,$AH228)="","",INDEX('Per Invoice'!H$2:H$401,$AH228)))</f>
        <v/>
      </c>
      <c r="I228" s="14">
        <f>IF($AH228="","",IF(INDEX('Per Invoice'!I$2:I$401,$AH228)="","",INDEX('Per Invoice'!I$2:I$401,$AH228)))</f>
        <v/>
      </c>
      <c r="J228">
        <f>IF($AH228="","",IF(INDEX('Per Invoice'!J$2:J$401,$AH228)="","",INDEX('Per Invoice'!J$2:J$401,$AH228)))</f>
        <v/>
      </c>
      <c r="K228">
        <f>IF($AH228="","",IF(INDEX('Per Invoice'!K$2:K$401,$AH228)="","",INDEX('Per Invoice'!K$2:K$401,$AH228)))</f>
        <v/>
      </c>
      <c r="L228">
        <f>IF($AH228="","",IF(INDEX('Per Invoice'!L$2:L$401,$AH228)="","",INDEX('Per Invoice'!L$2:L$401,$AH228)))</f>
        <v/>
      </c>
      <c r="M228">
        <f>IF($AH228="","",IF(INDEX('Per Invoice'!M$2:M$401,$AH228)="","",INDEX('Per Invoice'!M$2:M$401,$AH228)))</f>
        <v/>
      </c>
      <c r="N228">
        <f>IF($AH228="","",IF(INDEX('Per Invoice'!N$2:N$401,$AH228)="","",INDEX('Per Invoice'!N$2:N$401,$AH228)))</f>
        <v/>
      </c>
      <c r="O228">
        <f>IF($AH228="","",IF(INDEX('Per Invoice'!O$2:O$401,$AH228)="","",INDEX('Per Invoice'!O$2:O$401,$AH228)))</f>
        <v/>
      </c>
      <c r="P228" s="7">
        <f>IF($AH228="","",IF(INDEX('Per Invoice'!P$2:P$401,$AH228)="","",INDEX('Per Invoice'!P$2:P$401,$AH228)))</f>
        <v/>
      </c>
      <c r="Q228">
        <f>IF($AH228="","",IF(INDEX('Per Invoice'!Q$2:Q$401,$AH228)="","",INDEX('Per Invoice'!Q$2:Q$401,$AH228)))</f>
        <v/>
      </c>
      <c r="R228">
        <f>IF($AH228="","",IF(INDEX('Per Invoice'!R$2:R$401,$AH228)="","",INDEX('Per Invoice'!R$2:R$401,$AH228)))</f>
        <v/>
      </c>
      <c r="S228">
        <f>IF($AH228="","",IF(INDEX('Per Invoice'!S$2:S$401,$AH228)="","",INDEX('Per Invoice'!S$2:S$401,$AH228)))</f>
        <v/>
      </c>
      <c r="T228" s="7">
        <f>IF($AH228="","",IF(INDEX('Per Invoice'!T$2:T$401,$AH228)="","",INDEX('Per Invoice'!T$2:T$401,$AH228)))</f>
        <v/>
      </c>
      <c r="U228" s="7">
        <f>IF($AH228="","",IF(INDEX('Per Invoice'!U$2:U$401,$AH228)="","",INDEX('Per Invoice'!U$2:U$401,$AH228)))</f>
        <v/>
      </c>
      <c r="V228">
        <f>IF($AH228="","",IF(INDEX('Per Invoice'!V$2:V$401,$AH228)="","",INDEX('Per Invoice'!V$2:V$401,$AH228)))</f>
        <v/>
      </c>
      <c r="W228" s="7">
        <f>IF($AH228="","",IF(INDEX('Per Invoice'!W$2:W$401,$AH228)="","",INDEX('Per Invoice'!W$2:W$401,$AH228)))</f>
        <v/>
      </c>
      <c r="X228" s="7">
        <f>IF($AH228="","",IF(INDEX('Per Invoice'!X$2:X$401,$AH228)="","",INDEX('Per Invoice'!X$2:X$401,$AH228)))</f>
        <v/>
      </c>
      <c r="Y228">
        <f>IF($AH228="","",IF(INDEX('Per Invoice'!Y$2:Y$401,$AH228)="","",INDEX('Per Invoice'!Y$2:Y$401,$AH228)))</f>
        <v/>
      </c>
      <c r="Z228" s="7">
        <f>IF($AH228="","",IF(INDEX('Per Invoice'!Z$2:Z$401,$AH228)="","",INDEX('Per Invoice'!Z$2:Z$401,$AH228)))</f>
        <v/>
      </c>
      <c r="AA228" s="7">
        <f>IF($AH228="","",IF(INDEX('Per Invoice'!AA$2:AA$401,$AH228)="","",INDEX('Per Invoice'!AA$2:AA$401,$AH228)))</f>
        <v/>
      </c>
      <c r="AB228" s="7">
        <f>IF($AH228="","",IF(INDEX('Per Invoice'!AB$2:AB$401,$AH228)="","",INDEX('Per Invoice'!AB$2:AB$401,$AH228)))</f>
        <v/>
      </c>
      <c r="AC228" s="7">
        <f>IF($AH228="","",IF(INDEX('Per Invoice'!AC$2:AC$401,$AH228)="","",INDEX('Per Invoice'!AC$2:AC$401,$AH228)))</f>
        <v/>
      </c>
      <c r="AD228" s="7">
        <f>IF($AH228="","",IF(INDEX('Per Invoice'!AD$2:AD$401,$AH228)="","",INDEX('Per Invoice'!AD$2:AD$401,$AH228)))</f>
        <v/>
      </c>
      <c r="AE228" s="7">
        <f>IF($AH228="","",IF(INDEX('Per Invoice'!AE$2:AE$401,$AH228)="","",INDEX('Per Invoice'!AE$2:AE$401,$AH228)))</f>
        <v/>
      </c>
      <c r="AF228">
        <f>IF($AH228="","",IF(INDEX('Per Invoice'!AF$2:AF$401,$AH228)="","",INDEX('Per Invoice'!AF$2:AF$401,$AH228)))</f>
        <v/>
      </c>
      <c r="AG228" s="7">
        <f>IF($AH228="","",IF(INDEX('Per Invoice'!AG$2:AG$401,$AH228)="","",INDEX('Per Invoice'!AG$2:AG$401,$AH228)))</f>
        <v/>
      </c>
      <c r="AH228" s="16">
        <f>IFERROR(MATCH(Settings!$C$27&amp;"|"&amp;ROWS($AH$2:$AH228),'Per Invoice'!$AI$2:$AI$401,0),"")</f>
        <v/>
      </c>
    </row>
    <row r="229">
      <c r="A229">
        <f>IF($AH229="","",IF(INDEX('Per Invoice'!A$2:A$401,$AH229)="","",INDEX('Per Invoice'!A$2:A$401,$AH229)))</f>
        <v/>
      </c>
      <c r="B229">
        <f>IF($AH229="","",IF(INDEX('Per Invoice'!B$2:B$401,$AH229)="","",INDEX('Per Invoice'!B$2:B$401,$AH229)))</f>
        <v/>
      </c>
      <c r="C229">
        <f>IF($AH229="","",IF(INDEX('Per Invoice'!C$2:C$401,$AH229)="","",INDEX('Per Invoice'!C$2:C$401,$AH229)))</f>
        <v/>
      </c>
      <c r="D229">
        <f>IF($AH229="","",IF(INDEX('Per Invoice'!D$2:D$401,$AH229)="","",INDEX('Per Invoice'!D$2:D$401,$AH229)))</f>
        <v/>
      </c>
      <c r="E229">
        <f>IF($AH229="","",IF(INDEX('Per Invoice'!E$2:E$401,$AH229)="","",INDEX('Per Invoice'!E$2:E$401,$AH229)))</f>
        <v/>
      </c>
      <c r="F229">
        <f>IF($AH229="","",IF(INDEX('Per Invoice'!F$2:F$401,$AH229)="","",INDEX('Per Invoice'!F$2:F$401,$AH229)))</f>
        <v/>
      </c>
      <c r="G229">
        <f>IF($AH229="","",IF(INDEX('Per Invoice'!G$2:G$401,$AH229)="","",INDEX('Per Invoice'!G$2:G$401,$AH229)))</f>
        <v/>
      </c>
      <c r="H229">
        <f>IF($AH229="","",IF(INDEX('Per Invoice'!H$2:H$401,$AH229)="","",INDEX('Per Invoice'!H$2:H$401,$AH229)))</f>
        <v/>
      </c>
      <c r="I229" s="14">
        <f>IF($AH229="","",IF(INDEX('Per Invoice'!I$2:I$401,$AH229)="","",INDEX('Per Invoice'!I$2:I$401,$AH229)))</f>
        <v/>
      </c>
      <c r="J229">
        <f>IF($AH229="","",IF(INDEX('Per Invoice'!J$2:J$401,$AH229)="","",INDEX('Per Invoice'!J$2:J$401,$AH229)))</f>
        <v/>
      </c>
      <c r="K229">
        <f>IF($AH229="","",IF(INDEX('Per Invoice'!K$2:K$401,$AH229)="","",INDEX('Per Invoice'!K$2:K$401,$AH229)))</f>
        <v/>
      </c>
      <c r="L229">
        <f>IF($AH229="","",IF(INDEX('Per Invoice'!L$2:L$401,$AH229)="","",INDEX('Per Invoice'!L$2:L$401,$AH229)))</f>
        <v/>
      </c>
      <c r="M229">
        <f>IF($AH229="","",IF(INDEX('Per Invoice'!M$2:M$401,$AH229)="","",INDEX('Per Invoice'!M$2:M$401,$AH229)))</f>
        <v/>
      </c>
      <c r="N229">
        <f>IF($AH229="","",IF(INDEX('Per Invoice'!N$2:N$401,$AH229)="","",INDEX('Per Invoice'!N$2:N$401,$AH229)))</f>
        <v/>
      </c>
      <c r="O229">
        <f>IF($AH229="","",IF(INDEX('Per Invoice'!O$2:O$401,$AH229)="","",INDEX('Per Invoice'!O$2:O$401,$AH229)))</f>
        <v/>
      </c>
      <c r="P229" s="7">
        <f>IF($AH229="","",IF(INDEX('Per Invoice'!P$2:P$401,$AH229)="","",INDEX('Per Invoice'!P$2:P$401,$AH229)))</f>
        <v/>
      </c>
      <c r="Q229">
        <f>IF($AH229="","",IF(INDEX('Per Invoice'!Q$2:Q$401,$AH229)="","",INDEX('Per Invoice'!Q$2:Q$401,$AH229)))</f>
        <v/>
      </c>
      <c r="R229">
        <f>IF($AH229="","",IF(INDEX('Per Invoice'!R$2:R$401,$AH229)="","",INDEX('Per Invoice'!R$2:R$401,$AH229)))</f>
        <v/>
      </c>
      <c r="S229">
        <f>IF($AH229="","",IF(INDEX('Per Invoice'!S$2:S$401,$AH229)="","",INDEX('Per Invoice'!S$2:S$401,$AH229)))</f>
        <v/>
      </c>
      <c r="T229" s="7">
        <f>IF($AH229="","",IF(INDEX('Per Invoice'!T$2:T$401,$AH229)="","",INDEX('Per Invoice'!T$2:T$401,$AH229)))</f>
        <v/>
      </c>
      <c r="U229" s="7">
        <f>IF($AH229="","",IF(INDEX('Per Invoice'!U$2:U$401,$AH229)="","",INDEX('Per Invoice'!U$2:U$401,$AH229)))</f>
        <v/>
      </c>
      <c r="V229">
        <f>IF($AH229="","",IF(INDEX('Per Invoice'!V$2:V$401,$AH229)="","",INDEX('Per Invoice'!V$2:V$401,$AH229)))</f>
        <v/>
      </c>
      <c r="W229" s="7">
        <f>IF($AH229="","",IF(INDEX('Per Invoice'!W$2:W$401,$AH229)="","",INDEX('Per Invoice'!W$2:W$401,$AH229)))</f>
        <v/>
      </c>
      <c r="X229" s="7">
        <f>IF($AH229="","",IF(INDEX('Per Invoice'!X$2:X$401,$AH229)="","",INDEX('Per Invoice'!X$2:X$401,$AH229)))</f>
        <v/>
      </c>
      <c r="Y229">
        <f>IF($AH229="","",IF(INDEX('Per Invoice'!Y$2:Y$401,$AH229)="","",INDEX('Per Invoice'!Y$2:Y$401,$AH229)))</f>
        <v/>
      </c>
      <c r="Z229" s="7">
        <f>IF($AH229="","",IF(INDEX('Per Invoice'!Z$2:Z$401,$AH229)="","",INDEX('Per Invoice'!Z$2:Z$401,$AH229)))</f>
        <v/>
      </c>
      <c r="AA229" s="7">
        <f>IF($AH229="","",IF(INDEX('Per Invoice'!AA$2:AA$401,$AH229)="","",INDEX('Per Invoice'!AA$2:AA$401,$AH229)))</f>
        <v/>
      </c>
      <c r="AB229" s="7">
        <f>IF($AH229="","",IF(INDEX('Per Invoice'!AB$2:AB$401,$AH229)="","",INDEX('Per Invoice'!AB$2:AB$401,$AH229)))</f>
        <v/>
      </c>
      <c r="AC229" s="7">
        <f>IF($AH229="","",IF(INDEX('Per Invoice'!AC$2:AC$401,$AH229)="","",INDEX('Per Invoice'!AC$2:AC$401,$AH229)))</f>
        <v/>
      </c>
      <c r="AD229" s="7">
        <f>IF($AH229="","",IF(INDEX('Per Invoice'!AD$2:AD$401,$AH229)="","",INDEX('Per Invoice'!AD$2:AD$401,$AH229)))</f>
        <v/>
      </c>
      <c r="AE229" s="7">
        <f>IF($AH229="","",IF(INDEX('Per Invoice'!AE$2:AE$401,$AH229)="","",INDEX('Per Invoice'!AE$2:AE$401,$AH229)))</f>
        <v/>
      </c>
      <c r="AF229">
        <f>IF($AH229="","",IF(INDEX('Per Invoice'!AF$2:AF$401,$AH229)="","",INDEX('Per Invoice'!AF$2:AF$401,$AH229)))</f>
        <v/>
      </c>
      <c r="AG229" s="7">
        <f>IF($AH229="","",IF(INDEX('Per Invoice'!AG$2:AG$401,$AH229)="","",INDEX('Per Invoice'!AG$2:AG$401,$AH229)))</f>
        <v/>
      </c>
      <c r="AH229" s="16">
        <f>IFERROR(MATCH(Settings!$C$27&amp;"|"&amp;ROWS($AH$2:$AH229),'Per Invoice'!$AI$2:$AI$401,0),"")</f>
        <v/>
      </c>
    </row>
    <row r="230">
      <c r="A230">
        <f>IF($AH230="","",IF(INDEX('Per Invoice'!A$2:A$401,$AH230)="","",INDEX('Per Invoice'!A$2:A$401,$AH230)))</f>
        <v/>
      </c>
      <c r="B230">
        <f>IF($AH230="","",IF(INDEX('Per Invoice'!B$2:B$401,$AH230)="","",INDEX('Per Invoice'!B$2:B$401,$AH230)))</f>
        <v/>
      </c>
      <c r="C230">
        <f>IF($AH230="","",IF(INDEX('Per Invoice'!C$2:C$401,$AH230)="","",INDEX('Per Invoice'!C$2:C$401,$AH230)))</f>
        <v/>
      </c>
      <c r="D230">
        <f>IF($AH230="","",IF(INDEX('Per Invoice'!D$2:D$401,$AH230)="","",INDEX('Per Invoice'!D$2:D$401,$AH230)))</f>
        <v/>
      </c>
      <c r="E230">
        <f>IF($AH230="","",IF(INDEX('Per Invoice'!E$2:E$401,$AH230)="","",INDEX('Per Invoice'!E$2:E$401,$AH230)))</f>
        <v/>
      </c>
      <c r="F230">
        <f>IF($AH230="","",IF(INDEX('Per Invoice'!F$2:F$401,$AH230)="","",INDEX('Per Invoice'!F$2:F$401,$AH230)))</f>
        <v/>
      </c>
      <c r="G230">
        <f>IF($AH230="","",IF(INDEX('Per Invoice'!G$2:G$401,$AH230)="","",INDEX('Per Invoice'!G$2:G$401,$AH230)))</f>
        <v/>
      </c>
      <c r="H230">
        <f>IF($AH230="","",IF(INDEX('Per Invoice'!H$2:H$401,$AH230)="","",INDEX('Per Invoice'!H$2:H$401,$AH230)))</f>
        <v/>
      </c>
      <c r="I230" s="14">
        <f>IF($AH230="","",IF(INDEX('Per Invoice'!I$2:I$401,$AH230)="","",INDEX('Per Invoice'!I$2:I$401,$AH230)))</f>
        <v/>
      </c>
      <c r="J230">
        <f>IF($AH230="","",IF(INDEX('Per Invoice'!J$2:J$401,$AH230)="","",INDEX('Per Invoice'!J$2:J$401,$AH230)))</f>
        <v/>
      </c>
      <c r="K230">
        <f>IF($AH230="","",IF(INDEX('Per Invoice'!K$2:K$401,$AH230)="","",INDEX('Per Invoice'!K$2:K$401,$AH230)))</f>
        <v/>
      </c>
      <c r="L230">
        <f>IF($AH230="","",IF(INDEX('Per Invoice'!L$2:L$401,$AH230)="","",INDEX('Per Invoice'!L$2:L$401,$AH230)))</f>
        <v/>
      </c>
      <c r="M230">
        <f>IF($AH230="","",IF(INDEX('Per Invoice'!M$2:M$401,$AH230)="","",INDEX('Per Invoice'!M$2:M$401,$AH230)))</f>
        <v/>
      </c>
      <c r="N230">
        <f>IF($AH230="","",IF(INDEX('Per Invoice'!N$2:N$401,$AH230)="","",INDEX('Per Invoice'!N$2:N$401,$AH230)))</f>
        <v/>
      </c>
      <c r="O230">
        <f>IF($AH230="","",IF(INDEX('Per Invoice'!O$2:O$401,$AH230)="","",INDEX('Per Invoice'!O$2:O$401,$AH230)))</f>
        <v/>
      </c>
      <c r="P230" s="7">
        <f>IF($AH230="","",IF(INDEX('Per Invoice'!P$2:P$401,$AH230)="","",INDEX('Per Invoice'!P$2:P$401,$AH230)))</f>
        <v/>
      </c>
      <c r="Q230">
        <f>IF($AH230="","",IF(INDEX('Per Invoice'!Q$2:Q$401,$AH230)="","",INDEX('Per Invoice'!Q$2:Q$401,$AH230)))</f>
        <v/>
      </c>
      <c r="R230">
        <f>IF($AH230="","",IF(INDEX('Per Invoice'!R$2:R$401,$AH230)="","",INDEX('Per Invoice'!R$2:R$401,$AH230)))</f>
        <v/>
      </c>
      <c r="S230">
        <f>IF($AH230="","",IF(INDEX('Per Invoice'!S$2:S$401,$AH230)="","",INDEX('Per Invoice'!S$2:S$401,$AH230)))</f>
        <v/>
      </c>
      <c r="T230" s="7">
        <f>IF($AH230="","",IF(INDEX('Per Invoice'!T$2:T$401,$AH230)="","",INDEX('Per Invoice'!T$2:T$401,$AH230)))</f>
        <v/>
      </c>
      <c r="U230" s="7">
        <f>IF($AH230="","",IF(INDEX('Per Invoice'!U$2:U$401,$AH230)="","",INDEX('Per Invoice'!U$2:U$401,$AH230)))</f>
        <v/>
      </c>
      <c r="V230">
        <f>IF($AH230="","",IF(INDEX('Per Invoice'!V$2:V$401,$AH230)="","",INDEX('Per Invoice'!V$2:V$401,$AH230)))</f>
        <v/>
      </c>
      <c r="W230" s="7">
        <f>IF($AH230="","",IF(INDEX('Per Invoice'!W$2:W$401,$AH230)="","",INDEX('Per Invoice'!W$2:W$401,$AH230)))</f>
        <v/>
      </c>
      <c r="X230" s="7">
        <f>IF($AH230="","",IF(INDEX('Per Invoice'!X$2:X$401,$AH230)="","",INDEX('Per Invoice'!X$2:X$401,$AH230)))</f>
        <v/>
      </c>
      <c r="Y230">
        <f>IF($AH230="","",IF(INDEX('Per Invoice'!Y$2:Y$401,$AH230)="","",INDEX('Per Invoice'!Y$2:Y$401,$AH230)))</f>
        <v/>
      </c>
      <c r="Z230" s="7">
        <f>IF($AH230="","",IF(INDEX('Per Invoice'!Z$2:Z$401,$AH230)="","",INDEX('Per Invoice'!Z$2:Z$401,$AH230)))</f>
        <v/>
      </c>
      <c r="AA230" s="7">
        <f>IF($AH230="","",IF(INDEX('Per Invoice'!AA$2:AA$401,$AH230)="","",INDEX('Per Invoice'!AA$2:AA$401,$AH230)))</f>
        <v/>
      </c>
      <c r="AB230" s="7">
        <f>IF($AH230="","",IF(INDEX('Per Invoice'!AB$2:AB$401,$AH230)="","",INDEX('Per Invoice'!AB$2:AB$401,$AH230)))</f>
        <v/>
      </c>
      <c r="AC230" s="7">
        <f>IF($AH230="","",IF(INDEX('Per Invoice'!AC$2:AC$401,$AH230)="","",INDEX('Per Invoice'!AC$2:AC$401,$AH230)))</f>
        <v/>
      </c>
      <c r="AD230" s="7">
        <f>IF($AH230="","",IF(INDEX('Per Invoice'!AD$2:AD$401,$AH230)="","",INDEX('Per Invoice'!AD$2:AD$401,$AH230)))</f>
        <v/>
      </c>
      <c r="AE230" s="7">
        <f>IF($AH230="","",IF(INDEX('Per Invoice'!AE$2:AE$401,$AH230)="","",INDEX('Per Invoice'!AE$2:AE$401,$AH230)))</f>
        <v/>
      </c>
      <c r="AF230">
        <f>IF($AH230="","",IF(INDEX('Per Invoice'!AF$2:AF$401,$AH230)="","",INDEX('Per Invoice'!AF$2:AF$401,$AH230)))</f>
        <v/>
      </c>
      <c r="AG230" s="7">
        <f>IF($AH230="","",IF(INDEX('Per Invoice'!AG$2:AG$401,$AH230)="","",INDEX('Per Invoice'!AG$2:AG$401,$AH230)))</f>
        <v/>
      </c>
      <c r="AH230" s="16">
        <f>IFERROR(MATCH(Settings!$C$27&amp;"|"&amp;ROWS($AH$2:$AH230),'Per Invoice'!$AI$2:$AI$401,0),"")</f>
        <v/>
      </c>
    </row>
    <row r="231">
      <c r="A231">
        <f>IF($AH231="","",IF(INDEX('Per Invoice'!A$2:A$401,$AH231)="","",INDEX('Per Invoice'!A$2:A$401,$AH231)))</f>
        <v/>
      </c>
      <c r="B231">
        <f>IF($AH231="","",IF(INDEX('Per Invoice'!B$2:B$401,$AH231)="","",INDEX('Per Invoice'!B$2:B$401,$AH231)))</f>
        <v/>
      </c>
      <c r="C231">
        <f>IF($AH231="","",IF(INDEX('Per Invoice'!C$2:C$401,$AH231)="","",INDEX('Per Invoice'!C$2:C$401,$AH231)))</f>
        <v/>
      </c>
      <c r="D231">
        <f>IF($AH231="","",IF(INDEX('Per Invoice'!D$2:D$401,$AH231)="","",INDEX('Per Invoice'!D$2:D$401,$AH231)))</f>
        <v/>
      </c>
      <c r="E231">
        <f>IF($AH231="","",IF(INDEX('Per Invoice'!E$2:E$401,$AH231)="","",INDEX('Per Invoice'!E$2:E$401,$AH231)))</f>
        <v/>
      </c>
      <c r="F231">
        <f>IF($AH231="","",IF(INDEX('Per Invoice'!F$2:F$401,$AH231)="","",INDEX('Per Invoice'!F$2:F$401,$AH231)))</f>
        <v/>
      </c>
      <c r="G231">
        <f>IF($AH231="","",IF(INDEX('Per Invoice'!G$2:G$401,$AH231)="","",INDEX('Per Invoice'!G$2:G$401,$AH231)))</f>
        <v/>
      </c>
      <c r="H231">
        <f>IF($AH231="","",IF(INDEX('Per Invoice'!H$2:H$401,$AH231)="","",INDEX('Per Invoice'!H$2:H$401,$AH231)))</f>
        <v/>
      </c>
      <c r="I231" s="14">
        <f>IF($AH231="","",IF(INDEX('Per Invoice'!I$2:I$401,$AH231)="","",INDEX('Per Invoice'!I$2:I$401,$AH231)))</f>
        <v/>
      </c>
      <c r="J231">
        <f>IF($AH231="","",IF(INDEX('Per Invoice'!J$2:J$401,$AH231)="","",INDEX('Per Invoice'!J$2:J$401,$AH231)))</f>
        <v/>
      </c>
      <c r="K231">
        <f>IF($AH231="","",IF(INDEX('Per Invoice'!K$2:K$401,$AH231)="","",INDEX('Per Invoice'!K$2:K$401,$AH231)))</f>
        <v/>
      </c>
      <c r="L231">
        <f>IF($AH231="","",IF(INDEX('Per Invoice'!L$2:L$401,$AH231)="","",INDEX('Per Invoice'!L$2:L$401,$AH231)))</f>
        <v/>
      </c>
      <c r="M231">
        <f>IF($AH231="","",IF(INDEX('Per Invoice'!M$2:M$401,$AH231)="","",INDEX('Per Invoice'!M$2:M$401,$AH231)))</f>
        <v/>
      </c>
      <c r="N231">
        <f>IF($AH231="","",IF(INDEX('Per Invoice'!N$2:N$401,$AH231)="","",INDEX('Per Invoice'!N$2:N$401,$AH231)))</f>
        <v/>
      </c>
      <c r="O231">
        <f>IF($AH231="","",IF(INDEX('Per Invoice'!O$2:O$401,$AH231)="","",INDEX('Per Invoice'!O$2:O$401,$AH231)))</f>
        <v/>
      </c>
      <c r="P231" s="7">
        <f>IF($AH231="","",IF(INDEX('Per Invoice'!P$2:P$401,$AH231)="","",INDEX('Per Invoice'!P$2:P$401,$AH231)))</f>
        <v/>
      </c>
      <c r="Q231">
        <f>IF($AH231="","",IF(INDEX('Per Invoice'!Q$2:Q$401,$AH231)="","",INDEX('Per Invoice'!Q$2:Q$401,$AH231)))</f>
        <v/>
      </c>
      <c r="R231">
        <f>IF($AH231="","",IF(INDEX('Per Invoice'!R$2:R$401,$AH231)="","",INDEX('Per Invoice'!R$2:R$401,$AH231)))</f>
        <v/>
      </c>
      <c r="S231">
        <f>IF($AH231="","",IF(INDEX('Per Invoice'!S$2:S$401,$AH231)="","",INDEX('Per Invoice'!S$2:S$401,$AH231)))</f>
        <v/>
      </c>
      <c r="T231" s="7">
        <f>IF($AH231="","",IF(INDEX('Per Invoice'!T$2:T$401,$AH231)="","",INDEX('Per Invoice'!T$2:T$401,$AH231)))</f>
        <v/>
      </c>
      <c r="U231" s="7">
        <f>IF($AH231="","",IF(INDEX('Per Invoice'!U$2:U$401,$AH231)="","",INDEX('Per Invoice'!U$2:U$401,$AH231)))</f>
        <v/>
      </c>
      <c r="V231">
        <f>IF($AH231="","",IF(INDEX('Per Invoice'!V$2:V$401,$AH231)="","",INDEX('Per Invoice'!V$2:V$401,$AH231)))</f>
        <v/>
      </c>
      <c r="W231" s="7">
        <f>IF($AH231="","",IF(INDEX('Per Invoice'!W$2:W$401,$AH231)="","",INDEX('Per Invoice'!W$2:W$401,$AH231)))</f>
        <v/>
      </c>
      <c r="X231" s="7">
        <f>IF($AH231="","",IF(INDEX('Per Invoice'!X$2:X$401,$AH231)="","",INDEX('Per Invoice'!X$2:X$401,$AH231)))</f>
        <v/>
      </c>
      <c r="Y231">
        <f>IF($AH231="","",IF(INDEX('Per Invoice'!Y$2:Y$401,$AH231)="","",INDEX('Per Invoice'!Y$2:Y$401,$AH231)))</f>
        <v/>
      </c>
      <c r="Z231" s="7">
        <f>IF($AH231="","",IF(INDEX('Per Invoice'!Z$2:Z$401,$AH231)="","",INDEX('Per Invoice'!Z$2:Z$401,$AH231)))</f>
        <v/>
      </c>
      <c r="AA231" s="7">
        <f>IF($AH231="","",IF(INDEX('Per Invoice'!AA$2:AA$401,$AH231)="","",INDEX('Per Invoice'!AA$2:AA$401,$AH231)))</f>
        <v/>
      </c>
      <c r="AB231" s="7">
        <f>IF($AH231="","",IF(INDEX('Per Invoice'!AB$2:AB$401,$AH231)="","",INDEX('Per Invoice'!AB$2:AB$401,$AH231)))</f>
        <v/>
      </c>
      <c r="AC231" s="7">
        <f>IF($AH231="","",IF(INDEX('Per Invoice'!AC$2:AC$401,$AH231)="","",INDEX('Per Invoice'!AC$2:AC$401,$AH231)))</f>
        <v/>
      </c>
      <c r="AD231" s="7">
        <f>IF($AH231="","",IF(INDEX('Per Invoice'!AD$2:AD$401,$AH231)="","",INDEX('Per Invoice'!AD$2:AD$401,$AH231)))</f>
        <v/>
      </c>
      <c r="AE231" s="7">
        <f>IF($AH231="","",IF(INDEX('Per Invoice'!AE$2:AE$401,$AH231)="","",INDEX('Per Invoice'!AE$2:AE$401,$AH231)))</f>
        <v/>
      </c>
      <c r="AF231">
        <f>IF($AH231="","",IF(INDEX('Per Invoice'!AF$2:AF$401,$AH231)="","",INDEX('Per Invoice'!AF$2:AF$401,$AH231)))</f>
        <v/>
      </c>
      <c r="AG231" s="7">
        <f>IF($AH231="","",IF(INDEX('Per Invoice'!AG$2:AG$401,$AH231)="","",INDEX('Per Invoice'!AG$2:AG$401,$AH231)))</f>
        <v/>
      </c>
      <c r="AH231" s="16">
        <f>IFERROR(MATCH(Settings!$C$27&amp;"|"&amp;ROWS($AH$2:$AH231),'Per Invoice'!$AI$2:$AI$401,0),"")</f>
        <v/>
      </c>
    </row>
    <row r="232">
      <c r="A232">
        <f>IF($AH232="","",IF(INDEX('Per Invoice'!A$2:A$401,$AH232)="","",INDEX('Per Invoice'!A$2:A$401,$AH232)))</f>
        <v/>
      </c>
      <c r="B232">
        <f>IF($AH232="","",IF(INDEX('Per Invoice'!B$2:B$401,$AH232)="","",INDEX('Per Invoice'!B$2:B$401,$AH232)))</f>
        <v/>
      </c>
      <c r="C232">
        <f>IF($AH232="","",IF(INDEX('Per Invoice'!C$2:C$401,$AH232)="","",INDEX('Per Invoice'!C$2:C$401,$AH232)))</f>
        <v/>
      </c>
      <c r="D232">
        <f>IF($AH232="","",IF(INDEX('Per Invoice'!D$2:D$401,$AH232)="","",INDEX('Per Invoice'!D$2:D$401,$AH232)))</f>
        <v/>
      </c>
      <c r="E232">
        <f>IF($AH232="","",IF(INDEX('Per Invoice'!E$2:E$401,$AH232)="","",INDEX('Per Invoice'!E$2:E$401,$AH232)))</f>
        <v/>
      </c>
      <c r="F232">
        <f>IF($AH232="","",IF(INDEX('Per Invoice'!F$2:F$401,$AH232)="","",INDEX('Per Invoice'!F$2:F$401,$AH232)))</f>
        <v/>
      </c>
      <c r="G232">
        <f>IF($AH232="","",IF(INDEX('Per Invoice'!G$2:G$401,$AH232)="","",INDEX('Per Invoice'!G$2:G$401,$AH232)))</f>
        <v/>
      </c>
      <c r="H232">
        <f>IF($AH232="","",IF(INDEX('Per Invoice'!H$2:H$401,$AH232)="","",INDEX('Per Invoice'!H$2:H$401,$AH232)))</f>
        <v/>
      </c>
      <c r="I232" s="14">
        <f>IF($AH232="","",IF(INDEX('Per Invoice'!I$2:I$401,$AH232)="","",INDEX('Per Invoice'!I$2:I$401,$AH232)))</f>
        <v/>
      </c>
      <c r="J232">
        <f>IF($AH232="","",IF(INDEX('Per Invoice'!J$2:J$401,$AH232)="","",INDEX('Per Invoice'!J$2:J$401,$AH232)))</f>
        <v/>
      </c>
      <c r="K232">
        <f>IF($AH232="","",IF(INDEX('Per Invoice'!K$2:K$401,$AH232)="","",INDEX('Per Invoice'!K$2:K$401,$AH232)))</f>
        <v/>
      </c>
      <c r="L232">
        <f>IF($AH232="","",IF(INDEX('Per Invoice'!L$2:L$401,$AH232)="","",INDEX('Per Invoice'!L$2:L$401,$AH232)))</f>
        <v/>
      </c>
      <c r="M232">
        <f>IF($AH232="","",IF(INDEX('Per Invoice'!M$2:M$401,$AH232)="","",INDEX('Per Invoice'!M$2:M$401,$AH232)))</f>
        <v/>
      </c>
      <c r="N232">
        <f>IF($AH232="","",IF(INDEX('Per Invoice'!N$2:N$401,$AH232)="","",INDEX('Per Invoice'!N$2:N$401,$AH232)))</f>
        <v/>
      </c>
      <c r="O232">
        <f>IF($AH232="","",IF(INDEX('Per Invoice'!O$2:O$401,$AH232)="","",INDEX('Per Invoice'!O$2:O$401,$AH232)))</f>
        <v/>
      </c>
      <c r="P232" s="7">
        <f>IF($AH232="","",IF(INDEX('Per Invoice'!P$2:P$401,$AH232)="","",INDEX('Per Invoice'!P$2:P$401,$AH232)))</f>
        <v/>
      </c>
      <c r="Q232">
        <f>IF($AH232="","",IF(INDEX('Per Invoice'!Q$2:Q$401,$AH232)="","",INDEX('Per Invoice'!Q$2:Q$401,$AH232)))</f>
        <v/>
      </c>
      <c r="R232">
        <f>IF($AH232="","",IF(INDEX('Per Invoice'!R$2:R$401,$AH232)="","",INDEX('Per Invoice'!R$2:R$401,$AH232)))</f>
        <v/>
      </c>
      <c r="S232">
        <f>IF($AH232="","",IF(INDEX('Per Invoice'!S$2:S$401,$AH232)="","",INDEX('Per Invoice'!S$2:S$401,$AH232)))</f>
        <v/>
      </c>
      <c r="T232" s="7">
        <f>IF($AH232="","",IF(INDEX('Per Invoice'!T$2:T$401,$AH232)="","",INDEX('Per Invoice'!T$2:T$401,$AH232)))</f>
        <v/>
      </c>
      <c r="U232" s="7">
        <f>IF($AH232="","",IF(INDEX('Per Invoice'!U$2:U$401,$AH232)="","",INDEX('Per Invoice'!U$2:U$401,$AH232)))</f>
        <v/>
      </c>
      <c r="V232">
        <f>IF($AH232="","",IF(INDEX('Per Invoice'!V$2:V$401,$AH232)="","",INDEX('Per Invoice'!V$2:V$401,$AH232)))</f>
        <v/>
      </c>
      <c r="W232" s="7">
        <f>IF($AH232="","",IF(INDEX('Per Invoice'!W$2:W$401,$AH232)="","",INDEX('Per Invoice'!W$2:W$401,$AH232)))</f>
        <v/>
      </c>
      <c r="X232" s="7">
        <f>IF($AH232="","",IF(INDEX('Per Invoice'!X$2:X$401,$AH232)="","",INDEX('Per Invoice'!X$2:X$401,$AH232)))</f>
        <v/>
      </c>
      <c r="Y232">
        <f>IF($AH232="","",IF(INDEX('Per Invoice'!Y$2:Y$401,$AH232)="","",INDEX('Per Invoice'!Y$2:Y$401,$AH232)))</f>
        <v/>
      </c>
      <c r="Z232" s="7">
        <f>IF($AH232="","",IF(INDEX('Per Invoice'!Z$2:Z$401,$AH232)="","",INDEX('Per Invoice'!Z$2:Z$401,$AH232)))</f>
        <v/>
      </c>
      <c r="AA232" s="7">
        <f>IF($AH232="","",IF(INDEX('Per Invoice'!AA$2:AA$401,$AH232)="","",INDEX('Per Invoice'!AA$2:AA$401,$AH232)))</f>
        <v/>
      </c>
      <c r="AB232" s="7">
        <f>IF($AH232="","",IF(INDEX('Per Invoice'!AB$2:AB$401,$AH232)="","",INDEX('Per Invoice'!AB$2:AB$401,$AH232)))</f>
        <v/>
      </c>
      <c r="AC232" s="7">
        <f>IF($AH232="","",IF(INDEX('Per Invoice'!AC$2:AC$401,$AH232)="","",INDEX('Per Invoice'!AC$2:AC$401,$AH232)))</f>
        <v/>
      </c>
      <c r="AD232" s="7">
        <f>IF($AH232="","",IF(INDEX('Per Invoice'!AD$2:AD$401,$AH232)="","",INDEX('Per Invoice'!AD$2:AD$401,$AH232)))</f>
        <v/>
      </c>
      <c r="AE232" s="7">
        <f>IF($AH232="","",IF(INDEX('Per Invoice'!AE$2:AE$401,$AH232)="","",INDEX('Per Invoice'!AE$2:AE$401,$AH232)))</f>
        <v/>
      </c>
      <c r="AF232">
        <f>IF($AH232="","",IF(INDEX('Per Invoice'!AF$2:AF$401,$AH232)="","",INDEX('Per Invoice'!AF$2:AF$401,$AH232)))</f>
        <v/>
      </c>
      <c r="AG232" s="7">
        <f>IF($AH232="","",IF(INDEX('Per Invoice'!AG$2:AG$401,$AH232)="","",INDEX('Per Invoice'!AG$2:AG$401,$AH232)))</f>
        <v/>
      </c>
      <c r="AH232" s="16">
        <f>IFERROR(MATCH(Settings!$C$27&amp;"|"&amp;ROWS($AH$2:$AH232),'Per Invoice'!$AI$2:$AI$401,0),"")</f>
        <v/>
      </c>
    </row>
    <row r="233">
      <c r="A233">
        <f>IF($AH233="","",IF(INDEX('Per Invoice'!A$2:A$401,$AH233)="","",INDEX('Per Invoice'!A$2:A$401,$AH233)))</f>
        <v/>
      </c>
      <c r="B233">
        <f>IF($AH233="","",IF(INDEX('Per Invoice'!B$2:B$401,$AH233)="","",INDEX('Per Invoice'!B$2:B$401,$AH233)))</f>
        <v/>
      </c>
      <c r="C233">
        <f>IF($AH233="","",IF(INDEX('Per Invoice'!C$2:C$401,$AH233)="","",INDEX('Per Invoice'!C$2:C$401,$AH233)))</f>
        <v/>
      </c>
      <c r="D233">
        <f>IF($AH233="","",IF(INDEX('Per Invoice'!D$2:D$401,$AH233)="","",INDEX('Per Invoice'!D$2:D$401,$AH233)))</f>
        <v/>
      </c>
      <c r="E233">
        <f>IF($AH233="","",IF(INDEX('Per Invoice'!E$2:E$401,$AH233)="","",INDEX('Per Invoice'!E$2:E$401,$AH233)))</f>
        <v/>
      </c>
      <c r="F233">
        <f>IF($AH233="","",IF(INDEX('Per Invoice'!F$2:F$401,$AH233)="","",INDEX('Per Invoice'!F$2:F$401,$AH233)))</f>
        <v/>
      </c>
      <c r="G233">
        <f>IF($AH233="","",IF(INDEX('Per Invoice'!G$2:G$401,$AH233)="","",INDEX('Per Invoice'!G$2:G$401,$AH233)))</f>
        <v/>
      </c>
      <c r="H233">
        <f>IF($AH233="","",IF(INDEX('Per Invoice'!H$2:H$401,$AH233)="","",INDEX('Per Invoice'!H$2:H$401,$AH233)))</f>
        <v/>
      </c>
      <c r="I233" s="14">
        <f>IF($AH233="","",IF(INDEX('Per Invoice'!I$2:I$401,$AH233)="","",INDEX('Per Invoice'!I$2:I$401,$AH233)))</f>
        <v/>
      </c>
      <c r="J233">
        <f>IF($AH233="","",IF(INDEX('Per Invoice'!J$2:J$401,$AH233)="","",INDEX('Per Invoice'!J$2:J$401,$AH233)))</f>
        <v/>
      </c>
      <c r="K233">
        <f>IF($AH233="","",IF(INDEX('Per Invoice'!K$2:K$401,$AH233)="","",INDEX('Per Invoice'!K$2:K$401,$AH233)))</f>
        <v/>
      </c>
      <c r="L233">
        <f>IF($AH233="","",IF(INDEX('Per Invoice'!L$2:L$401,$AH233)="","",INDEX('Per Invoice'!L$2:L$401,$AH233)))</f>
        <v/>
      </c>
      <c r="M233">
        <f>IF($AH233="","",IF(INDEX('Per Invoice'!M$2:M$401,$AH233)="","",INDEX('Per Invoice'!M$2:M$401,$AH233)))</f>
        <v/>
      </c>
      <c r="N233">
        <f>IF($AH233="","",IF(INDEX('Per Invoice'!N$2:N$401,$AH233)="","",INDEX('Per Invoice'!N$2:N$401,$AH233)))</f>
        <v/>
      </c>
      <c r="O233">
        <f>IF($AH233="","",IF(INDEX('Per Invoice'!O$2:O$401,$AH233)="","",INDEX('Per Invoice'!O$2:O$401,$AH233)))</f>
        <v/>
      </c>
      <c r="P233" s="7">
        <f>IF($AH233="","",IF(INDEX('Per Invoice'!P$2:P$401,$AH233)="","",INDEX('Per Invoice'!P$2:P$401,$AH233)))</f>
        <v/>
      </c>
      <c r="Q233">
        <f>IF($AH233="","",IF(INDEX('Per Invoice'!Q$2:Q$401,$AH233)="","",INDEX('Per Invoice'!Q$2:Q$401,$AH233)))</f>
        <v/>
      </c>
      <c r="R233">
        <f>IF($AH233="","",IF(INDEX('Per Invoice'!R$2:R$401,$AH233)="","",INDEX('Per Invoice'!R$2:R$401,$AH233)))</f>
        <v/>
      </c>
      <c r="S233">
        <f>IF($AH233="","",IF(INDEX('Per Invoice'!S$2:S$401,$AH233)="","",INDEX('Per Invoice'!S$2:S$401,$AH233)))</f>
        <v/>
      </c>
      <c r="T233" s="7">
        <f>IF($AH233="","",IF(INDEX('Per Invoice'!T$2:T$401,$AH233)="","",INDEX('Per Invoice'!T$2:T$401,$AH233)))</f>
        <v/>
      </c>
      <c r="U233" s="7">
        <f>IF($AH233="","",IF(INDEX('Per Invoice'!U$2:U$401,$AH233)="","",INDEX('Per Invoice'!U$2:U$401,$AH233)))</f>
        <v/>
      </c>
      <c r="V233">
        <f>IF($AH233="","",IF(INDEX('Per Invoice'!V$2:V$401,$AH233)="","",INDEX('Per Invoice'!V$2:V$401,$AH233)))</f>
        <v/>
      </c>
      <c r="W233" s="7">
        <f>IF($AH233="","",IF(INDEX('Per Invoice'!W$2:W$401,$AH233)="","",INDEX('Per Invoice'!W$2:W$401,$AH233)))</f>
        <v/>
      </c>
      <c r="X233" s="7">
        <f>IF($AH233="","",IF(INDEX('Per Invoice'!X$2:X$401,$AH233)="","",INDEX('Per Invoice'!X$2:X$401,$AH233)))</f>
        <v/>
      </c>
      <c r="Y233">
        <f>IF($AH233="","",IF(INDEX('Per Invoice'!Y$2:Y$401,$AH233)="","",INDEX('Per Invoice'!Y$2:Y$401,$AH233)))</f>
        <v/>
      </c>
      <c r="Z233" s="7">
        <f>IF($AH233="","",IF(INDEX('Per Invoice'!Z$2:Z$401,$AH233)="","",INDEX('Per Invoice'!Z$2:Z$401,$AH233)))</f>
        <v/>
      </c>
      <c r="AA233" s="7">
        <f>IF($AH233="","",IF(INDEX('Per Invoice'!AA$2:AA$401,$AH233)="","",INDEX('Per Invoice'!AA$2:AA$401,$AH233)))</f>
        <v/>
      </c>
      <c r="AB233" s="7">
        <f>IF($AH233="","",IF(INDEX('Per Invoice'!AB$2:AB$401,$AH233)="","",INDEX('Per Invoice'!AB$2:AB$401,$AH233)))</f>
        <v/>
      </c>
      <c r="AC233" s="7">
        <f>IF($AH233="","",IF(INDEX('Per Invoice'!AC$2:AC$401,$AH233)="","",INDEX('Per Invoice'!AC$2:AC$401,$AH233)))</f>
        <v/>
      </c>
      <c r="AD233" s="7">
        <f>IF($AH233="","",IF(INDEX('Per Invoice'!AD$2:AD$401,$AH233)="","",INDEX('Per Invoice'!AD$2:AD$401,$AH233)))</f>
        <v/>
      </c>
      <c r="AE233" s="7">
        <f>IF($AH233="","",IF(INDEX('Per Invoice'!AE$2:AE$401,$AH233)="","",INDEX('Per Invoice'!AE$2:AE$401,$AH233)))</f>
        <v/>
      </c>
      <c r="AF233">
        <f>IF($AH233="","",IF(INDEX('Per Invoice'!AF$2:AF$401,$AH233)="","",INDEX('Per Invoice'!AF$2:AF$401,$AH233)))</f>
        <v/>
      </c>
      <c r="AG233" s="7">
        <f>IF($AH233="","",IF(INDEX('Per Invoice'!AG$2:AG$401,$AH233)="","",INDEX('Per Invoice'!AG$2:AG$401,$AH233)))</f>
        <v/>
      </c>
      <c r="AH233" s="16">
        <f>IFERROR(MATCH(Settings!$C$27&amp;"|"&amp;ROWS($AH$2:$AH233),'Per Invoice'!$AI$2:$AI$401,0),"")</f>
        <v/>
      </c>
    </row>
    <row r="234">
      <c r="A234">
        <f>IF($AH234="","",IF(INDEX('Per Invoice'!A$2:A$401,$AH234)="","",INDEX('Per Invoice'!A$2:A$401,$AH234)))</f>
        <v/>
      </c>
      <c r="B234">
        <f>IF($AH234="","",IF(INDEX('Per Invoice'!B$2:B$401,$AH234)="","",INDEX('Per Invoice'!B$2:B$401,$AH234)))</f>
        <v/>
      </c>
      <c r="C234">
        <f>IF($AH234="","",IF(INDEX('Per Invoice'!C$2:C$401,$AH234)="","",INDEX('Per Invoice'!C$2:C$401,$AH234)))</f>
        <v/>
      </c>
      <c r="D234">
        <f>IF($AH234="","",IF(INDEX('Per Invoice'!D$2:D$401,$AH234)="","",INDEX('Per Invoice'!D$2:D$401,$AH234)))</f>
        <v/>
      </c>
      <c r="E234">
        <f>IF($AH234="","",IF(INDEX('Per Invoice'!E$2:E$401,$AH234)="","",INDEX('Per Invoice'!E$2:E$401,$AH234)))</f>
        <v/>
      </c>
      <c r="F234">
        <f>IF($AH234="","",IF(INDEX('Per Invoice'!F$2:F$401,$AH234)="","",INDEX('Per Invoice'!F$2:F$401,$AH234)))</f>
        <v/>
      </c>
      <c r="G234">
        <f>IF($AH234="","",IF(INDEX('Per Invoice'!G$2:G$401,$AH234)="","",INDEX('Per Invoice'!G$2:G$401,$AH234)))</f>
        <v/>
      </c>
      <c r="H234">
        <f>IF($AH234="","",IF(INDEX('Per Invoice'!H$2:H$401,$AH234)="","",INDEX('Per Invoice'!H$2:H$401,$AH234)))</f>
        <v/>
      </c>
      <c r="I234" s="14">
        <f>IF($AH234="","",IF(INDEX('Per Invoice'!I$2:I$401,$AH234)="","",INDEX('Per Invoice'!I$2:I$401,$AH234)))</f>
        <v/>
      </c>
      <c r="J234">
        <f>IF($AH234="","",IF(INDEX('Per Invoice'!J$2:J$401,$AH234)="","",INDEX('Per Invoice'!J$2:J$401,$AH234)))</f>
        <v/>
      </c>
      <c r="K234">
        <f>IF($AH234="","",IF(INDEX('Per Invoice'!K$2:K$401,$AH234)="","",INDEX('Per Invoice'!K$2:K$401,$AH234)))</f>
        <v/>
      </c>
      <c r="L234">
        <f>IF($AH234="","",IF(INDEX('Per Invoice'!L$2:L$401,$AH234)="","",INDEX('Per Invoice'!L$2:L$401,$AH234)))</f>
        <v/>
      </c>
      <c r="M234">
        <f>IF($AH234="","",IF(INDEX('Per Invoice'!M$2:M$401,$AH234)="","",INDEX('Per Invoice'!M$2:M$401,$AH234)))</f>
        <v/>
      </c>
      <c r="N234">
        <f>IF($AH234="","",IF(INDEX('Per Invoice'!N$2:N$401,$AH234)="","",INDEX('Per Invoice'!N$2:N$401,$AH234)))</f>
        <v/>
      </c>
      <c r="O234">
        <f>IF($AH234="","",IF(INDEX('Per Invoice'!O$2:O$401,$AH234)="","",INDEX('Per Invoice'!O$2:O$401,$AH234)))</f>
        <v/>
      </c>
      <c r="P234" s="7">
        <f>IF($AH234="","",IF(INDEX('Per Invoice'!P$2:P$401,$AH234)="","",INDEX('Per Invoice'!P$2:P$401,$AH234)))</f>
        <v/>
      </c>
      <c r="Q234">
        <f>IF($AH234="","",IF(INDEX('Per Invoice'!Q$2:Q$401,$AH234)="","",INDEX('Per Invoice'!Q$2:Q$401,$AH234)))</f>
        <v/>
      </c>
      <c r="R234">
        <f>IF($AH234="","",IF(INDEX('Per Invoice'!R$2:R$401,$AH234)="","",INDEX('Per Invoice'!R$2:R$401,$AH234)))</f>
        <v/>
      </c>
      <c r="S234">
        <f>IF($AH234="","",IF(INDEX('Per Invoice'!S$2:S$401,$AH234)="","",INDEX('Per Invoice'!S$2:S$401,$AH234)))</f>
        <v/>
      </c>
      <c r="T234" s="7">
        <f>IF($AH234="","",IF(INDEX('Per Invoice'!T$2:T$401,$AH234)="","",INDEX('Per Invoice'!T$2:T$401,$AH234)))</f>
        <v/>
      </c>
      <c r="U234" s="7">
        <f>IF($AH234="","",IF(INDEX('Per Invoice'!U$2:U$401,$AH234)="","",INDEX('Per Invoice'!U$2:U$401,$AH234)))</f>
        <v/>
      </c>
      <c r="V234">
        <f>IF($AH234="","",IF(INDEX('Per Invoice'!V$2:V$401,$AH234)="","",INDEX('Per Invoice'!V$2:V$401,$AH234)))</f>
        <v/>
      </c>
      <c r="W234" s="7">
        <f>IF($AH234="","",IF(INDEX('Per Invoice'!W$2:W$401,$AH234)="","",INDEX('Per Invoice'!W$2:W$401,$AH234)))</f>
        <v/>
      </c>
      <c r="X234" s="7">
        <f>IF($AH234="","",IF(INDEX('Per Invoice'!X$2:X$401,$AH234)="","",INDEX('Per Invoice'!X$2:X$401,$AH234)))</f>
        <v/>
      </c>
      <c r="Y234">
        <f>IF($AH234="","",IF(INDEX('Per Invoice'!Y$2:Y$401,$AH234)="","",INDEX('Per Invoice'!Y$2:Y$401,$AH234)))</f>
        <v/>
      </c>
      <c r="Z234" s="7">
        <f>IF($AH234="","",IF(INDEX('Per Invoice'!Z$2:Z$401,$AH234)="","",INDEX('Per Invoice'!Z$2:Z$401,$AH234)))</f>
        <v/>
      </c>
      <c r="AA234" s="7">
        <f>IF($AH234="","",IF(INDEX('Per Invoice'!AA$2:AA$401,$AH234)="","",INDEX('Per Invoice'!AA$2:AA$401,$AH234)))</f>
        <v/>
      </c>
      <c r="AB234" s="7">
        <f>IF($AH234="","",IF(INDEX('Per Invoice'!AB$2:AB$401,$AH234)="","",INDEX('Per Invoice'!AB$2:AB$401,$AH234)))</f>
        <v/>
      </c>
      <c r="AC234" s="7">
        <f>IF($AH234="","",IF(INDEX('Per Invoice'!AC$2:AC$401,$AH234)="","",INDEX('Per Invoice'!AC$2:AC$401,$AH234)))</f>
        <v/>
      </c>
      <c r="AD234" s="7">
        <f>IF($AH234="","",IF(INDEX('Per Invoice'!AD$2:AD$401,$AH234)="","",INDEX('Per Invoice'!AD$2:AD$401,$AH234)))</f>
        <v/>
      </c>
      <c r="AE234" s="7">
        <f>IF($AH234="","",IF(INDEX('Per Invoice'!AE$2:AE$401,$AH234)="","",INDEX('Per Invoice'!AE$2:AE$401,$AH234)))</f>
        <v/>
      </c>
      <c r="AF234">
        <f>IF($AH234="","",IF(INDEX('Per Invoice'!AF$2:AF$401,$AH234)="","",INDEX('Per Invoice'!AF$2:AF$401,$AH234)))</f>
        <v/>
      </c>
      <c r="AG234" s="7">
        <f>IF($AH234="","",IF(INDEX('Per Invoice'!AG$2:AG$401,$AH234)="","",INDEX('Per Invoice'!AG$2:AG$401,$AH234)))</f>
        <v/>
      </c>
      <c r="AH234" s="16">
        <f>IFERROR(MATCH(Settings!$C$27&amp;"|"&amp;ROWS($AH$2:$AH234),'Per Invoice'!$AI$2:$AI$401,0),"")</f>
        <v/>
      </c>
    </row>
    <row r="235">
      <c r="A235">
        <f>IF($AH235="","",IF(INDEX('Per Invoice'!A$2:A$401,$AH235)="","",INDEX('Per Invoice'!A$2:A$401,$AH235)))</f>
        <v/>
      </c>
      <c r="B235">
        <f>IF($AH235="","",IF(INDEX('Per Invoice'!B$2:B$401,$AH235)="","",INDEX('Per Invoice'!B$2:B$401,$AH235)))</f>
        <v/>
      </c>
      <c r="C235">
        <f>IF($AH235="","",IF(INDEX('Per Invoice'!C$2:C$401,$AH235)="","",INDEX('Per Invoice'!C$2:C$401,$AH235)))</f>
        <v/>
      </c>
      <c r="D235">
        <f>IF($AH235="","",IF(INDEX('Per Invoice'!D$2:D$401,$AH235)="","",INDEX('Per Invoice'!D$2:D$401,$AH235)))</f>
        <v/>
      </c>
      <c r="E235">
        <f>IF($AH235="","",IF(INDEX('Per Invoice'!E$2:E$401,$AH235)="","",INDEX('Per Invoice'!E$2:E$401,$AH235)))</f>
        <v/>
      </c>
      <c r="F235">
        <f>IF($AH235="","",IF(INDEX('Per Invoice'!F$2:F$401,$AH235)="","",INDEX('Per Invoice'!F$2:F$401,$AH235)))</f>
        <v/>
      </c>
      <c r="G235">
        <f>IF($AH235="","",IF(INDEX('Per Invoice'!G$2:G$401,$AH235)="","",INDEX('Per Invoice'!G$2:G$401,$AH235)))</f>
        <v/>
      </c>
      <c r="H235">
        <f>IF($AH235="","",IF(INDEX('Per Invoice'!H$2:H$401,$AH235)="","",INDEX('Per Invoice'!H$2:H$401,$AH235)))</f>
        <v/>
      </c>
      <c r="I235" s="14">
        <f>IF($AH235="","",IF(INDEX('Per Invoice'!I$2:I$401,$AH235)="","",INDEX('Per Invoice'!I$2:I$401,$AH235)))</f>
        <v/>
      </c>
      <c r="J235">
        <f>IF($AH235="","",IF(INDEX('Per Invoice'!J$2:J$401,$AH235)="","",INDEX('Per Invoice'!J$2:J$401,$AH235)))</f>
        <v/>
      </c>
      <c r="K235">
        <f>IF($AH235="","",IF(INDEX('Per Invoice'!K$2:K$401,$AH235)="","",INDEX('Per Invoice'!K$2:K$401,$AH235)))</f>
        <v/>
      </c>
      <c r="L235">
        <f>IF($AH235="","",IF(INDEX('Per Invoice'!L$2:L$401,$AH235)="","",INDEX('Per Invoice'!L$2:L$401,$AH235)))</f>
        <v/>
      </c>
      <c r="M235">
        <f>IF($AH235="","",IF(INDEX('Per Invoice'!M$2:M$401,$AH235)="","",INDEX('Per Invoice'!M$2:M$401,$AH235)))</f>
        <v/>
      </c>
      <c r="N235">
        <f>IF($AH235="","",IF(INDEX('Per Invoice'!N$2:N$401,$AH235)="","",INDEX('Per Invoice'!N$2:N$401,$AH235)))</f>
        <v/>
      </c>
      <c r="O235">
        <f>IF($AH235="","",IF(INDEX('Per Invoice'!O$2:O$401,$AH235)="","",INDEX('Per Invoice'!O$2:O$401,$AH235)))</f>
        <v/>
      </c>
      <c r="P235" s="7">
        <f>IF($AH235="","",IF(INDEX('Per Invoice'!P$2:P$401,$AH235)="","",INDEX('Per Invoice'!P$2:P$401,$AH235)))</f>
        <v/>
      </c>
      <c r="Q235">
        <f>IF($AH235="","",IF(INDEX('Per Invoice'!Q$2:Q$401,$AH235)="","",INDEX('Per Invoice'!Q$2:Q$401,$AH235)))</f>
        <v/>
      </c>
      <c r="R235">
        <f>IF($AH235="","",IF(INDEX('Per Invoice'!R$2:R$401,$AH235)="","",INDEX('Per Invoice'!R$2:R$401,$AH235)))</f>
        <v/>
      </c>
      <c r="S235">
        <f>IF($AH235="","",IF(INDEX('Per Invoice'!S$2:S$401,$AH235)="","",INDEX('Per Invoice'!S$2:S$401,$AH235)))</f>
        <v/>
      </c>
      <c r="T235" s="7">
        <f>IF($AH235="","",IF(INDEX('Per Invoice'!T$2:T$401,$AH235)="","",INDEX('Per Invoice'!T$2:T$401,$AH235)))</f>
        <v/>
      </c>
      <c r="U235" s="7">
        <f>IF($AH235="","",IF(INDEX('Per Invoice'!U$2:U$401,$AH235)="","",INDEX('Per Invoice'!U$2:U$401,$AH235)))</f>
        <v/>
      </c>
      <c r="V235">
        <f>IF($AH235="","",IF(INDEX('Per Invoice'!V$2:V$401,$AH235)="","",INDEX('Per Invoice'!V$2:V$401,$AH235)))</f>
        <v/>
      </c>
      <c r="W235" s="7">
        <f>IF($AH235="","",IF(INDEX('Per Invoice'!W$2:W$401,$AH235)="","",INDEX('Per Invoice'!W$2:W$401,$AH235)))</f>
        <v/>
      </c>
      <c r="X235" s="7">
        <f>IF($AH235="","",IF(INDEX('Per Invoice'!X$2:X$401,$AH235)="","",INDEX('Per Invoice'!X$2:X$401,$AH235)))</f>
        <v/>
      </c>
      <c r="Y235">
        <f>IF($AH235="","",IF(INDEX('Per Invoice'!Y$2:Y$401,$AH235)="","",INDEX('Per Invoice'!Y$2:Y$401,$AH235)))</f>
        <v/>
      </c>
      <c r="Z235" s="7">
        <f>IF($AH235="","",IF(INDEX('Per Invoice'!Z$2:Z$401,$AH235)="","",INDEX('Per Invoice'!Z$2:Z$401,$AH235)))</f>
        <v/>
      </c>
      <c r="AA235" s="7">
        <f>IF($AH235="","",IF(INDEX('Per Invoice'!AA$2:AA$401,$AH235)="","",INDEX('Per Invoice'!AA$2:AA$401,$AH235)))</f>
        <v/>
      </c>
      <c r="AB235" s="7">
        <f>IF($AH235="","",IF(INDEX('Per Invoice'!AB$2:AB$401,$AH235)="","",INDEX('Per Invoice'!AB$2:AB$401,$AH235)))</f>
        <v/>
      </c>
      <c r="AC235" s="7">
        <f>IF($AH235="","",IF(INDEX('Per Invoice'!AC$2:AC$401,$AH235)="","",INDEX('Per Invoice'!AC$2:AC$401,$AH235)))</f>
        <v/>
      </c>
      <c r="AD235" s="7">
        <f>IF($AH235="","",IF(INDEX('Per Invoice'!AD$2:AD$401,$AH235)="","",INDEX('Per Invoice'!AD$2:AD$401,$AH235)))</f>
        <v/>
      </c>
      <c r="AE235" s="7">
        <f>IF($AH235="","",IF(INDEX('Per Invoice'!AE$2:AE$401,$AH235)="","",INDEX('Per Invoice'!AE$2:AE$401,$AH235)))</f>
        <v/>
      </c>
      <c r="AF235">
        <f>IF($AH235="","",IF(INDEX('Per Invoice'!AF$2:AF$401,$AH235)="","",INDEX('Per Invoice'!AF$2:AF$401,$AH235)))</f>
        <v/>
      </c>
      <c r="AG235" s="7">
        <f>IF($AH235="","",IF(INDEX('Per Invoice'!AG$2:AG$401,$AH235)="","",INDEX('Per Invoice'!AG$2:AG$401,$AH235)))</f>
        <v/>
      </c>
      <c r="AH235" s="16">
        <f>IFERROR(MATCH(Settings!$C$27&amp;"|"&amp;ROWS($AH$2:$AH235),'Per Invoice'!$AI$2:$AI$401,0),"")</f>
        <v/>
      </c>
    </row>
    <row r="236">
      <c r="A236">
        <f>IF($AH236="","",IF(INDEX('Per Invoice'!A$2:A$401,$AH236)="","",INDEX('Per Invoice'!A$2:A$401,$AH236)))</f>
        <v/>
      </c>
      <c r="B236">
        <f>IF($AH236="","",IF(INDEX('Per Invoice'!B$2:B$401,$AH236)="","",INDEX('Per Invoice'!B$2:B$401,$AH236)))</f>
        <v/>
      </c>
      <c r="C236">
        <f>IF($AH236="","",IF(INDEX('Per Invoice'!C$2:C$401,$AH236)="","",INDEX('Per Invoice'!C$2:C$401,$AH236)))</f>
        <v/>
      </c>
      <c r="D236">
        <f>IF($AH236="","",IF(INDEX('Per Invoice'!D$2:D$401,$AH236)="","",INDEX('Per Invoice'!D$2:D$401,$AH236)))</f>
        <v/>
      </c>
      <c r="E236">
        <f>IF($AH236="","",IF(INDEX('Per Invoice'!E$2:E$401,$AH236)="","",INDEX('Per Invoice'!E$2:E$401,$AH236)))</f>
        <v/>
      </c>
      <c r="F236">
        <f>IF($AH236="","",IF(INDEX('Per Invoice'!F$2:F$401,$AH236)="","",INDEX('Per Invoice'!F$2:F$401,$AH236)))</f>
        <v/>
      </c>
      <c r="G236">
        <f>IF($AH236="","",IF(INDEX('Per Invoice'!G$2:G$401,$AH236)="","",INDEX('Per Invoice'!G$2:G$401,$AH236)))</f>
        <v/>
      </c>
      <c r="H236">
        <f>IF($AH236="","",IF(INDEX('Per Invoice'!H$2:H$401,$AH236)="","",INDEX('Per Invoice'!H$2:H$401,$AH236)))</f>
        <v/>
      </c>
      <c r="I236" s="14">
        <f>IF($AH236="","",IF(INDEX('Per Invoice'!I$2:I$401,$AH236)="","",INDEX('Per Invoice'!I$2:I$401,$AH236)))</f>
        <v/>
      </c>
      <c r="J236">
        <f>IF($AH236="","",IF(INDEX('Per Invoice'!J$2:J$401,$AH236)="","",INDEX('Per Invoice'!J$2:J$401,$AH236)))</f>
        <v/>
      </c>
      <c r="K236">
        <f>IF($AH236="","",IF(INDEX('Per Invoice'!K$2:K$401,$AH236)="","",INDEX('Per Invoice'!K$2:K$401,$AH236)))</f>
        <v/>
      </c>
      <c r="L236">
        <f>IF($AH236="","",IF(INDEX('Per Invoice'!L$2:L$401,$AH236)="","",INDEX('Per Invoice'!L$2:L$401,$AH236)))</f>
        <v/>
      </c>
      <c r="M236">
        <f>IF($AH236="","",IF(INDEX('Per Invoice'!M$2:M$401,$AH236)="","",INDEX('Per Invoice'!M$2:M$401,$AH236)))</f>
        <v/>
      </c>
      <c r="N236">
        <f>IF($AH236="","",IF(INDEX('Per Invoice'!N$2:N$401,$AH236)="","",INDEX('Per Invoice'!N$2:N$401,$AH236)))</f>
        <v/>
      </c>
      <c r="O236">
        <f>IF($AH236="","",IF(INDEX('Per Invoice'!O$2:O$401,$AH236)="","",INDEX('Per Invoice'!O$2:O$401,$AH236)))</f>
        <v/>
      </c>
      <c r="P236" s="7">
        <f>IF($AH236="","",IF(INDEX('Per Invoice'!P$2:P$401,$AH236)="","",INDEX('Per Invoice'!P$2:P$401,$AH236)))</f>
        <v/>
      </c>
      <c r="Q236">
        <f>IF($AH236="","",IF(INDEX('Per Invoice'!Q$2:Q$401,$AH236)="","",INDEX('Per Invoice'!Q$2:Q$401,$AH236)))</f>
        <v/>
      </c>
      <c r="R236">
        <f>IF($AH236="","",IF(INDEX('Per Invoice'!R$2:R$401,$AH236)="","",INDEX('Per Invoice'!R$2:R$401,$AH236)))</f>
        <v/>
      </c>
      <c r="S236">
        <f>IF($AH236="","",IF(INDEX('Per Invoice'!S$2:S$401,$AH236)="","",INDEX('Per Invoice'!S$2:S$401,$AH236)))</f>
        <v/>
      </c>
      <c r="T236" s="7">
        <f>IF($AH236="","",IF(INDEX('Per Invoice'!T$2:T$401,$AH236)="","",INDEX('Per Invoice'!T$2:T$401,$AH236)))</f>
        <v/>
      </c>
      <c r="U236" s="7">
        <f>IF($AH236="","",IF(INDEX('Per Invoice'!U$2:U$401,$AH236)="","",INDEX('Per Invoice'!U$2:U$401,$AH236)))</f>
        <v/>
      </c>
      <c r="V236">
        <f>IF($AH236="","",IF(INDEX('Per Invoice'!V$2:V$401,$AH236)="","",INDEX('Per Invoice'!V$2:V$401,$AH236)))</f>
        <v/>
      </c>
      <c r="W236" s="7">
        <f>IF($AH236="","",IF(INDEX('Per Invoice'!W$2:W$401,$AH236)="","",INDEX('Per Invoice'!W$2:W$401,$AH236)))</f>
        <v/>
      </c>
      <c r="X236" s="7">
        <f>IF($AH236="","",IF(INDEX('Per Invoice'!X$2:X$401,$AH236)="","",INDEX('Per Invoice'!X$2:X$401,$AH236)))</f>
        <v/>
      </c>
      <c r="Y236">
        <f>IF($AH236="","",IF(INDEX('Per Invoice'!Y$2:Y$401,$AH236)="","",INDEX('Per Invoice'!Y$2:Y$401,$AH236)))</f>
        <v/>
      </c>
      <c r="Z236" s="7">
        <f>IF($AH236="","",IF(INDEX('Per Invoice'!Z$2:Z$401,$AH236)="","",INDEX('Per Invoice'!Z$2:Z$401,$AH236)))</f>
        <v/>
      </c>
      <c r="AA236" s="7">
        <f>IF($AH236="","",IF(INDEX('Per Invoice'!AA$2:AA$401,$AH236)="","",INDEX('Per Invoice'!AA$2:AA$401,$AH236)))</f>
        <v/>
      </c>
      <c r="AB236" s="7">
        <f>IF($AH236="","",IF(INDEX('Per Invoice'!AB$2:AB$401,$AH236)="","",INDEX('Per Invoice'!AB$2:AB$401,$AH236)))</f>
        <v/>
      </c>
      <c r="AC236" s="7">
        <f>IF($AH236="","",IF(INDEX('Per Invoice'!AC$2:AC$401,$AH236)="","",INDEX('Per Invoice'!AC$2:AC$401,$AH236)))</f>
        <v/>
      </c>
      <c r="AD236" s="7">
        <f>IF($AH236="","",IF(INDEX('Per Invoice'!AD$2:AD$401,$AH236)="","",INDEX('Per Invoice'!AD$2:AD$401,$AH236)))</f>
        <v/>
      </c>
      <c r="AE236" s="7">
        <f>IF($AH236="","",IF(INDEX('Per Invoice'!AE$2:AE$401,$AH236)="","",INDEX('Per Invoice'!AE$2:AE$401,$AH236)))</f>
        <v/>
      </c>
      <c r="AF236">
        <f>IF($AH236="","",IF(INDEX('Per Invoice'!AF$2:AF$401,$AH236)="","",INDEX('Per Invoice'!AF$2:AF$401,$AH236)))</f>
        <v/>
      </c>
      <c r="AG236" s="7">
        <f>IF($AH236="","",IF(INDEX('Per Invoice'!AG$2:AG$401,$AH236)="","",INDEX('Per Invoice'!AG$2:AG$401,$AH236)))</f>
        <v/>
      </c>
      <c r="AH236" s="16">
        <f>IFERROR(MATCH(Settings!$C$27&amp;"|"&amp;ROWS($AH$2:$AH236),'Per Invoice'!$AI$2:$AI$401,0),"")</f>
        <v/>
      </c>
    </row>
    <row r="237">
      <c r="A237">
        <f>IF($AH237="","",IF(INDEX('Per Invoice'!A$2:A$401,$AH237)="","",INDEX('Per Invoice'!A$2:A$401,$AH237)))</f>
        <v/>
      </c>
      <c r="B237">
        <f>IF($AH237="","",IF(INDEX('Per Invoice'!B$2:B$401,$AH237)="","",INDEX('Per Invoice'!B$2:B$401,$AH237)))</f>
        <v/>
      </c>
      <c r="C237">
        <f>IF($AH237="","",IF(INDEX('Per Invoice'!C$2:C$401,$AH237)="","",INDEX('Per Invoice'!C$2:C$401,$AH237)))</f>
        <v/>
      </c>
      <c r="D237">
        <f>IF($AH237="","",IF(INDEX('Per Invoice'!D$2:D$401,$AH237)="","",INDEX('Per Invoice'!D$2:D$401,$AH237)))</f>
        <v/>
      </c>
      <c r="E237">
        <f>IF($AH237="","",IF(INDEX('Per Invoice'!E$2:E$401,$AH237)="","",INDEX('Per Invoice'!E$2:E$401,$AH237)))</f>
        <v/>
      </c>
      <c r="F237">
        <f>IF($AH237="","",IF(INDEX('Per Invoice'!F$2:F$401,$AH237)="","",INDEX('Per Invoice'!F$2:F$401,$AH237)))</f>
        <v/>
      </c>
      <c r="G237">
        <f>IF($AH237="","",IF(INDEX('Per Invoice'!G$2:G$401,$AH237)="","",INDEX('Per Invoice'!G$2:G$401,$AH237)))</f>
        <v/>
      </c>
      <c r="H237">
        <f>IF($AH237="","",IF(INDEX('Per Invoice'!H$2:H$401,$AH237)="","",INDEX('Per Invoice'!H$2:H$401,$AH237)))</f>
        <v/>
      </c>
      <c r="I237" s="14">
        <f>IF($AH237="","",IF(INDEX('Per Invoice'!I$2:I$401,$AH237)="","",INDEX('Per Invoice'!I$2:I$401,$AH237)))</f>
        <v/>
      </c>
      <c r="J237">
        <f>IF($AH237="","",IF(INDEX('Per Invoice'!J$2:J$401,$AH237)="","",INDEX('Per Invoice'!J$2:J$401,$AH237)))</f>
        <v/>
      </c>
      <c r="K237">
        <f>IF($AH237="","",IF(INDEX('Per Invoice'!K$2:K$401,$AH237)="","",INDEX('Per Invoice'!K$2:K$401,$AH237)))</f>
        <v/>
      </c>
      <c r="L237">
        <f>IF($AH237="","",IF(INDEX('Per Invoice'!L$2:L$401,$AH237)="","",INDEX('Per Invoice'!L$2:L$401,$AH237)))</f>
        <v/>
      </c>
      <c r="M237">
        <f>IF($AH237="","",IF(INDEX('Per Invoice'!M$2:M$401,$AH237)="","",INDEX('Per Invoice'!M$2:M$401,$AH237)))</f>
        <v/>
      </c>
      <c r="N237">
        <f>IF($AH237="","",IF(INDEX('Per Invoice'!N$2:N$401,$AH237)="","",INDEX('Per Invoice'!N$2:N$401,$AH237)))</f>
        <v/>
      </c>
      <c r="O237">
        <f>IF($AH237="","",IF(INDEX('Per Invoice'!O$2:O$401,$AH237)="","",INDEX('Per Invoice'!O$2:O$401,$AH237)))</f>
        <v/>
      </c>
      <c r="P237" s="7">
        <f>IF($AH237="","",IF(INDEX('Per Invoice'!P$2:P$401,$AH237)="","",INDEX('Per Invoice'!P$2:P$401,$AH237)))</f>
        <v/>
      </c>
      <c r="Q237">
        <f>IF($AH237="","",IF(INDEX('Per Invoice'!Q$2:Q$401,$AH237)="","",INDEX('Per Invoice'!Q$2:Q$401,$AH237)))</f>
        <v/>
      </c>
      <c r="R237">
        <f>IF($AH237="","",IF(INDEX('Per Invoice'!R$2:R$401,$AH237)="","",INDEX('Per Invoice'!R$2:R$401,$AH237)))</f>
        <v/>
      </c>
      <c r="S237">
        <f>IF($AH237="","",IF(INDEX('Per Invoice'!S$2:S$401,$AH237)="","",INDEX('Per Invoice'!S$2:S$401,$AH237)))</f>
        <v/>
      </c>
      <c r="T237" s="7">
        <f>IF($AH237="","",IF(INDEX('Per Invoice'!T$2:T$401,$AH237)="","",INDEX('Per Invoice'!T$2:T$401,$AH237)))</f>
        <v/>
      </c>
      <c r="U237" s="7">
        <f>IF($AH237="","",IF(INDEX('Per Invoice'!U$2:U$401,$AH237)="","",INDEX('Per Invoice'!U$2:U$401,$AH237)))</f>
        <v/>
      </c>
      <c r="V237">
        <f>IF($AH237="","",IF(INDEX('Per Invoice'!V$2:V$401,$AH237)="","",INDEX('Per Invoice'!V$2:V$401,$AH237)))</f>
        <v/>
      </c>
      <c r="W237" s="7">
        <f>IF($AH237="","",IF(INDEX('Per Invoice'!W$2:W$401,$AH237)="","",INDEX('Per Invoice'!W$2:W$401,$AH237)))</f>
        <v/>
      </c>
      <c r="X237" s="7">
        <f>IF($AH237="","",IF(INDEX('Per Invoice'!X$2:X$401,$AH237)="","",INDEX('Per Invoice'!X$2:X$401,$AH237)))</f>
        <v/>
      </c>
      <c r="Y237">
        <f>IF($AH237="","",IF(INDEX('Per Invoice'!Y$2:Y$401,$AH237)="","",INDEX('Per Invoice'!Y$2:Y$401,$AH237)))</f>
        <v/>
      </c>
      <c r="Z237" s="7">
        <f>IF($AH237="","",IF(INDEX('Per Invoice'!Z$2:Z$401,$AH237)="","",INDEX('Per Invoice'!Z$2:Z$401,$AH237)))</f>
        <v/>
      </c>
      <c r="AA237" s="7">
        <f>IF($AH237="","",IF(INDEX('Per Invoice'!AA$2:AA$401,$AH237)="","",INDEX('Per Invoice'!AA$2:AA$401,$AH237)))</f>
        <v/>
      </c>
      <c r="AB237" s="7">
        <f>IF($AH237="","",IF(INDEX('Per Invoice'!AB$2:AB$401,$AH237)="","",INDEX('Per Invoice'!AB$2:AB$401,$AH237)))</f>
        <v/>
      </c>
      <c r="AC237" s="7">
        <f>IF($AH237="","",IF(INDEX('Per Invoice'!AC$2:AC$401,$AH237)="","",INDEX('Per Invoice'!AC$2:AC$401,$AH237)))</f>
        <v/>
      </c>
      <c r="AD237" s="7">
        <f>IF($AH237="","",IF(INDEX('Per Invoice'!AD$2:AD$401,$AH237)="","",INDEX('Per Invoice'!AD$2:AD$401,$AH237)))</f>
        <v/>
      </c>
      <c r="AE237" s="7">
        <f>IF($AH237="","",IF(INDEX('Per Invoice'!AE$2:AE$401,$AH237)="","",INDEX('Per Invoice'!AE$2:AE$401,$AH237)))</f>
        <v/>
      </c>
      <c r="AF237">
        <f>IF($AH237="","",IF(INDEX('Per Invoice'!AF$2:AF$401,$AH237)="","",INDEX('Per Invoice'!AF$2:AF$401,$AH237)))</f>
        <v/>
      </c>
      <c r="AG237" s="7">
        <f>IF($AH237="","",IF(INDEX('Per Invoice'!AG$2:AG$401,$AH237)="","",INDEX('Per Invoice'!AG$2:AG$401,$AH237)))</f>
        <v/>
      </c>
      <c r="AH237" s="16">
        <f>IFERROR(MATCH(Settings!$C$27&amp;"|"&amp;ROWS($AH$2:$AH237),'Per Invoice'!$AI$2:$AI$401,0),"")</f>
        <v/>
      </c>
    </row>
    <row r="238">
      <c r="A238">
        <f>IF($AH238="","",IF(INDEX('Per Invoice'!A$2:A$401,$AH238)="","",INDEX('Per Invoice'!A$2:A$401,$AH238)))</f>
        <v/>
      </c>
      <c r="B238">
        <f>IF($AH238="","",IF(INDEX('Per Invoice'!B$2:B$401,$AH238)="","",INDEX('Per Invoice'!B$2:B$401,$AH238)))</f>
        <v/>
      </c>
      <c r="C238">
        <f>IF($AH238="","",IF(INDEX('Per Invoice'!C$2:C$401,$AH238)="","",INDEX('Per Invoice'!C$2:C$401,$AH238)))</f>
        <v/>
      </c>
      <c r="D238">
        <f>IF($AH238="","",IF(INDEX('Per Invoice'!D$2:D$401,$AH238)="","",INDEX('Per Invoice'!D$2:D$401,$AH238)))</f>
        <v/>
      </c>
      <c r="E238">
        <f>IF($AH238="","",IF(INDEX('Per Invoice'!E$2:E$401,$AH238)="","",INDEX('Per Invoice'!E$2:E$401,$AH238)))</f>
        <v/>
      </c>
      <c r="F238">
        <f>IF($AH238="","",IF(INDEX('Per Invoice'!F$2:F$401,$AH238)="","",INDEX('Per Invoice'!F$2:F$401,$AH238)))</f>
        <v/>
      </c>
      <c r="G238">
        <f>IF($AH238="","",IF(INDEX('Per Invoice'!G$2:G$401,$AH238)="","",INDEX('Per Invoice'!G$2:G$401,$AH238)))</f>
        <v/>
      </c>
      <c r="H238">
        <f>IF($AH238="","",IF(INDEX('Per Invoice'!H$2:H$401,$AH238)="","",INDEX('Per Invoice'!H$2:H$401,$AH238)))</f>
        <v/>
      </c>
      <c r="I238" s="14">
        <f>IF($AH238="","",IF(INDEX('Per Invoice'!I$2:I$401,$AH238)="","",INDEX('Per Invoice'!I$2:I$401,$AH238)))</f>
        <v/>
      </c>
      <c r="J238">
        <f>IF($AH238="","",IF(INDEX('Per Invoice'!J$2:J$401,$AH238)="","",INDEX('Per Invoice'!J$2:J$401,$AH238)))</f>
        <v/>
      </c>
      <c r="K238">
        <f>IF($AH238="","",IF(INDEX('Per Invoice'!K$2:K$401,$AH238)="","",INDEX('Per Invoice'!K$2:K$401,$AH238)))</f>
        <v/>
      </c>
      <c r="L238">
        <f>IF($AH238="","",IF(INDEX('Per Invoice'!L$2:L$401,$AH238)="","",INDEX('Per Invoice'!L$2:L$401,$AH238)))</f>
        <v/>
      </c>
      <c r="M238">
        <f>IF($AH238="","",IF(INDEX('Per Invoice'!M$2:M$401,$AH238)="","",INDEX('Per Invoice'!M$2:M$401,$AH238)))</f>
        <v/>
      </c>
      <c r="N238">
        <f>IF($AH238="","",IF(INDEX('Per Invoice'!N$2:N$401,$AH238)="","",INDEX('Per Invoice'!N$2:N$401,$AH238)))</f>
        <v/>
      </c>
      <c r="O238">
        <f>IF($AH238="","",IF(INDEX('Per Invoice'!O$2:O$401,$AH238)="","",INDEX('Per Invoice'!O$2:O$401,$AH238)))</f>
        <v/>
      </c>
      <c r="P238" s="7">
        <f>IF($AH238="","",IF(INDEX('Per Invoice'!P$2:P$401,$AH238)="","",INDEX('Per Invoice'!P$2:P$401,$AH238)))</f>
        <v/>
      </c>
      <c r="Q238">
        <f>IF($AH238="","",IF(INDEX('Per Invoice'!Q$2:Q$401,$AH238)="","",INDEX('Per Invoice'!Q$2:Q$401,$AH238)))</f>
        <v/>
      </c>
      <c r="R238">
        <f>IF($AH238="","",IF(INDEX('Per Invoice'!R$2:R$401,$AH238)="","",INDEX('Per Invoice'!R$2:R$401,$AH238)))</f>
        <v/>
      </c>
      <c r="S238">
        <f>IF($AH238="","",IF(INDEX('Per Invoice'!S$2:S$401,$AH238)="","",INDEX('Per Invoice'!S$2:S$401,$AH238)))</f>
        <v/>
      </c>
      <c r="T238" s="7">
        <f>IF($AH238="","",IF(INDEX('Per Invoice'!T$2:T$401,$AH238)="","",INDEX('Per Invoice'!T$2:T$401,$AH238)))</f>
        <v/>
      </c>
      <c r="U238" s="7">
        <f>IF($AH238="","",IF(INDEX('Per Invoice'!U$2:U$401,$AH238)="","",INDEX('Per Invoice'!U$2:U$401,$AH238)))</f>
        <v/>
      </c>
      <c r="V238">
        <f>IF($AH238="","",IF(INDEX('Per Invoice'!V$2:V$401,$AH238)="","",INDEX('Per Invoice'!V$2:V$401,$AH238)))</f>
        <v/>
      </c>
      <c r="W238" s="7">
        <f>IF($AH238="","",IF(INDEX('Per Invoice'!W$2:W$401,$AH238)="","",INDEX('Per Invoice'!W$2:W$401,$AH238)))</f>
        <v/>
      </c>
      <c r="X238" s="7">
        <f>IF($AH238="","",IF(INDEX('Per Invoice'!X$2:X$401,$AH238)="","",INDEX('Per Invoice'!X$2:X$401,$AH238)))</f>
        <v/>
      </c>
      <c r="Y238">
        <f>IF($AH238="","",IF(INDEX('Per Invoice'!Y$2:Y$401,$AH238)="","",INDEX('Per Invoice'!Y$2:Y$401,$AH238)))</f>
        <v/>
      </c>
      <c r="Z238" s="7">
        <f>IF($AH238="","",IF(INDEX('Per Invoice'!Z$2:Z$401,$AH238)="","",INDEX('Per Invoice'!Z$2:Z$401,$AH238)))</f>
        <v/>
      </c>
      <c r="AA238" s="7">
        <f>IF($AH238="","",IF(INDEX('Per Invoice'!AA$2:AA$401,$AH238)="","",INDEX('Per Invoice'!AA$2:AA$401,$AH238)))</f>
        <v/>
      </c>
      <c r="AB238" s="7">
        <f>IF($AH238="","",IF(INDEX('Per Invoice'!AB$2:AB$401,$AH238)="","",INDEX('Per Invoice'!AB$2:AB$401,$AH238)))</f>
        <v/>
      </c>
      <c r="AC238" s="7">
        <f>IF($AH238="","",IF(INDEX('Per Invoice'!AC$2:AC$401,$AH238)="","",INDEX('Per Invoice'!AC$2:AC$401,$AH238)))</f>
        <v/>
      </c>
      <c r="AD238" s="7">
        <f>IF($AH238="","",IF(INDEX('Per Invoice'!AD$2:AD$401,$AH238)="","",INDEX('Per Invoice'!AD$2:AD$401,$AH238)))</f>
        <v/>
      </c>
      <c r="AE238" s="7">
        <f>IF($AH238="","",IF(INDEX('Per Invoice'!AE$2:AE$401,$AH238)="","",INDEX('Per Invoice'!AE$2:AE$401,$AH238)))</f>
        <v/>
      </c>
      <c r="AF238">
        <f>IF($AH238="","",IF(INDEX('Per Invoice'!AF$2:AF$401,$AH238)="","",INDEX('Per Invoice'!AF$2:AF$401,$AH238)))</f>
        <v/>
      </c>
      <c r="AG238" s="7">
        <f>IF($AH238="","",IF(INDEX('Per Invoice'!AG$2:AG$401,$AH238)="","",INDEX('Per Invoice'!AG$2:AG$401,$AH238)))</f>
        <v/>
      </c>
      <c r="AH238" s="16">
        <f>IFERROR(MATCH(Settings!$C$27&amp;"|"&amp;ROWS($AH$2:$AH238),'Per Invoice'!$AI$2:$AI$401,0),"")</f>
        <v/>
      </c>
    </row>
    <row r="239">
      <c r="A239">
        <f>IF($AH239="","",IF(INDEX('Per Invoice'!A$2:A$401,$AH239)="","",INDEX('Per Invoice'!A$2:A$401,$AH239)))</f>
        <v/>
      </c>
      <c r="B239">
        <f>IF($AH239="","",IF(INDEX('Per Invoice'!B$2:B$401,$AH239)="","",INDEX('Per Invoice'!B$2:B$401,$AH239)))</f>
        <v/>
      </c>
      <c r="C239">
        <f>IF($AH239="","",IF(INDEX('Per Invoice'!C$2:C$401,$AH239)="","",INDEX('Per Invoice'!C$2:C$401,$AH239)))</f>
        <v/>
      </c>
      <c r="D239">
        <f>IF($AH239="","",IF(INDEX('Per Invoice'!D$2:D$401,$AH239)="","",INDEX('Per Invoice'!D$2:D$401,$AH239)))</f>
        <v/>
      </c>
      <c r="E239">
        <f>IF($AH239="","",IF(INDEX('Per Invoice'!E$2:E$401,$AH239)="","",INDEX('Per Invoice'!E$2:E$401,$AH239)))</f>
        <v/>
      </c>
      <c r="F239">
        <f>IF($AH239="","",IF(INDEX('Per Invoice'!F$2:F$401,$AH239)="","",INDEX('Per Invoice'!F$2:F$401,$AH239)))</f>
        <v/>
      </c>
      <c r="G239">
        <f>IF($AH239="","",IF(INDEX('Per Invoice'!G$2:G$401,$AH239)="","",INDEX('Per Invoice'!G$2:G$401,$AH239)))</f>
        <v/>
      </c>
      <c r="H239">
        <f>IF($AH239="","",IF(INDEX('Per Invoice'!H$2:H$401,$AH239)="","",INDEX('Per Invoice'!H$2:H$401,$AH239)))</f>
        <v/>
      </c>
      <c r="I239" s="14">
        <f>IF($AH239="","",IF(INDEX('Per Invoice'!I$2:I$401,$AH239)="","",INDEX('Per Invoice'!I$2:I$401,$AH239)))</f>
        <v/>
      </c>
      <c r="J239">
        <f>IF($AH239="","",IF(INDEX('Per Invoice'!J$2:J$401,$AH239)="","",INDEX('Per Invoice'!J$2:J$401,$AH239)))</f>
        <v/>
      </c>
      <c r="K239">
        <f>IF($AH239="","",IF(INDEX('Per Invoice'!K$2:K$401,$AH239)="","",INDEX('Per Invoice'!K$2:K$401,$AH239)))</f>
        <v/>
      </c>
      <c r="L239">
        <f>IF($AH239="","",IF(INDEX('Per Invoice'!L$2:L$401,$AH239)="","",INDEX('Per Invoice'!L$2:L$401,$AH239)))</f>
        <v/>
      </c>
      <c r="M239">
        <f>IF($AH239="","",IF(INDEX('Per Invoice'!M$2:M$401,$AH239)="","",INDEX('Per Invoice'!M$2:M$401,$AH239)))</f>
        <v/>
      </c>
      <c r="N239">
        <f>IF($AH239="","",IF(INDEX('Per Invoice'!N$2:N$401,$AH239)="","",INDEX('Per Invoice'!N$2:N$401,$AH239)))</f>
        <v/>
      </c>
      <c r="O239">
        <f>IF($AH239="","",IF(INDEX('Per Invoice'!O$2:O$401,$AH239)="","",INDEX('Per Invoice'!O$2:O$401,$AH239)))</f>
        <v/>
      </c>
      <c r="P239" s="7">
        <f>IF($AH239="","",IF(INDEX('Per Invoice'!P$2:P$401,$AH239)="","",INDEX('Per Invoice'!P$2:P$401,$AH239)))</f>
        <v/>
      </c>
      <c r="Q239">
        <f>IF($AH239="","",IF(INDEX('Per Invoice'!Q$2:Q$401,$AH239)="","",INDEX('Per Invoice'!Q$2:Q$401,$AH239)))</f>
        <v/>
      </c>
      <c r="R239">
        <f>IF($AH239="","",IF(INDEX('Per Invoice'!R$2:R$401,$AH239)="","",INDEX('Per Invoice'!R$2:R$401,$AH239)))</f>
        <v/>
      </c>
      <c r="S239">
        <f>IF($AH239="","",IF(INDEX('Per Invoice'!S$2:S$401,$AH239)="","",INDEX('Per Invoice'!S$2:S$401,$AH239)))</f>
        <v/>
      </c>
      <c r="T239" s="7">
        <f>IF($AH239="","",IF(INDEX('Per Invoice'!T$2:T$401,$AH239)="","",INDEX('Per Invoice'!T$2:T$401,$AH239)))</f>
        <v/>
      </c>
      <c r="U239" s="7">
        <f>IF($AH239="","",IF(INDEX('Per Invoice'!U$2:U$401,$AH239)="","",INDEX('Per Invoice'!U$2:U$401,$AH239)))</f>
        <v/>
      </c>
      <c r="V239">
        <f>IF($AH239="","",IF(INDEX('Per Invoice'!V$2:V$401,$AH239)="","",INDEX('Per Invoice'!V$2:V$401,$AH239)))</f>
        <v/>
      </c>
      <c r="W239" s="7">
        <f>IF($AH239="","",IF(INDEX('Per Invoice'!W$2:W$401,$AH239)="","",INDEX('Per Invoice'!W$2:W$401,$AH239)))</f>
        <v/>
      </c>
      <c r="X239" s="7">
        <f>IF($AH239="","",IF(INDEX('Per Invoice'!X$2:X$401,$AH239)="","",INDEX('Per Invoice'!X$2:X$401,$AH239)))</f>
        <v/>
      </c>
      <c r="Y239">
        <f>IF($AH239="","",IF(INDEX('Per Invoice'!Y$2:Y$401,$AH239)="","",INDEX('Per Invoice'!Y$2:Y$401,$AH239)))</f>
        <v/>
      </c>
      <c r="Z239" s="7">
        <f>IF($AH239="","",IF(INDEX('Per Invoice'!Z$2:Z$401,$AH239)="","",INDEX('Per Invoice'!Z$2:Z$401,$AH239)))</f>
        <v/>
      </c>
      <c r="AA239" s="7">
        <f>IF($AH239="","",IF(INDEX('Per Invoice'!AA$2:AA$401,$AH239)="","",INDEX('Per Invoice'!AA$2:AA$401,$AH239)))</f>
        <v/>
      </c>
      <c r="AB239" s="7">
        <f>IF($AH239="","",IF(INDEX('Per Invoice'!AB$2:AB$401,$AH239)="","",INDEX('Per Invoice'!AB$2:AB$401,$AH239)))</f>
        <v/>
      </c>
      <c r="AC239" s="7">
        <f>IF($AH239="","",IF(INDEX('Per Invoice'!AC$2:AC$401,$AH239)="","",INDEX('Per Invoice'!AC$2:AC$401,$AH239)))</f>
        <v/>
      </c>
      <c r="AD239" s="7">
        <f>IF($AH239="","",IF(INDEX('Per Invoice'!AD$2:AD$401,$AH239)="","",INDEX('Per Invoice'!AD$2:AD$401,$AH239)))</f>
        <v/>
      </c>
      <c r="AE239" s="7">
        <f>IF($AH239="","",IF(INDEX('Per Invoice'!AE$2:AE$401,$AH239)="","",INDEX('Per Invoice'!AE$2:AE$401,$AH239)))</f>
        <v/>
      </c>
      <c r="AF239">
        <f>IF($AH239="","",IF(INDEX('Per Invoice'!AF$2:AF$401,$AH239)="","",INDEX('Per Invoice'!AF$2:AF$401,$AH239)))</f>
        <v/>
      </c>
      <c r="AG239" s="7">
        <f>IF($AH239="","",IF(INDEX('Per Invoice'!AG$2:AG$401,$AH239)="","",INDEX('Per Invoice'!AG$2:AG$401,$AH239)))</f>
        <v/>
      </c>
      <c r="AH239" s="16">
        <f>IFERROR(MATCH(Settings!$C$27&amp;"|"&amp;ROWS($AH$2:$AH239),'Per Invoice'!$AI$2:$AI$401,0),"")</f>
        <v/>
      </c>
    </row>
    <row r="240">
      <c r="A240">
        <f>IF($AH240="","",IF(INDEX('Per Invoice'!A$2:A$401,$AH240)="","",INDEX('Per Invoice'!A$2:A$401,$AH240)))</f>
        <v/>
      </c>
      <c r="B240">
        <f>IF($AH240="","",IF(INDEX('Per Invoice'!B$2:B$401,$AH240)="","",INDEX('Per Invoice'!B$2:B$401,$AH240)))</f>
        <v/>
      </c>
      <c r="C240">
        <f>IF($AH240="","",IF(INDEX('Per Invoice'!C$2:C$401,$AH240)="","",INDEX('Per Invoice'!C$2:C$401,$AH240)))</f>
        <v/>
      </c>
      <c r="D240">
        <f>IF($AH240="","",IF(INDEX('Per Invoice'!D$2:D$401,$AH240)="","",INDEX('Per Invoice'!D$2:D$401,$AH240)))</f>
        <v/>
      </c>
      <c r="E240">
        <f>IF($AH240="","",IF(INDEX('Per Invoice'!E$2:E$401,$AH240)="","",INDEX('Per Invoice'!E$2:E$401,$AH240)))</f>
        <v/>
      </c>
      <c r="F240">
        <f>IF($AH240="","",IF(INDEX('Per Invoice'!F$2:F$401,$AH240)="","",INDEX('Per Invoice'!F$2:F$401,$AH240)))</f>
        <v/>
      </c>
      <c r="G240">
        <f>IF($AH240="","",IF(INDEX('Per Invoice'!G$2:G$401,$AH240)="","",INDEX('Per Invoice'!G$2:G$401,$AH240)))</f>
        <v/>
      </c>
      <c r="H240">
        <f>IF($AH240="","",IF(INDEX('Per Invoice'!H$2:H$401,$AH240)="","",INDEX('Per Invoice'!H$2:H$401,$AH240)))</f>
        <v/>
      </c>
      <c r="I240" s="14">
        <f>IF($AH240="","",IF(INDEX('Per Invoice'!I$2:I$401,$AH240)="","",INDEX('Per Invoice'!I$2:I$401,$AH240)))</f>
        <v/>
      </c>
      <c r="J240">
        <f>IF($AH240="","",IF(INDEX('Per Invoice'!J$2:J$401,$AH240)="","",INDEX('Per Invoice'!J$2:J$401,$AH240)))</f>
        <v/>
      </c>
      <c r="K240">
        <f>IF($AH240="","",IF(INDEX('Per Invoice'!K$2:K$401,$AH240)="","",INDEX('Per Invoice'!K$2:K$401,$AH240)))</f>
        <v/>
      </c>
      <c r="L240">
        <f>IF($AH240="","",IF(INDEX('Per Invoice'!L$2:L$401,$AH240)="","",INDEX('Per Invoice'!L$2:L$401,$AH240)))</f>
        <v/>
      </c>
      <c r="M240">
        <f>IF($AH240="","",IF(INDEX('Per Invoice'!M$2:M$401,$AH240)="","",INDEX('Per Invoice'!M$2:M$401,$AH240)))</f>
        <v/>
      </c>
      <c r="N240">
        <f>IF($AH240="","",IF(INDEX('Per Invoice'!N$2:N$401,$AH240)="","",INDEX('Per Invoice'!N$2:N$401,$AH240)))</f>
        <v/>
      </c>
      <c r="O240">
        <f>IF($AH240="","",IF(INDEX('Per Invoice'!O$2:O$401,$AH240)="","",INDEX('Per Invoice'!O$2:O$401,$AH240)))</f>
        <v/>
      </c>
      <c r="P240" s="7">
        <f>IF($AH240="","",IF(INDEX('Per Invoice'!P$2:P$401,$AH240)="","",INDEX('Per Invoice'!P$2:P$401,$AH240)))</f>
        <v/>
      </c>
      <c r="Q240">
        <f>IF($AH240="","",IF(INDEX('Per Invoice'!Q$2:Q$401,$AH240)="","",INDEX('Per Invoice'!Q$2:Q$401,$AH240)))</f>
        <v/>
      </c>
      <c r="R240">
        <f>IF($AH240="","",IF(INDEX('Per Invoice'!R$2:R$401,$AH240)="","",INDEX('Per Invoice'!R$2:R$401,$AH240)))</f>
        <v/>
      </c>
      <c r="S240">
        <f>IF($AH240="","",IF(INDEX('Per Invoice'!S$2:S$401,$AH240)="","",INDEX('Per Invoice'!S$2:S$401,$AH240)))</f>
        <v/>
      </c>
      <c r="T240" s="7">
        <f>IF($AH240="","",IF(INDEX('Per Invoice'!T$2:T$401,$AH240)="","",INDEX('Per Invoice'!T$2:T$401,$AH240)))</f>
        <v/>
      </c>
      <c r="U240" s="7">
        <f>IF($AH240="","",IF(INDEX('Per Invoice'!U$2:U$401,$AH240)="","",INDEX('Per Invoice'!U$2:U$401,$AH240)))</f>
        <v/>
      </c>
      <c r="V240">
        <f>IF($AH240="","",IF(INDEX('Per Invoice'!V$2:V$401,$AH240)="","",INDEX('Per Invoice'!V$2:V$401,$AH240)))</f>
        <v/>
      </c>
      <c r="W240" s="7">
        <f>IF($AH240="","",IF(INDEX('Per Invoice'!W$2:W$401,$AH240)="","",INDEX('Per Invoice'!W$2:W$401,$AH240)))</f>
        <v/>
      </c>
      <c r="X240" s="7">
        <f>IF($AH240="","",IF(INDEX('Per Invoice'!X$2:X$401,$AH240)="","",INDEX('Per Invoice'!X$2:X$401,$AH240)))</f>
        <v/>
      </c>
      <c r="Y240">
        <f>IF($AH240="","",IF(INDEX('Per Invoice'!Y$2:Y$401,$AH240)="","",INDEX('Per Invoice'!Y$2:Y$401,$AH240)))</f>
        <v/>
      </c>
      <c r="Z240" s="7">
        <f>IF($AH240="","",IF(INDEX('Per Invoice'!Z$2:Z$401,$AH240)="","",INDEX('Per Invoice'!Z$2:Z$401,$AH240)))</f>
        <v/>
      </c>
      <c r="AA240" s="7">
        <f>IF($AH240="","",IF(INDEX('Per Invoice'!AA$2:AA$401,$AH240)="","",INDEX('Per Invoice'!AA$2:AA$401,$AH240)))</f>
        <v/>
      </c>
      <c r="AB240" s="7">
        <f>IF($AH240="","",IF(INDEX('Per Invoice'!AB$2:AB$401,$AH240)="","",INDEX('Per Invoice'!AB$2:AB$401,$AH240)))</f>
        <v/>
      </c>
      <c r="AC240" s="7">
        <f>IF($AH240="","",IF(INDEX('Per Invoice'!AC$2:AC$401,$AH240)="","",INDEX('Per Invoice'!AC$2:AC$401,$AH240)))</f>
        <v/>
      </c>
      <c r="AD240" s="7">
        <f>IF($AH240="","",IF(INDEX('Per Invoice'!AD$2:AD$401,$AH240)="","",INDEX('Per Invoice'!AD$2:AD$401,$AH240)))</f>
        <v/>
      </c>
      <c r="AE240" s="7">
        <f>IF($AH240="","",IF(INDEX('Per Invoice'!AE$2:AE$401,$AH240)="","",INDEX('Per Invoice'!AE$2:AE$401,$AH240)))</f>
        <v/>
      </c>
      <c r="AF240">
        <f>IF($AH240="","",IF(INDEX('Per Invoice'!AF$2:AF$401,$AH240)="","",INDEX('Per Invoice'!AF$2:AF$401,$AH240)))</f>
        <v/>
      </c>
      <c r="AG240" s="7">
        <f>IF($AH240="","",IF(INDEX('Per Invoice'!AG$2:AG$401,$AH240)="","",INDEX('Per Invoice'!AG$2:AG$401,$AH240)))</f>
        <v/>
      </c>
      <c r="AH240" s="16">
        <f>IFERROR(MATCH(Settings!$C$27&amp;"|"&amp;ROWS($AH$2:$AH240),'Per Invoice'!$AI$2:$AI$401,0),"")</f>
        <v/>
      </c>
    </row>
    <row r="241">
      <c r="A241">
        <f>IF($AH241="","",IF(INDEX('Per Invoice'!A$2:A$401,$AH241)="","",INDEX('Per Invoice'!A$2:A$401,$AH241)))</f>
        <v/>
      </c>
      <c r="B241">
        <f>IF($AH241="","",IF(INDEX('Per Invoice'!B$2:B$401,$AH241)="","",INDEX('Per Invoice'!B$2:B$401,$AH241)))</f>
        <v/>
      </c>
      <c r="C241">
        <f>IF($AH241="","",IF(INDEX('Per Invoice'!C$2:C$401,$AH241)="","",INDEX('Per Invoice'!C$2:C$401,$AH241)))</f>
        <v/>
      </c>
      <c r="D241">
        <f>IF($AH241="","",IF(INDEX('Per Invoice'!D$2:D$401,$AH241)="","",INDEX('Per Invoice'!D$2:D$401,$AH241)))</f>
        <v/>
      </c>
      <c r="E241">
        <f>IF($AH241="","",IF(INDEX('Per Invoice'!E$2:E$401,$AH241)="","",INDEX('Per Invoice'!E$2:E$401,$AH241)))</f>
        <v/>
      </c>
      <c r="F241">
        <f>IF($AH241="","",IF(INDEX('Per Invoice'!F$2:F$401,$AH241)="","",INDEX('Per Invoice'!F$2:F$401,$AH241)))</f>
        <v/>
      </c>
      <c r="G241">
        <f>IF($AH241="","",IF(INDEX('Per Invoice'!G$2:G$401,$AH241)="","",INDEX('Per Invoice'!G$2:G$401,$AH241)))</f>
        <v/>
      </c>
      <c r="H241">
        <f>IF($AH241="","",IF(INDEX('Per Invoice'!H$2:H$401,$AH241)="","",INDEX('Per Invoice'!H$2:H$401,$AH241)))</f>
        <v/>
      </c>
      <c r="I241" s="14">
        <f>IF($AH241="","",IF(INDEX('Per Invoice'!I$2:I$401,$AH241)="","",INDEX('Per Invoice'!I$2:I$401,$AH241)))</f>
        <v/>
      </c>
      <c r="J241">
        <f>IF($AH241="","",IF(INDEX('Per Invoice'!J$2:J$401,$AH241)="","",INDEX('Per Invoice'!J$2:J$401,$AH241)))</f>
        <v/>
      </c>
      <c r="K241">
        <f>IF($AH241="","",IF(INDEX('Per Invoice'!K$2:K$401,$AH241)="","",INDEX('Per Invoice'!K$2:K$401,$AH241)))</f>
        <v/>
      </c>
      <c r="L241">
        <f>IF($AH241="","",IF(INDEX('Per Invoice'!L$2:L$401,$AH241)="","",INDEX('Per Invoice'!L$2:L$401,$AH241)))</f>
        <v/>
      </c>
      <c r="M241">
        <f>IF($AH241="","",IF(INDEX('Per Invoice'!M$2:M$401,$AH241)="","",INDEX('Per Invoice'!M$2:M$401,$AH241)))</f>
        <v/>
      </c>
      <c r="N241">
        <f>IF($AH241="","",IF(INDEX('Per Invoice'!N$2:N$401,$AH241)="","",INDEX('Per Invoice'!N$2:N$401,$AH241)))</f>
        <v/>
      </c>
      <c r="O241">
        <f>IF($AH241="","",IF(INDEX('Per Invoice'!O$2:O$401,$AH241)="","",INDEX('Per Invoice'!O$2:O$401,$AH241)))</f>
        <v/>
      </c>
      <c r="P241" s="7">
        <f>IF($AH241="","",IF(INDEX('Per Invoice'!P$2:P$401,$AH241)="","",INDEX('Per Invoice'!P$2:P$401,$AH241)))</f>
        <v/>
      </c>
      <c r="Q241">
        <f>IF($AH241="","",IF(INDEX('Per Invoice'!Q$2:Q$401,$AH241)="","",INDEX('Per Invoice'!Q$2:Q$401,$AH241)))</f>
        <v/>
      </c>
      <c r="R241">
        <f>IF($AH241="","",IF(INDEX('Per Invoice'!R$2:R$401,$AH241)="","",INDEX('Per Invoice'!R$2:R$401,$AH241)))</f>
        <v/>
      </c>
      <c r="S241">
        <f>IF($AH241="","",IF(INDEX('Per Invoice'!S$2:S$401,$AH241)="","",INDEX('Per Invoice'!S$2:S$401,$AH241)))</f>
        <v/>
      </c>
      <c r="T241" s="7">
        <f>IF($AH241="","",IF(INDEX('Per Invoice'!T$2:T$401,$AH241)="","",INDEX('Per Invoice'!T$2:T$401,$AH241)))</f>
        <v/>
      </c>
      <c r="U241" s="7">
        <f>IF($AH241="","",IF(INDEX('Per Invoice'!U$2:U$401,$AH241)="","",INDEX('Per Invoice'!U$2:U$401,$AH241)))</f>
        <v/>
      </c>
      <c r="V241">
        <f>IF($AH241="","",IF(INDEX('Per Invoice'!V$2:V$401,$AH241)="","",INDEX('Per Invoice'!V$2:V$401,$AH241)))</f>
        <v/>
      </c>
      <c r="W241" s="7">
        <f>IF($AH241="","",IF(INDEX('Per Invoice'!W$2:W$401,$AH241)="","",INDEX('Per Invoice'!W$2:W$401,$AH241)))</f>
        <v/>
      </c>
      <c r="X241" s="7">
        <f>IF($AH241="","",IF(INDEX('Per Invoice'!X$2:X$401,$AH241)="","",INDEX('Per Invoice'!X$2:X$401,$AH241)))</f>
        <v/>
      </c>
      <c r="Y241">
        <f>IF($AH241="","",IF(INDEX('Per Invoice'!Y$2:Y$401,$AH241)="","",INDEX('Per Invoice'!Y$2:Y$401,$AH241)))</f>
        <v/>
      </c>
      <c r="Z241" s="7">
        <f>IF($AH241="","",IF(INDEX('Per Invoice'!Z$2:Z$401,$AH241)="","",INDEX('Per Invoice'!Z$2:Z$401,$AH241)))</f>
        <v/>
      </c>
      <c r="AA241" s="7">
        <f>IF($AH241="","",IF(INDEX('Per Invoice'!AA$2:AA$401,$AH241)="","",INDEX('Per Invoice'!AA$2:AA$401,$AH241)))</f>
        <v/>
      </c>
      <c r="AB241" s="7">
        <f>IF($AH241="","",IF(INDEX('Per Invoice'!AB$2:AB$401,$AH241)="","",INDEX('Per Invoice'!AB$2:AB$401,$AH241)))</f>
        <v/>
      </c>
      <c r="AC241" s="7">
        <f>IF($AH241="","",IF(INDEX('Per Invoice'!AC$2:AC$401,$AH241)="","",INDEX('Per Invoice'!AC$2:AC$401,$AH241)))</f>
        <v/>
      </c>
      <c r="AD241" s="7">
        <f>IF($AH241="","",IF(INDEX('Per Invoice'!AD$2:AD$401,$AH241)="","",INDEX('Per Invoice'!AD$2:AD$401,$AH241)))</f>
        <v/>
      </c>
      <c r="AE241" s="7">
        <f>IF($AH241="","",IF(INDEX('Per Invoice'!AE$2:AE$401,$AH241)="","",INDEX('Per Invoice'!AE$2:AE$401,$AH241)))</f>
        <v/>
      </c>
      <c r="AF241">
        <f>IF($AH241="","",IF(INDEX('Per Invoice'!AF$2:AF$401,$AH241)="","",INDEX('Per Invoice'!AF$2:AF$401,$AH241)))</f>
        <v/>
      </c>
      <c r="AG241" s="7">
        <f>IF($AH241="","",IF(INDEX('Per Invoice'!AG$2:AG$401,$AH241)="","",INDEX('Per Invoice'!AG$2:AG$401,$AH241)))</f>
        <v/>
      </c>
      <c r="AH241" s="16">
        <f>IFERROR(MATCH(Settings!$C$27&amp;"|"&amp;ROWS($AH$2:$AH241),'Per Invoice'!$AI$2:$AI$401,0),"")</f>
        <v/>
      </c>
    </row>
    <row r="242">
      <c r="A242">
        <f>IF($AH242="","",IF(INDEX('Per Invoice'!A$2:A$401,$AH242)="","",INDEX('Per Invoice'!A$2:A$401,$AH242)))</f>
        <v/>
      </c>
      <c r="B242">
        <f>IF($AH242="","",IF(INDEX('Per Invoice'!B$2:B$401,$AH242)="","",INDEX('Per Invoice'!B$2:B$401,$AH242)))</f>
        <v/>
      </c>
      <c r="C242">
        <f>IF($AH242="","",IF(INDEX('Per Invoice'!C$2:C$401,$AH242)="","",INDEX('Per Invoice'!C$2:C$401,$AH242)))</f>
        <v/>
      </c>
      <c r="D242">
        <f>IF($AH242="","",IF(INDEX('Per Invoice'!D$2:D$401,$AH242)="","",INDEX('Per Invoice'!D$2:D$401,$AH242)))</f>
        <v/>
      </c>
      <c r="E242">
        <f>IF($AH242="","",IF(INDEX('Per Invoice'!E$2:E$401,$AH242)="","",INDEX('Per Invoice'!E$2:E$401,$AH242)))</f>
        <v/>
      </c>
      <c r="F242">
        <f>IF($AH242="","",IF(INDEX('Per Invoice'!F$2:F$401,$AH242)="","",INDEX('Per Invoice'!F$2:F$401,$AH242)))</f>
        <v/>
      </c>
      <c r="G242">
        <f>IF($AH242="","",IF(INDEX('Per Invoice'!G$2:G$401,$AH242)="","",INDEX('Per Invoice'!G$2:G$401,$AH242)))</f>
        <v/>
      </c>
      <c r="H242">
        <f>IF($AH242="","",IF(INDEX('Per Invoice'!H$2:H$401,$AH242)="","",INDEX('Per Invoice'!H$2:H$401,$AH242)))</f>
        <v/>
      </c>
      <c r="I242" s="14">
        <f>IF($AH242="","",IF(INDEX('Per Invoice'!I$2:I$401,$AH242)="","",INDEX('Per Invoice'!I$2:I$401,$AH242)))</f>
        <v/>
      </c>
      <c r="J242">
        <f>IF($AH242="","",IF(INDEX('Per Invoice'!J$2:J$401,$AH242)="","",INDEX('Per Invoice'!J$2:J$401,$AH242)))</f>
        <v/>
      </c>
      <c r="K242">
        <f>IF($AH242="","",IF(INDEX('Per Invoice'!K$2:K$401,$AH242)="","",INDEX('Per Invoice'!K$2:K$401,$AH242)))</f>
        <v/>
      </c>
      <c r="L242">
        <f>IF($AH242="","",IF(INDEX('Per Invoice'!L$2:L$401,$AH242)="","",INDEX('Per Invoice'!L$2:L$401,$AH242)))</f>
        <v/>
      </c>
      <c r="M242">
        <f>IF($AH242="","",IF(INDEX('Per Invoice'!M$2:M$401,$AH242)="","",INDEX('Per Invoice'!M$2:M$401,$AH242)))</f>
        <v/>
      </c>
      <c r="N242">
        <f>IF($AH242="","",IF(INDEX('Per Invoice'!N$2:N$401,$AH242)="","",INDEX('Per Invoice'!N$2:N$401,$AH242)))</f>
        <v/>
      </c>
      <c r="O242">
        <f>IF($AH242="","",IF(INDEX('Per Invoice'!O$2:O$401,$AH242)="","",INDEX('Per Invoice'!O$2:O$401,$AH242)))</f>
        <v/>
      </c>
      <c r="P242" s="7">
        <f>IF($AH242="","",IF(INDEX('Per Invoice'!P$2:P$401,$AH242)="","",INDEX('Per Invoice'!P$2:P$401,$AH242)))</f>
        <v/>
      </c>
      <c r="Q242">
        <f>IF($AH242="","",IF(INDEX('Per Invoice'!Q$2:Q$401,$AH242)="","",INDEX('Per Invoice'!Q$2:Q$401,$AH242)))</f>
        <v/>
      </c>
      <c r="R242">
        <f>IF($AH242="","",IF(INDEX('Per Invoice'!R$2:R$401,$AH242)="","",INDEX('Per Invoice'!R$2:R$401,$AH242)))</f>
        <v/>
      </c>
      <c r="S242">
        <f>IF($AH242="","",IF(INDEX('Per Invoice'!S$2:S$401,$AH242)="","",INDEX('Per Invoice'!S$2:S$401,$AH242)))</f>
        <v/>
      </c>
      <c r="T242" s="7">
        <f>IF($AH242="","",IF(INDEX('Per Invoice'!T$2:T$401,$AH242)="","",INDEX('Per Invoice'!T$2:T$401,$AH242)))</f>
        <v/>
      </c>
      <c r="U242" s="7">
        <f>IF($AH242="","",IF(INDEX('Per Invoice'!U$2:U$401,$AH242)="","",INDEX('Per Invoice'!U$2:U$401,$AH242)))</f>
        <v/>
      </c>
      <c r="V242">
        <f>IF($AH242="","",IF(INDEX('Per Invoice'!V$2:V$401,$AH242)="","",INDEX('Per Invoice'!V$2:V$401,$AH242)))</f>
        <v/>
      </c>
      <c r="W242" s="7">
        <f>IF($AH242="","",IF(INDEX('Per Invoice'!W$2:W$401,$AH242)="","",INDEX('Per Invoice'!W$2:W$401,$AH242)))</f>
        <v/>
      </c>
      <c r="X242" s="7">
        <f>IF($AH242="","",IF(INDEX('Per Invoice'!X$2:X$401,$AH242)="","",INDEX('Per Invoice'!X$2:X$401,$AH242)))</f>
        <v/>
      </c>
      <c r="Y242">
        <f>IF($AH242="","",IF(INDEX('Per Invoice'!Y$2:Y$401,$AH242)="","",INDEX('Per Invoice'!Y$2:Y$401,$AH242)))</f>
        <v/>
      </c>
      <c r="Z242" s="7">
        <f>IF($AH242="","",IF(INDEX('Per Invoice'!Z$2:Z$401,$AH242)="","",INDEX('Per Invoice'!Z$2:Z$401,$AH242)))</f>
        <v/>
      </c>
      <c r="AA242" s="7">
        <f>IF($AH242="","",IF(INDEX('Per Invoice'!AA$2:AA$401,$AH242)="","",INDEX('Per Invoice'!AA$2:AA$401,$AH242)))</f>
        <v/>
      </c>
      <c r="AB242" s="7">
        <f>IF($AH242="","",IF(INDEX('Per Invoice'!AB$2:AB$401,$AH242)="","",INDEX('Per Invoice'!AB$2:AB$401,$AH242)))</f>
        <v/>
      </c>
      <c r="AC242" s="7">
        <f>IF($AH242="","",IF(INDEX('Per Invoice'!AC$2:AC$401,$AH242)="","",INDEX('Per Invoice'!AC$2:AC$401,$AH242)))</f>
        <v/>
      </c>
      <c r="AD242" s="7">
        <f>IF($AH242="","",IF(INDEX('Per Invoice'!AD$2:AD$401,$AH242)="","",INDEX('Per Invoice'!AD$2:AD$401,$AH242)))</f>
        <v/>
      </c>
      <c r="AE242" s="7">
        <f>IF($AH242="","",IF(INDEX('Per Invoice'!AE$2:AE$401,$AH242)="","",INDEX('Per Invoice'!AE$2:AE$401,$AH242)))</f>
        <v/>
      </c>
      <c r="AF242">
        <f>IF($AH242="","",IF(INDEX('Per Invoice'!AF$2:AF$401,$AH242)="","",INDEX('Per Invoice'!AF$2:AF$401,$AH242)))</f>
        <v/>
      </c>
      <c r="AG242" s="7">
        <f>IF($AH242="","",IF(INDEX('Per Invoice'!AG$2:AG$401,$AH242)="","",INDEX('Per Invoice'!AG$2:AG$401,$AH242)))</f>
        <v/>
      </c>
      <c r="AH242" s="16">
        <f>IFERROR(MATCH(Settings!$C$27&amp;"|"&amp;ROWS($AH$2:$AH242),'Per Invoice'!$AI$2:$AI$401,0),"")</f>
        <v/>
      </c>
    </row>
    <row r="243">
      <c r="A243">
        <f>IF($AH243="","",IF(INDEX('Per Invoice'!A$2:A$401,$AH243)="","",INDEX('Per Invoice'!A$2:A$401,$AH243)))</f>
        <v/>
      </c>
      <c r="B243">
        <f>IF($AH243="","",IF(INDEX('Per Invoice'!B$2:B$401,$AH243)="","",INDEX('Per Invoice'!B$2:B$401,$AH243)))</f>
        <v/>
      </c>
      <c r="C243">
        <f>IF($AH243="","",IF(INDEX('Per Invoice'!C$2:C$401,$AH243)="","",INDEX('Per Invoice'!C$2:C$401,$AH243)))</f>
        <v/>
      </c>
      <c r="D243">
        <f>IF($AH243="","",IF(INDEX('Per Invoice'!D$2:D$401,$AH243)="","",INDEX('Per Invoice'!D$2:D$401,$AH243)))</f>
        <v/>
      </c>
      <c r="E243">
        <f>IF($AH243="","",IF(INDEX('Per Invoice'!E$2:E$401,$AH243)="","",INDEX('Per Invoice'!E$2:E$401,$AH243)))</f>
        <v/>
      </c>
      <c r="F243">
        <f>IF($AH243="","",IF(INDEX('Per Invoice'!F$2:F$401,$AH243)="","",INDEX('Per Invoice'!F$2:F$401,$AH243)))</f>
        <v/>
      </c>
      <c r="G243">
        <f>IF($AH243="","",IF(INDEX('Per Invoice'!G$2:G$401,$AH243)="","",INDEX('Per Invoice'!G$2:G$401,$AH243)))</f>
        <v/>
      </c>
      <c r="H243">
        <f>IF($AH243="","",IF(INDEX('Per Invoice'!H$2:H$401,$AH243)="","",INDEX('Per Invoice'!H$2:H$401,$AH243)))</f>
        <v/>
      </c>
      <c r="I243" s="14">
        <f>IF($AH243="","",IF(INDEX('Per Invoice'!I$2:I$401,$AH243)="","",INDEX('Per Invoice'!I$2:I$401,$AH243)))</f>
        <v/>
      </c>
      <c r="J243">
        <f>IF($AH243="","",IF(INDEX('Per Invoice'!J$2:J$401,$AH243)="","",INDEX('Per Invoice'!J$2:J$401,$AH243)))</f>
        <v/>
      </c>
      <c r="K243">
        <f>IF($AH243="","",IF(INDEX('Per Invoice'!K$2:K$401,$AH243)="","",INDEX('Per Invoice'!K$2:K$401,$AH243)))</f>
        <v/>
      </c>
      <c r="L243">
        <f>IF($AH243="","",IF(INDEX('Per Invoice'!L$2:L$401,$AH243)="","",INDEX('Per Invoice'!L$2:L$401,$AH243)))</f>
        <v/>
      </c>
      <c r="M243">
        <f>IF($AH243="","",IF(INDEX('Per Invoice'!M$2:M$401,$AH243)="","",INDEX('Per Invoice'!M$2:M$401,$AH243)))</f>
        <v/>
      </c>
      <c r="N243">
        <f>IF($AH243="","",IF(INDEX('Per Invoice'!N$2:N$401,$AH243)="","",INDEX('Per Invoice'!N$2:N$401,$AH243)))</f>
        <v/>
      </c>
      <c r="O243">
        <f>IF($AH243="","",IF(INDEX('Per Invoice'!O$2:O$401,$AH243)="","",INDEX('Per Invoice'!O$2:O$401,$AH243)))</f>
        <v/>
      </c>
      <c r="P243" s="7">
        <f>IF($AH243="","",IF(INDEX('Per Invoice'!P$2:P$401,$AH243)="","",INDEX('Per Invoice'!P$2:P$401,$AH243)))</f>
        <v/>
      </c>
      <c r="Q243">
        <f>IF($AH243="","",IF(INDEX('Per Invoice'!Q$2:Q$401,$AH243)="","",INDEX('Per Invoice'!Q$2:Q$401,$AH243)))</f>
        <v/>
      </c>
      <c r="R243">
        <f>IF($AH243="","",IF(INDEX('Per Invoice'!R$2:R$401,$AH243)="","",INDEX('Per Invoice'!R$2:R$401,$AH243)))</f>
        <v/>
      </c>
      <c r="S243">
        <f>IF($AH243="","",IF(INDEX('Per Invoice'!S$2:S$401,$AH243)="","",INDEX('Per Invoice'!S$2:S$401,$AH243)))</f>
        <v/>
      </c>
      <c r="T243" s="7">
        <f>IF($AH243="","",IF(INDEX('Per Invoice'!T$2:T$401,$AH243)="","",INDEX('Per Invoice'!T$2:T$401,$AH243)))</f>
        <v/>
      </c>
      <c r="U243" s="7">
        <f>IF($AH243="","",IF(INDEX('Per Invoice'!U$2:U$401,$AH243)="","",INDEX('Per Invoice'!U$2:U$401,$AH243)))</f>
        <v/>
      </c>
      <c r="V243">
        <f>IF($AH243="","",IF(INDEX('Per Invoice'!V$2:V$401,$AH243)="","",INDEX('Per Invoice'!V$2:V$401,$AH243)))</f>
        <v/>
      </c>
      <c r="W243" s="7">
        <f>IF($AH243="","",IF(INDEX('Per Invoice'!W$2:W$401,$AH243)="","",INDEX('Per Invoice'!W$2:W$401,$AH243)))</f>
        <v/>
      </c>
      <c r="X243" s="7">
        <f>IF($AH243="","",IF(INDEX('Per Invoice'!X$2:X$401,$AH243)="","",INDEX('Per Invoice'!X$2:X$401,$AH243)))</f>
        <v/>
      </c>
      <c r="Y243">
        <f>IF($AH243="","",IF(INDEX('Per Invoice'!Y$2:Y$401,$AH243)="","",INDEX('Per Invoice'!Y$2:Y$401,$AH243)))</f>
        <v/>
      </c>
      <c r="Z243" s="7">
        <f>IF($AH243="","",IF(INDEX('Per Invoice'!Z$2:Z$401,$AH243)="","",INDEX('Per Invoice'!Z$2:Z$401,$AH243)))</f>
        <v/>
      </c>
      <c r="AA243" s="7">
        <f>IF($AH243="","",IF(INDEX('Per Invoice'!AA$2:AA$401,$AH243)="","",INDEX('Per Invoice'!AA$2:AA$401,$AH243)))</f>
        <v/>
      </c>
      <c r="AB243" s="7">
        <f>IF($AH243="","",IF(INDEX('Per Invoice'!AB$2:AB$401,$AH243)="","",INDEX('Per Invoice'!AB$2:AB$401,$AH243)))</f>
        <v/>
      </c>
      <c r="AC243" s="7">
        <f>IF($AH243="","",IF(INDEX('Per Invoice'!AC$2:AC$401,$AH243)="","",INDEX('Per Invoice'!AC$2:AC$401,$AH243)))</f>
        <v/>
      </c>
      <c r="AD243" s="7">
        <f>IF($AH243="","",IF(INDEX('Per Invoice'!AD$2:AD$401,$AH243)="","",INDEX('Per Invoice'!AD$2:AD$401,$AH243)))</f>
        <v/>
      </c>
      <c r="AE243" s="7">
        <f>IF($AH243="","",IF(INDEX('Per Invoice'!AE$2:AE$401,$AH243)="","",INDEX('Per Invoice'!AE$2:AE$401,$AH243)))</f>
        <v/>
      </c>
      <c r="AF243">
        <f>IF($AH243="","",IF(INDEX('Per Invoice'!AF$2:AF$401,$AH243)="","",INDEX('Per Invoice'!AF$2:AF$401,$AH243)))</f>
        <v/>
      </c>
      <c r="AG243" s="7">
        <f>IF($AH243="","",IF(INDEX('Per Invoice'!AG$2:AG$401,$AH243)="","",INDEX('Per Invoice'!AG$2:AG$401,$AH243)))</f>
        <v/>
      </c>
      <c r="AH243" s="16">
        <f>IFERROR(MATCH(Settings!$C$27&amp;"|"&amp;ROWS($AH$2:$AH243),'Per Invoice'!$AI$2:$AI$401,0),"")</f>
        <v/>
      </c>
    </row>
    <row r="244">
      <c r="A244">
        <f>IF($AH244="","",IF(INDEX('Per Invoice'!A$2:A$401,$AH244)="","",INDEX('Per Invoice'!A$2:A$401,$AH244)))</f>
        <v/>
      </c>
      <c r="B244">
        <f>IF($AH244="","",IF(INDEX('Per Invoice'!B$2:B$401,$AH244)="","",INDEX('Per Invoice'!B$2:B$401,$AH244)))</f>
        <v/>
      </c>
      <c r="C244">
        <f>IF($AH244="","",IF(INDEX('Per Invoice'!C$2:C$401,$AH244)="","",INDEX('Per Invoice'!C$2:C$401,$AH244)))</f>
        <v/>
      </c>
      <c r="D244">
        <f>IF($AH244="","",IF(INDEX('Per Invoice'!D$2:D$401,$AH244)="","",INDEX('Per Invoice'!D$2:D$401,$AH244)))</f>
        <v/>
      </c>
      <c r="E244">
        <f>IF($AH244="","",IF(INDEX('Per Invoice'!E$2:E$401,$AH244)="","",INDEX('Per Invoice'!E$2:E$401,$AH244)))</f>
        <v/>
      </c>
      <c r="F244">
        <f>IF($AH244="","",IF(INDEX('Per Invoice'!F$2:F$401,$AH244)="","",INDEX('Per Invoice'!F$2:F$401,$AH244)))</f>
        <v/>
      </c>
      <c r="G244">
        <f>IF($AH244="","",IF(INDEX('Per Invoice'!G$2:G$401,$AH244)="","",INDEX('Per Invoice'!G$2:G$401,$AH244)))</f>
        <v/>
      </c>
      <c r="H244">
        <f>IF($AH244="","",IF(INDEX('Per Invoice'!H$2:H$401,$AH244)="","",INDEX('Per Invoice'!H$2:H$401,$AH244)))</f>
        <v/>
      </c>
      <c r="I244" s="14">
        <f>IF($AH244="","",IF(INDEX('Per Invoice'!I$2:I$401,$AH244)="","",INDEX('Per Invoice'!I$2:I$401,$AH244)))</f>
        <v/>
      </c>
      <c r="J244">
        <f>IF($AH244="","",IF(INDEX('Per Invoice'!J$2:J$401,$AH244)="","",INDEX('Per Invoice'!J$2:J$401,$AH244)))</f>
        <v/>
      </c>
      <c r="K244">
        <f>IF($AH244="","",IF(INDEX('Per Invoice'!K$2:K$401,$AH244)="","",INDEX('Per Invoice'!K$2:K$401,$AH244)))</f>
        <v/>
      </c>
      <c r="L244">
        <f>IF($AH244="","",IF(INDEX('Per Invoice'!L$2:L$401,$AH244)="","",INDEX('Per Invoice'!L$2:L$401,$AH244)))</f>
        <v/>
      </c>
      <c r="M244">
        <f>IF($AH244="","",IF(INDEX('Per Invoice'!M$2:M$401,$AH244)="","",INDEX('Per Invoice'!M$2:M$401,$AH244)))</f>
        <v/>
      </c>
      <c r="N244">
        <f>IF($AH244="","",IF(INDEX('Per Invoice'!N$2:N$401,$AH244)="","",INDEX('Per Invoice'!N$2:N$401,$AH244)))</f>
        <v/>
      </c>
      <c r="O244">
        <f>IF($AH244="","",IF(INDEX('Per Invoice'!O$2:O$401,$AH244)="","",INDEX('Per Invoice'!O$2:O$401,$AH244)))</f>
        <v/>
      </c>
      <c r="P244" s="7">
        <f>IF($AH244="","",IF(INDEX('Per Invoice'!P$2:P$401,$AH244)="","",INDEX('Per Invoice'!P$2:P$401,$AH244)))</f>
        <v/>
      </c>
      <c r="Q244">
        <f>IF($AH244="","",IF(INDEX('Per Invoice'!Q$2:Q$401,$AH244)="","",INDEX('Per Invoice'!Q$2:Q$401,$AH244)))</f>
        <v/>
      </c>
      <c r="R244">
        <f>IF($AH244="","",IF(INDEX('Per Invoice'!R$2:R$401,$AH244)="","",INDEX('Per Invoice'!R$2:R$401,$AH244)))</f>
        <v/>
      </c>
      <c r="S244">
        <f>IF($AH244="","",IF(INDEX('Per Invoice'!S$2:S$401,$AH244)="","",INDEX('Per Invoice'!S$2:S$401,$AH244)))</f>
        <v/>
      </c>
      <c r="T244" s="7">
        <f>IF($AH244="","",IF(INDEX('Per Invoice'!T$2:T$401,$AH244)="","",INDEX('Per Invoice'!T$2:T$401,$AH244)))</f>
        <v/>
      </c>
      <c r="U244" s="7">
        <f>IF($AH244="","",IF(INDEX('Per Invoice'!U$2:U$401,$AH244)="","",INDEX('Per Invoice'!U$2:U$401,$AH244)))</f>
        <v/>
      </c>
      <c r="V244">
        <f>IF($AH244="","",IF(INDEX('Per Invoice'!V$2:V$401,$AH244)="","",INDEX('Per Invoice'!V$2:V$401,$AH244)))</f>
        <v/>
      </c>
      <c r="W244" s="7">
        <f>IF($AH244="","",IF(INDEX('Per Invoice'!W$2:W$401,$AH244)="","",INDEX('Per Invoice'!W$2:W$401,$AH244)))</f>
        <v/>
      </c>
      <c r="X244" s="7">
        <f>IF($AH244="","",IF(INDEX('Per Invoice'!X$2:X$401,$AH244)="","",INDEX('Per Invoice'!X$2:X$401,$AH244)))</f>
        <v/>
      </c>
      <c r="Y244">
        <f>IF($AH244="","",IF(INDEX('Per Invoice'!Y$2:Y$401,$AH244)="","",INDEX('Per Invoice'!Y$2:Y$401,$AH244)))</f>
        <v/>
      </c>
      <c r="Z244" s="7">
        <f>IF($AH244="","",IF(INDEX('Per Invoice'!Z$2:Z$401,$AH244)="","",INDEX('Per Invoice'!Z$2:Z$401,$AH244)))</f>
        <v/>
      </c>
      <c r="AA244" s="7">
        <f>IF($AH244="","",IF(INDEX('Per Invoice'!AA$2:AA$401,$AH244)="","",INDEX('Per Invoice'!AA$2:AA$401,$AH244)))</f>
        <v/>
      </c>
      <c r="AB244" s="7">
        <f>IF($AH244="","",IF(INDEX('Per Invoice'!AB$2:AB$401,$AH244)="","",INDEX('Per Invoice'!AB$2:AB$401,$AH244)))</f>
        <v/>
      </c>
      <c r="AC244" s="7">
        <f>IF($AH244="","",IF(INDEX('Per Invoice'!AC$2:AC$401,$AH244)="","",INDEX('Per Invoice'!AC$2:AC$401,$AH244)))</f>
        <v/>
      </c>
      <c r="AD244" s="7">
        <f>IF($AH244="","",IF(INDEX('Per Invoice'!AD$2:AD$401,$AH244)="","",INDEX('Per Invoice'!AD$2:AD$401,$AH244)))</f>
        <v/>
      </c>
      <c r="AE244" s="7">
        <f>IF($AH244="","",IF(INDEX('Per Invoice'!AE$2:AE$401,$AH244)="","",INDEX('Per Invoice'!AE$2:AE$401,$AH244)))</f>
        <v/>
      </c>
      <c r="AF244">
        <f>IF($AH244="","",IF(INDEX('Per Invoice'!AF$2:AF$401,$AH244)="","",INDEX('Per Invoice'!AF$2:AF$401,$AH244)))</f>
        <v/>
      </c>
      <c r="AG244" s="7">
        <f>IF($AH244="","",IF(INDEX('Per Invoice'!AG$2:AG$401,$AH244)="","",INDEX('Per Invoice'!AG$2:AG$401,$AH244)))</f>
        <v/>
      </c>
      <c r="AH244" s="16">
        <f>IFERROR(MATCH(Settings!$C$27&amp;"|"&amp;ROWS($AH$2:$AH244),'Per Invoice'!$AI$2:$AI$401,0),"")</f>
        <v/>
      </c>
    </row>
    <row r="245">
      <c r="A245">
        <f>IF($AH245="","",IF(INDEX('Per Invoice'!A$2:A$401,$AH245)="","",INDEX('Per Invoice'!A$2:A$401,$AH245)))</f>
        <v/>
      </c>
      <c r="B245">
        <f>IF($AH245="","",IF(INDEX('Per Invoice'!B$2:B$401,$AH245)="","",INDEX('Per Invoice'!B$2:B$401,$AH245)))</f>
        <v/>
      </c>
      <c r="C245">
        <f>IF($AH245="","",IF(INDEX('Per Invoice'!C$2:C$401,$AH245)="","",INDEX('Per Invoice'!C$2:C$401,$AH245)))</f>
        <v/>
      </c>
      <c r="D245">
        <f>IF($AH245="","",IF(INDEX('Per Invoice'!D$2:D$401,$AH245)="","",INDEX('Per Invoice'!D$2:D$401,$AH245)))</f>
        <v/>
      </c>
      <c r="E245">
        <f>IF($AH245="","",IF(INDEX('Per Invoice'!E$2:E$401,$AH245)="","",INDEX('Per Invoice'!E$2:E$401,$AH245)))</f>
        <v/>
      </c>
      <c r="F245">
        <f>IF($AH245="","",IF(INDEX('Per Invoice'!F$2:F$401,$AH245)="","",INDEX('Per Invoice'!F$2:F$401,$AH245)))</f>
        <v/>
      </c>
      <c r="G245">
        <f>IF($AH245="","",IF(INDEX('Per Invoice'!G$2:G$401,$AH245)="","",INDEX('Per Invoice'!G$2:G$401,$AH245)))</f>
        <v/>
      </c>
      <c r="H245">
        <f>IF($AH245="","",IF(INDEX('Per Invoice'!H$2:H$401,$AH245)="","",INDEX('Per Invoice'!H$2:H$401,$AH245)))</f>
        <v/>
      </c>
      <c r="I245" s="14">
        <f>IF($AH245="","",IF(INDEX('Per Invoice'!I$2:I$401,$AH245)="","",INDEX('Per Invoice'!I$2:I$401,$AH245)))</f>
        <v/>
      </c>
      <c r="J245">
        <f>IF($AH245="","",IF(INDEX('Per Invoice'!J$2:J$401,$AH245)="","",INDEX('Per Invoice'!J$2:J$401,$AH245)))</f>
        <v/>
      </c>
      <c r="K245">
        <f>IF($AH245="","",IF(INDEX('Per Invoice'!K$2:K$401,$AH245)="","",INDEX('Per Invoice'!K$2:K$401,$AH245)))</f>
        <v/>
      </c>
      <c r="L245">
        <f>IF($AH245="","",IF(INDEX('Per Invoice'!L$2:L$401,$AH245)="","",INDEX('Per Invoice'!L$2:L$401,$AH245)))</f>
        <v/>
      </c>
      <c r="M245">
        <f>IF($AH245="","",IF(INDEX('Per Invoice'!M$2:M$401,$AH245)="","",INDEX('Per Invoice'!M$2:M$401,$AH245)))</f>
        <v/>
      </c>
      <c r="N245">
        <f>IF($AH245="","",IF(INDEX('Per Invoice'!N$2:N$401,$AH245)="","",INDEX('Per Invoice'!N$2:N$401,$AH245)))</f>
        <v/>
      </c>
      <c r="O245">
        <f>IF($AH245="","",IF(INDEX('Per Invoice'!O$2:O$401,$AH245)="","",INDEX('Per Invoice'!O$2:O$401,$AH245)))</f>
        <v/>
      </c>
      <c r="P245" s="7">
        <f>IF($AH245="","",IF(INDEX('Per Invoice'!P$2:P$401,$AH245)="","",INDEX('Per Invoice'!P$2:P$401,$AH245)))</f>
        <v/>
      </c>
      <c r="Q245">
        <f>IF($AH245="","",IF(INDEX('Per Invoice'!Q$2:Q$401,$AH245)="","",INDEX('Per Invoice'!Q$2:Q$401,$AH245)))</f>
        <v/>
      </c>
      <c r="R245">
        <f>IF($AH245="","",IF(INDEX('Per Invoice'!R$2:R$401,$AH245)="","",INDEX('Per Invoice'!R$2:R$401,$AH245)))</f>
        <v/>
      </c>
      <c r="S245">
        <f>IF($AH245="","",IF(INDEX('Per Invoice'!S$2:S$401,$AH245)="","",INDEX('Per Invoice'!S$2:S$401,$AH245)))</f>
        <v/>
      </c>
      <c r="T245" s="7">
        <f>IF($AH245="","",IF(INDEX('Per Invoice'!T$2:T$401,$AH245)="","",INDEX('Per Invoice'!T$2:T$401,$AH245)))</f>
        <v/>
      </c>
      <c r="U245" s="7">
        <f>IF($AH245="","",IF(INDEX('Per Invoice'!U$2:U$401,$AH245)="","",INDEX('Per Invoice'!U$2:U$401,$AH245)))</f>
        <v/>
      </c>
      <c r="V245">
        <f>IF($AH245="","",IF(INDEX('Per Invoice'!V$2:V$401,$AH245)="","",INDEX('Per Invoice'!V$2:V$401,$AH245)))</f>
        <v/>
      </c>
      <c r="W245" s="7">
        <f>IF($AH245="","",IF(INDEX('Per Invoice'!W$2:W$401,$AH245)="","",INDEX('Per Invoice'!W$2:W$401,$AH245)))</f>
        <v/>
      </c>
      <c r="X245" s="7">
        <f>IF($AH245="","",IF(INDEX('Per Invoice'!X$2:X$401,$AH245)="","",INDEX('Per Invoice'!X$2:X$401,$AH245)))</f>
        <v/>
      </c>
      <c r="Y245">
        <f>IF($AH245="","",IF(INDEX('Per Invoice'!Y$2:Y$401,$AH245)="","",INDEX('Per Invoice'!Y$2:Y$401,$AH245)))</f>
        <v/>
      </c>
      <c r="Z245" s="7">
        <f>IF($AH245="","",IF(INDEX('Per Invoice'!Z$2:Z$401,$AH245)="","",INDEX('Per Invoice'!Z$2:Z$401,$AH245)))</f>
        <v/>
      </c>
      <c r="AA245" s="7">
        <f>IF($AH245="","",IF(INDEX('Per Invoice'!AA$2:AA$401,$AH245)="","",INDEX('Per Invoice'!AA$2:AA$401,$AH245)))</f>
        <v/>
      </c>
      <c r="AB245" s="7">
        <f>IF($AH245="","",IF(INDEX('Per Invoice'!AB$2:AB$401,$AH245)="","",INDEX('Per Invoice'!AB$2:AB$401,$AH245)))</f>
        <v/>
      </c>
      <c r="AC245" s="7">
        <f>IF($AH245="","",IF(INDEX('Per Invoice'!AC$2:AC$401,$AH245)="","",INDEX('Per Invoice'!AC$2:AC$401,$AH245)))</f>
        <v/>
      </c>
      <c r="AD245" s="7">
        <f>IF($AH245="","",IF(INDEX('Per Invoice'!AD$2:AD$401,$AH245)="","",INDEX('Per Invoice'!AD$2:AD$401,$AH245)))</f>
        <v/>
      </c>
      <c r="AE245" s="7">
        <f>IF($AH245="","",IF(INDEX('Per Invoice'!AE$2:AE$401,$AH245)="","",INDEX('Per Invoice'!AE$2:AE$401,$AH245)))</f>
        <v/>
      </c>
      <c r="AF245">
        <f>IF($AH245="","",IF(INDEX('Per Invoice'!AF$2:AF$401,$AH245)="","",INDEX('Per Invoice'!AF$2:AF$401,$AH245)))</f>
        <v/>
      </c>
      <c r="AG245" s="7">
        <f>IF($AH245="","",IF(INDEX('Per Invoice'!AG$2:AG$401,$AH245)="","",INDEX('Per Invoice'!AG$2:AG$401,$AH245)))</f>
        <v/>
      </c>
      <c r="AH245" s="16">
        <f>IFERROR(MATCH(Settings!$C$27&amp;"|"&amp;ROWS($AH$2:$AH245),'Per Invoice'!$AI$2:$AI$401,0),"")</f>
        <v/>
      </c>
    </row>
    <row r="246">
      <c r="A246">
        <f>IF($AH246="","",IF(INDEX('Per Invoice'!A$2:A$401,$AH246)="","",INDEX('Per Invoice'!A$2:A$401,$AH246)))</f>
        <v/>
      </c>
      <c r="B246">
        <f>IF($AH246="","",IF(INDEX('Per Invoice'!B$2:B$401,$AH246)="","",INDEX('Per Invoice'!B$2:B$401,$AH246)))</f>
        <v/>
      </c>
      <c r="C246">
        <f>IF($AH246="","",IF(INDEX('Per Invoice'!C$2:C$401,$AH246)="","",INDEX('Per Invoice'!C$2:C$401,$AH246)))</f>
        <v/>
      </c>
      <c r="D246">
        <f>IF($AH246="","",IF(INDEX('Per Invoice'!D$2:D$401,$AH246)="","",INDEX('Per Invoice'!D$2:D$401,$AH246)))</f>
        <v/>
      </c>
      <c r="E246">
        <f>IF($AH246="","",IF(INDEX('Per Invoice'!E$2:E$401,$AH246)="","",INDEX('Per Invoice'!E$2:E$401,$AH246)))</f>
        <v/>
      </c>
      <c r="F246">
        <f>IF($AH246="","",IF(INDEX('Per Invoice'!F$2:F$401,$AH246)="","",INDEX('Per Invoice'!F$2:F$401,$AH246)))</f>
        <v/>
      </c>
      <c r="G246">
        <f>IF($AH246="","",IF(INDEX('Per Invoice'!G$2:G$401,$AH246)="","",INDEX('Per Invoice'!G$2:G$401,$AH246)))</f>
        <v/>
      </c>
      <c r="H246">
        <f>IF($AH246="","",IF(INDEX('Per Invoice'!H$2:H$401,$AH246)="","",INDEX('Per Invoice'!H$2:H$401,$AH246)))</f>
        <v/>
      </c>
      <c r="I246" s="14">
        <f>IF($AH246="","",IF(INDEX('Per Invoice'!I$2:I$401,$AH246)="","",INDEX('Per Invoice'!I$2:I$401,$AH246)))</f>
        <v/>
      </c>
      <c r="J246">
        <f>IF($AH246="","",IF(INDEX('Per Invoice'!J$2:J$401,$AH246)="","",INDEX('Per Invoice'!J$2:J$401,$AH246)))</f>
        <v/>
      </c>
      <c r="K246">
        <f>IF($AH246="","",IF(INDEX('Per Invoice'!K$2:K$401,$AH246)="","",INDEX('Per Invoice'!K$2:K$401,$AH246)))</f>
        <v/>
      </c>
      <c r="L246">
        <f>IF($AH246="","",IF(INDEX('Per Invoice'!L$2:L$401,$AH246)="","",INDEX('Per Invoice'!L$2:L$401,$AH246)))</f>
        <v/>
      </c>
      <c r="M246">
        <f>IF($AH246="","",IF(INDEX('Per Invoice'!M$2:M$401,$AH246)="","",INDEX('Per Invoice'!M$2:M$401,$AH246)))</f>
        <v/>
      </c>
      <c r="N246">
        <f>IF($AH246="","",IF(INDEX('Per Invoice'!N$2:N$401,$AH246)="","",INDEX('Per Invoice'!N$2:N$401,$AH246)))</f>
        <v/>
      </c>
      <c r="O246">
        <f>IF($AH246="","",IF(INDEX('Per Invoice'!O$2:O$401,$AH246)="","",INDEX('Per Invoice'!O$2:O$401,$AH246)))</f>
        <v/>
      </c>
      <c r="P246" s="7">
        <f>IF($AH246="","",IF(INDEX('Per Invoice'!P$2:P$401,$AH246)="","",INDEX('Per Invoice'!P$2:P$401,$AH246)))</f>
        <v/>
      </c>
      <c r="Q246">
        <f>IF($AH246="","",IF(INDEX('Per Invoice'!Q$2:Q$401,$AH246)="","",INDEX('Per Invoice'!Q$2:Q$401,$AH246)))</f>
        <v/>
      </c>
      <c r="R246">
        <f>IF($AH246="","",IF(INDEX('Per Invoice'!R$2:R$401,$AH246)="","",INDEX('Per Invoice'!R$2:R$401,$AH246)))</f>
        <v/>
      </c>
      <c r="S246">
        <f>IF($AH246="","",IF(INDEX('Per Invoice'!S$2:S$401,$AH246)="","",INDEX('Per Invoice'!S$2:S$401,$AH246)))</f>
        <v/>
      </c>
      <c r="T246" s="7">
        <f>IF($AH246="","",IF(INDEX('Per Invoice'!T$2:T$401,$AH246)="","",INDEX('Per Invoice'!T$2:T$401,$AH246)))</f>
        <v/>
      </c>
      <c r="U246" s="7">
        <f>IF($AH246="","",IF(INDEX('Per Invoice'!U$2:U$401,$AH246)="","",INDEX('Per Invoice'!U$2:U$401,$AH246)))</f>
        <v/>
      </c>
      <c r="V246">
        <f>IF($AH246="","",IF(INDEX('Per Invoice'!V$2:V$401,$AH246)="","",INDEX('Per Invoice'!V$2:V$401,$AH246)))</f>
        <v/>
      </c>
      <c r="W246" s="7">
        <f>IF($AH246="","",IF(INDEX('Per Invoice'!W$2:W$401,$AH246)="","",INDEX('Per Invoice'!W$2:W$401,$AH246)))</f>
        <v/>
      </c>
      <c r="X246" s="7">
        <f>IF($AH246="","",IF(INDEX('Per Invoice'!X$2:X$401,$AH246)="","",INDEX('Per Invoice'!X$2:X$401,$AH246)))</f>
        <v/>
      </c>
      <c r="Y246">
        <f>IF($AH246="","",IF(INDEX('Per Invoice'!Y$2:Y$401,$AH246)="","",INDEX('Per Invoice'!Y$2:Y$401,$AH246)))</f>
        <v/>
      </c>
      <c r="Z246" s="7">
        <f>IF($AH246="","",IF(INDEX('Per Invoice'!Z$2:Z$401,$AH246)="","",INDEX('Per Invoice'!Z$2:Z$401,$AH246)))</f>
        <v/>
      </c>
      <c r="AA246" s="7">
        <f>IF($AH246="","",IF(INDEX('Per Invoice'!AA$2:AA$401,$AH246)="","",INDEX('Per Invoice'!AA$2:AA$401,$AH246)))</f>
        <v/>
      </c>
      <c r="AB246" s="7">
        <f>IF($AH246="","",IF(INDEX('Per Invoice'!AB$2:AB$401,$AH246)="","",INDEX('Per Invoice'!AB$2:AB$401,$AH246)))</f>
        <v/>
      </c>
      <c r="AC246" s="7">
        <f>IF($AH246="","",IF(INDEX('Per Invoice'!AC$2:AC$401,$AH246)="","",INDEX('Per Invoice'!AC$2:AC$401,$AH246)))</f>
        <v/>
      </c>
      <c r="AD246" s="7">
        <f>IF($AH246="","",IF(INDEX('Per Invoice'!AD$2:AD$401,$AH246)="","",INDEX('Per Invoice'!AD$2:AD$401,$AH246)))</f>
        <v/>
      </c>
      <c r="AE246" s="7">
        <f>IF($AH246="","",IF(INDEX('Per Invoice'!AE$2:AE$401,$AH246)="","",INDEX('Per Invoice'!AE$2:AE$401,$AH246)))</f>
        <v/>
      </c>
      <c r="AF246">
        <f>IF($AH246="","",IF(INDEX('Per Invoice'!AF$2:AF$401,$AH246)="","",INDEX('Per Invoice'!AF$2:AF$401,$AH246)))</f>
        <v/>
      </c>
      <c r="AG246" s="7">
        <f>IF($AH246="","",IF(INDEX('Per Invoice'!AG$2:AG$401,$AH246)="","",INDEX('Per Invoice'!AG$2:AG$401,$AH246)))</f>
        <v/>
      </c>
      <c r="AH246" s="16">
        <f>IFERROR(MATCH(Settings!$C$27&amp;"|"&amp;ROWS($AH$2:$AH246),'Per Invoice'!$AI$2:$AI$401,0),"")</f>
        <v/>
      </c>
    </row>
    <row r="247">
      <c r="A247">
        <f>IF($AH247="","",IF(INDEX('Per Invoice'!A$2:A$401,$AH247)="","",INDEX('Per Invoice'!A$2:A$401,$AH247)))</f>
        <v/>
      </c>
      <c r="B247">
        <f>IF($AH247="","",IF(INDEX('Per Invoice'!B$2:B$401,$AH247)="","",INDEX('Per Invoice'!B$2:B$401,$AH247)))</f>
        <v/>
      </c>
      <c r="C247">
        <f>IF($AH247="","",IF(INDEX('Per Invoice'!C$2:C$401,$AH247)="","",INDEX('Per Invoice'!C$2:C$401,$AH247)))</f>
        <v/>
      </c>
      <c r="D247">
        <f>IF($AH247="","",IF(INDEX('Per Invoice'!D$2:D$401,$AH247)="","",INDEX('Per Invoice'!D$2:D$401,$AH247)))</f>
        <v/>
      </c>
      <c r="E247">
        <f>IF($AH247="","",IF(INDEX('Per Invoice'!E$2:E$401,$AH247)="","",INDEX('Per Invoice'!E$2:E$401,$AH247)))</f>
        <v/>
      </c>
      <c r="F247">
        <f>IF($AH247="","",IF(INDEX('Per Invoice'!F$2:F$401,$AH247)="","",INDEX('Per Invoice'!F$2:F$401,$AH247)))</f>
        <v/>
      </c>
      <c r="G247">
        <f>IF($AH247="","",IF(INDEX('Per Invoice'!G$2:G$401,$AH247)="","",INDEX('Per Invoice'!G$2:G$401,$AH247)))</f>
        <v/>
      </c>
      <c r="H247">
        <f>IF($AH247="","",IF(INDEX('Per Invoice'!H$2:H$401,$AH247)="","",INDEX('Per Invoice'!H$2:H$401,$AH247)))</f>
        <v/>
      </c>
      <c r="I247" s="14">
        <f>IF($AH247="","",IF(INDEX('Per Invoice'!I$2:I$401,$AH247)="","",INDEX('Per Invoice'!I$2:I$401,$AH247)))</f>
        <v/>
      </c>
      <c r="J247">
        <f>IF($AH247="","",IF(INDEX('Per Invoice'!J$2:J$401,$AH247)="","",INDEX('Per Invoice'!J$2:J$401,$AH247)))</f>
        <v/>
      </c>
      <c r="K247">
        <f>IF($AH247="","",IF(INDEX('Per Invoice'!K$2:K$401,$AH247)="","",INDEX('Per Invoice'!K$2:K$401,$AH247)))</f>
        <v/>
      </c>
      <c r="L247">
        <f>IF($AH247="","",IF(INDEX('Per Invoice'!L$2:L$401,$AH247)="","",INDEX('Per Invoice'!L$2:L$401,$AH247)))</f>
        <v/>
      </c>
      <c r="M247">
        <f>IF($AH247="","",IF(INDEX('Per Invoice'!M$2:M$401,$AH247)="","",INDEX('Per Invoice'!M$2:M$401,$AH247)))</f>
        <v/>
      </c>
      <c r="N247">
        <f>IF($AH247="","",IF(INDEX('Per Invoice'!N$2:N$401,$AH247)="","",INDEX('Per Invoice'!N$2:N$401,$AH247)))</f>
        <v/>
      </c>
      <c r="O247">
        <f>IF($AH247="","",IF(INDEX('Per Invoice'!O$2:O$401,$AH247)="","",INDEX('Per Invoice'!O$2:O$401,$AH247)))</f>
        <v/>
      </c>
      <c r="P247" s="7">
        <f>IF($AH247="","",IF(INDEX('Per Invoice'!P$2:P$401,$AH247)="","",INDEX('Per Invoice'!P$2:P$401,$AH247)))</f>
        <v/>
      </c>
      <c r="Q247">
        <f>IF($AH247="","",IF(INDEX('Per Invoice'!Q$2:Q$401,$AH247)="","",INDEX('Per Invoice'!Q$2:Q$401,$AH247)))</f>
        <v/>
      </c>
      <c r="R247">
        <f>IF($AH247="","",IF(INDEX('Per Invoice'!R$2:R$401,$AH247)="","",INDEX('Per Invoice'!R$2:R$401,$AH247)))</f>
        <v/>
      </c>
      <c r="S247">
        <f>IF($AH247="","",IF(INDEX('Per Invoice'!S$2:S$401,$AH247)="","",INDEX('Per Invoice'!S$2:S$401,$AH247)))</f>
        <v/>
      </c>
      <c r="T247" s="7">
        <f>IF($AH247="","",IF(INDEX('Per Invoice'!T$2:T$401,$AH247)="","",INDEX('Per Invoice'!T$2:T$401,$AH247)))</f>
        <v/>
      </c>
      <c r="U247" s="7">
        <f>IF($AH247="","",IF(INDEX('Per Invoice'!U$2:U$401,$AH247)="","",INDEX('Per Invoice'!U$2:U$401,$AH247)))</f>
        <v/>
      </c>
      <c r="V247">
        <f>IF($AH247="","",IF(INDEX('Per Invoice'!V$2:V$401,$AH247)="","",INDEX('Per Invoice'!V$2:V$401,$AH247)))</f>
        <v/>
      </c>
      <c r="W247" s="7">
        <f>IF($AH247="","",IF(INDEX('Per Invoice'!W$2:W$401,$AH247)="","",INDEX('Per Invoice'!W$2:W$401,$AH247)))</f>
        <v/>
      </c>
      <c r="X247" s="7">
        <f>IF($AH247="","",IF(INDEX('Per Invoice'!X$2:X$401,$AH247)="","",INDEX('Per Invoice'!X$2:X$401,$AH247)))</f>
        <v/>
      </c>
      <c r="Y247">
        <f>IF($AH247="","",IF(INDEX('Per Invoice'!Y$2:Y$401,$AH247)="","",INDEX('Per Invoice'!Y$2:Y$401,$AH247)))</f>
        <v/>
      </c>
      <c r="Z247" s="7">
        <f>IF($AH247="","",IF(INDEX('Per Invoice'!Z$2:Z$401,$AH247)="","",INDEX('Per Invoice'!Z$2:Z$401,$AH247)))</f>
        <v/>
      </c>
      <c r="AA247" s="7">
        <f>IF($AH247="","",IF(INDEX('Per Invoice'!AA$2:AA$401,$AH247)="","",INDEX('Per Invoice'!AA$2:AA$401,$AH247)))</f>
        <v/>
      </c>
      <c r="AB247" s="7">
        <f>IF($AH247="","",IF(INDEX('Per Invoice'!AB$2:AB$401,$AH247)="","",INDEX('Per Invoice'!AB$2:AB$401,$AH247)))</f>
        <v/>
      </c>
      <c r="AC247" s="7">
        <f>IF($AH247="","",IF(INDEX('Per Invoice'!AC$2:AC$401,$AH247)="","",INDEX('Per Invoice'!AC$2:AC$401,$AH247)))</f>
        <v/>
      </c>
      <c r="AD247" s="7">
        <f>IF($AH247="","",IF(INDEX('Per Invoice'!AD$2:AD$401,$AH247)="","",INDEX('Per Invoice'!AD$2:AD$401,$AH247)))</f>
        <v/>
      </c>
      <c r="AE247" s="7">
        <f>IF($AH247="","",IF(INDEX('Per Invoice'!AE$2:AE$401,$AH247)="","",INDEX('Per Invoice'!AE$2:AE$401,$AH247)))</f>
        <v/>
      </c>
      <c r="AF247">
        <f>IF($AH247="","",IF(INDEX('Per Invoice'!AF$2:AF$401,$AH247)="","",INDEX('Per Invoice'!AF$2:AF$401,$AH247)))</f>
        <v/>
      </c>
      <c r="AG247" s="7">
        <f>IF($AH247="","",IF(INDEX('Per Invoice'!AG$2:AG$401,$AH247)="","",INDEX('Per Invoice'!AG$2:AG$401,$AH247)))</f>
        <v/>
      </c>
      <c r="AH247" s="16">
        <f>IFERROR(MATCH(Settings!$C$27&amp;"|"&amp;ROWS($AH$2:$AH247),'Per Invoice'!$AI$2:$AI$401,0),"")</f>
        <v/>
      </c>
    </row>
    <row r="248">
      <c r="A248">
        <f>IF($AH248="","",IF(INDEX('Per Invoice'!A$2:A$401,$AH248)="","",INDEX('Per Invoice'!A$2:A$401,$AH248)))</f>
        <v/>
      </c>
      <c r="B248">
        <f>IF($AH248="","",IF(INDEX('Per Invoice'!B$2:B$401,$AH248)="","",INDEX('Per Invoice'!B$2:B$401,$AH248)))</f>
        <v/>
      </c>
      <c r="C248">
        <f>IF($AH248="","",IF(INDEX('Per Invoice'!C$2:C$401,$AH248)="","",INDEX('Per Invoice'!C$2:C$401,$AH248)))</f>
        <v/>
      </c>
      <c r="D248">
        <f>IF($AH248="","",IF(INDEX('Per Invoice'!D$2:D$401,$AH248)="","",INDEX('Per Invoice'!D$2:D$401,$AH248)))</f>
        <v/>
      </c>
      <c r="E248">
        <f>IF($AH248="","",IF(INDEX('Per Invoice'!E$2:E$401,$AH248)="","",INDEX('Per Invoice'!E$2:E$401,$AH248)))</f>
        <v/>
      </c>
      <c r="F248">
        <f>IF($AH248="","",IF(INDEX('Per Invoice'!F$2:F$401,$AH248)="","",INDEX('Per Invoice'!F$2:F$401,$AH248)))</f>
        <v/>
      </c>
      <c r="G248">
        <f>IF($AH248="","",IF(INDEX('Per Invoice'!G$2:G$401,$AH248)="","",INDEX('Per Invoice'!G$2:G$401,$AH248)))</f>
        <v/>
      </c>
      <c r="H248">
        <f>IF($AH248="","",IF(INDEX('Per Invoice'!H$2:H$401,$AH248)="","",INDEX('Per Invoice'!H$2:H$401,$AH248)))</f>
        <v/>
      </c>
      <c r="I248" s="14">
        <f>IF($AH248="","",IF(INDEX('Per Invoice'!I$2:I$401,$AH248)="","",INDEX('Per Invoice'!I$2:I$401,$AH248)))</f>
        <v/>
      </c>
      <c r="J248">
        <f>IF($AH248="","",IF(INDEX('Per Invoice'!J$2:J$401,$AH248)="","",INDEX('Per Invoice'!J$2:J$401,$AH248)))</f>
        <v/>
      </c>
      <c r="K248">
        <f>IF($AH248="","",IF(INDEX('Per Invoice'!K$2:K$401,$AH248)="","",INDEX('Per Invoice'!K$2:K$401,$AH248)))</f>
        <v/>
      </c>
      <c r="L248">
        <f>IF($AH248="","",IF(INDEX('Per Invoice'!L$2:L$401,$AH248)="","",INDEX('Per Invoice'!L$2:L$401,$AH248)))</f>
        <v/>
      </c>
      <c r="M248">
        <f>IF($AH248="","",IF(INDEX('Per Invoice'!M$2:M$401,$AH248)="","",INDEX('Per Invoice'!M$2:M$401,$AH248)))</f>
        <v/>
      </c>
      <c r="N248">
        <f>IF($AH248="","",IF(INDEX('Per Invoice'!N$2:N$401,$AH248)="","",INDEX('Per Invoice'!N$2:N$401,$AH248)))</f>
        <v/>
      </c>
      <c r="O248">
        <f>IF($AH248="","",IF(INDEX('Per Invoice'!O$2:O$401,$AH248)="","",INDEX('Per Invoice'!O$2:O$401,$AH248)))</f>
        <v/>
      </c>
      <c r="P248" s="7">
        <f>IF($AH248="","",IF(INDEX('Per Invoice'!P$2:P$401,$AH248)="","",INDEX('Per Invoice'!P$2:P$401,$AH248)))</f>
        <v/>
      </c>
      <c r="Q248">
        <f>IF($AH248="","",IF(INDEX('Per Invoice'!Q$2:Q$401,$AH248)="","",INDEX('Per Invoice'!Q$2:Q$401,$AH248)))</f>
        <v/>
      </c>
      <c r="R248">
        <f>IF($AH248="","",IF(INDEX('Per Invoice'!R$2:R$401,$AH248)="","",INDEX('Per Invoice'!R$2:R$401,$AH248)))</f>
        <v/>
      </c>
      <c r="S248">
        <f>IF($AH248="","",IF(INDEX('Per Invoice'!S$2:S$401,$AH248)="","",INDEX('Per Invoice'!S$2:S$401,$AH248)))</f>
        <v/>
      </c>
      <c r="T248" s="7">
        <f>IF($AH248="","",IF(INDEX('Per Invoice'!T$2:T$401,$AH248)="","",INDEX('Per Invoice'!T$2:T$401,$AH248)))</f>
        <v/>
      </c>
      <c r="U248" s="7">
        <f>IF($AH248="","",IF(INDEX('Per Invoice'!U$2:U$401,$AH248)="","",INDEX('Per Invoice'!U$2:U$401,$AH248)))</f>
        <v/>
      </c>
      <c r="V248">
        <f>IF($AH248="","",IF(INDEX('Per Invoice'!V$2:V$401,$AH248)="","",INDEX('Per Invoice'!V$2:V$401,$AH248)))</f>
        <v/>
      </c>
      <c r="W248" s="7">
        <f>IF($AH248="","",IF(INDEX('Per Invoice'!W$2:W$401,$AH248)="","",INDEX('Per Invoice'!W$2:W$401,$AH248)))</f>
        <v/>
      </c>
      <c r="X248" s="7">
        <f>IF($AH248="","",IF(INDEX('Per Invoice'!X$2:X$401,$AH248)="","",INDEX('Per Invoice'!X$2:X$401,$AH248)))</f>
        <v/>
      </c>
      <c r="Y248">
        <f>IF($AH248="","",IF(INDEX('Per Invoice'!Y$2:Y$401,$AH248)="","",INDEX('Per Invoice'!Y$2:Y$401,$AH248)))</f>
        <v/>
      </c>
      <c r="Z248" s="7">
        <f>IF($AH248="","",IF(INDEX('Per Invoice'!Z$2:Z$401,$AH248)="","",INDEX('Per Invoice'!Z$2:Z$401,$AH248)))</f>
        <v/>
      </c>
      <c r="AA248" s="7">
        <f>IF($AH248="","",IF(INDEX('Per Invoice'!AA$2:AA$401,$AH248)="","",INDEX('Per Invoice'!AA$2:AA$401,$AH248)))</f>
        <v/>
      </c>
      <c r="AB248" s="7">
        <f>IF($AH248="","",IF(INDEX('Per Invoice'!AB$2:AB$401,$AH248)="","",INDEX('Per Invoice'!AB$2:AB$401,$AH248)))</f>
        <v/>
      </c>
      <c r="AC248" s="7">
        <f>IF($AH248="","",IF(INDEX('Per Invoice'!AC$2:AC$401,$AH248)="","",INDEX('Per Invoice'!AC$2:AC$401,$AH248)))</f>
        <v/>
      </c>
      <c r="AD248" s="7">
        <f>IF($AH248="","",IF(INDEX('Per Invoice'!AD$2:AD$401,$AH248)="","",INDEX('Per Invoice'!AD$2:AD$401,$AH248)))</f>
        <v/>
      </c>
      <c r="AE248" s="7">
        <f>IF($AH248="","",IF(INDEX('Per Invoice'!AE$2:AE$401,$AH248)="","",INDEX('Per Invoice'!AE$2:AE$401,$AH248)))</f>
        <v/>
      </c>
      <c r="AF248">
        <f>IF($AH248="","",IF(INDEX('Per Invoice'!AF$2:AF$401,$AH248)="","",INDEX('Per Invoice'!AF$2:AF$401,$AH248)))</f>
        <v/>
      </c>
      <c r="AG248" s="7">
        <f>IF($AH248="","",IF(INDEX('Per Invoice'!AG$2:AG$401,$AH248)="","",INDEX('Per Invoice'!AG$2:AG$401,$AH248)))</f>
        <v/>
      </c>
      <c r="AH248" s="16">
        <f>IFERROR(MATCH(Settings!$C$27&amp;"|"&amp;ROWS($AH$2:$AH248),'Per Invoice'!$AI$2:$AI$401,0),"")</f>
        <v/>
      </c>
    </row>
    <row r="249">
      <c r="A249">
        <f>IF($AH249="","",IF(INDEX('Per Invoice'!A$2:A$401,$AH249)="","",INDEX('Per Invoice'!A$2:A$401,$AH249)))</f>
        <v/>
      </c>
      <c r="B249">
        <f>IF($AH249="","",IF(INDEX('Per Invoice'!B$2:B$401,$AH249)="","",INDEX('Per Invoice'!B$2:B$401,$AH249)))</f>
        <v/>
      </c>
      <c r="C249">
        <f>IF($AH249="","",IF(INDEX('Per Invoice'!C$2:C$401,$AH249)="","",INDEX('Per Invoice'!C$2:C$401,$AH249)))</f>
        <v/>
      </c>
      <c r="D249">
        <f>IF($AH249="","",IF(INDEX('Per Invoice'!D$2:D$401,$AH249)="","",INDEX('Per Invoice'!D$2:D$401,$AH249)))</f>
        <v/>
      </c>
      <c r="E249">
        <f>IF($AH249="","",IF(INDEX('Per Invoice'!E$2:E$401,$AH249)="","",INDEX('Per Invoice'!E$2:E$401,$AH249)))</f>
        <v/>
      </c>
      <c r="F249">
        <f>IF($AH249="","",IF(INDEX('Per Invoice'!F$2:F$401,$AH249)="","",INDEX('Per Invoice'!F$2:F$401,$AH249)))</f>
        <v/>
      </c>
      <c r="G249">
        <f>IF($AH249="","",IF(INDEX('Per Invoice'!G$2:G$401,$AH249)="","",INDEX('Per Invoice'!G$2:G$401,$AH249)))</f>
        <v/>
      </c>
      <c r="H249">
        <f>IF($AH249="","",IF(INDEX('Per Invoice'!H$2:H$401,$AH249)="","",INDEX('Per Invoice'!H$2:H$401,$AH249)))</f>
        <v/>
      </c>
      <c r="I249" s="14">
        <f>IF($AH249="","",IF(INDEX('Per Invoice'!I$2:I$401,$AH249)="","",INDEX('Per Invoice'!I$2:I$401,$AH249)))</f>
        <v/>
      </c>
      <c r="J249">
        <f>IF($AH249="","",IF(INDEX('Per Invoice'!J$2:J$401,$AH249)="","",INDEX('Per Invoice'!J$2:J$401,$AH249)))</f>
        <v/>
      </c>
      <c r="K249">
        <f>IF($AH249="","",IF(INDEX('Per Invoice'!K$2:K$401,$AH249)="","",INDEX('Per Invoice'!K$2:K$401,$AH249)))</f>
        <v/>
      </c>
      <c r="L249">
        <f>IF($AH249="","",IF(INDEX('Per Invoice'!L$2:L$401,$AH249)="","",INDEX('Per Invoice'!L$2:L$401,$AH249)))</f>
        <v/>
      </c>
      <c r="M249">
        <f>IF($AH249="","",IF(INDEX('Per Invoice'!M$2:M$401,$AH249)="","",INDEX('Per Invoice'!M$2:M$401,$AH249)))</f>
        <v/>
      </c>
      <c r="N249">
        <f>IF($AH249="","",IF(INDEX('Per Invoice'!N$2:N$401,$AH249)="","",INDEX('Per Invoice'!N$2:N$401,$AH249)))</f>
        <v/>
      </c>
      <c r="O249">
        <f>IF($AH249="","",IF(INDEX('Per Invoice'!O$2:O$401,$AH249)="","",INDEX('Per Invoice'!O$2:O$401,$AH249)))</f>
        <v/>
      </c>
      <c r="P249" s="7">
        <f>IF($AH249="","",IF(INDEX('Per Invoice'!P$2:P$401,$AH249)="","",INDEX('Per Invoice'!P$2:P$401,$AH249)))</f>
        <v/>
      </c>
      <c r="Q249">
        <f>IF($AH249="","",IF(INDEX('Per Invoice'!Q$2:Q$401,$AH249)="","",INDEX('Per Invoice'!Q$2:Q$401,$AH249)))</f>
        <v/>
      </c>
      <c r="R249">
        <f>IF($AH249="","",IF(INDEX('Per Invoice'!R$2:R$401,$AH249)="","",INDEX('Per Invoice'!R$2:R$401,$AH249)))</f>
        <v/>
      </c>
      <c r="S249">
        <f>IF($AH249="","",IF(INDEX('Per Invoice'!S$2:S$401,$AH249)="","",INDEX('Per Invoice'!S$2:S$401,$AH249)))</f>
        <v/>
      </c>
      <c r="T249" s="7">
        <f>IF($AH249="","",IF(INDEX('Per Invoice'!T$2:T$401,$AH249)="","",INDEX('Per Invoice'!T$2:T$401,$AH249)))</f>
        <v/>
      </c>
      <c r="U249" s="7">
        <f>IF($AH249="","",IF(INDEX('Per Invoice'!U$2:U$401,$AH249)="","",INDEX('Per Invoice'!U$2:U$401,$AH249)))</f>
        <v/>
      </c>
      <c r="V249">
        <f>IF($AH249="","",IF(INDEX('Per Invoice'!V$2:V$401,$AH249)="","",INDEX('Per Invoice'!V$2:V$401,$AH249)))</f>
        <v/>
      </c>
      <c r="W249" s="7">
        <f>IF($AH249="","",IF(INDEX('Per Invoice'!W$2:W$401,$AH249)="","",INDEX('Per Invoice'!W$2:W$401,$AH249)))</f>
        <v/>
      </c>
      <c r="X249" s="7">
        <f>IF($AH249="","",IF(INDEX('Per Invoice'!X$2:X$401,$AH249)="","",INDEX('Per Invoice'!X$2:X$401,$AH249)))</f>
        <v/>
      </c>
      <c r="Y249">
        <f>IF($AH249="","",IF(INDEX('Per Invoice'!Y$2:Y$401,$AH249)="","",INDEX('Per Invoice'!Y$2:Y$401,$AH249)))</f>
        <v/>
      </c>
      <c r="Z249" s="7">
        <f>IF($AH249="","",IF(INDEX('Per Invoice'!Z$2:Z$401,$AH249)="","",INDEX('Per Invoice'!Z$2:Z$401,$AH249)))</f>
        <v/>
      </c>
      <c r="AA249" s="7">
        <f>IF($AH249="","",IF(INDEX('Per Invoice'!AA$2:AA$401,$AH249)="","",INDEX('Per Invoice'!AA$2:AA$401,$AH249)))</f>
        <v/>
      </c>
      <c r="AB249" s="7">
        <f>IF($AH249="","",IF(INDEX('Per Invoice'!AB$2:AB$401,$AH249)="","",INDEX('Per Invoice'!AB$2:AB$401,$AH249)))</f>
        <v/>
      </c>
      <c r="AC249" s="7">
        <f>IF($AH249="","",IF(INDEX('Per Invoice'!AC$2:AC$401,$AH249)="","",INDEX('Per Invoice'!AC$2:AC$401,$AH249)))</f>
        <v/>
      </c>
      <c r="AD249" s="7">
        <f>IF($AH249="","",IF(INDEX('Per Invoice'!AD$2:AD$401,$AH249)="","",INDEX('Per Invoice'!AD$2:AD$401,$AH249)))</f>
        <v/>
      </c>
      <c r="AE249" s="7">
        <f>IF($AH249="","",IF(INDEX('Per Invoice'!AE$2:AE$401,$AH249)="","",INDEX('Per Invoice'!AE$2:AE$401,$AH249)))</f>
        <v/>
      </c>
      <c r="AF249">
        <f>IF($AH249="","",IF(INDEX('Per Invoice'!AF$2:AF$401,$AH249)="","",INDEX('Per Invoice'!AF$2:AF$401,$AH249)))</f>
        <v/>
      </c>
      <c r="AG249" s="7">
        <f>IF($AH249="","",IF(INDEX('Per Invoice'!AG$2:AG$401,$AH249)="","",INDEX('Per Invoice'!AG$2:AG$401,$AH249)))</f>
        <v/>
      </c>
      <c r="AH249" s="16">
        <f>IFERROR(MATCH(Settings!$C$27&amp;"|"&amp;ROWS($AH$2:$AH249),'Per Invoice'!$AI$2:$AI$401,0),"")</f>
        <v/>
      </c>
    </row>
    <row r="250">
      <c r="A250">
        <f>IF($AH250="","",IF(INDEX('Per Invoice'!A$2:A$401,$AH250)="","",INDEX('Per Invoice'!A$2:A$401,$AH250)))</f>
        <v/>
      </c>
      <c r="B250">
        <f>IF($AH250="","",IF(INDEX('Per Invoice'!B$2:B$401,$AH250)="","",INDEX('Per Invoice'!B$2:B$401,$AH250)))</f>
        <v/>
      </c>
      <c r="C250">
        <f>IF($AH250="","",IF(INDEX('Per Invoice'!C$2:C$401,$AH250)="","",INDEX('Per Invoice'!C$2:C$401,$AH250)))</f>
        <v/>
      </c>
      <c r="D250">
        <f>IF($AH250="","",IF(INDEX('Per Invoice'!D$2:D$401,$AH250)="","",INDEX('Per Invoice'!D$2:D$401,$AH250)))</f>
        <v/>
      </c>
      <c r="E250">
        <f>IF($AH250="","",IF(INDEX('Per Invoice'!E$2:E$401,$AH250)="","",INDEX('Per Invoice'!E$2:E$401,$AH250)))</f>
        <v/>
      </c>
      <c r="F250">
        <f>IF($AH250="","",IF(INDEX('Per Invoice'!F$2:F$401,$AH250)="","",INDEX('Per Invoice'!F$2:F$401,$AH250)))</f>
        <v/>
      </c>
      <c r="G250">
        <f>IF($AH250="","",IF(INDEX('Per Invoice'!G$2:G$401,$AH250)="","",INDEX('Per Invoice'!G$2:G$401,$AH250)))</f>
        <v/>
      </c>
      <c r="H250">
        <f>IF($AH250="","",IF(INDEX('Per Invoice'!H$2:H$401,$AH250)="","",INDEX('Per Invoice'!H$2:H$401,$AH250)))</f>
        <v/>
      </c>
      <c r="I250" s="14">
        <f>IF($AH250="","",IF(INDEX('Per Invoice'!I$2:I$401,$AH250)="","",INDEX('Per Invoice'!I$2:I$401,$AH250)))</f>
        <v/>
      </c>
      <c r="J250">
        <f>IF($AH250="","",IF(INDEX('Per Invoice'!J$2:J$401,$AH250)="","",INDEX('Per Invoice'!J$2:J$401,$AH250)))</f>
        <v/>
      </c>
      <c r="K250">
        <f>IF($AH250="","",IF(INDEX('Per Invoice'!K$2:K$401,$AH250)="","",INDEX('Per Invoice'!K$2:K$401,$AH250)))</f>
        <v/>
      </c>
      <c r="L250">
        <f>IF($AH250="","",IF(INDEX('Per Invoice'!L$2:L$401,$AH250)="","",INDEX('Per Invoice'!L$2:L$401,$AH250)))</f>
        <v/>
      </c>
      <c r="M250">
        <f>IF($AH250="","",IF(INDEX('Per Invoice'!M$2:M$401,$AH250)="","",INDEX('Per Invoice'!M$2:M$401,$AH250)))</f>
        <v/>
      </c>
      <c r="N250">
        <f>IF($AH250="","",IF(INDEX('Per Invoice'!N$2:N$401,$AH250)="","",INDEX('Per Invoice'!N$2:N$401,$AH250)))</f>
        <v/>
      </c>
      <c r="O250">
        <f>IF($AH250="","",IF(INDEX('Per Invoice'!O$2:O$401,$AH250)="","",INDEX('Per Invoice'!O$2:O$401,$AH250)))</f>
        <v/>
      </c>
      <c r="P250" s="7">
        <f>IF($AH250="","",IF(INDEX('Per Invoice'!P$2:P$401,$AH250)="","",INDEX('Per Invoice'!P$2:P$401,$AH250)))</f>
        <v/>
      </c>
      <c r="Q250">
        <f>IF($AH250="","",IF(INDEX('Per Invoice'!Q$2:Q$401,$AH250)="","",INDEX('Per Invoice'!Q$2:Q$401,$AH250)))</f>
        <v/>
      </c>
      <c r="R250">
        <f>IF($AH250="","",IF(INDEX('Per Invoice'!R$2:R$401,$AH250)="","",INDEX('Per Invoice'!R$2:R$401,$AH250)))</f>
        <v/>
      </c>
      <c r="S250">
        <f>IF($AH250="","",IF(INDEX('Per Invoice'!S$2:S$401,$AH250)="","",INDEX('Per Invoice'!S$2:S$401,$AH250)))</f>
        <v/>
      </c>
      <c r="T250" s="7">
        <f>IF($AH250="","",IF(INDEX('Per Invoice'!T$2:T$401,$AH250)="","",INDEX('Per Invoice'!T$2:T$401,$AH250)))</f>
        <v/>
      </c>
      <c r="U250" s="7">
        <f>IF($AH250="","",IF(INDEX('Per Invoice'!U$2:U$401,$AH250)="","",INDEX('Per Invoice'!U$2:U$401,$AH250)))</f>
        <v/>
      </c>
      <c r="V250">
        <f>IF($AH250="","",IF(INDEX('Per Invoice'!V$2:V$401,$AH250)="","",INDEX('Per Invoice'!V$2:V$401,$AH250)))</f>
        <v/>
      </c>
      <c r="W250" s="7">
        <f>IF($AH250="","",IF(INDEX('Per Invoice'!W$2:W$401,$AH250)="","",INDEX('Per Invoice'!W$2:W$401,$AH250)))</f>
        <v/>
      </c>
      <c r="X250" s="7">
        <f>IF($AH250="","",IF(INDEX('Per Invoice'!X$2:X$401,$AH250)="","",INDEX('Per Invoice'!X$2:X$401,$AH250)))</f>
        <v/>
      </c>
      <c r="Y250">
        <f>IF($AH250="","",IF(INDEX('Per Invoice'!Y$2:Y$401,$AH250)="","",INDEX('Per Invoice'!Y$2:Y$401,$AH250)))</f>
        <v/>
      </c>
      <c r="Z250" s="7">
        <f>IF($AH250="","",IF(INDEX('Per Invoice'!Z$2:Z$401,$AH250)="","",INDEX('Per Invoice'!Z$2:Z$401,$AH250)))</f>
        <v/>
      </c>
      <c r="AA250" s="7">
        <f>IF($AH250="","",IF(INDEX('Per Invoice'!AA$2:AA$401,$AH250)="","",INDEX('Per Invoice'!AA$2:AA$401,$AH250)))</f>
        <v/>
      </c>
      <c r="AB250" s="7">
        <f>IF($AH250="","",IF(INDEX('Per Invoice'!AB$2:AB$401,$AH250)="","",INDEX('Per Invoice'!AB$2:AB$401,$AH250)))</f>
        <v/>
      </c>
      <c r="AC250" s="7">
        <f>IF($AH250="","",IF(INDEX('Per Invoice'!AC$2:AC$401,$AH250)="","",INDEX('Per Invoice'!AC$2:AC$401,$AH250)))</f>
        <v/>
      </c>
      <c r="AD250" s="7">
        <f>IF($AH250="","",IF(INDEX('Per Invoice'!AD$2:AD$401,$AH250)="","",INDEX('Per Invoice'!AD$2:AD$401,$AH250)))</f>
        <v/>
      </c>
      <c r="AE250" s="7">
        <f>IF($AH250="","",IF(INDEX('Per Invoice'!AE$2:AE$401,$AH250)="","",INDEX('Per Invoice'!AE$2:AE$401,$AH250)))</f>
        <v/>
      </c>
      <c r="AF250">
        <f>IF($AH250="","",IF(INDEX('Per Invoice'!AF$2:AF$401,$AH250)="","",INDEX('Per Invoice'!AF$2:AF$401,$AH250)))</f>
        <v/>
      </c>
      <c r="AG250" s="7">
        <f>IF($AH250="","",IF(INDEX('Per Invoice'!AG$2:AG$401,$AH250)="","",INDEX('Per Invoice'!AG$2:AG$401,$AH250)))</f>
        <v/>
      </c>
      <c r="AH250" s="16">
        <f>IFERROR(MATCH(Settings!$C$27&amp;"|"&amp;ROWS($AH$2:$AH250),'Per Invoice'!$AI$2:$AI$401,0),"")</f>
        <v/>
      </c>
    </row>
    <row r="251">
      <c r="A251">
        <f>IF($AH251="","",IF(INDEX('Per Invoice'!A$2:A$401,$AH251)="","",INDEX('Per Invoice'!A$2:A$401,$AH251)))</f>
        <v/>
      </c>
      <c r="B251">
        <f>IF($AH251="","",IF(INDEX('Per Invoice'!B$2:B$401,$AH251)="","",INDEX('Per Invoice'!B$2:B$401,$AH251)))</f>
        <v/>
      </c>
      <c r="C251">
        <f>IF($AH251="","",IF(INDEX('Per Invoice'!C$2:C$401,$AH251)="","",INDEX('Per Invoice'!C$2:C$401,$AH251)))</f>
        <v/>
      </c>
      <c r="D251">
        <f>IF($AH251="","",IF(INDEX('Per Invoice'!D$2:D$401,$AH251)="","",INDEX('Per Invoice'!D$2:D$401,$AH251)))</f>
        <v/>
      </c>
      <c r="E251">
        <f>IF($AH251="","",IF(INDEX('Per Invoice'!E$2:E$401,$AH251)="","",INDEX('Per Invoice'!E$2:E$401,$AH251)))</f>
        <v/>
      </c>
      <c r="F251">
        <f>IF($AH251="","",IF(INDEX('Per Invoice'!F$2:F$401,$AH251)="","",INDEX('Per Invoice'!F$2:F$401,$AH251)))</f>
        <v/>
      </c>
      <c r="G251">
        <f>IF($AH251="","",IF(INDEX('Per Invoice'!G$2:G$401,$AH251)="","",INDEX('Per Invoice'!G$2:G$401,$AH251)))</f>
        <v/>
      </c>
      <c r="H251">
        <f>IF($AH251="","",IF(INDEX('Per Invoice'!H$2:H$401,$AH251)="","",INDEX('Per Invoice'!H$2:H$401,$AH251)))</f>
        <v/>
      </c>
      <c r="I251" s="14">
        <f>IF($AH251="","",IF(INDEX('Per Invoice'!I$2:I$401,$AH251)="","",INDEX('Per Invoice'!I$2:I$401,$AH251)))</f>
        <v/>
      </c>
      <c r="J251">
        <f>IF($AH251="","",IF(INDEX('Per Invoice'!J$2:J$401,$AH251)="","",INDEX('Per Invoice'!J$2:J$401,$AH251)))</f>
        <v/>
      </c>
      <c r="K251">
        <f>IF($AH251="","",IF(INDEX('Per Invoice'!K$2:K$401,$AH251)="","",INDEX('Per Invoice'!K$2:K$401,$AH251)))</f>
        <v/>
      </c>
      <c r="L251">
        <f>IF($AH251="","",IF(INDEX('Per Invoice'!L$2:L$401,$AH251)="","",INDEX('Per Invoice'!L$2:L$401,$AH251)))</f>
        <v/>
      </c>
      <c r="M251">
        <f>IF($AH251="","",IF(INDEX('Per Invoice'!M$2:M$401,$AH251)="","",INDEX('Per Invoice'!M$2:M$401,$AH251)))</f>
        <v/>
      </c>
      <c r="N251">
        <f>IF($AH251="","",IF(INDEX('Per Invoice'!N$2:N$401,$AH251)="","",INDEX('Per Invoice'!N$2:N$401,$AH251)))</f>
        <v/>
      </c>
      <c r="O251">
        <f>IF($AH251="","",IF(INDEX('Per Invoice'!O$2:O$401,$AH251)="","",INDEX('Per Invoice'!O$2:O$401,$AH251)))</f>
        <v/>
      </c>
      <c r="P251" s="7">
        <f>IF($AH251="","",IF(INDEX('Per Invoice'!P$2:P$401,$AH251)="","",INDEX('Per Invoice'!P$2:P$401,$AH251)))</f>
        <v/>
      </c>
      <c r="Q251">
        <f>IF($AH251="","",IF(INDEX('Per Invoice'!Q$2:Q$401,$AH251)="","",INDEX('Per Invoice'!Q$2:Q$401,$AH251)))</f>
        <v/>
      </c>
      <c r="R251">
        <f>IF($AH251="","",IF(INDEX('Per Invoice'!R$2:R$401,$AH251)="","",INDEX('Per Invoice'!R$2:R$401,$AH251)))</f>
        <v/>
      </c>
      <c r="S251">
        <f>IF($AH251="","",IF(INDEX('Per Invoice'!S$2:S$401,$AH251)="","",INDEX('Per Invoice'!S$2:S$401,$AH251)))</f>
        <v/>
      </c>
      <c r="T251" s="7">
        <f>IF($AH251="","",IF(INDEX('Per Invoice'!T$2:T$401,$AH251)="","",INDEX('Per Invoice'!T$2:T$401,$AH251)))</f>
        <v/>
      </c>
      <c r="U251" s="7">
        <f>IF($AH251="","",IF(INDEX('Per Invoice'!U$2:U$401,$AH251)="","",INDEX('Per Invoice'!U$2:U$401,$AH251)))</f>
        <v/>
      </c>
      <c r="V251">
        <f>IF($AH251="","",IF(INDEX('Per Invoice'!V$2:V$401,$AH251)="","",INDEX('Per Invoice'!V$2:V$401,$AH251)))</f>
        <v/>
      </c>
      <c r="W251" s="7">
        <f>IF($AH251="","",IF(INDEX('Per Invoice'!W$2:W$401,$AH251)="","",INDEX('Per Invoice'!W$2:W$401,$AH251)))</f>
        <v/>
      </c>
      <c r="X251" s="7">
        <f>IF($AH251="","",IF(INDEX('Per Invoice'!X$2:X$401,$AH251)="","",INDEX('Per Invoice'!X$2:X$401,$AH251)))</f>
        <v/>
      </c>
      <c r="Y251">
        <f>IF($AH251="","",IF(INDEX('Per Invoice'!Y$2:Y$401,$AH251)="","",INDEX('Per Invoice'!Y$2:Y$401,$AH251)))</f>
        <v/>
      </c>
      <c r="Z251" s="7">
        <f>IF($AH251="","",IF(INDEX('Per Invoice'!Z$2:Z$401,$AH251)="","",INDEX('Per Invoice'!Z$2:Z$401,$AH251)))</f>
        <v/>
      </c>
      <c r="AA251" s="7">
        <f>IF($AH251="","",IF(INDEX('Per Invoice'!AA$2:AA$401,$AH251)="","",INDEX('Per Invoice'!AA$2:AA$401,$AH251)))</f>
        <v/>
      </c>
      <c r="AB251" s="7">
        <f>IF($AH251="","",IF(INDEX('Per Invoice'!AB$2:AB$401,$AH251)="","",INDEX('Per Invoice'!AB$2:AB$401,$AH251)))</f>
        <v/>
      </c>
      <c r="AC251" s="7">
        <f>IF($AH251="","",IF(INDEX('Per Invoice'!AC$2:AC$401,$AH251)="","",INDEX('Per Invoice'!AC$2:AC$401,$AH251)))</f>
        <v/>
      </c>
      <c r="AD251" s="7">
        <f>IF($AH251="","",IF(INDEX('Per Invoice'!AD$2:AD$401,$AH251)="","",INDEX('Per Invoice'!AD$2:AD$401,$AH251)))</f>
        <v/>
      </c>
      <c r="AE251" s="7">
        <f>IF($AH251="","",IF(INDEX('Per Invoice'!AE$2:AE$401,$AH251)="","",INDEX('Per Invoice'!AE$2:AE$401,$AH251)))</f>
        <v/>
      </c>
      <c r="AF251">
        <f>IF($AH251="","",IF(INDEX('Per Invoice'!AF$2:AF$401,$AH251)="","",INDEX('Per Invoice'!AF$2:AF$401,$AH251)))</f>
        <v/>
      </c>
      <c r="AG251" s="7">
        <f>IF($AH251="","",IF(INDEX('Per Invoice'!AG$2:AG$401,$AH251)="","",INDEX('Per Invoice'!AG$2:AG$401,$AH251)))</f>
        <v/>
      </c>
      <c r="AH251" s="16">
        <f>IFERROR(MATCH(Settings!$C$27&amp;"|"&amp;ROWS($AH$2:$AH251),'Per Invoice'!$AI$2:$AI$401,0),"")</f>
        <v/>
      </c>
    </row>
    <row r="252">
      <c r="A252">
        <f>IF($AH252="","",IF(INDEX('Per Invoice'!A$2:A$401,$AH252)="","",INDEX('Per Invoice'!A$2:A$401,$AH252)))</f>
        <v/>
      </c>
      <c r="B252">
        <f>IF($AH252="","",IF(INDEX('Per Invoice'!B$2:B$401,$AH252)="","",INDEX('Per Invoice'!B$2:B$401,$AH252)))</f>
        <v/>
      </c>
      <c r="C252">
        <f>IF($AH252="","",IF(INDEX('Per Invoice'!C$2:C$401,$AH252)="","",INDEX('Per Invoice'!C$2:C$401,$AH252)))</f>
        <v/>
      </c>
      <c r="D252">
        <f>IF($AH252="","",IF(INDEX('Per Invoice'!D$2:D$401,$AH252)="","",INDEX('Per Invoice'!D$2:D$401,$AH252)))</f>
        <v/>
      </c>
      <c r="E252">
        <f>IF($AH252="","",IF(INDEX('Per Invoice'!E$2:E$401,$AH252)="","",INDEX('Per Invoice'!E$2:E$401,$AH252)))</f>
        <v/>
      </c>
      <c r="F252">
        <f>IF($AH252="","",IF(INDEX('Per Invoice'!F$2:F$401,$AH252)="","",INDEX('Per Invoice'!F$2:F$401,$AH252)))</f>
        <v/>
      </c>
      <c r="G252">
        <f>IF($AH252="","",IF(INDEX('Per Invoice'!G$2:G$401,$AH252)="","",INDEX('Per Invoice'!G$2:G$401,$AH252)))</f>
        <v/>
      </c>
      <c r="H252">
        <f>IF($AH252="","",IF(INDEX('Per Invoice'!H$2:H$401,$AH252)="","",INDEX('Per Invoice'!H$2:H$401,$AH252)))</f>
        <v/>
      </c>
      <c r="I252" s="14">
        <f>IF($AH252="","",IF(INDEX('Per Invoice'!I$2:I$401,$AH252)="","",INDEX('Per Invoice'!I$2:I$401,$AH252)))</f>
        <v/>
      </c>
      <c r="J252">
        <f>IF($AH252="","",IF(INDEX('Per Invoice'!J$2:J$401,$AH252)="","",INDEX('Per Invoice'!J$2:J$401,$AH252)))</f>
        <v/>
      </c>
      <c r="K252">
        <f>IF($AH252="","",IF(INDEX('Per Invoice'!K$2:K$401,$AH252)="","",INDEX('Per Invoice'!K$2:K$401,$AH252)))</f>
        <v/>
      </c>
      <c r="L252">
        <f>IF($AH252="","",IF(INDEX('Per Invoice'!L$2:L$401,$AH252)="","",INDEX('Per Invoice'!L$2:L$401,$AH252)))</f>
        <v/>
      </c>
      <c r="M252">
        <f>IF($AH252="","",IF(INDEX('Per Invoice'!M$2:M$401,$AH252)="","",INDEX('Per Invoice'!M$2:M$401,$AH252)))</f>
        <v/>
      </c>
      <c r="N252">
        <f>IF($AH252="","",IF(INDEX('Per Invoice'!N$2:N$401,$AH252)="","",INDEX('Per Invoice'!N$2:N$401,$AH252)))</f>
        <v/>
      </c>
      <c r="O252">
        <f>IF($AH252="","",IF(INDEX('Per Invoice'!O$2:O$401,$AH252)="","",INDEX('Per Invoice'!O$2:O$401,$AH252)))</f>
        <v/>
      </c>
      <c r="P252" s="7">
        <f>IF($AH252="","",IF(INDEX('Per Invoice'!P$2:P$401,$AH252)="","",INDEX('Per Invoice'!P$2:P$401,$AH252)))</f>
        <v/>
      </c>
      <c r="Q252">
        <f>IF($AH252="","",IF(INDEX('Per Invoice'!Q$2:Q$401,$AH252)="","",INDEX('Per Invoice'!Q$2:Q$401,$AH252)))</f>
        <v/>
      </c>
      <c r="R252">
        <f>IF($AH252="","",IF(INDEX('Per Invoice'!R$2:R$401,$AH252)="","",INDEX('Per Invoice'!R$2:R$401,$AH252)))</f>
        <v/>
      </c>
      <c r="S252">
        <f>IF($AH252="","",IF(INDEX('Per Invoice'!S$2:S$401,$AH252)="","",INDEX('Per Invoice'!S$2:S$401,$AH252)))</f>
        <v/>
      </c>
      <c r="T252" s="7">
        <f>IF($AH252="","",IF(INDEX('Per Invoice'!T$2:T$401,$AH252)="","",INDEX('Per Invoice'!T$2:T$401,$AH252)))</f>
        <v/>
      </c>
      <c r="U252" s="7">
        <f>IF($AH252="","",IF(INDEX('Per Invoice'!U$2:U$401,$AH252)="","",INDEX('Per Invoice'!U$2:U$401,$AH252)))</f>
        <v/>
      </c>
      <c r="V252">
        <f>IF($AH252="","",IF(INDEX('Per Invoice'!V$2:V$401,$AH252)="","",INDEX('Per Invoice'!V$2:V$401,$AH252)))</f>
        <v/>
      </c>
      <c r="W252" s="7">
        <f>IF($AH252="","",IF(INDEX('Per Invoice'!W$2:W$401,$AH252)="","",INDEX('Per Invoice'!W$2:W$401,$AH252)))</f>
        <v/>
      </c>
      <c r="X252" s="7">
        <f>IF($AH252="","",IF(INDEX('Per Invoice'!X$2:X$401,$AH252)="","",INDEX('Per Invoice'!X$2:X$401,$AH252)))</f>
        <v/>
      </c>
      <c r="Y252">
        <f>IF($AH252="","",IF(INDEX('Per Invoice'!Y$2:Y$401,$AH252)="","",INDEX('Per Invoice'!Y$2:Y$401,$AH252)))</f>
        <v/>
      </c>
      <c r="Z252" s="7">
        <f>IF($AH252="","",IF(INDEX('Per Invoice'!Z$2:Z$401,$AH252)="","",INDEX('Per Invoice'!Z$2:Z$401,$AH252)))</f>
        <v/>
      </c>
      <c r="AA252" s="7">
        <f>IF($AH252="","",IF(INDEX('Per Invoice'!AA$2:AA$401,$AH252)="","",INDEX('Per Invoice'!AA$2:AA$401,$AH252)))</f>
        <v/>
      </c>
      <c r="AB252" s="7">
        <f>IF($AH252="","",IF(INDEX('Per Invoice'!AB$2:AB$401,$AH252)="","",INDEX('Per Invoice'!AB$2:AB$401,$AH252)))</f>
        <v/>
      </c>
      <c r="AC252" s="7">
        <f>IF($AH252="","",IF(INDEX('Per Invoice'!AC$2:AC$401,$AH252)="","",INDEX('Per Invoice'!AC$2:AC$401,$AH252)))</f>
        <v/>
      </c>
      <c r="AD252" s="7">
        <f>IF($AH252="","",IF(INDEX('Per Invoice'!AD$2:AD$401,$AH252)="","",INDEX('Per Invoice'!AD$2:AD$401,$AH252)))</f>
        <v/>
      </c>
      <c r="AE252" s="7">
        <f>IF($AH252="","",IF(INDEX('Per Invoice'!AE$2:AE$401,$AH252)="","",INDEX('Per Invoice'!AE$2:AE$401,$AH252)))</f>
        <v/>
      </c>
      <c r="AF252">
        <f>IF($AH252="","",IF(INDEX('Per Invoice'!AF$2:AF$401,$AH252)="","",INDEX('Per Invoice'!AF$2:AF$401,$AH252)))</f>
        <v/>
      </c>
      <c r="AG252" s="7">
        <f>IF($AH252="","",IF(INDEX('Per Invoice'!AG$2:AG$401,$AH252)="","",INDEX('Per Invoice'!AG$2:AG$401,$AH252)))</f>
        <v/>
      </c>
      <c r="AH252" s="16">
        <f>IFERROR(MATCH(Settings!$C$27&amp;"|"&amp;ROWS($AH$2:$AH252),'Per Invoice'!$AI$2:$AI$401,0),"")</f>
        <v/>
      </c>
    </row>
    <row r="253">
      <c r="A253">
        <f>IF($AH253="","",IF(INDEX('Per Invoice'!A$2:A$401,$AH253)="","",INDEX('Per Invoice'!A$2:A$401,$AH253)))</f>
        <v/>
      </c>
      <c r="B253">
        <f>IF($AH253="","",IF(INDEX('Per Invoice'!B$2:B$401,$AH253)="","",INDEX('Per Invoice'!B$2:B$401,$AH253)))</f>
        <v/>
      </c>
      <c r="C253">
        <f>IF($AH253="","",IF(INDEX('Per Invoice'!C$2:C$401,$AH253)="","",INDEX('Per Invoice'!C$2:C$401,$AH253)))</f>
        <v/>
      </c>
      <c r="D253">
        <f>IF($AH253="","",IF(INDEX('Per Invoice'!D$2:D$401,$AH253)="","",INDEX('Per Invoice'!D$2:D$401,$AH253)))</f>
        <v/>
      </c>
      <c r="E253">
        <f>IF($AH253="","",IF(INDEX('Per Invoice'!E$2:E$401,$AH253)="","",INDEX('Per Invoice'!E$2:E$401,$AH253)))</f>
        <v/>
      </c>
      <c r="F253">
        <f>IF($AH253="","",IF(INDEX('Per Invoice'!F$2:F$401,$AH253)="","",INDEX('Per Invoice'!F$2:F$401,$AH253)))</f>
        <v/>
      </c>
      <c r="G253">
        <f>IF($AH253="","",IF(INDEX('Per Invoice'!G$2:G$401,$AH253)="","",INDEX('Per Invoice'!G$2:G$401,$AH253)))</f>
        <v/>
      </c>
      <c r="H253">
        <f>IF($AH253="","",IF(INDEX('Per Invoice'!H$2:H$401,$AH253)="","",INDEX('Per Invoice'!H$2:H$401,$AH253)))</f>
        <v/>
      </c>
      <c r="I253" s="14">
        <f>IF($AH253="","",IF(INDEX('Per Invoice'!I$2:I$401,$AH253)="","",INDEX('Per Invoice'!I$2:I$401,$AH253)))</f>
        <v/>
      </c>
      <c r="J253">
        <f>IF($AH253="","",IF(INDEX('Per Invoice'!J$2:J$401,$AH253)="","",INDEX('Per Invoice'!J$2:J$401,$AH253)))</f>
        <v/>
      </c>
      <c r="K253">
        <f>IF($AH253="","",IF(INDEX('Per Invoice'!K$2:K$401,$AH253)="","",INDEX('Per Invoice'!K$2:K$401,$AH253)))</f>
        <v/>
      </c>
      <c r="L253">
        <f>IF($AH253="","",IF(INDEX('Per Invoice'!L$2:L$401,$AH253)="","",INDEX('Per Invoice'!L$2:L$401,$AH253)))</f>
        <v/>
      </c>
      <c r="M253">
        <f>IF($AH253="","",IF(INDEX('Per Invoice'!M$2:M$401,$AH253)="","",INDEX('Per Invoice'!M$2:M$401,$AH253)))</f>
        <v/>
      </c>
      <c r="N253">
        <f>IF($AH253="","",IF(INDEX('Per Invoice'!N$2:N$401,$AH253)="","",INDEX('Per Invoice'!N$2:N$401,$AH253)))</f>
        <v/>
      </c>
      <c r="O253">
        <f>IF($AH253="","",IF(INDEX('Per Invoice'!O$2:O$401,$AH253)="","",INDEX('Per Invoice'!O$2:O$401,$AH253)))</f>
        <v/>
      </c>
      <c r="P253" s="7">
        <f>IF($AH253="","",IF(INDEX('Per Invoice'!P$2:P$401,$AH253)="","",INDEX('Per Invoice'!P$2:P$401,$AH253)))</f>
        <v/>
      </c>
      <c r="Q253">
        <f>IF($AH253="","",IF(INDEX('Per Invoice'!Q$2:Q$401,$AH253)="","",INDEX('Per Invoice'!Q$2:Q$401,$AH253)))</f>
        <v/>
      </c>
      <c r="R253">
        <f>IF($AH253="","",IF(INDEX('Per Invoice'!R$2:R$401,$AH253)="","",INDEX('Per Invoice'!R$2:R$401,$AH253)))</f>
        <v/>
      </c>
      <c r="S253">
        <f>IF($AH253="","",IF(INDEX('Per Invoice'!S$2:S$401,$AH253)="","",INDEX('Per Invoice'!S$2:S$401,$AH253)))</f>
        <v/>
      </c>
      <c r="T253" s="7">
        <f>IF($AH253="","",IF(INDEX('Per Invoice'!T$2:T$401,$AH253)="","",INDEX('Per Invoice'!T$2:T$401,$AH253)))</f>
        <v/>
      </c>
      <c r="U253" s="7">
        <f>IF($AH253="","",IF(INDEX('Per Invoice'!U$2:U$401,$AH253)="","",INDEX('Per Invoice'!U$2:U$401,$AH253)))</f>
        <v/>
      </c>
      <c r="V253">
        <f>IF($AH253="","",IF(INDEX('Per Invoice'!V$2:V$401,$AH253)="","",INDEX('Per Invoice'!V$2:V$401,$AH253)))</f>
        <v/>
      </c>
      <c r="W253" s="7">
        <f>IF($AH253="","",IF(INDEX('Per Invoice'!W$2:W$401,$AH253)="","",INDEX('Per Invoice'!W$2:W$401,$AH253)))</f>
        <v/>
      </c>
      <c r="X253" s="7">
        <f>IF($AH253="","",IF(INDEX('Per Invoice'!X$2:X$401,$AH253)="","",INDEX('Per Invoice'!X$2:X$401,$AH253)))</f>
        <v/>
      </c>
      <c r="Y253">
        <f>IF($AH253="","",IF(INDEX('Per Invoice'!Y$2:Y$401,$AH253)="","",INDEX('Per Invoice'!Y$2:Y$401,$AH253)))</f>
        <v/>
      </c>
      <c r="Z253" s="7">
        <f>IF($AH253="","",IF(INDEX('Per Invoice'!Z$2:Z$401,$AH253)="","",INDEX('Per Invoice'!Z$2:Z$401,$AH253)))</f>
        <v/>
      </c>
      <c r="AA253" s="7">
        <f>IF($AH253="","",IF(INDEX('Per Invoice'!AA$2:AA$401,$AH253)="","",INDEX('Per Invoice'!AA$2:AA$401,$AH253)))</f>
        <v/>
      </c>
      <c r="AB253" s="7">
        <f>IF($AH253="","",IF(INDEX('Per Invoice'!AB$2:AB$401,$AH253)="","",INDEX('Per Invoice'!AB$2:AB$401,$AH253)))</f>
        <v/>
      </c>
      <c r="AC253" s="7">
        <f>IF($AH253="","",IF(INDEX('Per Invoice'!AC$2:AC$401,$AH253)="","",INDEX('Per Invoice'!AC$2:AC$401,$AH253)))</f>
        <v/>
      </c>
      <c r="AD253" s="7">
        <f>IF($AH253="","",IF(INDEX('Per Invoice'!AD$2:AD$401,$AH253)="","",INDEX('Per Invoice'!AD$2:AD$401,$AH253)))</f>
        <v/>
      </c>
      <c r="AE253" s="7">
        <f>IF($AH253="","",IF(INDEX('Per Invoice'!AE$2:AE$401,$AH253)="","",INDEX('Per Invoice'!AE$2:AE$401,$AH253)))</f>
        <v/>
      </c>
      <c r="AF253">
        <f>IF($AH253="","",IF(INDEX('Per Invoice'!AF$2:AF$401,$AH253)="","",INDEX('Per Invoice'!AF$2:AF$401,$AH253)))</f>
        <v/>
      </c>
      <c r="AG253" s="7">
        <f>IF($AH253="","",IF(INDEX('Per Invoice'!AG$2:AG$401,$AH253)="","",INDEX('Per Invoice'!AG$2:AG$401,$AH253)))</f>
        <v/>
      </c>
      <c r="AH253" s="16">
        <f>IFERROR(MATCH(Settings!$C$27&amp;"|"&amp;ROWS($AH$2:$AH253),'Per Invoice'!$AI$2:$AI$401,0),"")</f>
        <v/>
      </c>
    </row>
    <row r="254">
      <c r="A254">
        <f>IF($AH254="","",IF(INDEX('Per Invoice'!A$2:A$401,$AH254)="","",INDEX('Per Invoice'!A$2:A$401,$AH254)))</f>
        <v/>
      </c>
      <c r="B254">
        <f>IF($AH254="","",IF(INDEX('Per Invoice'!B$2:B$401,$AH254)="","",INDEX('Per Invoice'!B$2:B$401,$AH254)))</f>
        <v/>
      </c>
      <c r="C254">
        <f>IF($AH254="","",IF(INDEX('Per Invoice'!C$2:C$401,$AH254)="","",INDEX('Per Invoice'!C$2:C$401,$AH254)))</f>
        <v/>
      </c>
      <c r="D254">
        <f>IF($AH254="","",IF(INDEX('Per Invoice'!D$2:D$401,$AH254)="","",INDEX('Per Invoice'!D$2:D$401,$AH254)))</f>
        <v/>
      </c>
      <c r="E254">
        <f>IF($AH254="","",IF(INDEX('Per Invoice'!E$2:E$401,$AH254)="","",INDEX('Per Invoice'!E$2:E$401,$AH254)))</f>
        <v/>
      </c>
      <c r="F254">
        <f>IF($AH254="","",IF(INDEX('Per Invoice'!F$2:F$401,$AH254)="","",INDEX('Per Invoice'!F$2:F$401,$AH254)))</f>
        <v/>
      </c>
      <c r="G254">
        <f>IF($AH254="","",IF(INDEX('Per Invoice'!G$2:G$401,$AH254)="","",INDEX('Per Invoice'!G$2:G$401,$AH254)))</f>
        <v/>
      </c>
      <c r="H254">
        <f>IF($AH254="","",IF(INDEX('Per Invoice'!H$2:H$401,$AH254)="","",INDEX('Per Invoice'!H$2:H$401,$AH254)))</f>
        <v/>
      </c>
      <c r="I254" s="14">
        <f>IF($AH254="","",IF(INDEX('Per Invoice'!I$2:I$401,$AH254)="","",INDEX('Per Invoice'!I$2:I$401,$AH254)))</f>
        <v/>
      </c>
      <c r="J254">
        <f>IF($AH254="","",IF(INDEX('Per Invoice'!J$2:J$401,$AH254)="","",INDEX('Per Invoice'!J$2:J$401,$AH254)))</f>
        <v/>
      </c>
      <c r="K254">
        <f>IF($AH254="","",IF(INDEX('Per Invoice'!K$2:K$401,$AH254)="","",INDEX('Per Invoice'!K$2:K$401,$AH254)))</f>
        <v/>
      </c>
      <c r="L254">
        <f>IF($AH254="","",IF(INDEX('Per Invoice'!L$2:L$401,$AH254)="","",INDEX('Per Invoice'!L$2:L$401,$AH254)))</f>
        <v/>
      </c>
      <c r="M254">
        <f>IF($AH254="","",IF(INDEX('Per Invoice'!M$2:M$401,$AH254)="","",INDEX('Per Invoice'!M$2:M$401,$AH254)))</f>
        <v/>
      </c>
      <c r="N254">
        <f>IF($AH254="","",IF(INDEX('Per Invoice'!N$2:N$401,$AH254)="","",INDEX('Per Invoice'!N$2:N$401,$AH254)))</f>
        <v/>
      </c>
      <c r="O254">
        <f>IF($AH254="","",IF(INDEX('Per Invoice'!O$2:O$401,$AH254)="","",INDEX('Per Invoice'!O$2:O$401,$AH254)))</f>
        <v/>
      </c>
      <c r="P254" s="7">
        <f>IF($AH254="","",IF(INDEX('Per Invoice'!P$2:P$401,$AH254)="","",INDEX('Per Invoice'!P$2:P$401,$AH254)))</f>
        <v/>
      </c>
      <c r="Q254">
        <f>IF($AH254="","",IF(INDEX('Per Invoice'!Q$2:Q$401,$AH254)="","",INDEX('Per Invoice'!Q$2:Q$401,$AH254)))</f>
        <v/>
      </c>
      <c r="R254">
        <f>IF($AH254="","",IF(INDEX('Per Invoice'!R$2:R$401,$AH254)="","",INDEX('Per Invoice'!R$2:R$401,$AH254)))</f>
        <v/>
      </c>
      <c r="S254">
        <f>IF($AH254="","",IF(INDEX('Per Invoice'!S$2:S$401,$AH254)="","",INDEX('Per Invoice'!S$2:S$401,$AH254)))</f>
        <v/>
      </c>
      <c r="T254" s="7">
        <f>IF($AH254="","",IF(INDEX('Per Invoice'!T$2:T$401,$AH254)="","",INDEX('Per Invoice'!T$2:T$401,$AH254)))</f>
        <v/>
      </c>
      <c r="U254" s="7">
        <f>IF($AH254="","",IF(INDEX('Per Invoice'!U$2:U$401,$AH254)="","",INDEX('Per Invoice'!U$2:U$401,$AH254)))</f>
        <v/>
      </c>
      <c r="V254">
        <f>IF($AH254="","",IF(INDEX('Per Invoice'!V$2:V$401,$AH254)="","",INDEX('Per Invoice'!V$2:V$401,$AH254)))</f>
        <v/>
      </c>
      <c r="W254" s="7">
        <f>IF($AH254="","",IF(INDEX('Per Invoice'!W$2:W$401,$AH254)="","",INDEX('Per Invoice'!W$2:W$401,$AH254)))</f>
        <v/>
      </c>
      <c r="X254" s="7">
        <f>IF($AH254="","",IF(INDEX('Per Invoice'!X$2:X$401,$AH254)="","",INDEX('Per Invoice'!X$2:X$401,$AH254)))</f>
        <v/>
      </c>
      <c r="Y254">
        <f>IF($AH254="","",IF(INDEX('Per Invoice'!Y$2:Y$401,$AH254)="","",INDEX('Per Invoice'!Y$2:Y$401,$AH254)))</f>
        <v/>
      </c>
      <c r="Z254" s="7">
        <f>IF($AH254="","",IF(INDEX('Per Invoice'!Z$2:Z$401,$AH254)="","",INDEX('Per Invoice'!Z$2:Z$401,$AH254)))</f>
        <v/>
      </c>
      <c r="AA254" s="7">
        <f>IF($AH254="","",IF(INDEX('Per Invoice'!AA$2:AA$401,$AH254)="","",INDEX('Per Invoice'!AA$2:AA$401,$AH254)))</f>
        <v/>
      </c>
      <c r="AB254" s="7">
        <f>IF($AH254="","",IF(INDEX('Per Invoice'!AB$2:AB$401,$AH254)="","",INDEX('Per Invoice'!AB$2:AB$401,$AH254)))</f>
        <v/>
      </c>
      <c r="AC254" s="7">
        <f>IF($AH254="","",IF(INDEX('Per Invoice'!AC$2:AC$401,$AH254)="","",INDEX('Per Invoice'!AC$2:AC$401,$AH254)))</f>
        <v/>
      </c>
      <c r="AD254" s="7">
        <f>IF($AH254="","",IF(INDEX('Per Invoice'!AD$2:AD$401,$AH254)="","",INDEX('Per Invoice'!AD$2:AD$401,$AH254)))</f>
        <v/>
      </c>
      <c r="AE254" s="7">
        <f>IF($AH254="","",IF(INDEX('Per Invoice'!AE$2:AE$401,$AH254)="","",INDEX('Per Invoice'!AE$2:AE$401,$AH254)))</f>
        <v/>
      </c>
      <c r="AF254">
        <f>IF($AH254="","",IF(INDEX('Per Invoice'!AF$2:AF$401,$AH254)="","",INDEX('Per Invoice'!AF$2:AF$401,$AH254)))</f>
        <v/>
      </c>
      <c r="AG254" s="7">
        <f>IF($AH254="","",IF(INDEX('Per Invoice'!AG$2:AG$401,$AH254)="","",INDEX('Per Invoice'!AG$2:AG$401,$AH254)))</f>
        <v/>
      </c>
      <c r="AH254" s="16">
        <f>IFERROR(MATCH(Settings!$C$27&amp;"|"&amp;ROWS($AH$2:$AH254),'Per Invoice'!$AI$2:$AI$401,0),"")</f>
        <v/>
      </c>
    </row>
    <row r="255">
      <c r="A255">
        <f>IF($AH255="","",IF(INDEX('Per Invoice'!A$2:A$401,$AH255)="","",INDEX('Per Invoice'!A$2:A$401,$AH255)))</f>
        <v/>
      </c>
      <c r="B255">
        <f>IF($AH255="","",IF(INDEX('Per Invoice'!B$2:B$401,$AH255)="","",INDEX('Per Invoice'!B$2:B$401,$AH255)))</f>
        <v/>
      </c>
      <c r="C255">
        <f>IF($AH255="","",IF(INDEX('Per Invoice'!C$2:C$401,$AH255)="","",INDEX('Per Invoice'!C$2:C$401,$AH255)))</f>
        <v/>
      </c>
      <c r="D255">
        <f>IF($AH255="","",IF(INDEX('Per Invoice'!D$2:D$401,$AH255)="","",INDEX('Per Invoice'!D$2:D$401,$AH255)))</f>
        <v/>
      </c>
      <c r="E255">
        <f>IF($AH255="","",IF(INDEX('Per Invoice'!E$2:E$401,$AH255)="","",INDEX('Per Invoice'!E$2:E$401,$AH255)))</f>
        <v/>
      </c>
      <c r="F255">
        <f>IF($AH255="","",IF(INDEX('Per Invoice'!F$2:F$401,$AH255)="","",INDEX('Per Invoice'!F$2:F$401,$AH255)))</f>
        <v/>
      </c>
      <c r="G255">
        <f>IF($AH255="","",IF(INDEX('Per Invoice'!G$2:G$401,$AH255)="","",INDEX('Per Invoice'!G$2:G$401,$AH255)))</f>
        <v/>
      </c>
      <c r="H255">
        <f>IF($AH255="","",IF(INDEX('Per Invoice'!H$2:H$401,$AH255)="","",INDEX('Per Invoice'!H$2:H$401,$AH255)))</f>
        <v/>
      </c>
      <c r="I255" s="14">
        <f>IF($AH255="","",IF(INDEX('Per Invoice'!I$2:I$401,$AH255)="","",INDEX('Per Invoice'!I$2:I$401,$AH255)))</f>
        <v/>
      </c>
      <c r="J255">
        <f>IF($AH255="","",IF(INDEX('Per Invoice'!J$2:J$401,$AH255)="","",INDEX('Per Invoice'!J$2:J$401,$AH255)))</f>
        <v/>
      </c>
      <c r="K255">
        <f>IF($AH255="","",IF(INDEX('Per Invoice'!K$2:K$401,$AH255)="","",INDEX('Per Invoice'!K$2:K$401,$AH255)))</f>
        <v/>
      </c>
      <c r="L255">
        <f>IF($AH255="","",IF(INDEX('Per Invoice'!L$2:L$401,$AH255)="","",INDEX('Per Invoice'!L$2:L$401,$AH255)))</f>
        <v/>
      </c>
      <c r="M255">
        <f>IF($AH255="","",IF(INDEX('Per Invoice'!M$2:M$401,$AH255)="","",INDEX('Per Invoice'!M$2:M$401,$AH255)))</f>
        <v/>
      </c>
      <c r="N255">
        <f>IF($AH255="","",IF(INDEX('Per Invoice'!N$2:N$401,$AH255)="","",INDEX('Per Invoice'!N$2:N$401,$AH255)))</f>
        <v/>
      </c>
      <c r="O255">
        <f>IF($AH255="","",IF(INDEX('Per Invoice'!O$2:O$401,$AH255)="","",INDEX('Per Invoice'!O$2:O$401,$AH255)))</f>
        <v/>
      </c>
      <c r="P255" s="7">
        <f>IF($AH255="","",IF(INDEX('Per Invoice'!P$2:P$401,$AH255)="","",INDEX('Per Invoice'!P$2:P$401,$AH255)))</f>
        <v/>
      </c>
      <c r="Q255">
        <f>IF($AH255="","",IF(INDEX('Per Invoice'!Q$2:Q$401,$AH255)="","",INDEX('Per Invoice'!Q$2:Q$401,$AH255)))</f>
        <v/>
      </c>
      <c r="R255">
        <f>IF($AH255="","",IF(INDEX('Per Invoice'!R$2:R$401,$AH255)="","",INDEX('Per Invoice'!R$2:R$401,$AH255)))</f>
        <v/>
      </c>
      <c r="S255">
        <f>IF($AH255="","",IF(INDEX('Per Invoice'!S$2:S$401,$AH255)="","",INDEX('Per Invoice'!S$2:S$401,$AH255)))</f>
        <v/>
      </c>
      <c r="T255" s="7">
        <f>IF($AH255="","",IF(INDEX('Per Invoice'!T$2:T$401,$AH255)="","",INDEX('Per Invoice'!T$2:T$401,$AH255)))</f>
        <v/>
      </c>
      <c r="U255" s="7">
        <f>IF($AH255="","",IF(INDEX('Per Invoice'!U$2:U$401,$AH255)="","",INDEX('Per Invoice'!U$2:U$401,$AH255)))</f>
        <v/>
      </c>
      <c r="V255">
        <f>IF($AH255="","",IF(INDEX('Per Invoice'!V$2:V$401,$AH255)="","",INDEX('Per Invoice'!V$2:V$401,$AH255)))</f>
        <v/>
      </c>
      <c r="W255" s="7">
        <f>IF($AH255="","",IF(INDEX('Per Invoice'!W$2:W$401,$AH255)="","",INDEX('Per Invoice'!W$2:W$401,$AH255)))</f>
        <v/>
      </c>
      <c r="X255" s="7">
        <f>IF($AH255="","",IF(INDEX('Per Invoice'!X$2:X$401,$AH255)="","",INDEX('Per Invoice'!X$2:X$401,$AH255)))</f>
        <v/>
      </c>
      <c r="Y255">
        <f>IF($AH255="","",IF(INDEX('Per Invoice'!Y$2:Y$401,$AH255)="","",INDEX('Per Invoice'!Y$2:Y$401,$AH255)))</f>
        <v/>
      </c>
      <c r="Z255" s="7">
        <f>IF($AH255="","",IF(INDEX('Per Invoice'!Z$2:Z$401,$AH255)="","",INDEX('Per Invoice'!Z$2:Z$401,$AH255)))</f>
        <v/>
      </c>
      <c r="AA255" s="7">
        <f>IF($AH255="","",IF(INDEX('Per Invoice'!AA$2:AA$401,$AH255)="","",INDEX('Per Invoice'!AA$2:AA$401,$AH255)))</f>
        <v/>
      </c>
      <c r="AB255" s="7">
        <f>IF($AH255="","",IF(INDEX('Per Invoice'!AB$2:AB$401,$AH255)="","",INDEX('Per Invoice'!AB$2:AB$401,$AH255)))</f>
        <v/>
      </c>
      <c r="AC255" s="7">
        <f>IF($AH255="","",IF(INDEX('Per Invoice'!AC$2:AC$401,$AH255)="","",INDEX('Per Invoice'!AC$2:AC$401,$AH255)))</f>
        <v/>
      </c>
      <c r="AD255" s="7">
        <f>IF($AH255="","",IF(INDEX('Per Invoice'!AD$2:AD$401,$AH255)="","",INDEX('Per Invoice'!AD$2:AD$401,$AH255)))</f>
        <v/>
      </c>
      <c r="AE255" s="7">
        <f>IF($AH255="","",IF(INDEX('Per Invoice'!AE$2:AE$401,$AH255)="","",INDEX('Per Invoice'!AE$2:AE$401,$AH255)))</f>
        <v/>
      </c>
      <c r="AF255">
        <f>IF($AH255="","",IF(INDEX('Per Invoice'!AF$2:AF$401,$AH255)="","",INDEX('Per Invoice'!AF$2:AF$401,$AH255)))</f>
        <v/>
      </c>
      <c r="AG255" s="7">
        <f>IF($AH255="","",IF(INDEX('Per Invoice'!AG$2:AG$401,$AH255)="","",INDEX('Per Invoice'!AG$2:AG$401,$AH255)))</f>
        <v/>
      </c>
      <c r="AH255" s="16">
        <f>IFERROR(MATCH(Settings!$C$27&amp;"|"&amp;ROWS($AH$2:$AH255),'Per Invoice'!$AI$2:$AI$401,0),"")</f>
        <v/>
      </c>
    </row>
    <row r="256">
      <c r="A256">
        <f>IF($AH256="","",IF(INDEX('Per Invoice'!A$2:A$401,$AH256)="","",INDEX('Per Invoice'!A$2:A$401,$AH256)))</f>
        <v/>
      </c>
      <c r="B256">
        <f>IF($AH256="","",IF(INDEX('Per Invoice'!B$2:B$401,$AH256)="","",INDEX('Per Invoice'!B$2:B$401,$AH256)))</f>
        <v/>
      </c>
      <c r="C256">
        <f>IF($AH256="","",IF(INDEX('Per Invoice'!C$2:C$401,$AH256)="","",INDEX('Per Invoice'!C$2:C$401,$AH256)))</f>
        <v/>
      </c>
      <c r="D256">
        <f>IF($AH256="","",IF(INDEX('Per Invoice'!D$2:D$401,$AH256)="","",INDEX('Per Invoice'!D$2:D$401,$AH256)))</f>
        <v/>
      </c>
      <c r="E256">
        <f>IF($AH256="","",IF(INDEX('Per Invoice'!E$2:E$401,$AH256)="","",INDEX('Per Invoice'!E$2:E$401,$AH256)))</f>
        <v/>
      </c>
      <c r="F256">
        <f>IF($AH256="","",IF(INDEX('Per Invoice'!F$2:F$401,$AH256)="","",INDEX('Per Invoice'!F$2:F$401,$AH256)))</f>
        <v/>
      </c>
      <c r="G256">
        <f>IF($AH256="","",IF(INDEX('Per Invoice'!G$2:G$401,$AH256)="","",INDEX('Per Invoice'!G$2:G$401,$AH256)))</f>
        <v/>
      </c>
      <c r="H256">
        <f>IF($AH256="","",IF(INDEX('Per Invoice'!H$2:H$401,$AH256)="","",INDEX('Per Invoice'!H$2:H$401,$AH256)))</f>
        <v/>
      </c>
      <c r="I256" s="14">
        <f>IF($AH256="","",IF(INDEX('Per Invoice'!I$2:I$401,$AH256)="","",INDEX('Per Invoice'!I$2:I$401,$AH256)))</f>
        <v/>
      </c>
      <c r="J256">
        <f>IF($AH256="","",IF(INDEX('Per Invoice'!J$2:J$401,$AH256)="","",INDEX('Per Invoice'!J$2:J$401,$AH256)))</f>
        <v/>
      </c>
      <c r="K256">
        <f>IF($AH256="","",IF(INDEX('Per Invoice'!K$2:K$401,$AH256)="","",INDEX('Per Invoice'!K$2:K$401,$AH256)))</f>
        <v/>
      </c>
      <c r="L256">
        <f>IF($AH256="","",IF(INDEX('Per Invoice'!L$2:L$401,$AH256)="","",INDEX('Per Invoice'!L$2:L$401,$AH256)))</f>
        <v/>
      </c>
      <c r="M256">
        <f>IF($AH256="","",IF(INDEX('Per Invoice'!M$2:M$401,$AH256)="","",INDEX('Per Invoice'!M$2:M$401,$AH256)))</f>
        <v/>
      </c>
      <c r="N256">
        <f>IF($AH256="","",IF(INDEX('Per Invoice'!N$2:N$401,$AH256)="","",INDEX('Per Invoice'!N$2:N$401,$AH256)))</f>
        <v/>
      </c>
      <c r="O256">
        <f>IF($AH256="","",IF(INDEX('Per Invoice'!O$2:O$401,$AH256)="","",INDEX('Per Invoice'!O$2:O$401,$AH256)))</f>
        <v/>
      </c>
      <c r="P256" s="7">
        <f>IF($AH256="","",IF(INDEX('Per Invoice'!P$2:P$401,$AH256)="","",INDEX('Per Invoice'!P$2:P$401,$AH256)))</f>
        <v/>
      </c>
      <c r="Q256">
        <f>IF($AH256="","",IF(INDEX('Per Invoice'!Q$2:Q$401,$AH256)="","",INDEX('Per Invoice'!Q$2:Q$401,$AH256)))</f>
        <v/>
      </c>
      <c r="R256">
        <f>IF($AH256="","",IF(INDEX('Per Invoice'!R$2:R$401,$AH256)="","",INDEX('Per Invoice'!R$2:R$401,$AH256)))</f>
        <v/>
      </c>
      <c r="S256">
        <f>IF($AH256="","",IF(INDEX('Per Invoice'!S$2:S$401,$AH256)="","",INDEX('Per Invoice'!S$2:S$401,$AH256)))</f>
        <v/>
      </c>
      <c r="T256" s="7">
        <f>IF($AH256="","",IF(INDEX('Per Invoice'!T$2:T$401,$AH256)="","",INDEX('Per Invoice'!T$2:T$401,$AH256)))</f>
        <v/>
      </c>
      <c r="U256" s="7">
        <f>IF($AH256="","",IF(INDEX('Per Invoice'!U$2:U$401,$AH256)="","",INDEX('Per Invoice'!U$2:U$401,$AH256)))</f>
        <v/>
      </c>
      <c r="V256">
        <f>IF($AH256="","",IF(INDEX('Per Invoice'!V$2:V$401,$AH256)="","",INDEX('Per Invoice'!V$2:V$401,$AH256)))</f>
        <v/>
      </c>
      <c r="W256" s="7">
        <f>IF($AH256="","",IF(INDEX('Per Invoice'!W$2:W$401,$AH256)="","",INDEX('Per Invoice'!W$2:W$401,$AH256)))</f>
        <v/>
      </c>
      <c r="X256" s="7">
        <f>IF($AH256="","",IF(INDEX('Per Invoice'!X$2:X$401,$AH256)="","",INDEX('Per Invoice'!X$2:X$401,$AH256)))</f>
        <v/>
      </c>
      <c r="Y256">
        <f>IF($AH256="","",IF(INDEX('Per Invoice'!Y$2:Y$401,$AH256)="","",INDEX('Per Invoice'!Y$2:Y$401,$AH256)))</f>
        <v/>
      </c>
      <c r="Z256" s="7">
        <f>IF($AH256="","",IF(INDEX('Per Invoice'!Z$2:Z$401,$AH256)="","",INDEX('Per Invoice'!Z$2:Z$401,$AH256)))</f>
        <v/>
      </c>
      <c r="AA256" s="7">
        <f>IF($AH256="","",IF(INDEX('Per Invoice'!AA$2:AA$401,$AH256)="","",INDEX('Per Invoice'!AA$2:AA$401,$AH256)))</f>
        <v/>
      </c>
      <c r="AB256" s="7">
        <f>IF($AH256="","",IF(INDEX('Per Invoice'!AB$2:AB$401,$AH256)="","",INDEX('Per Invoice'!AB$2:AB$401,$AH256)))</f>
        <v/>
      </c>
      <c r="AC256" s="7">
        <f>IF($AH256="","",IF(INDEX('Per Invoice'!AC$2:AC$401,$AH256)="","",INDEX('Per Invoice'!AC$2:AC$401,$AH256)))</f>
        <v/>
      </c>
      <c r="AD256" s="7">
        <f>IF($AH256="","",IF(INDEX('Per Invoice'!AD$2:AD$401,$AH256)="","",INDEX('Per Invoice'!AD$2:AD$401,$AH256)))</f>
        <v/>
      </c>
      <c r="AE256" s="7">
        <f>IF($AH256="","",IF(INDEX('Per Invoice'!AE$2:AE$401,$AH256)="","",INDEX('Per Invoice'!AE$2:AE$401,$AH256)))</f>
        <v/>
      </c>
      <c r="AF256">
        <f>IF($AH256="","",IF(INDEX('Per Invoice'!AF$2:AF$401,$AH256)="","",INDEX('Per Invoice'!AF$2:AF$401,$AH256)))</f>
        <v/>
      </c>
      <c r="AG256" s="7">
        <f>IF($AH256="","",IF(INDEX('Per Invoice'!AG$2:AG$401,$AH256)="","",INDEX('Per Invoice'!AG$2:AG$401,$AH256)))</f>
        <v/>
      </c>
      <c r="AH256" s="16">
        <f>IFERROR(MATCH(Settings!$C$27&amp;"|"&amp;ROWS($AH$2:$AH256),'Per Invoice'!$AI$2:$AI$401,0),"")</f>
        <v/>
      </c>
    </row>
    <row r="257">
      <c r="A257">
        <f>IF($AH257="","",IF(INDEX('Per Invoice'!A$2:A$401,$AH257)="","",INDEX('Per Invoice'!A$2:A$401,$AH257)))</f>
        <v/>
      </c>
      <c r="B257">
        <f>IF($AH257="","",IF(INDEX('Per Invoice'!B$2:B$401,$AH257)="","",INDEX('Per Invoice'!B$2:B$401,$AH257)))</f>
        <v/>
      </c>
      <c r="C257">
        <f>IF($AH257="","",IF(INDEX('Per Invoice'!C$2:C$401,$AH257)="","",INDEX('Per Invoice'!C$2:C$401,$AH257)))</f>
        <v/>
      </c>
      <c r="D257">
        <f>IF($AH257="","",IF(INDEX('Per Invoice'!D$2:D$401,$AH257)="","",INDEX('Per Invoice'!D$2:D$401,$AH257)))</f>
        <v/>
      </c>
      <c r="E257">
        <f>IF($AH257="","",IF(INDEX('Per Invoice'!E$2:E$401,$AH257)="","",INDEX('Per Invoice'!E$2:E$401,$AH257)))</f>
        <v/>
      </c>
      <c r="F257">
        <f>IF($AH257="","",IF(INDEX('Per Invoice'!F$2:F$401,$AH257)="","",INDEX('Per Invoice'!F$2:F$401,$AH257)))</f>
        <v/>
      </c>
      <c r="G257">
        <f>IF($AH257="","",IF(INDEX('Per Invoice'!G$2:G$401,$AH257)="","",INDEX('Per Invoice'!G$2:G$401,$AH257)))</f>
        <v/>
      </c>
      <c r="H257">
        <f>IF($AH257="","",IF(INDEX('Per Invoice'!H$2:H$401,$AH257)="","",INDEX('Per Invoice'!H$2:H$401,$AH257)))</f>
        <v/>
      </c>
      <c r="I257" s="14">
        <f>IF($AH257="","",IF(INDEX('Per Invoice'!I$2:I$401,$AH257)="","",INDEX('Per Invoice'!I$2:I$401,$AH257)))</f>
        <v/>
      </c>
      <c r="J257">
        <f>IF($AH257="","",IF(INDEX('Per Invoice'!J$2:J$401,$AH257)="","",INDEX('Per Invoice'!J$2:J$401,$AH257)))</f>
        <v/>
      </c>
      <c r="K257">
        <f>IF($AH257="","",IF(INDEX('Per Invoice'!K$2:K$401,$AH257)="","",INDEX('Per Invoice'!K$2:K$401,$AH257)))</f>
        <v/>
      </c>
      <c r="L257">
        <f>IF($AH257="","",IF(INDEX('Per Invoice'!L$2:L$401,$AH257)="","",INDEX('Per Invoice'!L$2:L$401,$AH257)))</f>
        <v/>
      </c>
      <c r="M257">
        <f>IF($AH257="","",IF(INDEX('Per Invoice'!M$2:M$401,$AH257)="","",INDEX('Per Invoice'!M$2:M$401,$AH257)))</f>
        <v/>
      </c>
      <c r="N257">
        <f>IF($AH257="","",IF(INDEX('Per Invoice'!N$2:N$401,$AH257)="","",INDEX('Per Invoice'!N$2:N$401,$AH257)))</f>
        <v/>
      </c>
      <c r="O257">
        <f>IF($AH257="","",IF(INDEX('Per Invoice'!O$2:O$401,$AH257)="","",INDEX('Per Invoice'!O$2:O$401,$AH257)))</f>
        <v/>
      </c>
      <c r="P257" s="7">
        <f>IF($AH257="","",IF(INDEX('Per Invoice'!P$2:P$401,$AH257)="","",INDEX('Per Invoice'!P$2:P$401,$AH257)))</f>
        <v/>
      </c>
      <c r="Q257">
        <f>IF($AH257="","",IF(INDEX('Per Invoice'!Q$2:Q$401,$AH257)="","",INDEX('Per Invoice'!Q$2:Q$401,$AH257)))</f>
        <v/>
      </c>
      <c r="R257">
        <f>IF($AH257="","",IF(INDEX('Per Invoice'!R$2:R$401,$AH257)="","",INDEX('Per Invoice'!R$2:R$401,$AH257)))</f>
        <v/>
      </c>
      <c r="S257">
        <f>IF($AH257="","",IF(INDEX('Per Invoice'!S$2:S$401,$AH257)="","",INDEX('Per Invoice'!S$2:S$401,$AH257)))</f>
        <v/>
      </c>
      <c r="T257" s="7">
        <f>IF($AH257="","",IF(INDEX('Per Invoice'!T$2:T$401,$AH257)="","",INDEX('Per Invoice'!T$2:T$401,$AH257)))</f>
        <v/>
      </c>
      <c r="U257" s="7">
        <f>IF($AH257="","",IF(INDEX('Per Invoice'!U$2:U$401,$AH257)="","",INDEX('Per Invoice'!U$2:U$401,$AH257)))</f>
        <v/>
      </c>
      <c r="V257">
        <f>IF($AH257="","",IF(INDEX('Per Invoice'!V$2:V$401,$AH257)="","",INDEX('Per Invoice'!V$2:V$401,$AH257)))</f>
        <v/>
      </c>
      <c r="W257" s="7">
        <f>IF($AH257="","",IF(INDEX('Per Invoice'!W$2:W$401,$AH257)="","",INDEX('Per Invoice'!W$2:W$401,$AH257)))</f>
        <v/>
      </c>
      <c r="X257" s="7">
        <f>IF($AH257="","",IF(INDEX('Per Invoice'!X$2:X$401,$AH257)="","",INDEX('Per Invoice'!X$2:X$401,$AH257)))</f>
        <v/>
      </c>
      <c r="Y257">
        <f>IF($AH257="","",IF(INDEX('Per Invoice'!Y$2:Y$401,$AH257)="","",INDEX('Per Invoice'!Y$2:Y$401,$AH257)))</f>
        <v/>
      </c>
      <c r="Z257" s="7">
        <f>IF($AH257="","",IF(INDEX('Per Invoice'!Z$2:Z$401,$AH257)="","",INDEX('Per Invoice'!Z$2:Z$401,$AH257)))</f>
        <v/>
      </c>
      <c r="AA257" s="7">
        <f>IF($AH257="","",IF(INDEX('Per Invoice'!AA$2:AA$401,$AH257)="","",INDEX('Per Invoice'!AA$2:AA$401,$AH257)))</f>
        <v/>
      </c>
      <c r="AB257" s="7">
        <f>IF($AH257="","",IF(INDEX('Per Invoice'!AB$2:AB$401,$AH257)="","",INDEX('Per Invoice'!AB$2:AB$401,$AH257)))</f>
        <v/>
      </c>
      <c r="AC257" s="7">
        <f>IF($AH257="","",IF(INDEX('Per Invoice'!AC$2:AC$401,$AH257)="","",INDEX('Per Invoice'!AC$2:AC$401,$AH257)))</f>
        <v/>
      </c>
      <c r="AD257" s="7">
        <f>IF($AH257="","",IF(INDEX('Per Invoice'!AD$2:AD$401,$AH257)="","",INDEX('Per Invoice'!AD$2:AD$401,$AH257)))</f>
        <v/>
      </c>
      <c r="AE257" s="7">
        <f>IF($AH257="","",IF(INDEX('Per Invoice'!AE$2:AE$401,$AH257)="","",INDEX('Per Invoice'!AE$2:AE$401,$AH257)))</f>
        <v/>
      </c>
      <c r="AF257">
        <f>IF($AH257="","",IF(INDEX('Per Invoice'!AF$2:AF$401,$AH257)="","",INDEX('Per Invoice'!AF$2:AF$401,$AH257)))</f>
        <v/>
      </c>
      <c r="AG257" s="7">
        <f>IF($AH257="","",IF(INDEX('Per Invoice'!AG$2:AG$401,$AH257)="","",INDEX('Per Invoice'!AG$2:AG$401,$AH257)))</f>
        <v/>
      </c>
      <c r="AH257" s="16">
        <f>IFERROR(MATCH(Settings!$C$27&amp;"|"&amp;ROWS($AH$2:$AH257),'Per Invoice'!$AI$2:$AI$401,0),"")</f>
        <v/>
      </c>
    </row>
    <row r="258">
      <c r="A258">
        <f>IF($AH258="","",IF(INDEX('Per Invoice'!A$2:A$401,$AH258)="","",INDEX('Per Invoice'!A$2:A$401,$AH258)))</f>
        <v/>
      </c>
      <c r="B258">
        <f>IF($AH258="","",IF(INDEX('Per Invoice'!B$2:B$401,$AH258)="","",INDEX('Per Invoice'!B$2:B$401,$AH258)))</f>
        <v/>
      </c>
      <c r="C258">
        <f>IF($AH258="","",IF(INDEX('Per Invoice'!C$2:C$401,$AH258)="","",INDEX('Per Invoice'!C$2:C$401,$AH258)))</f>
        <v/>
      </c>
      <c r="D258">
        <f>IF($AH258="","",IF(INDEX('Per Invoice'!D$2:D$401,$AH258)="","",INDEX('Per Invoice'!D$2:D$401,$AH258)))</f>
        <v/>
      </c>
      <c r="E258">
        <f>IF($AH258="","",IF(INDEX('Per Invoice'!E$2:E$401,$AH258)="","",INDEX('Per Invoice'!E$2:E$401,$AH258)))</f>
        <v/>
      </c>
      <c r="F258">
        <f>IF($AH258="","",IF(INDEX('Per Invoice'!F$2:F$401,$AH258)="","",INDEX('Per Invoice'!F$2:F$401,$AH258)))</f>
        <v/>
      </c>
      <c r="G258">
        <f>IF($AH258="","",IF(INDEX('Per Invoice'!G$2:G$401,$AH258)="","",INDEX('Per Invoice'!G$2:G$401,$AH258)))</f>
        <v/>
      </c>
      <c r="H258">
        <f>IF($AH258="","",IF(INDEX('Per Invoice'!H$2:H$401,$AH258)="","",INDEX('Per Invoice'!H$2:H$401,$AH258)))</f>
        <v/>
      </c>
      <c r="I258" s="14">
        <f>IF($AH258="","",IF(INDEX('Per Invoice'!I$2:I$401,$AH258)="","",INDEX('Per Invoice'!I$2:I$401,$AH258)))</f>
        <v/>
      </c>
      <c r="J258">
        <f>IF($AH258="","",IF(INDEX('Per Invoice'!J$2:J$401,$AH258)="","",INDEX('Per Invoice'!J$2:J$401,$AH258)))</f>
        <v/>
      </c>
      <c r="K258">
        <f>IF($AH258="","",IF(INDEX('Per Invoice'!K$2:K$401,$AH258)="","",INDEX('Per Invoice'!K$2:K$401,$AH258)))</f>
        <v/>
      </c>
      <c r="L258">
        <f>IF($AH258="","",IF(INDEX('Per Invoice'!L$2:L$401,$AH258)="","",INDEX('Per Invoice'!L$2:L$401,$AH258)))</f>
        <v/>
      </c>
      <c r="M258">
        <f>IF($AH258="","",IF(INDEX('Per Invoice'!M$2:M$401,$AH258)="","",INDEX('Per Invoice'!M$2:M$401,$AH258)))</f>
        <v/>
      </c>
      <c r="N258">
        <f>IF($AH258="","",IF(INDEX('Per Invoice'!N$2:N$401,$AH258)="","",INDEX('Per Invoice'!N$2:N$401,$AH258)))</f>
        <v/>
      </c>
      <c r="O258">
        <f>IF($AH258="","",IF(INDEX('Per Invoice'!O$2:O$401,$AH258)="","",INDEX('Per Invoice'!O$2:O$401,$AH258)))</f>
        <v/>
      </c>
      <c r="P258" s="7">
        <f>IF($AH258="","",IF(INDEX('Per Invoice'!P$2:P$401,$AH258)="","",INDEX('Per Invoice'!P$2:P$401,$AH258)))</f>
        <v/>
      </c>
      <c r="Q258">
        <f>IF($AH258="","",IF(INDEX('Per Invoice'!Q$2:Q$401,$AH258)="","",INDEX('Per Invoice'!Q$2:Q$401,$AH258)))</f>
        <v/>
      </c>
      <c r="R258">
        <f>IF($AH258="","",IF(INDEX('Per Invoice'!R$2:R$401,$AH258)="","",INDEX('Per Invoice'!R$2:R$401,$AH258)))</f>
        <v/>
      </c>
      <c r="S258">
        <f>IF($AH258="","",IF(INDEX('Per Invoice'!S$2:S$401,$AH258)="","",INDEX('Per Invoice'!S$2:S$401,$AH258)))</f>
        <v/>
      </c>
      <c r="T258" s="7">
        <f>IF($AH258="","",IF(INDEX('Per Invoice'!T$2:T$401,$AH258)="","",INDEX('Per Invoice'!T$2:T$401,$AH258)))</f>
        <v/>
      </c>
      <c r="U258" s="7">
        <f>IF($AH258="","",IF(INDEX('Per Invoice'!U$2:U$401,$AH258)="","",INDEX('Per Invoice'!U$2:U$401,$AH258)))</f>
        <v/>
      </c>
      <c r="V258">
        <f>IF($AH258="","",IF(INDEX('Per Invoice'!V$2:V$401,$AH258)="","",INDEX('Per Invoice'!V$2:V$401,$AH258)))</f>
        <v/>
      </c>
      <c r="W258" s="7">
        <f>IF($AH258="","",IF(INDEX('Per Invoice'!W$2:W$401,$AH258)="","",INDEX('Per Invoice'!W$2:W$401,$AH258)))</f>
        <v/>
      </c>
      <c r="X258" s="7">
        <f>IF($AH258="","",IF(INDEX('Per Invoice'!X$2:X$401,$AH258)="","",INDEX('Per Invoice'!X$2:X$401,$AH258)))</f>
        <v/>
      </c>
      <c r="Y258">
        <f>IF($AH258="","",IF(INDEX('Per Invoice'!Y$2:Y$401,$AH258)="","",INDEX('Per Invoice'!Y$2:Y$401,$AH258)))</f>
        <v/>
      </c>
      <c r="Z258" s="7">
        <f>IF($AH258="","",IF(INDEX('Per Invoice'!Z$2:Z$401,$AH258)="","",INDEX('Per Invoice'!Z$2:Z$401,$AH258)))</f>
        <v/>
      </c>
      <c r="AA258" s="7">
        <f>IF($AH258="","",IF(INDEX('Per Invoice'!AA$2:AA$401,$AH258)="","",INDEX('Per Invoice'!AA$2:AA$401,$AH258)))</f>
        <v/>
      </c>
      <c r="AB258" s="7">
        <f>IF($AH258="","",IF(INDEX('Per Invoice'!AB$2:AB$401,$AH258)="","",INDEX('Per Invoice'!AB$2:AB$401,$AH258)))</f>
        <v/>
      </c>
      <c r="AC258" s="7">
        <f>IF($AH258="","",IF(INDEX('Per Invoice'!AC$2:AC$401,$AH258)="","",INDEX('Per Invoice'!AC$2:AC$401,$AH258)))</f>
        <v/>
      </c>
      <c r="AD258" s="7">
        <f>IF($AH258="","",IF(INDEX('Per Invoice'!AD$2:AD$401,$AH258)="","",INDEX('Per Invoice'!AD$2:AD$401,$AH258)))</f>
        <v/>
      </c>
      <c r="AE258" s="7">
        <f>IF($AH258="","",IF(INDEX('Per Invoice'!AE$2:AE$401,$AH258)="","",INDEX('Per Invoice'!AE$2:AE$401,$AH258)))</f>
        <v/>
      </c>
      <c r="AF258">
        <f>IF($AH258="","",IF(INDEX('Per Invoice'!AF$2:AF$401,$AH258)="","",INDEX('Per Invoice'!AF$2:AF$401,$AH258)))</f>
        <v/>
      </c>
      <c r="AG258" s="7">
        <f>IF($AH258="","",IF(INDEX('Per Invoice'!AG$2:AG$401,$AH258)="","",INDEX('Per Invoice'!AG$2:AG$401,$AH258)))</f>
        <v/>
      </c>
      <c r="AH258" s="16">
        <f>IFERROR(MATCH(Settings!$C$27&amp;"|"&amp;ROWS($AH$2:$AH258),'Per Invoice'!$AI$2:$AI$401,0),"")</f>
        <v/>
      </c>
    </row>
    <row r="259">
      <c r="A259">
        <f>IF($AH259="","",IF(INDEX('Per Invoice'!A$2:A$401,$AH259)="","",INDEX('Per Invoice'!A$2:A$401,$AH259)))</f>
        <v/>
      </c>
      <c r="B259">
        <f>IF($AH259="","",IF(INDEX('Per Invoice'!B$2:B$401,$AH259)="","",INDEX('Per Invoice'!B$2:B$401,$AH259)))</f>
        <v/>
      </c>
      <c r="C259">
        <f>IF($AH259="","",IF(INDEX('Per Invoice'!C$2:C$401,$AH259)="","",INDEX('Per Invoice'!C$2:C$401,$AH259)))</f>
        <v/>
      </c>
      <c r="D259">
        <f>IF($AH259="","",IF(INDEX('Per Invoice'!D$2:D$401,$AH259)="","",INDEX('Per Invoice'!D$2:D$401,$AH259)))</f>
        <v/>
      </c>
      <c r="E259">
        <f>IF($AH259="","",IF(INDEX('Per Invoice'!E$2:E$401,$AH259)="","",INDEX('Per Invoice'!E$2:E$401,$AH259)))</f>
        <v/>
      </c>
      <c r="F259">
        <f>IF($AH259="","",IF(INDEX('Per Invoice'!F$2:F$401,$AH259)="","",INDEX('Per Invoice'!F$2:F$401,$AH259)))</f>
        <v/>
      </c>
      <c r="G259">
        <f>IF($AH259="","",IF(INDEX('Per Invoice'!G$2:G$401,$AH259)="","",INDEX('Per Invoice'!G$2:G$401,$AH259)))</f>
        <v/>
      </c>
      <c r="H259">
        <f>IF($AH259="","",IF(INDEX('Per Invoice'!H$2:H$401,$AH259)="","",INDEX('Per Invoice'!H$2:H$401,$AH259)))</f>
        <v/>
      </c>
      <c r="I259" s="14">
        <f>IF($AH259="","",IF(INDEX('Per Invoice'!I$2:I$401,$AH259)="","",INDEX('Per Invoice'!I$2:I$401,$AH259)))</f>
        <v/>
      </c>
      <c r="J259">
        <f>IF($AH259="","",IF(INDEX('Per Invoice'!J$2:J$401,$AH259)="","",INDEX('Per Invoice'!J$2:J$401,$AH259)))</f>
        <v/>
      </c>
      <c r="K259">
        <f>IF($AH259="","",IF(INDEX('Per Invoice'!K$2:K$401,$AH259)="","",INDEX('Per Invoice'!K$2:K$401,$AH259)))</f>
        <v/>
      </c>
      <c r="L259">
        <f>IF($AH259="","",IF(INDEX('Per Invoice'!L$2:L$401,$AH259)="","",INDEX('Per Invoice'!L$2:L$401,$AH259)))</f>
        <v/>
      </c>
      <c r="M259">
        <f>IF($AH259="","",IF(INDEX('Per Invoice'!M$2:M$401,$AH259)="","",INDEX('Per Invoice'!M$2:M$401,$AH259)))</f>
        <v/>
      </c>
      <c r="N259">
        <f>IF($AH259="","",IF(INDEX('Per Invoice'!N$2:N$401,$AH259)="","",INDEX('Per Invoice'!N$2:N$401,$AH259)))</f>
        <v/>
      </c>
      <c r="O259">
        <f>IF($AH259="","",IF(INDEX('Per Invoice'!O$2:O$401,$AH259)="","",INDEX('Per Invoice'!O$2:O$401,$AH259)))</f>
        <v/>
      </c>
      <c r="P259" s="7">
        <f>IF($AH259="","",IF(INDEX('Per Invoice'!P$2:P$401,$AH259)="","",INDEX('Per Invoice'!P$2:P$401,$AH259)))</f>
        <v/>
      </c>
      <c r="Q259">
        <f>IF($AH259="","",IF(INDEX('Per Invoice'!Q$2:Q$401,$AH259)="","",INDEX('Per Invoice'!Q$2:Q$401,$AH259)))</f>
        <v/>
      </c>
      <c r="R259">
        <f>IF($AH259="","",IF(INDEX('Per Invoice'!R$2:R$401,$AH259)="","",INDEX('Per Invoice'!R$2:R$401,$AH259)))</f>
        <v/>
      </c>
      <c r="S259">
        <f>IF($AH259="","",IF(INDEX('Per Invoice'!S$2:S$401,$AH259)="","",INDEX('Per Invoice'!S$2:S$401,$AH259)))</f>
        <v/>
      </c>
      <c r="T259" s="7">
        <f>IF($AH259="","",IF(INDEX('Per Invoice'!T$2:T$401,$AH259)="","",INDEX('Per Invoice'!T$2:T$401,$AH259)))</f>
        <v/>
      </c>
      <c r="U259" s="7">
        <f>IF($AH259="","",IF(INDEX('Per Invoice'!U$2:U$401,$AH259)="","",INDEX('Per Invoice'!U$2:U$401,$AH259)))</f>
        <v/>
      </c>
      <c r="V259">
        <f>IF($AH259="","",IF(INDEX('Per Invoice'!V$2:V$401,$AH259)="","",INDEX('Per Invoice'!V$2:V$401,$AH259)))</f>
        <v/>
      </c>
      <c r="W259" s="7">
        <f>IF($AH259="","",IF(INDEX('Per Invoice'!W$2:W$401,$AH259)="","",INDEX('Per Invoice'!W$2:W$401,$AH259)))</f>
        <v/>
      </c>
      <c r="X259" s="7">
        <f>IF($AH259="","",IF(INDEX('Per Invoice'!X$2:X$401,$AH259)="","",INDEX('Per Invoice'!X$2:X$401,$AH259)))</f>
        <v/>
      </c>
      <c r="Y259">
        <f>IF($AH259="","",IF(INDEX('Per Invoice'!Y$2:Y$401,$AH259)="","",INDEX('Per Invoice'!Y$2:Y$401,$AH259)))</f>
        <v/>
      </c>
      <c r="Z259" s="7">
        <f>IF($AH259="","",IF(INDEX('Per Invoice'!Z$2:Z$401,$AH259)="","",INDEX('Per Invoice'!Z$2:Z$401,$AH259)))</f>
        <v/>
      </c>
      <c r="AA259" s="7">
        <f>IF($AH259="","",IF(INDEX('Per Invoice'!AA$2:AA$401,$AH259)="","",INDEX('Per Invoice'!AA$2:AA$401,$AH259)))</f>
        <v/>
      </c>
      <c r="AB259" s="7">
        <f>IF($AH259="","",IF(INDEX('Per Invoice'!AB$2:AB$401,$AH259)="","",INDEX('Per Invoice'!AB$2:AB$401,$AH259)))</f>
        <v/>
      </c>
      <c r="AC259" s="7">
        <f>IF($AH259="","",IF(INDEX('Per Invoice'!AC$2:AC$401,$AH259)="","",INDEX('Per Invoice'!AC$2:AC$401,$AH259)))</f>
        <v/>
      </c>
      <c r="AD259" s="7">
        <f>IF($AH259="","",IF(INDEX('Per Invoice'!AD$2:AD$401,$AH259)="","",INDEX('Per Invoice'!AD$2:AD$401,$AH259)))</f>
        <v/>
      </c>
      <c r="AE259" s="7">
        <f>IF($AH259="","",IF(INDEX('Per Invoice'!AE$2:AE$401,$AH259)="","",INDEX('Per Invoice'!AE$2:AE$401,$AH259)))</f>
        <v/>
      </c>
      <c r="AF259">
        <f>IF($AH259="","",IF(INDEX('Per Invoice'!AF$2:AF$401,$AH259)="","",INDEX('Per Invoice'!AF$2:AF$401,$AH259)))</f>
        <v/>
      </c>
      <c r="AG259" s="7">
        <f>IF($AH259="","",IF(INDEX('Per Invoice'!AG$2:AG$401,$AH259)="","",INDEX('Per Invoice'!AG$2:AG$401,$AH259)))</f>
        <v/>
      </c>
      <c r="AH259" s="16">
        <f>IFERROR(MATCH(Settings!$C$27&amp;"|"&amp;ROWS($AH$2:$AH259),'Per Invoice'!$AI$2:$AI$401,0),"")</f>
        <v/>
      </c>
    </row>
    <row r="260">
      <c r="A260">
        <f>IF($AH260="","",IF(INDEX('Per Invoice'!A$2:A$401,$AH260)="","",INDEX('Per Invoice'!A$2:A$401,$AH260)))</f>
        <v/>
      </c>
      <c r="B260">
        <f>IF($AH260="","",IF(INDEX('Per Invoice'!B$2:B$401,$AH260)="","",INDEX('Per Invoice'!B$2:B$401,$AH260)))</f>
        <v/>
      </c>
      <c r="C260">
        <f>IF($AH260="","",IF(INDEX('Per Invoice'!C$2:C$401,$AH260)="","",INDEX('Per Invoice'!C$2:C$401,$AH260)))</f>
        <v/>
      </c>
      <c r="D260">
        <f>IF($AH260="","",IF(INDEX('Per Invoice'!D$2:D$401,$AH260)="","",INDEX('Per Invoice'!D$2:D$401,$AH260)))</f>
        <v/>
      </c>
      <c r="E260">
        <f>IF($AH260="","",IF(INDEX('Per Invoice'!E$2:E$401,$AH260)="","",INDEX('Per Invoice'!E$2:E$401,$AH260)))</f>
        <v/>
      </c>
      <c r="F260">
        <f>IF($AH260="","",IF(INDEX('Per Invoice'!F$2:F$401,$AH260)="","",INDEX('Per Invoice'!F$2:F$401,$AH260)))</f>
        <v/>
      </c>
      <c r="G260">
        <f>IF($AH260="","",IF(INDEX('Per Invoice'!G$2:G$401,$AH260)="","",INDEX('Per Invoice'!G$2:G$401,$AH260)))</f>
        <v/>
      </c>
      <c r="H260">
        <f>IF($AH260="","",IF(INDEX('Per Invoice'!H$2:H$401,$AH260)="","",INDEX('Per Invoice'!H$2:H$401,$AH260)))</f>
        <v/>
      </c>
      <c r="I260" s="14">
        <f>IF($AH260="","",IF(INDEX('Per Invoice'!I$2:I$401,$AH260)="","",INDEX('Per Invoice'!I$2:I$401,$AH260)))</f>
        <v/>
      </c>
      <c r="J260">
        <f>IF($AH260="","",IF(INDEX('Per Invoice'!J$2:J$401,$AH260)="","",INDEX('Per Invoice'!J$2:J$401,$AH260)))</f>
        <v/>
      </c>
      <c r="K260">
        <f>IF($AH260="","",IF(INDEX('Per Invoice'!K$2:K$401,$AH260)="","",INDEX('Per Invoice'!K$2:K$401,$AH260)))</f>
        <v/>
      </c>
      <c r="L260">
        <f>IF($AH260="","",IF(INDEX('Per Invoice'!L$2:L$401,$AH260)="","",INDEX('Per Invoice'!L$2:L$401,$AH260)))</f>
        <v/>
      </c>
      <c r="M260">
        <f>IF($AH260="","",IF(INDEX('Per Invoice'!M$2:M$401,$AH260)="","",INDEX('Per Invoice'!M$2:M$401,$AH260)))</f>
        <v/>
      </c>
      <c r="N260">
        <f>IF($AH260="","",IF(INDEX('Per Invoice'!N$2:N$401,$AH260)="","",INDEX('Per Invoice'!N$2:N$401,$AH260)))</f>
        <v/>
      </c>
      <c r="O260">
        <f>IF($AH260="","",IF(INDEX('Per Invoice'!O$2:O$401,$AH260)="","",INDEX('Per Invoice'!O$2:O$401,$AH260)))</f>
        <v/>
      </c>
      <c r="P260" s="7">
        <f>IF($AH260="","",IF(INDEX('Per Invoice'!P$2:P$401,$AH260)="","",INDEX('Per Invoice'!P$2:P$401,$AH260)))</f>
        <v/>
      </c>
      <c r="Q260">
        <f>IF($AH260="","",IF(INDEX('Per Invoice'!Q$2:Q$401,$AH260)="","",INDEX('Per Invoice'!Q$2:Q$401,$AH260)))</f>
        <v/>
      </c>
      <c r="R260">
        <f>IF($AH260="","",IF(INDEX('Per Invoice'!R$2:R$401,$AH260)="","",INDEX('Per Invoice'!R$2:R$401,$AH260)))</f>
        <v/>
      </c>
      <c r="S260">
        <f>IF($AH260="","",IF(INDEX('Per Invoice'!S$2:S$401,$AH260)="","",INDEX('Per Invoice'!S$2:S$401,$AH260)))</f>
        <v/>
      </c>
      <c r="T260" s="7">
        <f>IF($AH260="","",IF(INDEX('Per Invoice'!T$2:T$401,$AH260)="","",INDEX('Per Invoice'!T$2:T$401,$AH260)))</f>
        <v/>
      </c>
      <c r="U260" s="7">
        <f>IF($AH260="","",IF(INDEX('Per Invoice'!U$2:U$401,$AH260)="","",INDEX('Per Invoice'!U$2:U$401,$AH260)))</f>
        <v/>
      </c>
      <c r="V260">
        <f>IF($AH260="","",IF(INDEX('Per Invoice'!V$2:V$401,$AH260)="","",INDEX('Per Invoice'!V$2:V$401,$AH260)))</f>
        <v/>
      </c>
      <c r="W260" s="7">
        <f>IF($AH260="","",IF(INDEX('Per Invoice'!W$2:W$401,$AH260)="","",INDEX('Per Invoice'!W$2:W$401,$AH260)))</f>
        <v/>
      </c>
      <c r="X260" s="7">
        <f>IF($AH260="","",IF(INDEX('Per Invoice'!X$2:X$401,$AH260)="","",INDEX('Per Invoice'!X$2:X$401,$AH260)))</f>
        <v/>
      </c>
      <c r="Y260">
        <f>IF($AH260="","",IF(INDEX('Per Invoice'!Y$2:Y$401,$AH260)="","",INDEX('Per Invoice'!Y$2:Y$401,$AH260)))</f>
        <v/>
      </c>
      <c r="Z260" s="7">
        <f>IF($AH260="","",IF(INDEX('Per Invoice'!Z$2:Z$401,$AH260)="","",INDEX('Per Invoice'!Z$2:Z$401,$AH260)))</f>
        <v/>
      </c>
      <c r="AA260" s="7">
        <f>IF($AH260="","",IF(INDEX('Per Invoice'!AA$2:AA$401,$AH260)="","",INDEX('Per Invoice'!AA$2:AA$401,$AH260)))</f>
        <v/>
      </c>
      <c r="AB260" s="7">
        <f>IF($AH260="","",IF(INDEX('Per Invoice'!AB$2:AB$401,$AH260)="","",INDEX('Per Invoice'!AB$2:AB$401,$AH260)))</f>
        <v/>
      </c>
      <c r="AC260" s="7">
        <f>IF($AH260="","",IF(INDEX('Per Invoice'!AC$2:AC$401,$AH260)="","",INDEX('Per Invoice'!AC$2:AC$401,$AH260)))</f>
        <v/>
      </c>
      <c r="AD260" s="7">
        <f>IF($AH260="","",IF(INDEX('Per Invoice'!AD$2:AD$401,$AH260)="","",INDEX('Per Invoice'!AD$2:AD$401,$AH260)))</f>
        <v/>
      </c>
      <c r="AE260" s="7">
        <f>IF($AH260="","",IF(INDEX('Per Invoice'!AE$2:AE$401,$AH260)="","",INDEX('Per Invoice'!AE$2:AE$401,$AH260)))</f>
        <v/>
      </c>
      <c r="AF260">
        <f>IF($AH260="","",IF(INDEX('Per Invoice'!AF$2:AF$401,$AH260)="","",INDEX('Per Invoice'!AF$2:AF$401,$AH260)))</f>
        <v/>
      </c>
      <c r="AG260" s="7">
        <f>IF($AH260="","",IF(INDEX('Per Invoice'!AG$2:AG$401,$AH260)="","",INDEX('Per Invoice'!AG$2:AG$401,$AH260)))</f>
        <v/>
      </c>
      <c r="AH260" s="16">
        <f>IFERROR(MATCH(Settings!$C$27&amp;"|"&amp;ROWS($AH$2:$AH260),'Per Invoice'!$AI$2:$AI$401,0),"")</f>
        <v/>
      </c>
    </row>
    <row r="261">
      <c r="A261">
        <f>IF($AH261="","",IF(INDEX('Per Invoice'!A$2:A$401,$AH261)="","",INDEX('Per Invoice'!A$2:A$401,$AH261)))</f>
        <v/>
      </c>
      <c r="B261">
        <f>IF($AH261="","",IF(INDEX('Per Invoice'!B$2:B$401,$AH261)="","",INDEX('Per Invoice'!B$2:B$401,$AH261)))</f>
        <v/>
      </c>
      <c r="C261">
        <f>IF($AH261="","",IF(INDEX('Per Invoice'!C$2:C$401,$AH261)="","",INDEX('Per Invoice'!C$2:C$401,$AH261)))</f>
        <v/>
      </c>
      <c r="D261">
        <f>IF($AH261="","",IF(INDEX('Per Invoice'!D$2:D$401,$AH261)="","",INDEX('Per Invoice'!D$2:D$401,$AH261)))</f>
        <v/>
      </c>
      <c r="E261">
        <f>IF($AH261="","",IF(INDEX('Per Invoice'!E$2:E$401,$AH261)="","",INDEX('Per Invoice'!E$2:E$401,$AH261)))</f>
        <v/>
      </c>
      <c r="F261">
        <f>IF($AH261="","",IF(INDEX('Per Invoice'!F$2:F$401,$AH261)="","",INDEX('Per Invoice'!F$2:F$401,$AH261)))</f>
        <v/>
      </c>
      <c r="G261">
        <f>IF($AH261="","",IF(INDEX('Per Invoice'!G$2:G$401,$AH261)="","",INDEX('Per Invoice'!G$2:G$401,$AH261)))</f>
        <v/>
      </c>
      <c r="H261">
        <f>IF($AH261="","",IF(INDEX('Per Invoice'!H$2:H$401,$AH261)="","",INDEX('Per Invoice'!H$2:H$401,$AH261)))</f>
        <v/>
      </c>
      <c r="I261" s="14">
        <f>IF($AH261="","",IF(INDEX('Per Invoice'!I$2:I$401,$AH261)="","",INDEX('Per Invoice'!I$2:I$401,$AH261)))</f>
        <v/>
      </c>
      <c r="J261">
        <f>IF($AH261="","",IF(INDEX('Per Invoice'!J$2:J$401,$AH261)="","",INDEX('Per Invoice'!J$2:J$401,$AH261)))</f>
        <v/>
      </c>
      <c r="K261">
        <f>IF($AH261="","",IF(INDEX('Per Invoice'!K$2:K$401,$AH261)="","",INDEX('Per Invoice'!K$2:K$401,$AH261)))</f>
        <v/>
      </c>
      <c r="L261">
        <f>IF($AH261="","",IF(INDEX('Per Invoice'!L$2:L$401,$AH261)="","",INDEX('Per Invoice'!L$2:L$401,$AH261)))</f>
        <v/>
      </c>
      <c r="M261">
        <f>IF($AH261="","",IF(INDEX('Per Invoice'!M$2:M$401,$AH261)="","",INDEX('Per Invoice'!M$2:M$401,$AH261)))</f>
        <v/>
      </c>
      <c r="N261">
        <f>IF($AH261="","",IF(INDEX('Per Invoice'!N$2:N$401,$AH261)="","",INDEX('Per Invoice'!N$2:N$401,$AH261)))</f>
        <v/>
      </c>
      <c r="O261">
        <f>IF($AH261="","",IF(INDEX('Per Invoice'!O$2:O$401,$AH261)="","",INDEX('Per Invoice'!O$2:O$401,$AH261)))</f>
        <v/>
      </c>
      <c r="P261" s="7">
        <f>IF($AH261="","",IF(INDEX('Per Invoice'!P$2:P$401,$AH261)="","",INDEX('Per Invoice'!P$2:P$401,$AH261)))</f>
        <v/>
      </c>
      <c r="Q261">
        <f>IF($AH261="","",IF(INDEX('Per Invoice'!Q$2:Q$401,$AH261)="","",INDEX('Per Invoice'!Q$2:Q$401,$AH261)))</f>
        <v/>
      </c>
      <c r="R261">
        <f>IF($AH261="","",IF(INDEX('Per Invoice'!R$2:R$401,$AH261)="","",INDEX('Per Invoice'!R$2:R$401,$AH261)))</f>
        <v/>
      </c>
      <c r="S261">
        <f>IF($AH261="","",IF(INDEX('Per Invoice'!S$2:S$401,$AH261)="","",INDEX('Per Invoice'!S$2:S$401,$AH261)))</f>
        <v/>
      </c>
      <c r="T261" s="7">
        <f>IF($AH261="","",IF(INDEX('Per Invoice'!T$2:T$401,$AH261)="","",INDEX('Per Invoice'!T$2:T$401,$AH261)))</f>
        <v/>
      </c>
      <c r="U261" s="7">
        <f>IF($AH261="","",IF(INDEX('Per Invoice'!U$2:U$401,$AH261)="","",INDEX('Per Invoice'!U$2:U$401,$AH261)))</f>
        <v/>
      </c>
      <c r="V261">
        <f>IF($AH261="","",IF(INDEX('Per Invoice'!V$2:V$401,$AH261)="","",INDEX('Per Invoice'!V$2:V$401,$AH261)))</f>
        <v/>
      </c>
      <c r="W261" s="7">
        <f>IF($AH261="","",IF(INDEX('Per Invoice'!W$2:W$401,$AH261)="","",INDEX('Per Invoice'!W$2:W$401,$AH261)))</f>
        <v/>
      </c>
      <c r="X261" s="7">
        <f>IF($AH261="","",IF(INDEX('Per Invoice'!X$2:X$401,$AH261)="","",INDEX('Per Invoice'!X$2:X$401,$AH261)))</f>
        <v/>
      </c>
      <c r="Y261">
        <f>IF($AH261="","",IF(INDEX('Per Invoice'!Y$2:Y$401,$AH261)="","",INDEX('Per Invoice'!Y$2:Y$401,$AH261)))</f>
        <v/>
      </c>
      <c r="Z261" s="7">
        <f>IF($AH261="","",IF(INDEX('Per Invoice'!Z$2:Z$401,$AH261)="","",INDEX('Per Invoice'!Z$2:Z$401,$AH261)))</f>
        <v/>
      </c>
      <c r="AA261" s="7">
        <f>IF($AH261="","",IF(INDEX('Per Invoice'!AA$2:AA$401,$AH261)="","",INDEX('Per Invoice'!AA$2:AA$401,$AH261)))</f>
        <v/>
      </c>
      <c r="AB261" s="7">
        <f>IF($AH261="","",IF(INDEX('Per Invoice'!AB$2:AB$401,$AH261)="","",INDEX('Per Invoice'!AB$2:AB$401,$AH261)))</f>
        <v/>
      </c>
      <c r="AC261" s="7">
        <f>IF($AH261="","",IF(INDEX('Per Invoice'!AC$2:AC$401,$AH261)="","",INDEX('Per Invoice'!AC$2:AC$401,$AH261)))</f>
        <v/>
      </c>
      <c r="AD261" s="7">
        <f>IF($AH261="","",IF(INDEX('Per Invoice'!AD$2:AD$401,$AH261)="","",INDEX('Per Invoice'!AD$2:AD$401,$AH261)))</f>
        <v/>
      </c>
      <c r="AE261" s="7">
        <f>IF($AH261="","",IF(INDEX('Per Invoice'!AE$2:AE$401,$AH261)="","",INDEX('Per Invoice'!AE$2:AE$401,$AH261)))</f>
        <v/>
      </c>
      <c r="AF261">
        <f>IF($AH261="","",IF(INDEX('Per Invoice'!AF$2:AF$401,$AH261)="","",INDEX('Per Invoice'!AF$2:AF$401,$AH261)))</f>
        <v/>
      </c>
      <c r="AG261" s="7">
        <f>IF($AH261="","",IF(INDEX('Per Invoice'!AG$2:AG$401,$AH261)="","",INDEX('Per Invoice'!AG$2:AG$401,$AH261)))</f>
        <v/>
      </c>
      <c r="AH261" s="16">
        <f>IFERROR(MATCH(Settings!$C$27&amp;"|"&amp;ROWS($AH$2:$AH261),'Per Invoice'!$AI$2:$AI$401,0),"")</f>
        <v/>
      </c>
    </row>
    <row r="262">
      <c r="A262">
        <f>IF($AH262="","",IF(INDEX('Per Invoice'!A$2:A$401,$AH262)="","",INDEX('Per Invoice'!A$2:A$401,$AH262)))</f>
        <v/>
      </c>
      <c r="B262">
        <f>IF($AH262="","",IF(INDEX('Per Invoice'!B$2:B$401,$AH262)="","",INDEX('Per Invoice'!B$2:B$401,$AH262)))</f>
        <v/>
      </c>
      <c r="C262">
        <f>IF($AH262="","",IF(INDEX('Per Invoice'!C$2:C$401,$AH262)="","",INDEX('Per Invoice'!C$2:C$401,$AH262)))</f>
        <v/>
      </c>
      <c r="D262">
        <f>IF($AH262="","",IF(INDEX('Per Invoice'!D$2:D$401,$AH262)="","",INDEX('Per Invoice'!D$2:D$401,$AH262)))</f>
        <v/>
      </c>
      <c r="E262">
        <f>IF($AH262="","",IF(INDEX('Per Invoice'!E$2:E$401,$AH262)="","",INDEX('Per Invoice'!E$2:E$401,$AH262)))</f>
        <v/>
      </c>
      <c r="F262">
        <f>IF($AH262="","",IF(INDEX('Per Invoice'!F$2:F$401,$AH262)="","",INDEX('Per Invoice'!F$2:F$401,$AH262)))</f>
        <v/>
      </c>
      <c r="G262">
        <f>IF($AH262="","",IF(INDEX('Per Invoice'!G$2:G$401,$AH262)="","",INDEX('Per Invoice'!G$2:G$401,$AH262)))</f>
        <v/>
      </c>
      <c r="H262">
        <f>IF($AH262="","",IF(INDEX('Per Invoice'!H$2:H$401,$AH262)="","",INDEX('Per Invoice'!H$2:H$401,$AH262)))</f>
        <v/>
      </c>
      <c r="I262" s="14">
        <f>IF($AH262="","",IF(INDEX('Per Invoice'!I$2:I$401,$AH262)="","",INDEX('Per Invoice'!I$2:I$401,$AH262)))</f>
        <v/>
      </c>
      <c r="J262">
        <f>IF($AH262="","",IF(INDEX('Per Invoice'!J$2:J$401,$AH262)="","",INDEX('Per Invoice'!J$2:J$401,$AH262)))</f>
        <v/>
      </c>
      <c r="K262">
        <f>IF($AH262="","",IF(INDEX('Per Invoice'!K$2:K$401,$AH262)="","",INDEX('Per Invoice'!K$2:K$401,$AH262)))</f>
        <v/>
      </c>
      <c r="L262">
        <f>IF($AH262="","",IF(INDEX('Per Invoice'!L$2:L$401,$AH262)="","",INDEX('Per Invoice'!L$2:L$401,$AH262)))</f>
        <v/>
      </c>
      <c r="M262">
        <f>IF($AH262="","",IF(INDEX('Per Invoice'!M$2:M$401,$AH262)="","",INDEX('Per Invoice'!M$2:M$401,$AH262)))</f>
        <v/>
      </c>
      <c r="N262">
        <f>IF($AH262="","",IF(INDEX('Per Invoice'!N$2:N$401,$AH262)="","",INDEX('Per Invoice'!N$2:N$401,$AH262)))</f>
        <v/>
      </c>
      <c r="O262">
        <f>IF($AH262="","",IF(INDEX('Per Invoice'!O$2:O$401,$AH262)="","",INDEX('Per Invoice'!O$2:O$401,$AH262)))</f>
        <v/>
      </c>
      <c r="P262" s="7">
        <f>IF($AH262="","",IF(INDEX('Per Invoice'!P$2:P$401,$AH262)="","",INDEX('Per Invoice'!P$2:P$401,$AH262)))</f>
        <v/>
      </c>
      <c r="Q262">
        <f>IF($AH262="","",IF(INDEX('Per Invoice'!Q$2:Q$401,$AH262)="","",INDEX('Per Invoice'!Q$2:Q$401,$AH262)))</f>
        <v/>
      </c>
      <c r="R262">
        <f>IF($AH262="","",IF(INDEX('Per Invoice'!R$2:R$401,$AH262)="","",INDEX('Per Invoice'!R$2:R$401,$AH262)))</f>
        <v/>
      </c>
      <c r="S262">
        <f>IF($AH262="","",IF(INDEX('Per Invoice'!S$2:S$401,$AH262)="","",INDEX('Per Invoice'!S$2:S$401,$AH262)))</f>
        <v/>
      </c>
      <c r="T262" s="7">
        <f>IF($AH262="","",IF(INDEX('Per Invoice'!T$2:T$401,$AH262)="","",INDEX('Per Invoice'!T$2:T$401,$AH262)))</f>
        <v/>
      </c>
      <c r="U262" s="7">
        <f>IF($AH262="","",IF(INDEX('Per Invoice'!U$2:U$401,$AH262)="","",INDEX('Per Invoice'!U$2:U$401,$AH262)))</f>
        <v/>
      </c>
      <c r="V262">
        <f>IF($AH262="","",IF(INDEX('Per Invoice'!V$2:V$401,$AH262)="","",INDEX('Per Invoice'!V$2:V$401,$AH262)))</f>
        <v/>
      </c>
      <c r="W262" s="7">
        <f>IF($AH262="","",IF(INDEX('Per Invoice'!W$2:W$401,$AH262)="","",INDEX('Per Invoice'!W$2:W$401,$AH262)))</f>
        <v/>
      </c>
      <c r="X262" s="7">
        <f>IF($AH262="","",IF(INDEX('Per Invoice'!X$2:X$401,$AH262)="","",INDEX('Per Invoice'!X$2:X$401,$AH262)))</f>
        <v/>
      </c>
      <c r="Y262">
        <f>IF($AH262="","",IF(INDEX('Per Invoice'!Y$2:Y$401,$AH262)="","",INDEX('Per Invoice'!Y$2:Y$401,$AH262)))</f>
        <v/>
      </c>
      <c r="Z262" s="7">
        <f>IF($AH262="","",IF(INDEX('Per Invoice'!Z$2:Z$401,$AH262)="","",INDEX('Per Invoice'!Z$2:Z$401,$AH262)))</f>
        <v/>
      </c>
      <c r="AA262" s="7">
        <f>IF($AH262="","",IF(INDEX('Per Invoice'!AA$2:AA$401,$AH262)="","",INDEX('Per Invoice'!AA$2:AA$401,$AH262)))</f>
        <v/>
      </c>
      <c r="AB262" s="7">
        <f>IF($AH262="","",IF(INDEX('Per Invoice'!AB$2:AB$401,$AH262)="","",INDEX('Per Invoice'!AB$2:AB$401,$AH262)))</f>
        <v/>
      </c>
      <c r="AC262" s="7">
        <f>IF($AH262="","",IF(INDEX('Per Invoice'!AC$2:AC$401,$AH262)="","",INDEX('Per Invoice'!AC$2:AC$401,$AH262)))</f>
        <v/>
      </c>
      <c r="AD262" s="7">
        <f>IF($AH262="","",IF(INDEX('Per Invoice'!AD$2:AD$401,$AH262)="","",INDEX('Per Invoice'!AD$2:AD$401,$AH262)))</f>
        <v/>
      </c>
      <c r="AE262" s="7">
        <f>IF($AH262="","",IF(INDEX('Per Invoice'!AE$2:AE$401,$AH262)="","",INDEX('Per Invoice'!AE$2:AE$401,$AH262)))</f>
        <v/>
      </c>
      <c r="AF262">
        <f>IF($AH262="","",IF(INDEX('Per Invoice'!AF$2:AF$401,$AH262)="","",INDEX('Per Invoice'!AF$2:AF$401,$AH262)))</f>
        <v/>
      </c>
      <c r="AG262" s="7">
        <f>IF($AH262="","",IF(INDEX('Per Invoice'!AG$2:AG$401,$AH262)="","",INDEX('Per Invoice'!AG$2:AG$401,$AH262)))</f>
        <v/>
      </c>
      <c r="AH262" s="16">
        <f>IFERROR(MATCH(Settings!$C$27&amp;"|"&amp;ROWS($AH$2:$AH262),'Per Invoice'!$AI$2:$AI$401,0),"")</f>
        <v/>
      </c>
    </row>
    <row r="263">
      <c r="A263">
        <f>IF($AH263="","",IF(INDEX('Per Invoice'!A$2:A$401,$AH263)="","",INDEX('Per Invoice'!A$2:A$401,$AH263)))</f>
        <v/>
      </c>
      <c r="B263">
        <f>IF($AH263="","",IF(INDEX('Per Invoice'!B$2:B$401,$AH263)="","",INDEX('Per Invoice'!B$2:B$401,$AH263)))</f>
        <v/>
      </c>
      <c r="C263">
        <f>IF($AH263="","",IF(INDEX('Per Invoice'!C$2:C$401,$AH263)="","",INDEX('Per Invoice'!C$2:C$401,$AH263)))</f>
        <v/>
      </c>
      <c r="D263">
        <f>IF($AH263="","",IF(INDEX('Per Invoice'!D$2:D$401,$AH263)="","",INDEX('Per Invoice'!D$2:D$401,$AH263)))</f>
        <v/>
      </c>
      <c r="E263">
        <f>IF($AH263="","",IF(INDEX('Per Invoice'!E$2:E$401,$AH263)="","",INDEX('Per Invoice'!E$2:E$401,$AH263)))</f>
        <v/>
      </c>
      <c r="F263">
        <f>IF($AH263="","",IF(INDEX('Per Invoice'!F$2:F$401,$AH263)="","",INDEX('Per Invoice'!F$2:F$401,$AH263)))</f>
        <v/>
      </c>
      <c r="G263">
        <f>IF($AH263="","",IF(INDEX('Per Invoice'!G$2:G$401,$AH263)="","",INDEX('Per Invoice'!G$2:G$401,$AH263)))</f>
        <v/>
      </c>
      <c r="H263">
        <f>IF($AH263="","",IF(INDEX('Per Invoice'!H$2:H$401,$AH263)="","",INDEX('Per Invoice'!H$2:H$401,$AH263)))</f>
        <v/>
      </c>
      <c r="I263" s="14">
        <f>IF($AH263="","",IF(INDEX('Per Invoice'!I$2:I$401,$AH263)="","",INDEX('Per Invoice'!I$2:I$401,$AH263)))</f>
        <v/>
      </c>
      <c r="J263">
        <f>IF($AH263="","",IF(INDEX('Per Invoice'!J$2:J$401,$AH263)="","",INDEX('Per Invoice'!J$2:J$401,$AH263)))</f>
        <v/>
      </c>
      <c r="K263">
        <f>IF($AH263="","",IF(INDEX('Per Invoice'!K$2:K$401,$AH263)="","",INDEX('Per Invoice'!K$2:K$401,$AH263)))</f>
        <v/>
      </c>
      <c r="L263">
        <f>IF($AH263="","",IF(INDEX('Per Invoice'!L$2:L$401,$AH263)="","",INDEX('Per Invoice'!L$2:L$401,$AH263)))</f>
        <v/>
      </c>
      <c r="M263">
        <f>IF($AH263="","",IF(INDEX('Per Invoice'!M$2:M$401,$AH263)="","",INDEX('Per Invoice'!M$2:M$401,$AH263)))</f>
        <v/>
      </c>
      <c r="N263">
        <f>IF($AH263="","",IF(INDEX('Per Invoice'!N$2:N$401,$AH263)="","",INDEX('Per Invoice'!N$2:N$401,$AH263)))</f>
        <v/>
      </c>
      <c r="O263">
        <f>IF($AH263="","",IF(INDEX('Per Invoice'!O$2:O$401,$AH263)="","",INDEX('Per Invoice'!O$2:O$401,$AH263)))</f>
        <v/>
      </c>
      <c r="P263" s="7">
        <f>IF($AH263="","",IF(INDEX('Per Invoice'!P$2:P$401,$AH263)="","",INDEX('Per Invoice'!P$2:P$401,$AH263)))</f>
        <v/>
      </c>
      <c r="Q263">
        <f>IF($AH263="","",IF(INDEX('Per Invoice'!Q$2:Q$401,$AH263)="","",INDEX('Per Invoice'!Q$2:Q$401,$AH263)))</f>
        <v/>
      </c>
      <c r="R263">
        <f>IF($AH263="","",IF(INDEX('Per Invoice'!R$2:R$401,$AH263)="","",INDEX('Per Invoice'!R$2:R$401,$AH263)))</f>
        <v/>
      </c>
      <c r="S263">
        <f>IF($AH263="","",IF(INDEX('Per Invoice'!S$2:S$401,$AH263)="","",INDEX('Per Invoice'!S$2:S$401,$AH263)))</f>
        <v/>
      </c>
      <c r="T263" s="7">
        <f>IF($AH263="","",IF(INDEX('Per Invoice'!T$2:T$401,$AH263)="","",INDEX('Per Invoice'!T$2:T$401,$AH263)))</f>
        <v/>
      </c>
      <c r="U263" s="7">
        <f>IF($AH263="","",IF(INDEX('Per Invoice'!U$2:U$401,$AH263)="","",INDEX('Per Invoice'!U$2:U$401,$AH263)))</f>
        <v/>
      </c>
      <c r="V263">
        <f>IF($AH263="","",IF(INDEX('Per Invoice'!V$2:V$401,$AH263)="","",INDEX('Per Invoice'!V$2:V$401,$AH263)))</f>
        <v/>
      </c>
      <c r="W263" s="7">
        <f>IF($AH263="","",IF(INDEX('Per Invoice'!W$2:W$401,$AH263)="","",INDEX('Per Invoice'!W$2:W$401,$AH263)))</f>
        <v/>
      </c>
      <c r="X263" s="7">
        <f>IF($AH263="","",IF(INDEX('Per Invoice'!X$2:X$401,$AH263)="","",INDEX('Per Invoice'!X$2:X$401,$AH263)))</f>
        <v/>
      </c>
      <c r="Y263">
        <f>IF($AH263="","",IF(INDEX('Per Invoice'!Y$2:Y$401,$AH263)="","",INDEX('Per Invoice'!Y$2:Y$401,$AH263)))</f>
        <v/>
      </c>
      <c r="Z263" s="7">
        <f>IF($AH263="","",IF(INDEX('Per Invoice'!Z$2:Z$401,$AH263)="","",INDEX('Per Invoice'!Z$2:Z$401,$AH263)))</f>
        <v/>
      </c>
      <c r="AA263" s="7">
        <f>IF($AH263="","",IF(INDEX('Per Invoice'!AA$2:AA$401,$AH263)="","",INDEX('Per Invoice'!AA$2:AA$401,$AH263)))</f>
        <v/>
      </c>
      <c r="AB263" s="7">
        <f>IF($AH263="","",IF(INDEX('Per Invoice'!AB$2:AB$401,$AH263)="","",INDEX('Per Invoice'!AB$2:AB$401,$AH263)))</f>
        <v/>
      </c>
      <c r="AC263" s="7">
        <f>IF($AH263="","",IF(INDEX('Per Invoice'!AC$2:AC$401,$AH263)="","",INDEX('Per Invoice'!AC$2:AC$401,$AH263)))</f>
        <v/>
      </c>
      <c r="AD263" s="7">
        <f>IF($AH263="","",IF(INDEX('Per Invoice'!AD$2:AD$401,$AH263)="","",INDEX('Per Invoice'!AD$2:AD$401,$AH263)))</f>
        <v/>
      </c>
      <c r="AE263" s="7">
        <f>IF($AH263="","",IF(INDEX('Per Invoice'!AE$2:AE$401,$AH263)="","",INDEX('Per Invoice'!AE$2:AE$401,$AH263)))</f>
        <v/>
      </c>
      <c r="AF263">
        <f>IF($AH263="","",IF(INDEX('Per Invoice'!AF$2:AF$401,$AH263)="","",INDEX('Per Invoice'!AF$2:AF$401,$AH263)))</f>
        <v/>
      </c>
      <c r="AG263" s="7">
        <f>IF($AH263="","",IF(INDEX('Per Invoice'!AG$2:AG$401,$AH263)="","",INDEX('Per Invoice'!AG$2:AG$401,$AH263)))</f>
        <v/>
      </c>
      <c r="AH263" s="16">
        <f>IFERROR(MATCH(Settings!$C$27&amp;"|"&amp;ROWS($AH$2:$AH263),'Per Invoice'!$AI$2:$AI$401,0),"")</f>
        <v/>
      </c>
    </row>
    <row r="264">
      <c r="A264">
        <f>IF($AH264="","",IF(INDEX('Per Invoice'!A$2:A$401,$AH264)="","",INDEX('Per Invoice'!A$2:A$401,$AH264)))</f>
        <v/>
      </c>
      <c r="B264">
        <f>IF($AH264="","",IF(INDEX('Per Invoice'!B$2:B$401,$AH264)="","",INDEX('Per Invoice'!B$2:B$401,$AH264)))</f>
        <v/>
      </c>
      <c r="C264">
        <f>IF($AH264="","",IF(INDEX('Per Invoice'!C$2:C$401,$AH264)="","",INDEX('Per Invoice'!C$2:C$401,$AH264)))</f>
        <v/>
      </c>
      <c r="D264">
        <f>IF($AH264="","",IF(INDEX('Per Invoice'!D$2:D$401,$AH264)="","",INDEX('Per Invoice'!D$2:D$401,$AH264)))</f>
        <v/>
      </c>
      <c r="E264">
        <f>IF($AH264="","",IF(INDEX('Per Invoice'!E$2:E$401,$AH264)="","",INDEX('Per Invoice'!E$2:E$401,$AH264)))</f>
        <v/>
      </c>
      <c r="F264">
        <f>IF($AH264="","",IF(INDEX('Per Invoice'!F$2:F$401,$AH264)="","",INDEX('Per Invoice'!F$2:F$401,$AH264)))</f>
        <v/>
      </c>
      <c r="G264">
        <f>IF($AH264="","",IF(INDEX('Per Invoice'!G$2:G$401,$AH264)="","",INDEX('Per Invoice'!G$2:G$401,$AH264)))</f>
        <v/>
      </c>
      <c r="H264">
        <f>IF($AH264="","",IF(INDEX('Per Invoice'!H$2:H$401,$AH264)="","",INDEX('Per Invoice'!H$2:H$401,$AH264)))</f>
        <v/>
      </c>
      <c r="I264" s="14">
        <f>IF($AH264="","",IF(INDEX('Per Invoice'!I$2:I$401,$AH264)="","",INDEX('Per Invoice'!I$2:I$401,$AH264)))</f>
        <v/>
      </c>
      <c r="J264">
        <f>IF($AH264="","",IF(INDEX('Per Invoice'!J$2:J$401,$AH264)="","",INDEX('Per Invoice'!J$2:J$401,$AH264)))</f>
        <v/>
      </c>
      <c r="K264">
        <f>IF($AH264="","",IF(INDEX('Per Invoice'!K$2:K$401,$AH264)="","",INDEX('Per Invoice'!K$2:K$401,$AH264)))</f>
        <v/>
      </c>
      <c r="L264">
        <f>IF($AH264="","",IF(INDEX('Per Invoice'!L$2:L$401,$AH264)="","",INDEX('Per Invoice'!L$2:L$401,$AH264)))</f>
        <v/>
      </c>
      <c r="M264">
        <f>IF($AH264="","",IF(INDEX('Per Invoice'!M$2:M$401,$AH264)="","",INDEX('Per Invoice'!M$2:M$401,$AH264)))</f>
        <v/>
      </c>
      <c r="N264">
        <f>IF($AH264="","",IF(INDEX('Per Invoice'!N$2:N$401,$AH264)="","",INDEX('Per Invoice'!N$2:N$401,$AH264)))</f>
        <v/>
      </c>
      <c r="O264">
        <f>IF($AH264="","",IF(INDEX('Per Invoice'!O$2:O$401,$AH264)="","",INDEX('Per Invoice'!O$2:O$401,$AH264)))</f>
        <v/>
      </c>
      <c r="P264" s="7">
        <f>IF($AH264="","",IF(INDEX('Per Invoice'!P$2:P$401,$AH264)="","",INDEX('Per Invoice'!P$2:P$401,$AH264)))</f>
        <v/>
      </c>
      <c r="Q264">
        <f>IF($AH264="","",IF(INDEX('Per Invoice'!Q$2:Q$401,$AH264)="","",INDEX('Per Invoice'!Q$2:Q$401,$AH264)))</f>
        <v/>
      </c>
      <c r="R264">
        <f>IF($AH264="","",IF(INDEX('Per Invoice'!R$2:R$401,$AH264)="","",INDEX('Per Invoice'!R$2:R$401,$AH264)))</f>
        <v/>
      </c>
      <c r="S264">
        <f>IF($AH264="","",IF(INDEX('Per Invoice'!S$2:S$401,$AH264)="","",INDEX('Per Invoice'!S$2:S$401,$AH264)))</f>
        <v/>
      </c>
      <c r="T264" s="7">
        <f>IF($AH264="","",IF(INDEX('Per Invoice'!T$2:T$401,$AH264)="","",INDEX('Per Invoice'!T$2:T$401,$AH264)))</f>
        <v/>
      </c>
      <c r="U264" s="7">
        <f>IF($AH264="","",IF(INDEX('Per Invoice'!U$2:U$401,$AH264)="","",INDEX('Per Invoice'!U$2:U$401,$AH264)))</f>
        <v/>
      </c>
      <c r="V264">
        <f>IF($AH264="","",IF(INDEX('Per Invoice'!V$2:V$401,$AH264)="","",INDEX('Per Invoice'!V$2:V$401,$AH264)))</f>
        <v/>
      </c>
      <c r="W264" s="7">
        <f>IF($AH264="","",IF(INDEX('Per Invoice'!W$2:W$401,$AH264)="","",INDEX('Per Invoice'!W$2:W$401,$AH264)))</f>
        <v/>
      </c>
      <c r="X264" s="7">
        <f>IF($AH264="","",IF(INDEX('Per Invoice'!X$2:X$401,$AH264)="","",INDEX('Per Invoice'!X$2:X$401,$AH264)))</f>
        <v/>
      </c>
      <c r="Y264">
        <f>IF($AH264="","",IF(INDEX('Per Invoice'!Y$2:Y$401,$AH264)="","",INDEX('Per Invoice'!Y$2:Y$401,$AH264)))</f>
        <v/>
      </c>
      <c r="Z264" s="7">
        <f>IF($AH264="","",IF(INDEX('Per Invoice'!Z$2:Z$401,$AH264)="","",INDEX('Per Invoice'!Z$2:Z$401,$AH264)))</f>
        <v/>
      </c>
      <c r="AA264" s="7">
        <f>IF($AH264="","",IF(INDEX('Per Invoice'!AA$2:AA$401,$AH264)="","",INDEX('Per Invoice'!AA$2:AA$401,$AH264)))</f>
        <v/>
      </c>
      <c r="AB264" s="7">
        <f>IF($AH264="","",IF(INDEX('Per Invoice'!AB$2:AB$401,$AH264)="","",INDEX('Per Invoice'!AB$2:AB$401,$AH264)))</f>
        <v/>
      </c>
      <c r="AC264" s="7">
        <f>IF($AH264="","",IF(INDEX('Per Invoice'!AC$2:AC$401,$AH264)="","",INDEX('Per Invoice'!AC$2:AC$401,$AH264)))</f>
        <v/>
      </c>
      <c r="AD264" s="7">
        <f>IF($AH264="","",IF(INDEX('Per Invoice'!AD$2:AD$401,$AH264)="","",INDEX('Per Invoice'!AD$2:AD$401,$AH264)))</f>
        <v/>
      </c>
      <c r="AE264" s="7">
        <f>IF($AH264="","",IF(INDEX('Per Invoice'!AE$2:AE$401,$AH264)="","",INDEX('Per Invoice'!AE$2:AE$401,$AH264)))</f>
        <v/>
      </c>
      <c r="AF264">
        <f>IF($AH264="","",IF(INDEX('Per Invoice'!AF$2:AF$401,$AH264)="","",INDEX('Per Invoice'!AF$2:AF$401,$AH264)))</f>
        <v/>
      </c>
      <c r="AG264" s="7">
        <f>IF($AH264="","",IF(INDEX('Per Invoice'!AG$2:AG$401,$AH264)="","",INDEX('Per Invoice'!AG$2:AG$401,$AH264)))</f>
        <v/>
      </c>
      <c r="AH264" s="16">
        <f>IFERROR(MATCH(Settings!$C$27&amp;"|"&amp;ROWS($AH$2:$AH264),'Per Invoice'!$AI$2:$AI$401,0),"")</f>
        <v/>
      </c>
    </row>
    <row r="265">
      <c r="A265">
        <f>IF($AH265="","",IF(INDEX('Per Invoice'!A$2:A$401,$AH265)="","",INDEX('Per Invoice'!A$2:A$401,$AH265)))</f>
        <v/>
      </c>
      <c r="B265">
        <f>IF($AH265="","",IF(INDEX('Per Invoice'!B$2:B$401,$AH265)="","",INDEX('Per Invoice'!B$2:B$401,$AH265)))</f>
        <v/>
      </c>
      <c r="C265">
        <f>IF($AH265="","",IF(INDEX('Per Invoice'!C$2:C$401,$AH265)="","",INDEX('Per Invoice'!C$2:C$401,$AH265)))</f>
        <v/>
      </c>
      <c r="D265">
        <f>IF($AH265="","",IF(INDEX('Per Invoice'!D$2:D$401,$AH265)="","",INDEX('Per Invoice'!D$2:D$401,$AH265)))</f>
        <v/>
      </c>
      <c r="E265">
        <f>IF($AH265="","",IF(INDEX('Per Invoice'!E$2:E$401,$AH265)="","",INDEX('Per Invoice'!E$2:E$401,$AH265)))</f>
        <v/>
      </c>
      <c r="F265">
        <f>IF($AH265="","",IF(INDEX('Per Invoice'!F$2:F$401,$AH265)="","",INDEX('Per Invoice'!F$2:F$401,$AH265)))</f>
        <v/>
      </c>
      <c r="G265">
        <f>IF($AH265="","",IF(INDEX('Per Invoice'!G$2:G$401,$AH265)="","",INDEX('Per Invoice'!G$2:G$401,$AH265)))</f>
        <v/>
      </c>
      <c r="H265">
        <f>IF($AH265="","",IF(INDEX('Per Invoice'!H$2:H$401,$AH265)="","",INDEX('Per Invoice'!H$2:H$401,$AH265)))</f>
        <v/>
      </c>
      <c r="I265" s="14">
        <f>IF($AH265="","",IF(INDEX('Per Invoice'!I$2:I$401,$AH265)="","",INDEX('Per Invoice'!I$2:I$401,$AH265)))</f>
        <v/>
      </c>
      <c r="J265">
        <f>IF($AH265="","",IF(INDEX('Per Invoice'!J$2:J$401,$AH265)="","",INDEX('Per Invoice'!J$2:J$401,$AH265)))</f>
        <v/>
      </c>
      <c r="K265">
        <f>IF($AH265="","",IF(INDEX('Per Invoice'!K$2:K$401,$AH265)="","",INDEX('Per Invoice'!K$2:K$401,$AH265)))</f>
        <v/>
      </c>
      <c r="L265">
        <f>IF($AH265="","",IF(INDEX('Per Invoice'!L$2:L$401,$AH265)="","",INDEX('Per Invoice'!L$2:L$401,$AH265)))</f>
        <v/>
      </c>
      <c r="M265">
        <f>IF($AH265="","",IF(INDEX('Per Invoice'!M$2:M$401,$AH265)="","",INDEX('Per Invoice'!M$2:M$401,$AH265)))</f>
        <v/>
      </c>
      <c r="N265">
        <f>IF($AH265="","",IF(INDEX('Per Invoice'!N$2:N$401,$AH265)="","",INDEX('Per Invoice'!N$2:N$401,$AH265)))</f>
        <v/>
      </c>
      <c r="O265">
        <f>IF($AH265="","",IF(INDEX('Per Invoice'!O$2:O$401,$AH265)="","",INDEX('Per Invoice'!O$2:O$401,$AH265)))</f>
        <v/>
      </c>
      <c r="P265" s="7">
        <f>IF($AH265="","",IF(INDEX('Per Invoice'!P$2:P$401,$AH265)="","",INDEX('Per Invoice'!P$2:P$401,$AH265)))</f>
        <v/>
      </c>
      <c r="Q265">
        <f>IF($AH265="","",IF(INDEX('Per Invoice'!Q$2:Q$401,$AH265)="","",INDEX('Per Invoice'!Q$2:Q$401,$AH265)))</f>
        <v/>
      </c>
      <c r="R265">
        <f>IF($AH265="","",IF(INDEX('Per Invoice'!R$2:R$401,$AH265)="","",INDEX('Per Invoice'!R$2:R$401,$AH265)))</f>
        <v/>
      </c>
      <c r="S265">
        <f>IF($AH265="","",IF(INDEX('Per Invoice'!S$2:S$401,$AH265)="","",INDEX('Per Invoice'!S$2:S$401,$AH265)))</f>
        <v/>
      </c>
      <c r="T265" s="7">
        <f>IF($AH265="","",IF(INDEX('Per Invoice'!T$2:T$401,$AH265)="","",INDEX('Per Invoice'!T$2:T$401,$AH265)))</f>
        <v/>
      </c>
      <c r="U265" s="7">
        <f>IF($AH265="","",IF(INDEX('Per Invoice'!U$2:U$401,$AH265)="","",INDEX('Per Invoice'!U$2:U$401,$AH265)))</f>
        <v/>
      </c>
      <c r="V265">
        <f>IF($AH265="","",IF(INDEX('Per Invoice'!V$2:V$401,$AH265)="","",INDEX('Per Invoice'!V$2:V$401,$AH265)))</f>
        <v/>
      </c>
      <c r="W265" s="7">
        <f>IF($AH265="","",IF(INDEX('Per Invoice'!W$2:W$401,$AH265)="","",INDEX('Per Invoice'!W$2:W$401,$AH265)))</f>
        <v/>
      </c>
      <c r="X265" s="7">
        <f>IF($AH265="","",IF(INDEX('Per Invoice'!X$2:X$401,$AH265)="","",INDEX('Per Invoice'!X$2:X$401,$AH265)))</f>
        <v/>
      </c>
      <c r="Y265">
        <f>IF($AH265="","",IF(INDEX('Per Invoice'!Y$2:Y$401,$AH265)="","",INDEX('Per Invoice'!Y$2:Y$401,$AH265)))</f>
        <v/>
      </c>
      <c r="Z265" s="7">
        <f>IF($AH265="","",IF(INDEX('Per Invoice'!Z$2:Z$401,$AH265)="","",INDEX('Per Invoice'!Z$2:Z$401,$AH265)))</f>
        <v/>
      </c>
      <c r="AA265" s="7">
        <f>IF($AH265="","",IF(INDEX('Per Invoice'!AA$2:AA$401,$AH265)="","",INDEX('Per Invoice'!AA$2:AA$401,$AH265)))</f>
        <v/>
      </c>
      <c r="AB265" s="7">
        <f>IF($AH265="","",IF(INDEX('Per Invoice'!AB$2:AB$401,$AH265)="","",INDEX('Per Invoice'!AB$2:AB$401,$AH265)))</f>
        <v/>
      </c>
      <c r="AC265" s="7">
        <f>IF($AH265="","",IF(INDEX('Per Invoice'!AC$2:AC$401,$AH265)="","",INDEX('Per Invoice'!AC$2:AC$401,$AH265)))</f>
        <v/>
      </c>
      <c r="AD265" s="7">
        <f>IF($AH265="","",IF(INDEX('Per Invoice'!AD$2:AD$401,$AH265)="","",INDEX('Per Invoice'!AD$2:AD$401,$AH265)))</f>
        <v/>
      </c>
      <c r="AE265" s="7">
        <f>IF($AH265="","",IF(INDEX('Per Invoice'!AE$2:AE$401,$AH265)="","",INDEX('Per Invoice'!AE$2:AE$401,$AH265)))</f>
        <v/>
      </c>
      <c r="AF265">
        <f>IF($AH265="","",IF(INDEX('Per Invoice'!AF$2:AF$401,$AH265)="","",INDEX('Per Invoice'!AF$2:AF$401,$AH265)))</f>
        <v/>
      </c>
      <c r="AG265" s="7">
        <f>IF($AH265="","",IF(INDEX('Per Invoice'!AG$2:AG$401,$AH265)="","",INDEX('Per Invoice'!AG$2:AG$401,$AH265)))</f>
        <v/>
      </c>
      <c r="AH265" s="16">
        <f>IFERROR(MATCH(Settings!$C$27&amp;"|"&amp;ROWS($AH$2:$AH265),'Per Invoice'!$AI$2:$AI$401,0),"")</f>
        <v/>
      </c>
    </row>
    <row r="266">
      <c r="A266">
        <f>IF($AH266="","",IF(INDEX('Per Invoice'!A$2:A$401,$AH266)="","",INDEX('Per Invoice'!A$2:A$401,$AH266)))</f>
        <v/>
      </c>
      <c r="B266">
        <f>IF($AH266="","",IF(INDEX('Per Invoice'!B$2:B$401,$AH266)="","",INDEX('Per Invoice'!B$2:B$401,$AH266)))</f>
        <v/>
      </c>
      <c r="C266">
        <f>IF($AH266="","",IF(INDEX('Per Invoice'!C$2:C$401,$AH266)="","",INDEX('Per Invoice'!C$2:C$401,$AH266)))</f>
        <v/>
      </c>
      <c r="D266">
        <f>IF($AH266="","",IF(INDEX('Per Invoice'!D$2:D$401,$AH266)="","",INDEX('Per Invoice'!D$2:D$401,$AH266)))</f>
        <v/>
      </c>
      <c r="E266">
        <f>IF($AH266="","",IF(INDEX('Per Invoice'!E$2:E$401,$AH266)="","",INDEX('Per Invoice'!E$2:E$401,$AH266)))</f>
        <v/>
      </c>
      <c r="F266">
        <f>IF($AH266="","",IF(INDEX('Per Invoice'!F$2:F$401,$AH266)="","",INDEX('Per Invoice'!F$2:F$401,$AH266)))</f>
        <v/>
      </c>
      <c r="G266">
        <f>IF($AH266="","",IF(INDEX('Per Invoice'!G$2:G$401,$AH266)="","",INDEX('Per Invoice'!G$2:G$401,$AH266)))</f>
        <v/>
      </c>
      <c r="H266">
        <f>IF($AH266="","",IF(INDEX('Per Invoice'!H$2:H$401,$AH266)="","",INDEX('Per Invoice'!H$2:H$401,$AH266)))</f>
        <v/>
      </c>
      <c r="I266" s="14">
        <f>IF($AH266="","",IF(INDEX('Per Invoice'!I$2:I$401,$AH266)="","",INDEX('Per Invoice'!I$2:I$401,$AH266)))</f>
        <v/>
      </c>
      <c r="J266">
        <f>IF($AH266="","",IF(INDEX('Per Invoice'!J$2:J$401,$AH266)="","",INDEX('Per Invoice'!J$2:J$401,$AH266)))</f>
        <v/>
      </c>
      <c r="K266">
        <f>IF($AH266="","",IF(INDEX('Per Invoice'!K$2:K$401,$AH266)="","",INDEX('Per Invoice'!K$2:K$401,$AH266)))</f>
        <v/>
      </c>
      <c r="L266">
        <f>IF($AH266="","",IF(INDEX('Per Invoice'!L$2:L$401,$AH266)="","",INDEX('Per Invoice'!L$2:L$401,$AH266)))</f>
        <v/>
      </c>
      <c r="M266">
        <f>IF($AH266="","",IF(INDEX('Per Invoice'!M$2:M$401,$AH266)="","",INDEX('Per Invoice'!M$2:M$401,$AH266)))</f>
        <v/>
      </c>
      <c r="N266">
        <f>IF($AH266="","",IF(INDEX('Per Invoice'!N$2:N$401,$AH266)="","",INDEX('Per Invoice'!N$2:N$401,$AH266)))</f>
        <v/>
      </c>
      <c r="O266">
        <f>IF($AH266="","",IF(INDEX('Per Invoice'!O$2:O$401,$AH266)="","",INDEX('Per Invoice'!O$2:O$401,$AH266)))</f>
        <v/>
      </c>
      <c r="P266" s="7">
        <f>IF($AH266="","",IF(INDEX('Per Invoice'!P$2:P$401,$AH266)="","",INDEX('Per Invoice'!P$2:P$401,$AH266)))</f>
        <v/>
      </c>
      <c r="Q266">
        <f>IF($AH266="","",IF(INDEX('Per Invoice'!Q$2:Q$401,$AH266)="","",INDEX('Per Invoice'!Q$2:Q$401,$AH266)))</f>
        <v/>
      </c>
      <c r="R266">
        <f>IF($AH266="","",IF(INDEX('Per Invoice'!R$2:R$401,$AH266)="","",INDEX('Per Invoice'!R$2:R$401,$AH266)))</f>
        <v/>
      </c>
      <c r="S266">
        <f>IF($AH266="","",IF(INDEX('Per Invoice'!S$2:S$401,$AH266)="","",INDEX('Per Invoice'!S$2:S$401,$AH266)))</f>
        <v/>
      </c>
      <c r="T266" s="7">
        <f>IF($AH266="","",IF(INDEX('Per Invoice'!T$2:T$401,$AH266)="","",INDEX('Per Invoice'!T$2:T$401,$AH266)))</f>
        <v/>
      </c>
      <c r="U266" s="7">
        <f>IF($AH266="","",IF(INDEX('Per Invoice'!U$2:U$401,$AH266)="","",INDEX('Per Invoice'!U$2:U$401,$AH266)))</f>
        <v/>
      </c>
      <c r="V266">
        <f>IF($AH266="","",IF(INDEX('Per Invoice'!V$2:V$401,$AH266)="","",INDEX('Per Invoice'!V$2:V$401,$AH266)))</f>
        <v/>
      </c>
      <c r="W266" s="7">
        <f>IF($AH266="","",IF(INDEX('Per Invoice'!W$2:W$401,$AH266)="","",INDEX('Per Invoice'!W$2:W$401,$AH266)))</f>
        <v/>
      </c>
      <c r="X266" s="7">
        <f>IF($AH266="","",IF(INDEX('Per Invoice'!X$2:X$401,$AH266)="","",INDEX('Per Invoice'!X$2:X$401,$AH266)))</f>
        <v/>
      </c>
      <c r="Y266">
        <f>IF($AH266="","",IF(INDEX('Per Invoice'!Y$2:Y$401,$AH266)="","",INDEX('Per Invoice'!Y$2:Y$401,$AH266)))</f>
        <v/>
      </c>
      <c r="Z266" s="7">
        <f>IF($AH266="","",IF(INDEX('Per Invoice'!Z$2:Z$401,$AH266)="","",INDEX('Per Invoice'!Z$2:Z$401,$AH266)))</f>
        <v/>
      </c>
      <c r="AA266" s="7">
        <f>IF($AH266="","",IF(INDEX('Per Invoice'!AA$2:AA$401,$AH266)="","",INDEX('Per Invoice'!AA$2:AA$401,$AH266)))</f>
        <v/>
      </c>
      <c r="AB266" s="7">
        <f>IF($AH266="","",IF(INDEX('Per Invoice'!AB$2:AB$401,$AH266)="","",INDEX('Per Invoice'!AB$2:AB$401,$AH266)))</f>
        <v/>
      </c>
      <c r="AC266" s="7">
        <f>IF($AH266="","",IF(INDEX('Per Invoice'!AC$2:AC$401,$AH266)="","",INDEX('Per Invoice'!AC$2:AC$401,$AH266)))</f>
        <v/>
      </c>
      <c r="AD266" s="7">
        <f>IF($AH266="","",IF(INDEX('Per Invoice'!AD$2:AD$401,$AH266)="","",INDEX('Per Invoice'!AD$2:AD$401,$AH266)))</f>
        <v/>
      </c>
      <c r="AE266" s="7">
        <f>IF($AH266="","",IF(INDEX('Per Invoice'!AE$2:AE$401,$AH266)="","",INDEX('Per Invoice'!AE$2:AE$401,$AH266)))</f>
        <v/>
      </c>
      <c r="AF266">
        <f>IF($AH266="","",IF(INDEX('Per Invoice'!AF$2:AF$401,$AH266)="","",INDEX('Per Invoice'!AF$2:AF$401,$AH266)))</f>
        <v/>
      </c>
      <c r="AG266" s="7">
        <f>IF($AH266="","",IF(INDEX('Per Invoice'!AG$2:AG$401,$AH266)="","",INDEX('Per Invoice'!AG$2:AG$401,$AH266)))</f>
        <v/>
      </c>
      <c r="AH266" s="16">
        <f>IFERROR(MATCH(Settings!$C$27&amp;"|"&amp;ROWS($AH$2:$AH266),'Per Invoice'!$AI$2:$AI$401,0),"")</f>
        <v/>
      </c>
    </row>
    <row r="267">
      <c r="A267">
        <f>IF($AH267="","",IF(INDEX('Per Invoice'!A$2:A$401,$AH267)="","",INDEX('Per Invoice'!A$2:A$401,$AH267)))</f>
        <v/>
      </c>
      <c r="B267">
        <f>IF($AH267="","",IF(INDEX('Per Invoice'!B$2:B$401,$AH267)="","",INDEX('Per Invoice'!B$2:B$401,$AH267)))</f>
        <v/>
      </c>
      <c r="C267">
        <f>IF($AH267="","",IF(INDEX('Per Invoice'!C$2:C$401,$AH267)="","",INDEX('Per Invoice'!C$2:C$401,$AH267)))</f>
        <v/>
      </c>
      <c r="D267">
        <f>IF($AH267="","",IF(INDEX('Per Invoice'!D$2:D$401,$AH267)="","",INDEX('Per Invoice'!D$2:D$401,$AH267)))</f>
        <v/>
      </c>
      <c r="E267">
        <f>IF($AH267="","",IF(INDEX('Per Invoice'!E$2:E$401,$AH267)="","",INDEX('Per Invoice'!E$2:E$401,$AH267)))</f>
        <v/>
      </c>
      <c r="F267">
        <f>IF($AH267="","",IF(INDEX('Per Invoice'!F$2:F$401,$AH267)="","",INDEX('Per Invoice'!F$2:F$401,$AH267)))</f>
        <v/>
      </c>
      <c r="G267">
        <f>IF($AH267="","",IF(INDEX('Per Invoice'!G$2:G$401,$AH267)="","",INDEX('Per Invoice'!G$2:G$401,$AH267)))</f>
        <v/>
      </c>
      <c r="H267">
        <f>IF($AH267="","",IF(INDEX('Per Invoice'!H$2:H$401,$AH267)="","",INDEX('Per Invoice'!H$2:H$401,$AH267)))</f>
        <v/>
      </c>
      <c r="I267" s="14">
        <f>IF($AH267="","",IF(INDEX('Per Invoice'!I$2:I$401,$AH267)="","",INDEX('Per Invoice'!I$2:I$401,$AH267)))</f>
        <v/>
      </c>
      <c r="J267">
        <f>IF($AH267="","",IF(INDEX('Per Invoice'!J$2:J$401,$AH267)="","",INDEX('Per Invoice'!J$2:J$401,$AH267)))</f>
        <v/>
      </c>
      <c r="K267">
        <f>IF($AH267="","",IF(INDEX('Per Invoice'!K$2:K$401,$AH267)="","",INDEX('Per Invoice'!K$2:K$401,$AH267)))</f>
        <v/>
      </c>
      <c r="L267">
        <f>IF($AH267="","",IF(INDEX('Per Invoice'!L$2:L$401,$AH267)="","",INDEX('Per Invoice'!L$2:L$401,$AH267)))</f>
        <v/>
      </c>
      <c r="M267">
        <f>IF($AH267="","",IF(INDEX('Per Invoice'!M$2:M$401,$AH267)="","",INDEX('Per Invoice'!M$2:M$401,$AH267)))</f>
        <v/>
      </c>
      <c r="N267">
        <f>IF($AH267="","",IF(INDEX('Per Invoice'!N$2:N$401,$AH267)="","",INDEX('Per Invoice'!N$2:N$401,$AH267)))</f>
        <v/>
      </c>
      <c r="O267">
        <f>IF($AH267="","",IF(INDEX('Per Invoice'!O$2:O$401,$AH267)="","",INDEX('Per Invoice'!O$2:O$401,$AH267)))</f>
        <v/>
      </c>
      <c r="P267" s="7">
        <f>IF($AH267="","",IF(INDEX('Per Invoice'!P$2:P$401,$AH267)="","",INDEX('Per Invoice'!P$2:P$401,$AH267)))</f>
        <v/>
      </c>
      <c r="Q267">
        <f>IF($AH267="","",IF(INDEX('Per Invoice'!Q$2:Q$401,$AH267)="","",INDEX('Per Invoice'!Q$2:Q$401,$AH267)))</f>
        <v/>
      </c>
      <c r="R267">
        <f>IF($AH267="","",IF(INDEX('Per Invoice'!R$2:R$401,$AH267)="","",INDEX('Per Invoice'!R$2:R$401,$AH267)))</f>
        <v/>
      </c>
      <c r="S267">
        <f>IF($AH267="","",IF(INDEX('Per Invoice'!S$2:S$401,$AH267)="","",INDEX('Per Invoice'!S$2:S$401,$AH267)))</f>
        <v/>
      </c>
      <c r="T267" s="7">
        <f>IF($AH267="","",IF(INDEX('Per Invoice'!T$2:T$401,$AH267)="","",INDEX('Per Invoice'!T$2:T$401,$AH267)))</f>
        <v/>
      </c>
      <c r="U267" s="7">
        <f>IF($AH267="","",IF(INDEX('Per Invoice'!U$2:U$401,$AH267)="","",INDEX('Per Invoice'!U$2:U$401,$AH267)))</f>
        <v/>
      </c>
      <c r="V267">
        <f>IF($AH267="","",IF(INDEX('Per Invoice'!V$2:V$401,$AH267)="","",INDEX('Per Invoice'!V$2:V$401,$AH267)))</f>
        <v/>
      </c>
      <c r="W267" s="7">
        <f>IF($AH267="","",IF(INDEX('Per Invoice'!W$2:W$401,$AH267)="","",INDEX('Per Invoice'!W$2:W$401,$AH267)))</f>
        <v/>
      </c>
      <c r="X267" s="7">
        <f>IF($AH267="","",IF(INDEX('Per Invoice'!X$2:X$401,$AH267)="","",INDEX('Per Invoice'!X$2:X$401,$AH267)))</f>
        <v/>
      </c>
      <c r="Y267">
        <f>IF($AH267="","",IF(INDEX('Per Invoice'!Y$2:Y$401,$AH267)="","",INDEX('Per Invoice'!Y$2:Y$401,$AH267)))</f>
        <v/>
      </c>
      <c r="Z267" s="7">
        <f>IF($AH267="","",IF(INDEX('Per Invoice'!Z$2:Z$401,$AH267)="","",INDEX('Per Invoice'!Z$2:Z$401,$AH267)))</f>
        <v/>
      </c>
      <c r="AA267" s="7">
        <f>IF($AH267="","",IF(INDEX('Per Invoice'!AA$2:AA$401,$AH267)="","",INDEX('Per Invoice'!AA$2:AA$401,$AH267)))</f>
        <v/>
      </c>
      <c r="AB267" s="7">
        <f>IF($AH267="","",IF(INDEX('Per Invoice'!AB$2:AB$401,$AH267)="","",INDEX('Per Invoice'!AB$2:AB$401,$AH267)))</f>
        <v/>
      </c>
      <c r="AC267" s="7">
        <f>IF($AH267="","",IF(INDEX('Per Invoice'!AC$2:AC$401,$AH267)="","",INDEX('Per Invoice'!AC$2:AC$401,$AH267)))</f>
        <v/>
      </c>
      <c r="AD267" s="7">
        <f>IF($AH267="","",IF(INDEX('Per Invoice'!AD$2:AD$401,$AH267)="","",INDEX('Per Invoice'!AD$2:AD$401,$AH267)))</f>
        <v/>
      </c>
      <c r="AE267" s="7">
        <f>IF($AH267="","",IF(INDEX('Per Invoice'!AE$2:AE$401,$AH267)="","",INDEX('Per Invoice'!AE$2:AE$401,$AH267)))</f>
        <v/>
      </c>
      <c r="AF267">
        <f>IF($AH267="","",IF(INDEX('Per Invoice'!AF$2:AF$401,$AH267)="","",INDEX('Per Invoice'!AF$2:AF$401,$AH267)))</f>
        <v/>
      </c>
      <c r="AG267" s="7">
        <f>IF($AH267="","",IF(INDEX('Per Invoice'!AG$2:AG$401,$AH267)="","",INDEX('Per Invoice'!AG$2:AG$401,$AH267)))</f>
        <v/>
      </c>
      <c r="AH267" s="16">
        <f>IFERROR(MATCH(Settings!$C$27&amp;"|"&amp;ROWS($AH$2:$AH267),'Per Invoice'!$AI$2:$AI$401,0),"")</f>
        <v/>
      </c>
    </row>
    <row r="268">
      <c r="A268">
        <f>IF($AH268="","",IF(INDEX('Per Invoice'!A$2:A$401,$AH268)="","",INDEX('Per Invoice'!A$2:A$401,$AH268)))</f>
        <v/>
      </c>
      <c r="B268">
        <f>IF($AH268="","",IF(INDEX('Per Invoice'!B$2:B$401,$AH268)="","",INDEX('Per Invoice'!B$2:B$401,$AH268)))</f>
        <v/>
      </c>
      <c r="C268">
        <f>IF($AH268="","",IF(INDEX('Per Invoice'!C$2:C$401,$AH268)="","",INDEX('Per Invoice'!C$2:C$401,$AH268)))</f>
        <v/>
      </c>
      <c r="D268">
        <f>IF($AH268="","",IF(INDEX('Per Invoice'!D$2:D$401,$AH268)="","",INDEX('Per Invoice'!D$2:D$401,$AH268)))</f>
        <v/>
      </c>
      <c r="E268">
        <f>IF($AH268="","",IF(INDEX('Per Invoice'!E$2:E$401,$AH268)="","",INDEX('Per Invoice'!E$2:E$401,$AH268)))</f>
        <v/>
      </c>
      <c r="F268">
        <f>IF($AH268="","",IF(INDEX('Per Invoice'!F$2:F$401,$AH268)="","",INDEX('Per Invoice'!F$2:F$401,$AH268)))</f>
        <v/>
      </c>
      <c r="G268">
        <f>IF($AH268="","",IF(INDEX('Per Invoice'!G$2:G$401,$AH268)="","",INDEX('Per Invoice'!G$2:G$401,$AH268)))</f>
        <v/>
      </c>
      <c r="H268">
        <f>IF($AH268="","",IF(INDEX('Per Invoice'!H$2:H$401,$AH268)="","",INDEX('Per Invoice'!H$2:H$401,$AH268)))</f>
        <v/>
      </c>
      <c r="I268" s="14">
        <f>IF($AH268="","",IF(INDEX('Per Invoice'!I$2:I$401,$AH268)="","",INDEX('Per Invoice'!I$2:I$401,$AH268)))</f>
        <v/>
      </c>
      <c r="J268">
        <f>IF($AH268="","",IF(INDEX('Per Invoice'!J$2:J$401,$AH268)="","",INDEX('Per Invoice'!J$2:J$401,$AH268)))</f>
        <v/>
      </c>
      <c r="K268">
        <f>IF($AH268="","",IF(INDEX('Per Invoice'!K$2:K$401,$AH268)="","",INDEX('Per Invoice'!K$2:K$401,$AH268)))</f>
        <v/>
      </c>
      <c r="L268">
        <f>IF($AH268="","",IF(INDEX('Per Invoice'!L$2:L$401,$AH268)="","",INDEX('Per Invoice'!L$2:L$401,$AH268)))</f>
        <v/>
      </c>
      <c r="M268">
        <f>IF($AH268="","",IF(INDEX('Per Invoice'!M$2:M$401,$AH268)="","",INDEX('Per Invoice'!M$2:M$401,$AH268)))</f>
        <v/>
      </c>
      <c r="N268">
        <f>IF($AH268="","",IF(INDEX('Per Invoice'!N$2:N$401,$AH268)="","",INDEX('Per Invoice'!N$2:N$401,$AH268)))</f>
        <v/>
      </c>
      <c r="O268">
        <f>IF($AH268="","",IF(INDEX('Per Invoice'!O$2:O$401,$AH268)="","",INDEX('Per Invoice'!O$2:O$401,$AH268)))</f>
        <v/>
      </c>
      <c r="P268" s="7">
        <f>IF($AH268="","",IF(INDEX('Per Invoice'!P$2:P$401,$AH268)="","",INDEX('Per Invoice'!P$2:P$401,$AH268)))</f>
        <v/>
      </c>
      <c r="Q268">
        <f>IF($AH268="","",IF(INDEX('Per Invoice'!Q$2:Q$401,$AH268)="","",INDEX('Per Invoice'!Q$2:Q$401,$AH268)))</f>
        <v/>
      </c>
      <c r="R268">
        <f>IF($AH268="","",IF(INDEX('Per Invoice'!R$2:R$401,$AH268)="","",INDEX('Per Invoice'!R$2:R$401,$AH268)))</f>
        <v/>
      </c>
      <c r="S268">
        <f>IF($AH268="","",IF(INDEX('Per Invoice'!S$2:S$401,$AH268)="","",INDEX('Per Invoice'!S$2:S$401,$AH268)))</f>
        <v/>
      </c>
      <c r="T268" s="7">
        <f>IF($AH268="","",IF(INDEX('Per Invoice'!T$2:T$401,$AH268)="","",INDEX('Per Invoice'!T$2:T$401,$AH268)))</f>
        <v/>
      </c>
      <c r="U268" s="7">
        <f>IF($AH268="","",IF(INDEX('Per Invoice'!U$2:U$401,$AH268)="","",INDEX('Per Invoice'!U$2:U$401,$AH268)))</f>
        <v/>
      </c>
      <c r="V268">
        <f>IF($AH268="","",IF(INDEX('Per Invoice'!V$2:V$401,$AH268)="","",INDEX('Per Invoice'!V$2:V$401,$AH268)))</f>
        <v/>
      </c>
      <c r="W268" s="7">
        <f>IF($AH268="","",IF(INDEX('Per Invoice'!W$2:W$401,$AH268)="","",INDEX('Per Invoice'!W$2:W$401,$AH268)))</f>
        <v/>
      </c>
      <c r="X268" s="7">
        <f>IF($AH268="","",IF(INDEX('Per Invoice'!X$2:X$401,$AH268)="","",INDEX('Per Invoice'!X$2:X$401,$AH268)))</f>
        <v/>
      </c>
      <c r="Y268">
        <f>IF($AH268="","",IF(INDEX('Per Invoice'!Y$2:Y$401,$AH268)="","",INDEX('Per Invoice'!Y$2:Y$401,$AH268)))</f>
        <v/>
      </c>
      <c r="Z268" s="7">
        <f>IF($AH268="","",IF(INDEX('Per Invoice'!Z$2:Z$401,$AH268)="","",INDEX('Per Invoice'!Z$2:Z$401,$AH268)))</f>
        <v/>
      </c>
      <c r="AA268" s="7">
        <f>IF($AH268="","",IF(INDEX('Per Invoice'!AA$2:AA$401,$AH268)="","",INDEX('Per Invoice'!AA$2:AA$401,$AH268)))</f>
        <v/>
      </c>
      <c r="AB268" s="7">
        <f>IF($AH268="","",IF(INDEX('Per Invoice'!AB$2:AB$401,$AH268)="","",INDEX('Per Invoice'!AB$2:AB$401,$AH268)))</f>
        <v/>
      </c>
      <c r="AC268" s="7">
        <f>IF($AH268="","",IF(INDEX('Per Invoice'!AC$2:AC$401,$AH268)="","",INDEX('Per Invoice'!AC$2:AC$401,$AH268)))</f>
        <v/>
      </c>
      <c r="AD268" s="7">
        <f>IF($AH268="","",IF(INDEX('Per Invoice'!AD$2:AD$401,$AH268)="","",INDEX('Per Invoice'!AD$2:AD$401,$AH268)))</f>
        <v/>
      </c>
      <c r="AE268" s="7">
        <f>IF($AH268="","",IF(INDEX('Per Invoice'!AE$2:AE$401,$AH268)="","",INDEX('Per Invoice'!AE$2:AE$401,$AH268)))</f>
        <v/>
      </c>
      <c r="AF268">
        <f>IF($AH268="","",IF(INDEX('Per Invoice'!AF$2:AF$401,$AH268)="","",INDEX('Per Invoice'!AF$2:AF$401,$AH268)))</f>
        <v/>
      </c>
      <c r="AG268" s="7">
        <f>IF($AH268="","",IF(INDEX('Per Invoice'!AG$2:AG$401,$AH268)="","",INDEX('Per Invoice'!AG$2:AG$401,$AH268)))</f>
        <v/>
      </c>
      <c r="AH268" s="16">
        <f>IFERROR(MATCH(Settings!$C$27&amp;"|"&amp;ROWS($AH$2:$AH268),'Per Invoice'!$AI$2:$AI$401,0),"")</f>
        <v/>
      </c>
    </row>
    <row r="269">
      <c r="A269">
        <f>IF($AH269="","",IF(INDEX('Per Invoice'!A$2:A$401,$AH269)="","",INDEX('Per Invoice'!A$2:A$401,$AH269)))</f>
        <v/>
      </c>
      <c r="B269">
        <f>IF($AH269="","",IF(INDEX('Per Invoice'!B$2:B$401,$AH269)="","",INDEX('Per Invoice'!B$2:B$401,$AH269)))</f>
        <v/>
      </c>
      <c r="C269">
        <f>IF($AH269="","",IF(INDEX('Per Invoice'!C$2:C$401,$AH269)="","",INDEX('Per Invoice'!C$2:C$401,$AH269)))</f>
        <v/>
      </c>
      <c r="D269">
        <f>IF($AH269="","",IF(INDEX('Per Invoice'!D$2:D$401,$AH269)="","",INDEX('Per Invoice'!D$2:D$401,$AH269)))</f>
        <v/>
      </c>
      <c r="E269">
        <f>IF($AH269="","",IF(INDEX('Per Invoice'!E$2:E$401,$AH269)="","",INDEX('Per Invoice'!E$2:E$401,$AH269)))</f>
        <v/>
      </c>
      <c r="F269">
        <f>IF($AH269="","",IF(INDEX('Per Invoice'!F$2:F$401,$AH269)="","",INDEX('Per Invoice'!F$2:F$401,$AH269)))</f>
        <v/>
      </c>
      <c r="G269">
        <f>IF($AH269="","",IF(INDEX('Per Invoice'!G$2:G$401,$AH269)="","",INDEX('Per Invoice'!G$2:G$401,$AH269)))</f>
        <v/>
      </c>
      <c r="H269">
        <f>IF($AH269="","",IF(INDEX('Per Invoice'!H$2:H$401,$AH269)="","",INDEX('Per Invoice'!H$2:H$401,$AH269)))</f>
        <v/>
      </c>
      <c r="I269" s="14">
        <f>IF($AH269="","",IF(INDEX('Per Invoice'!I$2:I$401,$AH269)="","",INDEX('Per Invoice'!I$2:I$401,$AH269)))</f>
        <v/>
      </c>
      <c r="J269">
        <f>IF($AH269="","",IF(INDEX('Per Invoice'!J$2:J$401,$AH269)="","",INDEX('Per Invoice'!J$2:J$401,$AH269)))</f>
        <v/>
      </c>
      <c r="K269">
        <f>IF($AH269="","",IF(INDEX('Per Invoice'!K$2:K$401,$AH269)="","",INDEX('Per Invoice'!K$2:K$401,$AH269)))</f>
        <v/>
      </c>
      <c r="L269">
        <f>IF($AH269="","",IF(INDEX('Per Invoice'!L$2:L$401,$AH269)="","",INDEX('Per Invoice'!L$2:L$401,$AH269)))</f>
        <v/>
      </c>
      <c r="M269">
        <f>IF($AH269="","",IF(INDEX('Per Invoice'!M$2:M$401,$AH269)="","",INDEX('Per Invoice'!M$2:M$401,$AH269)))</f>
        <v/>
      </c>
      <c r="N269">
        <f>IF($AH269="","",IF(INDEX('Per Invoice'!N$2:N$401,$AH269)="","",INDEX('Per Invoice'!N$2:N$401,$AH269)))</f>
        <v/>
      </c>
      <c r="O269">
        <f>IF($AH269="","",IF(INDEX('Per Invoice'!O$2:O$401,$AH269)="","",INDEX('Per Invoice'!O$2:O$401,$AH269)))</f>
        <v/>
      </c>
      <c r="P269" s="7">
        <f>IF($AH269="","",IF(INDEX('Per Invoice'!P$2:P$401,$AH269)="","",INDEX('Per Invoice'!P$2:P$401,$AH269)))</f>
        <v/>
      </c>
      <c r="Q269">
        <f>IF($AH269="","",IF(INDEX('Per Invoice'!Q$2:Q$401,$AH269)="","",INDEX('Per Invoice'!Q$2:Q$401,$AH269)))</f>
        <v/>
      </c>
      <c r="R269">
        <f>IF($AH269="","",IF(INDEX('Per Invoice'!R$2:R$401,$AH269)="","",INDEX('Per Invoice'!R$2:R$401,$AH269)))</f>
        <v/>
      </c>
      <c r="S269">
        <f>IF($AH269="","",IF(INDEX('Per Invoice'!S$2:S$401,$AH269)="","",INDEX('Per Invoice'!S$2:S$401,$AH269)))</f>
        <v/>
      </c>
      <c r="T269" s="7">
        <f>IF($AH269="","",IF(INDEX('Per Invoice'!T$2:T$401,$AH269)="","",INDEX('Per Invoice'!T$2:T$401,$AH269)))</f>
        <v/>
      </c>
      <c r="U269" s="7">
        <f>IF($AH269="","",IF(INDEX('Per Invoice'!U$2:U$401,$AH269)="","",INDEX('Per Invoice'!U$2:U$401,$AH269)))</f>
        <v/>
      </c>
      <c r="V269">
        <f>IF($AH269="","",IF(INDEX('Per Invoice'!V$2:V$401,$AH269)="","",INDEX('Per Invoice'!V$2:V$401,$AH269)))</f>
        <v/>
      </c>
      <c r="W269" s="7">
        <f>IF($AH269="","",IF(INDEX('Per Invoice'!W$2:W$401,$AH269)="","",INDEX('Per Invoice'!W$2:W$401,$AH269)))</f>
        <v/>
      </c>
      <c r="X269" s="7">
        <f>IF($AH269="","",IF(INDEX('Per Invoice'!X$2:X$401,$AH269)="","",INDEX('Per Invoice'!X$2:X$401,$AH269)))</f>
        <v/>
      </c>
      <c r="Y269">
        <f>IF($AH269="","",IF(INDEX('Per Invoice'!Y$2:Y$401,$AH269)="","",INDEX('Per Invoice'!Y$2:Y$401,$AH269)))</f>
        <v/>
      </c>
      <c r="Z269" s="7">
        <f>IF($AH269="","",IF(INDEX('Per Invoice'!Z$2:Z$401,$AH269)="","",INDEX('Per Invoice'!Z$2:Z$401,$AH269)))</f>
        <v/>
      </c>
      <c r="AA269" s="7">
        <f>IF($AH269="","",IF(INDEX('Per Invoice'!AA$2:AA$401,$AH269)="","",INDEX('Per Invoice'!AA$2:AA$401,$AH269)))</f>
        <v/>
      </c>
      <c r="AB269" s="7">
        <f>IF($AH269="","",IF(INDEX('Per Invoice'!AB$2:AB$401,$AH269)="","",INDEX('Per Invoice'!AB$2:AB$401,$AH269)))</f>
        <v/>
      </c>
      <c r="AC269" s="7">
        <f>IF($AH269="","",IF(INDEX('Per Invoice'!AC$2:AC$401,$AH269)="","",INDEX('Per Invoice'!AC$2:AC$401,$AH269)))</f>
        <v/>
      </c>
      <c r="AD269" s="7">
        <f>IF($AH269="","",IF(INDEX('Per Invoice'!AD$2:AD$401,$AH269)="","",INDEX('Per Invoice'!AD$2:AD$401,$AH269)))</f>
        <v/>
      </c>
      <c r="AE269" s="7">
        <f>IF($AH269="","",IF(INDEX('Per Invoice'!AE$2:AE$401,$AH269)="","",INDEX('Per Invoice'!AE$2:AE$401,$AH269)))</f>
        <v/>
      </c>
      <c r="AF269">
        <f>IF($AH269="","",IF(INDEX('Per Invoice'!AF$2:AF$401,$AH269)="","",INDEX('Per Invoice'!AF$2:AF$401,$AH269)))</f>
        <v/>
      </c>
      <c r="AG269" s="7">
        <f>IF($AH269="","",IF(INDEX('Per Invoice'!AG$2:AG$401,$AH269)="","",INDEX('Per Invoice'!AG$2:AG$401,$AH269)))</f>
        <v/>
      </c>
      <c r="AH269" s="16">
        <f>IFERROR(MATCH(Settings!$C$27&amp;"|"&amp;ROWS($AH$2:$AH269),'Per Invoice'!$AI$2:$AI$401,0),"")</f>
        <v/>
      </c>
    </row>
    <row r="270">
      <c r="A270">
        <f>IF($AH270="","",IF(INDEX('Per Invoice'!A$2:A$401,$AH270)="","",INDEX('Per Invoice'!A$2:A$401,$AH270)))</f>
        <v/>
      </c>
      <c r="B270">
        <f>IF($AH270="","",IF(INDEX('Per Invoice'!B$2:B$401,$AH270)="","",INDEX('Per Invoice'!B$2:B$401,$AH270)))</f>
        <v/>
      </c>
      <c r="C270">
        <f>IF($AH270="","",IF(INDEX('Per Invoice'!C$2:C$401,$AH270)="","",INDEX('Per Invoice'!C$2:C$401,$AH270)))</f>
        <v/>
      </c>
      <c r="D270">
        <f>IF($AH270="","",IF(INDEX('Per Invoice'!D$2:D$401,$AH270)="","",INDEX('Per Invoice'!D$2:D$401,$AH270)))</f>
        <v/>
      </c>
      <c r="E270">
        <f>IF($AH270="","",IF(INDEX('Per Invoice'!E$2:E$401,$AH270)="","",INDEX('Per Invoice'!E$2:E$401,$AH270)))</f>
        <v/>
      </c>
      <c r="F270">
        <f>IF($AH270="","",IF(INDEX('Per Invoice'!F$2:F$401,$AH270)="","",INDEX('Per Invoice'!F$2:F$401,$AH270)))</f>
        <v/>
      </c>
      <c r="G270">
        <f>IF($AH270="","",IF(INDEX('Per Invoice'!G$2:G$401,$AH270)="","",INDEX('Per Invoice'!G$2:G$401,$AH270)))</f>
        <v/>
      </c>
      <c r="H270">
        <f>IF($AH270="","",IF(INDEX('Per Invoice'!H$2:H$401,$AH270)="","",INDEX('Per Invoice'!H$2:H$401,$AH270)))</f>
        <v/>
      </c>
      <c r="I270" s="14">
        <f>IF($AH270="","",IF(INDEX('Per Invoice'!I$2:I$401,$AH270)="","",INDEX('Per Invoice'!I$2:I$401,$AH270)))</f>
        <v/>
      </c>
      <c r="J270">
        <f>IF($AH270="","",IF(INDEX('Per Invoice'!J$2:J$401,$AH270)="","",INDEX('Per Invoice'!J$2:J$401,$AH270)))</f>
        <v/>
      </c>
      <c r="K270">
        <f>IF($AH270="","",IF(INDEX('Per Invoice'!K$2:K$401,$AH270)="","",INDEX('Per Invoice'!K$2:K$401,$AH270)))</f>
        <v/>
      </c>
      <c r="L270">
        <f>IF($AH270="","",IF(INDEX('Per Invoice'!L$2:L$401,$AH270)="","",INDEX('Per Invoice'!L$2:L$401,$AH270)))</f>
        <v/>
      </c>
      <c r="M270">
        <f>IF($AH270="","",IF(INDEX('Per Invoice'!M$2:M$401,$AH270)="","",INDEX('Per Invoice'!M$2:M$401,$AH270)))</f>
        <v/>
      </c>
      <c r="N270">
        <f>IF($AH270="","",IF(INDEX('Per Invoice'!N$2:N$401,$AH270)="","",INDEX('Per Invoice'!N$2:N$401,$AH270)))</f>
        <v/>
      </c>
      <c r="O270">
        <f>IF($AH270="","",IF(INDEX('Per Invoice'!O$2:O$401,$AH270)="","",INDEX('Per Invoice'!O$2:O$401,$AH270)))</f>
        <v/>
      </c>
      <c r="P270" s="7">
        <f>IF($AH270="","",IF(INDEX('Per Invoice'!P$2:P$401,$AH270)="","",INDEX('Per Invoice'!P$2:P$401,$AH270)))</f>
        <v/>
      </c>
      <c r="Q270">
        <f>IF($AH270="","",IF(INDEX('Per Invoice'!Q$2:Q$401,$AH270)="","",INDEX('Per Invoice'!Q$2:Q$401,$AH270)))</f>
        <v/>
      </c>
      <c r="R270">
        <f>IF($AH270="","",IF(INDEX('Per Invoice'!R$2:R$401,$AH270)="","",INDEX('Per Invoice'!R$2:R$401,$AH270)))</f>
        <v/>
      </c>
      <c r="S270">
        <f>IF($AH270="","",IF(INDEX('Per Invoice'!S$2:S$401,$AH270)="","",INDEX('Per Invoice'!S$2:S$401,$AH270)))</f>
        <v/>
      </c>
      <c r="T270" s="7">
        <f>IF($AH270="","",IF(INDEX('Per Invoice'!T$2:T$401,$AH270)="","",INDEX('Per Invoice'!T$2:T$401,$AH270)))</f>
        <v/>
      </c>
      <c r="U270" s="7">
        <f>IF($AH270="","",IF(INDEX('Per Invoice'!U$2:U$401,$AH270)="","",INDEX('Per Invoice'!U$2:U$401,$AH270)))</f>
        <v/>
      </c>
      <c r="V270">
        <f>IF($AH270="","",IF(INDEX('Per Invoice'!V$2:V$401,$AH270)="","",INDEX('Per Invoice'!V$2:V$401,$AH270)))</f>
        <v/>
      </c>
      <c r="W270" s="7">
        <f>IF($AH270="","",IF(INDEX('Per Invoice'!W$2:W$401,$AH270)="","",INDEX('Per Invoice'!W$2:W$401,$AH270)))</f>
        <v/>
      </c>
      <c r="X270" s="7">
        <f>IF($AH270="","",IF(INDEX('Per Invoice'!X$2:X$401,$AH270)="","",INDEX('Per Invoice'!X$2:X$401,$AH270)))</f>
        <v/>
      </c>
      <c r="Y270">
        <f>IF($AH270="","",IF(INDEX('Per Invoice'!Y$2:Y$401,$AH270)="","",INDEX('Per Invoice'!Y$2:Y$401,$AH270)))</f>
        <v/>
      </c>
      <c r="Z270" s="7">
        <f>IF($AH270="","",IF(INDEX('Per Invoice'!Z$2:Z$401,$AH270)="","",INDEX('Per Invoice'!Z$2:Z$401,$AH270)))</f>
        <v/>
      </c>
      <c r="AA270" s="7">
        <f>IF($AH270="","",IF(INDEX('Per Invoice'!AA$2:AA$401,$AH270)="","",INDEX('Per Invoice'!AA$2:AA$401,$AH270)))</f>
        <v/>
      </c>
      <c r="AB270" s="7">
        <f>IF($AH270="","",IF(INDEX('Per Invoice'!AB$2:AB$401,$AH270)="","",INDEX('Per Invoice'!AB$2:AB$401,$AH270)))</f>
        <v/>
      </c>
      <c r="AC270" s="7">
        <f>IF($AH270="","",IF(INDEX('Per Invoice'!AC$2:AC$401,$AH270)="","",INDEX('Per Invoice'!AC$2:AC$401,$AH270)))</f>
        <v/>
      </c>
      <c r="AD270" s="7">
        <f>IF($AH270="","",IF(INDEX('Per Invoice'!AD$2:AD$401,$AH270)="","",INDEX('Per Invoice'!AD$2:AD$401,$AH270)))</f>
        <v/>
      </c>
      <c r="AE270" s="7">
        <f>IF($AH270="","",IF(INDEX('Per Invoice'!AE$2:AE$401,$AH270)="","",INDEX('Per Invoice'!AE$2:AE$401,$AH270)))</f>
        <v/>
      </c>
      <c r="AF270">
        <f>IF($AH270="","",IF(INDEX('Per Invoice'!AF$2:AF$401,$AH270)="","",INDEX('Per Invoice'!AF$2:AF$401,$AH270)))</f>
        <v/>
      </c>
      <c r="AG270" s="7">
        <f>IF($AH270="","",IF(INDEX('Per Invoice'!AG$2:AG$401,$AH270)="","",INDEX('Per Invoice'!AG$2:AG$401,$AH270)))</f>
        <v/>
      </c>
      <c r="AH270" s="16">
        <f>IFERROR(MATCH(Settings!$C$27&amp;"|"&amp;ROWS($AH$2:$AH270),'Per Invoice'!$AI$2:$AI$401,0),"")</f>
        <v/>
      </c>
    </row>
    <row r="271">
      <c r="A271">
        <f>IF($AH271="","",IF(INDEX('Per Invoice'!A$2:A$401,$AH271)="","",INDEX('Per Invoice'!A$2:A$401,$AH271)))</f>
        <v/>
      </c>
      <c r="B271">
        <f>IF($AH271="","",IF(INDEX('Per Invoice'!B$2:B$401,$AH271)="","",INDEX('Per Invoice'!B$2:B$401,$AH271)))</f>
        <v/>
      </c>
      <c r="C271">
        <f>IF($AH271="","",IF(INDEX('Per Invoice'!C$2:C$401,$AH271)="","",INDEX('Per Invoice'!C$2:C$401,$AH271)))</f>
        <v/>
      </c>
      <c r="D271">
        <f>IF($AH271="","",IF(INDEX('Per Invoice'!D$2:D$401,$AH271)="","",INDEX('Per Invoice'!D$2:D$401,$AH271)))</f>
        <v/>
      </c>
      <c r="E271">
        <f>IF($AH271="","",IF(INDEX('Per Invoice'!E$2:E$401,$AH271)="","",INDEX('Per Invoice'!E$2:E$401,$AH271)))</f>
        <v/>
      </c>
      <c r="F271">
        <f>IF($AH271="","",IF(INDEX('Per Invoice'!F$2:F$401,$AH271)="","",INDEX('Per Invoice'!F$2:F$401,$AH271)))</f>
        <v/>
      </c>
      <c r="G271">
        <f>IF($AH271="","",IF(INDEX('Per Invoice'!G$2:G$401,$AH271)="","",INDEX('Per Invoice'!G$2:G$401,$AH271)))</f>
        <v/>
      </c>
      <c r="H271">
        <f>IF($AH271="","",IF(INDEX('Per Invoice'!H$2:H$401,$AH271)="","",INDEX('Per Invoice'!H$2:H$401,$AH271)))</f>
        <v/>
      </c>
      <c r="I271" s="14">
        <f>IF($AH271="","",IF(INDEX('Per Invoice'!I$2:I$401,$AH271)="","",INDEX('Per Invoice'!I$2:I$401,$AH271)))</f>
        <v/>
      </c>
      <c r="J271">
        <f>IF($AH271="","",IF(INDEX('Per Invoice'!J$2:J$401,$AH271)="","",INDEX('Per Invoice'!J$2:J$401,$AH271)))</f>
        <v/>
      </c>
      <c r="K271">
        <f>IF($AH271="","",IF(INDEX('Per Invoice'!K$2:K$401,$AH271)="","",INDEX('Per Invoice'!K$2:K$401,$AH271)))</f>
        <v/>
      </c>
      <c r="L271">
        <f>IF($AH271="","",IF(INDEX('Per Invoice'!L$2:L$401,$AH271)="","",INDEX('Per Invoice'!L$2:L$401,$AH271)))</f>
        <v/>
      </c>
      <c r="M271">
        <f>IF($AH271="","",IF(INDEX('Per Invoice'!M$2:M$401,$AH271)="","",INDEX('Per Invoice'!M$2:M$401,$AH271)))</f>
        <v/>
      </c>
      <c r="N271">
        <f>IF($AH271="","",IF(INDEX('Per Invoice'!N$2:N$401,$AH271)="","",INDEX('Per Invoice'!N$2:N$401,$AH271)))</f>
        <v/>
      </c>
      <c r="O271">
        <f>IF($AH271="","",IF(INDEX('Per Invoice'!O$2:O$401,$AH271)="","",INDEX('Per Invoice'!O$2:O$401,$AH271)))</f>
        <v/>
      </c>
      <c r="P271" s="7">
        <f>IF($AH271="","",IF(INDEX('Per Invoice'!P$2:P$401,$AH271)="","",INDEX('Per Invoice'!P$2:P$401,$AH271)))</f>
        <v/>
      </c>
      <c r="Q271">
        <f>IF($AH271="","",IF(INDEX('Per Invoice'!Q$2:Q$401,$AH271)="","",INDEX('Per Invoice'!Q$2:Q$401,$AH271)))</f>
        <v/>
      </c>
      <c r="R271">
        <f>IF($AH271="","",IF(INDEX('Per Invoice'!R$2:R$401,$AH271)="","",INDEX('Per Invoice'!R$2:R$401,$AH271)))</f>
        <v/>
      </c>
      <c r="S271">
        <f>IF($AH271="","",IF(INDEX('Per Invoice'!S$2:S$401,$AH271)="","",INDEX('Per Invoice'!S$2:S$401,$AH271)))</f>
        <v/>
      </c>
      <c r="T271" s="7">
        <f>IF($AH271="","",IF(INDEX('Per Invoice'!T$2:T$401,$AH271)="","",INDEX('Per Invoice'!T$2:T$401,$AH271)))</f>
        <v/>
      </c>
      <c r="U271" s="7">
        <f>IF($AH271="","",IF(INDEX('Per Invoice'!U$2:U$401,$AH271)="","",INDEX('Per Invoice'!U$2:U$401,$AH271)))</f>
        <v/>
      </c>
      <c r="V271">
        <f>IF($AH271="","",IF(INDEX('Per Invoice'!V$2:V$401,$AH271)="","",INDEX('Per Invoice'!V$2:V$401,$AH271)))</f>
        <v/>
      </c>
      <c r="W271" s="7">
        <f>IF($AH271="","",IF(INDEX('Per Invoice'!W$2:W$401,$AH271)="","",INDEX('Per Invoice'!W$2:W$401,$AH271)))</f>
        <v/>
      </c>
      <c r="X271" s="7">
        <f>IF($AH271="","",IF(INDEX('Per Invoice'!X$2:X$401,$AH271)="","",INDEX('Per Invoice'!X$2:X$401,$AH271)))</f>
        <v/>
      </c>
      <c r="Y271">
        <f>IF($AH271="","",IF(INDEX('Per Invoice'!Y$2:Y$401,$AH271)="","",INDEX('Per Invoice'!Y$2:Y$401,$AH271)))</f>
        <v/>
      </c>
      <c r="Z271" s="7">
        <f>IF($AH271="","",IF(INDEX('Per Invoice'!Z$2:Z$401,$AH271)="","",INDEX('Per Invoice'!Z$2:Z$401,$AH271)))</f>
        <v/>
      </c>
      <c r="AA271" s="7">
        <f>IF($AH271="","",IF(INDEX('Per Invoice'!AA$2:AA$401,$AH271)="","",INDEX('Per Invoice'!AA$2:AA$401,$AH271)))</f>
        <v/>
      </c>
      <c r="AB271" s="7">
        <f>IF($AH271="","",IF(INDEX('Per Invoice'!AB$2:AB$401,$AH271)="","",INDEX('Per Invoice'!AB$2:AB$401,$AH271)))</f>
        <v/>
      </c>
      <c r="AC271" s="7">
        <f>IF($AH271="","",IF(INDEX('Per Invoice'!AC$2:AC$401,$AH271)="","",INDEX('Per Invoice'!AC$2:AC$401,$AH271)))</f>
        <v/>
      </c>
      <c r="AD271" s="7">
        <f>IF($AH271="","",IF(INDEX('Per Invoice'!AD$2:AD$401,$AH271)="","",INDEX('Per Invoice'!AD$2:AD$401,$AH271)))</f>
        <v/>
      </c>
      <c r="AE271" s="7">
        <f>IF($AH271="","",IF(INDEX('Per Invoice'!AE$2:AE$401,$AH271)="","",INDEX('Per Invoice'!AE$2:AE$401,$AH271)))</f>
        <v/>
      </c>
      <c r="AF271">
        <f>IF($AH271="","",IF(INDEX('Per Invoice'!AF$2:AF$401,$AH271)="","",INDEX('Per Invoice'!AF$2:AF$401,$AH271)))</f>
        <v/>
      </c>
      <c r="AG271" s="7">
        <f>IF($AH271="","",IF(INDEX('Per Invoice'!AG$2:AG$401,$AH271)="","",INDEX('Per Invoice'!AG$2:AG$401,$AH271)))</f>
        <v/>
      </c>
      <c r="AH271" s="16">
        <f>IFERROR(MATCH(Settings!$C$27&amp;"|"&amp;ROWS($AH$2:$AH271),'Per Invoice'!$AI$2:$AI$401,0),"")</f>
        <v/>
      </c>
    </row>
    <row r="272">
      <c r="A272">
        <f>IF($AH272="","",IF(INDEX('Per Invoice'!A$2:A$401,$AH272)="","",INDEX('Per Invoice'!A$2:A$401,$AH272)))</f>
        <v/>
      </c>
      <c r="B272">
        <f>IF($AH272="","",IF(INDEX('Per Invoice'!B$2:B$401,$AH272)="","",INDEX('Per Invoice'!B$2:B$401,$AH272)))</f>
        <v/>
      </c>
      <c r="C272">
        <f>IF($AH272="","",IF(INDEX('Per Invoice'!C$2:C$401,$AH272)="","",INDEX('Per Invoice'!C$2:C$401,$AH272)))</f>
        <v/>
      </c>
      <c r="D272">
        <f>IF($AH272="","",IF(INDEX('Per Invoice'!D$2:D$401,$AH272)="","",INDEX('Per Invoice'!D$2:D$401,$AH272)))</f>
        <v/>
      </c>
      <c r="E272">
        <f>IF($AH272="","",IF(INDEX('Per Invoice'!E$2:E$401,$AH272)="","",INDEX('Per Invoice'!E$2:E$401,$AH272)))</f>
        <v/>
      </c>
      <c r="F272">
        <f>IF($AH272="","",IF(INDEX('Per Invoice'!F$2:F$401,$AH272)="","",INDEX('Per Invoice'!F$2:F$401,$AH272)))</f>
        <v/>
      </c>
      <c r="G272">
        <f>IF($AH272="","",IF(INDEX('Per Invoice'!G$2:G$401,$AH272)="","",INDEX('Per Invoice'!G$2:G$401,$AH272)))</f>
        <v/>
      </c>
      <c r="H272">
        <f>IF($AH272="","",IF(INDEX('Per Invoice'!H$2:H$401,$AH272)="","",INDEX('Per Invoice'!H$2:H$401,$AH272)))</f>
        <v/>
      </c>
      <c r="I272" s="14">
        <f>IF($AH272="","",IF(INDEX('Per Invoice'!I$2:I$401,$AH272)="","",INDEX('Per Invoice'!I$2:I$401,$AH272)))</f>
        <v/>
      </c>
      <c r="J272">
        <f>IF($AH272="","",IF(INDEX('Per Invoice'!J$2:J$401,$AH272)="","",INDEX('Per Invoice'!J$2:J$401,$AH272)))</f>
        <v/>
      </c>
      <c r="K272">
        <f>IF($AH272="","",IF(INDEX('Per Invoice'!K$2:K$401,$AH272)="","",INDEX('Per Invoice'!K$2:K$401,$AH272)))</f>
        <v/>
      </c>
      <c r="L272">
        <f>IF($AH272="","",IF(INDEX('Per Invoice'!L$2:L$401,$AH272)="","",INDEX('Per Invoice'!L$2:L$401,$AH272)))</f>
        <v/>
      </c>
      <c r="M272">
        <f>IF($AH272="","",IF(INDEX('Per Invoice'!M$2:M$401,$AH272)="","",INDEX('Per Invoice'!M$2:M$401,$AH272)))</f>
        <v/>
      </c>
      <c r="N272">
        <f>IF($AH272="","",IF(INDEX('Per Invoice'!N$2:N$401,$AH272)="","",INDEX('Per Invoice'!N$2:N$401,$AH272)))</f>
        <v/>
      </c>
      <c r="O272">
        <f>IF($AH272="","",IF(INDEX('Per Invoice'!O$2:O$401,$AH272)="","",INDEX('Per Invoice'!O$2:O$401,$AH272)))</f>
        <v/>
      </c>
      <c r="P272" s="7">
        <f>IF($AH272="","",IF(INDEX('Per Invoice'!P$2:P$401,$AH272)="","",INDEX('Per Invoice'!P$2:P$401,$AH272)))</f>
        <v/>
      </c>
      <c r="Q272">
        <f>IF($AH272="","",IF(INDEX('Per Invoice'!Q$2:Q$401,$AH272)="","",INDEX('Per Invoice'!Q$2:Q$401,$AH272)))</f>
        <v/>
      </c>
      <c r="R272">
        <f>IF($AH272="","",IF(INDEX('Per Invoice'!R$2:R$401,$AH272)="","",INDEX('Per Invoice'!R$2:R$401,$AH272)))</f>
        <v/>
      </c>
      <c r="S272">
        <f>IF($AH272="","",IF(INDEX('Per Invoice'!S$2:S$401,$AH272)="","",INDEX('Per Invoice'!S$2:S$401,$AH272)))</f>
        <v/>
      </c>
      <c r="T272" s="7">
        <f>IF($AH272="","",IF(INDEX('Per Invoice'!T$2:T$401,$AH272)="","",INDEX('Per Invoice'!T$2:T$401,$AH272)))</f>
        <v/>
      </c>
      <c r="U272" s="7">
        <f>IF($AH272="","",IF(INDEX('Per Invoice'!U$2:U$401,$AH272)="","",INDEX('Per Invoice'!U$2:U$401,$AH272)))</f>
        <v/>
      </c>
      <c r="V272">
        <f>IF($AH272="","",IF(INDEX('Per Invoice'!V$2:V$401,$AH272)="","",INDEX('Per Invoice'!V$2:V$401,$AH272)))</f>
        <v/>
      </c>
      <c r="W272" s="7">
        <f>IF($AH272="","",IF(INDEX('Per Invoice'!W$2:W$401,$AH272)="","",INDEX('Per Invoice'!W$2:W$401,$AH272)))</f>
        <v/>
      </c>
      <c r="X272" s="7">
        <f>IF($AH272="","",IF(INDEX('Per Invoice'!X$2:X$401,$AH272)="","",INDEX('Per Invoice'!X$2:X$401,$AH272)))</f>
        <v/>
      </c>
      <c r="Y272">
        <f>IF($AH272="","",IF(INDEX('Per Invoice'!Y$2:Y$401,$AH272)="","",INDEX('Per Invoice'!Y$2:Y$401,$AH272)))</f>
        <v/>
      </c>
      <c r="Z272" s="7">
        <f>IF($AH272="","",IF(INDEX('Per Invoice'!Z$2:Z$401,$AH272)="","",INDEX('Per Invoice'!Z$2:Z$401,$AH272)))</f>
        <v/>
      </c>
      <c r="AA272" s="7">
        <f>IF($AH272="","",IF(INDEX('Per Invoice'!AA$2:AA$401,$AH272)="","",INDEX('Per Invoice'!AA$2:AA$401,$AH272)))</f>
        <v/>
      </c>
      <c r="AB272" s="7">
        <f>IF($AH272="","",IF(INDEX('Per Invoice'!AB$2:AB$401,$AH272)="","",INDEX('Per Invoice'!AB$2:AB$401,$AH272)))</f>
        <v/>
      </c>
      <c r="AC272" s="7">
        <f>IF($AH272="","",IF(INDEX('Per Invoice'!AC$2:AC$401,$AH272)="","",INDEX('Per Invoice'!AC$2:AC$401,$AH272)))</f>
        <v/>
      </c>
      <c r="AD272" s="7">
        <f>IF($AH272="","",IF(INDEX('Per Invoice'!AD$2:AD$401,$AH272)="","",INDEX('Per Invoice'!AD$2:AD$401,$AH272)))</f>
        <v/>
      </c>
      <c r="AE272" s="7">
        <f>IF($AH272="","",IF(INDEX('Per Invoice'!AE$2:AE$401,$AH272)="","",INDEX('Per Invoice'!AE$2:AE$401,$AH272)))</f>
        <v/>
      </c>
      <c r="AF272">
        <f>IF($AH272="","",IF(INDEX('Per Invoice'!AF$2:AF$401,$AH272)="","",INDEX('Per Invoice'!AF$2:AF$401,$AH272)))</f>
        <v/>
      </c>
      <c r="AG272" s="7">
        <f>IF($AH272="","",IF(INDEX('Per Invoice'!AG$2:AG$401,$AH272)="","",INDEX('Per Invoice'!AG$2:AG$401,$AH272)))</f>
        <v/>
      </c>
      <c r="AH272" s="16">
        <f>IFERROR(MATCH(Settings!$C$27&amp;"|"&amp;ROWS($AH$2:$AH272),'Per Invoice'!$AI$2:$AI$401,0),"")</f>
        <v/>
      </c>
    </row>
    <row r="273">
      <c r="A273">
        <f>IF($AH273="","",IF(INDEX('Per Invoice'!A$2:A$401,$AH273)="","",INDEX('Per Invoice'!A$2:A$401,$AH273)))</f>
        <v/>
      </c>
      <c r="B273">
        <f>IF($AH273="","",IF(INDEX('Per Invoice'!B$2:B$401,$AH273)="","",INDEX('Per Invoice'!B$2:B$401,$AH273)))</f>
        <v/>
      </c>
      <c r="C273">
        <f>IF($AH273="","",IF(INDEX('Per Invoice'!C$2:C$401,$AH273)="","",INDEX('Per Invoice'!C$2:C$401,$AH273)))</f>
        <v/>
      </c>
      <c r="D273">
        <f>IF($AH273="","",IF(INDEX('Per Invoice'!D$2:D$401,$AH273)="","",INDEX('Per Invoice'!D$2:D$401,$AH273)))</f>
        <v/>
      </c>
      <c r="E273">
        <f>IF($AH273="","",IF(INDEX('Per Invoice'!E$2:E$401,$AH273)="","",INDEX('Per Invoice'!E$2:E$401,$AH273)))</f>
        <v/>
      </c>
      <c r="F273">
        <f>IF($AH273="","",IF(INDEX('Per Invoice'!F$2:F$401,$AH273)="","",INDEX('Per Invoice'!F$2:F$401,$AH273)))</f>
        <v/>
      </c>
      <c r="G273">
        <f>IF($AH273="","",IF(INDEX('Per Invoice'!G$2:G$401,$AH273)="","",INDEX('Per Invoice'!G$2:G$401,$AH273)))</f>
        <v/>
      </c>
      <c r="H273">
        <f>IF($AH273="","",IF(INDEX('Per Invoice'!H$2:H$401,$AH273)="","",INDEX('Per Invoice'!H$2:H$401,$AH273)))</f>
        <v/>
      </c>
      <c r="I273" s="14">
        <f>IF($AH273="","",IF(INDEX('Per Invoice'!I$2:I$401,$AH273)="","",INDEX('Per Invoice'!I$2:I$401,$AH273)))</f>
        <v/>
      </c>
      <c r="J273">
        <f>IF($AH273="","",IF(INDEX('Per Invoice'!J$2:J$401,$AH273)="","",INDEX('Per Invoice'!J$2:J$401,$AH273)))</f>
        <v/>
      </c>
      <c r="K273">
        <f>IF($AH273="","",IF(INDEX('Per Invoice'!K$2:K$401,$AH273)="","",INDEX('Per Invoice'!K$2:K$401,$AH273)))</f>
        <v/>
      </c>
      <c r="L273">
        <f>IF($AH273="","",IF(INDEX('Per Invoice'!L$2:L$401,$AH273)="","",INDEX('Per Invoice'!L$2:L$401,$AH273)))</f>
        <v/>
      </c>
      <c r="M273">
        <f>IF($AH273="","",IF(INDEX('Per Invoice'!M$2:M$401,$AH273)="","",INDEX('Per Invoice'!M$2:M$401,$AH273)))</f>
        <v/>
      </c>
      <c r="N273">
        <f>IF($AH273="","",IF(INDEX('Per Invoice'!N$2:N$401,$AH273)="","",INDEX('Per Invoice'!N$2:N$401,$AH273)))</f>
        <v/>
      </c>
      <c r="O273">
        <f>IF($AH273="","",IF(INDEX('Per Invoice'!O$2:O$401,$AH273)="","",INDEX('Per Invoice'!O$2:O$401,$AH273)))</f>
        <v/>
      </c>
      <c r="P273" s="7">
        <f>IF($AH273="","",IF(INDEX('Per Invoice'!P$2:P$401,$AH273)="","",INDEX('Per Invoice'!P$2:P$401,$AH273)))</f>
        <v/>
      </c>
      <c r="Q273">
        <f>IF($AH273="","",IF(INDEX('Per Invoice'!Q$2:Q$401,$AH273)="","",INDEX('Per Invoice'!Q$2:Q$401,$AH273)))</f>
        <v/>
      </c>
      <c r="R273">
        <f>IF($AH273="","",IF(INDEX('Per Invoice'!R$2:R$401,$AH273)="","",INDEX('Per Invoice'!R$2:R$401,$AH273)))</f>
        <v/>
      </c>
      <c r="S273">
        <f>IF($AH273="","",IF(INDEX('Per Invoice'!S$2:S$401,$AH273)="","",INDEX('Per Invoice'!S$2:S$401,$AH273)))</f>
        <v/>
      </c>
      <c r="T273" s="7">
        <f>IF($AH273="","",IF(INDEX('Per Invoice'!T$2:T$401,$AH273)="","",INDEX('Per Invoice'!T$2:T$401,$AH273)))</f>
        <v/>
      </c>
      <c r="U273" s="7">
        <f>IF($AH273="","",IF(INDEX('Per Invoice'!U$2:U$401,$AH273)="","",INDEX('Per Invoice'!U$2:U$401,$AH273)))</f>
        <v/>
      </c>
      <c r="V273">
        <f>IF($AH273="","",IF(INDEX('Per Invoice'!V$2:V$401,$AH273)="","",INDEX('Per Invoice'!V$2:V$401,$AH273)))</f>
        <v/>
      </c>
      <c r="W273" s="7">
        <f>IF($AH273="","",IF(INDEX('Per Invoice'!W$2:W$401,$AH273)="","",INDEX('Per Invoice'!W$2:W$401,$AH273)))</f>
        <v/>
      </c>
      <c r="X273" s="7">
        <f>IF($AH273="","",IF(INDEX('Per Invoice'!X$2:X$401,$AH273)="","",INDEX('Per Invoice'!X$2:X$401,$AH273)))</f>
        <v/>
      </c>
      <c r="Y273">
        <f>IF($AH273="","",IF(INDEX('Per Invoice'!Y$2:Y$401,$AH273)="","",INDEX('Per Invoice'!Y$2:Y$401,$AH273)))</f>
        <v/>
      </c>
      <c r="Z273" s="7">
        <f>IF($AH273="","",IF(INDEX('Per Invoice'!Z$2:Z$401,$AH273)="","",INDEX('Per Invoice'!Z$2:Z$401,$AH273)))</f>
        <v/>
      </c>
      <c r="AA273" s="7">
        <f>IF($AH273="","",IF(INDEX('Per Invoice'!AA$2:AA$401,$AH273)="","",INDEX('Per Invoice'!AA$2:AA$401,$AH273)))</f>
        <v/>
      </c>
      <c r="AB273" s="7">
        <f>IF($AH273="","",IF(INDEX('Per Invoice'!AB$2:AB$401,$AH273)="","",INDEX('Per Invoice'!AB$2:AB$401,$AH273)))</f>
        <v/>
      </c>
      <c r="AC273" s="7">
        <f>IF($AH273="","",IF(INDEX('Per Invoice'!AC$2:AC$401,$AH273)="","",INDEX('Per Invoice'!AC$2:AC$401,$AH273)))</f>
        <v/>
      </c>
      <c r="AD273" s="7">
        <f>IF($AH273="","",IF(INDEX('Per Invoice'!AD$2:AD$401,$AH273)="","",INDEX('Per Invoice'!AD$2:AD$401,$AH273)))</f>
        <v/>
      </c>
      <c r="AE273" s="7">
        <f>IF($AH273="","",IF(INDEX('Per Invoice'!AE$2:AE$401,$AH273)="","",INDEX('Per Invoice'!AE$2:AE$401,$AH273)))</f>
        <v/>
      </c>
      <c r="AF273">
        <f>IF($AH273="","",IF(INDEX('Per Invoice'!AF$2:AF$401,$AH273)="","",INDEX('Per Invoice'!AF$2:AF$401,$AH273)))</f>
        <v/>
      </c>
      <c r="AG273" s="7">
        <f>IF($AH273="","",IF(INDEX('Per Invoice'!AG$2:AG$401,$AH273)="","",INDEX('Per Invoice'!AG$2:AG$401,$AH273)))</f>
        <v/>
      </c>
      <c r="AH273" s="16">
        <f>IFERROR(MATCH(Settings!$C$27&amp;"|"&amp;ROWS($AH$2:$AH273),'Per Invoice'!$AI$2:$AI$401,0),"")</f>
        <v/>
      </c>
    </row>
    <row r="274">
      <c r="A274">
        <f>IF($AH274="","",IF(INDEX('Per Invoice'!A$2:A$401,$AH274)="","",INDEX('Per Invoice'!A$2:A$401,$AH274)))</f>
        <v/>
      </c>
      <c r="B274">
        <f>IF($AH274="","",IF(INDEX('Per Invoice'!B$2:B$401,$AH274)="","",INDEX('Per Invoice'!B$2:B$401,$AH274)))</f>
        <v/>
      </c>
      <c r="C274">
        <f>IF($AH274="","",IF(INDEX('Per Invoice'!C$2:C$401,$AH274)="","",INDEX('Per Invoice'!C$2:C$401,$AH274)))</f>
        <v/>
      </c>
      <c r="D274">
        <f>IF($AH274="","",IF(INDEX('Per Invoice'!D$2:D$401,$AH274)="","",INDEX('Per Invoice'!D$2:D$401,$AH274)))</f>
        <v/>
      </c>
      <c r="E274">
        <f>IF($AH274="","",IF(INDEX('Per Invoice'!E$2:E$401,$AH274)="","",INDEX('Per Invoice'!E$2:E$401,$AH274)))</f>
        <v/>
      </c>
      <c r="F274">
        <f>IF($AH274="","",IF(INDEX('Per Invoice'!F$2:F$401,$AH274)="","",INDEX('Per Invoice'!F$2:F$401,$AH274)))</f>
        <v/>
      </c>
      <c r="G274">
        <f>IF($AH274="","",IF(INDEX('Per Invoice'!G$2:G$401,$AH274)="","",INDEX('Per Invoice'!G$2:G$401,$AH274)))</f>
        <v/>
      </c>
      <c r="H274">
        <f>IF($AH274="","",IF(INDEX('Per Invoice'!H$2:H$401,$AH274)="","",INDEX('Per Invoice'!H$2:H$401,$AH274)))</f>
        <v/>
      </c>
      <c r="I274" s="14">
        <f>IF($AH274="","",IF(INDEX('Per Invoice'!I$2:I$401,$AH274)="","",INDEX('Per Invoice'!I$2:I$401,$AH274)))</f>
        <v/>
      </c>
      <c r="J274">
        <f>IF($AH274="","",IF(INDEX('Per Invoice'!J$2:J$401,$AH274)="","",INDEX('Per Invoice'!J$2:J$401,$AH274)))</f>
        <v/>
      </c>
      <c r="K274">
        <f>IF($AH274="","",IF(INDEX('Per Invoice'!K$2:K$401,$AH274)="","",INDEX('Per Invoice'!K$2:K$401,$AH274)))</f>
        <v/>
      </c>
      <c r="L274">
        <f>IF($AH274="","",IF(INDEX('Per Invoice'!L$2:L$401,$AH274)="","",INDEX('Per Invoice'!L$2:L$401,$AH274)))</f>
        <v/>
      </c>
      <c r="M274">
        <f>IF($AH274="","",IF(INDEX('Per Invoice'!M$2:M$401,$AH274)="","",INDEX('Per Invoice'!M$2:M$401,$AH274)))</f>
        <v/>
      </c>
      <c r="N274">
        <f>IF($AH274="","",IF(INDEX('Per Invoice'!N$2:N$401,$AH274)="","",INDEX('Per Invoice'!N$2:N$401,$AH274)))</f>
        <v/>
      </c>
      <c r="O274">
        <f>IF($AH274="","",IF(INDEX('Per Invoice'!O$2:O$401,$AH274)="","",INDEX('Per Invoice'!O$2:O$401,$AH274)))</f>
        <v/>
      </c>
      <c r="P274" s="7">
        <f>IF($AH274="","",IF(INDEX('Per Invoice'!P$2:P$401,$AH274)="","",INDEX('Per Invoice'!P$2:P$401,$AH274)))</f>
        <v/>
      </c>
      <c r="Q274">
        <f>IF($AH274="","",IF(INDEX('Per Invoice'!Q$2:Q$401,$AH274)="","",INDEX('Per Invoice'!Q$2:Q$401,$AH274)))</f>
        <v/>
      </c>
      <c r="R274">
        <f>IF($AH274="","",IF(INDEX('Per Invoice'!R$2:R$401,$AH274)="","",INDEX('Per Invoice'!R$2:R$401,$AH274)))</f>
        <v/>
      </c>
      <c r="S274">
        <f>IF($AH274="","",IF(INDEX('Per Invoice'!S$2:S$401,$AH274)="","",INDEX('Per Invoice'!S$2:S$401,$AH274)))</f>
        <v/>
      </c>
      <c r="T274" s="7">
        <f>IF($AH274="","",IF(INDEX('Per Invoice'!T$2:T$401,$AH274)="","",INDEX('Per Invoice'!T$2:T$401,$AH274)))</f>
        <v/>
      </c>
      <c r="U274" s="7">
        <f>IF($AH274="","",IF(INDEX('Per Invoice'!U$2:U$401,$AH274)="","",INDEX('Per Invoice'!U$2:U$401,$AH274)))</f>
        <v/>
      </c>
      <c r="V274">
        <f>IF($AH274="","",IF(INDEX('Per Invoice'!V$2:V$401,$AH274)="","",INDEX('Per Invoice'!V$2:V$401,$AH274)))</f>
        <v/>
      </c>
      <c r="W274" s="7">
        <f>IF($AH274="","",IF(INDEX('Per Invoice'!W$2:W$401,$AH274)="","",INDEX('Per Invoice'!W$2:W$401,$AH274)))</f>
        <v/>
      </c>
      <c r="X274" s="7">
        <f>IF($AH274="","",IF(INDEX('Per Invoice'!X$2:X$401,$AH274)="","",INDEX('Per Invoice'!X$2:X$401,$AH274)))</f>
        <v/>
      </c>
      <c r="Y274">
        <f>IF($AH274="","",IF(INDEX('Per Invoice'!Y$2:Y$401,$AH274)="","",INDEX('Per Invoice'!Y$2:Y$401,$AH274)))</f>
        <v/>
      </c>
      <c r="Z274" s="7">
        <f>IF($AH274="","",IF(INDEX('Per Invoice'!Z$2:Z$401,$AH274)="","",INDEX('Per Invoice'!Z$2:Z$401,$AH274)))</f>
        <v/>
      </c>
      <c r="AA274" s="7">
        <f>IF($AH274="","",IF(INDEX('Per Invoice'!AA$2:AA$401,$AH274)="","",INDEX('Per Invoice'!AA$2:AA$401,$AH274)))</f>
        <v/>
      </c>
      <c r="AB274" s="7">
        <f>IF($AH274="","",IF(INDEX('Per Invoice'!AB$2:AB$401,$AH274)="","",INDEX('Per Invoice'!AB$2:AB$401,$AH274)))</f>
        <v/>
      </c>
      <c r="AC274" s="7">
        <f>IF($AH274="","",IF(INDEX('Per Invoice'!AC$2:AC$401,$AH274)="","",INDEX('Per Invoice'!AC$2:AC$401,$AH274)))</f>
        <v/>
      </c>
      <c r="AD274" s="7">
        <f>IF($AH274="","",IF(INDEX('Per Invoice'!AD$2:AD$401,$AH274)="","",INDEX('Per Invoice'!AD$2:AD$401,$AH274)))</f>
        <v/>
      </c>
      <c r="AE274" s="7">
        <f>IF($AH274="","",IF(INDEX('Per Invoice'!AE$2:AE$401,$AH274)="","",INDEX('Per Invoice'!AE$2:AE$401,$AH274)))</f>
        <v/>
      </c>
      <c r="AF274">
        <f>IF($AH274="","",IF(INDEX('Per Invoice'!AF$2:AF$401,$AH274)="","",INDEX('Per Invoice'!AF$2:AF$401,$AH274)))</f>
        <v/>
      </c>
      <c r="AG274" s="7">
        <f>IF($AH274="","",IF(INDEX('Per Invoice'!AG$2:AG$401,$AH274)="","",INDEX('Per Invoice'!AG$2:AG$401,$AH274)))</f>
        <v/>
      </c>
      <c r="AH274" s="16">
        <f>IFERROR(MATCH(Settings!$C$27&amp;"|"&amp;ROWS($AH$2:$AH274),'Per Invoice'!$AI$2:$AI$401,0),"")</f>
        <v/>
      </c>
    </row>
    <row r="275">
      <c r="A275">
        <f>IF($AH275="","",IF(INDEX('Per Invoice'!A$2:A$401,$AH275)="","",INDEX('Per Invoice'!A$2:A$401,$AH275)))</f>
        <v/>
      </c>
      <c r="B275">
        <f>IF($AH275="","",IF(INDEX('Per Invoice'!B$2:B$401,$AH275)="","",INDEX('Per Invoice'!B$2:B$401,$AH275)))</f>
        <v/>
      </c>
      <c r="C275">
        <f>IF($AH275="","",IF(INDEX('Per Invoice'!C$2:C$401,$AH275)="","",INDEX('Per Invoice'!C$2:C$401,$AH275)))</f>
        <v/>
      </c>
      <c r="D275">
        <f>IF($AH275="","",IF(INDEX('Per Invoice'!D$2:D$401,$AH275)="","",INDEX('Per Invoice'!D$2:D$401,$AH275)))</f>
        <v/>
      </c>
      <c r="E275">
        <f>IF($AH275="","",IF(INDEX('Per Invoice'!E$2:E$401,$AH275)="","",INDEX('Per Invoice'!E$2:E$401,$AH275)))</f>
        <v/>
      </c>
      <c r="F275">
        <f>IF($AH275="","",IF(INDEX('Per Invoice'!F$2:F$401,$AH275)="","",INDEX('Per Invoice'!F$2:F$401,$AH275)))</f>
        <v/>
      </c>
      <c r="G275">
        <f>IF($AH275="","",IF(INDEX('Per Invoice'!G$2:G$401,$AH275)="","",INDEX('Per Invoice'!G$2:G$401,$AH275)))</f>
        <v/>
      </c>
      <c r="H275">
        <f>IF($AH275="","",IF(INDEX('Per Invoice'!H$2:H$401,$AH275)="","",INDEX('Per Invoice'!H$2:H$401,$AH275)))</f>
        <v/>
      </c>
      <c r="I275" s="14">
        <f>IF($AH275="","",IF(INDEX('Per Invoice'!I$2:I$401,$AH275)="","",INDEX('Per Invoice'!I$2:I$401,$AH275)))</f>
        <v/>
      </c>
      <c r="J275">
        <f>IF($AH275="","",IF(INDEX('Per Invoice'!J$2:J$401,$AH275)="","",INDEX('Per Invoice'!J$2:J$401,$AH275)))</f>
        <v/>
      </c>
      <c r="K275">
        <f>IF($AH275="","",IF(INDEX('Per Invoice'!K$2:K$401,$AH275)="","",INDEX('Per Invoice'!K$2:K$401,$AH275)))</f>
        <v/>
      </c>
      <c r="L275">
        <f>IF($AH275="","",IF(INDEX('Per Invoice'!L$2:L$401,$AH275)="","",INDEX('Per Invoice'!L$2:L$401,$AH275)))</f>
        <v/>
      </c>
      <c r="M275">
        <f>IF($AH275="","",IF(INDEX('Per Invoice'!M$2:M$401,$AH275)="","",INDEX('Per Invoice'!M$2:M$401,$AH275)))</f>
        <v/>
      </c>
      <c r="N275">
        <f>IF($AH275="","",IF(INDEX('Per Invoice'!N$2:N$401,$AH275)="","",INDEX('Per Invoice'!N$2:N$401,$AH275)))</f>
        <v/>
      </c>
      <c r="O275">
        <f>IF($AH275="","",IF(INDEX('Per Invoice'!O$2:O$401,$AH275)="","",INDEX('Per Invoice'!O$2:O$401,$AH275)))</f>
        <v/>
      </c>
      <c r="P275" s="7">
        <f>IF($AH275="","",IF(INDEX('Per Invoice'!P$2:P$401,$AH275)="","",INDEX('Per Invoice'!P$2:P$401,$AH275)))</f>
        <v/>
      </c>
      <c r="Q275">
        <f>IF($AH275="","",IF(INDEX('Per Invoice'!Q$2:Q$401,$AH275)="","",INDEX('Per Invoice'!Q$2:Q$401,$AH275)))</f>
        <v/>
      </c>
      <c r="R275">
        <f>IF($AH275="","",IF(INDEX('Per Invoice'!R$2:R$401,$AH275)="","",INDEX('Per Invoice'!R$2:R$401,$AH275)))</f>
        <v/>
      </c>
      <c r="S275">
        <f>IF($AH275="","",IF(INDEX('Per Invoice'!S$2:S$401,$AH275)="","",INDEX('Per Invoice'!S$2:S$401,$AH275)))</f>
        <v/>
      </c>
      <c r="T275" s="7">
        <f>IF($AH275="","",IF(INDEX('Per Invoice'!T$2:T$401,$AH275)="","",INDEX('Per Invoice'!T$2:T$401,$AH275)))</f>
        <v/>
      </c>
      <c r="U275" s="7">
        <f>IF($AH275="","",IF(INDEX('Per Invoice'!U$2:U$401,$AH275)="","",INDEX('Per Invoice'!U$2:U$401,$AH275)))</f>
        <v/>
      </c>
      <c r="V275">
        <f>IF($AH275="","",IF(INDEX('Per Invoice'!V$2:V$401,$AH275)="","",INDEX('Per Invoice'!V$2:V$401,$AH275)))</f>
        <v/>
      </c>
      <c r="W275" s="7">
        <f>IF($AH275="","",IF(INDEX('Per Invoice'!W$2:W$401,$AH275)="","",INDEX('Per Invoice'!W$2:W$401,$AH275)))</f>
        <v/>
      </c>
      <c r="X275" s="7">
        <f>IF($AH275="","",IF(INDEX('Per Invoice'!X$2:X$401,$AH275)="","",INDEX('Per Invoice'!X$2:X$401,$AH275)))</f>
        <v/>
      </c>
      <c r="Y275">
        <f>IF($AH275="","",IF(INDEX('Per Invoice'!Y$2:Y$401,$AH275)="","",INDEX('Per Invoice'!Y$2:Y$401,$AH275)))</f>
        <v/>
      </c>
      <c r="Z275" s="7">
        <f>IF($AH275="","",IF(INDEX('Per Invoice'!Z$2:Z$401,$AH275)="","",INDEX('Per Invoice'!Z$2:Z$401,$AH275)))</f>
        <v/>
      </c>
      <c r="AA275" s="7">
        <f>IF($AH275="","",IF(INDEX('Per Invoice'!AA$2:AA$401,$AH275)="","",INDEX('Per Invoice'!AA$2:AA$401,$AH275)))</f>
        <v/>
      </c>
      <c r="AB275" s="7">
        <f>IF($AH275="","",IF(INDEX('Per Invoice'!AB$2:AB$401,$AH275)="","",INDEX('Per Invoice'!AB$2:AB$401,$AH275)))</f>
        <v/>
      </c>
      <c r="AC275" s="7">
        <f>IF($AH275="","",IF(INDEX('Per Invoice'!AC$2:AC$401,$AH275)="","",INDEX('Per Invoice'!AC$2:AC$401,$AH275)))</f>
        <v/>
      </c>
      <c r="AD275" s="7">
        <f>IF($AH275="","",IF(INDEX('Per Invoice'!AD$2:AD$401,$AH275)="","",INDEX('Per Invoice'!AD$2:AD$401,$AH275)))</f>
        <v/>
      </c>
      <c r="AE275" s="7">
        <f>IF($AH275="","",IF(INDEX('Per Invoice'!AE$2:AE$401,$AH275)="","",INDEX('Per Invoice'!AE$2:AE$401,$AH275)))</f>
        <v/>
      </c>
      <c r="AF275">
        <f>IF($AH275="","",IF(INDEX('Per Invoice'!AF$2:AF$401,$AH275)="","",INDEX('Per Invoice'!AF$2:AF$401,$AH275)))</f>
        <v/>
      </c>
      <c r="AG275" s="7">
        <f>IF($AH275="","",IF(INDEX('Per Invoice'!AG$2:AG$401,$AH275)="","",INDEX('Per Invoice'!AG$2:AG$401,$AH275)))</f>
        <v/>
      </c>
      <c r="AH275" s="16">
        <f>IFERROR(MATCH(Settings!$C$27&amp;"|"&amp;ROWS($AH$2:$AH275),'Per Invoice'!$AI$2:$AI$401,0),"")</f>
        <v/>
      </c>
    </row>
    <row r="276">
      <c r="A276">
        <f>IF($AH276="","",IF(INDEX('Per Invoice'!A$2:A$401,$AH276)="","",INDEX('Per Invoice'!A$2:A$401,$AH276)))</f>
        <v/>
      </c>
      <c r="B276">
        <f>IF($AH276="","",IF(INDEX('Per Invoice'!B$2:B$401,$AH276)="","",INDEX('Per Invoice'!B$2:B$401,$AH276)))</f>
        <v/>
      </c>
      <c r="C276">
        <f>IF($AH276="","",IF(INDEX('Per Invoice'!C$2:C$401,$AH276)="","",INDEX('Per Invoice'!C$2:C$401,$AH276)))</f>
        <v/>
      </c>
      <c r="D276">
        <f>IF($AH276="","",IF(INDEX('Per Invoice'!D$2:D$401,$AH276)="","",INDEX('Per Invoice'!D$2:D$401,$AH276)))</f>
        <v/>
      </c>
      <c r="E276">
        <f>IF($AH276="","",IF(INDEX('Per Invoice'!E$2:E$401,$AH276)="","",INDEX('Per Invoice'!E$2:E$401,$AH276)))</f>
        <v/>
      </c>
      <c r="F276">
        <f>IF($AH276="","",IF(INDEX('Per Invoice'!F$2:F$401,$AH276)="","",INDEX('Per Invoice'!F$2:F$401,$AH276)))</f>
        <v/>
      </c>
      <c r="G276">
        <f>IF($AH276="","",IF(INDEX('Per Invoice'!G$2:G$401,$AH276)="","",INDEX('Per Invoice'!G$2:G$401,$AH276)))</f>
        <v/>
      </c>
      <c r="H276">
        <f>IF($AH276="","",IF(INDEX('Per Invoice'!H$2:H$401,$AH276)="","",INDEX('Per Invoice'!H$2:H$401,$AH276)))</f>
        <v/>
      </c>
      <c r="I276" s="14">
        <f>IF($AH276="","",IF(INDEX('Per Invoice'!I$2:I$401,$AH276)="","",INDEX('Per Invoice'!I$2:I$401,$AH276)))</f>
        <v/>
      </c>
      <c r="J276">
        <f>IF($AH276="","",IF(INDEX('Per Invoice'!J$2:J$401,$AH276)="","",INDEX('Per Invoice'!J$2:J$401,$AH276)))</f>
        <v/>
      </c>
      <c r="K276">
        <f>IF($AH276="","",IF(INDEX('Per Invoice'!K$2:K$401,$AH276)="","",INDEX('Per Invoice'!K$2:K$401,$AH276)))</f>
        <v/>
      </c>
      <c r="L276">
        <f>IF($AH276="","",IF(INDEX('Per Invoice'!L$2:L$401,$AH276)="","",INDEX('Per Invoice'!L$2:L$401,$AH276)))</f>
        <v/>
      </c>
      <c r="M276">
        <f>IF($AH276="","",IF(INDEX('Per Invoice'!M$2:M$401,$AH276)="","",INDEX('Per Invoice'!M$2:M$401,$AH276)))</f>
        <v/>
      </c>
      <c r="N276">
        <f>IF($AH276="","",IF(INDEX('Per Invoice'!N$2:N$401,$AH276)="","",INDEX('Per Invoice'!N$2:N$401,$AH276)))</f>
        <v/>
      </c>
      <c r="O276">
        <f>IF($AH276="","",IF(INDEX('Per Invoice'!O$2:O$401,$AH276)="","",INDEX('Per Invoice'!O$2:O$401,$AH276)))</f>
        <v/>
      </c>
      <c r="P276" s="7">
        <f>IF($AH276="","",IF(INDEX('Per Invoice'!P$2:P$401,$AH276)="","",INDEX('Per Invoice'!P$2:P$401,$AH276)))</f>
        <v/>
      </c>
      <c r="Q276">
        <f>IF($AH276="","",IF(INDEX('Per Invoice'!Q$2:Q$401,$AH276)="","",INDEX('Per Invoice'!Q$2:Q$401,$AH276)))</f>
        <v/>
      </c>
      <c r="R276">
        <f>IF($AH276="","",IF(INDEX('Per Invoice'!R$2:R$401,$AH276)="","",INDEX('Per Invoice'!R$2:R$401,$AH276)))</f>
        <v/>
      </c>
      <c r="S276">
        <f>IF($AH276="","",IF(INDEX('Per Invoice'!S$2:S$401,$AH276)="","",INDEX('Per Invoice'!S$2:S$401,$AH276)))</f>
        <v/>
      </c>
      <c r="T276" s="7">
        <f>IF($AH276="","",IF(INDEX('Per Invoice'!T$2:T$401,$AH276)="","",INDEX('Per Invoice'!T$2:T$401,$AH276)))</f>
        <v/>
      </c>
      <c r="U276" s="7">
        <f>IF($AH276="","",IF(INDEX('Per Invoice'!U$2:U$401,$AH276)="","",INDEX('Per Invoice'!U$2:U$401,$AH276)))</f>
        <v/>
      </c>
      <c r="V276">
        <f>IF($AH276="","",IF(INDEX('Per Invoice'!V$2:V$401,$AH276)="","",INDEX('Per Invoice'!V$2:V$401,$AH276)))</f>
        <v/>
      </c>
      <c r="W276" s="7">
        <f>IF($AH276="","",IF(INDEX('Per Invoice'!W$2:W$401,$AH276)="","",INDEX('Per Invoice'!W$2:W$401,$AH276)))</f>
        <v/>
      </c>
      <c r="X276" s="7">
        <f>IF($AH276="","",IF(INDEX('Per Invoice'!X$2:X$401,$AH276)="","",INDEX('Per Invoice'!X$2:X$401,$AH276)))</f>
        <v/>
      </c>
      <c r="Y276">
        <f>IF($AH276="","",IF(INDEX('Per Invoice'!Y$2:Y$401,$AH276)="","",INDEX('Per Invoice'!Y$2:Y$401,$AH276)))</f>
        <v/>
      </c>
      <c r="Z276" s="7">
        <f>IF($AH276="","",IF(INDEX('Per Invoice'!Z$2:Z$401,$AH276)="","",INDEX('Per Invoice'!Z$2:Z$401,$AH276)))</f>
        <v/>
      </c>
      <c r="AA276" s="7">
        <f>IF($AH276="","",IF(INDEX('Per Invoice'!AA$2:AA$401,$AH276)="","",INDEX('Per Invoice'!AA$2:AA$401,$AH276)))</f>
        <v/>
      </c>
      <c r="AB276" s="7">
        <f>IF($AH276="","",IF(INDEX('Per Invoice'!AB$2:AB$401,$AH276)="","",INDEX('Per Invoice'!AB$2:AB$401,$AH276)))</f>
        <v/>
      </c>
      <c r="AC276" s="7">
        <f>IF($AH276="","",IF(INDEX('Per Invoice'!AC$2:AC$401,$AH276)="","",INDEX('Per Invoice'!AC$2:AC$401,$AH276)))</f>
        <v/>
      </c>
      <c r="AD276" s="7">
        <f>IF($AH276="","",IF(INDEX('Per Invoice'!AD$2:AD$401,$AH276)="","",INDEX('Per Invoice'!AD$2:AD$401,$AH276)))</f>
        <v/>
      </c>
      <c r="AE276" s="7">
        <f>IF($AH276="","",IF(INDEX('Per Invoice'!AE$2:AE$401,$AH276)="","",INDEX('Per Invoice'!AE$2:AE$401,$AH276)))</f>
        <v/>
      </c>
      <c r="AF276">
        <f>IF($AH276="","",IF(INDEX('Per Invoice'!AF$2:AF$401,$AH276)="","",INDEX('Per Invoice'!AF$2:AF$401,$AH276)))</f>
        <v/>
      </c>
      <c r="AG276" s="7">
        <f>IF($AH276="","",IF(INDEX('Per Invoice'!AG$2:AG$401,$AH276)="","",INDEX('Per Invoice'!AG$2:AG$401,$AH276)))</f>
        <v/>
      </c>
      <c r="AH276" s="16">
        <f>IFERROR(MATCH(Settings!$C$27&amp;"|"&amp;ROWS($AH$2:$AH276),'Per Invoice'!$AI$2:$AI$401,0),"")</f>
        <v/>
      </c>
    </row>
    <row r="277">
      <c r="A277">
        <f>IF($AH277="","",IF(INDEX('Per Invoice'!A$2:A$401,$AH277)="","",INDEX('Per Invoice'!A$2:A$401,$AH277)))</f>
        <v/>
      </c>
      <c r="B277">
        <f>IF($AH277="","",IF(INDEX('Per Invoice'!B$2:B$401,$AH277)="","",INDEX('Per Invoice'!B$2:B$401,$AH277)))</f>
        <v/>
      </c>
      <c r="C277">
        <f>IF($AH277="","",IF(INDEX('Per Invoice'!C$2:C$401,$AH277)="","",INDEX('Per Invoice'!C$2:C$401,$AH277)))</f>
        <v/>
      </c>
      <c r="D277">
        <f>IF($AH277="","",IF(INDEX('Per Invoice'!D$2:D$401,$AH277)="","",INDEX('Per Invoice'!D$2:D$401,$AH277)))</f>
        <v/>
      </c>
      <c r="E277">
        <f>IF($AH277="","",IF(INDEX('Per Invoice'!E$2:E$401,$AH277)="","",INDEX('Per Invoice'!E$2:E$401,$AH277)))</f>
        <v/>
      </c>
      <c r="F277">
        <f>IF($AH277="","",IF(INDEX('Per Invoice'!F$2:F$401,$AH277)="","",INDEX('Per Invoice'!F$2:F$401,$AH277)))</f>
        <v/>
      </c>
      <c r="G277">
        <f>IF($AH277="","",IF(INDEX('Per Invoice'!G$2:G$401,$AH277)="","",INDEX('Per Invoice'!G$2:G$401,$AH277)))</f>
        <v/>
      </c>
      <c r="H277">
        <f>IF($AH277="","",IF(INDEX('Per Invoice'!H$2:H$401,$AH277)="","",INDEX('Per Invoice'!H$2:H$401,$AH277)))</f>
        <v/>
      </c>
      <c r="I277" s="14">
        <f>IF($AH277="","",IF(INDEX('Per Invoice'!I$2:I$401,$AH277)="","",INDEX('Per Invoice'!I$2:I$401,$AH277)))</f>
        <v/>
      </c>
      <c r="J277">
        <f>IF($AH277="","",IF(INDEX('Per Invoice'!J$2:J$401,$AH277)="","",INDEX('Per Invoice'!J$2:J$401,$AH277)))</f>
        <v/>
      </c>
      <c r="K277">
        <f>IF($AH277="","",IF(INDEX('Per Invoice'!K$2:K$401,$AH277)="","",INDEX('Per Invoice'!K$2:K$401,$AH277)))</f>
        <v/>
      </c>
      <c r="L277">
        <f>IF($AH277="","",IF(INDEX('Per Invoice'!L$2:L$401,$AH277)="","",INDEX('Per Invoice'!L$2:L$401,$AH277)))</f>
        <v/>
      </c>
      <c r="M277">
        <f>IF($AH277="","",IF(INDEX('Per Invoice'!M$2:M$401,$AH277)="","",INDEX('Per Invoice'!M$2:M$401,$AH277)))</f>
        <v/>
      </c>
      <c r="N277">
        <f>IF($AH277="","",IF(INDEX('Per Invoice'!N$2:N$401,$AH277)="","",INDEX('Per Invoice'!N$2:N$401,$AH277)))</f>
        <v/>
      </c>
      <c r="O277">
        <f>IF($AH277="","",IF(INDEX('Per Invoice'!O$2:O$401,$AH277)="","",INDEX('Per Invoice'!O$2:O$401,$AH277)))</f>
        <v/>
      </c>
      <c r="P277" s="7">
        <f>IF($AH277="","",IF(INDEX('Per Invoice'!P$2:P$401,$AH277)="","",INDEX('Per Invoice'!P$2:P$401,$AH277)))</f>
        <v/>
      </c>
      <c r="Q277">
        <f>IF($AH277="","",IF(INDEX('Per Invoice'!Q$2:Q$401,$AH277)="","",INDEX('Per Invoice'!Q$2:Q$401,$AH277)))</f>
        <v/>
      </c>
      <c r="R277">
        <f>IF($AH277="","",IF(INDEX('Per Invoice'!R$2:R$401,$AH277)="","",INDEX('Per Invoice'!R$2:R$401,$AH277)))</f>
        <v/>
      </c>
      <c r="S277">
        <f>IF($AH277="","",IF(INDEX('Per Invoice'!S$2:S$401,$AH277)="","",INDEX('Per Invoice'!S$2:S$401,$AH277)))</f>
        <v/>
      </c>
      <c r="T277" s="7">
        <f>IF($AH277="","",IF(INDEX('Per Invoice'!T$2:T$401,$AH277)="","",INDEX('Per Invoice'!T$2:T$401,$AH277)))</f>
        <v/>
      </c>
      <c r="U277" s="7">
        <f>IF($AH277="","",IF(INDEX('Per Invoice'!U$2:U$401,$AH277)="","",INDEX('Per Invoice'!U$2:U$401,$AH277)))</f>
        <v/>
      </c>
      <c r="V277">
        <f>IF($AH277="","",IF(INDEX('Per Invoice'!V$2:V$401,$AH277)="","",INDEX('Per Invoice'!V$2:V$401,$AH277)))</f>
        <v/>
      </c>
      <c r="W277" s="7">
        <f>IF($AH277="","",IF(INDEX('Per Invoice'!W$2:W$401,$AH277)="","",INDEX('Per Invoice'!W$2:W$401,$AH277)))</f>
        <v/>
      </c>
      <c r="X277" s="7">
        <f>IF($AH277="","",IF(INDEX('Per Invoice'!X$2:X$401,$AH277)="","",INDEX('Per Invoice'!X$2:X$401,$AH277)))</f>
        <v/>
      </c>
      <c r="Y277">
        <f>IF($AH277="","",IF(INDEX('Per Invoice'!Y$2:Y$401,$AH277)="","",INDEX('Per Invoice'!Y$2:Y$401,$AH277)))</f>
        <v/>
      </c>
      <c r="Z277" s="7">
        <f>IF($AH277="","",IF(INDEX('Per Invoice'!Z$2:Z$401,$AH277)="","",INDEX('Per Invoice'!Z$2:Z$401,$AH277)))</f>
        <v/>
      </c>
      <c r="AA277" s="7">
        <f>IF($AH277="","",IF(INDEX('Per Invoice'!AA$2:AA$401,$AH277)="","",INDEX('Per Invoice'!AA$2:AA$401,$AH277)))</f>
        <v/>
      </c>
      <c r="AB277" s="7">
        <f>IF($AH277="","",IF(INDEX('Per Invoice'!AB$2:AB$401,$AH277)="","",INDEX('Per Invoice'!AB$2:AB$401,$AH277)))</f>
        <v/>
      </c>
      <c r="AC277" s="7">
        <f>IF($AH277="","",IF(INDEX('Per Invoice'!AC$2:AC$401,$AH277)="","",INDEX('Per Invoice'!AC$2:AC$401,$AH277)))</f>
        <v/>
      </c>
      <c r="AD277" s="7">
        <f>IF($AH277="","",IF(INDEX('Per Invoice'!AD$2:AD$401,$AH277)="","",INDEX('Per Invoice'!AD$2:AD$401,$AH277)))</f>
        <v/>
      </c>
      <c r="AE277" s="7">
        <f>IF($AH277="","",IF(INDEX('Per Invoice'!AE$2:AE$401,$AH277)="","",INDEX('Per Invoice'!AE$2:AE$401,$AH277)))</f>
        <v/>
      </c>
      <c r="AF277">
        <f>IF($AH277="","",IF(INDEX('Per Invoice'!AF$2:AF$401,$AH277)="","",INDEX('Per Invoice'!AF$2:AF$401,$AH277)))</f>
        <v/>
      </c>
      <c r="AG277" s="7">
        <f>IF($AH277="","",IF(INDEX('Per Invoice'!AG$2:AG$401,$AH277)="","",INDEX('Per Invoice'!AG$2:AG$401,$AH277)))</f>
        <v/>
      </c>
      <c r="AH277" s="16">
        <f>IFERROR(MATCH(Settings!$C$27&amp;"|"&amp;ROWS($AH$2:$AH277),'Per Invoice'!$AI$2:$AI$401,0),"")</f>
        <v/>
      </c>
    </row>
    <row r="278">
      <c r="A278">
        <f>IF($AH278="","",IF(INDEX('Per Invoice'!A$2:A$401,$AH278)="","",INDEX('Per Invoice'!A$2:A$401,$AH278)))</f>
        <v/>
      </c>
      <c r="B278">
        <f>IF($AH278="","",IF(INDEX('Per Invoice'!B$2:B$401,$AH278)="","",INDEX('Per Invoice'!B$2:B$401,$AH278)))</f>
        <v/>
      </c>
      <c r="C278">
        <f>IF($AH278="","",IF(INDEX('Per Invoice'!C$2:C$401,$AH278)="","",INDEX('Per Invoice'!C$2:C$401,$AH278)))</f>
        <v/>
      </c>
      <c r="D278">
        <f>IF($AH278="","",IF(INDEX('Per Invoice'!D$2:D$401,$AH278)="","",INDEX('Per Invoice'!D$2:D$401,$AH278)))</f>
        <v/>
      </c>
      <c r="E278">
        <f>IF($AH278="","",IF(INDEX('Per Invoice'!E$2:E$401,$AH278)="","",INDEX('Per Invoice'!E$2:E$401,$AH278)))</f>
        <v/>
      </c>
      <c r="F278">
        <f>IF($AH278="","",IF(INDEX('Per Invoice'!F$2:F$401,$AH278)="","",INDEX('Per Invoice'!F$2:F$401,$AH278)))</f>
        <v/>
      </c>
      <c r="G278">
        <f>IF($AH278="","",IF(INDEX('Per Invoice'!G$2:G$401,$AH278)="","",INDEX('Per Invoice'!G$2:G$401,$AH278)))</f>
        <v/>
      </c>
      <c r="H278">
        <f>IF($AH278="","",IF(INDEX('Per Invoice'!H$2:H$401,$AH278)="","",INDEX('Per Invoice'!H$2:H$401,$AH278)))</f>
        <v/>
      </c>
      <c r="I278" s="14">
        <f>IF($AH278="","",IF(INDEX('Per Invoice'!I$2:I$401,$AH278)="","",INDEX('Per Invoice'!I$2:I$401,$AH278)))</f>
        <v/>
      </c>
      <c r="J278">
        <f>IF($AH278="","",IF(INDEX('Per Invoice'!J$2:J$401,$AH278)="","",INDEX('Per Invoice'!J$2:J$401,$AH278)))</f>
        <v/>
      </c>
      <c r="K278">
        <f>IF($AH278="","",IF(INDEX('Per Invoice'!K$2:K$401,$AH278)="","",INDEX('Per Invoice'!K$2:K$401,$AH278)))</f>
        <v/>
      </c>
      <c r="L278">
        <f>IF($AH278="","",IF(INDEX('Per Invoice'!L$2:L$401,$AH278)="","",INDEX('Per Invoice'!L$2:L$401,$AH278)))</f>
        <v/>
      </c>
      <c r="M278">
        <f>IF($AH278="","",IF(INDEX('Per Invoice'!M$2:M$401,$AH278)="","",INDEX('Per Invoice'!M$2:M$401,$AH278)))</f>
        <v/>
      </c>
      <c r="N278">
        <f>IF($AH278="","",IF(INDEX('Per Invoice'!N$2:N$401,$AH278)="","",INDEX('Per Invoice'!N$2:N$401,$AH278)))</f>
        <v/>
      </c>
      <c r="O278">
        <f>IF($AH278="","",IF(INDEX('Per Invoice'!O$2:O$401,$AH278)="","",INDEX('Per Invoice'!O$2:O$401,$AH278)))</f>
        <v/>
      </c>
      <c r="P278" s="7">
        <f>IF($AH278="","",IF(INDEX('Per Invoice'!P$2:P$401,$AH278)="","",INDEX('Per Invoice'!P$2:P$401,$AH278)))</f>
        <v/>
      </c>
      <c r="Q278">
        <f>IF($AH278="","",IF(INDEX('Per Invoice'!Q$2:Q$401,$AH278)="","",INDEX('Per Invoice'!Q$2:Q$401,$AH278)))</f>
        <v/>
      </c>
      <c r="R278">
        <f>IF($AH278="","",IF(INDEX('Per Invoice'!R$2:R$401,$AH278)="","",INDEX('Per Invoice'!R$2:R$401,$AH278)))</f>
        <v/>
      </c>
      <c r="S278">
        <f>IF($AH278="","",IF(INDEX('Per Invoice'!S$2:S$401,$AH278)="","",INDEX('Per Invoice'!S$2:S$401,$AH278)))</f>
        <v/>
      </c>
      <c r="T278" s="7">
        <f>IF($AH278="","",IF(INDEX('Per Invoice'!T$2:T$401,$AH278)="","",INDEX('Per Invoice'!T$2:T$401,$AH278)))</f>
        <v/>
      </c>
      <c r="U278" s="7">
        <f>IF($AH278="","",IF(INDEX('Per Invoice'!U$2:U$401,$AH278)="","",INDEX('Per Invoice'!U$2:U$401,$AH278)))</f>
        <v/>
      </c>
      <c r="V278">
        <f>IF($AH278="","",IF(INDEX('Per Invoice'!V$2:V$401,$AH278)="","",INDEX('Per Invoice'!V$2:V$401,$AH278)))</f>
        <v/>
      </c>
      <c r="W278" s="7">
        <f>IF($AH278="","",IF(INDEX('Per Invoice'!W$2:W$401,$AH278)="","",INDEX('Per Invoice'!W$2:W$401,$AH278)))</f>
        <v/>
      </c>
      <c r="X278" s="7">
        <f>IF($AH278="","",IF(INDEX('Per Invoice'!X$2:X$401,$AH278)="","",INDEX('Per Invoice'!X$2:X$401,$AH278)))</f>
        <v/>
      </c>
      <c r="Y278">
        <f>IF($AH278="","",IF(INDEX('Per Invoice'!Y$2:Y$401,$AH278)="","",INDEX('Per Invoice'!Y$2:Y$401,$AH278)))</f>
        <v/>
      </c>
      <c r="Z278" s="7">
        <f>IF($AH278="","",IF(INDEX('Per Invoice'!Z$2:Z$401,$AH278)="","",INDEX('Per Invoice'!Z$2:Z$401,$AH278)))</f>
        <v/>
      </c>
      <c r="AA278" s="7">
        <f>IF($AH278="","",IF(INDEX('Per Invoice'!AA$2:AA$401,$AH278)="","",INDEX('Per Invoice'!AA$2:AA$401,$AH278)))</f>
        <v/>
      </c>
      <c r="AB278" s="7">
        <f>IF($AH278="","",IF(INDEX('Per Invoice'!AB$2:AB$401,$AH278)="","",INDEX('Per Invoice'!AB$2:AB$401,$AH278)))</f>
        <v/>
      </c>
      <c r="AC278" s="7">
        <f>IF($AH278="","",IF(INDEX('Per Invoice'!AC$2:AC$401,$AH278)="","",INDEX('Per Invoice'!AC$2:AC$401,$AH278)))</f>
        <v/>
      </c>
      <c r="AD278" s="7">
        <f>IF($AH278="","",IF(INDEX('Per Invoice'!AD$2:AD$401,$AH278)="","",INDEX('Per Invoice'!AD$2:AD$401,$AH278)))</f>
        <v/>
      </c>
      <c r="AE278" s="7">
        <f>IF($AH278="","",IF(INDEX('Per Invoice'!AE$2:AE$401,$AH278)="","",INDEX('Per Invoice'!AE$2:AE$401,$AH278)))</f>
        <v/>
      </c>
      <c r="AF278">
        <f>IF($AH278="","",IF(INDEX('Per Invoice'!AF$2:AF$401,$AH278)="","",INDEX('Per Invoice'!AF$2:AF$401,$AH278)))</f>
        <v/>
      </c>
      <c r="AG278" s="7">
        <f>IF($AH278="","",IF(INDEX('Per Invoice'!AG$2:AG$401,$AH278)="","",INDEX('Per Invoice'!AG$2:AG$401,$AH278)))</f>
        <v/>
      </c>
      <c r="AH278" s="16">
        <f>IFERROR(MATCH(Settings!$C$27&amp;"|"&amp;ROWS($AH$2:$AH278),'Per Invoice'!$AI$2:$AI$401,0),"")</f>
        <v/>
      </c>
    </row>
    <row r="279">
      <c r="A279">
        <f>IF($AH279="","",IF(INDEX('Per Invoice'!A$2:A$401,$AH279)="","",INDEX('Per Invoice'!A$2:A$401,$AH279)))</f>
        <v/>
      </c>
      <c r="B279">
        <f>IF($AH279="","",IF(INDEX('Per Invoice'!B$2:B$401,$AH279)="","",INDEX('Per Invoice'!B$2:B$401,$AH279)))</f>
        <v/>
      </c>
      <c r="C279">
        <f>IF($AH279="","",IF(INDEX('Per Invoice'!C$2:C$401,$AH279)="","",INDEX('Per Invoice'!C$2:C$401,$AH279)))</f>
        <v/>
      </c>
      <c r="D279">
        <f>IF($AH279="","",IF(INDEX('Per Invoice'!D$2:D$401,$AH279)="","",INDEX('Per Invoice'!D$2:D$401,$AH279)))</f>
        <v/>
      </c>
      <c r="E279">
        <f>IF($AH279="","",IF(INDEX('Per Invoice'!E$2:E$401,$AH279)="","",INDEX('Per Invoice'!E$2:E$401,$AH279)))</f>
        <v/>
      </c>
      <c r="F279">
        <f>IF($AH279="","",IF(INDEX('Per Invoice'!F$2:F$401,$AH279)="","",INDEX('Per Invoice'!F$2:F$401,$AH279)))</f>
        <v/>
      </c>
      <c r="G279">
        <f>IF($AH279="","",IF(INDEX('Per Invoice'!G$2:G$401,$AH279)="","",INDEX('Per Invoice'!G$2:G$401,$AH279)))</f>
        <v/>
      </c>
      <c r="H279">
        <f>IF($AH279="","",IF(INDEX('Per Invoice'!H$2:H$401,$AH279)="","",INDEX('Per Invoice'!H$2:H$401,$AH279)))</f>
        <v/>
      </c>
      <c r="I279" s="14">
        <f>IF($AH279="","",IF(INDEX('Per Invoice'!I$2:I$401,$AH279)="","",INDEX('Per Invoice'!I$2:I$401,$AH279)))</f>
        <v/>
      </c>
      <c r="J279">
        <f>IF($AH279="","",IF(INDEX('Per Invoice'!J$2:J$401,$AH279)="","",INDEX('Per Invoice'!J$2:J$401,$AH279)))</f>
        <v/>
      </c>
      <c r="K279">
        <f>IF($AH279="","",IF(INDEX('Per Invoice'!K$2:K$401,$AH279)="","",INDEX('Per Invoice'!K$2:K$401,$AH279)))</f>
        <v/>
      </c>
      <c r="L279">
        <f>IF($AH279="","",IF(INDEX('Per Invoice'!L$2:L$401,$AH279)="","",INDEX('Per Invoice'!L$2:L$401,$AH279)))</f>
        <v/>
      </c>
      <c r="M279">
        <f>IF($AH279="","",IF(INDEX('Per Invoice'!M$2:M$401,$AH279)="","",INDEX('Per Invoice'!M$2:M$401,$AH279)))</f>
        <v/>
      </c>
      <c r="N279">
        <f>IF($AH279="","",IF(INDEX('Per Invoice'!N$2:N$401,$AH279)="","",INDEX('Per Invoice'!N$2:N$401,$AH279)))</f>
        <v/>
      </c>
      <c r="O279">
        <f>IF($AH279="","",IF(INDEX('Per Invoice'!O$2:O$401,$AH279)="","",INDEX('Per Invoice'!O$2:O$401,$AH279)))</f>
        <v/>
      </c>
      <c r="P279" s="7">
        <f>IF($AH279="","",IF(INDEX('Per Invoice'!P$2:P$401,$AH279)="","",INDEX('Per Invoice'!P$2:P$401,$AH279)))</f>
        <v/>
      </c>
      <c r="Q279">
        <f>IF($AH279="","",IF(INDEX('Per Invoice'!Q$2:Q$401,$AH279)="","",INDEX('Per Invoice'!Q$2:Q$401,$AH279)))</f>
        <v/>
      </c>
      <c r="R279">
        <f>IF($AH279="","",IF(INDEX('Per Invoice'!R$2:R$401,$AH279)="","",INDEX('Per Invoice'!R$2:R$401,$AH279)))</f>
        <v/>
      </c>
      <c r="S279">
        <f>IF($AH279="","",IF(INDEX('Per Invoice'!S$2:S$401,$AH279)="","",INDEX('Per Invoice'!S$2:S$401,$AH279)))</f>
        <v/>
      </c>
      <c r="T279" s="7">
        <f>IF($AH279="","",IF(INDEX('Per Invoice'!T$2:T$401,$AH279)="","",INDEX('Per Invoice'!T$2:T$401,$AH279)))</f>
        <v/>
      </c>
      <c r="U279" s="7">
        <f>IF($AH279="","",IF(INDEX('Per Invoice'!U$2:U$401,$AH279)="","",INDEX('Per Invoice'!U$2:U$401,$AH279)))</f>
        <v/>
      </c>
      <c r="V279">
        <f>IF($AH279="","",IF(INDEX('Per Invoice'!V$2:V$401,$AH279)="","",INDEX('Per Invoice'!V$2:V$401,$AH279)))</f>
        <v/>
      </c>
      <c r="W279" s="7">
        <f>IF($AH279="","",IF(INDEX('Per Invoice'!W$2:W$401,$AH279)="","",INDEX('Per Invoice'!W$2:W$401,$AH279)))</f>
        <v/>
      </c>
      <c r="X279" s="7">
        <f>IF($AH279="","",IF(INDEX('Per Invoice'!X$2:X$401,$AH279)="","",INDEX('Per Invoice'!X$2:X$401,$AH279)))</f>
        <v/>
      </c>
      <c r="Y279">
        <f>IF($AH279="","",IF(INDEX('Per Invoice'!Y$2:Y$401,$AH279)="","",INDEX('Per Invoice'!Y$2:Y$401,$AH279)))</f>
        <v/>
      </c>
      <c r="Z279" s="7">
        <f>IF($AH279="","",IF(INDEX('Per Invoice'!Z$2:Z$401,$AH279)="","",INDEX('Per Invoice'!Z$2:Z$401,$AH279)))</f>
        <v/>
      </c>
      <c r="AA279" s="7">
        <f>IF($AH279="","",IF(INDEX('Per Invoice'!AA$2:AA$401,$AH279)="","",INDEX('Per Invoice'!AA$2:AA$401,$AH279)))</f>
        <v/>
      </c>
      <c r="AB279" s="7">
        <f>IF($AH279="","",IF(INDEX('Per Invoice'!AB$2:AB$401,$AH279)="","",INDEX('Per Invoice'!AB$2:AB$401,$AH279)))</f>
        <v/>
      </c>
      <c r="AC279" s="7">
        <f>IF($AH279="","",IF(INDEX('Per Invoice'!AC$2:AC$401,$AH279)="","",INDEX('Per Invoice'!AC$2:AC$401,$AH279)))</f>
        <v/>
      </c>
      <c r="AD279" s="7">
        <f>IF($AH279="","",IF(INDEX('Per Invoice'!AD$2:AD$401,$AH279)="","",INDEX('Per Invoice'!AD$2:AD$401,$AH279)))</f>
        <v/>
      </c>
      <c r="AE279" s="7">
        <f>IF($AH279="","",IF(INDEX('Per Invoice'!AE$2:AE$401,$AH279)="","",INDEX('Per Invoice'!AE$2:AE$401,$AH279)))</f>
        <v/>
      </c>
      <c r="AF279">
        <f>IF($AH279="","",IF(INDEX('Per Invoice'!AF$2:AF$401,$AH279)="","",INDEX('Per Invoice'!AF$2:AF$401,$AH279)))</f>
        <v/>
      </c>
      <c r="AG279" s="7">
        <f>IF($AH279="","",IF(INDEX('Per Invoice'!AG$2:AG$401,$AH279)="","",INDEX('Per Invoice'!AG$2:AG$401,$AH279)))</f>
        <v/>
      </c>
      <c r="AH279" s="16">
        <f>IFERROR(MATCH(Settings!$C$27&amp;"|"&amp;ROWS($AH$2:$AH279),'Per Invoice'!$AI$2:$AI$401,0),"")</f>
        <v/>
      </c>
    </row>
    <row r="280">
      <c r="A280">
        <f>IF($AH280="","",IF(INDEX('Per Invoice'!A$2:A$401,$AH280)="","",INDEX('Per Invoice'!A$2:A$401,$AH280)))</f>
        <v/>
      </c>
      <c r="B280">
        <f>IF($AH280="","",IF(INDEX('Per Invoice'!B$2:B$401,$AH280)="","",INDEX('Per Invoice'!B$2:B$401,$AH280)))</f>
        <v/>
      </c>
      <c r="C280">
        <f>IF($AH280="","",IF(INDEX('Per Invoice'!C$2:C$401,$AH280)="","",INDEX('Per Invoice'!C$2:C$401,$AH280)))</f>
        <v/>
      </c>
      <c r="D280">
        <f>IF($AH280="","",IF(INDEX('Per Invoice'!D$2:D$401,$AH280)="","",INDEX('Per Invoice'!D$2:D$401,$AH280)))</f>
        <v/>
      </c>
      <c r="E280">
        <f>IF($AH280="","",IF(INDEX('Per Invoice'!E$2:E$401,$AH280)="","",INDEX('Per Invoice'!E$2:E$401,$AH280)))</f>
        <v/>
      </c>
      <c r="F280">
        <f>IF($AH280="","",IF(INDEX('Per Invoice'!F$2:F$401,$AH280)="","",INDEX('Per Invoice'!F$2:F$401,$AH280)))</f>
        <v/>
      </c>
      <c r="G280">
        <f>IF($AH280="","",IF(INDEX('Per Invoice'!G$2:G$401,$AH280)="","",INDEX('Per Invoice'!G$2:G$401,$AH280)))</f>
        <v/>
      </c>
      <c r="H280">
        <f>IF($AH280="","",IF(INDEX('Per Invoice'!H$2:H$401,$AH280)="","",INDEX('Per Invoice'!H$2:H$401,$AH280)))</f>
        <v/>
      </c>
      <c r="I280" s="14">
        <f>IF($AH280="","",IF(INDEX('Per Invoice'!I$2:I$401,$AH280)="","",INDEX('Per Invoice'!I$2:I$401,$AH280)))</f>
        <v/>
      </c>
      <c r="J280">
        <f>IF($AH280="","",IF(INDEX('Per Invoice'!J$2:J$401,$AH280)="","",INDEX('Per Invoice'!J$2:J$401,$AH280)))</f>
        <v/>
      </c>
      <c r="K280">
        <f>IF($AH280="","",IF(INDEX('Per Invoice'!K$2:K$401,$AH280)="","",INDEX('Per Invoice'!K$2:K$401,$AH280)))</f>
        <v/>
      </c>
      <c r="L280">
        <f>IF($AH280="","",IF(INDEX('Per Invoice'!L$2:L$401,$AH280)="","",INDEX('Per Invoice'!L$2:L$401,$AH280)))</f>
        <v/>
      </c>
      <c r="M280">
        <f>IF($AH280="","",IF(INDEX('Per Invoice'!M$2:M$401,$AH280)="","",INDEX('Per Invoice'!M$2:M$401,$AH280)))</f>
        <v/>
      </c>
      <c r="N280">
        <f>IF($AH280="","",IF(INDEX('Per Invoice'!N$2:N$401,$AH280)="","",INDEX('Per Invoice'!N$2:N$401,$AH280)))</f>
        <v/>
      </c>
      <c r="O280">
        <f>IF($AH280="","",IF(INDEX('Per Invoice'!O$2:O$401,$AH280)="","",INDEX('Per Invoice'!O$2:O$401,$AH280)))</f>
        <v/>
      </c>
      <c r="P280" s="7">
        <f>IF($AH280="","",IF(INDEX('Per Invoice'!P$2:P$401,$AH280)="","",INDEX('Per Invoice'!P$2:P$401,$AH280)))</f>
        <v/>
      </c>
      <c r="Q280">
        <f>IF($AH280="","",IF(INDEX('Per Invoice'!Q$2:Q$401,$AH280)="","",INDEX('Per Invoice'!Q$2:Q$401,$AH280)))</f>
        <v/>
      </c>
      <c r="R280">
        <f>IF($AH280="","",IF(INDEX('Per Invoice'!R$2:R$401,$AH280)="","",INDEX('Per Invoice'!R$2:R$401,$AH280)))</f>
        <v/>
      </c>
      <c r="S280">
        <f>IF($AH280="","",IF(INDEX('Per Invoice'!S$2:S$401,$AH280)="","",INDEX('Per Invoice'!S$2:S$401,$AH280)))</f>
        <v/>
      </c>
      <c r="T280" s="7">
        <f>IF($AH280="","",IF(INDEX('Per Invoice'!T$2:T$401,$AH280)="","",INDEX('Per Invoice'!T$2:T$401,$AH280)))</f>
        <v/>
      </c>
      <c r="U280" s="7">
        <f>IF($AH280="","",IF(INDEX('Per Invoice'!U$2:U$401,$AH280)="","",INDEX('Per Invoice'!U$2:U$401,$AH280)))</f>
        <v/>
      </c>
      <c r="V280">
        <f>IF($AH280="","",IF(INDEX('Per Invoice'!V$2:V$401,$AH280)="","",INDEX('Per Invoice'!V$2:V$401,$AH280)))</f>
        <v/>
      </c>
      <c r="W280" s="7">
        <f>IF($AH280="","",IF(INDEX('Per Invoice'!W$2:W$401,$AH280)="","",INDEX('Per Invoice'!W$2:W$401,$AH280)))</f>
        <v/>
      </c>
      <c r="X280" s="7">
        <f>IF($AH280="","",IF(INDEX('Per Invoice'!X$2:X$401,$AH280)="","",INDEX('Per Invoice'!X$2:X$401,$AH280)))</f>
        <v/>
      </c>
      <c r="Y280">
        <f>IF($AH280="","",IF(INDEX('Per Invoice'!Y$2:Y$401,$AH280)="","",INDEX('Per Invoice'!Y$2:Y$401,$AH280)))</f>
        <v/>
      </c>
      <c r="Z280" s="7">
        <f>IF($AH280="","",IF(INDEX('Per Invoice'!Z$2:Z$401,$AH280)="","",INDEX('Per Invoice'!Z$2:Z$401,$AH280)))</f>
        <v/>
      </c>
      <c r="AA280" s="7">
        <f>IF($AH280="","",IF(INDEX('Per Invoice'!AA$2:AA$401,$AH280)="","",INDEX('Per Invoice'!AA$2:AA$401,$AH280)))</f>
        <v/>
      </c>
      <c r="AB280" s="7">
        <f>IF($AH280="","",IF(INDEX('Per Invoice'!AB$2:AB$401,$AH280)="","",INDEX('Per Invoice'!AB$2:AB$401,$AH280)))</f>
        <v/>
      </c>
      <c r="AC280" s="7">
        <f>IF($AH280="","",IF(INDEX('Per Invoice'!AC$2:AC$401,$AH280)="","",INDEX('Per Invoice'!AC$2:AC$401,$AH280)))</f>
        <v/>
      </c>
      <c r="AD280" s="7">
        <f>IF($AH280="","",IF(INDEX('Per Invoice'!AD$2:AD$401,$AH280)="","",INDEX('Per Invoice'!AD$2:AD$401,$AH280)))</f>
        <v/>
      </c>
      <c r="AE280" s="7">
        <f>IF($AH280="","",IF(INDEX('Per Invoice'!AE$2:AE$401,$AH280)="","",INDEX('Per Invoice'!AE$2:AE$401,$AH280)))</f>
        <v/>
      </c>
      <c r="AF280">
        <f>IF($AH280="","",IF(INDEX('Per Invoice'!AF$2:AF$401,$AH280)="","",INDEX('Per Invoice'!AF$2:AF$401,$AH280)))</f>
        <v/>
      </c>
      <c r="AG280" s="7">
        <f>IF($AH280="","",IF(INDEX('Per Invoice'!AG$2:AG$401,$AH280)="","",INDEX('Per Invoice'!AG$2:AG$401,$AH280)))</f>
        <v/>
      </c>
      <c r="AH280" s="16">
        <f>IFERROR(MATCH(Settings!$C$27&amp;"|"&amp;ROWS($AH$2:$AH280),'Per Invoice'!$AI$2:$AI$401,0),"")</f>
        <v/>
      </c>
    </row>
    <row r="281">
      <c r="A281">
        <f>IF($AH281="","",IF(INDEX('Per Invoice'!A$2:A$401,$AH281)="","",INDEX('Per Invoice'!A$2:A$401,$AH281)))</f>
        <v/>
      </c>
      <c r="B281">
        <f>IF($AH281="","",IF(INDEX('Per Invoice'!B$2:B$401,$AH281)="","",INDEX('Per Invoice'!B$2:B$401,$AH281)))</f>
        <v/>
      </c>
      <c r="C281">
        <f>IF($AH281="","",IF(INDEX('Per Invoice'!C$2:C$401,$AH281)="","",INDEX('Per Invoice'!C$2:C$401,$AH281)))</f>
        <v/>
      </c>
      <c r="D281">
        <f>IF($AH281="","",IF(INDEX('Per Invoice'!D$2:D$401,$AH281)="","",INDEX('Per Invoice'!D$2:D$401,$AH281)))</f>
        <v/>
      </c>
      <c r="E281">
        <f>IF($AH281="","",IF(INDEX('Per Invoice'!E$2:E$401,$AH281)="","",INDEX('Per Invoice'!E$2:E$401,$AH281)))</f>
        <v/>
      </c>
      <c r="F281">
        <f>IF($AH281="","",IF(INDEX('Per Invoice'!F$2:F$401,$AH281)="","",INDEX('Per Invoice'!F$2:F$401,$AH281)))</f>
        <v/>
      </c>
      <c r="G281">
        <f>IF($AH281="","",IF(INDEX('Per Invoice'!G$2:G$401,$AH281)="","",INDEX('Per Invoice'!G$2:G$401,$AH281)))</f>
        <v/>
      </c>
      <c r="H281">
        <f>IF($AH281="","",IF(INDEX('Per Invoice'!H$2:H$401,$AH281)="","",INDEX('Per Invoice'!H$2:H$401,$AH281)))</f>
        <v/>
      </c>
      <c r="I281" s="14">
        <f>IF($AH281="","",IF(INDEX('Per Invoice'!I$2:I$401,$AH281)="","",INDEX('Per Invoice'!I$2:I$401,$AH281)))</f>
        <v/>
      </c>
      <c r="J281">
        <f>IF($AH281="","",IF(INDEX('Per Invoice'!J$2:J$401,$AH281)="","",INDEX('Per Invoice'!J$2:J$401,$AH281)))</f>
        <v/>
      </c>
      <c r="K281">
        <f>IF($AH281="","",IF(INDEX('Per Invoice'!K$2:K$401,$AH281)="","",INDEX('Per Invoice'!K$2:K$401,$AH281)))</f>
        <v/>
      </c>
      <c r="L281">
        <f>IF($AH281="","",IF(INDEX('Per Invoice'!L$2:L$401,$AH281)="","",INDEX('Per Invoice'!L$2:L$401,$AH281)))</f>
        <v/>
      </c>
      <c r="M281">
        <f>IF($AH281="","",IF(INDEX('Per Invoice'!M$2:M$401,$AH281)="","",INDEX('Per Invoice'!M$2:M$401,$AH281)))</f>
        <v/>
      </c>
      <c r="N281">
        <f>IF($AH281="","",IF(INDEX('Per Invoice'!N$2:N$401,$AH281)="","",INDEX('Per Invoice'!N$2:N$401,$AH281)))</f>
        <v/>
      </c>
      <c r="O281">
        <f>IF($AH281="","",IF(INDEX('Per Invoice'!O$2:O$401,$AH281)="","",INDEX('Per Invoice'!O$2:O$401,$AH281)))</f>
        <v/>
      </c>
      <c r="P281" s="7">
        <f>IF($AH281="","",IF(INDEX('Per Invoice'!P$2:P$401,$AH281)="","",INDEX('Per Invoice'!P$2:P$401,$AH281)))</f>
        <v/>
      </c>
      <c r="Q281">
        <f>IF($AH281="","",IF(INDEX('Per Invoice'!Q$2:Q$401,$AH281)="","",INDEX('Per Invoice'!Q$2:Q$401,$AH281)))</f>
        <v/>
      </c>
      <c r="R281">
        <f>IF($AH281="","",IF(INDEX('Per Invoice'!R$2:R$401,$AH281)="","",INDEX('Per Invoice'!R$2:R$401,$AH281)))</f>
        <v/>
      </c>
      <c r="S281">
        <f>IF($AH281="","",IF(INDEX('Per Invoice'!S$2:S$401,$AH281)="","",INDEX('Per Invoice'!S$2:S$401,$AH281)))</f>
        <v/>
      </c>
      <c r="T281" s="7">
        <f>IF($AH281="","",IF(INDEX('Per Invoice'!T$2:T$401,$AH281)="","",INDEX('Per Invoice'!T$2:T$401,$AH281)))</f>
        <v/>
      </c>
      <c r="U281" s="7">
        <f>IF($AH281="","",IF(INDEX('Per Invoice'!U$2:U$401,$AH281)="","",INDEX('Per Invoice'!U$2:U$401,$AH281)))</f>
        <v/>
      </c>
      <c r="V281">
        <f>IF($AH281="","",IF(INDEX('Per Invoice'!V$2:V$401,$AH281)="","",INDEX('Per Invoice'!V$2:V$401,$AH281)))</f>
        <v/>
      </c>
      <c r="W281" s="7">
        <f>IF($AH281="","",IF(INDEX('Per Invoice'!W$2:W$401,$AH281)="","",INDEX('Per Invoice'!W$2:W$401,$AH281)))</f>
        <v/>
      </c>
      <c r="X281" s="7">
        <f>IF($AH281="","",IF(INDEX('Per Invoice'!X$2:X$401,$AH281)="","",INDEX('Per Invoice'!X$2:X$401,$AH281)))</f>
        <v/>
      </c>
      <c r="Y281">
        <f>IF($AH281="","",IF(INDEX('Per Invoice'!Y$2:Y$401,$AH281)="","",INDEX('Per Invoice'!Y$2:Y$401,$AH281)))</f>
        <v/>
      </c>
      <c r="Z281" s="7">
        <f>IF($AH281="","",IF(INDEX('Per Invoice'!Z$2:Z$401,$AH281)="","",INDEX('Per Invoice'!Z$2:Z$401,$AH281)))</f>
        <v/>
      </c>
      <c r="AA281" s="7">
        <f>IF($AH281="","",IF(INDEX('Per Invoice'!AA$2:AA$401,$AH281)="","",INDEX('Per Invoice'!AA$2:AA$401,$AH281)))</f>
        <v/>
      </c>
      <c r="AB281" s="7">
        <f>IF($AH281="","",IF(INDEX('Per Invoice'!AB$2:AB$401,$AH281)="","",INDEX('Per Invoice'!AB$2:AB$401,$AH281)))</f>
        <v/>
      </c>
      <c r="AC281" s="7">
        <f>IF($AH281="","",IF(INDEX('Per Invoice'!AC$2:AC$401,$AH281)="","",INDEX('Per Invoice'!AC$2:AC$401,$AH281)))</f>
        <v/>
      </c>
      <c r="AD281" s="7">
        <f>IF($AH281="","",IF(INDEX('Per Invoice'!AD$2:AD$401,$AH281)="","",INDEX('Per Invoice'!AD$2:AD$401,$AH281)))</f>
        <v/>
      </c>
      <c r="AE281" s="7">
        <f>IF($AH281="","",IF(INDEX('Per Invoice'!AE$2:AE$401,$AH281)="","",INDEX('Per Invoice'!AE$2:AE$401,$AH281)))</f>
        <v/>
      </c>
      <c r="AF281">
        <f>IF($AH281="","",IF(INDEX('Per Invoice'!AF$2:AF$401,$AH281)="","",INDEX('Per Invoice'!AF$2:AF$401,$AH281)))</f>
        <v/>
      </c>
      <c r="AG281" s="7">
        <f>IF($AH281="","",IF(INDEX('Per Invoice'!AG$2:AG$401,$AH281)="","",INDEX('Per Invoice'!AG$2:AG$401,$AH281)))</f>
        <v/>
      </c>
      <c r="AH281" s="16">
        <f>IFERROR(MATCH(Settings!$C$27&amp;"|"&amp;ROWS($AH$2:$AH281),'Per Invoice'!$AI$2:$AI$401,0),"")</f>
        <v/>
      </c>
    </row>
    <row r="282">
      <c r="A282">
        <f>IF($AH282="","",IF(INDEX('Per Invoice'!A$2:A$401,$AH282)="","",INDEX('Per Invoice'!A$2:A$401,$AH282)))</f>
        <v/>
      </c>
      <c r="B282">
        <f>IF($AH282="","",IF(INDEX('Per Invoice'!B$2:B$401,$AH282)="","",INDEX('Per Invoice'!B$2:B$401,$AH282)))</f>
        <v/>
      </c>
      <c r="C282">
        <f>IF($AH282="","",IF(INDEX('Per Invoice'!C$2:C$401,$AH282)="","",INDEX('Per Invoice'!C$2:C$401,$AH282)))</f>
        <v/>
      </c>
      <c r="D282">
        <f>IF($AH282="","",IF(INDEX('Per Invoice'!D$2:D$401,$AH282)="","",INDEX('Per Invoice'!D$2:D$401,$AH282)))</f>
        <v/>
      </c>
      <c r="E282">
        <f>IF($AH282="","",IF(INDEX('Per Invoice'!E$2:E$401,$AH282)="","",INDEX('Per Invoice'!E$2:E$401,$AH282)))</f>
        <v/>
      </c>
      <c r="F282">
        <f>IF($AH282="","",IF(INDEX('Per Invoice'!F$2:F$401,$AH282)="","",INDEX('Per Invoice'!F$2:F$401,$AH282)))</f>
        <v/>
      </c>
      <c r="G282">
        <f>IF($AH282="","",IF(INDEX('Per Invoice'!G$2:G$401,$AH282)="","",INDEX('Per Invoice'!G$2:G$401,$AH282)))</f>
        <v/>
      </c>
      <c r="H282">
        <f>IF($AH282="","",IF(INDEX('Per Invoice'!H$2:H$401,$AH282)="","",INDEX('Per Invoice'!H$2:H$401,$AH282)))</f>
        <v/>
      </c>
      <c r="I282" s="14">
        <f>IF($AH282="","",IF(INDEX('Per Invoice'!I$2:I$401,$AH282)="","",INDEX('Per Invoice'!I$2:I$401,$AH282)))</f>
        <v/>
      </c>
      <c r="J282">
        <f>IF($AH282="","",IF(INDEX('Per Invoice'!J$2:J$401,$AH282)="","",INDEX('Per Invoice'!J$2:J$401,$AH282)))</f>
        <v/>
      </c>
      <c r="K282">
        <f>IF($AH282="","",IF(INDEX('Per Invoice'!K$2:K$401,$AH282)="","",INDEX('Per Invoice'!K$2:K$401,$AH282)))</f>
        <v/>
      </c>
      <c r="L282">
        <f>IF($AH282="","",IF(INDEX('Per Invoice'!L$2:L$401,$AH282)="","",INDEX('Per Invoice'!L$2:L$401,$AH282)))</f>
        <v/>
      </c>
      <c r="M282">
        <f>IF($AH282="","",IF(INDEX('Per Invoice'!M$2:M$401,$AH282)="","",INDEX('Per Invoice'!M$2:M$401,$AH282)))</f>
        <v/>
      </c>
      <c r="N282">
        <f>IF($AH282="","",IF(INDEX('Per Invoice'!N$2:N$401,$AH282)="","",INDEX('Per Invoice'!N$2:N$401,$AH282)))</f>
        <v/>
      </c>
      <c r="O282">
        <f>IF($AH282="","",IF(INDEX('Per Invoice'!O$2:O$401,$AH282)="","",INDEX('Per Invoice'!O$2:O$401,$AH282)))</f>
        <v/>
      </c>
      <c r="P282" s="7">
        <f>IF($AH282="","",IF(INDEX('Per Invoice'!P$2:P$401,$AH282)="","",INDEX('Per Invoice'!P$2:P$401,$AH282)))</f>
        <v/>
      </c>
      <c r="Q282">
        <f>IF($AH282="","",IF(INDEX('Per Invoice'!Q$2:Q$401,$AH282)="","",INDEX('Per Invoice'!Q$2:Q$401,$AH282)))</f>
        <v/>
      </c>
      <c r="R282">
        <f>IF($AH282="","",IF(INDEX('Per Invoice'!R$2:R$401,$AH282)="","",INDEX('Per Invoice'!R$2:R$401,$AH282)))</f>
        <v/>
      </c>
      <c r="S282">
        <f>IF($AH282="","",IF(INDEX('Per Invoice'!S$2:S$401,$AH282)="","",INDEX('Per Invoice'!S$2:S$401,$AH282)))</f>
        <v/>
      </c>
      <c r="T282" s="7">
        <f>IF($AH282="","",IF(INDEX('Per Invoice'!T$2:T$401,$AH282)="","",INDEX('Per Invoice'!T$2:T$401,$AH282)))</f>
        <v/>
      </c>
      <c r="U282" s="7">
        <f>IF($AH282="","",IF(INDEX('Per Invoice'!U$2:U$401,$AH282)="","",INDEX('Per Invoice'!U$2:U$401,$AH282)))</f>
        <v/>
      </c>
      <c r="V282">
        <f>IF($AH282="","",IF(INDEX('Per Invoice'!V$2:V$401,$AH282)="","",INDEX('Per Invoice'!V$2:V$401,$AH282)))</f>
        <v/>
      </c>
      <c r="W282" s="7">
        <f>IF($AH282="","",IF(INDEX('Per Invoice'!W$2:W$401,$AH282)="","",INDEX('Per Invoice'!W$2:W$401,$AH282)))</f>
        <v/>
      </c>
      <c r="X282" s="7">
        <f>IF($AH282="","",IF(INDEX('Per Invoice'!X$2:X$401,$AH282)="","",INDEX('Per Invoice'!X$2:X$401,$AH282)))</f>
        <v/>
      </c>
      <c r="Y282">
        <f>IF($AH282="","",IF(INDEX('Per Invoice'!Y$2:Y$401,$AH282)="","",INDEX('Per Invoice'!Y$2:Y$401,$AH282)))</f>
        <v/>
      </c>
      <c r="Z282" s="7">
        <f>IF($AH282="","",IF(INDEX('Per Invoice'!Z$2:Z$401,$AH282)="","",INDEX('Per Invoice'!Z$2:Z$401,$AH282)))</f>
        <v/>
      </c>
      <c r="AA282" s="7">
        <f>IF($AH282="","",IF(INDEX('Per Invoice'!AA$2:AA$401,$AH282)="","",INDEX('Per Invoice'!AA$2:AA$401,$AH282)))</f>
        <v/>
      </c>
      <c r="AB282" s="7">
        <f>IF($AH282="","",IF(INDEX('Per Invoice'!AB$2:AB$401,$AH282)="","",INDEX('Per Invoice'!AB$2:AB$401,$AH282)))</f>
        <v/>
      </c>
      <c r="AC282" s="7">
        <f>IF($AH282="","",IF(INDEX('Per Invoice'!AC$2:AC$401,$AH282)="","",INDEX('Per Invoice'!AC$2:AC$401,$AH282)))</f>
        <v/>
      </c>
      <c r="AD282" s="7">
        <f>IF($AH282="","",IF(INDEX('Per Invoice'!AD$2:AD$401,$AH282)="","",INDEX('Per Invoice'!AD$2:AD$401,$AH282)))</f>
        <v/>
      </c>
      <c r="AE282" s="7">
        <f>IF($AH282="","",IF(INDEX('Per Invoice'!AE$2:AE$401,$AH282)="","",INDEX('Per Invoice'!AE$2:AE$401,$AH282)))</f>
        <v/>
      </c>
      <c r="AF282">
        <f>IF($AH282="","",IF(INDEX('Per Invoice'!AF$2:AF$401,$AH282)="","",INDEX('Per Invoice'!AF$2:AF$401,$AH282)))</f>
        <v/>
      </c>
      <c r="AG282" s="7">
        <f>IF($AH282="","",IF(INDEX('Per Invoice'!AG$2:AG$401,$AH282)="","",INDEX('Per Invoice'!AG$2:AG$401,$AH282)))</f>
        <v/>
      </c>
      <c r="AH282" s="16">
        <f>IFERROR(MATCH(Settings!$C$27&amp;"|"&amp;ROWS($AH$2:$AH282),'Per Invoice'!$AI$2:$AI$401,0),"")</f>
        <v/>
      </c>
    </row>
    <row r="283">
      <c r="A283">
        <f>IF($AH283="","",IF(INDEX('Per Invoice'!A$2:A$401,$AH283)="","",INDEX('Per Invoice'!A$2:A$401,$AH283)))</f>
        <v/>
      </c>
      <c r="B283">
        <f>IF($AH283="","",IF(INDEX('Per Invoice'!B$2:B$401,$AH283)="","",INDEX('Per Invoice'!B$2:B$401,$AH283)))</f>
        <v/>
      </c>
      <c r="C283">
        <f>IF($AH283="","",IF(INDEX('Per Invoice'!C$2:C$401,$AH283)="","",INDEX('Per Invoice'!C$2:C$401,$AH283)))</f>
        <v/>
      </c>
      <c r="D283">
        <f>IF($AH283="","",IF(INDEX('Per Invoice'!D$2:D$401,$AH283)="","",INDEX('Per Invoice'!D$2:D$401,$AH283)))</f>
        <v/>
      </c>
      <c r="E283">
        <f>IF($AH283="","",IF(INDEX('Per Invoice'!E$2:E$401,$AH283)="","",INDEX('Per Invoice'!E$2:E$401,$AH283)))</f>
        <v/>
      </c>
      <c r="F283">
        <f>IF($AH283="","",IF(INDEX('Per Invoice'!F$2:F$401,$AH283)="","",INDEX('Per Invoice'!F$2:F$401,$AH283)))</f>
        <v/>
      </c>
      <c r="G283">
        <f>IF($AH283="","",IF(INDEX('Per Invoice'!G$2:G$401,$AH283)="","",INDEX('Per Invoice'!G$2:G$401,$AH283)))</f>
        <v/>
      </c>
      <c r="H283">
        <f>IF($AH283="","",IF(INDEX('Per Invoice'!H$2:H$401,$AH283)="","",INDEX('Per Invoice'!H$2:H$401,$AH283)))</f>
        <v/>
      </c>
      <c r="I283" s="14">
        <f>IF($AH283="","",IF(INDEX('Per Invoice'!I$2:I$401,$AH283)="","",INDEX('Per Invoice'!I$2:I$401,$AH283)))</f>
        <v/>
      </c>
      <c r="J283">
        <f>IF($AH283="","",IF(INDEX('Per Invoice'!J$2:J$401,$AH283)="","",INDEX('Per Invoice'!J$2:J$401,$AH283)))</f>
        <v/>
      </c>
      <c r="K283">
        <f>IF($AH283="","",IF(INDEX('Per Invoice'!K$2:K$401,$AH283)="","",INDEX('Per Invoice'!K$2:K$401,$AH283)))</f>
        <v/>
      </c>
      <c r="L283">
        <f>IF($AH283="","",IF(INDEX('Per Invoice'!L$2:L$401,$AH283)="","",INDEX('Per Invoice'!L$2:L$401,$AH283)))</f>
        <v/>
      </c>
      <c r="M283">
        <f>IF($AH283="","",IF(INDEX('Per Invoice'!M$2:M$401,$AH283)="","",INDEX('Per Invoice'!M$2:M$401,$AH283)))</f>
        <v/>
      </c>
      <c r="N283">
        <f>IF($AH283="","",IF(INDEX('Per Invoice'!N$2:N$401,$AH283)="","",INDEX('Per Invoice'!N$2:N$401,$AH283)))</f>
        <v/>
      </c>
      <c r="O283">
        <f>IF($AH283="","",IF(INDEX('Per Invoice'!O$2:O$401,$AH283)="","",INDEX('Per Invoice'!O$2:O$401,$AH283)))</f>
        <v/>
      </c>
      <c r="P283" s="7">
        <f>IF($AH283="","",IF(INDEX('Per Invoice'!P$2:P$401,$AH283)="","",INDEX('Per Invoice'!P$2:P$401,$AH283)))</f>
        <v/>
      </c>
      <c r="Q283">
        <f>IF($AH283="","",IF(INDEX('Per Invoice'!Q$2:Q$401,$AH283)="","",INDEX('Per Invoice'!Q$2:Q$401,$AH283)))</f>
        <v/>
      </c>
      <c r="R283">
        <f>IF($AH283="","",IF(INDEX('Per Invoice'!R$2:R$401,$AH283)="","",INDEX('Per Invoice'!R$2:R$401,$AH283)))</f>
        <v/>
      </c>
      <c r="S283">
        <f>IF($AH283="","",IF(INDEX('Per Invoice'!S$2:S$401,$AH283)="","",INDEX('Per Invoice'!S$2:S$401,$AH283)))</f>
        <v/>
      </c>
      <c r="T283" s="7">
        <f>IF($AH283="","",IF(INDEX('Per Invoice'!T$2:T$401,$AH283)="","",INDEX('Per Invoice'!T$2:T$401,$AH283)))</f>
        <v/>
      </c>
      <c r="U283" s="7">
        <f>IF($AH283="","",IF(INDEX('Per Invoice'!U$2:U$401,$AH283)="","",INDEX('Per Invoice'!U$2:U$401,$AH283)))</f>
        <v/>
      </c>
      <c r="V283">
        <f>IF($AH283="","",IF(INDEX('Per Invoice'!V$2:V$401,$AH283)="","",INDEX('Per Invoice'!V$2:V$401,$AH283)))</f>
        <v/>
      </c>
      <c r="W283" s="7">
        <f>IF($AH283="","",IF(INDEX('Per Invoice'!W$2:W$401,$AH283)="","",INDEX('Per Invoice'!W$2:W$401,$AH283)))</f>
        <v/>
      </c>
      <c r="X283" s="7">
        <f>IF($AH283="","",IF(INDEX('Per Invoice'!X$2:X$401,$AH283)="","",INDEX('Per Invoice'!X$2:X$401,$AH283)))</f>
        <v/>
      </c>
      <c r="Y283">
        <f>IF($AH283="","",IF(INDEX('Per Invoice'!Y$2:Y$401,$AH283)="","",INDEX('Per Invoice'!Y$2:Y$401,$AH283)))</f>
        <v/>
      </c>
      <c r="Z283" s="7">
        <f>IF($AH283="","",IF(INDEX('Per Invoice'!Z$2:Z$401,$AH283)="","",INDEX('Per Invoice'!Z$2:Z$401,$AH283)))</f>
        <v/>
      </c>
      <c r="AA283" s="7">
        <f>IF($AH283="","",IF(INDEX('Per Invoice'!AA$2:AA$401,$AH283)="","",INDEX('Per Invoice'!AA$2:AA$401,$AH283)))</f>
        <v/>
      </c>
      <c r="AB283" s="7">
        <f>IF($AH283="","",IF(INDEX('Per Invoice'!AB$2:AB$401,$AH283)="","",INDEX('Per Invoice'!AB$2:AB$401,$AH283)))</f>
        <v/>
      </c>
      <c r="AC283" s="7">
        <f>IF($AH283="","",IF(INDEX('Per Invoice'!AC$2:AC$401,$AH283)="","",INDEX('Per Invoice'!AC$2:AC$401,$AH283)))</f>
        <v/>
      </c>
      <c r="AD283" s="7">
        <f>IF($AH283="","",IF(INDEX('Per Invoice'!AD$2:AD$401,$AH283)="","",INDEX('Per Invoice'!AD$2:AD$401,$AH283)))</f>
        <v/>
      </c>
      <c r="AE283" s="7">
        <f>IF($AH283="","",IF(INDEX('Per Invoice'!AE$2:AE$401,$AH283)="","",INDEX('Per Invoice'!AE$2:AE$401,$AH283)))</f>
        <v/>
      </c>
      <c r="AF283">
        <f>IF($AH283="","",IF(INDEX('Per Invoice'!AF$2:AF$401,$AH283)="","",INDEX('Per Invoice'!AF$2:AF$401,$AH283)))</f>
        <v/>
      </c>
      <c r="AG283" s="7">
        <f>IF($AH283="","",IF(INDEX('Per Invoice'!AG$2:AG$401,$AH283)="","",INDEX('Per Invoice'!AG$2:AG$401,$AH283)))</f>
        <v/>
      </c>
      <c r="AH283" s="16">
        <f>IFERROR(MATCH(Settings!$C$27&amp;"|"&amp;ROWS($AH$2:$AH283),'Per Invoice'!$AI$2:$AI$401,0),"")</f>
        <v/>
      </c>
    </row>
    <row r="284">
      <c r="A284">
        <f>IF($AH284="","",IF(INDEX('Per Invoice'!A$2:A$401,$AH284)="","",INDEX('Per Invoice'!A$2:A$401,$AH284)))</f>
        <v/>
      </c>
      <c r="B284">
        <f>IF($AH284="","",IF(INDEX('Per Invoice'!B$2:B$401,$AH284)="","",INDEX('Per Invoice'!B$2:B$401,$AH284)))</f>
        <v/>
      </c>
      <c r="C284">
        <f>IF($AH284="","",IF(INDEX('Per Invoice'!C$2:C$401,$AH284)="","",INDEX('Per Invoice'!C$2:C$401,$AH284)))</f>
        <v/>
      </c>
      <c r="D284">
        <f>IF($AH284="","",IF(INDEX('Per Invoice'!D$2:D$401,$AH284)="","",INDEX('Per Invoice'!D$2:D$401,$AH284)))</f>
        <v/>
      </c>
      <c r="E284">
        <f>IF($AH284="","",IF(INDEX('Per Invoice'!E$2:E$401,$AH284)="","",INDEX('Per Invoice'!E$2:E$401,$AH284)))</f>
        <v/>
      </c>
      <c r="F284">
        <f>IF($AH284="","",IF(INDEX('Per Invoice'!F$2:F$401,$AH284)="","",INDEX('Per Invoice'!F$2:F$401,$AH284)))</f>
        <v/>
      </c>
      <c r="G284">
        <f>IF($AH284="","",IF(INDEX('Per Invoice'!G$2:G$401,$AH284)="","",INDEX('Per Invoice'!G$2:G$401,$AH284)))</f>
        <v/>
      </c>
      <c r="H284">
        <f>IF($AH284="","",IF(INDEX('Per Invoice'!H$2:H$401,$AH284)="","",INDEX('Per Invoice'!H$2:H$401,$AH284)))</f>
        <v/>
      </c>
      <c r="I284" s="14">
        <f>IF($AH284="","",IF(INDEX('Per Invoice'!I$2:I$401,$AH284)="","",INDEX('Per Invoice'!I$2:I$401,$AH284)))</f>
        <v/>
      </c>
      <c r="J284">
        <f>IF($AH284="","",IF(INDEX('Per Invoice'!J$2:J$401,$AH284)="","",INDEX('Per Invoice'!J$2:J$401,$AH284)))</f>
        <v/>
      </c>
      <c r="K284">
        <f>IF($AH284="","",IF(INDEX('Per Invoice'!K$2:K$401,$AH284)="","",INDEX('Per Invoice'!K$2:K$401,$AH284)))</f>
        <v/>
      </c>
      <c r="L284">
        <f>IF($AH284="","",IF(INDEX('Per Invoice'!L$2:L$401,$AH284)="","",INDEX('Per Invoice'!L$2:L$401,$AH284)))</f>
        <v/>
      </c>
      <c r="M284">
        <f>IF($AH284="","",IF(INDEX('Per Invoice'!M$2:M$401,$AH284)="","",INDEX('Per Invoice'!M$2:M$401,$AH284)))</f>
        <v/>
      </c>
      <c r="N284">
        <f>IF($AH284="","",IF(INDEX('Per Invoice'!N$2:N$401,$AH284)="","",INDEX('Per Invoice'!N$2:N$401,$AH284)))</f>
        <v/>
      </c>
      <c r="O284">
        <f>IF($AH284="","",IF(INDEX('Per Invoice'!O$2:O$401,$AH284)="","",INDEX('Per Invoice'!O$2:O$401,$AH284)))</f>
        <v/>
      </c>
      <c r="P284" s="7">
        <f>IF($AH284="","",IF(INDEX('Per Invoice'!P$2:P$401,$AH284)="","",INDEX('Per Invoice'!P$2:P$401,$AH284)))</f>
        <v/>
      </c>
      <c r="Q284">
        <f>IF($AH284="","",IF(INDEX('Per Invoice'!Q$2:Q$401,$AH284)="","",INDEX('Per Invoice'!Q$2:Q$401,$AH284)))</f>
        <v/>
      </c>
      <c r="R284">
        <f>IF($AH284="","",IF(INDEX('Per Invoice'!R$2:R$401,$AH284)="","",INDEX('Per Invoice'!R$2:R$401,$AH284)))</f>
        <v/>
      </c>
      <c r="S284">
        <f>IF($AH284="","",IF(INDEX('Per Invoice'!S$2:S$401,$AH284)="","",INDEX('Per Invoice'!S$2:S$401,$AH284)))</f>
        <v/>
      </c>
      <c r="T284" s="7">
        <f>IF($AH284="","",IF(INDEX('Per Invoice'!T$2:T$401,$AH284)="","",INDEX('Per Invoice'!T$2:T$401,$AH284)))</f>
        <v/>
      </c>
      <c r="U284" s="7">
        <f>IF($AH284="","",IF(INDEX('Per Invoice'!U$2:U$401,$AH284)="","",INDEX('Per Invoice'!U$2:U$401,$AH284)))</f>
        <v/>
      </c>
      <c r="V284">
        <f>IF($AH284="","",IF(INDEX('Per Invoice'!V$2:V$401,$AH284)="","",INDEX('Per Invoice'!V$2:V$401,$AH284)))</f>
        <v/>
      </c>
      <c r="W284" s="7">
        <f>IF($AH284="","",IF(INDEX('Per Invoice'!W$2:W$401,$AH284)="","",INDEX('Per Invoice'!W$2:W$401,$AH284)))</f>
        <v/>
      </c>
      <c r="X284" s="7">
        <f>IF($AH284="","",IF(INDEX('Per Invoice'!X$2:X$401,$AH284)="","",INDEX('Per Invoice'!X$2:X$401,$AH284)))</f>
        <v/>
      </c>
      <c r="Y284">
        <f>IF($AH284="","",IF(INDEX('Per Invoice'!Y$2:Y$401,$AH284)="","",INDEX('Per Invoice'!Y$2:Y$401,$AH284)))</f>
        <v/>
      </c>
      <c r="Z284" s="7">
        <f>IF($AH284="","",IF(INDEX('Per Invoice'!Z$2:Z$401,$AH284)="","",INDEX('Per Invoice'!Z$2:Z$401,$AH284)))</f>
        <v/>
      </c>
      <c r="AA284" s="7">
        <f>IF($AH284="","",IF(INDEX('Per Invoice'!AA$2:AA$401,$AH284)="","",INDEX('Per Invoice'!AA$2:AA$401,$AH284)))</f>
        <v/>
      </c>
      <c r="AB284" s="7">
        <f>IF($AH284="","",IF(INDEX('Per Invoice'!AB$2:AB$401,$AH284)="","",INDEX('Per Invoice'!AB$2:AB$401,$AH284)))</f>
        <v/>
      </c>
      <c r="AC284" s="7">
        <f>IF($AH284="","",IF(INDEX('Per Invoice'!AC$2:AC$401,$AH284)="","",INDEX('Per Invoice'!AC$2:AC$401,$AH284)))</f>
        <v/>
      </c>
      <c r="AD284" s="7">
        <f>IF($AH284="","",IF(INDEX('Per Invoice'!AD$2:AD$401,$AH284)="","",INDEX('Per Invoice'!AD$2:AD$401,$AH284)))</f>
        <v/>
      </c>
      <c r="AE284" s="7">
        <f>IF($AH284="","",IF(INDEX('Per Invoice'!AE$2:AE$401,$AH284)="","",INDEX('Per Invoice'!AE$2:AE$401,$AH284)))</f>
        <v/>
      </c>
      <c r="AF284">
        <f>IF($AH284="","",IF(INDEX('Per Invoice'!AF$2:AF$401,$AH284)="","",INDEX('Per Invoice'!AF$2:AF$401,$AH284)))</f>
        <v/>
      </c>
      <c r="AG284" s="7">
        <f>IF($AH284="","",IF(INDEX('Per Invoice'!AG$2:AG$401,$AH284)="","",INDEX('Per Invoice'!AG$2:AG$401,$AH284)))</f>
        <v/>
      </c>
      <c r="AH284" s="16">
        <f>IFERROR(MATCH(Settings!$C$27&amp;"|"&amp;ROWS($AH$2:$AH284),'Per Invoice'!$AI$2:$AI$401,0),"")</f>
        <v/>
      </c>
    </row>
    <row r="285">
      <c r="A285">
        <f>IF($AH285="","",IF(INDEX('Per Invoice'!A$2:A$401,$AH285)="","",INDEX('Per Invoice'!A$2:A$401,$AH285)))</f>
        <v/>
      </c>
      <c r="B285">
        <f>IF($AH285="","",IF(INDEX('Per Invoice'!B$2:B$401,$AH285)="","",INDEX('Per Invoice'!B$2:B$401,$AH285)))</f>
        <v/>
      </c>
      <c r="C285">
        <f>IF($AH285="","",IF(INDEX('Per Invoice'!C$2:C$401,$AH285)="","",INDEX('Per Invoice'!C$2:C$401,$AH285)))</f>
        <v/>
      </c>
      <c r="D285">
        <f>IF($AH285="","",IF(INDEX('Per Invoice'!D$2:D$401,$AH285)="","",INDEX('Per Invoice'!D$2:D$401,$AH285)))</f>
        <v/>
      </c>
      <c r="E285">
        <f>IF($AH285="","",IF(INDEX('Per Invoice'!E$2:E$401,$AH285)="","",INDEX('Per Invoice'!E$2:E$401,$AH285)))</f>
        <v/>
      </c>
      <c r="F285">
        <f>IF($AH285="","",IF(INDEX('Per Invoice'!F$2:F$401,$AH285)="","",INDEX('Per Invoice'!F$2:F$401,$AH285)))</f>
        <v/>
      </c>
      <c r="G285">
        <f>IF($AH285="","",IF(INDEX('Per Invoice'!G$2:G$401,$AH285)="","",INDEX('Per Invoice'!G$2:G$401,$AH285)))</f>
        <v/>
      </c>
      <c r="H285">
        <f>IF($AH285="","",IF(INDEX('Per Invoice'!H$2:H$401,$AH285)="","",INDEX('Per Invoice'!H$2:H$401,$AH285)))</f>
        <v/>
      </c>
      <c r="I285" s="14">
        <f>IF($AH285="","",IF(INDEX('Per Invoice'!I$2:I$401,$AH285)="","",INDEX('Per Invoice'!I$2:I$401,$AH285)))</f>
        <v/>
      </c>
      <c r="J285">
        <f>IF($AH285="","",IF(INDEX('Per Invoice'!J$2:J$401,$AH285)="","",INDEX('Per Invoice'!J$2:J$401,$AH285)))</f>
        <v/>
      </c>
      <c r="K285">
        <f>IF($AH285="","",IF(INDEX('Per Invoice'!K$2:K$401,$AH285)="","",INDEX('Per Invoice'!K$2:K$401,$AH285)))</f>
        <v/>
      </c>
      <c r="L285">
        <f>IF($AH285="","",IF(INDEX('Per Invoice'!L$2:L$401,$AH285)="","",INDEX('Per Invoice'!L$2:L$401,$AH285)))</f>
        <v/>
      </c>
      <c r="M285">
        <f>IF($AH285="","",IF(INDEX('Per Invoice'!M$2:M$401,$AH285)="","",INDEX('Per Invoice'!M$2:M$401,$AH285)))</f>
        <v/>
      </c>
      <c r="N285">
        <f>IF($AH285="","",IF(INDEX('Per Invoice'!N$2:N$401,$AH285)="","",INDEX('Per Invoice'!N$2:N$401,$AH285)))</f>
        <v/>
      </c>
      <c r="O285">
        <f>IF($AH285="","",IF(INDEX('Per Invoice'!O$2:O$401,$AH285)="","",INDEX('Per Invoice'!O$2:O$401,$AH285)))</f>
        <v/>
      </c>
      <c r="P285" s="7">
        <f>IF($AH285="","",IF(INDEX('Per Invoice'!P$2:P$401,$AH285)="","",INDEX('Per Invoice'!P$2:P$401,$AH285)))</f>
        <v/>
      </c>
      <c r="Q285">
        <f>IF($AH285="","",IF(INDEX('Per Invoice'!Q$2:Q$401,$AH285)="","",INDEX('Per Invoice'!Q$2:Q$401,$AH285)))</f>
        <v/>
      </c>
      <c r="R285">
        <f>IF($AH285="","",IF(INDEX('Per Invoice'!R$2:R$401,$AH285)="","",INDEX('Per Invoice'!R$2:R$401,$AH285)))</f>
        <v/>
      </c>
      <c r="S285">
        <f>IF($AH285="","",IF(INDEX('Per Invoice'!S$2:S$401,$AH285)="","",INDEX('Per Invoice'!S$2:S$401,$AH285)))</f>
        <v/>
      </c>
      <c r="T285" s="7">
        <f>IF($AH285="","",IF(INDEX('Per Invoice'!T$2:T$401,$AH285)="","",INDEX('Per Invoice'!T$2:T$401,$AH285)))</f>
        <v/>
      </c>
      <c r="U285" s="7">
        <f>IF($AH285="","",IF(INDEX('Per Invoice'!U$2:U$401,$AH285)="","",INDEX('Per Invoice'!U$2:U$401,$AH285)))</f>
        <v/>
      </c>
      <c r="V285">
        <f>IF($AH285="","",IF(INDEX('Per Invoice'!V$2:V$401,$AH285)="","",INDEX('Per Invoice'!V$2:V$401,$AH285)))</f>
        <v/>
      </c>
      <c r="W285" s="7">
        <f>IF($AH285="","",IF(INDEX('Per Invoice'!W$2:W$401,$AH285)="","",INDEX('Per Invoice'!W$2:W$401,$AH285)))</f>
        <v/>
      </c>
      <c r="X285" s="7">
        <f>IF($AH285="","",IF(INDEX('Per Invoice'!X$2:X$401,$AH285)="","",INDEX('Per Invoice'!X$2:X$401,$AH285)))</f>
        <v/>
      </c>
      <c r="Y285">
        <f>IF($AH285="","",IF(INDEX('Per Invoice'!Y$2:Y$401,$AH285)="","",INDEX('Per Invoice'!Y$2:Y$401,$AH285)))</f>
        <v/>
      </c>
      <c r="Z285" s="7">
        <f>IF($AH285="","",IF(INDEX('Per Invoice'!Z$2:Z$401,$AH285)="","",INDEX('Per Invoice'!Z$2:Z$401,$AH285)))</f>
        <v/>
      </c>
      <c r="AA285" s="7">
        <f>IF($AH285="","",IF(INDEX('Per Invoice'!AA$2:AA$401,$AH285)="","",INDEX('Per Invoice'!AA$2:AA$401,$AH285)))</f>
        <v/>
      </c>
      <c r="AB285" s="7">
        <f>IF($AH285="","",IF(INDEX('Per Invoice'!AB$2:AB$401,$AH285)="","",INDEX('Per Invoice'!AB$2:AB$401,$AH285)))</f>
        <v/>
      </c>
      <c r="AC285" s="7">
        <f>IF($AH285="","",IF(INDEX('Per Invoice'!AC$2:AC$401,$AH285)="","",INDEX('Per Invoice'!AC$2:AC$401,$AH285)))</f>
        <v/>
      </c>
      <c r="AD285" s="7">
        <f>IF($AH285="","",IF(INDEX('Per Invoice'!AD$2:AD$401,$AH285)="","",INDEX('Per Invoice'!AD$2:AD$401,$AH285)))</f>
        <v/>
      </c>
      <c r="AE285" s="7">
        <f>IF($AH285="","",IF(INDEX('Per Invoice'!AE$2:AE$401,$AH285)="","",INDEX('Per Invoice'!AE$2:AE$401,$AH285)))</f>
        <v/>
      </c>
      <c r="AF285">
        <f>IF($AH285="","",IF(INDEX('Per Invoice'!AF$2:AF$401,$AH285)="","",INDEX('Per Invoice'!AF$2:AF$401,$AH285)))</f>
        <v/>
      </c>
      <c r="AG285" s="7">
        <f>IF($AH285="","",IF(INDEX('Per Invoice'!AG$2:AG$401,$AH285)="","",INDEX('Per Invoice'!AG$2:AG$401,$AH285)))</f>
        <v/>
      </c>
      <c r="AH285" s="16">
        <f>IFERROR(MATCH(Settings!$C$27&amp;"|"&amp;ROWS($AH$2:$AH285),'Per Invoice'!$AI$2:$AI$401,0),"")</f>
        <v/>
      </c>
    </row>
    <row r="286">
      <c r="A286">
        <f>IF($AH286="","",IF(INDEX('Per Invoice'!A$2:A$401,$AH286)="","",INDEX('Per Invoice'!A$2:A$401,$AH286)))</f>
        <v/>
      </c>
      <c r="B286">
        <f>IF($AH286="","",IF(INDEX('Per Invoice'!B$2:B$401,$AH286)="","",INDEX('Per Invoice'!B$2:B$401,$AH286)))</f>
        <v/>
      </c>
      <c r="C286">
        <f>IF($AH286="","",IF(INDEX('Per Invoice'!C$2:C$401,$AH286)="","",INDEX('Per Invoice'!C$2:C$401,$AH286)))</f>
        <v/>
      </c>
      <c r="D286">
        <f>IF($AH286="","",IF(INDEX('Per Invoice'!D$2:D$401,$AH286)="","",INDEX('Per Invoice'!D$2:D$401,$AH286)))</f>
        <v/>
      </c>
      <c r="E286">
        <f>IF($AH286="","",IF(INDEX('Per Invoice'!E$2:E$401,$AH286)="","",INDEX('Per Invoice'!E$2:E$401,$AH286)))</f>
        <v/>
      </c>
      <c r="F286">
        <f>IF($AH286="","",IF(INDEX('Per Invoice'!F$2:F$401,$AH286)="","",INDEX('Per Invoice'!F$2:F$401,$AH286)))</f>
        <v/>
      </c>
      <c r="G286">
        <f>IF($AH286="","",IF(INDEX('Per Invoice'!G$2:G$401,$AH286)="","",INDEX('Per Invoice'!G$2:G$401,$AH286)))</f>
        <v/>
      </c>
      <c r="H286">
        <f>IF($AH286="","",IF(INDEX('Per Invoice'!H$2:H$401,$AH286)="","",INDEX('Per Invoice'!H$2:H$401,$AH286)))</f>
        <v/>
      </c>
      <c r="I286" s="14">
        <f>IF($AH286="","",IF(INDEX('Per Invoice'!I$2:I$401,$AH286)="","",INDEX('Per Invoice'!I$2:I$401,$AH286)))</f>
        <v/>
      </c>
      <c r="J286">
        <f>IF($AH286="","",IF(INDEX('Per Invoice'!J$2:J$401,$AH286)="","",INDEX('Per Invoice'!J$2:J$401,$AH286)))</f>
        <v/>
      </c>
      <c r="K286">
        <f>IF($AH286="","",IF(INDEX('Per Invoice'!K$2:K$401,$AH286)="","",INDEX('Per Invoice'!K$2:K$401,$AH286)))</f>
        <v/>
      </c>
      <c r="L286">
        <f>IF($AH286="","",IF(INDEX('Per Invoice'!L$2:L$401,$AH286)="","",INDEX('Per Invoice'!L$2:L$401,$AH286)))</f>
        <v/>
      </c>
      <c r="M286">
        <f>IF($AH286="","",IF(INDEX('Per Invoice'!M$2:M$401,$AH286)="","",INDEX('Per Invoice'!M$2:M$401,$AH286)))</f>
        <v/>
      </c>
      <c r="N286">
        <f>IF($AH286="","",IF(INDEX('Per Invoice'!N$2:N$401,$AH286)="","",INDEX('Per Invoice'!N$2:N$401,$AH286)))</f>
        <v/>
      </c>
      <c r="O286">
        <f>IF($AH286="","",IF(INDEX('Per Invoice'!O$2:O$401,$AH286)="","",INDEX('Per Invoice'!O$2:O$401,$AH286)))</f>
        <v/>
      </c>
      <c r="P286" s="7">
        <f>IF($AH286="","",IF(INDEX('Per Invoice'!P$2:P$401,$AH286)="","",INDEX('Per Invoice'!P$2:P$401,$AH286)))</f>
        <v/>
      </c>
      <c r="Q286">
        <f>IF($AH286="","",IF(INDEX('Per Invoice'!Q$2:Q$401,$AH286)="","",INDEX('Per Invoice'!Q$2:Q$401,$AH286)))</f>
        <v/>
      </c>
      <c r="R286">
        <f>IF($AH286="","",IF(INDEX('Per Invoice'!R$2:R$401,$AH286)="","",INDEX('Per Invoice'!R$2:R$401,$AH286)))</f>
        <v/>
      </c>
      <c r="S286">
        <f>IF($AH286="","",IF(INDEX('Per Invoice'!S$2:S$401,$AH286)="","",INDEX('Per Invoice'!S$2:S$401,$AH286)))</f>
        <v/>
      </c>
      <c r="T286" s="7">
        <f>IF($AH286="","",IF(INDEX('Per Invoice'!T$2:T$401,$AH286)="","",INDEX('Per Invoice'!T$2:T$401,$AH286)))</f>
        <v/>
      </c>
      <c r="U286" s="7">
        <f>IF($AH286="","",IF(INDEX('Per Invoice'!U$2:U$401,$AH286)="","",INDEX('Per Invoice'!U$2:U$401,$AH286)))</f>
        <v/>
      </c>
      <c r="V286">
        <f>IF($AH286="","",IF(INDEX('Per Invoice'!V$2:V$401,$AH286)="","",INDEX('Per Invoice'!V$2:V$401,$AH286)))</f>
        <v/>
      </c>
      <c r="W286" s="7">
        <f>IF($AH286="","",IF(INDEX('Per Invoice'!W$2:W$401,$AH286)="","",INDEX('Per Invoice'!W$2:W$401,$AH286)))</f>
        <v/>
      </c>
      <c r="X286" s="7">
        <f>IF($AH286="","",IF(INDEX('Per Invoice'!X$2:X$401,$AH286)="","",INDEX('Per Invoice'!X$2:X$401,$AH286)))</f>
        <v/>
      </c>
      <c r="Y286">
        <f>IF($AH286="","",IF(INDEX('Per Invoice'!Y$2:Y$401,$AH286)="","",INDEX('Per Invoice'!Y$2:Y$401,$AH286)))</f>
        <v/>
      </c>
      <c r="Z286" s="7">
        <f>IF($AH286="","",IF(INDEX('Per Invoice'!Z$2:Z$401,$AH286)="","",INDEX('Per Invoice'!Z$2:Z$401,$AH286)))</f>
        <v/>
      </c>
      <c r="AA286" s="7">
        <f>IF($AH286="","",IF(INDEX('Per Invoice'!AA$2:AA$401,$AH286)="","",INDEX('Per Invoice'!AA$2:AA$401,$AH286)))</f>
        <v/>
      </c>
      <c r="AB286" s="7">
        <f>IF($AH286="","",IF(INDEX('Per Invoice'!AB$2:AB$401,$AH286)="","",INDEX('Per Invoice'!AB$2:AB$401,$AH286)))</f>
        <v/>
      </c>
      <c r="AC286" s="7">
        <f>IF($AH286="","",IF(INDEX('Per Invoice'!AC$2:AC$401,$AH286)="","",INDEX('Per Invoice'!AC$2:AC$401,$AH286)))</f>
        <v/>
      </c>
      <c r="AD286" s="7">
        <f>IF($AH286="","",IF(INDEX('Per Invoice'!AD$2:AD$401,$AH286)="","",INDEX('Per Invoice'!AD$2:AD$401,$AH286)))</f>
        <v/>
      </c>
      <c r="AE286" s="7">
        <f>IF($AH286="","",IF(INDEX('Per Invoice'!AE$2:AE$401,$AH286)="","",INDEX('Per Invoice'!AE$2:AE$401,$AH286)))</f>
        <v/>
      </c>
      <c r="AF286">
        <f>IF($AH286="","",IF(INDEX('Per Invoice'!AF$2:AF$401,$AH286)="","",INDEX('Per Invoice'!AF$2:AF$401,$AH286)))</f>
        <v/>
      </c>
      <c r="AG286" s="7">
        <f>IF($AH286="","",IF(INDEX('Per Invoice'!AG$2:AG$401,$AH286)="","",INDEX('Per Invoice'!AG$2:AG$401,$AH286)))</f>
        <v/>
      </c>
      <c r="AH286" s="16">
        <f>IFERROR(MATCH(Settings!$C$27&amp;"|"&amp;ROWS($AH$2:$AH286),'Per Invoice'!$AI$2:$AI$401,0),"")</f>
        <v/>
      </c>
    </row>
    <row r="287">
      <c r="A287">
        <f>IF($AH287="","",IF(INDEX('Per Invoice'!A$2:A$401,$AH287)="","",INDEX('Per Invoice'!A$2:A$401,$AH287)))</f>
        <v/>
      </c>
      <c r="B287">
        <f>IF($AH287="","",IF(INDEX('Per Invoice'!B$2:B$401,$AH287)="","",INDEX('Per Invoice'!B$2:B$401,$AH287)))</f>
        <v/>
      </c>
      <c r="C287">
        <f>IF($AH287="","",IF(INDEX('Per Invoice'!C$2:C$401,$AH287)="","",INDEX('Per Invoice'!C$2:C$401,$AH287)))</f>
        <v/>
      </c>
      <c r="D287">
        <f>IF($AH287="","",IF(INDEX('Per Invoice'!D$2:D$401,$AH287)="","",INDEX('Per Invoice'!D$2:D$401,$AH287)))</f>
        <v/>
      </c>
      <c r="E287">
        <f>IF($AH287="","",IF(INDEX('Per Invoice'!E$2:E$401,$AH287)="","",INDEX('Per Invoice'!E$2:E$401,$AH287)))</f>
        <v/>
      </c>
      <c r="F287">
        <f>IF($AH287="","",IF(INDEX('Per Invoice'!F$2:F$401,$AH287)="","",INDEX('Per Invoice'!F$2:F$401,$AH287)))</f>
        <v/>
      </c>
      <c r="G287">
        <f>IF($AH287="","",IF(INDEX('Per Invoice'!G$2:G$401,$AH287)="","",INDEX('Per Invoice'!G$2:G$401,$AH287)))</f>
        <v/>
      </c>
      <c r="H287">
        <f>IF($AH287="","",IF(INDEX('Per Invoice'!H$2:H$401,$AH287)="","",INDEX('Per Invoice'!H$2:H$401,$AH287)))</f>
        <v/>
      </c>
      <c r="I287" s="14">
        <f>IF($AH287="","",IF(INDEX('Per Invoice'!I$2:I$401,$AH287)="","",INDEX('Per Invoice'!I$2:I$401,$AH287)))</f>
        <v/>
      </c>
      <c r="J287">
        <f>IF($AH287="","",IF(INDEX('Per Invoice'!J$2:J$401,$AH287)="","",INDEX('Per Invoice'!J$2:J$401,$AH287)))</f>
        <v/>
      </c>
      <c r="K287">
        <f>IF($AH287="","",IF(INDEX('Per Invoice'!K$2:K$401,$AH287)="","",INDEX('Per Invoice'!K$2:K$401,$AH287)))</f>
        <v/>
      </c>
      <c r="L287">
        <f>IF($AH287="","",IF(INDEX('Per Invoice'!L$2:L$401,$AH287)="","",INDEX('Per Invoice'!L$2:L$401,$AH287)))</f>
        <v/>
      </c>
      <c r="M287">
        <f>IF($AH287="","",IF(INDEX('Per Invoice'!M$2:M$401,$AH287)="","",INDEX('Per Invoice'!M$2:M$401,$AH287)))</f>
        <v/>
      </c>
      <c r="N287">
        <f>IF($AH287="","",IF(INDEX('Per Invoice'!N$2:N$401,$AH287)="","",INDEX('Per Invoice'!N$2:N$401,$AH287)))</f>
        <v/>
      </c>
      <c r="O287">
        <f>IF($AH287="","",IF(INDEX('Per Invoice'!O$2:O$401,$AH287)="","",INDEX('Per Invoice'!O$2:O$401,$AH287)))</f>
        <v/>
      </c>
      <c r="P287" s="7">
        <f>IF($AH287="","",IF(INDEX('Per Invoice'!P$2:P$401,$AH287)="","",INDEX('Per Invoice'!P$2:P$401,$AH287)))</f>
        <v/>
      </c>
      <c r="Q287">
        <f>IF($AH287="","",IF(INDEX('Per Invoice'!Q$2:Q$401,$AH287)="","",INDEX('Per Invoice'!Q$2:Q$401,$AH287)))</f>
        <v/>
      </c>
      <c r="R287">
        <f>IF($AH287="","",IF(INDEX('Per Invoice'!R$2:R$401,$AH287)="","",INDEX('Per Invoice'!R$2:R$401,$AH287)))</f>
        <v/>
      </c>
      <c r="S287">
        <f>IF($AH287="","",IF(INDEX('Per Invoice'!S$2:S$401,$AH287)="","",INDEX('Per Invoice'!S$2:S$401,$AH287)))</f>
        <v/>
      </c>
      <c r="T287" s="7">
        <f>IF($AH287="","",IF(INDEX('Per Invoice'!T$2:T$401,$AH287)="","",INDEX('Per Invoice'!T$2:T$401,$AH287)))</f>
        <v/>
      </c>
      <c r="U287" s="7">
        <f>IF($AH287="","",IF(INDEX('Per Invoice'!U$2:U$401,$AH287)="","",INDEX('Per Invoice'!U$2:U$401,$AH287)))</f>
        <v/>
      </c>
      <c r="V287">
        <f>IF($AH287="","",IF(INDEX('Per Invoice'!V$2:V$401,$AH287)="","",INDEX('Per Invoice'!V$2:V$401,$AH287)))</f>
        <v/>
      </c>
      <c r="W287" s="7">
        <f>IF($AH287="","",IF(INDEX('Per Invoice'!W$2:W$401,$AH287)="","",INDEX('Per Invoice'!W$2:W$401,$AH287)))</f>
        <v/>
      </c>
      <c r="X287" s="7">
        <f>IF($AH287="","",IF(INDEX('Per Invoice'!X$2:X$401,$AH287)="","",INDEX('Per Invoice'!X$2:X$401,$AH287)))</f>
        <v/>
      </c>
      <c r="Y287">
        <f>IF($AH287="","",IF(INDEX('Per Invoice'!Y$2:Y$401,$AH287)="","",INDEX('Per Invoice'!Y$2:Y$401,$AH287)))</f>
        <v/>
      </c>
      <c r="Z287" s="7">
        <f>IF($AH287="","",IF(INDEX('Per Invoice'!Z$2:Z$401,$AH287)="","",INDEX('Per Invoice'!Z$2:Z$401,$AH287)))</f>
        <v/>
      </c>
      <c r="AA287" s="7">
        <f>IF($AH287="","",IF(INDEX('Per Invoice'!AA$2:AA$401,$AH287)="","",INDEX('Per Invoice'!AA$2:AA$401,$AH287)))</f>
        <v/>
      </c>
      <c r="AB287" s="7">
        <f>IF($AH287="","",IF(INDEX('Per Invoice'!AB$2:AB$401,$AH287)="","",INDEX('Per Invoice'!AB$2:AB$401,$AH287)))</f>
        <v/>
      </c>
      <c r="AC287" s="7">
        <f>IF($AH287="","",IF(INDEX('Per Invoice'!AC$2:AC$401,$AH287)="","",INDEX('Per Invoice'!AC$2:AC$401,$AH287)))</f>
        <v/>
      </c>
      <c r="AD287" s="7">
        <f>IF($AH287="","",IF(INDEX('Per Invoice'!AD$2:AD$401,$AH287)="","",INDEX('Per Invoice'!AD$2:AD$401,$AH287)))</f>
        <v/>
      </c>
      <c r="AE287" s="7">
        <f>IF($AH287="","",IF(INDEX('Per Invoice'!AE$2:AE$401,$AH287)="","",INDEX('Per Invoice'!AE$2:AE$401,$AH287)))</f>
        <v/>
      </c>
      <c r="AF287">
        <f>IF($AH287="","",IF(INDEX('Per Invoice'!AF$2:AF$401,$AH287)="","",INDEX('Per Invoice'!AF$2:AF$401,$AH287)))</f>
        <v/>
      </c>
      <c r="AG287" s="7">
        <f>IF($AH287="","",IF(INDEX('Per Invoice'!AG$2:AG$401,$AH287)="","",INDEX('Per Invoice'!AG$2:AG$401,$AH287)))</f>
        <v/>
      </c>
      <c r="AH287" s="16">
        <f>IFERROR(MATCH(Settings!$C$27&amp;"|"&amp;ROWS($AH$2:$AH287),'Per Invoice'!$AI$2:$AI$401,0),"")</f>
        <v/>
      </c>
    </row>
    <row r="288">
      <c r="A288">
        <f>IF($AH288="","",IF(INDEX('Per Invoice'!A$2:A$401,$AH288)="","",INDEX('Per Invoice'!A$2:A$401,$AH288)))</f>
        <v/>
      </c>
      <c r="B288">
        <f>IF($AH288="","",IF(INDEX('Per Invoice'!B$2:B$401,$AH288)="","",INDEX('Per Invoice'!B$2:B$401,$AH288)))</f>
        <v/>
      </c>
      <c r="C288">
        <f>IF($AH288="","",IF(INDEX('Per Invoice'!C$2:C$401,$AH288)="","",INDEX('Per Invoice'!C$2:C$401,$AH288)))</f>
        <v/>
      </c>
      <c r="D288">
        <f>IF($AH288="","",IF(INDEX('Per Invoice'!D$2:D$401,$AH288)="","",INDEX('Per Invoice'!D$2:D$401,$AH288)))</f>
        <v/>
      </c>
      <c r="E288">
        <f>IF($AH288="","",IF(INDEX('Per Invoice'!E$2:E$401,$AH288)="","",INDEX('Per Invoice'!E$2:E$401,$AH288)))</f>
        <v/>
      </c>
      <c r="F288">
        <f>IF($AH288="","",IF(INDEX('Per Invoice'!F$2:F$401,$AH288)="","",INDEX('Per Invoice'!F$2:F$401,$AH288)))</f>
        <v/>
      </c>
      <c r="G288">
        <f>IF($AH288="","",IF(INDEX('Per Invoice'!G$2:G$401,$AH288)="","",INDEX('Per Invoice'!G$2:G$401,$AH288)))</f>
        <v/>
      </c>
      <c r="H288">
        <f>IF($AH288="","",IF(INDEX('Per Invoice'!H$2:H$401,$AH288)="","",INDEX('Per Invoice'!H$2:H$401,$AH288)))</f>
        <v/>
      </c>
      <c r="I288" s="14">
        <f>IF($AH288="","",IF(INDEX('Per Invoice'!I$2:I$401,$AH288)="","",INDEX('Per Invoice'!I$2:I$401,$AH288)))</f>
        <v/>
      </c>
      <c r="J288">
        <f>IF($AH288="","",IF(INDEX('Per Invoice'!J$2:J$401,$AH288)="","",INDEX('Per Invoice'!J$2:J$401,$AH288)))</f>
        <v/>
      </c>
      <c r="K288">
        <f>IF($AH288="","",IF(INDEX('Per Invoice'!K$2:K$401,$AH288)="","",INDEX('Per Invoice'!K$2:K$401,$AH288)))</f>
        <v/>
      </c>
      <c r="L288">
        <f>IF($AH288="","",IF(INDEX('Per Invoice'!L$2:L$401,$AH288)="","",INDEX('Per Invoice'!L$2:L$401,$AH288)))</f>
        <v/>
      </c>
      <c r="M288">
        <f>IF($AH288="","",IF(INDEX('Per Invoice'!M$2:M$401,$AH288)="","",INDEX('Per Invoice'!M$2:M$401,$AH288)))</f>
        <v/>
      </c>
      <c r="N288">
        <f>IF($AH288="","",IF(INDEX('Per Invoice'!N$2:N$401,$AH288)="","",INDEX('Per Invoice'!N$2:N$401,$AH288)))</f>
        <v/>
      </c>
      <c r="O288">
        <f>IF($AH288="","",IF(INDEX('Per Invoice'!O$2:O$401,$AH288)="","",INDEX('Per Invoice'!O$2:O$401,$AH288)))</f>
        <v/>
      </c>
      <c r="P288" s="7">
        <f>IF($AH288="","",IF(INDEX('Per Invoice'!P$2:P$401,$AH288)="","",INDEX('Per Invoice'!P$2:P$401,$AH288)))</f>
        <v/>
      </c>
      <c r="Q288">
        <f>IF($AH288="","",IF(INDEX('Per Invoice'!Q$2:Q$401,$AH288)="","",INDEX('Per Invoice'!Q$2:Q$401,$AH288)))</f>
        <v/>
      </c>
      <c r="R288">
        <f>IF($AH288="","",IF(INDEX('Per Invoice'!R$2:R$401,$AH288)="","",INDEX('Per Invoice'!R$2:R$401,$AH288)))</f>
        <v/>
      </c>
      <c r="S288">
        <f>IF($AH288="","",IF(INDEX('Per Invoice'!S$2:S$401,$AH288)="","",INDEX('Per Invoice'!S$2:S$401,$AH288)))</f>
        <v/>
      </c>
      <c r="T288" s="7">
        <f>IF($AH288="","",IF(INDEX('Per Invoice'!T$2:T$401,$AH288)="","",INDEX('Per Invoice'!T$2:T$401,$AH288)))</f>
        <v/>
      </c>
      <c r="U288" s="7">
        <f>IF($AH288="","",IF(INDEX('Per Invoice'!U$2:U$401,$AH288)="","",INDEX('Per Invoice'!U$2:U$401,$AH288)))</f>
        <v/>
      </c>
      <c r="V288">
        <f>IF($AH288="","",IF(INDEX('Per Invoice'!V$2:V$401,$AH288)="","",INDEX('Per Invoice'!V$2:V$401,$AH288)))</f>
        <v/>
      </c>
      <c r="W288" s="7">
        <f>IF($AH288="","",IF(INDEX('Per Invoice'!W$2:W$401,$AH288)="","",INDEX('Per Invoice'!W$2:W$401,$AH288)))</f>
        <v/>
      </c>
      <c r="X288" s="7">
        <f>IF($AH288="","",IF(INDEX('Per Invoice'!X$2:X$401,$AH288)="","",INDEX('Per Invoice'!X$2:X$401,$AH288)))</f>
        <v/>
      </c>
      <c r="Y288">
        <f>IF($AH288="","",IF(INDEX('Per Invoice'!Y$2:Y$401,$AH288)="","",INDEX('Per Invoice'!Y$2:Y$401,$AH288)))</f>
        <v/>
      </c>
      <c r="Z288" s="7">
        <f>IF($AH288="","",IF(INDEX('Per Invoice'!Z$2:Z$401,$AH288)="","",INDEX('Per Invoice'!Z$2:Z$401,$AH288)))</f>
        <v/>
      </c>
      <c r="AA288" s="7">
        <f>IF($AH288="","",IF(INDEX('Per Invoice'!AA$2:AA$401,$AH288)="","",INDEX('Per Invoice'!AA$2:AA$401,$AH288)))</f>
        <v/>
      </c>
      <c r="AB288" s="7">
        <f>IF($AH288="","",IF(INDEX('Per Invoice'!AB$2:AB$401,$AH288)="","",INDEX('Per Invoice'!AB$2:AB$401,$AH288)))</f>
        <v/>
      </c>
      <c r="AC288" s="7">
        <f>IF($AH288="","",IF(INDEX('Per Invoice'!AC$2:AC$401,$AH288)="","",INDEX('Per Invoice'!AC$2:AC$401,$AH288)))</f>
        <v/>
      </c>
      <c r="AD288" s="7">
        <f>IF($AH288="","",IF(INDEX('Per Invoice'!AD$2:AD$401,$AH288)="","",INDEX('Per Invoice'!AD$2:AD$401,$AH288)))</f>
        <v/>
      </c>
      <c r="AE288" s="7">
        <f>IF($AH288="","",IF(INDEX('Per Invoice'!AE$2:AE$401,$AH288)="","",INDEX('Per Invoice'!AE$2:AE$401,$AH288)))</f>
        <v/>
      </c>
      <c r="AF288">
        <f>IF($AH288="","",IF(INDEX('Per Invoice'!AF$2:AF$401,$AH288)="","",INDEX('Per Invoice'!AF$2:AF$401,$AH288)))</f>
        <v/>
      </c>
      <c r="AG288" s="7">
        <f>IF($AH288="","",IF(INDEX('Per Invoice'!AG$2:AG$401,$AH288)="","",INDEX('Per Invoice'!AG$2:AG$401,$AH288)))</f>
        <v/>
      </c>
      <c r="AH288" s="16">
        <f>IFERROR(MATCH(Settings!$C$27&amp;"|"&amp;ROWS($AH$2:$AH288),'Per Invoice'!$AI$2:$AI$401,0),"")</f>
        <v/>
      </c>
    </row>
    <row r="289">
      <c r="A289">
        <f>IF($AH289="","",IF(INDEX('Per Invoice'!A$2:A$401,$AH289)="","",INDEX('Per Invoice'!A$2:A$401,$AH289)))</f>
        <v/>
      </c>
      <c r="B289">
        <f>IF($AH289="","",IF(INDEX('Per Invoice'!B$2:B$401,$AH289)="","",INDEX('Per Invoice'!B$2:B$401,$AH289)))</f>
        <v/>
      </c>
      <c r="C289">
        <f>IF($AH289="","",IF(INDEX('Per Invoice'!C$2:C$401,$AH289)="","",INDEX('Per Invoice'!C$2:C$401,$AH289)))</f>
        <v/>
      </c>
      <c r="D289">
        <f>IF($AH289="","",IF(INDEX('Per Invoice'!D$2:D$401,$AH289)="","",INDEX('Per Invoice'!D$2:D$401,$AH289)))</f>
        <v/>
      </c>
      <c r="E289">
        <f>IF($AH289="","",IF(INDEX('Per Invoice'!E$2:E$401,$AH289)="","",INDEX('Per Invoice'!E$2:E$401,$AH289)))</f>
        <v/>
      </c>
      <c r="F289">
        <f>IF($AH289="","",IF(INDEX('Per Invoice'!F$2:F$401,$AH289)="","",INDEX('Per Invoice'!F$2:F$401,$AH289)))</f>
        <v/>
      </c>
      <c r="G289">
        <f>IF($AH289="","",IF(INDEX('Per Invoice'!G$2:G$401,$AH289)="","",INDEX('Per Invoice'!G$2:G$401,$AH289)))</f>
        <v/>
      </c>
      <c r="H289">
        <f>IF($AH289="","",IF(INDEX('Per Invoice'!H$2:H$401,$AH289)="","",INDEX('Per Invoice'!H$2:H$401,$AH289)))</f>
        <v/>
      </c>
      <c r="I289" s="14">
        <f>IF($AH289="","",IF(INDEX('Per Invoice'!I$2:I$401,$AH289)="","",INDEX('Per Invoice'!I$2:I$401,$AH289)))</f>
        <v/>
      </c>
      <c r="J289">
        <f>IF($AH289="","",IF(INDEX('Per Invoice'!J$2:J$401,$AH289)="","",INDEX('Per Invoice'!J$2:J$401,$AH289)))</f>
        <v/>
      </c>
      <c r="K289">
        <f>IF($AH289="","",IF(INDEX('Per Invoice'!K$2:K$401,$AH289)="","",INDEX('Per Invoice'!K$2:K$401,$AH289)))</f>
        <v/>
      </c>
      <c r="L289">
        <f>IF($AH289="","",IF(INDEX('Per Invoice'!L$2:L$401,$AH289)="","",INDEX('Per Invoice'!L$2:L$401,$AH289)))</f>
        <v/>
      </c>
      <c r="M289">
        <f>IF($AH289="","",IF(INDEX('Per Invoice'!M$2:M$401,$AH289)="","",INDEX('Per Invoice'!M$2:M$401,$AH289)))</f>
        <v/>
      </c>
      <c r="N289">
        <f>IF($AH289="","",IF(INDEX('Per Invoice'!N$2:N$401,$AH289)="","",INDEX('Per Invoice'!N$2:N$401,$AH289)))</f>
        <v/>
      </c>
      <c r="O289">
        <f>IF($AH289="","",IF(INDEX('Per Invoice'!O$2:O$401,$AH289)="","",INDEX('Per Invoice'!O$2:O$401,$AH289)))</f>
        <v/>
      </c>
      <c r="P289" s="7">
        <f>IF($AH289="","",IF(INDEX('Per Invoice'!P$2:P$401,$AH289)="","",INDEX('Per Invoice'!P$2:P$401,$AH289)))</f>
        <v/>
      </c>
      <c r="Q289">
        <f>IF($AH289="","",IF(INDEX('Per Invoice'!Q$2:Q$401,$AH289)="","",INDEX('Per Invoice'!Q$2:Q$401,$AH289)))</f>
        <v/>
      </c>
      <c r="R289">
        <f>IF($AH289="","",IF(INDEX('Per Invoice'!R$2:R$401,$AH289)="","",INDEX('Per Invoice'!R$2:R$401,$AH289)))</f>
        <v/>
      </c>
      <c r="S289">
        <f>IF($AH289="","",IF(INDEX('Per Invoice'!S$2:S$401,$AH289)="","",INDEX('Per Invoice'!S$2:S$401,$AH289)))</f>
        <v/>
      </c>
      <c r="T289" s="7">
        <f>IF($AH289="","",IF(INDEX('Per Invoice'!T$2:T$401,$AH289)="","",INDEX('Per Invoice'!T$2:T$401,$AH289)))</f>
        <v/>
      </c>
      <c r="U289" s="7">
        <f>IF($AH289="","",IF(INDEX('Per Invoice'!U$2:U$401,$AH289)="","",INDEX('Per Invoice'!U$2:U$401,$AH289)))</f>
        <v/>
      </c>
      <c r="V289">
        <f>IF($AH289="","",IF(INDEX('Per Invoice'!V$2:V$401,$AH289)="","",INDEX('Per Invoice'!V$2:V$401,$AH289)))</f>
        <v/>
      </c>
      <c r="W289" s="7">
        <f>IF($AH289="","",IF(INDEX('Per Invoice'!W$2:W$401,$AH289)="","",INDEX('Per Invoice'!W$2:W$401,$AH289)))</f>
        <v/>
      </c>
      <c r="X289" s="7">
        <f>IF($AH289="","",IF(INDEX('Per Invoice'!X$2:X$401,$AH289)="","",INDEX('Per Invoice'!X$2:X$401,$AH289)))</f>
        <v/>
      </c>
      <c r="Y289">
        <f>IF($AH289="","",IF(INDEX('Per Invoice'!Y$2:Y$401,$AH289)="","",INDEX('Per Invoice'!Y$2:Y$401,$AH289)))</f>
        <v/>
      </c>
      <c r="Z289" s="7">
        <f>IF($AH289="","",IF(INDEX('Per Invoice'!Z$2:Z$401,$AH289)="","",INDEX('Per Invoice'!Z$2:Z$401,$AH289)))</f>
        <v/>
      </c>
      <c r="AA289" s="7">
        <f>IF($AH289="","",IF(INDEX('Per Invoice'!AA$2:AA$401,$AH289)="","",INDEX('Per Invoice'!AA$2:AA$401,$AH289)))</f>
        <v/>
      </c>
      <c r="AB289" s="7">
        <f>IF($AH289="","",IF(INDEX('Per Invoice'!AB$2:AB$401,$AH289)="","",INDEX('Per Invoice'!AB$2:AB$401,$AH289)))</f>
        <v/>
      </c>
      <c r="AC289" s="7">
        <f>IF($AH289="","",IF(INDEX('Per Invoice'!AC$2:AC$401,$AH289)="","",INDEX('Per Invoice'!AC$2:AC$401,$AH289)))</f>
        <v/>
      </c>
      <c r="AD289" s="7">
        <f>IF($AH289="","",IF(INDEX('Per Invoice'!AD$2:AD$401,$AH289)="","",INDEX('Per Invoice'!AD$2:AD$401,$AH289)))</f>
        <v/>
      </c>
      <c r="AE289" s="7">
        <f>IF($AH289="","",IF(INDEX('Per Invoice'!AE$2:AE$401,$AH289)="","",INDEX('Per Invoice'!AE$2:AE$401,$AH289)))</f>
        <v/>
      </c>
      <c r="AF289">
        <f>IF($AH289="","",IF(INDEX('Per Invoice'!AF$2:AF$401,$AH289)="","",INDEX('Per Invoice'!AF$2:AF$401,$AH289)))</f>
        <v/>
      </c>
      <c r="AG289" s="7">
        <f>IF($AH289="","",IF(INDEX('Per Invoice'!AG$2:AG$401,$AH289)="","",INDEX('Per Invoice'!AG$2:AG$401,$AH289)))</f>
        <v/>
      </c>
      <c r="AH289" s="16">
        <f>IFERROR(MATCH(Settings!$C$27&amp;"|"&amp;ROWS($AH$2:$AH289),'Per Invoice'!$AI$2:$AI$401,0),"")</f>
        <v/>
      </c>
    </row>
    <row r="290">
      <c r="A290">
        <f>IF($AH290="","",IF(INDEX('Per Invoice'!A$2:A$401,$AH290)="","",INDEX('Per Invoice'!A$2:A$401,$AH290)))</f>
        <v/>
      </c>
      <c r="B290">
        <f>IF($AH290="","",IF(INDEX('Per Invoice'!B$2:B$401,$AH290)="","",INDEX('Per Invoice'!B$2:B$401,$AH290)))</f>
        <v/>
      </c>
      <c r="C290">
        <f>IF($AH290="","",IF(INDEX('Per Invoice'!C$2:C$401,$AH290)="","",INDEX('Per Invoice'!C$2:C$401,$AH290)))</f>
        <v/>
      </c>
      <c r="D290">
        <f>IF($AH290="","",IF(INDEX('Per Invoice'!D$2:D$401,$AH290)="","",INDEX('Per Invoice'!D$2:D$401,$AH290)))</f>
        <v/>
      </c>
      <c r="E290">
        <f>IF($AH290="","",IF(INDEX('Per Invoice'!E$2:E$401,$AH290)="","",INDEX('Per Invoice'!E$2:E$401,$AH290)))</f>
        <v/>
      </c>
      <c r="F290">
        <f>IF($AH290="","",IF(INDEX('Per Invoice'!F$2:F$401,$AH290)="","",INDEX('Per Invoice'!F$2:F$401,$AH290)))</f>
        <v/>
      </c>
      <c r="G290">
        <f>IF($AH290="","",IF(INDEX('Per Invoice'!G$2:G$401,$AH290)="","",INDEX('Per Invoice'!G$2:G$401,$AH290)))</f>
        <v/>
      </c>
      <c r="H290">
        <f>IF($AH290="","",IF(INDEX('Per Invoice'!H$2:H$401,$AH290)="","",INDEX('Per Invoice'!H$2:H$401,$AH290)))</f>
        <v/>
      </c>
      <c r="I290" s="14">
        <f>IF($AH290="","",IF(INDEX('Per Invoice'!I$2:I$401,$AH290)="","",INDEX('Per Invoice'!I$2:I$401,$AH290)))</f>
        <v/>
      </c>
      <c r="J290">
        <f>IF($AH290="","",IF(INDEX('Per Invoice'!J$2:J$401,$AH290)="","",INDEX('Per Invoice'!J$2:J$401,$AH290)))</f>
        <v/>
      </c>
      <c r="K290">
        <f>IF($AH290="","",IF(INDEX('Per Invoice'!K$2:K$401,$AH290)="","",INDEX('Per Invoice'!K$2:K$401,$AH290)))</f>
        <v/>
      </c>
      <c r="L290">
        <f>IF($AH290="","",IF(INDEX('Per Invoice'!L$2:L$401,$AH290)="","",INDEX('Per Invoice'!L$2:L$401,$AH290)))</f>
        <v/>
      </c>
      <c r="M290">
        <f>IF($AH290="","",IF(INDEX('Per Invoice'!M$2:M$401,$AH290)="","",INDEX('Per Invoice'!M$2:M$401,$AH290)))</f>
        <v/>
      </c>
      <c r="N290">
        <f>IF($AH290="","",IF(INDEX('Per Invoice'!N$2:N$401,$AH290)="","",INDEX('Per Invoice'!N$2:N$401,$AH290)))</f>
        <v/>
      </c>
      <c r="O290">
        <f>IF($AH290="","",IF(INDEX('Per Invoice'!O$2:O$401,$AH290)="","",INDEX('Per Invoice'!O$2:O$401,$AH290)))</f>
        <v/>
      </c>
      <c r="P290" s="7">
        <f>IF($AH290="","",IF(INDEX('Per Invoice'!P$2:P$401,$AH290)="","",INDEX('Per Invoice'!P$2:P$401,$AH290)))</f>
        <v/>
      </c>
      <c r="Q290">
        <f>IF($AH290="","",IF(INDEX('Per Invoice'!Q$2:Q$401,$AH290)="","",INDEX('Per Invoice'!Q$2:Q$401,$AH290)))</f>
        <v/>
      </c>
      <c r="R290">
        <f>IF($AH290="","",IF(INDEX('Per Invoice'!R$2:R$401,$AH290)="","",INDEX('Per Invoice'!R$2:R$401,$AH290)))</f>
        <v/>
      </c>
      <c r="S290">
        <f>IF($AH290="","",IF(INDEX('Per Invoice'!S$2:S$401,$AH290)="","",INDEX('Per Invoice'!S$2:S$401,$AH290)))</f>
        <v/>
      </c>
      <c r="T290" s="7">
        <f>IF($AH290="","",IF(INDEX('Per Invoice'!T$2:T$401,$AH290)="","",INDEX('Per Invoice'!T$2:T$401,$AH290)))</f>
        <v/>
      </c>
      <c r="U290" s="7">
        <f>IF($AH290="","",IF(INDEX('Per Invoice'!U$2:U$401,$AH290)="","",INDEX('Per Invoice'!U$2:U$401,$AH290)))</f>
        <v/>
      </c>
      <c r="V290">
        <f>IF($AH290="","",IF(INDEX('Per Invoice'!V$2:V$401,$AH290)="","",INDEX('Per Invoice'!V$2:V$401,$AH290)))</f>
        <v/>
      </c>
      <c r="W290" s="7">
        <f>IF($AH290="","",IF(INDEX('Per Invoice'!W$2:W$401,$AH290)="","",INDEX('Per Invoice'!W$2:W$401,$AH290)))</f>
        <v/>
      </c>
      <c r="X290" s="7">
        <f>IF($AH290="","",IF(INDEX('Per Invoice'!X$2:X$401,$AH290)="","",INDEX('Per Invoice'!X$2:X$401,$AH290)))</f>
        <v/>
      </c>
      <c r="Y290">
        <f>IF($AH290="","",IF(INDEX('Per Invoice'!Y$2:Y$401,$AH290)="","",INDEX('Per Invoice'!Y$2:Y$401,$AH290)))</f>
        <v/>
      </c>
      <c r="Z290" s="7">
        <f>IF($AH290="","",IF(INDEX('Per Invoice'!Z$2:Z$401,$AH290)="","",INDEX('Per Invoice'!Z$2:Z$401,$AH290)))</f>
        <v/>
      </c>
      <c r="AA290" s="7">
        <f>IF($AH290="","",IF(INDEX('Per Invoice'!AA$2:AA$401,$AH290)="","",INDEX('Per Invoice'!AA$2:AA$401,$AH290)))</f>
        <v/>
      </c>
      <c r="AB290" s="7">
        <f>IF($AH290="","",IF(INDEX('Per Invoice'!AB$2:AB$401,$AH290)="","",INDEX('Per Invoice'!AB$2:AB$401,$AH290)))</f>
        <v/>
      </c>
      <c r="AC290" s="7">
        <f>IF($AH290="","",IF(INDEX('Per Invoice'!AC$2:AC$401,$AH290)="","",INDEX('Per Invoice'!AC$2:AC$401,$AH290)))</f>
        <v/>
      </c>
      <c r="AD290" s="7">
        <f>IF($AH290="","",IF(INDEX('Per Invoice'!AD$2:AD$401,$AH290)="","",INDEX('Per Invoice'!AD$2:AD$401,$AH290)))</f>
        <v/>
      </c>
      <c r="AE290" s="7">
        <f>IF($AH290="","",IF(INDEX('Per Invoice'!AE$2:AE$401,$AH290)="","",INDEX('Per Invoice'!AE$2:AE$401,$AH290)))</f>
        <v/>
      </c>
      <c r="AF290">
        <f>IF($AH290="","",IF(INDEX('Per Invoice'!AF$2:AF$401,$AH290)="","",INDEX('Per Invoice'!AF$2:AF$401,$AH290)))</f>
        <v/>
      </c>
      <c r="AG290" s="7">
        <f>IF($AH290="","",IF(INDEX('Per Invoice'!AG$2:AG$401,$AH290)="","",INDEX('Per Invoice'!AG$2:AG$401,$AH290)))</f>
        <v/>
      </c>
      <c r="AH290" s="16">
        <f>IFERROR(MATCH(Settings!$C$27&amp;"|"&amp;ROWS($AH$2:$AH290),'Per Invoice'!$AI$2:$AI$401,0),"")</f>
        <v/>
      </c>
    </row>
    <row r="291">
      <c r="A291">
        <f>IF($AH291="","",IF(INDEX('Per Invoice'!A$2:A$401,$AH291)="","",INDEX('Per Invoice'!A$2:A$401,$AH291)))</f>
        <v/>
      </c>
      <c r="B291">
        <f>IF($AH291="","",IF(INDEX('Per Invoice'!B$2:B$401,$AH291)="","",INDEX('Per Invoice'!B$2:B$401,$AH291)))</f>
        <v/>
      </c>
      <c r="C291">
        <f>IF($AH291="","",IF(INDEX('Per Invoice'!C$2:C$401,$AH291)="","",INDEX('Per Invoice'!C$2:C$401,$AH291)))</f>
        <v/>
      </c>
      <c r="D291">
        <f>IF($AH291="","",IF(INDEX('Per Invoice'!D$2:D$401,$AH291)="","",INDEX('Per Invoice'!D$2:D$401,$AH291)))</f>
        <v/>
      </c>
      <c r="E291">
        <f>IF($AH291="","",IF(INDEX('Per Invoice'!E$2:E$401,$AH291)="","",INDEX('Per Invoice'!E$2:E$401,$AH291)))</f>
        <v/>
      </c>
      <c r="F291">
        <f>IF($AH291="","",IF(INDEX('Per Invoice'!F$2:F$401,$AH291)="","",INDEX('Per Invoice'!F$2:F$401,$AH291)))</f>
        <v/>
      </c>
      <c r="G291">
        <f>IF($AH291="","",IF(INDEX('Per Invoice'!G$2:G$401,$AH291)="","",INDEX('Per Invoice'!G$2:G$401,$AH291)))</f>
        <v/>
      </c>
      <c r="H291">
        <f>IF($AH291="","",IF(INDEX('Per Invoice'!H$2:H$401,$AH291)="","",INDEX('Per Invoice'!H$2:H$401,$AH291)))</f>
        <v/>
      </c>
      <c r="I291" s="14">
        <f>IF($AH291="","",IF(INDEX('Per Invoice'!I$2:I$401,$AH291)="","",INDEX('Per Invoice'!I$2:I$401,$AH291)))</f>
        <v/>
      </c>
      <c r="J291">
        <f>IF($AH291="","",IF(INDEX('Per Invoice'!J$2:J$401,$AH291)="","",INDEX('Per Invoice'!J$2:J$401,$AH291)))</f>
        <v/>
      </c>
      <c r="K291">
        <f>IF($AH291="","",IF(INDEX('Per Invoice'!K$2:K$401,$AH291)="","",INDEX('Per Invoice'!K$2:K$401,$AH291)))</f>
        <v/>
      </c>
      <c r="L291">
        <f>IF($AH291="","",IF(INDEX('Per Invoice'!L$2:L$401,$AH291)="","",INDEX('Per Invoice'!L$2:L$401,$AH291)))</f>
        <v/>
      </c>
      <c r="M291">
        <f>IF($AH291="","",IF(INDEX('Per Invoice'!M$2:M$401,$AH291)="","",INDEX('Per Invoice'!M$2:M$401,$AH291)))</f>
        <v/>
      </c>
      <c r="N291">
        <f>IF($AH291="","",IF(INDEX('Per Invoice'!N$2:N$401,$AH291)="","",INDEX('Per Invoice'!N$2:N$401,$AH291)))</f>
        <v/>
      </c>
      <c r="O291">
        <f>IF($AH291="","",IF(INDEX('Per Invoice'!O$2:O$401,$AH291)="","",INDEX('Per Invoice'!O$2:O$401,$AH291)))</f>
        <v/>
      </c>
      <c r="P291" s="7">
        <f>IF($AH291="","",IF(INDEX('Per Invoice'!P$2:P$401,$AH291)="","",INDEX('Per Invoice'!P$2:P$401,$AH291)))</f>
        <v/>
      </c>
      <c r="Q291">
        <f>IF($AH291="","",IF(INDEX('Per Invoice'!Q$2:Q$401,$AH291)="","",INDEX('Per Invoice'!Q$2:Q$401,$AH291)))</f>
        <v/>
      </c>
      <c r="R291">
        <f>IF($AH291="","",IF(INDEX('Per Invoice'!R$2:R$401,$AH291)="","",INDEX('Per Invoice'!R$2:R$401,$AH291)))</f>
        <v/>
      </c>
      <c r="S291">
        <f>IF($AH291="","",IF(INDEX('Per Invoice'!S$2:S$401,$AH291)="","",INDEX('Per Invoice'!S$2:S$401,$AH291)))</f>
        <v/>
      </c>
      <c r="T291" s="7">
        <f>IF($AH291="","",IF(INDEX('Per Invoice'!T$2:T$401,$AH291)="","",INDEX('Per Invoice'!T$2:T$401,$AH291)))</f>
        <v/>
      </c>
      <c r="U291" s="7">
        <f>IF($AH291="","",IF(INDEX('Per Invoice'!U$2:U$401,$AH291)="","",INDEX('Per Invoice'!U$2:U$401,$AH291)))</f>
        <v/>
      </c>
      <c r="V291">
        <f>IF($AH291="","",IF(INDEX('Per Invoice'!V$2:V$401,$AH291)="","",INDEX('Per Invoice'!V$2:V$401,$AH291)))</f>
        <v/>
      </c>
      <c r="W291" s="7">
        <f>IF($AH291="","",IF(INDEX('Per Invoice'!W$2:W$401,$AH291)="","",INDEX('Per Invoice'!W$2:W$401,$AH291)))</f>
        <v/>
      </c>
      <c r="X291" s="7">
        <f>IF($AH291="","",IF(INDEX('Per Invoice'!X$2:X$401,$AH291)="","",INDEX('Per Invoice'!X$2:X$401,$AH291)))</f>
        <v/>
      </c>
      <c r="Y291">
        <f>IF($AH291="","",IF(INDEX('Per Invoice'!Y$2:Y$401,$AH291)="","",INDEX('Per Invoice'!Y$2:Y$401,$AH291)))</f>
        <v/>
      </c>
      <c r="Z291" s="7">
        <f>IF($AH291="","",IF(INDEX('Per Invoice'!Z$2:Z$401,$AH291)="","",INDEX('Per Invoice'!Z$2:Z$401,$AH291)))</f>
        <v/>
      </c>
      <c r="AA291" s="7">
        <f>IF($AH291="","",IF(INDEX('Per Invoice'!AA$2:AA$401,$AH291)="","",INDEX('Per Invoice'!AA$2:AA$401,$AH291)))</f>
        <v/>
      </c>
      <c r="AB291" s="7">
        <f>IF($AH291="","",IF(INDEX('Per Invoice'!AB$2:AB$401,$AH291)="","",INDEX('Per Invoice'!AB$2:AB$401,$AH291)))</f>
        <v/>
      </c>
      <c r="AC291" s="7">
        <f>IF($AH291="","",IF(INDEX('Per Invoice'!AC$2:AC$401,$AH291)="","",INDEX('Per Invoice'!AC$2:AC$401,$AH291)))</f>
        <v/>
      </c>
      <c r="AD291" s="7">
        <f>IF($AH291="","",IF(INDEX('Per Invoice'!AD$2:AD$401,$AH291)="","",INDEX('Per Invoice'!AD$2:AD$401,$AH291)))</f>
        <v/>
      </c>
      <c r="AE291" s="7">
        <f>IF($AH291="","",IF(INDEX('Per Invoice'!AE$2:AE$401,$AH291)="","",INDEX('Per Invoice'!AE$2:AE$401,$AH291)))</f>
        <v/>
      </c>
      <c r="AF291">
        <f>IF($AH291="","",IF(INDEX('Per Invoice'!AF$2:AF$401,$AH291)="","",INDEX('Per Invoice'!AF$2:AF$401,$AH291)))</f>
        <v/>
      </c>
      <c r="AG291" s="7">
        <f>IF($AH291="","",IF(INDEX('Per Invoice'!AG$2:AG$401,$AH291)="","",INDEX('Per Invoice'!AG$2:AG$401,$AH291)))</f>
        <v/>
      </c>
      <c r="AH291" s="16">
        <f>IFERROR(MATCH(Settings!$C$27&amp;"|"&amp;ROWS($AH$2:$AH291),'Per Invoice'!$AI$2:$AI$401,0),"")</f>
        <v/>
      </c>
    </row>
    <row r="292">
      <c r="A292">
        <f>IF($AH292="","",IF(INDEX('Per Invoice'!A$2:A$401,$AH292)="","",INDEX('Per Invoice'!A$2:A$401,$AH292)))</f>
        <v/>
      </c>
      <c r="B292">
        <f>IF($AH292="","",IF(INDEX('Per Invoice'!B$2:B$401,$AH292)="","",INDEX('Per Invoice'!B$2:B$401,$AH292)))</f>
        <v/>
      </c>
      <c r="C292">
        <f>IF($AH292="","",IF(INDEX('Per Invoice'!C$2:C$401,$AH292)="","",INDEX('Per Invoice'!C$2:C$401,$AH292)))</f>
        <v/>
      </c>
      <c r="D292">
        <f>IF($AH292="","",IF(INDEX('Per Invoice'!D$2:D$401,$AH292)="","",INDEX('Per Invoice'!D$2:D$401,$AH292)))</f>
        <v/>
      </c>
      <c r="E292">
        <f>IF($AH292="","",IF(INDEX('Per Invoice'!E$2:E$401,$AH292)="","",INDEX('Per Invoice'!E$2:E$401,$AH292)))</f>
        <v/>
      </c>
      <c r="F292">
        <f>IF($AH292="","",IF(INDEX('Per Invoice'!F$2:F$401,$AH292)="","",INDEX('Per Invoice'!F$2:F$401,$AH292)))</f>
        <v/>
      </c>
      <c r="G292">
        <f>IF($AH292="","",IF(INDEX('Per Invoice'!G$2:G$401,$AH292)="","",INDEX('Per Invoice'!G$2:G$401,$AH292)))</f>
        <v/>
      </c>
      <c r="H292">
        <f>IF($AH292="","",IF(INDEX('Per Invoice'!H$2:H$401,$AH292)="","",INDEX('Per Invoice'!H$2:H$401,$AH292)))</f>
        <v/>
      </c>
      <c r="I292" s="14">
        <f>IF($AH292="","",IF(INDEX('Per Invoice'!I$2:I$401,$AH292)="","",INDEX('Per Invoice'!I$2:I$401,$AH292)))</f>
        <v/>
      </c>
      <c r="J292">
        <f>IF($AH292="","",IF(INDEX('Per Invoice'!J$2:J$401,$AH292)="","",INDEX('Per Invoice'!J$2:J$401,$AH292)))</f>
        <v/>
      </c>
      <c r="K292">
        <f>IF($AH292="","",IF(INDEX('Per Invoice'!K$2:K$401,$AH292)="","",INDEX('Per Invoice'!K$2:K$401,$AH292)))</f>
        <v/>
      </c>
      <c r="L292">
        <f>IF($AH292="","",IF(INDEX('Per Invoice'!L$2:L$401,$AH292)="","",INDEX('Per Invoice'!L$2:L$401,$AH292)))</f>
        <v/>
      </c>
      <c r="M292">
        <f>IF($AH292="","",IF(INDEX('Per Invoice'!M$2:M$401,$AH292)="","",INDEX('Per Invoice'!M$2:M$401,$AH292)))</f>
        <v/>
      </c>
      <c r="N292">
        <f>IF($AH292="","",IF(INDEX('Per Invoice'!N$2:N$401,$AH292)="","",INDEX('Per Invoice'!N$2:N$401,$AH292)))</f>
        <v/>
      </c>
      <c r="O292">
        <f>IF($AH292="","",IF(INDEX('Per Invoice'!O$2:O$401,$AH292)="","",INDEX('Per Invoice'!O$2:O$401,$AH292)))</f>
        <v/>
      </c>
      <c r="P292" s="7">
        <f>IF($AH292="","",IF(INDEX('Per Invoice'!P$2:P$401,$AH292)="","",INDEX('Per Invoice'!P$2:P$401,$AH292)))</f>
        <v/>
      </c>
      <c r="Q292">
        <f>IF($AH292="","",IF(INDEX('Per Invoice'!Q$2:Q$401,$AH292)="","",INDEX('Per Invoice'!Q$2:Q$401,$AH292)))</f>
        <v/>
      </c>
      <c r="R292">
        <f>IF($AH292="","",IF(INDEX('Per Invoice'!R$2:R$401,$AH292)="","",INDEX('Per Invoice'!R$2:R$401,$AH292)))</f>
        <v/>
      </c>
      <c r="S292">
        <f>IF($AH292="","",IF(INDEX('Per Invoice'!S$2:S$401,$AH292)="","",INDEX('Per Invoice'!S$2:S$401,$AH292)))</f>
        <v/>
      </c>
      <c r="T292" s="7">
        <f>IF($AH292="","",IF(INDEX('Per Invoice'!T$2:T$401,$AH292)="","",INDEX('Per Invoice'!T$2:T$401,$AH292)))</f>
        <v/>
      </c>
      <c r="U292" s="7">
        <f>IF($AH292="","",IF(INDEX('Per Invoice'!U$2:U$401,$AH292)="","",INDEX('Per Invoice'!U$2:U$401,$AH292)))</f>
        <v/>
      </c>
      <c r="V292">
        <f>IF($AH292="","",IF(INDEX('Per Invoice'!V$2:V$401,$AH292)="","",INDEX('Per Invoice'!V$2:V$401,$AH292)))</f>
        <v/>
      </c>
      <c r="W292" s="7">
        <f>IF($AH292="","",IF(INDEX('Per Invoice'!W$2:W$401,$AH292)="","",INDEX('Per Invoice'!W$2:W$401,$AH292)))</f>
        <v/>
      </c>
      <c r="X292" s="7">
        <f>IF($AH292="","",IF(INDEX('Per Invoice'!X$2:X$401,$AH292)="","",INDEX('Per Invoice'!X$2:X$401,$AH292)))</f>
        <v/>
      </c>
      <c r="Y292">
        <f>IF($AH292="","",IF(INDEX('Per Invoice'!Y$2:Y$401,$AH292)="","",INDEX('Per Invoice'!Y$2:Y$401,$AH292)))</f>
        <v/>
      </c>
      <c r="Z292" s="7">
        <f>IF($AH292="","",IF(INDEX('Per Invoice'!Z$2:Z$401,$AH292)="","",INDEX('Per Invoice'!Z$2:Z$401,$AH292)))</f>
        <v/>
      </c>
      <c r="AA292" s="7">
        <f>IF($AH292="","",IF(INDEX('Per Invoice'!AA$2:AA$401,$AH292)="","",INDEX('Per Invoice'!AA$2:AA$401,$AH292)))</f>
        <v/>
      </c>
      <c r="AB292" s="7">
        <f>IF($AH292="","",IF(INDEX('Per Invoice'!AB$2:AB$401,$AH292)="","",INDEX('Per Invoice'!AB$2:AB$401,$AH292)))</f>
        <v/>
      </c>
      <c r="AC292" s="7">
        <f>IF($AH292="","",IF(INDEX('Per Invoice'!AC$2:AC$401,$AH292)="","",INDEX('Per Invoice'!AC$2:AC$401,$AH292)))</f>
        <v/>
      </c>
      <c r="AD292" s="7">
        <f>IF($AH292="","",IF(INDEX('Per Invoice'!AD$2:AD$401,$AH292)="","",INDEX('Per Invoice'!AD$2:AD$401,$AH292)))</f>
        <v/>
      </c>
      <c r="AE292" s="7">
        <f>IF($AH292="","",IF(INDEX('Per Invoice'!AE$2:AE$401,$AH292)="","",INDEX('Per Invoice'!AE$2:AE$401,$AH292)))</f>
        <v/>
      </c>
      <c r="AF292">
        <f>IF($AH292="","",IF(INDEX('Per Invoice'!AF$2:AF$401,$AH292)="","",INDEX('Per Invoice'!AF$2:AF$401,$AH292)))</f>
        <v/>
      </c>
      <c r="AG292" s="7">
        <f>IF($AH292="","",IF(INDEX('Per Invoice'!AG$2:AG$401,$AH292)="","",INDEX('Per Invoice'!AG$2:AG$401,$AH292)))</f>
        <v/>
      </c>
      <c r="AH292" s="16">
        <f>IFERROR(MATCH(Settings!$C$27&amp;"|"&amp;ROWS($AH$2:$AH292),'Per Invoice'!$AI$2:$AI$401,0),"")</f>
        <v/>
      </c>
    </row>
    <row r="293">
      <c r="A293">
        <f>IF($AH293="","",IF(INDEX('Per Invoice'!A$2:A$401,$AH293)="","",INDEX('Per Invoice'!A$2:A$401,$AH293)))</f>
        <v/>
      </c>
      <c r="B293">
        <f>IF($AH293="","",IF(INDEX('Per Invoice'!B$2:B$401,$AH293)="","",INDEX('Per Invoice'!B$2:B$401,$AH293)))</f>
        <v/>
      </c>
      <c r="C293">
        <f>IF($AH293="","",IF(INDEX('Per Invoice'!C$2:C$401,$AH293)="","",INDEX('Per Invoice'!C$2:C$401,$AH293)))</f>
        <v/>
      </c>
      <c r="D293">
        <f>IF($AH293="","",IF(INDEX('Per Invoice'!D$2:D$401,$AH293)="","",INDEX('Per Invoice'!D$2:D$401,$AH293)))</f>
        <v/>
      </c>
      <c r="E293">
        <f>IF($AH293="","",IF(INDEX('Per Invoice'!E$2:E$401,$AH293)="","",INDEX('Per Invoice'!E$2:E$401,$AH293)))</f>
        <v/>
      </c>
      <c r="F293">
        <f>IF($AH293="","",IF(INDEX('Per Invoice'!F$2:F$401,$AH293)="","",INDEX('Per Invoice'!F$2:F$401,$AH293)))</f>
        <v/>
      </c>
      <c r="G293">
        <f>IF($AH293="","",IF(INDEX('Per Invoice'!G$2:G$401,$AH293)="","",INDEX('Per Invoice'!G$2:G$401,$AH293)))</f>
        <v/>
      </c>
      <c r="H293">
        <f>IF($AH293="","",IF(INDEX('Per Invoice'!H$2:H$401,$AH293)="","",INDEX('Per Invoice'!H$2:H$401,$AH293)))</f>
        <v/>
      </c>
      <c r="I293" s="14">
        <f>IF($AH293="","",IF(INDEX('Per Invoice'!I$2:I$401,$AH293)="","",INDEX('Per Invoice'!I$2:I$401,$AH293)))</f>
        <v/>
      </c>
      <c r="J293">
        <f>IF($AH293="","",IF(INDEX('Per Invoice'!J$2:J$401,$AH293)="","",INDEX('Per Invoice'!J$2:J$401,$AH293)))</f>
        <v/>
      </c>
      <c r="K293">
        <f>IF($AH293="","",IF(INDEX('Per Invoice'!K$2:K$401,$AH293)="","",INDEX('Per Invoice'!K$2:K$401,$AH293)))</f>
        <v/>
      </c>
      <c r="L293">
        <f>IF($AH293="","",IF(INDEX('Per Invoice'!L$2:L$401,$AH293)="","",INDEX('Per Invoice'!L$2:L$401,$AH293)))</f>
        <v/>
      </c>
      <c r="M293">
        <f>IF($AH293="","",IF(INDEX('Per Invoice'!M$2:M$401,$AH293)="","",INDEX('Per Invoice'!M$2:M$401,$AH293)))</f>
        <v/>
      </c>
      <c r="N293">
        <f>IF($AH293="","",IF(INDEX('Per Invoice'!N$2:N$401,$AH293)="","",INDEX('Per Invoice'!N$2:N$401,$AH293)))</f>
        <v/>
      </c>
      <c r="O293">
        <f>IF($AH293="","",IF(INDEX('Per Invoice'!O$2:O$401,$AH293)="","",INDEX('Per Invoice'!O$2:O$401,$AH293)))</f>
        <v/>
      </c>
      <c r="P293" s="7">
        <f>IF($AH293="","",IF(INDEX('Per Invoice'!P$2:P$401,$AH293)="","",INDEX('Per Invoice'!P$2:P$401,$AH293)))</f>
        <v/>
      </c>
      <c r="Q293">
        <f>IF($AH293="","",IF(INDEX('Per Invoice'!Q$2:Q$401,$AH293)="","",INDEX('Per Invoice'!Q$2:Q$401,$AH293)))</f>
        <v/>
      </c>
      <c r="R293">
        <f>IF($AH293="","",IF(INDEX('Per Invoice'!R$2:R$401,$AH293)="","",INDEX('Per Invoice'!R$2:R$401,$AH293)))</f>
        <v/>
      </c>
      <c r="S293">
        <f>IF($AH293="","",IF(INDEX('Per Invoice'!S$2:S$401,$AH293)="","",INDEX('Per Invoice'!S$2:S$401,$AH293)))</f>
        <v/>
      </c>
      <c r="T293" s="7">
        <f>IF($AH293="","",IF(INDEX('Per Invoice'!T$2:T$401,$AH293)="","",INDEX('Per Invoice'!T$2:T$401,$AH293)))</f>
        <v/>
      </c>
      <c r="U293" s="7">
        <f>IF($AH293="","",IF(INDEX('Per Invoice'!U$2:U$401,$AH293)="","",INDEX('Per Invoice'!U$2:U$401,$AH293)))</f>
        <v/>
      </c>
      <c r="V293">
        <f>IF($AH293="","",IF(INDEX('Per Invoice'!V$2:V$401,$AH293)="","",INDEX('Per Invoice'!V$2:V$401,$AH293)))</f>
        <v/>
      </c>
      <c r="W293" s="7">
        <f>IF($AH293="","",IF(INDEX('Per Invoice'!W$2:W$401,$AH293)="","",INDEX('Per Invoice'!W$2:W$401,$AH293)))</f>
        <v/>
      </c>
      <c r="X293" s="7">
        <f>IF($AH293="","",IF(INDEX('Per Invoice'!X$2:X$401,$AH293)="","",INDEX('Per Invoice'!X$2:X$401,$AH293)))</f>
        <v/>
      </c>
      <c r="Y293">
        <f>IF($AH293="","",IF(INDEX('Per Invoice'!Y$2:Y$401,$AH293)="","",INDEX('Per Invoice'!Y$2:Y$401,$AH293)))</f>
        <v/>
      </c>
      <c r="Z293" s="7">
        <f>IF($AH293="","",IF(INDEX('Per Invoice'!Z$2:Z$401,$AH293)="","",INDEX('Per Invoice'!Z$2:Z$401,$AH293)))</f>
        <v/>
      </c>
      <c r="AA293" s="7">
        <f>IF($AH293="","",IF(INDEX('Per Invoice'!AA$2:AA$401,$AH293)="","",INDEX('Per Invoice'!AA$2:AA$401,$AH293)))</f>
        <v/>
      </c>
      <c r="AB293" s="7">
        <f>IF($AH293="","",IF(INDEX('Per Invoice'!AB$2:AB$401,$AH293)="","",INDEX('Per Invoice'!AB$2:AB$401,$AH293)))</f>
        <v/>
      </c>
      <c r="AC293" s="7">
        <f>IF($AH293="","",IF(INDEX('Per Invoice'!AC$2:AC$401,$AH293)="","",INDEX('Per Invoice'!AC$2:AC$401,$AH293)))</f>
        <v/>
      </c>
      <c r="AD293" s="7">
        <f>IF($AH293="","",IF(INDEX('Per Invoice'!AD$2:AD$401,$AH293)="","",INDEX('Per Invoice'!AD$2:AD$401,$AH293)))</f>
        <v/>
      </c>
      <c r="AE293" s="7">
        <f>IF($AH293="","",IF(INDEX('Per Invoice'!AE$2:AE$401,$AH293)="","",INDEX('Per Invoice'!AE$2:AE$401,$AH293)))</f>
        <v/>
      </c>
      <c r="AF293">
        <f>IF($AH293="","",IF(INDEX('Per Invoice'!AF$2:AF$401,$AH293)="","",INDEX('Per Invoice'!AF$2:AF$401,$AH293)))</f>
        <v/>
      </c>
      <c r="AG293" s="7">
        <f>IF($AH293="","",IF(INDEX('Per Invoice'!AG$2:AG$401,$AH293)="","",INDEX('Per Invoice'!AG$2:AG$401,$AH293)))</f>
        <v/>
      </c>
      <c r="AH293" s="16">
        <f>IFERROR(MATCH(Settings!$C$27&amp;"|"&amp;ROWS($AH$2:$AH293),'Per Invoice'!$AI$2:$AI$401,0),"")</f>
        <v/>
      </c>
    </row>
    <row r="294">
      <c r="A294">
        <f>IF($AH294="","",IF(INDEX('Per Invoice'!A$2:A$401,$AH294)="","",INDEX('Per Invoice'!A$2:A$401,$AH294)))</f>
        <v/>
      </c>
      <c r="B294">
        <f>IF($AH294="","",IF(INDEX('Per Invoice'!B$2:B$401,$AH294)="","",INDEX('Per Invoice'!B$2:B$401,$AH294)))</f>
        <v/>
      </c>
      <c r="C294">
        <f>IF($AH294="","",IF(INDEX('Per Invoice'!C$2:C$401,$AH294)="","",INDEX('Per Invoice'!C$2:C$401,$AH294)))</f>
        <v/>
      </c>
      <c r="D294">
        <f>IF($AH294="","",IF(INDEX('Per Invoice'!D$2:D$401,$AH294)="","",INDEX('Per Invoice'!D$2:D$401,$AH294)))</f>
        <v/>
      </c>
      <c r="E294">
        <f>IF($AH294="","",IF(INDEX('Per Invoice'!E$2:E$401,$AH294)="","",INDEX('Per Invoice'!E$2:E$401,$AH294)))</f>
        <v/>
      </c>
      <c r="F294">
        <f>IF($AH294="","",IF(INDEX('Per Invoice'!F$2:F$401,$AH294)="","",INDEX('Per Invoice'!F$2:F$401,$AH294)))</f>
        <v/>
      </c>
      <c r="G294">
        <f>IF($AH294="","",IF(INDEX('Per Invoice'!G$2:G$401,$AH294)="","",INDEX('Per Invoice'!G$2:G$401,$AH294)))</f>
        <v/>
      </c>
      <c r="H294">
        <f>IF($AH294="","",IF(INDEX('Per Invoice'!H$2:H$401,$AH294)="","",INDEX('Per Invoice'!H$2:H$401,$AH294)))</f>
        <v/>
      </c>
      <c r="I294" s="14">
        <f>IF($AH294="","",IF(INDEX('Per Invoice'!I$2:I$401,$AH294)="","",INDEX('Per Invoice'!I$2:I$401,$AH294)))</f>
        <v/>
      </c>
      <c r="J294">
        <f>IF($AH294="","",IF(INDEX('Per Invoice'!J$2:J$401,$AH294)="","",INDEX('Per Invoice'!J$2:J$401,$AH294)))</f>
        <v/>
      </c>
      <c r="K294">
        <f>IF($AH294="","",IF(INDEX('Per Invoice'!K$2:K$401,$AH294)="","",INDEX('Per Invoice'!K$2:K$401,$AH294)))</f>
        <v/>
      </c>
      <c r="L294">
        <f>IF($AH294="","",IF(INDEX('Per Invoice'!L$2:L$401,$AH294)="","",INDEX('Per Invoice'!L$2:L$401,$AH294)))</f>
        <v/>
      </c>
      <c r="M294">
        <f>IF($AH294="","",IF(INDEX('Per Invoice'!M$2:M$401,$AH294)="","",INDEX('Per Invoice'!M$2:M$401,$AH294)))</f>
        <v/>
      </c>
      <c r="N294">
        <f>IF($AH294="","",IF(INDEX('Per Invoice'!N$2:N$401,$AH294)="","",INDEX('Per Invoice'!N$2:N$401,$AH294)))</f>
        <v/>
      </c>
      <c r="O294">
        <f>IF($AH294="","",IF(INDEX('Per Invoice'!O$2:O$401,$AH294)="","",INDEX('Per Invoice'!O$2:O$401,$AH294)))</f>
        <v/>
      </c>
      <c r="P294" s="7">
        <f>IF($AH294="","",IF(INDEX('Per Invoice'!P$2:P$401,$AH294)="","",INDEX('Per Invoice'!P$2:P$401,$AH294)))</f>
        <v/>
      </c>
      <c r="Q294">
        <f>IF($AH294="","",IF(INDEX('Per Invoice'!Q$2:Q$401,$AH294)="","",INDEX('Per Invoice'!Q$2:Q$401,$AH294)))</f>
        <v/>
      </c>
      <c r="R294">
        <f>IF($AH294="","",IF(INDEX('Per Invoice'!R$2:R$401,$AH294)="","",INDEX('Per Invoice'!R$2:R$401,$AH294)))</f>
        <v/>
      </c>
      <c r="S294">
        <f>IF($AH294="","",IF(INDEX('Per Invoice'!S$2:S$401,$AH294)="","",INDEX('Per Invoice'!S$2:S$401,$AH294)))</f>
        <v/>
      </c>
      <c r="T294" s="7">
        <f>IF($AH294="","",IF(INDEX('Per Invoice'!T$2:T$401,$AH294)="","",INDEX('Per Invoice'!T$2:T$401,$AH294)))</f>
        <v/>
      </c>
      <c r="U294" s="7">
        <f>IF($AH294="","",IF(INDEX('Per Invoice'!U$2:U$401,$AH294)="","",INDEX('Per Invoice'!U$2:U$401,$AH294)))</f>
        <v/>
      </c>
      <c r="V294">
        <f>IF($AH294="","",IF(INDEX('Per Invoice'!V$2:V$401,$AH294)="","",INDEX('Per Invoice'!V$2:V$401,$AH294)))</f>
        <v/>
      </c>
      <c r="W294" s="7">
        <f>IF($AH294="","",IF(INDEX('Per Invoice'!W$2:W$401,$AH294)="","",INDEX('Per Invoice'!W$2:W$401,$AH294)))</f>
        <v/>
      </c>
      <c r="X294" s="7">
        <f>IF($AH294="","",IF(INDEX('Per Invoice'!X$2:X$401,$AH294)="","",INDEX('Per Invoice'!X$2:X$401,$AH294)))</f>
        <v/>
      </c>
      <c r="Y294">
        <f>IF($AH294="","",IF(INDEX('Per Invoice'!Y$2:Y$401,$AH294)="","",INDEX('Per Invoice'!Y$2:Y$401,$AH294)))</f>
        <v/>
      </c>
      <c r="Z294" s="7">
        <f>IF($AH294="","",IF(INDEX('Per Invoice'!Z$2:Z$401,$AH294)="","",INDEX('Per Invoice'!Z$2:Z$401,$AH294)))</f>
        <v/>
      </c>
      <c r="AA294" s="7">
        <f>IF($AH294="","",IF(INDEX('Per Invoice'!AA$2:AA$401,$AH294)="","",INDEX('Per Invoice'!AA$2:AA$401,$AH294)))</f>
        <v/>
      </c>
      <c r="AB294" s="7">
        <f>IF($AH294="","",IF(INDEX('Per Invoice'!AB$2:AB$401,$AH294)="","",INDEX('Per Invoice'!AB$2:AB$401,$AH294)))</f>
        <v/>
      </c>
      <c r="AC294" s="7">
        <f>IF($AH294="","",IF(INDEX('Per Invoice'!AC$2:AC$401,$AH294)="","",INDEX('Per Invoice'!AC$2:AC$401,$AH294)))</f>
        <v/>
      </c>
      <c r="AD294" s="7">
        <f>IF($AH294="","",IF(INDEX('Per Invoice'!AD$2:AD$401,$AH294)="","",INDEX('Per Invoice'!AD$2:AD$401,$AH294)))</f>
        <v/>
      </c>
      <c r="AE294" s="7">
        <f>IF($AH294="","",IF(INDEX('Per Invoice'!AE$2:AE$401,$AH294)="","",INDEX('Per Invoice'!AE$2:AE$401,$AH294)))</f>
        <v/>
      </c>
      <c r="AF294">
        <f>IF($AH294="","",IF(INDEX('Per Invoice'!AF$2:AF$401,$AH294)="","",INDEX('Per Invoice'!AF$2:AF$401,$AH294)))</f>
        <v/>
      </c>
      <c r="AG294" s="7">
        <f>IF($AH294="","",IF(INDEX('Per Invoice'!AG$2:AG$401,$AH294)="","",INDEX('Per Invoice'!AG$2:AG$401,$AH294)))</f>
        <v/>
      </c>
      <c r="AH294" s="16">
        <f>IFERROR(MATCH(Settings!$C$27&amp;"|"&amp;ROWS($AH$2:$AH294),'Per Invoice'!$AI$2:$AI$401,0),"")</f>
        <v/>
      </c>
    </row>
    <row r="295">
      <c r="A295">
        <f>IF($AH295="","",IF(INDEX('Per Invoice'!A$2:A$401,$AH295)="","",INDEX('Per Invoice'!A$2:A$401,$AH295)))</f>
        <v/>
      </c>
      <c r="B295">
        <f>IF($AH295="","",IF(INDEX('Per Invoice'!B$2:B$401,$AH295)="","",INDEX('Per Invoice'!B$2:B$401,$AH295)))</f>
        <v/>
      </c>
      <c r="C295">
        <f>IF($AH295="","",IF(INDEX('Per Invoice'!C$2:C$401,$AH295)="","",INDEX('Per Invoice'!C$2:C$401,$AH295)))</f>
        <v/>
      </c>
      <c r="D295">
        <f>IF($AH295="","",IF(INDEX('Per Invoice'!D$2:D$401,$AH295)="","",INDEX('Per Invoice'!D$2:D$401,$AH295)))</f>
        <v/>
      </c>
      <c r="E295">
        <f>IF($AH295="","",IF(INDEX('Per Invoice'!E$2:E$401,$AH295)="","",INDEX('Per Invoice'!E$2:E$401,$AH295)))</f>
        <v/>
      </c>
      <c r="F295">
        <f>IF($AH295="","",IF(INDEX('Per Invoice'!F$2:F$401,$AH295)="","",INDEX('Per Invoice'!F$2:F$401,$AH295)))</f>
        <v/>
      </c>
      <c r="G295">
        <f>IF($AH295="","",IF(INDEX('Per Invoice'!G$2:G$401,$AH295)="","",INDEX('Per Invoice'!G$2:G$401,$AH295)))</f>
        <v/>
      </c>
      <c r="H295">
        <f>IF($AH295="","",IF(INDEX('Per Invoice'!H$2:H$401,$AH295)="","",INDEX('Per Invoice'!H$2:H$401,$AH295)))</f>
        <v/>
      </c>
      <c r="I295" s="14">
        <f>IF($AH295="","",IF(INDEX('Per Invoice'!I$2:I$401,$AH295)="","",INDEX('Per Invoice'!I$2:I$401,$AH295)))</f>
        <v/>
      </c>
      <c r="J295">
        <f>IF($AH295="","",IF(INDEX('Per Invoice'!J$2:J$401,$AH295)="","",INDEX('Per Invoice'!J$2:J$401,$AH295)))</f>
        <v/>
      </c>
      <c r="K295">
        <f>IF($AH295="","",IF(INDEX('Per Invoice'!K$2:K$401,$AH295)="","",INDEX('Per Invoice'!K$2:K$401,$AH295)))</f>
        <v/>
      </c>
      <c r="L295">
        <f>IF($AH295="","",IF(INDEX('Per Invoice'!L$2:L$401,$AH295)="","",INDEX('Per Invoice'!L$2:L$401,$AH295)))</f>
        <v/>
      </c>
      <c r="M295">
        <f>IF($AH295="","",IF(INDEX('Per Invoice'!M$2:M$401,$AH295)="","",INDEX('Per Invoice'!M$2:M$401,$AH295)))</f>
        <v/>
      </c>
      <c r="N295">
        <f>IF($AH295="","",IF(INDEX('Per Invoice'!N$2:N$401,$AH295)="","",INDEX('Per Invoice'!N$2:N$401,$AH295)))</f>
        <v/>
      </c>
      <c r="O295">
        <f>IF($AH295="","",IF(INDEX('Per Invoice'!O$2:O$401,$AH295)="","",INDEX('Per Invoice'!O$2:O$401,$AH295)))</f>
        <v/>
      </c>
      <c r="P295" s="7">
        <f>IF($AH295="","",IF(INDEX('Per Invoice'!P$2:P$401,$AH295)="","",INDEX('Per Invoice'!P$2:P$401,$AH295)))</f>
        <v/>
      </c>
      <c r="Q295">
        <f>IF($AH295="","",IF(INDEX('Per Invoice'!Q$2:Q$401,$AH295)="","",INDEX('Per Invoice'!Q$2:Q$401,$AH295)))</f>
        <v/>
      </c>
      <c r="R295">
        <f>IF($AH295="","",IF(INDEX('Per Invoice'!R$2:R$401,$AH295)="","",INDEX('Per Invoice'!R$2:R$401,$AH295)))</f>
        <v/>
      </c>
      <c r="S295">
        <f>IF($AH295="","",IF(INDEX('Per Invoice'!S$2:S$401,$AH295)="","",INDEX('Per Invoice'!S$2:S$401,$AH295)))</f>
        <v/>
      </c>
      <c r="T295" s="7">
        <f>IF($AH295="","",IF(INDEX('Per Invoice'!T$2:T$401,$AH295)="","",INDEX('Per Invoice'!T$2:T$401,$AH295)))</f>
        <v/>
      </c>
      <c r="U295" s="7">
        <f>IF($AH295="","",IF(INDEX('Per Invoice'!U$2:U$401,$AH295)="","",INDEX('Per Invoice'!U$2:U$401,$AH295)))</f>
        <v/>
      </c>
      <c r="V295">
        <f>IF($AH295="","",IF(INDEX('Per Invoice'!V$2:V$401,$AH295)="","",INDEX('Per Invoice'!V$2:V$401,$AH295)))</f>
        <v/>
      </c>
      <c r="W295" s="7">
        <f>IF($AH295="","",IF(INDEX('Per Invoice'!W$2:W$401,$AH295)="","",INDEX('Per Invoice'!W$2:W$401,$AH295)))</f>
        <v/>
      </c>
      <c r="X295" s="7">
        <f>IF($AH295="","",IF(INDEX('Per Invoice'!X$2:X$401,$AH295)="","",INDEX('Per Invoice'!X$2:X$401,$AH295)))</f>
        <v/>
      </c>
      <c r="Y295">
        <f>IF($AH295="","",IF(INDEX('Per Invoice'!Y$2:Y$401,$AH295)="","",INDEX('Per Invoice'!Y$2:Y$401,$AH295)))</f>
        <v/>
      </c>
      <c r="Z295" s="7">
        <f>IF($AH295="","",IF(INDEX('Per Invoice'!Z$2:Z$401,$AH295)="","",INDEX('Per Invoice'!Z$2:Z$401,$AH295)))</f>
        <v/>
      </c>
      <c r="AA295" s="7">
        <f>IF($AH295="","",IF(INDEX('Per Invoice'!AA$2:AA$401,$AH295)="","",INDEX('Per Invoice'!AA$2:AA$401,$AH295)))</f>
        <v/>
      </c>
      <c r="AB295" s="7">
        <f>IF($AH295="","",IF(INDEX('Per Invoice'!AB$2:AB$401,$AH295)="","",INDEX('Per Invoice'!AB$2:AB$401,$AH295)))</f>
        <v/>
      </c>
      <c r="AC295" s="7">
        <f>IF($AH295="","",IF(INDEX('Per Invoice'!AC$2:AC$401,$AH295)="","",INDEX('Per Invoice'!AC$2:AC$401,$AH295)))</f>
        <v/>
      </c>
      <c r="AD295" s="7">
        <f>IF($AH295="","",IF(INDEX('Per Invoice'!AD$2:AD$401,$AH295)="","",INDEX('Per Invoice'!AD$2:AD$401,$AH295)))</f>
        <v/>
      </c>
      <c r="AE295" s="7">
        <f>IF($AH295="","",IF(INDEX('Per Invoice'!AE$2:AE$401,$AH295)="","",INDEX('Per Invoice'!AE$2:AE$401,$AH295)))</f>
        <v/>
      </c>
      <c r="AF295">
        <f>IF($AH295="","",IF(INDEX('Per Invoice'!AF$2:AF$401,$AH295)="","",INDEX('Per Invoice'!AF$2:AF$401,$AH295)))</f>
        <v/>
      </c>
      <c r="AG295" s="7">
        <f>IF($AH295="","",IF(INDEX('Per Invoice'!AG$2:AG$401,$AH295)="","",INDEX('Per Invoice'!AG$2:AG$401,$AH295)))</f>
        <v/>
      </c>
      <c r="AH295" s="16">
        <f>IFERROR(MATCH(Settings!$C$27&amp;"|"&amp;ROWS($AH$2:$AH295),'Per Invoice'!$AI$2:$AI$401,0),"")</f>
        <v/>
      </c>
    </row>
    <row r="296">
      <c r="A296">
        <f>IF($AH296="","",IF(INDEX('Per Invoice'!A$2:A$401,$AH296)="","",INDEX('Per Invoice'!A$2:A$401,$AH296)))</f>
        <v/>
      </c>
      <c r="B296">
        <f>IF($AH296="","",IF(INDEX('Per Invoice'!B$2:B$401,$AH296)="","",INDEX('Per Invoice'!B$2:B$401,$AH296)))</f>
        <v/>
      </c>
      <c r="C296">
        <f>IF($AH296="","",IF(INDEX('Per Invoice'!C$2:C$401,$AH296)="","",INDEX('Per Invoice'!C$2:C$401,$AH296)))</f>
        <v/>
      </c>
      <c r="D296">
        <f>IF($AH296="","",IF(INDEX('Per Invoice'!D$2:D$401,$AH296)="","",INDEX('Per Invoice'!D$2:D$401,$AH296)))</f>
        <v/>
      </c>
      <c r="E296">
        <f>IF($AH296="","",IF(INDEX('Per Invoice'!E$2:E$401,$AH296)="","",INDEX('Per Invoice'!E$2:E$401,$AH296)))</f>
        <v/>
      </c>
      <c r="F296">
        <f>IF($AH296="","",IF(INDEX('Per Invoice'!F$2:F$401,$AH296)="","",INDEX('Per Invoice'!F$2:F$401,$AH296)))</f>
        <v/>
      </c>
      <c r="G296">
        <f>IF($AH296="","",IF(INDEX('Per Invoice'!G$2:G$401,$AH296)="","",INDEX('Per Invoice'!G$2:G$401,$AH296)))</f>
        <v/>
      </c>
      <c r="H296">
        <f>IF($AH296="","",IF(INDEX('Per Invoice'!H$2:H$401,$AH296)="","",INDEX('Per Invoice'!H$2:H$401,$AH296)))</f>
        <v/>
      </c>
      <c r="I296" s="14">
        <f>IF($AH296="","",IF(INDEX('Per Invoice'!I$2:I$401,$AH296)="","",INDEX('Per Invoice'!I$2:I$401,$AH296)))</f>
        <v/>
      </c>
      <c r="J296">
        <f>IF($AH296="","",IF(INDEX('Per Invoice'!J$2:J$401,$AH296)="","",INDEX('Per Invoice'!J$2:J$401,$AH296)))</f>
        <v/>
      </c>
      <c r="K296">
        <f>IF($AH296="","",IF(INDEX('Per Invoice'!K$2:K$401,$AH296)="","",INDEX('Per Invoice'!K$2:K$401,$AH296)))</f>
        <v/>
      </c>
      <c r="L296">
        <f>IF($AH296="","",IF(INDEX('Per Invoice'!L$2:L$401,$AH296)="","",INDEX('Per Invoice'!L$2:L$401,$AH296)))</f>
        <v/>
      </c>
      <c r="M296">
        <f>IF($AH296="","",IF(INDEX('Per Invoice'!M$2:M$401,$AH296)="","",INDEX('Per Invoice'!M$2:M$401,$AH296)))</f>
        <v/>
      </c>
      <c r="N296">
        <f>IF($AH296="","",IF(INDEX('Per Invoice'!N$2:N$401,$AH296)="","",INDEX('Per Invoice'!N$2:N$401,$AH296)))</f>
        <v/>
      </c>
      <c r="O296">
        <f>IF($AH296="","",IF(INDEX('Per Invoice'!O$2:O$401,$AH296)="","",INDEX('Per Invoice'!O$2:O$401,$AH296)))</f>
        <v/>
      </c>
      <c r="P296" s="7">
        <f>IF($AH296="","",IF(INDEX('Per Invoice'!P$2:P$401,$AH296)="","",INDEX('Per Invoice'!P$2:P$401,$AH296)))</f>
        <v/>
      </c>
      <c r="Q296">
        <f>IF($AH296="","",IF(INDEX('Per Invoice'!Q$2:Q$401,$AH296)="","",INDEX('Per Invoice'!Q$2:Q$401,$AH296)))</f>
        <v/>
      </c>
      <c r="R296">
        <f>IF($AH296="","",IF(INDEX('Per Invoice'!R$2:R$401,$AH296)="","",INDEX('Per Invoice'!R$2:R$401,$AH296)))</f>
        <v/>
      </c>
      <c r="S296">
        <f>IF($AH296="","",IF(INDEX('Per Invoice'!S$2:S$401,$AH296)="","",INDEX('Per Invoice'!S$2:S$401,$AH296)))</f>
        <v/>
      </c>
      <c r="T296" s="7">
        <f>IF($AH296="","",IF(INDEX('Per Invoice'!T$2:T$401,$AH296)="","",INDEX('Per Invoice'!T$2:T$401,$AH296)))</f>
        <v/>
      </c>
      <c r="U296" s="7">
        <f>IF($AH296="","",IF(INDEX('Per Invoice'!U$2:U$401,$AH296)="","",INDEX('Per Invoice'!U$2:U$401,$AH296)))</f>
        <v/>
      </c>
      <c r="V296">
        <f>IF($AH296="","",IF(INDEX('Per Invoice'!V$2:V$401,$AH296)="","",INDEX('Per Invoice'!V$2:V$401,$AH296)))</f>
        <v/>
      </c>
      <c r="W296" s="7">
        <f>IF($AH296="","",IF(INDEX('Per Invoice'!W$2:W$401,$AH296)="","",INDEX('Per Invoice'!W$2:W$401,$AH296)))</f>
        <v/>
      </c>
      <c r="X296" s="7">
        <f>IF($AH296="","",IF(INDEX('Per Invoice'!X$2:X$401,$AH296)="","",INDEX('Per Invoice'!X$2:X$401,$AH296)))</f>
        <v/>
      </c>
      <c r="Y296">
        <f>IF($AH296="","",IF(INDEX('Per Invoice'!Y$2:Y$401,$AH296)="","",INDEX('Per Invoice'!Y$2:Y$401,$AH296)))</f>
        <v/>
      </c>
      <c r="Z296" s="7">
        <f>IF($AH296="","",IF(INDEX('Per Invoice'!Z$2:Z$401,$AH296)="","",INDEX('Per Invoice'!Z$2:Z$401,$AH296)))</f>
        <v/>
      </c>
      <c r="AA296" s="7">
        <f>IF($AH296="","",IF(INDEX('Per Invoice'!AA$2:AA$401,$AH296)="","",INDEX('Per Invoice'!AA$2:AA$401,$AH296)))</f>
        <v/>
      </c>
      <c r="AB296" s="7">
        <f>IF($AH296="","",IF(INDEX('Per Invoice'!AB$2:AB$401,$AH296)="","",INDEX('Per Invoice'!AB$2:AB$401,$AH296)))</f>
        <v/>
      </c>
      <c r="AC296" s="7">
        <f>IF($AH296="","",IF(INDEX('Per Invoice'!AC$2:AC$401,$AH296)="","",INDEX('Per Invoice'!AC$2:AC$401,$AH296)))</f>
        <v/>
      </c>
      <c r="AD296" s="7">
        <f>IF($AH296="","",IF(INDEX('Per Invoice'!AD$2:AD$401,$AH296)="","",INDEX('Per Invoice'!AD$2:AD$401,$AH296)))</f>
        <v/>
      </c>
      <c r="AE296" s="7">
        <f>IF($AH296="","",IF(INDEX('Per Invoice'!AE$2:AE$401,$AH296)="","",INDEX('Per Invoice'!AE$2:AE$401,$AH296)))</f>
        <v/>
      </c>
      <c r="AF296">
        <f>IF($AH296="","",IF(INDEX('Per Invoice'!AF$2:AF$401,$AH296)="","",INDEX('Per Invoice'!AF$2:AF$401,$AH296)))</f>
        <v/>
      </c>
      <c r="AG296" s="7">
        <f>IF($AH296="","",IF(INDEX('Per Invoice'!AG$2:AG$401,$AH296)="","",INDEX('Per Invoice'!AG$2:AG$401,$AH296)))</f>
        <v/>
      </c>
      <c r="AH296" s="16">
        <f>IFERROR(MATCH(Settings!$C$27&amp;"|"&amp;ROWS($AH$2:$AH296),'Per Invoice'!$AI$2:$AI$401,0),"")</f>
        <v/>
      </c>
    </row>
    <row r="297">
      <c r="A297">
        <f>IF($AH297="","",IF(INDEX('Per Invoice'!A$2:A$401,$AH297)="","",INDEX('Per Invoice'!A$2:A$401,$AH297)))</f>
        <v/>
      </c>
      <c r="B297">
        <f>IF($AH297="","",IF(INDEX('Per Invoice'!B$2:B$401,$AH297)="","",INDEX('Per Invoice'!B$2:B$401,$AH297)))</f>
        <v/>
      </c>
      <c r="C297">
        <f>IF($AH297="","",IF(INDEX('Per Invoice'!C$2:C$401,$AH297)="","",INDEX('Per Invoice'!C$2:C$401,$AH297)))</f>
        <v/>
      </c>
      <c r="D297">
        <f>IF($AH297="","",IF(INDEX('Per Invoice'!D$2:D$401,$AH297)="","",INDEX('Per Invoice'!D$2:D$401,$AH297)))</f>
        <v/>
      </c>
      <c r="E297">
        <f>IF($AH297="","",IF(INDEX('Per Invoice'!E$2:E$401,$AH297)="","",INDEX('Per Invoice'!E$2:E$401,$AH297)))</f>
        <v/>
      </c>
      <c r="F297">
        <f>IF($AH297="","",IF(INDEX('Per Invoice'!F$2:F$401,$AH297)="","",INDEX('Per Invoice'!F$2:F$401,$AH297)))</f>
        <v/>
      </c>
      <c r="G297">
        <f>IF($AH297="","",IF(INDEX('Per Invoice'!G$2:G$401,$AH297)="","",INDEX('Per Invoice'!G$2:G$401,$AH297)))</f>
        <v/>
      </c>
      <c r="H297">
        <f>IF($AH297="","",IF(INDEX('Per Invoice'!H$2:H$401,$AH297)="","",INDEX('Per Invoice'!H$2:H$401,$AH297)))</f>
        <v/>
      </c>
      <c r="I297" s="14">
        <f>IF($AH297="","",IF(INDEX('Per Invoice'!I$2:I$401,$AH297)="","",INDEX('Per Invoice'!I$2:I$401,$AH297)))</f>
        <v/>
      </c>
      <c r="J297">
        <f>IF($AH297="","",IF(INDEX('Per Invoice'!J$2:J$401,$AH297)="","",INDEX('Per Invoice'!J$2:J$401,$AH297)))</f>
        <v/>
      </c>
      <c r="K297">
        <f>IF($AH297="","",IF(INDEX('Per Invoice'!K$2:K$401,$AH297)="","",INDEX('Per Invoice'!K$2:K$401,$AH297)))</f>
        <v/>
      </c>
      <c r="L297">
        <f>IF($AH297="","",IF(INDEX('Per Invoice'!L$2:L$401,$AH297)="","",INDEX('Per Invoice'!L$2:L$401,$AH297)))</f>
        <v/>
      </c>
      <c r="M297">
        <f>IF($AH297="","",IF(INDEX('Per Invoice'!M$2:M$401,$AH297)="","",INDEX('Per Invoice'!M$2:M$401,$AH297)))</f>
        <v/>
      </c>
      <c r="N297">
        <f>IF($AH297="","",IF(INDEX('Per Invoice'!N$2:N$401,$AH297)="","",INDEX('Per Invoice'!N$2:N$401,$AH297)))</f>
        <v/>
      </c>
      <c r="O297">
        <f>IF($AH297="","",IF(INDEX('Per Invoice'!O$2:O$401,$AH297)="","",INDEX('Per Invoice'!O$2:O$401,$AH297)))</f>
        <v/>
      </c>
      <c r="P297" s="7">
        <f>IF($AH297="","",IF(INDEX('Per Invoice'!P$2:P$401,$AH297)="","",INDEX('Per Invoice'!P$2:P$401,$AH297)))</f>
        <v/>
      </c>
      <c r="Q297">
        <f>IF($AH297="","",IF(INDEX('Per Invoice'!Q$2:Q$401,$AH297)="","",INDEX('Per Invoice'!Q$2:Q$401,$AH297)))</f>
        <v/>
      </c>
      <c r="R297">
        <f>IF($AH297="","",IF(INDEX('Per Invoice'!R$2:R$401,$AH297)="","",INDEX('Per Invoice'!R$2:R$401,$AH297)))</f>
        <v/>
      </c>
      <c r="S297">
        <f>IF($AH297="","",IF(INDEX('Per Invoice'!S$2:S$401,$AH297)="","",INDEX('Per Invoice'!S$2:S$401,$AH297)))</f>
        <v/>
      </c>
      <c r="T297" s="7">
        <f>IF($AH297="","",IF(INDEX('Per Invoice'!T$2:T$401,$AH297)="","",INDEX('Per Invoice'!T$2:T$401,$AH297)))</f>
        <v/>
      </c>
      <c r="U297" s="7">
        <f>IF($AH297="","",IF(INDEX('Per Invoice'!U$2:U$401,$AH297)="","",INDEX('Per Invoice'!U$2:U$401,$AH297)))</f>
        <v/>
      </c>
      <c r="V297">
        <f>IF($AH297="","",IF(INDEX('Per Invoice'!V$2:V$401,$AH297)="","",INDEX('Per Invoice'!V$2:V$401,$AH297)))</f>
        <v/>
      </c>
      <c r="W297" s="7">
        <f>IF($AH297="","",IF(INDEX('Per Invoice'!W$2:W$401,$AH297)="","",INDEX('Per Invoice'!W$2:W$401,$AH297)))</f>
        <v/>
      </c>
      <c r="X297" s="7">
        <f>IF($AH297="","",IF(INDEX('Per Invoice'!X$2:X$401,$AH297)="","",INDEX('Per Invoice'!X$2:X$401,$AH297)))</f>
        <v/>
      </c>
      <c r="Y297">
        <f>IF($AH297="","",IF(INDEX('Per Invoice'!Y$2:Y$401,$AH297)="","",INDEX('Per Invoice'!Y$2:Y$401,$AH297)))</f>
        <v/>
      </c>
      <c r="Z297" s="7">
        <f>IF($AH297="","",IF(INDEX('Per Invoice'!Z$2:Z$401,$AH297)="","",INDEX('Per Invoice'!Z$2:Z$401,$AH297)))</f>
        <v/>
      </c>
      <c r="AA297" s="7">
        <f>IF($AH297="","",IF(INDEX('Per Invoice'!AA$2:AA$401,$AH297)="","",INDEX('Per Invoice'!AA$2:AA$401,$AH297)))</f>
        <v/>
      </c>
      <c r="AB297" s="7">
        <f>IF($AH297="","",IF(INDEX('Per Invoice'!AB$2:AB$401,$AH297)="","",INDEX('Per Invoice'!AB$2:AB$401,$AH297)))</f>
        <v/>
      </c>
      <c r="AC297" s="7">
        <f>IF($AH297="","",IF(INDEX('Per Invoice'!AC$2:AC$401,$AH297)="","",INDEX('Per Invoice'!AC$2:AC$401,$AH297)))</f>
        <v/>
      </c>
      <c r="AD297" s="7">
        <f>IF($AH297="","",IF(INDEX('Per Invoice'!AD$2:AD$401,$AH297)="","",INDEX('Per Invoice'!AD$2:AD$401,$AH297)))</f>
        <v/>
      </c>
      <c r="AE297" s="7">
        <f>IF($AH297="","",IF(INDEX('Per Invoice'!AE$2:AE$401,$AH297)="","",INDEX('Per Invoice'!AE$2:AE$401,$AH297)))</f>
        <v/>
      </c>
      <c r="AF297">
        <f>IF($AH297="","",IF(INDEX('Per Invoice'!AF$2:AF$401,$AH297)="","",INDEX('Per Invoice'!AF$2:AF$401,$AH297)))</f>
        <v/>
      </c>
      <c r="AG297" s="7">
        <f>IF($AH297="","",IF(INDEX('Per Invoice'!AG$2:AG$401,$AH297)="","",INDEX('Per Invoice'!AG$2:AG$401,$AH297)))</f>
        <v/>
      </c>
      <c r="AH297" s="16">
        <f>IFERROR(MATCH(Settings!$C$27&amp;"|"&amp;ROWS($AH$2:$AH297),'Per Invoice'!$AI$2:$AI$401,0),"")</f>
        <v/>
      </c>
    </row>
    <row r="298">
      <c r="A298">
        <f>IF($AH298="","",IF(INDEX('Per Invoice'!A$2:A$401,$AH298)="","",INDEX('Per Invoice'!A$2:A$401,$AH298)))</f>
        <v/>
      </c>
      <c r="B298">
        <f>IF($AH298="","",IF(INDEX('Per Invoice'!B$2:B$401,$AH298)="","",INDEX('Per Invoice'!B$2:B$401,$AH298)))</f>
        <v/>
      </c>
      <c r="C298">
        <f>IF($AH298="","",IF(INDEX('Per Invoice'!C$2:C$401,$AH298)="","",INDEX('Per Invoice'!C$2:C$401,$AH298)))</f>
        <v/>
      </c>
      <c r="D298">
        <f>IF($AH298="","",IF(INDEX('Per Invoice'!D$2:D$401,$AH298)="","",INDEX('Per Invoice'!D$2:D$401,$AH298)))</f>
        <v/>
      </c>
      <c r="E298">
        <f>IF($AH298="","",IF(INDEX('Per Invoice'!E$2:E$401,$AH298)="","",INDEX('Per Invoice'!E$2:E$401,$AH298)))</f>
        <v/>
      </c>
      <c r="F298">
        <f>IF($AH298="","",IF(INDEX('Per Invoice'!F$2:F$401,$AH298)="","",INDEX('Per Invoice'!F$2:F$401,$AH298)))</f>
        <v/>
      </c>
      <c r="G298">
        <f>IF($AH298="","",IF(INDEX('Per Invoice'!G$2:G$401,$AH298)="","",INDEX('Per Invoice'!G$2:G$401,$AH298)))</f>
        <v/>
      </c>
      <c r="H298">
        <f>IF($AH298="","",IF(INDEX('Per Invoice'!H$2:H$401,$AH298)="","",INDEX('Per Invoice'!H$2:H$401,$AH298)))</f>
        <v/>
      </c>
      <c r="I298" s="14">
        <f>IF($AH298="","",IF(INDEX('Per Invoice'!I$2:I$401,$AH298)="","",INDEX('Per Invoice'!I$2:I$401,$AH298)))</f>
        <v/>
      </c>
      <c r="J298">
        <f>IF($AH298="","",IF(INDEX('Per Invoice'!J$2:J$401,$AH298)="","",INDEX('Per Invoice'!J$2:J$401,$AH298)))</f>
        <v/>
      </c>
      <c r="K298">
        <f>IF($AH298="","",IF(INDEX('Per Invoice'!K$2:K$401,$AH298)="","",INDEX('Per Invoice'!K$2:K$401,$AH298)))</f>
        <v/>
      </c>
      <c r="L298">
        <f>IF($AH298="","",IF(INDEX('Per Invoice'!L$2:L$401,$AH298)="","",INDEX('Per Invoice'!L$2:L$401,$AH298)))</f>
        <v/>
      </c>
      <c r="M298">
        <f>IF($AH298="","",IF(INDEX('Per Invoice'!M$2:M$401,$AH298)="","",INDEX('Per Invoice'!M$2:M$401,$AH298)))</f>
        <v/>
      </c>
      <c r="N298">
        <f>IF($AH298="","",IF(INDEX('Per Invoice'!N$2:N$401,$AH298)="","",INDEX('Per Invoice'!N$2:N$401,$AH298)))</f>
        <v/>
      </c>
      <c r="O298">
        <f>IF($AH298="","",IF(INDEX('Per Invoice'!O$2:O$401,$AH298)="","",INDEX('Per Invoice'!O$2:O$401,$AH298)))</f>
        <v/>
      </c>
      <c r="P298" s="7">
        <f>IF($AH298="","",IF(INDEX('Per Invoice'!P$2:P$401,$AH298)="","",INDEX('Per Invoice'!P$2:P$401,$AH298)))</f>
        <v/>
      </c>
      <c r="Q298">
        <f>IF($AH298="","",IF(INDEX('Per Invoice'!Q$2:Q$401,$AH298)="","",INDEX('Per Invoice'!Q$2:Q$401,$AH298)))</f>
        <v/>
      </c>
      <c r="R298">
        <f>IF($AH298="","",IF(INDEX('Per Invoice'!R$2:R$401,$AH298)="","",INDEX('Per Invoice'!R$2:R$401,$AH298)))</f>
        <v/>
      </c>
      <c r="S298">
        <f>IF($AH298="","",IF(INDEX('Per Invoice'!S$2:S$401,$AH298)="","",INDEX('Per Invoice'!S$2:S$401,$AH298)))</f>
        <v/>
      </c>
      <c r="T298" s="7">
        <f>IF($AH298="","",IF(INDEX('Per Invoice'!T$2:T$401,$AH298)="","",INDEX('Per Invoice'!T$2:T$401,$AH298)))</f>
        <v/>
      </c>
      <c r="U298" s="7">
        <f>IF($AH298="","",IF(INDEX('Per Invoice'!U$2:U$401,$AH298)="","",INDEX('Per Invoice'!U$2:U$401,$AH298)))</f>
        <v/>
      </c>
      <c r="V298">
        <f>IF($AH298="","",IF(INDEX('Per Invoice'!V$2:V$401,$AH298)="","",INDEX('Per Invoice'!V$2:V$401,$AH298)))</f>
        <v/>
      </c>
      <c r="W298" s="7">
        <f>IF($AH298="","",IF(INDEX('Per Invoice'!W$2:W$401,$AH298)="","",INDEX('Per Invoice'!W$2:W$401,$AH298)))</f>
        <v/>
      </c>
      <c r="X298" s="7">
        <f>IF($AH298="","",IF(INDEX('Per Invoice'!X$2:X$401,$AH298)="","",INDEX('Per Invoice'!X$2:X$401,$AH298)))</f>
        <v/>
      </c>
      <c r="Y298">
        <f>IF($AH298="","",IF(INDEX('Per Invoice'!Y$2:Y$401,$AH298)="","",INDEX('Per Invoice'!Y$2:Y$401,$AH298)))</f>
        <v/>
      </c>
      <c r="Z298" s="7">
        <f>IF($AH298="","",IF(INDEX('Per Invoice'!Z$2:Z$401,$AH298)="","",INDEX('Per Invoice'!Z$2:Z$401,$AH298)))</f>
        <v/>
      </c>
      <c r="AA298" s="7">
        <f>IF($AH298="","",IF(INDEX('Per Invoice'!AA$2:AA$401,$AH298)="","",INDEX('Per Invoice'!AA$2:AA$401,$AH298)))</f>
        <v/>
      </c>
      <c r="AB298" s="7">
        <f>IF($AH298="","",IF(INDEX('Per Invoice'!AB$2:AB$401,$AH298)="","",INDEX('Per Invoice'!AB$2:AB$401,$AH298)))</f>
        <v/>
      </c>
      <c r="AC298" s="7">
        <f>IF($AH298="","",IF(INDEX('Per Invoice'!AC$2:AC$401,$AH298)="","",INDEX('Per Invoice'!AC$2:AC$401,$AH298)))</f>
        <v/>
      </c>
      <c r="AD298" s="7">
        <f>IF($AH298="","",IF(INDEX('Per Invoice'!AD$2:AD$401,$AH298)="","",INDEX('Per Invoice'!AD$2:AD$401,$AH298)))</f>
        <v/>
      </c>
      <c r="AE298" s="7">
        <f>IF($AH298="","",IF(INDEX('Per Invoice'!AE$2:AE$401,$AH298)="","",INDEX('Per Invoice'!AE$2:AE$401,$AH298)))</f>
        <v/>
      </c>
      <c r="AF298">
        <f>IF($AH298="","",IF(INDEX('Per Invoice'!AF$2:AF$401,$AH298)="","",INDEX('Per Invoice'!AF$2:AF$401,$AH298)))</f>
        <v/>
      </c>
      <c r="AG298" s="7">
        <f>IF($AH298="","",IF(INDEX('Per Invoice'!AG$2:AG$401,$AH298)="","",INDEX('Per Invoice'!AG$2:AG$401,$AH298)))</f>
        <v/>
      </c>
      <c r="AH298" s="16">
        <f>IFERROR(MATCH(Settings!$C$27&amp;"|"&amp;ROWS($AH$2:$AH298),'Per Invoice'!$AI$2:$AI$401,0),"")</f>
        <v/>
      </c>
    </row>
    <row r="299">
      <c r="A299">
        <f>IF($AH299="","",IF(INDEX('Per Invoice'!A$2:A$401,$AH299)="","",INDEX('Per Invoice'!A$2:A$401,$AH299)))</f>
        <v/>
      </c>
      <c r="B299">
        <f>IF($AH299="","",IF(INDEX('Per Invoice'!B$2:B$401,$AH299)="","",INDEX('Per Invoice'!B$2:B$401,$AH299)))</f>
        <v/>
      </c>
      <c r="C299">
        <f>IF($AH299="","",IF(INDEX('Per Invoice'!C$2:C$401,$AH299)="","",INDEX('Per Invoice'!C$2:C$401,$AH299)))</f>
        <v/>
      </c>
      <c r="D299">
        <f>IF($AH299="","",IF(INDEX('Per Invoice'!D$2:D$401,$AH299)="","",INDEX('Per Invoice'!D$2:D$401,$AH299)))</f>
        <v/>
      </c>
      <c r="E299">
        <f>IF($AH299="","",IF(INDEX('Per Invoice'!E$2:E$401,$AH299)="","",INDEX('Per Invoice'!E$2:E$401,$AH299)))</f>
        <v/>
      </c>
      <c r="F299">
        <f>IF($AH299="","",IF(INDEX('Per Invoice'!F$2:F$401,$AH299)="","",INDEX('Per Invoice'!F$2:F$401,$AH299)))</f>
        <v/>
      </c>
      <c r="G299">
        <f>IF($AH299="","",IF(INDEX('Per Invoice'!G$2:G$401,$AH299)="","",INDEX('Per Invoice'!G$2:G$401,$AH299)))</f>
        <v/>
      </c>
      <c r="H299">
        <f>IF($AH299="","",IF(INDEX('Per Invoice'!H$2:H$401,$AH299)="","",INDEX('Per Invoice'!H$2:H$401,$AH299)))</f>
        <v/>
      </c>
      <c r="I299" s="14">
        <f>IF($AH299="","",IF(INDEX('Per Invoice'!I$2:I$401,$AH299)="","",INDEX('Per Invoice'!I$2:I$401,$AH299)))</f>
        <v/>
      </c>
      <c r="J299">
        <f>IF($AH299="","",IF(INDEX('Per Invoice'!J$2:J$401,$AH299)="","",INDEX('Per Invoice'!J$2:J$401,$AH299)))</f>
        <v/>
      </c>
      <c r="K299">
        <f>IF($AH299="","",IF(INDEX('Per Invoice'!K$2:K$401,$AH299)="","",INDEX('Per Invoice'!K$2:K$401,$AH299)))</f>
        <v/>
      </c>
      <c r="L299">
        <f>IF($AH299="","",IF(INDEX('Per Invoice'!L$2:L$401,$AH299)="","",INDEX('Per Invoice'!L$2:L$401,$AH299)))</f>
        <v/>
      </c>
      <c r="M299">
        <f>IF($AH299="","",IF(INDEX('Per Invoice'!M$2:M$401,$AH299)="","",INDEX('Per Invoice'!M$2:M$401,$AH299)))</f>
        <v/>
      </c>
      <c r="N299">
        <f>IF($AH299="","",IF(INDEX('Per Invoice'!N$2:N$401,$AH299)="","",INDEX('Per Invoice'!N$2:N$401,$AH299)))</f>
        <v/>
      </c>
      <c r="O299">
        <f>IF($AH299="","",IF(INDEX('Per Invoice'!O$2:O$401,$AH299)="","",INDEX('Per Invoice'!O$2:O$401,$AH299)))</f>
        <v/>
      </c>
      <c r="P299" s="7">
        <f>IF($AH299="","",IF(INDEX('Per Invoice'!P$2:P$401,$AH299)="","",INDEX('Per Invoice'!P$2:P$401,$AH299)))</f>
        <v/>
      </c>
      <c r="Q299">
        <f>IF($AH299="","",IF(INDEX('Per Invoice'!Q$2:Q$401,$AH299)="","",INDEX('Per Invoice'!Q$2:Q$401,$AH299)))</f>
        <v/>
      </c>
      <c r="R299">
        <f>IF($AH299="","",IF(INDEX('Per Invoice'!R$2:R$401,$AH299)="","",INDEX('Per Invoice'!R$2:R$401,$AH299)))</f>
        <v/>
      </c>
      <c r="S299">
        <f>IF($AH299="","",IF(INDEX('Per Invoice'!S$2:S$401,$AH299)="","",INDEX('Per Invoice'!S$2:S$401,$AH299)))</f>
        <v/>
      </c>
      <c r="T299" s="7">
        <f>IF($AH299="","",IF(INDEX('Per Invoice'!T$2:T$401,$AH299)="","",INDEX('Per Invoice'!T$2:T$401,$AH299)))</f>
        <v/>
      </c>
      <c r="U299" s="7">
        <f>IF($AH299="","",IF(INDEX('Per Invoice'!U$2:U$401,$AH299)="","",INDEX('Per Invoice'!U$2:U$401,$AH299)))</f>
        <v/>
      </c>
      <c r="V299">
        <f>IF($AH299="","",IF(INDEX('Per Invoice'!V$2:V$401,$AH299)="","",INDEX('Per Invoice'!V$2:V$401,$AH299)))</f>
        <v/>
      </c>
      <c r="W299" s="7">
        <f>IF($AH299="","",IF(INDEX('Per Invoice'!W$2:W$401,$AH299)="","",INDEX('Per Invoice'!W$2:W$401,$AH299)))</f>
        <v/>
      </c>
      <c r="X299" s="7">
        <f>IF($AH299="","",IF(INDEX('Per Invoice'!X$2:X$401,$AH299)="","",INDEX('Per Invoice'!X$2:X$401,$AH299)))</f>
        <v/>
      </c>
      <c r="Y299">
        <f>IF($AH299="","",IF(INDEX('Per Invoice'!Y$2:Y$401,$AH299)="","",INDEX('Per Invoice'!Y$2:Y$401,$AH299)))</f>
        <v/>
      </c>
      <c r="Z299" s="7">
        <f>IF($AH299="","",IF(INDEX('Per Invoice'!Z$2:Z$401,$AH299)="","",INDEX('Per Invoice'!Z$2:Z$401,$AH299)))</f>
        <v/>
      </c>
      <c r="AA299" s="7">
        <f>IF($AH299="","",IF(INDEX('Per Invoice'!AA$2:AA$401,$AH299)="","",INDEX('Per Invoice'!AA$2:AA$401,$AH299)))</f>
        <v/>
      </c>
      <c r="AB299" s="7">
        <f>IF($AH299="","",IF(INDEX('Per Invoice'!AB$2:AB$401,$AH299)="","",INDEX('Per Invoice'!AB$2:AB$401,$AH299)))</f>
        <v/>
      </c>
      <c r="AC299" s="7">
        <f>IF($AH299="","",IF(INDEX('Per Invoice'!AC$2:AC$401,$AH299)="","",INDEX('Per Invoice'!AC$2:AC$401,$AH299)))</f>
        <v/>
      </c>
      <c r="AD299" s="7">
        <f>IF($AH299="","",IF(INDEX('Per Invoice'!AD$2:AD$401,$AH299)="","",INDEX('Per Invoice'!AD$2:AD$401,$AH299)))</f>
        <v/>
      </c>
      <c r="AE299" s="7">
        <f>IF($AH299="","",IF(INDEX('Per Invoice'!AE$2:AE$401,$AH299)="","",INDEX('Per Invoice'!AE$2:AE$401,$AH299)))</f>
        <v/>
      </c>
      <c r="AF299">
        <f>IF($AH299="","",IF(INDEX('Per Invoice'!AF$2:AF$401,$AH299)="","",INDEX('Per Invoice'!AF$2:AF$401,$AH299)))</f>
        <v/>
      </c>
      <c r="AG299" s="7">
        <f>IF($AH299="","",IF(INDEX('Per Invoice'!AG$2:AG$401,$AH299)="","",INDEX('Per Invoice'!AG$2:AG$401,$AH299)))</f>
        <v/>
      </c>
      <c r="AH299" s="16">
        <f>IFERROR(MATCH(Settings!$C$27&amp;"|"&amp;ROWS($AH$2:$AH299),'Per Invoice'!$AI$2:$AI$401,0),"")</f>
        <v/>
      </c>
    </row>
    <row r="300">
      <c r="A300">
        <f>IF($AH300="","",IF(INDEX('Per Invoice'!A$2:A$401,$AH300)="","",INDEX('Per Invoice'!A$2:A$401,$AH300)))</f>
        <v/>
      </c>
      <c r="B300">
        <f>IF($AH300="","",IF(INDEX('Per Invoice'!B$2:B$401,$AH300)="","",INDEX('Per Invoice'!B$2:B$401,$AH300)))</f>
        <v/>
      </c>
      <c r="C300">
        <f>IF($AH300="","",IF(INDEX('Per Invoice'!C$2:C$401,$AH300)="","",INDEX('Per Invoice'!C$2:C$401,$AH300)))</f>
        <v/>
      </c>
      <c r="D300">
        <f>IF($AH300="","",IF(INDEX('Per Invoice'!D$2:D$401,$AH300)="","",INDEX('Per Invoice'!D$2:D$401,$AH300)))</f>
        <v/>
      </c>
      <c r="E300">
        <f>IF($AH300="","",IF(INDEX('Per Invoice'!E$2:E$401,$AH300)="","",INDEX('Per Invoice'!E$2:E$401,$AH300)))</f>
        <v/>
      </c>
      <c r="F300">
        <f>IF($AH300="","",IF(INDEX('Per Invoice'!F$2:F$401,$AH300)="","",INDEX('Per Invoice'!F$2:F$401,$AH300)))</f>
        <v/>
      </c>
      <c r="G300">
        <f>IF($AH300="","",IF(INDEX('Per Invoice'!G$2:G$401,$AH300)="","",INDEX('Per Invoice'!G$2:G$401,$AH300)))</f>
        <v/>
      </c>
      <c r="H300">
        <f>IF($AH300="","",IF(INDEX('Per Invoice'!H$2:H$401,$AH300)="","",INDEX('Per Invoice'!H$2:H$401,$AH300)))</f>
        <v/>
      </c>
      <c r="I300" s="14">
        <f>IF($AH300="","",IF(INDEX('Per Invoice'!I$2:I$401,$AH300)="","",INDEX('Per Invoice'!I$2:I$401,$AH300)))</f>
        <v/>
      </c>
      <c r="J300">
        <f>IF($AH300="","",IF(INDEX('Per Invoice'!J$2:J$401,$AH300)="","",INDEX('Per Invoice'!J$2:J$401,$AH300)))</f>
        <v/>
      </c>
      <c r="K300">
        <f>IF($AH300="","",IF(INDEX('Per Invoice'!K$2:K$401,$AH300)="","",INDEX('Per Invoice'!K$2:K$401,$AH300)))</f>
        <v/>
      </c>
      <c r="L300">
        <f>IF($AH300="","",IF(INDEX('Per Invoice'!L$2:L$401,$AH300)="","",INDEX('Per Invoice'!L$2:L$401,$AH300)))</f>
        <v/>
      </c>
      <c r="M300">
        <f>IF($AH300="","",IF(INDEX('Per Invoice'!M$2:M$401,$AH300)="","",INDEX('Per Invoice'!M$2:M$401,$AH300)))</f>
        <v/>
      </c>
      <c r="N300">
        <f>IF($AH300="","",IF(INDEX('Per Invoice'!N$2:N$401,$AH300)="","",INDEX('Per Invoice'!N$2:N$401,$AH300)))</f>
        <v/>
      </c>
      <c r="O300">
        <f>IF($AH300="","",IF(INDEX('Per Invoice'!O$2:O$401,$AH300)="","",INDEX('Per Invoice'!O$2:O$401,$AH300)))</f>
        <v/>
      </c>
      <c r="P300" s="7">
        <f>IF($AH300="","",IF(INDEX('Per Invoice'!P$2:P$401,$AH300)="","",INDEX('Per Invoice'!P$2:P$401,$AH300)))</f>
        <v/>
      </c>
      <c r="Q300">
        <f>IF($AH300="","",IF(INDEX('Per Invoice'!Q$2:Q$401,$AH300)="","",INDEX('Per Invoice'!Q$2:Q$401,$AH300)))</f>
        <v/>
      </c>
      <c r="R300">
        <f>IF($AH300="","",IF(INDEX('Per Invoice'!R$2:R$401,$AH300)="","",INDEX('Per Invoice'!R$2:R$401,$AH300)))</f>
        <v/>
      </c>
      <c r="S300">
        <f>IF($AH300="","",IF(INDEX('Per Invoice'!S$2:S$401,$AH300)="","",INDEX('Per Invoice'!S$2:S$401,$AH300)))</f>
        <v/>
      </c>
      <c r="T300" s="7">
        <f>IF($AH300="","",IF(INDEX('Per Invoice'!T$2:T$401,$AH300)="","",INDEX('Per Invoice'!T$2:T$401,$AH300)))</f>
        <v/>
      </c>
      <c r="U300" s="7">
        <f>IF($AH300="","",IF(INDEX('Per Invoice'!U$2:U$401,$AH300)="","",INDEX('Per Invoice'!U$2:U$401,$AH300)))</f>
        <v/>
      </c>
      <c r="V300">
        <f>IF($AH300="","",IF(INDEX('Per Invoice'!V$2:V$401,$AH300)="","",INDEX('Per Invoice'!V$2:V$401,$AH300)))</f>
        <v/>
      </c>
      <c r="W300" s="7">
        <f>IF($AH300="","",IF(INDEX('Per Invoice'!W$2:W$401,$AH300)="","",INDEX('Per Invoice'!W$2:W$401,$AH300)))</f>
        <v/>
      </c>
      <c r="X300" s="7">
        <f>IF($AH300="","",IF(INDEX('Per Invoice'!X$2:X$401,$AH300)="","",INDEX('Per Invoice'!X$2:X$401,$AH300)))</f>
        <v/>
      </c>
      <c r="Y300">
        <f>IF($AH300="","",IF(INDEX('Per Invoice'!Y$2:Y$401,$AH300)="","",INDEX('Per Invoice'!Y$2:Y$401,$AH300)))</f>
        <v/>
      </c>
      <c r="Z300" s="7">
        <f>IF($AH300="","",IF(INDEX('Per Invoice'!Z$2:Z$401,$AH300)="","",INDEX('Per Invoice'!Z$2:Z$401,$AH300)))</f>
        <v/>
      </c>
      <c r="AA300" s="7">
        <f>IF($AH300="","",IF(INDEX('Per Invoice'!AA$2:AA$401,$AH300)="","",INDEX('Per Invoice'!AA$2:AA$401,$AH300)))</f>
        <v/>
      </c>
      <c r="AB300" s="7">
        <f>IF($AH300="","",IF(INDEX('Per Invoice'!AB$2:AB$401,$AH300)="","",INDEX('Per Invoice'!AB$2:AB$401,$AH300)))</f>
        <v/>
      </c>
      <c r="AC300" s="7">
        <f>IF($AH300="","",IF(INDEX('Per Invoice'!AC$2:AC$401,$AH300)="","",INDEX('Per Invoice'!AC$2:AC$401,$AH300)))</f>
        <v/>
      </c>
      <c r="AD300" s="7">
        <f>IF($AH300="","",IF(INDEX('Per Invoice'!AD$2:AD$401,$AH300)="","",INDEX('Per Invoice'!AD$2:AD$401,$AH300)))</f>
        <v/>
      </c>
      <c r="AE300" s="7">
        <f>IF($AH300="","",IF(INDEX('Per Invoice'!AE$2:AE$401,$AH300)="","",INDEX('Per Invoice'!AE$2:AE$401,$AH300)))</f>
        <v/>
      </c>
      <c r="AF300">
        <f>IF($AH300="","",IF(INDEX('Per Invoice'!AF$2:AF$401,$AH300)="","",INDEX('Per Invoice'!AF$2:AF$401,$AH300)))</f>
        <v/>
      </c>
      <c r="AG300" s="7">
        <f>IF($AH300="","",IF(INDEX('Per Invoice'!AG$2:AG$401,$AH300)="","",INDEX('Per Invoice'!AG$2:AG$401,$AH300)))</f>
        <v/>
      </c>
      <c r="AH300" s="16">
        <f>IFERROR(MATCH(Settings!$C$27&amp;"|"&amp;ROWS($AH$2:$AH300),'Per Invoice'!$AI$2:$AI$401,0),"")</f>
        <v/>
      </c>
    </row>
    <row r="301">
      <c r="A301">
        <f>IF($AH301="","",IF(INDEX('Per Invoice'!A$2:A$401,$AH301)="","",INDEX('Per Invoice'!A$2:A$401,$AH301)))</f>
        <v/>
      </c>
      <c r="B301">
        <f>IF($AH301="","",IF(INDEX('Per Invoice'!B$2:B$401,$AH301)="","",INDEX('Per Invoice'!B$2:B$401,$AH301)))</f>
        <v/>
      </c>
      <c r="C301">
        <f>IF($AH301="","",IF(INDEX('Per Invoice'!C$2:C$401,$AH301)="","",INDEX('Per Invoice'!C$2:C$401,$AH301)))</f>
        <v/>
      </c>
      <c r="D301">
        <f>IF($AH301="","",IF(INDEX('Per Invoice'!D$2:D$401,$AH301)="","",INDEX('Per Invoice'!D$2:D$401,$AH301)))</f>
        <v/>
      </c>
      <c r="E301">
        <f>IF($AH301="","",IF(INDEX('Per Invoice'!E$2:E$401,$AH301)="","",INDEX('Per Invoice'!E$2:E$401,$AH301)))</f>
        <v/>
      </c>
      <c r="F301">
        <f>IF($AH301="","",IF(INDEX('Per Invoice'!F$2:F$401,$AH301)="","",INDEX('Per Invoice'!F$2:F$401,$AH301)))</f>
        <v/>
      </c>
      <c r="G301">
        <f>IF($AH301="","",IF(INDEX('Per Invoice'!G$2:G$401,$AH301)="","",INDEX('Per Invoice'!G$2:G$401,$AH301)))</f>
        <v/>
      </c>
      <c r="H301">
        <f>IF($AH301="","",IF(INDEX('Per Invoice'!H$2:H$401,$AH301)="","",INDEX('Per Invoice'!H$2:H$401,$AH301)))</f>
        <v/>
      </c>
      <c r="I301" s="14">
        <f>IF($AH301="","",IF(INDEX('Per Invoice'!I$2:I$401,$AH301)="","",INDEX('Per Invoice'!I$2:I$401,$AH301)))</f>
        <v/>
      </c>
      <c r="J301">
        <f>IF($AH301="","",IF(INDEX('Per Invoice'!J$2:J$401,$AH301)="","",INDEX('Per Invoice'!J$2:J$401,$AH301)))</f>
        <v/>
      </c>
      <c r="K301">
        <f>IF($AH301="","",IF(INDEX('Per Invoice'!K$2:K$401,$AH301)="","",INDEX('Per Invoice'!K$2:K$401,$AH301)))</f>
        <v/>
      </c>
      <c r="L301">
        <f>IF($AH301="","",IF(INDEX('Per Invoice'!L$2:L$401,$AH301)="","",INDEX('Per Invoice'!L$2:L$401,$AH301)))</f>
        <v/>
      </c>
      <c r="M301">
        <f>IF($AH301="","",IF(INDEX('Per Invoice'!M$2:M$401,$AH301)="","",INDEX('Per Invoice'!M$2:M$401,$AH301)))</f>
        <v/>
      </c>
      <c r="N301">
        <f>IF($AH301="","",IF(INDEX('Per Invoice'!N$2:N$401,$AH301)="","",INDEX('Per Invoice'!N$2:N$401,$AH301)))</f>
        <v/>
      </c>
      <c r="O301">
        <f>IF($AH301="","",IF(INDEX('Per Invoice'!O$2:O$401,$AH301)="","",INDEX('Per Invoice'!O$2:O$401,$AH301)))</f>
        <v/>
      </c>
      <c r="P301" s="7">
        <f>IF($AH301="","",IF(INDEX('Per Invoice'!P$2:P$401,$AH301)="","",INDEX('Per Invoice'!P$2:P$401,$AH301)))</f>
        <v/>
      </c>
      <c r="Q301">
        <f>IF($AH301="","",IF(INDEX('Per Invoice'!Q$2:Q$401,$AH301)="","",INDEX('Per Invoice'!Q$2:Q$401,$AH301)))</f>
        <v/>
      </c>
      <c r="R301">
        <f>IF($AH301="","",IF(INDEX('Per Invoice'!R$2:R$401,$AH301)="","",INDEX('Per Invoice'!R$2:R$401,$AH301)))</f>
        <v/>
      </c>
      <c r="S301">
        <f>IF($AH301="","",IF(INDEX('Per Invoice'!S$2:S$401,$AH301)="","",INDEX('Per Invoice'!S$2:S$401,$AH301)))</f>
        <v/>
      </c>
      <c r="T301" s="7">
        <f>IF($AH301="","",IF(INDEX('Per Invoice'!T$2:T$401,$AH301)="","",INDEX('Per Invoice'!T$2:T$401,$AH301)))</f>
        <v/>
      </c>
      <c r="U301" s="7">
        <f>IF($AH301="","",IF(INDEX('Per Invoice'!U$2:U$401,$AH301)="","",INDEX('Per Invoice'!U$2:U$401,$AH301)))</f>
        <v/>
      </c>
      <c r="V301">
        <f>IF($AH301="","",IF(INDEX('Per Invoice'!V$2:V$401,$AH301)="","",INDEX('Per Invoice'!V$2:V$401,$AH301)))</f>
        <v/>
      </c>
      <c r="W301" s="7">
        <f>IF($AH301="","",IF(INDEX('Per Invoice'!W$2:W$401,$AH301)="","",INDEX('Per Invoice'!W$2:W$401,$AH301)))</f>
        <v/>
      </c>
      <c r="X301" s="7">
        <f>IF($AH301="","",IF(INDEX('Per Invoice'!X$2:X$401,$AH301)="","",INDEX('Per Invoice'!X$2:X$401,$AH301)))</f>
        <v/>
      </c>
      <c r="Y301">
        <f>IF($AH301="","",IF(INDEX('Per Invoice'!Y$2:Y$401,$AH301)="","",INDEX('Per Invoice'!Y$2:Y$401,$AH301)))</f>
        <v/>
      </c>
      <c r="Z301" s="7">
        <f>IF($AH301="","",IF(INDEX('Per Invoice'!Z$2:Z$401,$AH301)="","",INDEX('Per Invoice'!Z$2:Z$401,$AH301)))</f>
        <v/>
      </c>
      <c r="AA301" s="7">
        <f>IF($AH301="","",IF(INDEX('Per Invoice'!AA$2:AA$401,$AH301)="","",INDEX('Per Invoice'!AA$2:AA$401,$AH301)))</f>
        <v/>
      </c>
      <c r="AB301" s="7">
        <f>IF($AH301="","",IF(INDEX('Per Invoice'!AB$2:AB$401,$AH301)="","",INDEX('Per Invoice'!AB$2:AB$401,$AH301)))</f>
        <v/>
      </c>
      <c r="AC301" s="7">
        <f>IF($AH301="","",IF(INDEX('Per Invoice'!AC$2:AC$401,$AH301)="","",INDEX('Per Invoice'!AC$2:AC$401,$AH301)))</f>
        <v/>
      </c>
      <c r="AD301" s="7">
        <f>IF($AH301="","",IF(INDEX('Per Invoice'!AD$2:AD$401,$AH301)="","",INDEX('Per Invoice'!AD$2:AD$401,$AH301)))</f>
        <v/>
      </c>
      <c r="AE301" s="7">
        <f>IF($AH301="","",IF(INDEX('Per Invoice'!AE$2:AE$401,$AH301)="","",INDEX('Per Invoice'!AE$2:AE$401,$AH301)))</f>
        <v/>
      </c>
      <c r="AF301">
        <f>IF($AH301="","",IF(INDEX('Per Invoice'!AF$2:AF$401,$AH301)="","",INDEX('Per Invoice'!AF$2:AF$401,$AH301)))</f>
        <v/>
      </c>
      <c r="AG301" s="7">
        <f>IF($AH301="","",IF(INDEX('Per Invoice'!AG$2:AG$401,$AH301)="","",INDEX('Per Invoice'!AG$2:AG$401,$AH301)))</f>
        <v/>
      </c>
      <c r="AH301" s="16">
        <f>IFERROR(MATCH(Settings!$C$27&amp;"|"&amp;ROWS($AH$2:$AH301),'Per Invoice'!$AI$2:$AI$401,0),"")</f>
        <v/>
      </c>
    </row>
    <row r="302">
      <c r="A302">
        <f>IF($AH302="","",IF(INDEX('Per Invoice'!A$2:A$401,$AH302)="","",INDEX('Per Invoice'!A$2:A$401,$AH302)))</f>
        <v/>
      </c>
      <c r="B302">
        <f>IF($AH302="","",IF(INDEX('Per Invoice'!B$2:B$401,$AH302)="","",INDEX('Per Invoice'!B$2:B$401,$AH302)))</f>
        <v/>
      </c>
      <c r="C302">
        <f>IF($AH302="","",IF(INDEX('Per Invoice'!C$2:C$401,$AH302)="","",INDEX('Per Invoice'!C$2:C$401,$AH302)))</f>
        <v/>
      </c>
      <c r="D302">
        <f>IF($AH302="","",IF(INDEX('Per Invoice'!D$2:D$401,$AH302)="","",INDEX('Per Invoice'!D$2:D$401,$AH302)))</f>
        <v/>
      </c>
      <c r="E302">
        <f>IF($AH302="","",IF(INDEX('Per Invoice'!E$2:E$401,$AH302)="","",INDEX('Per Invoice'!E$2:E$401,$AH302)))</f>
        <v/>
      </c>
      <c r="F302">
        <f>IF($AH302="","",IF(INDEX('Per Invoice'!F$2:F$401,$AH302)="","",INDEX('Per Invoice'!F$2:F$401,$AH302)))</f>
        <v/>
      </c>
      <c r="G302">
        <f>IF($AH302="","",IF(INDEX('Per Invoice'!G$2:G$401,$AH302)="","",INDEX('Per Invoice'!G$2:G$401,$AH302)))</f>
        <v/>
      </c>
      <c r="H302">
        <f>IF($AH302="","",IF(INDEX('Per Invoice'!H$2:H$401,$AH302)="","",INDEX('Per Invoice'!H$2:H$401,$AH302)))</f>
        <v/>
      </c>
      <c r="I302" s="14">
        <f>IF($AH302="","",IF(INDEX('Per Invoice'!I$2:I$401,$AH302)="","",INDEX('Per Invoice'!I$2:I$401,$AH302)))</f>
        <v/>
      </c>
      <c r="J302">
        <f>IF($AH302="","",IF(INDEX('Per Invoice'!J$2:J$401,$AH302)="","",INDEX('Per Invoice'!J$2:J$401,$AH302)))</f>
        <v/>
      </c>
      <c r="K302">
        <f>IF($AH302="","",IF(INDEX('Per Invoice'!K$2:K$401,$AH302)="","",INDEX('Per Invoice'!K$2:K$401,$AH302)))</f>
        <v/>
      </c>
      <c r="L302">
        <f>IF($AH302="","",IF(INDEX('Per Invoice'!L$2:L$401,$AH302)="","",INDEX('Per Invoice'!L$2:L$401,$AH302)))</f>
        <v/>
      </c>
      <c r="M302">
        <f>IF($AH302="","",IF(INDEX('Per Invoice'!M$2:M$401,$AH302)="","",INDEX('Per Invoice'!M$2:M$401,$AH302)))</f>
        <v/>
      </c>
      <c r="N302">
        <f>IF($AH302="","",IF(INDEX('Per Invoice'!N$2:N$401,$AH302)="","",INDEX('Per Invoice'!N$2:N$401,$AH302)))</f>
        <v/>
      </c>
      <c r="O302">
        <f>IF($AH302="","",IF(INDEX('Per Invoice'!O$2:O$401,$AH302)="","",INDEX('Per Invoice'!O$2:O$401,$AH302)))</f>
        <v/>
      </c>
      <c r="P302" s="7">
        <f>IF($AH302="","",IF(INDEX('Per Invoice'!P$2:P$401,$AH302)="","",INDEX('Per Invoice'!P$2:P$401,$AH302)))</f>
        <v/>
      </c>
      <c r="Q302">
        <f>IF($AH302="","",IF(INDEX('Per Invoice'!Q$2:Q$401,$AH302)="","",INDEX('Per Invoice'!Q$2:Q$401,$AH302)))</f>
        <v/>
      </c>
      <c r="R302">
        <f>IF($AH302="","",IF(INDEX('Per Invoice'!R$2:R$401,$AH302)="","",INDEX('Per Invoice'!R$2:R$401,$AH302)))</f>
        <v/>
      </c>
      <c r="S302">
        <f>IF($AH302="","",IF(INDEX('Per Invoice'!S$2:S$401,$AH302)="","",INDEX('Per Invoice'!S$2:S$401,$AH302)))</f>
        <v/>
      </c>
      <c r="T302" s="7">
        <f>IF($AH302="","",IF(INDEX('Per Invoice'!T$2:T$401,$AH302)="","",INDEX('Per Invoice'!T$2:T$401,$AH302)))</f>
        <v/>
      </c>
      <c r="U302" s="7">
        <f>IF($AH302="","",IF(INDEX('Per Invoice'!U$2:U$401,$AH302)="","",INDEX('Per Invoice'!U$2:U$401,$AH302)))</f>
        <v/>
      </c>
      <c r="V302">
        <f>IF($AH302="","",IF(INDEX('Per Invoice'!V$2:V$401,$AH302)="","",INDEX('Per Invoice'!V$2:V$401,$AH302)))</f>
        <v/>
      </c>
      <c r="W302" s="7">
        <f>IF($AH302="","",IF(INDEX('Per Invoice'!W$2:W$401,$AH302)="","",INDEX('Per Invoice'!W$2:W$401,$AH302)))</f>
        <v/>
      </c>
      <c r="X302" s="7">
        <f>IF($AH302="","",IF(INDEX('Per Invoice'!X$2:X$401,$AH302)="","",INDEX('Per Invoice'!X$2:X$401,$AH302)))</f>
        <v/>
      </c>
      <c r="Y302">
        <f>IF($AH302="","",IF(INDEX('Per Invoice'!Y$2:Y$401,$AH302)="","",INDEX('Per Invoice'!Y$2:Y$401,$AH302)))</f>
        <v/>
      </c>
      <c r="Z302" s="7">
        <f>IF($AH302="","",IF(INDEX('Per Invoice'!Z$2:Z$401,$AH302)="","",INDEX('Per Invoice'!Z$2:Z$401,$AH302)))</f>
        <v/>
      </c>
      <c r="AA302" s="7">
        <f>IF($AH302="","",IF(INDEX('Per Invoice'!AA$2:AA$401,$AH302)="","",INDEX('Per Invoice'!AA$2:AA$401,$AH302)))</f>
        <v/>
      </c>
      <c r="AB302" s="7">
        <f>IF($AH302="","",IF(INDEX('Per Invoice'!AB$2:AB$401,$AH302)="","",INDEX('Per Invoice'!AB$2:AB$401,$AH302)))</f>
        <v/>
      </c>
      <c r="AC302" s="7">
        <f>IF($AH302="","",IF(INDEX('Per Invoice'!AC$2:AC$401,$AH302)="","",INDEX('Per Invoice'!AC$2:AC$401,$AH302)))</f>
        <v/>
      </c>
      <c r="AD302" s="7">
        <f>IF($AH302="","",IF(INDEX('Per Invoice'!AD$2:AD$401,$AH302)="","",INDEX('Per Invoice'!AD$2:AD$401,$AH302)))</f>
        <v/>
      </c>
      <c r="AE302" s="7">
        <f>IF($AH302="","",IF(INDEX('Per Invoice'!AE$2:AE$401,$AH302)="","",INDEX('Per Invoice'!AE$2:AE$401,$AH302)))</f>
        <v/>
      </c>
      <c r="AF302">
        <f>IF($AH302="","",IF(INDEX('Per Invoice'!AF$2:AF$401,$AH302)="","",INDEX('Per Invoice'!AF$2:AF$401,$AH302)))</f>
        <v/>
      </c>
      <c r="AG302" s="7">
        <f>IF($AH302="","",IF(INDEX('Per Invoice'!AG$2:AG$401,$AH302)="","",INDEX('Per Invoice'!AG$2:AG$401,$AH302)))</f>
        <v/>
      </c>
      <c r="AH302" s="16">
        <f>IFERROR(MATCH(Settings!$C$27&amp;"|"&amp;ROWS($AH$2:$AH302),'Per Invoice'!$AI$2:$AI$401,0),"")</f>
        <v/>
      </c>
    </row>
    <row r="303">
      <c r="A303">
        <f>IF($AH303="","",IF(INDEX('Per Invoice'!A$2:A$401,$AH303)="","",INDEX('Per Invoice'!A$2:A$401,$AH303)))</f>
        <v/>
      </c>
      <c r="B303">
        <f>IF($AH303="","",IF(INDEX('Per Invoice'!B$2:B$401,$AH303)="","",INDEX('Per Invoice'!B$2:B$401,$AH303)))</f>
        <v/>
      </c>
      <c r="C303">
        <f>IF($AH303="","",IF(INDEX('Per Invoice'!C$2:C$401,$AH303)="","",INDEX('Per Invoice'!C$2:C$401,$AH303)))</f>
        <v/>
      </c>
      <c r="D303">
        <f>IF($AH303="","",IF(INDEX('Per Invoice'!D$2:D$401,$AH303)="","",INDEX('Per Invoice'!D$2:D$401,$AH303)))</f>
        <v/>
      </c>
      <c r="E303">
        <f>IF($AH303="","",IF(INDEX('Per Invoice'!E$2:E$401,$AH303)="","",INDEX('Per Invoice'!E$2:E$401,$AH303)))</f>
        <v/>
      </c>
      <c r="F303">
        <f>IF($AH303="","",IF(INDEX('Per Invoice'!F$2:F$401,$AH303)="","",INDEX('Per Invoice'!F$2:F$401,$AH303)))</f>
        <v/>
      </c>
      <c r="G303">
        <f>IF($AH303="","",IF(INDEX('Per Invoice'!G$2:G$401,$AH303)="","",INDEX('Per Invoice'!G$2:G$401,$AH303)))</f>
        <v/>
      </c>
      <c r="H303">
        <f>IF($AH303="","",IF(INDEX('Per Invoice'!H$2:H$401,$AH303)="","",INDEX('Per Invoice'!H$2:H$401,$AH303)))</f>
        <v/>
      </c>
      <c r="I303" s="14">
        <f>IF($AH303="","",IF(INDEX('Per Invoice'!I$2:I$401,$AH303)="","",INDEX('Per Invoice'!I$2:I$401,$AH303)))</f>
        <v/>
      </c>
      <c r="J303">
        <f>IF($AH303="","",IF(INDEX('Per Invoice'!J$2:J$401,$AH303)="","",INDEX('Per Invoice'!J$2:J$401,$AH303)))</f>
        <v/>
      </c>
      <c r="K303">
        <f>IF($AH303="","",IF(INDEX('Per Invoice'!K$2:K$401,$AH303)="","",INDEX('Per Invoice'!K$2:K$401,$AH303)))</f>
        <v/>
      </c>
      <c r="L303">
        <f>IF($AH303="","",IF(INDEX('Per Invoice'!L$2:L$401,$AH303)="","",INDEX('Per Invoice'!L$2:L$401,$AH303)))</f>
        <v/>
      </c>
      <c r="M303">
        <f>IF($AH303="","",IF(INDEX('Per Invoice'!M$2:M$401,$AH303)="","",INDEX('Per Invoice'!M$2:M$401,$AH303)))</f>
        <v/>
      </c>
      <c r="N303">
        <f>IF($AH303="","",IF(INDEX('Per Invoice'!N$2:N$401,$AH303)="","",INDEX('Per Invoice'!N$2:N$401,$AH303)))</f>
        <v/>
      </c>
      <c r="O303">
        <f>IF($AH303="","",IF(INDEX('Per Invoice'!O$2:O$401,$AH303)="","",INDEX('Per Invoice'!O$2:O$401,$AH303)))</f>
        <v/>
      </c>
      <c r="P303" s="7">
        <f>IF($AH303="","",IF(INDEX('Per Invoice'!P$2:P$401,$AH303)="","",INDEX('Per Invoice'!P$2:P$401,$AH303)))</f>
        <v/>
      </c>
      <c r="Q303">
        <f>IF($AH303="","",IF(INDEX('Per Invoice'!Q$2:Q$401,$AH303)="","",INDEX('Per Invoice'!Q$2:Q$401,$AH303)))</f>
        <v/>
      </c>
      <c r="R303">
        <f>IF($AH303="","",IF(INDEX('Per Invoice'!R$2:R$401,$AH303)="","",INDEX('Per Invoice'!R$2:R$401,$AH303)))</f>
        <v/>
      </c>
      <c r="S303">
        <f>IF($AH303="","",IF(INDEX('Per Invoice'!S$2:S$401,$AH303)="","",INDEX('Per Invoice'!S$2:S$401,$AH303)))</f>
        <v/>
      </c>
      <c r="T303" s="7">
        <f>IF($AH303="","",IF(INDEX('Per Invoice'!T$2:T$401,$AH303)="","",INDEX('Per Invoice'!T$2:T$401,$AH303)))</f>
        <v/>
      </c>
      <c r="U303" s="7">
        <f>IF($AH303="","",IF(INDEX('Per Invoice'!U$2:U$401,$AH303)="","",INDEX('Per Invoice'!U$2:U$401,$AH303)))</f>
        <v/>
      </c>
      <c r="V303">
        <f>IF($AH303="","",IF(INDEX('Per Invoice'!V$2:V$401,$AH303)="","",INDEX('Per Invoice'!V$2:V$401,$AH303)))</f>
        <v/>
      </c>
      <c r="W303" s="7">
        <f>IF($AH303="","",IF(INDEX('Per Invoice'!W$2:W$401,$AH303)="","",INDEX('Per Invoice'!W$2:W$401,$AH303)))</f>
        <v/>
      </c>
      <c r="X303" s="7">
        <f>IF($AH303="","",IF(INDEX('Per Invoice'!X$2:X$401,$AH303)="","",INDEX('Per Invoice'!X$2:X$401,$AH303)))</f>
        <v/>
      </c>
      <c r="Y303">
        <f>IF($AH303="","",IF(INDEX('Per Invoice'!Y$2:Y$401,$AH303)="","",INDEX('Per Invoice'!Y$2:Y$401,$AH303)))</f>
        <v/>
      </c>
      <c r="Z303" s="7">
        <f>IF($AH303="","",IF(INDEX('Per Invoice'!Z$2:Z$401,$AH303)="","",INDEX('Per Invoice'!Z$2:Z$401,$AH303)))</f>
        <v/>
      </c>
      <c r="AA303" s="7">
        <f>IF($AH303="","",IF(INDEX('Per Invoice'!AA$2:AA$401,$AH303)="","",INDEX('Per Invoice'!AA$2:AA$401,$AH303)))</f>
        <v/>
      </c>
      <c r="AB303" s="7">
        <f>IF($AH303="","",IF(INDEX('Per Invoice'!AB$2:AB$401,$AH303)="","",INDEX('Per Invoice'!AB$2:AB$401,$AH303)))</f>
        <v/>
      </c>
      <c r="AC303" s="7">
        <f>IF($AH303="","",IF(INDEX('Per Invoice'!AC$2:AC$401,$AH303)="","",INDEX('Per Invoice'!AC$2:AC$401,$AH303)))</f>
        <v/>
      </c>
      <c r="AD303" s="7">
        <f>IF($AH303="","",IF(INDEX('Per Invoice'!AD$2:AD$401,$AH303)="","",INDEX('Per Invoice'!AD$2:AD$401,$AH303)))</f>
        <v/>
      </c>
      <c r="AE303" s="7">
        <f>IF($AH303="","",IF(INDEX('Per Invoice'!AE$2:AE$401,$AH303)="","",INDEX('Per Invoice'!AE$2:AE$401,$AH303)))</f>
        <v/>
      </c>
      <c r="AF303">
        <f>IF($AH303="","",IF(INDEX('Per Invoice'!AF$2:AF$401,$AH303)="","",INDEX('Per Invoice'!AF$2:AF$401,$AH303)))</f>
        <v/>
      </c>
      <c r="AG303" s="7">
        <f>IF($AH303="","",IF(INDEX('Per Invoice'!AG$2:AG$401,$AH303)="","",INDEX('Per Invoice'!AG$2:AG$401,$AH303)))</f>
        <v/>
      </c>
      <c r="AH303" s="16">
        <f>IFERROR(MATCH(Settings!$C$27&amp;"|"&amp;ROWS($AH$2:$AH303),'Per Invoice'!$AI$2:$AI$401,0),"")</f>
        <v/>
      </c>
    </row>
    <row r="304">
      <c r="A304">
        <f>IF($AH304="","",IF(INDEX('Per Invoice'!A$2:A$401,$AH304)="","",INDEX('Per Invoice'!A$2:A$401,$AH304)))</f>
        <v/>
      </c>
      <c r="B304">
        <f>IF($AH304="","",IF(INDEX('Per Invoice'!B$2:B$401,$AH304)="","",INDEX('Per Invoice'!B$2:B$401,$AH304)))</f>
        <v/>
      </c>
      <c r="C304">
        <f>IF($AH304="","",IF(INDEX('Per Invoice'!C$2:C$401,$AH304)="","",INDEX('Per Invoice'!C$2:C$401,$AH304)))</f>
        <v/>
      </c>
      <c r="D304">
        <f>IF($AH304="","",IF(INDEX('Per Invoice'!D$2:D$401,$AH304)="","",INDEX('Per Invoice'!D$2:D$401,$AH304)))</f>
        <v/>
      </c>
      <c r="E304">
        <f>IF($AH304="","",IF(INDEX('Per Invoice'!E$2:E$401,$AH304)="","",INDEX('Per Invoice'!E$2:E$401,$AH304)))</f>
        <v/>
      </c>
      <c r="F304">
        <f>IF($AH304="","",IF(INDEX('Per Invoice'!F$2:F$401,$AH304)="","",INDEX('Per Invoice'!F$2:F$401,$AH304)))</f>
        <v/>
      </c>
      <c r="G304">
        <f>IF($AH304="","",IF(INDEX('Per Invoice'!G$2:G$401,$AH304)="","",INDEX('Per Invoice'!G$2:G$401,$AH304)))</f>
        <v/>
      </c>
      <c r="H304">
        <f>IF($AH304="","",IF(INDEX('Per Invoice'!H$2:H$401,$AH304)="","",INDEX('Per Invoice'!H$2:H$401,$AH304)))</f>
        <v/>
      </c>
      <c r="I304" s="14">
        <f>IF($AH304="","",IF(INDEX('Per Invoice'!I$2:I$401,$AH304)="","",INDEX('Per Invoice'!I$2:I$401,$AH304)))</f>
        <v/>
      </c>
      <c r="J304">
        <f>IF($AH304="","",IF(INDEX('Per Invoice'!J$2:J$401,$AH304)="","",INDEX('Per Invoice'!J$2:J$401,$AH304)))</f>
        <v/>
      </c>
      <c r="K304">
        <f>IF($AH304="","",IF(INDEX('Per Invoice'!K$2:K$401,$AH304)="","",INDEX('Per Invoice'!K$2:K$401,$AH304)))</f>
        <v/>
      </c>
      <c r="L304">
        <f>IF($AH304="","",IF(INDEX('Per Invoice'!L$2:L$401,$AH304)="","",INDEX('Per Invoice'!L$2:L$401,$AH304)))</f>
        <v/>
      </c>
      <c r="M304">
        <f>IF($AH304="","",IF(INDEX('Per Invoice'!M$2:M$401,$AH304)="","",INDEX('Per Invoice'!M$2:M$401,$AH304)))</f>
        <v/>
      </c>
      <c r="N304">
        <f>IF($AH304="","",IF(INDEX('Per Invoice'!N$2:N$401,$AH304)="","",INDEX('Per Invoice'!N$2:N$401,$AH304)))</f>
        <v/>
      </c>
      <c r="O304">
        <f>IF($AH304="","",IF(INDEX('Per Invoice'!O$2:O$401,$AH304)="","",INDEX('Per Invoice'!O$2:O$401,$AH304)))</f>
        <v/>
      </c>
      <c r="P304" s="7">
        <f>IF($AH304="","",IF(INDEX('Per Invoice'!P$2:P$401,$AH304)="","",INDEX('Per Invoice'!P$2:P$401,$AH304)))</f>
        <v/>
      </c>
      <c r="Q304">
        <f>IF($AH304="","",IF(INDEX('Per Invoice'!Q$2:Q$401,$AH304)="","",INDEX('Per Invoice'!Q$2:Q$401,$AH304)))</f>
        <v/>
      </c>
      <c r="R304">
        <f>IF($AH304="","",IF(INDEX('Per Invoice'!R$2:R$401,$AH304)="","",INDEX('Per Invoice'!R$2:R$401,$AH304)))</f>
        <v/>
      </c>
      <c r="S304">
        <f>IF($AH304="","",IF(INDEX('Per Invoice'!S$2:S$401,$AH304)="","",INDEX('Per Invoice'!S$2:S$401,$AH304)))</f>
        <v/>
      </c>
      <c r="T304" s="7">
        <f>IF($AH304="","",IF(INDEX('Per Invoice'!T$2:T$401,$AH304)="","",INDEX('Per Invoice'!T$2:T$401,$AH304)))</f>
        <v/>
      </c>
      <c r="U304" s="7">
        <f>IF($AH304="","",IF(INDEX('Per Invoice'!U$2:U$401,$AH304)="","",INDEX('Per Invoice'!U$2:U$401,$AH304)))</f>
        <v/>
      </c>
      <c r="V304">
        <f>IF($AH304="","",IF(INDEX('Per Invoice'!V$2:V$401,$AH304)="","",INDEX('Per Invoice'!V$2:V$401,$AH304)))</f>
        <v/>
      </c>
      <c r="W304" s="7">
        <f>IF($AH304="","",IF(INDEX('Per Invoice'!W$2:W$401,$AH304)="","",INDEX('Per Invoice'!W$2:W$401,$AH304)))</f>
        <v/>
      </c>
      <c r="X304" s="7">
        <f>IF($AH304="","",IF(INDEX('Per Invoice'!X$2:X$401,$AH304)="","",INDEX('Per Invoice'!X$2:X$401,$AH304)))</f>
        <v/>
      </c>
      <c r="Y304">
        <f>IF($AH304="","",IF(INDEX('Per Invoice'!Y$2:Y$401,$AH304)="","",INDEX('Per Invoice'!Y$2:Y$401,$AH304)))</f>
        <v/>
      </c>
      <c r="Z304" s="7">
        <f>IF($AH304="","",IF(INDEX('Per Invoice'!Z$2:Z$401,$AH304)="","",INDEX('Per Invoice'!Z$2:Z$401,$AH304)))</f>
        <v/>
      </c>
      <c r="AA304" s="7">
        <f>IF($AH304="","",IF(INDEX('Per Invoice'!AA$2:AA$401,$AH304)="","",INDEX('Per Invoice'!AA$2:AA$401,$AH304)))</f>
        <v/>
      </c>
      <c r="AB304" s="7">
        <f>IF($AH304="","",IF(INDEX('Per Invoice'!AB$2:AB$401,$AH304)="","",INDEX('Per Invoice'!AB$2:AB$401,$AH304)))</f>
        <v/>
      </c>
      <c r="AC304" s="7">
        <f>IF($AH304="","",IF(INDEX('Per Invoice'!AC$2:AC$401,$AH304)="","",INDEX('Per Invoice'!AC$2:AC$401,$AH304)))</f>
        <v/>
      </c>
      <c r="AD304" s="7">
        <f>IF($AH304="","",IF(INDEX('Per Invoice'!AD$2:AD$401,$AH304)="","",INDEX('Per Invoice'!AD$2:AD$401,$AH304)))</f>
        <v/>
      </c>
      <c r="AE304" s="7">
        <f>IF($AH304="","",IF(INDEX('Per Invoice'!AE$2:AE$401,$AH304)="","",INDEX('Per Invoice'!AE$2:AE$401,$AH304)))</f>
        <v/>
      </c>
      <c r="AF304">
        <f>IF($AH304="","",IF(INDEX('Per Invoice'!AF$2:AF$401,$AH304)="","",INDEX('Per Invoice'!AF$2:AF$401,$AH304)))</f>
        <v/>
      </c>
      <c r="AG304" s="7">
        <f>IF($AH304="","",IF(INDEX('Per Invoice'!AG$2:AG$401,$AH304)="","",INDEX('Per Invoice'!AG$2:AG$401,$AH304)))</f>
        <v/>
      </c>
      <c r="AH304" s="16">
        <f>IFERROR(MATCH(Settings!$C$27&amp;"|"&amp;ROWS($AH$2:$AH304),'Per Invoice'!$AI$2:$AI$401,0),"")</f>
        <v/>
      </c>
    </row>
    <row r="305">
      <c r="A305">
        <f>IF($AH305="","",IF(INDEX('Per Invoice'!A$2:A$401,$AH305)="","",INDEX('Per Invoice'!A$2:A$401,$AH305)))</f>
        <v/>
      </c>
      <c r="B305">
        <f>IF($AH305="","",IF(INDEX('Per Invoice'!B$2:B$401,$AH305)="","",INDEX('Per Invoice'!B$2:B$401,$AH305)))</f>
        <v/>
      </c>
      <c r="C305">
        <f>IF($AH305="","",IF(INDEX('Per Invoice'!C$2:C$401,$AH305)="","",INDEX('Per Invoice'!C$2:C$401,$AH305)))</f>
        <v/>
      </c>
      <c r="D305">
        <f>IF($AH305="","",IF(INDEX('Per Invoice'!D$2:D$401,$AH305)="","",INDEX('Per Invoice'!D$2:D$401,$AH305)))</f>
        <v/>
      </c>
      <c r="E305">
        <f>IF($AH305="","",IF(INDEX('Per Invoice'!E$2:E$401,$AH305)="","",INDEX('Per Invoice'!E$2:E$401,$AH305)))</f>
        <v/>
      </c>
      <c r="F305">
        <f>IF($AH305="","",IF(INDEX('Per Invoice'!F$2:F$401,$AH305)="","",INDEX('Per Invoice'!F$2:F$401,$AH305)))</f>
        <v/>
      </c>
      <c r="G305">
        <f>IF($AH305="","",IF(INDEX('Per Invoice'!G$2:G$401,$AH305)="","",INDEX('Per Invoice'!G$2:G$401,$AH305)))</f>
        <v/>
      </c>
      <c r="H305">
        <f>IF($AH305="","",IF(INDEX('Per Invoice'!H$2:H$401,$AH305)="","",INDEX('Per Invoice'!H$2:H$401,$AH305)))</f>
        <v/>
      </c>
      <c r="I305" s="14">
        <f>IF($AH305="","",IF(INDEX('Per Invoice'!I$2:I$401,$AH305)="","",INDEX('Per Invoice'!I$2:I$401,$AH305)))</f>
        <v/>
      </c>
      <c r="J305">
        <f>IF($AH305="","",IF(INDEX('Per Invoice'!J$2:J$401,$AH305)="","",INDEX('Per Invoice'!J$2:J$401,$AH305)))</f>
        <v/>
      </c>
      <c r="K305">
        <f>IF($AH305="","",IF(INDEX('Per Invoice'!K$2:K$401,$AH305)="","",INDEX('Per Invoice'!K$2:K$401,$AH305)))</f>
        <v/>
      </c>
      <c r="L305">
        <f>IF($AH305="","",IF(INDEX('Per Invoice'!L$2:L$401,$AH305)="","",INDEX('Per Invoice'!L$2:L$401,$AH305)))</f>
        <v/>
      </c>
      <c r="M305">
        <f>IF($AH305="","",IF(INDEX('Per Invoice'!M$2:M$401,$AH305)="","",INDEX('Per Invoice'!M$2:M$401,$AH305)))</f>
        <v/>
      </c>
      <c r="N305">
        <f>IF($AH305="","",IF(INDEX('Per Invoice'!N$2:N$401,$AH305)="","",INDEX('Per Invoice'!N$2:N$401,$AH305)))</f>
        <v/>
      </c>
      <c r="O305">
        <f>IF($AH305="","",IF(INDEX('Per Invoice'!O$2:O$401,$AH305)="","",INDEX('Per Invoice'!O$2:O$401,$AH305)))</f>
        <v/>
      </c>
      <c r="P305" s="7">
        <f>IF($AH305="","",IF(INDEX('Per Invoice'!P$2:P$401,$AH305)="","",INDEX('Per Invoice'!P$2:P$401,$AH305)))</f>
        <v/>
      </c>
      <c r="Q305">
        <f>IF($AH305="","",IF(INDEX('Per Invoice'!Q$2:Q$401,$AH305)="","",INDEX('Per Invoice'!Q$2:Q$401,$AH305)))</f>
        <v/>
      </c>
      <c r="R305">
        <f>IF($AH305="","",IF(INDEX('Per Invoice'!R$2:R$401,$AH305)="","",INDEX('Per Invoice'!R$2:R$401,$AH305)))</f>
        <v/>
      </c>
      <c r="S305">
        <f>IF($AH305="","",IF(INDEX('Per Invoice'!S$2:S$401,$AH305)="","",INDEX('Per Invoice'!S$2:S$401,$AH305)))</f>
        <v/>
      </c>
      <c r="T305" s="7">
        <f>IF($AH305="","",IF(INDEX('Per Invoice'!T$2:T$401,$AH305)="","",INDEX('Per Invoice'!T$2:T$401,$AH305)))</f>
        <v/>
      </c>
      <c r="U305" s="7">
        <f>IF($AH305="","",IF(INDEX('Per Invoice'!U$2:U$401,$AH305)="","",INDEX('Per Invoice'!U$2:U$401,$AH305)))</f>
        <v/>
      </c>
      <c r="V305">
        <f>IF($AH305="","",IF(INDEX('Per Invoice'!V$2:V$401,$AH305)="","",INDEX('Per Invoice'!V$2:V$401,$AH305)))</f>
        <v/>
      </c>
      <c r="W305" s="7">
        <f>IF($AH305="","",IF(INDEX('Per Invoice'!W$2:W$401,$AH305)="","",INDEX('Per Invoice'!W$2:W$401,$AH305)))</f>
        <v/>
      </c>
      <c r="X305" s="7">
        <f>IF($AH305="","",IF(INDEX('Per Invoice'!X$2:X$401,$AH305)="","",INDEX('Per Invoice'!X$2:X$401,$AH305)))</f>
        <v/>
      </c>
      <c r="Y305">
        <f>IF($AH305="","",IF(INDEX('Per Invoice'!Y$2:Y$401,$AH305)="","",INDEX('Per Invoice'!Y$2:Y$401,$AH305)))</f>
        <v/>
      </c>
      <c r="Z305" s="7">
        <f>IF($AH305="","",IF(INDEX('Per Invoice'!Z$2:Z$401,$AH305)="","",INDEX('Per Invoice'!Z$2:Z$401,$AH305)))</f>
        <v/>
      </c>
      <c r="AA305" s="7">
        <f>IF($AH305="","",IF(INDEX('Per Invoice'!AA$2:AA$401,$AH305)="","",INDEX('Per Invoice'!AA$2:AA$401,$AH305)))</f>
        <v/>
      </c>
      <c r="AB305" s="7">
        <f>IF($AH305="","",IF(INDEX('Per Invoice'!AB$2:AB$401,$AH305)="","",INDEX('Per Invoice'!AB$2:AB$401,$AH305)))</f>
        <v/>
      </c>
      <c r="AC305" s="7">
        <f>IF($AH305="","",IF(INDEX('Per Invoice'!AC$2:AC$401,$AH305)="","",INDEX('Per Invoice'!AC$2:AC$401,$AH305)))</f>
        <v/>
      </c>
      <c r="AD305" s="7">
        <f>IF($AH305="","",IF(INDEX('Per Invoice'!AD$2:AD$401,$AH305)="","",INDEX('Per Invoice'!AD$2:AD$401,$AH305)))</f>
        <v/>
      </c>
      <c r="AE305" s="7">
        <f>IF($AH305="","",IF(INDEX('Per Invoice'!AE$2:AE$401,$AH305)="","",INDEX('Per Invoice'!AE$2:AE$401,$AH305)))</f>
        <v/>
      </c>
      <c r="AF305">
        <f>IF($AH305="","",IF(INDEX('Per Invoice'!AF$2:AF$401,$AH305)="","",INDEX('Per Invoice'!AF$2:AF$401,$AH305)))</f>
        <v/>
      </c>
      <c r="AG305" s="7">
        <f>IF($AH305="","",IF(INDEX('Per Invoice'!AG$2:AG$401,$AH305)="","",INDEX('Per Invoice'!AG$2:AG$401,$AH305)))</f>
        <v/>
      </c>
      <c r="AH305" s="16">
        <f>IFERROR(MATCH(Settings!$C$27&amp;"|"&amp;ROWS($AH$2:$AH305),'Per Invoice'!$AI$2:$AI$401,0),"")</f>
        <v/>
      </c>
    </row>
    <row r="306">
      <c r="A306">
        <f>IF($AH306="","",IF(INDEX('Per Invoice'!A$2:A$401,$AH306)="","",INDEX('Per Invoice'!A$2:A$401,$AH306)))</f>
        <v/>
      </c>
      <c r="B306">
        <f>IF($AH306="","",IF(INDEX('Per Invoice'!B$2:B$401,$AH306)="","",INDEX('Per Invoice'!B$2:B$401,$AH306)))</f>
        <v/>
      </c>
      <c r="C306">
        <f>IF($AH306="","",IF(INDEX('Per Invoice'!C$2:C$401,$AH306)="","",INDEX('Per Invoice'!C$2:C$401,$AH306)))</f>
        <v/>
      </c>
      <c r="D306">
        <f>IF($AH306="","",IF(INDEX('Per Invoice'!D$2:D$401,$AH306)="","",INDEX('Per Invoice'!D$2:D$401,$AH306)))</f>
        <v/>
      </c>
      <c r="E306">
        <f>IF($AH306="","",IF(INDEX('Per Invoice'!E$2:E$401,$AH306)="","",INDEX('Per Invoice'!E$2:E$401,$AH306)))</f>
        <v/>
      </c>
      <c r="F306">
        <f>IF($AH306="","",IF(INDEX('Per Invoice'!F$2:F$401,$AH306)="","",INDEX('Per Invoice'!F$2:F$401,$AH306)))</f>
        <v/>
      </c>
      <c r="G306">
        <f>IF($AH306="","",IF(INDEX('Per Invoice'!G$2:G$401,$AH306)="","",INDEX('Per Invoice'!G$2:G$401,$AH306)))</f>
        <v/>
      </c>
      <c r="H306">
        <f>IF($AH306="","",IF(INDEX('Per Invoice'!H$2:H$401,$AH306)="","",INDEX('Per Invoice'!H$2:H$401,$AH306)))</f>
        <v/>
      </c>
      <c r="I306" s="14">
        <f>IF($AH306="","",IF(INDEX('Per Invoice'!I$2:I$401,$AH306)="","",INDEX('Per Invoice'!I$2:I$401,$AH306)))</f>
        <v/>
      </c>
      <c r="J306">
        <f>IF($AH306="","",IF(INDEX('Per Invoice'!J$2:J$401,$AH306)="","",INDEX('Per Invoice'!J$2:J$401,$AH306)))</f>
        <v/>
      </c>
      <c r="K306">
        <f>IF($AH306="","",IF(INDEX('Per Invoice'!K$2:K$401,$AH306)="","",INDEX('Per Invoice'!K$2:K$401,$AH306)))</f>
        <v/>
      </c>
      <c r="L306">
        <f>IF($AH306="","",IF(INDEX('Per Invoice'!L$2:L$401,$AH306)="","",INDEX('Per Invoice'!L$2:L$401,$AH306)))</f>
        <v/>
      </c>
      <c r="M306">
        <f>IF($AH306="","",IF(INDEX('Per Invoice'!M$2:M$401,$AH306)="","",INDEX('Per Invoice'!M$2:M$401,$AH306)))</f>
        <v/>
      </c>
      <c r="N306">
        <f>IF($AH306="","",IF(INDEX('Per Invoice'!N$2:N$401,$AH306)="","",INDEX('Per Invoice'!N$2:N$401,$AH306)))</f>
        <v/>
      </c>
      <c r="O306">
        <f>IF($AH306="","",IF(INDEX('Per Invoice'!O$2:O$401,$AH306)="","",INDEX('Per Invoice'!O$2:O$401,$AH306)))</f>
        <v/>
      </c>
      <c r="P306" s="7">
        <f>IF($AH306="","",IF(INDEX('Per Invoice'!P$2:P$401,$AH306)="","",INDEX('Per Invoice'!P$2:P$401,$AH306)))</f>
        <v/>
      </c>
      <c r="Q306">
        <f>IF($AH306="","",IF(INDEX('Per Invoice'!Q$2:Q$401,$AH306)="","",INDEX('Per Invoice'!Q$2:Q$401,$AH306)))</f>
        <v/>
      </c>
      <c r="R306">
        <f>IF($AH306="","",IF(INDEX('Per Invoice'!R$2:R$401,$AH306)="","",INDEX('Per Invoice'!R$2:R$401,$AH306)))</f>
        <v/>
      </c>
      <c r="S306">
        <f>IF($AH306="","",IF(INDEX('Per Invoice'!S$2:S$401,$AH306)="","",INDEX('Per Invoice'!S$2:S$401,$AH306)))</f>
        <v/>
      </c>
      <c r="T306" s="7">
        <f>IF($AH306="","",IF(INDEX('Per Invoice'!T$2:T$401,$AH306)="","",INDEX('Per Invoice'!T$2:T$401,$AH306)))</f>
        <v/>
      </c>
      <c r="U306" s="7">
        <f>IF($AH306="","",IF(INDEX('Per Invoice'!U$2:U$401,$AH306)="","",INDEX('Per Invoice'!U$2:U$401,$AH306)))</f>
        <v/>
      </c>
      <c r="V306">
        <f>IF($AH306="","",IF(INDEX('Per Invoice'!V$2:V$401,$AH306)="","",INDEX('Per Invoice'!V$2:V$401,$AH306)))</f>
        <v/>
      </c>
      <c r="W306" s="7">
        <f>IF($AH306="","",IF(INDEX('Per Invoice'!W$2:W$401,$AH306)="","",INDEX('Per Invoice'!W$2:W$401,$AH306)))</f>
        <v/>
      </c>
      <c r="X306" s="7">
        <f>IF($AH306="","",IF(INDEX('Per Invoice'!X$2:X$401,$AH306)="","",INDEX('Per Invoice'!X$2:X$401,$AH306)))</f>
        <v/>
      </c>
      <c r="Y306">
        <f>IF($AH306="","",IF(INDEX('Per Invoice'!Y$2:Y$401,$AH306)="","",INDEX('Per Invoice'!Y$2:Y$401,$AH306)))</f>
        <v/>
      </c>
      <c r="Z306" s="7">
        <f>IF($AH306="","",IF(INDEX('Per Invoice'!Z$2:Z$401,$AH306)="","",INDEX('Per Invoice'!Z$2:Z$401,$AH306)))</f>
        <v/>
      </c>
      <c r="AA306" s="7">
        <f>IF($AH306="","",IF(INDEX('Per Invoice'!AA$2:AA$401,$AH306)="","",INDEX('Per Invoice'!AA$2:AA$401,$AH306)))</f>
        <v/>
      </c>
      <c r="AB306" s="7">
        <f>IF($AH306="","",IF(INDEX('Per Invoice'!AB$2:AB$401,$AH306)="","",INDEX('Per Invoice'!AB$2:AB$401,$AH306)))</f>
        <v/>
      </c>
      <c r="AC306" s="7">
        <f>IF($AH306="","",IF(INDEX('Per Invoice'!AC$2:AC$401,$AH306)="","",INDEX('Per Invoice'!AC$2:AC$401,$AH306)))</f>
        <v/>
      </c>
      <c r="AD306" s="7">
        <f>IF($AH306="","",IF(INDEX('Per Invoice'!AD$2:AD$401,$AH306)="","",INDEX('Per Invoice'!AD$2:AD$401,$AH306)))</f>
        <v/>
      </c>
      <c r="AE306" s="7">
        <f>IF($AH306="","",IF(INDEX('Per Invoice'!AE$2:AE$401,$AH306)="","",INDEX('Per Invoice'!AE$2:AE$401,$AH306)))</f>
        <v/>
      </c>
      <c r="AF306">
        <f>IF($AH306="","",IF(INDEX('Per Invoice'!AF$2:AF$401,$AH306)="","",INDEX('Per Invoice'!AF$2:AF$401,$AH306)))</f>
        <v/>
      </c>
      <c r="AG306" s="7">
        <f>IF($AH306="","",IF(INDEX('Per Invoice'!AG$2:AG$401,$AH306)="","",INDEX('Per Invoice'!AG$2:AG$401,$AH306)))</f>
        <v/>
      </c>
      <c r="AH306" s="16">
        <f>IFERROR(MATCH(Settings!$C$27&amp;"|"&amp;ROWS($AH$2:$AH306),'Per Invoice'!$AI$2:$AI$401,0),"")</f>
        <v/>
      </c>
    </row>
    <row r="307">
      <c r="A307">
        <f>IF($AH307="","",IF(INDEX('Per Invoice'!A$2:A$401,$AH307)="","",INDEX('Per Invoice'!A$2:A$401,$AH307)))</f>
        <v/>
      </c>
      <c r="B307">
        <f>IF($AH307="","",IF(INDEX('Per Invoice'!B$2:B$401,$AH307)="","",INDEX('Per Invoice'!B$2:B$401,$AH307)))</f>
        <v/>
      </c>
      <c r="C307">
        <f>IF($AH307="","",IF(INDEX('Per Invoice'!C$2:C$401,$AH307)="","",INDEX('Per Invoice'!C$2:C$401,$AH307)))</f>
        <v/>
      </c>
      <c r="D307">
        <f>IF($AH307="","",IF(INDEX('Per Invoice'!D$2:D$401,$AH307)="","",INDEX('Per Invoice'!D$2:D$401,$AH307)))</f>
        <v/>
      </c>
      <c r="E307">
        <f>IF($AH307="","",IF(INDEX('Per Invoice'!E$2:E$401,$AH307)="","",INDEX('Per Invoice'!E$2:E$401,$AH307)))</f>
        <v/>
      </c>
      <c r="F307">
        <f>IF($AH307="","",IF(INDEX('Per Invoice'!F$2:F$401,$AH307)="","",INDEX('Per Invoice'!F$2:F$401,$AH307)))</f>
        <v/>
      </c>
      <c r="G307">
        <f>IF($AH307="","",IF(INDEX('Per Invoice'!G$2:G$401,$AH307)="","",INDEX('Per Invoice'!G$2:G$401,$AH307)))</f>
        <v/>
      </c>
      <c r="H307">
        <f>IF($AH307="","",IF(INDEX('Per Invoice'!H$2:H$401,$AH307)="","",INDEX('Per Invoice'!H$2:H$401,$AH307)))</f>
        <v/>
      </c>
      <c r="I307" s="14">
        <f>IF($AH307="","",IF(INDEX('Per Invoice'!I$2:I$401,$AH307)="","",INDEX('Per Invoice'!I$2:I$401,$AH307)))</f>
        <v/>
      </c>
      <c r="J307">
        <f>IF($AH307="","",IF(INDEX('Per Invoice'!J$2:J$401,$AH307)="","",INDEX('Per Invoice'!J$2:J$401,$AH307)))</f>
        <v/>
      </c>
      <c r="K307">
        <f>IF($AH307="","",IF(INDEX('Per Invoice'!K$2:K$401,$AH307)="","",INDEX('Per Invoice'!K$2:K$401,$AH307)))</f>
        <v/>
      </c>
      <c r="L307">
        <f>IF($AH307="","",IF(INDEX('Per Invoice'!L$2:L$401,$AH307)="","",INDEX('Per Invoice'!L$2:L$401,$AH307)))</f>
        <v/>
      </c>
      <c r="M307">
        <f>IF($AH307="","",IF(INDEX('Per Invoice'!M$2:M$401,$AH307)="","",INDEX('Per Invoice'!M$2:M$401,$AH307)))</f>
        <v/>
      </c>
      <c r="N307">
        <f>IF($AH307="","",IF(INDEX('Per Invoice'!N$2:N$401,$AH307)="","",INDEX('Per Invoice'!N$2:N$401,$AH307)))</f>
        <v/>
      </c>
      <c r="O307">
        <f>IF($AH307="","",IF(INDEX('Per Invoice'!O$2:O$401,$AH307)="","",INDEX('Per Invoice'!O$2:O$401,$AH307)))</f>
        <v/>
      </c>
      <c r="P307" s="7">
        <f>IF($AH307="","",IF(INDEX('Per Invoice'!P$2:P$401,$AH307)="","",INDEX('Per Invoice'!P$2:P$401,$AH307)))</f>
        <v/>
      </c>
      <c r="Q307">
        <f>IF($AH307="","",IF(INDEX('Per Invoice'!Q$2:Q$401,$AH307)="","",INDEX('Per Invoice'!Q$2:Q$401,$AH307)))</f>
        <v/>
      </c>
      <c r="R307">
        <f>IF($AH307="","",IF(INDEX('Per Invoice'!R$2:R$401,$AH307)="","",INDEX('Per Invoice'!R$2:R$401,$AH307)))</f>
        <v/>
      </c>
      <c r="S307">
        <f>IF($AH307="","",IF(INDEX('Per Invoice'!S$2:S$401,$AH307)="","",INDEX('Per Invoice'!S$2:S$401,$AH307)))</f>
        <v/>
      </c>
      <c r="T307" s="7">
        <f>IF($AH307="","",IF(INDEX('Per Invoice'!T$2:T$401,$AH307)="","",INDEX('Per Invoice'!T$2:T$401,$AH307)))</f>
        <v/>
      </c>
      <c r="U307" s="7">
        <f>IF($AH307="","",IF(INDEX('Per Invoice'!U$2:U$401,$AH307)="","",INDEX('Per Invoice'!U$2:U$401,$AH307)))</f>
        <v/>
      </c>
      <c r="V307">
        <f>IF($AH307="","",IF(INDEX('Per Invoice'!V$2:V$401,$AH307)="","",INDEX('Per Invoice'!V$2:V$401,$AH307)))</f>
        <v/>
      </c>
      <c r="W307" s="7">
        <f>IF($AH307="","",IF(INDEX('Per Invoice'!W$2:W$401,$AH307)="","",INDEX('Per Invoice'!W$2:W$401,$AH307)))</f>
        <v/>
      </c>
      <c r="X307" s="7">
        <f>IF($AH307="","",IF(INDEX('Per Invoice'!X$2:X$401,$AH307)="","",INDEX('Per Invoice'!X$2:X$401,$AH307)))</f>
        <v/>
      </c>
      <c r="Y307">
        <f>IF($AH307="","",IF(INDEX('Per Invoice'!Y$2:Y$401,$AH307)="","",INDEX('Per Invoice'!Y$2:Y$401,$AH307)))</f>
        <v/>
      </c>
      <c r="Z307" s="7">
        <f>IF($AH307="","",IF(INDEX('Per Invoice'!Z$2:Z$401,$AH307)="","",INDEX('Per Invoice'!Z$2:Z$401,$AH307)))</f>
        <v/>
      </c>
      <c r="AA307" s="7">
        <f>IF($AH307="","",IF(INDEX('Per Invoice'!AA$2:AA$401,$AH307)="","",INDEX('Per Invoice'!AA$2:AA$401,$AH307)))</f>
        <v/>
      </c>
      <c r="AB307" s="7">
        <f>IF($AH307="","",IF(INDEX('Per Invoice'!AB$2:AB$401,$AH307)="","",INDEX('Per Invoice'!AB$2:AB$401,$AH307)))</f>
        <v/>
      </c>
      <c r="AC307" s="7">
        <f>IF($AH307="","",IF(INDEX('Per Invoice'!AC$2:AC$401,$AH307)="","",INDEX('Per Invoice'!AC$2:AC$401,$AH307)))</f>
        <v/>
      </c>
      <c r="AD307" s="7">
        <f>IF($AH307="","",IF(INDEX('Per Invoice'!AD$2:AD$401,$AH307)="","",INDEX('Per Invoice'!AD$2:AD$401,$AH307)))</f>
        <v/>
      </c>
      <c r="AE307" s="7">
        <f>IF($AH307="","",IF(INDEX('Per Invoice'!AE$2:AE$401,$AH307)="","",INDEX('Per Invoice'!AE$2:AE$401,$AH307)))</f>
        <v/>
      </c>
      <c r="AF307">
        <f>IF($AH307="","",IF(INDEX('Per Invoice'!AF$2:AF$401,$AH307)="","",INDEX('Per Invoice'!AF$2:AF$401,$AH307)))</f>
        <v/>
      </c>
      <c r="AG307" s="7">
        <f>IF($AH307="","",IF(INDEX('Per Invoice'!AG$2:AG$401,$AH307)="","",INDEX('Per Invoice'!AG$2:AG$401,$AH307)))</f>
        <v/>
      </c>
      <c r="AH307" s="16">
        <f>IFERROR(MATCH(Settings!$C$27&amp;"|"&amp;ROWS($AH$2:$AH307),'Per Invoice'!$AI$2:$AI$401,0),"")</f>
        <v/>
      </c>
    </row>
    <row r="308">
      <c r="A308">
        <f>IF($AH308="","",IF(INDEX('Per Invoice'!A$2:A$401,$AH308)="","",INDEX('Per Invoice'!A$2:A$401,$AH308)))</f>
        <v/>
      </c>
      <c r="B308">
        <f>IF($AH308="","",IF(INDEX('Per Invoice'!B$2:B$401,$AH308)="","",INDEX('Per Invoice'!B$2:B$401,$AH308)))</f>
        <v/>
      </c>
      <c r="C308">
        <f>IF($AH308="","",IF(INDEX('Per Invoice'!C$2:C$401,$AH308)="","",INDEX('Per Invoice'!C$2:C$401,$AH308)))</f>
        <v/>
      </c>
      <c r="D308">
        <f>IF($AH308="","",IF(INDEX('Per Invoice'!D$2:D$401,$AH308)="","",INDEX('Per Invoice'!D$2:D$401,$AH308)))</f>
        <v/>
      </c>
      <c r="E308">
        <f>IF($AH308="","",IF(INDEX('Per Invoice'!E$2:E$401,$AH308)="","",INDEX('Per Invoice'!E$2:E$401,$AH308)))</f>
        <v/>
      </c>
      <c r="F308">
        <f>IF($AH308="","",IF(INDEX('Per Invoice'!F$2:F$401,$AH308)="","",INDEX('Per Invoice'!F$2:F$401,$AH308)))</f>
        <v/>
      </c>
      <c r="G308">
        <f>IF($AH308="","",IF(INDEX('Per Invoice'!G$2:G$401,$AH308)="","",INDEX('Per Invoice'!G$2:G$401,$AH308)))</f>
        <v/>
      </c>
      <c r="H308">
        <f>IF($AH308="","",IF(INDEX('Per Invoice'!H$2:H$401,$AH308)="","",INDEX('Per Invoice'!H$2:H$401,$AH308)))</f>
        <v/>
      </c>
      <c r="I308" s="14">
        <f>IF($AH308="","",IF(INDEX('Per Invoice'!I$2:I$401,$AH308)="","",INDEX('Per Invoice'!I$2:I$401,$AH308)))</f>
        <v/>
      </c>
      <c r="J308">
        <f>IF($AH308="","",IF(INDEX('Per Invoice'!J$2:J$401,$AH308)="","",INDEX('Per Invoice'!J$2:J$401,$AH308)))</f>
        <v/>
      </c>
      <c r="K308">
        <f>IF($AH308="","",IF(INDEX('Per Invoice'!K$2:K$401,$AH308)="","",INDEX('Per Invoice'!K$2:K$401,$AH308)))</f>
        <v/>
      </c>
      <c r="L308">
        <f>IF($AH308="","",IF(INDEX('Per Invoice'!L$2:L$401,$AH308)="","",INDEX('Per Invoice'!L$2:L$401,$AH308)))</f>
        <v/>
      </c>
      <c r="M308">
        <f>IF($AH308="","",IF(INDEX('Per Invoice'!M$2:M$401,$AH308)="","",INDEX('Per Invoice'!M$2:M$401,$AH308)))</f>
        <v/>
      </c>
      <c r="N308">
        <f>IF($AH308="","",IF(INDEX('Per Invoice'!N$2:N$401,$AH308)="","",INDEX('Per Invoice'!N$2:N$401,$AH308)))</f>
        <v/>
      </c>
      <c r="O308">
        <f>IF($AH308="","",IF(INDEX('Per Invoice'!O$2:O$401,$AH308)="","",INDEX('Per Invoice'!O$2:O$401,$AH308)))</f>
        <v/>
      </c>
      <c r="P308" s="7">
        <f>IF($AH308="","",IF(INDEX('Per Invoice'!P$2:P$401,$AH308)="","",INDEX('Per Invoice'!P$2:P$401,$AH308)))</f>
        <v/>
      </c>
      <c r="Q308">
        <f>IF($AH308="","",IF(INDEX('Per Invoice'!Q$2:Q$401,$AH308)="","",INDEX('Per Invoice'!Q$2:Q$401,$AH308)))</f>
        <v/>
      </c>
      <c r="R308">
        <f>IF($AH308="","",IF(INDEX('Per Invoice'!R$2:R$401,$AH308)="","",INDEX('Per Invoice'!R$2:R$401,$AH308)))</f>
        <v/>
      </c>
      <c r="S308">
        <f>IF($AH308="","",IF(INDEX('Per Invoice'!S$2:S$401,$AH308)="","",INDEX('Per Invoice'!S$2:S$401,$AH308)))</f>
        <v/>
      </c>
      <c r="T308" s="7">
        <f>IF($AH308="","",IF(INDEX('Per Invoice'!T$2:T$401,$AH308)="","",INDEX('Per Invoice'!T$2:T$401,$AH308)))</f>
        <v/>
      </c>
      <c r="U308" s="7">
        <f>IF($AH308="","",IF(INDEX('Per Invoice'!U$2:U$401,$AH308)="","",INDEX('Per Invoice'!U$2:U$401,$AH308)))</f>
        <v/>
      </c>
      <c r="V308">
        <f>IF($AH308="","",IF(INDEX('Per Invoice'!V$2:V$401,$AH308)="","",INDEX('Per Invoice'!V$2:V$401,$AH308)))</f>
        <v/>
      </c>
      <c r="W308" s="7">
        <f>IF($AH308="","",IF(INDEX('Per Invoice'!W$2:W$401,$AH308)="","",INDEX('Per Invoice'!W$2:W$401,$AH308)))</f>
        <v/>
      </c>
      <c r="X308" s="7">
        <f>IF($AH308="","",IF(INDEX('Per Invoice'!X$2:X$401,$AH308)="","",INDEX('Per Invoice'!X$2:X$401,$AH308)))</f>
        <v/>
      </c>
      <c r="Y308">
        <f>IF($AH308="","",IF(INDEX('Per Invoice'!Y$2:Y$401,$AH308)="","",INDEX('Per Invoice'!Y$2:Y$401,$AH308)))</f>
        <v/>
      </c>
      <c r="Z308" s="7">
        <f>IF($AH308="","",IF(INDEX('Per Invoice'!Z$2:Z$401,$AH308)="","",INDEX('Per Invoice'!Z$2:Z$401,$AH308)))</f>
        <v/>
      </c>
      <c r="AA308" s="7">
        <f>IF($AH308="","",IF(INDEX('Per Invoice'!AA$2:AA$401,$AH308)="","",INDEX('Per Invoice'!AA$2:AA$401,$AH308)))</f>
        <v/>
      </c>
      <c r="AB308" s="7">
        <f>IF($AH308="","",IF(INDEX('Per Invoice'!AB$2:AB$401,$AH308)="","",INDEX('Per Invoice'!AB$2:AB$401,$AH308)))</f>
        <v/>
      </c>
      <c r="AC308" s="7">
        <f>IF($AH308="","",IF(INDEX('Per Invoice'!AC$2:AC$401,$AH308)="","",INDEX('Per Invoice'!AC$2:AC$401,$AH308)))</f>
        <v/>
      </c>
      <c r="AD308" s="7">
        <f>IF($AH308="","",IF(INDEX('Per Invoice'!AD$2:AD$401,$AH308)="","",INDEX('Per Invoice'!AD$2:AD$401,$AH308)))</f>
        <v/>
      </c>
      <c r="AE308" s="7">
        <f>IF($AH308="","",IF(INDEX('Per Invoice'!AE$2:AE$401,$AH308)="","",INDEX('Per Invoice'!AE$2:AE$401,$AH308)))</f>
        <v/>
      </c>
      <c r="AF308">
        <f>IF($AH308="","",IF(INDEX('Per Invoice'!AF$2:AF$401,$AH308)="","",INDEX('Per Invoice'!AF$2:AF$401,$AH308)))</f>
        <v/>
      </c>
      <c r="AG308" s="7">
        <f>IF($AH308="","",IF(INDEX('Per Invoice'!AG$2:AG$401,$AH308)="","",INDEX('Per Invoice'!AG$2:AG$401,$AH308)))</f>
        <v/>
      </c>
      <c r="AH308" s="16">
        <f>IFERROR(MATCH(Settings!$C$27&amp;"|"&amp;ROWS($AH$2:$AH308),'Per Invoice'!$AI$2:$AI$401,0),"")</f>
        <v/>
      </c>
    </row>
    <row r="309">
      <c r="A309">
        <f>IF($AH309="","",IF(INDEX('Per Invoice'!A$2:A$401,$AH309)="","",INDEX('Per Invoice'!A$2:A$401,$AH309)))</f>
        <v/>
      </c>
      <c r="B309">
        <f>IF($AH309="","",IF(INDEX('Per Invoice'!B$2:B$401,$AH309)="","",INDEX('Per Invoice'!B$2:B$401,$AH309)))</f>
        <v/>
      </c>
      <c r="C309">
        <f>IF($AH309="","",IF(INDEX('Per Invoice'!C$2:C$401,$AH309)="","",INDEX('Per Invoice'!C$2:C$401,$AH309)))</f>
        <v/>
      </c>
      <c r="D309">
        <f>IF($AH309="","",IF(INDEX('Per Invoice'!D$2:D$401,$AH309)="","",INDEX('Per Invoice'!D$2:D$401,$AH309)))</f>
        <v/>
      </c>
      <c r="E309">
        <f>IF($AH309="","",IF(INDEX('Per Invoice'!E$2:E$401,$AH309)="","",INDEX('Per Invoice'!E$2:E$401,$AH309)))</f>
        <v/>
      </c>
      <c r="F309">
        <f>IF($AH309="","",IF(INDEX('Per Invoice'!F$2:F$401,$AH309)="","",INDEX('Per Invoice'!F$2:F$401,$AH309)))</f>
        <v/>
      </c>
      <c r="G309">
        <f>IF($AH309="","",IF(INDEX('Per Invoice'!G$2:G$401,$AH309)="","",INDEX('Per Invoice'!G$2:G$401,$AH309)))</f>
        <v/>
      </c>
      <c r="H309">
        <f>IF($AH309="","",IF(INDEX('Per Invoice'!H$2:H$401,$AH309)="","",INDEX('Per Invoice'!H$2:H$401,$AH309)))</f>
        <v/>
      </c>
      <c r="I309" s="14">
        <f>IF($AH309="","",IF(INDEX('Per Invoice'!I$2:I$401,$AH309)="","",INDEX('Per Invoice'!I$2:I$401,$AH309)))</f>
        <v/>
      </c>
      <c r="J309">
        <f>IF($AH309="","",IF(INDEX('Per Invoice'!J$2:J$401,$AH309)="","",INDEX('Per Invoice'!J$2:J$401,$AH309)))</f>
        <v/>
      </c>
      <c r="K309">
        <f>IF($AH309="","",IF(INDEX('Per Invoice'!K$2:K$401,$AH309)="","",INDEX('Per Invoice'!K$2:K$401,$AH309)))</f>
        <v/>
      </c>
      <c r="L309">
        <f>IF($AH309="","",IF(INDEX('Per Invoice'!L$2:L$401,$AH309)="","",INDEX('Per Invoice'!L$2:L$401,$AH309)))</f>
        <v/>
      </c>
      <c r="M309">
        <f>IF($AH309="","",IF(INDEX('Per Invoice'!M$2:M$401,$AH309)="","",INDEX('Per Invoice'!M$2:M$401,$AH309)))</f>
        <v/>
      </c>
      <c r="N309">
        <f>IF($AH309="","",IF(INDEX('Per Invoice'!N$2:N$401,$AH309)="","",INDEX('Per Invoice'!N$2:N$401,$AH309)))</f>
        <v/>
      </c>
      <c r="O309">
        <f>IF($AH309="","",IF(INDEX('Per Invoice'!O$2:O$401,$AH309)="","",INDEX('Per Invoice'!O$2:O$401,$AH309)))</f>
        <v/>
      </c>
      <c r="P309" s="7">
        <f>IF($AH309="","",IF(INDEX('Per Invoice'!P$2:P$401,$AH309)="","",INDEX('Per Invoice'!P$2:P$401,$AH309)))</f>
        <v/>
      </c>
      <c r="Q309">
        <f>IF($AH309="","",IF(INDEX('Per Invoice'!Q$2:Q$401,$AH309)="","",INDEX('Per Invoice'!Q$2:Q$401,$AH309)))</f>
        <v/>
      </c>
      <c r="R309">
        <f>IF($AH309="","",IF(INDEX('Per Invoice'!R$2:R$401,$AH309)="","",INDEX('Per Invoice'!R$2:R$401,$AH309)))</f>
        <v/>
      </c>
      <c r="S309">
        <f>IF($AH309="","",IF(INDEX('Per Invoice'!S$2:S$401,$AH309)="","",INDEX('Per Invoice'!S$2:S$401,$AH309)))</f>
        <v/>
      </c>
      <c r="T309" s="7">
        <f>IF($AH309="","",IF(INDEX('Per Invoice'!T$2:T$401,$AH309)="","",INDEX('Per Invoice'!T$2:T$401,$AH309)))</f>
        <v/>
      </c>
      <c r="U309" s="7">
        <f>IF($AH309="","",IF(INDEX('Per Invoice'!U$2:U$401,$AH309)="","",INDEX('Per Invoice'!U$2:U$401,$AH309)))</f>
        <v/>
      </c>
      <c r="V309">
        <f>IF($AH309="","",IF(INDEX('Per Invoice'!V$2:V$401,$AH309)="","",INDEX('Per Invoice'!V$2:V$401,$AH309)))</f>
        <v/>
      </c>
      <c r="W309" s="7">
        <f>IF($AH309="","",IF(INDEX('Per Invoice'!W$2:W$401,$AH309)="","",INDEX('Per Invoice'!W$2:W$401,$AH309)))</f>
        <v/>
      </c>
      <c r="X309" s="7">
        <f>IF($AH309="","",IF(INDEX('Per Invoice'!X$2:X$401,$AH309)="","",INDEX('Per Invoice'!X$2:X$401,$AH309)))</f>
        <v/>
      </c>
      <c r="Y309">
        <f>IF($AH309="","",IF(INDEX('Per Invoice'!Y$2:Y$401,$AH309)="","",INDEX('Per Invoice'!Y$2:Y$401,$AH309)))</f>
        <v/>
      </c>
      <c r="Z309" s="7">
        <f>IF($AH309="","",IF(INDEX('Per Invoice'!Z$2:Z$401,$AH309)="","",INDEX('Per Invoice'!Z$2:Z$401,$AH309)))</f>
        <v/>
      </c>
      <c r="AA309" s="7">
        <f>IF($AH309="","",IF(INDEX('Per Invoice'!AA$2:AA$401,$AH309)="","",INDEX('Per Invoice'!AA$2:AA$401,$AH309)))</f>
        <v/>
      </c>
      <c r="AB309" s="7">
        <f>IF($AH309="","",IF(INDEX('Per Invoice'!AB$2:AB$401,$AH309)="","",INDEX('Per Invoice'!AB$2:AB$401,$AH309)))</f>
        <v/>
      </c>
      <c r="AC309" s="7">
        <f>IF($AH309="","",IF(INDEX('Per Invoice'!AC$2:AC$401,$AH309)="","",INDEX('Per Invoice'!AC$2:AC$401,$AH309)))</f>
        <v/>
      </c>
      <c r="AD309" s="7">
        <f>IF($AH309="","",IF(INDEX('Per Invoice'!AD$2:AD$401,$AH309)="","",INDEX('Per Invoice'!AD$2:AD$401,$AH309)))</f>
        <v/>
      </c>
      <c r="AE309" s="7">
        <f>IF($AH309="","",IF(INDEX('Per Invoice'!AE$2:AE$401,$AH309)="","",INDEX('Per Invoice'!AE$2:AE$401,$AH309)))</f>
        <v/>
      </c>
      <c r="AF309">
        <f>IF($AH309="","",IF(INDEX('Per Invoice'!AF$2:AF$401,$AH309)="","",INDEX('Per Invoice'!AF$2:AF$401,$AH309)))</f>
        <v/>
      </c>
      <c r="AG309" s="7">
        <f>IF($AH309="","",IF(INDEX('Per Invoice'!AG$2:AG$401,$AH309)="","",INDEX('Per Invoice'!AG$2:AG$401,$AH309)))</f>
        <v/>
      </c>
      <c r="AH309" s="16">
        <f>IFERROR(MATCH(Settings!$C$27&amp;"|"&amp;ROWS($AH$2:$AH309),'Per Invoice'!$AI$2:$AI$401,0),"")</f>
        <v/>
      </c>
    </row>
    <row r="310">
      <c r="A310">
        <f>IF($AH310="","",IF(INDEX('Per Invoice'!A$2:A$401,$AH310)="","",INDEX('Per Invoice'!A$2:A$401,$AH310)))</f>
        <v/>
      </c>
      <c r="B310">
        <f>IF($AH310="","",IF(INDEX('Per Invoice'!B$2:B$401,$AH310)="","",INDEX('Per Invoice'!B$2:B$401,$AH310)))</f>
        <v/>
      </c>
      <c r="C310">
        <f>IF($AH310="","",IF(INDEX('Per Invoice'!C$2:C$401,$AH310)="","",INDEX('Per Invoice'!C$2:C$401,$AH310)))</f>
        <v/>
      </c>
      <c r="D310">
        <f>IF($AH310="","",IF(INDEX('Per Invoice'!D$2:D$401,$AH310)="","",INDEX('Per Invoice'!D$2:D$401,$AH310)))</f>
        <v/>
      </c>
      <c r="E310">
        <f>IF($AH310="","",IF(INDEX('Per Invoice'!E$2:E$401,$AH310)="","",INDEX('Per Invoice'!E$2:E$401,$AH310)))</f>
        <v/>
      </c>
      <c r="F310">
        <f>IF($AH310="","",IF(INDEX('Per Invoice'!F$2:F$401,$AH310)="","",INDEX('Per Invoice'!F$2:F$401,$AH310)))</f>
        <v/>
      </c>
      <c r="G310">
        <f>IF($AH310="","",IF(INDEX('Per Invoice'!G$2:G$401,$AH310)="","",INDEX('Per Invoice'!G$2:G$401,$AH310)))</f>
        <v/>
      </c>
      <c r="H310">
        <f>IF($AH310="","",IF(INDEX('Per Invoice'!H$2:H$401,$AH310)="","",INDEX('Per Invoice'!H$2:H$401,$AH310)))</f>
        <v/>
      </c>
      <c r="I310" s="14">
        <f>IF($AH310="","",IF(INDEX('Per Invoice'!I$2:I$401,$AH310)="","",INDEX('Per Invoice'!I$2:I$401,$AH310)))</f>
        <v/>
      </c>
      <c r="J310">
        <f>IF($AH310="","",IF(INDEX('Per Invoice'!J$2:J$401,$AH310)="","",INDEX('Per Invoice'!J$2:J$401,$AH310)))</f>
        <v/>
      </c>
      <c r="K310">
        <f>IF($AH310="","",IF(INDEX('Per Invoice'!K$2:K$401,$AH310)="","",INDEX('Per Invoice'!K$2:K$401,$AH310)))</f>
        <v/>
      </c>
      <c r="L310">
        <f>IF($AH310="","",IF(INDEX('Per Invoice'!L$2:L$401,$AH310)="","",INDEX('Per Invoice'!L$2:L$401,$AH310)))</f>
        <v/>
      </c>
      <c r="M310">
        <f>IF($AH310="","",IF(INDEX('Per Invoice'!M$2:M$401,$AH310)="","",INDEX('Per Invoice'!M$2:M$401,$AH310)))</f>
        <v/>
      </c>
      <c r="N310">
        <f>IF($AH310="","",IF(INDEX('Per Invoice'!N$2:N$401,$AH310)="","",INDEX('Per Invoice'!N$2:N$401,$AH310)))</f>
        <v/>
      </c>
      <c r="O310">
        <f>IF($AH310="","",IF(INDEX('Per Invoice'!O$2:O$401,$AH310)="","",INDEX('Per Invoice'!O$2:O$401,$AH310)))</f>
        <v/>
      </c>
      <c r="P310" s="7">
        <f>IF($AH310="","",IF(INDEX('Per Invoice'!P$2:P$401,$AH310)="","",INDEX('Per Invoice'!P$2:P$401,$AH310)))</f>
        <v/>
      </c>
      <c r="Q310">
        <f>IF($AH310="","",IF(INDEX('Per Invoice'!Q$2:Q$401,$AH310)="","",INDEX('Per Invoice'!Q$2:Q$401,$AH310)))</f>
        <v/>
      </c>
      <c r="R310">
        <f>IF($AH310="","",IF(INDEX('Per Invoice'!R$2:R$401,$AH310)="","",INDEX('Per Invoice'!R$2:R$401,$AH310)))</f>
        <v/>
      </c>
      <c r="S310">
        <f>IF($AH310="","",IF(INDEX('Per Invoice'!S$2:S$401,$AH310)="","",INDEX('Per Invoice'!S$2:S$401,$AH310)))</f>
        <v/>
      </c>
      <c r="T310" s="7">
        <f>IF($AH310="","",IF(INDEX('Per Invoice'!T$2:T$401,$AH310)="","",INDEX('Per Invoice'!T$2:T$401,$AH310)))</f>
        <v/>
      </c>
      <c r="U310" s="7">
        <f>IF($AH310="","",IF(INDEX('Per Invoice'!U$2:U$401,$AH310)="","",INDEX('Per Invoice'!U$2:U$401,$AH310)))</f>
        <v/>
      </c>
      <c r="V310">
        <f>IF($AH310="","",IF(INDEX('Per Invoice'!V$2:V$401,$AH310)="","",INDEX('Per Invoice'!V$2:V$401,$AH310)))</f>
        <v/>
      </c>
      <c r="W310" s="7">
        <f>IF($AH310="","",IF(INDEX('Per Invoice'!W$2:W$401,$AH310)="","",INDEX('Per Invoice'!W$2:W$401,$AH310)))</f>
        <v/>
      </c>
      <c r="X310" s="7">
        <f>IF($AH310="","",IF(INDEX('Per Invoice'!X$2:X$401,$AH310)="","",INDEX('Per Invoice'!X$2:X$401,$AH310)))</f>
        <v/>
      </c>
      <c r="Y310">
        <f>IF($AH310="","",IF(INDEX('Per Invoice'!Y$2:Y$401,$AH310)="","",INDEX('Per Invoice'!Y$2:Y$401,$AH310)))</f>
        <v/>
      </c>
      <c r="Z310" s="7">
        <f>IF($AH310="","",IF(INDEX('Per Invoice'!Z$2:Z$401,$AH310)="","",INDEX('Per Invoice'!Z$2:Z$401,$AH310)))</f>
        <v/>
      </c>
      <c r="AA310" s="7">
        <f>IF($AH310="","",IF(INDEX('Per Invoice'!AA$2:AA$401,$AH310)="","",INDEX('Per Invoice'!AA$2:AA$401,$AH310)))</f>
        <v/>
      </c>
      <c r="AB310" s="7">
        <f>IF($AH310="","",IF(INDEX('Per Invoice'!AB$2:AB$401,$AH310)="","",INDEX('Per Invoice'!AB$2:AB$401,$AH310)))</f>
        <v/>
      </c>
      <c r="AC310" s="7">
        <f>IF($AH310="","",IF(INDEX('Per Invoice'!AC$2:AC$401,$AH310)="","",INDEX('Per Invoice'!AC$2:AC$401,$AH310)))</f>
        <v/>
      </c>
      <c r="AD310" s="7">
        <f>IF($AH310="","",IF(INDEX('Per Invoice'!AD$2:AD$401,$AH310)="","",INDEX('Per Invoice'!AD$2:AD$401,$AH310)))</f>
        <v/>
      </c>
      <c r="AE310" s="7">
        <f>IF($AH310="","",IF(INDEX('Per Invoice'!AE$2:AE$401,$AH310)="","",INDEX('Per Invoice'!AE$2:AE$401,$AH310)))</f>
        <v/>
      </c>
      <c r="AF310">
        <f>IF($AH310="","",IF(INDEX('Per Invoice'!AF$2:AF$401,$AH310)="","",INDEX('Per Invoice'!AF$2:AF$401,$AH310)))</f>
        <v/>
      </c>
      <c r="AG310" s="7">
        <f>IF($AH310="","",IF(INDEX('Per Invoice'!AG$2:AG$401,$AH310)="","",INDEX('Per Invoice'!AG$2:AG$401,$AH310)))</f>
        <v/>
      </c>
      <c r="AH310" s="16">
        <f>IFERROR(MATCH(Settings!$C$27&amp;"|"&amp;ROWS($AH$2:$AH310),'Per Invoice'!$AI$2:$AI$401,0),"")</f>
        <v/>
      </c>
    </row>
    <row r="311">
      <c r="A311">
        <f>IF($AH311="","",IF(INDEX('Per Invoice'!A$2:A$401,$AH311)="","",INDEX('Per Invoice'!A$2:A$401,$AH311)))</f>
        <v/>
      </c>
      <c r="B311">
        <f>IF($AH311="","",IF(INDEX('Per Invoice'!B$2:B$401,$AH311)="","",INDEX('Per Invoice'!B$2:B$401,$AH311)))</f>
        <v/>
      </c>
      <c r="C311">
        <f>IF($AH311="","",IF(INDEX('Per Invoice'!C$2:C$401,$AH311)="","",INDEX('Per Invoice'!C$2:C$401,$AH311)))</f>
        <v/>
      </c>
      <c r="D311">
        <f>IF($AH311="","",IF(INDEX('Per Invoice'!D$2:D$401,$AH311)="","",INDEX('Per Invoice'!D$2:D$401,$AH311)))</f>
        <v/>
      </c>
      <c r="E311">
        <f>IF($AH311="","",IF(INDEX('Per Invoice'!E$2:E$401,$AH311)="","",INDEX('Per Invoice'!E$2:E$401,$AH311)))</f>
        <v/>
      </c>
      <c r="F311">
        <f>IF($AH311="","",IF(INDEX('Per Invoice'!F$2:F$401,$AH311)="","",INDEX('Per Invoice'!F$2:F$401,$AH311)))</f>
        <v/>
      </c>
      <c r="G311">
        <f>IF($AH311="","",IF(INDEX('Per Invoice'!G$2:G$401,$AH311)="","",INDEX('Per Invoice'!G$2:G$401,$AH311)))</f>
        <v/>
      </c>
      <c r="H311">
        <f>IF($AH311="","",IF(INDEX('Per Invoice'!H$2:H$401,$AH311)="","",INDEX('Per Invoice'!H$2:H$401,$AH311)))</f>
        <v/>
      </c>
      <c r="I311" s="14">
        <f>IF($AH311="","",IF(INDEX('Per Invoice'!I$2:I$401,$AH311)="","",INDEX('Per Invoice'!I$2:I$401,$AH311)))</f>
        <v/>
      </c>
      <c r="J311">
        <f>IF($AH311="","",IF(INDEX('Per Invoice'!J$2:J$401,$AH311)="","",INDEX('Per Invoice'!J$2:J$401,$AH311)))</f>
        <v/>
      </c>
      <c r="K311">
        <f>IF($AH311="","",IF(INDEX('Per Invoice'!K$2:K$401,$AH311)="","",INDEX('Per Invoice'!K$2:K$401,$AH311)))</f>
        <v/>
      </c>
      <c r="L311">
        <f>IF($AH311="","",IF(INDEX('Per Invoice'!L$2:L$401,$AH311)="","",INDEX('Per Invoice'!L$2:L$401,$AH311)))</f>
        <v/>
      </c>
      <c r="M311">
        <f>IF($AH311="","",IF(INDEX('Per Invoice'!M$2:M$401,$AH311)="","",INDEX('Per Invoice'!M$2:M$401,$AH311)))</f>
        <v/>
      </c>
      <c r="N311">
        <f>IF($AH311="","",IF(INDEX('Per Invoice'!N$2:N$401,$AH311)="","",INDEX('Per Invoice'!N$2:N$401,$AH311)))</f>
        <v/>
      </c>
      <c r="O311">
        <f>IF($AH311="","",IF(INDEX('Per Invoice'!O$2:O$401,$AH311)="","",INDEX('Per Invoice'!O$2:O$401,$AH311)))</f>
        <v/>
      </c>
      <c r="P311" s="7">
        <f>IF($AH311="","",IF(INDEX('Per Invoice'!P$2:P$401,$AH311)="","",INDEX('Per Invoice'!P$2:P$401,$AH311)))</f>
        <v/>
      </c>
      <c r="Q311">
        <f>IF($AH311="","",IF(INDEX('Per Invoice'!Q$2:Q$401,$AH311)="","",INDEX('Per Invoice'!Q$2:Q$401,$AH311)))</f>
        <v/>
      </c>
      <c r="R311">
        <f>IF($AH311="","",IF(INDEX('Per Invoice'!R$2:R$401,$AH311)="","",INDEX('Per Invoice'!R$2:R$401,$AH311)))</f>
        <v/>
      </c>
      <c r="S311">
        <f>IF($AH311="","",IF(INDEX('Per Invoice'!S$2:S$401,$AH311)="","",INDEX('Per Invoice'!S$2:S$401,$AH311)))</f>
        <v/>
      </c>
      <c r="T311" s="7">
        <f>IF($AH311="","",IF(INDEX('Per Invoice'!T$2:T$401,$AH311)="","",INDEX('Per Invoice'!T$2:T$401,$AH311)))</f>
        <v/>
      </c>
      <c r="U311" s="7">
        <f>IF($AH311="","",IF(INDEX('Per Invoice'!U$2:U$401,$AH311)="","",INDEX('Per Invoice'!U$2:U$401,$AH311)))</f>
        <v/>
      </c>
      <c r="V311">
        <f>IF($AH311="","",IF(INDEX('Per Invoice'!V$2:V$401,$AH311)="","",INDEX('Per Invoice'!V$2:V$401,$AH311)))</f>
        <v/>
      </c>
      <c r="W311" s="7">
        <f>IF($AH311="","",IF(INDEX('Per Invoice'!W$2:W$401,$AH311)="","",INDEX('Per Invoice'!W$2:W$401,$AH311)))</f>
        <v/>
      </c>
      <c r="X311" s="7">
        <f>IF($AH311="","",IF(INDEX('Per Invoice'!X$2:X$401,$AH311)="","",INDEX('Per Invoice'!X$2:X$401,$AH311)))</f>
        <v/>
      </c>
      <c r="Y311">
        <f>IF($AH311="","",IF(INDEX('Per Invoice'!Y$2:Y$401,$AH311)="","",INDEX('Per Invoice'!Y$2:Y$401,$AH311)))</f>
        <v/>
      </c>
      <c r="Z311" s="7">
        <f>IF($AH311="","",IF(INDEX('Per Invoice'!Z$2:Z$401,$AH311)="","",INDEX('Per Invoice'!Z$2:Z$401,$AH311)))</f>
        <v/>
      </c>
      <c r="AA311" s="7">
        <f>IF($AH311="","",IF(INDEX('Per Invoice'!AA$2:AA$401,$AH311)="","",INDEX('Per Invoice'!AA$2:AA$401,$AH311)))</f>
        <v/>
      </c>
      <c r="AB311" s="7">
        <f>IF($AH311="","",IF(INDEX('Per Invoice'!AB$2:AB$401,$AH311)="","",INDEX('Per Invoice'!AB$2:AB$401,$AH311)))</f>
        <v/>
      </c>
      <c r="AC311" s="7">
        <f>IF($AH311="","",IF(INDEX('Per Invoice'!AC$2:AC$401,$AH311)="","",INDEX('Per Invoice'!AC$2:AC$401,$AH311)))</f>
        <v/>
      </c>
      <c r="AD311" s="7">
        <f>IF($AH311="","",IF(INDEX('Per Invoice'!AD$2:AD$401,$AH311)="","",INDEX('Per Invoice'!AD$2:AD$401,$AH311)))</f>
        <v/>
      </c>
      <c r="AE311" s="7">
        <f>IF($AH311="","",IF(INDEX('Per Invoice'!AE$2:AE$401,$AH311)="","",INDEX('Per Invoice'!AE$2:AE$401,$AH311)))</f>
        <v/>
      </c>
      <c r="AF311">
        <f>IF($AH311="","",IF(INDEX('Per Invoice'!AF$2:AF$401,$AH311)="","",INDEX('Per Invoice'!AF$2:AF$401,$AH311)))</f>
        <v/>
      </c>
      <c r="AG311" s="7">
        <f>IF($AH311="","",IF(INDEX('Per Invoice'!AG$2:AG$401,$AH311)="","",INDEX('Per Invoice'!AG$2:AG$401,$AH311)))</f>
        <v/>
      </c>
      <c r="AH311" s="16">
        <f>IFERROR(MATCH(Settings!$C$27&amp;"|"&amp;ROWS($AH$2:$AH311),'Per Invoice'!$AI$2:$AI$401,0),"")</f>
        <v/>
      </c>
    </row>
    <row r="312">
      <c r="A312">
        <f>IF($AH312="","",IF(INDEX('Per Invoice'!A$2:A$401,$AH312)="","",INDEX('Per Invoice'!A$2:A$401,$AH312)))</f>
        <v/>
      </c>
      <c r="B312">
        <f>IF($AH312="","",IF(INDEX('Per Invoice'!B$2:B$401,$AH312)="","",INDEX('Per Invoice'!B$2:B$401,$AH312)))</f>
        <v/>
      </c>
      <c r="C312">
        <f>IF($AH312="","",IF(INDEX('Per Invoice'!C$2:C$401,$AH312)="","",INDEX('Per Invoice'!C$2:C$401,$AH312)))</f>
        <v/>
      </c>
      <c r="D312">
        <f>IF($AH312="","",IF(INDEX('Per Invoice'!D$2:D$401,$AH312)="","",INDEX('Per Invoice'!D$2:D$401,$AH312)))</f>
        <v/>
      </c>
      <c r="E312">
        <f>IF($AH312="","",IF(INDEX('Per Invoice'!E$2:E$401,$AH312)="","",INDEX('Per Invoice'!E$2:E$401,$AH312)))</f>
        <v/>
      </c>
      <c r="F312">
        <f>IF($AH312="","",IF(INDEX('Per Invoice'!F$2:F$401,$AH312)="","",INDEX('Per Invoice'!F$2:F$401,$AH312)))</f>
        <v/>
      </c>
      <c r="G312">
        <f>IF($AH312="","",IF(INDEX('Per Invoice'!G$2:G$401,$AH312)="","",INDEX('Per Invoice'!G$2:G$401,$AH312)))</f>
        <v/>
      </c>
      <c r="H312">
        <f>IF($AH312="","",IF(INDEX('Per Invoice'!H$2:H$401,$AH312)="","",INDEX('Per Invoice'!H$2:H$401,$AH312)))</f>
        <v/>
      </c>
      <c r="I312" s="14">
        <f>IF($AH312="","",IF(INDEX('Per Invoice'!I$2:I$401,$AH312)="","",INDEX('Per Invoice'!I$2:I$401,$AH312)))</f>
        <v/>
      </c>
      <c r="J312">
        <f>IF($AH312="","",IF(INDEX('Per Invoice'!J$2:J$401,$AH312)="","",INDEX('Per Invoice'!J$2:J$401,$AH312)))</f>
        <v/>
      </c>
      <c r="K312">
        <f>IF($AH312="","",IF(INDEX('Per Invoice'!K$2:K$401,$AH312)="","",INDEX('Per Invoice'!K$2:K$401,$AH312)))</f>
        <v/>
      </c>
      <c r="L312">
        <f>IF($AH312="","",IF(INDEX('Per Invoice'!L$2:L$401,$AH312)="","",INDEX('Per Invoice'!L$2:L$401,$AH312)))</f>
        <v/>
      </c>
      <c r="M312">
        <f>IF($AH312="","",IF(INDEX('Per Invoice'!M$2:M$401,$AH312)="","",INDEX('Per Invoice'!M$2:M$401,$AH312)))</f>
        <v/>
      </c>
      <c r="N312">
        <f>IF($AH312="","",IF(INDEX('Per Invoice'!N$2:N$401,$AH312)="","",INDEX('Per Invoice'!N$2:N$401,$AH312)))</f>
        <v/>
      </c>
      <c r="O312">
        <f>IF($AH312="","",IF(INDEX('Per Invoice'!O$2:O$401,$AH312)="","",INDEX('Per Invoice'!O$2:O$401,$AH312)))</f>
        <v/>
      </c>
      <c r="P312" s="7">
        <f>IF($AH312="","",IF(INDEX('Per Invoice'!P$2:P$401,$AH312)="","",INDEX('Per Invoice'!P$2:P$401,$AH312)))</f>
        <v/>
      </c>
      <c r="Q312">
        <f>IF($AH312="","",IF(INDEX('Per Invoice'!Q$2:Q$401,$AH312)="","",INDEX('Per Invoice'!Q$2:Q$401,$AH312)))</f>
        <v/>
      </c>
      <c r="R312">
        <f>IF($AH312="","",IF(INDEX('Per Invoice'!R$2:R$401,$AH312)="","",INDEX('Per Invoice'!R$2:R$401,$AH312)))</f>
        <v/>
      </c>
      <c r="S312">
        <f>IF($AH312="","",IF(INDEX('Per Invoice'!S$2:S$401,$AH312)="","",INDEX('Per Invoice'!S$2:S$401,$AH312)))</f>
        <v/>
      </c>
      <c r="T312" s="7">
        <f>IF($AH312="","",IF(INDEX('Per Invoice'!T$2:T$401,$AH312)="","",INDEX('Per Invoice'!T$2:T$401,$AH312)))</f>
        <v/>
      </c>
      <c r="U312" s="7">
        <f>IF($AH312="","",IF(INDEX('Per Invoice'!U$2:U$401,$AH312)="","",INDEX('Per Invoice'!U$2:U$401,$AH312)))</f>
        <v/>
      </c>
      <c r="V312">
        <f>IF($AH312="","",IF(INDEX('Per Invoice'!V$2:V$401,$AH312)="","",INDEX('Per Invoice'!V$2:V$401,$AH312)))</f>
        <v/>
      </c>
      <c r="W312" s="7">
        <f>IF($AH312="","",IF(INDEX('Per Invoice'!W$2:W$401,$AH312)="","",INDEX('Per Invoice'!W$2:W$401,$AH312)))</f>
        <v/>
      </c>
      <c r="X312" s="7">
        <f>IF($AH312="","",IF(INDEX('Per Invoice'!X$2:X$401,$AH312)="","",INDEX('Per Invoice'!X$2:X$401,$AH312)))</f>
        <v/>
      </c>
      <c r="Y312">
        <f>IF($AH312="","",IF(INDEX('Per Invoice'!Y$2:Y$401,$AH312)="","",INDEX('Per Invoice'!Y$2:Y$401,$AH312)))</f>
        <v/>
      </c>
      <c r="Z312" s="7">
        <f>IF($AH312="","",IF(INDEX('Per Invoice'!Z$2:Z$401,$AH312)="","",INDEX('Per Invoice'!Z$2:Z$401,$AH312)))</f>
        <v/>
      </c>
      <c r="AA312" s="7">
        <f>IF($AH312="","",IF(INDEX('Per Invoice'!AA$2:AA$401,$AH312)="","",INDEX('Per Invoice'!AA$2:AA$401,$AH312)))</f>
        <v/>
      </c>
      <c r="AB312" s="7">
        <f>IF($AH312="","",IF(INDEX('Per Invoice'!AB$2:AB$401,$AH312)="","",INDEX('Per Invoice'!AB$2:AB$401,$AH312)))</f>
        <v/>
      </c>
      <c r="AC312" s="7">
        <f>IF($AH312="","",IF(INDEX('Per Invoice'!AC$2:AC$401,$AH312)="","",INDEX('Per Invoice'!AC$2:AC$401,$AH312)))</f>
        <v/>
      </c>
      <c r="AD312" s="7">
        <f>IF($AH312="","",IF(INDEX('Per Invoice'!AD$2:AD$401,$AH312)="","",INDEX('Per Invoice'!AD$2:AD$401,$AH312)))</f>
        <v/>
      </c>
      <c r="AE312" s="7">
        <f>IF($AH312="","",IF(INDEX('Per Invoice'!AE$2:AE$401,$AH312)="","",INDEX('Per Invoice'!AE$2:AE$401,$AH312)))</f>
        <v/>
      </c>
      <c r="AF312">
        <f>IF($AH312="","",IF(INDEX('Per Invoice'!AF$2:AF$401,$AH312)="","",INDEX('Per Invoice'!AF$2:AF$401,$AH312)))</f>
        <v/>
      </c>
      <c r="AG312" s="7">
        <f>IF($AH312="","",IF(INDEX('Per Invoice'!AG$2:AG$401,$AH312)="","",INDEX('Per Invoice'!AG$2:AG$401,$AH312)))</f>
        <v/>
      </c>
      <c r="AH312" s="16">
        <f>IFERROR(MATCH(Settings!$C$27&amp;"|"&amp;ROWS($AH$2:$AH312),'Per Invoice'!$AI$2:$AI$401,0),"")</f>
        <v/>
      </c>
    </row>
    <row r="313">
      <c r="A313">
        <f>IF($AH313="","",IF(INDEX('Per Invoice'!A$2:A$401,$AH313)="","",INDEX('Per Invoice'!A$2:A$401,$AH313)))</f>
        <v/>
      </c>
      <c r="B313">
        <f>IF($AH313="","",IF(INDEX('Per Invoice'!B$2:B$401,$AH313)="","",INDEX('Per Invoice'!B$2:B$401,$AH313)))</f>
        <v/>
      </c>
      <c r="C313">
        <f>IF($AH313="","",IF(INDEX('Per Invoice'!C$2:C$401,$AH313)="","",INDEX('Per Invoice'!C$2:C$401,$AH313)))</f>
        <v/>
      </c>
      <c r="D313">
        <f>IF($AH313="","",IF(INDEX('Per Invoice'!D$2:D$401,$AH313)="","",INDEX('Per Invoice'!D$2:D$401,$AH313)))</f>
        <v/>
      </c>
      <c r="E313">
        <f>IF($AH313="","",IF(INDEX('Per Invoice'!E$2:E$401,$AH313)="","",INDEX('Per Invoice'!E$2:E$401,$AH313)))</f>
        <v/>
      </c>
      <c r="F313">
        <f>IF($AH313="","",IF(INDEX('Per Invoice'!F$2:F$401,$AH313)="","",INDEX('Per Invoice'!F$2:F$401,$AH313)))</f>
        <v/>
      </c>
      <c r="G313">
        <f>IF($AH313="","",IF(INDEX('Per Invoice'!G$2:G$401,$AH313)="","",INDEX('Per Invoice'!G$2:G$401,$AH313)))</f>
        <v/>
      </c>
      <c r="H313">
        <f>IF($AH313="","",IF(INDEX('Per Invoice'!H$2:H$401,$AH313)="","",INDEX('Per Invoice'!H$2:H$401,$AH313)))</f>
        <v/>
      </c>
      <c r="I313" s="14">
        <f>IF($AH313="","",IF(INDEX('Per Invoice'!I$2:I$401,$AH313)="","",INDEX('Per Invoice'!I$2:I$401,$AH313)))</f>
        <v/>
      </c>
      <c r="J313">
        <f>IF($AH313="","",IF(INDEX('Per Invoice'!J$2:J$401,$AH313)="","",INDEX('Per Invoice'!J$2:J$401,$AH313)))</f>
        <v/>
      </c>
      <c r="K313">
        <f>IF($AH313="","",IF(INDEX('Per Invoice'!K$2:K$401,$AH313)="","",INDEX('Per Invoice'!K$2:K$401,$AH313)))</f>
        <v/>
      </c>
      <c r="L313">
        <f>IF($AH313="","",IF(INDEX('Per Invoice'!L$2:L$401,$AH313)="","",INDEX('Per Invoice'!L$2:L$401,$AH313)))</f>
        <v/>
      </c>
      <c r="M313">
        <f>IF($AH313="","",IF(INDEX('Per Invoice'!M$2:M$401,$AH313)="","",INDEX('Per Invoice'!M$2:M$401,$AH313)))</f>
        <v/>
      </c>
      <c r="N313">
        <f>IF($AH313="","",IF(INDEX('Per Invoice'!N$2:N$401,$AH313)="","",INDEX('Per Invoice'!N$2:N$401,$AH313)))</f>
        <v/>
      </c>
      <c r="O313">
        <f>IF($AH313="","",IF(INDEX('Per Invoice'!O$2:O$401,$AH313)="","",INDEX('Per Invoice'!O$2:O$401,$AH313)))</f>
        <v/>
      </c>
      <c r="P313" s="7">
        <f>IF($AH313="","",IF(INDEX('Per Invoice'!P$2:P$401,$AH313)="","",INDEX('Per Invoice'!P$2:P$401,$AH313)))</f>
        <v/>
      </c>
      <c r="Q313">
        <f>IF($AH313="","",IF(INDEX('Per Invoice'!Q$2:Q$401,$AH313)="","",INDEX('Per Invoice'!Q$2:Q$401,$AH313)))</f>
        <v/>
      </c>
      <c r="R313">
        <f>IF($AH313="","",IF(INDEX('Per Invoice'!R$2:R$401,$AH313)="","",INDEX('Per Invoice'!R$2:R$401,$AH313)))</f>
        <v/>
      </c>
      <c r="S313">
        <f>IF($AH313="","",IF(INDEX('Per Invoice'!S$2:S$401,$AH313)="","",INDEX('Per Invoice'!S$2:S$401,$AH313)))</f>
        <v/>
      </c>
      <c r="T313" s="7">
        <f>IF($AH313="","",IF(INDEX('Per Invoice'!T$2:T$401,$AH313)="","",INDEX('Per Invoice'!T$2:T$401,$AH313)))</f>
        <v/>
      </c>
      <c r="U313" s="7">
        <f>IF($AH313="","",IF(INDEX('Per Invoice'!U$2:U$401,$AH313)="","",INDEX('Per Invoice'!U$2:U$401,$AH313)))</f>
        <v/>
      </c>
      <c r="V313">
        <f>IF($AH313="","",IF(INDEX('Per Invoice'!V$2:V$401,$AH313)="","",INDEX('Per Invoice'!V$2:V$401,$AH313)))</f>
        <v/>
      </c>
      <c r="W313" s="7">
        <f>IF($AH313="","",IF(INDEX('Per Invoice'!W$2:W$401,$AH313)="","",INDEX('Per Invoice'!W$2:W$401,$AH313)))</f>
        <v/>
      </c>
      <c r="X313" s="7">
        <f>IF($AH313="","",IF(INDEX('Per Invoice'!X$2:X$401,$AH313)="","",INDEX('Per Invoice'!X$2:X$401,$AH313)))</f>
        <v/>
      </c>
      <c r="Y313">
        <f>IF($AH313="","",IF(INDEX('Per Invoice'!Y$2:Y$401,$AH313)="","",INDEX('Per Invoice'!Y$2:Y$401,$AH313)))</f>
        <v/>
      </c>
      <c r="Z313" s="7">
        <f>IF($AH313="","",IF(INDEX('Per Invoice'!Z$2:Z$401,$AH313)="","",INDEX('Per Invoice'!Z$2:Z$401,$AH313)))</f>
        <v/>
      </c>
      <c r="AA313" s="7">
        <f>IF($AH313="","",IF(INDEX('Per Invoice'!AA$2:AA$401,$AH313)="","",INDEX('Per Invoice'!AA$2:AA$401,$AH313)))</f>
        <v/>
      </c>
      <c r="AB313" s="7">
        <f>IF($AH313="","",IF(INDEX('Per Invoice'!AB$2:AB$401,$AH313)="","",INDEX('Per Invoice'!AB$2:AB$401,$AH313)))</f>
        <v/>
      </c>
      <c r="AC313" s="7">
        <f>IF($AH313="","",IF(INDEX('Per Invoice'!AC$2:AC$401,$AH313)="","",INDEX('Per Invoice'!AC$2:AC$401,$AH313)))</f>
        <v/>
      </c>
      <c r="AD313" s="7">
        <f>IF($AH313="","",IF(INDEX('Per Invoice'!AD$2:AD$401,$AH313)="","",INDEX('Per Invoice'!AD$2:AD$401,$AH313)))</f>
        <v/>
      </c>
      <c r="AE313" s="7">
        <f>IF($AH313="","",IF(INDEX('Per Invoice'!AE$2:AE$401,$AH313)="","",INDEX('Per Invoice'!AE$2:AE$401,$AH313)))</f>
        <v/>
      </c>
      <c r="AF313">
        <f>IF($AH313="","",IF(INDEX('Per Invoice'!AF$2:AF$401,$AH313)="","",INDEX('Per Invoice'!AF$2:AF$401,$AH313)))</f>
        <v/>
      </c>
      <c r="AG313" s="7">
        <f>IF($AH313="","",IF(INDEX('Per Invoice'!AG$2:AG$401,$AH313)="","",INDEX('Per Invoice'!AG$2:AG$401,$AH313)))</f>
        <v/>
      </c>
      <c r="AH313" s="16">
        <f>IFERROR(MATCH(Settings!$C$27&amp;"|"&amp;ROWS($AH$2:$AH313),'Per Invoice'!$AI$2:$AI$401,0),"")</f>
        <v/>
      </c>
    </row>
    <row r="314">
      <c r="A314">
        <f>IF($AH314="","",IF(INDEX('Per Invoice'!A$2:A$401,$AH314)="","",INDEX('Per Invoice'!A$2:A$401,$AH314)))</f>
        <v/>
      </c>
      <c r="B314">
        <f>IF($AH314="","",IF(INDEX('Per Invoice'!B$2:B$401,$AH314)="","",INDEX('Per Invoice'!B$2:B$401,$AH314)))</f>
        <v/>
      </c>
      <c r="C314">
        <f>IF($AH314="","",IF(INDEX('Per Invoice'!C$2:C$401,$AH314)="","",INDEX('Per Invoice'!C$2:C$401,$AH314)))</f>
        <v/>
      </c>
      <c r="D314">
        <f>IF($AH314="","",IF(INDEX('Per Invoice'!D$2:D$401,$AH314)="","",INDEX('Per Invoice'!D$2:D$401,$AH314)))</f>
        <v/>
      </c>
      <c r="E314">
        <f>IF($AH314="","",IF(INDEX('Per Invoice'!E$2:E$401,$AH314)="","",INDEX('Per Invoice'!E$2:E$401,$AH314)))</f>
        <v/>
      </c>
      <c r="F314">
        <f>IF($AH314="","",IF(INDEX('Per Invoice'!F$2:F$401,$AH314)="","",INDEX('Per Invoice'!F$2:F$401,$AH314)))</f>
        <v/>
      </c>
      <c r="G314">
        <f>IF($AH314="","",IF(INDEX('Per Invoice'!G$2:G$401,$AH314)="","",INDEX('Per Invoice'!G$2:G$401,$AH314)))</f>
        <v/>
      </c>
      <c r="H314">
        <f>IF($AH314="","",IF(INDEX('Per Invoice'!H$2:H$401,$AH314)="","",INDEX('Per Invoice'!H$2:H$401,$AH314)))</f>
        <v/>
      </c>
      <c r="I314" s="14">
        <f>IF($AH314="","",IF(INDEX('Per Invoice'!I$2:I$401,$AH314)="","",INDEX('Per Invoice'!I$2:I$401,$AH314)))</f>
        <v/>
      </c>
      <c r="J314">
        <f>IF($AH314="","",IF(INDEX('Per Invoice'!J$2:J$401,$AH314)="","",INDEX('Per Invoice'!J$2:J$401,$AH314)))</f>
        <v/>
      </c>
      <c r="K314">
        <f>IF($AH314="","",IF(INDEX('Per Invoice'!K$2:K$401,$AH314)="","",INDEX('Per Invoice'!K$2:K$401,$AH314)))</f>
        <v/>
      </c>
      <c r="L314">
        <f>IF($AH314="","",IF(INDEX('Per Invoice'!L$2:L$401,$AH314)="","",INDEX('Per Invoice'!L$2:L$401,$AH314)))</f>
        <v/>
      </c>
      <c r="M314">
        <f>IF($AH314="","",IF(INDEX('Per Invoice'!M$2:M$401,$AH314)="","",INDEX('Per Invoice'!M$2:M$401,$AH314)))</f>
        <v/>
      </c>
      <c r="N314">
        <f>IF($AH314="","",IF(INDEX('Per Invoice'!N$2:N$401,$AH314)="","",INDEX('Per Invoice'!N$2:N$401,$AH314)))</f>
        <v/>
      </c>
      <c r="O314">
        <f>IF($AH314="","",IF(INDEX('Per Invoice'!O$2:O$401,$AH314)="","",INDEX('Per Invoice'!O$2:O$401,$AH314)))</f>
        <v/>
      </c>
      <c r="P314" s="7">
        <f>IF($AH314="","",IF(INDEX('Per Invoice'!P$2:P$401,$AH314)="","",INDEX('Per Invoice'!P$2:P$401,$AH314)))</f>
        <v/>
      </c>
      <c r="Q314">
        <f>IF($AH314="","",IF(INDEX('Per Invoice'!Q$2:Q$401,$AH314)="","",INDEX('Per Invoice'!Q$2:Q$401,$AH314)))</f>
        <v/>
      </c>
      <c r="R314">
        <f>IF($AH314="","",IF(INDEX('Per Invoice'!R$2:R$401,$AH314)="","",INDEX('Per Invoice'!R$2:R$401,$AH314)))</f>
        <v/>
      </c>
      <c r="S314">
        <f>IF($AH314="","",IF(INDEX('Per Invoice'!S$2:S$401,$AH314)="","",INDEX('Per Invoice'!S$2:S$401,$AH314)))</f>
        <v/>
      </c>
      <c r="T314" s="7">
        <f>IF($AH314="","",IF(INDEX('Per Invoice'!T$2:T$401,$AH314)="","",INDEX('Per Invoice'!T$2:T$401,$AH314)))</f>
        <v/>
      </c>
      <c r="U314" s="7">
        <f>IF($AH314="","",IF(INDEX('Per Invoice'!U$2:U$401,$AH314)="","",INDEX('Per Invoice'!U$2:U$401,$AH314)))</f>
        <v/>
      </c>
      <c r="V314">
        <f>IF($AH314="","",IF(INDEX('Per Invoice'!V$2:V$401,$AH314)="","",INDEX('Per Invoice'!V$2:V$401,$AH314)))</f>
        <v/>
      </c>
      <c r="W314" s="7">
        <f>IF($AH314="","",IF(INDEX('Per Invoice'!W$2:W$401,$AH314)="","",INDEX('Per Invoice'!W$2:W$401,$AH314)))</f>
        <v/>
      </c>
      <c r="X314" s="7">
        <f>IF($AH314="","",IF(INDEX('Per Invoice'!X$2:X$401,$AH314)="","",INDEX('Per Invoice'!X$2:X$401,$AH314)))</f>
        <v/>
      </c>
      <c r="Y314">
        <f>IF($AH314="","",IF(INDEX('Per Invoice'!Y$2:Y$401,$AH314)="","",INDEX('Per Invoice'!Y$2:Y$401,$AH314)))</f>
        <v/>
      </c>
      <c r="Z314" s="7">
        <f>IF($AH314="","",IF(INDEX('Per Invoice'!Z$2:Z$401,$AH314)="","",INDEX('Per Invoice'!Z$2:Z$401,$AH314)))</f>
        <v/>
      </c>
      <c r="AA314" s="7">
        <f>IF($AH314="","",IF(INDEX('Per Invoice'!AA$2:AA$401,$AH314)="","",INDEX('Per Invoice'!AA$2:AA$401,$AH314)))</f>
        <v/>
      </c>
      <c r="AB314" s="7">
        <f>IF($AH314="","",IF(INDEX('Per Invoice'!AB$2:AB$401,$AH314)="","",INDEX('Per Invoice'!AB$2:AB$401,$AH314)))</f>
        <v/>
      </c>
      <c r="AC314" s="7">
        <f>IF($AH314="","",IF(INDEX('Per Invoice'!AC$2:AC$401,$AH314)="","",INDEX('Per Invoice'!AC$2:AC$401,$AH314)))</f>
        <v/>
      </c>
      <c r="AD314" s="7">
        <f>IF($AH314="","",IF(INDEX('Per Invoice'!AD$2:AD$401,$AH314)="","",INDEX('Per Invoice'!AD$2:AD$401,$AH314)))</f>
        <v/>
      </c>
      <c r="AE314" s="7">
        <f>IF($AH314="","",IF(INDEX('Per Invoice'!AE$2:AE$401,$AH314)="","",INDEX('Per Invoice'!AE$2:AE$401,$AH314)))</f>
        <v/>
      </c>
      <c r="AF314">
        <f>IF($AH314="","",IF(INDEX('Per Invoice'!AF$2:AF$401,$AH314)="","",INDEX('Per Invoice'!AF$2:AF$401,$AH314)))</f>
        <v/>
      </c>
      <c r="AG314" s="7">
        <f>IF($AH314="","",IF(INDEX('Per Invoice'!AG$2:AG$401,$AH314)="","",INDEX('Per Invoice'!AG$2:AG$401,$AH314)))</f>
        <v/>
      </c>
      <c r="AH314" s="16">
        <f>IFERROR(MATCH(Settings!$C$27&amp;"|"&amp;ROWS($AH$2:$AH314),'Per Invoice'!$AI$2:$AI$401,0),"")</f>
        <v/>
      </c>
    </row>
    <row r="315">
      <c r="A315">
        <f>IF($AH315="","",IF(INDEX('Per Invoice'!A$2:A$401,$AH315)="","",INDEX('Per Invoice'!A$2:A$401,$AH315)))</f>
        <v/>
      </c>
      <c r="B315">
        <f>IF($AH315="","",IF(INDEX('Per Invoice'!B$2:B$401,$AH315)="","",INDEX('Per Invoice'!B$2:B$401,$AH315)))</f>
        <v/>
      </c>
      <c r="C315">
        <f>IF($AH315="","",IF(INDEX('Per Invoice'!C$2:C$401,$AH315)="","",INDEX('Per Invoice'!C$2:C$401,$AH315)))</f>
        <v/>
      </c>
      <c r="D315">
        <f>IF($AH315="","",IF(INDEX('Per Invoice'!D$2:D$401,$AH315)="","",INDEX('Per Invoice'!D$2:D$401,$AH315)))</f>
        <v/>
      </c>
      <c r="E315">
        <f>IF($AH315="","",IF(INDEX('Per Invoice'!E$2:E$401,$AH315)="","",INDEX('Per Invoice'!E$2:E$401,$AH315)))</f>
        <v/>
      </c>
      <c r="F315">
        <f>IF($AH315="","",IF(INDEX('Per Invoice'!F$2:F$401,$AH315)="","",INDEX('Per Invoice'!F$2:F$401,$AH315)))</f>
        <v/>
      </c>
      <c r="G315">
        <f>IF($AH315="","",IF(INDEX('Per Invoice'!G$2:G$401,$AH315)="","",INDEX('Per Invoice'!G$2:G$401,$AH315)))</f>
        <v/>
      </c>
      <c r="H315">
        <f>IF($AH315="","",IF(INDEX('Per Invoice'!H$2:H$401,$AH315)="","",INDEX('Per Invoice'!H$2:H$401,$AH315)))</f>
        <v/>
      </c>
      <c r="I315" s="14">
        <f>IF($AH315="","",IF(INDEX('Per Invoice'!I$2:I$401,$AH315)="","",INDEX('Per Invoice'!I$2:I$401,$AH315)))</f>
        <v/>
      </c>
      <c r="J315">
        <f>IF($AH315="","",IF(INDEX('Per Invoice'!J$2:J$401,$AH315)="","",INDEX('Per Invoice'!J$2:J$401,$AH315)))</f>
        <v/>
      </c>
      <c r="K315">
        <f>IF($AH315="","",IF(INDEX('Per Invoice'!K$2:K$401,$AH315)="","",INDEX('Per Invoice'!K$2:K$401,$AH315)))</f>
        <v/>
      </c>
      <c r="L315">
        <f>IF($AH315="","",IF(INDEX('Per Invoice'!L$2:L$401,$AH315)="","",INDEX('Per Invoice'!L$2:L$401,$AH315)))</f>
        <v/>
      </c>
      <c r="M315">
        <f>IF($AH315="","",IF(INDEX('Per Invoice'!M$2:M$401,$AH315)="","",INDEX('Per Invoice'!M$2:M$401,$AH315)))</f>
        <v/>
      </c>
      <c r="N315">
        <f>IF($AH315="","",IF(INDEX('Per Invoice'!N$2:N$401,$AH315)="","",INDEX('Per Invoice'!N$2:N$401,$AH315)))</f>
        <v/>
      </c>
      <c r="O315">
        <f>IF($AH315="","",IF(INDEX('Per Invoice'!O$2:O$401,$AH315)="","",INDEX('Per Invoice'!O$2:O$401,$AH315)))</f>
        <v/>
      </c>
      <c r="P315" s="7">
        <f>IF($AH315="","",IF(INDEX('Per Invoice'!P$2:P$401,$AH315)="","",INDEX('Per Invoice'!P$2:P$401,$AH315)))</f>
        <v/>
      </c>
      <c r="Q315">
        <f>IF($AH315="","",IF(INDEX('Per Invoice'!Q$2:Q$401,$AH315)="","",INDEX('Per Invoice'!Q$2:Q$401,$AH315)))</f>
        <v/>
      </c>
      <c r="R315">
        <f>IF($AH315="","",IF(INDEX('Per Invoice'!R$2:R$401,$AH315)="","",INDEX('Per Invoice'!R$2:R$401,$AH315)))</f>
        <v/>
      </c>
      <c r="S315">
        <f>IF($AH315="","",IF(INDEX('Per Invoice'!S$2:S$401,$AH315)="","",INDEX('Per Invoice'!S$2:S$401,$AH315)))</f>
        <v/>
      </c>
      <c r="T315" s="7">
        <f>IF($AH315="","",IF(INDEX('Per Invoice'!T$2:T$401,$AH315)="","",INDEX('Per Invoice'!T$2:T$401,$AH315)))</f>
        <v/>
      </c>
      <c r="U315" s="7">
        <f>IF($AH315="","",IF(INDEX('Per Invoice'!U$2:U$401,$AH315)="","",INDEX('Per Invoice'!U$2:U$401,$AH315)))</f>
        <v/>
      </c>
      <c r="V315">
        <f>IF($AH315="","",IF(INDEX('Per Invoice'!V$2:V$401,$AH315)="","",INDEX('Per Invoice'!V$2:V$401,$AH315)))</f>
        <v/>
      </c>
      <c r="W315" s="7">
        <f>IF($AH315="","",IF(INDEX('Per Invoice'!W$2:W$401,$AH315)="","",INDEX('Per Invoice'!W$2:W$401,$AH315)))</f>
        <v/>
      </c>
      <c r="X315" s="7">
        <f>IF($AH315="","",IF(INDEX('Per Invoice'!X$2:X$401,$AH315)="","",INDEX('Per Invoice'!X$2:X$401,$AH315)))</f>
        <v/>
      </c>
      <c r="Y315">
        <f>IF($AH315="","",IF(INDEX('Per Invoice'!Y$2:Y$401,$AH315)="","",INDEX('Per Invoice'!Y$2:Y$401,$AH315)))</f>
        <v/>
      </c>
      <c r="Z315" s="7">
        <f>IF($AH315="","",IF(INDEX('Per Invoice'!Z$2:Z$401,$AH315)="","",INDEX('Per Invoice'!Z$2:Z$401,$AH315)))</f>
        <v/>
      </c>
      <c r="AA315" s="7">
        <f>IF($AH315="","",IF(INDEX('Per Invoice'!AA$2:AA$401,$AH315)="","",INDEX('Per Invoice'!AA$2:AA$401,$AH315)))</f>
        <v/>
      </c>
      <c r="AB315" s="7">
        <f>IF($AH315="","",IF(INDEX('Per Invoice'!AB$2:AB$401,$AH315)="","",INDEX('Per Invoice'!AB$2:AB$401,$AH315)))</f>
        <v/>
      </c>
      <c r="AC315" s="7">
        <f>IF($AH315="","",IF(INDEX('Per Invoice'!AC$2:AC$401,$AH315)="","",INDEX('Per Invoice'!AC$2:AC$401,$AH315)))</f>
        <v/>
      </c>
      <c r="AD315" s="7">
        <f>IF($AH315="","",IF(INDEX('Per Invoice'!AD$2:AD$401,$AH315)="","",INDEX('Per Invoice'!AD$2:AD$401,$AH315)))</f>
        <v/>
      </c>
      <c r="AE315" s="7">
        <f>IF($AH315="","",IF(INDEX('Per Invoice'!AE$2:AE$401,$AH315)="","",INDEX('Per Invoice'!AE$2:AE$401,$AH315)))</f>
        <v/>
      </c>
      <c r="AF315">
        <f>IF($AH315="","",IF(INDEX('Per Invoice'!AF$2:AF$401,$AH315)="","",INDEX('Per Invoice'!AF$2:AF$401,$AH315)))</f>
        <v/>
      </c>
      <c r="AG315" s="7">
        <f>IF($AH315="","",IF(INDEX('Per Invoice'!AG$2:AG$401,$AH315)="","",INDEX('Per Invoice'!AG$2:AG$401,$AH315)))</f>
        <v/>
      </c>
      <c r="AH315" s="16">
        <f>IFERROR(MATCH(Settings!$C$27&amp;"|"&amp;ROWS($AH$2:$AH315),'Per Invoice'!$AI$2:$AI$401,0),"")</f>
        <v/>
      </c>
    </row>
    <row r="316">
      <c r="A316">
        <f>IF($AH316="","",IF(INDEX('Per Invoice'!A$2:A$401,$AH316)="","",INDEX('Per Invoice'!A$2:A$401,$AH316)))</f>
        <v/>
      </c>
      <c r="B316">
        <f>IF($AH316="","",IF(INDEX('Per Invoice'!B$2:B$401,$AH316)="","",INDEX('Per Invoice'!B$2:B$401,$AH316)))</f>
        <v/>
      </c>
      <c r="C316">
        <f>IF($AH316="","",IF(INDEX('Per Invoice'!C$2:C$401,$AH316)="","",INDEX('Per Invoice'!C$2:C$401,$AH316)))</f>
        <v/>
      </c>
      <c r="D316">
        <f>IF($AH316="","",IF(INDEX('Per Invoice'!D$2:D$401,$AH316)="","",INDEX('Per Invoice'!D$2:D$401,$AH316)))</f>
        <v/>
      </c>
      <c r="E316">
        <f>IF($AH316="","",IF(INDEX('Per Invoice'!E$2:E$401,$AH316)="","",INDEX('Per Invoice'!E$2:E$401,$AH316)))</f>
        <v/>
      </c>
      <c r="F316">
        <f>IF($AH316="","",IF(INDEX('Per Invoice'!F$2:F$401,$AH316)="","",INDEX('Per Invoice'!F$2:F$401,$AH316)))</f>
        <v/>
      </c>
      <c r="G316">
        <f>IF($AH316="","",IF(INDEX('Per Invoice'!G$2:G$401,$AH316)="","",INDEX('Per Invoice'!G$2:G$401,$AH316)))</f>
        <v/>
      </c>
      <c r="H316">
        <f>IF($AH316="","",IF(INDEX('Per Invoice'!H$2:H$401,$AH316)="","",INDEX('Per Invoice'!H$2:H$401,$AH316)))</f>
        <v/>
      </c>
      <c r="I316" s="14">
        <f>IF($AH316="","",IF(INDEX('Per Invoice'!I$2:I$401,$AH316)="","",INDEX('Per Invoice'!I$2:I$401,$AH316)))</f>
        <v/>
      </c>
      <c r="J316">
        <f>IF($AH316="","",IF(INDEX('Per Invoice'!J$2:J$401,$AH316)="","",INDEX('Per Invoice'!J$2:J$401,$AH316)))</f>
        <v/>
      </c>
      <c r="K316">
        <f>IF($AH316="","",IF(INDEX('Per Invoice'!K$2:K$401,$AH316)="","",INDEX('Per Invoice'!K$2:K$401,$AH316)))</f>
        <v/>
      </c>
      <c r="L316">
        <f>IF($AH316="","",IF(INDEX('Per Invoice'!L$2:L$401,$AH316)="","",INDEX('Per Invoice'!L$2:L$401,$AH316)))</f>
        <v/>
      </c>
      <c r="M316">
        <f>IF($AH316="","",IF(INDEX('Per Invoice'!M$2:M$401,$AH316)="","",INDEX('Per Invoice'!M$2:M$401,$AH316)))</f>
        <v/>
      </c>
      <c r="N316">
        <f>IF($AH316="","",IF(INDEX('Per Invoice'!N$2:N$401,$AH316)="","",INDEX('Per Invoice'!N$2:N$401,$AH316)))</f>
        <v/>
      </c>
      <c r="O316">
        <f>IF($AH316="","",IF(INDEX('Per Invoice'!O$2:O$401,$AH316)="","",INDEX('Per Invoice'!O$2:O$401,$AH316)))</f>
        <v/>
      </c>
      <c r="P316" s="7">
        <f>IF($AH316="","",IF(INDEX('Per Invoice'!P$2:P$401,$AH316)="","",INDEX('Per Invoice'!P$2:P$401,$AH316)))</f>
        <v/>
      </c>
      <c r="Q316">
        <f>IF($AH316="","",IF(INDEX('Per Invoice'!Q$2:Q$401,$AH316)="","",INDEX('Per Invoice'!Q$2:Q$401,$AH316)))</f>
        <v/>
      </c>
      <c r="R316">
        <f>IF($AH316="","",IF(INDEX('Per Invoice'!R$2:R$401,$AH316)="","",INDEX('Per Invoice'!R$2:R$401,$AH316)))</f>
        <v/>
      </c>
      <c r="S316">
        <f>IF($AH316="","",IF(INDEX('Per Invoice'!S$2:S$401,$AH316)="","",INDEX('Per Invoice'!S$2:S$401,$AH316)))</f>
        <v/>
      </c>
      <c r="T316" s="7">
        <f>IF($AH316="","",IF(INDEX('Per Invoice'!T$2:T$401,$AH316)="","",INDEX('Per Invoice'!T$2:T$401,$AH316)))</f>
        <v/>
      </c>
      <c r="U316" s="7">
        <f>IF($AH316="","",IF(INDEX('Per Invoice'!U$2:U$401,$AH316)="","",INDEX('Per Invoice'!U$2:U$401,$AH316)))</f>
        <v/>
      </c>
      <c r="V316">
        <f>IF($AH316="","",IF(INDEX('Per Invoice'!V$2:V$401,$AH316)="","",INDEX('Per Invoice'!V$2:V$401,$AH316)))</f>
        <v/>
      </c>
      <c r="W316" s="7">
        <f>IF($AH316="","",IF(INDEX('Per Invoice'!W$2:W$401,$AH316)="","",INDEX('Per Invoice'!W$2:W$401,$AH316)))</f>
        <v/>
      </c>
      <c r="X316" s="7">
        <f>IF($AH316="","",IF(INDEX('Per Invoice'!X$2:X$401,$AH316)="","",INDEX('Per Invoice'!X$2:X$401,$AH316)))</f>
        <v/>
      </c>
      <c r="Y316">
        <f>IF($AH316="","",IF(INDEX('Per Invoice'!Y$2:Y$401,$AH316)="","",INDEX('Per Invoice'!Y$2:Y$401,$AH316)))</f>
        <v/>
      </c>
      <c r="Z316" s="7">
        <f>IF($AH316="","",IF(INDEX('Per Invoice'!Z$2:Z$401,$AH316)="","",INDEX('Per Invoice'!Z$2:Z$401,$AH316)))</f>
        <v/>
      </c>
      <c r="AA316" s="7">
        <f>IF($AH316="","",IF(INDEX('Per Invoice'!AA$2:AA$401,$AH316)="","",INDEX('Per Invoice'!AA$2:AA$401,$AH316)))</f>
        <v/>
      </c>
      <c r="AB316" s="7">
        <f>IF($AH316="","",IF(INDEX('Per Invoice'!AB$2:AB$401,$AH316)="","",INDEX('Per Invoice'!AB$2:AB$401,$AH316)))</f>
        <v/>
      </c>
      <c r="AC316" s="7">
        <f>IF($AH316="","",IF(INDEX('Per Invoice'!AC$2:AC$401,$AH316)="","",INDEX('Per Invoice'!AC$2:AC$401,$AH316)))</f>
        <v/>
      </c>
      <c r="AD316" s="7">
        <f>IF($AH316="","",IF(INDEX('Per Invoice'!AD$2:AD$401,$AH316)="","",INDEX('Per Invoice'!AD$2:AD$401,$AH316)))</f>
        <v/>
      </c>
      <c r="AE316" s="7">
        <f>IF($AH316="","",IF(INDEX('Per Invoice'!AE$2:AE$401,$AH316)="","",INDEX('Per Invoice'!AE$2:AE$401,$AH316)))</f>
        <v/>
      </c>
      <c r="AF316">
        <f>IF($AH316="","",IF(INDEX('Per Invoice'!AF$2:AF$401,$AH316)="","",INDEX('Per Invoice'!AF$2:AF$401,$AH316)))</f>
        <v/>
      </c>
      <c r="AG316" s="7">
        <f>IF($AH316="","",IF(INDEX('Per Invoice'!AG$2:AG$401,$AH316)="","",INDEX('Per Invoice'!AG$2:AG$401,$AH316)))</f>
        <v/>
      </c>
      <c r="AH316" s="16">
        <f>IFERROR(MATCH(Settings!$C$27&amp;"|"&amp;ROWS($AH$2:$AH316),'Per Invoice'!$AI$2:$AI$401,0),"")</f>
        <v/>
      </c>
    </row>
    <row r="317">
      <c r="A317">
        <f>IF($AH317="","",IF(INDEX('Per Invoice'!A$2:A$401,$AH317)="","",INDEX('Per Invoice'!A$2:A$401,$AH317)))</f>
        <v/>
      </c>
      <c r="B317">
        <f>IF($AH317="","",IF(INDEX('Per Invoice'!B$2:B$401,$AH317)="","",INDEX('Per Invoice'!B$2:B$401,$AH317)))</f>
        <v/>
      </c>
      <c r="C317">
        <f>IF($AH317="","",IF(INDEX('Per Invoice'!C$2:C$401,$AH317)="","",INDEX('Per Invoice'!C$2:C$401,$AH317)))</f>
        <v/>
      </c>
      <c r="D317">
        <f>IF($AH317="","",IF(INDEX('Per Invoice'!D$2:D$401,$AH317)="","",INDEX('Per Invoice'!D$2:D$401,$AH317)))</f>
        <v/>
      </c>
      <c r="E317">
        <f>IF($AH317="","",IF(INDEX('Per Invoice'!E$2:E$401,$AH317)="","",INDEX('Per Invoice'!E$2:E$401,$AH317)))</f>
        <v/>
      </c>
      <c r="F317">
        <f>IF($AH317="","",IF(INDEX('Per Invoice'!F$2:F$401,$AH317)="","",INDEX('Per Invoice'!F$2:F$401,$AH317)))</f>
        <v/>
      </c>
      <c r="G317">
        <f>IF($AH317="","",IF(INDEX('Per Invoice'!G$2:G$401,$AH317)="","",INDEX('Per Invoice'!G$2:G$401,$AH317)))</f>
        <v/>
      </c>
      <c r="H317">
        <f>IF($AH317="","",IF(INDEX('Per Invoice'!H$2:H$401,$AH317)="","",INDEX('Per Invoice'!H$2:H$401,$AH317)))</f>
        <v/>
      </c>
      <c r="I317" s="14">
        <f>IF($AH317="","",IF(INDEX('Per Invoice'!I$2:I$401,$AH317)="","",INDEX('Per Invoice'!I$2:I$401,$AH317)))</f>
        <v/>
      </c>
      <c r="J317">
        <f>IF($AH317="","",IF(INDEX('Per Invoice'!J$2:J$401,$AH317)="","",INDEX('Per Invoice'!J$2:J$401,$AH317)))</f>
        <v/>
      </c>
      <c r="K317">
        <f>IF($AH317="","",IF(INDEX('Per Invoice'!K$2:K$401,$AH317)="","",INDEX('Per Invoice'!K$2:K$401,$AH317)))</f>
        <v/>
      </c>
      <c r="L317">
        <f>IF($AH317="","",IF(INDEX('Per Invoice'!L$2:L$401,$AH317)="","",INDEX('Per Invoice'!L$2:L$401,$AH317)))</f>
        <v/>
      </c>
      <c r="M317">
        <f>IF($AH317="","",IF(INDEX('Per Invoice'!M$2:M$401,$AH317)="","",INDEX('Per Invoice'!M$2:M$401,$AH317)))</f>
        <v/>
      </c>
      <c r="N317">
        <f>IF($AH317="","",IF(INDEX('Per Invoice'!N$2:N$401,$AH317)="","",INDEX('Per Invoice'!N$2:N$401,$AH317)))</f>
        <v/>
      </c>
      <c r="O317">
        <f>IF($AH317="","",IF(INDEX('Per Invoice'!O$2:O$401,$AH317)="","",INDEX('Per Invoice'!O$2:O$401,$AH317)))</f>
        <v/>
      </c>
      <c r="P317" s="7">
        <f>IF($AH317="","",IF(INDEX('Per Invoice'!P$2:P$401,$AH317)="","",INDEX('Per Invoice'!P$2:P$401,$AH317)))</f>
        <v/>
      </c>
      <c r="Q317">
        <f>IF($AH317="","",IF(INDEX('Per Invoice'!Q$2:Q$401,$AH317)="","",INDEX('Per Invoice'!Q$2:Q$401,$AH317)))</f>
        <v/>
      </c>
      <c r="R317">
        <f>IF($AH317="","",IF(INDEX('Per Invoice'!R$2:R$401,$AH317)="","",INDEX('Per Invoice'!R$2:R$401,$AH317)))</f>
        <v/>
      </c>
      <c r="S317">
        <f>IF($AH317="","",IF(INDEX('Per Invoice'!S$2:S$401,$AH317)="","",INDEX('Per Invoice'!S$2:S$401,$AH317)))</f>
        <v/>
      </c>
      <c r="T317" s="7">
        <f>IF($AH317="","",IF(INDEX('Per Invoice'!T$2:T$401,$AH317)="","",INDEX('Per Invoice'!T$2:T$401,$AH317)))</f>
        <v/>
      </c>
      <c r="U317" s="7">
        <f>IF($AH317="","",IF(INDEX('Per Invoice'!U$2:U$401,$AH317)="","",INDEX('Per Invoice'!U$2:U$401,$AH317)))</f>
        <v/>
      </c>
      <c r="V317">
        <f>IF($AH317="","",IF(INDEX('Per Invoice'!V$2:V$401,$AH317)="","",INDEX('Per Invoice'!V$2:V$401,$AH317)))</f>
        <v/>
      </c>
      <c r="W317" s="7">
        <f>IF($AH317="","",IF(INDEX('Per Invoice'!W$2:W$401,$AH317)="","",INDEX('Per Invoice'!W$2:W$401,$AH317)))</f>
        <v/>
      </c>
      <c r="X317" s="7">
        <f>IF($AH317="","",IF(INDEX('Per Invoice'!X$2:X$401,$AH317)="","",INDEX('Per Invoice'!X$2:X$401,$AH317)))</f>
        <v/>
      </c>
      <c r="Y317">
        <f>IF($AH317="","",IF(INDEX('Per Invoice'!Y$2:Y$401,$AH317)="","",INDEX('Per Invoice'!Y$2:Y$401,$AH317)))</f>
        <v/>
      </c>
      <c r="Z317" s="7">
        <f>IF($AH317="","",IF(INDEX('Per Invoice'!Z$2:Z$401,$AH317)="","",INDEX('Per Invoice'!Z$2:Z$401,$AH317)))</f>
        <v/>
      </c>
      <c r="AA317" s="7">
        <f>IF($AH317="","",IF(INDEX('Per Invoice'!AA$2:AA$401,$AH317)="","",INDEX('Per Invoice'!AA$2:AA$401,$AH317)))</f>
        <v/>
      </c>
      <c r="AB317" s="7">
        <f>IF($AH317="","",IF(INDEX('Per Invoice'!AB$2:AB$401,$AH317)="","",INDEX('Per Invoice'!AB$2:AB$401,$AH317)))</f>
        <v/>
      </c>
      <c r="AC317" s="7">
        <f>IF($AH317="","",IF(INDEX('Per Invoice'!AC$2:AC$401,$AH317)="","",INDEX('Per Invoice'!AC$2:AC$401,$AH317)))</f>
        <v/>
      </c>
      <c r="AD317" s="7">
        <f>IF($AH317="","",IF(INDEX('Per Invoice'!AD$2:AD$401,$AH317)="","",INDEX('Per Invoice'!AD$2:AD$401,$AH317)))</f>
        <v/>
      </c>
      <c r="AE317" s="7">
        <f>IF($AH317="","",IF(INDEX('Per Invoice'!AE$2:AE$401,$AH317)="","",INDEX('Per Invoice'!AE$2:AE$401,$AH317)))</f>
        <v/>
      </c>
      <c r="AF317">
        <f>IF($AH317="","",IF(INDEX('Per Invoice'!AF$2:AF$401,$AH317)="","",INDEX('Per Invoice'!AF$2:AF$401,$AH317)))</f>
        <v/>
      </c>
      <c r="AG317" s="7">
        <f>IF($AH317="","",IF(INDEX('Per Invoice'!AG$2:AG$401,$AH317)="","",INDEX('Per Invoice'!AG$2:AG$401,$AH317)))</f>
        <v/>
      </c>
      <c r="AH317" s="16">
        <f>IFERROR(MATCH(Settings!$C$27&amp;"|"&amp;ROWS($AH$2:$AH317),'Per Invoice'!$AI$2:$AI$401,0),"")</f>
        <v/>
      </c>
    </row>
    <row r="318">
      <c r="A318">
        <f>IF($AH318="","",IF(INDEX('Per Invoice'!A$2:A$401,$AH318)="","",INDEX('Per Invoice'!A$2:A$401,$AH318)))</f>
        <v/>
      </c>
      <c r="B318">
        <f>IF($AH318="","",IF(INDEX('Per Invoice'!B$2:B$401,$AH318)="","",INDEX('Per Invoice'!B$2:B$401,$AH318)))</f>
        <v/>
      </c>
      <c r="C318">
        <f>IF($AH318="","",IF(INDEX('Per Invoice'!C$2:C$401,$AH318)="","",INDEX('Per Invoice'!C$2:C$401,$AH318)))</f>
        <v/>
      </c>
      <c r="D318">
        <f>IF($AH318="","",IF(INDEX('Per Invoice'!D$2:D$401,$AH318)="","",INDEX('Per Invoice'!D$2:D$401,$AH318)))</f>
        <v/>
      </c>
      <c r="E318">
        <f>IF($AH318="","",IF(INDEX('Per Invoice'!E$2:E$401,$AH318)="","",INDEX('Per Invoice'!E$2:E$401,$AH318)))</f>
        <v/>
      </c>
      <c r="F318">
        <f>IF($AH318="","",IF(INDEX('Per Invoice'!F$2:F$401,$AH318)="","",INDEX('Per Invoice'!F$2:F$401,$AH318)))</f>
        <v/>
      </c>
      <c r="G318">
        <f>IF($AH318="","",IF(INDEX('Per Invoice'!G$2:G$401,$AH318)="","",INDEX('Per Invoice'!G$2:G$401,$AH318)))</f>
        <v/>
      </c>
      <c r="H318">
        <f>IF($AH318="","",IF(INDEX('Per Invoice'!H$2:H$401,$AH318)="","",INDEX('Per Invoice'!H$2:H$401,$AH318)))</f>
        <v/>
      </c>
      <c r="I318" s="14">
        <f>IF($AH318="","",IF(INDEX('Per Invoice'!I$2:I$401,$AH318)="","",INDEX('Per Invoice'!I$2:I$401,$AH318)))</f>
        <v/>
      </c>
      <c r="J318">
        <f>IF($AH318="","",IF(INDEX('Per Invoice'!J$2:J$401,$AH318)="","",INDEX('Per Invoice'!J$2:J$401,$AH318)))</f>
        <v/>
      </c>
      <c r="K318">
        <f>IF($AH318="","",IF(INDEX('Per Invoice'!K$2:K$401,$AH318)="","",INDEX('Per Invoice'!K$2:K$401,$AH318)))</f>
        <v/>
      </c>
      <c r="L318">
        <f>IF($AH318="","",IF(INDEX('Per Invoice'!L$2:L$401,$AH318)="","",INDEX('Per Invoice'!L$2:L$401,$AH318)))</f>
        <v/>
      </c>
      <c r="M318">
        <f>IF($AH318="","",IF(INDEX('Per Invoice'!M$2:M$401,$AH318)="","",INDEX('Per Invoice'!M$2:M$401,$AH318)))</f>
        <v/>
      </c>
      <c r="N318">
        <f>IF($AH318="","",IF(INDEX('Per Invoice'!N$2:N$401,$AH318)="","",INDEX('Per Invoice'!N$2:N$401,$AH318)))</f>
        <v/>
      </c>
      <c r="O318">
        <f>IF($AH318="","",IF(INDEX('Per Invoice'!O$2:O$401,$AH318)="","",INDEX('Per Invoice'!O$2:O$401,$AH318)))</f>
        <v/>
      </c>
      <c r="P318" s="7">
        <f>IF($AH318="","",IF(INDEX('Per Invoice'!P$2:P$401,$AH318)="","",INDEX('Per Invoice'!P$2:P$401,$AH318)))</f>
        <v/>
      </c>
      <c r="Q318">
        <f>IF($AH318="","",IF(INDEX('Per Invoice'!Q$2:Q$401,$AH318)="","",INDEX('Per Invoice'!Q$2:Q$401,$AH318)))</f>
        <v/>
      </c>
      <c r="R318">
        <f>IF($AH318="","",IF(INDEX('Per Invoice'!R$2:R$401,$AH318)="","",INDEX('Per Invoice'!R$2:R$401,$AH318)))</f>
        <v/>
      </c>
      <c r="S318">
        <f>IF($AH318="","",IF(INDEX('Per Invoice'!S$2:S$401,$AH318)="","",INDEX('Per Invoice'!S$2:S$401,$AH318)))</f>
        <v/>
      </c>
      <c r="T318" s="7">
        <f>IF($AH318="","",IF(INDEX('Per Invoice'!T$2:T$401,$AH318)="","",INDEX('Per Invoice'!T$2:T$401,$AH318)))</f>
        <v/>
      </c>
      <c r="U318" s="7">
        <f>IF($AH318="","",IF(INDEX('Per Invoice'!U$2:U$401,$AH318)="","",INDEX('Per Invoice'!U$2:U$401,$AH318)))</f>
        <v/>
      </c>
      <c r="V318">
        <f>IF($AH318="","",IF(INDEX('Per Invoice'!V$2:V$401,$AH318)="","",INDEX('Per Invoice'!V$2:V$401,$AH318)))</f>
        <v/>
      </c>
      <c r="W318" s="7">
        <f>IF($AH318="","",IF(INDEX('Per Invoice'!W$2:W$401,$AH318)="","",INDEX('Per Invoice'!W$2:W$401,$AH318)))</f>
        <v/>
      </c>
      <c r="X318" s="7">
        <f>IF($AH318="","",IF(INDEX('Per Invoice'!X$2:X$401,$AH318)="","",INDEX('Per Invoice'!X$2:X$401,$AH318)))</f>
        <v/>
      </c>
      <c r="Y318">
        <f>IF($AH318="","",IF(INDEX('Per Invoice'!Y$2:Y$401,$AH318)="","",INDEX('Per Invoice'!Y$2:Y$401,$AH318)))</f>
        <v/>
      </c>
      <c r="Z318" s="7">
        <f>IF($AH318="","",IF(INDEX('Per Invoice'!Z$2:Z$401,$AH318)="","",INDEX('Per Invoice'!Z$2:Z$401,$AH318)))</f>
        <v/>
      </c>
      <c r="AA318" s="7">
        <f>IF($AH318="","",IF(INDEX('Per Invoice'!AA$2:AA$401,$AH318)="","",INDEX('Per Invoice'!AA$2:AA$401,$AH318)))</f>
        <v/>
      </c>
      <c r="AB318" s="7">
        <f>IF($AH318="","",IF(INDEX('Per Invoice'!AB$2:AB$401,$AH318)="","",INDEX('Per Invoice'!AB$2:AB$401,$AH318)))</f>
        <v/>
      </c>
      <c r="AC318" s="7">
        <f>IF($AH318="","",IF(INDEX('Per Invoice'!AC$2:AC$401,$AH318)="","",INDEX('Per Invoice'!AC$2:AC$401,$AH318)))</f>
        <v/>
      </c>
      <c r="AD318" s="7">
        <f>IF($AH318="","",IF(INDEX('Per Invoice'!AD$2:AD$401,$AH318)="","",INDEX('Per Invoice'!AD$2:AD$401,$AH318)))</f>
        <v/>
      </c>
      <c r="AE318" s="7">
        <f>IF($AH318="","",IF(INDEX('Per Invoice'!AE$2:AE$401,$AH318)="","",INDEX('Per Invoice'!AE$2:AE$401,$AH318)))</f>
        <v/>
      </c>
      <c r="AF318">
        <f>IF($AH318="","",IF(INDEX('Per Invoice'!AF$2:AF$401,$AH318)="","",INDEX('Per Invoice'!AF$2:AF$401,$AH318)))</f>
        <v/>
      </c>
      <c r="AG318" s="7">
        <f>IF($AH318="","",IF(INDEX('Per Invoice'!AG$2:AG$401,$AH318)="","",INDEX('Per Invoice'!AG$2:AG$401,$AH318)))</f>
        <v/>
      </c>
      <c r="AH318" s="16">
        <f>IFERROR(MATCH(Settings!$C$27&amp;"|"&amp;ROWS($AH$2:$AH318),'Per Invoice'!$AI$2:$AI$401,0),"")</f>
        <v/>
      </c>
    </row>
    <row r="319">
      <c r="A319">
        <f>IF($AH319="","",IF(INDEX('Per Invoice'!A$2:A$401,$AH319)="","",INDEX('Per Invoice'!A$2:A$401,$AH319)))</f>
        <v/>
      </c>
      <c r="B319">
        <f>IF($AH319="","",IF(INDEX('Per Invoice'!B$2:B$401,$AH319)="","",INDEX('Per Invoice'!B$2:B$401,$AH319)))</f>
        <v/>
      </c>
      <c r="C319">
        <f>IF($AH319="","",IF(INDEX('Per Invoice'!C$2:C$401,$AH319)="","",INDEX('Per Invoice'!C$2:C$401,$AH319)))</f>
        <v/>
      </c>
      <c r="D319">
        <f>IF($AH319="","",IF(INDEX('Per Invoice'!D$2:D$401,$AH319)="","",INDEX('Per Invoice'!D$2:D$401,$AH319)))</f>
        <v/>
      </c>
      <c r="E319">
        <f>IF($AH319="","",IF(INDEX('Per Invoice'!E$2:E$401,$AH319)="","",INDEX('Per Invoice'!E$2:E$401,$AH319)))</f>
        <v/>
      </c>
      <c r="F319">
        <f>IF($AH319="","",IF(INDEX('Per Invoice'!F$2:F$401,$AH319)="","",INDEX('Per Invoice'!F$2:F$401,$AH319)))</f>
        <v/>
      </c>
      <c r="G319">
        <f>IF($AH319="","",IF(INDEX('Per Invoice'!G$2:G$401,$AH319)="","",INDEX('Per Invoice'!G$2:G$401,$AH319)))</f>
        <v/>
      </c>
      <c r="H319">
        <f>IF($AH319="","",IF(INDEX('Per Invoice'!H$2:H$401,$AH319)="","",INDEX('Per Invoice'!H$2:H$401,$AH319)))</f>
        <v/>
      </c>
      <c r="I319" s="14">
        <f>IF($AH319="","",IF(INDEX('Per Invoice'!I$2:I$401,$AH319)="","",INDEX('Per Invoice'!I$2:I$401,$AH319)))</f>
        <v/>
      </c>
      <c r="J319">
        <f>IF($AH319="","",IF(INDEX('Per Invoice'!J$2:J$401,$AH319)="","",INDEX('Per Invoice'!J$2:J$401,$AH319)))</f>
        <v/>
      </c>
      <c r="K319">
        <f>IF($AH319="","",IF(INDEX('Per Invoice'!K$2:K$401,$AH319)="","",INDEX('Per Invoice'!K$2:K$401,$AH319)))</f>
        <v/>
      </c>
      <c r="L319">
        <f>IF($AH319="","",IF(INDEX('Per Invoice'!L$2:L$401,$AH319)="","",INDEX('Per Invoice'!L$2:L$401,$AH319)))</f>
        <v/>
      </c>
      <c r="M319">
        <f>IF($AH319="","",IF(INDEX('Per Invoice'!M$2:M$401,$AH319)="","",INDEX('Per Invoice'!M$2:M$401,$AH319)))</f>
        <v/>
      </c>
      <c r="N319">
        <f>IF($AH319="","",IF(INDEX('Per Invoice'!N$2:N$401,$AH319)="","",INDEX('Per Invoice'!N$2:N$401,$AH319)))</f>
        <v/>
      </c>
      <c r="O319">
        <f>IF($AH319="","",IF(INDEX('Per Invoice'!O$2:O$401,$AH319)="","",INDEX('Per Invoice'!O$2:O$401,$AH319)))</f>
        <v/>
      </c>
      <c r="P319" s="7">
        <f>IF($AH319="","",IF(INDEX('Per Invoice'!P$2:P$401,$AH319)="","",INDEX('Per Invoice'!P$2:P$401,$AH319)))</f>
        <v/>
      </c>
      <c r="Q319">
        <f>IF($AH319="","",IF(INDEX('Per Invoice'!Q$2:Q$401,$AH319)="","",INDEX('Per Invoice'!Q$2:Q$401,$AH319)))</f>
        <v/>
      </c>
      <c r="R319">
        <f>IF($AH319="","",IF(INDEX('Per Invoice'!R$2:R$401,$AH319)="","",INDEX('Per Invoice'!R$2:R$401,$AH319)))</f>
        <v/>
      </c>
      <c r="S319">
        <f>IF($AH319="","",IF(INDEX('Per Invoice'!S$2:S$401,$AH319)="","",INDEX('Per Invoice'!S$2:S$401,$AH319)))</f>
        <v/>
      </c>
      <c r="T319" s="7">
        <f>IF($AH319="","",IF(INDEX('Per Invoice'!T$2:T$401,$AH319)="","",INDEX('Per Invoice'!T$2:T$401,$AH319)))</f>
        <v/>
      </c>
      <c r="U319" s="7">
        <f>IF($AH319="","",IF(INDEX('Per Invoice'!U$2:U$401,$AH319)="","",INDEX('Per Invoice'!U$2:U$401,$AH319)))</f>
        <v/>
      </c>
      <c r="V319">
        <f>IF($AH319="","",IF(INDEX('Per Invoice'!V$2:V$401,$AH319)="","",INDEX('Per Invoice'!V$2:V$401,$AH319)))</f>
        <v/>
      </c>
      <c r="W319" s="7">
        <f>IF($AH319="","",IF(INDEX('Per Invoice'!W$2:W$401,$AH319)="","",INDEX('Per Invoice'!W$2:W$401,$AH319)))</f>
        <v/>
      </c>
      <c r="X319" s="7">
        <f>IF($AH319="","",IF(INDEX('Per Invoice'!X$2:X$401,$AH319)="","",INDEX('Per Invoice'!X$2:X$401,$AH319)))</f>
        <v/>
      </c>
      <c r="Y319">
        <f>IF($AH319="","",IF(INDEX('Per Invoice'!Y$2:Y$401,$AH319)="","",INDEX('Per Invoice'!Y$2:Y$401,$AH319)))</f>
        <v/>
      </c>
      <c r="Z319" s="7">
        <f>IF($AH319="","",IF(INDEX('Per Invoice'!Z$2:Z$401,$AH319)="","",INDEX('Per Invoice'!Z$2:Z$401,$AH319)))</f>
        <v/>
      </c>
      <c r="AA319" s="7">
        <f>IF($AH319="","",IF(INDEX('Per Invoice'!AA$2:AA$401,$AH319)="","",INDEX('Per Invoice'!AA$2:AA$401,$AH319)))</f>
        <v/>
      </c>
      <c r="AB319" s="7">
        <f>IF($AH319="","",IF(INDEX('Per Invoice'!AB$2:AB$401,$AH319)="","",INDEX('Per Invoice'!AB$2:AB$401,$AH319)))</f>
        <v/>
      </c>
      <c r="AC319" s="7">
        <f>IF($AH319="","",IF(INDEX('Per Invoice'!AC$2:AC$401,$AH319)="","",INDEX('Per Invoice'!AC$2:AC$401,$AH319)))</f>
        <v/>
      </c>
      <c r="AD319" s="7">
        <f>IF($AH319="","",IF(INDEX('Per Invoice'!AD$2:AD$401,$AH319)="","",INDEX('Per Invoice'!AD$2:AD$401,$AH319)))</f>
        <v/>
      </c>
      <c r="AE319" s="7">
        <f>IF($AH319="","",IF(INDEX('Per Invoice'!AE$2:AE$401,$AH319)="","",INDEX('Per Invoice'!AE$2:AE$401,$AH319)))</f>
        <v/>
      </c>
      <c r="AF319">
        <f>IF($AH319="","",IF(INDEX('Per Invoice'!AF$2:AF$401,$AH319)="","",INDEX('Per Invoice'!AF$2:AF$401,$AH319)))</f>
        <v/>
      </c>
      <c r="AG319" s="7">
        <f>IF($AH319="","",IF(INDEX('Per Invoice'!AG$2:AG$401,$AH319)="","",INDEX('Per Invoice'!AG$2:AG$401,$AH319)))</f>
        <v/>
      </c>
      <c r="AH319" s="16">
        <f>IFERROR(MATCH(Settings!$C$27&amp;"|"&amp;ROWS($AH$2:$AH319),'Per Invoice'!$AI$2:$AI$401,0),"")</f>
        <v/>
      </c>
    </row>
    <row r="320">
      <c r="A320">
        <f>IF($AH320="","",IF(INDEX('Per Invoice'!A$2:A$401,$AH320)="","",INDEX('Per Invoice'!A$2:A$401,$AH320)))</f>
        <v/>
      </c>
      <c r="B320">
        <f>IF($AH320="","",IF(INDEX('Per Invoice'!B$2:B$401,$AH320)="","",INDEX('Per Invoice'!B$2:B$401,$AH320)))</f>
        <v/>
      </c>
      <c r="C320">
        <f>IF($AH320="","",IF(INDEX('Per Invoice'!C$2:C$401,$AH320)="","",INDEX('Per Invoice'!C$2:C$401,$AH320)))</f>
        <v/>
      </c>
      <c r="D320">
        <f>IF($AH320="","",IF(INDEX('Per Invoice'!D$2:D$401,$AH320)="","",INDEX('Per Invoice'!D$2:D$401,$AH320)))</f>
        <v/>
      </c>
      <c r="E320">
        <f>IF($AH320="","",IF(INDEX('Per Invoice'!E$2:E$401,$AH320)="","",INDEX('Per Invoice'!E$2:E$401,$AH320)))</f>
        <v/>
      </c>
      <c r="F320">
        <f>IF($AH320="","",IF(INDEX('Per Invoice'!F$2:F$401,$AH320)="","",INDEX('Per Invoice'!F$2:F$401,$AH320)))</f>
        <v/>
      </c>
      <c r="G320">
        <f>IF($AH320="","",IF(INDEX('Per Invoice'!G$2:G$401,$AH320)="","",INDEX('Per Invoice'!G$2:G$401,$AH320)))</f>
        <v/>
      </c>
      <c r="H320">
        <f>IF($AH320="","",IF(INDEX('Per Invoice'!H$2:H$401,$AH320)="","",INDEX('Per Invoice'!H$2:H$401,$AH320)))</f>
        <v/>
      </c>
      <c r="I320" s="14">
        <f>IF($AH320="","",IF(INDEX('Per Invoice'!I$2:I$401,$AH320)="","",INDEX('Per Invoice'!I$2:I$401,$AH320)))</f>
        <v/>
      </c>
      <c r="J320">
        <f>IF($AH320="","",IF(INDEX('Per Invoice'!J$2:J$401,$AH320)="","",INDEX('Per Invoice'!J$2:J$401,$AH320)))</f>
        <v/>
      </c>
      <c r="K320">
        <f>IF($AH320="","",IF(INDEX('Per Invoice'!K$2:K$401,$AH320)="","",INDEX('Per Invoice'!K$2:K$401,$AH320)))</f>
        <v/>
      </c>
      <c r="L320">
        <f>IF($AH320="","",IF(INDEX('Per Invoice'!L$2:L$401,$AH320)="","",INDEX('Per Invoice'!L$2:L$401,$AH320)))</f>
        <v/>
      </c>
      <c r="M320">
        <f>IF($AH320="","",IF(INDEX('Per Invoice'!M$2:M$401,$AH320)="","",INDEX('Per Invoice'!M$2:M$401,$AH320)))</f>
        <v/>
      </c>
      <c r="N320">
        <f>IF($AH320="","",IF(INDEX('Per Invoice'!N$2:N$401,$AH320)="","",INDEX('Per Invoice'!N$2:N$401,$AH320)))</f>
        <v/>
      </c>
      <c r="O320">
        <f>IF($AH320="","",IF(INDEX('Per Invoice'!O$2:O$401,$AH320)="","",INDEX('Per Invoice'!O$2:O$401,$AH320)))</f>
        <v/>
      </c>
      <c r="P320" s="7">
        <f>IF($AH320="","",IF(INDEX('Per Invoice'!P$2:P$401,$AH320)="","",INDEX('Per Invoice'!P$2:P$401,$AH320)))</f>
        <v/>
      </c>
      <c r="Q320">
        <f>IF($AH320="","",IF(INDEX('Per Invoice'!Q$2:Q$401,$AH320)="","",INDEX('Per Invoice'!Q$2:Q$401,$AH320)))</f>
        <v/>
      </c>
      <c r="R320">
        <f>IF($AH320="","",IF(INDEX('Per Invoice'!R$2:R$401,$AH320)="","",INDEX('Per Invoice'!R$2:R$401,$AH320)))</f>
        <v/>
      </c>
      <c r="S320">
        <f>IF($AH320="","",IF(INDEX('Per Invoice'!S$2:S$401,$AH320)="","",INDEX('Per Invoice'!S$2:S$401,$AH320)))</f>
        <v/>
      </c>
      <c r="T320" s="7">
        <f>IF($AH320="","",IF(INDEX('Per Invoice'!T$2:T$401,$AH320)="","",INDEX('Per Invoice'!T$2:T$401,$AH320)))</f>
        <v/>
      </c>
      <c r="U320" s="7">
        <f>IF($AH320="","",IF(INDEX('Per Invoice'!U$2:U$401,$AH320)="","",INDEX('Per Invoice'!U$2:U$401,$AH320)))</f>
        <v/>
      </c>
      <c r="V320">
        <f>IF($AH320="","",IF(INDEX('Per Invoice'!V$2:V$401,$AH320)="","",INDEX('Per Invoice'!V$2:V$401,$AH320)))</f>
        <v/>
      </c>
      <c r="W320" s="7">
        <f>IF($AH320="","",IF(INDEX('Per Invoice'!W$2:W$401,$AH320)="","",INDEX('Per Invoice'!W$2:W$401,$AH320)))</f>
        <v/>
      </c>
      <c r="X320" s="7">
        <f>IF($AH320="","",IF(INDEX('Per Invoice'!X$2:X$401,$AH320)="","",INDEX('Per Invoice'!X$2:X$401,$AH320)))</f>
        <v/>
      </c>
      <c r="Y320">
        <f>IF($AH320="","",IF(INDEX('Per Invoice'!Y$2:Y$401,$AH320)="","",INDEX('Per Invoice'!Y$2:Y$401,$AH320)))</f>
        <v/>
      </c>
      <c r="Z320" s="7">
        <f>IF($AH320="","",IF(INDEX('Per Invoice'!Z$2:Z$401,$AH320)="","",INDEX('Per Invoice'!Z$2:Z$401,$AH320)))</f>
        <v/>
      </c>
      <c r="AA320" s="7">
        <f>IF($AH320="","",IF(INDEX('Per Invoice'!AA$2:AA$401,$AH320)="","",INDEX('Per Invoice'!AA$2:AA$401,$AH320)))</f>
        <v/>
      </c>
      <c r="AB320" s="7">
        <f>IF($AH320="","",IF(INDEX('Per Invoice'!AB$2:AB$401,$AH320)="","",INDEX('Per Invoice'!AB$2:AB$401,$AH320)))</f>
        <v/>
      </c>
      <c r="AC320" s="7">
        <f>IF($AH320="","",IF(INDEX('Per Invoice'!AC$2:AC$401,$AH320)="","",INDEX('Per Invoice'!AC$2:AC$401,$AH320)))</f>
        <v/>
      </c>
      <c r="AD320" s="7">
        <f>IF($AH320="","",IF(INDEX('Per Invoice'!AD$2:AD$401,$AH320)="","",INDEX('Per Invoice'!AD$2:AD$401,$AH320)))</f>
        <v/>
      </c>
      <c r="AE320" s="7">
        <f>IF($AH320="","",IF(INDEX('Per Invoice'!AE$2:AE$401,$AH320)="","",INDEX('Per Invoice'!AE$2:AE$401,$AH320)))</f>
        <v/>
      </c>
      <c r="AF320">
        <f>IF($AH320="","",IF(INDEX('Per Invoice'!AF$2:AF$401,$AH320)="","",INDEX('Per Invoice'!AF$2:AF$401,$AH320)))</f>
        <v/>
      </c>
      <c r="AG320" s="7">
        <f>IF($AH320="","",IF(INDEX('Per Invoice'!AG$2:AG$401,$AH320)="","",INDEX('Per Invoice'!AG$2:AG$401,$AH320)))</f>
        <v/>
      </c>
      <c r="AH320" s="16">
        <f>IFERROR(MATCH(Settings!$C$27&amp;"|"&amp;ROWS($AH$2:$AH320),'Per Invoice'!$AI$2:$AI$401,0),"")</f>
        <v/>
      </c>
    </row>
    <row r="321">
      <c r="A321">
        <f>IF($AH321="","",IF(INDEX('Per Invoice'!A$2:A$401,$AH321)="","",INDEX('Per Invoice'!A$2:A$401,$AH321)))</f>
        <v/>
      </c>
      <c r="B321">
        <f>IF($AH321="","",IF(INDEX('Per Invoice'!B$2:B$401,$AH321)="","",INDEX('Per Invoice'!B$2:B$401,$AH321)))</f>
        <v/>
      </c>
      <c r="C321">
        <f>IF($AH321="","",IF(INDEX('Per Invoice'!C$2:C$401,$AH321)="","",INDEX('Per Invoice'!C$2:C$401,$AH321)))</f>
        <v/>
      </c>
      <c r="D321">
        <f>IF($AH321="","",IF(INDEX('Per Invoice'!D$2:D$401,$AH321)="","",INDEX('Per Invoice'!D$2:D$401,$AH321)))</f>
        <v/>
      </c>
      <c r="E321">
        <f>IF($AH321="","",IF(INDEX('Per Invoice'!E$2:E$401,$AH321)="","",INDEX('Per Invoice'!E$2:E$401,$AH321)))</f>
        <v/>
      </c>
      <c r="F321">
        <f>IF($AH321="","",IF(INDEX('Per Invoice'!F$2:F$401,$AH321)="","",INDEX('Per Invoice'!F$2:F$401,$AH321)))</f>
        <v/>
      </c>
      <c r="G321">
        <f>IF($AH321="","",IF(INDEX('Per Invoice'!G$2:G$401,$AH321)="","",INDEX('Per Invoice'!G$2:G$401,$AH321)))</f>
        <v/>
      </c>
      <c r="H321">
        <f>IF($AH321="","",IF(INDEX('Per Invoice'!H$2:H$401,$AH321)="","",INDEX('Per Invoice'!H$2:H$401,$AH321)))</f>
        <v/>
      </c>
      <c r="I321" s="14">
        <f>IF($AH321="","",IF(INDEX('Per Invoice'!I$2:I$401,$AH321)="","",INDEX('Per Invoice'!I$2:I$401,$AH321)))</f>
        <v/>
      </c>
      <c r="J321">
        <f>IF($AH321="","",IF(INDEX('Per Invoice'!J$2:J$401,$AH321)="","",INDEX('Per Invoice'!J$2:J$401,$AH321)))</f>
        <v/>
      </c>
      <c r="K321">
        <f>IF($AH321="","",IF(INDEX('Per Invoice'!K$2:K$401,$AH321)="","",INDEX('Per Invoice'!K$2:K$401,$AH321)))</f>
        <v/>
      </c>
      <c r="L321">
        <f>IF($AH321="","",IF(INDEX('Per Invoice'!L$2:L$401,$AH321)="","",INDEX('Per Invoice'!L$2:L$401,$AH321)))</f>
        <v/>
      </c>
      <c r="M321">
        <f>IF($AH321="","",IF(INDEX('Per Invoice'!M$2:M$401,$AH321)="","",INDEX('Per Invoice'!M$2:M$401,$AH321)))</f>
        <v/>
      </c>
      <c r="N321">
        <f>IF($AH321="","",IF(INDEX('Per Invoice'!N$2:N$401,$AH321)="","",INDEX('Per Invoice'!N$2:N$401,$AH321)))</f>
        <v/>
      </c>
      <c r="O321">
        <f>IF($AH321="","",IF(INDEX('Per Invoice'!O$2:O$401,$AH321)="","",INDEX('Per Invoice'!O$2:O$401,$AH321)))</f>
        <v/>
      </c>
      <c r="P321" s="7">
        <f>IF($AH321="","",IF(INDEX('Per Invoice'!P$2:P$401,$AH321)="","",INDEX('Per Invoice'!P$2:P$401,$AH321)))</f>
        <v/>
      </c>
      <c r="Q321">
        <f>IF($AH321="","",IF(INDEX('Per Invoice'!Q$2:Q$401,$AH321)="","",INDEX('Per Invoice'!Q$2:Q$401,$AH321)))</f>
        <v/>
      </c>
      <c r="R321">
        <f>IF($AH321="","",IF(INDEX('Per Invoice'!R$2:R$401,$AH321)="","",INDEX('Per Invoice'!R$2:R$401,$AH321)))</f>
        <v/>
      </c>
      <c r="S321">
        <f>IF($AH321="","",IF(INDEX('Per Invoice'!S$2:S$401,$AH321)="","",INDEX('Per Invoice'!S$2:S$401,$AH321)))</f>
        <v/>
      </c>
      <c r="T321" s="7">
        <f>IF($AH321="","",IF(INDEX('Per Invoice'!T$2:T$401,$AH321)="","",INDEX('Per Invoice'!T$2:T$401,$AH321)))</f>
        <v/>
      </c>
      <c r="U321" s="7">
        <f>IF($AH321="","",IF(INDEX('Per Invoice'!U$2:U$401,$AH321)="","",INDEX('Per Invoice'!U$2:U$401,$AH321)))</f>
        <v/>
      </c>
      <c r="V321">
        <f>IF($AH321="","",IF(INDEX('Per Invoice'!V$2:V$401,$AH321)="","",INDEX('Per Invoice'!V$2:V$401,$AH321)))</f>
        <v/>
      </c>
      <c r="W321" s="7">
        <f>IF($AH321="","",IF(INDEX('Per Invoice'!W$2:W$401,$AH321)="","",INDEX('Per Invoice'!W$2:W$401,$AH321)))</f>
        <v/>
      </c>
      <c r="X321" s="7">
        <f>IF($AH321="","",IF(INDEX('Per Invoice'!X$2:X$401,$AH321)="","",INDEX('Per Invoice'!X$2:X$401,$AH321)))</f>
        <v/>
      </c>
      <c r="Y321">
        <f>IF($AH321="","",IF(INDEX('Per Invoice'!Y$2:Y$401,$AH321)="","",INDEX('Per Invoice'!Y$2:Y$401,$AH321)))</f>
        <v/>
      </c>
      <c r="Z321" s="7">
        <f>IF($AH321="","",IF(INDEX('Per Invoice'!Z$2:Z$401,$AH321)="","",INDEX('Per Invoice'!Z$2:Z$401,$AH321)))</f>
        <v/>
      </c>
      <c r="AA321" s="7">
        <f>IF($AH321="","",IF(INDEX('Per Invoice'!AA$2:AA$401,$AH321)="","",INDEX('Per Invoice'!AA$2:AA$401,$AH321)))</f>
        <v/>
      </c>
      <c r="AB321" s="7">
        <f>IF($AH321="","",IF(INDEX('Per Invoice'!AB$2:AB$401,$AH321)="","",INDEX('Per Invoice'!AB$2:AB$401,$AH321)))</f>
        <v/>
      </c>
      <c r="AC321" s="7">
        <f>IF($AH321="","",IF(INDEX('Per Invoice'!AC$2:AC$401,$AH321)="","",INDEX('Per Invoice'!AC$2:AC$401,$AH321)))</f>
        <v/>
      </c>
      <c r="AD321" s="7">
        <f>IF($AH321="","",IF(INDEX('Per Invoice'!AD$2:AD$401,$AH321)="","",INDEX('Per Invoice'!AD$2:AD$401,$AH321)))</f>
        <v/>
      </c>
      <c r="AE321" s="7">
        <f>IF($AH321="","",IF(INDEX('Per Invoice'!AE$2:AE$401,$AH321)="","",INDEX('Per Invoice'!AE$2:AE$401,$AH321)))</f>
        <v/>
      </c>
      <c r="AF321">
        <f>IF($AH321="","",IF(INDEX('Per Invoice'!AF$2:AF$401,$AH321)="","",INDEX('Per Invoice'!AF$2:AF$401,$AH321)))</f>
        <v/>
      </c>
      <c r="AG321" s="7">
        <f>IF($AH321="","",IF(INDEX('Per Invoice'!AG$2:AG$401,$AH321)="","",INDEX('Per Invoice'!AG$2:AG$401,$AH321)))</f>
        <v/>
      </c>
      <c r="AH321" s="16">
        <f>IFERROR(MATCH(Settings!$C$27&amp;"|"&amp;ROWS($AH$2:$AH321),'Per Invoice'!$AI$2:$AI$401,0),"")</f>
        <v/>
      </c>
    </row>
    <row r="322">
      <c r="A322">
        <f>IF($AH322="","",IF(INDEX('Per Invoice'!A$2:A$401,$AH322)="","",INDEX('Per Invoice'!A$2:A$401,$AH322)))</f>
        <v/>
      </c>
      <c r="B322">
        <f>IF($AH322="","",IF(INDEX('Per Invoice'!B$2:B$401,$AH322)="","",INDEX('Per Invoice'!B$2:B$401,$AH322)))</f>
        <v/>
      </c>
      <c r="C322">
        <f>IF($AH322="","",IF(INDEX('Per Invoice'!C$2:C$401,$AH322)="","",INDEX('Per Invoice'!C$2:C$401,$AH322)))</f>
        <v/>
      </c>
      <c r="D322">
        <f>IF($AH322="","",IF(INDEX('Per Invoice'!D$2:D$401,$AH322)="","",INDEX('Per Invoice'!D$2:D$401,$AH322)))</f>
        <v/>
      </c>
      <c r="E322">
        <f>IF($AH322="","",IF(INDEX('Per Invoice'!E$2:E$401,$AH322)="","",INDEX('Per Invoice'!E$2:E$401,$AH322)))</f>
        <v/>
      </c>
      <c r="F322">
        <f>IF($AH322="","",IF(INDEX('Per Invoice'!F$2:F$401,$AH322)="","",INDEX('Per Invoice'!F$2:F$401,$AH322)))</f>
        <v/>
      </c>
      <c r="G322">
        <f>IF($AH322="","",IF(INDEX('Per Invoice'!G$2:G$401,$AH322)="","",INDEX('Per Invoice'!G$2:G$401,$AH322)))</f>
        <v/>
      </c>
      <c r="H322">
        <f>IF($AH322="","",IF(INDEX('Per Invoice'!H$2:H$401,$AH322)="","",INDEX('Per Invoice'!H$2:H$401,$AH322)))</f>
        <v/>
      </c>
      <c r="I322" s="14">
        <f>IF($AH322="","",IF(INDEX('Per Invoice'!I$2:I$401,$AH322)="","",INDEX('Per Invoice'!I$2:I$401,$AH322)))</f>
        <v/>
      </c>
      <c r="J322">
        <f>IF($AH322="","",IF(INDEX('Per Invoice'!J$2:J$401,$AH322)="","",INDEX('Per Invoice'!J$2:J$401,$AH322)))</f>
        <v/>
      </c>
      <c r="K322">
        <f>IF($AH322="","",IF(INDEX('Per Invoice'!K$2:K$401,$AH322)="","",INDEX('Per Invoice'!K$2:K$401,$AH322)))</f>
        <v/>
      </c>
      <c r="L322">
        <f>IF($AH322="","",IF(INDEX('Per Invoice'!L$2:L$401,$AH322)="","",INDEX('Per Invoice'!L$2:L$401,$AH322)))</f>
        <v/>
      </c>
      <c r="M322">
        <f>IF($AH322="","",IF(INDEX('Per Invoice'!M$2:M$401,$AH322)="","",INDEX('Per Invoice'!M$2:M$401,$AH322)))</f>
        <v/>
      </c>
      <c r="N322">
        <f>IF($AH322="","",IF(INDEX('Per Invoice'!N$2:N$401,$AH322)="","",INDEX('Per Invoice'!N$2:N$401,$AH322)))</f>
        <v/>
      </c>
      <c r="O322">
        <f>IF($AH322="","",IF(INDEX('Per Invoice'!O$2:O$401,$AH322)="","",INDEX('Per Invoice'!O$2:O$401,$AH322)))</f>
        <v/>
      </c>
      <c r="P322" s="7">
        <f>IF($AH322="","",IF(INDEX('Per Invoice'!P$2:P$401,$AH322)="","",INDEX('Per Invoice'!P$2:P$401,$AH322)))</f>
        <v/>
      </c>
      <c r="Q322">
        <f>IF($AH322="","",IF(INDEX('Per Invoice'!Q$2:Q$401,$AH322)="","",INDEX('Per Invoice'!Q$2:Q$401,$AH322)))</f>
        <v/>
      </c>
      <c r="R322">
        <f>IF($AH322="","",IF(INDEX('Per Invoice'!R$2:R$401,$AH322)="","",INDEX('Per Invoice'!R$2:R$401,$AH322)))</f>
        <v/>
      </c>
      <c r="S322">
        <f>IF($AH322="","",IF(INDEX('Per Invoice'!S$2:S$401,$AH322)="","",INDEX('Per Invoice'!S$2:S$401,$AH322)))</f>
        <v/>
      </c>
      <c r="T322" s="7">
        <f>IF($AH322="","",IF(INDEX('Per Invoice'!T$2:T$401,$AH322)="","",INDEX('Per Invoice'!T$2:T$401,$AH322)))</f>
        <v/>
      </c>
      <c r="U322" s="7">
        <f>IF($AH322="","",IF(INDEX('Per Invoice'!U$2:U$401,$AH322)="","",INDEX('Per Invoice'!U$2:U$401,$AH322)))</f>
        <v/>
      </c>
      <c r="V322">
        <f>IF($AH322="","",IF(INDEX('Per Invoice'!V$2:V$401,$AH322)="","",INDEX('Per Invoice'!V$2:V$401,$AH322)))</f>
        <v/>
      </c>
      <c r="W322" s="7">
        <f>IF($AH322="","",IF(INDEX('Per Invoice'!W$2:W$401,$AH322)="","",INDEX('Per Invoice'!W$2:W$401,$AH322)))</f>
        <v/>
      </c>
      <c r="X322" s="7">
        <f>IF($AH322="","",IF(INDEX('Per Invoice'!X$2:X$401,$AH322)="","",INDEX('Per Invoice'!X$2:X$401,$AH322)))</f>
        <v/>
      </c>
      <c r="Y322">
        <f>IF($AH322="","",IF(INDEX('Per Invoice'!Y$2:Y$401,$AH322)="","",INDEX('Per Invoice'!Y$2:Y$401,$AH322)))</f>
        <v/>
      </c>
      <c r="Z322" s="7">
        <f>IF($AH322="","",IF(INDEX('Per Invoice'!Z$2:Z$401,$AH322)="","",INDEX('Per Invoice'!Z$2:Z$401,$AH322)))</f>
        <v/>
      </c>
      <c r="AA322" s="7">
        <f>IF($AH322="","",IF(INDEX('Per Invoice'!AA$2:AA$401,$AH322)="","",INDEX('Per Invoice'!AA$2:AA$401,$AH322)))</f>
        <v/>
      </c>
      <c r="AB322" s="7">
        <f>IF($AH322="","",IF(INDEX('Per Invoice'!AB$2:AB$401,$AH322)="","",INDEX('Per Invoice'!AB$2:AB$401,$AH322)))</f>
        <v/>
      </c>
      <c r="AC322" s="7">
        <f>IF($AH322="","",IF(INDEX('Per Invoice'!AC$2:AC$401,$AH322)="","",INDEX('Per Invoice'!AC$2:AC$401,$AH322)))</f>
        <v/>
      </c>
      <c r="AD322" s="7">
        <f>IF($AH322="","",IF(INDEX('Per Invoice'!AD$2:AD$401,$AH322)="","",INDEX('Per Invoice'!AD$2:AD$401,$AH322)))</f>
        <v/>
      </c>
      <c r="AE322" s="7">
        <f>IF($AH322="","",IF(INDEX('Per Invoice'!AE$2:AE$401,$AH322)="","",INDEX('Per Invoice'!AE$2:AE$401,$AH322)))</f>
        <v/>
      </c>
      <c r="AF322">
        <f>IF($AH322="","",IF(INDEX('Per Invoice'!AF$2:AF$401,$AH322)="","",INDEX('Per Invoice'!AF$2:AF$401,$AH322)))</f>
        <v/>
      </c>
      <c r="AG322" s="7">
        <f>IF($AH322="","",IF(INDEX('Per Invoice'!AG$2:AG$401,$AH322)="","",INDEX('Per Invoice'!AG$2:AG$401,$AH322)))</f>
        <v/>
      </c>
      <c r="AH322" s="16">
        <f>IFERROR(MATCH(Settings!$C$27&amp;"|"&amp;ROWS($AH$2:$AH322),'Per Invoice'!$AI$2:$AI$401,0),"")</f>
        <v/>
      </c>
    </row>
    <row r="323">
      <c r="A323">
        <f>IF($AH323="","",IF(INDEX('Per Invoice'!A$2:A$401,$AH323)="","",INDEX('Per Invoice'!A$2:A$401,$AH323)))</f>
        <v/>
      </c>
      <c r="B323">
        <f>IF($AH323="","",IF(INDEX('Per Invoice'!B$2:B$401,$AH323)="","",INDEX('Per Invoice'!B$2:B$401,$AH323)))</f>
        <v/>
      </c>
      <c r="C323">
        <f>IF($AH323="","",IF(INDEX('Per Invoice'!C$2:C$401,$AH323)="","",INDEX('Per Invoice'!C$2:C$401,$AH323)))</f>
        <v/>
      </c>
      <c r="D323">
        <f>IF($AH323="","",IF(INDEX('Per Invoice'!D$2:D$401,$AH323)="","",INDEX('Per Invoice'!D$2:D$401,$AH323)))</f>
        <v/>
      </c>
      <c r="E323">
        <f>IF($AH323="","",IF(INDEX('Per Invoice'!E$2:E$401,$AH323)="","",INDEX('Per Invoice'!E$2:E$401,$AH323)))</f>
        <v/>
      </c>
      <c r="F323">
        <f>IF($AH323="","",IF(INDEX('Per Invoice'!F$2:F$401,$AH323)="","",INDEX('Per Invoice'!F$2:F$401,$AH323)))</f>
        <v/>
      </c>
      <c r="G323">
        <f>IF($AH323="","",IF(INDEX('Per Invoice'!G$2:G$401,$AH323)="","",INDEX('Per Invoice'!G$2:G$401,$AH323)))</f>
        <v/>
      </c>
      <c r="H323">
        <f>IF($AH323="","",IF(INDEX('Per Invoice'!H$2:H$401,$AH323)="","",INDEX('Per Invoice'!H$2:H$401,$AH323)))</f>
        <v/>
      </c>
      <c r="I323" s="14">
        <f>IF($AH323="","",IF(INDEX('Per Invoice'!I$2:I$401,$AH323)="","",INDEX('Per Invoice'!I$2:I$401,$AH323)))</f>
        <v/>
      </c>
      <c r="J323">
        <f>IF($AH323="","",IF(INDEX('Per Invoice'!J$2:J$401,$AH323)="","",INDEX('Per Invoice'!J$2:J$401,$AH323)))</f>
        <v/>
      </c>
      <c r="K323">
        <f>IF($AH323="","",IF(INDEX('Per Invoice'!K$2:K$401,$AH323)="","",INDEX('Per Invoice'!K$2:K$401,$AH323)))</f>
        <v/>
      </c>
      <c r="L323">
        <f>IF($AH323="","",IF(INDEX('Per Invoice'!L$2:L$401,$AH323)="","",INDEX('Per Invoice'!L$2:L$401,$AH323)))</f>
        <v/>
      </c>
      <c r="M323">
        <f>IF($AH323="","",IF(INDEX('Per Invoice'!M$2:M$401,$AH323)="","",INDEX('Per Invoice'!M$2:M$401,$AH323)))</f>
        <v/>
      </c>
      <c r="N323">
        <f>IF($AH323="","",IF(INDEX('Per Invoice'!N$2:N$401,$AH323)="","",INDEX('Per Invoice'!N$2:N$401,$AH323)))</f>
        <v/>
      </c>
      <c r="O323">
        <f>IF($AH323="","",IF(INDEX('Per Invoice'!O$2:O$401,$AH323)="","",INDEX('Per Invoice'!O$2:O$401,$AH323)))</f>
        <v/>
      </c>
      <c r="P323" s="7">
        <f>IF($AH323="","",IF(INDEX('Per Invoice'!P$2:P$401,$AH323)="","",INDEX('Per Invoice'!P$2:P$401,$AH323)))</f>
        <v/>
      </c>
      <c r="Q323">
        <f>IF($AH323="","",IF(INDEX('Per Invoice'!Q$2:Q$401,$AH323)="","",INDEX('Per Invoice'!Q$2:Q$401,$AH323)))</f>
        <v/>
      </c>
      <c r="R323">
        <f>IF($AH323="","",IF(INDEX('Per Invoice'!R$2:R$401,$AH323)="","",INDEX('Per Invoice'!R$2:R$401,$AH323)))</f>
        <v/>
      </c>
      <c r="S323">
        <f>IF($AH323="","",IF(INDEX('Per Invoice'!S$2:S$401,$AH323)="","",INDEX('Per Invoice'!S$2:S$401,$AH323)))</f>
        <v/>
      </c>
      <c r="T323" s="7">
        <f>IF($AH323="","",IF(INDEX('Per Invoice'!T$2:T$401,$AH323)="","",INDEX('Per Invoice'!T$2:T$401,$AH323)))</f>
        <v/>
      </c>
      <c r="U323" s="7">
        <f>IF($AH323="","",IF(INDEX('Per Invoice'!U$2:U$401,$AH323)="","",INDEX('Per Invoice'!U$2:U$401,$AH323)))</f>
        <v/>
      </c>
      <c r="V323">
        <f>IF($AH323="","",IF(INDEX('Per Invoice'!V$2:V$401,$AH323)="","",INDEX('Per Invoice'!V$2:V$401,$AH323)))</f>
        <v/>
      </c>
      <c r="W323" s="7">
        <f>IF($AH323="","",IF(INDEX('Per Invoice'!W$2:W$401,$AH323)="","",INDEX('Per Invoice'!W$2:W$401,$AH323)))</f>
        <v/>
      </c>
      <c r="X323" s="7">
        <f>IF($AH323="","",IF(INDEX('Per Invoice'!X$2:X$401,$AH323)="","",INDEX('Per Invoice'!X$2:X$401,$AH323)))</f>
        <v/>
      </c>
      <c r="Y323">
        <f>IF($AH323="","",IF(INDEX('Per Invoice'!Y$2:Y$401,$AH323)="","",INDEX('Per Invoice'!Y$2:Y$401,$AH323)))</f>
        <v/>
      </c>
      <c r="Z323" s="7">
        <f>IF($AH323="","",IF(INDEX('Per Invoice'!Z$2:Z$401,$AH323)="","",INDEX('Per Invoice'!Z$2:Z$401,$AH323)))</f>
        <v/>
      </c>
      <c r="AA323" s="7">
        <f>IF($AH323="","",IF(INDEX('Per Invoice'!AA$2:AA$401,$AH323)="","",INDEX('Per Invoice'!AA$2:AA$401,$AH323)))</f>
        <v/>
      </c>
      <c r="AB323" s="7">
        <f>IF($AH323="","",IF(INDEX('Per Invoice'!AB$2:AB$401,$AH323)="","",INDEX('Per Invoice'!AB$2:AB$401,$AH323)))</f>
        <v/>
      </c>
      <c r="AC323" s="7">
        <f>IF($AH323="","",IF(INDEX('Per Invoice'!AC$2:AC$401,$AH323)="","",INDEX('Per Invoice'!AC$2:AC$401,$AH323)))</f>
        <v/>
      </c>
      <c r="AD323" s="7">
        <f>IF($AH323="","",IF(INDEX('Per Invoice'!AD$2:AD$401,$AH323)="","",INDEX('Per Invoice'!AD$2:AD$401,$AH323)))</f>
        <v/>
      </c>
      <c r="AE323" s="7">
        <f>IF($AH323="","",IF(INDEX('Per Invoice'!AE$2:AE$401,$AH323)="","",INDEX('Per Invoice'!AE$2:AE$401,$AH323)))</f>
        <v/>
      </c>
      <c r="AF323">
        <f>IF($AH323="","",IF(INDEX('Per Invoice'!AF$2:AF$401,$AH323)="","",INDEX('Per Invoice'!AF$2:AF$401,$AH323)))</f>
        <v/>
      </c>
      <c r="AG323" s="7">
        <f>IF($AH323="","",IF(INDEX('Per Invoice'!AG$2:AG$401,$AH323)="","",INDEX('Per Invoice'!AG$2:AG$401,$AH323)))</f>
        <v/>
      </c>
      <c r="AH323" s="16">
        <f>IFERROR(MATCH(Settings!$C$27&amp;"|"&amp;ROWS($AH$2:$AH323),'Per Invoice'!$AI$2:$AI$401,0),"")</f>
        <v/>
      </c>
    </row>
    <row r="324">
      <c r="A324">
        <f>IF($AH324="","",IF(INDEX('Per Invoice'!A$2:A$401,$AH324)="","",INDEX('Per Invoice'!A$2:A$401,$AH324)))</f>
        <v/>
      </c>
      <c r="B324">
        <f>IF($AH324="","",IF(INDEX('Per Invoice'!B$2:B$401,$AH324)="","",INDEX('Per Invoice'!B$2:B$401,$AH324)))</f>
        <v/>
      </c>
      <c r="C324">
        <f>IF($AH324="","",IF(INDEX('Per Invoice'!C$2:C$401,$AH324)="","",INDEX('Per Invoice'!C$2:C$401,$AH324)))</f>
        <v/>
      </c>
      <c r="D324">
        <f>IF($AH324="","",IF(INDEX('Per Invoice'!D$2:D$401,$AH324)="","",INDEX('Per Invoice'!D$2:D$401,$AH324)))</f>
        <v/>
      </c>
      <c r="E324">
        <f>IF($AH324="","",IF(INDEX('Per Invoice'!E$2:E$401,$AH324)="","",INDEX('Per Invoice'!E$2:E$401,$AH324)))</f>
        <v/>
      </c>
      <c r="F324">
        <f>IF($AH324="","",IF(INDEX('Per Invoice'!F$2:F$401,$AH324)="","",INDEX('Per Invoice'!F$2:F$401,$AH324)))</f>
        <v/>
      </c>
      <c r="G324">
        <f>IF($AH324="","",IF(INDEX('Per Invoice'!G$2:G$401,$AH324)="","",INDEX('Per Invoice'!G$2:G$401,$AH324)))</f>
        <v/>
      </c>
      <c r="H324">
        <f>IF($AH324="","",IF(INDEX('Per Invoice'!H$2:H$401,$AH324)="","",INDEX('Per Invoice'!H$2:H$401,$AH324)))</f>
        <v/>
      </c>
      <c r="I324" s="14">
        <f>IF($AH324="","",IF(INDEX('Per Invoice'!I$2:I$401,$AH324)="","",INDEX('Per Invoice'!I$2:I$401,$AH324)))</f>
        <v/>
      </c>
      <c r="J324">
        <f>IF($AH324="","",IF(INDEX('Per Invoice'!J$2:J$401,$AH324)="","",INDEX('Per Invoice'!J$2:J$401,$AH324)))</f>
        <v/>
      </c>
      <c r="K324">
        <f>IF($AH324="","",IF(INDEX('Per Invoice'!K$2:K$401,$AH324)="","",INDEX('Per Invoice'!K$2:K$401,$AH324)))</f>
        <v/>
      </c>
      <c r="L324">
        <f>IF($AH324="","",IF(INDEX('Per Invoice'!L$2:L$401,$AH324)="","",INDEX('Per Invoice'!L$2:L$401,$AH324)))</f>
        <v/>
      </c>
      <c r="M324">
        <f>IF($AH324="","",IF(INDEX('Per Invoice'!M$2:M$401,$AH324)="","",INDEX('Per Invoice'!M$2:M$401,$AH324)))</f>
        <v/>
      </c>
      <c r="N324">
        <f>IF($AH324="","",IF(INDEX('Per Invoice'!N$2:N$401,$AH324)="","",INDEX('Per Invoice'!N$2:N$401,$AH324)))</f>
        <v/>
      </c>
      <c r="O324">
        <f>IF($AH324="","",IF(INDEX('Per Invoice'!O$2:O$401,$AH324)="","",INDEX('Per Invoice'!O$2:O$401,$AH324)))</f>
        <v/>
      </c>
      <c r="P324" s="7">
        <f>IF($AH324="","",IF(INDEX('Per Invoice'!P$2:P$401,$AH324)="","",INDEX('Per Invoice'!P$2:P$401,$AH324)))</f>
        <v/>
      </c>
      <c r="Q324">
        <f>IF($AH324="","",IF(INDEX('Per Invoice'!Q$2:Q$401,$AH324)="","",INDEX('Per Invoice'!Q$2:Q$401,$AH324)))</f>
        <v/>
      </c>
      <c r="R324">
        <f>IF($AH324="","",IF(INDEX('Per Invoice'!R$2:R$401,$AH324)="","",INDEX('Per Invoice'!R$2:R$401,$AH324)))</f>
        <v/>
      </c>
      <c r="S324">
        <f>IF($AH324="","",IF(INDEX('Per Invoice'!S$2:S$401,$AH324)="","",INDEX('Per Invoice'!S$2:S$401,$AH324)))</f>
        <v/>
      </c>
      <c r="T324" s="7">
        <f>IF($AH324="","",IF(INDEX('Per Invoice'!T$2:T$401,$AH324)="","",INDEX('Per Invoice'!T$2:T$401,$AH324)))</f>
        <v/>
      </c>
      <c r="U324" s="7">
        <f>IF($AH324="","",IF(INDEX('Per Invoice'!U$2:U$401,$AH324)="","",INDEX('Per Invoice'!U$2:U$401,$AH324)))</f>
        <v/>
      </c>
      <c r="V324">
        <f>IF($AH324="","",IF(INDEX('Per Invoice'!V$2:V$401,$AH324)="","",INDEX('Per Invoice'!V$2:V$401,$AH324)))</f>
        <v/>
      </c>
      <c r="W324" s="7">
        <f>IF($AH324="","",IF(INDEX('Per Invoice'!W$2:W$401,$AH324)="","",INDEX('Per Invoice'!W$2:W$401,$AH324)))</f>
        <v/>
      </c>
      <c r="X324" s="7">
        <f>IF($AH324="","",IF(INDEX('Per Invoice'!X$2:X$401,$AH324)="","",INDEX('Per Invoice'!X$2:X$401,$AH324)))</f>
        <v/>
      </c>
      <c r="Y324">
        <f>IF($AH324="","",IF(INDEX('Per Invoice'!Y$2:Y$401,$AH324)="","",INDEX('Per Invoice'!Y$2:Y$401,$AH324)))</f>
        <v/>
      </c>
      <c r="Z324" s="7">
        <f>IF($AH324="","",IF(INDEX('Per Invoice'!Z$2:Z$401,$AH324)="","",INDEX('Per Invoice'!Z$2:Z$401,$AH324)))</f>
        <v/>
      </c>
      <c r="AA324" s="7">
        <f>IF($AH324="","",IF(INDEX('Per Invoice'!AA$2:AA$401,$AH324)="","",INDEX('Per Invoice'!AA$2:AA$401,$AH324)))</f>
        <v/>
      </c>
      <c r="AB324" s="7">
        <f>IF($AH324="","",IF(INDEX('Per Invoice'!AB$2:AB$401,$AH324)="","",INDEX('Per Invoice'!AB$2:AB$401,$AH324)))</f>
        <v/>
      </c>
      <c r="AC324" s="7">
        <f>IF($AH324="","",IF(INDEX('Per Invoice'!AC$2:AC$401,$AH324)="","",INDEX('Per Invoice'!AC$2:AC$401,$AH324)))</f>
        <v/>
      </c>
      <c r="AD324" s="7">
        <f>IF($AH324="","",IF(INDEX('Per Invoice'!AD$2:AD$401,$AH324)="","",INDEX('Per Invoice'!AD$2:AD$401,$AH324)))</f>
        <v/>
      </c>
      <c r="AE324" s="7">
        <f>IF($AH324="","",IF(INDEX('Per Invoice'!AE$2:AE$401,$AH324)="","",INDEX('Per Invoice'!AE$2:AE$401,$AH324)))</f>
        <v/>
      </c>
      <c r="AF324">
        <f>IF($AH324="","",IF(INDEX('Per Invoice'!AF$2:AF$401,$AH324)="","",INDEX('Per Invoice'!AF$2:AF$401,$AH324)))</f>
        <v/>
      </c>
      <c r="AG324" s="7">
        <f>IF($AH324="","",IF(INDEX('Per Invoice'!AG$2:AG$401,$AH324)="","",INDEX('Per Invoice'!AG$2:AG$401,$AH324)))</f>
        <v/>
      </c>
      <c r="AH324" s="16">
        <f>IFERROR(MATCH(Settings!$C$27&amp;"|"&amp;ROWS($AH$2:$AH324),'Per Invoice'!$AI$2:$AI$401,0),"")</f>
        <v/>
      </c>
    </row>
    <row r="325">
      <c r="A325">
        <f>IF($AH325="","",IF(INDEX('Per Invoice'!A$2:A$401,$AH325)="","",INDEX('Per Invoice'!A$2:A$401,$AH325)))</f>
        <v/>
      </c>
      <c r="B325">
        <f>IF($AH325="","",IF(INDEX('Per Invoice'!B$2:B$401,$AH325)="","",INDEX('Per Invoice'!B$2:B$401,$AH325)))</f>
        <v/>
      </c>
      <c r="C325">
        <f>IF($AH325="","",IF(INDEX('Per Invoice'!C$2:C$401,$AH325)="","",INDEX('Per Invoice'!C$2:C$401,$AH325)))</f>
        <v/>
      </c>
      <c r="D325">
        <f>IF($AH325="","",IF(INDEX('Per Invoice'!D$2:D$401,$AH325)="","",INDEX('Per Invoice'!D$2:D$401,$AH325)))</f>
        <v/>
      </c>
      <c r="E325">
        <f>IF($AH325="","",IF(INDEX('Per Invoice'!E$2:E$401,$AH325)="","",INDEX('Per Invoice'!E$2:E$401,$AH325)))</f>
        <v/>
      </c>
      <c r="F325">
        <f>IF($AH325="","",IF(INDEX('Per Invoice'!F$2:F$401,$AH325)="","",INDEX('Per Invoice'!F$2:F$401,$AH325)))</f>
        <v/>
      </c>
      <c r="G325">
        <f>IF($AH325="","",IF(INDEX('Per Invoice'!G$2:G$401,$AH325)="","",INDEX('Per Invoice'!G$2:G$401,$AH325)))</f>
        <v/>
      </c>
      <c r="H325">
        <f>IF($AH325="","",IF(INDEX('Per Invoice'!H$2:H$401,$AH325)="","",INDEX('Per Invoice'!H$2:H$401,$AH325)))</f>
        <v/>
      </c>
      <c r="I325" s="14">
        <f>IF($AH325="","",IF(INDEX('Per Invoice'!I$2:I$401,$AH325)="","",INDEX('Per Invoice'!I$2:I$401,$AH325)))</f>
        <v/>
      </c>
      <c r="J325">
        <f>IF($AH325="","",IF(INDEX('Per Invoice'!J$2:J$401,$AH325)="","",INDEX('Per Invoice'!J$2:J$401,$AH325)))</f>
        <v/>
      </c>
      <c r="K325">
        <f>IF($AH325="","",IF(INDEX('Per Invoice'!K$2:K$401,$AH325)="","",INDEX('Per Invoice'!K$2:K$401,$AH325)))</f>
        <v/>
      </c>
      <c r="L325">
        <f>IF($AH325="","",IF(INDEX('Per Invoice'!L$2:L$401,$AH325)="","",INDEX('Per Invoice'!L$2:L$401,$AH325)))</f>
        <v/>
      </c>
      <c r="M325">
        <f>IF($AH325="","",IF(INDEX('Per Invoice'!M$2:M$401,$AH325)="","",INDEX('Per Invoice'!M$2:M$401,$AH325)))</f>
        <v/>
      </c>
      <c r="N325">
        <f>IF($AH325="","",IF(INDEX('Per Invoice'!N$2:N$401,$AH325)="","",INDEX('Per Invoice'!N$2:N$401,$AH325)))</f>
        <v/>
      </c>
      <c r="O325">
        <f>IF($AH325="","",IF(INDEX('Per Invoice'!O$2:O$401,$AH325)="","",INDEX('Per Invoice'!O$2:O$401,$AH325)))</f>
        <v/>
      </c>
      <c r="P325" s="7">
        <f>IF($AH325="","",IF(INDEX('Per Invoice'!P$2:P$401,$AH325)="","",INDEX('Per Invoice'!P$2:P$401,$AH325)))</f>
        <v/>
      </c>
      <c r="Q325">
        <f>IF($AH325="","",IF(INDEX('Per Invoice'!Q$2:Q$401,$AH325)="","",INDEX('Per Invoice'!Q$2:Q$401,$AH325)))</f>
        <v/>
      </c>
      <c r="R325">
        <f>IF($AH325="","",IF(INDEX('Per Invoice'!R$2:R$401,$AH325)="","",INDEX('Per Invoice'!R$2:R$401,$AH325)))</f>
        <v/>
      </c>
      <c r="S325">
        <f>IF($AH325="","",IF(INDEX('Per Invoice'!S$2:S$401,$AH325)="","",INDEX('Per Invoice'!S$2:S$401,$AH325)))</f>
        <v/>
      </c>
      <c r="T325" s="7">
        <f>IF($AH325="","",IF(INDEX('Per Invoice'!T$2:T$401,$AH325)="","",INDEX('Per Invoice'!T$2:T$401,$AH325)))</f>
        <v/>
      </c>
      <c r="U325" s="7">
        <f>IF($AH325="","",IF(INDEX('Per Invoice'!U$2:U$401,$AH325)="","",INDEX('Per Invoice'!U$2:U$401,$AH325)))</f>
        <v/>
      </c>
      <c r="V325">
        <f>IF($AH325="","",IF(INDEX('Per Invoice'!V$2:V$401,$AH325)="","",INDEX('Per Invoice'!V$2:V$401,$AH325)))</f>
        <v/>
      </c>
      <c r="W325" s="7">
        <f>IF($AH325="","",IF(INDEX('Per Invoice'!W$2:W$401,$AH325)="","",INDEX('Per Invoice'!W$2:W$401,$AH325)))</f>
        <v/>
      </c>
      <c r="X325" s="7">
        <f>IF($AH325="","",IF(INDEX('Per Invoice'!X$2:X$401,$AH325)="","",INDEX('Per Invoice'!X$2:X$401,$AH325)))</f>
        <v/>
      </c>
      <c r="Y325">
        <f>IF($AH325="","",IF(INDEX('Per Invoice'!Y$2:Y$401,$AH325)="","",INDEX('Per Invoice'!Y$2:Y$401,$AH325)))</f>
        <v/>
      </c>
      <c r="Z325" s="7">
        <f>IF($AH325="","",IF(INDEX('Per Invoice'!Z$2:Z$401,$AH325)="","",INDEX('Per Invoice'!Z$2:Z$401,$AH325)))</f>
        <v/>
      </c>
      <c r="AA325" s="7">
        <f>IF($AH325="","",IF(INDEX('Per Invoice'!AA$2:AA$401,$AH325)="","",INDEX('Per Invoice'!AA$2:AA$401,$AH325)))</f>
        <v/>
      </c>
      <c r="AB325" s="7">
        <f>IF($AH325="","",IF(INDEX('Per Invoice'!AB$2:AB$401,$AH325)="","",INDEX('Per Invoice'!AB$2:AB$401,$AH325)))</f>
        <v/>
      </c>
      <c r="AC325" s="7">
        <f>IF($AH325="","",IF(INDEX('Per Invoice'!AC$2:AC$401,$AH325)="","",INDEX('Per Invoice'!AC$2:AC$401,$AH325)))</f>
        <v/>
      </c>
      <c r="AD325" s="7">
        <f>IF($AH325="","",IF(INDEX('Per Invoice'!AD$2:AD$401,$AH325)="","",INDEX('Per Invoice'!AD$2:AD$401,$AH325)))</f>
        <v/>
      </c>
      <c r="AE325" s="7">
        <f>IF($AH325="","",IF(INDEX('Per Invoice'!AE$2:AE$401,$AH325)="","",INDEX('Per Invoice'!AE$2:AE$401,$AH325)))</f>
        <v/>
      </c>
      <c r="AF325">
        <f>IF($AH325="","",IF(INDEX('Per Invoice'!AF$2:AF$401,$AH325)="","",INDEX('Per Invoice'!AF$2:AF$401,$AH325)))</f>
        <v/>
      </c>
      <c r="AG325" s="7">
        <f>IF($AH325="","",IF(INDEX('Per Invoice'!AG$2:AG$401,$AH325)="","",INDEX('Per Invoice'!AG$2:AG$401,$AH325)))</f>
        <v/>
      </c>
      <c r="AH325" s="16">
        <f>IFERROR(MATCH(Settings!$C$27&amp;"|"&amp;ROWS($AH$2:$AH325),'Per Invoice'!$AI$2:$AI$401,0),"")</f>
        <v/>
      </c>
    </row>
    <row r="326">
      <c r="A326">
        <f>IF($AH326="","",IF(INDEX('Per Invoice'!A$2:A$401,$AH326)="","",INDEX('Per Invoice'!A$2:A$401,$AH326)))</f>
        <v/>
      </c>
      <c r="B326">
        <f>IF($AH326="","",IF(INDEX('Per Invoice'!B$2:B$401,$AH326)="","",INDEX('Per Invoice'!B$2:B$401,$AH326)))</f>
        <v/>
      </c>
      <c r="C326">
        <f>IF($AH326="","",IF(INDEX('Per Invoice'!C$2:C$401,$AH326)="","",INDEX('Per Invoice'!C$2:C$401,$AH326)))</f>
        <v/>
      </c>
      <c r="D326">
        <f>IF($AH326="","",IF(INDEX('Per Invoice'!D$2:D$401,$AH326)="","",INDEX('Per Invoice'!D$2:D$401,$AH326)))</f>
        <v/>
      </c>
      <c r="E326">
        <f>IF($AH326="","",IF(INDEX('Per Invoice'!E$2:E$401,$AH326)="","",INDEX('Per Invoice'!E$2:E$401,$AH326)))</f>
        <v/>
      </c>
      <c r="F326">
        <f>IF($AH326="","",IF(INDEX('Per Invoice'!F$2:F$401,$AH326)="","",INDEX('Per Invoice'!F$2:F$401,$AH326)))</f>
        <v/>
      </c>
      <c r="G326">
        <f>IF($AH326="","",IF(INDEX('Per Invoice'!G$2:G$401,$AH326)="","",INDEX('Per Invoice'!G$2:G$401,$AH326)))</f>
        <v/>
      </c>
      <c r="H326">
        <f>IF($AH326="","",IF(INDEX('Per Invoice'!H$2:H$401,$AH326)="","",INDEX('Per Invoice'!H$2:H$401,$AH326)))</f>
        <v/>
      </c>
      <c r="I326" s="14">
        <f>IF($AH326="","",IF(INDEX('Per Invoice'!I$2:I$401,$AH326)="","",INDEX('Per Invoice'!I$2:I$401,$AH326)))</f>
        <v/>
      </c>
      <c r="J326">
        <f>IF($AH326="","",IF(INDEX('Per Invoice'!J$2:J$401,$AH326)="","",INDEX('Per Invoice'!J$2:J$401,$AH326)))</f>
        <v/>
      </c>
      <c r="K326">
        <f>IF($AH326="","",IF(INDEX('Per Invoice'!K$2:K$401,$AH326)="","",INDEX('Per Invoice'!K$2:K$401,$AH326)))</f>
        <v/>
      </c>
      <c r="L326">
        <f>IF($AH326="","",IF(INDEX('Per Invoice'!L$2:L$401,$AH326)="","",INDEX('Per Invoice'!L$2:L$401,$AH326)))</f>
        <v/>
      </c>
      <c r="M326">
        <f>IF($AH326="","",IF(INDEX('Per Invoice'!M$2:M$401,$AH326)="","",INDEX('Per Invoice'!M$2:M$401,$AH326)))</f>
        <v/>
      </c>
      <c r="N326">
        <f>IF($AH326="","",IF(INDEX('Per Invoice'!N$2:N$401,$AH326)="","",INDEX('Per Invoice'!N$2:N$401,$AH326)))</f>
        <v/>
      </c>
      <c r="O326">
        <f>IF($AH326="","",IF(INDEX('Per Invoice'!O$2:O$401,$AH326)="","",INDEX('Per Invoice'!O$2:O$401,$AH326)))</f>
        <v/>
      </c>
      <c r="P326" s="7">
        <f>IF($AH326="","",IF(INDEX('Per Invoice'!P$2:P$401,$AH326)="","",INDEX('Per Invoice'!P$2:P$401,$AH326)))</f>
        <v/>
      </c>
      <c r="Q326">
        <f>IF($AH326="","",IF(INDEX('Per Invoice'!Q$2:Q$401,$AH326)="","",INDEX('Per Invoice'!Q$2:Q$401,$AH326)))</f>
        <v/>
      </c>
      <c r="R326">
        <f>IF($AH326="","",IF(INDEX('Per Invoice'!R$2:R$401,$AH326)="","",INDEX('Per Invoice'!R$2:R$401,$AH326)))</f>
        <v/>
      </c>
      <c r="S326">
        <f>IF($AH326="","",IF(INDEX('Per Invoice'!S$2:S$401,$AH326)="","",INDEX('Per Invoice'!S$2:S$401,$AH326)))</f>
        <v/>
      </c>
      <c r="T326" s="7">
        <f>IF($AH326="","",IF(INDEX('Per Invoice'!T$2:T$401,$AH326)="","",INDEX('Per Invoice'!T$2:T$401,$AH326)))</f>
        <v/>
      </c>
      <c r="U326" s="7">
        <f>IF($AH326="","",IF(INDEX('Per Invoice'!U$2:U$401,$AH326)="","",INDEX('Per Invoice'!U$2:U$401,$AH326)))</f>
        <v/>
      </c>
      <c r="V326">
        <f>IF($AH326="","",IF(INDEX('Per Invoice'!V$2:V$401,$AH326)="","",INDEX('Per Invoice'!V$2:V$401,$AH326)))</f>
        <v/>
      </c>
      <c r="W326" s="7">
        <f>IF($AH326="","",IF(INDEX('Per Invoice'!W$2:W$401,$AH326)="","",INDEX('Per Invoice'!W$2:W$401,$AH326)))</f>
        <v/>
      </c>
      <c r="X326" s="7">
        <f>IF($AH326="","",IF(INDEX('Per Invoice'!X$2:X$401,$AH326)="","",INDEX('Per Invoice'!X$2:X$401,$AH326)))</f>
        <v/>
      </c>
      <c r="Y326">
        <f>IF($AH326="","",IF(INDEX('Per Invoice'!Y$2:Y$401,$AH326)="","",INDEX('Per Invoice'!Y$2:Y$401,$AH326)))</f>
        <v/>
      </c>
      <c r="Z326" s="7">
        <f>IF($AH326="","",IF(INDEX('Per Invoice'!Z$2:Z$401,$AH326)="","",INDEX('Per Invoice'!Z$2:Z$401,$AH326)))</f>
        <v/>
      </c>
      <c r="AA326" s="7">
        <f>IF($AH326="","",IF(INDEX('Per Invoice'!AA$2:AA$401,$AH326)="","",INDEX('Per Invoice'!AA$2:AA$401,$AH326)))</f>
        <v/>
      </c>
      <c r="AB326" s="7">
        <f>IF($AH326="","",IF(INDEX('Per Invoice'!AB$2:AB$401,$AH326)="","",INDEX('Per Invoice'!AB$2:AB$401,$AH326)))</f>
        <v/>
      </c>
      <c r="AC326" s="7">
        <f>IF($AH326="","",IF(INDEX('Per Invoice'!AC$2:AC$401,$AH326)="","",INDEX('Per Invoice'!AC$2:AC$401,$AH326)))</f>
        <v/>
      </c>
      <c r="AD326" s="7">
        <f>IF($AH326="","",IF(INDEX('Per Invoice'!AD$2:AD$401,$AH326)="","",INDEX('Per Invoice'!AD$2:AD$401,$AH326)))</f>
        <v/>
      </c>
      <c r="AE326" s="7">
        <f>IF($AH326="","",IF(INDEX('Per Invoice'!AE$2:AE$401,$AH326)="","",INDEX('Per Invoice'!AE$2:AE$401,$AH326)))</f>
        <v/>
      </c>
      <c r="AF326">
        <f>IF($AH326="","",IF(INDEX('Per Invoice'!AF$2:AF$401,$AH326)="","",INDEX('Per Invoice'!AF$2:AF$401,$AH326)))</f>
        <v/>
      </c>
      <c r="AG326" s="7">
        <f>IF($AH326="","",IF(INDEX('Per Invoice'!AG$2:AG$401,$AH326)="","",INDEX('Per Invoice'!AG$2:AG$401,$AH326)))</f>
        <v/>
      </c>
      <c r="AH326" s="16">
        <f>IFERROR(MATCH(Settings!$C$27&amp;"|"&amp;ROWS($AH$2:$AH326),'Per Invoice'!$AI$2:$AI$401,0),"")</f>
        <v/>
      </c>
    </row>
    <row r="327">
      <c r="A327">
        <f>IF($AH327="","",IF(INDEX('Per Invoice'!A$2:A$401,$AH327)="","",INDEX('Per Invoice'!A$2:A$401,$AH327)))</f>
        <v/>
      </c>
      <c r="B327">
        <f>IF($AH327="","",IF(INDEX('Per Invoice'!B$2:B$401,$AH327)="","",INDEX('Per Invoice'!B$2:B$401,$AH327)))</f>
        <v/>
      </c>
      <c r="C327">
        <f>IF($AH327="","",IF(INDEX('Per Invoice'!C$2:C$401,$AH327)="","",INDEX('Per Invoice'!C$2:C$401,$AH327)))</f>
        <v/>
      </c>
      <c r="D327">
        <f>IF($AH327="","",IF(INDEX('Per Invoice'!D$2:D$401,$AH327)="","",INDEX('Per Invoice'!D$2:D$401,$AH327)))</f>
        <v/>
      </c>
      <c r="E327">
        <f>IF($AH327="","",IF(INDEX('Per Invoice'!E$2:E$401,$AH327)="","",INDEX('Per Invoice'!E$2:E$401,$AH327)))</f>
        <v/>
      </c>
      <c r="F327">
        <f>IF($AH327="","",IF(INDEX('Per Invoice'!F$2:F$401,$AH327)="","",INDEX('Per Invoice'!F$2:F$401,$AH327)))</f>
        <v/>
      </c>
      <c r="G327">
        <f>IF($AH327="","",IF(INDEX('Per Invoice'!G$2:G$401,$AH327)="","",INDEX('Per Invoice'!G$2:G$401,$AH327)))</f>
        <v/>
      </c>
      <c r="H327">
        <f>IF($AH327="","",IF(INDEX('Per Invoice'!H$2:H$401,$AH327)="","",INDEX('Per Invoice'!H$2:H$401,$AH327)))</f>
        <v/>
      </c>
      <c r="I327" s="14">
        <f>IF($AH327="","",IF(INDEX('Per Invoice'!I$2:I$401,$AH327)="","",INDEX('Per Invoice'!I$2:I$401,$AH327)))</f>
        <v/>
      </c>
      <c r="J327">
        <f>IF($AH327="","",IF(INDEX('Per Invoice'!J$2:J$401,$AH327)="","",INDEX('Per Invoice'!J$2:J$401,$AH327)))</f>
        <v/>
      </c>
      <c r="K327">
        <f>IF($AH327="","",IF(INDEX('Per Invoice'!K$2:K$401,$AH327)="","",INDEX('Per Invoice'!K$2:K$401,$AH327)))</f>
        <v/>
      </c>
      <c r="L327">
        <f>IF($AH327="","",IF(INDEX('Per Invoice'!L$2:L$401,$AH327)="","",INDEX('Per Invoice'!L$2:L$401,$AH327)))</f>
        <v/>
      </c>
      <c r="M327">
        <f>IF($AH327="","",IF(INDEX('Per Invoice'!M$2:M$401,$AH327)="","",INDEX('Per Invoice'!M$2:M$401,$AH327)))</f>
        <v/>
      </c>
      <c r="N327">
        <f>IF($AH327="","",IF(INDEX('Per Invoice'!N$2:N$401,$AH327)="","",INDEX('Per Invoice'!N$2:N$401,$AH327)))</f>
        <v/>
      </c>
      <c r="O327">
        <f>IF($AH327="","",IF(INDEX('Per Invoice'!O$2:O$401,$AH327)="","",INDEX('Per Invoice'!O$2:O$401,$AH327)))</f>
        <v/>
      </c>
      <c r="P327" s="7">
        <f>IF($AH327="","",IF(INDEX('Per Invoice'!P$2:P$401,$AH327)="","",INDEX('Per Invoice'!P$2:P$401,$AH327)))</f>
        <v/>
      </c>
      <c r="Q327">
        <f>IF($AH327="","",IF(INDEX('Per Invoice'!Q$2:Q$401,$AH327)="","",INDEX('Per Invoice'!Q$2:Q$401,$AH327)))</f>
        <v/>
      </c>
      <c r="R327">
        <f>IF($AH327="","",IF(INDEX('Per Invoice'!R$2:R$401,$AH327)="","",INDEX('Per Invoice'!R$2:R$401,$AH327)))</f>
        <v/>
      </c>
      <c r="S327">
        <f>IF($AH327="","",IF(INDEX('Per Invoice'!S$2:S$401,$AH327)="","",INDEX('Per Invoice'!S$2:S$401,$AH327)))</f>
        <v/>
      </c>
      <c r="T327" s="7">
        <f>IF($AH327="","",IF(INDEX('Per Invoice'!T$2:T$401,$AH327)="","",INDEX('Per Invoice'!T$2:T$401,$AH327)))</f>
        <v/>
      </c>
      <c r="U327" s="7">
        <f>IF($AH327="","",IF(INDEX('Per Invoice'!U$2:U$401,$AH327)="","",INDEX('Per Invoice'!U$2:U$401,$AH327)))</f>
        <v/>
      </c>
      <c r="V327">
        <f>IF($AH327="","",IF(INDEX('Per Invoice'!V$2:V$401,$AH327)="","",INDEX('Per Invoice'!V$2:V$401,$AH327)))</f>
        <v/>
      </c>
      <c r="W327" s="7">
        <f>IF($AH327="","",IF(INDEX('Per Invoice'!W$2:W$401,$AH327)="","",INDEX('Per Invoice'!W$2:W$401,$AH327)))</f>
        <v/>
      </c>
      <c r="X327" s="7">
        <f>IF($AH327="","",IF(INDEX('Per Invoice'!X$2:X$401,$AH327)="","",INDEX('Per Invoice'!X$2:X$401,$AH327)))</f>
        <v/>
      </c>
      <c r="Y327">
        <f>IF($AH327="","",IF(INDEX('Per Invoice'!Y$2:Y$401,$AH327)="","",INDEX('Per Invoice'!Y$2:Y$401,$AH327)))</f>
        <v/>
      </c>
      <c r="Z327" s="7">
        <f>IF($AH327="","",IF(INDEX('Per Invoice'!Z$2:Z$401,$AH327)="","",INDEX('Per Invoice'!Z$2:Z$401,$AH327)))</f>
        <v/>
      </c>
      <c r="AA327" s="7">
        <f>IF($AH327="","",IF(INDEX('Per Invoice'!AA$2:AA$401,$AH327)="","",INDEX('Per Invoice'!AA$2:AA$401,$AH327)))</f>
        <v/>
      </c>
      <c r="AB327" s="7">
        <f>IF($AH327="","",IF(INDEX('Per Invoice'!AB$2:AB$401,$AH327)="","",INDEX('Per Invoice'!AB$2:AB$401,$AH327)))</f>
        <v/>
      </c>
      <c r="AC327" s="7">
        <f>IF($AH327="","",IF(INDEX('Per Invoice'!AC$2:AC$401,$AH327)="","",INDEX('Per Invoice'!AC$2:AC$401,$AH327)))</f>
        <v/>
      </c>
      <c r="AD327" s="7">
        <f>IF($AH327="","",IF(INDEX('Per Invoice'!AD$2:AD$401,$AH327)="","",INDEX('Per Invoice'!AD$2:AD$401,$AH327)))</f>
        <v/>
      </c>
      <c r="AE327" s="7">
        <f>IF($AH327="","",IF(INDEX('Per Invoice'!AE$2:AE$401,$AH327)="","",INDEX('Per Invoice'!AE$2:AE$401,$AH327)))</f>
        <v/>
      </c>
      <c r="AF327">
        <f>IF($AH327="","",IF(INDEX('Per Invoice'!AF$2:AF$401,$AH327)="","",INDEX('Per Invoice'!AF$2:AF$401,$AH327)))</f>
        <v/>
      </c>
      <c r="AG327" s="7">
        <f>IF($AH327="","",IF(INDEX('Per Invoice'!AG$2:AG$401,$AH327)="","",INDEX('Per Invoice'!AG$2:AG$401,$AH327)))</f>
        <v/>
      </c>
      <c r="AH327" s="16">
        <f>IFERROR(MATCH(Settings!$C$27&amp;"|"&amp;ROWS($AH$2:$AH327),'Per Invoice'!$AI$2:$AI$401,0),"")</f>
        <v/>
      </c>
    </row>
    <row r="328">
      <c r="A328">
        <f>IF($AH328="","",IF(INDEX('Per Invoice'!A$2:A$401,$AH328)="","",INDEX('Per Invoice'!A$2:A$401,$AH328)))</f>
        <v/>
      </c>
      <c r="B328">
        <f>IF($AH328="","",IF(INDEX('Per Invoice'!B$2:B$401,$AH328)="","",INDEX('Per Invoice'!B$2:B$401,$AH328)))</f>
        <v/>
      </c>
      <c r="C328">
        <f>IF($AH328="","",IF(INDEX('Per Invoice'!C$2:C$401,$AH328)="","",INDEX('Per Invoice'!C$2:C$401,$AH328)))</f>
        <v/>
      </c>
      <c r="D328">
        <f>IF($AH328="","",IF(INDEX('Per Invoice'!D$2:D$401,$AH328)="","",INDEX('Per Invoice'!D$2:D$401,$AH328)))</f>
        <v/>
      </c>
      <c r="E328">
        <f>IF($AH328="","",IF(INDEX('Per Invoice'!E$2:E$401,$AH328)="","",INDEX('Per Invoice'!E$2:E$401,$AH328)))</f>
        <v/>
      </c>
      <c r="F328">
        <f>IF($AH328="","",IF(INDEX('Per Invoice'!F$2:F$401,$AH328)="","",INDEX('Per Invoice'!F$2:F$401,$AH328)))</f>
        <v/>
      </c>
      <c r="G328">
        <f>IF($AH328="","",IF(INDEX('Per Invoice'!G$2:G$401,$AH328)="","",INDEX('Per Invoice'!G$2:G$401,$AH328)))</f>
        <v/>
      </c>
      <c r="H328">
        <f>IF($AH328="","",IF(INDEX('Per Invoice'!H$2:H$401,$AH328)="","",INDEX('Per Invoice'!H$2:H$401,$AH328)))</f>
        <v/>
      </c>
      <c r="I328" s="14">
        <f>IF($AH328="","",IF(INDEX('Per Invoice'!I$2:I$401,$AH328)="","",INDEX('Per Invoice'!I$2:I$401,$AH328)))</f>
        <v/>
      </c>
      <c r="J328">
        <f>IF($AH328="","",IF(INDEX('Per Invoice'!J$2:J$401,$AH328)="","",INDEX('Per Invoice'!J$2:J$401,$AH328)))</f>
        <v/>
      </c>
      <c r="K328">
        <f>IF($AH328="","",IF(INDEX('Per Invoice'!K$2:K$401,$AH328)="","",INDEX('Per Invoice'!K$2:K$401,$AH328)))</f>
        <v/>
      </c>
      <c r="L328">
        <f>IF($AH328="","",IF(INDEX('Per Invoice'!L$2:L$401,$AH328)="","",INDEX('Per Invoice'!L$2:L$401,$AH328)))</f>
        <v/>
      </c>
      <c r="M328">
        <f>IF($AH328="","",IF(INDEX('Per Invoice'!M$2:M$401,$AH328)="","",INDEX('Per Invoice'!M$2:M$401,$AH328)))</f>
        <v/>
      </c>
      <c r="N328">
        <f>IF($AH328="","",IF(INDEX('Per Invoice'!N$2:N$401,$AH328)="","",INDEX('Per Invoice'!N$2:N$401,$AH328)))</f>
        <v/>
      </c>
      <c r="O328">
        <f>IF($AH328="","",IF(INDEX('Per Invoice'!O$2:O$401,$AH328)="","",INDEX('Per Invoice'!O$2:O$401,$AH328)))</f>
        <v/>
      </c>
      <c r="P328" s="7">
        <f>IF($AH328="","",IF(INDEX('Per Invoice'!P$2:P$401,$AH328)="","",INDEX('Per Invoice'!P$2:P$401,$AH328)))</f>
        <v/>
      </c>
      <c r="Q328">
        <f>IF($AH328="","",IF(INDEX('Per Invoice'!Q$2:Q$401,$AH328)="","",INDEX('Per Invoice'!Q$2:Q$401,$AH328)))</f>
        <v/>
      </c>
      <c r="R328">
        <f>IF($AH328="","",IF(INDEX('Per Invoice'!R$2:R$401,$AH328)="","",INDEX('Per Invoice'!R$2:R$401,$AH328)))</f>
        <v/>
      </c>
      <c r="S328">
        <f>IF($AH328="","",IF(INDEX('Per Invoice'!S$2:S$401,$AH328)="","",INDEX('Per Invoice'!S$2:S$401,$AH328)))</f>
        <v/>
      </c>
      <c r="T328" s="7">
        <f>IF($AH328="","",IF(INDEX('Per Invoice'!T$2:T$401,$AH328)="","",INDEX('Per Invoice'!T$2:T$401,$AH328)))</f>
        <v/>
      </c>
      <c r="U328" s="7">
        <f>IF($AH328="","",IF(INDEX('Per Invoice'!U$2:U$401,$AH328)="","",INDEX('Per Invoice'!U$2:U$401,$AH328)))</f>
        <v/>
      </c>
      <c r="V328">
        <f>IF($AH328="","",IF(INDEX('Per Invoice'!V$2:V$401,$AH328)="","",INDEX('Per Invoice'!V$2:V$401,$AH328)))</f>
        <v/>
      </c>
      <c r="W328" s="7">
        <f>IF($AH328="","",IF(INDEX('Per Invoice'!W$2:W$401,$AH328)="","",INDEX('Per Invoice'!W$2:W$401,$AH328)))</f>
        <v/>
      </c>
      <c r="X328" s="7">
        <f>IF($AH328="","",IF(INDEX('Per Invoice'!X$2:X$401,$AH328)="","",INDEX('Per Invoice'!X$2:X$401,$AH328)))</f>
        <v/>
      </c>
      <c r="Y328">
        <f>IF($AH328="","",IF(INDEX('Per Invoice'!Y$2:Y$401,$AH328)="","",INDEX('Per Invoice'!Y$2:Y$401,$AH328)))</f>
        <v/>
      </c>
      <c r="Z328" s="7">
        <f>IF($AH328="","",IF(INDEX('Per Invoice'!Z$2:Z$401,$AH328)="","",INDEX('Per Invoice'!Z$2:Z$401,$AH328)))</f>
        <v/>
      </c>
      <c r="AA328" s="7">
        <f>IF($AH328="","",IF(INDEX('Per Invoice'!AA$2:AA$401,$AH328)="","",INDEX('Per Invoice'!AA$2:AA$401,$AH328)))</f>
        <v/>
      </c>
      <c r="AB328" s="7">
        <f>IF($AH328="","",IF(INDEX('Per Invoice'!AB$2:AB$401,$AH328)="","",INDEX('Per Invoice'!AB$2:AB$401,$AH328)))</f>
        <v/>
      </c>
      <c r="AC328" s="7">
        <f>IF($AH328="","",IF(INDEX('Per Invoice'!AC$2:AC$401,$AH328)="","",INDEX('Per Invoice'!AC$2:AC$401,$AH328)))</f>
        <v/>
      </c>
      <c r="AD328" s="7">
        <f>IF($AH328="","",IF(INDEX('Per Invoice'!AD$2:AD$401,$AH328)="","",INDEX('Per Invoice'!AD$2:AD$401,$AH328)))</f>
        <v/>
      </c>
      <c r="AE328" s="7">
        <f>IF($AH328="","",IF(INDEX('Per Invoice'!AE$2:AE$401,$AH328)="","",INDEX('Per Invoice'!AE$2:AE$401,$AH328)))</f>
        <v/>
      </c>
      <c r="AF328">
        <f>IF($AH328="","",IF(INDEX('Per Invoice'!AF$2:AF$401,$AH328)="","",INDEX('Per Invoice'!AF$2:AF$401,$AH328)))</f>
        <v/>
      </c>
      <c r="AG328" s="7">
        <f>IF($AH328="","",IF(INDEX('Per Invoice'!AG$2:AG$401,$AH328)="","",INDEX('Per Invoice'!AG$2:AG$401,$AH328)))</f>
        <v/>
      </c>
      <c r="AH328" s="16">
        <f>IFERROR(MATCH(Settings!$C$27&amp;"|"&amp;ROWS($AH$2:$AH328),'Per Invoice'!$AI$2:$AI$401,0),"")</f>
        <v/>
      </c>
    </row>
    <row r="329">
      <c r="A329">
        <f>IF($AH329="","",IF(INDEX('Per Invoice'!A$2:A$401,$AH329)="","",INDEX('Per Invoice'!A$2:A$401,$AH329)))</f>
        <v/>
      </c>
      <c r="B329">
        <f>IF($AH329="","",IF(INDEX('Per Invoice'!B$2:B$401,$AH329)="","",INDEX('Per Invoice'!B$2:B$401,$AH329)))</f>
        <v/>
      </c>
      <c r="C329">
        <f>IF($AH329="","",IF(INDEX('Per Invoice'!C$2:C$401,$AH329)="","",INDEX('Per Invoice'!C$2:C$401,$AH329)))</f>
        <v/>
      </c>
      <c r="D329">
        <f>IF($AH329="","",IF(INDEX('Per Invoice'!D$2:D$401,$AH329)="","",INDEX('Per Invoice'!D$2:D$401,$AH329)))</f>
        <v/>
      </c>
      <c r="E329">
        <f>IF($AH329="","",IF(INDEX('Per Invoice'!E$2:E$401,$AH329)="","",INDEX('Per Invoice'!E$2:E$401,$AH329)))</f>
        <v/>
      </c>
      <c r="F329">
        <f>IF($AH329="","",IF(INDEX('Per Invoice'!F$2:F$401,$AH329)="","",INDEX('Per Invoice'!F$2:F$401,$AH329)))</f>
        <v/>
      </c>
      <c r="G329">
        <f>IF($AH329="","",IF(INDEX('Per Invoice'!G$2:G$401,$AH329)="","",INDEX('Per Invoice'!G$2:G$401,$AH329)))</f>
        <v/>
      </c>
      <c r="H329">
        <f>IF($AH329="","",IF(INDEX('Per Invoice'!H$2:H$401,$AH329)="","",INDEX('Per Invoice'!H$2:H$401,$AH329)))</f>
        <v/>
      </c>
      <c r="I329" s="14">
        <f>IF($AH329="","",IF(INDEX('Per Invoice'!I$2:I$401,$AH329)="","",INDEX('Per Invoice'!I$2:I$401,$AH329)))</f>
        <v/>
      </c>
      <c r="J329">
        <f>IF($AH329="","",IF(INDEX('Per Invoice'!J$2:J$401,$AH329)="","",INDEX('Per Invoice'!J$2:J$401,$AH329)))</f>
        <v/>
      </c>
      <c r="K329">
        <f>IF($AH329="","",IF(INDEX('Per Invoice'!K$2:K$401,$AH329)="","",INDEX('Per Invoice'!K$2:K$401,$AH329)))</f>
        <v/>
      </c>
      <c r="L329">
        <f>IF($AH329="","",IF(INDEX('Per Invoice'!L$2:L$401,$AH329)="","",INDEX('Per Invoice'!L$2:L$401,$AH329)))</f>
        <v/>
      </c>
      <c r="M329">
        <f>IF($AH329="","",IF(INDEX('Per Invoice'!M$2:M$401,$AH329)="","",INDEX('Per Invoice'!M$2:M$401,$AH329)))</f>
        <v/>
      </c>
      <c r="N329">
        <f>IF($AH329="","",IF(INDEX('Per Invoice'!N$2:N$401,$AH329)="","",INDEX('Per Invoice'!N$2:N$401,$AH329)))</f>
        <v/>
      </c>
      <c r="O329">
        <f>IF($AH329="","",IF(INDEX('Per Invoice'!O$2:O$401,$AH329)="","",INDEX('Per Invoice'!O$2:O$401,$AH329)))</f>
        <v/>
      </c>
      <c r="P329" s="7">
        <f>IF($AH329="","",IF(INDEX('Per Invoice'!P$2:P$401,$AH329)="","",INDEX('Per Invoice'!P$2:P$401,$AH329)))</f>
        <v/>
      </c>
      <c r="Q329">
        <f>IF($AH329="","",IF(INDEX('Per Invoice'!Q$2:Q$401,$AH329)="","",INDEX('Per Invoice'!Q$2:Q$401,$AH329)))</f>
        <v/>
      </c>
      <c r="R329">
        <f>IF($AH329="","",IF(INDEX('Per Invoice'!R$2:R$401,$AH329)="","",INDEX('Per Invoice'!R$2:R$401,$AH329)))</f>
        <v/>
      </c>
      <c r="S329">
        <f>IF($AH329="","",IF(INDEX('Per Invoice'!S$2:S$401,$AH329)="","",INDEX('Per Invoice'!S$2:S$401,$AH329)))</f>
        <v/>
      </c>
      <c r="T329" s="7">
        <f>IF($AH329="","",IF(INDEX('Per Invoice'!T$2:T$401,$AH329)="","",INDEX('Per Invoice'!T$2:T$401,$AH329)))</f>
        <v/>
      </c>
      <c r="U329" s="7">
        <f>IF($AH329="","",IF(INDEX('Per Invoice'!U$2:U$401,$AH329)="","",INDEX('Per Invoice'!U$2:U$401,$AH329)))</f>
        <v/>
      </c>
      <c r="V329">
        <f>IF($AH329="","",IF(INDEX('Per Invoice'!V$2:V$401,$AH329)="","",INDEX('Per Invoice'!V$2:V$401,$AH329)))</f>
        <v/>
      </c>
      <c r="W329" s="7">
        <f>IF($AH329="","",IF(INDEX('Per Invoice'!W$2:W$401,$AH329)="","",INDEX('Per Invoice'!W$2:W$401,$AH329)))</f>
        <v/>
      </c>
      <c r="X329" s="7">
        <f>IF($AH329="","",IF(INDEX('Per Invoice'!X$2:X$401,$AH329)="","",INDEX('Per Invoice'!X$2:X$401,$AH329)))</f>
        <v/>
      </c>
      <c r="Y329">
        <f>IF($AH329="","",IF(INDEX('Per Invoice'!Y$2:Y$401,$AH329)="","",INDEX('Per Invoice'!Y$2:Y$401,$AH329)))</f>
        <v/>
      </c>
      <c r="Z329" s="7">
        <f>IF($AH329="","",IF(INDEX('Per Invoice'!Z$2:Z$401,$AH329)="","",INDEX('Per Invoice'!Z$2:Z$401,$AH329)))</f>
        <v/>
      </c>
      <c r="AA329" s="7">
        <f>IF($AH329="","",IF(INDEX('Per Invoice'!AA$2:AA$401,$AH329)="","",INDEX('Per Invoice'!AA$2:AA$401,$AH329)))</f>
        <v/>
      </c>
      <c r="AB329" s="7">
        <f>IF($AH329="","",IF(INDEX('Per Invoice'!AB$2:AB$401,$AH329)="","",INDEX('Per Invoice'!AB$2:AB$401,$AH329)))</f>
        <v/>
      </c>
      <c r="AC329" s="7">
        <f>IF($AH329="","",IF(INDEX('Per Invoice'!AC$2:AC$401,$AH329)="","",INDEX('Per Invoice'!AC$2:AC$401,$AH329)))</f>
        <v/>
      </c>
      <c r="AD329" s="7">
        <f>IF($AH329="","",IF(INDEX('Per Invoice'!AD$2:AD$401,$AH329)="","",INDEX('Per Invoice'!AD$2:AD$401,$AH329)))</f>
        <v/>
      </c>
      <c r="AE329" s="7">
        <f>IF($AH329="","",IF(INDEX('Per Invoice'!AE$2:AE$401,$AH329)="","",INDEX('Per Invoice'!AE$2:AE$401,$AH329)))</f>
        <v/>
      </c>
      <c r="AF329">
        <f>IF($AH329="","",IF(INDEX('Per Invoice'!AF$2:AF$401,$AH329)="","",INDEX('Per Invoice'!AF$2:AF$401,$AH329)))</f>
        <v/>
      </c>
      <c r="AG329" s="7">
        <f>IF($AH329="","",IF(INDEX('Per Invoice'!AG$2:AG$401,$AH329)="","",INDEX('Per Invoice'!AG$2:AG$401,$AH329)))</f>
        <v/>
      </c>
      <c r="AH329" s="16">
        <f>IFERROR(MATCH(Settings!$C$27&amp;"|"&amp;ROWS($AH$2:$AH329),'Per Invoice'!$AI$2:$AI$401,0),"")</f>
        <v/>
      </c>
    </row>
    <row r="330">
      <c r="A330">
        <f>IF($AH330="","",IF(INDEX('Per Invoice'!A$2:A$401,$AH330)="","",INDEX('Per Invoice'!A$2:A$401,$AH330)))</f>
        <v/>
      </c>
      <c r="B330">
        <f>IF($AH330="","",IF(INDEX('Per Invoice'!B$2:B$401,$AH330)="","",INDEX('Per Invoice'!B$2:B$401,$AH330)))</f>
        <v/>
      </c>
      <c r="C330">
        <f>IF($AH330="","",IF(INDEX('Per Invoice'!C$2:C$401,$AH330)="","",INDEX('Per Invoice'!C$2:C$401,$AH330)))</f>
        <v/>
      </c>
      <c r="D330">
        <f>IF($AH330="","",IF(INDEX('Per Invoice'!D$2:D$401,$AH330)="","",INDEX('Per Invoice'!D$2:D$401,$AH330)))</f>
        <v/>
      </c>
      <c r="E330">
        <f>IF($AH330="","",IF(INDEX('Per Invoice'!E$2:E$401,$AH330)="","",INDEX('Per Invoice'!E$2:E$401,$AH330)))</f>
        <v/>
      </c>
      <c r="F330">
        <f>IF($AH330="","",IF(INDEX('Per Invoice'!F$2:F$401,$AH330)="","",INDEX('Per Invoice'!F$2:F$401,$AH330)))</f>
        <v/>
      </c>
      <c r="G330">
        <f>IF($AH330="","",IF(INDEX('Per Invoice'!G$2:G$401,$AH330)="","",INDEX('Per Invoice'!G$2:G$401,$AH330)))</f>
        <v/>
      </c>
      <c r="H330">
        <f>IF($AH330="","",IF(INDEX('Per Invoice'!H$2:H$401,$AH330)="","",INDEX('Per Invoice'!H$2:H$401,$AH330)))</f>
        <v/>
      </c>
      <c r="I330" s="14">
        <f>IF($AH330="","",IF(INDEX('Per Invoice'!I$2:I$401,$AH330)="","",INDEX('Per Invoice'!I$2:I$401,$AH330)))</f>
        <v/>
      </c>
      <c r="J330">
        <f>IF($AH330="","",IF(INDEX('Per Invoice'!J$2:J$401,$AH330)="","",INDEX('Per Invoice'!J$2:J$401,$AH330)))</f>
        <v/>
      </c>
      <c r="K330">
        <f>IF($AH330="","",IF(INDEX('Per Invoice'!K$2:K$401,$AH330)="","",INDEX('Per Invoice'!K$2:K$401,$AH330)))</f>
        <v/>
      </c>
      <c r="L330">
        <f>IF($AH330="","",IF(INDEX('Per Invoice'!L$2:L$401,$AH330)="","",INDEX('Per Invoice'!L$2:L$401,$AH330)))</f>
        <v/>
      </c>
      <c r="M330">
        <f>IF($AH330="","",IF(INDEX('Per Invoice'!M$2:M$401,$AH330)="","",INDEX('Per Invoice'!M$2:M$401,$AH330)))</f>
        <v/>
      </c>
      <c r="N330">
        <f>IF($AH330="","",IF(INDEX('Per Invoice'!N$2:N$401,$AH330)="","",INDEX('Per Invoice'!N$2:N$401,$AH330)))</f>
        <v/>
      </c>
      <c r="O330">
        <f>IF($AH330="","",IF(INDEX('Per Invoice'!O$2:O$401,$AH330)="","",INDEX('Per Invoice'!O$2:O$401,$AH330)))</f>
        <v/>
      </c>
      <c r="P330" s="7">
        <f>IF($AH330="","",IF(INDEX('Per Invoice'!P$2:P$401,$AH330)="","",INDEX('Per Invoice'!P$2:P$401,$AH330)))</f>
        <v/>
      </c>
      <c r="Q330">
        <f>IF($AH330="","",IF(INDEX('Per Invoice'!Q$2:Q$401,$AH330)="","",INDEX('Per Invoice'!Q$2:Q$401,$AH330)))</f>
        <v/>
      </c>
      <c r="R330">
        <f>IF($AH330="","",IF(INDEX('Per Invoice'!R$2:R$401,$AH330)="","",INDEX('Per Invoice'!R$2:R$401,$AH330)))</f>
        <v/>
      </c>
      <c r="S330">
        <f>IF($AH330="","",IF(INDEX('Per Invoice'!S$2:S$401,$AH330)="","",INDEX('Per Invoice'!S$2:S$401,$AH330)))</f>
        <v/>
      </c>
      <c r="T330" s="7">
        <f>IF($AH330="","",IF(INDEX('Per Invoice'!T$2:T$401,$AH330)="","",INDEX('Per Invoice'!T$2:T$401,$AH330)))</f>
        <v/>
      </c>
      <c r="U330" s="7">
        <f>IF($AH330="","",IF(INDEX('Per Invoice'!U$2:U$401,$AH330)="","",INDEX('Per Invoice'!U$2:U$401,$AH330)))</f>
        <v/>
      </c>
      <c r="V330">
        <f>IF($AH330="","",IF(INDEX('Per Invoice'!V$2:V$401,$AH330)="","",INDEX('Per Invoice'!V$2:V$401,$AH330)))</f>
        <v/>
      </c>
      <c r="W330" s="7">
        <f>IF($AH330="","",IF(INDEX('Per Invoice'!W$2:W$401,$AH330)="","",INDEX('Per Invoice'!W$2:W$401,$AH330)))</f>
        <v/>
      </c>
      <c r="X330" s="7">
        <f>IF($AH330="","",IF(INDEX('Per Invoice'!X$2:X$401,$AH330)="","",INDEX('Per Invoice'!X$2:X$401,$AH330)))</f>
        <v/>
      </c>
      <c r="Y330">
        <f>IF($AH330="","",IF(INDEX('Per Invoice'!Y$2:Y$401,$AH330)="","",INDEX('Per Invoice'!Y$2:Y$401,$AH330)))</f>
        <v/>
      </c>
      <c r="Z330" s="7">
        <f>IF($AH330="","",IF(INDEX('Per Invoice'!Z$2:Z$401,$AH330)="","",INDEX('Per Invoice'!Z$2:Z$401,$AH330)))</f>
        <v/>
      </c>
      <c r="AA330" s="7">
        <f>IF($AH330="","",IF(INDEX('Per Invoice'!AA$2:AA$401,$AH330)="","",INDEX('Per Invoice'!AA$2:AA$401,$AH330)))</f>
        <v/>
      </c>
      <c r="AB330" s="7">
        <f>IF($AH330="","",IF(INDEX('Per Invoice'!AB$2:AB$401,$AH330)="","",INDEX('Per Invoice'!AB$2:AB$401,$AH330)))</f>
        <v/>
      </c>
      <c r="AC330" s="7">
        <f>IF($AH330="","",IF(INDEX('Per Invoice'!AC$2:AC$401,$AH330)="","",INDEX('Per Invoice'!AC$2:AC$401,$AH330)))</f>
        <v/>
      </c>
      <c r="AD330" s="7">
        <f>IF($AH330="","",IF(INDEX('Per Invoice'!AD$2:AD$401,$AH330)="","",INDEX('Per Invoice'!AD$2:AD$401,$AH330)))</f>
        <v/>
      </c>
      <c r="AE330" s="7">
        <f>IF($AH330="","",IF(INDEX('Per Invoice'!AE$2:AE$401,$AH330)="","",INDEX('Per Invoice'!AE$2:AE$401,$AH330)))</f>
        <v/>
      </c>
      <c r="AF330">
        <f>IF($AH330="","",IF(INDEX('Per Invoice'!AF$2:AF$401,$AH330)="","",INDEX('Per Invoice'!AF$2:AF$401,$AH330)))</f>
        <v/>
      </c>
      <c r="AG330" s="7">
        <f>IF($AH330="","",IF(INDEX('Per Invoice'!AG$2:AG$401,$AH330)="","",INDEX('Per Invoice'!AG$2:AG$401,$AH330)))</f>
        <v/>
      </c>
      <c r="AH330" s="16">
        <f>IFERROR(MATCH(Settings!$C$27&amp;"|"&amp;ROWS($AH$2:$AH330),'Per Invoice'!$AI$2:$AI$401,0),"")</f>
        <v/>
      </c>
    </row>
    <row r="331">
      <c r="A331">
        <f>IF($AH331="","",IF(INDEX('Per Invoice'!A$2:A$401,$AH331)="","",INDEX('Per Invoice'!A$2:A$401,$AH331)))</f>
        <v/>
      </c>
      <c r="B331">
        <f>IF($AH331="","",IF(INDEX('Per Invoice'!B$2:B$401,$AH331)="","",INDEX('Per Invoice'!B$2:B$401,$AH331)))</f>
        <v/>
      </c>
      <c r="C331">
        <f>IF($AH331="","",IF(INDEX('Per Invoice'!C$2:C$401,$AH331)="","",INDEX('Per Invoice'!C$2:C$401,$AH331)))</f>
        <v/>
      </c>
      <c r="D331">
        <f>IF($AH331="","",IF(INDEX('Per Invoice'!D$2:D$401,$AH331)="","",INDEX('Per Invoice'!D$2:D$401,$AH331)))</f>
        <v/>
      </c>
      <c r="E331">
        <f>IF($AH331="","",IF(INDEX('Per Invoice'!E$2:E$401,$AH331)="","",INDEX('Per Invoice'!E$2:E$401,$AH331)))</f>
        <v/>
      </c>
      <c r="F331">
        <f>IF($AH331="","",IF(INDEX('Per Invoice'!F$2:F$401,$AH331)="","",INDEX('Per Invoice'!F$2:F$401,$AH331)))</f>
        <v/>
      </c>
      <c r="G331">
        <f>IF($AH331="","",IF(INDEX('Per Invoice'!G$2:G$401,$AH331)="","",INDEX('Per Invoice'!G$2:G$401,$AH331)))</f>
        <v/>
      </c>
      <c r="H331">
        <f>IF($AH331="","",IF(INDEX('Per Invoice'!H$2:H$401,$AH331)="","",INDEX('Per Invoice'!H$2:H$401,$AH331)))</f>
        <v/>
      </c>
      <c r="I331" s="14">
        <f>IF($AH331="","",IF(INDEX('Per Invoice'!I$2:I$401,$AH331)="","",INDEX('Per Invoice'!I$2:I$401,$AH331)))</f>
        <v/>
      </c>
      <c r="J331">
        <f>IF($AH331="","",IF(INDEX('Per Invoice'!J$2:J$401,$AH331)="","",INDEX('Per Invoice'!J$2:J$401,$AH331)))</f>
        <v/>
      </c>
      <c r="K331">
        <f>IF($AH331="","",IF(INDEX('Per Invoice'!K$2:K$401,$AH331)="","",INDEX('Per Invoice'!K$2:K$401,$AH331)))</f>
        <v/>
      </c>
      <c r="L331">
        <f>IF($AH331="","",IF(INDEX('Per Invoice'!L$2:L$401,$AH331)="","",INDEX('Per Invoice'!L$2:L$401,$AH331)))</f>
        <v/>
      </c>
      <c r="M331">
        <f>IF($AH331="","",IF(INDEX('Per Invoice'!M$2:M$401,$AH331)="","",INDEX('Per Invoice'!M$2:M$401,$AH331)))</f>
        <v/>
      </c>
      <c r="N331">
        <f>IF($AH331="","",IF(INDEX('Per Invoice'!N$2:N$401,$AH331)="","",INDEX('Per Invoice'!N$2:N$401,$AH331)))</f>
        <v/>
      </c>
      <c r="O331">
        <f>IF($AH331="","",IF(INDEX('Per Invoice'!O$2:O$401,$AH331)="","",INDEX('Per Invoice'!O$2:O$401,$AH331)))</f>
        <v/>
      </c>
      <c r="P331" s="7">
        <f>IF($AH331="","",IF(INDEX('Per Invoice'!P$2:P$401,$AH331)="","",INDEX('Per Invoice'!P$2:P$401,$AH331)))</f>
        <v/>
      </c>
      <c r="Q331">
        <f>IF($AH331="","",IF(INDEX('Per Invoice'!Q$2:Q$401,$AH331)="","",INDEX('Per Invoice'!Q$2:Q$401,$AH331)))</f>
        <v/>
      </c>
      <c r="R331">
        <f>IF($AH331="","",IF(INDEX('Per Invoice'!R$2:R$401,$AH331)="","",INDEX('Per Invoice'!R$2:R$401,$AH331)))</f>
        <v/>
      </c>
      <c r="S331">
        <f>IF($AH331="","",IF(INDEX('Per Invoice'!S$2:S$401,$AH331)="","",INDEX('Per Invoice'!S$2:S$401,$AH331)))</f>
        <v/>
      </c>
      <c r="T331" s="7">
        <f>IF($AH331="","",IF(INDEX('Per Invoice'!T$2:T$401,$AH331)="","",INDEX('Per Invoice'!T$2:T$401,$AH331)))</f>
        <v/>
      </c>
      <c r="U331" s="7">
        <f>IF($AH331="","",IF(INDEX('Per Invoice'!U$2:U$401,$AH331)="","",INDEX('Per Invoice'!U$2:U$401,$AH331)))</f>
        <v/>
      </c>
      <c r="V331">
        <f>IF($AH331="","",IF(INDEX('Per Invoice'!V$2:V$401,$AH331)="","",INDEX('Per Invoice'!V$2:V$401,$AH331)))</f>
        <v/>
      </c>
      <c r="W331" s="7">
        <f>IF($AH331="","",IF(INDEX('Per Invoice'!W$2:W$401,$AH331)="","",INDEX('Per Invoice'!W$2:W$401,$AH331)))</f>
        <v/>
      </c>
      <c r="X331" s="7">
        <f>IF($AH331="","",IF(INDEX('Per Invoice'!X$2:X$401,$AH331)="","",INDEX('Per Invoice'!X$2:X$401,$AH331)))</f>
        <v/>
      </c>
      <c r="Y331">
        <f>IF($AH331="","",IF(INDEX('Per Invoice'!Y$2:Y$401,$AH331)="","",INDEX('Per Invoice'!Y$2:Y$401,$AH331)))</f>
        <v/>
      </c>
      <c r="Z331" s="7">
        <f>IF($AH331="","",IF(INDEX('Per Invoice'!Z$2:Z$401,$AH331)="","",INDEX('Per Invoice'!Z$2:Z$401,$AH331)))</f>
        <v/>
      </c>
      <c r="AA331" s="7">
        <f>IF($AH331="","",IF(INDEX('Per Invoice'!AA$2:AA$401,$AH331)="","",INDEX('Per Invoice'!AA$2:AA$401,$AH331)))</f>
        <v/>
      </c>
      <c r="AB331" s="7">
        <f>IF($AH331="","",IF(INDEX('Per Invoice'!AB$2:AB$401,$AH331)="","",INDEX('Per Invoice'!AB$2:AB$401,$AH331)))</f>
        <v/>
      </c>
      <c r="AC331" s="7">
        <f>IF($AH331="","",IF(INDEX('Per Invoice'!AC$2:AC$401,$AH331)="","",INDEX('Per Invoice'!AC$2:AC$401,$AH331)))</f>
        <v/>
      </c>
      <c r="AD331" s="7">
        <f>IF($AH331="","",IF(INDEX('Per Invoice'!AD$2:AD$401,$AH331)="","",INDEX('Per Invoice'!AD$2:AD$401,$AH331)))</f>
        <v/>
      </c>
      <c r="AE331" s="7">
        <f>IF($AH331="","",IF(INDEX('Per Invoice'!AE$2:AE$401,$AH331)="","",INDEX('Per Invoice'!AE$2:AE$401,$AH331)))</f>
        <v/>
      </c>
      <c r="AF331">
        <f>IF($AH331="","",IF(INDEX('Per Invoice'!AF$2:AF$401,$AH331)="","",INDEX('Per Invoice'!AF$2:AF$401,$AH331)))</f>
        <v/>
      </c>
      <c r="AG331" s="7">
        <f>IF($AH331="","",IF(INDEX('Per Invoice'!AG$2:AG$401,$AH331)="","",INDEX('Per Invoice'!AG$2:AG$401,$AH331)))</f>
        <v/>
      </c>
      <c r="AH331" s="16">
        <f>IFERROR(MATCH(Settings!$C$27&amp;"|"&amp;ROWS($AH$2:$AH331),'Per Invoice'!$AI$2:$AI$401,0),"")</f>
        <v/>
      </c>
    </row>
    <row r="332">
      <c r="A332">
        <f>IF($AH332="","",IF(INDEX('Per Invoice'!A$2:A$401,$AH332)="","",INDEX('Per Invoice'!A$2:A$401,$AH332)))</f>
        <v/>
      </c>
      <c r="B332">
        <f>IF($AH332="","",IF(INDEX('Per Invoice'!B$2:B$401,$AH332)="","",INDEX('Per Invoice'!B$2:B$401,$AH332)))</f>
        <v/>
      </c>
      <c r="C332">
        <f>IF($AH332="","",IF(INDEX('Per Invoice'!C$2:C$401,$AH332)="","",INDEX('Per Invoice'!C$2:C$401,$AH332)))</f>
        <v/>
      </c>
      <c r="D332">
        <f>IF($AH332="","",IF(INDEX('Per Invoice'!D$2:D$401,$AH332)="","",INDEX('Per Invoice'!D$2:D$401,$AH332)))</f>
        <v/>
      </c>
      <c r="E332">
        <f>IF($AH332="","",IF(INDEX('Per Invoice'!E$2:E$401,$AH332)="","",INDEX('Per Invoice'!E$2:E$401,$AH332)))</f>
        <v/>
      </c>
      <c r="F332">
        <f>IF($AH332="","",IF(INDEX('Per Invoice'!F$2:F$401,$AH332)="","",INDEX('Per Invoice'!F$2:F$401,$AH332)))</f>
        <v/>
      </c>
      <c r="G332">
        <f>IF($AH332="","",IF(INDEX('Per Invoice'!G$2:G$401,$AH332)="","",INDEX('Per Invoice'!G$2:G$401,$AH332)))</f>
        <v/>
      </c>
      <c r="H332">
        <f>IF($AH332="","",IF(INDEX('Per Invoice'!H$2:H$401,$AH332)="","",INDEX('Per Invoice'!H$2:H$401,$AH332)))</f>
        <v/>
      </c>
      <c r="I332" s="14">
        <f>IF($AH332="","",IF(INDEX('Per Invoice'!I$2:I$401,$AH332)="","",INDEX('Per Invoice'!I$2:I$401,$AH332)))</f>
        <v/>
      </c>
      <c r="J332">
        <f>IF($AH332="","",IF(INDEX('Per Invoice'!J$2:J$401,$AH332)="","",INDEX('Per Invoice'!J$2:J$401,$AH332)))</f>
        <v/>
      </c>
      <c r="K332">
        <f>IF($AH332="","",IF(INDEX('Per Invoice'!K$2:K$401,$AH332)="","",INDEX('Per Invoice'!K$2:K$401,$AH332)))</f>
        <v/>
      </c>
      <c r="L332">
        <f>IF($AH332="","",IF(INDEX('Per Invoice'!L$2:L$401,$AH332)="","",INDEX('Per Invoice'!L$2:L$401,$AH332)))</f>
        <v/>
      </c>
      <c r="M332">
        <f>IF($AH332="","",IF(INDEX('Per Invoice'!M$2:M$401,$AH332)="","",INDEX('Per Invoice'!M$2:M$401,$AH332)))</f>
        <v/>
      </c>
      <c r="N332">
        <f>IF($AH332="","",IF(INDEX('Per Invoice'!N$2:N$401,$AH332)="","",INDEX('Per Invoice'!N$2:N$401,$AH332)))</f>
        <v/>
      </c>
      <c r="O332">
        <f>IF($AH332="","",IF(INDEX('Per Invoice'!O$2:O$401,$AH332)="","",INDEX('Per Invoice'!O$2:O$401,$AH332)))</f>
        <v/>
      </c>
      <c r="P332" s="7">
        <f>IF($AH332="","",IF(INDEX('Per Invoice'!P$2:P$401,$AH332)="","",INDEX('Per Invoice'!P$2:P$401,$AH332)))</f>
        <v/>
      </c>
      <c r="Q332">
        <f>IF($AH332="","",IF(INDEX('Per Invoice'!Q$2:Q$401,$AH332)="","",INDEX('Per Invoice'!Q$2:Q$401,$AH332)))</f>
        <v/>
      </c>
      <c r="R332">
        <f>IF($AH332="","",IF(INDEX('Per Invoice'!R$2:R$401,$AH332)="","",INDEX('Per Invoice'!R$2:R$401,$AH332)))</f>
        <v/>
      </c>
      <c r="S332">
        <f>IF($AH332="","",IF(INDEX('Per Invoice'!S$2:S$401,$AH332)="","",INDEX('Per Invoice'!S$2:S$401,$AH332)))</f>
        <v/>
      </c>
      <c r="T332" s="7">
        <f>IF($AH332="","",IF(INDEX('Per Invoice'!T$2:T$401,$AH332)="","",INDEX('Per Invoice'!T$2:T$401,$AH332)))</f>
        <v/>
      </c>
      <c r="U332" s="7">
        <f>IF($AH332="","",IF(INDEX('Per Invoice'!U$2:U$401,$AH332)="","",INDEX('Per Invoice'!U$2:U$401,$AH332)))</f>
        <v/>
      </c>
      <c r="V332">
        <f>IF($AH332="","",IF(INDEX('Per Invoice'!V$2:V$401,$AH332)="","",INDEX('Per Invoice'!V$2:V$401,$AH332)))</f>
        <v/>
      </c>
      <c r="W332" s="7">
        <f>IF($AH332="","",IF(INDEX('Per Invoice'!W$2:W$401,$AH332)="","",INDEX('Per Invoice'!W$2:W$401,$AH332)))</f>
        <v/>
      </c>
      <c r="X332" s="7">
        <f>IF($AH332="","",IF(INDEX('Per Invoice'!X$2:X$401,$AH332)="","",INDEX('Per Invoice'!X$2:X$401,$AH332)))</f>
        <v/>
      </c>
      <c r="Y332">
        <f>IF($AH332="","",IF(INDEX('Per Invoice'!Y$2:Y$401,$AH332)="","",INDEX('Per Invoice'!Y$2:Y$401,$AH332)))</f>
        <v/>
      </c>
      <c r="Z332" s="7">
        <f>IF($AH332="","",IF(INDEX('Per Invoice'!Z$2:Z$401,$AH332)="","",INDEX('Per Invoice'!Z$2:Z$401,$AH332)))</f>
        <v/>
      </c>
      <c r="AA332" s="7">
        <f>IF($AH332="","",IF(INDEX('Per Invoice'!AA$2:AA$401,$AH332)="","",INDEX('Per Invoice'!AA$2:AA$401,$AH332)))</f>
        <v/>
      </c>
      <c r="AB332" s="7">
        <f>IF($AH332="","",IF(INDEX('Per Invoice'!AB$2:AB$401,$AH332)="","",INDEX('Per Invoice'!AB$2:AB$401,$AH332)))</f>
        <v/>
      </c>
      <c r="AC332" s="7">
        <f>IF($AH332="","",IF(INDEX('Per Invoice'!AC$2:AC$401,$AH332)="","",INDEX('Per Invoice'!AC$2:AC$401,$AH332)))</f>
        <v/>
      </c>
      <c r="AD332" s="7">
        <f>IF($AH332="","",IF(INDEX('Per Invoice'!AD$2:AD$401,$AH332)="","",INDEX('Per Invoice'!AD$2:AD$401,$AH332)))</f>
        <v/>
      </c>
      <c r="AE332" s="7">
        <f>IF($AH332="","",IF(INDEX('Per Invoice'!AE$2:AE$401,$AH332)="","",INDEX('Per Invoice'!AE$2:AE$401,$AH332)))</f>
        <v/>
      </c>
      <c r="AF332">
        <f>IF($AH332="","",IF(INDEX('Per Invoice'!AF$2:AF$401,$AH332)="","",INDEX('Per Invoice'!AF$2:AF$401,$AH332)))</f>
        <v/>
      </c>
      <c r="AG332" s="7">
        <f>IF($AH332="","",IF(INDEX('Per Invoice'!AG$2:AG$401,$AH332)="","",INDEX('Per Invoice'!AG$2:AG$401,$AH332)))</f>
        <v/>
      </c>
      <c r="AH332" s="16">
        <f>IFERROR(MATCH(Settings!$C$27&amp;"|"&amp;ROWS($AH$2:$AH332),'Per Invoice'!$AI$2:$AI$401,0),"")</f>
        <v/>
      </c>
    </row>
    <row r="333">
      <c r="A333">
        <f>IF($AH333="","",IF(INDEX('Per Invoice'!A$2:A$401,$AH333)="","",INDEX('Per Invoice'!A$2:A$401,$AH333)))</f>
        <v/>
      </c>
      <c r="B333">
        <f>IF($AH333="","",IF(INDEX('Per Invoice'!B$2:B$401,$AH333)="","",INDEX('Per Invoice'!B$2:B$401,$AH333)))</f>
        <v/>
      </c>
      <c r="C333">
        <f>IF($AH333="","",IF(INDEX('Per Invoice'!C$2:C$401,$AH333)="","",INDEX('Per Invoice'!C$2:C$401,$AH333)))</f>
        <v/>
      </c>
      <c r="D333">
        <f>IF($AH333="","",IF(INDEX('Per Invoice'!D$2:D$401,$AH333)="","",INDEX('Per Invoice'!D$2:D$401,$AH333)))</f>
        <v/>
      </c>
      <c r="E333">
        <f>IF($AH333="","",IF(INDEX('Per Invoice'!E$2:E$401,$AH333)="","",INDEX('Per Invoice'!E$2:E$401,$AH333)))</f>
        <v/>
      </c>
      <c r="F333">
        <f>IF($AH333="","",IF(INDEX('Per Invoice'!F$2:F$401,$AH333)="","",INDEX('Per Invoice'!F$2:F$401,$AH333)))</f>
        <v/>
      </c>
      <c r="G333">
        <f>IF($AH333="","",IF(INDEX('Per Invoice'!G$2:G$401,$AH333)="","",INDEX('Per Invoice'!G$2:G$401,$AH333)))</f>
        <v/>
      </c>
      <c r="H333">
        <f>IF($AH333="","",IF(INDEX('Per Invoice'!H$2:H$401,$AH333)="","",INDEX('Per Invoice'!H$2:H$401,$AH333)))</f>
        <v/>
      </c>
      <c r="I333" s="14">
        <f>IF($AH333="","",IF(INDEX('Per Invoice'!I$2:I$401,$AH333)="","",INDEX('Per Invoice'!I$2:I$401,$AH333)))</f>
        <v/>
      </c>
      <c r="J333">
        <f>IF($AH333="","",IF(INDEX('Per Invoice'!J$2:J$401,$AH333)="","",INDEX('Per Invoice'!J$2:J$401,$AH333)))</f>
        <v/>
      </c>
      <c r="K333">
        <f>IF($AH333="","",IF(INDEX('Per Invoice'!K$2:K$401,$AH333)="","",INDEX('Per Invoice'!K$2:K$401,$AH333)))</f>
        <v/>
      </c>
      <c r="L333">
        <f>IF($AH333="","",IF(INDEX('Per Invoice'!L$2:L$401,$AH333)="","",INDEX('Per Invoice'!L$2:L$401,$AH333)))</f>
        <v/>
      </c>
      <c r="M333">
        <f>IF($AH333="","",IF(INDEX('Per Invoice'!M$2:M$401,$AH333)="","",INDEX('Per Invoice'!M$2:M$401,$AH333)))</f>
        <v/>
      </c>
      <c r="N333">
        <f>IF($AH333="","",IF(INDEX('Per Invoice'!N$2:N$401,$AH333)="","",INDEX('Per Invoice'!N$2:N$401,$AH333)))</f>
        <v/>
      </c>
      <c r="O333">
        <f>IF($AH333="","",IF(INDEX('Per Invoice'!O$2:O$401,$AH333)="","",INDEX('Per Invoice'!O$2:O$401,$AH333)))</f>
        <v/>
      </c>
      <c r="P333" s="7">
        <f>IF($AH333="","",IF(INDEX('Per Invoice'!P$2:P$401,$AH333)="","",INDEX('Per Invoice'!P$2:P$401,$AH333)))</f>
        <v/>
      </c>
      <c r="Q333">
        <f>IF($AH333="","",IF(INDEX('Per Invoice'!Q$2:Q$401,$AH333)="","",INDEX('Per Invoice'!Q$2:Q$401,$AH333)))</f>
        <v/>
      </c>
      <c r="R333">
        <f>IF($AH333="","",IF(INDEX('Per Invoice'!R$2:R$401,$AH333)="","",INDEX('Per Invoice'!R$2:R$401,$AH333)))</f>
        <v/>
      </c>
      <c r="S333">
        <f>IF($AH333="","",IF(INDEX('Per Invoice'!S$2:S$401,$AH333)="","",INDEX('Per Invoice'!S$2:S$401,$AH333)))</f>
        <v/>
      </c>
      <c r="T333" s="7">
        <f>IF($AH333="","",IF(INDEX('Per Invoice'!T$2:T$401,$AH333)="","",INDEX('Per Invoice'!T$2:T$401,$AH333)))</f>
        <v/>
      </c>
      <c r="U333" s="7">
        <f>IF($AH333="","",IF(INDEX('Per Invoice'!U$2:U$401,$AH333)="","",INDEX('Per Invoice'!U$2:U$401,$AH333)))</f>
        <v/>
      </c>
      <c r="V333">
        <f>IF($AH333="","",IF(INDEX('Per Invoice'!V$2:V$401,$AH333)="","",INDEX('Per Invoice'!V$2:V$401,$AH333)))</f>
        <v/>
      </c>
      <c r="W333" s="7">
        <f>IF($AH333="","",IF(INDEX('Per Invoice'!W$2:W$401,$AH333)="","",INDEX('Per Invoice'!W$2:W$401,$AH333)))</f>
        <v/>
      </c>
      <c r="X333" s="7">
        <f>IF($AH333="","",IF(INDEX('Per Invoice'!X$2:X$401,$AH333)="","",INDEX('Per Invoice'!X$2:X$401,$AH333)))</f>
        <v/>
      </c>
      <c r="Y333">
        <f>IF($AH333="","",IF(INDEX('Per Invoice'!Y$2:Y$401,$AH333)="","",INDEX('Per Invoice'!Y$2:Y$401,$AH333)))</f>
        <v/>
      </c>
      <c r="Z333" s="7">
        <f>IF($AH333="","",IF(INDEX('Per Invoice'!Z$2:Z$401,$AH333)="","",INDEX('Per Invoice'!Z$2:Z$401,$AH333)))</f>
        <v/>
      </c>
      <c r="AA333" s="7">
        <f>IF($AH333="","",IF(INDEX('Per Invoice'!AA$2:AA$401,$AH333)="","",INDEX('Per Invoice'!AA$2:AA$401,$AH333)))</f>
        <v/>
      </c>
      <c r="AB333" s="7">
        <f>IF($AH333="","",IF(INDEX('Per Invoice'!AB$2:AB$401,$AH333)="","",INDEX('Per Invoice'!AB$2:AB$401,$AH333)))</f>
        <v/>
      </c>
      <c r="AC333" s="7">
        <f>IF($AH333="","",IF(INDEX('Per Invoice'!AC$2:AC$401,$AH333)="","",INDEX('Per Invoice'!AC$2:AC$401,$AH333)))</f>
        <v/>
      </c>
      <c r="AD333" s="7">
        <f>IF($AH333="","",IF(INDEX('Per Invoice'!AD$2:AD$401,$AH333)="","",INDEX('Per Invoice'!AD$2:AD$401,$AH333)))</f>
        <v/>
      </c>
      <c r="AE333" s="7">
        <f>IF($AH333="","",IF(INDEX('Per Invoice'!AE$2:AE$401,$AH333)="","",INDEX('Per Invoice'!AE$2:AE$401,$AH333)))</f>
        <v/>
      </c>
      <c r="AF333">
        <f>IF($AH333="","",IF(INDEX('Per Invoice'!AF$2:AF$401,$AH333)="","",INDEX('Per Invoice'!AF$2:AF$401,$AH333)))</f>
        <v/>
      </c>
      <c r="AG333" s="7">
        <f>IF($AH333="","",IF(INDEX('Per Invoice'!AG$2:AG$401,$AH333)="","",INDEX('Per Invoice'!AG$2:AG$401,$AH333)))</f>
        <v/>
      </c>
      <c r="AH333" s="16">
        <f>IFERROR(MATCH(Settings!$C$27&amp;"|"&amp;ROWS($AH$2:$AH333),'Per Invoice'!$AI$2:$AI$401,0),"")</f>
        <v/>
      </c>
    </row>
    <row r="334">
      <c r="A334">
        <f>IF($AH334="","",IF(INDEX('Per Invoice'!A$2:A$401,$AH334)="","",INDEX('Per Invoice'!A$2:A$401,$AH334)))</f>
        <v/>
      </c>
      <c r="B334">
        <f>IF($AH334="","",IF(INDEX('Per Invoice'!B$2:B$401,$AH334)="","",INDEX('Per Invoice'!B$2:B$401,$AH334)))</f>
        <v/>
      </c>
      <c r="C334">
        <f>IF($AH334="","",IF(INDEX('Per Invoice'!C$2:C$401,$AH334)="","",INDEX('Per Invoice'!C$2:C$401,$AH334)))</f>
        <v/>
      </c>
      <c r="D334">
        <f>IF($AH334="","",IF(INDEX('Per Invoice'!D$2:D$401,$AH334)="","",INDEX('Per Invoice'!D$2:D$401,$AH334)))</f>
        <v/>
      </c>
      <c r="E334">
        <f>IF($AH334="","",IF(INDEX('Per Invoice'!E$2:E$401,$AH334)="","",INDEX('Per Invoice'!E$2:E$401,$AH334)))</f>
        <v/>
      </c>
      <c r="F334">
        <f>IF($AH334="","",IF(INDEX('Per Invoice'!F$2:F$401,$AH334)="","",INDEX('Per Invoice'!F$2:F$401,$AH334)))</f>
        <v/>
      </c>
      <c r="G334">
        <f>IF($AH334="","",IF(INDEX('Per Invoice'!G$2:G$401,$AH334)="","",INDEX('Per Invoice'!G$2:G$401,$AH334)))</f>
        <v/>
      </c>
      <c r="H334">
        <f>IF($AH334="","",IF(INDEX('Per Invoice'!H$2:H$401,$AH334)="","",INDEX('Per Invoice'!H$2:H$401,$AH334)))</f>
        <v/>
      </c>
      <c r="I334" s="14">
        <f>IF($AH334="","",IF(INDEX('Per Invoice'!I$2:I$401,$AH334)="","",INDEX('Per Invoice'!I$2:I$401,$AH334)))</f>
        <v/>
      </c>
      <c r="J334">
        <f>IF($AH334="","",IF(INDEX('Per Invoice'!J$2:J$401,$AH334)="","",INDEX('Per Invoice'!J$2:J$401,$AH334)))</f>
        <v/>
      </c>
      <c r="K334">
        <f>IF($AH334="","",IF(INDEX('Per Invoice'!K$2:K$401,$AH334)="","",INDEX('Per Invoice'!K$2:K$401,$AH334)))</f>
        <v/>
      </c>
      <c r="L334">
        <f>IF($AH334="","",IF(INDEX('Per Invoice'!L$2:L$401,$AH334)="","",INDEX('Per Invoice'!L$2:L$401,$AH334)))</f>
        <v/>
      </c>
      <c r="M334">
        <f>IF($AH334="","",IF(INDEX('Per Invoice'!M$2:M$401,$AH334)="","",INDEX('Per Invoice'!M$2:M$401,$AH334)))</f>
        <v/>
      </c>
      <c r="N334">
        <f>IF($AH334="","",IF(INDEX('Per Invoice'!N$2:N$401,$AH334)="","",INDEX('Per Invoice'!N$2:N$401,$AH334)))</f>
        <v/>
      </c>
      <c r="O334">
        <f>IF($AH334="","",IF(INDEX('Per Invoice'!O$2:O$401,$AH334)="","",INDEX('Per Invoice'!O$2:O$401,$AH334)))</f>
        <v/>
      </c>
      <c r="P334" s="7">
        <f>IF($AH334="","",IF(INDEX('Per Invoice'!P$2:P$401,$AH334)="","",INDEX('Per Invoice'!P$2:P$401,$AH334)))</f>
        <v/>
      </c>
      <c r="Q334">
        <f>IF($AH334="","",IF(INDEX('Per Invoice'!Q$2:Q$401,$AH334)="","",INDEX('Per Invoice'!Q$2:Q$401,$AH334)))</f>
        <v/>
      </c>
      <c r="R334">
        <f>IF($AH334="","",IF(INDEX('Per Invoice'!R$2:R$401,$AH334)="","",INDEX('Per Invoice'!R$2:R$401,$AH334)))</f>
        <v/>
      </c>
      <c r="S334">
        <f>IF($AH334="","",IF(INDEX('Per Invoice'!S$2:S$401,$AH334)="","",INDEX('Per Invoice'!S$2:S$401,$AH334)))</f>
        <v/>
      </c>
      <c r="T334" s="7">
        <f>IF($AH334="","",IF(INDEX('Per Invoice'!T$2:T$401,$AH334)="","",INDEX('Per Invoice'!T$2:T$401,$AH334)))</f>
        <v/>
      </c>
      <c r="U334" s="7">
        <f>IF($AH334="","",IF(INDEX('Per Invoice'!U$2:U$401,$AH334)="","",INDEX('Per Invoice'!U$2:U$401,$AH334)))</f>
        <v/>
      </c>
      <c r="V334">
        <f>IF($AH334="","",IF(INDEX('Per Invoice'!V$2:V$401,$AH334)="","",INDEX('Per Invoice'!V$2:V$401,$AH334)))</f>
        <v/>
      </c>
      <c r="W334" s="7">
        <f>IF($AH334="","",IF(INDEX('Per Invoice'!W$2:W$401,$AH334)="","",INDEX('Per Invoice'!W$2:W$401,$AH334)))</f>
        <v/>
      </c>
      <c r="X334" s="7">
        <f>IF($AH334="","",IF(INDEX('Per Invoice'!X$2:X$401,$AH334)="","",INDEX('Per Invoice'!X$2:X$401,$AH334)))</f>
        <v/>
      </c>
      <c r="Y334">
        <f>IF($AH334="","",IF(INDEX('Per Invoice'!Y$2:Y$401,$AH334)="","",INDEX('Per Invoice'!Y$2:Y$401,$AH334)))</f>
        <v/>
      </c>
      <c r="Z334" s="7">
        <f>IF($AH334="","",IF(INDEX('Per Invoice'!Z$2:Z$401,$AH334)="","",INDEX('Per Invoice'!Z$2:Z$401,$AH334)))</f>
        <v/>
      </c>
      <c r="AA334" s="7">
        <f>IF($AH334="","",IF(INDEX('Per Invoice'!AA$2:AA$401,$AH334)="","",INDEX('Per Invoice'!AA$2:AA$401,$AH334)))</f>
        <v/>
      </c>
      <c r="AB334" s="7">
        <f>IF($AH334="","",IF(INDEX('Per Invoice'!AB$2:AB$401,$AH334)="","",INDEX('Per Invoice'!AB$2:AB$401,$AH334)))</f>
        <v/>
      </c>
      <c r="AC334" s="7">
        <f>IF($AH334="","",IF(INDEX('Per Invoice'!AC$2:AC$401,$AH334)="","",INDEX('Per Invoice'!AC$2:AC$401,$AH334)))</f>
        <v/>
      </c>
      <c r="AD334" s="7">
        <f>IF($AH334="","",IF(INDEX('Per Invoice'!AD$2:AD$401,$AH334)="","",INDEX('Per Invoice'!AD$2:AD$401,$AH334)))</f>
        <v/>
      </c>
      <c r="AE334" s="7">
        <f>IF($AH334="","",IF(INDEX('Per Invoice'!AE$2:AE$401,$AH334)="","",INDEX('Per Invoice'!AE$2:AE$401,$AH334)))</f>
        <v/>
      </c>
      <c r="AF334">
        <f>IF($AH334="","",IF(INDEX('Per Invoice'!AF$2:AF$401,$AH334)="","",INDEX('Per Invoice'!AF$2:AF$401,$AH334)))</f>
        <v/>
      </c>
      <c r="AG334" s="7">
        <f>IF($AH334="","",IF(INDEX('Per Invoice'!AG$2:AG$401,$AH334)="","",INDEX('Per Invoice'!AG$2:AG$401,$AH334)))</f>
        <v/>
      </c>
      <c r="AH334" s="16">
        <f>IFERROR(MATCH(Settings!$C$27&amp;"|"&amp;ROWS($AH$2:$AH334),'Per Invoice'!$AI$2:$AI$401,0),"")</f>
        <v/>
      </c>
    </row>
    <row r="335">
      <c r="A335">
        <f>IF($AH335="","",IF(INDEX('Per Invoice'!A$2:A$401,$AH335)="","",INDEX('Per Invoice'!A$2:A$401,$AH335)))</f>
        <v/>
      </c>
      <c r="B335">
        <f>IF($AH335="","",IF(INDEX('Per Invoice'!B$2:B$401,$AH335)="","",INDEX('Per Invoice'!B$2:B$401,$AH335)))</f>
        <v/>
      </c>
      <c r="C335">
        <f>IF($AH335="","",IF(INDEX('Per Invoice'!C$2:C$401,$AH335)="","",INDEX('Per Invoice'!C$2:C$401,$AH335)))</f>
        <v/>
      </c>
      <c r="D335">
        <f>IF($AH335="","",IF(INDEX('Per Invoice'!D$2:D$401,$AH335)="","",INDEX('Per Invoice'!D$2:D$401,$AH335)))</f>
        <v/>
      </c>
      <c r="E335">
        <f>IF($AH335="","",IF(INDEX('Per Invoice'!E$2:E$401,$AH335)="","",INDEX('Per Invoice'!E$2:E$401,$AH335)))</f>
        <v/>
      </c>
      <c r="F335">
        <f>IF($AH335="","",IF(INDEX('Per Invoice'!F$2:F$401,$AH335)="","",INDEX('Per Invoice'!F$2:F$401,$AH335)))</f>
        <v/>
      </c>
      <c r="G335">
        <f>IF($AH335="","",IF(INDEX('Per Invoice'!G$2:G$401,$AH335)="","",INDEX('Per Invoice'!G$2:G$401,$AH335)))</f>
        <v/>
      </c>
      <c r="H335">
        <f>IF($AH335="","",IF(INDEX('Per Invoice'!H$2:H$401,$AH335)="","",INDEX('Per Invoice'!H$2:H$401,$AH335)))</f>
        <v/>
      </c>
      <c r="I335" s="14">
        <f>IF($AH335="","",IF(INDEX('Per Invoice'!I$2:I$401,$AH335)="","",INDEX('Per Invoice'!I$2:I$401,$AH335)))</f>
        <v/>
      </c>
      <c r="J335">
        <f>IF($AH335="","",IF(INDEX('Per Invoice'!J$2:J$401,$AH335)="","",INDEX('Per Invoice'!J$2:J$401,$AH335)))</f>
        <v/>
      </c>
      <c r="K335">
        <f>IF($AH335="","",IF(INDEX('Per Invoice'!K$2:K$401,$AH335)="","",INDEX('Per Invoice'!K$2:K$401,$AH335)))</f>
        <v/>
      </c>
      <c r="L335">
        <f>IF($AH335="","",IF(INDEX('Per Invoice'!L$2:L$401,$AH335)="","",INDEX('Per Invoice'!L$2:L$401,$AH335)))</f>
        <v/>
      </c>
      <c r="M335">
        <f>IF($AH335="","",IF(INDEX('Per Invoice'!M$2:M$401,$AH335)="","",INDEX('Per Invoice'!M$2:M$401,$AH335)))</f>
        <v/>
      </c>
      <c r="N335">
        <f>IF($AH335="","",IF(INDEX('Per Invoice'!N$2:N$401,$AH335)="","",INDEX('Per Invoice'!N$2:N$401,$AH335)))</f>
        <v/>
      </c>
      <c r="O335">
        <f>IF($AH335="","",IF(INDEX('Per Invoice'!O$2:O$401,$AH335)="","",INDEX('Per Invoice'!O$2:O$401,$AH335)))</f>
        <v/>
      </c>
      <c r="P335" s="7">
        <f>IF($AH335="","",IF(INDEX('Per Invoice'!P$2:P$401,$AH335)="","",INDEX('Per Invoice'!P$2:P$401,$AH335)))</f>
        <v/>
      </c>
      <c r="Q335">
        <f>IF($AH335="","",IF(INDEX('Per Invoice'!Q$2:Q$401,$AH335)="","",INDEX('Per Invoice'!Q$2:Q$401,$AH335)))</f>
        <v/>
      </c>
      <c r="R335">
        <f>IF($AH335="","",IF(INDEX('Per Invoice'!R$2:R$401,$AH335)="","",INDEX('Per Invoice'!R$2:R$401,$AH335)))</f>
        <v/>
      </c>
      <c r="S335">
        <f>IF($AH335="","",IF(INDEX('Per Invoice'!S$2:S$401,$AH335)="","",INDEX('Per Invoice'!S$2:S$401,$AH335)))</f>
        <v/>
      </c>
      <c r="T335" s="7">
        <f>IF($AH335="","",IF(INDEX('Per Invoice'!T$2:T$401,$AH335)="","",INDEX('Per Invoice'!T$2:T$401,$AH335)))</f>
        <v/>
      </c>
      <c r="U335" s="7">
        <f>IF($AH335="","",IF(INDEX('Per Invoice'!U$2:U$401,$AH335)="","",INDEX('Per Invoice'!U$2:U$401,$AH335)))</f>
        <v/>
      </c>
      <c r="V335">
        <f>IF($AH335="","",IF(INDEX('Per Invoice'!V$2:V$401,$AH335)="","",INDEX('Per Invoice'!V$2:V$401,$AH335)))</f>
        <v/>
      </c>
      <c r="W335" s="7">
        <f>IF($AH335="","",IF(INDEX('Per Invoice'!W$2:W$401,$AH335)="","",INDEX('Per Invoice'!W$2:W$401,$AH335)))</f>
        <v/>
      </c>
      <c r="X335" s="7">
        <f>IF($AH335="","",IF(INDEX('Per Invoice'!X$2:X$401,$AH335)="","",INDEX('Per Invoice'!X$2:X$401,$AH335)))</f>
        <v/>
      </c>
      <c r="Y335">
        <f>IF($AH335="","",IF(INDEX('Per Invoice'!Y$2:Y$401,$AH335)="","",INDEX('Per Invoice'!Y$2:Y$401,$AH335)))</f>
        <v/>
      </c>
      <c r="Z335" s="7">
        <f>IF($AH335="","",IF(INDEX('Per Invoice'!Z$2:Z$401,$AH335)="","",INDEX('Per Invoice'!Z$2:Z$401,$AH335)))</f>
        <v/>
      </c>
      <c r="AA335" s="7">
        <f>IF($AH335="","",IF(INDEX('Per Invoice'!AA$2:AA$401,$AH335)="","",INDEX('Per Invoice'!AA$2:AA$401,$AH335)))</f>
        <v/>
      </c>
      <c r="AB335" s="7">
        <f>IF($AH335="","",IF(INDEX('Per Invoice'!AB$2:AB$401,$AH335)="","",INDEX('Per Invoice'!AB$2:AB$401,$AH335)))</f>
        <v/>
      </c>
      <c r="AC335" s="7">
        <f>IF($AH335="","",IF(INDEX('Per Invoice'!AC$2:AC$401,$AH335)="","",INDEX('Per Invoice'!AC$2:AC$401,$AH335)))</f>
        <v/>
      </c>
      <c r="AD335" s="7">
        <f>IF($AH335="","",IF(INDEX('Per Invoice'!AD$2:AD$401,$AH335)="","",INDEX('Per Invoice'!AD$2:AD$401,$AH335)))</f>
        <v/>
      </c>
      <c r="AE335" s="7">
        <f>IF($AH335="","",IF(INDEX('Per Invoice'!AE$2:AE$401,$AH335)="","",INDEX('Per Invoice'!AE$2:AE$401,$AH335)))</f>
        <v/>
      </c>
      <c r="AF335">
        <f>IF($AH335="","",IF(INDEX('Per Invoice'!AF$2:AF$401,$AH335)="","",INDEX('Per Invoice'!AF$2:AF$401,$AH335)))</f>
        <v/>
      </c>
      <c r="AG335" s="7">
        <f>IF($AH335="","",IF(INDEX('Per Invoice'!AG$2:AG$401,$AH335)="","",INDEX('Per Invoice'!AG$2:AG$401,$AH335)))</f>
        <v/>
      </c>
      <c r="AH335" s="16">
        <f>IFERROR(MATCH(Settings!$C$27&amp;"|"&amp;ROWS($AH$2:$AH335),'Per Invoice'!$AI$2:$AI$401,0),"")</f>
        <v/>
      </c>
    </row>
    <row r="336">
      <c r="A336">
        <f>IF($AH336="","",IF(INDEX('Per Invoice'!A$2:A$401,$AH336)="","",INDEX('Per Invoice'!A$2:A$401,$AH336)))</f>
        <v/>
      </c>
      <c r="B336">
        <f>IF($AH336="","",IF(INDEX('Per Invoice'!B$2:B$401,$AH336)="","",INDEX('Per Invoice'!B$2:B$401,$AH336)))</f>
        <v/>
      </c>
      <c r="C336">
        <f>IF($AH336="","",IF(INDEX('Per Invoice'!C$2:C$401,$AH336)="","",INDEX('Per Invoice'!C$2:C$401,$AH336)))</f>
        <v/>
      </c>
      <c r="D336">
        <f>IF($AH336="","",IF(INDEX('Per Invoice'!D$2:D$401,$AH336)="","",INDEX('Per Invoice'!D$2:D$401,$AH336)))</f>
        <v/>
      </c>
      <c r="E336">
        <f>IF($AH336="","",IF(INDEX('Per Invoice'!E$2:E$401,$AH336)="","",INDEX('Per Invoice'!E$2:E$401,$AH336)))</f>
        <v/>
      </c>
      <c r="F336">
        <f>IF($AH336="","",IF(INDEX('Per Invoice'!F$2:F$401,$AH336)="","",INDEX('Per Invoice'!F$2:F$401,$AH336)))</f>
        <v/>
      </c>
      <c r="G336">
        <f>IF($AH336="","",IF(INDEX('Per Invoice'!G$2:G$401,$AH336)="","",INDEX('Per Invoice'!G$2:G$401,$AH336)))</f>
        <v/>
      </c>
      <c r="H336">
        <f>IF($AH336="","",IF(INDEX('Per Invoice'!H$2:H$401,$AH336)="","",INDEX('Per Invoice'!H$2:H$401,$AH336)))</f>
        <v/>
      </c>
      <c r="I336" s="14">
        <f>IF($AH336="","",IF(INDEX('Per Invoice'!I$2:I$401,$AH336)="","",INDEX('Per Invoice'!I$2:I$401,$AH336)))</f>
        <v/>
      </c>
      <c r="J336">
        <f>IF($AH336="","",IF(INDEX('Per Invoice'!J$2:J$401,$AH336)="","",INDEX('Per Invoice'!J$2:J$401,$AH336)))</f>
        <v/>
      </c>
      <c r="K336">
        <f>IF($AH336="","",IF(INDEX('Per Invoice'!K$2:K$401,$AH336)="","",INDEX('Per Invoice'!K$2:K$401,$AH336)))</f>
        <v/>
      </c>
      <c r="L336">
        <f>IF($AH336="","",IF(INDEX('Per Invoice'!L$2:L$401,$AH336)="","",INDEX('Per Invoice'!L$2:L$401,$AH336)))</f>
        <v/>
      </c>
      <c r="M336">
        <f>IF($AH336="","",IF(INDEX('Per Invoice'!M$2:M$401,$AH336)="","",INDEX('Per Invoice'!M$2:M$401,$AH336)))</f>
        <v/>
      </c>
      <c r="N336">
        <f>IF($AH336="","",IF(INDEX('Per Invoice'!N$2:N$401,$AH336)="","",INDEX('Per Invoice'!N$2:N$401,$AH336)))</f>
        <v/>
      </c>
      <c r="O336">
        <f>IF($AH336="","",IF(INDEX('Per Invoice'!O$2:O$401,$AH336)="","",INDEX('Per Invoice'!O$2:O$401,$AH336)))</f>
        <v/>
      </c>
      <c r="P336" s="7">
        <f>IF($AH336="","",IF(INDEX('Per Invoice'!P$2:P$401,$AH336)="","",INDEX('Per Invoice'!P$2:P$401,$AH336)))</f>
        <v/>
      </c>
      <c r="Q336">
        <f>IF($AH336="","",IF(INDEX('Per Invoice'!Q$2:Q$401,$AH336)="","",INDEX('Per Invoice'!Q$2:Q$401,$AH336)))</f>
        <v/>
      </c>
      <c r="R336">
        <f>IF($AH336="","",IF(INDEX('Per Invoice'!R$2:R$401,$AH336)="","",INDEX('Per Invoice'!R$2:R$401,$AH336)))</f>
        <v/>
      </c>
      <c r="S336">
        <f>IF($AH336="","",IF(INDEX('Per Invoice'!S$2:S$401,$AH336)="","",INDEX('Per Invoice'!S$2:S$401,$AH336)))</f>
        <v/>
      </c>
      <c r="T336" s="7">
        <f>IF($AH336="","",IF(INDEX('Per Invoice'!T$2:T$401,$AH336)="","",INDEX('Per Invoice'!T$2:T$401,$AH336)))</f>
        <v/>
      </c>
      <c r="U336" s="7">
        <f>IF($AH336="","",IF(INDEX('Per Invoice'!U$2:U$401,$AH336)="","",INDEX('Per Invoice'!U$2:U$401,$AH336)))</f>
        <v/>
      </c>
      <c r="V336">
        <f>IF($AH336="","",IF(INDEX('Per Invoice'!V$2:V$401,$AH336)="","",INDEX('Per Invoice'!V$2:V$401,$AH336)))</f>
        <v/>
      </c>
      <c r="W336" s="7">
        <f>IF($AH336="","",IF(INDEX('Per Invoice'!W$2:W$401,$AH336)="","",INDEX('Per Invoice'!W$2:W$401,$AH336)))</f>
        <v/>
      </c>
      <c r="X336" s="7">
        <f>IF($AH336="","",IF(INDEX('Per Invoice'!X$2:X$401,$AH336)="","",INDEX('Per Invoice'!X$2:X$401,$AH336)))</f>
        <v/>
      </c>
      <c r="Y336">
        <f>IF($AH336="","",IF(INDEX('Per Invoice'!Y$2:Y$401,$AH336)="","",INDEX('Per Invoice'!Y$2:Y$401,$AH336)))</f>
        <v/>
      </c>
      <c r="Z336" s="7">
        <f>IF($AH336="","",IF(INDEX('Per Invoice'!Z$2:Z$401,$AH336)="","",INDEX('Per Invoice'!Z$2:Z$401,$AH336)))</f>
        <v/>
      </c>
      <c r="AA336" s="7">
        <f>IF($AH336="","",IF(INDEX('Per Invoice'!AA$2:AA$401,$AH336)="","",INDEX('Per Invoice'!AA$2:AA$401,$AH336)))</f>
        <v/>
      </c>
      <c r="AB336" s="7">
        <f>IF($AH336="","",IF(INDEX('Per Invoice'!AB$2:AB$401,$AH336)="","",INDEX('Per Invoice'!AB$2:AB$401,$AH336)))</f>
        <v/>
      </c>
      <c r="AC336" s="7">
        <f>IF($AH336="","",IF(INDEX('Per Invoice'!AC$2:AC$401,$AH336)="","",INDEX('Per Invoice'!AC$2:AC$401,$AH336)))</f>
        <v/>
      </c>
      <c r="AD336" s="7">
        <f>IF($AH336="","",IF(INDEX('Per Invoice'!AD$2:AD$401,$AH336)="","",INDEX('Per Invoice'!AD$2:AD$401,$AH336)))</f>
        <v/>
      </c>
      <c r="AE336" s="7">
        <f>IF($AH336="","",IF(INDEX('Per Invoice'!AE$2:AE$401,$AH336)="","",INDEX('Per Invoice'!AE$2:AE$401,$AH336)))</f>
        <v/>
      </c>
      <c r="AF336">
        <f>IF($AH336="","",IF(INDEX('Per Invoice'!AF$2:AF$401,$AH336)="","",INDEX('Per Invoice'!AF$2:AF$401,$AH336)))</f>
        <v/>
      </c>
      <c r="AG336" s="7">
        <f>IF($AH336="","",IF(INDEX('Per Invoice'!AG$2:AG$401,$AH336)="","",INDEX('Per Invoice'!AG$2:AG$401,$AH336)))</f>
        <v/>
      </c>
      <c r="AH336" s="16">
        <f>IFERROR(MATCH(Settings!$C$27&amp;"|"&amp;ROWS($AH$2:$AH336),'Per Invoice'!$AI$2:$AI$401,0),"")</f>
        <v/>
      </c>
    </row>
    <row r="337">
      <c r="A337">
        <f>IF($AH337="","",IF(INDEX('Per Invoice'!A$2:A$401,$AH337)="","",INDEX('Per Invoice'!A$2:A$401,$AH337)))</f>
        <v/>
      </c>
      <c r="B337">
        <f>IF($AH337="","",IF(INDEX('Per Invoice'!B$2:B$401,$AH337)="","",INDEX('Per Invoice'!B$2:B$401,$AH337)))</f>
        <v/>
      </c>
      <c r="C337">
        <f>IF($AH337="","",IF(INDEX('Per Invoice'!C$2:C$401,$AH337)="","",INDEX('Per Invoice'!C$2:C$401,$AH337)))</f>
        <v/>
      </c>
      <c r="D337">
        <f>IF($AH337="","",IF(INDEX('Per Invoice'!D$2:D$401,$AH337)="","",INDEX('Per Invoice'!D$2:D$401,$AH337)))</f>
        <v/>
      </c>
      <c r="E337">
        <f>IF($AH337="","",IF(INDEX('Per Invoice'!E$2:E$401,$AH337)="","",INDEX('Per Invoice'!E$2:E$401,$AH337)))</f>
        <v/>
      </c>
      <c r="F337">
        <f>IF($AH337="","",IF(INDEX('Per Invoice'!F$2:F$401,$AH337)="","",INDEX('Per Invoice'!F$2:F$401,$AH337)))</f>
        <v/>
      </c>
      <c r="G337">
        <f>IF($AH337="","",IF(INDEX('Per Invoice'!G$2:G$401,$AH337)="","",INDEX('Per Invoice'!G$2:G$401,$AH337)))</f>
        <v/>
      </c>
      <c r="H337">
        <f>IF($AH337="","",IF(INDEX('Per Invoice'!H$2:H$401,$AH337)="","",INDEX('Per Invoice'!H$2:H$401,$AH337)))</f>
        <v/>
      </c>
      <c r="I337" s="14">
        <f>IF($AH337="","",IF(INDEX('Per Invoice'!I$2:I$401,$AH337)="","",INDEX('Per Invoice'!I$2:I$401,$AH337)))</f>
        <v/>
      </c>
      <c r="J337">
        <f>IF($AH337="","",IF(INDEX('Per Invoice'!J$2:J$401,$AH337)="","",INDEX('Per Invoice'!J$2:J$401,$AH337)))</f>
        <v/>
      </c>
      <c r="K337">
        <f>IF($AH337="","",IF(INDEX('Per Invoice'!K$2:K$401,$AH337)="","",INDEX('Per Invoice'!K$2:K$401,$AH337)))</f>
        <v/>
      </c>
      <c r="L337">
        <f>IF($AH337="","",IF(INDEX('Per Invoice'!L$2:L$401,$AH337)="","",INDEX('Per Invoice'!L$2:L$401,$AH337)))</f>
        <v/>
      </c>
      <c r="M337">
        <f>IF($AH337="","",IF(INDEX('Per Invoice'!M$2:M$401,$AH337)="","",INDEX('Per Invoice'!M$2:M$401,$AH337)))</f>
        <v/>
      </c>
      <c r="N337">
        <f>IF($AH337="","",IF(INDEX('Per Invoice'!N$2:N$401,$AH337)="","",INDEX('Per Invoice'!N$2:N$401,$AH337)))</f>
        <v/>
      </c>
      <c r="O337">
        <f>IF($AH337="","",IF(INDEX('Per Invoice'!O$2:O$401,$AH337)="","",INDEX('Per Invoice'!O$2:O$401,$AH337)))</f>
        <v/>
      </c>
      <c r="P337" s="7">
        <f>IF($AH337="","",IF(INDEX('Per Invoice'!P$2:P$401,$AH337)="","",INDEX('Per Invoice'!P$2:P$401,$AH337)))</f>
        <v/>
      </c>
      <c r="Q337">
        <f>IF($AH337="","",IF(INDEX('Per Invoice'!Q$2:Q$401,$AH337)="","",INDEX('Per Invoice'!Q$2:Q$401,$AH337)))</f>
        <v/>
      </c>
      <c r="R337">
        <f>IF($AH337="","",IF(INDEX('Per Invoice'!R$2:R$401,$AH337)="","",INDEX('Per Invoice'!R$2:R$401,$AH337)))</f>
        <v/>
      </c>
      <c r="S337">
        <f>IF($AH337="","",IF(INDEX('Per Invoice'!S$2:S$401,$AH337)="","",INDEX('Per Invoice'!S$2:S$401,$AH337)))</f>
        <v/>
      </c>
      <c r="T337" s="7">
        <f>IF($AH337="","",IF(INDEX('Per Invoice'!T$2:T$401,$AH337)="","",INDEX('Per Invoice'!T$2:T$401,$AH337)))</f>
        <v/>
      </c>
      <c r="U337" s="7">
        <f>IF($AH337="","",IF(INDEX('Per Invoice'!U$2:U$401,$AH337)="","",INDEX('Per Invoice'!U$2:U$401,$AH337)))</f>
        <v/>
      </c>
      <c r="V337">
        <f>IF($AH337="","",IF(INDEX('Per Invoice'!V$2:V$401,$AH337)="","",INDEX('Per Invoice'!V$2:V$401,$AH337)))</f>
        <v/>
      </c>
      <c r="W337" s="7">
        <f>IF($AH337="","",IF(INDEX('Per Invoice'!W$2:W$401,$AH337)="","",INDEX('Per Invoice'!W$2:W$401,$AH337)))</f>
        <v/>
      </c>
      <c r="X337" s="7">
        <f>IF($AH337="","",IF(INDEX('Per Invoice'!X$2:X$401,$AH337)="","",INDEX('Per Invoice'!X$2:X$401,$AH337)))</f>
        <v/>
      </c>
      <c r="Y337">
        <f>IF($AH337="","",IF(INDEX('Per Invoice'!Y$2:Y$401,$AH337)="","",INDEX('Per Invoice'!Y$2:Y$401,$AH337)))</f>
        <v/>
      </c>
      <c r="Z337" s="7">
        <f>IF($AH337="","",IF(INDEX('Per Invoice'!Z$2:Z$401,$AH337)="","",INDEX('Per Invoice'!Z$2:Z$401,$AH337)))</f>
        <v/>
      </c>
      <c r="AA337" s="7">
        <f>IF($AH337="","",IF(INDEX('Per Invoice'!AA$2:AA$401,$AH337)="","",INDEX('Per Invoice'!AA$2:AA$401,$AH337)))</f>
        <v/>
      </c>
      <c r="AB337" s="7">
        <f>IF($AH337="","",IF(INDEX('Per Invoice'!AB$2:AB$401,$AH337)="","",INDEX('Per Invoice'!AB$2:AB$401,$AH337)))</f>
        <v/>
      </c>
      <c r="AC337" s="7">
        <f>IF($AH337="","",IF(INDEX('Per Invoice'!AC$2:AC$401,$AH337)="","",INDEX('Per Invoice'!AC$2:AC$401,$AH337)))</f>
        <v/>
      </c>
      <c r="AD337" s="7">
        <f>IF($AH337="","",IF(INDEX('Per Invoice'!AD$2:AD$401,$AH337)="","",INDEX('Per Invoice'!AD$2:AD$401,$AH337)))</f>
        <v/>
      </c>
      <c r="AE337" s="7">
        <f>IF($AH337="","",IF(INDEX('Per Invoice'!AE$2:AE$401,$AH337)="","",INDEX('Per Invoice'!AE$2:AE$401,$AH337)))</f>
        <v/>
      </c>
      <c r="AF337">
        <f>IF($AH337="","",IF(INDEX('Per Invoice'!AF$2:AF$401,$AH337)="","",INDEX('Per Invoice'!AF$2:AF$401,$AH337)))</f>
        <v/>
      </c>
      <c r="AG337" s="7">
        <f>IF($AH337="","",IF(INDEX('Per Invoice'!AG$2:AG$401,$AH337)="","",INDEX('Per Invoice'!AG$2:AG$401,$AH337)))</f>
        <v/>
      </c>
      <c r="AH337" s="16">
        <f>IFERROR(MATCH(Settings!$C$27&amp;"|"&amp;ROWS($AH$2:$AH337),'Per Invoice'!$AI$2:$AI$401,0),"")</f>
        <v/>
      </c>
    </row>
    <row r="338">
      <c r="A338">
        <f>IF($AH338="","",IF(INDEX('Per Invoice'!A$2:A$401,$AH338)="","",INDEX('Per Invoice'!A$2:A$401,$AH338)))</f>
        <v/>
      </c>
      <c r="B338">
        <f>IF($AH338="","",IF(INDEX('Per Invoice'!B$2:B$401,$AH338)="","",INDEX('Per Invoice'!B$2:B$401,$AH338)))</f>
        <v/>
      </c>
      <c r="C338">
        <f>IF($AH338="","",IF(INDEX('Per Invoice'!C$2:C$401,$AH338)="","",INDEX('Per Invoice'!C$2:C$401,$AH338)))</f>
        <v/>
      </c>
      <c r="D338">
        <f>IF($AH338="","",IF(INDEX('Per Invoice'!D$2:D$401,$AH338)="","",INDEX('Per Invoice'!D$2:D$401,$AH338)))</f>
        <v/>
      </c>
      <c r="E338">
        <f>IF($AH338="","",IF(INDEX('Per Invoice'!E$2:E$401,$AH338)="","",INDEX('Per Invoice'!E$2:E$401,$AH338)))</f>
        <v/>
      </c>
      <c r="F338">
        <f>IF($AH338="","",IF(INDEX('Per Invoice'!F$2:F$401,$AH338)="","",INDEX('Per Invoice'!F$2:F$401,$AH338)))</f>
        <v/>
      </c>
      <c r="G338">
        <f>IF($AH338="","",IF(INDEX('Per Invoice'!G$2:G$401,$AH338)="","",INDEX('Per Invoice'!G$2:G$401,$AH338)))</f>
        <v/>
      </c>
      <c r="H338">
        <f>IF($AH338="","",IF(INDEX('Per Invoice'!H$2:H$401,$AH338)="","",INDEX('Per Invoice'!H$2:H$401,$AH338)))</f>
        <v/>
      </c>
      <c r="I338" s="14">
        <f>IF($AH338="","",IF(INDEX('Per Invoice'!I$2:I$401,$AH338)="","",INDEX('Per Invoice'!I$2:I$401,$AH338)))</f>
        <v/>
      </c>
      <c r="J338">
        <f>IF($AH338="","",IF(INDEX('Per Invoice'!J$2:J$401,$AH338)="","",INDEX('Per Invoice'!J$2:J$401,$AH338)))</f>
        <v/>
      </c>
      <c r="K338">
        <f>IF($AH338="","",IF(INDEX('Per Invoice'!K$2:K$401,$AH338)="","",INDEX('Per Invoice'!K$2:K$401,$AH338)))</f>
        <v/>
      </c>
      <c r="L338">
        <f>IF($AH338="","",IF(INDEX('Per Invoice'!L$2:L$401,$AH338)="","",INDEX('Per Invoice'!L$2:L$401,$AH338)))</f>
        <v/>
      </c>
      <c r="M338">
        <f>IF($AH338="","",IF(INDEX('Per Invoice'!M$2:M$401,$AH338)="","",INDEX('Per Invoice'!M$2:M$401,$AH338)))</f>
        <v/>
      </c>
      <c r="N338">
        <f>IF($AH338="","",IF(INDEX('Per Invoice'!N$2:N$401,$AH338)="","",INDEX('Per Invoice'!N$2:N$401,$AH338)))</f>
        <v/>
      </c>
      <c r="O338">
        <f>IF($AH338="","",IF(INDEX('Per Invoice'!O$2:O$401,$AH338)="","",INDEX('Per Invoice'!O$2:O$401,$AH338)))</f>
        <v/>
      </c>
      <c r="P338" s="7">
        <f>IF($AH338="","",IF(INDEX('Per Invoice'!P$2:P$401,$AH338)="","",INDEX('Per Invoice'!P$2:P$401,$AH338)))</f>
        <v/>
      </c>
      <c r="Q338">
        <f>IF($AH338="","",IF(INDEX('Per Invoice'!Q$2:Q$401,$AH338)="","",INDEX('Per Invoice'!Q$2:Q$401,$AH338)))</f>
        <v/>
      </c>
      <c r="R338">
        <f>IF($AH338="","",IF(INDEX('Per Invoice'!R$2:R$401,$AH338)="","",INDEX('Per Invoice'!R$2:R$401,$AH338)))</f>
        <v/>
      </c>
      <c r="S338">
        <f>IF($AH338="","",IF(INDEX('Per Invoice'!S$2:S$401,$AH338)="","",INDEX('Per Invoice'!S$2:S$401,$AH338)))</f>
        <v/>
      </c>
      <c r="T338" s="7">
        <f>IF($AH338="","",IF(INDEX('Per Invoice'!T$2:T$401,$AH338)="","",INDEX('Per Invoice'!T$2:T$401,$AH338)))</f>
        <v/>
      </c>
      <c r="U338" s="7">
        <f>IF($AH338="","",IF(INDEX('Per Invoice'!U$2:U$401,$AH338)="","",INDEX('Per Invoice'!U$2:U$401,$AH338)))</f>
        <v/>
      </c>
      <c r="V338">
        <f>IF($AH338="","",IF(INDEX('Per Invoice'!V$2:V$401,$AH338)="","",INDEX('Per Invoice'!V$2:V$401,$AH338)))</f>
        <v/>
      </c>
      <c r="W338" s="7">
        <f>IF($AH338="","",IF(INDEX('Per Invoice'!W$2:W$401,$AH338)="","",INDEX('Per Invoice'!W$2:W$401,$AH338)))</f>
        <v/>
      </c>
      <c r="X338" s="7">
        <f>IF($AH338="","",IF(INDEX('Per Invoice'!X$2:X$401,$AH338)="","",INDEX('Per Invoice'!X$2:X$401,$AH338)))</f>
        <v/>
      </c>
      <c r="Y338">
        <f>IF($AH338="","",IF(INDEX('Per Invoice'!Y$2:Y$401,$AH338)="","",INDEX('Per Invoice'!Y$2:Y$401,$AH338)))</f>
        <v/>
      </c>
      <c r="Z338" s="7">
        <f>IF($AH338="","",IF(INDEX('Per Invoice'!Z$2:Z$401,$AH338)="","",INDEX('Per Invoice'!Z$2:Z$401,$AH338)))</f>
        <v/>
      </c>
      <c r="AA338" s="7">
        <f>IF($AH338="","",IF(INDEX('Per Invoice'!AA$2:AA$401,$AH338)="","",INDEX('Per Invoice'!AA$2:AA$401,$AH338)))</f>
        <v/>
      </c>
      <c r="AB338" s="7">
        <f>IF($AH338="","",IF(INDEX('Per Invoice'!AB$2:AB$401,$AH338)="","",INDEX('Per Invoice'!AB$2:AB$401,$AH338)))</f>
        <v/>
      </c>
      <c r="AC338" s="7">
        <f>IF($AH338="","",IF(INDEX('Per Invoice'!AC$2:AC$401,$AH338)="","",INDEX('Per Invoice'!AC$2:AC$401,$AH338)))</f>
        <v/>
      </c>
      <c r="AD338" s="7">
        <f>IF($AH338="","",IF(INDEX('Per Invoice'!AD$2:AD$401,$AH338)="","",INDEX('Per Invoice'!AD$2:AD$401,$AH338)))</f>
        <v/>
      </c>
      <c r="AE338" s="7">
        <f>IF($AH338="","",IF(INDEX('Per Invoice'!AE$2:AE$401,$AH338)="","",INDEX('Per Invoice'!AE$2:AE$401,$AH338)))</f>
        <v/>
      </c>
      <c r="AF338">
        <f>IF($AH338="","",IF(INDEX('Per Invoice'!AF$2:AF$401,$AH338)="","",INDEX('Per Invoice'!AF$2:AF$401,$AH338)))</f>
        <v/>
      </c>
      <c r="AG338" s="7">
        <f>IF($AH338="","",IF(INDEX('Per Invoice'!AG$2:AG$401,$AH338)="","",INDEX('Per Invoice'!AG$2:AG$401,$AH338)))</f>
        <v/>
      </c>
      <c r="AH338" s="16">
        <f>IFERROR(MATCH(Settings!$C$27&amp;"|"&amp;ROWS($AH$2:$AH338),'Per Invoice'!$AI$2:$AI$401,0),"")</f>
        <v/>
      </c>
    </row>
    <row r="339">
      <c r="A339">
        <f>IF($AH339="","",IF(INDEX('Per Invoice'!A$2:A$401,$AH339)="","",INDEX('Per Invoice'!A$2:A$401,$AH339)))</f>
        <v/>
      </c>
      <c r="B339">
        <f>IF($AH339="","",IF(INDEX('Per Invoice'!B$2:B$401,$AH339)="","",INDEX('Per Invoice'!B$2:B$401,$AH339)))</f>
        <v/>
      </c>
      <c r="C339">
        <f>IF($AH339="","",IF(INDEX('Per Invoice'!C$2:C$401,$AH339)="","",INDEX('Per Invoice'!C$2:C$401,$AH339)))</f>
        <v/>
      </c>
      <c r="D339">
        <f>IF($AH339="","",IF(INDEX('Per Invoice'!D$2:D$401,$AH339)="","",INDEX('Per Invoice'!D$2:D$401,$AH339)))</f>
        <v/>
      </c>
      <c r="E339">
        <f>IF($AH339="","",IF(INDEX('Per Invoice'!E$2:E$401,$AH339)="","",INDEX('Per Invoice'!E$2:E$401,$AH339)))</f>
        <v/>
      </c>
      <c r="F339">
        <f>IF($AH339="","",IF(INDEX('Per Invoice'!F$2:F$401,$AH339)="","",INDEX('Per Invoice'!F$2:F$401,$AH339)))</f>
        <v/>
      </c>
      <c r="G339">
        <f>IF($AH339="","",IF(INDEX('Per Invoice'!G$2:G$401,$AH339)="","",INDEX('Per Invoice'!G$2:G$401,$AH339)))</f>
        <v/>
      </c>
      <c r="H339">
        <f>IF($AH339="","",IF(INDEX('Per Invoice'!H$2:H$401,$AH339)="","",INDEX('Per Invoice'!H$2:H$401,$AH339)))</f>
        <v/>
      </c>
      <c r="I339" s="14">
        <f>IF($AH339="","",IF(INDEX('Per Invoice'!I$2:I$401,$AH339)="","",INDEX('Per Invoice'!I$2:I$401,$AH339)))</f>
        <v/>
      </c>
      <c r="J339">
        <f>IF($AH339="","",IF(INDEX('Per Invoice'!J$2:J$401,$AH339)="","",INDEX('Per Invoice'!J$2:J$401,$AH339)))</f>
        <v/>
      </c>
      <c r="K339">
        <f>IF($AH339="","",IF(INDEX('Per Invoice'!K$2:K$401,$AH339)="","",INDEX('Per Invoice'!K$2:K$401,$AH339)))</f>
        <v/>
      </c>
      <c r="L339">
        <f>IF($AH339="","",IF(INDEX('Per Invoice'!L$2:L$401,$AH339)="","",INDEX('Per Invoice'!L$2:L$401,$AH339)))</f>
        <v/>
      </c>
      <c r="M339">
        <f>IF($AH339="","",IF(INDEX('Per Invoice'!M$2:M$401,$AH339)="","",INDEX('Per Invoice'!M$2:M$401,$AH339)))</f>
        <v/>
      </c>
      <c r="N339">
        <f>IF($AH339="","",IF(INDEX('Per Invoice'!N$2:N$401,$AH339)="","",INDEX('Per Invoice'!N$2:N$401,$AH339)))</f>
        <v/>
      </c>
      <c r="O339">
        <f>IF($AH339="","",IF(INDEX('Per Invoice'!O$2:O$401,$AH339)="","",INDEX('Per Invoice'!O$2:O$401,$AH339)))</f>
        <v/>
      </c>
      <c r="P339" s="7">
        <f>IF($AH339="","",IF(INDEX('Per Invoice'!P$2:P$401,$AH339)="","",INDEX('Per Invoice'!P$2:P$401,$AH339)))</f>
        <v/>
      </c>
      <c r="Q339">
        <f>IF($AH339="","",IF(INDEX('Per Invoice'!Q$2:Q$401,$AH339)="","",INDEX('Per Invoice'!Q$2:Q$401,$AH339)))</f>
        <v/>
      </c>
      <c r="R339">
        <f>IF($AH339="","",IF(INDEX('Per Invoice'!R$2:R$401,$AH339)="","",INDEX('Per Invoice'!R$2:R$401,$AH339)))</f>
        <v/>
      </c>
      <c r="S339">
        <f>IF($AH339="","",IF(INDEX('Per Invoice'!S$2:S$401,$AH339)="","",INDEX('Per Invoice'!S$2:S$401,$AH339)))</f>
        <v/>
      </c>
      <c r="T339" s="7">
        <f>IF($AH339="","",IF(INDEX('Per Invoice'!T$2:T$401,$AH339)="","",INDEX('Per Invoice'!T$2:T$401,$AH339)))</f>
        <v/>
      </c>
      <c r="U339" s="7">
        <f>IF($AH339="","",IF(INDEX('Per Invoice'!U$2:U$401,$AH339)="","",INDEX('Per Invoice'!U$2:U$401,$AH339)))</f>
        <v/>
      </c>
      <c r="V339">
        <f>IF($AH339="","",IF(INDEX('Per Invoice'!V$2:V$401,$AH339)="","",INDEX('Per Invoice'!V$2:V$401,$AH339)))</f>
        <v/>
      </c>
      <c r="W339" s="7">
        <f>IF($AH339="","",IF(INDEX('Per Invoice'!W$2:W$401,$AH339)="","",INDEX('Per Invoice'!W$2:W$401,$AH339)))</f>
        <v/>
      </c>
      <c r="X339" s="7">
        <f>IF($AH339="","",IF(INDEX('Per Invoice'!X$2:X$401,$AH339)="","",INDEX('Per Invoice'!X$2:X$401,$AH339)))</f>
        <v/>
      </c>
      <c r="Y339">
        <f>IF($AH339="","",IF(INDEX('Per Invoice'!Y$2:Y$401,$AH339)="","",INDEX('Per Invoice'!Y$2:Y$401,$AH339)))</f>
        <v/>
      </c>
      <c r="Z339" s="7">
        <f>IF($AH339="","",IF(INDEX('Per Invoice'!Z$2:Z$401,$AH339)="","",INDEX('Per Invoice'!Z$2:Z$401,$AH339)))</f>
        <v/>
      </c>
      <c r="AA339" s="7">
        <f>IF($AH339="","",IF(INDEX('Per Invoice'!AA$2:AA$401,$AH339)="","",INDEX('Per Invoice'!AA$2:AA$401,$AH339)))</f>
        <v/>
      </c>
      <c r="AB339" s="7">
        <f>IF($AH339="","",IF(INDEX('Per Invoice'!AB$2:AB$401,$AH339)="","",INDEX('Per Invoice'!AB$2:AB$401,$AH339)))</f>
        <v/>
      </c>
      <c r="AC339" s="7">
        <f>IF($AH339="","",IF(INDEX('Per Invoice'!AC$2:AC$401,$AH339)="","",INDEX('Per Invoice'!AC$2:AC$401,$AH339)))</f>
        <v/>
      </c>
      <c r="AD339" s="7">
        <f>IF($AH339="","",IF(INDEX('Per Invoice'!AD$2:AD$401,$AH339)="","",INDEX('Per Invoice'!AD$2:AD$401,$AH339)))</f>
        <v/>
      </c>
      <c r="AE339" s="7">
        <f>IF($AH339="","",IF(INDEX('Per Invoice'!AE$2:AE$401,$AH339)="","",INDEX('Per Invoice'!AE$2:AE$401,$AH339)))</f>
        <v/>
      </c>
      <c r="AF339">
        <f>IF($AH339="","",IF(INDEX('Per Invoice'!AF$2:AF$401,$AH339)="","",INDEX('Per Invoice'!AF$2:AF$401,$AH339)))</f>
        <v/>
      </c>
      <c r="AG339" s="7">
        <f>IF($AH339="","",IF(INDEX('Per Invoice'!AG$2:AG$401,$AH339)="","",INDEX('Per Invoice'!AG$2:AG$401,$AH339)))</f>
        <v/>
      </c>
      <c r="AH339" s="16">
        <f>IFERROR(MATCH(Settings!$C$27&amp;"|"&amp;ROWS($AH$2:$AH339),'Per Invoice'!$AI$2:$AI$401,0),"")</f>
        <v/>
      </c>
    </row>
    <row r="340">
      <c r="A340">
        <f>IF($AH340="","",IF(INDEX('Per Invoice'!A$2:A$401,$AH340)="","",INDEX('Per Invoice'!A$2:A$401,$AH340)))</f>
        <v/>
      </c>
      <c r="B340">
        <f>IF($AH340="","",IF(INDEX('Per Invoice'!B$2:B$401,$AH340)="","",INDEX('Per Invoice'!B$2:B$401,$AH340)))</f>
        <v/>
      </c>
      <c r="C340">
        <f>IF($AH340="","",IF(INDEX('Per Invoice'!C$2:C$401,$AH340)="","",INDEX('Per Invoice'!C$2:C$401,$AH340)))</f>
        <v/>
      </c>
      <c r="D340">
        <f>IF($AH340="","",IF(INDEX('Per Invoice'!D$2:D$401,$AH340)="","",INDEX('Per Invoice'!D$2:D$401,$AH340)))</f>
        <v/>
      </c>
      <c r="E340">
        <f>IF($AH340="","",IF(INDEX('Per Invoice'!E$2:E$401,$AH340)="","",INDEX('Per Invoice'!E$2:E$401,$AH340)))</f>
        <v/>
      </c>
      <c r="F340">
        <f>IF($AH340="","",IF(INDEX('Per Invoice'!F$2:F$401,$AH340)="","",INDEX('Per Invoice'!F$2:F$401,$AH340)))</f>
        <v/>
      </c>
      <c r="G340">
        <f>IF($AH340="","",IF(INDEX('Per Invoice'!G$2:G$401,$AH340)="","",INDEX('Per Invoice'!G$2:G$401,$AH340)))</f>
        <v/>
      </c>
      <c r="H340">
        <f>IF($AH340="","",IF(INDEX('Per Invoice'!H$2:H$401,$AH340)="","",INDEX('Per Invoice'!H$2:H$401,$AH340)))</f>
        <v/>
      </c>
      <c r="I340" s="14">
        <f>IF($AH340="","",IF(INDEX('Per Invoice'!I$2:I$401,$AH340)="","",INDEX('Per Invoice'!I$2:I$401,$AH340)))</f>
        <v/>
      </c>
      <c r="J340">
        <f>IF($AH340="","",IF(INDEX('Per Invoice'!J$2:J$401,$AH340)="","",INDEX('Per Invoice'!J$2:J$401,$AH340)))</f>
        <v/>
      </c>
      <c r="K340">
        <f>IF($AH340="","",IF(INDEX('Per Invoice'!K$2:K$401,$AH340)="","",INDEX('Per Invoice'!K$2:K$401,$AH340)))</f>
        <v/>
      </c>
      <c r="L340">
        <f>IF($AH340="","",IF(INDEX('Per Invoice'!L$2:L$401,$AH340)="","",INDEX('Per Invoice'!L$2:L$401,$AH340)))</f>
        <v/>
      </c>
      <c r="M340">
        <f>IF($AH340="","",IF(INDEX('Per Invoice'!M$2:M$401,$AH340)="","",INDEX('Per Invoice'!M$2:M$401,$AH340)))</f>
        <v/>
      </c>
      <c r="N340">
        <f>IF($AH340="","",IF(INDEX('Per Invoice'!N$2:N$401,$AH340)="","",INDEX('Per Invoice'!N$2:N$401,$AH340)))</f>
        <v/>
      </c>
      <c r="O340">
        <f>IF($AH340="","",IF(INDEX('Per Invoice'!O$2:O$401,$AH340)="","",INDEX('Per Invoice'!O$2:O$401,$AH340)))</f>
        <v/>
      </c>
      <c r="P340" s="7">
        <f>IF($AH340="","",IF(INDEX('Per Invoice'!P$2:P$401,$AH340)="","",INDEX('Per Invoice'!P$2:P$401,$AH340)))</f>
        <v/>
      </c>
      <c r="Q340">
        <f>IF($AH340="","",IF(INDEX('Per Invoice'!Q$2:Q$401,$AH340)="","",INDEX('Per Invoice'!Q$2:Q$401,$AH340)))</f>
        <v/>
      </c>
      <c r="R340">
        <f>IF($AH340="","",IF(INDEX('Per Invoice'!R$2:R$401,$AH340)="","",INDEX('Per Invoice'!R$2:R$401,$AH340)))</f>
        <v/>
      </c>
      <c r="S340">
        <f>IF($AH340="","",IF(INDEX('Per Invoice'!S$2:S$401,$AH340)="","",INDEX('Per Invoice'!S$2:S$401,$AH340)))</f>
        <v/>
      </c>
      <c r="T340" s="7">
        <f>IF($AH340="","",IF(INDEX('Per Invoice'!T$2:T$401,$AH340)="","",INDEX('Per Invoice'!T$2:T$401,$AH340)))</f>
        <v/>
      </c>
      <c r="U340" s="7">
        <f>IF($AH340="","",IF(INDEX('Per Invoice'!U$2:U$401,$AH340)="","",INDEX('Per Invoice'!U$2:U$401,$AH340)))</f>
        <v/>
      </c>
      <c r="V340">
        <f>IF($AH340="","",IF(INDEX('Per Invoice'!V$2:V$401,$AH340)="","",INDEX('Per Invoice'!V$2:V$401,$AH340)))</f>
        <v/>
      </c>
      <c r="W340" s="7">
        <f>IF($AH340="","",IF(INDEX('Per Invoice'!W$2:W$401,$AH340)="","",INDEX('Per Invoice'!W$2:W$401,$AH340)))</f>
        <v/>
      </c>
      <c r="X340" s="7">
        <f>IF($AH340="","",IF(INDEX('Per Invoice'!X$2:X$401,$AH340)="","",INDEX('Per Invoice'!X$2:X$401,$AH340)))</f>
        <v/>
      </c>
      <c r="Y340">
        <f>IF($AH340="","",IF(INDEX('Per Invoice'!Y$2:Y$401,$AH340)="","",INDEX('Per Invoice'!Y$2:Y$401,$AH340)))</f>
        <v/>
      </c>
      <c r="Z340" s="7">
        <f>IF($AH340="","",IF(INDEX('Per Invoice'!Z$2:Z$401,$AH340)="","",INDEX('Per Invoice'!Z$2:Z$401,$AH340)))</f>
        <v/>
      </c>
      <c r="AA340" s="7">
        <f>IF($AH340="","",IF(INDEX('Per Invoice'!AA$2:AA$401,$AH340)="","",INDEX('Per Invoice'!AA$2:AA$401,$AH340)))</f>
        <v/>
      </c>
      <c r="AB340" s="7">
        <f>IF($AH340="","",IF(INDEX('Per Invoice'!AB$2:AB$401,$AH340)="","",INDEX('Per Invoice'!AB$2:AB$401,$AH340)))</f>
        <v/>
      </c>
      <c r="AC340" s="7">
        <f>IF($AH340="","",IF(INDEX('Per Invoice'!AC$2:AC$401,$AH340)="","",INDEX('Per Invoice'!AC$2:AC$401,$AH340)))</f>
        <v/>
      </c>
      <c r="AD340" s="7">
        <f>IF($AH340="","",IF(INDEX('Per Invoice'!AD$2:AD$401,$AH340)="","",INDEX('Per Invoice'!AD$2:AD$401,$AH340)))</f>
        <v/>
      </c>
      <c r="AE340" s="7">
        <f>IF($AH340="","",IF(INDEX('Per Invoice'!AE$2:AE$401,$AH340)="","",INDEX('Per Invoice'!AE$2:AE$401,$AH340)))</f>
        <v/>
      </c>
      <c r="AF340">
        <f>IF($AH340="","",IF(INDEX('Per Invoice'!AF$2:AF$401,$AH340)="","",INDEX('Per Invoice'!AF$2:AF$401,$AH340)))</f>
        <v/>
      </c>
      <c r="AG340" s="7">
        <f>IF($AH340="","",IF(INDEX('Per Invoice'!AG$2:AG$401,$AH340)="","",INDEX('Per Invoice'!AG$2:AG$401,$AH340)))</f>
        <v/>
      </c>
      <c r="AH340" s="16">
        <f>IFERROR(MATCH(Settings!$C$27&amp;"|"&amp;ROWS($AH$2:$AH340),'Per Invoice'!$AI$2:$AI$401,0),"")</f>
        <v/>
      </c>
    </row>
    <row r="341">
      <c r="A341">
        <f>IF($AH341="","",IF(INDEX('Per Invoice'!A$2:A$401,$AH341)="","",INDEX('Per Invoice'!A$2:A$401,$AH341)))</f>
        <v/>
      </c>
      <c r="B341">
        <f>IF($AH341="","",IF(INDEX('Per Invoice'!B$2:B$401,$AH341)="","",INDEX('Per Invoice'!B$2:B$401,$AH341)))</f>
        <v/>
      </c>
      <c r="C341">
        <f>IF($AH341="","",IF(INDEX('Per Invoice'!C$2:C$401,$AH341)="","",INDEX('Per Invoice'!C$2:C$401,$AH341)))</f>
        <v/>
      </c>
      <c r="D341">
        <f>IF($AH341="","",IF(INDEX('Per Invoice'!D$2:D$401,$AH341)="","",INDEX('Per Invoice'!D$2:D$401,$AH341)))</f>
        <v/>
      </c>
      <c r="E341">
        <f>IF($AH341="","",IF(INDEX('Per Invoice'!E$2:E$401,$AH341)="","",INDEX('Per Invoice'!E$2:E$401,$AH341)))</f>
        <v/>
      </c>
      <c r="F341">
        <f>IF($AH341="","",IF(INDEX('Per Invoice'!F$2:F$401,$AH341)="","",INDEX('Per Invoice'!F$2:F$401,$AH341)))</f>
        <v/>
      </c>
      <c r="G341">
        <f>IF($AH341="","",IF(INDEX('Per Invoice'!G$2:G$401,$AH341)="","",INDEX('Per Invoice'!G$2:G$401,$AH341)))</f>
        <v/>
      </c>
      <c r="H341">
        <f>IF($AH341="","",IF(INDEX('Per Invoice'!H$2:H$401,$AH341)="","",INDEX('Per Invoice'!H$2:H$401,$AH341)))</f>
        <v/>
      </c>
      <c r="I341" s="14">
        <f>IF($AH341="","",IF(INDEX('Per Invoice'!I$2:I$401,$AH341)="","",INDEX('Per Invoice'!I$2:I$401,$AH341)))</f>
        <v/>
      </c>
      <c r="J341">
        <f>IF($AH341="","",IF(INDEX('Per Invoice'!J$2:J$401,$AH341)="","",INDEX('Per Invoice'!J$2:J$401,$AH341)))</f>
        <v/>
      </c>
      <c r="K341">
        <f>IF($AH341="","",IF(INDEX('Per Invoice'!K$2:K$401,$AH341)="","",INDEX('Per Invoice'!K$2:K$401,$AH341)))</f>
        <v/>
      </c>
      <c r="L341">
        <f>IF($AH341="","",IF(INDEX('Per Invoice'!L$2:L$401,$AH341)="","",INDEX('Per Invoice'!L$2:L$401,$AH341)))</f>
        <v/>
      </c>
      <c r="M341">
        <f>IF($AH341="","",IF(INDEX('Per Invoice'!M$2:M$401,$AH341)="","",INDEX('Per Invoice'!M$2:M$401,$AH341)))</f>
        <v/>
      </c>
      <c r="N341">
        <f>IF($AH341="","",IF(INDEX('Per Invoice'!N$2:N$401,$AH341)="","",INDEX('Per Invoice'!N$2:N$401,$AH341)))</f>
        <v/>
      </c>
      <c r="O341">
        <f>IF($AH341="","",IF(INDEX('Per Invoice'!O$2:O$401,$AH341)="","",INDEX('Per Invoice'!O$2:O$401,$AH341)))</f>
        <v/>
      </c>
      <c r="P341" s="7">
        <f>IF($AH341="","",IF(INDEX('Per Invoice'!P$2:P$401,$AH341)="","",INDEX('Per Invoice'!P$2:P$401,$AH341)))</f>
        <v/>
      </c>
      <c r="Q341">
        <f>IF($AH341="","",IF(INDEX('Per Invoice'!Q$2:Q$401,$AH341)="","",INDEX('Per Invoice'!Q$2:Q$401,$AH341)))</f>
        <v/>
      </c>
      <c r="R341">
        <f>IF($AH341="","",IF(INDEX('Per Invoice'!R$2:R$401,$AH341)="","",INDEX('Per Invoice'!R$2:R$401,$AH341)))</f>
        <v/>
      </c>
      <c r="S341">
        <f>IF($AH341="","",IF(INDEX('Per Invoice'!S$2:S$401,$AH341)="","",INDEX('Per Invoice'!S$2:S$401,$AH341)))</f>
        <v/>
      </c>
      <c r="T341" s="7">
        <f>IF($AH341="","",IF(INDEX('Per Invoice'!T$2:T$401,$AH341)="","",INDEX('Per Invoice'!T$2:T$401,$AH341)))</f>
        <v/>
      </c>
      <c r="U341" s="7">
        <f>IF($AH341="","",IF(INDEX('Per Invoice'!U$2:U$401,$AH341)="","",INDEX('Per Invoice'!U$2:U$401,$AH341)))</f>
        <v/>
      </c>
      <c r="V341">
        <f>IF($AH341="","",IF(INDEX('Per Invoice'!V$2:V$401,$AH341)="","",INDEX('Per Invoice'!V$2:V$401,$AH341)))</f>
        <v/>
      </c>
      <c r="W341" s="7">
        <f>IF($AH341="","",IF(INDEX('Per Invoice'!W$2:W$401,$AH341)="","",INDEX('Per Invoice'!W$2:W$401,$AH341)))</f>
        <v/>
      </c>
      <c r="X341" s="7">
        <f>IF($AH341="","",IF(INDEX('Per Invoice'!X$2:X$401,$AH341)="","",INDEX('Per Invoice'!X$2:X$401,$AH341)))</f>
        <v/>
      </c>
      <c r="Y341">
        <f>IF($AH341="","",IF(INDEX('Per Invoice'!Y$2:Y$401,$AH341)="","",INDEX('Per Invoice'!Y$2:Y$401,$AH341)))</f>
        <v/>
      </c>
      <c r="Z341" s="7">
        <f>IF($AH341="","",IF(INDEX('Per Invoice'!Z$2:Z$401,$AH341)="","",INDEX('Per Invoice'!Z$2:Z$401,$AH341)))</f>
        <v/>
      </c>
      <c r="AA341" s="7">
        <f>IF($AH341="","",IF(INDEX('Per Invoice'!AA$2:AA$401,$AH341)="","",INDEX('Per Invoice'!AA$2:AA$401,$AH341)))</f>
        <v/>
      </c>
      <c r="AB341" s="7">
        <f>IF($AH341="","",IF(INDEX('Per Invoice'!AB$2:AB$401,$AH341)="","",INDEX('Per Invoice'!AB$2:AB$401,$AH341)))</f>
        <v/>
      </c>
      <c r="AC341" s="7">
        <f>IF($AH341="","",IF(INDEX('Per Invoice'!AC$2:AC$401,$AH341)="","",INDEX('Per Invoice'!AC$2:AC$401,$AH341)))</f>
        <v/>
      </c>
      <c r="AD341" s="7">
        <f>IF($AH341="","",IF(INDEX('Per Invoice'!AD$2:AD$401,$AH341)="","",INDEX('Per Invoice'!AD$2:AD$401,$AH341)))</f>
        <v/>
      </c>
      <c r="AE341" s="7">
        <f>IF($AH341="","",IF(INDEX('Per Invoice'!AE$2:AE$401,$AH341)="","",INDEX('Per Invoice'!AE$2:AE$401,$AH341)))</f>
        <v/>
      </c>
      <c r="AF341">
        <f>IF($AH341="","",IF(INDEX('Per Invoice'!AF$2:AF$401,$AH341)="","",INDEX('Per Invoice'!AF$2:AF$401,$AH341)))</f>
        <v/>
      </c>
      <c r="AG341" s="7">
        <f>IF($AH341="","",IF(INDEX('Per Invoice'!AG$2:AG$401,$AH341)="","",INDEX('Per Invoice'!AG$2:AG$401,$AH341)))</f>
        <v/>
      </c>
      <c r="AH341" s="16">
        <f>IFERROR(MATCH(Settings!$C$27&amp;"|"&amp;ROWS($AH$2:$AH341),'Per Invoice'!$AI$2:$AI$401,0),"")</f>
        <v/>
      </c>
    </row>
    <row r="342">
      <c r="A342">
        <f>IF($AH342="","",IF(INDEX('Per Invoice'!A$2:A$401,$AH342)="","",INDEX('Per Invoice'!A$2:A$401,$AH342)))</f>
        <v/>
      </c>
      <c r="B342">
        <f>IF($AH342="","",IF(INDEX('Per Invoice'!B$2:B$401,$AH342)="","",INDEX('Per Invoice'!B$2:B$401,$AH342)))</f>
        <v/>
      </c>
      <c r="C342">
        <f>IF($AH342="","",IF(INDEX('Per Invoice'!C$2:C$401,$AH342)="","",INDEX('Per Invoice'!C$2:C$401,$AH342)))</f>
        <v/>
      </c>
      <c r="D342">
        <f>IF($AH342="","",IF(INDEX('Per Invoice'!D$2:D$401,$AH342)="","",INDEX('Per Invoice'!D$2:D$401,$AH342)))</f>
        <v/>
      </c>
      <c r="E342">
        <f>IF($AH342="","",IF(INDEX('Per Invoice'!E$2:E$401,$AH342)="","",INDEX('Per Invoice'!E$2:E$401,$AH342)))</f>
        <v/>
      </c>
      <c r="F342">
        <f>IF($AH342="","",IF(INDEX('Per Invoice'!F$2:F$401,$AH342)="","",INDEX('Per Invoice'!F$2:F$401,$AH342)))</f>
        <v/>
      </c>
      <c r="G342">
        <f>IF($AH342="","",IF(INDEX('Per Invoice'!G$2:G$401,$AH342)="","",INDEX('Per Invoice'!G$2:G$401,$AH342)))</f>
        <v/>
      </c>
      <c r="H342">
        <f>IF($AH342="","",IF(INDEX('Per Invoice'!H$2:H$401,$AH342)="","",INDEX('Per Invoice'!H$2:H$401,$AH342)))</f>
        <v/>
      </c>
      <c r="I342" s="14">
        <f>IF($AH342="","",IF(INDEX('Per Invoice'!I$2:I$401,$AH342)="","",INDEX('Per Invoice'!I$2:I$401,$AH342)))</f>
        <v/>
      </c>
      <c r="J342">
        <f>IF($AH342="","",IF(INDEX('Per Invoice'!J$2:J$401,$AH342)="","",INDEX('Per Invoice'!J$2:J$401,$AH342)))</f>
        <v/>
      </c>
      <c r="K342">
        <f>IF($AH342="","",IF(INDEX('Per Invoice'!K$2:K$401,$AH342)="","",INDEX('Per Invoice'!K$2:K$401,$AH342)))</f>
        <v/>
      </c>
      <c r="L342">
        <f>IF($AH342="","",IF(INDEX('Per Invoice'!L$2:L$401,$AH342)="","",INDEX('Per Invoice'!L$2:L$401,$AH342)))</f>
        <v/>
      </c>
      <c r="M342">
        <f>IF($AH342="","",IF(INDEX('Per Invoice'!M$2:M$401,$AH342)="","",INDEX('Per Invoice'!M$2:M$401,$AH342)))</f>
        <v/>
      </c>
      <c r="N342">
        <f>IF($AH342="","",IF(INDEX('Per Invoice'!N$2:N$401,$AH342)="","",INDEX('Per Invoice'!N$2:N$401,$AH342)))</f>
        <v/>
      </c>
      <c r="O342">
        <f>IF($AH342="","",IF(INDEX('Per Invoice'!O$2:O$401,$AH342)="","",INDEX('Per Invoice'!O$2:O$401,$AH342)))</f>
        <v/>
      </c>
      <c r="P342" s="7">
        <f>IF($AH342="","",IF(INDEX('Per Invoice'!P$2:P$401,$AH342)="","",INDEX('Per Invoice'!P$2:P$401,$AH342)))</f>
        <v/>
      </c>
      <c r="Q342">
        <f>IF($AH342="","",IF(INDEX('Per Invoice'!Q$2:Q$401,$AH342)="","",INDEX('Per Invoice'!Q$2:Q$401,$AH342)))</f>
        <v/>
      </c>
      <c r="R342">
        <f>IF($AH342="","",IF(INDEX('Per Invoice'!R$2:R$401,$AH342)="","",INDEX('Per Invoice'!R$2:R$401,$AH342)))</f>
        <v/>
      </c>
      <c r="S342">
        <f>IF($AH342="","",IF(INDEX('Per Invoice'!S$2:S$401,$AH342)="","",INDEX('Per Invoice'!S$2:S$401,$AH342)))</f>
        <v/>
      </c>
      <c r="T342" s="7">
        <f>IF($AH342="","",IF(INDEX('Per Invoice'!T$2:T$401,$AH342)="","",INDEX('Per Invoice'!T$2:T$401,$AH342)))</f>
        <v/>
      </c>
      <c r="U342" s="7">
        <f>IF($AH342="","",IF(INDEX('Per Invoice'!U$2:U$401,$AH342)="","",INDEX('Per Invoice'!U$2:U$401,$AH342)))</f>
        <v/>
      </c>
      <c r="V342">
        <f>IF($AH342="","",IF(INDEX('Per Invoice'!V$2:V$401,$AH342)="","",INDEX('Per Invoice'!V$2:V$401,$AH342)))</f>
        <v/>
      </c>
      <c r="W342" s="7">
        <f>IF($AH342="","",IF(INDEX('Per Invoice'!W$2:W$401,$AH342)="","",INDEX('Per Invoice'!W$2:W$401,$AH342)))</f>
        <v/>
      </c>
      <c r="X342" s="7">
        <f>IF($AH342="","",IF(INDEX('Per Invoice'!X$2:X$401,$AH342)="","",INDEX('Per Invoice'!X$2:X$401,$AH342)))</f>
        <v/>
      </c>
      <c r="Y342">
        <f>IF($AH342="","",IF(INDEX('Per Invoice'!Y$2:Y$401,$AH342)="","",INDEX('Per Invoice'!Y$2:Y$401,$AH342)))</f>
        <v/>
      </c>
      <c r="Z342" s="7">
        <f>IF($AH342="","",IF(INDEX('Per Invoice'!Z$2:Z$401,$AH342)="","",INDEX('Per Invoice'!Z$2:Z$401,$AH342)))</f>
        <v/>
      </c>
      <c r="AA342" s="7">
        <f>IF($AH342="","",IF(INDEX('Per Invoice'!AA$2:AA$401,$AH342)="","",INDEX('Per Invoice'!AA$2:AA$401,$AH342)))</f>
        <v/>
      </c>
      <c r="AB342" s="7">
        <f>IF($AH342="","",IF(INDEX('Per Invoice'!AB$2:AB$401,$AH342)="","",INDEX('Per Invoice'!AB$2:AB$401,$AH342)))</f>
        <v/>
      </c>
      <c r="AC342" s="7">
        <f>IF($AH342="","",IF(INDEX('Per Invoice'!AC$2:AC$401,$AH342)="","",INDEX('Per Invoice'!AC$2:AC$401,$AH342)))</f>
        <v/>
      </c>
      <c r="AD342" s="7">
        <f>IF($AH342="","",IF(INDEX('Per Invoice'!AD$2:AD$401,$AH342)="","",INDEX('Per Invoice'!AD$2:AD$401,$AH342)))</f>
        <v/>
      </c>
      <c r="AE342" s="7">
        <f>IF($AH342="","",IF(INDEX('Per Invoice'!AE$2:AE$401,$AH342)="","",INDEX('Per Invoice'!AE$2:AE$401,$AH342)))</f>
        <v/>
      </c>
      <c r="AF342">
        <f>IF($AH342="","",IF(INDEX('Per Invoice'!AF$2:AF$401,$AH342)="","",INDEX('Per Invoice'!AF$2:AF$401,$AH342)))</f>
        <v/>
      </c>
      <c r="AG342" s="7">
        <f>IF($AH342="","",IF(INDEX('Per Invoice'!AG$2:AG$401,$AH342)="","",INDEX('Per Invoice'!AG$2:AG$401,$AH342)))</f>
        <v/>
      </c>
      <c r="AH342" s="16">
        <f>IFERROR(MATCH(Settings!$C$27&amp;"|"&amp;ROWS($AH$2:$AH342),'Per Invoice'!$AI$2:$AI$401,0),"")</f>
        <v/>
      </c>
    </row>
    <row r="343">
      <c r="A343">
        <f>IF($AH343="","",IF(INDEX('Per Invoice'!A$2:A$401,$AH343)="","",INDEX('Per Invoice'!A$2:A$401,$AH343)))</f>
        <v/>
      </c>
      <c r="B343">
        <f>IF($AH343="","",IF(INDEX('Per Invoice'!B$2:B$401,$AH343)="","",INDEX('Per Invoice'!B$2:B$401,$AH343)))</f>
        <v/>
      </c>
      <c r="C343">
        <f>IF($AH343="","",IF(INDEX('Per Invoice'!C$2:C$401,$AH343)="","",INDEX('Per Invoice'!C$2:C$401,$AH343)))</f>
        <v/>
      </c>
      <c r="D343">
        <f>IF($AH343="","",IF(INDEX('Per Invoice'!D$2:D$401,$AH343)="","",INDEX('Per Invoice'!D$2:D$401,$AH343)))</f>
        <v/>
      </c>
      <c r="E343">
        <f>IF($AH343="","",IF(INDEX('Per Invoice'!E$2:E$401,$AH343)="","",INDEX('Per Invoice'!E$2:E$401,$AH343)))</f>
        <v/>
      </c>
      <c r="F343">
        <f>IF($AH343="","",IF(INDEX('Per Invoice'!F$2:F$401,$AH343)="","",INDEX('Per Invoice'!F$2:F$401,$AH343)))</f>
        <v/>
      </c>
      <c r="G343">
        <f>IF($AH343="","",IF(INDEX('Per Invoice'!G$2:G$401,$AH343)="","",INDEX('Per Invoice'!G$2:G$401,$AH343)))</f>
        <v/>
      </c>
      <c r="H343">
        <f>IF($AH343="","",IF(INDEX('Per Invoice'!H$2:H$401,$AH343)="","",INDEX('Per Invoice'!H$2:H$401,$AH343)))</f>
        <v/>
      </c>
      <c r="I343" s="14">
        <f>IF($AH343="","",IF(INDEX('Per Invoice'!I$2:I$401,$AH343)="","",INDEX('Per Invoice'!I$2:I$401,$AH343)))</f>
        <v/>
      </c>
      <c r="J343">
        <f>IF($AH343="","",IF(INDEX('Per Invoice'!J$2:J$401,$AH343)="","",INDEX('Per Invoice'!J$2:J$401,$AH343)))</f>
        <v/>
      </c>
      <c r="K343">
        <f>IF($AH343="","",IF(INDEX('Per Invoice'!K$2:K$401,$AH343)="","",INDEX('Per Invoice'!K$2:K$401,$AH343)))</f>
        <v/>
      </c>
      <c r="L343">
        <f>IF($AH343="","",IF(INDEX('Per Invoice'!L$2:L$401,$AH343)="","",INDEX('Per Invoice'!L$2:L$401,$AH343)))</f>
        <v/>
      </c>
      <c r="M343">
        <f>IF($AH343="","",IF(INDEX('Per Invoice'!M$2:M$401,$AH343)="","",INDEX('Per Invoice'!M$2:M$401,$AH343)))</f>
        <v/>
      </c>
      <c r="N343">
        <f>IF($AH343="","",IF(INDEX('Per Invoice'!N$2:N$401,$AH343)="","",INDEX('Per Invoice'!N$2:N$401,$AH343)))</f>
        <v/>
      </c>
      <c r="O343">
        <f>IF($AH343="","",IF(INDEX('Per Invoice'!O$2:O$401,$AH343)="","",INDEX('Per Invoice'!O$2:O$401,$AH343)))</f>
        <v/>
      </c>
      <c r="P343" s="7">
        <f>IF($AH343="","",IF(INDEX('Per Invoice'!P$2:P$401,$AH343)="","",INDEX('Per Invoice'!P$2:P$401,$AH343)))</f>
        <v/>
      </c>
      <c r="Q343">
        <f>IF($AH343="","",IF(INDEX('Per Invoice'!Q$2:Q$401,$AH343)="","",INDEX('Per Invoice'!Q$2:Q$401,$AH343)))</f>
        <v/>
      </c>
      <c r="R343">
        <f>IF($AH343="","",IF(INDEX('Per Invoice'!R$2:R$401,$AH343)="","",INDEX('Per Invoice'!R$2:R$401,$AH343)))</f>
        <v/>
      </c>
      <c r="S343">
        <f>IF($AH343="","",IF(INDEX('Per Invoice'!S$2:S$401,$AH343)="","",INDEX('Per Invoice'!S$2:S$401,$AH343)))</f>
        <v/>
      </c>
      <c r="T343" s="7">
        <f>IF($AH343="","",IF(INDEX('Per Invoice'!T$2:T$401,$AH343)="","",INDEX('Per Invoice'!T$2:T$401,$AH343)))</f>
        <v/>
      </c>
      <c r="U343" s="7">
        <f>IF($AH343="","",IF(INDEX('Per Invoice'!U$2:U$401,$AH343)="","",INDEX('Per Invoice'!U$2:U$401,$AH343)))</f>
        <v/>
      </c>
      <c r="V343">
        <f>IF($AH343="","",IF(INDEX('Per Invoice'!V$2:V$401,$AH343)="","",INDEX('Per Invoice'!V$2:V$401,$AH343)))</f>
        <v/>
      </c>
      <c r="W343" s="7">
        <f>IF($AH343="","",IF(INDEX('Per Invoice'!W$2:W$401,$AH343)="","",INDEX('Per Invoice'!W$2:W$401,$AH343)))</f>
        <v/>
      </c>
      <c r="X343" s="7">
        <f>IF($AH343="","",IF(INDEX('Per Invoice'!X$2:X$401,$AH343)="","",INDEX('Per Invoice'!X$2:X$401,$AH343)))</f>
        <v/>
      </c>
      <c r="Y343">
        <f>IF($AH343="","",IF(INDEX('Per Invoice'!Y$2:Y$401,$AH343)="","",INDEX('Per Invoice'!Y$2:Y$401,$AH343)))</f>
        <v/>
      </c>
      <c r="Z343" s="7">
        <f>IF($AH343="","",IF(INDEX('Per Invoice'!Z$2:Z$401,$AH343)="","",INDEX('Per Invoice'!Z$2:Z$401,$AH343)))</f>
        <v/>
      </c>
      <c r="AA343" s="7">
        <f>IF($AH343="","",IF(INDEX('Per Invoice'!AA$2:AA$401,$AH343)="","",INDEX('Per Invoice'!AA$2:AA$401,$AH343)))</f>
        <v/>
      </c>
      <c r="AB343" s="7">
        <f>IF($AH343="","",IF(INDEX('Per Invoice'!AB$2:AB$401,$AH343)="","",INDEX('Per Invoice'!AB$2:AB$401,$AH343)))</f>
        <v/>
      </c>
      <c r="AC343" s="7">
        <f>IF($AH343="","",IF(INDEX('Per Invoice'!AC$2:AC$401,$AH343)="","",INDEX('Per Invoice'!AC$2:AC$401,$AH343)))</f>
        <v/>
      </c>
      <c r="AD343" s="7">
        <f>IF($AH343="","",IF(INDEX('Per Invoice'!AD$2:AD$401,$AH343)="","",INDEX('Per Invoice'!AD$2:AD$401,$AH343)))</f>
        <v/>
      </c>
      <c r="AE343" s="7">
        <f>IF($AH343="","",IF(INDEX('Per Invoice'!AE$2:AE$401,$AH343)="","",INDEX('Per Invoice'!AE$2:AE$401,$AH343)))</f>
        <v/>
      </c>
      <c r="AF343">
        <f>IF($AH343="","",IF(INDEX('Per Invoice'!AF$2:AF$401,$AH343)="","",INDEX('Per Invoice'!AF$2:AF$401,$AH343)))</f>
        <v/>
      </c>
      <c r="AG343" s="7">
        <f>IF($AH343="","",IF(INDEX('Per Invoice'!AG$2:AG$401,$AH343)="","",INDEX('Per Invoice'!AG$2:AG$401,$AH343)))</f>
        <v/>
      </c>
      <c r="AH343" s="16">
        <f>IFERROR(MATCH(Settings!$C$27&amp;"|"&amp;ROWS($AH$2:$AH343),'Per Invoice'!$AI$2:$AI$401,0),"")</f>
        <v/>
      </c>
    </row>
    <row r="344">
      <c r="A344">
        <f>IF($AH344="","",IF(INDEX('Per Invoice'!A$2:A$401,$AH344)="","",INDEX('Per Invoice'!A$2:A$401,$AH344)))</f>
        <v/>
      </c>
      <c r="B344">
        <f>IF($AH344="","",IF(INDEX('Per Invoice'!B$2:B$401,$AH344)="","",INDEX('Per Invoice'!B$2:B$401,$AH344)))</f>
        <v/>
      </c>
      <c r="C344">
        <f>IF($AH344="","",IF(INDEX('Per Invoice'!C$2:C$401,$AH344)="","",INDEX('Per Invoice'!C$2:C$401,$AH344)))</f>
        <v/>
      </c>
      <c r="D344">
        <f>IF($AH344="","",IF(INDEX('Per Invoice'!D$2:D$401,$AH344)="","",INDEX('Per Invoice'!D$2:D$401,$AH344)))</f>
        <v/>
      </c>
      <c r="E344">
        <f>IF($AH344="","",IF(INDEX('Per Invoice'!E$2:E$401,$AH344)="","",INDEX('Per Invoice'!E$2:E$401,$AH344)))</f>
        <v/>
      </c>
      <c r="F344">
        <f>IF($AH344="","",IF(INDEX('Per Invoice'!F$2:F$401,$AH344)="","",INDEX('Per Invoice'!F$2:F$401,$AH344)))</f>
        <v/>
      </c>
      <c r="G344">
        <f>IF($AH344="","",IF(INDEX('Per Invoice'!G$2:G$401,$AH344)="","",INDEX('Per Invoice'!G$2:G$401,$AH344)))</f>
        <v/>
      </c>
      <c r="H344">
        <f>IF($AH344="","",IF(INDEX('Per Invoice'!H$2:H$401,$AH344)="","",INDEX('Per Invoice'!H$2:H$401,$AH344)))</f>
        <v/>
      </c>
      <c r="I344" s="14">
        <f>IF($AH344="","",IF(INDEX('Per Invoice'!I$2:I$401,$AH344)="","",INDEX('Per Invoice'!I$2:I$401,$AH344)))</f>
        <v/>
      </c>
      <c r="J344">
        <f>IF($AH344="","",IF(INDEX('Per Invoice'!J$2:J$401,$AH344)="","",INDEX('Per Invoice'!J$2:J$401,$AH344)))</f>
        <v/>
      </c>
      <c r="K344">
        <f>IF($AH344="","",IF(INDEX('Per Invoice'!K$2:K$401,$AH344)="","",INDEX('Per Invoice'!K$2:K$401,$AH344)))</f>
        <v/>
      </c>
      <c r="L344">
        <f>IF($AH344="","",IF(INDEX('Per Invoice'!L$2:L$401,$AH344)="","",INDEX('Per Invoice'!L$2:L$401,$AH344)))</f>
        <v/>
      </c>
      <c r="M344">
        <f>IF($AH344="","",IF(INDEX('Per Invoice'!M$2:M$401,$AH344)="","",INDEX('Per Invoice'!M$2:M$401,$AH344)))</f>
        <v/>
      </c>
      <c r="N344">
        <f>IF($AH344="","",IF(INDEX('Per Invoice'!N$2:N$401,$AH344)="","",INDEX('Per Invoice'!N$2:N$401,$AH344)))</f>
        <v/>
      </c>
      <c r="O344">
        <f>IF($AH344="","",IF(INDEX('Per Invoice'!O$2:O$401,$AH344)="","",INDEX('Per Invoice'!O$2:O$401,$AH344)))</f>
        <v/>
      </c>
      <c r="P344" s="7">
        <f>IF($AH344="","",IF(INDEX('Per Invoice'!P$2:P$401,$AH344)="","",INDEX('Per Invoice'!P$2:P$401,$AH344)))</f>
        <v/>
      </c>
      <c r="Q344">
        <f>IF($AH344="","",IF(INDEX('Per Invoice'!Q$2:Q$401,$AH344)="","",INDEX('Per Invoice'!Q$2:Q$401,$AH344)))</f>
        <v/>
      </c>
      <c r="R344">
        <f>IF($AH344="","",IF(INDEX('Per Invoice'!R$2:R$401,$AH344)="","",INDEX('Per Invoice'!R$2:R$401,$AH344)))</f>
        <v/>
      </c>
      <c r="S344">
        <f>IF($AH344="","",IF(INDEX('Per Invoice'!S$2:S$401,$AH344)="","",INDEX('Per Invoice'!S$2:S$401,$AH344)))</f>
        <v/>
      </c>
      <c r="T344" s="7">
        <f>IF($AH344="","",IF(INDEX('Per Invoice'!T$2:T$401,$AH344)="","",INDEX('Per Invoice'!T$2:T$401,$AH344)))</f>
        <v/>
      </c>
      <c r="U344" s="7">
        <f>IF($AH344="","",IF(INDEX('Per Invoice'!U$2:U$401,$AH344)="","",INDEX('Per Invoice'!U$2:U$401,$AH344)))</f>
        <v/>
      </c>
      <c r="V344">
        <f>IF($AH344="","",IF(INDEX('Per Invoice'!V$2:V$401,$AH344)="","",INDEX('Per Invoice'!V$2:V$401,$AH344)))</f>
        <v/>
      </c>
      <c r="W344" s="7">
        <f>IF($AH344="","",IF(INDEX('Per Invoice'!W$2:W$401,$AH344)="","",INDEX('Per Invoice'!W$2:W$401,$AH344)))</f>
        <v/>
      </c>
      <c r="X344" s="7">
        <f>IF($AH344="","",IF(INDEX('Per Invoice'!X$2:X$401,$AH344)="","",INDEX('Per Invoice'!X$2:X$401,$AH344)))</f>
        <v/>
      </c>
      <c r="Y344">
        <f>IF($AH344="","",IF(INDEX('Per Invoice'!Y$2:Y$401,$AH344)="","",INDEX('Per Invoice'!Y$2:Y$401,$AH344)))</f>
        <v/>
      </c>
      <c r="Z344" s="7">
        <f>IF($AH344="","",IF(INDEX('Per Invoice'!Z$2:Z$401,$AH344)="","",INDEX('Per Invoice'!Z$2:Z$401,$AH344)))</f>
        <v/>
      </c>
      <c r="AA344" s="7">
        <f>IF($AH344="","",IF(INDEX('Per Invoice'!AA$2:AA$401,$AH344)="","",INDEX('Per Invoice'!AA$2:AA$401,$AH344)))</f>
        <v/>
      </c>
      <c r="AB344" s="7">
        <f>IF($AH344="","",IF(INDEX('Per Invoice'!AB$2:AB$401,$AH344)="","",INDEX('Per Invoice'!AB$2:AB$401,$AH344)))</f>
        <v/>
      </c>
      <c r="AC344" s="7">
        <f>IF($AH344="","",IF(INDEX('Per Invoice'!AC$2:AC$401,$AH344)="","",INDEX('Per Invoice'!AC$2:AC$401,$AH344)))</f>
        <v/>
      </c>
      <c r="AD344" s="7">
        <f>IF($AH344="","",IF(INDEX('Per Invoice'!AD$2:AD$401,$AH344)="","",INDEX('Per Invoice'!AD$2:AD$401,$AH344)))</f>
        <v/>
      </c>
      <c r="AE344" s="7">
        <f>IF($AH344="","",IF(INDEX('Per Invoice'!AE$2:AE$401,$AH344)="","",INDEX('Per Invoice'!AE$2:AE$401,$AH344)))</f>
        <v/>
      </c>
      <c r="AF344">
        <f>IF($AH344="","",IF(INDEX('Per Invoice'!AF$2:AF$401,$AH344)="","",INDEX('Per Invoice'!AF$2:AF$401,$AH344)))</f>
        <v/>
      </c>
      <c r="AG344" s="7">
        <f>IF($AH344="","",IF(INDEX('Per Invoice'!AG$2:AG$401,$AH344)="","",INDEX('Per Invoice'!AG$2:AG$401,$AH344)))</f>
        <v/>
      </c>
      <c r="AH344" s="16">
        <f>IFERROR(MATCH(Settings!$C$27&amp;"|"&amp;ROWS($AH$2:$AH344),'Per Invoice'!$AI$2:$AI$401,0),"")</f>
        <v/>
      </c>
    </row>
    <row r="345">
      <c r="A345">
        <f>IF($AH345="","",IF(INDEX('Per Invoice'!A$2:A$401,$AH345)="","",INDEX('Per Invoice'!A$2:A$401,$AH345)))</f>
        <v/>
      </c>
      <c r="B345">
        <f>IF($AH345="","",IF(INDEX('Per Invoice'!B$2:B$401,$AH345)="","",INDEX('Per Invoice'!B$2:B$401,$AH345)))</f>
        <v/>
      </c>
      <c r="C345">
        <f>IF($AH345="","",IF(INDEX('Per Invoice'!C$2:C$401,$AH345)="","",INDEX('Per Invoice'!C$2:C$401,$AH345)))</f>
        <v/>
      </c>
      <c r="D345">
        <f>IF($AH345="","",IF(INDEX('Per Invoice'!D$2:D$401,$AH345)="","",INDEX('Per Invoice'!D$2:D$401,$AH345)))</f>
        <v/>
      </c>
      <c r="E345">
        <f>IF($AH345="","",IF(INDEX('Per Invoice'!E$2:E$401,$AH345)="","",INDEX('Per Invoice'!E$2:E$401,$AH345)))</f>
        <v/>
      </c>
      <c r="F345">
        <f>IF($AH345="","",IF(INDEX('Per Invoice'!F$2:F$401,$AH345)="","",INDEX('Per Invoice'!F$2:F$401,$AH345)))</f>
        <v/>
      </c>
      <c r="G345">
        <f>IF($AH345="","",IF(INDEX('Per Invoice'!G$2:G$401,$AH345)="","",INDEX('Per Invoice'!G$2:G$401,$AH345)))</f>
        <v/>
      </c>
      <c r="H345">
        <f>IF($AH345="","",IF(INDEX('Per Invoice'!H$2:H$401,$AH345)="","",INDEX('Per Invoice'!H$2:H$401,$AH345)))</f>
        <v/>
      </c>
      <c r="I345" s="14">
        <f>IF($AH345="","",IF(INDEX('Per Invoice'!I$2:I$401,$AH345)="","",INDEX('Per Invoice'!I$2:I$401,$AH345)))</f>
        <v/>
      </c>
      <c r="J345">
        <f>IF($AH345="","",IF(INDEX('Per Invoice'!J$2:J$401,$AH345)="","",INDEX('Per Invoice'!J$2:J$401,$AH345)))</f>
        <v/>
      </c>
      <c r="K345">
        <f>IF($AH345="","",IF(INDEX('Per Invoice'!K$2:K$401,$AH345)="","",INDEX('Per Invoice'!K$2:K$401,$AH345)))</f>
        <v/>
      </c>
      <c r="L345">
        <f>IF($AH345="","",IF(INDEX('Per Invoice'!L$2:L$401,$AH345)="","",INDEX('Per Invoice'!L$2:L$401,$AH345)))</f>
        <v/>
      </c>
      <c r="M345">
        <f>IF($AH345="","",IF(INDEX('Per Invoice'!M$2:M$401,$AH345)="","",INDEX('Per Invoice'!M$2:M$401,$AH345)))</f>
        <v/>
      </c>
      <c r="N345">
        <f>IF($AH345="","",IF(INDEX('Per Invoice'!N$2:N$401,$AH345)="","",INDEX('Per Invoice'!N$2:N$401,$AH345)))</f>
        <v/>
      </c>
      <c r="O345">
        <f>IF($AH345="","",IF(INDEX('Per Invoice'!O$2:O$401,$AH345)="","",INDEX('Per Invoice'!O$2:O$401,$AH345)))</f>
        <v/>
      </c>
      <c r="P345" s="7">
        <f>IF($AH345="","",IF(INDEX('Per Invoice'!P$2:P$401,$AH345)="","",INDEX('Per Invoice'!P$2:P$401,$AH345)))</f>
        <v/>
      </c>
      <c r="Q345">
        <f>IF($AH345="","",IF(INDEX('Per Invoice'!Q$2:Q$401,$AH345)="","",INDEX('Per Invoice'!Q$2:Q$401,$AH345)))</f>
        <v/>
      </c>
      <c r="R345">
        <f>IF($AH345="","",IF(INDEX('Per Invoice'!R$2:R$401,$AH345)="","",INDEX('Per Invoice'!R$2:R$401,$AH345)))</f>
        <v/>
      </c>
      <c r="S345">
        <f>IF($AH345="","",IF(INDEX('Per Invoice'!S$2:S$401,$AH345)="","",INDEX('Per Invoice'!S$2:S$401,$AH345)))</f>
        <v/>
      </c>
      <c r="T345" s="7">
        <f>IF($AH345="","",IF(INDEX('Per Invoice'!T$2:T$401,$AH345)="","",INDEX('Per Invoice'!T$2:T$401,$AH345)))</f>
        <v/>
      </c>
      <c r="U345" s="7">
        <f>IF($AH345="","",IF(INDEX('Per Invoice'!U$2:U$401,$AH345)="","",INDEX('Per Invoice'!U$2:U$401,$AH345)))</f>
        <v/>
      </c>
      <c r="V345">
        <f>IF($AH345="","",IF(INDEX('Per Invoice'!V$2:V$401,$AH345)="","",INDEX('Per Invoice'!V$2:V$401,$AH345)))</f>
        <v/>
      </c>
      <c r="W345" s="7">
        <f>IF($AH345="","",IF(INDEX('Per Invoice'!W$2:W$401,$AH345)="","",INDEX('Per Invoice'!W$2:W$401,$AH345)))</f>
        <v/>
      </c>
      <c r="X345" s="7">
        <f>IF($AH345="","",IF(INDEX('Per Invoice'!X$2:X$401,$AH345)="","",INDEX('Per Invoice'!X$2:X$401,$AH345)))</f>
        <v/>
      </c>
      <c r="Y345">
        <f>IF($AH345="","",IF(INDEX('Per Invoice'!Y$2:Y$401,$AH345)="","",INDEX('Per Invoice'!Y$2:Y$401,$AH345)))</f>
        <v/>
      </c>
      <c r="Z345" s="7">
        <f>IF($AH345="","",IF(INDEX('Per Invoice'!Z$2:Z$401,$AH345)="","",INDEX('Per Invoice'!Z$2:Z$401,$AH345)))</f>
        <v/>
      </c>
      <c r="AA345" s="7">
        <f>IF($AH345="","",IF(INDEX('Per Invoice'!AA$2:AA$401,$AH345)="","",INDEX('Per Invoice'!AA$2:AA$401,$AH345)))</f>
        <v/>
      </c>
      <c r="AB345" s="7">
        <f>IF($AH345="","",IF(INDEX('Per Invoice'!AB$2:AB$401,$AH345)="","",INDEX('Per Invoice'!AB$2:AB$401,$AH345)))</f>
        <v/>
      </c>
      <c r="AC345" s="7">
        <f>IF($AH345="","",IF(INDEX('Per Invoice'!AC$2:AC$401,$AH345)="","",INDEX('Per Invoice'!AC$2:AC$401,$AH345)))</f>
        <v/>
      </c>
      <c r="AD345" s="7">
        <f>IF($AH345="","",IF(INDEX('Per Invoice'!AD$2:AD$401,$AH345)="","",INDEX('Per Invoice'!AD$2:AD$401,$AH345)))</f>
        <v/>
      </c>
      <c r="AE345" s="7">
        <f>IF($AH345="","",IF(INDEX('Per Invoice'!AE$2:AE$401,$AH345)="","",INDEX('Per Invoice'!AE$2:AE$401,$AH345)))</f>
        <v/>
      </c>
      <c r="AF345">
        <f>IF($AH345="","",IF(INDEX('Per Invoice'!AF$2:AF$401,$AH345)="","",INDEX('Per Invoice'!AF$2:AF$401,$AH345)))</f>
        <v/>
      </c>
      <c r="AG345" s="7">
        <f>IF($AH345="","",IF(INDEX('Per Invoice'!AG$2:AG$401,$AH345)="","",INDEX('Per Invoice'!AG$2:AG$401,$AH345)))</f>
        <v/>
      </c>
      <c r="AH345" s="16">
        <f>IFERROR(MATCH(Settings!$C$27&amp;"|"&amp;ROWS($AH$2:$AH345),'Per Invoice'!$AI$2:$AI$401,0),"")</f>
        <v/>
      </c>
    </row>
    <row r="346">
      <c r="A346">
        <f>IF($AH346="","",IF(INDEX('Per Invoice'!A$2:A$401,$AH346)="","",INDEX('Per Invoice'!A$2:A$401,$AH346)))</f>
        <v/>
      </c>
      <c r="B346">
        <f>IF($AH346="","",IF(INDEX('Per Invoice'!B$2:B$401,$AH346)="","",INDEX('Per Invoice'!B$2:B$401,$AH346)))</f>
        <v/>
      </c>
      <c r="C346">
        <f>IF($AH346="","",IF(INDEX('Per Invoice'!C$2:C$401,$AH346)="","",INDEX('Per Invoice'!C$2:C$401,$AH346)))</f>
        <v/>
      </c>
      <c r="D346">
        <f>IF($AH346="","",IF(INDEX('Per Invoice'!D$2:D$401,$AH346)="","",INDEX('Per Invoice'!D$2:D$401,$AH346)))</f>
        <v/>
      </c>
      <c r="E346">
        <f>IF($AH346="","",IF(INDEX('Per Invoice'!E$2:E$401,$AH346)="","",INDEX('Per Invoice'!E$2:E$401,$AH346)))</f>
        <v/>
      </c>
      <c r="F346">
        <f>IF($AH346="","",IF(INDEX('Per Invoice'!F$2:F$401,$AH346)="","",INDEX('Per Invoice'!F$2:F$401,$AH346)))</f>
        <v/>
      </c>
      <c r="G346">
        <f>IF($AH346="","",IF(INDEX('Per Invoice'!G$2:G$401,$AH346)="","",INDEX('Per Invoice'!G$2:G$401,$AH346)))</f>
        <v/>
      </c>
      <c r="H346">
        <f>IF($AH346="","",IF(INDEX('Per Invoice'!H$2:H$401,$AH346)="","",INDEX('Per Invoice'!H$2:H$401,$AH346)))</f>
        <v/>
      </c>
      <c r="I346" s="14">
        <f>IF($AH346="","",IF(INDEX('Per Invoice'!I$2:I$401,$AH346)="","",INDEX('Per Invoice'!I$2:I$401,$AH346)))</f>
        <v/>
      </c>
      <c r="J346">
        <f>IF($AH346="","",IF(INDEX('Per Invoice'!J$2:J$401,$AH346)="","",INDEX('Per Invoice'!J$2:J$401,$AH346)))</f>
        <v/>
      </c>
      <c r="K346">
        <f>IF($AH346="","",IF(INDEX('Per Invoice'!K$2:K$401,$AH346)="","",INDEX('Per Invoice'!K$2:K$401,$AH346)))</f>
        <v/>
      </c>
      <c r="L346">
        <f>IF($AH346="","",IF(INDEX('Per Invoice'!L$2:L$401,$AH346)="","",INDEX('Per Invoice'!L$2:L$401,$AH346)))</f>
        <v/>
      </c>
      <c r="M346">
        <f>IF($AH346="","",IF(INDEX('Per Invoice'!M$2:M$401,$AH346)="","",INDEX('Per Invoice'!M$2:M$401,$AH346)))</f>
        <v/>
      </c>
      <c r="N346">
        <f>IF($AH346="","",IF(INDEX('Per Invoice'!N$2:N$401,$AH346)="","",INDEX('Per Invoice'!N$2:N$401,$AH346)))</f>
        <v/>
      </c>
      <c r="O346">
        <f>IF($AH346="","",IF(INDEX('Per Invoice'!O$2:O$401,$AH346)="","",INDEX('Per Invoice'!O$2:O$401,$AH346)))</f>
        <v/>
      </c>
      <c r="P346" s="7">
        <f>IF($AH346="","",IF(INDEX('Per Invoice'!P$2:P$401,$AH346)="","",INDEX('Per Invoice'!P$2:P$401,$AH346)))</f>
        <v/>
      </c>
      <c r="Q346">
        <f>IF($AH346="","",IF(INDEX('Per Invoice'!Q$2:Q$401,$AH346)="","",INDEX('Per Invoice'!Q$2:Q$401,$AH346)))</f>
        <v/>
      </c>
      <c r="R346">
        <f>IF($AH346="","",IF(INDEX('Per Invoice'!R$2:R$401,$AH346)="","",INDEX('Per Invoice'!R$2:R$401,$AH346)))</f>
        <v/>
      </c>
      <c r="S346">
        <f>IF($AH346="","",IF(INDEX('Per Invoice'!S$2:S$401,$AH346)="","",INDEX('Per Invoice'!S$2:S$401,$AH346)))</f>
        <v/>
      </c>
      <c r="T346" s="7">
        <f>IF($AH346="","",IF(INDEX('Per Invoice'!T$2:T$401,$AH346)="","",INDEX('Per Invoice'!T$2:T$401,$AH346)))</f>
        <v/>
      </c>
      <c r="U346" s="7">
        <f>IF($AH346="","",IF(INDEX('Per Invoice'!U$2:U$401,$AH346)="","",INDEX('Per Invoice'!U$2:U$401,$AH346)))</f>
        <v/>
      </c>
      <c r="V346">
        <f>IF($AH346="","",IF(INDEX('Per Invoice'!V$2:V$401,$AH346)="","",INDEX('Per Invoice'!V$2:V$401,$AH346)))</f>
        <v/>
      </c>
      <c r="W346" s="7">
        <f>IF($AH346="","",IF(INDEX('Per Invoice'!W$2:W$401,$AH346)="","",INDEX('Per Invoice'!W$2:W$401,$AH346)))</f>
        <v/>
      </c>
      <c r="X346" s="7">
        <f>IF($AH346="","",IF(INDEX('Per Invoice'!X$2:X$401,$AH346)="","",INDEX('Per Invoice'!X$2:X$401,$AH346)))</f>
        <v/>
      </c>
      <c r="Y346">
        <f>IF($AH346="","",IF(INDEX('Per Invoice'!Y$2:Y$401,$AH346)="","",INDEX('Per Invoice'!Y$2:Y$401,$AH346)))</f>
        <v/>
      </c>
      <c r="Z346" s="7">
        <f>IF($AH346="","",IF(INDEX('Per Invoice'!Z$2:Z$401,$AH346)="","",INDEX('Per Invoice'!Z$2:Z$401,$AH346)))</f>
        <v/>
      </c>
      <c r="AA346" s="7">
        <f>IF($AH346="","",IF(INDEX('Per Invoice'!AA$2:AA$401,$AH346)="","",INDEX('Per Invoice'!AA$2:AA$401,$AH346)))</f>
        <v/>
      </c>
      <c r="AB346" s="7">
        <f>IF($AH346="","",IF(INDEX('Per Invoice'!AB$2:AB$401,$AH346)="","",INDEX('Per Invoice'!AB$2:AB$401,$AH346)))</f>
        <v/>
      </c>
      <c r="AC346" s="7">
        <f>IF($AH346="","",IF(INDEX('Per Invoice'!AC$2:AC$401,$AH346)="","",INDEX('Per Invoice'!AC$2:AC$401,$AH346)))</f>
        <v/>
      </c>
      <c r="AD346" s="7">
        <f>IF($AH346="","",IF(INDEX('Per Invoice'!AD$2:AD$401,$AH346)="","",INDEX('Per Invoice'!AD$2:AD$401,$AH346)))</f>
        <v/>
      </c>
      <c r="AE346" s="7">
        <f>IF($AH346="","",IF(INDEX('Per Invoice'!AE$2:AE$401,$AH346)="","",INDEX('Per Invoice'!AE$2:AE$401,$AH346)))</f>
        <v/>
      </c>
      <c r="AF346">
        <f>IF($AH346="","",IF(INDEX('Per Invoice'!AF$2:AF$401,$AH346)="","",INDEX('Per Invoice'!AF$2:AF$401,$AH346)))</f>
        <v/>
      </c>
      <c r="AG346" s="7">
        <f>IF($AH346="","",IF(INDEX('Per Invoice'!AG$2:AG$401,$AH346)="","",INDEX('Per Invoice'!AG$2:AG$401,$AH346)))</f>
        <v/>
      </c>
      <c r="AH346" s="16">
        <f>IFERROR(MATCH(Settings!$C$27&amp;"|"&amp;ROWS($AH$2:$AH346),'Per Invoice'!$AI$2:$AI$401,0),"")</f>
        <v/>
      </c>
    </row>
    <row r="347">
      <c r="A347">
        <f>IF($AH347="","",IF(INDEX('Per Invoice'!A$2:A$401,$AH347)="","",INDEX('Per Invoice'!A$2:A$401,$AH347)))</f>
        <v/>
      </c>
      <c r="B347">
        <f>IF($AH347="","",IF(INDEX('Per Invoice'!B$2:B$401,$AH347)="","",INDEX('Per Invoice'!B$2:B$401,$AH347)))</f>
        <v/>
      </c>
      <c r="C347">
        <f>IF($AH347="","",IF(INDEX('Per Invoice'!C$2:C$401,$AH347)="","",INDEX('Per Invoice'!C$2:C$401,$AH347)))</f>
        <v/>
      </c>
      <c r="D347">
        <f>IF($AH347="","",IF(INDEX('Per Invoice'!D$2:D$401,$AH347)="","",INDEX('Per Invoice'!D$2:D$401,$AH347)))</f>
        <v/>
      </c>
      <c r="E347">
        <f>IF($AH347="","",IF(INDEX('Per Invoice'!E$2:E$401,$AH347)="","",INDEX('Per Invoice'!E$2:E$401,$AH347)))</f>
        <v/>
      </c>
      <c r="F347">
        <f>IF($AH347="","",IF(INDEX('Per Invoice'!F$2:F$401,$AH347)="","",INDEX('Per Invoice'!F$2:F$401,$AH347)))</f>
        <v/>
      </c>
      <c r="G347">
        <f>IF($AH347="","",IF(INDEX('Per Invoice'!G$2:G$401,$AH347)="","",INDEX('Per Invoice'!G$2:G$401,$AH347)))</f>
        <v/>
      </c>
      <c r="H347">
        <f>IF($AH347="","",IF(INDEX('Per Invoice'!H$2:H$401,$AH347)="","",INDEX('Per Invoice'!H$2:H$401,$AH347)))</f>
        <v/>
      </c>
      <c r="I347" s="14">
        <f>IF($AH347="","",IF(INDEX('Per Invoice'!I$2:I$401,$AH347)="","",INDEX('Per Invoice'!I$2:I$401,$AH347)))</f>
        <v/>
      </c>
      <c r="J347">
        <f>IF($AH347="","",IF(INDEX('Per Invoice'!J$2:J$401,$AH347)="","",INDEX('Per Invoice'!J$2:J$401,$AH347)))</f>
        <v/>
      </c>
      <c r="K347">
        <f>IF($AH347="","",IF(INDEX('Per Invoice'!K$2:K$401,$AH347)="","",INDEX('Per Invoice'!K$2:K$401,$AH347)))</f>
        <v/>
      </c>
      <c r="L347">
        <f>IF($AH347="","",IF(INDEX('Per Invoice'!L$2:L$401,$AH347)="","",INDEX('Per Invoice'!L$2:L$401,$AH347)))</f>
        <v/>
      </c>
      <c r="M347">
        <f>IF($AH347="","",IF(INDEX('Per Invoice'!M$2:M$401,$AH347)="","",INDEX('Per Invoice'!M$2:M$401,$AH347)))</f>
        <v/>
      </c>
      <c r="N347">
        <f>IF($AH347="","",IF(INDEX('Per Invoice'!N$2:N$401,$AH347)="","",INDEX('Per Invoice'!N$2:N$401,$AH347)))</f>
        <v/>
      </c>
      <c r="O347">
        <f>IF($AH347="","",IF(INDEX('Per Invoice'!O$2:O$401,$AH347)="","",INDEX('Per Invoice'!O$2:O$401,$AH347)))</f>
        <v/>
      </c>
      <c r="P347" s="7">
        <f>IF($AH347="","",IF(INDEX('Per Invoice'!P$2:P$401,$AH347)="","",INDEX('Per Invoice'!P$2:P$401,$AH347)))</f>
        <v/>
      </c>
      <c r="Q347">
        <f>IF($AH347="","",IF(INDEX('Per Invoice'!Q$2:Q$401,$AH347)="","",INDEX('Per Invoice'!Q$2:Q$401,$AH347)))</f>
        <v/>
      </c>
      <c r="R347">
        <f>IF($AH347="","",IF(INDEX('Per Invoice'!R$2:R$401,$AH347)="","",INDEX('Per Invoice'!R$2:R$401,$AH347)))</f>
        <v/>
      </c>
      <c r="S347">
        <f>IF($AH347="","",IF(INDEX('Per Invoice'!S$2:S$401,$AH347)="","",INDEX('Per Invoice'!S$2:S$401,$AH347)))</f>
        <v/>
      </c>
      <c r="T347" s="7">
        <f>IF($AH347="","",IF(INDEX('Per Invoice'!T$2:T$401,$AH347)="","",INDEX('Per Invoice'!T$2:T$401,$AH347)))</f>
        <v/>
      </c>
      <c r="U347" s="7">
        <f>IF($AH347="","",IF(INDEX('Per Invoice'!U$2:U$401,$AH347)="","",INDEX('Per Invoice'!U$2:U$401,$AH347)))</f>
        <v/>
      </c>
      <c r="V347">
        <f>IF($AH347="","",IF(INDEX('Per Invoice'!V$2:V$401,$AH347)="","",INDEX('Per Invoice'!V$2:V$401,$AH347)))</f>
        <v/>
      </c>
      <c r="W347" s="7">
        <f>IF($AH347="","",IF(INDEX('Per Invoice'!W$2:W$401,$AH347)="","",INDEX('Per Invoice'!W$2:W$401,$AH347)))</f>
        <v/>
      </c>
      <c r="X347" s="7">
        <f>IF($AH347="","",IF(INDEX('Per Invoice'!X$2:X$401,$AH347)="","",INDEX('Per Invoice'!X$2:X$401,$AH347)))</f>
        <v/>
      </c>
      <c r="Y347">
        <f>IF($AH347="","",IF(INDEX('Per Invoice'!Y$2:Y$401,$AH347)="","",INDEX('Per Invoice'!Y$2:Y$401,$AH347)))</f>
        <v/>
      </c>
      <c r="Z347" s="7">
        <f>IF($AH347="","",IF(INDEX('Per Invoice'!Z$2:Z$401,$AH347)="","",INDEX('Per Invoice'!Z$2:Z$401,$AH347)))</f>
        <v/>
      </c>
      <c r="AA347" s="7">
        <f>IF($AH347="","",IF(INDEX('Per Invoice'!AA$2:AA$401,$AH347)="","",INDEX('Per Invoice'!AA$2:AA$401,$AH347)))</f>
        <v/>
      </c>
      <c r="AB347" s="7">
        <f>IF($AH347="","",IF(INDEX('Per Invoice'!AB$2:AB$401,$AH347)="","",INDEX('Per Invoice'!AB$2:AB$401,$AH347)))</f>
        <v/>
      </c>
      <c r="AC347" s="7">
        <f>IF($AH347="","",IF(INDEX('Per Invoice'!AC$2:AC$401,$AH347)="","",INDEX('Per Invoice'!AC$2:AC$401,$AH347)))</f>
        <v/>
      </c>
      <c r="AD347" s="7">
        <f>IF($AH347="","",IF(INDEX('Per Invoice'!AD$2:AD$401,$AH347)="","",INDEX('Per Invoice'!AD$2:AD$401,$AH347)))</f>
        <v/>
      </c>
      <c r="AE347" s="7">
        <f>IF($AH347="","",IF(INDEX('Per Invoice'!AE$2:AE$401,$AH347)="","",INDEX('Per Invoice'!AE$2:AE$401,$AH347)))</f>
        <v/>
      </c>
      <c r="AF347">
        <f>IF($AH347="","",IF(INDEX('Per Invoice'!AF$2:AF$401,$AH347)="","",INDEX('Per Invoice'!AF$2:AF$401,$AH347)))</f>
        <v/>
      </c>
      <c r="AG347" s="7">
        <f>IF($AH347="","",IF(INDEX('Per Invoice'!AG$2:AG$401,$AH347)="","",INDEX('Per Invoice'!AG$2:AG$401,$AH347)))</f>
        <v/>
      </c>
      <c r="AH347" s="16">
        <f>IFERROR(MATCH(Settings!$C$27&amp;"|"&amp;ROWS($AH$2:$AH347),'Per Invoice'!$AI$2:$AI$401,0),"")</f>
        <v/>
      </c>
    </row>
    <row r="348">
      <c r="A348">
        <f>IF($AH348="","",IF(INDEX('Per Invoice'!A$2:A$401,$AH348)="","",INDEX('Per Invoice'!A$2:A$401,$AH348)))</f>
        <v/>
      </c>
      <c r="B348">
        <f>IF($AH348="","",IF(INDEX('Per Invoice'!B$2:B$401,$AH348)="","",INDEX('Per Invoice'!B$2:B$401,$AH348)))</f>
        <v/>
      </c>
      <c r="C348">
        <f>IF($AH348="","",IF(INDEX('Per Invoice'!C$2:C$401,$AH348)="","",INDEX('Per Invoice'!C$2:C$401,$AH348)))</f>
        <v/>
      </c>
      <c r="D348">
        <f>IF($AH348="","",IF(INDEX('Per Invoice'!D$2:D$401,$AH348)="","",INDEX('Per Invoice'!D$2:D$401,$AH348)))</f>
        <v/>
      </c>
      <c r="E348">
        <f>IF($AH348="","",IF(INDEX('Per Invoice'!E$2:E$401,$AH348)="","",INDEX('Per Invoice'!E$2:E$401,$AH348)))</f>
        <v/>
      </c>
      <c r="F348">
        <f>IF($AH348="","",IF(INDEX('Per Invoice'!F$2:F$401,$AH348)="","",INDEX('Per Invoice'!F$2:F$401,$AH348)))</f>
        <v/>
      </c>
      <c r="G348">
        <f>IF($AH348="","",IF(INDEX('Per Invoice'!G$2:G$401,$AH348)="","",INDEX('Per Invoice'!G$2:G$401,$AH348)))</f>
        <v/>
      </c>
      <c r="H348">
        <f>IF($AH348="","",IF(INDEX('Per Invoice'!H$2:H$401,$AH348)="","",INDEX('Per Invoice'!H$2:H$401,$AH348)))</f>
        <v/>
      </c>
      <c r="I348" s="14">
        <f>IF($AH348="","",IF(INDEX('Per Invoice'!I$2:I$401,$AH348)="","",INDEX('Per Invoice'!I$2:I$401,$AH348)))</f>
        <v/>
      </c>
      <c r="J348">
        <f>IF($AH348="","",IF(INDEX('Per Invoice'!J$2:J$401,$AH348)="","",INDEX('Per Invoice'!J$2:J$401,$AH348)))</f>
        <v/>
      </c>
      <c r="K348">
        <f>IF($AH348="","",IF(INDEX('Per Invoice'!K$2:K$401,$AH348)="","",INDEX('Per Invoice'!K$2:K$401,$AH348)))</f>
        <v/>
      </c>
      <c r="L348">
        <f>IF($AH348="","",IF(INDEX('Per Invoice'!L$2:L$401,$AH348)="","",INDEX('Per Invoice'!L$2:L$401,$AH348)))</f>
        <v/>
      </c>
      <c r="M348">
        <f>IF($AH348="","",IF(INDEX('Per Invoice'!M$2:M$401,$AH348)="","",INDEX('Per Invoice'!M$2:M$401,$AH348)))</f>
        <v/>
      </c>
      <c r="N348">
        <f>IF($AH348="","",IF(INDEX('Per Invoice'!N$2:N$401,$AH348)="","",INDEX('Per Invoice'!N$2:N$401,$AH348)))</f>
        <v/>
      </c>
      <c r="O348">
        <f>IF($AH348="","",IF(INDEX('Per Invoice'!O$2:O$401,$AH348)="","",INDEX('Per Invoice'!O$2:O$401,$AH348)))</f>
        <v/>
      </c>
      <c r="P348" s="7">
        <f>IF($AH348="","",IF(INDEX('Per Invoice'!P$2:P$401,$AH348)="","",INDEX('Per Invoice'!P$2:P$401,$AH348)))</f>
        <v/>
      </c>
      <c r="Q348">
        <f>IF($AH348="","",IF(INDEX('Per Invoice'!Q$2:Q$401,$AH348)="","",INDEX('Per Invoice'!Q$2:Q$401,$AH348)))</f>
        <v/>
      </c>
      <c r="R348">
        <f>IF($AH348="","",IF(INDEX('Per Invoice'!R$2:R$401,$AH348)="","",INDEX('Per Invoice'!R$2:R$401,$AH348)))</f>
        <v/>
      </c>
      <c r="S348">
        <f>IF($AH348="","",IF(INDEX('Per Invoice'!S$2:S$401,$AH348)="","",INDEX('Per Invoice'!S$2:S$401,$AH348)))</f>
        <v/>
      </c>
      <c r="T348" s="7">
        <f>IF($AH348="","",IF(INDEX('Per Invoice'!T$2:T$401,$AH348)="","",INDEX('Per Invoice'!T$2:T$401,$AH348)))</f>
        <v/>
      </c>
      <c r="U348" s="7">
        <f>IF($AH348="","",IF(INDEX('Per Invoice'!U$2:U$401,$AH348)="","",INDEX('Per Invoice'!U$2:U$401,$AH348)))</f>
        <v/>
      </c>
      <c r="V348">
        <f>IF($AH348="","",IF(INDEX('Per Invoice'!V$2:V$401,$AH348)="","",INDEX('Per Invoice'!V$2:V$401,$AH348)))</f>
        <v/>
      </c>
      <c r="W348" s="7">
        <f>IF($AH348="","",IF(INDEX('Per Invoice'!W$2:W$401,$AH348)="","",INDEX('Per Invoice'!W$2:W$401,$AH348)))</f>
        <v/>
      </c>
      <c r="X348" s="7">
        <f>IF($AH348="","",IF(INDEX('Per Invoice'!X$2:X$401,$AH348)="","",INDEX('Per Invoice'!X$2:X$401,$AH348)))</f>
        <v/>
      </c>
      <c r="Y348">
        <f>IF($AH348="","",IF(INDEX('Per Invoice'!Y$2:Y$401,$AH348)="","",INDEX('Per Invoice'!Y$2:Y$401,$AH348)))</f>
        <v/>
      </c>
      <c r="Z348" s="7">
        <f>IF($AH348="","",IF(INDEX('Per Invoice'!Z$2:Z$401,$AH348)="","",INDEX('Per Invoice'!Z$2:Z$401,$AH348)))</f>
        <v/>
      </c>
      <c r="AA348" s="7">
        <f>IF($AH348="","",IF(INDEX('Per Invoice'!AA$2:AA$401,$AH348)="","",INDEX('Per Invoice'!AA$2:AA$401,$AH348)))</f>
        <v/>
      </c>
      <c r="AB348" s="7">
        <f>IF($AH348="","",IF(INDEX('Per Invoice'!AB$2:AB$401,$AH348)="","",INDEX('Per Invoice'!AB$2:AB$401,$AH348)))</f>
        <v/>
      </c>
      <c r="AC348" s="7">
        <f>IF($AH348="","",IF(INDEX('Per Invoice'!AC$2:AC$401,$AH348)="","",INDEX('Per Invoice'!AC$2:AC$401,$AH348)))</f>
        <v/>
      </c>
      <c r="AD348" s="7">
        <f>IF($AH348="","",IF(INDEX('Per Invoice'!AD$2:AD$401,$AH348)="","",INDEX('Per Invoice'!AD$2:AD$401,$AH348)))</f>
        <v/>
      </c>
      <c r="AE348" s="7">
        <f>IF($AH348="","",IF(INDEX('Per Invoice'!AE$2:AE$401,$AH348)="","",INDEX('Per Invoice'!AE$2:AE$401,$AH348)))</f>
        <v/>
      </c>
      <c r="AF348">
        <f>IF($AH348="","",IF(INDEX('Per Invoice'!AF$2:AF$401,$AH348)="","",INDEX('Per Invoice'!AF$2:AF$401,$AH348)))</f>
        <v/>
      </c>
      <c r="AG348" s="7">
        <f>IF($AH348="","",IF(INDEX('Per Invoice'!AG$2:AG$401,$AH348)="","",INDEX('Per Invoice'!AG$2:AG$401,$AH348)))</f>
        <v/>
      </c>
      <c r="AH348" s="16">
        <f>IFERROR(MATCH(Settings!$C$27&amp;"|"&amp;ROWS($AH$2:$AH348),'Per Invoice'!$AI$2:$AI$401,0),"")</f>
        <v/>
      </c>
    </row>
    <row r="349">
      <c r="A349">
        <f>IF($AH349="","",IF(INDEX('Per Invoice'!A$2:A$401,$AH349)="","",INDEX('Per Invoice'!A$2:A$401,$AH349)))</f>
        <v/>
      </c>
      <c r="B349">
        <f>IF($AH349="","",IF(INDEX('Per Invoice'!B$2:B$401,$AH349)="","",INDEX('Per Invoice'!B$2:B$401,$AH349)))</f>
        <v/>
      </c>
      <c r="C349">
        <f>IF($AH349="","",IF(INDEX('Per Invoice'!C$2:C$401,$AH349)="","",INDEX('Per Invoice'!C$2:C$401,$AH349)))</f>
        <v/>
      </c>
      <c r="D349">
        <f>IF($AH349="","",IF(INDEX('Per Invoice'!D$2:D$401,$AH349)="","",INDEX('Per Invoice'!D$2:D$401,$AH349)))</f>
        <v/>
      </c>
      <c r="E349">
        <f>IF($AH349="","",IF(INDEX('Per Invoice'!E$2:E$401,$AH349)="","",INDEX('Per Invoice'!E$2:E$401,$AH349)))</f>
        <v/>
      </c>
      <c r="F349">
        <f>IF($AH349="","",IF(INDEX('Per Invoice'!F$2:F$401,$AH349)="","",INDEX('Per Invoice'!F$2:F$401,$AH349)))</f>
        <v/>
      </c>
      <c r="G349">
        <f>IF($AH349="","",IF(INDEX('Per Invoice'!G$2:G$401,$AH349)="","",INDEX('Per Invoice'!G$2:G$401,$AH349)))</f>
        <v/>
      </c>
      <c r="H349">
        <f>IF($AH349="","",IF(INDEX('Per Invoice'!H$2:H$401,$AH349)="","",INDEX('Per Invoice'!H$2:H$401,$AH349)))</f>
        <v/>
      </c>
      <c r="I349" s="14">
        <f>IF($AH349="","",IF(INDEX('Per Invoice'!I$2:I$401,$AH349)="","",INDEX('Per Invoice'!I$2:I$401,$AH349)))</f>
        <v/>
      </c>
      <c r="J349">
        <f>IF($AH349="","",IF(INDEX('Per Invoice'!J$2:J$401,$AH349)="","",INDEX('Per Invoice'!J$2:J$401,$AH349)))</f>
        <v/>
      </c>
      <c r="K349">
        <f>IF($AH349="","",IF(INDEX('Per Invoice'!K$2:K$401,$AH349)="","",INDEX('Per Invoice'!K$2:K$401,$AH349)))</f>
        <v/>
      </c>
      <c r="L349">
        <f>IF($AH349="","",IF(INDEX('Per Invoice'!L$2:L$401,$AH349)="","",INDEX('Per Invoice'!L$2:L$401,$AH349)))</f>
        <v/>
      </c>
      <c r="M349">
        <f>IF($AH349="","",IF(INDEX('Per Invoice'!M$2:M$401,$AH349)="","",INDEX('Per Invoice'!M$2:M$401,$AH349)))</f>
        <v/>
      </c>
      <c r="N349">
        <f>IF($AH349="","",IF(INDEX('Per Invoice'!N$2:N$401,$AH349)="","",INDEX('Per Invoice'!N$2:N$401,$AH349)))</f>
        <v/>
      </c>
      <c r="O349">
        <f>IF($AH349="","",IF(INDEX('Per Invoice'!O$2:O$401,$AH349)="","",INDEX('Per Invoice'!O$2:O$401,$AH349)))</f>
        <v/>
      </c>
      <c r="P349" s="7">
        <f>IF($AH349="","",IF(INDEX('Per Invoice'!P$2:P$401,$AH349)="","",INDEX('Per Invoice'!P$2:P$401,$AH349)))</f>
        <v/>
      </c>
      <c r="Q349">
        <f>IF($AH349="","",IF(INDEX('Per Invoice'!Q$2:Q$401,$AH349)="","",INDEX('Per Invoice'!Q$2:Q$401,$AH349)))</f>
        <v/>
      </c>
      <c r="R349">
        <f>IF($AH349="","",IF(INDEX('Per Invoice'!R$2:R$401,$AH349)="","",INDEX('Per Invoice'!R$2:R$401,$AH349)))</f>
        <v/>
      </c>
      <c r="S349">
        <f>IF($AH349="","",IF(INDEX('Per Invoice'!S$2:S$401,$AH349)="","",INDEX('Per Invoice'!S$2:S$401,$AH349)))</f>
        <v/>
      </c>
      <c r="T349" s="7">
        <f>IF($AH349="","",IF(INDEX('Per Invoice'!T$2:T$401,$AH349)="","",INDEX('Per Invoice'!T$2:T$401,$AH349)))</f>
        <v/>
      </c>
      <c r="U349" s="7">
        <f>IF($AH349="","",IF(INDEX('Per Invoice'!U$2:U$401,$AH349)="","",INDEX('Per Invoice'!U$2:U$401,$AH349)))</f>
        <v/>
      </c>
      <c r="V349">
        <f>IF($AH349="","",IF(INDEX('Per Invoice'!V$2:V$401,$AH349)="","",INDEX('Per Invoice'!V$2:V$401,$AH349)))</f>
        <v/>
      </c>
      <c r="W349" s="7">
        <f>IF($AH349="","",IF(INDEX('Per Invoice'!W$2:W$401,$AH349)="","",INDEX('Per Invoice'!W$2:W$401,$AH349)))</f>
        <v/>
      </c>
      <c r="X349" s="7">
        <f>IF($AH349="","",IF(INDEX('Per Invoice'!X$2:X$401,$AH349)="","",INDEX('Per Invoice'!X$2:X$401,$AH349)))</f>
        <v/>
      </c>
      <c r="Y349">
        <f>IF($AH349="","",IF(INDEX('Per Invoice'!Y$2:Y$401,$AH349)="","",INDEX('Per Invoice'!Y$2:Y$401,$AH349)))</f>
        <v/>
      </c>
      <c r="Z349" s="7">
        <f>IF($AH349="","",IF(INDEX('Per Invoice'!Z$2:Z$401,$AH349)="","",INDEX('Per Invoice'!Z$2:Z$401,$AH349)))</f>
        <v/>
      </c>
      <c r="AA349" s="7">
        <f>IF($AH349="","",IF(INDEX('Per Invoice'!AA$2:AA$401,$AH349)="","",INDEX('Per Invoice'!AA$2:AA$401,$AH349)))</f>
        <v/>
      </c>
      <c r="AB349" s="7">
        <f>IF($AH349="","",IF(INDEX('Per Invoice'!AB$2:AB$401,$AH349)="","",INDEX('Per Invoice'!AB$2:AB$401,$AH349)))</f>
        <v/>
      </c>
      <c r="AC349" s="7">
        <f>IF($AH349="","",IF(INDEX('Per Invoice'!AC$2:AC$401,$AH349)="","",INDEX('Per Invoice'!AC$2:AC$401,$AH349)))</f>
        <v/>
      </c>
      <c r="AD349" s="7">
        <f>IF($AH349="","",IF(INDEX('Per Invoice'!AD$2:AD$401,$AH349)="","",INDEX('Per Invoice'!AD$2:AD$401,$AH349)))</f>
        <v/>
      </c>
      <c r="AE349" s="7">
        <f>IF($AH349="","",IF(INDEX('Per Invoice'!AE$2:AE$401,$AH349)="","",INDEX('Per Invoice'!AE$2:AE$401,$AH349)))</f>
        <v/>
      </c>
      <c r="AF349">
        <f>IF($AH349="","",IF(INDEX('Per Invoice'!AF$2:AF$401,$AH349)="","",INDEX('Per Invoice'!AF$2:AF$401,$AH349)))</f>
        <v/>
      </c>
      <c r="AG349" s="7">
        <f>IF($AH349="","",IF(INDEX('Per Invoice'!AG$2:AG$401,$AH349)="","",INDEX('Per Invoice'!AG$2:AG$401,$AH349)))</f>
        <v/>
      </c>
      <c r="AH349" s="16">
        <f>IFERROR(MATCH(Settings!$C$27&amp;"|"&amp;ROWS($AH$2:$AH349),'Per Invoice'!$AI$2:$AI$401,0),"")</f>
        <v/>
      </c>
    </row>
    <row r="350">
      <c r="A350">
        <f>IF($AH350="","",IF(INDEX('Per Invoice'!A$2:A$401,$AH350)="","",INDEX('Per Invoice'!A$2:A$401,$AH350)))</f>
        <v/>
      </c>
      <c r="B350">
        <f>IF($AH350="","",IF(INDEX('Per Invoice'!B$2:B$401,$AH350)="","",INDEX('Per Invoice'!B$2:B$401,$AH350)))</f>
        <v/>
      </c>
      <c r="C350">
        <f>IF($AH350="","",IF(INDEX('Per Invoice'!C$2:C$401,$AH350)="","",INDEX('Per Invoice'!C$2:C$401,$AH350)))</f>
        <v/>
      </c>
      <c r="D350">
        <f>IF($AH350="","",IF(INDEX('Per Invoice'!D$2:D$401,$AH350)="","",INDEX('Per Invoice'!D$2:D$401,$AH350)))</f>
        <v/>
      </c>
      <c r="E350">
        <f>IF($AH350="","",IF(INDEX('Per Invoice'!E$2:E$401,$AH350)="","",INDEX('Per Invoice'!E$2:E$401,$AH350)))</f>
        <v/>
      </c>
      <c r="F350">
        <f>IF($AH350="","",IF(INDEX('Per Invoice'!F$2:F$401,$AH350)="","",INDEX('Per Invoice'!F$2:F$401,$AH350)))</f>
        <v/>
      </c>
      <c r="G350">
        <f>IF($AH350="","",IF(INDEX('Per Invoice'!G$2:G$401,$AH350)="","",INDEX('Per Invoice'!G$2:G$401,$AH350)))</f>
        <v/>
      </c>
      <c r="H350">
        <f>IF($AH350="","",IF(INDEX('Per Invoice'!H$2:H$401,$AH350)="","",INDEX('Per Invoice'!H$2:H$401,$AH350)))</f>
        <v/>
      </c>
      <c r="I350" s="14">
        <f>IF($AH350="","",IF(INDEX('Per Invoice'!I$2:I$401,$AH350)="","",INDEX('Per Invoice'!I$2:I$401,$AH350)))</f>
        <v/>
      </c>
      <c r="J350">
        <f>IF($AH350="","",IF(INDEX('Per Invoice'!J$2:J$401,$AH350)="","",INDEX('Per Invoice'!J$2:J$401,$AH350)))</f>
        <v/>
      </c>
      <c r="K350">
        <f>IF($AH350="","",IF(INDEX('Per Invoice'!K$2:K$401,$AH350)="","",INDEX('Per Invoice'!K$2:K$401,$AH350)))</f>
        <v/>
      </c>
      <c r="L350">
        <f>IF($AH350="","",IF(INDEX('Per Invoice'!L$2:L$401,$AH350)="","",INDEX('Per Invoice'!L$2:L$401,$AH350)))</f>
        <v/>
      </c>
      <c r="M350">
        <f>IF($AH350="","",IF(INDEX('Per Invoice'!M$2:M$401,$AH350)="","",INDEX('Per Invoice'!M$2:M$401,$AH350)))</f>
        <v/>
      </c>
      <c r="N350">
        <f>IF($AH350="","",IF(INDEX('Per Invoice'!N$2:N$401,$AH350)="","",INDEX('Per Invoice'!N$2:N$401,$AH350)))</f>
        <v/>
      </c>
      <c r="O350">
        <f>IF($AH350="","",IF(INDEX('Per Invoice'!O$2:O$401,$AH350)="","",INDEX('Per Invoice'!O$2:O$401,$AH350)))</f>
        <v/>
      </c>
      <c r="P350" s="7">
        <f>IF($AH350="","",IF(INDEX('Per Invoice'!P$2:P$401,$AH350)="","",INDEX('Per Invoice'!P$2:P$401,$AH350)))</f>
        <v/>
      </c>
      <c r="Q350">
        <f>IF($AH350="","",IF(INDEX('Per Invoice'!Q$2:Q$401,$AH350)="","",INDEX('Per Invoice'!Q$2:Q$401,$AH350)))</f>
        <v/>
      </c>
      <c r="R350">
        <f>IF($AH350="","",IF(INDEX('Per Invoice'!R$2:R$401,$AH350)="","",INDEX('Per Invoice'!R$2:R$401,$AH350)))</f>
        <v/>
      </c>
      <c r="S350">
        <f>IF($AH350="","",IF(INDEX('Per Invoice'!S$2:S$401,$AH350)="","",INDEX('Per Invoice'!S$2:S$401,$AH350)))</f>
        <v/>
      </c>
      <c r="T350" s="7">
        <f>IF($AH350="","",IF(INDEX('Per Invoice'!T$2:T$401,$AH350)="","",INDEX('Per Invoice'!T$2:T$401,$AH350)))</f>
        <v/>
      </c>
      <c r="U350" s="7">
        <f>IF($AH350="","",IF(INDEX('Per Invoice'!U$2:U$401,$AH350)="","",INDEX('Per Invoice'!U$2:U$401,$AH350)))</f>
        <v/>
      </c>
      <c r="V350">
        <f>IF($AH350="","",IF(INDEX('Per Invoice'!V$2:V$401,$AH350)="","",INDEX('Per Invoice'!V$2:V$401,$AH350)))</f>
        <v/>
      </c>
      <c r="W350" s="7">
        <f>IF($AH350="","",IF(INDEX('Per Invoice'!W$2:W$401,$AH350)="","",INDEX('Per Invoice'!W$2:W$401,$AH350)))</f>
        <v/>
      </c>
      <c r="X350" s="7">
        <f>IF($AH350="","",IF(INDEX('Per Invoice'!X$2:X$401,$AH350)="","",INDEX('Per Invoice'!X$2:X$401,$AH350)))</f>
        <v/>
      </c>
      <c r="Y350">
        <f>IF($AH350="","",IF(INDEX('Per Invoice'!Y$2:Y$401,$AH350)="","",INDEX('Per Invoice'!Y$2:Y$401,$AH350)))</f>
        <v/>
      </c>
      <c r="Z350" s="7">
        <f>IF($AH350="","",IF(INDEX('Per Invoice'!Z$2:Z$401,$AH350)="","",INDEX('Per Invoice'!Z$2:Z$401,$AH350)))</f>
        <v/>
      </c>
      <c r="AA350" s="7">
        <f>IF($AH350="","",IF(INDEX('Per Invoice'!AA$2:AA$401,$AH350)="","",INDEX('Per Invoice'!AA$2:AA$401,$AH350)))</f>
        <v/>
      </c>
      <c r="AB350" s="7">
        <f>IF($AH350="","",IF(INDEX('Per Invoice'!AB$2:AB$401,$AH350)="","",INDEX('Per Invoice'!AB$2:AB$401,$AH350)))</f>
        <v/>
      </c>
      <c r="AC350" s="7">
        <f>IF($AH350="","",IF(INDEX('Per Invoice'!AC$2:AC$401,$AH350)="","",INDEX('Per Invoice'!AC$2:AC$401,$AH350)))</f>
        <v/>
      </c>
      <c r="AD350" s="7">
        <f>IF($AH350="","",IF(INDEX('Per Invoice'!AD$2:AD$401,$AH350)="","",INDEX('Per Invoice'!AD$2:AD$401,$AH350)))</f>
        <v/>
      </c>
      <c r="AE350" s="7">
        <f>IF($AH350="","",IF(INDEX('Per Invoice'!AE$2:AE$401,$AH350)="","",INDEX('Per Invoice'!AE$2:AE$401,$AH350)))</f>
        <v/>
      </c>
      <c r="AF350">
        <f>IF($AH350="","",IF(INDEX('Per Invoice'!AF$2:AF$401,$AH350)="","",INDEX('Per Invoice'!AF$2:AF$401,$AH350)))</f>
        <v/>
      </c>
      <c r="AG350" s="7">
        <f>IF($AH350="","",IF(INDEX('Per Invoice'!AG$2:AG$401,$AH350)="","",INDEX('Per Invoice'!AG$2:AG$401,$AH350)))</f>
        <v/>
      </c>
      <c r="AH350" s="16">
        <f>IFERROR(MATCH(Settings!$C$27&amp;"|"&amp;ROWS($AH$2:$AH350),'Per Invoice'!$AI$2:$AI$401,0),"")</f>
        <v/>
      </c>
    </row>
    <row r="351">
      <c r="A351">
        <f>IF($AH351="","",IF(INDEX('Per Invoice'!A$2:A$401,$AH351)="","",INDEX('Per Invoice'!A$2:A$401,$AH351)))</f>
        <v/>
      </c>
      <c r="B351">
        <f>IF($AH351="","",IF(INDEX('Per Invoice'!B$2:B$401,$AH351)="","",INDEX('Per Invoice'!B$2:B$401,$AH351)))</f>
        <v/>
      </c>
      <c r="C351">
        <f>IF($AH351="","",IF(INDEX('Per Invoice'!C$2:C$401,$AH351)="","",INDEX('Per Invoice'!C$2:C$401,$AH351)))</f>
        <v/>
      </c>
      <c r="D351">
        <f>IF($AH351="","",IF(INDEX('Per Invoice'!D$2:D$401,$AH351)="","",INDEX('Per Invoice'!D$2:D$401,$AH351)))</f>
        <v/>
      </c>
      <c r="E351">
        <f>IF($AH351="","",IF(INDEX('Per Invoice'!E$2:E$401,$AH351)="","",INDEX('Per Invoice'!E$2:E$401,$AH351)))</f>
        <v/>
      </c>
      <c r="F351">
        <f>IF($AH351="","",IF(INDEX('Per Invoice'!F$2:F$401,$AH351)="","",INDEX('Per Invoice'!F$2:F$401,$AH351)))</f>
        <v/>
      </c>
      <c r="G351">
        <f>IF($AH351="","",IF(INDEX('Per Invoice'!G$2:G$401,$AH351)="","",INDEX('Per Invoice'!G$2:G$401,$AH351)))</f>
        <v/>
      </c>
      <c r="H351">
        <f>IF($AH351="","",IF(INDEX('Per Invoice'!H$2:H$401,$AH351)="","",INDEX('Per Invoice'!H$2:H$401,$AH351)))</f>
        <v/>
      </c>
      <c r="I351" s="14">
        <f>IF($AH351="","",IF(INDEX('Per Invoice'!I$2:I$401,$AH351)="","",INDEX('Per Invoice'!I$2:I$401,$AH351)))</f>
        <v/>
      </c>
      <c r="J351">
        <f>IF($AH351="","",IF(INDEX('Per Invoice'!J$2:J$401,$AH351)="","",INDEX('Per Invoice'!J$2:J$401,$AH351)))</f>
        <v/>
      </c>
      <c r="K351">
        <f>IF($AH351="","",IF(INDEX('Per Invoice'!K$2:K$401,$AH351)="","",INDEX('Per Invoice'!K$2:K$401,$AH351)))</f>
        <v/>
      </c>
      <c r="L351">
        <f>IF($AH351="","",IF(INDEX('Per Invoice'!L$2:L$401,$AH351)="","",INDEX('Per Invoice'!L$2:L$401,$AH351)))</f>
        <v/>
      </c>
      <c r="M351">
        <f>IF($AH351="","",IF(INDEX('Per Invoice'!M$2:M$401,$AH351)="","",INDEX('Per Invoice'!M$2:M$401,$AH351)))</f>
        <v/>
      </c>
      <c r="N351">
        <f>IF($AH351="","",IF(INDEX('Per Invoice'!N$2:N$401,$AH351)="","",INDEX('Per Invoice'!N$2:N$401,$AH351)))</f>
        <v/>
      </c>
      <c r="O351">
        <f>IF($AH351="","",IF(INDEX('Per Invoice'!O$2:O$401,$AH351)="","",INDEX('Per Invoice'!O$2:O$401,$AH351)))</f>
        <v/>
      </c>
      <c r="P351" s="7">
        <f>IF($AH351="","",IF(INDEX('Per Invoice'!P$2:P$401,$AH351)="","",INDEX('Per Invoice'!P$2:P$401,$AH351)))</f>
        <v/>
      </c>
      <c r="Q351">
        <f>IF($AH351="","",IF(INDEX('Per Invoice'!Q$2:Q$401,$AH351)="","",INDEX('Per Invoice'!Q$2:Q$401,$AH351)))</f>
        <v/>
      </c>
      <c r="R351">
        <f>IF($AH351="","",IF(INDEX('Per Invoice'!R$2:R$401,$AH351)="","",INDEX('Per Invoice'!R$2:R$401,$AH351)))</f>
        <v/>
      </c>
      <c r="S351">
        <f>IF($AH351="","",IF(INDEX('Per Invoice'!S$2:S$401,$AH351)="","",INDEX('Per Invoice'!S$2:S$401,$AH351)))</f>
        <v/>
      </c>
      <c r="T351" s="7">
        <f>IF($AH351="","",IF(INDEX('Per Invoice'!T$2:T$401,$AH351)="","",INDEX('Per Invoice'!T$2:T$401,$AH351)))</f>
        <v/>
      </c>
      <c r="U351" s="7">
        <f>IF($AH351="","",IF(INDEX('Per Invoice'!U$2:U$401,$AH351)="","",INDEX('Per Invoice'!U$2:U$401,$AH351)))</f>
        <v/>
      </c>
      <c r="V351">
        <f>IF($AH351="","",IF(INDEX('Per Invoice'!V$2:V$401,$AH351)="","",INDEX('Per Invoice'!V$2:V$401,$AH351)))</f>
        <v/>
      </c>
      <c r="W351" s="7">
        <f>IF($AH351="","",IF(INDEX('Per Invoice'!W$2:W$401,$AH351)="","",INDEX('Per Invoice'!W$2:W$401,$AH351)))</f>
        <v/>
      </c>
      <c r="X351" s="7">
        <f>IF($AH351="","",IF(INDEX('Per Invoice'!X$2:X$401,$AH351)="","",INDEX('Per Invoice'!X$2:X$401,$AH351)))</f>
        <v/>
      </c>
      <c r="Y351">
        <f>IF($AH351="","",IF(INDEX('Per Invoice'!Y$2:Y$401,$AH351)="","",INDEX('Per Invoice'!Y$2:Y$401,$AH351)))</f>
        <v/>
      </c>
      <c r="Z351" s="7">
        <f>IF($AH351="","",IF(INDEX('Per Invoice'!Z$2:Z$401,$AH351)="","",INDEX('Per Invoice'!Z$2:Z$401,$AH351)))</f>
        <v/>
      </c>
      <c r="AA351" s="7">
        <f>IF($AH351="","",IF(INDEX('Per Invoice'!AA$2:AA$401,$AH351)="","",INDEX('Per Invoice'!AA$2:AA$401,$AH351)))</f>
        <v/>
      </c>
      <c r="AB351" s="7">
        <f>IF($AH351="","",IF(INDEX('Per Invoice'!AB$2:AB$401,$AH351)="","",INDEX('Per Invoice'!AB$2:AB$401,$AH351)))</f>
        <v/>
      </c>
      <c r="AC351" s="7">
        <f>IF($AH351="","",IF(INDEX('Per Invoice'!AC$2:AC$401,$AH351)="","",INDEX('Per Invoice'!AC$2:AC$401,$AH351)))</f>
        <v/>
      </c>
      <c r="AD351" s="7">
        <f>IF($AH351="","",IF(INDEX('Per Invoice'!AD$2:AD$401,$AH351)="","",INDEX('Per Invoice'!AD$2:AD$401,$AH351)))</f>
        <v/>
      </c>
      <c r="AE351" s="7">
        <f>IF($AH351="","",IF(INDEX('Per Invoice'!AE$2:AE$401,$AH351)="","",INDEX('Per Invoice'!AE$2:AE$401,$AH351)))</f>
        <v/>
      </c>
      <c r="AF351">
        <f>IF($AH351="","",IF(INDEX('Per Invoice'!AF$2:AF$401,$AH351)="","",INDEX('Per Invoice'!AF$2:AF$401,$AH351)))</f>
        <v/>
      </c>
      <c r="AG351" s="7">
        <f>IF($AH351="","",IF(INDEX('Per Invoice'!AG$2:AG$401,$AH351)="","",INDEX('Per Invoice'!AG$2:AG$401,$AH351)))</f>
        <v/>
      </c>
      <c r="AH351" s="16">
        <f>IFERROR(MATCH(Settings!$C$27&amp;"|"&amp;ROWS($AH$2:$AH351),'Per Invoice'!$AI$2:$AI$401,0),"")</f>
        <v/>
      </c>
    </row>
    <row r="352">
      <c r="A352">
        <f>IF($AH352="","",IF(INDEX('Per Invoice'!A$2:A$401,$AH352)="","",INDEX('Per Invoice'!A$2:A$401,$AH352)))</f>
        <v/>
      </c>
      <c r="B352">
        <f>IF($AH352="","",IF(INDEX('Per Invoice'!B$2:B$401,$AH352)="","",INDEX('Per Invoice'!B$2:B$401,$AH352)))</f>
        <v/>
      </c>
      <c r="C352">
        <f>IF($AH352="","",IF(INDEX('Per Invoice'!C$2:C$401,$AH352)="","",INDEX('Per Invoice'!C$2:C$401,$AH352)))</f>
        <v/>
      </c>
      <c r="D352">
        <f>IF($AH352="","",IF(INDEX('Per Invoice'!D$2:D$401,$AH352)="","",INDEX('Per Invoice'!D$2:D$401,$AH352)))</f>
        <v/>
      </c>
      <c r="E352">
        <f>IF($AH352="","",IF(INDEX('Per Invoice'!E$2:E$401,$AH352)="","",INDEX('Per Invoice'!E$2:E$401,$AH352)))</f>
        <v/>
      </c>
      <c r="F352">
        <f>IF($AH352="","",IF(INDEX('Per Invoice'!F$2:F$401,$AH352)="","",INDEX('Per Invoice'!F$2:F$401,$AH352)))</f>
        <v/>
      </c>
      <c r="G352">
        <f>IF($AH352="","",IF(INDEX('Per Invoice'!G$2:G$401,$AH352)="","",INDEX('Per Invoice'!G$2:G$401,$AH352)))</f>
        <v/>
      </c>
      <c r="H352">
        <f>IF($AH352="","",IF(INDEX('Per Invoice'!H$2:H$401,$AH352)="","",INDEX('Per Invoice'!H$2:H$401,$AH352)))</f>
        <v/>
      </c>
      <c r="I352" s="14">
        <f>IF($AH352="","",IF(INDEX('Per Invoice'!I$2:I$401,$AH352)="","",INDEX('Per Invoice'!I$2:I$401,$AH352)))</f>
        <v/>
      </c>
      <c r="J352">
        <f>IF($AH352="","",IF(INDEX('Per Invoice'!J$2:J$401,$AH352)="","",INDEX('Per Invoice'!J$2:J$401,$AH352)))</f>
        <v/>
      </c>
      <c r="K352">
        <f>IF($AH352="","",IF(INDEX('Per Invoice'!K$2:K$401,$AH352)="","",INDEX('Per Invoice'!K$2:K$401,$AH352)))</f>
        <v/>
      </c>
      <c r="L352">
        <f>IF($AH352="","",IF(INDEX('Per Invoice'!L$2:L$401,$AH352)="","",INDEX('Per Invoice'!L$2:L$401,$AH352)))</f>
        <v/>
      </c>
      <c r="M352">
        <f>IF($AH352="","",IF(INDEX('Per Invoice'!M$2:M$401,$AH352)="","",INDEX('Per Invoice'!M$2:M$401,$AH352)))</f>
        <v/>
      </c>
      <c r="N352">
        <f>IF($AH352="","",IF(INDEX('Per Invoice'!N$2:N$401,$AH352)="","",INDEX('Per Invoice'!N$2:N$401,$AH352)))</f>
        <v/>
      </c>
      <c r="O352">
        <f>IF($AH352="","",IF(INDEX('Per Invoice'!O$2:O$401,$AH352)="","",INDEX('Per Invoice'!O$2:O$401,$AH352)))</f>
        <v/>
      </c>
      <c r="P352" s="7">
        <f>IF($AH352="","",IF(INDEX('Per Invoice'!P$2:P$401,$AH352)="","",INDEX('Per Invoice'!P$2:P$401,$AH352)))</f>
        <v/>
      </c>
      <c r="Q352">
        <f>IF($AH352="","",IF(INDEX('Per Invoice'!Q$2:Q$401,$AH352)="","",INDEX('Per Invoice'!Q$2:Q$401,$AH352)))</f>
        <v/>
      </c>
      <c r="R352">
        <f>IF($AH352="","",IF(INDEX('Per Invoice'!R$2:R$401,$AH352)="","",INDEX('Per Invoice'!R$2:R$401,$AH352)))</f>
        <v/>
      </c>
      <c r="S352">
        <f>IF($AH352="","",IF(INDEX('Per Invoice'!S$2:S$401,$AH352)="","",INDEX('Per Invoice'!S$2:S$401,$AH352)))</f>
        <v/>
      </c>
      <c r="T352" s="7">
        <f>IF($AH352="","",IF(INDEX('Per Invoice'!T$2:T$401,$AH352)="","",INDEX('Per Invoice'!T$2:T$401,$AH352)))</f>
        <v/>
      </c>
      <c r="U352" s="7">
        <f>IF($AH352="","",IF(INDEX('Per Invoice'!U$2:U$401,$AH352)="","",INDEX('Per Invoice'!U$2:U$401,$AH352)))</f>
        <v/>
      </c>
      <c r="V352">
        <f>IF($AH352="","",IF(INDEX('Per Invoice'!V$2:V$401,$AH352)="","",INDEX('Per Invoice'!V$2:V$401,$AH352)))</f>
        <v/>
      </c>
      <c r="W352" s="7">
        <f>IF($AH352="","",IF(INDEX('Per Invoice'!W$2:W$401,$AH352)="","",INDEX('Per Invoice'!W$2:W$401,$AH352)))</f>
        <v/>
      </c>
      <c r="X352" s="7">
        <f>IF($AH352="","",IF(INDEX('Per Invoice'!X$2:X$401,$AH352)="","",INDEX('Per Invoice'!X$2:X$401,$AH352)))</f>
        <v/>
      </c>
      <c r="Y352">
        <f>IF($AH352="","",IF(INDEX('Per Invoice'!Y$2:Y$401,$AH352)="","",INDEX('Per Invoice'!Y$2:Y$401,$AH352)))</f>
        <v/>
      </c>
      <c r="Z352" s="7">
        <f>IF($AH352="","",IF(INDEX('Per Invoice'!Z$2:Z$401,$AH352)="","",INDEX('Per Invoice'!Z$2:Z$401,$AH352)))</f>
        <v/>
      </c>
      <c r="AA352" s="7">
        <f>IF($AH352="","",IF(INDEX('Per Invoice'!AA$2:AA$401,$AH352)="","",INDEX('Per Invoice'!AA$2:AA$401,$AH352)))</f>
        <v/>
      </c>
      <c r="AB352" s="7">
        <f>IF($AH352="","",IF(INDEX('Per Invoice'!AB$2:AB$401,$AH352)="","",INDEX('Per Invoice'!AB$2:AB$401,$AH352)))</f>
        <v/>
      </c>
      <c r="AC352" s="7">
        <f>IF($AH352="","",IF(INDEX('Per Invoice'!AC$2:AC$401,$AH352)="","",INDEX('Per Invoice'!AC$2:AC$401,$AH352)))</f>
        <v/>
      </c>
      <c r="AD352" s="7">
        <f>IF($AH352="","",IF(INDEX('Per Invoice'!AD$2:AD$401,$AH352)="","",INDEX('Per Invoice'!AD$2:AD$401,$AH352)))</f>
        <v/>
      </c>
      <c r="AE352" s="7">
        <f>IF($AH352="","",IF(INDEX('Per Invoice'!AE$2:AE$401,$AH352)="","",INDEX('Per Invoice'!AE$2:AE$401,$AH352)))</f>
        <v/>
      </c>
      <c r="AF352">
        <f>IF($AH352="","",IF(INDEX('Per Invoice'!AF$2:AF$401,$AH352)="","",INDEX('Per Invoice'!AF$2:AF$401,$AH352)))</f>
        <v/>
      </c>
      <c r="AG352" s="7">
        <f>IF($AH352="","",IF(INDEX('Per Invoice'!AG$2:AG$401,$AH352)="","",INDEX('Per Invoice'!AG$2:AG$401,$AH352)))</f>
        <v/>
      </c>
      <c r="AH352" s="16">
        <f>IFERROR(MATCH(Settings!$C$27&amp;"|"&amp;ROWS($AH$2:$AH352),'Per Invoice'!$AI$2:$AI$401,0),"")</f>
        <v/>
      </c>
    </row>
    <row r="353">
      <c r="A353">
        <f>IF($AH353="","",IF(INDEX('Per Invoice'!A$2:A$401,$AH353)="","",INDEX('Per Invoice'!A$2:A$401,$AH353)))</f>
        <v/>
      </c>
      <c r="B353">
        <f>IF($AH353="","",IF(INDEX('Per Invoice'!B$2:B$401,$AH353)="","",INDEX('Per Invoice'!B$2:B$401,$AH353)))</f>
        <v/>
      </c>
      <c r="C353">
        <f>IF($AH353="","",IF(INDEX('Per Invoice'!C$2:C$401,$AH353)="","",INDEX('Per Invoice'!C$2:C$401,$AH353)))</f>
        <v/>
      </c>
      <c r="D353">
        <f>IF($AH353="","",IF(INDEX('Per Invoice'!D$2:D$401,$AH353)="","",INDEX('Per Invoice'!D$2:D$401,$AH353)))</f>
        <v/>
      </c>
      <c r="E353">
        <f>IF($AH353="","",IF(INDEX('Per Invoice'!E$2:E$401,$AH353)="","",INDEX('Per Invoice'!E$2:E$401,$AH353)))</f>
        <v/>
      </c>
      <c r="F353">
        <f>IF($AH353="","",IF(INDEX('Per Invoice'!F$2:F$401,$AH353)="","",INDEX('Per Invoice'!F$2:F$401,$AH353)))</f>
        <v/>
      </c>
      <c r="G353">
        <f>IF($AH353="","",IF(INDEX('Per Invoice'!G$2:G$401,$AH353)="","",INDEX('Per Invoice'!G$2:G$401,$AH353)))</f>
        <v/>
      </c>
      <c r="H353">
        <f>IF($AH353="","",IF(INDEX('Per Invoice'!H$2:H$401,$AH353)="","",INDEX('Per Invoice'!H$2:H$401,$AH353)))</f>
        <v/>
      </c>
      <c r="I353" s="14">
        <f>IF($AH353="","",IF(INDEX('Per Invoice'!I$2:I$401,$AH353)="","",INDEX('Per Invoice'!I$2:I$401,$AH353)))</f>
        <v/>
      </c>
      <c r="J353">
        <f>IF($AH353="","",IF(INDEX('Per Invoice'!J$2:J$401,$AH353)="","",INDEX('Per Invoice'!J$2:J$401,$AH353)))</f>
        <v/>
      </c>
      <c r="K353">
        <f>IF($AH353="","",IF(INDEX('Per Invoice'!K$2:K$401,$AH353)="","",INDEX('Per Invoice'!K$2:K$401,$AH353)))</f>
        <v/>
      </c>
      <c r="L353">
        <f>IF($AH353="","",IF(INDEX('Per Invoice'!L$2:L$401,$AH353)="","",INDEX('Per Invoice'!L$2:L$401,$AH353)))</f>
        <v/>
      </c>
      <c r="M353">
        <f>IF($AH353="","",IF(INDEX('Per Invoice'!M$2:M$401,$AH353)="","",INDEX('Per Invoice'!M$2:M$401,$AH353)))</f>
        <v/>
      </c>
      <c r="N353">
        <f>IF($AH353="","",IF(INDEX('Per Invoice'!N$2:N$401,$AH353)="","",INDEX('Per Invoice'!N$2:N$401,$AH353)))</f>
        <v/>
      </c>
      <c r="O353">
        <f>IF($AH353="","",IF(INDEX('Per Invoice'!O$2:O$401,$AH353)="","",INDEX('Per Invoice'!O$2:O$401,$AH353)))</f>
        <v/>
      </c>
      <c r="P353" s="7">
        <f>IF($AH353="","",IF(INDEX('Per Invoice'!P$2:P$401,$AH353)="","",INDEX('Per Invoice'!P$2:P$401,$AH353)))</f>
        <v/>
      </c>
      <c r="Q353">
        <f>IF($AH353="","",IF(INDEX('Per Invoice'!Q$2:Q$401,$AH353)="","",INDEX('Per Invoice'!Q$2:Q$401,$AH353)))</f>
        <v/>
      </c>
      <c r="R353">
        <f>IF($AH353="","",IF(INDEX('Per Invoice'!R$2:R$401,$AH353)="","",INDEX('Per Invoice'!R$2:R$401,$AH353)))</f>
        <v/>
      </c>
      <c r="S353">
        <f>IF($AH353="","",IF(INDEX('Per Invoice'!S$2:S$401,$AH353)="","",INDEX('Per Invoice'!S$2:S$401,$AH353)))</f>
        <v/>
      </c>
      <c r="T353" s="7">
        <f>IF($AH353="","",IF(INDEX('Per Invoice'!T$2:T$401,$AH353)="","",INDEX('Per Invoice'!T$2:T$401,$AH353)))</f>
        <v/>
      </c>
      <c r="U353" s="7">
        <f>IF($AH353="","",IF(INDEX('Per Invoice'!U$2:U$401,$AH353)="","",INDEX('Per Invoice'!U$2:U$401,$AH353)))</f>
        <v/>
      </c>
      <c r="V353">
        <f>IF($AH353="","",IF(INDEX('Per Invoice'!V$2:V$401,$AH353)="","",INDEX('Per Invoice'!V$2:V$401,$AH353)))</f>
        <v/>
      </c>
      <c r="W353" s="7">
        <f>IF($AH353="","",IF(INDEX('Per Invoice'!W$2:W$401,$AH353)="","",INDEX('Per Invoice'!W$2:W$401,$AH353)))</f>
        <v/>
      </c>
      <c r="X353" s="7">
        <f>IF($AH353="","",IF(INDEX('Per Invoice'!X$2:X$401,$AH353)="","",INDEX('Per Invoice'!X$2:X$401,$AH353)))</f>
        <v/>
      </c>
      <c r="Y353">
        <f>IF($AH353="","",IF(INDEX('Per Invoice'!Y$2:Y$401,$AH353)="","",INDEX('Per Invoice'!Y$2:Y$401,$AH353)))</f>
        <v/>
      </c>
      <c r="Z353" s="7">
        <f>IF($AH353="","",IF(INDEX('Per Invoice'!Z$2:Z$401,$AH353)="","",INDEX('Per Invoice'!Z$2:Z$401,$AH353)))</f>
        <v/>
      </c>
      <c r="AA353" s="7">
        <f>IF($AH353="","",IF(INDEX('Per Invoice'!AA$2:AA$401,$AH353)="","",INDEX('Per Invoice'!AA$2:AA$401,$AH353)))</f>
        <v/>
      </c>
      <c r="AB353" s="7">
        <f>IF($AH353="","",IF(INDEX('Per Invoice'!AB$2:AB$401,$AH353)="","",INDEX('Per Invoice'!AB$2:AB$401,$AH353)))</f>
        <v/>
      </c>
      <c r="AC353" s="7">
        <f>IF($AH353="","",IF(INDEX('Per Invoice'!AC$2:AC$401,$AH353)="","",INDEX('Per Invoice'!AC$2:AC$401,$AH353)))</f>
        <v/>
      </c>
      <c r="AD353" s="7">
        <f>IF($AH353="","",IF(INDEX('Per Invoice'!AD$2:AD$401,$AH353)="","",INDEX('Per Invoice'!AD$2:AD$401,$AH353)))</f>
        <v/>
      </c>
      <c r="AE353" s="7">
        <f>IF($AH353="","",IF(INDEX('Per Invoice'!AE$2:AE$401,$AH353)="","",INDEX('Per Invoice'!AE$2:AE$401,$AH353)))</f>
        <v/>
      </c>
      <c r="AF353">
        <f>IF($AH353="","",IF(INDEX('Per Invoice'!AF$2:AF$401,$AH353)="","",INDEX('Per Invoice'!AF$2:AF$401,$AH353)))</f>
        <v/>
      </c>
      <c r="AG353" s="7">
        <f>IF($AH353="","",IF(INDEX('Per Invoice'!AG$2:AG$401,$AH353)="","",INDEX('Per Invoice'!AG$2:AG$401,$AH353)))</f>
        <v/>
      </c>
      <c r="AH353" s="16">
        <f>IFERROR(MATCH(Settings!$C$27&amp;"|"&amp;ROWS($AH$2:$AH353),'Per Invoice'!$AI$2:$AI$401,0),"")</f>
        <v/>
      </c>
    </row>
    <row r="354">
      <c r="A354">
        <f>IF($AH354="","",IF(INDEX('Per Invoice'!A$2:A$401,$AH354)="","",INDEX('Per Invoice'!A$2:A$401,$AH354)))</f>
        <v/>
      </c>
      <c r="B354">
        <f>IF($AH354="","",IF(INDEX('Per Invoice'!B$2:B$401,$AH354)="","",INDEX('Per Invoice'!B$2:B$401,$AH354)))</f>
        <v/>
      </c>
      <c r="C354">
        <f>IF($AH354="","",IF(INDEX('Per Invoice'!C$2:C$401,$AH354)="","",INDEX('Per Invoice'!C$2:C$401,$AH354)))</f>
        <v/>
      </c>
      <c r="D354">
        <f>IF($AH354="","",IF(INDEX('Per Invoice'!D$2:D$401,$AH354)="","",INDEX('Per Invoice'!D$2:D$401,$AH354)))</f>
        <v/>
      </c>
      <c r="E354">
        <f>IF($AH354="","",IF(INDEX('Per Invoice'!E$2:E$401,$AH354)="","",INDEX('Per Invoice'!E$2:E$401,$AH354)))</f>
        <v/>
      </c>
      <c r="F354">
        <f>IF($AH354="","",IF(INDEX('Per Invoice'!F$2:F$401,$AH354)="","",INDEX('Per Invoice'!F$2:F$401,$AH354)))</f>
        <v/>
      </c>
      <c r="G354">
        <f>IF($AH354="","",IF(INDEX('Per Invoice'!G$2:G$401,$AH354)="","",INDEX('Per Invoice'!G$2:G$401,$AH354)))</f>
        <v/>
      </c>
      <c r="H354">
        <f>IF($AH354="","",IF(INDEX('Per Invoice'!H$2:H$401,$AH354)="","",INDEX('Per Invoice'!H$2:H$401,$AH354)))</f>
        <v/>
      </c>
      <c r="I354" s="14">
        <f>IF($AH354="","",IF(INDEX('Per Invoice'!I$2:I$401,$AH354)="","",INDEX('Per Invoice'!I$2:I$401,$AH354)))</f>
        <v/>
      </c>
      <c r="J354">
        <f>IF($AH354="","",IF(INDEX('Per Invoice'!J$2:J$401,$AH354)="","",INDEX('Per Invoice'!J$2:J$401,$AH354)))</f>
        <v/>
      </c>
      <c r="K354">
        <f>IF($AH354="","",IF(INDEX('Per Invoice'!K$2:K$401,$AH354)="","",INDEX('Per Invoice'!K$2:K$401,$AH354)))</f>
        <v/>
      </c>
      <c r="L354">
        <f>IF($AH354="","",IF(INDEX('Per Invoice'!L$2:L$401,$AH354)="","",INDEX('Per Invoice'!L$2:L$401,$AH354)))</f>
        <v/>
      </c>
      <c r="M354">
        <f>IF($AH354="","",IF(INDEX('Per Invoice'!M$2:M$401,$AH354)="","",INDEX('Per Invoice'!M$2:M$401,$AH354)))</f>
        <v/>
      </c>
      <c r="N354">
        <f>IF($AH354="","",IF(INDEX('Per Invoice'!N$2:N$401,$AH354)="","",INDEX('Per Invoice'!N$2:N$401,$AH354)))</f>
        <v/>
      </c>
      <c r="O354">
        <f>IF($AH354="","",IF(INDEX('Per Invoice'!O$2:O$401,$AH354)="","",INDEX('Per Invoice'!O$2:O$401,$AH354)))</f>
        <v/>
      </c>
      <c r="P354" s="7">
        <f>IF($AH354="","",IF(INDEX('Per Invoice'!P$2:P$401,$AH354)="","",INDEX('Per Invoice'!P$2:P$401,$AH354)))</f>
        <v/>
      </c>
      <c r="Q354">
        <f>IF($AH354="","",IF(INDEX('Per Invoice'!Q$2:Q$401,$AH354)="","",INDEX('Per Invoice'!Q$2:Q$401,$AH354)))</f>
        <v/>
      </c>
      <c r="R354">
        <f>IF($AH354="","",IF(INDEX('Per Invoice'!R$2:R$401,$AH354)="","",INDEX('Per Invoice'!R$2:R$401,$AH354)))</f>
        <v/>
      </c>
      <c r="S354">
        <f>IF($AH354="","",IF(INDEX('Per Invoice'!S$2:S$401,$AH354)="","",INDEX('Per Invoice'!S$2:S$401,$AH354)))</f>
        <v/>
      </c>
      <c r="T354" s="7">
        <f>IF($AH354="","",IF(INDEX('Per Invoice'!T$2:T$401,$AH354)="","",INDEX('Per Invoice'!T$2:T$401,$AH354)))</f>
        <v/>
      </c>
      <c r="U354" s="7">
        <f>IF($AH354="","",IF(INDEX('Per Invoice'!U$2:U$401,$AH354)="","",INDEX('Per Invoice'!U$2:U$401,$AH354)))</f>
        <v/>
      </c>
      <c r="V354">
        <f>IF($AH354="","",IF(INDEX('Per Invoice'!V$2:V$401,$AH354)="","",INDEX('Per Invoice'!V$2:V$401,$AH354)))</f>
        <v/>
      </c>
      <c r="W354" s="7">
        <f>IF($AH354="","",IF(INDEX('Per Invoice'!W$2:W$401,$AH354)="","",INDEX('Per Invoice'!W$2:W$401,$AH354)))</f>
        <v/>
      </c>
      <c r="X354" s="7">
        <f>IF($AH354="","",IF(INDEX('Per Invoice'!X$2:X$401,$AH354)="","",INDEX('Per Invoice'!X$2:X$401,$AH354)))</f>
        <v/>
      </c>
      <c r="Y354">
        <f>IF($AH354="","",IF(INDEX('Per Invoice'!Y$2:Y$401,$AH354)="","",INDEX('Per Invoice'!Y$2:Y$401,$AH354)))</f>
        <v/>
      </c>
      <c r="Z354" s="7">
        <f>IF($AH354="","",IF(INDEX('Per Invoice'!Z$2:Z$401,$AH354)="","",INDEX('Per Invoice'!Z$2:Z$401,$AH354)))</f>
        <v/>
      </c>
      <c r="AA354" s="7">
        <f>IF($AH354="","",IF(INDEX('Per Invoice'!AA$2:AA$401,$AH354)="","",INDEX('Per Invoice'!AA$2:AA$401,$AH354)))</f>
        <v/>
      </c>
      <c r="AB354" s="7">
        <f>IF($AH354="","",IF(INDEX('Per Invoice'!AB$2:AB$401,$AH354)="","",INDEX('Per Invoice'!AB$2:AB$401,$AH354)))</f>
        <v/>
      </c>
      <c r="AC354" s="7">
        <f>IF($AH354="","",IF(INDEX('Per Invoice'!AC$2:AC$401,$AH354)="","",INDEX('Per Invoice'!AC$2:AC$401,$AH354)))</f>
        <v/>
      </c>
      <c r="AD354" s="7">
        <f>IF($AH354="","",IF(INDEX('Per Invoice'!AD$2:AD$401,$AH354)="","",INDEX('Per Invoice'!AD$2:AD$401,$AH354)))</f>
        <v/>
      </c>
      <c r="AE354" s="7">
        <f>IF($AH354="","",IF(INDEX('Per Invoice'!AE$2:AE$401,$AH354)="","",INDEX('Per Invoice'!AE$2:AE$401,$AH354)))</f>
        <v/>
      </c>
      <c r="AF354">
        <f>IF($AH354="","",IF(INDEX('Per Invoice'!AF$2:AF$401,$AH354)="","",INDEX('Per Invoice'!AF$2:AF$401,$AH354)))</f>
        <v/>
      </c>
      <c r="AG354" s="7">
        <f>IF($AH354="","",IF(INDEX('Per Invoice'!AG$2:AG$401,$AH354)="","",INDEX('Per Invoice'!AG$2:AG$401,$AH354)))</f>
        <v/>
      </c>
      <c r="AH354" s="16">
        <f>IFERROR(MATCH(Settings!$C$27&amp;"|"&amp;ROWS($AH$2:$AH354),'Per Invoice'!$AI$2:$AI$401,0),"")</f>
        <v/>
      </c>
    </row>
    <row r="355">
      <c r="A355">
        <f>IF($AH355="","",IF(INDEX('Per Invoice'!A$2:A$401,$AH355)="","",INDEX('Per Invoice'!A$2:A$401,$AH355)))</f>
        <v/>
      </c>
      <c r="B355">
        <f>IF($AH355="","",IF(INDEX('Per Invoice'!B$2:B$401,$AH355)="","",INDEX('Per Invoice'!B$2:B$401,$AH355)))</f>
        <v/>
      </c>
      <c r="C355">
        <f>IF($AH355="","",IF(INDEX('Per Invoice'!C$2:C$401,$AH355)="","",INDEX('Per Invoice'!C$2:C$401,$AH355)))</f>
        <v/>
      </c>
      <c r="D355">
        <f>IF($AH355="","",IF(INDEX('Per Invoice'!D$2:D$401,$AH355)="","",INDEX('Per Invoice'!D$2:D$401,$AH355)))</f>
        <v/>
      </c>
      <c r="E355">
        <f>IF($AH355="","",IF(INDEX('Per Invoice'!E$2:E$401,$AH355)="","",INDEX('Per Invoice'!E$2:E$401,$AH355)))</f>
        <v/>
      </c>
      <c r="F355">
        <f>IF($AH355="","",IF(INDEX('Per Invoice'!F$2:F$401,$AH355)="","",INDEX('Per Invoice'!F$2:F$401,$AH355)))</f>
        <v/>
      </c>
      <c r="G355">
        <f>IF($AH355="","",IF(INDEX('Per Invoice'!G$2:G$401,$AH355)="","",INDEX('Per Invoice'!G$2:G$401,$AH355)))</f>
        <v/>
      </c>
      <c r="H355">
        <f>IF($AH355="","",IF(INDEX('Per Invoice'!H$2:H$401,$AH355)="","",INDEX('Per Invoice'!H$2:H$401,$AH355)))</f>
        <v/>
      </c>
      <c r="I355" s="14">
        <f>IF($AH355="","",IF(INDEX('Per Invoice'!I$2:I$401,$AH355)="","",INDEX('Per Invoice'!I$2:I$401,$AH355)))</f>
        <v/>
      </c>
      <c r="J355">
        <f>IF($AH355="","",IF(INDEX('Per Invoice'!J$2:J$401,$AH355)="","",INDEX('Per Invoice'!J$2:J$401,$AH355)))</f>
        <v/>
      </c>
      <c r="K355">
        <f>IF($AH355="","",IF(INDEX('Per Invoice'!K$2:K$401,$AH355)="","",INDEX('Per Invoice'!K$2:K$401,$AH355)))</f>
        <v/>
      </c>
      <c r="L355">
        <f>IF($AH355="","",IF(INDEX('Per Invoice'!L$2:L$401,$AH355)="","",INDEX('Per Invoice'!L$2:L$401,$AH355)))</f>
        <v/>
      </c>
      <c r="M355">
        <f>IF($AH355="","",IF(INDEX('Per Invoice'!M$2:M$401,$AH355)="","",INDEX('Per Invoice'!M$2:M$401,$AH355)))</f>
        <v/>
      </c>
      <c r="N355">
        <f>IF($AH355="","",IF(INDEX('Per Invoice'!N$2:N$401,$AH355)="","",INDEX('Per Invoice'!N$2:N$401,$AH355)))</f>
        <v/>
      </c>
      <c r="O355">
        <f>IF($AH355="","",IF(INDEX('Per Invoice'!O$2:O$401,$AH355)="","",INDEX('Per Invoice'!O$2:O$401,$AH355)))</f>
        <v/>
      </c>
      <c r="P355" s="7">
        <f>IF($AH355="","",IF(INDEX('Per Invoice'!P$2:P$401,$AH355)="","",INDEX('Per Invoice'!P$2:P$401,$AH355)))</f>
        <v/>
      </c>
      <c r="Q355">
        <f>IF($AH355="","",IF(INDEX('Per Invoice'!Q$2:Q$401,$AH355)="","",INDEX('Per Invoice'!Q$2:Q$401,$AH355)))</f>
        <v/>
      </c>
      <c r="R355">
        <f>IF($AH355="","",IF(INDEX('Per Invoice'!R$2:R$401,$AH355)="","",INDEX('Per Invoice'!R$2:R$401,$AH355)))</f>
        <v/>
      </c>
      <c r="S355">
        <f>IF($AH355="","",IF(INDEX('Per Invoice'!S$2:S$401,$AH355)="","",INDEX('Per Invoice'!S$2:S$401,$AH355)))</f>
        <v/>
      </c>
      <c r="T355" s="7">
        <f>IF($AH355="","",IF(INDEX('Per Invoice'!T$2:T$401,$AH355)="","",INDEX('Per Invoice'!T$2:T$401,$AH355)))</f>
        <v/>
      </c>
      <c r="U355" s="7">
        <f>IF($AH355="","",IF(INDEX('Per Invoice'!U$2:U$401,$AH355)="","",INDEX('Per Invoice'!U$2:U$401,$AH355)))</f>
        <v/>
      </c>
      <c r="V355">
        <f>IF($AH355="","",IF(INDEX('Per Invoice'!V$2:V$401,$AH355)="","",INDEX('Per Invoice'!V$2:V$401,$AH355)))</f>
        <v/>
      </c>
      <c r="W355" s="7">
        <f>IF($AH355="","",IF(INDEX('Per Invoice'!W$2:W$401,$AH355)="","",INDEX('Per Invoice'!W$2:W$401,$AH355)))</f>
        <v/>
      </c>
      <c r="X355" s="7">
        <f>IF($AH355="","",IF(INDEX('Per Invoice'!X$2:X$401,$AH355)="","",INDEX('Per Invoice'!X$2:X$401,$AH355)))</f>
        <v/>
      </c>
      <c r="Y355">
        <f>IF($AH355="","",IF(INDEX('Per Invoice'!Y$2:Y$401,$AH355)="","",INDEX('Per Invoice'!Y$2:Y$401,$AH355)))</f>
        <v/>
      </c>
      <c r="Z355" s="7">
        <f>IF($AH355="","",IF(INDEX('Per Invoice'!Z$2:Z$401,$AH355)="","",INDEX('Per Invoice'!Z$2:Z$401,$AH355)))</f>
        <v/>
      </c>
      <c r="AA355" s="7">
        <f>IF($AH355="","",IF(INDEX('Per Invoice'!AA$2:AA$401,$AH355)="","",INDEX('Per Invoice'!AA$2:AA$401,$AH355)))</f>
        <v/>
      </c>
      <c r="AB355" s="7">
        <f>IF($AH355="","",IF(INDEX('Per Invoice'!AB$2:AB$401,$AH355)="","",INDEX('Per Invoice'!AB$2:AB$401,$AH355)))</f>
        <v/>
      </c>
      <c r="AC355" s="7">
        <f>IF($AH355="","",IF(INDEX('Per Invoice'!AC$2:AC$401,$AH355)="","",INDEX('Per Invoice'!AC$2:AC$401,$AH355)))</f>
        <v/>
      </c>
      <c r="AD355" s="7">
        <f>IF($AH355="","",IF(INDEX('Per Invoice'!AD$2:AD$401,$AH355)="","",INDEX('Per Invoice'!AD$2:AD$401,$AH355)))</f>
        <v/>
      </c>
      <c r="AE355" s="7">
        <f>IF($AH355="","",IF(INDEX('Per Invoice'!AE$2:AE$401,$AH355)="","",INDEX('Per Invoice'!AE$2:AE$401,$AH355)))</f>
        <v/>
      </c>
      <c r="AF355">
        <f>IF($AH355="","",IF(INDEX('Per Invoice'!AF$2:AF$401,$AH355)="","",INDEX('Per Invoice'!AF$2:AF$401,$AH355)))</f>
        <v/>
      </c>
      <c r="AG355" s="7">
        <f>IF($AH355="","",IF(INDEX('Per Invoice'!AG$2:AG$401,$AH355)="","",INDEX('Per Invoice'!AG$2:AG$401,$AH355)))</f>
        <v/>
      </c>
      <c r="AH355" s="16">
        <f>IFERROR(MATCH(Settings!$C$27&amp;"|"&amp;ROWS($AH$2:$AH355),'Per Invoice'!$AI$2:$AI$401,0),"")</f>
        <v/>
      </c>
    </row>
    <row r="356">
      <c r="A356">
        <f>IF($AH356="","",IF(INDEX('Per Invoice'!A$2:A$401,$AH356)="","",INDEX('Per Invoice'!A$2:A$401,$AH356)))</f>
        <v/>
      </c>
      <c r="B356">
        <f>IF($AH356="","",IF(INDEX('Per Invoice'!B$2:B$401,$AH356)="","",INDEX('Per Invoice'!B$2:B$401,$AH356)))</f>
        <v/>
      </c>
      <c r="C356">
        <f>IF($AH356="","",IF(INDEX('Per Invoice'!C$2:C$401,$AH356)="","",INDEX('Per Invoice'!C$2:C$401,$AH356)))</f>
        <v/>
      </c>
      <c r="D356">
        <f>IF($AH356="","",IF(INDEX('Per Invoice'!D$2:D$401,$AH356)="","",INDEX('Per Invoice'!D$2:D$401,$AH356)))</f>
        <v/>
      </c>
      <c r="E356">
        <f>IF($AH356="","",IF(INDEX('Per Invoice'!E$2:E$401,$AH356)="","",INDEX('Per Invoice'!E$2:E$401,$AH356)))</f>
        <v/>
      </c>
      <c r="F356">
        <f>IF($AH356="","",IF(INDEX('Per Invoice'!F$2:F$401,$AH356)="","",INDEX('Per Invoice'!F$2:F$401,$AH356)))</f>
        <v/>
      </c>
      <c r="G356">
        <f>IF($AH356="","",IF(INDEX('Per Invoice'!G$2:G$401,$AH356)="","",INDEX('Per Invoice'!G$2:G$401,$AH356)))</f>
        <v/>
      </c>
      <c r="H356">
        <f>IF($AH356="","",IF(INDEX('Per Invoice'!H$2:H$401,$AH356)="","",INDEX('Per Invoice'!H$2:H$401,$AH356)))</f>
        <v/>
      </c>
      <c r="I356" s="14">
        <f>IF($AH356="","",IF(INDEX('Per Invoice'!I$2:I$401,$AH356)="","",INDEX('Per Invoice'!I$2:I$401,$AH356)))</f>
        <v/>
      </c>
      <c r="J356">
        <f>IF($AH356="","",IF(INDEX('Per Invoice'!J$2:J$401,$AH356)="","",INDEX('Per Invoice'!J$2:J$401,$AH356)))</f>
        <v/>
      </c>
      <c r="K356">
        <f>IF($AH356="","",IF(INDEX('Per Invoice'!K$2:K$401,$AH356)="","",INDEX('Per Invoice'!K$2:K$401,$AH356)))</f>
        <v/>
      </c>
      <c r="L356">
        <f>IF($AH356="","",IF(INDEX('Per Invoice'!L$2:L$401,$AH356)="","",INDEX('Per Invoice'!L$2:L$401,$AH356)))</f>
        <v/>
      </c>
      <c r="M356">
        <f>IF($AH356="","",IF(INDEX('Per Invoice'!M$2:M$401,$AH356)="","",INDEX('Per Invoice'!M$2:M$401,$AH356)))</f>
        <v/>
      </c>
      <c r="N356">
        <f>IF($AH356="","",IF(INDEX('Per Invoice'!N$2:N$401,$AH356)="","",INDEX('Per Invoice'!N$2:N$401,$AH356)))</f>
        <v/>
      </c>
      <c r="O356">
        <f>IF($AH356="","",IF(INDEX('Per Invoice'!O$2:O$401,$AH356)="","",INDEX('Per Invoice'!O$2:O$401,$AH356)))</f>
        <v/>
      </c>
      <c r="P356" s="7">
        <f>IF($AH356="","",IF(INDEX('Per Invoice'!P$2:P$401,$AH356)="","",INDEX('Per Invoice'!P$2:P$401,$AH356)))</f>
        <v/>
      </c>
      <c r="Q356">
        <f>IF($AH356="","",IF(INDEX('Per Invoice'!Q$2:Q$401,$AH356)="","",INDEX('Per Invoice'!Q$2:Q$401,$AH356)))</f>
        <v/>
      </c>
      <c r="R356">
        <f>IF($AH356="","",IF(INDEX('Per Invoice'!R$2:R$401,$AH356)="","",INDEX('Per Invoice'!R$2:R$401,$AH356)))</f>
        <v/>
      </c>
      <c r="S356">
        <f>IF($AH356="","",IF(INDEX('Per Invoice'!S$2:S$401,$AH356)="","",INDEX('Per Invoice'!S$2:S$401,$AH356)))</f>
        <v/>
      </c>
      <c r="T356" s="7">
        <f>IF($AH356="","",IF(INDEX('Per Invoice'!T$2:T$401,$AH356)="","",INDEX('Per Invoice'!T$2:T$401,$AH356)))</f>
        <v/>
      </c>
      <c r="U356" s="7">
        <f>IF($AH356="","",IF(INDEX('Per Invoice'!U$2:U$401,$AH356)="","",INDEX('Per Invoice'!U$2:U$401,$AH356)))</f>
        <v/>
      </c>
      <c r="V356">
        <f>IF($AH356="","",IF(INDEX('Per Invoice'!V$2:V$401,$AH356)="","",INDEX('Per Invoice'!V$2:V$401,$AH356)))</f>
        <v/>
      </c>
      <c r="W356" s="7">
        <f>IF($AH356="","",IF(INDEX('Per Invoice'!W$2:W$401,$AH356)="","",INDEX('Per Invoice'!W$2:W$401,$AH356)))</f>
        <v/>
      </c>
      <c r="X356" s="7">
        <f>IF($AH356="","",IF(INDEX('Per Invoice'!X$2:X$401,$AH356)="","",INDEX('Per Invoice'!X$2:X$401,$AH356)))</f>
        <v/>
      </c>
      <c r="Y356">
        <f>IF($AH356="","",IF(INDEX('Per Invoice'!Y$2:Y$401,$AH356)="","",INDEX('Per Invoice'!Y$2:Y$401,$AH356)))</f>
        <v/>
      </c>
      <c r="Z356" s="7">
        <f>IF($AH356="","",IF(INDEX('Per Invoice'!Z$2:Z$401,$AH356)="","",INDEX('Per Invoice'!Z$2:Z$401,$AH356)))</f>
        <v/>
      </c>
      <c r="AA356" s="7">
        <f>IF($AH356="","",IF(INDEX('Per Invoice'!AA$2:AA$401,$AH356)="","",INDEX('Per Invoice'!AA$2:AA$401,$AH356)))</f>
        <v/>
      </c>
      <c r="AB356" s="7">
        <f>IF($AH356="","",IF(INDEX('Per Invoice'!AB$2:AB$401,$AH356)="","",INDEX('Per Invoice'!AB$2:AB$401,$AH356)))</f>
        <v/>
      </c>
      <c r="AC356" s="7">
        <f>IF($AH356="","",IF(INDEX('Per Invoice'!AC$2:AC$401,$AH356)="","",INDEX('Per Invoice'!AC$2:AC$401,$AH356)))</f>
        <v/>
      </c>
      <c r="AD356" s="7">
        <f>IF($AH356="","",IF(INDEX('Per Invoice'!AD$2:AD$401,$AH356)="","",INDEX('Per Invoice'!AD$2:AD$401,$AH356)))</f>
        <v/>
      </c>
      <c r="AE356" s="7">
        <f>IF($AH356="","",IF(INDEX('Per Invoice'!AE$2:AE$401,$AH356)="","",INDEX('Per Invoice'!AE$2:AE$401,$AH356)))</f>
        <v/>
      </c>
      <c r="AF356">
        <f>IF($AH356="","",IF(INDEX('Per Invoice'!AF$2:AF$401,$AH356)="","",INDEX('Per Invoice'!AF$2:AF$401,$AH356)))</f>
        <v/>
      </c>
      <c r="AG356" s="7">
        <f>IF($AH356="","",IF(INDEX('Per Invoice'!AG$2:AG$401,$AH356)="","",INDEX('Per Invoice'!AG$2:AG$401,$AH356)))</f>
        <v/>
      </c>
      <c r="AH356" s="16">
        <f>IFERROR(MATCH(Settings!$C$27&amp;"|"&amp;ROWS($AH$2:$AH356),'Per Invoice'!$AI$2:$AI$401,0),"")</f>
        <v/>
      </c>
    </row>
    <row r="357">
      <c r="A357">
        <f>IF($AH357="","",IF(INDEX('Per Invoice'!A$2:A$401,$AH357)="","",INDEX('Per Invoice'!A$2:A$401,$AH357)))</f>
        <v/>
      </c>
      <c r="B357">
        <f>IF($AH357="","",IF(INDEX('Per Invoice'!B$2:B$401,$AH357)="","",INDEX('Per Invoice'!B$2:B$401,$AH357)))</f>
        <v/>
      </c>
      <c r="C357">
        <f>IF($AH357="","",IF(INDEX('Per Invoice'!C$2:C$401,$AH357)="","",INDEX('Per Invoice'!C$2:C$401,$AH357)))</f>
        <v/>
      </c>
      <c r="D357">
        <f>IF($AH357="","",IF(INDEX('Per Invoice'!D$2:D$401,$AH357)="","",INDEX('Per Invoice'!D$2:D$401,$AH357)))</f>
        <v/>
      </c>
      <c r="E357">
        <f>IF($AH357="","",IF(INDEX('Per Invoice'!E$2:E$401,$AH357)="","",INDEX('Per Invoice'!E$2:E$401,$AH357)))</f>
        <v/>
      </c>
      <c r="F357">
        <f>IF($AH357="","",IF(INDEX('Per Invoice'!F$2:F$401,$AH357)="","",INDEX('Per Invoice'!F$2:F$401,$AH357)))</f>
        <v/>
      </c>
      <c r="G357">
        <f>IF($AH357="","",IF(INDEX('Per Invoice'!G$2:G$401,$AH357)="","",INDEX('Per Invoice'!G$2:G$401,$AH357)))</f>
        <v/>
      </c>
      <c r="H357">
        <f>IF($AH357="","",IF(INDEX('Per Invoice'!H$2:H$401,$AH357)="","",INDEX('Per Invoice'!H$2:H$401,$AH357)))</f>
        <v/>
      </c>
      <c r="I357" s="14">
        <f>IF($AH357="","",IF(INDEX('Per Invoice'!I$2:I$401,$AH357)="","",INDEX('Per Invoice'!I$2:I$401,$AH357)))</f>
        <v/>
      </c>
      <c r="J357">
        <f>IF($AH357="","",IF(INDEX('Per Invoice'!J$2:J$401,$AH357)="","",INDEX('Per Invoice'!J$2:J$401,$AH357)))</f>
        <v/>
      </c>
      <c r="K357">
        <f>IF($AH357="","",IF(INDEX('Per Invoice'!K$2:K$401,$AH357)="","",INDEX('Per Invoice'!K$2:K$401,$AH357)))</f>
        <v/>
      </c>
      <c r="L357">
        <f>IF($AH357="","",IF(INDEX('Per Invoice'!L$2:L$401,$AH357)="","",INDEX('Per Invoice'!L$2:L$401,$AH357)))</f>
        <v/>
      </c>
      <c r="M357">
        <f>IF($AH357="","",IF(INDEX('Per Invoice'!M$2:M$401,$AH357)="","",INDEX('Per Invoice'!M$2:M$401,$AH357)))</f>
        <v/>
      </c>
      <c r="N357">
        <f>IF($AH357="","",IF(INDEX('Per Invoice'!N$2:N$401,$AH357)="","",INDEX('Per Invoice'!N$2:N$401,$AH357)))</f>
        <v/>
      </c>
      <c r="O357">
        <f>IF($AH357="","",IF(INDEX('Per Invoice'!O$2:O$401,$AH357)="","",INDEX('Per Invoice'!O$2:O$401,$AH357)))</f>
        <v/>
      </c>
      <c r="P357" s="7">
        <f>IF($AH357="","",IF(INDEX('Per Invoice'!P$2:P$401,$AH357)="","",INDEX('Per Invoice'!P$2:P$401,$AH357)))</f>
        <v/>
      </c>
      <c r="Q357">
        <f>IF($AH357="","",IF(INDEX('Per Invoice'!Q$2:Q$401,$AH357)="","",INDEX('Per Invoice'!Q$2:Q$401,$AH357)))</f>
        <v/>
      </c>
      <c r="R357">
        <f>IF($AH357="","",IF(INDEX('Per Invoice'!R$2:R$401,$AH357)="","",INDEX('Per Invoice'!R$2:R$401,$AH357)))</f>
        <v/>
      </c>
      <c r="S357">
        <f>IF($AH357="","",IF(INDEX('Per Invoice'!S$2:S$401,$AH357)="","",INDEX('Per Invoice'!S$2:S$401,$AH357)))</f>
        <v/>
      </c>
      <c r="T357" s="7">
        <f>IF($AH357="","",IF(INDEX('Per Invoice'!T$2:T$401,$AH357)="","",INDEX('Per Invoice'!T$2:T$401,$AH357)))</f>
        <v/>
      </c>
      <c r="U357" s="7">
        <f>IF($AH357="","",IF(INDEX('Per Invoice'!U$2:U$401,$AH357)="","",INDEX('Per Invoice'!U$2:U$401,$AH357)))</f>
        <v/>
      </c>
      <c r="V357">
        <f>IF($AH357="","",IF(INDEX('Per Invoice'!V$2:V$401,$AH357)="","",INDEX('Per Invoice'!V$2:V$401,$AH357)))</f>
        <v/>
      </c>
      <c r="W357" s="7">
        <f>IF($AH357="","",IF(INDEX('Per Invoice'!W$2:W$401,$AH357)="","",INDEX('Per Invoice'!W$2:W$401,$AH357)))</f>
        <v/>
      </c>
      <c r="X357" s="7">
        <f>IF($AH357="","",IF(INDEX('Per Invoice'!X$2:X$401,$AH357)="","",INDEX('Per Invoice'!X$2:X$401,$AH357)))</f>
        <v/>
      </c>
      <c r="Y357">
        <f>IF($AH357="","",IF(INDEX('Per Invoice'!Y$2:Y$401,$AH357)="","",INDEX('Per Invoice'!Y$2:Y$401,$AH357)))</f>
        <v/>
      </c>
      <c r="Z357" s="7">
        <f>IF($AH357="","",IF(INDEX('Per Invoice'!Z$2:Z$401,$AH357)="","",INDEX('Per Invoice'!Z$2:Z$401,$AH357)))</f>
        <v/>
      </c>
      <c r="AA357" s="7">
        <f>IF($AH357="","",IF(INDEX('Per Invoice'!AA$2:AA$401,$AH357)="","",INDEX('Per Invoice'!AA$2:AA$401,$AH357)))</f>
        <v/>
      </c>
      <c r="AB357" s="7">
        <f>IF($AH357="","",IF(INDEX('Per Invoice'!AB$2:AB$401,$AH357)="","",INDEX('Per Invoice'!AB$2:AB$401,$AH357)))</f>
        <v/>
      </c>
      <c r="AC357" s="7">
        <f>IF($AH357="","",IF(INDEX('Per Invoice'!AC$2:AC$401,$AH357)="","",INDEX('Per Invoice'!AC$2:AC$401,$AH357)))</f>
        <v/>
      </c>
      <c r="AD357" s="7">
        <f>IF($AH357="","",IF(INDEX('Per Invoice'!AD$2:AD$401,$AH357)="","",INDEX('Per Invoice'!AD$2:AD$401,$AH357)))</f>
        <v/>
      </c>
      <c r="AE357" s="7">
        <f>IF($AH357="","",IF(INDEX('Per Invoice'!AE$2:AE$401,$AH357)="","",INDEX('Per Invoice'!AE$2:AE$401,$AH357)))</f>
        <v/>
      </c>
      <c r="AF357">
        <f>IF($AH357="","",IF(INDEX('Per Invoice'!AF$2:AF$401,$AH357)="","",INDEX('Per Invoice'!AF$2:AF$401,$AH357)))</f>
        <v/>
      </c>
      <c r="AG357" s="7">
        <f>IF($AH357="","",IF(INDEX('Per Invoice'!AG$2:AG$401,$AH357)="","",INDEX('Per Invoice'!AG$2:AG$401,$AH357)))</f>
        <v/>
      </c>
      <c r="AH357" s="16">
        <f>IFERROR(MATCH(Settings!$C$27&amp;"|"&amp;ROWS($AH$2:$AH357),'Per Invoice'!$AI$2:$AI$401,0),"")</f>
        <v/>
      </c>
    </row>
    <row r="358">
      <c r="A358">
        <f>IF($AH358="","",IF(INDEX('Per Invoice'!A$2:A$401,$AH358)="","",INDEX('Per Invoice'!A$2:A$401,$AH358)))</f>
        <v/>
      </c>
      <c r="B358">
        <f>IF($AH358="","",IF(INDEX('Per Invoice'!B$2:B$401,$AH358)="","",INDEX('Per Invoice'!B$2:B$401,$AH358)))</f>
        <v/>
      </c>
      <c r="C358">
        <f>IF($AH358="","",IF(INDEX('Per Invoice'!C$2:C$401,$AH358)="","",INDEX('Per Invoice'!C$2:C$401,$AH358)))</f>
        <v/>
      </c>
      <c r="D358">
        <f>IF($AH358="","",IF(INDEX('Per Invoice'!D$2:D$401,$AH358)="","",INDEX('Per Invoice'!D$2:D$401,$AH358)))</f>
        <v/>
      </c>
      <c r="E358">
        <f>IF($AH358="","",IF(INDEX('Per Invoice'!E$2:E$401,$AH358)="","",INDEX('Per Invoice'!E$2:E$401,$AH358)))</f>
        <v/>
      </c>
      <c r="F358">
        <f>IF($AH358="","",IF(INDEX('Per Invoice'!F$2:F$401,$AH358)="","",INDEX('Per Invoice'!F$2:F$401,$AH358)))</f>
        <v/>
      </c>
      <c r="G358">
        <f>IF($AH358="","",IF(INDEX('Per Invoice'!G$2:G$401,$AH358)="","",INDEX('Per Invoice'!G$2:G$401,$AH358)))</f>
        <v/>
      </c>
      <c r="H358">
        <f>IF($AH358="","",IF(INDEX('Per Invoice'!H$2:H$401,$AH358)="","",INDEX('Per Invoice'!H$2:H$401,$AH358)))</f>
        <v/>
      </c>
      <c r="I358" s="14">
        <f>IF($AH358="","",IF(INDEX('Per Invoice'!I$2:I$401,$AH358)="","",INDEX('Per Invoice'!I$2:I$401,$AH358)))</f>
        <v/>
      </c>
      <c r="J358">
        <f>IF($AH358="","",IF(INDEX('Per Invoice'!J$2:J$401,$AH358)="","",INDEX('Per Invoice'!J$2:J$401,$AH358)))</f>
        <v/>
      </c>
      <c r="K358">
        <f>IF($AH358="","",IF(INDEX('Per Invoice'!K$2:K$401,$AH358)="","",INDEX('Per Invoice'!K$2:K$401,$AH358)))</f>
        <v/>
      </c>
      <c r="L358">
        <f>IF($AH358="","",IF(INDEX('Per Invoice'!L$2:L$401,$AH358)="","",INDEX('Per Invoice'!L$2:L$401,$AH358)))</f>
        <v/>
      </c>
      <c r="M358">
        <f>IF($AH358="","",IF(INDEX('Per Invoice'!M$2:M$401,$AH358)="","",INDEX('Per Invoice'!M$2:M$401,$AH358)))</f>
        <v/>
      </c>
      <c r="N358">
        <f>IF($AH358="","",IF(INDEX('Per Invoice'!N$2:N$401,$AH358)="","",INDEX('Per Invoice'!N$2:N$401,$AH358)))</f>
        <v/>
      </c>
      <c r="O358">
        <f>IF($AH358="","",IF(INDEX('Per Invoice'!O$2:O$401,$AH358)="","",INDEX('Per Invoice'!O$2:O$401,$AH358)))</f>
        <v/>
      </c>
      <c r="P358" s="7">
        <f>IF($AH358="","",IF(INDEX('Per Invoice'!P$2:P$401,$AH358)="","",INDEX('Per Invoice'!P$2:P$401,$AH358)))</f>
        <v/>
      </c>
      <c r="Q358">
        <f>IF($AH358="","",IF(INDEX('Per Invoice'!Q$2:Q$401,$AH358)="","",INDEX('Per Invoice'!Q$2:Q$401,$AH358)))</f>
        <v/>
      </c>
      <c r="R358">
        <f>IF($AH358="","",IF(INDEX('Per Invoice'!R$2:R$401,$AH358)="","",INDEX('Per Invoice'!R$2:R$401,$AH358)))</f>
        <v/>
      </c>
      <c r="S358">
        <f>IF($AH358="","",IF(INDEX('Per Invoice'!S$2:S$401,$AH358)="","",INDEX('Per Invoice'!S$2:S$401,$AH358)))</f>
        <v/>
      </c>
      <c r="T358" s="7">
        <f>IF($AH358="","",IF(INDEX('Per Invoice'!T$2:T$401,$AH358)="","",INDEX('Per Invoice'!T$2:T$401,$AH358)))</f>
        <v/>
      </c>
      <c r="U358" s="7">
        <f>IF($AH358="","",IF(INDEX('Per Invoice'!U$2:U$401,$AH358)="","",INDEX('Per Invoice'!U$2:U$401,$AH358)))</f>
        <v/>
      </c>
      <c r="V358">
        <f>IF($AH358="","",IF(INDEX('Per Invoice'!V$2:V$401,$AH358)="","",INDEX('Per Invoice'!V$2:V$401,$AH358)))</f>
        <v/>
      </c>
      <c r="W358" s="7">
        <f>IF($AH358="","",IF(INDEX('Per Invoice'!W$2:W$401,$AH358)="","",INDEX('Per Invoice'!W$2:W$401,$AH358)))</f>
        <v/>
      </c>
      <c r="X358" s="7">
        <f>IF($AH358="","",IF(INDEX('Per Invoice'!X$2:X$401,$AH358)="","",INDEX('Per Invoice'!X$2:X$401,$AH358)))</f>
        <v/>
      </c>
      <c r="Y358">
        <f>IF($AH358="","",IF(INDEX('Per Invoice'!Y$2:Y$401,$AH358)="","",INDEX('Per Invoice'!Y$2:Y$401,$AH358)))</f>
        <v/>
      </c>
      <c r="Z358" s="7">
        <f>IF($AH358="","",IF(INDEX('Per Invoice'!Z$2:Z$401,$AH358)="","",INDEX('Per Invoice'!Z$2:Z$401,$AH358)))</f>
        <v/>
      </c>
      <c r="AA358" s="7">
        <f>IF($AH358="","",IF(INDEX('Per Invoice'!AA$2:AA$401,$AH358)="","",INDEX('Per Invoice'!AA$2:AA$401,$AH358)))</f>
        <v/>
      </c>
      <c r="AB358" s="7">
        <f>IF($AH358="","",IF(INDEX('Per Invoice'!AB$2:AB$401,$AH358)="","",INDEX('Per Invoice'!AB$2:AB$401,$AH358)))</f>
        <v/>
      </c>
      <c r="AC358" s="7">
        <f>IF($AH358="","",IF(INDEX('Per Invoice'!AC$2:AC$401,$AH358)="","",INDEX('Per Invoice'!AC$2:AC$401,$AH358)))</f>
        <v/>
      </c>
      <c r="AD358" s="7">
        <f>IF($AH358="","",IF(INDEX('Per Invoice'!AD$2:AD$401,$AH358)="","",INDEX('Per Invoice'!AD$2:AD$401,$AH358)))</f>
        <v/>
      </c>
      <c r="AE358" s="7">
        <f>IF($AH358="","",IF(INDEX('Per Invoice'!AE$2:AE$401,$AH358)="","",INDEX('Per Invoice'!AE$2:AE$401,$AH358)))</f>
        <v/>
      </c>
      <c r="AF358">
        <f>IF($AH358="","",IF(INDEX('Per Invoice'!AF$2:AF$401,$AH358)="","",INDEX('Per Invoice'!AF$2:AF$401,$AH358)))</f>
        <v/>
      </c>
      <c r="AG358" s="7">
        <f>IF($AH358="","",IF(INDEX('Per Invoice'!AG$2:AG$401,$AH358)="","",INDEX('Per Invoice'!AG$2:AG$401,$AH358)))</f>
        <v/>
      </c>
      <c r="AH358" s="16">
        <f>IFERROR(MATCH(Settings!$C$27&amp;"|"&amp;ROWS($AH$2:$AH358),'Per Invoice'!$AI$2:$AI$401,0),"")</f>
        <v/>
      </c>
    </row>
    <row r="359">
      <c r="A359">
        <f>IF($AH359="","",IF(INDEX('Per Invoice'!A$2:A$401,$AH359)="","",INDEX('Per Invoice'!A$2:A$401,$AH359)))</f>
        <v/>
      </c>
      <c r="B359">
        <f>IF($AH359="","",IF(INDEX('Per Invoice'!B$2:B$401,$AH359)="","",INDEX('Per Invoice'!B$2:B$401,$AH359)))</f>
        <v/>
      </c>
      <c r="C359">
        <f>IF($AH359="","",IF(INDEX('Per Invoice'!C$2:C$401,$AH359)="","",INDEX('Per Invoice'!C$2:C$401,$AH359)))</f>
        <v/>
      </c>
      <c r="D359">
        <f>IF($AH359="","",IF(INDEX('Per Invoice'!D$2:D$401,$AH359)="","",INDEX('Per Invoice'!D$2:D$401,$AH359)))</f>
        <v/>
      </c>
      <c r="E359">
        <f>IF($AH359="","",IF(INDEX('Per Invoice'!E$2:E$401,$AH359)="","",INDEX('Per Invoice'!E$2:E$401,$AH359)))</f>
        <v/>
      </c>
      <c r="F359">
        <f>IF($AH359="","",IF(INDEX('Per Invoice'!F$2:F$401,$AH359)="","",INDEX('Per Invoice'!F$2:F$401,$AH359)))</f>
        <v/>
      </c>
      <c r="G359">
        <f>IF($AH359="","",IF(INDEX('Per Invoice'!G$2:G$401,$AH359)="","",INDEX('Per Invoice'!G$2:G$401,$AH359)))</f>
        <v/>
      </c>
      <c r="H359">
        <f>IF($AH359="","",IF(INDEX('Per Invoice'!H$2:H$401,$AH359)="","",INDEX('Per Invoice'!H$2:H$401,$AH359)))</f>
        <v/>
      </c>
      <c r="I359" s="14">
        <f>IF($AH359="","",IF(INDEX('Per Invoice'!I$2:I$401,$AH359)="","",INDEX('Per Invoice'!I$2:I$401,$AH359)))</f>
        <v/>
      </c>
      <c r="J359">
        <f>IF($AH359="","",IF(INDEX('Per Invoice'!J$2:J$401,$AH359)="","",INDEX('Per Invoice'!J$2:J$401,$AH359)))</f>
        <v/>
      </c>
      <c r="K359">
        <f>IF($AH359="","",IF(INDEX('Per Invoice'!K$2:K$401,$AH359)="","",INDEX('Per Invoice'!K$2:K$401,$AH359)))</f>
        <v/>
      </c>
      <c r="L359">
        <f>IF($AH359="","",IF(INDEX('Per Invoice'!L$2:L$401,$AH359)="","",INDEX('Per Invoice'!L$2:L$401,$AH359)))</f>
        <v/>
      </c>
      <c r="M359">
        <f>IF($AH359="","",IF(INDEX('Per Invoice'!M$2:M$401,$AH359)="","",INDEX('Per Invoice'!M$2:M$401,$AH359)))</f>
        <v/>
      </c>
      <c r="N359">
        <f>IF($AH359="","",IF(INDEX('Per Invoice'!N$2:N$401,$AH359)="","",INDEX('Per Invoice'!N$2:N$401,$AH359)))</f>
        <v/>
      </c>
      <c r="O359">
        <f>IF($AH359="","",IF(INDEX('Per Invoice'!O$2:O$401,$AH359)="","",INDEX('Per Invoice'!O$2:O$401,$AH359)))</f>
        <v/>
      </c>
      <c r="P359" s="7">
        <f>IF($AH359="","",IF(INDEX('Per Invoice'!P$2:P$401,$AH359)="","",INDEX('Per Invoice'!P$2:P$401,$AH359)))</f>
        <v/>
      </c>
      <c r="Q359">
        <f>IF($AH359="","",IF(INDEX('Per Invoice'!Q$2:Q$401,$AH359)="","",INDEX('Per Invoice'!Q$2:Q$401,$AH359)))</f>
        <v/>
      </c>
      <c r="R359">
        <f>IF($AH359="","",IF(INDEX('Per Invoice'!R$2:R$401,$AH359)="","",INDEX('Per Invoice'!R$2:R$401,$AH359)))</f>
        <v/>
      </c>
      <c r="S359">
        <f>IF($AH359="","",IF(INDEX('Per Invoice'!S$2:S$401,$AH359)="","",INDEX('Per Invoice'!S$2:S$401,$AH359)))</f>
        <v/>
      </c>
      <c r="T359" s="7">
        <f>IF($AH359="","",IF(INDEX('Per Invoice'!T$2:T$401,$AH359)="","",INDEX('Per Invoice'!T$2:T$401,$AH359)))</f>
        <v/>
      </c>
      <c r="U359" s="7">
        <f>IF($AH359="","",IF(INDEX('Per Invoice'!U$2:U$401,$AH359)="","",INDEX('Per Invoice'!U$2:U$401,$AH359)))</f>
        <v/>
      </c>
      <c r="V359">
        <f>IF($AH359="","",IF(INDEX('Per Invoice'!V$2:V$401,$AH359)="","",INDEX('Per Invoice'!V$2:V$401,$AH359)))</f>
        <v/>
      </c>
      <c r="W359" s="7">
        <f>IF($AH359="","",IF(INDEX('Per Invoice'!W$2:W$401,$AH359)="","",INDEX('Per Invoice'!W$2:W$401,$AH359)))</f>
        <v/>
      </c>
      <c r="X359" s="7">
        <f>IF($AH359="","",IF(INDEX('Per Invoice'!X$2:X$401,$AH359)="","",INDEX('Per Invoice'!X$2:X$401,$AH359)))</f>
        <v/>
      </c>
      <c r="Y359">
        <f>IF($AH359="","",IF(INDEX('Per Invoice'!Y$2:Y$401,$AH359)="","",INDEX('Per Invoice'!Y$2:Y$401,$AH359)))</f>
        <v/>
      </c>
      <c r="Z359" s="7">
        <f>IF($AH359="","",IF(INDEX('Per Invoice'!Z$2:Z$401,$AH359)="","",INDEX('Per Invoice'!Z$2:Z$401,$AH359)))</f>
        <v/>
      </c>
      <c r="AA359" s="7">
        <f>IF($AH359="","",IF(INDEX('Per Invoice'!AA$2:AA$401,$AH359)="","",INDEX('Per Invoice'!AA$2:AA$401,$AH359)))</f>
        <v/>
      </c>
      <c r="AB359" s="7">
        <f>IF($AH359="","",IF(INDEX('Per Invoice'!AB$2:AB$401,$AH359)="","",INDEX('Per Invoice'!AB$2:AB$401,$AH359)))</f>
        <v/>
      </c>
      <c r="AC359" s="7">
        <f>IF($AH359="","",IF(INDEX('Per Invoice'!AC$2:AC$401,$AH359)="","",INDEX('Per Invoice'!AC$2:AC$401,$AH359)))</f>
        <v/>
      </c>
      <c r="AD359" s="7">
        <f>IF($AH359="","",IF(INDEX('Per Invoice'!AD$2:AD$401,$AH359)="","",INDEX('Per Invoice'!AD$2:AD$401,$AH359)))</f>
        <v/>
      </c>
      <c r="AE359" s="7">
        <f>IF($AH359="","",IF(INDEX('Per Invoice'!AE$2:AE$401,$AH359)="","",INDEX('Per Invoice'!AE$2:AE$401,$AH359)))</f>
        <v/>
      </c>
      <c r="AF359">
        <f>IF($AH359="","",IF(INDEX('Per Invoice'!AF$2:AF$401,$AH359)="","",INDEX('Per Invoice'!AF$2:AF$401,$AH359)))</f>
        <v/>
      </c>
      <c r="AG359" s="7">
        <f>IF($AH359="","",IF(INDEX('Per Invoice'!AG$2:AG$401,$AH359)="","",INDEX('Per Invoice'!AG$2:AG$401,$AH359)))</f>
        <v/>
      </c>
      <c r="AH359" s="16">
        <f>IFERROR(MATCH(Settings!$C$27&amp;"|"&amp;ROWS($AH$2:$AH359),'Per Invoice'!$AI$2:$AI$401,0),"")</f>
        <v/>
      </c>
    </row>
    <row r="360">
      <c r="A360">
        <f>IF($AH360="","",IF(INDEX('Per Invoice'!A$2:A$401,$AH360)="","",INDEX('Per Invoice'!A$2:A$401,$AH360)))</f>
        <v/>
      </c>
      <c r="B360">
        <f>IF($AH360="","",IF(INDEX('Per Invoice'!B$2:B$401,$AH360)="","",INDEX('Per Invoice'!B$2:B$401,$AH360)))</f>
        <v/>
      </c>
      <c r="C360">
        <f>IF($AH360="","",IF(INDEX('Per Invoice'!C$2:C$401,$AH360)="","",INDEX('Per Invoice'!C$2:C$401,$AH360)))</f>
        <v/>
      </c>
      <c r="D360">
        <f>IF($AH360="","",IF(INDEX('Per Invoice'!D$2:D$401,$AH360)="","",INDEX('Per Invoice'!D$2:D$401,$AH360)))</f>
        <v/>
      </c>
      <c r="E360">
        <f>IF($AH360="","",IF(INDEX('Per Invoice'!E$2:E$401,$AH360)="","",INDEX('Per Invoice'!E$2:E$401,$AH360)))</f>
        <v/>
      </c>
      <c r="F360">
        <f>IF($AH360="","",IF(INDEX('Per Invoice'!F$2:F$401,$AH360)="","",INDEX('Per Invoice'!F$2:F$401,$AH360)))</f>
        <v/>
      </c>
      <c r="G360">
        <f>IF($AH360="","",IF(INDEX('Per Invoice'!G$2:G$401,$AH360)="","",INDEX('Per Invoice'!G$2:G$401,$AH360)))</f>
        <v/>
      </c>
      <c r="H360">
        <f>IF($AH360="","",IF(INDEX('Per Invoice'!H$2:H$401,$AH360)="","",INDEX('Per Invoice'!H$2:H$401,$AH360)))</f>
        <v/>
      </c>
      <c r="I360" s="14">
        <f>IF($AH360="","",IF(INDEX('Per Invoice'!I$2:I$401,$AH360)="","",INDEX('Per Invoice'!I$2:I$401,$AH360)))</f>
        <v/>
      </c>
      <c r="J360">
        <f>IF($AH360="","",IF(INDEX('Per Invoice'!J$2:J$401,$AH360)="","",INDEX('Per Invoice'!J$2:J$401,$AH360)))</f>
        <v/>
      </c>
      <c r="K360">
        <f>IF($AH360="","",IF(INDEX('Per Invoice'!K$2:K$401,$AH360)="","",INDEX('Per Invoice'!K$2:K$401,$AH360)))</f>
        <v/>
      </c>
      <c r="L360">
        <f>IF($AH360="","",IF(INDEX('Per Invoice'!L$2:L$401,$AH360)="","",INDEX('Per Invoice'!L$2:L$401,$AH360)))</f>
        <v/>
      </c>
      <c r="M360">
        <f>IF($AH360="","",IF(INDEX('Per Invoice'!M$2:M$401,$AH360)="","",INDEX('Per Invoice'!M$2:M$401,$AH360)))</f>
        <v/>
      </c>
      <c r="N360">
        <f>IF($AH360="","",IF(INDEX('Per Invoice'!N$2:N$401,$AH360)="","",INDEX('Per Invoice'!N$2:N$401,$AH360)))</f>
        <v/>
      </c>
      <c r="O360">
        <f>IF($AH360="","",IF(INDEX('Per Invoice'!O$2:O$401,$AH360)="","",INDEX('Per Invoice'!O$2:O$401,$AH360)))</f>
        <v/>
      </c>
      <c r="P360" s="7">
        <f>IF($AH360="","",IF(INDEX('Per Invoice'!P$2:P$401,$AH360)="","",INDEX('Per Invoice'!P$2:P$401,$AH360)))</f>
        <v/>
      </c>
      <c r="Q360">
        <f>IF($AH360="","",IF(INDEX('Per Invoice'!Q$2:Q$401,$AH360)="","",INDEX('Per Invoice'!Q$2:Q$401,$AH360)))</f>
        <v/>
      </c>
      <c r="R360">
        <f>IF($AH360="","",IF(INDEX('Per Invoice'!R$2:R$401,$AH360)="","",INDEX('Per Invoice'!R$2:R$401,$AH360)))</f>
        <v/>
      </c>
      <c r="S360">
        <f>IF($AH360="","",IF(INDEX('Per Invoice'!S$2:S$401,$AH360)="","",INDEX('Per Invoice'!S$2:S$401,$AH360)))</f>
        <v/>
      </c>
      <c r="T360" s="7">
        <f>IF($AH360="","",IF(INDEX('Per Invoice'!T$2:T$401,$AH360)="","",INDEX('Per Invoice'!T$2:T$401,$AH360)))</f>
        <v/>
      </c>
      <c r="U360" s="7">
        <f>IF($AH360="","",IF(INDEX('Per Invoice'!U$2:U$401,$AH360)="","",INDEX('Per Invoice'!U$2:U$401,$AH360)))</f>
        <v/>
      </c>
      <c r="V360">
        <f>IF($AH360="","",IF(INDEX('Per Invoice'!V$2:V$401,$AH360)="","",INDEX('Per Invoice'!V$2:V$401,$AH360)))</f>
        <v/>
      </c>
      <c r="W360" s="7">
        <f>IF($AH360="","",IF(INDEX('Per Invoice'!W$2:W$401,$AH360)="","",INDEX('Per Invoice'!W$2:W$401,$AH360)))</f>
        <v/>
      </c>
      <c r="X360" s="7">
        <f>IF($AH360="","",IF(INDEX('Per Invoice'!X$2:X$401,$AH360)="","",INDEX('Per Invoice'!X$2:X$401,$AH360)))</f>
        <v/>
      </c>
      <c r="Y360">
        <f>IF($AH360="","",IF(INDEX('Per Invoice'!Y$2:Y$401,$AH360)="","",INDEX('Per Invoice'!Y$2:Y$401,$AH360)))</f>
        <v/>
      </c>
      <c r="Z360" s="7">
        <f>IF($AH360="","",IF(INDEX('Per Invoice'!Z$2:Z$401,$AH360)="","",INDEX('Per Invoice'!Z$2:Z$401,$AH360)))</f>
        <v/>
      </c>
      <c r="AA360" s="7">
        <f>IF($AH360="","",IF(INDEX('Per Invoice'!AA$2:AA$401,$AH360)="","",INDEX('Per Invoice'!AA$2:AA$401,$AH360)))</f>
        <v/>
      </c>
      <c r="AB360" s="7">
        <f>IF($AH360="","",IF(INDEX('Per Invoice'!AB$2:AB$401,$AH360)="","",INDEX('Per Invoice'!AB$2:AB$401,$AH360)))</f>
        <v/>
      </c>
      <c r="AC360" s="7">
        <f>IF($AH360="","",IF(INDEX('Per Invoice'!AC$2:AC$401,$AH360)="","",INDEX('Per Invoice'!AC$2:AC$401,$AH360)))</f>
        <v/>
      </c>
      <c r="AD360" s="7">
        <f>IF($AH360="","",IF(INDEX('Per Invoice'!AD$2:AD$401,$AH360)="","",INDEX('Per Invoice'!AD$2:AD$401,$AH360)))</f>
        <v/>
      </c>
      <c r="AE360" s="7">
        <f>IF($AH360="","",IF(INDEX('Per Invoice'!AE$2:AE$401,$AH360)="","",INDEX('Per Invoice'!AE$2:AE$401,$AH360)))</f>
        <v/>
      </c>
      <c r="AF360">
        <f>IF($AH360="","",IF(INDEX('Per Invoice'!AF$2:AF$401,$AH360)="","",INDEX('Per Invoice'!AF$2:AF$401,$AH360)))</f>
        <v/>
      </c>
      <c r="AG360" s="7">
        <f>IF($AH360="","",IF(INDEX('Per Invoice'!AG$2:AG$401,$AH360)="","",INDEX('Per Invoice'!AG$2:AG$401,$AH360)))</f>
        <v/>
      </c>
      <c r="AH360" s="16">
        <f>IFERROR(MATCH(Settings!$C$27&amp;"|"&amp;ROWS($AH$2:$AH360),'Per Invoice'!$AI$2:$AI$401,0),"")</f>
        <v/>
      </c>
    </row>
    <row r="361">
      <c r="A361">
        <f>IF($AH361="","",IF(INDEX('Per Invoice'!A$2:A$401,$AH361)="","",INDEX('Per Invoice'!A$2:A$401,$AH361)))</f>
        <v/>
      </c>
      <c r="B361">
        <f>IF($AH361="","",IF(INDEX('Per Invoice'!B$2:B$401,$AH361)="","",INDEX('Per Invoice'!B$2:B$401,$AH361)))</f>
        <v/>
      </c>
      <c r="C361">
        <f>IF($AH361="","",IF(INDEX('Per Invoice'!C$2:C$401,$AH361)="","",INDEX('Per Invoice'!C$2:C$401,$AH361)))</f>
        <v/>
      </c>
      <c r="D361">
        <f>IF($AH361="","",IF(INDEX('Per Invoice'!D$2:D$401,$AH361)="","",INDEX('Per Invoice'!D$2:D$401,$AH361)))</f>
        <v/>
      </c>
      <c r="E361">
        <f>IF($AH361="","",IF(INDEX('Per Invoice'!E$2:E$401,$AH361)="","",INDEX('Per Invoice'!E$2:E$401,$AH361)))</f>
        <v/>
      </c>
      <c r="F361">
        <f>IF($AH361="","",IF(INDEX('Per Invoice'!F$2:F$401,$AH361)="","",INDEX('Per Invoice'!F$2:F$401,$AH361)))</f>
        <v/>
      </c>
      <c r="G361">
        <f>IF($AH361="","",IF(INDEX('Per Invoice'!G$2:G$401,$AH361)="","",INDEX('Per Invoice'!G$2:G$401,$AH361)))</f>
        <v/>
      </c>
      <c r="H361">
        <f>IF($AH361="","",IF(INDEX('Per Invoice'!H$2:H$401,$AH361)="","",INDEX('Per Invoice'!H$2:H$401,$AH361)))</f>
        <v/>
      </c>
      <c r="I361" s="14">
        <f>IF($AH361="","",IF(INDEX('Per Invoice'!I$2:I$401,$AH361)="","",INDEX('Per Invoice'!I$2:I$401,$AH361)))</f>
        <v/>
      </c>
      <c r="J361">
        <f>IF($AH361="","",IF(INDEX('Per Invoice'!J$2:J$401,$AH361)="","",INDEX('Per Invoice'!J$2:J$401,$AH361)))</f>
        <v/>
      </c>
      <c r="K361">
        <f>IF($AH361="","",IF(INDEX('Per Invoice'!K$2:K$401,$AH361)="","",INDEX('Per Invoice'!K$2:K$401,$AH361)))</f>
        <v/>
      </c>
      <c r="L361">
        <f>IF($AH361="","",IF(INDEX('Per Invoice'!L$2:L$401,$AH361)="","",INDEX('Per Invoice'!L$2:L$401,$AH361)))</f>
        <v/>
      </c>
      <c r="M361">
        <f>IF($AH361="","",IF(INDEX('Per Invoice'!M$2:M$401,$AH361)="","",INDEX('Per Invoice'!M$2:M$401,$AH361)))</f>
        <v/>
      </c>
      <c r="N361">
        <f>IF($AH361="","",IF(INDEX('Per Invoice'!N$2:N$401,$AH361)="","",INDEX('Per Invoice'!N$2:N$401,$AH361)))</f>
        <v/>
      </c>
      <c r="O361">
        <f>IF($AH361="","",IF(INDEX('Per Invoice'!O$2:O$401,$AH361)="","",INDEX('Per Invoice'!O$2:O$401,$AH361)))</f>
        <v/>
      </c>
      <c r="P361" s="7">
        <f>IF($AH361="","",IF(INDEX('Per Invoice'!P$2:P$401,$AH361)="","",INDEX('Per Invoice'!P$2:P$401,$AH361)))</f>
        <v/>
      </c>
      <c r="Q361">
        <f>IF($AH361="","",IF(INDEX('Per Invoice'!Q$2:Q$401,$AH361)="","",INDEX('Per Invoice'!Q$2:Q$401,$AH361)))</f>
        <v/>
      </c>
      <c r="R361">
        <f>IF($AH361="","",IF(INDEX('Per Invoice'!R$2:R$401,$AH361)="","",INDEX('Per Invoice'!R$2:R$401,$AH361)))</f>
        <v/>
      </c>
      <c r="S361">
        <f>IF($AH361="","",IF(INDEX('Per Invoice'!S$2:S$401,$AH361)="","",INDEX('Per Invoice'!S$2:S$401,$AH361)))</f>
        <v/>
      </c>
      <c r="T361" s="7">
        <f>IF($AH361="","",IF(INDEX('Per Invoice'!T$2:T$401,$AH361)="","",INDEX('Per Invoice'!T$2:T$401,$AH361)))</f>
        <v/>
      </c>
      <c r="U361" s="7">
        <f>IF($AH361="","",IF(INDEX('Per Invoice'!U$2:U$401,$AH361)="","",INDEX('Per Invoice'!U$2:U$401,$AH361)))</f>
        <v/>
      </c>
      <c r="V361">
        <f>IF($AH361="","",IF(INDEX('Per Invoice'!V$2:V$401,$AH361)="","",INDEX('Per Invoice'!V$2:V$401,$AH361)))</f>
        <v/>
      </c>
      <c r="W361" s="7">
        <f>IF($AH361="","",IF(INDEX('Per Invoice'!W$2:W$401,$AH361)="","",INDEX('Per Invoice'!W$2:W$401,$AH361)))</f>
        <v/>
      </c>
      <c r="X361" s="7">
        <f>IF($AH361="","",IF(INDEX('Per Invoice'!X$2:X$401,$AH361)="","",INDEX('Per Invoice'!X$2:X$401,$AH361)))</f>
        <v/>
      </c>
      <c r="Y361">
        <f>IF($AH361="","",IF(INDEX('Per Invoice'!Y$2:Y$401,$AH361)="","",INDEX('Per Invoice'!Y$2:Y$401,$AH361)))</f>
        <v/>
      </c>
      <c r="Z361" s="7">
        <f>IF($AH361="","",IF(INDEX('Per Invoice'!Z$2:Z$401,$AH361)="","",INDEX('Per Invoice'!Z$2:Z$401,$AH361)))</f>
        <v/>
      </c>
      <c r="AA361" s="7">
        <f>IF($AH361="","",IF(INDEX('Per Invoice'!AA$2:AA$401,$AH361)="","",INDEX('Per Invoice'!AA$2:AA$401,$AH361)))</f>
        <v/>
      </c>
      <c r="AB361" s="7">
        <f>IF($AH361="","",IF(INDEX('Per Invoice'!AB$2:AB$401,$AH361)="","",INDEX('Per Invoice'!AB$2:AB$401,$AH361)))</f>
        <v/>
      </c>
      <c r="AC361" s="7">
        <f>IF($AH361="","",IF(INDEX('Per Invoice'!AC$2:AC$401,$AH361)="","",INDEX('Per Invoice'!AC$2:AC$401,$AH361)))</f>
        <v/>
      </c>
      <c r="AD361" s="7">
        <f>IF($AH361="","",IF(INDEX('Per Invoice'!AD$2:AD$401,$AH361)="","",INDEX('Per Invoice'!AD$2:AD$401,$AH361)))</f>
        <v/>
      </c>
      <c r="AE361" s="7">
        <f>IF($AH361="","",IF(INDEX('Per Invoice'!AE$2:AE$401,$AH361)="","",INDEX('Per Invoice'!AE$2:AE$401,$AH361)))</f>
        <v/>
      </c>
      <c r="AF361">
        <f>IF($AH361="","",IF(INDEX('Per Invoice'!AF$2:AF$401,$AH361)="","",INDEX('Per Invoice'!AF$2:AF$401,$AH361)))</f>
        <v/>
      </c>
      <c r="AG361" s="7">
        <f>IF($AH361="","",IF(INDEX('Per Invoice'!AG$2:AG$401,$AH361)="","",INDEX('Per Invoice'!AG$2:AG$401,$AH361)))</f>
        <v/>
      </c>
      <c r="AH361" s="16">
        <f>IFERROR(MATCH(Settings!$C$27&amp;"|"&amp;ROWS($AH$2:$AH361),'Per Invoice'!$AI$2:$AI$401,0),"")</f>
        <v/>
      </c>
    </row>
    <row r="362">
      <c r="A362">
        <f>IF($AH362="","",IF(INDEX('Per Invoice'!A$2:A$401,$AH362)="","",INDEX('Per Invoice'!A$2:A$401,$AH362)))</f>
        <v/>
      </c>
      <c r="B362">
        <f>IF($AH362="","",IF(INDEX('Per Invoice'!B$2:B$401,$AH362)="","",INDEX('Per Invoice'!B$2:B$401,$AH362)))</f>
        <v/>
      </c>
      <c r="C362">
        <f>IF($AH362="","",IF(INDEX('Per Invoice'!C$2:C$401,$AH362)="","",INDEX('Per Invoice'!C$2:C$401,$AH362)))</f>
        <v/>
      </c>
      <c r="D362">
        <f>IF($AH362="","",IF(INDEX('Per Invoice'!D$2:D$401,$AH362)="","",INDEX('Per Invoice'!D$2:D$401,$AH362)))</f>
        <v/>
      </c>
      <c r="E362">
        <f>IF($AH362="","",IF(INDEX('Per Invoice'!E$2:E$401,$AH362)="","",INDEX('Per Invoice'!E$2:E$401,$AH362)))</f>
        <v/>
      </c>
      <c r="F362">
        <f>IF($AH362="","",IF(INDEX('Per Invoice'!F$2:F$401,$AH362)="","",INDEX('Per Invoice'!F$2:F$401,$AH362)))</f>
        <v/>
      </c>
      <c r="G362">
        <f>IF($AH362="","",IF(INDEX('Per Invoice'!G$2:G$401,$AH362)="","",INDEX('Per Invoice'!G$2:G$401,$AH362)))</f>
        <v/>
      </c>
      <c r="H362">
        <f>IF($AH362="","",IF(INDEX('Per Invoice'!H$2:H$401,$AH362)="","",INDEX('Per Invoice'!H$2:H$401,$AH362)))</f>
        <v/>
      </c>
      <c r="I362" s="14">
        <f>IF($AH362="","",IF(INDEX('Per Invoice'!I$2:I$401,$AH362)="","",INDEX('Per Invoice'!I$2:I$401,$AH362)))</f>
        <v/>
      </c>
      <c r="J362">
        <f>IF($AH362="","",IF(INDEX('Per Invoice'!J$2:J$401,$AH362)="","",INDEX('Per Invoice'!J$2:J$401,$AH362)))</f>
        <v/>
      </c>
      <c r="K362">
        <f>IF($AH362="","",IF(INDEX('Per Invoice'!K$2:K$401,$AH362)="","",INDEX('Per Invoice'!K$2:K$401,$AH362)))</f>
        <v/>
      </c>
      <c r="L362">
        <f>IF($AH362="","",IF(INDEX('Per Invoice'!L$2:L$401,$AH362)="","",INDEX('Per Invoice'!L$2:L$401,$AH362)))</f>
        <v/>
      </c>
      <c r="M362">
        <f>IF($AH362="","",IF(INDEX('Per Invoice'!M$2:M$401,$AH362)="","",INDEX('Per Invoice'!M$2:M$401,$AH362)))</f>
        <v/>
      </c>
      <c r="N362">
        <f>IF($AH362="","",IF(INDEX('Per Invoice'!N$2:N$401,$AH362)="","",INDEX('Per Invoice'!N$2:N$401,$AH362)))</f>
        <v/>
      </c>
      <c r="O362">
        <f>IF($AH362="","",IF(INDEX('Per Invoice'!O$2:O$401,$AH362)="","",INDEX('Per Invoice'!O$2:O$401,$AH362)))</f>
        <v/>
      </c>
      <c r="P362" s="7">
        <f>IF($AH362="","",IF(INDEX('Per Invoice'!P$2:P$401,$AH362)="","",INDEX('Per Invoice'!P$2:P$401,$AH362)))</f>
        <v/>
      </c>
      <c r="Q362">
        <f>IF($AH362="","",IF(INDEX('Per Invoice'!Q$2:Q$401,$AH362)="","",INDEX('Per Invoice'!Q$2:Q$401,$AH362)))</f>
        <v/>
      </c>
      <c r="R362">
        <f>IF($AH362="","",IF(INDEX('Per Invoice'!R$2:R$401,$AH362)="","",INDEX('Per Invoice'!R$2:R$401,$AH362)))</f>
        <v/>
      </c>
      <c r="S362">
        <f>IF($AH362="","",IF(INDEX('Per Invoice'!S$2:S$401,$AH362)="","",INDEX('Per Invoice'!S$2:S$401,$AH362)))</f>
        <v/>
      </c>
      <c r="T362" s="7">
        <f>IF($AH362="","",IF(INDEX('Per Invoice'!T$2:T$401,$AH362)="","",INDEX('Per Invoice'!T$2:T$401,$AH362)))</f>
        <v/>
      </c>
      <c r="U362" s="7">
        <f>IF($AH362="","",IF(INDEX('Per Invoice'!U$2:U$401,$AH362)="","",INDEX('Per Invoice'!U$2:U$401,$AH362)))</f>
        <v/>
      </c>
      <c r="V362">
        <f>IF($AH362="","",IF(INDEX('Per Invoice'!V$2:V$401,$AH362)="","",INDEX('Per Invoice'!V$2:V$401,$AH362)))</f>
        <v/>
      </c>
      <c r="W362" s="7">
        <f>IF($AH362="","",IF(INDEX('Per Invoice'!W$2:W$401,$AH362)="","",INDEX('Per Invoice'!W$2:W$401,$AH362)))</f>
        <v/>
      </c>
      <c r="X362" s="7">
        <f>IF($AH362="","",IF(INDEX('Per Invoice'!X$2:X$401,$AH362)="","",INDEX('Per Invoice'!X$2:X$401,$AH362)))</f>
        <v/>
      </c>
      <c r="Y362">
        <f>IF($AH362="","",IF(INDEX('Per Invoice'!Y$2:Y$401,$AH362)="","",INDEX('Per Invoice'!Y$2:Y$401,$AH362)))</f>
        <v/>
      </c>
      <c r="Z362" s="7">
        <f>IF($AH362="","",IF(INDEX('Per Invoice'!Z$2:Z$401,$AH362)="","",INDEX('Per Invoice'!Z$2:Z$401,$AH362)))</f>
        <v/>
      </c>
      <c r="AA362" s="7">
        <f>IF($AH362="","",IF(INDEX('Per Invoice'!AA$2:AA$401,$AH362)="","",INDEX('Per Invoice'!AA$2:AA$401,$AH362)))</f>
        <v/>
      </c>
      <c r="AB362" s="7">
        <f>IF($AH362="","",IF(INDEX('Per Invoice'!AB$2:AB$401,$AH362)="","",INDEX('Per Invoice'!AB$2:AB$401,$AH362)))</f>
        <v/>
      </c>
      <c r="AC362" s="7">
        <f>IF($AH362="","",IF(INDEX('Per Invoice'!AC$2:AC$401,$AH362)="","",INDEX('Per Invoice'!AC$2:AC$401,$AH362)))</f>
        <v/>
      </c>
      <c r="AD362" s="7">
        <f>IF($AH362="","",IF(INDEX('Per Invoice'!AD$2:AD$401,$AH362)="","",INDEX('Per Invoice'!AD$2:AD$401,$AH362)))</f>
        <v/>
      </c>
      <c r="AE362" s="7">
        <f>IF($AH362="","",IF(INDEX('Per Invoice'!AE$2:AE$401,$AH362)="","",INDEX('Per Invoice'!AE$2:AE$401,$AH362)))</f>
        <v/>
      </c>
      <c r="AF362">
        <f>IF($AH362="","",IF(INDEX('Per Invoice'!AF$2:AF$401,$AH362)="","",INDEX('Per Invoice'!AF$2:AF$401,$AH362)))</f>
        <v/>
      </c>
      <c r="AG362" s="7">
        <f>IF($AH362="","",IF(INDEX('Per Invoice'!AG$2:AG$401,$AH362)="","",INDEX('Per Invoice'!AG$2:AG$401,$AH362)))</f>
        <v/>
      </c>
      <c r="AH362" s="16">
        <f>IFERROR(MATCH(Settings!$C$27&amp;"|"&amp;ROWS($AH$2:$AH362),'Per Invoice'!$AI$2:$AI$401,0),"")</f>
        <v/>
      </c>
    </row>
    <row r="363">
      <c r="A363">
        <f>IF($AH363="","",IF(INDEX('Per Invoice'!A$2:A$401,$AH363)="","",INDEX('Per Invoice'!A$2:A$401,$AH363)))</f>
        <v/>
      </c>
      <c r="B363">
        <f>IF($AH363="","",IF(INDEX('Per Invoice'!B$2:B$401,$AH363)="","",INDEX('Per Invoice'!B$2:B$401,$AH363)))</f>
        <v/>
      </c>
      <c r="C363">
        <f>IF($AH363="","",IF(INDEX('Per Invoice'!C$2:C$401,$AH363)="","",INDEX('Per Invoice'!C$2:C$401,$AH363)))</f>
        <v/>
      </c>
      <c r="D363">
        <f>IF($AH363="","",IF(INDEX('Per Invoice'!D$2:D$401,$AH363)="","",INDEX('Per Invoice'!D$2:D$401,$AH363)))</f>
        <v/>
      </c>
      <c r="E363">
        <f>IF($AH363="","",IF(INDEX('Per Invoice'!E$2:E$401,$AH363)="","",INDEX('Per Invoice'!E$2:E$401,$AH363)))</f>
        <v/>
      </c>
      <c r="F363">
        <f>IF($AH363="","",IF(INDEX('Per Invoice'!F$2:F$401,$AH363)="","",INDEX('Per Invoice'!F$2:F$401,$AH363)))</f>
        <v/>
      </c>
      <c r="G363">
        <f>IF($AH363="","",IF(INDEX('Per Invoice'!G$2:G$401,$AH363)="","",INDEX('Per Invoice'!G$2:G$401,$AH363)))</f>
        <v/>
      </c>
      <c r="H363">
        <f>IF($AH363="","",IF(INDEX('Per Invoice'!H$2:H$401,$AH363)="","",INDEX('Per Invoice'!H$2:H$401,$AH363)))</f>
        <v/>
      </c>
      <c r="I363" s="14">
        <f>IF($AH363="","",IF(INDEX('Per Invoice'!I$2:I$401,$AH363)="","",INDEX('Per Invoice'!I$2:I$401,$AH363)))</f>
        <v/>
      </c>
      <c r="J363">
        <f>IF($AH363="","",IF(INDEX('Per Invoice'!J$2:J$401,$AH363)="","",INDEX('Per Invoice'!J$2:J$401,$AH363)))</f>
        <v/>
      </c>
      <c r="K363">
        <f>IF($AH363="","",IF(INDEX('Per Invoice'!K$2:K$401,$AH363)="","",INDEX('Per Invoice'!K$2:K$401,$AH363)))</f>
        <v/>
      </c>
      <c r="L363">
        <f>IF($AH363="","",IF(INDEX('Per Invoice'!L$2:L$401,$AH363)="","",INDEX('Per Invoice'!L$2:L$401,$AH363)))</f>
        <v/>
      </c>
      <c r="M363">
        <f>IF($AH363="","",IF(INDEX('Per Invoice'!M$2:M$401,$AH363)="","",INDEX('Per Invoice'!M$2:M$401,$AH363)))</f>
        <v/>
      </c>
      <c r="N363">
        <f>IF($AH363="","",IF(INDEX('Per Invoice'!N$2:N$401,$AH363)="","",INDEX('Per Invoice'!N$2:N$401,$AH363)))</f>
        <v/>
      </c>
      <c r="O363">
        <f>IF($AH363="","",IF(INDEX('Per Invoice'!O$2:O$401,$AH363)="","",INDEX('Per Invoice'!O$2:O$401,$AH363)))</f>
        <v/>
      </c>
      <c r="P363" s="7">
        <f>IF($AH363="","",IF(INDEX('Per Invoice'!P$2:P$401,$AH363)="","",INDEX('Per Invoice'!P$2:P$401,$AH363)))</f>
        <v/>
      </c>
      <c r="Q363">
        <f>IF($AH363="","",IF(INDEX('Per Invoice'!Q$2:Q$401,$AH363)="","",INDEX('Per Invoice'!Q$2:Q$401,$AH363)))</f>
        <v/>
      </c>
      <c r="R363">
        <f>IF($AH363="","",IF(INDEX('Per Invoice'!R$2:R$401,$AH363)="","",INDEX('Per Invoice'!R$2:R$401,$AH363)))</f>
        <v/>
      </c>
      <c r="S363">
        <f>IF($AH363="","",IF(INDEX('Per Invoice'!S$2:S$401,$AH363)="","",INDEX('Per Invoice'!S$2:S$401,$AH363)))</f>
        <v/>
      </c>
      <c r="T363" s="7">
        <f>IF($AH363="","",IF(INDEX('Per Invoice'!T$2:T$401,$AH363)="","",INDEX('Per Invoice'!T$2:T$401,$AH363)))</f>
        <v/>
      </c>
      <c r="U363" s="7">
        <f>IF($AH363="","",IF(INDEX('Per Invoice'!U$2:U$401,$AH363)="","",INDEX('Per Invoice'!U$2:U$401,$AH363)))</f>
        <v/>
      </c>
      <c r="V363">
        <f>IF($AH363="","",IF(INDEX('Per Invoice'!V$2:V$401,$AH363)="","",INDEX('Per Invoice'!V$2:V$401,$AH363)))</f>
        <v/>
      </c>
      <c r="W363" s="7">
        <f>IF($AH363="","",IF(INDEX('Per Invoice'!W$2:W$401,$AH363)="","",INDEX('Per Invoice'!W$2:W$401,$AH363)))</f>
        <v/>
      </c>
      <c r="X363" s="7">
        <f>IF($AH363="","",IF(INDEX('Per Invoice'!X$2:X$401,$AH363)="","",INDEX('Per Invoice'!X$2:X$401,$AH363)))</f>
        <v/>
      </c>
      <c r="Y363">
        <f>IF($AH363="","",IF(INDEX('Per Invoice'!Y$2:Y$401,$AH363)="","",INDEX('Per Invoice'!Y$2:Y$401,$AH363)))</f>
        <v/>
      </c>
      <c r="Z363" s="7">
        <f>IF($AH363="","",IF(INDEX('Per Invoice'!Z$2:Z$401,$AH363)="","",INDEX('Per Invoice'!Z$2:Z$401,$AH363)))</f>
        <v/>
      </c>
      <c r="AA363" s="7">
        <f>IF($AH363="","",IF(INDEX('Per Invoice'!AA$2:AA$401,$AH363)="","",INDEX('Per Invoice'!AA$2:AA$401,$AH363)))</f>
        <v/>
      </c>
      <c r="AB363" s="7">
        <f>IF($AH363="","",IF(INDEX('Per Invoice'!AB$2:AB$401,$AH363)="","",INDEX('Per Invoice'!AB$2:AB$401,$AH363)))</f>
        <v/>
      </c>
      <c r="AC363" s="7">
        <f>IF($AH363="","",IF(INDEX('Per Invoice'!AC$2:AC$401,$AH363)="","",INDEX('Per Invoice'!AC$2:AC$401,$AH363)))</f>
        <v/>
      </c>
      <c r="AD363" s="7">
        <f>IF($AH363="","",IF(INDEX('Per Invoice'!AD$2:AD$401,$AH363)="","",INDEX('Per Invoice'!AD$2:AD$401,$AH363)))</f>
        <v/>
      </c>
      <c r="AE363" s="7">
        <f>IF($AH363="","",IF(INDEX('Per Invoice'!AE$2:AE$401,$AH363)="","",INDEX('Per Invoice'!AE$2:AE$401,$AH363)))</f>
        <v/>
      </c>
      <c r="AF363">
        <f>IF($AH363="","",IF(INDEX('Per Invoice'!AF$2:AF$401,$AH363)="","",INDEX('Per Invoice'!AF$2:AF$401,$AH363)))</f>
        <v/>
      </c>
      <c r="AG363" s="7">
        <f>IF($AH363="","",IF(INDEX('Per Invoice'!AG$2:AG$401,$AH363)="","",INDEX('Per Invoice'!AG$2:AG$401,$AH363)))</f>
        <v/>
      </c>
      <c r="AH363" s="16">
        <f>IFERROR(MATCH(Settings!$C$27&amp;"|"&amp;ROWS($AH$2:$AH363),'Per Invoice'!$AI$2:$AI$401,0),"")</f>
        <v/>
      </c>
    </row>
    <row r="364">
      <c r="A364">
        <f>IF($AH364="","",IF(INDEX('Per Invoice'!A$2:A$401,$AH364)="","",INDEX('Per Invoice'!A$2:A$401,$AH364)))</f>
        <v/>
      </c>
      <c r="B364">
        <f>IF($AH364="","",IF(INDEX('Per Invoice'!B$2:B$401,$AH364)="","",INDEX('Per Invoice'!B$2:B$401,$AH364)))</f>
        <v/>
      </c>
      <c r="C364">
        <f>IF($AH364="","",IF(INDEX('Per Invoice'!C$2:C$401,$AH364)="","",INDEX('Per Invoice'!C$2:C$401,$AH364)))</f>
        <v/>
      </c>
      <c r="D364">
        <f>IF($AH364="","",IF(INDEX('Per Invoice'!D$2:D$401,$AH364)="","",INDEX('Per Invoice'!D$2:D$401,$AH364)))</f>
        <v/>
      </c>
      <c r="E364">
        <f>IF($AH364="","",IF(INDEX('Per Invoice'!E$2:E$401,$AH364)="","",INDEX('Per Invoice'!E$2:E$401,$AH364)))</f>
        <v/>
      </c>
      <c r="F364">
        <f>IF($AH364="","",IF(INDEX('Per Invoice'!F$2:F$401,$AH364)="","",INDEX('Per Invoice'!F$2:F$401,$AH364)))</f>
        <v/>
      </c>
      <c r="G364">
        <f>IF($AH364="","",IF(INDEX('Per Invoice'!G$2:G$401,$AH364)="","",INDEX('Per Invoice'!G$2:G$401,$AH364)))</f>
        <v/>
      </c>
      <c r="H364">
        <f>IF($AH364="","",IF(INDEX('Per Invoice'!H$2:H$401,$AH364)="","",INDEX('Per Invoice'!H$2:H$401,$AH364)))</f>
        <v/>
      </c>
      <c r="I364" s="14">
        <f>IF($AH364="","",IF(INDEX('Per Invoice'!I$2:I$401,$AH364)="","",INDEX('Per Invoice'!I$2:I$401,$AH364)))</f>
        <v/>
      </c>
      <c r="J364">
        <f>IF($AH364="","",IF(INDEX('Per Invoice'!J$2:J$401,$AH364)="","",INDEX('Per Invoice'!J$2:J$401,$AH364)))</f>
        <v/>
      </c>
      <c r="K364">
        <f>IF($AH364="","",IF(INDEX('Per Invoice'!K$2:K$401,$AH364)="","",INDEX('Per Invoice'!K$2:K$401,$AH364)))</f>
        <v/>
      </c>
      <c r="L364">
        <f>IF($AH364="","",IF(INDEX('Per Invoice'!L$2:L$401,$AH364)="","",INDEX('Per Invoice'!L$2:L$401,$AH364)))</f>
        <v/>
      </c>
      <c r="M364">
        <f>IF($AH364="","",IF(INDEX('Per Invoice'!M$2:M$401,$AH364)="","",INDEX('Per Invoice'!M$2:M$401,$AH364)))</f>
        <v/>
      </c>
      <c r="N364">
        <f>IF($AH364="","",IF(INDEX('Per Invoice'!N$2:N$401,$AH364)="","",INDEX('Per Invoice'!N$2:N$401,$AH364)))</f>
        <v/>
      </c>
      <c r="O364">
        <f>IF($AH364="","",IF(INDEX('Per Invoice'!O$2:O$401,$AH364)="","",INDEX('Per Invoice'!O$2:O$401,$AH364)))</f>
        <v/>
      </c>
      <c r="P364" s="7">
        <f>IF($AH364="","",IF(INDEX('Per Invoice'!P$2:P$401,$AH364)="","",INDEX('Per Invoice'!P$2:P$401,$AH364)))</f>
        <v/>
      </c>
      <c r="Q364">
        <f>IF($AH364="","",IF(INDEX('Per Invoice'!Q$2:Q$401,$AH364)="","",INDEX('Per Invoice'!Q$2:Q$401,$AH364)))</f>
        <v/>
      </c>
      <c r="R364">
        <f>IF($AH364="","",IF(INDEX('Per Invoice'!R$2:R$401,$AH364)="","",INDEX('Per Invoice'!R$2:R$401,$AH364)))</f>
        <v/>
      </c>
      <c r="S364">
        <f>IF($AH364="","",IF(INDEX('Per Invoice'!S$2:S$401,$AH364)="","",INDEX('Per Invoice'!S$2:S$401,$AH364)))</f>
        <v/>
      </c>
      <c r="T364" s="7">
        <f>IF($AH364="","",IF(INDEX('Per Invoice'!T$2:T$401,$AH364)="","",INDEX('Per Invoice'!T$2:T$401,$AH364)))</f>
        <v/>
      </c>
      <c r="U364" s="7">
        <f>IF($AH364="","",IF(INDEX('Per Invoice'!U$2:U$401,$AH364)="","",INDEX('Per Invoice'!U$2:U$401,$AH364)))</f>
        <v/>
      </c>
      <c r="V364">
        <f>IF($AH364="","",IF(INDEX('Per Invoice'!V$2:V$401,$AH364)="","",INDEX('Per Invoice'!V$2:V$401,$AH364)))</f>
        <v/>
      </c>
      <c r="W364" s="7">
        <f>IF($AH364="","",IF(INDEX('Per Invoice'!W$2:W$401,$AH364)="","",INDEX('Per Invoice'!W$2:W$401,$AH364)))</f>
        <v/>
      </c>
      <c r="X364" s="7">
        <f>IF($AH364="","",IF(INDEX('Per Invoice'!X$2:X$401,$AH364)="","",INDEX('Per Invoice'!X$2:X$401,$AH364)))</f>
        <v/>
      </c>
      <c r="Y364">
        <f>IF($AH364="","",IF(INDEX('Per Invoice'!Y$2:Y$401,$AH364)="","",INDEX('Per Invoice'!Y$2:Y$401,$AH364)))</f>
        <v/>
      </c>
      <c r="Z364" s="7">
        <f>IF($AH364="","",IF(INDEX('Per Invoice'!Z$2:Z$401,$AH364)="","",INDEX('Per Invoice'!Z$2:Z$401,$AH364)))</f>
        <v/>
      </c>
      <c r="AA364" s="7">
        <f>IF($AH364="","",IF(INDEX('Per Invoice'!AA$2:AA$401,$AH364)="","",INDEX('Per Invoice'!AA$2:AA$401,$AH364)))</f>
        <v/>
      </c>
      <c r="AB364" s="7">
        <f>IF($AH364="","",IF(INDEX('Per Invoice'!AB$2:AB$401,$AH364)="","",INDEX('Per Invoice'!AB$2:AB$401,$AH364)))</f>
        <v/>
      </c>
      <c r="AC364" s="7">
        <f>IF($AH364="","",IF(INDEX('Per Invoice'!AC$2:AC$401,$AH364)="","",INDEX('Per Invoice'!AC$2:AC$401,$AH364)))</f>
        <v/>
      </c>
      <c r="AD364" s="7">
        <f>IF($AH364="","",IF(INDEX('Per Invoice'!AD$2:AD$401,$AH364)="","",INDEX('Per Invoice'!AD$2:AD$401,$AH364)))</f>
        <v/>
      </c>
      <c r="AE364" s="7">
        <f>IF($AH364="","",IF(INDEX('Per Invoice'!AE$2:AE$401,$AH364)="","",INDEX('Per Invoice'!AE$2:AE$401,$AH364)))</f>
        <v/>
      </c>
      <c r="AF364">
        <f>IF($AH364="","",IF(INDEX('Per Invoice'!AF$2:AF$401,$AH364)="","",INDEX('Per Invoice'!AF$2:AF$401,$AH364)))</f>
        <v/>
      </c>
      <c r="AG364" s="7">
        <f>IF($AH364="","",IF(INDEX('Per Invoice'!AG$2:AG$401,$AH364)="","",INDEX('Per Invoice'!AG$2:AG$401,$AH364)))</f>
        <v/>
      </c>
      <c r="AH364" s="16">
        <f>IFERROR(MATCH(Settings!$C$27&amp;"|"&amp;ROWS($AH$2:$AH364),'Per Invoice'!$AI$2:$AI$401,0),"")</f>
        <v/>
      </c>
    </row>
    <row r="365">
      <c r="A365">
        <f>IF($AH365="","",IF(INDEX('Per Invoice'!A$2:A$401,$AH365)="","",INDEX('Per Invoice'!A$2:A$401,$AH365)))</f>
        <v/>
      </c>
      <c r="B365">
        <f>IF($AH365="","",IF(INDEX('Per Invoice'!B$2:B$401,$AH365)="","",INDEX('Per Invoice'!B$2:B$401,$AH365)))</f>
        <v/>
      </c>
      <c r="C365">
        <f>IF($AH365="","",IF(INDEX('Per Invoice'!C$2:C$401,$AH365)="","",INDEX('Per Invoice'!C$2:C$401,$AH365)))</f>
        <v/>
      </c>
      <c r="D365">
        <f>IF($AH365="","",IF(INDEX('Per Invoice'!D$2:D$401,$AH365)="","",INDEX('Per Invoice'!D$2:D$401,$AH365)))</f>
        <v/>
      </c>
      <c r="E365">
        <f>IF($AH365="","",IF(INDEX('Per Invoice'!E$2:E$401,$AH365)="","",INDEX('Per Invoice'!E$2:E$401,$AH365)))</f>
        <v/>
      </c>
      <c r="F365">
        <f>IF($AH365="","",IF(INDEX('Per Invoice'!F$2:F$401,$AH365)="","",INDEX('Per Invoice'!F$2:F$401,$AH365)))</f>
        <v/>
      </c>
      <c r="G365">
        <f>IF($AH365="","",IF(INDEX('Per Invoice'!G$2:G$401,$AH365)="","",INDEX('Per Invoice'!G$2:G$401,$AH365)))</f>
        <v/>
      </c>
      <c r="H365">
        <f>IF($AH365="","",IF(INDEX('Per Invoice'!H$2:H$401,$AH365)="","",INDEX('Per Invoice'!H$2:H$401,$AH365)))</f>
        <v/>
      </c>
      <c r="I365" s="14">
        <f>IF($AH365="","",IF(INDEX('Per Invoice'!I$2:I$401,$AH365)="","",INDEX('Per Invoice'!I$2:I$401,$AH365)))</f>
        <v/>
      </c>
      <c r="J365">
        <f>IF($AH365="","",IF(INDEX('Per Invoice'!J$2:J$401,$AH365)="","",INDEX('Per Invoice'!J$2:J$401,$AH365)))</f>
        <v/>
      </c>
      <c r="K365">
        <f>IF($AH365="","",IF(INDEX('Per Invoice'!K$2:K$401,$AH365)="","",INDEX('Per Invoice'!K$2:K$401,$AH365)))</f>
        <v/>
      </c>
      <c r="L365">
        <f>IF($AH365="","",IF(INDEX('Per Invoice'!L$2:L$401,$AH365)="","",INDEX('Per Invoice'!L$2:L$401,$AH365)))</f>
        <v/>
      </c>
      <c r="M365">
        <f>IF($AH365="","",IF(INDEX('Per Invoice'!M$2:M$401,$AH365)="","",INDEX('Per Invoice'!M$2:M$401,$AH365)))</f>
        <v/>
      </c>
      <c r="N365">
        <f>IF($AH365="","",IF(INDEX('Per Invoice'!N$2:N$401,$AH365)="","",INDEX('Per Invoice'!N$2:N$401,$AH365)))</f>
        <v/>
      </c>
      <c r="O365">
        <f>IF($AH365="","",IF(INDEX('Per Invoice'!O$2:O$401,$AH365)="","",INDEX('Per Invoice'!O$2:O$401,$AH365)))</f>
        <v/>
      </c>
      <c r="P365" s="7">
        <f>IF($AH365="","",IF(INDEX('Per Invoice'!P$2:P$401,$AH365)="","",INDEX('Per Invoice'!P$2:P$401,$AH365)))</f>
        <v/>
      </c>
      <c r="Q365">
        <f>IF($AH365="","",IF(INDEX('Per Invoice'!Q$2:Q$401,$AH365)="","",INDEX('Per Invoice'!Q$2:Q$401,$AH365)))</f>
        <v/>
      </c>
      <c r="R365">
        <f>IF($AH365="","",IF(INDEX('Per Invoice'!R$2:R$401,$AH365)="","",INDEX('Per Invoice'!R$2:R$401,$AH365)))</f>
        <v/>
      </c>
      <c r="S365">
        <f>IF($AH365="","",IF(INDEX('Per Invoice'!S$2:S$401,$AH365)="","",INDEX('Per Invoice'!S$2:S$401,$AH365)))</f>
        <v/>
      </c>
      <c r="T365" s="7">
        <f>IF($AH365="","",IF(INDEX('Per Invoice'!T$2:T$401,$AH365)="","",INDEX('Per Invoice'!T$2:T$401,$AH365)))</f>
        <v/>
      </c>
      <c r="U365" s="7">
        <f>IF($AH365="","",IF(INDEX('Per Invoice'!U$2:U$401,$AH365)="","",INDEX('Per Invoice'!U$2:U$401,$AH365)))</f>
        <v/>
      </c>
      <c r="V365">
        <f>IF($AH365="","",IF(INDEX('Per Invoice'!V$2:V$401,$AH365)="","",INDEX('Per Invoice'!V$2:V$401,$AH365)))</f>
        <v/>
      </c>
      <c r="W365" s="7">
        <f>IF($AH365="","",IF(INDEX('Per Invoice'!W$2:W$401,$AH365)="","",INDEX('Per Invoice'!W$2:W$401,$AH365)))</f>
        <v/>
      </c>
      <c r="X365" s="7">
        <f>IF($AH365="","",IF(INDEX('Per Invoice'!X$2:X$401,$AH365)="","",INDEX('Per Invoice'!X$2:X$401,$AH365)))</f>
        <v/>
      </c>
      <c r="Y365">
        <f>IF($AH365="","",IF(INDEX('Per Invoice'!Y$2:Y$401,$AH365)="","",INDEX('Per Invoice'!Y$2:Y$401,$AH365)))</f>
        <v/>
      </c>
      <c r="Z365" s="7">
        <f>IF($AH365="","",IF(INDEX('Per Invoice'!Z$2:Z$401,$AH365)="","",INDEX('Per Invoice'!Z$2:Z$401,$AH365)))</f>
        <v/>
      </c>
      <c r="AA365" s="7">
        <f>IF($AH365="","",IF(INDEX('Per Invoice'!AA$2:AA$401,$AH365)="","",INDEX('Per Invoice'!AA$2:AA$401,$AH365)))</f>
        <v/>
      </c>
      <c r="AB365" s="7">
        <f>IF($AH365="","",IF(INDEX('Per Invoice'!AB$2:AB$401,$AH365)="","",INDEX('Per Invoice'!AB$2:AB$401,$AH365)))</f>
        <v/>
      </c>
      <c r="AC365" s="7">
        <f>IF($AH365="","",IF(INDEX('Per Invoice'!AC$2:AC$401,$AH365)="","",INDEX('Per Invoice'!AC$2:AC$401,$AH365)))</f>
        <v/>
      </c>
      <c r="AD365" s="7">
        <f>IF($AH365="","",IF(INDEX('Per Invoice'!AD$2:AD$401,$AH365)="","",INDEX('Per Invoice'!AD$2:AD$401,$AH365)))</f>
        <v/>
      </c>
      <c r="AE365" s="7">
        <f>IF($AH365="","",IF(INDEX('Per Invoice'!AE$2:AE$401,$AH365)="","",INDEX('Per Invoice'!AE$2:AE$401,$AH365)))</f>
        <v/>
      </c>
      <c r="AF365">
        <f>IF($AH365="","",IF(INDEX('Per Invoice'!AF$2:AF$401,$AH365)="","",INDEX('Per Invoice'!AF$2:AF$401,$AH365)))</f>
        <v/>
      </c>
      <c r="AG365" s="7">
        <f>IF($AH365="","",IF(INDEX('Per Invoice'!AG$2:AG$401,$AH365)="","",INDEX('Per Invoice'!AG$2:AG$401,$AH365)))</f>
        <v/>
      </c>
      <c r="AH365" s="16">
        <f>IFERROR(MATCH(Settings!$C$27&amp;"|"&amp;ROWS($AH$2:$AH365),'Per Invoice'!$AI$2:$AI$401,0),"")</f>
        <v/>
      </c>
    </row>
    <row r="366">
      <c r="A366">
        <f>IF($AH366="","",IF(INDEX('Per Invoice'!A$2:A$401,$AH366)="","",INDEX('Per Invoice'!A$2:A$401,$AH366)))</f>
        <v/>
      </c>
      <c r="B366">
        <f>IF($AH366="","",IF(INDEX('Per Invoice'!B$2:B$401,$AH366)="","",INDEX('Per Invoice'!B$2:B$401,$AH366)))</f>
        <v/>
      </c>
      <c r="C366">
        <f>IF($AH366="","",IF(INDEX('Per Invoice'!C$2:C$401,$AH366)="","",INDEX('Per Invoice'!C$2:C$401,$AH366)))</f>
        <v/>
      </c>
      <c r="D366">
        <f>IF($AH366="","",IF(INDEX('Per Invoice'!D$2:D$401,$AH366)="","",INDEX('Per Invoice'!D$2:D$401,$AH366)))</f>
        <v/>
      </c>
      <c r="E366">
        <f>IF($AH366="","",IF(INDEX('Per Invoice'!E$2:E$401,$AH366)="","",INDEX('Per Invoice'!E$2:E$401,$AH366)))</f>
        <v/>
      </c>
      <c r="F366">
        <f>IF($AH366="","",IF(INDEX('Per Invoice'!F$2:F$401,$AH366)="","",INDEX('Per Invoice'!F$2:F$401,$AH366)))</f>
        <v/>
      </c>
      <c r="G366">
        <f>IF($AH366="","",IF(INDEX('Per Invoice'!G$2:G$401,$AH366)="","",INDEX('Per Invoice'!G$2:G$401,$AH366)))</f>
        <v/>
      </c>
      <c r="H366">
        <f>IF($AH366="","",IF(INDEX('Per Invoice'!H$2:H$401,$AH366)="","",INDEX('Per Invoice'!H$2:H$401,$AH366)))</f>
        <v/>
      </c>
      <c r="I366" s="14">
        <f>IF($AH366="","",IF(INDEX('Per Invoice'!I$2:I$401,$AH366)="","",INDEX('Per Invoice'!I$2:I$401,$AH366)))</f>
        <v/>
      </c>
      <c r="J366">
        <f>IF($AH366="","",IF(INDEX('Per Invoice'!J$2:J$401,$AH366)="","",INDEX('Per Invoice'!J$2:J$401,$AH366)))</f>
        <v/>
      </c>
      <c r="K366">
        <f>IF($AH366="","",IF(INDEX('Per Invoice'!K$2:K$401,$AH366)="","",INDEX('Per Invoice'!K$2:K$401,$AH366)))</f>
        <v/>
      </c>
      <c r="L366">
        <f>IF($AH366="","",IF(INDEX('Per Invoice'!L$2:L$401,$AH366)="","",INDEX('Per Invoice'!L$2:L$401,$AH366)))</f>
        <v/>
      </c>
      <c r="M366">
        <f>IF($AH366="","",IF(INDEX('Per Invoice'!M$2:M$401,$AH366)="","",INDEX('Per Invoice'!M$2:M$401,$AH366)))</f>
        <v/>
      </c>
      <c r="N366">
        <f>IF($AH366="","",IF(INDEX('Per Invoice'!N$2:N$401,$AH366)="","",INDEX('Per Invoice'!N$2:N$401,$AH366)))</f>
        <v/>
      </c>
      <c r="O366">
        <f>IF($AH366="","",IF(INDEX('Per Invoice'!O$2:O$401,$AH366)="","",INDEX('Per Invoice'!O$2:O$401,$AH366)))</f>
        <v/>
      </c>
      <c r="P366" s="7">
        <f>IF($AH366="","",IF(INDEX('Per Invoice'!P$2:P$401,$AH366)="","",INDEX('Per Invoice'!P$2:P$401,$AH366)))</f>
        <v/>
      </c>
      <c r="Q366">
        <f>IF($AH366="","",IF(INDEX('Per Invoice'!Q$2:Q$401,$AH366)="","",INDEX('Per Invoice'!Q$2:Q$401,$AH366)))</f>
        <v/>
      </c>
      <c r="R366">
        <f>IF($AH366="","",IF(INDEX('Per Invoice'!R$2:R$401,$AH366)="","",INDEX('Per Invoice'!R$2:R$401,$AH366)))</f>
        <v/>
      </c>
      <c r="S366">
        <f>IF($AH366="","",IF(INDEX('Per Invoice'!S$2:S$401,$AH366)="","",INDEX('Per Invoice'!S$2:S$401,$AH366)))</f>
        <v/>
      </c>
      <c r="T366" s="7">
        <f>IF($AH366="","",IF(INDEX('Per Invoice'!T$2:T$401,$AH366)="","",INDEX('Per Invoice'!T$2:T$401,$AH366)))</f>
        <v/>
      </c>
      <c r="U366" s="7">
        <f>IF($AH366="","",IF(INDEX('Per Invoice'!U$2:U$401,$AH366)="","",INDEX('Per Invoice'!U$2:U$401,$AH366)))</f>
        <v/>
      </c>
      <c r="V366">
        <f>IF($AH366="","",IF(INDEX('Per Invoice'!V$2:V$401,$AH366)="","",INDEX('Per Invoice'!V$2:V$401,$AH366)))</f>
        <v/>
      </c>
      <c r="W366" s="7">
        <f>IF($AH366="","",IF(INDEX('Per Invoice'!W$2:W$401,$AH366)="","",INDEX('Per Invoice'!W$2:W$401,$AH366)))</f>
        <v/>
      </c>
      <c r="X366" s="7">
        <f>IF($AH366="","",IF(INDEX('Per Invoice'!X$2:X$401,$AH366)="","",INDEX('Per Invoice'!X$2:X$401,$AH366)))</f>
        <v/>
      </c>
      <c r="Y366">
        <f>IF($AH366="","",IF(INDEX('Per Invoice'!Y$2:Y$401,$AH366)="","",INDEX('Per Invoice'!Y$2:Y$401,$AH366)))</f>
        <v/>
      </c>
      <c r="Z366" s="7">
        <f>IF($AH366="","",IF(INDEX('Per Invoice'!Z$2:Z$401,$AH366)="","",INDEX('Per Invoice'!Z$2:Z$401,$AH366)))</f>
        <v/>
      </c>
      <c r="AA366" s="7">
        <f>IF($AH366="","",IF(INDEX('Per Invoice'!AA$2:AA$401,$AH366)="","",INDEX('Per Invoice'!AA$2:AA$401,$AH366)))</f>
        <v/>
      </c>
      <c r="AB366" s="7">
        <f>IF($AH366="","",IF(INDEX('Per Invoice'!AB$2:AB$401,$AH366)="","",INDEX('Per Invoice'!AB$2:AB$401,$AH366)))</f>
        <v/>
      </c>
      <c r="AC366" s="7">
        <f>IF($AH366="","",IF(INDEX('Per Invoice'!AC$2:AC$401,$AH366)="","",INDEX('Per Invoice'!AC$2:AC$401,$AH366)))</f>
        <v/>
      </c>
      <c r="AD366" s="7">
        <f>IF($AH366="","",IF(INDEX('Per Invoice'!AD$2:AD$401,$AH366)="","",INDEX('Per Invoice'!AD$2:AD$401,$AH366)))</f>
        <v/>
      </c>
      <c r="AE366" s="7">
        <f>IF($AH366="","",IF(INDEX('Per Invoice'!AE$2:AE$401,$AH366)="","",INDEX('Per Invoice'!AE$2:AE$401,$AH366)))</f>
        <v/>
      </c>
      <c r="AF366">
        <f>IF($AH366="","",IF(INDEX('Per Invoice'!AF$2:AF$401,$AH366)="","",INDEX('Per Invoice'!AF$2:AF$401,$AH366)))</f>
        <v/>
      </c>
      <c r="AG366" s="7">
        <f>IF($AH366="","",IF(INDEX('Per Invoice'!AG$2:AG$401,$AH366)="","",INDEX('Per Invoice'!AG$2:AG$401,$AH366)))</f>
        <v/>
      </c>
      <c r="AH366" s="16">
        <f>IFERROR(MATCH(Settings!$C$27&amp;"|"&amp;ROWS($AH$2:$AH366),'Per Invoice'!$AI$2:$AI$401,0),"")</f>
        <v/>
      </c>
    </row>
    <row r="367">
      <c r="A367">
        <f>IF($AH367="","",IF(INDEX('Per Invoice'!A$2:A$401,$AH367)="","",INDEX('Per Invoice'!A$2:A$401,$AH367)))</f>
        <v/>
      </c>
      <c r="B367">
        <f>IF($AH367="","",IF(INDEX('Per Invoice'!B$2:B$401,$AH367)="","",INDEX('Per Invoice'!B$2:B$401,$AH367)))</f>
        <v/>
      </c>
      <c r="C367">
        <f>IF($AH367="","",IF(INDEX('Per Invoice'!C$2:C$401,$AH367)="","",INDEX('Per Invoice'!C$2:C$401,$AH367)))</f>
        <v/>
      </c>
      <c r="D367">
        <f>IF($AH367="","",IF(INDEX('Per Invoice'!D$2:D$401,$AH367)="","",INDEX('Per Invoice'!D$2:D$401,$AH367)))</f>
        <v/>
      </c>
      <c r="E367">
        <f>IF($AH367="","",IF(INDEX('Per Invoice'!E$2:E$401,$AH367)="","",INDEX('Per Invoice'!E$2:E$401,$AH367)))</f>
        <v/>
      </c>
      <c r="F367">
        <f>IF($AH367="","",IF(INDEX('Per Invoice'!F$2:F$401,$AH367)="","",INDEX('Per Invoice'!F$2:F$401,$AH367)))</f>
        <v/>
      </c>
      <c r="G367">
        <f>IF($AH367="","",IF(INDEX('Per Invoice'!G$2:G$401,$AH367)="","",INDEX('Per Invoice'!G$2:G$401,$AH367)))</f>
        <v/>
      </c>
      <c r="H367">
        <f>IF($AH367="","",IF(INDEX('Per Invoice'!H$2:H$401,$AH367)="","",INDEX('Per Invoice'!H$2:H$401,$AH367)))</f>
        <v/>
      </c>
      <c r="I367" s="14">
        <f>IF($AH367="","",IF(INDEX('Per Invoice'!I$2:I$401,$AH367)="","",INDEX('Per Invoice'!I$2:I$401,$AH367)))</f>
        <v/>
      </c>
      <c r="J367">
        <f>IF($AH367="","",IF(INDEX('Per Invoice'!J$2:J$401,$AH367)="","",INDEX('Per Invoice'!J$2:J$401,$AH367)))</f>
        <v/>
      </c>
      <c r="K367">
        <f>IF($AH367="","",IF(INDEX('Per Invoice'!K$2:K$401,$AH367)="","",INDEX('Per Invoice'!K$2:K$401,$AH367)))</f>
        <v/>
      </c>
      <c r="L367">
        <f>IF($AH367="","",IF(INDEX('Per Invoice'!L$2:L$401,$AH367)="","",INDEX('Per Invoice'!L$2:L$401,$AH367)))</f>
        <v/>
      </c>
      <c r="M367">
        <f>IF($AH367="","",IF(INDEX('Per Invoice'!M$2:M$401,$AH367)="","",INDEX('Per Invoice'!M$2:M$401,$AH367)))</f>
        <v/>
      </c>
      <c r="N367">
        <f>IF($AH367="","",IF(INDEX('Per Invoice'!N$2:N$401,$AH367)="","",INDEX('Per Invoice'!N$2:N$401,$AH367)))</f>
        <v/>
      </c>
      <c r="O367">
        <f>IF($AH367="","",IF(INDEX('Per Invoice'!O$2:O$401,$AH367)="","",INDEX('Per Invoice'!O$2:O$401,$AH367)))</f>
        <v/>
      </c>
      <c r="P367" s="7">
        <f>IF($AH367="","",IF(INDEX('Per Invoice'!P$2:P$401,$AH367)="","",INDEX('Per Invoice'!P$2:P$401,$AH367)))</f>
        <v/>
      </c>
      <c r="Q367">
        <f>IF($AH367="","",IF(INDEX('Per Invoice'!Q$2:Q$401,$AH367)="","",INDEX('Per Invoice'!Q$2:Q$401,$AH367)))</f>
        <v/>
      </c>
      <c r="R367">
        <f>IF($AH367="","",IF(INDEX('Per Invoice'!R$2:R$401,$AH367)="","",INDEX('Per Invoice'!R$2:R$401,$AH367)))</f>
        <v/>
      </c>
      <c r="S367">
        <f>IF($AH367="","",IF(INDEX('Per Invoice'!S$2:S$401,$AH367)="","",INDEX('Per Invoice'!S$2:S$401,$AH367)))</f>
        <v/>
      </c>
      <c r="T367" s="7">
        <f>IF($AH367="","",IF(INDEX('Per Invoice'!T$2:T$401,$AH367)="","",INDEX('Per Invoice'!T$2:T$401,$AH367)))</f>
        <v/>
      </c>
      <c r="U367" s="7">
        <f>IF($AH367="","",IF(INDEX('Per Invoice'!U$2:U$401,$AH367)="","",INDEX('Per Invoice'!U$2:U$401,$AH367)))</f>
        <v/>
      </c>
      <c r="V367">
        <f>IF($AH367="","",IF(INDEX('Per Invoice'!V$2:V$401,$AH367)="","",INDEX('Per Invoice'!V$2:V$401,$AH367)))</f>
        <v/>
      </c>
      <c r="W367" s="7">
        <f>IF($AH367="","",IF(INDEX('Per Invoice'!W$2:W$401,$AH367)="","",INDEX('Per Invoice'!W$2:W$401,$AH367)))</f>
        <v/>
      </c>
      <c r="X367" s="7">
        <f>IF($AH367="","",IF(INDEX('Per Invoice'!X$2:X$401,$AH367)="","",INDEX('Per Invoice'!X$2:X$401,$AH367)))</f>
        <v/>
      </c>
      <c r="Y367">
        <f>IF($AH367="","",IF(INDEX('Per Invoice'!Y$2:Y$401,$AH367)="","",INDEX('Per Invoice'!Y$2:Y$401,$AH367)))</f>
        <v/>
      </c>
      <c r="Z367" s="7">
        <f>IF($AH367="","",IF(INDEX('Per Invoice'!Z$2:Z$401,$AH367)="","",INDEX('Per Invoice'!Z$2:Z$401,$AH367)))</f>
        <v/>
      </c>
      <c r="AA367" s="7">
        <f>IF($AH367="","",IF(INDEX('Per Invoice'!AA$2:AA$401,$AH367)="","",INDEX('Per Invoice'!AA$2:AA$401,$AH367)))</f>
        <v/>
      </c>
      <c r="AB367" s="7">
        <f>IF($AH367="","",IF(INDEX('Per Invoice'!AB$2:AB$401,$AH367)="","",INDEX('Per Invoice'!AB$2:AB$401,$AH367)))</f>
        <v/>
      </c>
      <c r="AC367" s="7">
        <f>IF($AH367="","",IF(INDEX('Per Invoice'!AC$2:AC$401,$AH367)="","",INDEX('Per Invoice'!AC$2:AC$401,$AH367)))</f>
        <v/>
      </c>
      <c r="AD367" s="7">
        <f>IF($AH367="","",IF(INDEX('Per Invoice'!AD$2:AD$401,$AH367)="","",INDEX('Per Invoice'!AD$2:AD$401,$AH367)))</f>
        <v/>
      </c>
      <c r="AE367" s="7">
        <f>IF($AH367="","",IF(INDEX('Per Invoice'!AE$2:AE$401,$AH367)="","",INDEX('Per Invoice'!AE$2:AE$401,$AH367)))</f>
        <v/>
      </c>
      <c r="AF367">
        <f>IF($AH367="","",IF(INDEX('Per Invoice'!AF$2:AF$401,$AH367)="","",INDEX('Per Invoice'!AF$2:AF$401,$AH367)))</f>
        <v/>
      </c>
      <c r="AG367" s="7">
        <f>IF($AH367="","",IF(INDEX('Per Invoice'!AG$2:AG$401,$AH367)="","",INDEX('Per Invoice'!AG$2:AG$401,$AH367)))</f>
        <v/>
      </c>
      <c r="AH367" s="16">
        <f>IFERROR(MATCH(Settings!$C$27&amp;"|"&amp;ROWS($AH$2:$AH367),'Per Invoice'!$AI$2:$AI$401,0),"")</f>
        <v/>
      </c>
    </row>
    <row r="368">
      <c r="A368">
        <f>IF($AH368="","",IF(INDEX('Per Invoice'!A$2:A$401,$AH368)="","",INDEX('Per Invoice'!A$2:A$401,$AH368)))</f>
        <v/>
      </c>
      <c r="B368">
        <f>IF($AH368="","",IF(INDEX('Per Invoice'!B$2:B$401,$AH368)="","",INDEX('Per Invoice'!B$2:B$401,$AH368)))</f>
        <v/>
      </c>
      <c r="C368">
        <f>IF($AH368="","",IF(INDEX('Per Invoice'!C$2:C$401,$AH368)="","",INDEX('Per Invoice'!C$2:C$401,$AH368)))</f>
        <v/>
      </c>
      <c r="D368">
        <f>IF($AH368="","",IF(INDEX('Per Invoice'!D$2:D$401,$AH368)="","",INDEX('Per Invoice'!D$2:D$401,$AH368)))</f>
        <v/>
      </c>
      <c r="E368">
        <f>IF($AH368="","",IF(INDEX('Per Invoice'!E$2:E$401,$AH368)="","",INDEX('Per Invoice'!E$2:E$401,$AH368)))</f>
        <v/>
      </c>
      <c r="F368">
        <f>IF($AH368="","",IF(INDEX('Per Invoice'!F$2:F$401,$AH368)="","",INDEX('Per Invoice'!F$2:F$401,$AH368)))</f>
        <v/>
      </c>
      <c r="G368">
        <f>IF($AH368="","",IF(INDEX('Per Invoice'!G$2:G$401,$AH368)="","",INDEX('Per Invoice'!G$2:G$401,$AH368)))</f>
        <v/>
      </c>
      <c r="H368">
        <f>IF($AH368="","",IF(INDEX('Per Invoice'!H$2:H$401,$AH368)="","",INDEX('Per Invoice'!H$2:H$401,$AH368)))</f>
        <v/>
      </c>
      <c r="I368" s="14">
        <f>IF($AH368="","",IF(INDEX('Per Invoice'!I$2:I$401,$AH368)="","",INDEX('Per Invoice'!I$2:I$401,$AH368)))</f>
        <v/>
      </c>
      <c r="J368">
        <f>IF($AH368="","",IF(INDEX('Per Invoice'!J$2:J$401,$AH368)="","",INDEX('Per Invoice'!J$2:J$401,$AH368)))</f>
        <v/>
      </c>
      <c r="K368">
        <f>IF($AH368="","",IF(INDEX('Per Invoice'!K$2:K$401,$AH368)="","",INDEX('Per Invoice'!K$2:K$401,$AH368)))</f>
        <v/>
      </c>
      <c r="L368">
        <f>IF($AH368="","",IF(INDEX('Per Invoice'!L$2:L$401,$AH368)="","",INDEX('Per Invoice'!L$2:L$401,$AH368)))</f>
        <v/>
      </c>
      <c r="M368">
        <f>IF($AH368="","",IF(INDEX('Per Invoice'!M$2:M$401,$AH368)="","",INDEX('Per Invoice'!M$2:M$401,$AH368)))</f>
        <v/>
      </c>
      <c r="N368">
        <f>IF($AH368="","",IF(INDEX('Per Invoice'!N$2:N$401,$AH368)="","",INDEX('Per Invoice'!N$2:N$401,$AH368)))</f>
        <v/>
      </c>
      <c r="O368">
        <f>IF($AH368="","",IF(INDEX('Per Invoice'!O$2:O$401,$AH368)="","",INDEX('Per Invoice'!O$2:O$401,$AH368)))</f>
        <v/>
      </c>
      <c r="P368" s="7">
        <f>IF($AH368="","",IF(INDEX('Per Invoice'!P$2:P$401,$AH368)="","",INDEX('Per Invoice'!P$2:P$401,$AH368)))</f>
        <v/>
      </c>
      <c r="Q368">
        <f>IF($AH368="","",IF(INDEX('Per Invoice'!Q$2:Q$401,$AH368)="","",INDEX('Per Invoice'!Q$2:Q$401,$AH368)))</f>
        <v/>
      </c>
      <c r="R368">
        <f>IF($AH368="","",IF(INDEX('Per Invoice'!R$2:R$401,$AH368)="","",INDEX('Per Invoice'!R$2:R$401,$AH368)))</f>
        <v/>
      </c>
      <c r="S368">
        <f>IF($AH368="","",IF(INDEX('Per Invoice'!S$2:S$401,$AH368)="","",INDEX('Per Invoice'!S$2:S$401,$AH368)))</f>
        <v/>
      </c>
      <c r="T368" s="7">
        <f>IF($AH368="","",IF(INDEX('Per Invoice'!T$2:T$401,$AH368)="","",INDEX('Per Invoice'!T$2:T$401,$AH368)))</f>
        <v/>
      </c>
      <c r="U368" s="7">
        <f>IF($AH368="","",IF(INDEX('Per Invoice'!U$2:U$401,$AH368)="","",INDEX('Per Invoice'!U$2:U$401,$AH368)))</f>
        <v/>
      </c>
      <c r="V368">
        <f>IF($AH368="","",IF(INDEX('Per Invoice'!V$2:V$401,$AH368)="","",INDEX('Per Invoice'!V$2:V$401,$AH368)))</f>
        <v/>
      </c>
      <c r="W368" s="7">
        <f>IF($AH368="","",IF(INDEX('Per Invoice'!W$2:W$401,$AH368)="","",INDEX('Per Invoice'!W$2:W$401,$AH368)))</f>
        <v/>
      </c>
      <c r="X368" s="7">
        <f>IF($AH368="","",IF(INDEX('Per Invoice'!X$2:X$401,$AH368)="","",INDEX('Per Invoice'!X$2:X$401,$AH368)))</f>
        <v/>
      </c>
      <c r="Y368">
        <f>IF($AH368="","",IF(INDEX('Per Invoice'!Y$2:Y$401,$AH368)="","",INDEX('Per Invoice'!Y$2:Y$401,$AH368)))</f>
        <v/>
      </c>
      <c r="Z368" s="7">
        <f>IF($AH368="","",IF(INDEX('Per Invoice'!Z$2:Z$401,$AH368)="","",INDEX('Per Invoice'!Z$2:Z$401,$AH368)))</f>
        <v/>
      </c>
      <c r="AA368" s="7">
        <f>IF($AH368="","",IF(INDEX('Per Invoice'!AA$2:AA$401,$AH368)="","",INDEX('Per Invoice'!AA$2:AA$401,$AH368)))</f>
        <v/>
      </c>
      <c r="AB368" s="7">
        <f>IF($AH368="","",IF(INDEX('Per Invoice'!AB$2:AB$401,$AH368)="","",INDEX('Per Invoice'!AB$2:AB$401,$AH368)))</f>
        <v/>
      </c>
      <c r="AC368" s="7">
        <f>IF($AH368="","",IF(INDEX('Per Invoice'!AC$2:AC$401,$AH368)="","",INDEX('Per Invoice'!AC$2:AC$401,$AH368)))</f>
        <v/>
      </c>
      <c r="AD368" s="7">
        <f>IF($AH368="","",IF(INDEX('Per Invoice'!AD$2:AD$401,$AH368)="","",INDEX('Per Invoice'!AD$2:AD$401,$AH368)))</f>
        <v/>
      </c>
      <c r="AE368" s="7">
        <f>IF($AH368="","",IF(INDEX('Per Invoice'!AE$2:AE$401,$AH368)="","",INDEX('Per Invoice'!AE$2:AE$401,$AH368)))</f>
        <v/>
      </c>
      <c r="AF368">
        <f>IF($AH368="","",IF(INDEX('Per Invoice'!AF$2:AF$401,$AH368)="","",INDEX('Per Invoice'!AF$2:AF$401,$AH368)))</f>
        <v/>
      </c>
      <c r="AG368" s="7">
        <f>IF($AH368="","",IF(INDEX('Per Invoice'!AG$2:AG$401,$AH368)="","",INDEX('Per Invoice'!AG$2:AG$401,$AH368)))</f>
        <v/>
      </c>
      <c r="AH368" s="16">
        <f>IFERROR(MATCH(Settings!$C$27&amp;"|"&amp;ROWS($AH$2:$AH368),'Per Invoice'!$AI$2:$AI$401,0),"")</f>
        <v/>
      </c>
    </row>
    <row r="369">
      <c r="A369">
        <f>IF($AH369="","",IF(INDEX('Per Invoice'!A$2:A$401,$AH369)="","",INDEX('Per Invoice'!A$2:A$401,$AH369)))</f>
        <v/>
      </c>
      <c r="B369">
        <f>IF($AH369="","",IF(INDEX('Per Invoice'!B$2:B$401,$AH369)="","",INDEX('Per Invoice'!B$2:B$401,$AH369)))</f>
        <v/>
      </c>
      <c r="C369">
        <f>IF($AH369="","",IF(INDEX('Per Invoice'!C$2:C$401,$AH369)="","",INDEX('Per Invoice'!C$2:C$401,$AH369)))</f>
        <v/>
      </c>
      <c r="D369">
        <f>IF($AH369="","",IF(INDEX('Per Invoice'!D$2:D$401,$AH369)="","",INDEX('Per Invoice'!D$2:D$401,$AH369)))</f>
        <v/>
      </c>
      <c r="E369">
        <f>IF($AH369="","",IF(INDEX('Per Invoice'!E$2:E$401,$AH369)="","",INDEX('Per Invoice'!E$2:E$401,$AH369)))</f>
        <v/>
      </c>
      <c r="F369">
        <f>IF($AH369="","",IF(INDEX('Per Invoice'!F$2:F$401,$AH369)="","",INDEX('Per Invoice'!F$2:F$401,$AH369)))</f>
        <v/>
      </c>
      <c r="G369">
        <f>IF($AH369="","",IF(INDEX('Per Invoice'!G$2:G$401,$AH369)="","",INDEX('Per Invoice'!G$2:G$401,$AH369)))</f>
        <v/>
      </c>
      <c r="H369">
        <f>IF($AH369="","",IF(INDEX('Per Invoice'!H$2:H$401,$AH369)="","",INDEX('Per Invoice'!H$2:H$401,$AH369)))</f>
        <v/>
      </c>
      <c r="I369" s="14">
        <f>IF($AH369="","",IF(INDEX('Per Invoice'!I$2:I$401,$AH369)="","",INDEX('Per Invoice'!I$2:I$401,$AH369)))</f>
        <v/>
      </c>
      <c r="J369">
        <f>IF($AH369="","",IF(INDEX('Per Invoice'!J$2:J$401,$AH369)="","",INDEX('Per Invoice'!J$2:J$401,$AH369)))</f>
        <v/>
      </c>
      <c r="K369">
        <f>IF($AH369="","",IF(INDEX('Per Invoice'!K$2:K$401,$AH369)="","",INDEX('Per Invoice'!K$2:K$401,$AH369)))</f>
        <v/>
      </c>
      <c r="L369">
        <f>IF($AH369="","",IF(INDEX('Per Invoice'!L$2:L$401,$AH369)="","",INDEX('Per Invoice'!L$2:L$401,$AH369)))</f>
        <v/>
      </c>
      <c r="M369">
        <f>IF($AH369="","",IF(INDEX('Per Invoice'!M$2:M$401,$AH369)="","",INDEX('Per Invoice'!M$2:M$401,$AH369)))</f>
        <v/>
      </c>
      <c r="N369">
        <f>IF($AH369="","",IF(INDEX('Per Invoice'!N$2:N$401,$AH369)="","",INDEX('Per Invoice'!N$2:N$401,$AH369)))</f>
        <v/>
      </c>
      <c r="O369">
        <f>IF($AH369="","",IF(INDEX('Per Invoice'!O$2:O$401,$AH369)="","",INDEX('Per Invoice'!O$2:O$401,$AH369)))</f>
        <v/>
      </c>
      <c r="P369" s="7">
        <f>IF($AH369="","",IF(INDEX('Per Invoice'!P$2:P$401,$AH369)="","",INDEX('Per Invoice'!P$2:P$401,$AH369)))</f>
        <v/>
      </c>
      <c r="Q369">
        <f>IF($AH369="","",IF(INDEX('Per Invoice'!Q$2:Q$401,$AH369)="","",INDEX('Per Invoice'!Q$2:Q$401,$AH369)))</f>
        <v/>
      </c>
      <c r="R369">
        <f>IF($AH369="","",IF(INDEX('Per Invoice'!R$2:R$401,$AH369)="","",INDEX('Per Invoice'!R$2:R$401,$AH369)))</f>
        <v/>
      </c>
      <c r="S369">
        <f>IF($AH369="","",IF(INDEX('Per Invoice'!S$2:S$401,$AH369)="","",INDEX('Per Invoice'!S$2:S$401,$AH369)))</f>
        <v/>
      </c>
      <c r="T369" s="7">
        <f>IF($AH369="","",IF(INDEX('Per Invoice'!T$2:T$401,$AH369)="","",INDEX('Per Invoice'!T$2:T$401,$AH369)))</f>
        <v/>
      </c>
      <c r="U369" s="7">
        <f>IF($AH369="","",IF(INDEX('Per Invoice'!U$2:U$401,$AH369)="","",INDEX('Per Invoice'!U$2:U$401,$AH369)))</f>
        <v/>
      </c>
      <c r="V369">
        <f>IF($AH369="","",IF(INDEX('Per Invoice'!V$2:V$401,$AH369)="","",INDEX('Per Invoice'!V$2:V$401,$AH369)))</f>
        <v/>
      </c>
      <c r="W369" s="7">
        <f>IF($AH369="","",IF(INDEX('Per Invoice'!W$2:W$401,$AH369)="","",INDEX('Per Invoice'!W$2:W$401,$AH369)))</f>
        <v/>
      </c>
      <c r="X369" s="7">
        <f>IF($AH369="","",IF(INDEX('Per Invoice'!X$2:X$401,$AH369)="","",INDEX('Per Invoice'!X$2:X$401,$AH369)))</f>
        <v/>
      </c>
      <c r="Y369">
        <f>IF($AH369="","",IF(INDEX('Per Invoice'!Y$2:Y$401,$AH369)="","",INDEX('Per Invoice'!Y$2:Y$401,$AH369)))</f>
        <v/>
      </c>
      <c r="Z369" s="7">
        <f>IF($AH369="","",IF(INDEX('Per Invoice'!Z$2:Z$401,$AH369)="","",INDEX('Per Invoice'!Z$2:Z$401,$AH369)))</f>
        <v/>
      </c>
      <c r="AA369" s="7">
        <f>IF($AH369="","",IF(INDEX('Per Invoice'!AA$2:AA$401,$AH369)="","",INDEX('Per Invoice'!AA$2:AA$401,$AH369)))</f>
        <v/>
      </c>
      <c r="AB369" s="7">
        <f>IF($AH369="","",IF(INDEX('Per Invoice'!AB$2:AB$401,$AH369)="","",INDEX('Per Invoice'!AB$2:AB$401,$AH369)))</f>
        <v/>
      </c>
      <c r="AC369" s="7">
        <f>IF($AH369="","",IF(INDEX('Per Invoice'!AC$2:AC$401,$AH369)="","",INDEX('Per Invoice'!AC$2:AC$401,$AH369)))</f>
        <v/>
      </c>
      <c r="AD369" s="7">
        <f>IF($AH369="","",IF(INDEX('Per Invoice'!AD$2:AD$401,$AH369)="","",INDEX('Per Invoice'!AD$2:AD$401,$AH369)))</f>
        <v/>
      </c>
      <c r="AE369" s="7">
        <f>IF($AH369="","",IF(INDEX('Per Invoice'!AE$2:AE$401,$AH369)="","",INDEX('Per Invoice'!AE$2:AE$401,$AH369)))</f>
        <v/>
      </c>
      <c r="AF369">
        <f>IF($AH369="","",IF(INDEX('Per Invoice'!AF$2:AF$401,$AH369)="","",INDEX('Per Invoice'!AF$2:AF$401,$AH369)))</f>
        <v/>
      </c>
      <c r="AG369" s="7">
        <f>IF($AH369="","",IF(INDEX('Per Invoice'!AG$2:AG$401,$AH369)="","",INDEX('Per Invoice'!AG$2:AG$401,$AH369)))</f>
        <v/>
      </c>
      <c r="AH369" s="16">
        <f>IFERROR(MATCH(Settings!$C$27&amp;"|"&amp;ROWS($AH$2:$AH369),'Per Invoice'!$AI$2:$AI$401,0),"")</f>
        <v/>
      </c>
    </row>
    <row r="370">
      <c r="A370">
        <f>IF($AH370="","",IF(INDEX('Per Invoice'!A$2:A$401,$AH370)="","",INDEX('Per Invoice'!A$2:A$401,$AH370)))</f>
        <v/>
      </c>
      <c r="B370">
        <f>IF($AH370="","",IF(INDEX('Per Invoice'!B$2:B$401,$AH370)="","",INDEX('Per Invoice'!B$2:B$401,$AH370)))</f>
        <v/>
      </c>
      <c r="C370">
        <f>IF($AH370="","",IF(INDEX('Per Invoice'!C$2:C$401,$AH370)="","",INDEX('Per Invoice'!C$2:C$401,$AH370)))</f>
        <v/>
      </c>
      <c r="D370">
        <f>IF($AH370="","",IF(INDEX('Per Invoice'!D$2:D$401,$AH370)="","",INDEX('Per Invoice'!D$2:D$401,$AH370)))</f>
        <v/>
      </c>
      <c r="E370">
        <f>IF($AH370="","",IF(INDEX('Per Invoice'!E$2:E$401,$AH370)="","",INDEX('Per Invoice'!E$2:E$401,$AH370)))</f>
        <v/>
      </c>
      <c r="F370">
        <f>IF($AH370="","",IF(INDEX('Per Invoice'!F$2:F$401,$AH370)="","",INDEX('Per Invoice'!F$2:F$401,$AH370)))</f>
        <v/>
      </c>
      <c r="G370">
        <f>IF($AH370="","",IF(INDEX('Per Invoice'!G$2:G$401,$AH370)="","",INDEX('Per Invoice'!G$2:G$401,$AH370)))</f>
        <v/>
      </c>
      <c r="H370">
        <f>IF($AH370="","",IF(INDEX('Per Invoice'!H$2:H$401,$AH370)="","",INDEX('Per Invoice'!H$2:H$401,$AH370)))</f>
        <v/>
      </c>
      <c r="I370" s="14">
        <f>IF($AH370="","",IF(INDEX('Per Invoice'!I$2:I$401,$AH370)="","",INDEX('Per Invoice'!I$2:I$401,$AH370)))</f>
        <v/>
      </c>
      <c r="J370">
        <f>IF($AH370="","",IF(INDEX('Per Invoice'!J$2:J$401,$AH370)="","",INDEX('Per Invoice'!J$2:J$401,$AH370)))</f>
        <v/>
      </c>
      <c r="K370">
        <f>IF($AH370="","",IF(INDEX('Per Invoice'!K$2:K$401,$AH370)="","",INDEX('Per Invoice'!K$2:K$401,$AH370)))</f>
        <v/>
      </c>
      <c r="L370">
        <f>IF($AH370="","",IF(INDEX('Per Invoice'!L$2:L$401,$AH370)="","",INDEX('Per Invoice'!L$2:L$401,$AH370)))</f>
        <v/>
      </c>
      <c r="M370">
        <f>IF($AH370="","",IF(INDEX('Per Invoice'!M$2:M$401,$AH370)="","",INDEX('Per Invoice'!M$2:M$401,$AH370)))</f>
        <v/>
      </c>
      <c r="N370">
        <f>IF($AH370="","",IF(INDEX('Per Invoice'!N$2:N$401,$AH370)="","",INDEX('Per Invoice'!N$2:N$401,$AH370)))</f>
        <v/>
      </c>
      <c r="O370">
        <f>IF($AH370="","",IF(INDEX('Per Invoice'!O$2:O$401,$AH370)="","",INDEX('Per Invoice'!O$2:O$401,$AH370)))</f>
        <v/>
      </c>
      <c r="P370" s="7">
        <f>IF($AH370="","",IF(INDEX('Per Invoice'!P$2:P$401,$AH370)="","",INDEX('Per Invoice'!P$2:P$401,$AH370)))</f>
        <v/>
      </c>
      <c r="Q370">
        <f>IF($AH370="","",IF(INDEX('Per Invoice'!Q$2:Q$401,$AH370)="","",INDEX('Per Invoice'!Q$2:Q$401,$AH370)))</f>
        <v/>
      </c>
      <c r="R370">
        <f>IF($AH370="","",IF(INDEX('Per Invoice'!R$2:R$401,$AH370)="","",INDEX('Per Invoice'!R$2:R$401,$AH370)))</f>
        <v/>
      </c>
      <c r="S370">
        <f>IF($AH370="","",IF(INDEX('Per Invoice'!S$2:S$401,$AH370)="","",INDEX('Per Invoice'!S$2:S$401,$AH370)))</f>
        <v/>
      </c>
      <c r="T370" s="7">
        <f>IF($AH370="","",IF(INDEX('Per Invoice'!T$2:T$401,$AH370)="","",INDEX('Per Invoice'!T$2:T$401,$AH370)))</f>
        <v/>
      </c>
      <c r="U370" s="7">
        <f>IF($AH370="","",IF(INDEX('Per Invoice'!U$2:U$401,$AH370)="","",INDEX('Per Invoice'!U$2:U$401,$AH370)))</f>
        <v/>
      </c>
      <c r="V370">
        <f>IF($AH370="","",IF(INDEX('Per Invoice'!V$2:V$401,$AH370)="","",INDEX('Per Invoice'!V$2:V$401,$AH370)))</f>
        <v/>
      </c>
      <c r="W370" s="7">
        <f>IF($AH370="","",IF(INDEX('Per Invoice'!W$2:W$401,$AH370)="","",INDEX('Per Invoice'!W$2:W$401,$AH370)))</f>
        <v/>
      </c>
      <c r="X370" s="7">
        <f>IF($AH370="","",IF(INDEX('Per Invoice'!X$2:X$401,$AH370)="","",INDEX('Per Invoice'!X$2:X$401,$AH370)))</f>
        <v/>
      </c>
      <c r="Y370">
        <f>IF($AH370="","",IF(INDEX('Per Invoice'!Y$2:Y$401,$AH370)="","",INDEX('Per Invoice'!Y$2:Y$401,$AH370)))</f>
        <v/>
      </c>
      <c r="Z370" s="7">
        <f>IF($AH370="","",IF(INDEX('Per Invoice'!Z$2:Z$401,$AH370)="","",INDEX('Per Invoice'!Z$2:Z$401,$AH370)))</f>
        <v/>
      </c>
      <c r="AA370" s="7">
        <f>IF($AH370="","",IF(INDEX('Per Invoice'!AA$2:AA$401,$AH370)="","",INDEX('Per Invoice'!AA$2:AA$401,$AH370)))</f>
        <v/>
      </c>
      <c r="AB370" s="7">
        <f>IF($AH370="","",IF(INDEX('Per Invoice'!AB$2:AB$401,$AH370)="","",INDEX('Per Invoice'!AB$2:AB$401,$AH370)))</f>
        <v/>
      </c>
      <c r="AC370" s="7">
        <f>IF($AH370="","",IF(INDEX('Per Invoice'!AC$2:AC$401,$AH370)="","",INDEX('Per Invoice'!AC$2:AC$401,$AH370)))</f>
        <v/>
      </c>
      <c r="AD370" s="7">
        <f>IF($AH370="","",IF(INDEX('Per Invoice'!AD$2:AD$401,$AH370)="","",INDEX('Per Invoice'!AD$2:AD$401,$AH370)))</f>
        <v/>
      </c>
      <c r="AE370" s="7">
        <f>IF($AH370="","",IF(INDEX('Per Invoice'!AE$2:AE$401,$AH370)="","",INDEX('Per Invoice'!AE$2:AE$401,$AH370)))</f>
        <v/>
      </c>
      <c r="AF370">
        <f>IF($AH370="","",IF(INDEX('Per Invoice'!AF$2:AF$401,$AH370)="","",INDEX('Per Invoice'!AF$2:AF$401,$AH370)))</f>
        <v/>
      </c>
      <c r="AG370" s="7">
        <f>IF($AH370="","",IF(INDEX('Per Invoice'!AG$2:AG$401,$AH370)="","",INDEX('Per Invoice'!AG$2:AG$401,$AH370)))</f>
        <v/>
      </c>
      <c r="AH370" s="16">
        <f>IFERROR(MATCH(Settings!$C$27&amp;"|"&amp;ROWS($AH$2:$AH370),'Per Invoice'!$AI$2:$AI$401,0),"")</f>
        <v/>
      </c>
    </row>
    <row r="371">
      <c r="A371">
        <f>IF($AH371="","",IF(INDEX('Per Invoice'!A$2:A$401,$AH371)="","",INDEX('Per Invoice'!A$2:A$401,$AH371)))</f>
        <v/>
      </c>
      <c r="B371">
        <f>IF($AH371="","",IF(INDEX('Per Invoice'!B$2:B$401,$AH371)="","",INDEX('Per Invoice'!B$2:B$401,$AH371)))</f>
        <v/>
      </c>
      <c r="C371">
        <f>IF($AH371="","",IF(INDEX('Per Invoice'!C$2:C$401,$AH371)="","",INDEX('Per Invoice'!C$2:C$401,$AH371)))</f>
        <v/>
      </c>
      <c r="D371">
        <f>IF($AH371="","",IF(INDEX('Per Invoice'!D$2:D$401,$AH371)="","",INDEX('Per Invoice'!D$2:D$401,$AH371)))</f>
        <v/>
      </c>
      <c r="E371">
        <f>IF($AH371="","",IF(INDEX('Per Invoice'!E$2:E$401,$AH371)="","",INDEX('Per Invoice'!E$2:E$401,$AH371)))</f>
        <v/>
      </c>
      <c r="F371">
        <f>IF($AH371="","",IF(INDEX('Per Invoice'!F$2:F$401,$AH371)="","",INDEX('Per Invoice'!F$2:F$401,$AH371)))</f>
        <v/>
      </c>
      <c r="G371">
        <f>IF($AH371="","",IF(INDEX('Per Invoice'!G$2:G$401,$AH371)="","",INDEX('Per Invoice'!G$2:G$401,$AH371)))</f>
        <v/>
      </c>
      <c r="H371">
        <f>IF($AH371="","",IF(INDEX('Per Invoice'!H$2:H$401,$AH371)="","",INDEX('Per Invoice'!H$2:H$401,$AH371)))</f>
        <v/>
      </c>
      <c r="I371" s="14">
        <f>IF($AH371="","",IF(INDEX('Per Invoice'!I$2:I$401,$AH371)="","",INDEX('Per Invoice'!I$2:I$401,$AH371)))</f>
        <v/>
      </c>
      <c r="J371">
        <f>IF($AH371="","",IF(INDEX('Per Invoice'!J$2:J$401,$AH371)="","",INDEX('Per Invoice'!J$2:J$401,$AH371)))</f>
        <v/>
      </c>
      <c r="K371">
        <f>IF($AH371="","",IF(INDEX('Per Invoice'!K$2:K$401,$AH371)="","",INDEX('Per Invoice'!K$2:K$401,$AH371)))</f>
        <v/>
      </c>
      <c r="L371">
        <f>IF($AH371="","",IF(INDEX('Per Invoice'!L$2:L$401,$AH371)="","",INDEX('Per Invoice'!L$2:L$401,$AH371)))</f>
        <v/>
      </c>
      <c r="M371">
        <f>IF($AH371="","",IF(INDEX('Per Invoice'!M$2:M$401,$AH371)="","",INDEX('Per Invoice'!M$2:M$401,$AH371)))</f>
        <v/>
      </c>
      <c r="N371">
        <f>IF($AH371="","",IF(INDEX('Per Invoice'!N$2:N$401,$AH371)="","",INDEX('Per Invoice'!N$2:N$401,$AH371)))</f>
        <v/>
      </c>
      <c r="O371">
        <f>IF($AH371="","",IF(INDEX('Per Invoice'!O$2:O$401,$AH371)="","",INDEX('Per Invoice'!O$2:O$401,$AH371)))</f>
        <v/>
      </c>
      <c r="P371" s="7">
        <f>IF($AH371="","",IF(INDEX('Per Invoice'!P$2:P$401,$AH371)="","",INDEX('Per Invoice'!P$2:P$401,$AH371)))</f>
        <v/>
      </c>
      <c r="Q371">
        <f>IF($AH371="","",IF(INDEX('Per Invoice'!Q$2:Q$401,$AH371)="","",INDEX('Per Invoice'!Q$2:Q$401,$AH371)))</f>
        <v/>
      </c>
      <c r="R371">
        <f>IF($AH371="","",IF(INDEX('Per Invoice'!R$2:R$401,$AH371)="","",INDEX('Per Invoice'!R$2:R$401,$AH371)))</f>
        <v/>
      </c>
      <c r="S371">
        <f>IF($AH371="","",IF(INDEX('Per Invoice'!S$2:S$401,$AH371)="","",INDEX('Per Invoice'!S$2:S$401,$AH371)))</f>
        <v/>
      </c>
      <c r="T371" s="7">
        <f>IF($AH371="","",IF(INDEX('Per Invoice'!T$2:T$401,$AH371)="","",INDEX('Per Invoice'!T$2:T$401,$AH371)))</f>
        <v/>
      </c>
      <c r="U371" s="7">
        <f>IF($AH371="","",IF(INDEX('Per Invoice'!U$2:U$401,$AH371)="","",INDEX('Per Invoice'!U$2:U$401,$AH371)))</f>
        <v/>
      </c>
      <c r="V371">
        <f>IF($AH371="","",IF(INDEX('Per Invoice'!V$2:V$401,$AH371)="","",INDEX('Per Invoice'!V$2:V$401,$AH371)))</f>
        <v/>
      </c>
      <c r="W371" s="7">
        <f>IF($AH371="","",IF(INDEX('Per Invoice'!W$2:W$401,$AH371)="","",INDEX('Per Invoice'!W$2:W$401,$AH371)))</f>
        <v/>
      </c>
      <c r="X371" s="7">
        <f>IF($AH371="","",IF(INDEX('Per Invoice'!X$2:X$401,$AH371)="","",INDEX('Per Invoice'!X$2:X$401,$AH371)))</f>
        <v/>
      </c>
      <c r="Y371">
        <f>IF($AH371="","",IF(INDEX('Per Invoice'!Y$2:Y$401,$AH371)="","",INDEX('Per Invoice'!Y$2:Y$401,$AH371)))</f>
        <v/>
      </c>
      <c r="Z371" s="7">
        <f>IF($AH371="","",IF(INDEX('Per Invoice'!Z$2:Z$401,$AH371)="","",INDEX('Per Invoice'!Z$2:Z$401,$AH371)))</f>
        <v/>
      </c>
      <c r="AA371" s="7">
        <f>IF($AH371="","",IF(INDEX('Per Invoice'!AA$2:AA$401,$AH371)="","",INDEX('Per Invoice'!AA$2:AA$401,$AH371)))</f>
        <v/>
      </c>
      <c r="AB371" s="7">
        <f>IF($AH371="","",IF(INDEX('Per Invoice'!AB$2:AB$401,$AH371)="","",INDEX('Per Invoice'!AB$2:AB$401,$AH371)))</f>
        <v/>
      </c>
      <c r="AC371" s="7">
        <f>IF($AH371="","",IF(INDEX('Per Invoice'!AC$2:AC$401,$AH371)="","",INDEX('Per Invoice'!AC$2:AC$401,$AH371)))</f>
        <v/>
      </c>
      <c r="AD371" s="7">
        <f>IF($AH371="","",IF(INDEX('Per Invoice'!AD$2:AD$401,$AH371)="","",INDEX('Per Invoice'!AD$2:AD$401,$AH371)))</f>
        <v/>
      </c>
      <c r="AE371" s="7">
        <f>IF($AH371="","",IF(INDEX('Per Invoice'!AE$2:AE$401,$AH371)="","",INDEX('Per Invoice'!AE$2:AE$401,$AH371)))</f>
        <v/>
      </c>
      <c r="AF371">
        <f>IF($AH371="","",IF(INDEX('Per Invoice'!AF$2:AF$401,$AH371)="","",INDEX('Per Invoice'!AF$2:AF$401,$AH371)))</f>
        <v/>
      </c>
      <c r="AG371" s="7">
        <f>IF($AH371="","",IF(INDEX('Per Invoice'!AG$2:AG$401,$AH371)="","",INDEX('Per Invoice'!AG$2:AG$401,$AH371)))</f>
        <v/>
      </c>
      <c r="AH371" s="16">
        <f>IFERROR(MATCH(Settings!$C$27&amp;"|"&amp;ROWS($AH$2:$AH371),'Per Invoice'!$AI$2:$AI$401,0),"")</f>
        <v/>
      </c>
    </row>
    <row r="372">
      <c r="A372">
        <f>IF($AH372="","",IF(INDEX('Per Invoice'!A$2:A$401,$AH372)="","",INDEX('Per Invoice'!A$2:A$401,$AH372)))</f>
        <v/>
      </c>
      <c r="B372">
        <f>IF($AH372="","",IF(INDEX('Per Invoice'!B$2:B$401,$AH372)="","",INDEX('Per Invoice'!B$2:B$401,$AH372)))</f>
        <v/>
      </c>
      <c r="C372">
        <f>IF($AH372="","",IF(INDEX('Per Invoice'!C$2:C$401,$AH372)="","",INDEX('Per Invoice'!C$2:C$401,$AH372)))</f>
        <v/>
      </c>
      <c r="D372">
        <f>IF($AH372="","",IF(INDEX('Per Invoice'!D$2:D$401,$AH372)="","",INDEX('Per Invoice'!D$2:D$401,$AH372)))</f>
        <v/>
      </c>
      <c r="E372">
        <f>IF($AH372="","",IF(INDEX('Per Invoice'!E$2:E$401,$AH372)="","",INDEX('Per Invoice'!E$2:E$401,$AH372)))</f>
        <v/>
      </c>
      <c r="F372">
        <f>IF($AH372="","",IF(INDEX('Per Invoice'!F$2:F$401,$AH372)="","",INDEX('Per Invoice'!F$2:F$401,$AH372)))</f>
        <v/>
      </c>
      <c r="G372">
        <f>IF($AH372="","",IF(INDEX('Per Invoice'!G$2:G$401,$AH372)="","",INDEX('Per Invoice'!G$2:G$401,$AH372)))</f>
        <v/>
      </c>
      <c r="H372">
        <f>IF($AH372="","",IF(INDEX('Per Invoice'!H$2:H$401,$AH372)="","",INDEX('Per Invoice'!H$2:H$401,$AH372)))</f>
        <v/>
      </c>
      <c r="I372" s="14">
        <f>IF($AH372="","",IF(INDEX('Per Invoice'!I$2:I$401,$AH372)="","",INDEX('Per Invoice'!I$2:I$401,$AH372)))</f>
        <v/>
      </c>
      <c r="J372">
        <f>IF($AH372="","",IF(INDEX('Per Invoice'!J$2:J$401,$AH372)="","",INDEX('Per Invoice'!J$2:J$401,$AH372)))</f>
        <v/>
      </c>
      <c r="K372">
        <f>IF($AH372="","",IF(INDEX('Per Invoice'!K$2:K$401,$AH372)="","",INDEX('Per Invoice'!K$2:K$401,$AH372)))</f>
        <v/>
      </c>
      <c r="L372">
        <f>IF($AH372="","",IF(INDEX('Per Invoice'!L$2:L$401,$AH372)="","",INDEX('Per Invoice'!L$2:L$401,$AH372)))</f>
        <v/>
      </c>
      <c r="M372">
        <f>IF($AH372="","",IF(INDEX('Per Invoice'!M$2:M$401,$AH372)="","",INDEX('Per Invoice'!M$2:M$401,$AH372)))</f>
        <v/>
      </c>
      <c r="N372">
        <f>IF($AH372="","",IF(INDEX('Per Invoice'!N$2:N$401,$AH372)="","",INDEX('Per Invoice'!N$2:N$401,$AH372)))</f>
        <v/>
      </c>
      <c r="O372">
        <f>IF($AH372="","",IF(INDEX('Per Invoice'!O$2:O$401,$AH372)="","",INDEX('Per Invoice'!O$2:O$401,$AH372)))</f>
        <v/>
      </c>
      <c r="P372" s="7">
        <f>IF($AH372="","",IF(INDEX('Per Invoice'!P$2:P$401,$AH372)="","",INDEX('Per Invoice'!P$2:P$401,$AH372)))</f>
        <v/>
      </c>
      <c r="Q372">
        <f>IF($AH372="","",IF(INDEX('Per Invoice'!Q$2:Q$401,$AH372)="","",INDEX('Per Invoice'!Q$2:Q$401,$AH372)))</f>
        <v/>
      </c>
      <c r="R372">
        <f>IF($AH372="","",IF(INDEX('Per Invoice'!R$2:R$401,$AH372)="","",INDEX('Per Invoice'!R$2:R$401,$AH372)))</f>
        <v/>
      </c>
      <c r="S372">
        <f>IF($AH372="","",IF(INDEX('Per Invoice'!S$2:S$401,$AH372)="","",INDEX('Per Invoice'!S$2:S$401,$AH372)))</f>
        <v/>
      </c>
      <c r="T372" s="7">
        <f>IF($AH372="","",IF(INDEX('Per Invoice'!T$2:T$401,$AH372)="","",INDEX('Per Invoice'!T$2:T$401,$AH372)))</f>
        <v/>
      </c>
      <c r="U372" s="7">
        <f>IF($AH372="","",IF(INDEX('Per Invoice'!U$2:U$401,$AH372)="","",INDEX('Per Invoice'!U$2:U$401,$AH372)))</f>
        <v/>
      </c>
      <c r="V372">
        <f>IF($AH372="","",IF(INDEX('Per Invoice'!V$2:V$401,$AH372)="","",INDEX('Per Invoice'!V$2:V$401,$AH372)))</f>
        <v/>
      </c>
      <c r="W372" s="7">
        <f>IF($AH372="","",IF(INDEX('Per Invoice'!W$2:W$401,$AH372)="","",INDEX('Per Invoice'!W$2:W$401,$AH372)))</f>
        <v/>
      </c>
      <c r="X372" s="7">
        <f>IF($AH372="","",IF(INDEX('Per Invoice'!X$2:X$401,$AH372)="","",INDEX('Per Invoice'!X$2:X$401,$AH372)))</f>
        <v/>
      </c>
      <c r="Y372">
        <f>IF($AH372="","",IF(INDEX('Per Invoice'!Y$2:Y$401,$AH372)="","",INDEX('Per Invoice'!Y$2:Y$401,$AH372)))</f>
        <v/>
      </c>
      <c r="Z372" s="7">
        <f>IF($AH372="","",IF(INDEX('Per Invoice'!Z$2:Z$401,$AH372)="","",INDEX('Per Invoice'!Z$2:Z$401,$AH372)))</f>
        <v/>
      </c>
      <c r="AA372" s="7">
        <f>IF($AH372="","",IF(INDEX('Per Invoice'!AA$2:AA$401,$AH372)="","",INDEX('Per Invoice'!AA$2:AA$401,$AH372)))</f>
        <v/>
      </c>
      <c r="AB372" s="7">
        <f>IF($AH372="","",IF(INDEX('Per Invoice'!AB$2:AB$401,$AH372)="","",INDEX('Per Invoice'!AB$2:AB$401,$AH372)))</f>
        <v/>
      </c>
      <c r="AC372" s="7">
        <f>IF($AH372="","",IF(INDEX('Per Invoice'!AC$2:AC$401,$AH372)="","",INDEX('Per Invoice'!AC$2:AC$401,$AH372)))</f>
        <v/>
      </c>
      <c r="AD372" s="7">
        <f>IF($AH372="","",IF(INDEX('Per Invoice'!AD$2:AD$401,$AH372)="","",INDEX('Per Invoice'!AD$2:AD$401,$AH372)))</f>
        <v/>
      </c>
      <c r="AE372" s="7">
        <f>IF($AH372="","",IF(INDEX('Per Invoice'!AE$2:AE$401,$AH372)="","",INDEX('Per Invoice'!AE$2:AE$401,$AH372)))</f>
        <v/>
      </c>
      <c r="AF372">
        <f>IF($AH372="","",IF(INDEX('Per Invoice'!AF$2:AF$401,$AH372)="","",INDEX('Per Invoice'!AF$2:AF$401,$AH372)))</f>
        <v/>
      </c>
      <c r="AG372" s="7">
        <f>IF($AH372="","",IF(INDEX('Per Invoice'!AG$2:AG$401,$AH372)="","",INDEX('Per Invoice'!AG$2:AG$401,$AH372)))</f>
        <v/>
      </c>
      <c r="AH372" s="16">
        <f>IFERROR(MATCH(Settings!$C$27&amp;"|"&amp;ROWS($AH$2:$AH372),'Per Invoice'!$AI$2:$AI$401,0),"")</f>
        <v/>
      </c>
    </row>
    <row r="373">
      <c r="A373">
        <f>IF($AH373="","",IF(INDEX('Per Invoice'!A$2:A$401,$AH373)="","",INDEX('Per Invoice'!A$2:A$401,$AH373)))</f>
        <v/>
      </c>
      <c r="B373">
        <f>IF($AH373="","",IF(INDEX('Per Invoice'!B$2:B$401,$AH373)="","",INDEX('Per Invoice'!B$2:B$401,$AH373)))</f>
        <v/>
      </c>
      <c r="C373">
        <f>IF($AH373="","",IF(INDEX('Per Invoice'!C$2:C$401,$AH373)="","",INDEX('Per Invoice'!C$2:C$401,$AH373)))</f>
        <v/>
      </c>
      <c r="D373">
        <f>IF($AH373="","",IF(INDEX('Per Invoice'!D$2:D$401,$AH373)="","",INDEX('Per Invoice'!D$2:D$401,$AH373)))</f>
        <v/>
      </c>
      <c r="E373">
        <f>IF($AH373="","",IF(INDEX('Per Invoice'!E$2:E$401,$AH373)="","",INDEX('Per Invoice'!E$2:E$401,$AH373)))</f>
        <v/>
      </c>
      <c r="F373">
        <f>IF($AH373="","",IF(INDEX('Per Invoice'!F$2:F$401,$AH373)="","",INDEX('Per Invoice'!F$2:F$401,$AH373)))</f>
        <v/>
      </c>
      <c r="G373">
        <f>IF($AH373="","",IF(INDEX('Per Invoice'!G$2:G$401,$AH373)="","",INDEX('Per Invoice'!G$2:G$401,$AH373)))</f>
        <v/>
      </c>
      <c r="H373">
        <f>IF($AH373="","",IF(INDEX('Per Invoice'!H$2:H$401,$AH373)="","",INDEX('Per Invoice'!H$2:H$401,$AH373)))</f>
        <v/>
      </c>
      <c r="I373" s="14">
        <f>IF($AH373="","",IF(INDEX('Per Invoice'!I$2:I$401,$AH373)="","",INDEX('Per Invoice'!I$2:I$401,$AH373)))</f>
        <v/>
      </c>
      <c r="J373">
        <f>IF($AH373="","",IF(INDEX('Per Invoice'!J$2:J$401,$AH373)="","",INDEX('Per Invoice'!J$2:J$401,$AH373)))</f>
        <v/>
      </c>
      <c r="K373">
        <f>IF($AH373="","",IF(INDEX('Per Invoice'!K$2:K$401,$AH373)="","",INDEX('Per Invoice'!K$2:K$401,$AH373)))</f>
        <v/>
      </c>
      <c r="L373">
        <f>IF($AH373="","",IF(INDEX('Per Invoice'!L$2:L$401,$AH373)="","",INDEX('Per Invoice'!L$2:L$401,$AH373)))</f>
        <v/>
      </c>
      <c r="M373">
        <f>IF($AH373="","",IF(INDEX('Per Invoice'!M$2:M$401,$AH373)="","",INDEX('Per Invoice'!M$2:M$401,$AH373)))</f>
        <v/>
      </c>
      <c r="N373">
        <f>IF($AH373="","",IF(INDEX('Per Invoice'!N$2:N$401,$AH373)="","",INDEX('Per Invoice'!N$2:N$401,$AH373)))</f>
        <v/>
      </c>
      <c r="O373">
        <f>IF($AH373="","",IF(INDEX('Per Invoice'!O$2:O$401,$AH373)="","",INDEX('Per Invoice'!O$2:O$401,$AH373)))</f>
        <v/>
      </c>
      <c r="P373" s="7">
        <f>IF($AH373="","",IF(INDEX('Per Invoice'!P$2:P$401,$AH373)="","",INDEX('Per Invoice'!P$2:P$401,$AH373)))</f>
        <v/>
      </c>
      <c r="Q373">
        <f>IF($AH373="","",IF(INDEX('Per Invoice'!Q$2:Q$401,$AH373)="","",INDEX('Per Invoice'!Q$2:Q$401,$AH373)))</f>
        <v/>
      </c>
      <c r="R373">
        <f>IF($AH373="","",IF(INDEX('Per Invoice'!R$2:R$401,$AH373)="","",INDEX('Per Invoice'!R$2:R$401,$AH373)))</f>
        <v/>
      </c>
      <c r="S373">
        <f>IF($AH373="","",IF(INDEX('Per Invoice'!S$2:S$401,$AH373)="","",INDEX('Per Invoice'!S$2:S$401,$AH373)))</f>
        <v/>
      </c>
      <c r="T373" s="7">
        <f>IF($AH373="","",IF(INDEX('Per Invoice'!T$2:T$401,$AH373)="","",INDEX('Per Invoice'!T$2:T$401,$AH373)))</f>
        <v/>
      </c>
      <c r="U373" s="7">
        <f>IF($AH373="","",IF(INDEX('Per Invoice'!U$2:U$401,$AH373)="","",INDEX('Per Invoice'!U$2:U$401,$AH373)))</f>
        <v/>
      </c>
      <c r="V373">
        <f>IF($AH373="","",IF(INDEX('Per Invoice'!V$2:V$401,$AH373)="","",INDEX('Per Invoice'!V$2:V$401,$AH373)))</f>
        <v/>
      </c>
      <c r="W373" s="7">
        <f>IF($AH373="","",IF(INDEX('Per Invoice'!W$2:W$401,$AH373)="","",INDEX('Per Invoice'!W$2:W$401,$AH373)))</f>
        <v/>
      </c>
      <c r="X373" s="7">
        <f>IF($AH373="","",IF(INDEX('Per Invoice'!X$2:X$401,$AH373)="","",INDEX('Per Invoice'!X$2:X$401,$AH373)))</f>
        <v/>
      </c>
      <c r="Y373">
        <f>IF($AH373="","",IF(INDEX('Per Invoice'!Y$2:Y$401,$AH373)="","",INDEX('Per Invoice'!Y$2:Y$401,$AH373)))</f>
        <v/>
      </c>
      <c r="Z373" s="7">
        <f>IF($AH373="","",IF(INDEX('Per Invoice'!Z$2:Z$401,$AH373)="","",INDEX('Per Invoice'!Z$2:Z$401,$AH373)))</f>
        <v/>
      </c>
      <c r="AA373" s="7">
        <f>IF($AH373="","",IF(INDEX('Per Invoice'!AA$2:AA$401,$AH373)="","",INDEX('Per Invoice'!AA$2:AA$401,$AH373)))</f>
        <v/>
      </c>
      <c r="AB373" s="7">
        <f>IF($AH373="","",IF(INDEX('Per Invoice'!AB$2:AB$401,$AH373)="","",INDEX('Per Invoice'!AB$2:AB$401,$AH373)))</f>
        <v/>
      </c>
      <c r="AC373" s="7">
        <f>IF($AH373="","",IF(INDEX('Per Invoice'!AC$2:AC$401,$AH373)="","",INDEX('Per Invoice'!AC$2:AC$401,$AH373)))</f>
        <v/>
      </c>
      <c r="AD373" s="7">
        <f>IF($AH373="","",IF(INDEX('Per Invoice'!AD$2:AD$401,$AH373)="","",INDEX('Per Invoice'!AD$2:AD$401,$AH373)))</f>
        <v/>
      </c>
      <c r="AE373" s="7">
        <f>IF($AH373="","",IF(INDEX('Per Invoice'!AE$2:AE$401,$AH373)="","",INDEX('Per Invoice'!AE$2:AE$401,$AH373)))</f>
        <v/>
      </c>
      <c r="AF373">
        <f>IF($AH373="","",IF(INDEX('Per Invoice'!AF$2:AF$401,$AH373)="","",INDEX('Per Invoice'!AF$2:AF$401,$AH373)))</f>
        <v/>
      </c>
      <c r="AG373" s="7">
        <f>IF($AH373="","",IF(INDEX('Per Invoice'!AG$2:AG$401,$AH373)="","",INDEX('Per Invoice'!AG$2:AG$401,$AH373)))</f>
        <v/>
      </c>
      <c r="AH373" s="16">
        <f>IFERROR(MATCH(Settings!$C$27&amp;"|"&amp;ROWS($AH$2:$AH373),'Per Invoice'!$AI$2:$AI$401,0),"")</f>
        <v/>
      </c>
    </row>
    <row r="374">
      <c r="A374">
        <f>IF($AH374="","",IF(INDEX('Per Invoice'!A$2:A$401,$AH374)="","",INDEX('Per Invoice'!A$2:A$401,$AH374)))</f>
        <v/>
      </c>
      <c r="B374">
        <f>IF($AH374="","",IF(INDEX('Per Invoice'!B$2:B$401,$AH374)="","",INDEX('Per Invoice'!B$2:B$401,$AH374)))</f>
        <v/>
      </c>
      <c r="C374">
        <f>IF($AH374="","",IF(INDEX('Per Invoice'!C$2:C$401,$AH374)="","",INDEX('Per Invoice'!C$2:C$401,$AH374)))</f>
        <v/>
      </c>
      <c r="D374">
        <f>IF($AH374="","",IF(INDEX('Per Invoice'!D$2:D$401,$AH374)="","",INDEX('Per Invoice'!D$2:D$401,$AH374)))</f>
        <v/>
      </c>
      <c r="E374">
        <f>IF($AH374="","",IF(INDEX('Per Invoice'!E$2:E$401,$AH374)="","",INDEX('Per Invoice'!E$2:E$401,$AH374)))</f>
        <v/>
      </c>
      <c r="F374">
        <f>IF($AH374="","",IF(INDEX('Per Invoice'!F$2:F$401,$AH374)="","",INDEX('Per Invoice'!F$2:F$401,$AH374)))</f>
        <v/>
      </c>
      <c r="G374">
        <f>IF($AH374="","",IF(INDEX('Per Invoice'!G$2:G$401,$AH374)="","",INDEX('Per Invoice'!G$2:G$401,$AH374)))</f>
        <v/>
      </c>
      <c r="H374">
        <f>IF($AH374="","",IF(INDEX('Per Invoice'!H$2:H$401,$AH374)="","",INDEX('Per Invoice'!H$2:H$401,$AH374)))</f>
        <v/>
      </c>
      <c r="I374" s="14">
        <f>IF($AH374="","",IF(INDEX('Per Invoice'!I$2:I$401,$AH374)="","",INDEX('Per Invoice'!I$2:I$401,$AH374)))</f>
        <v/>
      </c>
      <c r="J374">
        <f>IF($AH374="","",IF(INDEX('Per Invoice'!J$2:J$401,$AH374)="","",INDEX('Per Invoice'!J$2:J$401,$AH374)))</f>
        <v/>
      </c>
      <c r="K374">
        <f>IF($AH374="","",IF(INDEX('Per Invoice'!K$2:K$401,$AH374)="","",INDEX('Per Invoice'!K$2:K$401,$AH374)))</f>
        <v/>
      </c>
      <c r="L374">
        <f>IF($AH374="","",IF(INDEX('Per Invoice'!L$2:L$401,$AH374)="","",INDEX('Per Invoice'!L$2:L$401,$AH374)))</f>
        <v/>
      </c>
      <c r="M374">
        <f>IF($AH374="","",IF(INDEX('Per Invoice'!M$2:M$401,$AH374)="","",INDEX('Per Invoice'!M$2:M$401,$AH374)))</f>
        <v/>
      </c>
      <c r="N374">
        <f>IF($AH374="","",IF(INDEX('Per Invoice'!N$2:N$401,$AH374)="","",INDEX('Per Invoice'!N$2:N$401,$AH374)))</f>
        <v/>
      </c>
      <c r="O374">
        <f>IF($AH374="","",IF(INDEX('Per Invoice'!O$2:O$401,$AH374)="","",INDEX('Per Invoice'!O$2:O$401,$AH374)))</f>
        <v/>
      </c>
      <c r="P374" s="7">
        <f>IF($AH374="","",IF(INDEX('Per Invoice'!P$2:P$401,$AH374)="","",INDEX('Per Invoice'!P$2:P$401,$AH374)))</f>
        <v/>
      </c>
      <c r="Q374">
        <f>IF($AH374="","",IF(INDEX('Per Invoice'!Q$2:Q$401,$AH374)="","",INDEX('Per Invoice'!Q$2:Q$401,$AH374)))</f>
        <v/>
      </c>
      <c r="R374">
        <f>IF($AH374="","",IF(INDEX('Per Invoice'!R$2:R$401,$AH374)="","",INDEX('Per Invoice'!R$2:R$401,$AH374)))</f>
        <v/>
      </c>
      <c r="S374">
        <f>IF($AH374="","",IF(INDEX('Per Invoice'!S$2:S$401,$AH374)="","",INDEX('Per Invoice'!S$2:S$401,$AH374)))</f>
        <v/>
      </c>
      <c r="T374" s="7">
        <f>IF($AH374="","",IF(INDEX('Per Invoice'!T$2:T$401,$AH374)="","",INDEX('Per Invoice'!T$2:T$401,$AH374)))</f>
        <v/>
      </c>
      <c r="U374" s="7">
        <f>IF($AH374="","",IF(INDEX('Per Invoice'!U$2:U$401,$AH374)="","",INDEX('Per Invoice'!U$2:U$401,$AH374)))</f>
        <v/>
      </c>
      <c r="V374">
        <f>IF($AH374="","",IF(INDEX('Per Invoice'!V$2:V$401,$AH374)="","",INDEX('Per Invoice'!V$2:V$401,$AH374)))</f>
        <v/>
      </c>
      <c r="W374" s="7">
        <f>IF($AH374="","",IF(INDEX('Per Invoice'!W$2:W$401,$AH374)="","",INDEX('Per Invoice'!W$2:W$401,$AH374)))</f>
        <v/>
      </c>
      <c r="X374" s="7">
        <f>IF($AH374="","",IF(INDEX('Per Invoice'!X$2:X$401,$AH374)="","",INDEX('Per Invoice'!X$2:X$401,$AH374)))</f>
        <v/>
      </c>
      <c r="Y374">
        <f>IF($AH374="","",IF(INDEX('Per Invoice'!Y$2:Y$401,$AH374)="","",INDEX('Per Invoice'!Y$2:Y$401,$AH374)))</f>
        <v/>
      </c>
      <c r="Z374" s="7">
        <f>IF($AH374="","",IF(INDEX('Per Invoice'!Z$2:Z$401,$AH374)="","",INDEX('Per Invoice'!Z$2:Z$401,$AH374)))</f>
        <v/>
      </c>
      <c r="AA374" s="7">
        <f>IF($AH374="","",IF(INDEX('Per Invoice'!AA$2:AA$401,$AH374)="","",INDEX('Per Invoice'!AA$2:AA$401,$AH374)))</f>
        <v/>
      </c>
      <c r="AB374" s="7">
        <f>IF($AH374="","",IF(INDEX('Per Invoice'!AB$2:AB$401,$AH374)="","",INDEX('Per Invoice'!AB$2:AB$401,$AH374)))</f>
        <v/>
      </c>
      <c r="AC374" s="7">
        <f>IF($AH374="","",IF(INDEX('Per Invoice'!AC$2:AC$401,$AH374)="","",INDEX('Per Invoice'!AC$2:AC$401,$AH374)))</f>
        <v/>
      </c>
      <c r="AD374" s="7">
        <f>IF($AH374="","",IF(INDEX('Per Invoice'!AD$2:AD$401,$AH374)="","",INDEX('Per Invoice'!AD$2:AD$401,$AH374)))</f>
        <v/>
      </c>
      <c r="AE374" s="7">
        <f>IF($AH374="","",IF(INDEX('Per Invoice'!AE$2:AE$401,$AH374)="","",INDEX('Per Invoice'!AE$2:AE$401,$AH374)))</f>
        <v/>
      </c>
      <c r="AF374">
        <f>IF($AH374="","",IF(INDEX('Per Invoice'!AF$2:AF$401,$AH374)="","",INDEX('Per Invoice'!AF$2:AF$401,$AH374)))</f>
        <v/>
      </c>
      <c r="AG374" s="7">
        <f>IF($AH374="","",IF(INDEX('Per Invoice'!AG$2:AG$401,$AH374)="","",INDEX('Per Invoice'!AG$2:AG$401,$AH374)))</f>
        <v/>
      </c>
      <c r="AH374" s="16">
        <f>IFERROR(MATCH(Settings!$C$27&amp;"|"&amp;ROWS($AH$2:$AH374),'Per Invoice'!$AI$2:$AI$401,0),"")</f>
        <v/>
      </c>
    </row>
    <row r="375">
      <c r="A375">
        <f>IF($AH375="","",IF(INDEX('Per Invoice'!A$2:A$401,$AH375)="","",INDEX('Per Invoice'!A$2:A$401,$AH375)))</f>
        <v/>
      </c>
      <c r="B375">
        <f>IF($AH375="","",IF(INDEX('Per Invoice'!B$2:B$401,$AH375)="","",INDEX('Per Invoice'!B$2:B$401,$AH375)))</f>
        <v/>
      </c>
      <c r="C375">
        <f>IF($AH375="","",IF(INDEX('Per Invoice'!C$2:C$401,$AH375)="","",INDEX('Per Invoice'!C$2:C$401,$AH375)))</f>
        <v/>
      </c>
      <c r="D375">
        <f>IF($AH375="","",IF(INDEX('Per Invoice'!D$2:D$401,$AH375)="","",INDEX('Per Invoice'!D$2:D$401,$AH375)))</f>
        <v/>
      </c>
      <c r="E375">
        <f>IF($AH375="","",IF(INDEX('Per Invoice'!E$2:E$401,$AH375)="","",INDEX('Per Invoice'!E$2:E$401,$AH375)))</f>
        <v/>
      </c>
      <c r="F375">
        <f>IF($AH375="","",IF(INDEX('Per Invoice'!F$2:F$401,$AH375)="","",INDEX('Per Invoice'!F$2:F$401,$AH375)))</f>
        <v/>
      </c>
      <c r="G375">
        <f>IF($AH375="","",IF(INDEX('Per Invoice'!G$2:G$401,$AH375)="","",INDEX('Per Invoice'!G$2:G$401,$AH375)))</f>
        <v/>
      </c>
      <c r="H375">
        <f>IF($AH375="","",IF(INDEX('Per Invoice'!H$2:H$401,$AH375)="","",INDEX('Per Invoice'!H$2:H$401,$AH375)))</f>
        <v/>
      </c>
      <c r="I375" s="14">
        <f>IF($AH375="","",IF(INDEX('Per Invoice'!I$2:I$401,$AH375)="","",INDEX('Per Invoice'!I$2:I$401,$AH375)))</f>
        <v/>
      </c>
      <c r="J375">
        <f>IF($AH375="","",IF(INDEX('Per Invoice'!J$2:J$401,$AH375)="","",INDEX('Per Invoice'!J$2:J$401,$AH375)))</f>
        <v/>
      </c>
      <c r="K375">
        <f>IF($AH375="","",IF(INDEX('Per Invoice'!K$2:K$401,$AH375)="","",INDEX('Per Invoice'!K$2:K$401,$AH375)))</f>
        <v/>
      </c>
      <c r="L375">
        <f>IF($AH375="","",IF(INDEX('Per Invoice'!L$2:L$401,$AH375)="","",INDEX('Per Invoice'!L$2:L$401,$AH375)))</f>
        <v/>
      </c>
      <c r="M375">
        <f>IF($AH375="","",IF(INDEX('Per Invoice'!M$2:M$401,$AH375)="","",INDEX('Per Invoice'!M$2:M$401,$AH375)))</f>
        <v/>
      </c>
      <c r="N375">
        <f>IF($AH375="","",IF(INDEX('Per Invoice'!N$2:N$401,$AH375)="","",INDEX('Per Invoice'!N$2:N$401,$AH375)))</f>
        <v/>
      </c>
      <c r="O375">
        <f>IF($AH375="","",IF(INDEX('Per Invoice'!O$2:O$401,$AH375)="","",INDEX('Per Invoice'!O$2:O$401,$AH375)))</f>
        <v/>
      </c>
      <c r="P375" s="7">
        <f>IF($AH375="","",IF(INDEX('Per Invoice'!P$2:P$401,$AH375)="","",INDEX('Per Invoice'!P$2:P$401,$AH375)))</f>
        <v/>
      </c>
      <c r="Q375">
        <f>IF($AH375="","",IF(INDEX('Per Invoice'!Q$2:Q$401,$AH375)="","",INDEX('Per Invoice'!Q$2:Q$401,$AH375)))</f>
        <v/>
      </c>
      <c r="R375">
        <f>IF($AH375="","",IF(INDEX('Per Invoice'!R$2:R$401,$AH375)="","",INDEX('Per Invoice'!R$2:R$401,$AH375)))</f>
        <v/>
      </c>
      <c r="S375">
        <f>IF($AH375="","",IF(INDEX('Per Invoice'!S$2:S$401,$AH375)="","",INDEX('Per Invoice'!S$2:S$401,$AH375)))</f>
        <v/>
      </c>
      <c r="T375" s="7">
        <f>IF($AH375="","",IF(INDEX('Per Invoice'!T$2:T$401,$AH375)="","",INDEX('Per Invoice'!T$2:T$401,$AH375)))</f>
        <v/>
      </c>
      <c r="U375" s="7">
        <f>IF($AH375="","",IF(INDEX('Per Invoice'!U$2:U$401,$AH375)="","",INDEX('Per Invoice'!U$2:U$401,$AH375)))</f>
        <v/>
      </c>
      <c r="V375">
        <f>IF($AH375="","",IF(INDEX('Per Invoice'!V$2:V$401,$AH375)="","",INDEX('Per Invoice'!V$2:V$401,$AH375)))</f>
        <v/>
      </c>
      <c r="W375" s="7">
        <f>IF($AH375="","",IF(INDEX('Per Invoice'!W$2:W$401,$AH375)="","",INDEX('Per Invoice'!W$2:W$401,$AH375)))</f>
        <v/>
      </c>
      <c r="X375" s="7">
        <f>IF($AH375="","",IF(INDEX('Per Invoice'!X$2:X$401,$AH375)="","",INDEX('Per Invoice'!X$2:X$401,$AH375)))</f>
        <v/>
      </c>
      <c r="Y375">
        <f>IF($AH375="","",IF(INDEX('Per Invoice'!Y$2:Y$401,$AH375)="","",INDEX('Per Invoice'!Y$2:Y$401,$AH375)))</f>
        <v/>
      </c>
      <c r="Z375" s="7">
        <f>IF($AH375="","",IF(INDEX('Per Invoice'!Z$2:Z$401,$AH375)="","",INDEX('Per Invoice'!Z$2:Z$401,$AH375)))</f>
        <v/>
      </c>
      <c r="AA375" s="7">
        <f>IF($AH375="","",IF(INDEX('Per Invoice'!AA$2:AA$401,$AH375)="","",INDEX('Per Invoice'!AA$2:AA$401,$AH375)))</f>
        <v/>
      </c>
      <c r="AB375" s="7">
        <f>IF($AH375="","",IF(INDEX('Per Invoice'!AB$2:AB$401,$AH375)="","",INDEX('Per Invoice'!AB$2:AB$401,$AH375)))</f>
        <v/>
      </c>
      <c r="AC375" s="7">
        <f>IF($AH375="","",IF(INDEX('Per Invoice'!AC$2:AC$401,$AH375)="","",INDEX('Per Invoice'!AC$2:AC$401,$AH375)))</f>
        <v/>
      </c>
      <c r="AD375" s="7">
        <f>IF($AH375="","",IF(INDEX('Per Invoice'!AD$2:AD$401,$AH375)="","",INDEX('Per Invoice'!AD$2:AD$401,$AH375)))</f>
        <v/>
      </c>
      <c r="AE375" s="7">
        <f>IF($AH375="","",IF(INDEX('Per Invoice'!AE$2:AE$401,$AH375)="","",INDEX('Per Invoice'!AE$2:AE$401,$AH375)))</f>
        <v/>
      </c>
      <c r="AF375">
        <f>IF($AH375="","",IF(INDEX('Per Invoice'!AF$2:AF$401,$AH375)="","",INDEX('Per Invoice'!AF$2:AF$401,$AH375)))</f>
        <v/>
      </c>
      <c r="AG375" s="7">
        <f>IF($AH375="","",IF(INDEX('Per Invoice'!AG$2:AG$401,$AH375)="","",INDEX('Per Invoice'!AG$2:AG$401,$AH375)))</f>
        <v/>
      </c>
      <c r="AH375" s="16">
        <f>IFERROR(MATCH(Settings!$C$27&amp;"|"&amp;ROWS($AH$2:$AH375),'Per Invoice'!$AI$2:$AI$401,0),"")</f>
        <v/>
      </c>
    </row>
    <row r="376">
      <c r="A376">
        <f>IF($AH376="","",IF(INDEX('Per Invoice'!A$2:A$401,$AH376)="","",INDEX('Per Invoice'!A$2:A$401,$AH376)))</f>
        <v/>
      </c>
      <c r="B376">
        <f>IF($AH376="","",IF(INDEX('Per Invoice'!B$2:B$401,$AH376)="","",INDEX('Per Invoice'!B$2:B$401,$AH376)))</f>
        <v/>
      </c>
      <c r="C376">
        <f>IF($AH376="","",IF(INDEX('Per Invoice'!C$2:C$401,$AH376)="","",INDEX('Per Invoice'!C$2:C$401,$AH376)))</f>
        <v/>
      </c>
      <c r="D376">
        <f>IF($AH376="","",IF(INDEX('Per Invoice'!D$2:D$401,$AH376)="","",INDEX('Per Invoice'!D$2:D$401,$AH376)))</f>
        <v/>
      </c>
      <c r="E376">
        <f>IF($AH376="","",IF(INDEX('Per Invoice'!E$2:E$401,$AH376)="","",INDEX('Per Invoice'!E$2:E$401,$AH376)))</f>
        <v/>
      </c>
      <c r="F376">
        <f>IF($AH376="","",IF(INDEX('Per Invoice'!F$2:F$401,$AH376)="","",INDEX('Per Invoice'!F$2:F$401,$AH376)))</f>
        <v/>
      </c>
      <c r="G376">
        <f>IF($AH376="","",IF(INDEX('Per Invoice'!G$2:G$401,$AH376)="","",INDEX('Per Invoice'!G$2:G$401,$AH376)))</f>
        <v/>
      </c>
      <c r="H376">
        <f>IF($AH376="","",IF(INDEX('Per Invoice'!H$2:H$401,$AH376)="","",INDEX('Per Invoice'!H$2:H$401,$AH376)))</f>
        <v/>
      </c>
      <c r="I376" s="14">
        <f>IF($AH376="","",IF(INDEX('Per Invoice'!I$2:I$401,$AH376)="","",INDEX('Per Invoice'!I$2:I$401,$AH376)))</f>
        <v/>
      </c>
      <c r="J376">
        <f>IF($AH376="","",IF(INDEX('Per Invoice'!J$2:J$401,$AH376)="","",INDEX('Per Invoice'!J$2:J$401,$AH376)))</f>
        <v/>
      </c>
      <c r="K376">
        <f>IF($AH376="","",IF(INDEX('Per Invoice'!K$2:K$401,$AH376)="","",INDEX('Per Invoice'!K$2:K$401,$AH376)))</f>
        <v/>
      </c>
      <c r="L376">
        <f>IF($AH376="","",IF(INDEX('Per Invoice'!L$2:L$401,$AH376)="","",INDEX('Per Invoice'!L$2:L$401,$AH376)))</f>
        <v/>
      </c>
      <c r="M376">
        <f>IF($AH376="","",IF(INDEX('Per Invoice'!M$2:M$401,$AH376)="","",INDEX('Per Invoice'!M$2:M$401,$AH376)))</f>
        <v/>
      </c>
      <c r="N376">
        <f>IF($AH376="","",IF(INDEX('Per Invoice'!N$2:N$401,$AH376)="","",INDEX('Per Invoice'!N$2:N$401,$AH376)))</f>
        <v/>
      </c>
      <c r="O376">
        <f>IF($AH376="","",IF(INDEX('Per Invoice'!O$2:O$401,$AH376)="","",INDEX('Per Invoice'!O$2:O$401,$AH376)))</f>
        <v/>
      </c>
      <c r="P376" s="7">
        <f>IF($AH376="","",IF(INDEX('Per Invoice'!P$2:P$401,$AH376)="","",INDEX('Per Invoice'!P$2:P$401,$AH376)))</f>
        <v/>
      </c>
      <c r="Q376">
        <f>IF($AH376="","",IF(INDEX('Per Invoice'!Q$2:Q$401,$AH376)="","",INDEX('Per Invoice'!Q$2:Q$401,$AH376)))</f>
        <v/>
      </c>
      <c r="R376">
        <f>IF($AH376="","",IF(INDEX('Per Invoice'!R$2:R$401,$AH376)="","",INDEX('Per Invoice'!R$2:R$401,$AH376)))</f>
        <v/>
      </c>
      <c r="S376">
        <f>IF($AH376="","",IF(INDEX('Per Invoice'!S$2:S$401,$AH376)="","",INDEX('Per Invoice'!S$2:S$401,$AH376)))</f>
        <v/>
      </c>
      <c r="T376" s="7">
        <f>IF($AH376="","",IF(INDEX('Per Invoice'!T$2:T$401,$AH376)="","",INDEX('Per Invoice'!T$2:T$401,$AH376)))</f>
        <v/>
      </c>
      <c r="U376" s="7">
        <f>IF($AH376="","",IF(INDEX('Per Invoice'!U$2:U$401,$AH376)="","",INDEX('Per Invoice'!U$2:U$401,$AH376)))</f>
        <v/>
      </c>
      <c r="V376">
        <f>IF($AH376="","",IF(INDEX('Per Invoice'!V$2:V$401,$AH376)="","",INDEX('Per Invoice'!V$2:V$401,$AH376)))</f>
        <v/>
      </c>
      <c r="W376" s="7">
        <f>IF($AH376="","",IF(INDEX('Per Invoice'!W$2:W$401,$AH376)="","",INDEX('Per Invoice'!W$2:W$401,$AH376)))</f>
        <v/>
      </c>
      <c r="X376" s="7">
        <f>IF($AH376="","",IF(INDEX('Per Invoice'!X$2:X$401,$AH376)="","",INDEX('Per Invoice'!X$2:X$401,$AH376)))</f>
        <v/>
      </c>
      <c r="Y376">
        <f>IF($AH376="","",IF(INDEX('Per Invoice'!Y$2:Y$401,$AH376)="","",INDEX('Per Invoice'!Y$2:Y$401,$AH376)))</f>
        <v/>
      </c>
      <c r="Z376" s="7">
        <f>IF($AH376="","",IF(INDEX('Per Invoice'!Z$2:Z$401,$AH376)="","",INDEX('Per Invoice'!Z$2:Z$401,$AH376)))</f>
        <v/>
      </c>
      <c r="AA376" s="7">
        <f>IF($AH376="","",IF(INDEX('Per Invoice'!AA$2:AA$401,$AH376)="","",INDEX('Per Invoice'!AA$2:AA$401,$AH376)))</f>
        <v/>
      </c>
      <c r="AB376" s="7">
        <f>IF($AH376="","",IF(INDEX('Per Invoice'!AB$2:AB$401,$AH376)="","",INDEX('Per Invoice'!AB$2:AB$401,$AH376)))</f>
        <v/>
      </c>
      <c r="AC376" s="7">
        <f>IF($AH376="","",IF(INDEX('Per Invoice'!AC$2:AC$401,$AH376)="","",INDEX('Per Invoice'!AC$2:AC$401,$AH376)))</f>
        <v/>
      </c>
      <c r="AD376" s="7">
        <f>IF($AH376="","",IF(INDEX('Per Invoice'!AD$2:AD$401,$AH376)="","",INDEX('Per Invoice'!AD$2:AD$401,$AH376)))</f>
        <v/>
      </c>
      <c r="AE376" s="7">
        <f>IF($AH376="","",IF(INDEX('Per Invoice'!AE$2:AE$401,$AH376)="","",INDEX('Per Invoice'!AE$2:AE$401,$AH376)))</f>
        <v/>
      </c>
      <c r="AF376">
        <f>IF($AH376="","",IF(INDEX('Per Invoice'!AF$2:AF$401,$AH376)="","",INDEX('Per Invoice'!AF$2:AF$401,$AH376)))</f>
        <v/>
      </c>
      <c r="AG376" s="7">
        <f>IF($AH376="","",IF(INDEX('Per Invoice'!AG$2:AG$401,$AH376)="","",INDEX('Per Invoice'!AG$2:AG$401,$AH376)))</f>
        <v/>
      </c>
      <c r="AH376" s="16">
        <f>IFERROR(MATCH(Settings!$C$27&amp;"|"&amp;ROWS($AH$2:$AH376),'Per Invoice'!$AI$2:$AI$401,0),"")</f>
        <v/>
      </c>
    </row>
    <row r="377">
      <c r="A377">
        <f>IF($AH377="","",IF(INDEX('Per Invoice'!A$2:A$401,$AH377)="","",INDEX('Per Invoice'!A$2:A$401,$AH377)))</f>
        <v/>
      </c>
      <c r="B377">
        <f>IF($AH377="","",IF(INDEX('Per Invoice'!B$2:B$401,$AH377)="","",INDEX('Per Invoice'!B$2:B$401,$AH377)))</f>
        <v/>
      </c>
      <c r="C377">
        <f>IF($AH377="","",IF(INDEX('Per Invoice'!C$2:C$401,$AH377)="","",INDEX('Per Invoice'!C$2:C$401,$AH377)))</f>
        <v/>
      </c>
      <c r="D377">
        <f>IF($AH377="","",IF(INDEX('Per Invoice'!D$2:D$401,$AH377)="","",INDEX('Per Invoice'!D$2:D$401,$AH377)))</f>
        <v/>
      </c>
      <c r="E377">
        <f>IF($AH377="","",IF(INDEX('Per Invoice'!E$2:E$401,$AH377)="","",INDEX('Per Invoice'!E$2:E$401,$AH377)))</f>
        <v/>
      </c>
      <c r="F377">
        <f>IF($AH377="","",IF(INDEX('Per Invoice'!F$2:F$401,$AH377)="","",INDEX('Per Invoice'!F$2:F$401,$AH377)))</f>
        <v/>
      </c>
      <c r="G377">
        <f>IF($AH377="","",IF(INDEX('Per Invoice'!G$2:G$401,$AH377)="","",INDEX('Per Invoice'!G$2:G$401,$AH377)))</f>
        <v/>
      </c>
      <c r="H377">
        <f>IF($AH377="","",IF(INDEX('Per Invoice'!H$2:H$401,$AH377)="","",INDEX('Per Invoice'!H$2:H$401,$AH377)))</f>
        <v/>
      </c>
      <c r="I377" s="14">
        <f>IF($AH377="","",IF(INDEX('Per Invoice'!I$2:I$401,$AH377)="","",INDEX('Per Invoice'!I$2:I$401,$AH377)))</f>
        <v/>
      </c>
      <c r="J377">
        <f>IF($AH377="","",IF(INDEX('Per Invoice'!J$2:J$401,$AH377)="","",INDEX('Per Invoice'!J$2:J$401,$AH377)))</f>
        <v/>
      </c>
      <c r="K377">
        <f>IF($AH377="","",IF(INDEX('Per Invoice'!K$2:K$401,$AH377)="","",INDEX('Per Invoice'!K$2:K$401,$AH377)))</f>
        <v/>
      </c>
      <c r="L377">
        <f>IF($AH377="","",IF(INDEX('Per Invoice'!L$2:L$401,$AH377)="","",INDEX('Per Invoice'!L$2:L$401,$AH377)))</f>
        <v/>
      </c>
      <c r="M377">
        <f>IF($AH377="","",IF(INDEX('Per Invoice'!M$2:M$401,$AH377)="","",INDEX('Per Invoice'!M$2:M$401,$AH377)))</f>
        <v/>
      </c>
      <c r="N377">
        <f>IF($AH377="","",IF(INDEX('Per Invoice'!N$2:N$401,$AH377)="","",INDEX('Per Invoice'!N$2:N$401,$AH377)))</f>
        <v/>
      </c>
      <c r="O377">
        <f>IF($AH377="","",IF(INDEX('Per Invoice'!O$2:O$401,$AH377)="","",INDEX('Per Invoice'!O$2:O$401,$AH377)))</f>
        <v/>
      </c>
      <c r="P377" s="7">
        <f>IF($AH377="","",IF(INDEX('Per Invoice'!P$2:P$401,$AH377)="","",INDEX('Per Invoice'!P$2:P$401,$AH377)))</f>
        <v/>
      </c>
      <c r="Q377">
        <f>IF($AH377="","",IF(INDEX('Per Invoice'!Q$2:Q$401,$AH377)="","",INDEX('Per Invoice'!Q$2:Q$401,$AH377)))</f>
        <v/>
      </c>
      <c r="R377">
        <f>IF($AH377="","",IF(INDEX('Per Invoice'!R$2:R$401,$AH377)="","",INDEX('Per Invoice'!R$2:R$401,$AH377)))</f>
        <v/>
      </c>
      <c r="S377">
        <f>IF($AH377="","",IF(INDEX('Per Invoice'!S$2:S$401,$AH377)="","",INDEX('Per Invoice'!S$2:S$401,$AH377)))</f>
        <v/>
      </c>
      <c r="T377" s="7">
        <f>IF($AH377="","",IF(INDEX('Per Invoice'!T$2:T$401,$AH377)="","",INDEX('Per Invoice'!T$2:T$401,$AH377)))</f>
        <v/>
      </c>
      <c r="U377" s="7">
        <f>IF($AH377="","",IF(INDEX('Per Invoice'!U$2:U$401,$AH377)="","",INDEX('Per Invoice'!U$2:U$401,$AH377)))</f>
        <v/>
      </c>
      <c r="V377">
        <f>IF($AH377="","",IF(INDEX('Per Invoice'!V$2:V$401,$AH377)="","",INDEX('Per Invoice'!V$2:V$401,$AH377)))</f>
        <v/>
      </c>
      <c r="W377" s="7">
        <f>IF($AH377="","",IF(INDEX('Per Invoice'!W$2:W$401,$AH377)="","",INDEX('Per Invoice'!W$2:W$401,$AH377)))</f>
        <v/>
      </c>
      <c r="X377" s="7">
        <f>IF($AH377="","",IF(INDEX('Per Invoice'!X$2:X$401,$AH377)="","",INDEX('Per Invoice'!X$2:X$401,$AH377)))</f>
        <v/>
      </c>
      <c r="Y377">
        <f>IF($AH377="","",IF(INDEX('Per Invoice'!Y$2:Y$401,$AH377)="","",INDEX('Per Invoice'!Y$2:Y$401,$AH377)))</f>
        <v/>
      </c>
      <c r="Z377" s="7">
        <f>IF($AH377="","",IF(INDEX('Per Invoice'!Z$2:Z$401,$AH377)="","",INDEX('Per Invoice'!Z$2:Z$401,$AH377)))</f>
        <v/>
      </c>
      <c r="AA377" s="7">
        <f>IF($AH377="","",IF(INDEX('Per Invoice'!AA$2:AA$401,$AH377)="","",INDEX('Per Invoice'!AA$2:AA$401,$AH377)))</f>
        <v/>
      </c>
      <c r="AB377" s="7">
        <f>IF($AH377="","",IF(INDEX('Per Invoice'!AB$2:AB$401,$AH377)="","",INDEX('Per Invoice'!AB$2:AB$401,$AH377)))</f>
        <v/>
      </c>
      <c r="AC377" s="7">
        <f>IF($AH377="","",IF(INDEX('Per Invoice'!AC$2:AC$401,$AH377)="","",INDEX('Per Invoice'!AC$2:AC$401,$AH377)))</f>
        <v/>
      </c>
      <c r="AD377" s="7">
        <f>IF($AH377="","",IF(INDEX('Per Invoice'!AD$2:AD$401,$AH377)="","",INDEX('Per Invoice'!AD$2:AD$401,$AH377)))</f>
        <v/>
      </c>
      <c r="AE377" s="7">
        <f>IF($AH377="","",IF(INDEX('Per Invoice'!AE$2:AE$401,$AH377)="","",INDEX('Per Invoice'!AE$2:AE$401,$AH377)))</f>
        <v/>
      </c>
      <c r="AF377">
        <f>IF($AH377="","",IF(INDEX('Per Invoice'!AF$2:AF$401,$AH377)="","",INDEX('Per Invoice'!AF$2:AF$401,$AH377)))</f>
        <v/>
      </c>
      <c r="AG377" s="7">
        <f>IF($AH377="","",IF(INDEX('Per Invoice'!AG$2:AG$401,$AH377)="","",INDEX('Per Invoice'!AG$2:AG$401,$AH377)))</f>
        <v/>
      </c>
      <c r="AH377" s="16">
        <f>IFERROR(MATCH(Settings!$C$27&amp;"|"&amp;ROWS($AH$2:$AH377),'Per Invoice'!$AI$2:$AI$401,0),"")</f>
        <v/>
      </c>
    </row>
    <row r="378">
      <c r="A378">
        <f>IF($AH378="","",IF(INDEX('Per Invoice'!A$2:A$401,$AH378)="","",INDEX('Per Invoice'!A$2:A$401,$AH378)))</f>
        <v/>
      </c>
      <c r="B378">
        <f>IF($AH378="","",IF(INDEX('Per Invoice'!B$2:B$401,$AH378)="","",INDEX('Per Invoice'!B$2:B$401,$AH378)))</f>
        <v/>
      </c>
      <c r="C378">
        <f>IF($AH378="","",IF(INDEX('Per Invoice'!C$2:C$401,$AH378)="","",INDEX('Per Invoice'!C$2:C$401,$AH378)))</f>
        <v/>
      </c>
      <c r="D378">
        <f>IF($AH378="","",IF(INDEX('Per Invoice'!D$2:D$401,$AH378)="","",INDEX('Per Invoice'!D$2:D$401,$AH378)))</f>
        <v/>
      </c>
      <c r="E378">
        <f>IF($AH378="","",IF(INDEX('Per Invoice'!E$2:E$401,$AH378)="","",INDEX('Per Invoice'!E$2:E$401,$AH378)))</f>
        <v/>
      </c>
      <c r="F378">
        <f>IF($AH378="","",IF(INDEX('Per Invoice'!F$2:F$401,$AH378)="","",INDEX('Per Invoice'!F$2:F$401,$AH378)))</f>
        <v/>
      </c>
      <c r="G378">
        <f>IF($AH378="","",IF(INDEX('Per Invoice'!G$2:G$401,$AH378)="","",INDEX('Per Invoice'!G$2:G$401,$AH378)))</f>
        <v/>
      </c>
      <c r="H378">
        <f>IF($AH378="","",IF(INDEX('Per Invoice'!H$2:H$401,$AH378)="","",INDEX('Per Invoice'!H$2:H$401,$AH378)))</f>
        <v/>
      </c>
      <c r="I378" s="14">
        <f>IF($AH378="","",IF(INDEX('Per Invoice'!I$2:I$401,$AH378)="","",INDEX('Per Invoice'!I$2:I$401,$AH378)))</f>
        <v/>
      </c>
      <c r="J378">
        <f>IF($AH378="","",IF(INDEX('Per Invoice'!J$2:J$401,$AH378)="","",INDEX('Per Invoice'!J$2:J$401,$AH378)))</f>
        <v/>
      </c>
      <c r="K378">
        <f>IF($AH378="","",IF(INDEX('Per Invoice'!K$2:K$401,$AH378)="","",INDEX('Per Invoice'!K$2:K$401,$AH378)))</f>
        <v/>
      </c>
      <c r="L378">
        <f>IF($AH378="","",IF(INDEX('Per Invoice'!L$2:L$401,$AH378)="","",INDEX('Per Invoice'!L$2:L$401,$AH378)))</f>
        <v/>
      </c>
      <c r="M378">
        <f>IF($AH378="","",IF(INDEX('Per Invoice'!M$2:M$401,$AH378)="","",INDEX('Per Invoice'!M$2:M$401,$AH378)))</f>
        <v/>
      </c>
      <c r="N378">
        <f>IF($AH378="","",IF(INDEX('Per Invoice'!N$2:N$401,$AH378)="","",INDEX('Per Invoice'!N$2:N$401,$AH378)))</f>
        <v/>
      </c>
      <c r="O378">
        <f>IF($AH378="","",IF(INDEX('Per Invoice'!O$2:O$401,$AH378)="","",INDEX('Per Invoice'!O$2:O$401,$AH378)))</f>
        <v/>
      </c>
      <c r="P378" s="7">
        <f>IF($AH378="","",IF(INDEX('Per Invoice'!P$2:P$401,$AH378)="","",INDEX('Per Invoice'!P$2:P$401,$AH378)))</f>
        <v/>
      </c>
      <c r="Q378">
        <f>IF($AH378="","",IF(INDEX('Per Invoice'!Q$2:Q$401,$AH378)="","",INDEX('Per Invoice'!Q$2:Q$401,$AH378)))</f>
        <v/>
      </c>
      <c r="R378">
        <f>IF($AH378="","",IF(INDEX('Per Invoice'!R$2:R$401,$AH378)="","",INDEX('Per Invoice'!R$2:R$401,$AH378)))</f>
        <v/>
      </c>
      <c r="S378">
        <f>IF($AH378="","",IF(INDEX('Per Invoice'!S$2:S$401,$AH378)="","",INDEX('Per Invoice'!S$2:S$401,$AH378)))</f>
        <v/>
      </c>
      <c r="T378" s="7">
        <f>IF($AH378="","",IF(INDEX('Per Invoice'!T$2:T$401,$AH378)="","",INDEX('Per Invoice'!T$2:T$401,$AH378)))</f>
        <v/>
      </c>
      <c r="U378" s="7">
        <f>IF($AH378="","",IF(INDEX('Per Invoice'!U$2:U$401,$AH378)="","",INDEX('Per Invoice'!U$2:U$401,$AH378)))</f>
        <v/>
      </c>
      <c r="V378">
        <f>IF($AH378="","",IF(INDEX('Per Invoice'!V$2:V$401,$AH378)="","",INDEX('Per Invoice'!V$2:V$401,$AH378)))</f>
        <v/>
      </c>
      <c r="W378" s="7">
        <f>IF($AH378="","",IF(INDEX('Per Invoice'!W$2:W$401,$AH378)="","",INDEX('Per Invoice'!W$2:W$401,$AH378)))</f>
        <v/>
      </c>
      <c r="X378" s="7">
        <f>IF($AH378="","",IF(INDEX('Per Invoice'!X$2:X$401,$AH378)="","",INDEX('Per Invoice'!X$2:X$401,$AH378)))</f>
        <v/>
      </c>
      <c r="Y378">
        <f>IF($AH378="","",IF(INDEX('Per Invoice'!Y$2:Y$401,$AH378)="","",INDEX('Per Invoice'!Y$2:Y$401,$AH378)))</f>
        <v/>
      </c>
      <c r="Z378" s="7">
        <f>IF($AH378="","",IF(INDEX('Per Invoice'!Z$2:Z$401,$AH378)="","",INDEX('Per Invoice'!Z$2:Z$401,$AH378)))</f>
        <v/>
      </c>
      <c r="AA378" s="7">
        <f>IF($AH378="","",IF(INDEX('Per Invoice'!AA$2:AA$401,$AH378)="","",INDEX('Per Invoice'!AA$2:AA$401,$AH378)))</f>
        <v/>
      </c>
      <c r="AB378" s="7">
        <f>IF($AH378="","",IF(INDEX('Per Invoice'!AB$2:AB$401,$AH378)="","",INDEX('Per Invoice'!AB$2:AB$401,$AH378)))</f>
        <v/>
      </c>
      <c r="AC378" s="7">
        <f>IF($AH378="","",IF(INDEX('Per Invoice'!AC$2:AC$401,$AH378)="","",INDEX('Per Invoice'!AC$2:AC$401,$AH378)))</f>
        <v/>
      </c>
      <c r="AD378" s="7">
        <f>IF($AH378="","",IF(INDEX('Per Invoice'!AD$2:AD$401,$AH378)="","",INDEX('Per Invoice'!AD$2:AD$401,$AH378)))</f>
        <v/>
      </c>
      <c r="AE378" s="7">
        <f>IF($AH378="","",IF(INDEX('Per Invoice'!AE$2:AE$401,$AH378)="","",INDEX('Per Invoice'!AE$2:AE$401,$AH378)))</f>
        <v/>
      </c>
      <c r="AF378">
        <f>IF($AH378="","",IF(INDEX('Per Invoice'!AF$2:AF$401,$AH378)="","",INDEX('Per Invoice'!AF$2:AF$401,$AH378)))</f>
        <v/>
      </c>
      <c r="AG378" s="7">
        <f>IF($AH378="","",IF(INDEX('Per Invoice'!AG$2:AG$401,$AH378)="","",INDEX('Per Invoice'!AG$2:AG$401,$AH378)))</f>
        <v/>
      </c>
      <c r="AH378" s="16">
        <f>IFERROR(MATCH(Settings!$C$27&amp;"|"&amp;ROWS($AH$2:$AH378),'Per Invoice'!$AI$2:$AI$401,0),"")</f>
        <v/>
      </c>
    </row>
    <row r="379">
      <c r="A379">
        <f>IF($AH379="","",IF(INDEX('Per Invoice'!A$2:A$401,$AH379)="","",INDEX('Per Invoice'!A$2:A$401,$AH379)))</f>
        <v/>
      </c>
      <c r="B379">
        <f>IF($AH379="","",IF(INDEX('Per Invoice'!B$2:B$401,$AH379)="","",INDEX('Per Invoice'!B$2:B$401,$AH379)))</f>
        <v/>
      </c>
      <c r="C379">
        <f>IF($AH379="","",IF(INDEX('Per Invoice'!C$2:C$401,$AH379)="","",INDEX('Per Invoice'!C$2:C$401,$AH379)))</f>
        <v/>
      </c>
      <c r="D379">
        <f>IF($AH379="","",IF(INDEX('Per Invoice'!D$2:D$401,$AH379)="","",INDEX('Per Invoice'!D$2:D$401,$AH379)))</f>
        <v/>
      </c>
      <c r="E379">
        <f>IF($AH379="","",IF(INDEX('Per Invoice'!E$2:E$401,$AH379)="","",INDEX('Per Invoice'!E$2:E$401,$AH379)))</f>
        <v/>
      </c>
      <c r="F379">
        <f>IF($AH379="","",IF(INDEX('Per Invoice'!F$2:F$401,$AH379)="","",INDEX('Per Invoice'!F$2:F$401,$AH379)))</f>
        <v/>
      </c>
      <c r="G379">
        <f>IF($AH379="","",IF(INDEX('Per Invoice'!G$2:G$401,$AH379)="","",INDEX('Per Invoice'!G$2:G$401,$AH379)))</f>
        <v/>
      </c>
      <c r="H379">
        <f>IF($AH379="","",IF(INDEX('Per Invoice'!H$2:H$401,$AH379)="","",INDEX('Per Invoice'!H$2:H$401,$AH379)))</f>
        <v/>
      </c>
      <c r="I379" s="14">
        <f>IF($AH379="","",IF(INDEX('Per Invoice'!I$2:I$401,$AH379)="","",INDEX('Per Invoice'!I$2:I$401,$AH379)))</f>
        <v/>
      </c>
      <c r="J379">
        <f>IF($AH379="","",IF(INDEX('Per Invoice'!J$2:J$401,$AH379)="","",INDEX('Per Invoice'!J$2:J$401,$AH379)))</f>
        <v/>
      </c>
      <c r="K379">
        <f>IF($AH379="","",IF(INDEX('Per Invoice'!K$2:K$401,$AH379)="","",INDEX('Per Invoice'!K$2:K$401,$AH379)))</f>
        <v/>
      </c>
      <c r="L379">
        <f>IF($AH379="","",IF(INDEX('Per Invoice'!L$2:L$401,$AH379)="","",INDEX('Per Invoice'!L$2:L$401,$AH379)))</f>
        <v/>
      </c>
      <c r="M379">
        <f>IF($AH379="","",IF(INDEX('Per Invoice'!M$2:M$401,$AH379)="","",INDEX('Per Invoice'!M$2:M$401,$AH379)))</f>
        <v/>
      </c>
      <c r="N379">
        <f>IF($AH379="","",IF(INDEX('Per Invoice'!N$2:N$401,$AH379)="","",INDEX('Per Invoice'!N$2:N$401,$AH379)))</f>
        <v/>
      </c>
      <c r="O379">
        <f>IF($AH379="","",IF(INDEX('Per Invoice'!O$2:O$401,$AH379)="","",INDEX('Per Invoice'!O$2:O$401,$AH379)))</f>
        <v/>
      </c>
      <c r="P379" s="7">
        <f>IF($AH379="","",IF(INDEX('Per Invoice'!P$2:P$401,$AH379)="","",INDEX('Per Invoice'!P$2:P$401,$AH379)))</f>
        <v/>
      </c>
      <c r="Q379">
        <f>IF($AH379="","",IF(INDEX('Per Invoice'!Q$2:Q$401,$AH379)="","",INDEX('Per Invoice'!Q$2:Q$401,$AH379)))</f>
        <v/>
      </c>
      <c r="R379">
        <f>IF($AH379="","",IF(INDEX('Per Invoice'!R$2:R$401,$AH379)="","",INDEX('Per Invoice'!R$2:R$401,$AH379)))</f>
        <v/>
      </c>
      <c r="S379">
        <f>IF($AH379="","",IF(INDEX('Per Invoice'!S$2:S$401,$AH379)="","",INDEX('Per Invoice'!S$2:S$401,$AH379)))</f>
        <v/>
      </c>
      <c r="T379" s="7">
        <f>IF($AH379="","",IF(INDEX('Per Invoice'!T$2:T$401,$AH379)="","",INDEX('Per Invoice'!T$2:T$401,$AH379)))</f>
        <v/>
      </c>
      <c r="U379" s="7">
        <f>IF($AH379="","",IF(INDEX('Per Invoice'!U$2:U$401,$AH379)="","",INDEX('Per Invoice'!U$2:U$401,$AH379)))</f>
        <v/>
      </c>
      <c r="V379">
        <f>IF($AH379="","",IF(INDEX('Per Invoice'!V$2:V$401,$AH379)="","",INDEX('Per Invoice'!V$2:V$401,$AH379)))</f>
        <v/>
      </c>
      <c r="W379" s="7">
        <f>IF($AH379="","",IF(INDEX('Per Invoice'!W$2:W$401,$AH379)="","",INDEX('Per Invoice'!W$2:W$401,$AH379)))</f>
        <v/>
      </c>
      <c r="X379" s="7">
        <f>IF($AH379="","",IF(INDEX('Per Invoice'!X$2:X$401,$AH379)="","",INDEX('Per Invoice'!X$2:X$401,$AH379)))</f>
        <v/>
      </c>
      <c r="Y379">
        <f>IF($AH379="","",IF(INDEX('Per Invoice'!Y$2:Y$401,$AH379)="","",INDEX('Per Invoice'!Y$2:Y$401,$AH379)))</f>
        <v/>
      </c>
      <c r="Z379" s="7">
        <f>IF($AH379="","",IF(INDEX('Per Invoice'!Z$2:Z$401,$AH379)="","",INDEX('Per Invoice'!Z$2:Z$401,$AH379)))</f>
        <v/>
      </c>
      <c r="AA379" s="7">
        <f>IF($AH379="","",IF(INDEX('Per Invoice'!AA$2:AA$401,$AH379)="","",INDEX('Per Invoice'!AA$2:AA$401,$AH379)))</f>
        <v/>
      </c>
      <c r="AB379" s="7">
        <f>IF($AH379="","",IF(INDEX('Per Invoice'!AB$2:AB$401,$AH379)="","",INDEX('Per Invoice'!AB$2:AB$401,$AH379)))</f>
        <v/>
      </c>
      <c r="AC379" s="7">
        <f>IF($AH379="","",IF(INDEX('Per Invoice'!AC$2:AC$401,$AH379)="","",INDEX('Per Invoice'!AC$2:AC$401,$AH379)))</f>
        <v/>
      </c>
      <c r="AD379" s="7">
        <f>IF($AH379="","",IF(INDEX('Per Invoice'!AD$2:AD$401,$AH379)="","",INDEX('Per Invoice'!AD$2:AD$401,$AH379)))</f>
        <v/>
      </c>
      <c r="AE379" s="7">
        <f>IF($AH379="","",IF(INDEX('Per Invoice'!AE$2:AE$401,$AH379)="","",INDEX('Per Invoice'!AE$2:AE$401,$AH379)))</f>
        <v/>
      </c>
      <c r="AF379">
        <f>IF($AH379="","",IF(INDEX('Per Invoice'!AF$2:AF$401,$AH379)="","",INDEX('Per Invoice'!AF$2:AF$401,$AH379)))</f>
        <v/>
      </c>
      <c r="AG379" s="7">
        <f>IF($AH379="","",IF(INDEX('Per Invoice'!AG$2:AG$401,$AH379)="","",INDEX('Per Invoice'!AG$2:AG$401,$AH379)))</f>
        <v/>
      </c>
      <c r="AH379" s="16">
        <f>IFERROR(MATCH(Settings!$C$27&amp;"|"&amp;ROWS($AH$2:$AH379),'Per Invoice'!$AI$2:$AI$401,0),"")</f>
        <v/>
      </c>
    </row>
    <row r="380">
      <c r="A380">
        <f>IF($AH380="","",IF(INDEX('Per Invoice'!A$2:A$401,$AH380)="","",INDEX('Per Invoice'!A$2:A$401,$AH380)))</f>
        <v/>
      </c>
      <c r="B380">
        <f>IF($AH380="","",IF(INDEX('Per Invoice'!B$2:B$401,$AH380)="","",INDEX('Per Invoice'!B$2:B$401,$AH380)))</f>
        <v/>
      </c>
      <c r="C380">
        <f>IF($AH380="","",IF(INDEX('Per Invoice'!C$2:C$401,$AH380)="","",INDEX('Per Invoice'!C$2:C$401,$AH380)))</f>
        <v/>
      </c>
      <c r="D380">
        <f>IF($AH380="","",IF(INDEX('Per Invoice'!D$2:D$401,$AH380)="","",INDEX('Per Invoice'!D$2:D$401,$AH380)))</f>
        <v/>
      </c>
      <c r="E380">
        <f>IF($AH380="","",IF(INDEX('Per Invoice'!E$2:E$401,$AH380)="","",INDEX('Per Invoice'!E$2:E$401,$AH380)))</f>
        <v/>
      </c>
      <c r="F380">
        <f>IF($AH380="","",IF(INDEX('Per Invoice'!F$2:F$401,$AH380)="","",INDEX('Per Invoice'!F$2:F$401,$AH380)))</f>
        <v/>
      </c>
      <c r="G380">
        <f>IF($AH380="","",IF(INDEX('Per Invoice'!G$2:G$401,$AH380)="","",INDEX('Per Invoice'!G$2:G$401,$AH380)))</f>
        <v/>
      </c>
      <c r="H380">
        <f>IF($AH380="","",IF(INDEX('Per Invoice'!H$2:H$401,$AH380)="","",INDEX('Per Invoice'!H$2:H$401,$AH380)))</f>
        <v/>
      </c>
      <c r="I380" s="14">
        <f>IF($AH380="","",IF(INDEX('Per Invoice'!I$2:I$401,$AH380)="","",INDEX('Per Invoice'!I$2:I$401,$AH380)))</f>
        <v/>
      </c>
      <c r="J380">
        <f>IF($AH380="","",IF(INDEX('Per Invoice'!J$2:J$401,$AH380)="","",INDEX('Per Invoice'!J$2:J$401,$AH380)))</f>
        <v/>
      </c>
      <c r="K380">
        <f>IF($AH380="","",IF(INDEX('Per Invoice'!K$2:K$401,$AH380)="","",INDEX('Per Invoice'!K$2:K$401,$AH380)))</f>
        <v/>
      </c>
      <c r="L380">
        <f>IF($AH380="","",IF(INDEX('Per Invoice'!L$2:L$401,$AH380)="","",INDEX('Per Invoice'!L$2:L$401,$AH380)))</f>
        <v/>
      </c>
      <c r="M380">
        <f>IF($AH380="","",IF(INDEX('Per Invoice'!M$2:M$401,$AH380)="","",INDEX('Per Invoice'!M$2:M$401,$AH380)))</f>
        <v/>
      </c>
      <c r="N380">
        <f>IF($AH380="","",IF(INDEX('Per Invoice'!N$2:N$401,$AH380)="","",INDEX('Per Invoice'!N$2:N$401,$AH380)))</f>
        <v/>
      </c>
      <c r="O380">
        <f>IF($AH380="","",IF(INDEX('Per Invoice'!O$2:O$401,$AH380)="","",INDEX('Per Invoice'!O$2:O$401,$AH380)))</f>
        <v/>
      </c>
      <c r="P380" s="7">
        <f>IF($AH380="","",IF(INDEX('Per Invoice'!P$2:P$401,$AH380)="","",INDEX('Per Invoice'!P$2:P$401,$AH380)))</f>
        <v/>
      </c>
      <c r="Q380">
        <f>IF($AH380="","",IF(INDEX('Per Invoice'!Q$2:Q$401,$AH380)="","",INDEX('Per Invoice'!Q$2:Q$401,$AH380)))</f>
        <v/>
      </c>
      <c r="R380">
        <f>IF($AH380="","",IF(INDEX('Per Invoice'!R$2:R$401,$AH380)="","",INDEX('Per Invoice'!R$2:R$401,$AH380)))</f>
        <v/>
      </c>
      <c r="S380">
        <f>IF($AH380="","",IF(INDEX('Per Invoice'!S$2:S$401,$AH380)="","",INDEX('Per Invoice'!S$2:S$401,$AH380)))</f>
        <v/>
      </c>
      <c r="T380" s="7">
        <f>IF($AH380="","",IF(INDEX('Per Invoice'!T$2:T$401,$AH380)="","",INDEX('Per Invoice'!T$2:T$401,$AH380)))</f>
        <v/>
      </c>
      <c r="U380" s="7">
        <f>IF($AH380="","",IF(INDEX('Per Invoice'!U$2:U$401,$AH380)="","",INDEX('Per Invoice'!U$2:U$401,$AH380)))</f>
        <v/>
      </c>
      <c r="V380">
        <f>IF($AH380="","",IF(INDEX('Per Invoice'!V$2:V$401,$AH380)="","",INDEX('Per Invoice'!V$2:V$401,$AH380)))</f>
        <v/>
      </c>
      <c r="W380" s="7">
        <f>IF($AH380="","",IF(INDEX('Per Invoice'!W$2:W$401,$AH380)="","",INDEX('Per Invoice'!W$2:W$401,$AH380)))</f>
        <v/>
      </c>
      <c r="X380" s="7">
        <f>IF($AH380="","",IF(INDEX('Per Invoice'!X$2:X$401,$AH380)="","",INDEX('Per Invoice'!X$2:X$401,$AH380)))</f>
        <v/>
      </c>
      <c r="Y380">
        <f>IF($AH380="","",IF(INDEX('Per Invoice'!Y$2:Y$401,$AH380)="","",INDEX('Per Invoice'!Y$2:Y$401,$AH380)))</f>
        <v/>
      </c>
      <c r="Z380" s="7">
        <f>IF($AH380="","",IF(INDEX('Per Invoice'!Z$2:Z$401,$AH380)="","",INDEX('Per Invoice'!Z$2:Z$401,$AH380)))</f>
        <v/>
      </c>
      <c r="AA380" s="7">
        <f>IF($AH380="","",IF(INDEX('Per Invoice'!AA$2:AA$401,$AH380)="","",INDEX('Per Invoice'!AA$2:AA$401,$AH380)))</f>
        <v/>
      </c>
      <c r="AB380" s="7">
        <f>IF($AH380="","",IF(INDEX('Per Invoice'!AB$2:AB$401,$AH380)="","",INDEX('Per Invoice'!AB$2:AB$401,$AH380)))</f>
        <v/>
      </c>
      <c r="AC380" s="7">
        <f>IF($AH380="","",IF(INDEX('Per Invoice'!AC$2:AC$401,$AH380)="","",INDEX('Per Invoice'!AC$2:AC$401,$AH380)))</f>
        <v/>
      </c>
      <c r="AD380" s="7">
        <f>IF($AH380="","",IF(INDEX('Per Invoice'!AD$2:AD$401,$AH380)="","",INDEX('Per Invoice'!AD$2:AD$401,$AH380)))</f>
        <v/>
      </c>
      <c r="AE380" s="7">
        <f>IF($AH380="","",IF(INDEX('Per Invoice'!AE$2:AE$401,$AH380)="","",INDEX('Per Invoice'!AE$2:AE$401,$AH380)))</f>
        <v/>
      </c>
      <c r="AF380">
        <f>IF($AH380="","",IF(INDEX('Per Invoice'!AF$2:AF$401,$AH380)="","",INDEX('Per Invoice'!AF$2:AF$401,$AH380)))</f>
        <v/>
      </c>
      <c r="AG380" s="7">
        <f>IF($AH380="","",IF(INDEX('Per Invoice'!AG$2:AG$401,$AH380)="","",INDEX('Per Invoice'!AG$2:AG$401,$AH380)))</f>
        <v/>
      </c>
      <c r="AH380" s="16">
        <f>IFERROR(MATCH(Settings!$C$27&amp;"|"&amp;ROWS($AH$2:$AH380),'Per Invoice'!$AI$2:$AI$401,0),"")</f>
        <v/>
      </c>
    </row>
    <row r="381">
      <c r="A381">
        <f>IF($AH381="","",IF(INDEX('Per Invoice'!A$2:A$401,$AH381)="","",INDEX('Per Invoice'!A$2:A$401,$AH381)))</f>
        <v/>
      </c>
      <c r="B381">
        <f>IF($AH381="","",IF(INDEX('Per Invoice'!B$2:B$401,$AH381)="","",INDEX('Per Invoice'!B$2:B$401,$AH381)))</f>
        <v/>
      </c>
      <c r="C381">
        <f>IF($AH381="","",IF(INDEX('Per Invoice'!C$2:C$401,$AH381)="","",INDEX('Per Invoice'!C$2:C$401,$AH381)))</f>
        <v/>
      </c>
      <c r="D381">
        <f>IF($AH381="","",IF(INDEX('Per Invoice'!D$2:D$401,$AH381)="","",INDEX('Per Invoice'!D$2:D$401,$AH381)))</f>
        <v/>
      </c>
      <c r="E381">
        <f>IF($AH381="","",IF(INDEX('Per Invoice'!E$2:E$401,$AH381)="","",INDEX('Per Invoice'!E$2:E$401,$AH381)))</f>
        <v/>
      </c>
      <c r="F381">
        <f>IF($AH381="","",IF(INDEX('Per Invoice'!F$2:F$401,$AH381)="","",INDEX('Per Invoice'!F$2:F$401,$AH381)))</f>
        <v/>
      </c>
      <c r="G381">
        <f>IF($AH381="","",IF(INDEX('Per Invoice'!G$2:G$401,$AH381)="","",INDEX('Per Invoice'!G$2:G$401,$AH381)))</f>
        <v/>
      </c>
      <c r="H381">
        <f>IF($AH381="","",IF(INDEX('Per Invoice'!H$2:H$401,$AH381)="","",INDEX('Per Invoice'!H$2:H$401,$AH381)))</f>
        <v/>
      </c>
      <c r="I381" s="14">
        <f>IF($AH381="","",IF(INDEX('Per Invoice'!I$2:I$401,$AH381)="","",INDEX('Per Invoice'!I$2:I$401,$AH381)))</f>
        <v/>
      </c>
      <c r="J381">
        <f>IF($AH381="","",IF(INDEX('Per Invoice'!J$2:J$401,$AH381)="","",INDEX('Per Invoice'!J$2:J$401,$AH381)))</f>
        <v/>
      </c>
      <c r="K381">
        <f>IF($AH381="","",IF(INDEX('Per Invoice'!K$2:K$401,$AH381)="","",INDEX('Per Invoice'!K$2:K$401,$AH381)))</f>
        <v/>
      </c>
      <c r="L381">
        <f>IF($AH381="","",IF(INDEX('Per Invoice'!L$2:L$401,$AH381)="","",INDEX('Per Invoice'!L$2:L$401,$AH381)))</f>
        <v/>
      </c>
      <c r="M381">
        <f>IF($AH381="","",IF(INDEX('Per Invoice'!M$2:M$401,$AH381)="","",INDEX('Per Invoice'!M$2:M$401,$AH381)))</f>
        <v/>
      </c>
      <c r="N381">
        <f>IF($AH381="","",IF(INDEX('Per Invoice'!N$2:N$401,$AH381)="","",INDEX('Per Invoice'!N$2:N$401,$AH381)))</f>
        <v/>
      </c>
      <c r="O381">
        <f>IF($AH381="","",IF(INDEX('Per Invoice'!O$2:O$401,$AH381)="","",INDEX('Per Invoice'!O$2:O$401,$AH381)))</f>
        <v/>
      </c>
      <c r="P381" s="7">
        <f>IF($AH381="","",IF(INDEX('Per Invoice'!P$2:P$401,$AH381)="","",INDEX('Per Invoice'!P$2:P$401,$AH381)))</f>
        <v/>
      </c>
      <c r="Q381">
        <f>IF($AH381="","",IF(INDEX('Per Invoice'!Q$2:Q$401,$AH381)="","",INDEX('Per Invoice'!Q$2:Q$401,$AH381)))</f>
        <v/>
      </c>
      <c r="R381">
        <f>IF($AH381="","",IF(INDEX('Per Invoice'!R$2:R$401,$AH381)="","",INDEX('Per Invoice'!R$2:R$401,$AH381)))</f>
        <v/>
      </c>
      <c r="S381">
        <f>IF($AH381="","",IF(INDEX('Per Invoice'!S$2:S$401,$AH381)="","",INDEX('Per Invoice'!S$2:S$401,$AH381)))</f>
        <v/>
      </c>
      <c r="T381" s="7">
        <f>IF($AH381="","",IF(INDEX('Per Invoice'!T$2:T$401,$AH381)="","",INDEX('Per Invoice'!T$2:T$401,$AH381)))</f>
        <v/>
      </c>
      <c r="U381" s="7">
        <f>IF($AH381="","",IF(INDEX('Per Invoice'!U$2:U$401,$AH381)="","",INDEX('Per Invoice'!U$2:U$401,$AH381)))</f>
        <v/>
      </c>
      <c r="V381">
        <f>IF($AH381="","",IF(INDEX('Per Invoice'!V$2:V$401,$AH381)="","",INDEX('Per Invoice'!V$2:V$401,$AH381)))</f>
        <v/>
      </c>
      <c r="W381" s="7">
        <f>IF($AH381="","",IF(INDEX('Per Invoice'!W$2:W$401,$AH381)="","",INDEX('Per Invoice'!W$2:W$401,$AH381)))</f>
        <v/>
      </c>
      <c r="X381" s="7">
        <f>IF($AH381="","",IF(INDEX('Per Invoice'!X$2:X$401,$AH381)="","",INDEX('Per Invoice'!X$2:X$401,$AH381)))</f>
        <v/>
      </c>
      <c r="Y381">
        <f>IF($AH381="","",IF(INDEX('Per Invoice'!Y$2:Y$401,$AH381)="","",INDEX('Per Invoice'!Y$2:Y$401,$AH381)))</f>
        <v/>
      </c>
      <c r="Z381" s="7">
        <f>IF($AH381="","",IF(INDEX('Per Invoice'!Z$2:Z$401,$AH381)="","",INDEX('Per Invoice'!Z$2:Z$401,$AH381)))</f>
        <v/>
      </c>
      <c r="AA381" s="7">
        <f>IF($AH381="","",IF(INDEX('Per Invoice'!AA$2:AA$401,$AH381)="","",INDEX('Per Invoice'!AA$2:AA$401,$AH381)))</f>
        <v/>
      </c>
      <c r="AB381" s="7">
        <f>IF($AH381="","",IF(INDEX('Per Invoice'!AB$2:AB$401,$AH381)="","",INDEX('Per Invoice'!AB$2:AB$401,$AH381)))</f>
        <v/>
      </c>
      <c r="AC381" s="7">
        <f>IF($AH381="","",IF(INDEX('Per Invoice'!AC$2:AC$401,$AH381)="","",INDEX('Per Invoice'!AC$2:AC$401,$AH381)))</f>
        <v/>
      </c>
      <c r="AD381" s="7">
        <f>IF($AH381="","",IF(INDEX('Per Invoice'!AD$2:AD$401,$AH381)="","",INDEX('Per Invoice'!AD$2:AD$401,$AH381)))</f>
        <v/>
      </c>
      <c r="AE381" s="7">
        <f>IF($AH381="","",IF(INDEX('Per Invoice'!AE$2:AE$401,$AH381)="","",INDEX('Per Invoice'!AE$2:AE$401,$AH381)))</f>
        <v/>
      </c>
      <c r="AF381">
        <f>IF($AH381="","",IF(INDEX('Per Invoice'!AF$2:AF$401,$AH381)="","",INDEX('Per Invoice'!AF$2:AF$401,$AH381)))</f>
        <v/>
      </c>
      <c r="AG381" s="7">
        <f>IF($AH381="","",IF(INDEX('Per Invoice'!AG$2:AG$401,$AH381)="","",INDEX('Per Invoice'!AG$2:AG$401,$AH381)))</f>
        <v/>
      </c>
      <c r="AH381" s="16">
        <f>IFERROR(MATCH(Settings!$C$27&amp;"|"&amp;ROWS($AH$2:$AH381),'Per Invoice'!$AI$2:$AI$401,0),"")</f>
        <v/>
      </c>
    </row>
    <row r="382">
      <c r="A382">
        <f>IF($AH382="","",IF(INDEX('Per Invoice'!A$2:A$401,$AH382)="","",INDEX('Per Invoice'!A$2:A$401,$AH382)))</f>
        <v/>
      </c>
      <c r="B382">
        <f>IF($AH382="","",IF(INDEX('Per Invoice'!B$2:B$401,$AH382)="","",INDEX('Per Invoice'!B$2:B$401,$AH382)))</f>
        <v/>
      </c>
      <c r="C382">
        <f>IF($AH382="","",IF(INDEX('Per Invoice'!C$2:C$401,$AH382)="","",INDEX('Per Invoice'!C$2:C$401,$AH382)))</f>
        <v/>
      </c>
      <c r="D382">
        <f>IF($AH382="","",IF(INDEX('Per Invoice'!D$2:D$401,$AH382)="","",INDEX('Per Invoice'!D$2:D$401,$AH382)))</f>
        <v/>
      </c>
      <c r="E382">
        <f>IF($AH382="","",IF(INDEX('Per Invoice'!E$2:E$401,$AH382)="","",INDEX('Per Invoice'!E$2:E$401,$AH382)))</f>
        <v/>
      </c>
      <c r="F382">
        <f>IF($AH382="","",IF(INDEX('Per Invoice'!F$2:F$401,$AH382)="","",INDEX('Per Invoice'!F$2:F$401,$AH382)))</f>
        <v/>
      </c>
      <c r="G382">
        <f>IF($AH382="","",IF(INDEX('Per Invoice'!G$2:G$401,$AH382)="","",INDEX('Per Invoice'!G$2:G$401,$AH382)))</f>
        <v/>
      </c>
      <c r="H382">
        <f>IF($AH382="","",IF(INDEX('Per Invoice'!H$2:H$401,$AH382)="","",INDEX('Per Invoice'!H$2:H$401,$AH382)))</f>
        <v/>
      </c>
      <c r="I382" s="14">
        <f>IF($AH382="","",IF(INDEX('Per Invoice'!I$2:I$401,$AH382)="","",INDEX('Per Invoice'!I$2:I$401,$AH382)))</f>
        <v/>
      </c>
      <c r="J382">
        <f>IF($AH382="","",IF(INDEX('Per Invoice'!J$2:J$401,$AH382)="","",INDEX('Per Invoice'!J$2:J$401,$AH382)))</f>
        <v/>
      </c>
      <c r="K382">
        <f>IF($AH382="","",IF(INDEX('Per Invoice'!K$2:K$401,$AH382)="","",INDEX('Per Invoice'!K$2:K$401,$AH382)))</f>
        <v/>
      </c>
      <c r="L382">
        <f>IF($AH382="","",IF(INDEX('Per Invoice'!L$2:L$401,$AH382)="","",INDEX('Per Invoice'!L$2:L$401,$AH382)))</f>
        <v/>
      </c>
      <c r="M382">
        <f>IF($AH382="","",IF(INDEX('Per Invoice'!M$2:M$401,$AH382)="","",INDEX('Per Invoice'!M$2:M$401,$AH382)))</f>
        <v/>
      </c>
      <c r="N382">
        <f>IF($AH382="","",IF(INDEX('Per Invoice'!N$2:N$401,$AH382)="","",INDEX('Per Invoice'!N$2:N$401,$AH382)))</f>
        <v/>
      </c>
      <c r="O382">
        <f>IF($AH382="","",IF(INDEX('Per Invoice'!O$2:O$401,$AH382)="","",INDEX('Per Invoice'!O$2:O$401,$AH382)))</f>
        <v/>
      </c>
      <c r="P382" s="7">
        <f>IF($AH382="","",IF(INDEX('Per Invoice'!P$2:P$401,$AH382)="","",INDEX('Per Invoice'!P$2:P$401,$AH382)))</f>
        <v/>
      </c>
      <c r="Q382">
        <f>IF($AH382="","",IF(INDEX('Per Invoice'!Q$2:Q$401,$AH382)="","",INDEX('Per Invoice'!Q$2:Q$401,$AH382)))</f>
        <v/>
      </c>
      <c r="R382">
        <f>IF($AH382="","",IF(INDEX('Per Invoice'!R$2:R$401,$AH382)="","",INDEX('Per Invoice'!R$2:R$401,$AH382)))</f>
        <v/>
      </c>
      <c r="S382">
        <f>IF($AH382="","",IF(INDEX('Per Invoice'!S$2:S$401,$AH382)="","",INDEX('Per Invoice'!S$2:S$401,$AH382)))</f>
        <v/>
      </c>
      <c r="T382" s="7">
        <f>IF($AH382="","",IF(INDEX('Per Invoice'!T$2:T$401,$AH382)="","",INDEX('Per Invoice'!T$2:T$401,$AH382)))</f>
        <v/>
      </c>
      <c r="U382" s="7">
        <f>IF($AH382="","",IF(INDEX('Per Invoice'!U$2:U$401,$AH382)="","",INDEX('Per Invoice'!U$2:U$401,$AH382)))</f>
        <v/>
      </c>
      <c r="V382">
        <f>IF($AH382="","",IF(INDEX('Per Invoice'!V$2:V$401,$AH382)="","",INDEX('Per Invoice'!V$2:V$401,$AH382)))</f>
        <v/>
      </c>
      <c r="W382" s="7">
        <f>IF($AH382="","",IF(INDEX('Per Invoice'!W$2:W$401,$AH382)="","",INDEX('Per Invoice'!W$2:W$401,$AH382)))</f>
        <v/>
      </c>
      <c r="X382" s="7">
        <f>IF($AH382="","",IF(INDEX('Per Invoice'!X$2:X$401,$AH382)="","",INDEX('Per Invoice'!X$2:X$401,$AH382)))</f>
        <v/>
      </c>
      <c r="Y382">
        <f>IF($AH382="","",IF(INDEX('Per Invoice'!Y$2:Y$401,$AH382)="","",INDEX('Per Invoice'!Y$2:Y$401,$AH382)))</f>
        <v/>
      </c>
      <c r="Z382" s="7">
        <f>IF($AH382="","",IF(INDEX('Per Invoice'!Z$2:Z$401,$AH382)="","",INDEX('Per Invoice'!Z$2:Z$401,$AH382)))</f>
        <v/>
      </c>
      <c r="AA382" s="7">
        <f>IF($AH382="","",IF(INDEX('Per Invoice'!AA$2:AA$401,$AH382)="","",INDEX('Per Invoice'!AA$2:AA$401,$AH382)))</f>
        <v/>
      </c>
      <c r="AB382" s="7">
        <f>IF($AH382="","",IF(INDEX('Per Invoice'!AB$2:AB$401,$AH382)="","",INDEX('Per Invoice'!AB$2:AB$401,$AH382)))</f>
        <v/>
      </c>
      <c r="AC382" s="7">
        <f>IF($AH382="","",IF(INDEX('Per Invoice'!AC$2:AC$401,$AH382)="","",INDEX('Per Invoice'!AC$2:AC$401,$AH382)))</f>
        <v/>
      </c>
      <c r="AD382" s="7">
        <f>IF($AH382="","",IF(INDEX('Per Invoice'!AD$2:AD$401,$AH382)="","",INDEX('Per Invoice'!AD$2:AD$401,$AH382)))</f>
        <v/>
      </c>
      <c r="AE382" s="7">
        <f>IF($AH382="","",IF(INDEX('Per Invoice'!AE$2:AE$401,$AH382)="","",INDEX('Per Invoice'!AE$2:AE$401,$AH382)))</f>
        <v/>
      </c>
      <c r="AF382">
        <f>IF($AH382="","",IF(INDEX('Per Invoice'!AF$2:AF$401,$AH382)="","",INDEX('Per Invoice'!AF$2:AF$401,$AH382)))</f>
        <v/>
      </c>
      <c r="AG382" s="7">
        <f>IF($AH382="","",IF(INDEX('Per Invoice'!AG$2:AG$401,$AH382)="","",INDEX('Per Invoice'!AG$2:AG$401,$AH382)))</f>
        <v/>
      </c>
      <c r="AH382" s="16">
        <f>IFERROR(MATCH(Settings!$C$27&amp;"|"&amp;ROWS($AH$2:$AH382),'Per Invoice'!$AI$2:$AI$401,0),"")</f>
        <v/>
      </c>
    </row>
    <row r="383">
      <c r="A383">
        <f>IF($AH383="","",IF(INDEX('Per Invoice'!A$2:A$401,$AH383)="","",INDEX('Per Invoice'!A$2:A$401,$AH383)))</f>
        <v/>
      </c>
      <c r="B383">
        <f>IF($AH383="","",IF(INDEX('Per Invoice'!B$2:B$401,$AH383)="","",INDEX('Per Invoice'!B$2:B$401,$AH383)))</f>
        <v/>
      </c>
      <c r="C383">
        <f>IF($AH383="","",IF(INDEX('Per Invoice'!C$2:C$401,$AH383)="","",INDEX('Per Invoice'!C$2:C$401,$AH383)))</f>
        <v/>
      </c>
      <c r="D383">
        <f>IF($AH383="","",IF(INDEX('Per Invoice'!D$2:D$401,$AH383)="","",INDEX('Per Invoice'!D$2:D$401,$AH383)))</f>
        <v/>
      </c>
      <c r="E383">
        <f>IF($AH383="","",IF(INDEX('Per Invoice'!E$2:E$401,$AH383)="","",INDEX('Per Invoice'!E$2:E$401,$AH383)))</f>
        <v/>
      </c>
      <c r="F383">
        <f>IF($AH383="","",IF(INDEX('Per Invoice'!F$2:F$401,$AH383)="","",INDEX('Per Invoice'!F$2:F$401,$AH383)))</f>
        <v/>
      </c>
      <c r="G383">
        <f>IF($AH383="","",IF(INDEX('Per Invoice'!G$2:G$401,$AH383)="","",INDEX('Per Invoice'!G$2:G$401,$AH383)))</f>
        <v/>
      </c>
      <c r="H383">
        <f>IF($AH383="","",IF(INDEX('Per Invoice'!H$2:H$401,$AH383)="","",INDEX('Per Invoice'!H$2:H$401,$AH383)))</f>
        <v/>
      </c>
      <c r="I383" s="14">
        <f>IF($AH383="","",IF(INDEX('Per Invoice'!I$2:I$401,$AH383)="","",INDEX('Per Invoice'!I$2:I$401,$AH383)))</f>
        <v/>
      </c>
      <c r="J383">
        <f>IF($AH383="","",IF(INDEX('Per Invoice'!J$2:J$401,$AH383)="","",INDEX('Per Invoice'!J$2:J$401,$AH383)))</f>
        <v/>
      </c>
      <c r="K383">
        <f>IF($AH383="","",IF(INDEX('Per Invoice'!K$2:K$401,$AH383)="","",INDEX('Per Invoice'!K$2:K$401,$AH383)))</f>
        <v/>
      </c>
      <c r="L383">
        <f>IF($AH383="","",IF(INDEX('Per Invoice'!L$2:L$401,$AH383)="","",INDEX('Per Invoice'!L$2:L$401,$AH383)))</f>
        <v/>
      </c>
      <c r="M383">
        <f>IF($AH383="","",IF(INDEX('Per Invoice'!M$2:M$401,$AH383)="","",INDEX('Per Invoice'!M$2:M$401,$AH383)))</f>
        <v/>
      </c>
      <c r="N383">
        <f>IF($AH383="","",IF(INDEX('Per Invoice'!N$2:N$401,$AH383)="","",INDEX('Per Invoice'!N$2:N$401,$AH383)))</f>
        <v/>
      </c>
      <c r="O383">
        <f>IF($AH383="","",IF(INDEX('Per Invoice'!O$2:O$401,$AH383)="","",INDEX('Per Invoice'!O$2:O$401,$AH383)))</f>
        <v/>
      </c>
      <c r="P383" s="7">
        <f>IF($AH383="","",IF(INDEX('Per Invoice'!P$2:P$401,$AH383)="","",INDEX('Per Invoice'!P$2:P$401,$AH383)))</f>
        <v/>
      </c>
      <c r="Q383">
        <f>IF($AH383="","",IF(INDEX('Per Invoice'!Q$2:Q$401,$AH383)="","",INDEX('Per Invoice'!Q$2:Q$401,$AH383)))</f>
        <v/>
      </c>
      <c r="R383">
        <f>IF($AH383="","",IF(INDEX('Per Invoice'!R$2:R$401,$AH383)="","",INDEX('Per Invoice'!R$2:R$401,$AH383)))</f>
        <v/>
      </c>
      <c r="S383">
        <f>IF($AH383="","",IF(INDEX('Per Invoice'!S$2:S$401,$AH383)="","",INDEX('Per Invoice'!S$2:S$401,$AH383)))</f>
        <v/>
      </c>
      <c r="T383" s="7">
        <f>IF($AH383="","",IF(INDEX('Per Invoice'!T$2:T$401,$AH383)="","",INDEX('Per Invoice'!T$2:T$401,$AH383)))</f>
        <v/>
      </c>
      <c r="U383" s="7">
        <f>IF($AH383="","",IF(INDEX('Per Invoice'!U$2:U$401,$AH383)="","",INDEX('Per Invoice'!U$2:U$401,$AH383)))</f>
        <v/>
      </c>
      <c r="V383">
        <f>IF($AH383="","",IF(INDEX('Per Invoice'!V$2:V$401,$AH383)="","",INDEX('Per Invoice'!V$2:V$401,$AH383)))</f>
        <v/>
      </c>
      <c r="W383" s="7">
        <f>IF($AH383="","",IF(INDEX('Per Invoice'!W$2:W$401,$AH383)="","",INDEX('Per Invoice'!W$2:W$401,$AH383)))</f>
        <v/>
      </c>
      <c r="X383" s="7">
        <f>IF($AH383="","",IF(INDEX('Per Invoice'!X$2:X$401,$AH383)="","",INDEX('Per Invoice'!X$2:X$401,$AH383)))</f>
        <v/>
      </c>
      <c r="Y383">
        <f>IF($AH383="","",IF(INDEX('Per Invoice'!Y$2:Y$401,$AH383)="","",INDEX('Per Invoice'!Y$2:Y$401,$AH383)))</f>
        <v/>
      </c>
      <c r="Z383" s="7">
        <f>IF($AH383="","",IF(INDEX('Per Invoice'!Z$2:Z$401,$AH383)="","",INDEX('Per Invoice'!Z$2:Z$401,$AH383)))</f>
        <v/>
      </c>
      <c r="AA383" s="7">
        <f>IF($AH383="","",IF(INDEX('Per Invoice'!AA$2:AA$401,$AH383)="","",INDEX('Per Invoice'!AA$2:AA$401,$AH383)))</f>
        <v/>
      </c>
      <c r="AB383" s="7">
        <f>IF($AH383="","",IF(INDEX('Per Invoice'!AB$2:AB$401,$AH383)="","",INDEX('Per Invoice'!AB$2:AB$401,$AH383)))</f>
        <v/>
      </c>
      <c r="AC383" s="7">
        <f>IF($AH383="","",IF(INDEX('Per Invoice'!AC$2:AC$401,$AH383)="","",INDEX('Per Invoice'!AC$2:AC$401,$AH383)))</f>
        <v/>
      </c>
      <c r="AD383" s="7">
        <f>IF($AH383="","",IF(INDEX('Per Invoice'!AD$2:AD$401,$AH383)="","",INDEX('Per Invoice'!AD$2:AD$401,$AH383)))</f>
        <v/>
      </c>
      <c r="AE383" s="7">
        <f>IF($AH383="","",IF(INDEX('Per Invoice'!AE$2:AE$401,$AH383)="","",INDEX('Per Invoice'!AE$2:AE$401,$AH383)))</f>
        <v/>
      </c>
      <c r="AF383">
        <f>IF($AH383="","",IF(INDEX('Per Invoice'!AF$2:AF$401,$AH383)="","",INDEX('Per Invoice'!AF$2:AF$401,$AH383)))</f>
        <v/>
      </c>
      <c r="AG383" s="7">
        <f>IF($AH383="","",IF(INDEX('Per Invoice'!AG$2:AG$401,$AH383)="","",INDEX('Per Invoice'!AG$2:AG$401,$AH383)))</f>
        <v/>
      </c>
      <c r="AH383" s="16">
        <f>IFERROR(MATCH(Settings!$C$27&amp;"|"&amp;ROWS($AH$2:$AH383),'Per Invoice'!$AI$2:$AI$401,0),"")</f>
        <v/>
      </c>
    </row>
    <row r="384">
      <c r="A384">
        <f>IF($AH384="","",IF(INDEX('Per Invoice'!A$2:A$401,$AH384)="","",INDEX('Per Invoice'!A$2:A$401,$AH384)))</f>
        <v/>
      </c>
      <c r="B384">
        <f>IF($AH384="","",IF(INDEX('Per Invoice'!B$2:B$401,$AH384)="","",INDEX('Per Invoice'!B$2:B$401,$AH384)))</f>
        <v/>
      </c>
      <c r="C384">
        <f>IF($AH384="","",IF(INDEX('Per Invoice'!C$2:C$401,$AH384)="","",INDEX('Per Invoice'!C$2:C$401,$AH384)))</f>
        <v/>
      </c>
      <c r="D384">
        <f>IF($AH384="","",IF(INDEX('Per Invoice'!D$2:D$401,$AH384)="","",INDEX('Per Invoice'!D$2:D$401,$AH384)))</f>
        <v/>
      </c>
      <c r="E384">
        <f>IF($AH384="","",IF(INDEX('Per Invoice'!E$2:E$401,$AH384)="","",INDEX('Per Invoice'!E$2:E$401,$AH384)))</f>
        <v/>
      </c>
      <c r="F384">
        <f>IF($AH384="","",IF(INDEX('Per Invoice'!F$2:F$401,$AH384)="","",INDEX('Per Invoice'!F$2:F$401,$AH384)))</f>
        <v/>
      </c>
      <c r="G384">
        <f>IF($AH384="","",IF(INDEX('Per Invoice'!G$2:G$401,$AH384)="","",INDEX('Per Invoice'!G$2:G$401,$AH384)))</f>
        <v/>
      </c>
      <c r="H384">
        <f>IF($AH384="","",IF(INDEX('Per Invoice'!H$2:H$401,$AH384)="","",INDEX('Per Invoice'!H$2:H$401,$AH384)))</f>
        <v/>
      </c>
      <c r="I384" s="14">
        <f>IF($AH384="","",IF(INDEX('Per Invoice'!I$2:I$401,$AH384)="","",INDEX('Per Invoice'!I$2:I$401,$AH384)))</f>
        <v/>
      </c>
      <c r="J384">
        <f>IF($AH384="","",IF(INDEX('Per Invoice'!J$2:J$401,$AH384)="","",INDEX('Per Invoice'!J$2:J$401,$AH384)))</f>
        <v/>
      </c>
      <c r="K384">
        <f>IF($AH384="","",IF(INDEX('Per Invoice'!K$2:K$401,$AH384)="","",INDEX('Per Invoice'!K$2:K$401,$AH384)))</f>
        <v/>
      </c>
      <c r="L384">
        <f>IF($AH384="","",IF(INDEX('Per Invoice'!L$2:L$401,$AH384)="","",INDEX('Per Invoice'!L$2:L$401,$AH384)))</f>
        <v/>
      </c>
      <c r="M384">
        <f>IF($AH384="","",IF(INDEX('Per Invoice'!M$2:M$401,$AH384)="","",INDEX('Per Invoice'!M$2:M$401,$AH384)))</f>
        <v/>
      </c>
      <c r="N384">
        <f>IF($AH384="","",IF(INDEX('Per Invoice'!N$2:N$401,$AH384)="","",INDEX('Per Invoice'!N$2:N$401,$AH384)))</f>
        <v/>
      </c>
      <c r="O384">
        <f>IF($AH384="","",IF(INDEX('Per Invoice'!O$2:O$401,$AH384)="","",INDEX('Per Invoice'!O$2:O$401,$AH384)))</f>
        <v/>
      </c>
      <c r="P384" s="7">
        <f>IF($AH384="","",IF(INDEX('Per Invoice'!P$2:P$401,$AH384)="","",INDEX('Per Invoice'!P$2:P$401,$AH384)))</f>
        <v/>
      </c>
      <c r="Q384">
        <f>IF($AH384="","",IF(INDEX('Per Invoice'!Q$2:Q$401,$AH384)="","",INDEX('Per Invoice'!Q$2:Q$401,$AH384)))</f>
        <v/>
      </c>
      <c r="R384">
        <f>IF($AH384="","",IF(INDEX('Per Invoice'!R$2:R$401,$AH384)="","",INDEX('Per Invoice'!R$2:R$401,$AH384)))</f>
        <v/>
      </c>
      <c r="S384">
        <f>IF($AH384="","",IF(INDEX('Per Invoice'!S$2:S$401,$AH384)="","",INDEX('Per Invoice'!S$2:S$401,$AH384)))</f>
        <v/>
      </c>
      <c r="T384" s="7">
        <f>IF($AH384="","",IF(INDEX('Per Invoice'!T$2:T$401,$AH384)="","",INDEX('Per Invoice'!T$2:T$401,$AH384)))</f>
        <v/>
      </c>
      <c r="U384" s="7">
        <f>IF($AH384="","",IF(INDEX('Per Invoice'!U$2:U$401,$AH384)="","",INDEX('Per Invoice'!U$2:U$401,$AH384)))</f>
        <v/>
      </c>
      <c r="V384">
        <f>IF($AH384="","",IF(INDEX('Per Invoice'!V$2:V$401,$AH384)="","",INDEX('Per Invoice'!V$2:V$401,$AH384)))</f>
        <v/>
      </c>
      <c r="W384" s="7">
        <f>IF($AH384="","",IF(INDEX('Per Invoice'!W$2:W$401,$AH384)="","",INDEX('Per Invoice'!W$2:W$401,$AH384)))</f>
        <v/>
      </c>
      <c r="X384" s="7">
        <f>IF($AH384="","",IF(INDEX('Per Invoice'!X$2:X$401,$AH384)="","",INDEX('Per Invoice'!X$2:X$401,$AH384)))</f>
        <v/>
      </c>
      <c r="Y384">
        <f>IF($AH384="","",IF(INDEX('Per Invoice'!Y$2:Y$401,$AH384)="","",INDEX('Per Invoice'!Y$2:Y$401,$AH384)))</f>
        <v/>
      </c>
      <c r="Z384" s="7">
        <f>IF($AH384="","",IF(INDEX('Per Invoice'!Z$2:Z$401,$AH384)="","",INDEX('Per Invoice'!Z$2:Z$401,$AH384)))</f>
        <v/>
      </c>
      <c r="AA384" s="7">
        <f>IF($AH384="","",IF(INDEX('Per Invoice'!AA$2:AA$401,$AH384)="","",INDEX('Per Invoice'!AA$2:AA$401,$AH384)))</f>
        <v/>
      </c>
      <c r="AB384" s="7">
        <f>IF($AH384="","",IF(INDEX('Per Invoice'!AB$2:AB$401,$AH384)="","",INDEX('Per Invoice'!AB$2:AB$401,$AH384)))</f>
        <v/>
      </c>
      <c r="AC384" s="7">
        <f>IF($AH384="","",IF(INDEX('Per Invoice'!AC$2:AC$401,$AH384)="","",INDEX('Per Invoice'!AC$2:AC$401,$AH384)))</f>
        <v/>
      </c>
      <c r="AD384" s="7">
        <f>IF($AH384="","",IF(INDEX('Per Invoice'!AD$2:AD$401,$AH384)="","",INDEX('Per Invoice'!AD$2:AD$401,$AH384)))</f>
        <v/>
      </c>
      <c r="AE384" s="7">
        <f>IF($AH384="","",IF(INDEX('Per Invoice'!AE$2:AE$401,$AH384)="","",INDEX('Per Invoice'!AE$2:AE$401,$AH384)))</f>
        <v/>
      </c>
      <c r="AF384">
        <f>IF($AH384="","",IF(INDEX('Per Invoice'!AF$2:AF$401,$AH384)="","",INDEX('Per Invoice'!AF$2:AF$401,$AH384)))</f>
        <v/>
      </c>
      <c r="AG384" s="7">
        <f>IF($AH384="","",IF(INDEX('Per Invoice'!AG$2:AG$401,$AH384)="","",INDEX('Per Invoice'!AG$2:AG$401,$AH384)))</f>
        <v/>
      </c>
      <c r="AH384" s="16">
        <f>IFERROR(MATCH(Settings!$C$27&amp;"|"&amp;ROWS($AH$2:$AH384),'Per Invoice'!$AI$2:$AI$401,0),"")</f>
        <v/>
      </c>
    </row>
    <row r="385">
      <c r="A385">
        <f>IF($AH385="","",IF(INDEX('Per Invoice'!A$2:A$401,$AH385)="","",INDEX('Per Invoice'!A$2:A$401,$AH385)))</f>
        <v/>
      </c>
      <c r="B385">
        <f>IF($AH385="","",IF(INDEX('Per Invoice'!B$2:B$401,$AH385)="","",INDEX('Per Invoice'!B$2:B$401,$AH385)))</f>
        <v/>
      </c>
      <c r="C385">
        <f>IF($AH385="","",IF(INDEX('Per Invoice'!C$2:C$401,$AH385)="","",INDEX('Per Invoice'!C$2:C$401,$AH385)))</f>
        <v/>
      </c>
      <c r="D385">
        <f>IF($AH385="","",IF(INDEX('Per Invoice'!D$2:D$401,$AH385)="","",INDEX('Per Invoice'!D$2:D$401,$AH385)))</f>
        <v/>
      </c>
      <c r="E385">
        <f>IF($AH385="","",IF(INDEX('Per Invoice'!E$2:E$401,$AH385)="","",INDEX('Per Invoice'!E$2:E$401,$AH385)))</f>
        <v/>
      </c>
      <c r="F385">
        <f>IF($AH385="","",IF(INDEX('Per Invoice'!F$2:F$401,$AH385)="","",INDEX('Per Invoice'!F$2:F$401,$AH385)))</f>
        <v/>
      </c>
      <c r="G385">
        <f>IF($AH385="","",IF(INDEX('Per Invoice'!G$2:G$401,$AH385)="","",INDEX('Per Invoice'!G$2:G$401,$AH385)))</f>
        <v/>
      </c>
      <c r="H385">
        <f>IF($AH385="","",IF(INDEX('Per Invoice'!H$2:H$401,$AH385)="","",INDEX('Per Invoice'!H$2:H$401,$AH385)))</f>
        <v/>
      </c>
      <c r="I385" s="14">
        <f>IF($AH385="","",IF(INDEX('Per Invoice'!I$2:I$401,$AH385)="","",INDEX('Per Invoice'!I$2:I$401,$AH385)))</f>
        <v/>
      </c>
      <c r="J385">
        <f>IF($AH385="","",IF(INDEX('Per Invoice'!J$2:J$401,$AH385)="","",INDEX('Per Invoice'!J$2:J$401,$AH385)))</f>
        <v/>
      </c>
      <c r="K385">
        <f>IF($AH385="","",IF(INDEX('Per Invoice'!K$2:K$401,$AH385)="","",INDEX('Per Invoice'!K$2:K$401,$AH385)))</f>
        <v/>
      </c>
      <c r="L385">
        <f>IF($AH385="","",IF(INDEX('Per Invoice'!L$2:L$401,$AH385)="","",INDEX('Per Invoice'!L$2:L$401,$AH385)))</f>
        <v/>
      </c>
      <c r="M385">
        <f>IF($AH385="","",IF(INDEX('Per Invoice'!M$2:M$401,$AH385)="","",INDEX('Per Invoice'!M$2:M$401,$AH385)))</f>
        <v/>
      </c>
      <c r="N385">
        <f>IF($AH385="","",IF(INDEX('Per Invoice'!N$2:N$401,$AH385)="","",INDEX('Per Invoice'!N$2:N$401,$AH385)))</f>
        <v/>
      </c>
      <c r="O385">
        <f>IF($AH385="","",IF(INDEX('Per Invoice'!O$2:O$401,$AH385)="","",INDEX('Per Invoice'!O$2:O$401,$AH385)))</f>
        <v/>
      </c>
      <c r="P385" s="7">
        <f>IF($AH385="","",IF(INDEX('Per Invoice'!P$2:P$401,$AH385)="","",INDEX('Per Invoice'!P$2:P$401,$AH385)))</f>
        <v/>
      </c>
      <c r="Q385">
        <f>IF($AH385="","",IF(INDEX('Per Invoice'!Q$2:Q$401,$AH385)="","",INDEX('Per Invoice'!Q$2:Q$401,$AH385)))</f>
        <v/>
      </c>
      <c r="R385">
        <f>IF($AH385="","",IF(INDEX('Per Invoice'!R$2:R$401,$AH385)="","",INDEX('Per Invoice'!R$2:R$401,$AH385)))</f>
        <v/>
      </c>
      <c r="S385">
        <f>IF($AH385="","",IF(INDEX('Per Invoice'!S$2:S$401,$AH385)="","",INDEX('Per Invoice'!S$2:S$401,$AH385)))</f>
        <v/>
      </c>
      <c r="T385" s="7">
        <f>IF($AH385="","",IF(INDEX('Per Invoice'!T$2:T$401,$AH385)="","",INDEX('Per Invoice'!T$2:T$401,$AH385)))</f>
        <v/>
      </c>
      <c r="U385" s="7">
        <f>IF($AH385="","",IF(INDEX('Per Invoice'!U$2:U$401,$AH385)="","",INDEX('Per Invoice'!U$2:U$401,$AH385)))</f>
        <v/>
      </c>
      <c r="V385">
        <f>IF($AH385="","",IF(INDEX('Per Invoice'!V$2:V$401,$AH385)="","",INDEX('Per Invoice'!V$2:V$401,$AH385)))</f>
        <v/>
      </c>
      <c r="W385" s="7">
        <f>IF($AH385="","",IF(INDEX('Per Invoice'!W$2:W$401,$AH385)="","",INDEX('Per Invoice'!W$2:W$401,$AH385)))</f>
        <v/>
      </c>
      <c r="X385" s="7">
        <f>IF($AH385="","",IF(INDEX('Per Invoice'!X$2:X$401,$AH385)="","",INDEX('Per Invoice'!X$2:X$401,$AH385)))</f>
        <v/>
      </c>
      <c r="Y385">
        <f>IF($AH385="","",IF(INDEX('Per Invoice'!Y$2:Y$401,$AH385)="","",INDEX('Per Invoice'!Y$2:Y$401,$AH385)))</f>
        <v/>
      </c>
      <c r="Z385" s="7">
        <f>IF($AH385="","",IF(INDEX('Per Invoice'!Z$2:Z$401,$AH385)="","",INDEX('Per Invoice'!Z$2:Z$401,$AH385)))</f>
        <v/>
      </c>
      <c r="AA385" s="7">
        <f>IF($AH385="","",IF(INDEX('Per Invoice'!AA$2:AA$401,$AH385)="","",INDEX('Per Invoice'!AA$2:AA$401,$AH385)))</f>
        <v/>
      </c>
      <c r="AB385" s="7">
        <f>IF($AH385="","",IF(INDEX('Per Invoice'!AB$2:AB$401,$AH385)="","",INDEX('Per Invoice'!AB$2:AB$401,$AH385)))</f>
        <v/>
      </c>
      <c r="AC385" s="7">
        <f>IF($AH385="","",IF(INDEX('Per Invoice'!AC$2:AC$401,$AH385)="","",INDEX('Per Invoice'!AC$2:AC$401,$AH385)))</f>
        <v/>
      </c>
      <c r="AD385" s="7">
        <f>IF($AH385="","",IF(INDEX('Per Invoice'!AD$2:AD$401,$AH385)="","",INDEX('Per Invoice'!AD$2:AD$401,$AH385)))</f>
        <v/>
      </c>
      <c r="AE385" s="7">
        <f>IF($AH385="","",IF(INDEX('Per Invoice'!AE$2:AE$401,$AH385)="","",INDEX('Per Invoice'!AE$2:AE$401,$AH385)))</f>
        <v/>
      </c>
      <c r="AF385">
        <f>IF($AH385="","",IF(INDEX('Per Invoice'!AF$2:AF$401,$AH385)="","",INDEX('Per Invoice'!AF$2:AF$401,$AH385)))</f>
        <v/>
      </c>
      <c r="AG385" s="7">
        <f>IF($AH385="","",IF(INDEX('Per Invoice'!AG$2:AG$401,$AH385)="","",INDEX('Per Invoice'!AG$2:AG$401,$AH385)))</f>
        <v/>
      </c>
      <c r="AH385" s="16">
        <f>IFERROR(MATCH(Settings!$C$27&amp;"|"&amp;ROWS($AH$2:$AH385),'Per Invoice'!$AI$2:$AI$401,0),"")</f>
        <v/>
      </c>
    </row>
    <row r="386">
      <c r="A386">
        <f>IF($AH386="","",IF(INDEX('Per Invoice'!A$2:A$401,$AH386)="","",INDEX('Per Invoice'!A$2:A$401,$AH386)))</f>
        <v/>
      </c>
      <c r="B386">
        <f>IF($AH386="","",IF(INDEX('Per Invoice'!B$2:B$401,$AH386)="","",INDEX('Per Invoice'!B$2:B$401,$AH386)))</f>
        <v/>
      </c>
      <c r="C386">
        <f>IF($AH386="","",IF(INDEX('Per Invoice'!C$2:C$401,$AH386)="","",INDEX('Per Invoice'!C$2:C$401,$AH386)))</f>
        <v/>
      </c>
      <c r="D386">
        <f>IF($AH386="","",IF(INDEX('Per Invoice'!D$2:D$401,$AH386)="","",INDEX('Per Invoice'!D$2:D$401,$AH386)))</f>
        <v/>
      </c>
      <c r="E386">
        <f>IF($AH386="","",IF(INDEX('Per Invoice'!E$2:E$401,$AH386)="","",INDEX('Per Invoice'!E$2:E$401,$AH386)))</f>
        <v/>
      </c>
      <c r="F386">
        <f>IF($AH386="","",IF(INDEX('Per Invoice'!F$2:F$401,$AH386)="","",INDEX('Per Invoice'!F$2:F$401,$AH386)))</f>
        <v/>
      </c>
      <c r="G386">
        <f>IF($AH386="","",IF(INDEX('Per Invoice'!G$2:G$401,$AH386)="","",INDEX('Per Invoice'!G$2:G$401,$AH386)))</f>
        <v/>
      </c>
      <c r="H386">
        <f>IF($AH386="","",IF(INDEX('Per Invoice'!H$2:H$401,$AH386)="","",INDEX('Per Invoice'!H$2:H$401,$AH386)))</f>
        <v/>
      </c>
      <c r="I386" s="14">
        <f>IF($AH386="","",IF(INDEX('Per Invoice'!I$2:I$401,$AH386)="","",INDEX('Per Invoice'!I$2:I$401,$AH386)))</f>
        <v/>
      </c>
      <c r="J386">
        <f>IF($AH386="","",IF(INDEX('Per Invoice'!J$2:J$401,$AH386)="","",INDEX('Per Invoice'!J$2:J$401,$AH386)))</f>
        <v/>
      </c>
      <c r="K386">
        <f>IF($AH386="","",IF(INDEX('Per Invoice'!K$2:K$401,$AH386)="","",INDEX('Per Invoice'!K$2:K$401,$AH386)))</f>
        <v/>
      </c>
      <c r="L386">
        <f>IF($AH386="","",IF(INDEX('Per Invoice'!L$2:L$401,$AH386)="","",INDEX('Per Invoice'!L$2:L$401,$AH386)))</f>
        <v/>
      </c>
      <c r="M386">
        <f>IF($AH386="","",IF(INDEX('Per Invoice'!M$2:M$401,$AH386)="","",INDEX('Per Invoice'!M$2:M$401,$AH386)))</f>
        <v/>
      </c>
      <c r="N386">
        <f>IF($AH386="","",IF(INDEX('Per Invoice'!N$2:N$401,$AH386)="","",INDEX('Per Invoice'!N$2:N$401,$AH386)))</f>
        <v/>
      </c>
      <c r="O386">
        <f>IF($AH386="","",IF(INDEX('Per Invoice'!O$2:O$401,$AH386)="","",INDEX('Per Invoice'!O$2:O$401,$AH386)))</f>
        <v/>
      </c>
      <c r="P386" s="7">
        <f>IF($AH386="","",IF(INDEX('Per Invoice'!P$2:P$401,$AH386)="","",INDEX('Per Invoice'!P$2:P$401,$AH386)))</f>
        <v/>
      </c>
      <c r="Q386">
        <f>IF($AH386="","",IF(INDEX('Per Invoice'!Q$2:Q$401,$AH386)="","",INDEX('Per Invoice'!Q$2:Q$401,$AH386)))</f>
        <v/>
      </c>
      <c r="R386">
        <f>IF($AH386="","",IF(INDEX('Per Invoice'!R$2:R$401,$AH386)="","",INDEX('Per Invoice'!R$2:R$401,$AH386)))</f>
        <v/>
      </c>
      <c r="S386">
        <f>IF($AH386="","",IF(INDEX('Per Invoice'!S$2:S$401,$AH386)="","",INDEX('Per Invoice'!S$2:S$401,$AH386)))</f>
        <v/>
      </c>
      <c r="T386" s="7">
        <f>IF($AH386="","",IF(INDEX('Per Invoice'!T$2:T$401,$AH386)="","",INDEX('Per Invoice'!T$2:T$401,$AH386)))</f>
        <v/>
      </c>
      <c r="U386" s="7">
        <f>IF($AH386="","",IF(INDEX('Per Invoice'!U$2:U$401,$AH386)="","",INDEX('Per Invoice'!U$2:U$401,$AH386)))</f>
        <v/>
      </c>
      <c r="V386">
        <f>IF($AH386="","",IF(INDEX('Per Invoice'!V$2:V$401,$AH386)="","",INDEX('Per Invoice'!V$2:V$401,$AH386)))</f>
        <v/>
      </c>
      <c r="W386" s="7">
        <f>IF($AH386="","",IF(INDEX('Per Invoice'!W$2:W$401,$AH386)="","",INDEX('Per Invoice'!W$2:W$401,$AH386)))</f>
        <v/>
      </c>
      <c r="X386" s="7">
        <f>IF($AH386="","",IF(INDEX('Per Invoice'!X$2:X$401,$AH386)="","",INDEX('Per Invoice'!X$2:X$401,$AH386)))</f>
        <v/>
      </c>
      <c r="Y386">
        <f>IF($AH386="","",IF(INDEX('Per Invoice'!Y$2:Y$401,$AH386)="","",INDEX('Per Invoice'!Y$2:Y$401,$AH386)))</f>
        <v/>
      </c>
      <c r="Z386" s="7">
        <f>IF($AH386="","",IF(INDEX('Per Invoice'!Z$2:Z$401,$AH386)="","",INDEX('Per Invoice'!Z$2:Z$401,$AH386)))</f>
        <v/>
      </c>
      <c r="AA386" s="7">
        <f>IF($AH386="","",IF(INDEX('Per Invoice'!AA$2:AA$401,$AH386)="","",INDEX('Per Invoice'!AA$2:AA$401,$AH386)))</f>
        <v/>
      </c>
      <c r="AB386" s="7">
        <f>IF($AH386="","",IF(INDEX('Per Invoice'!AB$2:AB$401,$AH386)="","",INDEX('Per Invoice'!AB$2:AB$401,$AH386)))</f>
        <v/>
      </c>
      <c r="AC386" s="7">
        <f>IF($AH386="","",IF(INDEX('Per Invoice'!AC$2:AC$401,$AH386)="","",INDEX('Per Invoice'!AC$2:AC$401,$AH386)))</f>
        <v/>
      </c>
      <c r="AD386" s="7">
        <f>IF($AH386="","",IF(INDEX('Per Invoice'!AD$2:AD$401,$AH386)="","",INDEX('Per Invoice'!AD$2:AD$401,$AH386)))</f>
        <v/>
      </c>
      <c r="AE386" s="7">
        <f>IF($AH386="","",IF(INDEX('Per Invoice'!AE$2:AE$401,$AH386)="","",INDEX('Per Invoice'!AE$2:AE$401,$AH386)))</f>
        <v/>
      </c>
      <c r="AF386">
        <f>IF($AH386="","",IF(INDEX('Per Invoice'!AF$2:AF$401,$AH386)="","",INDEX('Per Invoice'!AF$2:AF$401,$AH386)))</f>
        <v/>
      </c>
      <c r="AG386" s="7">
        <f>IF($AH386="","",IF(INDEX('Per Invoice'!AG$2:AG$401,$AH386)="","",INDEX('Per Invoice'!AG$2:AG$401,$AH386)))</f>
        <v/>
      </c>
      <c r="AH386" s="16">
        <f>IFERROR(MATCH(Settings!$C$27&amp;"|"&amp;ROWS($AH$2:$AH386),'Per Invoice'!$AI$2:$AI$401,0),"")</f>
        <v/>
      </c>
    </row>
    <row r="387">
      <c r="A387">
        <f>IF($AH387="","",IF(INDEX('Per Invoice'!A$2:A$401,$AH387)="","",INDEX('Per Invoice'!A$2:A$401,$AH387)))</f>
        <v/>
      </c>
      <c r="B387">
        <f>IF($AH387="","",IF(INDEX('Per Invoice'!B$2:B$401,$AH387)="","",INDEX('Per Invoice'!B$2:B$401,$AH387)))</f>
        <v/>
      </c>
      <c r="C387">
        <f>IF($AH387="","",IF(INDEX('Per Invoice'!C$2:C$401,$AH387)="","",INDEX('Per Invoice'!C$2:C$401,$AH387)))</f>
        <v/>
      </c>
      <c r="D387">
        <f>IF($AH387="","",IF(INDEX('Per Invoice'!D$2:D$401,$AH387)="","",INDEX('Per Invoice'!D$2:D$401,$AH387)))</f>
        <v/>
      </c>
      <c r="E387">
        <f>IF($AH387="","",IF(INDEX('Per Invoice'!E$2:E$401,$AH387)="","",INDEX('Per Invoice'!E$2:E$401,$AH387)))</f>
        <v/>
      </c>
      <c r="F387">
        <f>IF($AH387="","",IF(INDEX('Per Invoice'!F$2:F$401,$AH387)="","",INDEX('Per Invoice'!F$2:F$401,$AH387)))</f>
        <v/>
      </c>
      <c r="G387">
        <f>IF($AH387="","",IF(INDEX('Per Invoice'!G$2:G$401,$AH387)="","",INDEX('Per Invoice'!G$2:G$401,$AH387)))</f>
        <v/>
      </c>
      <c r="H387">
        <f>IF($AH387="","",IF(INDEX('Per Invoice'!H$2:H$401,$AH387)="","",INDEX('Per Invoice'!H$2:H$401,$AH387)))</f>
        <v/>
      </c>
      <c r="I387" s="14">
        <f>IF($AH387="","",IF(INDEX('Per Invoice'!I$2:I$401,$AH387)="","",INDEX('Per Invoice'!I$2:I$401,$AH387)))</f>
        <v/>
      </c>
      <c r="J387">
        <f>IF($AH387="","",IF(INDEX('Per Invoice'!J$2:J$401,$AH387)="","",INDEX('Per Invoice'!J$2:J$401,$AH387)))</f>
        <v/>
      </c>
      <c r="K387">
        <f>IF($AH387="","",IF(INDEX('Per Invoice'!K$2:K$401,$AH387)="","",INDEX('Per Invoice'!K$2:K$401,$AH387)))</f>
        <v/>
      </c>
      <c r="L387">
        <f>IF($AH387="","",IF(INDEX('Per Invoice'!L$2:L$401,$AH387)="","",INDEX('Per Invoice'!L$2:L$401,$AH387)))</f>
        <v/>
      </c>
      <c r="M387">
        <f>IF($AH387="","",IF(INDEX('Per Invoice'!M$2:M$401,$AH387)="","",INDEX('Per Invoice'!M$2:M$401,$AH387)))</f>
        <v/>
      </c>
      <c r="N387">
        <f>IF($AH387="","",IF(INDEX('Per Invoice'!N$2:N$401,$AH387)="","",INDEX('Per Invoice'!N$2:N$401,$AH387)))</f>
        <v/>
      </c>
      <c r="O387">
        <f>IF($AH387="","",IF(INDEX('Per Invoice'!O$2:O$401,$AH387)="","",INDEX('Per Invoice'!O$2:O$401,$AH387)))</f>
        <v/>
      </c>
      <c r="P387" s="7">
        <f>IF($AH387="","",IF(INDEX('Per Invoice'!P$2:P$401,$AH387)="","",INDEX('Per Invoice'!P$2:P$401,$AH387)))</f>
        <v/>
      </c>
      <c r="Q387">
        <f>IF($AH387="","",IF(INDEX('Per Invoice'!Q$2:Q$401,$AH387)="","",INDEX('Per Invoice'!Q$2:Q$401,$AH387)))</f>
        <v/>
      </c>
      <c r="R387">
        <f>IF($AH387="","",IF(INDEX('Per Invoice'!R$2:R$401,$AH387)="","",INDEX('Per Invoice'!R$2:R$401,$AH387)))</f>
        <v/>
      </c>
      <c r="S387">
        <f>IF($AH387="","",IF(INDEX('Per Invoice'!S$2:S$401,$AH387)="","",INDEX('Per Invoice'!S$2:S$401,$AH387)))</f>
        <v/>
      </c>
      <c r="T387" s="7">
        <f>IF($AH387="","",IF(INDEX('Per Invoice'!T$2:T$401,$AH387)="","",INDEX('Per Invoice'!T$2:T$401,$AH387)))</f>
        <v/>
      </c>
      <c r="U387" s="7">
        <f>IF($AH387="","",IF(INDEX('Per Invoice'!U$2:U$401,$AH387)="","",INDEX('Per Invoice'!U$2:U$401,$AH387)))</f>
        <v/>
      </c>
      <c r="V387">
        <f>IF($AH387="","",IF(INDEX('Per Invoice'!V$2:V$401,$AH387)="","",INDEX('Per Invoice'!V$2:V$401,$AH387)))</f>
        <v/>
      </c>
      <c r="W387" s="7">
        <f>IF($AH387="","",IF(INDEX('Per Invoice'!W$2:W$401,$AH387)="","",INDEX('Per Invoice'!W$2:W$401,$AH387)))</f>
        <v/>
      </c>
      <c r="X387" s="7">
        <f>IF($AH387="","",IF(INDEX('Per Invoice'!X$2:X$401,$AH387)="","",INDEX('Per Invoice'!X$2:X$401,$AH387)))</f>
        <v/>
      </c>
      <c r="Y387">
        <f>IF($AH387="","",IF(INDEX('Per Invoice'!Y$2:Y$401,$AH387)="","",INDEX('Per Invoice'!Y$2:Y$401,$AH387)))</f>
        <v/>
      </c>
      <c r="Z387" s="7">
        <f>IF($AH387="","",IF(INDEX('Per Invoice'!Z$2:Z$401,$AH387)="","",INDEX('Per Invoice'!Z$2:Z$401,$AH387)))</f>
        <v/>
      </c>
      <c r="AA387" s="7">
        <f>IF($AH387="","",IF(INDEX('Per Invoice'!AA$2:AA$401,$AH387)="","",INDEX('Per Invoice'!AA$2:AA$401,$AH387)))</f>
        <v/>
      </c>
      <c r="AB387" s="7">
        <f>IF($AH387="","",IF(INDEX('Per Invoice'!AB$2:AB$401,$AH387)="","",INDEX('Per Invoice'!AB$2:AB$401,$AH387)))</f>
        <v/>
      </c>
      <c r="AC387" s="7">
        <f>IF($AH387="","",IF(INDEX('Per Invoice'!AC$2:AC$401,$AH387)="","",INDEX('Per Invoice'!AC$2:AC$401,$AH387)))</f>
        <v/>
      </c>
      <c r="AD387" s="7">
        <f>IF($AH387="","",IF(INDEX('Per Invoice'!AD$2:AD$401,$AH387)="","",INDEX('Per Invoice'!AD$2:AD$401,$AH387)))</f>
        <v/>
      </c>
      <c r="AE387" s="7">
        <f>IF($AH387="","",IF(INDEX('Per Invoice'!AE$2:AE$401,$AH387)="","",INDEX('Per Invoice'!AE$2:AE$401,$AH387)))</f>
        <v/>
      </c>
      <c r="AF387">
        <f>IF($AH387="","",IF(INDEX('Per Invoice'!AF$2:AF$401,$AH387)="","",INDEX('Per Invoice'!AF$2:AF$401,$AH387)))</f>
        <v/>
      </c>
      <c r="AG387" s="7">
        <f>IF($AH387="","",IF(INDEX('Per Invoice'!AG$2:AG$401,$AH387)="","",INDEX('Per Invoice'!AG$2:AG$401,$AH387)))</f>
        <v/>
      </c>
      <c r="AH387" s="16">
        <f>IFERROR(MATCH(Settings!$C$27&amp;"|"&amp;ROWS($AH$2:$AH387),'Per Invoice'!$AI$2:$AI$401,0),"")</f>
        <v/>
      </c>
    </row>
    <row r="388">
      <c r="A388">
        <f>IF($AH388="","",IF(INDEX('Per Invoice'!A$2:A$401,$AH388)="","",INDEX('Per Invoice'!A$2:A$401,$AH388)))</f>
        <v/>
      </c>
      <c r="B388">
        <f>IF($AH388="","",IF(INDEX('Per Invoice'!B$2:B$401,$AH388)="","",INDEX('Per Invoice'!B$2:B$401,$AH388)))</f>
        <v/>
      </c>
      <c r="C388">
        <f>IF($AH388="","",IF(INDEX('Per Invoice'!C$2:C$401,$AH388)="","",INDEX('Per Invoice'!C$2:C$401,$AH388)))</f>
        <v/>
      </c>
      <c r="D388">
        <f>IF($AH388="","",IF(INDEX('Per Invoice'!D$2:D$401,$AH388)="","",INDEX('Per Invoice'!D$2:D$401,$AH388)))</f>
        <v/>
      </c>
      <c r="E388">
        <f>IF($AH388="","",IF(INDEX('Per Invoice'!E$2:E$401,$AH388)="","",INDEX('Per Invoice'!E$2:E$401,$AH388)))</f>
        <v/>
      </c>
      <c r="F388">
        <f>IF($AH388="","",IF(INDEX('Per Invoice'!F$2:F$401,$AH388)="","",INDEX('Per Invoice'!F$2:F$401,$AH388)))</f>
        <v/>
      </c>
      <c r="G388">
        <f>IF($AH388="","",IF(INDEX('Per Invoice'!G$2:G$401,$AH388)="","",INDEX('Per Invoice'!G$2:G$401,$AH388)))</f>
        <v/>
      </c>
      <c r="H388">
        <f>IF($AH388="","",IF(INDEX('Per Invoice'!H$2:H$401,$AH388)="","",INDEX('Per Invoice'!H$2:H$401,$AH388)))</f>
        <v/>
      </c>
      <c r="I388" s="14">
        <f>IF($AH388="","",IF(INDEX('Per Invoice'!I$2:I$401,$AH388)="","",INDEX('Per Invoice'!I$2:I$401,$AH388)))</f>
        <v/>
      </c>
      <c r="J388">
        <f>IF($AH388="","",IF(INDEX('Per Invoice'!J$2:J$401,$AH388)="","",INDEX('Per Invoice'!J$2:J$401,$AH388)))</f>
        <v/>
      </c>
      <c r="K388">
        <f>IF($AH388="","",IF(INDEX('Per Invoice'!K$2:K$401,$AH388)="","",INDEX('Per Invoice'!K$2:K$401,$AH388)))</f>
        <v/>
      </c>
      <c r="L388">
        <f>IF($AH388="","",IF(INDEX('Per Invoice'!L$2:L$401,$AH388)="","",INDEX('Per Invoice'!L$2:L$401,$AH388)))</f>
        <v/>
      </c>
      <c r="M388">
        <f>IF($AH388="","",IF(INDEX('Per Invoice'!M$2:M$401,$AH388)="","",INDEX('Per Invoice'!M$2:M$401,$AH388)))</f>
        <v/>
      </c>
      <c r="N388">
        <f>IF($AH388="","",IF(INDEX('Per Invoice'!N$2:N$401,$AH388)="","",INDEX('Per Invoice'!N$2:N$401,$AH388)))</f>
        <v/>
      </c>
      <c r="O388">
        <f>IF($AH388="","",IF(INDEX('Per Invoice'!O$2:O$401,$AH388)="","",INDEX('Per Invoice'!O$2:O$401,$AH388)))</f>
        <v/>
      </c>
      <c r="P388" s="7">
        <f>IF($AH388="","",IF(INDEX('Per Invoice'!P$2:P$401,$AH388)="","",INDEX('Per Invoice'!P$2:P$401,$AH388)))</f>
        <v/>
      </c>
      <c r="Q388">
        <f>IF($AH388="","",IF(INDEX('Per Invoice'!Q$2:Q$401,$AH388)="","",INDEX('Per Invoice'!Q$2:Q$401,$AH388)))</f>
        <v/>
      </c>
      <c r="R388">
        <f>IF($AH388="","",IF(INDEX('Per Invoice'!R$2:R$401,$AH388)="","",INDEX('Per Invoice'!R$2:R$401,$AH388)))</f>
        <v/>
      </c>
      <c r="S388">
        <f>IF($AH388="","",IF(INDEX('Per Invoice'!S$2:S$401,$AH388)="","",INDEX('Per Invoice'!S$2:S$401,$AH388)))</f>
        <v/>
      </c>
      <c r="T388" s="7">
        <f>IF($AH388="","",IF(INDEX('Per Invoice'!T$2:T$401,$AH388)="","",INDEX('Per Invoice'!T$2:T$401,$AH388)))</f>
        <v/>
      </c>
      <c r="U388" s="7">
        <f>IF($AH388="","",IF(INDEX('Per Invoice'!U$2:U$401,$AH388)="","",INDEX('Per Invoice'!U$2:U$401,$AH388)))</f>
        <v/>
      </c>
      <c r="V388">
        <f>IF($AH388="","",IF(INDEX('Per Invoice'!V$2:V$401,$AH388)="","",INDEX('Per Invoice'!V$2:V$401,$AH388)))</f>
        <v/>
      </c>
      <c r="W388" s="7">
        <f>IF($AH388="","",IF(INDEX('Per Invoice'!W$2:W$401,$AH388)="","",INDEX('Per Invoice'!W$2:W$401,$AH388)))</f>
        <v/>
      </c>
      <c r="X388" s="7">
        <f>IF($AH388="","",IF(INDEX('Per Invoice'!X$2:X$401,$AH388)="","",INDEX('Per Invoice'!X$2:X$401,$AH388)))</f>
        <v/>
      </c>
      <c r="Y388">
        <f>IF($AH388="","",IF(INDEX('Per Invoice'!Y$2:Y$401,$AH388)="","",INDEX('Per Invoice'!Y$2:Y$401,$AH388)))</f>
        <v/>
      </c>
      <c r="Z388" s="7">
        <f>IF($AH388="","",IF(INDEX('Per Invoice'!Z$2:Z$401,$AH388)="","",INDEX('Per Invoice'!Z$2:Z$401,$AH388)))</f>
        <v/>
      </c>
      <c r="AA388" s="7">
        <f>IF($AH388="","",IF(INDEX('Per Invoice'!AA$2:AA$401,$AH388)="","",INDEX('Per Invoice'!AA$2:AA$401,$AH388)))</f>
        <v/>
      </c>
      <c r="AB388" s="7">
        <f>IF($AH388="","",IF(INDEX('Per Invoice'!AB$2:AB$401,$AH388)="","",INDEX('Per Invoice'!AB$2:AB$401,$AH388)))</f>
        <v/>
      </c>
      <c r="AC388" s="7">
        <f>IF($AH388="","",IF(INDEX('Per Invoice'!AC$2:AC$401,$AH388)="","",INDEX('Per Invoice'!AC$2:AC$401,$AH388)))</f>
        <v/>
      </c>
      <c r="AD388" s="7">
        <f>IF($AH388="","",IF(INDEX('Per Invoice'!AD$2:AD$401,$AH388)="","",INDEX('Per Invoice'!AD$2:AD$401,$AH388)))</f>
        <v/>
      </c>
      <c r="AE388" s="7">
        <f>IF($AH388="","",IF(INDEX('Per Invoice'!AE$2:AE$401,$AH388)="","",INDEX('Per Invoice'!AE$2:AE$401,$AH388)))</f>
        <v/>
      </c>
      <c r="AF388">
        <f>IF($AH388="","",IF(INDEX('Per Invoice'!AF$2:AF$401,$AH388)="","",INDEX('Per Invoice'!AF$2:AF$401,$AH388)))</f>
        <v/>
      </c>
      <c r="AG388" s="7">
        <f>IF($AH388="","",IF(INDEX('Per Invoice'!AG$2:AG$401,$AH388)="","",INDEX('Per Invoice'!AG$2:AG$401,$AH388)))</f>
        <v/>
      </c>
      <c r="AH388" s="16">
        <f>IFERROR(MATCH(Settings!$C$27&amp;"|"&amp;ROWS($AH$2:$AH388),'Per Invoice'!$AI$2:$AI$401,0),"")</f>
        <v/>
      </c>
    </row>
    <row r="389">
      <c r="A389">
        <f>IF($AH389="","",IF(INDEX('Per Invoice'!A$2:A$401,$AH389)="","",INDEX('Per Invoice'!A$2:A$401,$AH389)))</f>
        <v/>
      </c>
      <c r="B389">
        <f>IF($AH389="","",IF(INDEX('Per Invoice'!B$2:B$401,$AH389)="","",INDEX('Per Invoice'!B$2:B$401,$AH389)))</f>
        <v/>
      </c>
      <c r="C389">
        <f>IF($AH389="","",IF(INDEX('Per Invoice'!C$2:C$401,$AH389)="","",INDEX('Per Invoice'!C$2:C$401,$AH389)))</f>
        <v/>
      </c>
      <c r="D389">
        <f>IF($AH389="","",IF(INDEX('Per Invoice'!D$2:D$401,$AH389)="","",INDEX('Per Invoice'!D$2:D$401,$AH389)))</f>
        <v/>
      </c>
      <c r="E389">
        <f>IF($AH389="","",IF(INDEX('Per Invoice'!E$2:E$401,$AH389)="","",INDEX('Per Invoice'!E$2:E$401,$AH389)))</f>
        <v/>
      </c>
      <c r="F389">
        <f>IF($AH389="","",IF(INDEX('Per Invoice'!F$2:F$401,$AH389)="","",INDEX('Per Invoice'!F$2:F$401,$AH389)))</f>
        <v/>
      </c>
      <c r="G389">
        <f>IF($AH389="","",IF(INDEX('Per Invoice'!G$2:G$401,$AH389)="","",INDEX('Per Invoice'!G$2:G$401,$AH389)))</f>
        <v/>
      </c>
      <c r="H389">
        <f>IF($AH389="","",IF(INDEX('Per Invoice'!H$2:H$401,$AH389)="","",INDEX('Per Invoice'!H$2:H$401,$AH389)))</f>
        <v/>
      </c>
      <c r="I389" s="14">
        <f>IF($AH389="","",IF(INDEX('Per Invoice'!I$2:I$401,$AH389)="","",INDEX('Per Invoice'!I$2:I$401,$AH389)))</f>
        <v/>
      </c>
      <c r="J389">
        <f>IF($AH389="","",IF(INDEX('Per Invoice'!J$2:J$401,$AH389)="","",INDEX('Per Invoice'!J$2:J$401,$AH389)))</f>
        <v/>
      </c>
      <c r="K389">
        <f>IF($AH389="","",IF(INDEX('Per Invoice'!K$2:K$401,$AH389)="","",INDEX('Per Invoice'!K$2:K$401,$AH389)))</f>
        <v/>
      </c>
      <c r="L389">
        <f>IF($AH389="","",IF(INDEX('Per Invoice'!L$2:L$401,$AH389)="","",INDEX('Per Invoice'!L$2:L$401,$AH389)))</f>
        <v/>
      </c>
      <c r="M389">
        <f>IF($AH389="","",IF(INDEX('Per Invoice'!M$2:M$401,$AH389)="","",INDEX('Per Invoice'!M$2:M$401,$AH389)))</f>
        <v/>
      </c>
      <c r="N389">
        <f>IF($AH389="","",IF(INDEX('Per Invoice'!N$2:N$401,$AH389)="","",INDEX('Per Invoice'!N$2:N$401,$AH389)))</f>
        <v/>
      </c>
      <c r="O389">
        <f>IF($AH389="","",IF(INDEX('Per Invoice'!O$2:O$401,$AH389)="","",INDEX('Per Invoice'!O$2:O$401,$AH389)))</f>
        <v/>
      </c>
      <c r="P389" s="7">
        <f>IF($AH389="","",IF(INDEX('Per Invoice'!P$2:P$401,$AH389)="","",INDEX('Per Invoice'!P$2:P$401,$AH389)))</f>
        <v/>
      </c>
      <c r="Q389">
        <f>IF($AH389="","",IF(INDEX('Per Invoice'!Q$2:Q$401,$AH389)="","",INDEX('Per Invoice'!Q$2:Q$401,$AH389)))</f>
        <v/>
      </c>
      <c r="R389">
        <f>IF($AH389="","",IF(INDEX('Per Invoice'!R$2:R$401,$AH389)="","",INDEX('Per Invoice'!R$2:R$401,$AH389)))</f>
        <v/>
      </c>
      <c r="S389">
        <f>IF($AH389="","",IF(INDEX('Per Invoice'!S$2:S$401,$AH389)="","",INDEX('Per Invoice'!S$2:S$401,$AH389)))</f>
        <v/>
      </c>
      <c r="T389" s="7">
        <f>IF($AH389="","",IF(INDEX('Per Invoice'!T$2:T$401,$AH389)="","",INDEX('Per Invoice'!T$2:T$401,$AH389)))</f>
        <v/>
      </c>
      <c r="U389" s="7">
        <f>IF($AH389="","",IF(INDEX('Per Invoice'!U$2:U$401,$AH389)="","",INDEX('Per Invoice'!U$2:U$401,$AH389)))</f>
        <v/>
      </c>
      <c r="V389">
        <f>IF($AH389="","",IF(INDEX('Per Invoice'!V$2:V$401,$AH389)="","",INDEX('Per Invoice'!V$2:V$401,$AH389)))</f>
        <v/>
      </c>
      <c r="W389" s="7">
        <f>IF($AH389="","",IF(INDEX('Per Invoice'!W$2:W$401,$AH389)="","",INDEX('Per Invoice'!W$2:W$401,$AH389)))</f>
        <v/>
      </c>
      <c r="X389" s="7">
        <f>IF($AH389="","",IF(INDEX('Per Invoice'!X$2:X$401,$AH389)="","",INDEX('Per Invoice'!X$2:X$401,$AH389)))</f>
        <v/>
      </c>
      <c r="Y389">
        <f>IF($AH389="","",IF(INDEX('Per Invoice'!Y$2:Y$401,$AH389)="","",INDEX('Per Invoice'!Y$2:Y$401,$AH389)))</f>
        <v/>
      </c>
      <c r="Z389" s="7">
        <f>IF($AH389="","",IF(INDEX('Per Invoice'!Z$2:Z$401,$AH389)="","",INDEX('Per Invoice'!Z$2:Z$401,$AH389)))</f>
        <v/>
      </c>
      <c r="AA389" s="7">
        <f>IF($AH389="","",IF(INDEX('Per Invoice'!AA$2:AA$401,$AH389)="","",INDEX('Per Invoice'!AA$2:AA$401,$AH389)))</f>
        <v/>
      </c>
      <c r="AB389" s="7">
        <f>IF($AH389="","",IF(INDEX('Per Invoice'!AB$2:AB$401,$AH389)="","",INDEX('Per Invoice'!AB$2:AB$401,$AH389)))</f>
        <v/>
      </c>
      <c r="AC389" s="7">
        <f>IF($AH389="","",IF(INDEX('Per Invoice'!AC$2:AC$401,$AH389)="","",INDEX('Per Invoice'!AC$2:AC$401,$AH389)))</f>
        <v/>
      </c>
      <c r="AD389" s="7">
        <f>IF($AH389="","",IF(INDEX('Per Invoice'!AD$2:AD$401,$AH389)="","",INDEX('Per Invoice'!AD$2:AD$401,$AH389)))</f>
        <v/>
      </c>
      <c r="AE389" s="7">
        <f>IF($AH389="","",IF(INDEX('Per Invoice'!AE$2:AE$401,$AH389)="","",INDEX('Per Invoice'!AE$2:AE$401,$AH389)))</f>
        <v/>
      </c>
      <c r="AF389">
        <f>IF($AH389="","",IF(INDEX('Per Invoice'!AF$2:AF$401,$AH389)="","",INDEX('Per Invoice'!AF$2:AF$401,$AH389)))</f>
        <v/>
      </c>
      <c r="AG389" s="7">
        <f>IF($AH389="","",IF(INDEX('Per Invoice'!AG$2:AG$401,$AH389)="","",INDEX('Per Invoice'!AG$2:AG$401,$AH389)))</f>
        <v/>
      </c>
      <c r="AH389" s="16">
        <f>IFERROR(MATCH(Settings!$C$27&amp;"|"&amp;ROWS($AH$2:$AH389),'Per Invoice'!$AI$2:$AI$401,0),"")</f>
        <v/>
      </c>
    </row>
    <row r="390">
      <c r="A390">
        <f>IF($AH390="","",IF(INDEX('Per Invoice'!A$2:A$401,$AH390)="","",INDEX('Per Invoice'!A$2:A$401,$AH390)))</f>
        <v/>
      </c>
      <c r="B390">
        <f>IF($AH390="","",IF(INDEX('Per Invoice'!B$2:B$401,$AH390)="","",INDEX('Per Invoice'!B$2:B$401,$AH390)))</f>
        <v/>
      </c>
      <c r="C390">
        <f>IF($AH390="","",IF(INDEX('Per Invoice'!C$2:C$401,$AH390)="","",INDEX('Per Invoice'!C$2:C$401,$AH390)))</f>
        <v/>
      </c>
      <c r="D390">
        <f>IF($AH390="","",IF(INDEX('Per Invoice'!D$2:D$401,$AH390)="","",INDEX('Per Invoice'!D$2:D$401,$AH390)))</f>
        <v/>
      </c>
      <c r="E390">
        <f>IF($AH390="","",IF(INDEX('Per Invoice'!E$2:E$401,$AH390)="","",INDEX('Per Invoice'!E$2:E$401,$AH390)))</f>
        <v/>
      </c>
      <c r="F390">
        <f>IF($AH390="","",IF(INDEX('Per Invoice'!F$2:F$401,$AH390)="","",INDEX('Per Invoice'!F$2:F$401,$AH390)))</f>
        <v/>
      </c>
      <c r="G390">
        <f>IF($AH390="","",IF(INDEX('Per Invoice'!G$2:G$401,$AH390)="","",INDEX('Per Invoice'!G$2:G$401,$AH390)))</f>
        <v/>
      </c>
      <c r="H390">
        <f>IF($AH390="","",IF(INDEX('Per Invoice'!H$2:H$401,$AH390)="","",INDEX('Per Invoice'!H$2:H$401,$AH390)))</f>
        <v/>
      </c>
      <c r="I390" s="14">
        <f>IF($AH390="","",IF(INDEX('Per Invoice'!I$2:I$401,$AH390)="","",INDEX('Per Invoice'!I$2:I$401,$AH390)))</f>
        <v/>
      </c>
      <c r="J390">
        <f>IF($AH390="","",IF(INDEX('Per Invoice'!J$2:J$401,$AH390)="","",INDEX('Per Invoice'!J$2:J$401,$AH390)))</f>
        <v/>
      </c>
      <c r="K390">
        <f>IF($AH390="","",IF(INDEX('Per Invoice'!K$2:K$401,$AH390)="","",INDEX('Per Invoice'!K$2:K$401,$AH390)))</f>
        <v/>
      </c>
      <c r="L390">
        <f>IF($AH390="","",IF(INDEX('Per Invoice'!L$2:L$401,$AH390)="","",INDEX('Per Invoice'!L$2:L$401,$AH390)))</f>
        <v/>
      </c>
      <c r="M390">
        <f>IF($AH390="","",IF(INDEX('Per Invoice'!M$2:M$401,$AH390)="","",INDEX('Per Invoice'!M$2:M$401,$AH390)))</f>
        <v/>
      </c>
      <c r="N390">
        <f>IF($AH390="","",IF(INDEX('Per Invoice'!N$2:N$401,$AH390)="","",INDEX('Per Invoice'!N$2:N$401,$AH390)))</f>
        <v/>
      </c>
      <c r="O390">
        <f>IF($AH390="","",IF(INDEX('Per Invoice'!O$2:O$401,$AH390)="","",INDEX('Per Invoice'!O$2:O$401,$AH390)))</f>
        <v/>
      </c>
      <c r="P390" s="7">
        <f>IF($AH390="","",IF(INDEX('Per Invoice'!P$2:P$401,$AH390)="","",INDEX('Per Invoice'!P$2:P$401,$AH390)))</f>
        <v/>
      </c>
      <c r="Q390">
        <f>IF($AH390="","",IF(INDEX('Per Invoice'!Q$2:Q$401,$AH390)="","",INDEX('Per Invoice'!Q$2:Q$401,$AH390)))</f>
        <v/>
      </c>
      <c r="R390">
        <f>IF($AH390="","",IF(INDEX('Per Invoice'!R$2:R$401,$AH390)="","",INDEX('Per Invoice'!R$2:R$401,$AH390)))</f>
        <v/>
      </c>
      <c r="S390">
        <f>IF($AH390="","",IF(INDEX('Per Invoice'!S$2:S$401,$AH390)="","",INDEX('Per Invoice'!S$2:S$401,$AH390)))</f>
        <v/>
      </c>
      <c r="T390" s="7">
        <f>IF($AH390="","",IF(INDEX('Per Invoice'!T$2:T$401,$AH390)="","",INDEX('Per Invoice'!T$2:T$401,$AH390)))</f>
        <v/>
      </c>
      <c r="U390" s="7">
        <f>IF($AH390="","",IF(INDEX('Per Invoice'!U$2:U$401,$AH390)="","",INDEX('Per Invoice'!U$2:U$401,$AH390)))</f>
        <v/>
      </c>
      <c r="V390">
        <f>IF($AH390="","",IF(INDEX('Per Invoice'!V$2:V$401,$AH390)="","",INDEX('Per Invoice'!V$2:V$401,$AH390)))</f>
        <v/>
      </c>
      <c r="W390" s="7">
        <f>IF($AH390="","",IF(INDEX('Per Invoice'!W$2:W$401,$AH390)="","",INDEX('Per Invoice'!W$2:W$401,$AH390)))</f>
        <v/>
      </c>
      <c r="X390" s="7">
        <f>IF($AH390="","",IF(INDEX('Per Invoice'!X$2:X$401,$AH390)="","",INDEX('Per Invoice'!X$2:X$401,$AH390)))</f>
        <v/>
      </c>
      <c r="Y390">
        <f>IF($AH390="","",IF(INDEX('Per Invoice'!Y$2:Y$401,$AH390)="","",INDEX('Per Invoice'!Y$2:Y$401,$AH390)))</f>
        <v/>
      </c>
      <c r="Z390" s="7">
        <f>IF($AH390="","",IF(INDEX('Per Invoice'!Z$2:Z$401,$AH390)="","",INDEX('Per Invoice'!Z$2:Z$401,$AH390)))</f>
        <v/>
      </c>
      <c r="AA390" s="7">
        <f>IF($AH390="","",IF(INDEX('Per Invoice'!AA$2:AA$401,$AH390)="","",INDEX('Per Invoice'!AA$2:AA$401,$AH390)))</f>
        <v/>
      </c>
      <c r="AB390" s="7">
        <f>IF($AH390="","",IF(INDEX('Per Invoice'!AB$2:AB$401,$AH390)="","",INDEX('Per Invoice'!AB$2:AB$401,$AH390)))</f>
        <v/>
      </c>
      <c r="AC390" s="7">
        <f>IF($AH390="","",IF(INDEX('Per Invoice'!AC$2:AC$401,$AH390)="","",INDEX('Per Invoice'!AC$2:AC$401,$AH390)))</f>
        <v/>
      </c>
      <c r="AD390" s="7">
        <f>IF($AH390="","",IF(INDEX('Per Invoice'!AD$2:AD$401,$AH390)="","",INDEX('Per Invoice'!AD$2:AD$401,$AH390)))</f>
        <v/>
      </c>
      <c r="AE390" s="7">
        <f>IF($AH390="","",IF(INDEX('Per Invoice'!AE$2:AE$401,$AH390)="","",INDEX('Per Invoice'!AE$2:AE$401,$AH390)))</f>
        <v/>
      </c>
      <c r="AF390">
        <f>IF($AH390="","",IF(INDEX('Per Invoice'!AF$2:AF$401,$AH390)="","",INDEX('Per Invoice'!AF$2:AF$401,$AH390)))</f>
        <v/>
      </c>
      <c r="AG390" s="7">
        <f>IF($AH390="","",IF(INDEX('Per Invoice'!AG$2:AG$401,$AH390)="","",INDEX('Per Invoice'!AG$2:AG$401,$AH390)))</f>
        <v/>
      </c>
      <c r="AH390" s="16">
        <f>IFERROR(MATCH(Settings!$C$27&amp;"|"&amp;ROWS($AH$2:$AH390),'Per Invoice'!$AI$2:$AI$401,0),"")</f>
        <v/>
      </c>
    </row>
    <row r="391">
      <c r="A391">
        <f>IF($AH391="","",IF(INDEX('Per Invoice'!A$2:A$401,$AH391)="","",INDEX('Per Invoice'!A$2:A$401,$AH391)))</f>
        <v/>
      </c>
      <c r="B391">
        <f>IF($AH391="","",IF(INDEX('Per Invoice'!B$2:B$401,$AH391)="","",INDEX('Per Invoice'!B$2:B$401,$AH391)))</f>
        <v/>
      </c>
      <c r="C391">
        <f>IF($AH391="","",IF(INDEX('Per Invoice'!C$2:C$401,$AH391)="","",INDEX('Per Invoice'!C$2:C$401,$AH391)))</f>
        <v/>
      </c>
      <c r="D391">
        <f>IF($AH391="","",IF(INDEX('Per Invoice'!D$2:D$401,$AH391)="","",INDEX('Per Invoice'!D$2:D$401,$AH391)))</f>
        <v/>
      </c>
      <c r="E391">
        <f>IF($AH391="","",IF(INDEX('Per Invoice'!E$2:E$401,$AH391)="","",INDEX('Per Invoice'!E$2:E$401,$AH391)))</f>
        <v/>
      </c>
      <c r="F391">
        <f>IF($AH391="","",IF(INDEX('Per Invoice'!F$2:F$401,$AH391)="","",INDEX('Per Invoice'!F$2:F$401,$AH391)))</f>
        <v/>
      </c>
      <c r="G391">
        <f>IF($AH391="","",IF(INDEX('Per Invoice'!G$2:G$401,$AH391)="","",INDEX('Per Invoice'!G$2:G$401,$AH391)))</f>
        <v/>
      </c>
      <c r="H391">
        <f>IF($AH391="","",IF(INDEX('Per Invoice'!H$2:H$401,$AH391)="","",INDEX('Per Invoice'!H$2:H$401,$AH391)))</f>
        <v/>
      </c>
      <c r="I391" s="14">
        <f>IF($AH391="","",IF(INDEX('Per Invoice'!I$2:I$401,$AH391)="","",INDEX('Per Invoice'!I$2:I$401,$AH391)))</f>
        <v/>
      </c>
      <c r="J391">
        <f>IF($AH391="","",IF(INDEX('Per Invoice'!J$2:J$401,$AH391)="","",INDEX('Per Invoice'!J$2:J$401,$AH391)))</f>
        <v/>
      </c>
      <c r="K391">
        <f>IF($AH391="","",IF(INDEX('Per Invoice'!K$2:K$401,$AH391)="","",INDEX('Per Invoice'!K$2:K$401,$AH391)))</f>
        <v/>
      </c>
      <c r="L391">
        <f>IF($AH391="","",IF(INDEX('Per Invoice'!L$2:L$401,$AH391)="","",INDEX('Per Invoice'!L$2:L$401,$AH391)))</f>
        <v/>
      </c>
      <c r="M391">
        <f>IF($AH391="","",IF(INDEX('Per Invoice'!M$2:M$401,$AH391)="","",INDEX('Per Invoice'!M$2:M$401,$AH391)))</f>
        <v/>
      </c>
      <c r="N391">
        <f>IF($AH391="","",IF(INDEX('Per Invoice'!N$2:N$401,$AH391)="","",INDEX('Per Invoice'!N$2:N$401,$AH391)))</f>
        <v/>
      </c>
      <c r="O391">
        <f>IF($AH391="","",IF(INDEX('Per Invoice'!O$2:O$401,$AH391)="","",INDEX('Per Invoice'!O$2:O$401,$AH391)))</f>
        <v/>
      </c>
      <c r="P391" s="7">
        <f>IF($AH391="","",IF(INDEX('Per Invoice'!P$2:P$401,$AH391)="","",INDEX('Per Invoice'!P$2:P$401,$AH391)))</f>
        <v/>
      </c>
      <c r="Q391">
        <f>IF($AH391="","",IF(INDEX('Per Invoice'!Q$2:Q$401,$AH391)="","",INDEX('Per Invoice'!Q$2:Q$401,$AH391)))</f>
        <v/>
      </c>
      <c r="R391">
        <f>IF($AH391="","",IF(INDEX('Per Invoice'!R$2:R$401,$AH391)="","",INDEX('Per Invoice'!R$2:R$401,$AH391)))</f>
        <v/>
      </c>
      <c r="S391">
        <f>IF($AH391="","",IF(INDEX('Per Invoice'!S$2:S$401,$AH391)="","",INDEX('Per Invoice'!S$2:S$401,$AH391)))</f>
        <v/>
      </c>
      <c r="T391" s="7">
        <f>IF($AH391="","",IF(INDEX('Per Invoice'!T$2:T$401,$AH391)="","",INDEX('Per Invoice'!T$2:T$401,$AH391)))</f>
        <v/>
      </c>
      <c r="U391" s="7">
        <f>IF($AH391="","",IF(INDEX('Per Invoice'!U$2:U$401,$AH391)="","",INDEX('Per Invoice'!U$2:U$401,$AH391)))</f>
        <v/>
      </c>
      <c r="V391">
        <f>IF($AH391="","",IF(INDEX('Per Invoice'!V$2:V$401,$AH391)="","",INDEX('Per Invoice'!V$2:V$401,$AH391)))</f>
        <v/>
      </c>
      <c r="W391" s="7">
        <f>IF($AH391="","",IF(INDEX('Per Invoice'!W$2:W$401,$AH391)="","",INDEX('Per Invoice'!W$2:W$401,$AH391)))</f>
        <v/>
      </c>
      <c r="X391" s="7">
        <f>IF($AH391="","",IF(INDEX('Per Invoice'!X$2:X$401,$AH391)="","",INDEX('Per Invoice'!X$2:X$401,$AH391)))</f>
        <v/>
      </c>
      <c r="Y391">
        <f>IF($AH391="","",IF(INDEX('Per Invoice'!Y$2:Y$401,$AH391)="","",INDEX('Per Invoice'!Y$2:Y$401,$AH391)))</f>
        <v/>
      </c>
      <c r="Z391" s="7">
        <f>IF($AH391="","",IF(INDEX('Per Invoice'!Z$2:Z$401,$AH391)="","",INDEX('Per Invoice'!Z$2:Z$401,$AH391)))</f>
        <v/>
      </c>
      <c r="AA391" s="7">
        <f>IF($AH391="","",IF(INDEX('Per Invoice'!AA$2:AA$401,$AH391)="","",INDEX('Per Invoice'!AA$2:AA$401,$AH391)))</f>
        <v/>
      </c>
      <c r="AB391" s="7">
        <f>IF($AH391="","",IF(INDEX('Per Invoice'!AB$2:AB$401,$AH391)="","",INDEX('Per Invoice'!AB$2:AB$401,$AH391)))</f>
        <v/>
      </c>
      <c r="AC391" s="7">
        <f>IF($AH391="","",IF(INDEX('Per Invoice'!AC$2:AC$401,$AH391)="","",INDEX('Per Invoice'!AC$2:AC$401,$AH391)))</f>
        <v/>
      </c>
      <c r="AD391" s="7">
        <f>IF($AH391="","",IF(INDEX('Per Invoice'!AD$2:AD$401,$AH391)="","",INDEX('Per Invoice'!AD$2:AD$401,$AH391)))</f>
        <v/>
      </c>
      <c r="AE391" s="7">
        <f>IF($AH391="","",IF(INDEX('Per Invoice'!AE$2:AE$401,$AH391)="","",INDEX('Per Invoice'!AE$2:AE$401,$AH391)))</f>
        <v/>
      </c>
      <c r="AF391">
        <f>IF($AH391="","",IF(INDEX('Per Invoice'!AF$2:AF$401,$AH391)="","",INDEX('Per Invoice'!AF$2:AF$401,$AH391)))</f>
        <v/>
      </c>
      <c r="AG391" s="7">
        <f>IF($AH391="","",IF(INDEX('Per Invoice'!AG$2:AG$401,$AH391)="","",INDEX('Per Invoice'!AG$2:AG$401,$AH391)))</f>
        <v/>
      </c>
      <c r="AH391" s="16">
        <f>IFERROR(MATCH(Settings!$C$27&amp;"|"&amp;ROWS($AH$2:$AH391),'Per Invoice'!$AI$2:$AI$401,0),"")</f>
        <v/>
      </c>
    </row>
    <row r="392">
      <c r="A392">
        <f>IF($AH392="","",IF(INDEX('Per Invoice'!A$2:A$401,$AH392)="","",INDEX('Per Invoice'!A$2:A$401,$AH392)))</f>
        <v/>
      </c>
      <c r="B392">
        <f>IF($AH392="","",IF(INDEX('Per Invoice'!B$2:B$401,$AH392)="","",INDEX('Per Invoice'!B$2:B$401,$AH392)))</f>
        <v/>
      </c>
      <c r="C392">
        <f>IF($AH392="","",IF(INDEX('Per Invoice'!C$2:C$401,$AH392)="","",INDEX('Per Invoice'!C$2:C$401,$AH392)))</f>
        <v/>
      </c>
      <c r="D392">
        <f>IF($AH392="","",IF(INDEX('Per Invoice'!D$2:D$401,$AH392)="","",INDEX('Per Invoice'!D$2:D$401,$AH392)))</f>
        <v/>
      </c>
      <c r="E392">
        <f>IF($AH392="","",IF(INDEX('Per Invoice'!E$2:E$401,$AH392)="","",INDEX('Per Invoice'!E$2:E$401,$AH392)))</f>
        <v/>
      </c>
      <c r="F392">
        <f>IF($AH392="","",IF(INDEX('Per Invoice'!F$2:F$401,$AH392)="","",INDEX('Per Invoice'!F$2:F$401,$AH392)))</f>
        <v/>
      </c>
      <c r="G392">
        <f>IF($AH392="","",IF(INDEX('Per Invoice'!G$2:G$401,$AH392)="","",INDEX('Per Invoice'!G$2:G$401,$AH392)))</f>
        <v/>
      </c>
      <c r="H392">
        <f>IF($AH392="","",IF(INDEX('Per Invoice'!H$2:H$401,$AH392)="","",INDEX('Per Invoice'!H$2:H$401,$AH392)))</f>
        <v/>
      </c>
      <c r="I392" s="14">
        <f>IF($AH392="","",IF(INDEX('Per Invoice'!I$2:I$401,$AH392)="","",INDEX('Per Invoice'!I$2:I$401,$AH392)))</f>
        <v/>
      </c>
      <c r="J392">
        <f>IF($AH392="","",IF(INDEX('Per Invoice'!J$2:J$401,$AH392)="","",INDEX('Per Invoice'!J$2:J$401,$AH392)))</f>
        <v/>
      </c>
      <c r="K392">
        <f>IF($AH392="","",IF(INDEX('Per Invoice'!K$2:K$401,$AH392)="","",INDEX('Per Invoice'!K$2:K$401,$AH392)))</f>
        <v/>
      </c>
      <c r="L392">
        <f>IF($AH392="","",IF(INDEX('Per Invoice'!L$2:L$401,$AH392)="","",INDEX('Per Invoice'!L$2:L$401,$AH392)))</f>
        <v/>
      </c>
      <c r="M392">
        <f>IF($AH392="","",IF(INDEX('Per Invoice'!M$2:M$401,$AH392)="","",INDEX('Per Invoice'!M$2:M$401,$AH392)))</f>
        <v/>
      </c>
      <c r="N392">
        <f>IF($AH392="","",IF(INDEX('Per Invoice'!N$2:N$401,$AH392)="","",INDEX('Per Invoice'!N$2:N$401,$AH392)))</f>
        <v/>
      </c>
      <c r="O392">
        <f>IF($AH392="","",IF(INDEX('Per Invoice'!O$2:O$401,$AH392)="","",INDEX('Per Invoice'!O$2:O$401,$AH392)))</f>
        <v/>
      </c>
      <c r="P392" s="7">
        <f>IF($AH392="","",IF(INDEX('Per Invoice'!P$2:P$401,$AH392)="","",INDEX('Per Invoice'!P$2:P$401,$AH392)))</f>
        <v/>
      </c>
      <c r="Q392">
        <f>IF($AH392="","",IF(INDEX('Per Invoice'!Q$2:Q$401,$AH392)="","",INDEX('Per Invoice'!Q$2:Q$401,$AH392)))</f>
        <v/>
      </c>
      <c r="R392">
        <f>IF($AH392="","",IF(INDEX('Per Invoice'!R$2:R$401,$AH392)="","",INDEX('Per Invoice'!R$2:R$401,$AH392)))</f>
        <v/>
      </c>
      <c r="S392">
        <f>IF($AH392="","",IF(INDEX('Per Invoice'!S$2:S$401,$AH392)="","",INDEX('Per Invoice'!S$2:S$401,$AH392)))</f>
        <v/>
      </c>
      <c r="T392" s="7">
        <f>IF($AH392="","",IF(INDEX('Per Invoice'!T$2:T$401,$AH392)="","",INDEX('Per Invoice'!T$2:T$401,$AH392)))</f>
        <v/>
      </c>
      <c r="U392" s="7">
        <f>IF($AH392="","",IF(INDEX('Per Invoice'!U$2:U$401,$AH392)="","",INDEX('Per Invoice'!U$2:U$401,$AH392)))</f>
        <v/>
      </c>
      <c r="V392">
        <f>IF($AH392="","",IF(INDEX('Per Invoice'!V$2:V$401,$AH392)="","",INDEX('Per Invoice'!V$2:V$401,$AH392)))</f>
        <v/>
      </c>
      <c r="W392" s="7">
        <f>IF($AH392="","",IF(INDEX('Per Invoice'!W$2:W$401,$AH392)="","",INDEX('Per Invoice'!W$2:W$401,$AH392)))</f>
        <v/>
      </c>
      <c r="X392" s="7">
        <f>IF($AH392="","",IF(INDEX('Per Invoice'!X$2:X$401,$AH392)="","",INDEX('Per Invoice'!X$2:X$401,$AH392)))</f>
        <v/>
      </c>
      <c r="Y392">
        <f>IF($AH392="","",IF(INDEX('Per Invoice'!Y$2:Y$401,$AH392)="","",INDEX('Per Invoice'!Y$2:Y$401,$AH392)))</f>
        <v/>
      </c>
      <c r="Z392" s="7">
        <f>IF($AH392="","",IF(INDEX('Per Invoice'!Z$2:Z$401,$AH392)="","",INDEX('Per Invoice'!Z$2:Z$401,$AH392)))</f>
        <v/>
      </c>
      <c r="AA392" s="7">
        <f>IF($AH392="","",IF(INDEX('Per Invoice'!AA$2:AA$401,$AH392)="","",INDEX('Per Invoice'!AA$2:AA$401,$AH392)))</f>
        <v/>
      </c>
      <c r="AB392" s="7">
        <f>IF($AH392="","",IF(INDEX('Per Invoice'!AB$2:AB$401,$AH392)="","",INDEX('Per Invoice'!AB$2:AB$401,$AH392)))</f>
        <v/>
      </c>
      <c r="AC392" s="7">
        <f>IF($AH392="","",IF(INDEX('Per Invoice'!AC$2:AC$401,$AH392)="","",INDEX('Per Invoice'!AC$2:AC$401,$AH392)))</f>
        <v/>
      </c>
      <c r="AD392" s="7">
        <f>IF($AH392="","",IF(INDEX('Per Invoice'!AD$2:AD$401,$AH392)="","",INDEX('Per Invoice'!AD$2:AD$401,$AH392)))</f>
        <v/>
      </c>
      <c r="AE392" s="7">
        <f>IF($AH392="","",IF(INDEX('Per Invoice'!AE$2:AE$401,$AH392)="","",INDEX('Per Invoice'!AE$2:AE$401,$AH392)))</f>
        <v/>
      </c>
      <c r="AF392">
        <f>IF($AH392="","",IF(INDEX('Per Invoice'!AF$2:AF$401,$AH392)="","",INDEX('Per Invoice'!AF$2:AF$401,$AH392)))</f>
        <v/>
      </c>
      <c r="AG392" s="7">
        <f>IF($AH392="","",IF(INDEX('Per Invoice'!AG$2:AG$401,$AH392)="","",INDEX('Per Invoice'!AG$2:AG$401,$AH392)))</f>
        <v/>
      </c>
      <c r="AH392" s="16">
        <f>IFERROR(MATCH(Settings!$C$27&amp;"|"&amp;ROWS($AH$2:$AH392),'Per Invoice'!$AI$2:$AI$401,0),"")</f>
        <v/>
      </c>
    </row>
    <row r="393">
      <c r="A393">
        <f>IF($AH393="","",IF(INDEX('Per Invoice'!A$2:A$401,$AH393)="","",INDEX('Per Invoice'!A$2:A$401,$AH393)))</f>
        <v/>
      </c>
      <c r="B393">
        <f>IF($AH393="","",IF(INDEX('Per Invoice'!B$2:B$401,$AH393)="","",INDEX('Per Invoice'!B$2:B$401,$AH393)))</f>
        <v/>
      </c>
      <c r="C393">
        <f>IF($AH393="","",IF(INDEX('Per Invoice'!C$2:C$401,$AH393)="","",INDEX('Per Invoice'!C$2:C$401,$AH393)))</f>
        <v/>
      </c>
      <c r="D393">
        <f>IF($AH393="","",IF(INDEX('Per Invoice'!D$2:D$401,$AH393)="","",INDEX('Per Invoice'!D$2:D$401,$AH393)))</f>
        <v/>
      </c>
      <c r="E393">
        <f>IF($AH393="","",IF(INDEX('Per Invoice'!E$2:E$401,$AH393)="","",INDEX('Per Invoice'!E$2:E$401,$AH393)))</f>
        <v/>
      </c>
      <c r="F393">
        <f>IF($AH393="","",IF(INDEX('Per Invoice'!F$2:F$401,$AH393)="","",INDEX('Per Invoice'!F$2:F$401,$AH393)))</f>
        <v/>
      </c>
      <c r="G393">
        <f>IF($AH393="","",IF(INDEX('Per Invoice'!G$2:G$401,$AH393)="","",INDEX('Per Invoice'!G$2:G$401,$AH393)))</f>
        <v/>
      </c>
      <c r="H393">
        <f>IF($AH393="","",IF(INDEX('Per Invoice'!H$2:H$401,$AH393)="","",INDEX('Per Invoice'!H$2:H$401,$AH393)))</f>
        <v/>
      </c>
      <c r="I393" s="14">
        <f>IF($AH393="","",IF(INDEX('Per Invoice'!I$2:I$401,$AH393)="","",INDEX('Per Invoice'!I$2:I$401,$AH393)))</f>
        <v/>
      </c>
      <c r="J393">
        <f>IF($AH393="","",IF(INDEX('Per Invoice'!J$2:J$401,$AH393)="","",INDEX('Per Invoice'!J$2:J$401,$AH393)))</f>
        <v/>
      </c>
      <c r="K393">
        <f>IF($AH393="","",IF(INDEX('Per Invoice'!K$2:K$401,$AH393)="","",INDEX('Per Invoice'!K$2:K$401,$AH393)))</f>
        <v/>
      </c>
      <c r="L393">
        <f>IF($AH393="","",IF(INDEX('Per Invoice'!L$2:L$401,$AH393)="","",INDEX('Per Invoice'!L$2:L$401,$AH393)))</f>
        <v/>
      </c>
      <c r="M393">
        <f>IF($AH393="","",IF(INDEX('Per Invoice'!M$2:M$401,$AH393)="","",INDEX('Per Invoice'!M$2:M$401,$AH393)))</f>
        <v/>
      </c>
      <c r="N393">
        <f>IF($AH393="","",IF(INDEX('Per Invoice'!N$2:N$401,$AH393)="","",INDEX('Per Invoice'!N$2:N$401,$AH393)))</f>
        <v/>
      </c>
      <c r="O393">
        <f>IF($AH393="","",IF(INDEX('Per Invoice'!O$2:O$401,$AH393)="","",INDEX('Per Invoice'!O$2:O$401,$AH393)))</f>
        <v/>
      </c>
      <c r="P393" s="7">
        <f>IF($AH393="","",IF(INDEX('Per Invoice'!P$2:P$401,$AH393)="","",INDEX('Per Invoice'!P$2:P$401,$AH393)))</f>
        <v/>
      </c>
      <c r="Q393">
        <f>IF($AH393="","",IF(INDEX('Per Invoice'!Q$2:Q$401,$AH393)="","",INDEX('Per Invoice'!Q$2:Q$401,$AH393)))</f>
        <v/>
      </c>
      <c r="R393">
        <f>IF($AH393="","",IF(INDEX('Per Invoice'!R$2:R$401,$AH393)="","",INDEX('Per Invoice'!R$2:R$401,$AH393)))</f>
        <v/>
      </c>
      <c r="S393">
        <f>IF($AH393="","",IF(INDEX('Per Invoice'!S$2:S$401,$AH393)="","",INDEX('Per Invoice'!S$2:S$401,$AH393)))</f>
        <v/>
      </c>
      <c r="T393" s="7">
        <f>IF($AH393="","",IF(INDEX('Per Invoice'!T$2:T$401,$AH393)="","",INDEX('Per Invoice'!T$2:T$401,$AH393)))</f>
        <v/>
      </c>
      <c r="U393" s="7">
        <f>IF($AH393="","",IF(INDEX('Per Invoice'!U$2:U$401,$AH393)="","",INDEX('Per Invoice'!U$2:U$401,$AH393)))</f>
        <v/>
      </c>
      <c r="V393">
        <f>IF($AH393="","",IF(INDEX('Per Invoice'!V$2:V$401,$AH393)="","",INDEX('Per Invoice'!V$2:V$401,$AH393)))</f>
        <v/>
      </c>
      <c r="W393" s="7">
        <f>IF($AH393="","",IF(INDEX('Per Invoice'!W$2:W$401,$AH393)="","",INDEX('Per Invoice'!W$2:W$401,$AH393)))</f>
        <v/>
      </c>
      <c r="X393" s="7">
        <f>IF($AH393="","",IF(INDEX('Per Invoice'!X$2:X$401,$AH393)="","",INDEX('Per Invoice'!X$2:X$401,$AH393)))</f>
        <v/>
      </c>
      <c r="Y393">
        <f>IF($AH393="","",IF(INDEX('Per Invoice'!Y$2:Y$401,$AH393)="","",INDEX('Per Invoice'!Y$2:Y$401,$AH393)))</f>
        <v/>
      </c>
      <c r="Z393" s="7">
        <f>IF($AH393="","",IF(INDEX('Per Invoice'!Z$2:Z$401,$AH393)="","",INDEX('Per Invoice'!Z$2:Z$401,$AH393)))</f>
        <v/>
      </c>
      <c r="AA393" s="7">
        <f>IF($AH393="","",IF(INDEX('Per Invoice'!AA$2:AA$401,$AH393)="","",INDEX('Per Invoice'!AA$2:AA$401,$AH393)))</f>
        <v/>
      </c>
      <c r="AB393" s="7">
        <f>IF($AH393="","",IF(INDEX('Per Invoice'!AB$2:AB$401,$AH393)="","",INDEX('Per Invoice'!AB$2:AB$401,$AH393)))</f>
        <v/>
      </c>
      <c r="AC393" s="7">
        <f>IF($AH393="","",IF(INDEX('Per Invoice'!AC$2:AC$401,$AH393)="","",INDEX('Per Invoice'!AC$2:AC$401,$AH393)))</f>
        <v/>
      </c>
      <c r="AD393" s="7">
        <f>IF($AH393="","",IF(INDEX('Per Invoice'!AD$2:AD$401,$AH393)="","",INDEX('Per Invoice'!AD$2:AD$401,$AH393)))</f>
        <v/>
      </c>
      <c r="AE393" s="7">
        <f>IF($AH393="","",IF(INDEX('Per Invoice'!AE$2:AE$401,$AH393)="","",INDEX('Per Invoice'!AE$2:AE$401,$AH393)))</f>
        <v/>
      </c>
      <c r="AF393">
        <f>IF($AH393="","",IF(INDEX('Per Invoice'!AF$2:AF$401,$AH393)="","",INDEX('Per Invoice'!AF$2:AF$401,$AH393)))</f>
        <v/>
      </c>
      <c r="AG393" s="7">
        <f>IF($AH393="","",IF(INDEX('Per Invoice'!AG$2:AG$401,$AH393)="","",INDEX('Per Invoice'!AG$2:AG$401,$AH393)))</f>
        <v/>
      </c>
      <c r="AH393" s="16">
        <f>IFERROR(MATCH(Settings!$C$27&amp;"|"&amp;ROWS($AH$2:$AH393),'Per Invoice'!$AI$2:$AI$401,0),"")</f>
        <v/>
      </c>
    </row>
    <row r="394">
      <c r="A394">
        <f>IF($AH394="","",IF(INDEX('Per Invoice'!A$2:A$401,$AH394)="","",INDEX('Per Invoice'!A$2:A$401,$AH394)))</f>
        <v/>
      </c>
      <c r="B394">
        <f>IF($AH394="","",IF(INDEX('Per Invoice'!B$2:B$401,$AH394)="","",INDEX('Per Invoice'!B$2:B$401,$AH394)))</f>
        <v/>
      </c>
      <c r="C394">
        <f>IF($AH394="","",IF(INDEX('Per Invoice'!C$2:C$401,$AH394)="","",INDEX('Per Invoice'!C$2:C$401,$AH394)))</f>
        <v/>
      </c>
      <c r="D394">
        <f>IF($AH394="","",IF(INDEX('Per Invoice'!D$2:D$401,$AH394)="","",INDEX('Per Invoice'!D$2:D$401,$AH394)))</f>
        <v/>
      </c>
      <c r="E394">
        <f>IF($AH394="","",IF(INDEX('Per Invoice'!E$2:E$401,$AH394)="","",INDEX('Per Invoice'!E$2:E$401,$AH394)))</f>
        <v/>
      </c>
      <c r="F394">
        <f>IF($AH394="","",IF(INDEX('Per Invoice'!F$2:F$401,$AH394)="","",INDEX('Per Invoice'!F$2:F$401,$AH394)))</f>
        <v/>
      </c>
      <c r="G394">
        <f>IF($AH394="","",IF(INDEX('Per Invoice'!G$2:G$401,$AH394)="","",INDEX('Per Invoice'!G$2:G$401,$AH394)))</f>
        <v/>
      </c>
      <c r="H394">
        <f>IF($AH394="","",IF(INDEX('Per Invoice'!H$2:H$401,$AH394)="","",INDEX('Per Invoice'!H$2:H$401,$AH394)))</f>
        <v/>
      </c>
      <c r="I394" s="14">
        <f>IF($AH394="","",IF(INDEX('Per Invoice'!I$2:I$401,$AH394)="","",INDEX('Per Invoice'!I$2:I$401,$AH394)))</f>
        <v/>
      </c>
      <c r="J394">
        <f>IF($AH394="","",IF(INDEX('Per Invoice'!J$2:J$401,$AH394)="","",INDEX('Per Invoice'!J$2:J$401,$AH394)))</f>
        <v/>
      </c>
      <c r="K394">
        <f>IF($AH394="","",IF(INDEX('Per Invoice'!K$2:K$401,$AH394)="","",INDEX('Per Invoice'!K$2:K$401,$AH394)))</f>
        <v/>
      </c>
      <c r="L394">
        <f>IF($AH394="","",IF(INDEX('Per Invoice'!L$2:L$401,$AH394)="","",INDEX('Per Invoice'!L$2:L$401,$AH394)))</f>
        <v/>
      </c>
      <c r="M394">
        <f>IF($AH394="","",IF(INDEX('Per Invoice'!M$2:M$401,$AH394)="","",INDEX('Per Invoice'!M$2:M$401,$AH394)))</f>
        <v/>
      </c>
      <c r="N394">
        <f>IF($AH394="","",IF(INDEX('Per Invoice'!N$2:N$401,$AH394)="","",INDEX('Per Invoice'!N$2:N$401,$AH394)))</f>
        <v/>
      </c>
      <c r="O394">
        <f>IF($AH394="","",IF(INDEX('Per Invoice'!O$2:O$401,$AH394)="","",INDEX('Per Invoice'!O$2:O$401,$AH394)))</f>
        <v/>
      </c>
      <c r="P394" s="7">
        <f>IF($AH394="","",IF(INDEX('Per Invoice'!P$2:P$401,$AH394)="","",INDEX('Per Invoice'!P$2:P$401,$AH394)))</f>
        <v/>
      </c>
      <c r="Q394">
        <f>IF($AH394="","",IF(INDEX('Per Invoice'!Q$2:Q$401,$AH394)="","",INDEX('Per Invoice'!Q$2:Q$401,$AH394)))</f>
        <v/>
      </c>
      <c r="R394">
        <f>IF($AH394="","",IF(INDEX('Per Invoice'!R$2:R$401,$AH394)="","",INDEX('Per Invoice'!R$2:R$401,$AH394)))</f>
        <v/>
      </c>
      <c r="S394">
        <f>IF($AH394="","",IF(INDEX('Per Invoice'!S$2:S$401,$AH394)="","",INDEX('Per Invoice'!S$2:S$401,$AH394)))</f>
        <v/>
      </c>
      <c r="T394" s="7">
        <f>IF($AH394="","",IF(INDEX('Per Invoice'!T$2:T$401,$AH394)="","",INDEX('Per Invoice'!T$2:T$401,$AH394)))</f>
        <v/>
      </c>
      <c r="U394" s="7">
        <f>IF($AH394="","",IF(INDEX('Per Invoice'!U$2:U$401,$AH394)="","",INDEX('Per Invoice'!U$2:U$401,$AH394)))</f>
        <v/>
      </c>
      <c r="V394">
        <f>IF($AH394="","",IF(INDEX('Per Invoice'!V$2:V$401,$AH394)="","",INDEX('Per Invoice'!V$2:V$401,$AH394)))</f>
        <v/>
      </c>
      <c r="W394" s="7">
        <f>IF($AH394="","",IF(INDEX('Per Invoice'!W$2:W$401,$AH394)="","",INDEX('Per Invoice'!W$2:W$401,$AH394)))</f>
        <v/>
      </c>
      <c r="X394" s="7">
        <f>IF($AH394="","",IF(INDEX('Per Invoice'!X$2:X$401,$AH394)="","",INDEX('Per Invoice'!X$2:X$401,$AH394)))</f>
        <v/>
      </c>
      <c r="Y394">
        <f>IF($AH394="","",IF(INDEX('Per Invoice'!Y$2:Y$401,$AH394)="","",INDEX('Per Invoice'!Y$2:Y$401,$AH394)))</f>
        <v/>
      </c>
      <c r="Z394" s="7">
        <f>IF($AH394="","",IF(INDEX('Per Invoice'!Z$2:Z$401,$AH394)="","",INDEX('Per Invoice'!Z$2:Z$401,$AH394)))</f>
        <v/>
      </c>
      <c r="AA394" s="7">
        <f>IF($AH394="","",IF(INDEX('Per Invoice'!AA$2:AA$401,$AH394)="","",INDEX('Per Invoice'!AA$2:AA$401,$AH394)))</f>
        <v/>
      </c>
      <c r="AB394" s="7">
        <f>IF($AH394="","",IF(INDEX('Per Invoice'!AB$2:AB$401,$AH394)="","",INDEX('Per Invoice'!AB$2:AB$401,$AH394)))</f>
        <v/>
      </c>
      <c r="AC394" s="7">
        <f>IF($AH394="","",IF(INDEX('Per Invoice'!AC$2:AC$401,$AH394)="","",INDEX('Per Invoice'!AC$2:AC$401,$AH394)))</f>
        <v/>
      </c>
      <c r="AD394" s="7">
        <f>IF($AH394="","",IF(INDEX('Per Invoice'!AD$2:AD$401,$AH394)="","",INDEX('Per Invoice'!AD$2:AD$401,$AH394)))</f>
        <v/>
      </c>
      <c r="AE394" s="7">
        <f>IF($AH394="","",IF(INDEX('Per Invoice'!AE$2:AE$401,$AH394)="","",INDEX('Per Invoice'!AE$2:AE$401,$AH394)))</f>
        <v/>
      </c>
      <c r="AF394">
        <f>IF($AH394="","",IF(INDEX('Per Invoice'!AF$2:AF$401,$AH394)="","",INDEX('Per Invoice'!AF$2:AF$401,$AH394)))</f>
        <v/>
      </c>
      <c r="AG394" s="7">
        <f>IF($AH394="","",IF(INDEX('Per Invoice'!AG$2:AG$401,$AH394)="","",INDEX('Per Invoice'!AG$2:AG$401,$AH394)))</f>
        <v/>
      </c>
      <c r="AH394" s="16">
        <f>IFERROR(MATCH(Settings!$C$27&amp;"|"&amp;ROWS($AH$2:$AH394),'Per Invoice'!$AI$2:$AI$401,0),"")</f>
        <v/>
      </c>
    </row>
    <row r="395">
      <c r="A395">
        <f>IF($AH395="","",IF(INDEX('Per Invoice'!A$2:A$401,$AH395)="","",INDEX('Per Invoice'!A$2:A$401,$AH395)))</f>
        <v/>
      </c>
      <c r="B395">
        <f>IF($AH395="","",IF(INDEX('Per Invoice'!B$2:B$401,$AH395)="","",INDEX('Per Invoice'!B$2:B$401,$AH395)))</f>
        <v/>
      </c>
      <c r="C395">
        <f>IF($AH395="","",IF(INDEX('Per Invoice'!C$2:C$401,$AH395)="","",INDEX('Per Invoice'!C$2:C$401,$AH395)))</f>
        <v/>
      </c>
      <c r="D395">
        <f>IF($AH395="","",IF(INDEX('Per Invoice'!D$2:D$401,$AH395)="","",INDEX('Per Invoice'!D$2:D$401,$AH395)))</f>
        <v/>
      </c>
      <c r="E395">
        <f>IF($AH395="","",IF(INDEX('Per Invoice'!E$2:E$401,$AH395)="","",INDEX('Per Invoice'!E$2:E$401,$AH395)))</f>
        <v/>
      </c>
      <c r="F395">
        <f>IF($AH395="","",IF(INDEX('Per Invoice'!F$2:F$401,$AH395)="","",INDEX('Per Invoice'!F$2:F$401,$AH395)))</f>
        <v/>
      </c>
      <c r="G395">
        <f>IF($AH395="","",IF(INDEX('Per Invoice'!G$2:G$401,$AH395)="","",INDEX('Per Invoice'!G$2:G$401,$AH395)))</f>
        <v/>
      </c>
      <c r="H395">
        <f>IF($AH395="","",IF(INDEX('Per Invoice'!H$2:H$401,$AH395)="","",INDEX('Per Invoice'!H$2:H$401,$AH395)))</f>
        <v/>
      </c>
      <c r="I395" s="14">
        <f>IF($AH395="","",IF(INDEX('Per Invoice'!I$2:I$401,$AH395)="","",INDEX('Per Invoice'!I$2:I$401,$AH395)))</f>
        <v/>
      </c>
      <c r="J395">
        <f>IF($AH395="","",IF(INDEX('Per Invoice'!J$2:J$401,$AH395)="","",INDEX('Per Invoice'!J$2:J$401,$AH395)))</f>
        <v/>
      </c>
      <c r="K395">
        <f>IF($AH395="","",IF(INDEX('Per Invoice'!K$2:K$401,$AH395)="","",INDEX('Per Invoice'!K$2:K$401,$AH395)))</f>
        <v/>
      </c>
      <c r="L395">
        <f>IF($AH395="","",IF(INDEX('Per Invoice'!L$2:L$401,$AH395)="","",INDEX('Per Invoice'!L$2:L$401,$AH395)))</f>
        <v/>
      </c>
      <c r="M395">
        <f>IF($AH395="","",IF(INDEX('Per Invoice'!M$2:M$401,$AH395)="","",INDEX('Per Invoice'!M$2:M$401,$AH395)))</f>
        <v/>
      </c>
      <c r="N395">
        <f>IF($AH395="","",IF(INDEX('Per Invoice'!N$2:N$401,$AH395)="","",INDEX('Per Invoice'!N$2:N$401,$AH395)))</f>
        <v/>
      </c>
      <c r="O395">
        <f>IF($AH395="","",IF(INDEX('Per Invoice'!O$2:O$401,$AH395)="","",INDEX('Per Invoice'!O$2:O$401,$AH395)))</f>
        <v/>
      </c>
      <c r="P395" s="7">
        <f>IF($AH395="","",IF(INDEX('Per Invoice'!P$2:P$401,$AH395)="","",INDEX('Per Invoice'!P$2:P$401,$AH395)))</f>
        <v/>
      </c>
      <c r="Q395">
        <f>IF($AH395="","",IF(INDEX('Per Invoice'!Q$2:Q$401,$AH395)="","",INDEX('Per Invoice'!Q$2:Q$401,$AH395)))</f>
        <v/>
      </c>
      <c r="R395">
        <f>IF($AH395="","",IF(INDEX('Per Invoice'!R$2:R$401,$AH395)="","",INDEX('Per Invoice'!R$2:R$401,$AH395)))</f>
        <v/>
      </c>
      <c r="S395">
        <f>IF($AH395="","",IF(INDEX('Per Invoice'!S$2:S$401,$AH395)="","",INDEX('Per Invoice'!S$2:S$401,$AH395)))</f>
        <v/>
      </c>
      <c r="T395" s="7">
        <f>IF($AH395="","",IF(INDEX('Per Invoice'!T$2:T$401,$AH395)="","",INDEX('Per Invoice'!T$2:T$401,$AH395)))</f>
        <v/>
      </c>
      <c r="U395" s="7">
        <f>IF($AH395="","",IF(INDEX('Per Invoice'!U$2:U$401,$AH395)="","",INDEX('Per Invoice'!U$2:U$401,$AH395)))</f>
        <v/>
      </c>
      <c r="V395">
        <f>IF($AH395="","",IF(INDEX('Per Invoice'!V$2:V$401,$AH395)="","",INDEX('Per Invoice'!V$2:V$401,$AH395)))</f>
        <v/>
      </c>
      <c r="W395" s="7">
        <f>IF($AH395="","",IF(INDEX('Per Invoice'!W$2:W$401,$AH395)="","",INDEX('Per Invoice'!W$2:W$401,$AH395)))</f>
        <v/>
      </c>
      <c r="X395" s="7">
        <f>IF($AH395="","",IF(INDEX('Per Invoice'!X$2:X$401,$AH395)="","",INDEX('Per Invoice'!X$2:X$401,$AH395)))</f>
        <v/>
      </c>
      <c r="Y395">
        <f>IF($AH395="","",IF(INDEX('Per Invoice'!Y$2:Y$401,$AH395)="","",INDEX('Per Invoice'!Y$2:Y$401,$AH395)))</f>
        <v/>
      </c>
      <c r="Z395" s="7">
        <f>IF($AH395="","",IF(INDEX('Per Invoice'!Z$2:Z$401,$AH395)="","",INDEX('Per Invoice'!Z$2:Z$401,$AH395)))</f>
        <v/>
      </c>
      <c r="AA395" s="7">
        <f>IF($AH395="","",IF(INDEX('Per Invoice'!AA$2:AA$401,$AH395)="","",INDEX('Per Invoice'!AA$2:AA$401,$AH395)))</f>
        <v/>
      </c>
      <c r="AB395" s="7">
        <f>IF($AH395="","",IF(INDEX('Per Invoice'!AB$2:AB$401,$AH395)="","",INDEX('Per Invoice'!AB$2:AB$401,$AH395)))</f>
        <v/>
      </c>
      <c r="AC395" s="7">
        <f>IF($AH395="","",IF(INDEX('Per Invoice'!AC$2:AC$401,$AH395)="","",INDEX('Per Invoice'!AC$2:AC$401,$AH395)))</f>
        <v/>
      </c>
      <c r="AD395" s="7">
        <f>IF($AH395="","",IF(INDEX('Per Invoice'!AD$2:AD$401,$AH395)="","",INDEX('Per Invoice'!AD$2:AD$401,$AH395)))</f>
        <v/>
      </c>
      <c r="AE395" s="7">
        <f>IF($AH395="","",IF(INDEX('Per Invoice'!AE$2:AE$401,$AH395)="","",INDEX('Per Invoice'!AE$2:AE$401,$AH395)))</f>
        <v/>
      </c>
      <c r="AF395">
        <f>IF($AH395="","",IF(INDEX('Per Invoice'!AF$2:AF$401,$AH395)="","",INDEX('Per Invoice'!AF$2:AF$401,$AH395)))</f>
        <v/>
      </c>
      <c r="AG395" s="7">
        <f>IF($AH395="","",IF(INDEX('Per Invoice'!AG$2:AG$401,$AH395)="","",INDEX('Per Invoice'!AG$2:AG$401,$AH395)))</f>
        <v/>
      </c>
      <c r="AH395" s="16">
        <f>IFERROR(MATCH(Settings!$C$27&amp;"|"&amp;ROWS($AH$2:$AH395),'Per Invoice'!$AI$2:$AI$401,0),"")</f>
        <v/>
      </c>
    </row>
    <row r="396">
      <c r="A396">
        <f>IF($AH396="","",IF(INDEX('Per Invoice'!A$2:A$401,$AH396)="","",INDEX('Per Invoice'!A$2:A$401,$AH396)))</f>
        <v/>
      </c>
      <c r="B396">
        <f>IF($AH396="","",IF(INDEX('Per Invoice'!B$2:B$401,$AH396)="","",INDEX('Per Invoice'!B$2:B$401,$AH396)))</f>
        <v/>
      </c>
      <c r="C396">
        <f>IF($AH396="","",IF(INDEX('Per Invoice'!C$2:C$401,$AH396)="","",INDEX('Per Invoice'!C$2:C$401,$AH396)))</f>
        <v/>
      </c>
      <c r="D396">
        <f>IF($AH396="","",IF(INDEX('Per Invoice'!D$2:D$401,$AH396)="","",INDEX('Per Invoice'!D$2:D$401,$AH396)))</f>
        <v/>
      </c>
      <c r="E396">
        <f>IF($AH396="","",IF(INDEX('Per Invoice'!E$2:E$401,$AH396)="","",INDEX('Per Invoice'!E$2:E$401,$AH396)))</f>
        <v/>
      </c>
      <c r="F396">
        <f>IF($AH396="","",IF(INDEX('Per Invoice'!F$2:F$401,$AH396)="","",INDEX('Per Invoice'!F$2:F$401,$AH396)))</f>
        <v/>
      </c>
      <c r="G396">
        <f>IF($AH396="","",IF(INDEX('Per Invoice'!G$2:G$401,$AH396)="","",INDEX('Per Invoice'!G$2:G$401,$AH396)))</f>
        <v/>
      </c>
      <c r="H396">
        <f>IF($AH396="","",IF(INDEX('Per Invoice'!H$2:H$401,$AH396)="","",INDEX('Per Invoice'!H$2:H$401,$AH396)))</f>
        <v/>
      </c>
      <c r="I396" s="14">
        <f>IF($AH396="","",IF(INDEX('Per Invoice'!I$2:I$401,$AH396)="","",INDEX('Per Invoice'!I$2:I$401,$AH396)))</f>
        <v/>
      </c>
      <c r="J396">
        <f>IF($AH396="","",IF(INDEX('Per Invoice'!J$2:J$401,$AH396)="","",INDEX('Per Invoice'!J$2:J$401,$AH396)))</f>
        <v/>
      </c>
      <c r="K396">
        <f>IF($AH396="","",IF(INDEX('Per Invoice'!K$2:K$401,$AH396)="","",INDEX('Per Invoice'!K$2:K$401,$AH396)))</f>
        <v/>
      </c>
      <c r="L396">
        <f>IF($AH396="","",IF(INDEX('Per Invoice'!L$2:L$401,$AH396)="","",INDEX('Per Invoice'!L$2:L$401,$AH396)))</f>
        <v/>
      </c>
      <c r="M396">
        <f>IF($AH396="","",IF(INDEX('Per Invoice'!M$2:M$401,$AH396)="","",INDEX('Per Invoice'!M$2:M$401,$AH396)))</f>
        <v/>
      </c>
      <c r="N396">
        <f>IF($AH396="","",IF(INDEX('Per Invoice'!N$2:N$401,$AH396)="","",INDEX('Per Invoice'!N$2:N$401,$AH396)))</f>
        <v/>
      </c>
      <c r="O396">
        <f>IF($AH396="","",IF(INDEX('Per Invoice'!O$2:O$401,$AH396)="","",INDEX('Per Invoice'!O$2:O$401,$AH396)))</f>
        <v/>
      </c>
      <c r="P396" s="7">
        <f>IF($AH396="","",IF(INDEX('Per Invoice'!P$2:P$401,$AH396)="","",INDEX('Per Invoice'!P$2:P$401,$AH396)))</f>
        <v/>
      </c>
      <c r="Q396">
        <f>IF($AH396="","",IF(INDEX('Per Invoice'!Q$2:Q$401,$AH396)="","",INDEX('Per Invoice'!Q$2:Q$401,$AH396)))</f>
        <v/>
      </c>
      <c r="R396">
        <f>IF($AH396="","",IF(INDEX('Per Invoice'!R$2:R$401,$AH396)="","",INDEX('Per Invoice'!R$2:R$401,$AH396)))</f>
        <v/>
      </c>
      <c r="S396">
        <f>IF($AH396="","",IF(INDEX('Per Invoice'!S$2:S$401,$AH396)="","",INDEX('Per Invoice'!S$2:S$401,$AH396)))</f>
        <v/>
      </c>
      <c r="T396" s="7">
        <f>IF($AH396="","",IF(INDEX('Per Invoice'!T$2:T$401,$AH396)="","",INDEX('Per Invoice'!T$2:T$401,$AH396)))</f>
        <v/>
      </c>
      <c r="U396" s="7">
        <f>IF($AH396="","",IF(INDEX('Per Invoice'!U$2:U$401,$AH396)="","",INDEX('Per Invoice'!U$2:U$401,$AH396)))</f>
        <v/>
      </c>
      <c r="V396">
        <f>IF($AH396="","",IF(INDEX('Per Invoice'!V$2:V$401,$AH396)="","",INDEX('Per Invoice'!V$2:V$401,$AH396)))</f>
        <v/>
      </c>
      <c r="W396" s="7">
        <f>IF($AH396="","",IF(INDEX('Per Invoice'!W$2:W$401,$AH396)="","",INDEX('Per Invoice'!W$2:W$401,$AH396)))</f>
        <v/>
      </c>
      <c r="X396" s="7">
        <f>IF($AH396="","",IF(INDEX('Per Invoice'!X$2:X$401,$AH396)="","",INDEX('Per Invoice'!X$2:X$401,$AH396)))</f>
        <v/>
      </c>
      <c r="Y396">
        <f>IF($AH396="","",IF(INDEX('Per Invoice'!Y$2:Y$401,$AH396)="","",INDEX('Per Invoice'!Y$2:Y$401,$AH396)))</f>
        <v/>
      </c>
      <c r="Z396" s="7">
        <f>IF($AH396="","",IF(INDEX('Per Invoice'!Z$2:Z$401,$AH396)="","",INDEX('Per Invoice'!Z$2:Z$401,$AH396)))</f>
        <v/>
      </c>
      <c r="AA396" s="7">
        <f>IF($AH396="","",IF(INDEX('Per Invoice'!AA$2:AA$401,$AH396)="","",INDEX('Per Invoice'!AA$2:AA$401,$AH396)))</f>
        <v/>
      </c>
      <c r="AB396" s="7">
        <f>IF($AH396="","",IF(INDEX('Per Invoice'!AB$2:AB$401,$AH396)="","",INDEX('Per Invoice'!AB$2:AB$401,$AH396)))</f>
        <v/>
      </c>
      <c r="AC396" s="7">
        <f>IF($AH396="","",IF(INDEX('Per Invoice'!AC$2:AC$401,$AH396)="","",INDEX('Per Invoice'!AC$2:AC$401,$AH396)))</f>
        <v/>
      </c>
      <c r="AD396" s="7">
        <f>IF($AH396="","",IF(INDEX('Per Invoice'!AD$2:AD$401,$AH396)="","",INDEX('Per Invoice'!AD$2:AD$401,$AH396)))</f>
        <v/>
      </c>
      <c r="AE396" s="7">
        <f>IF($AH396="","",IF(INDEX('Per Invoice'!AE$2:AE$401,$AH396)="","",INDEX('Per Invoice'!AE$2:AE$401,$AH396)))</f>
        <v/>
      </c>
      <c r="AF396">
        <f>IF($AH396="","",IF(INDEX('Per Invoice'!AF$2:AF$401,$AH396)="","",INDEX('Per Invoice'!AF$2:AF$401,$AH396)))</f>
        <v/>
      </c>
      <c r="AG396" s="7">
        <f>IF($AH396="","",IF(INDEX('Per Invoice'!AG$2:AG$401,$AH396)="","",INDEX('Per Invoice'!AG$2:AG$401,$AH396)))</f>
        <v/>
      </c>
      <c r="AH396" s="16">
        <f>IFERROR(MATCH(Settings!$C$27&amp;"|"&amp;ROWS($AH$2:$AH396),'Per Invoice'!$AI$2:$AI$401,0),"")</f>
        <v/>
      </c>
    </row>
    <row r="397">
      <c r="A397">
        <f>IF($AH397="","",IF(INDEX('Per Invoice'!A$2:A$401,$AH397)="","",INDEX('Per Invoice'!A$2:A$401,$AH397)))</f>
        <v/>
      </c>
      <c r="B397">
        <f>IF($AH397="","",IF(INDEX('Per Invoice'!B$2:B$401,$AH397)="","",INDEX('Per Invoice'!B$2:B$401,$AH397)))</f>
        <v/>
      </c>
      <c r="C397">
        <f>IF($AH397="","",IF(INDEX('Per Invoice'!C$2:C$401,$AH397)="","",INDEX('Per Invoice'!C$2:C$401,$AH397)))</f>
        <v/>
      </c>
      <c r="D397">
        <f>IF($AH397="","",IF(INDEX('Per Invoice'!D$2:D$401,$AH397)="","",INDEX('Per Invoice'!D$2:D$401,$AH397)))</f>
        <v/>
      </c>
      <c r="E397">
        <f>IF($AH397="","",IF(INDEX('Per Invoice'!E$2:E$401,$AH397)="","",INDEX('Per Invoice'!E$2:E$401,$AH397)))</f>
        <v/>
      </c>
      <c r="F397">
        <f>IF($AH397="","",IF(INDEX('Per Invoice'!F$2:F$401,$AH397)="","",INDEX('Per Invoice'!F$2:F$401,$AH397)))</f>
        <v/>
      </c>
      <c r="G397">
        <f>IF($AH397="","",IF(INDEX('Per Invoice'!G$2:G$401,$AH397)="","",INDEX('Per Invoice'!G$2:G$401,$AH397)))</f>
        <v/>
      </c>
      <c r="H397">
        <f>IF($AH397="","",IF(INDEX('Per Invoice'!H$2:H$401,$AH397)="","",INDEX('Per Invoice'!H$2:H$401,$AH397)))</f>
        <v/>
      </c>
      <c r="I397" s="14">
        <f>IF($AH397="","",IF(INDEX('Per Invoice'!I$2:I$401,$AH397)="","",INDEX('Per Invoice'!I$2:I$401,$AH397)))</f>
        <v/>
      </c>
      <c r="J397">
        <f>IF($AH397="","",IF(INDEX('Per Invoice'!J$2:J$401,$AH397)="","",INDEX('Per Invoice'!J$2:J$401,$AH397)))</f>
        <v/>
      </c>
      <c r="K397">
        <f>IF($AH397="","",IF(INDEX('Per Invoice'!K$2:K$401,$AH397)="","",INDEX('Per Invoice'!K$2:K$401,$AH397)))</f>
        <v/>
      </c>
      <c r="L397">
        <f>IF($AH397="","",IF(INDEX('Per Invoice'!L$2:L$401,$AH397)="","",INDEX('Per Invoice'!L$2:L$401,$AH397)))</f>
        <v/>
      </c>
      <c r="M397">
        <f>IF($AH397="","",IF(INDEX('Per Invoice'!M$2:M$401,$AH397)="","",INDEX('Per Invoice'!M$2:M$401,$AH397)))</f>
        <v/>
      </c>
      <c r="N397">
        <f>IF($AH397="","",IF(INDEX('Per Invoice'!N$2:N$401,$AH397)="","",INDEX('Per Invoice'!N$2:N$401,$AH397)))</f>
        <v/>
      </c>
      <c r="O397">
        <f>IF($AH397="","",IF(INDEX('Per Invoice'!O$2:O$401,$AH397)="","",INDEX('Per Invoice'!O$2:O$401,$AH397)))</f>
        <v/>
      </c>
      <c r="P397" s="7">
        <f>IF($AH397="","",IF(INDEX('Per Invoice'!P$2:P$401,$AH397)="","",INDEX('Per Invoice'!P$2:P$401,$AH397)))</f>
        <v/>
      </c>
      <c r="Q397">
        <f>IF($AH397="","",IF(INDEX('Per Invoice'!Q$2:Q$401,$AH397)="","",INDEX('Per Invoice'!Q$2:Q$401,$AH397)))</f>
        <v/>
      </c>
      <c r="R397">
        <f>IF($AH397="","",IF(INDEX('Per Invoice'!R$2:R$401,$AH397)="","",INDEX('Per Invoice'!R$2:R$401,$AH397)))</f>
        <v/>
      </c>
      <c r="S397">
        <f>IF($AH397="","",IF(INDEX('Per Invoice'!S$2:S$401,$AH397)="","",INDEX('Per Invoice'!S$2:S$401,$AH397)))</f>
        <v/>
      </c>
      <c r="T397" s="7">
        <f>IF($AH397="","",IF(INDEX('Per Invoice'!T$2:T$401,$AH397)="","",INDEX('Per Invoice'!T$2:T$401,$AH397)))</f>
        <v/>
      </c>
      <c r="U397" s="7">
        <f>IF($AH397="","",IF(INDEX('Per Invoice'!U$2:U$401,$AH397)="","",INDEX('Per Invoice'!U$2:U$401,$AH397)))</f>
        <v/>
      </c>
      <c r="V397">
        <f>IF($AH397="","",IF(INDEX('Per Invoice'!V$2:V$401,$AH397)="","",INDEX('Per Invoice'!V$2:V$401,$AH397)))</f>
        <v/>
      </c>
      <c r="W397" s="7">
        <f>IF($AH397="","",IF(INDEX('Per Invoice'!W$2:W$401,$AH397)="","",INDEX('Per Invoice'!W$2:W$401,$AH397)))</f>
        <v/>
      </c>
      <c r="X397" s="7">
        <f>IF($AH397="","",IF(INDEX('Per Invoice'!X$2:X$401,$AH397)="","",INDEX('Per Invoice'!X$2:X$401,$AH397)))</f>
        <v/>
      </c>
      <c r="Y397">
        <f>IF($AH397="","",IF(INDEX('Per Invoice'!Y$2:Y$401,$AH397)="","",INDEX('Per Invoice'!Y$2:Y$401,$AH397)))</f>
        <v/>
      </c>
      <c r="Z397" s="7">
        <f>IF($AH397="","",IF(INDEX('Per Invoice'!Z$2:Z$401,$AH397)="","",INDEX('Per Invoice'!Z$2:Z$401,$AH397)))</f>
        <v/>
      </c>
      <c r="AA397" s="7">
        <f>IF($AH397="","",IF(INDEX('Per Invoice'!AA$2:AA$401,$AH397)="","",INDEX('Per Invoice'!AA$2:AA$401,$AH397)))</f>
        <v/>
      </c>
      <c r="AB397" s="7">
        <f>IF($AH397="","",IF(INDEX('Per Invoice'!AB$2:AB$401,$AH397)="","",INDEX('Per Invoice'!AB$2:AB$401,$AH397)))</f>
        <v/>
      </c>
      <c r="AC397" s="7">
        <f>IF($AH397="","",IF(INDEX('Per Invoice'!AC$2:AC$401,$AH397)="","",INDEX('Per Invoice'!AC$2:AC$401,$AH397)))</f>
        <v/>
      </c>
      <c r="AD397" s="7">
        <f>IF($AH397="","",IF(INDEX('Per Invoice'!AD$2:AD$401,$AH397)="","",INDEX('Per Invoice'!AD$2:AD$401,$AH397)))</f>
        <v/>
      </c>
      <c r="AE397" s="7">
        <f>IF($AH397="","",IF(INDEX('Per Invoice'!AE$2:AE$401,$AH397)="","",INDEX('Per Invoice'!AE$2:AE$401,$AH397)))</f>
        <v/>
      </c>
      <c r="AF397">
        <f>IF($AH397="","",IF(INDEX('Per Invoice'!AF$2:AF$401,$AH397)="","",INDEX('Per Invoice'!AF$2:AF$401,$AH397)))</f>
        <v/>
      </c>
      <c r="AG397" s="7">
        <f>IF($AH397="","",IF(INDEX('Per Invoice'!AG$2:AG$401,$AH397)="","",INDEX('Per Invoice'!AG$2:AG$401,$AH397)))</f>
        <v/>
      </c>
      <c r="AH397" s="16">
        <f>IFERROR(MATCH(Settings!$C$27&amp;"|"&amp;ROWS($AH$2:$AH397),'Per Invoice'!$AI$2:$AI$401,0),"")</f>
        <v/>
      </c>
    </row>
    <row r="398">
      <c r="A398">
        <f>IF($AH398="","",IF(INDEX('Per Invoice'!A$2:A$401,$AH398)="","",INDEX('Per Invoice'!A$2:A$401,$AH398)))</f>
        <v/>
      </c>
      <c r="B398">
        <f>IF($AH398="","",IF(INDEX('Per Invoice'!B$2:B$401,$AH398)="","",INDEX('Per Invoice'!B$2:B$401,$AH398)))</f>
        <v/>
      </c>
      <c r="C398">
        <f>IF($AH398="","",IF(INDEX('Per Invoice'!C$2:C$401,$AH398)="","",INDEX('Per Invoice'!C$2:C$401,$AH398)))</f>
        <v/>
      </c>
      <c r="D398">
        <f>IF($AH398="","",IF(INDEX('Per Invoice'!D$2:D$401,$AH398)="","",INDEX('Per Invoice'!D$2:D$401,$AH398)))</f>
        <v/>
      </c>
      <c r="E398">
        <f>IF($AH398="","",IF(INDEX('Per Invoice'!E$2:E$401,$AH398)="","",INDEX('Per Invoice'!E$2:E$401,$AH398)))</f>
        <v/>
      </c>
      <c r="F398">
        <f>IF($AH398="","",IF(INDEX('Per Invoice'!F$2:F$401,$AH398)="","",INDEX('Per Invoice'!F$2:F$401,$AH398)))</f>
        <v/>
      </c>
      <c r="G398">
        <f>IF($AH398="","",IF(INDEX('Per Invoice'!G$2:G$401,$AH398)="","",INDEX('Per Invoice'!G$2:G$401,$AH398)))</f>
        <v/>
      </c>
      <c r="H398">
        <f>IF($AH398="","",IF(INDEX('Per Invoice'!H$2:H$401,$AH398)="","",INDEX('Per Invoice'!H$2:H$401,$AH398)))</f>
        <v/>
      </c>
      <c r="I398" s="14">
        <f>IF($AH398="","",IF(INDEX('Per Invoice'!I$2:I$401,$AH398)="","",INDEX('Per Invoice'!I$2:I$401,$AH398)))</f>
        <v/>
      </c>
      <c r="J398">
        <f>IF($AH398="","",IF(INDEX('Per Invoice'!J$2:J$401,$AH398)="","",INDEX('Per Invoice'!J$2:J$401,$AH398)))</f>
        <v/>
      </c>
      <c r="K398">
        <f>IF($AH398="","",IF(INDEX('Per Invoice'!K$2:K$401,$AH398)="","",INDEX('Per Invoice'!K$2:K$401,$AH398)))</f>
        <v/>
      </c>
      <c r="L398">
        <f>IF($AH398="","",IF(INDEX('Per Invoice'!L$2:L$401,$AH398)="","",INDEX('Per Invoice'!L$2:L$401,$AH398)))</f>
        <v/>
      </c>
      <c r="M398">
        <f>IF($AH398="","",IF(INDEX('Per Invoice'!M$2:M$401,$AH398)="","",INDEX('Per Invoice'!M$2:M$401,$AH398)))</f>
        <v/>
      </c>
      <c r="N398">
        <f>IF($AH398="","",IF(INDEX('Per Invoice'!N$2:N$401,$AH398)="","",INDEX('Per Invoice'!N$2:N$401,$AH398)))</f>
        <v/>
      </c>
      <c r="O398">
        <f>IF($AH398="","",IF(INDEX('Per Invoice'!O$2:O$401,$AH398)="","",INDEX('Per Invoice'!O$2:O$401,$AH398)))</f>
        <v/>
      </c>
      <c r="P398" s="7">
        <f>IF($AH398="","",IF(INDEX('Per Invoice'!P$2:P$401,$AH398)="","",INDEX('Per Invoice'!P$2:P$401,$AH398)))</f>
        <v/>
      </c>
      <c r="Q398">
        <f>IF($AH398="","",IF(INDEX('Per Invoice'!Q$2:Q$401,$AH398)="","",INDEX('Per Invoice'!Q$2:Q$401,$AH398)))</f>
        <v/>
      </c>
      <c r="R398">
        <f>IF($AH398="","",IF(INDEX('Per Invoice'!R$2:R$401,$AH398)="","",INDEX('Per Invoice'!R$2:R$401,$AH398)))</f>
        <v/>
      </c>
      <c r="S398">
        <f>IF($AH398="","",IF(INDEX('Per Invoice'!S$2:S$401,$AH398)="","",INDEX('Per Invoice'!S$2:S$401,$AH398)))</f>
        <v/>
      </c>
      <c r="T398" s="7">
        <f>IF($AH398="","",IF(INDEX('Per Invoice'!T$2:T$401,$AH398)="","",INDEX('Per Invoice'!T$2:T$401,$AH398)))</f>
        <v/>
      </c>
      <c r="U398" s="7">
        <f>IF($AH398="","",IF(INDEX('Per Invoice'!U$2:U$401,$AH398)="","",INDEX('Per Invoice'!U$2:U$401,$AH398)))</f>
        <v/>
      </c>
      <c r="V398">
        <f>IF($AH398="","",IF(INDEX('Per Invoice'!V$2:V$401,$AH398)="","",INDEX('Per Invoice'!V$2:V$401,$AH398)))</f>
        <v/>
      </c>
      <c r="W398" s="7">
        <f>IF($AH398="","",IF(INDEX('Per Invoice'!W$2:W$401,$AH398)="","",INDEX('Per Invoice'!W$2:W$401,$AH398)))</f>
        <v/>
      </c>
      <c r="X398" s="7">
        <f>IF($AH398="","",IF(INDEX('Per Invoice'!X$2:X$401,$AH398)="","",INDEX('Per Invoice'!X$2:X$401,$AH398)))</f>
        <v/>
      </c>
      <c r="Y398">
        <f>IF($AH398="","",IF(INDEX('Per Invoice'!Y$2:Y$401,$AH398)="","",INDEX('Per Invoice'!Y$2:Y$401,$AH398)))</f>
        <v/>
      </c>
      <c r="Z398" s="7">
        <f>IF($AH398="","",IF(INDEX('Per Invoice'!Z$2:Z$401,$AH398)="","",INDEX('Per Invoice'!Z$2:Z$401,$AH398)))</f>
        <v/>
      </c>
      <c r="AA398" s="7">
        <f>IF($AH398="","",IF(INDEX('Per Invoice'!AA$2:AA$401,$AH398)="","",INDEX('Per Invoice'!AA$2:AA$401,$AH398)))</f>
        <v/>
      </c>
      <c r="AB398" s="7">
        <f>IF($AH398="","",IF(INDEX('Per Invoice'!AB$2:AB$401,$AH398)="","",INDEX('Per Invoice'!AB$2:AB$401,$AH398)))</f>
        <v/>
      </c>
      <c r="AC398" s="7">
        <f>IF($AH398="","",IF(INDEX('Per Invoice'!AC$2:AC$401,$AH398)="","",INDEX('Per Invoice'!AC$2:AC$401,$AH398)))</f>
        <v/>
      </c>
      <c r="AD398" s="7">
        <f>IF($AH398="","",IF(INDEX('Per Invoice'!AD$2:AD$401,$AH398)="","",INDEX('Per Invoice'!AD$2:AD$401,$AH398)))</f>
        <v/>
      </c>
      <c r="AE398" s="7">
        <f>IF($AH398="","",IF(INDEX('Per Invoice'!AE$2:AE$401,$AH398)="","",INDEX('Per Invoice'!AE$2:AE$401,$AH398)))</f>
        <v/>
      </c>
      <c r="AF398">
        <f>IF($AH398="","",IF(INDEX('Per Invoice'!AF$2:AF$401,$AH398)="","",INDEX('Per Invoice'!AF$2:AF$401,$AH398)))</f>
        <v/>
      </c>
      <c r="AG398" s="7">
        <f>IF($AH398="","",IF(INDEX('Per Invoice'!AG$2:AG$401,$AH398)="","",INDEX('Per Invoice'!AG$2:AG$401,$AH398)))</f>
        <v/>
      </c>
      <c r="AH398" s="16">
        <f>IFERROR(MATCH(Settings!$C$27&amp;"|"&amp;ROWS($AH$2:$AH398),'Per Invoice'!$AI$2:$AI$401,0),"")</f>
        <v/>
      </c>
    </row>
    <row r="399">
      <c r="A399">
        <f>IF($AH399="","",IF(INDEX('Per Invoice'!A$2:A$401,$AH399)="","",INDEX('Per Invoice'!A$2:A$401,$AH399)))</f>
        <v/>
      </c>
      <c r="B399">
        <f>IF($AH399="","",IF(INDEX('Per Invoice'!B$2:B$401,$AH399)="","",INDEX('Per Invoice'!B$2:B$401,$AH399)))</f>
        <v/>
      </c>
      <c r="C399">
        <f>IF($AH399="","",IF(INDEX('Per Invoice'!C$2:C$401,$AH399)="","",INDEX('Per Invoice'!C$2:C$401,$AH399)))</f>
        <v/>
      </c>
      <c r="D399">
        <f>IF($AH399="","",IF(INDEX('Per Invoice'!D$2:D$401,$AH399)="","",INDEX('Per Invoice'!D$2:D$401,$AH399)))</f>
        <v/>
      </c>
      <c r="E399">
        <f>IF($AH399="","",IF(INDEX('Per Invoice'!E$2:E$401,$AH399)="","",INDEX('Per Invoice'!E$2:E$401,$AH399)))</f>
        <v/>
      </c>
      <c r="F399">
        <f>IF($AH399="","",IF(INDEX('Per Invoice'!F$2:F$401,$AH399)="","",INDEX('Per Invoice'!F$2:F$401,$AH399)))</f>
        <v/>
      </c>
      <c r="G399">
        <f>IF($AH399="","",IF(INDEX('Per Invoice'!G$2:G$401,$AH399)="","",INDEX('Per Invoice'!G$2:G$401,$AH399)))</f>
        <v/>
      </c>
      <c r="H399">
        <f>IF($AH399="","",IF(INDEX('Per Invoice'!H$2:H$401,$AH399)="","",INDEX('Per Invoice'!H$2:H$401,$AH399)))</f>
        <v/>
      </c>
      <c r="I399" s="14">
        <f>IF($AH399="","",IF(INDEX('Per Invoice'!I$2:I$401,$AH399)="","",INDEX('Per Invoice'!I$2:I$401,$AH399)))</f>
        <v/>
      </c>
      <c r="J399">
        <f>IF($AH399="","",IF(INDEX('Per Invoice'!J$2:J$401,$AH399)="","",INDEX('Per Invoice'!J$2:J$401,$AH399)))</f>
        <v/>
      </c>
      <c r="K399">
        <f>IF($AH399="","",IF(INDEX('Per Invoice'!K$2:K$401,$AH399)="","",INDEX('Per Invoice'!K$2:K$401,$AH399)))</f>
        <v/>
      </c>
      <c r="L399">
        <f>IF($AH399="","",IF(INDEX('Per Invoice'!L$2:L$401,$AH399)="","",INDEX('Per Invoice'!L$2:L$401,$AH399)))</f>
        <v/>
      </c>
      <c r="M399">
        <f>IF($AH399="","",IF(INDEX('Per Invoice'!M$2:M$401,$AH399)="","",INDEX('Per Invoice'!M$2:M$401,$AH399)))</f>
        <v/>
      </c>
      <c r="N399">
        <f>IF($AH399="","",IF(INDEX('Per Invoice'!N$2:N$401,$AH399)="","",INDEX('Per Invoice'!N$2:N$401,$AH399)))</f>
        <v/>
      </c>
      <c r="O399">
        <f>IF($AH399="","",IF(INDEX('Per Invoice'!O$2:O$401,$AH399)="","",INDEX('Per Invoice'!O$2:O$401,$AH399)))</f>
        <v/>
      </c>
      <c r="P399" s="7">
        <f>IF($AH399="","",IF(INDEX('Per Invoice'!P$2:P$401,$AH399)="","",INDEX('Per Invoice'!P$2:P$401,$AH399)))</f>
        <v/>
      </c>
      <c r="Q399">
        <f>IF($AH399="","",IF(INDEX('Per Invoice'!Q$2:Q$401,$AH399)="","",INDEX('Per Invoice'!Q$2:Q$401,$AH399)))</f>
        <v/>
      </c>
      <c r="R399">
        <f>IF($AH399="","",IF(INDEX('Per Invoice'!R$2:R$401,$AH399)="","",INDEX('Per Invoice'!R$2:R$401,$AH399)))</f>
        <v/>
      </c>
      <c r="S399">
        <f>IF($AH399="","",IF(INDEX('Per Invoice'!S$2:S$401,$AH399)="","",INDEX('Per Invoice'!S$2:S$401,$AH399)))</f>
        <v/>
      </c>
      <c r="T399" s="7">
        <f>IF($AH399="","",IF(INDEX('Per Invoice'!T$2:T$401,$AH399)="","",INDEX('Per Invoice'!T$2:T$401,$AH399)))</f>
        <v/>
      </c>
      <c r="U399" s="7">
        <f>IF($AH399="","",IF(INDEX('Per Invoice'!U$2:U$401,$AH399)="","",INDEX('Per Invoice'!U$2:U$401,$AH399)))</f>
        <v/>
      </c>
      <c r="V399">
        <f>IF($AH399="","",IF(INDEX('Per Invoice'!V$2:V$401,$AH399)="","",INDEX('Per Invoice'!V$2:V$401,$AH399)))</f>
        <v/>
      </c>
      <c r="W399" s="7">
        <f>IF($AH399="","",IF(INDEX('Per Invoice'!W$2:W$401,$AH399)="","",INDEX('Per Invoice'!W$2:W$401,$AH399)))</f>
        <v/>
      </c>
      <c r="X399" s="7">
        <f>IF($AH399="","",IF(INDEX('Per Invoice'!X$2:X$401,$AH399)="","",INDEX('Per Invoice'!X$2:X$401,$AH399)))</f>
        <v/>
      </c>
      <c r="Y399">
        <f>IF($AH399="","",IF(INDEX('Per Invoice'!Y$2:Y$401,$AH399)="","",INDEX('Per Invoice'!Y$2:Y$401,$AH399)))</f>
        <v/>
      </c>
      <c r="Z399" s="7">
        <f>IF($AH399="","",IF(INDEX('Per Invoice'!Z$2:Z$401,$AH399)="","",INDEX('Per Invoice'!Z$2:Z$401,$AH399)))</f>
        <v/>
      </c>
      <c r="AA399" s="7">
        <f>IF($AH399="","",IF(INDEX('Per Invoice'!AA$2:AA$401,$AH399)="","",INDEX('Per Invoice'!AA$2:AA$401,$AH399)))</f>
        <v/>
      </c>
      <c r="AB399" s="7">
        <f>IF($AH399="","",IF(INDEX('Per Invoice'!AB$2:AB$401,$AH399)="","",INDEX('Per Invoice'!AB$2:AB$401,$AH399)))</f>
        <v/>
      </c>
      <c r="AC399" s="7">
        <f>IF($AH399="","",IF(INDEX('Per Invoice'!AC$2:AC$401,$AH399)="","",INDEX('Per Invoice'!AC$2:AC$401,$AH399)))</f>
        <v/>
      </c>
      <c r="AD399" s="7">
        <f>IF($AH399="","",IF(INDEX('Per Invoice'!AD$2:AD$401,$AH399)="","",INDEX('Per Invoice'!AD$2:AD$401,$AH399)))</f>
        <v/>
      </c>
      <c r="AE399" s="7">
        <f>IF($AH399="","",IF(INDEX('Per Invoice'!AE$2:AE$401,$AH399)="","",INDEX('Per Invoice'!AE$2:AE$401,$AH399)))</f>
        <v/>
      </c>
      <c r="AF399">
        <f>IF($AH399="","",IF(INDEX('Per Invoice'!AF$2:AF$401,$AH399)="","",INDEX('Per Invoice'!AF$2:AF$401,$AH399)))</f>
        <v/>
      </c>
      <c r="AG399" s="7">
        <f>IF($AH399="","",IF(INDEX('Per Invoice'!AG$2:AG$401,$AH399)="","",INDEX('Per Invoice'!AG$2:AG$401,$AH399)))</f>
        <v/>
      </c>
      <c r="AH399" s="16">
        <f>IFERROR(MATCH(Settings!$C$27&amp;"|"&amp;ROWS($AH$2:$AH399),'Per Invoice'!$AI$2:$AI$401,0),"")</f>
        <v/>
      </c>
    </row>
    <row r="400">
      <c r="A400">
        <f>IF($AH400="","",IF(INDEX('Per Invoice'!A$2:A$401,$AH400)="","",INDEX('Per Invoice'!A$2:A$401,$AH400)))</f>
        <v/>
      </c>
      <c r="B400">
        <f>IF($AH400="","",IF(INDEX('Per Invoice'!B$2:B$401,$AH400)="","",INDEX('Per Invoice'!B$2:B$401,$AH400)))</f>
        <v/>
      </c>
      <c r="C400">
        <f>IF($AH400="","",IF(INDEX('Per Invoice'!C$2:C$401,$AH400)="","",INDEX('Per Invoice'!C$2:C$401,$AH400)))</f>
        <v/>
      </c>
      <c r="D400">
        <f>IF($AH400="","",IF(INDEX('Per Invoice'!D$2:D$401,$AH400)="","",INDEX('Per Invoice'!D$2:D$401,$AH400)))</f>
        <v/>
      </c>
      <c r="E400">
        <f>IF($AH400="","",IF(INDEX('Per Invoice'!E$2:E$401,$AH400)="","",INDEX('Per Invoice'!E$2:E$401,$AH400)))</f>
        <v/>
      </c>
      <c r="F400">
        <f>IF($AH400="","",IF(INDEX('Per Invoice'!F$2:F$401,$AH400)="","",INDEX('Per Invoice'!F$2:F$401,$AH400)))</f>
        <v/>
      </c>
      <c r="G400">
        <f>IF($AH400="","",IF(INDEX('Per Invoice'!G$2:G$401,$AH400)="","",INDEX('Per Invoice'!G$2:G$401,$AH400)))</f>
        <v/>
      </c>
      <c r="H400">
        <f>IF($AH400="","",IF(INDEX('Per Invoice'!H$2:H$401,$AH400)="","",INDEX('Per Invoice'!H$2:H$401,$AH400)))</f>
        <v/>
      </c>
      <c r="I400" s="14">
        <f>IF($AH400="","",IF(INDEX('Per Invoice'!I$2:I$401,$AH400)="","",INDEX('Per Invoice'!I$2:I$401,$AH400)))</f>
        <v/>
      </c>
      <c r="J400">
        <f>IF($AH400="","",IF(INDEX('Per Invoice'!J$2:J$401,$AH400)="","",INDEX('Per Invoice'!J$2:J$401,$AH400)))</f>
        <v/>
      </c>
      <c r="K400">
        <f>IF($AH400="","",IF(INDEX('Per Invoice'!K$2:K$401,$AH400)="","",INDEX('Per Invoice'!K$2:K$401,$AH400)))</f>
        <v/>
      </c>
      <c r="L400">
        <f>IF($AH400="","",IF(INDEX('Per Invoice'!L$2:L$401,$AH400)="","",INDEX('Per Invoice'!L$2:L$401,$AH400)))</f>
        <v/>
      </c>
      <c r="M400">
        <f>IF($AH400="","",IF(INDEX('Per Invoice'!M$2:M$401,$AH400)="","",INDEX('Per Invoice'!M$2:M$401,$AH400)))</f>
        <v/>
      </c>
      <c r="N400">
        <f>IF($AH400="","",IF(INDEX('Per Invoice'!N$2:N$401,$AH400)="","",INDEX('Per Invoice'!N$2:N$401,$AH400)))</f>
        <v/>
      </c>
      <c r="O400">
        <f>IF($AH400="","",IF(INDEX('Per Invoice'!O$2:O$401,$AH400)="","",INDEX('Per Invoice'!O$2:O$401,$AH400)))</f>
        <v/>
      </c>
      <c r="P400" s="7">
        <f>IF($AH400="","",IF(INDEX('Per Invoice'!P$2:P$401,$AH400)="","",INDEX('Per Invoice'!P$2:P$401,$AH400)))</f>
        <v/>
      </c>
      <c r="Q400">
        <f>IF($AH400="","",IF(INDEX('Per Invoice'!Q$2:Q$401,$AH400)="","",INDEX('Per Invoice'!Q$2:Q$401,$AH400)))</f>
        <v/>
      </c>
      <c r="R400">
        <f>IF($AH400="","",IF(INDEX('Per Invoice'!R$2:R$401,$AH400)="","",INDEX('Per Invoice'!R$2:R$401,$AH400)))</f>
        <v/>
      </c>
      <c r="S400">
        <f>IF($AH400="","",IF(INDEX('Per Invoice'!S$2:S$401,$AH400)="","",INDEX('Per Invoice'!S$2:S$401,$AH400)))</f>
        <v/>
      </c>
      <c r="T400" s="7">
        <f>IF($AH400="","",IF(INDEX('Per Invoice'!T$2:T$401,$AH400)="","",INDEX('Per Invoice'!T$2:T$401,$AH400)))</f>
        <v/>
      </c>
      <c r="U400" s="7">
        <f>IF($AH400="","",IF(INDEX('Per Invoice'!U$2:U$401,$AH400)="","",INDEX('Per Invoice'!U$2:U$401,$AH400)))</f>
        <v/>
      </c>
      <c r="V400">
        <f>IF($AH400="","",IF(INDEX('Per Invoice'!V$2:V$401,$AH400)="","",INDEX('Per Invoice'!V$2:V$401,$AH400)))</f>
        <v/>
      </c>
      <c r="W400" s="7">
        <f>IF($AH400="","",IF(INDEX('Per Invoice'!W$2:W$401,$AH400)="","",INDEX('Per Invoice'!W$2:W$401,$AH400)))</f>
        <v/>
      </c>
      <c r="X400" s="7">
        <f>IF($AH400="","",IF(INDEX('Per Invoice'!X$2:X$401,$AH400)="","",INDEX('Per Invoice'!X$2:X$401,$AH400)))</f>
        <v/>
      </c>
      <c r="Y400">
        <f>IF($AH400="","",IF(INDEX('Per Invoice'!Y$2:Y$401,$AH400)="","",INDEX('Per Invoice'!Y$2:Y$401,$AH400)))</f>
        <v/>
      </c>
      <c r="Z400" s="7">
        <f>IF($AH400="","",IF(INDEX('Per Invoice'!Z$2:Z$401,$AH400)="","",INDEX('Per Invoice'!Z$2:Z$401,$AH400)))</f>
        <v/>
      </c>
      <c r="AA400" s="7">
        <f>IF($AH400="","",IF(INDEX('Per Invoice'!AA$2:AA$401,$AH400)="","",INDEX('Per Invoice'!AA$2:AA$401,$AH400)))</f>
        <v/>
      </c>
      <c r="AB400" s="7">
        <f>IF($AH400="","",IF(INDEX('Per Invoice'!AB$2:AB$401,$AH400)="","",INDEX('Per Invoice'!AB$2:AB$401,$AH400)))</f>
        <v/>
      </c>
      <c r="AC400" s="7">
        <f>IF($AH400="","",IF(INDEX('Per Invoice'!AC$2:AC$401,$AH400)="","",INDEX('Per Invoice'!AC$2:AC$401,$AH400)))</f>
        <v/>
      </c>
      <c r="AD400" s="7">
        <f>IF($AH400="","",IF(INDEX('Per Invoice'!AD$2:AD$401,$AH400)="","",INDEX('Per Invoice'!AD$2:AD$401,$AH400)))</f>
        <v/>
      </c>
      <c r="AE400" s="7">
        <f>IF($AH400="","",IF(INDEX('Per Invoice'!AE$2:AE$401,$AH400)="","",INDEX('Per Invoice'!AE$2:AE$401,$AH400)))</f>
        <v/>
      </c>
      <c r="AF400">
        <f>IF($AH400="","",IF(INDEX('Per Invoice'!AF$2:AF$401,$AH400)="","",INDEX('Per Invoice'!AF$2:AF$401,$AH400)))</f>
        <v/>
      </c>
      <c r="AG400" s="7">
        <f>IF($AH400="","",IF(INDEX('Per Invoice'!AG$2:AG$401,$AH400)="","",INDEX('Per Invoice'!AG$2:AG$401,$AH400)))</f>
        <v/>
      </c>
      <c r="AH400" s="16">
        <f>IFERROR(MATCH(Settings!$C$27&amp;"|"&amp;ROWS($AH$2:$AH400),'Per Invoice'!$AI$2:$AI$401,0),"")</f>
        <v/>
      </c>
    </row>
    <row r="401">
      <c r="A401">
        <f>IF($AH401="","",IF(INDEX('Per Invoice'!A$2:A$401,$AH401)="","",INDEX('Per Invoice'!A$2:A$401,$AH401)))</f>
        <v/>
      </c>
      <c r="B401">
        <f>IF($AH401="","",IF(INDEX('Per Invoice'!B$2:B$401,$AH401)="","",INDEX('Per Invoice'!B$2:B$401,$AH401)))</f>
        <v/>
      </c>
      <c r="C401">
        <f>IF($AH401="","",IF(INDEX('Per Invoice'!C$2:C$401,$AH401)="","",INDEX('Per Invoice'!C$2:C$401,$AH401)))</f>
        <v/>
      </c>
      <c r="D401">
        <f>IF($AH401="","",IF(INDEX('Per Invoice'!D$2:D$401,$AH401)="","",INDEX('Per Invoice'!D$2:D$401,$AH401)))</f>
        <v/>
      </c>
      <c r="E401">
        <f>IF($AH401="","",IF(INDEX('Per Invoice'!E$2:E$401,$AH401)="","",INDEX('Per Invoice'!E$2:E$401,$AH401)))</f>
        <v/>
      </c>
      <c r="F401">
        <f>IF($AH401="","",IF(INDEX('Per Invoice'!F$2:F$401,$AH401)="","",INDEX('Per Invoice'!F$2:F$401,$AH401)))</f>
        <v/>
      </c>
      <c r="G401">
        <f>IF($AH401="","",IF(INDEX('Per Invoice'!G$2:G$401,$AH401)="","",INDEX('Per Invoice'!G$2:G$401,$AH401)))</f>
        <v/>
      </c>
      <c r="H401">
        <f>IF($AH401="","",IF(INDEX('Per Invoice'!H$2:H$401,$AH401)="","",INDEX('Per Invoice'!H$2:H$401,$AH401)))</f>
        <v/>
      </c>
      <c r="I401" s="14">
        <f>IF($AH401="","",IF(INDEX('Per Invoice'!I$2:I$401,$AH401)="","",INDEX('Per Invoice'!I$2:I$401,$AH401)))</f>
        <v/>
      </c>
      <c r="J401">
        <f>IF($AH401="","",IF(INDEX('Per Invoice'!J$2:J$401,$AH401)="","",INDEX('Per Invoice'!J$2:J$401,$AH401)))</f>
        <v/>
      </c>
      <c r="K401">
        <f>IF($AH401="","",IF(INDEX('Per Invoice'!K$2:K$401,$AH401)="","",INDEX('Per Invoice'!K$2:K$401,$AH401)))</f>
        <v/>
      </c>
      <c r="L401">
        <f>IF($AH401="","",IF(INDEX('Per Invoice'!L$2:L$401,$AH401)="","",INDEX('Per Invoice'!L$2:L$401,$AH401)))</f>
        <v/>
      </c>
      <c r="M401">
        <f>IF($AH401="","",IF(INDEX('Per Invoice'!M$2:M$401,$AH401)="","",INDEX('Per Invoice'!M$2:M$401,$AH401)))</f>
        <v/>
      </c>
      <c r="N401">
        <f>IF($AH401="","",IF(INDEX('Per Invoice'!N$2:N$401,$AH401)="","",INDEX('Per Invoice'!N$2:N$401,$AH401)))</f>
        <v/>
      </c>
      <c r="O401">
        <f>IF($AH401="","",IF(INDEX('Per Invoice'!O$2:O$401,$AH401)="","",INDEX('Per Invoice'!O$2:O$401,$AH401)))</f>
        <v/>
      </c>
      <c r="P401" s="7">
        <f>IF($AH401="","",IF(INDEX('Per Invoice'!P$2:P$401,$AH401)="","",INDEX('Per Invoice'!P$2:P$401,$AH401)))</f>
        <v/>
      </c>
      <c r="Q401">
        <f>IF($AH401="","",IF(INDEX('Per Invoice'!Q$2:Q$401,$AH401)="","",INDEX('Per Invoice'!Q$2:Q$401,$AH401)))</f>
        <v/>
      </c>
      <c r="R401">
        <f>IF($AH401="","",IF(INDEX('Per Invoice'!R$2:R$401,$AH401)="","",INDEX('Per Invoice'!R$2:R$401,$AH401)))</f>
        <v/>
      </c>
      <c r="S401">
        <f>IF($AH401="","",IF(INDEX('Per Invoice'!S$2:S$401,$AH401)="","",INDEX('Per Invoice'!S$2:S$401,$AH401)))</f>
        <v/>
      </c>
      <c r="T401" s="7">
        <f>IF($AH401="","",IF(INDEX('Per Invoice'!T$2:T$401,$AH401)="","",INDEX('Per Invoice'!T$2:T$401,$AH401)))</f>
        <v/>
      </c>
      <c r="U401" s="7">
        <f>IF($AH401="","",IF(INDEX('Per Invoice'!U$2:U$401,$AH401)="","",INDEX('Per Invoice'!U$2:U$401,$AH401)))</f>
        <v/>
      </c>
      <c r="V401">
        <f>IF($AH401="","",IF(INDEX('Per Invoice'!V$2:V$401,$AH401)="","",INDEX('Per Invoice'!V$2:V$401,$AH401)))</f>
        <v/>
      </c>
      <c r="W401" s="7">
        <f>IF($AH401="","",IF(INDEX('Per Invoice'!W$2:W$401,$AH401)="","",INDEX('Per Invoice'!W$2:W$401,$AH401)))</f>
        <v/>
      </c>
      <c r="X401" s="7">
        <f>IF($AH401="","",IF(INDEX('Per Invoice'!X$2:X$401,$AH401)="","",INDEX('Per Invoice'!X$2:X$401,$AH401)))</f>
        <v/>
      </c>
      <c r="Y401">
        <f>IF($AH401="","",IF(INDEX('Per Invoice'!Y$2:Y$401,$AH401)="","",INDEX('Per Invoice'!Y$2:Y$401,$AH401)))</f>
        <v/>
      </c>
      <c r="Z401" s="7">
        <f>IF($AH401="","",IF(INDEX('Per Invoice'!Z$2:Z$401,$AH401)="","",INDEX('Per Invoice'!Z$2:Z$401,$AH401)))</f>
        <v/>
      </c>
      <c r="AA401" s="7">
        <f>IF($AH401="","",IF(INDEX('Per Invoice'!AA$2:AA$401,$AH401)="","",INDEX('Per Invoice'!AA$2:AA$401,$AH401)))</f>
        <v/>
      </c>
      <c r="AB401" s="7">
        <f>IF($AH401="","",IF(INDEX('Per Invoice'!AB$2:AB$401,$AH401)="","",INDEX('Per Invoice'!AB$2:AB$401,$AH401)))</f>
        <v/>
      </c>
      <c r="AC401" s="7">
        <f>IF($AH401="","",IF(INDEX('Per Invoice'!AC$2:AC$401,$AH401)="","",INDEX('Per Invoice'!AC$2:AC$401,$AH401)))</f>
        <v/>
      </c>
      <c r="AD401" s="7">
        <f>IF($AH401="","",IF(INDEX('Per Invoice'!AD$2:AD$401,$AH401)="","",INDEX('Per Invoice'!AD$2:AD$401,$AH401)))</f>
        <v/>
      </c>
      <c r="AE401" s="7">
        <f>IF($AH401="","",IF(INDEX('Per Invoice'!AE$2:AE$401,$AH401)="","",INDEX('Per Invoice'!AE$2:AE$401,$AH401)))</f>
        <v/>
      </c>
      <c r="AF401">
        <f>IF($AH401="","",IF(INDEX('Per Invoice'!AF$2:AF$401,$AH401)="","",INDEX('Per Invoice'!AF$2:AF$401,$AH401)))</f>
        <v/>
      </c>
      <c r="AG401" s="7">
        <f>IF($AH401="","",IF(INDEX('Per Invoice'!AG$2:AG$401,$AH401)="","",INDEX('Per Invoice'!AG$2:AG$401,$AH401)))</f>
        <v/>
      </c>
      <c r="AH401" s="16">
        <f>IFERROR(MATCH(Settings!$C$27&amp;"|"&amp;ROWS($AH$2:$AH401),'Per Invoice'!$AI$2:$AI$401,0),"")</f>
        <v/>
      </c>
    </row>
  </sheetData>
  <autoFilter ref="A1:AH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2026-10-12T11:39:11Z</dcterms:created>
  <dcterms:modified xmlns:dcterms="http://purl.org/dc/terms/" xmlns:xsi="http://www.w3.org/2001/XMLSchema-instance" xsi:type="dcterms:W3CDTF">2026-10-12T11:39:12Z</dcterms:modified>
</cp:coreProperties>
</file>