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Line'!$A$1:$AH$401</definedName>
    <definedName name="_xlnm._FilterDatabase" localSheetId="3" hidden="1">'Per Invoice'!$A$1:$L$151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GLOBEMED - WALK IN TEMPLATE</t>
        </is>
      </c>
    </row>
    <row r="3">
      <c r="B3" s="2" t="inlineStr">
        <is>
          <t>Colours: blue header = pasted or typed by you, green header = formula (do not paste over it), grey header = helper, yellow = editable setting.</t>
        </is>
      </c>
    </row>
    <row r="4">
      <c r="B4" s="2" t="inlineStr"/>
    </row>
    <row r="5">
      <c r="B5" s="2" t="inlineStr">
        <is>
          <t>1. In 'Per Line', paste the lines of the Globemed sheet from row 2 into the blue columns: A-S, W-X, Z-AG.</t>
        </is>
      </c>
    </row>
    <row r="6">
      <c r="B6" s="2" t="inlineStr">
        <is>
          <t xml:space="preserve">   Do NOT paste over the green formula columns: T-V, Y (they calculate Discount, Co val, Subtotal and Net from the Total Approved, Rebates % and Copay % you pasted).</t>
        </is>
      </c>
    </row>
    <row r="7">
      <c r="B7" s="2" t="inlineStr">
        <is>
          <t xml:space="preserve">   Paste the columns in the same order as the source sheet. Rebates % and Copay % come from the sheet, so there are no rates to set.</t>
        </is>
      </c>
    </row>
    <row r="8">
      <c r="B8" s="2" t="inlineStr">
        <is>
          <t>2. 'Per Invoice' fills itself: one row per So, in the order the orders first appear in 'Per Line'.</t>
        </is>
      </c>
    </row>
    <row r="9">
      <c r="B9" s="2" t="inlineStr">
        <is>
          <t xml:space="preserve">   Type the invoice numbers in the blue INV column.</t>
        </is>
      </c>
    </row>
    <row r="10">
      <c r="B10" s="2" t="inlineStr">
        <is>
          <t>3. Open 'Settings': STATUS must say OK. If it says CHECK, a total in 'Per Line' differs from 'Per Invoice', or there are more orders than the template has room for.</t>
        </is>
      </c>
    </row>
    <row r="11">
      <c r="B11" s="2" t="inlineStr"/>
    </row>
    <row r="12">
      <c r="B12" s="2" t="inlineStr">
        <is>
          <t>To start a new month: clear the blue cells in 'Per Line' (row 2 down) and the blue cells in 'Per Invoice', then paste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4" customWidth="1" min="3" max="3"/>
    <col width="70" customWidth="1" min="4" max="4"/>
  </cols>
  <sheetData>
    <row r="1">
      <c r="B1" s="1" t="inlineStr">
        <is>
          <t>GLOBEMED - WALK IN - SETTINGS</t>
        </is>
      </c>
    </row>
    <row r="3">
      <c r="B3" t="inlineStr">
        <is>
          <t>Insurance company</t>
        </is>
      </c>
      <c r="C3" t="inlineStr">
        <is>
          <t>Globemed</t>
        </is>
      </c>
      <c r="D3" t="inlineStr">
        <is>
          <t>Rebates % and Copay % are typed on every line of the export, so there are no rates to set here.</t>
        </is>
      </c>
    </row>
    <row r="4">
      <c r="B4" t="inlineStr">
        <is>
          <t>Type</t>
        </is>
      </c>
      <c r="C4" t="inlineStr">
        <is>
          <t>Walk In</t>
        </is>
      </c>
    </row>
    <row r="5">
      <c r="B5" t="inlineStr">
        <is>
          <t>Month (as in the source sheet)</t>
        </is>
      </c>
      <c r="C5" t="inlineStr">
        <is>
          <t>September 2026</t>
        </is>
      </c>
    </row>
    <row r="9">
      <c r="B9" s="3" t="inlineStr">
        <is>
          <t>Reconciliation (Per Line vs Per Invoice)</t>
        </is>
      </c>
    </row>
    <row r="10">
      <c r="B10" t="inlineStr">
        <is>
          <t>Lines loaded</t>
        </is>
      </c>
      <c r="C10" s="4">
        <f>COUNTA('Per Line'!$C$2:$C$401)</f>
        <v/>
      </c>
    </row>
    <row r="11">
      <c r="B11" t="inlineStr">
        <is>
          <t>Invoices (unique So)</t>
        </is>
      </c>
      <c r="C11" s="4">
        <f>MAX('Per Line'!$AH$2:$AH$401)</f>
        <v/>
      </c>
    </row>
    <row r="12">
      <c r="B12" t="inlineStr">
        <is>
          <t>Invoices shown in Per Invoice</t>
        </is>
      </c>
      <c r="C12" s="4">
        <f>COUNT('Per Invoice'!$C$2:$C$151)+COUNTIF('Per Invoice'!$C$2:$C$151,"?*")</f>
        <v/>
      </c>
    </row>
    <row r="13">
      <c r="B13" t="inlineStr">
        <is>
          <t>Total Approved - Per Line</t>
        </is>
      </c>
      <c r="C13" s="5">
        <f>SUM('Per Line'!$S$2:$S$401)</f>
        <v/>
      </c>
    </row>
    <row r="14">
      <c r="B14" t="inlineStr">
        <is>
          <t>Total Approved - Per Invoice</t>
        </is>
      </c>
      <c r="C14" s="5">
        <f>SUM('Per Invoice'!$G$2:$G$151)</f>
        <v/>
      </c>
    </row>
    <row r="15">
      <c r="B15" t="inlineStr">
        <is>
          <t>Discount - Per Line</t>
        </is>
      </c>
      <c r="C15" s="5">
        <f>SUM('Per Line'!$T$2:$T$401)</f>
        <v/>
      </c>
    </row>
    <row r="16">
      <c r="B16" t="inlineStr">
        <is>
          <t>Discount - Per Invoice</t>
        </is>
      </c>
      <c r="C16" s="5">
        <f>SUM('Per Invoice'!$H$2:$H$151)</f>
        <v/>
      </c>
    </row>
    <row r="17">
      <c r="B17" t="inlineStr">
        <is>
          <t>Co val - Per Line</t>
        </is>
      </c>
      <c r="C17" s="5">
        <f>SUM('Per Line'!$U$2:$U$401)</f>
        <v/>
      </c>
    </row>
    <row r="18">
      <c r="B18" t="inlineStr">
        <is>
          <t>Co val - Per Invoice</t>
        </is>
      </c>
      <c r="C18" s="5">
        <f>SUM('Per Invoice'!$I$2:$I$151)</f>
        <v/>
      </c>
    </row>
    <row r="19">
      <c r="B19" t="inlineStr">
        <is>
          <t>Net - Per Line</t>
        </is>
      </c>
      <c r="C19" s="5">
        <f>SUM('Per Line'!$Y$2:$Y$401)</f>
        <v/>
      </c>
    </row>
    <row r="20">
      <c r="B20" t="inlineStr">
        <is>
          <t>Net - Per Invoice</t>
        </is>
      </c>
      <c r="C20" s="5">
        <f>SUM('Per Invoice'!$K$2:$K$151)</f>
        <v/>
      </c>
    </row>
    <row r="21">
      <c r="B21" t="inlineStr">
        <is>
          <t>Orders that do not fit in Per Invoice (must be 0)</t>
        </is>
      </c>
      <c r="C21">
        <f>MAX(0,C11-150)</f>
        <v/>
      </c>
    </row>
    <row r="23">
      <c r="B23" s="3" t="inlineStr">
        <is>
          <t>STATUS</t>
        </is>
      </c>
      <c r="C23" s="3">
        <f>IF(C10=0,"No data loaded",IF(AND(C21=0,C12=C11,ABS(C13-C14)&lt;0.01,ABS(C15-C16)&lt;0.01,ABS(C17-C18)&lt;0.01,ABS(C19-C20)&lt;0.01),"OK","CHECK"))</f>
        <v/>
      </c>
      <c r="D23" t="inlineStr">
        <is>
          <t>Per Line has room for 400 lines and Per Invoice for 150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A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0" customWidth="1" min="33" max="33"/>
    <col width="14" customWidth="1" min="34" max="34"/>
  </cols>
  <sheetData>
    <row r="1" ht="32" customHeight="1">
      <c r="A1" s="6" t="inlineStr">
        <is>
          <t>Lot</t>
        </is>
      </c>
      <c r="B1" s="6" t="inlineStr">
        <is>
          <t>SSNBR</t>
        </is>
      </c>
      <c r="C1" s="6" t="inlineStr">
        <is>
          <t>So</t>
        </is>
      </c>
      <c r="D1" s="6" t="inlineStr">
        <is>
          <t>Individual Number</t>
        </is>
      </c>
      <c r="E1" s="6" t="inlineStr">
        <is>
          <t>Provider code</t>
        </is>
      </c>
      <c r="F1" s="6" t="inlineStr">
        <is>
          <t>Provider Name</t>
        </is>
      </c>
      <c r="G1" s="6" t="inlineStr">
        <is>
          <t>real Provider Code</t>
        </is>
      </c>
      <c r="H1" s="6" t="inlineStr">
        <is>
          <t>real Provider Name</t>
        </is>
      </c>
      <c r="I1" s="6" t="inlineStr">
        <is>
          <t>DIAG 1(ICD9)</t>
        </is>
      </c>
      <c r="J1" s="6" t="inlineStr">
        <is>
          <t>HZB</t>
        </is>
      </c>
      <c r="K1" s="6" t="inlineStr">
        <is>
          <t>Item code</t>
        </is>
      </c>
      <c r="L1" s="6" t="inlineStr">
        <is>
          <t>Globemed Item Code</t>
        </is>
      </c>
      <c r="M1" s="6" t="inlineStr">
        <is>
          <t>Item description</t>
        </is>
      </c>
      <c r="N1" s="6" t="inlineStr">
        <is>
          <t>Comment</t>
        </is>
      </c>
      <c r="O1" s="6" t="inlineStr">
        <is>
          <t>Alternative</t>
        </is>
      </c>
      <c r="P1" s="6" t="inlineStr">
        <is>
          <t>Unit Type Dispensed</t>
        </is>
      </c>
      <c r="Q1" s="6" t="inlineStr">
        <is>
          <t>Svc Date</t>
        </is>
      </c>
      <c r="R1" s="6" t="inlineStr">
        <is>
          <t>Qty Approved</t>
        </is>
      </c>
      <c r="S1" s="6" t="inlineStr">
        <is>
          <t>Total Approved</t>
        </is>
      </c>
      <c r="T1" s="7" t="inlineStr">
        <is>
          <t>dis</t>
        </is>
      </c>
      <c r="U1" s="7" t="inlineStr">
        <is>
          <t>Paid Amount</t>
        </is>
      </c>
      <c r="V1" s="7" t="inlineStr">
        <is>
          <t>Subtotal</t>
        </is>
      </c>
      <c r="W1" s="6" t="inlineStr">
        <is>
          <t>Copay%</t>
        </is>
      </c>
      <c r="X1" s="6" t="inlineStr">
        <is>
          <t>Rebates</t>
        </is>
      </c>
      <c r="Y1" s="7" t="inlineStr">
        <is>
          <t>Net Amt</t>
        </is>
      </c>
      <c r="Z1" s="6" t="inlineStr">
        <is>
          <t>Total Approved (Globemed)</t>
        </is>
      </c>
      <c r="AA1" s="6" t="inlineStr">
        <is>
          <t>dis (Globemed)</t>
        </is>
      </c>
      <c r="AB1" s="6" t="inlineStr">
        <is>
          <t>Paid Amount (Globemed)</t>
        </is>
      </c>
      <c r="AC1" s="6" t="inlineStr">
        <is>
          <t>Subtotal (Globemed)</t>
        </is>
      </c>
      <c r="AD1" s="6" t="inlineStr">
        <is>
          <t>Copay% (Globemed)</t>
        </is>
      </c>
      <c r="AE1" s="6" t="inlineStr">
        <is>
          <t>Rebates (Globemed)</t>
        </is>
      </c>
      <c r="AF1" s="6" t="inlineStr">
        <is>
          <t>Net Amt (Globemed)</t>
        </is>
      </c>
      <c r="AG1" s="6" t="inlineStr">
        <is>
          <t>Group No.</t>
        </is>
      </c>
      <c r="AH1" s="8" t="inlineStr">
        <is>
          <t>Order Seq (helper)</t>
        </is>
      </c>
    </row>
    <row r="2">
      <c r="T2" s="5">
        <f>IF(C2="","",S2*X2/100)</f>
        <v/>
      </c>
      <c r="U2" s="5">
        <f>IF(C2="","",W2*V2/100)</f>
        <v/>
      </c>
      <c r="V2" s="5">
        <f>IF(C2="","",S2-T2)</f>
        <v/>
      </c>
      <c r="Y2" s="5">
        <f>IF(C2="","",V2-U2)</f>
        <v/>
      </c>
      <c r="AH2">
        <f>IF(C2="","",N(AH1)+IF(MATCH(C2,$C$2:$C$401,0)=ROW()-1,1,0))</f>
        <v/>
      </c>
    </row>
    <row r="3">
      <c r="T3" s="5">
        <f>IF(C3="","",S3*X3/100)</f>
        <v/>
      </c>
      <c r="U3" s="5">
        <f>IF(C3="","",W3*V3/100)</f>
        <v/>
      </c>
      <c r="V3" s="5">
        <f>IF(C3="","",S3-T3)</f>
        <v/>
      </c>
      <c r="Y3" s="5">
        <f>IF(C3="","",V3-U3)</f>
        <v/>
      </c>
      <c r="AH3">
        <f>IF(C3="","",N(AH2)+IF(MATCH(C3,$C$2:$C$401,0)=ROW()-1,1,0))</f>
        <v/>
      </c>
    </row>
    <row r="4">
      <c r="T4" s="5">
        <f>IF(C4="","",S4*X4/100)</f>
        <v/>
      </c>
      <c r="U4" s="5">
        <f>IF(C4="","",W4*V4/100)</f>
        <v/>
      </c>
      <c r="V4" s="5">
        <f>IF(C4="","",S4-T4)</f>
        <v/>
      </c>
      <c r="Y4" s="5">
        <f>IF(C4="","",V4-U4)</f>
        <v/>
      </c>
      <c r="AH4">
        <f>IF(C4="","",N(AH3)+IF(MATCH(C4,$C$2:$C$401,0)=ROW()-1,1,0))</f>
        <v/>
      </c>
    </row>
    <row r="5">
      <c r="T5" s="5">
        <f>IF(C5="","",S5*X5/100)</f>
        <v/>
      </c>
      <c r="U5" s="5">
        <f>IF(C5="","",W5*V5/100)</f>
        <v/>
      </c>
      <c r="V5" s="5">
        <f>IF(C5="","",S5-T5)</f>
        <v/>
      </c>
      <c r="Y5" s="5">
        <f>IF(C5="","",V5-U5)</f>
        <v/>
      </c>
      <c r="AH5">
        <f>IF(C5="","",N(AH4)+IF(MATCH(C5,$C$2:$C$401,0)=ROW()-1,1,0))</f>
        <v/>
      </c>
    </row>
    <row r="6">
      <c r="T6" s="5">
        <f>IF(C6="","",S6*X6/100)</f>
        <v/>
      </c>
      <c r="U6" s="5">
        <f>IF(C6="","",W6*V6/100)</f>
        <v/>
      </c>
      <c r="V6" s="5">
        <f>IF(C6="","",S6-T6)</f>
        <v/>
      </c>
      <c r="Y6" s="5">
        <f>IF(C6="","",V6-U6)</f>
        <v/>
      </c>
      <c r="AH6">
        <f>IF(C6="","",N(AH5)+IF(MATCH(C6,$C$2:$C$401,0)=ROW()-1,1,0))</f>
        <v/>
      </c>
    </row>
    <row r="7">
      <c r="T7" s="5">
        <f>IF(C7="","",S7*X7/100)</f>
        <v/>
      </c>
      <c r="U7" s="5">
        <f>IF(C7="","",W7*V7/100)</f>
        <v/>
      </c>
      <c r="V7" s="5">
        <f>IF(C7="","",S7-T7)</f>
        <v/>
      </c>
      <c r="Y7" s="5">
        <f>IF(C7="","",V7-U7)</f>
        <v/>
      </c>
      <c r="AH7">
        <f>IF(C7="","",N(AH6)+IF(MATCH(C7,$C$2:$C$401,0)=ROW()-1,1,0))</f>
        <v/>
      </c>
    </row>
    <row r="8">
      <c r="T8" s="5">
        <f>IF(C8="","",S8*X8/100)</f>
        <v/>
      </c>
      <c r="U8" s="5">
        <f>IF(C8="","",W8*V8/100)</f>
        <v/>
      </c>
      <c r="V8" s="5">
        <f>IF(C8="","",S8-T8)</f>
        <v/>
      </c>
      <c r="Y8" s="5">
        <f>IF(C8="","",V8-U8)</f>
        <v/>
      </c>
      <c r="AH8">
        <f>IF(C8="","",N(AH7)+IF(MATCH(C8,$C$2:$C$401,0)=ROW()-1,1,0))</f>
        <v/>
      </c>
    </row>
    <row r="9">
      <c r="T9" s="5">
        <f>IF(C9="","",S9*X9/100)</f>
        <v/>
      </c>
      <c r="U9" s="5">
        <f>IF(C9="","",W9*V9/100)</f>
        <v/>
      </c>
      <c r="V9" s="5">
        <f>IF(C9="","",S9-T9)</f>
        <v/>
      </c>
      <c r="Y9" s="5">
        <f>IF(C9="","",V9-U9)</f>
        <v/>
      </c>
      <c r="AH9">
        <f>IF(C9="","",N(AH8)+IF(MATCH(C9,$C$2:$C$401,0)=ROW()-1,1,0))</f>
        <v/>
      </c>
    </row>
    <row r="10">
      <c r="T10" s="5">
        <f>IF(C10="","",S10*X10/100)</f>
        <v/>
      </c>
      <c r="U10" s="5">
        <f>IF(C10="","",W10*V10/100)</f>
        <v/>
      </c>
      <c r="V10" s="5">
        <f>IF(C10="","",S10-T10)</f>
        <v/>
      </c>
      <c r="Y10" s="5">
        <f>IF(C10="","",V10-U10)</f>
        <v/>
      </c>
      <c r="AH10">
        <f>IF(C10="","",N(AH9)+IF(MATCH(C10,$C$2:$C$401,0)=ROW()-1,1,0))</f>
        <v/>
      </c>
    </row>
    <row r="11">
      <c r="T11" s="5">
        <f>IF(C11="","",S11*X11/100)</f>
        <v/>
      </c>
      <c r="U11" s="5">
        <f>IF(C11="","",W11*V11/100)</f>
        <v/>
      </c>
      <c r="V11" s="5">
        <f>IF(C11="","",S11-T11)</f>
        <v/>
      </c>
      <c r="Y11" s="5">
        <f>IF(C11="","",V11-U11)</f>
        <v/>
      </c>
      <c r="AH11">
        <f>IF(C11="","",N(AH10)+IF(MATCH(C11,$C$2:$C$401,0)=ROW()-1,1,0))</f>
        <v/>
      </c>
    </row>
    <row r="12">
      <c r="T12" s="5">
        <f>IF(C12="","",S12*X12/100)</f>
        <v/>
      </c>
      <c r="U12" s="5">
        <f>IF(C12="","",W12*V12/100)</f>
        <v/>
      </c>
      <c r="V12" s="5">
        <f>IF(C12="","",S12-T12)</f>
        <v/>
      </c>
      <c r="Y12" s="5">
        <f>IF(C12="","",V12-U12)</f>
        <v/>
      </c>
      <c r="AH12">
        <f>IF(C12="","",N(AH11)+IF(MATCH(C12,$C$2:$C$401,0)=ROW()-1,1,0))</f>
        <v/>
      </c>
    </row>
    <row r="13">
      <c r="T13" s="5">
        <f>IF(C13="","",S13*X13/100)</f>
        <v/>
      </c>
      <c r="U13" s="5">
        <f>IF(C13="","",W13*V13/100)</f>
        <v/>
      </c>
      <c r="V13" s="5">
        <f>IF(C13="","",S13-T13)</f>
        <v/>
      </c>
      <c r="Y13" s="5">
        <f>IF(C13="","",V13-U13)</f>
        <v/>
      </c>
      <c r="AH13">
        <f>IF(C13="","",N(AH12)+IF(MATCH(C13,$C$2:$C$401,0)=ROW()-1,1,0))</f>
        <v/>
      </c>
    </row>
    <row r="14">
      <c r="T14" s="5">
        <f>IF(C14="","",S14*X14/100)</f>
        <v/>
      </c>
      <c r="U14" s="5">
        <f>IF(C14="","",W14*V14/100)</f>
        <v/>
      </c>
      <c r="V14" s="5">
        <f>IF(C14="","",S14-T14)</f>
        <v/>
      </c>
      <c r="Y14" s="5">
        <f>IF(C14="","",V14-U14)</f>
        <v/>
      </c>
      <c r="AH14">
        <f>IF(C14="","",N(AH13)+IF(MATCH(C14,$C$2:$C$401,0)=ROW()-1,1,0))</f>
        <v/>
      </c>
    </row>
    <row r="15">
      <c r="T15" s="5">
        <f>IF(C15="","",S15*X15/100)</f>
        <v/>
      </c>
      <c r="U15" s="5">
        <f>IF(C15="","",W15*V15/100)</f>
        <v/>
      </c>
      <c r="V15" s="5">
        <f>IF(C15="","",S15-T15)</f>
        <v/>
      </c>
      <c r="Y15" s="5">
        <f>IF(C15="","",V15-U15)</f>
        <v/>
      </c>
      <c r="AH15">
        <f>IF(C15="","",N(AH14)+IF(MATCH(C15,$C$2:$C$401,0)=ROW()-1,1,0))</f>
        <v/>
      </c>
    </row>
    <row r="16">
      <c r="T16" s="5">
        <f>IF(C16="","",S16*X16/100)</f>
        <v/>
      </c>
      <c r="U16" s="5">
        <f>IF(C16="","",W16*V16/100)</f>
        <v/>
      </c>
      <c r="V16" s="5">
        <f>IF(C16="","",S16-T16)</f>
        <v/>
      </c>
      <c r="Y16" s="5">
        <f>IF(C16="","",V16-U16)</f>
        <v/>
      </c>
      <c r="AH16">
        <f>IF(C16="","",N(AH15)+IF(MATCH(C16,$C$2:$C$401,0)=ROW()-1,1,0))</f>
        <v/>
      </c>
    </row>
    <row r="17">
      <c r="T17" s="5">
        <f>IF(C17="","",S17*X17/100)</f>
        <v/>
      </c>
      <c r="U17" s="5">
        <f>IF(C17="","",W17*V17/100)</f>
        <v/>
      </c>
      <c r="V17" s="5">
        <f>IF(C17="","",S17-T17)</f>
        <v/>
      </c>
      <c r="Y17" s="5">
        <f>IF(C17="","",V17-U17)</f>
        <v/>
      </c>
      <c r="AH17">
        <f>IF(C17="","",N(AH16)+IF(MATCH(C17,$C$2:$C$401,0)=ROW()-1,1,0))</f>
        <v/>
      </c>
    </row>
    <row r="18">
      <c r="T18" s="5">
        <f>IF(C18="","",S18*X18/100)</f>
        <v/>
      </c>
      <c r="U18" s="5">
        <f>IF(C18="","",W18*V18/100)</f>
        <v/>
      </c>
      <c r="V18" s="5">
        <f>IF(C18="","",S18-T18)</f>
        <v/>
      </c>
      <c r="Y18" s="5">
        <f>IF(C18="","",V18-U18)</f>
        <v/>
      </c>
      <c r="AH18">
        <f>IF(C18="","",N(AH17)+IF(MATCH(C18,$C$2:$C$401,0)=ROW()-1,1,0))</f>
        <v/>
      </c>
    </row>
    <row r="19">
      <c r="T19" s="5">
        <f>IF(C19="","",S19*X19/100)</f>
        <v/>
      </c>
      <c r="U19" s="5">
        <f>IF(C19="","",W19*V19/100)</f>
        <v/>
      </c>
      <c r="V19" s="5">
        <f>IF(C19="","",S19-T19)</f>
        <v/>
      </c>
      <c r="Y19" s="5">
        <f>IF(C19="","",V19-U19)</f>
        <v/>
      </c>
      <c r="AH19">
        <f>IF(C19="","",N(AH18)+IF(MATCH(C19,$C$2:$C$401,0)=ROW()-1,1,0))</f>
        <v/>
      </c>
    </row>
    <row r="20">
      <c r="T20" s="5">
        <f>IF(C20="","",S20*X20/100)</f>
        <v/>
      </c>
      <c r="U20" s="5">
        <f>IF(C20="","",W20*V20/100)</f>
        <v/>
      </c>
      <c r="V20" s="5">
        <f>IF(C20="","",S20-T20)</f>
        <v/>
      </c>
      <c r="Y20" s="5">
        <f>IF(C20="","",V20-U20)</f>
        <v/>
      </c>
      <c r="AH20">
        <f>IF(C20="","",N(AH19)+IF(MATCH(C20,$C$2:$C$401,0)=ROW()-1,1,0))</f>
        <v/>
      </c>
    </row>
    <row r="21">
      <c r="T21" s="5">
        <f>IF(C21="","",S21*X21/100)</f>
        <v/>
      </c>
      <c r="U21" s="5">
        <f>IF(C21="","",W21*V21/100)</f>
        <v/>
      </c>
      <c r="V21" s="5">
        <f>IF(C21="","",S21-T21)</f>
        <v/>
      </c>
      <c r="Y21" s="5">
        <f>IF(C21="","",V21-U21)</f>
        <v/>
      </c>
      <c r="AH21">
        <f>IF(C21="","",N(AH20)+IF(MATCH(C21,$C$2:$C$401,0)=ROW()-1,1,0))</f>
        <v/>
      </c>
    </row>
    <row r="22">
      <c r="T22" s="5">
        <f>IF(C22="","",S22*X22/100)</f>
        <v/>
      </c>
      <c r="U22" s="5">
        <f>IF(C22="","",W22*V22/100)</f>
        <v/>
      </c>
      <c r="V22" s="5">
        <f>IF(C22="","",S22-T22)</f>
        <v/>
      </c>
      <c r="Y22" s="5">
        <f>IF(C22="","",V22-U22)</f>
        <v/>
      </c>
      <c r="AH22">
        <f>IF(C22="","",N(AH21)+IF(MATCH(C22,$C$2:$C$401,0)=ROW()-1,1,0))</f>
        <v/>
      </c>
    </row>
    <row r="23">
      <c r="T23" s="5">
        <f>IF(C23="","",S23*X23/100)</f>
        <v/>
      </c>
      <c r="U23" s="5">
        <f>IF(C23="","",W23*V23/100)</f>
        <v/>
      </c>
      <c r="V23" s="5">
        <f>IF(C23="","",S23-T23)</f>
        <v/>
      </c>
      <c r="Y23" s="5">
        <f>IF(C23="","",V23-U23)</f>
        <v/>
      </c>
      <c r="AH23">
        <f>IF(C23="","",N(AH22)+IF(MATCH(C23,$C$2:$C$401,0)=ROW()-1,1,0))</f>
        <v/>
      </c>
    </row>
    <row r="24">
      <c r="T24" s="5">
        <f>IF(C24="","",S24*X24/100)</f>
        <v/>
      </c>
      <c r="U24" s="5">
        <f>IF(C24="","",W24*V24/100)</f>
        <v/>
      </c>
      <c r="V24" s="5">
        <f>IF(C24="","",S24-T24)</f>
        <v/>
      </c>
      <c r="Y24" s="5">
        <f>IF(C24="","",V24-U24)</f>
        <v/>
      </c>
      <c r="AH24">
        <f>IF(C24="","",N(AH23)+IF(MATCH(C24,$C$2:$C$401,0)=ROW()-1,1,0))</f>
        <v/>
      </c>
    </row>
    <row r="25">
      <c r="T25" s="5">
        <f>IF(C25="","",S25*X25/100)</f>
        <v/>
      </c>
      <c r="U25" s="5">
        <f>IF(C25="","",W25*V25/100)</f>
        <v/>
      </c>
      <c r="V25" s="5">
        <f>IF(C25="","",S25-T25)</f>
        <v/>
      </c>
      <c r="Y25" s="5">
        <f>IF(C25="","",V25-U25)</f>
        <v/>
      </c>
      <c r="AH25">
        <f>IF(C25="","",N(AH24)+IF(MATCH(C25,$C$2:$C$401,0)=ROW()-1,1,0))</f>
        <v/>
      </c>
    </row>
    <row r="26">
      <c r="T26" s="5">
        <f>IF(C26="","",S26*X26/100)</f>
        <v/>
      </c>
      <c r="U26" s="5">
        <f>IF(C26="","",W26*V26/100)</f>
        <v/>
      </c>
      <c r="V26" s="5">
        <f>IF(C26="","",S26-T26)</f>
        <v/>
      </c>
      <c r="Y26" s="5">
        <f>IF(C26="","",V26-U26)</f>
        <v/>
      </c>
      <c r="AH26">
        <f>IF(C26="","",N(AH25)+IF(MATCH(C26,$C$2:$C$401,0)=ROW()-1,1,0))</f>
        <v/>
      </c>
    </row>
    <row r="27">
      <c r="T27" s="5">
        <f>IF(C27="","",S27*X27/100)</f>
        <v/>
      </c>
      <c r="U27" s="5">
        <f>IF(C27="","",W27*V27/100)</f>
        <v/>
      </c>
      <c r="V27" s="5">
        <f>IF(C27="","",S27-T27)</f>
        <v/>
      </c>
      <c r="Y27" s="5">
        <f>IF(C27="","",V27-U27)</f>
        <v/>
      </c>
      <c r="AH27">
        <f>IF(C27="","",N(AH26)+IF(MATCH(C27,$C$2:$C$401,0)=ROW()-1,1,0))</f>
        <v/>
      </c>
    </row>
    <row r="28">
      <c r="T28" s="5">
        <f>IF(C28="","",S28*X28/100)</f>
        <v/>
      </c>
      <c r="U28" s="5">
        <f>IF(C28="","",W28*V28/100)</f>
        <v/>
      </c>
      <c r="V28" s="5">
        <f>IF(C28="","",S28-T28)</f>
        <v/>
      </c>
      <c r="Y28" s="5">
        <f>IF(C28="","",V28-U28)</f>
        <v/>
      </c>
      <c r="AH28">
        <f>IF(C28="","",N(AH27)+IF(MATCH(C28,$C$2:$C$401,0)=ROW()-1,1,0))</f>
        <v/>
      </c>
    </row>
    <row r="29">
      <c r="T29" s="5">
        <f>IF(C29="","",S29*X29/100)</f>
        <v/>
      </c>
      <c r="U29" s="5">
        <f>IF(C29="","",W29*V29/100)</f>
        <v/>
      </c>
      <c r="V29" s="5">
        <f>IF(C29="","",S29-T29)</f>
        <v/>
      </c>
      <c r="Y29" s="5">
        <f>IF(C29="","",V29-U29)</f>
        <v/>
      </c>
      <c r="AH29">
        <f>IF(C29="","",N(AH28)+IF(MATCH(C29,$C$2:$C$401,0)=ROW()-1,1,0))</f>
        <v/>
      </c>
    </row>
    <row r="30">
      <c r="T30" s="5">
        <f>IF(C30="","",S30*X30/100)</f>
        <v/>
      </c>
      <c r="U30" s="5">
        <f>IF(C30="","",W30*V30/100)</f>
        <v/>
      </c>
      <c r="V30" s="5">
        <f>IF(C30="","",S30-T30)</f>
        <v/>
      </c>
      <c r="Y30" s="5">
        <f>IF(C30="","",V30-U30)</f>
        <v/>
      </c>
      <c r="AH30">
        <f>IF(C30="","",N(AH29)+IF(MATCH(C30,$C$2:$C$401,0)=ROW()-1,1,0))</f>
        <v/>
      </c>
    </row>
    <row r="31">
      <c r="T31" s="5">
        <f>IF(C31="","",S31*X31/100)</f>
        <v/>
      </c>
      <c r="U31" s="5">
        <f>IF(C31="","",W31*V31/100)</f>
        <v/>
      </c>
      <c r="V31" s="5">
        <f>IF(C31="","",S31-T31)</f>
        <v/>
      </c>
      <c r="Y31" s="5">
        <f>IF(C31="","",V31-U31)</f>
        <v/>
      </c>
      <c r="AH31">
        <f>IF(C31="","",N(AH30)+IF(MATCH(C31,$C$2:$C$401,0)=ROW()-1,1,0))</f>
        <v/>
      </c>
    </row>
    <row r="32">
      <c r="T32" s="5">
        <f>IF(C32="","",S32*X32/100)</f>
        <v/>
      </c>
      <c r="U32" s="5">
        <f>IF(C32="","",W32*V32/100)</f>
        <v/>
      </c>
      <c r="V32" s="5">
        <f>IF(C32="","",S32-T32)</f>
        <v/>
      </c>
      <c r="Y32" s="5">
        <f>IF(C32="","",V32-U32)</f>
        <v/>
      </c>
      <c r="AH32">
        <f>IF(C32="","",N(AH31)+IF(MATCH(C32,$C$2:$C$401,0)=ROW()-1,1,0))</f>
        <v/>
      </c>
    </row>
    <row r="33">
      <c r="T33" s="5">
        <f>IF(C33="","",S33*X33/100)</f>
        <v/>
      </c>
      <c r="U33" s="5">
        <f>IF(C33="","",W33*V33/100)</f>
        <v/>
      </c>
      <c r="V33" s="5">
        <f>IF(C33="","",S33-T33)</f>
        <v/>
      </c>
      <c r="Y33" s="5">
        <f>IF(C33="","",V33-U33)</f>
        <v/>
      </c>
      <c r="AH33">
        <f>IF(C33="","",N(AH32)+IF(MATCH(C33,$C$2:$C$401,0)=ROW()-1,1,0))</f>
        <v/>
      </c>
    </row>
    <row r="34">
      <c r="T34" s="5">
        <f>IF(C34="","",S34*X34/100)</f>
        <v/>
      </c>
      <c r="U34" s="5">
        <f>IF(C34="","",W34*V34/100)</f>
        <v/>
      </c>
      <c r="V34" s="5">
        <f>IF(C34="","",S34-T34)</f>
        <v/>
      </c>
      <c r="Y34" s="5">
        <f>IF(C34="","",V34-U34)</f>
        <v/>
      </c>
      <c r="AH34">
        <f>IF(C34="","",N(AH33)+IF(MATCH(C34,$C$2:$C$401,0)=ROW()-1,1,0))</f>
        <v/>
      </c>
    </row>
    <row r="35">
      <c r="T35" s="5">
        <f>IF(C35="","",S35*X35/100)</f>
        <v/>
      </c>
      <c r="U35" s="5">
        <f>IF(C35="","",W35*V35/100)</f>
        <v/>
      </c>
      <c r="V35" s="5">
        <f>IF(C35="","",S35-T35)</f>
        <v/>
      </c>
      <c r="Y35" s="5">
        <f>IF(C35="","",V35-U35)</f>
        <v/>
      </c>
      <c r="AH35">
        <f>IF(C35="","",N(AH34)+IF(MATCH(C35,$C$2:$C$401,0)=ROW()-1,1,0))</f>
        <v/>
      </c>
    </row>
    <row r="36">
      <c r="T36" s="5">
        <f>IF(C36="","",S36*X36/100)</f>
        <v/>
      </c>
      <c r="U36" s="5">
        <f>IF(C36="","",W36*V36/100)</f>
        <v/>
      </c>
      <c r="V36" s="5">
        <f>IF(C36="","",S36-T36)</f>
        <v/>
      </c>
      <c r="Y36" s="5">
        <f>IF(C36="","",V36-U36)</f>
        <v/>
      </c>
      <c r="AH36">
        <f>IF(C36="","",N(AH35)+IF(MATCH(C36,$C$2:$C$401,0)=ROW()-1,1,0))</f>
        <v/>
      </c>
    </row>
    <row r="37">
      <c r="T37" s="5">
        <f>IF(C37="","",S37*X37/100)</f>
        <v/>
      </c>
      <c r="U37" s="5">
        <f>IF(C37="","",W37*V37/100)</f>
        <v/>
      </c>
      <c r="V37" s="5">
        <f>IF(C37="","",S37-T37)</f>
        <v/>
      </c>
      <c r="Y37" s="5">
        <f>IF(C37="","",V37-U37)</f>
        <v/>
      </c>
      <c r="AH37">
        <f>IF(C37="","",N(AH36)+IF(MATCH(C37,$C$2:$C$401,0)=ROW()-1,1,0))</f>
        <v/>
      </c>
    </row>
    <row r="38">
      <c r="T38" s="5">
        <f>IF(C38="","",S38*X38/100)</f>
        <v/>
      </c>
      <c r="U38" s="5">
        <f>IF(C38="","",W38*V38/100)</f>
        <v/>
      </c>
      <c r="V38" s="5">
        <f>IF(C38="","",S38-T38)</f>
        <v/>
      </c>
      <c r="Y38" s="5">
        <f>IF(C38="","",V38-U38)</f>
        <v/>
      </c>
      <c r="AH38">
        <f>IF(C38="","",N(AH37)+IF(MATCH(C38,$C$2:$C$401,0)=ROW()-1,1,0))</f>
        <v/>
      </c>
    </row>
    <row r="39">
      <c r="T39" s="5">
        <f>IF(C39="","",S39*X39/100)</f>
        <v/>
      </c>
      <c r="U39" s="5">
        <f>IF(C39="","",W39*V39/100)</f>
        <v/>
      </c>
      <c r="V39" s="5">
        <f>IF(C39="","",S39-T39)</f>
        <v/>
      </c>
      <c r="Y39" s="5">
        <f>IF(C39="","",V39-U39)</f>
        <v/>
      </c>
      <c r="AH39">
        <f>IF(C39="","",N(AH38)+IF(MATCH(C39,$C$2:$C$401,0)=ROW()-1,1,0))</f>
        <v/>
      </c>
    </row>
    <row r="40">
      <c r="T40" s="5">
        <f>IF(C40="","",S40*X40/100)</f>
        <v/>
      </c>
      <c r="U40" s="5">
        <f>IF(C40="","",W40*V40/100)</f>
        <v/>
      </c>
      <c r="V40" s="5">
        <f>IF(C40="","",S40-T40)</f>
        <v/>
      </c>
      <c r="Y40" s="5">
        <f>IF(C40="","",V40-U40)</f>
        <v/>
      </c>
      <c r="AH40">
        <f>IF(C40="","",N(AH39)+IF(MATCH(C40,$C$2:$C$401,0)=ROW()-1,1,0))</f>
        <v/>
      </c>
    </row>
    <row r="41">
      <c r="T41" s="5">
        <f>IF(C41="","",S41*X41/100)</f>
        <v/>
      </c>
      <c r="U41" s="5">
        <f>IF(C41="","",W41*V41/100)</f>
        <v/>
      </c>
      <c r="V41" s="5">
        <f>IF(C41="","",S41-T41)</f>
        <v/>
      </c>
      <c r="Y41" s="5">
        <f>IF(C41="","",V41-U41)</f>
        <v/>
      </c>
      <c r="AH41">
        <f>IF(C41="","",N(AH40)+IF(MATCH(C41,$C$2:$C$401,0)=ROW()-1,1,0))</f>
        <v/>
      </c>
    </row>
    <row r="42">
      <c r="T42" s="5">
        <f>IF(C42="","",S42*X42/100)</f>
        <v/>
      </c>
      <c r="U42" s="5">
        <f>IF(C42="","",W42*V42/100)</f>
        <v/>
      </c>
      <c r="V42" s="5">
        <f>IF(C42="","",S42-T42)</f>
        <v/>
      </c>
      <c r="Y42" s="5">
        <f>IF(C42="","",V42-U42)</f>
        <v/>
      </c>
      <c r="AH42">
        <f>IF(C42="","",N(AH41)+IF(MATCH(C42,$C$2:$C$401,0)=ROW()-1,1,0))</f>
        <v/>
      </c>
    </row>
    <row r="43">
      <c r="T43" s="5">
        <f>IF(C43="","",S43*X43/100)</f>
        <v/>
      </c>
      <c r="U43" s="5">
        <f>IF(C43="","",W43*V43/100)</f>
        <v/>
      </c>
      <c r="V43" s="5">
        <f>IF(C43="","",S43-T43)</f>
        <v/>
      </c>
      <c r="Y43" s="5">
        <f>IF(C43="","",V43-U43)</f>
        <v/>
      </c>
      <c r="AH43">
        <f>IF(C43="","",N(AH42)+IF(MATCH(C43,$C$2:$C$401,0)=ROW()-1,1,0))</f>
        <v/>
      </c>
    </row>
    <row r="44">
      <c r="T44" s="5">
        <f>IF(C44="","",S44*X44/100)</f>
        <v/>
      </c>
      <c r="U44" s="5">
        <f>IF(C44="","",W44*V44/100)</f>
        <v/>
      </c>
      <c r="V44" s="5">
        <f>IF(C44="","",S44-T44)</f>
        <v/>
      </c>
      <c r="Y44" s="5">
        <f>IF(C44="","",V44-U44)</f>
        <v/>
      </c>
      <c r="AH44">
        <f>IF(C44="","",N(AH43)+IF(MATCH(C44,$C$2:$C$401,0)=ROW()-1,1,0))</f>
        <v/>
      </c>
    </row>
    <row r="45">
      <c r="T45" s="5">
        <f>IF(C45="","",S45*X45/100)</f>
        <v/>
      </c>
      <c r="U45" s="5">
        <f>IF(C45="","",W45*V45/100)</f>
        <v/>
      </c>
      <c r="V45" s="5">
        <f>IF(C45="","",S45-T45)</f>
        <v/>
      </c>
      <c r="Y45" s="5">
        <f>IF(C45="","",V45-U45)</f>
        <v/>
      </c>
      <c r="AH45">
        <f>IF(C45="","",N(AH44)+IF(MATCH(C45,$C$2:$C$401,0)=ROW()-1,1,0))</f>
        <v/>
      </c>
    </row>
    <row r="46">
      <c r="T46" s="5">
        <f>IF(C46="","",S46*X46/100)</f>
        <v/>
      </c>
      <c r="U46" s="5">
        <f>IF(C46="","",W46*V46/100)</f>
        <v/>
      </c>
      <c r="V46" s="5">
        <f>IF(C46="","",S46-T46)</f>
        <v/>
      </c>
      <c r="Y46" s="5">
        <f>IF(C46="","",V46-U46)</f>
        <v/>
      </c>
      <c r="AH46">
        <f>IF(C46="","",N(AH45)+IF(MATCH(C46,$C$2:$C$401,0)=ROW()-1,1,0))</f>
        <v/>
      </c>
    </row>
    <row r="47">
      <c r="T47" s="5">
        <f>IF(C47="","",S47*X47/100)</f>
        <v/>
      </c>
      <c r="U47" s="5">
        <f>IF(C47="","",W47*V47/100)</f>
        <v/>
      </c>
      <c r="V47" s="5">
        <f>IF(C47="","",S47-T47)</f>
        <v/>
      </c>
      <c r="Y47" s="5">
        <f>IF(C47="","",V47-U47)</f>
        <v/>
      </c>
      <c r="AH47">
        <f>IF(C47="","",N(AH46)+IF(MATCH(C47,$C$2:$C$401,0)=ROW()-1,1,0))</f>
        <v/>
      </c>
    </row>
    <row r="48">
      <c r="T48" s="5">
        <f>IF(C48="","",S48*X48/100)</f>
        <v/>
      </c>
      <c r="U48" s="5">
        <f>IF(C48="","",W48*V48/100)</f>
        <v/>
      </c>
      <c r="V48" s="5">
        <f>IF(C48="","",S48-T48)</f>
        <v/>
      </c>
      <c r="Y48" s="5">
        <f>IF(C48="","",V48-U48)</f>
        <v/>
      </c>
      <c r="AH48">
        <f>IF(C48="","",N(AH47)+IF(MATCH(C48,$C$2:$C$401,0)=ROW()-1,1,0))</f>
        <v/>
      </c>
    </row>
    <row r="49">
      <c r="T49" s="5">
        <f>IF(C49="","",S49*X49/100)</f>
        <v/>
      </c>
      <c r="U49" s="5">
        <f>IF(C49="","",W49*V49/100)</f>
        <v/>
      </c>
      <c r="V49" s="5">
        <f>IF(C49="","",S49-T49)</f>
        <v/>
      </c>
      <c r="Y49" s="5">
        <f>IF(C49="","",V49-U49)</f>
        <v/>
      </c>
      <c r="AH49">
        <f>IF(C49="","",N(AH48)+IF(MATCH(C49,$C$2:$C$401,0)=ROW()-1,1,0))</f>
        <v/>
      </c>
    </row>
    <row r="50">
      <c r="T50" s="5">
        <f>IF(C50="","",S50*X50/100)</f>
        <v/>
      </c>
      <c r="U50" s="5">
        <f>IF(C50="","",W50*V50/100)</f>
        <v/>
      </c>
      <c r="V50" s="5">
        <f>IF(C50="","",S50-T50)</f>
        <v/>
      </c>
      <c r="Y50" s="5">
        <f>IF(C50="","",V50-U50)</f>
        <v/>
      </c>
      <c r="AH50">
        <f>IF(C50="","",N(AH49)+IF(MATCH(C50,$C$2:$C$401,0)=ROW()-1,1,0))</f>
        <v/>
      </c>
    </row>
    <row r="51">
      <c r="T51" s="5">
        <f>IF(C51="","",S51*X51/100)</f>
        <v/>
      </c>
      <c r="U51" s="5">
        <f>IF(C51="","",W51*V51/100)</f>
        <v/>
      </c>
      <c r="V51" s="5">
        <f>IF(C51="","",S51-T51)</f>
        <v/>
      </c>
      <c r="Y51" s="5">
        <f>IF(C51="","",V51-U51)</f>
        <v/>
      </c>
      <c r="AH51">
        <f>IF(C51="","",N(AH50)+IF(MATCH(C51,$C$2:$C$401,0)=ROW()-1,1,0))</f>
        <v/>
      </c>
    </row>
    <row r="52">
      <c r="T52" s="5">
        <f>IF(C52="","",S52*X52/100)</f>
        <v/>
      </c>
      <c r="U52" s="5">
        <f>IF(C52="","",W52*V52/100)</f>
        <v/>
      </c>
      <c r="V52" s="5">
        <f>IF(C52="","",S52-T52)</f>
        <v/>
      </c>
      <c r="Y52" s="5">
        <f>IF(C52="","",V52-U52)</f>
        <v/>
      </c>
      <c r="AH52">
        <f>IF(C52="","",N(AH51)+IF(MATCH(C52,$C$2:$C$401,0)=ROW()-1,1,0))</f>
        <v/>
      </c>
    </row>
    <row r="53">
      <c r="T53" s="5">
        <f>IF(C53="","",S53*X53/100)</f>
        <v/>
      </c>
      <c r="U53" s="5">
        <f>IF(C53="","",W53*V53/100)</f>
        <v/>
      </c>
      <c r="V53" s="5">
        <f>IF(C53="","",S53-T53)</f>
        <v/>
      </c>
      <c r="Y53" s="5">
        <f>IF(C53="","",V53-U53)</f>
        <v/>
      </c>
      <c r="AH53">
        <f>IF(C53="","",N(AH52)+IF(MATCH(C53,$C$2:$C$401,0)=ROW()-1,1,0))</f>
        <v/>
      </c>
    </row>
    <row r="54">
      <c r="T54" s="5">
        <f>IF(C54="","",S54*X54/100)</f>
        <v/>
      </c>
      <c r="U54" s="5">
        <f>IF(C54="","",W54*V54/100)</f>
        <v/>
      </c>
      <c r="V54" s="5">
        <f>IF(C54="","",S54-T54)</f>
        <v/>
      </c>
      <c r="Y54" s="5">
        <f>IF(C54="","",V54-U54)</f>
        <v/>
      </c>
      <c r="AH54">
        <f>IF(C54="","",N(AH53)+IF(MATCH(C54,$C$2:$C$401,0)=ROW()-1,1,0))</f>
        <v/>
      </c>
    </row>
    <row r="55">
      <c r="T55" s="5">
        <f>IF(C55="","",S55*X55/100)</f>
        <v/>
      </c>
      <c r="U55" s="5">
        <f>IF(C55="","",W55*V55/100)</f>
        <v/>
      </c>
      <c r="V55" s="5">
        <f>IF(C55="","",S55-T55)</f>
        <v/>
      </c>
      <c r="Y55" s="5">
        <f>IF(C55="","",V55-U55)</f>
        <v/>
      </c>
      <c r="AH55">
        <f>IF(C55="","",N(AH54)+IF(MATCH(C55,$C$2:$C$401,0)=ROW()-1,1,0))</f>
        <v/>
      </c>
    </row>
    <row r="56">
      <c r="T56" s="5">
        <f>IF(C56="","",S56*X56/100)</f>
        <v/>
      </c>
      <c r="U56" s="5">
        <f>IF(C56="","",W56*V56/100)</f>
        <v/>
      </c>
      <c r="V56" s="5">
        <f>IF(C56="","",S56-T56)</f>
        <v/>
      </c>
      <c r="Y56" s="5">
        <f>IF(C56="","",V56-U56)</f>
        <v/>
      </c>
      <c r="AH56">
        <f>IF(C56="","",N(AH55)+IF(MATCH(C56,$C$2:$C$401,0)=ROW()-1,1,0))</f>
        <v/>
      </c>
    </row>
    <row r="57">
      <c r="T57" s="5">
        <f>IF(C57="","",S57*X57/100)</f>
        <v/>
      </c>
      <c r="U57" s="5">
        <f>IF(C57="","",W57*V57/100)</f>
        <v/>
      </c>
      <c r="V57" s="5">
        <f>IF(C57="","",S57-T57)</f>
        <v/>
      </c>
      <c r="Y57" s="5">
        <f>IF(C57="","",V57-U57)</f>
        <v/>
      </c>
      <c r="AH57">
        <f>IF(C57="","",N(AH56)+IF(MATCH(C57,$C$2:$C$401,0)=ROW()-1,1,0))</f>
        <v/>
      </c>
    </row>
    <row r="58">
      <c r="T58" s="5">
        <f>IF(C58="","",S58*X58/100)</f>
        <v/>
      </c>
      <c r="U58" s="5">
        <f>IF(C58="","",W58*V58/100)</f>
        <v/>
      </c>
      <c r="V58" s="5">
        <f>IF(C58="","",S58-T58)</f>
        <v/>
      </c>
      <c r="Y58" s="5">
        <f>IF(C58="","",V58-U58)</f>
        <v/>
      </c>
      <c r="AH58">
        <f>IF(C58="","",N(AH57)+IF(MATCH(C58,$C$2:$C$401,0)=ROW()-1,1,0))</f>
        <v/>
      </c>
    </row>
    <row r="59">
      <c r="T59" s="5">
        <f>IF(C59="","",S59*X59/100)</f>
        <v/>
      </c>
      <c r="U59" s="5">
        <f>IF(C59="","",W59*V59/100)</f>
        <v/>
      </c>
      <c r="V59" s="5">
        <f>IF(C59="","",S59-T59)</f>
        <v/>
      </c>
      <c r="Y59" s="5">
        <f>IF(C59="","",V59-U59)</f>
        <v/>
      </c>
      <c r="AH59">
        <f>IF(C59="","",N(AH58)+IF(MATCH(C59,$C$2:$C$401,0)=ROW()-1,1,0))</f>
        <v/>
      </c>
    </row>
    <row r="60">
      <c r="T60" s="5">
        <f>IF(C60="","",S60*X60/100)</f>
        <v/>
      </c>
      <c r="U60" s="5">
        <f>IF(C60="","",W60*V60/100)</f>
        <v/>
      </c>
      <c r="V60" s="5">
        <f>IF(C60="","",S60-T60)</f>
        <v/>
      </c>
      <c r="Y60" s="5">
        <f>IF(C60="","",V60-U60)</f>
        <v/>
      </c>
      <c r="AH60">
        <f>IF(C60="","",N(AH59)+IF(MATCH(C60,$C$2:$C$401,0)=ROW()-1,1,0))</f>
        <v/>
      </c>
    </row>
    <row r="61">
      <c r="T61" s="5">
        <f>IF(C61="","",S61*X61/100)</f>
        <v/>
      </c>
      <c r="U61" s="5">
        <f>IF(C61="","",W61*V61/100)</f>
        <v/>
      </c>
      <c r="V61" s="5">
        <f>IF(C61="","",S61-T61)</f>
        <v/>
      </c>
      <c r="Y61" s="5">
        <f>IF(C61="","",V61-U61)</f>
        <v/>
      </c>
      <c r="AH61">
        <f>IF(C61="","",N(AH60)+IF(MATCH(C61,$C$2:$C$401,0)=ROW()-1,1,0))</f>
        <v/>
      </c>
    </row>
    <row r="62">
      <c r="T62" s="5">
        <f>IF(C62="","",S62*X62/100)</f>
        <v/>
      </c>
      <c r="U62" s="5">
        <f>IF(C62="","",W62*V62/100)</f>
        <v/>
      </c>
      <c r="V62" s="5">
        <f>IF(C62="","",S62-T62)</f>
        <v/>
      </c>
      <c r="Y62" s="5">
        <f>IF(C62="","",V62-U62)</f>
        <v/>
      </c>
      <c r="AH62">
        <f>IF(C62="","",N(AH61)+IF(MATCH(C62,$C$2:$C$401,0)=ROW()-1,1,0))</f>
        <v/>
      </c>
    </row>
    <row r="63">
      <c r="T63" s="5">
        <f>IF(C63="","",S63*X63/100)</f>
        <v/>
      </c>
      <c r="U63" s="5">
        <f>IF(C63="","",W63*V63/100)</f>
        <v/>
      </c>
      <c r="V63" s="5">
        <f>IF(C63="","",S63-T63)</f>
        <v/>
      </c>
      <c r="Y63" s="5">
        <f>IF(C63="","",V63-U63)</f>
        <v/>
      </c>
      <c r="AH63">
        <f>IF(C63="","",N(AH62)+IF(MATCH(C63,$C$2:$C$401,0)=ROW()-1,1,0))</f>
        <v/>
      </c>
    </row>
    <row r="64">
      <c r="T64" s="5">
        <f>IF(C64="","",S64*X64/100)</f>
        <v/>
      </c>
      <c r="U64" s="5">
        <f>IF(C64="","",W64*V64/100)</f>
        <v/>
      </c>
      <c r="V64" s="5">
        <f>IF(C64="","",S64-T64)</f>
        <v/>
      </c>
      <c r="Y64" s="5">
        <f>IF(C64="","",V64-U64)</f>
        <v/>
      </c>
      <c r="AH64">
        <f>IF(C64="","",N(AH63)+IF(MATCH(C64,$C$2:$C$401,0)=ROW()-1,1,0))</f>
        <v/>
      </c>
    </row>
    <row r="65">
      <c r="T65" s="5">
        <f>IF(C65="","",S65*X65/100)</f>
        <v/>
      </c>
      <c r="U65" s="5">
        <f>IF(C65="","",W65*V65/100)</f>
        <v/>
      </c>
      <c r="V65" s="5">
        <f>IF(C65="","",S65-T65)</f>
        <v/>
      </c>
      <c r="Y65" s="5">
        <f>IF(C65="","",V65-U65)</f>
        <v/>
      </c>
      <c r="AH65">
        <f>IF(C65="","",N(AH64)+IF(MATCH(C65,$C$2:$C$401,0)=ROW()-1,1,0))</f>
        <v/>
      </c>
    </row>
    <row r="66">
      <c r="T66" s="5">
        <f>IF(C66="","",S66*X66/100)</f>
        <v/>
      </c>
      <c r="U66" s="5">
        <f>IF(C66="","",W66*V66/100)</f>
        <v/>
      </c>
      <c r="V66" s="5">
        <f>IF(C66="","",S66-T66)</f>
        <v/>
      </c>
      <c r="Y66" s="5">
        <f>IF(C66="","",V66-U66)</f>
        <v/>
      </c>
      <c r="AH66">
        <f>IF(C66="","",N(AH65)+IF(MATCH(C66,$C$2:$C$401,0)=ROW()-1,1,0))</f>
        <v/>
      </c>
    </row>
    <row r="67">
      <c r="T67" s="5">
        <f>IF(C67="","",S67*X67/100)</f>
        <v/>
      </c>
      <c r="U67" s="5">
        <f>IF(C67="","",W67*V67/100)</f>
        <v/>
      </c>
      <c r="V67" s="5">
        <f>IF(C67="","",S67-T67)</f>
        <v/>
      </c>
      <c r="Y67" s="5">
        <f>IF(C67="","",V67-U67)</f>
        <v/>
      </c>
      <c r="AH67">
        <f>IF(C67="","",N(AH66)+IF(MATCH(C67,$C$2:$C$401,0)=ROW()-1,1,0))</f>
        <v/>
      </c>
    </row>
    <row r="68">
      <c r="T68" s="5">
        <f>IF(C68="","",S68*X68/100)</f>
        <v/>
      </c>
      <c r="U68" s="5">
        <f>IF(C68="","",W68*V68/100)</f>
        <v/>
      </c>
      <c r="V68" s="5">
        <f>IF(C68="","",S68-T68)</f>
        <v/>
      </c>
      <c r="Y68" s="5">
        <f>IF(C68="","",V68-U68)</f>
        <v/>
      </c>
      <c r="AH68">
        <f>IF(C68="","",N(AH67)+IF(MATCH(C68,$C$2:$C$401,0)=ROW()-1,1,0))</f>
        <v/>
      </c>
    </row>
    <row r="69">
      <c r="T69" s="5">
        <f>IF(C69="","",S69*X69/100)</f>
        <v/>
      </c>
      <c r="U69" s="5">
        <f>IF(C69="","",W69*V69/100)</f>
        <v/>
      </c>
      <c r="V69" s="5">
        <f>IF(C69="","",S69-T69)</f>
        <v/>
      </c>
      <c r="Y69" s="5">
        <f>IF(C69="","",V69-U69)</f>
        <v/>
      </c>
      <c r="AH69">
        <f>IF(C69="","",N(AH68)+IF(MATCH(C69,$C$2:$C$401,0)=ROW()-1,1,0))</f>
        <v/>
      </c>
    </row>
    <row r="70">
      <c r="T70" s="5">
        <f>IF(C70="","",S70*X70/100)</f>
        <v/>
      </c>
      <c r="U70" s="5">
        <f>IF(C70="","",W70*V70/100)</f>
        <v/>
      </c>
      <c r="V70" s="5">
        <f>IF(C70="","",S70-T70)</f>
        <v/>
      </c>
      <c r="Y70" s="5">
        <f>IF(C70="","",V70-U70)</f>
        <v/>
      </c>
      <c r="AH70">
        <f>IF(C70="","",N(AH69)+IF(MATCH(C70,$C$2:$C$401,0)=ROW()-1,1,0))</f>
        <v/>
      </c>
    </row>
    <row r="71">
      <c r="T71" s="5">
        <f>IF(C71="","",S71*X71/100)</f>
        <v/>
      </c>
      <c r="U71" s="5">
        <f>IF(C71="","",W71*V71/100)</f>
        <v/>
      </c>
      <c r="V71" s="5">
        <f>IF(C71="","",S71-T71)</f>
        <v/>
      </c>
      <c r="Y71" s="5">
        <f>IF(C71="","",V71-U71)</f>
        <v/>
      </c>
      <c r="AH71">
        <f>IF(C71="","",N(AH70)+IF(MATCH(C71,$C$2:$C$401,0)=ROW()-1,1,0))</f>
        <v/>
      </c>
    </row>
    <row r="72">
      <c r="T72" s="5">
        <f>IF(C72="","",S72*X72/100)</f>
        <v/>
      </c>
      <c r="U72" s="5">
        <f>IF(C72="","",W72*V72/100)</f>
        <v/>
      </c>
      <c r="V72" s="5">
        <f>IF(C72="","",S72-T72)</f>
        <v/>
      </c>
      <c r="Y72" s="5">
        <f>IF(C72="","",V72-U72)</f>
        <v/>
      </c>
      <c r="AH72">
        <f>IF(C72="","",N(AH71)+IF(MATCH(C72,$C$2:$C$401,0)=ROW()-1,1,0))</f>
        <v/>
      </c>
    </row>
    <row r="73">
      <c r="T73" s="5">
        <f>IF(C73="","",S73*X73/100)</f>
        <v/>
      </c>
      <c r="U73" s="5">
        <f>IF(C73="","",W73*V73/100)</f>
        <v/>
      </c>
      <c r="V73" s="5">
        <f>IF(C73="","",S73-T73)</f>
        <v/>
      </c>
      <c r="Y73" s="5">
        <f>IF(C73="","",V73-U73)</f>
        <v/>
      </c>
      <c r="AH73">
        <f>IF(C73="","",N(AH72)+IF(MATCH(C73,$C$2:$C$401,0)=ROW()-1,1,0))</f>
        <v/>
      </c>
    </row>
    <row r="74">
      <c r="T74" s="5">
        <f>IF(C74="","",S74*X74/100)</f>
        <v/>
      </c>
      <c r="U74" s="5">
        <f>IF(C74="","",W74*V74/100)</f>
        <v/>
      </c>
      <c r="V74" s="5">
        <f>IF(C74="","",S74-T74)</f>
        <v/>
      </c>
      <c r="Y74" s="5">
        <f>IF(C74="","",V74-U74)</f>
        <v/>
      </c>
      <c r="AH74">
        <f>IF(C74="","",N(AH73)+IF(MATCH(C74,$C$2:$C$401,0)=ROW()-1,1,0))</f>
        <v/>
      </c>
    </row>
    <row r="75">
      <c r="T75" s="5">
        <f>IF(C75="","",S75*X75/100)</f>
        <v/>
      </c>
      <c r="U75" s="5">
        <f>IF(C75="","",W75*V75/100)</f>
        <v/>
      </c>
      <c r="V75" s="5">
        <f>IF(C75="","",S75-T75)</f>
        <v/>
      </c>
      <c r="Y75" s="5">
        <f>IF(C75="","",V75-U75)</f>
        <v/>
      </c>
      <c r="AH75">
        <f>IF(C75="","",N(AH74)+IF(MATCH(C75,$C$2:$C$401,0)=ROW()-1,1,0))</f>
        <v/>
      </c>
    </row>
    <row r="76">
      <c r="T76" s="5">
        <f>IF(C76="","",S76*X76/100)</f>
        <v/>
      </c>
      <c r="U76" s="5">
        <f>IF(C76="","",W76*V76/100)</f>
        <v/>
      </c>
      <c r="V76" s="5">
        <f>IF(C76="","",S76-T76)</f>
        <v/>
      </c>
      <c r="Y76" s="5">
        <f>IF(C76="","",V76-U76)</f>
        <v/>
      </c>
      <c r="AH76">
        <f>IF(C76="","",N(AH75)+IF(MATCH(C76,$C$2:$C$401,0)=ROW()-1,1,0))</f>
        <v/>
      </c>
    </row>
    <row r="77">
      <c r="T77" s="5">
        <f>IF(C77="","",S77*X77/100)</f>
        <v/>
      </c>
      <c r="U77" s="5">
        <f>IF(C77="","",W77*V77/100)</f>
        <v/>
      </c>
      <c r="V77" s="5">
        <f>IF(C77="","",S77-T77)</f>
        <v/>
      </c>
      <c r="Y77" s="5">
        <f>IF(C77="","",V77-U77)</f>
        <v/>
      </c>
      <c r="AH77">
        <f>IF(C77="","",N(AH76)+IF(MATCH(C77,$C$2:$C$401,0)=ROW()-1,1,0))</f>
        <v/>
      </c>
    </row>
    <row r="78">
      <c r="T78" s="5">
        <f>IF(C78="","",S78*X78/100)</f>
        <v/>
      </c>
      <c r="U78" s="5">
        <f>IF(C78="","",W78*V78/100)</f>
        <v/>
      </c>
      <c r="V78" s="5">
        <f>IF(C78="","",S78-T78)</f>
        <v/>
      </c>
      <c r="Y78" s="5">
        <f>IF(C78="","",V78-U78)</f>
        <v/>
      </c>
      <c r="AH78">
        <f>IF(C78="","",N(AH77)+IF(MATCH(C78,$C$2:$C$401,0)=ROW()-1,1,0))</f>
        <v/>
      </c>
    </row>
    <row r="79">
      <c r="T79" s="5">
        <f>IF(C79="","",S79*X79/100)</f>
        <v/>
      </c>
      <c r="U79" s="5">
        <f>IF(C79="","",W79*V79/100)</f>
        <v/>
      </c>
      <c r="V79" s="5">
        <f>IF(C79="","",S79-T79)</f>
        <v/>
      </c>
      <c r="Y79" s="5">
        <f>IF(C79="","",V79-U79)</f>
        <v/>
      </c>
      <c r="AH79">
        <f>IF(C79="","",N(AH78)+IF(MATCH(C79,$C$2:$C$401,0)=ROW()-1,1,0))</f>
        <v/>
      </c>
    </row>
    <row r="80">
      <c r="T80" s="5">
        <f>IF(C80="","",S80*X80/100)</f>
        <v/>
      </c>
      <c r="U80" s="5">
        <f>IF(C80="","",W80*V80/100)</f>
        <v/>
      </c>
      <c r="V80" s="5">
        <f>IF(C80="","",S80-T80)</f>
        <v/>
      </c>
      <c r="Y80" s="5">
        <f>IF(C80="","",V80-U80)</f>
        <v/>
      </c>
      <c r="AH80">
        <f>IF(C80="","",N(AH79)+IF(MATCH(C80,$C$2:$C$401,0)=ROW()-1,1,0))</f>
        <v/>
      </c>
    </row>
    <row r="81">
      <c r="T81" s="5">
        <f>IF(C81="","",S81*X81/100)</f>
        <v/>
      </c>
      <c r="U81" s="5">
        <f>IF(C81="","",W81*V81/100)</f>
        <v/>
      </c>
      <c r="V81" s="5">
        <f>IF(C81="","",S81-T81)</f>
        <v/>
      </c>
      <c r="Y81" s="5">
        <f>IF(C81="","",V81-U81)</f>
        <v/>
      </c>
      <c r="AH81">
        <f>IF(C81="","",N(AH80)+IF(MATCH(C81,$C$2:$C$401,0)=ROW()-1,1,0))</f>
        <v/>
      </c>
    </row>
    <row r="82">
      <c r="T82" s="5">
        <f>IF(C82="","",S82*X82/100)</f>
        <v/>
      </c>
      <c r="U82" s="5">
        <f>IF(C82="","",W82*V82/100)</f>
        <v/>
      </c>
      <c r="V82" s="5">
        <f>IF(C82="","",S82-T82)</f>
        <v/>
      </c>
      <c r="Y82" s="5">
        <f>IF(C82="","",V82-U82)</f>
        <v/>
      </c>
      <c r="AH82">
        <f>IF(C82="","",N(AH81)+IF(MATCH(C82,$C$2:$C$401,0)=ROW()-1,1,0))</f>
        <v/>
      </c>
    </row>
    <row r="83">
      <c r="T83" s="5">
        <f>IF(C83="","",S83*X83/100)</f>
        <v/>
      </c>
      <c r="U83" s="5">
        <f>IF(C83="","",W83*V83/100)</f>
        <v/>
      </c>
      <c r="V83" s="5">
        <f>IF(C83="","",S83-T83)</f>
        <v/>
      </c>
      <c r="Y83" s="5">
        <f>IF(C83="","",V83-U83)</f>
        <v/>
      </c>
      <c r="AH83">
        <f>IF(C83="","",N(AH82)+IF(MATCH(C83,$C$2:$C$401,0)=ROW()-1,1,0))</f>
        <v/>
      </c>
    </row>
    <row r="84">
      <c r="T84" s="5">
        <f>IF(C84="","",S84*X84/100)</f>
        <v/>
      </c>
      <c r="U84" s="5">
        <f>IF(C84="","",W84*V84/100)</f>
        <v/>
      </c>
      <c r="V84" s="5">
        <f>IF(C84="","",S84-T84)</f>
        <v/>
      </c>
      <c r="Y84" s="5">
        <f>IF(C84="","",V84-U84)</f>
        <v/>
      </c>
      <c r="AH84">
        <f>IF(C84="","",N(AH83)+IF(MATCH(C84,$C$2:$C$401,0)=ROW()-1,1,0))</f>
        <v/>
      </c>
    </row>
    <row r="85">
      <c r="T85" s="5">
        <f>IF(C85="","",S85*X85/100)</f>
        <v/>
      </c>
      <c r="U85" s="5">
        <f>IF(C85="","",W85*V85/100)</f>
        <v/>
      </c>
      <c r="V85" s="5">
        <f>IF(C85="","",S85-T85)</f>
        <v/>
      </c>
      <c r="Y85" s="5">
        <f>IF(C85="","",V85-U85)</f>
        <v/>
      </c>
      <c r="AH85">
        <f>IF(C85="","",N(AH84)+IF(MATCH(C85,$C$2:$C$401,0)=ROW()-1,1,0))</f>
        <v/>
      </c>
    </row>
    <row r="86">
      <c r="T86" s="5">
        <f>IF(C86="","",S86*X86/100)</f>
        <v/>
      </c>
      <c r="U86" s="5">
        <f>IF(C86="","",W86*V86/100)</f>
        <v/>
      </c>
      <c r="V86" s="5">
        <f>IF(C86="","",S86-T86)</f>
        <v/>
      </c>
      <c r="Y86" s="5">
        <f>IF(C86="","",V86-U86)</f>
        <v/>
      </c>
      <c r="AH86">
        <f>IF(C86="","",N(AH85)+IF(MATCH(C86,$C$2:$C$401,0)=ROW()-1,1,0))</f>
        <v/>
      </c>
    </row>
    <row r="87">
      <c r="T87" s="5">
        <f>IF(C87="","",S87*X87/100)</f>
        <v/>
      </c>
      <c r="U87" s="5">
        <f>IF(C87="","",W87*V87/100)</f>
        <v/>
      </c>
      <c r="V87" s="5">
        <f>IF(C87="","",S87-T87)</f>
        <v/>
      </c>
      <c r="Y87" s="5">
        <f>IF(C87="","",V87-U87)</f>
        <v/>
      </c>
      <c r="AH87">
        <f>IF(C87="","",N(AH86)+IF(MATCH(C87,$C$2:$C$401,0)=ROW()-1,1,0))</f>
        <v/>
      </c>
    </row>
    <row r="88">
      <c r="T88" s="5">
        <f>IF(C88="","",S88*X88/100)</f>
        <v/>
      </c>
      <c r="U88" s="5">
        <f>IF(C88="","",W88*V88/100)</f>
        <v/>
      </c>
      <c r="V88" s="5">
        <f>IF(C88="","",S88-T88)</f>
        <v/>
      </c>
      <c r="Y88" s="5">
        <f>IF(C88="","",V88-U88)</f>
        <v/>
      </c>
      <c r="AH88">
        <f>IF(C88="","",N(AH87)+IF(MATCH(C88,$C$2:$C$401,0)=ROW()-1,1,0))</f>
        <v/>
      </c>
    </row>
    <row r="89">
      <c r="T89" s="5">
        <f>IF(C89="","",S89*X89/100)</f>
        <v/>
      </c>
      <c r="U89" s="5">
        <f>IF(C89="","",W89*V89/100)</f>
        <v/>
      </c>
      <c r="V89" s="5">
        <f>IF(C89="","",S89-T89)</f>
        <v/>
      </c>
      <c r="Y89" s="5">
        <f>IF(C89="","",V89-U89)</f>
        <v/>
      </c>
      <c r="AH89">
        <f>IF(C89="","",N(AH88)+IF(MATCH(C89,$C$2:$C$401,0)=ROW()-1,1,0))</f>
        <v/>
      </c>
    </row>
    <row r="90">
      <c r="T90" s="5">
        <f>IF(C90="","",S90*X90/100)</f>
        <v/>
      </c>
      <c r="U90" s="5">
        <f>IF(C90="","",W90*V90/100)</f>
        <v/>
      </c>
      <c r="V90" s="5">
        <f>IF(C90="","",S90-T90)</f>
        <v/>
      </c>
      <c r="Y90" s="5">
        <f>IF(C90="","",V90-U90)</f>
        <v/>
      </c>
      <c r="AH90">
        <f>IF(C90="","",N(AH89)+IF(MATCH(C90,$C$2:$C$401,0)=ROW()-1,1,0))</f>
        <v/>
      </c>
    </row>
    <row r="91">
      <c r="T91" s="5">
        <f>IF(C91="","",S91*X91/100)</f>
        <v/>
      </c>
      <c r="U91" s="5">
        <f>IF(C91="","",W91*V91/100)</f>
        <v/>
      </c>
      <c r="V91" s="5">
        <f>IF(C91="","",S91-T91)</f>
        <v/>
      </c>
      <c r="Y91" s="5">
        <f>IF(C91="","",V91-U91)</f>
        <v/>
      </c>
      <c r="AH91">
        <f>IF(C91="","",N(AH90)+IF(MATCH(C91,$C$2:$C$401,0)=ROW()-1,1,0))</f>
        <v/>
      </c>
    </row>
    <row r="92">
      <c r="T92" s="5">
        <f>IF(C92="","",S92*X92/100)</f>
        <v/>
      </c>
      <c r="U92" s="5">
        <f>IF(C92="","",W92*V92/100)</f>
        <v/>
      </c>
      <c r="V92" s="5">
        <f>IF(C92="","",S92-T92)</f>
        <v/>
      </c>
      <c r="Y92" s="5">
        <f>IF(C92="","",V92-U92)</f>
        <v/>
      </c>
      <c r="AH92">
        <f>IF(C92="","",N(AH91)+IF(MATCH(C92,$C$2:$C$401,0)=ROW()-1,1,0))</f>
        <v/>
      </c>
    </row>
    <row r="93">
      <c r="T93" s="5">
        <f>IF(C93="","",S93*X93/100)</f>
        <v/>
      </c>
      <c r="U93" s="5">
        <f>IF(C93="","",W93*V93/100)</f>
        <v/>
      </c>
      <c r="V93" s="5">
        <f>IF(C93="","",S93-T93)</f>
        <v/>
      </c>
      <c r="Y93" s="5">
        <f>IF(C93="","",V93-U93)</f>
        <v/>
      </c>
      <c r="AH93">
        <f>IF(C93="","",N(AH92)+IF(MATCH(C93,$C$2:$C$401,0)=ROW()-1,1,0))</f>
        <v/>
      </c>
    </row>
    <row r="94">
      <c r="T94" s="5">
        <f>IF(C94="","",S94*X94/100)</f>
        <v/>
      </c>
      <c r="U94" s="5">
        <f>IF(C94="","",W94*V94/100)</f>
        <v/>
      </c>
      <c r="V94" s="5">
        <f>IF(C94="","",S94-T94)</f>
        <v/>
      </c>
      <c r="Y94" s="5">
        <f>IF(C94="","",V94-U94)</f>
        <v/>
      </c>
      <c r="AH94">
        <f>IF(C94="","",N(AH93)+IF(MATCH(C94,$C$2:$C$401,0)=ROW()-1,1,0))</f>
        <v/>
      </c>
    </row>
    <row r="95">
      <c r="T95" s="5">
        <f>IF(C95="","",S95*X95/100)</f>
        <v/>
      </c>
      <c r="U95" s="5">
        <f>IF(C95="","",W95*V95/100)</f>
        <v/>
      </c>
      <c r="V95" s="5">
        <f>IF(C95="","",S95-T95)</f>
        <v/>
      </c>
      <c r="Y95" s="5">
        <f>IF(C95="","",V95-U95)</f>
        <v/>
      </c>
      <c r="AH95">
        <f>IF(C95="","",N(AH94)+IF(MATCH(C95,$C$2:$C$401,0)=ROW()-1,1,0))</f>
        <v/>
      </c>
    </row>
    <row r="96">
      <c r="T96" s="5">
        <f>IF(C96="","",S96*X96/100)</f>
        <v/>
      </c>
      <c r="U96" s="5">
        <f>IF(C96="","",W96*V96/100)</f>
        <v/>
      </c>
      <c r="V96" s="5">
        <f>IF(C96="","",S96-T96)</f>
        <v/>
      </c>
      <c r="Y96" s="5">
        <f>IF(C96="","",V96-U96)</f>
        <v/>
      </c>
      <c r="AH96">
        <f>IF(C96="","",N(AH95)+IF(MATCH(C96,$C$2:$C$401,0)=ROW()-1,1,0))</f>
        <v/>
      </c>
    </row>
    <row r="97">
      <c r="T97" s="5">
        <f>IF(C97="","",S97*X97/100)</f>
        <v/>
      </c>
      <c r="U97" s="5">
        <f>IF(C97="","",W97*V97/100)</f>
        <v/>
      </c>
      <c r="V97" s="5">
        <f>IF(C97="","",S97-T97)</f>
        <v/>
      </c>
      <c r="Y97" s="5">
        <f>IF(C97="","",V97-U97)</f>
        <v/>
      </c>
      <c r="AH97">
        <f>IF(C97="","",N(AH96)+IF(MATCH(C97,$C$2:$C$401,0)=ROW()-1,1,0))</f>
        <v/>
      </c>
    </row>
    <row r="98">
      <c r="T98" s="5">
        <f>IF(C98="","",S98*X98/100)</f>
        <v/>
      </c>
      <c r="U98" s="5">
        <f>IF(C98="","",W98*V98/100)</f>
        <v/>
      </c>
      <c r="V98" s="5">
        <f>IF(C98="","",S98-T98)</f>
        <v/>
      </c>
      <c r="Y98" s="5">
        <f>IF(C98="","",V98-U98)</f>
        <v/>
      </c>
      <c r="AH98">
        <f>IF(C98="","",N(AH97)+IF(MATCH(C98,$C$2:$C$401,0)=ROW()-1,1,0))</f>
        <v/>
      </c>
    </row>
    <row r="99">
      <c r="T99" s="5">
        <f>IF(C99="","",S99*X99/100)</f>
        <v/>
      </c>
      <c r="U99" s="5">
        <f>IF(C99="","",W99*V99/100)</f>
        <v/>
      </c>
      <c r="V99" s="5">
        <f>IF(C99="","",S99-T99)</f>
        <v/>
      </c>
      <c r="Y99" s="5">
        <f>IF(C99="","",V99-U99)</f>
        <v/>
      </c>
      <c r="AH99">
        <f>IF(C99="","",N(AH98)+IF(MATCH(C99,$C$2:$C$401,0)=ROW()-1,1,0))</f>
        <v/>
      </c>
    </row>
    <row r="100">
      <c r="T100" s="5">
        <f>IF(C100="","",S100*X100/100)</f>
        <v/>
      </c>
      <c r="U100" s="5">
        <f>IF(C100="","",W100*V100/100)</f>
        <v/>
      </c>
      <c r="V100" s="5">
        <f>IF(C100="","",S100-T100)</f>
        <v/>
      </c>
      <c r="Y100" s="5">
        <f>IF(C100="","",V100-U100)</f>
        <v/>
      </c>
      <c r="AH100">
        <f>IF(C100="","",N(AH99)+IF(MATCH(C100,$C$2:$C$401,0)=ROW()-1,1,0))</f>
        <v/>
      </c>
    </row>
    <row r="101">
      <c r="T101" s="5">
        <f>IF(C101="","",S101*X101/100)</f>
        <v/>
      </c>
      <c r="U101" s="5">
        <f>IF(C101="","",W101*V101/100)</f>
        <v/>
      </c>
      <c r="V101" s="5">
        <f>IF(C101="","",S101-T101)</f>
        <v/>
      </c>
      <c r="Y101" s="5">
        <f>IF(C101="","",V101-U101)</f>
        <v/>
      </c>
      <c r="AH101">
        <f>IF(C101="","",N(AH100)+IF(MATCH(C101,$C$2:$C$401,0)=ROW()-1,1,0))</f>
        <v/>
      </c>
    </row>
    <row r="102">
      <c r="T102" s="5">
        <f>IF(C102="","",S102*X102/100)</f>
        <v/>
      </c>
      <c r="U102" s="5">
        <f>IF(C102="","",W102*V102/100)</f>
        <v/>
      </c>
      <c r="V102" s="5">
        <f>IF(C102="","",S102-T102)</f>
        <v/>
      </c>
      <c r="Y102" s="5">
        <f>IF(C102="","",V102-U102)</f>
        <v/>
      </c>
      <c r="AH102">
        <f>IF(C102="","",N(AH101)+IF(MATCH(C102,$C$2:$C$401,0)=ROW()-1,1,0))</f>
        <v/>
      </c>
    </row>
    <row r="103">
      <c r="T103" s="5">
        <f>IF(C103="","",S103*X103/100)</f>
        <v/>
      </c>
      <c r="U103" s="5">
        <f>IF(C103="","",W103*V103/100)</f>
        <v/>
      </c>
      <c r="V103" s="5">
        <f>IF(C103="","",S103-T103)</f>
        <v/>
      </c>
      <c r="Y103" s="5">
        <f>IF(C103="","",V103-U103)</f>
        <v/>
      </c>
      <c r="AH103">
        <f>IF(C103="","",N(AH102)+IF(MATCH(C103,$C$2:$C$401,0)=ROW()-1,1,0))</f>
        <v/>
      </c>
    </row>
    <row r="104">
      <c r="T104" s="5">
        <f>IF(C104="","",S104*X104/100)</f>
        <v/>
      </c>
      <c r="U104" s="5">
        <f>IF(C104="","",W104*V104/100)</f>
        <v/>
      </c>
      <c r="V104" s="5">
        <f>IF(C104="","",S104-T104)</f>
        <v/>
      </c>
      <c r="Y104" s="5">
        <f>IF(C104="","",V104-U104)</f>
        <v/>
      </c>
      <c r="AH104">
        <f>IF(C104="","",N(AH103)+IF(MATCH(C104,$C$2:$C$401,0)=ROW()-1,1,0))</f>
        <v/>
      </c>
    </row>
    <row r="105">
      <c r="T105" s="5">
        <f>IF(C105="","",S105*X105/100)</f>
        <v/>
      </c>
      <c r="U105" s="5">
        <f>IF(C105="","",W105*V105/100)</f>
        <v/>
      </c>
      <c r="V105" s="5">
        <f>IF(C105="","",S105-T105)</f>
        <v/>
      </c>
      <c r="Y105" s="5">
        <f>IF(C105="","",V105-U105)</f>
        <v/>
      </c>
      <c r="AH105">
        <f>IF(C105="","",N(AH104)+IF(MATCH(C105,$C$2:$C$401,0)=ROW()-1,1,0))</f>
        <v/>
      </c>
    </row>
    <row r="106">
      <c r="T106" s="5">
        <f>IF(C106="","",S106*X106/100)</f>
        <v/>
      </c>
      <c r="U106" s="5">
        <f>IF(C106="","",W106*V106/100)</f>
        <v/>
      </c>
      <c r="V106" s="5">
        <f>IF(C106="","",S106-T106)</f>
        <v/>
      </c>
      <c r="Y106" s="5">
        <f>IF(C106="","",V106-U106)</f>
        <v/>
      </c>
      <c r="AH106">
        <f>IF(C106="","",N(AH105)+IF(MATCH(C106,$C$2:$C$401,0)=ROW()-1,1,0))</f>
        <v/>
      </c>
    </row>
    <row r="107">
      <c r="T107" s="5">
        <f>IF(C107="","",S107*X107/100)</f>
        <v/>
      </c>
      <c r="U107" s="5">
        <f>IF(C107="","",W107*V107/100)</f>
        <v/>
      </c>
      <c r="V107" s="5">
        <f>IF(C107="","",S107-T107)</f>
        <v/>
      </c>
      <c r="Y107" s="5">
        <f>IF(C107="","",V107-U107)</f>
        <v/>
      </c>
      <c r="AH107">
        <f>IF(C107="","",N(AH106)+IF(MATCH(C107,$C$2:$C$401,0)=ROW()-1,1,0))</f>
        <v/>
      </c>
    </row>
    <row r="108">
      <c r="T108" s="5">
        <f>IF(C108="","",S108*X108/100)</f>
        <v/>
      </c>
      <c r="U108" s="5">
        <f>IF(C108="","",W108*V108/100)</f>
        <v/>
      </c>
      <c r="V108" s="5">
        <f>IF(C108="","",S108-T108)</f>
        <v/>
      </c>
      <c r="Y108" s="5">
        <f>IF(C108="","",V108-U108)</f>
        <v/>
      </c>
      <c r="AH108">
        <f>IF(C108="","",N(AH107)+IF(MATCH(C108,$C$2:$C$401,0)=ROW()-1,1,0))</f>
        <v/>
      </c>
    </row>
    <row r="109">
      <c r="T109" s="5">
        <f>IF(C109="","",S109*X109/100)</f>
        <v/>
      </c>
      <c r="U109" s="5">
        <f>IF(C109="","",W109*V109/100)</f>
        <v/>
      </c>
      <c r="V109" s="5">
        <f>IF(C109="","",S109-T109)</f>
        <v/>
      </c>
      <c r="Y109" s="5">
        <f>IF(C109="","",V109-U109)</f>
        <v/>
      </c>
      <c r="AH109">
        <f>IF(C109="","",N(AH108)+IF(MATCH(C109,$C$2:$C$401,0)=ROW()-1,1,0))</f>
        <v/>
      </c>
    </row>
    <row r="110">
      <c r="T110" s="5">
        <f>IF(C110="","",S110*X110/100)</f>
        <v/>
      </c>
      <c r="U110" s="5">
        <f>IF(C110="","",W110*V110/100)</f>
        <v/>
      </c>
      <c r="V110" s="5">
        <f>IF(C110="","",S110-T110)</f>
        <v/>
      </c>
      <c r="Y110" s="5">
        <f>IF(C110="","",V110-U110)</f>
        <v/>
      </c>
      <c r="AH110">
        <f>IF(C110="","",N(AH109)+IF(MATCH(C110,$C$2:$C$401,0)=ROW()-1,1,0))</f>
        <v/>
      </c>
    </row>
    <row r="111">
      <c r="T111" s="5">
        <f>IF(C111="","",S111*X111/100)</f>
        <v/>
      </c>
      <c r="U111" s="5">
        <f>IF(C111="","",W111*V111/100)</f>
        <v/>
      </c>
      <c r="V111" s="5">
        <f>IF(C111="","",S111-T111)</f>
        <v/>
      </c>
      <c r="Y111" s="5">
        <f>IF(C111="","",V111-U111)</f>
        <v/>
      </c>
      <c r="AH111">
        <f>IF(C111="","",N(AH110)+IF(MATCH(C111,$C$2:$C$401,0)=ROW()-1,1,0))</f>
        <v/>
      </c>
    </row>
    <row r="112">
      <c r="T112" s="5">
        <f>IF(C112="","",S112*X112/100)</f>
        <v/>
      </c>
      <c r="U112" s="5">
        <f>IF(C112="","",W112*V112/100)</f>
        <v/>
      </c>
      <c r="V112" s="5">
        <f>IF(C112="","",S112-T112)</f>
        <v/>
      </c>
      <c r="Y112" s="5">
        <f>IF(C112="","",V112-U112)</f>
        <v/>
      </c>
      <c r="AH112">
        <f>IF(C112="","",N(AH111)+IF(MATCH(C112,$C$2:$C$401,0)=ROW()-1,1,0))</f>
        <v/>
      </c>
    </row>
    <row r="113">
      <c r="T113" s="5">
        <f>IF(C113="","",S113*X113/100)</f>
        <v/>
      </c>
      <c r="U113" s="5">
        <f>IF(C113="","",W113*V113/100)</f>
        <v/>
      </c>
      <c r="V113" s="5">
        <f>IF(C113="","",S113-T113)</f>
        <v/>
      </c>
      <c r="Y113" s="5">
        <f>IF(C113="","",V113-U113)</f>
        <v/>
      </c>
      <c r="AH113">
        <f>IF(C113="","",N(AH112)+IF(MATCH(C113,$C$2:$C$401,0)=ROW()-1,1,0))</f>
        <v/>
      </c>
    </row>
    <row r="114">
      <c r="T114" s="5">
        <f>IF(C114="","",S114*X114/100)</f>
        <v/>
      </c>
      <c r="U114" s="5">
        <f>IF(C114="","",W114*V114/100)</f>
        <v/>
      </c>
      <c r="V114" s="5">
        <f>IF(C114="","",S114-T114)</f>
        <v/>
      </c>
      <c r="Y114" s="5">
        <f>IF(C114="","",V114-U114)</f>
        <v/>
      </c>
      <c r="AH114">
        <f>IF(C114="","",N(AH113)+IF(MATCH(C114,$C$2:$C$401,0)=ROW()-1,1,0))</f>
        <v/>
      </c>
    </row>
    <row r="115">
      <c r="T115" s="5">
        <f>IF(C115="","",S115*X115/100)</f>
        <v/>
      </c>
      <c r="U115" s="5">
        <f>IF(C115="","",W115*V115/100)</f>
        <v/>
      </c>
      <c r="V115" s="5">
        <f>IF(C115="","",S115-T115)</f>
        <v/>
      </c>
      <c r="Y115" s="5">
        <f>IF(C115="","",V115-U115)</f>
        <v/>
      </c>
      <c r="AH115">
        <f>IF(C115="","",N(AH114)+IF(MATCH(C115,$C$2:$C$401,0)=ROW()-1,1,0))</f>
        <v/>
      </c>
    </row>
    <row r="116">
      <c r="T116" s="5">
        <f>IF(C116="","",S116*X116/100)</f>
        <v/>
      </c>
      <c r="U116" s="5">
        <f>IF(C116="","",W116*V116/100)</f>
        <v/>
      </c>
      <c r="V116" s="5">
        <f>IF(C116="","",S116-T116)</f>
        <v/>
      </c>
      <c r="Y116" s="5">
        <f>IF(C116="","",V116-U116)</f>
        <v/>
      </c>
      <c r="AH116">
        <f>IF(C116="","",N(AH115)+IF(MATCH(C116,$C$2:$C$401,0)=ROW()-1,1,0))</f>
        <v/>
      </c>
    </row>
    <row r="117">
      <c r="T117" s="5">
        <f>IF(C117="","",S117*X117/100)</f>
        <v/>
      </c>
      <c r="U117" s="5">
        <f>IF(C117="","",W117*V117/100)</f>
        <v/>
      </c>
      <c r="V117" s="5">
        <f>IF(C117="","",S117-T117)</f>
        <v/>
      </c>
      <c r="Y117" s="5">
        <f>IF(C117="","",V117-U117)</f>
        <v/>
      </c>
      <c r="AH117">
        <f>IF(C117="","",N(AH116)+IF(MATCH(C117,$C$2:$C$401,0)=ROW()-1,1,0))</f>
        <v/>
      </c>
    </row>
    <row r="118">
      <c r="T118" s="5">
        <f>IF(C118="","",S118*X118/100)</f>
        <v/>
      </c>
      <c r="U118" s="5">
        <f>IF(C118="","",W118*V118/100)</f>
        <v/>
      </c>
      <c r="V118" s="5">
        <f>IF(C118="","",S118-T118)</f>
        <v/>
      </c>
      <c r="Y118" s="5">
        <f>IF(C118="","",V118-U118)</f>
        <v/>
      </c>
      <c r="AH118">
        <f>IF(C118="","",N(AH117)+IF(MATCH(C118,$C$2:$C$401,0)=ROW()-1,1,0))</f>
        <v/>
      </c>
    </row>
    <row r="119">
      <c r="T119" s="5">
        <f>IF(C119="","",S119*X119/100)</f>
        <v/>
      </c>
      <c r="U119" s="5">
        <f>IF(C119="","",W119*V119/100)</f>
        <v/>
      </c>
      <c r="V119" s="5">
        <f>IF(C119="","",S119-T119)</f>
        <v/>
      </c>
      <c r="Y119" s="5">
        <f>IF(C119="","",V119-U119)</f>
        <v/>
      </c>
      <c r="AH119">
        <f>IF(C119="","",N(AH118)+IF(MATCH(C119,$C$2:$C$401,0)=ROW()-1,1,0))</f>
        <v/>
      </c>
    </row>
    <row r="120">
      <c r="T120" s="5">
        <f>IF(C120="","",S120*X120/100)</f>
        <v/>
      </c>
      <c r="U120" s="5">
        <f>IF(C120="","",W120*V120/100)</f>
        <v/>
      </c>
      <c r="V120" s="5">
        <f>IF(C120="","",S120-T120)</f>
        <v/>
      </c>
      <c r="Y120" s="5">
        <f>IF(C120="","",V120-U120)</f>
        <v/>
      </c>
      <c r="AH120">
        <f>IF(C120="","",N(AH119)+IF(MATCH(C120,$C$2:$C$401,0)=ROW()-1,1,0))</f>
        <v/>
      </c>
    </row>
    <row r="121">
      <c r="T121" s="5">
        <f>IF(C121="","",S121*X121/100)</f>
        <v/>
      </c>
      <c r="U121" s="5">
        <f>IF(C121="","",W121*V121/100)</f>
        <v/>
      </c>
      <c r="V121" s="5">
        <f>IF(C121="","",S121-T121)</f>
        <v/>
      </c>
      <c r="Y121" s="5">
        <f>IF(C121="","",V121-U121)</f>
        <v/>
      </c>
      <c r="AH121">
        <f>IF(C121="","",N(AH120)+IF(MATCH(C121,$C$2:$C$401,0)=ROW()-1,1,0))</f>
        <v/>
      </c>
    </row>
    <row r="122">
      <c r="T122" s="5">
        <f>IF(C122="","",S122*X122/100)</f>
        <v/>
      </c>
      <c r="U122" s="5">
        <f>IF(C122="","",W122*V122/100)</f>
        <v/>
      </c>
      <c r="V122" s="5">
        <f>IF(C122="","",S122-T122)</f>
        <v/>
      </c>
      <c r="Y122" s="5">
        <f>IF(C122="","",V122-U122)</f>
        <v/>
      </c>
      <c r="AH122">
        <f>IF(C122="","",N(AH121)+IF(MATCH(C122,$C$2:$C$401,0)=ROW()-1,1,0))</f>
        <v/>
      </c>
    </row>
    <row r="123">
      <c r="T123" s="5">
        <f>IF(C123="","",S123*X123/100)</f>
        <v/>
      </c>
      <c r="U123" s="5">
        <f>IF(C123="","",W123*V123/100)</f>
        <v/>
      </c>
      <c r="V123" s="5">
        <f>IF(C123="","",S123-T123)</f>
        <v/>
      </c>
      <c r="Y123" s="5">
        <f>IF(C123="","",V123-U123)</f>
        <v/>
      </c>
      <c r="AH123">
        <f>IF(C123="","",N(AH122)+IF(MATCH(C123,$C$2:$C$401,0)=ROW()-1,1,0))</f>
        <v/>
      </c>
    </row>
    <row r="124">
      <c r="T124" s="5">
        <f>IF(C124="","",S124*X124/100)</f>
        <v/>
      </c>
      <c r="U124" s="5">
        <f>IF(C124="","",W124*V124/100)</f>
        <v/>
      </c>
      <c r="V124" s="5">
        <f>IF(C124="","",S124-T124)</f>
        <v/>
      </c>
      <c r="Y124" s="5">
        <f>IF(C124="","",V124-U124)</f>
        <v/>
      </c>
      <c r="AH124">
        <f>IF(C124="","",N(AH123)+IF(MATCH(C124,$C$2:$C$401,0)=ROW()-1,1,0))</f>
        <v/>
      </c>
    </row>
    <row r="125">
      <c r="T125" s="5">
        <f>IF(C125="","",S125*X125/100)</f>
        <v/>
      </c>
      <c r="U125" s="5">
        <f>IF(C125="","",W125*V125/100)</f>
        <v/>
      </c>
      <c r="V125" s="5">
        <f>IF(C125="","",S125-T125)</f>
        <v/>
      </c>
      <c r="Y125" s="5">
        <f>IF(C125="","",V125-U125)</f>
        <v/>
      </c>
      <c r="AH125">
        <f>IF(C125="","",N(AH124)+IF(MATCH(C125,$C$2:$C$401,0)=ROW()-1,1,0))</f>
        <v/>
      </c>
    </row>
    <row r="126">
      <c r="T126" s="5">
        <f>IF(C126="","",S126*X126/100)</f>
        <v/>
      </c>
      <c r="U126" s="5">
        <f>IF(C126="","",W126*V126/100)</f>
        <v/>
      </c>
      <c r="V126" s="5">
        <f>IF(C126="","",S126-T126)</f>
        <v/>
      </c>
      <c r="Y126" s="5">
        <f>IF(C126="","",V126-U126)</f>
        <v/>
      </c>
      <c r="AH126">
        <f>IF(C126="","",N(AH125)+IF(MATCH(C126,$C$2:$C$401,0)=ROW()-1,1,0))</f>
        <v/>
      </c>
    </row>
    <row r="127">
      <c r="T127" s="5">
        <f>IF(C127="","",S127*X127/100)</f>
        <v/>
      </c>
      <c r="U127" s="5">
        <f>IF(C127="","",W127*V127/100)</f>
        <v/>
      </c>
      <c r="V127" s="5">
        <f>IF(C127="","",S127-T127)</f>
        <v/>
      </c>
      <c r="Y127" s="5">
        <f>IF(C127="","",V127-U127)</f>
        <v/>
      </c>
      <c r="AH127">
        <f>IF(C127="","",N(AH126)+IF(MATCH(C127,$C$2:$C$401,0)=ROW()-1,1,0))</f>
        <v/>
      </c>
    </row>
    <row r="128">
      <c r="T128" s="5">
        <f>IF(C128="","",S128*X128/100)</f>
        <v/>
      </c>
      <c r="U128" s="5">
        <f>IF(C128="","",W128*V128/100)</f>
        <v/>
      </c>
      <c r="V128" s="5">
        <f>IF(C128="","",S128-T128)</f>
        <v/>
      </c>
      <c r="Y128" s="5">
        <f>IF(C128="","",V128-U128)</f>
        <v/>
      </c>
      <c r="AH128">
        <f>IF(C128="","",N(AH127)+IF(MATCH(C128,$C$2:$C$401,0)=ROW()-1,1,0))</f>
        <v/>
      </c>
    </row>
    <row r="129">
      <c r="T129" s="5">
        <f>IF(C129="","",S129*X129/100)</f>
        <v/>
      </c>
      <c r="U129" s="5">
        <f>IF(C129="","",W129*V129/100)</f>
        <v/>
      </c>
      <c r="V129" s="5">
        <f>IF(C129="","",S129-T129)</f>
        <v/>
      </c>
      <c r="Y129" s="5">
        <f>IF(C129="","",V129-U129)</f>
        <v/>
      </c>
      <c r="AH129">
        <f>IF(C129="","",N(AH128)+IF(MATCH(C129,$C$2:$C$401,0)=ROW()-1,1,0))</f>
        <v/>
      </c>
    </row>
    <row r="130">
      <c r="T130" s="5">
        <f>IF(C130="","",S130*X130/100)</f>
        <v/>
      </c>
      <c r="U130" s="5">
        <f>IF(C130="","",W130*V130/100)</f>
        <v/>
      </c>
      <c r="V130" s="5">
        <f>IF(C130="","",S130-T130)</f>
        <v/>
      </c>
      <c r="Y130" s="5">
        <f>IF(C130="","",V130-U130)</f>
        <v/>
      </c>
      <c r="AH130">
        <f>IF(C130="","",N(AH129)+IF(MATCH(C130,$C$2:$C$401,0)=ROW()-1,1,0))</f>
        <v/>
      </c>
    </row>
    <row r="131">
      <c r="T131" s="5">
        <f>IF(C131="","",S131*X131/100)</f>
        <v/>
      </c>
      <c r="U131" s="5">
        <f>IF(C131="","",W131*V131/100)</f>
        <v/>
      </c>
      <c r="V131" s="5">
        <f>IF(C131="","",S131-T131)</f>
        <v/>
      </c>
      <c r="Y131" s="5">
        <f>IF(C131="","",V131-U131)</f>
        <v/>
      </c>
      <c r="AH131">
        <f>IF(C131="","",N(AH130)+IF(MATCH(C131,$C$2:$C$401,0)=ROW()-1,1,0))</f>
        <v/>
      </c>
    </row>
    <row r="132">
      <c r="T132" s="5">
        <f>IF(C132="","",S132*X132/100)</f>
        <v/>
      </c>
      <c r="U132" s="5">
        <f>IF(C132="","",W132*V132/100)</f>
        <v/>
      </c>
      <c r="V132" s="5">
        <f>IF(C132="","",S132-T132)</f>
        <v/>
      </c>
      <c r="Y132" s="5">
        <f>IF(C132="","",V132-U132)</f>
        <v/>
      </c>
      <c r="AH132">
        <f>IF(C132="","",N(AH131)+IF(MATCH(C132,$C$2:$C$401,0)=ROW()-1,1,0))</f>
        <v/>
      </c>
    </row>
    <row r="133">
      <c r="T133" s="5">
        <f>IF(C133="","",S133*X133/100)</f>
        <v/>
      </c>
      <c r="U133" s="5">
        <f>IF(C133="","",W133*V133/100)</f>
        <v/>
      </c>
      <c r="V133" s="5">
        <f>IF(C133="","",S133-T133)</f>
        <v/>
      </c>
      <c r="Y133" s="5">
        <f>IF(C133="","",V133-U133)</f>
        <v/>
      </c>
      <c r="AH133">
        <f>IF(C133="","",N(AH132)+IF(MATCH(C133,$C$2:$C$401,0)=ROW()-1,1,0))</f>
        <v/>
      </c>
    </row>
    <row r="134">
      <c r="T134" s="5">
        <f>IF(C134="","",S134*X134/100)</f>
        <v/>
      </c>
      <c r="U134" s="5">
        <f>IF(C134="","",W134*V134/100)</f>
        <v/>
      </c>
      <c r="V134" s="5">
        <f>IF(C134="","",S134-T134)</f>
        <v/>
      </c>
      <c r="Y134" s="5">
        <f>IF(C134="","",V134-U134)</f>
        <v/>
      </c>
      <c r="AH134">
        <f>IF(C134="","",N(AH133)+IF(MATCH(C134,$C$2:$C$401,0)=ROW()-1,1,0))</f>
        <v/>
      </c>
    </row>
    <row r="135">
      <c r="T135" s="5">
        <f>IF(C135="","",S135*X135/100)</f>
        <v/>
      </c>
      <c r="U135" s="5">
        <f>IF(C135="","",W135*V135/100)</f>
        <v/>
      </c>
      <c r="V135" s="5">
        <f>IF(C135="","",S135-T135)</f>
        <v/>
      </c>
      <c r="Y135" s="5">
        <f>IF(C135="","",V135-U135)</f>
        <v/>
      </c>
      <c r="AH135">
        <f>IF(C135="","",N(AH134)+IF(MATCH(C135,$C$2:$C$401,0)=ROW()-1,1,0))</f>
        <v/>
      </c>
    </row>
    <row r="136">
      <c r="T136" s="5">
        <f>IF(C136="","",S136*X136/100)</f>
        <v/>
      </c>
      <c r="U136" s="5">
        <f>IF(C136="","",W136*V136/100)</f>
        <v/>
      </c>
      <c r="V136" s="5">
        <f>IF(C136="","",S136-T136)</f>
        <v/>
      </c>
      <c r="Y136" s="5">
        <f>IF(C136="","",V136-U136)</f>
        <v/>
      </c>
      <c r="AH136">
        <f>IF(C136="","",N(AH135)+IF(MATCH(C136,$C$2:$C$401,0)=ROW()-1,1,0))</f>
        <v/>
      </c>
    </row>
    <row r="137">
      <c r="T137" s="5">
        <f>IF(C137="","",S137*X137/100)</f>
        <v/>
      </c>
      <c r="U137" s="5">
        <f>IF(C137="","",W137*V137/100)</f>
        <v/>
      </c>
      <c r="V137" s="5">
        <f>IF(C137="","",S137-T137)</f>
        <v/>
      </c>
      <c r="Y137" s="5">
        <f>IF(C137="","",V137-U137)</f>
        <v/>
      </c>
      <c r="AH137">
        <f>IF(C137="","",N(AH136)+IF(MATCH(C137,$C$2:$C$401,0)=ROW()-1,1,0))</f>
        <v/>
      </c>
    </row>
    <row r="138">
      <c r="T138" s="5">
        <f>IF(C138="","",S138*X138/100)</f>
        <v/>
      </c>
      <c r="U138" s="5">
        <f>IF(C138="","",W138*V138/100)</f>
        <v/>
      </c>
      <c r="V138" s="5">
        <f>IF(C138="","",S138-T138)</f>
        <v/>
      </c>
      <c r="Y138" s="5">
        <f>IF(C138="","",V138-U138)</f>
        <v/>
      </c>
      <c r="AH138">
        <f>IF(C138="","",N(AH137)+IF(MATCH(C138,$C$2:$C$401,0)=ROW()-1,1,0))</f>
        <v/>
      </c>
    </row>
    <row r="139">
      <c r="T139" s="5">
        <f>IF(C139="","",S139*X139/100)</f>
        <v/>
      </c>
      <c r="U139" s="5">
        <f>IF(C139="","",W139*V139/100)</f>
        <v/>
      </c>
      <c r="V139" s="5">
        <f>IF(C139="","",S139-T139)</f>
        <v/>
      </c>
      <c r="Y139" s="5">
        <f>IF(C139="","",V139-U139)</f>
        <v/>
      </c>
      <c r="AH139">
        <f>IF(C139="","",N(AH138)+IF(MATCH(C139,$C$2:$C$401,0)=ROW()-1,1,0))</f>
        <v/>
      </c>
    </row>
    <row r="140">
      <c r="T140" s="5">
        <f>IF(C140="","",S140*X140/100)</f>
        <v/>
      </c>
      <c r="U140" s="5">
        <f>IF(C140="","",W140*V140/100)</f>
        <v/>
      </c>
      <c r="V140" s="5">
        <f>IF(C140="","",S140-T140)</f>
        <v/>
      </c>
      <c r="Y140" s="5">
        <f>IF(C140="","",V140-U140)</f>
        <v/>
      </c>
      <c r="AH140">
        <f>IF(C140="","",N(AH139)+IF(MATCH(C140,$C$2:$C$401,0)=ROW()-1,1,0))</f>
        <v/>
      </c>
    </row>
    <row r="141">
      <c r="T141" s="5">
        <f>IF(C141="","",S141*X141/100)</f>
        <v/>
      </c>
      <c r="U141" s="5">
        <f>IF(C141="","",W141*V141/100)</f>
        <v/>
      </c>
      <c r="V141" s="5">
        <f>IF(C141="","",S141-T141)</f>
        <v/>
      </c>
      <c r="Y141" s="5">
        <f>IF(C141="","",V141-U141)</f>
        <v/>
      </c>
      <c r="AH141">
        <f>IF(C141="","",N(AH140)+IF(MATCH(C141,$C$2:$C$401,0)=ROW()-1,1,0))</f>
        <v/>
      </c>
    </row>
    <row r="142">
      <c r="T142" s="5">
        <f>IF(C142="","",S142*X142/100)</f>
        <v/>
      </c>
      <c r="U142" s="5">
        <f>IF(C142="","",W142*V142/100)</f>
        <v/>
      </c>
      <c r="V142" s="5">
        <f>IF(C142="","",S142-T142)</f>
        <v/>
      </c>
      <c r="Y142" s="5">
        <f>IF(C142="","",V142-U142)</f>
        <v/>
      </c>
      <c r="AH142">
        <f>IF(C142="","",N(AH141)+IF(MATCH(C142,$C$2:$C$401,0)=ROW()-1,1,0))</f>
        <v/>
      </c>
    </row>
    <row r="143">
      <c r="T143" s="5">
        <f>IF(C143="","",S143*X143/100)</f>
        <v/>
      </c>
      <c r="U143" s="5">
        <f>IF(C143="","",W143*V143/100)</f>
        <v/>
      </c>
      <c r="V143" s="5">
        <f>IF(C143="","",S143-T143)</f>
        <v/>
      </c>
      <c r="Y143" s="5">
        <f>IF(C143="","",V143-U143)</f>
        <v/>
      </c>
      <c r="AH143">
        <f>IF(C143="","",N(AH142)+IF(MATCH(C143,$C$2:$C$401,0)=ROW()-1,1,0))</f>
        <v/>
      </c>
    </row>
    <row r="144">
      <c r="T144" s="5">
        <f>IF(C144="","",S144*X144/100)</f>
        <v/>
      </c>
      <c r="U144" s="5">
        <f>IF(C144="","",W144*V144/100)</f>
        <v/>
      </c>
      <c r="V144" s="5">
        <f>IF(C144="","",S144-T144)</f>
        <v/>
      </c>
      <c r="Y144" s="5">
        <f>IF(C144="","",V144-U144)</f>
        <v/>
      </c>
      <c r="AH144">
        <f>IF(C144="","",N(AH143)+IF(MATCH(C144,$C$2:$C$401,0)=ROW()-1,1,0))</f>
        <v/>
      </c>
    </row>
    <row r="145">
      <c r="T145" s="5">
        <f>IF(C145="","",S145*X145/100)</f>
        <v/>
      </c>
      <c r="U145" s="5">
        <f>IF(C145="","",W145*V145/100)</f>
        <v/>
      </c>
      <c r="V145" s="5">
        <f>IF(C145="","",S145-T145)</f>
        <v/>
      </c>
      <c r="Y145" s="5">
        <f>IF(C145="","",V145-U145)</f>
        <v/>
      </c>
      <c r="AH145">
        <f>IF(C145="","",N(AH144)+IF(MATCH(C145,$C$2:$C$401,0)=ROW()-1,1,0))</f>
        <v/>
      </c>
    </row>
    <row r="146">
      <c r="T146" s="5">
        <f>IF(C146="","",S146*X146/100)</f>
        <v/>
      </c>
      <c r="U146" s="5">
        <f>IF(C146="","",W146*V146/100)</f>
        <v/>
      </c>
      <c r="V146" s="5">
        <f>IF(C146="","",S146-T146)</f>
        <v/>
      </c>
      <c r="Y146" s="5">
        <f>IF(C146="","",V146-U146)</f>
        <v/>
      </c>
      <c r="AH146">
        <f>IF(C146="","",N(AH145)+IF(MATCH(C146,$C$2:$C$401,0)=ROW()-1,1,0))</f>
        <v/>
      </c>
    </row>
    <row r="147">
      <c r="T147" s="5">
        <f>IF(C147="","",S147*X147/100)</f>
        <v/>
      </c>
      <c r="U147" s="5">
        <f>IF(C147="","",W147*V147/100)</f>
        <v/>
      </c>
      <c r="V147" s="5">
        <f>IF(C147="","",S147-T147)</f>
        <v/>
      </c>
      <c r="Y147" s="5">
        <f>IF(C147="","",V147-U147)</f>
        <v/>
      </c>
      <c r="AH147">
        <f>IF(C147="","",N(AH146)+IF(MATCH(C147,$C$2:$C$401,0)=ROW()-1,1,0))</f>
        <v/>
      </c>
    </row>
    <row r="148">
      <c r="T148" s="5">
        <f>IF(C148="","",S148*X148/100)</f>
        <v/>
      </c>
      <c r="U148" s="5">
        <f>IF(C148="","",W148*V148/100)</f>
        <v/>
      </c>
      <c r="V148" s="5">
        <f>IF(C148="","",S148-T148)</f>
        <v/>
      </c>
      <c r="Y148" s="5">
        <f>IF(C148="","",V148-U148)</f>
        <v/>
      </c>
      <c r="AH148">
        <f>IF(C148="","",N(AH147)+IF(MATCH(C148,$C$2:$C$401,0)=ROW()-1,1,0))</f>
        <v/>
      </c>
    </row>
    <row r="149">
      <c r="T149" s="5">
        <f>IF(C149="","",S149*X149/100)</f>
        <v/>
      </c>
      <c r="U149" s="5">
        <f>IF(C149="","",W149*V149/100)</f>
        <v/>
      </c>
      <c r="V149" s="5">
        <f>IF(C149="","",S149-T149)</f>
        <v/>
      </c>
      <c r="Y149" s="5">
        <f>IF(C149="","",V149-U149)</f>
        <v/>
      </c>
      <c r="AH149">
        <f>IF(C149="","",N(AH148)+IF(MATCH(C149,$C$2:$C$401,0)=ROW()-1,1,0))</f>
        <v/>
      </c>
    </row>
    <row r="150">
      <c r="T150" s="5">
        <f>IF(C150="","",S150*X150/100)</f>
        <v/>
      </c>
      <c r="U150" s="5">
        <f>IF(C150="","",W150*V150/100)</f>
        <v/>
      </c>
      <c r="V150" s="5">
        <f>IF(C150="","",S150-T150)</f>
        <v/>
      </c>
      <c r="Y150" s="5">
        <f>IF(C150="","",V150-U150)</f>
        <v/>
      </c>
      <c r="AH150">
        <f>IF(C150="","",N(AH149)+IF(MATCH(C150,$C$2:$C$401,0)=ROW()-1,1,0))</f>
        <v/>
      </c>
    </row>
    <row r="151">
      <c r="T151" s="5">
        <f>IF(C151="","",S151*X151/100)</f>
        <v/>
      </c>
      <c r="U151" s="5">
        <f>IF(C151="","",W151*V151/100)</f>
        <v/>
      </c>
      <c r="V151" s="5">
        <f>IF(C151="","",S151-T151)</f>
        <v/>
      </c>
      <c r="Y151" s="5">
        <f>IF(C151="","",V151-U151)</f>
        <v/>
      </c>
      <c r="AH151">
        <f>IF(C151="","",N(AH150)+IF(MATCH(C151,$C$2:$C$401,0)=ROW()-1,1,0))</f>
        <v/>
      </c>
    </row>
    <row r="152">
      <c r="T152" s="5">
        <f>IF(C152="","",S152*X152/100)</f>
        <v/>
      </c>
      <c r="U152" s="5">
        <f>IF(C152="","",W152*V152/100)</f>
        <v/>
      </c>
      <c r="V152" s="5">
        <f>IF(C152="","",S152-T152)</f>
        <v/>
      </c>
      <c r="Y152" s="5">
        <f>IF(C152="","",V152-U152)</f>
        <v/>
      </c>
      <c r="AH152">
        <f>IF(C152="","",N(AH151)+IF(MATCH(C152,$C$2:$C$401,0)=ROW()-1,1,0))</f>
        <v/>
      </c>
    </row>
    <row r="153">
      <c r="T153" s="5">
        <f>IF(C153="","",S153*X153/100)</f>
        <v/>
      </c>
      <c r="U153" s="5">
        <f>IF(C153="","",W153*V153/100)</f>
        <v/>
      </c>
      <c r="V153" s="5">
        <f>IF(C153="","",S153-T153)</f>
        <v/>
      </c>
      <c r="Y153" s="5">
        <f>IF(C153="","",V153-U153)</f>
        <v/>
      </c>
      <c r="AH153">
        <f>IF(C153="","",N(AH152)+IF(MATCH(C153,$C$2:$C$401,0)=ROW()-1,1,0))</f>
        <v/>
      </c>
    </row>
    <row r="154">
      <c r="T154" s="5">
        <f>IF(C154="","",S154*X154/100)</f>
        <v/>
      </c>
      <c r="U154" s="5">
        <f>IF(C154="","",W154*V154/100)</f>
        <v/>
      </c>
      <c r="V154" s="5">
        <f>IF(C154="","",S154-T154)</f>
        <v/>
      </c>
      <c r="Y154" s="5">
        <f>IF(C154="","",V154-U154)</f>
        <v/>
      </c>
      <c r="AH154">
        <f>IF(C154="","",N(AH153)+IF(MATCH(C154,$C$2:$C$401,0)=ROW()-1,1,0))</f>
        <v/>
      </c>
    </row>
    <row r="155">
      <c r="T155" s="5">
        <f>IF(C155="","",S155*X155/100)</f>
        <v/>
      </c>
      <c r="U155" s="5">
        <f>IF(C155="","",W155*V155/100)</f>
        <v/>
      </c>
      <c r="V155" s="5">
        <f>IF(C155="","",S155-T155)</f>
        <v/>
      </c>
      <c r="Y155" s="5">
        <f>IF(C155="","",V155-U155)</f>
        <v/>
      </c>
      <c r="AH155">
        <f>IF(C155="","",N(AH154)+IF(MATCH(C155,$C$2:$C$401,0)=ROW()-1,1,0))</f>
        <v/>
      </c>
    </row>
    <row r="156">
      <c r="T156" s="5">
        <f>IF(C156="","",S156*X156/100)</f>
        <v/>
      </c>
      <c r="U156" s="5">
        <f>IF(C156="","",W156*V156/100)</f>
        <v/>
      </c>
      <c r="V156" s="5">
        <f>IF(C156="","",S156-T156)</f>
        <v/>
      </c>
      <c r="Y156" s="5">
        <f>IF(C156="","",V156-U156)</f>
        <v/>
      </c>
      <c r="AH156">
        <f>IF(C156="","",N(AH155)+IF(MATCH(C156,$C$2:$C$401,0)=ROW()-1,1,0))</f>
        <v/>
      </c>
    </row>
    <row r="157">
      <c r="T157" s="5">
        <f>IF(C157="","",S157*X157/100)</f>
        <v/>
      </c>
      <c r="U157" s="5">
        <f>IF(C157="","",W157*V157/100)</f>
        <v/>
      </c>
      <c r="V157" s="5">
        <f>IF(C157="","",S157-T157)</f>
        <v/>
      </c>
      <c r="Y157" s="5">
        <f>IF(C157="","",V157-U157)</f>
        <v/>
      </c>
      <c r="AH157">
        <f>IF(C157="","",N(AH156)+IF(MATCH(C157,$C$2:$C$401,0)=ROW()-1,1,0))</f>
        <v/>
      </c>
    </row>
    <row r="158">
      <c r="T158" s="5">
        <f>IF(C158="","",S158*X158/100)</f>
        <v/>
      </c>
      <c r="U158" s="5">
        <f>IF(C158="","",W158*V158/100)</f>
        <v/>
      </c>
      <c r="V158" s="5">
        <f>IF(C158="","",S158-T158)</f>
        <v/>
      </c>
      <c r="Y158" s="5">
        <f>IF(C158="","",V158-U158)</f>
        <v/>
      </c>
      <c r="AH158">
        <f>IF(C158="","",N(AH157)+IF(MATCH(C158,$C$2:$C$401,0)=ROW()-1,1,0))</f>
        <v/>
      </c>
    </row>
    <row r="159">
      <c r="T159" s="5">
        <f>IF(C159="","",S159*X159/100)</f>
        <v/>
      </c>
      <c r="U159" s="5">
        <f>IF(C159="","",W159*V159/100)</f>
        <v/>
      </c>
      <c r="V159" s="5">
        <f>IF(C159="","",S159-T159)</f>
        <v/>
      </c>
      <c r="Y159" s="5">
        <f>IF(C159="","",V159-U159)</f>
        <v/>
      </c>
      <c r="AH159">
        <f>IF(C159="","",N(AH158)+IF(MATCH(C159,$C$2:$C$401,0)=ROW()-1,1,0))</f>
        <v/>
      </c>
    </row>
    <row r="160">
      <c r="T160" s="5">
        <f>IF(C160="","",S160*X160/100)</f>
        <v/>
      </c>
      <c r="U160" s="5">
        <f>IF(C160="","",W160*V160/100)</f>
        <v/>
      </c>
      <c r="V160" s="5">
        <f>IF(C160="","",S160-T160)</f>
        <v/>
      </c>
      <c r="Y160" s="5">
        <f>IF(C160="","",V160-U160)</f>
        <v/>
      </c>
      <c r="AH160">
        <f>IF(C160="","",N(AH159)+IF(MATCH(C160,$C$2:$C$401,0)=ROW()-1,1,0))</f>
        <v/>
      </c>
    </row>
    <row r="161">
      <c r="T161" s="5">
        <f>IF(C161="","",S161*X161/100)</f>
        <v/>
      </c>
      <c r="U161" s="5">
        <f>IF(C161="","",W161*V161/100)</f>
        <v/>
      </c>
      <c r="V161" s="5">
        <f>IF(C161="","",S161-T161)</f>
        <v/>
      </c>
      <c r="Y161" s="5">
        <f>IF(C161="","",V161-U161)</f>
        <v/>
      </c>
      <c r="AH161">
        <f>IF(C161="","",N(AH160)+IF(MATCH(C161,$C$2:$C$401,0)=ROW()-1,1,0))</f>
        <v/>
      </c>
    </row>
    <row r="162">
      <c r="T162" s="5">
        <f>IF(C162="","",S162*X162/100)</f>
        <v/>
      </c>
      <c r="U162" s="5">
        <f>IF(C162="","",W162*V162/100)</f>
        <v/>
      </c>
      <c r="V162" s="5">
        <f>IF(C162="","",S162-T162)</f>
        <v/>
      </c>
      <c r="Y162" s="5">
        <f>IF(C162="","",V162-U162)</f>
        <v/>
      </c>
      <c r="AH162">
        <f>IF(C162="","",N(AH161)+IF(MATCH(C162,$C$2:$C$401,0)=ROW()-1,1,0))</f>
        <v/>
      </c>
    </row>
    <row r="163">
      <c r="T163" s="5">
        <f>IF(C163="","",S163*X163/100)</f>
        <v/>
      </c>
      <c r="U163" s="5">
        <f>IF(C163="","",W163*V163/100)</f>
        <v/>
      </c>
      <c r="V163" s="5">
        <f>IF(C163="","",S163-T163)</f>
        <v/>
      </c>
      <c r="Y163" s="5">
        <f>IF(C163="","",V163-U163)</f>
        <v/>
      </c>
      <c r="AH163">
        <f>IF(C163="","",N(AH162)+IF(MATCH(C163,$C$2:$C$401,0)=ROW()-1,1,0))</f>
        <v/>
      </c>
    </row>
    <row r="164">
      <c r="T164" s="5">
        <f>IF(C164="","",S164*X164/100)</f>
        <v/>
      </c>
      <c r="U164" s="5">
        <f>IF(C164="","",W164*V164/100)</f>
        <v/>
      </c>
      <c r="V164" s="5">
        <f>IF(C164="","",S164-T164)</f>
        <v/>
      </c>
      <c r="Y164" s="5">
        <f>IF(C164="","",V164-U164)</f>
        <v/>
      </c>
      <c r="AH164">
        <f>IF(C164="","",N(AH163)+IF(MATCH(C164,$C$2:$C$401,0)=ROW()-1,1,0))</f>
        <v/>
      </c>
    </row>
    <row r="165">
      <c r="T165" s="5">
        <f>IF(C165="","",S165*X165/100)</f>
        <v/>
      </c>
      <c r="U165" s="5">
        <f>IF(C165="","",W165*V165/100)</f>
        <v/>
      </c>
      <c r="V165" s="5">
        <f>IF(C165="","",S165-T165)</f>
        <v/>
      </c>
      <c r="Y165" s="5">
        <f>IF(C165="","",V165-U165)</f>
        <v/>
      </c>
      <c r="AH165">
        <f>IF(C165="","",N(AH164)+IF(MATCH(C165,$C$2:$C$401,0)=ROW()-1,1,0))</f>
        <v/>
      </c>
    </row>
    <row r="166">
      <c r="T166" s="5">
        <f>IF(C166="","",S166*X166/100)</f>
        <v/>
      </c>
      <c r="U166" s="5">
        <f>IF(C166="","",W166*V166/100)</f>
        <v/>
      </c>
      <c r="V166" s="5">
        <f>IF(C166="","",S166-T166)</f>
        <v/>
      </c>
      <c r="Y166" s="5">
        <f>IF(C166="","",V166-U166)</f>
        <v/>
      </c>
      <c r="AH166">
        <f>IF(C166="","",N(AH165)+IF(MATCH(C166,$C$2:$C$401,0)=ROW()-1,1,0))</f>
        <v/>
      </c>
    </row>
    <row r="167">
      <c r="T167" s="5">
        <f>IF(C167="","",S167*X167/100)</f>
        <v/>
      </c>
      <c r="U167" s="5">
        <f>IF(C167="","",W167*V167/100)</f>
        <v/>
      </c>
      <c r="V167" s="5">
        <f>IF(C167="","",S167-T167)</f>
        <v/>
      </c>
      <c r="Y167" s="5">
        <f>IF(C167="","",V167-U167)</f>
        <v/>
      </c>
      <c r="AH167">
        <f>IF(C167="","",N(AH166)+IF(MATCH(C167,$C$2:$C$401,0)=ROW()-1,1,0))</f>
        <v/>
      </c>
    </row>
    <row r="168">
      <c r="T168" s="5">
        <f>IF(C168="","",S168*X168/100)</f>
        <v/>
      </c>
      <c r="U168" s="5">
        <f>IF(C168="","",W168*V168/100)</f>
        <v/>
      </c>
      <c r="V168" s="5">
        <f>IF(C168="","",S168-T168)</f>
        <v/>
      </c>
      <c r="Y168" s="5">
        <f>IF(C168="","",V168-U168)</f>
        <v/>
      </c>
      <c r="AH168">
        <f>IF(C168="","",N(AH167)+IF(MATCH(C168,$C$2:$C$401,0)=ROW()-1,1,0))</f>
        <v/>
      </c>
    </row>
    <row r="169">
      <c r="T169" s="5">
        <f>IF(C169="","",S169*X169/100)</f>
        <v/>
      </c>
      <c r="U169" s="5">
        <f>IF(C169="","",W169*V169/100)</f>
        <v/>
      </c>
      <c r="V169" s="5">
        <f>IF(C169="","",S169-T169)</f>
        <v/>
      </c>
      <c r="Y169" s="5">
        <f>IF(C169="","",V169-U169)</f>
        <v/>
      </c>
      <c r="AH169">
        <f>IF(C169="","",N(AH168)+IF(MATCH(C169,$C$2:$C$401,0)=ROW()-1,1,0))</f>
        <v/>
      </c>
    </row>
    <row r="170">
      <c r="T170" s="5">
        <f>IF(C170="","",S170*X170/100)</f>
        <v/>
      </c>
      <c r="U170" s="5">
        <f>IF(C170="","",W170*V170/100)</f>
        <v/>
      </c>
      <c r="V170" s="5">
        <f>IF(C170="","",S170-T170)</f>
        <v/>
      </c>
      <c r="Y170" s="5">
        <f>IF(C170="","",V170-U170)</f>
        <v/>
      </c>
      <c r="AH170">
        <f>IF(C170="","",N(AH169)+IF(MATCH(C170,$C$2:$C$401,0)=ROW()-1,1,0))</f>
        <v/>
      </c>
    </row>
    <row r="171">
      <c r="T171" s="5">
        <f>IF(C171="","",S171*X171/100)</f>
        <v/>
      </c>
      <c r="U171" s="5">
        <f>IF(C171="","",W171*V171/100)</f>
        <v/>
      </c>
      <c r="V171" s="5">
        <f>IF(C171="","",S171-T171)</f>
        <v/>
      </c>
      <c r="Y171" s="5">
        <f>IF(C171="","",V171-U171)</f>
        <v/>
      </c>
      <c r="AH171">
        <f>IF(C171="","",N(AH170)+IF(MATCH(C171,$C$2:$C$401,0)=ROW()-1,1,0))</f>
        <v/>
      </c>
    </row>
    <row r="172">
      <c r="T172" s="5">
        <f>IF(C172="","",S172*X172/100)</f>
        <v/>
      </c>
      <c r="U172" s="5">
        <f>IF(C172="","",W172*V172/100)</f>
        <v/>
      </c>
      <c r="V172" s="5">
        <f>IF(C172="","",S172-T172)</f>
        <v/>
      </c>
      <c r="Y172" s="5">
        <f>IF(C172="","",V172-U172)</f>
        <v/>
      </c>
      <c r="AH172">
        <f>IF(C172="","",N(AH171)+IF(MATCH(C172,$C$2:$C$401,0)=ROW()-1,1,0))</f>
        <v/>
      </c>
    </row>
    <row r="173">
      <c r="T173" s="5">
        <f>IF(C173="","",S173*X173/100)</f>
        <v/>
      </c>
      <c r="U173" s="5">
        <f>IF(C173="","",W173*V173/100)</f>
        <v/>
      </c>
      <c r="V173" s="5">
        <f>IF(C173="","",S173-T173)</f>
        <v/>
      </c>
      <c r="Y173" s="5">
        <f>IF(C173="","",V173-U173)</f>
        <v/>
      </c>
      <c r="AH173">
        <f>IF(C173="","",N(AH172)+IF(MATCH(C173,$C$2:$C$401,0)=ROW()-1,1,0))</f>
        <v/>
      </c>
    </row>
    <row r="174">
      <c r="T174" s="5">
        <f>IF(C174="","",S174*X174/100)</f>
        <v/>
      </c>
      <c r="U174" s="5">
        <f>IF(C174="","",W174*V174/100)</f>
        <v/>
      </c>
      <c r="V174" s="5">
        <f>IF(C174="","",S174-T174)</f>
        <v/>
      </c>
      <c r="Y174" s="5">
        <f>IF(C174="","",V174-U174)</f>
        <v/>
      </c>
      <c r="AH174">
        <f>IF(C174="","",N(AH173)+IF(MATCH(C174,$C$2:$C$401,0)=ROW()-1,1,0))</f>
        <v/>
      </c>
    </row>
    <row r="175">
      <c r="T175" s="5">
        <f>IF(C175="","",S175*X175/100)</f>
        <v/>
      </c>
      <c r="U175" s="5">
        <f>IF(C175="","",W175*V175/100)</f>
        <v/>
      </c>
      <c r="V175" s="5">
        <f>IF(C175="","",S175-T175)</f>
        <v/>
      </c>
      <c r="Y175" s="5">
        <f>IF(C175="","",V175-U175)</f>
        <v/>
      </c>
      <c r="AH175">
        <f>IF(C175="","",N(AH174)+IF(MATCH(C175,$C$2:$C$401,0)=ROW()-1,1,0))</f>
        <v/>
      </c>
    </row>
    <row r="176">
      <c r="T176" s="5">
        <f>IF(C176="","",S176*X176/100)</f>
        <v/>
      </c>
      <c r="U176" s="5">
        <f>IF(C176="","",W176*V176/100)</f>
        <v/>
      </c>
      <c r="V176" s="5">
        <f>IF(C176="","",S176-T176)</f>
        <v/>
      </c>
      <c r="Y176" s="5">
        <f>IF(C176="","",V176-U176)</f>
        <v/>
      </c>
      <c r="AH176">
        <f>IF(C176="","",N(AH175)+IF(MATCH(C176,$C$2:$C$401,0)=ROW()-1,1,0))</f>
        <v/>
      </c>
    </row>
    <row r="177">
      <c r="T177" s="5">
        <f>IF(C177="","",S177*X177/100)</f>
        <v/>
      </c>
      <c r="U177" s="5">
        <f>IF(C177="","",W177*V177/100)</f>
        <v/>
      </c>
      <c r="V177" s="5">
        <f>IF(C177="","",S177-T177)</f>
        <v/>
      </c>
      <c r="Y177" s="5">
        <f>IF(C177="","",V177-U177)</f>
        <v/>
      </c>
      <c r="AH177">
        <f>IF(C177="","",N(AH176)+IF(MATCH(C177,$C$2:$C$401,0)=ROW()-1,1,0))</f>
        <v/>
      </c>
    </row>
    <row r="178">
      <c r="T178" s="5">
        <f>IF(C178="","",S178*X178/100)</f>
        <v/>
      </c>
      <c r="U178" s="5">
        <f>IF(C178="","",W178*V178/100)</f>
        <v/>
      </c>
      <c r="V178" s="5">
        <f>IF(C178="","",S178-T178)</f>
        <v/>
      </c>
      <c r="Y178" s="5">
        <f>IF(C178="","",V178-U178)</f>
        <v/>
      </c>
      <c r="AH178">
        <f>IF(C178="","",N(AH177)+IF(MATCH(C178,$C$2:$C$401,0)=ROW()-1,1,0))</f>
        <v/>
      </c>
    </row>
    <row r="179">
      <c r="T179" s="5">
        <f>IF(C179="","",S179*X179/100)</f>
        <v/>
      </c>
      <c r="U179" s="5">
        <f>IF(C179="","",W179*V179/100)</f>
        <v/>
      </c>
      <c r="V179" s="5">
        <f>IF(C179="","",S179-T179)</f>
        <v/>
      </c>
      <c r="Y179" s="5">
        <f>IF(C179="","",V179-U179)</f>
        <v/>
      </c>
      <c r="AH179">
        <f>IF(C179="","",N(AH178)+IF(MATCH(C179,$C$2:$C$401,0)=ROW()-1,1,0))</f>
        <v/>
      </c>
    </row>
    <row r="180">
      <c r="T180" s="5">
        <f>IF(C180="","",S180*X180/100)</f>
        <v/>
      </c>
      <c r="U180" s="5">
        <f>IF(C180="","",W180*V180/100)</f>
        <v/>
      </c>
      <c r="V180" s="5">
        <f>IF(C180="","",S180-T180)</f>
        <v/>
      </c>
      <c r="Y180" s="5">
        <f>IF(C180="","",V180-U180)</f>
        <v/>
      </c>
      <c r="AH180">
        <f>IF(C180="","",N(AH179)+IF(MATCH(C180,$C$2:$C$401,0)=ROW()-1,1,0))</f>
        <v/>
      </c>
    </row>
    <row r="181">
      <c r="T181" s="5">
        <f>IF(C181="","",S181*X181/100)</f>
        <v/>
      </c>
      <c r="U181" s="5">
        <f>IF(C181="","",W181*V181/100)</f>
        <v/>
      </c>
      <c r="V181" s="5">
        <f>IF(C181="","",S181-T181)</f>
        <v/>
      </c>
      <c r="Y181" s="5">
        <f>IF(C181="","",V181-U181)</f>
        <v/>
      </c>
      <c r="AH181">
        <f>IF(C181="","",N(AH180)+IF(MATCH(C181,$C$2:$C$401,0)=ROW()-1,1,0))</f>
        <v/>
      </c>
    </row>
    <row r="182">
      <c r="T182" s="5">
        <f>IF(C182="","",S182*X182/100)</f>
        <v/>
      </c>
      <c r="U182" s="5">
        <f>IF(C182="","",W182*V182/100)</f>
        <v/>
      </c>
      <c r="V182" s="5">
        <f>IF(C182="","",S182-T182)</f>
        <v/>
      </c>
      <c r="Y182" s="5">
        <f>IF(C182="","",V182-U182)</f>
        <v/>
      </c>
      <c r="AH182">
        <f>IF(C182="","",N(AH181)+IF(MATCH(C182,$C$2:$C$401,0)=ROW()-1,1,0))</f>
        <v/>
      </c>
    </row>
    <row r="183">
      <c r="T183" s="5">
        <f>IF(C183="","",S183*X183/100)</f>
        <v/>
      </c>
      <c r="U183" s="5">
        <f>IF(C183="","",W183*V183/100)</f>
        <v/>
      </c>
      <c r="V183" s="5">
        <f>IF(C183="","",S183-T183)</f>
        <v/>
      </c>
      <c r="Y183" s="5">
        <f>IF(C183="","",V183-U183)</f>
        <v/>
      </c>
      <c r="AH183">
        <f>IF(C183="","",N(AH182)+IF(MATCH(C183,$C$2:$C$401,0)=ROW()-1,1,0))</f>
        <v/>
      </c>
    </row>
    <row r="184">
      <c r="T184" s="5">
        <f>IF(C184="","",S184*X184/100)</f>
        <v/>
      </c>
      <c r="U184" s="5">
        <f>IF(C184="","",W184*V184/100)</f>
        <v/>
      </c>
      <c r="V184" s="5">
        <f>IF(C184="","",S184-T184)</f>
        <v/>
      </c>
      <c r="Y184" s="5">
        <f>IF(C184="","",V184-U184)</f>
        <v/>
      </c>
      <c r="AH184">
        <f>IF(C184="","",N(AH183)+IF(MATCH(C184,$C$2:$C$401,0)=ROW()-1,1,0))</f>
        <v/>
      </c>
    </row>
    <row r="185">
      <c r="T185" s="5">
        <f>IF(C185="","",S185*X185/100)</f>
        <v/>
      </c>
      <c r="U185" s="5">
        <f>IF(C185="","",W185*V185/100)</f>
        <v/>
      </c>
      <c r="V185" s="5">
        <f>IF(C185="","",S185-T185)</f>
        <v/>
      </c>
      <c r="Y185" s="5">
        <f>IF(C185="","",V185-U185)</f>
        <v/>
      </c>
      <c r="AH185">
        <f>IF(C185="","",N(AH184)+IF(MATCH(C185,$C$2:$C$401,0)=ROW()-1,1,0))</f>
        <v/>
      </c>
    </row>
    <row r="186">
      <c r="T186" s="5">
        <f>IF(C186="","",S186*X186/100)</f>
        <v/>
      </c>
      <c r="U186" s="5">
        <f>IF(C186="","",W186*V186/100)</f>
        <v/>
      </c>
      <c r="V186" s="5">
        <f>IF(C186="","",S186-T186)</f>
        <v/>
      </c>
      <c r="Y186" s="5">
        <f>IF(C186="","",V186-U186)</f>
        <v/>
      </c>
      <c r="AH186">
        <f>IF(C186="","",N(AH185)+IF(MATCH(C186,$C$2:$C$401,0)=ROW()-1,1,0))</f>
        <v/>
      </c>
    </row>
    <row r="187">
      <c r="T187" s="5">
        <f>IF(C187="","",S187*X187/100)</f>
        <v/>
      </c>
      <c r="U187" s="5">
        <f>IF(C187="","",W187*V187/100)</f>
        <v/>
      </c>
      <c r="V187" s="5">
        <f>IF(C187="","",S187-T187)</f>
        <v/>
      </c>
      <c r="Y187" s="5">
        <f>IF(C187="","",V187-U187)</f>
        <v/>
      </c>
      <c r="AH187">
        <f>IF(C187="","",N(AH186)+IF(MATCH(C187,$C$2:$C$401,0)=ROW()-1,1,0))</f>
        <v/>
      </c>
    </row>
    <row r="188">
      <c r="T188" s="5">
        <f>IF(C188="","",S188*X188/100)</f>
        <v/>
      </c>
      <c r="U188" s="5">
        <f>IF(C188="","",W188*V188/100)</f>
        <v/>
      </c>
      <c r="V188" s="5">
        <f>IF(C188="","",S188-T188)</f>
        <v/>
      </c>
      <c r="Y188" s="5">
        <f>IF(C188="","",V188-U188)</f>
        <v/>
      </c>
      <c r="AH188">
        <f>IF(C188="","",N(AH187)+IF(MATCH(C188,$C$2:$C$401,0)=ROW()-1,1,0))</f>
        <v/>
      </c>
    </row>
    <row r="189">
      <c r="T189" s="5">
        <f>IF(C189="","",S189*X189/100)</f>
        <v/>
      </c>
      <c r="U189" s="5">
        <f>IF(C189="","",W189*V189/100)</f>
        <v/>
      </c>
      <c r="V189" s="5">
        <f>IF(C189="","",S189-T189)</f>
        <v/>
      </c>
      <c r="Y189" s="5">
        <f>IF(C189="","",V189-U189)</f>
        <v/>
      </c>
      <c r="AH189">
        <f>IF(C189="","",N(AH188)+IF(MATCH(C189,$C$2:$C$401,0)=ROW()-1,1,0))</f>
        <v/>
      </c>
    </row>
    <row r="190">
      <c r="T190" s="5">
        <f>IF(C190="","",S190*X190/100)</f>
        <v/>
      </c>
      <c r="U190" s="5">
        <f>IF(C190="","",W190*V190/100)</f>
        <v/>
      </c>
      <c r="V190" s="5">
        <f>IF(C190="","",S190-T190)</f>
        <v/>
      </c>
      <c r="Y190" s="5">
        <f>IF(C190="","",V190-U190)</f>
        <v/>
      </c>
      <c r="AH190">
        <f>IF(C190="","",N(AH189)+IF(MATCH(C190,$C$2:$C$401,0)=ROW()-1,1,0))</f>
        <v/>
      </c>
    </row>
    <row r="191">
      <c r="T191" s="5">
        <f>IF(C191="","",S191*X191/100)</f>
        <v/>
      </c>
      <c r="U191" s="5">
        <f>IF(C191="","",W191*V191/100)</f>
        <v/>
      </c>
      <c r="V191" s="5">
        <f>IF(C191="","",S191-T191)</f>
        <v/>
      </c>
      <c r="Y191" s="5">
        <f>IF(C191="","",V191-U191)</f>
        <v/>
      </c>
      <c r="AH191">
        <f>IF(C191="","",N(AH190)+IF(MATCH(C191,$C$2:$C$401,0)=ROW()-1,1,0))</f>
        <v/>
      </c>
    </row>
    <row r="192">
      <c r="T192" s="5">
        <f>IF(C192="","",S192*X192/100)</f>
        <v/>
      </c>
      <c r="U192" s="5">
        <f>IF(C192="","",W192*V192/100)</f>
        <v/>
      </c>
      <c r="V192" s="5">
        <f>IF(C192="","",S192-T192)</f>
        <v/>
      </c>
      <c r="Y192" s="5">
        <f>IF(C192="","",V192-U192)</f>
        <v/>
      </c>
      <c r="AH192">
        <f>IF(C192="","",N(AH191)+IF(MATCH(C192,$C$2:$C$401,0)=ROW()-1,1,0))</f>
        <v/>
      </c>
    </row>
    <row r="193">
      <c r="T193" s="5">
        <f>IF(C193="","",S193*X193/100)</f>
        <v/>
      </c>
      <c r="U193" s="5">
        <f>IF(C193="","",W193*V193/100)</f>
        <v/>
      </c>
      <c r="V193" s="5">
        <f>IF(C193="","",S193-T193)</f>
        <v/>
      </c>
      <c r="Y193" s="5">
        <f>IF(C193="","",V193-U193)</f>
        <v/>
      </c>
      <c r="AH193">
        <f>IF(C193="","",N(AH192)+IF(MATCH(C193,$C$2:$C$401,0)=ROW()-1,1,0))</f>
        <v/>
      </c>
    </row>
    <row r="194">
      <c r="T194" s="5">
        <f>IF(C194="","",S194*X194/100)</f>
        <v/>
      </c>
      <c r="U194" s="5">
        <f>IF(C194="","",W194*V194/100)</f>
        <v/>
      </c>
      <c r="V194" s="5">
        <f>IF(C194="","",S194-T194)</f>
        <v/>
      </c>
      <c r="Y194" s="5">
        <f>IF(C194="","",V194-U194)</f>
        <v/>
      </c>
      <c r="AH194">
        <f>IF(C194="","",N(AH193)+IF(MATCH(C194,$C$2:$C$401,0)=ROW()-1,1,0))</f>
        <v/>
      </c>
    </row>
    <row r="195">
      <c r="T195" s="5">
        <f>IF(C195="","",S195*X195/100)</f>
        <v/>
      </c>
      <c r="U195" s="5">
        <f>IF(C195="","",W195*V195/100)</f>
        <v/>
      </c>
      <c r="V195" s="5">
        <f>IF(C195="","",S195-T195)</f>
        <v/>
      </c>
      <c r="Y195" s="5">
        <f>IF(C195="","",V195-U195)</f>
        <v/>
      </c>
      <c r="AH195">
        <f>IF(C195="","",N(AH194)+IF(MATCH(C195,$C$2:$C$401,0)=ROW()-1,1,0))</f>
        <v/>
      </c>
    </row>
    <row r="196">
      <c r="T196" s="5">
        <f>IF(C196="","",S196*X196/100)</f>
        <v/>
      </c>
      <c r="U196" s="5">
        <f>IF(C196="","",W196*V196/100)</f>
        <v/>
      </c>
      <c r="V196" s="5">
        <f>IF(C196="","",S196-T196)</f>
        <v/>
      </c>
      <c r="Y196" s="5">
        <f>IF(C196="","",V196-U196)</f>
        <v/>
      </c>
      <c r="AH196">
        <f>IF(C196="","",N(AH195)+IF(MATCH(C196,$C$2:$C$401,0)=ROW()-1,1,0))</f>
        <v/>
      </c>
    </row>
    <row r="197">
      <c r="T197" s="5">
        <f>IF(C197="","",S197*X197/100)</f>
        <v/>
      </c>
      <c r="U197" s="5">
        <f>IF(C197="","",W197*V197/100)</f>
        <v/>
      </c>
      <c r="V197" s="5">
        <f>IF(C197="","",S197-T197)</f>
        <v/>
      </c>
      <c r="Y197" s="5">
        <f>IF(C197="","",V197-U197)</f>
        <v/>
      </c>
      <c r="AH197">
        <f>IF(C197="","",N(AH196)+IF(MATCH(C197,$C$2:$C$401,0)=ROW()-1,1,0))</f>
        <v/>
      </c>
    </row>
    <row r="198">
      <c r="T198" s="5">
        <f>IF(C198="","",S198*X198/100)</f>
        <v/>
      </c>
      <c r="U198" s="5">
        <f>IF(C198="","",W198*V198/100)</f>
        <v/>
      </c>
      <c r="V198" s="5">
        <f>IF(C198="","",S198-T198)</f>
        <v/>
      </c>
      <c r="Y198" s="5">
        <f>IF(C198="","",V198-U198)</f>
        <v/>
      </c>
      <c r="AH198">
        <f>IF(C198="","",N(AH197)+IF(MATCH(C198,$C$2:$C$401,0)=ROW()-1,1,0))</f>
        <v/>
      </c>
    </row>
    <row r="199">
      <c r="T199" s="5">
        <f>IF(C199="","",S199*X199/100)</f>
        <v/>
      </c>
      <c r="U199" s="5">
        <f>IF(C199="","",W199*V199/100)</f>
        <v/>
      </c>
      <c r="V199" s="5">
        <f>IF(C199="","",S199-T199)</f>
        <v/>
      </c>
      <c r="Y199" s="5">
        <f>IF(C199="","",V199-U199)</f>
        <v/>
      </c>
      <c r="AH199">
        <f>IF(C199="","",N(AH198)+IF(MATCH(C199,$C$2:$C$401,0)=ROW()-1,1,0))</f>
        <v/>
      </c>
    </row>
    <row r="200">
      <c r="T200" s="5">
        <f>IF(C200="","",S200*X200/100)</f>
        <v/>
      </c>
      <c r="U200" s="5">
        <f>IF(C200="","",W200*V200/100)</f>
        <v/>
      </c>
      <c r="V200" s="5">
        <f>IF(C200="","",S200-T200)</f>
        <v/>
      </c>
      <c r="Y200" s="5">
        <f>IF(C200="","",V200-U200)</f>
        <v/>
      </c>
      <c r="AH200">
        <f>IF(C200="","",N(AH199)+IF(MATCH(C200,$C$2:$C$401,0)=ROW()-1,1,0))</f>
        <v/>
      </c>
    </row>
    <row r="201">
      <c r="T201" s="5">
        <f>IF(C201="","",S201*X201/100)</f>
        <v/>
      </c>
      <c r="U201" s="5">
        <f>IF(C201="","",W201*V201/100)</f>
        <v/>
      </c>
      <c r="V201" s="5">
        <f>IF(C201="","",S201-T201)</f>
        <v/>
      </c>
      <c r="Y201" s="5">
        <f>IF(C201="","",V201-U201)</f>
        <v/>
      </c>
      <c r="AH201">
        <f>IF(C201="","",N(AH200)+IF(MATCH(C201,$C$2:$C$401,0)=ROW()-1,1,0))</f>
        <v/>
      </c>
    </row>
    <row r="202">
      <c r="T202" s="5">
        <f>IF(C202="","",S202*X202/100)</f>
        <v/>
      </c>
      <c r="U202" s="5">
        <f>IF(C202="","",W202*V202/100)</f>
        <v/>
      </c>
      <c r="V202" s="5">
        <f>IF(C202="","",S202-T202)</f>
        <v/>
      </c>
      <c r="Y202" s="5">
        <f>IF(C202="","",V202-U202)</f>
        <v/>
      </c>
      <c r="AH202">
        <f>IF(C202="","",N(AH201)+IF(MATCH(C202,$C$2:$C$401,0)=ROW()-1,1,0))</f>
        <v/>
      </c>
    </row>
    <row r="203">
      <c r="T203" s="5">
        <f>IF(C203="","",S203*X203/100)</f>
        <v/>
      </c>
      <c r="U203" s="5">
        <f>IF(C203="","",W203*V203/100)</f>
        <v/>
      </c>
      <c r="V203" s="5">
        <f>IF(C203="","",S203-T203)</f>
        <v/>
      </c>
      <c r="Y203" s="5">
        <f>IF(C203="","",V203-U203)</f>
        <v/>
      </c>
      <c r="AH203">
        <f>IF(C203="","",N(AH202)+IF(MATCH(C203,$C$2:$C$401,0)=ROW()-1,1,0))</f>
        <v/>
      </c>
    </row>
    <row r="204">
      <c r="T204" s="5">
        <f>IF(C204="","",S204*X204/100)</f>
        <v/>
      </c>
      <c r="U204" s="5">
        <f>IF(C204="","",W204*V204/100)</f>
        <v/>
      </c>
      <c r="V204" s="5">
        <f>IF(C204="","",S204-T204)</f>
        <v/>
      </c>
      <c r="Y204" s="5">
        <f>IF(C204="","",V204-U204)</f>
        <v/>
      </c>
      <c r="AH204">
        <f>IF(C204="","",N(AH203)+IF(MATCH(C204,$C$2:$C$401,0)=ROW()-1,1,0))</f>
        <v/>
      </c>
    </row>
    <row r="205">
      <c r="T205" s="5">
        <f>IF(C205="","",S205*X205/100)</f>
        <v/>
      </c>
      <c r="U205" s="5">
        <f>IF(C205="","",W205*V205/100)</f>
        <v/>
      </c>
      <c r="V205" s="5">
        <f>IF(C205="","",S205-T205)</f>
        <v/>
      </c>
      <c r="Y205" s="5">
        <f>IF(C205="","",V205-U205)</f>
        <v/>
      </c>
      <c r="AH205">
        <f>IF(C205="","",N(AH204)+IF(MATCH(C205,$C$2:$C$401,0)=ROW()-1,1,0))</f>
        <v/>
      </c>
    </row>
    <row r="206">
      <c r="T206" s="5">
        <f>IF(C206="","",S206*X206/100)</f>
        <v/>
      </c>
      <c r="U206" s="5">
        <f>IF(C206="","",W206*V206/100)</f>
        <v/>
      </c>
      <c r="V206" s="5">
        <f>IF(C206="","",S206-T206)</f>
        <v/>
      </c>
      <c r="Y206" s="5">
        <f>IF(C206="","",V206-U206)</f>
        <v/>
      </c>
      <c r="AH206">
        <f>IF(C206="","",N(AH205)+IF(MATCH(C206,$C$2:$C$401,0)=ROW()-1,1,0))</f>
        <v/>
      </c>
    </row>
    <row r="207">
      <c r="T207" s="5">
        <f>IF(C207="","",S207*X207/100)</f>
        <v/>
      </c>
      <c r="U207" s="5">
        <f>IF(C207="","",W207*V207/100)</f>
        <v/>
      </c>
      <c r="V207" s="5">
        <f>IF(C207="","",S207-T207)</f>
        <v/>
      </c>
      <c r="Y207" s="5">
        <f>IF(C207="","",V207-U207)</f>
        <v/>
      </c>
      <c r="AH207">
        <f>IF(C207="","",N(AH206)+IF(MATCH(C207,$C$2:$C$401,0)=ROW()-1,1,0))</f>
        <v/>
      </c>
    </row>
    <row r="208">
      <c r="T208" s="5">
        <f>IF(C208="","",S208*X208/100)</f>
        <v/>
      </c>
      <c r="U208" s="5">
        <f>IF(C208="","",W208*V208/100)</f>
        <v/>
      </c>
      <c r="V208" s="5">
        <f>IF(C208="","",S208-T208)</f>
        <v/>
      </c>
      <c r="Y208" s="5">
        <f>IF(C208="","",V208-U208)</f>
        <v/>
      </c>
      <c r="AH208">
        <f>IF(C208="","",N(AH207)+IF(MATCH(C208,$C$2:$C$401,0)=ROW()-1,1,0))</f>
        <v/>
      </c>
    </row>
    <row r="209">
      <c r="T209" s="5">
        <f>IF(C209="","",S209*X209/100)</f>
        <v/>
      </c>
      <c r="U209" s="5">
        <f>IF(C209="","",W209*V209/100)</f>
        <v/>
      </c>
      <c r="V209" s="5">
        <f>IF(C209="","",S209-T209)</f>
        <v/>
      </c>
      <c r="Y209" s="5">
        <f>IF(C209="","",V209-U209)</f>
        <v/>
      </c>
      <c r="AH209">
        <f>IF(C209="","",N(AH208)+IF(MATCH(C209,$C$2:$C$401,0)=ROW()-1,1,0))</f>
        <v/>
      </c>
    </row>
    <row r="210">
      <c r="T210" s="5">
        <f>IF(C210="","",S210*X210/100)</f>
        <v/>
      </c>
      <c r="U210" s="5">
        <f>IF(C210="","",W210*V210/100)</f>
        <v/>
      </c>
      <c r="V210" s="5">
        <f>IF(C210="","",S210-T210)</f>
        <v/>
      </c>
      <c r="Y210" s="5">
        <f>IF(C210="","",V210-U210)</f>
        <v/>
      </c>
      <c r="AH210">
        <f>IF(C210="","",N(AH209)+IF(MATCH(C210,$C$2:$C$401,0)=ROW()-1,1,0))</f>
        <v/>
      </c>
    </row>
    <row r="211">
      <c r="T211" s="5">
        <f>IF(C211="","",S211*X211/100)</f>
        <v/>
      </c>
      <c r="U211" s="5">
        <f>IF(C211="","",W211*V211/100)</f>
        <v/>
      </c>
      <c r="V211" s="5">
        <f>IF(C211="","",S211-T211)</f>
        <v/>
      </c>
      <c r="Y211" s="5">
        <f>IF(C211="","",V211-U211)</f>
        <v/>
      </c>
      <c r="AH211">
        <f>IF(C211="","",N(AH210)+IF(MATCH(C211,$C$2:$C$401,0)=ROW()-1,1,0))</f>
        <v/>
      </c>
    </row>
    <row r="212">
      <c r="T212" s="5">
        <f>IF(C212="","",S212*X212/100)</f>
        <v/>
      </c>
      <c r="U212" s="5">
        <f>IF(C212="","",W212*V212/100)</f>
        <v/>
      </c>
      <c r="V212" s="5">
        <f>IF(C212="","",S212-T212)</f>
        <v/>
      </c>
      <c r="Y212" s="5">
        <f>IF(C212="","",V212-U212)</f>
        <v/>
      </c>
      <c r="AH212">
        <f>IF(C212="","",N(AH211)+IF(MATCH(C212,$C$2:$C$401,0)=ROW()-1,1,0))</f>
        <v/>
      </c>
    </row>
    <row r="213">
      <c r="T213" s="5">
        <f>IF(C213="","",S213*X213/100)</f>
        <v/>
      </c>
      <c r="U213" s="5">
        <f>IF(C213="","",W213*V213/100)</f>
        <v/>
      </c>
      <c r="V213" s="5">
        <f>IF(C213="","",S213-T213)</f>
        <v/>
      </c>
      <c r="Y213" s="5">
        <f>IF(C213="","",V213-U213)</f>
        <v/>
      </c>
      <c r="AH213">
        <f>IF(C213="","",N(AH212)+IF(MATCH(C213,$C$2:$C$401,0)=ROW()-1,1,0))</f>
        <v/>
      </c>
    </row>
    <row r="214">
      <c r="T214" s="5">
        <f>IF(C214="","",S214*X214/100)</f>
        <v/>
      </c>
      <c r="U214" s="5">
        <f>IF(C214="","",W214*V214/100)</f>
        <v/>
      </c>
      <c r="V214" s="5">
        <f>IF(C214="","",S214-T214)</f>
        <v/>
      </c>
      <c r="Y214" s="5">
        <f>IF(C214="","",V214-U214)</f>
        <v/>
      </c>
      <c r="AH214">
        <f>IF(C214="","",N(AH213)+IF(MATCH(C214,$C$2:$C$401,0)=ROW()-1,1,0))</f>
        <v/>
      </c>
    </row>
    <row r="215">
      <c r="T215" s="5">
        <f>IF(C215="","",S215*X215/100)</f>
        <v/>
      </c>
      <c r="U215" s="5">
        <f>IF(C215="","",W215*V215/100)</f>
        <v/>
      </c>
      <c r="V215" s="5">
        <f>IF(C215="","",S215-T215)</f>
        <v/>
      </c>
      <c r="Y215" s="5">
        <f>IF(C215="","",V215-U215)</f>
        <v/>
      </c>
      <c r="AH215">
        <f>IF(C215="","",N(AH214)+IF(MATCH(C215,$C$2:$C$401,0)=ROW()-1,1,0))</f>
        <v/>
      </c>
    </row>
    <row r="216">
      <c r="T216" s="5">
        <f>IF(C216="","",S216*X216/100)</f>
        <v/>
      </c>
      <c r="U216" s="5">
        <f>IF(C216="","",W216*V216/100)</f>
        <v/>
      </c>
      <c r="V216" s="5">
        <f>IF(C216="","",S216-T216)</f>
        <v/>
      </c>
      <c r="Y216" s="5">
        <f>IF(C216="","",V216-U216)</f>
        <v/>
      </c>
      <c r="AH216">
        <f>IF(C216="","",N(AH215)+IF(MATCH(C216,$C$2:$C$401,0)=ROW()-1,1,0))</f>
        <v/>
      </c>
    </row>
    <row r="217">
      <c r="T217" s="5">
        <f>IF(C217="","",S217*X217/100)</f>
        <v/>
      </c>
      <c r="U217" s="5">
        <f>IF(C217="","",W217*V217/100)</f>
        <v/>
      </c>
      <c r="V217" s="5">
        <f>IF(C217="","",S217-T217)</f>
        <v/>
      </c>
      <c r="Y217" s="5">
        <f>IF(C217="","",V217-U217)</f>
        <v/>
      </c>
      <c r="AH217">
        <f>IF(C217="","",N(AH216)+IF(MATCH(C217,$C$2:$C$401,0)=ROW()-1,1,0))</f>
        <v/>
      </c>
    </row>
    <row r="218">
      <c r="T218" s="5">
        <f>IF(C218="","",S218*X218/100)</f>
        <v/>
      </c>
      <c r="U218" s="5">
        <f>IF(C218="","",W218*V218/100)</f>
        <v/>
      </c>
      <c r="V218" s="5">
        <f>IF(C218="","",S218-T218)</f>
        <v/>
      </c>
      <c r="Y218" s="5">
        <f>IF(C218="","",V218-U218)</f>
        <v/>
      </c>
      <c r="AH218">
        <f>IF(C218="","",N(AH217)+IF(MATCH(C218,$C$2:$C$401,0)=ROW()-1,1,0))</f>
        <v/>
      </c>
    </row>
    <row r="219">
      <c r="T219" s="5">
        <f>IF(C219="","",S219*X219/100)</f>
        <v/>
      </c>
      <c r="U219" s="5">
        <f>IF(C219="","",W219*V219/100)</f>
        <v/>
      </c>
      <c r="V219" s="5">
        <f>IF(C219="","",S219-T219)</f>
        <v/>
      </c>
      <c r="Y219" s="5">
        <f>IF(C219="","",V219-U219)</f>
        <v/>
      </c>
      <c r="AH219">
        <f>IF(C219="","",N(AH218)+IF(MATCH(C219,$C$2:$C$401,0)=ROW()-1,1,0))</f>
        <v/>
      </c>
    </row>
    <row r="220">
      <c r="T220" s="5">
        <f>IF(C220="","",S220*X220/100)</f>
        <v/>
      </c>
      <c r="U220" s="5">
        <f>IF(C220="","",W220*V220/100)</f>
        <v/>
      </c>
      <c r="V220" s="5">
        <f>IF(C220="","",S220-T220)</f>
        <v/>
      </c>
      <c r="Y220" s="5">
        <f>IF(C220="","",V220-U220)</f>
        <v/>
      </c>
      <c r="AH220">
        <f>IF(C220="","",N(AH219)+IF(MATCH(C220,$C$2:$C$401,0)=ROW()-1,1,0))</f>
        <v/>
      </c>
    </row>
    <row r="221">
      <c r="T221" s="5">
        <f>IF(C221="","",S221*X221/100)</f>
        <v/>
      </c>
      <c r="U221" s="5">
        <f>IF(C221="","",W221*V221/100)</f>
        <v/>
      </c>
      <c r="V221" s="5">
        <f>IF(C221="","",S221-T221)</f>
        <v/>
      </c>
      <c r="Y221" s="5">
        <f>IF(C221="","",V221-U221)</f>
        <v/>
      </c>
      <c r="AH221">
        <f>IF(C221="","",N(AH220)+IF(MATCH(C221,$C$2:$C$401,0)=ROW()-1,1,0))</f>
        <v/>
      </c>
    </row>
    <row r="222">
      <c r="T222" s="5">
        <f>IF(C222="","",S222*X222/100)</f>
        <v/>
      </c>
      <c r="U222" s="5">
        <f>IF(C222="","",W222*V222/100)</f>
        <v/>
      </c>
      <c r="V222" s="5">
        <f>IF(C222="","",S222-T222)</f>
        <v/>
      </c>
      <c r="Y222" s="5">
        <f>IF(C222="","",V222-U222)</f>
        <v/>
      </c>
      <c r="AH222">
        <f>IF(C222="","",N(AH221)+IF(MATCH(C222,$C$2:$C$401,0)=ROW()-1,1,0))</f>
        <v/>
      </c>
    </row>
    <row r="223">
      <c r="T223" s="5">
        <f>IF(C223="","",S223*X223/100)</f>
        <v/>
      </c>
      <c r="U223" s="5">
        <f>IF(C223="","",W223*V223/100)</f>
        <v/>
      </c>
      <c r="V223" s="5">
        <f>IF(C223="","",S223-T223)</f>
        <v/>
      </c>
      <c r="Y223" s="5">
        <f>IF(C223="","",V223-U223)</f>
        <v/>
      </c>
      <c r="AH223">
        <f>IF(C223="","",N(AH222)+IF(MATCH(C223,$C$2:$C$401,0)=ROW()-1,1,0))</f>
        <v/>
      </c>
    </row>
    <row r="224">
      <c r="T224" s="5">
        <f>IF(C224="","",S224*X224/100)</f>
        <v/>
      </c>
      <c r="U224" s="5">
        <f>IF(C224="","",W224*V224/100)</f>
        <v/>
      </c>
      <c r="V224" s="5">
        <f>IF(C224="","",S224-T224)</f>
        <v/>
      </c>
      <c r="Y224" s="5">
        <f>IF(C224="","",V224-U224)</f>
        <v/>
      </c>
      <c r="AH224">
        <f>IF(C224="","",N(AH223)+IF(MATCH(C224,$C$2:$C$401,0)=ROW()-1,1,0))</f>
        <v/>
      </c>
    </row>
    <row r="225">
      <c r="T225" s="5">
        <f>IF(C225="","",S225*X225/100)</f>
        <v/>
      </c>
      <c r="U225" s="5">
        <f>IF(C225="","",W225*V225/100)</f>
        <v/>
      </c>
      <c r="V225" s="5">
        <f>IF(C225="","",S225-T225)</f>
        <v/>
      </c>
      <c r="Y225" s="5">
        <f>IF(C225="","",V225-U225)</f>
        <v/>
      </c>
      <c r="AH225">
        <f>IF(C225="","",N(AH224)+IF(MATCH(C225,$C$2:$C$401,0)=ROW()-1,1,0))</f>
        <v/>
      </c>
    </row>
    <row r="226">
      <c r="T226" s="5">
        <f>IF(C226="","",S226*X226/100)</f>
        <v/>
      </c>
      <c r="U226" s="5">
        <f>IF(C226="","",W226*V226/100)</f>
        <v/>
      </c>
      <c r="V226" s="5">
        <f>IF(C226="","",S226-T226)</f>
        <v/>
      </c>
      <c r="Y226" s="5">
        <f>IF(C226="","",V226-U226)</f>
        <v/>
      </c>
      <c r="AH226">
        <f>IF(C226="","",N(AH225)+IF(MATCH(C226,$C$2:$C$401,0)=ROW()-1,1,0))</f>
        <v/>
      </c>
    </row>
    <row r="227">
      <c r="T227" s="5">
        <f>IF(C227="","",S227*X227/100)</f>
        <v/>
      </c>
      <c r="U227" s="5">
        <f>IF(C227="","",W227*V227/100)</f>
        <v/>
      </c>
      <c r="V227" s="5">
        <f>IF(C227="","",S227-T227)</f>
        <v/>
      </c>
      <c r="Y227" s="5">
        <f>IF(C227="","",V227-U227)</f>
        <v/>
      </c>
      <c r="AH227">
        <f>IF(C227="","",N(AH226)+IF(MATCH(C227,$C$2:$C$401,0)=ROW()-1,1,0))</f>
        <v/>
      </c>
    </row>
    <row r="228">
      <c r="T228" s="5">
        <f>IF(C228="","",S228*X228/100)</f>
        <v/>
      </c>
      <c r="U228" s="5">
        <f>IF(C228="","",W228*V228/100)</f>
        <v/>
      </c>
      <c r="V228" s="5">
        <f>IF(C228="","",S228-T228)</f>
        <v/>
      </c>
      <c r="Y228" s="5">
        <f>IF(C228="","",V228-U228)</f>
        <v/>
      </c>
      <c r="AH228">
        <f>IF(C228="","",N(AH227)+IF(MATCH(C228,$C$2:$C$401,0)=ROW()-1,1,0))</f>
        <v/>
      </c>
    </row>
    <row r="229">
      <c r="T229" s="5">
        <f>IF(C229="","",S229*X229/100)</f>
        <v/>
      </c>
      <c r="U229" s="5">
        <f>IF(C229="","",W229*V229/100)</f>
        <v/>
      </c>
      <c r="V229" s="5">
        <f>IF(C229="","",S229-T229)</f>
        <v/>
      </c>
      <c r="Y229" s="5">
        <f>IF(C229="","",V229-U229)</f>
        <v/>
      </c>
      <c r="AH229">
        <f>IF(C229="","",N(AH228)+IF(MATCH(C229,$C$2:$C$401,0)=ROW()-1,1,0))</f>
        <v/>
      </c>
    </row>
    <row r="230">
      <c r="T230" s="5">
        <f>IF(C230="","",S230*X230/100)</f>
        <v/>
      </c>
      <c r="U230" s="5">
        <f>IF(C230="","",W230*V230/100)</f>
        <v/>
      </c>
      <c r="V230" s="5">
        <f>IF(C230="","",S230-T230)</f>
        <v/>
      </c>
      <c r="Y230" s="5">
        <f>IF(C230="","",V230-U230)</f>
        <v/>
      </c>
      <c r="AH230">
        <f>IF(C230="","",N(AH229)+IF(MATCH(C230,$C$2:$C$401,0)=ROW()-1,1,0))</f>
        <v/>
      </c>
    </row>
    <row r="231">
      <c r="T231" s="5">
        <f>IF(C231="","",S231*X231/100)</f>
        <v/>
      </c>
      <c r="U231" s="5">
        <f>IF(C231="","",W231*V231/100)</f>
        <v/>
      </c>
      <c r="V231" s="5">
        <f>IF(C231="","",S231-T231)</f>
        <v/>
      </c>
      <c r="Y231" s="5">
        <f>IF(C231="","",V231-U231)</f>
        <v/>
      </c>
      <c r="AH231">
        <f>IF(C231="","",N(AH230)+IF(MATCH(C231,$C$2:$C$401,0)=ROW()-1,1,0))</f>
        <v/>
      </c>
    </row>
    <row r="232">
      <c r="T232" s="5">
        <f>IF(C232="","",S232*X232/100)</f>
        <v/>
      </c>
      <c r="U232" s="5">
        <f>IF(C232="","",W232*V232/100)</f>
        <v/>
      </c>
      <c r="V232" s="5">
        <f>IF(C232="","",S232-T232)</f>
        <v/>
      </c>
      <c r="Y232" s="5">
        <f>IF(C232="","",V232-U232)</f>
        <v/>
      </c>
      <c r="AH232">
        <f>IF(C232="","",N(AH231)+IF(MATCH(C232,$C$2:$C$401,0)=ROW()-1,1,0))</f>
        <v/>
      </c>
    </row>
    <row r="233">
      <c r="T233" s="5">
        <f>IF(C233="","",S233*X233/100)</f>
        <v/>
      </c>
      <c r="U233" s="5">
        <f>IF(C233="","",W233*V233/100)</f>
        <v/>
      </c>
      <c r="V233" s="5">
        <f>IF(C233="","",S233-T233)</f>
        <v/>
      </c>
      <c r="Y233" s="5">
        <f>IF(C233="","",V233-U233)</f>
        <v/>
      </c>
      <c r="AH233">
        <f>IF(C233="","",N(AH232)+IF(MATCH(C233,$C$2:$C$401,0)=ROW()-1,1,0))</f>
        <v/>
      </c>
    </row>
    <row r="234">
      <c r="T234" s="5">
        <f>IF(C234="","",S234*X234/100)</f>
        <v/>
      </c>
      <c r="U234" s="5">
        <f>IF(C234="","",W234*V234/100)</f>
        <v/>
      </c>
      <c r="V234" s="5">
        <f>IF(C234="","",S234-T234)</f>
        <v/>
      </c>
      <c r="Y234" s="5">
        <f>IF(C234="","",V234-U234)</f>
        <v/>
      </c>
      <c r="AH234">
        <f>IF(C234="","",N(AH233)+IF(MATCH(C234,$C$2:$C$401,0)=ROW()-1,1,0))</f>
        <v/>
      </c>
    </row>
    <row r="235">
      <c r="T235" s="5">
        <f>IF(C235="","",S235*X235/100)</f>
        <v/>
      </c>
      <c r="U235" s="5">
        <f>IF(C235="","",W235*V235/100)</f>
        <v/>
      </c>
      <c r="V235" s="5">
        <f>IF(C235="","",S235-T235)</f>
        <v/>
      </c>
      <c r="Y235" s="5">
        <f>IF(C235="","",V235-U235)</f>
        <v/>
      </c>
      <c r="AH235">
        <f>IF(C235="","",N(AH234)+IF(MATCH(C235,$C$2:$C$401,0)=ROW()-1,1,0))</f>
        <v/>
      </c>
    </row>
    <row r="236">
      <c r="T236" s="5">
        <f>IF(C236="","",S236*X236/100)</f>
        <v/>
      </c>
      <c r="U236" s="5">
        <f>IF(C236="","",W236*V236/100)</f>
        <v/>
      </c>
      <c r="V236" s="5">
        <f>IF(C236="","",S236-T236)</f>
        <v/>
      </c>
      <c r="Y236" s="5">
        <f>IF(C236="","",V236-U236)</f>
        <v/>
      </c>
      <c r="AH236">
        <f>IF(C236="","",N(AH235)+IF(MATCH(C236,$C$2:$C$401,0)=ROW()-1,1,0))</f>
        <v/>
      </c>
    </row>
    <row r="237">
      <c r="T237" s="5">
        <f>IF(C237="","",S237*X237/100)</f>
        <v/>
      </c>
      <c r="U237" s="5">
        <f>IF(C237="","",W237*V237/100)</f>
        <v/>
      </c>
      <c r="V237" s="5">
        <f>IF(C237="","",S237-T237)</f>
        <v/>
      </c>
      <c r="Y237" s="5">
        <f>IF(C237="","",V237-U237)</f>
        <v/>
      </c>
      <c r="AH237">
        <f>IF(C237="","",N(AH236)+IF(MATCH(C237,$C$2:$C$401,0)=ROW()-1,1,0))</f>
        <v/>
      </c>
    </row>
    <row r="238">
      <c r="T238" s="5">
        <f>IF(C238="","",S238*X238/100)</f>
        <v/>
      </c>
      <c r="U238" s="5">
        <f>IF(C238="","",W238*V238/100)</f>
        <v/>
      </c>
      <c r="V238" s="5">
        <f>IF(C238="","",S238-T238)</f>
        <v/>
      </c>
      <c r="Y238" s="5">
        <f>IF(C238="","",V238-U238)</f>
        <v/>
      </c>
      <c r="AH238">
        <f>IF(C238="","",N(AH237)+IF(MATCH(C238,$C$2:$C$401,0)=ROW()-1,1,0))</f>
        <v/>
      </c>
    </row>
    <row r="239">
      <c r="T239" s="5">
        <f>IF(C239="","",S239*X239/100)</f>
        <v/>
      </c>
      <c r="U239" s="5">
        <f>IF(C239="","",W239*V239/100)</f>
        <v/>
      </c>
      <c r="V239" s="5">
        <f>IF(C239="","",S239-T239)</f>
        <v/>
      </c>
      <c r="Y239" s="5">
        <f>IF(C239="","",V239-U239)</f>
        <v/>
      </c>
      <c r="AH239">
        <f>IF(C239="","",N(AH238)+IF(MATCH(C239,$C$2:$C$401,0)=ROW()-1,1,0))</f>
        <v/>
      </c>
    </row>
    <row r="240">
      <c r="T240" s="5">
        <f>IF(C240="","",S240*X240/100)</f>
        <v/>
      </c>
      <c r="U240" s="5">
        <f>IF(C240="","",W240*V240/100)</f>
        <v/>
      </c>
      <c r="V240" s="5">
        <f>IF(C240="","",S240-T240)</f>
        <v/>
      </c>
      <c r="Y240" s="5">
        <f>IF(C240="","",V240-U240)</f>
        <v/>
      </c>
      <c r="AH240">
        <f>IF(C240="","",N(AH239)+IF(MATCH(C240,$C$2:$C$401,0)=ROW()-1,1,0))</f>
        <v/>
      </c>
    </row>
    <row r="241">
      <c r="T241" s="5">
        <f>IF(C241="","",S241*X241/100)</f>
        <v/>
      </c>
      <c r="U241" s="5">
        <f>IF(C241="","",W241*V241/100)</f>
        <v/>
      </c>
      <c r="V241" s="5">
        <f>IF(C241="","",S241-T241)</f>
        <v/>
      </c>
      <c r="Y241" s="5">
        <f>IF(C241="","",V241-U241)</f>
        <v/>
      </c>
      <c r="AH241">
        <f>IF(C241="","",N(AH240)+IF(MATCH(C241,$C$2:$C$401,0)=ROW()-1,1,0))</f>
        <v/>
      </c>
    </row>
    <row r="242">
      <c r="T242" s="5">
        <f>IF(C242="","",S242*X242/100)</f>
        <v/>
      </c>
      <c r="U242" s="5">
        <f>IF(C242="","",W242*V242/100)</f>
        <v/>
      </c>
      <c r="V242" s="5">
        <f>IF(C242="","",S242-T242)</f>
        <v/>
      </c>
      <c r="Y242" s="5">
        <f>IF(C242="","",V242-U242)</f>
        <v/>
      </c>
      <c r="AH242">
        <f>IF(C242="","",N(AH241)+IF(MATCH(C242,$C$2:$C$401,0)=ROW()-1,1,0))</f>
        <v/>
      </c>
    </row>
    <row r="243">
      <c r="T243" s="5">
        <f>IF(C243="","",S243*X243/100)</f>
        <v/>
      </c>
      <c r="U243" s="5">
        <f>IF(C243="","",W243*V243/100)</f>
        <v/>
      </c>
      <c r="V243" s="5">
        <f>IF(C243="","",S243-T243)</f>
        <v/>
      </c>
      <c r="Y243" s="5">
        <f>IF(C243="","",V243-U243)</f>
        <v/>
      </c>
      <c r="AH243">
        <f>IF(C243="","",N(AH242)+IF(MATCH(C243,$C$2:$C$401,0)=ROW()-1,1,0))</f>
        <v/>
      </c>
    </row>
    <row r="244">
      <c r="T244" s="5">
        <f>IF(C244="","",S244*X244/100)</f>
        <v/>
      </c>
      <c r="U244" s="5">
        <f>IF(C244="","",W244*V244/100)</f>
        <v/>
      </c>
      <c r="V244" s="5">
        <f>IF(C244="","",S244-T244)</f>
        <v/>
      </c>
      <c r="Y244" s="5">
        <f>IF(C244="","",V244-U244)</f>
        <v/>
      </c>
      <c r="AH244">
        <f>IF(C244="","",N(AH243)+IF(MATCH(C244,$C$2:$C$401,0)=ROW()-1,1,0))</f>
        <v/>
      </c>
    </row>
    <row r="245">
      <c r="T245" s="5">
        <f>IF(C245="","",S245*X245/100)</f>
        <v/>
      </c>
      <c r="U245" s="5">
        <f>IF(C245="","",W245*V245/100)</f>
        <v/>
      </c>
      <c r="V245" s="5">
        <f>IF(C245="","",S245-T245)</f>
        <v/>
      </c>
      <c r="Y245" s="5">
        <f>IF(C245="","",V245-U245)</f>
        <v/>
      </c>
      <c r="AH245">
        <f>IF(C245="","",N(AH244)+IF(MATCH(C245,$C$2:$C$401,0)=ROW()-1,1,0))</f>
        <v/>
      </c>
    </row>
    <row r="246">
      <c r="T246" s="5">
        <f>IF(C246="","",S246*X246/100)</f>
        <v/>
      </c>
      <c r="U246" s="5">
        <f>IF(C246="","",W246*V246/100)</f>
        <v/>
      </c>
      <c r="V246" s="5">
        <f>IF(C246="","",S246-T246)</f>
        <v/>
      </c>
      <c r="Y246" s="5">
        <f>IF(C246="","",V246-U246)</f>
        <v/>
      </c>
      <c r="AH246">
        <f>IF(C246="","",N(AH245)+IF(MATCH(C246,$C$2:$C$401,0)=ROW()-1,1,0))</f>
        <v/>
      </c>
    </row>
    <row r="247">
      <c r="T247" s="5">
        <f>IF(C247="","",S247*X247/100)</f>
        <v/>
      </c>
      <c r="U247" s="5">
        <f>IF(C247="","",W247*V247/100)</f>
        <v/>
      </c>
      <c r="V247" s="5">
        <f>IF(C247="","",S247-T247)</f>
        <v/>
      </c>
      <c r="Y247" s="5">
        <f>IF(C247="","",V247-U247)</f>
        <v/>
      </c>
      <c r="AH247">
        <f>IF(C247="","",N(AH246)+IF(MATCH(C247,$C$2:$C$401,0)=ROW()-1,1,0))</f>
        <v/>
      </c>
    </row>
    <row r="248">
      <c r="T248" s="5">
        <f>IF(C248="","",S248*X248/100)</f>
        <v/>
      </c>
      <c r="U248" s="5">
        <f>IF(C248="","",W248*V248/100)</f>
        <v/>
      </c>
      <c r="V248" s="5">
        <f>IF(C248="","",S248-T248)</f>
        <v/>
      </c>
      <c r="Y248" s="5">
        <f>IF(C248="","",V248-U248)</f>
        <v/>
      </c>
      <c r="AH248">
        <f>IF(C248="","",N(AH247)+IF(MATCH(C248,$C$2:$C$401,0)=ROW()-1,1,0))</f>
        <v/>
      </c>
    </row>
    <row r="249">
      <c r="T249" s="5">
        <f>IF(C249="","",S249*X249/100)</f>
        <v/>
      </c>
      <c r="U249" s="5">
        <f>IF(C249="","",W249*V249/100)</f>
        <v/>
      </c>
      <c r="V249" s="5">
        <f>IF(C249="","",S249-T249)</f>
        <v/>
      </c>
      <c r="Y249" s="5">
        <f>IF(C249="","",V249-U249)</f>
        <v/>
      </c>
      <c r="AH249">
        <f>IF(C249="","",N(AH248)+IF(MATCH(C249,$C$2:$C$401,0)=ROW()-1,1,0))</f>
        <v/>
      </c>
    </row>
    <row r="250">
      <c r="T250" s="5">
        <f>IF(C250="","",S250*X250/100)</f>
        <v/>
      </c>
      <c r="U250" s="5">
        <f>IF(C250="","",W250*V250/100)</f>
        <v/>
      </c>
      <c r="V250" s="5">
        <f>IF(C250="","",S250-T250)</f>
        <v/>
      </c>
      <c r="Y250" s="5">
        <f>IF(C250="","",V250-U250)</f>
        <v/>
      </c>
      <c r="AH250">
        <f>IF(C250="","",N(AH249)+IF(MATCH(C250,$C$2:$C$401,0)=ROW()-1,1,0))</f>
        <v/>
      </c>
    </row>
    <row r="251">
      <c r="T251" s="5">
        <f>IF(C251="","",S251*X251/100)</f>
        <v/>
      </c>
      <c r="U251" s="5">
        <f>IF(C251="","",W251*V251/100)</f>
        <v/>
      </c>
      <c r="V251" s="5">
        <f>IF(C251="","",S251-T251)</f>
        <v/>
      </c>
      <c r="Y251" s="5">
        <f>IF(C251="","",V251-U251)</f>
        <v/>
      </c>
      <c r="AH251">
        <f>IF(C251="","",N(AH250)+IF(MATCH(C251,$C$2:$C$401,0)=ROW()-1,1,0))</f>
        <v/>
      </c>
    </row>
    <row r="252">
      <c r="T252" s="5">
        <f>IF(C252="","",S252*X252/100)</f>
        <v/>
      </c>
      <c r="U252" s="5">
        <f>IF(C252="","",W252*V252/100)</f>
        <v/>
      </c>
      <c r="V252" s="5">
        <f>IF(C252="","",S252-T252)</f>
        <v/>
      </c>
      <c r="Y252" s="5">
        <f>IF(C252="","",V252-U252)</f>
        <v/>
      </c>
      <c r="AH252">
        <f>IF(C252="","",N(AH251)+IF(MATCH(C252,$C$2:$C$401,0)=ROW()-1,1,0))</f>
        <v/>
      </c>
    </row>
    <row r="253">
      <c r="T253" s="5">
        <f>IF(C253="","",S253*X253/100)</f>
        <v/>
      </c>
      <c r="U253" s="5">
        <f>IF(C253="","",W253*V253/100)</f>
        <v/>
      </c>
      <c r="V253" s="5">
        <f>IF(C253="","",S253-T253)</f>
        <v/>
      </c>
      <c r="Y253" s="5">
        <f>IF(C253="","",V253-U253)</f>
        <v/>
      </c>
      <c r="AH253">
        <f>IF(C253="","",N(AH252)+IF(MATCH(C253,$C$2:$C$401,0)=ROW()-1,1,0))</f>
        <v/>
      </c>
    </row>
    <row r="254">
      <c r="T254" s="5">
        <f>IF(C254="","",S254*X254/100)</f>
        <v/>
      </c>
      <c r="U254" s="5">
        <f>IF(C254="","",W254*V254/100)</f>
        <v/>
      </c>
      <c r="V254" s="5">
        <f>IF(C254="","",S254-T254)</f>
        <v/>
      </c>
      <c r="Y254" s="5">
        <f>IF(C254="","",V254-U254)</f>
        <v/>
      </c>
      <c r="AH254">
        <f>IF(C254="","",N(AH253)+IF(MATCH(C254,$C$2:$C$401,0)=ROW()-1,1,0))</f>
        <v/>
      </c>
    </row>
    <row r="255">
      <c r="T255" s="5">
        <f>IF(C255="","",S255*X255/100)</f>
        <v/>
      </c>
      <c r="U255" s="5">
        <f>IF(C255="","",W255*V255/100)</f>
        <v/>
      </c>
      <c r="V255" s="5">
        <f>IF(C255="","",S255-T255)</f>
        <v/>
      </c>
      <c r="Y255" s="5">
        <f>IF(C255="","",V255-U255)</f>
        <v/>
      </c>
      <c r="AH255">
        <f>IF(C255="","",N(AH254)+IF(MATCH(C255,$C$2:$C$401,0)=ROW()-1,1,0))</f>
        <v/>
      </c>
    </row>
    <row r="256">
      <c r="T256" s="5">
        <f>IF(C256="","",S256*X256/100)</f>
        <v/>
      </c>
      <c r="U256" s="5">
        <f>IF(C256="","",W256*V256/100)</f>
        <v/>
      </c>
      <c r="V256" s="5">
        <f>IF(C256="","",S256-T256)</f>
        <v/>
      </c>
      <c r="Y256" s="5">
        <f>IF(C256="","",V256-U256)</f>
        <v/>
      </c>
      <c r="AH256">
        <f>IF(C256="","",N(AH255)+IF(MATCH(C256,$C$2:$C$401,0)=ROW()-1,1,0))</f>
        <v/>
      </c>
    </row>
    <row r="257">
      <c r="T257" s="5">
        <f>IF(C257="","",S257*X257/100)</f>
        <v/>
      </c>
      <c r="U257" s="5">
        <f>IF(C257="","",W257*V257/100)</f>
        <v/>
      </c>
      <c r="V257" s="5">
        <f>IF(C257="","",S257-T257)</f>
        <v/>
      </c>
      <c r="Y257" s="5">
        <f>IF(C257="","",V257-U257)</f>
        <v/>
      </c>
      <c r="AH257">
        <f>IF(C257="","",N(AH256)+IF(MATCH(C257,$C$2:$C$401,0)=ROW()-1,1,0))</f>
        <v/>
      </c>
    </row>
    <row r="258">
      <c r="T258" s="5">
        <f>IF(C258="","",S258*X258/100)</f>
        <v/>
      </c>
      <c r="U258" s="5">
        <f>IF(C258="","",W258*V258/100)</f>
        <v/>
      </c>
      <c r="V258" s="5">
        <f>IF(C258="","",S258-T258)</f>
        <v/>
      </c>
      <c r="Y258" s="5">
        <f>IF(C258="","",V258-U258)</f>
        <v/>
      </c>
      <c r="AH258">
        <f>IF(C258="","",N(AH257)+IF(MATCH(C258,$C$2:$C$401,0)=ROW()-1,1,0))</f>
        <v/>
      </c>
    </row>
    <row r="259">
      <c r="T259" s="5">
        <f>IF(C259="","",S259*X259/100)</f>
        <v/>
      </c>
      <c r="U259" s="5">
        <f>IF(C259="","",W259*V259/100)</f>
        <v/>
      </c>
      <c r="V259" s="5">
        <f>IF(C259="","",S259-T259)</f>
        <v/>
      </c>
      <c r="Y259" s="5">
        <f>IF(C259="","",V259-U259)</f>
        <v/>
      </c>
      <c r="AH259">
        <f>IF(C259="","",N(AH258)+IF(MATCH(C259,$C$2:$C$401,0)=ROW()-1,1,0))</f>
        <v/>
      </c>
    </row>
    <row r="260">
      <c r="T260" s="5">
        <f>IF(C260="","",S260*X260/100)</f>
        <v/>
      </c>
      <c r="U260" s="5">
        <f>IF(C260="","",W260*V260/100)</f>
        <v/>
      </c>
      <c r="V260" s="5">
        <f>IF(C260="","",S260-T260)</f>
        <v/>
      </c>
      <c r="Y260" s="5">
        <f>IF(C260="","",V260-U260)</f>
        <v/>
      </c>
      <c r="AH260">
        <f>IF(C260="","",N(AH259)+IF(MATCH(C260,$C$2:$C$401,0)=ROW()-1,1,0))</f>
        <v/>
      </c>
    </row>
    <row r="261">
      <c r="T261" s="5">
        <f>IF(C261="","",S261*X261/100)</f>
        <v/>
      </c>
      <c r="U261" s="5">
        <f>IF(C261="","",W261*V261/100)</f>
        <v/>
      </c>
      <c r="V261" s="5">
        <f>IF(C261="","",S261-T261)</f>
        <v/>
      </c>
      <c r="Y261" s="5">
        <f>IF(C261="","",V261-U261)</f>
        <v/>
      </c>
      <c r="AH261">
        <f>IF(C261="","",N(AH260)+IF(MATCH(C261,$C$2:$C$401,0)=ROW()-1,1,0))</f>
        <v/>
      </c>
    </row>
    <row r="262">
      <c r="T262" s="5">
        <f>IF(C262="","",S262*X262/100)</f>
        <v/>
      </c>
      <c r="U262" s="5">
        <f>IF(C262="","",W262*V262/100)</f>
        <v/>
      </c>
      <c r="V262" s="5">
        <f>IF(C262="","",S262-T262)</f>
        <v/>
      </c>
      <c r="Y262" s="5">
        <f>IF(C262="","",V262-U262)</f>
        <v/>
      </c>
      <c r="AH262">
        <f>IF(C262="","",N(AH261)+IF(MATCH(C262,$C$2:$C$401,0)=ROW()-1,1,0))</f>
        <v/>
      </c>
    </row>
    <row r="263">
      <c r="T263" s="5">
        <f>IF(C263="","",S263*X263/100)</f>
        <v/>
      </c>
      <c r="U263" s="5">
        <f>IF(C263="","",W263*V263/100)</f>
        <v/>
      </c>
      <c r="V263" s="5">
        <f>IF(C263="","",S263-T263)</f>
        <v/>
      </c>
      <c r="Y263" s="5">
        <f>IF(C263="","",V263-U263)</f>
        <v/>
      </c>
      <c r="AH263">
        <f>IF(C263="","",N(AH262)+IF(MATCH(C263,$C$2:$C$401,0)=ROW()-1,1,0))</f>
        <v/>
      </c>
    </row>
    <row r="264">
      <c r="T264" s="5">
        <f>IF(C264="","",S264*X264/100)</f>
        <v/>
      </c>
      <c r="U264" s="5">
        <f>IF(C264="","",W264*V264/100)</f>
        <v/>
      </c>
      <c r="V264" s="5">
        <f>IF(C264="","",S264-T264)</f>
        <v/>
      </c>
      <c r="Y264" s="5">
        <f>IF(C264="","",V264-U264)</f>
        <v/>
      </c>
      <c r="AH264">
        <f>IF(C264="","",N(AH263)+IF(MATCH(C264,$C$2:$C$401,0)=ROW()-1,1,0))</f>
        <v/>
      </c>
    </row>
    <row r="265">
      <c r="T265" s="5">
        <f>IF(C265="","",S265*X265/100)</f>
        <v/>
      </c>
      <c r="U265" s="5">
        <f>IF(C265="","",W265*V265/100)</f>
        <v/>
      </c>
      <c r="V265" s="5">
        <f>IF(C265="","",S265-T265)</f>
        <v/>
      </c>
      <c r="Y265" s="5">
        <f>IF(C265="","",V265-U265)</f>
        <v/>
      </c>
      <c r="AH265">
        <f>IF(C265="","",N(AH264)+IF(MATCH(C265,$C$2:$C$401,0)=ROW()-1,1,0))</f>
        <v/>
      </c>
    </row>
    <row r="266">
      <c r="T266" s="5">
        <f>IF(C266="","",S266*X266/100)</f>
        <v/>
      </c>
      <c r="U266" s="5">
        <f>IF(C266="","",W266*V266/100)</f>
        <v/>
      </c>
      <c r="V266" s="5">
        <f>IF(C266="","",S266-T266)</f>
        <v/>
      </c>
      <c r="Y266" s="5">
        <f>IF(C266="","",V266-U266)</f>
        <v/>
      </c>
      <c r="AH266">
        <f>IF(C266="","",N(AH265)+IF(MATCH(C266,$C$2:$C$401,0)=ROW()-1,1,0))</f>
        <v/>
      </c>
    </row>
    <row r="267">
      <c r="T267" s="5">
        <f>IF(C267="","",S267*X267/100)</f>
        <v/>
      </c>
      <c r="U267" s="5">
        <f>IF(C267="","",W267*V267/100)</f>
        <v/>
      </c>
      <c r="V267" s="5">
        <f>IF(C267="","",S267-T267)</f>
        <v/>
      </c>
      <c r="Y267" s="5">
        <f>IF(C267="","",V267-U267)</f>
        <v/>
      </c>
      <c r="AH267">
        <f>IF(C267="","",N(AH266)+IF(MATCH(C267,$C$2:$C$401,0)=ROW()-1,1,0))</f>
        <v/>
      </c>
    </row>
    <row r="268">
      <c r="T268" s="5">
        <f>IF(C268="","",S268*X268/100)</f>
        <v/>
      </c>
      <c r="U268" s="5">
        <f>IF(C268="","",W268*V268/100)</f>
        <v/>
      </c>
      <c r="V268" s="5">
        <f>IF(C268="","",S268-T268)</f>
        <v/>
      </c>
      <c r="Y268" s="5">
        <f>IF(C268="","",V268-U268)</f>
        <v/>
      </c>
      <c r="AH268">
        <f>IF(C268="","",N(AH267)+IF(MATCH(C268,$C$2:$C$401,0)=ROW()-1,1,0))</f>
        <v/>
      </c>
    </row>
    <row r="269">
      <c r="T269" s="5">
        <f>IF(C269="","",S269*X269/100)</f>
        <v/>
      </c>
      <c r="U269" s="5">
        <f>IF(C269="","",W269*V269/100)</f>
        <v/>
      </c>
      <c r="V269" s="5">
        <f>IF(C269="","",S269-T269)</f>
        <v/>
      </c>
      <c r="Y269" s="5">
        <f>IF(C269="","",V269-U269)</f>
        <v/>
      </c>
      <c r="AH269">
        <f>IF(C269="","",N(AH268)+IF(MATCH(C269,$C$2:$C$401,0)=ROW()-1,1,0))</f>
        <v/>
      </c>
    </row>
    <row r="270">
      <c r="T270" s="5">
        <f>IF(C270="","",S270*X270/100)</f>
        <v/>
      </c>
      <c r="U270" s="5">
        <f>IF(C270="","",W270*V270/100)</f>
        <v/>
      </c>
      <c r="V270" s="5">
        <f>IF(C270="","",S270-T270)</f>
        <v/>
      </c>
      <c r="Y270" s="5">
        <f>IF(C270="","",V270-U270)</f>
        <v/>
      </c>
      <c r="AH270">
        <f>IF(C270="","",N(AH269)+IF(MATCH(C270,$C$2:$C$401,0)=ROW()-1,1,0))</f>
        <v/>
      </c>
    </row>
    <row r="271">
      <c r="T271" s="5">
        <f>IF(C271="","",S271*X271/100)</f>
        <v/>
      </c>
      <c r="U271" s="5">
        <f>IF(C271="","",W271*V271/100)</f>
        <v/>
      </c>
      <c r="V271" s="5">
        <f>IF(C271="","",S271-T271)</f>
        <v/>
      </c>
      <c r="Y271" s="5">
        <f>IF(C271="","",V271-U271)</f>
        <v/>
      </c>
      <c r="AH271">
        <f>IF(C271="","",N(AH270)+IF(MATCH(C271,$C$2:$C$401,0)=ROW()-1,1,0))</f>
        <v/>
      </c>
    </row>
    <row r="272">
      <c r="T272" s="5">
        <f>IF(C272="","",S272*X272/100)</f>
        <v/>
      </c>
      <c r="U272" s="5">
        <f>IF(C272="","",W272*V272/100)</f>
        <v/>
      </c>
      <c r="V272" s="5">
        <f>IF(C272="","",S272-T272)</f>
        <v/>
      </c>
      <c r="Y272" s="5">
        <f>IF(C272="","",V272-U272)</f>
        <v/>
      </c>
      <c r="AH272">
        <f>IF(C272="","",N(AH271)+IF(MATCH(C272,$C$2:$C$401,0)=ROW()-1,1,0))</f>
        <v/>
      </c>
    </row>
    <row r="273">
      <c r="T273" s="5">
        <f>IF(C273="","",S273*X273/100)</f>
        <v/>
      </c>
      <c r="U273" s="5">
        <f>IF(C273="","",W273*V273/100)</f>
        <v/>
      </c>
      <c r="V273" s="5">
        <f>IF(C273="","",S273-T273)</f>
        <v/>
      </c>
      <c r="Y273" s="5">
        <f>IF(C273="","",V273-U273)</f>
        <v/>
      </c>
      <c r="AH273">
        <f>IF(C273="","",N(AH272)+IF(MATCH(C273,$C$2:$C$401,0)=ROW()-1,1,0))</f>
        <v/>
      </c>
    </row>
    <row r="274">
      <c r="T274" s="5">
        <f>IF(C274="","",S274*X274/100)</f>
        <v/>
      </c>
      <c r="U274" s="5">
        <f>IF(C274="","",W274*V274/100)</f>
        <v/>
      </c>
      <c r="V274" s="5">
        <f>IF(C274="","",S274-T274)</f>
        <v/>
      </c>
      <c r="Y274" s="5">
        <f>IF(C274="","",V274-U274)</f>
        <v/>
      </c>
      <c r="AH274">
        <f>IF(C274="","",N(AH273)+IF(MATCH(C274,$C$2:$C$401,0)=ROW()-1,1,0))</f>
        <v/>
      </c>
    </row>
    <row r="275">
      <c r="T275" s="5">
        <f>IF(C275="","",S275*X275/100)</f>
        <v/>
      </c>
      <c r="U275" s="5">
        <f>IF(C275="","",W275*V275/100)</f>
        <v/>
      </c>
      <c r="V275" s="5">
        <f>IF(C275="","",S275-T275)</f>
        <v/>
      </c>
      <c r="Y275" s="5">
        <f>IF(C275="","",V275-U275)</f>
        <v/>
      </c>
      <c r="AH275">
        <f>IF(C275="","",N(AH274)+IF(MATCH(C275,$C$2:$C$401,0)=ROW()-1,1,0))</f>
        <v/>
      </c>
    </row>
    <row r="276">
      <c r="T276" s="5">
        <f>IF(C276="","",S276*X276/100)</f>
        <v/>
      </c>
      <c r="U276" s="5">
        <f>IF(C276="","",W276*V276/100)</f>
        <v/>
      </c>
      <c r="V276" s="5">
        <f>IF(C276="","",S276-T276)</f>
        <v/>
      </c>
      <c r="Y276" s="5">
        <f>IF(C276="","",V276-U276)</f>
        <v/>
      </c>
      <c r="AH276">
        <f>IF(C276="","",N(AH275)+IF(MATCH(C276,$C$2:$C$401,0)=ROW()-1,1,0))</f>
        <v/>
      </c>
    </row>
    <row r="277">
      <c r="T277" s="5">
        <f>IF(C277="","",S277*X277/100)</f>
        <v/>
      </c>
      <c r="U277" s="5">
        <f>IF(C277="","",W277*V277/100)</f>
        <v/>
      </c>
      <c r="V277" s="5">
        <f>IF(C277="","",S277-T277)</f>
        <v/>
      </c>
      <c r="Y277" s="5">
        <f>IF(C277="","",V277-U277)</f>
        <v/>
      </c>
      <c r="AH277">
        <f>IF(C277="","",N(AH276)+IF(MATCH(C277,$C$2:$C$401,0)=ROW()-1,1,0))</f>
        <v/>
      </c>
    </row>
    <row r="278">
      <c r="T278" s="5">
        <f>IF(C278="","",S278*X278/100)</f>
        <v/>
      </c>
      <c r="U278" s="5">
        <f>IF(C278="","",W278*V278/100)</f>
        <v/>
      </c>
      <c r="V278" s="5">
        <f>IF(C278="","",S278-T278)</f>
        <v/>
      </c>
      <c r="Y278" s="5">
        <f>IF(C278="","",V278-U278)</f>
        <v/>
      </c>
      <c r="AH278">
        <f>IF(C278="","",N(AH277)+IF(MATCH(C278,$C$2:$C$401,0)=ROW()-1,1,0))</f>
        <v/>
      </c>
    </row>
    <row r="279">
      <c r="T279" s="5">
        <f>IF(C279="","",S279*X279/100)</f>
        <v/>
      </c>
      <c r="U279" s="5">
        <f>IF(C279="","",W279*V279/100)</f>
        <v/>
      </c>
      <c r="V279" s="5">
        <f>IF(C279="","",S279-T279)</f>
        <v/>
      </c>
      <c r="Y279" s="5">
        <f>IF(C279="","",V279-U279)</f>
        <v/>
      </c>
      <c r="AH279">
        <f>IF(C279="","",N(AH278)+IF(MATCH(C279,$C$2:$C$401,0)=ROW()-1,1,0))</f>
        <v/>
      </c>
    </row>
    <row r="280">
      <c r="T280" s="5">
        <f>IF(C280="","",S280*X280/100)</f>
        <v/>
      </c>
      <c r="U280" s="5">
        <f>IF(C280="","",W280*V280/100)</f>
        <v/>
      </c>
      <c r="V280" s="5">
        <f>IF(C280="","",S280-T280)</f>
        <v/>
      </c>
      <c r="Y280" s="5">
        <f>IF(C280="","",V280-U280)</f>
        <v/>
      </c>
      <c r="AH280">
        <f>IF(C280="","",N(AH279)+IF(MATCH(C280,$C$2:$C$401,0)=ROW()-1,1,0))</f>
        <v/>
      </c>
    </row>
    <row r="281">
      <c r="T281" s="5">
        <f>IF(C281="","",S281*X281/100)</f>
        <v/>
      </c>
      <c r="U281" s="5">
        <f>IF(C281="","",W281*V281/100)</f>
        <v/>
      </c>
      <c r="V281" s="5">
        <f>IF(C281="","",S281-T281)</f>
        <v/>
      </c>
      <c r="Y281" s="5">
        <f>IF(C281="","",V281-U281)</f>
        <v/>
      </c>
      <c r="AH281">
        <f>IF(C281="","",N(AH280)+IF(MATCH(C281,$C$2:$C$401,0)=ROW()-1,1,0))</f>
        <v/>
      </c>
    </row>
    <row r="282">
      <c r="T282" s="5">
        <f>IF(C282="","",S282*X282/100)</f>
        <v/>
      </c>
      <c r="U282" s="5">
        <f>IF(C282="","",W282*V282/100)</f>
        <v/>
      </c>
      <c r="V282" s="5">
        <f>IF(C282="","",S282-T282)</f>
        <v/>
      </c>
      <c r="Y282" s="5">
        <f>IF(C282="","",V282-U282)</f>
        <v/>
      </c>
      <c r="AH282">
        <f>IF(C282="","",N(AH281)+IF(MATCH(C282,$C$2:$C$401,0)=ROW()-1,1,0))</f>
        <v/>
      </c>
    </row>
    <row r="283">
      <c r="T283" s="5">
        <f>IF(C283="","",S283*X283/100)</f>
        <v/>
      </c>
      <c r="U283" s="5">
        <f>IF(C283="","",W283*V283/100)</f>
        <v/>
      </c>
      <c r="V283" s="5">
        <f>IF(C283="","",S283-T283)</f>
        <v/>
      </c>
      <c r="Y283" s="5">
        <f>IF(C283="","",V283-U283)</f>
        <v/>
      </c>
      <c r="AH283">
        <f>IF(C283="","",N(AH282)+IF(MATCH(C283,$C$2:$C$401,0)=ROW()-1,1,0))</f>
        <v/>
      </c>
    </row>
    <row r="284">
      <c r="T284" s="5">
        <f>IF(C284="","",S284*X284/100)</f>
        <v/>
      </c>
      <c r="U284" s="5">
        <f>IF(C284="","",W284*V284/100)</f>
        <v/>
      </c>
      <c r="V284" s="5">
        <f>IF(C284="","",S284-T284)</f>
        <v/>
      </c>
      <c r="Y284" s="5">
        <f>IF(C284="","",V284-U284)</f>
        <v/>
      </c>
      <c r="AH284">
        <f>IF(C284="","",N(AH283)+IF(MATCH(C284,$C$2:$C$401,0)=ROW()-1,1,0))</f>
        <v/>
      </c>
    </row>
    <row r="285">
      <c r="T285" s="5">
        <f>IF(C285="","",S285*X285/100)</f>
        <v/>
      </c>
      <c r="U285" s="5">
        <f>IF(C285="","",W285*V285/100)</f>
        <v/>
      </c>
      <c r="V285" s="5">
        <f>IF(C285="","",S285-T285)</f>
        <v/>
      </c>
      <c r="Y285" s="5">
        <f>IF(C285="","",V285-U285)</f>
        <v/>
      </c>
      <c r="AH285">
        <f>IF(C285="","",N(AH284)+IF(MATCH(C285,$C$2:$C$401,0)=ROW()-1,1,0))</f>
        <v/>
      </c>
    </row>
    <row r="286">
      <c r="T286" s="5">
        <f>IF(C286="","",S286*X286/100)</f>
        <v/>
      </c>
      <c r="U286" s="5">
        <f>IF(C286="","",W286*V286/100)</f>
        <v/>
      </c>
      <c r="V286" s="5">
        <f>IF(C286="","",S286-T286)</f>
        <v/>
      </c>
      <c r="Y286" s="5">
        <f>IF(C286="","",V286-U286)</f>
        <v/>
      </c>
      <c r="AH286">
        <f>IF(C286="","",N(AH285)+IF(MATCH(C286,$C$2:$C$401,0)=ROW()-1,1,0))</f>
        <v/>
      </c>
    </row>
    <row r="287">
      <c r="T287" s="5">
        <f>IF(C287="","",S287*X287/100)</f>
        <v/>
      </c>
      <c r="U287" s="5">
        <f>IF(C287="","",W287*V287/100)</f>
        <v/>
      </c>
      <c r="V287" s="5">
        <f>IF(C287="","",S287-T287)</f>
        <v/>
      </c>
      <c r="Y287" s="5">
        <f>IF(C287="","",V287-U287)</f>
        <v/>
      </c>
      <c r="AH287">
        <f>IF(C287="","",N(AH286)+IF(MATCH(C287,$C$2:$C$401,0)=ROW()-1,1,0))</f>
        <v/>
      </c>
    </row>
    <row r="288">
      <c r="T288" s="5">
        <f>IF(C288="","",S288*X288/100)</f>
        <v/>
      </c>
      <c r="U288" s="5">
        <f>IF(C288="","",W288*V288/100)</f>
        <v/>
      </c>
      <c r="V288" s="5">
        <f>IF(C288="","",S288-T288)</f>
        <v/>
      </c>
      <c r="Y288" s="5">
        <f>IF(C288="","",V288-U288)</f>
        <v/>
      </c>
      <c r="AH288">
        <f>IF(C288="","",N(AH287)+IF(MATCH(C288,$C$2:$C$401,0)=ROW()-1,1,0))</f>
        <v/>
      </c>
    </row>
    <row r="289">
      <c r="T289" s="5">
        <f>IF(C289="","",S289*X289/100)</f>
        <v/>
      </c>
      <c r="U289" s="5">
        <f>IF(C289="","",W289*V289/100)</f>
        <v/>
      </c>
      <c r="V289" s="5">
        <f>IF(C289="","",S289-T289)</f>
        <v/>
      </c>
      <c r="Y289" s="5">
        <f>IF(C289="","",V289-U289)</f>
        <v/>
      </c>
      <c r="AH289">
        <f>IF(C289="","",N(AH288)+IF(MATCH(C289,$C$2:$C$401,0)=ROW()-1,1,0))</f>
        <v/>
      </c>
    </row>
    <row r="290">
      <c r="T290" s="5">
        <f>IF(C290="","",S290*X290/100)</f>
        <v/>
      </c>
      <c r="U290" s="5">
        <f>IF(C290="","",W290*V290/100)</f>
        <v/>
      </c>
      <c r="V290" s="5">
        <f>IF(C290="","",S290-T290)</f>
        <v/>
      </c>
      <c r="Y290" s="5">
        <f>IF(C290="","",V290-U290)</f>
        <v/>
      </c>
      <c r="AH290">
        <f>IF(C290="","",N(AH289)+IF(MATCH(C290,$C$2:$C$401,0)=ROW()-1,1,0))</f>
        <v/>
      </c>
    </row>
    <row r="291">
      <c r="T291" s="5">
        <f>IF(C291="","",S291*X291/100)</f>
        <v/>
      </c>
      <c r="U291" s="5">
        <f>IF(C291="","",W291*V291/100)</f>
        <v/>
      </c>
      <c r="V291" s="5">
        <f>IF(C291="","",S291-T291)</f>
        <v/>
      </c>
      <c r="Y291" s="5">
        <f>IF(C291="","",V291-U291)</f>
        <v/>
      </c>
      <c r="AH291">
        <f>IF(C291="","",N(AH290)+IF(MATCH(C291,$C$2:$C$401,0)=ROW()-1,1,0))</f>
        <v/>
      </c>
    </row>
    <row r="292">
      <c r="T292" s="5">
        <f>IF(C292="","",S292*X292/100)</f>
        <v/>
      </c>
      <c r="U292" s="5">
        <f>IF(C292="","",W292*V292/100)</f>
        <v/>
      </c>
      <c r="V292" s="5">
        <f>IF(C292="","",S292-T292)</f>
        <v/>
      </c>
      <c r="Y292" s="5">
        <f>IF(C292="","",V292-U292)</f>
        <v/>
      </c>
      <c r="AH292">
        <f>IF(C292="","",N(AH291)+IF(MATCH(C292,$C$2:$C$401,0)=ROW()-1,1,0))</f>
        <v/>
      </c>
    </row>
    <row r="293">
      <c r="T293" s="5">
        <f>IF(C293="","",S293*X293/100)</f>
        <v/>
      </c>
      <c r="U293" s="5">
        <f>IF(C293="","",W293*V293/100)</f>
        <v/>
      </c>
      <c r="V293" s="5">
        <f>IF(C293="","",S293-T293)</f>
        <v/>
      </c>
      <c r="Y293" s="5">
        <f>IF(C293="","",V293-U293)</f>
        <v/>
      </c>
      <c r="AH293">
        <f>IF(C293="","",N(AH292)+IF(MATCH(C293,$C$2:$C$401,0)=ROW()-1,1,0))</f>
        <v/>
      </c>
    </row>
    <row r="294">
      <c r="T294" s="5">
        <f>IF(C294="","",S294*X294/100)</f>
        <v/>
      </c>
      <c r="U294" s="5">
        <f>IF(C294="","",W294*V294/100)</f>
        <v/>
      </c>
      <c r="V294" s="5">
        <f>IF(C294="","",S294-T294)</f>
        <v/>
      </c>
      <c r="Y294" s="5">
        <f>IF(C294="","",V294-U294)</f>
        <v/>
      </c>
      <c r="AH294">
        <f>IF(C294="","",N(AH293)+IF(MATCH(C294,$C$2:$C$401,0)=ROW()-1,1,0))</f>
        <v/>
      </c>
    </row>
    <row r="295">
      <c r="T295" s="5">
        <f>IF(C295="","",S295*X295/100)</f>
        <v/>
      </c>
      <c r="U295" s="5">
        <f>IF(C295="","",W295*V295/100)</f>
        <v/>
      </c>
      <c r="V295" s="5">
        <f>IF(C295="","",S295-T295)</f>
        <v/>
      </c>
      <c r="Y295" s="5">
        <f>IF(C295="","",V295-U295)</f>
        <v/>
      </c>
      <c r="AH295">
        <f>IF(C295="","",N(AH294)+IF(MATCH(C295,$C$2:$C$401,0)=ROW()-1,1,0))</f>
        <v/>
      </c>
    </row>
    <row r="296">
      <c r="T296" s="5">
        <f>IF(C296="","",S296*X296/100)</f>
        <v/>
      </c>
      <c r="U296" s="5">
        <f>IF(C296="","",W296*V296/100)</f>
        <v/>
      </c>
      <c r="V296" s="5">
        <f>IF(C296="","",S296-T296)</f>
        <v/>
      </c>
      <c r="Y296" s="5">
        <f>IF(C296="","",V296-U296)</f>
        <v/>
      </c>
      <c r="AH296">
        <f>IF(C296="","",N(AH295)+IF(MATCH(C296,$C$2:$C$401,0)=ROW()-1,1,0))</f>
        <v/>
      </c>
    </row>
    <row r="297">
      <c r="T297" s="5">
        <f>IF(C297="","",S297*X297/100)</f>
        <v/>
      </c>
      <c r="U297" s="5">
        <f>IF(C297="","",W297*V297/100)</f>
        <v/>
      </c>
      <c r="V297" s="5">
        <f>IF(C297="","",S297-T297)</f>
        <v/>
      </c>
      <c r="Y297" s="5">
        <f>IF(C297="","",V297-U297)</f>
        <v/>
      </c>
      <c r="AH297">
        <f>IF(C297="","",N(AH296)+IF(MATCH(C297,$C$2:$C$401,0)=ROW()-1,1,0))</f>
        <v/>
      </c>
    </row>
    <row r="298">
      <c r="T298" s="5">
        <f>IF(C298="","",S298*X298/100)</f>
        <v/>
      </c>
      <c r="U298" s="5">
        <f>IF(C298="","",W298*V298/100)</f>
        <v/>
      </c>
      <c r="V298" s="5">
        <f>IF(C298="","",S298-T298)</f>
        <v/>
      </c>
      <c r="Y298" s="5">
        <f>IF(C298="","",V298-U298)</f>
        <v/>
      </c>
      <c r="AH298">
        <f>IF(C298="","",N(AH297)+IF(MATCH(C298,$C$2:$C$401,0)=ROW()-1,1,0))</f>
        <v/>
      </c>
    </row>
    <row r="299">
      <c r="T299" s="5">
        <f>IF(C299="","",S299*X299/100)</f>
        <v/>
      </c>
      <c r="U299" s="5">
        <f>IF(C299="","",W299*V299/100)</f>
        <v/>
      </c>
      <c r="V299" s="5">
        <f>IF(C299="","",S299-T299)</f>
        <v/>
      </c>
      <c r="Y299" s="5">
        <f>IF(C299="","",V299-U299)</f>
        <v/>
      </c>
      <c r="AH299">
        <f>IF(C299="","",N(AH298)+IF(MATCH(C299,$C$2:$C$401,0)=ROW()-1,1,0))</f>
        <v/>
      </c>
    </row>
    <row r="300">
      <c r="T300" s="5">
        <f>IF(C300="","",S300*X300/100)</f>
        <v/>
      </c>
      <c r="U300" s="5">
        <f>IF(C300="","",W300*V300/100)</f>
        <v/>
      </c>
      <c r="V300" s="5">
        <f>IF(C300="","",S300-T300)</f>
        <v/>
      </c>
      <c r="Y300" s="5">
        <f>IF(C300="","",V300-U300)</f>
        <v/>
      </c>
      <c r="AH300">
        <f>IF(C300="","",N(AH299)+IF(MATCH(C300,$C$2:$C$401,0)=ROW()-1,1,0))</f>
        <v/>
      </c>
    </row>
    <row r="301">
      <c r="T301" s="5">
        <f>IF(C301="","",S301*X301/100)</f>
        <v/>
      </c>
      <c r="U301" s="5">
        <f>IF(C301="","",W301*V301/100)</f>
        <v/>
      </c>
      <c r="V301" s="5">
        <f>IF(C301="","",S301-T301)</f>
        <v/>
      </c>
      <c r="Y301" s="5">
        <f>IF(C301="","",V301-U301)</f>
        <v/>
      </c>
      <c r="AH301">
        <f>IF(C301="","",N(AH300)+IF(MATCH(C301,$C$2:$C$401,0)=ROW()-1,1,0))</f>
        <v/>
      </c>
    </row>
    <row r="302">
      <c r="T302" s="5">
        <f>IF(C302="","",S302*X302/100)</f>
        <v/>
      </c>
      <c r="U302" s="5">
        <f>IF(C302="","",W302*V302/100)</f>
        <v/>
      </c>
      <c r="V302" s="5">
        <f>IF(C302="","",S302-T302)</f>
        <v/>
      </c>
      <c r="Y302" s="5">
        <f>IF(C302="","",V302-U302)</f>
        <v/>
      </c>
      <c r="AH302">
        <f>IF(C302="","",N(AH301)+IF(MATCH(C302,$C$2:$C$401,0)=ROW()-1,1,0))</f>
        <v/>
      </c>
    </row>
    <row r="303">
      <c r="T303" s="5">
        <f>IF(C303="","",S303*X303/100)</f>
        <v/>
      </c>
      <c r="U303" s="5">
        <f>IF(C303="","",W303*V303/100)</f>
        <v/>
      </c>
      <c r="V303" s="5">
        <f>IF(C303="","",S303-T303)</f>
        <v/>
      </c>
      <c r="Y303" s="5">
        <f>IF(C303="","",V303-U303)</f>
        <v/>
      </c>
      <c r="AH303">
        <f>IF(C303="","",N(AH302)+IF(MATCH(C303,$C$2:$C$401,0)=ROW()-1,1,0))</f>
        <v/>
      </c>
    </row>
    <row r="304">
      <c r="T304" s="5">
        <f>IF(C304="","",S304*X304/100)</f>
        <v/>
      </c>
      <c r="U304" s="5">
        <f>IF(C304="","",W304*V304/100)</f>
        <v/>
      </c>
      <c r="V304" s="5">
        <f>IF(C304="","",S304-T304)</f>
        <v/>
      </c>
      <c r="Y304" s="5">
        <f>IF(C304="","",V304-U304)</f>
        <v/>
      </c>
      <c r="AH304">
        <f>IF(C304="","",N(AH303)+IF(MATCH(C304,$C$2:$C$401,0)=ROW()-1,1,0))</f>
        <v/>
      </c>
    </row>
    <row r="305">
      <c r="T305" s="5">
        <f>IF(C305="","",S305*X305/100)</f>
        <v/>
      </c>
      <c r="U305" s="5">
        <f>IF(C305="","",W305*V305/100)</f>
        <v/>
      </c>
      <c r="V305" s="5">
        <f>IF(C305="","",S305-T305)</f>
        <v/>
      </c>
      <c r="Y305" s="5">
        <f>IF(C305="","",V305-U305)</f>
        <v/>
      </c>
      <c r="AH305">
        <f>IF(C305="","",N(AH304)+IF(MATCH(C305,$C$2:$C$401,0)=ROW()-1,1,0))</f>
        <v/>
      </c>
    </row>
    <row r="306">
      <c r="T306" s="5">
        <f>IF(C306="","",S306*X306/100)</f>
        <v/>
      </c>
      <c r="U306" s="5">
        <f>IF(C306="","",W306*V306/100)</f>
        <v/>
      </c>
      <c r="V306" s="5">
        <f>IF(C306="","",S306-T306)</f>
        <v/>
      </c>
      <c r="Y306" s="5">
        <f>IF(C306="","",V306-U306)</f>
        <v/>
      </c>
      <c r="AH306">
        <f>IF(C306="","",N(AH305)+IF(MATCH(C306,$C$2:$C$401,0)=ROW()-1,1,0))</f>
        <v/>
      </c>
    </row>
    <row r="307">
      <c r="T307" s="5">
        <f>IF(C307="","",S307*X307/100)</f>
        <v/>
      </c>
      <c r="U307" s="5">
        <f>IF(C307="","",W307*V307/100)</f>
        <v/>
      </c>
      <c r="V307" s="5">
        <f>IF(C307="","",S307-T307)</f>
        <v/>
      </c>
      <c r="Y307" s="5">
        <f>IF(C307="","",V307-U307)</f>
        <v/>
      </c>
      <c r="AH307">
        <f>IF(C307="","",N(AH306)+IF(MATCH(C307,$C$2:$C$401,0)=ROW()-1,1,0))</f>
        <v/>
      </c>
    </row>
    <row r="308">
      <c r="T308" s="5">
        <f>IF(C308="","",S308*X308/100)</f>
        <v/>
      </c>
      <c r="U308" s="5">
        <f>IF(C308="","",W308*V308/100)</f>
        <v/>
      </c>
      <c r="V308" s="5">
        <f>IF(C308="","",S308-T308)</f>
        <v/>
      </c>
      <c r="Y308" s="5">
        <f>IF(C308="","",V308-U308)</f>
        <v/>
      </c>
      <c r="AH308">
        <f>IF(C308="","",N(AH307)+IF(MATCH(C308,$C$2:$C$401,0)=ROW()-1,1,0))</f>
        <v/>
      </c>
    </row>
    <row r="309">
      <c r="T309" s="5">
        <f>IF(C309="","",S309*X309/100)</f>
        <v/>
      </c>
      <c r="U309" s="5">
        <f>IF(C309="","",W309*V309/100)</f>
        <v/>
      </c>
      <c r="V309" s="5">
        <f>IF(C309="","",S309-T309)</f>
        <v/>
      </c>
      <c r="Y309" s="5">
        <f>IF(C309="","",V309-U309)</f>
        <v/>
      </c>
      <c r="AH309">
        <f>IF(C309="","",N(AH308)+IF(MATCH(C309,$C$2:$C$401,0)=ROW()-1,1,0))</f>
        <v/>
      </c>
    </row>
    <row r="310">
      <c r="T310" s="5">
        <f>IF(C310="","",S310*X310/100)</f>
        <v/>
      </c>
      <c r="U310" s="5">
        <f>IF(C310="","",W310*V310/100)</f>
        <v/>
      </c>
      <c r="V310" s="5">
        <f>IF(C310="","",S310-T310)</f>
        <v/>
      </c>
      <c r="Y310" s="5">
        <f>IF(C310="","",V310-U310)</f>
        <v/>
      </c>
      <c r="AH310">
        <f>IF(C310="","",N(AH309)+IF(MATCH(C310,$C$2:$C$401,0)=ROW()-1,1,0))</f>
        <v/>
      </c>
    </row>
    <row r="311">
      <c r="T311" s="5">
        <f>IF(C311="","",S311*X311/100)</f>
        <v/>
      </c>
      <c r="U311" s="5">
        <f>IF(C311="","",W311*V311/100)</f>
        <v/>
      </c>
      <c r="V311" s="5">
        <f>IF(C311="","",S311-T311)</f>
        <v/>
      </c>
      <c r="Y311" s="5">
        <f>IF(C311="","",V311-U311)</f>
        <v/>
      </c>
      <c r="AH311">
        <f>IF(C311="","",N(AH310)+IF(MATCH(C311,$C$2:$C$401,0)=ROW()-1,1,0))</f>
        <v/>
      </c>
    </row>
    <row r="312">
      <c r="T312" s="5">
        <f>IF(C312="","",S312*X312/100)</f>
        <v/>
      </c>
      <c r="U312" s="5">
        <f>IF(C312="","",W312*V312/100)</f>
        <v/>
      </c>
      <c r="V312" s="5">
        <f>IF(C312="","",S312-T312)</f>
        <v/>
      </c>
      <c r="Y312" s="5">
        <f>IF(C312="","",V312-U312)</f>
        <v/>
      </c>
      <c r="AH312">
        <f>IF(C312="","",N(AH311)+IF(MATCH(C312,$C$2:$C$401,0)=ROW()-1,1,0))</f>
        <v/>
      </c>
    </row>
    <row r="313">
      <c r="T313" s="5">
        <f>IF(C313="","",S313*X313/100)</f>
        <v/>
      </c>
      <c r="U313" s="5">
        <f>IF(C313="","",W313*V313/100)</f>
        <v/>
      </c>
      <c r="V313" s="5">
        <f>IF(C313="","",S313-T313)</f>
        <v/>
      </c>
      <c r="Y313" s="5">
        <f>IF(C313="","",V313-U313)</f>
        <v/>
      </c>
      <c r="AH313">
        <f>IF(C313="","",N(AH312)+IF(MATCH(C313,$C$2:$C$401,0)=ROW()-1,1,0))</f>
        <v/>
      </c>
    </row>
    <row r="314">
      <c r="T314" s="5">
        <f>IF(C314="","",S314*X314/100)</f>
        <v/>
      </c>
      <c r="U314" s="5">
        <f>IF(C314="","",W314*V314/100)</f>
        <v/>
      </c>
      <c r="V314" s="5">
        <f>IF(C314="","",S314-T314)</f>
        <v/>
      </c>
      <c r="Y314" s="5">
        <f>IF(C314="","",V314-U314)</f>
        <v/>
      </c>
      <c r="AH314">
        <f>IF(C314="","",N(AH313)+IF(MATCH(C314,$C$2:$C$401,0)=ROW()-1,1,0))</f>
        <v/>
      </c>
    </row>
    <row r="315">
      <c r="T315" s="5">
        <f>IF(C315="","",S315*X315/100)</f>
        <v/>
      </c>
      <c r="U315" s="5">
        <f>IF(C315="","",W315*V315/100)</f>
        <v/>
      </c>
      <c r="V315" s="5">
        <f>IF(C315="","",S315-T315)</f>
        <v/>
      </c>
      <c r="Y315" s="5">
        <f>IF(C315="","",V315-U315)</f>
        <v/>
      </c>
      <c r="AH315">
        <f>IF(C315="","",N(AH314)+IF(MATCH(C315,$C$2:$C$401,0)=ROW()-1,1,0))</f>
        <v/>
      </c>
    </row>
    <row r="316">
      <c r="T316" s="5">
        <f>IF(C316="","",S316*X316/100)</f>
        <v/>
      </c>
      <c r="U316" s="5">
        <f>IF(C316="","",W316*V316/100)</f>
        <v/>
      </c>
      <c r="V316" s="5">
        <f>IF(C316="","",S316-T316)</f>
        <v/>
      </c>
      <c r="Y316" s="5">
        <f>IF(C316="","",V316-U316)</f>
        <v/>
      </c>
      <c r="AH316">
        <f>IF(C316="","",N(AH315)+IF(MATCH(C316,$C$2:$C$401,0)=ROW()-1,1,0))</f>
        <v/>
      </c>
    </row>
    <row r="317">
      <c r="T317" s="5">
        <f>IF(C317="","",S317*X317/100)</f>
        <v/>
      </c>
      <c r="U317" s="5">
        <f>IF(C317="","",W317*V317/100)</f>
        <v/>
      </c>
      <c r="V317" s="5">
        <f>IF(C317="","",S317-T317)</f>
        <v/>
      </c>
      <c r="Y317" s="5">
        <f>IF(C317="","",V317-U317)</f>
        <v/>
      </c>
      <c r="AH317">
        <f>IF(C317="","",N(AH316)+IF(MATCH(C317,$C$2:$C$401,0)=ROW()-1,1,0))</f>
        <v/>
      </c>
    </row>
    <row r="318">
      <c r="T318" s="5">
        <f>IF(C318="","",S318*X318/100)</f>
        <v/>
      </c>
      <c r="U318" s="5">
        <f>IF(C318="","",W318*V318/100)</f>
        <v/>
      </c>
      <c r="V318" s="5">
        <f>IF(C318="","",S318-T318)</f>
        <v/>
      </c>
      <c r="Y318" s="5">
        <f>IF(C318="","",V318-U318)</f>
        <v/>
      </c>
      <c r="AH318">
        <f>IF(C318="","",N(AH317)+IF(MATCH(C318,$C$2:$C$401,0)=ROW()-1,1,0))</f>
        <v/>
      </c>
    </row>
    <row r="319">
      <c r="T319" s="5">
        <f>IF(C319="","",S319*X319/100)</f>
        <v/>
      </c>
      <c r="U319" s="5">
        <f>IF(C319="","",W319*V319/100)</f>
        <v/>
      </c>
      <c r="V319" s="5">
        <f>IF(C319="","",S319-T319)</f>
        <v/>
      </c>
      <c r="Y319" s="5">
        <f>IF(C319="","",V319-U319)</f>
        <v/>
      </c>
      <c r="AH319">
        <f>IF(C319="","",N(AH318)+IF(MATCH(C319,$C$2:$C$401,0)=ROW()-1,1,0))</f>
        <v/>
      </c>
    </row>
    <row r="320">
      <c r="T320" s="5">
        <f>IF(C320="","",S320*X320/100)</f>
        <v/>
      </c>
      <c r="U320" s="5">
        <f>IF(C320="","",W320*V320/100)</f>
        <v/>
      </c>
      <c r="V320" s="5">
        <f>IF(C320="","",S320-T320)</f>
        <v/>
      </c>
      <c r="Y320" s="5">
        <f>IF(C320="","",V320-U320)</f>
        <v/>
      </c>
      <c r="AH320">
        <f>IF(C320="","",N(AH319)+IF(MATCH(C320,$C$2:$C$401,0)=ROW()-1,1,0))</f>
        <v/>
      </c>
    </row>
    <row r="321">
      <c r="T321" s="5">
        <f>IF(C321="","",S321*X321/100)</f>
        <v/>
      </c>
      <c r="U321" s="5">
        <f>IF(C321="","",W321*V321/100)</f>
        <v/>
      </c>
      <c r="V321" s="5">
        <f>IF(C321="","",S321-T321)</f>
        <v/>
      </c>
      <c r="Y321" s="5">
        <f>IF(C321="","",V321-U321)</f>
        <v/>
      </c>
      <c r="AH321">
        <f>IF(C321="","",N(AH320)+IF(MATCH(C321,$C$2:$C$401,0)=ROW()-1,1,0))</f>
        <v/>
      </c>
    </row>
    <row r="322">
      <c r="T322" s="5">
        <f>IF(C322="","",S322*X322/100)</f>
        <v/>
      </c>
      <c r="U322" s="5">
        <f>IF(C322="","",W322*V322/100)</f>
        <v/>
      </c>
      <c r="V322" s="5">
        <f>IF(C322="","",S322-T322)</f>
        <v/>
      </c>
      <c r="Y322" s="5">
        <f>IF(C322="","",V322-U322)</f>
        <v/>
      </c>
      <c r="AH322">
        <f>IF(C322="","",N(AH321)+IF(MATCH(C322,$C$2:$C$401,0)=ROW()-1,1,0))</f>
        <v/>
      </c>
    </row>
    <row r="323">
      <c r="T323" s="5">
        <f>IF(C323="","",S323*X323/100)</f>
        <v/>
      </c>
      <c r="U323" s="5">
        <f>IF(C323="","",W323*V323/100)</f>
        <v/>
      </c>
      <c r="V323" s="5">
        <f>IF(C323="","",S323-T323)</f>
        <v/>
      </c>
      <c r="Y323" s="5">
        <f>IF(C323="","",V323-U323)</f>
        <v/>
      </c>
      <c r="AH323">
        <f>IF(C323="","",N(AH322)+IF(MATCH(C323,$C$2:$C$401,0)=ROW()-1,1,0))</f>
        <v/>
      </c>
    </row>
    <row r="324">
      <c r="T324" s="5">
        <f>IF(C324="","",S324*X324/100)</f>
        <v/>
      </c>
      <c r="U324" s="5">
        <f>IF(C324="","",W324*V324/100)</f>
        <v/>
      </c>
      <c r="V324" s="5">
        <f>IF(C324="","",S324-T324)</f>
        <v/>
      </c>
      <c r="Y324" s="5">
        <f>IF(C324="","",V324-U324)</f>
        <v/>
      </c>
      <c r="AH324">
        <f>IF(C324="","",N(AH323)+IF(MATCH(C324,$C$2:$C$401,0)=ROW()-1,1,0))</f>
        <v/>
      </c>
    </row>
    <row r="325">
      <c r="T325" s="5">
        <f>IF(C325="","",S325*X325/100)</f>
        <v/>
      </c>
      <c r="U325" s="5">
        <f>IF(C325="","",W325*V325/100)</f>
        <v/>
      </c>
      <c r="V325" s="5">
        <f>IF(C325="","",S325-T325)</f>
        <v/>
      </c>
      <c r="Y325" s="5">
        <f>IF(C325="","",V325-U325)</f>
        <v/>
      </c>
      <c r="AH325">
        <f>IF(C325="","",N(AH324)+IF(MATCH(C325,$C$2:$C$401,0)=ROW()-1,1,0))</f>
        <v/>
      </c>
    </row>
    <row r="326">
      <c r="T326" s="5">
        <f>IF(C326="","",S326*X326/100)</f>
        <v/>
      </c>
      <c r="U326" s="5">
        <f>IF(C326="","",W326*V326/100)</f>
        <v/>
      </c>
      <c r="V326" s="5">
        <f>IF(C326="","",S326-T326)</f>
        <v/>
      </c>
      <c r="Y326" s="5">
        <f>IF(C326="","",V326-U326)</f>
        <v/>
      </c>
      <c r="AH326">
        <f>IF(C326="","",N(AH325)+IF(MATCH(C326,$C$2:$C$401,0)=ROW()-1,1,0))</f>
        <v/>
      </c>
    </row>
    <row r="327">
      <c r="T327" s="5">
        <f>IF(C327="","",S327*X327/100)</f>
        <v/>
      </c>
      <c r="U327" s="5">
        <f>IF(C327="","",W327*V327/100)</f>
        <v/>
      </c>
      <c r="V327" s="5">
        <f>IF(C327="","",S327-T327)</f>
        <v/>
      </c>
      <c r="Y327" s="5">
        <f>IF(C327="","",V327-U327)</f>
        <v/>
      </c>
      <c r="AH327">
        <f>IF(C327="","",N(AH326)+IF(MATCH(C327,$C$2:$C$401,0)=ROW()-1,1,0))</f>
        <v/>
      </c>
    </row>
    <row r="328">
      <c r="T328" s="5">
        <f>IF(C328="","",S328*X328/100)</f>
        <v/>
      </c>
      <c r="U328" s="5">
        <f>IF(C328="","",W328*V328/100)</f>
        <v/>
      </c>
      <c r="V328" s="5">
        <f>IF(C328="","",S328-T328)</f>
        <v/>
      </c>
      <c r="Y328" s="5">
        <f>IF(C328="","",V328-U328)</f>
        <v/>
      </c>
      <c r="AH328">
        <f>IF(C328="","",N(AH327)+IF(MATCH(C328,$C$2:$C$401,0)=ROW()-1,1,0))</f>
        <v/>
      </c>
    </row>
    <row r="329">
      <c r="T329" s="5">
        <f>IF(C329="","",S329*X329/100)</f>
        <v/>
      </c>
      <c r="U329" s="5">
        <f>IF(C329="","",W329*V329/100)</f>
        <v/>
      </c>
      <c r="V329" s="5">
        <f>IF(C329="","",S329-T329)</f>
        <v/>
      </c>
      <c r="Y329" s="5">
        <f>IF(C329="","",V329-U329)</f>
        <v/>
      </c>
      <c r="AH329">
        <f>IF(C329="","",N(AH328)+IF(MATCH(C329,$C$2:$C$401,0)=ROW()-1,1,0))</f>
        <v/>
      </c>
    </row>
    <row r="330">
      <c r="T330" s="5">
        <f>IF(C330="","",S330*X330/100)</f>
        <v/>
      </c>
      <c r="U330" s="5">
        <f>IF(C330="","",W330*V330/100)</f>
        <v/>
      </c>
      <c r="V330" s="5">
        <f>IF(C330="","",S330-T330)</f>
        <v/>
      </c>
      <c r="Y330" s="5">
        <f>IF(C330="","",V330-U330)</f>
        <v/>
      </c>
      <c r="AH330">
        <f>IF(C330="","",N(AH329)+IF(MATCH(C330,$C$2:$C$401,0)=ROW()-1,1,0))</f>
        <v/>
      </c>
    </row>
    <row r="331">
      <c r="T331" s="5">
        <f>IF(C331="","",S331*X331/100)</f>
        <v/>
      </c>
      <c r="U331" s="5">
        <f>IF(C331="","",W331*V331/100)</f>
        <v/>
      </c>
      <c r="V331" s="5">
        <f>IF(C331="","",S331-T331)</f>
        <v/>
      </c>
      <c r="Y331" s="5">
        <f>IF(C331="","",V331-U331)</f>
        <v/>
      </c>
      <c r="AH331">
        <f>IF(C331="","",N(AH330)+IF(MATCH(C331,$C$2:$C$401,0)=ROW()-1,1,0))</f>
        <v/>
      </c>
    </row>
    <row r="332">
      <c r="T332" s="5">
        <f>IF(C332="","",S332*X332/100)</f>
        <v/>
      </c>
      <c r="U332" s="5">
        <f>IF(C332="","",W332*V332/100)</f>
        <v/>
      </c>
      <c r="V332" s="5">
        <f>IF(C332="","",S332-T332)</f>
        <v/>
      </c>
      <c r="Y332" s="5">
        <f>IF(C332="","",V332-U332)</f>
        <v/>
      </c>
      <c r="AH332">
        <f>IF(C332="","",N(AH331)+IF(MATCH(C332,$C$2:$C$401,0)=ROW()-1,1,0))</f>
        <v/>
      </c>
    </row>
    <row r="333">
      <c r="T333" s="5">
        <f>IF(C333="","",S333*X333/100)</f>
        <v/>
      </c>
      <c r="U333" s="5">
        <f>IF(C333="","",W333*V333/100)</f>
        <v/>
      </c>
      <c r="V333" s="5">
        <f>IF(C333="","",S333-T333)</f>
        <v/>
      </c>
      <c r="Y333" s="5">
        <f>IF(C333="","",V333-U333)</f>
        <v/>
      </c>
      <c r="AH333">
        <f>IF(C333="","",N(AH332)+IF(MATCH(C333,$C$2:$C$401,0)=ROW()-1,1,0))</f>
        <v/>
      </c>
    </row>
    <row r="334">
      <c r="T334" s="5">
        <f>IF(C334="","",S334*X334/100)</f>
        <v/>
      </c>
      <c r="U334" s="5">
        <f>IF(C334="","",W334*V334/100)</f>
        <v/>
      </c>
      <c r="V334" s="5">
        <f>IF(C334="","",S334-T334)</f>
        <v/>
      </c>
      <c r="Y334" s="5">
        <f>IF(C334="","",V334-U334)</f>
        <v/>
      </c>
      <c r="AH334">
        <f>IF(C334="","",N(AH333)+IF(MATCH(C334,$C$2:$C$401,0)=ROW()-1,1,0))</f>
        <v/>
      </c>
    </row>
    <row r="335">
      <c r="T335" s="5">
        <f>IF(C335="","",S335*X335/100)</f>
        <v/>
      </c>
      <c r="U335" s="5">
        <f>IF(C335="","",W335*V335/100)</f>
        <v/>
      </c>
      <c r="V335" s="5">
        <f>IF(C335="","",S335-T335)</f>
        <v/>
      </c>
      <c r="Y335" s="5">
        <f>IF(C335="","",V335-U335)</f>
        <v/>
      </c>
      <c r="AH335">
        <f>IF(C335="","",N(AH334)+IF(MATCH(C335,$C$2:$C$401,0)=ROW()-1,1,0))</f>
        <v/>
      </c>
    </row>
    <row r="336">
      <c r="T336" s="5">
        <f>IF(C336="","",S336*X336/100)</f>
        <v/>
      </c>
      <c r="U336" s="5">
        <f>IF(C336="","",W336*V336/100)</f>
        <v/>
      </c>
      <c r="V336" s="5">
        <f>IF(C336="","",S336-T336)</f>
        <v/>
      </c>
      <c r="Y336" s="5">
        <f>IF(C336="","",V336-U336)</f>
        <v/>
      </c>
      <c r="AH336">
        <f>IF(C336="","",N(AH335)+IF(MATCH(C336,$C$2:$C$401,0)=ROW()-1,1,0))</f>
        <v/>
      </c>
    </row>
    <row r="337">
      <c r="T337" s="5">
        <f>IF(C337="","",S337*X337/100)</f>
        <v/>
      </c>
      <c r="U337" s="5">
        <f>IF(C337="","",W337*V337/100)</f>
        <v/>
      </c>
      <c r="V337" s="5">
        <f>IF(C337="","",S337-T337)</f>
        <v/>
      </c>
      <c r="Y337" s="5">
        <f>IF(C337="","",V337-U337)</f>
        <v/>
      </c>
      <c r="AH337">
        <f>IF(C337="","",N(AH336)+IF(MATCH(C337,$C$2:$C$401,0)=ROW()-1,1,0))</f>
        <v/>
      </c>
    </row>
    <row r="338">
      <c r="T338" s="5">
        <f>IF(C338="","",S338*X338/100)</f>
        <v/>
      </c>
      <c r="U338" s="5">
        <f>IF(C338="","",W338*V338/100)</f>
        <v/>
      </c>
      <c r="V338" s="5">
        <f>IF(C338="","",S338-T338)</f>
        <v/>
      </c>
      <c r="Y338" s="5">
        <f>IF(C338="","",V338-U338)</f>
        <v/>
      </c>
      <c r="AH338">
        <f>IF(C338="","",N(AH337)+IF(MATCH(C338,$C$2:$C$401,0)=ROW()-1,1,0))</f>
        <v/>
      </c>
    </row>
    <row r="339">
      <c r="T339" s="5">
        <f>IF(C339="","",S339*X339/100)</f>
        <v/>
      </c>
      <c r="U339" s="5">
        <f>IF(C339="","",W339*V339/100)</f>
        <v/>
      </c>
      <c r="V339" s="5">
        <f>IF(C339="","",S339-T339)</f>
        <v/>
      </c>
      <c r="Y339" s="5">
        <f>IF(C339="","",V339-U339)</f>
        <v/>
      </c>
      <c r="AH339">
        <f>IF(C339="","",N(AH338)+IF(MATCH(C339,$C$2:$C$401,0)=ROW()-1,1,0))</f>
        <v/>
      </c>
    </row>
    <row r="340">
      <c r="T340" s="5">
        <f>IF(C340="","",S340*X340/100)</f>
        <v/>
      </c>
      <c r="U340" s="5">
        <f>IF(C340="","",W340*V340/100)</f>
        <v/>
      </c>
      <c r="V340" s="5">
        <f>IF(C340="","",S340-T340)</f>
        <v/>
      </c>
      <c r="Y340" s="5">
        <f>IF(C340="","",V340-U340)</f>
        <v/>
      </c>
      <c r="AH340">
        <f>IF(C340="","",N(AH339)+IF(MATCH(C340,$C$2:$C$401,0)=ROW()-1,1,0))</f>
        <v/>
      </c>
    </row>
    <row r="341">
      <c r="T341" s="5">
        <f>IF(C341="","",S341*X341/100)</f>
        <v/>
      </c>
      <c r="U341" s="5">
        <f>IF(C341="","",W341*V341/100)</f>
        <v/>
      </c>
      <c r="V341" s="5">
        <f>IF(C341="","",S341-T341)</f>
        <v/>
      </c>
      <c r="Y341" s="5">
        <f>IF(C341="","",V341-U341)</f>
        <v/>
      </c>
      <c r="AH341">
        <f>IF(C341="","",N(AH340)+IF(MATCH(C341,$C$2:$C$401,0)=ROW()-1,1,0))</f>
        <v/>
      </c>
    </row>
    <row r="342">
      <c r="T342" s="5">
        <f>IF(C342="","",S342*X342/100)</f>
        <v/>
      </c>
      <c r="U342" s="5">
        <f>IF(C342="","",W342*V342/100)</f>
        <v/>
      </c>
      <c r="V342" s="5">
        <f>IF(C342="","",S342-T342)</f>
        <v/>
      </c>
      <c r="Y342" s="5">
        <f>IF(C342="","",V342-U342)</f>
        <v/>
      </c>
      <c r="AH342">
        <f>IF(C342="","",N(AH341)+IF(MATCH(C342,$C$2:$C$401,0)=ROW()-1,1,0))</f>
        <v/>
      </c>
    </row>
    <row r="343">
      <c r="T343" s="5">
        <f>IF(C343="","",S343*X343/100)</f>
        <v/>
      </c>
      <c r="U343" s="5">
        <f>IF(C343="","",W343*V343/100)</f>
        <v/>
      </c>
      <c r="V343" s="5">
        <f>IF(C343="","",S343-T343)</f>
        <v/>
      </c>
      <c r="Y343" s="5">
        <f>IF(C343="","",V343-U343)</f>
        <v/>
      </c>
      <c r="AH343">
        <f>IF(C343="","",N(AH342)+IF(MATCH(C343,$C$2:$C$401,0)=ROW()-1,1,0))</f>
        <v/>
      </c>
    </row>
    <row r="344">
      <c r="T344" s="5">
        <f>IF(C344="","",S344*X344/100)</f>
        <v/>
      </c>
      <c r="U344" s="5">
        <f>IF(C344="","",W344*V344/100)</f>
        <v/>
      </c>
      <c r="V344" s="5">
        <f>IF(C344="","",S344-T344)</f>
        <v/>
      </c>
      <c r="Y344" s="5">
        <f>IF(C344="","",V344-U344)</f>
        <v/>
      </c>
      <c r="AH344">
        <f>IF(C344="","",N(AH343)+IF(MATCH(C344,$C$2:$C$401,0)=ROW()-1,1,0))</f>
        <v/>
      </c>
    </row>
    <row r="345">
      <c r="T345" s="5">
        <f>IF(C345="","",S345*X345/100)</f>
        <v/>
      </c>
      <c r="U345" s="5">
        <f>IF(C345="","",W345*V345/100)</f>
        <v/>
      </c>
      <c r="V345" s="5">
        <f>IF(C345="","",S345-T345)</f>
        <v/>
      </c>
      <c r="Y345" s="5">
        <f>IF(C345="","",V345-U345)</f>
        <v/>
      </c>
      <c r="AH345">
        <f>IF(C345="","",N(AH344)+IF(MATCH(C345,$C$2:$C$401,0)=ROW()-1,1,0))</f>
        <v/>
      </c>
    </row>
    <row r="346">
      <c r="T346" s="5">
        <f>IF(C346="","",S346*X346/100)</f>
        <v/>
      </c>
      <c r="U346" s="5">
        <f>IF(C346="","",W346*V346/100)</f>
        <v/>
      </c>
      <c r="V346" s="5">
        <f>IF(C346="","",S346-T346)</f>
        <v/>
      </c>
      <c r="Y346" s="5">
        <f>IF(C346="","",V346-U346)</f>
        <v/>
      </c>
      <c r="AH346">
        <f>IF(C346="","",N(AH345)+IF(MATCH(C346,$C$2:$C$401,0)=ROW()-1,1,0))</f>
        <v/>
      </c>
    </row>
    <row r="347">
      <c r="T347" s="5">
        <f>IF(C347="","",S347*X347/100)</f>
        <v/>
      </c>
      <c r="U347" s="5">
        <f>IF(C347="","",W347*V347/100)</f>
        <v/>
      </c>
      <c r="V347" s="5">
        <f>IF(C347="","",S347-T347)</f>
        <v/>
      </c>
      <c r="Y347" s="5">
        <f>IF(C347="","",V347-U347)</f>
        <v/>
      </c>
      <c r="AH347">
        <f>IF(C347="","",N(AH346)+IF(MATCH(C347,$C$2:$C$401,0)=ROW()-1,1,0))</f>
        <v/>
      </c>
    </row>
    <row r="348">
      <c r="T348" s="5">
        <f>IF(C348="","",S348*X348/100)</f>
        <v/>
      </c>
      <c r="U348" s="5">
        <f>IF(C348="","",W348*V348/100)</f>
        <v/>
      </c>
      <c r="V348" s="5">
        <f>IF(C348="","",S348-T348)</f>
        <v/>
      </c>
      <c r="Y348" s="5">
        <f>IF(C348="","",V348-U348)</f>
        <v/>
      </c>
      <c r="AH348">
        <f>IF(C348="","",N(AH347)+IF(MATCH(C348,$C$2:$C$401,0)=ROW()-1,1,0))</f>
        <v/>
      </c>
    </row>
    <row r="349">
      <c r="T349" s="5">
        <f>IF(C349="","",S349*X349/100)</f>
        <v/>
      </c>
      <c r="U349" s="5">
        <f>IF(C349="","",W349*V349/100)</f>
        <v/>
      </c>
      <c r="V349" s="5">
        <f>IF(C349="","",S349-T349)</f>
        <v/>
      </c>
      <c r="Y349" s="5">
        <f>IF(C349="","",V349-U349)</f>
        <v/>
      </c>
      <c r="AH349">
        <f>IF(C349="","",N(AH348)+IF(MATCH(C349,$C$2:$C$401,0)=ROW()-1,1,0))</f>
        <v/>
      </c>
    </row>
    <row r="350">
      <c r="T350" s="5">
        <f>IF(C350="","",S350*X350/100)</f>
        <v/>
      </c>
      <c r="U350" s="5">
        <f>IF(C350="","",W350*V350/100)</f>
        <v/>
      </c>
      <c r="V350" s="5">
        <f>IF(C350="","",S350-T350)</f>
        <v/>
      </c>
      <c r="Y350" s="5">
        <f>IF(C350="","",V350-U350)</f>
        <v/>
      </c>
      <c r="AH350">
        <f>IF(C350="","",N(AH349)+IF(MATCH(C350,$C$2:$C$401,0)=ROW()-1,1,0))</f>
        <v/>
      </c>
    </row>
    <row r="351">
      <c r="T351" s="5">
        <f>IF(C351="","",S351*X351/100)</f>
        <v/>
      </c>
      <c r="U351" s="5">
        <f>IF(C351="","",W351*V351/100)</f>
        <v/>
      </c>
      <c r="V351" s="5">
        <f>IF(C351="","",S351-T351)</f>
        <v/>
      </c>
      <c r="Y351" s="5">
        <f>IF(C351="","",V351-U351)</f>
        <v/>
      </c>
      <c r="AH351">
        <f>IF(C351="","",N(AH350)+IF(MATCH(C351,$C$2:$C$401,0)=ROW()-1,1,0))</f>
        <v/>
      </c>
    </row>
    <row r="352">
      <c r="T352" s="5">
        <f>IF(C352="","",S352*X352/100)</f>
        <v/>
      </c>
      <c r="U352" s="5">
        <f>IF(C352="","",W352*V352/100)</f>
        <v/>
      </c>
      <c r="V352" s="5">
        <f>IF(C352="","",S352-T352)</f>
        <v/>
      </c>
      <c r="Y352" s="5">
        <f>IF(C352="","",V352-U352)</f>
        <v/>
      </c>
      <c r="AH352">
        <f>IF(C352="","",N(AH351)+IF(MATCH(C352,$C$2:$C$401,0)=ROW()-1,1,0))</f>
        <v/>
      </c>
    </row>
    <row r="353">
      <c r="T353" s="5">
        <f>IF(C353="","",S353*X353/100)</f>
        <v/>
      </c>
      <c r="U353" s="5">
        <f>IF(C353="","",W353*V353/100)</f>
        <v/>
      </c>
      <c r="V353" s="5">
        <f>IF(C353="","",S353-T353)</f>
        <v/>
      </c>
      <c r="Y353" s="5">
        <f>IF(C353="","",V353-U353)</f>
        <v/>
      </c>
      <c r="AH353">
        <f>IF(C353="","",N(AH352)+IF(MATCH(C353,$C$2:$C$401,0)=ROW()-1,1,0))</f>
        <v/>
      </c>
    </row>
    <row r="354">
      <c r="T354" s="5">
        <f>IF(C354="","",S354*X354/100)</f>
        <v/>
      </c>
      <c r="U354" s="5">
        <f>IF(C354="","",W354*V354/100)</f>
        <v/>
      </c>
      <c r="V354" s="5">
        <f>IF(C354="","",S354-T354)</f>
        <v/>
      </c>
      <c r="Y354" s="5">
        <f>IF(C354="","",V354-U354)</f>
        <v/>
      </c>
      <c r="AH354">
        <f>IF(C354="","",N(AH353)+IF(MATCH(C354,$C$2:$C$401,0)=ROW()-1,1,0))</f>
        <v/>
      </c>
    </row>
    <row r="355">
      <c r="T355" s="5">
        <f>IF(C355="","",S355*X355/100)</f>
        <v/>
      </c>
      <c r="U355" s="5">
        <f>IF(C355="","",W355*V355/100)</f>
        <v/>
      </c>
      <c r="V355" s="5">
        <f>IF(C355="","",S355-T355)</f>
        <v/>
      </c>
      <c r="Y355" s="5">
        <f>IF(C355="","",V355-U355)</f>
        <v/>
      </c>
      <c r="AH355">
        <f>IF(C355="","",N(AH354)+IF(MATCH(C355,$C$2:$C$401,0)=ROW()-1,1,0))</f>
        <v/>
      </c>
    </row>
    <row r="356">
      <c r="T356" s="5">
        <f>IF(C356="","",S356*X356/100)</f>
        <v/>
      </c>
      <c r="U356" s="5">
        <f>IF(C356="","",W356*V356/100)</f>
        <v/>
      </c>
      <c r="V356" s="5">
        <f>IF(C356="","",S356-T356)</f>
        <v/>
      </c>
      <c r="Y356" s="5">
        <f>IF(C356="","",V356-U356)</f>
        <v/>
      </c>
      <c r="AH356">
        <f>IF(C356="","",N(AH355)+IF(MATCH(C356,$C$2:$C$401,0)=ROW()-1,1,0))</f>
        <v/>
      </c>
    </row>
    <row r="357">
      <c r="T357" s="5">
        <f>IF(C357="","",S357*X357/100)</f>
        <v/>
      </c>
      <c r="U357" s="5">
        <f>IF(C357="","",W357*V357/100)</f>
        <v/>
      </c>
      <c r="V357" s="5">
        <f>IF(C357="","",S357-T357)</f>
        <v/>
      </c>
      <c r="Y357" s="5">
        <f>IF(C357="","",V357-U357)</f>
        <v/>
      </c>
      <c r="AH357">
        <f>IF(C357="","",N(AH356)+IF(MATCH(C357,$C$2:$C$401,0)=ROW()-1,1,0))</f>
        <v/>
      </c>
    </row>
    <row r="358">
      <c r="T358" s="5">
        <f>IF(C358="","",S358*X358/100)</f>
        <v/>
      </c>
      <c r="U358" s="5">
        <f>IF(C358="","",W358*V358/100)</f>
        <v/>
      </c>
      <c r="V358" s="5">
        <f>IF(C358="","",S358-T358)</f>
        <v/>
      </c>
      <c r="Y358" s="5">
        <f>IF(C358="","",V358-U358)</f>
        <v/>
      </c>
      <c r="AH358">
        <f>IF(C358="","",N(AH357)+IF(MATCH(C358,$C$2:$C$401,0)=ROW()-1,1,0))</f>
        <v/>
      </c>
    </row>
    <row r="359">
      <c r="T359" s="5">
        <f>IF(C359="","",S359*X359/100)</f>
        <v/>
      </c>
      <c r="U359" s="5">
        <f>IF(C359="","",W359*V359/100)</f>
        <v/>
      </c>
      <c r="V359" s="5">
        <f>IF(C359="","",S359-T359)</f>
        <v/>
      </c>
      <c r="Y359" s="5">
        <f>IF(C359="","",V359-U359)</f>
        <v/>
      </c>
      <c r="AH359">
        <f>IF(C359="","",N(AH358)+IF(MATCH(C359,$C$2:$C$401,0)=ROW()-1,1,0))</f>
        <v/>
      </c>
    </row>
    <row r="360">
      <c r="T360" s="5">
        <f>IF(C360="","",S360*X360/100)</f>
        <v/>
      </c>
      <c r="U360" s="5">
        <f>IF(C360="","",W360*V360/100)</f>
        <v/>
      </c>
      <c r="V360" s="5">
        <f>IF(C360="","",S360-T360)</f>
        <v/>
      </c>
      <c r="Y360" s="5">
        <f>IF(C360="","",V360-U360)</f>
        <v/>
      </c>
      <c r="AH360">
        <f>IF(C360="","",N(AH359)+IF(MATCH(C360,$C$2:$C$401,0)=ROW()-1,1,0))</f>
        <v/>
      </c>
    </row>
    <row r="361">
      <c r="T361" s="5">
        <f>IF(C361="","",S361*X361/100)</f>
        <v/>
      </c>
      <c r="U361" s="5">
        <f>IF(C361="","",W361*V361/100)</f>
        <v/>
      </c>
      <c r="V361" s="5">
        <f>IF(C361="","",S361-T361)</f>
        <v/>
      </c>
      <c r="Y361" s="5">
        <f>IF(C361="","",V361-U361)</f>
        <v/>
      </c>
      <c r="AH361">
        <f>IF(C361="","",N(AH360)+IF(MATCH(C361,$C$2:$C$401,0)=ROW()-1,1,0))</f>
        <v/>
      </c>
    </row>
    <row r="362">
      <c r="T362" s="5">
        <f>IF(C362="","",S362*X362/100)</f>
        <v/>
      </c>
      <c r="U362" s="5">
        <f>IF(C362="","",W362*V362/100)</f>
        <v/>
      </c>
      <c r="V362" s="5">
        <f>IF(C362="","",S362-T362)</f>
        <v/>
      </c>
      <c r="Y362" s="5">
        <f>IF(C362="","",V362-U362)</f>
        <v/>
      </c>
      <c r="AH362">
        <f>IF(C362="","",N(AH361)+IF(MATCH(C362,$C$2:$C$401,0)=ROW()-1,1,0))</f>
        <v/>
      </c>
    </row>
    <row r="363">
      <c r="T363" s="5">
        <f>IF(C363="","",S363*X363/100)</f>
        <v/>
      </c>
      <c r="U363" s="5">
        <f>IF(C363="","",W363*V363/100)</f>
        <v/>
      </c>
      <c r="V363" s="5">
        <f>IF(C363="","",S363-T363)</f>
        <v/>
      </c>
      <c r="Y363" s="5">
        <f>IF(C363="","",V363-U363)</f>
        <v/>
      </c>
      <c r="AH363">
        <f>IF(C363="","",N(AH362)+IF(MATCH(C363,$C$2:$C$401,0)=ROW()-1,1,0))</f>
        <v/>
      </c>
    </row>
    <row r="364">
      <c r="T364" s="5">
        <f>IF(C364="","",S364*X364/100)</f>
        <v/>
      </c>
      <c r="U364" s="5">
        <f>IF(C364="","",W364*V364/100)</f>
        <v/>
      </c>
      <c r="V364" s="5">
        <f>IF(C364="","",S364-T364)</f>
        <v/>
      </c>
      <c r="Y364" s="5">
        <f>IF(C364="","",V364-U364)</f>
        <v/>
      </c>
      <c r="AH364">
        <f>IF(C364="","",N(AH363)+IF(MATCH(C364,$C$2:$C$401,0)=ROW()-1,1,0))</f>
        <v/>
      </c>
    </row>
    <row r="365">
      <c r="T365" s="5">
        <f>IF(C365="","",S365*X365/100)</f>
        <v/>
      </c>
      <c r="U365" s="5">
        <f>IF(C365="","",W365*V365/100)</f>
        <v/>
      </c>
      <c r="V365" s="5">
        <f>IF(C365="","",S365-T365)</f>
        <v/>
      </c>
      <c r="Y365" s="5">
        <f>IF(C365="","",V365-U365)</f>
        <v/>
      </c>
      <c r="AH365">
        <f>IF(C365="","",N(AH364)+IF(MATCH(C365,$C$2:$C$401,0)=ROW()-1,1,0))</f>
        <v/>
      </c>
    </row>
    <row r="366">
      <c r="T366" s="5">
        <f>IF(C366="","",S366*X366/100)</f>
        <v/>
      </c>
      <c r="U366" s="5">
        <f>IF(C366="","",W366*V366/100)</f>
        <v/>
      </c>
      <c r="V366" s="5">
        <f>IF(C366="","",S366-T366)</f>
        <v/>
      </c>
      <c r="Y366" s="5">
        <f>IF(C366="","",V366-U366)</f>
        <v/>
      </c>
      <c r="AH366">
        <f>IF(C366="","",N(AH365)+IF(MATCH(C366,$C$2:$C$401,0)=ROW()-1,1,0))</f>
        <v/>
      </c>
    </row>
    <row r="367">
      <c r="T367" s="5">
        <f>IF(C367="","",S367*X367/100)</f>
        <v/>
      </c>
      <c r="U367" s="5">
        <f>IF(C367="","",W367*V367/100)</f>
        <v/>
      </c>
      <c r="V367" s="5">
        <f>IF(C367="","",S367-T367)</f>
        <v/>
      </c>
      <c r="Y367" s="5">
        <f>IF(C367="","",V367-U367)</f>
        <v/>
      </c>
      <c r="AH367">
        <f>IF(C367="","",N(AH366)+IF(MATCH(C367,$C$2:$C$401,0)=ROW()-1,1,0))</f>
        <v/>
      </c>
    </row>
    <row r="368">
      <c r="T368" s="5">
        <f>IF(C368="","",S368*X368/100)</f>
        <v/>
      </c>
      <c r="U368" s="5">
        <f>IF(C368="","",W368*V368/100)</f>
        <v/>
      </c>
      <c r="V368" s="5">
        <f>IF(C368="","",S368-T368)</f>
        <v/>
      </c>
      <c r="Y368" s="5">
        <f>IF(C368="","",V368-U368)</f>
        <v/>
      </c>
      <c r="AH368">
        <f>IF(C368="","",N(AH367)+IF(MATCH(C368,$C$2:$C$401,0)=ROW()-1,1,0))</f>
        <v/>
      </c>
    </row>
    <row r="369">
      <c r="T369" s="5">
        <f>IF(C369="","",S369*X369/100)</f>
        <v/>
      </c>
      <c r="U369" s="5">
        <f>IF(C369="","",W369*V369/100)</f>
        <v/>
      </c>
      <c r="V369" s="5">
        <f>IF(C369="","",S369-T369)</f>
        <v/>
      </c>
      <c r="Y369" s="5">
        <f>IF(C369="","",V369-U369)</f>
        <v/>
      </c>
      <c r="AH369">
        <f>IF(C369="","",N(AH368)+IF(MATCH(C369,$C$2:$C$401,0)=ROW()-1,1,0))</f>
        <v/>
      </c>
    </row>
    <row r="370">
      <c r="T370" s="5">
        <f>IF(C370="","",S370*X370/100)</f>
        <v/>
      </c>
      <c r="U370" s="5">
        <f>IF(C370="","",W370*V370/100)</f>
        <v/>
      </c>
      <c r="V370" s="5">
        <f>IF(C370="","",S370-T370)</f>
        <v/>
      </c>
      <c r="Y370" s="5">
        <f>IF(C370="","",V370-U370)</f>
        <v/>
      </c>
      <c r="AH370">
        <f>IF(C370="","",N(AH369)+IF(MATCH(C370,$C$2:$C$401,0)=ROW()-1,1,0))</f>
        <v/>
      </c>
    </row>
    <row r="371">
      <c r="T371" s="5">
        <f>IF(C371="","",S371*X371/100)</f>
        <v/>
      </c>
      <c r="U371" s="5">
        <f>IF(C371="","",W371*V371/100)</f>
        <v/>
      </c>
      <c r="V371" s="5">
        <f>IF(C371="","",S371-T371)</f>
        <v/>
      </c>
      <c r="Y371" s="5">
        <f>IF(C371="","",V371-U371)</f>
        <v/>
      </c>
      <c r="AH371">
        <f>IF(C371="","",N(AH370)+IF(MATCH(C371,$C$2:$C$401,0)=ROW()-1,1,0))</f>
        <v/>
      </c>
    </row>
    <row r="372">
      <c r="T372" s="5">
        <f>IF(C372="","",S372*X372/100)</f>
        <v/>
      </c>
      <c r="U372" s="5">
        <f>IF(C372="","",W372*V372/100)</f>
        <v/>
      </c>
      <c r="V372" s="5">
        <f>IF(C372="","",S372-T372)</f>
        <v/>
      </c>
      <c r="Y372" s="5">
        <f>IF(C372="","",V372-U372)</f>
        <v/>
      </c>
      <c r="AH372">
        <f>IF(C372="","",N(AH371)+IF(MATCH(C372,$C$2:$C$401,0)=ROW()-1,1,0))</f>
        <v/>
      </c>
    </row>
    <row r="373">
      <c r="T373" s="5">
        <f>IF(C373="","",S373*X373/100)</f>
        <v/>
      </c>
      <c r="U373" s="5">
        <f>IF(C373="","",W373*V373/100)</f>
        <v/>
      </c>
      <c r="V373" s="5">
        <f>IF(C373="","",S373-T373)</f>
        <v/>
      </c>
      <c r="Y373" s="5">
        <f>IF(C373="","",V373-U373)</f>
        <v/>
      </c>
      <c r="AH373">
        <f>IF(C373="","",N(AH372)+IF(MATCH(C373,$C$2:$C$401,0)=ROW()-1,1,0))</f>
        <v/>
      </c>
    </row>
    <row r="374">
      <c r="T374" s="5">
        <f>IF(C374="","",S374*X374/100)</f>
        <v/>
      </c>
      <c r="U374" s="5">
        <f>IF(C374="","",W374*V374/100)</f>
        <v/>
      </c>
      <c r="V374" s="5">
        <f>IF(C374="","",S374-T374)</f>
        <v/>
      </c>
      <c r="Y374" s="5">
        <f>IF(C374="","",V374-U374)</f>
        <v/>
      </c>
      <c r="AH374">
        <f>IF(C374="","",N(AH373)+IF(MATCH(C374,$C$2:$C$401,0)=ROW()-1,1,0))</f>
        <v/>
      </c>
    </row>
    <row r="375">
      <c r="T375" s="5">
        <f>IF(C375="","",S375*X375/100)</f>
        <v/>
      </c>
      <c r="U375" s="5">
        <f>IF(C375="","",W375*V375/100)</f>
        <v/>
      </c>
      <c r="V375" s="5">
        <f>IF(C375="","",S375-T375)</f>
        <v/>
      </c>
      <c r="Y375" s="5">
        <f>IF(C375="","",V375-U375)</f>
        <v/>
      </c>
      <c r="AH375">
        <f>IF(C375="","",N(AH374)+IF(MATCH(C375,$C$2:$C$401,0)=ROW()-1,1,0))</f>
        <v/>
      </c>
    </row>
    <row r="376">
      <c r="T376" s="5">
        <f>IF(C376="","",S376*X376/100)</f>
        <v/>
      </c>
      <c r="U376" s="5">
        <f>IF(C376="","",W376*V376/100)</f>
        <v/>
      </c>
      <c r="V376" s="5">
        <f>IF(C376="","",S376-T376)</f>
        <v/>
      </c>
      <c r="Y376" s="5">
        <f>IF(C376="","",V376-U376)</f>
        <v/>
      </c>
      <c r="AH376">
        <f>IF(C376="","",N(AH375)+IF(MATCH(C376,$C$2:$C$401,0)=ROW()-1,1,0))</f>
        <v/>
      </c>
    </row>
    <row r="377">
      <c r="T377" s="5">
        <f>IF(C377="","",S377*X377/100)</f>
        <v/>
      </c>
      <c r="U377" s="5">
        <f>IF(C377="","",W377*V377/100)</f>
        <v/>
      </c>
      <c r="V377" s="5">
        <f>IF(C377="","",S377-T377)</f>
        <v/>
      </c>
      <c r="Y377" s="5">
        <f>IF(C377="","",V377-U377)</f>
        <v/>
      </c>
      <c r="AH377">
        <f>IF(C377="","",N(AH376)+IF(MATCH(C377,$C$2:$C$401,0)=ROW()-1,1,0))</f>
        <v/>
      </c>
    </row>
    <row r="378">
      <c r="T378" s="5">
        <f>IF(C378="","",S378*X378/100)</f>
        <v/>
      </c>
      <c r="U378" s="5">
        <f>IF(C378="","",W378*V378/100)</f>
        <v/>
      </c>
      <c r="V378" s="5">
        <f>IF(C378="","",S378-T378)</f>
        <v/>
      </c>
      <c r="Y378" s="5">
        <f>IF(C378="","",V378-U378)</f>
        <v/>
      </c>
      <c r="AH378">
        <f>IF(C378="","",N(AH377)+IF(MATCH(C378,$C$2:$C$401,0)=ROW()-1,1,0))</f>
        <v/>
      </c>
    </row>
    <row r="379">
      <c r="T379" s="5">
        <f>IF(C379="","",S379*X379/100)</f>
        <v/>
      </c>
      <c r="U379" s="5">
        <f>IF(C379="","",W379*V379/100)</f>
        <v/>
      </c>
      <c r="V379" s="5">
        <f>IF(C379="","",S379-T379)</f>
        <v/>
      </c>
      <c r="Y379" s="5">
        <f>IF(C379="","",V379-U379)</f>
        <v/>
      </c>
      <c r="AH379">
        <f>IF(C379="","",N(AH378)+IF(MATCH(C379,$C$2:$C$401,0)=ROW()-1,1,0))</f>
        <v/>
      </c>
    </row>
    <row r="380">
      <c r="T380" s="5">
        <f>IF(C380="","",S380*X380/100)</f>
        <v/>
      </c>
      <c r="U380" s="5">
        <f>IF(C380="","",W380*V380/100)</f>
        <v/>
      </c>
      <c r="V380" s="5">
        <f>IF(C380="","",S380-T380)</f>
        <v/>
      </c>
      <c r="Y380" s="5">
        <f>IF(C380="","",V380-U380)</f>
        <v/>
      </c>
      <c r="AH380">
        <f>IF(C380="","",N(AH379)+IF(MATCH(C380,$C$2:$C$401,0)=ROW()-1,1,0))</f>
        <v/>
      </c>
    </row>
    <row r="381">
      <c r="T381" s="5">
        <f>IF(C381="","",S381*X381/100)</f>
        <v/>
      </c>
      <c r="U381" s="5">
        <f>IF(C381="","",W381*V381/100)</f>
        <v/>
      </c>
      <c r="V381" s="5">
        <f>IF(C381="","",S381-T381)</f>
        <v/>
      </c>
      <c r="Y381" s="5">
        <f>IF(C381="","",V381-U381)</f>
        <v/>
      </c>
      <c r="AH381">
        <f>IF(C381="","",N(AH380)+IF(MATCH(C381,$C$2:$C$401,0)=ROW()-1,1,0))</f>
        <v/>
      </c>
    </row>
    <row r="382">
      <c r="T382" s="5">
        <f>IF(C382="","",S382*X382/100)</f>
        <v/>
      </c>
      <c r="U382" s="5">
        <f>IF(C382="","",W382*V382/100)</f>
        <v/>
      </c>
      <c r="V382" s="5">
        <f>IF(C382="","",S382-T382)</f>
        <v/>
      </c>
      <c r="Y382" s="5">
        <f>IF(C382="","",V382-U382)</f>
        <v/>
      </c>
      <c r="AH382">
        <f>IF(C382="","",N(AH381)+IF(MATCH(C382,$C$2:$C$401,0)=ROW()-1,1,0))</f>
        <v/>
      </c>
    </row>
    <row r="383">
      <c r="T383" s="5">
        <f>IF(C383="","",S383*X383/100)</f>
        <v/>
      </c>
      <c r="U383" s="5">
        <f>IF(C383="","",W383*V383/100)</f>
        <v/>
      </c>
      <c r="V383" s="5">
        <f>IF(C383="","",S383-T383)</f>
        <v/>
      </c>
      <c r="Y383" s="5">
        <f>IF(C383="","",V383-U383)</f>
        <v/>
      </c>
      <c r="AH383">
        <f>IF(C383="","",N(AH382)+IF(MATCH(C383,$C$2:$C$401,0)=ROW()-1,1,0))</f>
        <v/>
      </c>
    </row>
    <row r="384">
      <c r="T384" s="5">
        <f>IF(C384="","",S384*X384/100)</f>
        <v/>
      </c>
      <c r="U384" s="5">
        <f>IF(C384="","",W384*V384/100)</f>
        <v/>
      </c>
      <c r="V384" s="5">
        <f>IF(C384="","",S384-T384)</f>
        <v/>
      </c>
      <c r="Y384" s="5">
        <f>IF(C384="","",V384-U384)</f>
        <v/>
      </c>
      <c r="AH384">
        <f>IF(C384="","",N(AH383)+IF(MATCH(C384,$C$2:$C$401,0)=ROW()-1,1,0))</f>
        <v/>
      </c>
    </row>
    <row r="385">
      <c r="T385" s="5">
        <f>IF(C385="","",S385*X385/100)</f>
        <v/>
      </c>
      <c r="U385" s="5">
        <f>IF(C385="","",W385*V385/100)</f>
        <v/>
      </c>
      <c r="V385" s="5">
        <f>IF(C385="","",S385-T385)</f>
        <v/>
      </c>
      <c r="Y385" s="5">
        <f>IF(C385="","",V385-U385)</f>
        <v/>
      </c>
      <c r="AH385">
        <f>IF(C385="","",N(AH384)+IF(MATCH(C385,$C$2:$C$401,0)=ROW()-1,1,0))</f>
        <v/>
      </c>
    </row>
    <row r="386">
      <c r="T386" s="5">
        <f>IF(C386="","",S386*X386/100)</f>
        <v/>
      </c>
      <c r="U386" s="5">
        <f>IF(C386="","",W386*V386/100)</f>
        <v/>
      </c>
      <c r="V386" s="5">
        <f>IF(C386="","",S386-T386)</f>
        <v/>
      </c>
      <c r="Y386" s="5">
        <f>IF(C386="","",V386-U386)</f>
        <v/>
      </c>
      <c r="AH386">
        <f>IF(C386="","",N(AH385)+IF(MATCH(C386,$C$2:$C$401,0)=ROW()-1,1,0))</f>
        <v/>
      </c>
    </row>
    <row r="387">
      <c r="T387" s="5">
        <f>IF(C387="","",S387*X387/100)</f>
        <v/>
      </c>
      <c r="U387" s="5">
        <f>IF(C387="","",W387*V387/100)</f>
        <v/>
      </c>
      <c r="V387" s="5">
        <f>IF(C387="","",S387-T387)</f>
        <v/>
      </c>
      <c r="Y387" s="5">
        <f>IF(C387="","",V387-U387)</f>
        <v/>
      </c>
      <c r="AH387">
        <f>IF(C387="","",N(AH386)+IF(MATCH(C387,$C$2:$C$401,0)=ROW()-1,1,0))</f>
        <v/>
      </c>
    </row>
    <row r="388">
      <c r="T388" s="5">
        <f>IF(C388="","",S388*X388/100)</f>
        <v/>
      </c>
      <c r="U388" s="5">
        <f>IF(C388="","",W388*V388/100)</f>
        <v/>
      </c>
      <c r="V388" s="5">
        <f>IF(C388="","",S388-T388)</f>
        <v/>
      </c>
      <c r="Y388" s="5">
        <f>IF(C388="","",V388-U388)</f>
        <v/>
      </c>
      <c r="AH388">
        <f>IF(C388="","",N(AH387)+IF(MATCH(C388,$C$2:$C$401,0)=ROW()-1,1,0))</f>
        <v/>
      </c>
    </row>
    <row r="389">
      <c r="T389" s="5">
        <f>IF(C389="","",S389*X389/100)</f>
        <v/>
      </c>
      <c r="U389" s="5">
        <f>IF(C389="","",W389*V389/100)</f>
        <v/>
      </c>
      <c r="V389" s="5">
        <f>IF(C389="","",S389-T389)</f>
        <v/>
      </c>
      <c r="Y389" s="5">
        <f>IF(C389="","",V389-U389)</f>
        <v/>
      </c>
      <c r="AH389">
        <f>IF(C389="","",N(AH388)+IF(MATCH(C389,$C$2:$C$401,0)=ROW()-1,1,0))</f>
        <v/>
      </c>
    </row>
    <row r="390">
      <c r="T390" s="5">
        <f>IF(C390="","",S390*X390/100)</f>
        <v/>
      </c>
      <c r="U390" s="5">
        <f>IF(C390="","",W390*V390/100)</f>
        <v/>
      </c>
      <c r="V390" s="5">
        <f>IF(C390="","",S390-T390)</f>
        <v/>
      </c>
      <c r="Y390" s="5">
        <f>IF(C390="","",V390-U390)</f>
        <v/>
      </c>
      <c r="AH390">
        <f>IF(C390="","",N(AH389)+IF(MATCH(C390,$C$2:$C$401,0)=ROW()-1,1,0))</f>
        <v/>
      </c>
    </row>
    <row r="391">
      <c r="T391" s="5">
        <f>IF(C391="","",S391*X391/100)</f>
        <v/>
      </c>
      <c r="U391" s="5">
        <f>IF(C391="","",W391*V391/100)</f>
        <v/>
      </c>
      <c r="V391" s="5">
        <f>IF(C391="","",S391-T391)</f>
        <v/>
      </c>
      <c r="Y391" s="5">
        <f>IF(C391="","",V391-U391)</f>
        <v/>
      </c>
      <c r="AH391">
        <f>IF(C391="","",N(AH390)+IF(MATCH(C391,$C$2:$C$401,0)=ROW()-1,1,0))</f>
        <v/>
      </c>
    </row>
    <row r="392">
      <c r="T392" s="5">
        <f>IF(C392="","",S392*X392/100)</f>
        <v/>
      </c>
      <c r="U392" s="5">
        <f>IF(C392="","",W392*V392/100)</f>
        <v/>
      </c>
      <c r="V392" s="5">
        <f>IF(C392="","",S392-T392)</f>
        <v/>
      </c>
      <c r="Y392" s="5">
        <f>IF(C392="","",V392-U392)</f>
        <v/>
      </c>
      <c r="AH392">
        <f>IF(C392="","",N(AH391)+IF(MATCH(C392,$C$2:$C$401,0)=ROW()-1,1,0))</f>
        <v/>
      </c>
    </row>
    <row r="393">
      <c r="T393" s="5">
        <f>IF(C393="","",S393*X393/100)</f>
        <v/>
      </c>
      <c r="U393" s="5">
        <f>IF(C393="","",W393*V393/100)</f>
        <v/>
      </c>
      <c r="V393" s="5">
        <f>IF(C393="","",S393-T393)</f>
        <v/>
      </c>
      <c r="Y393" s="5">
        <f>IF(C393="","",V393-U393)</f>
        <v/>
      </c>
      <c r="AH393">
        <f>IF(C393="","",N(AH392)+IF(MATCH(C393,$C$2:$C$401,0)=ROW()-1,1,0))</f>
        <v/>
      </c>
    </row>
    <row r="394">
      <c r="T394" s="5">
        <f>IF(C394="","",S394*X394/100)</f>
        <v/>
      </c>
      <c r="U394" s="5">
        <f>IF(C394="","",W394*V394/100)</f>
        <v/>
      </c>
      <c r="V394" s="5">
        <f>IF(C394="","",S394-T394)</f>
        <v/>
      </c>
      <c r="Y394" s="5">
        <f>IF(C394="","",V394-U394)</f>
        <v/>
      </c>
      <c r="AH394">
        <f>IF(C394="","",N(AH393)+IF(MATCH(C394,$C$2:$C$401,0)=ROW()-1,1,0))</f>
        <v/>
      </c>
    </row>
    <row r="395">
      <c r="T395" s="5">
        <f>IF(C395="","",S395*X395/100)</f>
        <v/>
      </c>
      <c r="U395" s="5">
        <f>IF(C395="","",W395*V395/100)</f>
        <v/>
      </c>
      <c r="V395" s="5">
        <f>IF(C395="","",S395-T395)</f>
        <v/>
      </c>
      <c r="Y395" s="5">
        <f>IF(C395="","",V395-U395)</f>
        <v/>
      </c>
      <c r="AH395">
        <f>IF(C395="","",N(AH394)+IF(MATCH(C395,$C$2:$C$401,0)=ROW()-1,1,0))</f>
        <v/>
      </c>
    </row>
    <row r="396">
      <c r="T396" s="5">
        <f>IF(C396="","",S396*X396/100)</f>
        <v/>
      </c>
      <c r="U396" s="5">
        <f>IF(C396="","",W396*V396/100)</f>
        <v/>
      </c>
      <c r="V396" s="5">
        <f>IF(C396="","",S396-T396)</f>
        <v/>
      </c>
      <c r="Y396" s="5">
        <f>IF(C396="","",V396-U396)</f>
        <v/>
      </c>
      <c r="AH396">
        <f>IF(C396="","",N(AH395)+IF(MATCH(C396,$C$2:$C$401,0)=ROW()-1,1,0))</f>
        <v/>
      </c>
    </row>
    <row r="397">
      <c r="T397" s="5">
        <f>IF(C397="","",S397*X397/100)</f>
        <v/>
      </c>
      <c r="U397" s="5">
        <f>IF(C397="","",W397*V397/100)</f>
        <v/>
      </c>
      <c r="V397" s="5">
        <f>IF(C397="","",S397-T397)</f>
        <v/>
      </c>
      <c r="Y397" s="5">
        <f>IF(C397="","",V397-U397)</f>
        <v/>
      </c>
      <c r="AH397">
        <f>IF(C397="","",N(AH396)+IF(MATCH(C397,$C$2:$C$401,0)=ROW()-1,1,0))</f>
        <v/>
      </c>
    </row>
    <row r="398">
      <c r="T398" s="5">
        <f>IF(C398="","",S398*X398/100)</f>
        <v/>
      </c>
      <c r="U398" s="5">
        <f>IF(C398="","",W398*V398/100)</f>
        <v/>
      </c>
      <c r="V398" s="5">
        <f>IF(C398="","",S398-T398)</f>
        <v/>
      </c>
      <c r="Y398" s="5">
        <f>IF(C398="","",V398-U398)</f>
        <v/>
      </c>
      <c r="AH398">
        <f>IF(C398="","",N(AH397)+IF(MATCH(C398,$C$2:$C$401,0)=ROW()-1,1,0))</f>
        <v/>
      </c>
    </row>
    <row r="399">
      <c r="T399" s="5">
        <f>IF(C399="","",S399*X399/100)</f>
        <v/>
      </c>
      <c r="U399" s="5">
        <f>IF(C399="","",W399*V399/100)</f>
        <v/>
      </c>
      <c r="V399" s="5">
        <f>IF(C399="","",S399-T399)</f>
        <v/>
      </c>
      <c r="Y399" s="5">
        <f>IF(C399="","",V399-U399)</f>
        <v/>
      </c>
      <c r="AH399">
        <f>IF(C399="","",N(AH398)+IF(MATCH(C399,$C$2:$C$401,0)=ROW()-1,1,0))</f>
        <v/>
      </c>
    </row>
    <row r="400">
      <c r="T400" s="5">
        <f>IF(C400="","",S400*X400/100)</f>
        <v/>
      </c>
      <c r="U400" s="5">
        <f>IF(C400="","",W400*V400/100)</f>
        <v/>
      </c>
      <c r="V400" s="5">
        <f>IF(C400="","",S400-T400)</f>
        <v/>
      </c>
      <c r="Y400" s="5">
        <f>IF(C400="","",V400-U400)</f>
        <v/>
      </c>
      <c r="AH400">
        <f>IF(C400="","",N(AH399)+IF(MATCH(C400,$C$2:$C$401,0)=ROW()-1,1,0))</f>
        <v/>
      </c>
    </row>
    <row r="401">
      <c r="T401" s="5">
        <f>IF(C401="","",S401*X401/100)</f>
        <v/>
      </c>
      <c r="U401" s="5">
        <f>IF(C401="","",W401*V401/100)</f>
        <v/>
      </c>
      <c r="V401" s="5">
        <f>IF(C401="","",S401-T401)</f>
        <v/>
      </c>
      <c r="Y401" s="5">
        <f>IF(C401="","",V401-U401)</f>
        <v/>
      </c>
      <c r="AH401">
        <f>IF(C401="","",N(AH400)+IF(MATCH(C401,$C$2:$C$401,0)=ROW()-1,1,0))</f>
        <v/>
      </c>
    </row>
  </sheetData>
  <autoFilter ref="A1:AH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</cols>
  <sheetData>
    <row r="1" ht="32" customHeight="1">
      <c r="A1" s="6" t="inlineStr">
        <is>
          <t>INV</t>
        </is>
      </c>
      <c r="B1" s="7" t="inlineStr">
        <is>
          <t>SSNBR</t>
        </is>
      </c>
      <c r="C1" s="7" t="inlineStr">
        <is>
          <t>So</t>
        </is>
      </c>
      <c r="D1" s="7" t="inlineStr">
        <is>
          <t>Lot</t>
        </is>
      </c>
      <c r="E1" s="7" t="inlineStr">
        <is>
          <t>Individual Number</t>
        </is>
      </c>
      <c r="F1" s="7" t="inlineStr">
        <is>
          <t>Svc Date</t>
        </is>
      </c>
      <c r="G1" s="7" t="inlineStr">
        <is>
          <t>Sum of Total Approved</t>
        </is>
      </c>
      <c r="H1" s="7" t="inlineStr">
        <is>
          <t>Sum of dis</t>
        </is>
      </c>
      <c r="I1" s="7" t="inlineStr">
        <is>
          <t>Sum of Paid Amount</t>
        </is>
      </c>
      <c r="J1" s="7" t="inlineStr">
        <is>
          <t>Sum of Subtotal</t>
        </is>
      </c>
      <c r="K1" s="7" t="inlineStr">
        <is>
          <t>Sum of Net Amt</t>
        </is>
      </c>
      <c r="L1" s="8" t="inlineStr">
        <is>
          <t>Src Row (helper)</t>
        </is>
      </c>
    </row>
    <row r="2">
      <c r="B2">
        <f>IF($L2="","",INDEX('Per Line'!$B$2:$B$401,$L2))</f>
        <v/>
      </c>
      <c r="C2">
        <f>IF($L2="","",INDEX('Per Line'!$C$2:$C$401,$L2))</f>
        <v/>
      </c>
      <c r="D2">
        <f>IF($L2="","",INDEX('Per Line'!$A$2:$A$401,$L2))</f>
        <v/>
      </c>
      <c r="E2">
        <f>IF($L2="","",INDEX('Per Line'!$D$2:$D$401,$L2))</f>
        <v/>
      </c>
      <c r="F2">
        <f>IF($L2="","",INDEX('Per Line'!$Q$2:$Q$401,$L2))</f>
        <v/>
      </c>
      <c r="G2" s="5">
        <f>IF($L2="","",SUMIFS('Per Line'!$S$2:$S$401,'Per Line'!$C$2:$C$401,$C2))</f>
        <v/>
      </c>
      <c r="H2" s="5">
        <f>IF($L2="","",SUMIFS('Per Line'!$T$2:$T$401,'Per Line'!$C$2:$C$401,$C2))</f>
        <v/>
      </c>
      <c r="I2" s="5">
        <f>IF($L2="","",SUMIFS('Per Line'!$U$2:$U$401,'Per Line'!$C$2:$C$401,$C2))</f>
        <v/>
      </c>
      <c r="J2" s="5">
        <f>IF($L2="","",G2-H2)</f>
        <v/>
      </c>
      <c r="K2" s="5">
        <f>IF($L2="","",J2-I2)</f>
        <v/>
      </c>
      <c r="L2">
        <f>IF(ROWS($L$2:$L2)&lt;=MAX('Per Line'!$AH$2:$AH$401),MATCH(ROWS($L$2:$L2),'Per Line'!$AH$2:$AH$401,0),"")</f>
        <v/>
      </c>
    </row>
    <row r="3">
      <c r="B3">
        <f>IF($L3="","",INDEX('Per Line'!$B$2:$B$401,$L3))</f>
        <v/>
      </c>
      <c r="C3">
        <f>IF($L3="","",INDEX('Per Line'!$C$2:$C$401,$L3))</f>
        <v/>
      </c>
      <c r="D3">
        <f>IF($L3="","",INDEX('Per Line'!$A$2:$A$401,$L3))</f>
        <v/>
      </c>
      <c r="E3">
        <f>IF($L3="","",INDEX('Per Line'!$D$2:$D$401,$L3))</f>
        <v/>
      </c>
      <c r="F3">
        <f>IF($L3="","",INDEX('Per Line'!$Q$2:$Q$401,$L3))</f>
        <v/>
      </c>
      <c r="G3" s="5">
        <f>IF($L3="","",SUMIFS('Per Line'!$S$2:$S$401,'Per Line'!$C$2:$C$401,$C3))</f>
        <v/>
      </c>
      <c r="H3" s="5">
        <f>IF($L3="","",SUMIFS('Per Line'!$T$2:$T$401,'Per Line'!$C$2:$C$401,$C3))</f>
        <v/>
      </c>
      <c r="I3" s="5">
        <f>IF($L3="","",SUMIFS('Per Line'!$U$2:$U$401,'Per Line'!$C$2:$C$401,$C3))</f>
        <v/>
      </c>
      <c r="J3" s="5">
        <f>IF($L3="","",G3-H3)</f>
        <v/>
      </c>
      <c r="K3" s="5">
        <f>IF($L3="","",J3-I3)</f>
        <v/>
      </c>
      <c r="L3">
        <f>IF(ROWS($L$2:$L3)&lt;=MAX('Per Line'!$AH$2:$AH$401),MATCH(ROWS($L$2:$L3),'Per Line'!$AH$2:$AH$401,0),"")</f>
        <v/>
      </c>
    </row>
    <row r="4">
      <c r="B4">
        <f>IF($L4="","",INDEX('Per Line'!$B$2:$B$401,$L4))</f>
        <v/>
      </c>
      <c r="C4">
        <f>IF($L4="","",INDEX('Per Line'!$C$2:$C$401,$L4))</f>
        <v/>
      </c>
      <c r="D4">
        <f>IF($L4="","",INDEX('Per Line'!$A$2:$A$401,$L4))</f>
        <v/>
      </c>
      <c r="E4">
        <f>IF($L4="","",INDEX('Per Line'!$D$2:$D$401,$L4))</f>
        <v/>
      </c>
      <c r="F4">
        <f>IF($L4="","",INDEX('Per Line'!$Q$2:$Q$401,$L4))</f>
        <v/>
      </c>
      <c r="G4" s="5">
        <f>IF($L4="","",SUMIFS('Per Line'!$S$2:$S$401,'Per Line'!$C$2:$C$401,$C4))</f>
        <v/>
      </c>
      <c r="H4" s="5">
        <f>IF($L4="","",SUMIFS('Per Line'!$T$2:$T$401,'Per Line'!$C$2:$C$401,$C4))</f>
        <v/>
      </c>
      <c r="I4" s="5">
        <f>IF($L4="","",SUMIFS('Per Line'!$U$2:$U$401,'Per Line'!$C$2:$C$401,$C4))</f>
        <v/>
      </c>
      <c r="J4" s="5">
        <f>IF($L4="","",G4-H4)</f>
        <v/>
      </c>
      <c r="K4" s="5">
        <f>IF($L4="","",J4-I4)</f>
        <v/>
      </c>
      <c r="L4">
        <f>IF(ROWS($L$2:$L4)&lt;=MAX('Per Line'!$AH$2:$AH$401),MATCH(ROWS($L$2:$L4),'Per Line'!$AH$2:$AH$401,0),"")</f>
        <v/>
      </c>
    </row>
    <row r="5">
      <c r="B5">
        <f>IF($L5="","",INDEX('Per Line'!$B$2:$B$401,$L5))</f>
        <v/>
      </c>
      <c r="C5">
        <f>IF($L5="","",INDEX('Per Line'!$C$2:$C$401,$L5))</f>
        <v/>
      </c>
      <c r="D5">
        <f>IF($L5="","",INDEX('Per Line'!$A$2:$A$401,$L5))</f>
        <v/>
      </c>
      <c r="E5">
        <f>IF($L5="","",INDEX('Per Line'!$D$2:$D$401,$L5))</f>
        <v/>
      </c>
      <c r="F5">
        <f>IF($L5="","",INDEX('Per Line'!$Q$2:$Q$401,$L5))</f>
        <v/>
      </c>
      <c r="G5" s="5">
        <f>IF($L5="","",SUMIFS('Per Line'!$S$2:$S$401,'Per Line'!$C$2:$C$401,$C5))</f>
        <v/>
      </c>
      <c r="H5" s="5">
        <f>IF($L5="","",SUMIFS('Per Line'!$T$2:$T$401,'Per Line'!$C$2:$C$401,$C5))</f>
        <v/>
      </c>
      <c r="I5" s="5">
        <f>IF($L5="","",SUMIFS('Per Line'!$U$2:$U$401,'Per Line'!$C$2:$C$401,$C5))</f>
        <v/>
      </c>
      <c r="J5" s="5">
        <f>IF($L5="","",G5-H5)</f>
        <v/>
      </c>
      <c r="K5" s="5">
        <f>IF($L5="","",J5-I5)</f>
        <v/>
      </c>
      <c r="L5">
        <f>IF(ROWS($L$2:$L5)&lt;=MAX('Per Line'!$AH$2:$AH$401),MATCH(ROWS($L$2:$L5),'Per Line'!$AH$2:$AH$401,0),"")</f>
        <v/>
      </c>
    </row>
    <row r="6">
      <c r="B6">
        <f>IF($L6="","",INDEX('Per Line'!$B$2:$B$401,$L6))</f>
        <v/>
      </c>
      <c r="C6">
        <f>IF($L6="","",INDEX('Per Line'!$C$2:$C$401,$L6))</f>
        <v/>
      </c>
      <c r="D6">
        <f>IF($L6="","",INDEX('Per Line'!$A$2:$A$401,$L6))</f>
        <v/>
      </c>
      <c r="E6">
        <f>IF($L6="","",INDEX('Per Line'!$D$2:$D$401,$L6))</f>
        <v/>
      </c>
      <c r="F6">
        <f>IF($L6="","",INDEX('Per Line'!$Q$2:$Q$401,$L6))</f>
        <v/>
      </c>
      <c r="G6" s="5">
        <f>IF($L6="","",SUMIFS('Per Line'!$S$2:$S$401,'Per Line'!$C$2:$C$401,$C6))</f>
        <v/>
      </c>
      <c r="H6" s="5">
        <f>IF($L6="","",SUMIFS('Per Line'!$T$2:$T$401,'Per Line'!$C$2:$C$401,$C6))</f>
        <v/>
      </c>
      <c r="I6" s="5">
        <f>IF($L6="","",SUMIFS('Per Line'!$U$2:$U$401,'Per Line'!$C$2:$C$401,$C6))</f>
        <v/>
      </c>
      <c r="J6" s="5">
        <f>IF($L6="","",G6-H6)</f>
        <v/>
      </c>
      <c r="K6" s="5">
        <f>IF($L6="","",J6-I6)</f>
        <v/>
      </c>
      <c r="L6">
        <f>IF(ROWS($L$2:$L6)&lt;=MAX('Per Line'!$AH$2:$AH$401),MATCH(ROWS($L$2:$L6),'Per Line'!$AH$2:$AH$401,0),"")</f>
        <v/>
      </c>
    </row>
    <row r="7">
      <c r="B7">
        <f>IF($L7="","",INDEX('Per Line'!$B$2:$B$401,$L7))</f>
        <v/>
      </c>
      <c r="C7">
        <f>IF($L7="","",INDEX('Per Line'!$C$2:$C$401,$L7))</f>
        <v/>
      </c>
      <c r="D7">
        <f>IF($L7="","",INDEX('Per Line'!$A$2:$A$401,$L7))</f>
        <v/>
      </c>
      <c r="E7">
        <f>IF($L7="","",INDEX('Per Line'!$D$2:$D$401,$L7))</f>
        <v/>
      </c>
      <c r="F7">
        <f>IF($L7="","",INDEX('Per Line'!$Q$2:$Q$401,$L7))</f>
        <v/>
      </c>
      <c r="G7" s="5">
        <f>IF($L7="","",SUMIFS('Per Line'!$S$2:$S$401,'Per Line'!$C$2:$C$401,$C7))</f>
        <v/>
      </c>
      <c r="H7" s="5">
        <f>IF($L7="","",SUMIFS('Per Line'!$T$2:$T$401,'Per Line'!$C$2:$C$401,$C7))</f>
        <v/>
      </c>
      <c r="I7" s="5">
        <f>IF($L7="","",SUMIFS('Per Line'!$U$2:$U$401,'Per Line'!$C$2:$C$401,$C7))</f>
        <v/>
      </c>
      <c r="J7" s="5">
        <f>IF($L7="","",G7-H7)</f>
        <v/>
      </c>
      <c r="K7" s="5">
        <f>IF($L7="","",J7-I7)</f>
        <v/>
      </c>
      <c r="L7">
        <f>IF(ROWS($L$2:$L7)&lt;=MAX('Per Line'!$AH$2:$AH$401),MATCH(ROWS($L$2:$L7),'Per Line'!$AH$2:$AH$401,0),"")</f>
        <v/>
      </c>
    </row>
    <row r="8">
      <c r="B8">
        <f>IF($L8="","",INDEX('Per Line'!$B$2:$B$401,$L8))</f>
        <v/>
      </c>
      <c r="C8">
        <f>IF($L8="","",INDEX('Per Line'!$C$2:$C$401,$L8))</f>
        <v/>
      </c>
      <c r="D8">
        <f>IF($L8="","",INDEX('Per Line'!$A$2:$A$401,$L8))</f>
        <v/>
      </c>
      <c r="E8">
        <f>IF($L8="","",INDEX('Per Line'!$D$2:$D$401,$L8))</f>
        <v/>
      </c>
      <c r="F8">
        <f>IF($L8="","",INDEX('Per Line'!$Q$2:$Q$401,$L8))</f>
        <v/>
      </c>
      <c r="G8" s="5">
        <f>IF($L8="","",SUMIFS('Per Line'!$S$2:$S$401,'Per Line'!$C$2:$C$401,$C8))</f>
        <v/>
      </c>
      <c r="H8" s="5">
        <f>IF($L8="","",SUMIFS('Per Line'!$T$2:$T$401,'Per Line'!$C$2:$C$401,$C8))</f>
        <v/>
      </c>
      <c r="I8" s="5">
        <f>IF($L8="","",SUMIFS('Per Line'!$U$2:$U$401,'Per Line'!$C$2:$C$401,$C8))</f>
        <v/>
      </c>
      <c r="J8" s="5">
        <f>IF($L8="","",G8-H8)</f>
        <v/>
      </c>
      <c r="K8" s="5">
        <f>IF($L8="","",J8-I8)</f>
        <v/>
      </c>
      <c r="L8">
        <f>IF(ROWS($L$2:$L8)&lt;=MAX('Per Line'!$AH$2:$AH$401),MATCH(ROWS($L$2:$L8),'Per Line'!$AH$2:$AH$401,0),"")</f>
        <v/>
      </c>
    </row>
    <row r="9">
      <c r="B9">
        <f>IF($L9="","",INDEX('Per Line'!$B$2:$B$401,$L9))</f>
        <v/>
      </c>
      <c r="C9">
        <f>IF($L9="","",INDEX('Per Line'!$C$2:$C$401,$L9))</f>
        <v/>
      </c>
      <c r="D9">
        <f>IF($L9="","",INDEX('Per Line'!$A$2:$A$401,$L9))</f>
        <v/>
      </c>
      <c r="E9">
        <f>IF($L9="","",INDEX('Per Line'!$D$2:$D$401,$L9))</f>
        <v/>
      </c>
      <c r="F9">
        <f>IF($L9="","",INDEX('Per Line'!$Q$2:$Q$401,$L9))</f>
        <v/>
      </c>
      <c r="G9" s="5">
        <f>IF($L9="","",SUMIFS('Per Line'!$S$2:$S$401,'Per Line'!$C$2:$C$401,$C9))</f>
        <v/>
      </c>
      <c r="H9" s="5">
        <f>IF($L9="","",SUMIFS('Per Line'!$T$2:$T$401,'Per Line'!$C$2:$C$401,$C9))</f>
        <v/>
      </c>
      <c r="I9" s="5">
        <f>IF($L9="","",SUMIFS('Per Line'!$U$2:$U$401,'Per Line'!$C$2:$C$401,$C9))</f>
        <v/>
      </c>
      <c r="J9" s="5">
        <f>IF($L9="","",G9-H9)</f>
        <v/>
      </c>
      <c r="K9" s="5">
        <f>IF($L9="","",J9-I9)</f>
        <v/>
      </c>
      <c r="L9">
        <f>IF(ROWS($L$2:$L9)&lt;=MAX('Per Line'!$AH$2:$AH$401),MATCH(ROWS($L$2:$L9),'Per Line'!$AH$2:$AH$401,0),"")</f>
        <v/>
      </c>
    </row>
    <row r="10">
      <c r="B10">
        <f>IF($L10="","",INDEX('Per Line'!$B$2:$B$401,$L10))</f>
        <v/>
      </c>
      <c r="C10">
        <f>IF($L10="","",INDEX('Per Line'!$C$2:$C$401,$L10))</f>
        <v/>
      </c>
      <c r="D10">
        <f>IF($L10="","",INDEX('Per Line'!$A$2:$A$401,$L10))</f>
        <v/>
      </c>
      <c r="E10">
        <f>IF($L10="","",INDEX('Per Line'!$D$2:$D$401,$L10))</f>
        <v/>
      </c>
      <c r="F10">
        <f>IF($L10="","",INDEX('Per Line'!$Q$2:$Q$401,$L10))</f>
        <v/>
      </c>
      <c r="G10" s="5">
        <f>IF($L10="","",SUMIFS('Per Line'!$S$2:$S$401,'Per Line'!$C$2:$C$401,$C10))</f>
        <v/>
      </c>
      <c r="H10" s="5">
        <f>IF($L10="","",SUMIFS('Per Line'!$T$2:$T$401,'Per Line'!$C$2:$C$401,$C10))</f>
        <v/>
      </c>
      <c r="I10" s="5">
        <f>IF($L10="","",SUMIFS('Per Line'!$U$2:$U$401,'Per Line'!$C$2:$C$401,$C10))</f>
        <v/>
      </c>
      <c r="J10" s="5">
        <f>IF($L10="","",G10-H10)</f>
        <v/>
      </c>
      <c r="K10" s="5">
        <f>IF($L10="","",J10-I10)</f>
        <v/>
      </c>
      <c r="L10">
        <f>IF(ROWS($L$2:$L10)&lt;=MAX('Per Line'!$AH$2:$AH$401),MATCH(ROWS($L$2:$L10),'Per Line'!$AH$2:$AH$401,0),"")</f>
        <v/>
      </c>
    </row>
    <row r="11">
      <c r="B11">
        <f>IF($L11="","",INDEX('Per Line'!$B$2:$B$401,$L11))</f>
        <v/>
      </c>
      <c r="C11">
        <f>IF($L11="","",INDEX('Per Line'!$C$2:$C$401,$L11))</f>
        <v/>
      </c>
      <c r="D11">
        <f>IF($L11="","",INDEX('Per Line'!$A$2:$A$401,$L11))</f>
        <v/>
      </c>
      <c r="E11">
        <f>IF($L11="","",INDEX('Per Line'!$D$2:$D$401,$L11))</f>
        <v/>
      </c>
      <c r="F11">
        <f>IF($L11="","",INDEX('Per Line'!$Q$2:$Q$401,$L11))</f>
        <v/>
      </c>
      <c r="G11" s="5">
        <f>IF($L11="","",SUMIFS('Per Line'!$S$2:$S$401,'Per Line'!$C$2:$C$401,$C11))</f>
        <v/>
      </c>
      <c r="H11" s="5">
        <f>IF($L11="","",SUMIFS('Per Line'!$T$2:$T$401,'Per Line'!$C$2:$C$401,$C11))</f>
        <v/>
      </c>
      <c r="I11" s="5">
        <f>IF($L11="","",SUMIFS('Per Line'!$U$2:$U$401,'Per Line'!$C$2:$C$401,$C11))</f>
        <v/>
      </c>
      <c r="J11" s="5">
        <f>IF($L11="","",G11-H11)</f>
        <v/>
      </c>
      <c r="K11" s="5">
        <f>IF($L11="","",J11-I11)</f>
        <v/>
      </c>
      <c r="L11">
        <f>IF(ROWS($L$2:$L11)&lt;=MAX('Per Line'!$AH$2:$AH$401),MATCH(ROWS($L$2:$L11),'Per Line'!$AH$2:$AH$401,0),"")</f>
        <v/>
      </c>
    </row>
    <row r="12">
      <c r="B12">
        <f>IF($L12="","",INDEX('Per Line'!$B$2:$B$401,$L12))</f>
        <v/>
      </c>
      <c r="C12">
        <f>IF($L12="","",INDEX('Per Line'!$C$2:$C$401,$L12))</f>
        <v/>
      </c>
      <c r="D12">
        <f>IF($L12="","",INDEX('Per Line'!$A$2:$A$401,$L12))</f>
        <v/>
      </c>
      <c r="E12">
        <f>IF($L12="","",INDEX('Per Line'!$D$2:$D$401,$L12))</f>
        <v/>
      </c>
      <c r="F12">
        <f>IF($L12="","",INDEX('Per Line'!$Q$2:$Q$401,$L12))</f>
        <v/>
      </c>
      <c r="G12" s="5">
        <f>IF($L12="","",SUMIFS('Per Line'!$S$2:$S$401,'Per Line'!$C$2:$C$401,$C12))</f>
        <v/>
      </c>
      <c r="H12" s="5">
        <f>IF($L12="","",SUMIFS('Per Line'!$T$2:$T$401,'Per Line'!$C$2:$C$401,$C12))</f>
        <v/>
      </c>
      <c r="I12" s="5">
        <f>IF($L12="","",SUMIFS('Per Line'!$U$2:$U$401,'Per Line'!$C$2:$C$401,$C12))</f>
        <v/>
      </c>
      <c r="J12" s="5">
        <f>IF($L12="","",G12-H12)</f>
        <v/>
      </c>
      <c r="K12" s="5">
        <f>IF($L12="","",J12-I12)</f>
        <v/>
      </c>
      <c r="L12">
        <f>IF(ROWS($L$2:$L12)&lt;=MAX('Per Line'!$AH$2:$AH$401),MATCH(ROWS($L$2:$L12),'Per Line'!$AH$2:$AH$401,0),"")</f>
        <v/>
      </c>
    </row>
    <row r="13">
      <c r="B13">
        <f>IF($L13="","",INDEX('Per Line'!$B$2:$B$401,$L13))</f>
        <v/>
      </c>
      <c r="C13">
        <f>IF($L13="","",INDEX('Per Line'!$C$2:$C$401,$L13))</f>
        <v/>
      </c>
      <c r="D13">
        <f>IF($L13="","",INDEX('Per Line'!$A$2:$A$401,$L13))</f>
        <v/>
      </c>
      <c r="E13">
        <f>IF($L13="","",INDEX('Per Line'!$D$2:$D$401,$L13))</f>
        <v/>
      </c>
      <c r="F13">
        <f>IF($L13="","",INDEX('Per Line'!$Q$2:$Q$401,$L13))</f>
        <v/>
      </c>
      <c r="G13" s="5">
        <f>IF($L13="","",SUMIFS('Per Line'!$S$2:$S$401,'Per Line'!$C$2:$C$401,$C13))</f>
        <v/>
      </c>
      <c r="H13" s="5">
        <f>IF($L13="","",SUMIFS('Per Line'!$T$2:$T$401,'Per Line'!$C$2:$C$401,$C13))</f>
        <v/>
      </c>
      <c r="I13" s="5">
        <f>IF($L13="","",SUMIFS('Per Line'!$U$2:$U$401,'Per Line'!$C$2:$C$401,$C13))</f>
        <v/>
      </c>
      <c r="J13" s="5">
        <f>IF($L13="","",G13-H13)</f>
        <v/>
      </c>
      <c r="K13" s="5">
        <f>IF($L13="","",J13-I13)</f>
        <v/>
      </c>
      <c r="L13">
        <f>IF(ROWS($L$2:$L13)&lt;=MAX('Per Line'!$AH$2:$AH$401),MATCH(ROWS($L$2:$L13),'Per Line'!$AH$2:$AH$401,0),"")</f>
        <v/>
      </c>
    </row>
    <row r="14">
      <c r="B14">
        <f>IF($L14="","",INDEX('Per Line'!$B$2:$B$401,$L14))</f>
        <v/>
      </c>
      <c r="C14">
        <f>IF($L14="","",INDEX('Per Line'!$C$2:$C$401,$L14))</f>
        <v/>
      </c>
      <c r="D14">
        <f>IF($L14="","",INDEX('Per Line'!$A$2:$A$401,$L14))</f>
        <v/>
      </c>
      <c r="E14">
        <f>IF($L14="","",INDEX('Per Line'!$D$2:$D$401,$L14))</f>
        <v/>
      </c>
      <c r="F14">
        <f>IF($L14="","",INDEX('Per Line'!$Q$2:$Q$401,$L14))</f>
        <v/>
      </c>
      <c r="G14" s="5">
        <f>IF($L14="","",SUMIFS('Per Line'!$S$2:$S$401,'Per Line'!$C$2:$C$401,$C14))</f>
        <v/>
      </c>
      <c r="H14" s="5">
        <f>IF($L14="","",SUMIFS('Per Line'!$T$2:$T$401,'Per Line'!$C$2:$C$401,$C14))</f>
        <v/>
      </c>
      <c r="I14" s="5">
        <f>IF($L14="","",SUMIFS('Per Line'!$U$2:$U$401,'Per Line'!$C$2:$C$401,$C14))</f>
        <v/>
      </c>
      <c r="J14" s="5">
        <f>IF($L14="","",G14-H14)</f>
        <v/>
      </c>
      <c r="K14" s="5">
        <f>IF($L14="","",J14-I14)</f>
        <v/>
      </c>
      <c r="L14">
        <f>IF(ROWS($L$2:$L14)&lt;=MAX('Per Line'!$AH$2:$AH$401),MATCH(ROWS($L$2:$L14),'Per Line'!$AH$2:$AH$401,0),"")</f>
        <v/>
      </c>
    </row>
    <row r="15">
      <c r="B15">
        <f>IF($L15="","",INDEX('Per Line'!$B$2:$B$401,$L15))</f>
        <v/>
      </c>
      <c r="C15">
        <f>IF($L15="","",INDEX('Per Line'!$C$2:$C$401,$L15))</f>
        <v/>
      </c>
      <c r="D15">
        <f>IF($L15="","",INDEX('Per Line'!$A$2:$A$401,$L15))</f>
        <v/>
      </c>
      <c r="E15">
        <f>IF($L15="","",INDEX('Per Line'!$D$2:$D$401,$L15))</f>
        <v/>
      </c>
      <c r="F15">
        <f>IF($L15="","",INDEX('Per Line'!$Q$2:$Q$401,$L15))</f>
        <v/>
      </c>
      <c r="G15" s="5">
        <f>IF($L15="","",SUMIFS('Per Line'!$S$2:$S$401,'Per Line'!$C$2:$C$401,$C15))</f>
        <v/>
      </c>
      <c r="H15" s="5">
        <f>IF($L15="","",SUMIFS('Per Line'!$T$2:$T$401,'Per Line'!$C$2:$C$401,$C15))</f>
        <v/>
      </c>
      <c r="I15" s="5">
        <f>IF($L15="","",SUMIFS('Per Line'!$U$2:$U$401,'Per Line'!$C$2:$C$401,$C15))</f>
        <v/>
      </c>
      <c r="J15" s="5">
        <f>IF($L15="","",G15-H15)</f>
        <v/>
      </c>
      <c r="K15" s="5">
        <f>IF($L15="","",J15-I15)</f>
        <v/>
      </c>
      <c r="L15">
        <f>IF(ROWS($L$2:$L15)&lt;=MAX('Per Line'!$AH$2:$AH$401),MATCH(ROWS($L$2:$L15),'Per Line'!$AH$2:$AH$401,0),"")</f>
        <v/>
      </c>
    </row>
    <row r="16">
      <c r="B16">
        <f>IF($L16="","",INDEX('Per Line'!$B$2:$B$401,$L16))</f>
        <v/>
      </c>
      <c r="C16">
        <f>IF($L16="","",INDEX('Per Line'!$C$2:$C$401,$L16))</f>
        <v/>
      </c>
      <c r="D16">
        <f>IF($L16="","",INDEX('Per Line'!$A$2:$A$401,$L16))</f>
        <v/>
      </c>
      <c r="E16">
        <f>IF($L16="","",INDEX('Per Line'!$D$2:$D$401,$L16))</f>
        <v/>
      </c>
      <c r="F16">
        <f>IF($L16="","",INDEX('Per Line'!$Q$2:$Q$401,$L16))</f>
        <v/>
      </c>
      <c r="G16" s="5">
        <f>IF($L16="","",SUMIFS('Per Line'!$S$2:$S$401,'Per Line'!$C$2:$C$401,$C16))</f>
        <v/>
      </c>
      <c r="H16" s="5">
        <f>IF($L16="","",SUMIFS('Per Line'!$T$2:$T$401,'Per Line'!$C$2:$C$401,$C16))</f>
        <v/>
      </c>
      <c r="I16" s="5">
        <f>IF($L16="","",SUMIFS('Per Line'!$U$2:$U$401,'Per Line'!$C$2:$C$401,$C16))</f>
        <v/>
      </c>
      <c r="J16" s="5">
        <f>IF($L16="","",G16-H16)</f>
        <v/>
      </c>
      <c r="K16" s="5">
        <f>IF($L16="","",J16-I16)</f>
        <v/>
      </c>
      <c r="L16">
        <f>IF(ROWS($L$2:$L16)&lt;=MAX('Per Line'!$AH$2:$AH$401),MATCH(ROWS($L$2:$L16),'Per Line'!$AH$2:$AH$401,0),"")</f>
        <v/>
      </c>
    </row>
    <row r="17">
      <c r="B17">
        <f>IF($L17="","",INDEX('Per Line'!$B$2:$B$401,$L17))</f>
        <v/>
      </c>
      <c r="C17">
        <f>IF($L17="","",INDEX('Per Line'!$C$2:$C$401,$L17))</f>
        <v/>
      </c>
      <c r="D17">
        <f>IF($L17="","",INDEX('Per Line'!$A$2:$A$401,$L17))</f>
        <v/>
      </c>
      <c r="E17">
        <f>IF($L17="","",INDEX('Per Line'!$D$2:$D$401,$L17))</f>
        <v/>
      </c>
      <c r="F17">
        <f>IF($L17="","",INDEX('Per Line'!$Q$2:$Q$401,$L17))</f>
        <v/>
      </c>
      <c r="G17" s="5">
        <f>IF($L17="","",SUMIFS('Per Line'!$S$2:$S$401,'Per Line'!$C$2:$C$401,$C17))</f>
        <v/>
      </c>
      <c r="H17" s="5">
        <f>IF($L17="","",SUMIFS('Per Line'!$T$2:$T$401,'Per Line'!$C$2:$C$401,$C17))</f>
        <v/>
      </c>
      <c r="I17" s="5">
        <f>IF($L17="","",SUMIFS('Per Line'!$U$2:$U$401,'Per Line'!$C$2:$C$401,$C17))</f>
        <v/>
      </c>
      <c r="J17" s="5">
        <f>IF($L17="","",G17-H17)</f>
        <v/>
      </c>
      <c r="K17" s="5">
        <f>IF($L17="","",J17-I17)</f>
        <v/>
      </c>
      <c r="L17">
        <f>IF(ROWS($L$2:$L17)&lt;=MAX('Per Line'!$AH$2:$AH$401),MATCH(ROWS($L$2:$L17),'Per Line'!$AH$2:$AH$401,0),"")</f>
        <v/>
      </c>
    </row>
    <row r="18">
      <c r="B18">
        <f>IF($L18="","",INDEX('Per Line'!$B$2:$B$401,$L18))</f>
        <v/>
      </c>
      <c r="C18">
        <f>IF($L18="","",INDEX('Per Line'!$C$2:$C$401,$L18))</f>
        <v/>
      </c>
      <c r="D18">
        <f>IF($L18="","",INDEX('Per Line'!$A$2:$A$401,$L18))</f>
        <v/>
      </c>
      <c r="E18">
        <f>IF($L18="","",INDEX('Per Line'!$D$2:$D$401,$L18))</f>
        <v/>
      </c>
      <c r="F18">
        <f>IF($L18="","",INDEX('Per Line'!$Q$2:$Q$401,$L18))</f>
        <v/>
      </c>
      <c r="G18" s="5">
        <f>IF($L18="","",SUMIFS('Per Line'!$S$2:$S$401,'Per Line'!$C$2:$C$401,$C18))</f>
        <v/>
      </c>
      <c r="H18" s="5">
        <f>IF($L18="","",SUMIFS('Per Line'!$T$2:$T$401,'Per Line'!$C$2:$C$401,$C18))</f>
        <v/>
      </c>
      <c r="I18" s="5">
        <f>IF($L18="","",SUMIFS('Per Line'!$U$2:$U$401,'Per Line'!$C$2:$C$401,$C18))</f>
        <v/>
      </c>
      <c r="J18" s="5">
        <f>IF($L18="","",G18-H18)</f>
        <v/>
      </c>
      <c r="K18" s="5">
        <f>IF($L18="","",J18-I18)</f>
        <v/>
      </c>
      <c r="L18">
        <f>IF(ROWS($L$2:$L18)&lt;=MAX('Per Line'!$AH$2:$AH$401),MATCH(ROWS($L$2:$L18),'Per Line'!$AH$2:$AH$401,0),"")</f>
        <v/>
      </c>
    </row>
    <row r="19">
      <c r="B19">
        <f>IF($L19="","",INDEX('Per Line'!$B$2:$B$401,$L19))</f>
        <v/>
      </c>
      <c r="C19">
        <f>IF($L19="","",INDEX('Per Line'!$C$2:$C$401,$L19))</f>
        <v/>
      </c>
      <c r="D19">
        <f>IF($L19="","",INDEX('Per Line'!$A$2:$A$401,$L19))</f>
        <v/>
      </c>
      <c r="E19">
        <f>IF($L19="","",INDEX('Per Line'!$D$2:$D$401,$L19))</f>
        <v/>
      </c>
      <c r="F19">
        <f>IF($L19="","",INDEX('Per Line'!$Q$2:$Q$401,$L19))</f>
        <v/>
      </c>
      <c r="G19" s="5">
        <f>IF($L19="","",SUMIFS('Per Line'!$S$2:$S$401,'Per Line'!$C$2:$C$401,$C19))</f>
        <v/>
      </c>
      <c r="H19" s="5">
        <f>IF($L19="","",SUMIFS('Per Line'!$T$2:$T$401,'Per Line'!$C$2:$C$401,$C19))</f>
        <v/>
      </c>
      <c r="I19" s="5">
        <f>IF($L19="","",SUMIFS('Per Line'!$U$2:$U$401,'Per Line'!$C$2:$C$401,$C19))</f>
        <v/>
      </c>
      <c r="J19" s="5">
        <f>IF($L19="","",G19-H19)</f>
        <v/>
      </c>
      <c r="K19" s="5">
        <f>IF($L19="","",J19-I19)</f>
        <v/>
      </c>
      <c r="L19">
        <f>IF(ROWS($L$2:$L19)&lt;=MAX('Per Line'!$AH$2:$AH$401),MATCH(ROWS($L$2:$L19),'Per Line'!$AH$2:$AH$401,0),"")</f>
        <v/>
      </c>
    </row>
    <row r="20">
      <c r="B20">
        <f>IF($L20="","",INDEX('Per Line'!$B$2:$B$401,$L20))</f>
        <v/>
      </c>
      <c r="C20">
        <f>IF($L20="","",INDEX('Per Line'!$C$2:$C$401,$L20))</f>
        <v/>
      </c>
      <c r="D20">
        <f>IF($L20="","",INDEX('Per Line'!$A$2:$A$401,$L20))</f>
        <v/>
      </c>
      <c r="E20">
        <f>IF($L20="","",INDEX('Per Line'!$D$2:$D$401,$L20))</f>
        <v/>
      </c>
      <c r="F20">
        <f>IF($L20="","",INDEX('Per Line'!$Q$2:$Q$401,$L20))</f>
        <v/>
      </c>
      <c r="G20" s="5">
        <f>IF($L20="","",SUMIFS('Per Line'!$S$2:$S$401,'Per Line'!$C$2:$C$401,$C20))</f>
        <v/>
      </c>
      <c r="H20" s="5">
        <f>IF($L20="","",SUMIFS('Per Line'!$T$2:$T$401,'Per Line'!$C$2:$C$401,$C20))</f>
        <v/>
      </c>
      <c r="I20" s="5">
        <f>IF($L20="","",SUMIFS('Per Line'!$U$2:$U$401,'Per Line'!$C$2:$C$401,$C20))</f>
        <v/>
      </c>
      <c r="J20" s="5">
        <f>IF($L20="","",G20-H20)</f>
        <v/>
      </c>
      <c r="K20" s="5">
        <f>IF($L20="","",J20-I20)</f>
        <v/>
      </c>
      <c r="L20">
        <f>IF(ROWS($L$2:$L20)&lt;=MAX('Per Line'!$AH$2:$AH$401),MATCH(ROWS($L$2:$L20),'Per Line'!$AH$2:$AH$401,0),"")</f>
        <v/>
      </c>
    </row>
    <row r="21">
      <c r="B21">
        <f>IF($L21="","",INDEX('Per Line'!$B$2:$B$401,$L21))</f>
        <v/>
      </c>
      <c r="C21">
        <f>IF($L21="","",INDEX('Per Line'!$C$2:$C$401,$L21))</f>
        <v/>
      </c>
      <c r="D21">
        <f>IF($L21="","",INDEX('Per Line'!$A$2:$A$401,$L21))</f>
        <v/>
      </c>
      <c r="E21">
        <f>IF($L21="","",INDEX('Per Line'!$D$2:$D$401,$L21))</f>
        <v/>
      </c>
      <c r="F21">
        <f>IF($L21="","",INDEX('Per Line'!$Q$2:$Q$401,$L21))</f>
        <v/>
      </c>
      <c r="G21" s="5">
        <f>IF($L21="","",SUMIFS('Per Line'!$S$2:$S$401,'Per Line'!$C$2:$C$401,$C21))</f>
        <v/>
      </c>
      <c r="H21" s="5">
        <f>IF($L21="","",SUMIFS('Per Line'!$T$2:$T$401,'Per Line'!$C$2:$C$401,$C21))</f>
        <v/>
      </c>
      <c r="I21" s="5">
        <f>IF($L21="","",SUMIFS('Per Line'!$U$2:$U$401,'Per Line'!$C$2:$C$401,$C21))</f>
        <v/>
      </c>
      <c r="J21" s="5">
        <f>IF($L21="","",G21-H21)</f>
        <v/>
      </c>
      <c r="K21" s="5">
        <f>IF($L21="","",J21-I21)</f>
        <v/>
      </c>
      <c r="L21">
        <f>IF(ROWS($L$2:$L21)&lt;=MAX('Per Line'!$AH$2:$AH$401),MATCH(ROWS($L$2:$L21),'Per Line'!$AH$2:$AH$401,0),"")</f>
        <v/>
      </c>
    </row>
    <row r="22">
      <c r="B22">
        <f>IF($L22="","",INDEX('Per Line'!$B$2:$B$401,$L22))</f>
        <v/>
      </c>
      <c r="C22">
        <f>IF($L22="","",INDEX('Per Line'!$C$2:$C$401,$L22))</f>
        <v/>
      </c>
      <c r="D22">
        <f>IF($L22="","",INDEX('Per Line'!$A$2:$A$401,$L22))</f>
        <v/>
      </c>
      <c r="E22">
        <f>IF($L22="","",INDEX('Per Line'!$D$2:$D$401,$L22))</f>
        <v/>
      </c>
      <c r="F22">
        <f>IF($L22="","",INDEX('Per Line'!$Q$2:$Q$401,$L22))</f>
        <v/>
      </c>
      <c r="G22" s="5">
        <f>IF($L22="","",SUMIFS('Per Line'!$S$2:$S$401,'Per Line'!$C$2:$C$401,$C22))</f>
        <v/>
      </c>
      <c r="H22" s="5">
        <f>IF($L22="","",SUMIFS('Per Line'!$T$2:$T$401,'Per Line'!$C$2:$C$401,$C22))</f>
        <v/>
      </c>
      <c r="I22" s="5">
        <f>IF($L22="","",SUMIFS('Per Line'!$U$2:$U$401,'Per Line'!$C$2:$C$401,$C22))</f>
        <v/>
      </c>
      <c r="J22" s="5">
        <f>IF($L22="","",G22-H22)</f>
        <v/>
      </c>
      <c r="K22" s="5">
        <f>IF($L22="","",J22-I22)</f>
        <v/>
      </c>
      <c r="L22">
        <f>IF(ROWS($L$2:$L22)&lt;=MAX('Per Line'!$AH$2:$AH$401),MATCH(ROWS($L$2:$L22),'Per Line'!$AH$2:$AH$401,0),"")</f>
        <v/>
      </c>
    </row>
    <row r="23">
      <c r="B23">
        <f>IF($L23="","",INDEX('Per Line'!$B$2:$B$401,$L23))</f>
        <v/>
      </c>
      <c r="C23">
        <f>IF($L23="","",INDEX('Per Line'!$C$2:$C$401,$L23))</f>
        <v/>
      </c>
      <c r="D23">
        <f>IF($L23="","",INDEX('Per Line'!$A$2:$A$401,$L23))</f>
        <v/>
      </c>
      <c r="E23">
        <f>IF($L23="","",INDEX('Per Line'!$D$2:$D$401,$L23))</f>
        <v/>
      </c>
      <c r="F23">
        <f>IF($L23="","",INDEX('Per Line'!$Q$2:$Q$401,$L23))</f>
        <v/>
      </c>
      <c r="G23" s="5">
        <f>IF($L23="","",SUMIFS('Per Line'!$S$2:$S$401,'Per Line'!$C$2:$C$401,$C23))</f>
        <v/>
      </c>
      <c r="H23" s="5">
        <f>IF($L23="","",SUMIFS('Per Line'!$T$2:$T$401,'Per Line'!$C$2:$C$401,$C23))</f>
        <v/>
      </c>
      <c r="I23" s="5">
        <f>IF($L23="","",SUMIFS('Per Line'!$U$2:$U$401,'Per Line'!$C$2:$C$401,$C23))</f>
        <v/>
      </c>
      <c r="J23" s="5">
        <f>IF($L23="","",G23-H23)</f>
        <v/>
      </c>
      <c r="K23" s="5">
        <f>IF($L23="","",J23-I23)</f>
        <v/>
      </c>
      <c r="L23">
        <f>IF(ROWS($L$2:$L23)&lt;=MAX('Per Line'!$AH$2:$AH$401),MATCH(ROWS($L$2:$L23),'Per Line'!$AH$2:$AH$401,0),"")</f>
        <v/>
      </c>
    </row>
    <row r="24">
      <c r="B24">
        <f>IF($L24="","",INDEX('Per Line'!$B$2:$B$401,$L24))</f>
        <v/>
      </c>
      <c r="C24">
        <f>IF($L24="","",INDEX('Per Line'!$C$2:$C$401,$L24))</f>
        <v/>
      </c>
      <c r="D24">
        <f>IF($L24="","",INDEX('Per Line'!$A$2:$A$401,$L24))</f>
        <v/>
      </c>
      <c r="E24">
        <f>IF($L24="","",INDEX('Per Line'!$D$2:$D$401,$L24))</f>
        <v/>
      </c>
      <c r="F24">
        <f>IF($L24="","",INDEX('Per Line'!$Q$2:$Q$401,$L24))</f>
        <v/>
      </c>
      <c r="G24" s="5">
        <f>IF($L24="","",SUMIFS('Per Line'!$S$2:$S$401,'Per Line'!$C$2:$C$401,$C24))</f>
        <v/>
      </c>
      <c r="H24" s="5">
        <f>IF($L24="","",SUMIFS('Per Line'!$T$2:$T$401,'Per Line'!$C$2:$C$401,$C24))</f>
        <v/>
      </c>
      <c r="I24" s="5">
        <f>IF($L24="","",SUMIFS('Per Line'!$U$2:$U$401,'Per Line'!$C$2:$C$401,$C24))</f>
        <v/>
      </c>
      <c r="J24" s="5">
        <f>IF($L24="","",G24-H24)</f>
        <v/>
      </c>
      <c r="K24" s="5">
        <f>IF($L24="","",J24-I24)</f>
        <v/>
      </c>
      <c r="L24">
        <f>IF(ROWS($L$2:$L24)&lt;=MAX('Per Line'!$AH$2:$AH$401),MATCH(ROWS($L$2:$L24),'Per Line'!$AH$2:$AH$401,0),"")</f>
        <v/>
      </c>
    </row>
    <row r="25">
      <c r="B25">
        <f>IF($L25="","",INDEX('Per Line'!$B$2:$B$401,$L25))</f>
        <v/>
      </c>
      <c r="C25">
        <f>IF($L25="","",INDEX('Per Line'!$C$2:$C$401,$L25))</f>
        <v/>
      </c>
      <c r="D25">
        <f>IF($L25="","",INDEX('Per Line'!$A$2:$A$401,$L25))</f>
        <v/>
      </c>
      <c r="E25">
        <f>IF($L25="","",INDEX('Per Line'!$D$2:$D$401,$L25))</f>
        <v/>
      </c>
      <c r="F25">
        <f>IF($L25="","",INDEX('Per Line'!$Q$2:$Q$401,$L25))</f>
        <v/>
      </c>
      <c r="G25" s="5">
        <f>IF($L25="","",SUMIFS('Per Line'!$S$2:$S$401,'Per Line'!$C$2:$C$401,$C25))</f>
        <v/>
      </c>
      <c r="H25" s="5">
        <f>IF($L25="","",SUMIFS('Per Line'!$T$2:$T$401,'Per Line'!$C$2:$C$401,$C25))</f>
        <v/>
      </c>
      <c r="I25" s="5">
        <f>IF($L25="","",SUMIFS('Per Line'!$U$2:$U$401,'Per Line'!$C$2:$C$401,$C25))</f>
        <v/>
      </c>
      <c r="J25" s="5">
        <f>IF($L25="","",G25-H25)</f>
        <v/>
      </c>
      <c r="K25" s="5">
        <f>IF($L25="","",J25-I25)</f>
        <v/>
      </c>
      <c r="L25">
        <f>IF(ROWS($L$2:$L25)&lt;=MAX('Per Line'!$AH$2:$AH$401),MATCH(ROWS($L$2:$L25),'Per Line'!$AH$2:$AH$401,0),"")</f>
        <v/>
      </c>
    </row>
    <row r="26">
      <c r="B26">
        <f>IF($L26="","",INDEX('Per Line'!$B$2:$B$401,$L26))</f>
        <v/>
      </c>
      <c r="C26">
        <f>IF($L26="","",INDEX('Per Line'!$C$2:$C$401,$L26))</f>
        <v/>
      </c>
      <c r="D26">
        <f>IF($L26="","",INDEX('Per Line'!$A$2:$A$401,$L26))</f>
        <v/>
      </c>
      <c r="E26">
        <f>IF($L26="","",INDEX('Per Line'!$D$2:$D$401,$L26))</f>
        <v/>
      </c>
      <c r="F26">
        <f>IF($L26="","",INDEX('Per Line'!$Q$2:$Q$401,$L26))</f>
        <v/>
      </c>
      <c r="G26" s="5">
        <f>IF($L26="","",SUMIFS('Per Line'!$S$2:$S$401,'Per Line'!$C$2:$C$401,$C26))</f>
        <v/>
      </c>
      <c r="H26" s="5">
        <f>IF($L26="","",SUMIFS('Per Line'!$T$2:$T$401,'Per Line'!$C$2:$C$401,$C26))</f>
        <v/>
      </c>
      <c r="I26" s="5">
        <f>IF($L26="","",SUMIFS('Per Line'!$U$2:$U$401,'Per Line'!$C$2:$C$401,$C26))</f>
        <v/>
      </c>
      <c r="J26" s="5">
        <f>IF($L26="","",G26-H26)</f>
        <v/>
      </c>
      <c r="K26" s="5">
        <f>IF($L26="","",J26-I26)</f>
        <v/>
      </c>
      <c r="L26">
        <f>IF(ROWS($L$2:$L26)&lt;=MAX('Per Line'!$AH$2:$AH$401),MATCH(ROWS($L$2:$L26),'Per Line'!$AH$2:$AH$401,0),"")</f>
        <v/>
      </c>
    </row>
    <row r="27">
      <c r="B27">
        <f>IF($L27="","",INDEX('Per Line'!$B$2:$B$401,$L27))</f>
        <v/>
      </c>
      <c r="C27">
        <f>IF($L27="","",INDEX('Per Line'!$C$2:$C$401,$L27))</f>
        <v/>
      </c>
      <c r="D27">
        <f>IF($L27="","",INDEX('Per Line'!$A$2:$A$401,$L27))</f>
        <v/>
      </c>
      <c r="E27">
        <f>IF($L27="","",INDEX('Per Line'!$D$2:$D$401,$L27))</f>
        <v/>
      </c>
      <c r="F27">
        <f>IF($L27="","",INDEX('Per Line'!$Q$2:$Q$401,$L27))</f>
        <v/>
      </c>
      <c r="G27" s="5">
        <f>IF($L27="","",SUMIFS('Per Line'!$S$2:$S$401,'Per Line'!$C$2:$C$401,$C27))</f>
        <v/>
      </c>
      <c r="H27" s="5">
        <f>IF($L27="","",SUMIFS('Per Line'!$T$2:$T$401,'Per Line'!$C$2:$C$401,$C27))</f>
        <v/>
      </c>
      <c r="I27" s="5">
        <f>IF($L27="","",SUMIFS('Per Line'!$U$2:$U$401,'Per Line'!$C$2:$C$401,$C27))</f>
        <v/>
      </c>
      <c r="J27" s="5">
        <f>IF($L27="","",G27-H27)</f>
        <v/>
      </c>
      <c r="K27" s="5">
        <f>IF($L27="","",J27-I27)</f>
        <v/>
      </c>
      <c r="L27">
        <f>IF(ROWS($L$2:$L27)&lt;=MAX('Per Line'!$AH$2:$AH$401),MATCH(ROWS($L$2:$L27),'Per Line'!$AH$2:$AH$401,0),"")</f>
        <v/>
      </c>
    </row>
    <row r="28">
      <c r="B28">
        <f>IF($L28="","",INDEX('Per Line'!$B$2:$B$401,$L28))</f>
        <v/>
      </c>
      <c r="C28">
        <f>IF($L28="","",INDEX('Per Line'!$C$2:$C$401,$L28))</f>
        <v/>
      </c>
      <c r="D28">
        <f>IF($L28="","",INDEX('Per Line'!$A$2:$A$401,$L28))</f>
        <v/>
      </c>
      <c r="E28">
        <f>IF($L28="","",INDEX('Per Line'!$D$2:$D$401,$L28))</f>
        <v/>
      </c>
      <c r="F28">
        <f>IF($L28="","",INDEX('Per Line'!$Q$2:$Q$401,$L28))</f>
        <v/>
      </c>
      <c r="G28" s="5">
        <f>IF($L28="","",SUMIFS('Per Line'!$S$2:$S$401,'Per Line'!$C$2:$C$401,$C28))</f>
        <v/>
      </c>
      <c r="H28" s="5">
        <f>IF($L28="","",SUMIFS('Per Line'!$T$2:$T$401,'Per Line'!$C$2:$C$401,$C28))</f>
        <v/>
      </c>
      <c r="I28" s="5">
        <f>IF($L28="","",SUMIFS('Per Line'!$U$2:$U$401,'Per Line'!$C$2:$C$401,$C28))</f>
        <v/>
      </c>
      <c r="J28" s="5">
        <f>IF($L28="","",G28-H28)</f>
        <v/>
      </c>
      <c r="K28" s="5">
        <f>IF($L28="","",J28-I28)</f>
        <v/>
      </c>
      <c r="L28">
        <f>IF(ROWS($L$2:$L28)&lt;=MAX('Per Line'!$AH$2:$AH$401),MATCH(ROWS($L$2:$L28),'Per Line'!$AH$2:$AH$401,0),"")</f>
        <v/>
      </c>
    </row>
    <row r="29">
      <c r="B29">
        <f>IF($L29="","",INDEX('Per Line'!$B$2:$B$401,$L29))</f>
        <v/>
      </c>
      <c r="C29">
        <f>IF($L29="","",INDEX('Per Line'!$C$2:$C$401,$L29))</f>
        <v/>
      </c>
      <c r="D29">
        <f>IF($L29="","",INDEX('Per Line'!$A$2:$A$401,$L29))</f>
        <v/>
      </c>
      <c r="E29">
        <f>IF($L29="","",INDEX('Per Line'!$D$2:$D$401,$L29))</f>
        <v/>
      </c>
      <c r="F29">
        <f>IF($L29="","",INDEX('Per Line'!$Q$2:$Q$401,$L29))</f>
        <v/>
      </c>
      <c r="G29" s="5">
        <f>IF($L29="","",SUMIFS('Per Line'!$S$2:$S$401,'Per Line'!$C$2:$C$401,$C29))</f>
        <v/>
      </c>
      <c r="H29" s="5">
        <f>IF($L29="","",SUMIFS('Per Line'!$T$2:$T$401,'Per Line'!$C$2:$C$401,$C29))</f>
        <v/>
      </c>
      <c r="I29" s="5">
        <f>IF($L29="","",SUMIFS('Per Line'!$U$2:$U$401,'Per Line'!$C$2:$C$401,$C29))</f>
        <v/>
      </c>
      <c r="J29" s="5">
        <f>IF($L29="","",G29-H29)</f>
        <v/>
      </c>
      <c r="K29" s="5">
        <f>IF($L29="","",J29-I29)</f>
        <v/>
      </c>
      <c r="L29">
        <f>IF(ROWS($L$2:$L29)&lt;=MAX('Per Line'!$AH$2:$AH$401),MATCH(ROWS($L$2:$L29),'Per Line'!$AH$2:$AH$401,0),"")</f>
        <v/>
      </c>
    </row>
    <row r="30">
      <c r="B30">
        <f>IF($L30="","",INDEX('Per Line'!$B$2:$B$401,$L30))</f>
        <v/>
      </c>
      <c r="C30">
        <f>IF($L30="","",INDEX('Per Line'!$C$2:$C$401,$L30))</f>
        <v/>
      </c>
      <c r="D30">
        <f>IF($L30="","",INDEX('Per Line'!$A$2:$A$401,$L30))</f>
        <v/>
      </c>
      <c r="E30">
        <f>IF($L30="","",INDEX('Per Line'!$D$2:$D$401,$L30))</f>
        <v/>
      </c>
      <c r="F30">
        <f>IF($L30="","",INDEX('Per Line'!$Q$2:$Q$401,$L30))</f>
        <v/>
      </c>
      <c r="G30" s="5">
        <f>IF($L30="","",SUMIFS('Per Line'!$S$2:$S$401,'Per Line'!$C$2:$C$401,$C30))</f>
        <v/>
      </c>
      <c r="H30" s="5">
        <f>IF($L30="","",SUMIFS('Per Line'!$T$2:$T$401,'Per Line'!$C$2:$C$401,$C30))</f>
        <v/>
      </c>
      <c r="I30" s="5">
        <f>IF($L30="","",SUMIFS('Per Line'!$U$2:$U$401,'Per Line'!$C$2:$C$401,$C30))</f>
        <v/>
      </c>
      <c r="J30" s="5">
        <f>IF($L30="","",G30-H30)</f>
        <v/>
      </c>
      <c r="K30" s="5">
        <f>IF($L30="","",J30-I30)</f>
        <v/>
      </c>
      <c r="L30">
        <f>IF(ROWS($L$2:$L30)&lt;=MAX('Per Line'!$AH$2:$AH$401),MATCH(ROWS($L$2:$L30),'Per Line'!$AH$2:$AH$401,0),"")</f>
        <v/>
      </c>
    </row>
    <row r="31">
      <c r="B31">
        <f>IF($L31="","",INDEX('Per Line'!$B$2:$B$401,$L31))</f>
        <v/>
      </c>
      <c r="C31">
        <f>IF($L31="","",INDEX('Per Line'!$C$2:$C$401,$L31))</f>
        <v/>
      </c>
      <c r="D31">
        <f>IF($L31="","",INDEX('Per Line'!$A$2:$A$401,$L31))</f>
        <v/>
      </c>
      <c r="E31">
        <f>IF($L31="","",INDEX('Per Line'!$D$2:$D$401,$L31))</f>
        <v/>
      </c>
      <c r="F31">
        <f>IF($L31="","",INDEX('Per Line'!$Q$2:$Q$401,$L31))</f>
        <v/>
      </c>
      <c r="G31" s="5">
        <f>IF($L31="","",SUMIFS('Per Line'!$S$2:$S$401,'Per Line'!$C$2:$C$401,$C31))</f>
        <v/>
      </c>
      <c r="H31" s="5">
        <f>IF($L31="","",SUMIFS('Per Line'!$T$2:$T$401,'Per Line'!$C$2:$C$401,$C31))</f>
        <v/>
      </c>
      <c r="I31" s="5">
        <f>IF($L31="","",SUMIFS('Per Line'!$U$2:$U$401,'Per Line'!$C$2:$C$401,$C31))</f>
        <v/>
      </c>
      <c r="J31" s="5">
        <f>IF($L31="","",G31-H31)</f>
        <v/>
      </c>
      <c r="K31" s="5">
        <f>IF($L31="","",J31-I31)</f>
        <v/>
      </c>
      <c r="L31">
        <f>IF(ROWS($L$2:$L31)&lt;=MAX('Per Line'!$AH$2:$AH$401),MATCH(ROWS($L$2:$L31),'Per Line'!$AH$2:$AH$401,0),"")</f>
        <v/>
      </c>
    </row>
    <row r="32">
      <c r="B32">
        <f>IF($L32="","",INDEX('Per Line'!$B$2:$B$401,$L32))</f>
        <v/>
      </c>
      <c r="C32">
        <f>IF($L32="","",INDEX('Per Line'!$C$2:$C$401,$L32))</f>
        <v/>
      </c>
      <c r="D32">
        <f>IF($L32="","",INDEX('Per Line'!$A$2:$A$401,$L32))</f>
        <v/>
      </c>
      <c r="E32">
        <f>IF($L32="","",INDEX('Per Line'!$D$2:$D$401,$L32))</f>
        <v/>
      </c>
      <c r="F32">
        <f>IF($L32="","",INDEX('Per Line'!$Q$2:$Q$401,$L32))</f>
        <v/>
      </c>
      <c r="G32" s="5">
        <f>IF($L32="","",SUMIFS('Per Line'!$S$2:$S$401,'Per Line'!$C$2:$C$401,$C32))</f>
        <v/>
      </c>
      <c r="H32" s="5">
        <f>IF($L32="","",SUMIFS('Per Line'!$T$2:$T$401,'Per Line'!$C$2:$C$401,$C32))</f>
        <v/>
      </c>
      <c r="I32" s="5">
        <f>IF($L32="","",SUMIFS('Per Line'!$U$2:$U$401,'Per Line'!$C$2:$C$401,$C32))</f>
        <v/>
      </c>
      <c r="J32" s="5">
        <f>IF($L32="","",G32-H32)</f>
        <v/>
      </c>
      <c r="K32" s="5">
        <f>IF($L32="","",J32-I32)</f>
        <v/>
      </c>
      <c r="L32">
        <f>IF(ROWS($L$2:$L32)&lt;=MAX('Per Line'!$AH$2:$AH$401),MATCH(ROWS($L$2:$L32),'Per Line'!$AH$2:$AH$401,0),"")</f>
        <v/>
      </c>
    </row>
    <row r="33">
      <c r="B33">
        <f>IF($L33="","",INDEX('Per Line'!$B$2:$B$401,$L33))</f>
        <v/>
      </c>
      <c r="C33">
        <f>IF($L33="","",INDEX('Per Line'!$C$2:$C$401,$L33))</f>
        <v/>
      </c>
      <c r="D33">
        <f>IF($L33="","",INDEX('Per Line'!$A$2:$A$401,$L33))</f>
        <v/>
      </c>
      <c r="E33">
        <f>IF($L33="","",INDEX('Per Line'!$D$2:$D$401,$L33))</f>
        <v/>
      </c>
      <c r="F33">
        <f>IF($L33="","",INDEX('Per Line'!$Q$2:$Q$401,$L33))</f>
        <v/>
      </c>
      <c r="G33" s="5">
        <f>IF($L33="","",SUMIFS('Per Line'!$S$2:$S$401,'Per Line'!$C$2:$C$401,$C33))</f>
        <v/>
      </c>
      <c r="H33" s="5">
        <f>IF($L33="","",SUMIFS('Per Line'!$T$2:$T$401,'Per Line'!$C$2:$C$401,$C33))</f>
        <v/>
      </c>
      <c r="I33" s="5">
        <f>IF($L33="","",SUMIFS('Per Line'!$U$2:$U$401,'Per Line'!$C$2:$C$401,$C33))</f>
        <v/>
      </c>
      <c r="J33" s="5">
        <f>IF($L33="","",G33-H33)</f>
        <v/>
      </c>
      <c r="K33" s="5">
        <f>IF($L33="","",J33-I33)</f>
        <v/>
      </c>
      <c r="L33">
        <f>IF(ROWS($L$2:$L33)&lt;=MAX('Per Line'!$AH$2:$AH$401),MATCH(ROWS($L$2:$L33),'Per Line'!$AH$2:$AH$401,0),"")</f>
        <v/>
      </c>
    </row>
    <row r="34">
      <c r="B34">
        <f>IF($L34="","",INDEX('Per Line'!$B$2:$B$401,$L34))</f>
        <v/>
      </c>
      <c r="C34">
        <f>IF($L34="","",INDEX('Per Line'!$C$2:$C$401,$L34))</f>
        <v/>
      </c>
      <c r="D34">
        <f>IF($L34="","",INDEX('Per Line'!$A$2:$A$401,$L34))</f>
        <v/>
      </c>
      <c r="E34">
        <f>IF($L34="","",INDEX('Per Line'!$D$2:$D$401,$L34))</f>
        <v/>
      </c>
      <c r="F34">
        <f>IF($L34="","",INDEX('Per Line'!$Q$2:$Q$401,$L34))</f>
        <v/>
      </c>
      <c r="G34" s="5">
        <f>IF($L34="","",SUMIFS('Per Line'!$S$2:$S$401,'Per Line'!$C$2:$C$401,$C34))</f>
        <v/>
      </c>
      <c r="H34" s="5">
        <f>IF($L34="","",SUMIFS('Per Line'!$T$2:$T$401,'Per Line'!$C$2:$C$401,$C34))</f>
        <v/>
      </c>
      <c r="I34" s="5">
        <f>IF($L34="","",SUMIFS('Per Line'!$U$2:$U$401,'Per Line'!$C$2:$C$401,$C34))</f>
        <v/>
      </c>
      <c r="J34" s="5">
        <f>IF($L34="","",G34-H34)</f>
        <v/>
      </c>
      <c r="K34" s="5">
        <f>IF($L34="","",J34-I34)</f>
        <v/>
      </c>
      <c r="L34">
        <f>IF(ROWS($L$2:$L34)&lt;=MAX('Per Line'!$AH$2:$AH$401),MATCH(ROWS($L$2:$L34),'Per Line'!$AH$2:$AH$401,0),"")</f>
        <v/>
      </c>
    </row>
    <row r="35">
      <c r="B35">
        <f>IF($L35="","",INDEX('Per Line'!$B$2:$B$401,$L35))</f>
        <v/>
      </c>
      <c r="C35">
        <f>IF($L35="","",INDEX('Per Line'!$C$2:$C$401,$L35))</f>
        <v/>
      </c>
      <c r="D35">
        <f>IF($L35="","",INDEX('Per Line'!$A$2:$A$401,$L35))</f>
        <v/>
      </c>
      <c r="E35">
        <f>IF($L35="","",INDEX('Per Line'!$D$2:$D$401,$L35))</f>
        <v/>
      </c>
      <c r="F35">
        <f>IF($L35="","",INDEX('Per Line'!$Q$2:$Q$401,$L35))</f>
        <v/>
      </c>
      <c r="G35" s="5">
        <f>IF($L35="","",SUMIFS('Per Line'!$S$2:$S$401,'Per Line'!$C$2:$C$401,$C35))</f>
        <v/>
      </c>
      <c r="H35" s="5">
        <f>IF($L35="","",SUMIFS('Per Line'!$T$2:$T$401,'Per Line'!$C$2:$C$401,$C35))</f>
        <v/>
      </c>
      <c r="I35" s="5">
        <f>IF($L35="","",SUMIFS('Per Line'!$U$2:$U$401,'Per Line'!$C$2:$C$401,$C35))</f>
        <v/>
      </c>
      <c r="J35" s="5">
        <f>IF($L35="","",G35-H35)</f>
        <v/>
      </c>
      <c r="K35" s="5">
        <f>IF($L35="","",J35-I35)</f>
        <v/>
      </c>
      <c r="L35">
        <f>IF(ROWS($L$2:$L35)&lt;=MAX('Per Line'!$AH$2:$AH$401),MATCH(ROWS($L$2:$L35),'Per Line'!$AH$2:$AH$401,0),"")</f>
        <v/>
      </c>
    </row>
    <row r="36">
      <c r="B36">
        <f>IF($L36="","",INDEX('Per Line'!$B$2:$B$401,$L36))</f>
        <v/>
      </c>
      <c r="C36">
        <f>IF($L36="","",INDEX('Per Line'!$C$2:$C$401,$L36))</f>
        <v/>
      </c>
      <c r="D36">
        <f>IF($L36="","",INDEX('Per Line'!$A$2:$A$401,$L36))</f>
        <v/>
      </c>
      <c r="E36">
        <f>IF($L36="","",INDEX('Per Line'!$D$2:$D$401,$L36))</f>
        <v/>
      </c>
      <c r="F36">
        <f>IF($L36="","",INDEX('Per Line'!$Q$2:$Q$401,$L36))</f>
        <v/>
      </c>
      <c r="G36" s="5">
        <f>IF($L36="","",SUMIFS('Per Line'!$S$2:$S$401,'Per Line'!$C$2:$C$401,$C36))</f>
        <v/>
      </c>
      <c r="H36" s="5">
        <f>IF($L36="","",SUMIFS('Per Line'!$T$2:$T$401,'Per Line'!$C$2:$C$401,$C36))</f>
        <v/>
      </c>
      <c r="I36" s="5">
        <f>IF($L36="","",SUMIFS('Per Line'!$U$2:$U$401,'Per Line'!$C$2:$C$401,$C36))</f>
        <v/>
      </c>
      <c r="J36" s="5">
        <f>IF($L36="","",G36-H36)</f>
        <v/>
      </c>
      <c r="K36" s="5">
        <f>IF($L36="","",J36-I36)</f>
        <v/>
      </c>
      <c r="L36">
        <f>IF(ROWS($L$2:$L36)&lt;=MAX('Per Line'!$AH$2:$AH$401),MATCH(ROWS($L$2:$L36),'Per Line'!$AH$2:$AH$401,0),"")</f>
        <v/>
      </c>
    </row>
    <row r="37">
      <c r="B37">
        <f>IF($L37="","",INDEX('Per Line'!$B$2:$B$401,$L37))</f>
        <v/>
      </c>
      <c r="C37">
        <f>IF($L37="","",INDEX('Per Line'!$C$2:$C$401,$L37))</f>
        <v/>
      </c>
      <c r="D37">
        <f>IF($L37="","",INDEX('Per Line'!$A$2:$A$401,$L37))</f>
        <v/>
      </c>
      <c r="E37">
        <f>IF($L37="","",INDEX('Per Line'!$D$2:$D$401,$L37))</f>
        <v/>
      </c>
      <c r="F37">
        <f>IF($L37="","",INDEX('Per Line'!$Q$2:$Q$401,$L37))</f>
        <v/>
      </c>
      <c r="G37" s="5">
        <f>IF($L37="","",SUMIFS('Per Line'!$S$2:$S$401,'Per Line'!$C$2:$C$401,$C37))</f>
        <v/>
      </c>
      <c r="H37" s="5">
        <f>IF($L37="","",SUMIFS('Per Line'!$T$2:$T$401,'Per Line'!$C$2:$C$401,$C37))</f>
        <v/>
      </c>
      <c r="I37" s="5">
        <f>IF($L37="","",SUMIFS('Per Line'!$U$2:$U$401,'Per Line'!$C$2:$C$401,$C37))</f>
        <v/>
      </c>
      <c r="J37" s="5">
        <f>IF($L37="","",G37-H37)</f>
        <v/>
      </c>
      <c r="K37" s="5">
        <f>IF($L37="","",J37-I37)</f>
        <v/>
      </c>
      <c r="L37">
        <f>IF(ROWS($L$2:$L37)&lt;=MAX('Per Line'!$AH$2:$AH$401),MATCH(ROWS($L$2:$L37),'Per Line'!$AH$2:$AH$401,0),"")</f>
        <v/>
      </c>
    </row>
    <row r="38">
      <c r="B38">
        <f>IF($L38="","",INDEX('Per Line'!$B$2:$B$401,$L38))</f>
        <v/>
      </c>
      <c r="C38">
        <f>IF($L38="","",INDEX('Per Line'!$C$2:$C$401,$L38))</f>
        <v/>
      </c>
      <c r="D38">
        <f>IF($L38="","",INDEX('Per Line'!$A$2:$A$401,$L38))</f>
        <v/>
      </c>
      <c r="E38">
        <f>IF($L38="","",INDEX('Per Line'!$D$2:$D$401,$L38))</f>
        <v/>
      </c>
      <c r="F38">
        <f>IF($L38="","",INDEX('Per Line'!$Q$2:$Q$401,$L38))</f>
        <v/>
      </c>
      <c r="G38" s="5">
        <f>IF($L38="","",SUMIFS('Per Line'!$S$2:$S$401,'Per Line'!$C$2:$C$401,$C38))</f>
        <v/>
      </c>
      <c r="H38" s="5">
        <f>IF($L38="","",SUMIFS('Per Line'!$T$2:$T$401,'Per Line'!$C$2:$C$401,$C38))</f>
        <v/>
      </c>
      <c r="I38" s="5">
        <f>IF($L38="","",SUMIFS('Per Line'!$U$2:$U$401,'Per Line'!$C$2:$C$401,$C38))</f>
        <v/>
      </c>
      <c r="J38" s="5">
        <f>IF($L38="","",G38-H38)</f>
        <v/>
      </c>
      <c r="K38" s="5">
        <f>IF($L38="","",J38-I38)</f>
        <v/>
      </c>
      <c r="L38">
        <f>IF(ROWS($L$2:$L38)&lt;=MAX('Per Line'!$AH$2:$AH$401),MATCH(ROWS($L$2:$L38),'Per Line'!$AH$2:$AH$401,0),"")</f>
        <v/>
      </c>
    </row>
    <row r="39">
      <c r="B39">
        <f>IF($L39="","",INDEX('Per Line'!$B$2:$B$401,$L39))</f>
        <v/>
      </c>
      <c r="C39">
        <f>IF($L39="","",INDEX('Per Line'!$C$2:$C$401,$L39))</f>
        <v/>
      </c>
      <c r="D39">
        <f>IF($L39="","",INDEX('Per Line'!$A$2:$A$401,$L39))</f>
        <v/>
      </c>
      <c r="E39">
        <f>IF($L39="","",INDEX('Per Line'!$D$2:$D$401,$L39))</f>
        <v/>
      </c>
      <c r="F39">
        <f>IF($L39="","",INDEX('Per Line'!$Q$2:$Q$401,$L39))</f>
        <v/>
      </c>
      <c r="G39" s="5">
        <f>IF($L39="","",SUMIFS('Per Line'!$S$2:$S$401,'Per Line'!$C$2:$C$401,$C39))</f>
        <v/>
      </c>
      <c r="H39" s="5">
        <f>IF($L39="","",SUMIFS('Per Line'!$T$2:$T$401,'Per Line'!$C$2:$C$401,$C39))</f>
        <v/>
      </c>
      <c r="I39" s="5">
        <f>IF($L39="","",SUMIFS('Per Line'!$U$2:$U$401,'Per Line'!$C$2:$C$401,$C39))</f>
        <v/>
      </c>
      <c r="J39" s="5">
        <f>IF($L39="","",G39-H39)</f>
        <v/>
      </c>
      <c r="K39" s="5">
        <f>IF($L39="","",J39-I39)</f>
        <v/>
      </c>
      <c r="L39">
        <f>IF(ROWS($L$2:$L39)&lt;=MAX('Per Line'!$AH$2:$AH$401),MATCH(ROWS($L$2:$L39),'Per Line'!$AH$2:$AH$401,0),"")</f>
        <v/>
      </c>
    </row>
    <row r="40">
      <c r="B40">
        <f>IF($L40="","",INDEX('Per Line'!$B$2:$B$401,$L40))</f>
        <v/>
      </c>
      <c r="C40">
        <f>IF($L40="","",INDEX('Per Line'!$C$2:$C$401,$L40))</f>
        <v/>
      </c>
      <c r="D40">
        <f>IF($L40="","",INDEX('Per Line'!$A$2:$A$401,$L40))</f>
        <v/>
      </c>
      <c r="E40">
        <f>IF($L40="","",INDEX('Per Line'!$D$2:$D$401,$L40))</f>
        <v/>
      </c>
      <c r="F40">
        <f>IF($L40="","",INDEX('Per Line'!$Q$2:$Q$401,$L40))</f>
        <v/>
      </c>
      <c r="G40" s="5">
        <f>IF($L40="","",SUMIFS('Per Line'!$S$2:$S$401,'Per Line'!$C$2:$C$401,$C40))</f>
        <v/>
      </c>
      <c r="H40" s="5">
        <f>IF($L40="","",SUMIFS('Per Line'!$T$2:$T$401,'Per Line'!$C$2:$C$401,$C40))</f>
        <v/>
      </c>
      <c r="I40" s="5">
        <f>IF($L40="","",SUMIFS('Per Line'!$U$2:$U$401,'Per Line'!$C$2:$C$401,$C40))</f>
        <v/>
      </c>
      <c r="J40" s="5">
        <f>IF($L40="","",G40-H40)</f>
        <v/>
      </c>
      <c r="K40" s="5">
        <f>IF($L40="","",J40-I40)</f>
        <v/>
      </c>
      <c r="L40">
        <f>IF(ROWS($L$2:$L40)&lt;=MAX('Per Line'!$AH$2:$AH$401),MATCH(ROWS($L$2:$L40),'Per Line'!$AH$2:$AH$401,0),"")</f>
        <v/>
      </c>
    </row>
    <row r="41">
      <c r="B41">
        <f>IF($L41="","",INDEX('Per Line'!$B$2:$B$401,$L41))</f>
        <v/>
      </c>
      <c r="C41">
        <f>IF($L41="","",INDEX('Per Line'!$C$2:$C$401,$L41))</f>
        <v/>
      </c>
      <c r="D41">
        <f>IF($L41="","",INDEX('Per Line'!$A$2:$A$401,$L41))</f>
        <v/>
      </c>
      <c r="E41">
        <f>IF($L41="","",INDEX('Per Line'!$D$2:$D$401,$L41))</f>
        <v/>
      </c>
      <c r="F41">
        <f>IF($L41="","",INDEX('Per Line'!$Q$2:$Q$401,$L41))</f>
        <v/>
      </c>
      <c r="G41" s="5">
        <f>IF($L41="","",SUMIFS('Per Line'!$S$2:$S$401,'Per Line'!$C$2:$C$401,$C41))</f>
        <v/>
      </c>
      <c r="H41" s="5">
        <f>IF($L41="","",SUMIFS('Per Line'!$T$2:$T$401,'Per Line'!$C$2:$C$401,$C41))</f>
        <v/>
      </c>
      <c r="I41" s="5">
        <f>IF($L41="","",SUMIFS('Per Line'!$U$2:$U$401,'Per Line'!$C$2:$C$401,$C41))</f>
        <v/>
      </c>
      <c r="J41" s="5">
        <f>IF($L41="","",G41-H41)</f>
        <v/>
      </c>
      <c r="K41" s="5">
        <f>IF($L41="","",J41-I41)</f>
        <v/>
      </c>
      <c r="L41">
        <f>IF(ROWS($L$2:$L41)&lt;=MAX('Per Line'!$AH$2:$AH$401),MATCH(ROWS($L$2:$L41),'Per Line'!$AH$2:$AH$401,0),"")</f>
        <v/>
      </c>
    </row>
    <row r="42">
      <c r="B42">
        <f>IF($L42="","",INDEX('Per Line'!$B$2:$B$401,$L42))</f>
        <v/>
      </c>
      <c r="C42">
        <f>IF($L42="","",INDEX('Per Line'!$C$2:$C$401,$L42))</f>
        <v/>
      </c>
      <c r="D42">
        <f>IF($L42="","",INDEX('Per Line'!$A$2:$A$401,$L42))</f>
        <v/>
      </c>
      <c r="E42">
        <f>IF($L42="","",INDEX('Per Line'!$D$2:$D$401,$L42))</f>
        <v/>
      </c>
      <c r="F42">
        <f>IF($L42="","",INDEX('Per Line'!$Q$2:$Q$401,$L42))</f>
        <v/>
      </c>
      <c r="G42" s="5">
        <f>IF($L42="","",SUMIFS('Per Line'!$S$2:$S$401,'Per Line'!$C$2:$C$401,$C42))</f>
        <v/>
      </c>
      <c r="H42" s="5">
        <f>IF($L42="","",SUMIFS('Per Line'!$T$2:$T$401,'Per Line'!$C$2:$C$401,$C42))</f>
        <v/>
      </c>
      <c r="I42" s="5">
        <f>IF($L42="","",SUMIFS('Per Line'!$U$2:$U$401,'Per Line'!$C$2:$C$401,$C42))</f>
        <v/>
      </c>
      <c r="J42" s="5">
        <f>IF($L42="","",G42-H42)</f>
        <v/>
      </c>
      <c r="K42" s="5">
        <f>IF($L42="","",J42-I42)</f>
        <v/>
      </c>
      <c r="L42">
        <f>IF(ROWS($L$2:$L42)&lt;=MAX('Per Line'!$AH$2:$AH$401),MATCH(ROWS($L$2:$L42),'Per Line'!$AH$2:$AH$401,0),"")</f>
        <v/>
      </c>
    </row>
    <row r="43">
      <c r="B43">
        <f>IF($L43="","",INDEX('Per Line'!$B$2:$B$401,$L43))</f>
        <v/>
      </c>
      <c r="C43">
        <f>IF($L43="","",INDEX('Per Line'!$C$2:$C$401,$L43))</f>
        <v/>
      </c>
      <c r="D43">
        <f>IF($L43="","",INDEX('Per Line'!$A$2:$A$401,$L43))</f>
        <v/>
      </c>
      <c r="E43">
        <f>IF($L43="","",INDEX('Per Line'!$D$2:$D$401,$L43))</f>
        <v/>
      </c>
      <c r="F43">
        <f>IF($L43="","",INDEX('Per Line'!$Q$2:$Q$401,$L43))</f>
        <v/>
      </c>
      <c r="G43" s="5">
        <f>IF($L43="","",SUMIFS('Per Line'!$S$2:$S$401,'Per Line'!$C$2:$C$401,$C43))</f>
        <v/>
      </c>
      <c r="H43" s="5">
        <f>IF($L43="","",SUMIFS('Per Line'!$T$2:$T$401,'Per Line'!$C$2:$C$401,$C43))</f>
        <v/>
      </c>
      <c r="I43" s="5">
        <f>IF($L43="","",SUMIFS('Per Line'!$U$2:$U$401,'Per Line'!$C$2:$C$401,$C43))</f>
        <v/>
      </c>
      <c r="J43" s="5">
        <f>IF($L43="","",G43-H43)</f>
        <v/>
      </c>
      <c r="K43" s="5">
        <f>IF($L43="","",J43-I43)</f>
        <v/>
      </c>
      <c r="L43">
        <f>IF(ROWS($L$2:$L43)&lt;=MAX('Per Line'!$AH$2:$AH$401),MATCH(ROWS($L$2:$L43),'Per Line'!$AH$2:$AH$401,0),"")</f>
        <v/>
      </c>
    </row>
    <row r="44">
      <c r="B44">
        <f>IF($L44="","",INDEX('Per Line'!$B$2:$B$401,$L44))</f>
        <v/>
      </c>
      <c r="C44">
        <f>IF($L44="","",INDEX('Per Line'!$C$2:$C$401,$L44))</f>
        <v/>
      </c>
      <c r="D44">
        <f>IF($L44="","",INDEX('Per Line'!$A$2:$A$401,$L44))</f>
        <v/>
      </c>
      <c r="E44">
        <f>IF($L44="","",INDEX('Per Line'!$D$2:$D$401,$L44))</f>
        <v/>
      </c>
      <c r="F44">
        <f>IF($L44="","",INDEX('Per Line'!$Q$2:$Q$401,$L44))</f>
        <v/>
      </c>
      <c r="G44" s="5">
        <f>IF($L44="","",SUMIFS('Per Line'!$S$2:$S$401,'Per Line'!$C$2:$C$401,$C44))</f>
        <v/>
      </c>
      <c r="H44" s="5">
        <f>IF($L44="","",SUMIFS('Per Line'!$T$2:$T$401,'Per Line'!$C$2:$C$401,$C44))</f>
        <v/>
      </c>
      <c r="I44" s="5">
        <f>IF($L44="","",SUMIFS('Per Line'!$U$2:$U$401,'Per Line'!$C$2:$C$401,$C44))</f>
        <v/>
      </c>
      <c r="J44" s="5">
        <f>IF($L44="","",G44-H44)</f>
        <v/>
      </c>
      <c r="K44" s="5">
        <f>IF($L44="","",J44-I44)</f>
        <v/>
      </c>
      <c r="L44">
        <f>IF(ROWS($L$2:$L44)&lt;=MAX('Per Line'!$AH$2:$AH$401),MATCH(ROWS($L$2:$L44),'Per Line'!$AH$2:$AH$401,0),"")</f>
        <v/>
      </c>
    </row>
    <row r="45">
      <c r="B45">
        <f>IF($L45="","",INDEX('Per Line'!$B$2:$B$401,$L45))</f>
        <v/>
      </c>
      <c r="C45">
        <f>IF($L45="","",INDEX('Per Line'!$C$2:$C$401,$L45))</f>
        <v/>
      </c>
      <c r="D45">
        <f>IF($L45="","",INDEX('Per Line'!$A$2:$A$401,$L45))</f>
        <v/>
      </c>
      <c r="E45">
        <f>IF($L45="","",INDEX('Per Line'!$D$2:$D$401,$L45))</f>
        <v/>
      </c>
      <c r="F45">
        <f>IF($L45="","",INDEX('Per Line'!$Q$2:$Q$401,$L45))</f>
        <v/>
      </c>
      <c r="G45" s="5">
        <f>IF($L45="","",SUMIFS('Per Line'!$S$2:$S$401,'Per Line'!$C$2:$C$401,$C45))</f>
        <v/>
      </c>
      <c r="H45" s="5">
        <f>IF($L45="","",SUMIFS('Per Line'!$T$2:$T$401,'Per Line'!$C$2:$C$401,$C45))</f>
        <v/>
      </c>
      <c r="I45" s="5">
        <f>IF($L45="","",SUMIFS('Per Line'!$U$2:$U$401,'Per Line'!$C$2:$C$401,$C45))</f>
        <v/>
      </c>
      <c r="J45" s="5">
        <f>IF($L45="","",G45-H45)</f>
        <v/>
      </c>
      <c r="K45" s="5">
        <f>IF($L45="","",J45-I45)</f>
        <v/>
      </c>
      <c r="L45">
        <f>IF(ROWS($L$2:$L45)&lt;=MAX('Per Line'!$AH$2:$AH$401),MATCH(ROWS($L$2:$L45),'Per Line'!$AH$2:$AH$401,0),"")</f>
        <v/>
      </c>
    </row>
    <row r="46">
      <c r="B46">
        <f>IF($L46="","",INDEX('Per Line'!$B$2:$B$401,$L46))</f>
        <v/>
      </c>
      <c r="C46">
        <f>IF($L46="","",INDEX('Per Line'!$C$2:$C$401,$L46))</f>
        <v/>
      </c>
      <c r="D46">
        <f>IF($L46="","",INDEX('Per Line'!$A$2:$A$401,$L46))</f>
        <v/>
      </c>
      <c r="E46">
        <f>IF($L46="","",INDEX('Per Line'!$D$2:$D$401,$L46))</f>
        <v/>
      </c>
      <c r="F46">
        <f>IF($L46="","",INDEX('Per Line'!$Q$2:$Q$401,$L46))</f>
        <v/>
      </c>
      <c r="G46" s="5">
        <f>IF($L46="","",SUMIFS('Per Line'!$S$2:$S$401,'Per Line'!$C$2:$C$401,$C46))</f>
        <v/>
      </c>
      <c r="H46" s="5">
        <f>IF($L46="","",SUMIFS('Per Line'!$T$2:$T$401,'Per Line'!$C$2:$C$401,$C46))</f>
        <v/>
      </c>
      <c r="I46" s="5">
        <f>IF($L46="","",SUMIFS('Per Line'!$U$2:$U$401,'Per Line'!$C$2:$C$401,$C46))</f>
        <v/>
      </c>
      <c r="J46" s="5">
        <f>IF($L46="","",G46-H46)</f>
        <v/>
      </c>
      <c r="K46" s="5">
        <f>IF($L46="","",J46-I46)</f>
        <v/>
      </c>
      <c r="L46">
        <f>IF(ROWS($L$2:$L46)&lt;=MAX('Per Line'!$AH$2:$AH$401),MATCH(ROWS($L$2:$L46),'Per Line'!$AH$2:$AH$401,0),"")</f>
        <v/>
      </c>
    </row>
    <row r="47">
      <c r="B47">
        <f>IF($L47="","",INDEX('Per Line'!$B$2:$B$401,$L47))</f>
        <v/>
      </c>
      <c r="C47">
        <f>IF($L47="","",INDEX('Per Line'!$C$2:$C$401,$L47))</f>
        <v/>
      </c>
      <c r="D47">
        <f>IF($L47="","",INDEX('Per Line'!$A$2:$A$401,$L47))</f>
        <v/>
      </c>
      <c r="E47">
        <f>IF($L47="","",INDEX('Per Line'!$D$2:$D$401,$L47))</f>
        <v/>
      </c>
      <c r="F47">
        <f>IF($L47="","",INDEX('Per Line'!$Q$2:$Q$401,$L47))</f>
        <v/>
      </c>
      <c r="G47" s="5">
        <f>IF($L47="","",SUMIFS('Per Line'!$S$2:$S$401,'Per Line'!$C$2:$C$401,$C47))</f>
        <v/>
      </c>
      <c r="H47" s="5">
        <f>IF($L47="","",SUMIFS('Per Line'!$T$2:$T$401,'Per Line'!$C$2:$C$401,$C47))</f>
        <v/>
      </c>
      <c r="I47" s="5">
        <f>IF($L47="","",SUMIFS('Per Line'!$U$2:$U$401,'Per Line'!$C$2:$C$401,$C47))</f>
        <v/>
      </c>
      <c r="J47" s="5">
        <f>IF($L47="","",G47-H47)</f>
        <v/>
      </c>
      <c r="K47" s="5">
        <f>IF($L47="","",J47-I47)</f>
        <v/>
      </c>
      <c r="L47">
        <f>IF(ROWS($L$2:$L47)&lt;=MAX('Per Line'!$AH$2:$AH$401),MATCH(ROWS($L$2:$L47),'Per Line'!$AH$2:$AH$401,0),"")</f>
        <v/>
      </c>
    </row>
    <row r="48">
      <c r="B48">
        <f>IF($L48="","",INDEX('Per Line'!$B$2:$B$401,$L48))</f>
        <v/>
      </c>
      <c r="C48">
        <f>IF($L48="","",INDEX('Per Line'!$C$2:$C$401,$L48))</f>
        <v/>
      </c>
      <c r="D48">
        <f>IF($L48="","",INDEX('Per Line'!$A$2:$A$401,$L48))</f>
        <v/>
      </c>
      <c r="E48">
        <f>IF($L48="","",INDEX('Per Line'!$D$2:$D$401,$L48))</f>
        <v/>
      </c>
      <c r="F48">
        <f>IF($L48="","",INDEX('Per Line'!$Q$2:$Q$401,$L48))</f>
        <v/>
      </c>
      <c r="G48" s="5">
        <f>IF($L48="","",SUMIFS('Per Line'!$S$2:$S$401,'Per Line'!$C$2:$C$401,$C48))</f>
        <v/>
      </c>
      <c r="H48" s="5">
        <f>IF($L48="","",SUMIFS('Per Line'!$T$2:$T$401,'Per Line'!$C$2:$C$401,$C48))</f>
        <v/>
      </c>
      <c r="I48" s="5">
        <f>IF($L48="","",SUMIFS('Per Line'!$U$2:$U$401,'Per Line'!$C$2:$C$401,$C48))</f>
        <v/>
      </c>
      <c r="J48" s="5">
        <f>IF($L48="","",G48-H48)</f>
        <v/>
      </c>
      <c r="K48" s="5">
        <f>IF($L48="","",J48-I48)</f>
        <v/>
      </c>
      <c r="L48">
        <f>IF(ROWS($L$2:$L48)&lt;=MAX('Per Line'!$AH$2:$AH$401),MATCH(ROWS($L$2:$L48),'Per Line'!$AH$2:$AH$401,0),"")</f>
        <v/>
      </c>
    </row>
    <row r="49">
      <c r="B49">
        <f>IF($L49="","",INDEX('Per Line'!$B$2:$B$401,$L49))</f>
        <v/>
      </c>
      <c r="C49">
        <f>IF($L49="","",INDEX('Per Line'!$C$2:$C$401,$L49))</f>
        <v/>
      </c>
      <c r="D49">
        <f>IF($L49="","",INDEX('Per Line'!$A$2:$A$401,$L49))</f>
        <v/>
      </c>
      <c r="E49">
        <f>IF($L49="","",INDEX('Per Line'!$D$2:$D$401,$L49))</f>
        <v/>
      </c>
      <c r="F49">
        <f>IF($L49="","",INDEX('Per Line'!$Q$2:$Q$401,$L49))</f>
        <v/>
      </c>
      <c r="G49" s="5">
        <f>IF($L49="","",SUMIFS('Per Line'!$S$2:$S$401,'Per Line'!$C$2:$C$401,$C49))</f>
        <v/>
      </c>
      <c r="H49" s="5">
        <f>IF($L49="","",SUMIFS('Per Line'!$T$2:$T$401,'Per Line'!$C$2:$C$401,$C49))</f>
        <v/>
      </c>
      <c r="I49" s="5">
        <f>IF($L49="","",SUMIFS('Per Line'!$U$2:$U$401,'Per Line'!$C$2:$C$401,$C49))</f>
        <v/>
      </c>
      <c r="J49" s="5">
        <f>IF($L49="","",G49-H49)</f>
        <v/>
      </c>
      <c r="K49" s="5">
        <f>IF($L49="","",J49-I49)</f>
        <v/>
      </c>
      <c r="L49">
        <f>IF(ROWS($L$2:$L49)&lt;=MAX('Per Line'!$AH$2:$AH$401),MATCH(ROWS($L$2:$L49),'Per Line'!$AH$2:$AH$401,0),"")</f>
        <v/>
      </c>
    </row>
    <row r="50">
      <c r="B50">
        <f>IF($L50="","",INDEX('Per Line'!$B$2:$B$401,$L50))</f>
        <v/>
      </c>
      <c r="C50">
        <f>IF($L50="","",INDEX('Per Line'!$C$2:$C$401,$L50))</f>
        <v/>
      </c>
      <c r="D50">
        <f>IF($L50="","",INDEX('Per Line'!$A$2:$A$401,$L50))</f>
        <v/>
      </c>
      <c r="E50">
        <f>IF($L50="","",INDEX('Per Line'!$D$2:$D$401,$L50))</f>
        <v/>
      </c>
      <c r="F50">
        <f>IF($L50="","",INDEX('Per Line'!$Q$2:$Q$401,$L50))</f>
        <v/>
      </c>
      <c r="G50" s="5">
        <f>IF($L50="","",SUMIFS('Per Line'!$S$2:$S$401,'Per Line'!$C$2:$C$401,$C50))</f>
        <v/>
      </c>
      <c r="H50" s="5">
        <f>IF($L50="","",SUMIFS('Per Line'!$T$2:$T$401,'Per Line'!$C$2:$C$401,$C50))</f>
        <v/>
      </c>
      <c r="I50" s="5">
        <f>IF($L50="","",SUMIFS('Per Line'!$U$2:$U$401,'Per Line'!$C$2:$C$401,$C50))</f>
        <v/>
      </c>
      <c r="J50" s="5">
        <f>IF($L50="","",G50-H50)</f>
        <v/>
      </c>
      <c r="K50" s="5">
        <f>IF($L50="","",J50-I50)</f>
        <v/>
      </c>
      <c r="L50">
        <f>IF(ROWS($L$2:$L50)&lt;=MAX('Per Line'!$AH$2:$AH$401),MATCH(ROWS($L$2:$L50),'Per Line'!$AH$2:$AH$401,0),"")</f>
        <v/>
      </c>
    </row>
    <row r="51">
      <c r="B51">
        <f>IF($L51="","",INDEX('Per Line'!$B$2:$B$401,$L51))</f>
        <v/>
      </c>
      <c r="C51">
        <f>IF($L51="","",INDEX('Per Line'!$C$2:$C$401,$L51))</f>
        <v/>
      </c>
      <c r="D51">
        <f>IF($L51="","",INDEX('Per Line'!$A$2:$A$401,$L51))</f>
        <v/>
      </c>
      <c r="E51">
        <f>IF($L51="","",INDEX('Per Line'!$D$2:$D$401,$L51))</f>
        <v/>
      </c>
      <c r="F51">
        <f>IF($L51="","",INDEX('Per Line'!$Q$2:$Q$401,$L51))</f>
        <v/>
      </c>
      <c r="G51" s="5">
        <f>IF($L51="","",SUMIFS('Per Line'!$S$2:$S$401,'Per Line'!$C$2:$C$401,$C51))</f>
        <v/>
      </c>
      <c r="H51" s="5">
        <f>IF($L51="","",SUMIFS('Per Line'!$T$2:$T$401,'Per Line'!$C$2:$C$401,$C51))</f>
        <v/>
      </c>
      <c r="I51" s="5">
        <f>IF($L51="","",SUMIFS('Per Line'!$U$2:$U$401,'Per Line'!$C$2:$C$401,$C51))</f>
        <v/>
      </c>
      <c r="J51" s="5">
        <f>IF($L51="","",G51-H51)</f>
        <v/>
      </c>
      <c r="K51" s="5">
        <f>IF($L51="","",J51-I51)</f>
        <v/>
      </c>
      <c r="L51">
        <f>IF(ROWS($L$2:$L51)&lt;=MAX('Per Line'!$AH$2:$AH$401),MATCH(ROWS($L$2:$L51),'Per Line'!$AH$2:$AH$401,0),"")</f>
        <v/>
      </c>
    </row>
    <row r="52">
      <c r="B52">
        <f>IF($L52="","",INDEX('Per Line'!$B$2:$B$401,$L52))</f>
        <v/>
      </c>
      <c r="C52">
        <f>IF($L52="","",INDEX('Per Line'!$C$2:$C$401,$L52))</f>
        <v/>
      </c>
      <c r="D52">
        <f>IF($L52="","",INDEX('Per Line'!$A$2:$A$401,$L52))</f>
        <v/>
      </c>
      <c r="E52">
        <f>IF($L52="","",INDEX('Per Line'!$D$2:$D$401,$L52))</f>
        <v/>
      </c>
      <c r="F52">
        <f>IF($L52="","",INDEX('Per Line'!$Q$2:$Q$401,$L52))</f>
        <v/>
      </c>
      <c r="G52" s="5">
        <f>IF($L52="","",SUMIFS('Per Line'!$S$2:$S$401,'Per Line'!$C$2:$C$401,$C52))</f>
        <v/>
      </c>
      <c r="H52" s="5">
        <f>IF($L52="","",SUMIFS('Per Line'!$T$2:$T$401,'Per Line'!$C$2:$C$401,$C52))</f>
        <v/>
      </c>
      <c r="I52" s="5">
        <f>IF($L52="","",SUMIFS('Per Line'!$U$2:$U$401,'Per Line'!$C$2:$C$401,$C52))</f>
        <v/>
      </c>
      <c r="J52" s="5">
        <f>IF($L52="","",G52-H52)</f>
        <v/>
      </c>
      <c r="K52" s="5">
        <f>IF($L52="","",J52-I52)</f>
        <v/>
      </c>
      <c r="L52">
        <f>IF(ROWS($L$2:$L52)&lt;=MAX('Per Line'!$AH$2:$AH$401),MATCH(ROWS($L$2:$L52),'Per Line'!$AH$2:$AH$401,0),"")</f>
        <v/>
      </c>
    </row>
    <row r="53">
      <c r="B53">
        <f>IF($L53="","",INDEX('Per Line'!$B$2:$B$401,$L53))</f>
        <v/>
      </c>
      <c r="C53">
        <f>IF($L53="","",INDEX('Per Line'!$C$2:$C$401,$L53))</f>
        <v/>
      </c>
      <c r="D53">
        <f>IF($L53="","",INDEX('Per Line'!$A$2:$A$401,$L53))</f>
        <v/>
      </c>
      <c r="E53">
        <f>IF($L53="","",INDEX('Per Line'!$D$2:$D$401,$L53))</f>
        <v/>
      </c>
      <c r="F53">
        <f>IF($L53="","",INDEX('Per Line'!$Q$2:$Q$401,$L53))</f>
        <v/>
      </c>
      <c r="G53" s="5">
        <f>IF($L53="","",SUMIFS('Per Line'!$S$2:$S$401,'Per Line'!$C$2:$C$401,$C53))</f>
        <v/>
      </c>
      <c r="H53" s="5">
        <f>IF($L53="","",SUMIFS('Per Line'!$T$2:$T$401,'Per Line'!$C$2:$C$401,$C53))</f>
        <v/>
      </c>
      <c r="I53" s="5">
        <f>IF($L53="","",SUMIFS('Per Line'!$U$2:$U$401,'Per Line'!$C$2:$C$401,$C53))</f>
        <v/>
      </c>
      <c r="J53" s="5">
        <f>IF($L53="","",G53-H53)</f>
        <v/>
      </c>
      <c r="K53" s="5">
        <f>IF($L53="","",J53-I53)</f>
        <v/>
      </c>
      <c r="L53">
        <f>IF(ROWS($L$2:$L53)&lt;=MAX('Per Line'!$AH$2:$AH$401),MATCH(ROWS($L$2:$L53),'Per Line'!$AH$2:$AH$401,0),"")</f>
        <v/>
      </c>
    </row>
    <row r="54">
      <c r="B54">
        <f>IF($L54="","",INDEX('Per Line'!$B$2:$B$401,$L54))</f>
        <v/>
      </c>
      <c r="C54">
        <f>IF($L54="","",INDEX('Per Line'!$C$2:$C$401,$L54))</f>
        <v/>
      </c>
      <c r="D54">
        <f>IF($L54="","",INDEX('Per Line'!$A$2:$A$401,$L54))</f>
        <v/>
      </c>
      <c r="E54">
        <f>IF($L54="","",INDEX('Per Line'!$D$2:$D$401,$L54))</f>
        <v/>
      </c>
      <c r="F54">
        <f>IF($L54="","",INDEX('Per Line'!$Q$2:$Q$401,$L54))</f>
        <v/>
      </c>
      <c r="G54" s="5">
        <f>IF($L54="","",SUMIFS('Per Line'!$S$2:$S$401,'Per Line'!$C$2:$C$401,$C54))</f>
        <v/>
      </c>
      <c r="H54" s="5">
        <f>IF($L54="","",SUMIFS('Per Line'!$T$2:$T$401,'Per Line'!$C$2:$C$401,$C54))</f>
        <v/>
      </c>
      <c r="I54" s="5">
        <f>IF($L54="","",SUMIFS('Per Line'!$U$2:$U$401,'Per Line'!$C$2:$C$401,$C54))</f>
        <v/>
      </c>
      <c r="J54" s="5">
        <f>IF($L54="","",G54-H54)</f>
        <v/>
      </c>
      <c r="K54" s="5">
        <f>IF($L54="","",J54-I54)</f>
        <v/>
      </c>
      <c r="L54">
        <f>IF(ROWS($L$2:$L54)&lt;=MAX('Per Line'!$AH$2:$AH$401),MATCH(ROWS($L$2:$L54),'Per Line'!$AH$2:$AH$401,0),"")</f>
        <v/>
      </c>
    </row>
    <row r="55">
      <c r="B55">
        <f>IF($L55="","",INDEX('Per Line'!$B$2:$B$401,$L55))</f>
        <v/>
      </c>
      <c r="C55">
        <f>IF($L55="","",INDEX('Per Line'!$C$2:$C$401,$L55))</f>
        <v/>
      </c>
      <c r="D55">
        <f>IF($L55="","",INDEX('Per Line'!$A$2:$A$401,$L55))</f>
        <v/>
      </c>
      <c r="E55">
        <f>IF($L55="","",INDEX('Per Line'!$D$2:$D$401,$L55))</f>
        <v/>
      </c>
      <c r="F55">
        <f>IF($L55="","",INDEX('Per Line'!$Q$2:$Q$401,$L55))</f>
        <v/>
      </c>
      <c r="G55" s="5">
        <f>IF($L55="","",SUMIFS('Per Line'!$S$2:$S$401,'Per Line'!$C$2:$C$401,$C55))</f>
        <v/>
      </c>
      <c r="H55" s="5">
        <f>IF($L55="","",SUMIFS('Per Line'!$T$2:$T$401,'Per Line'!$C$2:$C$401,$C55))</f>
        <v/>
      </c>
      <c r="I55" s="5">
        <f>IF($L55="","",SUMIFS('Per Line'!$U$2:$U$401,'Per Line'!$C$2:$C$401,$C55))</f>
        <v/>
      </c>
      <c r="J55" s="5">
        <f>IF($L55="","",G55-H55)</f>
        <v/>
      </c>
      <c r="K55" s="5">
        <f>IF($L55="","",J55-I55)</f>
        <v/>
      </c>
      <c r="L55">
        <f>IF(ROWS($L$2:$L55)&lt;=MAX('Per Line'!$AH$2:$AH$401),MATCH(ROWS($L$2:$L55),'Per Line'!$AH$2:$AH$401,0),"")</f>
        <v/>
      </c>
    </row>
    <row r="56">
      <c r="B56">
        <f>IF($L56="","",INDEX('Per Line'!$B$2:$B$401,$L56))</f>
        <v/>
      </c>
      <c r="C56">
        <f>IF($L56="","",INDEX('Per Line'!$C$2:$C$401,$L56))</f>
        <v/>
      </c>
      <c r="D56">
        <f>IF($L56="","",INDEX('Per Line'!$A$2:$A$401,$L56))</f>
        <v/>
      </c>
      <c r="E56">
        <f>IF($L56="","",INDEX('Per Line'!$D$2:$D$401,$L56))</f>
        <v/>
      </c>
      <c r="F56">
        <f>IF($L56="","",INDEX('Per Line'!$Q$2:$Q$401,$L56))</f>
        <v/>
      </c>
      <c r="G56" s="5">
        <f>IF($L56="","",SUMIFS('Per Line'!$S$2:$S$401,'Per Line'!$C$2:$C$401,$C56))</f>
        <v/>
      </c>
      <c r="H56" s="5">
        <f>IF($L56="","",SUMIFS('Per Line'!$T$2:$T$401,'Per Line'!$C$2:$C$401,$C56))</f>
        <v/>
      </c>
      <c r="I56" s="5">
        <f>IF($L56="","",SUMIFS('Per Line'!$U$2:$U$401,'Per Line'!$C$2:$C$401,$C56))</f>
        <v/>
      </c>
      <c r="J56" s="5">
        <f>IF($L56="","",G56-H56)</f>
        <v/>
      </c>
      <c r="K56" s="5">
        <f>IF($L56="","",J56-I56)</f>
        <v/>
      </c>
      <c r="L56">
        <f>IF(ROWS($L$2:$L56)&lt;=MAX('Per Line'!$AH$2:$AH$401),MATCH(ROWS($L$2:$L56),'Per Line'!$AH$2:$AH$401,0),"")</f>
        <v/>
      </c>
    </row>
    <row r="57">
      <c r="B57">
        <f>IF($L57="","",INDEX('Per Line'!$B$2:$B$401,$L57))</f>
        <v/>
      </c>
      <c r="C57">
        <f>IF($L57="","",INDEX('Per Line'!$C$2:$C$401,$L57))</f>
        <v/>
      </c>
      <c r="D57">
        <f>IF($L57="","",INDEX('Per Line'!$A$2:$A$401,$L57))</f>
        <v/>
      </c>
      <c r="E57">
        <f>IF($L57="","",INDEX('Per Line'!$D$2:$D$401,$L57))</f>
        <v/>
      </c>
      <c r="F57">
        <f>IF($L57="","",INDEX('Per Line'!$Q$2:$Q$401,$L57))</f>
        <v/>
      </c>
      <c r="G57" s="5">
        <f>IF($L57="","",SUMIFS('Per Line'!$S$2:$S$401,'Per Line'!$C$2:$C$401,$C57))</f>
        <v/>
      </c>
      <c r="H57" s="5">
        <f>IF($L57="","",SUMIFS('Per Line'!$T$2:$T$401,'Per Line'!$C$2:$C$401,$C57))</f>
        <v/>
      </c>
      <c r="I57" s="5">
        <f>IF($L57="","",SUMIFS('Per Line'!$U$2:$U$401,'Per Line'!$C$2:$C$401,$C57))</f>
        <v/>
      </c>
      <c r="J57" s="5">
        <f>IF($L57="","",G57-H57)</f>
        <v/>
      </c>
      <c r="K57" s="5">
        <f>IF($L57="","",J57-I57)</f>
        <v/>
      </c>
      <c r="L57">
        <f>IF(ROWS($L$2:$L57)&lt;=MAX('Per Line'!$AH$2:$AH$401),MATCH(ROWS($L$2:$L57),'Per Line'!$AH$2:$AH$401,0),"")</f>
        <v/>
      </c>
    </row>
    <row r="58">
      <c r="B58">
        <f>IF($L58="","",INDEX('Per Line'!$B$2:$B$401,$L58))</f>
        <v/>
      </c>
      <c r="C58">
        <f>IF($L58="","",INDEX('Per Line'!$C$2:$C$401,$L58))</f>
        <v/>
      </c>
      <c r="D58">
        <f>IF($L58="","",INDEX('Per Line'!$A$2:$A$401,$L58))</f>
        <v/>
      </c>
      <c r="E58">
        <f>IF($L58="","",INDEX('Per Line'!$D$2:$D$401,$L58))</f>
        <v/>
      </c>
      <c r="F58">
        <f>IF($L58="","",INDEX('Per Line'!$Q$2:$Q$401,$L58))</f>
        <v/>
      </c>
      <c r="G58" s="5">
        <f>IF($L58="","",SUMIFS('Per Line'!$S$2:$S$401,'Per Line'!$C$2:$C$401,$C58))</f>
        <v/>
      </c>
      <c r="H58" s="5">
        <f>IF($L58="","",SUMIFS('Per Line'!$T$2:$T$401,'Per Line'!$C$2:$C$401,$C58))</f>
        <v/>
      </c>
      <c r="I58" s="5">
        <f>IF($L58="","",SUMIFS('Per Line'!$U$2:$U$401,'Per Line'!$C$2:$C$401,$C58))</f>
        <v/>
      </c>
      <c r="J58" s="5">
        <f>IF($L58="","",G58-H58)</f>
        <v/>
      </c>
      <c r="K58" s="5">
        <f>IF($L58="","",J58-I58)</f>
        <v/>
      </c>
      <c r="L58">
        <f>IF(ROWS($L$2:$L58)&lt;=MAX('Per Line'!$AH$2:$AH$401),MATCH(ROWS($L$2:$L58),'Per Line'!$AH$2:$AH$401,0),"")</f>
        <v/>
      </c>
    </row>
    <row r="59">
      <c r="B59">
        <f>IF($L59="","",INDEX('Per Line'!$B$2:$B$401,$L59))</f>
        <v/>
      </c>
      <c r="C59">
        <f>IF($L59="","",INDEX('Per Line'!$C$2:$C$401,$L59))</f>
        <v/>
      </c>
      <c r="D59">
        <f>IF($L59="","",INDEX('Per Line'!$A$2:$A$401,$L59))</f>
        <v/>
      </c>
      <c r="E59">
        <f>IF($L59="","",INDEX('Per Line'!$D$2:$D$401,$L59))</f>
        <v/>
      </c>
      <c r="F59">
        <f>IF($L59="","",INDEX('Per Line'!$Q$2:$Q$401,$L59))</f>
        <v/>
      </c>
      <c r="G59" s="5">
        <f>IF($L59="","",SUMIFS('Per Line'!$S$2:$S$401,'Per Line'!$C$2:$C$401,$C59))</f>
        <v/>
      </c>
      <c r="H59" s="5">
        <f>IF($L59="","",SUMIFS('Per Line'!$T$2:$T$401,'Per Line'!$C$2:$C$401,$C59))</f>
        <v/>
      </c>
      <c r="I59" s="5">
        <f>IF($L59="","",SUMIFS('Per Line'!$U$2:$U$401,'Per Line'!$C$2:$C$401,$C59))</f>
        <v/>
      </c>
      <c r="J59" s="5">
        <f>IF($L59="","",G59-H59)</f>
        <v/>
      </c>
      <c r="K59" s="5">
        <f>IF($L59="","",J59-I59)</f>
        <v/>
      </c>
      <c r="L59">
        <f>IF(ROWS($L$2:$L59)&lt;=MAX('Per Line'!$AH$2:$AH$401),MATCH(ROWS($L$2:$L59),'Per Line'!$AH$2:$AH$401,0),"")</f>
        <v/>
      </c>
    </row>
    <row r="60">
      <c r="B60">
        <f>IF($L60="","",INDEX('Per Line'!$B$2:$B$401,$L60))</f>
        <v/>
      </c>
      <c r="C60">
        <f>IF($L60="","",INDEX('Per Line'!$C$2:$C$401,$L60))</f>
        <v/>
      </c>
      <c r="D60">
        <f>IF($L60="","",INDEX('Per Line'!$A$2:$A$401,$L60))</f>
        <v/>
      </c>
      <c r="E60">
        <f>IF($L60="","",INDEX('Per Line'!$D$2:$D$401,$L60))</f>
        <v/>
      </c>
      <c r="F60">
        <f>IF($L60="","",INDEX('Per Line'!$Q$2:$Q$401,$L60))</f>
        <v/>
      </c>
      <c r="G60" s="5">
        <f>IF($L60="","",SUMIFS('Per Line'!$S$2:$S$401,'Per Line'!$C$2:$C$401,$C60))</f>
        <v/>
      </c>
      <c r="H60" s="5">
        <f>IF($L60="","",SUMIFS('Per Line'!$T$2:$T$401,'Per Line'!$C$2:$C$401,$C60))</f>
        <v/>
      </c>
      <c r="I60" s="5">
        <f>IF($L60="","",SUMIFS('Per Line'!$U$2:$U$401,'Per Line'!$C$2:$C$401,$C60))</f>
        <v/>
      </c>
      <c r="J60" s="5">
        <f>IF($L60="","",G60-H60)</f>
        <v/>
      </c>
      <c r="K60" s="5">
        <f>IF($L60="","",J60-I60)</f>
        <v/>
      </c>
      <c r="L60">
        <f>IF(ROWS($L$2:$L60)&lt;=MAX('Per Line'!$AH$2:$AH$401),MATCH(ROWS($L$2:$L60),'Per Line'!$AH$2:$AH$401,0),"")</f>
        <v/>
      </c>
    </row>
    <row r="61">
      <c r="B61">
        <f>IF($L61="","",INDEX('Per Line'!$B$2:$B$401,$L61))</f>
        <v/>
      </c>
      <c r="C61">
        <f>IF($L61="","",INDEX('Per Line'!$C$2:$C$401,$L61))</f>
        <v/>
      </c>
      <c r="D61">
        <f>IF($L61="","",INDEX('Per Line'!$A$2:$A$401,$L61))</f>
        <v/>
      </c>
      <c r="E61">
        <f>IF($L61="","",INDEX('Per Line'!$D$2:$D$401,$L61))</f>
        <v/>
      </c>
      <c r="F61">
        <f>IF($L61="","",INDEX('Per Line'!$Q$2:$Q$401,$L61))</f>
        <v/>
      </c>
      <c r="G61" s="5">
        <f>IF($L61="","",SUMIFS('Per Line'!$S$2:$S$401,'Per Line'!$C$2:$C$401,$C61))</f>
        <v/>
      </c>
      <c r="H61" s="5">
        <f>IF($L61="","",SUMIFS('Per Line'!$T$2:$T$401,'Per Line'!$C$2:$C$401,$C61))</f>
        <v/>
      </c>
      <c r="I61" s="5">
        <f>IF($L61="","",SUMIFS('Per Line'!$U$2:$U$401,'Per Line'!$C$2:$C$401,$C61))</f>
        <v/>
      </c>
      <c r="J61" s="5">
        <f>IF($L61="","",G61-H61)</f>
        <v/>
      </c>
      <c r="K61" s="5">
        <f>IF($L61="","",J61-I61)</f>
        <v/>
      </c>
      <c r="L61">
        <f>IF(ROWS($L$2:$L61)&lt;=MAX('Per Line'!$AH$2:$AH$401),MATCH(ROWS($L$2:$L61),'Per Line'!$AH$2:$AH$401,0),"")</f>
        <v/>
      </c>
    </row>
    <row r="62">
      <c r="B62">
        <f>IF($L62="","",INDEX('Per Line'!$B$2:$B$401,$L62))</f>
        <v/>
      </c>
      <c r="C62">
        <f>IF($L62="","",INDEX('Per Line'!$C$2:$C$401,$L62))</f>
        <v/>
      </c>
      <c r="D62">
        <f>IF($L62="","",INDEX('Per Line'!$A$2:$A$401,$L62))</f>
        <v/>
      </c>
      <c r="E62">
        <f>IF($L62="","",INDEX('Per Line'!$D$2:$D$401,$L62))</f>
        <v/>
      </c>
      <c r="F62">
        <f>IF($L62="","",INDEX('Per Line'!$Q$2:$Q$401,$L62))</f>
        <v/>
      </c>
      <c r="G62" s="5">
        <f>IF($L62="","",SUMIFS('Per Line'!$S$2:$S$401,'Per Line'!$C$2:$C$401,$C62))</f>
        <v/>
      </c>
      <c r="H62" s="5">
        <f>IF($L62="","",SUMIFS('Per Line'!$T$2:$T$401,'Per Line'!$C$2:$C$401,$C62))</f>
        <v/>
      </c>
      <c r="I62" s="5">
        <f>IF($L62="","",SUMIFS('Per Line'!$U$2:$U$401,'Per Line'!$C$2:$C$401,$C62))</f>
        <v/>
      </c>
      <c r="J62" s="5">
        <f>IF($L62="","",G62-H62)</f>
        <v/>
      </c>
      <c r="K62" s="5">
        <f>IF($L62="","",J62-I62)</f>
        <v/>
      </c>
      <c r="L62">
        <f>IF(ROWS($L$2:$L62)&lt;=MAX('Per Line'!$AH$2:$AH$401),MATCH(ROWS($L$2:$L62),'Per Line'!$AH$2:$AH$401,0),"")</f>
        <v/>
      </c>
    </row>
    <row r="63">
      <c r="B63">
        <f>IF($L63="","",INDEX('Per Line'!$B$2:$B$401,$L63))</f>
        <v/>
      </c>
      <c r="C63">
        <f>IF($L63="","",INDEX('Per Line'!$C$2:$C$401,$L63))</f>
        <v/>
      </c>
      <c r="D63">
        <f>IF($L63="","",INDEX('Per Line'!$A$2:$A$401,$L63))</f>
        <v/>
      </c>
      <c r="E63">
        <f>IF($L63="","",INDEX('Per Line'!$D$2:$D$401,$L63))</f>
        <v/>
      </c>
      <c r="F63">
        <f>IF($L63="","",INDEX('Per Line'!$Q$2:$Q$401,$L63))</f>
        <v/>
      </c>
      <c r="G63" s="5">
        <f>IF($L63="","",SUMIFS('Per Line'!$S$2:$S$401,'Per Line'!$C$2:$C$401,$C63))</f>
        <v/>
      </c>
      <c r="H63" s="5">
        <f>IF($L63="","",SUMIFS('Per Line'!$T$2:$T$401,'Per Line'!$C$2:$C$401,$C63))</f>
        <v/>
      </c>
      <c r="I63" s="5">
        <f>IF($L63="","",SUMIFS('Per Line'!$U$2:$U$401,'Per Line'!$C$2:$C$401,$C63))</f>
        <v/>
      </c>
      <c r="J63" s="5">
        <f>IF($L63="","",G63-H63)</f>
        <v/>
      </c>
      <c r="K63" s="5">
        <f>IF($L63="","",J63-I63)</f>
        <v/>
      </c>
      <c r="L63">
        <f>IF(ROWS($L$2:$L63)&lt;=MAX('Per Line'!$AH$2:$AH$401),MATCH(ROWS($L$2:$L63),'Per Line'!$AH$2:$AH$401,0),"")</f>
        <v/>
      </c>
    </row>
    <row r="64">
      <c r="B64">
        <f>IF($L64="","",INDEX('Per Line'!$B$2:$B$401,$L64))</f>
        <v/>
      </c>
      <c r="C64">
        <f>IF($L64="","",INDEX('Per Line'!$C$2:$C$401,$L64))</f>
        <v/>
      </c>
      <c r="D64">
        <f>IF($L64="","",INDEX('Per Line'!$A$2:$A$401,$L64))</f>
        <v/>
      </c>
      <c r="E64">
        <f>IF($L64="","",INDEX('Per Line'!$D$2:$D$401,$L64))</f>
        <v/>
      </c>
      <c r="F64">
        <f>IF($L64="","",INDEX('Per Line'!$Q$2:$Q$401,$L64))</f>
        <v/>
      </c>
      <c r="G64" s="5">
        <f>IF($L64="","",SUMIFS('Per Line'!$S$2:$S$401,'Per Line'!$C$2:$C$401,$C64))</f>
        <v/>
      </c>
      <c r="H64" s="5">
        <f>IF($L64="","",SUMIFS('Per Line'!$T$2:$T$401,'Per Line'!$C$2:$C$401,$C64))</f>
        <v/>
      </c>
      <c r="I64" s="5">
        <f>IF($L64="","",SUMIFS('Per Line'!$U$2:$U$401,'Per Line'!$C$2:$C$401,$C64))</f>
        <v/>
      </c>
      <c r="J64" s="5">
        <f>IF($L64="","",G64-H64)</f>
        <v/>
      </c>
      <c r="K64" s="5">
        <f>IF($L64="","",J64-I64)</f>
        <v/>
      </c>
      <c r="L64">
        <f>IF(ROWS($L$2:$L64)&lt;=MAX('Per Line'!$AH$2:$AH$401),MATCH(ROWS($L$2:$L64),'Per Line'!$AH$2:$AH$401,0),"")</f>
        <v/>
      </c>
    </row>
    <row r="65">
      <c r="B65">
        <f>IF($L65="","",INDEX('Per Line'!$B$2:$B$401,$L65))</f>
        <v/>
      </c>
      <c r="C65">
        <f>IF($L65="","",INDEX('Per Line'!$C$2:$C$401,$L65))</f>
        <v/>
      </c>
      <c r="D65">
        <f>IF($L65="","",INDEX('Per Line'!$A$2:$A$401,$L65))</f>
        <v/>
      </c>
      <c r="E65">
        <f>IF($L65="","",INDEX('Per Line'!$D$2:$D$401,$L65))</f>
        <v/>
      </c>
      <c r="F65">
        <f>IF($L65="","",INDEX('Per Line'!$Q$2:$Q$401,$L65))</f>
        <v/>
      </c>
      <c r="G65" s="5">
        <f>IF($L65="","",SUMIFS('Per Line'!$S$2:$S$401,'Per Line'!$C$2:$C$401,$C65))</f>
        <v/>
      </c>
      <c r="H65" s="5">
        <f>IF($L65="","",SUMIFS('Per Line'!$T$2:$T$401,'Per Line'!$C$2:$C$401,$C65))</f>
        <v/>
      </c>
      <c r="I65" s="5">
        <f>IF($L65="","",SUMIFS('Per Line'!$U$2:$U$401,'Per Line'!$C$2:$C$401,$C65))</f>
        <v/>
      </c>
      <c r="J65" s="5">
        <f>IF($L65="","",G65-H65)</f>
        <v/>
      </c>
      <c r="K65" s="5">
        <f>IF($L65="","",J65-I65)</f>
        <v/>
      </c>
      <c r="L65">
        <f>IF(ROWS($L$2:$L65)&lt;=MAX('Per Line'!$AH$2:$AH$401),MATCH(ROWS($L$2:$L65),'Per Line'!$AH$2:$AH$401,0),"")</f>
        <v/>
      </c>
    </row>
    <row r="66">
      <c r="B66">
        <f>IF($L66="","",INDEX('Per Line'!$B$2:$B$401,$L66))</f>
        <v/>
      </c>
      <c r="C66">
        <f>IF($L66="","",INDEX('Per Line'!$C$2:$C$401,$L66))</f>
        <v/>
      </c>
      <c r="D66">
        <f>IF($L66="","",INDEX('Per Line'!$A$2:$A$401,$L66))</f>
        <v/>
      </c>
      <c r="E66">
        <f>IF($L66="","",INDEX('Per Line'!$D$2:$D$401,$L66))</f>
        <v/>
      </c>
      <c r="F66">
        <f>IF($L66="","",INDEX('Per Line'!$Q$2:$Q$401,$L66))</f>
        <v/>
      </c>
      <c r="G66" s="5">
        <f>IF($L66="","",SUMIFS('Per Line'!$S$2:$S$401,'Per Line'!$C$2:$C$401,$C66))</f>
        <v/>
      </c>
      <c r="H66" s="5">
        <f>IF($L66="","",SUMIFS('Per Line'!$T$2:$T$401,'Per Line'!$C$2:$C$401,$C66))</f>
        <v/>
      </c>
      <c r="I66" s="5">
        <f>IF($L66="","",SUMIFS('Per Line'!$U$2:$U$401,'Per Line'!$C$2:$C$401,$C66))</f>
        <v/>
      </c>
      <c r="J66" s="5">
        <f>IF($L66="","",G66-H66)</f>
        <v/>
      </c>
      <c r="K66" s="5">
        <f>IF($L66="","",J66-I66)</f>
        <v/>
      </c>
      <c r="L66">
        <f>IF(ROWS($L$2:$L66)&lt;=MAX('Per Line'!$AH$2:$AH$401),MATCH(ROWS($L$2:$L66),'Per Line'!$AH$2:$AH$401,0),"")</f>
        <v/>
      </c>
    </row>
    <row r="67">
      <c r="B67">
        <f>IF($L67="","",INDEX('Per Line'!$B$2:$B$401,$L67))</f>
        <v/>
      </c>
      <c r="C67">
        <f>IF($L67="","",INDEX('Per Line'!$C$2:$C$401,$L67))</f>
        <v/>
      </c>
      <c r="D67">
        <f>IF($L67="","",INDEX('Per Line'!$A$2:$A$401,$L67))</f>
        <v/>
      </c>
      <c r="E67">
        <f>IF($L67="","",INDEX('Per Line'!$D$2:$D$401,$L67))</f>
        <v/>
      </c>
      <c r="F67">
        <f>IF($L67="","",INDEX('Per Line'!$Q$2:$Q$401,$L67))</f>
        <v/>
      </c>
      <c r="G67" s="5">
        <f>IF($L67="","",SUMIFS('Per Line'!$S$2:$S$401,'Per Line'!$C$2:$C$401,$C67))</f>
        <v/>
      </c>
      <c r="H67" s="5">
        <f>IF($L67="","",SUMIFS('Per Line'!$T$2:$T$401,'Per Line'!$C$2:$C$401,$C67))</f>
        <v/>
      </c>
      <c r="I67" s="5">
        <f>IF($L67="","",SUMIFS('Per Line'!$U$2:$U$401,'Per Line'!$C$2:$C$401,$C67))</f>
        <v/>
      </c>
      <c r="J67" s="5">
        <f>IF($L67="","",G67-H67)</f>
        <v/>
      </c>
      <c r="K67" s="5">
        <f>IF($L67="","",J67-I67)</f>
        <v/>
      </c>
      <c r="L67">
        <f>IF(ROWS($L$2:$L67)&lt;=MAX('Per Line'!$AH$2:$AH$401),MATCH(ROWS($L$2:$L67),'Per Line'!$AH$2:$AH$401,0),"")</f>
        <v/>
      </c>
    </row>
    <row r="68">
      <c r="B68">
        <f>IF($L68="","",INDEX('Per Line'!$B$2:$B$401,$L68))</f>
        <v/>
      </c>
      <c r="C68">
        <f>IF($L68="","",INDEX('Per Line'!$C$2:$C$401,$L68))</f>
        <v/>
      </c>
      <c r="D68">
        <f>IF($L68="","",INDEX('Per Line'!$A$2:$A$401,$L68))</f>
        <v/>
      </c>
      <c r="E68">
        <f>IF($L68="","",INDEX('Per Line'!$D$2:$D$401,$L68))</f>
        <v/>
      </c>
      <c r="F68">
        <f>IF($L68="","",INDEX('Per Line'!$Q$2:$Q$401,$L68))</f>
        <v/>
      </c>
      <c r="G68" s="5">
        <f>IF($L68="","",SUMIFS('Per Line'!$S$2:$S$401,'Per Line'!$C$2:$C$401,$C68))</f>
        <v/>
      </c>
      <c r="H68" s="5">
        <f>IF($L68="","",SUMIFS('Per Line'!$T$2:$T$401,'Per Line'!$C$2:$C$401,$C68))</f>
        <v/>
      </c>
      <c r="I68" s="5">
        <f>IF($L68="","",SUMIFS('Per Line'!$U$2:$U$401,'Per Line'!$C$2:$C$401,$C68))</f>
        <v/>
      </c>
      <c r="J68" s="5">
        <f>IF($L68="","",G68-H68)</f>
        <v/>
      </c>
      <c r="K68" s="5">
        <f>IF($L68="","",J68-I68)</f>
        <v/>
      </c>
      <c r="L68">
        <f>IF(ROWS($L$2:$L68)&lt;=MAX('Per Line'!$AH$2:$AH$401),MATCH(ROWS($L$2:$L68),'Per Line'!$AH$2:$AH$401,0),"")</f>
        <v/>
      </c>
    </row>
    <row r="69">
      <c r="B69">
        <f>IF($L69="","",INDEX('Per Line'!$B$2:$B$401,$L69))</f>
        <v/>
      </c>
      <c r="C69">
        <f>IF($L69="","",INDEX('Per Line'!$C$2:$C$401,$L69))</f>
        <v/>
      </c>
      <c r="D69">
        <f>IF($L69="","",INDEX('Per Line'!$A$2:$A$401,$L69))</f>
        <v/>
      </c>
      <c r="E69">
        <f>IF($L69="","",INDEX('Per Line'!$D$2:$D$401,$L69))</f>
        <v/>
      </c>
      <c r="F69">
        <f>IF($L69="","",INDEX('Per Line'!$Q$2:$Q$401,$L69))</f>
        <v/>
      </c>
      <c r="G69" s="5">
        <f>IF($L69="","",SUMIFS('Per Line'!$S$2:$S$401,'Per Line'!$C$2:$C$401,$C69))</f>
        <v/>
      </c>
      <c r="H69" s="5">
        <f>IF($L69="","",SUMIFS('Per Line'!$T$2:$T$401,'Per Line'!$C$2:$C$401,$C69))</f>
        <v/>
      </c>
      <c r="I69" s="5">
        <f>IF($L69="","",SUMIFS('Per Line'!$U$2:$U$401,'Per Line'!$C$2:$C$401,$C69))</f>
        <v/>
      </c>
      <c r="J69" s="5">
        <f>IF($L69="","",G69-H69)</f>
        <v/>
      </c>
      <c r="K69" s="5">
        <f>IF($L69="","",J69-I69)</f>
        <v/>
      </c>
      <c r="L69">
        <f>IF(ROWS($L$2:$L69)&lt;=MAX('Per Line'!$AH$2:$AH$401),MATCH(ROWS($L$2:$L69),'Per Line'!$AH$2:$AH$401,0),"")</f>
        <v/>
      </c>
    </row>
    <row r="70">
      <c r="B70">
        <f>IF($L70="","",INDEX('Per Line'!$B$2:$B$401,$L70))</f>
        <v/>
      </c>
      <c r="C70">
        <f>IF($L70="","",INDEX('Per Line'!$C$2:$C$401,$L70))</f>
        <v/>
      </c>
      <c r="D70">
        <f>IF($L70="","",INDEX('Per Line'!$A$2:$A$401,$L70))</f>
        <v/>
      </c>
      <c r="E70">
        <f>IF($L70="","",INDEX('Per Line'!$D$2:$D$401,$L70))</f>
        <v/>
      </c>
      <c r="F70">
        <f>IF($L70="","",INDEX('Per Line'!$Q$2:$Q$401,$L70))</f>
        <v/>
      </c>
      <c r="G70" s="5">
        <f>IF($L70="","",SUMIFS('Per Line'!$S$2:$S$401,'Per Line'!$C$2:$C$401,$C70))</f>
        <v/>
      </c>
      <c r="H70" s="5">
        <f>IF($L70="","",SUMIFS('Per Line'!$T$2:$T$401,'Per Line'!$C$2:$C$401,$C70))</f>
        <v/>
      </c>
      <c r="I70" s="5">
        <f>IF($L70="","",SUMIFS('Per Line'!$U$2:$U$401,'Per Line'!$C$2:$C$401,$C70))</f>
        <v/>
      </c>
      <c r="J70" s="5">
        <f>IF($L70="","",G70-H70)</f>
        <v/>
      </c>
      <c r="K70" s="5">
        <f>IF($L70="","",J70-I70)</f>
        <v/>
      </c>
      <c r="L70">
        <f>IF(ROWS($L$2:$L70)&lt;=MAX('Per Line'!$AH$2:$AH$401),MATCH(ROWS($L$2:$L70),'Per Line'!$AH$2:$AH$401,0),"")</f>
        <v/>
      </c>
    </row>
    <row r="71">
      <c r="B71">
        <f>IF($L71="","",INDEX('Per Line'!$B$2:$B$401,$L71))</f>
        <v/>
      </c>
      <c r="C71">
        <f>IF($L71="","",INDEX('Per Line'!$C$2:$C$401,$L71))</f>
        <v/>
      </c>
      <c r="D71">
        <f>IF($L71="","",INDEX('Per Line'!$A$2:$A$401,$L71))</f>
        <v/>
      </c>
      <c r="E71">
        <f>IF($L71="","",INDEX('Per Line'!$D$2:$D$401,$L71))</f>
        <v/>
      </c>
      <c r="F71">
        <f>IF($L71="","",INDEX('Per Line'!$Q$2:$Q$401,$L71))</f>
        <v/>
      </c>
      <c r="G71" s="5">
        <f>IF($L71="","",SUMIFS('Per Line'!$S$2:$S$401,'Per Line'!$C$2:$C$401,$C71))</f>
        <v/>
      </c>
      <c r="H71" s="5">
        <f>IF($L71="","",SUMIFS('Per Line'!$T$2:$T$401,'Per Line'!$C$2:$C$401,$C71))</f>
        <v/>
      </c>
      <c r="I71" s="5">
        <f>IF($L71="","",SUMIFS('Per Line'!$U$2:$U$401,'Per Line'!$C$2:$C$401,$C71))</f>
        <v/>
      </c>
      <c r="J71" s="5">
        <f>IF($L71="","",G71-H71)</f>
        <v/>
      </c>
      <c r="K71" s="5">
        <f>IF($L71="","",J71-I71)</f>
        <v/>
      </c>
      <c r="L71">
        <f>IF(ROWS($L$2:$L71)&lt;=MAX('Per Line'!$AH$2:$AH$401),MATCH(ROWS($L$2:$L71),'Per Line'!$AH$2:$AH$401,0),"")</f>
        <v/>
      </c>
    </row>
    <row r="72">
      <c r="B72">
        <f>IF($L72="","",INDEX('Per Line'!$B$2:$B$401,$L72))</f>
        <v/>
      </c>
      <c r="C72">
        <f>IF($L72="","",INDEX('Per Line'!$C$2:$C$401,$L72))</f>
        <v/>
      </c>
      <c r="D72">
        <f>IF($L72="","",INDEX('Per Line'!$A$2:$A$401,$L72))</f>
        <v/>
      </c>
      <c r="E72">
        <f>IF($L72="","",INDEX('Per Line'!$D$2:$D$401,$L72))</f>
        <v/>
      </c>
      <c r="F72">
        <f>IF($L72="","",INDEX('Per Line'!$Q$2:$Q$401,$L72))</f>
        <v/>
      </c>
      <c r="G72" s="5">
        <f>IF($L72="","",SUMIFS('Per Line'!$S$2:$S$401,'Per Line'!$C$2:$C$401,$C72))</f>
        <v/>
      </c>
      <c r="H72" s="5">
        <f>IF($L72="","",SUMIFS('Per Line'!$T$2:$T$401,'Per Line'!$C$2:$C$401,$C72))</f>
        <v/>
      </c>
      <c r="I72" s="5">
        <f>IF($L72="","",SUMIFS('Per Line'!$U$2:$U$401,'Per Line'!$C$2:$C$401,$C72))</f>
        <v/>
      </c>
      <c r="J72" s="5">
        <f>IF($L72="","",G72-H72)</f>
        <v/>
      </c>
      <c r="K72" s="5">
        <f>IF($L72="","",J72-I72)</f>
        <v/>
      </c>
      <c r="L72">
        <f>IF(ROWS($L$2:$L72)&lt;=MAX('Per Line'!$AH$2:$AH$401),MATCH(ROWS($L$2:$L72),'Per Line'!$AH$2:$AH$401,0),"")</f>
        <v/>
      </c>
    </row>
    <row r="73">
      <c r="B73">
        <f>IF($L73="","",INDEX('Per Line'!$B$2:$B$401,$L73))</f>
        <v/>
      </c>
      <c r="C73">
        <f>IF($L73="","",INDEX('Per Line'!$C$2:$C$401,$L73))</f>
        <v/>
      </c>
      <c r="D73">
        <f>IF($L73="","",INDEX('Per Line'!$A$2:$A$401,$L73))</f>
        <v/>
      </c>
      <c r="E73">
        <f>IF($L73="","",INDEX('Per Line'!$D$2:$D$401,$L73))</f>
        <v/>
      </c>
      <c r="F73">
        <f>IF($L73="","",INDEX('Per Line'!$Q$2:$Q$401,$L73))</f>
        <v/>
      </c>
      <c r="G73" s="5">
        <f>IF($L73="","",SUMIFS('Per Line'!$S$2:$S$401,'Per Line'!$C$2:$C$401,$C73))</f>
        <v/>
      </c>
      <c r="H73" s="5">
        <f>IF($L73="","",SUMIFS('Per Line'!$T$2:$T$401,'Per Line'!$C$2:$C$401,$C73))</f>
        <v/>
      </c>
      <c r="I73" s="5">
        <f>IF($L73="","",SUMIFS('Per Line'!$U$2:$U$401,'Per Line'!$C$2:$C$401,$C73))</f>
        <v/>
      </c>
      <c r="J73" s="5">
        <f>IF($L73="","",G73-H73)</f>
        <v/>
      </c>
      <c r="K73" s="5">
        <f>IF($L73="","",J73-I73)</f>
        <v/>
      </c>
      <c r="L73">
        <f>IF(ROWS($L$2:$L73)&lt;=MAX('Per Line'!$AH$2:$AH$401),MATCH(ROWS($L$2:$L73),'Per Line'!$AH$2:$AH$401,0),"")</f>
        <v/>
      </c>
    </row>
    <row r="74">
      <c r="B74">
        <f>IF($L74="","",INDEX('Per Line'!$B$2:$B$401,$L74))</f>
        <v/>
      </c>
      <c r="C74">
        <f>IF($L74="","",INDEX('Per Line'!$C$2:$C$401,$L74))</f>
        <v/>
      </c>
      <c r="D74">
        <f>IF($L74="","",INDEX('Per Line'!$A$2:$A$401,$L74))</f>
        <v/>
      </c>
      <c r="E74">
        <f>IF($L74="","",INDEX('Per Line'!$D$2:$D$401,$L74))</f>
        <v/>
      </c>
      <c r="F74">
        <f>IF($L74="","",INDEX('Per Line'!$Q$2:$Q$401,$L74))</f>
        <v/>
      </c>
      <c r="G74" s="5">
        <f>IF($L74="","",SUMIFS('Per Line'!$S$2:$S$401,'Per Line'!$C$2:$C$401,$C74))</f>
        <v/>
      </c>
      <c r="H74" s="5">
        <f>IF($L74="","",SUMIFS('Per Line'!$T$2:$T$401,'Per Line'!$C$2:$C$401,$C74))</f>
        <v/>
      </c>
      <c r="I74" s="5">
        <f>IF($L74="","",SUMIFS('Per Line'!$U$2:$U$401,'Per Line'!$C$2:$C$401,$C74))</f>
        <v/>
      </c>
      <c r="J74" s="5">
        <f>IF($L74="","",G74-H74)</f>
        <v/>
      </c>
      <c r="K74" s="5">
        <f>IF($L74="","",J74-I74)</f>
        <v/>
      </c>
      <c r="L74">
        <f>IF(ROWS($L$2:$L74)&lt;=MAX('Per Line'!$AH$2:$AH$401),MATCH(ROWS($L$2:$L74),'Per Line'!$AH$2:$AH$401,0),"")</f>
        <v/>
      </c>
    </row>
    <row r="75">
      <c r="B75">
        <f>IF($L75="","",INDEX('Per Line'!$B$2:$B$401,$L75))</f>
        <v/>
      </c>
      <c r="C75">
        <f>IF($L75="","",INDEX('Per Line'!$C$2:$C$401,$L75))</f>
        <v/>
      </c>
      <c r="D75">
        <f>IF($L75="","",INDEX('Per Line'!$A$2:$A$401,$L75))</f>
        <v/>
      </c>
      <c r="E75">
        <f>IF($L75="","",INDEX('Per Line'!$D$2:$D$401,$L75))</f>
        <v/>
      </c>
      <c r="F75">
        <f>IF($L75="","",INDEX('Per Line'!$Q$2:$Q$401,$L75))</f>
        <v/>
      </c>
      <c r="G75" s="5">
        <f>IF($L75="","",SUMIFS('Per Line'!$S$2:$S$401,'Per Line'!$C$2:$C$401,$C75))</f>
        <v/>
      </c>
      <c r="H75" s="5">
        <f>IF($L75="","",SUMIFS('Per Line'!$T$2:$T$401,'Per Line'!$C$2:$C$401,$C75))</f>
        <v/>
      </c>
      <c r="I75" s="5">
        <f>IF($L75="","",SUMIFS('Per Line'!$U$2:$U$401,'Per Line'!$C$2:$C$401,$C75))</f>
        <v/>
      </c>
      <c r="J75" s="5">
        <f>IF($L75="","",G75-H75)</f>
        <v/>
      </c>
      <c r="K75" s="5">
        <f>IF($L75="","",J75-I75)</f>
        <v/>
      </c>
      <c r="L75">
        <f>IF(ROWS($L$2:$L75)&lt;=MAX('Per Line'!$AH$2:$AH$401),MATCH(ROWS($L$2:$L75),'Per Line'!$AH$2:$AH$401,0),"")</f>
        <v/>
      </c>
    </row>
    <row r="76">
      <c r="B76">
        <f>IF($L76="","",INDEX('Per Line'!$B$2:$B$401,$L76))</f>
        <v/>
      </c>
      <c r="C76">
        <f>IF($L76="","",INDEX('Per Line'!$C$2:$C$401,$L76))</f>
        <v/>
      </c>
      <c r="D76">
        <f>IF($L76="","",INDEX('Per Line'!$A$2:$A$401,$L76))</f>
        <v/>
      </c>
      <c r="E76">
        <f>IF($L76="","",INDEX('Per Line'!$D$2:$D$401,$L76))</f>
        <v/>
      </c>
      <c r="F76">
        <f>IF($L76="","",INDEX('Per Line'!$Q$2:$Q$401,$L76))</f>
        <v/>
      </c>
      <c r="G76" s="5">
        <f>IF($L76="","",SUMIFS('Per Line'!$S$2:$S$401,'Per Line'!$C$2:$C$401,$C76))</f>
        <v/>
      </c>
      <c r="H76" s="5">
        <f>IF($L76="","",SUMIFS('Per Line'!$T$2:$T$401,'Per Line'!$C$2:$C$401,$C76))</f>
        <v/>
      </c>
      <c r="I76" s="5">
        <f>IF($L76="","",SUMIFS('Per Line'!$U$2:$U$401,'Per Line'!$C$2:$C$401,$C76))</f>
        <v/>
      </c>
      <c r="J76" s="5">
        <f>IF($L76="","",G76-H76)</f>
        <v/>
      </c>
      <c r="K76" s="5">
        <f>IF($L76="","",J76-I76)</f>
        <v/>
      </c>
      <c r="L76">
        <f>IF(ROWS($L$2:$L76)&lt;=MAX('Per Line'!$AH$2:$AH$401),MATCH(ROWS($L$2:$L76),'Per Line'!$AH$2:$AH$401,0),"")</f>
        <v/>
      </c>
    </row>
    <row r="77">
      <c r="B77">
        <f>IF($L77="","",INDEX('Per Line'!$B$2:$B$401,$L77))</f>
        <v/>
      </c>
      <c r="C77">
        <f>IF($L77="","",INDEX('Per Line'!$C$2:$C$401,$L77))</f>
        <v/>
      </c>
      <c r="D77">
        <f>IF($L77="","",INDEX('Per Line'!$A$2:$A$401,$L77))</f>
        <v/>
      </c>
      <c r="E77">
        <f>IF($L77="","",INDEX('Per Line'!$D$2:$D$401,$L77))</f>
        <v/>
      </c>
      <c r="F77">
        <f>IF($L77="","",INDEX('Per Line'!$Q$2:$Q$401,$L77))</f>
        <v/>
      </c>
      <c r="G77" s="5">
        <f>IF($L77="","",SUMIFS('Per Line'!$S$2:$S$401,'Per Line'!$C$2:$C$401,$C77))</f>
        <v/>
      </c>
      <c r="H77" s="5">
        <f>IF($L77="","",SUMIFS('Per Line'!$T$2:$T$401,'Per Line'!$C$2:$C$401,$C77))</f>
        <v/>
      </c>
      <c r="I77" s="5">
        <f>IF($L77="","",SUMIFS('Per Line'!$U$2:$U$401,'Per Line'!$C$2:$C$401,$C77))</f>
        <v/>
      </c>
      <c r="J77" s="5">
        <f>IF($L77="","",G77-H77)</f>
        <v/>
      </c>
      <c r="K77" s="5">
        <f>IF($L77="","",J77-I77)</f>
        <v/>
      </c>
      <c r="L77">
        <f>IF(ROWS($L$2:$L77)&lt;=MAX('Per Line'!$AH$2:$AH$401),MATCH(ROWS($L$2:$L77),'Per Line'!$AH$2:$AH$401,0),"")</f>
        <v/>
      </c>
    </row>
    <row r="78">
      <c r="B78">
        <f>IF($L78="","",INDEX('Per Line'!$B$2:$B$401,$L78))</f>
        <v/>
      </c>
      <c r="C78">
        <f>IF($L78="","",INDEX('Per Line'!$C$2:$C$401,$L78))</f>
        <v/>
      </c>
      <c r="D78">
        <f>IF($L78="","",INDEX('Per Line'!$A$2:$A$401,$L78))</f>
        <v/>
      </c>
      <c r="E78">
        <f>IF($L78="","",INDEX('Per Line'!$D$2:$D$401,$L78))</f>
        <v/>
      </c>
      <c r="F78">
        <f>IF($L78="","",INDEX('Per Line'!$Q$2:$Q$401,$L78))</f>
        <v/>
      </c>
      <c r="G78" s="5">
        <f>IF($L78="","",SUMIFS('Per Line'!$S$2:$S$401,'Per Line'!$C$2:$C$401,$C78))</f>
        <v/>
      </c>
      <c r="H78" s="5">
        <f>IF($L78="","",SUMIFS('Per Line'!$T$2:$T$401,'Per Line'!$C$2:$C$401,$C78))</f>
        <v/>
      </c>
      <c r="I78" s="5">
        <f>IF($L78="","",SUMIFS('Per Line'!$U$2:$U$401,'Per Line'!$C$2:$C$401,$C78))</f>
        <v/>
      </c>
      <c r="J78" s="5">
        <f>IF($L78="","",G78-H78)</f>
        <v/>
      </c>
      <c r="K78" s="5">
        <f>IF($L78="","",J78-I78)</f>
        <v/>
      </c>
      <c r="L78">
        <f>IF(ROWS($L$2:$L78)&lt;=MAX('Per Line'!$AH$2:$AH$401),MATCH(ROWS($L$2:$L78),'Per Line'!$AH$2:$AH$401,0),"")</f>
        <v/>
      </c>
    </row>
    <row r="79">
      <c r="B79">
        <f>IF($L79="","",INDEX('Per Line'!$B$2:$B$401,$L79))</f>
        <v/>
      </c>
      <c r="C79">
        <f>IF($L79="","",INDEX('Per Line'!$C$2:$C$401,$L79))</f>
        <v/>
      </c>
      <c r="D79">
        <f>IF($L79="","",INDEX('Per Line'!$A$2:$A$401,$L79))</f>
        <v/>
      </c>
      <c r="E79">
        <f>IF($L79="","",INDEX('Per Line'!$D$2:$D$401,$L79))</f>
        <v/>
      </c>
      <c r="F79">
        <f>IF($L79="","",INDEX('Per Line'!$Q$2:$Q$401,$L79))</f>
        <v/>
      </c>
      <c r="G79" s="5">
        <f>IF($L79="","",SUMIFS('Per Line'!$S$2:$S$401,'Per Line'!$C$2:$C$401,$C79))</f>
        <v/>
      </c>
      <c r="H79" s="5">
        <f>IF($L79="","",SUMIFS('Per Line'!$T$2:$T$401,'Per Line'!$C$2:$C$401,$C79))</f>
        <v/>
      </c>
      <c r="I79" s="5">
        <f>IF($L79="","",SUMIFS('Per Line'!$U$2:$U$401,'Per Line'!$C$2:$C$401,$C79))</f>
        <v/>
      </c>
      <c r="J79" s="5">
        <f>IF($L79="","",G79-H79)</f>
        <v/>
      </c>
      <c r="K79" s="5">
        <f>IF($L79="","",J79-I79)</f>
        <v/>
      </c>
      <c r="L79">
        <f>IF(ROWS($L$2:$L79)&lt;=MAX('Per Line'!$AH$2:$AH$401),MATCH(ROWS($L$2:$L79),'Per Line'!$AH$2:$AH$401,0),"")</f>
        <v/>
      </c>
    </row>
    <row r="80">
      <c r="B80">
        <f>IF($L80="","",INDEX('Per Line'!$B$2:$B$401,$L80))</f>
        <v/>
      </c>
      <c r="C80">
        <f>IF($L80="","",INDEX('Per Line'!$C$2:$C$401,$L80))</f>
        <v/>
      </c>
      <c r="D80">
        <f>IF($L80="","",INDEX('Per Line'!$A$2:$A$401,$L80))</f>
        <v/>
      </c>
      <c r="E80">
        <f>IF($L80="","",INDEX('Per Line'!$D$2:$D$401,$L80))</f>
        <v/>
      </c>
      <c r="F80">
        <f>IF($L80="","",INDEX('Per Line'!$Q$2:$Q$401,$L80))</f>
        <v/>
      </c>
      <c r="G80" s="5">
        <f>IF($L80="","",SUMIFS('Per Line'!$S$2:$S$401,'Per Line'!$C$2:$C$401,$C80))</f>
        <v/>
      </c>
      <c r="H80" s="5">
        <f>IF($L80="","",SUMIFS('Per Line'!$T$2:$T$401,'Per Line'!$C$2:$C$401,$C80))</f>
        <v/>
      </c>
      <c r="I80" s="5">
        <f>IF($L80="","",SUMIFS('Per Line'!$U$2:$U$401,'Per Line'!$C$2:$C$401,$C80))</f>
        <v/>
      </c>
      <c r="J80" s="5">
        <f>IF($L80="","",G80-H80)</f>
        <v/>
      </c>
      <c r="K80" s="5">
        <f>IF($L80="","",J80-I80)</f>
        <v/>
      </c>
      <c r="L80">
        <f>IF(ROWS($L$2:$L80)&lt;=MAX('Per Line'!$AH$2:$AH$401),MATCH(ROWS($L$2:$L80),'Per Line'!$AH$2:$AH$401,0),"")</f>
        <v/>
      </c>
    </row>
    <row r="81">
      <c r="B81">
        <f>IF($L81="","",INDEX('Per Line'!$B$2:$B$401,$L81))</f>
        <v/>
      </c>
      <c r="C81">
        <f>IF($L81="","",INDEX('Per Line'!$C$2:$C$401,$L81))</f>
        <v/>
      </c>
      <c r="D81">
        <f>IF($L81="","",INDEX('Per Line'!$A$2:$A$401,$L81))</f>
        <v/>
      </c>
      <c r="E81">
        <f>IF($L81="","",INDEX('Per Line'!$D$2:$D$401,$L81))</f>
        <v/>
      </c>
      <c r="F81">
        <f>IF($L81="","",INDEX('Per Line'!$Q$2:$Q$401,$L81))</f>
        <v/>
      </c>
      <c r="G81" s="5">
        <f>IF($L81="","",SUMIFS('Per Line'!$S$2:$S$401,'Per Line'!$C$2:$C$401,$C81))</f>
        <v/>
      </c>
      <c r="H81" s="5">
        <f>IF($L81="","",SUMIFS('Per Line'!$T$2:$T$401,'Per Line'!$C$2:$C$401,$C81))</f>
        <v/>
      </c>
      <c r="I81" s="5">
        <f>IF($L81="","",SUMIFS('Per Line'!$U$2:$U$401,'Per Line'!$C$2:$C$401,$C81))</f>
        <v/>
      </c>
      <c r="J81" s="5">
        <f>IF($L81="","",G81-H81)</f>
        <v/>
      </c>
      <c r="K81" s="5">
        <f>IF($L81="","",J81-I81)</f>
        <v/>
      </c>
      <c r="L81">
        <f>IF(ROWS($L$2:$L81)&lt;=MAX('Per Line'!$AH$2:$AH$401),MATCH(ROWS($L$2:$L81),'Per Line'!$AH$2:$AH$401,0),"")</f>
        <v/>
      </c>
    </row>
    <row r="82">
      <c r="B82">
        <f>IF($L82="","",INDEX('Per Line'!$B$2:$B$401,$L82))</f>
        <v/>
      </c>
      <c r="C82">
        <f>IF($L82="","",INDEX('Per Line'!$C$2:$C$401,$L82))</f>
        <v/>
      </c>
      <c r="D82">
        <f>IF($L82="","",INDEX('Per Line'!$A$2:$A$401,$L82))</f>
        <v/>
      </c>
      <c r="E82">
        <f>IF($L82="","",INDEX('Per Line'!$D$2:$D$401,$L82))</f>
        <v/>
      </c>
      <c r="F82">
        <f>IF($L82="","",INDEX('Per Line'!$Q$2:$Q$401,$L82))</f>
        <v/>
      </c>
      <c r="G82" s="5">
        <f>IF($L82="","",SUMIFS('Per Line'!$S$2:$S$401,'Per Line'!$C$2:$C$401,$C82))</f>
        <v/>
      </c>
      <c r="H82" s="5">
        <f>IF($L82="","",SUMIFS('Per Line'!$T$2:$T$401,'Per Line'!$C$2:$C$401,$C82))</f>
        <v/>
      </c>
      <c r="I82" s="5">
        <f>IF($L82="","",SUMIFS('Per Line'!$U$2:$U$401,'Per Line'!$C$2:$C$401,$C82))</f>
        <v/>
      </c>
      <c r="J82" s="5">
        <f>IF($L82="","",G82-H82)</f>
        <v/>
      </c>
      <c r="K82" s="5">
        <f>IF($L82="","",J82-I82)</f>
        <v/>
      </c>
      <c r="L82">
        <f>IF(ROWS($L$2:$L82)&lt;=MAX('Per Line'!$AH$2:$AH$401),MATCH(ROWS($L$2:$L82),'Per Line'!$AH$2:$AH$401,0),"")</f>
        <v/>
      </c>
    </row>
    <row r="83">
      <c r="B83">
        <f>IF($L83="","",INDEX('Per Line'!$B$2:$B$401,$L83))</f>
        <v/>
      </c>
      <c r="C83">
        <f>IF($L83="","",INDEX('Per Line'!$C$2:$C$401,$L83))</f>
        <v/>
      </c>
      <c r="D83">
        <f>IF($L83="","",INDEX('Per Line'!$A$2:$A$401,$L83))</f>
        <v/>
      </c>
      <c r="E83">
        <f>IF($L83="","",INDEX('Per Line'!$D$2:$D$401,$L83))</f>
        <v/>
      </c>
      <c r="F83">
        <f>IF($L83="","",INDEX('Per Line'!$Q$2:$Q$401,$L83))</f>
        <v/>
      </c>
      <c r="G83" s="5">
        <f>IF($L83="","",SUMIFS('Per Line'!$S$2:$S$401,'Per Line'!$C$2:$C$401,$C83))</f>
        <v/>
      </c>
      <c r="H83" s="5">
        <f>IF($L83="","",SUMIFS('Per Line'!$T$2:$T$401,'Per Line'!$C$2:$C$401,$C83))</f>
        <v/>
      </c>
      <c r="I83" s="5">
        <f>IF($L83="","",SUMIFS('Per Line'!$U$2:$U$401,'Per Line'!$C$2:$C$401,$C83))</f>
        <v/>
      </c>
      <c r="J83" s="5">
        <f>IF($L83="","",G83-H83)</f>
        <v/>
      </c>
      <c r="K83" s="5">
        <f>IF($L83="","",J83-I83)</f>
        <v/>
      </c>
      <c r="L83">
        <f>IF(ROWS($L$2:$L83)&lt;=MAX('Per Line'!$AH$2:$AH$401),MATCH(ROWS($L$2:$L83),'Per Line'!$AH$2:$AH$401,0),"")</f>
        <v/>
      </c>
    </row>
    <row r="84">
      <c r="B84">
        <f>IF($L84="","",INDEX('Per Line'!$B$2:$B$401,$L84))</f>
        <v/>
      </c>
      <c r="C84">
        <f>IF($L84="","",INDEX('Per Line'!$C$2:$C$401,$L84))</f>
        <v/>
      </c>
      <c r="D84">
        <f>IF($L84="","",INDEX('Per Line'!$A$2:$A$401,$L84))</f>
        <v/>
      </c>
      <c r="E84">
        <f>IF($L84="","",INDEX('Per Line'!$D$2:$D$401,$L84))</f>
        <v/>
      </c>
      <c r="F84">
        <f>IF($L84="","",INDEX('Per Line'!$Q$2:$Q$401,$L84))</f>
        <v/>
      </c>
      <c r="G84" s="5">
        <f>IF($L84="","",SUMIFS('Per Line'!$S$2:$S$401,'Per Line'!$C$2:$C$401,$C84))</f>
        <v/>
      </c>
      <c r="H84" s="5">
        <f>IF($L84="","",SUMIFS('Per Line'!$T$2:$T$401,'Per Line'!$C$2:$C$401,$C84))</f>
        <v/>
      </c>
      <c r="I84" s="5">
        <f>IF($L84="","",SUMIFS('Per Line'!$U$2:$U$401,'Per Line'!$C$2:$C$401,$C84))</f>
        <v/>
      </c>
      <c r="J84" s="5">
        <f>IF($L84="","",G84-H84)</f>
        <v/>
      </c>
      <c r="K84" s="5">
        <f>IF($L84="","",J84-I84)</f>
        <v/>
      </c>
      <c r="L84">
        <f>IF(ROWS($L$2:$L84)&lt;=MAX('Per Line'!$AH$2:$AH$401),MATCH(ROWS($L$2:$L84),'Per Line'!$AH$2:$AH$401,0),"")</f>
        <v/>
      </c>
    </row>
    <row r="85">
      <c r="B85">
        <f>IF($L85="","",INDEX('Per Line'!$B$2:$B$401,$L85))</f>
        <v/>
      </c>
      <c r="C85">
        <f>IF($L85="","",INDEX('Per Line'!$C$2:$C$401,$L85))</f>
        <v/>
      </c>
      <c r="D85">
        <f>IF($L85="","",INDEX('Per Line'!$A$2:$A$401,$L85))</f>
        <v/>
      </c>
      <c r="E85">
        <f>IF($L85="","",INDEX('Per Line'!$D$2:$D$401,$L85))</f>
        <v/>
      </c>
      <c r="F85">
        <f>IF($L85="","",INDEX('Per Line'!$Q$2:$Q$401,$L85))</f>
        <v/>
      </c>
      <c r="G85" s="5">
        <f>IF($L85="","",SUMIFS('Per Line'!$S$2:$S$401,'Per Line'!$C$2:$C$401,$C85))</f>
        <v/>
      </c>
      <c r="H85" s="5">
        <f>IF($L85="","",SUMIFS('Per Line'!$T$2:$T$401,'Per Line'!$C$2:$C$401,$C85))</f>
        <v/>
      </c>
      <c r="I85" s="5">
        <f>IF($L85="","",SUMIFS('Per Line'!$U$2:$U$401,'Per Line'!$C$2:$C$401,$C85))</f>
        <v/>
      </c>
      <c r="J85" s="5">
        <f>IF($L85="","",G85-H85)</f>
        <v/>
      </c>
      <c r="K85" s="5">
        <f>IF($L85="","",J85-I85)</f>
        <v/>
      </c>
      <c r="L85">
        <f>IF(ROWS($L$2:$L85)&lt;=MAX('Per Line'!$AH$2:$AH$401),MATCH(ROWS($L$2:$L85),'Per Line'!$AH$2:$AH$401,0),"")</f>
        <v/>
      </c>
    </row>
    <row r="86">
      <c r="B86">
        <f>IF($L86="","",INDEX('Per Line'!$B$2:$B$401,$L86))</f>
        <v/>
      </c>
      <c r="C86">
        <f>IF($L86="","",INDEX('Per Line'!$C$2:$C$401,$L86))</f>
        <v/>
      </c>
      <c r="D86">
        <f>IF($L86="","",INDEX('Per Line'!$A$2:$A$401,$L86))</f>
        <v/>
      </c>
      <c r="E86">
        <f>IF($L86="","",INDEX('Per Line'!$D$2:$D$401,$L86))</f>
        <v/>
      </c>
      <c r="F86">
        <f>IF($L86="","",INDEX('Per Line'!$Q$2:$Q$401,$L86))</f>
        <v/>
      </c>
      <c r="G86" s="5">
        <f>IF($L86="","",SUMIFS('Per Line'!$S$2:$S$401,'Per Line'!$C$2:$C$401,$C86))</f>
        <v/>
      </c>
      <c r="H86" s="5">
        <f>IF($L86="","",SUMIFS('Per Line'!$T$2:$T$401,'Per Line'!$C$2:$C$401,$C86))</f>
        <v/>
      </c>
      <c r="I86" s="5">
        <f>IF($L86="","",SUMIFS('Per Line'!$U$2:$U$401,'Per Line'!$C$2:$C$401,$C86))</f>
        <v/>
      </c>
      <c r="J86" s="5">
        <f>IF($L86="","",G86-H86)</f>
        <v/>
      </c>
      <c r="K86" s="5">
        <f>IF($L86="","",J86-I86)</f>
        <v/>
      </c>
      <c r="L86">
        <f>IF(ROWS($L$2:$L86)&lt;=MAX('Per Line'!$AH$2:$AH$401),MATCH(ROWS($L$2:$L86),'Per Line'!$AH$2:$AH$401,0),"")</f>
        <v/>
      </c>
    </row>
    <row r="87">
      <c r="B87">
        <f>IF($L87="","",INDEX('Per Line'!$B$2:$B$401,$L87))</f>
        <v/>
      </c>
      <c r="C87">
        <f>IF($L87="","",INDEX('Per Line'!$C$2:$C$401,$L87))</f>
        <v/>
      </c>
      <c r="D87">
        <f>IF($L87="","",INDEX('Per Line'!$A$2:$A$401,$L87))</f>
        <v/>
      </c>
      <c r="E87">
        <f>IF($L87="","",INDEX('Per Line'!$D$2:$D$401,$L87))</f>
        <v/>
      </c>
      <c r="F87">
        <f>IF($L87="","",INDEX('Per Line'!$Q$2:$Q$401,$L87))</f>
        <v/>
      </c>
      <c r="G87" s="5">
        <f>IF($L87="","",SUMIFS('Per Line'!$S$2:$S$401,'Per Line'!$C$2:$C$401,$C87))</f>
        <v/>
      </c>
      <c r="H87" s="5">
        <f>IF($L87="","",SUMIFS('Per Line'!$T$2:$T$401,'Per Line'!$C$2:$C$401,$C87))</f>
        <v/>
      </c>
      <c r="I87" s="5">
        <f>IF($L87="","",SUMIFS('Per Line'!$U$2:$U$401,'Per Line'!$C$2:$C$401,$C87))</f>
        <v/>
      </c>
      <c r="J87" s="5">
        <f>IF($L87="","",G87-H87)</f>
        <v/>
      </c>
      <c r="K87" s="5">
        <f>IF($L87="","",J87-I87)</f>
        <v/>
      </c>
      <c r="L87">
        <f>IF(ROWS($L$2:$L87)&lt;=MAX('Per Line'!$AH$2:$AH$401),MATCH(ROWS($L$2:$L87),'Per Line'!$AH$2:$AH$401,0),"")</f>
        <v/>
      </c>
    </row>
    <row r="88">
      <c r="B88">
        <f>IF($L88="","",INDEX('Per Line'!$B$2:$B$401,$L88))</f>
        <v/>
      </c>
      <c r="C88">
        <f>IF($L88="","",INDEX('Per Line'!$C$2:$C$401,$L88))</f>
        <v/>
      </c>
      <c r="D88">
        <f>IF($L88="","",INDEX('Per Line'!$A$2:$A$401,$L88))</f>
        <v/>
      </c>
      <c r="E88">
        <f>IF($L88="","",INDEX('Per Line'!$D$2:$D$401,$L88))</f>
        <v/>
      </c>
      <c r="F88">
        <f>IF($L88="","",INDEX('Per Line'!$Q$2:$Q$401,$L88))</f>
        <v/>
      </c>
      <c r="G88" s="5">
        <f>IF($L88="","",SUMIFS('Per Line'!$S$2:$S$401,'Per Line'!$C$2:$C$401,$C88))</f>
        <v/>
      </c>
      <c r="H88" s="5">
        <f>IF($L88="","",SUMIFS('Per Line'!$T$2:$T$401,'Per Line'!$C$2:$C$401,$C88))</f>
        <v/>
      </c>
      <c r="I88" s="5">
        <f>IF($L88="","",SUMIFS('Per Line'!$U$2:$U$401,'Per Line'!$C$2:$C$401,$C88))</f>
        <v/>
      </c>
      <c r="J88" s="5">
        <f>IF($L88="","",G88-H88)</f>
        <v/>
      </c>
      <c r="K88" s="5">
        <f>IF($L88="","",J88-I88)</f>
        <v/>
      </c>
      <c r="L88">
        <f>IF(ROWS($L$2:$L88)&lt;=MAX('Per Line'!$AH$2:$AH$401),MATCH(ROWS($L$2:$L88),'Per Line'!$AH$2:$AH$401,0),"")</f>
        <v/>
      </c>
    </row>
    <row r="89">
      <c r="B89">
        <f>IF($L89="","",INDEX('Per Line'!$B$2:$B$401,$L89))</f>
        <v/>
      </c>
      <c r="C89">
        <f>IF($L89="","",INDEX('Per Line'!$C$2:$C$401,$L89))</f>
        <v/>
      </c>
      <c r="D89">
        <f>IF($L89="","",INDEX('Per Line'!$A$2:$A$401,$L89))</f>
        <v/>
      </c>
      <c r="E89">
        <f>IF($L89="","",INDEX('Per Line'!$D$2:$D$401,$L89))</f>
        <v/>
      </c>
      <c r="F89">
        <f>IF($L89="","",INDEX('Per Line'!$Q$2:$Q$401,$L89))</f>
        <v/>
      </c>
      <c r="G89" s="5">
        <f>IF($L89="","",SUMIFS('Per Line'!$S$2:$S$401,'Per Line'!$C$2:$C$401,$C89))</f>
        <v/>
      </c>
      <c r="H89" s="5">
        <f>IF($L89="","",SUMIFS('Per Line'!$T$2:$T$401,'Per Line'!$C$2:$C$401,$C89))</f>
        <v/>
      </c>
      <c r="I89" s="5">
        <f>IF($L89="","",SUMIFS('Per Line'!$U$2:$U$401,'Per Line'!$C$2:$C$401,$C89))</f>
        <v/>
      </c>
      <c r="J89" s="5">
        <f>IF($L89="","",G89-H89)</f>
        <v/>
      </c>
      <c r="K89" s="5">
        <f>IF($L89="","",J89-I89)</f>
        <v/>
      </c>
      <c r="L89">
        <f>IF(ROWS($L$2:$L89)&lt;=MAX('Per Line'!$AH$2:$AH$401),MATCH(ROWS($L$2:$L89),'Per Line'!$AH$2:$AH$401,0),"")</f>
        <v/>
      </c>
    </row>
    <row r="90">
      <c r="B90">
        <f>IF($L90="","",INDEX('Per Line'!$B$2:$B$401,$L90))</f>
        <v/>
      </c>
      <c r="C90">
        <f>IF($L90="","",INDEX('Per Line'!$C$2:$C$401,$L90))</f>
        <v/>
      </c>
      <c r="D90">
        <f>IF($L90="","",INDEX('Per Line'!$A$2:$A$401,$L90))</f>
        <v/>
      </c>
      <c r="E90">
        <f>IF($L90="","",INDEX('Per Line'!$D$2:$D$401,$L90))</f>
        <v/>
      </c>
      <c r="F90">
        <f>IF($L90="","",INDEX('Per Line'!$Q$2:$Q$401,$L90))</f>
        <v/>
      </c>
      <c r="G90" s="5">
        <f>IF($L90="","",SUMIFS('Per Line'!$S$2:$S$401,'Per Line'!$C$2:$C$401,$C90))</f>
        <v/>
      </c>
      <c r="H90" s="5">
        <f>IF($L90="","",SUMIFS('Per Line'!$T$2:$T$401,'Per Line'!$C$2:$C$401,$C90))</f>
        <v/>
      </c>
      <c r="I90" s="5">
        <f>IF($L90="","",SUMIFS('Per Line'!$U$2:$U$401,'Per Line'!$C$2:$C$401,$C90))</f>
        <v/>
      </c>
      <c r="J90" s="5">
        <f>IF($L90="","",G90-H90)</f>
        <v/>
      </c>
      <c r="K90" s="5">
        <f>IF($L90="","",J90-I90)</f>
        <v/>
      </c>
      <c r="L90">
        <f>IF(ROWS($L$2:$L90)&lt;=MAX('Per Line'!$AH$2:$AH$401),MATCH(ROWS($L$2:$L90),'Per Line'!$AH$2:$AH$401,0),"")</f>
        <v/>
      </c>
    </row>
    <row r="91">
      <c r="B91">
        <f>IF($L91="","",INDEX('Per Line'!$B$2:$B$401,$L91))</f>
        <v/>
      </c>
      <c r="C91">
        <f>IF($L91="","",INDEX('Per Line'!$C$2:$C$401,$L91))</f>
        <v/>
      </c>
      <c r="D91">
        <f>IF($L91="","",INDEX('Per Line'!$A$2:$A$401,$L91))</f>
        <v/>
      </c>
      <c r="E91">
        <f>IF($L91="","",INDEX('Per Line'!$D$2:$D$401,$L91))</f>
        <v/>
      </c>
      <c r="F91">
        <f>IF($L91="","",INDEX('Per Line'!$Q$2:$Q$401,$L91))</f>
        <v/>
      </c>
      <c r="G91" s="5">
        <f>IF($L91="","",SUMIFS('Per Line'!$S$2:$S$401,'Per Line'!$C$2:$C$401,$C91))</f>
        <v/>
      </c>
      <c r="H91" s="5">
        <f>IF($L91="","",SUMIFS('Per Line'!$T$2:$T$401,'Per Line'!$C$2:$C$401,$C91))</f>
        <v/>
      </c>
      <c r="I91" s="5">
        <f>IF($L91="","",SUMIFS('Per Line'!$U$2:$U$401,'Per Line'!$C$2:$C$401,$C91))</f>
        <v/>
      </c>
      <c r="J91" s="5">
        <f>IF($L91="","",G91-H91)</f>
        <v/>
      </c>
      <c r="K91" s="5">
        <f>IF($L91="","",J91-I91)</f>
        <v/>
      </c>
      <c r="L91">
        <f>IF(ROWS($L$2:$L91)&lt;=MAX('Per Line'!$AH$2:$AH$401),MATCH(ROWS($L$2:$L91),'Per Line'!$AH$2:$AH$401,0),"")</f>
        <v/>
      </c>
    </row>
    <row r="92">
      <c r="B92">
        <f>IF($L92="","",INDEX('Per Line'!$B$2:$B$401,$L92))</f>
        <v/>
      </c>
      <c r="C92">
        <f>IF($L92="","",INDEX('Per Line'!$C$2:$C$401,$L92))</f>
        <v/>
      </c>
      <c r="D92">
        <f>IF($L92="","",INDEX('Per Line'!$A$2:$A$401,$L92))</f>
        <v/>
      </c>
      <c r="E92">
        <f>IF($L92="","",INDEX('Per Line'!$D$2:$D$401,$L92))</f>
        <v/>
      </c>
      <c r="F92">
        <f>IF($L92="","",INDEX('Per Line'!$Q$2:$Q$401,$L92))</f>
        <v/>
      </c>
      <c r="G92" s="5">
        <f>IF($L92="","",SUMIFS('Per Line'!$S$2:$S$401,'Per Line'!$C$2:$C$401,$C92))</f>
        <v/>
      </c>
      <c r="H92" s="5">
        <f>IF($L92="","",SUMIFS('Per Line'!$T$2:$T$401,'Per Line'!$C$2:$C$401,$C92))</f>
        <v/>
      </c>
      <c r="I92" s="5">
        <f>IF($L92="","",SUMIFS('Per Line'!$U$2:$U$401,'Per Line'!$C$2:$C$401,$C92))</f>
        <v/>
      </c>
      <c r="J92" s="5">
        <f>IF($L92="","",G92-H92)</f>
        <v/>
      </c>
      <c r="K92" s="5">
        <f>IF($L92="","",J92-I92)</f>
        <v/>
      </c>
      <c r="L92">
        <f>IF(ROWS($L$2:$L92)&lt;=MAX('Per Line'!$AH$2:$AH$401),MATCH(ROWS($L$2:$L92),'Per Line'!$AH$2:$AH$401,0),"")</f>
        <v/>
      </c>
    </row>
    <row r="93">
      <c r="B93">
        <f>IF($L93="","",INDEX('Per Line'!$B$2:$B$401,$L93))</f>
        <v/>
      </c>
      <c r="C93">
        <f>IF($L93="","",INDEX('Per Line'!$C$2:$C$401,$L93))</f>
        <v/>
      </c>
      <c r="D93">
        <f>IF($L93="","",INDEX('Per Line'!$A$2:$A$401,$L93))</f>
        <v/>
      </c>
      <c r="E93">
        <f>IF($L93="","",INDEX('Per Line'!$D$2:$D$401,$L93))</f>
        <v/>
      </c>
      <c r="F93">
        <f>IF($L93="","",INDEX('Per Line'!$Q$2:$Q$401,$L93))</f>
        <v/>
      </c>
      <c r="G93" s="5">
        <f>IF($L93="","",SUMIFS('Per Line'!$S$2:$S$401,'Per Line'!$C$2:$C$401,$C93))</f>
        <v/>
      </c>
      <c r="H93" s="5">
        <f>IF($L93="","",SUMIFS('Per Line'!$T$2:$T$401,'Per Line'!$C$2:$C$401,$C93))</f>
        <v/>
      </c>
      <c r="I93" s="5">
        <f>IF($L93="","",SUMIFS('Per Line'!$U$2:$U$401,'Per Line'!$C$2:$C$401,$C93))</f>
        <v/>
      </c>
      <c r="J93" s="5">
        <f>IF($L93="","",G93-H93)</f>
        <v/>
      </c>
      <c r="K93" s="5">
        <f>IF($L93="","",J93-I93)</f>
        <v/>
      </c>
      <c r="L93">
        <f>IF(ROWS($L$2:$L93)&lt;=MAX('Per Line'!$AH$2:$AH$401),MATCH(ROWS($L$2:$L93),'Per Line'!$AH$2:$AH$401,0),"")</f>
        <v/>
      </c>
    </row>
    <row r="94">
      <c r="B94">
        <f>IF($L94="","",INDEX('Per Line'!$B$2:$B$401,$L94))</f>
        <v/>
      </c>
      <c r="C94">
        <f>IF($L94="","",INDEX('Per Line'!$C$2:$C$401,$L94))</f>
        <v/>
      </c>
      <c r="D94">
        <f>IF($L94="","",INDEX('Per Line'!$A$2:$A$401,$L94))</f>
        <v/>
      </c>
      <c r="E94">
        <f>IF($L94="","",INDEX('Per Line'!$D$2:$D$401,$L94))</f>
        <v/>
      </c>
      <c r="F94">
        <f>IF($L94="","",INDEX('Per Line'!$Q$2:$Q$401,$L94))</f>
        <v/>
      </c>
      <c r="G94" s="5">
        <f>IF($L94="","",SUMIFS('Per Line'!$S$2:$S$401,'Per Line'!$C$2:$C$401,$C94))</f>
        <v/>
      </c>
      <c r="H94" s="5">
        <f>IF($L94="","",SUMIFS('Per Line'!$T$2:$T$401,'Per Line'!$C$2:$C$401,$C94))</f>
        <v/>
      </c>
      <c r="I94" s="5">
        <f>IF($L94="","",SUMIFS('Per Line'!$U$2:$U$401,'Per Line'!$C$2:$C$401,$C94))</f>
        <v/>
      </c>
      <c r="J94" s="5">
        <f>IF($L94="","",G94-H94)</f>
        <v/>
      </c>
      <c r="K94" s="5">
        <f>IF($L94="","",J94-I94)</f>
        <v/>
      </c>
      <c r="L94">
        <f>IF(ROWS($L$2:$L94)&lt;=MAX('Per Line'!$AH$2:$AH$401),MATCH(ROWS($L$2:$L94),'Per Line'!$AH$2:$AH$401,0),"")</f>
        <v/>
      </c>
    </row>
    <row r="95">
      <c r="B95">
        <f>IF($L95="","",INDEX('Per Line'!$B$2:$B$401,$L95))</f>
        <v/>
      </c>
      <c r="C95">
        <f>IF($L95="","",INDEX('Per Line'!$C$2:$C$401,$L95))</f>
        <v/>
      </c>
      <c r="D95">
        <f>IF($L95="","",INDEX('Per Line'!$A$2:$A$401,$L95))</f>
        <v/>
      </c>
      <c r="E95">
        <f>IF($L95="","",INDEX('Per Line'!$D$2:$D$401,$L95))</f>
        <v/>
      </c>
      <c r="F95">
        <f>IF($L95="","",INDEX('Per Line'!$Q$2:$Q$401,$L95))</f>
        <v/>
      </c>
      <c r="G95" s="5">
        <f>IF($L95="","",SUMIFS('Per Line'!$S$2:$S$401,'Per Line'!$C$2:$C$401,$C95))</f>
        <v/>
      </c>
      <c r="H95" s="5">
        <f>IF($L95="","",SUMIFS('Per Line'!$T$2:$T$401,'Per Line'!$C$2:$C$401,$C95))</f>
        <v/>
      </c>
      <c r="I95" s="5">
        <f>IF($L95="","",SUMIFS('Per Line'!$U$2:$U$401,'Per Line'!$C$2:$C$401,$C95))</f>
        <v/>
      </c>
      <c r="J95" s="5">
        <f>IF($L95="","",G95-H95)</f>
        <v/>
      </c>
      <c r="K95" s="5">
        <f>IF($L95="","",J95-I95)</f>
        <v/>
      </c>
      <c r="L95">
        <f>IF(ROWS($L$2:$L95)&lt;=MAX('Per Line'!$AH$2:$AH$401),MATCH(ROWS($L$2:$L95),'Per Line'!$AH$2:$AH$401,0),"")</f>
        <v/>
      </c>
    </row>
    <row r="96">
      <c r="B96">
        <f>IF($L96="","",INDEX('Per Line'!$B$2:$B$401,$L96))</f>
        <v/>
      </c>
      <c r="C96">
        <f>IF($L96="","",INDEX('Per Line'!$C$2:$C$401,$L96))</f>
        <v/>
      </c>
      <c r="D96">
        <f>IF($L96="","",INDEX('Per Line'!$A$2:$A$401,$L96))</f>
        <v/>
      </c>
      <c r="E96">
        <f>IF($L96="","",INDEX('Per Line'!$D$2:$D$401,$L96))</f>
        <v/>
      </c>
      <c r="F96">
        <f>IF($L96="","",INDEX('Per Line'!$Q$2:$Q$401,$L96))</f>
        <v/>
      </c>
      <c r="G96" s="5">
        <f>IF($L96="","",SUMIFS('Per Line'!$S$2:$S$401,'Per Line'!$C$2:$C$401,$C96))</f>
        <v/>
      </c>
      <c r="H96" s="5">
        <f>IF($L96="","",SUMIFS('Per Line'!$T$2:$T$401,'Per Line'!$C$2:$C$401,$C96))</f>
        <v/>
      </c>
      <c r="I96" s="5">
        <f>IF($L96="","",SUMIFS('Per Line'!$U$2:$U$401,'Per Line'!$C$2:$C$401,$C96))</f>
        <v/>
      </c>
      <c r="J96" s="5">
        <f>IF($L96="","",G96-H96)</f>
        <v/>
      </c>
      <c r="K96" s="5">
        <f>IF($L96="","",J96-I96)</f>
        <v/>
      </c>
      <c r="L96">
        <f>IF(ROWS($L$2:$L96)&lt;=MAX('Per Line'!$AH$2:$AH$401),MATCH(ROWS($L$2:$L96),'Per Line'!$AH$2:$AH$401,0),"")</f>
        <v/>
      </c>
    </row>
    <row r="97">
      <c r="B97">
        <f>IF($L97="","",INDEX('Per Line'!$B$2:$B$401,$L97))</f>
        <v/>
      </c>
      <c r="C97">
        <f>IF($L97="","",INDEX('Per Line'!$C$2:$C$401,$L97))</f>
        <v/>
      </c>
      <c r="D97">
        <f>IF($L97="","",INDEX('Per Line'!$A$2:$A$401,$L97))</f>
        <v/>
      </c>
      <c r="E97">
        <f>IF($L97="","",INDEX('Per Line'!$D$2:$D$401,$L97))</f>
        <v/>
      </c>
      <c r="F97">
        <f>IF($L97="","",INDEX('Per Line'!$Q$2:$Q$401,$L97))</f>
        <v/>
      </c>
      <c r="G97" s="5">
        <f>IF($L97="","",SUMIFS('Per Line'!$S$2:$S$401,'Per Line'!$C$2:$C$401,$C97))</f>
        <v/>
      </c>
      <c r="H97" s="5">
        <f>IF($L97="","",SUMIFS('Per Line'!$T$2:$T$401,'Per Line'!$C$2:$C$401,$C97))</f>
        <v/>
      </c>
      <c r="I97" s="5">
        <f>IF($L97="","",SUMIFS('Per Line'!$U$2:$U$401,'Per Line'!$C$2:$C$401,$C97))</f>
        <v/>
      </c>
      <c r="J97" s="5">
        <f>IF($L97="","",G97-H97)</f>
        <v/>
      </c>
      <c r="K97" s="5">
        <f>IF($L97="","",J97-I97)</f>
        <v/>
      </c>
      <c r="L97">
        <f>IF(ROWS($L$2:$L97)&lt;=MAX('Per Line'!$AH$2:$AH$401),MATCH(ROWS($L$2:$L97),'Per Line'!$AH$2:$AH$401,0),"")</f>
        <v/>
      </c>
    </row>
    <row r="98">
      <c r="B98">
        <f>IF($L98="","",INDEX('Per Line'!$B$2:$B$401,$L98))</f>
        <v/>
      </c>
      <c r="C98">
        <f>IF($L98="","",INDEX('Per Line'!$C$2:$C$401,$L98))</f>
        <v/>
      </c>
      <c r="D98">
        <f>IF($L98="","",INDEX('Per Line'!$A$2:$A$401,$L98))</f>
        <v/>
      </c>
      <c r="E98">
        <f>IF($L98="","",INDEX('Per Line'!$D$2:$D$401,$L98))</f>
        <v/>
      </c>
      <c r="F98">
        <f>IF($L98="","",INDEX('Per Line'!$Q$2:$Q$401,$L98))</f>
        <v/>
      </c>
      <c r="G98" s="5">
        <f>IF($L98="","",SUMIFS('Per Line'!$S$2:$S$401,'Per Line'!$C$2:$C$401,$C98))</f>
        <v/>
      </c>
      <c r="H98" s="5">
        <f>IF($L98="","",SUMIFS('Per Line'!$T$2:$T$401,'Per Line'!$C$2:$C$401,$C98))</f>
        <v/>
      </c>
      <c r="I98" s="5">
        <f>IF($L98="","",SUMIFS('Per Line'!$U$2:$U$401,'Per Line'!$C$2:$C$401,$C98))</f>
        <v/>
      </c>
      <c r="J98" s="5">
        <f>IF($L98="","",G98-H98)</f>
        <v/>
      </c>
      <c r="K98" s="5">
        <f>IF($L98="","",J98-I98)</f>
        <v/>
      </c>
      <c r="L98">
        <f>IF(ROWS($L$2:$L98)&lt;=MAX('Per Line'!$AH$2:$AH$401),MATCH(ROWS($L$2:$L98),'Per Line'!$AH$2:$AH$401,0),"")</f>
        <v/>
      </c>
    </row>
    <row r="99">
      <c r="B99">
        <f>IF($L99="","",INDEX('Per Line'!$B$2:$B$401,$L99))</f>
        <v/>
      </c>
      <c r="C99">
        <f>IF($L99="","",INDEX('Per Line'!$C$2:$C$401,$L99))</f>
        <v/>
      </c>
      <c r="D99">
        <f>IF($L99="","",INDEX('Per Line'!$A$2:$A$401,$L99))</f>
        <v/>
      </c>
      <c r="E99">
        <f>IF($L99="","",INDEX('Per Line'!$D$2:$D$401,$L99))</f>
        <v/>
      </c>
      <c r="F99">
        <f>IF($L99="","",INDEX('Per Line'!$Q$2:$Q$401,$L99))</f>
        <v/>
      </c>
      <c r="G99" s="5">
        <f>IF($L99="","",SUMIFS('Per Line'!$S$2:$S$401,'Per Line'!$C$2:$C$401,$C99))</f>
        <v/>
      </c>
      <c r="H99" s="5">
        <f>IF($L99="","",SUMIFS('Per Line'!$T$2:$T$401,'Per Line'!$C$2:$C$401,$C99))</f>
        <v/>
      </c>
      <c r="I99" s="5">
        <f>IF($L99="","",SUMIFS('Per Line'!$U$2:$U$401,'Per Line'!$C$2:$C$401,$C99))</f>
        <v/>
      </c>
      <c r="J99" s="5">
        <f>IF($L99="","",G99-H99)</f>
        <v/>
      </c>
      <c r="K99" s="5">
        <f>IF($L99="","",J99-I99)</f>
        <v/>
      </c>
      <c r="L99">
        <f>IF(ROWS($L$2:$L99)&lt;=MAX('Per Line'!$AH$2:$AH$401),MATCH(ROWS($L$2:$L99),'Per Line'!$AH$2:$AH$401,0),"")</f>
        <v/>
      </c>
    </row>
    <row r="100">
      <c r="B100">
        <f>IF($L100="","",INDEX('Per Line'!$B$2:$B$401,$L100))</f>
        <v/>
      </c>
      <c r="C100">
        <f>IF($L100="","",INDEX('Per Line'!$C$2:$C$401,$L100))</f>
        <v/>
      </c>
      <c r="D100">
        <f>IF($L100="","",INDEX('Per Line'!$A$2:$A$401,$L100))</f>
        <v/>
      </c>
      <c r="E100">
        <f>IF($L100="","",INDEX('Per Line'!$D$2:$D$401,$L100))</f>
        <v/>
      </c>
      <c r="F100">
        <f>IF($L100="","",INDEX('Per Line'!$Q$2:$Q$401,$L100))</f>
        <v/>
      </c>
      <c r="G100" s="5">
        <f>IF($L100="","",SUMIFS('Per Line'!$S$2:$S$401,'Per Line'!$C$2:$C$401,$C100))</f>
        <v/>
      </c>
      <c r="H100" s="5">
        <f>IF($L100="","",SUMIFS('Per Line'!$T$2:$T$401,'Per Line'!$C$2:$C$401,$C100))</f>
        <v/>
      </c>
      <c r="I100" s="5">
        <f>IF($L100="","",SUMIFS('Per Line'!$U$2:$U$401,'Per Line'!$C$2:$C$401,$C100))</f>
        <v/>
      </c>
      <c r="J100" s="5">
        <f>IF($L100="","",G100-H100)</f>
        <v/>
      </c>
      <c r="K100" s="5">
        <f>IF($L100="","",J100-I100)</f>
        <v/>
      </c>
      <c r="L100">
        <f>IF(ROWS($L$2:$L100)&lt;=MAX('Per Line'!$AH$2:$AH$401),MATCH(ROWS($L$2:$L100),'Per Line'!$AH$2:$AH$401,0),"")</f>
        <v/>
      </c>
    </row>
    <row r="101">
      <c r="B101">
        <f>IF($L101="","",INDEX('Per Line'!$B$2:$B$401,$L101))</f>
        <v/>
      </c>
      <c r="C101">
        <f>IF($L101="","",INDEX('Per Line'!$C$2:$C$401,$L101))</f>
        <v/>
      </c>
      <c r="D101">
        <f>IF($L101="","",INDEX('Per Line'!$A$2:$A$401,$L101))</f>
        <v/>
      </c>
      <c r="E101">
        <f>IF($L101="","",INDEX('Per Line'!$D$2:$D$401,$L101))</f>
        <v/>
      </c>
      <c r="F101">
        <f>IF($L101="","",INDEX('Per Line'!$Q$2:$Q$401,$L101))</f>
        <v/>
      </c>
      <c r="G101" s="5">
        <f>IF($L101="","",SUMIFS('Per Line'!$S$2:$S$401,'Per Line'!$C$2:$C$401,$C101))</f>
        <v/>
      </c>
      <c r="H101" s="5">
        <f>IF($L101="","",SUMIFS('Per Line'!$T$2:$T$401,'Per Line'!$C$2:$C$401,$C101))</f>
        <v/>
      </c>
      <c r="I101" s="5">
        <f>IF($L101="","",SUMIFS('Per Line'!$U$2:$U$401,'Per Line'!$C$2:$C$401,$C101))</f>
        <v/>
      </c>
      <c r="J101" s="5">
        <f>IF($L101="","",G101-H101)</f>
        <v/>
      </c>
      <c r="K101" s="5">
        <f>IF($L101="","",J101-I101)</f>
        <v/>
      </c>
      <c r="L101">
        <f>IF(ROWS($L$2:$L101)&lt;=MAX('Per Line'!$AH$2:$AH$401),MATCH(ROWS($L$2:$L101),'Per Line'!$AH$2:$AH$401,0),"")</f>
        <v/>
      </c>
    </row>
    <row r="102">
      <c r="B102">
        <f>IF($L102="","",INDEX('Per Line'!$B$2:$B$401,$L102))</f>
        <v/>
      </c>
      <c r="C102">
        <f>IF($L102="","",INDEX('Per Line'!$C$2:$C$401,$L102))</f>
        <v/>
      </c>
      <c r="D102">
        <f>IF($L102="","",INDEX('Per Line'!$A$2:$A$401,$L102))</f>
        <v/>
      </c>
      <c r="E102">
        <f>IF($L102="","",INDEX('Per Line'!$D$2:$D$401,$L102))</f>
        <v/>
      </c>
      <c r="F102">
        <f>IF($L102="","",INDEX('Per Line'!$Q$2:$Q$401,$L102))</f>
        <v/>
      </c>
      <c r="G102" s="5">
        <f>IF($L102="","",SUMIFS('Per Line'!$S$2:$S$401,'Per Line'!$C$2:$C$401,$C102))</f>
        <v/>
      </c>
      <c r="H102" s="5">
        <f>IF($L102="","",SUMIFS('Per Line'!$T$2:$T$401,'Per Line'!$C$2:$C$401,$C102))</f>
        <v/>
      </c>
      <c r="I102" s="5">
        <f>IF($L102="","",SUMIFS('Per Line'!$U$2:$U$401,'Per Line'!$C$2:$C$401,$C102))</f>
        <v/>
      </c>
      <c r="J102" s="5">
        <f>IF($L102="","",G102-H102)</f>
        <v/>
      </c>
      <c r="K102" s="5">
        <f>IF($L102="","",J102-I102)</f>
        <v/>
      </c>
      <c r="L102">
        <f>IF(ROWS($L$2:$L102)&lt;=MAX('Per Line'!$AH$2:$AH$401),MATCH(ROWS($L$2:$L102),'Per Line'!$AH$2:$AH$401,0),"")</f>
        <v/>
      </c>
    </row>
    <row r="103">
      <c r="B103">
        <f>IF($L103="","",INDEX('Per Line'!$B$2:$B$401,$L103))</f>
        <v/>
      </c>
      <c r="C103">
        <f>IF($L103="","",INDEX('Per Line'!$C$2:$C$401,$L103))</f>
        <v/>
      </c>
      <c r="D103">
        <f>IF($L103="","",INDEX('Per Line'!$A$2:$A$401,$L103))</f>
        <v/>
      </c>
      <c r="E103">
        <f>IF($L103="","",INDEX('Per Line'!$D$2:$D$401,$L103))</f>
        <v/>
      </c>
      <c r="F103">
        <f>IF($L103="","",INDEX('Per Line'!$Q$2:$Q$401,$L103))</f>
        <v/>
      </c>
      <c r="G103" s="5">
        <f>IF($L103="","",SUMIFS('Per Line'!$S$2:$S$401,'Per Line'!$C$2:$C$401,$C103))</f>
        <v/>
      </c>
      <c r="H103" s="5">
        <f>IF($L103="","",SUMIFS('Per Line'!$T$2:$T$401,'Per Line'!$C$2:$C$401,$C103))</f>
        <v/>
      </c>
      <c r="I103" s="5">
        <f>IF($L103="","",SUMIFS('Per Line'!$U$2:$U$401,'Per Line'!$C$2:$C$401,$C103))</f>
        <v/>
      </c>
      <c r="J103" s="5">
        <f>IF($L103="","",G103-H103)</f>
        <v/>
      </c>
      <c r="K103" s="5">
        <f>IF($L103="","",J103-I103)</f>
        <v/>
      </c>
      <c r="L103">
        <f>IF(ROWS($L$2:$L103)&lt;=MAX('Per Line'!$AH$2:$AH$401),MATCH(ROWS($L$2:$L103),'Per Line'!$AH$2:$AH$401,0),"")</f>
        <v/>
      </c>
    </row>
    <row r="104">
      <c r="B104">
        <f>IF($L104="","",INDEX('Per Line'!$B$2:$B$401,$L104))</f>
        <v/>
      </c>
      <c r="C104">
        <f>IF($L104="","",INDEX('Per Line'!$C$2:$C$401,$L104))</f>
        <v/>
      </c>
      <c r="D104">
        <f>IF($L104="","",INDEX('Per Line'!$A$2:$A$401,$L104))</f>
        <v/>
      </c>
      <c r="E104">
        <f>IF($L104="","",INDEX('Per Line'!$D$2:$D$401,$L104))</f>
        <v/>
      </c>
      <c r="F104">
        <f>IF($L104="","",INDEX('Per Line'!$Q$2:$Q$401,$L104))</f>
        <v/>
      </c>
      <c r="G104" s="5">
        <f>IF($L104="","",SUMIFS('Per Line'!$S$2:$S$401,'Per Line'!$C$2:$C$401,$C104))</f>
        <v/>
      </c>
      <c r="H104" s="5">
        <f>IF($L104="","",SUMIFS('Per Line'!$T$2:$T$401,'Per Line'!$C$2:$C$401,$C104))</f>
        <v/>
      </c>
      <c r="I104" s="5">
        <f>IF($L104="","",SUMIFS('Per Line'!$U$2:$U$401,'Per Line'!$C$2:$C$401,$C104))</f>
        <v/>
      </c>
      <c r="J104" s="5">
        <f>IF($L104="","",G104-H104)</f>
        <v/>
      </c>
      <c r="K104" s="5">
        <f>IF($L104="","",J104-I104)</f>
        <v/>
      </c>
      <c r="L104">
        <f>IF(ROWS($L$2:$L104)&lt;=MAX('Per Line'!$AH$2:$AH$401),MATCH(ROWS($L$2:$L104),'Per Line'!$AH$2:$AH$401,0),"")</f>
        <v/>
      </c>
    </row>
    <row r="105">
      <c r="B105">
        <f>IF($L105="","",INDEX('Per Line'!$B$2:$B$401,$L105))</f>
        <v/>
      </c>
      <c r="C105">
        <f>IF($L105="","",INDEX('Per Line'!$C$2:$C$401,$L105))</f>
        <v/>
      </c>
      <c r="D105">
        <f>IF($L105="","",INDEX('Per Line'!$A$2:$A$401,$L105))</f>
        <v/>
      </c>
      <c r="E105">
        <f>IF($L105="","",INDEX('Per Line'!$D$2:$D$401,$L105))</f>
        <v/>
      </c>
      <c r="F105">
        <f>IF($L105="","",INDEX('Per Line'!$Q$2:$Q$401,$L105))</f>
        <v/>
      </c>
      <c r="G105" s="5">
        <f>IF($L105="","",SUMIFS('Per Line'!$S$2:$S$401,'Per Line'!$C$2:$C$401,$C105))</f>
        <v/>
      </c>
      <c r="H105" s="5">
        <f>IF($L105="","",SUMIFS('Per Line'!$T$2:$T$401,'Per Line'!$C$2:$C$401,$C105))</f>
        <v/>
      </c>
      <c r="I105" s="5">
        <f>IF($L105="","",SUMIFS('Per Line'!$U$2:$U$401,'Per Line'!$C$2:$C$401,$C105))</f>
        <v/>
      </c>
      <c r="J105" s="5">
        <f>IF($L105="","",G105-H105)</f>
        <v/>
      </c>
      <c r="K105" s="5">
        <f>IF($L105="","",J105-I105)</f>
        <v/>
      </c>
      <c r="L105">
        <f>IF(ROWS($L$2:$L105)&lt;=MAX('Per Line'!$AH$2:$AH$401),MATCH(ROWS($L$2:$L105),'Per Line'!$AH$2:$AH$401,0),"")</f>
        <v/>
      </c>
    </row>
    <row r="106">
      <c r="B106">
        <f>IF($L106="","",INDEX('Per Line'!$B$2:$B$401,$L106))</f>
        <v/>
      </c>
      <c r="C106">
        <f>IF($L106="","",INDEX('Per Line'!$C$2:$C$401,$L106))</f>
        <v/>
      </c>
      <c r="D106">
        <f>IF($L106="","",INDEX('Per Line'!$A$2:$A$401,$L106))</f>
        <v/>
      </c>
      <c r="E106">
        <f>IF($L106="","",INDEX('Per Line'!$D$2:$D$401,$L106))</f>
        <v/>
      </c>
      <c r="F106">
        <f>IF($L106="","",INDEX('Per Line'!$Q$2:$Q$401,$L106))</f>
        <v/>
      </c>
      <c r="G106" s="5">
        <f>IF($L106="","",SUMIFS('Per Line'!$S$2:$S$401,'Per Line'!$C$2:$C$401,$C106))</f>
        <v/>
      </c>
      <c r="H106" s="5">
        <f>IF($L106="","",SUMIFS('Per Line'!$T$2:$T$401,'Per Line'!$C$2:$C$401,$C106))</f>
        <v/>
      </c>
      <c r="I106" s="5">
        <f>IF($L106="","",SUMIFS('Per Line'!$U$2:$U$401,'Per Line'!$C$2:$C$401,$C106))</f>
        <v/>
      </c>
      <c r="J106" s="5">
        <f>IF($L106="","",G106-H106)</f>
        <v/>
      </c>
      <c r="K106" s="5">
        <f>IF($L106="","",J106-I106)</f>
        <v/>
      </c>
      <c r="L106">
        <f>IF(ROWS($L$2:$L106)&lt;=MAX('Per Line'!$AH$2:$AH$401),MATCH(ROWS($L$2:$L106),'Per Line'!$AH$2:$AH$401,0),"")</f>
        <v/>
      </c>
    </row>
    <row r="107">
      <c r="B107">
        <f>IF($L107="","",INDEX('Per Line'!$B$2:$B$401,$L107))</f>
        <v/>
      </c>
      <c r="C107">
        <f>IF($L107="","",INDEX('Per Line'!$C$2:$C$401,$L107))</f>
        <v/>
      </c>
      <c r="D107">
        <f>IF($L107="","",INDEX('Per Line'!$A$2:$A$401,$L107))</f>
        <v/>
      </c>
      <c r="E107">
        <f>IF($L107="","",INDEX('Per Line'!$D$2:$D$401,$L107))</f>
        <v/>
      </c>
      <c r="F107">
        <f>IF($L107="","",INDEX('Per Line'!$Q$2:$Q$401,$L107))</f>
        <v/>
      </c>
      <c r="G107" s="5">
        <f>IF($L107="","",SUMIFS('Per Line'!$S$2:$S$401,'Per Line'!$C$2:$C$401,$C107))</f>
        <v/>
      </c>
      <c r="H107" s="5">
        <f>IF($L107="","",SUMIFS('Per Line'!$T$2:$T$401,'Per Line'!$C$2:$C$401,$C107))</f>
        <v/>
      </c>
      <c r="I107" s="5">
        <f>IF($L107="","",SUMIFS('Per Line'!$U$2:$U$401,'Per Line'!$C$2:$C$401,$C107))</f>
        <v/>
      </c>
      <c r="J107" s="5">
        <f>IF($L107="","",G107-H107)</f>
        <v/>
      </c>
      <c r="K107" s="5">
        <f>IF($L107="","",J107-I107)</f>
        <v/>
      </c>
      <c r="L107">
        <f>IF(ROWS($L$2:$L107)&lt;=MAX('Per Line'!$AH$2:$AH$401),MATCH(ROWS($L$2:$L107),'Per Line'!$AH$2:$AH$401,0),"")</f>
        <v/>
      </c>
    </row>
    <row r="108">
      <c r="B108">
        <f>IF($L108="","",INDEX('Per Line'!$B$2:$B$401,$L108))</f>
        <v/>
      </c>
      <c r="C108">
        <f>IF($L108="","",INDEX('Per Line'!$C$2:$C$401,$L108))</f>
        <v/>
      </c>
      <c r="D108">
        <f>IF($L108="","",INDEX('Per Line'!$A$2:$A$401,$L108))</f>
        <v/>
      </c>
      <c r="E108">
        <f>IF($L108="","",INDEX('Per Line'!$D$2:$D$401,$L108))</f>
        <v/>
      </c>
      <c r="F108">
        <f>IF($L108="","",INDEX('Per Line'!$Q$2:$Q$401,$L108))</f>
        <v/>
      </c>
      <c r="G108" s="5">
        <f>IF($L108="","",SUMIFS('Per Line'!$S$2:$S$401,'Per Line'!$C$2:$C$401,$C108))</f>
        <v/>
      </c>
      <c r="H108" s="5">
        <f>IF($L108="","",SUMIFS('Per Line'!$T$2:$T$401,'Per Line'!$C$2:$C$401,$C108))</f>
        <v/>
      </c>
      <c r="I108" s="5">
        <f>IF($L108="","",SUMIFS('Per Line'!$U$2:$U$401,'Per Line'!$C$2:$C$401,$C108))</f>
        <v/>
      </c>
      <c r="J108" s="5">
        <f>IF($L108="","",G108-H108)</f>
        <v/>
      </c>
      <c r="K108" s="5">
        <f>IF($L108="","",J108-I108)</f>
        <v/>
      </c>
      <c r="L108">
        <f>IF(ROWS($L$2:$L108)&lt;=MAX('Per Line'!$AH$2:$AH$401),MATCH(ROWS($L$2:$L108),'Per Line'!$AH$2:$AH$401,0),"")</f>
        <v/>
      </c>
    </row>
    <row r="109">
      <c r="B109">
        <f>IF($L109="","",INDEX('Per Line'!$B$2:$B$401,$L109))</f>
        <v/>
      </c>
      <c r="C109">
        <f>IF($L109="","",INDEX('Per Line'!$C$2:$C$401,$L109))</f>
        <v/>
      </c>
      <c r="D109">
        <f>IF($L109="","",INDEX('Per Line'!$A$2:$A$401,$L109))</f>
        <v/>
      </c>
      <c r="E109">
        <f>IF($L109="","",INDEX('Per Line'!$D$2:$D$401,$L109))</f>
        <v/>
      </c>
      <c r="F109">
        <f>IF($L109="","",INDEX('Per Line'!$Q$2:$Q$401,$L109))</f>
        <v/>
      </c>
      <c r="G109" s="5">
        <f>IF($L109="","",SUMIFS('Per Line'!$S$2:$S$401,'Per Line'!$C$2:$C$401,$C109))</f>
        <v/>
      </c>
      <c r="H109" s="5">
        <f>IF($L109="","",SUMIFS('Per Line'!$T$2:$T$401,'Per Line'!$C$2:$C$401,$C109))</f>
        <v/>
      </c>
      <c r="I109" s="5">
        <f>IF($L109="","",SUMIFS('Per Line'!$U$2:$U$401,'Per Line'!$C$2:$C$401,$C109))</f>
        <v/>
      </c>
      <c r="J109" s="5">
        <f>IF($L109="","",G109-H109)</f>
        <v/>
      </c>
      <c r="K109" s="5">
        <f>IF($L109="","",J109-I109)</f>
        <v/>
      </c>
      <c r="L109">
        <f>IF(ROWS($L$2:$L109)&lt;=MAX('Per Line'!$AH$2:$AH$401),MATCH(ROWS($L$2:$L109),'Per Line'!$AH$2:$AH$401,0),"")</f>
        <v/>
      </c>
    </row>
    <row r="110">
      <c r="B110">
        <f>IF($L110="","",INDEX('Per Line'!$B$2:$B$401,$L110))</f>
        <v/>
      </c>
      <c r="C110">
        <f>IF($L110="","",INDEX('Per Line'!$C$2:$C$401,$L110))</f>
        <v/>
      </c>
      <c r="D110">
        <f>IF($L110="","",INDEX('Per Line'!$A$2:$A$401,$L110))</f>
        <v/>
      </c>
      <c r="E110">
        <f>IF($L110="","",INDEX('Per Line'!$D$2:$D$401,$L110))</f>
        <v/>
      </c>
      <c r="F110">
        <f>IF($L110="","",INDEX('Per Line'!$Q$2:$Q$401,$L110))</f>
        <v/>
      </c>
      <c r="G110" s="5">
        <f>IF($L110="","",SUMIFS('Per Line'!$S$2:$S$401,'Per Line'!$C$2:$C$401,$C110))</f>
        <v/>
      </c>
      <c r="H110" s="5">
        <f>IF($L110="","",SUMIFS('Per Line'!$T$2:$T$401,'Per Line'!$C$2:$C$401,$C110))</f>
        <v/>
      </c>
      <c r="I110" s="5">
        <f>IF($L110="","",SUMIFS('Per Line'!$U$2:$U$401,'Per Line'!$C$2:$C$401,$C110))</f>
        <v/>
      </c>
      <c r="J110" s="5">
        <f>IF($L110="","",G110-H110)</f>
        <v/>
      </c>
      <c r="K110" s="5">
        <f>IF($L110="","",J110-I110)</f>
        <v/>
      </c>
      <c r="L110">
        <f>IF(ROWS($L$2:$L110)&lt;=MAX('Per Line'!$AH$2:$AH$401),MATCH(ROWS($L$2:$L110),'Per Line'!$AH$2:$AH$401,0),"")</f>
        <v/>
      </c>
    </row>
    <row r="111">
      <c r="B111">
        <f>IF($L111="","",INDEX('Per Line'!$B$2:$B$401,$L111))</f>
        <v/>
      </c>
      <c r="C111">
        <f>IF($L111="","",INDEX('Per Line'!$C$2:$C$401,$L111))</f>
        <v/>
      </c>
      <c r="D111">
        <f>IF($L111="","",INDEX('Per Line'!$A$2:$A$401,$L111))</f>
        <v/>
      </c>
      <c r="E111">
        <f>IF($L111="","",INDEX('Per Line'!$D$2:$D$401,$L111))</f>
        <v/>
      </c>
      <c r="F111">
        <f>IF($L111="","",INDEX('Per Line'!$Q$2:$Q$401,$L111))</f>
        <v/>
      </c>
      <c r="G111" s="5">
        <f>IF($L111="","",SUMIFS('Per Line'!$S$2:$S$401,'Per Line'!$C$2:$C$401,$C111))</f>
        <v/>
      </c>
      <c r="H111" s="5">
        <f>IF($L111="","",SUMIFS('Per Line'!$T$2:$T$401,'Per Line'!$C$2:$C$401,$C111))</f>
        <v/>
      </c>
      <c r="I111" s="5">
        <f>IF($L111="","",SUMIFS('Per Line'!$U$2:$U$401,'Per Line'!$C$2:$C$401,$C111))</f>
        <v/>
      </c>
      <c r="J111" s="5">
        <f>IF($L111="","",G111-H111)</f>
        <v/>
      </c>
      <c r="K111" s="5">
        <f>IF($L111="","",J111-I111)</f>
        <v/>
      </c>
      <c r="L111">
        <f>IF(ROWS($L$2:$L111)&lt;=MAX('Per Line'!$AH$2:$AH$401),MATCH(ROWS($L$2:$L111),'Per Line'!$AH$2:$AH$401,0),"")</f>
        <v/>
      </c>
    </row>
    <row r="112">
      <c r="B112">
        <f>IF($L112="","",INDEX('Per Line'!$B$2:$B$401,$L112))</f>
        <v/>
      </c>
      <c r="C112">
        <f>IF($L112="","",INDEX('Per Line'!$C$2:$C$401,$L112))</f>
        <v/>
      </c>
      <c r="D112">
        <f>IF($L112="","",INDEX('Per Line'!$A$2:$A$401,$L112))</f>
        <v/>
      </c>
      <c r="E112">
        <f>IF($L112="","",INDEX('Per Line'!$D$2:$D$401,$L112))</f>
        <v/>
      </c>
      <c r="F112">
        <f>IF($L112="","",INDEX('Per Line'!$Q$2:$Q$401,$L112))</f>
        <v/>
      </c>
      <c r="G112" s="5">
        <f>IF($L112="","",SUMIFS('Per Line'!$S$2:$S$401,'Per Line'!$C$2:$C$401,$C112))</f>
        <v/>
      </c>
      <c r="H112" s="5">
        <f>IF($L112="","",SUMIFS('Per Line'!$T$2:$T$401,'Per Line'!$C$2:$C$401,$C112))</f>
        <v/>
      </c>
      <c r="I112" s="5">
        <f>IF($L112="","",SUMIFS('Per Line'!$U$2:$U$401,'Per Line'!$C$2:$C$401,$C112))</f>
        <v/>
      </c>
      <c r="J112" s="5">
        <f>IF($L112="","",G112-H112)</f>
        <v/>
      </c>
      <c r="K112" s="5">
        <f>IF($L112="","",J112-I112)</f>
        <v/>
      </c>
      <c r="L112">
        <f>IF(ROWS($L$2:$L112)&lt;=MAX('Per Line'!$AH$2:$AH$401),MATCH(ROWS($L$2:$L112),'Per Line'!$AH$2:$AH$401,0),"")</f>
        <v/>
      </c>
    </row>
    <row r="113">
      <c r="B113">
        <f>IF($L113="","",INDEX('Per Line'!$B$2:$B$401,$L113))</f>
        <v/>
      </c>
      <c r="C113">
        <f>IF($L113="","",INDEX('Per Line'!$C$2:$C$401,$L113))</f>
        <v/>
      </c>
      <c r="D113">
        <f>IF($L113="","",INDEX('Per Line'!$A$2:$A$401,$L113))</f>
        <v/>
      </c>
      <c r="E113">
        <f>IF($L113="","",INDEX('Per Line'!$D$2:$D$401,$L113))</f>
        <v/>
      </c>
      <c r="F113">
        <f>IF($L113="","",INDEX('Per Line'!$Q$2:$Q$401,$L113))</f>
        <v/>
      </c>
      <c r="G113" s="5">
        <f>IF($L113="","",SUMIFS('Per Line'!$S$2:$S$401,'Per Line'!$C$2:$C$401,$C113))</f>
        <v/>
      </c>
      <c r="H113" s="5">
        <f>IF($L113="","",SUMIFS('Per Line'!$T$2:$T$401,'Per Line'!$C$2:$C$401,$C113))</f>
        <v/>
      </c>
      <c r="I113" s="5">
        <f>IF($L113="","",SUMIFS('Per Line'!$U$2:$U$401,'Per Line'!$C$2:$C$401,$C113))</f>
        <v/>
      </c>
      <c r="J113" s="5">
        <f>IF($L113="","",G113-H113)</f>
        <v/>
      </c>
      <c r="K113" s="5">
        <f>IF($L113="","",J113-I113)</f>
        <v/>
      </c>
      <c r="L113">
        <f>IF(ROWS($L$2:$L113)&lt;=MAX('Per Line'!$AH$2:$AH$401),MATCH(ROWS($L$2:$L113),'Per Line'!$AH$2:$AH$401,0),"")</f>
        <v/>
      </c>
    </row>
    <row r="114">
      <c r="B114">
        <f>IF($L114="","",INDEX('Per Line'!$B$2:$B$401,$L114))</f>
        <v/>
      </c>
      <c r="C114">
        <f>IF($L114="","",INDEX('Per Line'!$C$2:$C$401,$L114))</f>
        <v/>
      </c>
      <c r="D114">
        <f>IF($L114="","",INDEX('Per Line'!$A$2:$A$401,$L114))</f>
        <v/>
      </c>
      <c r="E114">
        <f>IF($L114="","",INDEX('Per Line'!$D$2:$D$401,$L114))</f>
        <v/>
      </c>
      <c r="F114">
        <f>IF($L114="","",INDEX('Per Line'!$Q$2:$Q$401,$L114))</f>
        <v/>
      </c>
      <c r="G114" s="5">
        <f>IF($L114="","",SUMIFS('Per Line'!$S$2:$S$401,'Per Line'!$C$2:$C$401,$C114))</f>
        <v/>
      </c>
      <c r="H114" s="5">
        <f>IF($L114="","",SUMIFS('Per Line'!$T$2:$T$401,'Per Line'!$C$2:$C$401,$C114))</f>
        <v/>
      </c>
      <c r="I114" s="5">
        <f>IF($L114="","",SUMIFS('Per Line'!$U$2:$U$401,'Per Line'!$C$2:$C$401,$C114))</f>
        <v/>
      </c>
      <c r="J114" s="5">
        <f>IF($L114="","",G114-H114)</f>
        <v/>
      </c>
      <c r="K114" s="5">
        <f>IF($L114="","",J114-I114)</f>
        <v/>
      </c>
      <c r="L114">
        <f>IF(ROWS($L$2:$L114)&lt;=MAX('Per Line'!$AH$2:$AH$401),MATCH(ROWS($L$2:$L114),'Per Line'!$AH$2:$AH$401,0),"")</f>
        <v/>
      </c>
    </row>
    <row r="115">
      <c r="B115">
        <f>IF($L115="","",INDEX('Per Line'!$B$2:$B$401,$L115))</f>
        <v/>
      </c>
      <c r="C115">
        <f>IF($L115="","",INDEX('Per Line'!$C$2:$C$401,$L115))</f>
        <v/>
      </c>
      <c r="D115">
        <f>IF($L115="","",INDEX('Per Line'!$A$2:$A$401,$L115))</f>
        <v/>
      </c>
      <c r="E115">
        <f>IF($L115="","",INDEX('Per Line'!$D$2:$D$401,$L115))</f>
        <v/>
      </c>
      <c r="F115">
        <f>IF($L115="","",INDEX('Per Line'!$Q$2:$Q$401,$L115))</f>
        <v/>
      </c>
      <c r="G115" s="5">
        <f>IF($L115="","",SUMIFS('Per Line'!$S$2:$S$401,'Per Line'!$C$2:$C$401,$C115))</f>
        <v/>
      </c>
      <c r="H115" s="5">
        <f>IF($L115="","",SUMIFS('Per Line'!$T$2:$T$401,'Per Line'!$C$2:$C$401,$C115))</f>
        <v/>
      </c>
      <c r="I115" s="5">
        <f>IF($L115="","",SUMIFS('Per Line'!$U$2:$U$401,'Per Line'!$C$2:$C$401,$C115))</f>
        <v/>
      </c>
      <c r="J115" s="5">
        <f>IF($L115="","",G115-H115)</f>
        <v/>
      </c>
      <c r="K115" s="5">
        <f>IF($L115="","",J115-I115)</f>
        <v/>
      </c>
      <c r="L115">
        <f>IF(ROWS($L$2:$L115)&lt;=MAX('Per Line'!$AH$2:$AH$401),MATCH(ROWS($L$2:$L115),'Per Line'!$AH$2:$AH$401,0),"")</f>
        <v/>
      </c>
    </row>
    <row r="116">
      <c r="B116">
        <f>IF($L116="","",INDEX('Per Line'!$B$2:$B$401,$L116))</f>
        <v/>
      </c>
      <c r="C116">
        <f>IF($L116="","",INDEX('Per Line'!$C$2:$C$401,$L116))</f>
        <v/>
      </c>
      <c r="D116">
        <f>IF($L116="","",INDEX('Per Line'!$A$2:$A$401,$L116))</f>
        <v/>
      </c>
      <c r="E116">
        <f>IF($L116="","",INDEX('Per Line'!$D$2:$D$401,$L116))</f>
        <v/>
      </c>
      <c r="F116">
        <f>IF($L116="","",INDEX('Per Line'!$Q$2:$Q$401,$L116))</f>
        <v/>
      </c>
      <c r="G116" s="5">
        <f>IF($L116="","",SUMIFS('Per Line'!$S$2:$S$401,'Per Line'!$C$2:$C$401,$C116))</f>
        <v/>
      </c>
      <c r="H116" s="5">
        <f>IF($L116="","",SUMIFS('Per Line'!$T$2:$T$401,'Per Line'!$C$2:$C$401,$C116))</f>
        <v/>
      </c>
      <c r="I116" s="5">
        <f>IF($L116="","",SUMIFS('Per Line'!$U$2:$U$401,'Per Line'!$C$2:$C$401,$C116))</f>
        <v/>
      </c>
      <c r="J116" s="5">
        <f>IF($L116="","",G116-H116)</f>
        <v/>
      </c>
      <c r="K116" s="5">
        <f>IF($L116="","",J116-I116)</f>
        <v/>
      </c>
      <c r="L116">
        <f>IF(ROWS($L$2:$L116)&lt;=MAX('Per Line'!$AH$2:$AH$401),MATCH(ROWS($L$2:$L116),'Per Line'!$AH$2:$AH$401,0),"")</f>
        <v/>
      </c>
    </row>
    <row r="117">
      <c r="B117">
        <f>IF($L117="","",INDEX('Per Line'!$B$2:$B$401,$L117))</f>
        <v/>
      </c>
      <c r="C117">
        <f>IF($L117="","",INDEX('Per Line'!$C$2:$C$401,$L117))</f>
        <v/>
      </c>
      <c r="D117">
        <f>IF($L117="","",INDEX('Per Line'!$A$2:$A$401,$L117))</f>
        <v/>
      </c>
      <c r="E117">
        <f>IF($L117="","",INDEX('Per Line'!$D$2:$D$401,$L117))</f>
        <v/>
      </c>
      <c r="F117">
        <f>IF($L117="","",INDEX('Per Line'!$Q$2:$Q$401,$L117))</f>
        <v/>
      </c>
      <c r="G117" s="5">
        <f>IF($L117="","",SUMIFS('Per Line'!$S$2:$S$401,'Per Line'!$C$2:$C$401,$C117))</f>
        <v/>
      </c>
      <c r="H117" s="5">
        <f>IF($L117="","",SUMIFS('Per Line'!$T$2:$T$401,'Per Line'!$C$2:$C$401,$C117))</f>
        <v/>
      </c>
      <c r="I117" s="5">
        <f>IF($L117="","",SUMIFS('Per Line'!$U$2:$U$401,'Per Line'!$C$2:$C$401,$C117))</f>
        <v/>
      </c>
      <c r="J117" s="5">
        <f>IF($L117="","",G117-H117)</f>
        <v/>
      </c>
      <c r="K117" s="5">
        <f>IF($L117="","",J117-I117)</f>
        <v/>
      </c>
      <c r="L117">
        <f>IF(ROWS($L$2:$L117)&lt;=MAX('Per Line'!$AH$2:$AH$401),MATCH(ROWS($L$2:$L117),'Per Line'!$AH$2:$AH$401,0),"")</f>
        <v/>
      </c>
    </row>
    <row r="118">
      <c r="B118">
        <f>IF($L118="","",INDEX('Per Line'!$B$2:$B$401,$L118))</f>
        <v/>
      </c>
      <c r="C118">
        <f>IF($L118="","",INDEX('Per Line'!$C$2:$C$401,$L118))</f>
        <v/>
      </c>
      <c r="D118">
        <f>IF($L118="","",INDEX('Per Line'!$A$2:$A$401,$L118))</f>
        <v/>
      </c>
      <c r="E118">
        <f>IF($L118="","",INDEX('Per Line'!$D$2:$D$401,$L118))</f>
        <v/>
      </c>
      <c r="F118">
        <f>IF($L118="","",INDEX('Per Line'!$Q$2:$Q$401,$L118))</f>
        <v/>
      </c>
      <c r="G118" s="5">
        <f>IF($L118="","",SUMIFS('Per Line'!$S$2:$S$401,'Per Line'!$C$2:$C$401,$C118))</f>
        <v/>
      </c>
      <c r="H118" s="5">
        <f>IF($L118="","",SUMIFS('Per Line'!$T$2:$T$401,'Per Line'!$C$2:$C$401,$C118))</f>
        <v/>
      </c>
      <c r="I118" s="5">
        <f>IF($L118="","",SUMIFS('Per Line'!$U$2:$U$401,'Per Line'!$C$2:$C$401,$C118))</f>
        <v/>
      </c>
      <c r="J118" s="5">
        <f>IF($L118="","",G118-H118)</f>
        <v/>
      </c>
      <c r="K118" s="5">
        <f>IF($L118="","",J118-I118)</f>
        <v/>
      </c>
      <c r="L118">
        <f>IF(ROWS($L$2:$L118)&lt;=MAX('Per Line'!$AH$2:$AH$401),MATCH(ROWS($L$2:$L118),'Per Line'!$AH$2:$AH$401,0),"")</f>
        <v/>
      </c>
    </row>
    <row r="119">
      <c r="B119">
        <f>IF($L119="","",INDEX('Per Line'!$B$2:$B$401,$L119))</f>
        <v/>
      </c>
      <c r="C119">
        <f>IF($L119="","",INDEX('Per Line'!$C$2:$C$401,$L119))</f>
        <v/>
      </c>
      <c r="D119">
        <f>IF($L119="","",INDEX('Per Line'!$A$2:$A$401,$L119))</f>
        <v/>
      </c>
      <c r="E119">
        <f>IF($L119="","",INDEX('Per Line'!$D$2:$D$401,$L119))</f>
        <v/>
      </c>
      <c r="F119">
        <f>IF($L119="","",INDEX('Per Line'!$Q$2:$Q$401,$L119))</f>
        <v/>
      </c>
      <c r="G119" s="5">
        <f>IF($L119="","",SUMIFS('Per Line'!$S$2:$S$401,'Per Line'!$C$2:$C$401,$C119))</f>
        <v/>
      </c>
      <c r="H119" s="5">
        <f>IF($L119="","",SUMIFS('Per Line'!$T$2:$T$401,'Per Line'!$C$2:$C$401,$C119))</f>
        <v/>
      </c>
      <c r="I119" s="5">
        <f>IF($L119="","",SUMIFS('Per Line'!$U$2:$U$401,'Per Line'!$C$2:$C$401,$C119))</f>
        <v/>
      </c>
      <c r="J119" s="5">
        <f>IF($L119="","",G119-H119)</f>
        <v/>
      </c>
      <c r="K119" s="5">
        <f>IF($L119="","",J119-I119)</f>
        <v/>
      </c>
      <c r="L119">
        <f>IF(ROWS($L$2:$L119)&lt;=MAX('Per Line'!$AH$2:$AH$401),MATCH(ROWS($L$2:$L119),'Per Line'!$AH$2:$AH$401,0),"")</f>
        <v/>
      </c>
    </row>
    <row r="120">
      <c r="B120">
        <f>IF($L120="","",INDEX('Per Line'!$B$2:$B$401,$L120))</f>
        <v/>
      </c>
      <c r="C120">
        <f>IF($L120="","",INDEX('Per Line'!$C$2:$C$401,$L120))</f>
        <v/>
      </c>
      <c r="D120">
        <f>IF($L120="","",INDEX('Per Line'!$A$2:$A$401,$L120))</f>
        <v/>
      </c>
      <c r="E120">
        <f>IF($L120="","",INDEX('Per Line'!$D$2:$D$401,$L120))</f>
        <v/>
      </c>
      <c r="F120">
        <f>IF($L120="","",INDEX('Per Line'!$Q$2:$Q$401,$L120))</f>
        <v/>
      </c>
      <c r="G120" s="5">
        <f>IF($L120="","",SUMIFS('Per Line'!$S$2:$S$401,'Per Line'!$C$2:$C$401,$C120))</f>
        <v/>
      </c>
      <c r="H120" s="5">
        <f>IF($L120="","",SUMIFS('Per Line'!$T$2:$T$401,'Per Line'!$C$2:$C$401,$C120))</f>
        <v/>
      </c>
      <c r="I120" s="5">
        <f>IF($L120="","",SUMIFS('Per Line'!$U$2:$U$401,'Per Line'!$C$2:$C$401,$C120))</f>
        <v/>
      </c>
      <c r="J120" s="5">
        <f>IF($L120="","",G120-H120)</f>
        <v/>
      </c>
      <c r="K120" s="5">
        <f>IF($L120="","",J120-I120)</f>
        <v/>
      </c>
      <c r="L120">
        <f>IF(ROWS($L$2:$L120)&lt;=MAX('Per Line'!$AH$2:$AH$401),MATCH(ROWS($L$2:$L120),'Per Line'!$AH$2:$AH$401,0),"")</f>
        <v/>
      </c>
    </row>
    <row r="121">
      <c r="B121">
        <f>IF($L121="","",INDEX('Per Line'!$B$2:$B$401,$L121))</f>
        <v/>
      </c>
      <c r="C121">
        <f>IF($L121="","",INDEX('Per Line'!$C$2:$C$401,$L121))</f>
        <v/>
      </c>
      <c r="D121">
        <f>IF($L121="","",INDEX('Per Line'!$A$2:$A$401,$L121))</f>
        <v/>
      </c>
      <c r="E121">
        <f>IF($L121="","",INDEX('Per Line'!$D$2:$D$401,$L121))</f>
        <v/>
      </c>
      <c r="F121">
        <f>IF($L121="","",INDEX('Per Line'!$Q$2:$Q$401,$L121))</f>
        <v/>
      </c>
      <c r="G121" s="5">
        <f>IF($L121="","",SUMIFS('Per Line'!$S$2:$S$401,'Per Line'!$C$2:$C$401,$C121))</f>
        <v/>
      </c>
      <c r="H121" s="5">
        <f>IF($L121="","",SUMIFS('Per Line'!$T$2:$T$401,'Per Line'!$C$2:$C$401,$C121))</f>
        <v/>
      </c>
      <c r="I121" s="5">
        <f>IF($L121="","",SUMIFS('Per Line'!$U$2:$U$401,'Per Line'!$C$2:$C$401,$C121))</f>
        <v/>
      </c>
      <c r="J121" s="5">
        <f>IF($L121="","",G121-H121)</f>
        <v/>
      </c>
      <c r="K121" s="5">
        <f>IF($L121="","",J121-I121)</f>
        <v/>
      </c>
      <c r="L121">
        <f>IF(ROWS($L$2:$L121)&lt;=MAX('Per Line'!$AH$2:$AH$401),MATCH(ROWS($L$2:$L121),'Per Line'!$AH$2:$AH$401,0),"")</f>
        <v/>
      </c>
    </row>
    <row r="122">
      <c r="B122">
        <f>IF($L122="","",INDEX('Per Line'!$B$2:$B$401,$L122))</f>
        <v/>
      </c>
      <c r="C122">
        <f>IF($L122="","",INDEX('Per Line'!$C$2:$C$401,$L122))</f>
        <v/>
      </c>
      <c r="D122">
        <f>IF($L122="","",INDEX('Per Line'!$A$2:$A$401,$L122))</f>
        <v/>
      </c>
      <c r="E122">
        <f>IF($L122="","",INDEX('Per Line'!$D$2:$D$401,$L122))</f>
        <v/>
      </c>
      <c r="F122">
        <f>IF($L122="","",INDEX('Per Line'!$Q$2:$Q$401,$L122))</f>
        <v/>
      </c>
      <c r="G122" s="5">
        <f>IF($L122="","",SUMIFS('Per Line'!$S$2:$S$401,'Per Line'!$C$2:$C$401,$C122))</f>
        <v/>
      </c>
      <c r="H122" s="5">
        <f>IF($L122="","",SUMIFS('Per Line'!$T$2:$T$401,'Per Line'!$C$2:$C$401,$C122))</f>
        <v/>
      </c>
      <c r="I122" s="5">
        <f>IF($L122="","",SUMIFS('Per Line'!$U$2:$U$401,'Per Line'!$C$2:$C$401,$C122))</f>
        <v/>
      </c>
      <c r="J122" s="5">
        <f>IF($L122="","",G122-H122)</f>
        <v/>
      </c>
      <c r="K122" s="5">
        <f>IF($L122="","",J122-I122)</f>
        <v/>
      </c>
      <c r="L122">
        <f>IF(ROWS($L$2:$L122)&lt;=MAX('Per Line'!$AH$2:$AH$401),MATCH(ROWS($L$2:$L122),'Per Line'!$AH$2:$AH$401,0),"")</f>
        <v/>
      </c>
    </row>
    <row r="123">
      <c r="B123">
        <f>IF($L123="","",INDEX('Per Line'!$B$2:$B$401,$L123))</f>
        <v/>
      </c>
      <c r="C123">
        <f>IF($L123="","",INDEX('Per Line'!$C$2:$C$401,$L123))</f>
        <v/>
      </c>
      <c r="D123">
        <f>IF($L123="","",INDEX('Per Line'!$A$2:$A$401,$L123))</f>
        <v/>
      </c>
      <c r="E123">
        <f>IF($L123="","",INDEX('Per Line'!$D$2:$D$401,$L123))</f>
        <v/>
      </c>
      <c r="F123">
        <f>IF($L123="","",INDEX('Per Line'!$Q$2:$Q$401,$L123))</f>
        <v/>
      </c>
      <c r="G123" s="5">
        <f>IF($L123="","",SUMIFS('Per Line'!$S$2:$S$401,'Per Line'!$C$2:$C$401,$C123))</f>
        <v/>
      </c>
      <c r="H123" s="5">
        <f>IF($L123="","",SUMIFS('Per Line'!$T$2:$T$401,'Per Line'!$C$2:$C$401,$C123))</f>
        <v/>
      </c>
      <c r="I123" s="5">
        <f>IF($L123="","",SUMIFS('Per Line'!$U$2:$U$401,'Per Line'!$C$2:$C$401,$C123))</f>
        <v/>
      </c>
      <c r="J123" s="5">
        <f>IF($L123="","",G123-H123)</f>
        <v/>
      </c>
      <c r="K123" s="5">
        <f>IF($L123="","",J123-I123)</f>
        <v/>
      </c>
      <c r="L123">
        <f>IF(ROWS($L$2:$L123)&lt;=MAX('Per Line'!$AH$2:$AH$401),MATCH(ROWS($L$2:$L123),'Per Line'!$AH$2:$AH$401,0),"")</f>
        <v/>
      </c>
    </row>
    <row r="124">
      <c r="B124">
        <f>IF($L124="","",INDEX('Per Line'!$B$2:$B$401,$L124))</f>
        <v/>
      </c>
      <c r="C124">
        <f>IF($L124="","",INDEX('Per Line'!$C$2:$C$401,$L124))</f>
        <v/>
      </c>
      <c r="D124">
        <f>IF($L124="","",INDEX('Per Line'!$A$2:$A$401,$L124))</f>
        <v/>
      </c>
      <c r="E124">
        <f>IF($L124="","",INDEX('Per Line'!$D$2:$D$401,$L124))</f>
        <v/>
      </c>
      <c r="F124">
        <f>IF($L124="","",INDEX('Per Line'!$Q$2:$Q$401,$L124))</f>
        <v/>
      </c>
      <c r="G124" s="5">
        <f>IF($L124="","",SUMIFS('Per Line'!$S$2:$S$401,'Per Line'!$C$2:$C$401,$C124))</f>
        <v/>
      </c>
      <c r="H124" s="5">
        <f>IF($L124="","",SUMIFS('Per Line'!$T$2:$T$401,'Per Line'!$C$2:$C$401,$C124))</f>
        <v/>
      </c>
      <c r="I124" s="5">
        <f>IF($L124="","",SUMIFS('Per Line'!$U$2:$U$401,'Per Line'!$C$2:$C$401,$C124))</f>
        <v/>
      </c>
      <c r="J124" s="5">
        <f>IF($L124="","",G124-H124)</f>
        <v/>
      </c>
      <c r="K124" s="5">
        <f>IF($L124="","",J124-I124)</f>
        <v/>
      </c>
      <c r="L124">
        <f>IF(ROWS($L$2:$L124)&lt;=MAX('Per Line'!$AH$2:$AH$401),MATCH(ROWS($L$2:$L124),'Per Line'!$AH$2:$AH$401,0),"")</f>
        <v/>
      </c>
    </row>
    <row r="125">
      <c r="B125">
        <f>IF($L125="","",INDEX('Per Line'!$B$2:$B$401,$L125))</f>
        <v/>
      </c>
      <c r="C125">
        <f>IF($L125="","",INDEX('Per Line'!$C$2:$C$401,$L125))</f>
        <v/>
      </c>
      <c r="D125">
        <f>IF($L125="","",INDEX('Per Line'!$A$2:$A$401,$L125))</f>
        <v/>
      </c>
      <c r="E125">
        <f>IF($L125="","",INDEX('Per Line'!$D$2:$D$401,$L125))</f>
        <v/>
      </c>
      <c r="F125">
        <f>IF($L125="","",INDEX('Per Line'!$Q$2:$Q$401,$L125))</f>
        <v/>
      </c>
      <c r="G125" s="5">
        <f>IF($L125="","",SUMIFS('Per Line'!$S$2:$S$401,'Per Line'!$C$2:$C$401,$C125))</f>
        <v/>
      </c>
      <c r="H125" s="5">
        <f>IF($L125="","",SUMIFS('Per Line'!$T$2:$T$401,'Per Line'!$C$2:$C$401,$C125))</f>
        <v/>
      </c>
      <c r="I125" s="5">
        <f>IF($L125="","",SUMIFS('Per Line'!$U$2:$U$401,'Per Line'!$C$2:$C$401,$C125))</f>
        <v/>
      </c>
      <c r="J125" s="5">
        <f>IF($L125="","",G125-H125)</f>
        <v/>
      </c>
      <c r="K125" s="5">
        <f>IF($L125="","",J125-I125)</f>
        <v/>
      </c>
      <c r="L125">
        <f>IF(ROWS($L$2:$L125)&lt;=MAX('Per Line'!$AH$2:$AH$401),MATCH(ROWS($L$2:$L125),'Per Line'!$AH$2:$AH$401,0),"")</f>
        <v/>
      </c>
    </row>
    <row r="126">
      <c r="B126">
        <f>IF($L126="","",INDEX('Per Line'!$B$2:$B$401,$L126))</f>
        <v/>
      </c>
      <c r="C126">
        <f>IF($L126="","",INDEX('Per Line'!$C$2:$C$401,$L126))</f>
        <v/>
      </c>
      <c r="D126">
        <f>IF($L126="","",INDEX('Per Line'!$A$2:$A$401,$L126))</f>
        <v/>
      </c>
      <c r="E126">
        <f>IF($L126="","",INDEX('Per Line'!$D$2:$D$401,$L126))</f>
        <v/>
      </c>
      <c r="F126">
        <f>IF($L126="","",INDEX('Per Line'!$Q$2:$Q$401,$L126))</f>
        <v/>
      </c>
      <c r="G126" s="5">
        <f>IF($L126="","",SUMIFS('Per Line'!$S$2:$S$401,'Per Line'!$C$2:$C$401,$C126))</f>
        <v/>
      </c>
      <c r="H126" s="5">
        <f>IF($L126="","",SUMIFS('Per Line'!$T$2:$T$401,'Per Line'!$C$2:$C$401,$C126))</f>
        <v/>
      </c>
      <c r="I126" s="5">
        <f>IF($L126="","",SUMIFS('Per Line'!$U$2:$U$401,'Per Line'!$C$2:$C$401,$C126))</f>
        <v/>
      </c>
      <c r="J126" s="5">
        <f>IF($L126="","",G126-H126)</f>
        <v/>
      </c>
      <c r="K126" s="5">
        <f>IF($L126="","",J126-I126)</f>
        <v/>
      </c>
      <c r="L126">
        <f>IF(ROWS($L$2:$L126)&lt;=MAX('Per Line'!$AH$2:$AH$401),MATCH(ROWS($L$2:$L126),'Per Line'!$AH$2:$AH$401,0),"")</f>
        <v/>
      </c>
    </row>
    <row r="127">
      <c r="B127">
        <f>IF($L127="","",INDEX('Per Line'!$B$2:$B$401,$L127))</f>
        <v/>
      </c>
      <c r="C127">
        <f>IF($L127="","",INDEX('Per Line'!$C$2:$C$401,$L127))</f>
        <v/>
      </c>
      <c r="D127">
        <f>IF($L127="","",INDEX('Per Line'!$A$2:$A$401,$L127))</f>
        <v/>
      </c>
      <c r="E127">
        <f>IF($L127="","",INDEX('Per Line'!$D$2:$D$401,$L127))</f>
        <v/>
      </c>
      <c r="F127">
        <f>IF($L127="","",INDEX('Per Line'!$Q$2:$Q$401,$L127))</f>
        <v/>
      </c>
      <c r="G127" s="5">
        <f>IF($L127="","",SUMIFS('Per Line'!$S$2:$S$401,'Per Line'!$C$2:$C$401,$C127))</f>
        <v/>
      </c>
      <c r="H127" s="5">
        <f>IF($L127="","",SUMIFS('Per Line'!$T$2:$T$401,'Per Line'!$C$2:$C$401,$C127))</f>
        <v/>
      </c>
      <c r="I127" s="5">
        <f>IF($L127="","",SUMIFS('Per Line'!$U$2:$U$401,'Per Line'!$C$2:$C$401,$C127))</f>
        <v/>
      </c>
      <c r="J127" s="5">
        <f>IF($L127="","",G127-H127)</f>
        <v/>
      </c>
      <c r="K127" s="5">
        <f>IF($L127="","",J127-I127)</f>
        <v/>
      </c>
      <c r="L127">
        <f>IF(ROWS($L$2:$L127)&lt;=MAX('Per Line'!$AH$2:$AH$401),MATCH(ROWS($L$2:$L127),'Per Line'!$AH$2:$AH$401,0),"")</f>
        <v/>
      </c>
    </row>
    <row r="128">
      <c r="B128">
        <f>IF($L128="","",INDEX('Per Line'!$B$2:$B$401,$L128))</f>
        <v/>
      </c>
      <c r="C128">
        <f>IF($L128="","",INDEX('Per Line'!$C$2:$C$401,$L128))</f>
        <v/>
      </c>
      <c r="D128">
        <f>IF($L128="","",INDEX('Per Line'!$A$2:$A$401,$L128))</f>
        <v/>
      </c>
      <c r="E128">
        <f>IF($L128="","",INDEX('Per Line'!$D$2:$D$401,$L128))</f>
        <v/>
      </c>
      <c r="F128">
        <f>IF($L128="","",INDEX('Per Line'!$Q$2:$Q$401,$L128))</f>
        <v/>
      </c>
      <c r="G128" s="5">
        <f>IF($L128="","",SUMIFS('Per Line'!$S$2:$S$401,'Per Line'!$C$2:$C$401,$C128))</f>
        <v/>
      </c>
      <c r="H128" s="5">
        <f>IF($L128="","",SUMIFS('Per Line'!$T$2:$T$401,'Per Line'!$C$2:$C$401,$C128))</f>
        <v/>
      </c>
      <c r="I128" s="5">
        <f>IF($L128="","",SUMIFS('Per Line'!$U$2:$U$401,'Per Line'!$C$2:$C$401,$C128))</f>
        <v/>
      </c>
      <c r="J128" s="5">
        <f>IF($L128="","",G128-H128)</f>
        <v/>
      </c>
      <c r="K128" s="5">
        <f>IF($L128="","",J128-I128)</f>
        <v/>
      </c>
      <c r="L128">
        <f>IF(ROWS($L$2:$L128)&lt;=MAX('Per Line'!$AH$2:$AH$401),MATCH(ROWS($L$2:$L128),'Per Line'!$AH$2:$AH$401,0),"")</f>
        <v/>
      </c>
    </row>
    <row r="129">
      <c r="B129">
        <f>IF($L129="","",INDEX('Per Line'!$B$2:$B$401,$L129))</f>
        <v/>
      </c>
      <c r="C129">
        <f>IF($L129="","",INDEX('Per Line'!$C$2:$C$401,$L129))</f>
        <v/>
      </c>
      <c r="D129">
        <f>IF($L129="","",INDEX('Per Line'!$A$2:$A$401,$L129))</f>
        <v/>
      </c>
      <c r="E129">
        <f>IF($L129="","",INDEX('Per Line'!$D$2:$D$401,$L129))</f>
        <v/>
      </c>
      <c r="F129">
        <f>IF($L129="","",INDEX('Per Line'!$Q$2:$Q$401,$L129))</f>
        <v/>
      </c>
      <c r="G129" s="5">
        <f>IF($L129="","",SUMIFS('Per Line'!$S$2:$S$401,'Per Line'!$C$2:$C$401,$C129))</f>
        <v/>
      </c>
      <c r="H129" s="5">
        <f>IF($L129="","",SUMIFS('Per Line'!$T$2:$T$401,'Per Line'!$C$2:$C$401,$C129))</f>
        <v/>
      </c>
      <c r="I129" s="5">
        <f>IF($L129="","",SUMIFS('Per Line'!$U$2:$U$401,'Per Line'!$C$2:$C$401,$C129))</f>
        <v/>
      </c>
      <c r="J129" s="5">
        <f>IF($L129="","",G129-H129)</f>
        <v/>
      </c>
      <c r="K129" s="5">
        <f>IF($L129="","",J129-I129)</f>
        <v/>
      </c>
      <c r="L129">
        <f>IF(ROWS($L$2:$L129)&lt;=MAX('Per Line'!$AH$2:$AH$401),MATCH(ROWS($L$2:$L129),'Per Line'!$AH$2:$AH$401,0),"")</f>
        <v/>
      </c>
    </row>
    <row r="130">
      <c r="B130">
        <f>IF($L130="","",INDEX('Per Line'!$B$2:$B$401,$L130))</f>
        <v/>
      </c>
      <c r="C130">
        <f>IF($L130="","",INDEX('Per Line'!$C$2:$C$401,$L130))</f>
        <v/>
      </c>
      <c r="D130">
        <f>IF($L130="","",INDEX('Per Line'!$A$2:$A$401,$L130))</f>
        <v/>
      </c>
      <c r="E130">
        <f>IF($L130="","",INDEX('Per Line'!$D$2:$D$401,$L130))</f>
        <v/>
      </c>
      <c r="F130">
        <f>IF($L130="","",INDEX('Per Line'!$Q$2:$Q$401,$L130))</f>
        <v/>
      </c>
      <c r="G130" s="5">
        <f>IF($L130="","",SUMIFS('Per Line'!$S$2:$S$401,'Per Line'!$C$2:$C$401,$C130))</f>
        <v/>
      </c>
      <c r="H130" s="5">
        <f>IF($L130="","",SUMIFS('Per Line'!$T$2:$T$401,'Per Line'!$C$2:$C$401,$C130))</f>
        <v/>
      </c>
      <c r="I130" s="5">
        <f>IF($L130="","",SUMIFS('Per Line'!$U$2:$U$401,'Per Line'!$C$2:$C$401,$C130))</f>
        <v/>
      </c>
      <c r="J130" s="5">
        <f>IF($L130="","",G130-H130)</f>
        <v/>
      </c>
      <c r="K130" s="5">
        <f>IF($L130="","",J130-I130)</f>
        <v/>
      </c>
      <c r="L130">
        <f>IF(ROWS($L$2:$L130)&lt;=MAX('Per Line'!$AH$2:$AH$401),MATCH(ROWS($L$2:$L130),'Per Line'!$AH$2:$AH$401,0),"")</f>
        <v/>
      </c>
    </row>
    <row r="131">
      <c r="B131">
        <f>IF($L131="","",INDEX('Per Line'!$B$2:$B$401,$L131))</f>
        <v/>
      </c>
      <c r="C131">
        <f>IF($L131="","",INDEX('Per Line'!$C$2:$C$401,$L131))</f>
        <v/>
      </c>
      <c r="D131">
        <f>IF($L131="","",INDEX('Per Line'!$A$2:$A$401,$L131))</f>
        <v/>
      </c>
      <c r="E131">
        <f>IF($L131="","",INDEX('Per Line'!$D$2:$D$401,$L131))</f>
        <v/>
      </c>
      <c r="F131">
        <f>IF($L131="","",INDEX('Per Line'!$Q$2:$Q$401,$L131))</f>
        <v/>
      </c>
      <c r="G131" s="5">
        <f>IF($L131="","",SUMIFS('Per Line'!$S$2:$S$401,'Per Line'!$C$2:$C$401,$C131))</f>
        <v/>
      </c>
      <c r="H131" s="5">
        <f>IF($L131="","",SUMIFS('Per Line'!$T$2:$T$401,'Per Line'!$C$2:$C$401,$C131))</f>
        <v/>
      </c>
      <c r="I131" s="5">
        <f>IF($L131="","",SUMIFS('Per Line'!$U$2:$U$401,'Per Line'!$C$2:$C$401,$C131))</f>
        <v/>
      </c>
      <c r="J131" s="5">
        <f>IF($L131="","",G131-H131)</f>
        <v/>
      </c>
      <c r="K131" s="5">
        <f>IF($L131="","",J131-I131)</f>
        <v/>
      </c>
      <c r="L131">
        <f>IF(ROWS($L$2:$L131)&lt;=MAX('Per Line'!$AH$2:$AH$401),MATCH(ROWS($L$2:$L131),'Per Line'!$AH$2:$AH$401,0),"")</f>
        <v/>
      </c>
    </row>
    <row r="132">
      <c r="B132">
        <f>IF($L132="","",INDEX('Per Line'!$B$2:$B$401,$L132))</f>
        <v/>
      </c>
      <c r="C132">
        <f>IF($L132="","",INDEX('Per Line'!$C$2:$C$401,$L132))</f>
        <v/>
      </c>
      <c r="D132">
        <f>IF($L132="","",INDEX('Per Line'!$A$2:$A$401,$L132))</f>
        <v/>
      </c>
      <c r="E132">
        <f>IF($L132="","",INDEX('Per Line'!$D$2:$D$401,$L132))</f>
        <v/>
      </c>
      <c r="F132">
        <f>IF($L132="","",INDEX('Per Line'!$Q$2:$Q$401,$L132))</f>
        <v/>
      </c>
      <c r="G132" s="5">
        <f>IF($L132="","",SUMIFS('Per Line'!$S$2:$S$401,'Per Line'!$C$2:$C$401,$C132))</f>
        <v/>
      </c>
      <c r="H132" s="5">
        <f>IF($L132="","",SUMIFS('Per Line'!$T$2:$T$401,'Per Line'!$C$2:$C$401,$C132))</f>
        <v/>
      </c>
      <c r="I132" s="5">
        <f>IF($L132="","",SUMIFS('Per Line'!$U$2:$U$401,'Per Line'!$C$2:$C$401,$C132))</f>
        <v/>
      </c>
      <c r="J132" s="5">
        <f>IF($L132="","",G132-H132)</f>
        <v/>
      </c>
      <c r="K132" s="5">
        <f>IF($L132="","",J132-I132)</f>
        <v/>
      </c>
      <c r="L132">
        <f>IF(ROWS($L$2:$L132)&lt;=MAX('Per Line'!$AH$2:$AH$401),MATCH(ROWS($L$2:$L132),'Per Line'!$AH$2:$AH$401,0),"")</f>
        <v/>
      </c>
    </row>
    <row r="133">
      <c r="B133">
        <f>IF($L133="","",INDEX('Per Line'!$B$2:$B$401,$L133))</f>
        <v/>
      </c>
      <c r="C133">
        <f>IF($L133="","",INDEX('Per Line'!$C$2:$C$401,$L133))</f>
        <v/>
      </c>
      <c r="D133">
        <f>IF($L133="","",INDEX('Per Line'!$A$2:$A$401,$L133))</f>
        <v/>
      </c>
      <c r="E133">
        <f>IF($L133="","",INDEX('Per Line'!$D$2:$D$401,$L133))</f>
        <v/>
      </c>
      <c r="F133">
        <f>IF($L133="","",INDEX('Per Line'!$Q$2:$Q$401,$L133))</f>
        <v/>
      </c>
      <c r="G133" s="5">
        <f>IF($L133="","",SUMIFS('Per Line'!$S$2:$S$401,'Per Line'!$C$2:$C$401,$C133))</f>
        <v/>
      </c>
      <c r="H133" s="5">
        <f>IF($L133="","",SUMIFS('Per Line'!$T$2:$T$401,'Per Line'!$C$2:$C$401,$C133))</f>
        <v/>
      </c>
      <c r="I133" s="5">
        <f>IF($L133="","",SUMIFS('Per Line'!$U$2:$U$401,'Per Line'!$C$2:$C$401,$C133))</f>
        <v/>
      </c>
      <c r="J133" s="5">
        <f>IF($L133="","",G133-H133)</f>
        <v/>
      </c>
      <c r="K133" s="5">
        <f>IF($L133="","",J133-I133)</f>
        <v/>
      </c>
      <c r="L133">
        <f>IF(ROWS($L$2:$L133)&lt;=MAX('Per Line'!$AH$2:$AH$401),MATCH(ROWS($L$2:$L133),'Per Line'!$AH$2:$AH$401,0),"")</f>
        <v/>
      </c>
    </row>
    <row r="134">
      <c r="B134">
        <f>IF($L134="","",INDEX('Per Line'!$B$2:$B$401,$L134))</f>
        <v/>
      </c>
      <c r="C134">
        <f>IF($L134="","",INDEX('Per Line'!$C$2:$C$401,$L134))</f>
        <v/>
      </c>
      <c r="D134">
        <f>IF($L134="","",INDEX('Per Line'!$A$2:$A$401,$L134))</f>
        <v/>
      </c>
      <c r="E134">
        <f>IF($L134="","",INDEX('Per Line'!$D$2:$D$401,$L134))</f>
        <v/>
      </c>
      <c r="F134">
        <f>IF($L134="","",INDEX('Per Line'!$Q$2:$Q$401,$L134))</f>
        <v/>
      </c>
      <c r="G134" s="5">
        <f>IF($L134="","",SUMIFS('Per Line'!$S$2:$S$401,'Per Line'!$C$2:$C$401,$C134))</f>
        <v/>
      </c>
      <c r="H134" s="5">
        <f>IF($L134="","",SUMIFS('Per Line'!$T$2:$T$401,'Per Line'!$C$2:$C$401,$C134))</f>
        <v/>
      </c>
      <c r="I134" s="5">
        <f>IF($L134="","",SUMIFS('Per Line'!$U$2:$U$401,'Per Line'!$C$2:$C$401,$C134))</f>
        <v/>
      </c>
      <c r="J134" s="5">
        <f>IF($L134="","",G134-H134)</f>
        <v/>
      </c>
      <c r="K134" s="5">
        <f>IF($L134="","",J134-I134)</f>
        <v/>
      </c>
      <c r="L134">
        <f>IF(ROWS($L$2:$L134)&lt;=MAX('Per Line'!$AH$2:$AH$401),MATCH(ROWS($L$2:$L134),'Per Line'!$AH$2:$AH$401,0),"")</f>
        <v/>
      </c>
    </row>
    <row r="135">
      <c r="B135">
        <f>IF($L135="","",INDEX('Per Line'!$B$2:$B$401,$L135))</f>
        <v/>
      </c>
      <c r="C135">
        <f>IF($L135="","",INDEX('Per Line'!$C$2:$C$401,$L135))</f>
        <v/>
      </c>
      <c r="D135">
        <f>IF($L135="","",INDEX('Per Line'!$A$2:$A$401,$L135))</f>
        <v/>
      </c>
      <c r="E135">
        <f>IF($L135="","",INDEX('Per Line'!$D$2:$D$401,$L135))</f>
        <v/>
      </c>
      <c r="F135">
        <f>IF($L135="","",INDEX('Per Line'!$Q$2:$Q$401,$L135))</f>
        <v/>
      </c>
      <c r="G135" s="5">
        <f>IF($L135="","",SUMIFS('Per Line'!$S$2:$S$401,'Per Line'!$C$2:$C$401,$C135))</f>
        <v/>
      </c>
      <c r="H135" s="5">
        <f>IF($L135="","",SUMIFS('Per Line'!$T$2:$T$401,'Per Line'!$C$2:$C$401,$C135))</f>
        <v/>
      </c>
      <c r="I135" s="5">
        <f>IF($L135="","",SUMIFS('Per Line'!$U$2:$U$401,'Per Line'!$C$2:$C$401,$C135))</f>
        <v/>
      </c>
      <c r="J135" s="5">
        <f>IF($L135="","",G135-H135)</f>
        <v/>
      </c>
      <c r="K135" s="5">
        <f>IF($L135="","",J135-I135)</f>
        <v/>
      </c>
      <c r="L135">
        <f>IF(ROWS($L$2:$L135)&lt;=MAX('Per Line'!$AH$2:$AH$401),MATCH(ROWS($L$2:$L135),'Per Line'!$AH$2:$AH$401,0),"")</f>
        <v/>
      </c>
    </row>
    <row r="136">
      <c r="B136">
        <f>IF($L136="","",INDEX('Per Line'!$B$2:$B$401,$L136))</f>
        <v/>
      </c>
      <c r="C136">
        <f>IF($L136="","",INDEX('Per Line'!$C$2:$C$401,$L136))</f>
        <v/>
      </c>
      <c r="D136">
        <f>IF($L136="","",INDEX('Per Line'!$A$2:$A$401,$L136))</f>
        <v/>
      </c>
      <c r="E136">
        <f>IF($L136="","",INDEX('Per Line'!$D$2:$D$401,$L136))</f>
        <v/>
      </c>
      <c r="F136">
        <f>IF($L136="","",INDEX('Per Line'!$Q$2:$Q$401,$L136))</f>
        <v/>
      </c>
      <c r="G136" s="5">
        <f>IF($L136="","",SUMIFS('Per Line'!$S$2:$S$401,'Per Line'!$C$2:$C$401,$C136))</f>
        <v/>
      </c>
      <c r="H136" s="5">
        <f>IF($L136="","",SUMIFS('Per Line'!$T$2:$T$401,'Per Line'!$C$2:$C$401,$C136))</f>
        <v/>
      </c>
      <c r="I136" s="5">
        <f>IF($L136="","",SUMIFS('Per Line'!$U$2:$U$401,'Per Line'!$C$2:$C$401,$C136))</f>
        <v/>
      </c>
      <c r="J136" s="5">
        <f>IF($L136="","",G136-H136)</f>
        <v/>
      </c>
      <c r="K136" s="5">
        <f>IF($L136="","",J136-I136)</f>
        <v/>
      </c>
      <c r="L136">
        <f>IF(ROWS($L$2:$L136)&lt;=MAX('Per Line'!$AH$2:$AH$401),MATCH(ROWS($L$2:$L136),'Per Line'!$AH$2:$AH$401,0),"")</f>
        <v/>
      </c>
    </row>
    <row r="137">
      <c r="B137">
        <f>IF($L137="","",INDEX('Per Line'!$B$2:$B$401,$L137))</f>
        <v/>
      </c>
      <c r="C137">
        <f>IF($L137="","",INDEX('Per Line'!$C$2:$C$401,$L137))</f>
        <v/>
      </c>
      <c r="D137">
        <f>IF($L137="","",INDEX('Per Line'!$A$2:$A$401,$L137))</f>
        <v/>
      </c>
      <c r="E137">
        <f>IF($L137="","",INDEX('Per Line'!$D$2:$D$401,$L137))</f>
        <v/>
      </c>
      <c r="F137">
        <f>IF($L137="","",INDEX('Per Line'!$Q$2:$Q$401,$L137))</f>
        <v/>
      </c>
      <c r="G137" s="5">
        <f>IF($L137="","",SUMIFS('Per Line'!$S$2:$S$401,'Per Line'!$C$2:$C$401,$C137))</f>
        <v/>
      </c>
      <c r="H137" s="5">
        <f>IF($L137="","",SUMIFS('Per Line'!$T$2:$T$401,'Per Line'!$C$2:$C$401,$C137))</f>
        <v/>
      </c>
      <c r="I137" s="5">
        <f>IF($L137="","",SUMIFS('Per Line'!$U$2:$U$401,'Per Line'!$C$2:$C$401,$C137))</f>
        <v/>
      </c>
      <c r="J137" s="5">
        <f>IF($L137="","",G137-H137)</f>
        <v/>
      </c>
      <c r="K137" s="5">
        <f>IF($L137="","",J137-I137)</f>
        <v/>
      </c>
      <c r="L137">
        <f>IF(ROWS($L$2:$L137)&lt;=MAX('Per Line'!$AH$2:$AH$401),MATCH(ROWS($L$2:$L137),'Per Line'!$AH$2:$AH$401,0),"")</f>
        <v/>
      </c>
    </row>
    <row r="138">
      <c r="B138">
        <f>IF($L138="","",INDEX('Per Line'!$B$2:$B$401,$L138))</f>
        <v/>
      </c>
      <c r="C138">
        <f>IF($L138="","",INDEX('Per Line'!$C$2:$C$401,$L138))</f>
        <v/>
      </c>
      <c r="D138">
        <f>IF($L138="","",INDEX('Per Line'!$A$2:$A$401,$L138))</f>
        <v/>
      </c>
      <c r="E138">
        <f>IF($L138="","",INDEX('Per Line'!$D$2:$D$401,$L138))</f>
        <v/>
      </c>
      <c r="F138">
        <f>IF($L138="","",INDEX('Per Line'!$Q$2:$Q$401,$L138))</f>
        <v/>
      </c>
      <c r="G138" s="5">
        <f>IF($L138="","",SUMIFS('Per Line'!$S$2:$S$401,'Per Line'!$C$2:$C$401,$C138))</f>
        <v/>
      </c>
      <c r="H138" s="5">
        <f>IF($L138="","",SUMIFS('Per Line'!$T$2:$T$401,'Per Line'!$C$2:$C$401,$C138))</f>
        <v/>
      </c>
      <c r="I138" s="5">
        <f>IF($L138="","",SUMIFS('Per Line'!$U$2:$U$401,'Per Line'!$C$2:$C$401,$C138))</f>
        <v/>
      </c>
      <c r="J138" s="5">
        <f>IF($L138="","",G138-H138)</f>
        <v/>
      </c>
      <c r="K138" s="5">
        <f>IF($L138="","",J138-I138)</f>
        <v/>
      </c>
      <c r="L138">
        <f>IF(ROWS($L$2:$L138)&lt;=MAX('Per Line'!$AH$2:$AH$401),MATCH(ROWS($L$2:$L138),'Per Line'!$AH$2:$AH$401,0),"")</f>
        <v/>
      </c>
    </row>
    <row r="139">
      <c r="B139">
        <f>IF($L139="","",INDEX('Per Line'!$B$2:$B$401,$L139))</f>
        <v/>
      </c>
      <c r="C139">
        <f>IF($L139="","",INDEX('Per Line'!$C$2:$C$401,$L139))</f>
        <v/>
      </c>
      <c r="D139">
        <f>IF($L139="","",INDEX('Per Line'!$A$2:$A$401,$L139))</f>
        <v/>
      </c>
      <c r="E139">
        <f>IF($L139="","",INDEX('Per Line'!$D$2:$D$401,$L139))</f>
        <v/>
      </c>
      <c r="F139">
        <f>IF($L139="","",INDEX('Per Line'!$Q$2:$Q$401,$L139))</f>
        <v/>
      </c>
      <c r="G139" s="5">
        <f>IF($L139="","",SUMIFS('Per Line'!$S$2:$S$401,'Per Line'!$C$2:$C$401,$C139))</f>
        <v/>
      </c>
      <c r="H139" s="5">
        <f>IF($L139="","",SUMIFS('Per Line'!$T$2:$T$401,'Per Line'!$C$2:$C$401,$C139))</f>
        <v/>
      </c>
      <c r="I139" s="5">
        <f>IF($L139="","",SUMIFS('Per Line'!$U$2:$U$401,'Per Line'!$C$2:$C$401,$C139))</f>
        <v/>
      </c>
      <c r="J139" s="5">
        <f>IF($L139="","",G139-H139)</f>
        <v/>
      </c>
      <c r="K139" s="5">
        <f>IF($L139="","",J139-I139)</f>
        <v/>
      </c>
      <c r="L139">
        <f>IF(ROWS($L$2:$L139)&lt;=MAX('Per Line'!$AH$2:$AH$401),MATCH(ROWS($L$2:$L139),'Per Line'!$AH$2:$AH$401,0),"")</f>
        <v/>
      </c>
    </row>
    <row r="140">
      <c r="B140">
        <f>IF($L140="","",INDEX('Per Line'!$B$2:$B$401,$L140))</f>
        <v/>
      </c>
      <c r="C140">
        <f>IF($L140="","",INDEX('Per Line'!$C$2:$C$401,$L140))</f>
        <v/>
      </c>
      <c r="D140">
        <f>IF($L140="","",INDEX('Per Line'!$A$2:$A$401,$L140))</f>
        <v/>
      </c>
      <c r="E140">
        <f>IF($L140="","",INDEX('Per Line'!$D$2:$D$401,$L140))</f>
        <v/>
      </c>
      <c r="F140">
        <f>IF($L140="","",INDEX('Per Line'!$Q$2:$Q$401,$L140))</f>
        <v/>
      </c>
      <c r="G140" s="5">
        <f>IF($L140="","",SUMIFS('Per Line'!$S$2:$S$401,'Per Line'!$C$2:$C$401,$C140))</f>
        <v/>
      </c>
      <c r="H140" s="5">
        <f>IF($L140="","",SUMIFS('Per Line'!$T$2:$T$401,'Per Line'!$C$2:$C$401,$C140))</f>
        <v/>
      </c>
      <c r="I140" s="5">
        <f>IF($L140="","",SUMIFS('Per Line'!$U$2:$U$401,'Per Line'!$C$2:$C$401,$C140))</f>
        <v/>
      </c>
      <c r="J140" s="5">
        <f>IF($L140="","",G140-H140)</f>
        <v/>
      </c>
      <c r="K140" s="5">
        <f>IF($L140="","",J140-I140)</f>
        <v/>
      </c>
      <c r="L140">
        <f>IF(ROWS($L$2:$L140)&lt;=MAX('Per Line'!$AH$2:$AH$401),MATCH(ROWS($L$2:$L140),'Per Line'!$AH$2:$AH$401,0),"")</f>
        <v/>
      </c>
    </row>
    <row r="141">
      <c r="B141">
        <f>IF($L141="","",INDEX('Per Line'!$B$2:$B$401,$L141))</f>
        <v/>
      </c>
      <c r="C141">
        <f>IF($L141="","",INDEX('Per Line'!$C$2:$C$401,$L141))</f>
        <v/>
      </c>
      <c r="D141">
        <f>IF($L141="","",INDEX('Per Line'!$A$2:$A$401,$L141))</f>
        <v/>
      </c>
      <c r="E141">
        <f>IF($L141="","",INDEX('Per Line'!$D$2:$D$401,$L141))</f>
        <v/>
      </c>
      <c r="F141">
        <f>IF($L141="","",INDEX('Per Line'!$Q$2:$Q$401,$L141))</f>
        <v/>
      </c>
      <c r="G141" s="5">
        <f>IF($L141="","",SUMIFS('Per Line'!$S$2:$S$401,'Per Line'!$C$2:$C$401,$C141))</f>
        <v/>
      </c>
      <c r="H141" s="5">
        <f>IF($L141="","",SUMIFS('Per Line'!$T$2:$T$401,'Per Line'!$C$2:$C$401,$C141))</f>
        <v/>
      </c>
      <c r="I141" s="5">
        <f>IF($L141="","",SUMIFS('Per Line'!$U$2:$U$401,'Per Line'!$C$2:$C$401,$C141))</f>
        <v/>
      </c>
      <c r="J141" s="5">
        <f>IF($L141="","",G141-H141)</f>
        <v/>
      </c>
      <c r="K141" s="5">
        <f>IF($L141="","",J141-I141)</f>
        <v/>
      </c>
      <c r="L141">
        <f>IF(ROWS($L$2:$L141)&lt;=MAX('Per Line'!$AH$2:$AH$401),MATCH(ROWS($L$2:$L141),'Per Line'!$AH$2:$AH$401,0),"")</f>
        <v/>
      </c>
    </row>
    <row r="142">
      <c r="B142">
        <f>IF($L142="","",INDEX('Per Line'!$B$2:$B$401,$L142))</f>
        <v/>
      </c>
      <c r="C142">
        <f>IF($L142="","",INDEX('Per Line'!$C$2:$C$401,$L142))</f>
        <v/>
      </c>
      <c r="D142">
        <f>IF($L142="","",INDEX('Per Line'!$A$2:$A$401,$L142))</f>
        <v/>
      </c>
      <c r="E142">
        <f>IF($L142="","",INDEX('Per Line'!$D$2:$D$401,$L142))</f>
        <v/>
      </c>
      <c r="F142">
        <f>IF($L142="","",INDEX('Per Line'!$Q$2:$Q$401,$L142))</f>
        <v/>
      </c>
      <c r="G142" s="5">
        <f>IF($L142="","",SUMIFS('Per Line'!$S$2:$S$401,'Per Line'!$C$2:$C$401,$C142))</f>
        <v/>
      </c>
      <c r="H142" s="5">
        <f>IF($L142="","",SUMIFS('Per Line'!$T$2:$T$401,'Per Line'!$C$2:$C$401,$C142))</f>
        <v/>
      </c>
      <c r="I142" s="5">
        <f>IF($L142="","",SUMIFS('Per Line'!$U$2:$U$401,'Per Line'!$C$2:$C$401,$C142))</f>
        <v/>
      </c>
      <c r="J142" s="5">
        <f>IF($L142="","",G142-H142)</f>
        <v/>
      </c>
      <c r="K142" s="5">
        <f>IF($L142="","",J142-I142)</f>
        <v/>
      </c>
      <c r="L142">
        <f>IF(ROWS($L$2:$L142)&lt;=MAX('Per Line'!$AH$2:$AH$401),MATCH(ROWS($L$2:$L142),'Per Line'!$AH$2:$AH$401,0),"")</f>
        <v/>
      </c>
    </row>
    <row r="143">
      <c r="B143">
        <f>IF($L143="","",INDEX('Per Line'!$B$2:$B$401,$L143))</f>
        <v/>
      </c>
      <c r="C143">
        <f>IF($L143="","",INDEX('Per Line'!$C$2:$C$401,$L143))</f>
        <v/>
      </c>
      <c r="D143">
        <f>IF($L143="","",INDEX('Per Line'!$A$2:$A$401,$L143))</f>
        <v/>
      </c>
      <c r="E143">
        <f>IF($L143="","",INDEX('Per Line'!$D$2:$D$401,$L143))</f>
        <v/>
      </c>
      <c r="F143">
        <f>IF($L143="","",INDEX('Per Line'!$Q$2:$Q$401,$L143))</f>
        <v/>
      </c>
      <c r="G143" s="5">
        <f>IF($L143="","",SUMIFS('Per Line'!$S$2:$S$401,'Per Line'!$C$2:$C$401,$C143))</f>
        <v/>
      </c>
      <c r="H143" s="5">
        <f>IF($L143="","",SUMIFS('Per Line'!$T$2:$T$401,'Per Line'!$C$2:$C$401,$C143))</f>
        <v/>
      </c>
      <c r="I143" s="5">
        <f>IF($L143="","",SUMIFS('Per Line'!$U$2:$U$401,'Per Line'!$C$2:$C$401,$C143))</f>
        <v/>
      </c>
      <c r="J143" s="5">
        <f>IF($L143="","",G143-H143)</f>
        <v/>
      </c>
      <c r="K143" s="5">
        <f>IF($L143="","",J143-I143)</f>
        <v/>
      </c>
      <c r="L143">
        <f>IF(ROWS($L$2:$L143)&lt;=MAX('Per Line'!$AH$2:$AH$401),MATCH(ROWS($L$2:$L143),'Per Line'!$AH$2:$AH$401,0),"")</f>
        <v/>
      </c>
    </row>
    <row r="144">
      <c r="B144">
        <f>IF($L144="","",INDEX('Per Line'!$B$2:$B$401,$L144))</f>
        <v/>
      </c>
      <c r="C144">
        <f>IF($L144="","",INDEX('Per Line'!$C$2:$C$401,$L144))</f>
        <v/>
      </c>
      <c r="D144">
        <f>IF($L144="","",INDEX('Per Line'!$A$2:$A$401,$L144))</f>
        <v/>
      </c>
      <c r="E144">
        <f>IF($L144="","",INDEX('Per Line'!$D$2:$D$401,$L144))</f>
        <v/>
      </c>
      <c r="F144">
        <f>IF($L144="","",INDEX('Per Line'!$Q$2:$Q$401,$L144))</f>
        <v/>
      </c>
      <c r="G144" s="5">
        <f>IF($L144="","",SUMIFS('Per Line'!$S$2:$S$401,'Per Line'!$C$2:$C$401,$C144))</f>
        <v/>
      </c>
      <c r="H144" s="5">
        <f>IF($L144="","",SUMIFS('Per Line'!$T$2:$T$401,'Per Line'!$C$2:$C$401,$C144))</f>
        <v/>
      </c>
      <c r="I144" s="5">
        <f>IF($L144="","",SUMIFS('Per Line'!$U$2:$U$401,'Per Line'!$C$2:$C$401,$C144))</f>
        <v/>
      </c>
      <c r="J144" s="5">
        <f>IF($L144="","",G144-H144)</f>
        <v/>
      </c>
      <c r="K144" s="5">
        <f>IF($L144="","",J144-I144)</f>
        <v/>
      </c>
      <c r="L144">
        <f>IF(ROWS($L$2:$L144)&lt;=MAX('Per Line'!$AH$2:$AH$401),MATCH(ROWS($L$2:$L144),'Per Line'!$AH$2:$AH$401,0),"")</f>
        <v/>
      </c>
    </row>
    <row r="145">
      <c r="B145">
        <f>IF($L145="","",INDEX('Per Line'!$B$2:$B$401,$L145))</f>
        <v/>
      </c>
      <c r="C145">
        <f>IF($L145="","",INDEX('Per Line'!$C$2:$C$401,$L145))</f>
        <v/>
      </c>
      <c r="D145">
        <f>IF($L145="","",INDEX('Per Line'!$A$2:$A$401,$L145))</f>
        <v/>
      </c>
      <c r="E145">
        <f>IF($L145="","",INDEX('Per Line'!$D$2:$D$401,$L145))</f>
        <v/>
      </c>
      <c r="F145">
        <f>IF($L145="","",INDEX('Per Line'!$Q$2:$Q$401,$L145))</f>
        <v/>
      </c>
      <c r="G145" s="5">
        <f>IF($L145="","",SUMIFS('Per Line'!$S$2:$S$401,'Per Line'!$C$2:$C$401,$C145))</f>
        <v/>
      </c>
      <c r="H145" s="5">
        <f>IF($L145="","",SUMIFS('Per Line'!$T$2:$T$401,'Per Line'!$C$2:$C$401,$C145))</f>
        <v/>
      </c>
      <c r="I145" s="5">
        <f>IF($L145="","",SUMIFS('Per Line'!$U$2:$U$401,'Per Line'!$C$2:$C$401,$C145))</f>
        <v/>
      </c>
      <c r="J145" s="5">
        <f>IF($L145="","",G145-H145)</f>
        <v/>
      </c>
      <c r="K145" s="5">
        <f>IF($L145="","",J145-I145)</f>
        <v/>
      </c>
      <c r="L145">
        <f>IF(ROWS($L$2:$L145)&lt;=MAX('Per Line'!$AH$2:$AH$401),MATCH(ROWS($L$2:$L145),'Per Line'!$AH$2:$AH$401,0),"")</f>
        <v/>
      </c>
    </row>
    <row r="146">
      <c r="B146">
        <f>IF($L146="","",INDEX('Per Line'!$B$2:$B$401,$L146))</f>
        <v/>
      </c>
      <c r="C146">
        <f>IF($L146="","",INDEX('Per Line'!$C$2:$C$401,$L146))</f>
        <v/>
      </c>
      <c r="D146">
        <f>IF($L146="","",INDEX('Per Line'!$A$2:$A$401,$L146))</f>
        <v/>
      </c>
      <c r="E146">
        <f>IF($L146="","",INDEX('Per Line'!$D$2:$D$401,$L146))</f>
        <v/>
      </c>
      <c r="F146">
        <f>IF($L146="","",INDEX('Per Line'!$Q$2:$Q$401,$L146))</f>
        <v/>
      </c>
      <c r="G146" s="5">
        <f>IF($L146="","",SUMIFS('Per Line'!$S$2:$S$401,'Per Line'!$C$2:$C$401,$C146))</f>
        <v/>
      </c>
      <c r="H146" s="5">
        <f>IF($L146="","",SUMIFS('Per Line'!$T$2:$T$401,'Per Line'!$C$2:$C$401,$C146))</f>
        <v/>
      </c>
      <c r="I146" s="5">
        <f>IF($L146="","",SUMIFS('Per Line'!$U$2:$U$401,'Per Line'!$C$2:$C$401,$C146))</f>
        <v/>
      </c>
      <c r="J146" s="5">
        <f>IF($L146="","",G146-H146)</f>
        <v/>
      </c>
      <c r="K146" s="5">
        <f>IF($L146="","",J146-I146)</f>
        <v/>
      </c>
      <c r="L146">
        <f>IF(ROWS($L$2:$L146)&lt;=MAX('Per Line'!$AH$2:$AH$401),MATCH(ROWS($L$2:$L146),'Per Line'!$AH$2:$AH$401,0),"")</f>
        <v/>
      </c>
    </row>
    <row r="147">
      <c r="B147">
        <f>IF($L147="","",INDEX('Per Line'!$B$2:$B$401,$L147))</f>
        <v/>
      </c>
      <c r="C147">
        <f>IF($L147="","",INDEX('Per Line'!$C$2:$C$401,$L147))</f>
        <v/>
      </c>
      <c r="D147">
        <f>IF($L147="","",INDEX('Per Line'!$A$2:$A$401,$L147))</f>
        <v/>
      </c>
      <c r="E147">
        <f>IF($L147="","",INDEX('Per Line'!$D$2:$D$401,$L147))</f>
        <v/>
      </c>
      <c r="F147">
        <f>IF($L147="","",INDEX('Per Line'!$Q$2:$Q$401,$L147))</f>
        <v/>
      </c>
      <c r="G147" s="5">
        <f>IF($L147="","",SUMIFS('Per Line'!$S$2:$S$401,'Per Line'!$C$2:$C$401,$C147))</f>
        <v/>
      </c>
      <c r="H147" s="5">
        <f>IF($L147="","",SUMIFS('Per Line'!$T$2:$T$401,'Per Line'!$C$2:$C$401,$C147))</f>
        <v/>
      </c>
      <c r="I147" s="5">
        <f>IF($L147="","",SUMIFS('Per Line'!$U$2:$U$401,'Per Line'!$C$2:$C$401,$C147))</f>
        <v/>
      </c>
      <c r="J147" s="5">
        <f>IF($L147="","",G147-H147)</f>
        <v/>
      </c>
      <c r="K147" s="5">
        <f>IF($L147="","",J147-I147)</f>
        <v/>
      </c>
      <c r="L147">
        <f>IF(ROWS($L$2:$L147)&lt;=MAX('Per Line'!$AH$2:$AH$401),MATCH(ROWS($L$2:$L147),'Per Line'!$AH$2:$AH$401,0),"")</f>
        <v/>
      </c>
    </row>
    <row r="148">
      <c r="B148">
        <f>IF($L148="","",INDEX('Per Line'!$B$2:$B$401,$L148))</f>
        <v/>
      </c>
      <c r="C148">
        <f>IF($L148="","",INDEX('Per Line'!$C$2:$C$401,$L148))</f>
        <v/>
      </c>
      <c r="D148">
        <f>IF($L148="","",INDEX('Per Line'!$A$2:$A$401,$L148))</f>
        <v/>
      </c>
      <c r="E148">
        <f>IF($L148="","",INDEX('Per Line'!$D$2:$D$401,$L148))</f>
        <v/>
      </c>
      <c r="F148">
        <f>IF($L148="","",INDEX('Per Line'!$Q$2:$Q$401,$L148))</f>
        <v/>
      </c>
      <c r="G148" s="5">
        <f>IF($L148="","",SUMIFS('Per Line'!$S$2:$S$401,'Per Line'!$C$2:$C$401,$C148))</f>
        <v/>
      </c>
      <c r="H148" s="5">
        <f>IF($L148="","",SUMIFS('Per Line'!$T$2:$T$401,'Per Line'!$C$2:$C$401,$C148))</f>
        <v/>
      </c>
      <c r="I148" s="5">
        <f>IF($L148="","",SUMIFS('Per Line'!$U$2:$U$401,'Per Line'!$C$2:$C$401,$C148))</f>
        <v/>
      </c>
      <c r="J148" s="5">
        <f>IF($L148="","",G148-H148)</f>
        <v/>
      </c>
      <c r="K148" s="5">
        <f>IF($L148="","",J148-I148)</f>
        <v/>
      </c>
      <c r="L148">
        <f>IF(ROWS($L$2:$L148)&lt;=MAX('Per Line'!$AH$2:$AH$401),MATCH(ROWS($L$2:$L148),'Per Line'!$AH$2:$AH$401,0),"")</f>
        <v/>
      </c>
    </row>
    <row r="149">
      <c r="B149">
        <f>IF($L149="","",INDEX('Per Line'!$B$2:$B$401,$L149))</f>
        <v/>
      </c>
      <c r="C149">
        <f>IF($L149="","",INDEX('Per Line'!$C$2:$C$401,$L149))</f>
        <v/>
      </c>
      <c r="D149">
        <f>IF($L149="","",INDEX('Per Line'!$A$2:$A$401,$L149))</f>
        <v/>
      </c>
      <c r="E149">
        <f>IF($L149="","",INDEX('Per Line'!$D$2:$D$401,$L149))</f>
        <v/>
      </c>
      <c r="F149">
        <f>IF($L149="","",INDEX('Per Line'!$Q$2:$Q$401,$L149))</f>
        <v/>
      </c>
      <c r="G149" s="5">
        <f>IF($L149="","",SUMIFS('Per Line'!$S$2:$S$401,'Per Line'!$C$2:$C$401,$C149))</f>
        <v/>
      </c>
      <c r="H149" s="5">
        <f>IF($L149="","",SUMIFS('Per Line'!$T$2:$T$401,'Per Line'!$C$2:$C$401,$C149))</f>
        <v/>
      </c>
      <c r="I149" s="5">
        <f>IF($L149="","",SUMIFS('Per Line'!$U$2:$U$401,'Per Line'!$C$2:$C$401,$C149))</f>
        <v/>
      </c>
      <c r="J149" s="5">
        <f>IF($L149="","",G149-H149)</f>
        <v/>
      </c>
      <c r="K149" s="5">
        <f>IF($L149="","",J149-I149)</f>
        <v/>
      </c>
      <c r="L149">
        <f>IF(ROWS($L$2:$L149)&lt;=MAX('Per Line'!$AH$2:$AH$401),MATCH(ROWS($L$2:$L149),'Per Line'!$AH$2:$AH$401,0),"")</f>
        <v/>
      </c>
    </row>
    <row r="150">
      <c r="B150">
        <f>IF($L150="","",INDEX('Per Line'!$B$2:$B$401,$L150))</f>
        <v/>
      </c>
      <c r="C150">
        <f>IF($L150="","",INDEX('Per Line'!$C$2:$C$401,$L150))</f>
        <v/>
      </c>
      <c r="D150">
        <f>IF($L150="","",INDEX('Per Line'!$A$2:$A$401,$L150))</f>
        <v/>
      </c>
      <c r="E150">
        <f>IF($L150="","",INDEX('Per Line'!$D$2:$D$401,$L150))</f>
        <v/>
      </c>
      <c r="F150">
        <f>IF($L150="","",INDEX('Per Line'!$Q$2:$Q$401,$L150))</f>
        <v/>
      </c>
      <c r="G150" s="5">
        <f>IF($L150="","",SUMIFS('Per Line'!$S$2:$S$401,'Per Line'!$C$2:$C$401,$C150))</f>
        <v/>
      </c>
      <c r="H150" s="5">
        <f>IF($L150="","",SUMIFS('Per Line'!$T$2:$T$401,'Per Line'!$C$2:$C$401,$C150))</f>
        <v/>
      </c>
      <c r="I150" s="5">
        <f>IF($L150="","",SUMIFS('Per Line'!$U$2:$U$401,'Per Line'!$C$2:$C$401,$C150))</f>
        <v/>
      </c>
      <c r="J150" s="5">
        <f>IF($L150="","",G150-H150)</f>
        <v/>
      </c>
      <c r="K150" s="5">
        <f>IF($L150="","",J150-I150)</f>
        <v/>
      </c>
      <c r="L150">
        <f>IF(ROWS($L$2:$L150)&lt;=MAX('Per Line'!$AH$2:$AH$401),MATCH(ROWS($L$2:$L150),'Per Line'!$AH$2:$AH$401,0),"")</f>
        <v/>
      </c>
    </row>
    <row r="151">
      <c r="B151">
        <f>IF($L151="","",INDEX('Per Line'!$B$2:$B$401,$L151))</f>
        <v/>
      </c>
      <c r="C151">
        <f>IF($L151="","",INDEX('Per Line'!$C$2:$C$401,$L151))</f>
        <v/>
      </c>
      <c r="D151">
        <f>IF($L151="","",INDEX('Per Line'!$A$2:$A$401,$L151))</f>
        <v/>
      </c>
      <c r="E151">
        <f>IF($L151="","",INDEX('Per Line'!$D$2:$D$401,$L151))</f>
        <v/>
      </c>
      <c r="F151">
        <f>IF($L151="","",INDEX('Per Line'!$Q$2:$Q$401,$L151))</f>
        <v/>
      </c>
      <c r="G151" s="5">
        <f>IF($L151="","",SUMIFS('Per Line'!$S$2:$S$401,'Per Line'!$C$2:$C$401,$C151))</f>
        <v/>
      </c>
      <c r="H151" s="5">
        <f>IF($L151="","",SUMIFS('Per Line'!$T$2:$T$401,'Per Line'!$C$2:$C$401,$C151))</f>
        <v/>
      </c>
      <c r="I151" s="5">
        <f>IF($L151="","",SUMIFS('Per Line'!$U$2:$U$401,'Per Line'!$C$2:$C$401,$C151))</f>
        <v/>
      </c>
      <c r="J151" s="5">
        <f>IF($L151="","",G151-H151)</f>
        <v/>
      </c>
      <c r="K151" s="5">
        <f>IF($L151="","",J151-I151)</f>
        <v/>
      </c>
      <c r="L151">
        <f>IF(ROWS($L$2:$L151)&lt;=MAX('Per Line'!$AH$2:$AH$401),MATCH(ROWS($L$2:$L151),'Per Line'!$AH$2:$AH$401,0),"")</f>
        <v/>
      </c>
    </row>
  </sheetData>
  <autoFilter ref="A1:L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2026-10-12T12:34:18Z</dcterms:created>
  <dcterms:modified xmlns:dcterms="http://purl.org/dc/terms/" xmlns:xsi="http://www.w3.org/2001/XMLSchema-instance" xsi:type="dcterms:W3CDTF">2026-10-12T12:34:18Z</dcterms:modified>
</cp:coreProperties>
</file>